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<sst xmlns="http://schemas.openxmlformats.org/spreadsheetml/2006/main" count="13262" uniqueCount="2744">
  <si>
    <t>ID</t>
  </si>
  <si>
    <t>PRED_ID</t>
  </si>
  <si>
    <t>MARKER_AUTO</t>
  </si>
  <si>
    <t>PREDICATE</t>
  </si>
  <si>
    <t>TEXT</t>
  </si>
  <si>
    <t>SENTENCE</t>
  </si>
  <si>
    <t>MARKER</t>
  </si>
  <si>
    <t>TARGET</t>
  </si>
  <si>
    <t>RELATION</t>
  </si>
  <si>
    <t>COMMENT</t>
  </si>
  <si>
    <t>1</t>
  </si>
  <si>
    <t>_</t>
  </si>
  <si>
    <t>Chris</t>
  </si>
  <si>
    <t>Chris Anderson :</t>
  </si>
  <si>
    <t>file://conllu/pt/teddy-1319.conllu#s1_0</t>
  </si>
  <si>
    <t>2</t>
  </si>
  <si>
    <t>direito</t>
  </si>
  <si>
    <t>Os direitos dos de os cidadãos , o futuro da de a Internet .</t>
  </si>
  <si>
    <t>file://conllu/pt/teddy-1319.conllu#s2_0</t>
  </si>
  <si>
    <t>3</t>
  </si>
  <si>
    <t>gostar</t>
  </si>
  <si>
    <t>Gostaria de dar as boas-vindas no em o palco do de o TED ao a o homem por detrás destas de estas revelações , Ed Snowden .</t>
  </si>
  <si>
    <t>file://conllu/pt/teddy-1319.conllu#s3_0</t>
  </si>
  <si>
    <t>4</t>
  </si>
  <si>
    <t>5</t>
  </si>
  <si>
    <t>estar (estar longe)</t>
  </si>
  <si>
    <t>( Aplausos ) Ed está longe , algures na em a Rússia a controlar um robô no em o seu portátil , e pode ver as mesmas coisas que o robô vê .</t>
  </si>
  <si>
    <t>file://conllu/pt/teddy-1319.conllu#s4_0</t>
  </si>
  <si>
    <t>Ed</t>
  </si>
  <si>
    <t>Ed , seja bem-vindo ao a o palco do de o TED .</t>
  </si>
  <si>
    <t>file://conllu/pt/teddy-1319.conllu#s5_0</t>
  </si>
  <si>
    <t>6</t>
  </si>
  <si>
    <t>ser (ser que)</t>
  </si>
  <si>
    <t>que é que consegue ver ?</t>
  </si>
  <si>
    <t>file://conllu/pt/teddy-1319.conllu#s6_0</t>
  </si>
  <si>
    <t>7</t>
  </si>
  <si>
    <t>Edward</t>
  </si>
  <si>
    <t>Edward Snowden :</t>
  </si>
  <si>
    <t>file://conllu/pt/teddy-1319.conllu#s7_0</t>
  </si>
  <si>
    <t>9</t>
  </si>
  <si>
    <t>ser (ser incrível)</t>
  </si>
  <si>
    <t>Isto é incrível !</t>
  </si>
  <si>
    <t>file://conllu/pt/teddy-1319.conllu#s9_0</t>
  </si>
  <si>
    <t>10</t>
  </si>
  <si>
    <t>riso</t>
  </si>
  <si>
    <t>( Risos )</t>
  </si>
  <si>
    <t>file://conllu/pt/teddy-1319.conllu#s10_0</t>
  </si>
  <si>
    <t>11</t>
  </si>
  <si>
    <t>Ca</t>
  </si>
  <si>
    <t>CA : Ed , umas perguntas para si .</t>
  </si>
  <si>
    <t>file://conllu/pt/teddy-1319.conllu#s11_0</t>
  </si>
  <si>
    <t>14</t>
  </si>
  <si>
    <t>descrever</t>
  </si>
  <si>
    <t>Com que palavras se descreveria a si mesmo ?</t>
  </si>
  <si>
    <t>file://conllu/pt/teddy-1319.conllu#s14_0</t>
  </si>
  <si>
    <t>15</t>
  </si>
  <si>
    <t>e</t>
  </si>
  <si>
    <t>ES : Sabe , toda a gente que se envolveu neste em este debate tem andado a debater sobre mim e sobre a minha personalidade e em como me descrever .</t>
  </si>
  <si>
    <t>file://conllu/pt/teddy-1319.conllu#s15_0</t>
  </si>
  <si>
    <t>16</t>
  </si>
  <si>
    <t>8</t>
  </si>
  <si>
    <t>achar</t>
  </si>
  <si>
    <t>Mas quando eu penso nisso em isso , acho que não é essa a questão que devíamos debater .</t>
  </si>
  <si>
    <t>file://conllu/pt/teddy-1319.conllu#s16_0</t>
  </si>
  <si>
    <t>17</t>
  </si>
  <si>
    <t>Quem?</t>
  </si>
  <si>
    <t>interessar</t>
  </si>
  <si>
    <t>Não interessa quem eu sou realmente .</t>
  </si>
  <si>
    <t>file://conllu/pt/teddy-1319.conllu#s17_0</t>
  </si>
  <si>
    <t>18</t>
  </si>
  <si>
    <t>poder</t>
  </si>
  <si>
    <t>Se eu sou a pior pessoa do de o mundo , podem odiar-me odiar me e seguir em frente .</t>
  </si>
  <si>
    <t>file://conllu/pt/teddy-1319.conllu#s18_0</t>
  </si>
  <si>
    <t>19</t>
  </si>
  <si>
    <t>ser (ser questão)</t>
  </si>
  <si>
    <t>que realmente importa aqui são as questões .</t>
  </si>
  <si>
    <t>file://conllu/pt/teddy-1319.conllu#s19_0</t>
  </si>
  <si>
    <t>20</t>
  </si>
  <si>
    <t>ser (ser tipo)</t>
  </si>
  <si>
    <t>que realmente importa aqui é o tipo de governo que queremos , o tipo de Internet que queremos , o tipo de relacionamento entre as pessoas e as sociedades .</t>
  </si>
  <si>
    <t>file://conllu/pt/teddy-1319.conllu#s20_0</t>
  </si>
  <si>
    <t>21</t>
  </si>
  <si>
    <t>ser (ser o)</t>
  </si>
  <si>
    <t>E isso é o que eu espero que o debate promova e temos visto que ele aumenta com o tempo .</t>
  </si>
  <si>
    <t>file://conllu/pt/teddy-1319.conllu#s21_0</t>
  </si>
  <si>
    <t>22</t>
  </si>
  <si>
    <t>usar</t>
  </si>
  <si>
    <t>Se eu tivesse que me descrever , não usaria palavras como &amp;quot; herói &amp;quot; .</t>
  </si>
  <si>
    <t>file://conllu/pt/teddy-1319.conllu#s22_0</t>
  </si>
  <si>
    <t>23</t>
  </si>
  <si>
    <t>não usaria &amp;quot; patriota &amp;quot; e não usaria &amp;quot; traidor &amp;quot; .</t>
  </si>
  <si>
    <t>file://conllu/pt/teddy-1319.conllu#s23_0</t>
  </si>
  <si>
    <t>24</t>
  </si>
  <si>
    <t>dizer</t>
  </si>
  <si>
    <t>Diria que sou um americano e um cidadão , tal como toda a gente .</t>
  </si>
  <si>
    <t>file://conllu/pt/teddy-1319.conllu#s24_0</t>
  </si>
  <si>
    <t>25</t>
  </si>
  <si>
    <t>47</t>
  </si>
  <si>
    <t>ter</t>
  </si>
  <si>
    <t>CA : Então , só para contextualizar para quem que não conhece a história toda ... ... há um ano , você estava a viver no em o Havaí a trabalhar como consultor da de a NSA [ Agência de Segurança Nacional ] Enquanto administrador de sistemas , tinha acesso aos a os sistemas deles de eles , e começou a revelar certos documentos confidenciais a alguns jornalistas escolhidos a dedo abrindo o caminho para as revelações de junho .</t>
  </si>
  <si>
    <t>file://conllu/pt/teddy-1319.conllu#s25_0</t>
  </si>
  <si>
    <t>26</t>
  </si>
  <si>
    <t>o</t>
  </si>
  <si>
    <t>que o motivou a fazer isso ?</t>
  </si>
  <si>
    <t>file://conllu/pt/teddy-1319.conllu#s26_0</t>
  </si>
  <si>
    <t>27</t>
  </si>
  <si>
    <t>Sabe</t>
  </si>
  <si>
    <t>ES : Sabe ... quando eu estava no em o Havaí , e nos em os anos anteriores , quando estava a trabalhar para a comunidade de informações , vi muitas coisas que me perturbaram .</t>
  </si>
  <si>
    <t>file://conllu/pt/teddy-1319.conllu#s27_0</t>
  </si>
  <si>
    <t>29</t>
  </si>
  <si>
    <t>fazer</t>
  </si>
  <si>
    <t>Mas também fazemos coisas que vão longe demais .</t>
  </si>
  <si>
    <t>file://conllu/pt/teddy-1319.conllu#s29_0</t>
  </si>
  <si>
    <t>30</t>
  </si>
  <si>
    <t>haver</t>
  </si>
  <si>
    <t>Há coisas que não deviam ser feitas , e decisões que estavam a ser feitas secretamente sem o público saber , sem o consentimento do de o público , e sem que os nossos representantes no em o governo tivessem conhecimento desses de esses programas .</t>
  </si>
  <si>
    <t>file://conllu/pt/teddy-1319.conllu#s30_0</t>
  </si>
  <si>
    <t>31</t>
  </si>
  <si>
    <t>começar</t>
  </si>
  <si>
    <t>Quando eu comecei a deparar com essas questões , pensei com os meus botões como é que eu posso fazer isto de forma mais responsável , que maximize os benefícios do de o público enquanto minimiza os riscos ?</t>
  </si>
  <si>
    <t>file://conllu/pt/teddy-1319.conllu#s31_0</t>
  </si>
  <si>
    <t>32</t>
  </si>
  <si>
    <t>De todas as soluções que encontrei , sem ser recorrer ao a o Congresso , porque não havia leis , não havia proteção legal para um empregado privado , um contratado de informações como eu era , existia o risco de eu ser enterrado juntamente com essas informações e o público nunca viria a saber .</t>
  </si>
  <si>
    <t>file://conllu/pt/teddy-1319.conllu#s32_0</t>
  </si>
  <si>
    <t>33</t>
  </si>
  <si>
    <t>12</t>
  </si>
  <si>
    <t>garantir</t>
  </si>
  <si>
    <t>Mas a primeira emenda da de a Constituição dos de os Estados Unidos garante-nos garante nos liberdade de imprensa por uma razão , que é permitir uma imprensa com posições contrárias para contestar o governo , mas também para trabalhar em conjunto com o governo , ter um diálogo e um debate sobre como podemos informar o público sobre assuntos de importância vital sem colocar em risco a segurança nacional .</t>
  </si>
  <si>
    <t>file://conllu/pt/teddy-1319.conllu#s33_0</t>
  </si>
  <si>
    <t>34</t>
  </si>
  <si>
    <t>36</t>
  </si>
  <si>
    <t>E , ao a o trabalhar com jornalistas , ao a o passar todas as minhas informações para o povo Americano , em vez de confiar em mim mesmo para tomar a decisão de as publicar , tivemos um vigoroso debate com um profundo envolvimento do de o governo que eu acho que resultou num em um benefício para todos .</t>
  </si>
  <si>
    <t>file://conllu/pt/teddy-1319.conllu#s34_0</t>
  </si>
  <si>
    <t>35</t>
  </si>
  <si>
    <t>materializar</t>
  </si>
  <si>
    <t>E os riscos que se profetizavam , os riscos que foram invocados pelo por o governo nunca se materializaram .</t>
  </si>
  <si>
    <t>file://conllu/pt/teddy-1319.conllu#s35_0</t>
  </si>
  <si>
    <t>ver</t>
  </si>
  <si>
    <t>Nunca vimos nenhum indício de uma só situação de prejuízo especifico .</t>
  </si>
  <si>
    <t>file://conllu/pt/teddy-1319.conllu#s36_0</t>
  </si>
  <si>
    <t>37</t>
  </si>
  <si>
    <t>sentir</t>
  </si>
  <si>
    <t>Por causa disso de isso , sinto-me sinto me confortável com as decisões que tomei .</t>
  </si>
  <si>
    <t>file://conllu/pt/teddy-1319.conllu#s37_0</t>
  </si>
  <si>
    <t>38</t>
  </si>
  <si>
    <t>mostrar</t>
  </si>
  <si>
    <t>CA : Vou mostrar ao a o público alguns exemplos do de o que você revelou .</t>
  </si>
  <si>
    <t>file://conllu/pt/teddy-1319.conllu#s38_0</t>
  </si>
  <si>
    <t>39</t>
  </si>
  <si>
    <t>puder</t>
  </si>
  <si>
    <t>se pudermos ter uns slides ...</t>
  </si>
  <si>
    <t>file://conllu/pt/teddy-1319.conllu#s39_0</t>
  </si>
  <si>
    <t>40</t>
  </si>
  <si>
    <t>saber</t>
  </si>
  <si>
    <t>Ed , não sei se consegue ver , os slides estão aqui .</t>
  </si>
  <si>
    <t>file://conllu/pt/teddy-1319.conllu#s40_0</t>
  </si>
  <si>
    <t>41</t>
  </si>
  <si>
    <t>ser (ser slide)</t>
  </si>
  <si>
    <t>Este é um slide do de o programa PRISM .</t>
  </si>
  <si>
    <t>file://conllu/pt/teddy-1319.conllu#s41_0</t>
  </si>
  <si>
    <t>42</t>
  </si>
  <si>
    <t>Talvez possa contar ao a o público o que é que foi revelado .</t>
  </si>
  <si>
    <t>file://conllu/pt/teddy-1319.conllu#s42_0</t>
  </si>
  <si>
    <t>43</t>
  </si>
  <si>
    <t>ser (ser falar)</t>
  </si>
  <si>
    <t>ES : A melhor forma de perceber o PRISM , porque tem havido uma certa controvérsia , é falar primeiro sobre o que o PRISM não é .</t>
  </si>
  <si>
    <t>file://conllu/pt/teddy-1319.conllu#s43_0</t>
  </si>
  <si>
    <t>44</t>
  </si>
  <si>
    <t>ser (ser metadado)</t>
  </si>
  <si>
    <t>Grande parte da de a discussão nos em os EUA tem sido sobre os metadados .</t>
  </si>
  <si>
    <t>file://conllu/pt/teddy-1319.conllu#s44_0</t>
  </si>
  <si>
    <t>46</t>
  </si>
  <si>
    <t>viajar</t>
  </si>
  <si>
    <t>para onde viajamos .</t>
  </si>
  <si>
    <t>file://conllu/pt/teddy-1319.conllu#s46_0</t>
  </si>
  <si>
    <t>metadar</t>
  </si>
  <si>
    <t>Tudo isso são metadados .</t>
  </si>
  <si>
    <t>file://conllu/pt/teddy-1319.conllu#s47_0</t>
  </si>
  <si>
    <t>48</t>
  </si>
  <si>
    <t>ser (ser conteúdo)</t>
  </si>
  <si>
    <t>PRISM é sobre o conteúdo .</t>
  </si>
  <si>
    <t>file://conllu/pt/teddy-1319.conllu#s48_0</t>
  </si>
  <si>
    <t>49</t>
  </si>
  <si>
    <t>É um programa através do de o qual o governo pode forçar o mundo empresarial americano , pode encarregar o mundo empresarial americano de fazer o trabalho sujo da de a NSA .</t>
  </si>
  <si>
    <t>file://conllu/pt/teddy-1319.conllu#s49_0</t>
  </si>
  <si>
    <t>50</t>
  </si>
  <si>
    <t>pensar</t>
  </si>
  <si>
    <t>E , apesar de algumas dessas de essas empresas terem resistido , apesar de algumas delas de elas — penso que o Yahoo foi uma delas de elas — os terem contestado em tribunal , todas perderam , porque nunca houve um julgamento em audiência pública .</t>
  </si>
  <si>
    <t>file://conllu/pt/teddy-1319.conllu#s50_0</t>
  </si>
  <si>
    <t>51</t>
  </si>
  <si>
    <t>Só houve julgamento em tribunal à a a porta fechada .</t>
  </si>
  <si>
    <t>file://conllu/pt/teddy-1319.conllu#s51_0</t>
  </si>
  <si>
    <t>52</t>
  </si>
  <si>
    <t>coisa</t>
  </si>
  <si>
    <t>E uma coisa que temos visto , uma coisa sobre o programa PRISM , que muito me preocupa , há um ponto forte do de o governo dos de os EU em que disseram que 15 juízes federais analisaram estes programas e consideraram-nos consideraram nos legais , mas o que não nos em os dizem é que são juízes secretos num em um tribunal secreto com base em interpretações confidenciais da de a lei que analisaram 34 000 pedidos de mandatos ao a o longo de 33 anos e , durante esses 33 anos , só rejeitaram 11 pedidos do de o governo .</t>
  </si>
  <si>
    <t>file://conllu/pt/teddy-1319.conllu#s52_0</t>
  </si>
  <si>
    <t>53</t>
  </si>
  <si>
    <t>ser (ser pessoa)</t>
  </si>
  <si>
    <t>Estas não são as pessoas que queremos que decidam qual deve ser o papel do de o mundo empresarial americano numa em uma Internet livre e aberta .</t>
  </si>
  <si>
    <t>file://conllu/pt/teddy-1319.conllu#s53_0</t>
  </si>
  <si>
    <t>54</t>
  </si>
  <si>
    <t>CA : Este slide que estamos a mostrar mostra as datas em que diferentes empresas de tecnologia , empresas de Internet , alegadamente se juntaram ao a o programa , e onde se iniciou a colheita de dados a partir delas de elas .</t>
  </si>
  <si>
    <t>file://conllu/pt/teddy-1319.conllu#s54_0</t>
  </si>
  <si>
    <t>55</t>
  </si>
  <si>
    <t>negar</t>
  </si>
  <si>
    <t>Mas elas têm negado ter colaborado com a NSA .</t>
  </si>
  <si>
    <t>file://conllu/pt/teddy-1319.conllu#s55_0</t>
  </si>
  <si>
    <t>56</t>
  </si>
  <si>
    <t>recolher</t>
  </si>
  <si>
    <t>Como é que a NSA recolheu estes dados ?</t>
  </si>
  <si>
    <t>file://conllu/pt/teddy-1319.conllu#s56_0</t>
  </si>
  <si>
    <t>57</t>
  </si>
  <si>
    <t>ES : Certo .</t>
  </si>
  <si>
    <t>file://conllu/pt/teddy-1319.conllu#s57_0</t>
  </si>
  <si>
    <t>58</t>
  </si>
  <si>
    <t>referir</t>
  </si>
  <si>
    <t>Os próprios slides da de a NSA referem-se referem se a elas como um acesso direto .</t>
  </si>
  <si>
    <t>file://conllu/pt/teddy-1319.conllu#s58_0</t>
  </si>
  <si>
    <t>59</t>
  </si>
  <si>
    <t>Isso significa?</t>
  </si>
  <si>
    <t>que isso significa para um analista da de a NSA , alguém como eu , que estava a trabalhar como analista de informações à a a procura de piratas cibernéticos chineses , coisas desse de esse tipo , no em o Havaí , é que a origem dessas de essas informações vem diretamente dos de os seus servidores .</t>
  </si>
  <si>
    <t>file://conllu/pt/teddy-1319.conllu#s59_0</t>
  </si>
  <si>
    <t>60</t>
  </si>
  <si>
    <t>significar</t>
  </si>
  <si>
    <t>Isso não significa que exista um grupo de representantes de empresas sentados numa em uma sala cheia de fumo , com a NSA por detrás , a fazer acordos de bastidores sobre como irão passar essas informações .</t>
  </si>
  <si>
    <t>file://conllu/pt/teddy-1319.conllu#s60_0</t>
  </si>
  <si>
    <t>61</t>
  </si>
  <si>
    <t>empresa</t>
  </si>
  <si>
    <t>Cada empresa lida com isto de modos diferentes .</t>
  </si>
  <si>
    <t>file://conllu/pt/teddy-1319.conllu#s61_0</t>
  </si>
  <si>
    <t>62</t>
  </si>
  <si>
    <t>ser (ser responsável)</t>
  </si>
  <si>
    <t>Algumas são responsáveis .</t>
  </si>
  <si>
    <t>file://conllu/pt/teddy-1319.conllu#s62_0</t>
  </si>
  <si>
    <t>63</t>
  </si>
  <si>
    <t>Outras são menos responsáveis .</t>
  </si>
  <si>
    <t>file://conllu/pt/teddy-1319.conllu#s63_0</t>
  </si>
  <si>
    <t>64</t>
  </si>
  <si>
    <t>ser</t>
  </si>
  <si>
    <t>Mas o fundamental é que , quando falamos sobre a forma como esta informação é passada , está a vir dessas de essas empresas .</t>
  </si>
  <si>
    <t>file://conllu/pt/teddy-1319.conllu#s64_0</t>
  </si>
  <si>
    <t>65</t>
  </si>
  <si>
    <t>roubar</t>
  </si>
  <si>
    <t>Não é roubada nas em as linhas .</t>
  </si>
  <si>
    <t>file://conllu/pt/teddy-1319.conllu#s65_0</t>
  </si>
  <si>
    <t>66</t>
  </si>
  <si>
    <t>Há uma coisa importante que tem que ser referida aqui : apesar de as empresas terem sido pressionadas , apesar de elas terem exigido , &amp;quot; Vamos fazer isso com um mandado de busca , &amp;quot; vamos fazer isso &amp;quot; se tivermos algum tipo de cobertura legal , &amp;quot; alguma base para facultar estes dados de utilizadores &amp;quot; .</t>
  </si>
  <si>
    <t>file://conllu/pt/teddy-1319.conllu#s66_0</t>
  </si>
  <si>
    <t>67</t>
  </si>
  <si>
    <t>Vimos artigos no em o Washington Post no em o ano passado que não foram tão bem contados como a história do de o PRISM que diziam que a NSA interferiu no em o centro de dados de comunicações entre o Google e ela própria e entre o Yahoo e ela própria .</t>
  </si>
  <si>
    <t>file://conllu/pt/teddy-1319.conllu#s67_0</t>
  </si>
  <si>
    <t>68</t>
  </si>
  <si>
    <t>satisfazer</t>
  </si>
  <si>
    <t>Portanto , mesmo as empresas que estão a cooperar de forma forçada , mas pelo por o menos dentro da de a legalidade , segundo esperamos , com a NSA , não satisfazem a NSA .</t>
  </si>
  <si>
    <t>file://conllu/pt/teddy-1319.conllu#s68_0</t>
  </si>
  <si>
    <t>69</t>
  </si>
  <si>
    <t>precisar</t>
  </si>
  <si>
    <t>Por causa disso de isso , precisamos que as nossas empresas trabalhem esforçadamente para garantir que vão representar os interesses do de o utilizador , e defender também os direitos dos de os utilizadores .</t>
  </si>
  <si>
    <t>file://conllu/pt/teddy-1319.conllu#s69_0</t>
  </si>
  <si>
    <t>70</t>
  </si>
  <si>
    <t>E eu acho que , no em o ano passado , pudemos ver as empresas que estão referidas nos em os slides do de o PRISM fazer grandes esforços para isso .</t>
  </si>
  <si>
    <t>file://conllu/pt/teddy-1319.conllu#s70_0</t>
  </si>
  <si>
    <t>71</t>
  </si>
  <si>
    <t>querer</t>
  </si>
  <si>
    <t>Quero encorajá-las encorajá las a continuar .</t>
  </si>
  <si>
    <t>file://conllu/pt/teddy-1319.conllu#s71_0</t>
  </si>
  <si>
    <t>72</t>
  </si>
  <si>
    <t>CA : Que mais deveriam elas fazer ?</t>
  </si>
  <si>
    <t>file://conllu/pt/teddy-1319.conllu#s72_0</t>
  </si>
  <si>
    <t>73</t>
  </si>
  <si>
    <t>ES : A coisa mais importante que uma empresa de Internet pode fazer hoje , na em a América , neste em este preciso momento , sem ter que consultar advogados , para proteger os direitos dos de os utilizadores em todo o mundo , é permitir a cifragem de SSL [ Segurança de Transporte ] na em a Internet em cada página que visitamos .</t>
  </si>
  <si>
    <t>file://conllu/pt/teddy-1319.conllu#s73_0</t>
  </si>
  <si>
    <t>74</t>
  </si>
  <si>
    <t>A razão por que isso é importante , é que hoje , se formos ver uma cópia de &amp;quot;1984 &amp;quot; em amazon.com , a NSA pode ver um registo disso de isso , os serviços de informação da de a Rússia podem ver esse registo , os serviços de informações da de a China podem ver esse registo , os serviços franceses , os serviços alemães , os serviços de Andorra , todos eles podem ver , porque não está codificado .</t>
  </si>
  <si>
    <t>file://conllu/pt/teddy-1319.conllu#s74_0</t>
  </si>
  <si>
    <t>75</t>
  </si>
  <si>
    <t>ser (ser Amazon.com)</t>
  </si>
  <si>
    <t>A biblioteca mundial é a Amazon.com</t>
  </si>
  <si>
    <t>file://conllu/pt/teddy-1319.conllu#s75_0</t>
  </si>
  <si>
    <t>76</t>
  </si>
  <si>
    <t>oferecer</t>
  </si>
  <si>
    <t>, mas eles não só não oferecem uma codificação por defeito , como nós não podemos optar pela por a codificação quando navegamos pelos por os livros .</t>
  </si>
  <si>
    <t>file://conllu/pt/teddy-1319.conllu#s76_0</t>
  </si>
  <si>
    <t>77</t>
  </si>
  <si>
    <t>ser (ser eles)</t>
  </si>
  <si>
    <t>Isto é uma coisa que é preciso mudar , não só para a Amazon , não são só eles , mas eles são um bom exemplo .</t>
  </si>
  <si>
    <t>file://conllu/pt/teddy-1319.conllu#s77_0</t>
  </si>
  <si>
    <t>78</t>
  </si>
  <si>
    <t>Todas as empresas precisam de mudar para uma navegação codificada por defeito para todos os utilizadores que não desejem outra coisa , ou não escolham outro método por iniciativa própria .</t>
  </si>
  <si>
    <t>file://conllu/pt/teddy-1319.conllu#s78_0</t>
  </si>
  <si>
    <t>79</t>
  </si>
  <si>
    <t>aumentar</t>
  </si>
  <si>
    <t>Isso aumentará a privacidade e os direitos que as pessoas têm a nível mundial CA : Ed , venha comigo com mim até esta parte do de o palco .</t>
  </si>
  <si>
    <t>file://conllu/pt/teddy-1319.conllu#s79_0</t>
  </si>
  <si>
    <t>80</t>
  </si>
  <si>
    <t>mostrar (mostrar querer)</t>
  </si>
  <si>
    <t>Quero mostrar-lhe mostrar lhe outro slide .</t>
  </si>
  <si>
    <t>file://conllu/pt/teddy-1319.conllu#s80_0</t>
  </si>
  <si>
    <t>81</t>
  </si>
  <si>
    <t>ser (ser programa)</t>
  </si>
  <si>
    <t>Este é um programa chamado</t>
  </si>
  <si>
    <t>file://conllu/pt/teddy-1319.conllu#s81_0</t>
  </si>
  <si>
    <t>82</t>
  </si>
  <si>
    <t>Boundless</t>
  </si>
  <si>
    <t>Boundless Infomant</t>
  </si>
  <si>
    <t>file://conllu/pt/teddy-1319.conllu#s82_0</t>
  </si>
  <si>
    <t>83</t>
  </si>
  <si>
    <t>que é isto ?</t>
  </si>
  <si>
    <t>file://conllu/pt/teddy-1319.conllu#s83_0</t>
  </si>
  <si>
    <t>84</t>
  </si>
  <si>
    <t>ES : Tenho que reconhecer que a NSA lhe deu um nome apropriado .</t>
  </si>
  <si>
    <t>file://conllu/pt/teddy-1319.conllu#s84_0</t>
  </si>
  <si>
    <t>85</t>
  </si>
  <si>
    <t>ser (ser um)</t>
  </si>
  <si>
    <t>Este é um dos de os códigos da de a NSA que prefiro .</t>
  </si>
  <si>
    <t>file://conllu/pt/teddy-1319.conllu#s85_0</t>
  </si>
  <si>
    <t>86</t>
  </si>
  <si>
    <t>Boundless Infomant é um programa que a NSA escondeu do de o Congresso .</t>
  </si>
  <si>
    <t>file://conllu/pt/teddy-1319.conllu#s86_0</t>
  </si>
  <si>
    <t>87</t>
  </si>
  <si>
    <t>perguntar</t>
  </si>
  <si>
    <t>Congresso perguntou previamente à a a NSA se eles tinham alguma forma de avaliar , mesmo que aproximadamente , a quantidade de comunicações americanas que estavam a ser intercetadas .</t>
  </si>
  <si>
    <t>file://conllu/pt/teddy-1319.conllu#s87_0</t>
  </si>
  <si>
    <t>88</t>
  </si>
  <si>
    <t>Eles disseram que não .</t>
  </si>
  <si>
    <t>file://conllu/pt/teddy-1319.conllu#s88_0</t>
  </si>
  <si>
    <t>89</t>
  </si>
  <si>
    <t>Disseram : &amp;quot; Não controlamos essas estatísticas .</t>
  </si>
  <si>
    <t>file://conllu/pt/teddy-1319.conllu#s89_0</t>
  </si>
  <si>
    <t>90</t>
  </si>
  <si>
    <t>Não podemos controlar essas estatísticas .</t>
  </si>
  <si>
    <t>file://conllu/pt/teddy-1319.conllu#s90_0</t>
  </si>
  <si>
    <t>91</t>
  </si>
  <si>
    <t>&amp;quot; Não podemos dizer quantas comunicações estamos a intercetar a nível mundial , &amp;quot; porque dizer-vos dizer vos isso seria invadir a vossa privacidade &amp;quot; .</t>
  </si>
  <si>
    <t>file://conllu/pt/teddy-1319.conllu#s91_0</t>
  </si>
  <si>
    <t>92</t>
  </si>
  <si>
    <t>aprecio</t>
  </si>
  <si>
    <t>Aprecio verdadeiramente esse sentimento da de a parte deles de eles , mas , quando olhamos para esse slide , ele mostra que eles não só têm a capacidade , como essa capacidade já existe .</t>
  </si>
  <si>
    <t>file://conllu/pt/teddy-1319.conllu#s92_0</t>
  </si>
  <si>
    <t>93</t>
  </si>
  <si>
    <t>estar (estar vigor)</t>
  </si>
  <si>
    <t>Já está em vigor .</t>
  </si>
  <si>
    <t>file://conllu/pt/teddy-1319.conllu#s93_0</t>
  </si>
  <si>
    <t>94</t>
  </si>
  <si>
    <t>A NSA tem o seu próprio formato de dados internos que deteta as duas extremidades duma de uma comunicação , e , se ele diz , &amp;quot; Esta transmissão veio da de a América &amp;quot; , podem dizer ao a o Congresso quantas dessas de essas comunicações têm hoje , neste em este preciso momento .</t>
  </si>
  <si>
    <t>file://conllu/pt/teddy-1319.conllu#s94_0</t>
  </si>
  <si>
    <t>95</t>
  </si>
  <si>
    <t>Mas o que o Boundless Infomant nos em os diz é que há mais transmissões de americanos a ser intercetadas nos em os EU do de o que acontece na em a Rússia , em relação aos a os russos .</t>
  </si>
  <si>
    <t>file://conllu/pt/teddy-1319.conllu#s95_0</t>
  </si>
  <si>
    <t>96</t>
  </si>
  <si>
    <t>parecer</t>
  </si>
  <si>
    <t>Não me parece que seja isto o que uma agência de informações devia estar a procurar .</t>
  </si>
  <si>
    <t>file://conllu/pt/teddy-1319.conllu#s96_0</t>
  </si>
  <si>
    <t>97</t>
  </si>
  <si>
    <t>CA : Ed , houve uma notícia divulgada no em o Washington Post , mais uma vez a partir dos de os seus dados .</t>
  </si>
  <si>
    <t>file://conllu/pt/teddy-1319.conllu#s97_0</t>
  </si>
  <si>
    <t>98</t>
  </si>
  <si>
    <t>cabeçalho diz assim : &amp;quot; A NSA quebrou regras de privacidade &amp;quot; milhares de vezes por ano . &amp;quot; Fale-nos Fale nos sobre isso .</t>
  </si>
  <si>
    <t>file://conllu/pt/teddy-1319.conllu#s98_0</t>
  </si>
  <si>
    <t>99</t>
  </si>
  <si>
    <t>ES : Nós também ouvimos , no em o ano passado , no em o depoimento no em o Congresso , uma coisa incrível para alguém como eu , que vim da de a NSA e que vi os documentos internos , e sabia o que havia neles em eles , ver funcionários testemunhar sob juramento que não tinha havido abusos , e que não tinha havido violações às a as regras da de a NSA , quando sabíamos que esta história ia aparecer .</t>
  </si>
  <si>
    <t>file://conllu/pt/teddy-1319.conllu#s99_0</t>
  </si>
  <si>
    <t>100</t>
  </si>
  <si>
    <t>Mas o que é especialmente interessante nisto em isto tudo , sobre o facto de a NSA ter violado as suas próprias regras , as suas próprias leis , milhares de vezes num em um só ano , incluindo um determinado incidente , um incidente entre esses 2776 , que afetou mais de 3000 pessoas .</t>
  </si>
  <si>
    <t>file://conllu/pt/teddy-1319.conllu#s100_0</t>
  </si>
  <si>
    <t>102</t>
  </si>
  <si>
    <t>ser (ser facto)</t>
  </si>
  <si>
    <t>que é impressionante nisto em isto tudo , nesse em esse relatório , que não despertou muita atenção , é o facto de que não só tinha havido 2776 violações , como a presidente da de a Comissão de informações do de o Senado , Dianne Feinstein , não tinha visto esse relatório até o Washington Post a ter contactado , pedindo-lhe pedindo lhe um comentário sobre o relatório .</t>
  </si>
  <si>
    <t>file://conllu/pt/teddy-1319.conllu#s102_0</t>
  </si>
  <si>
    <t>103</t>
  </si>
  <si>
    <t>ver (ver solicitar)</t>
  </si>
  <si>
    <t>E só depois é que ela solicitou uma cópia à a a NSA e recebeu-a recebeu a , mas nunca a tinha visto antes disso de isso .</t>
  </si>
  <si>
    <t>file://conllu/pt/teddy-1319.conllu#s103_0</t>
  </si>
  <si>
    <t>104</t>
  </si>
  <si>
    <t>que é que isto nos em os revela sobre o estado de fiscalização das de as informações americanas , quando a presidente da de a Comissão de Informações do de o Senado não faz ideia de que as regras estão a ser quebradas milhares de vezes por ano ?</t>
  </si>
  <si>
    <t>file://conllu/pt/teddy-1319.conllu#s104_0</t>
  </si>
  <si>
    <t>105</t>
  </si>
  <si>
    <t>ser (ser este)</t>
  </si>
  <si>
    <t>CA : Ed , a resposta a todo este debate é esta :</t>
  </si>
  <si>
    <t>file://conllu/pt/teddy-1319.conllu#s105_0</t>
  </si>
  <si>
    <t>106</t>
  </si>
  <si>
    <t>dever</t>
  </si>
  <si>
    <t>Porque é que devemos preocupar-nos preocupar nos com toda essa vigilância , sinceramente ?</t>
  </si>
  <si>
    <t>file://conllu/pt/teddy-1319.conllu#s106_0</t>
  </si>
  <si>
    <t>107</t>
  </si>
  <si>
    <t>dizer (dizer querer)</t>
  </si>
  <si>
    <t>Quero dizer , se não fizemos nada de errado , não temos nada com que nos em os preocupar .</t>
  </si>
  <si>
    <t>file://conllu/pt/teddy-1319.conllu#s107_0</t>
  </si>
  <si>
    <t>109</t>
  </si>
  <si>
    <t>ES : Bem , a primeira coisa é que estamos a abdicar dos de os nossos direitos .</t>
  </si>
  <si>
    <t>file://conllu/pt/teddy-1319.conllu#s109_0</t>
  </si>
  <si>
    <t>110</t>
  </si>
  <si>
    <t>estar</t>
  </si>
  <si>
    <t>Dizemos : &amp;quot; Penso que não vou precisar disso de isso , portanto vou confiar nisso em isso , vamos livrar-nos livrar nos deles de eles , o resto não importa , estes tipos estão a fazer o que é preciso ' .</t>
  </si>
  <si>
    <t>file://conllu/pt/teddy-1319.conllu#s110_0</t>
  </si>
  <si>
    <t>111</t>
  </si>
  <si>
    <t>ser (ser importante)</t>
  </si>
  <si>
    <t>Os nossos direitos são importantes porque nunca sabemos quando vamos precisar deles de eles .</t>
  </si>
  <si>
    <t>file://conllu/pt/teddy-1319.conllu#s111_0</t>
  </si>
  <si>
    <t>112</t>
  </si>
  <si>
    <t>ser (ser parte)</t>
  </si>
  <si>
    <t>Além disso de isso , é uma parte da de a nossa identidade cultural , não só na em a América , mas nas em as sociedades ocidentais e nas em as sociedades democráticas em todo o mundo .</t>
  </si>
  <si>
    <t>file://conllu/pt/teddy-1319.conllu#s112_0</t>
  </si>
  <si>
    <t>113</t>
  </si>
  <si>
    <t>As pessoas deviam ter a liberdade de pegar no em o telefone e ligar para a família , de mandar uma mensagem escrita para os seus entes queridos , As pessoas deviam poder comprar um livro online , deviam poder viajar de comboio , deviam poder comprar uma passagem de avião sem se preocuparem se essas ações vão ser examinadas por um agente do de o governo , possivelmente , nem sequer do de o nosso governo , daqui de aqui a vários anos , se elas serão mal interpretadas e o que é que vão pensar quanto às a as nossas intenções .</t>
  </si>
  <si>
    <t>file://conllu/pt/teddy-1319.conllu#s113_0</t>
  </si>
  <si>
    <t>114</t>
  </si>
  <si>
    <t>Temos o direito à a a privacidade .</t>
  </si>
  <si>
    <t>file://conllu/pt/teddy-1319.conllu#s114_0</t>
  </si>
  <si>
    <t>115</t>
  </si>
  <si>
    <t>Exigir</t>
  </si>
  <si>
    <t>Exigimos que os mandados sejam baseados em causas prováveis ou nalgum tipo de suspeita individualizada porque reconhecemos que confiar a alguém , a qualquer autoridade do de o governo , todas as comunicações humanas em segredo e sem fiscalização é uma tentação demasiado boa para ser ignorada .</t>
  </si>
  <si>
    <t>file://conllu/pt/teddy-1319.conllu#s115_0</t>
  </si>
  <si>
    <t>116</t>
  </si>
  <si>
    <t>CA : Há pessoas furiosas com o que você fez .</t>
  </si>
  <si>
    <t>file://conllu/pt/teddy-1319.conllu#s116_0</t>
  </si>
  <si>
    <t>117</t>
  </si>
  <si>
    <t>ouvir</t>
  </si>
  <si>
    <t>Ouvi recentemente uma citação de Dick Cheney que disse que Julian Assange foi uma picada de mosquito e que Edward Snowden é o leão que arrancou a cabeça do de o cachorro .</t>
  </si>
  <si>
    <t>file://conllu/pt/teddy-1319.conllu#s117_0</t>
  </si>
  <si>
    <t>118</t>
  </si>
  <si>
    <t>Ele acha que você praticou um dos de os piores atos de traição da de a história americana .</t>
  </si>
  <si>
    <t>file://conllu/pt/teddy-1319.conllu#s118_0</t>
  </si>
  <si>
    <t>119</t>
  </si>
  <si>
    <t>que diria às a as pessoas que assim pensam ?</t>
  </si>
  <si>
    <t>file://conllu/pt/teddy-1319.conllu#s119_0</t>
  </si>
  <si>
    <t>120</t>
  </si>
  <si>
    <t>ES : Dick Cheney é realmente um cromo .</t>
  </si>
  <si>
    <t>file://conllu/pt/teddy-1319.conllu#s120_0</t>
  </si>
  <si>
    <t>121</t>
  </si>
  <si>
    <t>obrigar</t>
  </si>
  <si>
    <t>Obrigado .</t>
  </si>
  <si>
    <t>file://conllu/pt/teddy-1319.conllu#s121_0</t>
  </si>
  <si>
    <t>122</t>
  </si>
  <si>
    <t>Acho isso espantoso porque , na em a altura em que Julian Assange estava a fazer um dos de os seus melhores trabalhos , Dick Cheney dizia que ele ia acabar com os governos em todo o mundo , que os céus iam pegar fogo e os mares iam começar a ferver , e agora anda a dizer que é só uma picada de mosquito !</t>
  </si>
  <si>
    <t>file://conllu/pt/teddy-1319.conllu#s122_0</t>
  </si>
  <si>
    <t>123</t>
  </si>
  <si>
    <t>Devíamos desconfiar também do de o mesmo tipo de afirmações pretensiosas sobre os danos à a a segurança nacional vindas desse de esse tipo de funcionários .</t>
  </si>
  <si>
    <t>file://conllu/pt/teddy-1319.conllu#s123_0</t>
  </si>
  <si>
    <t>124</t>
  </si>
  <si>
    <t>partir</t>
  </si>
  <si>
    <t>Mas vamos partir do de o princípio que essas pessoas acreditam mesmo nisso em isso .</t>
  </si>
  <si>
    <t>file://conllu/pt/teddy-1319.conllu#s124_0</t>
  </si>
  <si>
    <t>125</t>
  </si>
  <si>
    <t>defender</t>
  </si>
  <si>
    <t>Eu defenderia que elas têm um certo conceito limitado quanto a segurança nacional .</t>
  </si>
  <si>
    <t>file://conllu/pt/teddy-1319.conllu#s125_0</t>
  </si>
  <si>
    <t>126</t>
  </si>
  <si>
    <t>tornar</t>
  </si>
  <si>
    <t>As prerrogativas de pessoas como Dick Cheney não tornam a nação mais segura .</t>
  </si>
  <si>
    <t>file://conllu/pt/teddy-1319.conllu#s126_0</t>
  </si>
  <si>
    <t>127</t>
  </si>
  <si>
    <t>ser (ser mesmo)</t>
  </si>
  <si>
    <t>interesse público não é sempre o mesmo que o interesse nacional .</t>
  </si>
  <si>
    <t>file://conllu/pt/teddy-1319.conllu#s127_0</t>
  </si>
  <si>
    <t>128</t>
  </si>
  <si>
    <t>entrar</t>
  </si>
  <si>
    <t>Entrar em guerra com pessoas que não são nossos inimigos em locais que não são uma ameaça não nos em os torna mais seguros , e isso tanto se aplica ao a o Iraque como à a a Internet .</t>
  </si>
  <si>
    <t>file://conllu/pt/teddy-1319.conllu#s128_0</t>
  </si>
  <si>
    <t>129</t>
  </si>
  <si>
    <t>ser (ser inimigo)</t>
  </si>
  <si>
    <t>A Internet não é o inimigo .</t>
  </si>
  <si>
    <t>file://conllu/pt/teddy-1319.conllu#s129_0</t>
  </si>
  <si>
    <t>130</t>
  </si>
  <si>
    <t>A nossa economia não é o inimigo .</t>
  </si>
  <si>
    <t>file://conllu/pt/teddy-1319.conllu#s130_0</t>
  </si>
  <si>
    <t>131</t>
  </si>
  <si>
    <t>mundo empresarial americano , o mundo empresarial chinês , e qualquer outra empresa no em o mundo fazem parte da de a nossa sociedade , fazem parte do de o nosso mundo interligado .</t>
  </si>
  <si>
    <t>file://conllu/pt/teddy-1319.conllu#s131_0</t>
  </si>
  <si>
    <t>132</t>
  </si>
  <si>
    <t>existir</t>
  </si>
  <si>
    <t>Existem laços de fraternidade que nos em os unem .</t>
  </si>
  <si>
    <t>file://conllu/pt/teddy-1319.conllu#s132_0</t>
  </si>
  <si>
    <t>133</t>
  </si>
  <si>
    <t>destruir</t>
  </si>
  <si>
    <t>Se nós destruirmos esses laços enfraquecendo as normas , a segurança , e as formas de comportamento , que as nações e os cidadãos do de o mundo inteiro esperam que nós respeitemos ...</t>
  </si>
  <si>
    <t>file://conllu/pt/teddy-1319.conllu#s133_0</t>
  </si>
  <si>
    <t>134</t>
  </si>
  <si>
    <t>CA :</t>
  </si>
  <si>
    <t>file://conllu/pt/teddy-1319.conllu#s134_0</t>
  </si>
  <si>
    <t>135</t>
  </si>
  <si>
    <t>afirmar</t>
  </si>
  <si>
    <t>Mas afirma-se afirma se que você &amp;quot;roubou &amp;quot; 1,7 milhões de documentos .</t>
  </si>
  <si>
    <t>file://conllu/pt/teddy-1319.conllu#s135_0</t>
  </si>
  <si>
    <t>136</t>
  </si>
  <si>
    <t>Parece que só algumas centenas deles de eles foram transmitidos a jornalistas até agora .</t>
  </si>
  <si>
    <t>file://conllu/pt/teddy-1319.conllu#s136_0</t>
  </si>
  <si>
    <t>137</t>
  </si>
  <si>
    <t>Há mais revelações para aparecer ?</t>
  </si>
  <si>
    <t>file://conllu/pt/teddy-1319.conllu#s137_0</t>
  </si>
  <si>
    <t>138</t>
  </si>
  <si>
    <t>ES : Realmente , existem mais informações para aparecer .</t>
  </si>
  <si>
    <t>file://conllu/pt/teddy-1319.conllu#s138_0</t>
  </si>
  <si>
    <t>139</t>
  </si>
  <si>
    <t>Mas eu penso que não há nenhuma questão mais importante que ainda venha a aparecer .</t>
  </si>
  <si>
    <t>file://conllu/pt/teddy-1319.conllu#s139_0</t>
  </si>
  <si>
    <t>140</t>
  </si>
  <si>
    <t>CA : Venha cá , porque quero fazer-lhe fazer lhe uma pergunta sobre esta revelação em especial .</t>
  </si>
  <si>
    <t>file://conllu/pt/teddy-1319.conllu#s140_0</t>
  </si>
  <si>
    <t>141</t>
  </si>
  <si>
    <t>vir</t>
  </si>
  <si>
    <t>Venha cá e dê uma olhadela nisto em isto .</t>
  </si>
  <si>
    <t>file://conllu/pt/teddy-1319.conllu#s141_0</t>
  </si>
  <si>
    <t>142</t>
  </si>
  <si>
    <t>ser (ser notícia)</t>
  </si>
  <si>
    <t>Esta é a notícia que , segundo penso , para a maioria dos de os técnicos nesta em esta sala é a coisa mais chocante que eles já ouviram nos em os últimos meses .</t>
  </si>
  <si>
    <t>file://conllu/pt/teddy-1319.conllu#s142_0</t>
  </si>
  <si>
    <t>143</t>
  </si>
  <si>
    <t>É sobre um programa chamado Bullrun .</t>
  </si>
  <si>
    <t>file://conllu/pt/teddy-1319.conllu#s143_0</t>
  </si>
  <si>
    <t>144</t>
  </si>
  <si>
    <t>Pode explicar do de o que se trata ?</t>
  </si>
  <si>
    <t>file://conllu/pt/teddy-1319.conllu#s144_0</t>
  </si>
  <si>
    <t>145</t>
  </si>
  <si>
    <t>ES : &amp;quot; Bullrun &amp;quot; e — mais uma vez , temos que agradecer à a a NSA a sua sinceridade — é um programa cujo nome corresponde a uma batalha da de a Guerra Civil .</t>
  </si>
  <si>
    <t>file://conllu/pt/teddy-1319.conllu#s145_0</t>
  </si>
  <si>
    <t>146</t>
  </si>
  <si>
    <t>chamar</t>
  </si>
  <si>
    <t>A contrapartida britânica chama-se chama se Edgehill , uma batalha da de a guerra civil no em o Reino Unido .</t>
  </si>
  <si>
    <t>file://conllu/pt/teddy-1319.conllu#s146_0</t>
  </si>
  <si>
    <t>147</t>
  </si>
  <si>
    <t>dar (dar acreditar)</t>
  </si>
  <si>
    <t>Acredito que lhe deram esse nome porque tem como alvo a nossa própria infraestrutura .</t>
  </si>
  <si>
    <t>file://conllu/pt/teddy-1319.conllu#s147_0</t>
  </si>
  <si>
    <t>148</t>
  </si>
  <si>
    <t>São programas através dos de os quais a NSA engana intencionalmente os parceiros empresariais .</t>
  </si>
  <si>
    <t>file://conllu/pt/teddy-1319.conllu#s148_0</t>
  </si>
  <si>
    <t>149</t>
  </si>
  <si>
    <t>Dizem aos a os parceiros empresariais que são padrões seguros .</t>
  </si>
  <si>
    <t>file://conllu/pt/teddy-1319.conllu#s149_0</t>
  </si>
  <si>
    <t>150</t>
  </si>
  <si>
    <t>Dizem que é preciso trabalhar em conjunto para proteger os sistemas , mas , na em a verdade , estão a dar um mau conselho a essas empresas , o que faz com que elas enfraqueçam a segurança dos de os seus serviços .</t>
  </si>
  <si>
    <t>file://conllu/pt/teddy-1319.conllu#s150_0</t>
  </si>
  <si>
    <t>151</t>
  </si>
  <si>
    <t>Estão a construir nos em os bastidores coisas que não é só a NSA que pode explorar mas qualquer um que tenha tempo e dinheiro para procurar e encontrar e depois pode usar para entrar no em o mundo das de as comunicações mundiais .</t>
  </si>
  <si>
    <t>file://conllu/pt/teddy-1319.conllu#s151_0</t>
  </si>
  <si>
    <t>152</t>
  </si>
  <si>
    <t>ser (ser perigoso)</t>
  </si>
  <si>
    <t>E isso é realmente muito perigoso porque , se perdermos um único padrão , se perdermos a confiança de uma coisa como o SSL , que foi o alvo específico do de o programa Bullrun , passamos a viver num em um mundo global menos seguro .</t>
  </si>
  <si>
    <t>file://conllu/pt/teddy-1319.conllu#s152_0</t>
  </si>
  <si>
    <t>153</t>
  </si>
  <si>
    <t>Não poderemos aceder aos a os nosso bancos e não poderemos aceder ao a o comércio sem nos em os preocuparmos quanto às a as pessoas que fiscalizam essas informações ou que as subvertem para os seus próprios fins .</t>
  </si>
  <si>
    <t>file://conllu/pt/teddy-1319.conllu#s153_0</t>
  </si>
  <si>
    <t>154</t>
  </si>
  <si>
    <t>CA : E essas decisões também podem abrir a América a ataques cibernéticos de outras origens ?</t>
  </si>
  <si>
    <t>file://conllu/pt/teddy-1319.conllu#s154_0</t>
  </si>
  <si>
    <t>155</t>
  </si>
  <si>
    <t>ES : Com toda a certeza .</t>
  </si>
  <si>
    <t>file://conllu/pt/teddy-1319.conllu#s155_0</t>
  </si>
  <si>
    <t>156</t>
  </si>
  <si>
    <t>Um dos de os problemas , uma das de as heranças perigosas que temos visto na em a era pós 11/Set , é que a NSA costuma usar dois chapéus .</t>
  </si>
  <si>
    <t>file://conllu/pt/teddy-1319.conllu#s156_0</t>
  </si>
  <si>
    <t>157</t>
  </si>
  <si>
    <t>Tem sido responsável pelas por as operações ofensivas , ou seja a pirataria , mas também tem sido responsável pelas por as operações defensivas , e habitualmente tem dado sempre prioridade à a a defesa sobre o ataque , baseando-se baseando se no em o princípio de que os segredos americanos valem mais , pura e simplesmente .</t>
  </si>
  <si>
    <t>file://conllu/pt/teddy-1319.conllu#s157_0</t>
  </si>
  <si>
    <t>158</t>
  </si>
  <si>
    <t>Se nós piratearmos uma empresa chinesa e roubarmos os seus segredos , se piratearmos um gabinete governamental em Berlim isso tem menos valor para o povo americano do de o que ter a garantia de que os chineses não podem ter acesso aos a os nossos segredos .</t>
  </si>
  <si>
    <t>file://conllu/pt/teddy-1319.conllu#s158_0</t>
  </si>
  <si>
    <t>159</t>
  </si>
  <si>
    <t>Por isso , ao a o reduzir a segurança das de as nossas comunicações , não só estão a colocar em risco o mundo , como estão a colocar em risco a América , porque a propriedade intelectual é a base , é o principio da de a nossa economia .</t>
  </si>
  <si>
    <t>file://conllu/pt/teddy-1319.conllu#s159_0</t>
  </si>
  <si>
    <t>160</t>
  </si>
  <si>
    <t>pagar</t>
  </si>
  <si>
    <t>Se a pusermos em risco através do de o enfraquecimento da de a segurança , vamos pagar por isso durante muitos anos .</t>
  </si>
  <si>
    <t>file://conllu/pt/teddy-1319.conllu#s160_0</t>
  </si>
  <si>
    <t>161</t>
  </si>
  <si>
    <t>CA : Mas eles fizeram um cálculo de que valia a pena fazer isso para a defesa da de a América contra o terrorismo .</t>
  </si>
  <si>
    <t>file://conllu/pt/teddy-1319.conllu#s161_0</t>
  </si>
  <si>
    <t>162</t>
  </si>
  <si>
    <t>ser (ser preço)</t>
  </si>
  <si>
    <t>Sem dúvida que isso é um preço que vale a pena pagar .</t>
  </si>
  <si>
    <t>file://conllu/pt/teddy-1319.conllu#s162_0</t>
  </si>
  <si>
    <t>163</t>
  </si>
  <si>
    <t>ES : Bem , quando olhamos para os resultados desses de esses programas para acabar com o terrorismo , vemos que eles não têm fundamento , e não precisam de acreditar na em a minha palavra porque tivemos a primeira audiência aberta , o primeiro tribunal federal que analisou isso , fora dos de os acordos secretos , que classificou esses programas de orwellianos e provavelmente inconstitucionais .</t>
  </si>
  <si>
    <t>file://conllu/pt/teddy-1319.conllu#s163_0</t>
  </si>
  <si>
    <t>164</t>
  </si>
  <si>
    <t>Congresso</t>
  </si>
  <si>
    <t>Congresso , que acabou por ser informado sobre essas coisas — e agora deseja continuar a ser — produziu projetos de lei para reformar isso .</t>
  </si>
  <si>
    <t>file://conllu/pt/teddy-1319.conllu#s164_0</t>
  </si>
  <si>
    <t>165</t>
  </si>
  <si>
    <t>Dois painéis independentes da de a Casa Branca , que verificaram todas as provas confidenciais , disseram que esses programas nunca impediram um único ataque terrorista que estivesse prestes a acontecer nos em os Estados Unidos .</t>
  </si>
  <si>
    <t>file://conllu/pt/teddy-1319.conllu#s165_0</t>
  </si>
  <si>
    <t>166</t>
  </si>
  <si>
    <t>ser (ser terrorismo)</t>
  </si>
  <si>
    <t>Então , é realmente o terrorismo que estamos a evitar ?</t>
  </si>
  <si>
    <t>file://conllu/pt/teddy-1319.conllu#s166_0</t>
  </si>
  <si>
    <t>167</t>
  </si>
  <si>
    <t>Esses programas têm algum valor ?</t>
  </si>
  <si>
    <t>file://conllu/pt/teddy-1319.conllu#s167_0</t>
  </si>
  <si>
    <t>168</t>
  </si>
  <si>
    <t>dizer (dizer dizer)</t>
  </si>
  <si>
    <t>Eu digo que não , e os três ramos do de o governo americano também dizem que não .</t>
  </si>
  <si>
    <t>file://conllu/pt/teddy-1319.conllu#s168_0</t>
  </si>
  <si>
    <t>169</t>
  </si>
  <si>
    <t>CA : Você acha que eles têm uma motivação mais profunda do de o que a guerra contra o terrorismo ?</t>
  </si>
  <si>
    <t>file://conllu/pt/teddy-1319.conllu#s169_0</t>
  </si>
  <si>
    <t>170</t>
  </si>
  <si>
    <t>ES : Desculpe , não ouvi , pode repetir ?</t>
  </si>
  <si>
    <t>file://conllu/pt/teddy-1319.conllu#s170_0</t>
  </si>
  <si>
    <t>171</t>
  </si>
  <si>
    <t>CA : Desculpe .</t>
  </si>
  <si>
    <t>file://conllu/pt/teddy-1319.conllu#s171_0</t>
  </si>
  <si>
    <t>172</t>
  </si>
  <si>
    <t>Pensa que eles têm ES : Sim .</t>
  </si>
  <si>
    <t>file://conllu/pt/teddy-1319.conllu#s172_0</t>
  </si>
  <si>
    <t>173</t>
  </si>
  <si>
    <t>ponto de partida é que o terrorismo tem sido sempre o que nós , no em o mundo das de as informações , chamamos uma &amp;quot; cobertura para a ação &amp;quot; .</t>
  </si>
  <si>
    <t>file://conllu/pt/teddy-1319.conllu#s173_0</t>
  </si>
  <si>
    <t>174</t>
  </si>
  <si>
    <t>ser (ser coisa)</t>
  </si>
  <si>
    <t>terrorismo é uma coisa que provoca uma resposta emocional que permite que as pessoas racionalizem a autorização de poderes e programas que não concederiam de outro modo , programas do de o tipo do de o Bullrun e do de o Edgehill .</t>
  </si>
  <si>
    <t>file://conllu/pt/teddy-1319.conllu#s174_0</t>
  </si>
  <si>
    <t>175</t>
  </si>
  <si>
    <t>pedir</t>
  </si>
  <si>
    <t>A NSA pediu esses poderes nos em os anos 90 .</t>
  </si>
  <si>
    <t>file://conllu/pt/teddy-1319.conllu#s175_0</t>
  </si>
  <si>
    <t>176</t>
  </si>
  <si>
    <t>defender (defender pedir)</t>
  </si>
  <si>
    <t>Pediram ao a o FBI para ir ao a o Congresso e defender a ideia .</t>
  </si>
  <si>
    <t>file://conllu/pt/teddy-1319.conllu#s176_0</t>
  </si>
  <si>
    <t>177</t>
  </si>
  <si>
    <t>FBI foi a Congresso e defendeu a ideia , mas o Congresso e o povo americano disseram que não .</t>
  </si>
  <si>
    <t>file://conllu/pt/teddy-1319.conllu#s177_0</t>
  </si>
  <si>
    <t>178</t>
  </si>
  <si>
    <t>Disseram que não compensava o risco para a economia .</t>
  </si>
  <si>
    <t>file://conllu/pt/teddy-1319.conllu#s178_0</t>
  </si>
  <si>
    <t>179</t>
  </si>
  <si>
    <t>Disseram que os prejuízos para a sociedade eram demasiado grandes para justificar os ganhos .</t>
  </si>
  <si>
    <t>file://conllu/pt/teddy-1319.conllu#s179_0</t>
  </si>
  <si>
    <t>180</t>
  </si>
  <si>
    <t>usar (usar usar)</t>
  </si>
  <si>
    <t>Mas o que vimos na em a era pós 11/Set foi que usaram o sigilo e usaram a justificação do de o terrorismo para iniciar esses programas em segredo sem solicitar autorização do de o Congresso , sem perguntar ao a o povo americano .</t>
  </si>
  <si>
    <t>file://conllu/pt/teddy-1319.conllu#s180_0</t>
  </si>
  <si>
    <t>181</t>
  </si>
  <si>
    <t>É contra este tipo de governo de bastidores que nós precisamos de lutar , porque diminui a nossa segurança e não oferece nenhum valor em troca .</t>
  </si>
  <si>
    <t>file://conllu/pt/teddy-1319.conllu#s181_0</t>
  </si>
  <si>
    <t>182</t>
  </si>
  <si>
    <t>CA : Ok , venha aqui por um segundo porque tenho uma pergunta mais pessoal para si , falando de terrorismo .</t>
  </si>
  <si>
    <t>file://conllu/pt/teddy-1319.conllu#s182_0</t>
  </si>
  <si>
    <t>183</t>
  </si>
  <si>
    <t>A maioria das de as pessoas acharia a situação em que você se encontra agora , na em a Rússia , bastante assustadora .</t>
  </si>
  <si>
    <t>file://conllu/pt/teddy-1319.conllu#s183_0</t>
  </si>
  <si>
    <t>184</t>
  </si>
  <si>
    <t>Obviamente você soube o que aconteceu , qual o tratamento que teve Bradley Manning , que agora se chama Chelsea Manning , e há um artigo no em o Buzzfeed que diz que há pessoas na em a comunidade das de as informações que querem vê-lo vê lo morto .</t>
  </si>
  <si>
    <t>file://conllu/pt/teddy-1319.conllu#s184_0</t>
  </si>
  <si>
    <t>185</t>
  </si>
  <si>
    <t>encarar</t>
  </si>
  <si>
    <t>Como é que encara isso ?</t>
  </si>
  <si>
    <t>file://conllu/pt/teddy-1319.conllu#s185_0</t>
  </si>
  <si>
    <t>186</t>
  </si>
  <si>
    <t>Como é que se está a dar com o medo ?</t>
  </si>
  <si>
    <t>file://conllu/pt/teddy-1319.conllu#s186_0</t>
  </si>
  <si>
    <t>187</t>
  </si>
  <si>
    <t>ES :</t>
  </si>
  <si>
    <t>file://conllu/pt/teddy-1319.conllu#s187_0</t>
  </si>
  <si>
    <t>188</t>
  </si>
  <si>
    <t>ser (ser mistério)</t>
  </si>
  <si>
    <t>Não é nenhum mistério que há governos por aí que querem ver-me ver me morto .</t>
  </si>
  <si>
    <t>file://conllu/pt/teddy-1319.conllu#s188_0</t>
  </si>
  <si>
    <t>189</t>
  </si>
  <si>
    <t>deixar</t>
  </si>
  <si>
    <t>Eu deixei claro , vezes sem conta , que adormeço todos os dias a pensar no em o que é que posso fazer pelo por o povo americano .</t>
  </si>
  <si>
    <t>file://conllu/pt/teddy-1319.conllu#s189_0</t>
  </si>
  <si>
    <t>190</t>
  </si>
  <si>
    <t>Não quero prejudicar o meu governo .</t>
  </si>
  <si>
    <t>file://conllu/pt/teddy-1319.conllu#s190_0</t>
  </si>
  <si>
    <t>191</t>
  </si>
  <si>
    <t>ajudar (ajudar querer)</t>
  </si>
  <si>
    <t>Quero ajudar o meu governo .</t>
  </si>
  <si>
    <t>file://conllu/pt/teddy-1319.conllu#s191_0</t>
  </si>
  <si>
    <t>192</t>
  </si>
  <si>
    <t>28</t>
  </si>
  <si>
    <t>Mas o facto de eles estarem dispostos a ignorar totalmente os procedimentos devidos , de estarem dispostos a declarar-me declarar me culpado sem sequer existir um julgamento , são coisas contra as quais temos que lutar enquanto sociedade , e dizer &amp;quot; isso não é apropriado &amp;quot; .</t>
  </si>
  <si>
    <t>file://conllu/pt/teddy-1319.conllu#s192_0</t>
  </si>
  <si>
    <t>193</t>
  </si>
  <si>
    <t>Não devíamos ameaçar dissidentes .</t>
  </si>
  <si>
    <t>file://conllu/pt/teddy-1319.conllu#s193_0</t>
  </si>
  <si>
    <t>194</t>
  </si>
  <si>
    <t>Não devíamos criminalizar o jornalismo .</t>
  </si>
  <si>
    <t>file://conllu/pt/teddy-1319.conllu#s194_0</t>
  </si>
  <si>
    <t>195</t>
  </si>
  <si>
    <t>E tudo o que eu puder fazer para acabar com isso , fá-lo-ei com todo o gosto , apesar dos de os riscos .</t>
  </si>
  <si>
    <t>file://conllu/pt/teddy-1319.conllu#s195_0</t>
  </si>
  <si>
    <t>196</t>
  </si>
  <si>
    <t>CA : Gostava de obter algum feedback desta de esta audiência porque sei que há reações muito diversas em relação a Edward Snowden .</t>
  </si>
  <si>
    <t>file://conllu/pt/teddy-1319.conllu#s196_0</t>
  </si>
  <si>
    <t>197</t>
  </si>
  <si>
    <t>Suponhar</t>
  </si>
  <si>
    <t>Suponham que têm as duas opções seguintes , ok ?</t>
  </si>
  <si>
    <t>file://conllu/pt/teddy-1319.conllu#s197_0</t>
  </si>
  <si>
    <t>198</t>
  </si>
  <si>
    <t>considerar</t>
  </si>
  <si>
    <t>Consideram o que ele fez como um ato que , essencialmente , pôs em perigo a América ou consideram-no consideram no como um ato essencialmente heroico que pode ajudar a América e o bem mundial a longo prazo ?</t>
  </si>
  <si>
    <t>file://conllu/pt/teddy-1319.conllu#s198_0</t>
  </si>
  <si>
    <t>199</t>
  </si>
  <si>
    <t>ser (ser opção)</t>
  </si>
  <si>
    <t>São as duas opções que vos dou .</t>
  </si>
  <si>
    <t>file://conllu/pt/teddy-1319.conllu#s199_0</t>
  </si>
  <si>
    <t>200</t>
  </si>
  <si>
    <t>Tenho curiosidade em ver quem está disposto a votar pela por a primeira , ou seja , que é um ato irrefletido ?</t>
  </si>
  <si>
    <t>file://conllu/pt/teddy-1319.conllu#s200_0</t>
  </si>
  <si>
    <t>201</t>
  </si>
  <si>
    <t>Há algumas mãos no em o ar .</t>
  </si>
  <si>
    <t>file://conllu/pt/teddy-1319.conllu#s201_0</t>
  </si>
  <si>
    <t>202</t>
  </si>
  <si>
    <t>mão</t>
  </si>
  <si>
    <t>Algumas mãos no em o ar .</t>
  </si>
  <si>
    <t>file://conllu/pt/teddy-1319.conllu#s202_0</t>
  </si>
  <si>
    <t>203</t>
  </si>
  <si>
    <t>ser (ser difícil)</t>
  </si>
  <si>
    <t>É difícil pôr a mão no em o ar quando o homem está mesmo aqui à a a nossa frente , mas eu estou a vê-las vê las .</t>
  </si>
  <si>
    <t>file://conllu/pt/teddy-1319.conllu#s203_0</t>
  </si>
  <si>
    <t>204</t>
  </si>
  <si>
    <t>file://conllu/pt/teddy-1319.conllu#s204_0</t>
  </si>
  <si>
    <t>205</t>
  </si>
  <si>
    <t>vejo</t>
  </si>
  <si>
    <t>Eu também vejo .</t>
  </si>
  <si>
    <t>file://conllu/pt/teddy-1319.conllu#s205_0</t>
  </si>
  <si>
    <t>206</t>
  </si>
  <si>
    <t>CA : E quem está a favor da de a segunda opção , ou seja , um ato essencialmente heroico ?</t>
  </si>
  <si>
    <t>file://conllu/pt/teddy-1319.conllu#s206_0</t>
  </si>
  <si>
    <t>207</t>
  </si>
  <si>
    <t>Penso que é correto dizer que há muitas pessoas que não levantaram a mão .</t>
  </si>
  <si>
    <t>file://conllu/pt/teddy-1319.conllu#s207_0</t>
  </si>
  <si>
    <t>208</t>
  </si>
  <si>
    <t>Acho que ainda estão a pensar porque me parece que o debate à a a sua volta não se divide de acordo com as tradicionais linhas políticas .</t>
  </si>
  <si>
    <t>file://conllu/pt/teddy-1319.conllu#s208_0</t>
  </si>
  <si>
    <t>209</t>
  </si>
  <si>
    <t>Não é uma questão de esquerda ou de direita , não se trata de ser pró-governo , libertário , ou não .</t>
  </si>
  <si>
    <t>file://conllu/pt/teddy-1319.conllu#s209_0</t>
  </si>
  <si>
    <t>210</t>
  </si>
  <si>
    <t>Parte dela de ela é quase uma questão geracional .</t>
  </si>
  <si>
    <t>file://conllu/pt/teddy-1319.conllu#s210_0</t>
  </si>
  <si>
    <t>211</t>
  </si>
  <si>
    <t>Fazemos parte de uma geração que cresceu com a Internet , e parece que nos em os ofendemos a um nível quase visceral quando vemos fazer qualquer coisa que achamos vai prejudicar a Internet .</t>
  </si>
  <si>
    <t>file://conllu/pt/teddy-1319.conllu#s211_0</t>
  </si>
  <si>
    <t>212</t>
  </si>
  <si>
    <t>Haverá nisto em isto alguma verdade ?</t>
  </si>
  <si>
    <t>file://conllu/pt/teddy-1319.conllu#s212_0</t>
  </si>
  <si>
    <t>213</t>
  </si>
  <si>
    <t>ES : Há .</t>
  </si>
  <si>
    <t>file://conllu/pt/teddy-1319.conllu#s213_0</t>
  </si>
  <si>
    <t>214</t>
  </si>
  <si>
    <t>Acho que é verdade .</t>
  </si>
  <si>
    <t>file://conllu/pt/teddy-1319.conllu#s214_0</t>
  </si>
  <si>
    <t>215</t>
  </si>
  <si>
    <t>Isto não é uma questão de esquerda ou de direita .</t>
  </si>
  <si>
    <t>file://conllu/pt/teddy-1319.conllu#s215_0</t>
  </si>
  <si>
    <t>216</t>
  </si>
  <si>
    <t>As nossas liberdades básicas — e quando digo nossas , não me refiro apenas aos a os americanos , refiro-me refiro me a todas as pessoas no em o mundo — não são uma questão partidária .</t>
  </si>
  <si>
    <t>file://conllu/pt/teddy-1319.conllu#s216_0</t>
  </si>
  <si>
    <t>217</t>
  </si>
  <si>
    <t>São coisas em que toda a gente acredita , e cabe-nos cabe nos a todos nós protegê-las protegê las , e às a as pessoas que viram e beneficiaram de uma Internet livre e aberta .</t>
  </si>
  <si>
    <t>file://conllu/pt/teddy-1319.conllu#s217_0</t>
  </si>
  <si>
    <t>219</t>
  </si>
  <si>
    <t>E se?</t>
  </si>
  <si>
    <t>mudar</t>
  </si>
  <si>
    <t>E se não mudarmos as coisas , se não nos em os erguermos para fazer as mudanças que é preciso fazer para manter uma Internet segura , não apenas para nós , mas para toda a gente , vamos perder isso .</t>
  </si>
  <si>
    <t>file://conllu/pt/teddy-1319.conllu#s219_0</t>
  </si>
  <si>
    <t>220</t>
  </si>
  <si>
    <t>ser (ser perda)</t>
  </si>
  <si>
    <t>Seria uma perda terrível , não só para nós , mas para o mundo inteiro .</t>
  </si>
  <si>
    <t>file://conllu/pt/teddy-1319.conllu#s220_0</t>
  </si>
  <si>
    <t>221</t>
  </si>
  <si>
    <t>CA : Bem , há pouco tempo ouvi um palavreado semelhante ao a o fundador da de a wide web mundial , que , segundo penso , está aqui presente :</t>
  </si>
  <si>
    <t>file://conllu/pt/teddy-1319.conllu#s221_0</t>
  </si>
  <si>
    <t>222</t>
  </si>
  <si>
    <t>Sir</t>
  </si>
  <si>
    <t>Sir Tim Berners-Lee .</t>
  </si>
  <si>
    <t>file://conllu/pt/teddy-1319.conllu#s222_0</t>
  </si>
  <si>
    <t>223</t>
  </si>
  <si>
    <t>Tim , quer vir aqui e dizer — arranjam um microfone para Tim ?</t>
  </si>
  <si>
    <t>file://conllu/pt/teddy-1319.conllu#s223_0</t>
  </si>
  <si>
    <t>224</t>
  </si>
  <si>
    <t>prazer</t>
  </si>
  <si>
    <t>Tim , prazer em vê-lo vê lo .</t>
  </si>
  <si>
    <t>file://conllu/pt/teddy-1319.conllu#s224_0</t>
  </si>
  <si>
    <t>225</t>
  </si>
  <si>
    <t>Venha cá acima .</t>
  </si>
  <si>
    <t>file://conllu/pt/teddy-1319.conllu#s225_0</t>
  </si>
  <si>
    <t>226</t>
  </si>
  <si>
    <t>propósito</t>
  </si>
  <si>
    <t>A propósito , em que campo se situa , traidor , herói ?</t>
  </si>
  <si>
    <t>file://conllu/pt/teddy-1319.conllu#s226_0</t>
  </si>
  <si>
    <t>227</t>
  </si>
  <si>
    <t>Eu tenho uma teoria , mas ...</t>
  </si>
  <si>
    <t>file://conllu/pt/teddy-1319.conllu#s227_0</t>
  </si>
  <si>
    <t>228</t>
  </si>
  <si>
    <t>Tim</t>
  </si>
  <si>
    <t>Tim Berners-Lee :</t>
  </si>
  <si>
    <t>file://conllu/pt/teddy-1319.conllu#s228_0</t>
  </si>
  <si>
    <t>229</t>
  </si>
  <si>
    <t>Podia dar uma resposta muito mais longa , mas ... &amp;quot; herói &amp;quot; , já que sou obrigado a escolher entre as duas .</t>
  </si>
  <si>
    <t>file://conllu/pt/teddy-1319.conllu#s229_0</t>
  </si>
  <si>
    <t>230</t>
  </si>
  <si>
    <t>CA : Ed , acho que leu a proposta de que Sir</t>
  </si>
  <si>
    <t>file://conllu/pt/teddy-1319.conllu#s230_0</t>
  </si>
  <si>
    <t>231</t>
  </si>
  <si>
    <t>recuperar (recuperar falar)</t>
  </si>
  <si>
    <t>Tim falou sobre uma nova Magna Carta para recuperar a Internet .</t>
  </si>
  <si>
    <t>file://conllu/pt/teddy-1319.conllu#s231_0</t>
  </si>
  <si>
    <t>232</t>
  </si>
  <si>
    <t>Acha que é uma coisa que faz sentido ?</t>
  </si>
  <si>
    <t>file://conllu/pt/teddy-1319.conllu#s232_0</t>
  </si>
  <si>
    <t>233</t>
  </si>
  <si>
    <t>ES : Obviamente .</t>
  </si>
  <si>
    <t>file://conllu/pt/teddy-1319.conllu#s233_0</t>
  </si>
  <si>
    <t>234</t>
  </si>
  <si>
    <t>geração</t>
  </si>
  <si>
    <t>A minha geração ...</t>
  </si>
  <si>
    <t>file://conllu/pt/teddy-1319.conllu#s234_0</t>
  </si>
  <si>
    <t>235</t>
  </si>
  <si>
    <t>crescer</t>
  </si>
  <si>
    <t>Eu não cresci a pensar na em a Internet , eu cresci dentro da de a Internet e , embora não estivesse à a a espera de ter a hipótese de defendê-la defendê la de modo tão direto e prático e corporizá-la corporizá la deste de este modo invulgar , quase avatar , acho que há algo de poético no em o facto de um dos de os filhos da de a Internet se ter tornado íntimo da de a Internet em consequência da de a sua expressão política .</t>
  </si>
  <si>
    <t>file://conllu/pt/teddy-1319.conllu#s235_0</t>
  </si>
  <si>
    <t>236</t>
  </si>
  <si>
    <t>E acho que uma Magna Carta para a Internet é exatamente aquilo de que precisamos .</t>
  </si>
  <si>
    <t>file://conllu/pt/teddy-1319.conllu#s236_0</t>
  </si>
  <si>
    <t>237</t>
  </si>
  <si>
    <t>Precisamos de um código para os nossos valores não apenas por escrito mas inserido na em a estrutura da de a Internet , e é uma coisa que desejo .</t>
  </si>
  <si>
    <t>file://conllu/pt/teddy-1319.conllu#s237_0</t>
  </si>
  <si>
    <t>238</t>
  </si>
  <si>
    <t>audiência</t>
  </si>
  <si>
    <t>Convido toda a audiência , não apenas aqui em Vancouver , mas em todo o mundo , a aderir e a participar .</t>
  </si>
  <si>
    <t>file://conllu/pt/teddy-1319.conllu#s238_0</t>
  </si>
  <si>
    <t>239</t>
  </si>
  <si>
    <t>CA : Tem alguma pergunta a fazer a Ed? TBL :</t>
  </si>
  <si>
    <t>file://conllu/pt/teddy-1319.conllu#s239_0</t>
  </si>
  <si>
    <t>240</t>
  </si>
  <si>
    <t>Duas perguntas , uma pergunta de ordem geral ... CA : Ed , ainda está a ouvir-nos ouvir nos ?</t>
  </si>
  <si>
    <t>file://conllu/pt/teddy-1319.conllu#s240_0</t>
  </si>
  <si>
    <t>241</t>
  </si>
  <si>
    <t>ES : Estou , estou a ouvir .</t>
  </si>
  <si>
    <t>file://conllu/pt/teddy-1319.conllu#s241_0</t>
  </si>
  <si>
    <t>242</t>
  </si>
  <si>
    <t>CA : Oh , já voltou .</t>
  </si>
  <si>
    <t>file://conllu/pt/teddy-1319.conllu#s242_0</t>
  </si>
  <si>
    <t>243</t>
  </si>
  <si>
    <t>TBL : A escuta na em a sua linha teve uma pequena interferência por momentos .</t>
  </si>
  <si>
    <t>file://conllu/pt/teddy-1319.conllu#s243_0</t>
  </si>
  <si>
    <t>244</t>
  </si>
  <si>
    <t>ES : É um pouco problemático com a NSA .</t>
  </si>
  <si>
    <t>file://conllu/pt/teddy-1319.conllu#s244_0</t>
  </si>
  <si>
    <t>245</t>
  </si>
  <si>
    <t>olhar</t>
  </si>
  <si>
    <t>TBL : Ao A o longo destes de estes 25 anos , olhando para trás e refletindo , o que é que acha que será o melhor que podemos conseguir de todos os debates que temos tido sobre a web que queremos ?</t>
  </si>
  <si>
    <t>file://conllu/pt/teddy-1319.conllu#s245_0</t>
  </si>
  <si>
    <t>246</t>
  </si>
  <si>
    <t>file://conllu/pt/teddy-1319.conllu#s246_0</t>
  </si>
  <si>
    <t>247</t>
  </si>
  <si>
    <t>Se pensarmos até onde podemos chegar , penso que é uma questão que só está limitada pelo por o que estamos dispostos a aceitar .</t>
  </si>
  <si>
    <t>file://conllu/pt/teddy-1319.conllu#s247_0</t>
  </si>
  <si>
    <t>248</t>
  </si>
  <si>
    <t>Penso que a Internet de que beneficiámos no em o passado é exatamente aquilo de que precisamos , não só enquanto nação , mas para as pessoas do de o mundo inteiro .</t>
  </si>
  <si>
    <t>file://conllu/pt/teddy-1319.conllu#s248_0</t>
  </si>
  <si>
    <t>249</t>
  </si>
  <si>
    <t>envolver</t>
  </si>
  <si>
    <t>E , cooperando , envolvendo não só as partes técnicas da de a sociedade mas , como você disse , os utilizadores .</t>
  </si>
  <si>
    <t>file://conllu/pt/teddy-1319.conllu#s249_0</t>
  </si>
  <si>
    <t>250</t>
  </si>
  <si>
    <t>pessoa</t>
  </si>
  <si>
    <t>as pessoas do de o mundo inteiro que contribuem através da de a Internet , através das de as redes sociais , as que apenas verificam o tempo , as que confiam nela em ela todos os dias , como fazendo parte da de a sua vida , para defender isso .</t>
  </si>
  <si>
    <t>file://conllu/pt/teddy-1319.conllu#s250_0</t>
  </si>
  <si>
    <t>251</t>
  </si>
  <si>
    <t>obter</t>
  </si>
  <si>
    <t>Não só obteremos a Internet que tínhamos , mas uma Internet melhor , ainda melhor , uma coisa que podemos usar para construir um futuro que será melhor não apenas do de o que esperávamos mas melhor do de o que podíamos imaginar .</t>
  </si>
  <si>
    <t>file://conllu/pt/teddy-1319.conllu#s251_0</t>
  </si>
  <si>
    <t>252</t>
  </si>
  <si>
    <t>CA : Há 30 anos que foi fundada a TED , em 1984 .</t>
  </si>
  <si>
    <t>file://conllu/pt/teddy-1319.conllu#s252_0</t>
  </si>
  <si>
    <t>253</t>
  </si>
  <si>
    <t>Desde então tem havido muitas conversas sempre orientadas na em a linha de que George Orwell afinal estava errado .</t>
  </si>
  <si>
    <t>file://conllu/pt/teddy-1319.conllu#s253_0</t>
  </si>
  <si>
    <t>254</t>
  </si>
  <si>
    <t>Não é o Big Brother que nos em os está a vigiar .</t>
  </si>
  <si>
    <t>file://conllu/pt/teddy-1319.conllu#s254_0</t>
  </si>
  <si>
    <t>255</t>
  </si>
  <si>
    <t>ser (ser nós)</t>
  </si>
  <si>
    <t>Somos nós , pelo por o poder da de a web e da de a transparência , que estamos a vigiar o Big Brother .</t>
  </si>
  <si>
    <t>file://conllu/pt/teddy-1319.conllu#s255_0</t>
  </si>
  <si>
    <t>256</t>
  </si>
  <si>
    <t>ser (ser estaca)</t>
  </si>
  <si>
    <t>As suas revelações foram como uma estaca cravada no em o coração dessa de essa perspetiva bastante otimista , mas você ainda acredita que há forma de fazer algo sobre isso .</t>
  </si>
  <si>
    <t>file://conllu/pt/teddy-1319.conllu#s256_0</t>
  </si>
  <si>
    <t>257</t>
  </si>
  <si>
    <t>você</t>
  </si>
  <si>
    <t>E você também .</t>
  </si>
  <si>
    <t>file://conllu/pt/teddy-1319.conllu#s257_0</t>
  </si>
  <si>
    <t>258</t>
  </si>
  <si>
    <t>reconhecer</t>
  </si>
  <si>
    <t>ES : Certo , há que reconhecer que os poderes do de o Big Brother aumentaram imenso .</t>
  </si>
  <si>
    <t>file://conllu/pt/teddy-1319.conllu#s258_0</t>
  </si>
  <si>
    <t>259</t>
  </si>
  <si>
    <t>aparecer</t>
  </si>
  <si>
    <t>Apareceu recentemente um artigo em Yale que estabeleceu uma coisa chamada o Princípio de Bankston-Soltani , que diz que a nossa expetativa de privacidade é violada quando a capacidade de vigilância do de o governo se torna inferior numa em uma ordem de grandeza , e , cada vez que isso acontece , precisamos de rever e de reequilibrar os nossos direitos de privacidade .</t>
  </si>
  <si>
    <t>file://conllu/pt/teddy-1319.conllu#s259_0</t>
  </si>
  <si>
    <t>260</t>
  </si>
  <si>
    <t>acontecer</t>
  </si>
  <si>
    <t>Ora , isso não tem acontecido desde que os poderes aumentaram vários graus de grandeza , e é por isso que nos em os deparamos agora com este problema mas ainda há esperança , porque o poder dos de os indivíduos também tem aumentado através da de a tecnologia .</t>
  </si>
  <si>
    <t>file://conllu/pt/teddy-1319.conllu#s260_0</t>
  </si>
  <si>
    <t>261</t>
  </si>
  <si>
    <t>ser (ser prova)</t>
  </si>
  <si>
    <t>Eu sou uma prova viva de que um indivíduo pode erguer-se erguer se em pé de igualdade contra os adversários mais poderosos e contra as mais poderosas organizações de informações em todo o mundo , e ganhar .</t>
  </si>
  <si>
    <t>file://conllu/pt/teddy-1319.conllu#s261_0</t>
  </si>
  <si>
    <t>262</t>
  </si>
  <si>
    <t>E penso que isso é uma coisa que nos em os permite ter esperança Precisamos de construi-la construi la para torná-la torná la acessível , não apenas aos a os especialistas técnicos , mas ao a o cidadão ordinário no em o mundo inteiro .</t>
  </si>
  <si>
    <t>file://conllu/pt/teddy-1319.conllu#s262_0</t>
  </si>
  <si>
    <t>263</t>
  </si>
  <si>
    <t>ser (ser crime)</t>
  </si>
  <si>
    <t>jornalismo não é um crime , a comunicação não é um crime , e não devemos ser vigiados nas em as nossas atividades quotidianas .</t>
  </si>
  <si>
    <t>file://conllu/pt/teddy-1319.conllu#s263_0</t>
  </si>
  <si>
    <t>264</t>
  </si>
  <si>
    <t>CA : Não sei muito bem como se aperta a mão a um robô .</t>
  </si>
  <si>
    <t>file://conllu/pt/teddy-1319.conllu#s264_0</t>
  </si>
  <si>
    <t>265</t>
  </si>
  <si>
    <t>julgar</t>
  </si>
  <si>
    <t>mas julgo que a mão está aqui .</t>
  </si>
  <si>
    <t>file://conllu/pt/teddy-1319.conllu#s265_0</t>
  </si>
  <si>
    <t>266</t>
  </si>
  <si>
    <t>Tbl</t>
  </si>
  <si>
    <t>TBL : Em breve aparecerá .</t>
  </si>
  <si>
    <t>file://conllu/pt/teddy-1319.conllu#s266_0</t>
  </si>
  <si>
    <t>267</t>
  </si>
  <si>
    <t>ser (ser prazer)</t>
  </si>
  <si>
    <t>ES : Foi um prazer conhecê-los conhecê los , e espero que a minha imagem seja tão boa como a que eu tenho de todos vós .</t>
  </si>
  <si>
    <t>file://conllu/pt/teddy-1319.conllu#s267_0</t>
  </si>
  <si>
    <t>268</t>
  </si>
  <si>
    <t>CA : Obrigado , Tim .</t>
  </si>
  <si>
    <t>file://conllu/pt/teddy-1319.conllu#s268_0</t>
  </si>
  <si>
    <t>269</t>
  </si>
  <si>
    <t>New York Times recentemente pediu uma amnistia para si .</t>
  </si>
  <si>
    <t>file://conllu/pt/teddy-1319.conllu#s269_0</t>
  </si>
  <si>
    <t>270</t>
  </si>
  <si>
    <t>Gostaria de ter hipótese de voltar à a a América ?</t>
  </si>
  <si>
    <t>file://conllu/pt/teddy-1319.conllu#s270_0</t>
  </si>
  <si>
    <t>271</t>
  </si>
  <si>
    <t>ES : Claro .</t>
  </si>
  <si>
    <t>file://conllu/pt/teddy-1319.conllu#s271_0</t>
  </si>
  <si>
    <t>273</t>
  </si>
  <si>
    <t>Penso que é uma coisa que deve ser o público a decidir .</t>
  </si>
  <si>
    <t>file://conllu/pt/teddy-1319.conllu#s273_0</t>
  </si>
  <si>
    <t>274</t>
  </si>
  <si>
    <t>querer (querer entender dar)</t>
  </si>
  <si>
    <t>Mas , ao a o mesmo tempo , o governo deu a entender que quer uma espécie de acordo , quer que eu comprometa os jornalistas com quem tenho estado a trabalhar , para poder voltar .</t>
  </si>
  <si>
    <t>file://conllu/pt/teddy-1319.conllu#s274_0</t>
  </si>
  <si>
    <t>275</t>
  </si>
  <si>
    <t>Quero deixar muito claro que não fiz isto para ficar em segurança .</t>
  </si>
  <si>
    <t>file://conllu/pt/teddy-1319.conllu#s275_0</t>
  </si>
  <si>
    <t>276</t>
  </si>
  <si>
    <t>Fiz isto para fazer o que estava certo , e não vou parar com o meu trabalho do de o interesse do de o público só para tirar daí de aí benefícios .</t>
  </si>
  <si>
    <t>file://conllu/pt/teddy-1319.conllu#s276_0</t>
  </si>
  <si>
    <t>277</t>
  </si>
  <si>
    <t>CA : Entretanto , graças à a a Internet e a esta tecnologia , você voltou aqui , à a a América do de o Norte , não propriamente aos a os EUA , mas ao a o Canadá , sob esta forma .</t>
  </si>
  <si>
    <t>file://conllu/pt/teddy-1319.conllu#s277_0</t>
  </si>
  <si>
    <t>278</t>
  </si>
  <si>
    <t>sinto</t>
  </si>
  <si>
    <t>Sinto curiosidade , qual é a sensação ?</t>
  </si>
  <si>
    <t>file://conllu/pt/teddy-1319.conllu#s278_0</t>
  </si>
  <si>
    <t>279</t>
  </si>
  <si>
    <t>ES : Canadá é diferente do de o que eu esperava .</t>
  </si>
  <si>
    <t>file://conllu/pt/teddy-1319.conllu#s279_0</t>
  </si>
  <si>
    <t>280</t>
  </si>
  <si>
    <t>ser (ser quente)</t>
  </si>
  <si>
    <t>É muito mais quente .</t>
  </si>
  <si>
    <t>file://conllu/pt/teddy-1319.conllu#s280_0</t>
  </si>
  <si>
    <t>281</t>
  </si>
  <si>
    <t>ser (ser ideia)</t>
  </si>
  <si>
    <t>CA : No Em o TED , a missão é &amp;quot; ideias que vale a pena espalhar &amp;quot; .</t>
  </si>
  <si>
    <t>file://conllu/pt/teddy-1319.conllu#s281_0</t>
  </si>
  <si>
    <t>282</t>
  </si>
  <si>
    <t>conseguir</t>
  </si>
  <si>
    <t>Se conseguisse resumir isso numa em uma única ideia , qual é a sua ideia que vale a pena espalhar neste em este preciso momento ?</t>
  </si>
  <si>
    <t>file://conllu/pt/teddy-1319.conllu#s282_0</t>
  </si>
  <si>
    <t>283</t>
  </si>
  <si>
    <t>ES : Diria que o ano passado foi uma chamada de atenção para o facto de a democracia poder morrer por detrás de portas fechadas , mas nós , enquanto indivíduos , nascemos por detrás dessas de essas mesmas portas fechadas , e não temos que abdicar da de a nossa privacidade para termos um bom governo .</t>
  </si>
  <si>
    <t>file://conllu/pt/teddy-1319.conllu#s283_0</t>
  </si>
  <si>
    <t>284</t>
  </si>
  <si>
    <t>Não temos que abdicar da de a nossa liberdade para ter segurança .</t>
  </si>
  <si>
    <t>file://conllu/pt/teddy-1319.conllu#s284_0</t>
  </si>
  <si>
    <t>285</t>
  </si>
  <si>
    <t>E penso que , trabalhando em conjunto , podemos ter um governo aberto mas também vidas privadas .</t>
  </si>
  <si>
    <t>file://conllu/pt/teddy-1319.conllu#s285_0</t>
  </si>
  <si>
    <t>286</t>
  </si>
  <si>
    <t>esperar</t>
  </si>
  <si>
    <t>E espero poder trabalhar com toda a gente em todo o mundo para ver isso acontecer .</t>
  </si>
  <si>
    <t>file://conllu/pt/teddy-1319.conllu#s286_0</t>
  </si>
  <si>
    <t>287</t>
  </si>
  <si>
    <t>obrigado</t>
  </si>
  <si>
    <t>Muito obrigado .</t>
  </si>
  <si>
    <t>file://conllu/pt/teddy-1319.conllu#s287_0</t>
  </si>
  <si>
    <t>288</t>
  </si>
  <si>
    <t>CA : Ed , obrigado .</t>
  </si>
  <si>
    <t>file://conllu/pt/teddy-1319.conllu#s288_0</t>
  </si>
  <si>
    <t>WORD</t>
  </si>
  <si>
    <t>GR</t>
  </si>
  <si>
    <t>NP_TYPE</t>
  </si>
  <si>
    <t>REF_AUTO</t>
  </si>
  <si>
    <t>COREF</t>
  </si>
  <si>
    <t>REF</t>
  </si>
  <si>
    <t>IS</t>
  </si>
  <si>
    <t>CB</t>
  </si>
  <si>
    <t>GR_ANTE</t>
  </si>
  <si>
    <t>REF_DIST</t>
  </si>
  <si>
    <t>REF_DIST_ANTE</t>
  </si>
  <si>
    <t># text = Chris Anderson:</t>
  </si>
  <si>
    <t>other</t>
  </si>
  <si>
    <t>ne</t>
  </si>
  <si>
    <t>?OLD</t>
  </si>
  <si>
    <t>Anderson</t>
  </si>
  <si>
    <t>:</t>
  </si>
  <si>
    <t># text = Os direitos dos cidadãos, o futuro da Internet.</t>
  </si>
  <si>
    <t>Os</t>
  </si>
  <si>
    <t>direitos</t>
  </si>
  <si>
    <t>def-np.poss</t>
  </si>
  <si>
    <t>de</t>
  </si>
  <si>
    <t>os</t>
  </si>
  <si>
    <t>cidadãos</t>
  </si>
  <si>
    <t>def-np.the</t>
  </si>
  <si>
    <t>,</t>
  </si>
  <si>
    <t>futuro</t>
  </si>
  <si>
    <t>a</t>
  </si>
  <si>
    <t>Internet</t>
  </si>
  <si>
    <t>other_2</t>
  </si>
  <si>
    <t>.</t>
  </si>
  <si>
    <t># text = Gostaria de dar as boas-vindas no palco do TED ao homem por detrás destas revelações, Ed Snowden.</t>
  </si>
  <si>
    <t>Gostaria</t>
  </si>
  <si>
    <t>dar</t>
  </si>
  <si>
    <t>as</t>
  </si>
  <si>
    <t>boas-vindas</t>
  </si>
  <si>
    <t>OBJ_2</t>
  </si>
  <si>
    <t>em</t>
  </si>
  <si>
    <t>palco</t>
  </si>
  <si>
    <t>TED</t>
  </si>
  <si>
    <t>other_3</t>
  </si>
  <si>
    <t>homem</t>
  </si>
  <si>
    <t>other_4</t>
  </si>
  <si>
    <t>por</t>
  </si>
  <si>
    <t>detrás</t>
  </si>
  <si>
    <t>estas</t>
  </si>
  <si>
    <t>revelações</t>
  </si>
  <si>
    <t>other_6</t>
  </si>
  <si>
    <t>def-np.dem</t>
  </si>
  <si>
    <t>other_7</t>
  </si>
  <si>
    <t>Snowden</t>
  </si>
  <si>
    <t>other_8</t>
  </si>
  <si>
    <t># text = (Aplausos) Ed está longe, algures na Rússia a controlar um robô no seu portátil, e pode ver as mesmas coisas que o robô vê.</t>
  </si>
  <si>
    <t>(</t>
  </si>
  <si>
    <t>Aplausos</t>
  </si>
  <si>
    <t>indef-np.bare</t>
  </si>
  <si>
    <t>)</t>
  </si>
  <si>
    <t>SBJ</t>
  </si>
  <si>
    <t>está</t>
  </si>
  <si>
    <t>longe</t>
  </si>
  <si>
    <t>algures</t>
  </si>
  <si>
    <t>Rússia</t>
  </si>
  <si>
    <t>controlar</t>
  </si>
  <si>
    <t>um</t>
  </si>
  <si>
    <t>robô</t>
  </si>
  <si>
    <t>seu</t>
  </si>
  <si>
    <t>pron.ppos</t>
  </si>
  <si>
    <t>portátil</t>
  </si>
  <si>
    <t>pode</t>
  </si>
  <si>
    <t>mesmas</t>
  </si>
  <si>
    <t>coisas</t>
  </si>
  <si>
    <t>OBJ_4</t>
  </si>
  <si>
    <t>que</t>
  </si>
  <si>
    <t>OBJ_6</t>
  </si>
  <si>
    <t>SBJ_6</t>
  </si>
  <si>
    <t>vê</t>
  </si>
  <si>
    <t># text = Ed, seja bem-vindo ao palco do TED.</t>
  </si>
  <si>
    <t>seja</t>
  </si>
  <si>
    <t>bem-vindo</t>
  </si>
  <si>
    <t># text = O que é que consegue ver?</t>
  </si>
  <si>
    <t>pron.pds</t>
  </si>
  <si>
    <t>pron.pint</t>
  </si>
  <si>
    <t>é</t>
  </si>
  <si>
    <t>consegue</t>
  </si>
  <si>
    <t>?</t>
  </si>
  <si>
    <t># text = Edward Snowden:</t>
  </si>
  <si>
    <t># text = Consigo ver toda a gente.</t>
  </si>
  <si>
    <t>Com</t>
  </si>
  <si>
    <t>si</t>
  </si>
  <si>
    <t>pron.pper</t>
  </si>
  <si>
    <t>toda</t>
  </si>
  <si>
    <t>gente</t>
  </si>
  <si>
    <t>OBJ</t>
  </si>
  <si>
    <t>pron.pind</t>
  </si>
  <si>
    <t># text = Isto é incrível!</t>
  </si>
  <si>
    <t>Isto</t>
  </si>
  <si>
    <t>incrível</t>
  </si>
  <si>
    <t>!</t>
  </si>
  <si>
    <t># text = (Risos)</t>
  </si>
  <si>
    <t>Risos</t>
  </si>
  <si>
    <t># text = CA: Ed, umas perguntas para si.</t>
  </si>
  <si>
    <t>CA</t>
  </si>
  <si>
    <t>umas</t>
  </si>
  <si>
    <t>perguntas</t>
  </si>
  <si>
    <t>para</t>
  </si>
  <si>
    <t># text = Têm-lhe chamado muitas coisas nos últimos meses.</t>
  </si>
  <si>
    <t>Têm</t>
  </si>
  <si>
    <t>lhe</t>
  </si>
  <si>
    <t>chamado</t>
  </si>
  <si>
    <t>muitas</t>
  </si>
  <si>
    <t>indef-np</t>
  </si>
  <si>
    <t>últimos</t>
  </si>
  <si>
    <t>meses</t>
  </si>
  <si>
    <t># text = Têm-lhe chamado... delator... traidor... um herói.</t>
  </si>
  <si>
    <t>...</t>
  </si>
  <si>
    <t>delator</t>
  </si>
  <si>
    <t>traidor</t>
  </si>
  <si>
    <t>herói</t>
  </si>
  <si>
    <t>indef-np.a</t>
  </si>
  <si>
    <t># text = Com que palavras se descreveria a si mesmo?</t>
  </si>
  <si>
    <t>palavras</t>
  </si>
  <si>
    <t>se</t>
  </si>
  <si>
    <t>descreveria</t>
  </si>
  <si>
    <t>mesmo</t>
  </si>
  <si>
    <t># text = ES: Sabe, toda a gente que se envolveu neste debate tem andado a debater sobre mim e sobre a minha personalidade e em como me descrever.</t>
  </si>
  <si>
    <t>ES</t>
  </si>
  <si>
    <t>SBJ_2</t>
  </si>
  <si>
    <t>SBJ_4</t>
  </si>
  <si>
    <t>envolveu</t>
  </si>
  <si>
    <t>este</t>
  </si>
  <si>
    <t>debate</t>
  </si>
  <si>
    <t>tem</t>
  </si>
  <si>
    <t>andado</t>
  </si>
  <si>
    <t>debater</t>
  </si>
  <si>
    <t>sobre</t>
  </si>
  <si>
    <t>mim</t>
  </si>
  <si>
    <t>minha</t>
  </si>
  <si>
    <t>other_5</t>
  </si>
  <si>
    <t>personalidade</t>
  </si>
  <si>
    <t>como</t>
  </si>
  <si>
    <t>me</t>
  </si>
  <si>
    <t>OBJ_5</t>
  </si>
  <si>
    <t># text = Mas quando eu penso nisso, acho que não é essa a questão que devíamos debater.</t>
  </si>
  <si>
    <t>Mas</t>
  </si>
  <si>
    <t>quando</t>
  </si>
  <si>
    <t>eu</t>
  </si>
  <si>
    <t>penso</t>
  </si>
  <si>
    <t>isso</t>
  </si>
  <si>
    <t>acho</t>
  </si>
  <si>
    <t>não</t>
  </si>
  <si>
    <t>essa</t>
  </si>
  <si>
    <t>questão</t>
  </si>
  <si>
    <t>devíamos</t>
  </si>
  <si>
    <t># text = Não interessa quem eu sou realmente.</t>
  </si>
  <si>
    <t>Não</t>
  </si>
  <si>
    <t>interessa</t>
  </si>
  <si>
    <t>quem</t>
  </si>
  <si>
    <t>sou</t>
  </si>
  <si>
    <t>realmente</t>
  </si>
  <si>
    <t># text = Se eu sou a pior pessoa do mundo, podem odiar-me e seguir em frente.</t>
  </si>
  <si>
    <t>Se</t>
  </si>
  <si>
    <t>SBJ_3</t>
  </si>
  <si>
    <t>pior</t>
  </si>
  <si>
    <t>mundo</t>
  </si>
  <si>
    <t>podem</t>
  </si>
  <si>
    <t>odiar</t>
  </si>
  <si>
    <t>seguir</t>
  </si>
  <si>
    <t>frente</t>
  </si>
  <si>
    <t># text = O que realmente importa aqui são as questões.</t>
  </si>
  <si>
    <t>importa</t>
  </si>
  <si>
    <t>aqui</t>
  </si>
  <si>
    <t>são</t>
  </si>
  <si>
    <t>questões</t>
  </si>
  <si>
    <t># text = O que realmente importa aqui é o tipo de governo que queremos, o tipo de Internet que queremos, o tipo de relacionamento entre as pessoas e as sociedades.</t>
  </si>
  <si>
    <t>tipo</t>
  </si>
  <si>
    <t>governo</t>
  </si>
  <si>
    <t>queremos</t>
  </si>
  <si>
    <t>relacionamento</t>
  </si>
  <si>
    <t>entre</t>
  </si>
  <si>
    <t>pessoas</t>
  </si>
  <si>
    <t>sociedades</t>
  </si>
  <si>
    <t># text = E isso é o que eu espero que o debate promova e temos visto que ele aumenta com o tempo.</t>
  </si>
  <si>
    <t>E</t>
  </si>
  <si>
    <t>espero</t>
  </si>
  <si>
    <t>promova</t>
  </si>
  <si>
    <t>temos</t>
  </si>
  <si>
    <t>visto</t>
  </si>
  <si>
    <t>ele</t>
  </si>
  <si>
    <t>aumenta</t>
  </si>
  <si>
    <t>com</t>
  </si>
  <si>
    <t>tempo</t>
  </si>
  <si>
    <t>--</t>
  </si>
  <si>
    <t># text = Se eu tivesse que me descrever, não usaria palavras como \"herói\".</t>
  </si>
  <si>
    <t>tivesse</t>
  </si>
  <si>
    <t>OBJ_3</t>
  </si>
  <si>
    <t>usaria</t>
  </si>
  <si>
    <t>&amp;quot;</t>
  </si>
  <si>
    <t># text = não usaria \"patriota\" e não usaria \"traidor\".</t>
  </si>
  <si>
    <t>patriota</t>
  </si>
  <si>
    <t># text = Diria que sou um americano e um cidadão, tal como toda a gente.</t>
  </si>
  <si>
    <t>Diria</t>
  </si>
  <si>
    <t>americano</t>
  </si>
  <si>
    <t>cidadão</t>
  </si>
  <si>
    <t>tal</t>
  </si>
  <si>
    <t># text = CA: Então, só para contextualizar para quem que não conhece a história toda... ... há um ano , você estava a viver no Havaí a trabalhar como consultor da NSA [Agência de Segurança Nacional] Enquanto administrador de sistemas, tinha acesso aos sistemas deles, e começou a revelar certos documentos confidenciais a alguns jornalistas escolhidos a dedo abrindo o caminho para as revelações de junho.</t>
  </si>
  <si>
    <t>Então</t>
  </si>
  <si>
    <t>só</t>
  </si>
  <si>
    <t>contextualizar</t>
  </si>
  <si>
    <t>conhece</t>
  </si>
  <si>
    <t>história</t>
  </si>
  <si>
    <t>há</t>
  </si>
  <si>
    <t>ano</t>
  </si>
  <si>
    <t>indef-np.quant</t>
  </si>
  <si>
    <t>estava</t>
  </si>
  <si>
    <t>viver</t>
  </si>
  <si>
    <t>Havaí</t>
  </si>
  <si>
    <t>trabalhar</t>
  </si>
  <si>
    <t>consultor</t>
  </si>
  <si>
    <t>NSA</t>
  </si>
  <si>
    <t>[</t>
  </si>
  <si>
    <t>Agência</t>
  </si>
  <si>
    <t>Segurança</t>
  </si>
  <si>
    <t>other_9</t>
  </si>
  <si>
    <t>Nacional</t>
  </si>
  <si>
    <t>other_10</t>
  </si>
  <si>
    <t>]</t>
  </si>
  <si>
    <t>Enquanto</t>
  </si>
  <si>
    <t>administrador</t>
  </si>
  <si>
    <t>sistemas</t>
  </si>
  <si>
    <t>tinha</t>
  </si>
  <si>
    <t>acesso</t>
  </si>
  <si>
    <t>eles</t>
  </si>
  <si>
    <t>começou</t>
  </si>
  <si>
    <t>revelar</t>
  </si>
  <si>
    <t>certos</t>
  </si>
  <si>
    <t>documentos</t>
  </si>
  <si>
    <t>confidenciais</t>
  </si>
  <si>
    <t>alguns</t>
  </si>
  <si>
    <t>jornalistas</t>
  </si>
  <si>
    <t>escolhidos</t>
  </si>
  <si>
    <t>dedo</t>
  </si>
  <si>
    <t>abrindo</t>
  </si>
  <si>
    <t>caminho</t>
  </si>
  <si>
    <t>junho</t>
  </si>
  <si>
    <t># text = O que o motivou a fazer isso?</t>
  </si>
  <si>
    <t>motivou</t>
  </si>
  <si>
    <t># text = ES: Sabe... quando eu estava no Havaí, e nos anos anteriores, quando estava a trabalhar para a comunidade de informações, vi muitas coisas que me perturbaram.</t>
  </si>
  <si>
    <t>anos</t>
  </si>
  <si>
    <t>anteriores</t>
  </si>
  <si>
    <t>comunidade</t>
  </si>
  <si>
    <t>informações</t>
  </si>
  <si>
    <t>vi</t>
  </si>
  <si>
    <t>perturbaram</t>
  </si>
  <si>
    <t># text = Na comunidade de informações, fazemos muitas coisas boas, coisas que é preciso fazer, e coisas que ajudam toda a gente.</t>
  </si>
  <si>
    <t>Em</t>
  </si>
  <si>
    <t>fazemos</t>
  </si>
  <si>
    <t>boas</t>
  </si>
  <si>
    <t>preciso</t>
  </si>
  <si>
    <t>SBJ_7</t>
  </si>
  <si>
    <t>ajudam</t>
  </si>
  <si>
    <t>OBJ_7</t>
  </si>
  <si>
    <t># text = Mas também fazemos coisas que vão longe demais.</t>
  </si>
  <si>
    <t>também</t>
  </si>
  <si>
    <t>vão</t>
  </si>
  <si>
    <t>demais</t>
  </si>
  <si>
    <t># text = Há coisas que não deviam ser feitas, e decisões que estavam a ser feitas secretamente sem o público saber, sem o consentimento do público, e sem que os nossos representantes no governo tivessem conhecimento desses programas.</t>
  </si>
  <si>
    <t>Há</t>
  </si>
  <si>
    <t>deviam</t>
  </si>
  <si>
    <t>feitas</t>
  </si>
  <si>
    <t>decisões</t>
  </si>
  <si>
    <t>SBJ_5</t>
  </si>
  <si>
    <t>estavam</t>
  </si>
  <si>
    <t>secretamente</t>
  </si>
  <si>
    <t>sem</t>
  </si>
  <si>
    <t>público</t>
  </si>
  <si>
    <t>consentimento</t>
  </si>
  <si>
    <t>nossos</t>
  </si>
  <si>
    <t>representantes</t>
  </si>
  <si>
    <t>tivessem</t>
  </si>
  <si>
    <t>conhecimento</t>
  </si>
  <si>
    <t>esses</t>
  </si>
  <si>
    <t>programas</t>
  </si>
  <si>
    <t># text = Quando eu comecei a deparar com essas questões, pensei com os meus botões como é que eu posso fazer isto de forma mais responsável, que maximize os benefícios do público enquanto minimiza os riscos?</t>
  </si>
  <si>
    <t>Quando</t>
  </si>
  <si>
    <t>comecei</t>
  </si>
  <si>
    <t>deparar</t>
  </si>
  <si>
    <t>essas</t>
  </si>
  <si>
    <t>pensei</t>
  </si>
  <si>
    <t>meus</t>
  </si>
  <si>
    <t>botões</t>
  </si>
  <si>
    <t>posso</t>
  </si>
  <si>
    <t>isto</t>
  </si>
  <si>
    <t>forma</t>
  </si>
  <si>
    <t>mais</t>
  </si>
  <si>
    <t>responsável</t>
  </si>
  <si>
    <t>maximize</t>
  </si>
  <si>
    <t>benefícios</t>
  </si>
  <si>
    <t>enquanto</t>
  </si>
  <si>
    <t>minimiza</t>
  </si>
  <si>
    <t>riscos</t>
  </si>
  <si>
    <t># text = De todas as soluções que encontrei, sem ser recorrer ao Congresso, porque não havia leis, não havia proteção legal para um empregado privado, um contratado de informações como eu era, existia o risco de eu ser enterrado juntamente com essas informações e o público nunca viria a saber.</t>
  </si>
  <si>
    <t>De</t>
  </si>
  <si>
    <t>todas</t>
  </si>
  <si>
    <t>soluções</t>
  </si>
  <si>
    <t>encontrei</t>
  </si>
  <si>
    <t>recorrer</t>
  </si>
  <si>
    <t>porque</t>
  </si>
  <si>
    <t>havia</t>
  </si>
  <si>
    <t>leis</t>
  </si>
  <si>
    <t>proteção</t>
  </si>
  <si>
    <t>legal</t>
  </si>
  <si>
    <t>empregado</t>
  </si>
  <si>
    <t>privado</t>
  </si>
  <si>
    <t>contratado</t>
  </si>
  <si>
    <t>era</t>
  </si>
  <si>
    <t>existia</t>
  </si>
  <si>
    <t>risco</t>
  </si>
  <si>
    <t>enterrado</t>
  </si>
  <si>
    <t>juntamente</t>
  </si>
  <si>
    <t>nunca</t>
  </si>
  <si>
    <t>viria</t>
  </si>
  <si>
    <t># text = Mas a primeira emenda da Constituição dos Estados Unidos garante-nos liberdade de imprensa por uma razão, que é permitir uma imprensa com posições contrárias para contestar o governo, mas também para trabalhar em conjunto com o governo, ter um diálogo e um debate sobre como podemos informar o público sobre assuntos de importância vital sem colocar em risco a segurança nacional.</t>
  </si>
  <si>
    <t>primeira</t>
  </si>
  <si>
    <t>emenda</t>
  </si>
  <si>
    <t>Constituição</t>
  </si>
  <si>
    <t>Estados</t>
  </si>
  <si>
    <t>Unidos</t>
  </si>
  <si>
    <t>garante</t>
  </si>
  <si>
    <t>nos</t>
  </si>
  <si>
    <t>liberdade</t>
  </si>
  <si>
    <t>imprensa</t>
  </si>
  <si>
    <t>uma</t>
  </si>
  <si>
    <t>razão</t>
  </si>
  <si>
    <t>permitir</t>
  </si>
  <si>
    <t>posições</t>
  </si>
  <si>
    <t>contrárias</t>
  </si>
  <si>
    <t>contestar</t>
  </si>
  <si>
    <t>mas</t>
  </si>
  <si>
    <t>conjunto</t>
  </si>
  <si>
    <t>diálogo</t>
  </si>
  <si>
    <t>podemos</t>
  </si>
  <si>
    <t>informar</t>
  </si>
  <si>
    <t>assuntos</t>
  </si>
  <si>
    <t>importância</t>
  </si>
  <si>
    <t>vital</t>
  </si>
  <si>
    <t>colocar</t>
  </si>
  <si>
    <t>segurança</t>
  </si>
  <si>
    <t>nacional</t>
  </si>
  <si>
    <t># text = E, ao trabalhar com jornalistas, ao passar todas as minhas informações para o povo Americano, em vez de confiar em mim mesmo para tomar a decisão de as publicar, tivemos um vigoroso debate com um profundo envolvimento do governo que eu acho que resultou num benefício para todos.</t>
  </si>
  <si>
    <t>passar</t>
  </si>
  <si>
    <t>minhas</t>
  </si>
  <si>
    <t>povo</t>
  </si>
  <si>
    <t>Americano</t>
  </si>
  <si>
    <t>vez</t>
  </si>
  <si>
    <t>confiar</t>
  </si>
  <si>
    <t>tomar</t>
  </si>
  <si>
    <t>decisão</t>
  </si>
  <si>
    <t>publicar</t>
  </si>
  <si>
    <t>tivemos</t>
  </si>
  <si>
    <t>vigoroso</t>
  </si>
  <si>
    <t>profundo</t>
  </si>
  <si>
    <t>envolvimento</t>
  </si>
  <si>
    <t>resultou</t>
  </si>
  <si>
    <t>benefício</t>
  </si>
  <si>
    <t>todos</t>
  </si>
  <si>
    <t>pron</t>
  </si>
  <si>
    <t># text = E os riscos que se profetizavam, os riscos que foram invocados pelo governo nunca se materializaram.</t>
  </si>
  <si>
    <t>profetizavam</t>
  </si>
  <si>
    <t>foram</t>
  </si>
  <si>
    <t>invocados</t>
  </si>
  <si>
    <t>materializaram</t>
  </si>
  <si>
    <t># text = Nunca vimos nenhum indício de uma só situação de prejuízo especifico.</t>
  </si>
  <si>
    <t>Nunca</t>
  </si>
  <si>
    <t>vimos</t>
  </si>
  <si>
    <t>nenhum</t>
  </si>
  <si>
    <t>indício</t>
  </si>
  <si>
    <t>situação</t>
  </si>
  <si>
    <t>prejuízo</t>
  </si>
  <si>
    <t>especifico</t>
  </si>
  <si>
    <t># text = Por causa disso, sinto-me confortável com as decisões que tomei.</t>
  </si>
  <si>
    <t>Por</t>
  </si>
  <si>
    <t>causa</t>
  </si>
  <si>
    <t>confortável</t>
  </si>
  <si>
    <t>tomei</t>
  </si>
  <si>
    <t># text = CA: Vou mostrar ao público alguns exemplos do que você revelou.</t>
  </si>
  <si>
    <t>Vou</t>
  </si>
  <si>
    <t>exemplos</t>
  </si>
  <si>
    <t>revelou</t>
  </si>
  <si>
    <t># text = se pudermos ter uns slides...</t>
  </si>
  <si>
    <t>pudermos</t>
  </si>
  <si>
    <t>uns</t>
  </si>
  <si>
    <t>slides</t>
  </si>
  <si>
    <t># text = Ed, não sei se consegue ver, os slides estão aqui.</t>
  </si>
  <si>
    <t>sei</t>
  </si>
  <si>
    <t>estão</t>
  </si>
  <si>
    <t># text = Este é um slide do programa PRISM.</t>
  </si>
  <si>
    <t>Este</t>
  </si>
  <si>
    <t>slide</t>
  </si>
  <si>
    <t>programa</t>
  </si>
  <si>
    <t>PRISM</t>
  </si>
  <si>
    <t># text = Talvez possa contar ao público o que é que foi revelado.</t>
  </si>
  <si>
    <t>Talvez</t>
  </si>
  <si>
    <t>possa</t>
  </si>
  <si>
    <t>contar</t>
  </si>
  <si>
    <t>foi</t>
  </si>
  <si>
    <t>revelado</t>
  </si>
  <si>
    <t># text = ES: A melhor forma de perceber o PRISM, porque tem havido uma certa controvérsia, é falar primeiro sobre o que o PRISM não é.</t>
  </si>
  <si>
    <t>A</t>
  </si>
  <si>
    <t>melhor</t>
  </si>
  <si>
    <t>perceber</t>
  </si>
  <si>
    <t>havido</t>
  </si>
  <si>
    <t>certa</t>
  </si>
  <si>
    <t>controvérsia</t>
  </si>
  <si>
    <t>falar</t>
  </si>
  <si>
    <t>primeiro</t>
  </si>
  <si>
    <t># text = Grande parte da discussão nos EUA tem sido sobre os metadados.</t>
  </si>
  <si>
    <t>Grande</t>
  </si>
  <si>
    <t>parte</t>
  </si>
  <si>
    <t>discussão</t>
  </si>
  <si>
    <t>EUA</t>
  </si>
  <si>
    <t>sido</t>
  </si>
  <si>
    <t>metadados</t>
  </si>
  <si>
    <t># text = Tem-se dito que são só metadados, são só metadados, e tem-se falado sobre uma autoridade legal especifica chamada Secção 215 da Lei Patriótica, que permite um certo tipo de escuta sem mandato, uma vigilância de massas das chamadas telefónicas de todo o país , esse tipo de coisas, — com quem estamos a falar, quando é que falamos com quem.</t>
  </si>
  <si>
    <t>Tem</t>
  </si>
  <si>
    <t>dito</t>
  </si>
  <si>
    <t>falado</t>
  </si>
  <si>
    <t>autoridade</t>
  </si>
  <si>
    <t>especifica</t>
  </si>
  <si>
    <t>chamada</t>
  </si>
  <si>
    <t>Secção</t>
  </si>
  <si>
    <t>Lei</t>
  </si>
  <si>
    <t>Patriótica</t>
  </si>
  <si>
    <t>permite</t>
  </si>
  <si>
    <t>certo</t>
  </si>
  <si>
    <t>escuta</t>
  </si>
  <si>
    <t>mandato</t>
  </si>
  <si>
    <t>vigilância</t>
  </si>
  <si>
    <t>massas</t>
  </si>
  <si>
    <t>chamadas</t>
  </si>
  <si>
    <t>telefónicas</t>
  </si>
  <si>
    <t>todo</t>
  </si>
  <si>
    <t>país</t>
  </si>
  <si>
    <t>esse</t>
  </si>
  <si>
    <t>—</t>
  </si>
  <si>
    <t>SBJ_8</t>
  </si>
  <si>
    <t>estamos</t>
  </si>
  <si>
    <t>falamos</t>
  </si>
  <si>
    <t>OBJ_9</t>
  </si>
  <si>
    <t># text = para onde viajamos.</t>
  </si>
  <si>
    <t>onde</t>
  </si>
  <si>
    <t>viajamos</t>
  </si>
  <si>
    <t># text = Tudo isso são metadados.</t>
  </si>
  <si>
    <t>Tudo</t>
  </si>
  <si>
    <t># text = O PRISM é sobre o conteúdo.</t>
  </si>
  <si>
    <t>conteúdo</t>
  </si>
  <si>
    <t># text = É um programa através do qual o governo pode forçar o mundo empresarial americano, pode encarregar o mundo empresarial americano de fazer o trabalho sujo da NSA.</t>
  </si>
  <si>
    <t>É</t>
  </si>
  <si>
    <t>através</t>
  </si>
  <si>
    <t>qual</t>
  </si>
  <si>
    <t>forçar</t>
  </si>
  <si>
    <t>empresarial</t>
  </si>
  <si>
    <t>encarregar</t>
  </si>
  <si>
    <t>trabalho</t>
  </si>
  <si>
    <t>sujo</t>
  </si>
  <si>
    <t># text = E, apesar de algumas dessas empresas terem resistido, apesar de algumas delas — penso que o Yahoo foi uma delas — os terem contestado em tribunal, todas perderam, porque nunca houve um julgamento em audiência pública.</t>
  </si>
  <si>
    <t>apesar</t>
  </si>
  <si>
    <t>algumas</t>
  </si>
  <si>
    <t>empresas</t>
  </si>
  <si>
    <t>terem</t>
  </si>
  <si>
    <t>resistido</t>
  </si>
  <si>
    <t>elas</t>
  </si>
  <si>
    <t>Yahoo</t>
  </si>
  <si>
    <t>contestado</t>
  </si>
  <si>
    <t>tribunal</t>
  </si>
  <si>
    <t>perderam</t>
  </si>
  <si>
    <t>houve</t>
  </si>
  <si>
    <t>julgamento</t>
  </si>
  <si>
    <t>pública</t>
  </si>
  <si>
    <t># text = Só houve julgamento em tribunal à porta fechada.</t>
  </si>
  <si>
    <t>Só</t>
  </si>
  <si>
    <t>porta</t>
  </si>
  <si>
    <t>fechada</t>
  </si>
  <si>
    <t># text = E uma coisa que temos visto, uma coisa sobre o programa PRISM, que muito me preocupa, há um ponto forte do governo dos EU em que disseram que 15 juízes federais analisaram estes programas e consideraram-nos legais, mas o que não nos dizem é que são juízes secretos num tribunal secreto com base em interpretações confidenciais da lei que analisaram 34 000 pedidos de mandatos ao longo de 33 anos e, durante esses 33 anos, só rejeitaram 11 pedidos do governo.</t>
  </si>
  <si>
    <t>muito</t>
  </si>
  <si>
    <t>preocupa</t>
  </si>
  <si>
    <t>ponto</t>
  </si>
  <si>
    <t>forte</t>
  </si>
  <si>
    <t>EU</t>
  </si>
  <si>
    <t>disseram</t>
  </si>
  <si>
    <t>juízes</t>
  </si>
  <si>
    <t>federais</t>
  </si>
  <si>
    <t>analisaram</t>
  </si>
  <si>
    <t>estes</t>
  </si>
  <si>
    <t>consideraram</t>
  </si>
  <si>
    <t>OBJ_8</t>
  </si>
  <si>
    <t>legais</t>
  </si>
  <si>
    <t>SBJ_9</t>
  </si>
  <si>
    <t>dizem</t>
  </si>
  <si>
    <t>secretos</t>
  </si>
  <si>
    <t>secreto</t>
  </si>
  <si>
    <t>base</t>
  </si>
  <si>
    <t>interpretações</t>
  </si>
  <si>
    <t>lei</t>
  </si>
  <si>
    <t>000</t>
  </si>
  <si>
    <t>pedidos</t>
  </si>
  <si>
    <t>mandatos</t>
  </si>
  <si>
    <t>longo</t>
  </si>
  <si>
    <t>durante</t>
  </si>
  <si>
    <t>rejeitaram</t>
  </si>
  <si>
    <t># text = Estas não são as pessoas que queremos que decidam qual deve ser o papel do mundo empresarial americano numa Internet livre e aberta.</t>
  </si>
  <si>
    <t>Estas</t>
  </si>
  <si>
    <t>decidam</t>
  </si>
  <si>
    <t>deve</t>
  </si>
  <si>
    <t>papel</t>
  </si>
  <si>
    <t>livre</t>
  </si>
  <si>
    <t>aberta</t>
  </si>
  <si>
    <t># text = CA: Este slide que estamos a mostrar mostra as datas em que diferentes empresas de tecnologia, empresas de Internet, alegadamente se juntaram ao programa, e onde se iniciou a colheita de dados a partir delas.</t>
  </si>
  <si>
    <t>mostra</t>
  </si>
  <si>
    <t>datas</t>
  </si>
  <si>
    <t>diferentes</t>
  </si>
  <si>
    <t>tecnologia</t>
  </si>
  <si>
    <t>alegadamente</t>
  </si>
  <si>
    <t>juntaram</t>
  </si>
  <si>
    <t>iniciou</t>
  </si>
  <si>
    <t>colheita</t>
  </si>
  <si>
    <t>dados</t>
  </si>
  <si>
    <t># text = Mas elas têm negado ter colaborado com a NSA.</t>
  </si>
  <si>
    <t>têm</t>
  </si>
  <si>
    <t>negado</t>
  </si>
  <si>
    <t>colaborado</t>
  </si>
  <si>
    <t># text = Como é que a NSA recolheu estes dados?</t>
  </si>
  <si>
    <t>Como</t>
  </si>
  <si>
    <t>recolheu</t>
  </si>
  <si>
    <t># text = ES: Certo.</t>
  </si>
  <si>
    <t>Certo</t>
  </si>
  <si>
    <t># text = Os próprios slides da NSA referem-se a elas como um acesso direto.</t>
  </si>
  <si>
    <t>próprios</t>
  </si>
  <si>
    <t>referem</t>
  </si>
  <si>
    <t>direto</t>
  </si>
  <si>
    <t># text = O que isso significa para um analista da NSA, alguém como eu, que estava a trabalhar como analista de informações à procura de piratas cibernéticos chineses, coisas desse tipo, no Havaí, é que a origem dessas informações vem diretamente dos seus servidores.</t>
  </si>
  <si>
    <t>significa</t>
  </si>
  <si>
    <t>analista</t>
  </si>
  <si>
    <t>alguém</t>
  </si>
  <si>
    <t>procura</t>
  </si>
  <si>
    <t>piratas</t>
  </si>
  <si>
    <t>cibernéticos</t>
  </si>
  <si>
    <t>chineses</t>
  </si>
  <si>
    <t>other_11</t>
  </si>
  <si>
    <t>origem</t>
  </si>
  <si>
    <t>vem</t>
  </si>
  <si>
    <t>diretamente</t>
  </si>
  <si>
    <t>seus</t>
  </si>
  <si>
    <t>servidores</t>
  </si>
  <si>
    <t># text = Isso não significa que exista um grupo de representantes de empresas sentados numa sala cheia de fumo, com a NSA por detrás, a fazer acordos de bastidores sobre como irão passar essas informações.</t>
  </si>
  <si>
    <t>Isso</t>
  </si>
  <si>
    <t>exista</t>
  </si>
  <si>
    <t>grupo</t>
  </si>
  <si>
    <t>sentados</t>
  </si>
  <si>
    <t>sala</t>
  </si>
  <si>
    <t>cheia</t>
  </si>
  <si>
    <t>fumo</t>
  </si>
  <si>
    <t>acordos</t>
  </si>
  <si>
    <t>bastidores</t>
  </si>
  <si>
    <t>irão</t>
  </si>
  <si>
    <t># text = Cada empresa lida com isto de modos diferentes.</t>
  </si>
  <si>
    <t>Cada</t>
  </si>
  <si>
    <t>lida</t>
  </si>
  <si>
    <t>modos</t>
  </si>
  <si>
    <t># text = Algumas são responsáveis.</t>
  </si>
  <si>
    <t>Algumas</t>
  </si>
  <si>
    <t>responsáveis</t>
  </si>
  <si>
    <t># text = Outras são menos responsáveis.</t>
  </si>
  <si>
    <t>Outras</t>
  </si>
  <si>
    <t>menos</t>
  </si>
  <si>
    <t># text = Mas o fundamental é que, quando falamos sobre a forma como esta informação é passada, está a vir dessas empresas.</t>
  </si>
  <si>
    <t>fundamental</t>
  </si>
  <si>
    <t>esta</t>
  </si>
  <si>
    <t>informação</t>
  </si>
  <si>
    <t>passada</t>
  </si>
  <si>
    <t># text = Não é roubada nas linhas.</t>
  </si>
  <si>
    <t>roubada</t>
  </si>
  <si>
    <t>linhas</t>
  </si>
  <si>
    <t># text = Há uma coisa importante que tem que ser referida aqui: apesar de as empresas terem sido pressionadas, apesar de elas terem exigido, "Vamos fazer isso com um mandado de busca, "vamos fazer isso "se tivermos algum tipo de cobertura legal, "alguma base para facultar estes dados de utilizadores".</t>
  </si>
  <si>
    <t>importante</t>
  </si>
  <si>
    <t>referida</t>
  </si>
  <si>
    <t>pressionadas</t>
  </si>
  <si>
    <t>exigido</t>
  </si>
  <si>
    <t>Vamos</t>
  </si>
  <si>
    <t>mandado</t>
  </si>
  <si>
    <t>busca</t>
  </si>
  <si>
    <t>vamos</t>
  </si>
  <si>
    <t>tivermos</t>
  </si>
  <si>
    <t>algum</t>
  </si>
  <si>
    <t>cobertura</t>
  </si>
  <si>
    <t>alguma</t>
  </si>
  <si>
    <t>facultar</t>
  </si>
  <si>
    <t>utilizadores</t>
  </si>
  <si>
    <t># text = Vimos artigos no Washington Post no ano passado que não foram tão bem contados como a história do PRISM que diziam que a NSA interferiu no centro de dados de comunicações entre o Google e ela própria e entre o Yahoo e ela própria.</t>
  </si>
  <si>
    <t>Vimos</t>
  </si>
  <si>
    <t>artigos</t>
  </si>
  <si>
    <t>Washington</t>
  </si>
  <si>
    <t>Post</t>
  </si>
  <si>
    <t>passado</t>
  </si>
  <si>
    <t>tão</t>
  </si>
  <si>
    <t>bem</t>
  </si>
  <si>
    <t>contados</t>
  </si>
  <si>
    <t>diziam</t>
  </si>
  <si>
    <t>interferiu</t>
  </si>
  <si>
    <t>centro</t>
  </si>
  <si>
    <t>comunicações</t>
  </si>
  <si>
    <t>Google</t>
  </si>
  <si>
    <t>ela</t>
  </si>
  <si>
    <t>própria</t>
  </si>
  <si>
    <t># text = Portanto, mesmo as empresas que estão a cooperar de forma forçada, mas pelo menos dentro da legalidade, segundo esperamos, com a NSA, não satisfazem a NSA.</t>
  </si>
  <si>
    <t>Portanto</t>
  </si>
  <si>
    <t>cooperar</t>
  </si>
  <si>
    <t>forçada</t>
  </si>
  <si>
    <t>dentro</t>
  </si>
  <si>
    <t>legalidade</t>
  </si>
  <si>
    <t>segundo</t>
  </si>
  <si>
    <t>esperamos</t>
  </si>
  <si>
    <t>satisfazem</t>
  </si>
  <si>
    <t># text = Por causa disso, precisamos que as nossas empresas trabalhem esforçadamente para garantir que vão representar os interesses do utilizador, e defender também os direitos dos utilizadores.</t>
  </si>
  <si>
    <t>precisamos</t>
  </si>
  <si>
    <t>nossas</t>
  </si>
  <si>
    <t>trabalhem</t>
  </si>
  <si>
    <t>esforçadamente</t>
  </si>
  <si>
    <t>representar</t>
  </si>
  <si>
    <t>interesses</t>
  </si>
  <si>
    <t>utilizador</t>
  </si>
  <si>
    <t># text = E eu acho que, no ano passado, pudemos ver as empresas que estão referidas nos slides do PRISM fazer grandes esforços para isso.</t>
  </si>
  <si>
    <t>pudemos</t>
  </si>
  <si>
    <t>referidas</t>
  </si>
  <si>
    <t>grandes</t>
  </si>
  <si>
    <t>esforços</t>
  </si>
  <si>
    <t># text = Quero encorajá-las a continuar.</t>
  </si>
  <si>
    <t>Quero</t>
  </si>
  <si>
    <t>encorajá</t>
  </si>
  <si>
    <t>las</t>
  </si>
  <si>
    <t>continuar</t>
  </si>
  <si>
    <t># text = CA: Que mais deveriam elas fazer?</t>
  </si>
  <si>
    <t>Que</t>
  </si>
  <si>
    <t>deveriam</t>
  </si>
  <si>
    <t># text = ES: A coisa mais importante que uma empresa de Internet pode fazer hoje, na América, neste preciso momento, sem ter que consultar advogados, para proteger os direitos dos utilizadores em todo o mundo, é permitir a cifragem de SSL [Segurança de Transporte] na Internet em cada página que visitamos.</t>
  </si>
  <si>
    <t>hoje</t>
  </si>
  <si>
    <t>América</t>
  </si>
  <si>
    <t>momento</t>
  </si>
  <si>
    <t>consultar</t>
  </si>
  <si>
    <t>advogados</t>
  </si>
  <si>
    <t>proteger</t>
  </si>
  <si>
    <t>cifragem</t>
  </si>
  <si>
    <t>SSL</t>
  </si>
  <si>
    <t>Transporte</t>
  </si>
  <si>
    <t>cada</t>
  </si>
  <si>
    <t>página</t>
  </si>
  <si>
    <t>visitamos</t>
  </si>
  <si>
    <t># text = A razão por que isso é importante, é que hoje, se formos ver uma cópia de \"1984\" em amazon.com, a NSA pode ver um registo disso, os serviços de informação da Rússia podem ver esse registo , os serviços de informações da China podem ver esse registo, os serviços franceses, os serviços alemães, os serviços de Andorra, todos eles podem ver, porque não está codificado.</t>
  </si>
  <si>
    <t>formos</t>
  </si>
  <si>
    <t>cópia</t>
  </si>
  <si>
    <t>&amp;quot;1984</t>
  </si>
  <si>
    <t>amazon.com</t>
  </si>
  <si>
    <t>registo</t>
  </si>
  <si>
    <t>serviços</t>
  </si>
  <si>
    <t>China</t>
  </si>
  <si>
    <t>franceses</t>
  </si>
  <si>
    <t>alemães</t>
  </si>
  <si>
    <t>Andorra</t>
  </si>
  <si>
    <t>codificado</t>
  </si>
  <si>
    <t># text = A biblioteca mundial é a Amazon.com</t>
  </si>
  <si>
    <t>biblioteca</t>
  </si>
  <si>
    <t>mundial</t>
  </si>
  <si>
    <t>Amazon.com</t>
  </si>
  <si>
    <t># text = , mas eles não só não oferecem uma codificação por defeito, como nós não podemos optar pela codificação quando navegamos pelos livros.</t>
  </si>
  <si>
    <t>oferecem</t>
  </si>
  <si>
    <t>codificação</t>
  </si>
  <si>
    <t>defeito</t>
  </si>
  <si>
    <t>nós</t>
  </si>
  <si>
    <t>optar</t>
  </si>
  <si>
    <t>navegamos</t>
  </si>
  <si>
    <t>livros</t>
  </si>
  <si>
    <t># text = Isto é uma coisa que é preciso mudar, não só para a Amazon, não são só eles, mas eles são um bom exemplo.</t>
  </si>
  <si>
    <t>Amazon</t>
  </si>
  <si>
    <t>bom</t>
  </si>
  <si>
    <t>exemplo</t>
  </si>
  <si>
    <t># text = Todas as empresas precisam de mudar para uma navegação codificada por defeito para todos os utilizadores que não desejem outra coisa, ou não escolham outro método por iniciativa própria.</t>
  </si>
  <si>
    <t>Todas</t>
  </si>
  <si>
    <t>precisam</t>
  </si>
  <si>
    <t>navegação</t>
  </si>
  <si>
    <t>codificada</t>
  </si>
  <si>
    <t>desejem</t>
  </si>
  <si>
    <t>outra</t>
  </si>
  <si>
    <t>ou</t>
  </si>
  <si>
    <t>escolham</t>
  </si>
  <si>
    <t>outro</t>
  </si>
  <si>
    <t>método</t>
  </si>
  <si>
    <t>iniciativa</t>
  </si>
  <si>
    <t># text = Isso aumentará a privacidade e os direitos que as pessoas têm a nível mundial CA: Ed, venha comigo até esta parte do palco.</t>
  </si>
  <si>
    <t>aumentará</t>
  </si>
  <si>
    <t>privacidade</t>
  </si>
  <si>
    <t>nível</t>
  </si>
  <si>
    <t>venha</t>
  </si>
  <si>
    <t>até</t>
  </si>
  <si>
    <t># text = Quero mostrar-lhe outro slide.</t>
  </si>
  <si>
    <t># text = Este é um programa chamado</t>
  </si>
  <si>
    <t># text = Boundless Infomant</t>
  </si>
  <si>
    <t>Infomant</t>
  </si>
  <si>
    <t># text = O que é isto?</t>
  </si>
  <si>
    <t># text = ES: Tenho que reconhecer que a NSA lhe deu um nome apropriado.</t>
  </si>
  <si>
    <t>Tenho</t>
  </si>
  <si>
    <t>deu</t>
  </si>
  <si>
    <t>nome</t>
  </si>
  <si>
    <t>apropriado</t>
  </si>
  <si>
    <t># text = Este é um dos códigos da NSA que prefiro.</t>
  </si>
  <si>
    <t>códigos</t>
  </si>
  <si>
    <t>prefiro</t>
  </si>
  <si>
    <t># text = O Boundless Infomant é um programa que a NSA escondeu do Congresso.</t>
  </si>
  <si>
    <t>escondeu</t>
  </si>
  <si>
    <t># text = O Congresso perguntou previamente à NSA se eles tinham alguma forma de avaliar, mesmo que aproximadamente, a quantidade de comunicações americanas que estavam a ser intercetadas.</t>
  </si>
  <si>
    <t>perguntou</t>
  </si>
  <si>
    <t>previamente</t>
  </si>
  <si>
    <t>tinham</t>
  </si>
  <si>
    <t>avaliar</t>
  </si>
  <si>
    <t>aproximadamente</t>
  </si>
  <si>
    <t>quantidade</t>
  </si>
  <si>
    <t>americanas</t>
  </si>
  <si>
    <t>intercetadas</t>
  </si>
  <si>
    <t># text = Eles disseram que não.</t>
  </si>
  <si>
    <t>Eles</t>
  </si>
  <si>
    <t># text = Disseram: \"Não controlamos essas estatísticas.</t>
  </si>
  <si>
    <t>Disseram</t>
  </si>
  <si>
    <t>controlamos</t>
  </si>
  <si>
    <t>estatísticas</t>
  </si>
  <si>
    <t># text = Não podemos controlar essas estatísticas.</t>
  </si>
  <si>
    <t># text = \"Não podemos dizer quantas comunicações estamos a intercetar a nível mundial, \"porque dizer-vos isso seria invadir a vossa privacidade\".</t>
  </si>
  <si>
    <t>quantas</t>
  </si>
  <si>
    <t>intercetar</t>
  </si>
  <si>
    <t>vos</t>
  </si>
  <si>
    <t>seria</t>
  </si>
  <si>
    <t>invadir</t>
  </si>
  <si>
    <t>vossa</t>
  </si>
  <si>
    <t># text = Aprecio verdadeiramente esse sentimento da parte deles, mas, quando olhamos para esse slide, ele mostra que eles não só têm a capacidade, como essa capacidade já existe.</t>
  </si>
  <si>
    <t>Aprecio</t>
  </si>
  <si>
    <t>verdadeiramente</t>
  </si>
  <si>
    <t>sentimento</t>
  </si>
  <si>
    <t>olhamos</t>
  </si>
  <si>
    <t>capacidade</t>
  </si>
  <si>
    <t>já</t>
  </si>
  <si>
    <t>existe</t>
  </si>
  <si>
    <t># text = Já está em vigor.</t>
  </si>
  <si>
    <t>Já</t>
  </si>
  <si>
    <t>vigor</t>
  </si>
  <si>
    <t># text = A NSA tem o seu próprio formato de dados internos que deteta as duas extremidades duma comunicação, e, se ele diz, \"Esta transmissão veio da América\", podem dizer ao Congresso quantas dessas comunicações têm hoje, neste preciso momento.</t>
  </si>
  <si>
    <t>próprio</t>
  </si>
  <si>
    <t>formato</t>
  </si>
  <si>
    <t>internos</t>
  </si>
  <si>
    <t>deteta</t>
  </si>
  <si>
    <t>duas</t>
  </si>
  <si>
    <t>extremidades</t>
  </si>
  <si>
    <t>comunicação</t>
  </si>
  <si>
    <t>diz</t>
  </si>
  <si>
    <t>Esta</t>
  </si>
  <si>
    <t>transmissão</t>
  </si>
  <si>
    <t>veio</t>
  </si>
  <si>
    <t># text = Mas o que o Boundless Infomant nos diz é que há mais transmissões de americanos a ser intercetadas nos EU do que acontece na Rússia, em relação aos russos.</t>
  </si>
  <si>
    <t>transmissões</t>
  </si>
  <si>
    <t>americanos</t>
  </si>
  <si>
    <t>acontece</t>
  </si>
  <si>
    <t>relação</t>
  </si>
  <si>
    <t>russos</t>
  </si>
  <si>
    <t># text = Não me parece que seja isto o que uma agência de informações devia estar a procurar.</t>
  </si>
  <si>
    <t>parece</t>
  </si>
  <si>
    <t>agência</t>
  </si>
  <si>
    <t>devia</t>
  </si>
  <si>
    <t>procurar</t>
  </si>
  <si>
    <t># text = CA: Ed, houve uma notícia divulgada no Washington Post, mais uma vez a partir dos seus dados.</t>
  </si>
  <si>
    <t>notícia</t>
  </si>
  <si>
    <t>divulgada</t>
  </si>
  <si>
    <t># text = O cabeçalho diz assim: "A NSA quebrou regras de privacidade "milhares de vezes por ano." Fale-nos sobre isso.</t>
  </si>
  <si>
    <t>cabeçalho</t>
  </si>
  <si>
    <t>assim</t>
  </si>
  <si>
    <t>quebrou</t>
  </si>
  <si>
    <t>regras</t>
  </si>
  <si>
    <t>milhares</t>
  </si>
  <si>
    <t>vezes</t>
  </si>
  <si>
    <t>Fale</t>
  </si>
  <si>
    <t># text = ES: Nós também ouvimos, no ano passado, no depoimento no Congresso, uma coisa incrível para alguém como eu, que vim da NSA e que vi os documentos internos, e sabia o que havia neles, ver funcionários testemunhar sob juramento que não tinha havido abusos, e que não tinha havido violações às regras da NSA, quando sabíamos que esta história ia aparecer.</t>
  </si>
  <si>
    <t>Nós</t>
  </si>
  <si>
    <t>ouvimos</t>
  </si>
  <si>
    <t>depoimento</t>
  </si>
  <si>
    <t>vim</t>
  </si>
  <si>
    <t>sabia</t>
  </si>
  <si>
    <t>funcionários</t>
  </si>
  <si>
    <t>testemunhar</t>
  </si>
  <si>
    <t>sob</t>
  </si>
  <si>
    <t>juramento</t>
  </si>
  <si>
    <t>abusos</t>
  </si>
  <si>
    <t>OBJ_11</t>
  </si>
  <si>
    <t>violações</t>
  </si>
  <si>
    <t>OBJ_12</t>
  </si>
  <si>
    <t>other_13</t>
  </si>
  <si>
    <t>other_14</t>
  </si>
  <si>
    <t>sabíamos</t>
  </si>
  <si>
    <t>SBJ_12</t>
  </si>
  <si>
    <t>ia</t>
  </si>
  <si>
    <t># text = Mas o que é especialmente interessante nisto tudo, sobre o facto de a NSA ter violado as suas próprias regras, as suas próprias leis, milhares de vezes num só ano, incluindo um determinado incidente, um incidente entre esses 2776, que afetou mais de 3000 pessoas.</t>
  </si>
  <si>
    <t>especialmente</t>
  </si>
  <si>
    <t>interessante</t>
  </si>
  <si>
    <t>tudo</t>
  </si>
  <si>
    <t>facto</t>
  </si>
  <si>
    <t>violado</t>
  </si>
  <si>
    <t>suas</t>
  </si>
  <si>
    <t>próprias</t>
  </si>
  <si>
    <t>incluindo</t>
  </si>
  <si>
    <t>determinado</t>
  </si>
  <si>
    <t>incidente</t>
  </si>
  <si>
    <t>2776</t>
  </si>
  <si>
    <t>afetou</t>
  </si>
  <si>
    <t>3000</t>
  </si>
  <si>
    <t># text = Noutro incidente, eles intercetaram, por acaso, todas as chamadas em Washington, D.C.</t>
  </si>
  <si>
    <t>intercetaram</t>
  </si>
  <si>
    <t>acaso</t>
  </si>
  <si>
    <t>D.C</t>
  </si>
  <si>
    <t># text = O que é impressionante nisto tudo, nesse relatório, que não despertou muita atenção, é o facto de que não só tinha havido 2776 violações, como a presidente da Comissão de informações do Senado , Dianne Feinstein, não tinha visto esse relatório até o Washington Post a ter contactado, pedindo-lhe um comentário sobre o relatório.</t>
  </si>
  <si>
    <t>impressionante</t>
  </si>
  <si>
    <t>relatório</t>
  </si>
  <si>
    <t>despertou</t>
  </si>
  <si>
    <t>muita</t>
  </si>
  <si>
    <t>atenção</t>
  </si>
  <si>
    <t>presidente</t>
  </si>
  <si>
    <t>Comissão</t>
  </si>
  <si>
    <t>Senado</t>
  </si>
  <si>
    <t>Dianne</t>
  </si>
  <si>
    <t>Feinstein</t>
  </si>
  <si>
    <t>contactado</t>
  </si>
  <si>
    <t>pedindo</t>
  </si>
  <si>
    <t>comentário</t>
  </si>
  <si>
    <t># text = E só depois é que ela solicitou uma cópia à NSA e recebeu-a, mas nunca a tinha visto antes disso.</t>
  </si>
  <si>
    <t>depois</t>
  </si>
  <si>
    <t>solicitou</t>
  </si>
  <si>
    <t>recebeu</t>
  </si>
  <si>
    <t>antes</t>
  </si>
  <si>
    <t># text = O que é que isto nos revela sobre o estado de fiscalização das informações americanas, quando a presidente da Comissão de Informações do Senado não faz ideia de que as regras estão a ser quebradas milhares de vezes por ano?</t>
  </si>
  <si>
    <t>revela</t>
  </si>
  <si>
    <t>estado</t>
  </si>
  <si>
    <t>fiscalização</t>
  </si>
  <si>
    <t>Informações</t>
  </si>
  <si>
    <t>faz</t>
  </si>
  <si>
    <t>ideia</t>
  </si>
  <si>
    <t>quebradas</t>
  </si>
  <si>
    <t># text = CA: Ed, a resposta a todo este debate é esta:</t>
  </si>
  <si>
    <t>resposta</t>
  </si>
  <si>
    <t># text = Porque é que devemos preocupar-nos com toda essa vigilância, sinceramente?</t>
  </si>
  <si>
    <t>Porque</t>
  </si>
  <si>
    <t>devemos</t>
  </si>
  <si>
    <t>preocupar</t>
  </si>
  <si>
    <t>sinceramente</t>
  </si>
  <si>
    <t># text = Quero dizer, se não fizemos nada de errado, não temos nada com que nos preocupar.</t>
  </si>
  <si>
    <t>fizemos</t>
  </si>
  <si>
    <t>nada</t>
  </si>
  <si>
    <t>errado</t>
  </si>
  <si>
    <t># text = Deste ponto de vista, qual é o mal?</t>
  </si>
  <si>
    <t>vista</t>
  </si>
  <si>
    <t>mal</t>
  </si>
  <si>
    <t># text = ES: Bem, a primeira coisa é que estamos a abdicar dos nossos direitos.</t>
  </si>
  <si>
    <t>Bem</t>
  </si>
  <si>
    <t>abdicar</t>
  </si>
  <si>
    <t># text = Dizemos: \"Penso que não vou precisar disso, portanto vou confiar nisso, vamos livrar-nos deles, o resto não importa, estes tipos estão a fazer o que é preciso'.</t>
  </si>
  <si>
    <t>Dizemos</t>
  </si>
  <si>
    <t>Penso</t>
  </si>
  <si>
    <t>vou</t>
  </si>
  <si>
    <t>portanto</t>
  </si>
  <si>
    <t>livrar</t>
  </si>
  <si>
    <t>resto</t>
  </si>
  <si>
    <t>tipos</t>
  </si>
  <si>
    <t>'</t>
  </si>
  <si>
    <t># text = Os nossos direitos são importantes porque nunca sabemos quando vamos precisar deles.</t>
  </si>
  <si>
    <t>importantes</t>
  </si>
  <si>
    <t>sabemos</t>
  </si>
  <si>
    <t># text = Além disso, é uma parte da nossa identidade cultural, não só na América, mas nas sociedades ocidentais e nas sociedades democráticas em todo o mundo.</t>
  </si>
  <si>
    <t>Além</t>
  </si>
  <si>
    <t>nossa</t>
  </si>
  <si>
    <t>identidade</t>
  </si>
  <si>
    <t>cultural</t>
  </si>
  <si>
    <t>ocidentais</t>
  </si>
  <si>
    <t>democráticas</t>
  </si>
  <si>
    <t># text = As pessoas deviam ter a liberdade de pegar no telefone e ligar para a família, de mandar uma mensagem escrita para os seus entes queridos, As pessoas deviam poder comprar um livro online, deviam poder viajar de comboio, deviam poder comprar uma passagem de avião sem se preocuparem se essas ações vão ser examinadas por um agente do governo, possivelmente, nem sequer do nosso governo, daqui a vários anos, se elas serão mal interpretadas e o que é que vão pensar quanto às nossas intenções.</t>
  </si>
  <si>
    <t>As</t>
  </si>
  <si>
    <t>pegar</t>
  </si>
  <si>
    <t>telefone</t>
  </si>
  <si>
    <t>ligar</t>
  </si>
  <si>
    <t>família</t>
  </si>
  <si>
    <t>mandar</t>
  </si>
  <si>
    <t>mensagem</t>
  </si>
  <si>
    <t>escrita</t>
  </si>
  <si>
    <t>entes</t>
  </si>
  <si>
    <t>queridos</t>
  </si>
  <si>
    <t>comprar</t>
  </si>
  <si>
    <t>livro</t>
  </si>
  <si>
    <t>online</t>
  </si>
  <si>
    <t>comboio</t>
  </si>
  <si>
    <t>passagem</t>
  </si>
  <si>
    <t>avião</t>
  </si>
  <si>
    <t>preocuparem</t>
  </si>
  <si>
    <t>ações</t>
  </si>
  <si>
    <t>examinadas</t>
  </si>
  <si>
    <t>agente</t>
  </si>
  <si>
    <t>possivelmente</t>
  </si>
  <si>
    <t>nem</t>
  </si>
  <si>
    <t>sequer</t>
  </si>
  <si>
    <t>nosso</t>
  </si>
  <si>
    <t>vários</t>
  </si>
  <si>
    <t>serão</t>
  </si>
  <si>
    <t>interpretadas</t>
  </si>
  <si>
    <t>quanto</t>
  </si>
  <si>
    <t>intenções</t>
  </si>
  <si>
    <t># text = Temos o direito à privacidade.</t>
  </si>
  <si>
    <t>Temos</t>
  </si>
  <si>
    <t># text = Exigimos que os mandados sejam baseados em causas prováveis ou nalgum tipo de suspeita individualizada porque reconhecemos que confiar a alguém, a qualquer autoridade do governo, todas as comunicações humanas em segredo e sem fiscalização é uma tentação demasiado boa para ser ignorada.</t>
  </si>
  <si>
    <t>Exigimos</t>
  </si>
  <si>
    <t>mandados</t>
  </si>
  <si>
    <t>sejam</t>
  </si>
  <si>
    <t>baseados</t>
  </si>
  <si>
    <t>causas</t>
  </si>
  <si>
    <t>prováveis</t>
  </si>
  <si>
    <t>nalgum</t>
  </si>
  <si>
    <t>suspeita</t>
  </si>
  <si>
    <t>individualizada</t>
  </si>
  <si>
    <t>reconhecemos</t>
  </si>
  <si>
    <t>qualquer</t>
  </si>
  <si>
    <t>humanas</t>
  </si>
  <si>
    <t>segredo</t>
  </si>
  <si>
    <t>tentação</t>
  </si>
  <si>
    <t>demasiado</t>
  </si>
  <si>
    <t>boa</t>
  </si>
  <si>
    <t>ignorada</t>
  </si>
  <si>
    <t># text = CA: Há pessoas furiosas com o que você fez.</t>
  </si>
  <si>
    <t>furiosas</t>
  </si>
  <si>
    <t>fez</t>
  </si>
  <si>
    <t># text = Ouvi recentemente uma citação de Dick Cheney que disse que Julian Assange foi uma picada de mosquito e que Edward Snowden é o leão que arrancou a cabeça do cachorro.</t>
  </si>
  <si>
    <t>Ouvi</t>
  </si>
  <si>
    <t>recentemente</t>
  </si>
  <si>
    <t>citação</t>
  </si>
  <si>
    <t>Dick</t>
  </si>
  <si>
    <t>Cheney</t>
  </si>
  <si>
    <t>disse</t>
  </si>
  <si>
    <t>Julian</t>
  </si>
  <si>
    <t>Assange</t>
  </si>
  <si>
    <t>picada</t>
  </si>
  <si>
    <t>mosquito</t>
  </si>
  <si>
    <t>leão</t>
  </si>
  <si>
    <t>arrancou</t>
  </si>
  <si>
    <t>cabeça</t>
  </si>
  <si>
    <t>cachorro</t>
  </si>
  <si>
    <t># text = Ele acha que você praticou um dos piores atos de traição da história americana.</t>
  </si>
  <si>
    <t>Ele</t>
  </si>
  <si>
    <t>acha</t>
  </si>
  <si>
    <t>praticou</t>
  </si>
  <si>
    <t>piores</t>
  </si>
  <si>
    <t>atos</t>
  </si>
  <si>
    <t>traição</t>
  </si>
  <si>
    <t>americana</t>
  </si>
  <si>
    <t># text = O que diria às pessoas que assim pensam?</t>
  </si>
  <si>
    <t>diria</t>
  </si>
  <si>
    <t>pensam</t>
  </si>
  <si>
    <t># text = ES: Dick Cheney é realmente um cromo.</t>
  </si>
  <si>
    <t>cromo</t>
  </si>
  <si>
    <t># text = Obrigado.</t>
  </si>
  <si>
    <t>Obrigado</t>
  </si>
  <si>
    <t># text = Acho isso espantoso porque, na altura em que Julian Assange estava a fazer um dos seus melhores trabalhos, Dick Cheney dizia que ele ia acabar com os governos em todo o mundo, que os céus iam pegar fogo e os mares iam começar a ferver, e agora anda a dizer que é só uma picada de mosquito!</t>
  </si>
  <si>
    <t>Acho</t>
  </si>
  <si>
    <t>espantoso</t>
  </si>
  <si>
    <t>altura</t>
  </si>
  <si>
    <t>melhores</t>
  </si>
  <si>
    <t>trabalhos</t>
  </si>
  <si>
    <t>dizia</t>
  </si>
  <si>
    <t>SBJ_11</t>
  </si>
  <si>
    <t>acabar</t>
  </si>
  <si>
    <t>governos</t>
  </si>
  <si>
    <t>OBJ_13</t>
  </si>
  <si>
    <t>céus</t>
  </si>
  <si>
    <t>SBJ_13</t>
  </si>
  <si>
    <t>iam</t>
  </si>
  <si>
    <t>fogo</t>
  </si>
  <si>
    <t>mares</t>
  </si>
  <si>
    <t>ferver</t>
  </si>
  <si>
    <t>agora</t>
  </si>
  <si>
    <t>anda</t>
  </si>
  <si>
    <t># text = Devíamos desconfiar também do mesmo tipo de afirmações pretensiosas sobre os danos à segurança nacional vindas desse tipo de funcionários.</t>
  </si>
  <si>
    <t>Devíamos</t>
  </si>
  <si>
    <t>desconfiar</t>
  </si>
  <si>
    <t>afirmações</t>
  </si>
  <si>
    <t>pretensiosas</t>
  </si>
  <si>
    <t>danos</t>
  </si>
  <si>
    <t>vindas</t>
  </si>
  <si>
    <t># text = Mas vamos partir do princípio que essas pessoas acreditam mesmo nisso.</t>
  </si>
  <si>
    <t>princípio</t>
  </si>
  <si>
    <t>acreditam</t>
  </si>
  <si>
    <t># text = Eu defenderia que elas têm um certo conceito limitado quanto a segurança nacional.</t>
  </si>
  <si>
    <t>Eu</t>
  </si>
  <si>
    <t>defenderia</t>
  </si>
  <si>
    <t>conceito</t>
  </si>
  <si>
    <t>limitado</t>
  </si>
  <si>
    <t># text = As prerrogativas de pessoas como Dick Cheney não tornam a nação mais segura .</t>
  </si>
  <si>
    <t>prerrogativas</t>
  </si>
  <si>
    <t>tornam</t>
  </si>
  <si>
    <t>nação</t>
  </si>
  <si>
    <t>segura</t>
  </si>
  <si>
    <t># text = O interesse público não é sempre o mesmo que o interesse nacional.</t>
  </si>
  <si>
    <t>interesse</t>
  </si>
  <si>
    <t>sempre</t>
  </si>
  <si>
    <t># text = Entrar em guerra com pessoas que não são nossos inimigos em locais que não são uma ameaça não nos torna mais seguros, e isso tanto se aplica ao Iraque como à Internet.</t>
  </si>
  <si>
    <t>Entrar</t>
  </si>
  <si>
    <t>guerra</t>
  </si>
  <si>
    <t>inimigos</t>
  </si>
  <si>
    <t>locais</t>
  </si>
  <si>
    <t>ameaça</t>
  </si>
  <si>
    <t>torna</t>
  </si>
  <si>
    <t>seguros</t>
  </si>
  <si>
    <t>tanto</t>
  </si>
  <si>
    <t>aplica</t>
  </si>
  <si>
    <t>Iraque</t>
  </si>
  <si>
    <t># text = A Internet não é o inimigo.</t>
  </si>
  <si>
    <t>inimigo</t>
  </si>
  <si>
    <t># text = A nossa economia não é o inimigo.</t>
  </si>
  <si>
    <t>economia</t>
  </si>
  <si>
    <t># text = O mundo empresarial americano, o mundo empresarial chinês, e qualquer outra empresa no mundo fazem parte da nossa sociedade, fazem parte do nosso mundo interligado.</t>
  </si>
  <si>
    <t>chinês</t>
  </si>
  <si>
    <t>fazem</t>
  </si>
  <si>
    <t>sociedade</t>
  </si>
  <si>
    <t>interligado</t>
  </si>
  <si>
    <t># text = Existem laços de fraternidade que nos unem.</t>
  </si>
  <si>
    <t>Existem</t>
  </si>
  <si>
    <t>laços</t>
  </si>
  <si>
    <t>fraternidade</t>
  </si>
  <si>
    <t>unem</t>
  </si>
  <si>
    <t># text = Se nós destruirmos esses laços enfraquecendo as normas, a segurança, e as formas de comportamento, que as nações e os cidadãos do mundo inteiro esperam que nós respeitemos...</t>
  </si>
  <si>
    <t>destruirmos</t>
  </si>
  <si>
    <t>enfraquecendo</t>
  </si>
  <si>
    <t>normas</t>
  </si>
  <si>
    <t>formas</t>
  </si>
  <si>
    <t>comportamento</t>
  </si>
  <si>
    <t>nações</t>
  </si>
  <si>
    <t>inteiro</t>
  </si>
  <si>
    <t>esperam</t>
  </si>
  <si>
    <t>respeitemos</t>
  </si>
  <si>
    <t># text = CA:</t>
  </si>
  <si>
    <t># text = Mas afirma-se que você \"roubou\" 1,7 milhões de documentos.</t>
  </si>
  <si>
    <t>afirma</t>
  </si>
  <si>
    <t>&amp;quot;roubou</t>
  </si>
  <si>
    <t>1,7</t>
  </si>
  <si>
    <t>milhões</t>
  </si>
  <si>
    <t># text = Parece que só algumas centenas deles foram transmitidos a jornalistas até agora.</t>
  </si>
  <si>
    <t>Parece</t>
  </si>
  <si>
    <t>centenas</t>
  </si>
  <si>
    <t>transmitidos</t>
  </si>
  <si>
    <t># text = Há mais revelações para aparecer?</t>
  </si>
  <si>
    <t># text = ES: Realmente, existem mais informações para aparecer.</t>
  </si>
  <si>
    <t>Realmente</t>
  </si>
  <si>
    <t>existem</t>
  </si>
  <si>
    <t># text = Mas eu penso que não há nenhuma questão mais importante que ainda venha a aparecer.</t>
  </si>
  <si>
    <t>nenhuma</t>
  </si>
  <si>
    <t>ainda</t>
  </si>
  <si>
    <t># text = CA: Venha cá, porque quero fazer-lhe uma pergunta sobre esta revelação em especial.</t>
  </si>
  <si>
    <t>Venha</t>
  </si>
  <si>
    <t>cá</t>
  </si>
  <si>
    <t>quero</t>
  </si>
  <si>
    <t>pergunta</t>
  </si>
  <si>
    <t>revelação</t>
  </si>
  <si>
    <t>especial</t>
  </si>
  <si>
    <t># text = Venha cá e dê uma olhadela nisto.</t>
  </si>
  <si>
    <t>dê</t>
  </si>
  <si>
    <t>olhadela</t>
  </si>
  <si>
    <t># text = Esta é a notícia que, segundo penso, para a maioria dos técnicos nesta sala é a coisa mais chocante que eles já ouviram nos últimos meses.</t>
  </si>
  <si>
    <t>maioria</t>
  </si>
  <si>
    <t>técnicos</t>
  </si>
  <si>
    <t>chocante</t>
  </si>
  <si>
    <t>ouviram</t>
  </si>
  <si>
    <t># text = É sobre um programa chamado Bullrun.</t>
  </si>
  <si>
    <t>Bullrun</t>
  </si>
  <si>
    <t># text = Pode explicar do que se trata?</t>
  </si>
  <si>
    <t>Pode</t>
  </si>
  <si>
    <t>explicar</t>
  </si>
  <si>
    <t>trata</t>
  </si>
  <si>
    <t># text = ES: O \"Bullrun\" e — mais uma vez, temos que agradecer à NSA a sua sinceridade — é um programa cujo nome corresponde a uma batalha da Guerra Civil.</t>
  </si>
  <si>
    <t>agradecer</t>
  </si>
  <si>
    <t>sua</t>
  </si>
  <si>
    <t>sinceridade</t>
  </si>
  <si>
    <t>cujo</t>
  </si>
  <si>
    <t>corresponde</t>
  </si>
  <si>
    <t>batalha</t>
  </si>
  <si>
    <t>Guerra</t>
  </si>
  <si>
    <t>Civil</t>
  </si>
  <si>
    <t># text = A contrapartida britânica chama-se Edgehill, uma batalha da guerra civil no Reino Unido.</t>
  </si>
  <si>
    <t>contrapartida</t>
  </si>
  <si>
    <t>britânica</t>
  </si>
  <si>
    <t>chama</t>
  </si>
  <si>
    <t>Edgehill</t>
  </si>
  <si>
    <t>civil</t>
  </si>
  <si>
    <t>Reino</t>
  </si>
  <si>
    <t>Unido</t>
  </si>
  <si>
    <t># text = Acredito que lhe deram esse nome porque tem como alvo a nossa própria infraestrutura.</t>
  </si>
  <si>
    <t>Acredito</t>
  </si>
  <si>
    <t>deram</t>
  </si>
  <si>
    <t>alvo</t>
  </si>
  <si>
    <t>infraestrutura</t>
  </si>
  <si>
    <t># text = São programas através dos quais a NSA engana intencionalmente os parceiros empresariais.</t>
  </si>
  <si>
    <t>São</t>
  </si>
  <si>
    <t>quais</t>
  </si>
  <si>
    <t>engana</t>
  </si>
  <si>
    <t>intencionalmente</t>
  </si>
  <si>
    <t>parceiros</t>
  </si>
  <si>
    <t>empresariais</t>
  </si>
  <si>
    <t># text = Dizem aos parceiros empresariais que são padrões seguros.</t>
  </si>
  <si>
    <t>Dizem</t>
  </si>
  <si>
    <t>padrões</t>
  </si>
  <si>
    <t># text = Dizem que é preciso trabalhar em conjunto para proteger os sistemas, mas, na verdade, estão a dar um mau conselho a essas empresas, o que faz com que elas enfraqueçam a segurança dos seus serviços.</t>
  </si>
  <si>
    <t>verdade</t>
  </si>
  <si>
    <t>mau</t>
  </si>
  <si>
    <t>conselho</t>
  </si>
  <si>
    <t>enfraqueçam</t>
  </si>
  <si>
    <t># text = Estão a construir nos bastidores coisas que não é só a NSA que pode explorar mas qualquer um que tenha tempo e dinheiro para procurar e encontrar e depois pode usar para entrar no mundo das comunicações mundiais.</t>
  </si>
  <si>
    <t>Estão</t>
  </si>
  <si>
    <t>construir</t>
  </si>
  <si>
    <t>explorar</t>
  </si>
  <si>
    <t>tenha</t>
  </si>
  <si>
    <t>dinheiro</t>
  </si>
  <si>
    <t>encontrar</t>
  </si>
  <si>
    <t>mundiais</t>
  </si>
  <si>
    <t># text = E isso é realmente muito perigoso porque, se perdermos um único padrão, se perdermos a confiança de uma coisa como o SSL, que foi o alvo específico do programa Bullrun, passamos a viver num mundo global menos seguro.</t>
  </si>
  <si>
    <t>perigoso</t>
  </si>
  <si>
    <t>perdermos</t>
  </si>
  <si>
    <t>único</t>
  </si>
  <si>
    <t>padrão</t>
  </si>
  <si>
    <t>confiança</t>
  </si>
  <si>
    <t>específico</t>
  </si>
  <si>
    <t>passamos</t>
  </si>
  <si>
    <t>global</t>
  </si>
  <si>
    <t>seguro</t>
  </si>
  <si>
    <t># text = Não poderemos aceder aos nosso bancos e não poderemos aceder ao comércio sem nos preocuparmos quanto às pessoas que fiscalizam essas informações ou que as subvertem para os seus próprios fins.</t>
  </si>
  <si>
    <t>poderemos</t>
  </si>
  <si>
    <t>aceder</t>
  </si>
  <si>
    <t>bancos</t>
  </si>
  <si>
    <t>comércio</t>
  </si>
  <si>
    <t>preocuparmos</t>
  </si>
  <si>
    <t>fiscalizam</t>
  </si>
  <si>
    <t>subvertem</t>
  </si>
  <si>
    <t>fins</t>
  </si>
  <si>
    <t># text = CA: E essas decisões também podem abrir a América a ataques cibernéticos de outras origens?</t>
  </si>
  <si>
    <t>abrir</t>
  </si>
  <si>
    <t>ataques</t>
  </si>
  <si>
    <t>outras</t>
  </si>
  <si>
    <t>origens</t>
  </si>
  <si>
    <t># text = ES: Com toda a certeza.</t>
  </si>
  <si>
    <t>certeza</t>
  </si>
  <si>
    <t># text = Um dos problemas, uma das heranças perigosas que temos visto na era pós 11/Set , é que a NSA costuma usar dois chapéus.</t>
  </si>
  <si>
    <t>Um</t>
  </si>
  <si>
    <t>problemas</t>
  </si>
  <si>
    <t>heranças</t>
  </si>
  <si>
    <t>perigosas</t>
  </si>
  <si>
    <t>pós</t>
  </si>
  <si>
    <t>11/Set</t>
  </si>
  <si>
    <t>costuma</t>
  </si>
  <si>
    <t>dois</t>
  </si>
  <si>
    <t>chapéus</t>
  </si>
  <si>
    <t># text = Tem sido responsável pelas operações ofensivas, ou seja a pirataria, mas também tem sido responsável pelas operações defensivas, e habitualmente tem dado sempre prioridade à defesa sobre o ataque, baseando-se no princípio de que os segredos americanos valem mais, pura e simplesmente.</t>
  </si>
  <si>
    <t>operações</t>
  </si>
  <si>
    <t>ofensivas</t>
  </si>
  <si>
    <t>pirataria</t>
  </si>
  <si>
    <t>defensivas</t>
  </si>
  <si>
    <t>habitualmente</t>
  </si>
  <si>
    <t>dado</t>
  </si>
  <si>
    <t>prioridade</t>
  </si>
  <si>
    <t>defesa</t>
  </si>
  <si>
    <t>ataque</t>
  </si>
  <si>
    <t>baseando</t>
  </si>
  <si>
    <t>segredos</t>
  </si>
  <si>
    <t>valem</t>
  </si>
  <si>
    <t>pura</t>
  </si>
  <si>
    <t>simplesmente</t>
  </si>
  <si>
    <t># text = Se nós piratearmos uma empresa chinesa e roubarmos os seus segredos, se piratearmos um gabinete governamental em Berlim isso tem menos valor para o povo americano do que ter a garantia de que os chineses não podem ter acesso aos nossos segredos.</t>
  </si>
  <si>
    <t>piratearmos</t>
  </si>
  <si>
    <t>chinesa</t>
  </si>
  <si>
    <t>roubarmos</t>
  </si>
  <si>
    <t>gabinete</t>
  </si>
  <si>
    <t>governamental</t>
  </si>
  <si>
    <t>Berlim</t>
  </si>
  <si>
    <t>valor</t>
  </si>
  <si>
    <t>garantia</t>
  </si>
  <si>
    <t># text = Por isso, ao reduzir a segurança das nossas comunicações, não só estão a colocar em risco o mundo, como estão a colocar em risco a América, porque a propriedade intelectual é a base, é o principio da nossa economia.</t>
  </si>
  <si>
    <t>reduzir</t>
  </si>
  <si>
    <t>propriedade</t>
  </si>
  <si>
    <t>intelectual</t>
  </si>
  <si>
    <t>principio</t>
  </si>
  <si>
    <t># text = Se a pusermos em risco através do enfraquecimento da segurança, vamos pagar por isso durante muitos anos.</t>
  </si>
  <si>
    <t>pusermos</t>
  </si>
  <si>
    <t>enfraquecimento</t>
  </si>
  <si>
    <t>muitos</t>
  </si>
  <si>
    <t># text = CA: Mas eles fizeram um cálculo de que valia a pena fazer isso para a defesa da América contra o terrorismo.</t>
  </si>
  <si>
    <t>fizeram</t>
  </si>
  <si>
    <t>cálculo</t>
  </si>
  <si>
    <t>valia</t>
  </si>
  <si>
    <t>pena</t>
  </si>
  <si>
    <t>contra</t>
  </si>
  <si>
    <t>terrorismo</t>
  </si>
  <si>
    <t># text = Sem dúvida que isso é um preço que vale a pena pagar.</t>
  </si>
  <si>
    <t>Sem</t>
  </si>
  <si>
    <t>dúvida</t>
  </si>
  <si>
    <t>preço</t>
  </si>
  <si>
    <t>vale</t>
  </si>
  <si>
    <t># text = ES: Bem, quando olhamos para os resultados desses programas para acabar com o terrorismo, vemos que eles não têm fundamento, e não precisam de acreditar na minha palavra porque tivemos a primeira audiência aberta, o primeiro tribunal federal que analisou isso, fora dos acordos secretos, que classificou esses programas de orwellianos e provavelmente inconstitucionais.</t>
  </si>
  <si>
    <t>resultados</t>
  </si>
  <si>
    <t>vemos</t>
  </si>
  <si>
    <t>fundamento</t>
  </si>
  <si>
    <t>acreditar</t>
  </si>
  <si>
    <t>palavra</t>
  </si>
  <si>
    <t>federal</t>
  </si>
  <si>
    <t>analisou</t>
  </si>
  <si>
    <t>fora</t>
  </si>
  <si>
    <t>classificou</t>
  </si>
  <si>
    <t>orwellianos</t>
  </si>
  <si>
    <t>provavelmente</t>
  </si>
  <si>
    <t>inconstitucionais</t>
  </si>
  <si>
    <t># text = O Congresso, que acabou por ser informado sobre essas coisas — e agora deseja continuar a ser — produziu projetos de lei para reformar isso.</t>
  </si>
  <si>
    <t>acabou</t>
  </si>
  <si>
    <t>informado</t>
  </si>
  <si>
    <t>deseja</t>
  </si>
  <si>
    <t>produziu</t>
  </si>
  <si>
    <t>projetos</t>
  </si>
  <si>
    <t>reformar</t>
  </si>
  <si>
    <t># text = Dois painéis independentes da Casa Branca, que verificaram todas as provas confidenciais, disseram que esses programas nunca impediram um único ataque terrorista que estivesse prestes a acontecer nos Estados Unidos.</t>
  </si>
  <si>
    <t>Dois</t>
  </si>
  <si>
    <t>painéis</t>
  </si>
  <si>
    <t>independentes</t>
  </si>
  <si>
    <t>Casa</t>
  </si>
  <si>
    <t>Branca</t>
  </si>
  <si>
    <t>verificaram</t>
  </si>
  <si>
    <t>provas</t>
  </si>
  <si>
    <t>impediram</t>
  </si>
  <si>
    <t>terrorista</t>
  </si>
  <si>
    <t>estivesse</t>
  </si>
  <si>
    <t>prestes</t>
  </si>
  <si>
    <t># text = Então, é realmente o terrorismo que estamos a evitar?</t>
  </si>
  <si>
    <t>evitar</t>
  </si>
  <si>
    <t># text = Esses programas têm algum valor?</t>
  </si>
  <si>
    <t>Esses</t>
  </si>
  <si>
    <t># text = Eu digo que não, e os três ramos do governo americano também dizem que não.</t>
  </si>
  <si>
    <t>digo</t>
  </si>
  <si>
    <t>três</t>
  </si>
  <si>
    <t>ramos</t>
  </si>
  <si>
    <t># text = CA: Você acha que eles têm uma motivação mais profunda do que a guerra contra o terrorismo?</t>
  </si>
  <si>
    <t>Você</t>
  </si>
  <si>
    <t>motivação</t>
  </si>
  <si>
    <t>profunda</t>
  </si>
  <si>
    <t># text = ES: Desculpe, não ouvi, pode repetir?</t>
  </si>
  <si>
    <t>Desculpe</t>
  </si>
  <si>
    <t>ouvi</t>
  </si>
  <si>
    <t>repetir</t>
  </si>
  <si>
    <t># text = CA: Desculpe.</t>
  </si>
  <si>
    <t># text = Pensa que eles têm ES: Sim.</t>
  </si>
  <si>
    <t>Pensa</t>
  </si>
  <si>
    <t>Sim</t>
  </si>
  <si>
    <t># text = O ponto de partida é que o terrorismo tem sido sempre o que nós, no mundo das informações, chamamos uma "cobertura para a ação".</t>
  </si>
  <si>
    <t>partida</t>
  </si>
  <si>
    <t>chamamos</t>
  </si>
  <si>
    <t>ação</t>
  </si>
  <si>
    <t># text = O terrorismo é uma coisa que provoca uma resposta emocional que permite que as pessoas racionalizem a autorização de poderes e programas que não concederiam de outro modo, programas do tipo do Bullrun e do Edgehill.</t>
  </si>
  <si>
    <t>provoca</t>
  </si>
  <si>
    <t>emocional</t>
  </si>
  <si>
    <t>racionalizem</t>
  </si>
  <si>
    <t>autorização</t>
  </si>
  <si>
    <t>poderes</t>
  </si>
  <si>
    <t>concederiam</t>
  </si>
  <si>
    <t>modo</t>
  </si>
  <si>
    <t># text = A NSA pediu esses poderes nos anos 90.</t>
  </si>
  <si>
    <t>pediu</t>
  </si>
  <si>
    <t>def-np.quant</t>
  </si>
  <si>
    <t># text = Pediram ao FBI para ir ao Congresso e defender a ideia.</t>
  </si>
  <si>
    <t>Pediram</t>
  </si>
  <si>
    <t>FBI</t>
  </si>
  <si>
    <t>ir</t>
  </si>
  <si>
    <t># text = O FBI foi a Congresso e defendeu a ideia, mas o Congresso e o povo americano disseram que não.</t>
  </si>
  <si>
    <t>defendeu</t>
  </si>
  <si>
    <t># text = Disseram que não compensava o risco para a economia.</t>
  </si>
  <si>
    <t>compensava</t>
  </si>
  <si>
    <t># text = Disseram que os prejuízos para a sociedade eram demasiado grandes para justificar os ganhos .</t>
  </si>
  <si>
    <t>prejuízos</t>
  </si>
  <si>
    <t>eram</t>
  </si>
  <si>
    <t>justificar</t>
  </si>
  <si>
    <t>ganhos</t>
  </si>
  <si>
    <t># text = Mas o que vimos na era pós 11/Set foi que usaram o sigilo e usaram a justificação do terrorismo para iniciar esses programas em segredo sem solicitar autorização do Congresso, sem perguntar ao povo americano.</t>
  </si>
  <si>
    <t>usaram</t>
  </si>
  <si>
    <t>sigilo</t>
  </si>
  <si>
    <t>justificação</t>
  </si>
  <si>
    <t>iniciar</t>
  </si>
  <si>
    <t>solicitar</t>
  </si>
  <si>
    <t># text = É contra este tipo de governo de bastidores que nós precisamos de lutar, porque diminui a nossa segurança e não oferece nenhum valor em troca.</t>
  </si>
  <si>
    <t>lutar</t>
  </si>
  <si>
    <t>diminui</t>
  </si>
  <si>
    <t>oferece</t>
  </si>
  <si>
    <t>troca</t>
  </si>
  <si>
    <t># text = CA: Ok, venha aqui por um segundo porque tenho uma pergunta mais pessoal para si, falando de terrorismo.</t>
  </si>
  <si>
    <t>Ok</t>
  </si>
  <si>
    <t>tenho</t>
  </si>
  <si>
    <t>pessoal</t>
  </si>
  <si>
    <t>falando</t>
  </si>
  <si>
    <t># text = A maioria das pessoas acharia a situação em que você se encontra agora, na Rússia, bastante assustadora.</t>
  </si>
  <si>
    <t>acharia</t>
  </si>
  <si>
    <t>encontra</t>
  </si>
  <si>
    <t>bastante</t>
  </si>
  <si>
    <t>assustadora</t>
  </si>
  <si>
    <t># text = Obviamente você soube o que aconteceu, qual o tratamento que teve Bradley Manning , que agora se chama Chelsea Manning, e há um artigo no Buzzfeed que diz que há pessoas na comunidade das informações que querem vê-lo morto.</t>
  </si>
  <si>
    <t>Obviamente</t>
  </si>
  <si>
    <t>soube</t>
  </si>
  <si>
    <t>aconteceu</t>
  </si>
  <si>
    <t>tratamento</t>
  </si>
  <si>
    <t>teve</t>
  </si>
  <si>
    <t>Bradley</t>
  </si>
  <si>
    <t>Manning</t>
  </si>
  <si>
    <t>Chelsea</t>
  </si>
  <si>
    <t>artigo</t>
  </si>
  <si>
    <t>Buzzfeed</t>
  </si>
  <si>
    <t>SBJ_10</t>
  </si>
  <si>
    <t>other_12</t>
  </si>
  <si>
    <t>SBJ_15</t>
  </si>
  <si>
    <t>querem</t>
  </si>
  <si>
    <t>lo</t>
  </si>
  <si>
    <t>OBJ_16</t>
  </si>
  <si>
    <t>morto</t>
  </si>
  <si>
    <t># text = Como é que encara isso?</t>
  </si>
  <si>
    <t>encara</t>
  </si>
  <si>
    <t># text = Como é que se está a dar com o medo?</t>
  </si>
  <si>
    <t>medo</t>
  </si>
  <si>
    <t># text = ES:</t>
  </si>
  <si>
    <t># text = Não é nenhum mistério que há governos por aí que querem ver-me morto.</t>
  </si>
  <si>
    <t>mistério</t>
  </si>
  <si>
    <t>aí</t>
  </si>
  <si>
    <t># text = Eu deixei claro, vezes sem conta, que adormeço todos os dias a pensar no que é que posso fazer pelo povo americano.</t>
  </si>
  <si>
    <t>deixei</t>
  </si>
  <si>
    <t>claro</t>
  </si>
  <si>
    <t>conta</t>
  </si>
  <si>
    <t>adormeço</t>
  </si>
  <si>
    <t>dias</t>
  </si>
  <si>
    <t># text = Não quero prejudicar o meu governo.</t>
  </si>
  <si>
    <t>prejudicar</t>
  </si>
  <si>
    <t>meu</t>
  </si>
  <si>
    <t># text = Quero ajudar o meu governo.</t>
  </si>
  <si>
    <t>ajudar</t>
  </si>
  <si>
    <t># text = Mas o facto de eles estarem dispostos a ignorar totalmente os procedimentos devidos, de estarem dispostos a declarar-me culpado sem sequer existir um julgamento, são coisas contra as quais temos que lutar enquanto sociedade, e dizer "isso não é apropriado".</t>
  </si>
  <si>
    <t>estarem</t>
  </si>
  <si>
    <t>dispostos</t>
  </si>
  <si>
    <t>ignorar</t>
  </si>
  <si>
    <t>totalmente</t>
  </si>
  <si>
    <t>procedimentos</t>
  </si>
  <si>
    <t>devidos</t>
  </si>
  <si>
    <t>declarar</t>
  </si>
  <si>
    <t>culpado</t>
  </si>
  <si>
    <t># text = Não devíamos ameaçar dissidentes.</t>
  </si>
  <si>
    <t>ameaçar</t>
  </si>
  <si>
    <t>dissidentes</t>
  </si>
  <si>
    <t># text = Não devíamos criminalizar o jornalismo.</t>
  </si>
  <si>
    <t>criminalizar</t>
  </si>
  <si>
    <t>jornalismo</t>
  </si>
  <si>
    <t># text = E tudo o que eu puder fazer para acabar com isso, fá-lo-ei com todo o gosto, apesar dos riscos.</t>
  </si>
  <si>
    <t>fá-lo-ei</t>
  </si>
  <si>
    <t>gosto</t>
  </si>
  <si>
    <t># text = CA: Gostava de obter algum feedback desta audiência porque sei que há reações muito diversas em relação a Edward Snowden.</t>
  </si>
  <si>
    <t>Gostava</t>
  </si>
  <si>
    <t>feedback</t>
  </si>
  <si>
    <t>reações</t>
  </si>
  <si>
    <t>diversas</t>
  </si>
  <si>
    <t># text = Suponham que têm as duas opções seguintes, ok?</t>
  </si>
  <si>
    <t>Suponham</t>
  </si>
  <si>
    <t>opções</t>
  </si>
  <si>
    <t>seguintes</t>
  </si>
  <si>
    <t>ok</t>
  </si>
  <si>
    <t># text = Consideram o que ele fez como um ato que, essencialmente, pôs em perigo a América ou consideram-no como um ato essencialmente heroico que pode ajudar a América e o bem mundial a longo prazo?</t>
  </si>
  <si>
    <t>Consideram</t>
  </si>
  <si>
    <t>ato</t>
  </si>
  <si>
    <t>essencialmente</t>
  </si>
  <si>
    <t>pôs</t>
  </si>
  <si>
    <t>perigo</t>
  </si>
  <si>
    <t>consideram</t>
  </si>
  <si>
    <t>no</t>
  </si>
  <si>
    <t>heroico</t>
  </si>
  <si>
    <t>prazo</t>
  </si>
  <si>
    <t># text = São as duas opções que vos dou.</t>
  </si>
  <si>
    <t>dou</t>
  </si>
  <si>
    <t># text = Tenho curiosidade em ver quem está disposto a votar pela primeira, ou seja, que é um ato irrefletido?</t>
  </si>
  <si>
    <t>curiosidade</t>
  </si>
  <si>
    <t>disposto</t>
  </si>
  <si>
    <t>votar</t>
  </si>
  <si>
    <t>irrefletido</t>
  </si>
  <si>
    <t># text = Há algumas mãos no ar.</t>
  </si>
  <si>
    <t>mãos</t>
  </si>
  <si>
    <t>ar</t>
  </si>
  <si>
    <t># text = Algumas mãos no ar.</t>
  </si>
  <si>
    <t># text = É difícil pôr a mão no ar quando o homem está mesmo aqui à nossa frente, mas eu estou a vê-las.</t>
  </si>
  <si>
    <t>difícil</t>
  </si>
  <si>
    <t>pôr</t>
  </si>
  <si>
    <t>estou</t>
  </si>
  <si>
    <t># text = Eu também vejo.</t>
  </si>
  <si>
    <t># text = CA: E quem está a favor da segunda opção, ou seja, um ato essencialmente heroico?</t>
  </si>
  <si>
    <t>favor</t>
  </si>
  <si>
    <t>segunda</t>
  </si>
  <si>
    <t>opção</t>
  </si>
  <si>
    <t># text = Penso que é correto dizer que há muitas pessoas que não levantaram a mão.</t>
  </si>
  <si>
    <t>correto</t>
  </si>
  <si>
    <t>levantaram</t>
  </si>
  <si>
    <t># text = Acho que ainda estão a pensar porque me parece que o debate à sua volta não se divide de acordo com as tradicionais linhas políticas.</t>
  </si>
  <si>
    <t>volta</t>
  </si>
  <si>
    <t>divide</t>
  </si>
  <si>
    <t>acordo</t>
  </si>
  <si>
    <t>tradicionais</t>
  </si>
  <si>
    <t>políticas</t>
  </si>
  <si>
    <t># text = Não é uma questão de esquerda ou de direita, não se trata de ser pró-governo, libertário, ou não.</t>
  </si>
  <si>
    <t>esquerda</t>
  </si>
  <si>
    <t>direita</t>
  </si>
  <si>
    <t>pró-governo</t>
  </si>
  <si>
    <t>libertário</t>
  </si>
  <si>
    <t># text = Parte dela é quase uma questão geracional.</t>
  </si>
  <si>
    <t>Parte</t>
  </si>
  <si>
    <t>quase</t>
  </si>
  <si>
    <t>geracional</t>
  </si>
  <si>
    <t># text = Fazemos parte de uma geração que cresceu com a Internet, e parece que nos ofendemos a um nível quase visceral quando vemos fazer qualquer coisa que achamos vai prejudicar a Internet.</t>
  </si>
  <si>
    <t>Fazemos</t>
  </si>
  <si>
    <t>cresceu</t>
  </si>
  <si>
    <t>ofendemos</t>
  </si>
  <si>
    <t>visceral</t>
  </si>
  <si>
    <t>achamos</t>
  </si>
  <si>
    <t>vai</t>
  </si>
  <si>
    <t># text = Haverá nisto alguma verdade?</t>
  </si>
  <si>
    <t>Haverá</t>
  </si>
  <si>
    <t># text = ES: Há.</t>
  </si>
  <si>
    <t># text = Acho que é verdade.</t>
  </si>
  <si>
    <t># text = Isto não é uma questão de esquerda ou de direita.</t>
  </si>
  <si>
    <t># text = As nossas liberdades básicas — e quando digo nossas, não me refiro apenas aos americanos, refiro-me a todas as pessoas no mundo — não são uma questão partidária.</t>
  </si>
  <si>
    <t>liberdades</t>
  </si>
  <si>
    <t>básicas</t>
  </si>
  <si>
    <t>refiro</t>
  </si>
  <si>
    <t>apenas</t>
  </si>
  <si>
    <t>partidária</t>
  </si>
  <si>
    <t># text = São coisas em que toda a gente acredita, e cabe-nos a todos nós protegê-las, e às pessoas que viram e beneficiaram de uma Internet livre e aberta.</t>
  </si>
  <si>
    <t>acredita</t>
  </si>
  <si>
    <t>cabe</t>
  </si>
  <si>
    <t>protegê</t>
  </si>
  <si>
    <t>viram</t>
  </si>
  <si>
    <t>beneficiaram</t>
  </si>
  <si>
    <t># text = Cabe-nos a nós preservar essa liberdade, para que a próxima geração dela beneficie.</t>
  </si>
  <si>
    <t>Cabe</t>
  </si>
  <si>
    <t>preservar</t>
  </si>
  <si>
    <t>próxima</t>
  </si>
  <si>
    <t>beneficie</t>
  </si>
  <si>
    <t># text = E se não mudarmos as coisas, se não nos erguermos para fazer as mudanças que é preciso fazer para manter uma Internet segura, não apenas para nós, mas para toda a gente, vamos perder isso.</t>
  </si>
  <si>
    <t>mudarmos</t>
  </si>
  <si>
    <t>erguermos</t>
  </si>
  <si>
    <t>mudanças</t>
  </si>
  <si>
    <t>manter</t>
  </si>
  <si>
    <t>perder</t>
  </si>
  <si>
    <t>OBJ_10</t>
  </si>
  <si>
    <t># text = Seria uma perda terrível, não só para nós, mas para o mundo inteiro.</t>
  </si>
  <si>
    <t>Seria</t>
  </si>
  <si>
    <t>perda</t>
  </si>
  <si>
    <t>terrível</t>
  </si>
  <si>
    <t># text = CA: Bem, há pouco tempo ouvi um palavreado semelhante ao fundador da wide web mundial, que, segundo penso, está aqui presente:</t>
  </si>
  <si>
    <t>pouco</t>
  </si>
  <si>
    <t>palavreado</t>
  </si>
  <si>
    <t>semelhante</t>
  </si>
  <si>
    <t>fundador</t>
  </si>
  <si>
    <t>wide</t>
  </si>
  <si>
    <t>web</t>
  </si>
  <si>
    <t>presente</t>
  </si>
  <si>
    <t># text = Sir Tim Berners-Lee.</t>
  </si>
  <si>
    <t>Berners-Lee</t>
  </si>
  <si>
    <t># text = Tim, quer vir aqui e dizer — arranjam um microfone para Tim?</t>
  </si>
  <si>
    <t>quer</t>
  </si>
  <si>
    <t>arranjam</t>
  </si>
  <si>
    <t>microfone</t>
  </si>
  <si>
    <t># text = Tim, prazer em vê-lo.</t>
  </si>
  <si>
    <t># text = Venha cá acima.</t>
  </si>
  <si>
    <t>acima</t>
  </si>
  <si>
    <t># text = A propósito, em que campo se situa, traidor, herói?</t>
  </si>
  <si>
    <t>campo</t>
  </si>
  <si>
    <t>situa</t>
  </si>
  <si>
    <t># text = Eu tenho uma teoria, mas...</t>
  </si>
  <si>
    <t>teoria</t>
  </si>
  <si>
    <t># text = Tim Berners-Lee:</t>
  </si>
  <si>
    <t># text = Podia dar uma resposta muito mais longa, mas... "herói", já que sou obrigado a escolher entre as duas.</t>
  </si>
  <si>
    <t>Podia</t>
  </si>
  <si>
    <t>longa</t>
  </si>
  <si>
    <t>escolher</t>
  </si>
  <si>
    <t># text = CA: Ed, acho que leu a proposta de que Sir</t>
  </si>
  <si>
    <t>leu</t>
  </si>
  <si>
    <t>proposta</t>
  </si>
  <si>
    <t># text = Tim falou sobre uma nova Magna Carta para recuperar a Internet.</t>
  </si>
  <si>
    <t>falou</t>
  </si>
  <si>
    <t>nova</t>
  </si>
  <si>
    <t>Magna</t>
  </si>
  <si>
    <t>Carta</t>
  </si>
  <si>
    <t>recuperar</t>
  </si>
  <si>
    <t># text = Acha que é uma coisa que faz sentido?</t>
  </si>
  <si>
    <t>Acha</t>
  </si>
  <si>
    <t>sentido</t>
  </si>
  <si>
    <t># text = ES: Obviamente.</t>
  </si>
  <si>
    <t># text = A minha geração...</t>
  </si>
  <si>
    <t># text = Eu não cresci a pensar na Internet, eu cresci dentro da Internet e, embora não estivesse à espera de ter a hipótese de defendê-la de modo tão direto e prático e corporizá-la deste modo invulgar, quase avatar, acho que há algo de poético no facto de um dos filhos da Internet se ter tornado íntimo da Internet em consequência da sua expressão política.</t>
  </si>
  <si>
    <t>cresci</t>
  </si>
  <si>
    <t>embora</t>
  </si>
  <si>
    <t>espera</t>
  </si>
  <si>
    <t>hipótese</t>
  </si>
  <si>
    <t>defendê</t>
  </si>
  <si>
    <t>la</t>
  </si>
  <si>
    <t>prático</t>
  </si>
  <si>
    <t>corporizá</t>
  </si>
  <si>
    <t>invulgar</t>
  </si>
  <si>
    <t>avatar</t>
  </si>
  <si>
    <t>algo</t>
  </si>
  <si>
    <t>poético</t>
  </si>
  <si>
    <t>filhos</t>
  </si>
  <si>
    <t>tornado</t>
  </si>
  <si>
    <t>íntimo</t>
  </si>
  <si>
    <t>consequência</t>
  </si>
  <si>
    <t>expressão</t>
  </si>
  <si>
    <t>política</t>
  </si>
  <si>
    <t># text = E acho que uma Magna Carta para a Internet é exatamente aquilo de que precisamos.</t>
  </si>
  <si>
    <t>exatamente</t>
  </si>
  <si>
    <t>aquilo</t>
  </si>
  <si>
    <t># text = Precisamos de um código para os nossos valores não apenas por escrito mas inserido na estrutura da Internet, e é uma coisa que desejo.</t>
  </si>
  <si>
    <t>Precisamos</t>
  </si>
  <si>
    <t>código</t>
  </si>
  <si>
    <t>valores</t>
  </si>
  <si>
    <t>escrito</t>
  </si>
  <si>
    <t>inserido</t>
  </si>
  <si>
    <t>estrutura</t>
  </si>
  <si>
    <t>desejo</t>
  </si>
  <si>
    <t># text = Convido toda a audiência, não apenas aqui em Vancouver, mas em todo o mundo, a aderir e a participar.</t>
  </si>
  <si>
    <t>Convido</t>
  </si>
  <si>
    <t>Vancouver</t>
  </si>
  <si>
    <t>aderir</t>
  </si>
  <si>
    <t>participar</t>
  </si>
  <si>
    <t># text = CA: Tem alguma pergunta a fazer a Ed? TBL:</t>
  </si>
  <si>
    <t>Ed?</t>
  </si>
  <si>
    <t>TBL</t>
  </si>
  <si>
    <t># text = Duas perguntas, uma pergunta de ordem geral... CA: Ed, ainda está a ouvir-nos?</t>
  </si>
  <si>
    <t>Duas</t>
  </si>
  <si>
    <t>ordem</t>
  </si>
  <si>
    <t>geral</t>
  </si>
  <si>
    <t># text = ES: Estou, estou a ouvir.</t>
  </si>
  <si>
    <t>Estou</t>
  </si>
  <si>
    <t># text = CA: Oh, já voltou.</t>
  </si>
  <si>
    <t>Oh</t>
  </si>
  <si>
    <t>voltou</t>
  </si>
  <si>
    <t># text = TBL: A escuta na sua linha teve uma pequena interferência por momentos.</t>
  </si>
  <si>
    <t>linha</t>
  </si>
  <si>
    <t>pequena</t>
  </si>
  <si>
    <t>interferência</t>
  </si>
  <si>
    <t>momentos</t>
  </si>
  <si>
    <t># text = ES: É um pouco problemático com a NSA.</t>
  </si>
  <si>
    <t>problemático</t>
  </si>
  <si>
    <t># text = TBL: Ao longo destes 25 anos, olhando para trás e refletindo, o que é que acha que será o melhor que podemos conseguir de todos os debates que temos tido sobre a web que queremos?</t>
  </si>
  <si>
    <t>olhando</t>
  </si>
  <si>
    <t>trás</t>
  </si>
  <si>
    <t>refletindo</t>
  </si>
  <si>
    <t>será</t>
  </si>
  <si>
    <t>debates</t>
  </si>
  <si>
    <t>tido</t>
  </si>
  <si>
    <t># text = Se pensarmos até onde podemos chegar, penso que é uma questão que só está limitada pelo que estamos dispostos a aceitar.</t>
  </si>
  <si>
    <t>pensarmos</t>
  </si>
  <si>
    <t>chegar</t>
  </si>
  <si>
    <t>limitada</t>
  </si>
  <si>
    <t>aceitar</t>
  </si>
  <si>
    <t># text = Penso que a Internet de que beneficiámos no passado é exatamente aquilo de que precisamos, não só enquanto nação, mas para as pessoas do mundo inteiro.</t>
  </si>
  <si>
    <t>beneficiámos</t>
  </si>
  <si>
    <t># text = E, cooperando, envolvendo não só as partes técnicas da sociedade mas, como você disse, os utilizadores.</t>
  </si>
  <si>
    <t>cooperando</t>
  </si>
  <si>
    <t>envolvendo</t>
  </si>
  <si>
    <t>partes</t>
  </si>
  <si>
    <t>técnicas</t>
  </si>
  <si>
    <t># text = as pessoas do mundo inteiro que contribuem através da Internet, através das redes sociais, as que apenas verificam o tempo, as que confiam nela todos os dias, como fazendo parte da sua vida, para defender isso.</t>
  </si>
  <si>
    <t>contribuem</t>
  </si>
  <si>
    <t>redes</t>
  </si>
  <si>
    <t>sociais</t>
  </si>
  <si>
    <t>verificam</t>
  </si>
  <si>
    <t>confiam</t>
  </si>
  <si>
    <t>fazendo</t>
  </si>
  <si>
    <t>vida</t>
  </si>
  <si>
    <t># text = Não só obteremos a Internet que tínhamos, mas uma Internet melhor, ainda melhor, uma coisa que podemos usar para construir um futuro que será melhor não apenas do que esperávamos mas melhor do que podíamos imaginar.</t>
  </si>
  <si>
    <t>obteremos</t>
  </si>
  <si>
    <t>tínhamos</t>
  </si>
  <si>
    <t>esperávamos</t>
  </si>
  <si>
    <t>podíamos</t>
  </si>
  <si>
    <t>imaginar</t>
  </si>
  <si>
    <t># text = CA: Há 30 anos que foi fundada a TED, em 1984.</t>
  </si>
  <si>
    <t>fundada</t>
  </si>
  <si>
    <t>1984</t>
  </si>
  <si>
    <t># text = Desde então tem havido muitas conversas sempre orientadas na linha de que George Orwell afinal estava errado.</t>
  </si>
  <si>
    <t>Desde</t>
  </si>
  <si>
    <t>então</t>
  </si>
  <si>
    <t>conversas</t>
  </si>
  <si>
    <t>orientadas</t>
  </si>
  <si>
    <t>George</t>
  </si>
  <si>
    <t>Orwell</t>
  </si>
  <si>
    <t>afinal</t>
  </si>
  <si>
    <t># text = Não é o Big Brother que nos está a vigiar.</t>
  </si>
  <si>
    <t>Big</t>
  </si>
  <si>
    <t>Brother</t>
  </si>
  <si>
    <t>vigiar</t>
  </si>
  <si>
    <t># text = Somos nós, pelo poder da web e da transparência, que estamos a vigiar o Big Brother.</t>
  </si>
  <si>
    <t>Somos</t>
  </si>
  <si>
    <t>transparência</t>
  </si>
  <si>
    <t># text = As suas revelações foram como uma estaca cravada no coração dessa perspetiva bastante otimista, mas você ainda acredita que há forma de fazer algo sobre isso.</t>
  </si>
  <si>
    <t>estaca</t>
  </si>
  <si>
    <t>cravada</t>
  </si>
  <si>
    <t>coração</t>
  </si>
  <si>
    <t>perspetiva</t>
  </si>
  <si>
    <t>otimista</t>
  </si>
  <si>
    <t># text = E você também.</t>
  </si>
  <si>
    <t># text = ES: Certo, há que reconhecer que os poderes do Big Brother aumentaram imenso.</t>
  </si>
  <si>
    <t>aumentaram</t>
  </si>
  <si>
    <t>imenso</t>
  </si>
  <si>
    <t># text = Apareceu recentemente um artigo em Yale que estabeleceu uma coisa chamada o Princípio de Bankston-Soltani, que diz que a nossa expetativa de privacidade é violada quando a capacidade de vigilância do governo se torna inferior numa ordem de grandeza, e, cada vez que isso acontece, precisamos de rever e de reequilibrar os nossos direitos de privacidade.</t>
  </si>
  <si>
    <t>Apareceu</t>
  </si>
  <si>
    <t>Yale</t>
  </si>
  <si>
    <t>estabeleceu</t>
  </si>
  <si>
    <t>Princípio</t>
  </si>
  <si>
    <t>Bankston-Soltani</t>
  </si>
  <si>
    <t>expetativa</t>
  </si>
  <si>
    <t>violada</t>
  </si>
  <si>
    <t>inferior</t>
  </si>
  <si>
    <t>grandeza</t>
  </si>
  <si>
    <t>rever</t>
  </si>
  <si>
    <t>reequilibrar</t>
  </si>
  <si>
    <t># text = Ora, isso não tem acontecido desde que os poderes aumentaram vários graus de grandeza, e é por isso que nos deparamos agora com este problema mas ainda há esperança, porque o poder dos indivíduos também tem aumentado através da tecnologia.</t>
  </si>
  <si>
    <t>Ora</t>
  </si>
  <si>
    <t>acontecido</t>
  </si>
  <si>
    <t>desde</t>
  </si>
  <si>
    <t>graus</t>
  </si>
  <si>
    <t>deparamos</t>
  </si>
  <si>
    <t>problema</t>
  </si>
  <si>
    <t>esperança</t>
  </si>
  <si>
    <t>indivíduos</t>
  </si>
  <si>
    <t>aumentado</t>
  </si>
  <si>
    <t># text = Eu sou uma prova viva de que um indivíduo pode erguer-se em pé de igualdade contra os adversários mais poderosos e contra as mais poderosas organizações de informações em todo o mundo, e ganhar.</t>
  </si>
  <si>
    <t>prova</t>
  </si>
  <si>
    <t>viva</t>
  </si>
  <si>
    <t>indivíduo</t>
  </si>
  <si>
    <t>erguer</t>
  </si>
  <si>
    <t>pé</t>
  </si>
  <si>
    <t>igualdade</t>
  </si>
  <si>
    <t>adversários</t>
  </si>
  <si>
    <t>poderosos</t>
  </si>
  <si>
    <t>poderosas</t>
  </si>
  <si>
    <t>organizações</t>
  </si>
  <si>
    <t>ganhar</t>
  </si>
  <si>
    <t># text = E penso que isso é uma coisa que nos permite ter esperança Precisamos de construi-la para torná-la acessível, não apenas aos especialistas técnicos, mas ao cidadão ordinário no mundo inteiro.</t>
  </si>
  <si>
    <t>construi</t>
  </si>
  <si>
    <t>torná</t>
  </si>
  <si>
    <t>acessível</t>
  </si>
  <si>
    <t>especialistas</t>
  </si>
  <si>
    <t>ordinário</t>
  </si>
  <si>
    <t># text = O jornalismo não é um crime, a comunicação não é um crime, e não devemos ser vigiados nas nossas atividades quotidianas.</t>
  </si>
  <si>
    <t>crime</t>
  </si>
  <si>
    <t>vigiados</t>
  </si>
  <si>
    <t>atividades</t>
  </si>
  <si>
    <t>quotidianas</t>
  </si>
  <si>
    <t># text = CA: Não sei muito bem como se aperta a mão a um robô.</t>
  </si>
  <si>
    <t>aperta</t>
  </si>
  <si>
    <t># text = mas julgo que a mão está aqui.</t>
  </si>
  <si>
    <t>julgo</t>
  </si>
  <si>
    <t># text = TBL: Em breve aparecerá.</t>
  </si>
  <si>
    <t>breve</t>
  </si>
  <si>
    <t>aparecerá</t>
  </si>
  <si>
    <t># text = ES: Foi um prazer conhecê-los, e espero que a minha imagem seja tão boa como a que eu tenho de todos vós.</t>
  </si>
  <si>
    <t>Foi</t>
  </si>
  <si>
    <t>conhecê</t>
  </si>
  <si>
    <t>los</t>
  </si>
  <si>
    <t>imagem</t>
  </si>
  <si>
    <t>vós</t>
  </si>
  <si>
    <t># text = CA: Obrigado, Tim.</t>
  </si>
  <si>
    <t># text = O New York Times recentemente pediu uma amnistia para si.</t>
  </si>
  <si>
    <t>New</t>
  </si>
  <si>
    <t>York</t>
  </si>
  <si>
    <t>Times</t>
  </si>
  <si>
    <t>amnistia</t>
  </si>
  <si>
    <t># text = Gostaria de ter hipótese de voltar à América?</t>
  </si>
  <si>
    <t>voltar</t>
  </si>
  <si>
    <t># text = ES: Claro.</t>
  </si>
  <si>
    <t>Claro</t>
  </si>
  <si>
    <t># text = Na verdade não há dúvida de que os princípios que estiveram na base deste projeto foram do interesse público e dos princípios subjacentes à instituição jornalística nos Estados Unidos e em todo o mundo, e penso que, se a imprensa anda agora a dizer, "apoiamos isso", é uma coisa que precisava de acontecer, é um argumento poderoso, mas não é o argumento final.</t>
  </si>
  <si>
    <t>princípios</t>
  </si>
  <si>
    <t>estiveram</t>
  </si>
  <si>
    <t>projeto</t>
  </si>
  <si>
    <t>subjacentes</t>
  </si>
  <si>
    <t>instituição</t>
  </si>
  <si>
    <t>jornalística</t>
  </si>
  <si>
    <t>apoiamos</t>
  </si>
  <si>
    <t>precisava</t>
  </si>
  <si>
    <t>argumento</t>
  </si>
  <si>
    <t>poderoso</t>
  </si>
  <si>
    <t>final</t>
  </si>
  <si>
    <t># text = Penso que é uma coisa que deve ser o público a decidir.</t>
  </si>
  <si>
    <t>decidir</t>
  </si>
  <si>
    <t># text = Mas, ao mesmo tempo, o governo deu a entender que quer uma espécie de acordo, quer que eu comprometa os jornalistas com quem tenho estado a trabalhar, para poder voltar.</t>
  </si>
  <si>
    <t>entender</t>
  </si>
  <si>
    <t>espécie</t>
  </si>
  <si>
    <t>comprometa</t>
  </si>
  <si>
    <t># text = Quero deixar muito claro que não fiz isto para ficar em segurança.</t>
  </si>
  <si>
    <t>fiz</t>
  </si>
  <si>
    <t>ficar</t>
  </si>
  <si>
    <t># text = Fiz isto para fazer o que estava certo, e não vou parar com o meu trabalho do interesse do público só para tirar daí benefícios.</t>
  </si>
  <si>
    <t>Fiz</t>
  </si>
  <si>
    <t>parar</t>
  </si>
  <si>
    <t>tirar</t>
  </si>
  <si>
    <t># text = CA: Entretanto, graças à Internet e a esta tecnologia, você voltou aqui, à América do Norte, não propriamente aos EUA, mas ao Canadá, sob esta forma.</t>
  </si>
  <si>
    <t>Entretanto</t>
  </si>
  <si>
    <t>graças</t>
  </si>
  <si>
    <t>Norte</t>
  </si>
  <si>
    <t>propriamente</t>
  </si>
  <si>
    <t>Canadá</t>
  </si>
  <si>
    <t># text = Sinto curiosidade, qual é a sensação?</t>
  </si>
  <si>
    <t>Sinto</t>
  </si>
  <si>
    <t>sensação</t>
  </si>
  <si>
    <t># text = ES: O Canadá é diferente do que eu esperava.</t>
  </si>
  <si>
    <t>diferente</t>
  </si>
  <si>
    <t>esperava</t>
  </si>
  <si>
    <t># text = É muito mais quente.</t>
  </si>
  <si>
    <t>quente</t>
  </si>
  <si>
    <t># text = CA: No TED, a missão é \"ideias que vale a pena espalhar\".</t>
  </si>
  <si>
    <t>missão</t>
  </si>
  <si>
    <t>ideias</t>
  </si>
  <si>
    <t>espalhar</t>
  </si>
  <si>
    <t># text = Se conseguisse resumir isso numa única ideia, qual é a sua ideia que vale a pena espalhar neste preciso momento?</t>
  </si>
  <si>
    <t>conseguisse</t>
  </si>
  <si>
    <t>resumir</t>
  </si>
  <si>
    <t>única</t>
  </si>
  <si>
    <t># text = ES: Diria que o ano passado foi uma chamada de atenção para o facto de a democracia poder morrer por detrás de portas fechadas, mas nós, enquanto indivíduos, nascemos por detrás dessas mesmas portas fechadas, e não temos que abdicar da nossa privacidade para termos um bom governo.</t>
  </si>
  <si>
    <t>democracia</t>
  </si>
  <si>
    <t>morrer</t>
  </si>
  <si>
    <t>portas</t>
  </si>
  <si>
    <t>fechadas</t>
  </si>
  <si>
    <t>nascemos</t>
  </si>
  <si>
    <t>termos</t>
  </si>
  <si>
    <t># text = Não temos que abdicar da nossa liberdade para ter segurança.</t>
  </si>
  <si>
    <t># text = E penso que, trabalhando em conjunto, podemos ter um governo aberto mas também vidas privadas.</t>
  </si>
  <si>
    <t>trabalhando</t>
  </si>
  <si>
    <t>aberto</t>
  </si>
  <si>
    <t>vidas</t>
  </si>
  <si>
    <t>privadas</t>
  </si>
  <si>
    <t># text = E espero poder trabalhar com toda a gente em todo o mundo para ver isso acontecer.</t>
  </si>
  <si>
    <t># text = Muito obrigado.</t>
  </si>
  <si>
    <t>Muito</t>
  </si>
  <si>
    <t># text = CA: Ed, obrigado.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</si>
</sst>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8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10</v>
      </c>
      <c r="C2" s="6" t="s">
        <v>11</v>
      </c>
      <c r="D2" s="7" t="s">
        <v>12</v>
      </c>
      <c r="E2" s="8" t="s">
        <v>13</v>
      </c>
      <c r="F2" s="6" t="s">
        <v>14</v>
      </c>
      <c r="G2" s="9">
        <f>IF(A2=1,"_",IF(C2="_","???",C2))</f>
        <v/>
      </c>
      <c r="H2" s="10" t="s">
        <v>11</v>
      </c>
      <c r="I2" s="11" t="s">
        <v>11</v>
      </c>
      <c r="J2" s="12"/>
    </row>
    <row r="3" spans="1:10" ht="60" customHeight="1">
      <c r="A3" s="6" t="s">
        <v>15</v>
      </c>
      <c r="B3" s="6" t="s">
        <v>15</v>
      </c>
      <c r="C3" s="6" t="s">
        <v>11</v>
      </c>
      <c r="D3" s="7" t="s">
        <v>16</v>
      </c>
      <c r="E3" s="8" t="s">
        <v>17</v>
      </c>
      <c r="F3" s="6" t="s">
        <v>18</v>
      </c>
      <c r="G3" s="9">
        <f>IF(A3=1,"_",IF(C3="_","???",C3))</f>
        <v/>
      </c>
      <c r="H3" s="10" t="s">
        <v>11</v>
      </c>
      <c r="I3" s="11" t="s">
        <v>11</v>
      </c>
      <c r="J3" s="12"/>
    </row>
    <row r="4" spans="1:10" ht="60" customHeight="1">
      <c r="A4" s="6" t="s">
        <v>19</v>
      </c>
      <c r="B4" s="6" t="s">
        <v>10</v>
      </c>
      <c r="C4" s="6" t="s">
        <v>11</v>
      </c>
      <c r="D4" s="7" t="s">
        <v>20</v>
      </c>
      <c r="E4" s="8" t="s">
        <v>21</v>
      </c>
      <c r="F4" s="6" t="s">
        <v>22</v>
      </c>
      <c r="G4" s="9">
        <f>IF(A4=1,"_",IF(C4="_","???",C4))</f>
        <v/>
      </c>
      <c r="H4" s="10" t="s">
        <v>11</v>
      </c>
      <c r="I4" s="11" t="s">
        <v>11</v>
      </c>
      <c r="J4" s="12"/>
    </row>
    <row r="5" spans="1:10" ht="60" customHeight="1">
      <c r="A5" s="6" t="s">
        <v>23</v>
      </c>
      <c r="B5" s="6" t="s">
        <v>24</v>
      </c>
      <c r="C5" s="6" t="s">
        <v>11</v>
      </c>
      <c r="D5" s="7" t="s">
        <v>25</v>
      </c>
      <c r="E5" s="8" t="s">
        <v>26</v>
      </c>
      <c r="F5" s="6" t="s">
        <v>27</v>
      </c>
      <c r="G5" s="9">
        <f>IF(A5=1,"_",IF(C5="_","???",C5))</f>
        <v/>
      </c>
      <c r="H5" s="10" t="s">
        <v>11</v>
      </c>
      <c r="I5" s="11" t="s">
        <v>11</v>
      </c>
      <c r="J5" s="12"/>
    </row>
    <row r="6" spans="1:10" ht="60" customHeight="1">
      <c r="A6" s="6" t="s">
        <v>24</v>
      </c>
      <c r="B6" s="6" t="s">
        <v>10</v>
      </c>
      <c r="C6" s="6" t="s">
        <v>11</v>
      </c>
      <c r="D6" s="7" t="s">
        <v>28</v>
      </c>
      <c r="E6" s="8" t="s">
        <v>29</v>
      </c>
      <c r="F6" s="6" t="s">
        <v>30</v>
      </c>
      <c r="G6" s="9">
        <f>IF(A6=1,"_",IF(C6="_","???",C6))</f>
        <v/>
      </c>
      <c r="H6" s="10" t="s">
        <v>11</v>
      </c>
      <c r="I6" s="11" t="s">
        <v>11</v>
      </c>
      <c r="J6" s="12"/>
    </row>
    <row r="7" spans="1:10" ht="60" customHeight="1">
      <c r="A7" s="6" t="s">
        <v>31</v>
      </c>
      <c r="B7" s="6" t="s">
        <v>19</v>
      </c>
      <c r="C7" s="6" t="s">
        <v>11</v>
      </c>
      <c r="D7" s="7" t="s">
        <v>32</v>
      </c>
      <c r="E7" s="8" t="s">
        <v>33</v>
      </c>
      <c r="F7" s="6" t="s">
        <v>34</v>
      </c>
      <c r="G7" s="9">
        <f>IF(A7=1,"_",IF(C7="_","???",C7))</f>
        <v/>
      </c>
      <c r="H7" s="10" t="s">
        <v>11</v>
      </c>
      <c r="I7" s="11" t="s">
        <v>11</v>
      </c>
      <c r="J7" s="12"/>
    </row>
    <row r="8" spans="1:10" ht="60" customHeight="1">
      <c r="A8" s="6" t="s">
        <v>35</v>
      </c>
      <c r="B8" s="6" t="s">
        <v>10</v>
      </c>
      <c r="C8" s="6" t="s">
        <v>11</v>
      </c>
      <c r="D8" s="7" t="s">
        <v>36</v>
      </c>
      <c r="E8" s="8" t="s">
        <v>37</v>
      </c>
      <c r="F8" s="6" t="s">
        <v>38</v>
      </c>
      <c r="G8" s="9">
        <f>IF(A8=1,"_",IF(C8="_","???",C8))</f>
        <v/>
      </c>
      <c r="H8" s="10" t="s">
        <v>11</v>
      </c>
      <c r="I8" s="11" t="s">
        <v>11</v>
      </c>
      <c r="J8" s="12"/>
    </row>
    <row r="9" spans="1:10" ht="60" customHeight="1">
      <c r="A9" s="6" t="s">
        <v>39</v>
      </c>
      <c r="B9" s="6" t="s">
        <v>15</v>
      </c>
      <c r="C9" s="6" t="s">
        <v>11</v>
      </c>
      <c r="D9" s="7" t="s">
        <v>40</v>
      </c>
      <c r="E9" s="8" t="s">
        <v>41</v>
      </c>
      <c r="F9" s="6" t="s">
        <v>42</v>
      </c>
      <c r="G9" s="9">
        <f>IF(A9=1,"_",IF(C9="_","???",C9))</f>
        <v/>
      </c>
      <c r="H9" s="10" t="s">
        <v>11</v>
      </c>
      <c r="I9" s="11" t="s">
        <v>11</v>
      </c>
      <c r="J9" s="12"/>
    </row>
    <row r="10" spans="1:10" ht="60" customHeight="1">
      <c r="A10" s="6" t="s">
        <v>43</v>
      </c>
      <c r="B10" s="6" t="s">
        <v>15</v>
      </c>
      <c r="C10" s="6" t="s">
        <v>11</v>
      </c>
      <c r="D10" s="7" t="s">
        <v>44</v>
      </c>
      <c r="E10" s="8" t="s">
        <v>45</v>
      </c>
      <c r="F10" s="6" t="s">
        <v>46</v>
      </c>
      <c r="G10" s="9">
        <f>IF(A10=1,"_",IF(C10="_","???",C10))</f>
        <v/>
      </c>
      <c r="H10" s="10" t="s">
        <v>11</v>
      </c>
      <c r="I10" s="11" t="s">
        <v>11</v>
      </c>
      <c r="J10" s="12"/>
    </row>
    <row r="11" spans="1:10" ht="60" customHeight="1">
      <c r="A11" s="6" t="s">
        <v>47</v>
      </c>
      <c r="B11" s="6" t="s">
        <v>10</v>
      </c>
      <c r="C11" s="6" t="s">
        <v>11</v>
      </c>
      <c r="D11" s="7" t="s">
        <v>48</v>
      </c>
      <c r="E11" s="8" t="s">
        <v>49</v>
      </c>
      <c r="F11" s="6" t="s">
        <v>50</v>
      </c>
      <c r="G11" s="9">
        <f>IF(A11=1,"_",IF(C11="_","???",C11))</f>
        <v/>
      </c>
      <c r="H11" s="10" t="s">
        <v>11</v>
      </c>
      <c r="I11" s="11" t="s">
        <v>11</v>
      </c>
      <c r="J11" s="12"/>
    </row>
    <row r="12" spans="1:10" ht="60" customHeight="1">
      <c r="A12" s="6" t="s">
        <v>51</v>
      </c>
      <c r="B12" s="6" t="s">
        <v>24</v>
      </c>
      <c r="C12" s="6" t="s">
        <v>11</v>
      </c>
      <c r="D12" s="7" t="s">
        <v>52</v>
      </c>
      <c r="E12" s="8" t="s">
        <v>53</v>
      </c>
      <c r="F12" s="6" t="s">
        <v>54</v>
      </c>
      <c r="G12" s="9">
        <f>IF(A12=1,"_",IF(C12="_","???",C12))</f>
        <v/>
      </c>
      <c r="H12" s="10" t="s">
        <v>11</v>
      </c>
      <c r="I12" s="11" t="s">
        <v>11</v>
      </c>
      <c r="J12" s="12"/>
    </row>
    <row r="13" spans="1:10" ht="60" customHeight="1">
      <c r="A13" s="6" t="s">
        <v>55</v>
      </c>
      <c r="B13" s="6" t="s">
        <v>10</v>
      </c>
      <c r="C13" s="6" t="s">
        <v>11</v>
      </c>
      <c r="D13" s="7" t="s">
        <v>56</v>
      </c>
      <c r="E13" s="8" t="s">
        <v>57</v>
      </c>
      <c r="F13" s="6" t="s">
        <v>58</v>
      </c>
      <c r="G13" s="9">
        <f>IF(A13=1,"_",IF(C13="_","???",C13))</f>
        <v/>
      </c>
      <c r="H13" s="10" t="s">
        <v>11</v>
      </c>
      <c r="I13" s="11" t="s">
        <v>11</v>
      </c>
      <c r="J13" s="12"/>
    </row>
    <row r="14" spans="1:10" ht="60" customHeight="1">
      <c r="A14" s="6" t="s">
        <v>59</v>
      </c>
      <c r="B14" s="6" t="s">
        <v>60</v>
      </c>
      <c r="C14" s="6" t="s">
        <v>11</v>
      </c>
      <c r="D14" s="7" t="s">
        <v>61</v>
      </c>
      <c r="E14" s="8" t="s">
        <v>62</v>
      </c>
      <c r="F14" s="6" t="s">
        <v>63</v>
      </c>
      <c r="G14" s="9">
        <f>IF(A14=1,"_",IF(C14="_","???",C14))</f>
        <v/>
      </c>
      <c r="H14" s="10" t="s">
        <v>11</v>
      </c>
      <c r="I14" s="11" t="s">
        <v>11</v>
      </c>
      <c r="J14" s="12"/>
    </row>
    <row r="15" spans="1:10" ht="60" customHeight="1">
      <c r="A15" s="6" t="s">
        <v>64</v>
      </c>
      <c r="B15" s="6" t="s">
        <v>15</v>
      </c>
      <c r="C15" s="6" t="s">
        <v>65</v>
      </c>
      <c r="D15" s="7" t="s">
        <v>66</v>
      </c>
      <c r="E15" s="8" t="s">
        <v>67</v>
      </c>
      <c r="F15" s="6" t="s">
        <v>68</v>
      </c>
      <c r="G15" s="9">
        <f>IF(A15=1,"_",IF(C15="_","???",C15))</f>
        <v/>
      </c>
      <c r="H15" s="10" t="s">
        <v>11</v>
      </c>
      <c r="I15" s="11" t="s">
        <v>11</v>
      </c>
      <c r="J15" s="12"/>
    </row>
    <row r="16" spans="1:10" ht="60" customHeight="1">
      <c r="A16" s="6" t="s">
        <v>69</v>
      </c>
      <c r="B16" s="6" t="s">
        <v>47</v>
      </c>
      <c r="C16" s="6" t="s">
        <v>11</v>
      </c>
      <c r="D16" s="7" t="s">
        <v>70</v>
      </c>
      <c r="E16" s="8" t="s">
        <v>71</v>
      </c>
      <c r="F16" s="6" t="s">
        <v>72</v>
      </c>
      <c r="G16" s="9">
        <f>IF(A16=1,"_",IF(C16="_","???",C16))</f>
        <v/>
      </c>
      <c r="H16" s="10" t="s">
        <v>11</v>
      </c>
      <c r="I16" s="11" t="s">
        <v>11</v>
      </c>
      <c r="J16" s="12"/>
    </row>
    <row r="17" spans="1:10" ht="60" customHeight="1">
      <c r="A17" s="6" t="s">
        <v>73</v>
      </c>
      <c r="B17" s="6" t="s">
        <v>31</v>
      </c>
      <c r="C17" s="6" t="s">
        <v>11</v>
      </c>
      <c r="D17" s="7" t="s">
        <v>74</v>
      </c>
      <c r="E17" s="8" t="s">
        <v>75</v>
      </c>
      <c r="F17" s="6" t="s">
        <v>76</v>
      </c>
      <c r="G17" s="9">
        <f>IF(A17=1,"_",IF(C17="_","???",C17))</f>
        <v/>
      </c>
      <c r="H17" s="10" t="s">
        <v>11</v>
      </c>
      <c r="I17" s="11" t="s">
        <v>11</v>
      </c>
      <c r="J17" s="12"/>
    </row>
    <row r="18" spans="1:10" ht="60" customHeight="1">
      <c r="A18" s="6" t="s">
        <v>77</v>
      </c>
      <c r="B18" s="6" t="s">
        <v>31</v>
      </c>
      <c r="C18" s="6" t="s">
        <v>11</v>
      </c>
      <c r="D18" s="7" t="s">
        <v>78</v>
      </c>
      <c r="E18" s="8" t="s">
        <v>79</v>
      </c>
      <c r="F18" s="6" t="s">
        <v>80</v>
      </c>
      <c r="G18" s="9">
        <f>IF(A18=1,"_",IF(C18="_","???",C18))</f>
        <v/>
      </c>
      <c r="H18" s="10" t="s">
        <v>11</v>
      </c>
      <c r="I18" s="11" t="s">
        <v>11</v>
      </c>
      <c r="J18" s="12"/>
    </row>
    <row r="19" spans="1:10" ht="60" customHeight="1">
      <c r="A19" s="6" t="s">
        <v>81</v>
      </c>
      <c r="B19" s="6" t="s">
        <v>19</v>
      </c>
      <c r="C19" s="6" t="s">
        <v>11</v>
      </c>
      <c r="D19" s="7" t="s">
        <v>82</v>
      </c>
      <c r="E19" s="8" t="s">
        <v>83</v>
      </c>
      <c r="F19" s="6" t="s">
        <v>84</v>
      </c>
      <c r="G19" s="9">
        <f>IF(A19=1,"_",IF(C19="_","???",C19))</f>
        <v/>
      </c>
      <c r="H19" s="10" t="s">
        <v>11</v>
      </c>
      <c r="I19" s="11" t="s">
        <v>11</v>
      </c>
      <c r="J19" s="12"/>
    </row>
    <row r="20" spans="1:10" ht="60" customHeight="1">
      <c r="A20" s="6" t="s">
        <v>85</v>
      </c>
      <c r="B20" s="6" t="s">
        <v>39</v>
      </c>
      <c r="C20" s="6" t="s">
        <v>11</v>
      </c>
      <c r="D20" s="7" t="s">
        <v>86</v>
      </c>
      <c r="E20" s="8" t="s">
        <v>87</v>
      </c>
      <c r="F20" s="6" t="s">
        <v>88</v>
      </c>
      <c r="G20" s="9">
        <f>IF(A20=1,"_",IF(C20="_","???",C20))</f>
        <v/>
      </c>
      <c r="H20" s="10" t="s">
        <v>11</v>
      </c>
      <c r="I20" s="11" t="s">
        <v>11</v>
      </c>
      <c r="J20" s="12"/>
    </row>
    <row r="21" spans="1:10" ht="60" customHeight="1">
      <c r="A21" s="6" t="s">
        <v>89</v>
      </c>
      <c r="B21" s="6" t="s">
        <v>15</v>
      </c>
      <c r="C21" s="6" t="s">
        <v>11</v>
      </c>
      <c r="D21" s="7" t="s">
        <v>86</v>
      </c>
      <c r="E21" s="8" t="s">
        <v>90</v>
      </c>
      <c r="F21" s="6" t="s">
        <v>91</v>
      </c>
      <c r="G21" s="9">
        <f>IF(A21=1,"_",IF(C21="_","???",C21))</f>
        <v/>
      </c>
      <c r="H21" s="10" t="s">
        <v>11</v>
      </c>
      <c r="I21" s="11" t="s">
        <v>11</v>
      </c>
      <c r="J21" s="12"/>
    </row>
    <row r="22" spans="1:10" ht="60" customHeight="1">
      <c r="A22" s="6" t="s">
        <v>92</v>
      </c>
      <c r="B22" s="6" t="s">
        <v>10</v>
      </c>
      <c r="C22" s="6" t="s">
        <v>11</v>
      </c>
      <c r="D22" s="7" t="s">
        <v>93</v>
      </c>
      <c r="E22" s="8" t="s">
        <v>94</v>
      </c>
      <c r="F22" s="6" t="s">
        <v>95</v>
      </c>
      <c r="G22" s="9">
        <f>IF(A22=1,"_",IF(C22="_","???",C22))</f>
        <v/>
      </c>
      <c r="H22" s="10" t="s">
        <v>11</v>
      </c>
      <c r="I22" s="11" t="s">
        <v>11</v>
      </c>
      <c r="J22" s="12"/>
    </row>
    <row r="23" spans="1:10" ht="60" customHeight="1">
      <c r="A23" s="6" t="s">
        <v>96</v>
      </c>
      <c r="B23" s="6" t="s">
        <v>97</v>
      </c>
      <c r="C23" s="6" t="s">
        <v>11</v>
      </c>
      <c r="D23" s="7" t="s">
        <v>98</v>
      </c>
      <c r="E23" s="8" t="s">
        <v>99</v>
      </c>
      <c r="F23" s="6" t="s">
        <v>100</v>
      </c>
      <c r="G23" s="9">
        <f>IF(A23=1,"_",IF(C23="_","???",C23))</f>
        <v/>
      </c>
      <c r="H23" s="10" t="s">
        <v>11</v>
      </c>
      <c r="I23" s="11" t="s">
        <v>11</v>
      </c>
      <c r="J23" s="12"/>
    </row>
    <row r="24" spans="1:10" ht="60" customHeight="1">
      <c r="A24" s="6" t="s">
        <v>101</v>
      </c>
      <c r="B24" s="6" t="s">
        <v>10</v>
      </c>
      <c r="C24" s="6" t="s">
        <v>11</v>
      </c>
      <c r="D24" s="7" t="s">
        <v>102</v>
      </c>
      <c r="E24" s="8" t="s">
        <v>103</v>
      </c>
      <c r="F24" s="6" t="s">
        <v>104</v>
      </c>
      <c r="G24" s="9">
        <f>IF(A24=1,"_",IF(C24="_","???",C24))</f>
        <v/>
      </c>
      <c r="H24" s="10" t="s">
        <v>11</v>
      </c>
      <c r="I24" s="11" t="s">
        <v>11</v>
      </c>
      <c r="J24" s="12"/>
    </row>
    <row r="25" spans="1:10" ht="60" customHeight="1">
      <c r="A25" s="6" t="s">
        <v>105</v>
      </c>
      <c r="B25" s="6" t="s">
        <v>19</v>
      </c>
      <c r="C25" s="6" t="s">
        <v>11</v>
      </c>
      <c r="D25" s="7" t="s">
        <v>106</v>
      </c>
      <c r="E25" s="8" t="s">
        <v>107</v>
      </c>
      <c r="F25" s="6" t="s">
        <v>108</v>
      </c>
      <c r="G25" s="9">
        <f>IF(A25=1,"_",IF(C25="_","???",C25))</f>
        <v/>
      </c>
      <c r="H25" s="10" t="s">
        <v>11</v>
      </c>
      <c r="I25" s="11" t="s">
        <v>11</v>
      </c>
      <c r="J25" s="12"/>
    </row>
    <row r="26" spans="1:10" ht="60" customHeight="1">
      <c r="A26" s="6" t="s">
        <v>109</v>
      </c>
      <c r="B26" s="6" t="s">
        <v>19</v>
      </c>
      <c r="C26" s="6" t="s">
        <v>11</v>
      </c>
      <c r="D26" s="7" t="s">
        <v>110</v>
      </c>
      <c r="E26" s="8" t="s">
        <v>111</v>
      </c>
      <c r="F26" s="6" t="s">
        <v>112</v>
      </c>
      <c r="G26" s="9">
        <f>IF(A26=1,"_",IF(C26="_","???",C26))</f>
        <v/>
      </c>
      <c r="H26" s="10" t="s">
        <v>11</v>
      </c>
      <c r="I26" s="11" t="s">
        <v>11</v>
      </c>
      <c r="J26" s="12"/>
    </row>
    <row r="27" spans="1:10" ht="60" customHeight="1">
      <c r="A27" s="6" t="s">
        <v>113</v>
      </c>
      <c r="B27" s="6" t="s">
        <v>10</v>
      </c>
      <c r="C27" s="6" t="s">
        <v>11</v>
      </c>
      <c r="D27" s="7" t="s">
        <v>114</v>
      </c>
      <c r="E27" s="8" t="s">
        <v>115</v>
      </c>
      <c r="F27" s="6" t="s">
        <v>116</v>
      </c>
      <c r="G27" s="9">
        <f>IF(A27=1,"_",IF(C27="_","???",C27))</f>
        <v/>
      </c>
      <c r="H27" s="10" t="s">
        <v>11</v>
      </c>
      <c r="I27" s="11" t="s">
        <v>11</v>
      </c>
      <c r="J27" s="12"/>
    </row>
    <row r="28" spans="1:10" ht="60" customHeight="1">
      <c r="A28" s="6" t="s">
        <v>117</v>
      </c>
      <c r="B28" s="6" t="s">
        <v>19</v>
      </c>
      <c r="C28" s="6" t="s">
        <v>11</v>
      </c>
      <c r="D28" s="7" t="s">
        <v>118</v>
      </c>
      <c r="E28" s="8" t="s">
        <v>119</v>
      </c>
      <c r="F28" s="6" t="s">
        <v>120</v>
      </c>
      <c r="G28" s="9">
        <f>IF(A28=1,"_",IF(C28="_","???",C28))</f>
        <v/>
      </c>
      <c r="H28" s="10" t="s">
        <v>11</v>
      </c>
      <c r="I28" s="11" t="s">
        <v>11</v>
      </c>
      <c r="J28" s="12"/>
    </row>
    <row r="29" spans="1:10" ht="60" customHeight="1">
      <c r="A29" s="6" t="s">
        <v>121</v>
      </c>
      <c r="B29" s="6" t="s">
        <v>81</v>
      </c>
      <c r="C29" s="6" t="s">
        <v>11</v>
      </c>
      <c r="D29" s="7" t="s">
        <v>114</v>
      </c>
      <c r="E29" s="8" t="s">
        <v>122</v>
      </c>
      <c r="F29" s="6" t="s">
        <v>123</v>
      </c>
      <c r="G29" s="9">
        <f>IF(A29=1,"_",IF(C29="_","???",C29))</f>
        <v/>
      </c>
      <c r="H29" s="10" t="s">
        <v>11</v>
      </c>
      <c r="I29" s="11" t="s">
        <v>11</v>
      </c>
      <c r="J29" s="12"/>
    </row>
    <row r="30" spans="1:10" ht="60" customHeight="1">
      <c r="A30" s="6" t="s">
        <v>124</v>
      </c>
      <c r="B30" s="6" t="s">
        <v>125</v>
      </c>
      <c r="C30" s="6" t="s">
        <v>11</v>
      </c>
      <c r="D30" s="7" t="s">
        <v>126</v>
      </c>
      <c r="E30" s="8" t="s">
        <v>127</v>
      </c>
      <c r="F30" s="6" t="s">
        <v>128</v>
      </c>
      <c r="G30" s="9">
        <f>IF(A30=1,"_",IF(C30="_","???",C30))</f>
        <v/>
      </c>
      <c r="H30" s="10" t="s">
        <v>11</v>
      </c>
      <c r="I30" s="11" t="s">
        <v>11</v>
      </c>
      <c r="J30" s="12"/>
    </row>
    <row r="31" spans="1:10" ht="60" customHeight="1">
      <c r="A31" s="6" t="s">
        <v>129</v>
      </c>
      <c r="B31" s="6" t="s">
        <v>130</v>
      </c>
      <c r="C31" s="6" t="s">
        <v>11</v>
      </c>
      <c r="D31" s="7" t="s">
        <v>98</v>
      </c>
      <c r="E31" s="8" t="s">
        <v>131</v>
      </c>
      <c r="F31" s="6" t="s">
        <v>132</v>
      </c>
      <c r="G31" s="9">
        <f>IF(A31=1,"_",IF(C31="_","???",C31))</f>
        <v/>
      </c>
      <c r="H31" s="10" t="s">
        <v>11</v>
      </c>
      <c r="I31" s="11" t="s">
        <v>11</v>
      </c>
      <c r="J31" s="12"/>
    </row>
    <row r="32" spans="1:10" ht="60" customHeight="1">
      <c r="A32" s="6" t="s">
        <v>133</v>
      </c>
      <c r="B32" s="6" t="s">
        <v>69</v>
      </c>
      <c r="C32" s="6" t="s">
        <v>11</v>
      </c>
      <c r="D32" s="7" t="s">
        <v>134</v>
      </c>
      <c r="E32" s="8" t="s">
        <v>135</v>
      </c>
      <c r="F32" s="6" t="s">
        <v>136</v>
      </c>
      <c r="G32" s="9">
        <f>IF(A32=1,"_",IF(C32="_","???",C32))</f>
        <v/>
      </c>
      <c r="H32" s="10" t="s">
        <v>11</v>
      </c>
      <c r="I32" s="11" t="s">
        <v>11</v>
      </c>
      <c r="J32" s="12"/>
    </row>
    <row r="33" spans="1:10" ht="60" customHeight="1">
      <c r="A33" s="6" t="s">
        <v>130</v>
      </c>
      <c r="B33" s="6" t="s">
        <v>15</v>
      </c>
      <c r="C33" s="6" t="s">
        <v>11</v>
      </c>
      <c r="D33" s="7" t="s">
        <v>137</v>
      </c>
      <c r="E33" s="8" t="s">
        <v>138</v>
      </c>
      <c r="F33" s="6" t="s">
        <v>139</v>
      </c>
      <c r="G33" s="9">
        <f>IF(A33=1,"_",IF(C33="_","???",C33))</f>
        <v/>
      </c>
      <c r="H33" s="10" t="s">
        <v>11</v>
      </c>
      <c r="I33" s="11" t="s">
        <v>11</v>
      </c>
      <c r="J33" s="12"/>
    </row>
    <row r="34" spans="1:10" ht="60" customHeight="1">
      <c r="A34" s="6" t="s">
        <v>140</v>
      </c>
      <c r="B34" s="6" t="s">
        <v>31</v>
      </c>
      <c r="C34" s="6" t="s">
        <v>11</v>
      </c>
      <c r="D34" s="7" t="s">
        <v>141</v>
      </c>
      <c r="E34" s="8" t="s">
        <v>142</v>
      </c>
      <c r="F34" s="6" t="s">
        <v>143</v>
      </c>
      <c r="G34" s="9">
        <f>IF(A34=1,"_",IF(C34="_","???",C34))</f>
        <v/>
      </c>
      <c r="H34" s="10" t="s">
        <v>11</v>
      </c>
      <c r="I34" s="11" t="s">
        <v>11</v>
      </c>
      <c r="J34" s="12"/>
    </row>
    <row r="35" spans="1:10" ht="60" customHeight="1">
      <c r="A35" s="6" t="s">
        <v>144</v>
      </c>
      <c r="B35" s="6" t="s">
        <v>23</v>
      </c>
      <c r="C35" s="6" t="s">
        <v>11</v>
      </c>
      <c r="D35" s="7" t="s">
        <v>145</v>
      </c>
      <c r="E35" s="8" t="s">
        <v>146</v>
      </c>
      <c r="F35" s="6" t="s">
        <v>147</v>
      </c>
      <c r="G35" s="9">
        <f>IF(A35=1,"_",IF(C35="_","???",C35))</f>
        <v/>
      </c>
      <c r="H35" s="10" t="s">
        <v>11</v>
      </c>
      <c r="I35" s="11" t="s">
        <v>11</v>
      </c>
      <c r="J35" s="12"/>
    </row>
    <row r="36" spans="1:10" ht="60" customHeight="1">
      <c r="A36" s="6" t="s">
        <v>148</v>
      </c>
      <c r="B36" s="6" t="s">
        <v>15</v>
      </c>
      <c r="C36" s="6" t="s">
        <v>11</v>
      </c>
      <c r="D36" s="7" t="s">
        <v>149</v>
      </c>
      <c r="E36" s="8" t="s">
        <v>150</v>
      </c>
      <c r="F36" s="6" t="s">
        <v>151</v>
      </c>
      <c r="G36" s="9">
        <f>IF(A36=1,"_",IF(C36="_","???",C36))</f>
        <v/>
      </c>
      <c r="H36" s="10" t="s">
        <v>11</v>
      </c>
      <c r="I36" s="11" t="s">
        <v>11</v>
      </c>
      <c r="J36" s="12"/>
    </row>
    <row r="37" spans="1:10" ht="60" customHeight="1">
      <c r="A37" s="6" t="s">
        <v>152</v>
      </c>
      <c r="B37" s="6" t="s">
        <v>23</v>
      </c>
      <c r="C37" s="6" t="s">
        <v>11</v>
      </c>
      <c r="D37" s="7" t="s">
        <v>153</v>
      </c>
      <c r="E37" s="8" t="s">
        <v>154</v>
      </c>
      <c r="F37" s="6" t="s">
        <v>155</v>
      </c>
      <c r="G37" s="9">
        <f>IF(A37=1,"_",IF(C37="_","???",C37))</f>
        <v/>
      </c>
      <c r="H37" s="10" t="s">
        <v>11</v>
      </c>
      <c r="I37" s="11" t="s">
        <v>11</v>
      </c>
      <c r="J37" s="12"/>
    </row>
    <row r="38" spans="1:10" ht="60" customHeight="1">
      <c r="A38" s="6" t="s">
        <v>156</v>
      </c>
      <c r="B38" s="6" t="s">
        <v>15</v>
      </c>
      <c r="C38" s="6" t="s">
        <v>11</v>
      </c>
      <c r="D38" s="7" t="s">
        <v>157</v>
      </c>
      <c r="E38" s="8" t="s">
        <v>158</v>
      </c>
      <c r="F38" s="6" t="s">
        <v>159</v>
      </c>
      <c r="G38" s="9">
        <f>IF(A38=1,"_",IF(C38="_","???",C38))</f>
        <v/>
      </c>
      <c r="H38" s="10" t="s">
        <v>11</v>
      </c>
      <c r="I38" s="11" t="s">
        <v>11</v>
      </c>
      <c r="J38" s="12"/>
    </row>
    <row r="39" spans="1:10" ht="60" customHeight="1">
      <c r="A39" s="6" t="s">
        <v>160</v>
      </c>
      <c r="B39" s="6" t="s">
        <v>15</v>
      </c>
      <c r="C39" s="6" t="s">
        <v>11</v>
      </c>
      <c r="D39" s="7" t="s">
        <v>70</v>
      </c>
      <c r="E39" s="8" t="s">
        <v>161</v>
      </c>
      <c r="F39" s="6" t="s">
        <v>162</v>
      </c>
      <c r="G39" s="9">
        <f>IF(A39=1,"_",IF(C39="_","???",C39))</f>
        <v/>
      </c>
      <c r="H39" s="10" t="s">
        <v>11</v>
      </c>
      <c r="I39" s="11" t="s">
        <v>11</v>
      </c>
      <c r="J39" s="12"/>
    </row>
    <row r="40" spans="1:10" ht="60" customHeight="1">
      <c r="A40" s="6" t="s">
        <v>163</v>
      </c>
      <c r="B40" s="6" t="s">
        <v>69</v>
      </c>
      <c r="C40" s="6" t="s">
        <v>11</v>
      </c>
      <c r="D40" s="7" t="s">
        <v>164</v>
      </c>
      <c r="E40" s="8" t="s">
        <v>165</v>
      </c>
      <c r="F40" s="6" t="s">
        <v>166</v>
      </c>
      <c r="G40" s="9">
        <f>IF(A40=1,"_",IF(C40="_","???",C40))</f>
        <v/>
      </c>
      <c r="H40" s="10" t="s">
        <v>11</v>
      </c>
      <c r="I40" s="11" t="s">
        <v>11</v>
      </c>
      <c r="J40" s="12"/>
    </row>
    <row r="41" spans="1:10" ht="60" customHeight="1">
      <c r="A41" s="6" t="s">
        <v>167</v>
      </c>
      <c r="B41" s="6" t="s">
        <v>43</v>
      </c>
      <c r="C41" s="6" t="s">
        <v>11</v>
      </c>
      <c r="D41" s="7" t="s">
        <v>168</v>
      </c>
      <c r="E41" s="8" t="s">
        <v>169</v>
      </c>
      <c r="F41" s="6" t="s">
        <v>170</v>
      </c>
      <c r="G41" s="9">
        <f>IF(A41=1,"_",IF(C41="_","???",C41))</f>
        <v/>
      </c>
      <c r="H41" s="10" t="s">
        <v>11</v>
      </c>
      <c r="I41" s="11" t="s">
        <v>11</v>
      </c>
      <c r="J41" s="12"/>
    </row>
    <row r="42" spans="1:10" ht="60" customHeight="1">
      <c r="A42" s="6" t="s">
        <v>171</v>
      </c>
      <c r="B42" s="6" t="s">
        <v>19</v>
      </c>
      <c r="C42" s="6" t="s">
        <v>11</v>
      </c>
      <c r="D42" s="7" t="s">
        <v>172</v>
      </c>
      <c r="E42" s="8" t="s">
        <v>173</v>
      </c>
      <c r="F42" s="6" t="s">
        <v>174</v>
      </c>
      <c r="G42" s="9">
        <f>IF(A42=1,"_",IF(C42="_","???",C42))</f>
        <v/>
      </c>
      <c r="H42" s="10" t="s">
        <v>11</v>
      </c>
      <c r="I42" s="11" t="s">
        <v>11</v>
      </c>
      <c r="J42" s="12"/>
    </row>
    <row r="43" spans="1:10" ht="60" customHeight="1">
      <c r="A43" s="6" t="s">
        <v>97</v>
      </c>
      <c r="B43" s="6" t="s">
        <v>23</v>
      </c>
      <c r="C43" s="6" t="s">
        <v>11</v>
      </c>
      <c r="D43" s="7" t="s">
        <v>175</v>
      </c>
      <c r="E43" s="8" t="s">
        <v>176</v>
      </c>
      <c r="F43" s="6" t="s">
        <v>177</v>
      </c>
      <c r="G43" s="9">
        <f>IF(A43=1,"_",IF(C43="_","???",C43))</f>
        <v/>
      </c>
      <c r="H43" s="10" t="s">
        <v>11</v>
      </c>
      <c r="I43" s="11" t="s">
        <v>11</v>
      </c>
      <c r="J43" s="12"/>
    </row>
    <row r="44" spans="1:10" ht="60" customHeight="1">
      <c r="A44" s="6" t="s">
        <v>178</v>
      </c>
      <c r="B44" s="6" t="s">
        <v>19</v>
      </c>
      <c r="C44" s="6" t="s">
        <v>11</v>
      </c>
      <c r="D44" s="7" t="s">
        <v>179</v>
      </c>
      <c r="E44" s="8" t="s">
        <v>180</v>
      </c>
      <c r="F44" s="6" t="s">
        <v>181</v>
      </c>
      <c r="G44" s="9">
        <f>IF(A44=1,"_",IF(C44="_","???",C44))</f>
        <v/>
      </c>
      <c r="H44" s="10" t="s">
        <v>11</v>
      </c>
      <c r="I44" s="11" t="s">
        <v>11</v>
      </c>
      <c r="J44" s="12"/>
    </row>
    <row r="45" spans="1:10" ht="60" customHeight="1">
      <c r="A45" s="6" t="s">
        <v>182</v>
      </c>
      <c r="B45" s="6" t="s">
        <v>43</v>
      </c>
      <c r="C45" s="6" t="s">
        <v>11</v>
      </c>
      <c r="D45" s="7" t="s">
        <v>70</v>
      </c>
      <c r="E45" s="8" t="s">
        <v>183</v>
      </c>
      <c r="F45" s="6" t="s">
        <v>184</v>
      </c>
      <c r="G45" s="9">
        <f>IF(A45=1,"_",IF(C45="_","???",C45))</f>
        <v/>
      </c>
      <c r="H45" s="10" t="s">
        <v>11</v>
      </c>
      <c r="I45" s="11" t="s">
        <v>11</v>
      </c>
      <c r="J45" s="12"/>
    </row>
    <row r="46" spans="1:10" ht="60" customHeight="1">
      <c r="A46" s="6" t="s">
        <v>185</v>
      </c>
      <c r="B46" s="6" t="s">
        <v>69</v>
      </c>
      <c r="C46" s="6" t="s">
        <v>11</v>
      </c>
      <c r="D46" s="7" t="s">
        <v>186</v>
      </c>
      <c r="E46" s="8" t="s">
        <v>187</v>
      </c>
      <c r="F46" s="6" t="s">
        <v>188</v>
      </c>
      <c r="G46" s="9">
        <f>IF(A46=1,"_",IF(C46="_","???",C46))</f>
        <v/>
      </c>
      <c r="H46" s="10" t="s">
        <v>11</v>
      </c>
      <c r="I46" s="11" t="s">
        <v>11</v>
      </c>
      <c r="J46" s="12"/>
    </row>
    <row r="47" spans="1:10" ht="60" customHeight="1">
      <c r="A47" s="6" t="s">
        <v>189</v>
      </c>
      <c r="B47" s="6" t="s">
        <v>15</v>
      </c>
      <c r="C47" s="6" t="s">
        <v>11</v>
      </c>
      <c r="D47" s="7" t="s">
        <v>114</v>
      </c>
      <c r="E47" s="8" t="s">
        <v>190</v>
      </c>
      <c r="F47" s="6" t="s">
        <v>191</v>
      </c>
      <c r="G47" s="9">
        <f>IF(A47=1,"_",IF(C47="_","???",C47))</f>
        <v/>
      </c>
      <c r="H47" s="10" t="s">
        <v>11</v>
      </c>
      <c r="I47" s="11" t="s">
        <v>11</v>
      </c>
      <c r="J47" s="12"/>
    </row>
    <row r="48" spans="1:10" ht="60" customHeight="1">
      <c r="A48" s="6" t="s">
        <v>192</v>
      </c>
      <c r="B48" s="6" t="s">
        <v>19</v>
      </c>
      <c r="C48" s="6" t="s">
        <v>11</v>
      </c>
      <c r="D48" s="7" t="s">
        <v>193</v>
      </c>
      <c r="E48" s="8" t="s">
        <v>194</v>
      </c>
      <c r="F48" s="6" t="s">
        <v>195</v>
      </c>
      <c r="G48" s="9">
        <f>IF(A48=1,"_",IF(C48="_","???",C48))</f>
        <v/>
      </c>
      <c r="H48" s="10" t="s">
        <v>11</v>
      </c>
      <c r="I48" s="11" t="s">
        <v>11</v>
      </c>
      <c r="J48" s="12"/>
    </row>
    <row r="49" spans="1:10" ht="60" customHeight="1">
      <c r="A49" s="6" t="s">
        <v>196</v>
      </c>
      <c r="B49" s="6" t="s">
        <v>19</v>
      </c>
      <c r="C49" s="6" t="s">
        <v>11</v>
      </c>
      <c r="D49" s="7" t="s">
        <v>197</v>
      </c>
      <c r="E49" s="8" t="s">
        <v>198</v>
      </c>
      <c r="F49" s="6" t="s">
        <v>199</v>
      </c>
      <c r="G49" s="9">
        <f>IF(A49=1,"_",IF(C49="_","???",C49))</f>
        <v/>
      </c>
      <c r="H49" s="10" t="s">
        <v>11</v>
      </c>
      <c r="I49" s="11" t="s">
        <v>11</v>
      </c>
      <c r="J49" s="12"/>
    </row>
    <row r="50" spans="1:10" ht="60" customHeight="1">
      <c r="A50" s="6" t="s">
        <v>200</v>
      </c>
      <c r="B50" s="6" t="s">
        <v>10</v>
      </c>
      <c r="C50" s="6" t="s">
        <v>11</v>
      </c>
      <c r="D50" s="7" t="s">
        <v>48</v>
      </c>
      <c r="E50" s="8" t="s">
        <v>201</v>
      </c>
      <c r="F50" s="6" t="s">
        <v>202</v>
      </c>
      <c r="G50" s="9">
        <f>IF(A50=1,"_",IF(C50="_","???",C50))</f>
        <v/>
      </c>
      <c r="H50" s="10" t="s">
        <v>11</v>
      </c>
      <c r="I50" s="11" t="s">
        <v>11</v>
      </c>
      <c r="J50" s="12"/>
    </row>
    <row r="51" spans="1:10" ht="60" customHeight="1">
      <c r="A51" s="6" t="s">
        <v>203</v>
      </c>
      <c r="B51" s="6" t="s">
        <v>23</v>
      </c>
      <c r="C51" s="6" t="s">
        <v>11</v>
      </c>
      <c r="D51" s="7" t="s">
        <v>204</v>
      </c>
      <c r="E51" s="8" t="s">
        <v>205</v>
      </c>
      <c r="F51" s="6" t="s">
        <v>206</v>
      </c>
      <c r="G51" s="9">
        <f>IF(A51=1,"_",IF(C51="_","???",C51))</f>
        <v/>
      </c>
      <c r="H51" s="10" t="s">
        <v>11</v>
      </c>
      <c r="I51" s="11" t="s">
        <v>11</v>
      </c>
      <c r="J51" s="12"/>
    </row>
    <row r="52" spans="1:10" ht="60" customHeight="1">
      <c r="A52" s="6" t="s">
        <v>207</v>
      </c>
      <c r="B52" s="6" t="s">
        <v>31</v>
      </c>
      <c r="C52" s="6" t="s">
        <v>11</v>
      </c>
      <c r="D52" s="7" t="s">
        <v>208</v>
      </c>
      <c r="E52" s="8" t="s">
        <v>209</v>
      </c>
      <c r="F52" s="6" t="s">
        <v>210</v>
      </c>
      <c r="G52" s="9">
        <f>IF(A52=1,"_",IF(C52="_","???",C52))</f>
        <v/>
      </c>
      <c r="H52" s="10" t="s">
        <v>11</v>
      </c>
      <c r="I52" s="11" t="s">
        <v>11</v>
      </c>
      <c r="J52" s="12"/>
    </row>
    <row r="53" spans="1:10" ht="60" customHeight="1">
      <c r="A53" s="6" t="s">
        <v>211</v>
      </c>
      <c r="B53" s="6" t="s">
        <v>10</v>
      </c>
      <c r="C53" s="6" t="s">
        <v>11</v>
      </c>
      <c r="D53" s="7" t="s">
        <v>56</v>
      </c>
      <c r="E53" s="8" t="s">
        <v>212</v>
      </c>
      <c r="F53" s="6" t="s">
        <v>213</v>
      </c>
      <c r="G53" s="9">
        <f>IF(A53=1,"_",IF(C53="_","???",C53))</f>
        <v/>
      </c>
      <c r="H53" s="10" t="s">
        <v>11</v>
      </c>
      <c r="I53" s="11" t="s">
        <v>11</v>
      </c>
      <c r="J53" s="12"/>
    </row>
    <row r="54" spans="1:10" ht="60" customHeight="1">
      <c r="A54" s="6" t="s">
        <v>214</v>
      </c>
      <c r="B54" s="6" t="s">
        <v>35</v>
      </c>
      <c r="C54" s="6" t="s">
        <v>11</v>
      </c>
      <c r="D54" s="7" t="s">
        <v>215</v>
      </c>
      <c r="E54" s="8" t="s">
        <v>216</v>
      </c>
      <c r="F54" s="6" t="s">
        <v>217</v>
      </c>
      <c r="G54" s="9">
        <f>IF(A54=1,"_",IF(C54="_","???",C54))</f>
        <v/>
      </c>
      <c r="H54" s="10" t="s">
        <v>11</v>
      </c>
      <c r="I54" s="11" t="s">
        <v>11</v>
      </c>
      <c r="J54" s="12"/>
    </row>
    <row r="55" spans="1:10" ht="60" customHeight="1">
      <c r="A55" s="6" t="s">
        <v>218</v>
      </c>
      <c r="B55" s="6" t="s">
        <v>10</v>
      </c>
      <c r="C55" s="6" t="s">
        <v>219</v>
      </c>
      <c r="D55" s="7" t="s">
        <v>102</v>
      </c>
      <c r="E55" s="8" t="s">
        <v>220</v>
      </c>
      <c r="F55" s="6" t="s">
        <v>221</v>
      </c>
      <c r="G55" s="9">
        <f>IF(A55=1,"_",IF(C55="_","???",C55))</f>
        <v/>
      </c>
      <c r="H55" s="10" t="s">
        <v>11</v>
      </c>
      <c r="I55" s="11" t="s">
        <v>11</v>
      </c>
      <c r="J55" s="12"/>
    </row>
    <row r="56" spans="1:10" ht="60" customHeight="1">
      <c r="A56" s="6" t="s">
        <v>222</v>
      </c>
      <c r="B56" s="6" t="s">
        <v>19</v>
      </c>
      <c r="C56" s="6" t="s">
        <v>11</v>
      </c>
      <c r="D56" s="7" t="s">
        <v>223</v>
      </c>
      <c r="E56" s="8" t="s">
        <v>224</v>
      </c>
      <c r="F56" s="6" t="s">
        <v>225</v>
      </c>
      <c r="G56" s="9">
        <f>IF(A56=1,"_",IF(C56="_","???",C56))</f>
        <v/>
      </c>
      <c r="H56" s="10" t="s">
        <v>11</v>
      </c>
      <c r="I56" s="11" t="s">
        <v>11</v>
      </c>
      <c r="J56" s="12"/>
    </row>
    <row r="57" spans="1:10" ht="60" customHeight="1">
      <c r="A57" s="6" t="s">
        <v>226</v>
      </c>
      <c r="B57" s="6" t="s">
        <v>15</v>
      </c>
      <c r="C57" s="6" t="s">
        <v>11</v>
      </c>
      <c r="D57" s="7" t="s">
        <v>227</v>
      </c>
      <c r="E57" s="8" t="s">
        <v>228</v>
      </c>
      <c r="F57" s="6" t="s">
        <v>229</v>
      </c>
      <c r="G57" s="9">
        <f>IF(A57=1,"_",IF(C57="_","???",C57))</f>
        <v/>
      </c>
      <c r="H57" s="10" t="s">
        <v>11</v>
      </c>
      <c r="I57" s="11" t="s">
        <v>11</v>
      </c>
      <c r="J57" s="12"/>
    </row>
    <row r="58" spans="1:10" ht="60" customHeight="1">
      <c r="A58" s="6" t="s">
        <v>230</v>
      </c>
      <c r="B58" s="6" t="s">
        <v>15</v>
      </c>
      <c r="C58" s="6" t="s">
        <v>11</v>
      </c>
      <c r="D58" s="7" t="s">
        <v>231</v>
      </c>
      <c r="E58" s="8" t="s">
        <v>232</v>
      </c>
      <c r="F58" s="6" t="s">
        <v>233</v>
      </c>
      <c r="G58" s="9">
        <f>IF(A58=1,"_",IF(C58="_","???",C58))</f>
        <v/>
      </c>
      <c r="H58" s="10" t="s">
        <v>11</v>
      </c>
      <c r="I58" s="11" t="s">
        <v>11</v>
      </c>
      <c r="J58" s="12"/>
    </row>
    <row r="59" spans="1:10" ht="60" customHeight="1">
      <c r="A59" s="6" t="s">
        <v>234</v>
      </c>
      <c r="B59" s="6" t="s">
        <v>15</v>
      </c>
      <c r="C59" s="6" t="s">
        <v>11</v>
      </c>
      <c r="D59" s="7" t="s">
        <v>231</v>
      </c>
      <c r="E59" s="8" t="s">
        <v>235</v>
      </c>
      <c r="F59" s="6" t="s">
        <v>236</v>
      </c>
      <c r="G59" s="9">
        <f>IF(A59=1,"_",IF(C59="_","???",C59))</f>
        <v/>
      </c>
      <c r="H59" s="10" t="s">
        <v>11</v>
      </c>
      <c r="I59" s="11" t="s">
        <v>11</v>
      </c>
      <c r="J59" s="12"/>
    </row>
    <row r="60" spans="1:10" ht="60" customHeight="1">
      <c r="A60" s="6" t="s">
        <v>237</v>
      </c>
      <c r="B60" s="6" t="s">
        <v>23</v>
      </c>
      <c r="C60" s="6" t="s">
        <v>11</v>
      </c>
      <c r="D60" s="7" t="s">
        <v>238</v>
      </c>
      <c r="E60" s="8" t="s">
        <v>239</v>
      </c>
      <c r="F60" s="6" t="s">
        <v>240</v>
      </c>
      <c r="G60" s="9">
        <f>IF(A60=1,"_",IF(C60="_","???",C60))</f>
        <v/>
      </c>
      <c r="H60" s="10" t="s">
        <v>11</v>
      </c>
      <c r="I60" s="11" t="s">
        <v>11</v>
      </c>
      <c r="J60" s="12"/>
    </row>
    <row r="61" spans="1:10" ht="60" customHeight="1">
      <c r="A61" s="6" t="s">
        <v>241</v>
      </c>
      <c r="B61" s="6" t="s">
        <v>19</v>
      </c>
      <c r="C61" s="6" t="s">
        <v>11</v>
      </c>
      <c r="D61" s="7" t="s">
        <v>242</v>
      </c>
      <c r="E61" s="8" t="s">
        <v>243</v>
      </c>
      <c r="F61" s="6" t="s">
        <v>244</v>
      </c>
      <c r="G61" s="9">
        <f>IF(A61=1,"_",IF(C61="_","???",C61))</f>
        <v/>
      </c>
      <c r="H61" s="10" t="s">
        <v>11</v>
      </c>
      <c r="I61" s="11" t="s">
        <v>11</v>
      </c>
      <c r="J61" s="12"/>
    </row>
    <row r="62" spans="1:10" ht="60" customHeight="1">
      <c r="A62" s="6" t="s">
        <v>245</v>
      </c>
      <c r="B62" s="6" t="s">
        <v>10</v>
      </c>
      <c r="C62" s="6" t="s">
        <v>11</v>
      </c>
      <c r="D62" s="7" t="s">
        <v>114</v>
      </c>
      <c r="E62" s="8" t="s">
        <v>246</v>
      </c>
      <c r="F62" s="6" t="s">
        <v>247</v>
      </c>
      <c r="G62" s="9">
        <f>IF(A62=1,"_",IF(C62="_","???",C62))</f>
        <v/>
      </c>
      <c r="H62" s="10" t="s">
        <v>11</v>
      </c>
      <c r="I62" s="11" t="s">
        <v>11</v>
      </c>
      <c r="J62" s="12"/>
    </row>
    <row r="63" spans="1:10" ht="60" customHeight="1">
      <c r="A63" s="6" t="s">
        <v>248</v>
      </c>
      <c r="B63" s="6" t="s">
        <v>10</v>
      </c>
      <c r="C63" s="6" t="s">
        <v>11</v>
      </c>
      <c r="D63" s="7" t="s">
        <v>137</v>
      </c>
      <c r="E63" s="8" t="s">
        <v>249</v>
      </c>
      <c r="F63" s="6" t="s">
        <v>250</v>
      </c>
      <c r="G63" s="9">
        <f>IF(A63=1,"_",IF(C63="_","???",C63))</f>
        <v/>
      </c>
      <c r="H63" s="10" t="s">
        <v>11</v>
      </c>
      <c r="I63" s="11" t="s">
        <v>11</v>
      </c>
      <c r="J63" s="12"/>
    </row>
    <row r="64" spans="1:10" ht="60" customHeight="1">
      <c r="A64" s="6" t="s">
        <v>251</v>
      </c>
      <c r="B64" s="6" t="s">
        <v>117</v>
      </c>
      <c r="C64" s="6" t="s">
        <v>11</v>
      </c>
      <c r="D64" s="7" t="s">
        <v>252</v>
      </c>
      <c r="E64" s="8" t="s">
        <v>253</v>
      </c>
      <c r="F64" s="6" t="s">
        <v>254</v>
      </c>
      <c r="G64" s="9">
        <f>IF(A64=1,"_",IF(C64="_","???",C64))</f>
        <v/>
      </c>
      <c r="H64" s="10" t="s">
        <v>11</v>
      </c>
      <c r="I64" s="11" t="s">
        <v>11</v>
      </c>
      <c r="J64" s="12"/>
    </row>
    <row r="65" spans="1:10" ht="60" customHeight="1">
      <c r="A65" s="6" t="s">
        <v>255</v>
      </c>
      <c r="B65" s="6" t="s">
        <v>31</v>
      </c>
      <c r="C65" s="6" t="s">
        <v>11</v>
      </c>
      <c r="D65" s="7" t="s">
        <v>256</v>
      </c>
      <c r="E65" s="8" t="s">
        <v>257</v>
      </c>
      <c r="F65" s="6" t="s">
        <v>258</v>
      </c>
      <c r="G65" s="9">
        <f>IF(A65=1,"_",IF(C65="_","???",C65))</f>
        <v/>
      </c>
      <c r="H65" s="10" t="s">
        <v>11</v>
      </c>
      <c r="I65" s="11" t="s">
        <v>11</v>
      </c>
      <c r="J65" s="12"/>
    </row>
    <row r="66" spans="1:10" ht="60" customHeight="1">
      <c r="A66" s="6" t="s">
        <v>259</v>
      </c>
      <c r="B66" s="6" t="s">
        <v>19</v>
      </c>
      <c r="C66" s="6" t="s">
        <v>11</v>
      </c>
      <c r="D66" s="7" t="s">
        <v>61</v>
      </c>
      <c r="E66" s="8" t="s">
        <v>260</v>
      </c>
      <c r="F66" s="6" t="s">
        <v>261</v>
      </c>
      <c r="G66" s="9">
        <f>IF(A66=1,"_",IF(C66="_","???",C66))</f>
        <v/>
      </c>
      <c r="H66" s="10" t="s">
        <v>11</v>
      </c>
      <c r="I66" s="11" t="s">
        <v>11</v>
      </c>
      <c r="J66" s="12"/>
    </row>
    <row r="67" spans="1:10" ht="60" customHeight="1">
      <c r="A67" s="6" t="s">
        <v>262</v>
      </c>
      <c r="B67" s="6" t="s">
        <v>10</v>
      </c>
      <c r="C67" s="6" t="s">
        <v>11</v>
      </c>
      <c r="D67" s="7" t="s">
        <v>263</v>
      </c>
      <c r="E67" s="8" t="s">
        <v>264</v>
      </c>
      <c r="F67" s="6" t="s">
        <v>265</v>
      </c>
      <c r="G67" s="9">
        <f>IF(A67=1,"_",IF(C67="_","???",C67))</f>
        <v/>
      </c>
      <c r="H67" s="10" t="s">
        <v>11</v>
      </c>
      <c r="I67" s="11" t="s">
        <v>11</v>
      </c>
      <c r="J67" s="12"/>
    </row>
    <row r="68" spans="1:10" ht="60" customHeight="1">
      <c r="A68" s="6" t="s">
        <v>266</v>
      </c>
      <c r="B68" s="6" t="s">
        <v>10</v>
      </c>
      <c r="C68" s="6" t="s">
        <v>11</v>
      </c>
      <c r="D68" s="7" t="s">
        <v>48</v>
      </c>
      <c r="E68" s="8" t="s">
        <v>267</v>
      </c>
      <c r="F68" s="6" t="s">
        <v>268</v>
      </c>
      <c r="G68" s="9">
        <f>IF(A68=1,"_",IF(C68="_","???",C68))</f>
        <v/>
      </c>
      <c r="H68" s="10" t="s">
        <v>11</v>
      </c>
      <c r="I68" s="11" t="s">
        <v>11</v>
      </c>
      <c r="J68" s="12"/>
    </row>
    <row r="69" spans="1:10" ht="60" customHeight="1">
      <c r="A69" s="6" t="s">
        <v>269</v>
      </c>
      <c r="B69" s="6" t="s">
        <v>10</v>
      </c>
      <c r="C69" s="6" t="s">
        <v>11</v>
      </c>
      <c r="D69" s="7" t="s">
        <v>56</v>
      </c>
      <c r="E69" s="8" t="s">
        <v>270</v>
      </c>
      <c r="F69" s="6" t="s">
        <v>271</v>
      </c>
      <c r="G69" s="9">
        <f>IF(A69=1,"_",IF(C69="_","???",C69))</f>
        <v/>
      </c>
      <c r="H69" s="10" t="s">
        <v>11</v>
      </c>
      <c r="I69" s="11" t="s">
        <v>11</v>
      </c>
      <c r="J69" s="12"/>
    </row>
    <row r="70" spans="1:10" ht="60" customHeight="1">
      <c r="A70" s="6" t="s">
        <v>272</v>
      </c>
      <c r="B70" s="6" t="s">
        <v>39</v>
      </c>
      <c r="C70" s="6" t="s">
        <v>11</v>
      </c>
      <c r="D70" s="7" t="s">
        <v>238</v>
      </c>
      <c r="E70" s="8" t="s">
        <v>273</v>
      </c>
      <c r="F70" s="6" t="s">
        <v>274</v>
      </c>
      <c r="G70" s="9">
        <f>IF(A70=1,"_",IF(C70="_","???",C70))</f>
        <v/>
      </c>
      <c r="H70" s="10" t="s">
        <v>11</v>
      </c>
      <c r="I70" s="11" t="s">
        <v>11</v>
      </c>
      <c r="J70" s="12"/>
    </row>
    <row r="71" spans="1:10" ht="60" customHeight="1">
      <c r="A71" s="6" t="s">
        <v>275</v>
      </c>
      <c r="B71" s="6" t="s">
        <v>23</v>
      </c>
      <c r="C71" s="6" t="s">
        <v>11</v>
      </c>
      <c r="D71" s="7" t="s">
        <v>276</v>
      </c>
      <c r="E71" s="8" t="s">
        <v>277</v>
      </c>
      <c r="F71" s="6" t="s">
        <v>278</v>
      </c>
      <c r="G71" s="9">
        <f>IF(A71=1,"_",IF(C71="_","???",C71))</f>
        <v/>
      </c>
      <c r="H71" s="10" t="s">
        <v>11</v>
      </c>
      <c r="I71" s="11" t="s">
        <v>11</v>
      </c>
      <c r="J71" s="12"/>
    </row>
    <row r="72" spans="1:10" ht="60" customHeight="1">
      <c r="A72" s="6" t="s">
        <v>279</v>
      </c>
      <c r="B72" s="6" t="s">
        <v>35</v>
      </c>
      <c r="C72" s="6" t="s">
        <v>11</v>
      </c>
      <c r="D72" s="7" t="s">
        <v>280</v>
      </c>
      <c r="E72" s="8" t="s">
        <v>281</v>
      </c>
      <c r="F72" s="6" t="s">
        <v>282</v>
      </c>
      <c r="G72" s="9">
        <f>IF(A72=1,"_",IF(C72="_","???",C72))</f>
        <v/>
      </c>
      <c r="H72" s="10" t="s">
        <v>11</v>
      </c>
      <c r="I72" s="11" t="s">
        <v>11</v>
      </c>
      <c r="J72" s="12"/>
    </row>
    <row r="73" spans="1:10" ht="60" customHeight="1">
      <c r="A73" s="6" t="s">
        <v>283</v>
      </c>
      <c r="B73" s="6" t="s">
        <v>64</v>
      </c>
      <c r="C73" s="6" t="s">
        <v>11</v>
      </c>
      <c r="D73" s="7" t="s">
        <v>284</v>
      </c>
      <c r="E73" s="8" t="s">
        <v>285</v>
      </c>
      <c r="F73" s="6" t="s">
        <v>286</v>
      </c>
      <c r="G73" s="9">
        <f>IF(A73=1,"_",IF(C73="_","???",C73))</f>
        <v/>
      </c>
      <c r="H73" s="10" t="s">
        <v>11</v>
      </c>
      <c r="I73" s="11" t="s">
        <v>11</v>
      </c>
      <c r="J73" s="12"/>
    </row>
    <row r="74" spans="1:10" ht="60" customHeight="1">
      <c r="A74" s="6" t="s">
        <v>287</v>
      </c>
      <c r="B74" s="6" t="s">
        <v>23</v>
      </c>
      <c r="C74" s="6" t="s">
        <v>11</v>
      </c>
      <c r="D74" s="7" t="s">
        <v>256</v>
      </c>
      <c r="E74" s="8" t="s">
        <v>288</v>
      </c>
      <c r="F74" s="6" t="s">
        <v>289</v>
      </c>
      <c r="G74" s="9">
        <f>IF(A74=1,"_",IF(C74="_","???",C74))</f>
        <v/>
      </c>
      <c r="H74" s="10" t="s">
        <v>11</v>
      </c>
      <c r="I74" s="11" t="s">
        <v>11</v>
      </c>
      <c r="J74" s="12"/>
    </row>
    <row r="75" spans="1:10" ht="60" customHeight="1">
      <c r="A75" s="6" t="s">
        <v>290</v>
      </c>
      <c r="B75" s="6" t="s">
        <v>15</v>
      </c>
      <c r="C75" s="6" t="s">
        <v>11</v>
      </c>
      <c r="D75" s="7" t="s">
        <v>291</v>
      </c>
      <c r="E75" s="8" t="s">
        <v>292</v>
      </c>
      <c r="F75" s="6" t="s">
        <v>293</v>
      </c>
      <c r="G75" s="9">
        <f>IF(A75=1,"_",IF(C75="_","???",C75))</f>
        <v/>
      </c>
      <c r="H75" s="10" t="s">
        <v>11</v>
      </c>
      <c r="I75" s="11" t="s">
        <v>11</v>
      </c>
      <c r="J75" s="12"/>
    </row>
    <row r="76" spans="1:10" ht="60" customHeight="1">
      <c r="A76" s="6" t="s">
        <v>294</v>
      </c>
      <c r="B76" s="6" t="s">
        <v>15</v>
      </c>
      <c r="C76" s="6" t="s">
        <v>11</v>
      </c>
      <c r="D76" s="7" t="s">
        <v>295</v>
      </c>
      <c r="E76" s="8" t="s">
        <v>296</v>
      </c>
      <c r="F76" s="6" t="s">
        <v>297</v>
      </c>
      <c r="G76" s="9">
        <f>IF(A76=1,"_",IF(C76="_","???",C76))</f>
        <v/>
      </c>
      <c r="H76" s="10" t="s">
        <v>11</v>
      </c>
      <c r="I76" s="11" t="s">
        <v>11</v>
      </c>
      <c r="J76" s="12"/>
    </row>
    <row r="77" spans="1:10" ht="60" customHeight="1">
      <c r="A77" s="6" t="s">
        <v>298</v>
      </c>
      <c r="B77" s="6" t="s">
        <v>15</v>
      </c>
      <c r="C77" s="6" t="s">
        <v>11</v>
      </c>
      <c r="D77" s="7" t="s">
        <v>299</v>
      </c>
      <c r="E77" s="8" t="s">
        <v>300</v>
      </c>
      <c r="F77" s="6" t="s">
        <v>301</v>
      </c>
      <c r="G77" s="9">
        <f>IF(A77=1,"_",IF(C77="_","???",C77))</f>
        <v/>
      </c>
      <c r="H77" s="10" t="s">
        <v>11</v>
      </c>
      <c r="I77" s="11" t="s">
        <v>11</v>
      </c>
      <c r="J77" s="12"/>
    </row>
    <row r="78" spans="1:10" ht="60" customHeight="1">
      <c r="A78" s="6" t="s">
        <v>302</v>
      </c>
      <c r="B78" s="6" t="s">
        <v>10</v>
      </c>
      <c r="C78" s="6" t="s">
        <v>11</v>
      </c>
      <c r="D78" s="7" t="s">
        <v>303</v>
      </c>
      <c r="E78" s="8" t="s">
        <v>304</v>
      </c>
      <c r="F78" s="6" t="s">
        <v>305</v>
      </c>
      <c r="G78" s="9">
        <f>IF(A78=1,"_",IF(C78="_","???",C78))</f>
        <v/>
      </c>
      <c r="H78" s="10" t="s">
        <v>11</v>
      </c>
      <c r="I78" s="11" t="s">
        <v>11</v>
      </c>
      <c r="J78" s="12"/>
    </row>
    <row r="79" spans="1:10" ht="60" customHeight="1">
      <c r="A79" s="6" t="s">
        <v>306</v>
      </c>
      <c r="B79" s="6" t="s">
        <v>10</v>
      </c>
      <c r="C79" s="6" t="s">
        <v>11</v>
      </c>
      <c r="D79" s="7" t="s">
        <v>102</v>
      </c>
      <c r="E79" s="8" t="s">
        <v>307</v>
      </c>
      <c r="F79" s="6" t="s">
        <v>308</v>
      </c>
      <c r="G79" s="9">
        <f>IF(A79=1,"_",IF(C79="_","???",C79))</f>
        <v/>
      </c>
      <c r="H79" s="10" t="s">
        <v>11</v>
      </c>
      <c r="I79" s="11" t="s">
        <v>11</v>
      </c>
      <c r="J79" s="12"/>
    </row>
    <row r="80" spans="1:10" ht="60" customHeight="1">
      <c r="A80" s="6" t="s">
        <v>309</v>
      </c>
      <c r="B80" s="6" t="s">
        <v>10</v>
      </c>
      <c r="C80" s="6" t="s">
        <v>11</v>
      </c>
      <c r="D80" s="7" t="s">
        <v>56</v>
      </c>
      <c r="E80" s="8" t="s">
        <v>310</v>
      </c>
      <c r="F80" s="6" t="s">
        <v>311</v>
      </c>
      <c r="G80" s="9">
        <f>IF(A80=1,"_",IF(C80="_","???",C80))</f>
        <v/>
      </c>
      <c r="H80" s="10" t="s">
        <v>11</v>
      </c>
      <c r="I80" s="11" t="s">
        <v>11</v>
      </c>
      <c r="J80" s="12"/>
    </row>
    <row r="81" spans="1:10" ht="60" customHeight="1">
      <c r="A81" s="6" t="s">
        <v>312</v>
      </c>
      <c r="B81" s="6" t="s">
        <v>15</v>
      </c>
      <c r="C81" s="6" t="s">
        <v>11</v>
      </c>
      <c r="D81" s="7" t="s">
        <v>313</v>
      </c>
      <c r="E81" s="8" t="s">
        <v>314</v>
      </c>
      <c r="F81" s="6" t="s">
        <v>315</v>
      </c>
      <c r="G81" s="9">
        <f>IF(A81=1,"_",IF(C81="_","???",C81))</f>
        <v/>
      </c>
      <c r="H81" s="10" t="s">
        <v>11</v>
      </c>
      <c r="I81" s="11" t="s">
        <v>11</v>
      </c>
      <c r="J81" s="12"/>
    </row>
    <row r="82" spans="1:10" ht="60" customHeight="1">
      <c r="A82" s="6" t="s">
        <v>316</v>
      </c>
      <c r="B82" s="6" t="s">
        <v>23</v>
      </c>
      <c r="C82" s="6" t="s">
        <v>11</v>
      </c>
      <c r="D82" s="7" t="s">
        <v>299</v>
      </c>
      <c r="E82" s="8" t="s">
        <v>317</v>
      </c>
      <c r="F82" s="6" t="s">
        <v>318</v>
      </c>
      <c r="G82" s="9">
        <f>IF(A82=1,"_",IF(C82="_","???",C82))</f>
        <v/>
      </c>
      <c r="H82" s="10" t="s">
        <v>11</v>
      </c>
      <c r="I82" s="11" t="s">
        <v>11</v>
      </c>
      <c r="J82" s="12"/>
    </row>
    <row r="83" spans="1:10" ht="60" customHeight="1">
      <c r="A83" s="6" t="s">
        <v>319</v>
      </c>
      <c r="B83" s="6" t="s">
        <v>19</v>
      </c>
      <c r="C83" s="6" t="s">
        <v>11</v>
      </c>
      <c r="D83" s="7" t="s">
        <v>320</v>
      </c>
      <c r="E83" s="8" t="s">
        <v>321</v>
      </c>
      <c r="F83" s="6" t="s">
        <v>322</v>
      </c>
      <c r="G83" s="9">
        <f>IF(A83=1,"_",IF(C83="_","???",C83))</f>
        <v/>
      </c>
      <c r="H83" s="10" t="s">
        <v>11</v>
      </c>
      <c r="I83" s="11" t="s">
        <v>11</v>
      </c>
      <c r="J83" s="12"/>
    </row>
    <row r="84" spans="1:10" ht="60" customHeight="1">
      <c r="A84" s="6" t="s">
        <v>323</v>
      </c>
      <c r="B84" s="6" t="s">
        <v>15</v>
      </c>
      <c r="C84" s="6" t="s">
        <v>11</v>
      </c>
      <c r="D84" s="7" t="s">
        <v>93</v>
      </c>
      <c r="E84" s="8" t="s">
        <v>324</v>
      </c>
      <c r="F84" s="6" t="s">
        <v>325</v>
      </c>
      <c r="G84" s="9">
        <f>IF(A84=1,"_",IF(C84="_","???",C84))</f>
        <v/>
      </c>
      <c r="H84" s="10" t="s">
        <v>11</v>
      </c>
      <c r="I84" s="11" t="s">
        <v>11</v>
      </c>
      <c r="J84" s="12"/>
    </row>
    <row r="85" spans="1:10" ht="60" customHeight="1">
      <c r="A85" s="6" t="s">
        <v>326</v>
      </c>
      <c r="B85" s="6" t="s">
        <v>10</v>
      </c>
      <c r="C85" s="6" t="s">
        <v>11</v>
      </c>
      <c r="D85" s="7" t="s">
        <v>93</v>
      </c>
      <c r="E85" s="8" t="s">
        <v>327</v>
      </c>
      <c r="F85" s="6" t="s">
        <v>328</v>
      </c>
      <c r="G85" s="9">
        <f>IF(A85=1,"_",IF(C85="_","???",C85))</f>
        <v/>
      </c>
      <c r="H85" s="10" t="s">
        <v>11</v>
      </c>
      <c r="I85" s="11" t="s">
        <v>11</v>
      </c>
      <c r="J85" s="12"/>
    </row>
    <row r="86" spans="1:10" ht="60" customHeight="1">
      <c r="A86" s="6" t="s">
        <v>329</v>
      </c>
      <c r="B86" s="6" t="s">
        <v>15</v>
      </c>
      <c r="C86" s="6" t="s">
        <v>11</v>
      </c>
      <c r="D86" s="7" t="s">
        <v>70</v>
      </c>
      <c r="E86" s="8" t="s">
        <v>330</v>
      </c>
      <c r="F86" s="6" t="s">
        <v>331</v>
      </c>
      <c r="G86" s="9">
        <f>IF(A86=1,"_",IF(C86="_","???",C86))</f>
        <v/>
      </c>
      <c r="H86" s="10" t="s">
        <v>11</v>
      </c>
      <c r="I86" s="11" t="s">
        <v>11</v>
      </c>
      <c r="J86" s="12"/>
    </row>
    <row r="87" spans="1:10" ht="60" customHeight="1">
      <c r="A87" s="6" t="s">
        <v>332</v>
      </c>
      <c r="B87" s="6" t="s">
        <v>19</v>
      </c>
      <c r="C87" s="6" t="s">
        <v>11</v>
      </c>
      <c r="D87" s="7" t="s">
        <v>70</v>
      </c>
      <c r="E87" s="8" t="s">
        <v>333</v>
      </c>
      <c r="F87" s="6" t="s">
        <v>334</v>
      </c>
      <c r="G87" s="9">
        <f>IF(A87=1,"_",IF(C87="_","???",C87))</f>
        <v/>
      </c>
      <c r="H87" s="10" t="s">
        <v>11</v>
      </c>
      <c r="I87" s="11" t="s">
        <v>11</v>
      </c>
      <c r="J87" s="12"/>
    </row>
    <row r="88" spans="1:10" ht="60" customHeight="1">
      <c r="A88" s="6" t="s">
        <v>335</v>
      </c>
      <c r="B88" s="6" t="s">
        <v>10</v>
      </c>
      <c r="C88" s="6" t="s">
        <v>11</v>
      </c>
      <c r="D88" s="7" t="s">
        <v>336</v>
      </c>
      <c r="E88" s="8" t="s">
        <v>337</v>
      </c>
      <c r="F88" s="6" t="s">
        <v>338</v>
      </c>
      <c r="G88" s="9">
        <f>IF(A88=1,"_",IF(C88="_","???",C88))</f>
        <v/>
      </c>
      <c r="H88" s="10" t="s">
        <v>11</v>
      </c>
      <c r="I88" s="11" t="s">
        <v>11</v>
      </c>
      <c r="J88" s="12"/>
    </row>
    <row r="89" spans="1:10" ht="60" customHeight="1">
      <c r="A89" s="6" t="s">
        <v>339</v>
      </c>
      <c r="B89" s="6" t="s">
        <v>15</v>
      </c>
      <c r="C89" s="6" t="s">
        <v>11</v>
      </c>
      <c r="D89" s="7" t="s">
        <v>340</v>
      </c>
      <c r="E89" s="8" t="s">
        <v>341</v>
      </c>
      <c r="F89" s="6" t="s">
        <v>342</v>
      </c>
      <c r="G89" s="9">
        <f>IF(A89=1,"_",IF(C89="_","???",C89))</f>
        <v/>
      </c>
      <c r="H89" s="10" t="s">
        <v>11</v>
      </c>
      <c r="I89" s="11" t="s">
        <v>11</v>
      </c>
      <c r="J89" s="12"/>
    </row>
    <row r="90" spans="1:10" ht="60" customHeight="1">
      <c r="A90" s="6" t="s">
        <v>343</v>
      </c>
      <c r="B90" s="6" t="s">
        <v>19</v>
      </c>
      <c r="C90" s="6" t="s">
        <v>11</v>
      </c>
      <c r="D90" s="7" t="s">
        <v>98</v>
      </c>
      <c r="E90" s="8" t="s">
        <v>344</v>
      </c>
      <c r="F90" s="6" t="s">
        <v>345</v>
      </c>
      <c r="G90" s="9">
        <f>IF(A90=1,"_",IF(C90="_","???",C90))</f>
        <v/>
      </c>
      <c r="H90" s="10" t="s">
        <v>11</v>
      </c>
      <c r="I90" s="11" t="s">
        <v>11</v>
      </c>
      <c r="J90" s="12"/>
    </row>
    <row r="91" spans="1:10" ht="60" customHeight="1">
      <c r="A91" s="6" t="s">
        <v>346</v>
      </c>
      <c r="B91" s="6" t="s">
        <v>125</v>
      </c>
      <c r="C91" s="6" t="s">
        <v>11</v>
      </c>
      <c r="D91" s="7" t="s">
        <v>114</v>
      </c>
      <c r="E91" s="8" t="s">
        <v>347</v>
      </c>
      <c r="F91" s="6" t="s">
        <v>348</v>
      </c>
      <c r="G91" s="9">
        <f>IF(A91=1,"_",IF(C91="_","???",C91))</f>
        <v/>
      </c>
      <c r="H91" s="10" t="s">
        <v>11</v>
      </c>
      <c r="I91" s="11" t="s">
        <v>11</v>
      </c>
      <c r="J91" s="12"/>
    </row>
    <row r="92" spans="1:10" ht="60" customHeight="1">
      <c r="A92" s="6" t="s">
        <v>349</v>
      </c>
      <c r="B92" s="6" t="s">
        <v>19</v>
      </c>
      <c r="C92" s="6" t="s">
        <v>11</v>
      </c>
      <c r="D92" s="7" t="s">
        <v>350</v>
      </c>
      <c r="E92" s="8" t="s">
        <v>351</v>
      </c>
      <c r="F92" s="6" t="s">
        <v>352</v>
      </c>
      <c r="G92" s="9">
        <f>IF(A92=1,"_",IF(C92="_","???",C92))</f>
        <v/>
      </c>
      <c r="H92" s="10" t="s">
        <v>11</v>
      </c>
      <c r="I92" s="11" t="s">
        <v>11</v>
      </c>
      <c r="J92" s="12"/>
    </row>
    <row r="93" spans="1:10" ht="60" customHeight="1">
      <c r="A93" s="6" t="s">
        <v>353</v>
      </c>
      <c r="B93" s="6" t="s">
        <v>10</v>
      </c>
      <c r="C93" s="6" t="s">
        <v>11</v>
      </c>
      <c r="D93" s="7" t="s">
        <v>48</v>
      </c>
      <c r="E93" s="8" t="s">
        <v>354</v>
      </c>
      <c r="F93" s="6" t="s">
        <v>355</v>
      </c>
      <c r="G93" s="9">
        <f>IF(A93=1,"_",IF(C93="_","???",C93))</f>
        <v/>
      </c>
      <c r="H93" s="10" t="s">
        <v>11</v>
      </c>
      <c r="I93" s="11" t="s">
        <v>11</v>
      </c>
      <c r="J93" s="12"/>
    </row>
    <row r="94" spans="1:10" ht="60" customHeight="1">
      <c r="A94" s="6" t="s">
        <v>356</v>
      </c>
      <c r="B94" s="6" t="s">
        <v>19</v>
      </c>
      <c r="C94" s="6" t="s">
        <v>11</v>
      </c>
      <c r="D94" s="7" t="s">
        <v>93</v>
      </c>
      <c r="E94" s="8" t="s">
        <v>357</v>
      </c>
      <c r="F94" s="6" t="s">
        <v>358</v>
      </c>
      <c r="G94" s="9">
        <f>IF(A94=1,"_",IF(C94="_","???",C94))</f>
        <v/>
      </c>
      <c r="H94" s="10" t="s">
        <v>11</v>
      </c>
      <c r="I94" s="11" t="s">
        <v>11</v>
      </c>
      <c r="J94" s="12"/>
    </row>
    <row r="95" spans="1:10" ht="60" customHeight="1">
      <c r="A95" s="6" t="s">
        <v>359</v>
      </c>
      <c r="B95" s="6" t="s">
        <v>10</v>
      </c>
      <c r="C95" s="6" t="s">
        <v>11</v>
      </c>
      <c r="D95" s="7" t="s">
        <v>56</v>
      </c>
      <c r="E95" s="8" t="s">
        <v>360</v>
      </c>
      <c r="F95" s="6" t="s">
        <v>361</v>
      </c>
      <c r="G95" s="9">
        <f>IF(A95=1,"_",IF(C95="_","???",C95))</f>
        <v/>
      </c>
      <c r="H95" s="10" t="s">
        <v>11</v>
      </c>
      <c r="I95" s="11" t="s">
        <v>11</v>
      </c>
      <c r="J95" s="12"/>
    </row>
    <row r="96" spans="1:10" ht="60" customHeight="1">
      <c r="A96" s="6" t="s">
        <v>362</v>
      </c>
      <c r="B96" s="6" t="s">
        <v>15</v>
      </c>
      <c r="C96" s="6" t="s">
        <v>11</v>
      </c>
      <c r="D96" s="7" t="s">
        <v>102</v>
      </c>
      <c r="E96" s="8" t="s">
        <v>363</v>
      </c>
      <c r="F96" s="6" t="s">
        <v>364</v>
      </c>
      <c r="G96" s="9">
        <f>IF(A96=1,"_",IF(C96="_","???",C96))</f>
        <v/>
      </c>
      <c r="H96" s="10" t="s">
        <v>11</v>
      </c>
      <c r="I96" s="11" t="s">
        <v>11</v>
      </c>
      <c r="J96" s="12"/>
    </row>
    <row r="97" spans="1:10" ht="60" customHeight="1">
      <c r="A97" s="6" t="s">
        <v>365</v>
      </c>
      <c r="B97" s="6" t="s">
        <v>73</v>
      </c>
      <c r="C97" s="6" t="s">
        <v>11</v>
      </c>
      <c r="D97" s="7" t="s">
        <v>366</v>
      </c>
      <c r="E97" s="8" t="s">
        <v>367</v>
      </c>
      <c r="F97" s="6" t="s">
        <v>368</v>
      </c>
      <c r="G97" s="9">
        <f>IF(A97=1,"_",IF(C97="_","???",C97))</f>
        <v/>
      </c>
      <c r="H97" s="10" t="s">
        <v>11</v>
      </c>
      <c r="I97" s="11" t="s">
        <v>11</v>
      </c>
      <c r="J97" s="12"/>
    </row>
    <row r="98" spans="1:10" ht="60" customHeight="1">
      <c r="A98" s="6" t="s">
        <v>369</v>
      </c>
      <c r="B98" s="6" t="s">
        <v>81</v>
      </c>
      <c r="C98" s="6" t="s">
        <v>11</v>
      </c>
      <c r="D98" s="7" t="s">
        <v>370</v>
      </c>
      <c r="E98" s="8" t="s">
        <v>371</v>
      </c>
      <c r="F98" s="6" t="s">
        <v>372</v>
      </c>
      <c r="G98" s="9">
        <f>IF(A98=1,"_",IF(C98="_","???",C98))</f>
        <v/>
      </c>
      <c r="H98" s="10" t="s">
        <v>11</v>
      </c>
      <c r="I98" s="11" t="s">
        <v>11</v>
      </c>
      <c r="J98" s="12"/>
    </row>
    <row r="99" spans="1:10" ht="60" customHeight="1">
      <c r="A99" s="6" t="s">
        <v>373</v>
      </c>
      <c r="B99" s="6" t="s">
        <v>19</v>
      </c>
      <c r="C99" s="6" t="s">
        <v>11</v>
      </c>
      <c r="D99" s="7" t="s">
        <v>32</v>
      </c>
      <c r="E99" s="8" t="s">
        <v>374</v>
      </c>
      <c r="F99" s="6" t="s">
        <v>375</v>
      </c>
      <c r="G99" s="9">
        <f>IF(A99=1,"_",IF(C99="_","???",C99))</f>
        <v/>
      </c>
      <c r="H99" s="10" t="s">
        <v>11</v>
      </c>
      <c r="I99" s="11" t="s">
        <v>11</v>
      </c>
      <c r="J99" s="12"/>
    </row>
    <row r="100" spans="1:10" ht="60" customHeight="1">
      <c r="A100" s="6" t="s">
        <v>376</v>
      </c>
      <c r="B100" s="6" t="s">
        <v>47</v>
      </c>
      <c r="C100" s="6" t="s">
        <v>11</v>
      </c>
      <c r="D100" s="7" t="s">
        <v>377</v>
      </c>
      <c r="E100" s="8" t="s">
        <v>378</v>
      </c>
      <c r="F100" s="6" t="s">
        <v>379</v>
      </c>
      <c r="G100" s="9">
        <f>IF(A100=1,"_",IF(C100="_","???",C100))</f>
        <v/>
      </c>
      <c r="H100" s="10" t="s">
        <v>11</v>
      </c>
      <c r="I100" s="11" t="s">
        <v>11</v>
      </c>
      <c r="J100" s="12"/>
    </row>
    <row r="101" spans="1:10" ht="60" customHeight="1">
      <c r="A101" s="6" t="s">
        <v>380</v>
      </c>
      <c r="B101" s="6" t="s">
        <v>23</v>
      </c>
      <c r="C101" s="6" t="s">
        <v>11</v>
      </c>
      <c r="D101" s="7" t="s">
        <v>381</v>
      </c>
      <c r="E101" s="8" t="s">
        <v>382</v>
      </c>
      <c r="F101" s="6" t="s">
        <v>383</v>
      </c>
      <c r="G101" s="9">
        <f>IF(A101=1,"_",IF(C101="_","???",C101))</f>
        <v/>
      </c>
      <c r="H101" s="10" t="s">
        <v>11</v>
      </c>
      <c r="I101" s="11" t="s">
        <v>11</v>
      </c>
      <c r="J101" s="12"/>
    </row>
    <row r="102" spans="1:10" ht="60" customHeight="1">
      <c r="A102" s="6" t="s">
        <v>384</v>
      </c>
      <c r="B102" s="6" t="s">
        <v>15</v>
      </c>
      <c r="C102" s="6" t="s">
        <v>11</v>
      </c>
      <c r="D102" s="7" t="s">
        <v>385</v>
      </c>
      <c r="E102" s="8" t="s">
        <v>386</v>
      </c>
      <c r="F102" s="6" t="s">
        <v>387</v>
      </c>
      <c r="G102" s="9">
        <f>IF(A102=1,"_",IF(C102="_","???",C102))</f>
        <v/>
      </c>
      <c r="H102" s="10" t="s">
        <v>11</v>
      </c>
      <c r="I102" s="11" t="s">
        <v>11</v>
      </c>
      <c r="J102" s="12"/>
    </row>
    <row r="103" spans="1:10" ht="60" customHeight="1">
      <c r="A103" s="6" t="s">
        <v>388</v>
      </c>
      <c r="B103" s="6" t="s">
        <v>10</v>
      </c>
      <c r="C103" s="6" t="s">
        <v>11</v>
      </c>
      <c r="D103" s="7" t="s">
        <v>56</v>
      </c>
      <c r="E103" s="8" t="s">
        <v>389</v>
      </c>
      <c r="F103" s="6" t="s">
        <v>390</v>
      </c>
      <c r="G103" s="9">
        <f>IF(A103=1,"_",IF(C103="_","???",C103))</f>
        <v/>
      </c>
      <c r="H103" s="10" t="s">
        <v>11</v>
      </c>
      <c r="I103" s="11" t="s">
        <v>11</v>
      </c>
      <c r="J103" s="12"/>
    </row>
    <row r="104" spans="1:10" ht="60" customHeight="1">
      <c r="A104" s="6" t="s">
        <v>391</v>
      </c>
      <c r="B104" s="6" t="s">
        <v>117</v>
      </c>
      <c r="C104" s="6" t="s">
        <v>11</v>
      </c>
      <c r="D104" s="7" t="s">
        <v>392</v>
      </c>
      <c r="E104" s="8" t="s">
        <v>393</v>
      </c>
      <c r="F104" s="6" t="s">
        <v>394</v>
      </c>
      <c r="G104" s="9">
        <f>IF(A104=1,"_",IF(C104="_","???",C104))</f>
        <v/>
      </c>
      <c r="H104" s="10" t="s">
        <v>11</v>
      </c>
      <c r="I104" s="11" t="s">
        <v>11</v>
      </c>
      <c r="J104" s="12"/>
    </row>
    <row r="105" spans="1:10" ht="60" customHeight="1">
      <c r="A105" s="6" t="s">
        <v>395</v>
      </c>
      <c r="B105" s="6" t="s">
        <v>23</v>
      </c>
      <c r="C105" s="6" t="s">
        <v>11</v>
      </c>
      <c r="D105" s="7" t="s">
        <v>396</v>
      </c>
      <c r="E105" s="8" t="s">
        <v>397</v>
      </c>
      <c r="F105" s="6" t="s">
        <v>398</v>
      </c>
      <c r="G105" s="9">
        <f>IF(A105=1,"_",IF(C105="_","???",C105))</f>
        <v/>
      </c>
      <c r="H105" s="10" t="s">
        <v>11</v>
      </c>
      <c r="I105" s="11" t="s">
        <v>11</v>
      </c>
      <c r="J105" s="12"/>
    </row>
    <row r="106" spans="1:10" ht="60" customHeight="1">
      <c r="A106" s="6" t="s">
        <v>399</v>
      </c>
      <c r="B106" s="6" t="s">
        <v>24</v>
      </c>
      <c r="C106" s="6" t="s">
        <v>11</v>
      </c>
      <c r="D106" s="7" t="s">
        <v>400</v>
      </c>
      <c r="E106" s="8" t="s">
        <v>401</v>
      </c>
      <c r="F106" s="6" t="s">
        <v>402</v>
      </c>
      <c r="G106" s="9">
        <f>IF(A106=1,"_",IF(C106="_","???",C106))</f>
        <v/>
      </c>
      <c r="H106" s="10" t="s">
        <v>11</v>
      </c>
      <c r="I106" s="11" t="s">
        <v>11</v>
      </c>
      <c r="J106" s="12"/>
    </row>
    <row r="107" spans="1:10" ht="60" customHeight="1">
      <c r="A107" s="6" t="s">
        <v>403</v>
      </c>
      <c r="B107" s="6" t="s">
        <v>19</v>
      </c>
      <c r="C107" s="6" t="s">
        <v>11</v>
      </c>
      <c r="D107" s="7" t="s">
        <v>381</v>
      </c>
      <c r="E107" s="8" t="s">
        <v>404</v>
      </c>
      <c r="F107" s="6" t="s">
        <v>405</v>
      </c>
      <c r="G107" s="9">
        <f>IF(A107=1,"_",IF(C107="_","???",C107))</f>
        <v/>
      </c>
      <c r="H107" s="10" t="s">
        <v>11</v>
      </c>
      <c r="I107" s="11" t="s">
        <v>11</v>
      </c>
      <c r="J107" s="12"/>
    </row>
    <row r="108" spans="1:10" ht="60" customHeight="1">
      <c r="A108" s="6" t="s">
        <v>406</v>
      </c>
      <c r="B108" s="6" t="s">
        <v>10</v>
      </c>
      <c r="C108" s="6" t="s">
        <v>11</v>
      </c>
      <c r="D108" s="7" t="s">
        <v>98</v>
      </c>
      <c r="E108" s="8" t="s">
        <v>407</v>
      </c>
      <c r="F108" s="6" t="s">
        <v>408</v>
      </c>
      <c r="G108" s="9">
        <f>IF(A108=1,"_",IF(C108="_","???",C108))</f>
        <v/>
      </c>
      <c r="H108" s="10" t="s">
        <v>11</v>
      </c>
      <c r="I108" s="11" t="s">
        <v>11</v>
      </c>
      <c r="J108" s="12"/>
    </row>
    <row r="109" spans="1:10" ht="60" customHeight="1">
      <c r="A109" s="6" t="s">
        <v>409</v>
      </c>
      <c r="B109" s="6" t="s">
        <v>10</v>
      </c>
      <c r="C109" s="6" t="s">
        <v>11</v>
      </c>
      <c r="D109" s="7" t="s">
        <v>410</v>
      </c>
      <c r="E109" s="8" t="s">
        <v>411</v>
      </c>
      <c r="F109" s="6" t="s">
        <v>412</v>
      </c>
      <c r="G109" s="9">
        <f>IF(A109=1,"_",IF(C109="_","???",C109))</f>
        <v/>
      </c>
      <c r="H109" s="10" t="s">
        <v>11</v>
      </c>
      <c r="I109" s="11" t="s">
        <v>11</v>
      </c>
      <c r="J109" s="12"/>
    </row>
    <row r="110" spans="1:10" ht="60" customHeight="1">
      <c r="A110" s="6" t="s">
        <v>413</v>
      </c>
      <c r="B110" s="6" t="s">
        <v>19</v>
      </c>
      <c r="C110" s="6" t="s">
        <v>11</v>
      </c>
      <c r="D110" s="7" t="s">
        <v>114</v>
      </c>
      <c r="E110" s="8" t="s">
        <v>414</v>
      </c>
      <c r="F110" s="6" t="s">
        <v>415</v>
      </c>
      <c r="G110" s="9">
        <f>IF(A110=1,"_",IF(C110="_","???",C110))</f>
        <v/>
      </c>
      <c r="H110" s="10" t="s">
        <v>11</v>
      </c>
      <c r="I110" s="11" t="s">
        <v>11</v>
      </c>
      <c r="J110" s="12"/>
    </row>
    <row r="111" spans="1:10" ht="60" customHeight="1">
      <c r="A111" s="6" t="s">
        <v>416</v>
      </c>
      <c r="B111" s="6" t="s">
        <v>10</v>
      </c>
      <c r="C111" s="6" t="s">
        <v>11</v>
      </c>
      <c r="D111" s="7" t="s">
        <v>417</v>
      </c>
      <c r="E111" s="8" t="s">
        <v>418</v>
      </c>
      <c r="F111" s="6" t="s">
        <v>419</v>
      </c>
      <c r="G111" s="9">
        <f>IF(A111=1,"_",IF(C111="_","???",C111))</f>
        <v/>
      </c>
      <c r="H111" s="10" t="s">
        <v>11</v>
      </c>
      <c r="I111" s="11" t="s">
        <v>11</v>
      </c>
      <c r="J111" s="12"/>
    </row>
    <row r="112" spans="1:10" ht="60" customHeight="1">
      <c r="A112" s="6" t="s">
        <v>420</v>
      </c>
      <c r="B112" s="6" t="s">
        <v>15</v>
      </c>
      <c r="C112" s="6" t="s">
        <v>11</v>
      </c>
      <c r="D112" s="7" t="s">
        <v>61</v>
      </c>
      <c r="E112" s="8" t="s">
        <v>421</v>
      </c>
      <c r="F112" s="6" t="s">
        <v>422</v>
      </c>
      <c r="G112" s="9">
        <f>IF(A112=1,"_",IF(C112="_","???",C112))</f>
        <v/>
      </c>
      <c r="H112" s="10" t="s">
        <v>11</v>
      </c>
      <c r="I112" s="11" t="s">
        <v>11</v>
      </c>
      <c r="J112" s="12"/>
    </row>
    <row r="113" spans="1:10" ht="60" customHeight="1">
      <c r="A113" s="6" t="s">
        <v>423</v>
      </c>
      <c r="B113" s="6" t="s">
        <v>10</v>
      </c>
      <c r="C113" s="6" t="s">
        <v>11</v>
      </c>
      <c r="D113" s="7" t="s">
        <v>102</v>
      </c>
      <c r="E113" s="8" t="s">
        <v>424</v>
      </c>
      <c r="F113" s="6" t="s">
        <v>425</v>
      </c>
      <c r="G113" s="9">
        <f>IF(A113=1,"_",IF(C113="_","???",C113))</f>
        <v/>
      </c>
      <c r="H113" s="10" t="s">
        <v>11</v>
      </c>
      <c r="I113" s="11" t="s">
        <v>11</v>
      </c>
      <c r="J113" s="12"/>
    </row>
    <row r="114" spans="1:10" ht="60" customHeight="1">
      <c r="A114" s="6" t="s">
        <v>426</v>
      </c>
      <c r="B114" s="6" t="s">
        <v>10</v>
      </c>
      <c r="C114" s="6" t="s">
        <v>11</v>
      </c>
      <c r="D114" s="7" t="s">
        <v>56</v>
      </c>
      <c r="E114" s="8" t="s">
        <v>427</v>
      </c>
      <c r="F114" s="6" t="s">
        <v>428</v>
      </c>
      <c r="G114" s="9">
        <f>IF(A114=1,"_",IF(C114="_","???",C114))</f>
        <v/>
      </c>
      <c r="H114" s="10" t="s">
        <v>11</v>
      </c>
      <c r="I114" s="11" t="s">
        <v>11</v>
      </c>
      <c r="J114" s="12"/>
    </row>
    <row r="115" spans="1:10" ht="60" customHeight="1">
      <c r="A115" s="6" t="s">
        <v>429</v>
      </c>
      <c r="B115" s="6" t="s">
        <v>10</v>
      </c>
      <c r="C115" s="6" t="s">
        <v>11</v>
      </c>
      <c r="D115" s="7" t="s">
        <v>430</v>
      </c>
      <c r="E115" s="8" t="s">
        <v>431</v>
      </c>
      <c r="F115" s="6" t="s">
        <v>432</v>
      </c>
      <c r="G115" s="9">
        <f>IF(A115=1,"_",IF(C115="_","???",C115))</f>
        <v/>
      </c>
      <c r="H115" s="10" t="s">
        <v>11</v>
      </c>
      <c r="I115" s="11" t="s">
        <v>11</v>
      </c>
      <c r="J115" s="12"/>
    </row>
    <row r="116" spans="1:10" ht="60" customHeight="1">
      <c r="A116" s="6" t="s">
        <v>433</v>
      </c>
      <c r="B116" s="6" t="s">
        <v>10</v>
      </c>
      <c r="C116" s="6" t="s">
        <v>11</v>
      </c>
      <c r="D116" s="7" t="s">
        <v>61</v>
      </c>
      <c r="E116" s="8" t="s">
        <v>434</v>
      </c>
      <c r="F116" s="6" t="s">
        <v>435</v>
      </c>
      <c r="G116" s="9">
        <f>IF(A116=1,"_",IF(C116="_","???",C116))</f>
        <v/>
      </c>
      <c r="H116" s="10" t="s">
        <v>11</v>
      </c>
      <c r="I116" s="11" t="s">
        <v>11</v>
      </c>
      <c r="J116" s="12"/>
    </row>
    <row r="117" spans="1:10" ht="60" customHeight="1">
      <c r="A117" s="6" t="s">
        <v>436</v>
      </c>
      <c r="B117" s="6" t="s">
        <v>10</v>
      </c>
      <c r="C117" s="6" t="s">
        <v>11</v>
      </c>
      <c r="D117" s="7" t="s">
        <v>381</v>
      </c>
      <c r="E117" s="8" t="s">
        <v>437</v>
      </c>
      <c r="F117" s="6" t="s">
        <v>438</v>
      </c>
      <c r="G117" s="9">
        <f>IF(A117=1,"_",IF(C117="_","???",C117))</f>
        <v/>
      </c>
      <c r="H117" s="10" t="s">
        <v>11</v>
      </c>
      <c r="I117" s="11" t="s">
        <v>11</v>
      </c>
      <c r="J117" s="12"/>
    </row>
    <row r="118" spans="1:10" ht="60" customHeight="1">
      <c r="A118" s="6" t="s">
        <v>439</v>
      </c>
      <c r="B118" s="6" t="s">
        <v>19</v>
      </c>
      <c r="C118" s="6" t="s">
        <v>11</v>
      </c>
      <c r="D118" s="7" t="s">
        <v>440</v>
      </c>
      <c r="E118" s="8" t="s">
        <v>441</v>
      </c>
      <c r="F118" s="6" t="s">
        <v>442</v>
      </c>
      <c r="G118" s="9">
        <f>IF(A118=1,"_",IF(C118="_","???",C118))</f>
        <v/>
      </c>
      <c r="H118" s="10" t="s">
        <v>11</v>
      </c>
      <c r="I118" s="11" t="s">
        <v>11</v>
      </c>
      <c r="J118" s="12"/>
    </row>
    <row r="119" spans="1:10" ht="60" customHeight="1">
      <c r="A119" s="6" t="s">
        <v>443</v>
      </c>
      <c r="B119" s="6" t="s">
        <v>15</v>
      </c>
      <c r="C119" s="6" t="s">
        <v>11</v>
      </c>
      <c r="D119" s="7" t="s">
        <v>444</v>
      </c>
      <c r="E119" s="8" t="s">
        <v>445</v>
      </c>
      <c r="F119" s="6" t="s">
        <v>446</v>
      </c>
      <c r="G119" s="9">
        <f>IF(A119=1,"_",IF(C119="_","???",C119))</f>
        <v/>
      </c>
      <c r="H119" s="10" t="s">
        <v>11</v>
      </c>
      <c r="I119" s="11" t="s">
        <v>11</v>
      </c>
      <c r="J119" s="12"/>
    </row>
    <row r="120" spans="1:10" ht="60" customHeight="1">
      <c r="A120" s="6" t="s">
        <v>447</v>
      </c>
      <c r="B120" s="6" t="s">
        <v>39</v>
      </c>
      <c r="C120" s="6" t="s">
        <v>11</v>
      </c>
      <c r="D120" s="7" t="s">
        <v>448</v>
      </c>
      <c r="E120" s="8" t="s">
        <v>449</v>
      </c>
      <c r="F120" s="6" t="s">
        <v>450</v>
      </c>
      <c r="G120" s="9">
        <f>IF(A120=1,"_",IF(C120="_","???",C120))</f>
        <v/>
      </c>
      <c r="H120" s="10" t="s">
        <v>11</v>
      </c>
      <c r="I120" s="11" t="s">
        <v>11</v>
      </c>
      <c r="J120" s="12"/>
    </row>
    <row r="121" spans="1:10" ht="60" customHeight="1">
      <c r="A121" s="6" t="s">
        <v>451</v>
      </c>
      <c r="B121" s="6" t="s">
        <v>24</v>
      </c>
      <c r="C121" s="6" t="s">
        <v>11</v>
      </c>
      <c r="D121" s="7" t="s">
        <v>452</v>
      </c>
      <c r="E121" s="8" t="s">
        <v>453</v>
      </c>
      <c r="F121" s="6" t="s">
        <v>454</v>
      </c>
      <c r="G121" s="9">
        <f>IF(A121=1,"_",IF(C121="_","???",C121))</f>
        <v/>
      </c>
      <c r="H121" s="10" t="s">
        <v>11</v>
      </c>
      <c r="I121" s="11" t="s">
        <v>11</v>
      </c>
      <c r="J121" s="12"/>
    </row>
    <row r="122" spans="1:10" ht="60" customHeight="1">
      <c r="A122" s="6" t="s">
        <v>455</v>
      </c>
      <c r="B122" s="6" t="s">
        <v>10</v>
      </c>
      <c r="C122" s="6" t="s">
        <v>11</v>
      </c>
      <c r="D122" s="7" t="s">
        <v>456</v>
      </c>
      <c r="E122" s="8" t="s">
        <v>457</v>
      </c>
      <c r="F122" s="6" t="s">
        <v>458</v>
      </c>
      <c r="G122" s="9">
        <f>IF(A122=1,"_",IF(C122="_","???",C122))</f>
        <v/>
      </c>
      <c r="H122" s="10" t="s">
        <v>11</v>
      </c>
      <c r="I122" s="11" t="s">
        <v>11</v>
      </c>
      <c r="J122" s="12"/>
    </row>
    <row r="123" spans="1:10" ht="60" customHeight="1">
      <c r="A123" s="6" t="s">
        <v>459</v>
      </c>
      <c r="B123" s="6" t="s">
        <v>23</v>
      </c>
      <c r="C123" s="6" t="s">
        <v>11</v>
      </c>
      <c r="D123" s="7" t="s">
        <v>460</v>
      </c>
      <c r="E123" s="8" t="s">
        <v>461</v>
      </c>
      <c r="F123" s="6" t="s">
        <v>462</v>
      </c>
      <c r="G123" s="9">
        <f>IF(A123=1,"_",IF(C123="_","???",C123))</f>
        <v/>
      </c>
      <c r="H123" s="10" t="s">
        <v>11</v>
      </c>
      <c r="I123" s="11" t="s">
        <v>11</v>
      </c>
      <c r="J123" s="12"/>
    </row>
    <row r="124" spans="1:10" ht="60" customHeight="1">
      <c r="A124" s="6" t="s">
        <v>463</v>
      </c>
      <c r="B124" s="6" t="s">
        <v>24</v>
      </c>
      <c r="C124" s="6" t="s">
        <v>11</v>
      </c>
      <c r="D124" s="7" t="s">
        <v>460</v>
      </c>
      <c r="E124" s="8" t="s">
        <v>464</v>
      </c>
      <c r="F124" s="6" t="s">
        <v>465</v>
      </c>
      <c r="G124" s="9">
        <f>IF(A124=1,"_",IF(C124="_","???",C124))</f>
        <v/>
      </c>
      <c r="H124" s="10" t="s">
        <v>11</v>
      </c>
      <c r="I124" s="11" t="s">
        <v>11</v>
      </c>
      <c r="J124" s="12"/>
    </row>
    <row r="125" spans="1:10" ht="60" customHeight="1">
      <c r="A125" s="6" t="s">
        <v>466</v>
      </c>
      <c r="B125" s="6" t="s">
        <v>96</v>
      </c>
      <c r="C125" s="6" t="s">
        <v>11</v>
      </c>
      <c r="D125" s="7" t="s">
        <v>110</v>
      </c>
      <c r="E125" s="8" t="s">
        <v>467</v>
      </c>
      <c r="F125" s="6" t="s">
        <v>468</v>
      </c>
      <c r="G125" s="9">
        <f>IF(A125=1,"_",IF(C125="_","???",C125))</f>
        <v/>
      </c>
      <c r="H125" s="10" t="s">
        <v>11</v>
      </c>
      <c r="I125" s="11" t="s">
        <v>11</v>
      </c>
      <c r="J125" s="12"/>
    </row>
    <row r="126" spans="1:10" ht="60" customHeight="1">
      <c r="A126" s="6" t="s">
        <v>469</v>
      </c>
      <c r="B126" s="6" t="s">
        <v>10</v>
      </c>
      <c r="C126" s="6" t="s">
        <v>11</v>
      </c>
      <c r="D126" s="7" t="s">
        <v>470</v>
      </c>
      <c r="E126" s="8" t="s">
        <v>471</v>
      </c>
      <c r="F126" s="6" t="s">
        <v>472</v>
      </c>
      <c r="G126" s="9">
        <f>IF(A126=1,"_",IF(C126="_","???",C126))</f>
        <v/>
      </c>
      <c r="H126" s="10" t="s">
        <v>11</v>
      </c>
      <c r="I126" s="11" t="s">
        <v>11</v>
      </c>
      <c r="J126" s="12"/>
    </row>
    <row r="127" spans="1:10" ht="60" customHeight="1">
      <c r="A127" s="6" t="s">
        <v>473</v>
      </c>
      <c r="B127" s="6" t="s">
        <v>19</v>
      </c>
      <c r="C127" s="6" t="s">
        <v>11</v>
      </c>
      <c r="D127" s="7" t="s">
        <v>474</v>
      </c>
      <c r="E127" s="8" t="s">
        <v>475</v>
      </c>
      <c r="F127" s="6" t="s">
        <v>476</v>
      </c>
      <c r="G127" s="9">
        <f>IF(A127=1,"_",IF(C127="_","???",C127))</f>
        <v/>
      </c>
      <c r="H127" s="10" t="s">
        <v>11</v>
      </c>
      <c r="I127" s="11" t="s">
        <v>11</v>
      </c>
      <c r="J127" s="12"/>
    </row>
    <row r="128" spans="1:10" ht="60" customHeight="1">
      <c r="A128" s="6" t="s">
        <v>477</v>
      </c>
      <c r="B128" s="6" t="s">
        <v>10</v>
      </c>
      <c r="C128" s="6" t="s">
        <v>11</v>
      </c>
      <c r="D128" s="7" t="s">
        <v>48</v>
      </c>
      <c r="E128" s="8" t="s">
        <v>478</v>
      </c>
      <c r="F128" s="6" t="s">
        <v>479</v>
      </c>
      <c r="G128" s="9">
        <f>IF(A128=1,"_",IF(C128="_","???",C128))</f>
        <v/>
      </c>
      <c r="H128" s="10" t="s">
        <v>11</v>
      </c>
      <c r="I128" s="11" t="s">
        <v>11</v>
      </c>
      <c r="J128" s="12"/>
    </row>
    <row r="129" spans="1:10" ht="60" customHeight="1">
      <c r="A129" s="6" t="s">
        <v>480</v>
      </c>
      <c r="B129" s="6" t="s">
        <v>15</v>
      </c>
      <c r="C129" s="6" t="s">
        <v>11</v>
      </c>
      <c r="D129" s="7" t="s">
        <v>481</v>
      </c>
      <c r="E129" s="8" t="s">
        <v>482</v>
      </c>
      <c r="F129" s="6" t="s">
        <v>483</v>
      </c>
      <c r="G129" s="9">
        <f>IF(A129=1,"_",IF(C129="_","???",C129))</f>
        <v/>
      </c>
      <c r="H129" s="10" t="s">
        <v>11</v>
      </c>
      <c r="I129" s="11" t="s">
        <v>11</v>
      </c>
      <c r="J129" s="12"/>
    </row>
    <row r="130" spans="1:10" ht="60" customHeight="1">
      <c r="A130" s="6" t="s">
        <v>484</v>
      </c>
      <c r="B130" s="6" t="s">
        <v>10</v>
      </c>
      <c r="C130" s="6" t="s">
        <v>11</v>
      </c>
      <c r="D130" s="7" t="s">
        <v>350</v>
      </c>
      <c r="E130" s="8" t="s">
        <v>485</v>
      </c>
      <c r="F130" s="6" t="s">
        <v>486</v>
      </c>
      <c r="G130" s="9">
        <f>IF(A130=1,"_",IF(C130="_","???",C130))</f>
        <v/>
      </c>
      <c r="H130" s="10" t="s">
        <v>11</v>
      </c>
      <c r="I130" s="11" t="s">
        <v>11</v>
      </c>
      <c r="J130" s="12"/>
    </row>
    <row r="131" spans="1:10" ht="60" customHeight="1">
      <c r="A131" s="6" t="s">
        <v>487</v>
      </c>
      <c r="B131" s="6" t="s">
        <v>10</v>
      </c>
      <c r="C131" s="6" t="s">
        <v>11</v>
      </c>
      <c r="D131" s="7" t="s">
        <v>114</v>
      </c>
      <c r="E131" s="8" t="s">
        <v>488</v>
      </c>
      <c r="F131" s="6" t="s">
        <v>489</v>
      </c>
      <c r="G131" s="9">
        <f>IF(A131=1,"_",IF(C131="_","???",C131))</f>
        <v/>
      </c>
      <c r="H131" s="10" t="s">
        <v>11</v>
      </c>
      <c r="I131" s="11" t="s">
        <v>11</v>
      </c>
      <c r="J131" s="12"/>
    </row>
    <row r="132" spans="1:10" ht="60" customHeight="1">
      <c r="A132" s="6" t="s">
        <v>490</v>
      </c>
      <c r="B132" s="6" t="s">
        <v>10</v>
      </c>
      <c r="C132" s="6" t="s">
        <v>11</v>
      </c>
      <c r="D132" s="7" t="s">
        <v>56</v>
      </c>
      <c r="E132" s="8" t="s">
        <v>491</v>
      </c>
      <c r="F132" s="6" t="s">
        <v>492</v>
      </c>
      <c r="G132" s="9">
        <f>IF(A132=1,"_",IF(C132="_","???",C132))</f>
        <v/>
      </c>
      <c r="H132" s="10" t="s">
        <v>11</v>
      </c>
      <c r="I132" s="11" t="s">
        <v>11</v>
      </c>
      <c r="J132" s="12"/>
    </row>
    <row r="133" spans="1:10" ht="60" customHeight="1">
      <c r="A133" s="6" t="s">
        <v>493</v>
      </c>
      <c r="B133" s="6" t="s">
        <v>19</v>
      </c>
      <c r="C133" s="6" t="s">
        <v>11</v>
      </c>
      <c r="D133" s="7" t="s">
        <v>186</v>
      </c>
      <c r="E133" s="8" t="s">
        <v>494</v>
      </c>
      <c r="F133" s="6" t="s">
        <v>495</v>
      </c>
      <c r="G133" s="9">
        <f>IF(A133=1,"_",IF(C133="_","???",C133))</f>
        <v/>
      </c>
      <c r="H133" s="10" t="s">
        <v>11</v>
      </c>
      <c r="I133" s="11" t="s">
        <v>11</v>
      </c>
      <c r="J133" s="12"/>
    </row>
    <row r="134" spans="1:10" ht="60" customHeight="1">
      <c r="A134" s="6" t="s">
        <v>496</v>
      </c>
      <c r="B134" s="6" t="s">
        <v>10</v>
      </c>
      <c r="C134" s="6" t="s">
        <v>11</v>
      </c>
      <c r="D134" s="7" t="s">
        <v>48</v>
      </c>
      <c r="E134" s="8" t="s">
        <v>497</v>
      </c>
      <c r="F134" s="6" t="s">
        <v>498</v>
      </c>
      <c r="G134" s="9">
        <f>IF(A134=1,"_",IF(C134="_","???",C134))</f>
        <v/>
      </c>
      <c r="H134" s="10" t="s">
        <v>11</v>
      </c>
      <c r="I134" s="11" t="s">
        <v>11</v>
      </c>
      <c r="J134" s="12"/>
    </row>
    <row r="135" spans="1:10" ht="60" customHeight="1">
      <c r="A135" s="6" t="s">
        <v>499</v>
      </c>
      <c r="B135" s="6" t="s">
        <v>10</v>
      </c>
      <c r="C135" s="6" t="s">
        <v>11</v>
      </c>
      <c r="D135" s="7" t="s">
        <v>500</v>
      </c>
      <c r="E135" s="8" t="s">
        <v>501</v>
      </c>
      <c r="F135" s="6" t="s">
        <v>502</v>
      </c>
      <c r="G135" s="9">
        <f>IF(A135=1,"_",IF(C135="_","???",C135))</f>
        <v/>
      </c>
      <c r="H135" s="10" t="s">
        <v>11</v>
      </c>
      <c r="I135" s="11" t="s">
        <v>11</v>
      </c>
      <c r="J135" s="12"/>
    </row>
    <row r="136" spans="1:10" ht="60" customHeight="1">
      <c r="A136" s="6" t="s">
        <v>503</v>
      </c>
      <c r="B136" s="6" t="s">
        <v>15</v>
      </c>
      <c r="C136" s="6" t="s">
        <v>11</v>
      </c>
      <c r="D136" s="7" t="s">
        <v>504</v>
      </c>
      <c r="E136" s="8" t="s">
        <v>505</v>
      </c>
      <c r="F136" s="6" t="s">
        <v>506</v>
      </c>
      <c r="G136" s="9">
        <f>IF(A136=1,"_",IF(C136="_","???",C136))</f>
        <v/>
      </c>
      <c r="H136" s="10" t="s">
        <v>11</v>
      </c>
      <c r="I136" s="11" t="s">
        <v>11</v>
      </c>
      <c r="J136" s="12"/>
    </row>
    <row r="137" spans="1:10" ht="60" customHeight="1">
      <c r="A137" s="6" t="s">
        <v>507</v>
      </c>
      <c r="B137" s="6" t="s">
        <v>10</v>
      </c>
      <c r="C137" s="6" t="s">
        <v>11</v>
      </c>
      <c r="D137" s="7" t="s">
        <v>299</v>
      </c>
      <c r="E137" s="8" t="s">
        <v>508</v>
      </c>
      <c r="F137" s="6" t="s">
        <v>509</v>
      </c>
      <c r="G137" s="9">
        <f>IF(A137=1,"_",IF(C137="_","???",C137))</f>
        <v/>
      </c>
      <c r="H137" s="10" t="s">
        <v>11</v>
      </c>
      <c r="I137" s="11" t="s">
        <v>11</v>
      </c>
      <c r="J137" s="12"/>
    </row>
    <row r="138" spans="1:10" ht="60" customHeight="1">
      <c r="A138" s="6" t="s">
        <v>510</v>
      </c>
      <c r="B138" s="6" t="s">
        <v>10</v>
      </c>
      <c r="C138" s="6" t="s">
        <v>11</v>
      </c>
      <c r="D138" s="7" t="s">
        <v>70</v>
      </c>
      <c r="E138" s="8" t="s">
        <v>511</v>
      </c>
      <c r="F138" s="6" t="s">
        <v>512</v>
      </c>
      <c r="G138" s="9">
        <f>IF(A138=1,"_",IF(C138="_","???",C138))</f>
        <v/>
      </c>
      <c r="H138" s="10" t="s">
        <v>11</v>
      </c>
      <c r="I138" s="11" t="s">
        <v>11</v>
      </c>
      <c r="J138" s="12"/>
    </row>
    <row r="139" spans="1:10" ht="60" customHeight="1">
      <c r="A139" s="6" t="s">
        <v>513</v>
      </c>
      <c r="B139" s="6" t="s">
        <v>10</v>
      </c>
      <c r="C139" s="6" t="s">
        <v>11</v>
      </c>
      <c r="D139" s="7" t="s">
        <v>56</v>
      </c>
      <c r="E139" s="8" t="s">
        <v>514</v>
      </c>
      <c r="F139" s="6" t="s">
        <v>515</v>
      </c>
      <c r="G139" s="9">
        <f>IF(A139=1,"_",IF(C139="_","???",C139))</f>
        <v/>
      </c>
      <c r="H139" s="10" t="s">
        <v>11</v>
      </c>
      <c r="I139" s="11" t="s">
        <v>11</v>
      </c>
      <c r="J139" s="12"/>
    </row>
    <row r="140" spans="1:10" ht="60" customHeight="1">
      <c r="A140" s="6" t="s">
        <v>516</v>
      </c>
      <c r="B140" s="6" t="s">
        <v>23</v>
      </c>
      <c r="C140" s="6" t="s">
        <v>11</v>
      </c>
      <c r="D140" s="7" t="s">
        <v>517</v>
      </c>
      <c r="E140" s="8" t="s">
        <v>518</v>
      </c>
      <c r="F140" s="6" t="s">
        <v>519</v>
      </c>
      <c r="G140" s="9">
        <f>IF(A140=1,"_",IF(C140="_","???",C140))</f>
        <v/>
      </c>
      <c r="H140" s="10" t="s">
        <v>11</v>
      </c>
      <c r="I140" s="11" t="s">
        <v>11</v>
      </c>
      <c r="J140" s="12"/>
    </row>
    <row r="141" spans="1:10" ht="60" customHeight="1">
      <c r="A141" s="6" t="s">
        <v>520</v>
      </c>
      <c r="B141" s="6" t="s">
        <v>23</v>
      </c>
      <c r="C141" s="6" t="s">
        <v>11</v>
      </c>
      <c r="D141" s="7" t="s">
        <v>521</v>
      </c>
      <c r="E141" s="8" t="s">
        <v>522</v>
      </c>
      <c r="F141" s="6" t="s">
        <v>523</v>
      </c>
      <c r="G141" s="9">
        <f>IF(A141=1,"_",IF(C141="_","???",C141))</f>
        <v/>
      </c>
      <c r="H141" s="10" t="s">
        <v>11</v>
      </c>
      <c r="I141" s="11" t="s">
        <v>11</v>
      </c>
      <c r="J141" s="12"/>
    </row>
    <row r="142" spans="1:10" ht="60" customHeight="1">
      <c r="A142" s="6" t="s">
        <v>524</v>
      </c>
      <c r="B142" s="6" t="s">
        <v>10</v>
      </c>
      <c r="C142" s="6" t="s">
        <v>11</v>
      </c>
      <c r="D142" s="7" t="s">
        <v>299</v>
      </c>
      <c r="E142" s="8" t="s">
        <v>525</v>
      </c>
      <c r="F142" s="6" t="s">
        <v>526</v>
      </c>
      <c r="G142" s="9">
        <f>IF(A142=1,"_",IF(C142="_","???",C142))</f>
        <v/>
      </c>
      <c r="H142" s="10" t="s">
        <v>11</v>
      </c>
      <c r="I142" s="11" t="s">
        <v>11</v>
      </c>
      <c r="J142" s="12"/>
    </row>
    <row r="143" spans="1:10" ht="60" customHeight="1">
      <c r="A143" s="6" t="s">
        <v>527</v>
      </c>
      <c r="B143" s="6" t="s">
        <v>10</v>
      </c>
      <c r="C143" s="6" t="s">
        <v>11</v>
      </c>
      <c r="D143" s="7" t="s">
        <v>93</v>
      </c>
      <c r="E143" s="8" t="s">
        <v>528</v>
      </c>
      <c r="F143" s="6" t="s">
        <v>529</v>
      </c>
      <c r="G143" s="9">
        <f>IF(A143=1,"_",IF(C143="_","???",C143))</f>
        <v/>
      </c>
      <c r="H143" s="10" t="s">
        <v>11</v>
      </c>
      <c r="I143" s="11" t="s">
        <v>11</v>
      </c>
      <c r="J143" s="12"/>
    </row>
    <row r="144" spans="1:10" ht="60" customHeight="1">
      <c r="A144" s="6" t="s">
        <v>530</v>
      </c>
      <c r="B144" s="6" t="s">
        <v>10</v>
      </c>
      <c r="C144" s="6" t="s">
        <v>11</v>
      </c>
      <c r="D144" s="7" t="s">
        <v>93</v>
      </c>
      <c r="E144" s="8" t="s">
        <v>531</v>
      </c>
      <c r="F144" s="6" t="s">
        <v>532</v>
      </c>
      <c r="G144" s="9">
        <f>IF(A144=1,"_",IF(C144="_","???",C144))</f>
        <v/>
      </c>
      <c r="H144" s="10" t="s">
        <v>11</v>
      </c>
      <c r="I144" s="11" t="s">
        <v>11</v>
      </c>
      <c r="J144" s="12"/>
    </row>
    <row r="145" spans="1:10" ht="60" customHeight="1">
      <c r="A145" s="6" t="s">
        <v>533</v>
      </c>
      <c r="B145" s="6" t="s">
        <v>10</v>
      </c>
      <c r="C145" s="6" t="s">
        <v>11</v>
      </c>
      <c r="D145" s="7" t="s">
        <v>392</v>
      </c>
      <c r="E145" s="8" t="s">
        <v>534</v>
      </c>
      <c r="F145" s="6" t="s">
        <v>535</v>
      </c>
      <c r="G145" s="9">
        <f>IF(A145=1,"_",IF(C145="_","???",C145))</f>
        <v/>
      </c>
      <c r="H145" s="10" t="s">
        <v>11</v>
      </c>
      <c r="I145" s="11" t="s">
        <v>11</v>
      </c>
      <c r="J145" s="12"/>
    </row>
    <row r="146" spans="1:10" ht="60" customHeight="1">
      <c r="A146" s="6" t="s">
        <v>536</v>
      </c>
      <c r="B146" s="6" t="s">
        <v>19</v>
      </c>
      <c r="C146" s="6" t="s">
        <v>11</v>
      </c>
      <c r="D146" s="7" t="s">
        <v>537</v>
      </c>
      <c r="E146" s="8" t="s">
        <v>538</v>
      </c>
      <c r="F146" s="6" t="s">
        <v>539</v>
      </c>
      <c r="G146" s="9">
        <f>IF(A146=1,"_",IF(C146="_","???",C146))</f>
        <v/>
      </c>
      <c r="H146" s="10" t="s">
        <v>11</v>
      </c>
      <c r="I146" s="11" t="s">
        <v>11</v>
      </c>
      <c r="J146" s="12"/>
    </row>
    <row r="147" spans="1:10" ht="60" customHeight="1">
      <c r="A147" s="6" t="s">
        <v>540</v>
      </c>
      <c r="B147" s="6" t="s">
        <v>15</v>
      </c>
      <c r="C147" s="6" t="s">
        <v>11</v>
      </c>
      <c r="D147" s="7" t="s">
        <v>70</v>
      </c>
      <c r="E147" s="8" t="s">
        <v>541</v>
      </c>
      <c r="F147" s="6" t="s">
        <v>542</v>
      </c>
      <c r="G147" s="9">
        <f>IF(A147=1,"_",IF(C147="_","???",C147))</f>
        <v/>
      </c>
      <c r="H147" s="10" t="s">
        <v>11</v>
      </c>
      <c r="I147" s="11" t="s">
        <v>11</v>
      </c>
      <c r="J147" s="12"/>
    </row>
    <row r="148" spans="1:10" ht="60" customHeight="1">
      <c r="A148" s="6" t="s">
        <v>543</v>
      </c>
      <c r="B148" s="6" t="s">
        <v>10</v>
      </c>
      <c r="C148" s="6" t="s">
        <v>11</v>
      </c>
      <c r="D148" s="7" t="s">
        <v>48</v>
      </c>
      <c r="E148" s="8" t="s">
        <v>544</v>
      </c>
      <c r="F148" s="6" t="s">
        <v>545</v>
      </c>
      <c r="G148" s="9">
        <f>IF(A148=1,"_",IF(C148="_","???",C148))</f>
        <v/>
      </c>
      <c r="H148" s="10" t="s">
        <v>11</v>
      </c>
      <c r="I148" s="11" t="s">
        <v>11</v>
      </c>
      <c r="J148" s="12"/>
    </row>
    <row r="149" spans="1:10" ht="60" customHeight="1">
      <c r="A149" s="6" t="s">
        <v>546</v>
      </c>
      <c r="B149" s="6" t="s">
        <v>10</v>
      </c>
      <c r="C149" s="6" t="s">
        <v>11</v>
      </c>
      <c r="D149" s="7" t="s">
        <v>56</v>
      </c>
      <c r="E149" s="8" t="s">
        <v>547</v>
      </c>
      <c r="F149" s="6" t="s">
        <v>548</v>
      </c>
      <c r="G149" s="9">
        <f>IF(A149=1,"_",IF(C149="_","???",C149))</f>
        <v/>
      </c>
      <c r="H149" s="10" t="s">
        <v>11</v>
      </c>
      <c r="I149" s="11" t="s">
        <v>11</v>
      </c>
      <c r="J149" s="12"/>
    </row>
    <row r="150" spans="1:10" ht="60" customHeight="1">
      <c r="A150" s="6" t="s">
        <v>549</v>
      </c>
      <c r="B150" s="6" t="s">
        <v>77</v>
      </c>
      <c r="C150" s="6" t="s">
        <v>11</v>
      </c>
      <c r="D150" s="7" t="s">
        <v>238</v>
      </c>
      <c r="E150" s="8" t="s">
        <v>550</v>
      </c>
      <c r="F150" s="6" t="s">
        <v>551</v>
      </c>
      <c r="G150" s="9">
        <f>IF(A150=1,"_",IF(C150="_","???",C150))</f>
        <v/>
      </c>
      <c r="H150" s="10" t="s">
        <v>11</v>
      </c>
      <c r="I150" s="11" t="s">
        <v>11</v>
      </c>
      <c r="J150" s="12"/>
    </row>
    <row r="151" spans="1:10" ht="60" customHeight="1">
      <c r="A151" s="6" t="s">
        <v>552</v>
      </c>
      <c r="B151" s="6" t="s">
        <v>15</v>
      </c>
      <c r="C151" s="6" t="s">
        <v>11</v>
      </c>
      <c r="D151" s="7" t="s">
        <v>231</v>
      </c>
      <c r="E151" s="8" t="s">
        <v>553</v>
      </c>
      <c r="F151" s="6" t="s">
        <v>554</v>
      </c>
      <c r="G151" s="9">
        <f>IF(A151=1,"_",IF(C151="_","???",C151))</f>
        <v/>
      </c>
      <c r="H151" s="10" t="s">
        <v>11</v>
      </c>
      <c r="I151" s="11" t="s">
        <v>11</v>
      </c>
      <c r="J151" s="12"/>
    </row>
    <row r="152" spans="1:10" ht="60" customHeight="1">
      <c r="A152" s="6" t="s">
        <v>555</v>
      </c>
      <c r="B152" s="6" t="s">
        <v>81</v>
      </c>
      <c r="C152" s="6" t="s">
        <v>11</v>
      </c>
      <c r="D152" s="7" t="s">
        <v>98</v>
      </c>
      <c r="E152" s="8" t="s">
        <v>556</v>
      </c>
      <c r="F152" s="6" t="s">
        <v>557</v>
      </c>
      <c r="G152" s="9">
        <f>IF(A152=1,"_",IF(C152="_","???",C152))</f>
        <v/>
      </c>
      <c r="H152" s="10" t="s">
        <v>11</v>
      </c>
      <c r="I152" s="11" t="s">
        <v>11</v>
      </c>
      <c r="J152" s="12"/>
    </row>
    <row r="153" spans="1:10" ht="60" customHeight="1">
      <c r="A153" s="6" t="s">
        <v>558</v>
      </c>
      <c r="B153" s="6" t="s">
        <v>59</v>
      </c>
      <c r="C153" s="6" t="s">
        <v>11</v>
      </c>
      <c r="D153" s="7" t="s">
        <v>392</v>
      </c>
      <c r="E153" s="8" t="s">
        <v>559</v>
      </c>
      <c r="F153" s="6" t="s">
        <v>560</v>
      </c>
      <c r="G153" s="9">
        <f>IF(A153=1,"_",IF(C153="_","???",C153))</f>
        <v/>
      </c>
      <c r="H153" s="10" t="s">
        <v>11</v>
      </c>
      <c r="I153" s="11" t="s">
        <v>11</v>
      </c>
      <c r="J153" s="12"/>
    </row>
    <row r="154" spans="1:10" ht="60" customHeight="1">
      <c r="A154" s="6" t="s">
        <v>561</v>
      </c>
      <c r="B154" s="6" t="s">
        <v>55</v>
      </c>
      <c r="C154" s="6" t="s">
        <v>11</v>
      </c>
      <c r="D154" s="7" t="s">
        <v>562</v>
      </c>
      <c r="E154" s="8" t="s">
        <v>563</v>
      </c>
      <c r="F154" s="6" t="s">
        <v>564</v>
      </c>
      <c r="G154" s="9">
        <f>IF(A154=1,"_",IF(C154="_","???",C154))</f>
        <v/>
      </c>
      <c r="H154" s="10" t="s">
        <v>11</v>
      </c>
      <c r="I154" s="11" t="s">
        <v>11</v>
      </c>
      <c r="J154" s="12"/>
    </row>
    <row r="155" spans="1:10" ht="60" customHeight="1">
      <c r="A155" s="6" t="s">
        <v>565</v>
      </c>
      <c r="B155" s="6" t="s">
        <v>10</v>
      </c>
      <c r="C155" s="6" t="s">
        <v>11</v>
      </c>
      <c r="D155" s="7" t="s">
        <v>48</v>
      </c>
      <c r="E155" s="8" t="s">
        <v>566</v>
      </c>
      <c r="F155" s="6" t="s">
        <v>567</v>
      </c>
      <c r="G155" s="9">
        <f>IF(A155=1,"_",IF(C155="_","???",C155))</f>
        <v/>
      </c>
      <c r="H155" s="10" t="s">
        <v>11</v>
      </c>
      <c r="I155" s="11" t="s">
        <v>11</v>
      </c>
      <c r="J155" s="12"/>
    </row>
    <row r="156" spans="1:10" ht="60" customHeight="1">
      <c r="A156" s="6" t="s">
        <v>568</v>
      </c>
      <c r="B156" s="6" t="s">
        <v>24</v>
      </c>
      <c r="C156" s="6" t="s">
        <v>11</v>
      </c>
      <c r="D156" s="7" t="s">
        <v>569</v>
      </c>
      <c r="E156" s="8" t="s">
        <v>570</v>
      </c>
      <c r="F156" s="6" t="s">
        <v>571</v>
      </c>
      <c r="G156" s="9">
        <f>IF(A156=1,"_",IF(C156="_","???",C156))</f>
        <v/>
      </c>
      <c r="H156" s="10" t="s">
        <v>11</v>
      </c>
      <c r="I156" s="11" t="s">
        <v>11</v>
      </c>
      <c r="J156" s="12"/>
    </row>
    <row r="157" spans="1:10" ht="60" customHeight="1">
      <c r="A157" s="6" t="s">
        <v>572</v>
      </c>
      <c r="B157" s="6" t="s">
        <v>73</v>
      </c>
      <c r="C157" s="6" t="s">
        <v>11</v>
      </c>
      <c r="D157" s="7" t="s">
        <v>137</v>
      </c>
      <c r="E157" s="8" t="s">
        <v>573</v>
      </c>
      <c r="F157" s="6" t="s">
        <v>574</v>
      </c>
      <c r="G157" s="9">
        <f>IF(A157=1,"_",IF(C157="_","???",C157))</f>
        <v/>
      </c>
      <c r="H157" s="10" t="s">
        <v>11</v>
      </c>
      <c r="I157" s="11" t="s">
        <v>11</v>
      </c>
      <c r="J157" s="12"/>
    </row>
    <row r="158" spans="1:10" ht="60" customHeight="1">
      <c r="A158" s="6" t="s">
        <v>575</v>
      </c>
      <c r="B158" s="6" t="s">
        <v>15</v>
      </c>
      <c r="C158" s="6" t="s">
        <v>11</v>
      </c>
      <c r="D158" s="7" t="s">
        <v>576</v>
      </c>
      <c r="E158" s="8" t="s">
        <v>577</v>
      </c>
      <c r="F158" s="6" t="s">
        <v>578</v>
      </c>
      <c r="G158" s="9">
        <f>IF(A158=1,"_",IF(C158="_","???",C158))</f>
        <v/>
      </c>
      <c r="H158" s="10" t="s">
        <v>11</v>
      </c>
      <c r="I158" s="11" t="s">
        <v>11</v>
      </c>
      <c r="J158" s="12"/>
    </row>
    <row r="159" spans="1:10" ht="60" customHeight="1">
      <c r="A159" s="6" t="s">
        <v>579</v>
      </c>
      <c r="B159" s="6" t="s">
        <v>59</v>
      </c>
      <c r="C159" s="6" t="s">
        <v>11</v>
      </c>
      <c r="D159" s="7" t="s">
        <v>93</v>
      </c>
      <c r="E159" s="8" t="s">
        <v>580</v>
      </c>
      <c r="F159" s="6" t="s">
        <v>581</v>
      </c>
      <c r="G159" s="9">
        <f>IF(A159=1,"_",IF(C159="_","???",C159))</f>
        <v/>
      </c>
      <c r="H159" s="10" t="s">
        <v>11</v>
      </c>
      <c r="I159" s="11" t="s">
        <v>11</v>
      </c>
      <c r="J159" s="12"/>
    </row>
    <row r="160" spans="1:10" ht="60" customHeight="1">
      <c r="A160" s="6" t="s">
        <v>582</v>
      </c>
      <c r="B160" s="6" t="s">
        <v>19</v>
      </c>
      <c r="C160" s="6" t="s">
        <v>11</v>
      </c>
      <c r="D160" s="7" t="s">
        <v>583</v>
      </c>
      <c r="E160" s="8" t="s">
        <v>584</v>
      </c>
      <c r="F160" s="6" t="s">
        <v>585</v>
      </c>
      <c r="G160" s="9">
        <f>IF(A160=1,"_",IF(C160="_","???",C160))</f>
        <v/>
      </c>
      <c r="H160" s="10" t="s">
        <v>11</v>
      </c>
      <c r="I160" s="11" t="s">
        <v>11</v>
      </c>
      <c r="J160" s="12"/>
    </row>
    <row r="161" spans="1:10" ht="60" customHeight="1">
      <c r="A161" s="6" t="s">
        <v>586</v>
      </c>
      <c r="B161" s="6" t="s">
        <v>19</v>
      </c>
      <c r="C161" s="6" t="s">
        <v>11</v>
      </c>
      <c r="D161" s="7" t="s">
        <v>98</v>
      </c>
      <c r="E161" s="8" t="s">
        <v>587</v>
      </c>
      <c r="F161" s="6" t="s">
        <v>588</v>
      </c>
      <c r="G161" s="9">
        <f>IF(A161=1,"_",IF(C161="_","???",C161))</f>
        <v/>
      </c>
      <c r="H161" s="10" t="s">
        <v>11</v>
      </c>
      <c r="I161" s="11" t="s">
        <v>11</v>
      </c>
      <c r="J161" s="12"/>
    </row>
    <row r="162" spans="1:10" ht="60" customHeight="1">
      <c r="A162" s="6" t="s">
        <v>589</v>
      </c>
      <c r="B162" s="6" t="s">
        <v>55</v>
      </c>
      <c r="C162" s="6" t="s">
        <v>11</v>
      </c>
      <c r="D162" s="7" t="s">
        <v>590</v>
      </c>
      <c r="E162" s="8" t="s">
        <v>591</v>
      </c>
      <c r="F162" s="6" t="s">
        <v>592</v>
      </c>
      <c r="G162" s="9">
        <f>IF(A162=1,"_",IF(C162="_","???",C162))</f>
        <v/>
      </c>
      <c r="H162" s="10" t="s">
        <v>11</v>
      </c>
      <c r="I162" s="11" t="s">
        <v>11</v>
      </c>
      <c r="J162" s="12"/>
    </row>
    <row r="163" spans="1:10" ht="60" customHeight="1">
      <c r="A163" s="6" t="s">
        <v>593</v>
      </c>
      <c r="B163" s="6" t="s">
        <v>23</v>
      </c>
      <c r="C163" s="6" t="s">
        <v>11</v>
      </c>
      <c r="D163" s="7" t="s">
        <v>61</v>
      </c>
      <c r="E163" s="8" t="s">
        <v>594</v>
      </c>
      <c r="F163" s="6" t="s">
        <v>595</v>
      </c>
      <c r="G163" s="9">
        <f>IF(A163=1,"_",IF(C163="_","???",C163))</f>
        <v/>
      </c>
      <c r="H163" s="10" t="s">
        <v>11</v>
      </c>
      <c r="I163" s="11" t="s">
        <v>11</v>
      </c>
      <c r="J163" s="12"/>
    </row>
    <row r="164" spans="1:10" ht="60" customHeight="1">
      <c r="A164" s="6" t="s">
        <v>596</v>
      </c>
      <c r="B164" s="6" t="s">
        <v>60</v>
      </c>
      <c r="C164" s="6" t="s">
        <v>11</v>
      </c>
      <c r="D164" s="7" t="s">
        <v>70</v>
      </c>
      <c r="E164" s="8" t="s">
        <v>597</v>
      </c>
      <c r="F164" s="6" t="s">
        <v>598</v>
      </c>
      <c r="G164" s="9">
        <f>IF(A164=1,"_",IF(C164="_","???",C164))</f>
        <v/>
      </c>
      <c r="H164" s="10" t="s">
        <v>11</v>
      </c>
      <c r="I164" s="11" t="s">
        <v>11</v>
      </c>
      <c r="J164" s="12"/>
    </row>
    <row r="165" spans="1:10" ht="60" customHeight="1">
      <c r="A165" s="6" t="s">
        <v>599</v>
      </c>
      <c r="B165" s="6" t="s">
        <v>10</v>
      </c>
      <c r="C165" s="6" t="s">
        <v>11</v>
      </c>
      <c r="D165" s="7" t="s">
        <v>48</v>
      </c>
      <c r="E165" s="8" t="s">
        <v>600</v>
      </c>
      <c r="F165" s="6" t="s">
        <v>601</v>
      </c>
      <c r="G165" s="9">
        <f>IF(A165=1,"_",IF(C165="_","???",C165))</f>
        <v/>
      </c>
      <c r="H165" s="10" t="s">
        <v>11</v>
      </c>
      <c r="I165" s="11" t="s">
        <v>11</v>
      </c>
      <c r="J165" s="12"/>
    </row>
    <row r="166" spans="1:10" ht="60" customHeight="1">
      <c r="A166" s="6" t="s">
        <v>602</v>
      </c>
      <c r="B166" s="6" t="s">
        <v>10</v>
      </c>
      <c r="C166" s="6" t="s">
        <v>11</v>
      </c>
      <c r="D166" s="7" t="s">
        <v>186</v>
      </c>
      <c r="E166" s="8" t="s">
        <v>603</v>
      </c>
      <c r="F166" s="6" t="s">
        <v>604</v>
      </c>
      <c r="G166" s="9">
        <f>IF(A166=1,"_",IF(C166="_","???",C166))</f>
        <v/>
      </c>
      <c r="H166" s="10" t="s">
        <v>11</v>
      </c>
      <c r="I166" s="11" t="s">
        <v>11</v>
      </c>
      <c r="J166" s="12"/>
    </row>
    <row r="167" spans="1:10" ht="60" customHeight="1">
      <c r="A167" s="6" t="s">
        <v>605</v>
      </c>
      <c r="B167" s="6" t="s">
        <v>24</v>
      </c>
      <c r="C167" s="6" t="s">
        <v>11</v>
      </c>
      <c r="D167" s="7" t="s">
        <v>238</v>
      </c>
      <c r="E167" s="8" t="s">
        <v>606</v>
      </c>
      <c r="F167" s="6" t="s">
        <v>607</v>
      </c>
      <c r="G167" s="9">
        <f>IF(A167=1,"_",IF(C167="_","???",C167))</f>
        <v/>
      </c>
      <c r="H167" s="10" t="s">
        <v>11</v>
      </c>
      <c r="I167" s="11" t="s">
        <v>11</v>
      </c>
      <c r="J167" s="12"/>
    </row>
    <row r="168" spans="1:10" ht="60" customHeight="1">
      <c r="A168" s="6" t="s">
        <v>608</v>
      </c>
      <c r="B168" s="6" t="s">
        <v>19</v>
      </c>
      <c r="C168" s="6" t="s">
        <v>11</v>
      </c>
      <c r="D168" s="7" t="s">
        <v>609</v>
      </c>
      <c r="E168" s="8" t="s">
        <v>610</v>
      </c>
      <c r="F168" s="6" t="s">
        <v>611</v>
      </c>
      <c r="G168" s="9">
        <f>IF(A168=1,"_",IF(C168="_","???",C168))</f>
        <v/>
      </c>
      <c r="H168" s="10" t="s">
        <v>11</v>
      </c>
      <c r="I168" s="11" t="s">
        <v>11</v>
      </c>
      <c r="J168" s="12"/>
    </row>
    <row r="169" spans="1:10" ht="60" customHeight="1">
      <c r="A169" s="6" t="s">
        <v>612</v>
      </c>
      <c r="B169" s="6" t="s">
        <v>19</v>
      </c>
      <c r="C169" s="6" t="s">
        <v>11</v>
      </c>
      <c r="D169" s="7" t="s">
        <v>613</v>
      </c>
      <c r="E169" s="8" t="s">
        <v>614</v>
      </c>
      <c r="F169" s="6" t="s">
        <v>615</v>
      </c>
      <c r="G169" s="9">
        <f>IF(A169=1,"_",IF(C169="_","???",C169))</f>
        <v/>
      </c>
      <c r="H169" s="10" t="s">
        <v>11</v>
      </c>
      <c r="I169" s="11" t="s">
        <v>11</v>
      </c>
      <c r="J169" s="12"/>
    </row>
    <row r="170" spans="1:10" ht="60" customHeight="1">
      <c r="A170" s="6" t="s">
        <v>616</v>
      </c>
      <c r="B170" s="6" t="s">
        <v>47</v>
      </c>
      <c r="C170" s="6" t="s">
        <v>11</v>
      </c>
      <c r="D170" s="7" t="s">
        <v>617</v>
      </c>
      <c r="E170" s="8" t="s">
        <v>618</v>
      </c>
      <c r="F170" s="6" t="s">
        <v>619</v>
      </c>
      <c r="G170" s="9">
        <f>IF(A170=1,"_",IF(C170="_","???",C170))</f>
        <v/>
      </c>
      <c r="H170" s="10" t="s">
        <v>11</v>
      </c>
      <c r="I170" s="11" t="s">
        <v>11</v>
      </c>
      <c r="J170" s="12"/>
    </row>
    <row r="171" spans="1:10" ht="60" customHeight="1">
      <c r="A171" s="6" t="s">
        <v>620</v>
      </c>
      <c r="B171" s="6" t="s">
        <v>19</v>
      </c>
      <c r="C171" s="6" t="s">
        <v>11</v>
      </c>
      <c r="D171" s="7" t="s">
        <v>238</v>
      </c>
      <c r="E171" s="8" t="s">
        <v>621</v>
      </c>
      <c r="F171" s="6" t="s">
        <v>622</v>
      </c>
      <c r="G171" s="9">
        <f>IF(A171=1,"_",IF(C171="_","???",C171))</f>
        <v/>
      </c>
      <c r="H171" s="10" t="s">
        <v>11</v>
      </c>
      <c r="I171" s="11" t="s">
        <v>11</v>
      </c>
      <c r="J171" s="12"/>
    </row>
    <row r="172" spans="1:10" ht="60" customHeight="1">
      <c r="A172" s="6" t="s">
        <v>623</v>
      </c>
      <c r="B172" s="6" t="s">
        <v>10</v>
      </c>
      <c r="C172" s="6" t="s">
        <v>11</v>
      </c>
      <c r="D172" s="7" t="s">
        <v>93</v>
      </c>
      <c r="E172" s="8" t="s">
        <v>624</v>
      </c>
      <c r="F172" s="6" t="s">
        <v>625</v>
      </c>
      <c r="G172" s="9">
        <f>IF(A172=1,"_",IF(C172="_","???",C172))</f>
        <v/>
      </c>
      <c r="H172" s="10" t="s">
        <v>11</v>
      </c>
      <c r="I172" s="11" t="s">
        <v>11</v>
      </c>
      <c r="J172" s="12"/>
    </row>
    <row r="173" spans="1:10" ht="60" customHeight="1">
      <c r="A173" s="6" t="s">
        <v>626</v>
      </c>
      <c r="B173" s="6" t="s">
        <v>10</v>
      </c>
      <c r="C173" s="6" t="s">
        <v>11</v>
      </c>
      <c r="D173" s="7" t="s">
        <v>93</v>
      </c>
      <c r="E173" s="8" t="s">
        <v>627</v>
      </c>
      <c r="F173" s="6" t="s">
        <v>628</v>
      </c>
      <c r="G173" s="9">
        <f>IF(A173=1,"_",IF(C173="_","???",C173))</f>
        <v/>
      </c>
      <c r="H173" s="10" t="s">
        <v>11</v>
      </c>
      <c r="I173" s="11" t="s">
        <v>11</v>
      </c>
      <c r="J173" s="12"/>
    </row>
    <row r="174" spans="1:10" ht="60" customHeight="1">
      <c r="A174" s="6" t="s">
        <v>629</v>
      </c>
      <c r="B174" s="6" t="s">
        <v>59</v>
      </c>
      <c r="C174" s="6" t="s">
        <v>11</v>
      </c>
      <c r="D174" s="7" t="s">
        <v>630</v>
      </c>
      <c r="E174" s="8" t="s">
        <v>631</v>
      </c>
      <c r="F174" s="6" t="s">
        <v>632</v>
      </c>
      <c r="G174" s="9">
        <f>IF(A174=1,"_",IF(C174="_","???",C174))</f>
        <v/>
      </c>
      <c r="H174" s="10" t="s">
        <v>11</v>
      </c>
      <c r="I174" s="11" t="s">
        <v>11</v>
      </c>
      <c r="J174" s="12"/>
    </row>
    <row r="175" spans="1:10" ht="60" customHeight="1">
      <c r="A175" s="6" t="s">
        <v>633</v>
      </c>
      <c r="B175" s="6" t="s">
        <v>10</v>
      </c>
      <c r="C175" s="6" t="s">
        <v>11</v>
      </c>
      <c r="D175" s="7" t="s">
        <v>238</v>
      </c>
      <c r="E175" s="8" t="s">
        <v>634</v>
      </c>
      <c r="F175" s="6" t="s">
        <v>635</v>
      </c>
      <c r="G175" s="9">
        <f>IF(A175=1,"_",IF(C175="_","???",C175))</f>
        <v/>
      </c>
      <c r="H175" s="10" t="s">
        <v>11</v>
      </c>
      <c r="I175" s="11" t="s">
        <v>11</v>
      </c>
      <c r="J175" s="12"/>
    </row>
    <row r="176" spans="1:10" ht="60" customHeight="1">
      <c r="A176" s="6" t="s">
        <v>636</v>
      </c>
      <c r="B176" s="6" t="s">
        <v>10</v>
      </c>
      <c r="C176" s="6" t="s">
        <v>11</v>
      </c>
      <c r="D176" s="7" t="s">
        <v>48</v>
      </c>
      <c r="E176" s="8" t="s">
        <v>637</v>
      </c>
      <c r="F176" s="6" t="s">
        <v>638</v>
      </c>
      <c r="G176" s="9">
        <f>IF(A176=1,"_",IF(C176="_","???",C176))</f>
        <v/>
      </c>
      <c r="H176" s="10" t="s">
        <v>11</v>
      </c>
      <c r="I176" s="11" t="s">
        <v>11</v>
      </c>
      <c r="J176" s="12"/>
    </row>
    <row r="177" spans="1:10" ht="60" customHeight="1">
      <c r="A177" s="6" t="s">
        <v>639</v>
      </c>
      <c r="B177" s="6" t="s">
        <v>31</v>
      </c>
      <c r="C177" s="6" t="s">
        <v>11</v>
      </c>
      <c r="D177" s="7" t="s">
        <v>61</v>
      </c>
      <c r="E177" s="8" t="s">
        <v>640</v>
      </c>
      <c r="F177" s="6" t="s">
        <v>641</v>
      </c>
      <c r="G177" s="9">
        <f>IF(A177=1,"_",IF(C177="_","???",C177))</f>
        <v/>
      </c>
      <c r="H177" s="10" t="s">
        <v>11</v>
      </c>
      <c r="I177" s="11" t="s">
        <v>11</v>
      </c>
      <c r="J177" s="12"/>
    </row>
    <row r="178" spans="1:10" ht="60" customHeight="1">
      <c r="A178" s="6" t="s">
        <v>642</v>
      </c>
      <c r="B178" s="6" t="s">
        <v>19</v>
      </c>
      <c r="C178" s="6" t="s">
        <v>11</v>
      </c>
      <c r="D178" s="7" t="s">
        <v>153</v>
      </c>
      <c r="E178" s="8" t="s">
        <v>643</v>
      </c>
      <c r="F178" s="6" t="s">
        <v>644</v>
      </c>
      <c r="G178" s="9">
        <f>IF(A178=1,"_",IF(C178="_","???",C178))</f>
        <v/>
      </c>
      <c r="H178" s="10" t="s">
        <v>11</v>
      </c>
      <c r="I178" s="11" t="s">
        <v>11</v>
      </c>
      <c r="J178" s="12"/>
    </row>
    <row r="179" spans="1:10" ht="60" customHeight="1">
      <c r="A179" s="6" t="s">
        <v>645</v>
      </c>
      <c r="B179" s="6" t="s">
        <v>23</v>
      </c>
      <c r="C179" s="6" t="s">
        <v>11</v>
      </c>
      <c r="D179" s="7" t="s">
        <v>646</v>
      </c>
      <c r="E179" s="8" t="s">
        <v>647</v>
      </c>
      <c r="F179" s="6" t="s">
        <v>648</v>
      </c>
      <c r="G179" s="9">
        <f>IF(A179=1,"_",IF(C179="_","???",C179))</f>
        <v/>
      </c>
      <c r="H179" s="10" t="s">
        <v>11</v>
      </c>
      <c r="I179" s="11" t="s">
        <v>11</v>
      </c>
      <c r="J179" s="12"/>
    </row>
    <row r="180" spans="1:10" ht="60" customHeight="1">
      <c r="A180" s="6" t="s">
        <v>649</v>
      </c>
      <c r="B180" s="6" t="s">
        <v>24</v>
      </c>
      <c r="C180" s="6" t="s">
        <v>11</v>
      </c>
      <c r="D180" s="7" t="s">
        <v>392</v>
      </c>
      <c r="E180" s="8" t="s">
        <v>650</v>
      </c>
      <c r="F180" s="6" t="s">
        <v>651</v>
      </c>
      <c r="G180" s="9">
        <f>IF(A180=1,"_",IF(C180="_","???",C180))</f>
        <v/>
      </c>
      <c r="H180" s="10" t="s">
        <v>11</v>
      </c>
      <c r="I180" s="11" t="s">
        <v>11</v>
      </c>
      <c r="J180" s="12"/>
    </row>
    <row r="181" spans="1:10" ht="60" customHeight="1">
      <c r="A181" s="6" t="s">
        <v>652</v>
      </c>
      <c r="B181" s="6" t="s">
        <v>10</v>
      </c>
      <c r="C181" s="6" t="s">
        <v>11</v>
      </c>
      <c r="D181" s="7" t="s">
        <v>56</v>
      </c>
      <c r="E181" s="8" t="s">
        <v>653</v>
      </c>
      <c r="F181" s="6" t="s">
        <v>654</v>
      </c>
      <c r="G181" s="9">
        <f>IF(A181=1,"_",IF(C181="_","???",C181))</f>
        <v/>
      </c>
      <c r="H181" s="10" t="s">
        <v>11</v>
      </c>
      <c r="I181" s="11" t="s">
        <v>11</v>
      </c>
      <c r="J181" s="12"/>
    </row>
    <row r="182" spans="1:10" ht="60" customHeight="1">
      <c r="A182" s="6" t="s">
        <v>655</v>
      </c>
      <c r="B182" s="6" t="s">
        <v>15</v>
      </c>
      <c r="C182" s="6" t="s">
        <v>11</v>
      </c>
      <c r="D182" s="7" t="s">
        <v>656</v>
      </c>
      <c r="E182" s="8" t="s">
        <v>657</v>
      </c>
      <c r="F182" s="6" t="s">
        <v>658</v>
      </c>
      <c r="G182" s="9">
        <f>IF(A182=1,"_",IF(C182="_","???",C182))</f>
        <v/>
      </c>
      <c r="H182" s="10" t="s">
        <v>11</v>
      </c>
      <c r="I182" s="11" t="s">
        <v>11</v>
      </c>
      <c r="J182" s="12"/>
    </row>
    <row r="183" spans="1:10" ht="60" customHeight="1">
      <c r="A183" s="6" t="s">
        <v>659</v>
      </c>
      <c r="B183" s="6" t="s">
        <v>15</v>
      </c>
      <c r="C183" s="6" t="s">
        <v>11</v>
      </c>
      <c r="D183" s="7" t="s">
        <v>660</v>
      </c>
      <c r="E183" s="8" t="s">
        <v>661</v>
      </c>
      <c r="F183" s="6" t="s">
        <v>662</v>
      </c>
      <c r="G183" s="9">
        <f>IF(A183=1,"_",IF(C183="_","???",C183))</f>
        <v/>
      </c>
      <c r="H183" s="10" t="s">
        <v>11</v>
      </c>
      <c r="I183" s="11" t="s">
        <v>11</v>
      </c>
      <c r="J183" s="12"/>
    </row>
    <row r="184" spans="1:10" ht="60" customHeight="1">
      <c r="A184" s="6" t="s">
        <v>663</v>
      </c>
      <c r="B184" s="6" t="s">
        <v>15</v>
      </c>
      <c r="C184" s="6" t="s">
        <v>11</v>
      </c>
      <c r="D184" s="7" t="s">
        <v>263</v>
      </c>
      <c r="E184" s="8" t="s">
        <v>664</v>
      </c>
      <c r="F184" s="6" t="s">
        <v>665</v>
      </c>
      <c r="G184" s="9">
        <f>IF(A184=1,"_",IF(C184="_","???",C184))</f>
        <v/>
      </c>
      <c r="H184" s="10" t="s">
        <v>11</v>
      </c>
      <c r="I184" s="11" t="s">
        <v>11</v>
      </c>
      <c r="J184" s="12"/>
    </row>
    <row r="185" spans="1:10" ht="60" customHeight="1">
      <c r="A185" s="6" t="s">
        <v>666</v>
      </c>
      <c r="B185" s="6" t="s">
        <v>15</v>
      </c>
      <c r="C185" s="6" t="s">
        <v>11</v>
      </c>
      <c r="D185" s="7" t="s">
        <v>667</v>
      </c>
      <c r="E185" s="8" t="s">
        <v>668</v>
      </c>
      <c r="F185" s="6" t="s">
        <v>669</v>
      </c>
      <c r="G185" s="9">
        <f>IF(A185=1,"_",IF(C185="_","???",C185))</f>
        <v/>
      </c>
      <c r="H185" s="10" t="s">
        <v>11</v>
      </c>
      <c r="I185" s="11" t="s">
        <v>11</v>
      </c>
      <c r="J185" s="12"/>
    </row>
    <row r="186" spans="1:10" ht="60" customHeight="1">
      <c r="A186" s="6" t="s">
        <v>670</v>
      </c>
      <c r="B186" s="6" t="s">
        <v>671</v>
      </c>
      <c r="C186" s="6" t="s">
        <v>11</v>
      </c>
      <c r="D186" s="7" t="s">
        <v>609</v>
      </c>
      <c r="E186" s="8" t="s">
        <v>672</v>
      </c>
      <c r="F186" s="6" t="s">
        <v>673</v>
      </c>
      <c r="G186" s="9">
        <f>IF(A186=1,"_",IF(C186="_","???",C186))</f>
        <v/>
      </c>
      <c r="H186" s="10" t="s">
        <v>11</v>
      </c>
      <c r="I186" s="11" t="s">
        <v>11</v>
      </c>
      <c r="J186" s="12"/>
    </row>
    <row r="187" spans="1:10" ht="60" customHeight="1">
      <c r="A187" s="6" t="s">
        <v>674</v>
      </c>
      <c r="B187" s="6" t="s">
        <v>15</v>
      </c>
      <c r="C187" s="6" t="s">
        <v>11</v>
      </c>
      <c r="D187" s="7" t="s">
        <v>381</v>
      </c>
      <c r="E187" s="8" t="s">
        <v>675</v>
      </c>
      <c r="F187" s="6" t="s">
        <v>676</v>
      </c>
      <c r="G187" s="9">
        <f>IF(A187=1,"_",IF(C187="_","???",C187))</f>
        <v/>
      </c>
      <c r="H187" s="10" t="s">
        <v>11</v>
      </c>
      <c r="I187" s="11" t="s">
        <v>11</v>
      </c>
      <c r="J187" s="12"/>
    </row>
    <row r="188" spans="1:10" ht="60" customHeight="1">
      <c r="A188" s="6" t="s">
        <v>677</v>
      </c>
      <c r="B188" s="6" t="s">
        <v>15</v>
      </c>
      <c r="C188" s="6" t="s">
        <v>11</v>
      </c>
      <c r="D188" s="7" t="s">
        <v>381</v>
      </c>
      <c r="E188" s="8" t="s">
        <v>678</v>
      </c>
      <c r="F188" s="6" t="s">
        <v>679</v>
      </c>
      <c r="G188" s="9">
        <f>IF(A188=1,"_",IF(C188="_","???",C188))</f>
        <v/>
      </c>
      <c r="H188" s="10" t="s">
        <v>11</v>
      </c>
      <c r="I188" s="11" t="s">
        <v>11</v>
      </c>
      <c r="J188" s="12"/>
    </row>
    <row r="189" spans="1:10" ht="60" customHeight="1">
      <c r="A189" s="6" t="s">
        <v>680</v>
      </c>
      <c r="B189" s="6" t="s">
        <v>31</v>
      </c>
      <c r="C189" s="6" t="s">
        <v>11</v>
      </c>
      <c r="D189" s="7" t="s">
        <v>70</v>
      </c>
      <c r="E189" s="8" t="s">
        <v>681</v>
      </c>
      <c r="F189" s="6" t="s">
        <v>682</v>
      </c>
      <c r="G189" s="9">
        <f>IF(A189=1,"_",IF(C189="_","???",C189))</f>
        <v/>
      </c>
      <c r="H189" s="10" t="s">
        <v>11</v>
      </c>
      <c r="I189" s="11" t="s">
        <v>11</v>
      </c>
      <c r="J189" s="12"/>
    </row>
    <row r="190" spans="1:10" ht="60" customHeight="1">
      <c r="A190" s="6" t="s">
        <v>683</v>
      </c>
      <c r="B190" s="6" t="s">
        <v>19</v>
      </c>
      <c r="C190" s="6" t="s">
        <v>11</v>
      </c>
      <c r="D190" s="7" t="s">
        <v>20</v>
      </c>
      <c r="E190" s="8" t="s">
        <v>684</v>
      </c>
      <c r="F190" s="6" t="s">
        <v>685</v>
      </c>
      <c r="G190" s="9">
        <f>IF(A190=1,"_",IF(C190="_","???",C190))</f>
        <v/>
      </c>
      <c r="H190" s="10" t="s">
        <v>11</v>
      </c>
      <c r="I190" s="11" t="s">
        <v>11</v>
      </c>
      <c r="J190" s="12"/>
    </row>
    <row r="191" spans="1:10" ht="60" customHeight="1">
      <c r="A191" s="6" t="s">
        <v>686</v>
      </c>
      <c r="B191" s="6" t="s">
        <v>10</v>
      </c>
      <c r="C191" s="6" t="s">
        <v>11</v>
      </c>
      <c r="D191" s="7" t="s">
        <v>687</v>
      </c>
      <c r="E191" s="8" t="s">
        <v>688</v>
      </c>
      <c r="F191" s="6" t="s">
        <v>689</v>
      </c>
      <c r="G191" s="9">
        <f>IF(A191=1,"_",IF(C191="_","???",C191))</f>
        <v/>
      </c>
      <c r="H191" s="10" t="s">
        <v>11</v>
      </c>
      <c r="I191" s="11" t="s">
        <v>11</v>
      </c>
      <c r="J191" s="12"/>
    </row>
    <row r="192" spans="1:10" ht="60" customHeight="1">
      <c r="A192" s="6" t="s">
        <v>690</v>
      </c>
      <c r="B192" s="6" t="s">
        <v>10</v>
      </c>
      <c r="C192" s="6" t="s">
        <v>11</v>
      </c>
      <c r="D192" s="7" t="s">
        <v>691</v>
      </c>
      <c r="E192" s="8" t="s">
        <v>692</v>
      </c>
      <c r="F192" s="6" t="s">
        <v>693</v>
      </c>
      <c r="G192" s="9">
        <f>IF(A192=1,"_",IF(C192="_","???",C192))</f>
        <v/>
      </c>
      <c r="H192" s="10" t="s">
        <v>11</v>
      </c>
      <c r="I192" s="11" t="s">
        <v>11</v>
      </c>
      <c r="J192" s="12"/>
    </row>
    <row r="193" spans="1:10" ht="60" customHeight="1">
      <c r="A193" s="6" t="s">
        <v>694</v>
      </c>
      <c r="B193" s="6" t="s">
        <v>10</v>
      </c>
      <c r="C193" s="6" t="s">
        <v>11</v>
      </c>
      <c r="D193" s="7" t="s">
        <v>695</v>
      </c>
      <c r="E193" s="8" t="s">
        <v>696</v>
      </c>
      <c r="F193" s="6" t="s">
        <v>697</v>
      </c>
      <c r="G193" s="9">
        <f>IF(A193=1,"_",IF(C193="_","???",C193))</f>
        <v/>
      </c>
      <c r="H193" s="10" t="s">
        <v>11</v>
      </c>
      <c r="I193" s="11" t="s">
        <v>11</v>
      </c>
      <c r="J193" s="12"/>
    </row>
    <row r="194" spans="1:10" ht="60" customHeight="1">
      <c r="A194" s="6" t="s">
        <v>698</v>
      </c>
      <c r="B194" s="6" t="s">
        <v>10</v>
      </c>
      <c r="C194" s="6" t="s">
        <v>65</v>
      </c>
      <c r="D194" s="7" t="s">
        <v>98</v>
      </c>
      <c r="E194" s="8" t="s">
        <v>699</v>
      </c>
      <c r="F194" s="6" t="s">
        <v>700</v>
      </c>
      <c r="G194" s="9">
        <f>IF(A194=1,"_",IF(C194="_","???",C194))</f>
        <v/>
      </c>
      <c r="H194" s="10" t="s">
        <v>11</v>
      </c>
      <c r="I194" s="11" t="s">
        <v>11</v>
      </c>
      <c r="J194" s="12"/>
    </row>
    <row r="195" spans="1:10" ht="60" customHeight="1">
      <c r="A195" s="6" t="s">
        <v>701</v>
      </c>
      <c r="B195" s="6" t="s">
        <v>10</v>
      </c>
      <c r="C195" s="6" t="s">
        <v>11</v>
      </c>
      <c r="D195" s="7" t="s">
        <v>114</v>
      </c>
      <c r="E195" s="8" t="s">
        <v>702</v>
      </c>
      <c r="F195" s="6" t="s">
        <v>703</v>
      </c>
      <c r="G195" s="9">
        <f>IF(A195=1,"_",IF(C195="_","???",C195))</f>
        <v/>
      </c>
      <c r="H195" s="10" t="s">
        <v>11</v>
      </c>
      <c r="I195" s="11" t="s">
        <v>11</v>
      </c>
      <c r="J195" s="12"/>
    </row>
    <row r="196" spans="1:10" ht="60" customHeight="1">
      <c r="A196" s="6" t="s">
        <v>704</v>
      </c>
      <c r="B196" s="6" t="s">
        <v>15</v>
      </c>
      <c r="C196" s="6" t="s">
        <v>11</v>
      </c>
      <c r="D196" s="7" t="s">
        <v>705</v>
      </c>
      <c r="E196" s="8" t="s">
        <v>706</v>
      </c>
      <c r="F196" s="6" t="s">
        <v>707</v>
      </c>
      <c r="G196" s="9">
        <f>IF(A196=1,"_",IF(C196="_","???",C196))</f>
        <v/>
      </c>
      <c r="H196" s="10" t="s">
        <v>11</v>
      </c>
      <c r="I196" s="11" t="s">
        <v>11</v>
      </c>
      <c r="J196" s="12"/>
    </row>
    <row r="197" spans="1:10" ht="60" customHeight="1">
      <c r="A197" s="6" t="s">
        <v>708</v>
      </c>
      <c r="B197" s="6" t="s">
        <v>10</v>
      </c>
      <c r="C197" s="6" t="s">
        <v>11</v>
      </c>
      <c r="D197" s="7" t="s">
        <v>709</v>
      </c>
      <c r="E197" s="8" t="s">
        <v>710</v>
      </c>
      <c r="F197" s="6" t="s">
        <v>711</v>
      </c>
      <c r="G197" s="9">
        <f>IF(A197=1,"_",IF(C197="_","???",C197))</f>
        <v/>
      </c>
      <c r="H197" s="10" t="s">
        <v>11</v>
      </c>
      <c r="I197" s="11" t="s">
        <v>11</v>
      </c>
      <c r="J197" s="12"/>
    </row>
    <row r="198" spans="1:10" ht="60" customHeight="1">
      <c r="A198" s="6" t="s">
        <v>712</v>
      </c>
      <c r="B198" s="6" t="s">
        <v>10</v>
      </c>
      <c r="C198" s="6" t="s">
        <v>11</v>
      </c>
      <c r="D198" s="7" t="s">
        <v>56</v>
      </c>
      <c r="E198" s="8" t="s">
        <v>653</v>
      </c>
      <c r="F198" s="6" t="s">
        <v>713</v>
      </c>
      <c r="G198" s="9">
        <f>IF(A198=1,"_",IF(C198="_","???",C198))</f>
        <v/>
      </c>
      <c r="H198" s="10" t="s">
        <v>11</v>
      </c>
      <c r="I198" s="11" t="s">
        <v>11</v>
      </c>
      <c r="J198" s="12"/>
    </row>
    <row r="199" spans="1:10" ht="60" customHeight="1">
      <c r="A199" s="6" t="s">
        <v>714</v>
      </c>
      <c r="B199" s="6" t="s">
        <v>19</v>
      </c>
      <c r="C199" s="6" t="s">
        <v>11</v>
      </c>
      <c r="D199" s="7" t="s">
        <v>715</v>
      </c>
      <c r="E199" s="8" t="s">
        <v>716</v>
      </c>
      <c r="F199" s="6" t="s">
        <v>717</v>
      </c>
      <c r="G199" s="9">
        <f>IF(A199=1,"_",IF(C199="_","???",C199))</f>
        <v/>
      </c>
      <c r="H199" s="10" t="s">
        <v>11</v>
      </c>
      <c r="I199" s="11" t="s">
        <v>11</v>
      </c>
      <c r="J199" s="12"/>
    </row>
    <row r="200" spans="1:10" ht="60" customHeight="1">
      <c r="A200" s="6" t="s">
        <v>718</v>
      </c>
      <c r="B200" s="6" t="s">
        <v>10</v>
      </c>
      <c r="C200" s="6" t="s">
        <v>65</v>
      </c>
      <c r="D200" s="7" t="s">
        <v>48</v>
      </c>
      <c r="E200" s="8" t="s">
        <v>719</v>
      </c>
      <c r="F200" s="6" t="s">
        <v>720</v>
      </c>
      <c r="G200" s="9">
        <f>IF(A200=1,"_",IF(C200="_","???",C200))</f>
        <v/>
      </c>
      <c r="H200" s="10" t="s">
        <v>11</v>
      </c>
      <c r="I200" s="11" t="s">
        <v>11</v>
      </c>
      <c r="J200" s="12"/>
    </row>
    <row r="201" spans="1:10" ht="60" customHeight="1">
      <c r="A201" s="6" t="s">
        <v>721</v>
      </c>
      <c r="B201" s="6" t="s">
        <v>10</v>
      </c>
      <c r="C201" s="6" t="s">
        <v>11</v>
      </c>
      <c r="D201" s="7" t="s">
        <v>186</v>
      </c>
      <c r="E201" s="8" t="s">
        <v>722</v>
      </c>
      <c r="F201" s="6" t="s">
        <v>723</v>
      </c>
      <c r="G201" s="9">
        <f>IF(A201=1,"_",IF(C201="_","???",C201))</f>
        <v/>
      </c>
      <c r="H201" s="10" t="s">
        <v>11</v>
      </c>
      <c r="I201" s="11" t="s">
        <v>11</v>
      </c>
      <c r="J201" s="12"/>
    </row>
    <row r="202" spans="1:10" ht="60" customHeight="1">
      <c r="A202" s="6" t="s">
        <v>724</v>
      </c>
      <c r="B202" s="6" t="s">
        <v>23</v>
      </c>
      <c r="C202" s="6" t="s">
        <v>11</v>
      </c>
      <c r="D202" s="7" t="s">
        <v>392</v>
      </c>
      <c r="E202" s="8" t="s">
        <v>725</v>
      </c>
      <c r="F202" s="6" t="s">
        <v>726</v>
      </c>
      <c r="G202" s="9">
        <f>IF(A202=1,"_",IF(C202="_","???",C202))</f>
        <v/>
      </c>
      <c r="H202" s="10" t="s">
        <v>11</v>
      </c>
      <c r="I202" s="11" t="s">
        <v>11</v>
      </c>
      <c r="J202" s="12"/>
    </row>
    <row r="203" spans="1:10" ht="60" customHeight="1">
      <c r="A203" s="6" t="s">
        <v>727</v>
      </c>
      <c r="B203" s="6" t="s">
        <v>15</v>
      </c>
      <c r="C203" s="6" t="s">
        <v>11</v>
      </c>
      <c r="D203" s="7" t="s">
        <v>74</v>
      </c>
      <c r="E203" s="8" t="s">
        <v>728</v>
      </c>
      <c r="F203" s="6" t="s">
        <v>729</v>
      </c>
      <c r="G203" s="9">
        <f>IF(A203=1,"_",IF(C203="_","???",C203))</f>
        <v/>
      </c>
      <c r="H203" s="10" t="s">
        <v>11</v>
      </c>
      <c r="I203" s="11" t="s">
        <v>11</v>
      </c>
      <c r="J203" s="12"/>
    </row>
    <row r="204" spans="1:10" ht="60" customHeight="1">
      <c r="A204" s="6" t="s">
        <v>730</v>
      </c>
      <c r="B204" s="6" t="s">
        <v>23</v>
      </c>
      <c r="C204" s="6" t="s">
        <v>11</v>
      </c>
      <c r="D204" s="7" t="s">
        <v>74</v>
      </c>
      <c r="E204" s="8" t="s">
        <v>731</v>
      </c>
      <c r="F204" s="6" t="s">
        <v>732</v>
      </c>
      <c r="G204" s="9">
        <f>IF(A204=1,"_",IF(C204="_","???",C204))</f>
        <v/>
      </c>
      <c r="H204" s="10" t="s">
        <v>11</v>
      </c>
      <c r="I204" s="11" t="s">
        <v>11</v>
      </c>
      <c r="J204" s="12"/>
    </row>
    <row r="205" spans="1:10" ht="60" customHeight="1">
      <c r="A205" s="6" t="s">
        <v>733</v>
      </c>
      <c r="B205" s="6" t="s">
        <v>10</v>
      </c>
      <c r="C205" s="6" t="s">
        <v>11</v>
      </c>
      <c r="D205" s="7" t="s">
        <v>110</v>
      </c>
      <c r="E205" s="8" t="s">
        <v>734</v>
      </c>
      <c r="F205" s="6" t="s">
        <v>735</v>
      </c>
      <c r="G205" s="9">
        <f>IF(A205=1,"_",IF(C205="_","???",C205))</f>
        <v/>
      </c>
      <c r="H205" s="10" t="s">
        <v>11</v>
      </c>
      <c r="I205" s="11" t="s">
        <v>11</v>
      </c>
      <c r="J205" s="12"/>
    </row>
    <row r="206" spans="1:10" ht="60" customHeight="1">
      <c r="A206" s="6" t="s">
        <v>736</v>
      </c>
      <c r="B206" s="6" t="s">
        <v>10</v>
      </c>
      <c r="C206" s="6" t="s">
        <v>11</v>
      </c>
      <c r="D206" s="7" t="s">
        <v>114</v>
      </c>
      <c r="E206" s="8" t="s">
        <v>737</v>
      </c>
      <c r="F206" s="6" t="s">
        <v>738</v>
      </c>
      <c r="G206" s="9">
        <f>IF(A206=1,"_",IF(C206="_","???",C206))</f>
        <v/>
      </c>
      <c r="H206" s="10" t="s">
        <v>11</v>
      </c>
      <c r="I206" s="11" t="s">
        <v>11</v>
      </c>
      <c r="J206" s="12"/>
    </row>
    <row r="207" spans="1:10" ht="60" customHeight="1">
      <c r="A207" s="6" t="s">
        <v>739</v>
      </c>
      <c r="B207" s="6" t="s">
        <v>10</v>
      </c>
      <c r="C207" s="6" t="s">
        <v>11</v>
      </c>
      <c r="D207" s="7" t="s">
        <v>56</v>
      </c>
      <c r="E207" s="8" t="s">
        <v>740</v>
      </c>
      <c r="F207" s="6" t="s">
        <v>741</v>
      </c>
      <c r="G207" s="9">
        <f>IF(A207=1,"_",IF(C207="_","???",C207))</f>
        <v/>
      </c>
      <c r="H207" s="10" t="s">
        <v>11</v>
      </c>
      <c r="I207" s="11" t="s">
        <v>11</v>
      </c>
      <c r="J207" s="12"/>
    </row>
    <row r="208" spans="1:10" ht="60" customHeight="1">
      <c r="A208" s="6" t="s">
        <v>742</v>
      </c>
      <c r="B208" s="6" t="s">
        <v>10</v>
      </c>
      <c r="C208" s="6" t="s">
        <v>11</v>
      </c>
      <c r="D208" s="7" t="s">
        <v>61</v>
      </c>
      <c r="E208" s="8" t="s">
        <v>743</v>
      </c>
      <c r="F208" s="6" t="s">
        <v>744</v>
      </c>
      <c r="G208" s="9">
        <f>IF(A208=1,"_",IF(C208="_","???",C208))</f>
        <v/>
      </c>
      <c r="H208" s="10" t="s">
        <v>11</v>
      </c>
      <c r="I208" s="11" t="s">
        <v>11</v>
      </c>
      <c r="J208" s="12"/>
    </row>
    <row r="209" spans="1:10" ht="60" customHeight="1">
      <c r="A209" s="6" t="s">
        <v>745</v>
      </c>
      <c r="B209" s="6" t="s">
        <v>19</v>
      </c>
      <c r="C209" s="6" t="s">
        <v>11</v>
      </c>
      <c r="D209" s="7" t="s">
        <v>74</v>
      </c>
      <c r="E209" s="8" t="s">
        <v>746</v>
      </c>
      <c r="F209" s="6" t="s">
        <v>747</v>
      </c>
      <c r="G209" s="9">
        <f>IF(A209=1,"_",IF(C209="_","???",C209))</f>
        <v/>
      </c>
      <c r="H209" s="10" t="s">
        <v>11</v>
      </c>
      <c r="I209" s="11" t="s">
        <v>11</v>
      </c>
      <c r="J209" s="12"/>
    </row>
    <row r="210" spans="1:10" ht="60" customHeight="1">
      <c r="A210" s="6" t="s">
        <v>748</v>
      </c>
      <c r="B210" s="6" t="s">
        <v>73</v>
      </c>
      <c r="C210" s="6" t="s">
        <v>11</v>
      </c>
      <c r="D210" s="7" t="s">
        <v>215</v>
      </c>
      <c r="E210" s="8" t="s">
        <v>749</v>
      </c>
      <c r="F210" s="6" t="s">
        <v>750</v>
      </c>
      <c r="G210" s="9">
        <f>IF(A210=1,"_",IF(C210="_","???",C210))</f>
        <v/>
      </c>
      <c r="H210" s="10" t="s">
        <v>11</v>
      </c>
      <c r="I210" s="11" t="s">
        <v>11</v>
      </c>
      <c r="J210" s="12"/>
    </row>
    <row r="211" spans="1:10" ht="60" customHeight="1">
      <c r="A211" s="6" t="s">
        <v>751</v>
      </c>
      <c r="B211" s="6" t="s">
        <v>10</v>
      </c>
      <c r="C211" s="6" t="s">
        <v>11</v>
      </c>
      <c r="D211" s="7" t="s">
        <v>609</v>
      </c>
      <c r="E211" s="8" t="s">
        <v>752</v>
      </c>
      <c r="F211" s="6" t="s">
        <v>753</v>
      </c>
      <c r="G211" s="9">
        <f>IF(A211=1,"_",IF(C211="_","???",C211))</f>
        <v/>
      </c>
      <c r="H211" s="10" t="s">
        <v>11</v>
      </c>
      <c r="I211" s="11" t="s">
        <v>11</v>
      </c>
      <c r="J211" s="12"/>
    </row>
    <row r="212" spans="1:10" ht="60" customHeight="1">
      <c r="A212" s="6" t="s">
        <v>754</v>
      </c>
      <c r="B212" s="6" t="s">
        <v>23</v>
      </c>
      <c r="C212" s="6" t="s">
        <v>755</v>
      </c>
      <c r="D212" s="7" t="s">
        <v>756</v>
      </c>
      <c r="E212" s="8" t="s">
        <v>757</v>
      </c>
      <c r="F212" s="6" t="s">
        <v>758</v>
      </c>
      <c r="G212" s="9">
        <f>IF(A212=1,"_",IF(C212="_","???",C212))</f>
        <v/>
      </c>
      <c r="H212" s="10" t="s">
        <v>11</v>
      </c>
      <c r="I212" s="11" t="s">
        <v>11</v>
      </c>
      <c r="J212" s="12"/>
    </row>
    <row r="213" spans="1:10" ht="60" customHeight="1">
      <c r="A213" s="6" t="s">
        <v>759</v>
      </c>
      <c r="B213" s="6" t="s">
        <v>10</v>
      </c>
      <c r="C213" s="6" t="s">
        <v>11</v>
      </c>
      <c r="D213" s="7" t="s">
        <v>760</v>
      </c>
      <c r="E213" s="8" t="s">
        <v>761</v>
      </c>
      <c r="F213" s="6" t="s">
        <v>762</v>
      </c>
      <c r="G213" s="9">
        <f>IF(A213=1,"_",IF(C213="_","???",C213))</f>
        <v/>
      </c>
      <c r="H213" s="10" t="s">
        <v>11</v>
      </c>
      <c r="I213" s="11" t="s">
        <v>11</v>
      </c>
      <c r="J213" s="12"/>
    </row>
    <row r="214" spans="1:10" ht="60" customHeight="1">
      <c r="A214" s="6" t="s">
        <v>763</v>
      </c>
      <c r="B214" s="6" t="s">
        <v>24</v>
      </c>
      <c r="C214" s="6" t="s">
        <v>11</v>
      </c>
      <c r="D214" s="7" t="s">
        <v>114</v>
      </c>
      <c r="E214" s="8" t="s">
        <v>764</v>
      </c>
      <c r="F214" s="6" t="s">
        <v>765</v>
      </c>
      <c r="G214" s="9">
        <f>IF(A214=1,"_",IF(C214="_","???",C214))</f>
        <v/>
      </c>
      <c r="H214" s="10" t="s">
        <v>11</v>
      </c>
      <c r="I214" s="11" t="s">
        <v>11</v>
      </c>
      <c r="J214" s="12"/>
    </row>
    <row r="215" spans="1:10" ht="60" customHeight="1">
      <c r="A215" s="6" t="s">
        <v>766</v>
      </c>
      <c r="B215" s="6" t="s">
        <v>10</v>
      </c>
      <c r="C215" s="6" t="s">
        <v>11</v>
      </c>
      <c r="D215" s="7" t="s">
        <v>767</v>
      </c>
      <c r="E215" s="8" t="s">
        <v>768</v>
      </c>
      <c r="F215" s="6" t="s">
        <v>769</v>
      </c>
      <c r="G215" s="9">
        <f>IF(A215=1,"_",IF(C215="_","???",C215))</f>
        <v/>
      </c>
      <c r="H215" s="10" t="s">
        <v>11</v>
      </c>
      <c r="I215" s="11" t="s">
        <v>11</v>
      </c>
      <c r="J215" s="12"/>
    </row>
    <row r="216" spans="1:10" ht="60" customHeight="1">
      <c r="A216" s="6" t="s">
        <v>770</v>
      </c>
      <c r="B216" s="6" t="s">
        <v>19</v>
      </c>
      <c r="C216" s="6" t="s">
        <v>11</v>
      </c>
      <c r="D216" s="7" t="s">
        <v>263</v>
      </c>
      <c r="E216" s="8" t="s">
        <v>771</v>
      </c>
      <c r="F216" s="6" t="s">
        <v>772</v>
      </c>
      <c r="G216" s="9">
        <f>IF(A216=1,"_",IF(C216="_","???",C216))</f>
        <v/>
      </c>
      <c r="H216" s="10" t="s">
        <v>11</v>
      </c>
      <c r="I216" s="11" t="s">
        <v>11</v>
      </c>
      <c r="J216" s="12"/>
    </row>
    <row r="217" spans="1:10" ht="60" customHeight="1">
      <c r="A217" s="6" t="s">
        <v>773</v>
      </c>
      <c r="B217" s="6" t="s">
        <v>19</v>
      </c>
      <c r="C217" s="6" t="s">
        <v>11</v>
      </c>
      <c r="D217" s="7" t="s">
        <v>774</v>
      </c>
      <c r="E217" s="8" t="s">
        <v>775</v>
      </c>
      <c r="F217" s="6" t="s">
        <v>776</v>
      </c>
      <c r="G217" s="9">
        <f>IF(A217=1,"_",IF(C217="_","???",C217))</f>
        <v/>
      </c>
      <c r="H217" s="10" t="s">
        <v>11</v>
      </c>
      <c r="I217" s="11" t="s">
        <v>11</v>
      </c>
      <c r="J217" s="12"/>
    </row>
    <row r="218" spans="1:10" ht="60" customHeight="1">
      <c r="A218" s="6" t="s">
        <v>777</v>
      </c>
      <c r="B218" s="6" t="s">
        <v>10</v>
      </c>
      <c r="C218" s="6" t="s">
        <v>11</v>
      </c>
      <c r="D218" s="7" t="s">
        <v>500</v>
      </c>
      <c r="E218" s="8" t="s">
        <v>778</v>
      </c>
      <c r="F218" s="6" t="s">
        <v>779</v>
      </c>
      <c r="G218" s="9">
        <f>IF(A218=1,"_",IF(C218="_","???",C218))</f>
        <v/>
      </c>
      <c r="H218" s="10" t="s">
        <v>11</v>
      </c>
      <c r="I218" s="11" t="s">
        <v>11</v>
      </c>
      <c r="J218" s="12"/>
    </row>
    <row r="219" spans="1:10" ht="60" customHeight="1">
      <c r="A219" s="6" t="s">
        <v>780</v>
      </c>
      <c r="B219" s="6" t="s">
        <v>15</v>
      </c>
      <c r="C219" s="6" t="s">
        <v>11</v>
      </c>
      <c r="D219" s="7" t="s">
        <v>781</v>
      </c>
      <c r="E219" s="8" t="s">
        <v>782</v>
      </c>
      <c r="F219" s="6" t="s">
        <v>783</v>
      </c>
      <c r="G219" s="9">
        <f>IF(A219=1,"_",IF(C219="_","???",C219))</f>
        <v/>
      </c>
      <c r="H219" s="10" t="s">
        <v>11</v>
      </c>
      <c r="I219" s="11" t="s">
        <v>11</v>
      </c>
      <c r="J219" s="12"/>
    </row>
    <row r="220" spans="1:10" ht="60" customHeight="1">
      <c r="A220" s="6" t="s">
        <v>784</v>
      </c>
      <c r="B220" s="6" t="s">
        <v>15</v>
      </c>
      <c r="C220" s="6" t="s">
        <v>11</v>
      </c>
      <c r="D220" s="7" t="s">
        <v>98</v>
      </c>
      <c r="E220" s="8" t="s">
        <v>785</v>
      </c>
      <c r="F220" s="6" t="s">
        <v>786</v>
      </c>
      <c r="G220" s="9">
        <f>IF(A220=1,"_",IF(C220="_","???",C220))</f>
        <v/>
      </c>
      <c r="H220" s="10" t="s">
        <v>11</v>
      </c>
      <c r="I220" s="11" t="s">
        <v>11</v>
      </c>
      <c r="J220" s="12"/>
    </row>
    <row r="221" spans="1:10" ht="60" customHeight="1">
      <c r="A221" s="6" t="s">
        <v>787</v>
      </c>
      <c r="B221" s="6" t="s">
        <v>10</v>
      </c>
      <c r="C221" s="6" t="s">
        <v>11</v>
      </c>
      <c r="D221" s="7" t="s">
        <v>788</v>
      </c>
      <c r="E221" s="8" t="s">
        <v>789</v>
      </c>
      <c r="F221" s="6" t="s">
        <v>790</v>
      </c>
      <c r="G221" s="9">
        <f>IF(A221=1,"_",IF(C221="_","???",C221))</f>
        <v/>
      </c>
      <c r="H221" s="10" t="s">
        <v>11</v>
      </c>
      <c r="I221" s="11" t="s">
        <v>11</v>
      </c>
      <c r="J221" s="12"/>
    </row>
    <row r="222" spans="1:10" ht="60" customHeight="1">
      <c r="A222" s="6" t="s">
        <v>791</v>
      </c>
      <c r="B222" s="6" t="s">
        <v>10</v>
      </c>
      <c r="C222" s="6" t="s">
        <v>11</v>
      </c>
      <c r="D222" s="7" t="s">
        <v>70</v>
      </c>
      <c r="E222" s="8" t="s">
        <v>792</v>
      </c>
      <c r="F222" s="6" t="s">
        <v>793</v>
      </c>
      <c r="G222" s="9">
        <f>IF(A222=1,"_",IF(C222="_","???",C222))</f>
        <v/>
      </c>
      <c r="H222" s="10" t="s">
        <v>11</v>
      </c>
      <c r="I222" s="11" t="s">
        <v>11</v>
      </c>
      <c r="J222" s="12"/>
    </row>
    <row r="223" spans="1:10" ht="60" customHeight="1">
      <c r="A223" s="6" t="s">
        <v>794</v>
      </c>
      <c r="B223" s="6" t="s">
        <v>10</v>
      </c>
      <c r="C223" s="6" t="s">
        <v>11</v>
      </c>
      <c r="D223" s="7" t="s">
        <v>48</v>
      </c>
      <c r="E223" s="8" t="s">
        <v>795</v>
      </c>
      <c r="F223" s="6" t="s">
        <v>796</v>
      </c>
      <c r="G223" s="9">
        <f>IF(A223=1,"_",IF(C223="_","???",C223))</f>
        <v/>
      </c>
      <c r="H223" s="10" t="s">
        <v>11</v>
      </c>
      <c r="I223" s="11" t="s">
        <v>11</v>
      </c>
      <c r="J223" s="12"/>
    </row>
    <row r="224" spans="1:10" ht="60" customHeight="1">
      <c r="A224" s="6" t="s">
        <v>797</v>
      </c>
      <c r="B224" s="6" t="s">
        <v>39</v>
      </c>
      <c r="C224" s="6" t="s">
        <v>11</v>
      </c>
      <c r="D224" s="7" t="s">
        <v>798</v>
      </c>
      <c r="E224" s="8" t="s">
        <v>799</v>
      </c>
      <c r="F224" s="6" t="s">
        <v>800</v>
      </c>
      <c r="G224" s="9">
        <f>IF(A224=1,"_",IF(C224="_","???",C224))</f>
        <v/>
      </c>
      <c r="H224" s="10" t="s">
        <v>11</v>
      </c>
      <c r="I224" s="11" t="s">
        <v>11</v>
      </c>
      <c r="J224" s="12"/>
    </row>
    <row r="225" spans="1:10" ht="60" customHeight="1">
      <c r="A225" s="6" t="s">
        <v>801</v>
      </c>
      <c r="B225" s="6" t="s">
        <v>10</v>
      </c>
      <c r="C225" s="6" t="s">
        <v>11</v>
      </c>
      <c r="D225" s="7" t="s">
        <v>61</v>
      </c>
      <c r="E225" s="8" t="s">
        <v>802</v>
      </c>
      <c r="F225" s="6" t="s">
        <v>803</v>
      </c>
      <c r="G225" s="9">
        <f>IF(A225=1,"_",IF(C225="_","???",C225))</f>
        <v/>
      </c>
      <c r="H225" s="10" t="s">
        <v>11</v>
      </c>
      <c r="I225" s="11" t="s">
        <v>11</v>
      </c>
      <c r="J225" s="12"/>
    </row>
    <row r="226" spans="1:10" ht="60" customHeight="1">
      <c r="A226" s="6" t="s">
        <v>804</v>
      </c>
      <c r="B226" s="6" t="s">
        <v>10</v>
      </c>
      <c r="C226" s="6" t="s">
        <v>11</v>
      </c>
      <c r="D226" s="7" t="s">
        <v>56</v>
      </c>
      <c r="E226" s="8" t="s">
        <v>805</v>
      </c>
      <c r="F226" s="6" t="s">
        <v>806</v>
      </c>
      <c r="G226" s="9">
        <f>IF(A226=1,"_",IF(C226="_","???",C226))</f>
        <v/>
      </c>
      <c r="H226" s="10" t="s">
        <v>11</v>
      </c>
      <c r="I226" s="11" t="s">
        <v>11</v>
      </c>
      <c r="J226" s="12"/>
    </row>
    <row r="227" spans="1:10" ht="60" customHeight="1">
      <c r="A227" s="6" t="s">
        <v>807</v>
      </c>
      <c r="B227" s="6" t="s">
        <v>19</v>
      </c>
      <c r="C227" s="6" t="s">
        <v>11</v>
      </c>
      <c r="D227" s="7" t="s">
        <v>808</v>
      </c>
      <c r="E227" s="8" t="s">
        <v>809</v>
      </c>
      <c r="F227" s="6" t="s">
        <v>810</v>
      </c>
      <c r="G227" s="9">
        <f>IF(A227=1,"_",IF(C227="_","???",C227))</f>
        <v/>
      </c>
      <c r="H227" s="10" t="s">
        <v>11</v>
      </c>
      <c r="I227" s="11" t="s">
        <v>11</v>
      </c>
      <c r="J227" s="12"/>
    </row>
    <row r="228" spans="1:10" ht="60" customHeight="1">
      <c r="A228" s="6" t="s">
        <v>811</v>
      </c>
      <c r="B228" s="6" t="s">
        <v>19</v>
      </c>
      <c r="C228" s="6" t="s">
        <v>11</v>
      </c>
      <c r="D228" s="7" t="s">
        <v>812</v>
      </c>
      <c r="E228" s="8" t="s">
        <v>813</v>
      </c>
      <c r="F228" s="6" t="s">
        <v>814</v>
      </c>
      <c r="G228" s="9">
        <f>IF(A228=1,"_",IF(C228="_","???",C228))</f>
        <v/>
      </c>
      <c r="H228" s="10" t="s">
        <v>11</v>
      </c>
      <c r="I228" s="11" t="s">
        <v>11</v>
      </c>
      <c r="J228" s="12"/>
    </row>
    <row r="229" spans="1:10" ht="60" customHeight="1">
      <c r="A229" s="6" t="s">
        <v>815</v>
      </c>
      <c r="B229" s="6" t="s">
        <v>15</v>
      </c>
      <c r="C229" s="6" t="s">
        <v>11</v>
      </c>
      <c r="D229" s="7" t="s">
        <v>61</v>
      </c>
      <c r="E229" s="8" t="s">
        <v>816</v>
      </c>
      <c r="F229" s="6" t="s">
        <v>817</v>
      </c>
      <c r="G229" s="9">
        <f>IF(A229=1,"_",IF(C229="_","???",C229))</f>
        <v/>
      </c>
      <c r="H229" s="10" t="s">
        <v>11</v>
      </c>
      <c r="I229" s="11" t="s">
        <v>11</v>
      </c>
      <c r="J229" s="12"/>
    </row>
    <row r="230" spans="1:10" ht="60" customHeight="1">
      <c r="A230" s="6" t="s">
        <v>818</v>
      </c>
      <c r="B230" s="6" t="s">
        <v>10</v>
      </c>
      <c r="C230" s="6" t="s">
        <v>11</v>
      </c>
      <c r="D230" s="7" t="s">
        <v>256</v>
      </c>
      <c r="E230" s="8" t="s">
        <v>819</v>
      </c>
      <c r="F230" s="6" t="s">
        <v>820</v>
      </c>
      <c r="G230" s="9">
        <f>IF(A230=1,"_",IF(C230="_","???",C230))</f>
        <v/>
      </c>
      <c r="H230" s="10" t="s">
        <v>11</v>
      </c>
      <c r="I230" s="11" t="s">
        <v>11</v>
      </c>
      <c r="J230" s="12"/>
    </row>
    <row r="231" spans="1:10" ht="60" customHeight="1">
      <c r="A231" s="6" t="s">
        <v>821</v>
      </c>
      <c r="B231" s="6" t="s">
        <v>23</v>
      </c>
      <c r="C231" s="6" t="s">
        <v>11</v>
      </c>
      <c r="D231" s="7" t="s">
        <v>822</v>
      </c>
      <c r="E231" s="8" t="s">
        <v>823</v>
      </c>
      <c r="F231" s="6" t="s">
        <v>824</v>
      </c>
      <c r="G231" s="9">
        <f>IF(A231=1,"_",IF(C231="_","???",C231))</f>
        <v/>
      </c>
      <c r="H231" s="10" t="s">
        <v>11</v>
      </c>
      <c r="I231" s="11" t="s">
        <v>11</v>
      </c>
      <c r="J231" s="12"/>
    </row>
    <row r="232" spans="1:10" ht="60" customHeight="1">
      <c r="A232" s="6" t="s">
        <v>825</v>
      </c>
      <c r="B232" s="6" t="s">
        <v>10</v>
      </c>
      <c r="C232" s="6" t="s">
        <v>11</v>
      </c>
      <c r="D232" s="7" t="s">
        <v>48</v>
      </c>
      <c r="E232" s="8" t="s">
        <v>826</v>
      </c>
      <c r="F232" s="6" t="s">
        <v>827</v>
      </c>
      <c r="G232" s="9">
        <f>IF(A232=1,"_",IF(C232="_","???",C232))</f>
        <v/>
      </c>
      <c r="H232" s="10" t="s">
        <v>11</v>
      </c>
      <c r="I232" s="11" t="s">
        <v>11</v>
      </c>
      <c r="J232" s="12"/>
    </row>
    <row r="233" spans="1:10" ht="60" customHeight="1">
      <c r="A233" s="6" t="s">
        <v>828</v>
      </c>
      <c r="B233" s="6" t="s">
        <v>55</v>
      </c>
      <c r="C233" s="6" t="s">
        <v>11</v>
      </c>
      <c r="D233" s="7" t="s">
        <v>392</v>
      </c>
      <c r="E233" s="8" t="s">
        <v>829</v>
      </c>
      <c r="F233" s="6" t="s">
        <v>830</v>
      </c>
      <c r="G233" s="9">
        <f>IF(A233=1,"_",IF(C233="_","???",C233))</f>
        <v/>
      </c>
      <c r="H233" s="10" t="s">
        <v>11</v>
      </c>
      <c r="I233" s="11" t="s">
        <v>11</v>
      </c>
      <c r="J233" s="12"/>
    </row>
    <row r="234" spans="1:10" ht="60" customHeight="1">
      <c r="A234" s="6" t="s">
        <v>831</v>
      </c>
      <c r="B234" s="6" t="s">
        <v>35</v>
      </c>
      <c r="C234" s="6" t="s">
        <v>11</v>
      </c>
      <c r="D234" s="7" t="s">
        <v>417</v>
      </c>
      <c r="E234" s="8" t="s">
        <v>832</v>
      </c>
      <c r="F234" s="6" t="s">
        <v>833</v>
      </c>
      <c r="G234" s="9">
        <f>IF(A234=1,"_",IF(C234="_","???",C234))</f>
        <v/>
      </c>
      <c r="H234" s="10" t="s">
        <v>11</v>
      </c>
      <c r="I234" s="11" t="s">
        <v>11</v>
      </c>
      <c r="J234" s="12"/>
    </row>
    <row r="235" spans="1:10" ht="60" customHeight="1">
      <c r="A235" s="6" t="s">
        <v>834</v>
      </c>
      <c r="B235" s="6" t="s">
        <v>10</v>
      </c>
      <c r="C235" s="6" t="s">
        <v>11</v>
      </c>
      <c r="D235" s="7" t="s">
        <v>48</v>
      </c>
      <c r="E235" s="8" t="s">
        <v>835</v>
      </c>
      <c r="F235" s="6" t="s">
        <v>836</v>
      </c>
      <c r="G235" s="9">
        <f>IF(A235=1,"_",IF(C235="_","???",C235))</f>
        <v/>
      </c>
      <c r="H235" s="10" t="s">
        <v>11</v>
      </c>
      <c r="I235" s="11" t="s">
        <v>11</v>
      </c>
      <c r="J235" s="12"/>
    </row>
    <row r="236" spans="1:10" ht="60" customHeight="1">
      <c r="A236" s="6" t="s">
        <v>837</v>
      </c>
      <c r="B236" s="6" t="s">
        <v>39</v>
      </c>
      <c r="C236" s="6" t="s">
        <v>11</v>
      </c>
      <c r="D236" s="7" t="s">
        <v>98</v>
      </c>
      <c r="E236" s="8" t="s">
        <v>838</v>
      </c>
      <c r="F236" s="6" t="s">
        <v>839</v>
      </c>
      <c r="G236" s="9">
        <f>IF(A236=1,"_",IF(C236="_","???",C236))</f>
        <v/>
      </c>
      <c r="H236" s="10" t="s">
        <v>11</v>
      </c>
      <c r="I236" s="11" t="s">
        <v>11</v>
      </c>
      <c r="J236" s="12"/>
    </row>
    <row r="237" spans="1:10" ht="60" customHeight="1">
      <c r="A237" s="6" t="s">
        <v>840</v>
      </c>
      <c r="B237" s="6" t="s">
        <v>10</v>
      </c>
      <c r="C237" s="6" t="s">
        <v>11</v>
      </c>
      <c r="D237" s="7" t="s">
        <v>56</v>
      </c>
      <c r="E237" s="8" t="s">
        <v>841</v>
      </c>
      <c r="F237" s="6" t="s">
        <v>842</v>
      </c>
      <c r="G237" s="9">
        <f>IF(A237=1,"_",IF(C237="_","???",C237))</f>
        <v/>
      </c>
      <c r="H237" s="10" t="s">
        <v>11</v>
      </c>
      <c r="I237" s="11" t="s">
        <v>11</v>
      </c>
      <c r="J237" s="12"/>
    </row>
    <row r="238" spans="1:10" ht="60" customHeight="1">
      <c r="A238" s="6" t="s">
        <v>843</v>
      </c>
      <c r="B238" s="6" t="s">
        <v>47</v>
      </c>
      <c r="C238" s="6" t="s">
        <v>11</v>
      </c>
      <c r="D238" s="7" t="s">
        <v>844</v>
      </c>
      <c r="E238" s="8" t="s">
        <v>845</v>
      </c>
      <c r="F238" s="6" t="s">
        <v>846</v>
      </c>
      <c r="G238" s="9">
        <f>IF(A238=1,"_",IF(C238="_","???",C238))</f>
        <v/>
      </c>
      <c r="H238" s="10" t="s">
        <v>11</v>
      </c>
      <c r="I238" s="11" t="s">
        <v>11</v>
      </c>
      <c r="J238" s="12"/>
    </row>
    <row r="239" spans="1:10" ht="60" customHeight="1">
      <c r="A239" s="6" t="s">
        <v>847</v>
      </c>
      <c r="B239" s="6" t="s">
        <v>10</v>
      </c>
      <c r="C239" s="6" t="s">
        <v>11</v>
      </c>
      <c r="D239" s="7" t="s">
        <v>56</v>
      </c>
      <c r="E239" s="8" t="s">
        <v>653</v>
      </c>
      <c r="F239" s="6" t="s">
        <v>848</v>
      </c>
      <c r="G239" s="9">
        <f>IF(A239=1,"_",IF(C239="_","???",C239))</f>
        <v/>
      </c>
      <c r="H239" s="10" t="s">
        <v>11</v>
      </c>
      <c r="I239" s="11" t="s">
        <v>11</v>
      </c>
      <c r="J239" s="12"/>
    </row>
    <row r="240" spans="1:10" ht="60" customHeight="1">
      <c r="A240" s="6" t="s">
        <v>849</v>
      </c>
      <c r="B240" s="6" t="s">
        <v>60</v>
      </c>
      <c r="C240" s="6" t="s">
        <v>11</v>
      </c>
      <c r="D240" s="7" t="s">
        <v>186</v>
      </c>
      <c r="E240" s="8" t="s">
        <v>850</v>
      </c>
      <c r="F240" s="6" t="s">
        <v>851</v>
      </c>
      <c r="G240" s="9">
        <f>IF(A240=1,"_",IF(C240="_","???",C240))</f>
        <v/>
      </c>
      <c r="H240" s="10" t="s">
        <v>11</v>
      </c>
      <c r="I240" s="11" t="s">
        <v>11</v>
      </c>
      <c r="J240" s="12"/>
    </row>
    <row r="241" spans="1:10" ht="60" customHeight="1">
      <c r="A241" s="6" t="s">
        <v>852</v>
      </c>
      <c r="B241" s="6" t="s">
        <v>10</v>
      </c>
      <c r="C241" s="6" t="s">
        <v>11</v>
      </c>
      <c r="D241" s="7" t="s">
        <v>186</v>
      </c>
      <c r="E241" s="8" t="s">
        <v>853</v>
      </c>
      <c r="F241" s="6" t="s">
        <v>854</v>
      </c>
      <c r="G241" s="9">
        <f>IF(A241=1,"_",IF(C241="_","???",C241))</f>
        <v/>
      </c>
      <c r="H241" s="10" t="s">
        <v>11</v>
      </c>
      <c r="I241" s="11" t="s">
        <v>11</v>
      </c>
      <c r="J241" s="12"/>
    </row>
    <row r="242" spans="1:10" ht="60" customHeight="1">
      <c r="A242" s="6" t="s">
        <v>855</v>
      </c>
      <c r="B242" s="6" t="s">
        <v>24</v>
      </c>
      <c r="C242" s="6" t="s">
        <v>11</v>
      </c>
      <c r="D242" s="7" t="s">
        <v>856</v>
      </c>
      <c r="E242" s="8" t="s">
        <v>857</v>
      </c>
      <c r="F242" s="6" t="s">
        <v>858</v>
      </c>
      <c r="G242" s="9">
        <f>IF(A242=1,"_",IF(C242="_","???",C242))</f>
        <v/>
      </c>
      <c r="H242" s="10" t="s">
        <v>11</v>
      </c>
      <c r="I242" s="11" t="s">
        <v>11</v>
      </c>
      <c r="J242" s="12"/>
    </row>
    <row r="243" spans="1:10" ht="60" customHeight="1">
      <c r="A243" s="6" t="s">
        <v>859</v>
      </c>
      <c r="B243" s="6" t="s">
        <v>15</v>
      </c>
      <c r="C243" s="6" t="s">
        <v>11</v>
      </c>
      <c r="D243" s="7" t="s">
        <v>860</v>
      </c>
      <c r="E243" s="8" t="s">
        <v>861</v>
      </c>
      <c r="F243" s="6" t="s">
        <v>862</v>
      </c>
      <c r="G243" s="9">
        <f>IF(A243=1,"_",IF(C243="_","???",C243))</f>
        <v/>
      </c>
      <c r="H243" s="10" t="s">
        <v>11</v>
      </c>
      <c r="I243" s="11" t="s">
        <v>11</v>
      </c>
      <c r="J243" s="12"/>
    </row>
    <row r="244" spans="1:10" ht="60" customHeight="1">
      <c r="A244" s="6" t="s">
        <v>863</v>
      </c>
      <c r="B244" s="6" t="s">
        <v>19</v>
      </c>
      <c r="C244" s="6" t="s">
        <v>11</v>
      </c>
      <c r="D244" s="7" t="s">
        <v>864</v>
      </c>
      <c r="E244" s="8" t="s">
        <v>865</v>
      </c>
      <c r="F244" s="6" t="s">
        <v>866</v>
      </c>
      <c r="G244" s="9">
        <f>IF(A244=1,"_",IF(C244="_","???",C244))</f>
        <v/>
      </c>
      <c r="H244" s="10" t="s">
        <v>11</v>
      </c>
      <c r="I244" s="11" t="s">
        <v>11</v>
      </c>
      <c r="J244" s="12"/>
    </row>
    <row r="245" spans="1:10" ht="60" customHeight="1">
      <c r="A245" s="6" t="s">
        <v>867</v>
      </c>
      <c r="B245" s="6" t="s">
        <v>19</v>
      </c>
      <c r="C245" s="6" t="s">
        <v>11</v>
      </c>
      <c r="D245" s="7" t="s">
        <v>114</v>
      </c>
      <c r="E245" s="8" t="s">
        <v>868</v>
      </c>
      <c r="F245" s="6" t="s">
        <v>869</v>
      </c>
      <c r="G245" s="9">
        <f>IF(A245=1,"_",IF(C245="_","???",C245))</f>
        <v/>
      </c>
      <c r="H245" s="10" t="s">
        <v>11</v>
      </c>
      <c r="I245" s="11" t="s">
        <v>11</v>
      </c>
      <c r="J245" s="12"/>
    </row>
    <row r="246" spans="1:10" ht="60" customHeight="1">
      <c r="A246" s="6" t="s">
        <v>870</v>
      </c>
      <c r="B246" s="6" t="s">
        <v>23</v>
      </c>
      <c r="C246" s="6" t="s">
        <v>11</v>
      </c>
      <c r="D246" s="7" t="s">
        <v>114</v>
      </c>
      <c r="E246" s="8" t="s">
        <v>871</v>
      </c>
      <c r="F246" s="6" t="s">
        <v>872</v>
      </c>
      <c r="G246" s="9">
        <f>IF(A246=1,"_",IF(C246="_","???",C246))</f>
        <v/>
      </c>
      <c r="H246" s="10" t="s">
        <v>11</v>
      </c>
      <c r="I246" s="11" t="s">
        <v>11</v>
      </c>
      <c r="J246" s="12"/>
    </row>
    <row r="247" spans="1:10" ht="60" customHeight="1">
      <c r="A247" s="6" t="s">
        <v>873</v>
      </c>
      <c r="B247" s="6" t="s">
        <v>39</v>
      </c>
      <c r="C247" s="6" t="s">
        <v>11</v>
      </c>
      <c r="D247" s="7" t="s">
        <v>392</v>
      </c>
      <c r="E247" s="8" t="s">
        <v>874</v>
      </c>
      <c r="F247" s="6" t="s">
        <v>875</v>
      </c>
      <c r="G247" s="9">
        <f>IF(A247=1,"_",IF(C247="_","???",C247))</f>
        <v/>
      </c>
      <c r="H247" s="10" t="s">
        <v>11</v>
      </c>
      <c r="I247" s="11" t="s">
        <v>11</v>
      </c>
      <c r="J247" s="12"/>
    </row>
    <row r="248" spans="1:10" ht="60" customHeight="1">
      <c r="A248" s="6" t="s">
        <v>876</v>
      </c>
      <c r="B248" s="6" t="s">
        <v>10</v>
      </c>
      <c r="C248" s="6" t="s">
        <v>11</v>
      </c>
      <c r="D248" s="7" t="s">
        <v>877</v>
      </c>
      <c r="E248" s="8" t="s">
        <v>878</v>
      </c>
      <c r="F248" s="6" t="s">
        <v>879</v>
      </c>
      <c r="G248" s="9">
        <f>IF(A248=1,"_",IF(C248="_","???",C248))</f>
        <v/>
      </c>
      <c r="H248" s="10" t="s">
        <v>11</v>
      </c>
      <c r="I248" s="11" t="s">
        <v>11</v>
      </c>
      <c r="J248" s="12"/>
    </row>
    <row r="249" spans="1:10" ht="60" customHeight="1">
      <c r="A249" s="6" t="s">
        <v>880</v>
      </c>
      <c r="B249" s="6" t="s">
        <v>23</v>
      </c>
      <c r="C249" s="6" t="s">
        <v>11</v>
      </c>
      <c r="D249" s="7" t="s">
        <v>881</v>
      </c>
      <c r="E249" s="8" t="s">
        <v>882</v>
      </c>
      <c r="F249" s="6" t="s">
        <v>883</v>
      </c>
      <c r="G249" s="9">
        <f>IF(A249=1,"_",IF(C249="_","???",C249))</f>
        <v/>
      </c>
      <c r="H249" s="10" t="s">
        <v>11</v>
      </c>
      <c r="I249" s="11" t="s">
        <v>11</v>
      </c>
      <c r="J249" s="12"/>
    </row>
    <row r="250" spans="1:10" ht="60" customHeight="1">
      <c r="A250" s="6" t="s">
        <v>884</v>
      </c>
      <c r="B250" s="6" t="s">
        <v>15</v>
      </c>
      <c r="C250" s="6" t="s">
        <v>11</v>
      </c>
      <c r="D250" s="7" t="s">
        <v>885</v>
      </c>
      <c r="E250" s="8" t="s">
        <v>886</v>
      </c>
      <c r="F250" s="6" t="s">
        <v>887</v>
      </c>
      <c r="G250" s="9">
        <f>IF(A250=1,"_",IF(C250="_","???",C250))</f>
        <v/>
      </c>
      <c r="H250" s="10" t="s">
        <v>11</v>
      </c>
      <c r="I250" s="11" t="s">
        <v>11</v>
      </c>
      <c r="J250" s="12"/>
    </row>
    <row r="251" spans="1:10" ht="60" customHeight="1">
      <c r="A251" s="6" t="s">
        <v>888</v>
      </c>
      <c r="B251" s="6" t="s">
        <v>35</v>
      </c>
      <c r="C251" s="6" t="s">
        <v>11</v>
      </c>
      <c r="D251" s="7" t="s">
        <v>889</v>
      </c>
      <c r="E251" s="8" t="s">
        <v>890</v>
      </c>
      <c r="F251" s="6" t="s">
        <v>891</v>
      </c>
      <c r="G251" s="9">
        <f>IF(A251=1,"_",IF(C251="_","???",C251))</f>
        <v/>
      </c>
      <c r="H251" s="10" t="s">
        <v>11</v>
      </c>
      <c r="I251" s="11" t="s">
        <v>11</v>
      </c>
      <c r="J251" s="12"/>
    </row>
    <row r="252" spans="1:10" ht="60" customHeight="1">
      <c r="A252" s="6" t="s">
        <v>892</v>
      </c>
      <c r="B252" s="6" t="s">
        <v>10</v>
      </c>
      <c r="C252" s="6" t="s">
        <v>11</v>
      </c>
      <c r="D252" s="7" t="s">
        <v>893</v>
      </c>
      <c r="E252" s="8" t="s">
        <v>894</v>
      </c>
      <c r="F252" s="6" t="s">
        <v>895</v>
      </c>
      <c r="G252" s="9">
        <f>IF(A252=1,"_",IF(C252="_","???",C252))</f>
        <v/>
      </c>
      <c r="H252" s="10" t="s">
        <v>11</v>
      </c>
      <c r="I252" s="11" t="s">
        <v>11</v>
      </c>
      <c r="J252" s="12"/>
    </row>
    <row r="253" spans="1:10" ht="60" customHeight="1">
      <c r="A253" s="6" t="s">
        <v>896</v>
      </c>
      <c r="B253" s="6" t="s">
        <v>31</v>
      </c>
      <c r="C253" s="6" t="s">
        <v>11</v>
      </c>
      <c r="D253" s="7" t="s">
        <v>897</v>
      </c>
      <c r="E253" s="8" t="s">
        <v>898</v>
      </c>
      <c r="F253" s="6" t="s">
        <v>899</v>
      </c>
      <c r="G253" s="9">
        <f>IF(A253=1,"_",IF(C253="_","???",C253))</f>
        <v/>
      </c>
      <c r="H253" s="10" t="s">
        <v>11</v>
      </c>
      <c r="I253" s="11" t="s">
        <v>11</v>
      </c>
      <c r="J253" s="12"/>
    </row>
    <row r="254" spans="1:10" ht="60" customHeight="1">
      <c r="A254" s="6" t="s">
        <v>900</v>
      </c>
      <c r="B254" s="6" t="s">
        <v>15</v>
      </c>
      <c r="C254" s="6" t="s">
        <v>11</v>
      </c>
      <c r="D254" s="7" t="s">
        <v>901</v>
      </c>
      <c r="E254" s="8" t="s">
        <v>902</v>
      </c>
      <c r="F254" s="6" t="s">
        <v>903</v>
      </c>
      <c r="G254" s="9">
        <f>IF(A254=1,"_",IF(C254="_","???",C254))</f>
        <v/>
      </c>
      <c r="H254" s="10" t="s">
        <v>11</v>
      </c>
      <c r="I254" s="11" t="s">
        <v>11</v>
      </c>
      <c r="J254" s="12"/>
    </row>
    <row r="255" spans="1:10" ht="60" customHeight="1">
      <c r="A255" s="6" t="s">
        <v>904</v>
      </c>
      <c r="B255" s="6" t="s">
        <v>15</v>
      </c>
      <c r="C255" s="6" t="s">
        <v>11</v>
      </c>
      <c r="D255" s="7" t="s">
        <v>186</v>
      </c>
      <c r="E255" s="8" t="s">
        <v>905</v>
      </c>
      <c r="F255" s="6" t="s">
        <v>906</v>
      </c>
      <c r="G255" s="9">
        <f>IF(A255=1,"_",IF(C255="_","???",C255))</f>
        <v/>
      </c>
      <c r="H255" s="10" t="s">
        <v>11</v>
      </c>
      <c r="I255" s="11" t="s">
        <v>11</v>
      </c>
      <c r="J255" s="12"/>
    </row>
    <row r="256" spans="1:10" ht="60" customHeight="1">
      <c r="A256" s="6" t="s">
        <v>907</v>
      </c>
      <c r="B256" s="6" t="s">
        <v>47</v>
      </c>
      <c r="C256" s="6" t="s">
        <v>11</v>
      </c>
      <c r="D256" s="7" t="s">
        <v>908</v>
      </c>
      <c r="E256" s="8" t="s">
        <v>909</v>
      </c>
      <c r="F256" s="6" t="s">
        <v>910</v>
      </c>
      <c r="G256" s="9">
        <f>IF(A256=1,"_",IF(C256="_","???",C256))</f>
        <v/>
      </c>
      <c r="H256" s="10" t="s">
        <v>11</v>
      </c>
      <c r="I256" s="11" t="s">
        <v>11</v>
      </c>
      <c r="J256" s="12"/>
    </row>
    <row r="257" spans="1:10" ht="60" customHeight="1">
      <c r="A257" s="6" t="s">
        <v>911</v>
      </c>
      <c r="B257" s="6" t="s">
        <v>10</v>
      </c>
      <c r="C257" s="6" t="s">
        <v>11</v>
      </c>
      <c r="D257" s="7" t="s">
        <v>48</v>
      </c>
      <c r="E257" s="8" t="s">
        <v>912</v>
      </c>
      <c r="F257" s="6" t="s">
        <v>913</v>
      </c>
      <c r="G257" s="9">
        <f>IF(A257=1,"_",IF(C257="_","???",C257))</f>
        <v/>
      </c>
      <c r="H257" s="10" t="s">
        <v>11</v>
      </c>
      <c r="I257" s="11" t="s">
        <v>11</v>
      </c>
      <c r="J257" s="12"/>
    </row>
    <row r="258" spans="1:10" ht="60" customHeight="1">
      <c r="A258" s="6" t="s">
        <v>914</v>
      </c>
      <c r="B258" s="6" t="s">
        <v>15</v>
      </c>
      <c r="C258" s="6" t="s">
        <v>11</v>
      </c>
      <c r="D258" s="7" t="s">
        <v>915</v>
      </c>
      <c r="E258" s="8" t="s">
        <v>916</v>
      </c>
      <c r="F258" s="6" t="s">
        <v>917</v>
      </c>
      <c r="G258" s="9">
        <f>IF(A258=1,"_",IF(C258="_","???",C258))</f>
        <v/>
      </c>
      <c r="H258" s="10" t="s">
        <v>11</v>
      </c>
      <c r="I258" s="11" t="s">
        <v>11</v>
      </c>
      <c r="J258" s="12"/>
    </row>
    <row r="259" spans="1:10" ht="60" customHeight="1">
      <c r="A259" s="6" t="s">
        <v>918</v>
      </c>
      <c r="B259" s="6" t="s">
        <v>10</v>
      </c>
      <c r="C259" s="6" t="s">
        <v>11</v>
      </c>
      <c r="D259" s="7" t="s">
        <v>919</v>
      </c>
      <c r="E259" s="8" t="s">
        <v>920</v>
      </c>
      <c r="F259" s="6" t="s">
        <v>921</v>
      </c>
      <c r="G259" s="9">
        <f>IF(A259=1,"_",IF(C259="_","???",C259))</f>
        <v/>
      </c>
      <c r="H259" s="10" t="s">
        <v>11</v>
      </c>
      <c r="I259" s="11" t="s">
        <v>11</v>
      </c>
      <c r="J259" s="12"/>
    </row>
    <row r="260" spans="1:10" ht="60" customHeight="1">
      <c r="A260" s="6" t="s">
        <v>922</v>
      </c>
      <c r="B260" s="6" t="s">
        <v>19</v>
      </c>
      <c r="C260" s="6" t="s">
        <v>11</v>
      </c>
      <c r="D260" s="7" t="s">
        <v>923</v>
      </c>
      <c r="E260" s="8" t="s">
        <v>924</v>
      </c>
      <c r="F260" s="6" t="s">
        <v>925</v>
      </c>
      <c r="G260" s="9">
        <f>IF(A260=1,"_",IF(C260="_","???",C260))</f>
        <v/>
      </c>
      <c r="H260" s="10" t="s">
        <v>11</v>
      </c>
      <c r="I260" s="11" t="s">
        <v>11</v>
      </c>
      <c r="J260" s="12"/>
    </row>
    <row r="261" spans="1:10" ht="60" customHeight="1">
      <c r="A261" s="6" t="s">
        <v>926</v>
      </c>
      <c r="B261" s="6" t="s">
        <v>10</v>
      </c>
      <c r="C261" s="6" t="s">
        <v>11</v>
      </c>
      <c r="D261" s="7" t="s">
        <v>48</v>
      </c>
      <c r="E261" s="8" t="s">
        <v>927</v>
      </c>
      <c r="F261" s="6" t="s">
        <v>928</v>
      </c>
      <c r="G261" s="9">
        <f>IF(A261=1,"_",IF(C261="_","???",C261))</f>
        <v/>
      </c>
      <c r="H261" s="10" t="s">
        <v>11</v>
      </c>
      <c r="I261" s="11" t="s">
        <v>11</v>
      </c>
      <c r="J261" s="12"/>
    </row>
    <row r="262" spans="1:10" ht="60" customHeight="1">
      <c r="A262" s="6" t="s">
        <v>929</v>
      </c>
      <c r="B262" s="6" t="s">
        <v>31</v>
      </c>
      <c r="C262" s="6" t="s">
        <v>11</v>
      </c>
      <c r="D262" s="7" t="s">
        <v>613</v>
      </c>
      <c r="E262" s="8" t="s">
        <v>930</v>
      </c>
      <c r="F262" s="6" t="s">
        <v>931</v>
      </c>
      <c r="G262" s="9">
        <f>IF(A262=1,"_",IF(C262="_","???",C262))</f>
        <v/>
      </c>
      <c r="H262" s="10" t="s">
        <v>11</v>
      </c>
      <c r="I262" s="11" t="s">
        <v>11</v>
      </c>
      <c r="J262" s="12"/>
    </row>
    <row r="263" spans="1:10" ht="60" customHeight="1">
      <c r="A263" s="6" t="s">
        <v>932</v>
      </c>
      <c r="B263" s="6" t="s">
        <v>10</v>
      </c>
      <c r="C263" s="6" t="s">
        <v>11</v>
      </c>
      <c r="D263" s="7" t="s">
        <v>20</v>
      </c>
      <c r="E263" s="8" t="s">
        <v>933</v>
      </c>
      <c r="F263" s="6" t="s">
        <v>934</v>
      </c>
      <c r="G263" s="9">
        <f>IF(A263=1,"_",IF(C263="_","???",C263))</f>
        <v/>
      </c>
      <c r="H263" s="10" t="s">
        <v>11</v>
      </c>
      <c r="I263" s="11" t="s">
        <v>11</v>
      </c>
      <c r="J263" s="12"/>
    </row>
    <row r="264" spans="1:10" ht="60" customHeight="1">
      <c r="A264" s="6" t="s">
        <v>935</v>
      </c>
      <c r="B264" s="6" t="s">
        <v>10</v>
      </c>
      <c r="C264" s="6" t="s">
        <v>11</v>
      </c>
      <c r="D264" s="7" t="s">
        <v>56</v>
      </c>
      <c r="E264" s="8" t="s">
        <v>936</v>
      </c>
      <c r="F264" s="6" t="s">
        <v>937</v>
      </c>
      <c r="G264" s="9">
        <f>IF(A264=1,"_",IF(C264="_","???",C264))</f>
        <v/>
      </c>
      <c r="H264" s="10" t="s">
        <v>11</v>
      </c>
      <c r="I264" s="11" t="s">
        <v>11</v>
      </c>
      <c r="J264" s="12"/>
    </row>
    <row r="265" spans="1:10" ht="60" customHeight="1">
      <c r="A265" s="6" t="s">
        <v>938</v>
      </c>
      <c r="B265" s="6" t="s">
        <v>10</v>
      </c>
      <c r="C265" s="6" t="s">
        <v>11</v>
      </c>
      <c r="D265" s="7" t="s">
        <v>186</v>
      </c>
      <c r="E265" s="8" t="s">
        <v>939</v>
      </c>
      <c r="F265" s="6" t="s">
        <v>940</v>
      </c>
      <c r="G265" s="9">
        <f>IF(A265=1,"_",IF(C265="_","???",C265))</f>
        <v/>
      </c>
      <c r="H265" s="10" t="s">
        <v>11</v>
      </c>
      <c r="I265" s="11" t="s">
        <v>11</v>
      </c>
      <c r="J265" s="12"/>
    </row>
    <row r="266" spans="1:10" ht="60" customHeight="1">
      <c r="A266" s="6" t="s">
        <v>941</v>
      </c>
      <c r="B266" s="6" t="s">
        <v>51</v>
      </c>
      <c r="C266" s="6" t="s">
        <v>11</v>
      </c>
      <c r="D266" s="7" t="s">
        <v>942</v>
      </c>
      <c r="E266" s="8" t="s">
        <v>943</v>
      </c>
      <c r="F266" s="6" t="s">
        <v>944</v>
      </c>
      <c r="G266" s="9">
        <f>IF(A266=1,"_",IF(C266="_","???",C266))</f>
        <v/>
      </c>
      <c r="H266" s="10" t="s">
        <v>11</v>
      </c>
      <c r="I266" s="11" t="s">
        <v>11</v>
      </c>
      <c r="J266" s="12"/>
    </row>
    <row r="267" spans="1:10" ht="60" customHeight="1">
      <c r="A267" s="6" t="s">
        <v>945</v>
      </c>
      <c r="B267" s="6" t="s">
        <v>10</v>
      </c>
      <c r="C267" s="6" t="s">
        <v>11</v>
      </c>
      <c r="D267" s="7" t="s">
        <v>263</v>
      </c>
      <c r="E267" s="8" t="s">
        <v>946</v>
      </c>
      <c r="F267" s="6" t="s">
        <v>947</v>
      </c>
      <c r="G267" s="9">
        <f>IF(A267=1,"_",IF(C267="_","???",C267))</f>
        <v/>
      </c>
      <c r="H267" s="10" t="s">
        <v>11</v>
      </c>
      <c r="I267" s="11" t="s">
        <v>11</v>
      </c>
      <c r="J267" s="12"/>
    </row>
    <row r="268" spans="1:10" ht="60" customHeight="1">
      <c r="A268" s="6" t="s">
        <v>948</v>
      </c>
      <c r="B268" s="6" t="s">
        <v>10</v>
      </c>
      <c r="C268" s="6" t="s">
        <v>11</v>
      </c>
      <c r="D268" s="7" t="s">
        <v>110</v>
      </c>
      <c r="E268" s="8" t="s">
        <v>949</v>
      </c>
      <c r="F268" s="6" t="s">
        <v>950</v>
      </c>
      <c r="G268" s="9">
        <f>IF(A268=1,"_",IF(C268="_","???",C268))</f>
        <v/>
      </c>
      <c r="H268" s="10" t="s">
        <v>11</v>
      </c>
      <c r="I268" s="11" t="s">
        <v>11</v>
      </c>
      <c r="J268" s="12"/>
    </row>
    <row r="269" spans="1:10" ht="60" customHeight="1">
      <c r="A269" s="6" t="s">
        <v>951</v>
      </c>
      <c r="B269" s="6" t="s">
        <v>10</v>
      </c>
      <c r="C269" s="6" t="s">
        <v>11</v>
      </c>
      <c r="D269" s="7" t="s">
        <v>48</v>
      </c>
      <c r="E269" s="8" t="s">
        <v>952</v>
      </c>
      <c r="F269" s="6" t="s">
        <v>953</v>
      </c>
      <c r="G269" s="9">
        <f>IF(A269=1,"_",IF(C269="_","???",C269))</f>
        <v/>
      </c>
      <c r="H269" s="10" t="s">
        <v>11</v>
      </c>
      <c r="I269" s="11" t="s">
        <v>11</v>
      </c>
      <c r="J269" s="12"/>
    </row>
    <row r="270" spans="1:10" ht="60" customHeight="1">
      <c r="A270" s="6" t="s">
        <v>954</v>
      </c>
      <c r="B270" s="6" t="s">
        <v>10</v>
      </c>
      <c r="C270" s="6" t="s">
        <v>11</v>
      </c>
      <c r="D270" s="7" t="s">
        <v>955</v>
      </c>
      <c r="E270" s="8" t="s">
        <v>956</v>
      </c>
      <c r="F270" s="6" t="s">
        <v>957</v>
      </c>
      <c r="G270" s="9">
        <f>IF(A270=1,"_",IF(C270="_","???",C270))</f>
        <v/>
      </c>
      <c r="H270" s="10" t="s">
        <v>11</v>
      </c>
      <c r="I270" s="11" t="s">
        <v>11</v>
      </c>
      <c r="J270" s="12"/>
    </row>
    <row r="271" spans="1:10" ht="60" customHeight="1">
      <c r="A271" s="6" t="s">
        <v>958</v>
      </c>
      <c r="B271" s="6" t="s">
        <v>10</v>
      </c>
      <c r="C271" s="6" t="s">
        <v>11</v>
      </c>
      <c r="D271" s="7" t="s">
        <v>56</v>
      </c>
      <c r="E271" s="8" t="s">
        <v>959</v>
      </c>
      <c r="F271" s="6" t="s">
        <v>960</v>
      </c>
      <c r="G271" s="9">
        <f>IF(A271=1,"_",IF(C271="_","???",C271))</f>
        <v/>
      </c>
      <c r="H271" s="10" t="s">
        <v>11</v>
      </c>
      <c r="I271" s="11" t="s">
        <v>11</v>
      </c>
      <c r="J271" s="12"/>
    </row>
    <row r="272" spans="1:10" ht="60" customHeight="1">
      <c r="A272" s="6" t="s">
        <v>961</v>
      </c>
      <c r="B272" s="6" t="s">
        <v>10</v>
      </c>
      <c r="C272" s="6" t="s">
        <v>11</v>
      </c>
      <c r="D272" s="7" t="s">
        <v>962</v>
      </c>
      <c r="E272" s="8" t="s">
        <v>963</v>
      </c>
      <c r="F272" s="6" t="s">
        <v>964</v>
      </c>
      <c r="G272" s="9">
        <f>IF(A272=1,"_",IF(C272="_","???",C272))</f>
        <v/>
      </c>
      <c r="H272" s="10" t="s">
        <v>11</v>
      </c>
      <c r="I272" s="11" t="s">
        <v>11</v>
      </c>
      <c r="J272" s="12"/>
    </row>
    <row r="273" spans="1:10" ht="60" customHeight="1">
      <c r="A273" s="6" t="s">
        <v>965</v>
      </c>
      <c r="B273" s="6" t="s">
        <v>39</v>
      </c>
      <c r="C273" s="6" t="s">
        <v>11</v>
      </c>
      <c r="D273" s="7" t="s">
        <v>966</v>
      </c>
      <c r="E273" s="8" t="s">
        <v>967</v>
      </c>
      <c r="F273" s="6" t="s">
        <v>968</v>
      </c>
      <c r="G273" s="9">
        <f>IF(A273=1,"_",IF(C273="_","???",C273))</f>
        <v/>
      </c>
      <c r="H273" s="10" t="s">
        <v>11</v>
      </c>
      <c r="I273" s="11" t="s">
        <v>11</v>
      </c>
      <c r="J273" s="12"/>
    </row>
    <row r="274" spans="1:10" ht="60" customHeight="1">
      <c r="A274" s="6" t="s">
        <v>969</v>
      </c>
      <c r="B274" s="6" t="s">
        <v>15</v>
      </c>
      <c r="C274" s="6" t="s">
        <v>11</v>
      </c>
      <c r="D274" s="7" t="s">
        <v>970</v>
      </c>
      <c r="E274" s="8" t="s">
        <v>971</v>
      </c>
      <c r="F274" s="6" t="s">
        <v>972</v>
      </c>
      <c r="G274" s="9">
        <f>IF(A274=1,"_",IF(C274="_","???",C274))</f>
        <v/>
      </c>
      <c r="H274" s="10" t="s">
        <v>11</v>
      </c>
      <c r="I274" s="11" t="s">
        <v>11</v>
      </c>
      <c r="J274" s="12"/>
    </row>
    <row r="275" spans="1:10" ht="60" customHeight="1">
      <c r="A275" s="6" t="s">
        <v>973</v>
      </c>
      <c r="B275" s="6" t="s">
        <v>10</v>
      </c>
      <c r="C275" s="6" t="s">
        <v>11</v>
      </c>
      <c r="D275" s="7" t="s">
        <v>56</v>
      </c>
      <c r="E275" s="8" t="s">
        <v>974</v>
      </c>
      <c r="F275" s="6" t="s">
        <v>975</v>
      </c>
      <c r="G275" s="9">
        <f>IF(A275=1,"_",IF(C275="_","???",C275))</f>
        <v/>
      </c>
      <c r="H275" s="10" t="s">
        <v>11</v>
      </c>
      <c r="I275" s="11" t="s">
        <v>11</v>
      </c>
      <c r="J275" s="12"/>
    </row>
    <row r="276" spans="1:10" ht="60" customHeight="1">
      <c r="A276" s="6" t="s">
        <v>976</v>
      </c>
      <c r="B276" s="6" t="s">
        <v>15</v>
      </c>
      <c r="C276" s="6" t="s">
        <v>11</v>
      </c>
      <c r="D276" s="7" t="s">
        <v>98</v>
      </c>
      <c r="E276" s="8" t="s">
        <v>977</v>
      </c>
      <c r="F276" s="6" t="s">
        <v>978</v>
      </c>
      <c r="G276" s="9">
        <f>IF(A276=1,"_",IF(C276="_","???",C276))</f>
        <v/>
      </c>
      <c r="H276" s="10" t="s">
        <v>11</v>
      </c>
      <c r="I276" s="11" t="s">
        <v>11</v>
      </c>
      <c r="J276" s="12"/>
    </row>
    <row r="277" spans="1:10" ht="60" customHeight="1">
      <c r="A277" s="6" t="s">
        <v>979</v>
      </c>
      <c r="B277" s="6" t="s">
        <v>15</v>
      </c>
      <c r="C277" s="6" t="s">
        <v>11</v>
      </c>
      <c r="D277" s="7" t="s">
        <v>186</v>
      </c>
      <c r="E277" s="8" t="s">
        <v>980</v>
      </c>
      <c r="F277" s="6" t="s">
        <v>981</v>
      </c>
      <c r="G277" s="9">
        <f>IF(A277=1,"_",IF(C277="_","???",C277))</f>
        <v/>
      </c>
      <c r="H277" s="10" t="s">
        <v>11</v>
      </c>
      <c r="I277" s="11" t="s">
        <v>11</v>
      </c>
      <c r="J277" s="12"/>
    </row>
    <row r="278" spans="1:10" ht="60" customHeight="1">
      <c r="A278" s="6" t="s">
        <v>982</v>
      </c>
      <c r="B278" s="6" t="s">
        <v>15</v>
      </c>
      <c r="C278" s="6" t="s">
        <v>11</v>
      </c>
      <c r="D278" s="7" t="s">
        <v>983</v>
      </c>
      <c r="E278" s="8" t="s">
        <v>984</v>
      </c>
      <c r="F278" s="6" t="s">
        <v>985</v>
      </c>
      <c r="G278" s="9">
        <f>IF(A278=1,"_",IF(C278="_","???",C278))</f>
        <v/>
      </c>
      <c r="H278" s="10" t="s">
        <v>11</v>
      </c>
      <c r="I278" s="11" t="s">
        <v>11</v>
      </c>
      <c r="J278" s="12"/>
    </row>
    <row r="279" spans="1:10" ht="60" customHeight="1">
      <c r="A279" s="6" t="s">
        <v>986</v>
      </c>
      <c r="B279" s="6" t="s">
        <v>15</v>
      </c>
      <c r="C279" s="6" t="s">
        <v>11</v>
      </c>
      <c r="D279" s="7" t="s">
        <v>987</v>
      </c>
      <c r="E279" s="8" t="s">
        <v>988</v>
      </c>
      <c r="F279" s="6" t="s">
        <v>989</v>
      </c>
      <c r="G279" s="9">
        <f>IF(A279=1,"_",IF(C279="_","???",C279))</f>
        <v/>
      </c>
      <c r="H279" s="10" t="s">
        <v>11</v>
      </c>
      <c r="I279" s="11" t="s">
        <v>11</v>
      </c>
      <c r="J279" s="12"/>
    </row>
    <row r="280" spans="1:10" ht="60" customHeight="1">
      <c r="A280" s="6" t="s">
        <v>990</v>
      </c>
      <c r="B280" s="6" t="s">
        <v>10</v>
      </c>
      <c r="C280" s="6" t="s">
        <v>11</v>
      </c>
      <c r="D280" s="7" t="s">
        <v>48</v>
      </c>
      <c r="E280" s="8" t="s">
        <v>991</v>
      </c>
      <c r="F280" s="6" t="s">
        <v>992</v>
      </c>
      <c r="G280" s="9">
        <f>IF(A280=1,"_",IF(C280="_","???",C280))</f>
        <v/>
      </c>
      <c r="H280" s="10" t="s">
        <v>11</v>
      </c>
      <c r="I280" s="11" t="s">
        <v>11</v>
      </c>
      <c r="J28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6853"/>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993</v>
      </c>
      <c r="B1" s="13" t="s">
        <v>994</v>
      </c>
      <c r="C1" s="13" t="s">
        <v>995</v>
      </c>
      <c r="D1" s="13" t="s">
        <v>996</v>
      </c>
      <c r="E1" s="14" t="s">
        <v>997</v>
      </c>
      <c r="F1" s="15" t="s">
        <v>998</v>
      </c>
      <c r="G1" s="16" t="s">
        <v>999</v>
      </c>
      <c r="H1" s="17" t="s">
        <v>1000</v>
      </c>
      <c r="I1" s="18" t="s">
        <v>1001</v>
      </c>
      <c r="J1" s="18" t="s">
        <v>1002</v>
      </c>
      <c r="K1" s="18" t="s">
        <v>1003</v>
      </c>
      <c r="L1" s="19" t="s">
        <v>9</v>
      </c>
    </row>
    <row r="2" spans="1:12">
      <c r="A2" s="20" t="s">
        <v>1004</v>
      </c>
    </row>
    <row r="3" spans="1:12">
      <c r="A3" s="20" t="s">
        <v>12</v>
      </c>
      <c r="B3" s="21" t="s">
        <v>1005</v>
      </c>
      <c r="C3" s="21" t="s">
        <v>1006</v>
      </c>
      <c r="D3" s="21" t="s">
        <v>1007</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1008</v>
      </c>
      <c r="B4" s="21" t="s">
        <v>1005</v>
      </c>
      <c r="C4" s="21" t="s">
        <v>1006</v>
      </c>
      <c r="D4" s="21" t="s">
        <v>1007</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1009</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row>
    <row r="7" spans="1:12">
      <c r="A7" s="20" t="s">
        <v>1010</v>
      </c>
    </row>
    <row r="8" spans="1:12">
      <c r="A8" s="20" t="s">
        <v>1011</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1012</v>
      </c>
      <c r="B9" s="21" t="s">
        <v>1005</v>
      </c>
      <c r="C9" s="21" t="s">
        <v>1013</v>
      </c>
      <c r="D9" s="21" t="s">
        <v>1007</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1014</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1015</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1016</v>
      </c>
      <c r="B12" s="21" t="s">
        <v>1005</v>
      </c>
      <c r="C12" s="21" t="s">
        <v>1017</v>
      </c>
      <c r="D12" s="21" t="s">
        <v>1007</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1018</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102</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1019</v>
      </c>
      <c r="B15" s="21" t="s">
        <v>1005</v>
      </c>
      <c r="C15" s="21" t="s">
        <v>1013</v>
      </c>
      <c r="D15" s="21" t="s">
        <v>1007</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1014</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1020</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1021</v>
      </c>
      <c r="B18" s="21" t="s">
        <v>1022</v>
      </c>
      <c r="C18" s="21" t="s">
        <v>1006</v>
      </c>
      <c r="D18" s="21" t="s">
        <v>1007</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1023</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row>
    <row r="21" spans="1:12">
      <c r="A21" s="20" t="s">
        <v>1024</v>
      </c>
    </row>
    <row r="22" spans="1:12">
      <c r="A22" s="20" t="s">
        <v>1025</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1014</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1026</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1027</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1028</v>
      </c>
      <c r="B26" s="21" t="s">
        <v>1029</v>
      </c>
      <c r="C26" s="21" t="s">
        <v>1017</v>
      </c>
      <c r="D26" s="21" t="s">
        <v>1007</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1030</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102</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1031</v>
      </c>
      <c r="B29" s="21" t="s">
        <v>1022</v>
      </c>
      <c r="C29" s="21" t="s">
        <v>1013</v>
      </c>
      <c r="D29" s="21" t="s">
        <v>1007</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1014</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102</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1032</v>
      </c>
      <c r="B32" s="21" t="s">
        <v>1033</v>
      </c>
      <c r="C32" s="21" t="s">
        <v>1006</v>
      </c>
      <c r="D32" s="21" t="s">
        <v>1007</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1020</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102</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1034</v>
      </c>
      <c r="B35" s="21" t="s">
        <v>1035</v>
      </c>
      <c r="C35" s="21" t="s">
        <v>1017</v>
      </c>
      <c r="D35" s="21" t="s">
        <v>1007</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1036</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1037</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1014</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1038</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1039</v>
      </c>
      <c r="B40" s="21" t="s">
        <v>1040</v>
      </c>
      <c r="C40" s="21" t="s">
        <v>1041</v>
      </c>
      <c r="D40" s="21" t="s">
        <v>1007</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1018</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28</v>
      </c>
      <c r="B42" s="21" t="s">
        <v>1042</v>
      </c>
      <c r="C42" s="21" t="s">
        <v>1006</v>
      </c>
      <c r="D42" s="21" t="s">
        <v>1007</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1043</v>
      </c>
      <c r="B43" s="21" t="s">
        <v>1044</v>
      </c>
      <c r="C43" s="21" t="s">
        <v>1006</v>
      </c>
      <c r="D43" s="21" t="s">
        <v>1007</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1023</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row>
    <row r="46" spans="1:12">
      <c r="A46" s="20" t="s">
        <v>1045</v>
      </c>
    </row>
    <row r="47" spans="1:12">
      <c r="A47" s="20" t="s">
        <v>1046</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1047</v>
      </c>
      <c r="B48" s="21" t="s">
        <v>1005</v>
      </c>
      <c r="C48" s="21" t="s">
        <v>1048</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1049</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28</v>
      </c>
      <c r="B50" s="21" t="s">
        <v>1050</v>
      </c>
      <c r="C50" s="21" t="s">
        <v>1006</v>
      </c>
      <c r="D50" s="21" t="s">
        <v>1007</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1051</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1052</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1018</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1053</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1030</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1020</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1054</v>
      </c>
      <c r="B57" s="21" t="s">
        <v>1033</v>
      </c>
      <c r="C57" s="21" t="s">
        <v>1006</v>
      </c>
      <c r="D57" s="21" t="s">
        <v>1007</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1020</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1055</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1056</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1057</v>
      </c>
      <c r="B61" s="21" t="s">
        <v>1029</v>
      </c>
      <c r="C61" s="21" t="s">
        <v>1013</v>
      </c>
      <c r="D61" s="21" t="s">
        <v>1007</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1030</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102</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1058</v>
      </c>
      <c r="B64" s="21" t="s">
        <v>1035</v>
      </c>
      <c r="C64" s="21" t="s">
        <v>1059</v>
      </c>
      <c r="D64" s="21" t="s">
        <v>1007</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1060</v>
      </c>
      <c r="B65" s="21" t="s">
        <v>1033</v>
      </c>
      <c r="C65" s="21" t="s">
        <v>1017</v>
      </c>
      <c r="D65" s="21" t="s">
        <v>1007</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1018</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56</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1061</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137</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1027</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1062</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1063</v>
      </c>
      <c r="B72" s="21" t="s">
        <v>1064</v>
      </c>
      <c r="C72" s="21" t="s">
        <v>1017</v>
      </c>
      <c r="D72" s="21" t="s">
        <v>1007</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1065</v>
      </c>
      <c r="B73" s="21" t="s">
        <v>1066</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102</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1057</v>
      </c>
      <c r="B75" s="21" t="s">
        <v>1067</v>
      </c>
      <c r="C75" s="21" t="s">
        <v>1017</v>
      </c>
      <c r="D75" s="21" t="s">
        <v>1007</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1068</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1023</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row>
    <row r="79" spans="1:12">
      <c r="A79" s="20" t="s">
        <v>1069</v>
      </c>
    </row>
    <row r="80" spans="1:12">
      <c r="A80" s="20" t="s">
        <v>28</v>
      </c>
      <c r="B80" s="21" t="s">
        <v>1005</v>
      </c>
      <c r="C80" s="21" t="s">
        <v>1006</v>
      </c>
      <c r="D80" s="21" t="s">
        <v>1007</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1018</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1070</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1071</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1020</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102</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1031</v>
      </c>
      <c r="B86" s="21" t="s">
        <v>1029</v>
      </c>
      <c r="C86" s="21" t="s">
        <v>1013</v>
      </c>
      <c r="D86" s="21" t="s">
        <v>1007</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1014</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102</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1032</v>
      </c>
      <c r="B89" s="21" t="s">
        <v>1033</v>
      </c>
      <c r="C89" s="21" t="s">
        <v>1006</v>
      </c>
      <c r="D89" s="21" t="s">
        <v>1007</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1023</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row>
    <row r="92" spans="1:12">
      <c r="A92" s="20" t="s">
        <v>1072</v>
      </c>
    </row>
    <row r="93" spans="1:12">
      <c r="A93" s="20" t="s">
        <v>11</v>
      </c>
      <c r="B93" s="21" t="s">
        <v>1005</v>
      </c>
      <c r="C93" s="21" t="s">
        <v>1073</v>
      </c>
      <c r="D93" s="21" t="s">
        <v>1007</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1065</v>
      </c>
      <c r="B94" s="21" t="s">
        <v>1005</v>
      </c>
      <c r="C94" s="21" t="s">
        <v>1074</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1075</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1065</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1076</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137</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1077</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row>
    <row r="101" spans="1:12">
      <c r="A101" s="20" t="s">
        <v>1078</v>
      </c>
    </row>
    <row r="102" spans="1:12">
      <c r="A102" s="20" t="s">
        <v>36</v>
      </c>
      <c r="B102" s="21" t="s">
        <v>1005</v>
      </c>
      <c r="C102" s="21" t="s">
        <v>1006</v>
      </c>
      <c r="D102" s="21" t="s">
        <v>1007</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1043</v>
      </c>
      <c r="B103" s="21" t="s">
        <v>1005</v>
      </c>
      <c r="C103" s="21" t="s">
        <v>1006</v>
      </c>
      <c r="D103" s="21" t="s">
        <v>1007</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1009</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row>
    <row r="106" spans="1:12">
      <c r="A106" s="20" t="s">
        <v>1079</v>
      </c>
    </row>
    <row r="107" spans="1:12">
      <c r="A107" s="20" t="s">
        <v>1080</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1081</v>
      </c>
      <c r="B108" s="21" t="s">
        <v>1005</v>
      </c>
      <c r="C108" s="21" t="s">
        <v>1082</v>
      </c>
      <c r="D108" s="21" t="s">
        <v>1007</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137</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1083</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1020</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1084</v>
      </c>
      <c r="B112" s="21" t="s">
        <v>1085</v>
      </c>
      <c r="C112" s="21" t="s">
        <v>1086</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1023</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row>
    <row r="115" spans="1:12">
      <c r="A115" s="20" t="s">
        <v>1087</v>
      </c>
    </row>
    <row r="116" spans="1:12">
      <c r="A116" s="20" t="s">
        <v>1088</v>
      </c>
      <c r="B116" s="21" t="s">
        <v>1050</v>
      </c>
      <c r="C116" s="21" t="s">
        <v>1073</v>
      </c>
      <c r="D116" s="21" t="s">
        <v>1007</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1075</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1089</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1090</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row>
    <row r="121" spans="1:12">
      <c r="A121" s="20" t="s">
        <v>1091</v>
      </c>
    </row>
    <row r="122" spans="1:12">
      <c r="A122" s="20" t="s">
        <v>1046</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1092</v>
      </c>
      <c r="B123" s="21" t="s">
        <v>1005</v>
      </c>
      <c r="C123" s="21" t="s">
        <v>1048</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1049</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row>
    <row r="126" spans="1:12">
      <c r="A126" s="20" t="s">
        <v>1093</v>
      </c>
    </row>
    <row r="127" spans="1:12">
      <c r="A127" s="20" t="s">
        <v>1094</v>
      </c>
      <c r="B127" s="21" t="s">
        <v>1005</v>
      </c>
      <c r="C127" s="21" t="s">
        <v>1048</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1009</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28</v>
      </c>
      <c r="B129" s="21" t="s">
        <v>1005</v>
      </c>
      <c r="C129" s="21" t="s">
        <v>1006</v>
      </c>
      <c r="D129" s="21" t="s">
        <v>1007</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1018</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1095</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1096</v>
      </c>
      <c r="B132" s="21" t="s">
        <v>1005</v>
      </c>
      <c r="C132" s="21" t="s">
        <v>1013</v>
      </c>
      <c r="D132" s="21" t="s">
        <v>1007</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1097</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1081</v>
      </c>
      <c r="B134" s="21" t="s">
        <v>1022</v>
      </c>
      <c r="C134" s="21" t="s">
        <v>1082</v>
      </c>
      <c r="D134" s="21" t="s">
        <v>1007</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1023</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row>
    <row r="137" spans="1:12">
      <c r="A137" s="20" t="s">
        <v>1098</v>
      </c>
    </row>
    <row r="138" spans="1:12">
      <c r="A138" s="20" t="s">
        <v>1099</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1100</v>
      </c>
      <c r="B139" s="21" t="s">
        <v>1085</v>
      </c>
      <c r="C139" s="21" t="s">
        <v>1082</v>
      </c>
      <c r="D139" s="21" t="s">
        <v>1007</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1101</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1102</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1063</v>
      </c>
      <c r="B142" s="21" t="s">
        <v>1029</v>
      </c>
      <c r="C142" s="21" t="s">
        <v>1103</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1030</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1015</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1104</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1105</v>
      </c>
      <c r="B146" s="21" t="s">
        <v>1022</v>
      </c>
      <c r="C146" s="21" t="s">
        <v>1017</v>
      </c>
      <c r="D146" s="21" t="s">
        <v>1007</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1023</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row>
    <row r="149" spans="1:12">
      <c r="A149" s="20" t="s">
        <v>1106</v>
      </c>
    </row>
    <row r="150" spans="1:12">
      <c r="A150" s="20" t="s">
        <v>1099</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1100</v>
      </c>
      <c r="B151" s="21" t="s">
        <v>1085</v>
      </c>
      <c r="C151" s="21" t="s">
        <v>1082</v>
      </c>
      <c r="D151" s="21" t="s">
        <v>1007</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1101</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1107</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1108</v>
      </c>
      <c r="B154" s="21" t="s">
        <v>1085</v>
      </c>
      <c r="C154" s="21" t="s">
        <v>1013</v>
      </c>
      <c r="D154" s="21" t="s">
        <v>1007</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1107</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1109</v>
      </c>
      <c r="B156" s="21" t="s">
        <v>1022</v>
      </c>
      <c r="C156" s="21" t="s">
        <v>1048</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1107</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1056</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1110</v>
      </c>
      <c r="B159" s="21" t="s">
        <v>1085</v>
      </c>
      <c r="C159" s="21" t="s">
        <v>1111</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1023</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row>
    <row r="162" spans="1:12">
      <c r="A162" s="20" t="s">
        <v>1112</v>
      </c>
    </row>
    <row r="163" spans="1:12">
      <c r="A163" s="20" t="s">
        <v>1080</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1065</v>
      </c>
      <c r="B164" s="21" t="s">
        <v>1022</v>
      </c>
      <c r="C164" s="21" t="s">
        <v>1074</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1113</v>
      </c>
      <c r="B165" s="21" t="s">
        <v>1005</v>
      </c>
      <c r="C165" s="21" t="s">
        <v>1103</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1114</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1115</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1020</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1081</v>
      </c>
      <c r="B169" s="21" t="s">
        <v>1005</v>
      </c>
      <c r="C169" s="21" t="s">
        <v>1082</v>
      </c>
      <c r="D169" s="21" t="s">
        <v>1007</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1116</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1077</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row>
    <row r="173" spans="1:12">
      <c r="A173" s="20" t="s">
        <v>1117</v>
      </c>
    </row>
    <row r="174" spans="1:12">
      <c r="A174" s="20" t="s">
        <v>1118</v>
      </c>
      <c r="B174" s="21" t="s">
        <v>1005</v>
      </c>
      <c r="C174" s="21" t="s">
        <v>1048</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1009</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106</v>
      </c>
      <c r="B176" s="21" t="s">
        <v>1005</v>
      </c>
      <c r="C176" s="21" t="s">
        <v>1006</v>
      </c>
      <c r="D176" s="21" t="s">
        <v>1007</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1018</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1083</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1020</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1084</v>
      </c>
      <c r="B180" s="21" t="s">
        <v>1119</v>
      </c>
      <c r="C180" s="21" t="s">
        <v>1086</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1065</v>
      </c>
      <c r="B181" s="21" t="s">
        <v>1120</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1114</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1121</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1030</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1122</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1123</v>
      </c>
      <c r="B186" s="21" t="s">
        <v>1035</v>
      </c>
      <c r="C186" s="21" t="s">
        <v>1041</v>
      </c>
      <c r="D186" s="21" t="s">
        <v>1007</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1124</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1125</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1020</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1126</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1127</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1128</v>
      </c>
      <c r="B192" s="21" t="s">
        <v>1033</v>
      </c>
      <c r="C192" s="21" t="s">
        <v>1082</v>
      </c>
      <c r="D192" s="21" t="s">
        <v>1007</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56</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1127</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1020</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1129</v>
      </c>
      <c r="B196" s="21" t="s">
        <v>1130</v>
      </c>
      <c r="C196" s="21" t="s">
        <v>1059</v>
      </c>
      <c r="D196" s="21" t="s">
        <v>1007</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1131</v>
      </c>
      <c r="B197" s="21" t="s">
        <v>1035</v>
      </c>
      <c r="C197" s="21" t="s">
        <v>1017</v>
      </c>
      <c r="D197" s="21" t="s">
        <v>1007</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56</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1030</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1132</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1133</v>
      </c>
      <c r="B201" s="21" t="s">
        <v>1134</v>
      </c>
      <c r="C201" s="21" t="s">
        <v>1082</v>
      </c>
      <c r="D201" s="21" t="s">
        <v>1007</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52</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1023</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row>
    <row r="205" spans="1:12">
      <c r="A205" s="20" t="s">
        <v>1135</v>
      </c>
    </row>
    <row r="206" spans="1:12">
      <c r="A206" s="20" t="s">
        <v>1136</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1137</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1138</v>
      </c>
      <c r="B208" s="21" t="s">
        <v>1119</v>
      </c>
      <c r="C208" s="21" t="s">
        <v>1082</v>
      </c>
      <c r="D208" s="21" t="s">
        <v>1007</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1139</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1030</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1140</v>
      </c>
      <c r="B211" s="21" t="s">
        <v>1029</v>
      </c>
      <c r="C211" s="21" t="s">
        <v>1073</v>
      </c>
      <c r="D211" s="21" t="s">
        <v>1007</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1018</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1141</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1065</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1142</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1075</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1143</v>
      </c>
      <c r="B217" s="21" t="s">
        <v>1005</v>
      </c>
      <c r="C217" s="21" t="s">
        <v>1073</v>
      </c>
      <c r="D217" s="21" t="s">
        <v>1007</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1020</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1144</v>
      </c>
      <c r="B219" s="21" t="s">
        <v>1119</v>
      </c>
      <c r="C219" s="21" t="s">
        <v>1017</v>
      </c>
      <c r="D219" s="21" t="s">
        <v>1007</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1065</v>
      </c>
      <c r="B220" s="21" t="s">
        <v>1120</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1145</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1126</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1023</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row>
    <row r="225" spans="1:12">
      <c r="A225" s="20" t="s">
        <v>1146</v>
      </c>
    </row>
    <row r="226" spans="1:12">
      <c r="A226" s="20" t="s">
        <v>1147</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1148</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1149</v>
      </c>
      <c r="B228" s="21" t="s">
        <v>1029</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1138</v>
      </c>
      <c r="B229" s="21" t="s">
        <v>1119</v>
      </c>
      <c r="C229" s="21" t="s">
        <v>1082</v>
      </c>
      <c r="D229" s="21" t="s">
        <v>1007</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1150</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1151</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1023</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row>
    <row r="234" spans="1:12">
      <c r="A234" s="20" t="s">
        <v>1152</v>
      </c>
    </row>
    <row r="235" spans="1:12">
      <c r="A235" s="20" t="s">
        <v>1153</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1138</v>
      </c>
      <c r="B236" s="21" t="s">
        <v>1154</v>
      </c>
      <c r="C236" s="21" t="s">
        <v>1082</v>
      </c>
      <c r="D236" s="21" t="s">
        <v>1007</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1150</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1020</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1155</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860</v>
      </c>
      <c r="B240" s="21" t="s">
        <v>1119</v>
      </c>
      <c r="C240" s="21" t="s">
        <v>1013</v>
      </c>
      <c r="D240" s="21" t="s">
        <v>1007</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1014</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102</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1156</v>
      </c>
      <c r="B243" s="21" t="s">
        <v>1033</v>
      </c>
      <c r="C243" s="21" t="s">
        <v>1017</v>
      </c>
      <c r="D243" s="21" t="s">
        <v>1007</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1018</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1157</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1158</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1133</v>
      </c>
      <c r="B247" s="21" t="s">
        <v>1029</v>
      </c>
      <c r="C247" s="21" t="s">
        <v>1082</v>
      </c>
      <c r="D247" s="21" t="s">
        <v>1007</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56</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1159</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1030</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1160</v>
      </c>
      <c r="B251" s="21" t="s">
        <v>1033</v>
      </c>
      <c r="C251" s="21" t="s">
        <v>1048</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1023</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row>
    <row r="254" spans="1:12">
      <c r="A254" s="20" t="s">
        <v>1161</v>
      </c>
    </row>
    <row r="255" spans="1:12">
      <c r="A255" s="20" t="s">
        <v>11</v>
      </c>
      <c r="B255" s="21" t="s">
        <v>1050</v>
      </c>
      <c r="C255" s="21" t="s">
        <v>1073</v>
      </c>
      <c r="D255" s="21" t="s">
        <v>1007</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1065</v>
      </c>
      <c r="B256" s="21" t="s">
        <v>1154</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1151</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1162</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1163</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1164</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1027</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1165</v>
      </c>
      <c r="B262" s="21" t="s">
        <v>1005</v>
      </c>
      <c r="C262" s="21" t="s">
        <v>1017</v>
      </c>
      <c r="D262" s="21" t="s">
        <v>1007</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1023</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row>
    <row r="265" spans="1:12">
      <c r="A265" s="20" t="s">
        <v>1166</v>
      </c>
    </row>
    <row r="266" spans="1:12">
      <c r="A266" s="20" t="s">
        <v>11</v>
      </c>
      <c r="B266" s="21" t="s">
        <v>1050</v>
      </c>
      <c r="C266" s="21" t="s">
        <v>1073</v>
      </c>
      <c r="D266" s="21" t="s">
        <v>1007</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1065</v>
      </c>
      <c r="B267" s="21" t="s">
        <v>1154</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1151</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1162</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1163</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1075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102</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1167</v>
      </c>
      <c r="B273" s="21" t="s">
        <v>1005</v>
      </c>
      <c r="C273" s="21" t="s">
        <v>1013</v>
      </c>
      <c r="D273" s="21" t="s">
        <v>1007</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1014</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1168</v>
      </c>
      <c r="B275" s="21" t="s">
        <v>1005</v>
      </c>
      <c r="C275" s="21" t="s">
        <v>1048</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1065</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1169</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1018</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102</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1167</v>
      </c>
      <c r="B280" s="21" t="s">
        <v>1029</v>
      </c>
      <c r="C280" s="21" t="s">
        <v>1013</v>
      </c>
      <c r="D280" s="21" t="s">
        <v>1007</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1014</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1021</v>
      </c>
      <c r="B282" s="21" t="s">
        <v>1033</v>
      </c>
      <c r="C282" s="21" t="s">
        <v>1006</v>
      </c>
      <c r="D282" s="21" t="s">
        <v>1007</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1065</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1169</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1018</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102</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1167</v>
      </c>
      <c r="B287" s="21" t="s">
        <v>1064</v>
      </c>
      <c r="C287" s="21" t="s">
        <v>1013</v>
      </c>
      <c r="D287" s="21" t="s">
        <v>1007</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1014</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1170</v>
      </c>
      <c r="B289" s="21" t="s">
        <v>1130</v>
      </c>
      <c r="C289" s="21" t="s">
        <v>1013</v>
      </c>
      <c r="D289" s="21" t="s">
        <v>1007</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1171</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1027</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1172</v>
      </c>
      <c r="B292" s="21" t="s">
        <v>1040</v>
      </c>
      <c r="C292" s="21" t="s">
        <v>1017</v>
      </c>
      <c r="D292" s="21" t="s">
        <v>1007</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56</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1027</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1173</v>
      </c>
      <c r="B295" s="21" t="s">
        <v>1042</v>
      </c>
      <c r="C295" s="21" t="s">
        <v>1017</v>
      </c>
      <c r="D295" s="21" t="s">
        <v>1007</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1023</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row>
    <row r="298" spans="1:12">
      <c r="A298" s="20" t="s">
        <v>1174</v>
      </c>
    </row>
    <row r="299" spans="1:12">
      <c r="A299" s="20" t="s">
        <v>1175</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1140</v>
      </c>
      <c r="B300" s="21" t="s">
        <v>1050</v>
      </c>
      <c r="C300" s="21" t="s">
        <v>1073</v>
      </c>
      <c r="D300" s="21" t="s">
        <v>1007</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1075</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102</v>
      </c>
      <c r="B302" s="21" t="s">
        <v>1005</v>
      </c>
      <c r="C302" s="21" t="s">
        <v>1073</v>
      </c>
      <c r="D302" s="21" t="s">
        <v>1007</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1065</v>
      </c>
      <c r="B303" s="21" t="s">
        <v>1029</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1138</v>
      </c>
      <c r="B304" s="21" t="s">
        <v>1119</v>
      </c>
      <c r="C304" s="21" t="s">
        <v>1082</v>
      </c>
      <c r="D304" s="21" t="s">
        <v>1007</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1176</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1065</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102</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1123</v>
      </c>
      <c r="B308" s="21" t="s">
        <v>1119</v>
      </c>
      <c r="C308" s="21" t="s">
        <v>1017</v>
      </c>
      <c r="D308" s="21" t="s">
        <v>1007</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1177</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56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1178</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1179</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1065</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1180</v>
      </c>
      <c r="B314" s="21" t="s">
        <v>1120</v>
      </c>
      <c r="C314" s="21" t="s">
        <v>1082</v>
      </c>
      <c r="D314" s="21" t="s">
        <v>1007</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1181</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1182</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102</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1183</v>
      </c>
      <c r="B318" s="21" t="s">
        <v>1035</v>
      </c>
      <c r="C318" s="21" t="s">
        <v>1017</v>
      </c>
      <c r="D318" s="21" t="s">
        <v>1007</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1023</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row>
    <row r="321" spans="1:12">
      <c r="A321" s="20" t="s">
        <v>1184</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1185</v>
      </c>
    </row>
    <row r="323" spans="1:12">
      <c r="A323" s="20" t="s">
        <v>1153</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1138</v>
      </c>
      <c r="B324" s="21" t="s">
        <v>1119</v>
      </c>
      <c r="C324" s="21" t="s">
        <v>1082</v>
      </c>
      <c r="D324" s="21" t="s">
        <v>1007</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1186</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1065</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1133</v>
      </c>
      <c r="B327" s="21" t="s">
        <v>1187</v>
      </c>
      <c r="C327" s="21" t="s">
        <v>1082</v>
      </c>
      <c r="D327" s="21" t="s">
        <v>1007</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52</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1018</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1142</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1188</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1113</v>
      </c>
      <c r="B332" s="21" t="s">
        <v>1050</v>
      </c>
      <c r="C332" s="21" t="s">
        <v>1013</v>
      </c>
      <c r="D332" s="21" t="s">
        <v>1007</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1132</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1189</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1110</v>
      </c>
      <c r="B335" s="21" t="s">
        <v>1022</v>
      </c>
      <c r="C335" s="21" t="s">
        <v>1048</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1189</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1023</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row>
    <row r="339" spans="1:12">
      <c r="A339" s="20" t="s">
        <v>1184</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1190</v>
      </c>
    </row>
    <row r="341" spans="1:12">
      <c r="A341" s="20" t="s">
        <v>1142</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1188</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1189</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1191</v>
      </c>
      <c r="B344" s="21" t="s">
        <v>1085</v>
      </c>
      <c r="C344" s="21" t="s">
        <v>1048</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1189</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56</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1142</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1188</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1189</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1109</v>
      </c>
      <c r="B350" s="21" t="s">
        <v>1187</v>
      </c>
      <c r="C350" s="21" t="s">
        <v>1048</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1189</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1023</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row>
    <row r="354" spans="1:12">
      <c r="A354" s="20" t="s">
        <v>1192</v>
      </c>
    </row>
    <row r="355" spans="1:12">
      <c r="A355" s="20" t="s">
        <v>1193</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1065</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1150</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1056</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1194</v>
      </c>
      <c r="B359" s="21" t="s">
        <v>1005</v>
      </c>
      <c r="C359" s="21" t="s">
        <v>1111</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56</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1056</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1195</v>
      </c>
      <c r="B362" s="21" t="s">
        <v>1022</v>
      </c>
      <c r="C362" s="21" t="s">
        <v>1111</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1018</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1196</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1132</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1083</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1020</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1084</v>
      </c>
      <c r="B368" s="21" t="s">
        <v>1022</v>
      </c>
      <c r="C368" s="21" t="s">
        <v>1086</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1023</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row>
    <row r="371" spans="1:12">
      <c r="A371" s="20" t="s">
        <v>1197</v>
      </c>
    </row>
    <row r="372" spans="1:12">
      <c r="A372" s="20" t="s">
        <v>1094</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1009</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1198</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1018</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1199</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1097</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1200</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1097</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1149</v>
      </c>
      <c r="B380" s="21" t="s">
        <v>1120</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1065</v>
      </c>
      <c r="B381" s="21" t="s">
        <v>1067</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1142</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1201</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1020</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1202</v>
      </c>
      <c r="B385" s="21" t="s">
        <v>1066</v>
      </c>
      <c r="C385" s="21" t="s">
        <v>1017</v>
      </c>
      <c r="D385" s="21" t="s">
        <v>1007</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1083</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1107</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1107</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1203</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1056</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1204</v>
      </c>
      <c r="B391" s="21" t="s">
        <v>1134</v>
      </c>
      <c r="C391" s="21" t="s">
        <v>1205</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1018</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885</v>
      </c>
      <c r="B393" s="21" t="s">
        <v>1120</v>
      </c>
      <c r="C393" s="21" t="s">
        <v>1082</v>
      </c>
      <c r="D393" s="21" t="s">
        <v>1007</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1206</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1020</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1207</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1030</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102</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1208</v>
      </c>
      <c r="B399" s="21" t="s">
        <v>1130</v>
      </c>
      <c r="C399" s="21" t="s">
        <v>1006</v>
      </c>
      <c r="D399" s="21" t="s">
        <v>1007</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1020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1209</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1132</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1210</v>
      </c>
      <c r="B403" s="21" t="s">
        <v>1040</v>
      </c>
      <c r="C403" s="21" t="s">
        <v>1013</v>
      </c>
      <c r="D403" s="21" t="s">
        <v>1007</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1014</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1020</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1211</v>
      </c>
      <c r="B406" s="21" t="s">
        <v>1042</v>
      </c>
      <c r="C406" s="21" t="s">
        <v>1006</v>
      </c>
      <c r="D406" s="21" t="s">
        <v>1007</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1212</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1213</v>
      </c>
      <c r="B408" s="21" t="s">
        <v>1044</v>
      </c>
      <c r="C408" s="21" t="s">
        <v>1006</v>
      </c>
      <c r="D408" s="21" t="s">
        <v>1007</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1014</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1214</v>
      </c>
      <c r="B410" s="21" t="s">
        <v>1215</v>
      </c>
      <c r="C410" s="21" t="s">
        <v>1006</v>
      </c>
      <c r="D410" s="21" t="s">
        <v>1007</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1216</v>
      </c>
      <c r="B411" s="21" t="s">
        <v>1217</v>
      </c>
      <c r="C411" s="21" t="s">
        <v>1006</v>
      </c>
      <c r="D411" s="21" t="s">
        <v>1007</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1218</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1219</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1220</v>
      </c>
      <c r="B414" s="21" t="s">
        <v>1042</v>
      </c>
      <c r="C414" s="21" t="s">
        <v>1013</v>
      </c>
      <c r="D414" s="21" t="s">
        <v>1007</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1014</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1221</v>
      </c>
      <c r="B416" s="21" t="s">
        <v>1044</v>
      </c>
      <c r="C416" s="21" t="s">
        <v>1048</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1018</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1222</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1223</v>
      </c>
      <c r="B419" s="21" t="s">
        <v>1085</v>
      </c>
      <c r="C419" s="21" t="s">
        <v>1013</v>
      </c>
      <c r="D419" s="21" t="s">
        <v>1007</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1020</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1015</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1221</v>
      </c>
      <c r="B422" s="21" t="s">
        <v>1022</v>
      </c>
      <c r="C422" s="21" t="s">
        <v>1013</v>
      </c>
      <c r="D422" s="21" t="s">
        <v>1007</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1014</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1224</v>
      </c>
      <c r="B424" s="21" t="s">
        <v>1033</v>
      </c>
      <c r="C424" s="21" t="s">
        <v>1082</v>
      </c>
      <c r="D424" s="21" t="s">
        <v>1007</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1018</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56</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1225</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1020</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1226</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1227</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1228</v>
      </c>
      <c r="B431" s="21" t="s">
        <v>1187</v>
      </c>
      <c r="C431" s="21" t="s">
        <v>1013</v>
      </c>
      <c r="D431" s="21" t="s">
        <v>1007</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1229</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1020</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1230</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1231</v>
      </c>
      <c r="B435" s="21" t="s">
        <v>1035</v>
      </c>
      <c r="C435" s="21" t="s">
        <v>1103</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1232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1020</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1233</v>
      </c>
      <c r="B438" s="21" t="s">
        <v>1066</v>
      </c>
      <c r="C438" s="21" t="s">
        <v>1048</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1234</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102</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1235</v>
      </c>
      <c r="B441" s="21" t="s">
        <v>1066</v>
      </c>
      <c r="C441" s="21" t="s">
        <v>1017</v>
      </c>
      <c r="D441" s="21" t="s">
        <v>1007</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1097</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1027</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1039</v>
      </c>
      <c r="B444" s="21" t="s">
        <v>1040</v>
      </c>
      <c r="C444" s="21" t="s">
        <v>1013</v>
      </c>
      <c r="D444" s="21" t="s">
        <v>1007</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1014</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1236</v>
      </c>
      <c r="B446" s="21" t="s">
        <v>1042</v>
      </c>
      <c r="C446" s="21" t="s">
        <v>1048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1023</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row>
    <row r="449" spans="1:12">
      <c r="A449" s="20" t="s">
        <v>1237</v>
      </c>
    </row>
    <row r="450" spans="1:12">
      <c r="A450" s="20" t="s">
        <v>11</v>
      </c>
      <c r="B450" s="21" t="s">
        <v>1005</v>
      </c>
      <c r="C450" s="21" t="s">
        <v>1073</v>
      </c>
      <c r="D450" s="21" t="s">
        <v>1007</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1065</v>
      </c>
      <c r="B451" s="21" t="s">
        <v>1119</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102</v>
      </c>
      <c r="B452" s="21" t="s">
        <v>1029</v>
      </c>
      <c r="C452" s="21" t="s">
        <v>1082</v>
      </c>
      <c r="D452" s="21" t="s">
        <v>1007</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1238</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1020</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110</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1140</v>
      </c>
      <c r="B456" s="21" t="s">
        <v>1187</v>
      </c>
      <c r="C456" s="21" t="s">
        <v>1073</v>
      </c>
      <c r="D456" s="21" t="s">
        <v>1007</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1077</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row>
    <row r="459" spans="1:12">
      <c r="A459" s="20" t="s">
        <v>1239</v>
      </c>
    </row>
    <row r="460" spans="1:12">
      <c r="A460" s="20" t="s">
        <v>1118</v>
      </c>
      <c r="B460" s="21" t="s">
        <v>1050</v>
      </c>
      <c r="C460" s="21" t="s">
        <v>1048</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1009</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106</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1107</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1137</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1138</v>
      </c>
      <c r="B465" s="21" t="s">
        <v>1154</v>
      </c>
      <c r="C465" s="21" t="s">
        <v>1082</v>
      </c>
      <c r="D465" s="21" t="s">
        <v>1007</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1206</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1030</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102</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1208</v>
      </c>
      <c r="B469" s="21" t="s">
        <v>1022</v>
      </c>
      <c r="C469" s="21" t="s">
        <v>1006</v>
      </c>
      <c r="D469" s="21" t="s">
        <v>1007</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1018</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56</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1030</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1015</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1240</v>
      </c>
      <c r="B474" s="21" t="s">
        <v>1033</v>
      </c>
      <c r="C474" s="21" t="s">
        <v>1017</v>
      </c>
      <c r="D474" s="21" t="s">
        <v>1007</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1241</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1018</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1137</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1206</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1020</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1209</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1097</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1020</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1242</v>
      </c>
      <c r="B483" s="21" t="s">
        <v>1035</v>
      </c>
      <c r="C483" s="21" t="s">
        <v>1013</v>
      </c>
      <c r="D483" s="21" t="s">
        <v>1007</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1014</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1243</v>
      </c>
      <c r="B485" s="21" t="s">
        <v>1130</v>
      </c>
      <c r="C485" s="21" t="s">
        <v>1048</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1018</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1244</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1102</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1063</v>
      </c>
      <c r="B489" s="21" t="s">
        <v>1029</v>
      </c>
      <c r="C489" s="21" t="s">
        <v>1103</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1065</v>
      </c>
      <c r="B490" s="21" t="s">
        <v>1120</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1133</v>
      </c>
      <c r="B491" s="21" t="s">
        <v>1064</v>
      </c>
      <c r="C491" s="21" t="s">
        <v>1082</v>
      </c>
      <c r="D491" s="21" t="s">
        <v>1007</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1245</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1023</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row>
    <row r="495" spans="1:12">
      <c r="A495" s="20" t="s">
        <v>1246</v>
      </c>
    </row>
    <row r="496" spans="1:12">
      <c r="A496" s="20" t="s">
        <v>1247</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1020</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1242</v>
      </c>
      <c r="B498" s="21" t="s">
        <v>1005</v>
      </c>
      <c r="C498" s="21" t="s">
        <v>1013</v>
      </c>
      <c r="D498" s="21" t="s">
        <v>1007</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1014</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1243</v>
      </c>
      <c r="B500" s="21" t="s">
        <v>1022</v>
      </c>
      <c r="C500" s="21" t="s">
        <v>1048</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1018</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1248</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1102</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1063</v>
      </c>
      <c r="B504" s="21" t="s">
        <v>1085</v>
      </c>
      <c r="C504" s="21" t="s">
        <v>1103</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1249</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1018</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1063</v>
      </c>
      <c r="B507" s="21" t="s">
        <v>1022</v>
      </c>
      <c r="C507" s="21" t="s">
        <v>1048</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1065</v>
      </c>
      <c r="B508" s="21" t="s">
        <v>1120</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1075</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1250</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110</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1018</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56</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1063</v>
      </c>
      <c r="B514" s="21" t="s">
        <v>1130</v>
      </c>
      <c r="C514" s="21" t="s">
        <v>1048</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1065</v>
      </c>
      <c r="B515" s="21" t="s">
        <v>1251</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1252</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1083</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1020</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1084</v>
      </c>
      <c r="B519" s="21" t="s">
        <v>1253</v>
      </c>
      <c r="C519" s="21" t="s">
        <v>1086</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1023</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row>
    <row r="522" spans="1:12">
      <c r="A522" s="20" t="s">
        <v>1254</v>
      </c>
    </row>
    <row r="523" spans="1:12">
      <c r="A523" s="20" t="s">
        <v>1136</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1255</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1248</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1063</v>
      </c>
      <c r="B526" s="21" t="s">
        <v>1085</v>
      </c>
      <c r="C526" s="21" t="s">
        <v>1048</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1065</v>
      </c>
      <c r="B527" s="21" t="s">
        <v>1154</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1256</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1052</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1257</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1023</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row>
    <row r="533" spans="1:12">
      <c r="A533" s="20" t="s">
        <v>1258</v>
      </c>
    </row>
    <row r="534" spans="1:12">
      <c r="A534" s="20" t="s">
        <v>1259</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1063</v>
      </c>
      <c r="B535" s="21" t="s">
        <v>1085</v>
      </c>
      <c r="C535" s="21" t="s">
        <v>1048</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1065</v>
      </c>
      <c r="B536" s="21" t="s">
        <v>1120</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1142</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1260</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238</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1261</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1018</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56</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1262</v>
      </c>
      <c r="B543" s="21" t="s">
        <v>1022</v>
      </c>
      <c r="C543" s="21" t="s">
        <v>1048</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1065</v>
      </c>
      <c r="B544" s="21" t="s">
        <v>1263</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1264</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1020</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238</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1261</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1265</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1266</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102</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1267</v>
      </c>
      <c r="B552" s="21" t="s">
        <v>1130</v>
      </c>
      <c r="C552" s="21" t="s">
        <v>1017</v>
      </c>
      <c r="D552" s="21" t="s">
        <v>1007</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153</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1018</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1266</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102</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1268</v>
      </c>
      <c r="B557" s="21" t="s">
        <v>1022</v>
      </c>
      <c r="C557" s="21" t="s">
        <v>1013</v>
      </c>
      <c r="D557" s="21" t="s">
        <v>1007</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1014</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102</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1267</v>
      </c>
      <c r="B560" s="21" t="s">
        <v>1033</v>
      </c>
      <c r="C560" s="21" t="s">
        <v>1017</v>
      </c>
      <c r="D560" s="21" t="s">
        <v>1007</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1018</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56</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1266</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1065</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1015</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1269</v>
      </c>
      <c r="B566" s="21" t="s">
        <v>1035</v>
      </c>
      <c r="C566" s="21" t="s">
        <v>1059</v>
      </c>
      <c r="D566" s="21" t="s">
        <v>1007</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1270</v>
      </c>
      <c r="B567" s="21" t="s">
        <v>1154</v>
      </c>
      <c r="C567" s="21" t="s">
        <v>1013</v>
      </c>
      <c r="D567" s="21" t="s">
        <v>1007</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1030</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102</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1168</v>
      </c>
      <c r="B570" s="21" t="s">
        <v>1035</v>
      </c>
      <c r="C570" s="21" t="s">
        <v>1017</v>
      </c>
      <c r="D570" s="21" t="s">
        <v>1007</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1271</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1272</v>
      </c>
      <c r="B572" s="21" t="s">
        <v>1187</v>
      </c>
      <c r="C572" s="21" t="s">
        <v>1013</v>
      </c>
      <c r="D572" s="21" t="s">
        <v>1007</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1014</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1273</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1274</v>
      </c>
      <c r="B575" s="21" t="s">
        <v>1035</v>
      </c>
      <c r="C575" s="21" t="s">
        <v>1041</v>
      </c>
      <c r="D575" s="21" t="s">
        <v>1007</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1023</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row>
    <row r="578" spans="1:12">
      <c r="A578" s="20" t="s">
        <v>1275</v>
      </c>
    </row>
    <row r="579" spans="1:12">
      <c r="A579" s="20" t="s">
        <v>1276</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1138</v>
      </c>
      <c r="B580" s="21" t="s">
        <v>1154</v>
      </c>
      <c r="C580" s="21" t="s">
        <v>1082</v>
      </c>
      <c r="D580" s="21" t="s">
        <v>1007</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1277</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1020</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t="s">
        <v>1278</v>
      </c>
      <c r="E583" s="22">
        <f>IF(D583="?OLD","!!!","")</f>
        <v/>
      </c>
      <c r="F583" s="23" t="str">
        <f>IF(OR(E583="",E583="!!!"),"",IF(NOT(ISNA(VLOOKUP(E583,E$1:E582,1,FALSE()))),"OLD",IF(AND(E583&lt;&gt;"",E583&lt;&gt;"!!!"),"NEW","")))</f>
        <v> </v>
      </c>
      <c r="G583" s="24" t="str">
        <f>IF(OR(E583="",E583="!!!"),"",IF(OR(J583=0,AND(J583=1,K583=1),AND(J583=1,I583="SBJ"),AND(J583=1,I583=0)),"?IN_FOCUS",IF(J583&lt;=2,"?ACTIVATED",IF(J583&lt;&gt;"","?FAMILIAR",IF(F583="NEW",IF(ISNA(VLOOKUP(E583,#REF!,1,FALSE())),"?TYPE_IDENTIFIABLE","?REFERENTIAL"),"_")))))</f>
        <v> </v>
      </c>
      <c r="H583" s="25" t="str">
        <f>IF(J583&lt;&gt;1,"",IF(I583="SBJ","CB","?"))</f>
        <v> </v>
      </c>
      <c r="I583" s="26" t="str">
        <f>IF(OR(E583="",E583="!!!",F583="NEW"),"",INDEX(B582:B$2,-1+SUMPRODUCT(MAX(ROW(E582:E$2)*(E583=E582:E$2)))))</f>
        <v> </v>
      </c>
      <c r="J583" s="26" t="str">
        <f>IF(OR(E583="",E583="!!!",F583="NEW"),"",COUNTBLANK(OFFSET(A$1,,,SUMPRODUCT(MAX(ROW(E$2:E583)*(E583=E$2:E583)))))-COUNTBLANK(OFFSET(A$1,,,SUMPRODUCT(MAX(ROW(E$1:E582)*(E2=E$1:E582))))))</f>
        <v> </v>
      </c>
      <c r="K583" s="26" t="str">
        <f>IF(OR(E583="",E583="!!!",F583="NEW"),"",INDEX(J$1:J582,SUMPRODUCT(MAX(ROW(E$1:E582)*(E583=E$1:E582)))))</f>
        <v> </v>
      </c>
      <c r="L583" s="27"/>
    </row>
    <row r="584" spans="1:12">
      <c r="A584" s="20" t="s">
        <v>1182</v>
      </c>
      <c r="E584" s="22">
        <f>IF(D584="?OLD","!!!","")</f>
        <v/>
      </c>
      <c r="F584" s="23" t="str">
        <f>IF(OR(E584="",E584="!!!"),"",IF(NOT(ISNA(VLOOKUP(E584,E$1:E583,1,FALSE()))),"OLD",IF(AND(E584&lt;&gt;"",E584&lt;&gt;"!!!"),"NEW","")))</f>
        <v> </v>
      </c>
      <c r="G584" s="24" t="str">
        <f>IF(OR(E584="",E584="!!!"),"",IF(OR(J584=0,AND(J584=1,K584=1),AND(J584=1,I584="SBJ"),AND(J584=1,I584=0)),"?IN_FOCUS",IF(J584&lt;=2,"?ACTIVATED",IF(J584&lt;&gt;"","?FAMILIAR",IF(F584="NEW",IF(ISNA(VLOOKUP(E584,#REF!,1,FALSE())),"?TYPE_IDENTIFIABLE","?REFERENTIAL"),"_")))))</f>
        <v> </v>
      </c>
      <c r="H584" s="25" t="str">
        <f>IF(J584&lt;&gt;1,"",IF(I584="SBJ","CB","?"))</f>
        <v> </v>
      </c>
      <c r="I584" s="26" t="str">
        <f>IF(OR(E584="",E584="!!!",F584="NEW"),"",INDEX(B583:B$2,-1+SUMPRODUCT(MAX(ROW(E583:E$2)*(E584=E583:E$2)))))</f>
        <v> </v>
      </c>
      <c r="J584" s="26" t="str">
        <f>IF(OR(E584="",E584="!!!",F584="NEW"),"",COUNTBLANK(OFFSET(A$1,,,SUMPRODUCT(MAX(ROW(E$2:E584)*(E584=E$2:E584)))))-COUNTBLANK(OFFSET(A$1,,,SUMPRODUCT(MAX(ROW(E$1:E583)*(E2=E$1:E583))))))</f>
        <v> </v>
      </c>
      <c r="K584" s="26" t="str">
        <f>IF(OR(E584="",E584="!!!",F584="NEW"),"",INDEX(J$1:J583,SUMPRODUCT(MAX(ROW(E$1:E583)*(E584=E$1:E583)))))</f>
        <v> </v>
      </c>
      <c r="L584" s="27"/>
    </row>
    <row r="585" spans="1:12">
      <c r="A585" s="20" t="s">
        <v>1279</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1165</v>
      </c>
      <c r="B586" s="21" t="s">
        <v>1033</v>
      </c>
      <c r="C586" s="21" t="s">
        <v>1041</v>
      </c>
      <c r="D586" s="21" t="s">
        <v>1007</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1018</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1280</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1182</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1015</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1281</v>
      </c>
      <c r="B591" s="21" t="s">
        <v>1033</v>
      </c>
      <c r="C591" s="21" t="s">
        <v>1059</v>
      </c>
      <c r="D591" s="21" t="s">
        <v>1007</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1282</v>
      </c>
      <c r="B592" s="21" t="s">
        <v>1029</v>
      </c>
      <c r="C592" s="21" t="s">
        <v>1017</v>
      </c>
      <c r="D592" s="21" t="s">
        <v>1007</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1132</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1075</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1065</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1138</v>
      </c>
      <c r="B596" s="21" t="s">
        <v>1154</v>
      </c>
      <c r="C596" s="21" t="s">
        <v>1082</v>
      </c>
      <c r="D596" s="21" t="s">
        <v>1007</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1283</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110</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1284</v>
      </c>
      <c r="B599" s="21" t="s">
        <v>1064</v>
      </c>
      <c r="C599" s="21" t="s">
        <v>1073</v>
      </c>
      <c r="D599" s="21" t="s">
        <v>1007</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1014</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1285</v>
      </c>
      <c r="B601" s="21" t="s">
        <v>1130</v>
      </c>
      <c r="C601" s="21" t="s">
        <v>1048</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t="s">
        <v>1286</v>
      </c>
      <c r="E602" s="22">
        <f>IF(D602="?OLD","!!!","")</f>
        <v/>
      </c>
      <c r="F602" s="23" t="str">
        <f>IF(OR(E602="",E602="!!!"),"",IF(NOT(ISNA(VLOOKUP(E602,E$1:E601,1,FALSE()))),"OLD",IF(AND(E602&lt;&gt;"",E602&lt;&gt;"!!!"),"NEW","")))</f>
        <v> </v>
      </c>
      <c r="G602" s="24" t="str">
        <f>IF(OR(E602="",E602="!!!"),"",IF(OR(J602=0,AND(J602=1,K602=1),AND(J602=1,I602="SBJ"),AND(J602=1,I602=0)),"?IN_FOCUS",IF(J602&lt;=2,"?ACTIVATED",IF(J602&lt;&gt;"","?FAMILIAR",IF(F602="NEW",IF(ISNA(VLOOKUP(E602,#REF!,1,FALSE())),"?TYPE_IDENTIFIABLE","?REFERENTIAL"),"_")))))</f>
        <v> </v>
      </c>
      <c r="H602" s="25" t="str">
        <f>IF(J602&lt;&gt;1,"",IF(I602="SBJ","CB","?"))</f>
        <v> </v>
      </c>
      <c r="I602" s="26" t="str">
        <f>IF(OR(E602="",E602="!!!",F602="NEW"),"",INDEX(B601:B$2,-1+SUMPRODUCT(MAX(ROW(E601:E$2)*(E602=E601:E$2)))))</f>
        <v> </v>
      </c>
      <c r="J602" s="26" t="str">
        <f>IF(OR(E602="",E602="!!!",F602="NEW"),"",COUNTBLANK(OFFSET(A$1,,,SUMPRODUCT(MAX(ROW(E$2:E602)*(E602=E$2:E602)))))-COUNTBLANK(OFFSET(A$1,,,SUMPRODUCT(MAX(ROW(E$1:E601)*(E2=E$1:E601))))))</f>
        <v> </v>
      </c>
      <c r="K602" s="26" t="str">
        <f>IF(OR(E602="",E602="!!!",F602="NEW"),"",INDEX(J$1:J601,SUMPRODUCT(MAX(ROW(E$1:E601)*(E602=E$1:E601)))))</f>
        <v> </v>
      </c>
      <c r="L602" s="27"/>
    </row>
    <row r="603" spans="1:12">
      <c r="A603" s="20" t="s">
        <v>1287</v>
      </c>
      <c r="E603" s="22">
        <f>IF(D603="?OLD","!!!","")</f>
        <v/>
      </c>
      <c r="F603" s="23" t="str">
        <f>IF(OR(E603="",E603="!!!"),"",IF(NOT(ISNA(VLOOKUP(E603,E$1:E602,1,FALSE()))),"OLD",IF(AND(E603&lt;&gt;"",E603&lt;&gt;"!!!"),"NEW","")))</f>
        <v> </v>
      </c>
      <c r="G603" s="24" t="str">
        <f>IF(OR(E603="",E603="!!!"),"",IF(OR(J603=0,AND(J603=1,K603=1),AND(J603=1,I603="SBJ"),AND(J603=1,I603=0)),"?IN_FOCUS",IF(J603&lt;=2,"?ACTIVATED",IF(J603&lt;&gt;"","?FAMILIAR",IF(F603="NEW",IF(ISNA(VLOOKUP(E603,#REF!,1,FALSE())),"?TYPE_IDENTIFIABLE","?REFERENTIAL"),"_")))))</f>
        <v> </v>
      </c>
      <c r="H603" s="25" t="str">
        <f>IF(J603&lt;&gt;1,"",IF(I603="SBJ","CB","?"))</f>
        <v> </v>
      </c>
      <c r="I603" s="26" t="str">
        <f>IF(OR(E603="",E603="!!!",F603="NEW"),"",INDEX(B602:B$2,-1+SUMPRODUCT(MAX(ROW(E602:E$2)*(E603=E602:E$2)))))</f>
        <v> </v>
      </c>
      <c r="J603" s="26" t="str">
        <f>IF(OR(E603="",E603="!!!",F603="NEW"),"",COUNTBLANK(OFFSET(A$1,,,SUMPRODUCT(MAX(ROW(E$2:E603)*(E603=E$2:E603)))))-COUNTBLANK(OFFSET(A$1,,,SUMPRODUCT(MAX(ROW(E$1:E602)*(E2=E$1:E602))))))</f>
        <v> </v>
      </c>
      <c r="K603" s="26" t="str">
        <f>IF(OR(E603="",E603="!!!",F603="NEW"),"",INDEX(J$1:J602,SUMPRODUCT(MAX(ROW(E$1:E602)*(E603=E$1:E602)))))</f>
        <v> </v>
      </c>
      <c r="L603" s="27"/>
    </row>
    <row r="604" spans="1:12">
      <c r="A604" s="20" t="s">
        <v>1018</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1065</v>
      </c>
      <c r="B605" s="21" t="s">
        <v>1067</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1288</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1015</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1289</v>
      </c>
      <c r="B608" s="21" t="s">
        <v>1066</v>
      </c>
      <c r="C608" s="21" t="s">
        <v>1013</v>
      </c>
      <c r="D608" s="21" t="s">
        <v>1007</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1014</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102</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1267</v>
      </c>
      <c r="B611" s="21" t="s">
        <v>1042</v>
      </c>
      <c r="C611" s="21" t="s">
        <v>1017</v>
      </c>
      <c r="D611" s="21" t="s">
        <v>1007</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1290</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1291</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t="s">
        <v>1015</v>
      </c>
      <c r="E614" s="22">
        <f>IF(D614="?OLD","!!!","")</f>
        <v/>
      </c>
      <c r="F614" s="23" t="str">
        <f>IF(OR(E614="",E614="!!!"),"",IF(NOT(ISNA(VLOOKUP(E614,E$1:E613,1,FALSE()))),"OLD",IF(AND(E614&lt;&gt;"",E614&lt;&gt;"!!!"),"NEW","")))</f>
        <v> </v>
      </c>
      <c r="G614" s="24" t="str">
        <f>IF(OR(E614="",E614="!!!"),"",IF(OR(J614=0,AND(J614=1,K614=1),AND(J614=1,I614="SBJ"),AND(J614=1,I614=0)),"?IN_FOCUS",IF(J614&lt;=2,"?ACTIVATED",IF(J614&lt;&gt;"","?FAMILIAR",IF(F614="NEW",IF(ISNA(VLOOKUP(E614,#REF!,1,FALSE())),"?TYPE_IDENTIFIABLE","?REFERENTIAL"),"_")))))</f>
        <v> </v>
      </c>
      <c r="H614" s="25" t="str">
        <f>IF(J614&lt;&gt;1,"",IF(I614="SBJ","CB","?"))</f>
        <v> </v>
      </c>
      <c r="I614" s="26" t="str">
        <f>IF(OR(E614="",E614="!!!",F614="NEW"),"",INDEX(B613:B$2,-1+SUMPRODUCT(MAX(ROW(E613:E$2)*(E614=E613:E$2)))))</f>
        <v> </v>
      </c>
      <c r="J614" s="26" t="str">
        <f>IF(OR(E614="",E614="!!!",F614="NEW"),"",COUNTBLANK(OFFSET(A$1,,,SUMPRODUCT(MAX(ROW(E$2:E614)*(E614=E$2:E614)))))-COUNTBLANK(OFFSET(A$1,,,SUMPRODUCT(MAX(ROW(E$1:E613)*(E2=E$1:E613))))))</f>
        <v> </v>
      </c>
      <c r="K614" s="26" t="str">
        <f>IF(OR(E614="",E614="!!!",F614="NEW"),"",INDEX(J$1:J613,SUMPRODUCT(MAX(ROW(E$1:E613)*(E614=E$1:E613)))))</f>
        <v> </v>
      </c>
      <c r="L614" s="27"/>
    </row>
    <row r="615" spans="1:12">
      <c r="A615" s="20" t="s">
        <v>1292</v>
      </c>
      <c r="B615" s="21" t="s">
        <v>1251</v>
      </c>
      <c r="C615" s="21" t="s">
        <v>1017</v>
      </c>
      <c r="D615" s="21" t="s">
        <v>1007</v>
      </c>
      <c r="E615" s="22">
        <f>IF(D615="?OLD","!!!","")</f>
        <v/>
      </c>
      <c r="F615" s="23" t="str">
        <f>IF(OR(E615="",E615="!!!"),"",IF(NOT(ISNA(VLOOKUP(E615,E$1:E614,1,FALSE()))),"OLD",IF(AND(E615&lt;&gt;"",E615&lt;&gt;"!!!"),"NEW","")))</f>
        <v> </v>
      </c>
      <c r="G615" s="24" t="str">
        <f>IF(OR(E615="",E615="!!!"),"",IF(OR(J615=0,AND(J615=1,K615=1),AND(J615=1,I615="SBJ"),AND(J615=1,I615=0)),"?IN_FOCUS",IF(J615&lt;=2,"?ACTIVATED",IF(J615&lt;&gt;"","?FAMILIAR",IF(F615="NEW",IF(ISNA(VLOOKUP(E615,#REF!,1,FALSE())),"?TYPE_IDENTIFIABLE","?REFERENTIAL"),"_")))))</f>
        <v> </v>
      </c>
      <c r="H615" s="25" t="str">
        <f>IF(J615&lt;&gt;1,"",IF(I615="SBJ","CB","?"))</f>
        <v> </v>
      </c>
      <c r="I615" s="26" t="str">
        <f>IF(OR(E615="",E615="!!!",F615="NEW"),"",INDEX(B614:B$2,-1+SUMPRODUCT(MAX(ROW(E614:E$2)*(E615=E614:E$2)))))</f>
        <v> </v>
      </c>
      <c r="J615" s="26" t="str">
        <f>IF(OR(E615="",E615="!!!",F615="NEW"),"",COUNTBLANK(OFFSET(A$1,,,SUMPRODUCT(MAX(ROW(E$2:E615)*(E615=E$2:E615)))))-COUNTBLANK(OFFSET(A$1,,,SUMPRODUCT(MAX(ROW(E$1:E614)*(E2=E$1:E614))))))</f>
        <v> </v>
      </c>
      <c r="K615" s="26" t="str">
        <f>IF(OR(E615="",E615="!!!",F615="NEW"),"",INDEX(J$1:J614,SUMPRODUCT(MAX(ROW(E$1:E614)*(E615=E$1:E614)))))</f>
        <v> </v>
      </c>
      <c r="L615" s="27"/>
    </row>
    <row r="616" spans="1:12">
      <c r="A616" s="20" t="s">
        <v>1077</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row>
    <row r="618" spans="1:12">
      <c r="A618" s="20" t="s">
        <v>1293</v>
      </c>
    </row>
    <row r="619" spans="1:12">
      <c r="A619" s="20" t="s">
        <v>1294</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1295</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1027</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1296</v>
      </c>
      <c r="B622" s="21" t="s">
        <v>1005</v>
      </c>
      <c r="C622" s="21" t="s">
        <v>1205</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1065</v>
      </c>
      <c r="B623" s="21" t="s">
        <v>1187</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1297</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1018</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1266</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238</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1298</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1020</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102</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576</v>
      </c>
      <c r="B631" s="21" t="s">
        <v>1187</v>
      </c>
      <c r="C631" s="21" t="s">
        <v>1017</v>
      </c>
      <c r="D631" s="21" t="s">
        <v>1007</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t="s">
        <v>1018</v>
      </c>
      <c r="E632" s="22">
        <f>IF(D632="?OLD","!!!","")</f>
        <v/>
      </c>
      <c r="F632" s="23" t="str">
        <f>IF(OR(E632="",E632="!!!"),"",IF(NOT(ISNA(VLOOKUP(E632,E$1:E631,1,FALSE()))),"OLD",IF(AND(E632&lt;&gt;"",E632&lt;&gt;"!!!"),"NEW","")))</f>
        <v> </v>
      </c>
      <c r="G632" s="24" t="str">
        <f>IF(OR(E632="",E632="!!!"),"",IF(OR(J632=0,AND(J632=1,K632=1),AND(J632=1,I632="SBJ"),AND(J632=1,I632=0)),"?IN_FOCUS",IF(J632&lt;=2,"?ACTIVATED",IF(J632&lt;&gt;"","?FAMILIAR",IF(F632="NEW",IF(ISNA(VLOOKUP(E632,#REF!,1,FALSE())),"?TYPE_IDENTIFIABLE","?REFERENTIAL"),"_")))))</f>
        <v> </v>
      </c>
      <c r="H632" s="25" t="str">
        <f>IF(J632&lt;&gt;1,"",IF(I632="SBJ","CB","?"))</f>
        <v> </v>
      </c>
      <c r="I632" s="26" t="str">
        <f>IF(OR(E632="",E632="!!!",F632="NEW"),"",INDEX(B631:B$2,-1+SUMPRODUCT(MAX(ROW(E631:E$2)*(E632=E631:E$2)))))</f>
        <v> </v>
      </c>
      <c r="J632" s="26" t="str">
        <f>IF(OR(E632="",E632="!!!",F632="NEW"),"",COUNTBLANK(OFFSET(A$1,,,SUMPRODUCT(MAX(ROW(E$2:E632)*(E632=E$2:E632)))))-COUNTBLANK(OFFSET(A$1,,,SUMPRODUCT(MAX(ROW(E$1:E631)*(E2=E$1:E631))))))</f>
        <v> </v>
      </c>
      <c r="K632" s="26" t="str">
        <f>IF(OR(E632="",E632="!!!",F632="NEW"),"",INDEX(J$1:J631,SUMPRODUCT(MAX(ROW(E$1:E631)*(E632=E$1:E631)))))</f>
        <v> </v>
      </c>
      <c r="L632" s="27"/>
    </row>
    <row r="633" spans="1:12">
      <c r="A633" s="20" t="s">
        <v>1299</v>
      </c>
      <c r="E633" s="22">
        <f>IF(D633="?OLD","!!!","")</f>
        <v/>
      </c>
      <c r="F633" s="23" t="str">
        <f>IF(OR(E633="",E633="!!!"),"",IF(NOT(ISNA(VLOOKUP(E633,E$1:E632,1,FALSE()))),"OLD",IF(AND(E633&lt;&gt;"",E633&lt;&gt;"!!!"),"NEW","")))</f>
        <v> </v>
      </c>
      <c r="G633" s="24" t="str">
        <f>IF(OR(E633="",E633="!!!"),"",IF(OR(J633=0,AND(J633=1,K633=1),AND(J633=1,I633="SBJ"),AND(J633=1,I633=0)),"?IN_FOCUS",IF(J633&lt;=2,"?ACTIVATED",IF(J633&lt;&gt;"","?FAMILIAR",IF(F633="NEW",IF(ISNA(VLOOKUP(E633,#REF!,1,FALSE())),"?TYPE_IDENTIFIABLE","?REFERENTIAL"),"_")))))</f>
        <v> </v>
      </c>
      <c r="H633" s="25" t="str">
        <f>IF(J633&lt;&gt;1,"",IF(I633="SBJ","CB","?"))</f>
        <v> </v>
      </c>
      <c r="I633" s="26" t="str">
        <f>IF(OR(E633="",E633="!!!",F633="NEW"),"",INDEX(B632:B$2,-1+SUMPRODUCT(MAX(ROW(E632:E$2)*(E633=E632:E$2)))))</f>
        <v> </v>
      </c>
      <c r="J633" s="26" t="str">
        <f>IF(OR(E633="",E633="!!!",F633="NEW"),"",COUNTBLANK(OFFSET(A$1,,,SUMPRODUCT(MAX(ROW(E$2:E633)*(E633=E$2:E633)))))-COUNTBLANK(OFFSET(A$1,,,SUMPRODUCT(MAX(ROW(E$1:E632)*(E2=E$1:E632))))))</f>
        <v> </v>
      </c>
      <c r="K633" s="26" t="str">
        <f>IF(OR(E633="",E633="!!!",F633="NEW"),"",INDEX(J$1:J632,SUMPRODUCT(MAX(ROW(E$1:E632)*(E633=E$1:E632)))))</f>
        <v> </v>
      </c>
      <c r="L633" s="27"/>
    </row>
    <row r="634" spans="1:12">
      <c r="A634" s="20" t="s">
        <v>1142</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1300</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1301</v>
      </c>
      <c r="B636" s="21" t="s">
        <v>1187</v>
      </c>
      <c r="C636" s="21" t="s">
        <v>1048</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1018</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1142</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1300</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1302</v>
      </c>
      <c r="B640" s="21" t="s">
        <v>1085</v>
      </c>
      <c r="C640" s="21" t="s">
        <v>1013</v>
      </c>
      <c r="D640" s="21" t="s">
        <v>1007</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1303</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1097</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1056</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t="s">
        <v>1304</v>
      </c>
      <c r="B644" s="21" t="s">
        <v>1022</v>
      </c>
      <c r="C644" s="21" t="s">
        <v>1111</v>
      </c>
      <c r="E644" s="22">
        <f>IF(D644="?OLD","!!!","")</f>
        <v/>
      </c>
      <c r="F644" s="23" t="str">
        <f>IF(OR(E644="",E644="!!!"),"",IF(NOT(ISNA(VLOOKUP(E644,E$1:E643,1,FALSE()))),"OLD",IF(AND(E644&lt;&gt;"",E644&lt;&gt;"!!!"),"NEW","")))</f>
        <v> </v>
      </c>
      <c r="G644" s="24" t="str">
        <f>IF(OR(E644="",E644="!!!"),"",IF(OR(J644=0,AND(J644=1,K644=1),AND(J644=1,I644="SBJ"),AND(J644=1,I644=0)),"?IN_FOCUS",IF(J644&lt;=2,"?ACTIVATED",IF(J644&lt;&gt;"","?FAMILIAR",IF(F644="NEW",IF(ISNA(VLOOKUP(E644,#REF!,1,FALSE())),"?TYPE_IDENTIFIABLE","?REFERENTIAL"),"_")))))</f>
        <v> </v>
      </c>
      <c r="H644" s="25" t="str">
        <f>IF(J644&lt;&gt;1,"",IF(I644="SBJ","CB","?"))</f>
        <v> </v>
      </c>
      <c r="I644" s="26" t="str">
        <f>IF(OR(E644="",E644="!!!",F644="NEW"),"",INDEX(B643:B$2,-1+SUMPRODUCT(MAX(ROW(E643:E$2)*(E644=E643:E$2)))))</f>
        <v> </v>
      </c>
      <c r="J644" s="26" t="str">
        <f>IF(OR(E644="",E644="!!!",F644="NEW"),"",COUNTBLANK(OFFSET(A$1,,,SUMPRODUCT(MAX(ROW(E$2:E644)*(E644=E$2:E644)))))-COUNTBLANK(OFFSET(A$1,,,SUMPRODUCT(MAX(ROW(E$1:E643)*(E2=E$1:E643))))))</f>
        <v> </v>
      </c>
      <c r="K644" s="26" t="str">
        <f>IF(OR(E644="",E644="!!!",F644="NEW"),"",INDEX(J$1:J643,SUMPRODUCT(MAX(ROW(E$1:E643)*(E644=E$1:E643)))))</f>
        <v> </v>
      </c>
      <c r="L644" s="27"/>
    </row>
    <row r="645" spans="1:12">
      <c r="A645" s="20" t="s">
        <v>1305</v>
      </c>
      <c r="E645" s="22">
        <f>IF(D645="?OLD","!!!","")</f>
        <v/>
      </c>
      <c r="F645" s="23" t="str">
        <f>IF(OR(E645="",E645="!!!"),"",IF(NOT(ISNA(VLOOKUP(E645,E$1:E644,1,FALSE()))),"OLD",IF(AND(E645&lt;&gt;"",E645&lt;&gt;"!!!"),"NEW","")))</f>
        <v> </v>
      </c>
      <c r="G645" s="24" t="str">
        <f>IF(OR(E645="",E645="!!!"),"",IF(OR(J645=0,AND(J645=1,K645=1),AND(J645=1,I645="SBJ"),AND(J645=1,I645=0)),"?IN_FOCUS",IF(J645&lt;=2,"?ACTIVATED",IF(J645&lt;&gt;"","?FAMILIAR",IF(F645="NEW",IF(ISNA(VLOOKUP(E645,#REF!,1,FALSE())),"?TYPE_IDENTIFIABLE","?REFERENTIAL"),"_")))))</f>
        <v> </v>
      </c>
      <c r="H645" s="25" t="str">
        <f>IF(J645&lt;&gt;1,"",IF(I645="SBJ","CB","?"))</f>
        <v> </v>
      </c>
      <c r="I645" s="26" t="str">
        <f>IF(OR(E645="",E645="!!!",F645="NEW"),"",INDEX(B644:B$2,-1+SUMPRODUCT(MAX(ROW(E644:E$2)*(E645=E644:E$2)))))</f>
        <v> </v>
      </c>
      <c r="J645" s="26" t="str">
        <f>IF(OR(E645="",E645="!!!",F645="NEW"),"",COUNTBLANK(OFFSET(A$1,,,SUMPRODUCT(MAX(ROW(E$2:E645)*(E645=E$2:E645)))))-COUNTBLANK(OFFSET(A$1,,,SUMPRODUCT(MAX(ROW(E$1:E644)*(E2=E$1:E644))))))</f>
        <v> </v>
      </c>
      <c r="K645" s="26" t="str">
        <f>IF(OR(E645="",E645="!!!",F645="NEW"),"",INDEX(J$1:J644,SUMPRODUCT(MAX(ROW(E$1:E644)*(E645=E$1:E644)))))</f>
        <v> </v>
      </c>
      <c r="L645" s="27"/>
    </row>
    <row r="646" spans="1:12">
      <c r="A646" s="20" t="s">
        <v>1018</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1056</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1306</v>
      </c>
      <c r="B648" s="21" t="s">
        <v>1033</v>
      </c>
      <c r="C648" s="21" t="s">
        <v>1013</v>
      </c>
      <c r="D648" s="21" t="s">
        <v>1007</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t="s">
        <v>1014</v>
      </c>
      <c r="E649" s="22">
        <f>IF(D649="?OLD","!!!","")</f>
        <v/>
      </c>
      <c r="F649" s="23" t="str">
        <f>IF(OR(E649="",E649="!!!"),"",IF(NOT(ISNA(VLOOKUP(E649,E$1:E648,1,FALSE()))),"OLD",IF(AND(E649&lt;&gt;"",E649&lt;&gt;"!!!"),"NEW","")))</f>
        <v> </v>
      </c>
      <c r="G649" s="24" t="str">
        <f>IF(OR(E649="",E649="!!!"),"",IF(OR(J649=0,AND(J649=1,K649=1),AND(J649=1,I649="SBJ"),AND(J649=1,I649=0)),"?IN_FOCUS",IF(J649&lt;=2,"?ACTIVATED",IF(J649&lt;&gt;"","?FAMILIAR",IF(F649="NEW",IF(ISNA(VLOOKUP(E649,#REF!,1,FALSE())),"?TYPE_IDENTIFIABLE","?REFERENTIAL"),"_")))))</f>
        <v> </v>
      </c>
      <c r="H649" s="25" t="str">
        <f>IF(J649&lt;&gt;1,"",IF(I649="SBJ","CB","?"))</f>
        <v> </v>
      </c>
      <c r="I649" s="26" t="str">
        <f>IF(OR(E649="",E649="!!!",F649="NEW"),"",INDEX(B648:B$2,-1+SUMPRODUCT(MAX(ROW(E648:E$2)*(E649=E648:E$2)))))</f>
        <v> </v>
      </c>
      <c r="J649" s="26" t="str">
        <f>IF(OR(E649="",E649="!!!",F649="NEW"),"",COUNTBLANK(OFFSET(A$1,,,SUMPRODUCT(MAX(ROW(E$2:E649)*(E649=E$2:E649)))))-COUNTBLANK(OFFSET(A$1,,,SUMPRODUCT(MAX(ROW(E$1:E648)*(E2=E$1:E648))))))</f>
        <v> </v>
      </c>
      <c r="K649" s="26" t="str">
        <f>IF(OR(E649="",E649="!!!",F649="NEW"),"",INDEX(J$1:J648,SUMPRODUCT(MAX(ROW(E$1:E648)*(E649=E$1:E648)))))</f>
        <v> </v>
      </c>
      <c r="L649" s="27"/>
    </row>
    <row r="650" spans="1:12">
      <c r="A650" s="20" t="s">
        <v>1243</v>
      </c>
      <c r="B650" s="21" t="s">
        <v>1035</v>
      </c>
      <c r="C650" s="21" t="s">
        <v>1048</v>
      </c>
      <c r="E650" s="22">
        <f>IF(D650="?OLD","!!!","")</f>
        <v/>
      </c>
      <c r="F650" s="23" t="str">
        <f>IF(OR(E650="",E650="!!!"),"",IF(NOT(ISNA(VLOOKUP(E650,E$1:E649,1,FALSE()))),"OLD",IF(AND(E650&lt;&gt;"",E650&lt;&gt;"!!!"),"NEW","")))</f>
        <v> </v>
      </c>
      <c r="G650" s="24" t="str">
        <f>IF(OR(E650="",E650="!!!"),"",IF(OR(J650=0,AND(J650=1,K650=1),AND(J650=1,I650="SBJ"),AND(J650=1,I650=0)),"?IN_FOCUS",IF(J650&lt;=2,"?ACTIVATED",IF(J650&lt;&gt;"","?FAMILIAR",IF(F650="NEW",IF(ISNA(VLOOKUP(E650,#REF!,1,FALSE())),"?TYPE_IDENTIFIABLE","?REFERENTIAL"),"_")))))</f>
        <v> </v>
      </c>
      <c r="H650" s="25" t="str">
        <f>IF(J650&lt;&gt;1,"",IF(I650="SBJ","CB","?"))</f>
        <v> </v>
      </c>
      <c r="I650" s="26" t="str">
        <f>IF(OR(E650="",E650="!!!",F650="NEW"),"",INDEX(B649:B$2,-1+SUMPRODUCT(MAX(ROW(E649:E$2)*(E650=E649:E$2)))))</f>
        <v> </v>
      </c>
      <c r="J650" s="26" t="str">
        <f>IF(OR(E650="",E650="!!!",F650="NEW"),"",COUNTBLANK(OFFSET(A$1,,,SUMPRODUCT(MAX(ROW(E$2:E650)*(E650=E$2:E650)))))-COUNTBLANK(OFFSET(A$1,,,SUMPRODUCT(MAX(ROW(E$1:E649)*(E2=E$1:E649))))))</f>
        <v> </v>
      </c>
      <c r="K650" s="26" t="str">
        <f>IF(OR(E650="",E650="!!!",F650="NEW"),"",INDEX(J$1:J649,SUMPRODUCT(MAX(ROW(E$1:E649)*(E650=E$1:E649)))))</f>
        <v> </v>
      </c>
      <c r="L650" s="27"/>
    </row>
    <row r="651" spans="1:12">
      <c r="A651" s="20" t="s">
        <v>1132</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1138</v>
      </c>
      <c r="B652" s="21" t="s">
        <v>1119</v>
      </c>
      <c r="C652" s="21" t="s">
        <v>1082</v>
      </c>
      <c r="D652" s="21" t="s">
        <v>1007</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1307</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1018</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1308</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102</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1309</v>
      </c>
      <c r="B657" s="21" t="s">
        <v>1029</v>
      </c>
      <c r="C657" s="21" t="s">
        <v>1017</v>
      </c>
      <c r="D657" s="21" t="s">
        <v>1007</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t="s">
        <v>1014</v>
      </c>
      <c r="E658" s="22">
        <f>IF(D658="?OLD","!!!","")</f>
        <v/>
      </c>
      <c r="F658" s="23" t="str">
        <f>IF(OR(E658="",E658="!!!"),"",IF(NOT(ISNA(VLOOKUP(E658,E$1:E657,1,FALSE()))),"OLD",IF(AND(E658&lt;&gt;"",E658&lt;&gt;"!!!"),"NEW","")))</f>
        <v> </v>
      </c>
      <c r="G658" s="24" t="str">
        <f>IF(OR(E658="",E658="!!!"),"",IF(OR(J658=0,AND(J658=1,K658=1),AND(J658=1,I658="SBJ"),AND(J658=1,I658=0)),"?IN_FOCUS",IF(J658&lt;=2,"?ACTIVATED",IF(J658&lt;&gt;"","?FAMILIAR",IF(F658="NEW",IF(ISNA(VLOOKUP(E658,#REF!,1,FALSE())),"?TYPE_IDENTIFIABLE","?REFERENTIAL"),"_")))))</f>
        <v> </v>
      </c>
      <c r="H658" s="25" t="str">
        <f>IF(J658&lt;&gt;1,"",IF(I658="SBJ","CB","?"))</f>
        <v> </v>
      </c>
      <c r="I658" s="26" t="str">
        <f>IF(OR(E658="",E658="!!!",F658="NEW"),"",INDEX(B657:B$2,-1+SUMPRODUCT(MAX(ROW(E657:E$2)*(E658=E657:E$2)))))</f>
        <v> </v>
      </c>
      <c r="J658" s="26" t="str">
        <f>IF(OR(E658="",E658="!!!",F658="NEW"),"",COUNTBLANK(OFFSET(A$1,,,SUMPRODUCT(MAX(ROW(E$2:E658)*(E658=E$2:E658)))))-COUNTBLANK(OFFSET(A$1,,,SUMPRODUCT(MAX(ROW(E$1:E657)*(E2=E$1:E657))))))</f>
        <v> </v>
      </c>
      <c r="K658" s="26" t="str">
        <f>IF(OR(E658="",E658="!!!",F658="NEW"),"",INDEX(J$1:J657,SUMPRODUCT(MAX(ROW(E$1:E657)*(E658=E$1:E657)))))</f>
        <v> </v>
      </c>
      <c r="L658" s="27"/>
    </row>
    <row r="659" spans="1:12">
      <c r="A659" s="20" t="s">
        <v>1138</v>
      </c>
      <c r="B659" s="21" t="s">
        <v>1120</v>
      </c>
      <c r="C659" s="21" t="s">
        <v>1082</v>
      </c>
      <c r="D659" s="21" t="s">
        <v>1007</v>
      </c>
      <c r="E659" s="22">
        <f>IF(D659="?OLD","!!!","")</f>
        <v/>
      </c>
      <c r="F659" s="23" t="str">
        <f>IF(OR(E659="",E659="!!!"),"",IF(NOT(ISNA(VLOOKUP(E659,E$1:E658,1,FALSE()))),"OLD",IF(AND(E659&lt;&gt;"",E659&lt;&gt;"!!!"),"NEW","")))</f>
        <v> </v>
      </c>
      <c r="G659" s="24" t="str">
        <f>IF(OR(E659="",E659="!!!"),"",IF(OR(J659=0,AND(J659=1,K659=1),AND(J659=1,I659="SBJ"),AND(J659=1,I659=0)),"?IN_FOCUS",IF(J659&lt;=2,"?ACTIVATED",IF(J659&lt;&gt;"","?FAMILIAR",IF(F659="NEW",IF(ISNA(VLOOKUP(E659,#REF!,1,FALSE())),"?TYPE_IDENTIFIABLE","?REFERENTIAL"),"_")))))</f>
        <v> </v>
      </c>
      <c r="H659" s="25" t="str">
        <f>IF(J659&lt;&gt;1,"",IF(I659="SBJ","CB","?"))</f>
        <v> </v>
      </c>
      <c r="I659" s="26" t="str">
        <f>IF(OR(E659="",E659="!!!",F659="NEW"),"",INDEX(B658:B$2,-1+SUMPRODUCT(MAX(ROW(E658:E$2)*(E659=E658:E$2)))))</f>
        <v> </v>
      </c>
      <c r="J659" s="26" t="str">
        <f>IF(OR(E659="",E659="!!!",F659="NEW"),"",COUNTBLANK(OFFSET(A$1,,,SUMPRODUCT(MAX(ROW(E$2:E659)*(E659=E$2:E659)))))-COUNTBLANK(OFFSET(A$1,,,SUMPRODUCT(MAX(ROW(E$1:E658)*(E2=E$1:E658))))))</f>
        <v> </v>
      </c>
      <c r="K659" s="26" t="str">
        <f>IF(OR(E659="",E659="!!!",F659="NEW"),"",INDEX(J$1:J658,SUMPRODUCT(MAX(ROW(E$1:E658)*(E659=E$1:E658)))))</f>
        <v> </v>
      </c>
      <c r="L659" s="27"/>
    </row>
    <row r="660" spans="1:12">
      <c r="A660" s="20" t="s">
        <v>238</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1310</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1311</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1182</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1279</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1243</v>
      </c>
      <c r="B665" s="21" t="s">
        <v>1064</v>
      </c>
      <c r="C665" s="21" t="s">
        <v>1041</v>
      </c>
      <c r="D665" s="21" t="s">
        <v>1007</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56</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102</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1267</v>
      </c>
      <c r="B668" s="21" t="s">
        <v>1130</v>
      </c>
      <c r="C668" s="21" t="s">
        <v>1017</v>
      </c>
      <c r="D668" s="21" t="s">
        <v>1007</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1312</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1313</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1020</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153</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1023</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row>
    <row r="675" spans="1:12">
      <c r="A675" s="20" t="s">
        <v>1314</v>
      </c>
    </row>
    <row r="676" spans="1:12">
      <c r="A676" s="20" t="s">
        <v>1136</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1020</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1315</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1316</v>
      </c>
      <c r="B679" s="21" t="s">
        <v>1050</v>
      </c>
      <c r="C679" s="21" t="s">
        <v>1013</v>
      </c>
      <c r="D679" s="21" t="s">
        <v>1007</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1014</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1020</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1317</v>
      </c>
      <c r="B682" s="21" t="s">
        <v>1022</v>
      </c>
      <c r="C682" s="21" t="s">
        <v>1006</v>
      </c>
      <c r="D682" s="21" t="s">
        <v>1007</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1014</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1015</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1318</v>
      </c>
      <c r="B685" s="21" t="s">
        <v>1033</v>
      </c>
      <c r="C685" s="21" t="s">
        <v>1006</v>
      </c>
      <c r="D685" s="21" t="s">
        <v>1007</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1319</v>
      </c>
      <c r="B686" s="21" t="s">
        <v>1035</v>
      </c>
      <c r="C686" s="21" t="s">
        <v>1006</v>
      </c>
      <c r="D686" s="21" t="s">
        <v>1007</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1320</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1321</v>
      </c>
      <c r="B688" s="21" t="s">
        <v>1085</v>
      </c>
      <c r="C688" s="21" t="s">
        <v>1082</v>
      </c>
      <c r="D688" s="21" t="s">
        <v>1007</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1322</v>
      </c>
      <c r="B689" s="21" t="s">
        <v>1005</v>
      </c>
      <c r="C689" s="21" t="s">
        <v>1013</v>
      </c>
      <c r="D689" s="21" t="s">
        <v>1007</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t="s">
        <v>1014</v>
      </c>
      <c r="E690" s="22">
        <f>IF(D690="?OLD","!!!","")</f>
        <v/>
      </c>
      <c r="F690" s="23" t="str">
        <f>IF(OR(E690="",E690="!!!"),"",IF(NOT(ISNA(VLOOKUP(E690,E$1:E689,1,FALSE()))),"OLD",IF(AND(E690&lt;&gt;"",E690&lt;&gt;"!!!"),"NEW","")))</f>
        <v> </v>
      </c>
      <c r="G690" s="24" t="str">
        <f>IF(OR(E690="",E690="!!!"),"",IF(OR(J690=0,AND(J690=1,K690=1),AND(J690=1,I690="SBJ"),AND(J690=1,I690=0)),"?IN_FOCUS",IF(J690&lt;=2,"?ACTIVATED",IF(J690&lt;&gt;"","?FAMILIAR",IF(F690="NEW",IF(ISNA(VLOOKUP(E690,#REF!,1,FALSE())),"?TYPE_IDENTIFIABLE","?REFERENTIAL"),"_")))))</f>
        <v> </v>
      </c>
      <c r="H690" s="25" t="str">
        <f>IF(J690&lt;&gt;1,"",IF(I690="SBJ","CB","?"))</f>
        <v> </v>
      </c>
      <c r="I690" s="26" t="str">
        <f>IF(OR(E690="",E690="!!!",F690="NEW"),"",INDEX(B689:B$2,-1+SUMPRODUCT(MAX(ROW(E689:E$2)*(E690=E689:E$2)))))</f>
        <v> </v>
      </c>
      <c r="J690" s="26" t="str">
        <f>IF(OR(E690="",E690="!!!",F690="NEW"),"",COUNTBLANK(OFFSET(A$1,,,SUMPRODUCT(MAX(ROW(E$2:E690)*(E690=E$2:E690)))))-COUNTBLANK(OFFSET(A$1,,,SUMPRODUCT(MAX(ROW(E$1:E689)*(E2=E$1:E689))))))</f>
        <v> </v>
      </c>
      <c r="K690" s="26" t="str">
        <f>IF(OR(E690="",E690="!!!",F690="NEW"),"",INDEX(J$1:J689,SUMPRODUCT(MAX(ROW(E$1:E689)*(E690=E$1:E689)))))</f>
        <v> </v>
      </c>
      <c r="L690" s="27"/>
    </row>
    <row r="691" spans="1:12">
      <c r="A691" s="20" t="s">
        <v>1323</v>
      </c>
      <c r="B691" s="21" t="s">
        <v>1022</v>
      </c>
      <c r="C691" s="21" t="s">
        <v>1048</v>
      </c>
      <c r="E691" s="22">
        <f>IF(D691="?OLD","!!!","")</f>
        <v/>
      </c>
      <c r="F691" s="23" t="str">
        <f>IF(OR(E691="",E691="!!!"),"",IF(NOT(ISNA(VLOOKUP(E691,E$1:E690,1,FALSE()))),"OLD",IF(AND(E691&lt;&gt;"",E691&lt;&gt;"!!!"),"NEW","")))</f>
        <v> </v>
      </c>
      <c r="G691" s="24" t="str">
        <f>IF(OR(E691="",E691="!!!"),"",IF(OR(J691=0,AND(J691=1,K691=1),AND(J691=1,I691="SBJ"),AND(J691=1,I691=0)),"?IN_FOCUS",IF(J691&lt;=2,"?ACTIVATED",IF(J691&lt;&gt;"","?FAMILIAR",IF(F691="NEW",IF(ISNA(VLOOKUP(E691,#REF!,1,FALSE())),"?TYPE_IDENTIFIABLE","?REFERENTIAL"),"_")))))</f>
        <v> </v>
      </c>
      <c r="H691" s="25" t="str">
        <f>IF(J691&lt;&gt;1,"",IF(I691="SBJ","CB","?"))</f>
        <v> </v>
      </c>
      <c r="I691" s="26" t="str">
        <f>IF(OR(E691="",E691="!!!",F691="NEW"),"",INDEX(B690:B$2,-1+SUMPRODUCT(MAX(ROW(E690:E$2)*(E691=E690:E$2)))))</f>
        <v> </v>
      </c>
      <c r="J691" s="26" t="str">
        <f>IF(OR(E691="",E691="!!!",F691="NEW"),"",COUNTBLANK(OFFSET(A$1,,,SUMPRODUCT(MAX(ROW(E$2:E691)*(E691=E$2:E691)))))-COUNTBLANK(OFFSET(A$1,,,SUMPRODUCT(MAX(ROW(E$1:E690)*(E2=E$1:E690))))))</f>
        <v> </v>
      </c>
      <c r="K691" s="26" t="str">
        <f>IF(OR(E691="",E691="!!!",F691="NEW"),"",INDEX(J$1:J690,SUMPRODUCT(MAX(ROW(E$1:E690)*(E691=E$1:E690)))))</f>
        <v> </v>
      </c>
      <c r="L691" s="27"/>
    </row>
    <row r="692" spans="1:12">
      <c r="A692" s="20" t="s">
        <v>1036</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1324</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1325</v>
      </c>
      <c r="B694" s="21" t="s">
        <v>1022</v>
      </c>
      <c r="C694" s="21" t="s">
        <v>1111</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1018</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1065</v>
      </c>
      <c r="B696" s="21" t="s">
        <v>1120</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1075</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1326</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1324</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1323</v>
      </c>
      <c r="B700" s="21" t="s">
        <v>1064</v>
      </c>
      <c r="C700" s="21" t="s">
        <v>1111</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1182</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1327</v>
      </c>
      <c r="B702" s="21" t="s">
        <v>1035</v>
      </c>
      <c r="C702" s="21" t="s">
        <v>1048</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1328</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1097</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1329</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102</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t="s">
        <v>1168</v>
      </c>
      <c r="B707" s="21" t="s">
        <v>1066</v>
      </c>
      <c r="C707" s="21" t="s">
        <v>1017</v>
      </c>
      <c r="D707" s="21" t="s">
        <v>1007</v>
      </c>
      <c r="E707" s="22">
        <f>IF(D707="?OLD","!!!","")</f>
        <v/>
      </c>
      <c r="F707" s="23" t="str">
        <f>IF(OR(E707="",E707="!!!"),"",IF(NOT(ISNA(VLOOKUP(E707,E$1:E706,1,FALSE()))),"OLD",IF(AND(E707&lt;&gt;"",E707&lt;&gt;"!!!"),"NEW","")))</f>
        <v> </v>
      </c>
      <c r="G707" s="24" t="str">
        <f>IF(OR(E707="",E707="!!!"),"",IF(OR(J707=0,AND(J707=1,K707=1),AND(J707=1,I707="SBJ"),AND(J707=1,I707=0)),"?IN_FOCUS",IF(J707&lt;=2,"?ACTIVATED",IF(J707&lt;&gt;"","?FAMILIAR",IF(F707="NEW",IF(ISNA(VLOOKUP(E707,#REF!,1,FALSE())),"?TYPE_IDENTIFIABLE","?REFERENTIAL"),"_")))))</f>
        <v> </v>
      </c>
      <c r="H707" s="25" t="str">
        <f>IF(J707&lt;&gt;1,"",IF(I707="SBJ","CB","?"))</f>
        <v> </v>
      </c>
      <c r="I707" s="26" t="str">
        <f>IF(OR(E707="",E707="!!!",F707="NEW"),"",INDEX(B706:B$2,-1+SUMPRODUCT(MAX(ROW(E706:E$2)*(E707=E706:E$2)))))</f>
        <v> </v>
      </c>
      <c r="J707" s="26" t="str">
        <f>IF(OR(E707="",E707="!!!",F707="NEW"),"",COUNTBLANK(OFFSET(A$1,,,SUMPRODUCT(MAX(ROW(E$2:E707)*(E707=E$2:E707)))))-COUNTBLANK(OFFSET(A$1,,,SUMPRODUCT(MAX(ROW(E$1:E706)*(E2=E$1:E706))))))</f>
        <v> </v>
      </c>
      <c r="K707" s="26" t="str">
        <f>IF(OR(E707="",E707="!!!",F707="NEW"),"",INDEX(J$1:J706,SUMPRODUCT(MAX(ROW(E$1:E706)*(E707=E$1:E706)))))</f>
        <v> </v>
      </c>
      <c r="L707" s="27"/>
    </row>
    <row r="708" spans="1:12">
      <c r="A708" s="20" t="s">
        <v>1018</v>
      </c>
      <c r="E708" s="22">
        <f>IF(D708="?OLD","!!!","")</f>
        <v/>
      </c>
      <c r="F708" s="23" t="str">
        <f>IF(OR(E708="",E708="!!!"),"",IF(NOT(ISNA(VLOOKUP(E708,E$1:E707,1,FALSE()))),"OLD",IF(AND(E708&lt;&gt;"",E708&lt;&gt;"!!!"),"NEW","")))</f>
        <v> </v>
      </c>
      <c r="G708" s="24" t="str">
        <f>IF(OR(E708="",E708="!!!"),"",IF(OR(J708=0,AND(J708=1,K708=1),AND(J708=1,I708="SBJ"),AND(J708=1,I708=0)),"?IN_FOCUS",IF(J708&lt;=2,"?ACTIVATED",IF(J708&lt;&gt;"","?FAMILIAR",IF(F708="NEW",IF(ISNA(VLOOKUP(E708,#REF!,1,FALSE())),"?TYPE_IDENTIFIABLE","?REFERENTIAL"),"_")))))</f>
        <v> </v>
      </c>
      <c r="H708" s="25" t="str">
        <f>IF(J708&lt;&gt;1,"",IF(I708="SBJ","CB","?"))</f>
        <v> </v>
      </c>
      <c r="I708" s="26" t="str">
        <f>IF(OR(E708="",E708="!!!",F708="NEW"),"",INDEX(B707:B$2,-1+SUMPRODUCT(MAX(ROW(E707:E$2)*(E708=E707:E$2)))))</f>
        <v> </v>
      </c>
      <c r="J708" s="26" t="str">
        <f>IF(OR(E708="",E708="!!!",F708="NEW"),"",COUNTBLANK(OFFSET(A$1,,,SUMPRODUCT(MAX(ROW(E$2:E708)*(E708=E$2:E708)))))-COUNTBLANK(OFFSET(A$1,,,SUMPRODUCT(MAX(ROW(E$1:E707)*(E2=E$1:E707))))))</f>
        <v> </v>
      </c>
      <c r="K708" s="26" t="str">
        <f>IF(OR(E708="",E708="!!!",F708="NEW"),"",INDEX(J$1:J707,SUMPRODUCT(MAX(ROW(E$1:E707)*(E708=E$1:E707)))))</f>
        <v> </v>
      </c>
      <c r="L708" s="27"/>
    </row>
    <row r="709" spans="1:12">
      <c r="A709" s="20" t="s">
        <v>1330</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1255</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1097</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1209</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1030</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1331</v>
      </c>
      <c r="B714" s="21" t="s">
        <v>1035</v>
      </c>
      <c r="C714" s="21" t="s">
        <v>1013</v>
      </c>
      <c r="D714" s="21" t="s">
        <v>1007</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1182</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102</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1168</v>
      </c>
      <c r="B717" s="21" t="s">
        <v>1130</v>
      </c>
      <c r="C717" s="21" t="s">
        <v>1017</v>
      </c>
      <c r="D717" s="21" t="s">
        <v>1007</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1018</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98</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1056</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1332</v>
      </c>
      <c r="B721" s="21" t="s">
        <v>1134</v>
      </c>
      <c r="C721" s="21" t="s">
        <v>1111</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56</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1056</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1123</v>
      </c>
      <c r="B724" s="21" t="s">
        <v>1067</v>
      </c>
      <c r="C724" s="21" t="s">
        <v>1111</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1127</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1132</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1333</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1334</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102</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1267</v>
      </c>
      <c r="B730" s="21" t="s">
        <v>1253</v>
      </c>
      <c r="C730" s="21" t="s">
        <v>1017</v>
      </c>
      <c r="D730" s="21" t="s">
        <v>1007</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1127</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1335</v>
      </c>
      <c r="B732" s="21" t="s">
        <v>1040</v>
      </c>
      <c r="C732" s="21" t="s">
        <v>1013</v>
      </c>
      <c r="D732" s="21" t="s">
        <v>1007</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1014</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1336</v>
      </c>
      <c r="B734" s="21" t="s">
        <v>1042</v>
      </c>
      <c r="C734" s="21" t="s">
        <v>1048</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1337</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1266</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1338</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1030</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1309</v>
      </c>
      <c r="B739" s="21" t="s">
        <v>1044</v>
      </c>
      <c r="C739" s="21" t="s">
        <v>1013</v>
      </c>
      <c r="D739" s="21" t="s">
        <v>1007</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1020</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1339</v>
      </c>
      <c r="B741" s="21" t="s">
        <v>1215</v>
      </c>
      <c r="C741" s="21" t="s">
        <v>1017</v>
      </c>
      <c r="D741" s="21" t="s">
        <v>1007</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1340</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1023</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row>
    <row r="745" spans="1:12">
      <c r="A745" s="20" t="s">
        <v>1341</v>
      </c>
    </row>
    <row r="746" spans="1:12">
      <c r="A746" s="20" t="s">
        <v>1175</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1018</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1020</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102</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1209</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1182</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t="s">
        <v>1231</v>
      </c>
      <c r="B752" s="21" t="s">
        <v>1022</v>
      </c>
      <c r="C752" s="21" t="s">
        <v>1048</v>
      </c>
      <c r="E752" s="22">
        <f>IF(D752="?OLD","!!!","")</f>
        <v/>
      </c>
      <c r="F752" s="23" t="str">
        <f>IF(OR(E752="",E752="!!!"),"",IF(NOT(ISNA(VLOOKUP(E752,E$1:E751,1,FALSE()))),"OLD",IF(AND(E752&lt;&gt;"",E752&lt;&gt;"!!!"),"NEW","")))</f>
        <v> </v>
      </c>
      <c r="G752" s="24" t="str">
        <f>IF(OR(E752="",E752="!!!"),"",IF(OR(J752=0,AND(J752=1,K752=1),AND(J752=1,I752="SBJ"),AND(J752=1,I752=0)),"?IN_FOCUS",IF(J752&lt;=2,"?ACTIVATED",IF(J752&lt;&gt;"","?FAMILIAR",IF(F752="NEW",IF(ISNA(VLOOKUP(E752,#REF!,1,FALSE())),"?TYPE_IDENTIFIABLE","?REFERENTIAL"),"_")))))</f>
        <v> </v>
      </c>
      <c r="H752" s="25" t="str">
        <f>IF(J752&lt;&gt;1,"",IF(I752="SBJ","CB","?"))</f>
        <v> </v>
      </c>
      <c r="I752" s="26" t="str">
        <f>IF(OR(E752="",E752="!!!",F752="NEW"),"",INDEX(B751:B$2,-1+SUMPRODUCT(MAX(ROW(E751:E$2)*(E752=E751:E$2)))))</f>
        <v> </v>
      </c>
      <c r="J752" s="26" t="str">
        <f>IF(OR(E752="",E752="!!!",F752="NEW"),"",COUNTBLANK(OFFSET(A$1,,,SUMPRODUCT(MAX(ROW(E$2:E752)*(E752=E$2:E752)))))-COUNTBLANK(OFFSET(A$1,,,SUMPRODUCT(MAX(ROW(E$1:E751)*(E2=E$1:E751))))))</f>
        <v> </v>
      </c>
      <c r="K752" s="26" t="str">
        <f>IF(OR(E752="",E752="!!!",F752="NEW"),"",INDEX(J$1:J751,SUMPRODUCT(MAX(ROW(E$1:E751)*(E752=E$1:E751)))))</f>
        <v> </v>
      </c>
      <c r="L752" s="27"/>
    </row>
    <row r="753" spans="1:12">
      <c r="A753" s="20" t="s">
        <v>1018</v>
      </c>
      <c r="E753" s="22">
        <f>IF(D753="?OLD","!!!","")</f>
        <v/>
      </c>
      <c r="F753" s="23" t="str">
        <f>IF(OR(E753="",E753="!!!"),"",IF(NOT(ISNA(VLOOKUP(E753,E$1:E752,1,FALSE()))),"OLD",IF(AND(E753&lt;&gt;"",E753&lt;&gt;"!!!"),"NEW","")))</f>
        <v> </v>
      </c>
      <c r="G753" s="24" t="str">
        <f>IF(OR(E753="",E753="!!!"),"",IF(OR(J753=0,AND(J753=1,K753=1),AND(J753=1,I753="SBJ"),AND(J753=1,I753=0)),"?IN_FOCUS",IF(J753&lt;=2,"?ACTIVATED",IF(J753&lt;&gt;"","?FAMILIAR",IF(F753="NEW",IF(ISNA(VLOOKUP(E753,#REF!,1,FALSE())),"?TYPE_IDENTIFIABLE","?REFERENTIAL"),"_")))))</f>
        <v> </v>
      </c>
      <c r="H753" s="25" t="str">
        <f>IF(J753&lt;&gt;1,"",IF(I753="SBJ","CB","?"))</f>
        <v> </v>
      </c>
      <c r="I753" s="26" t="str">
        <f>IF(OR(E753="",E753="!!!",F753="NEW"),"",INDEX(B752:B$2,-1+SUMPRODUCT(MAX(ROW(E752:E$2)*(E753=E752:E$2)))))</f>
        <v> </v>
      </c>
      <c r="J753" s="26" t="str">
        <f>IF(OR(E753="",E753="!!!",F753="NEW"),"",COUNTBLANK(OFFSET(A$1,,,SUMPRODUCT(MAX(ROW(E$2:E753)*(E753=E$2:E753)))))-COUNTBLANK(OFFSET(A$1,,,SUMPRODUCT(MAX(ROW(E$1:E752)*(E2=E$1:E752))))))</f>
        <v> </v>
      </c>
      <c r="K753" s="26" t="str">
        <f>IF(OR(E753="",E753="!!!",F753="NEW"),"",INDEX(J$1:J752,SUMPRODUCT(MAX(ROW(E$1:E752)*(E753=E$1:E752)))))</f>
        <v> </v>
      </c>
      <c r="L753" s="27"/>
    </row>
    <row r="754" spans="1:12">
      <c r="A754" s="20" t="s">
        <v>1020</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102</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1342</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1295</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1027</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1343</v>
      </c>
      <c r="B759" s="21" t="s">
        <v>1035</v>
      </c>
      <c r="C759" s="21" t="s">
        <v>1059</v>
      </c>
      <c r="D759" s="21" t="s">
        <v>1007</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1243</v>
      </c>
      <c r="B760" s="21" t="s">
        <v>1187</v>
      </c>
      <c r="C760" s="21" t="s">
        <v>1013</v>
      </c>
      <c r="D760" s="21" t="s">
        <v>1007</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t="s">
        <v>1097</v>
      </c>
      <c r="E761" s="22">
        <f>IF(D761="?OLD","!!!","")</f>
        <v/>
      </c>
      <c r="F761" s="23" t="str">
        <f>IF(OR(E761="",E761="!!!"),"",IF(NOT(ISNA(VLOOKUP(E761,E$1:E760,1,FALSE()))),"OLD",IF(AND(E761&lt;&gt;"",E761&lt;&gt;"!!!"),"NEW","")))</f>
        <v> </v>
      </c>
      <c r="G761" s="24" t="str">
        <f>IF(OR(E761="",E761="!!!"),"",IF(OR(J761=0,AND(J761=1,K761=1),AND(J761=1,I761="SBJ"),AND(J761=1,I761=0)),"?IN_FOCUS",IF(J761&lt;=2,"?ACTIVATED",IF(J761&lt;&gt;"","?FAMILIAR",IF(F761="NEW",IF(ISNA(VLOOKUP(E761,#REF!,1,FALSE())),"?TYPE_IDENTIFIABLE","?REFERENTIAL"),"_")))))</f>
        <v> </v>
      </c>
      <c r="H761" s="25" t="str">
        <f>IF(J761&lt;&gt;1,"",IF(I761="SBJ","CB","?"))</f>
        <v> </v>
      </c>
      <c r="I761" s="26" t="str">
        <f>IF(OR(E761="",E761="!!!",F761="NEW"),"",INDEX(B760:B$2,-1+SUMPRODUCT(MAX(ROW(E760:E$2)*(E761=E760:E$2)))))</f>
        <v> </v>
      </c>
      <c r="J761" s="26" t="str">
        <f>IF(OR(E761="",E761="!!!",F761="NEW"),"",COUNTBLANK(OFFSET(A$1,,,SUMPRODUCT(MAX(ROW(E$2:E761)*(E761=E$2:E761)))))-COUNTBLANK(OFFSET(A$1,,,SUMPRODUCT(MAX(ROW(E$1:E760)*(E2=E$1:E760))))))</f>
        <v> </v>
      </c>
      <c r="K761" s="26" t="str">
        <f>IF(OR(E761="",E761="!!!",F761="NEW"),"",INDEX(J$1:J760,SUMPRODUCT(MAX(ROW(E$1:E760)*(E761=E$1:E760)))))</f>
        <v> </v>
      </c>
      <c r="L761" s="27"/>
    </row>
    <row r="762" spans="1:12">
      <c r="A762" s="20" t="s">
        <v>102</v>
      </c>
      <c r="E762" s="22">
        <f>IF(D762="?OLD","!!!","")</f>
        <v/>
      </c>
      <c r="F762" s="23" t="str">
        <f>IF(OR(E762="",E762="!!!"),"",IF(NOT(ISNA(VLOOKUP(E762,E$1:E761,1,FALSE()))),"OLD",IF(AND(E762&lt;&gt;"",E762&lt;&gt;"!!!"),"NEW","")))</f>
        <v> </v>
      </c>
      <c r="G762" s="24" t="str">
        <f>IF(OR(E762="",E762="!!!"),"",IF(OR(J762=0,AND(J762=1,K762=1),AND(J762=1,I762="SBJ"),AND(J762=1,I762=0)),"?IN_FOCUS",IF(J762&lt;=2,"?ACTIVATED",IF(J762&lt;&gt;"","?FAMILIAR",IF(F762="NEW",IF(ISNA(VLOOKUP(E762,#REF!,1,FALSE())),"?TYPE_IDENTIFIABLE","?REFERENTIAL"),"_")))))</f>
        <v> </v>
      </c>
      <c r="H762" s="25" t="str">
        <f>IF(J762&lt;&gt;1,"",IF(I762="SBJ","CB","?"))</f>
        <v> </v>
      </c>
      <c r="I762" s="26" t="str">
        <f>IF(OR(E762="",E762="!!!",F762="NEW"),"",INDEX(B761:B$2,-1+SUMPRODUCT(MAX(ROW(E761:E$2)*(E762=E761:E$2)))))</f>
        <v> </v>
      </c>
      <c r="J762" s="26" t="str">
        <f>IF(OR(E762="",E762="!!!",F762="NEW"),"",COUNTBLANK(OFFSET(A$1,,,SUMPRODUCT(MAX(ROW(E$2:E762)*(E762=E$2:E762)))))-COUNTBLANK(OFFSET(A$1,,,SUMPRODUCT(MAX(ROW(E$1:E761)*(E2=E$1:E761))))))</f>
        <v> </v>
      </c>
      <c r="K762" s="26" t="str">
        <f>IF(OR(E762="",E762="!!!",F762="NEW"),"",INDEX(J$1:J761,SUMPRODUCT(MAX(ROW(E$1:E761)*(E762=E$1:E761)))))</f>
        <v> </v>
      </c>
      <c r="L762" s="27"/>
    </row>
    <row r="763" spans="1:12">
      <c r="A763" s="20" t="s">
        <v>1344</v>
      </c>
      <c r="B763" s="21" t="s">
        <v>1035</v>
      </c>
      <c r="C763" s="21" t="s">
        <v>1017</v>
      </c>
      <c r="D763" s="21" t="s">
        <v>1007</v>
      </c>
      <c r="E763" s="22">
        <f>IF(D763="?OLD","!!!","")</f>
        <v/>
      </c>
      <c r="F763" s="23" t="str">
        <f>IF(OR(E763="",E763="!!!"),"",IF(NOT(ISNA(VLOOKUP(E763,E$1:E762,1,FALSE()))),"OLD",IF(AND(E763&lt;&gt;"",E763&lt;&gt;"!!!"),"NEW","")))</f>
        <v> </v>
      </c>
      <c r="G763" s="24" t="str">
        <f>IF(OR(E763="",E763="!!!"),"",IF(OR(J763=0,AND(J763=1,K763=1),AND(J763=1,I763="SBJ"),AND(J763=1,I763=0)),"?IN_FOCUS",IF(J763&lt;=2,"?ACTIVATED",IF(J763&lt;&gt;"","?FAMILIAR",IF(F763="NEW",IF(ISNA(VLOOKUP(E763,#REF!,1,FALSE())),"?TYPE_IDENTIFIABLE","?REFERENTIAL"),"_")))))</f>
        <v> </v>
      </c>
      <c r="H763" s="25" t="str">
        <f>IF(J763&lt;&gt;1,"",IF(I763="SBJ","CB","?"))</f>
        <v> </v>
      </c>
      <c r="I763" s="26" t="str">
        <f>IF(OR(E763="",E763="!!!",F763="NEW"),"",INDEX(B762:B$2,-1+SUMPRODUCT(MAX(ROW(E762:E$2)*(E763=E762:E$2)))))</f>
        <v> </v>
      </c>
      <c r="J763" s="26" t="str">
        <f>IF(OR(E763="",E763="!!!",F763="NEW"),"",COUNTBLANK(OFFSET(A$1,,,SUMPRODUCT(MAX(ROW(E$2:E763)*(E763=E$2:E763)))))-COUNTBLANK(OFFSET(A$1,,,SUMPRODUCT(MAX(ROW(E$1:E762)*(E2=E$1:E762))))))</f>
        <v> </v>
      </c>
      <c r="K763" s="26" t="str">
        <f>IF(OR(E763="",E763="!!!",F763="NEW"),"",INDEX(J$1:J762,SUMPRODUCT(MAX(ROW(E$1:E762)*(E763=E$1:E762)))))</f>
        <v> </v>
      </c>
      <c r="L763" s="27"/>
    </row>
    <row r="764" spans="1:12">
      <c r="A764" s="20" t="s">
        <v>1345</v>
      </c>
      <c r="B764" s="21" t="s">
        <v>1130</v>
      </c>
      <c r="C764" s="21" t="s">
        <v>1006</v>
      </c>
      <c r="D764" s="21" t="s">
        <v>1007</v>
      </c>
      <c r="E764" s="22">
        <f>IF(D764="?OLD","!!!","")</f>
        <v/>
      </c>
      <c r="F764" s="23" t="str">
        <f>IF(OR(E764="",E764="!!!"),"",IF(NOT(ISNA(VLOOKUP(E764,E$1:E763,1,FALSE()))),"OLD",IF(AND(E764&lt;&gt;"",E764&lt;&gt;"!!!"),"NEW","")))</f>
        <v> </v>
      </c>
      <c r="G764" s="24" t="str">
        <f>IF(OR(E764="",E764="!!!"),"",IF(OR(J764=0,AND(J764=1,K764=1),AND(J764=1,I764="SBJ"),AND(J764=1,I764=0)),"?IN_FOCUS",IF(J764&lt;=2,"?ACTIVATED",IF(J764&lt;&gt;"","?FAMILIAR",IF(F764="NEW",IF(ISNA(VLOOKUP(E764,#REF!,1,FALSE())),"?TYPE_IDENTIFIABLE","?REFERENTIAL"),"_")))))</f>
        <v> </v>
      </c>
      <c r="H764" s="25" t="str">
        <f>IF(J764&lt;&gt;1,"",IF(I764="SBJ","CB","?"))</f>
        <v> </v>
      </c>
      <c r="I764" s="26" t="str">
        <f>IF(OR(E764="",E764="!!!",F764="NEW"),"",INDEX(B763:B$2,-1+SUMPRODUCT(MAX(ROW(E763:E$2)*(E764=E763:E$2)))))</f>
        <v> </v>
      </c>
      <c r="J764" s="26" t="str">
        <f>IF(OR(E764="",E764="!!!",F764="NEW"),"",COUNTBLANK(OFFSET(A$1,,,SUMPRODUCT(MAX(ROW(E$2:E764)*(E764=E$2:E764)))))-COUNTBLANK(OFFSET(A$1,,,SUMPRODUCT(MAX(ROW(E$1:E763)*(E2=E$1:E763))))))</f>
        <v> </v>
      </c>
      <c r="K764" s="26" t="str">
        <f>IF(OR(E764="",E764="!!!",F764="NEW"),"",INDEX(J$1:J763,SUMPRODUCT(MAX(ROW(E$1:E763)*(E764=E$1:E763)))))</f>
        <v> </v>
      </c>
      <c r="L764" s="27"/>
    </row>
    <row r="765" spans="1:12">
      <c r="A765" s="20" t="s">
        <v>1018</v>
      </c>
      <c r="E765" s="22">
        <f>IF(D765="?OLD","!!!","")</f>
        <v/>
      </c>
      <c r="F765" s="23" t="str">
        <f>IF(OR(E765="",E765="!!!"),"",IF(NOT(ISNA(VLOOKUP(E765,E$1:E764,1,FALSE()))),"OLD",IF(AND(E765&lt;&gt;"",E765&lt;&gt;"!!!"),"NEW","")))</f>
        <v> </v>
      </c>
      <c r="G765" s="24" t="str">
        <f>IF(OR(E765="",E765="!!!"),"",IF(OR(J765=0,AND(J765=1,K765=1),AND(J765=1,I765="SBJ"),AND(J765=1,I765=0)),"?IN_FOCUS",IF(J765&lt;=2,"?ACTIVATED",IF(J765&lt;&gt;"","?FAMILIAR",IF(F765="NEW",IF(ISNA(VLOOKUP(E765,#REF!,1,FALSE())),"?TYPE_IDENTIFIABLE","?REFERENTIAL"),"_")))))</f>
        <v> </v>
      </c>
      <c r="H765" s="25" t="str">
        <f>IF(J765&lt;&gt;1,"",IF(I765="SBJ","CB","?"))</f>
        <v> </v>
      </c>
      <c r="I765" s="26" t="str">
        <f>IF(OR(E765="",E765="!!!",F765="NEW"),"",INDEX(B764:B$2,-1+SUMPRODUCT(MAX(ROW(E764:E$2)*(E765=E764:E$2)))))</f>
        <v> </v>
      </c>
      <c r="J765" s="26" t="str">
        <f>IF(OR(E765="",E765="!!!",F765="NEW"),"",COUNTBLANK(OFFSET(A$1,,,SUMPRODUCT(MAX(ROW(E$2:E765)*(E765=E$2:E765)))))-COUNTBLANK(OFFSET(A$1,,,SUMPRODUCT(MAX(ROW(E$1:E764)*(E2=E$1:E764))))))</f>
        <v> </v>
      </c>
      <c r="K765" s="26" t="str">
        <f>IF(OR(E765="",E765="!!!",F765="NEW"),"",INDEX(J$1:J764,SUMPRODUCT(MAX(ROW(E$1:E764)*(E765=E$1:E764)))))</f>
        <v> </v>
      </c>
      <c r="L765" s="27"/>
    </row>
    <row r="766" spans="1:12">
      <c r="A766" s="20" t="s">
        <v>1030</v>
      </c>
      <c r="E766" s="22">
        <f>IF(D766="?OLD","!!!","")</f>
        <v/>
      </c>
      <c r="F766" s="23" t="str">
        <f>IF(OR(E766="",E766="!!!"),"",IF(NOT(ISNA(VLOOKUP(E766,E$1:E765,1,FALSE()))),"OLD",IF(AND(E766&lt;&gt;"",E766&lt;&gt;"!!!"),"NEW","")))</f>
        <v> </v>
      </c>
      <c r="G766" s="24" t="str">
        <f>IF(OR(E766="",E766="!!!"),"",IF(OR(J766=0,AND(J766=1,K766=1),AND(J766=1,I766="SBJ"),AND(J766=1,I766=0)),"?IN_FOCUS",IF(J766&lt;=2,"?ACTIVATED",IF(J766&lt;&gt;"","?FAMILIAR",IF(F766="NEW",IF(ISNA(VLOOKUP(E766,#REF!,1,FALSE())),"?TYPE_IDENTIFIABLE","?REFERENTIAL"),"_")))))</f>
        <v> </v>
      </c>
      <c r="H766" s="25" t="str">
        <f>IF(J766&lt;&gt;1,"",IF(I766="SBJ","CB","?"))</f>
        <v> </v>
      </c>
      <c r="I766" s="26" t="str">
        <f>IF(OR(E766="",E766="!!!",F766="NEW"),"",INDEX(B765:B$2,-1+SUMPRODUCT(MAX(ROW(E765:E$2)*(E766=E765:E$2)))))</f>
        <v> </v>
      </c>
      <c r="J766" s="26" t="str">
        <f>IF(OR(E766="",E766="!!!",F766="NEW"),"",COUNTBLANK(OFFSET(A$1,,,SUMPRODUCT(MAX(ROW(E$2:E766)*(E766=E$2:E766)))))-COUNTBLANK(OFFSET(A$1,,,SUMPRODUCT(MAX(ROW(E$1:E765)*(E2=E$1:E765))))))</f>
        <v> </v>
      </c>
      <c r="K766" s="26" t="str">
        <f>IF(OR(E766="",E766="!!!",F766="NEW"),"",INDEX(J$1:J765,SUMPRODUCT(MAX(ROW(E$1:E765)*(E766=E$1:E765)))))</f>
        <v> </v>
      </c>
      <c r="L766" s="27"/>
    </row>
    <row r="767" spans="1:12">
      <c r="A767" s="20" t="s">
        <v>1346</v>
      </c>
      <c r="B767" s="21" t="s">
        <v>1035</v>
      </c>
      <c r="C767" s="21" t="s">
        <v>1048</v>
      </c>
      <c r="E767" s="22">
        <f>IF(D767="?OLD","!!!","")</f>
        <v/>
      </c>
      <c r="F767" s="23" t="str">
        <f>IF(OR(E767="",E767="!!!"),"",IF(NOT(ISNA(VLOOKUP(E767,E$1:E766,1,FALSE()))),"OLD",IF(AND(E767&lt;&gt;"",E767&lt;&gt;"!!!"),"NEW","")))</f>
        <v> </v>
      </c>
      <c r="G767" s="24" t="str">
        <f>IF(OR(E767="",E767="!!!"),"",IF(OR(J767=0,AND(J767=1,K767=1),AND(J767=1,I767="SBJ"),AND(J767=1,I767=0)),"?IN_FOCUS",IF(J767&lt;=2,"?ACTIVATED",IF(J767&lt;&gt;"","?FAMILIAR",IF(F767="NEW",IF(ISNA(VLOOKUP(E767,#REF!,1,FALSE())),"?TYPE_IDENTIFIABLE","?REFERENTIAL"),"_")))))</f>
        <v> </v>
      </c>
      <c r="H767" s="25" t="str">
        <f>IF(J767&lt;&gt;1,"",IF(I767="SBJ","CB","?"))</f>
        <v> </v>
      </c>
      <c r="I767" s="26" t="str">
        <f>IF(OR(E767="",E767="!!!",F767="NEW"),"",INDEX(B766:B$2,-1+SUMPRODUCT(MAX(ROW(E766:E$2)*(E767=E766:E$2)))))</f>
        <v> </v>
      </c>
      <c r="J767" s="26" t="str">
        <f>IF(OR(E767="",E767="!!!",F767="NEW"),"",COUNTBLANK(OFFSET(A$1,,,SUMPRODUCT(MAX(ROW(E$2:E767)*(E767=E$2:E767)))))-COUNTBLANK(OFFSET(A$1,,,SUMPRODUCT(MAX(ROW(E$1:E766)*(E2=E$1:E766))))))</f>
        <v> </v>
      </c>
      <c r="K767" s="26" t="str">
        <f>IF(OR(E767="",E767="!!!",F767="NEW"),"",INDEX(J$1:J766,SUMPRODUCT(MAX(ROW(E$1:E766)*(E767=E$1:E766)))))</f>
        <v> </v>
      </c>
      <c r="L767" s="27"/>
    </row>
    <row r="768" spans="1:12">
      <c r="A768" s="20" t="s">
        <v>1014</v>
      </c>
      <c r="E768" s="22">
        <f>IF(D768="?OLD","!!!","")</f>
        <v/>
      </c>
      <c r="F768" s="23" t="str">
        <f>IF(OR(E768="",E768="!!!"),"",IF(NOT(ISNA(VLOOKUP(E768,E$1:E767,1,FALSE()))),"OLD",IF(AND(E768&lt;&gt;"",E768&lt;&gt;"!!!"),"NEW","")))</f>
        <v> </v>
      </c>
      <c r="G768" s="24" t="str">
        <f>IF(OR(E768="",E768="!!!"),"",IF(OR(J768=0,AND(J768=1,K768=1),AND(J768=1,I768="SBJ"),AND(J768=1,I768=0)),"?IN_FOCUS",IF(J768&lt;=2,"?ACTIVATED",IF(J768&lt;&gt;"","?FAMILIAR",IF(F768="NEW",IF(ISNA(VLOOKUP(E768,#REF!,1,FALSE())),"?TYPE_IDENTIFIABLE","?REFERENTIAL"),"_")))))</f>
        <v> </v>
      </c>
      <c r="H768" s="25" t="str">
        <f>IF(J768&lt;&gt;1,"",IF(I768="SBJ","CB","?"))</f>
        <v> </v>
      </c>
      <c r="I768" s="26" t="str">
        <f>IF(OR(E768="",E768="!!!",F768="NEW"),"",INDEX(B767:B$2,-1+SUMPRODUCT(MAX(ROW(E767:E$2)*(E768=E767:E$2)))))</f>
        <v> </v>
      </c>
      <c r="J768" s="26" t="str">
        <f>IF(OR(E768="",E768="!!!",F768="NEW"),"",COUNTBLANK(OFFSET(A$1,,,SUMPRODUCT(MAX(ROW(E$2:E768)*(E768=E$2:E768)))))-COUNTBLANK(OFFSET(A$1,,,SUMPRODUCT(MAX(ROW(E$1:E767)*(E2=E$1:E767))))))</f>
        <v> </v>
      </c>
      <c r="K768" s="26" t="str">
        <f>IF(OR(E768="",E768="!!!",F768="NEW"),"",INDEX(J$1:J767,SUMPRODUCT(MAX(ROW(E$1:E767)*(E768=E$1:E767)))))</f>
        <v> </v>
      </c>
      <c r="L768" s="27"/>
    </row>
    <row r="769" spans="1:12">
      <c r="A769" s="20" t="s">
        <v>1347</v>
      </c>
      <c r="E769" s="22">
        <f>IF(D769="?OLD","!!!","")</f>
        <v/>
      </c>
      <c r="F769" s="23" t="str">
        <f>IF(OR(E769="",E769="!!!"),"",IF(NOT(ISNA(VLOOKUP(E769,E$1:E768,1,FALSE()))),"OLD",IF(AND(E769&lt;&gt;"",E769&lt;&gt;"!!!"),"NEW","")))</f>
        <v> </v>
      </c>
      <c r="G769" s="24" t="str">
        <f>IF(OR(E769="",E769="!!!"),"",IF(OR(J769=0,AND(J769=1,K769=1),AND(J769=1,I769="SBJ"),AND(J769=1,I769=0)),"?IN_FOCUS",IF(J769&lt;=2,"?ACTIVATED",IF(J769&lt;&gt;"","?FAMILIAR",IF(F769="NEW",IF(ISNA(VLOOKUP(E769,#REF!,1,FALSE())),"?TYPE_IDENTIFIABLE","?REFERENTIAL"),"_")))))</f>
        <v> </v>
      </c>
      <c r="H769" s="25" t="str">
        <f>IF(J769&lt;&gt;1,"",IF(I769="SBJ","CB","?"))</f>
        <v> </v>
      </c>
      <c r="I769" s="26" t="str">
        <f>IF(OR(E769="",E769="!!!",F769="NEW"),"",INDEX(B768:B$2,-1+SUMPRODUCT(MAX(ROW(E768:E$2)*(E769=E768:E$2)))))</f>
        <v> </v>
      </c>
      <c r="J769" s="26" t="str">
        <f>IF(OR(E769="",E769="!!!",F769="NEW"),"",COUNTBLANK(OFFSET(A$1,,,SUMPRODUCT(MAX(ROW(E$2:E769)*(E769=E$2:E769)))))-COUNTBLANK(OFFSET(A$1,,,SUMPRODUCT(MAX(ROW(E$1:E768)*(E2=E$1:E768))))))</f>
        <v> </v>
      </c>
      <c r="K769" s="26" t="str">
        <f>IF(OR(E769="",E769="!!!",F769="NEW"),"",INDEX(J$1:J768,SUMPRODUCT(MAX(ROW(E$1:E768)*(E769=E$1:E768)))))</f>
        <v> </v>
      </c>
      <c r="L769" s="27"/>
    </row>
    <row r="770" spans="1:12">
      <c r="A770" s="20" t="s">
        <v>1030</v>
      </c>
      <c r="E770" s="22">
        <f>IF(D770="?OLD","!!!","")</f>
        <v/>
      </c>
      <c r="F770" s="23" t="str">
        <f>IF(OR(E770="",E770="!!!"),"",IF(NOT(ISNA(VLOOKUP(E770,E$1:E769,1,FALSE()))),"OLD",IF(AND(E770&lt;&gt;"",E770&lt;&gt;"!!!"),"NEW","")))</f>
        <v> </v>
      </c>
      <c r="G770" s="24" t="str">
        <f>IF(OR(E770="",E770="!!!"),"",IF(OR(J770=0,AND(J770=1,K770=1),AND(J770=1,I770="SBJ"),AND(J770=1,I770=0)),"?IN_FOCUS",IF(J770&lt;=2,"?ACTIVATED",IF(J770&lt;&gt;"","?FAMILIAR",IF(F770="NEW",IF(ISNA(VLOOKUP(E770,#REF!,1,FALSE())),"?TYPE_IDENTIFIABLE","?REFERENTIAL"),"_")))))</f>
        <v> </v>
      </c>
      <c r="H770" s="25" t="str">
        <f>IF(J770&lt;&gt;1,"",IF(I770="SBJ","CB","?"))</f>
        <v> </v>
      </c>
      <c r="I770" s="26" t="str">
        <f>IF(OR(E770="",E770="!!!",F770="NEW"),"",INDEX(B769:B$2,-1+SUMPRODUCT(MAX(ROW(E769:E$2)*(E770=E769:E$2)))))</f>
        <v> </v>
      </c>
      <c r="J770" s="26" t="str">
        <f>IF(OR(E770="",E770="!!!",F770="NEW"),"",COUNTBLANK(OFFSET(A$1,,,SUMPRODUCT(MAX(ROW(E$2:E770)*(E770=E$2:E770)))))-COUNTBLANK(OFFSET(A$1,,,SUMPRODUCT(MAX(ROW(E$1:E769)*(E2=E$1:E769))))))</f>
        <v> </v>
      </c>
      <c r="K770" s="26" t="str">
        <f>IF(OR(E770="",E770="!!!",F770="NEW"),"",INDEX(J$1:J769,SUMPRODUCT(MAX(ROW(E$1:E769)*(E770=E$1:E769)))))</f>
        <v> </v>
      </c>
      <c r="L770" s="27"/>
    </row>
    <row r="771" spans="1:12">
      <c r="A771" s="20" t="s">
        <v>1128</v>
      </c>
      <c r="B771" s="21" t="s">
        <v>1187</v>
      </c>
      <c r="C771" s="21" t="s">
        <v>1082</v>
      </c>
      <c r="D771" s="21" t="s">
        <v>1007</v>
      </c>
      <c r="E771" s="22">
        <f>IF(D771="?OLD","!!!","")</f>
        <v/>
      </c>
      <c r="F771" s="23" t="str">
        <f>IF(OR(E771="",E771="!!!"),"",IF(NOT(ISNA(VLOOKUP(E771,E$1:E770,1,FALSE()))),"OLD",IF(AND(E771&lt;&gt;"",E771&lt;&gt;"!!!"),"NEW","")))</f>
        <v> </v>
      </c>
      <c r="G771" s="24" t="str">
        <f>IF(OR(E771="",E771="!!!"),"",IF(OR(J771=0,AND(J771=1,K771=1),AND(J771=1,I771="SBJ"),AND(J771=1,I771=0)),"?IN_FOCUS",IF(J771&lt;=2,"?ACTIVATED",IF(J771&lt;&gt;"","?FAMILIAR",IF(F771="NEW",IF(ISNA(VLOOKUP(E771,#REF!,1,FALSE())),"?TYPE_IDENTIFIABLE","?REFERENTIAL"),"_")))))</f>
        <v> </v>
      </c>
      <c r="H771" s="25" t="str">
        <f>IF(J771&lt;&gt;1,"",IF(I771="SBJ","CB","?"))</f>
        <v> </v>
      </c>
      <c r="I771" s="26" t="str">
        <f>IF(OR(E771="",E771="!!!",F771="NEW"),"",INDEX(B770:B$2,-1+SUMPRODUCT(MAX(ROW(E770:E$2)*(E771=E770:E$2)))))</f>
        <v> </v>
      </c>
      <c r="J771" s="26" t="str">
        <f>IF(OR(E771="",E771="!!!",F771="NEW"),"",COUNTBLANK(OFFSET(A$1,,,SUMPRODUCT(MAX(ROW(E$2:E771)*(E771=E$2:E771)))))-COUNTBLANK(OFFSET(A$1,,,SUMPRODUCT(MAX(ROW(E$1:E770)*(E2=E$1:E770))))))</f>
        <v> </v>
      </c>
      <c r="K771" s="26" t="str">
        <f>IF(OR(E771="",E771="!!!",F771="NEW"),"",INDEX(J$1:J770,SUMPRODUCT(MAX(ROW(E$1:E770)*(E771=E$1:E770)))))</f>
        <v> </v>
      </c>
      <c r="L771" s="27"/>
    </row>
    <row r="772" spans="1:12">
      <c r="A772" s="20" t="s">
        <v>1116</v>
      </c>
      <c r="E772" s="22">
        <f>IF(D772="?OLD","!!!","")</f>
        <v/>
      </c>
      <c r="F772" s="23" t="str">
        <f>IF(OR(E772="",E772="!!!"),"",IF(NOT(ISNA(VLOOKUP(E772,E$1:E771,1,FALSE()))),"OLD",IF(AND(E772&lt;&gt;"",E772&lt;&gt;"!!!"),"NEW","")))</f>
        <v> </v>
      </c>
      <c r="G772" s="24" t="str">
        <f>IF(OR(E772="",E772="!!!"),"",IF(OR(J772=0,AND(J772=1,K772=1),AND(J772=1,I772="SBJ"),AND(J772=1,I772=0)),"?IN_FOCUS",IF(J772&lt;=2,"?ACTIVATED",IF(J772&lt;&gt;"","?FAMILIAR",IF(F772="NEW",IF(ISNA(VLOOKUP(E772,#REF!,1,FALSE())),"?TYPE_IDENTIFIABLE","?REFERENTIAL"),"_")))))</f>
        <v> </v>
      </c>
      <c r="H772" s="25" t="str">
        <f>IF(J772&lt;&gt;1,"",IF(I772="SBJ","CB","?"))</f>
        <v> </v>
      </c>
      <c r="I772" s="26" t="str">
        <f>IF(OR(E772="",E772="!!!",F772="NEW"),"",INDEX(B771:B$2,-1+SUMPRODUCT(MAX(ROW(E771:E$2)*(E772=E771:E$2)))))</f>
        <v> </v>
      </c>
      <c r="J772" s="26" t="str">
        <f>IF(OR(E772="",E772="!!!",F772="NEW"),"",COUNTBLANK(OFFSET(A$1,,,SUMPRODUCT(MAX(ROW(E$2:E772)*(E772=E$2:E772)))))-COUNTBLANK(OFFSET(A$1,,,SUMPRODUCT(MAX(ROW(E$1:E771)*(E2=E$1:E771))))))</f>
        <v> </v>
      </c>
      <c r="K772" s="26" t="str">
        <f>IF(OR(E772="",E772="!!!",F772="NEW"),"",INDEX(J$1:J771,SUMPRODUCT(MAX(ROW(E$1:E771)*(E772=E$1:E771)))))</f>
        <v> </v>
      </c>
      <c r="L772" s="27"/>
    </row>
    <row r="773" spans="1:12">
      <c r="A773" s="20" t="s">
        <v>1097</v>
      </c>
      <c r="E773" s="22">
        <f>IF(D773="?OLD","!!!","")</f>
        <v/>
      </c>
      <c r="F773" s="23" t="str">
        <f>IF(OR(E773="",E773="!!!"),"",IF(NOT(ISNA(VLOOKUP(E773,E$1:E772,1,FALSE()))),"OLD",IF(AND(E773&lt;&gt;"",E773&lt;&gt;"!!!"),"NEW","")))</f>
        <v> </v>
      </c>
      <c r="G773" s="24" t="str">
        <f>IF(OR(E773="",E773="!!!"),"",IF(OR(J773=0,AND(J773=1,K773=1),AND(J773=1,I773="SBJ"),AND(J773=1,I773=0)),"?IN_FOCUS",IF(J773&lt;=2,"?ACTIVATED",IF(J773&lt;&gt;"","?FAMILIAR",IF(F773="NEW",IF(ISNA(VLOOKUP(E773,#REF!,1,FALSE())),"?TYPE_IDENTIFIABLE","?REFERENTIAL"),"_")))))</f>
        <v> </v>
      </c>
      <c r="H773" s="25" t="str">
        <f>IF(J773&lt;&gt;1,"",IF(I773="SBJ","CB","?"))</f>
        <v> </v>
      </c>
      <c r="I773" s="26" t="str">
        <f>IF(OR(E773="",E773="!!!",F773="NEW"),"",INDEX(B772:B$2,-1+SUMPRODUCT(MAX(ROW(E772:E$2)*(E773=E772:E$2)))))</f>
        <v> </v>
      </c>
      <c r="J773" s="26" t="str">
        <f>IF(OR(E773="",E773="!!!",F773="NEW"),"",COUNTBLANK(OFFSET(A$1,,,SUMPRODUCT(MAX(ROW(E$2:E773)*(E773=E$2:E773)))))-COUNTBLANK(OFFSET(A$1,,,SUMPRODUCT(MAX(ROW(E$1:E772)*(E2=E$1:E772))))))</f>
        <v> </v>
      </c>
      <c r="K773" s="26" t="str">
        <f>IF(OR(E773="",E773="!!!",F773="NEW"),"",INDEX(J$1:J772,SUMPRODUCT(MAX(ROW(E$1:E772)*(E773=E$1:E772)))))</f>
        <v> </v>
      </c>
      <c r="L773" s="27"/>
    </row>
    <row r="774" spans="1:12">
      <c r="A774" s="20" t="s">
        <v>1348</v>
      </c>
      <c r="E774" s="22">
        <f>IF(D774="?OLD","!!!","")</f>
        <v/>
      </c>
      <c r="F774" s="23" t="str">
        <f>IF(OR(E774="",E774="!!!"),"",IF(NOT(ISNA(VLOOKUP(E774,E$1:E773,1,FALSE()))),"OLD",IF(AND(E774&lt;&gt;"",E774&lt;&gt;"!!!"),"NEW","")))</f>
        <v> </v>
      </c>
      <c r="G774" s="24" t="str">
        <f>IF(OR(E774="",E774="!!!"),"",IF(OR(J774=0,AND(J774=1,K774=1),AND(J774=1,I774="SBJ"),AND(J774=1,I774=0)),"?IN_FOCUS",IF(J774&lt;=2,"?ACTIVATED",IF(J774&lt;&gt;"","?FAMILIAR",IF(F774="NEW",IF(ISNA(VLOOKUP(E774,#REF!,1,FALSE())),"?TYPE_IDENTIFIABLE","?REFERENTIAL"),"_")))))</f>
        <v> </v>
      </c>
      <c r="H774" s="25" t="str">
        <f>IF(J774&lt;&gt;1,"",IF(I774="SBJ","CB","?"))</f>
        <v> </v>
      </c>
      <c r="I774" s="26" t="str">
        <f>IF(OR(E774="",E774="!!!",F774="NEW"),"",INDEX(B773:B$2,-1+SUMPRODUCT(MAX(ROW(E773:E$2)*(E774=E773:E$2)))))</f>
        <v> </v>
      </c>
      <c r="J774" s="26" t="str">
        <f>IF(OR(E774="",E774="!!!",F774="NEW"),"",COUNTBLANK(OFFSET(A$1,,,SUMPRODUCT(MAX(ROW(E$2:E774)*(E774=E$2:E774)))))-COUNTBLANK(OFFSET(A$1,,,SUMPRODUCT(MAX(ROW(E$1:E773)*(E2=E$1:E773))))))</f>
        <v> </v>
      </c>
      <c r="K774" s="26" t="str">
        <f>IF(OR(E774="",E774="!!!",F774="NEW"),"",INDEX(J$1:J773,SUMPRODUCT(MAX(ROW(E$1:E773)*(E774=E$1:E773)))))</f>
        <v> </v>
      </c>
      <c r="L774" s="27"/>
    </row>
    <row r="775" spans="1:12">
      <c r="A775" s="20" t="s">
        <v>1020</v>
      </c>
      <c r="E775" s="22">
        <f>IF(D775="?OLD","!!!","")</f>
        <v/>
      </c>
      <c r="F775" s="23" t="str">
        <f>IF(OR(E775="",E775="!!!"),"",IF(NOT(ISNA(VLOOKUP(E775,E$1:E774,1,FALSE()))),"OLD",IF(AND(E775&lt;&gt;"",E775&lt;&gt;"!!!"),"NEW","")))</f>
        <v> </v>
      </c>
      <c r="G775" s="24" t="str">
        <f>IF(OR(E775="",E775="!!!"),"",IF(OR(J775=0,AND(J775=1,K775=1),AND(J775=1,I775="SBJ"),AND(J775=1,I775=0)),"?IN_FOCUS",IF(J775&lt;=2,"?ACTIVATED",IF(J775&lt;&gt;"","?FAMILIAR",IF(F775="NEW",IF(ISNA(VLOOKUP(E775,#REF!,1,FALSE())),"?TYPE_IDENTIFIABLE","?REFERENTIAL"),"_")))))</f>
        <v> </v>
      </c>
      <c r="H775" s="25" t="str">
        <f>IF(J775&lt;&gt;1,"",IF(I775="SBJ","CB","?"))</f>
        <v> </v>
      </c>
      <c r="I775" s="26" t="str">
        <f>IF(OR(E775="",E775="!!!",F775="NEW"),"",INDEX(B774:B$2,-1+SUMPRODUCT(MAX(ROW(E774:E$2)*(E775=E774:E$2)))))</f>
        <v> </v>
      </c>
      <c r="J775" s="26" t="str">
        <f>IF(OR(E775="",E775="!!!",F775="NEW"),"",COUNTBLANK(OFFSET(A$1,,,SUMPRODUCT(MAX(ROW(E$2:E775)*(E775=E$2:E775)))))-COUNTBLANK(OFFSET(A$1,,,SUMPRODUCT(MAX(ROW(E$1:E774)*(E2=E$1:E774))))))</f>
        <v> </v>
      </c>
      <c r="K775" s="26" t="str">
        <f>IF(OR(E775="",E775="!!!",F775="NEW"),"",INDEX(J$1:J774,SUMPRODUCT(MAX(ROW(E$1:E774)*(E775=E$1:E774)))))</f>
        <v> </v>
      </c>
      <c r="L775" s="27"/>
    </row>
    <row r="776" spans="1:12">
      <c r="A776" s="20" t="s">
        <v>1349</v>
      </c>
      <c r="B776" s="21" t="s">
        <v>1064</v>
      </c>
      <c r="C776" s="21" t="s">
        <v>1017</v>
      </c>
      <c r="D776" s="21" t="s">
        <v>1007</v>
      </c>
      <c r="E776" s="22">
        <f>IF(D776="?OLD","!!!","")</f>
        <v/>
      </c>
      <c r="F776" s="23" t="str">
        <f>IF(OR(E776="",E776="!!!"),"",IF(NOT(ISNA(VLOOKUP(E776,E$1:E775,1,FALSE()))),"OLD",IF(AND(E776&lt;&gt;"",E776&lt;&gt;"!!!"),"NEW","")))</f>
        <v> </v>
      </c>
      <c r="G776" s="24" t="str">
        <f>IF(OR(E776="",E776="!!!"),"",IF(OR(J776=0,AND(J776=1,K776=1),AND(J776=1,I776="SBJ"),AND(J776=1,I776=0)),"?IN_FOCUS",IF(J776&lt;=2,"?ACTIVATED",IF(J776&lt;&gt;"","?FAMILIAR",IF(F776="NEW",IF(ISNA(VLOOKUP(E776,#REF!,1,FALSE())),"?TYPE_IDENTIFIABLE","?REFERENTIAL"),"_")))))</f>
        <v> </v>
      </c>
      <c r="H776" s="25" t="str">
        <f>IF(J776&lt;&gt;1,"",IF(I776="SBJ","CB","?"))</f>
        <v> </v>
      </c>
      <c r="I776" s="26" t="str">
        <f>IF(OR(E776="",E776="!!!",F776="NEW"),"",INDEX(B775:B$2,-1+SUMPRODUCT(MAX(ROW(E775:E$2)*(E776=E775:E$2)))))</f>
        <v> </v>
      </c>
      <c r="J776" s="26" t="str">
        <f>IF(OR(E776="",E776="!!!",F776="NEW"),"",COUNTBLANK(OFFSET(A$1,,,SUMPRODUCT(MAX(ROW(E$2:E776)*(E776=E$2:E776)))))-COUNTBLANK(OFFSET(A$1,,,SUMPRODUCT(MAX(ROW(E$1:E775)*(E2=E$1:E775))))))</f>
        <v> </v>
      </c>
      <c r="K776" s="26" t="str">
        <f>IF(OR(E776="",E776="!!!",F776="NEW"),"",INDEX(J$1:J775,SUMPRODUCT(MAX(ROW(E$1:E775)*(E776=E$1:E775)))))</f>
        <v> </v>
      </c>
      <c r="L776" s="27"/>
    </row>
    <row r="777" spans="1:12">
      <c r="A777" s="20" t="s">
        <v>1014</v>
      </c>
      <c r="E777" s="22">
        <f>IF(D777="?OLD","!!!","")</f>
        <v/>
      </c>
      <c r="F777" s="23" t="str">
        <f>IF(OR(E777="",E777="!!!"),"",IF(NOT(ISNA(VLOOKUP(E777,E$1:E776,1,FALSE()))),"OLD",IF(AND(E777&lt;&gt;"",E777&lt;&gt;"!!!"),"NEW","")))</f>
        <v> </v>
      </c>
      <c r="G777" s="24" t="str">
        <f>IF(OR(E777="",E777="!!!"),"",IF(OR(J777=0,AND(J777=1,K777=1),AND(J777=1,I777="SBJ"),AND(J777=1,I777=0)),"?IN_FOCUS",IF(J777&lt;=2,"?ACTIVATED",IF(J777&lt;&gt;"","?FAMILIAR",IF(F777="NEW",IF(ISNA(VLOOKUP(E777,#REF!,1,FALSE())),"?TYPE_IDENTIFIABLE","?REFERENTIAL"),"_")))))</f>
        <v> </v>
      </c>
      <c r="H777" s="25" t="str">
        <f>IF(J777&lt;&gt;1,"",IF(I777="SBJ","CB","?"))</f>
        <v> </v>
      </c>
      <c r="I777" s="26" t="str">
        <f>IF(OR(E777="",E777="!!!",F777="NEW"),"",INDEX(B776:B$2,-1+SUMPRODUCT(MAX(ROW(E776:E$2)*(E777=E776:E$2)))))</f>
        <v> </v>
      </c>
      <c r="J777" s="26" t="str">
        <f>IF(OR(E777="",E777="!!!",F777="NEW"),"",COUNTBLANK(OFFSET(A$1,,,SUMPRODUCT(MAX(ROW(E$2:E777)*(E777=E$2:E777)))))-COUNTBLANK(OFFSET(A$1,,,SUMPRODUCT(MAX(ROW(E$1:E776)*(E2=E$1:E776))))))</f>
        <v> </v>
      </c>
      <c r="K777" s="26" t="str">
        <f>IF(OR(E777="",E777="!!!",F777="NEW"),"",INDEX(J$1:J776,SUMPRODUCT(MAX(ROW(E$1:E776)*(E777=E$1:E776)))))</f>
        <v> </v>
      </c>
      <c r="L777" s="27"/>
    </row>
    <row r="778" spans="1:12">
      <c r="A778" s="20" t="s">
        <v>1027</v>
      </c>
      <c r="B778" s="21" t="s">
        <v>1066</v>
      </c>
      <c r="C778" s="21" t="s">
        <v>1073</v>
      </c>
      <c r="D778" s="21" t="s">
        <v>1007</v>
      </c>
      <c r="E778" s="22">
        <f>IF(D778="?OLD","!!!","")</f>
        <v/>
      </c>
      <c r="F778" s="23" t="str">
        <f>IF(OR(E778="",E778="!!!"),"",IF(NOT(ISNA(VLOOKUP(E778,E$1:E777,1,FALSE()))),"OLD",IF(AND(E778&lt;&gt;"",E778&lt;&gt;"!!!"),"NEW","")))</f>
        <v> </v>
      </c>
      <c r="G778" s="24" t="str">
        <f>IF(OR(E778="",E778="!!!"),"",IF(OR(J778=0,AND(J778=1,K778=1),AND(J778=1,I778="SBJ"),AND(J778=1,I778=0)),"?IN_FOCUS",IF(J778&lt;=2,"?ACTIVATED",IF(J778&lt;&gt;"","?FAMILIAR",IF(F778="NEW",IF(ISNA(VLOOKUP(E778,#REF!,1,FALSE())),"?TYPE_IDENTIFIABLE","?REFERENTIAL"),"_")))))</f>
        <v> </v>
      </c>
      <c r="H778" s="25" t="str">
        <f>IF(J778&lt;&gt;1,"",IF(I778="SBJ","CB","?"))</f>
        <v> </v>
      </c>
      <c r="I778" s="26" t="str">
        <f>IF(OR(E778="",E778="!!!",F778="NEW"),"",INDEX(B777:B$2,-1+SUMPRODUCT(MAX(ROW(E777:E$2)*(E778=E777:E$2)))))</f>
        <v> </v>
      </c>
      <c r="J778" s="26" t="str">
        <f>IF(OR(E778="",E778="!!!",F778="NEW"),"",COUNTBLANK(OFFSET(A$1,,,SUMPRODUCT(MAX(ROW(E$2:E778)*(E778=E$2:E778)))))-COUNTBLANK(OFFSET(A$1,,,SUMPRODUCT(MAX(ROW(E$1:E777)*(E2=E$1:E777))))))</f>
        <v> </v>
      </c>
      <c r="K778" s="26" t="str">
        <f>IF(OR(E778="",E778="!!!",F778="NEW"),"",INDEX(J$1:J777,SUMPRODUCT(MAX(ROW(E$1:E777)*(E778=E$1:E777)))))</f>
        <v> </v>
      </c>
      <c r="L778" s="27"/>
    </row>
    <row r="779" spans="1:12">
      <c r="A779" s="20" t="s">
        <v>1350</v>
      </c>
      <c r="E779" s="22">
        <f>IF(D779="?OLD","!!!","")</f>
        <v/>
      </c>
      <c r="F779" s="23" t="str">
        <f>IF(OR(E779="",E779="!!!"),"",IF(NOT(ISNA(VLOOKUP(E779,E$1:E778,1,FALSE()))),"OLD",IF(AND(E779&lt;&gt;"",E779&lt;&gt;"!!!"),"NEW","")))</f>
        <v> </v>
      </c>
      <c r="G779" s="24" t="str">
        <f>IF(OR(E779="",E779="!!!"),"",IF(OR(J779=0,AND(J779=1,K779=1),AND(J779=1,I779="SBJ"),AND(J779=1,I779=0)),"?IN_FOCUS",IF(J779&lt;=2,"?ACTIVATED",IF(J779&lt;&gt;"","?FAMILIAR",IF(F779="NEW",IF(ISNA(VLOOKUP(E779,#REF!,1,FALSE())),"?TYPE_IDENTIFIABLE","?REFERENTIAL"),"_")))))</f>
        <v> </v>
      </c>
      <c r="H779" s="25" t="str">
        <f>IF(J779&lt;&gt;1,"",IF(I779="SBJ","CB","?"))</f>
        <v> </v>
      </c>
      <c r="I779" s="26" t="str">
        <f>IF(OR(E779="",E779="!!!",F779="NEW"),"",INDEX(B778:B$2,-1+SUMPRODUCT(MAX(ROW(E778:E$2)*(E779=E778:E$2)))))</f>
        <v> </v>
      </c>
      <c r="J779" s="26" t="str">
        <f>IF(OR(E779="",E779="!!!",F779="NEW"),"",COUNTBLANK(OFFSET(A$1,,,SUMPRODUCT(MAX(ROW(E$2:E779)*(E779=E$2:E779)))))-COUNTBLANK(OFFSET(A$1,,,SUMPRODUCT(MAX(ROW(E$1:E778)*(E2=E$1:E778))))))</f>
        <v> </v>
      </c>
      <c r="K779" s="26" t="str">
        <f>IF(OR(E779="",E779="!!!",F779="NEW"),"",INDEX(J$1:J778,SUMPRODUCT(MAX(ROW(E$1:E778)*(E779=E$1:E778)))))</f>
        <v> </v>
      </c>
      <c r="L779" s="27"/>
    </row>
    <row r="780" spans="1:12">
      <c r="A780" s="20" t="s">
        <v>1018</v>
      </c>
      <c r="E780" s="22">
        <f>IF(D780="?OLD","!!!","")</f>
        <v/>
      </c>
      <c r="F780" s="23" t="str">
        <f>IF(OR(E780="",E780="!!!"),"",IF(NOT(ISNA(VLOOKUP(E780,E$1:E779,1,FALSE()))),"OLD",IF(AND(E780&lt;&gt;"",E780&lt;&gt;"!!!"),"NEW","")))</f>
        <v> </v>
      </c>
      <c r="G780" s="24" t="str">
        <f>IF(OR(E780="",E780="!!!"),"",IF(OR(J780=0,AND(J780=1,K780=1),AND(J780=1,I780="SBJ"),AND(J780=1,I780=0)),"?IN_FOCUS",IF(J780&lt;=2,"?ACTIVATED",IF(J780&lt;&gt;"","?FAMILIAR",IF(F780="NEW",IF(ISNA(VLOOKUP(E780,#REF!,1,FALSE())),"?TYPE_IDENTIFIABLE","?REFERENTIAL"),"_")))))</f>
        <v> </v>
      </c>
      <c r="H780" s="25" t="str">
        <f>IF(J780&lt;&gt;1,"",IF(I780="SBJ","CB","?"))</f>
        <v> </v>
      </c>
      <c r="I780" s="26" t="str">
        <f>IF(OR(E780="",E780="!!!",F780="NEW"),"",INDEX(B779:B$2,-1+SUMPRODUCT(MAX(ROW(E779:E$2)*(E780=E779:E$2)))))</f>
        <v> </v>
      </c>
      <c r="J780" s="26" t="str">
        <f>IF(OR(E780="",E780="!!!",F780="NEW"),"",COUNTBLANK(OFFSET(A$1,,,SUMPRODUCT(MAX(ROW(E$2:E780)*(E780=E$2:E780)))))-COUNTBLANK(OFFSET(A$1,,,SUMPRODUCT(MAX(ROW(E$1:E779)*(E2=E$1:E779))))))</f>
        <v> </v>
      </c>
      <c r="K780" s="26" t="str">
        <f>IF(OR(E780="",E780="!!!",F780="NEW"),"",INDEX(J$1:J779,SUMPRODUCT(MAX(ROW(E$1:E779)*(E780=E$1:E779)))))</f>
        <v> </v>
      </c>
      <c r="L780" s="27"/>
    </row>
    <row r="781" spans="1:12">
      <c r="A781" s="20" t="s">
        <v>1351</v>
      </c>
      <c r="E781" s="22">
        <f>IF(D781="?OLD","!!!","")</f>
        <v/>
      </c>
      <c r="F781" s="23" t="str">
        <f>IF(OR(E781="",E781="!!!"),"",IF(NOT(ISNA(VLOOKUP(E781,E$1:E780,1,FALSE()))),"OLD",IF(AND(E781&lt;&gt;"",E781&lt;&gt;"!!!"),"NEW","")))</f>
        <v> </v>
      </c>
      <c r="G781" s="24" t="str">
        <f>IF(OR(E781="",E781="!!!"),"",IF(OR(J781=0,AND(J781=1,K781=1),AND(J781=1,I781="SBJ"),AND(J781=1,I781=0)),"?IN_FOCUS",IF(J781&lt;=2,"?ACTIVATED",IF(J781&lt;&gt;"","?FAMILIAR",IF(F781="NEW",IF(ISNA(VLOOKUP(E781,#REF!,1,FALSE())),"?TYPE_IDENTIFIABLE","?REFERENTIAL"),"_")))))</f>
        <v> </v>
      </c>
      <c r="H781" s="25" t="str">
        <f>IF(J781&lt;&gt;1,"",IF(I781="SBJ","CB","?"))</f>
        <v> </v>
      </c>
      <c r="I781" s="26" t="str">
        <f>IF(OR(E781="",E781="!!!",F781="NEW"),"",INDEX(B780:B$2,-1+SUMPRODUCT(MAX(ROW(E780:E$2)*(E781=E780:E$2)))))</f>
        <v> </v>
      </c>
      <c r="J781" s="26" t="str">
        <f>IF(OR(E781="",E781="!!!",F781="NEW"),"",COUNTBLANK(OFFSET(A$1,,,SUMPRODUCT(MAX(ROW(E$2:E781)*(E781=E$2:E781)))))-COUNTBLANK(OFFSET(A$1,,,SUMPRODUCT(MAX(ROW(E$1:E780)*(E2=E$1:E780))))))</f>
        <v> </v>
      </c>
      <c r="K781" s="26" t="str">
        <f>IF(OR(E781="",E781="!!!",F781="NEW"),"",INDEX(J$1:J780,SUMPRODUCT(MAX(ROW(E$1:E780)*(E781=E$1:E780)))))</f>
        <v> </v>
      </c>
      <c r="L781" s="27"/>
    </row>
    <row r="782" spans="1:12">
      <c r="A782" s="20" t="s">
        <v>1056</v>
      </c>
      <c r="E782" s="22">
        <f>IF(D782="?OLD","!!!","")</f>
        <v/>
      </c>
      <c r="F782" s="23" t="str">
        <f>IF(OR(E782="",E782="!!!"),"",IF(NOT(ISNA(VLOOKUP(E782,E$1:E781,1,FALSE()))),"OLD",IF(AND(E782&lt;&gt;"",E782&lt;&gt;"!!!"),"NEW","")))</f>
        <v> </v>
      </c>
      <c r="G782" s="24" t="str">
        <f>IF(OR(E782="",E782="!!!"),"",IF(OR(J782=0,AND(J782=1,K782=1),AND(J782=1,I782="SBJ"),AND(J782=1,I782=0)),"?IN_FOCUS",IF(J782&lt;=2,"?ACTIVATED",IF(J782&lt;&gt;"","?FAMILIAR",IF(F782="NEW",IF(ISNA(VLOOKUP(E782,#REF!,1,FALSE())),"?TYPE_IDENTIFIABLE","?REFERENTIAL"),"_")))))</f>
        <v> </v>
      </c>
      <c r="H782" s="25" t="str">
        <f>IF(J782&lt;&gt;1,"",IF(I782="SBJ","CB","?"))</f>
        <v> </v>
      </c>
      <c r="I782" s="26" t="str">
        <f>IF(OR(E782="",E782="!!!",F782="NEW"),"",INDEX(B781:B$2,-1+SUMPRODUCT(MAX(ROW(E781:E$2)*(E782=E781:E$2)))))</f>
        <v> </v>
      </c>
      <c r="J782" s="26" t="str">
        <f>IF(OR(E782="",E782="!!!",F782="NEW"),"",COUNTBLANK(OFFSET(A$1,,,SUMPRODUCT(MAX(ROW(E$2:E782)*(E782=E$2:E782)))))-COUNTBLANK(OFFSET(A$1,,,SUMPRODUCT(MAX(ROW(E$1:E781)*(E2=E$1:E781))))))</f>
        <v> </v>
      </c>
      <c r="K782" s="26" t="str">
        <f>IF(OR(E782="",E782="!!!",F782="NEW"),"",INDEX(J$1:J781,SUMPRODUCT(MAX(ROW(E$1:E781)*(E782=E$1:E781)))))</f>
        <v> </v>
      </c>
      <c r="L782" s="27"/>
    </row>
    <row r="783" spans="1:12">
      <c r="A783" s="20" t="s">
        <v>1352</v>
      </c>
      <c r="E783" s="22">
        <f>IF(D783="?OLD","!!!","")</f>
        <v/>
      </c>
      <c r="F783" s="23" t="str">
        <f>IF(OR(E783="",E783="!!!"),"",IF(NOT(ISNA(VLOOKUP(E783,E$1:E782,1,FALSE()))),"OLD",IF(AND(E783&lt;&gt;"",E783&lt;&gt;"!!!"),"NEW","")))</f>
        <v> </v>
      </c>
      <c r="G783" s="24" t="str">
        <f>IF(OR(E783="",E783="!!!"),"",IF(OR(J783=0,AND(J783=1,K783=1),AND(J783=1,I783="SBJ"),AND(J783=1,I783=0)),"?IN_FOCUS",IF(J783&lt;=2,"?ACTIVATED",IF(J783&lt;&gt;"","?FAMILIAR",IF(F783="NEW",IF(ISNA(VLOOKUP(E783,#REF!,1,FALSE())),"?TYPE_IDENTIFIABLE","?REFERENTIAL"),"_")))))</f>
        <v> </v>
      </c>
      <c r="H783" s="25" t="str">
        <f>IF(J783&lt;&gt;1,"",IF(I783="SBJ","CB","?"))</f>
        <v> </v>
      </c>
      <c r="I783" s="26" t="str">
        <f>IF(OR(E783="",E783="!!!",F783="NEW"),"",INDEX(B782:B$2,-1+SUMPRODUCT(MAX(ROW(E782:E$2)*(E783=E782:E$2)))))</f>
        <v> </v>
      </c>
      <c r="J783" s="26" t="str">
        <f>IF(OR(E783="",E783="!!!",F783="NEW"),"",COUNTBLANK(OFFSET(A$1,,,SUMPRODUCT(MAX(ROW(E$2:E783)*(E783=E$2:E783)))))-COUNTBLANK(OFFSET(A$1,,,SUMPRODUCT(MAX(ROW(E$1:E782)*(E2=E$1:E782))))))</f>
        <v> </v>
      </c>
      <c r="K783" s="26" t="str">
        <f>IF(OR(E783="",E783="!!!",F783="NEW"),"",INDEX(J$1:J782,SUMPRODUCT(MAX(ROW(E$1:E782)*(E783=E$1:E782)))))</f>
        <v> </v>
      </c>
      <c r="L783" s="27"/>
    </row>
    <row r="784" spans="1:12">
      <c r="A784" s="20" t="s">
        <v>1123</v>
      </c>
      <c r="B784" s="21" t="s">
        <v>1085</v>
      </c>
      <c r="C784" s="21" t="s">
        <v>1013</v>
      </c>
      <c r="D784" s="21" t="s">
        <v>1007</v>
      </c>
      <c r="E784" s="22">
        <f>IF(D784="?OLD","!!!","")</f>
        <v/>
      </c>
      <c r="F784" s="23" t="str">
        <f>IF(OR(E784="",E784="!!!"),"",IF(NOT(ISNA(VLOOKUP(E784,E$1:E783,1,FALSE()))),"OLD",IF(AND(E784&lt;&gt;"",E784&lt;&gt;"!!!"),"NEW","")))</f>
        <v> </v>
      </c>
      <c r="G784" s="24" t="str">
        <f>IF(OR(E784="",E784="!!!"),"",IF(OR(J784=0,AND(J784=1,K784=1),AND(J784=1,I784="SBJ"),AND(J784=1,I784=0)),"?IN_FOCUS",IF(J784&lt;=2,"?ACTIVATED",IF(J784&lt;&gt;"","?FAMILIAR",IF(F784="NEW",IF(ISNA(VLOOKUP(E784,#REF!,1,FALSE())),"?TYPE_IDENTIFIABLE","?REFERENTIAL"),"_")))))</f>
        <v> </v>
      </c>
      <c r="H784" s="25" t="str">
        <f>IF(J784&lt;&gt;1,"",IF(I784="SBJ","CB","?"))</f>
        <v> </v>
      </c>
      <c r="I784" s="26" t="str">
        <f>IF(OR(E784="",E784="!!!",F784="NEW"),"",INDEX(B783:B$2,-1+SUMPRODUCT(MAX(ROW(E783:E$2)*(E784=E783:E$2)))))</f>
        <v> </v>
      </c>
      <c r="J784" s="26" t="str">
        <f>IF(OR(E784="",E784="!!!",F784="NEW"),"",COUNTBLANK(OFFSET(A$1,,,SUMPRODUCT(MAX(ROW(E$2:E784)*(E784=E$2:E784)))))-COUNTBLANK(OFFSET(A$1,,,SUMPRODUCT(MAX(ROW(E$1:E783)*(E2=E$1:E783))))))</f>
        <v> </v>
      </c>
      <c r="K784" s="26" t="str">
        <f>IF(OR(E784="",E784="!!!",F784="NEW"),"",INDEX(J$1:J783,SUMPRODUCT(MAX(ROW(E$1:E783)*(E784=E$1:E783)))))</f>
        <v> </v>
      </c>
      <c r="L784" s="27"/>
    </row>
    <row r="785" spans="1:12">
      <c r="A785" s="20" t="s">
        <v>1182</v>
      </c>
      <c r="E785" s="22">
        <f>IF(D785="?OLD","!!!","")</f>
        <v/>
      </c>
      <c r="F785" s="23" t="str">
        <f>IF(OR(E785="",E785="!!!"),"",IF(NOT(ISNA(VLOOKUP(E785,E$1:E784,1,FALSE()))),"OLD",IF(AND(E785&lt;&gt;"",E785&lt;&gt;"!!!"),"NEW","")))</f>
        <v> </v>
      </c>
      <c r="G785" s="24" t="str">
        <f>IF(OR(E785="",E785="!!!"),"",IF(OR(J785=0,AND(J785=1,K785=1),AND(J785=1,I785="SBJ"),AND(J785=1,I785=0)),"?IN_FOCUS",IF(J785&lt;=2,"?ACTIVATED",IF(J785&lt;&gt;"","?FAMILIAR",IF(F785="NEW",IF(ISNA(VLOOKUP(E785,#REF!,1,FALSE())),"?TYPE_IDENTIFIABLE","?REFERENTIAL"),"_")))))</f>
        <v> </v>
      </c>
      <c r="H785" s="25" t="str">
        <f>IF(J785&lt;&gt;1,"",IF(I785="SBJ","CB","?"))</f>
        <v> </v>
      </c>
      <c r="I785" s="26" t="str">
        <f>IF(OR(E785="",E785="!!!",F785="NEW"),"",INDEX(B784:B$2,-1+SUMPRODUCT(MAX(ROW(E784:E$2)*(E785=E784:E$2)))))</f>
        <v> </v>
      </c>
      <c r="J785" s="26" t="str">
        <f>IF(OR(E785="",E785="!!!",F785="NEW"),"",COUNTBLANK(OFFSET(A$1,,,SUMPRODUCT(MAX(ROW(E$2:E785)*(E785=E$2:E785)))))-COUNTBLANK(OFFSET(A$1,,,SUMPRODUCT(MAX(ROW(E$1:E784)*(E2=E$1:E784))))))</f>
        <v> </v>
      </c>
      <c r="K785" s="26" t="str">
        <f>IF(OR(E785="",E785="!!!",F785="NEW"),"",INDEX(J$1:J784,SUMPRODUCT(MAX(ROW(E$1:E784)*(E785=E$1:E784)))))</f>
        <v> </v>
      </c>
      <c r="L785" s="27"/>
    </row>
    <row r="786" spans="1:12">
      <c r="A786" s="20" t="s">
        <v>1056</v>
      </c>
      <c r="E786" s="22">
        <f>IF(D786="?OLD","!!!","")</f>
        <v/>
      </c>
      <c r="F786" s="23" t="str">
        <f>IF(OR(E786="",E786="!!!"),"",IF(NOT(ISNA(VLOOKUP(E786,E$1:E785,1,FALSE()))),"OLD",IF(AND(E786&lt;&gt;"",E786&lt;&gt;"!!!"),"NEW","")))</f>
        <v> </v>
      </c>
      <c r="G786" s="24" t="str">
        <f>IF(OR(E786="",E786="!!!"),"",IF(OR(J786=0,AND(J786=1,K786=1),AND(J786=1,I786="SBJ"),AND(J786=1,I786=0)),"?IN_FOCUS",IF(J786&lt;=2,"?ACTIVATED",IF(J786&lt;&gt;"","?FAMILIAR",IF(F786="NEW",IF(ISNA(VLOOKUP(E786,#REF!,1,FALSE())),"?TYPE_IDENTIFIABLE","?REFERENTIAL"),"_")))))</f>
        <v> </v>
      </c>
      <c r="H786" s="25" t="str">
        <f>IF(J786&lt;&gt;1,"",IF(I786="SBJ","CB","?"))</f>
        <v> </v>
      </c>
      <c r="I786" s="26" t="str">
        <f>IF(OR(E786="",E786="!!!",F786="NEW"),"",INDEX(B785:B$2,-1+SUMPRODUCT(MAX(ROW(E785:E$2)*(E786=E785:E$2)))))</f>
        <v> </v>
      </c>
      <c r="J786" s="26" t="str">
        <f>IF(OR(E786="",E786="!!!",F786="NEW"),"",COUNTBLANK(OFFSET(A$1,,,SUMPRODUCT(MAX(ROW(E$2:E786)*(E786=E$2:E786)))))-COUNTBLANK(OFFSET(A$1,,,SUMPRODUCT(MAX(ROW(E$1:E785)*(E2=E$1:E785))))))</f>
        <v> </v>
      </c>
      <c r="K786" s="26" t="str">
        <f>IF(OR(E786="",E786="!!!",F786="NEW"),"",INDEX(J$1:J785,SUMPRODUCT(MAX(ROW(E$1:E785)*(E786=E$1:E785)))))</f>
        <v> </v>
      </c>
      <c r="L786" s="27"/>
    </row>
    <row r="787" spans="1:12">
      <c r="A787" s="20" t="s">
        <v>1353</v>
      </c>
      <c r="E787" s="22">
        <f>IF(D787="?OLD","!!!","")</f>
        <v/>
      </c>
      <c r="F787" s="23" t="str">
        <f>IF(OR(E787="",E787="!!!"),"",IF(NOT(ISNA(VLOOKUP(E787,E$1:E786,1,FALSE()))),"OLD",IF(AND(E787&lt;&gt;"",E787&lt;&gt;"!!!"),"NEW","")))</f>
        <v> </v>
      </c>
      <c r="G787" s="24" t="str">
        <f>IF(OR(E787="",E787="!!!"),"",IF(OR(J787=0,AND(J787=1,K787=1),AND(J787=1,I787="SBJ"),AND(J787=1,I787=0)),"?IN_FOCUS",IF(J787&lt;=2,"?ACTIVATED",IF(J787&lt;&gt;"","?FAMILIAR",IF(F787="NEW",IF(ISNA(VLOOKUP(E787,#REF!,1,FALSE())),"?TYPE_IDENTIFIABLE","?REFERENTIAL"),"_")))))</f>
        <v> </v>
      </c>
      <c r="H787" s="25" t="str">
        <f>IF(J787&lt;&gt;1,"",IF(I787="SBJ","CB","?"))</f>
        <v> </v>
      </c>
      <c r="I787" s="26" t="str">
        <f>IF(OR(E787="",E787="!!!",F787="NEW"),"",INDEX(B786:B$2,-1+SUMPRODUCT(MAX(ROW(E786:E$2)*(E787=E786:E$2)))))</f>
        <v> </v>
      </c>
      <c r="J787" s="26" t="str">
        <f>IF(OR(E787="",E787="!!!",F787="NEW"),"",COUNTBLANK(OFFSET(A$1,,,SUMPRODUCT(MAX(ROW(E$2:E787)*(E787=E$2:E787)))))-COUNTBLANK(OFFSET(A$1,,,SUMPRODUCT(MAX(ROW(E$1:E786)*(E2=E$1:E786))))))</f>
        <v> </v>
      </c>
      <c r="K787" s="26" t="str">
        <f>IF(OR(E787="",E787="!!!",F787="NEW"),"",INDEX(J$1:J786,SUMPRODUCT(MAX(ROW(E$1:E786)*(E787=E$1:E786)))))</f>
        <v> </v>
      </c>
      <c r="L787" s="27"/>
    </row>
    <row r="788" spans="1:12">
      <c r="A788" s="20" t="s">
        <v>1354</v>
      </c>
      <c r="B788" s="21" t="s">
        <v>1022</v>
      </c>
      <c r="C788" s="21" t="s">
        <v>1013</v>
      </c>
      <c r="D788" s="21" t="s">
        <v>1007</v>
      </c>
      <c r="E788" s="22">
        <f>IF(D788="?OLD","!!!","")</f>
        <v/>
      </c>
      <c r="F788" s="23" t="str">
        <f>IF(OR(E788="",E788="!!!"),"",IF(NOT(ISNA(VLOOKUP(E788,E$1:E787,1,FALSE()))),"OLD",IF(AND(E788&lt;&gt;"",E788&lt;&gt;"!!!"),"NEW","")))</f>
        <v> </v>
      </c>
      <c r="G788" s="24" t="str">
        <f>IF(OR(E788="",E788="!!!"),"",IF(OR(J788=0,AND(J788=1,K788=1),AND(J788=1,I788="SBJ"),AND(J788=1,I788=0)),"?IN_FOCUS",IF(J788&lt;=2,"?ACTIVATED",IF(J788&lt;&gt;"","?FAMILIAR",IF(F788="NEW",IF(ISNA(VLOOKUP(E788,#REF!,1,FALSE())),"?TYPE_IDENTIFIABLE","?REFERENTIAL"),"_")))))</f>
        <v> </v>
      </c>
      <c r="H788" s="25" t="str">
        <f>IF(J788&lt;&gt;1,"",IF(I788="SBJ","CB","?"))</f>
        <v> </v>
      </c>
      <c r="I788" s="26" t="str">
        <f>IF(OR(E788="",E788="!!!",F788="NEW"),"",INDEX(B787:B$2,-1+SUMPRODUCT(MAX(ROW(E787:E$2)*(E788=E787:E$2)))))</f>
        <v> </v>
      </c>
      <c r="J788" s="26" t="str">
        <f>IF(OR(E788="",E788="!!!",F788="NEW"),"",COUNTBLANK(OFFSET(A$1,,,SUMPRODUCT(MAX(ROW(E$2:E788)*(E788=E$2:E788)))))-COUNTBLANK(OFFSET(A$1,,,SUMPRODUCT(MAX(ROW(E$1:E787)*(E2=E$1:E787))))))</f>
        <v> </v>
      </c>
      <c r="K788" s="26" t="str">
        <f>IF(OR(E788="",E788="!!!",F788="NEW"),"",INDEX(J$1:J787,SUMPRODUCT(MAX(ROW(E$1:E787)*(E788=E$1:E787)))))</f>
        <v> </v>
      </c>
      <c r="L788" s="27"/>
    </row>
    <row r="789" spans="1:12">
      <c r="A789" s="20" t="s">
        <v>1014</v>
      </c>
      <c r="E789" s="22">
        <f>IF(D789="?OLD","!!!","")</f>
        <v/>
      </c>
      <c r="F789" s="23" t="str">
        <f>IF(OR(E789="",E789="!!!"),"",IF(NOT(ISNA(VLOOKUP(E789,E$1:E788,1,FALSE()))),"OLD",IF(AND(E789&lt;&gt;"",E789&lt;&gt;"!!!"),"NEW","")))</f>
        <v> </v>
      </c>
      <c r="G789" s="24" t="str">
        <f>IF(OR(E789="",E789="!!!"),"",IF(OR(J789=0,AND(J789=1,K789=1),AND(J789=1,I789="SBJ"),AND(J789=1,I789=0)),"?IN_FOCUS",IF(J789&lt;=2,"?ACTIVATED",IF(J789&lt;&gt;"","?FAMILIAR",IF(F789="NEW",IF(ISNA(VLOOKUP(E789,#REF!,1,FALSE())),"?TYPE_IDENTIFIABLE","?REFERENTIAL"),"_")))))</f>
        <v> </v>
      </c>
      <c r="H789" s="25" t="str">
        <f>IF(J789&lt;&gt;1,"",IF(I789="SBJ","CB","?"))</f>
        <v> </v>
      </c>
      <c r="I789" s="26" t="str">
        <f>IF(OR(E789="",E789="!!!",F789="NEW"),"",INDEX(B788:B$2,-1+SUMPRODUCT(MAX(ROW(E788:E$2)*(E789=E788:E$2)))))</f>
        <v> </v>
      </c>
      <c r="J789" s="26" t="str">
        <f>IF(OR(E789="",E789="!!!",F789="NEW"),"",COUNTBLANK(OFFSET(A$1,,,SUMPRODUCT(MAX(ROW(E$2:E789)*(E789=E$2:E789)))))-COUNTBLANK(OFFSET(A$1,,,SUMPRODUCT(MAX(ROW(E$1:E788)*(E2=E$1:E788))))))</f>
        <v> </v>
      </c>
      <c r="K789" s="26" t="str">
        <f>IF(OR(E789="",E789="!!!",F789="NEW"),"",INDEX(J$1:J788,SUMPRODUCT(MAX(ROW(E$1:E788)*(E789=E$1:E788)))))</f>
        <v> </v>
      </c>
      <c r="L789" s="27"/>
    </row>
    <row r="790" spans="1:12">
      <c r="A790" s="20" t="s">
        <v>102</v>
      </c>
      <c r="E790" s="22">
        <f>IF(D790="?OLD","!!!","")</f>
        <v/>
      </c>
      <c r="F790" s="23" t="str">
        <f>IF(OR(E790="",E790="!!!"),"",IF(NOT(ISNA(VLOOKUP(E790,E$1:E789,1,FALSE()))),"OLD",IF(AND(E790&lt;&gt;"",E790&lt;&gt;"!!!"),"NEW","")))</f>
        <v> </v>
      </c>
      <c r="G790" s="24" t="str">
        <f>IF(OR(E790="",E790="!!!"),"",IF(OR(J790=0,AND(J790=1,K790=1),AND(J790=1,I790="SBJ"),AND(J790=1,I790=0)),"?IN_FOCUS",IF(J790&lt;=2,"?ACTIVATED",IF(J790&lt;&gt;"","?FAMILIAR",IF(F790="NEW",IF(ISNA(VLOOKUP(E790,#REF!,1,FALSE())),"?TYPE_IDENTIFIABLE","?REFERENTIAL"),"_")))))</f>
        <v> </v>
      </c>
      <c r="H790" s="25" t="str">
        <f>IF(J790&lt;&gt;1,"",IF(I790="SBJ","CB","?"))</f>
        <v> </v>
      </c>
      <c r="I790" s="26" t="str">
        <f>IF(OR(E790="",E790="!!!",F790="NEW"),"",INDEX(B789:B$2,-1+SUMPRODUCT(MAX(ROW(E789:E$2)*(E790=E789:E$2)))))</f>
        <v> </v>
      </c>
      <c r="J790" s="26" t="str">
        <f>IF(OR(E790="",E790="!!!",F790="NEW"),"",COUNTBLANK(OFFSET(A$1,,,SUMPRODUCT(MAX(ROW(E$2:E790)*(E790=E$2:E790)))))-COUNTBLANK(OFFSET(A$1,,,SUMPRODUCT(MAX(ROW(E$1:E789)*(E2=E$1:E789))))))</f>
        <v> </v>
      </c>
      <c r="K790" s="26" t="str">
        <f>IF(OR(E790="",E790="!!!",F790="NEW"),"",INDEX(J$1:J789,SUMPRODUCT(MAX(ROW(E$1:E789)*(E790=E$1:E789)))))</f>
        <v> </v>
      </c>
      <c r="L790" s="27"/>
    </row>
    <row r="791" spans="1:12">
      <c r="A791" s="20" t="s">
        <v>1168</v>
      </c>
      <c r="B791" s="21" t="s">
        <v>1033</v>
      </c>
      <c r="C791" s="21" t="s">
        <v>1017</v>
      </c>
      <c r="D791" s="21" t="s">
        <v>1007</v>
      </c>
      <c r="E791" s="22">
        <f>IF(D791="?OLD","!!!","")</f>
        <v/>
      </c>
      <c r="F791" s="23" t="str">
        <f>IF(OR(E791="",E791="!!!"),"",IF(NOT(ISNA(VLOOKUP(E791,E$1:E790,1,FALSE()))),"OLD",IF(AND(E791&lt;&gt;"",E791&lt;&gt;"!!!"),"NEW","")))</f>
        <v> </v>
      </c>
      <c r="G791" s="24" t="str">
        <f>IF(OR(E791="",E791="!!!"),"",IF(OR(J791=0,AND(J791=1,K791=1),AND(J791=1,I791="SBJ"),AND(J791=1,I791=0)),"?IN_FOCUS",IF(J791&lt;=2,"?ACTIVATED",IF(J791&lt;&gt;"","?FAMILIAR",IF(F791="NEW",IF(ISNA(VLOOKUP(E791,#REF!,1,FALSE())),"?TYPE_IDENTIFIABLE","?REFERENTIAL"),"_")))))</f>
        <v> </v>
      </c>
      <c r="H791" s="25" t="str">
        <f>IF(J791&lt;&gt;1,"",IF(I791="SBJ","CB","?"))</f>
        <v> </v>
      </c>
      <c r="I791" s="26" t="str">
        <f>IF(OR(E791="",E791="!!!",F791="NEW"),"",INDEX(B790:B$2,-1+SUMPRODUCT(MAX(ROW(E790:E$2)*(E791=E790:E$2)))))</f>
        <v> </v>
      </c>
      <c r="J791" s="26" t="str">
        <f>IF(OR(E791="",E791="!!!",F791="NEW"),"",COUNTBLANK(OFFSET(A$1,,,SUMPRODUCT(MAX(ROW(E$2:E791)*(E791=E$2:E791)))))-COUNTBLANK(OFFSET(A$1,,,SUMPRODUCT(MAX(ROW(E$1:E790)*(E2=E$1:E790))))))</f>
        <v> </v>
      </c>
      <c r="K791" s="26" t="str">
        <f>IF(OR(E791="",E791="!!!",F791="NEW"),"",INDEX(J$1:J790,SUMPRODUCT(MAX(ROW(E$1:E790)*(E791=E$1:E790)))))</f>
        <v> </v>
      </c>
      <c r="L791" s="27"/>
    </row>
    <row r="792" spans="1:12">
      <c r="A792" s="20" t="s">
        <v>1065</v>
      </c>
      <c r="B792" s="21" t="s">
        <v>1134</v>
      </c>
      <c r="E792" s="22">
        <f>IF(D792="?OLD","!!!","")</f>
        <v/>
      </c>
      <c r="F792" s="23" t="str">
        <f>IF(OR(E792="",E792="!!!"),"",IF(NOT(ISNA(VLOOKUP(E792,E$1:E791,1,FALSE()))),"OLD",IF(AND(E792&lt;&gt;"",E792&lt;&gt;"!!!"),"NEW","")))</f>
        <v> </v>
      </c>
      <c r="G792" s="24" t="str">
        <f>IF(OR(E792="",E792="!!!"),"",IF(OR(J792=0,AND(J792=1,K792=1),AND(J792=1,I792="SBJ"),AND(J792=1,I792=0)),"?IN_FOCUS",IF(J792&lt;=2,"?ACTIVATED",IF(J792&lt;&gt;"","?FAMILIAR",IF(F792="NEW",IF(ISNA(VLOOKUP(E792,#REF!,1,FALSE())),"?TYPE_IDENTIFIABLE","?REFERENTIAL"),"_")))))</f>
        <v> </v>
      </c>
      <c r="H792" s="25" t="str">
        <f>IF(J792&lt;&gt;1,"",IF(I792="SBJ","CB","?"))</f>
        <v> </v>
      </c>
      <c r="I792" s="26" t="str">
        <f>IF(OR(E792="",E792="!!!",F792="NEW"),"",INDEX(B791:B$2,-1+SUMPRODUCT(MAX(ROW(E791:E$2)*(E792=E791:E$2)))))</f>
        <v> </v>
      </c>
      <c r="J792" s="26" t="str">
        <f>IF(OR(E792="",E792="!!!",F792="NEW"),"",COUNTBLANK(OFFSET(A$1,,,SUMPRODUCT(MAX(ROW(E$2:E792)*(E792=E$2:E792)))))-COUNTBLANK(OFFSET(A$1,,,SUMPRODUCT(MAX(ROW(E$1:E791)*(E2=E$1:E791))))))</f>
        <v> </v>
      </c>
      <c r="K792" s="26" t="str">
        <f>IF(OR(E792="",E792="!!!",F792="NEW"),"",INDEX(J$1:J791,SUMPRODUCT(MAX(ROW(E$1:E791)*(E792=E$1:E791)))))</f>
        <v> </v>
      </c>
      <c r="L792" s="27"/>
    </row>
    <row r="793" spans="1:12">
      <c r="A793" s="20" t="s">
        <v>1138</v>
      </c>
      <c r="B793" s="21" t="s">
        <v>1263</v>
      </c>
      <c r="C793" s="21" t="s">
        <v>1082</v>
      </c>
      <c r="D793" s="21" t="s">
        <v>1007</v>
      </c>
      <c r="E793" s="22">
        <f>IF(D793="?OLD","!!!","")</f>
        <v/>
      </c>
      <c r="F793" s="23" t="str">
        <f>IF(OR(E793="",E793="!!!"),"",IF(NOT(ISNA(VLOOKUP(E793,E$1:E792,1,FALSE()))),"OLD",IF(AND(E793&lt;&gt;"",E793&lt;&gt;"!!!"),"NEW","")))</f>
        <v> </v>
      </c>
      <c r="G793" s="24" t="str">
        <f>IF(OR(E793="",E793="!!!"),"",IF(OR(J793=0,AND(J793=1,K793=1),AND(J793=1,I793="SBJ"),AND(J793=1,I793=0)),"?IN_FOCUS",IF(J793&lt;=2,"?ACTIVATED",IF(J793&lt;&gt;"","?FAMILIAR",IF(F793="NEW",IF(ISNA(VLOOKUP(E793,#REF!,1,FALSE())),"?TYPE_IDENTIFIABLE","?REFERENTIAL"),"_")))))</f>
        <v> </v>
      </c>
      <c r="H793" s="25" t="str">
        <f>IF(J793&lt;&gt;1,"",IF(I793="SBJ","CB","?"))</f>
        <v> </v>
      </c>
      <c r="I793" s="26" t="str">
        <f>IF(OR(E793="",E793="!!!",F793="NEW"),"",INDEX(B792:B$2,-1+SUMPRODUCT(MAX(ROW(E792:E$2)*(E793=E792:E$2)))))</f>
        <v> </v>
      </c>
      <c r="J793" s="26" t="str">
        <f>IF(OR(E793="",E793="!!!",F793="NEW"),"",COUNTBLANK(OFFSET(A$1,,,SUMPRODUCT(MAX(ROW(E$2:E793)*(E793=E$2:E793)))))-COUNTBLANK(OFFSET(A$1,,,SUMPRODUCT(MAX(ROW(E$1:E792)*(E2=E$1:E792))))))</f>
        <v> </v>
      </c>
      <c r="K793" s="26" t="str">
        <f>IF(OR(E793="",E793="!!!",F793="NEW"),"",INDEX(J$1:J792,SUMPRODUCT(MAX(ROW(E$1:E792)*(E793=E$1:E792)))))</f>
        <v> </v>
      </c>
      <c r="L793" s="27"/>
    </row>
    <row r="794" spans="1:12">
      <c r="A794" s="20" t="s">
        <v>1141</v>
      </c>
      <c r="E794" s="22">
        <f>IF(D794="?OLD","!!!","")</f>
        <v/>
      </c>
      <c r="F794" s="23" t="str">
        <f>IF(OR(E794="",E794="!!!"),"",IF(NOT(ISNA(VLOOKUP(E794,E$1:E793,1,FALSE()))),"OLD",IF(AND(E794&lt;&gt;"",E794&lt;&gt;"!!!"),"NEW","")))</f>
        <v> </v>
      </c>
      <c r="G794" s="24" t="str">
        <f>IF(OR(E794="",E794="!!!"),"",IF(OR(J794=0,AND(J794=1,K794=1),AND(J794=1,I794="SBJ"),AND(J794=1,I794=0)),"?IN_FOCUS",IF(J794&lt;=2,"?ACTIVATED",IF(J794&lt;&gt;"","?FAMILIAR",IF(F794="NEW",IF(ISNA(VLOOKUP(E794,#REF!,1,FALSE())),"?TYPE_IDENTIFIABLE","?REFERENTIAL"),"_")))))</f>
        <v> </v>
      </c>
      <c r="H794" s="25" t="str">
        <f>IF(J794&lt;&gt;1,"",IF(I794="SBJ","CB","?"))</f>
        <v> </v>
      </c>
      <c r="I794" s="26" t="str">
        <f>IF(OR(E794="",E794="!!!",F794="NEW"),"",INDEX(B793:B$2,-1+SUMPRODUCT(MAX(ROW(E793:E$2)*(E794=E793:E$2)))))</f>
        <v> </v>
      </c>
      <c r="J794" s="26" t="str">
        <f>IF(OR(E794="",E794="!!!",F794="NEW"),"",COUNTBLANK(OFFSET(A$1,,,SUMPRODUCT(MAX(ROW(E$2:E794)*(E794=E$2:E794)))))-COUNTBLANK(OFFSET(A$1,,,SUMPRODUCT(MAX(ROW(E$1:E793)*(E2=E$1:E793))))))</f>
        <v> </v>
      </c>
      <c r="K794" s="26" t="str">
        <f>IF(OR(E794="",E794="!!!",F794="NEW"),"",INDEX(J$1:J793,SUMPRODUCT(MAX(ROW(E$1:E793)*(E794=E$1:E793)))))</f>
        <v> </v>
      </c>
      <c r="L794" s="27"/>
    </row>
    <row r="795" spans="1:12">
      <c r="A795" s="20" t="s">
        <v>1065</v>
      </c>
      <c r="E795" s="22">
        <f>IF(D795="?OLD","!!!","")</f>
        <v/>
      </c>
      <c r="F795" s="23" t="str">
        <f>IF(OR(E795="",E795="!!!"),"",IF(NOT(ISNA(VLOOKUP(E795,E$1:E794,1,FALSE()))),"OLD",IF(AND(E795&lt;&gt;"",E795&lt;&gt;"!!!"),"NEW","")))</f>
        <v> </v>
      </c>
      <c r="G795" s="24" t="str">
        <f>IF(OR(E795="",E795="!!!"),"",IF(OR(J795=0,AND(J795=1,K795=1),AND(J795=1,I795="SBJ"),AND(J795=1,I795=0)),"?IN_FOCUS",IF(J795&lt;=2,"?ACTIVATED",IF(J795&lt;&gt;"","?FAMILIAR",IF(F795="NEW",IF(ISNA(VLOOKUP(E795,#REF!,1,FALSE())),"?TYPE_IDENTIFIABLE","?REFERENTIAL"),"_")))))</f>
        <v> </v>
      </c>
      <c r="H795" s="25" t="str">
        <f>IF(J795&lt;&gt;1,"",IF(I795="SBJ","CB","?"))</f>
        <v> </v>
      </c>
      <c r="I795" s="26" t="str">
        <f>IF(OR(E795="",E795="!!!",F795="NEW"),"",INDEX(B794:B$2,-1+SUMPRODUCT(MAX(ROW(E794:E$2)*(E795=E794:E$2)))))</f>
        <v> </v>
      </c>
      <c r="J795" s="26" t="str">
        <f>IF(OR(E795="",E795="!!!",F795="NEW"),"",COUNTBLANK(OFFSET(A$1,,,SUMPRODUCT(MAX(ROW(E$2:E795)*(E795=E$2:E795)))))-COUNTBLANK(OFFSET(A$1,,,SUMPRODUCT(MAX(ROW(E$1:E794)*(E2=E$1:E794))))))</f>
        <v> </v>
      </c>
      <c r="K795" s="26" t="str">
        <f>IF(OR(E795="",E795="!!!",F795="NEW"),"",INDEX(J$1:J794,SUMPRODUCT(MAX(ROW(E$1:E794)*(E795=E$1:E794)))))</f>
        <v> </v>
      </c>
      <c r="L795" s="27"/>
    </row>
    <row r="796" spans="1:12">
      <c r="A796" s="20" t="s">
        <v>1355</v>
      </c>
      <c r="E796" s="22">
        <f>IF(D796="?OLD","!!!","")</f>
        <v/>
      </c>
      <c r="F796" s="23" t="str">
        <f>IF(OR(E796="",E796="!!!"),"",IF(NOT(ISNA(VLOOKUP(E796,E$1:E795,1,FALSE()))),"OLD",IF(AND(E796&lt;&gt;"",E796&lt;&gt;"!!!"),"NEW","")))</f>
        <v> </v>
      </c>
      <c r="G796" s="24" t="str">
        <f>IF(OR(E796="",E796="!!!"),"",IF(OR(J796=0,AND(J796=1,K796=1),AND(J796=1,I796="SBJ"),AND(J796=1,I796=0)),"?IN_FOCUS",IF(J796&lt;=2,"?ACTIVATED",IF(J796&lt;&gt;"","?FAMILIAR",IF(F796="NEW",IF(ISNA(VLOOKUP(E796,#REF!,1,FALSE())),"?TYPE_IDENTIFIABLE","?REFERENTIAL"),"_")))))</f>
        <v> </v>
      </c>
      <c r="H796" s="25" t="str">
        <f>IF(J796&lt;&gt;1,"",IF(I796="SBJ","CB","?"))</f>
        <v> </v>
      </c>
      <c r="I796" s="26" t="str">
        <f>IF(OR(E796="",E796="!!!",F796="NEW"),"",INDEX(B795:B$2,-1+SUMPRODUCT(MAX(ROW(E795:E$2)*(E796=E795:E$2)))))</f>
        <v> </v>
      </c>
      <c r="J796" s="26" t="str">
        <f>IF(OR(E796="",E796="!!!",F796="NEW"),"",COUNTBLANK(OFFSET(A$1,,,SUMPRODUCT(MAX(ROW(E$2:E796)*(E796=E$2:E796)))))-COUNTBLANK(OFFSET(A$1,,,SUMPRODUCT(MAX(ROW(E$1:E795)*(E2=E$1:E795))))))</f>
        <v> </v>
      </c>
      <c r="K796" s="26" t="str">
        <f>IF(OR(E796="",E796="!!!",F796="NEW"),"",INDEX(J$1:J795,SUMPRODUCT(MAX(ROW(E$1:E795)*(E796=E$1:E795)))))</f>
        <v> </v>
      </c>
      <c r="L796" s="27"/>
    </row>
    <row r="797" spans="1:12">
      <c r="A797" s="20" t="s">
        <v>1030</v>
      </c>
      <c r="E797" s="22">
        <f>IF(D797="?OLD","!!!","")</f>
        <v/>
      </c>
      <c r="F797" s="23" t="str">
        <f>IF(OR(E797="",E797="!!!"),"",IF(NOT(ISNA(VLOOKUP(E797,E$1:E796,1,FALSE()))),"OLD",IF(AND(E797&lt;&gt;"",E797&lt;&gt;"!!!"),"NEW","")))</f>
        <v> </v>
      </c>
      <c r="G797" s="24" t="str">
        <f>IF(OR(E797="",E797="!!!"),"",IF(OR(J797=0,AND(J797=1,K797=1),AND(J797=1,I797="SBJ"),AND(J797=1,I797=0)),"?IN_FOCUS",IF(J797&lt;=2,"?ACTIVATED",IF(J797&lt;&gt;"","?FAMILIAR",IF(F797="NEW",IF(ISNA(VLOOKUP(E797,#REF!,1,FALSE())),"?TYPE_IDENTIFIABLE","?REFERENTIAL"),"_")))))</f>
        <v> </v>
      </c>
      <c r="H797" s="25" t="str">
        <f>IF(J797&lt;&gt;1,"",IF(I797="SBJ","CB","?"))</f>
        <v> </v>
      </c>
      <c r="I797" s="26" t="str">
        <f>IF(OR(E797="",E797="!!!",F797="NEW"),"",INDEX(B796:B$2,-1+SUMPRODUCT(MAX(ROW(E796:E$2)*(E797=E796:E$2)))))</f>
        <v> </v>
      </c>
      <c r="J797" s="26" t="str">
        <f>IF(OR(E797="",E797="!!!",F797="NEW"),"",COUNTBLANK(OFFSET(A$1,,,SUMPRODUCT(MAX(ROW(E$2:E797)*(E797=E$2:E797)))))-COUNTBLANK(OFFSET(A$1,,,SUMPRODUCT(MAX(ROW(E$1:E796)*(E2=E$1:E796))))))</f>
        <v> </v>
      </c>
      <c r="K797" s="26" t="str">
        <f>IF(OR(E797="",E797="!!!",F797="NEW"),"",INDEX(J$1:J796,SUMPRODUCT(MAX(ROW(E$1:E796)*(E797=E$1:E796)))))</f>
        <v> </v>
      </c>
      <c r="L797" s="27"/>
    </row>
    <row r="798" spans="1:12">
      <c r="A798" s="20" t="s">
        <v>1056</v>
      </c>
      <c r="E798" s="22">
        <f>IF(D798="?OLD","!!!","")</f>
        <v/>
      </c>
      <c r="F798" s="23" t="str">
        <f>IF(OR(E798="",E798="!!!"),"",IF(NOT(ISNA(VLOOKUP(E798,E$1:E797,1,FALSE()))),"OLD",IF(AND(E798&lt;&gt;"",E798&lt;&gt;"!!!"),"NEW","")))</f>
        <v> </v>
      </c>
      <c r="G798" s="24" t="str">
        <f>IF(OR(E798="",E798="!!!"),"",IF(OR(J798=0,AND(J798=1,K798=1),AND(J798=1,I798="SBJ"),AND(J798=1,I798=0)),"?IN_FOCUS",IF(J798&lt;=2,"?ACTIVATED",IF(J798&lt;&gt;"","?FAMILIAR",IF(F798="NEW",IF(ISNA(VLOOKUP(E798,#REF!,1,FALSE())),"?TYPE_IDENTIFIABLE","?REFERENTIAL"),"_")))))</f>
        <v> </v>
      </c>
      <c r="H798" s="25" t="str">
        <f>IF(J798&lt;&gt;1,"",IF(I798="SBJ","CB","?"))</f>
        <v> </v>
      </c>
      <c r="I798" s="26" t="str">
        <f>IF(OR(E798="",E798="!!!",F798="NEW"),"",INDEX(B797:B$2,-1+SUMPRODUCT(MAX(ROW(E797:E$2)*(E798=E797:E$2)))))</f>
        <v> </v>
      </c>
      <c r="J798" s="26" t="str">
        <f>IF(OR(E798="",E798="!!!",F798="NEW"),"",COUNTBLANK(OFFSET(A$1,,,SUMPRODUCT(MAX(ROW(E$2:E798)*(E798=E$2:E798)))))-COUNTBLANK(OFFSET(A$1,,,SUMPRODUCT(MAX(ROW(E$1:E797)*(E2=E$1:E797))))))</f>
        <v> </v>
      </c>
      <c r="K798" s="26" t="str">
        <f>IF(OR(E798="",E798="!!!",F798="NEW"),"",INDEX(J$1:J797,SUMPRODUCT(MAX(ROW(E$1:E797)*(E798=E$1:E797)))))</f>
        <v> </v>
      </c>
      <c r="L798" s="27"/>
    </row>
    <row r="799" spans="1:12">
      <c r="A799" s="20" t="s">
        <v>1356</v>
      </c>
      <c r="B799" s="21" t="s">
        <v>1066</v>
      </c>
      <c r="C799" s="21" t="s">
        <v>1111</v>
      </c>
      <c r="E799" s="22">
        <f>IF(D799="?OLD","!!!","")</f>
        <v/>
      </c>
      <c r="F799" s="23" t="str">
        <f>IF(OR(E799="",E799="!!!"),"",IF(NOT(ISNA(VLOOKUP(E799,E$1:E798,1,FALSE()))),"OLD",IF(AND(E799&lt;&gt;"",E799&lt;&gt;"!!!"),"NEW","")))</f>
        <v> </v>
      </c>
      <c r="G799" s="24" t="str">
        <f>IF(OR(E799="",E799="!!!"),"",IF(OR(J799=0,AND(J799=1,K799=1),AND(J799=1,I799="SBJ"),AND(J799=1,I799=0)),"?IN_FOCUS",IF(J799&lt;=2,"?ACTIVATED",IF(J799&lt;&gt;"","?FAMILIAR",IF(F799="NEW",IF(ISNA(VLOOKUP(E799,#REF!,1,FALSE())),"?TYPE_IDENTIFIABLE","?REFERENTIAL"),"_")))))</f>
        <v> </v>
      </c>
      <c r="H799" s="25" t="str">
        <f>IF(J799&lt;&gt;1,"",IF(I799="SBJ","CB","?"))</f>
        <v> </v>
      </c>
      <c r="I799" s="26" t="str">
        <f>IF(OR(E799="",E799="!!!",F799="NEW"),"",INDEX(B798:B$2,-1+SUMPRODUCT(MAX(ROW(E798:E$2)*(E799=E798:E$2)))))</f>
        <v> </v>
      </c>
      <c r="J799" s="26" t="str">
        <f>IF(OR(E799="",E799="!!!",F799="NEW"),"",COUNTBLANK(OFFSET(A$1,,,SUMPRODUCT(MAX(ROW(E$2:E799)*(E799=E$2:E799)))))-COUNTBLANK(OFFSET(A$1,,,SUMPRODUCT(MAX(ROW(E$1:E798)*(E2=E$1:E798))))))</f>
        <v> </v>
      </c>
      <c r="K799" s="26" t="str">
        <f>IF(OR(E799="",E799="!!!",F799="NEW"),"",INDEX(J$1:J798,SUMPRODUCT(MAX(ROW(E$1:E798)*(E799=E$1:E798)))))</f>
        <v> </v>
      </c>
      <c r="L799" s="27"/>
    </row>
    <row r="800" spans="1:12">
      <c r="A800" s="20" t="s">
        <v>1097</v>
      </c>
      <c r="E800" s="22">
        <f>IF(D800="?OLD","!!!","")</f>
        <v/>
      </c>
      <c r="F800" s="23" t="str">
        <f>IF(OR(E800="",E800="!!!"),"",IF(NOT(ISNA(VLOOKUP(E800,E$1:E799,1,FALSE()))),"OLD",IF(AND(E800&lt;&gt;"",E800&lt;&gt;"!!!"),"NEW","")))</f>
        <v> </v>
      </c>
      <c r="G800" s="24" t="str">
        <f>IF(OR(E800="",E800="!!!"),"",IF(OR(J800=0,AND(J800=1,K800=1),AND(J800=1,I800="SBJ"),AND(J800=1,I800=0)),"?IN_FOCUS",IF(J800&lt;=2,"?ACTIVATED",IF(J800&lt;&gt;"","?FAMILIAR",IF(F800="NEW",IF(ISNA(VLOOKUP(E800,#REF!,1,FALSE())),"?TYPE_IDENTIFIABLE","?REFERENTIAL"),"_")))))</f>
        <v> </v>
      </c>
      <c r="H800" s="25" t="str">
        <f>IF(J800&lt;&gt;1,"",IF(I800="SBJ","CB","?"))</f>
        <v> </v>
      </c>
      <c r="I800" s="26" t="str">
        <f>IF(OR(E800="",E800="!!!",F800="NEW"),"",INDEX(B799:B$2,-1+SUMPRODUCT(MAX(ROW(E799:E$2)*(E800=E799:E$2)))))</f>
        <v> </v>
      </c>
      <c r="J800" s="26" t="str">
        <f>IF(OR(E800="",E800="!!!",F800="NEW"),"",COUNTBLANK(OFFSET(A$1,,,SUMPRODUCT(MAX(ROW(E$2:E800)*(E800=E$2:E800)))))-COUNTBLANK(OFFSET(A$1,,,SUMPRODUCT(MAX(ROW(E$1:E799)*(E2=E$1:E799))))))</f>
        <v> </v>
      </c>
      <c r="K800" s="26" t="str">
        <f>IF(OR(E800="",E800="!!!",F800="NEW"),"",INDEX(J$1:J799,SUMPRODUCT(MAX(ROW(E$1:E799)*(E800=E$1:E799)))))</f>
        <v> </v>
      </c>
      <c r="L800" s="27"/>
    </row>
    <row r="801" spans="1:12">
      <c r="A801" s="20" t="s">
        <v>1357</v>
      </c>
      <c r="B801" s="21" t="s">
        <v>1042</v>
      </c>
      <c r="C801" s="21" t="s">
        <v>1358</v>
      </c>
      <c r="D801" s="21" t="s">
        <v>1007</v>
      </c>
      <c r="E801" s="22">
        <f>IF(D801="?OLD","!!!","")</f>
        <v/>
      </c>
      <c r="F801" s="23" t="str">
        <f>IF(OR(E801="",E801="!!!"),"",IF(NOT(ISNA(VLOOKUP(E801,E$1:E800,1,FALSE()))),"OLD",IF(AND(E801&lt;&gt;"",E801&lt;&gt;"!!!"),"NEW","")))</f>
        <v> </v>
      </c>
      <c r="G801" s="24" t="str">
        <f>IF(OR(E801="",E801="!!!"),"",IF(OR(J801=0,AND(J801=1,K801=1),AND(J801=1,I801="SBJ"),AND(J801=1,I801=0)),"?IN_FOCUS",IF(J801&lt;=2,"?ACTIVATED",IF(J801&lt;&gt;"","?FAMILIAR",IF(F801="NEW",IF(ISNA(VLOOKUP(E801,#REF!,1,FALSE())),"?TYPE_IDENTIFIABLE","?REFERENTIAL"),"_")))))</f>
        <v> </v>
      </c>
      <c r="H801" s="25" t="str">
        <f>IF(J801&lt;&gt;1,"",IF(I801="SBJ","CB","?"))</f>
        <v> </v>
      </c>
      <c r="I801" s="26" t="str">
        <f>IF(OR(E801="",E801="!!!",F801="NEW"),"",INDEX(B800:B$2,-1+SUMPRODUCT(MAX(ROW(E800:E$2)*(E801=E800:E$2)))))</f>
        <v> </v>
      </c>
      <c r="J801" s="26" t="str">
        <f>IF(OR(E801="",E801="!!!",F801="NEW"),"",COUNTBLANK(OFFSET(A$1,,,SUMPRODUCT(MAX(ROW(E$2:E801)*(E801=E$2:E801)))))-COUNTBLANK(OFFSET(A$1,,,SUMPRODUCT(MAX(ROW(E$1:E800)*(E2=E$1:E800))))))</f>
        <v> </v>
      </c>
      <c r="K801" s="26" t="str">
        <f>IF(OR(E801="",E801="!!!",F801="NEW"),"",INDEX(J$1:J800,SUMPRODUCT(MAX(ROW(E$1:E800)*(E801=E$1:E800)))))</f>
        <v> </v>
      </c>
      <c r="L801" s="27"/>
    </row>
    <row r="802" spans="1:12">
      <c r="A802" s="20" t="s">
        <v>1023</v>
      </c>
      <c r="E802" s="22">
        <f>IF(D802="?OLD","!!!","")</f>
        <v/>
      </c>
      <c r="F802" s="23" t="str">
        <f>IF(OR(E802="",E802="!!!"),"",IF(NOT(ISNA(VLOOKUP(E802,E$1:E801,1,FALSE()))),"OLD",IF(AND(E802&lt;&gt;"",E802&lt;&gt;"!!!"),"NEW","")))</f>
        <v> </v>
      </c>
      <c r="G802" s="24" t="str">
        <f>IF(OR(E802="",E802="!!!"),"",IF(OR(J802=0,AND(J802=1,K802=1),AND(J802=1,I802="SBJ"),AND(J802=1,I802=0)),"?IN_FOCUS",IF(J802&lt;=2,"?ACTIVATED",IF(J802&lt;&gt;"","?FAMILIAR",IF(F802="NEW",IF(ISNA(VLOOKUP(E802,#REF!,1,FALSE())),"?TYPE_IDENTIFIABLE","?REFERENTIAL"),"_")))))</f>
        <v> </v>
      </c>
      <c r="H802" s="25" t="str">
        <f>IF(J802&lt;&gt;1,"",IF(I802="SBJ","CB","?"))</f>
        <v> </v>
      </c>
      <c r="I802" s="26" t="str">
        <f>IF(OR(E802="",E802="!!!",F802="NEW"),"",INDEX(B801:B$2,-1+SUMPRODUCT(MAX(ROW(E801:E$2)*(E802=E801:E$2)))))</f>
        <v> </v>
      </c>
      <c r="J802" s="26" t="str">
        <f>IF(OR(E802="",E802="!!!",F802="NEW"),"",COUNTBLANK(OFFSET(A$1,,,SUMPRODUCT(MAX(ROW(E$2:E802)*(E802=E$2:E802)))))-COUNTBLANK(OFFSET(A$1,,,SUMPRODUCT(MAX(ROW(E$1:E801)*(E2=E$1:E801))))))</f>
        <v> </v>
      </c>
      <c r="K802" s="26" t="str">
        <f>IF(OR(E802="",E802="!!!",F802="NEW"),"",INDEX(J$1:J801,SUMPRODUCT(MAX(ROW(E$1:E801)*(E802=E$1:E801)))))</f>
        <v> </v>
      </c>
      <c r="L802" s="27"/>
    </row>
    <row r="803" spans="1:12">
      <c r="A803" s="20"/>
    </row>
    <row r="804" spans="1:12">
      <c r="A804" s="20" t="s">
        <v>1359</v>
      </c>
    </row>
    <row r="805" spans="1:12">
      <c r="A805" s="20" t="s">
        <v>1175</v>
      </c>
      <c r="E805" s="22">
        <f>IF(D805="?OLD","!!!","")</f>
        <v/>
      </c>
      <c r="F805" s="23" t="str">
        <f>IF(OR(E805="",E805="!!!"),"",IF(NOT(ISNA(VLOOKUP(E805,E$1:E804,1,FALSE()))),"OLD",IF(AND(E805&lt;&gt;"",E805&lt;&gt;"!!!"),"NEW","")))</f>
        <v> </v>
      </c>
      <c r="G805" s="24" t="str">
        <f>IF(OR(E805="",E805="!!!"),"",IF(OR(J805=0,AND(J805=1,K805=1),AND(J805=1,I805="SBJ"),AND(J805=1,I805=0)),"?IN_FOCUS",IF(J805&lt;=2,"?ACTIVATED",IF(J805&lt;&gt;"","?FAMILIAR",IF(F805="NEW",IF(ISNA(VLOOKUP(E805,#REF!,1,FALSE())),"?TYPE_IDENTIFIABLE","?REFERENTIAL"),"_")))))</f>
        <v> </v>
      </c>
      <c r="H805" s="25" t="str">
        <f>IF(J805&lt;&gt;1,"",IF(I805="SBJ","CB","?"))</f>
        <v> </v>
      </c>
      <c r="I805" s="26" t="str">
        <f>IF(OR(E805="",E805="!!!",F805="NEW"),"",INDEX(B804:B$2,-1+SUMPRODUCT(MAX(ROW(E804:E$2)*(E805=E804:E$2)))))</f>
        <v> </v>
      </c>
      <c r="J805" s="26" t="str">
        <f>IF(OR(E805="",E805="!!!",F805="NEW"),"",COUNTBLANK(OFFSET(A$1,,,SUMPRODUCT(MAX(ROW(E$2:E805)*(E805=E$2:E805)))))-COUNTBLANK(OFFSET(A$1,,,SUMPRODUCT(MAX(ROW(E$1:E804)*(E2=E$1:E804))))))</f>
        <v> </v>
      </c>
      <c r="K805" s="26" t="str">
        <f>IF(OR(E805="",E805="!!!",F805="NEW"),"",INDEX(J$1:J804,SUMPRODUCT(MAX(ROW(E$1:E804)*(E805=E$1:E804)))))</f>
        <v> </v>
      </c>
      <c r="L805" s="27"/>
    </row>
    <row r="806" spans="1:12">
      <c r="A806" s="20" t="s">
        <v>1015</v>
      </c>
      <c r="E806" s="22">
        <f>IF(D806="?OLD","!!!","")</f>
        <v/>
      </c>
      <c r="F806" s="23" t="str">
        <f>IF(OR(E806="",E806="!!!"),"",IF(NOT(ISNA(VLOOKUP(E806,E$1:E805,1,FALSE()))),"OLD",IF(AND(E806&lt;&gt;"",E806&lt;&gt;"!!!"),"NEW","")))</f>
        <v> </v>
      </c>
      <c r="G806" s="24" t="str">
        <f>IF(OR(E806="",E806="!!!"),"",IF(OR(J806=0,AND(J806=1,K806=1),AND(J806=1,I806="SBJ"),AND(J806=1,I806=0)),"?IN_FOCUS",IF(J806&lt;=2,"?ACTIVATED",IF(J806&lt;&gt;"","?FAMILIAR",IF(F806="NEW",IF(ISNA(VLOOKUP(E806,#REF!,1,FALSE())),"?TYPE_IDENTIFIABLE","?REFERENTIAL"),"_")))))</f>
        <v> </v>
      </c>
      <c r="H806" s="25" t="str">
        <f>IF(J806&lt;&gt;1,"",IF(I806="SBJ","CB","?"))</f>
        <v> </v>
      </c>
      <c r="I806" s="26" t="str">
        <f>IF(OR(E806="",E806="!!!",F806="NEW"),"",INDEX(B805:B$2,-1+SUMPRODUCT(MAX(ROW(E805:E$2)*(E806=E805:E$2)))))</f>
        <v> </v>
      </c>
      <c r="J806" s="26" t="str">
        <f>IF(OR(E806="",E806="!!!",F806="NEW"),"",COUNTBLANK(OFFSET(A$1,,,SUMPRODUCT(MAX(ROW(E$2:E806)*(E806=E$2:E806)))))-COUNTBLANK(OFFSET(A$1,,,SUMPRODUCT(MAX(ROW(E$1:E805)*(E2=E$1:E805))))))</f>
        <v> </v>
      </c>
      <c r="K806" s="26" t="str">
        <f>IF(OR(E806="",E806="!!!",F806="NEW"),"",INDEX(J$1:J805,SUMPRODUCT(MAX(ROW(E$1:E805)*(E806=E$1:E805)))))</f>
        <v> </v>
      </c>
      <c r="L806" s="27"/>
    </row>
    <row r="807" spans="1:12">
      <c r="A807" s="20" t="s">
        <v>1292</v>
      </c>
      <c r="B807" s="21" t="s">
        <v>1085</v>
      </c>
      <c r="C807" s="21" t="s">
        <v>1017</v>
      </c>
      <c r="D807" s="21" t="s">
        <v>1007</v>
      </c>
      <c r="E807" s="22">
        <f>IF(D807="?OLD","!!!","")</f>
        <v/>
      </c>
      <c r="F807" s="23" t="str">
        <f>IF(OR(E807="",E807="!!!"),"",IF(NOT(ISNA(VLOOKUP(E807,E$1:E806,1,FALSE()))),"OLD",IF(AND(E807&lt;&gt;"",E807&lt;&gt;"!!!"),"NEW","")))</f>
        <v> </v>
      </c>
      <c r="G807" s="24" t="str">
        <f>IF(OR(E807="",E807="!!!"),"",IF(OR(J807=0,AND(J807=1,K807=1),AND(J807=1,I807="SBJ"),AND(J807=1,I807=0)),"?IN_FOCUS",IF(J807&lt;=2,"?ACTIVATED",IF(J807&lt;&gt;"","?FAMILIAR",IF(F807="NEW",IF(ISNA(VLOOKUP(E807,#REF!,1,FALSE())),"?TYPE_IDENTIFIABLE","?REFERENTIAL"),"_")))))</f>
        <v> </v>
      </c>
      <c r="H807" s="25" t="str">
        <f>IF(J807&lt;&gt;1,"",IF(I807="SBJ","CB","?"))</f>
        <v> </v>
      </c>
      <c r="I807" s="26" t="str">
        <f>IF(OR(E807="",E807="!!!",F807="NEW"),"",INDEX(B806:B$2,-1+SUMPRODUCT(MAX(ROW(E806:E$2)*(E807=E806:E$2)))))</f>
        <v> </v>
      </c>
      <c r="J807" s="26" t="str">
        <f>IF(OR(E807="",E807="!!!",F807="NEW"),"",COUNTBLANK(OFFSET(A$1,,,SUMPRODUCT(MAX(ROW(E$2:E807)*(E807=E$2:E807)))))-COUNTBLANK(OFFSET(A$1,,,SUMPRODUCT(MAX(ROW(E$1:E806)*(E2=E$1:E806))))))</f>
        <v> </v>
      </c>
      <c r="K807" s="26" t="str">
        <f>IF(OR(E807="",E807="!!!",F807="NEW"),"",INDEX(J$1:J806,SUMPRODUCT(MAX(ROW(E$1:E806)*(E807=E$1:E806)))))</f>
        <v> </v>
      </c>
      <c r="L807" s="27"/>
    </row>
    <row r="808" spans="1:12">
      <c r="A808" s="20" t="s">
        <v>1065</v>
      </c>
      <c r="B808" s="21" t="s">
        <v>1154</v>
      </c>
      <c r="E808" s="22">
        <f>IF(D808="?OLD","!!!","")</f>
        <v/>
      </c>
      <c r="F808" s="23" t="str">
        <f>IF(OR(E808="",E808="!!!"),"",IF(NOT(ISNA(VLOOKUP(E808,E$1:E807,1,FALSE()))),"OLD",IF(AND(E808&lt;&gt;"",E808&lt;&gt;"!!!"),"NEW","")))</f>
        <v> </v>
      </c>
      <c r="G808" s="24" t="str">
        <f>IF(OR(E808="",E808="!!!"),"",IF(OR(J808=0,AND(J808=1,K808=1),AND(J808=1,I808="SBJ"),AND(J808=1,I808=0)),"?IN_FOCUS",IF(J808&lt;=2,"?ACTIVATED",IF(J808&lt;&gt;"","?FAMILIAR",IF(F808="NEW",IF(ISNA(VLOOKUP(E808,#REF!,1,FALSE())),"?TYPE_IDENTIFIABLE","?REFERENTIAL"),"_")))))</f>
        <v> </v>
      </c>
      <c r="H808" s="25" t="str">
        <f>IF(J808&lt;&gt;1,"",IF(I808="SBJ","CB","?"))</f>
        <v> </v>
      </c>
      <c r="I808" s="26" t="str">
        <f>IF(OR(E808="",E808="!!!",F808="NEW"),"",INDEX(B807:B$2,-1+SUMPRODUCT(MAX(ROW(E807:E$2)*(E808=E807:E$2)))))</f>
        <v> </v>
      </c>
      <c r="J808" s="26" t="str">
        <f>IF(OR(E808="",E808="!!!",F808="NEW"),"",COUNTBLANK(OFFSET(A$1,,,SUMPRODUCT(MAX(ROW(E$2:E808)*(E808=E$2:E808)))))-COUNTBLANK(OFFSET(A$1,,,SUMPRODUCT(MAX(ROW(E$1:E807)*(E2=E$1:E807))))))</f>
        <v> </v>
      </c>
      <c r="K808" s="26" t="str">
        <f>IF(OR(E808="",E808="!!!",F808="NEW"),"",INDEX(J$1:J807,SUMPRODUCT(MAX(ROW(E$1:E807)*(E808=E$1:E807)))))</f>
        <v> </v>
      </c>
      <c r="L808" s="27"/>
    </row>
    <row r="809" spans="1:12">
      <c r="A809" s="20" t="s">
        <v>1114</v>
      </c>
      <c r="E809" s="22">
        <f>IF(D809="?OLD","!!!","")</f>
        <v/>
      </c>
      <c r="F809" s="23" t="str">
        <f>IF(OR(E809="",E809="!!!"),"",IF(NOT(ISNA(VLOOKUP(E809,E$1:E808,1,FALSE()))),"OLD",IF(AND(E809&lt;&gt;"",E809&lt;&gt;"!!!"),"NEW","")))</f>
        <v> </v>
      </c>
      <c r="G809" s="24" t="str">
        <f>IF(OR(E809="",E809="!!!"),"",IF(OR(J809=0,AND(J809=1,K809=1),AND(J809=1,I809="SBJ"),AND(J809=1,I809=0)),"?IN_FOCUS",IF(J809&lt;=2,"?ACTIVATED",IF(J809&lt;&gt;"","?FAMILIAR",IF(F809="NEW",IF(ISNA(VLOOKUP(E809,#REF!,1,FALSE())),"?TYPE_IDENTIFIABLE","?REFERENTIAL"),"_")))))</f>
        <v> </v>
      </c>
      <c r="H809" s="25" t="str">
        <f>IF(J809&lt;&gt;1,"",IF(I809="SBJ","CB","?"))</f>
        <v> </v>
      </c>
      <c r="I809" s="26" t="str">
        <f>IF(OR(E809="",E809="!!!",F809="NEW"),"",INDEX(B808:B$2,-1+SUMPRODUCT(MAX(ROW(E808:E$2)*(E809=E808:E$2)))))</f>
        <v> </v>
      </c>
      <c r="J809" s="26" t="str">
        <f>IF(OR(E809="",E809="!!!",F809="NEW"),"",COUNTBLANK(OFFSET(A$1,,,SUMPRODUCT(MAX(ROW(E$2:E809)*(E809=E$2:E809)))))-COUNTBLANK(OFFSET(A$1,,,SUMPRODUCT(MAX(ROW(E$1:E808)*(E2=E$1:E808))))))</f>
        <v> </v>
      </c>
      <c r="K809" s="26" t="str">
        <f>IF(OR(E809="",E809="!!!",F809="NEW"),"",INDEX(J$1:J808,SUMPRODUCT(MAX(ROW(E$1:E808)*(E809=E$1:E808)))))</f>
        <v> </v>
      </c>
      <c r="L809" s="27"/>
    </row>
    <row r="810" spans="1:12">
      <c r="A810" s="20" t="s">
        <v>1360</v>
      </c>
      <c r="E810" s="22">
        <f>IF(D810="?OLD","!!!","")</f>
        <v/>
      </c>
      <c r="F810" s="23" t="str">
        <f>IF(OR(E810="",E810="!!!"),"",IF(NOT(ISNA(VLOOKUP(E810,E$1:E809,1,FALSE()))),"OLD",IF(AND(E810&lt;&gt;"",E810&lt;&gt;"!!!"),"NEW","")))</f>
        <v> </v>
      </c>
      <c r="G810" s="24" t="str">
        <f>IF(OR(E810="",E810="!!!"),"",IF(OR(J810=0,AND(J810=1,K810=1),AND(J810=1,I810="SBJ"),AND(J810=1,I810=0)),"?IN_FOCUS",IF(J810&lt;=2,"?ACTIVATED",IF(J810&lt;&gt;"","?FAMILIAR",IF(F810="NEW",IF(ISNA(VLOOKUP(E810,#REF!,1,FALSE())),"?TYPE_IDENTIFIABLE","?REFERENTIAL"),"_")))))</f>
        <v> </v>
      </c>
      <c r="H810" s="25" t="str">
        <f>IF(J810&lt;&gt;1,"",IF(I810="SBJ","CB","?"))</f>
        <v> </v>
      </c>
      <c r="I810" s="26" t="str">
        <f>IF(OR(E810="",E810="!!!",F810="NEW"),"",INDEX(B809:B$2,-1+SUMPRODUCT(MAX(ROW(E809:E$2)*(E810=E809:E$2)))))</f>
        <v> </v>
      </c>
      <c r="J810" s="26" t="str">
        <f>IF(OR(E810="",E810="!!!",F810="NEW"),"",COUNTBLANK(OFFSET(A$1,,,SUMPRODUCT(MAX(ROW(E$2:E810)*(E810=E$2:E810)))))-COUNTBLANK(OFFSET(A$1,,,SUMPRODUCT(MAX(ROW(E$1:E809)*(E2=E$1:E809))))))</f>
        <v> </v>
      </c>
      <c r="K810" s="26" t="str">
        <f>IF(OR(E810="",E810="!!!",F810="NEW"),"",INDEX(J$1:J809,SUMPRODUCT(MAX(ROW(E$1:E809)*(E810=E$1:E809)))))</f>
        <v> </v>
      </c>
      <c r="L810" s="27"/>
    </row>
    <row r="811" spans="1:12">
      <c r="A811" s="20" t="s">
        <v>1018</v>
      </c>
      <c r="E811" s="22">
        <f>IF(D811="?OLD","!!!","")</f>
        <v/>
      </c>
      <c r="F811" s="23" t="str">
        <f>IF(OR(E811="",E811="!!!"),"",IF(NOT(ISNA(VLOOKUP(E811,E$1:E810,1,FALSE()))),"OLD",IF(AND(E811&lt;&gt;"",E811&lt;&gt;"!!!"),"NEW","")))</f>
        <v> </v>
      </c>
      <c r="G811" s="24" t="str">
        <f>IF(OR(E811="",E811="!!!"),"",IF(OR(J811=0,AND(J811=1,K811=1),AND(J811=1,I811="SBJ"),AND(J811=1,I811=0)),"?IN_FOCUS",IF(J811&lt;=2,"?ACTIVATED",IF(J811&lt;&gt;"","?FAMILIAR",IF(F811="NEW",IF(ISNA(VLOOKUP(E811,#REF!,1,FALSE())),"?TYPE_IDENTIFIABLE","?REFERENTIAL"),"_")))))</f>
        <v> </v>
      </c>
      <c r="H811" s="25" t="str">
        <f>IF(J811&lt;&gt;1,"",IF(I811="SBJ","CB","?"))</f>
        <v> </v>
      </c>
      <c r="I811" s="26" t="str">
        <f>IF(OR(E811="",E811="!!!",F811="NEW"),"",INDEX(B810:B$2,-1+SUMPRODUCT(MAX(ROW(E810:E$2)*(E811=E810:E$2)))))</f>
        <v> </v>
      </c>
      <c r="J811" s="26" t="str">
        <f>IF(OR(E811="",E811="!!!",F811="NEW"),"",COUNTBLANK(OFFSET(A$1,,,SUMPRODUCT(MAX(ROW(E$2:E811)*(E811=E$2:E811)))))-COUNTBLANK(OFFSET(A$1,,,SUMPRODUCT(MAX(ROW(E$1:E810)*(E2=E$1:E810))))))</f>
        <v> </v>
      </c>
      <c r="K811" s="26" t="str">
        <f>IF(OR(E811="",E811="!!!",F811="NEW"),"",INDEX(J$1:J810,SUMPRODUCT(MAX(ROW(E$1:E810)*(E811=E$1:E810)))))</f>
        <v> </v>
      </c>
      <c r="L811" s="27"/>
    </row>
    <row r="812" spans="1:12">
      <c r="A812" s="20" t="s">
        <v>1015</v>
      </c>
      <c r="E812" s="22">
        <f>IF(D812="?OLD","!!!","")</f>
        <v/>
      </c>
      <c r="F812" s="23" t="str">
        <f>IF(OR(E812="",E812="!!!"),"",IF(NOT(ISNA(VLOOKUP(E812,E$1:E811,1,FALSE()))),"OLD",IF(AND(E812&lt;&gt;"",E812&lt;&gt;"!!!"),"NEW","")))</f>
        <v> </v>
      </c>
      <c r="G812" s="24" t="str">
        <f>IF(OR(E812="",E812="!!!"),"",IF(OR(J812=0,AND(J812=1,K812=1),AND(J812=1,I812="SBJ"),AND(J812=1,I812=0)),"?IN_FOCUS",IF(J812&lt;=2,"?ACTIVATED",IF(J812&lt;&gt;"","?FAMILIAR",IF(F812="NEW",IF(ISNA(VLOOKUP(E812,#REF!,1,FALSE())),"?TYPE_IDENTIFIABLE","?REFERENTIAL"),"_")))))</f>
        <v> </v>
      </c>
      <c r="H812" s="25" t="str">
        <f>IF(J812&lt;&gt;1,"",IF(I812="SBJ","CB","?"))</f>
        <v> </v>
      </c>
      <c r="I812" s="26" t="str">
        <f>IF(OR(E812="",E812="!!!",F812="NEW"),"",INDEX(B811:B$2,-1+SUMPRODUCT(MAX(ROW(E811:E$2)*(E812=E811:E$2)))))</f>
        <v> </v>
      </c>
      <c r="J812" s="26" t="str">
        <f>IF(OR(E812="",E812="!!!",F812="NEW"),"",COUNTBLANK(OFFSET(A$1,,,SUMPRODUCT(MAX(ROW(E$2:E812)*(E812=E$2:E812)))))-COUNTBLANK(OFFSET(A$1,,,SUMPRODUCT(MAX(ROW(E$1:E811)*(E2=E$1:E811))))))</f>
        <v> </v>
      </c>
      <c r="K812" s="26" t="str">
        <f>IF(OR(E812="",E812="!!!",F812="NEW"),"",INDEX(J$1:J811,SUMPRODUCT(MAX(ROW(E$1:E811)*(E812=E$1:E811)))))</f>
        <v> </v>
      </c>
      <c r="L812" s="27"/>
    </row>
    <row r="813" spans="1:12">
      <c r="A813" s="20" t="s">
        <v>1292</v>
      </c>
      <c r="B813" s="21" t="s">
        <v>1050</v>
      </c>
      <c r="C813" s="21" t="s">
        <v>1017</v>
      </c>
      <c r="D813" s="21" t="s">
        <v>1007</v>
      </c>
      <c r="E813" s="22">
        <f>IF(D813="?OLD","!!!","")</f>
        <v/>
      </c>
      <c r="F813" s="23" t="str">
        <f>IF(OR(E813="",E813="!!!"),"",IF(NOT(ISNA(VLOOKUP(E813,E$1:E812,1,FALSE()))),"OLD",IF(AND(E813&lt;&gt;"",E813&lt;&gt;"!!!"),"NEW","")))</f>
        <v> </v>
      </c>
      <c r="G813" s="24" t="str">
        <f>IF(OR(E813="",E813="!!!"),"",IF(OR(J813=0,AND(J813=1,K813=1),AND(J813=1,I813="SBJ"),AND(J813=1,I813=0)),"?IN_FOCUS",IF(J813&lt;=2,"?ACTIVATED",IF(J813&lt;&gt;"","?FAMILIAR",IF(F813="NEW",IF(ISNA(VLOOKUP(E813,#REF!,1,FALSE())),"?TYPE_IDENTIFIABLE","?REFERENTIAL"),"_")))))</f>
        <v> </v>
      </c>
      <c r="H813" s="25" t="str">
        <f>IF(J813&lt;&gt;1,"",IF(I813="SBJ","CB","?"))</f>
        <v> </v>
      </c>
      <c r="I813" s="26" t="str">
        <f>IF(OR(E813="",E813="!!!",F813="NEW"),"",INDEX(B812:B$2,-1+SUMPRODUCT(MAX(ROW(E812:E$2)*(E813=E812:E$2)))))</f>
        <v> </v>
      </c>
      <c r="J813" s="26" t="str">
        <f>IF(OR(E813="",E813="!!!",F813="NEW"),"",COUNTBLANK(OFFSET(A$1,,,SUMPRODUCT(MAX(ROW(E$2:E813)*(E813=E$2:E813)))))-COUNTBLANK(OFFSET(A$1,,,SUMPRODUCT(MAX(ROW(E$1:E812)*(E2=E$1:E812))))))</f>
        <v> </v>
      </c>
      <c r="K813" s="26" t="str">
        <f>IF(OR(E813="",E813="!!!",F813="NEW"),"",INDEX(J$1:J812,SUMPRODUCT(MAX(ROW(E$1:E812)*(E813=E$1:E812)))))</f>
        <v> </v>
      </c>
      <c r="L813" s="27"/>
    </row>
    <row r="814" spans="1:12">
      <c r="A814" s="20" t="s">
        <v>1065</v>
      </c>
      <c r="B814" s="21" t="s">
        <v>1154</v>
      </c>
      <c r="E814" s="22">
        <f>IF(D814="?OLD","!!!","")</f>
        <v/>
      </c>
      <c r="F814" s="23" t="str">
        <f>IF(OR(E814="",E814="!!!"),"",IF(NOT(ISNA(VLOOKUP(E814,E$1:E813,1,FALSE()))),"OLD",IF(AND(E814&lt;&gt;"",E814&lt;&gt;"!!!"),"NEW","")))</f>
        <v> </v>
      </c>
      <c r="G814" s="24" t="str">
        <f>IF(OR(E814="",E814="!!!"),"",IF(OR(J814=0,AND(J814=1,K814=1),AND(J814=1,I814="SBJ"),AND(J814=1,I814=0)),"?IN_FOCUS",IF(J814&lt;=2,"?ACTIVATED",IF(J814&lt;&gt;"","?FAMILIAR",IF(F814="NEW",IF(ISNA(VLOOKUP(E814,#REF!,1,FALSE())),"?TYPE_IDENTIFIABLE","?REFERENTIAL"),"_")))))</f>
        <v> </v>
      </c>
      <c r="H814" s="25" t="str">
        <f>IF(J814&lt;&gt;1,"",IF(I814="SBJ","CB","?"))</f>
        <v> </v>
      </c>
      <c r="I814" s="26" t="str">
        <f>IF(OR(E814="",E814="!!!",F814="NEW"),"",INDEX(B813:B$2,-1+SUMPRODUCT(MAX(ROW(E813:E$2)*(E814=E813:E$2)))))</f>
        <v> </v>
      </c>
      <c r="J814" s="26" t="str">
        <f>IF(OR(E814="",E814="!!!",F814="NEW"),"",COUNTBLANK(OFFSET(A$1,,,SUMPRODUCT(MAX(ROW(E$2:E814)*(E814=E$2:E814)))))-COUNTBLANK(OFFSET(A$1,,,SUMPRODUCT(MAX(ROW(E$1:E813)*(E2=E$1:E813))))))</f>
        <v> </v>
      </c>
      <c r="K814" s="26" t="str">
        <f>IF(OR(E814="",E814="!!!",F814="NEW"),"",INDEX(J$1:J813,SUMPRODUCT(MAX(ROW(E$1:E813)*(E814=E$1:E813)))))</f>
        <v> </v>
      </c>
      <c r="L814" s="27"/>
    </row>
    <row r="815" spans="1:12">
      <c r="A815" s="20" t="s">
        <v>1361</v>
      </c>
      <c r="E815" s="22">
        <f>IF(D815="?OLD","!!!","")</f>
        <v/>
      </c>
      <c r="F815" s="23" t="str">
        <f>IF(OR(E815="",E815="!!!"),"",IF(NOT(ISNA(VLOOKUP(E815,E$1:E814,1,FALSE()))),"OLD",IF(AND(E815&lt;&gt;"",E815&lt;&gt;"!!!"),"NEW","")))</f>
        <v> </v>
      </c>
      <c r="G815" s="24" t="str">
        <f>IF(OR(E815="",E815="!!!"),"",IF(OR(J815=0,AND(J815=1,K815=1),AND(J815=1,I815="SBJ"),AND(J815=1,I815=0)),"?IN_FOCUS",IF(J815&lt;=2,"?ACTIVATED",IF(J815&lt;&gt;"","?FAMILIAR",IF(F815="NEW",IF(ISNA(VLOOKUP(E815,#REF!,1,FALSE())),"?TYPE_IDENTIFIABLE","?REFERENTIAL"),"_")))))</f>
        <v> </v>
      </c>
      <c r="H815" s="25" t="str">
        <f>IF(J815&lt;&gt;1,"",IF(I815="SBJ","CB","?"))</f>
        <v> </v>
      </c>
      <c r="I815" s="26" t="str">
        <f>IF(OR(E815="",E815="!!!",F815="NEW"),"",INDEX(B814:B$2,-1+SUMPRODUCT(MAX(ROW(E814:E$2)*(E815=E814:E$2)))))</f>
        <v> </v>
      </c>
      <c r="J815" s="26" t="str">
        <f>IF(OR(E815="",E815="!!!",F815="NEW"),"",COUNTBLANK(OFFSET(A$1,,,SUMPRODUCT(MAX(ROW(E$2:E815)*(E815=E$2:E815)))))-COUNTBLANK(OFFSET(A$1,,,SUMPRODUCT(MAX(ROW(E$1:E814)*(E2=E$1:E814))))))</f>
        <v> </v>
      </c>
      <c r="K815" s="26" t="str">
        <f>IF(OR(E815="",E815="!!!",F815="NEW"),"",INDEX(J$1:J814,SUMPRODUCT(MAX(ROW(E$1:E814)*(E815=E$1:E814)))))</f>
        <v> </v>
      </c>
      <c r="L815" s="27"/>
    </row>
    <row r="816" spans="1:12">
      <c r="A816" s="20" t="s">
        <v>1362</v>
      </c>
      <c r="E816" s="22">
        <f>IF(D816="?OLD","!!!","")</f>
        <v/>
      </c>
      <c r="F816" s="23" t="str">
        <f>IF(OR(E816="",E816="!!!"),"",IF(NOT(ISNA(VLOOKUP(E816,E$1:E815,1,FALSE()))),"OLD",IF(AND(E816&lt;&gt;"",E816&lt;&gt;"!!!"),"NEW","")))</f>
        <v> </v>
      </c>
      <c r="G816" s="24" t="str">
        <f>IF(OR(E816="",E816="!!!"),"",IF(OR(J816=0,AND(J816=1,K816=1),AND(J816=1,I816="SBJ"),AND(J816=1,I816=0)),"?IN_FOCUS",IF(J816&lt;=2,"?ACTIVATED",IF(J816&lt;&gt;"","?FAMILIAR",IF(F816="NEW",IF(ISNA(VLOOKUP(E816,#REF!,1,FALSE())),"?TYPE_IDENTIFIABLE","?REFERENTIAL"),"_")))))</f>
        <v> </v>
      </c>
      <c r="H816" s="25" t="str">
        <f>IF(J816&lt;&gt;1,"",IF(I816="SBJ","CB","?"))</f>
        <v> </v>
      </c>
      <c r="I816" s="26" t="str">
        <f>IF(OR(E816="",E816="!!!",F816="NEW"),"",INDEX(B815:B$2,-1+SUMPRODUCT(MAX(ROW(E815:E$2)*(E816=E815:E$2)))))</f>
        <v> </v>
      </c>
      <c r="J816" s="26" t="str">
        <f>IF(OR(E816="",E816="!!!",F816="NEW"),"",COUNTBLANK(OFFSET(A$1,,,SUMPRODUCT(MAX(ROW(E$2:E816)*(E816=E$2:E816)))))-COUNTBLANK(OFFSET(A$1,,,SUMPRODUCT(MAX(ROW(E$1:E815)*(E2=E$1:E815))))))</f>
        <v> </v>
      </c>
      <c r="K816" s="26" t="str">
        <f>IF(OR(E816="",E816="!!!",F816="NEW"),"",INDEX(J$1:J815,SUMPRODUCT(MAX(ROW(E$1:E815)*(E816=E$1:E815)))))</f>
        <v> </v>
      </c>
      <c r="L816" s="27"/>
    </row>
    <row r="817" spans="1:12">
      <c r="A817" s="20" t="s">
        <v>1036</v>
      </c>
      <c r="E817" s="22">
        <f>IF(D817="?OLD","!!!","")</f>
        <v/>
      </c>
      <c r="F817" s="23" t="str">
        <f>IF(OR(E817="",E817="!!!"),"",IF(NOT(ISNA(VLOOKUP(E817,E$1:E816,1,FALSE()))),"OLD",IF(AND(E817&lt;&gt;"",E817&lt;&gt;"!!!"),"NEW","")))</f>
        <v> </v>
      </c>
      <c r="G817" s="24" t="str">
        <f>IF(OR(E817="",E817="!!!"),"",IF(OR(J817=0,AND(J817=1,K817=1),AND(J817=1,I817="SBJ"),AND(J817=1,I817=0)),"?IN_FOCUS",IF(J817&lt;=2,"?ACTIVATED",IF(J817&lt;&gt;"","?FAMILIAR",IF(F817="NEW",IF(ISNA(VLOOKUP(E817,#REF!,1,FALSE())),"?TYPE_IDENTIFIABLE","?REFERENTIAL"),"_")))))</f>
        <v> </v>
      </c>
      <c r="H817" s="25" t="str">
        <f>IF(J817&lt;&gt;1,"",IF(I817="SBJ","CB","?"))</f>
        <v> </v>
      </c>
      <c r="I817" s="26" t="str">
        <f>IF(OR(E817="",E817="!!!",F817="NEW"),"",INDEX(B816:B$2,-1+SUMPRODUCT(MAX(ROW(E816:E$2)*(E817=E816:E$2)))))</f>
        <v> </v>
      </c>
      <c r="J817" s="26" t="str">
        <f>IF(OR(E817="",E817="!!!",F817="NEW"),"",COUNTBLANK(OFFSET(A$1,,,SUMPRODUCT(MAX(ROW(E$2:E817)*(E817=E$2:E817)))))-COUNTBLANK(OFFSET(A$1,,,SUMPRODUCT(MAX(ROW(E$1:E816)*(E2=E$1:E816))))))</f>
        <v> </v>
      </c>
      <c r="K817" s="26" t="str">
        <f>IF(OR(E817="",E817="!!!",F817="NEW"),"",INDEX(J$1:J816,SUMPRODUCT(MAX(ROW(E$1:E816)*(E817=E$1:E816)))))</f>
        <v> </v>
      </c>
      <c r="L817" s="27"/>
    </row>
    <row r="818" spans="1:12">
      <c r="A818" s="20" t="s">
        <v>102</v>
      </c>
      <c r="E818" s="22">
        <f>IF(D818="?OLD","!!!","")</f>
        <v/>
      </c>
      <c r="F818" s="23" t="str">
        <f>IF(OR(E818="",E818="!!!"),"",IF(NOT(ISNA(VLOOKUP(E818,E$1:E817,1,FALSE()))),"OLD",IF(AND(E818&lt;&gt;"",E818&lt;&gt;"!!!"),"NEW","")))</f>
        <v> </v>
      </c>
      <c r="G818" s="24" t="str">
        <f>IF(OR(E818="",E818="!!!"),"",IF(OR(J818=0,AND(J818=1,K818=1),AND(J818=1,I818="SBJ"),AND(J818=1,I818=0)),"?IN_FOCUS",IF(J818&lt;=2,"?ACTIVATED",IF(J818&lt;&gt;"","?FAMILIAR",IF(F818="NEW",IF(ISNA(VLOOKUP(E818,#REF!,1,FALSE())),"?TYPE_IDENTIFIABLE","?REFERENTIAL"),"_")))))</f>
        <v> </v>
      </c>
      <c r="H818" s="25" t="str">
        <f>IF(J818&lt;&gt;1,"",IF(I818="SBJ","CB","?"))</f>
        <v> </v>
      </c>
      <c r="I818" s="26" t="str">
        <f>IF(OR(E818="",E818="!!!",F818="NEW"),"",INDEX(B817:B$2,-1+SUMPRODUCT(MAX(ROW(E817:E$2)*(E818=E817:E$2)))))</f>
        <v> </v>
      </c>
      <c r="J818" s="26" t="str">
        <f>IF(OR(E818="",E818="!!!",F818="NEW"),"",COUNTBLANK(OFFSET(A$1,,,SUMPRODUCT(MAX(ROW(E$2:E818)*(E818=E$2:E818)))))-COUNTBLANK(OFFSET(A$1,,,SUMPRODUCT(MAX(ROW(E$1:E817)*(E2=E$1:E817))))))</f>
        <v> </v>
      </c>
      <c r="K818" s="26" t="str">
        <f>IF(OR(E818="",E818="!!!",F818="NEW"),"",INDEX(J$1:J817,SUMPRODUCT(MAX(ROW(E$1:E817)*(E818=E$1:E817)))))</f>
        <v> </v>
      </c>
      <c r="L818" s="27"/>
    </row>
    <row r="819" spans="1:12">
      <c r="A819" s="20" t="s">
        <v>1168</v>
      </c>
      <c r="B819" s="21" t="s">
        <v>1033</v>
      </c>
      <c r="C819" s="21" t="s">
        <v>1017</v>
      </c>
      <c r="D819" s="21" t="s">
        <v>1007</v>
      </c>
      <c r="E819" s="22">
        <f>IF(D819="?OLD","!!!","")</f>
        <v/>
      </c>
      <c r="F819" s="23" t="str">
        <f>IF(OR(E819="",E819="!!!"),"",IF(NOT(ISNA(VLOOKUP(E819,E$1:E818,1,FALSE()))),"OLD",IF(AND(E819&lt;&gt;"",E819&lt;&gt;"!!!"),"NEW","")))</f>
        <v> </v>
      </c>
      <c r="G819" s="24" t="str">
        <f>IF(OR(E819="",E819="!!!"),"",IF(OR(J819=0,AND(J819=1,K819=1),AND(J819=1,I819="SBJ"),AND(J819=1,I819=0)),"?IN_FOCUS",IF(J819&lt;=2,"?ACTIVATED",IF(J819&lt;&gt;"","?FAMILIAR",IF(F819="NEW",IF(ISNA(VLOOKUP(E819,#REF!,1,FALSE())),"?TYPE_IDENTIFIABLE","?REFERENTIAL"),"_")))))</f>
        <v> </v>
      </c>
      <c r="H819" s="25" t="str">
        <f>IF(J819&lt;&gt;1,"",IF(I819="SBJ","CB","?"))</f>
        <v> </v>
      </c>
      <c r="I819" s="26" t="str">
        <f>IF(OR(E819="",E819="!!!",F819="NEW"),"",INDEX(B818:B$2,-1+SUMPRODUCT(MAX(ROW(E818:E$2)*(E819=E818:E$2)))))</f>
        <v> </v>
      </c>
      <c r="J819" s="26" t="str">
        <f>IF(OR(E819="",E819="!!!",F819="NEW"),"",COUNTBLANK(OFFSET(A$1,,,SUMPRODUCT(MAX(ROW(E$2:E819)*(E819=E$2:E819)))))-COUNTBLANK(OFFSET(A$1,,,SUMPRODUCT(MAX(ROW(E$1:E818)*(E2=E$1:E818))))))</f>
        <v> </v>
      </c>
      <c r="K819" s="26" t="str">
        <f>IF(OR(E819="",E819="!!!",F819="NEW"),"",INDEX(J$1:J818,SUMPRODUCT(MAX(ROW(E$1:E818)*(E819=E$1:E818)))))</f>
        <v> </v>
      </c>
      <c r="L819" s="27"/>
    </row>
    <row r="820" spans="1:12">
      <c r="A820" s="20" t="s">
        <v>1312</v>
      </c>
      <c r="E820" s="22">
        <f>IF(D820="?OLD","!!!","")</f>
        <v/>
      </c>
      <c r="F820" s="23" t="str">
        <f>IF(OR(E820="",E820="!!!"),"",IF(NOT(ISNA(VLOOKUP(E820,E$1:E819,1,FALSE()))),"OLD",IF(AND(E820&lt;&gt;"",E820&lt;&gt;"!!!"),"NEW","")))</f>
        <v> </v>
      </c>
      <c r="G820" s="24" t="str">
        <f>IF(OR(E820="",E820="!!!"),"",IF(OR(J820=0,AND(J820=1,K820=1),AND(J820=1,I820="SBJ"),AND(J820=1,I820=0)),"?IN_FOCUS",IF(J820&lt;=2,"?ACTIVATED",IF(J820&lt;&gt;"","?FAMILIAR",IF(F820="NEW",IF(ISNA(VLOOKUP(E820,#REF!,1,FALSE())),"?TYPE_IDENTIFIABLE","?REFERENTIAL"),"_")))))</f>
        <v> </v>
      </c>
      <c r="H820" s="25" t="str">
        <f>IF(J820&lt;&gt;1,"",IF(I820="SBJ","CB","?"))</f>
        <v> </v>
      </c>
      <c r="I820" s="26" t="str">
        <f>IF(OR(E820="",E820="!!!",F820="NEW"),"",INDEX(B819:B$2,-1+SUMPRODUCT(MAX(ROW(E819:E$2)*(E820=E819:E$2)))))</f>
        <v> </v>
      </c>
      <c r="J820" s="26" t="str">
        <f>IF(OR(E820="",E820="!!!",F820="NEW"),"",COUNTBLANK(OFFSET(A$1,,,SUMPRODUCT(MAX(ROW(E$2:E820)*(E820=E$2:E820)))))-COUNTBLANK(OFFSET(A$1,,,SUMPRODUCT(MAX(ROW(E$1:E819)*(E2=E$1:E819))))))</f>
        <v> </v>
      </c>
      <c r="K820" s="26" t="str">
        <f>IF(OR(E820="",E820="!!!",F820="NEW"),"",INDEX(J$1:J819,SUMPRODUCT(MAX(ROW(E$1:E819)*(E820=E$1:E819)))))</f>
        <v> </v>
      </c>
      <c r="L820" s="27"/>
    </row>
    <row r="821" spans="1:12">
      <c r="A821" s="20" t="s">
        <v>1114</v>
      </c>
      <c r="E821" s="22">
        <f>IF(D821="?OLD","!!!","")</f>
        <v/>
      </c>
      <c r="F821" s="23" t="str">
        <f>IF(OR(E821="",E821="!!!"),"",IF(NOT(ISNA(VLOOKUP(E821,E$1:E820,1,FALSE()))),"OLD",IF(AND(E821&lt;&gt;"",E821&lt;&gt;"!!!"),"NEW","")))</f>
        <v> </v>
      </c>
      <c r="G821" s="24" t="str">
        <f>IF(OR(E821="",E821="!!!"),"",IF(OR(J821=0,AND(J821=1,K821=1),AND(J821=1,I821="SBJ"),AND(J821=1,I821=0)),"?IN_FOCUS",IF(J821&lt;=2,"?ACTIVATED",IF(J821&lt;&gt;"","?FAMILIAR",IF(F821="NEW",IF(ISNA(VLOOKUP(E821,#REF!,1,FALSE())),"?TYPE_IDENTIFIABLE","?REFERENTIAL"),"_")))))</f>
        <v> </v>
      </c>
      <c r="H821" s="25" t="str">
        <f>IF(J821&lt;&gt;1,"",IF(I821="SBJ","CB","?"))</f>
        <v> </v>
      </c>
      <c r="I821" s="26" t="str">
        <f>IF(OR(E821="",E821="!!!",F821="NEW"),"",INDEX(B820:B$2,-1+SUMPRODUCT(MAX(ROW(E820:E$2)*(E821=E820:E$2)))))</f>
        <v> </v>
      </c>
      <c r="J821" s="26" t="str">
        <f>IF(OR(E821="",E821="!!!",F821="NEW"),"",COUNTBLANK(OFFSET(A$1,,,SUMPRODUCT(MAX(ROW(E$2:E821)*(E821=E$2:E821)))))-COUNTBLANK(OFFSET(A$1,,,SUMPRODUCT(MAX(ROW(E$1:E820)*(E2=E$1:E820))))))</f>
        <v> </v>
      </c>
      <c r="K821" s="26" t="str">
        <f>IF(OR(E821="",E821="!!!",F821="NEW"),"",INDEX(J$1:J820,SUMPRODUCT(MAX(ROW(E$1:E820)*(E821=E$1:E820)))))</f>
        <v> </v>
      </c>
      <c r="L821" s="27"/>
    </row>
    <row r="822" spans="1:12">
      <c r="A822" s="20" t="s">
        <v>1363</v>
      </c>
      <c r="E822" s="22">
        <f>IF(D822="?OLD","!!!","")</f>
        <v/>
      </c>
      <c r="F822" s="23" t="str">
        <f>IF(OR(E822="",E822="!!!"),"",IF(NOT(ISNA(VLOOKUP(E822,E$1:E821,1,FALSE()))),"OLD",IF(AND(E822&lt;&gt;"",E822&lt;&gt;"!!!"),"NEW","")))</f>
        <v> </v>
      </c>
      <c r="G822" s="24" t="str">
        <f>IF(OR(E822="",E822="!!!"),"",IF(OR(J822=0,AND(J822=1,K822=1),AND(J822=1,I822="SBJ"),AND(J822=1,I822=0)),"?IN_FOCUS",IF(J822&lt;=2,"?ACTIVATED",IF(J822&lt;&gt;"","?FAMILIAR",IF(F822="NEW",IF(ISNA(VLOOKUP(E822,#REF!,1,FALSE())),"?TYPE_IDENTIFIABLE","?REFERENTIAL"),"_")))))</f>
        <v> </v>
      </c>
      <c r="H822" s="25" t="str">
        <f>IF(J822&lt;&gt;1,"",IF(I822="SBJ","CB","?"))</f>
        <v> </v>
      </c>
      <c r="I822" s="26" t="str">
        <f>IF(OR(E822="",E822="!!!",F822="NEW"),"",INDEX(B821:B$2,-1+SUMPRODUCT(MAX(ROW(E821:E$2)*(E822=E821:E$2)))))</f>
        <v> </v>
      </c>
      <c r="J822" s="26" t="str">
        <f>IF(OR(E822="",E822="!!!",F822="NEW"),"",COUNTBLANK(OFFSET(A$1,,,SUMPRODUCT(MAX(ROW(E$2:E822)*(E822=E$2:E822)))))-COUNTBLANK(OFFSET(A$1,,,SUMPRODUCT(MAX(ROW(E$1:E821)*(E2=E$1:E821))))))</f>
        <v> </v>
      </c>
      <c r="K822" s="26" t="str">
        <f>IF(OR(E822="",E822="!!!",F822="NEW"),"",INDEX(J$1:J821,SUMPRODUCT(MAX(ROW(E$1:E821)*(E822=E$1:E821)))))</f>
        <v> </v>
      </c>
      <c r="L822" s="27"/>
    </row>
    <row r="823" spans="1:12">
      <c r="A823" s="20" t="s">
        <v>1023</v>
      </c>
      <c r="E823" s="22">
        <f>IF(D823="?OLD","!!!","")</f>
        <v/>
      </c>
      <c r="F823" s="23" t="str">
        <f>IF(OR(E823="",E823="!!!"),"",IF(NOT(ISNA(VLOOKUP(E823,E$1:E822,1,FALSE()))),"OLD",IF(AND(E823&lt;&gt;"",E823&lt;&gt;"!!!"),"NEW","")))</f>
        <v> </v>
      </c>
      <c r="G823" s="24" t="str">
        <f>IF(OR(E823="",E823="!!!"),"",IF(OR(J823=0,AND(J823=1,K823=1),AND(J823=1,I823="SBJ"),AND(J823=1,I823=0)),"?IN_FOCUS",IF(J823&lt;=2,"?ACTIVATED",IF(J823&lt;&gt;"","?FAMILIAR",IF(F823="NEW",IF(ISNA(VLOOKUP(E823,#REF!,1,FALSE())),"?TYPE_IDENTIFIABLE","?REFERENTIAL"),"_")))))</f>
        <v> </v>
      </c>
      <c r="H823" s="25" t="str">
        <f>IF(J823&lt;&gt;1,"",IF(I823="SBJ","CB","?"))</f>
        <v> </v>
      </c>
      <c r="I823" s="26" t="str">
        <f>IF(OR(E823="",E823="!!!",F823="NEW"),"",INDEX(B822:B$2,-1+SUMPRODUCT(MAX(ROW(E822:E$2)*(E823=E822:E$2)))))</f>
        <v> </v>
      </c>
      <c r="J823" s="26" t="str">
        <f>IF(OR(E823="",E823="!!!",F823="NEW"),"",COUNTBLANK(OFFSET(A$1,,,SUMPRODUCT(MAX(ROW(E$2:E823)*(E823=E$2:E823)))))-COUNTBLANK(OFFSET(A$1,,,SUMPRODUCT(MAX(ROW(E$1:E822)*(E2=E$1:E822))))))</f>
        <v> </v>
      </c>
      <c r="K823" s="26" t="str">
        <f>IF(OR(E823="",E823="!!!",F823="NEW"),"",INDEX(J$1:J822,SUMPRODUCT(MAX(ROW(E$1:E822)*(E823=E$1:E822)))))</f>
        <v> </v>
      </c>
      <c r="L823" s="27"/>
    </row>
    <row r="824" spans="1:12">
      <c r="A824" s="20"/>
    </row>
    <row r="825" spans="1:12">
      <c r="A825" s="20" t="s">
        <v>1364</v>
      </c>
    </row>
    <row r="826" spans="1:12">
      <c r="A826" s="20" t="s">
        <v>1365</v>
      </c>
      <c r="E826" s="22">
        <f>IF(D826="?OLD","!!!","")</f>
        <v/>
      </c>
      <c r="F826" s="23" t="str">
        <f>IF(OR(E826="",E826="!!!"),"",IF(NOT(ISNA(VLOOKUP(E826,E$1:E825,1,FALSE()))),"OLD",IF(AND(E826&lt;&gt;"",E826&lt;&gt;"!!!"),"NEW","")))</f>
        <v> </v>
      </c>
      <c r="G826" s="24" t="str">
        <f>IF(OR(E826="",E826="!!!"),"",IF(OR(J826=0,AND(J826=1,K826=1),AND(J826=1,I826="SBJ"),AND(J826=1,I826=0)),"?IN_FOCUS",IF(J826&lt;=2,"?ACTIVATED",IF(J826&lt;&gt;"","?FAMILIAR",IF(F826="NEW",IF(ISNA(VLOOKUP(E826,#REF!,1,FALSE())),"?TYPE_IDENTIFIABLE","?REFERENTIAL"),"_")))))</f>
        <v> </v>
      </c>
      <c r="H826" s="25" t="str">
        <f>IF(J826&lt;&gt;1,"",IF(I826="SBJ","CB","?"))</f>
        <v> </v>
      </c>
      <c r="I826" s="26" t="str">
        <f>IF(OR(E826="",E826="!!!",F826="NEW"),"",INDEX(B825:B$2,-1+SUMPRODUCT(MAX(ROW(E825:E$2)*(E826=E825:E$2)))))</f>
        <v> </v>
      </c>
      <c r="J826" s="26" t="str">
        <f>IF(OR(E826="",E826="!!!",F826="NEW"),"",COUNTBLANK(OFFSET(A$1,,,SUMPRODUCT(MAX(ROW(E$2:E826)*(E826=E$2:E826)))))-COUNTBLANK(OFFSET(A$1,,,SUMPRODUCT(MAX(ROW(E$1:E825)*(E2=E$1:E825))))))</f>
        <v> </v>
      </c>
      <c r="K826" s="26" t="str">
        <f>IF(OR(E826="",E826="!!!",F826="NEW"),"",INDEX(J$1:J825,SUMPRODUCT(MAX(ROW(E$1:E825)*(E826=E$1:E825)))))</f>
        <v> </v>
      </c>
      <c r="L826" s="27"/>
    </row>
    <row r="827" spans="1:12">
      <c r="A827" s="20" t="s">
        <v>1366</v>
      </c>
      <c r="E827" s="22">
        <f>IF(D827="?OLD","!!!","")</f>
        <v/>
      </c>
      <c r="F827" s="23" t="str">
        <f>IF(OR(E827="",E827="!!!"),"",IF(NOT(ISNA(VLOOKUP(E827,E$1:E826,1,FALSE()))),"OLD",IF(AND(E827&lt;&gt;"",E827&lt;&gt;"!!!"),"NEW","")))</f>
        <v> </v>
      </c>
      <c r="G827" s="24" t="str">
        <f>IF(OR(E827="",E827="!!!"),"",IF(OR(J827=0,AND(J827=1,K827=1),AND(J827=1,I827="SBJ"),AND(J827=1,I827=0)),"?IN_FOCUS",IF(J827&lt;=2,"?ACTIVATED",IF(J827&lt;&gt;"","?FAMILIAR",IF(F827="NEW",IF(ISNA(VLOOKUP(E827,#REF!,1,FALSE())),"?TYPE_IDENTIFIABLE","?REFERENTIAL"),"_")))))</f>
        <v> </v>
      </c>
      <c r="H827" s="25" t="str">
        <f>IF(J827&lt;&gt;1,"",IF(I827="SBJ","CB","?"))</f>
        <v> </v>
      </c>
      <c r="I827" s="26" t="str">
        <f>IF(OR(E827="",E827="!!!",F827="NEW"),"",INDEX(B826:B$2,-1+SUMPRODUCT(MAX(ROW(E826:E$2)*(E827=E826:E$2)))))</f>
        <v> </v>
      </c>
      <c r="J827" s="26" t="str">
        <f>IF(OR(E827="",E827="!!!",F827="NEW"),"",COUNTBLANK(OFFSET(A$1,,,SUMPRODUCT(MAX(ROW(E$2:E827)*(E827=E$2:E827)))))-COUNTBLANK(OFFSET(A$1,,,SUMPRODUCT(MAX(ROW(E$1:E826)*(E2=E$1:E826))))))</f>
        <v> </v>
      </c>
      <c r="K827" s="26" t="str">
        <f>IF(OR(E827="",E827="!!!",F827="NEW"),"",INDEX(J$1:J826,SUMPRODUCT(MAX(ROW(E$1:E826)*(E827=E$1:E826)))))</f>
        <v> </v>
      </c>
      <c r="L827" s="27"/>
    </row>
    <row r="828" spans="1:12">
      <c r="A828" s="20" t="s">
        <v>1367</v>
      </c>
      <c r="E828" s="22">
        <f>IF(D828="?OLD","!!!","")</f>
        <v/>
      </c>
      <c r="F828" s="23" t="str">
        <f>IF(OR(E828="",E828="!!!"),"",IF(NOT(ISNA(VLOOKUP(E828,E$1:E827,1,FALSE()))),"OLD",IF(AND(E828&lt;&gt;"",E828&lt;&gt;"!!!"),"NEW","")))</f>
        <v> </v>
      </c>
      <c r="G828" s="24" t="str">
        <f>IF(OR(E828="",E828="!!!"),"",IF(OR(J828=0,AND(J828=1,K828=1),AND(J828=1,I828="SBJ"),AND(J828=1,I828=0)),"?IN_FOCUS",IF(J828&lt;=2,"?ACTIVATED",IF(J828&lt;&gt;"","?FAMILIAR",IF(F828="NEW",IF(ISNA(VLOOKUP(E828,#REF!,1,FALSE())),"?TYPE_IDENTIFIABLE","?REFERENTIAL"),"_")))))</f>
        <v> </v>
      </c>
      <c r="H828" s="25" t="str">
        <f>IF(J828&lt;&gt;1,"",IF(I828="SBJ","CB","?"))</f>
        <v> </v>
      </c>
      <c r="I828" s="26" t="str">
        <f>IF(OR(E828="",E828="!!!",F828="NEW"),"",INDEX(B827:B$2,-1+SUMPRODUCT(MAX(ROW(E827:E$2)*(E828=E827:E$2)))))</f>
        <v> </v>
      </c>
      <c r="J828" s="26" t="str">
        <f>IF(OR(E828="",E828="!!!",F828="NEW"),"",COUNTBLANK(OFFSET(A$1,,,SUMPRODUCT(MAX(ROW(E$2:E828)*(E828=E$2:E828)))))-COUNTBLANK(OFFSET(A$1,,,SUMPRODUCT(MAX(ROW(E$1:E827)*(E2=E$1:E827))))))</f>
        <v> </v>
      </c>
      <c r="K828" s="26" t="str">
        <f>IF(OR(E828="",E828="!!!",F828="NEW"),"",INDEX(J$1:J827,SUMPRODUCT(MAX(ROW(E$1:E827)*(E828=E$1:E827)))))</f>
        <v> </v>
      </c>
      <c r="L828" s="27"/>
    </row>
    <row r="829" spans="1:12">
      <c r="A829" s="20" t="s">
        <v>1368</v>
      </c>
      <c r="B829" s="21" t="s">
        <v>1085</v>
      </c>
      <c r="C829" s="21" t="s">
        <v>1013</v>
      </c>
      <c r="D829" s="21" t="s">
        <v>1007</v>
      </c>
      <c r="E829" s="22">
        <f>IF(D829="?OLD","!!!","")</f>
        <v/>
      </c>
      <c r="F829" s="23" t="str">
        <f>IF(OR(E829="",E829="!!!"),"",IF(NOT(ISNA(VLOOKUP(E829,E$1:E828,1,FALSE()))),"OLD",IF(AND(E829&lt;&gt;"",E829&lt;&gt;"!!!"),"NEW","")))</f>
        <v> </v>
      </c>
      <c r="G829" s="24" t="str">
        <f>IF(OR(E829="",E829="!!!"),"",IF(OR(J829=0,AND(J829=1,K829=1),AND(J829=1,I829="SBJ"),AND(J829=1,I829=0)),"?IN_FOCUS",IF(J829&lt;=2,"?ACTIVATED",IF(J829&lt;&gt;"","?FAMILIAR",IF(F829="NEW",IF(ISNA(VLOOKUP(E829,#REF!,1,FALSE())),"?TYPE_IDENTIFIABLE","?REFERENTIAL"),"_")))))</f>
        <v> </v>
      </c>
      <c r="H829" s="25" t="str">
        <f>IF(J829&lt;&gt;1,"",IF(I829="SBJ","CB","?"))</f>
        <v> </v>
      </c>
      <c r="I829" s="26" t="str">
        <f>IF(OR(E829="",E829="!!!",F829="NEW"),"",INDEX(B828:B$2,-1+SUMPRODUCT(MAX(ROW(E828:E$2)*(E829=E828:E$2)))))</f>
        <v> </v>
      </c>
      <c r="J829" s="26" t="str">
        <f>IF(OR(E829="",E829="!!!",F829="NEW"),"",COUNTBLANK(OFFSET(A$1,,,SUMPRODUCT(MAX(ROW(E$2:E829)*(E829=E$2:E829)))))-COUNTBLANK(OFFSET(A$1,,,SUMPRODUCT(MAX(ROW(E$1:E828)*(E2=E$1:E828))))))</f>
        <v> </v>
      </c>
      <c r="K829" s="26" t="str">
        <f>IF(OR(E829="",E829="!!!",F829="NEW"),"",INDEX(J$1:J828,SUMPRODUCT(MAX(ROW(E$1:E828)*(E829=E$1:E828)))))</f>
        <v> </v>
      </c>
      <c r="L829" s="27"/>
    </row>
    <row r="830" spans="1:12">
      <c r="A830" s="20" t="s">
        <v>1014</v>
      </c>
      <c r="E830" s="22">
        <f>IF(D830="?OLD","!!!","")</f>
        <v/>
      </c>
      <c r="F830" s="23" t="str">
        <f>IF(OR(E830="",E830="!!!"),"",IF(NOT(ISNA(VLOOKUP(E830,E$1:E829,1,FALSE()))),"OLD",IF(AND(E830&lt;&gt;"",E830&lt;&gt;"!!!"),"NEW","")))</f>
        <v> </v>
      </c>
      <c r="G830" s="24" t="str">
        <f>IF(OR(E830="",E830="!!!"),"",IF(OR(J830=0,AND(J830=1,K830=1),AND(J830=1,I830="SBJ"),AND(J830=1,I830=0)),"?IN_FOCUS",IF(J830&lt;=2,"?ACTIVATED",IF(J830&lt;&gt;"","?FAMILIAR",IF(F830="NEW",IF(ISNA(VLOOKUP(E830,#REF!,1,FALSE())),"?TYPE_IDENTIFIABLE","?REFERENTIAL"),"_")))))</f>
        <v> </v>
      </c>
      <c r="H830" s="25" t="str">
        <f>IF(J830&lt;&gt;1,"",IF(I830="SBJ","CB","?"))</f>
        <v> </v>
      </c>
      <c r="I830" s="26" t="str">
        <f>IF(OR(E830="",E830="!!!",F830="NEW"),"",INDEX(B829:B$2,-1+SUMPRODUCT(MAX(ROW(E829:E$2)*(E830=E829:E$2)))))</f>
        <v> </v>
      </c>
      <c r="J830" s="26" t="str">
        <f>IF(OR(E830="",E830="!!!",F830="NEW"),"",COUNTBLANK(OFFSET(A$1,,,SUMPRODUCT(MAX(ROW(E$2:E830)*(E830=E$2:E830)))))-COUNTBLANK(OFFSET(A$1,,,SUMPRODUCT(MAX(ROW(E$1:E829)*(E2=E$1:E829))))))</f>
        <v> </v>
      </c>
      <c r="K830" s="26" t="str">
        <f>IF(OR(E830="",E830="!!!",F830="NEW"),"",INDEX(J$1:J829,SUMPRODUCT(MAX(ROW(E$1:E829)*(E830=E$1:E829)))))</f>
        <v> </v>
      </c>
      <c r="L830" s="27"/>
    </row>
    <row r="831" spans="1:12">
      <c r="A831" s="20" t="s">
        <v>1324</v>
      </c>
      <c r="E831" s="22">
        <f>IF(D831="?OLD","!!!","")</f>
        <v/>
      </c>
      <c r="F831" s="23" t="str">
        <f>IF(OR(E831="",E831="!!!"),"",IF(NOT(ISNA(VLOOKUP(E831,E$1:E830,1,FALSE()))),"OLD",IF(AND(E831&lt;&gt;"",E831&lt;&gt;"!!!"),"NEW","")))</f>
        <v> </v>
      </c>
      <c r="G831" s="24" t="str">
        <f>IF(OR(E831="",E831="!!!"),"",IF(OR(J831=0,AND(J831=1,K831=1),AND(J831=1,I831="SBJ"),AND(J831=1,I831=0)),"?IN_FOCUS",IF(J831&lt;=2,"?ACTIVATED",IF(J831&lt;&gt;"","?FAMILIAR",IF(F831="NEW",IF(ISNA(VLOOKUP(E831,#REF!,1,FALSE())),"?TYPE_IDENTIFIABLE","?REFERENTIAL"),"_")))))</f>
        <v> </v>
      </c>
      <c r="H831" s="25" t="str">
        <f>IF(J831&lt;&gt;1,"",IF(I831="SBJ","CB","?"))</f>
        <v> </v>
      </c>
      <c r="I831" s="26" t="str">
        <f>IF(OR(E831="",E831="!!!",F831="NEW"),"",INDEX(B830:B$2,-1+SUMPRODUCT(MAX(ROW(E830:E$2)*(E831=E830:E$2)))))</f>
        <v> </v>
      </c>
      <c r="J831" s="26" t="str">
        <f>IF(OR(E831="",E831="!!!",F831="NEW"),"",COUNTBLANK(OFFSET(A$1,,,SUMPRODUCT(MAX(ROW(E$2:E831)*(E831=E$2:E831)))))-COUNTBLANK(OFFSET(A$1,,,SUMPRODUCT(MAX(ROW(E$1:E830)*(E2=E$1:E830))))))</f>
        <v> </v>
      </c>
      <c r="K831" s="26" t="str">
        <f>IF(OR(E831="",E831="!!!",F831="NEW"),"",INDEX(J$1:J830,SUMPRODUCT(MAX(ROW(E$1:E830)*(E831=E$1:E830)))))</f>
        <v> </v>
      </c>
      <c r="L831" s="27"/>
    </row>
    <row r="832" spans="1:12">
      <c r="A832" s="20" t="s">
        <v>1199</v>
      </c>
      <c r="E832" s="22">
        <f>IF(D832="?OLD","!!!","")</f>
        <v/>
      </c>
      <c r="F832" s="23" t="str">
        <f>IF(OR(E832="",E832="!!!"),"",IF(NOT(ISNA(VLOOKUP(E832,E$1:E831,1,FALSE()))),"OLD",IF(AND(E832&lt;&gt;"",E832&lt;&gt;"!!!"),"NEW","")))</f>
        <v> </v>
      </c>
      <c r="G832" s="24" t="str">
        <f>IF(OR(E832="",E832="!!!"),"",IF(OR(J832=0,AND(J832=1,K832=1),AND(J832=1,I832="SBJ"),AND(J832=1,I832=0)),"?IN_FOCUS",IF(J832&lt;=2,"?ACTIVATED",IF(J832&lt;&gt;"","?FAMILIAR",IF(F832="NEW",IF(ISNA(VLOOKUP(E832,#REF!,1,FALSE())),"?TYPE_IDENTIFIABLE","?REFERENTIAL"),"_")))))</f>
        <v> </v>
      </c>
      <c r="H832" s="25" t="str">
        <f>IF(J832&lt;&gt;1,"",IF(I832="SBJ","CB","?"))</f>
        <v> </v>
      </c>
      <c r="I832" s="26" t="str">
        <f>IF(OR(E832="",E832="!!!",F832="NEW"),"",INDEX(B831:B$2,-1+SUMPRODUCT(MAX(ROW(E831:E$2)*(E832=E831:E$2)))))</f>
        <v> </v>
      </c>
      <c r="J832" s="26" t="str">
        <f>IF(OR(E832="",E832="!!!",F832="NEW"),"",COUNTBLANK(OFFSET(A$1,,,SUMPRODUCT(MAX(ROW(E$2:E832)*(E832=E$2:E832)))))-COUNTBLANK(OFFSET(A$1,,,SUMPRODUCT(MAX(ROW(E$1:E831)*(E2=E$1:E831))))))</f>
        <v> </v>
      </c>
      <c r="K832" s="26" t="str">
        <f>IF(OR(E832="",E832="!!!",F832="NEW"),"",INDEX(J$1:J831,SUMPRODUCT(MAX(ROW(E$1:E831)*(E832=E$1:E831)))))</f>
        <v> </v>
      </c>
      <c r="L832" s="27"/>
    </row>
    <row r="833" spans="1:12">
      <c r="A833" s="20" t="s">
        <v>1369</v>
      </c>
      <c r="B833" s="21" t="s">
        <v>1022</v>
      </c>
      <c r="C833" s="21" t="s">
        <v>1013</v>
      </c>
      <c r="D833" s="21" t="s">
        <v>1007</v>
      </c>
      <c r="E833" s="22">
        <f>IF(D833="?OLD","!!!","")</f>
        <v/>
      </c>
      <c r="F833" s="23" t="str">
        <f>IF(OR(E833="",E833="!!!"),"",IF(NOT(ISNA(VLOOKUP(E833,E$1:E832,1,FALSE()))),"OLD",IF(AND(E833&lt;&gt;"",E833&lt;&gt;"!!!"),"NEW","")))</f>
        <v> </v>
      </c>
      <c r="G833" s="24" t="str">
        <f>IF(OR(E833="",E833="!!!"),"",IF(OR(J833=0,AND(J833=1,K833=1),AND(J833=1,I833="SBJ"),AND(J833=1,I833=0)),"?IN_FOCUS",IF(J833&lt;=2,"?ACTIVATED",IF(J833&lt;&gt;"","?FAMILIAR",IF(F833="NEW",IF(ISNA(VLOOKUP(E833,#REF!,1,FALSE())),"?TYPE_IDENTIFIABLE","?REFERENTIAL"),"_")))))</f>
        <v> </v>
      </c>
      <c r="H833" s="25" t="str">
        <f>IF(J833&lt;&gt;1,"",IF(I833="SBJ","CB","?"))</f>
        <v> </v>
      </c>
      <c r="I833" s="26" t="str">
        <f>IF(OR(E833="",E833="!!!",F833="NEW"),"",INDEX(B832:B$2,-1+SUMPRODUCT(MAX(ROW(E832:E$2)*(E833=E832:E$2)))))</f>
        <v> </v>
      </c>
      <c r="J833" s="26" t="str">
        <f>IF(OR(E833="",E833="!!!",F833="NEW"),"",COUNTBLANK(OFFSET(A$1,,,SUMPRODUCT(MAX(ROW(E$2:E833)*(E833=E$2:E833)))))-COUNTBLANK(OFFSET(A$1,,,SUMPRODUCT(MAX(ROW(E$1:E832)*(E2=E$1:E832))))))</f>
        <v> </v>
      </c>
      <c r="K833" s="26" t="str">
        <f>IF(OR(E833="",E833="!!!",F833="NEW"),"",INDEX(J$1:J832,SUMPRODUCT(MAX(ROW(E$1:E832)*(E833=E$1:E832)))))</f>
        <v> </v>
      </c>
      <c r="L833" s="27"/>
    </row>
    <row r="834" spans="1:12">
      <c r="A834" s="20" t="s">
        <v>1014</v>
      </c>
      <c r="E834" s="22">
        <f>IF(D834="?OLD","!!!","")</f>
        <v/>
      </c>
      <c r="F834" s="23" t="str">
        <f>IF(OR(E834="",E834="!!!"),"",IF(NOT(ISNA(VLOOKUP(E834,E$1:E833,1,FALSE()))),"OLD",IF(AND(E834&lt;&gt;"",E834&lt;&gt;"!!!"),"NEW","")))</f>
        <v> </v>
      </c>
      <c r="G834" s="24" t="str">
        <f>IF(OR(E834="",E834="!!!"),"",IF(OR(J834=0,AND(J834=1,K834=1),AND(J834=1,I834="SBJ"),AND(J834=1,I834=0)),"?IN_FOCUS",IF(J834&lt;=2,"?ACTIVATED",IF(J834&lt;&gt;"","?FAMILIAR",IF(F834="NEW",IF(ISNA(VLOOKUP(E834,#REF!,1,FALSE())),"?TYPE_IDENTIFIABLE","?REFERENTIAL"),"_")))))</f>
        <v> </v>
      </c>
      <c r="H834" s="25" t="str">
        <f>IF(J834&lt;&gt;1,"",IF(I834="SBJ","CB","?"))</f>
        <v> </v>
      </c>
      <c r="I834" s="26" t="str">
        <f>IF(OR(E834="",E834="!!!",F834="NEW"),"",INDEX(B833:B$2,-1+SUMPRODUCT(MAX(ROW(E833:E$2)*(E834=E833:E$2)))))</f>
        <v> </v>
      </c>
      <c r="J834" s="26" t="str">
        <f>IF(OR(E834="",E834="!!!",F834="NEW"),"",COUNTBLANK(OFFSET(A$1,,,SUMPRODUCT(MAX(ROW(E$2:E834)*(E834=E$2:E834)))))-COUNTBLANK(OFFSET(A$1,,,SUMPRODUCT(MAX(ROW(E$1:E833)*(E2=E$1:E833))))))</f>
        <v> </v>
      </c>
      <c r="K834" s="26" t="str">
        <f>IF(OR(E834="",E834="!!!",F834="NEW"),"",INDEX(J$1:J833,SUMPRODUCT(MAX(ROW(E$1:E833)*(E834=E$1:E833)))))</f>
        <v> </v>
      </c>
      <c r="L834" s="27"/>
    </row>
    <row r="835" spans="1:12">
      <c r="A835" s="20" t="s">
        <v>1370</v>
      </c>
      <c r="B835" s="21" t="s">
        <v>1033</v>
      </c>
      <c r="C835" s="21" t="s">
        <v>1048</v>
      </c>
      <c r="E835" s="22">
        <f>IF(D835="?OLD","!!!","")</f>
        <v/>
      </c>
      <c r="F835" s="23" t="str">
        <f>IF(OR(E835="",E835="!!!"),"",IF(NOT(ISNA(VLOOKUP(E835,E$1:E834,1,FALSE()))),"OLD",IF(AND(E835&lt;&gt;"",E835&lt;&gt;"!!!"),"NEW","")))</f>
        <v> </v>
      </c>
      <c r="G835" s="24" t="str">
        <f>IF(OR(E835="",E835="!!!"),"",IF(OR(J835=0,AND(J835=1,K835=1),AND(J835=1,I835="SBJ"),AND(J835=1,I835=0)),"?IN_FOCUS",IF(J835&lt;=2,"?ACTIVATED",IF(J835&lt;&gt;"","?FAMILIAR",IF(F835="NEW",IF(ISNA(VLOOKUP(E835,#REF!,1,FALSE())),"?TYPE_IDENTIFIABLE","?REFERENTIAL"),"_")))))</f>
        <v> </v>
      </c>
      <c r="H835" s="25" t="str">
        <f>IF(J835&lt;&gt;1,"",IF(I835="SBJ","CB","?"))</f>
        <v> </v>
      </c>
      <c r="I835" s="26" t="str">
        <f>IF(OR(E835="",E835="!!!",F835="NEW"),"",INDEX(B834:B$2,-1+SUMPRODUCT(MAX(ROW(E834:E$2)*(E835=E834:E$2)))))</f>
        <v> </v>
      </c>
      <c r="J835" s="26" t="str">
        <f>IF(OR(E835="",E835="!!!",F835="NEW"),"",COUNTBLANK(OFFSET(A$1,,,SUMPRODUCT(MAX(ROW(E$2:E835)*(E835=E$2:E835)))))-COUNTBLANK(OFFSET(A$1,,,SUMPRODUCT(MAX(ROW(E$1:E834)*(E2=E$1:E834))))))</f>
        <v> </v>
      </c>
      <c r="K835" s="26" t="str">
        <f>IF(OR(E835="",E835="!!!",F835="NEW"),"",INDEX(J$1:J834,SUMPRODUCT(MAX(ROW(E$1:E834)*(E835=E$1:E834)))))</f>
        <v> </v>
      </c>
      <c r="L835" s="27"/>
    </row>
    <row r="836" spans="1:12">
      <c r="A836" s="20" t="s">
        <v>1371</v>
      </c>
      <c r="E836" s="22">
        <f>IF(D836="?OLD","!!!","")</f>
        <v/>
      </c>
      <c r="F836" s="23" t="str">
        <f>IF(OR(E836="",E836="!!!"),"",IF(NOT(ISNA(VLOOKUP(E836,E$1:E835,1,FALSE()))),"OLD",IF(AND(E836&lt;&gt;"",E836&lt;&gt;"!!!"),"NEW","")))</f>
        <v> </v>
      </c>
      <c r="G836" s="24" t="str">
        <f>IF(OR(E836="",E836="!!!"),"",IF(OR(J836=0,AND(J836=1,K836=1),AND(J836=1,I836="SBJ"),AND(J836=1,I836=0)),"?IN_FOCUS",IF(J836&lt;=2,"?ACTIVATED",IF(J836&lt;&gt;"","?FAMILIAR",IF(F836="NEW",IF(ISNA(VLOOKUP(E836,#REF!,1,FALSE())),"?TYPE_IDENTIFIABLE","?REFERENTIAL"),"_")))))</f>
        <v> </v>
      </c>
      <c r="H836" s="25" t="str">
        <f>IF(J836&lt;&gt;1,"",IF(I836="SBJ","CB","?"))</f>
        <v> </v>
      </c>
      <c r="I836" s="26" t="str">
        <f>IF(OR(E836="",E836="!!!",F836="NEW"),"",INDEX(B835:B$2,-1+SUMPRODUCT(MAX(ROW(E835:E$2)*(E836=E835:E$2)))))</f>
        <v> </v>
      </c>
      <c r="J836" s="26" t="str">
        <f>IF(OR(E836="",E836="!!!",F836="NEW"),"",COUNTBLANK(OFFSET(A$1,,,SUMPRODUCT(MAX(ROW(E$2:E836)*(E836=E$2:E836)))))-COUNTBLANK(OFFSET(A$1,,,SUMPRODUCT(MAX(ROW(E$1:E835)*(E2=E$1:E835))))))</f>
        <v> </v>
      </c>
      <c r="K836" s="26" t="str">
        <f>IF(OR(E836="",E836="!!!",F836="NEW"),"",INDEX(J$1:J835,SUMPRODUCT(MAX(ROW(E$1:E835)*(E836=E$1:E835)))))</f>
        <v> </v>
      </c>
      <c r="L836" s="27"/>
    </row>
    <row r="837" spans="1:12">
      <c r="A837" s="20" t="s">
        <v>1023</v>
      </c>
      <c r="E837" s="22">
        <f>IF(D837="?OLD","!!!","")</f>
        <v/>
      </c>
      <c r="F837" s="23" t="str">
        <f>IF(OR(E837="",E837="!!!"),"",IF(NOT(ISNA(VLOOKUP(E837,E$1:E836,1,FALSE()))),"OLD",IF(AND(E837&lt;&gt;"",E837&lt;&gt;"!!!"),"NEW","")))</f>
        <v> </v>
      </c>
      <c r="G837" s="24" t="str">
        <f>IF(OR(E837="",E837="!!!"),"",IF(OR(J837=0,AND(J837=1,K837=1),AND(J837=1,I837="SBJ"),AND(J837=1,I837=0)),"?IN_FOCUS",IF(J837&lt;=2,"?ACTIVATED",IF(J837&lt;&gt;"","?FAMILIAR",IF(F837="NEW",IF(ISNA(VLOOKUP(E837,#REF!,1,FALSE())),"?TYPE_IDENTIFIABLE","?REFERENTIAL"),"_")))))</f>
        <v> </v>
      </c>
      <c r="H837" s="25" t="str">
        <f>IF(J837&lt;&gt;1,"",IF(I837="SBJ","CB","?"))</f>
        <v> </v>
      </c>
      <c r="I837" s="26" t="str">
        <f>IF(OR(E837="",E837="!!!",F837="NEW"),"",INDEX(B836:B$2,-1+SUMPRODUCT(MAX(ROW(E836:E$2)*(E837=E836:E$2)))))</f>
        <v> </v>
      </c>
      <c r="J837" s="26" t="str">
        <f>IF(OR(E837="",E837="!!!",F837="NEW"),"",COUNTBLANK(OFFSET(A$1,,,SUMPRODUCT(MAX(ROW(E$2:E837)*(E837=E$2:E837)))))-COUNTBLANK(OFFSET(A$1,,,SUMPRODUCT(MAX(ROW(E$1:E836)*(E2=E$1:E836))))))</f>
        <v> </v>
      </c>
      <c r="K837" s="26" t="str">
        <f>IF(OR(E837="",E837="!!!",F837="NEW"),"",INDEX(J$1:J836,SUMPRODUCT(MAX(ROW(E$1:E836)*(E837=E$1:E836)))))</f>
        <v> </v>
      </c>
      <c r="L837" s="27"/>
    </row>
    <row r="838" spans="1:12">
      <c r="A838" s="20"/>
    </row>
    <row r="839" spans="1:12">
      <c r="A839" s="20" t="s">
        <v>1372</v>
      </c>
    </row>
    <row r="840" spans="1:12">
      <c r="A840" s="20" t="s">
        <v>1373</v>
      </c>
      <c r="E840" s="22">
        <f>IF(D840="?OLD","!!!","")</f>
        <v/>
      </c>
      <c r="F840" s="23" t="str">
        <f>IF(OR(E840="",E840="!!!"),"",IF(NOT(ISNA(VLOOKUP(E840,E$1:E839,1,FALSE()))),"OLD",IF(AND(E840&lt;&gt;"",E840&lt;&gt;"!!!"),"NEW","")))</f>
        <v> </v>
      </c>
      <c r="G840" s="24" t="str">
        <f>IF(OR(E840="",E840="!!!"),"",IF(OR(J840=0,AND(J840=1,K840=1),AND(J840=1,I840="SBJ"),AND(J840=1,I840=0)),"?IN_FOCUS",IF(J840&lt;=2,"?ACTIVATED",IF(J840&lt;&gt;"","?FAMILIAR",IF(F840="NEW",IF(ISNA(VLOOKUP(E840,#REF!,1,FALSE())),"?TYPE_IDENTIFIABLE","?REFERENTIAL"),"_")))))</f>
        <v> </v>
      </c>
      <c r="H840" s="25" t="str">
        <f>IF(J840&lt;&gt;1,"",IF(I840="SBJ","CB","?"))</f>
        <v> </v>
      </c>
      <c r="I840" s="26" t="str">
        <f>IF(OR(E840="",E840="!!!",F840="NEW"),"",INDEX(B839:B$2,-1+SUMPRODUCT(MAX(ROW(E839:E$2)*(E840=E839:E$2)))))</f>
        <v> </v>
      </c>
      <c r="J840" s="26" t="str">
        <f>IF(OR(E840="",E840="!!!",F840="NEW"),"",COUNTBLANK(OFFSET(A$1,,,SUMPRODUCT(MAX(ROW(E$2:E840)*(E840=E$2:E840)))))-COUNTBLANK(OFFSET(A$1,,,SUMPRODUCT(MAX(ROW(E$1:E839)*(E2=E$1:E839))))))</f>
        <v> </v>
      </c>
      <c r="K840" s="26" t="str">
        <f>IF(OR(E840="",E840="!!!",F840="NEW"),"",INDEX(J$1:J839,SUMPRODUCT(MAX(ROW(E$1:E839)*(E840=E$1:E839)))))</f>
        <v> </v>
      </c>
      <c r="L840" s="27"/>
    </row>
    <row r="841" spans="1:12">
      <c r="A841" s="20" t="s">
        <v>1374</v>
      </c>
      <c r="B841" s="21" t="s">
        <v>1005</v>
      </c>
      <c r="C841" s="21" t="s">
        <v>1013</v>
      </c>
      <c r="D841" s="21" t="s">
        <v>1007</v>
      </c>
      <c r="E841" s="22">
        <f>IF(D841="?OLD","!!!","")</f>
        <v/>
      </c>
      <c r="F841" s="23" t="str">
        <f>IF(OR(E841="",E841="!!!"),"",IF(NOT(ISNA(VLOOKUP(E841,E$1:E840,1,FALSE()))),"OLD",IF(AND(E841&lt;&gt;"",E841&lt;&gt;"!!!"),"NEW","")))</f>
        <v> </v>
      </c>
      <c r="G841" s="24" t="str">
        <f>IF(OR(E841="",E841="!!!"),"",IF(OR(J841=0,AND(J841=1,K841=1),AND(J841=1,I841="SBJ"),AND(J841=1,I841=0)),"?IN_FOCUS",IF(J841&lt;=2,"?ACTIVATED",IF(J841&lt;&gt;"","?FAMILIAR",IF(F841="NEW",IF(ISNA(VLOOKUP(E841,#REF!,1,FALSE())),"?TYPE_IDENTIFIABLE","?REFERENTIAL"),"_")))))</f>
        <v> </v>
      </c>
      <c r="H841" s="25" t="str">
        <f>IF(J841&lt;&gt;1,"",IF(I841="SBJ","CB","?"))</f>
        <v> </v>
      </c>
      <c r="I841" s="26" t="str">
        <f>IF(OR(E841="",E841="!!!",F841="NEW"),"",INDEX(B840:B$2,-1+SUMPRODUCT(MAX(ROW(E840:E$2)*(E841=E840:E$2)))))</f>
        <v> </v>
      </c>
      <c r="J841" s="26" t="str">
        <f>IF(OR(E841="",E841="!!!",F841="NEW"),"",COUNTBLANK(OFFSET(A$1,,,SUMPRODUCT(MAX(ROW(E$2:E841)*(E841=E$2:E841)))))-COUNTBLANK(OFFSET(A$1,,,SUMPRODUCT(MAX(ROW(E$1:E840)*(E2=E$1:E840))))))</f>
        <v> </v>
      </c>
      <c r="K841" s="26" t="str">
        <f>IF(OR(E841="",E841="!!!",F841="NEW"),"",INDEX(J$1:J840,SUMPRODUCT(MAX(ROW(E$1:E840)*(E841=E$1:E840)))))</f>
        <v> </v>
      </c>
      <c r="L841" s="27"/>
    </row>
    <row r="842" spans="1:12">
      <c r="A842" s="20" t="s">
        <v>1014</v>
      </c>
      <c r="E842" s="22">
        <f>IF(D842="?OLD","!!!","")</f>
        <v/>
      </c>
      <c r="F842" s="23" t="str">
        <f>IF(OR(E842="",E842="!!!"),"",IF(NOT(ISNA(VLOOKUP(E842,E$1:E841,1,FALSE()))),"OLD",IF(AND(E842&lt;&gt;"",E842&lt;&gt;"!!!"),"NEW","")))</f>
        <v> </v>
      </c>
      <c r="G842" s="24" t="str">
        <f>IF(OR(E842="",E842="!!!"),"",IF(OR(J842=0,AND(J842=1,K842=1),AND(J842=1,I842="SBJ"),AND(J842=1,I842=0)),"?IN_FOCUS",IF(J842&lt;=2,"?ACTIVATED",IF(J842&lt;&gt;"","?FAMILIAR",IF(F842="NEW",IF(ISNA(VLOOKUP(E842,#REF!,1,FALSE())),"?TYPE_IDENTIFIABLE","?REFERENTIAL"),"_")))))</f>
        <v> </v>
      </c>
      <c r="H842" s="25" t="str">
        <f>IF(J842&lt;&gt;1,"",IF(I842="SBJ","CB","?"))</f>
        <v> </v>
      </c>
      <c r="I842" s="26" t="str">
        <f>IF(OR(E842="",E842="!!!",F842="NEW"),"",INDEX(B841:B$2,-1+SUMPRODUCT(MAX(ROW(E841:E$2)*(E842=E841:E$2)))))</f>
        <v> </v>
      </c>
      <c r="J842" s="26" t="str">
        <f>IF(OR(E842="",E842="!!!",F842="NEW"),"",COUNTBLANK(OFFSET(A$1,,,SUMPRODUCT(MAX(ROW(E$2:E842)*(E842=E$2:E842)))))-COUNTBLANK(OFFSET(A$1,,,SUMPRODUCT(MAX(ROW(E$1:E841)*(E2=E$1:E841))))))</f>
        <v> </v>
      </c>
      <c r="K842" s="26" t="str">
        <f>IF(OR(E842="",E842="!!!",F842="NEW"),"",INDEX(J$1:J841,SUMPRODUCT(MAX(ROW(E$1:E841)*(E842=E$1:E841)))))</f>
        <v> </v>
      </c>
      <c r="L842" s="27"/>
    </row>
    <row r="843" spans="1:12">
      <c r="A843" s="20" t="s">
        <v>1140</v>
      </c>
      <c r="B843" s="21" t="s">
        <v>1022</v>
      </c>
      <c r="C843" s="21" t="s">
        <v>1073</v>
      </c>
      <c r="D843" s="21" t="s">
        <v>1007</v>
      </c>
      <c r="E843" s="22">
        <f>IF(D843="?OLD","!!!","")</f>
        <v/>
      </c>
      <c r="F843" s="23" t="str">
        <f>IF(OR(E843="",E843="!!!"),"",IF(NOT(ISNA(VLOOKUP(E843,E$1:E842,1,FALSE()))),"OLD",IF(AND(E843&lt;&gt;"",E843&lt;&gt;"!!!"),"NEW","")))</f>
        <v> </v>
      </c>
      <c r="G843" s="24" t="str">
        <f>IF(OR(E843="",E843="!!!"),"",IF(OR(J843=0,AND(J843=1,K843=1),AND(J843=1,I843="SBJ"),AND(J843=1,I843=0)),"?IN_FOCUS",IF(J843&lt;=2,"?ACTIVATED",IF(J843&lt;&gt;"","?FAMILIAR",IF(F843="NEW",IF(ISNA(VLOOKUP(E843,#REF!,1,FALSE())),"?TYPE_IDENTIFIABLE","?REFERENTIAL"),"_")))))</f>
        <v> </v>
      </c>
      <c r="H843" s="25" t="str">
        <f>IF(J843&lt;&gt;1,"",IF(I843="SBJ","CB","?"))</f>
        <v> </v>
      </c>
      <c r="I843" s="26" t="str">
        <f>IF(OR(E843="",E843="!!!",F843="NEW"),"",INDEX(B842:B$2,-1+SUMPRODUCT(MAX(ROW(E842:E$2)*(E843=E842:E$2)))))</f>
        <v> </v>
      </c>
      <c r="J843" s="26" t="str">
        <f>IF(OR(E843="",E843="!!!",F843="NEW"),"",COUNTBLANK(OFFSET(A$1,,,SUMPRODUCT(MAX(ROW(E$2:E843)*(E843=E$2:E843)))))-COUNTBLANK(OFFSET(A$1,,,SUMPRODUCT(MAX(ROW(E$1:E842)*(E2=E$1:E842))))))</f>
        <v> </v>
      </c>
      <c r="K843" s="26" t="str">
        <f>IF(OR(E843="",E843="!!!",F843="NEW"),"",INDEX(J$1:J842,SUMPRODUCT(MAX(ROW(E$1:E842)*(E843=E$1:E842)))))</f>
        <v> </v>
      </c>
      <c r="L843" s="27"/>
    </row>
    <row r="844" spans="1:12">
      <c r="A844" s="20" t="s">
        <v>1018</v>
      </c>
      <c r="E844" s="22">
        <f>IF(D844="?OLD","!!!","")</f>
        <v/>
      </c>
      <c r="F844" s="23" t="str">
        <f>IF(OR(E844="",E844="!!!"),"",IF(NOT(ISNA(VLOOKUP(E844,E$1:E843,1,FALSE()))),"OLD",IF(AND(E844&lt;&gt;"",E844&lt;&gt;"!!!"),"NEW","")))</f>
        <v> </v>
      </c>
      <c r="G844" s="24" t="str">
        <f>IF(OR(E844="",E844="!!!"),"",IF(OR(J844=0,AND(J844=1,K844=1),AND(J844=1,I844="SBJ"),AND(J844=1,I844=0)),"?IN_FOCUS",IF(J844&lt;=2,"?ACTIVATED",IF(J844&lt;&gt;"","?FAMILIAR",IF(F844="NEW",IF(ISNA(VLOOKUP(E844,#REF!,1,FALSE())),"?TYPE_IDENTIFIABLE","?REFERENTIAL"),"_")))))</f>
        <v> </v>
      </c>
      <c r="H844" s="25" t="str">
        <f>IF(J844&lt;&gt;1,"",IF(I844="SBJ","CB","?"))</f>
        <v> </v>
      </c>
      <c r="I844" s="26" t="str">
        <f>IF(OR(E844="",E844="!!!",F844="NEW"),"",INDEX(B843:B$2,-1+SUMPRODUCT(MAX(ROW(E843:E$2)*(E844=E843:E$2)))))</f>
        <v> </v>
      </c>
      <c r="J844" s="26" t="str">
        <f>IF(OR(E844="",E844="!!!",F844="NEW"),"",COUNTBLANK(OFFSET(A$1,,,SUMPRODUCT(MAX(ROW(E$2:E844)*(E844=E$2:E844)))))-COUNTBLANK(OFFSET(A$1,,,SUMPRODUCT(MAX(ROW(E$1:E843)*(E2=E$1:E843))))))</f>
        <v> </v>
      </c>
      <c r="K844" s="26" t="str">
        <f>IF(OR(E844="",E844="!!!",F844="NEW"),"",INDEX(J$1:J843,SUMPRODUCT(MAX(ROW(E$1:E843)*(E844=E$1:E843)))))</f>
        <v> </v>
      </c>
      <c r="L844" s="27"/>
    </row>
    <row r="845" spans="1:12">
      <c r="A845" s="20" t="s">
        <v>955</v>
      </c>
      <c r="E845" s="22">
        <f>IF(D845="?OLD","!!!","")</f>
        <v/>
      </c>
      <c r="F845" s="23" t="str">
        <f>IF(OR(E845="",E845="!!!"),"",IF(NOT(ISNA(VLOOKUP(E845,E$1:E844,1,FALSE()))),"OLD",IF(AND(E845&lt;&gt;"",E845&lt;&gt;"!!!"),"NEW","")))</f>
        <v> </v>
      </c>
      <c r="G845" s="24" t="str">
        <f>IF(OR(E845="",E845="!!!"),"",IF(OR(J845=0,AND(J845=1,K845=1),AND(J845=1,I845="SBJ"),AND(J845=1,I845=0)),"?IN_FOCUS",IF(J845&lt;=2,"?ACTIVATED",IF(J845&lt;&gt;"","?FAMILIAR",IF(F845="NEW",IF(ISNA(VLOOKUP(E845,#REF!,1,FALSE())),"?TYPE_IDENTIFIABLE","?REFERENTIAL"),"_")))))</f>
        <v> </v>
      </c>
      <c r="H845" s="25" t="str">
        <f>IF(J845&lt;&gt;1,"",IF(I845="SBJ","CB","?"))</f>
        <v> </v>
      </c>
      <c r="I845" s="26" t="str">
        <f>IF(OR(E845="",E845="!!!",F845="NEW"),"",INDEX(B844:B$2,-1+SUMPRODUCT(MAX(ROW(E844:E$2)*(E845=E844:E$2)))))</f>
        <v> </v>
      </c>
      <c r="J845" s="26" t="str">
        <f>IF(OR(E845="",E845="!!!",F845="NEW"),"",COUNTBLANK(OFFSET(A$1,,,SUMPRODUCT(MAX(ROW(E$2:E845)*(E845=E$2:E845)))))-COUNTBLANK(OFFSET(A$1,,,SUMPRODUCT(MAX(ROW(E$1:E844)*(E2=E$1:E844))))))</f>
        <v> </v>
      </c>
      <c r="K845" s="26" t="str">
        <f>IF(OR(E845="",E845="!!!",F845="NEW"),"",INDEX(J$1:J844,SUMPRODUCT(MAX(ROW(E$1:E844)*(E845=E$1:E844)))))</f>
        <v> </v>
      </c>
      <c r="L845" s="27"/>
    </row>
    <row r="846" spans="1:12">
      <c r="A846" s="20" t="s">
        <v>1133</v>
      </c>
      <c r="B846" s="21" t="s">
        <v>1085</v>
      </c>
      <c r="C846" s="21" t="s">
        <v>1082</v>
      </c>
      <c r="D846" s="21" t="s">
        <v>1007</v>
      </c>
      <c r="E846" s="22">
        <f>IF(D846="?OLD","!!!","")</f>
        <v/>
      </c>
      <c r="F846" s="23" t="str">
        <f>IF(OR(E846="",E846="!!!"),"",IF(NOT(ISNA(VLOOKUP(E846,E$1:E845,1,FALSE()))),"OLD",IF(AND(E846&lt;&gt;"",E846&lt;&gt;"!!!"),"NEW","")))</f>
        <v> </v>
      </c>
      <c r="G846" s="24" t="str">
        <f>IF(OR(E846="",E846="!!!"),"",IF(OR(J846=0,AND(J846=1,K846=1),AND(J846=1,I846="SBJ"),AND(J846=1,I846=0)),"?IN_FOCUS",IF(J846&lt;=2,"?ACTIVATED",IF(J846&lt;&gt;"","?FAMILIAR",IF(F846="NEW",IF(ISNA(VLOOKUP(E846,#REF!,1,FALSE())),"?TYPE_IDENTIFIABLE","?REFERENTIAL"),"_")))))</f>
        <v> </v>
      </c>
      <c r="H846" s="25" t="str">
        <f>IF(J846&lt;&gt;1,"",IF(I846="SBJ","CB","?"))</f>
        <v> </v>
      </c>
      <c r="I846" s="26" t="str">
        <f>IF(OR(E846="",E846="!!!",F846="NEW"),"",INDEX(B845:B$2,-1+SUMPRODUCT(MAX(ROW(E845:E$2)*(E846=E845:E$2)))))</f>
        <v> </v>
      </c>
      <c r="J846" s="26" t="str">
        <f>IF(OR(E846="",E846="!!!",F846="NEW"),"",COUNTBLANK(OFFSET(A$1,,,SUMPRODUCT(MAX(ROW(E$2:E846)*(E846=E$2:E846)))))-COUNTBLANK(OFFSET(A$1,,,SUMPRODUCT(MAX(ROW(E$1:E845)*(E2=E$1:E845))))))</f>
        <v> </v>
      </c>
      <c r="K846" s="26" t="str">
        <f>IF(OR(E846="",E846="!!!",F846="NEW"),"",INDEX(J$1:J845,SUMPRODUCT(MAX(ROW(E$1:E845)*(E846=E$1:E845)))))</f>
        <v> </v>
      </c>
      <c r="L846" s="27"/>
    </row>
    <row r="847" spans="1:12">
      <c r="A847" s="20" t="s">
        <v>1375</v>
      </c>
      <c r="E847" s="22">
        <f>IF(D847="?OLD","!!!","")</f>
        <v/>
      </c>
      <c r="F847" s="23" t="str">
        <f>IF(OR(E847="",E847="!!!"),"",IF(NOT(ISNA(VLOOKUP(E847,E$1:E846,1,FALSE()))),"OLD",IF(AND(E847&lt;&gt;"",E847&lt;&gt;"!!!"),"NEW","")))</f>
        <v> </v>
      </c>
      <c r="G847" s="24" t="str">
        <f>IF(OR(E847="",E847="!!!"),"",IF(OR(J847=0,AND(J847=1,K847=1),AND(J847=1,I847="SBJ"),AND(J847=1,I847=0)),"?IN_FOCUS",IF(J847&lt;=2,"?ACTIVATED",IF(J847&lt;&gt;"","?FAMILIAR",IF(F847="NEW",IF(ISNA(VLOOKUP(E847,#REF!,1,FALSE())),"?TYPE_IDENTIFIABLE","?REFERENTIAL"),"_")))))</f>
        <v> </v>
      </c>
      <c r="H847" s="25" t="str">
        <f>IF(J847&lt;&gt;1,"",IF(I847="SBJ","CB","?"))</f>
        <v> </v>
      </c>
      <c r="I847" s="26" t="str">
        <f>IF(OR(E847="",E847="!!!",F847="NEW"),"",INDEX(B846:B$2,-1+SUMPRODUCT(MAX(ROW(E846:E$2)*(E847=E846:E$2)))))</f>
        <v> </v>
      </c>
      <c r="J847" s="26" t="str">
        <f>IF(OR(E847="",E847="!!!",F847="NEW"),"",COUNTBLANK(OFFSET(A$1,,,SUMPRODUCT(MAX(ROW(E$2:E847)*(E847=E$2:E847)))))-COUNTBLANK(OFFSET(A$1,,,SUMPRODUCT(MAX(ROW(E$1:E846)*(E2=E$1:E846))))))</f>
        <v> </v>
      </c>
      <c r="K847" s="26" t="str">
        <f>IF(OR(E847="",E847="!!!",F847="NEW"),"",INDEX(J$1:J846,SUMPRODUCT(MAX(ROW(E$1:E846)*(E847=E$1:E846)))))</f>
        <v> </v>
      </c>
      <c r="L847" s="27"/>
    </row>
    <row r="848" spans="1:12">
      <c r="A848" s="20" t="s">
        <v>1182</v>
      </c>
      <c r="E848" s="22">
        <f>IF(D848="?OLD","!!!","")</f>
        <v/>
      </c>
      <c r="F848" s="23" t="str">
        <f>IF(OR(E848="",E848="!!!"),"",IF(NOT(ISNA(VLOOKUP(E848,E$1:E847,1,FALSE()))),"OLD",IF(AND(E848&lt;&gt;"",E848&lt;&gt;"!!!"),"NEW","")))</f>
        <v> </v>
      </c>
      <c r="G848" s="24" t="str">
        <f>IF(OR(E848="",E848="!!!"),"",IF(OR(J848=0,AND(J848=1,K848=1),AND(J848=1,I848="SBJ"),AND(J848=1,I848=0)),"?IN_FOCUS",IF(J848&lt;=2,"?ACTIVATED",IF(J848&lt;&gt;"","?FAMILIAR",IF(F848="NEW",IF(ISNA(VLOOKUP(E848,#REF!,1,FALSE())),"?TYPE_IDENTIFIABLE","?REFERENTIAL"),"_")))))</f>
        <v> </v>
      </c>
      <c r="H848" s="25" t="str">
        <f>IF(J848&lt;&gt;1,"",IF(I848="SBJ","CB","?"))</f>
        <v> </v>
      </c>
      <c r="I848" s="26" t="str">
        <f>IF(OR(E848="",E848="!!!",F848="NEW"),"",INDEX(B847:B$2,-1+SUMPRODUCT(MAX(ROW(E847:E$2)*(E848=E847:E$2)))))</f>
        <v> </v>
      </c>
      <c r="J848" s="26" t="str">
        <f>IF(OR(E848="",E848="!!!",F848="NEW"),"",COUNTBLANK(OFFSET(A$1,,,SUMPRODUCT(MAX(ROW(E$2:E848)*(E848=E$2:E848)))))-COUNTBLANK(OFFSET(A$1,,,SUMPRODUCT(MAX(ROW(E$1:E847)*(E2=E$1:E847))))))</f>
        <v> </v>
      </c>
      <c r="K848" s="26" t="str">
        <f>IF(OR(E848="",E848="!!!",F848="NEW"),"",INDEX(J$1:J847,SUMPRODUCT(MAX(ROW(E$1:E847)*(E848=E$1:E847)))))</f>
        <v> </v>
      </c>
      <c r="L848" s="27"/>
    </row>
    <row r="849" spans="1:12">
      <c r="A849" s="20" t="s">
        <v>1027</v>
      </c>
      <c r="E849" s="22">
        <f>IF(D849="?OLD","!!!","")</f>
        <v/>
      </c>
      <c r="F849" s="23" t="str">
        <f>IF(OR(E849="",E849="!!!"),"",IF(NOT(ISNA(VLOOKUP(E849,E$1:E848,1,FALSE()))),"OLD",IF(AND(E849&lt;&gt;"",E849&lt;&gt;"!!!"),"NEW","")))</f>
        <v> </v>
      </c>
      <c r="G849" s="24" t="str">
        <f>IF(OR(E849="",E849="!!!"),"",IF(OR(J849=0,AND(J849=1,K849=1),AND(J849=1,I849="SBJ"),AND(J849=1,I849=0)),"?IN_FOCUS",IF(J849&lt;=2,"?ACTIVATED",IF(J849&lt;&gt;"","?FAMILIAR",IF(F849="NEW",IF(ISNA(VLOOKUP(E849,#REF!,1,FALSE())),"?TYPE_IDENTIFIABLE","?REFERENTIAL"),"_")))))</f>
        <v> </v>
      </c>
      <c r="H849" s="25" t="str">
        <f>IF(J849&lt;&gt;1,"",IF(I849="SBJ","CB","?"))</f>
        <v> </v>
      </c>
      <c r="I849" s="26" t="str">
        <f>IF(OR(E849="",E849="!!!",F849="NEW"),"",INDEX(B848:B$2,-1+SUMPRODUCT(MAX(ROW(E848:E$2)*(E849=E848:E$2)))))</f>
        <v> </v>
      </c>
      <c r="J849" s="26" t="str">
        <f>IF(OR(E849="",E849="!!!",F849="NEW"),"",COUNTBLANK(OFFSET(A$1,,,SUMPRODUCT(MAX(ROW(E$2:E849)*(E849=E$2:E849)))))-COUNTBLANK(OFFSET(A$1,,,SUMPRODUCT(MAX(ROW(E$1:E848)*(E2=E$1:E848))))))</f>
        <v> </v>
      </c>
      <c r="K849" s="26" t="str">
        <f>IF(OR(E849="",E849="!!!",F849="NEW"),"",INDEX(J$1:J848,SUMPRODUCT(MAX(ROW(E$1:E848)*(E849=E$1:E848)))))</f>
        <v> </v>
      </c>
      <c r="L849" s="27"/>
    </row>
    <row r="850" spans="1:12">
      <c r="A850" s="20" t="s">
        <v>1262</v>
      </c>
      <c r="B850" s="21" t="s">
        <v>1005</v>
      </c>
      <c r="C850" s="21" t="s">
        <v>1017</v>
      </c>
      <c r="D850" s="21" t="s">
        <v>1007</v>
      </c>
      <c r="E850" s="22">
        <f>IF(D850="?OLD","!!!","")</f>
        <v/>
      </c>
      <c r="F850" s="23" t="str">
        <f>IF(OR(E850="",E850="!!!"),"",IF(NOT(ISNA(VLOOKUP(E850,E$1:E849,1,FALSE()))),"OLD",IF(AND(E850&lt;&gt;"",E850&lt;&gt;"!!!"),"NEW","")))</f>
        <v> </v>
      </c>
      <c r="G850" s="24" t="str">
        <f>IF(OR(E850="",E850="!!!"),"",IF(OR(J850=0,AND(J850=1,K850=1),AND(J850=1,I850="SBJ"),AND(J850=1,I850=0)),"?IN_FOCUS",IF(J850&lt;=2,"?ACTIVATED",IF(J850&lt;&gt;"","?FAMILIAR",IF(F850="NEW",IF(ISNA(VLOOKUP(E850,#REF!,1,FALSE())),"?TYPE_IDENTIFIABLE","?REFERENTIAL"),"_")))))</f>
        <v> </v>
      </c>
      <c r="H850" s="25" t="str">
        <f>IF(J850&lt;&gt;1,"",IF(I850="SBJ","CB","?"))</f>
        <v> </v>
      </c>
      <c r="I850" s="26" t="str">
        <f>IF(OR(E850="",E850="!!!",F850="NEW"),"",INDEX(B849:B$2,-1+SUMPRODUCT(MAX(ROW(E849:E$2)*(E850=E849:E$2)))))</f>
        <v> </v>
      </c>
      <c r="J850" s="26" t="str">
        <f>IF(OR(E850="",E850="!!!",F850="NEW"),"",COUNTBLANK(OFFSET(A$1,,,SUMPRODUCT(MAX(ROW(E$2:E850)*(E850=E$2:E850)))))-COUNTBLANK(OFFSET(A$1,,,SUMPRODUCT(MAX(ROW(E$1:E849)*(E2=E$1:E849))))))</f>
        <v> </v>
      </c>
      <c r="K850" s="26" t="str">
        <f>IF(OR(E850="",E850="!!!",F850="NEW"),"",INDEX(J$1:J849,SUMPRODUCT(MAX(ROW(E$1:E849)*(E850=E$1:E849)))))</f>
        <v> </v>
      </c>
      <c r="L850" s="27"/>
    </row>
    <row r="851" spans="1:12">
      <c r="A851" s="20" t="s">
        <v>1065</v>
      </c>
      <c r="B851" s="21" t="s">
        <v>1187</v>
      </c>
      <c r="E851" s="22">
        <f>IF(D851="?OLD","!!!","")</f>
        <v/>
      </c>
      <c r="F851" s="23" t="str">
        <f>IF(OR(E851="",E851="!!!"),"",IF(NOT(ISNA(VLOOKUP(E851,E$1:E850,1,FALSE()))),"OLD",IF(AND(E851&lt;&gt;"",E851&lt;&gt;"!!!"),"NEW","")))</f>
        <v> </v>
      </c>
      <c r="G851" s="24" t="str">
        <f>IF(OR(E851="",E851="!!!"),"",IF(OR(J851=0,AND(J851=1,K851=1),AND(J851=1,I851="SBJ"),AND(J851=1,I851=0)),"?IN_FOCUS",IF(J851&lt;=2,"?ACTIVATED",IF(J851&lt;&gt;"","?FAMILIAR",IF(F851="NEW",IF(ISNA(VLOOKUP(E851,#REF!,1,FALSE())),"?TYPE_IDENTIFIABLE","?REFERENTIAL"),"_")))))</f>
        <v> </v>
      </c>
      <c r="H851" s="25" t="str">
        <f>IF(J851&lt;&gt;1,"",IF(I851="SBJ","CB","?"))</f>
        <v> </v>
      </c>
      <c r="I851" s="26" t="str">
        <f>IF(OR(E851="",E851="!!!",F851="NEW"),"",INDEX(B850:B$2,-1+SUMPRODUCT(MAX(ROW(E850:E$2)*(E851=E850:E$2)))))</f>
        <v> </v>
      </c>
      <c r="J851" s="26" t="str">
        <f>IF(OR(E851="",E851="!!!",F851="NEW"),"",COUNTBLANK(OFFSET(A$1,,,SUMPRODUCT(MAX(ROW(E$2:E851)*(E851=E$2:E851)))))-COUNTBLANK(OFFSET(A$1,,,SUMPRODUCT(MAX(ROW(E$1:E850)*(E2=E$1:E850))))))</f>
        <v> </v>
      </c>
      <c r="K851" s="26" t="str">
        <f>IF(OR(E851="",E851="!!!",F851="NEW"),"",INDEX(J$1:J850,SUMPRODUCT(MAX(ROW(E$1:E850)*(E851=E$1:E850)))))</f>
        <v> </v>
      </c>
      <c r="L851" s="27"/>
    </row>
    <row r="852" spans="1:12">
      <c r="A852" s="20" t="s">
        <v>1376</v>
      </c>
      <c r="E852" s="22">
        <f>IF(D852="?OLD","!!!","")</f>
        <v/>
      </c>
      <c r="F852" s="23" t="str">
        <f>IF(OR(E852="",E852="!!!"),"",IF(NOT(ISNA(VLOOKUP(E852,E$1:E851,1,FALSE()))),"OLD",IF(AND(E852&lt;&gt;"",E852&lt;&gt;"!!!"),"NEW","")))</f>
        <v> </v>
      </c>
      <c r="G852" s="24" t="str">
        <f>IF(OR(E852="",E852="!!!"),"",IF(OR(J852=0,AND(J852=1,K852=1),AND(J852=1,I852="SBJ"),AND(J852=1,I852=0)),"?IN_FOCUS",IF(J852&lt;=2,"?ACTIVATED",IF(J852&lt;&gt;"","?FAMILIAR",IF(F852="NEW",IF(ISNA(VLOOKUP(E852,#REF!,1,FALSE())),"?TYPE_IDENTIFIABLE","?REFERENTIAL"),"_")))))</f>
        <v> </v>
      </c>
      <c r="H852" s="25" t="str">
        <f>IF(J852&lt;&gt;1,"",IF(I852="SBJ","CB","?"))</f>
        <v> </v>
      </c>
      <c r="I852" s="26" t="str">
        <f>IF(OR(E852="",E852="!!!",F852="NEW"),"",INDEX(B851:B$2,-1+SUMPRODUCT(MAX(ROW(E851:E$2)*(E852=E851:E$2)))))</f>
        <v> </v>
      </c>
      <c r="J852" s="26" t="str">
        <f>IF(OR(E852="",E852="!!!",F852="NEW"),"",COUNTBLANK(OFFSET(A$1,,,SUMPRODUCT(MAX(ROW(E$2:E852)*(E852=E$2:E852)))))-COUNTBLANK(OFFSET(A$1,,,SUMPRODUCT(MAX(ROW(E$1:E851)*(E2=E$1:E851))))))</f>
        <v> </v>
      </c>
      <c r="K852" s="26" t="str">
        <f>IF(OR(E852="",E852="!!!",F852="NEW"),"",INDEX(J$1:J851,SUMPRODUCT(MAX(ROW(E$1:E851)*(E852=E$1:E851)))))</f>
        <v> </v>
      </c>
      <c r="L852" s="27"/>
    </row>
    <row r="853" spans="1:12">
      <c r="A853" s="20" t="s">
        <v>1023</v>
      </c>
      <c r="E853" s="22">
        <f>IF(D853="?OLD","!!!","")</f>
        <v/>
      </c>
      <c r="F853" s="23" t="str">
        <f>IF(OR(E853="",E853="!!!"),"",IF(NOT(ISNA(VLOOKUP(E853,E$1:E852,1,FALSE()))),"OLD",IF(AND(E853&lt;&gt;"",E853&lt;&gt;"!!!"),"NEW","")))</f>
        <v> </v>
      </c>
      <c r="G853" s="24" t="str">
        <f>IF(OR(E853="",E853="!!!"),"",IF(OR(J853=0,AND(J853=1,K853=1),AND(J853=1,I853="SBJ"),AND(J853=1,I853=0)),"?IN_FOCUS",IF(J853&lt;=2,"?ACTIVATED",IF(J853&lt;&gt;"","?FAMILIAR",IF(F853="NEW",IF(ISNA(VLOOKUP(E853,#REF!,1,FALSE())),"?TYPE_IDENTIFIABLE","?REFERENTIAL"),"_")))))</f>
        <v> </v>
      </c>
      <c r="H853" s="25" t="str">
        <f>IF(J853&lt;&gt;1,"",IF(I853="SBJ","CB","?"))</f>
        <v> </v>
      </c>
      <c r="I853" s="26" t="str">
        <f>IF(OR(E853="",E853="!!!",F853="NEW"),"",INDEX(B852:B$2,-1+SUMPRODUCT(MAX(ROW(E852:E$2)*(E853=E852:E$2)))))</f>
        <v> </v>
      </c>
      <c r="J853" s="26" t="str">
        <f>IF(OR(E853="",E853="!!!",F853="NEW"),"",COUNTBLANK(OFFSET(A$1,,,SUMPRODUCT(MAX(ROW(E$2:E853)*(E853=E$2:E853)))))-COUNTBLANK(OFFSET(A$1,,,SUMPRODUCT(MAX(ROW(E$1:E852)*(E2=E$1:E852))))))</f>
        <v> </v>
      </c>
      <c r="K853" s="26" t="str">
        <f>IF(OR(E853="",E853="!!!",F853="NEW"),"",INDEX(J$1:J852,SUMPRODUCT(MAX(ROW(E$1:E852)*(E853=E$1:E852)))))</f>
        <v> </v>
      </c>
      <c r="L853" s="27"/>
    </row>
    <row r="854" spans="1:12">
      <c r="A854" s="20"/>
    </row>
    <row r="855" spans="1:12">
      <c r="A855" s="20" t="s">
        <v>1377</v>
      </c>
    </row>
    <row r="856" spans="1:12">
      <c r="A856" s="20" t="s">
        <v>1094</v>
      </c>
      <c r="E856" s="22">
        <f>IF(D856="?OLD","!!!","")</f>
        <v/>
      </c>
      <c r="F856" s="23" t="str">
        <f>IF(OR(E856="",E856="!!!"),"",IF(NOT(ISNA(VLOOKUP(E856,E$1:E855,1,FALSE()))),"OLD",IF(AND(E856&lt;&gt;"",E856&lt;&gt;"!!!"),"NEW","")))</f>
        <v> </v>
      </c>
      <c r="G856" s="24" t="str">
        <f>IF(OR(E856="",E856="!!!"),"",IF(OR(J856=0,AND(J856=1,K856=1),AND(J856=1,I856="SBJ"),AND(J856=1,I856=0)),"?IN_FOCUS",IF(J856&lt;=2,"?ACTIVATED",IF(J856&lt;&gt;"","?FAMILIAR",IF(F856="NEW",IF(ISNA(VLOOKUP(E856,#REF!,1,FALSE())),"?TYPE_IDENTIFIABLE","?REFERENTIAL"),"_")))))</f>
        <v> </v>
      </c>
      <c r="H856" s="25" t="str">
        <f>IF(J856&lt;&gt;1,"",IF(I856="SBJ","CB","?"))</f>
        <v> </v>
      </c>
      <c r="I856" s="26" t="str">
        <f>IF(OR(E856="",E856="!!!",F856="NEW"),"",INDEX(B855:B$2,-1+SUMPRODUCT(MAX(ROW(E855:E$2)*(E856=E855:E$2)))))</f>
        <v> </v>
      </c>
      <c r="J856" s="26" t="str">
        <f>IF(OR(E856="",E856="!!!",F856="NEW"),"",COUNTBLANK(OFFSET(A$1,,,SUMPRODUCT(MAX(ROW(E$2:E856)*(E856=E$2:E856)))))-COUNTBLANK(OFFSET(A$1,,,SUMPRODUCT(MAX(ROW(E$1:E855)*(E2=E$1:E855))))))</f>
        <v> </v>
      </c>
      <c r="K856" s="26" t="str">
        <f>IF(OR(E856="",E856="!!!",F856="NEW"),"",INDEX(J$1:J855,SUMPRODUCT(MAX(ROW(E$1:E855)*(E856=E$1:E855)))))</f>
        <v> </v>
      </c>
      <c r="L856" s="27"/>
    </row>
    <row r="857" spans="1:12">
      <c r="A857" s="20" t="s">
        <v>1009</v>
      </c>
      <c r="E857" s="22">
        <f>IF(D857="?OLD","!!!","")</f>
        <v/>
      </c>
      <c r="F857" s="23" t="str">
        <f>IF(OR(E857="",E857="!!!"),"",IF(NOT(ISNA(VLOOKUP(E857,E$1:E856,1,FALSE()))),"OLD",IF(AND(E857&lt;&gt;"",E857&lt;&gt;"!!!"),"NEW","")))</f>
        <v> </v>
      </c>
      <c r="G857" s="24" t="str">
        <f>IF(OR(E857="",E857="!!!"),"",IF(OR(J857=0,AND(J857=1,K857=1),AND(J857=1,I857="SBJ"),AND(J857=1,I857=0)),"?IN_FOCUS",IF(J857&lt;=2,"?ACTIVATED",IF(J857&lt;&gt;"","?FAMILIAR",IF(F857="NEW",IF(ISNA(VLOOKUP(E857,#REF!,1,FALSE())),"?TYPE_IDENTIFIABLE","?REFERENTIAL"),"_")))))</f>
        <v> </v>
      </c>
      <c r="H857" s="25" t="str">
        <f>IF(J857&lt;&gt;1,"",IF(I857="SBJ","CB","?"))</f>
        <v> </v>
      </c>
      <c r="I857" s="26" t="str">
        <f>IF(OR(E857="",E857="!!!",F857="NEW"),"",INDEX(B856:B$2,-1+SUMPRODUCT(MAX(ROW(E856:E$2)*(E857=E856:E$2)))))</f>
        <v> </v>
      </c>
      <c r="J857" s="26" t="str">
        <f>IF(OR(E857="",E857="!!!",F857="NEW"),"",COUNTBLANK(OFFSET(A$1,,,SUMPRODUCT(MAX(ROW(E$2:E857)*(E857=E$2:E857)))))-COUNTBLANK(OFFSET(A$1,,,SUMPRODUCT(MAX(ROW(E$1:E856)*(E2=E$1:E856))))))</f>
        <v> </v>
      </c>
      <c r="K857" s="26" t="str">
        <f>IF(OR(E857="",E857="!!!",F857="NEW"),"",INDEX(J$1:J856,SUMPRODUCT(MAX(ROW(E$1:E856)*(E857=E$1:E856)))))</f>
        <v> </v>
      </c>
      <c r="L857" s="27"/>
    </row>
    <row r="858" spans="1:12">
      <c r="A858" s="20" t="s">
        <v>1378</v>
      </c>
      <c r="E858" s="22">
        <f>IF(D858="?OLD","!!!","")</f>
        <v/>
      </c>
      <c r="F858" s="23" t="str">
        <f>IF(OR(E858="",E858="!!!"),"",IF(NOT(ISNA(VLOOKUP(E858,E$1:E857,1,FALSE()))),"OLD",IF(AND(E858&lt;&gt;"",E858&lt;&gt;"!!!"),"NEW","")))</f>
        <v> </v>
      </c>
      <c r="G858" s="24" t="str">
        <f>IF(OR(E858="",E858="!!!"),"",IF(OR(J858=0,AND(J858=1,K858=1),AND(J858=1,I858="SBJ"),AND(J858=1,I858=0)),"?IN_FOCUS",IF(J858&lt;=2,"?ACTIVATED",IF(J858&lt;&gt;"","?FAMILIAR",IF(F858="NEW",IF(ISNA(VLOOKUP(E858,#REF!,1,FALSE())),"?TYPE_IDENTIFIABLE","?REFERENTIAL"),"_")))))</f>
        <v> </v>
      </c>
      <c r="H858" s="25" t="str">
        <f>IF(J858&lt;&gt;1,"",IF(I858="SBJ","CB","?"))</f>
        <v> </v>
      </c>
      <c r="I858" s="26" t="str">
        <f>IF(OR(E858="",E858="!!!",F858="NEW"),"",INDEX(B857:B$2,-1+SUMPRODUCT(MAX(ROW(E857:E$2)*(E858=E857:E$2)))))</f>
        <v> </v>
      </c>
      <c r="J858" s="26" t="str">
        <f>IF(OR(E858="",E858="!!!",F858="NEW"),"",COUNTBLANK(OFFSET(A$1,,,SUMPRODUCT(MAX(ROW(E$2:E858)*(E858=E$2:E858)))))-COUNTBLANK(OFFSET(A$1,,,SUMPRODUCT(MAX(ROW(E$1:E857)*(E2=E$1:E857))))))</f>
        <v> </v>
      </c>
      <c r="K858" s="26" t="str">
        <f>IF(OR(E858="",E858="!!!",F858="NEW"),"",INDEX(J$1:J857,SUMPRODUCT(MAX(ROW(E$1:E857)*(E858=E$1:E857)))))</f>
        <v> </v>
      </c>
      <c r="L858" s="27"/>
    </row>
    <row r="859" spans="1:12">
      <c r="A859" s="20" t="s">
        <v>145</v>
      </c>
      <c r="E859" s="22">
        <f>IF(D859="?OLD","!!!","")</f>
        <v/>
      </c>
      <c r="F859" s="23" t="str">
        <f>IF(OR(E859="",E859="!!!"),"",IF(NOT(ISNA(VLOOKUP(E859,E$1:E858,1,FALSE()))),"OLD",IF(AND(E859&lt;&gt;"",E859&lt;&gt;"!!!"),"NEW","")))</f>
        <v> </v>
      </c>
      <c r="G859" s="24" t="str">
        <f>IF(OR(E859="",E859="!!!"),"",IF(OR(J859=0,AND(J859=1,K859=1),AND(J859=1,I859="SBJ"),AND(J859=1,I859=0)),"?IN_FOCUS",IF(J859&lt;=2,"?ACTIVATED",IF(J859&lt;&gt;"","?FAMILIAR",IF(F859="NEW",IF(ISNA(VLOOKUP(E859,#REF!,1,FALSE())),"?TYPE_IDENTIFIABLE","?REFERENTIAL"),"_")))))</f>
        <v> </v>
      </c>
      <c r="H859" s="25" t="str">
        <f>IF(J859&lt;&gt;1,"",IF(I859="SBJ","CB","?"))</f>
        <v> </v>
      </c>
      <c r="I859" s="26" t="str">
        <f>IF(OR(E859="",E859="!!!",F859="NEW"),"",INDEX(B858:B$2,-1+SUMPRODUCT(MAX(ROW(E858:E$2)*(E859=E858:E$2)))))</f>
        <v> </v>
      </c>
      <c r="J859" s="26" t="str">
        <f>IF(OR(E859="",E859="!!!",F859="NEW"),"",COUNTBLANK(OFFSET(A$1,,,SUMPRODUCT(MAX(ROW(E$2:E859)*(E859=E$2:E859)))))-COUNTBLANK(OFFSET(A$1,,,SUMPRODUCT(MAX(ROW(E$1:E858)*(E2=E$1:E858))))))</f>
        <v> </v>
      </c>
      <c r="K859" s="26" t="str">
        <f>IF(OR(E859="",E859="!!!",F859="NEW"),"",INDEX(J$1:J858,SUMPRODUCT(MAX(ROW(E$1:E858)*(E859=E$1:E858)))))</f>
        <v> </v>
      </c>
      <c r="L859" s="27"/>
    </row>
    <row r="860" spans="1:12">
      <c r="A860" s="20" t="s">
        <v>1020</v>
      </c>
      <c r="E860" s="22">
        <f>IF(D860="?OLD","!!!","")</f>
        <v/>
      </c>
      <c r="F860" s="23" t="str">
        <f>IF(OR(E860="",E860="!!!"),"",IF(NOT(ISNA(VLOOKUP(E860,E$1:E859,1,FALSE()))),"OLD",IF(AND(E860&lt;&gt;"",E860&lt;&gt;"!!!"),"NEW","")))</f>
        <v> </v>
      </c>
      <c r="G860" s="24" t="str">
        <f>IF(OR(E860="",E860="!!!"),"",IF(OR(J860=0,AND(J860=1,K860=1),AND(J860=1,I860="SBJ"),AND(J860=1,I860=0)),"?IN_FOCUS",IF(J860&lt;=2,"?ACTIVATED",IF(J860&lt;&gt;"","?FAMILIAR",IF(F860="NEW",IF(ISNA(VLOOKUP(E860,#REF!,1,FALSE())),"?TYPE_IDENTIFIABLE","?REFERENTIAL"),"_")))))</f>
        <v> </v>
      </c>
      <c r="H860" s="25" t="str">
        <f>IF(J860&lt;&gt;1,"",IF(I860="SBJ","CB","?"))</f>
        <v> </v>
      </c>
      <c r="I860" s="26" t="str">
        <f>IF(OR(E860="",E860="!!!",F860="NEW"),"",INDEX(B859:B$2,-1+SUMPRODUCT(MAX(ROW(E859:E$2)*(E860=E859:E$2)))))</f>
        <v> </v>
      </c>
      <c r="J860" s="26" t="str">
        <f>IF(OR(E860="",E860="!!!",F860="NEW"),"",COUNTBLANK(OFFSET(A$1,,,SUMPRODUCT(MAX(ROW(E$2:E860)*(E860=E$2:E860)))))-COUNTBLANK(OFFSET(A$1,,,SUMPRODUCT(MAX(ROW(E$1:E859)*(E2=E$1:E859))))))</f>
        <v> </v>
      </c>
      <c r="K860" s="26" t="str">
        <f>IF(OR(E860="",E860="!!!",F860="NEW"),"",INDEX(J$1:J859,SUMPRODUCT(MAX(ROW(E$1:E859)*(E860=E$1:E859)))))</f>
        <v> </v>
      </c>
      <c r="L860" s="27"/>
    </row>
    <row r="861" spans="1:12">
      <c r="A861" s="20" t="s">
        <v>102</v>
      </c>
      <c r="E861" s="22">
        <f>IF(D861="?OLD","!!!","")</f>
        <v/>
      </c>
      <c r="F861" s="23" t="str">
        <f>IF(OR(E861="",E861="!!!"),"",IF(NOT(ISNA(VLOOKUP(E861,E$1:E860,1,FALSE()))),"OLD",IF(AND(E861&lt;&gt;"",E861&lt;&gt;"!!!"),"NEW","")))</f>
        <v> </v>
      </c>
      <c r="G861" s="24" t="str">
        <f>IF(OR(E861="",E861="!!!"),"",IF(OR(J861=0,AND(J861=1,K861=1),AND(J861=1,I861="SBJ"),AND(J861=1,I861=0)),"?IN_FOCUS",IF(J861&lt;=2,"?ACTIVATED",IF(J861&lt;&gt;"","?FAMILIAR",IF(F861="NEW",IF(ISNA(VLOOKUP(E861,#REF!,1,FALSE())),"?TYPE_IDENTIFIABLE","?REFERENTIAL"),"_")))))</f>
        <v> </v>
      </c>
      <c r="H861" s="25" t="str">
        <f>IF(J861&lt;&gt;1,"",IF(I861="SBJ","CB","?"))</f>
        <v> </v>
      </c>
      <c r="I861" s="26" t="str">
        <f>IF(OR(E861="",E861="!!!",F861="NEW"),"",INDEX(B860:B$2,-1+SUMPRODUCT(MAX(ROW(E860:E$2)*(E861=E860:E$2)))))</f>
        <v> </v>
      </c>
      <c r="J861" s="26" t="str">
        <f>IF(OR(E861="",E861="!!!",F861="NEW"),"",COUNTBLANK(OFFSET(A$1,,,SUMPRODUCT(MAX(ROW(E$2:E861)*(E861=E$2:E861)))))-COUNTBLANK(OFFSET(A$1,,,SUMPRODUCT(MAX(ROW(E$1:E860)*(E2=E$1:E860))))))</f>
        <v> </v>
      </c>
      <c r="K861" s="26" t="str">
        <f>IF(OR(E861="",E861="!!!",F861="NEW"),"",INDEX(J$1:J860,SUMPRODUCT(MAX(ROW(E$1:E860)*(E861=E$1:E860)))))</f>
        <v> </v>
      </c>
      <c r="L861" s="27"/>
    </row>
    <row r="862" spans="1:12">
      <c r="A862" s="20" t="s">
        <v>1267</v>
      </c>
      <c r="B862" s="21" t="s">
        <v>1005</v>
      </c>
      <c r="C862" s="21" t="s">
        <v>1017</v>
      </c>
      <c r="D862" s="21" t="s">
        <v>1007</v>
      </c>
      <c r="E862" s="22">
        <f>IF(D862="?OLD","!!!","")</f>
        <v/>
      </c>
      <c r="F862" s="23" t="str">
        <f>IF(OR(E862="",E862="!!!"),"",IF(NOT(ISNA(VLOOKUP(E862,E$1:E861,1,FALSE()))),"OLD",IF(AND(E862&lt;&gt;"",E862&lt;&gt;"!!!"),"NEW","")))</f>
        <v> </v>
      </c>
      <c r="G862" s="24" t="str">
        <f>IF(OR(E862="",E862="!!!"),"",IF(OR(J862=0,AND(J862=1,K862=1),AND(J862=1,I862="SBJ"),AND(J862=1,I862=0)),"?IN_FOCUS",IF(J862&lt;=2,"?ACTIVATED",IF(J862&lt;&gt;"","?FAMILIAR",IF(F862="NEW",IF(ISNA(VLOOKUP(E862,#REF!,1,FALSE())),"?TYPE_IDENTIFIABLE","?REFERENTIAL"),"_")))))</f>
        <v> </v>
      </c>
      <c r="H862" s="25" t="str">
        <f>IF(J862&lt;&gt;1,"",IF(I862="SBJ","CB","?"))</f>
        <v> </v>
      </c>
      <c r="I862" s="26" t="str">
        <f>IF(OR(E862="",E862="!!!",F862="NEW"),"",INDEX(B861:B$2,-1+SUMPRODUCT(MAX(ROW(E861:E$2)*(E862=E861:E$2)))))</f>
        <v> </v>
      </c>
      <c r="J862" s="26" t="str">
        <f>IF(OR(E862="",E862="!!!",F862="NEW"),"",COUNTBLANK(OFFSET(A$1,,,SUMPRODUCT(MAX(ROW(E$2:E862)*(E862=E$2:E862)))))-COUNTBLANK(OFFSET(A$1,,,SUMPRODUCT(MAX(ROW(E$1:E861)*(E2=E$1:E861))))))</f>
        <v> </v>
      </c>
      <c r="K862" s="26" t="str">
        <f>IF(OR(E862="",E862="!!!",F862="NEW"),"",INDEX(J$1:J861,SUMPRODUCT(MAX(ROW(E$1:E861)*(E862=E$1:E861)))))</f>
        <v> </v>
      </c>
      <c r="L862" s="27"/>
    </row>
    <row r="863" spans="1:12">
      <c r="A863" s="20" t="s">
        <v>1230</v>
      </c>
      <c r="E863" s="22">
        <f>IF(D863="?OLD","!!!","")</f>
        <v/>
      </c>
      <c r="F863" s="23" t="str">
        <f>IF(OR(E863="",E863="!!!"),"",IF(NOT(ISNA(VLOOKUP(E863,E$1:E862,1,FALSE()))),"OLD",IF(AND(E863&lt;&gt;"",E863&lt;&gt;"!!!"),"NEW","")))</f>
        <v> </v>
      </c>
      <c r="G863" s="24" t="str">
        <f>IF(OR(E863="",E863="!!!"),"",IF(OR(J863=0,AND(J863=1,K863=1),AND(J863=1,I863="SBJ"),AND(J863=1,I863=0)),"?IN_FOCUS",IF(J863&lt;=2,"?ACTIVATED",IF(J863&lt;&gt;"","?FAMILIAR",IF(F863="NEW",IF(ISNA(VLOOKUP(E863,#REF!,1,FALSE())),"?TYPE_IDENTIFIABLE","?REFERENTIAL"),"_")))))</f>
        <v> </v>
      </c>
      <c r="H863" s="25" t="str">
        <f>IF(J863&lt;&gt;1,"",IF(I863="SBJ","CB","?"))</f>
        <v> </v>
      </c>
      <c r="I863" s="26" t="str">
        <f>IF(OR(E863="",E863="!!!",F863="NEW"),"",INDEX(B862:B$2,-1+SUMPRODUCT(MAX(ROW(E862:E$2)*(E863=E862:E$2)))))</f>
        <v> </v>
      </c>
      <c r="J863" s="26" t="str">
        <f>IF(OR(E863="",E863="!!!",F863="NEW"),"",COUNTBLANK(OFFSET(A$1,,,SUMPRODUCT(MAX(ROW(E$2:E863)*(E863=E$2:E863)))))-COUNTBLANK(OFFSET(A$1,,,SUMPRODUCT(MAX(ROW(E$1:E862)*(E2=E$1:E862))))))</f>
        <v> </v>
      </c>
      <c r="K863" s="26" t="str">
        <f>IF(OR(E863="",E863="!!!",F863="NEW"),"",INDEX(J$1:J862,SUMPRODUCT(MAX(ROW(E$1:E862)*(E863=E$1:E862)))))</f>
        <v> </v>
      </c>
      <c r="L863" s="27"/>
    </row>
    <row r="864" spans="1:12">
      <c r="A864" s="20" t="s">
        <v>1379</v>
      </c>
      <c r="B864" s="21" t="s">
        <v>1085</v>
      </c>
      <c r="C864" s="21" t="s">
        <v>1013</v>
      </c>
      <c r="D864" s="21" t="s">
        <v>1007</v>
      </c>
      <c r="E864" s="22">
        <f>IF(D864="?OLD","!!!","")</f>
        <v/>
      </c>
      <c r="F864" s="23" t="str">
        <f>IF(OR(E864="",E864="!!!"),"",IF(NOT(ISNA(VLOOKUP(E864,E$1:E863,1,FALSE()))),"OLD",IF(AND(E864&lt;&gt;"",E864&lt;&gt;"!!!"),"NEW","")))</f>
        <v> </v>
      </c>
      <c r="G864" s="24" t="str">
        <f>IF(OR(E864="",E864="!!!"),"",IF(OR(J864=0,AND(J864=1,K864=1),AND(J864=1,I864="SBJ"),AND(J864=1,I864=0)),"?IN_FOCUS",IF(J864&lt;=2,"?ACTIVATED",IF(J864&lt;&gt;"","?FAMILIAR",IF(F864="NEW",IF(ISNA(VLOOKUP(E864,#REF!,1,FALSE())),"?TYPE_IDENTIFIABLE","?REFERENTIAL"),"_")))))</f>
        <v> </v>
      </c>
      <c r="H864" s="25" t="str">
        <f>IF(J864&lt;&gt;1,"",IF(I864="SBJ","CB","?"))</f>
        <v> </v>
      </c>
      <c r="I864" s="26" t="str">
        <f>IF(OR(E864="",E864="!!!",F864="NEW"),"",INDEX(B863:B$2,-1+SUMPRODUCT(MAX(ROW(E863:E$2)*(E864=E863:E$2)))))</f>
        <v> </v>
      </c>
      <c r="J864" s="26" t="str">
        <f>IF(OR(E864="",E864="!!!",F864="NEW"),"",COUNTBLANK(OFFSET(A$1,,,SUMPRODUCT(MAX(ROW(E$2:E864)*(E864=E$2:E864)))))-COUNTBLANK(OFFSET(A$1,,,SUMPRODUCT(MAX(ROW(E$1:E863)*(E2=E$1:E863))))))</f>
        <v> </v>
      </c>
      <c r="K864" s="26" t="str">
        <f>IF(OR(E864="",E864="!!!",F864="NEW"),"",INDEX(J$1:J863,SUMPRODUCT(MAX(ROW(E$1:E863)*(E864=E$1:E863)))))</f>
        <v> </v>
      </c>
      <c r="L864" s="27"/>
    </row>
    <row r="865" spans="1:12">
      <c r="A865" s="20" t="s">
        <v>1014</v>
      </c>
      <c r="E865" s="22">
        <f>IF(D865="?OLD","!!!","")</f>
        <v/>
      </c>
      <c r="F865" s="23" t="str">
        <f>IF(OR(E865="",E865="!!!"),"",IF(NOT(ISNA(VLOOKUP(E865,E$1:E864,1,FALSE()))),"OLD",IF(AND(E865&lt;&gt;"",E865&lt;&gt;"!!!"),"NEW","")))</f>
        <v> </v>
      </c>
      <c r="G865" s="24" t="str">
        <f>IF(OR(E865="",E865="!!!"),"",IF(OR(J865=0,AND(J865=1,K865=1),AND(J865=1,I865="SBJ"),AND(J865=1,I865=0)),"?IN_FOCUS",IF(J865&lt;=2,"?ACTIVATED",IF(J865&lt;&gt;"","?FAMILIAR",IF(F865="NEW",IF(ISNA(VLOOKUP(E865,#REF!,1,FALSE())),"?TYPE_IDENTIFIABLE","?REFERENTIAL"),"_")))))</f>
        <v> </v>
      </c>
      <c r="H865" s="25" t="str">
        <f>IF(J865&lt;&gt;1,"",IF(I865="SBJ","CB","?"))</f>
        <v> </v>
      </c>
      <c r="I865" s="26" t="str">
        <f>IF(OR(E865="",E865="!!!",F865="NEW"),"",INDEX(B864:B$2,-1+SUMPRODUCT(MAX(ROW(E864:E$2)*(E865=E864:E$2)))))</f>
        <v> </v>
      </c>
      <c r="J865" s="26" t="str">
        <f>IF(OR(E865="",E865="!!!",F865="NEW"),"",COUNTBLANK(OFFSET(A$1,,,SUMPRODUCT(MAX(ROW(E$2:E865)*(E865=E$2:E865)))))-COUNTBLANK(OFFSET(A$1,,,SUMPRODUCT(MAX(ROW(E$1:E864)*(E2=E$1:E864))))))</f>
        <v> </v>
      </c>
      <c r="K865" s="26" t="str">
        <f>IF(OR(E865="",E865="!!!",F865="NEW"),"",INDEX(J$1:J864,SUMPRODUCT(MAX(ROW(E$1:E864)*(E865=E$1:E864)))))</f>
        <v> </v>
      </c>
      <c r="L865" s="27"/>
    </row>
    <row r="866" spans="1:12">
      <c r="A866" s="20" t="s">
        <v>102</v>
      </c>
      <c r="B866" s="21" t="s">
        <v>1022</v>
      </c>
      <c r="C866" s="21" t="s">
        <v>1073</v>
      </c>
      <c r="D866" s="21" t="s">
        <v>1007</v>
      </c>
      <c r="E866" s="22">
        <f>IF(D866="?OLD","!!!","")</f>
        <v/>
      </c>
      <c r="F866" s="23" t="str">
        <f>IF(OR(E866="",E866="!!!"),"",IF(NOT(ISNA(VLOOKUP(E866,E$1:E865,1,FALSE()))),"OLD",IF(AND(E866&lt;&gt;"",E866&lt;&gt;"!!!"),"NEW","")))</f>
        <v> </v>
      </c>
      <c r="G866" s="24" t="str">
        <f>IF(OR(E866="",E866="!!!"),"",IF(OR(J866=0,AND(J866=1,K866=1),AND(J866=1,I866="SBJ"),AND(J866=1,I866=0)),"?IN_FOCUS",IF(J866&lt;=2,"?ACTIVATED",IF(J866&lt;&gt;"","?FAMILIAR",IF(F866="NEW",IF(ISNA(VLOOKUP(E866,#REF!,1,FALSE())),"?TYPE_IDENTIFIABLE","?REFERENTIAL"),"_")))))</f>
        <v> </v>
      </c>
      <c r="H866" s="25" t="str">
        <f>IF(J866&lt;&gt;1,"",IF(I866="SBJ","CB","?"))</f>
        <v> </v>
      </c>
      <c r="I866" s="26" t="str">
        <f>IF(OR(E866="",E866="!!!",F866="NEW"),"",INDEX(B865:B$2,-1+SUMPRODUCT(MAX(ROW(E865:E$2)*(E866=E865:E$2)))))</f>
        <v> </v>
      </c>
      <c r="J866" s="26" t="str">
        <f>IF(OR(E866="",E866="!!!",F866="NEW"),"",COUNTBLANK(OFFSET(A$1,,,SUMPRODUCT(MAX(ROW(E$2:E866)*(E866=E$2:E866)))))-COUNTBLANK(OFFSET(A$1,,,SUMPRODUCT(MAX(ROW(E$1:E865)*(E2=E$1:E865))))))</f>
        <v> </v>
      </c>
      <c r="K866" s="26" t="str">
        <f>IF(OR(E866="",E866="!!!",F866="NEW"),"",INDEX(J$1:J865,SUMPRODUCT(MAX(ROW(E$1:E865)*(E866=E$1:E865)))))</f>
        <v> </v>
      </c>
      <c r="L866" s="27"/>
    </row>
    <row r="867" spans="1:12">
      <c r="A867" s="20" t="s">
        <v>1065</v>
      </c>
      <c r="B867" s="21" t="s">
        <v>1064</v>
      </c>
      <c r="E867" s="22">
        <f>IF(D867="?OLD","!!!","")</f>
        <v/>
      </c>
      <c r="F867" s="23" t="str">
        <f>IF(OR(E867="",E867="!!!"),"",IF(NOT(ISNA(VLOOKUP(E867,E$1:E866,1,FALSE()))),"OLD",IF(AND(E867&lt;&gt;"",E867&lt;&gt;"!!!"),"NEW","")))</f>
        <v> </v>
      </c>
      <c r="G867" s="24" t="str">
        <f>IF(OR(E867="",E867="!!!"),"",IF(OR(J867=0,AND(J867=1,K867=1),AND(J867=1,I867="SBJ"),AND(J867=1,I867=0)),"?IN_FOCUS",IF(J867&lt;=2,"?ACTIVATED",IF(J867&lt;&gt;"","?FAMILIAR",IF(F867="NEW",IF(ISNA(VLOOKUP(E867,#REF!,1,FALSE())),"?TYPE_IDENTIFIABLE","?REFERENTIAL"),"_")))))</f>
        <v> </v>
      </c>
      <c r="H867" s="25" t="str">
        <f>IF(J867&lt;&gt;1,"",IF(I867="SBJ","CB","?"))</f>
        <v> </v>
      </c>
      <c r="I867" s="26" t="str">
        <f>IF(OR(E867="",E867="!!!",F867="NEW"),"",INDEX(B866:B$2,-1+SUMPRODUCT(MAX(ROW(E866:E$2)*(E867=E866:E$2)))))</f>
        <v> </v>
      </c>
      <c r="J867" s="26" t="str">
        <f>IF(OR(E867="",E867="!!!",F867="NEW"),"",COUNTBLANK(OFFSET(A$1,,,SUMPRODUCT(MAX(ROW(E$2:E867)*(E867=E$2:E867)))))-COUNTBLANK(OFFSET(A$1,,,SUMPRODUCT(MAX(ROW(E$1:E866)*(E2=E$1:E866))))))</f>
        <v> </v>
      </c>
      <c r="K867" s="26" t="str">
        <f>IF(OR(E867="",E867="!!!",F867="NEW"),"",INDEX(J$1:J866,SUMPRODUCT(MAX(ROW(E$1:E866)*(E867=E$1:E866)))))</f>
        <v> </v>
      </c>
      <c r="L867" s="27"/>
    </row>
    <row r="868" spans="1:12">
      <c r="A868" s="20" t="s">
        <v>885</v>
      </c>
      <c r="B868" s="21" t="s">
        <v>1120</v>
      </c>
      <c r="C868" s="21" t="s">
        <v>1082</v>
      </c>
      <c r="D868" s="21" t="s">
        <v>1007</v>
      </c>
      <c r="E868" s="22">
        <f>IF(D868="?OLD","!!!","")</f>
        <v/>
      </c>
      <c r="F868" s="23" t="str">
        <f>IF(OR(E868="",E868="!!!"),"",IF(NOT(ISNA(VLOOKUP(E868,E$1:E867,1,FALSE()))),"OLD",IF(AND(E868&lt;&gt;"",E868&lt;&gt;"!!!"),"NEW","")))</f>
        <v> </v>
      </c>
      <c r="G868" s="24" t="str">
        <f>IF(OR(E868="",E868="!!!"),"",IF(OR(J868=0,AND(J868=1,K868=1),AND(J868=1,I868="SBJ"),AND(J868=1,I868=0)),"?IN_FOCUS",IF(J868&lt;=2,"?ACTIVATED",IF(J868&lt;&gt;"","?FAMILIAR",IF(F868="NEW",IF(ISNA(VLOOKUP(E868,#REF!,1,FALSE())),"?TYPE_IDENTIFIABLE","?REFERENTIAL"),"_")))))</f>
        <v> </v>
      </c>
      <c r="H868" s="25" t="str">
        <f>IF(J868&lt;&gt;1,"",IF(I868="SBJ","CB","?"))</f>
        <v> </v>
      </c>
      <c r="I868" s="26" t="str">
        <f>IF(OR(E868="",E868="!!!",F868="NEW"),"",INDEX(B867:B$2,-1+SUMPRODUCT(MAX(ROW(E867:E$2)*(E868=E867:E$2)))))</f>
        <v> </v>
      </c>
      <c r="J868" s="26" t="str">
        <f>IF(OR(E868="",E868="!!!",F868="NEW"),"",COUNTBLANK(OFFSET(A$1,,,SUMPRODUCT(MAX(ROW(E$2:E868)*(E868=E$2:E868)))))-COUNTBLANK(OFFSET(A$1,,,SUMPRODUCT(MAX(ROW(E$1:E867)*(E2=E$1:E867))))))</f>
        <v> </v>
      </c>
      <c r="K868" s="26" t="str">
        <f>IF(OR(E868="",E868="!!!",F868="NEW"),"",INDEX(J$1:J867,SUMPRODUCT(MAX(ROW(E$1:E867)*(E868=E$1:E867)))))</f>
        <v> </v>
      </c>
      <c r="L868" s="27"/>
    </row>
    <row r="869" spans="1:12">
      <c r="A869" s="20" t="s">
        <v>1380</v>
      </c>
      <c r="E869" s="22">
        <f>IF(D869="?OLD","!!!","")</f>
        <v/>
      </c>
      <c r="F869" s="23" t="str">
        <f>IF(OR(E869="",E869="!!!"),"",IF(NOT(ISNA(VLOOKUP(E869,E$1:E868,1,FALSE()))),"OLD",IF(AND(E869&lt;&gt;"",E869&lt;&gt;"!!!"),"NEW","")))</f>
        <v> </v>
      </c>
      <c r="G869" s="24" t="str">
        <f>IF(OR(E869="",E869="!!!"),"",IF(OR(J869=0,AND(J869=1,K869=1),AND(J869=1,I869="SBJ"),AND(J869=1,I869=0)),"?IN_FOCUS",IF(J869&lt;=2,"?ACTIVATED",IF(J869&lt;&gt;"","?FAMILIAR",IF(F869="NEW",IF(ISNA(VLOOKUP(E869,#REF!,1,FALSE())),"?TYPE_IDENTIFIABLE","?REFERENTIAL"),"_")))))</f>
        <v> </v>
      </c>
      <c r="H869" s="25" t="str">
        <f>IF(J869&lt;&gt;1,"",IF(I869="SBJ","CB","?"))</f>
        <v> </v>
      </c>
      <c r="I869" s="26" t="str">
        <f>IF(OR(E869="",E869="!!!",F869="NEW"),"",INDEX(B868:B$2,-1+SUMPRODUCT(MAX(ROW(E868:E$2)*(E869=E868:E$2)))))</f>
        <v> </v>
      </c>
      <c r="J869" s="26" t="str">
        <f>IF(OR(E869="",E869="!!!",F869="NEW"),"",COUNTBLANK(OFFSET(A$1,,,SUMPRODUCT(MAX(ROW(E$2:E869)*(E869=E$2:E869)))))-COUNTBLANK(OFFSET(A$1,,,SUMPRODUCT(MAX(ROW(E$1:E868)*(E2=E$1:E868))))))</f>
        <v> </v>
      </c>
      <c r="K869" s="26" t="str">
        <f>IF(OR(E869="",E869="!!!",F869="NEW"),"",INDEX(J$1:J868,SUMPRODUCT(MAX(ROW(E$1:E868)*(E869=E$1:E868)))))</f>
        <v> </v>
      </c>
      <c r="L869" s="27"/>
    </row>
    <row r="870" spans="1:12">
      <c r="A870" s="20" t="s">
        <v>1023</v>
      </c>
      <c r="E870" s="22">
        <f>IF(D870="?OLD","!!!","")</f>
        <v/>
      </c>
      <c r="F870" s="23" t="str">
        <f>IF(OR(E870="",E870="!!!"),"",IF(NOT(ISNA(VLOOKUP(E870,E$1:E869,1,FALSE()))),"OLD",IF(AND(E870&lt;&gt;"",E870&lt;&gt;"!!!"),"NEW","")))</f>
        <v> </v>
      </c>
      <c r="G870" s="24" t="str">
        <f>IF(OR(E870="",E870="!!!"),"",IF(OR(J870=0,AND(J870=1,K870=1),AND(J870=1,I870="SBJ"),AND(J870=1,I870=0)),"?IN_FOCUS",IF(J870&lt;=2,"?ACTIVATED",IF(J870&lt;&gt;"","?FAMILIAR",IF(F870="NEW",IF(ISNA(VLOOKUP(E870,#REF!,1,FALSE())),"?TYPE_IDENTIFIABLE","?REFERENTIAL"),"_")))))</f>
        <v> </v>
      </c>
      <c r="H870" s="25" t="str">
        <f>IF(J870&lt;&gt;1,"",IF(I870="SBJ","CB","?"))</f>
        <v> </v>
      </c>
      <c r="I870" s="26" t="str">
        <f>IF(OR(E870="",E870="!!!",F870="NEW"),"",INDEX(B869:B$2,-1+SUMPRODUCT(MAX(ROW(E869:E$2)*(E870=E869:E$2)))))</f>
        <v> </v>
      </c>
      <c r="J870" s="26" t="str">
        <f>IF(OR(E870="",E870="!!!",F870="NEW"),"",COUNTBLANK(OFFSET(A$1,,,SUMPRODUCT(MAX(ROW(E$2:E870)*(E870=E$2:E870)))))-COUNTBLANK(OFFSET(A$1,,,SUMPRODUCT(MAX(ROW(E$1:E869)*(E2=E$1:E869))))))</f>
        <v> </v>
      </c>
      <c r="K870" s="26" t="str">
        <f>IF(OR(E870="",E870="!!!",F870="NEW"),"",INDEX(J$1:J869,SUMPRODUCT(MAX(ROW(E$1:E869)*(E870=E$1:E869)))))</f>
        <v> </v>
      </c>
      <c r="L870" s="27"/>
    </row>
    <row r="871" spans="1:12">
      <c r="A871" s="20"/>
    </row>
    <row r="872" spans="1:12">
      <c r="A872" s="20" t="s">
        <v>1381</v>
      </c>
    </row>
    <row r="873" spans="1:12">
      <c r="A873" s="20" t="s">
        <v>1114</v>
      </c>
      <c r="E873" s="22">
        <f>IF(D873="?OLD","!!!","")</f>
        <v/>
      </c>
      <c r="F873" s="23" t="str">
        <f>IF(OR(E873="",E873="!!!"),"",IF(NOT(ISNA(VLOOKUP(E873,E$1:E872,1,FALSE()))),"OLD",IF(AND(E873&lt;&gt;"",E873&lt;&gt;"!!!"),"NEW","")))</f>
        <v> </v>
      </c>
      <c r="G873" s="24" t="str">
        <f>IF(OR(E873="",E873="!!!"),"",IF(OR(J873=0,AND(J873=1,K873=1),AND(J873=1,I873="SBJ"),AND(J873=1,I873=0)),"?IN_FOCUS",IF(J873&lt;=2,"?ACTIVATED",IF(J873&lt;&gt;"","?FAMILIAR",IF(F873="NEW",IF(ISNA(VLOOKUP(E873,#REF!,1,FALSE())),"?TYPE_IDENTIFIABLE","?REFERENTIAL"),"_")))))</f>
        <v> </v>
      </c>
      <c r="H873" s="25" t="str">
        <f>IF(J873&lt;&gt;1,"",IF(I873="SBJ","CB","?"))</f>
        <v> </v>
      </c>
      <c r="I873" s="26" t="str">
        <f>IF(OR(E873="",E873="!!!",F873="NEW"),"",INDEX(B872:B$2,-1+SUMPRODUCT(MAX(ROW(E872:E$2)*(E873=E872:E$2)))))</f>
        <v> </v>
      </c>
      <c r="J873" s="26" t="str">
        <f>IF(OR(E873="",E873="!!!",F873="NEW"),"",COUNTBLANK(OFFSET(A$1,,,SUMPRODUCT(MAX(ROW(E$2:E873)*(E873=E$2:E873)))))-COUNTBLANK(OFFSET(A$1,,,SUMPRODUCT(MAX(ROW(E$1:E872)*(E2=E$1:E872))))))</f>
        <v> </v>
      </c>
      <c r="K873" s="26" t="str">
        <f>IF(OR(E873="",E873="!!!",F873="NEW"),"",INDEX(J$1:J872,SUMPRODUCT(MAX(ROW(E$1:E872)*(E873=E$1:E872)))))</f>
        <v> </v>
      </c>
      <c r="L873" s="27"/>
    </row>
    <row r="874" spans="1:12">
      <c r="A874" s="20" t="s">
        <v>1382</v>
      </c>
      <c r="E874" s="22">
        <f>IF(D874="?OLD","!!!","")</f>
        <v/>
      </c>
      <c r="F874" s="23" t="str">
        <f>IF(OR(E874="",E874="!!!"),"",IF(NOT(ISNA(VLOOKUP(E874,E$1:E873,1,FALSE()))),"OLD",IF(AND(E874&lt;&gt;"",E874&lt;&gt;"!!!"),"NEW","")))</f>
        <v> </v>
      </c>
      <c r="G874" s="24" t="str">
        <f>IF(OR(E874="",E874="!!!"),"",IF(OR(J874=0,AND(J874=1,K874=1),AND(J874=1,I874="SBJ"),AND(J874=1,I874=0)),"?IN_FOCUS",IF(J874&lt;=2,"?ACTIVATED",IF(J874&lt;&gt;"","?FAMILIAR",IF(F874="NEW",IF(ISNA(VLOOKUP(E874,#REF!,1,FALSE())),"?TYPE_IDENTIFIABLE","?REFERENTIAL"),"_")))))</f>
        <v> </v>
      </c>
      <c r="H874" s="25" t="str">
        <f>IF(J874&lt;&gt;1,"",IF(I874="SBJ","CB","?"))</f>
        <v> </v>
      </c>
      <c r="I874" s="26" t="str">
        <f>IF(OR(E874="",E874="!!!",F874="NEW"),"",INDEX(B873:B$2,-1+SUMPRODUCT(MAX(ROW(E873:E$2)*(E874=E873:E$2)))))</f>
        <v> </v>
      </c>
      <c r="J874" s="26" t="str">
        <f>IF(OR(E874="",E874="!!!",F874="NEW"),"",COUNTBLANK(OFFSET(A$1,,,SUMPRODUCT(MAX(ROW(E$2:E874)*(E874=E$2:E874)))))-COUNTBLANK(OFFSET(A$1,,,SUMPRODUCT(MAX(ROW(E$1:E873)*(E2=E$1:E873))))))</f>
        <v> </v>
      </c>
      <c r="K874" s="26" t="str">
        <f>IF(OR(E874="",E874="!!!",F874="NEW"),"",INDEX(J$1:J873,SUMPRODUCT(MAX(ROW(E$1:E873)*(E874=E$1:E873)))))</f>
        <v> </v>
      </c>
      <c r="L874" s="27"/>
    </row>
    <row r="875" spans="1:12">
      <c r="A875" s="20" t="s">
        <v>98</v>
      </c>
      <c r="E875" s="22">
        <f>IF(D875="?OLD","!!!","")</f>
        <v/>
      </c>
      <c r="F875" s="23" t="str">
        <f>IF(OR(E875="",E875="!!!"),"",IF(NOT(ISNA(VLOOKUP(E875,E$1:E874,1,FALSE()))),"OLD",IF(AND(E875&lt;&gt;"",E875&lt;&gt;"!!!"),"NEW","")))</f>
        <v> </v>
      </c>
      <c r="G875" s="24" t="str">
        <f>IF(OR(E875="",E875="!!!"),"",IF(OR(J875=0,AND(J875=1,K875=1),AND(J875=1,I875="SBJ"),AND(J875=1,I875=0)),"?IN_FOCUS",IF(J875&lt;=2,"?ACTIVATED",IF(J875&lt;&gt;"","?FAMILIAR",IF(F875="NEW",IF(ISNA(VLOOKUP(E875,#REF!,1,FALSE())),"?TYPE_IDENTIFIABLE","?REFERENTIAL"),"_")))))</f>
        <v> </v>
      </c>
      <c r="H875" s="25" t="str">
        <f>IF(J875&lt;&gt;1,"",IF(I875="SBJ","CB","?"))</f>
        <v> </v>
      </c>
      <c r="I875" s="26" t="str">
        <f>IF(OR(E875="",E875="!!!",F875="NEW"),"",INDEX(B874:B$2,-1+SUMPRODUCT(MAX(ROW(E874:E$2)*(E875=E874:E$2)))))</f>
        <v> </v>
      </c>
      <c r="J875" s="26" t="str">
        <f>IF(OR(E875="",E875="!!!",F875="NEW"),"",COUNTBLANK(OFFSET(A$1,,,SUMPRODUCT(MAX(ROW(E$2:E875)*(E875=E$2:E875)))))-COUNTBLANK(OFFSET(A$1,,,SUMPRODUCT(MAX(ROW(E$1:E874)*(E2=E$1:E874))))))</f>
        <v> </v>
      </c>
      <c r="K875" s="26" t="str">
        <f>IF(OR(E875="",E875="!!!",F875="NEW"),"",INDEX(J$1:J874,SUMPRODUCT(MAX(ROW(E$1:E874)*(E875=E$1:E874)))))</f>
        <v> </v>
      </c>
      <c r="L875" s="27"/>
    </row>
    <row r="876" spans="1:12">
      <c r="A876" s="20" t="s">
        <v>1383</v>
      </c>
      <c r="E876" s="22">
        <f>IF(D876="?OLD","!!!","")</f>
        <v/>
      </c>
      <c r="F876" s="23" t="str">
        <f>IF(OR(E876="",E876="!!!"),"",IF(NOT(ISNA(VLOOKUP(E876,E$1:E875,1,FALSE()))),"OLD",IF(AND(E876&lt;&gt;"",E876&lt;&gt;"!!!"),"NEW","")))</f>
        <v> </v>
      </c>
      <c r="G876" s="24" t="str">
        <f>IF(OR(E876="",E876="!!!"),"",IF(OR(J876=0,AND(J876=1,K876=1),AND(J876=1,I876="SBJ"),AND(J876=1,I876=0)),"?IN_FOCUS",IF(J876&lt;=2,"?ACTIVATED",IF(J876&lt;&gt;"","?FAMILIAR",IF(F876="NEW",IF(ISNA(VLOOKUP(E876,#REF!,1,FALSE())),"?TYPE_IDENTIFIABLE","?REFERENTIAL"),"_")))))</f>
        <v> </v>
      </c>
      <c r="H876" s="25" t="str">
        <f>IF(J876&lt;&gt;1,"",IF(I876="SBJ","CB","?"))</f>
        <v> </v>
      </c>
      <c r="I876" s="26" t="str">
        <f>IF(OR(E876="",E876="!!!",F876="NEW"),"",INDEX(B875:B$2,-1+SUMPRODUCT(MAX(ROW(E875:E$2)*(E876=E875:E$2)))))</f>
        <v> </v>
      </c>
      <c r="J876" s="26" t="str">
        <f>IF(OR(E876="",E876="!!!",F876="NEW"),"",COUNTBLANK(OFFSET(A$1,,,SUMPRODUCT(MAX(ROW(E$2:E876)*(E876=E$2:E876)))))-COUNTBLANK(OFFSET(A$1,,,SUMPRODUCT(MAX(ROW(E$1:E875)*(E2=E$1:E875))))))</f>
        <v> </v>
      </c>
      <c r="K876" s="26" t="str">
        <f>IF(OR(E876="",E876="!!!",F876="NEW"),"",INDEX(J$1:J875,SUMPRODUCT(MAX(ROW(E$1:E875)*(E876=E$1:E875)))))</f>
        <v> </v>
      </c>
      <c r="L876" s="27"/>
    </row>
    <row r="877" spans="1:12">
      <c r="A877" s="20" t="s">
        <v>1384</v>
      </c>
      <c r="B877" s="21" t="s">
        <v>1029</v>
      </c>
      <c r="C877" s="21" t="s">
        <v>1103</v>
      </c>
      <c r="E877" s="22">
        <f>IF(D877="?OLD","!!!","")</f>
        <v/>
      </c>
      <c r="F877" s="23" t="str">
        <f>IF(OR(E877="",E877="!!!"),"",IF(NOT(ISNA(VLOOKUP(E877,E$1:E876,1,FALSE()))),"OLD",IF(AND(E877&lt;&gt;"",E877&lt;&gt;"!!!"),"NEW","")))</f>
        <v> </v>
      </c>
      <c r="G877" s="24" t="str">
        <f>IF(OR(E877="",E877="!!!"),"",IF(OR(J877=0,AND(J877=1,K877=1),AND(J877=1,I877="SBJ"),AND(J877=1,I877=0)),"?IN_FOCUS",IF(J877&lt;=2,"?ACTIVATED",IF(J877&lt;&gt;"","?FAMILIAR",IF(F877="NEW",IF(ISNA(VLOOKUP(E877,#REF!,1,FALSE())),"?TYPE_IDENTIFIABLE","?REFERENTIAL"),"_")))))</f>
        <v> </v>
      </c>
      <c r="H877" s="25" t="str">
        <f>IF(J877&lt;&gt;1,"",IF(I877="SBJ","CB","?"))</f>
        <v> </v>
      </c>
      <c r="I877" s="26" t="str">
        <f>IF(OR(E877="",E877="!!!",F877="NEW"),"",INDEX(B876:B$2,-1+SUMPRODUCT(MAX(ROW(E876:E$2)*(E877=E876:E$2)))))</f>
        <v> </v>
      </c>
      <c r="J877" s="26" t="str">
        <f>IF(OR(E877="",E877="!!!",F877="NEW"),"",COUNTBLANK(OFFSET(A$1,,,SUMPRODUCT(MAX(ROW(E$2:E877)*(E877=E$2:E877)))))-COUNTBLANK(OFFSET(A$1,,,SUMPRODUCT(MAX(ROW(E$1:E876)*(E2=E$1:E876))))))</f>
        <v> </v>
      </c>
      <c r="K877" s="26" t="str">
        <f>IF(OR(E877="",E877="!!!",F877="NEW"),"",INDEX(J$1:J876,SUMPRODUCT(MAX(ROW(E$1:E876)*(E877=E$1:E876)))))</f>
        <v> </v>
      </c>
      <c r="L877" s="27"/>
    </row>
    <row r="878" spans="1:12">
      <c r="A878" s="20" t="s">
        <v>1107</v>
      </c>
      <c r="E878" s="22">
        <f>IF(D878="?OLD","!!!","")</f>
        <v/>
      </c>
      <c r="F878" s="23" t="str">
        <f>IF(OR(E878="",E878="!!!"),"",IF(NOT(ISNA(VLOOKUP(E878,E$1:E877,1,FALSE()))),"OLD",IF(AND(E878&lt;&gt;"",E878&lt;&gt;"!!!"),"NEW","")))</f>
        <v> </v>
      </c>
      <c r="G878" s="24" t="str">
        <f>IF(OR(E878="",E878="!!!"),"",IF(OR(J878=0,AND(J878=1,K878=1),AND(J878=1,I878="SBJ"),AND(J878=1,I878=0)),"?IN_FOCUS",IF(J878&lt;=2,"?ACTIVATED",IF(J878&lt;&gt;"","?FAMILIAR",IF(F878="NEW",IF(ISNA(VLOOKUP(E878,#REF!,1,FALSE())),"?TYPE_IDENTIFIABLE","?REFERENTIAL"),"_")))))</f>
        <v> </v>
      </c>
      <c r="H878" s="25" t="str">
        <f>IF(J878&lt;&gt;1,"",IF(I878="SBJ","CB","?"))</f>
        <v> </v>
      </c>
      <c r="I878" s="26" t="str">
        <f>IF(OR(E878="",E878="!!!",F878="NEW"),"",INDEX(B877:B$2,-1+SUMPRODUCT(MAX(ROW(E877:E$2)*(E878=E877:E$2)))))</f>
        <v> </v>
      </c>
      <c r="J878" s="26" t="str">
        <f>IF(OR(E878="",E878="!!!",F878="NEW"),"",COUNTBLANK(OFFSET(A$1,,,SUMPRODUCT(MAX(ROW(E$2:E878)*(E878=E$2:E878)))))-COUNTBLANK(OFFSET(A$1,,,SUMPRODUCT(MAX(ROW(E$1:E877)*(E2=E$1:E877))))))</f>
        <v> </v>
      </c>
      <c r="K878" s="26" t="str">
        <f>IF(OR(E878="",E878="!!!",F878="NEW"),"",INDEX(J$1:J877,SUMPRODUCT(MAX(ROW(E$1:E877)*(E878=E$1:E877)))))</f>
        <v> </v>
      </c>
      <c r="L878" s="27"/>
    </row>
    <row r="879" spans="1:12">
      <c r="A879" s="20"/>
    </row>
    <row r="880" spans="1:12">
      <c r="A880" s="20" t="s">
        <v>1385</v>
      </c>
    </row>
    <row r="881" spans="1:12">
      <c r="A881" s="20" t="s">
        <v>28</v>
      </c>
      <c r="B881" s="21" t="s">
        <v>1119</v>
      </c>
      <c r="C881" s="21" t="s">
        <v>1006</v>
      </c>
      <c r="D881" s="21" t="s">
        <v>1007</v>
      </c>
      <c r="E881" s="22">
        <f>IF(D881="?OLD","!!!","")</f>
        <v/>
      </c>
      <c r="F881" s="23" t="str">
        <f>IF(OR(E881="",E881="!!!"),"",IF(NOT(ISNA(VLOOKUP(E881,E$1:E880,1,FALSE()))),"OLD",IF(AND(E881&lt;&gt;"",E881&lt;&gt;"!!!"),"NEW","")))</f>
        <v> </v>
      </c>
      <c r="G881" s="24" t="str">
        <f>IF(OR(E881="",E881="!!!"),"",IF(OR(J881=0,AND(J881=1,K881=1),AND(J881=1,I881="SBJ"),AND(J881=1,I881=0)),"?IN_FOCUS",IF(J881&lt;=2,"?ACTIVATED",IF(J881&lt;&gt;"","?FAMILIAR",IF(F881="NEW",IF(ISNA(VLOOKUP(E881,#REF!,1,FALSE())),"?TYPE_IDENTIFIABLE","?REFERENTIAL"),"_")))))</f>
        <v> </v>
      </c>
      <c r="H881" s="25" t="str">
        <f>IF(J881&lt;&gt;1,"",IF(I881="SBJ","CB","?"))</f>
        <v> </v>
      </c>
      <c r="I881" s="26" t="str">
        <f>IF(OR(E881="",E881="!!!",F881="NEW"),"",INDEX(B880:B$2,-1+SUMPRODUCT(MAX(ROW(E880:E$2)*(E881=E880:E$2)))))</f>
        <v> </v>
      </c>
      <c r="J881" s="26" t="str">
        <f>IF(OR(E881="",E881="!!!",F881="NEW"),"",COUNTBLANK(OFFSET(A$1,,,SUMPRODUCT(MAX(ROW(E$2:E881)*(E881=E$2:E881)))))-COUNTBLANK(OFFSET(A$1,,,SUMPRODUCT(MAX(ROW(E$1:E880)*(E2=E$1:E880))))))</f>
        <v> </v>
      </c>
      <c r="K881" s="26" t="str">
        <f>IF(OR(E881="",E881="!!!",F881="NEW"),"",INDEX(J$1:J880,SUMPRODUCT(MAX(ROW(E$1:E880)*(E881=E$1:E880)))))</f>
        <v> </v>
      </c>
      <c r="L881" s="27"/>
    </row>
    <row r="882" spans="1:12">
      <c r="A882" s="20" t="s">
        <v>1018</v>
      </c>
      <c r="E882" s="22">
        <f>IF(D882="?OLD","!!!","")</f>
        <v/>
      </c>
      <c r="F882" s="23" t="str">
        <f>IF(OR(E882="",E882="!!!"),"",IF(NOT(ISNA(VLOOKUP(E882,E$1:E881,1,FALSE()))),"OLD",IF(AND(E882&lt;&gt;"",E882&lt;&gt;"!!!"),"NEW","")))</f>
        <v> </v>
      </c>
      <c r="G882" s="24" t="str">
        <f>IF(OR(E882="",E882="!!!"),"",IF(OR(J882=0,AND(J882=1,K882=1),AND(J882=1,I882="SBJ"),AND(J882=1,I882=0)),"?IN_FOCUS",IF(J882&lt;=2,"?ACTIVATED",IF(J882&lt;&gt;"","?FAMILIAR",IF(F882="NEW",IF(ISNA(VLOOKUP(E882,#REF!,1,FALSE())),"?TYPE_IDENTIFIABLE","?REFERENTIAL"),"_")))))</f>
        <v> </v>
      </c>
      <c r="H882" s="25" t="str">
        <f>IF(J882&lt;&gt;1,"",IF(I882="SBJ","CB","?"))</f>
        <v> </v>
      </c>
      <c r="I882" s="26" t="str">
        <f>IF(OR(E882="",E882="!!!",F882="NEW"),"",INDEX(B881:B$2,-1+SUMPRODUCT(MAX(ROW(E881:E$2)*(E882=E881:E$2)))))</f>
        <v> </v>
      </c>
      <c r="J882" s="26" t="str">
        <f>IF(OR(E882="",E882="!!!",F882="NEW"),"",COUNTBLANK(OFFSET(A$1,,,SUMPRODUCT(MAX(ROW(E$2:E882)*(E882=E$2:E882)))))-COUNTBLANK(OFFSET(A$1,,,SUMPRODUCT(MAX(ROW(E$1:E881)*(E2=E$1:E881))))))</f>
        <v> </v>
      </c>
      <c r="K882" s="26" t="str">
        <f>IF(OR(E882="",E882="!!!",F882="NEW"),"",INDEX(J$1:J881,SUMPRODUCT(MAX(ROW(E$1:E881)*(E882=E$1:E881)))))</f>
        <v> </v>
      </c>
      <c r="L882" s="27"/>
    </row>
    <row r="883" spans="1:12">
      <c r="A883" s="20" t="s">
        <v>1142</v>
      </c>
      <c r="E883" s="22">
        <f>IF(D883="?OLD","!!!","")</f>
        <v/>
      </c>
      <c r="F883" s="23" t="str">
        <f>IF(OR(E883="",E883="!!!"),"",IF(NOT(ISNA(VLOOKUP(E883,E$1:E882,1,FALSE()))),"OLD",IF(AND(E883&lt;&gt;"",E883&lt;&gt;"!!!"),"NEW","")))</f>
        <v> </v>
      </c>
      <c r="G883" s="24" t="str">
        <f>IF(OR(E883="",E883="!!!"),"",IF(OR(J883=0,AND(J883=1,K883=1),AND(J883=1,I883="SBJ"),AND(J883=1,I883=0)),"?IN_FOCUS",IF(J883&lt;=2,"?ACTIVATED",IF(J883&lt;&gt;"","?FAMILIAR",IF(F883="NEW",IF(ISNA(VLOOKUP(E883,#REF!,1,FALSE())),"?TYPE_IDENTIFIABLE","?REFERENTIAL"),"_")))))</f>
        <v> </v>
      </c>
      <c r="H883" s="25" t="str">
        <f>IF(J883&lt;&gt;1,"",IF(I883="SBJ","CB","?"))</f>
        <v> </v>
      </c>
      <c r="I883" s="26" t="str">
        <f>IF(OR(E883="",E883="!!!",F883="NEW"),"",INDEX(B882:B$2,-1+SUMPRODUCT(MAX(ROW(E882:E$2)*(E883=E882:E$2)))))</f>
        <v> </v>
      </c>
      <c r="J883" s="26" t="str">
        <f>IF(OR(E883="",E883="!!!",F883="NEW"),"",COUNTBLANK(OFFSET(A$1,,,SUMPRODUCT(MAX(ROW(E$2:E883)*(E883=E$2:E883)))))-COUNTBLANK(OFFSET(A$1,,,SUMPRODUCT(MAX(ROW(E$1:E882)*(E2=E$1:E882))))))</f>
        <v> </v>
      </c>
      <c r="K883" s="26" t="str">
        <f>IF(OR(E883="",E883="!!!",F883="NEW"),"",INDEX(J$1:J882,SUMPRODUCT(MAX(ROW(E$1:E882)*(E883=E$1:E882)))))</f>
        <v> </v>
      </c>
      <c r="L883" s="27"/>
    </row>
    <row r="884" spans="1:12">
      <c r="A884" s="20" t="s">
        <v>1386</v>
      </c>
      <c r="E884" s="22">
        <f>IF(D884="?OLD","!!!","")</f>
        <v/>
      </c>
      <c r="F884" s="23" t="str">
        <f>IF(OR(E884="",E884="!!!"),"",IF(NOT(ISNA(VLOOKUP(E884,E$1:E883,1,FALSE()))),"OLD",IF(AND(E884&lt;&gt;"",E884&lt;&gt;"!!!"),"NEW","")))</f>
        <v> </v>
      </c>
      <c r="G884" s="24" t="str">
        <f>IF(OR(E884="",E884="!!!"),"",IF(OR(J884=0,AND(J884=1,K884=1),AND(J884=1,I884="SBJ"),AND(J884=1,I884=0)),"?IN_FOCUS",IF(J884&lt;=2,"?ACTIVATED",IF(J884&lt;&gt;"","?FAMILIAR",IF(F884="NEW",IF(ISNA(VLOOKUP(E884,#REF!,1,FALSE())),"?TYPE_IDENTIFIABLE","?REFERENTIAL"),"_")))))</f>
        <v> </v>
      </c>
      <c r="H884" s="25" t="str">
        <f>IF(J884&lt;&gt;1,"",IF(I884="SBJ","CB","?"))</f>
        <v> </v>
      </c>
      <c r="I884" s="26" t="str">
        <f>IF(OR(E884="",E884="!!!",F884="NEW"),"",INDEX(B883:B$2,-1+SUMPRODUCT(MAX(ROW(E883:E$2)*(E884=E883:E$2)))))</f>
        <v> </v>
      </c>
      <c r="J884" s="26" t="str">
        <f>IF(OR(E884="",E884="!!!",F884="NEW"),"",COUNTBLANK(OFFSET(A$1,,,SUMPRODUCT(MAX(ROW(E$2:E884)*(E884=E$2:E884)))))-COUNTBLANK(OFFSET(A$1,,,SUMPRODUCT(MAX(ROW(E$1:E883)*(E2=E$1:E883))))))</f>
        <v> </v>
      </c>
      <c r="K884" s="26" t="str">
        <f>IF(OR(E884="",E884="!!!",F884="NEW"),"",INDEX(J$1:J883,SUMPRODUCT(MAX(ROW(E$1:E883)*(E884=E$1:E883)))))</f>
        <v> </v>
      </c>
      <c r="L884" s="27"/>
    </row>
    <row r="885" spans="1:12">
      <c r="A885" s="20" t="s">
        <v>1114</v>
      </c>
      <c r="E885" s="22">
        <f>IF(D885="?OLD","!!!","")</f>
        <v/>
      </c>
      <c r="F885" s="23" t="str">
        <f>IF(OR(E885="",E885="!!!"),"",IF(NOT(ISNA(VLOOKUP(E885,E$1:E884,1,FALSE()))),"OLD",IF(AND(E885&lt;&gt;"",E885&lt;&gt;"!!!"),"NEW","")))</f>
        <v> </v>
      </c>
      <c r="G885" s="24" t="str">
        <f>IF(OR(E885="",E885="!!!"),"",IF(OR(J885=0,AND(J885=1,K885=1),AND(J885=1,I885="SBJ"),AND(J885=1,I885=0)),"?IN_FOCUS",IF(J885&lt;=2,"?ACTIVATED",IF(J885&lt;&gt;"","?FAMILIAR",IF(F885="NEW",IF(ISNA(VLOOKUP(E885,#REF!,1,FALSE())),"?TYPE_IDENTIFIABLE","?REFERENTIAL"),"_")))))</f>
        <v> </v>
      </c>
      <c r="H885" s="25" t="str">
        <f>IF(J885&lt;&gt;1,"",IF(I885="SBJ","CB","?"))</f>
        <v> </v>
      </c>
      <c r="I885" s="26" t="str">
        <f>IF(OR(E885="",E885="!!!",F885="NEW"),"",INDEX(B884:B$2,-1+SUMPRODUCT(MAX(ROW(E884:E$2)*(E885=E884:E$2)))))</f>
        <v> </v>
      </c>
      <c r="J885" s="26" t="str">
        <f>IF(OR(E885="",E885="!!!",F885="NEW"),"",COUNTBLANK(OFFSET(A$1,,,SUMPRODUCT(MAX(ROW(E$2:E885)*(E885=E$2:E885)))))-COUNTBLANK(OFFSET(A$1,,,SUMPRODUCT(MAX(ROW(E$1:E884)*(E2=E$1:E884))))))</f>
        <v> </v>
      </c>
      <c r="K885" s="26" t="str">
        <f>IF(OR(E885="",E885="!!!",F885="NEW"),"",INDEX(J$1:J884,SUMPRODUCT(MAX(ROW(E$1:E884)*(E885=E$1:E884)))))</f>
        <v> </v>
      </c>
      <c r="L885" s="27"/>
    </row>
    <row r="886" spans="1:12">
      <c r="A886" s="20" t="s">
        <v>1076</v>
      </c>
      <c r="E886" s="22">
        <f>IF(D886="?OLD","!!!","")</f>
        <v/>
      </c>
      <c r="F886" s="23" t="str">
        <f>IF(OR(E886="",E886="!!!"),"",IF(NOT(ISNA(VLOOKUP(E886,E$1:E885,1,FALSE()))),"OLD",IF(AND(E886&lt;&gt;"",E886&lt;&gt;"!!!"),"NEW","")))</f>
        <v> </v>
      </c>
      <c r="G886" s="24" t="str">
        <f>IF(OR(E886="",E886="!!!"),"",IF(OR(J886=0,AND(J886=1,K886=1),AND(J886=1,I886="SBJ"),AND(J886=1,I886=0)),"?IN_FOCUS",IF(J886&lt;=2,"?ACTIVATED",IF(J886&lt;&gt;"","?FAMILIAR",IF(F886="NEW",IF(ISNA(VLOOKUP(E886,#REF!,1,FALSE())),"?TYPE_IDENTIFIABLE","?REFERENTIAL"),"_")))))</f>
        <v> </v>
      </c>
      <c r="H886" s="25" t="str">
        <f>IF(J886&lt;&gt;1,"",IF(I886="SBJ","CB","?"))</f>
        <v> </v>
      </c>
      <c r="I886" s="26" t="str">
        <f>IF(OR(E886="",E886="!!!",F886="NEW"),"",INDEX(B885:B$2,-1+SUMPRODUCT(MAX(ROW(E885:E$2)*(E886=E885:E$2)))))</f>
        <v> </v>
      </c>
      <c r="J886" s="26" t="str">
        <f>IF(OR(E886="",E886="!!!",F886="NEW"),"",COUNTBLANK(OFFSET(A$1,,,SUMPRODUCT(MAX(ROW(E$2:E886)*(E886=E$2:E886)))))-COUNTBLANK(OFFSET(A$1,,,SUMPRODUCT(MAX(ROW(E$1:E885)*(E2=E$1:E885))))))</f>
        <v> </v>
      </c>
      <c r="K886" s="26" t="str">
        <f>IF(OR(E886="",E886="!!!",F886="NEW"),"",INDEX(J$1:J885,SUMPRODUCT(MAX(ROW(E$1:E885)*(E886=E$1:E885)))))</f>
        <v> </v>
      </c>
      <c r="L886" s="27"/>
    </row>
    <row r="887" spans="1:12">
      <c r="A887" s="20" t="s">
        <v>137</v>
      </c>
      <c r="E887" s="22">
        <f>IF(D887="?OLD","!!!","")</f>
        <v/>
      </c>
      <c r="F887" s="23" t="str">
        <f>IF(OR(E887="",E887="!!!"),"",IF(NOT(ISNA(VLOOKUP(E887,E$1:E886,1,FALSE()))),"OLD",IF(AND(E887&lt;&gt;"",E887&lt;&gt;"!!!"),"NEW","")))</f>
        <v> </v>
      </c>
      <c r="G887" s="24" t="str">
        <f>IF(OR(E887="",E887="!!!"),"",IF(OR(J887=0,AND(J887=1,K887=1),AND(J887=1,I887="SBJ"),AND(J887=1,I887=0)),"?IN_FOCUS",IF(J887&lt;=2,"?ACTIVATED",IF(J887&lt;&gt;"","?FAMILIAR",IF(F887="NEW",IF(ISNA(VLOOKUP(E887,#REF!,1,FALSE())),"?TYPE_IDENTIFIABLE","?REFERENTIAL"),"_")))))</f>
        <v> </v>
      </c>
      <c r="H887" s="25" t="str">
        <f>IF(J887&lt;&gt;1,"",IF(I887="SBJ","CB","?"))</f>
        <v> </v>
      </c>
      <c r="I887" s="26" t="str">
        <f>IF(OR(E887="",E887="!!!",F887="NEW"),"",INDEX(B886:B$2,-1+SUMPRODUCT(MAX(ROW(E886:E$2)*(E887=E886:E$2)))))</f>
        <v> </v>
      </c>
      <c r="J887" s="26" t="str">
        <f>IF(OR(E887="",E887="!!!",F887="NEW"),"",COUNTBLANK(OFFSET(A$1,,,SUMPRODUCT(MAX(ROW(E$2:E887)*(E887=E$2:E887)))))-COUNTBLANK(OFFSET(A$1,,,SUMPRODUCT(MAX(ROW(E$1:E886)*(E2=E$1:E886))))))</f>
        <v> </v>
      </c>
      <c r="K887" s="26" t="str">
        <f>IF(OR(E887="",E887="!!!",F887="NEW"),"",INDEX(J$1:J886,SUMPRODUCT(MAX(ROW(E$1:E886)*(E887=E$1:E886)))))</f>
        <v> </v>
      </c>
      <c r="L887" s="27"/>
    </row>
    <row r="888" spans="1:12">
      <c r="A888" s="20" t="s">
        <v>1018</v>
      </c>
      <c r="E888" s="22">
        <f>IF(D888="?OLD","!!!","")</f>
        <v/>
      </c>
      <c r="F888" s="23" t="str">
        <f>IF(OR(E888="",E888="!!!"),"",IF(NOT(ISNA(VLOOKUP(E888,E$1:E887,1,FALSE()))),"OLD",IF(AND(E888&lt;&gt;"",E888&lt;&gt;"!!!"),"NEW","")))</f>
        <v> </v>
      </c>
      <c r="G888" s="24" t="str">
        <f>IF(OR(E888="",E888="!!!"),"",IF(OR(J888=0,AND(J888=1,K888=1),AND(J888=1,I888="SBJ"),AND(J888=1,I888=0)),"?IN_FOCUS",IF(J888&lt;=2,"?ACTIVATED",IF(J888&lt;&gt;"","?FAMILIAR",IF(F888="NEW",IF(ISNA(VLOOKUP(E888,#REF!,1,FALSE())),"?TYPE_IDENTIFIABLE","?REFERENTIAL"),"_")))))</f>
        <v> </v>
      </c>
      <c r="H888" s="25" t="str">
        <f>IF(J888&lt;&gt;1,"",IF(I888="SBJ","CB","?"))</f>
        <v> </v>
      </c>
      <c r="I888" s="26" t="str">
        <f>IF(OR(E888="",E888="!!!",F888="NEW"),"",INDEX(B887:B$2,-1+SUMPRODUCT(MAX(ROW(E887:E$2)*(E888=E887:E$2)))))</f>
        <v> </v>
      </c>
      <c r="J888" s="26" t="str">
        <f>IF(OR(E888="",E888="!!!",F888="NEW"),"",COUNTBLANK(OFFSET(A$1,,,SUMPRODUCT(MAX(ROW(E$2:E888)*(E888=E$2:E888)))))-COUNTBLANK(OFFSET(A$1,,,SUMPRODUCT(MAX(ROW(E$1:E887)*(E2=E$1:E887))))))</f>
        <v> </v>
      </c>
      <c r="K888" s="26" t="str">
        <f>IF(OR(E888="",E888="!!!",F888="NEW"),"",INDEX(J$1:J887,SUMPRODUCT(MAX(ROW(E$1:E887)*(E888=E$1:E887)))))</f>
        <v> </v>
      </c>
      <c r="L888" s="27"/>
    </row>
    <row r="889" spans="1:12">
      <c r="A889" s="20" t="s">
        <v>1015</v>
      </c>
      <c r="E889" s="22">
        <f>IF(D889="?OLD","!!!","")</f>
        <v/>
      </c>
      <c r="F889" s="23" t="str">
        <f>IF(OR(E889="",E889="!!!"),"",IF(NOT(ISNA(VLOOKUP(E889,E$1:E888,1,FALSE()))),"OLD",IF(AND(E889&lt;&gt;"",E889&lt;&gt;"!!!"),"NEW","")))</f>
        <v> </v>
      </c>
      <c r="G889" s="24" t="str">
        <f>IF(OR(E889="",E889="!!!"),"",IF(OR(J889=0,AND(J889=1,K889=1),AND(J889=1,I889="SBJ"),AND(J889=1,I889=0)),"?IN_FOCUS",IF(J889&lt;=2,"?ACTIVATED",IF(J889&lt;&gt;"","?FAMILIAR",IF(F889="NEW",IF(ISNA(VLOOKUP(E889,#REF!,1,FALSE())),"?TYPE_IDENTIFIABLE","?REFERENTIAL"),"_")))))</f>
        <v> </v>
      </c>
      <c r="H889" s="25" t="str">
        <f>IF(J889&lt;&gt;1,"",IF(I889="SBJ","CB","?"))</f>
        <v> </v>
      </c>
      <c r="I889" s="26" t="str">
        <f>IF(OR(E889="",E889="!!!",F889="NEW"),"",INDEX(B888:B$2,-1+SUMPRODUCT(MAX(ROW(E888:E$2)*(E889=E888:E$2)))))</f>
        <v> </v>
      </c>
      <c r="J889" s="26" t="str">
        <f>IF(OR(E889="",E889="!!!",F889="NEW"),"",COUNTBLANK(OFFSET(A$1,,,SUMPRODUCT(MAX(ROW(E$2:E889)*(E889=E$2:E889)))))-COUNTBLANK(OFFSET(A$1,,,SUMPRODUCT(MAX(ROW(E$1:E888)*(E2=E$1:E888))))))</f>
        <v> </v>
      </c>
      <c r="K889" s="26" t="str">
        <f>IF(OR(E889="",E889="!!!",F889="NEW"),"",INDEX(J$1:J888,SUMPRODUCT(MAX(ROW(E$1:E888)*(E889=E$1:E888)))))</f>
        <v> </v>
      </c>
      <c r="L889" s="27"/>
    </row>
    <row r="890" spans="1:12">
      <c r="A890" s="20" t="s">
        <v>1384</v>
      </c>
      <c r="B890" s="21" t="s">
        <v>1154</v>
      </c>
      <c r="C890" s="21" t="s">
        <v>1017</v>
      </c>
      <c r="D890" s="21" t="s">
        <v>1007</v>
      </c>
      <c r="E890" s="22">
        <f>IF(D890="?OLD","!!!","")</f>
        <v/>
      </c>
      <c r="F890" s="23" t="str">
        <f>IF(OR(E890="",E890="!!!"),"",IF(NOT(ISNA(VLOOKUP(E890,E$1:E889,1,FALSE()))),"OLD",IF(AND(E890&lt;&gt;"",E890&lt;&gt;"!!!"),"NEW","")))</f>
        <v> </v>
      </c>
      <c r="G890" s="24" t="str">
        <f>IF(OR(E890="",E890="!!!"),"",IF(OR(J890=0,AND(J890=1,K890=1),AND(J890=1,I890="SBJ"),AND(J890=1,I890=0)),"?IN_FOCUS",IF(J890&lt;=2,"?ACTIVATED",IF(J890&lt;&gt;"","?FAMILIAR",IF(F890="NEW",IF(ISNA(VLOOKUP(E890,#REF!,1,FALSE())),"?TYPE_IDENTIFIABLE","?REFERENTIAL"),"_")))))</f>
        <v> </v>
      </c>
      <c r="H890" s="25" t="str">
        <f>IF(J890&lt;&gt;1,"",IF(I890="SBJ","CB","?"))</f>
        <v> </v>
      </c>
      <c r="I890" s="26" t="str">
        <f>IF(OR(E890="",E890="!!!",F890="NEW"),"",INDEX(B889:B$2,-1+SUMPRODUCT(MAX(ROW(E889:E$2)*(E890=E889:E$2)))))</f>
        <v> </v>
      </c>
      <c r="J890" s="26" t="str">
        <f>IF(OR(E890="",E890="!!!",F890="NEW"),"",COUNTBLANK(OFFSET(A$1,,,SUMPRODUCT(MAX(ROW(E$2:E890)*(E890=E$2:E890)))))-COUNTBLANK(OFFSET(A$1,,,SUMPRODUCT(MAX(ROW(E$1:E889)*(E2=E$1:E889))))))</f>
        <v> </v>
      </c>
      <c r="K890" s="26" t="str">
        <f>IF(OR(E890="",E890="!!!",F890="NEW"),"",INDEX(J$1:J889,SUMPRODUCT(MAX(ROW(E$1:E889)*(E890=E$1:E889)))))</f>
        <v> </v>
      </c>
      <c r="L890" s="27"/>
    </row>
    <row r="891" spans="1:12">
      <c r="A891" s="20" t="s">
        <v>1387</v>
      </c>
      <c r="E891" s="22">
        <f>IF(D891="?OLD","!!!","")</f>
        <v/>
      </c>
      <c r="F891" s="23" t="str">
        <f>IF(OR(E891="",E891="!!!"),"",IF(NOT(ISNA(VLOOKUP(E891,E$1:E890,1,FALSE()))),"OLD",IF(AND(E891&lt;&gt;"",E891&lt;&gt;"!!!"),"NEW","")))</f>
        <v> </v>
      </c>
      <c r="G891" s="24" t="str">
        <f>IF(OR(E891="",E891="!!!"),"",IF(OR(J891=0,AND(J891=1,K891=1),AND(J891=1,I891="SBJ"),AND(J891=1,I891=0)),"?IN_FOCUS",IF(J891&lt;=2,"?ACTIVATED",IF(J891&lt;&gt;"","?FAMILIAR",IF(F891="NEW",IF(ISNA(VLOOKUP(E891,#REF!,1,FALSE())),"?TYPE_IDENTIFIABLE","?REFERENTIAL"),"_")))))</f>
        <v> </v>
      </c>
      <c r="H891" s="25" t="str">
        <f>IF(J891&lt;&gt;1,"",IF(I891="SBJ","CB","?"))</f>
        <v> </v>
      </c>
      <c r="I891" s="26" t="str">
        <f>IF(OR(E891="",E891="!!!",F891="NEW"),"",INDEX(B890:B$2,-1+SUMPRODUCT(MAX(ROW(E890:E$2)*(E891=E890:E$2)))))</f>
        <v> </v>
      </c>
      <c r="J891" s="26" t="str">
        <f>IF(OR(E891="",E891="!!!",F891="NEW"),"",COUNTBLANK(OFFSET(A$1,,,SUMPRODUCT(MAX(ROW(E$2:E891)*(E891=E$2:E891)))))-COUNTBLANK(OFFSET(A$1,,,SUMPRODUCT(MAX(ROW(E$1:E890)*(E2=E$1:E890))))))</f>
        <v> </v>
      </c>
      <c r="K891" s="26" t="str">
        <f>IF(OR(E891="",E891="!!!",F891="NEW"),"",INDEX(J$1:J890,SUMPRODUCT(MAX(ROW(E$1:E890)*(E891=E$1:E890)))))</f>
        <v> </v>
      </c>
      <c r="L891" s="27"/>
    </row>
    <row r="892" spans="1:12">
      <c r="A892" s="20" t="s">
        <v>1163</v>
      </c>
      <c r="E892" s="22">
        <f>IF(D892="?OLD","!!!","")</f>
        <v/>
      </c>
      <c r="F892" s="23" t="str">
        <f>IF(OR(E892="",E892="!!!"),"",IF(NOT(ISNA(VLOOKUP(E892,E$1:E891,1,FALSE()))),"OLD",IF(AND(E892&lt;&gt;"",E892&lt;&gt;"!!!"),"NEW","")))</f>
        <v> </v>
      </c>
      <c r="G892" s="24" t="str">
        <f>IF(OR(E892="",E892="!!!"),"",IF(OR(J892=0,AND(J892=1,K892=1),AND(J892=1,I892="SBJ"),AND(J892=1,I892=0)),"?IN_FOCUS",IF(J892&lt;=2,"?ACTIVATED",IF(J892&lt;&gt;"","?FAMILIAR",IF(F892="NEW",IF(ISNA(VLOOKUP(E892,#REF!,1,FALSE())),"?TYPE_IDENTIFIABLE","?REFERENTIAL"),"_")))))</f>
        <v> </v>
      </c>
      <c r="H892" s="25" t="str">
        <f>IF(J892&lt;&gt;1,"",IF(I892="SBJ","CB","?"))</f>
        <v> </v>
      </c>
      <c r="I892" s="26" t="str">
        <f>IF(OR(E892="",E892="!!!",F892="NEW"),"",INDEX(B891:B$2,-1+SUMPRODUCT(MAX(ROW(E891:E$2)*(E892=E891:E$2)))))</f>
        <v> </v>
      </c>
      <c r="J892" s="26" t="str">
        <f>IF(OR(E892="",E892="!!!",F892="NEW"),"",COUNTBLANK(OFFSET(A$1,,,SUMPRODUCT(MAX(ROW(E$2:E892)*(E892=E$2:E892)))))-COUNTBLANK(OFFSET(A$1,,,SUMPRODUCT(MAX(ROW(E$1:E891)*(E2=E$1:E891))))))</f>
        <v> </v>
      </c>
      <c r="K892" s="26" t="str">
        <f>IF(OR(E892="",E892="!!!",F892="NEW"),"",INDEX(J$1:J891,SUMPRODUCT(MAX(ROW(E$1:E891)*(E892=E$1:E891)))))</f>
        <v> </v>
      </c>
      <c r="L892" s="27"/>
    </row>
    <row r="893" spans="1:12">
      <c r="A893" s="20" t="s">
        <v>1023</v>
      </c>
      <c r="E893" s="22">
        <f>IF(D893="?OLD","!!!","")</f>
        <v/>
      </c>
      <c r="F893" s="23" t="str">
        <f>IF(OR(E893="",E893="!!!"),"",IF(NOT(ISNA(VLOOKUP(E893,E$1:E892,1,FALSE()))),"OLD",IF(AND(E893&lt;&gt;"",E893&lt;&gt;"!!!"),"NEW","")))</f>
        <v> </v>
      </c>
      <c r="G893" s="24" t="str">
        <f>IF(OR(E893="",E893="!!!"),"",IF(OR(J893=0,AND(J893=1,K893=1),AND(J893=1,I893="SBJ"),AND(J893=1,I893=0)),"?IN_FOCUS",IF(J893&lt;=2,"?ACTIVATED",IF(J893&lt;&gt;"","?FAMILIAR",IF(F893="NEW",IF(ISNA(VLOOKUP(E893,#REF!,1,FALSE())),"?TYPE_IDENTIFIABLE","?REFERENTIAL"),"_")))))</f>
        <v> </v>
      </c>
      <c r="H893" s="25" t="str">
        <f>IF(J893&lt;&gt;1,"",IF(I893="SBJ","CB","?"))</f>
        <v> </v>
      </c>
      <c r="I893" s="26" t="str">
        <f>IF(OR(E893="",E893="!!!",F893="NEW"),"",INDEX(B892:B$2,-1+SUMPRODUCT(MAX(ROW(E892:E$2)*(E893=E892:E$2)))))</f>
        <v> </v>
      </c>
      <c r="J893" s="26" t="str">
        <f>IF(OR(E893="",E893="!!!",F893="NEW"),"",COUNTBLANK(OFFSET(A$1,,,SUMPRODUCT(MAX(ROW(E$2:E893)*(E893=E$2:E893)))))-COUNTBLANK(OFFSET(A$1,,,SUMPRODUCT(MAX(ROW(E$1:E892)*(E2=E$1:E892))))))</f>
        <v> </v>
      </c>
      <c r="K893" s="26" t="str">
        <f>IF(OR(E893="",E893="!!!",F893="NEW"),"",INDEX(J$1:J892,SUMPRODUCT(MAX(ROW(E$1:E892)*(E893=E$1:E892)))))</f>
        <v> </v>
      </c>
      <c r="L893" s="27"/>
    </row>
    <row r="894" spans="1:12">
      <c r="A894" s="20"/>
    </row>
    <row r="895" spans="1:12">
      <c r="A895" s="20" t="s">
        <v>1388</v>
      </c>
    </row>
    <row r="896" spans="1:12">
      <c r="A896" s="20" t="s">
        <v>1389</v>
      </c>
      <c r="B896" s="21" t="s">
        <v>1050</v>
      </c>
      <c r="C896" s="21" t="s">
        <v>1073</v>
      </c>
      <c r="D896" s="21" t="s">
        <v>1007</v>
      </c>
      <c r="E896" s="22">
        <f>IF(D896="?OLD","!!!","")</f>
        <v/>
      </c>
      <c r="F896" s="23" t="str">
        <f>IF(OR(E896="",E896="!!!"),"",IF(NOT(ISNA(VLOOKUP(E896,E$1:E895,1,FALSE()))),"OLD",IF(AND(E896&lt;&gt;"",E896&lt;&gt;"!!!"),"NEW","")))</f>
        <v> </v>
      </c>
      <c r="G896" s="24" t="str">
        <f>IF(OR(E896="",E896="!!!"),"",IF(OR(J896=0,AND(J896=1,K896=1),AND(J896=1,I896="SBJ"),AND(J896=1,I896=0)),"?IN_FOCUS",IF(J896&lt;=2,"?ACTIVATED",IF(J896&lt;&gt;"","?FAMILIAR",IF(F896="NEW",IF(ISNA(VLOOKUP(E896,#REF!,1,FALSE())),"?TYPE_IDENTIFIABLE","?REFERENTIAL"),"_")))))</f>
        <v> </v>
      </c>
      <c r="H896" s="25" t="str">
        <f>IF(J896&lt;&gt;1,"",IF(I896="SBJ","CB","?"))</f>
        <v> </v>
      </c>
      <c r="I896" s="26" t="str">
        <f>IF(OR(E896="",E896="!!!",F896="NEW"),"",INDEX(B895:B$2,-1+SUMPRODUCT(MAX(ROW(E895:E$2)*(E896=E895:E$2)))))</f>
        <v> </v>
      </c>
      <c r="J896" s="26" t="str">
        <f>IF(OR(E896="",E896="!!!",F896="NEW"),"",COUNTBLANK(OFFSET(A$1,,,SUMPRODUCT(MAX(ROW(E$2:E896)*(E896=E$2:E896)))))-COUNTBLANK(OFFSET(A$1,,,SUMPRODUCT(MAX(ROW(E$1:E895)*(E2=E$1:E895))))))</f>
        <v> </v>
      </c>
      <c r="K896" s="26" t="str">
        <f>IF(OR(E896="",E896="!!!",F896="NEW"),"",INDEX(J$1:J895,SUMPRODUCT(MAX(ROW(E$1:E895)*(E896=E$1:E895)))))</f>
        <v> </v>
      </c>
      <c r="L896" s="27"/>
    </row>
    <row r="897" spans="1:12">
      <c r="A897" s="20" t="s">
        <v>1075</v>
      </c>
      <c r="E897" s="22">
        <f>IF(D897="?OLD","!!!","")</f>
        <v/>
      </c>
      <c r="F897" s="23" t="str">
        <f>IF(OR(E897="",E897="!!!"),"",IF(NOT(ISNA(VLOOKUP(E897,E$1:E896,1,FALSE()))),"OLD",IF(AND(E897&lt;&gt;"",E897&lt;&gt;"!!!"),"NEW","")))</f>
        <v> </v>
      </c>
      <c r="G897" s="24" t="str">
        <f>IF(OR(E897="",E897="!!!"),"",IF(OR(J897=0,AND(J897=1,K897=1),AND(J897=1,I897="SBJ"),AND(J897=1,I897=0)),"?IN_FOCUS",IF(J897&lt;=2,"?ACTIVATED",IF(J897&lt;&gt;"","?FAMILIAR",IF(F897="NEW",IF(ISNA(VLOOKUP(E897,#REF!,1,FALSE())),"?TYPE_IDENTIFIABLE","?REFERENTIAL"),"_")))))</f>
        <v> </v>
      </c>
      <c r="H897" s="25" t="str">
        <f>IF(J897&lt;&gt;1,"",IF(I897="SBJ","CB","?"))</f>
        <v> </v>
      </c>
      <c r="I897" s="26" t="str">
        <f>IF(OR(E897="",E897="!!!",F897="NEW"),"",INDEX(B896:B$2,-1+SUMPRODUCT(MAX(ROW(E896:E$2)*(E897=E896:E$2)))))</f>
        <v> </v>
      </c>
      <c r="J897" s="26" t="str">
        <f>IF(OR(E897="",E897="!!!",F897="NEW"),"",COUNTBLANK(OFFSET(A$1,,,SUMPRODUCT(MAX(ROW(E$2:E897)*(E897=E$2:E897)))))-COUNTBLANK(OFFSET(A$1,,,SUMPRODUCT(MAX(ROW(E$1:E896)*(E2=E$1:E896))))))</f>
        <v> </v>
      </c>
      <c r="K897" s="26" t="str">
        <f>IF(OR(E897="",E897="!!!",F897="NEW"),"",INDEX(J$1:J896,SUMPRODUCT(MAX(ROW(E$1:E896)*(E897=E$1:E896)))))</f>
        <v> </v>
      </c>
      <c r="L897" s="27"/>
    </row>
    <row r="898" spans="1:12">
      <c r="A898" s="20" t="s">
        <v>1056</v>
      </c>
      <c r="E898" s="22">
        <f>IF(D898="?OLD","!!!","")</f>
        <v/>
      </c>
      <c r="F898" s="23" t="str">
        <f>IF(OR(E898="",E898="!!!"),"",IF(NOT(ISNA(VLOOKUP(E898,E$1:E897,1,FALSE()))),"OLD",IF(AND(E898&lt;&gt;"",E898&lt;&gt;"!!!"),"NEW","")))</f>
        <v> </v>
      </c>
      <c r="G898" s="24" t="str">
        <f>IF(OR(E898="",E898="!!!"),"",IF(OR(J898=0,AND(J898=1,K898=1),AND(J898=1,I898="SBJ"),AND(J898=1,I898=0)),"?IN_FOCUS",IF(J898&lt;=2,"?ACTIVATED",IF(J898&lt;&gt;"","?FAMILIAR",IF(F898="NEW",IF(ISNA(VLOOKUP(E898,#REF!,1,FALSE())),"?TYPE_IDENTIFIABLE","?REFERENTIAL"),"_")))))</f>
        <v> </v>
      </c>
      <c r="H898" s="25" t="str">
        <f>IF(J898&lt;&gt;1,"",IF(I898="SBJ","CB","?"))</f>
        <v> </v>
      </c>
      <c r="I898" s="26" t="str">
        <f>IF(OR(E898="",E898="!!!",F898="NEW"),"",INDEX(B897:B$2,-1+SUMPRODUCT(MAX(ROW(E897:E$2)*(E898=E897:E$2)))))</f>
        <v> </v>
      </c>
      <c r="J898" s="26" t="str">
        <f>IF(OR(E898="",E898="!!!",F898="NEW"),"",COUNTBLANK(OFFSET(A$1,,,SUMPRODUCT(MAX(ROW(E$2:E898)*(E898=E$2:E898)))))-COUNTBLANK(OFFSET(A$1,,,SUMPRODUCT(MAX(ROW(E$1:E897)*(E2=E$1:E897))))))</f>
        <v> </v>
      </c>
      <c r="K898" s="26" t="str">
        <f>IF(OR(E898="",E898="!!!",F898="NEW"),"",INDEX(J$1:J897,SUMPRODUCT(MAX(ROW(E$1:E897)*(E898=E$1:E897)))))</f>
        <v> </v>
      </c>
      <c r="L898" s="27"/>
    </row>
    <row r="899" spans="1:12">
      <c r="A899" s="20" t="s">
        <v>1390</v>
      </c>
      <c r="B899" s="21" t="s">
        <v>1005</v>
      </c>
      <c r="C899" s="21" t="s">
        <v>1013</v>
      </c>
      <c r="D899" s="21" t="s">
        <v>1007</v>
      </c>
      <c r="E899" s="22">
        <f>IF(D899="?OLD","!!!","")</f>
        <v/>
      </c>
      <c r="F899" s="23" t="str">
        <f>IF(OR(E899="",E899="!!!"),"",IF(NOT(ISNA(VLOOKUP(E899,E$1:E898,1,FALSE()))),"OLD",IF(AND(E899&lt;&gt;"",E899&lt;&gt;"!!!"),"NEW","")))</f>
        <v> </v>
      </c>
      <c r="G899" s="24" t="str">
        <f>IF(OR(E899="",E899="!!!"),"",IF(OR(J899=0,AND(J899=1,K899=1),AND(J899=1,I899="SBJ"),AND(J899=1,I899=0)),"?IN_FOCUS",IF(J899&lt;=2,"?ACTIVATED",IF(J899&lt;&gt;"","?FAMILIAR",IF(F899="NEW",IF(ISNA(VLOOKUP(E899,#REF!,1,FALSE())),"?TYPE_IDENTIFIABLE","?REFERENTIAL"),"_")))))</f>
        <v> </v>
      </c>
      <c r="H899" s="25" t="str">
        <f>IF(J899&lt;&gt;1,"",IF(I899="SBJ","CB","?"))</f>
        <v> </v>
      </c>
      <c r="I899" s="26" t="str">
        <f>IF(OR(E899="",E899="!!!",F899="NEW"),"",INDEX(B898:B$2,-1+SUMPRODUCT(MAX(ROW(E898:E$2)*(E899=E898:E$2)))))</f>
        <v> </v>
      </c>
      <c r="J899" s="26" t="str">
        <f>IF(OR(E899="",E899="!!!",F899="NEW"),"",COUNTBLANK(OFFSET(A$1,,,SUMPRODUCT(MAX(ROW(E$2:E899)*(E899=E$2:E899)))))-COUNTBLANK(OFFSET(A$1,,,SUMPRODUCT(MAX(ROW(E$1:E898)*(E2=E$1:E898))))))</f>
        <v> </v>
      </c>
      <c r="K899" s="26" t="str">
        <f>IF(OR(E899="",E899="!!!",F899="NEW"),"",INDEX(J$1:J898,SUMPRODUCT(MAX(ROW(E$1:E898)*(E899=E$1:E898)))))</f>
        <v> </v>
      </c>
      <c r="L899" s="27"/>
    </row>
    <row r="900" spans="1:12">
      <c r="A900" s="20" t="s">
        <v>1014</v>
      </c>
      <c r="E900" s="22">
        <f>IF(D900="?OLD","!!!","")</f>
        <v/>
      </c>
      <c r="F900" s="23" t="str">
        <f>IF(OR(E900="",E900="!!!"),"",IF(NOT(ISNA(VLOOKUP(E900,E$1:E899,1,FALSE()))),"OLD",IF(AND(E900&lt;&gt;"",E900&lt;&gt;"!!!"),"NEW","")))</f>
        <v> </v>
      </c>
      <c r="G900" s="24" t="str">
        <f>IF(OR(E900="",E900="!!!"),"",IF(OR(J900=0,AND(J900=1,K900=1),AND(J900=1,I900="SBJ"),AND(J900=1,I900=0)),"?IN_FOCUS",IF(J900&lt;=2,"?ACTIVATED",IF(J900&lt;&gt;"","?FAMILIAR",IF(F900="NEW",IF(ISNA(VLOOKUP(E900,#REF!,1,FALSE())),"?TYPE_IDENTIFIABLE","?REFERENTIAL"),"_")))))</f>
        <v> </v>
      </c>
      <c r="H900" s="25" t="str">
        <f>IF(J900&lt;&gt;1,"",IF(I900="SBJ","CB","?"))</f>
        <v> </v>
      </c>
      <c r="I900" s="26" t="str">
        <f>IF(OR(E900="",E900="!!!",F900="NEW"),"",INDEX(B899:B$2,-1+SUMPRODUCT(MAX(ROW(E899:E$2)*(E900=E899:E$2)))))</f>
        <v> </v>
      </c>
      <c r="J900" s="26" t="str">
        <f>IF(OR(E900="",E900="!!!",F900="NEW"),"",COUNTBLANK(OFFSET(A$1,,,SUMPRODUCT(MAX(ROW(E$2:E900)*(E900=E$2:E900)))))-COUNTBLANK(OFFSET(A$1,,,SUMPRODUCT(MAX(ROW(E$1:E899)*(E2=E$1:E899))))))</f>
        <v> </v>
      </c>
      <c r="K900" s="26" t="str">
        <f>IF(OR(E900="",E900="!!!",F900="NEW"),"",INDEX(J$1:J899,SUMPRODUCT(MAX(ROW(E$1:E899)*(E900=E$1:E899)))))</f>
        <v> </v>
      </c>
      <c r="L900" s="27"/>
    </row>
    <row r="901" spans="1:12">
      <c r="A901" s="20" t="s">
        <v>102</v>
      </c>
      <c r="E901" s="22">
        <f>IF(D901="?OLD","!!!","")</f>
        <v/>
      </c>
      <c r="F901" s="23" t="str">
        <f>IF(OR(E901="",E901="!!!"),"",IF(NOT(ISNA(VLOOKUP(E901,E$1:E900,1,FALSE()))),"OLD",IF(AND(E901&lt;&gt;"",E901&lt;&gt;"!!!"),"NEW","")))</f>
        <v> </v>
      </c>
      <c r="G901" s="24" t="str">
        <f>IF(OR(E901="",E901="!!!"),"",IF(OR(J901=0,AND(J901=1,K901=1),AND(J901=1,I901="SBJ"),AND(J901=1,I901=0)),"?IN_FOCUS",IF(J901&lt;=2,"?ACTIVATED",IF(J901&lt;&gt;"","?FAMILIAR",IF(F901="NEW",IF(ISNA(VLOOKUP(E901,#REF!,1,FALSE())),"?TYPE_IDENTIFIABLE","?REFERENTIAL"),"_")))))</f>
        <v> </v>
      </c>
      <c r="H901" s="25" t="str">
        <f>IF(J901&lt;&gt;1,"",IF(I901="SBJ","CB","?"))</f>
        <v> </v>
      </c>
      <c r="I901" s="26" t="str">
        <f>IF(OR(E901="",E901="!!!",F901="NEW"),"",INDEX(B900:B$2,-1+SUMPRODUCT(MAX(ROW(E900:E$2)*(E901=E900:E$2)))))</f>
        <v> </v>
      </c>
      <c r="J901" s="26" t="str">
        <f>IF(OR(E901="",E901="!!!",F901="NEW"),"",COUNTBLANK(OFFSET(A$1,,,SUMPRODUCT(MAX(ROW(E$2:E901)*(E901=E$2:E901)))))-COUNTBLANK(OFFSET(A$1,,,SUMPRODUCT(MAX(ROW(E$1:E900)*(E2=E$1:E900))))))</f>
        <v> </v>
      </c>
      <c r="K901" s="26" t="str">
        <f>IF(OR(E901="",E901="!!!",F901="NEW"),"",INDEX(J$1:J900,SUMPRODUCT(MAX(ROW(E$1:E900)*(E901=E$1:E900)))))</f>
        <v> </v>
      </c>
      <c r="L901" s="27"/>
    </row>
    <row r="902" spans="1:12">
      <c r="A902" s="20" t="s">
        <v>1391</v>
      </c>
      <c r="B902" s="21" t="s">
        <v>1005</v>
      </c>
      <c r="C902" s="21" t="s">
        <v>1017</v>
      </c>
      <c r="D902" s="21" t="s">
        <v>1007</v>
      </c>
      <c r="E902" s="22">
        <f>IF(D902="?OLD","!!!","")</f>
        <v/>
      </c>
      <c r="F902" s="23" t="str">
        <f>IF(OR(E902="",E902="!!!"),"",IF(NOT(ISNA(VLOOKUP(E902,E$1:E901,1,FALSE()))),"OLD",IF(AND(E902&lt;&gt;"",E902&lt;&gt;"!!!"),"NEW","")))</f>
        <v> </v>
      </c>
      <c r="G902" s="24" t="str">
        <f>IF(OR(E902="",E902="!!!"),"",IF(OR(J902=0,AND(J902=1,K902=1),AND(J902=1,I902="SBJ"),AND(J902=1,I902=0)),"?IN_FOCUS",IF(J902&lt;=2,"?ACTIVATED",IF(J902&lt;&gt;"","?FAMILIAR",IF(F902="NEW",IF(ISNA(VLOOKUP(E902,#REF!,1,FALSE())),"?TYPE_IDENTIFIABLE","?REFERENTIAL"),"_")))))</f>
        <v> </v>
      </c>
      <c r="H902" s="25" t="str">
        <f>IF(J902&lt;&gt;1,"",IF(I902="SBJ","CB","?"))</f>
        <v> </v>
      </c>
      <c r="I902" s="26" t="str">
        <f>IF(OR(E902="",E902="!!!",F902="NEW"),"",INDEX(B901:B$2,-1+SUMPRODUCT(MAX(ROW(E901:E$2)*(E902=E901:E$2)))))</f>
        <v> </v>
      </c>
      <c r="J902" s="26" t="str">
        <f>IF(OR(E902="",E902="!!!",F902="NEW"),"",COUNTBLANK(OFFSET(A$1,,,SUMPRODUCT(MAX(ROW(E$2:E902)*(E902=E$2:E902)))))-COUNTBLANK(OFFSET(A$1,,,SUMPRODUCT(MAX(ROW(E$1:E901)*(E2=E$1:E901))))))</f>
        <v> </v>
      </c>
      <c r="K902" s="26" t="str">
        <f>IF(OR(E902="",E902="!!!",F902="NEW"),"",INDEX(J$1:J901,SUMPRODUCT(MAX(ROW(E$1:E901)*(E902=E$1:E901)))))</f>
        <v> </v>
      </c>
      <c r="L902" s="27"/>
    </row>
    <row r="903" spans="1:12">
      <c r="A903" s="20" t="s">
        <v>1392</v>
      </c>
      <c r="B903" s="21" t="s">
        <v>1022</v>
      </c>
      <c r="C903" s="21" t="s">
        <v>1006</v>
      </c>
      <c r="D903" s="21" t="s">
        <v>1007</v>
      </c>
      <c r="E903" s="22">
        <f>IF(D903="?OLD","!!!","")</f>
        <v/>
      </c>
      <c r="F903" s="23" t="str">
        <f>IF(OR(E903="",E903="!!!"),"",IF(NOT(ISNA(VLOOKUP(E903,E$1:E902,1,FALSE()))),"OLD",IF(AND(E903&lt;&gt;"",E903&lt;&gt;"!!!"),"NEW","")))</f>
        <v> </v>
      </c>
      <c r="G903" s="24" t="str">
        <f>IF(OR(E903="",E903="!!!"),"",IF(OR(J903=0,AND(J903=1,K903=1),AND(J903=1,I903="SBJ"),AND(J903=1,I903=0)),"?IN_FOCUS",IF(J903&lt;=2,"?ACTIVATED",IF(J903&lt;&gt;"","?FAMILIAR",IF(F903="NEW",IF(ISNA(VLOOKUP(E903,#REF!,1,FALSE())),"?TYPE_IDENTIFIABLE","?REFERENTIAL"),"_")))))</f>
        <v> </v>
      </c>
      <c r="H903" s="25" t="str">
        <f>IF(J903&lt;&gt;1,"",IF(I903="SBJ","CB","?"))</f>
        <v> </v>
      </c>
      <c r="I903" s="26" t="str">
        <f>IF(OR(E903="",E903="!!!",F903="NEW"),"",INDEX(B902:B$2,-1+SUMPRODUCT(MAX(ROW(E902:E$2)*(E903=E902:E$2)))))</f>
        <v> </v>
      </c>
      <c r="J903" s="26" t="str">
        <f>IF(OR(E903="",E903="!!!",F903="NEW"),"",COUNTBLANK(OFFSET(A$1,,,SUMPRODUCT(MAX(ROW(E$2:E903)*(E903=E$2:E903)))))-COUNTBLANK(OFFSET(A$1,,,SUMPRODUCT(MAX(ROW(E$1:E902)*(E2=E$1:E902))))))</f>
        <v> </v>
      </c>
      <c r="K903" s="26" t="str">
        <f>IF(OR(E903="",E903="!!!",F903="NEW"),"",INDEX(J$1:J902,SUMPRODUCT(MAX(ROW(E$1:E902)*(E903=E$1:E902)))))</f>
        <v> </v>
      </c>
      <c r="L903" s="27"/>
    </row>
    <row r="904" spans="1:12">
      <c r="A904" s="20" t="s">
        <v>1023</v>
      </c>
      <c r="E904" s="22">
        <f>IF(D904="?OLD","!!!","")</f>
        <v/>
      </c>
      <c r="F904" s="23" t="str">
        <f>IF(OR(E904="",E904="!!!"),"",IF(NOT(ISNA(VLOOKUP(E904,E$1:E903,1,FALSE()))),"OLD",IF(AND(E904&lt;&gt;"",E904&lt;&gt;"!!!"),"NEW","")))</f>
        <v> </v>
      </c>
      <c r="G904" s="24" t="str">
        <f>IF(OR(E904="",E904="!!!"),"",IF(OR(J904=0,AND(J904=1,K904=1),AND(J904=1,I904="SBJ"),AND(J904=1,I904=0)),"?IN_FOCUS",IF(J904&lt;=2,"?ACTIVATED",IF(J904&lt;&gt;"","?FAMILIAR",IF(F904="NEW",IF(ISNA(VLOOKUP(E904,#REF!,1,FALSE())),"?TYPE_IDENTIFIABLE","?REFERENTIAL"),"_")))))</f>
        <v> </v>
      </c>
      <c r="H904" s="25" t="str">
        <f>IF(J904&lt;&gt;1,"",IF(I904="SBJ","CB","?"))</f>
        <v> </v>
      </c>
      <c r="I904" s="26" t="str">
        <f>IF(OR(E904="",E904="!!!",F904="NEW"),"",INDEX(B903:B$2,-1+SUMPRODUCT(MAX(ROW(E903:E$2)*(E904=E903:E$2)))))</f>
        <v> </v>
      </c>
      <c r="J904" s="26" t="str">
        <f>IF(OR(E904="",E904="!!!",F904="NEW"),"",COUNTBLANK(OFFSET(A$1,,,SUMPRODUCT(MAX(ROW(E$2:E904)*(E904=E$2:E904)))))-COUNTBLANK(OFFSET(A$1,,,SUMPRODUCT(MAX(ROW(E$1:E903)*(E2=E$1:E903))))))</f>
        <v> </v>
      </c>
      <c r="K904" s="26" t="str">
        <f>IF(OR(E904="",E904="!!!",F904="NEW"),"",INDEX(J$1:J903,SUMPRODUCT(MAX(ROW(E$1:E903)*(E904=E$1:E903)))))</f>
        <v> </v>
      </c>
      <c r="L904" s="27"/>
    </row>
    <row r="905" spans="1:12">
      <c r="A905" s="20"/>
    </row>
    <row r="906" spans="1:12">
      <c r="A906" s="20" t="s">
        <v>1393</v>
      </c>
    </row>
    <row r="907" spans="1:12">
      <c r="A907" s="20" t="s">
        <v>1394</v>
      </c>
      <c r="E907" s="22">
        <f>IF(D907="?OLD","!!!","")</f>
        <v/>
      </c>
      <c r="F907" s="23" t="str">
        <f>IF(OR(E907="",E907="!!!"),"",IF(NOT(ISNA(VLOOKUP(E907,E$1:E906,1,FALSE()))),"OLD",IF(AND(E907&lt;&gt;"",E907&lt;&gt;"!!!"),"NEW","")))</f>
        <v> </v>
      </c>
      <c r="G907" s="24" t="str">
        <f>IF(OR(E907="",E907="!!!"),"",IF(OR(J907=0,AND(J907=1,K907=1),AND(J907=1,I907="SBJ"),AND(J907=1,I907=0)),"?IN_FOCUS",IF(J907&lt;=2,"?ACTIVATED",IF(J907&lt;&gt;"","?FAMILIAR",IF(F907="NEW",IF(ISNA(VLOOKUP(E907,#REF!,1,FALSE())),"?TYPE_IDENTIFIABLE","?REFERENTIAL"),"_")))))</f>
        <v> </v>
      </c>
      <c r="H907" s="25" t="str">
        <f>IF(J907&lt;&gt;1,"",IF(I907="SBJ","CB","?"))</f>
        <v> </v>
      </c>
      <c r="I907" s="26" t="str">
        <f>IF(OR(E907="",E907="!!!",F907="NEW"),"",INDEX(B906:B$2,-1+SUMPRODUCT(MAX(ROW(E906:E$2)*(E907=E906:E$2)))))</f>
        <v> </v>
      </c>
      <c r="J907" s="26" t="str">
        <f>IF(OR(E907="",E907="!!!",F907="NEW"),"",COUNTBLANK(OFFSET(A$1,,,SUMPRODUCT(MAX(ROW(E$2:E907)*(E907=E$2:E907)))))-COUNTBLANK(OFFSET(A$1,,,SUMPRODUCT(MAX(ROW(E$1:E906)*(E2=E$1:E906))))))</f>
        <v> </v>
      </c>
      <c r="K907" s="26" t="str">
        <f>IF(OR(E907="",E907="!!!",F907="NEW"),"",INDEX(J$1:J906,SUMPRODUCT(MAX(ROW(E$1:E906)*(E907=E$1:E906)))))</f>
        <v> </v>
      </c>
      <c r="L907" s="27"/>
    </row>
    <row r="908" spans="1:12">
      <c r="A908" s="20" t="s">
        <v>1395</v>
      </c>
      <c r="E908" s="22">
        <f>IF(D908="?OLD","!!!","")</f>
        <v/>
      </c>
      <c r="F908" s="23" t="str">
        <f>IF(OR(E908="",E908="!!!"),"",IF(NOT(ISNA(VLOOKUP(E908,E$1:E907,1,FALSE()))),"OLD",IF(AND(E908&lt;&gt;"",E908&lt;&gt;"!!!"),"NEW","")))</f>
        <v> </v>
      </c>
      <c r="G908" s="24" t="str">
        <f>IF(OR(E908="",E908="!!!"),"",IF(OR(J908=0,AND(J908=1,K908=1),AND(J908=1,I908="SBJ"),AND(J908=1,I908=0)),"?IN_FOCUS",IF(J908&lt;=2,"?ACTIVATED",IF(J908&lt;&gt;"","?FAMILIAR",IF(F908="NEW",IF(ISNA(VLOOKUP(E908,#REF!,1,FALSE())),"?TYPE_IDENTIFIABLE","?REFERENTIAL"),"_")))))</f>
        <v> </v>
      </c>
      <c r="H908" s="25" t="str">
        <f>IF(J908&lt;&gt;1,"",IF(I908="SBJ","CB","?"))</f>
        <v> </v>
      </c>
      <c r="I908" s="26" t="str">
        <f>IF(OR(E908="",E908="!!!",F908="NEW"),"",INDEX(B907:B$2,-1+SUMPRODUCT(MAX(ROW(E907:E$2)*(E908=E907:E$2)))))</f>
        <v> </v>
      </c>
      <c r="J908" s="26" t="str">
        <f>IF(OR(E908="",E908="!!!",F908="NEW"),"",COUNTBLANK(OFFSET(A$1,,,SUMPRODUCT(MAX(ROW(E$2:E908)*(E908=E$2:E908)))))-COUNTBLANK(OFFSET(A$1,,,SUMPRODUCT(MAX(ROW(E$1:E907)*(E2=E$1:E907))))))</f>
        <v> </v>
      </c>
      <c r="K908" s="26" t="str">
        <f>IF(OR(E908="",E908="!!!",F908="NEW"),"",INDEX(J$1:J907,SUMPRODUCT(MAX(ROW(E$1:E907)*(E908=E$1:E907)))))</f>
        <v> </v>
      </c>
      <c r="L908" s="27"/>
    </row>
    <row r="909" spans="1:12">
      <c r="A909" s="20" t="s">
        <v>1396</v>
      </c>
      <c r="E909" s="22">
        <f>IF(D909="?OLD","!!!","")</f>
        <v/>
      </c>
      <c r="F909" s="23" t="str">
        <f>IF(OR(E909="",E909="!!!"),"",IF(NOT(ISNA(VLOOKUP(E909,E$1:E908,1,FALSE()))),"OLD",IF(AND(E909&lt;&gt;"",E909&lt;&gt;"!!!"),"NEW","")))</f>
        <v> </v>
      </c>
      <c r="G909" s="24" t="str">
        <f>IF(OR(E909="",E909="!!!"),"",IF(OR(J909=0,AND(J909=1,K909=1),AND(J909=1,I909="SBJ"),AND(J909=1,I909=0)),"?IN_FOCUS",IF(J909&lt;=2,"?ACTIVATED",IF(J909&lt;&gt;"","?FAMILIAR",IF(F909="NEW",IF(ISNA(VLOOKUP(E909,#REF!,1,FALSE())),"?TYPE_IDENTIFIABLE","?REFERENTIAL"),"_")))))</f>
        <v> </v>
      </c>
      <c r="H909" s="25" t="str">
        <f>IF(J909&lt;&gt;1,"",IF(I909="SBJ","CB","?"))</f>
        <v> </v>
      </c>
      <c r="I909" s="26" t="str">
        <f>IF(OR(E909="",E909="!!!",F909="NEW"),"",INDEX(B908:B$2,-1+SUMPRODUCT(MAX(ROW(E908:E$2)*(E909=E908:E$2)))))</f>
        <v> </v>
      </c>
      <c r="J909" s="26" t="str">
        <f>IF(OR(E909="",E909="!!!",F909="NEW"),"",COUNTBLANK(OFFSET(A$1,,,SUMPRODUCT(MAX(ROW(E$2:E909)*(E909=E$2:E909)))))-COUNTBLANK(OFFSET(A$1,,,SUMPRODUCT(MAX(ROW(E$1:E908)*(E2=E$1:E908))))))</f>
        <v> </v>
      </c>
      <c r="K909" s="26" t="str">
        <f>IF(OR(E909="",E909="!!!",F909="NEW"),"",INDEX(J$1:J908,SUMPRODUCT(MAX(ROW(E$1:E908)*(E909=E$1:E908)))))</f>
        <v> </v>
      </c>
      <c r="L909" s="27"/>
    </row>
    <row r="910" spans="1:12">
      <c r="A910" s="20" t="s">
        <v>1020</v>
      </c>
      <c r="E910" s="22">
        <f>IF(D910="?OLD","!!!","")</f>
        <v/>
      </c>
      <c r="F910" s="23" t="str">
        <f>IF(OR(E910="",E910="!!!"),"",IF(NOT(ISNA(VLOOKUP(E910,E$1:E909,1,FALSE()))),"OLD",IF(AND(E910&lt;&gt;"",E910&lt;&gt;"!!!"),"NEW","")))</f>
        <v> </v>
      </c>
      <c r="G910" s="24" t="str">
        <f>IF(OR(E910="",E910="!!!"),"",IF(OR(J910=0,AND(J910=1,K910=1),AND(J910=1,I910="SBJ"),AND(J910=1,I910=0)),"?IN_FOCUS",IF(J910&lt;=2,"?ACTIVATED",IF(J910&lt;&gt;"","?FAMILIAR",IF(F910="NEW",IF(ISNA(VLOOKUP(E910,#REF!,1,FALSE())),"?TYPE_IDENTIFIABLE","?REFERENTIAL"),"_")))))</f>
        <v> </v>
      </c>
      <c r="H910" s="25" t="str">
        <f>IF(J910&lt;&gt;1,"",IF(I910="SBJ","CB","?"))</f>
        <v> </v>
      </c>
      <c r="I910" s="26" t="str">
        <f>IF(OR(E910="",E910="!!!",F910="NEW"),"",INDEX(B909:B$2,-1+SUMPRODUCT(MAX(ROW(E909:E$2)*(E910=E909:E$2)))))</f>
        <v> </v>
      </c>
      <c r="J910" s="26" t="str">
        <f>IF(OR(E910="",E910="!!!",F910="NEW"),"",COUNTBLANK(OFFSET(A$1,,,SUMPRODUCT(MAX(ROW(E$2:E910)*(E910=E$2:E910)))))-COUNTBLANK(OFFSET(A$1,,,SUMPRODUCT(MAX(ROW(E$1:E909)*(E2=E$1:E909))))))</f>
        <v> </v>
      </c>
      <c r="K910" s="26" t="str">
        <f>IF(OR(E910="",E910="!!!",F910="NEW"),"",INDEX(J$1:J909,SUMPRODUCT(MAX(ROW(E$1:E909)*(E910=E$1:E909)))))</f>
        <v> </v>
      </c>
      <c r="L910" s="27"/>
    </row>
    <row r="911" spans="1:12">
      <c r="A911" s="20" t="s">
        <v>102</v>
      </c>
      <c r="E911" s="22">
        <f>IF(D911="?OLD","!!!","")</f>
        <v/>
      </c>
      <c r="F911" s="23" t="str">
        <f>IF(OR(E911="",E911="!!!"),"",IF(NOT(ISNA(VLOOKUP(E911,E$1:E910,1,FALSE()))),"OLD",IF(AND(E911&lt;&gt;"",E911&lt;&gt;"!!!"),"NEW","")))</f>
        <v> </v>
      </c>
      <c r="G911" s="24" t="str">
        <f>IF(OR(E911="",E911="!!!"),"",IF(OR(J911=0,AND(J911=1,K911=1),AND(J911=1,I911="SBJ"),AND(J911=1,I911=0)),"?IN_FOCUS",IF(J911&lt;=2,"?ACTIVATED",IF(J911&lt;&gt;"","?FAMILIAR",IF(F911="NEW",IF(ISNA(VLOOKUP(E911,#REF!,1,FALSE())),"?TYPE_IDENTIFIABLE","?REFERENTIAL"),"_")))))</f>
        <v> </v>
      </c>
      <c r="H911" s="25" t="str">
        <f>IF(J911&lt;&gt;1,"",IF(I911="SBJ","CB","?"))</f>
        <v> </v>
      </c>
      <c r="I911" s="26" t="str">
        <f>IF(OR(E911="",E911="!!!",F911="NEW"),"",INDEX(B910:B$2,-1+SUMPRODUCT(MAX(ROW(E910:E$2)*(E911=E910:E$2)))))</f>
        <v> </v>
      </c>
      <c r="J911" s="26" t="str">
        <f>IF(OR(E911="",E911="!!!",F911="NEW"),"",COUNTBLANK(OFFSET(A$1,,,SUMPRODUCT(MAX(ROW(E$2:E911)*(E911=E$2:E911)))))-COUNTBLANK(OFFSET(A$1,,,SUMPRODUCT(MAX(ROW(E$1:E910)*(E2=E$1:E910))))))</f>
        <v> </v>
      </c>
      <c r="K911" s="26" t="str">
        <f>IF(OR(E911="",E911="!!!",F911="NEW"),"",INDEX(J$1:J910,SUMPRODUCT(MAX(ROW(E$1:E910)*(E911=E$1:E910)))))</f>
        <v> </v>
      </c>
      <c r="L911" s="27"/>
    </row>
    <row r="912" spans="1:12">
      <c r="A912" s="20" t="s">
        <v>1267</v>
      </c>
      <c r="B912" s="21" t="s">
        <v>1022</v>
      </c>
      <c r="C912" s="21" t="s">
        <v>1017</v>
      </c>
      <c r="D912" s="21" t="s">
        <v>1007</v>
      </c>
      <c r="E912" s="22">
        <f>IF(D912="?OLD","!!!","")</f>
        <v/>
      </c>
      <c r="F912" s="23" t="str">
        <f>IF(OR(E912="",E912="!!!"),"",IF(NOT(ISNA(VLOOKUP(E912,E$1:E911,1,FALSE()))),"OLD",IF(AND(E912&lt;&gt;"",E912&lt;&gt;"!!!"),"NEW","")))</f>
        <v> </v>
      </c>
      <c r="G912" s="24" t="str">
        <f>IF(OR(E912="",E912="!!!"),"",IF(OR(J912=0,AND(J912=1,K912=1),AND(J912=1,I912="SBJ"),AND(J912=1,I912=0)),"?IN_FOCUS",IF(J912&lt;=2,"?ACTIVATED",IF(J912&lt;&gt;"","?FAMILIAR",IF(F912="NEW",IF(ISNA(VLOOKUP(E912,#REF!,1,FALSE())),"?TYPE_IDENTIFIABLE","?REFERENTIAL"),"_")))))</f>
        <v> </v>
      </c>
      <c r="H912" s="25" t="str">
        <f>IF(J912&lt;&gt;1,"",IF(I912="SBJ","CB","?"))</f>
        <v> </v>
      </c>
      <c r="I912" s="26" t="str">
        <f>IF(OR(E912="",E912="!!!",F912="NEW"),"",INDEX(B911:B$2,-1+SUMPRODUCT(MAX(ROW(E911:E$2)*(E912=E911:E$2)))))</f>
        <v> </v>
      </c>
      <c r="J912" s="26" t="str">
        <f>IF(OR(E912="",E912="!!!",F912="NEW"),"",COUNTBLANK(OFFSET(A$1,,,SUMPRODUCT(MAX(ROW(E$2:E912)*(E912=E$2:E912)))))-COUNTBLANK(OFFSET(A$1,,,SUMPRODUCT(MAX(ROW(E$1:E911)*(E2=E$1:E911))))))</f>
        <v> </v>
      </c>
      <c r="K912" s="26" t="str">
        <f>IF(OR(E912="",E912="!!!",F912="NEW"),"",INDEX(J$1:J911,SUMPRODUCT(MAX(ROW(E$1:E911)*(E912=E$1:E911)))))</f>
        <v> </v>
      </c>
      <c r="L912" s="27"/>
    </row>
    <row r="913" spans="1:12">
      <c r="A913" s="20" t="s">
        <v>102</v>
      </c>
      <c r="B913" s="21" t="s">
        <v>1035</v>
      </c>
      <c r="C913" s="21" t="s">
        <v>1073</v>
      </c>
      <c r="D913" s="21" t="s">
        <v>1007</v>
      </c>
      <c r="E913" s="22">
        <f>IF(D913="?OLD","!!!","")</f>
        <v/>
      </c>
      <c r="F913" s="23" t="str">
        <f>IF(OR(E913="",E913="!!!"),"",IF(NOT(ISNA(VLOOKUP(E913,E$1:E912,1,FALSE()))),"OLD",IF(AND(E913&lt;&gt;"",E913&lt;&gt;"!!!"),"NEW","")))</f>
        <v> </v>
      </c>
      <c r="G913" s="24" t="str">
        <f>IF(OR(E913="",E913="!!!"),"",IF(OR(J913=0,AND(J913=1,K913=1),AND(J913=1,I913="SBJ"),AND(J913=1,I913=0)),"?IN_FOCUS",IF(J913&lt;=2,"?ACTIVATED",IF(J913&lt;&gt;"","?FAMILIAR",IF(F913="NEW",IF(ISNA(VLOOKUP(E913,#REF!,1,FALSE())),"?TYPE_IDENTIFIABLE","?REFERENTIAL"),"_")))))</f>
        <v> </v>
      </c>
      <c r="H913" s="25" t="str">
        <f>IF(J913&lt;&gt;1,"",IF(I913="SBJ","CB","?"))</f>
        <v> </v>
      </c>
      <c r="I913" s="26" t="str">
        <f>IF(OR(E913="",E913="!!!",F913="NEW"),"",INDEX(B912:B$2,-1+SUMPRODUCT(MAX(ROW(E912:E$2)*(E913=E912:E$2)))))</f>
        <v> </v>
      </c>
      <c r="J913" s="26" t="str">
        <f>IF(OR(E913="",E913="!!!",F913="NEW"),"",COUNTBLANK(OFFSET(A$1,,,SUMPRODUCT(MAX(ROW(E$2:E913)*(E913=E$2:E913)))))-COUNTBLANK(OFFSET(A$1,,,SUMPRODUCT(MAX(ROW(E$1:E912)*(E2=E$1:E912))))))</f>
        <v> </v>
      </c>
      <c r="K913" s="26" t="str">
        <f>IF(OR(E913="",E913="!!!",F913="NEW"),"",INDEX(J$1:J912,SUMPRODUCT(MAX(ROW(E$1:E912)*(E913=E$1:E912)))))</f>
        <v> </v>
      </c>
      <c r="L913" s="27"/>
    </row>
    <row r="914" spans="1:12">
      <c r="A914" s="20" t="s">
        <v>1065</v>
      </c>
      <c r="B914" s="21" t="s">
        <v>1154</v>
      </c>
      <c r="C914" s="21" t="s">
        <v>1074</v>
      </c>
      <c r="E914" s="22">
        <f>IF(D914="?OLD","!!!","")</f>
        <v/>
      </c>
      <c r="F914" s="23" t="str">
        <f>IF(OR(E914="",E914="!!!"),"",IF(NOT(ISNA(VLOOKUP(E914,E$1:E913,1,FALSE()))),"OLD",IF(AND(E914&lt;&gt;"",E914&lt;&gt;"!!!"),"NEW","")))</f>
        <v> </v>
      </c>
      <c r="G914" s="24" t="str">
        <f>IF(OR(E914="",E914="!!!"),"",IF(OR(J914=0,AND(J914=1,K914=1),AND(J914=1,I914="SBJ"),AND(J914=1,I914=0)),"?IN_FOCUS",IF(J914&lt;=2,"?ACTIVATED",IF(J914&lt;&gt;"","?FAMILIAR",IF(F914="NEW",IF(ISNA(VLOOKUP(E914,#REF!,1,FALSE())),"?TYPE_IDENTIFIABLE","?REFERENTIAL"),"_")))))</f>
        <v> </v>
      </c>
      <c r="H914" s="25" t="str">
        <f>IF(J914&lt;&gt;1,"",IF(I914="SBJ","CB","?"))</f>
        <v> </v>
      </c>
      <c r="I914" s="26" t="str">
        <f>IF(OR(E914="",E914="!!!",F914="NEW"),"",INDEX(B913:B$2,-1+SUMPRODUCT(MAX(ROW(E913:E$2)*(E914=E913:E$2)))))</f>
        <v> </v>
      </c>
      <c r="J914" s="26" t="str">
        <f>IF(OR(E914="",E914="!!!",F914="NEW"),"",COUNTBLANK(OFFSET(A$1,,,SUMPRODUCT(MAX(ROW(E$2:E914)*(E914=E$2:E914)))))-COUNTBLANK(OFFSET(A$1,,,SUMPRODUCT(MAX(ROW(E$1:E913)*(E2=E$1:E913))))))</f>
        <v> </v>
      </c>
      <c r="K914" s="26" t="str">
        <f>IF(OR(E914="",E914="!!!",F914="NEW"),"",INDEX(J$1:J913,SUMPRODUCT(MAX(ROW(E$1:E913)*(E914=E$1:E913)))))</f>
        <v> </v>
      </c>
      <c r="L914" s="27"/>
    </row>
    <row r="915" spans="1:12">
      <c r="A915" s="20" t="s">
        <v>1075</v>
      </c>
      <c r="E915" s="22">
        <f>IF(D915="?OLD","!!!","")</f>
        <v/>
      </c>
      <c r="F915" s="23" t="str">
        <f>IF(OR(E915="",E915="!!!"),"",IF(NOT(ISNA(VLOOKUP(E915,E$1:E914,1,FALSE()))),"OLD",IF(AND(E915&lt;&gt;"",E915&lt;&gt;"!!!"),"NEW","")))</f>
        <v> </v>
      </c>
      <c r="G915" s="24" t="str">
        <f>IF(OR(E915="",E915="!!!"),"",IF(OR(J915=0,AND(J915=1,K915=1),AND(J915=1,I915="SBJ"),AND(J915=1,I915=0)),"?IN_FOCUS",IF(J915&lt;=2,"?ACTIVATED",IF(J915&lt;&gt;"","?FAMILIAR",IF(F915="NEW",IF(ISNA(VLOOKUP(E915,#REF!,1,FALSE())),"?TYPE_IDENTIFIABLE","?REFERENTIAL"),"_")))))</f>
        <v> </v>
      </c>
      <c r="H915" s="25" t="str">
        <f>IF(J915&lt;&gt;1,"",IF(I915="SBJ","CB","?"))</f>
        <v> </v>
      </c>
      <c r="I915" s="26" t="str">
        <f>IF(OR(E915="",E915="!!!",F915="NEW"),"",INDEX(B914:B$2,-1+SUMPRODUCT(MAX(ROW(E914:E$2)*(E915=E914:E$2)))))</f>
        <v> </v>
      </c>
      <c r="J915" s="26" t="str">
        <f>IF(OR(E915="",E915="!!!",F915="NEW"),"",COUNTBLANK(OFFSET(A$1,,,SUMPRODUCT(MAX(ROW(E$2:E915)*(E915=E$2:E915)))))-COUNTBLANK(OFFSET(A$1,,,SUMPRODUCT(MAX(ROW(E$1:E914)*(E2=E$1:E914))))))</f>
        <v> </v>
      </c>
      <c r="K915" s="26" t="str">
        <f>IF(OR(E915="",E915="!!!",F915="NEW"),"",INDEX(J$1:J914,SUMPRODUCT(MAX(ROW(E$1:E914)*(E915=E$1:E914)))))</f>
        <v> </v>
      </c>
      <c r="L915" s="27"/>
    </row>
    <row r="916" spans="1:12">
      <c r="A916" s="20" t="s">
        <v>1065</v>
      </c>
      <c r="E916" s="22">
        <f>IF(D916="?OLD","!!!","")</f>
        <v/>
      </c>
      <c r="F916" s="23" t="str">
        <f>IF(OR(E916="",E916="!!!"),"",IF(NOT(ISNA(VLOOKUP(E916,E$1:E915,1,FALSE()))),"OLD",IF(AND(E916&lt;&gt;"",E916&lt;&gt;"!!!"),"NEW","")))</f>
        <v> </v>
      </c>
      <c r="G916" s="24" t="str">
        <f>IF(OR(E916="",E916="!!!"),"",IF(OR(J916=0,AND(J916=1,K916=1),AND(J916=1,I916="SBJ"),AND(J916=1,I916=0)),"?IN_FOCUS",IF(J916&lt;=2,"?ACTIVATED",IF(J916&lt;&gt;"","?FAMILIAR",IF(F916="NEW",IF(ISNA(VLOOKUP(E916,#REF!,1,FALSE())),"?TYPE_IDENTIFIABLE","?REFERENTIAL"),"_")))))</f>
        <v> </v>
      </c>
      <c r="H916" s="25" t="str">
        <f>IF(J916&lt;&gt;1,"",IF(I916="SBJ","CB","?"))</f>
        <v> </v>
      </c>
      <c r="I916" s="26" t="str">
        <f>IF(OR(E916="",E916="!!!",F916="NEW"),"",INDEX(B915:B$2,-1+SUMPRODUCT(MAX(ROW(E915:E$2)*(E916=E915:E$2)))))</f>
        <v> </v>
      </c>
      <c r="J916" s="26" t="str">
        <f>IF(OR(E916="",E916="!!!",F916="NEW"),"",COUNTBLANK(OFFSET(A$1,,,SUMPRODUCT(MAX(ROW(E$2:E916)*(E916=E$2:E916)))))-COUNTBLANK(OFFSET(A$1,,,SUMPRODUCT(MAX(ROW(E$1:E915)*(E2=E$1:E915))))))</f>
        <v> </v>
      </c>
      <c r="K916" s="26" t="str">
        <f>IF(OR(E916="",E916="!!!",F916="NEW"),"",INDEX(J$1:J915,SUMPRODUCT(MAX(ROW(E$1:E915)*(E916=E$1:E915)))))</f>
        <v> </v>
      </c>
      <c r="L916" s="27"/>
    </row>
    <row r="917" spans="1:12">
      <c r="A917" s="20" t="s">
        <v>1397</v>
      </c>
      <c r="E917" s="22">
        <f>IF(D917="?OLD","!!!","")</f>
        <v/>
      </c>
      <c r="F917" s="23" t="str">
        <f>IF(OR(E917="",E917="!!!"),"",IF(NOT(ISNA(VLOOKUP(E917,E$1:E916,1,FALSE()))),"OLD",IF(AND(E917&lt;&gt;"",E917&lt;&gt;"!!!"),"NEW","")))</f>
        <v> </v>
      </c>
      <c r="G917" s="24" t="str">
        <f>IF(OR(E917="",E917="!!!"),"",IF(OR(J917=0,AND(J917=1,K917=1),AND(J917=1,I917="SBJ"),AND(J917=1,I917=0)),"?IN_FOCUS",IF(J917&lt;=2,"?ACTIVATED",IF(J917&lt;&gt;"","?FAMILIAR",IF(F917="NEW",IF(ISNA(VLOOKUP(E917,#REF!,1,FALSE())),"?TYPE_IDENTIFIABLE","?REFERENTIAL"),"_")))))</f>
        <v> </v>
      </c>
      <c r="H917" s="25" t="str">
        <f>IF(J917&lt;&gt;1,"",IF(I917="SBJ","CB","?"))</f>
        <v> </v>
      </c>
      <c r="I917" s="26" t="str">
        <f>IF(OR(E917="",E917="!!!",F917="NEW"),"",INDEX(B916:B$2,-1+SUMPRODUCT(MAX(ROW(E916:E$2)*(E917=E916:E$2)))))</f>
        <v> </v>
      </c>
      <c r="J917" s="26" t="str">
        <f>IF(OR(E917="",E917="!!!",F917="NEW"),"",COUNTBLANK(OFFSET(A$1,,,SUMPRODUCT(MAX(ROW(E$2:E917)*(E917=E$2:E917)))))-COUNTBLANK(OFFSET(A$1,,,SUMPRODUCT(MAX(ROW(E$1:E916)*(E2=E$1:E916))))))</f>
        <v> </v>
      </c>
      <c r="K917" s="26" t="str">
        <f>IF(OR(E917="",E917="!!!",F917="NEW"),"",INDEX(J$1:J916,SUMPRODUCT(MAX(ROW(E$1:E916)*(E917=E$1:E916)))))</f>
        <v> </v>
      </c>
      <c r="L917" s="27"/>
    </row>
    <row r="918" spans="1:12">
      <c r="A918" s="20" t="s">
        <v>1398</v>
      </c>
      <c r="E918" s="22">
        <f>IF(D918="?OLD","!!!","")</f>
        <v/>
      </c>
      <c r="F918" s="23" t="str">
        <f>IF(OR(E918="",E918="!!!"),"",IF(NOT(ISNA(VLOOKUP(E918,E$1:E917,1,FALSE()))),"OLD",IF(AND(E918&lt;&gt;"",E918&lt;&gt;"!!!"),"NEW","")))</f>
        <v> </v>
      </c>
      <c r="G918" s="24" t="str">
        <f>IF(OR(E918="",E918="!!!"),"",IF(OR(J918=0,AND(J918=1,K918=1),AND(J918=1,I918="SBJ"),AND(J918=1,I918=0)),"?IN_FOCUS",IF(J918&lt;=2,"?ACTIVATED",IF(J918&lt;&gt;"","?FAMILIAR",IF(F918="NEW",IF(ISNA(VLOOKUP(E918,#REF!,1,FALSE())),"?TYPE_IDENTIFIABLE","?REFERENTIAL"),"_")))))</f>
        <v> </v>
      </c>
      <c r="H918" s="25" t="str">
        <f>IF(J918&lt;&gt;1,"",IF(I918="SBJ","CB","?"))</f>
        <v> </v>
      </c>
      <c r="I918" s="26" t="str">
        <f>IF(OR(E918="",E918="!!!",F918="NEW"),"",INDEX(B917:B$2,-1+SUMPRODUCT(MAX(ROW(E917:E$2)*(E918=E917:E$2)))))</f>
        <v> </v>
      </c>
      <c r="J918" s="26" t="str">
        <f>IF(OR(E918="",E918="!!!",F918="NEW"),"",COUNTBLANK(OFFSET(A$1,,,SUMPRODUCT(MAX(ROW(E$2:E918)*(E918=E$2:E918)))))-COUNTBLANK(OFFSET(A$1,,,SUMPRODUCT(MAX(ROW(E$1:E917)*(E2=E$1:E917))))))</f>
        <v> </v>
      </c>
      <c r="K918" s="26" t="str">
        <f>IF(OR(E918="",E918="!!!",F918="NEW"),"",INDEX(J$1:J917,SUMPRODUCT(MAX(ROW(E$1:E917)*(E918=E$1:E917)))))</f>
        <v> </v>
      </c>
      <c r="L918" s="27"/>
    </row>
    <row r="919" spans="1:12">
      <c r="A919" s="20" t="s">
        <v>1023</v>
      </c>
      <c r="E919" s="22">
        <f>IF(D919="?OLD","!!!","")</f>
        <v/>
      </c>
      <c r="F919" s="23" t="str">
        <f>IF(OR(E919="",E919="!!!"),"",IF(NOT(ISNA(VLOOKUP(E919,E$1:E918,1,FALSE()))),"OLD",IF(AND(E919&lt;&gt;"",E919&lt;&gt;"!!!"),"NEW","")))</f>
        <v> </v>
      </c>
      <c r="G919" s="24" t="str">
        <f>IF(OR(E919="",E919="!!!"),"",IF(OR(J919=0,AND(J919=1,K919=1),AND(J919=1,I919="SBJ"),AND(J919=1,I919=0)),"?IN_FOCUS",IF(J919&lt;=2,"?ACTIVATED",IF(J919&lt;&gt;"","?FAMILIAR",IF(F919="NEW",IF(ISNA(VLOOKUP(E919,#REF!,1,FALSE())),"?TYPE_IDENTIFIABLE","?REFERENTIAL"),"_")))))</f>
        <v> </v>
      </c>
      <c r="H919" s="25" t="str">
        <f>IF(J919&lt;&gt;1,"",IF(I919="SBJ","CB","?"))</f>
        <v> </v>
      </c>
      <c r="I919" s="26" t="str">
        <f>IF(OR(E919="",E919="!!!",F919="NEW"),"",INDEX(B918:B$2,-1+SUMPRODUCT(MAX(ROW(E918:E$2)*(E919=E918:E$2)))))</f>
        <v> </v>
      </c>
      <c r="J919" s="26" t="str">
        <f>IF(OR(E919="",E919="!!!",F919="NEW"),"",COUNTBLANK(OFFSET(A$1,,,SUMPRODUCT(MAX(ROW(E$2:E919)*(E919=E$2:E919)))))-COUNTBLANK(OFFSET(A$1,,,SUMPRODUCT(MAX(ROW(E$1:E918)*(E2=E$1:E918))))))</f>
        <v> </v>
      </c>
      <c r="K919" s="26" t="str">
        <f>IF(OR(E919="",E919="!!!",F919="NEW"),"",INDEX(J$1:J918,SUMPRODUCT(MAX(ROW(E$1:E918)*(E919=E$1:E918)))))</f>
        <v> </v>
      </c>
      <c r="L919" s="27"/>
    </row>
    <row r="920" spans="1:12">
      <c r="A920" s="20"/>
    </row>
    <row r="921" spans="1:12">
      <c r="A921" s="20" t="s">
        <v>1399</v>
      </c>
    </row>
    <row r="922" spans="1:12">
      <c r="A922" s="20" t="s">
        <v>1118</v>
      </c>
      <c r="B922" s="21" t="s">
        <v>1050</v>
      </c>
      <c r="C922" s="21" t="s">
        <v>1048</v>
      </c>
      <c r="E922" s="22">
        <f>IF(D922="?OLD","!!!","")</f>
        <v/>
      </c>
      <c r="F922" s="23" t="str">
        <f>IF(OR(E922="",E922="!!!"),"",IF(NOT(ISNA(VLOOKUP(E922,E$1:E921,1,FALSE()))),"OLD",IF(AND(E922&lt;&gt;"",E922&lt;&gt;"!!!"),"NEW","")))</f>
        <v> </v>
      </c>
      <c r="G922" s="24" t="str">
        <f>IF(OR(E922="",E922="!!!"),"",IF(OR(J922=0,AND(J922=1,K922=1),AND(J922=1,I922="SBJ"),AND(J922=1,I922=0)),"?IN_FOCUS",IF(J922&lt;=2,"?ACTIVATED",IF(J922&lt;&gt;"","?FAMILIAR",IF(F922="NEW",IF(ISNA(VLOOKUP(E922,#REF!,1,FALSE())),"?TYPE_IDENTIFIABLE","?REFERENTIAL"),"_")))))</f>
        <v> </v>
      </c>
      <c r="H922" s="25" t="str">
        <f>IF(J922&lt;&gt;1,"",IF(I922="SBJ","CB","?"))</f>
        <v> </v>
      </c>
      <c r="I922" s="26" t="str">
        <f>IF(OR(E922="",E922="!!!",F922="NEW"),"",INDEX(B921:B$2,-1+SUMPRODUCT(MAX(ROW(E921:E$2)*(E922=E921:E$2)))))</f>
        <v> </v>
      </c>
      <c r="J922" s="26" t="str">
        <f>IF(OR(E922="",E922="!!!",F922="NEW"),"",COUNTBLANK(OFFSET(A$1,,,SUMPRODUCT(MAX(ROW(E$2:E922)*(E922=E$2:E922)))))-COUNTBLANK(OFFSET(A$1,,,SUMPRODUCT(MAX(ROW(E$1:E921)*(E2=E$1:E921))))))</f>
        <v> </v>
      </c>
      <c r="K922" s="26" t="str">
        <f>IF(OR(E922="",E922="!!!",F922="NEW"),"",INDEX(J$1:J921,SUMPRODUCT(MAX(ROW(E$1:E921)*(E922=E$1:E921)))))</f>
        <v> </v>
      </c>
      <c r="L922" s="27"/>
    </row>
    <row r="923" spans="1:12">
      <c r="A923" s="20" t="s">
        <v>1009</v>
      </c>
      <c r="E923" s="22">
        <f>IF(D923="?OLD","!!!","")</f>
        <v/>
      </c>
      <c r="F923" s="23" t="str">
        <f>IF(OR(E923="",E923="!!!"),"",IF(NOT(ISNA(VLOOKUP(E923,E$1:E922,1,FALSE()))),"OLD",IF(AND(E923&lt;&gt;"",E923&lt;&gt;"!!!"),"NEW","")))</f>
        <v> </v>
      </c>
      <c r="G923" s="24" t="str">
        <f>IF(OR(E923="",E923="!!!"),"",IF(OR(J923=0,AND(J923=1,K923=1),AND(J923=1,I923="SBJ"),AND(J923=1,I923=0)),"?IN_FOCUS",IF(J923&lt;=2,"?ACTIVATED",IF(J923&lt;&gt;"","?FAMILIAR",IF(F923="NEW",IF(ISNA(VLOOKUP(E923,#REF!,1,FALSE())),"?TYPE_IDENTIFIABLE","?REFERENTIAL"),"_")))))</f>
        <v> </v>
      </c>
      <c r="H923" s="25" t="str">
        <f>IF(J923&lt;&gt;1,"",IF(I923="SBJ","CB","?"))</f>
        <v> </v>
      </c>
      <c r="I923" s="26" t="str">
        <f>IF(OR(E923="",E923="!!!",F923="NEW"),"",INDEX(B922:B$2,-1+SUMPRODUCT(MAX(ROW(E922:E$2)*(E923=E922:E$2)))))</f>
        <v> </v>
      </c>
      <c r="J923" s="26" t="str">
        <f>IF(OR(E923="",E923="!!!",F923="NEW"),"",COUNTBLANK(OFFSET(A$1,,,SUMPRODUCT(MAX(ROW(E$2:E923)*(E923=E$2:E923)))))-COUNTBLANK(OFFSET(A$1,,,SUMPRODUCT(MAX(ROW(E$1:E922)*(E2=E$1:E922))))))</f>
        <v> </v>
      </c>
      <c r="K923" s="26" t="str">
        <f>IF(OR(E923="",E923="!!!",F923="NEW"),"",INDEX(J$1:J922,SUMPRODUCT(MAX(ROW(E$1:E922)*(E923=E$1:E922)))))</f>
        <v> </v>
      </c>
      <c r="L923" s="27"/>
    </row>
    <row r="924" spans="1:12">
      <c r="A924" s="20" t="s">
        <v>1400</v>
      </c>
      <c r="E924" s="22">
        <f>IF(D924="?OLD","!!!","")</f>
        <v/>
      </c>
      <c r="F924" s="23" t="str">
        <f>IF(OR(E924="",E924="!!!"),"",IF(NOT(ISNA(VLOOKUP(E924,E$1:E923,1,FALSE()))),"OLD",IF(AND(E924&lt;&gt;"",E924&lt;&gt;"!!!"),"NEW","")))</f>
        <v> </v>
      </c>
      <c r="G924" s="24" t="str">
        <f>IF(OR(E924="",E924="!!!"),"",IF(OR(J924=0,AND(J924=1,K924=1),AND(J924=1,I924="SBJ"),AND(J924=1,I924=0)),"?IN_FOCUS",IF(J924&lt;=2,"?ACTIVATED",IF(J924&lt;&gt;"","?FAMILIAR",IF(F924="NEW",IF(ISNA(VLOOKUP(E924,#REF!,1,FALSE())),"?TYPE_IDENTIFIABLE","?REFERENTIAL"),"_")))))</f>
        <v> </v>
      </c>
      <c r="H924" s="25" t="str">
        <f>IF(J924&lt;&gt;1,"",IF(I924="SBJ","CB","?"))</f>
        <v> </v>
      </c>
      <c r="I924" s="26" t="str">
        <f>IF(OR(E924="",E924="!!!",F924="NEW"),"",INDEX(B923:B$2,-1+SUMPRODUCT(MAX(ROW(E923:E$2)*(E924=E923:E$2)))))</f>
        <v> </v>
      </c>
      <c r="J924" s="26" t="str">
        <f>IF(OR(E924="",E924="!!!",F924="NEW"),"",COUNTBLANK(OFFSET(A$1,,,SUMPRODUCT(MAX(ROW(E$2:E924)*(E924=E$2:E924)))))-COUNTBLANK(OFFSET(A$1,,,SUMPRODUCT(MAX(ROW(E$1:E923)*(E2=E$1:E923))))))</f>
        <v> </v>
      </c>
      <c r="K924" s="26" t="str">
        <f>IF(OR(E924="",E924="!!!",F924="NEW"),"",INDEX(J$1:J923,SUMPRODUCT(MAX(ROW(E$1:E923)*(E924=E$1:E923)))))</f>
        <v> </v>
      </c>
      <c r="L924" s="27"/>
    </row>
    <row r="925" spans="1:12">
      <c r="A925" s="20" t="s">
        <v>1401</v>
      </c>
      <c r="E925" s="22">
        <f>IF(D925="?OLD","!!!","")</f>
        <v/>
      </c>
      <c r="F925" s="23" t="str">
        <f>IF(OR(E925="",E925="!!!"),"",IF(NOT(ISNA(VLOOKUP(E925,E$1:E924,1,FALSE()))),"OLD",IF(AND(E925&lt;&gt;"",E925&lt;&gt;"!!!"),"NEW","")))</f>
        <v> </v>
      </c>
      <c r="G925" s="24" t="str">
        <f>IF(OR(E925="",E925="!!!"),"",IF(OR(J925=0,AND(J925=1,K925=1),AND(J925=1,I925="SBJ"),AND(J925=1,I925=0)),"?IN_FOCUS",IF(J925&lt;=2,"?ACTIVATED",IF(J925&lt;&gt;"","?FAMILIAR",IF(F925="NEW",IF(ISNA(VLOOKUP(E925,#REF!,1,FALSE())),"?TYPE_IDENTIFIABLE","?REFERENTIAL"),"_")))))</f>
        <v> </v>
      </c>
      <c r="H925" s="25" t="str">
        <f>IF(J925&lt;&gt;1,"",IF(I925="SBJ","CB","?"))</f>
        <v> </v>
      </c>
      <c r="I925" s="26" t="str">
        <f>IF(OR(E925="",E925="!!!",F925="NEW"),"",INDEX(B924:B$2,-1+SUMPRODUCT(MAX(ROW(E924:E$2)*(E925=E924:E$2)))))</f>
        <v> </v>
      </c>
      <c r="J925" s="26" t="str">
        <f>IF(OR(E925="",E925="!!!",F925="NEW"),"",COUNTBLANK(OFFSET(A$1,,,SUMPRODUCT(MAX(ROW(E$2:E925)*(E925=E$2:E925)))))-COUNTBLANK(OFFSET(A$1,,,SUMPRODUCT(MAX(ROW(E$1:E924)*(E2=E$1:E924))))))</f>
        <v> </v>
      </c>
      <c r="K925" s="26" t="str">
        <f>IF(OR(E925="",E925="!!!",F925="NEW"),"",INDEX(J$1:J924,SUMPRODUCT(MAX(ROW(E$1:E924)*(E925=E$1:E924)))))</f>
        <v> </v>
      </c>
      <c r="L925" s="27"/>
    </row>
    <row r="926" spans="1:12">
      <c r="A926" s="20" t="s">
        <v>1285</v>
      </c>
      <c r="B926" s="21" t="s">
        <v>1154</v>
      </c>
      <c r="C926" s="21" t="s">
        <v>1017</v>
      </c>
      <c r="D926" s="21" t="s">
        <v>1007</v>
      </c>
      <c r="E926" s="22">
        <f>IF(D926="?OLD","!!!","")</f>
        <v/>
      </c>
      <c r="F926" s="23" t="str">
        <f>IF(OR(E926="",E926="!!!"),"",IF(NOT(ISNA(VLOOKUP(E926,E$1:E925,1,FALSE()))),"OLD",IF(AND(E926&lt;&gt;"",E926&lt;&gt;"!!!"),"NEW","")))</f>
        <v> </v>
      </c>
      <c r="G926" s="24" t="str">
        <f>IF(OR(E926="",E926="!!!"),"",IF(OR(J926=0,AND(J926=1,K926=1),AND(J926=1,I926="SBJ"),AND(J926=1,I926=0)),"?IN_FOCUS",IF(J926&lt;=2,"?ACTIVATED",IF(J926&lt;&gt;"","?FAMILIAR",IF(F926="NEW",IF(ISNA(VLOOKUP(E926,#REF!,1,FALSE())),"?TYPE_IDENTIFIABLE","?REFERENTIAL"),"_")))))</f>
        <v> </v>
      </c>
      <c r="H926" s="25" t="str">
        <f>IF(J926&lt;&gt;1,"",IF(I926="SBJ","CB","?"))</f>
        <v> </v>
      </c>
      <c r="I926" s="26" t="str">
        <f>IF(OR(E926="",E926="!!!",F926="NEW"),"",INDEX(B925:B$2,-1+SUMPRODUCT(MAX(ROW(E925:E$2)*(E926=E925:E$2)))))</f>
        <v> </v>
      </c>
      <c r="J926" s="26" t="str">
        <f>IF(OR(E926="",E926="!!!",F926="NEW"),"",COUNTBLANK(OFFSET(A$1,,,SUMPRODUCT(MAX(ROW(E$2:E926)*(E926=E$2:E926)))))-COUNTBLANK(OFFSET(A$1,,,SUMPRODUCT(MAX(ROW(E$1:E925)*(E2=E$1:E925))))))</f>
        <v> </v>
      </c>
      <c r="K926" s="26" t="str">
        <f>IF(OR(E926="",E926="!!!",F926="NEW"),"",INDEX(J$1:J925,SUMPRODUCT(MAX(ROW(E$1:E925)*(E926=E$1:E925)))))</f>
        <v> </v>
      </c>
      <c r="L926" s="27"/>
    </row>
    <row r="927" spans="1:12">
      <c r="A927" s="20" t="s">
        <v>1014</v>
      </c>
      <c r="E927" s="22">
        <f>IF(D927="?OLD","!!!","")</f>
        <v/>
      </c>
      <c r="F927" s="23" t="str">
        <f>IF(OR(E927="",E927="!!!"),"",IF(NOT(ISNA(VLOOKUP(E927,E$1:E926,1,FALSE()))),"OLD",IF(AND(E927&lt;&gt;"",E927&lt;&gt;"!!!"),"NEW","")))</f>
        <v> </v>
      </c>
      <c r="G927" s="24" t="str">
        <f>IF(OR(E927="",E927="!!!"),"",IF(OR(J927=0,AND(J927=1,K927=1),AND(J927=1,I927="SBJ"),AND(J927=1,I927=0)),"?IN_FOCUS",IF(J927&lt;=2,"?ACTIVATED",IF(J927&lt;&gt;"","?FAMILIAR",IF(F927="NEW",IF(ISNA(VLOOKUP(E927,#REF!,1,FALSE())),"?TYPE_IDENTIFIABLE","?REFERENTIAL"),"_")))))</f>
        <v> </v>
      </c>
      <c r="H927" s="25" t="str">
        <f>IF(J927&lt;&gt;1,"",IF(I927="SBJ","CB","?"))</f>
        <v> </v>
      </c>
      <c r="I927" s="26" t="str">
        <f>IF(OR(E927="",E927="!!!",F927="NEW"),"",INDEX(B926:B$2,-1+SUMPRODUCT(MAX(ROW(E926:E$2)*(E927=E926:E$2)))))</f>
        <v> </v>
      </c>
      <c r="J927" s="26" t="str">
        <f>IF(OR(E927="",E927="!!!",F927="NEW"),"",COUNTBLANK(OFFSET(A$1,,,SUMPRODUCT(MAX(ROW(E$2:E927)*(E927=E$2:E927)))))-COUNTBLANK(OFFSET(A$1,,,SUMPRODUCT(MAX(ROW(E$1:E926)*(E2=E$1:E926))))))</f>
        <v> </v>
      </c>
      <c r="K927" s="26" t="str">
        <f>IF(OR(E927="",E927="!!!",F927="NEW"),"",INDEX(J$1:J926,SUMPRODUCT(MAX(ROW(E$1:E926)*(E927=E$1:E926)))))</f>
        <v> </v>
      </c>
      <c r="L927" s="27"/>
    </row>
    <row r="928" spans="1:12">
      <c r="A928" s="20" t="s">
        <v>1402</v>
      </c>
      <c r="E928" s="22">
        <f>IF(D928="?OLD","!!!","")</f>
        <v/>
      </c>
      <c r="F928" s="23" t="str">
        <f>IF(OR(E928="",E928="!!!"),"",IF(NOT(ISNA(VLOOKUP(E928,E$1:E927,1,FALSE()))),"OLD",IF(AND(E928&lt;&gt;"",E928&lt;&gt;"!!!"),"NEW","")))</f>
        <v> </v>
      </c>
      <c r="G928" s="24" t="str">
        <f>IF(OR(E928="",E928="!!!"),"",IF(OR(J928=0,AND(J928=1,K928=1),AND(J928=1,I928="SBJ"),AND(J928=1,I928=0)),"?IN_FOCUS",IF(J928&lt;=2,"?ACTIVATED",IF(J928&lt;&gt;"","?FAMILIAR",IF(F928="NEW",IF(ISNA(VLOOKUP(E928,#REF!,1,FALSE())),"?TYPE_IDENTIFIABLE","?REFERENTIAL"),"_")))))</f>
        <v> </v>
      </c>
      <c r="H928" s="25" t="str">
        <f>IF(J928&lt;&gt;1,"",IF(I928="SBJ","CB","?"))</f>
        <v> </v>
      </c>
      <c r="I928" s="26" t="str">
        <f>IF(OR(E928="",E928="!!!",F928="NEW"),"",INDEX(B927:B$2,-1+SUMPRODUCT(MAX(ROW(E927:E$2)*(E928=E927:E$2)))))</f>
        <v> </v>
      </c>
      <c r="J928" s="26" t="str">
        <f>IF(OR(E928="",E928="!!!",F928="NEW"),"",COUNTBLANK(OFFSET(A$1,,,SUMPRODUCT(MAX(ROW(E$2:E928)*(E928=E$2:E928)))))-COUNTBLANK(OFFSET(A$1,,,SUMPRODUCT(MAX(ROW(E$1:E927)*(E2=E$1:E927))))))</f>
        <v> </v>
      </c>
      <c r="K928" s="26" t="str">
        <f>IF(OR(E928="",E928="!!!",F928="NEW"),"",INDEX(J$1:J927,SUMPRODUCT(MAX(ROW(E$1:E927)*(E928=E$1:E927)))))</f>
        <v> </v>
      </c>
      <c r="L928" s="27"/>
    </row>
    <row r="929" spans="1:12">
      <c r="A929" s="20" t="s">
        <v>102</v>
      </c>
      <c r="E929" s="22">
        <f>IF(D929="?OLD","!!!","")</f>
        <v/>
      </c>
      <c r="F929" s="23" t="str">
        <f>IF(OR(E929="",E929="!!!"),"",IF(NOT(ISNA(VLOOKUP(E929,E$1:E928,1,FALSE()))),"OLD",IF(AND(E929&lt;&gt;"",E929&lt;&gt;"!!!"),"NEW","")))</f>
        <v> </v>
      </c>
      <c r="G929" s="24" t="str">
        <f>IF(OR(E929="",E929="!!!"),"",IF(OR(J929=0,AND(J929=1,K929=1),AND(J929=1,I929="SBJ"),AND(J929=1,I929=0)),"?IN_FOCUS",IF(J929&lt;=2,"?ACTIVATED",IF(J929&lt;&gt;"","?FAMILIAR",IF(F929="NEW",IF(ISNA(VLOOKUP(E929,#REF!,1,FALSE())),"?TYPE_IDENTIFIABLE","?REFERENTIAL"),"_")))))</f>
        <v> </v>
      </c>
      <c r="H929" s="25" t="str">
        <f>IF(J929&lt;&gt;1,"",IF(I929="SBJ","CB","?"))</f>
        <v> </v>
      </c>
      <c r="I929" s="26" t="str">
        <f>IF(OR(E929="",E929="!!!",F929="NEW"),"",INDEX(B928:B$2,-1+SUMPRODUCT(MAX(ROW(E928:E$2)*(E929=E928:E$2)))))</f>
        <v> </v>
      </c>
      <c r="J929" s="26" t="str">
        <f>IF(OR(E929="",E929="!!!",F929="NEW"),"",COUNTBLANK(OFFSET(A$1,,,SUMPRODUCT(MAX(ROW(E$2:E929)*(E929=E$2:E929)))))-COUNTBLANK(OFFSET(A$1,,,SUMPRODUCT(MAX(ROW(E$1:E928)*(E2=E$1:E928))))))</f>
        <v> </v>
      </c>
      <c r="K929" s="26" t="str">
        <f>IF(OR(E929="",E929="!!!",F929="NEW"),"",INDEX(J$1:J928,SUMPRODUCT(MAX(ROW(E$1:E928)*(E929=E$1:E928)))))</f>
        <v> </v>
      </c>
      <c r="L929" s="27"/>
    </row>
    <row r="930" spans="1:12">
      <c r="A930" s="20" t="s">
        <v>1392</v>
      </c>
      <c r="B930" s="21" t="s">
        <v>1134</v>
      </c>
      <c r="C930" s="21" t="s">
        <v>1006</v>
      </c>
      <c r="D930" s="21" t="s">
        <v>1007</v>
      </c>
      <c r="E930" s="22">
        <f>IF(D930="?OLD","!!!","")</f>
        <v/>
      </c>
      <c r="F930" s="23" t="str">
        <f>IF(OR(E930="",E930="!!!"),"",IF(NOT(ISNA(VLOOKUP(E930,E$1:E929,1,FALSE()))),"OLD",IF(AND(E930&lt;&gt;"",E930&lt;&gt;"!!!"),"NEW","")))</f>
        <v> </v>
      </c>
      <c r="G930" s="24" t="str">
        <f>IF(OR(E930="",E930="!!!"),"",IF(OR(J930=0,AND(J930=1,K930=1),AND(J930=1,I930="SBJ"),AND(J930=1,I930=0)),"?IN_FOCUS",IF(J930&lt;=2,"?ACTIVATED",IF(J930&lt;&gt;"","?FAMILIAR",IF(F930="NEW",IF(ISNA(VLOOKUP(E930,#REF!,1,FALSE())),"?TYPE_IDENTIFIABLE","?REFERENTIAL"),"_")))))</f>
        <v> </v>
      </c>
      <c r="H930" s="25" t="str">
        <f>IF(J930&lt;&gt;1,"",IF(I930="SBJ","CB","?"))</f>
        <v> </v>
      </c>
      <c r="I930" s="26" t="str">
        <f>IF(OR(E930="",E930="!!!",F930="NEW"),"",INDEX(B929:B$2,-1+SUMPRODUCT(MAX(ROW(E929:E$2)*(E930=E929:E$2)))))</f>
        <v> </v>
      </c>
      <c r="J930" s="26" t="str">
        <f>IF(OR(E930="",E930="!!!",F930="NEW"),"",COUNTBLANK(OFFSET(A$1,,,SUMPRODUCT(MAX(ROW(E$2:E930)*(E930=E$2:E930)))))-COUNTBLANK(OFFSET(A$1,,,SUMPRODUCT(MAX(ROW(E$1:E929)*(E2=E$1:E929))))))</f>
        <v> </v>
      </c>
      <c r="K930" s="26" t="str">
        <f>IF(OR(E930="",E930="!!!",F930="NEW"),"",INDEX(J$1:J929,SUMPRODUCT(MAX(ROW(E$1:E929)*(E930=E$1:E929)))))</f>
        <v> </v>
      </c>
      <c r="L930" s="27"/>
    </row>
    <row r="931" spans="1:12">
      <c r="A931" s="20" t="s">
        <v>1018</v>
      </c>
      <c r="E931" s="22">
        <f>IF(D931="?OLD","!!!","")</f>
        <v/>
      </c>
      <c r="F931" s="23" t="str">
        <f>IF(OR(E931="",E931="!!!"),"",IF(NOT(ISNA(VLOOKUP(E931,E$1:E930,1,FALSE()))),"OLD",IF(AND(E931&lt;&gt;"",E931&lt;&gt;"!!!"),"NEW","")))</f>
        <v> </v>
      </c>
      <c r="G931" s="24" t="str">
        <f>IF(OR(E931="",E931="!!!"),"",IF(OR(J931=0,AND(J931=1,K931=1),AND(J931=1,I931="SBJ"),AND(J931=1,I931=0)),"?IN_FOCUS",IF(J931&lt;=2,"?ACTIVATED",IF(J931&lt;&gt;"","?FAMILIAR",IF(F931="NEW",IF(ISNA(VLOOKUP(E931,#REF!,1,FALSE())),"?TYPE_IDENTIFIABLE","?REFERENTIAL"),"_")))))</f>
        <v> </v>
      </c>
      <c r="H931" s="25" t="str">
        <f>IF(J931&lt;&gt;1,"",IF(I931="SBJ","CB","?"))</f>
        <v> </v>
      </c>
      <c r="I931" s="26" t="str">
        <f>IF(OR(E931="",E931="!!!",F931="NEW"),"",INDEX(B930:B$2,-1+SUMPRODUCT(MAX(ROW(E930:E$2)*(E931=E930:E$2)))))</f>
        <v> </v>
      </c>
      <c r="J931" s="26" t="str">
        <f>IF(OR(E931="",E931="!!!",F931="NEW"),"",COUNTBLANK(OFFSET(A$1,,,SUMPRODUCT(MAX(ROW(E$2:E931)*(E931=E$2:E931)))))-COUNTBLANK(OFFSET(A$1,,,SUMPRODUCT(MAX(ROW(E$1:E930)*(E2=E$1:E930))))))</f>
        <v> </v>
      </c>
      <c r="K931" s="26" t="str">
        <f>IF(OR(E931="",E931="!!!",F931="NEW"),"",INDEX(J$1:J930,SUMPRODUCT(MAX(ROW(E$1:E930)*(E931=E$1:E930)))))</f>
        <v> </v>
      </c>
      <c r="L931" s="27"/>
    </row>
    <row r="932" spans="1:12">
      <c r="A932" s="20" t="s">
        <v>1299</v>
      </c>
      <c r="E932" s="22">
        <f>IF(D932="?OLD","!!!","")</f>
        <v/>
      </c>
      <c r="F932" s="23" t="str">
        <f>IF(OR(E932="",E932="!!!"),"",IF(NOT(ISNA(VLOOKUP(E932,E$1:E931,1,FALSE()))),"OLD",IF(AND(E932&lt;&gt;"",E932&lt;&gt;"!!!"),"NEW","")))</f>
        <v> </v>
      </c>
      <c r="G932" s="24" t="str">
        <f>IF(OR(E932="",E932="!!!"),"",IF(OR(J932=0,AND(J932=1,K932=1),AND(J932=1,I932="SBJ"),AND(J932=1,I932=0)),"?IN_FOCUS",IF(J932&lt;=2,"?ACTIVATED",IF(J932&lt;&gt;"","?FAMILIAR",IF(F932="NEW",IF(ISNA(VLOOKUP(E932,#REF!,1,FALSE())),"?TYPE_IDENTIFIABLE","?REFERENTIAL"),"_")))))</f>
        <v> </v>
      </c>
      <c r="H932" s="25" t="str">
        <f>IF(J932&lt;&gt;1,"",IF(I932="SBJ","CB","?"))</f>
        <v> </v>
      </c>
      <c r="I932" s="26" t="str">
        <f>IF(OR(E932="",E932="!!!",F932="NEW"),"",INDEX(B931:B$2,-1+SUMPRODUCT(MAX(ROW(E931:E$2)*(E932=E931:E$2)))))</f>
        <v> </v>
      </c>
      <c r="J932" s="26" t="str">
        <f>IF(OR(E932="",E932="!!!",F932="NEW"),"",COUNTBLANK(OFFSET(A$1,,,SUMPRODUCT(MAX(ROW(E$2:E932)*(E932=E$2:E932)))))-COUNTBLANK(OFFSET(A$1,,,SUMPRODUCT(MAX(ROW(E$1:E931)*(E2=E$1:E931))))))</f>
        <v> </v>
      </c>
      <c r="K932" s="26" t="str">
        <f>IF(OR(E932="",E932="!!!",F932="NEW"),"",INDEX(J$1:J931,SUMPRODUCT(MAX(ROW(E$1:E931)*(E932=E$1:E931)))))</f>
        <v> </v>
      </c>
      <c r="L932" s="27"/>
    </row>
    <row r="933" spans="1:12">
      <c r="A933" s="20" t="s">
        <v>1124</v>
      </c>
      <c r="E933" s="22">
        <f>IF(D933="?OLD","!!!","")</f>
        <v/>
      </c>
      <c r="F933" s="23" t="str">
        <f>IF(OR(E933="",E933="!!!"),"",IF(NOT(ISNA(VLOOKUP(E933,E$1:E932,1,FALSE()))),"OLD",IF(AND(E933&lt;&gt;"",E933&lt;&gt;"!!!"),"NEW","")))</f>
        <v> </v>
      </c>
      <c r="G933" s="24" t="str">
        <f>IF(OR(E933="",E933="!!!"),"",IF(OR(J933=0,AND(J933=1,K933=1),AND(J933=1,I933="SBJ"),AND(J933=1,I933=0)),"?IN_FOCUS",IF(J933&lt;=2,"?ACTIVATED",IF(J933&lt;&gt;"","?FAMILIAR",IF(F933="NEW",IF(ISNA(VLOOKUP(E933,#REF!,1,FALSE())),"?TYPE_IDENTIFIABLE","?REFERENTIAL"),"_")))))</f>
        <v> </v>
      </c>
      <c r="H933" s="25" t="str">
        <f>IF(J933&lt;&gt;1,"",IF(I933="SBJ","CB","?"))</f>
        <v> </v>
      </c>
      <c r="I933" s="26" t="str">
        <f>IF(OR(E933="",E933="!!!",F933="NEW"),"",INDEX(B932:B$2,-1+SUMPRODUCT(MAX(ROW(E932:E$2)*(E933=E932:E$2)))))</f>
        <v> </v>
      </c>
      <c r="J933" s="26" t="str">
        <f>IF(OR(E933="",E933="!!!",F933="NEW"),"",COUNTBLANK(OFFSET(A$1,,,SUMPRODUCT(MAX(ROW(E$2:E933)*(E933=E$2:E933)))))-COUNTBLANK(OFFSET(A$1,,,SUMPRODUCT(MAX(ROW(E$1:E932)*(E2=E$1:E932))))))</f>
        <v> </v>
      </c>
      <c r="K933" s="26" t="str">
        <f>IF(OR(E933="",E933="!!!",F933="NEW"),"",INDEX(J$1:J932,SUMPRODUCT(MAX(ROW(E$1:E932)*(E933=E$1:E932)))))</f>
        <v> </v>
      </c>
      <c r="L933" s="27"/>
    </row>
    <row r="934" spans="1:12">
      <c r="A934" s="20" t="s">
        <v>1403</v>
      </c>
      <c r="E934" s="22">
        <f>IF(D934="?OLD","!!!","")</f>
        <v/>
      </c>
      <c r="F934" s="23" t="str">
        <f>IF(OR(E934="",E934="!!!"),"",IF(NOT(ISNA(VLOOKUP(E934,E$1:E933,1,FALSE()))),"OLD",IF(AND(E934&lt;&gt;"",E934&lt;&gt;"!!!"),"NEW","")))</f>
        <v> </v>
      </c>
      <c r="G934" s="24" t="str">
        <f>IF(OR(E934="",E934="!!!"),"",IF(OR(J934=0,AND(J934=1,K934=1),AND(J934=1,I934="SBJ"),AND(J934=1,I934=0)),"?IN_FOCUS",IF(J934&lt;=2,"?ACTIVATED",IF(J934&lt;&gt;"","?FAMILIAR",IF(F934="NEW",IF(ISNA(VLOOKUP(E934,#REF!,1,FALSE())),"?TYPE_IDENTIFIABLE","?REFERENTIAL"),"_")))))</f>
        <v> </v>
      </c>
      <c r="H934" s="25" t="str">
        <f>IF(J934&lt;&gt;1,"",IF(I934="SBJ","CB","?"))</f>
        <v> </v>
      </c>
      <c r="I934" s="26" t="str">
        <f>IF(OR(E934="",E934="!!!",F934="NEW"),"",INDEX(B933:B$2,-1+SUMPRODUCT(MAX(ROW(E933:E$2)*(E934=E933:E$2)))))</f>
        <v> </v>
      </c>
      <c r="J934" s="26" t="str">
        <f>IF(OR(E934="",E934="!!!",F934="NEW"),"",COUNTBLANK(OFFSET(A$1,,,SUMPRODUCT(MAX(ROW(E$2:E934)*(E934=E$2:E934)))))-COUNTBLANK(OFFSET(A$1,,,SUMPRODUCT(MAX(ROW(E$1:E933)*(E2=E$1:E933))))))</f>
        <v> </v>
      </c>
      <c r="K934" s="26" t="str">
        <f>IF(OR(E934="",E934="!!!",F934="NEW"),"",INDEX(J$1:J933,SUMPRODUCT(MAX(ROW(E$1:E933)*(E934=E$1:E933)))))</f>
        <v> </v>
      </c>
      <c r="L934" s="27"/>
    </row>
    <row r="935" spans="1:12">
      <c r="A935" s="20" t="s">
        <v>1324</v>
      </c>
      <c r="E935" s="22">
        <f>IF(D935="?OLD","!!!","")</f>
        <v/>
      </c>
      <c r="F935" s="23" t="str">
        <f>IF(OR(E935="",E935="!!!"),"",IF(NOT(ISNA(VLOOKUP(E935,E$1:E934,1,FALSE()))),"OLD",IF(AND(E935&lt;&gt;"",E935&lt;&gt;"!!!"),"NEW","")))</f>
        <v> </v>
      </c>
      <c r="G935" s="24" t="str">
        <f>IF(OR(E935="",E935="!!!"),"",IF(OR(J935=0,AND(J935=1,K935=1),AND(J935=1,I935="SBJ"),AND(J935=1,I935=0)),"?IN_FOCUS",IF(J935&lt;=2,"?ACTIVATED",IF(J935&lt;&gt;"","?FAMILIAR",IF(F935="NEW",IF(ISNA(VLOOKUP(E935,#REF!,1,FALSE())),"?TYPE_IDENTIFIABLE","?REFERENTIAL"),"_")))))</f>
        <v> </v>
      </c>
      <c r="H935" s="25" t="str">
        <f>IF(J935&lt;&gt;1,"",IF(I935="SBJ","CB","?"))</f>
        <v> </v>
      </c>
      <c r="I935" s="26" t="str">
        <f>IF(OR(E935="",E935="!!!",F935="NEW"),"",INDEX(B934:B$2,-1+SUMPRODUCT(MAX(ROW(E934:E$2)*(E935=E934:E$2)))))</f>
        <v> </v>
      </c>
      <c r="J935" s="26" t="str">
        <f>IF(OR(E935="",E935="!!!",F935="NEW"),"",COUNTBLANK(OFFSET(A$1,,,SUMPRODUCT(MAX(ROW(E$2:E935)*(E935=E$2:E935)))))-COUNTBLANK(OFFSET(A$1,,,SUMPRODUCT(MAX(ROW(E$1:E934)*(E2=E$1:E934))))))</f>
        <v> </v>
      </c>
      <c r="K935" s="26" t="str">
        <f>IF(OR(E935="",E935="!!!",F935="NEW"),"",INDEX(J$1:J934,SUMPRODUCT(MAX(ROW(E$1:E934)*(E935=E$1:E934)))))</f>
        <v> </v>
      </c>
      <c r="L935" s="27"/>
    </row>
    <row r="936" spans="1:12">
      <c r="A936" s="20" t="s">
        <v>1404</v>
      </c>
      <c r="E936" s="22">
        <f>IF(D936="?OLD","!!!","")</f>
        <v/>
      </c>
      <c r="F936" s="23" t="str">
        <f>IF(OR(E936="",E936="!!!"),"",IF(NOT(ISNA(VLOOKUP(E936,E$1:E935,1,FALSE()))),"OLD",IF(AND(E936&lt;&gt;"",E936&lt;&gt;"!!!"),"NEW","")))</f>
        <v> </v>
      </c>
      <c r="G936" s="24" t="str">
        <f>IF(OR(E936="",E936="!!!"),"",IF(OR(J936=0,AND(J936=1,K936=1),AND(J936=1,I936="SBJ"),AND(J936=1,I936=0)),"?IN_FOCUS",IF(J936&lt;=2,"?ACTIVATED",IF(J936&lt;&gt;"","?FAMILIAR",IF(F936="NEW",IF(ISNA(VLOOKUP(E936,#REF!,1,FALSE())),"?TYPE_IDENTIFIABLE","?REFERENTIAL"),"_")))))</f>
        <v> </v>
      </c>
      <c r="H936" s="25" t="str">
        <f>IF(J936&lt;&gt;1,"",IF(I936="SBJ","CB","?"))</f>
        <v> </v>
      </c>
      <c r="I936" s="26" t="str">
        <f>IF(OR(E936="",E936="!!!",F936="NEW"),"",INDEX(B935:B$2,-1+SUMPRODUCT(MAX(ROW(E935:E$2)*(E936=E935:E$2)))))</f>
        <v> </v>
      </c>
      <c r="J936" s="26" t="str">
        <f>IF(OR(E936="",E936="!!!",F936="NEW"),"",COUNTBLANK(OFFSET(A$1,,,SUMPRODUCT(MAX(ROW(E$2:E936)*(E936=E$2:E936)))))-COUNTBLANK(OFFSET(A$1,,,SUMPRODUCT(MAX(ROW(E$1:E935)*(E2=E$1:E935))))))</f>
        <v> </v>
      </c>
      <c r="K936" s="26" t="str">
        <f>IF(OR(E936="",E936="!!!",F936="NEW"),"",INDEX(J$1:J935,SUMPRODUCT(MAX(ROW(E$1:E935)*(E936=E$1:E935)))))</f>
        <v> </v>
      </c>
      <c r="L936" s="27"/>
    </row>
    <row r="937" spans="1:12">
      <c r="A937" s="20" t="s">
        <v>1405</v>
      </c>
      <c r="B937" s="21" t="s">
        <v>1187</v>
      </c>
      <c r="C937" s="21" t="s">
        <v>1111</v>
      </c>
      <c r="E937" s="22">
        <f>IF(D937="?OLD","!!!","")</f>
        <v/>
      </c>
      <c r="F937" s="23" t="str">
        <f>IF(OR(E937="",E937="!!!"),"",IF(NOT(ISNA(VLOOKUP(E937,E$1:E936,1,FALSE()))),"OLD",IF(AND(E937&lt;&gt;"",E937&lt;&gt;"!!!"),"NEW","")))</f>
        <v> </v>
      </c>
      <c r="G937" s="24" t="str">
        <f>IF(OR(E937="",E937="!!!"),"",IF(OR(J937=0,AND(J937=1,K937=1),AND(J937=1,I937="SBJ"),AND(J937=1,I937=0)),"?IN_FOCUS",IF(J937&lt;=2,"?ACTIVATED",IF(J937&lt;&gt;"","?FAMILIAR",IF(F937="NEW",IF(ISNA(VLOOKUP(E937,#REF!,1,FALSE())),"?TYPE_IDENTIFIABLE","?REFERENTIAL"),"_")))))</f>
        <v> </v>
      </c>
      <c r="H937" s="25" t="str">
        <f>IF(J937&lt;&gt;1,"",IF(I937="SBJ","CB","?"))</f>
        <v> </v>
      </c>
      <c r="I937" s="26" t="str">
        <f>IF(OR(E937="",E937="!!!",F937="NEW"),"",INDEX(B936:B$2,-1+SUMPRODUCT(MAX(ROW(E936:E$2)*(E937=E936:E$2)))))</f>
        <v> </v>
      </c>
      <c r="J937" s="26" t="str">
        <f>IF(OR(E937="",E937="!!!",F937="NEW"),"",COUNTBLANK(OFFSET(A$1,,,SUMPRODUCT(MAX(ROW(E$2:E937)*(E937=E$2:E937)))))-COUNTBLANK(OFFSET(A$1,,,SUMPRODUCT(MAX(ROW(E$1:E936)*(E2=E$1:E936))))))</f>
        <v> </v>
      </c>
      <c r="K937" s="26" t="str">
        <f>IF(OR(E937="",E937="!!!",F937="NEW"),"",INDEX(J$1:J936,SUMPRODUCT(MAX(ROW(E$1:E936)*(E937=E$1:E936)))))</f>
        <v> </v>
      </c>
      <c r="L937" s="27"/>
    </row>
    <row r="938" spans="1:12">
      <c r="A938" s="20" t="s">
        <v>1018</v>
      </c>
      <c r="E938" s="22">
        <f>IF(D938="?OLD","!!!","")</f>
        <v/>
      </c>
      <c r="F938" s="23" t="str">
        <f>IF(OR(E938="",E938="!!!"),"",IF(NOT(ISNA(VLOOKUP(E938,E$1:E937,1,FALSE()))),"OLD",IF(AND(E938&lt;&gt;"",E938&lt;&gt;"!!!"),"NEW","")))</f>
        <v> </v>
      </c>
      <c r="G938" s="24" t="str">
        <f>IF(OR(E938="",E938="!!!"),"",IF(OR(J938=0,AND(J938=1,K938=1),AND(J938=1,I938="SBJ"),AND(J938=1,I938=0)),"?IN_FOCUS",IF(J938&lt;=2,"?ACTIVATED",IF(J938&lt;&gt;"","?FAMILIAR",IF(F938="NEW",IF(ISNA(VLOOKUP(E938,#REF!,1,FALSE())),"?TYPE_IDENTIFIABLE","?REFERENTIAL"),"_")))))</f>
        <v> </v>
      </c>
      <c r="H938" s="25" t="str">
        <f>IF(J938&lt;&gt;1,"",IF(I938="SBJ","CB","?"))</f>
        <v> </v>
      </c>
      <c r="I938" s="26" t="str">
        <f>IF(OR(E938="",E938="!!!",F938="NEW"),"",INDEX(B937:B$2,-1+SUMPRODUCT(MAX(ROW(E937:E$2)*(E938=E937:E$2)))))</f>
        <v> </v>
      </c>
      <c r="J938" s="26" t="str">
        <f>IF(OR(E938="",E938="!!!",F938="NEW"),"",COUNTBLANK(OFFSET(A$1,,,SUMPRODUCT(MAX(ROW(E$2:E938)*(E938=E$2:E938)))))-COUNTBLANK(OFFSET(A$1,,,SUMPRODUCT(MAX(ROW(E$1:E937)*(E2=E$1:E937))))))</f>
        <v> </v>
      </c>
      <c r="K938" s="26" t="str">
        <f>IF(OR(E938="",E938="!!!",F938="NEW"),"",INDEX(J$1:J937,SUMPRODUCT(MAX(ROW(E$1:E937)*(E938=E$1:E937)))))</f>
        <v> </v>
      </c>
      <c r="L938" s="27"/>
    </row>
    <row r="939" spans="1:12">
      <c r="A939" s="20" t="s">
        <v>1075</v>
      </c>
      <c r="E939" s="22">
        <f>IF(D939="?OLD","!!!","")</f>
        <v/>
      </c>
      <c r="F939" s="23" t="str">
        <f>IF(OR(E939="",E939="!!!"),"",IF(NOT(ISNA(VLOOKUP(E939,E$1:E938,1,FALSE()))),"OLD",IF(AND(E939&lt;&gt;"",E939&lt;&gt;"!!!"),"NEW","")))</f>
        <v> </v>
      </c>
      <c r="G939" s="24" t="str">
        <f>IF(OR(E939="",E939="!!!"),"",IF(OR(J939=0,AND(J939=1,K939=1),AND(J939=1,I939="SBJ"),AND(J939=1,I939=0)),"?IN_FOCUS",IF(J939&lt;=2,"?ACTIVATED",IF(J939&lt;&gt;"","?FAMILIAR",IF(F939="NEW",IF(ISNA(VLOOKUP(E939,#REF!,1,FALSE())),"?TYPE_IDENTIFIABLE","?REFERENTIAL"),"_")))))</f>
        <v> </v>
      </c>
      <c r="H939" s="25" t="str">
        <f>IF(J939&lt;&gt;1,"",IF(I939="SBJ","CB","?"))</f>
        <v> </v>
      </c>
      <c r="I939" s="26" t="str">
        <f>IF(OR(E939="",E939="!!!",F939="NEW"),"",INDEX(B938:B$2,-1+SUMPRODUCT(MAX(ROW(E938:E$2)*(E939=E938:E$2)))))</f>
        <v> </v>
      </c>
      <c r="J939" s="26" t="str">
        <f>IF(OR(E939="",E939="!!!",F939="NEW"),"",COUNTBLANK(OFFSET(A$1,,,SUMPRODUCT(MAX(ROW(E$2:E939)*(E939=E$2:E939)))))-COUNTBLANK(OFFSET(A$1,,,SUMPRODUCT(MAX(ROW(E$1:E938)*(E2=E$1:E938))))))</f>
        <v> </v>
      </c>
      <c r="K939" s="26" t="str">
        <f>IF(OR(E939="",E939="!!!",F939="NEW"),"",INDEX(J$1:J938,SUMPRODUCT(MAX(ROW(E$1:E938)*(E939=E$1:E938)))))</f>
        <v> </v>
      </c>
      <c r="L939" s="27"/>
    </row>
    <row r="940" spans="1:12">
      <c r="A940" s="20" t="s">
        <v>1406</v>
      </c>
      <c r="E940" s="22">
        <f>IF(D940="?OLD","!!!","")</f>
        <v/>
      </c>
      <c r="F940" s="23" t="str">
        <f>IF(OR(E940="",E940="!!!"),"",IF(NOT(ISNA(VLOOKUP(E940,E$1:E939,1,FALSE()))),"OLD",IF(AND(E940&lt;&gt;"",E940&lt;&gt;"!!!"),"NEW","")))</f>
        <v> </v>
      </c>
      <c r="G940" s="24" t="str">
        <f>IF(OR(E940="",E940="!!!"),"",IF(OR(J940=0,AND(J940=1,K940=1),AND(J940=1,I940="SBJ"),AND(J940=1,I940=0)),"?IN_FOCUS",IF(J940&lt;=2,"?ACTIVATED",IF(J940&lt;&gt;"","?FAMILIAR",IF(F940="NEW",IF(ISNA(VLOOKUP(E940,#REF!,1,FALSE())),"?TYPE_IDENTIFIABLE","?REFERENTIAL"),"_")))))</f>
        <v> </v>
      </c>
      <c r="H940" s="25" t="str">
        <f>IF(J940&lt;&gt;1,"",IF(I940="SBJ","CB","?"))</f>
        <v> </v>
      </c>
      <c r="I940" s="26" t="str">
        <f>IF(OR(E940="",E940="!!!",F940="NEW"),"",INDEX(B939:B$2,-1+SUMPRODUCT(MAX(ROW(E939:E$2)*(E940=E939:E$2)))))</f>
        <v> </v>
      </c>
      <c r="J940" s="26" t="str">
        <f>IF(OR(E940="",E940="!!!",F940="NEW"),"",COUNTBLANK(OFFSET(A$1,,,SUMPRODUCT(MAX(ROW(E$2:E940)*(E940=E$2:E940)))))-COUNTBLANK(OFFSET(A$1,,,SUMPRODUCT(MAX(ROW(E$1:E939)*(E2=E$1:E939))))))</f>
        <v> </v>
      </c>
      <c r="K940" s="26" t="str">
        <f>IF(OR(E940="",E940="!!!",F940="NEW"),"",INDEX(J$1:J939,SUMPRODUCT(MAX(ROW(E$1:E939)*(E940=E$1:E939)))))</f>
        <v> </v>
      </c>
      <c r="L940" s="27"/>
    </row>
    <row r="941" spans="1:12">
      <c r="A941" s="20" t="s">
        <v>1407</v>
      </c>
      <c r="E941" s="22">
        <f>IF(D941="?OLD","!!!","")</f>
        <v/>
      </c>
      <c r="F941" s="23" t="str">
        <f>IF(OR(E941="",E941="!!!"),"",IF(NOT(ISNA(VLOOKUP(E941,E$1:E940,1,FALSE()))),"OLD",IF(AND(E941&lt;&gt;"",E941&lt;&gt;"!!!"),"NEW","")))</f>
        <v> </v>
      </c>
      <c r="G941" s="24" t="str">
        <f>IF(OR(E941="",E941="!!!"),"",IF(OR(J941=0,AND(J941=1,K941=1),AND(J941=1,I941="SBJ"),AND(J941=1,I941=0)),"?IN_FOCUS",IF(J941&lt;=2,"?ACTIVATED",IF(J941&lt;&gt;"","?FAMILIAR",IF(F941="NEW",IF(ISNA(VLOOKUP(E941,#REF!,1,FALSE())),"?TYPE_IDENTIFIABLE","?REFERENTIAL"),"_")))))</f>
        <v> </v>
      </c>
      <c r="H941" s="25" t="str">
        <f>IF(J941&lt;&gt;1,"",IF(I941="SBJ","CB","?"))</f>
        <v> </v>
      </c>
      <c r="I941" s="26" t="str">
        <f>IF(OR(E941="",E941="!!!",F941="NEW"),"",INDEX(B940:B$2,-1+SUMPRODUCT(MAX(ROW(E940:E$2)*(E941=E940:E$2)))))</f>
        <v> </v>
      </c>
      <c r="J941" s="26" t="str">
        <f>IF(OR(E941="",E941="!!!",F941="NEW"),"",COUNTBLANK(OFFSET(A$1,,,SUMPRODUCT(MAX(ROW(E$2:E941)*(E941=E$2:E941)))))-COUNTBLANK(OFFSET(A$1,,,SUMPRODUCT(MAX(ROW(E$1:E940)*(E2=E$1:E940))))))</f>
        <v> </v>
      </c>
      <c r="K941" s="26" t="str">
        <f>IF(OR(E941="",E941="!!!",F941="NEW"),"",INDEX(J$1:J940,SUMPRODUCT(MAX(ROW(E$1:E940)*(E941=E$1:E940)))))</f>
        <v> </v>
      </c>
      <c r="L941" s="27"/>
    </row>
    <row r="942" spans="1:12">
      <c r="A942" s="20" t="s">
        <v>1127</v>
      </c>
      <c r="E942" s="22">
        <f>IF(D942="?OLD","!!!","")</f>
        <v/>
      </c>
      <c r="F942" s="23" t="str">
        <f>IF(OR(E942="",E942="!!!"),"",IF(NOT(ISNA(VLOOKUP(E942,E$1:E941,1,FALSE()))),"OLD",IF(AND(E942&lt;&gt;"",E942&lt;&gt;"!!!"),"NEW","")))</f>
        <v> </v>
      </c>
      <c r="G942" s="24" t="str">
        <f>IF(OR(E942="",E942="!!!"),"",IF(OR(J942=0,AND(J942=1,K942=1),AND(J942=1,I942="SBJ"),AND(J942=1,I942=0)),"?IN_FOCUS",IF(J942&lt;=2,"?ACTIVATED",IF(J942&lt;&gt;"","?FAMILIAR",IF(F942="NEW",IF(ISNA(VLOOKUP(E942,#REF!,1,FALSE())),"?TYPE_IDENTIFIABLE","?REFERENTIAL"),"_")))))</f>
        <v> </v>
      </c>
      <c r="H942" s="25" t="str">
        <f>IF(J942&lt;&gt;1,"",IF(I942="SBJ","CB","?"))</f>
        <v> </v>
      </c>
      <c r="I942" s="26" t="str">
        <f>IF(OR(E942="",E942="!!!",F942="NEW"),"",INDEX(B941:B$2,-1+SUMPRODUCT(MAX(ROW(E941:E$2)*(E942=E941:E$2)))))</f>
        <v> </v>
      </c>
      <c r="J942" s="26" t="str">
        <f>IF(OR(E942="",E942="!!!",F942="NEW"),"",COUNTBLANK(OFFSET(A$1,,,SUMPRODUCT(MAX(ROW(E$2:E942)*(E942=E$2:E942)))))-COUNTBLANK(OFFSET(A$1,,,SUMPRODUCT(MAX(ROW(E$1:E941)*(E2=E$1:E941))))))</f>
        <v> </v>
      </c>
      <c r="K942" s="26" t="str">
        <f>IF(OR(E942="",E942="!!!",F942="NEW"),"",INDEX(J$1:J941,SUMPRODUCT(MAX(ROW(E$1:E941)*(E942=E$1:E941)))))</f>
        <v> </v>
      </c>
      <c r="L942" s="27"/>
    </row>
    <row r="943" spans="1:12">
      <c r="A943" s="20" t="s">
        <v>102</v>
      </c>
      <c r="B943" s="21" t="s">
        <v>1085</v>
      </c>
      <c r="C943" s="21" t="s">
        <v>1073</v>
      </c>
      <c r="D943" s="21" t="s">
        <v>1007</v>
      </c>
      <c r="E943" s="22">
        <f>IF(D943="?OLD","!!!","")</f>
        <v/>
      </c>
      <c r="F943" s="23" t="str">
        <f>IF(OR(E943="",E943="!!!"),"",IF(NOT(ISNA(VLOOKUP(E943,E$1:E942,1,FALSE()))),"OLD",IF(AND(E943&lt;&gt;"",E943&lt;&gt;"!!!"),"NEW","")))</f>
        <v> </v>
      </c>
      <c r="G943" s="24" t="str">
        <f>IF(OR(E943="",E943="!!!"),"",IF(OR(J943=0,AND(J943=1,K943=1),AND(J943=1,I943="SBJ"),AND(J943=1,I943=0)),"?IN_FOCUS",IF(J943&lt;=2,"?ACTIVATED",IF(J943&lt;&gt;"","?FAMILIAR",IF(F943="NEW",IF(ISNA(VLOOKUP(E943,#REF!,1,FALSE())),"?TYPE_IDENTIFIABLE","?REFERENTIAL"),"_")))))</f>
        <v> </v>
      </c>
      <c r="H943" s="25" t="str">
        <f>IF(J943&lt;&gt;1,"",IF(I943="SBJ","CB","?"))</f>
        <v> </v>
      </c>
      <c r="I943" s="26" t="str">
        <f>IF(OR(E943="",E943="!!!",F943="NEW"),"",INDEX(B942:B$2,-1+SUMPRODUCT(MAX(ROW(E942:E$2)*(E943=E942:E$2)))))</f>
        <v> </v>
      </c>
      <c r="J943" s="26" t="str">
        <f>IF(OR(E943="",E943="!!!",F943="NEW"),"",COUNTBLANK(OFFSET(A$1,,,SUMPRODUCT(MAX(ROW(E$2:E943)*(E943=E$2:E943)))))-COUNTBLANK(OFFSET(A$1,,,SUMPRODUCT(MAX(ROW(E$1:E942)*(E2=E$1:E942))))))</f>
        <v> </v>
      </c>
      <c r="K943" s="26" t="str">
        <f>IF(OR(E943="",E943="!!!",F943="NEW"),"",INDEX(J$1:J942,SUMPRODUCT(MAX(ROW(E$1:E942)*(E943=E$1:E942)))))</f>
        <v> </v>
      </c>
      <c r="L943" s="27"/>
    </row>
    <row r="944" spans="1:12">
      <c r="A944" s="20" t="s">
        <v>1065</v>
      </c>
      <c r="B944" s="21" t="s">
        <v>1187</v>
      </c>
      <c r="E944" s="22">
        <f>IF(D944="?OLD","!!!","")</f>
        <v/>
      </c>
      <c r="F944" s="23" t="str">
        <f>IF(OR(E944="",E944="!!!"),"",IF(NOT(ISNA(VLOOKUP(E944,E$1:E943,1,FALSE()))),"OLD",IF(AND(E944&lt;&gt;"",E944&lt;&gt;"!!!"),"NEW","")))</f>
        <v> </v>
      </c>
      <c r="G944" s="24" t="str">
        <f>IF(OR(E944="",E944="!!!"),"",IF(OR(J944=0,AND(J944=1,K944=1),AND(J944=1,I944="SBJ"),AND(J944=1,I944=0)),"?IN_FOCUS",IF(J944&lt;=2,"?ACTIVATED",IF(J944&lt;&gt;"","?FAMILIAR",IF(F944="NEW",IF(ISNA(VLOOKUP(E944,#REF!,1,FALSE())),"?TYPE_IDENTIFIABLE","?REFERENTIAL"),"_")))))</f>
        <v> </v>
      </c>
      <c r="H944" s="25" t="str">
        <f>IF(J944&lt;&gt;1,"",IF(I944="SBJ","CB","?"))</f>
        <v> </v>
      </c>
      <c r="I944" s="26" t="str">
        <f>IF(OR(E944="",E944="!!!",F944="NEW"),"",INDEX(B943:B$2,-1+SUMPRODUCT(MAX(ROW(E943:E$2)*(E944=E943:E$2)))))</f>
        <v> </v>
      </c>
      <c r="J944" s="26" t="str">
        <f>IF(OR(E944="",E944="!!!",F944="NEW"),"",COUNTBLANK(OFFSET(A$1,,,SUMPRODUCT(MAX(ROW(E$2:E944)*(E944=E$2:E944)))))-COUNTBLANK(OFFSET(A$1,,,SUMPRODUCT(MAX(ROW(E$1:E943)*(E2=E$1:E943))))))</f>
        <v> </v>
      </c>
      <c r="K944" s="26" t="str">
        <f>IF(OR(E944="",E944="!!!",F944="NEW"),"",INDEX(J$1:J943,SUMPRODUCT(MAX(ROW(E$1:E943)*(E944=E$1:E943)))))</f>
        <v> </v>
      </c>
      <c r="L944" s="27"/>
    </row>
    <row r="945" spans="1:12">
      <c r="A945" s="20" t="s">
        <v>102</v>
      </c>
      <c r="E945" s="22">
        <f>IF(D945="?OLD","!!!","")</f>
        <v/>
      </c>
      <c r="F945" s="23" t="str">
        <f>IF(OR(E945="",E945="!!!"),"",IF(NOT(ISNA(VLOOKUP(E945,E$1:E944,1,FALSE()))),"OLD",IF(AND(E945&lt;&gt;"",E945&lt;&gt;"!!!"),"NEW","")))</f>
        <v> </v>
      </c>
      <c r="G945" s="24" t="str">
        <f>IF(OR(E945="",E945="!!!"),"",IF(OR(J945=0,AND(J945=1,K945=1),AND(J945=1,I945="SBJ"),AND(J945=1,I945=0)),"?IN_FOCUS",IF(J945&lt;=2,"?ACTIVATED",IF(J945&lt;&gt;"","?FAMILIAR",IF(F945="NEW",IF(ISNA(VLOOKUP(E945,#REF!,1,FALSE())),"?TYPE_IDENTIFIABLE","?REFERENTIAL"),"_")))))</f>
        <v> </v>
      </c>
      <c r="H945" s="25" t="str">
        <f>IF(J945&lt;&gt;1,"",IF(I945="SBJ","CB","?"))</f>
        <v> </v>
      </c>
      <c r="I945" s="26" t="str">
        <f>IF(OR(E945="",E945="!!!",F945="NEW"),"",INDEX(B944:B$2,-1+SUMPRODUCT(MAX(ROW(E944:E$2)*(E945=E944:E$2)))))</f>
        <v> </v>
      </c>
      <c r="J945" s="26" t="str">
        <f>IF(OR(E945="",E945="!!!",F945="NEW"),"",COUNTBLANK(OFFSET(A$1,,,SUMPRODUCT(MAX(ROW(E$2:E945)*(E945=E$2:E945)))))-COUNTBLANK(OFFSET(A$1,,,SUMPRODUCT(MAX(ROW(E$1:E944)*(E2=E$1:E944))))))</f>
        <v> </v>
      </c>
      <c r="K945" s="26" t="str">
        <f>IF(OR(E945="",E945="!!!",F945="NEW"),"",INDEX(J$1:J944,SUMPRODUCT(MAX(ROW(E$1:E944)*(E945=E$1:E944)))))</f>
        <v> </v>
      </c>
      <c r="L945" s="27"/>
    </row>
    <row r="946" spans="1:12">
      <c r="A946" s="20" t="s">
        <v>1392</v>
      </c>
      <c r="B946" s="21" t="s">
        <v>1154</v>
      </c>
      <c r="C946" s="21" t="s">
        <v>1006</v>
      </c>
      <c r="D946" s="21" t="s">
        <v>1007</v>
      </c>
      <c r="E946" s="22">
        <f>IF(D946="?OLD","!!!","")</f>
        <v/>
      </c>
      <c r="F946" s="23" t="str">
        <f>IF(OR(E946="",E946="!!!"),"",IF(NOT(ISNA(VLOOKUP(E946,E$1:E945,1,FALSE()))),"OLD",IF(AND(E946&lt;&gt;"",E946&lt;&gt;"!!!"),"NEW","")))</f>
        <v> </v>
      </c>
      <c r="G946" s="24" t="str">
        <f>IF(OR(E946="",E946="!!!"),"",IF(OR(J946=0,AND(J946=1,K946=1),AND(J946=1,I946="SBJ"),AND(J946=1,I946=0)),"?IN_FOCUS",IF(J946&lt;=2,"?ACTIVATED",IF(J946&lt;&gt;"","?FAMILIAR",IF(F946="NEW",IF(ISNA(VLOOKUP(E946,#REF!,1,FALSE())),"?TYPE_IDENTIFIABLE","?REFERENTIAL"),"_")))))</f>
        <v> </v>
      </c>
      <c r="H946" s="25" t="str">
        <f>IF(J946&lt;&gt;1,"",IF(I946="SBJ","CB","?"))</f>
        <v> </v>
      </c>
      <c r="I946" s="26" t="str">
        <f>IF(OR(E946="",E946="!!!",F946="NEW"),"",INDEX(B945:B$2,-1+SUMPRODUCT(MAX(ROW(E945:E$2)*(E946=E945:E$2)))))</f>
        <v> </v>
      </c>
      <c r="J946" s="26" t="str">
        <f>IF(OR(E946="",E946="!!!",F946="NEW"),"",COUNTBLANK(OFFSET(A$1,,,SUMPRODUCT(MAX(ROW(E$2:E946)*(E946=E$2:E946)))))-COUNTBLANK(OFFSET(A$1,,,SUMPRODUCT(MAX(ROW(E$1:E945)*(E2=E$1:E945))))))</f>
        <v> </v>
      </c>
      <c r="K946" s="26" t="str">
        <f>IF(OR(E946="",E946="!!!",F946="NEW"),"",INDEX(J$1:J945,SUMPRODUCT(MAX(ROW(E$1:E945)*(E946=E$1:E945)))))</f>
        <v> </v>
      </c>
      <c r="L946" s="27"/>
    </row>
    <row r="947" spans="1:12">
      <c r="A947" s="20" t="s">
        <v>1142</v>
      </c>
      <c r="E947" s="22">
        <f>IF(D947="?OLD","!!!","")</f>
        <v/>
      </c>
      <c r="F947" s="23" t="str">
        <f>IF(OR(E947="",E947="!!!"),"",IF(NOT(ISNA(VLOOKUP(E947,E$1:E946,1,FALSE()))),"OLD",IF(AND(E947&lt;&gt;"",E947&lt;&gt;"!!!"),"NEW","")))</f>
        <v> </v>
      </c>
      <c r="G947" s="24" t="str">
        <f>IF(OR(E947="",E947="!!!"),"",IF(OR(J947=0,AND(J947=1,K947=1),AND(J947=1,I947="SBJ"),AND(J947=1,I947=0)),"?IN_FOCUS",IF(J947&lt;=2,"?ACTIVATED",IF(J947&lt;&gt;"","?FAMILIAR",IF(F947="NEW",IF(ISNA(VLOOKUP(E947,#REF!,1,FALSE())),"?TYPE_IDENTIFIABLE","?REFERENTIAL"),"_")))))</f>
        <v> </v>
      </c>
      <c r="H947" s="25" t="str">
        <f>IF(J947&lt;&gt;1,"",IF(I947="SBJ","CB","?"))</f>
        <v> </v>
      </c>
      <c r="I947" s="26" t="str">
        <f>IF(OR(E947="",E947="!!!",F947="NEW"),"",INDEX(B946:B$2,-1+SUMPRODUCT(MAX(ROW(E946:E$2)*(E947=E946:E$2)))))</f>
        <v> </v>
      </c>
      <c r="J947" s="26" t="str">
        <f>IF(OR(E947="",E947="!!!",F947="NEW"),"",COUNTBLANK(OFFSET(A$1,,,SUMPRODUCT(MAX(ROW(E$2:E947)*(E947=E$2:E947)))))-COUNTBLANK(OFFSET(A$1,,,SUMPRODUCT(MAX(ROW(E$1:E946)*(E2=E$1:E946))))))</f>
        <v> </v>
      </c>
      <c r="K947" s="26" t="str">
        <f>IF(OR(E947="",E947="!!!",F947="NEW"),"",INDEX(J$1:J946,SUMPRODUCT(MAX(ROW(E$1:E946)*(E947=E$1:E946)))))</f>
        <v> </v>
      </c>
      <c r="L947" s="27"/>
    </row>
    <row r="948" spans="1:12">
      <c r="A948" s="20" t="s">
        <v>1075</v>
      </c>
      <c r="E948" s="22">
        <f>IF(D948="?OLD","!!!","")</f>
        <v/>
      </c>
      <c r="F948" s="23" t="str">
        <f>IF(OR(E948="",E948="!!!"),"",IF(NOT(ISNA(VLOOKUP(E948,E$1:E947,1,FALSE()))),"OLD",IF(AND(E948&lt;&gt;"",E948&lt;&gt;"!!!"),"NEW","")))</f>
        <v> </v>
      </c>
      <c r="G948" s="24" t="str">
        <f>IF(OR(E948="",E948="!!!"),"",IF(OR(J948=0,AND(J948=1,K948=1),AND(J948=1,I948="SBJ"),AND(J948=1,I948=0)),"?IN_FOCUS",IF(J948&lt;=2,"?ACTIVATED",IF(J948&lt;&gt;"","?FAMILIAR",IF(F948="NEW",IF(ISNA(VLOOKUP(E948,#REF!,1,FALSE())),"?TYPE_IDENTIFIABLE","?REFERENTIAL"),"_")))))</f>
        <v> </v>
      </c>
      <c r="H948" s="25" t="str">
        <f>IF(J948&lt;&gt;1,"",IF(I948="SBJ","CB","?"))</f>
        <v> </v>
      </c>
      <c r="I948" s="26" t="str">
        <f>IF(OR(E948="",E948="!!!",F948="NEW"),"",INDEX(B947:B$2,-1+SUMPRODUCT(MAX(ROW(E947:E$2)*(E948=E947:E$2)))))</f>
        <v> </v>
      </c>
      <c r="J948" s="26" t="str">
        <f>IF(OR(E948="",E948="!!!",F948="NEW"),"",COUNTBLANK(OFFSET(A$1,,,SUMPRODUCT(MAX(ROW(E$2:E948)*(E948=E$2:E948)))))-COUNTBLANK(OFFSET(A$1,,,SUMPRODUCT(MAX(ROW(E$1:E947)*(E2=E$1:E947))))))</f>
        <v> </v>
      </c>
      <c r="K948" s="26" t="str">
        <f>IF(OR(E948="",E948="!!!",F948="NEW"),"",INDEX(J$1:J947,SUMPRODUCT(MAX(ROW(E$1:E947)*(E948=E$1:E947)))))</f>
        <v> </v>
      </c>
      <c r="L948" s="27"/>
    </row>
    <row r="949" spans="1:12">
      <c r="A949" s="20" t="s">
        <v>1023</v>
      </c>
      <c r="E949" s="22">
        <f>IF(D949="?OLD","!!!","")</f>
        <v/>
      </c>
      <c r="F949" s="23" t="str">
        <f>IF(OR(E949="",E949="!!!"),"",IF(NOT(ISNA(VLOOKUP(E949,E$1:E948,1,FALSE()))),"OLD",IF(AND(E949&lt;&gt;"",E949&lt;&gt;"!!!"),"NEW","")))</f>
        <v> </v>
      </c>
      <c r="G949" s="24" t="str">
        <f>IF(OR(E949="",E949="!!!"),"",IF(OR(J949=0,AND(J949=1,K949=1),AND(J949=1,I949="SBJ"),AND(J949=1,I949=0)),"?IN_FOCUS",IF(J949&lt;=2,"?ACTIVATED",IF(J949&lt;&gt;"","?FAMILIAR",IF(F949="NEW",IF(ISNA(VLOOKUP(E949,#REF!,1,FALSE())),"?TYPE_IDENTIFIABLE","?REFERENTIAL"),"_")))))</f>
        <v> </v>
      </c>
      <c r="H949" s="25" t="str">
        <f>IF(J949&lt;&gt;1,"",IF(I949="SBJ","CB","?"))</f>
        <v> </v>
      </c>
      <c r="I949" s="26" t="str">
        <f>IF(OR(E949="",E949="!!!",F949="NEW"),"",INDEX(B948:B$2,-1+SUMPRODUCT(MAX(ROW(E948:E$2)*(E949=E948:E$2)))))</f>
        <v> </v>
      </c>
      <c r="J949" s="26" t="str">
        <f>IF(OR(E949="",E949="!!!",F949="NEW"),"",COUNTBLANK(OFFSET(A$1,,,SUMPRODUCT(MAX(ROW(E$2:E949)*(E949=E$2:E949)))))-COUNTBLANK(OFFSET(A$1,,,SUMPRODUCT(MAX(ROW(E$1:E948)*(E2=E$1:E948))))))</f>
        <v> </v>
      </c>
      <c r="K949" s="26" t="str">
        <f>IF(OR(E949="",E949="!!!",F949="NEW"),"",INDEX(J$1:J948,SUMPRODUCT(MAX(ROW(E$1:E948)*(E949=E$1:E948)))))</f>
        <v> </v>
      </c>
      <c r="L949" s="27"/>
    </row>
    <row r="950" spans="1:12">
      <c r="A950" s="20"/>
    </row>
    <row r="951" spans="1:12">
      <c r="A951" s="20" t="s">
        <v>1408</v>
      </c>
    </row>
    <row r="952" spans="1:12">
      <c r="A952" s="20" t="s">
        <v>1409</v>
      </c>
      <c r="E952" s="22">
        <f>IF(D952="?OLD","!!!","")</f>
        <v/>
      </c>
      <c r="F952" s="23" t="str">
        <f>IF(OR(E952="",E952="!!!"),"",IF(NOT(ISNA(VLOOKUP(E952,E$1:E951,1,FALSE()))),"OLD",IF(AND(E952&lt;&gt;"",E952&lt;&gt;"!!!"),"NEW","")))</f>
        <v> </v>
      </c>
      <c r="G952" s="24" t="str">
        <f>IF(OR(E952="",E952="!!!"),"",IF(OR(J952=0,AND(J952=1,K952=1),AND(J952=1,I952="SBJ"),AND(J952=1,I952=0)),"?IN_FOCUS",IF(J952&lt;=2,"?ACTIVATED",IF(J952&lt;&gt;"","?FAMILIAR",IF(F952="NEW",IF(ISNA(VLOOKUP(E952,#REF!,1,FALSE())),"?TYPE_IDENTIFIABLE","?REFERENTIAL"),"_")))))</f>
        <v> </v>
      </c>
      <c r="H952" s="25" t="str">
        <f>IF(J952&lt;&gt;1,"",IF(I952="SBJ","CB","?"))</f>
        <v> </v>
      </c>
      <c r="I952" s="26" t="str">
        <f>IF(OR(E952="",E952="!!!",F952="NEW"),"",INDEX(B951:B$2,-1+SUMPRODUCT(MAX(ROW(E951:E$2)*(E952=E951:E$2)))))</f>
        <v> </v>
      </c>
      <c r="J952" s="26" t="str">
        <f>IF(OR(E952="",E952="!!!",F952="NEW"),"",COUNTBLANK(OFFSET(A$1,,,SUMPRODUCT(MAX(ROW(E$2:E952)*(E952=E$2:E952)))))-COUNTBLANK(OFFSET(A$1,,,SUMPRODUCT(MAX(ROW(E$1:E951)*(E2=E$1:E951))))))</f>
        <v> </v>
      </c>
      <c r="K952" s="26" t="str">
        <f>IF(OR(E952="",E952="!!!",F952="NEW"),"",INDEX(J$1:J951,SUMPRODUCT(MAX(ROW(E$1:E951)*(E952=E$1:E951)))))</f>
        <v> </v>
      </c>
      <c r="L952" s="27"/>
    </row>
    <row r="953" spans="1:12">
      <c r="A953" s="20" t="s">
        <v>1410</v>
      </c>
      <c r="B953" s="21" t="s">
        <v>1050</v>
      </c>
      <c r="C953" s="21" t="s">
        <v>1013</v>
      </c>
      <c r="D953" s="21" t="s">
        <v>1007</v>
      </c>
      <c r="E953" s="22">
        <f>IF(D953="?OLD","!!!","")</f>
        <v/>
      </c>
      <c r="F953" s="23" t="str">
        <f>IF(OR(E953="",E953="!!!"),"",IF(NOT(ISNA(VLOOKUP(E953,E$1:E952,1,FALSE()))),"OLD",IF(AND(E953&lt;&gt;"",E953&lt;&gt;"!!!"),"NEW","")))</f>
        <v> </v>
      </c>
      <c r="G953" s="24" t="str">
        <f>IF(OR(E953="",E953="!!!"),"",IF(OR(J953=0,AND(J953=1,K953=1),AND(J953=1,I953="SBJ"),AND(J953=1,I953=0)),"?IN_FOCUS",IF(J953&lt;=2,"?ACTIVATED",IF(J953&lt;&gt;"","?FAMILIAR",IF(F953="NEW",IF(ISNA(VLOOKUP(E953,#REF!,1,FALSE())),"?TYPE_IDENTIFIABLE","?REFERENTIAL"),"_")))))</f>
        <v> </v>
      </c>
      <c r="H953" s="25" t="str">
        <f>IF(J953&lt;&gt;1,"",IF(I953="SBJ","CB","?"))</f>
        <v> </v>
      </c>
      <c r="I953" s="26" t="str">
        <f>IF(OR(E953="",E953="!!!",F953="NEW"),"",INDEX(B952:B$2,-1+SUMPRODUCT(MAX(ROW(E952:E$2)*(E953=E952:E$2)))))</f>
        <v> </v>
      </c>
      <c r="J953" s="26" t="str">
        <f>IF(OR(E953="",E953="!!!",F953="NEW"),"",COUNTBLANK(OFFSET(A$1,,,SUMPRODUCT(MAX(ROW(E$2:E953)*(E953=E$2:E953)))))-COUNTBLANK(OFFSET(A$1,,,SUMPRODUCT(MAX(ROW(E$1:E952)*(E2=E$1:E952))))))</f>
        <v> </v>
      </c>
      <c r="K953" s="26" t="str">
        <f>IF(OR(E953="",E953="!!!",F953="NEW"),"",INDEX(J$1:J952,SUMPRODUCT(MAX(ROW(E$1:E952)*(E953=E$1:E952)))))</f>
        <v> </v>
      </c>
      <c r="L953" s="27"/>
    </row>
    <row r="954" spans="1:12">
      <c r="A954" s="20" t="s">
        <v>1014</v>
      </c>
      <c r="E954" s="22">
        <f>IF(D954="?OLD","!!!","")</f>
        <v/>
      </c>
      <c r="F954" s="23" t="str">
        <f>IF(OR(E954="",E954="!!!"),"",IF(NOT(ISNA(VLOOKUP(E954,E$1:E953,1,FALSE()))),"OLD",IF(AND(E954&lt;&gt;"",E954&lt;&gt;"!!!"),"NEW","")))</f>
        <v> </v>
      </c>
      <c r="G954" s="24" t="str">
        <f>IF(OR(E954="",E954="!!!"),"",IF(OR(J954=0,AND(J954=1,K954=1),AND(J954=1,I954="SBJ"),AND(J954=1,I954=0)),"?IN_FOCUS",IF(J954&lt;=2,"?ACTIVATED",IF(J954&lt;&gt;"","?FAMILIAR",IF(F954="NEW",IF(ISNA(VLOOKUP(E954,#REF!,1,FALSE())),"?TYPE_IDENTIFIABLE","?REFERENTIAL"),"_")))))</f>
        <v> </v>
      </c>
      <c r="H954" s="25" t="str">
        <f>IF(J954&lt;&gt;1,"",IF(I954="SBJ","CB","?"))</f>
        <v> </v>
      </c>
      <c r="I954" s="26" t="str">
        <f>IF(OR(E954="",E954="!!!",F954="NEW"),"",INDEX(B953:B$2,-1+SUMPRODUCT(MAX(ROW(E953:E$2)*(E954=E953:E$2)))))</f>
        <v> </v>
      </c>
      <c r="J954" s="26" t="str">
        <f>IF(OR(E954="",E954="!!!",F954="NEW"),"",COUNTBLANK(OFFSET(A$1,,,SUMPRODUCT(MAX(ROW(E$2:E954)*(E954=E$2:E954)))))-COUNTBLANK(OFFSET(A$1,,,SUMPRODUCT(MAX(ROW(E$1:E953)*(E2=E$1:E953))))))</f>
        <v> </v>
      </c>
      <c r="K954" s="26" t="str">
        <f>IF(OR(E954="",E954="!!!",F954="NEW"),"",INDEX(J$1:J953,SUMPRODUCT(MAX(ROW(E$1:E953)*(E954=E$1:E953)))))</f>
        <v> </v>
      </c>
      <c r="L954" s="27"/>
    </row>
    <row r="955" spans="1:12">
      <c r="A955" s="20" t="s">
        <v>1020</v>
      </c>
      <c r="E955" s="22">
        <f>IF(D955="?OLD","!!!","")</f>
        <v/>
      </c>
      <c r="F955" s="23" t="str">
        <f>IF(OR(E955="",E955="!!!"),"",IF(NOT(ISNA(VLOOKUP(E955,E$1:E954,1,FALSE()))),"OLD",IF(AND(E955&lt;&gt;"",E955&lt;&gt;"!!!"),"NEW","")))</f>
        <v> </v>
      </c>
      <c r="G955" s="24" t="str">
        <f>IF(OR(E955="",E955="!!!"),"",IF(OR(J955=0,AND(J955=1,K955=1),AND(J955=1,I955="SBJ"),AND(J955=1,I955=0)),"?IN_FOCUS",IF(J955&lt;=2,"?ACTIVATED",IF(J955&lt;&gt;"","?FAMILIAR",IF(F955="NEW",IF(ISNA(VLOOKUP(E955,#REF!,1,FALSE())),"?TYPE_IDENTIFIABLE","?REFERENTIAL"),"_")))))</f>
        <v> </v>
      </c>
      <c r="H955" s="25" t="str">
        <f>IF(J955&lt;&gt;1,"",IF(I955="SBJ","CB","?"))</f>
        <v> </v>
      </c>
      <c r="I955" s="26" t="str">
        <f>IF(OR(E955="",E955="!!!",F955="NEW"),"",INDEX(B954:B$2,-1+SUMPRODUCT(MAX(ROW(E954:E$2)*(E955=E954:E$2)))))</f>
        <v> </v>
      </c>
      <c r="J955" s="26" t="str">
        <f>IF(OR(E955="",E955="!!!",F955="NEW"),"",COUNTBLANK(OFFSET(A$1,,,SUMPRODUCT(MAX(ROW(E$2:E955)*(E955=E$2:E955)))))-COUNTBLANK(OFFSET(A$1,,,SUMPRODUCT(MAX(ROW(E$1:E954)*(E2=E$1:E954))))))</f>
        <v> </v>
      </c>
      <c r="K955" s="26" t="str">
        <f>IF(OR(E955="",E955="!!!",F955="NEW"),"",INDEX(J$1:J954,SUMPRODUCT(MAX(ROW(E$1:E954)*(E955=E$1:E954)))))</f>
        <v> </v>
      </c>
      <c r="L955" s="27"/>
    </row>
    <row r="956" spans="1:12">
      <c r="A956" s="20" t="s">
        <v>1411</v>
      </c>
      <c r="B956" s="21" t="s">
        <v>1022</v>
      </c>
      <c r="C956" s="21" t="s">
        <v>1013</v>
      </c>
      <c r="D956" s="21" t="s">
        <v>1007</v>
      </c>
      <c r="E956" s="22">
        <f>IF(D956="?OLD","!!!","")</f>
        <v/>
      </c>
      <c r="F956" s="23" t="str">
        <f>IF(OR(E956="",E956="!!!"),"",IF(NOT(ISNA(VLOOKUP(E956,E$1:E955,1,FALSE()))),"OLD",IF(AND(E956&lt;&gt;"",E956&lt;&gt;"!!!"),"NEW","")))</f>
        <v> </v>
      </c>
      <c r="G956" s="24" t="str">
        <f>IF(OR(E956="",E956="!!!"),"",IF(OR(J956=0,AND(J956=1,K956=1),AND(J956=1,I956="SBJ"),AND(J956=1,I956=0)),"?IN_FOCUS",IF(J956&lt;=2,"?ACTIVATED",IF(J956&lt;&gt;"","?FAMILIAR",IF(F956="NEW",IF(ISNA(VLOOKUP(E956,#REF!,1,FALSE())),"?TYPE_IDENTIFIABLE","?REFERENTIAL"),"_")))))</f>
        <v> </v>
      </c>
      <c r="H956" s="25" t="str">
        <f>IF(J956&lt;&gt;1,"",IF(I956="SBJ","CB","?"))</f>
        <v> </v>
      </c>
      <c r="I956" s="26" t="str">
        <f>IF(OR(E956="",E956="!!!",F956="NEW"),"",INDEX(B955:B$2,-1+SUMPRODUCT(MAX(ROW(E955:E$2)*(E956=E955:E$2)))))</f>
        <v> </v>
      </c>
      <c r="J956" s="26" t="str">
        <f>IF(OR(E956="",E956="!!!",F956="NEW"),"",COUNTBLANK(OFFSET(A$1,,,SUMPRODUCT(MAX(ROW(E$2:E956)*(E956=E$2:E956)))))-COUNTBLANK(OFFSET(A$1,,,SUMPRODUCT(MAX(ROW(E$1:E955)*(E2=E$1:E955))))))</f>
        <v> </v>
      </c>
      <c r="K956" s="26" t="str">
        <f>IF(OR(E956="",E956="!!!",F956="NEW"),"",INDEX(J$1:J955,SUMPRODUCT(MAX(ROW(E$1:E955)*(E956=E$1:E955)))))</f>
        <v> </v>
      </c>
      <c r="L956" s="27"/>
    </row>
    <row r="957" spans="1:12">
      <c r="A957" s="20" t="s">
        <v>1030</v>
      </c>
      <c r="E957" s="22">
        <f>IF(D957="?OLD","!!!","")</f>
        <v/>
      </c>
      <c r="F957" s="23" t="str">
        <f>IF(OR(E957="",E957="!!!"),"",IF(NOT(ISNA(VLOOKUP(E957,E$1:E956,1,FALSE()))),"OLD",IF(AND(E957&lt;&gt;"",E957&lt;&gt;"!!!"),"NEW","")))</f>
        <v> </v>
      </c>
      <c r="G957" s="24" t="str">
        <f>IF(OR(E957="",E957="!!!"),"",IF(OR(J957=0,AND(J957=1,K957=1),AND(J957=1,I957="SBJ"),AND(J957=1,I957=0)),"?IN_FOCUS",IF(J957&lt;=2,"?ACTIVATED",IF(J957&lt;&gt;"","?FAMILIAR",IF(F957="NEW",IF(ISNA(VLOOKUP(E957,#REF!,1,FALSE())),"?TYPE_IDENTIFIABLE","?REFERENTIAL"),"_")))))</f>
        <v> </v>
      </c>
      <c r="H957" s="25" t="str">
        <f>IF(J957&lt;&gt;1,"",IF(I957="SBJ","CB","?"))</f>
        <v> </v>
      </c>
      <c r="I957" s="26" t="str">
        <f>IF(OR(E957="",E957="!!!",F957="NEW"),"",INDEX(B956:B$2,-1+SUMPRODUCT(MAX(ROW(E956:E$2)*(E957=E956:E$2)))))</f>
        <v> </v>
      </c>
      <c r="J957" s="26" t="str">
        <f>IF(OR(E957="",E957="!!!",F957="NEW"),"",COUNTBLANK(OFFSET(A$1,,,SUMPRODUCT(MAX(ROW(E$2:E957)*(E957=E$2:E957)))))-COUNTBLANK(OFFSET(A$1,,,SUMPRODUCT(MAX(ROW(E$1:E956)*(E2=E$1:E956))))))</f>
        <v> </v>
      </c>
      <c r="K957" s="26" t="str">
        <f>IF(OR(E957="",E957="!!!",F957="NEW"),"",INDEX(J$1:J956,SUMPRODUCT(MAX(ROW(E$1:E956)*(E957=E$1:E956)))))</f>
        <v> </v>
      </c>
      <c r="L957" s="27"/>
    </row>
    <row r="958" spans="1:12">
      <c r="A958" s="20" t="s">
        <v>1015</v>
      </c>
      <c r="E958" s="22">
        <f>IF(D958="?OLD","!!!","")</f>
        <v/>
      </c>
      <c r="F958" s="23" t="str">
        <f>IF(OR(E958="",E958="!!!"),"",IF(NOT(ISNA(VLOOKUP(E958,E$1:E957,1,FALSE()))),"OLD",IF(AND(E958&lt;&gt;"",E958&lt;&gt;"!!!"),"NEW","")))</f>
        <v> </v>
      </c>
      <c r="G958" s="24" t="str">
        <f>IF(OR(E958="",E958="!!!"),"",IF(OR(J958=0,AND(J958=1,K958=1),AND(J958=1,I958="SBJ"),AND(J958=1,I958=0)),"?IN_FOCUS",IF(J958&lt;=2,"?ACTIVATED",IF(J958&lt;&gt;"","?FAMILIAR",IF(F958="NEW",IF(ISNA(VLOOKUP(E958,#REF!,1,FALSE())),"?TYPE_IDENTIFIABLE","?REFERENTIAL"),"_")))))</f>
        <v> </v>
      </c>
      <c r="H958" s="25" t="str">
        <f>IF(J958&lt;&gt;1,"",IF(I958="SBJ","CB","?"))</f>
        <v> </v>
      </c>
      <c r="I958" s="26" t="str">
        <f>IF(OR(E958="",E958="!!!",F958="NEW"),"",INDEX(B957:B$2,-1+SUMPRODUCT(MAX(ROW(E957:E$2)*(E958=E957:E$2)))))</f>
        <v> </v>
      </c>
      <c r="J958" s="26" t="str">
        <f>IF(OR(E958="",E958="!!!",F958="NEW"),"",COUNTBLANK(OFFSET(A$1,,,SUMPRODUCT(MAX(ROW(E$2:E958)*(E958=E$2:E958)))))-COUNTBLANK(OFFSET(A$1,,,SUMPRODUCT(MAX(ROW(E$1:E957)*(E2=E$1:E957))))))</f>
        <v> </v>
      </c>
      <c r="K958" s="26" t="str">
        <f>IF(OR(E958="",E958="!!!",F958="NEW"),"",INDEX(J$1:J957,SUMPRODUCT(MAX(ROW(E$1:E957)*(E958=E$1:E957)))))</f>
        <v> </v>
      </c>
      <c r="L958" s="27"/>
    </row>
    <row r="959" spans="1:12">
      <c r="A959" s="20" t="s">
        <v>1412</v>
      </c>
      <c r="B959" s="21" t="s">
        <v>1033</v>
      </c>
      <c r="C959" s="21" t="s">
        <v>1006</v>
      </c>
      <c r="D959" s="21" t="s">
        <v>1007</v>
      </c>
      <c r="E959" s="22">
        <f>IF(D959="?OLD","!!!","")</f>
        <v/>
      </c>
      <c r="F959" s="23" t="str">
        <f>IF(OR(E959="",E959="!!!"),"",IF(NOT(ISNA(VLOOKUP(E959,E$1:E958,1,FALSE()))),"OLD",IF(AND(E959&lt;&gt;"",E959&lt;&gt;"!!!"),"NEW","")))</f>
        <v> </v>
      </c>
      <c r="G959" s="24" t="str">
        <f>IF(OR(E959="",E959="!!!"),"",IF(OR(J959=0,AND(J959=1,K959=1),AND(J959=1,I959="SBJ"),AND(J959=1,I959=0)),"?IN_FOCUS",IF(J959&lt;=2,"?ACTIVATED",IF(J959&lt;&gt;"","?FAMILIAR",IF(F959="NEW",IF(ISNA(VLOOKUP(E959,#REF!,1,FALSE())),"?TYPE_IDENTIFIABLE","?REFERENTIAL"),"_")))))</f>
        <v> </v>
      </c>
      <c r="H959" s="25" t="str">
        <f>IF(J959&lt;&gt;1,"",IF(I959="SBJ","CB","?"))</f>
        <v> </v>
      </c>
      <c r="I959" s="26" t="str">
        <f>IF(OR(E959="",E959="!!!",F959="NEW"),"",INDEX(B958:B$2,-1+SUMPRODUCT(MAX(ROW(E958:E$2)*(E959=E958:E$2)))))</f>
        <v> </v>
      </c>
      <c r="J959" s="26" t="str">
        <f>IF(OR(E959="",E959="!!!",F959="NEW"),"",COUNTBLANK(OFFSET(A$1,,,SUMPRODUCT(MAX(ROW(E$2:E959)*(E959=E$2:E959)))))-COUNTBLANK(OFFSET(A$1,,,SUMPRODUCT(MAX(ROW(E$1:E958)*(E2=E$1:E958))))))</f>
        <v> </v>
      </c>
      <c r="K959" s="26" t="str">
        <f>IF(OR(E959="",E959="!!!",F959="NEW"),"",INDEX(J$1:J958,SUMPRODUCT(MAX(ROW(E$1:E958)*(E959=E$1:E958)))))</f>
        <v> </v>
      </c>
      <c r="L959" s="27"/>
    </row>
    <row r="960" spans="1:12">
      <c r="A960" s="20" t="s">
        <v>1124</v>
      </c>
      <c r="E960" s="22">
        <f>IF(D960="?OLD","!!!","")</f>
        <v/>
      </c>
      <c r="F960" s="23" t="str">
        <f>IF(OR(E960="",E960="!!!"),"",IF(NOT(ISNA(VLOOKUP(E960,E$1:E959,1,FALSE()))),"OLD",IF(AND(E960&lt;&gt;"",E960&lt;&gt;"!!!"),"NEW","")))</f>
        <v> </v>
      </c>
      <c r="G960" s="24" t="str">
        <f>IF(OR(E960="",E960="!!!"),"",IF(OR(J960=0,AND(J960=1,K960=1),AND(J960=1,I960="SBJ"),AND(J960=1,I960=0)),"?IN_FOCUS",IF(J960&lt;=2,"?ACTIVATED",IF(J960&lt;&gt;"","?FAMILIAR",IF(F960="NEW",IF(ISNA(VLOOKUP(E960,#REF!,1,FALSE())),"?TYPE_IDENTIFIABLE","?REFERENTIAL"),"_")))))</f>
        <v> </v>
      </c>
      <c r="H960" s="25" t="str">
        <f>IF(J960&lt;&gt;1,"",IF(I960="SBJ","CB","?"))</f>
        <v> </v>
      </c>
      <c r="I960" s="26" t="str">
        <f>IF(OR(E960="",E960="!!!",F960="NEW"),"",INDEX(B959:B$2,-1+SUMPRODUCT(MAX(ROW(E959:E$2)*(E960=E959:E$2)))))</f>
        <v> </v>
      </c>
      <c r="J960" s="26" t="str">
        <f>IF(OR(E960="",E960="!!!",F960="NEW"),"",COUNTBLANK(OFFSET(A$1,,,SUMPRODUCT(MAX(ROW(E$2:E960)*(E960=E$2:E960)))))-COUNTBLANK(OFFSET(A$1,,,SUMPRODUCT(MAX(ROW(E$1:E959)*(E2=E$1:E959))))))</f>
        <v> </v>
      </c>
      <c r="K960" s="26" t="str">
        <f>IF(OR(E960="",E960="!!!",F960="NEW"),"",INDEX(J$1:J959,SUMPRODUCT(MAX(ROW(E$1:E959)*(E960=E$1:E959)))))</f>
        <v> </v>
      </c>
      <c r="L960" s="27"/>
    </row>
    <row r="961" spans="1:12">
      <c r="A961" s="20" t="s">
        <v>1413</v>
      </c>
      <c r="E961" s="22">
        <f>IF(D961="?OLD","!!!","")</f>
        <v/>
      </c>
      <c r="F961" s="23" t="str">
        <f>IF(OR(E961="",E961="!!!"),"",IF(NOT(ISNA(VLOOKUP(E961,E$1:E960,1,FALSE()))),"OLD",IF(AND(E961&lt;&gt;"",E961&lt;&gt;"!!!"),"NEW","")))</f>
        <v> </v>
      </c>
      <c r="G961" s="24" t="str">
        <f>IF(OR(E961="",E961="!!!"),"",IF(OR(J961=0,AND(J961=1,K961=1),AND(J961=1,I961="SBJ"),AND(J961=1,I961=0)),"?IN_FOCUS",IF(J961&lt;=2,"?ACTIVATED",IF(J961&lt;&gt;"","?FAMILIAR",IF(F961="NEW",IF(ISNA(VLOOKUP(E961,#REF!,1,FALSE())),"?TYPE_IDENTIFIABLE","?REFERENTIAL"),"_")))))</f>
        <v> </v>
      </c>
      <c r="H961" s="25" t="str">
        <f>IF(J961&lt;&gt;1,"",IF(I961="SBJ","CB","?"))</f>
        <v> </v>
      </c>
      <c r="I961" s="26" t="str">
        <f>IF(OR(E961="",E961="!!!",F961="NEW"),"",INDEX(B960:B$2,-1+SUMPRODUCT(MAX(ROW(E960:E$2)*(E961=E960:E$2)))))</f>
        <v> </v>
      </c>
      <c r="J961" s="26" t="str">
        <f>IF(OR(E961="",E961="!!!",F961="NEW"),"",COUNTBLANK(OFFSET(A$1,,,SUMPRODUCT(MAX(ROW(E$2:E961)*(E961=E$2:E961)))))-COUNTBLANK(OFFSET(A$1,,,SUMPRODUCT(MAX(ROW(E$1:E960)*(E2=E$1:E960))))))</f>
        <v> </v>
      </c>
      <c r="K961" s="26" t="str">
        <f>IF(OR(E961="",E961="!!!",F961="NEW"),"",INDEX(J$1:J960,SUMPRODUCT(MAX(ROW(E$1:E960)*(E961=E$1:E960)))))</f>
        <v> </v>
      </c>
      <c r="L961" s="27"/>
    </row>
    <row r="962" spans="1:12">
      <c r="A962" s="20" t="s">
        <v>1127</v>
      </c>
      <c r="E962" s="22">
        <f>IF(D962="?OLD","!!!","")</f>
        <v/>
      </c>
      <c r="F962" s="23" t="str">
        <f>IF(OR(E962="",E962="!!!"),"",IF(NOT(ISNA(VLOOKUP(E962,E$1:E961,1,FALSE()))),"OLD",IF(AND(E962&lt;&gt;"",E962&lt;&gt;"!!!"),"NEW","")))</f>
        <v> </v>
      </c>
      <c r="G962" s="24" t="str">
        <f>IF(OR(E962="",E962="!!!"),"",IF(OR(J962=0,AND(J962=1,K962=1),AND(J962=1,I962="SBJ"),AND(J962=1,I962=0)),"?IN_FOCUS",IF(J962&lt;=2,"?ACTIVATED",IF(J962&lt;&gt;"","?FAMILIAR",IF(F962="NEW",IF(ISNA(VLOOKUP(E962,#REF!,1,FALSE())),"?TYPE_IDENTIFIABLE","?REFERENTIAL"),"_")))))</f>
        <v> </v>
      </c>
      <c r="H962" s="25" t="str">
        <f>IF(J962&lt;&gt;1,"",IF(I962="SBJ","CB","?"))</f>
        <v> </v>
      </c>
      <c r="I962" s="26" t="str">
        <f>IF(OR(E962="",E962="!!!",F962="NEW"),"",INDEX(B961:B$2,-1+SUMPRODUCT(MAX(ROW(E961:E$2)*(E962=E961:E$2)))))</f>
        <v> </v>
      </c>
      <c r="J962" s="26" t="str">
        <f>IF(OR(E962="",E962="!!!",F962="NEW"),"",COUNTBLANK(OFFSET(A$1,,,SUMPRODUCT(MAX(ROW(E$2:E962)*(E962=E$2:E962)))))-COUNTBLANK(OFFSET(A$1,,,SUMPRODUCT(MAX(ROW(E$1:E961)*(E2=E$1:E961))))))</f>
        <v> </v>
      </c>
      <c r="K962" s="26" t="str">
        <f>IF(OR(E962="",E962="!!!",F962="NEW"),"",INDEX(J$1:J961,SUMPRODUCT(MAX(ROW(E$1:E961)*(E962=E$1:E961)))))</f>
        <v> </v>
      </c>
      <c r="L962" s="27"/>
    </row>
    <row r="963" spans="1:12">
      <c r="A963" s="20" t="s">
        <v>1015</v>
      </c>
      <c r="E963" s="22">
        <f>IF(D963="?OLD","!!!","")</f>
        <v/>
      </c>
      <c r="F963" s="23" t="str">
        <f>IF(OR(E963="",E963="!!!"),"",IF(NOT(ISNA(VLOOKUP(E963,E$1:E962,1,FALSE()))),"OLD",IF(AND(E963&lt;&gt;"",E963&lt;&gt;"!!!"),"NEW","")))</f>
        <v> </v>
      </c>
      <c r="G963" s="24" t="str">
        <f>IF(OR(E963="",E963="!!!"),"",IF(OR(J963=0,AND(J963=1,K963=1),AND(J963=1,I963="SBJ"),AND(J963=1,I963=0)),"?IN_FOCUS",IF(J963&lt;=2,"?ACTIVATED",IF(J963&lt;&gt;"","?FAMILIAR",IF(F963="NEW",IF(ISNA(VLOOKUP(E963,#REF!,1,FALSE())),"?TYPE_IDENTIFIABLE","?REFERENTIAL"),"_")))))</f>
        <v> </v>
      </c>
      <c r="H963" s="25" t="str">
        <f>IF(J963&lt;&gt;1,"",IF(I963="SBJ","CB","?"))</f>
        <v> </v>
      </c>
      <c r="I963" s="26" t="str">
        <f>IF(OR(E963="",E963="!!!",F963="NEW"),"",INDEX(B962:B$2,-1+SUMPRODUCT(MAX(ROW(E962:E$2)*(E963=E962:E$2)))))</f>
        <v> </v>
      </c>
      <c r="J963" s="26" t="str">
        <f>IF(OR(E963="",E963="!!!",F963="NEW"),"",COUNTBLANK(OFFSET(A$1,,,SUMPRODUCT(MAX(ROW(E$2:E963)*(E963=E$2:E963)))))-COUNTBLANK(OFFSET(A$1,,,SUMPRODUCT(MAX(ROW(E$1:E962)*(E2=E$1:E962))))))</f>
        <v> </v>
      </c>
      <c r="K963" s="26" t="str">
        <f>IF(OR(E963="",E963="!!!",F963="NEW"),"",INDEX(J$1:J962,SUMPRODUCT(MAX(ROW(E$1:E962)*(E963=E$1:E962)))))</f>
        <v> </v>
      </c>
      <c r="L963" s="27"/>
    </row>
    <row r="964" spans="1:12">
      <c r="A964" s="20" t="s">
        <v>1414</v>
      </c>
      <c r="B964" s="21" t="s">
        <v>1005</v>
      </c>
      <c r="C964" s="21" t="s">
        <v>1017</v>
      </c>
      <c r="D964" s="21" t="s">
        <v>1007</v>
      </c>
      <c r="E964" s="22">
        <f>IF(D964="?OLD","!!!","")</f>
        <v/>
      </c>
      <c r="F964" s="23" t="str">
        <f>IF(OR(E964="",E964="!!!"),"",IF(NOT(ISNA(VLOOKUP(E964,E$1:E963,1,FALSE()))),"OLD",IF(AND(E964&lt;&gt;"",E964&lt;&gt;"!!!"),"NEW","")))</f>
        <v> </v>
      </c>
      <c r="G964" s="24" t="str">
        <f>IF(OR(E964="",E964="!!!"),"",IF(OR(J964=0,AND(J964=1,K964=1),AND(J964=1,I964="SBJ"),AND(J964=1,I964=0)),"?IN_FOCUS",IF(J964&lt;=2,"?ACTIVATED",IF(J964&lt;&gt;"","?FAMILIAR",IF(F964="NEW",IF(ISNA(VLOOKUP(E964,#REF!,1,FALSE())),"?TYPE_IDENTIFIABLE","?REFERENTIAL"),"_")))))</f>
        <v> </v>
      </c>
      <c r="H964" s="25" t="str">
        <f>IF(J964&lt;&gt;1,"",IF(I964="SBJ","CB","?"))</f>
        <v> </v>
      </c>
      <c r="I964" s="26" t="str">
        <f>IF(OR(E964="",E964="!!!",F964="NEW"),"",INDEX(B963:B$2,-1+SUMPRODUCT(MAX(ROW(E963:E$2)*(E964=E963:E$2)))))</f>
        <v> </v>
      </c>
      <c r="J964" s="26" t="str">
        <f>IF(OR(E964="",E964="!!!",F964="NEW"),"",COUNTBLANK(OFFSET(A$1,,,SUMPRODUCT(MAX(ROW(E$2:E964)*(E964=E$2:E964)))))-COUNTBLANK(OFFSET(A$1,,,SUMPRODUCT(MAX(ROW(E$1:E963)*(E2=E$1:E963))))))</f>
        <v> </v>
      </c>
      <c r="K964" s="26" t="str">
        <f>IF(OR(E964="",E964="!!!",F964="NEW"),"",INDEX(J$1:J963,SUMPRODUCT(MAX(ROW(E$1:E963)*(E964=E$1:E963)))))</f>
        <v> </v>
      </c>
      <c r="L964" s="27"/>
    </row>
    <row r="965" spans="1:12">
      <c r="A965" s="20" t="s">
        <v>1023</v>
      </c>
      <c r="E965" s="22">
        <f>IF(D965="?OLD","!!!","")</f>
        <v/>
      </c>
      <c r="F965" s="23" t="str">
        <f>IF(OR(E965="",E965="!!!"),"",IF(NOT(ISNA(VLOOKUP(E965,E$1:E964,1,FALSE()))),"OLD",IF(AND(E965&lt;&gt;"",E965&lt;&gt;"!!!"),"NEW","")))</f>
        <v> </v>
      </c>
      <c r="G965" s="24" t="str">
        <f>IF(OR(E965="",E965="!!!"),"",IF(OR(J965=0,AND(J965=1,K965=1),AND(J965=1,I965="SBJ"),AND(J965=1,I965=0)),"?IN_FOCUS",IF(J965&lt;=2,"?ACTIVATED",IF(J965&lt;&gt;"","?FAMILIAR",IF(F965="NEW",IF(ISNA(VLOOKUP(E965,#REF!,1,FALSE())),"?TYPE_IDENTIFIABLE","?REFERENTIAL"),"_")))))</f>
        <v> </v>
      </c>
      <c r="H965" s="25" t="str">
        <f>IF(J965&lt;&gt;1,"",IF(I965="SBJ","CB","?"))</f>
        <v> </v>
      </c>
      <c r="I965" s="26" t="str">
        <f>IF(OR(E965="",E965="!!!",F965="NEW"),"",INDEX(B964:B$2,-1+SUMPRODUCT(MAX(ROW(E964:E$2)*(E965=E964:E$2)))))</f>
        <v> </v>
      </c>
      <c r="J965" s="26" t="str">
        <f>IF(OR(E965="",E965="!!!",F965="NEW"),"",COUNTBLANK(OFFSET(A$1,,,SUMPRODUCT(MAX(ROW(E$2:E965)*(E965=E$2:E965)))))-COUNTBLANK(OFFSET(A$1,,,SUMPRODUCT(MAX(ROW(E$1:E964)*(E2=E$1:E964))))))</f>
        <v> </v>
      </c>
      <c r="K965" s="26" t="str">
        <f>IF(OR(E965="",E965="!!!",F965="NEW"),"",INDEX(J$1:J964,SUMPRODUCT(MAX(ROW(E$1:E964)*(E965=E$1:E964)))))</f>
        <v> </v>
      </c>
      <c r="L965" s="27"/>
    </row>
    <row r="966" spans="1:12">
      <c r="A966" s="20"/>
    </row>
    <row r="967" spans="1:12">
      <c r="A967" s="20" t="s">
        <v>1415</v>
      </c>
    </row>
    <row r="968" spans="1:12">
      <c r="A968" s="20" t="s">
        <v>1416</v>
      </c>
      <c r="E968" s="22">
        <f>IF(D968="?OLD","!!!","")</f>
        <v/>
      </c>
      <c r="F968" s="23" t="str">
        <f>IF(OR(E968="",E968="!!!"),"",IF(NOT(ISNA(VLOOKUP(E968,E$1:E967,1,FALSE()))),"OLD",IF(AND(E968&lt;&gt;"",E968&lt;&gt;"!!!"),"NEW","")))</f>
        <v> </v>
      </c>
      <c r="G968" s="24" t="str">
        <f>IF(OR(E968="",E968="!!!"),"",IF(OR(J968=0,AND(J968=1,K968=1),AND(J968=1,I968="SBJ"),AND(J968=1,I968=0)),"?IN_FOCUS",IF(J968&lt;=2,"?ACTIVATED",IF(J968&lt;&gt;"","?FAMILIAR",IF(F968="NEW",IF(ISNA(VLOOKUP(E968,#REF!,1,FALSE())),"?TYPE_IDENTIFIABLE","?REFERENTIAL"),"_")))))</f>
        <v> </v>
      </c>
      <c r="H968" s="25" t="str">
        <f>IF(J968&lt;&gt;1,"",IF(I968="SBJ","CB","?"))</f>
        <v> </v>
      </c>
      <c r="I968" s="26" t="str">
        <f>IF(OR(E968="",E968="!!!",F968="NEW"),"",INDEX(B967:B$2,-1+SUMPRODUCT(MAX(ROW(E967:E$2)*(E968=E967:E$2)))))</f>
        <v> </v>
      </c>
      <c r="J968" s="26" t="str">
        <f>IF(OR(E968="",E968="!!!",F968="NEW"),"",COUNTBLANK(OFFSET(A$1,,,SUMPRODUCT(MAX(ROW(E$2:E968)*(E968=E$2:E968)))))-COUNTBLANK(OFFSET(A$1,,,SUMPRODUCT(MAX(ROW(E$1:E967)*(E2=E$1:E967))))))</f>
        <v> </v>
      </c>
      <c r="K968" s="26" t="str">
        <f>IF(OR(E968="",E968="!!!",F968="NEW"),"",INDEX(J$1:J967,SUMPRODUCT(MAX(ROW(E$1:E967)*(E968=E$1:E967)))))</f>
        <v> </v>
      </c>
      <c r="L968" s="27"/>
    </row>
    <row r="969" spans="1:12">
      <c r="A969" s="20" t="s">
        <v>1114</v>
      </c>
      <c r="B969" s="21" t="s">
        <v>1050</v>
      </c>
      <c r="C969" s="21" t="s">
        <v>1082</v>
      </c>
      <c r="D969" s="21" t="s">
        <v>1007</v>
      </c>
      <c r="E969" s="22">
        <f>IF(D969="?OLD","!!!","")</f>
        <v/>
      </c>
      <c r="F969" s="23" t="str">
        <f>IF(OR(E969="",E969="!!!"),"",IF(NOT(ISNA(VLOOKUP(E969,E$1:E968,1,FALSE()))),"OLD",IF(AND(E969&lt;&gt;"",E969&lt;&gt;"!!!"),"NEW","")))</f>
        <v> </v>
      </c>
      <c r="G969" s="24" t="str">
        <f>IF(OR(E969="",E969="!!!"),"",IF(OR(J969=0,AND(J969=1,K969=1),AND(J969=1,I969="SBJ"),AND(J969=1,I969=0)),"?IN_FOCUS",IF(J969&lt;=2,"?ACTIVATED",IF(J969&lt;&gt;"","?FAMILIAR",IF(F969="NEW",IF(ISNA(VLOOKUP(E969,#REF!,1,FALSE())),"?TYPE_IDENTIFIABLE","?REFERENTIAL"),"_")))))</f>
        <v> </v>
      </c>
      <c r="H969" s="25" t="str">
        <f>IF(J969&lt;&gt;1,"",IF(I969="SBJ","CB","?"))</f>
        <v> </v>
      </c>
      <c r="I969" s="26" t="str">
        <f>IF(OR(E969="",E969="!!!",F969="NEW"),"",INDEX(B968:B$2,-1+SUMPRODUCT(MAX(ROW(E968:E$2)*(E969=E968:E$2)))))</f>
        <v> </v>
      </c>
      <c r="J969" s="26" t="str">
        <f>IF(OR(E969="",E969="!!!",F969="NEW"),"",COUNTBLANK(OFFSET(A$1,,,SUMPRODUCT(MAX(ROW(E$2:E969)*(E969=E$2:E969)))))-COUNTBLANK(OFFSET(A$1,,,SUMPRODUCT(MAX(ROW(E$1:E968)*(E2=E$1:E968))))))</f>
        <v> </v>
      </c>
      <c r="K969" s="26" t="str">
        <f>IF(OR(E969="",E969="!!!",F969="NEW"),"",INDEX(J$1:J968,SUMPRODUCT(MAX(ROW(E$1:E968)*(E969=E$1:E968)))))</f>
        <v> </v>
      </c>
      <c r="L969" s="27"/>
    </row>
    <row r="970" spans="1:12">
      <c r="A970" s="20" t="s">
        <v>1417</v>
      </c>
      <c r="E970" s="22">
        <f>IF(D970="?OLD","!!!","")</f>
        <v/>
      </c>
      <c r="F970" s="23" t="str">
        <f>IF(OR(E970="",E970="!!!"),"",IF(NOT(ISNA(VLOOKUP(E970,E$1:E969,1,FALSE()))),"OLD",IF(AND(E970&lt;&gt;"",E970&lt;&gt;"!!!"),"NEW","")))</f>
        <v> </v>
      </c>
      <c r="G970" s="24" t="str">
        <f>IF(OR(E970="",E970="!!!"),"",IF(OR(J970=0,AND(J970=1,K970=1),AND(J970=1,I970="SBJ"),AND(J970=1,I970=0)),"?IN_FOCUS",IF(J970&lt;=2,"?ACTIVATED",IF(J970&lt;&gt;"","?FAMILIAR",IF(F970="NEW",IF(ISNA(VLOOKUP(E970,#REF!,1,FALSE())),"?TYPE_IDENTIFIABLE","?REFERENTIAL"),"_")))))</f>
        <v> </v>
      </c>
      <c r="H970" s="25" t="str">
        <f>IF(J970&lt;&gt;1,"",IF(I970="SBJ","CB","?"))</f>
        <v> </v>
      </c>
      <c r="I970" s="26" t="str">
        <f>IF(OR(E970="",E970="!!!",F970="NEW"),"",INDEX(B969:B$2,-1+SUMPRODUCT(MAX(ROW(E969:E$2)*(E970=E969:E$2)))))</f>
        <v> </v>
      </c>
      <c r="J970" s="26" t="str">
        <f>IF(OR(E970="",E970="!!!",F970="NEW"),"",COUNTBLANK(OFFSET(A$1,,,SUMPRODUCT(MAX(ROW(E$2:E970)*(E970=E$2:E970)))))-COUNTBLANK(OFFSET(A$1,,,SUMPRODUCT(MAX(ROW(E$1:E969)*(E2=E$1:E969))))))</f>
        <v> </v>
      </c>
      <c r="K970" s="26" t="str">
        <f>IF(OR(E970="",E970="!!!",F970="NEW"),"",INDEX(J$1:J969,SUMPRODUCT(MAX(ROW(E$1:E969)*(E970=E$1:E969)))))</f>
        <v> </v>
      </c>
      <c r="L970" s="27"/>
    </row>
    <row r="971" spans="1:12">
      <c r="A971" s="20" t="s">
        <v>1065</v>
      </c>
      <c r="E971" s="22">
        <f>IF(D971="?OLD","!!!","")</f>
        <v/>
      </c>
      <c r="F971" s="23" t="str">
        <f>IF(OR(E971="",E971="!!!"),"",IF(NOT(ISNA(VLOOKUP(E971,E$1:E970,1,FALSE()))),"OLD",IF(AND(E971&lt;&gt;"",E971&lt;&gt;"!!!"),"NEW","")))</f>
        <v> </v>
      </c>
      <c r="G971" s="24" t="str">
        <f>IF(OR(E971="",E971="!!!"),"",IF(OR(J971=0,AND(J971=1,K971=1),AND(J971=1,I971="SBJ"),AND(J971=1,I971=0)),"?IN_FOCUS",IF(J971&lt;=2,"?ACTIVATED",IF(J971&lt;&gt;"","?FAMILIAR",IF(F971="NEW",IF(ISNA(VLOOKUP(E971,#REF!,1,FALSE())),"?TYPE_IDENTIFIABLE","?REFERENTIAL"),"_")))))</f>
        <v> </v>
      </c>
      <c r="H971" s="25" t="str">
        <f>IF(J971&lt;&gt;1,"",IF(I971="SBJ","CB","?"))</f>
        <v> </v>
      </c>
      <c r="I971" s="26" t="str">
        <f>IF(OR(E971="",E971="!!!",F971="NEW"),"",INDEX(B970:B$2,-1+SUMPRODUCT(MAX(ROW(E970:E$2)*(E971=E970:E$2)))))</f>
        <v> </v>
      </c>
      <c r="J971" s="26" t="str">
        <f>IF(OR(E971="",E971="!!!",F971="NEW"),"",COUNTBLANK(OFFSET(A$1,,,SUMPRODUCT(MAX(ROW(E$2:E971)*(E971=E$2:E971)))))-COUNTBLANK(OFFSET(A$1,,,SUMPRODUCT(MAX(ROW(E$1:E970)*(E2=E$1:E970))))))</f>
        <v> </v>
      </c>
      <c r="K971" s="26" t="str">
        <f>IF(OR(E971="",E971="!!!",F971="NEW"),"",INDEX(J$1:J970,SUMPRODUCT(MAX(ROW(E$1:E970)*(E971=E$1:E970)))))</f>
        <v> </v>
      </c>
      <c r="L971" s="27"/>
    </row>
    <row r="972" spans="1:12">
      <c r="A972" s="20" t="s">
        <v>1164</v>
      </c>
      <c r="E972" s="22">
        <f>IF(D972="?OLD","!!!","")</f>
        <v/>
      </c>
      <c r="F972" s="23" t="str">
        <f>IF(OR(E972="",E972="!!!"),"",IF(NOT(ISNA(VLOOKUP(E972,E$1:E971,1,FALSE()))),"OLD",IF(AND(E972&lt;&gt;"",E972&lt;&gt;"!!!"),"NEW","")))</f>
        <v> </v>
      </c>
      <c r="G972" s="24" t="str">
        <f>IF(OR(E972="",E972="!!!"),"",IF(OR(J972=0,AND(J972=1,K972=1),AND(J972=1,I972="SBJ"),AND(J972=1,I972=0)),"?IN_FOCUS",IF(J972&lt;=2,"?ACTIVATED",IF(J972&lt;&gt;"","?FAMILIAR",IF(F972="NEW",IF(ISNA(VLOOKUP(E972,#REF!,1,FALSE())),"?TYPE_IDENTIFIABLE","?REFERENTIAL"),"_")))))</f>
        <v> </v>
      </c>
      <c r="H972" s="25" t="str">
        <f>IF(J972&lt;&gt;1,"",IF(I972="SBJ","CB","?"))</f>
        <v> </v>
      </c>
      <c r="I972" s="26" t="str">
        <f>IF(OR(E972="",E972="!!!",F972="NEW"),"",INDEX(B971:B$2,-1+SUMPRODUCT(MAX(ROW(E971:E$2)*(E972=E971:E$2)))))</f>
        <v> </v>
      </c>
      <c r="J972" s="26" t="str">
        <f>IF(OR(E972="",E972="!!!",F972="NEW"),"",COUNTBLANK(OFFSET(A$1,,,SUMPRODUCT(MAX(ROW(E$2:E972)*(E972=E$2:E972)))))-COUNTBLANK(OFFSET(A$1,,,SUMPRODUCT(MAX(ROW(E$1:E971)*(E2=E$1:E971))))))</f>
        <v> </v>
      </c>
      <c r="K972" s="26" t="str">
        <f>IF(OR(E972="",E972="!!!",F972="NEW"),"",INDEX(J$1:J971,SUMPRODUCT(MAX(ROW(E$1:E971)*(E972=E$1:E971)))))</f>
        <v> </v>
      </c>
      <c r="L972" s="27"/>
    </row>
    <row r="973" spans="1:12">
      <c r="A973" s="20" t="s">
        <v>1199</v>
      </c>
      <c r="E973" s="22">
        <f>IF(D973="?OLD","!!!","")</f>
        <v/>
      </c>
      <c r="F973" s="23" t="str">
        <f>IF(OR(E973="",E973="!!!"),"",IF(NOT(ISNA(VLOOKUP(E973,E$1:E972,1,FALSE()))),"OLD",IF(AND(E973&lt;&gt;"",E973&lt;&gt;"!!!"),"NEW","")))</f>
        <v> </v>
      </c>
      <c r="G973" s="24" t="str">
        <f>IF(OR(E973="",E973="!!!"),"",IF(OR(J973=0,AND(J973=1,K973=1),AND(J973=1,I973="SBJ"),AND(J973=1,I973=0)),"?IN_FOCUS",IF(J973&lt;=2,"?ACTIVATED",IF(J973&lt;&gt;"","?FAMILIAR",IF(F973="NEW",IF(ISNA(VLOOKUP(E973,#REF!,1,FALSE())),"?TYPE_IDENTIFIABLE","?REFERENTIAL"),"_")))))</f>
        <v> </v>
      </c>
      <c r="H973" s="25" t="str">
        <f>IF(J973&lt;&gt;1,"",IF(I973="SBJ","CB","?"))</f>
        <v> </v>
      </c>
      <c r="I973" s="26" t="str">
        <f>IF(OR(E973="",E973="!!!",F973="NEW"),"",INDEX(B972:B$2,-1+SUMPRODUCT(MAX(ROW(E972:E$2)*(E973=E972:E$2)))))</f>
        <v> </v>
      </c>
      <c r="J973" s="26" t="str">
        <f>IF(OR(E973="",E973="!!!",F973="NEW"),"",COUNTBLANK(OFFSET(A$1,,,SUMPRODUCT(MAX(ROW(E$2:E973)*(E973=E$2:E973)))))-COUNTBLANK(OFFSET(A$1,,,SUMPRODUCT(MAX(ROW(E$1:E972)*(E2=E$1:E972))))))</f>
        <v> </v>
      </c>
      <c r="K973" s="26" t="str">
        <f>IF(OR(E973="",E973="!!!",F973="NEW"),"",INDEX(J$1:J972,SUMPRODUCT(MAX(ROW(E$1:E972)*(E973=E$1:E972)))))</f>
        <v> </v>
      </c>
      <c r="L973" s="27"/>
    </row>
    <row r="974" spans="1:12">
      <c r="A974" s="20" t="s">
        <v>1414</v>
      </c>
      <c r="E974" s="22">
        <f>IF(D974="?OLD","!!!","")</f>
        <v/>
      </c>
      <c r="F974" s="23" t="str">
        <f>IF(OR(E974="",E974="!!!"),"",IF(NOT(ISNA(VLOOKUP(E974,E$1:E973,1,FALSE()))),"OLD",IF(AND(E974&lt;&gt;"",E974&lt;&gt;"!!!"),"NEW","")))</f>
        <v> </v>
      </c>
      <c r="G974" s="24" t="str">
        <f>IF(OR(E974="",E974="!!!"),"",IF(OR(J974=0,AND(J974=1,K974=1),AND(J974=1,I974="SBJ"),AND(J974=1,I974=0)),"?IN_FOCUS",IF(J974&lt;=2,"?ACTIVATED",IF(J974&lt;&gt;"","?FAMILIAR",IF(F974="NEW",IF(ISNA(VLOOKUP(E974,#REF!,1,FALSE())),"?TYPE_IDENTIFIABLE","?REFERENTIAL"),"_")))))</f>
        <v> </v>
      </c>
      <c r="H974" s="25" t="str">
        <f>IF(J974&lt;&gt;1,"",IF(I974="SBJ","CB","?"))</f>
        <v> </v>
      </c>
      <c r="I974" s="26" t="str">
        <f>IF(OR(E974="",E974="!!!",F974="NEW"),"",INDEX(B973:B$2,-1+SUMPRODUCT(MAX(ROW(E973:E$2)*(E974=E973:E$2)))))</f>
        <v> </v>
      </c>
      <c r="J974" s="26" t="str">
        <f>IF(OR(E974="",E974="!!!",F974="NEW"),"",COUNTBLANK(OFFSET(A$1,,,SUMPRODUCT(MAX(ROW(E$2:E974)*(E974=E$2:E974)))))-COUNTBLANK(OFFSET(A$1,,,SUMPRODUCT(MAX(ROW(E$1:E973)*(E2=E$1:E973))))))</f>
        <v> </v>
      </c>
      <c r="K974" s="26" t="str">
        <f>IF(OR(E974="",E974="!!!",F974="NEW"),"",INDEX(J$1:J973,SUMPRODUCT(MAX(ROW(E$1:E973)*(E974=E$1:E973)))))</f>
        <v> </v>
      </c>
      <c r="L974" s="27"/>
    </row>
    <row r="975" spans="1:12">
      <c r="A975" s="20" t="s">
        <v>1018</v>
      </c>
      <c r="E975" s="22">
        <f>IF(D975="?OLD","!!!","")</f>
        <v/>
      </c>
      <c r="F975" s="23" t="str">
        <f>IF(OR(E975="",E975="!!!"),"",IF(NOT(ISNA(VLOOKUP(E975,E$1:E974,1,FALSE()))),"OLD",IF(AND(E975&lt;&gt;"",E975&lt;&gt;"!!!"),"NEW","")))</f>
        <v> </v>
      </c>
      <c r="G975" s="24" t="str">
        <f>IF(OR(E975="",E975="!!!"),"",IF(OR(J975=0,AND(J975=1,K975=1),AND(J975=1,I975="SBJ"),AND(J975=1,I975=0)),"?IN_FOCUS",IF(J975&lt;=2,"?ACTIVATED",IF(J975&lt;&gt;"","?FAMILIAR",IF(F975="NEW",IF(ISNA(VLOOKUP(E975,#REF!,1,FALSE())),"?TYPE_IDENTIFIABLE","?REFERENTIAL"),"_")))))</f>
        <v> </v>
      </c>
      <c r="H975" s="25" t="str">
        <f>IF(J975&lt;&gt;1,"",IF(I975="SBJ","CB","?"))</f>
        <v> </v>
      </c>
      <c r="I975" s="26" t="str">
        <f>IF(OR(E975="",E975="!!!",F975="NEW"),"",INDEX(B974:B$2,-1+SUMPRODUCT(MAX(ROW(E974:E$2)*(E975=E974:E$2)))))</f>
        <v> </v>
      </c>
      <c r="J975" s="26" t="str">
        <f>IF(OR(E975="",E975="!!!",F975="NEW"),"",COUNTBLANK(OFFSET(A$1,,,SUMPRODUCT(MAX(ROW(E$2:E975)*(E975=E$2:E975)))))-COUNTBLANK(OFFSET(A$1,,,SUMPRODUCT(MAX(ROW(E$1:E974)*(E2=E$1:E974))))))</f>
        <v> </v>
      </c>
      <c r="K975" s="26" t="str">
        <f>IF(OR(E975="",E975="!!!",F975="NEW"),"",INDEX(J$1:J974,SUMPRODUCT(MAX(ROW(E$1:E974)*(E975=E$1:E974)))))</f>
        <v> </v>
      </c>
      <c r="L975" s="27"/>
    </row>
    <row r="976" spans="1:12">
      <c r="A976" s="20" t="s">
        <v>1164</v>
      </c>
      <c r="E976" s="22">
        <f>IF(D976="?OLD","!!!","")</f>
        <v/>
      </c>
      <c r="F976" s="23" t="str">
        <f>IF(OR(E976="",E976="!!!"),"",IF(NOT(ISNA(VLOOKUP(E976,E$1:E975,1,FALSE()))),"OLD",IF(AND(E976&lt;&gt;"",E976&lt;&gt;"!!!"),"NEW","")))</f>
        <v> </v>
      </c>
      <c r="G976" s="24" t="str">
        <f>IF(OR(E976="",E976="!!!"),"",IF(OR(J976=0,AND(J976=1,K976=1),AND(J976=1,I976="SBJ"),AND(J976=1,I976=0)),"?IN_FOCUS",IF(J976&lt;=2,"?ACTIVATED",IF(J976&lt;&gt;"","?FAMILIAR",IF(F976="NEW",IF(ISNA(VLOOKUP(E976,#REF!,1,FALSE())),"?TYPE_IDENTIFIABLE","?REFERENTIAL"),"_")))))</f>
        <v> </v>
      </c>
      <c r="H976" s="25" t="str">
        <f>IF(J976&lt;&gt;1,"",IF(I976="SBJ","CB","?"))</f>
        <v> </v>
      </c>
      <c r="I976" s="26" t="str">
        <f>IF(OR(E976="",E976="!!!",F976="NEW"),"",INDEX(B975:B$2,-1+SUMPRODUCT(MAX(ROW(E975:E$2)*(E976=E975:E$2)))))</f>
        <v> </v>
      </c>
      <c r="J976" s="26" t="str">
        <f>IF(OR(E976="",E976="!!!",F976="NEW"),"",COUNTBLANK(OFFSET(A$1,,,SUMPRODUCT(MAX(ROW(E$2:E976)*(E976=E$2:E976)))))-COUNTBLANK(OFFSET(A$1,,,SUMPRODUCT(MAX(ROW(E$1:E975)*(E2=E$1:E975))))))</f>
        <v> </v>
      </c>
      <c r="K976" s="26" t="str">
        <f>IF(OR(E976="",E976="!!!",F976="NEW"),"",INDEX(J$1:J975,SUMPRODUCT(MAX(ROW(E$1:E975)*(E976=E$1:E975)))))</f>
        <v> </v>
      </c>
      <c r="L976" s="27"/>
    </row>
    <row r="977" spans="1:12">
      <c r="A977" s="20" t="s">
        <v>1199</v>
      </c>
      <c r="E977" s="22">
        <f>IF(D977="?OLD","!!!","")</f>
        <v/>
      </c>
      <c r="F977" s="23" t="str">
        <f>IF(OR(E977="",E977="!!!"),"",IF(NOT(ISNA(VLOOKUP(E977,E$1:E976,1,FALSE()))),"OLD",IF(AND(E977&lt;&gt;"",E977&lt;&gt;"!!!"),"NEW","")))</f>
        <v> </v>
      </c>
      <c r="G977" s="24" t="str">
        <f>IF(OR(E977="",E977="!!!"),"",IF(OR(J977=0,AND(J977=1,K977=1),AND(J977=1,I977="SBJ"),AND(J977=1,I977=0)),"?IN_FOCUS",IF(J977&lt;=2,"?ACTIVATED",IF(J977&lt;&gt;"","?FAMILIAR",IF(F977="NEW",IF(ISNA(VLOOKUP(E977,#REF!,1,FALSE())),"?TYPE_IDENTIFIABLE","?REFERENTIAL"),"_")))))</f>
        <v> </v>
      </c>
      <c r="H977" s="25" t="str">
        <f>IF(J977&lt;&gt;1,"",IF(I977="SBJ","CB","?"))</f>
        <v> </v>
      </c>
      <c r="I977" s="26" t="str">
        <f>IF(OR(E977="",E977="!!!",F977="NEW"),"",INDEX(B976:B$2,-1+SUMPRODUCT(MAX(ROW(E976:E$2)*(E977=E976:E$2)))))</f>
        <v> </v>
      </c>
      <c r="J977" s="26" t="str">
        <f>IF(OR(E977="",E977="!!!",F977="NEW"),"",COUNTBLANK(OFFSET(A$1,,,SUMPRODUCT(MAX(ROW(E$2:E977)*(E977=E$2:E977)))))-COUNTBLANK(OFFSET(A$1,,,SUMPRODUCT(MAX(ROW(E$1:E976)*(E2=E$1:E976))))))</f>
        <v> </v>
      </c>
      <c r="K977" s="26" t="str">
        <f>IF(OR(E977="",E977="!!!",F977="NEW"),"",INDEX(J$1:J976,SUMPRODUCT(MAX(ROW(E$1:E976)*(E977=E$1:E976)))))</f>
        <v> </v>
      </c>
      <c r="L977" s="27"/>
    </row>
    <row r="978" spans="1:12">
      <c r="A978" s="20" t="s">
        <v>1414</v>
      </c>
      <c r="E978" s="22">
        <f>IF(D978="?OLD","!!!","")</f>
        <v/>
      </c>
      <c r="F978" s="23" t="str">
        <f>IF(OR(E978="",E978="!!!"),"",IF(NOT(ISNA(VLOOKUP(E978,E$1:E977,1,FALSE()))),"OLD",IF(AND(E978&lt;&gt;"",E978&lt;&gt;"!!!"),"NEW","")))</f>
        <v> </v>
      </c>
      <c r="G978" s="24" t="str">
        <f>IF(OR(E978="",E978="!!!"),"",IF(OR(J978=0,AND(J978=1,K978=1),AND(J978=1,I978="SBJ"),AND(J978=1,I978=0)),"?IN_FOCUS",IF(J978&lt;=2,"?ACTIVATED",IF(J978&lt;&gt;"","?FAMILIAR",IF(F978="NEW",IF(ISNA(VLOOKUP(E978,#REF!,1,FALSE())),"?TYPE_IDENTIFIABLE","?REFERENTIAL"),"_")))))</f>
        <v> </v>
      </c>
      <c r="H978" s="25" t="str">
        <f>IF(J978&lt;&gt;1,"",IF(I978="SBJ","CB","?"))</f>
        <v> </v>
      </c>
      <c r="I978" s="26" t="str">
        <f>IF(OR(E978="",E978="!!!",F978="NEW"),"",INDEX(B977:B$2,-1+SUMPRODUCT(MAX(ROW(E977:E$2)*(E978=E977:E$2)))))</f>
        <v> </v>
      </c>
      <c r="J978" s="26" t="str">
        <f>IF(OR(E978="",E978="!!!",F978="NEW"),"",COUNTBLANK(OFFSET(A$1,,,SUMPRODUCT(MAX(ROW(E$2:E978)*(E978=E$2:E978)))))-COUNTBLANK(OFFSET(A$1,,,SUMPRODUCT(MAX(ROW(E$1:E977)*(E2=E$1:E977))))))</f>
        <v> </v>
      </c>
      <c r="K978" s="26" t="str">
        <f>IF(OR(E978="",E978="!!!",F978="NEW"),"",INDEX(J$1:J977,SUMPRODUCT(MAX(ROW(E$1:E977)*(E978=E$1:E977)))))</f>
        <v> </v>
      </c>
      <c r="L978" s="27"/>
    </row>
    <row r="979" spans="1:12">
      <c r="A979" s="20" t="s">
        <v>1018</v>
      </c>
      <c r="E979" s="22">
        <f>IF(D979="?OLD","!!!","")</f>
        <v/>
      </c>
      <c r="F979" s="23" t="str">
        <f>IF(OR(E979="",E979="!!!"),"",IF(NOT(ISNA(VLOOKUP(E979,E$1:E978,1,FALSE()))),"OLD",IF(AND(E979&lt;&gt;"",E979&lt;&gt;"!!!"),"NEW","")))</f>
        <v> </v>
      </c>
      <c r="G979" s="24" t="str">
        <f>IF(OR(E979="",E979="!!!"),"",IF(OR(J979=0,AND(J979=1,K979=1),AND(J979=1,I979="SBJ"),AND(J979=1,I979=0)),"?IN_FOCUS",IF(J979&lt;=2,"?ACTIVATED",IF(J979&lt;&gt;"","?FAMILIAR",IF(F979="NEW",IF(ISNA(VLOOKUP(E979,#REF!,1,FALSE())),"?TYPE_IDENTIFIABLE","?REFERENTIAL"),"_")))))</f>
        <v> </v>
      </c>
      <c r="H979" s="25" t="str">
        <f>IF(J979&lt;&gt;1,"",IF(I979="SBJ","CB","?"))</f>
        <v> </v>
      </c>
      <c r="I979" s="26" t="str">
        <f>IF(OR(E979="",E979="!!!",F979="NEW"),"",INDEX(B978:B$2,-1+SUMPRODUCT(MAX(ROW(E978:E$2)*(E979=E978:E$2)))))</f>
        <v> </v>
      </c>
      <c r="J979" s="26" t="str">
        <f>IF(OR(E979="",E979="!!!",F979="NEW"),"",COUNTBLANK(OFFSET(A$1,,,SUMPRODUCT(MAX(ROW(E$2:E979)*(E979=E$2:E979)))))-COUNTBLANK(OFFSET(A$1,,,SUMPRODUCT(MAX(ROW(E$1:E978)*(E2=E$1:E978))))))</f>
        <v> </v>
      </c>
      <c r="K979" s="26" t="str">
        <f>IF(OR(E979="",E979="!!!",F979="NEW"),"",INDEX(J$1:J978,SUMPRODUCT(MAX(ROW(E$1:E978)*(E979=E$1:E978)))))</f>
        <v> </v>
      </c>
      <c r="L979" s="27"/>
    </row>
    <row r="980" spans="1:12">
      <c r="A980" s="20" t="s">
        <v>56</v>
      </c>
      <c r="E980" s="22">
        <f>IF(D980="?OLD","!!!","")</f>
        <v/>
      </c>
      <c r="F980" s="23" t="str">
        <f>IF(OR(E980="",E980="!!!"),"",IF(NOT(ISNA(VLOOKUP(E980,E$1:E979,1,FALSE()))),"OLD",IF(AND(E980&lt;&gt;"",E980&lt;&gt;"!!!"),"NEW","")))</f>
        <v> </v>
      </c>
      <c r="G980" s="24" t="str">
        <f>IF(OR(E980="",E980="!!!"),"",IF(OR(J980=0,AND(J980=1,K980=1),AND(J980=1,I980="SBJ"),AND(J980=1,I980=0)),"?IN_FOCUS",IF(J980&lt;=2,"?ACTIVATED",IF(J980&lt;&gt;"","?FAMILIAR",IF(F980="NEW",IF(ISNA(VLOOKUP(E980,#REF!,1,FALSE())),"?TYPE_IDENTIFIABLE","?REFERENTIAL"),"_")))))</f>
        <v> </v>
      </c>
      <c r="H980" s="25" t="str">
        <f>IF(J980&lt;&gt;1,"",IF(I980="SBJ","CB","?"))</f>
        <v> </v>
      </c>
      <c r="I980" s="26" t="str">
        <f>IF(OR(E980="",E980="!!!",F980="NEW"),"",INDEX(B979:B$2,-1+SUMPRODUCT(MAX(ROW(E979:E$2)*(E980=E979:E$2)))))</f>
        <v> </v>
      </c>
      <c r="J980" s="26" t="str">
        <f>IF(OR(E980="",E980="!!!",F980="NEW"),"",COUNTBLANK(OFFSET(A$1,,,SUMPRODUCT(MAX(ROW(E$2:E980)*(E980=E$2:E980)))))-COUNTBLANK(OFFSET(A$1,,,SUMPRODUCT(MAX(ROW(E$1:E979)*(E2=E$1:E979))))))</f>
        <v> </v>
      </c>
      <c r="K980" s="26" t="str">
        <f>IF(OR(E980="",E980="!!!",F980="NEW"),"",INDEX(J$1:J979,SUMPRODUCT(MAX(ROW(E$1:E979)*(E980=E$1:E979)))))</f>
        <v> </v>
      </c>
      <c r="L980" s="27"/>
    </row>
    <row r="981" spans="1:12">
      <c r="A981" s="20" t="s">
        <v>1124</v>
      </c>
      <c r="E981" s="22">
        <f>IF(D981="?OLD","!!!","")</f>
        <v/>
      </c>
      <c r="F981" s="23" t="str">
        <f>IF(OR(E981="",E981="!!!"),"",IF(NOT(ISNA(VLOOKUP(E981,E$1:E980,1,FALSE()))),"OLD",IF(AND(E981&lt;&gt;"",E981&lt;&gt;"!!!"),"NEW","")))</f>
        <v> </v>
      </c>
      <c r="G981" s="24" t="str">
        <f>IF(OR(E981="",E981="!!!"),"",IF(OR(J981=0,AND(J981=1,K981=1),AND(J981=1,I981="SBJ"),AND(J981=1,I981=0)),"?IN_FOCUS",IF(J981&lt;=2,"?ACTIVATED",IF(J981&lt;&gt;"","?FAMILIAR",IF(F981="NEW",IF(ISNA(VLOOKUP(E981,#REF!,1,FALSE())),"?TYPE_IDENTIFIABLE","?REFERENTIAL"),"_")))))</f>
        <v> </v>
      </c>
      <c r="H981" s="25" t="str">
        <f>IF(J981&lt;&gt;1,"",IF(I981="SBJ","CB","?"))</f>
        <v> </v>
      </c>
      <c r="I981" s="26" t="str">
        <f>IF(OR(E981="",E981="!!!",F981="NEW"),"",INDEX(B980:B$2,-1+SUMPRODUCT(MAX(ROW(E980:E$2)*(E981=E980:E$2)))))</f>
        <v> </v>
      </c>
      <c r="J981" s="26" t="str">
        <f>IF(OR(E981="",E981="!!!",F981="NEW"),"",COUNTBLANK(OFFSET(A$1,,,SUMPRODUCT(MAX(ROW(E$2:E981)*(E981=E$2:E981)))))-COUNTBLANK(OFFSET(A$1,,,SUMPRODUCT(MAX(ROW(E$1:E980)*(E2=E$1:E980))))))</f>
        <v> </v>
      </c>
      <c r="K981" s="26" t="str">
        <f>IF(OR(E981="",E981="!!!",F981="NEW"),"",INDEX(J$1:J980,SUMPRODUCT(MAX(ROW(E$1:E980)*(E981=E$1:E980)))))</f>
        <v> </v>
      </c>
      <c r="L981" s="27"/>
    </row>
    <row r="982" spans="1:12">
      <c r="A982" s="20" t="s">
        <v>1114</v>
      </c>
      <c r="E982" s="22">
        <f>IF(D982="?OLD","!!!","")</f>
        <v/>
      </c>
      <c r="F982" s="23" t="str">
        <f>IF(OR(E982="",E982="!!!"),"",IF(NOT(ISNA(VLOOKUP(E982,E$1:E981,1,FALSE()))),"OLD",IF(AND(E982&lt;&gt;"",E982&lt;&gt;"!!!"),"NEW","")))</f>
        <v> </v>
      </c>
      <c r="G982" s="24" t="str">
        <f>IF(OR(E982="",E982="!!!"),"",IF(OR(J982=0,AND(J982=1,K982=1),AND(J982=1,I982="SBJ"),AND(J982=1,I982=0)),"?IN_FOCUS",IF(J982&lt;=2,"?ACTIVATED",IF(J982&lt;&gt;"","?FAMILIAR",IF(F982="NEW",IF(ISNA(VLOOKUP(E982,#REF!,1,FALSE())),"?TYPE_IDENTIFIABLE","?REFERENTIAL"),"_")))))</f>
        <v> </v>
      </c>
      <c r="H982" s="25" t="str">
        <f>IF(J982&lt;&gt;1,"",IF(I982="SBJ","CB","?"))</f>
        <v> </v>
      </c>
      <c r="I982" s="26" t="str">
        <f>IF(OR(E982="",E982="!!!",F982="NEW"),"",INDEX(B981:B$2,-1+SUMPRODUCT(MAX(ROW(E981:E$2)*(E982=E981:E$2)))))</f>
        <v> </v>
      </c>
      <c r="J982" s="26" t="str">
        <f>IF(OR(E982="",E982="!!!",F982="NEW"),"",COUNTBLANK(OFFSET(A$1,,,SUMPRODUCT(MAX(ROW(E$2:E982)*(E982=E$2:E982)))))-COUNTBLANK(OFFSET(A$1,,,SUMPRODUCT(MAX(ROW(E$1:E981)*(E2=E$1:E981))))))</f>
        <v> </v>
      </c>
      <c r="K982" s="26" t="str">
        <f>IF(OR(E982="",E982="!!!",F982="NEW"),"",INDEX(J$1:J981,SUMPRODUCT(MAX(ROW(E$1:E981)*(E982=E$1:E981)))))</f>
        <v> </v>
      </c>
      <c r="L982" s="27"/>
    </row>
    <row r="983" spans="1:12">
      <c r="A983" s="20" t="s">
        <v>1418</v>
      </c>
      <c r="E983" s="22">
        <f>IF(D983="?OLD","!!!","")</f>
        <v/>
      </c>
      <c r="F983" s="23" t="str">
        <f>IF(OR(E983="",E983="!!!"),"",IF(NOT(ISNA(VLOOKUP(E983,E$1:E982,1,FALSE()))),"OLD",IF(AND(E983&lt;&gt;"",E983&lt;&gt;"!!!"),"NEW","")))</f>
        <v> </v>
      </c>
      <c r="G983" s="24" t="str">
        <f>IF(OR(E983="",E983="!!!"),"",IF(OR(J983=0,AND(J983=1,K983=1),AND(J983=1,I983="SBJ"),AND(J983=1,I983=0)),"?IN_FOCUS",IF(J983&lt;=2,"?ACTIVATED",IF(J983&lt;&gt;"","?FAMILIAR",IF(F983="NEW",IF(ISNA(VLOOKUP(E983,#REF!,1,FALSE())),"?TYPE_IDENTIFIABLE","?REFERENTIAL"),"_")))))</f>
        <v> </v>
      </c>
      <c r="H983" s="25" t="str">
        <f>IF(J983&lt;&gt;1,"",IF(I983="SBJ","CB","?"))</f>
        <v> </v>
      </c>
      <c r="I983" s="26" t="str">
        <f>IF(OR(E983="",E983="!!!",F983="NEW"),"",INDEX(B982:B$2,-1+SUMPRODUCT(MAX(ROW(E982:E$2)*(E983=E982:E$2)))))</f>
        <v> </v>
      </c>
      <c r="J983" s="26" t="str">
        <f>IF(OR(E983="",E983="!!!",F983="NEW"),"",COUNTBLANK(OFFSET(A$1,,,SUMPRODUCT(MAX(ROW(E$2:E983)*(E983=E$2:E983)))))-COUNTBLANK(OFFSET(A$1,,,SUMPRODUCT(MAX(ROW(E$1:E982)*(E2=E$1:E982))))))</f>
        <v> </v>
      </c>
      <c r="K983" s="26" t="str">
        <f>IF(OR(E983="",E983="!!!",F983="NEW"),"",INDEX(J$1:J982,SUMPRODUCT(MAX(ROW(E$1:E982)*(E983=E$1:E982)))))</f>
        <v> </v>
      </c>
      <c r="L983" s="27"/>
    </row>
    <row r="984" spans="1:12">
      <c r="A984" s="20" t="s">
        <v>1127</v>
      </c>
      <c r="E984" s="22">
        <f>IF(D984="?OLD","!!!","")</f>
        <v/>
      </c>
      <c r="F984" s="23" t="str">
        <f>IF(OR(E984="",E984="!!!"),"",IF(NOT(ISNA(VLOOKUP(E984,E$1:E983,1,FALSE()))),"OLD",IF(AND(E984&lt;&gt;"",E984&lt;&gt;"!!!"),"NEW","")))</f>
        <v> </v>
      </c>
      <c r="G984" s="24" t="str">
        <f>IF(OR(E984="",E984="!!!"),"",IF(OR(J984=0,AND(J984=1,K984=1),AND(J984=1,I984="SBJ"),AND(J984=1,I984=0)),"?IN_FOCUS",IF(J984&lt;=2,"?ACTIVATED",IF(J984&lt;&gt;"","?FAMILIAR",IF(F984="NEW",IF(ISNA(VLOOKUP(E984,#REF!,1,FALSE())),"?TYPE_IDENTIFIABLE","?REFERENTIAL"),"_")))))</f>
        <v> </v>
      </c>
      <c r="H984" s="25" t="str">
        <f>IF(J984&lt;&gt;1,"",IF(I984="SBJ","CB","?"))</f>
        <v> </v>
      </c>
      <c r="I984" s="26" t="str">
        <f>IF(OR(E984="",E984="!!!",F984="NEW"),"",INDEX(B983:B$2,-1+SUMPRODUCT(MAX(ROW(E983:E$2)*(E984=E983:E$2)))))</f>
        <v> </v>
      </c>
      <c r="J984" s="26" t="str">
        <f>IF(OR(E984="",E984="!!!",F984="NEW"),"",COUNTBLANK(OFFSET(A$1,,,SUMPRODUCT(MAX(ROW(E$2:E984)*(E984=E$2:E984)))))-COUNTBLANK(OFFSET(A$1,,,SUMPRODUCT(MAX(ROW(E$1:E983)*(E2=E$1:E983))))))</f>
        <v> </v>
      </c>
      <c r="K984" s="26" t="str">
        <f>IF(OR(E984="",E984="!!!",F984="NEW"),"",INDEX(J$1:J983,SUMPRODUCT(MAX(ROW(E$1:E983)*(E984=E$1:E983)))))</f>
        <v> </v>
      </c>
      <c r="L984" s="27"/>
    </row>
    <row r="985" spans="1:12">
      <c r="A985" s="20" t="s">
        <v>1324</v>
      </c>
      <c r="E985" s="22">
        <f>IF(D985="?OLD","!!!","")</f>
        <v/>
      </c>
      <c r="F985" s="23" t="str">
        <f>IF(OR(E985="",E985="!!!"),"",IF(NOT(ISNA(VLOOKUP(E985,E$1:E984,1,FALSE()))),"OLD",IF(AND(E985&lt;&gt;"",E985&lt;&gt;"!!!"),"NEW","")))</f>
        <v> </v>
      </c>
      <c r="G985" s="24" t="str">
        <f>IF(OR(E985="",E985="!!!"),"",IF(OR(J985=0,AND(J985=1,K985=1),AND(J985=1,I985="SBJ"),AND(J985=1,I985=0)),"?IN_FOCUS",IF(J985&lt;=2,"?ACTIVATED",IF(J985&lt;&gt;"","?FAMILIAR",IF(F985="NEW",IF(ISNA(VLOOKUP(E985,#REF!,1,FALSE())),"?TYPE_IDENTIFIABLE","?REFERENTIAL"),"_")))))</f>
        <v> </v>
      </c>
      <c r="H985" s="25" t="str">
        <f>IF(J985&lt;&gt;1,"",IF(I985="SBJ","CB","?"))</f>
        <v> </v>
      </c>
      <c r="I985" s="26" t="str">
        <f>IF(OR(E985="",E985="!!!",F985="NEW"),"",INDEX(B984:B$2,-1+SUMPRODUCT(MAX(ROW(E984:E$2)*(E985=E984:E$2)))))</f>
        <v> </v>
      </c>
      <c r="J985" s="26" t="str">
        <f>IF(OR(E985="",E985="!!!",F985="NEW"),"",COUNTBLANK(OFFSET(A$1,,,SUMPRODUCT(MAX(ROW(E$2:E985)*(E985=E$2:E985)))))-COUNTBLANK(OFFSET(A$1,,,SUMPRODUCT(MAX(ROW(E$1:E984)*(E2=E$1:E984))))))</f>
        <v> </v>
      </c>
      <c r="K985" s="26" t="str">
        <f>IF(OR(E985="",E985="!!!",F985="NEW"),"",INDEX(J$1:J984,SUMPRODUCT(MAX(ROW(E$1:E984)*(E985=E$1:E984)))))</f>
        <v> </v>
      </c>
      <c r="L985" s="27"/>
    </row>
    <row r="986" spans="1:12">
      <c r="A986" s="20" t="s">
        <v>1419</v>
      </c>
      <c r="B986" s="21" t="s">
        <v>1033</v>
      </c>
      <c r="C986" s="21" t="s">
        <v>1111</v>
      </c>
      <c r="E986" s="22">
        <f>IF(D986="?OLD","!!!","")</f>
        <v/>
      </c>
      <c r="F986" s="23" t="str">
        <f>IF(OR(E986="",E986="!!!"),"",IF(NOT(ISNA(VLOOKUP(E986,E$1:E985,1,FALSE()))),"OLD",IF(AND(E986&lt;&gt;"",E986&lt;&gt;"!!!"),"NEW","")))</f>
        <v> </v>
      </c>
      <c r="G986" s="24" t="str">
        <f>IF(OR(E986="",E986="!!!"),"",IF(OR(J986=0,AND(J986=1,K986=1),AND(J986=1,I986="SBJ"),AND(J986=1,I986=0)),"?IN_FOCUS",IF(J986&lt;=2,"?ACTIVATED",IF(J986&lt;&gt;"","?FAMILIAR",IF(F986="NEW",IF(ISNA(VLOOKUP(E986,#REF!,1,FALSE())),"?TYPE_IDENTIFIABLE","?REFERENTIAL"),"_")))))</f>
        <v> </v>
      </c>
      <c r="H986" s="25" t="str">
        <f>IF(J986&lt;&gt;1,"",IF(I986="SBJ","CB","?"))</f>
        <v> </v>
      </c>
      <c r="I986" s="26" t="str">
        <f>IF(OR(E986="",E986="!!!",F986="NEW"),"",INDEX(B985:B$2,-1+SUMPRODUCT(MAX(ROW(E985:E$2)*(E986=E985:E$2)))))</f>
        <v> </v>
      </c>
      <c r="J986" s="26" t="str">
        <f>IF(OR(E986="",E986="!!!",F986="NEW"),"",COUNTBLANK(OFFSET(A$1,,,SUMPRODUCT(MAX(ROW(E$2:E986)*(E986=E$2:E986)))))-COUNTBLANK(OFFSET(A$1,,,SUMPRODUCT(MAX(ROW(E$1:E985)*(E2=E$1:E985))))))</f>
        <v> </v>
      </c>
      <c r="K986" s="26" t="str">
        <f>IF(OR(E986="",E986="!!!",F986="NEW"),"",INDEX(J$1:J985,SUMPRODUCT(MAX(ROW(E$1:E985)*(E986=E$1:E985)))))</f>
        <v> </v>
      </c>
      <c r="L986" s="27"/>
    </row>
    <row r="987" spans="1:12">
      <c r="A987" s="20" t="s">
        <v>1303</v>
      </c>
      <c r="E987" s="22">
        <f>IF(D987="?OLD","!!!","")</f>
        <v/>
      </c>
      <c r="F987" s="23" t="str">
        <f>IF(OR(E987="",E987="!!!"),"",IF(NOT(ISNA(VLOOKUP(E987,E$1:E986,1,FALSE()))),"OLD",IF(AND(E987&lt;&gt;"",E987&lt;&gt;"!!!"),"NEW","")))</f>
        <v> </v>
      </c>
      <c r="G987" s="24" t="str">
        <f>IF(OR(E987="",E987="!!!"),"",IF(OR(J987=0,AND(J987=1,K987=1),AND(J987=1,I987="SBJ"),AND(J987=1,I987=0)),"?IN_FOCUS",IF(J987&lt;=2,"?ACTIVATED",IF(J987&lt;&gt;"","?FAMILIAR",IF(F987="NEW",IF(ISNA(VLOOKUP(E987,#REF!,1,FALSE())),"?TYPE_IDENTIFIABLE","?REFERENTIAL"),"_")))))</f>
        <v> </v>
      </c>
      <c r="H987" s="25" t="str">
        <f>IF(J987&lt;&gt;1,"",IF(I987="SBJ","CB","?"))</f>
        <v> </v>
      </c>
      <c r="I987" s="26" t="str">
        <f>IF(OR(E987="",E987="!!!",F987="NEW"),"",INDEX(B986:B$2,-1+SUMPRODUCT(MAX(ROW(E986:E$2)*(E987=E986:E$2)))))</f>
        <v> </v>
      </c>
      <c r="J987" s="26" t="str">
        <f>IF(OR(E987="",E987="!!!",F987="NEW"),"",COUNTBLANK(OFFSET(A$1,,,SUMPRODUCT(MAX(ROW(E$2:E987)*(E987=E$2:E987)))))-COUNTBLANK(OFFSET(A$1,,,SUMPRODUCT(MAX(ROW(E$1:E986)*(E2=E$1:E986))))))</f>
        <v> </v>
      </c>
      <c r="K987" s="26" t="str">
        <f>IF(OR(E987="",E987="!!!",F987="NEW"),"",INDEX(J$1:J986,SUMPRODUCT(MAX(ROW(E$1:E986)*(E987=E$1:E986)))))</f>
        <v> </v>
      </c>
      <c r="L987" s="27"/>
    </row>
    <row r="988" spans="1:12">
      <c r="A988" s="20" t="s">
        <v>1420</v>
      </c>
      <c r="E988" s="22">
        <f>IF(D988="?OLD","!!!","")</f>
        <v/>
      </c>
      <c r="F988" s="23" t="str">
        <f>IF(OR(E988="",E988="!!!"),"",IF(NOT(ISNA(VLOOKUP(E988,E$1:E987,1,FALSE()))),"OLD",IF(AND(E988&lt;&gt;"",E988&lt;&gt;"!!!"),"NEW","")))</f>
        <v> </v>
      </c>
      <c r="G988" s="24" t="str">
        <f>IF(OR(E988="",E988="!!!"),"",IF(OR(J988=0,AND(J988=1,K988=1),AND(J988=1,I988="SBJ"),AND(J988=1,I988=0)),"?IN_FOCUS",IF(J988&lt;=2,"?ACTIVATED",IF(J988&lt;&gt;"","?FAMILIAR",IF(F988="NEW",IF(ISNA(VLOOKUP(E988,#REF!,1,FALSE())),"?TYPE_IDENTIFIABLE","?REFERENTIAL"),"_")))))</f>
        <v> </v>
      </c>
      <c r="H988" s="25" t="str">
        <f>IF(J988&lt;&gt;1,"",IF(I988="SBJ","CB","?"))</f>
        <v> </v>
      </c>
      <c r="I988" s="26" t="str">
        <f>IF(OR(E988="",E988="!!!",F988="NEW"),"",INDEX(B987:B$2,-1+SUMPRODUCT(MAX(ROW(E987:E$2)*(E988=E987:E$2)))))</f>
        <v> </v>
      </c>
      <c r="J988" s="26" t="str">
        <f>IF(OR(E988="",E988="!!!",F988="NEW"),"",COUNTBLANK(OFFSET(A$1,,,SUMPRODUCT(MAX(ROW(E$2:E988)*(E988=E$2:E988)))))-COUNTBLANK(OFFSET(A$1,,,SUMPRODUCT(MAX(ROW(E$1:E987)*(E2=E$1:E987))))))</f>
        <v> </v>
      </c>
      <c r="K988" s="26" t="str">
        <f>IF(OR(E988="",E988="!!!",F988="NEW"),"",INDEX(J$1:J987,SUMPRODUCT(MAX(ROW(E$1:E987)*(E988=E$1:E987)))))</f>
        <v> </v>
      </c>
      <c r="L988" s="27"/>
    </row>
    <row r="989" spans="1:12">
      <c r="A989" s="20" t="s">
        <v>1421</v>
      </c>
      <c r="E989" s="22">
        <f>IF(D989="?OLD","!!!","")</f>
        <v/>
      </c>
      <c r="F989" s="23" t="str">
        <f>IF(OR(E989="",E989="!!!"),"",IF(NOT(ISNA(VLOOKUP(E989,E$1:E988,1,FALSE()))),"OLD",IF(AND(E989&lt;&gt;"",E989&lt;&gt;"!!!"),"NEW","")))</f>
        <v> </v>
      </c>
      <c r="G989" s="24" t="str">
        <f>IF(OR(E989="",E989="!!!"),"",IF(OR(J989=0,AND(J989=1,K989=1),AND(J989=1,I989="SBJ"),AND(J989=1,I989=0)),"?IN_FOCUS",IF(J989&lt;=2,"?ACTIVATED",IF(J989&lt;&gt;"","?FAMILIAR",IF(F989="NEW",IF(ISNA(VLOOKUP(E989,#REF!,1,FALSE())),"?TYPE_IDENTIFIABLE","?REFERENTIAL"),"_")))))</f>
        <v> </v>
      </c>
      <c r="H989" s="25" t="str">
        <f>IF(J989&lt;&gt;1,"",IF(I989="SBJ","CB","?"))</f>
        <v> </v>
      </c>
      <c r="I989" s="26" t="str">
        <f>IF(OR(E989="",E989="!!!",F989="NEW"),"",INDEX(B988:B$2,-1+SUMPRODUCT(MAX(ROW(E988:E$2)*(E989=E988:E$2)))))</f>
        <v> </v>
      </c>
      <c r="J989" s="26" t="str">
        <f>IF(OR(E989="",E989="!!!",F989="NEW"),"",COUNTBLANK(OFFSET(A$1,,,SUMPRODUCT(MAX(ROW(E$2:E989)*(E989=E$2:E989)))))-COUNTBLANK(OFFSET(A$1,,,SUMPRODUCT(MAX(ROW(E$1:E988)*(E2=E$1:E988))))))</f>
        <v> </v>
      </c>
      <c r="K989" s="26" t="str">
        <f>IF(OR(E989="",E989="!!!",F989="NEW"),"",INDEX(J$1:J988,SUMPRODUCT(MAX(ROW(E$1:E988)*(E989=E$1:E988)))))</f>
        <v> </v>
      </c>
      <c r="L989" s="27"/>
    </row>
    <row r="990" spans="1:12">
      <c r="A990" s="20" t="s">
        <v>1422</v>
      </c>
      <c r="B990" s="21" t="s">
        <v>1134</v>
      </c>
      <c r="C990" s="21" t="s">
        <v>1006</v>
      </c>
      <c r="D990" s="21" t="s">
        <v>1007</v>
      </c>
      <c r="E990" s="22">
        <f>IF(D990="?OLD","!!!","")</f>
        <v/>
      </c>
      <c r="F990" s="23" t="str">
        <f>IF(OR(E990="",E990="!!!"),"",IF(NOT(ISNA(VLOOKUP(E990,E$1:E989,1,FALSE()))),"OLD",IF(AND(E990&lt;&gt;"",E990&lt;&gt;"!!!"),"NEW","")))</f>
        <v> </v>
      </c>
      <c r="G990" s="24" t="str">
        <f>IF(OR(E990="",E990="!!!"),"",IF(OR(J990=0,AND(J990=1,K990=1),AND(J990=1,I990="SBJ"),AND(J990=1,I990=0)),"?IN_FOCUS",IF(J990&lt;=2,"?ACTIVATED",IF(J990&lt;&gt;"","?FAMILIAR",IF(F990="NEW",IF(ISNA(VLOOKUP(E990,#REF!,1,FALSE())),"?TYPE_IDENTIFIABLE","?REFERENTIAL"),"_")))))</f>
        <v> </v>
      </c>
      <c r="H990" s="25" t="str">
        <f>IF(J990&lt;&gt;1,"",IF(I990="SBJ","CB","?"))</f>
        <v> </v>
      </c>
      <c r="I990" s="26" t="str">
        <f>IF(OR(E990="",E990="!!!",F990="NEW"),"",INDEX(B989:B$2,-1+SUMPRODUCT(MAX(ROW(E989:E$2)*(E990=E989:E$2)))))</f>
        <v> </v>
      </c>
      <c r="J990" s="26" t="str">
        <f>IF(OR(E990="",E990="!!!",F990="NEW"),"",COUNTBLANK(OFFSET(A$1,,,SUMPRODUCT(MAX(ROW(E$2:E990)*(E990=E$2:E990)))))-COUNTBLANK(OFFSET(A$1,,,SUMPRODUCT(MAX(ROW(E$1:E989)*(E2=E$1:E989))))))</f>
        <v> </v>
      </c>
      <c r="K990" s="26" t="str">
        <f>IF(OR(E990="",E990="!!!",F990="NEW"),"",INDEX(J$1:J989,SUMPRODUCT(MAX(ROW(E$1:E989)*(E990=E$1:E989)))))</f>
        <v> </v>
      </c>
      <c r="L990" s="27"/>
    </row>
    <row r="991" spans="1:12">
      <c r="A991" s="20" t="s">
        <v>745</v>
      </c>
      <c r="E991" s="22">
        <f>IF(D991="?OLD","!!!","")</f>
        <v/>
      </c>
      <c r="F991" s="23" t="str">
        <f>IF(OR(E991="",E991="!!!"),"",IF(NOT(ISNA(VLOOKUP(E991,E$1:E990,1,FALSE()))),"OLD",IF(AND(E991&lt;&gt;"",E991&lt;&gt;"!!!"),"NEW","")))</f>
        <v> </v>
      </c>
      <c r="G991" s="24" t="str">
        <f>IF(OR(E991="",E991="!!!"),"",IF(OR(J991=0,AND(J991=1,K991=1),AND(J991=1,I991="SBJ"),AND(J991=1,I991=0)),"?IN_FOCUS",IF(J991&lt;=2,"?ACTIVATED",IF(J991&lt;&gt;"","?FAMILIAR",IF(F991="NEW",IF(ISNA(VLOOKUP(E991,#REF!,1,FALSE())),"?TYPE_IDENTIFIABLE","?REFERENTIAL"),"_")))))</f>
        <v> </v>
      </c>
      <c r="H991" s="25" t="str">
        <f>IF(J991&lt;&gt;1,"",IF(I991="SBJ","CB","?"))</f>
        <v> </v>
      </c>
      <c r="I991" s="26" t="str">
        <f>IF(OR(E991="",E991="!!!",F991="NEW"),"",INDEX(B990:B$2,-1+SUMPRODUCT(MAX(ROW(E990:E$2)*(E991=E990:E$2)))))</f>
        <v> </v>
      </c>
      <c r="J991" s="26" t="str">
        <f>IF(OR(E991="",E991="!!!",F991="NEW"),"",COUNTBLANK(OFFSET(A$1,,,SUMPRODUCT(MAX(ROW(E$2:E991)*(E991=E$2:E991)))))-COUNTBLANK(OFFSET(A$1,,,SUMPRODUCT(MAX(ROW(E$1:E990)*(E2=E$1:E990))))))</f>
        <v> </v>
      </c>
      <c r="K991" s="26" t="str">
        <f>IF(OR(E991="",E991="!!!",F991="NEW"),"",INDEX(J$1:J990,SUMPRODUCT(MAX(ROW(E$1:E990)*(E991=E$1:E990)))))</f>
        <v> </v>
      </c>
      <c r="L991" s="27"/>
    </row>
    <row r="992" spans="1:12">
      <c r="A992" s="20" t="s">
        <v>1014</v>
      </c>
      <c r="E992" s="22">
        <f>IF(D992="?OLD","!!!","")</f>
        <v/>
      </c>
      <c r="F992" s="23" t="str">
        <f>IF(OR(E992="",E992="!!!"),"",IF(NOT(ISNA(VLOOKUP(E992,E$1:E991,1,FALSE()))),"OLD",IF(AND(E992&lt;&gt;"",E992&lt;&gt;"!!!"),"NEW","")))</f>
        <v> </v>
      </c>
      <c r="G992" s="24" t="str">
        <f>IF(OR(E992="",E992="!!!"),"",IF(OR(J992=0,AND(J992=1,K992=1),AND(J992=1,I992="SBJ"),AND(J992=1,I992=0)),"?IN_FOCUS",IF(J992&lt;=2,"?ACTIVATED",IF(J992&lt;&gt;"","?FAMILIAR",IF(F992="NEW",IF(ISNA(VLOOKUP(E992,#REF!,1,FALSE())),"?TYPE_IDENTIFIABLE","?REFERENTIAL"),"_")))))</f>
        <v> </v>
      </c>
      <c r="H992" s="25" t="str">
        <f>IF(J992&lt;&gt;1,"",IF(I992="SBJ","CB","?"))</f>
        <v> </v>
      </c>
      <c r="I992" s="26" t="str">
        <f>IF(OR(E992="",E992="!!!",F992="NEW"),"",INDEX(B991:B$2,-1+SUMPRODUCT(MAX(ROW(E991:E$2)*(E992=E991:E$2)))))</f>
        <v> </v>
      </c>
      <c r="J992" s="26" t="str">
        <f>IF(OR(E992="",E992="!!!",F992="NEW"),"",COUNTBLANK(OFFSET(A$1,,,SUMPRODUCT(MAX(ROW(E$2:E992)*(E992=E$2:E992)))))-COUNTBLANK(OFFSET(A$1,,,SUMPRODUCT(MAX(ROW(E$1:E991)*(E2=E$1:E991))))))</f>
        <v> </v>
      </c>
      <c r="K992" s="26" t="str">
        <f>IF(OR(E992="",E992="!!!",F992="NEW"),"",INDEX(J$1:J991,SUMPRODUCT(MAX(ROW(E$1:E991)*(E992=E$1:E991)))))</f>
        <v> </v>
      </c>
      <c r="L992" s="27"/>
    </row>
    <row r="993" spans="1:12">
      <c r="A993" s="20" t="s">
        <v>1020</v>
      </c>
      <c r="E993" s="22">
        <f>IF(D993="?OLD","!!!","")</f>
        <v/>
      </c>
      <c r="F993" s="23" t="str">
        <f>IF(OR(E993="",E993="!!!"),"",IF(NOT(ISNA(VLOOKUP(E993,E$1:E992,1,FALSE()))),"OLD",IF(AND(E993&lt;&gt;"",E993&lt;&gt;"!!!"),"NEW","")))</f>
        <v> </v>
      </c>
      <c r="G993" s="24" t="str">
        <f>IF(OR(E993="",E993="!!!"),"",IF(OR(J993=0,AND(J993=1,K993=1),AND(J993=1,I993="SBJ"),AND(J993=1,I993=0)),"?IN_FOCUS",IF(J993&lt;=2,"?ACTIVATED",IF(J993&lt;&gt;"","?FAMILIAR",IF(F993="NEW",IF(ISNA(VLOOKUP(E993,#REF!,1,FALSE())),"?TYPE_IDENTIFIABLE","?REFERENTIAL"),"_")))))</f>
        <v> </v>
      </c>
      <c r="H993" s="25" t="str">
        <f>IF(J993&lt;&gt;1,"",IF(I993="SBJ","CB","?"))</f>
        <v> </v>
      </c>
      <c r="I993" s="26" t="str">
        <f>IF(OR(E993="",E993="!!!",F993="NEW"),"",INDEX(B992:B$2,-1+SUMPRODUCT(MAX(ROW(E992:E$2)*(E993=E992:E$2)))))</f>
        <v> </v>
      </c>
      <c r="J993" s="26" t="str">
        <f>IF(OR(E993="",E993="!!!",F993="NEW"),"",COUNTBLANK(OFFSET(A$1,,,SUMPRODUCT(MAX(ROW(E$2:E993)*(E993=E$2:E993)))))-COUNTBLANK(OFFSET(A$1,,,SUMPRODUCT(MAX(ROW(E$1:E992)*(E2=E$1:E992))))))</f>
        <v> </v>
      </c>
      <c r="K993" s="26" t="str">
        <f>IF(OR(E993="",E993="!!!",F993="NEW"),"",INDEX(J$1:J992,SUMPRODUCT(MAX(ROW(E$1:E992)*(E993=E$1:E992)))))</f>
        <v> </v>
      </c>
      <c r="L993" s="27"/>
    </row>
    <row r="994" spans="1:12">
      <c r="A994" s="20" t="s">
        <v>1423</v>
      </c>
      <c r="B994" s="21" t="s">
        <v>1040</v>
      </c>
      <c r="C994" s="21" t="s">
        <v>1006</v>
      </c>
      <c r="D994" s="21" t="s">
        <v>1007</v>
      </c>
      <c r="E994" s="22">
        <f>IF(D994="?OLD","!!!","")</f>
        <v/>
      </c>
      <c r="F994" s="23" t="str">
        <f>IF(OR(E994="",E994="!!!"),"",IF(NOT(ISNA(VLOOKUP(E994,E$1:E993,1,FALSE()))),"OLD",IF(AND(E994&lt;&gt;"",E994&lt;&gt;"!!!"),"NEW","")))</f>
        <v> </v>
      </c>
      <c r="G994" s="24" t="str">
        <f>IF(OR(E994="",E994="!!!"),"",IF(OR(J994=0,AND(J994=1,K994=1),AND(J994=1,I994="SBJ"),AND(J994=1,I994=0)),"?IN_FOCUS",IF(J994&lt;=2,"?ACTIVATED",IF(J994&lt;&gt;"","?FAMILIAR",IF(F994="NEW",IF(ISNA(VLOOKUP(E994,#REF!,1,FALSE())),"?TYPE_IDENTIFIABLE","?REFERENTIAL"),"_")))))</f>
        <v> </v>
      </c>
      <c r="H994" s="25" t="str">
        <f>IF(J994&lt;&gt;1,"",IF(I994="SBJ","CB","?"))</f>
        <v> </v>
      </c>
      <c r="I994" s="26" t="str">
        <f>IF(OR(E994="",E994="!!!",F994="NEW"),"",INDEX(B993:B$2,-1+SUMPRODUCT(MAX(ROW(E993:E$2)*(E994=E993:E$2)))))</f>
        <v> </v>
      </c>
      <c r="J994" s="26" t="str">
        <f>IF(OR(E994="",E994="!!!",F994="NEW"),"",COUNTBLANK(OFFSET(A$1,,,SUMPRODUCT(MAX(ROW(E$2:E994)*(E994=E$2:E994)))))-COUNTBLANK(OFFSET(A$1,,,SUMPRODUCT(MAX(ROW(E$1:E993)*(E2=E$1:E993))))))</f>
        <v> </v>
      </c>
      <c r="K994" s="26" t="str">
        <f>IF(OR(E994="",E994="!!!",F994="NEW"),"",INDEX(J$1:J993,SUMPRODUCT(MAX(ROW(E$1:E993)*(E994=E$1:E993)))))</f>
        <v> </v>
      </c>
      <c r="L994" s="27"/>
    </row>
    <row r="995" spans="1:12">
      <c r="A995" s="20" t="s">
        <v>1424</v>
      </c>
      <c r="B995" s="21" t="s">
        <v>1042</v>
      </c>
      <c r="C995" s="21" t="s">
        <v>1006</v>
      </c>
      <c r="D995" s="21" t="s">
        <v>1007</v>
      </c>
      <c r="E995" s="22">
        <f>IF(D995="?OLD","!!!","")</f>
        <v/>
      </c>
      <c r="F995" s="23" t="str">
        <f>IF(OR(E995="",E995="!!!"),"",IF(NOT(ISNA(VLOOKUP(E995,E$1:E994,1,FALSE()))),"OLD",IF(AND(E995&lt;&gt;"",E995&lt;&gt;"!!!"),"NEW","")))</f>
        <v> </v>
      </c>
      <c r="G995" s="24" t="str">
        <f>IF(OR(E995="",E995="!!!"),"",IF(OR(J995=0,AND(J995=1,K995=1),AND(J995=1,I995="SBJ"),AND(J995=1,I995=0)),"?IN_FOCUS",IF(J995&lt;=2,"?ACTIVATED",IF(J995&lt;&gt;"","?FAMILIAR",IF(F995="NEW",IF(ISNA(VLOOKUP(E995,#REF!,1,FALSE())),"?TYPE_IDENTIFIABLE","?REFERENTIAL"),"_")))))</f>
        <v> </v>
      </c>
      <c r="H995" s="25" t="str">
        <f>IF(J995&lt;&gt;1,"",IF(I995="SBJ","CB","?"))</f>
        <v> </v>
      </c>
      <c r="I995" s="26" t="str">
        <f>IF(OR(E995="",E995="!!!",F995="NEW"),"",INDEX(B994:B$2,-1+SUMPRODUCT(MAX(ROW(E994:E$2)*(E995=E994:E$2)))))</f>
        <v> </v>
      </c>
      <c r="J995" s="26" t="str">
        <f>IF(OR(E995="",E995="!!!",F995="NEW"),"",COUNTBLANK(OFFSET(A$1,,,SUMPRODUCT(MAX(ROW(E$2:E995)*(E995=E$2:E995)))))-COUNTBLANK(OFFSET(A$1,,,SUMPRODUCT(MAX(ROW(E$1:E994)*(E2=E$1:E994))))))</f>
        <v> </v>
      </c>
      <c r="K995" s="26" t="str">
        <f>IF(OR(E995="",E995="!!!",F995="NEW"),"",INDEX(J$1:J994,SUMPRODUCT(MAX(ROW(E$1:E994)*(E995=E$1:E994)))))</f>
        <v> </v>
      </c>
      <c r="L995" s="27"/>
    </row>
    <row r="996" spans="1:12">
      <c r="A996" s="20" t="s">
        <v>1018</v>
      </c>
      <c r="E996" s="22">
        <f>IF(D996="?OLD","!!!","")</f>
        <v/>
      </c>
      <c r="F996" s="23" t="str">
        <f>IF(OR(E996="",E996="!!!"),"",IF(NOT(ISNA(VLOOKUP(E996,E$1:E995,1,FALSE()))),"OLD",IF(AND(E996&lt;&gt;"",E996&lt;&gt;"!!!"),"NEW","")))</f>
        <v> </v>
      </c>
      <c r="G996" s="24" t="str">
        <f>IF(OR(E996="",E996="!!!"),"",IF(OR(J996=0,AND(J996=1,K996=1),AND(J996=1,I996="SBJ"),AND(J996=1,I996=0)),"?IN_FOCUS",IF(J996&lt;=2,"?ACTIVATED",IF(J996&lt;&gt;"","?FAMILIAR",IF(F996="NEW",IF(ISNA(VLOOKUP(E996,#REF!,1,FALSE())),"?TYPE_IDENTIFIABLE","?REFERENTIAL"),"_")))))</f>
        <v> </v>
      </c>
      <c r="H996" s="25" t="str">
        <f>IF(J996&lt;&gt;1,"",IF(I996="SBJ","CB","?"))</f>
        <v> </v>
      </c>
      <c r="I996" s="26" t="str">
        <f>IF(OR(E996="",E996="!!!",F996="NEW"),"",INDEX(B995:B$2,-1+SUMPRODUCT(MAX(ROW(E995:E$2)*(E996=E995:E$2)))))</f>
        <v> </v>
      </c>
      <c r="J996" s="26" t="str">
        <f>IF(OR(E996="",E996="!!!",F996="NEW"),"",COUNTBLANK(OFFSET(A$1,,,SUMPRODUCT(MAX(ROW(E$2:E996)*(E996=E$2:E996)))))-COUNTBLANK(OFFSET(A$1,,,SUMPRODUCT(MAX(ROW(E$1:E995)*(E2=E$1:E995))))))</f>
        <v> </v>
      </c>
      <c r="K996" s="26" t="str">
        <f>IF(OR(E996="",E996="!!!",F996="NEW"),"",INDEX(J$1:J995,SUMPRODUCT(MAX(ROW(E$1:E995)*(E996=E$1:E995)))))</f>
        <v> </v>
      </c>
      <c r="L996" s="27"/>
    </row>
    <row r="997" spans="1:12">
      <c r="A997" s="20" t="s">
        <v>1065</v>
      </c>
      <c r="B997" s="21" t="s">
        <v>1251</v>
      </c>
      <c r="E997" s="22">
        <f>IF(D997="?OLD","!!!","")</f>
        <v/>
      </c>
      <c r="F997" s="23" t="str">
        <f>IF(OR(E997="",E997="!!!"),"",IF(NOT(ISNA(VLOOKUP(E997,E$1:E996,1,FALSE()))),"OLD",IF(AND(E997&lt;&gt;"",E997&lt;&gt;"!!!"),"NEW","")))</f>
        <v> </v>
      </c>
      <c r="G997" s="24" t="str">
        <f>IF(OR(E997="",E997="!!!"),"",IF(OR(J997=0,AND(J997=1,K997=1),AND(J997=1,I997="SBJ"),AND(J997=1,I997=0)),"?IN_FOCUS",IF(J997&lt;=2,"?ACTIVATED",IF(J997&lt;&gt;"","?FAMILIAR",IF(F997="NEW",IF(ISNA(VLOOKUP(E997,#REF!,1,FALSE())),"?TYPE_IDENTIFIABLE","?REFERENTIAL"),"_")))))</f>
        <v> </v>
      </c>
      <c r="H997" s="25" t="str">
        <f>IF(J997&lt;&gt;1,"",IF(I997="SBJ","CB","?"))</f>
        <v> </v>
      </c>
      <c r="I997" s="26" t="str">
        <f>IF(OR(E997="",E997="!!!",F997="NEW"),"",INDEX(B996:B$2,-1+SUMPRODUCT(MAX(ROW(E996:E$2)*(E997=E996:E$2)))))</f>
        <v> </v>
      </c>
      <c r="J997" s="26" t="str">
        <f>IF(OR(E997="",E997="!!!",F997="NEW"),"",COUNTBLANK(OFFSET(A$1,,,SUMPRODUCT(MAX(ROW(E$2:E997)*(E997=E$2:E997)))))-COUNTBLANK(OFFSET(A$1,,,SUMPRODUCT(MAX(ROW(E$1:E996)*(E2=E$1:E996))))))</f>
        <v> </v>
      </c>
      <c r="K997" s="26" t="str">
        <f>IF(OR(E997="",E997="!!!",F997="NEW"),"",INDEX(J$1:J996,SUMPRODUCT(MAX(ROW(E$1:E996)*(E997=E$1:E996)))))</f>
        <v> </v>
      </c>
      <c r="L997" s="27"/>
    </row>
    <row r="998" spans="1:12">
      <c r="A998" s="20" t="s">
        <v>1425</v>
      </c>
      <c r="E998" s="22">
        <f>IF(D998="?OLD","!!!","")</f>
        <v/>
      </c>
      <c r="F998" s="23" t="str">
        <f>IF(OR(E998="",E998="!!!"),"",IF(NOT(ISNA(VLOOKUP(E998,E$1:E997,1,FALSE()))),"OLD",IF(AND(E998&lt;&gt;"",E998&lt;&gt;"!!!"),"NEW","")))</f>
        <v> </v>
      </c>
      <c r="G998" s="24" t="str">
        <f>IF(OR(E998="",E998="!!!"),"",IF(OR(J998=0,AND(J998=1,K998=1),AND(J998=1,I998="SBJ"),AND(J998=1,I998=0)),"?IN_FOCUS",IF(J998&lt;=2,"?ACTIVATED",IF(J998&lt;&gt;"","?FAMILIAR",IF(F998="NEW",IF(ISNA(VLOOKUP(E998,#REF!,1,FALSE())),"?TYPE_IDENTIFIABLE","?REFERENTIAL"),"_")))))</f>
        <v> </v>
      </c>
      <c r="H998" s="25" t="str">
        <f>IF(J998&lt;&gt;1,"",IF(I998="SBJ","CB","?"))</f>
        <v> </v>
      </c>
      <c r="I998" s="26" t="str">
        <f>IF(OR(E998="",E998="!!!",F998="NEW"),"",INDEX(B997:B$2,-1+SUMPRODUCT(MAX(ROW(E997:E$2)*(E998=E997:E$2)))))</f>
        <v> </v>
      </c>
      <c r="J998" s="26" t="str">
        <f>IF(OR(E998="",E998="!!!",F998="NEW"),"",COUNTBLANK(OFFSET(A$1,,,SUMPRODUCT(MAX(ROW(E$2:E998)*(E998=E$2:E998)))))-COUNTBLANK(OFFSET(A$1,,,SUMPRODUCT(MAX(ROW(E$1:E997)*(E2=E$1:E997))))))</f>
        <v> </v>
      </c>
      <c r="K998" s="26" t="str">
        <f>IF(OR(E998="",E998="!!!",F998="NEW"),"",INDEX(J$1:J997,SUMPRODUCT(MAX(ROW(E$1:E997)*(E998=E$1:E997)))))</f>
        <v> </v>
      </c>
      <c r="L998" s="27"/>
    </row>
    <row r="999" spans="1:12">
      <c r="A999" s="20" t="s">
        <v>1056</v>
      </c>
      <c r="E999" s="22">
        <f>IF(D999="?OLD","!!!","")</f>
        <v/>
      </c>
      <c r="F999" s="23" t="str">
        <f>IF(OR(E999="",E999="!!!"),"",IF(NOT(ISNA(VLOOKUP(E999,E$1:E998,1,FALSE()))),"OLD",IF(AND(E999&lt;&gt;"",E999&lt;&gt;"!!!"),"NEW","")))</f>
        <v> </v>
      </c>
      <c r="G999" s="24" t="str">
        <f>IF(OR(E999="",E999="!!!"),"",IF(OR(J999=0,AND(J999=1,K999=1),AND(J999=1,I999="SBJ"),AND(J999=1,I999=0)),"?IN_FOCUS",IF(J999&lt;=2,"?ACTIVATED",IF(J999&lt;&gt;"","?FAMILIAR",IF(F999="NEW",IF(ISNA(VLOOKUP(E999,#REF!,1,FALSE())),"?TYPE_IDENTIFIABLE","?REFERENTIAL"),"_")))))</f>
        <v> </v>
      </c>
      <c r="H999" s="25" t="str">
        <f>IF(J999&lt;&gt;1,"",IF(I999="SBJ","CB","?"))</f>
        <v> </v>
      </c>
      <c r="I999" s="26" t="str">
        <f>IF(OR(E999="",E999="!!!",F999="NEW"),"",INDEX(B998:B$2,-1+SUMPRODUCT(MAX(ROW(E998:E$2)*(E999=E998:E$2)))))</f>
        <v> </v>
      </c>
      <c r="J999" s="26" t="str">
        <f>IF(OR(E999="",E999="!!!",F999="NEW"),"",COUNTBLANK(OFFSET(A$1,,,SUMPRODUCT(MAX(ROW(E$2:E999)*(E999=E$2:E999)))))-COUNTBLANK(OFFSET(A$1,,,SUMPRODUCT(MAX(ROW(E$1:E998)*(E2=E$1:E998))))))</f>
        <v> </v>
      </c>
      <c r="K999" s="26" t="str">
        <f>IF(OR(E999="",E999="!!!",F999="NEW"),"",INDEX(J$1:J998,SUMPRODUCT(MAX(ROW(E$1:E998)*(E999=E$1:E998)))))</f>
        <v> </v>
      </c>
      <c r="L999" s="27"/>
    </row>
    <row r="1000" spans="1:12">
      <c r="A1000" s="20" t="s">
        <v>1426</v>
      </c>
      <c r="E1000" s="22">
        <f>IF(D1000="?OLD","!!!","")</f>
        <v/>
      </c>
      <c r="F1000" s="23" t="str">
        <f>IF(OR(E1000="",E1000="!!!"),"",IF(NOT(ISNA(VLOOKUP(E1000,E$1:E999,1,FALSE()))),"OLD",IF(AND(E1000&lt;&gt;"",E1000&lt;&gt;"!!!"),"NEW","")))</f>
        <v> </v>
      </c>
      <c r="G1000" s="24" t="str">
        <f>IF(OR(E1000="",E1000="!!!"),"",IF(OR(J1000=0,AND(J1000=1,K1000=1),AND(J1000=1,I1000="SBJ"),AND(J1000=1,I1000=0)),"?IN_FOCUS",IF(J1000&lt;=2,"?ACTIVATED",IF(J1000&lt;&gt;"","?FAMILIAR",IF(F1000="NEW",IF(ISNA(VLOOKUP(E1000,#REF!,1,FALSE())),"?TYPE_IDENTIFIABLE","?REFERENTIAL"),"_")))))</f>
        <v> </v>
      </c>
      <c r="H1000" s="25" t="str">
        <f>IF(J1000&lt;&gt;1,"",IF(I1000="SBJ","CB","?"))</f>
        <v> </v>
      </c>
      <c r="I1000" s="26" t="str">
        <f>IF(OR(E1000="",E1000="!!!",F1000="NEW"),"",INDEX(B999:B$2,-1+SUMPRODUCT(MAX(ROW(E999:E$2)*(E1000=E999:E$2)))))</f>
        <v> </v>
      </c>
      <c r="J1000" s="26" t="str">
        <f>IF(OR(E1000="",E1000="!!!",F1000="NEW"),"",COUNTBLANK(OFFSET(A$1,,,SUMPRODUCT(MAX(ROW(E$2:E1000)*(E1000=E$2:E1000)))))-COUNTBLANK(OFFSET(A$1,,,SUMPRODUCT(MAX(ROW(E$1:E999)*(E2=E$1:E999))))))</f>
        <v> </v>
      </c>
      <c r="K1000" s="26" t="str">
        <f>IF(OR(E1000="",E1000="!!!",F1000="NEW"),"",INDEX(J$1:J999,SUMPRODUCT(MAX(ROW(E$1:E999)*(E1000=E$1:E999)))))</f>
        <v> </v>
      </c>
      <c r="L1000" s="27"/>
    </row>
    <row r="1001" spans="1:12">
      <c r="A1001" s="20" t="s">
        <v>1167</v>
      </c>
      <c r="B1001" s="21" t="s">
        <v>1253</v>
      </c>
      <c r="C1001" s="21" t="s">
        <v>1013</v>
      </c>
      <c r="D1001" s="21" t="s">
        <v>1007</v>
      </c>
      <c r="E1001" s="22">
        <f>IF(D1001="?OLD","!!!","")</f>
        <v/>
      </c>
      <c r="F1001" s="23" t="str">
        <f>IF(OR(E1001="",E1001="!!!"),"",IF(NOT(ISNA(VLOOKUP(E1001,E$1:E1000,1,FALSE()))),"OLD",IF(AND(E1001&lt;&gt;"",E1001&lt;&gt;"!!!"),"NEW","")))</f>
        <v> </v>
      </c>
      <c r="G1001" s="24" t="str">
        <f>IF(OR(E1001="",E1001="!!!"),"",IF(OR(J1001=0,AND(J1001=1,K1001=1),AND(J1001=1,I1001="SBJ"),AND(J1001=1,I1001=0)),"?IN_FOCUS",IF(J1001&lt;=2,"?ACTIVATED",IF(J1001&lt;&gt;"","?FAMILIAR",IF(F1001="NEW",IF(ISNA(VLOOKUP(E1001,#REF!,1,FALSE())),"?TYPE_IDENTIFIABLE","?REFERENTIAL"),"_")))))</f>
        <v> </v>
      </c>
      <c r="H1001" s="25" t="str">
        <f>IF(J1001&lt;&gt;1,"",IF(I1001="SBJ","CB","?"))</f>
        <v> </v>
      </c>
      <c r="I1001" s="26" t="str">
        <f>IF(OR(E1001="",E1001="!!!",F1001="NEW"),"",INDEX(B1000:B$2,-1+SUMPRODUCT(MAX(ROW(E1000:E$2)*(E1001=E1000:E$2)))))</f>
        <v> </v>
      </c>
      <c r="J1001" s="26" t="str">
        <f>IF(OR(E1001="",E1001="!!!",F1001="NEW"),"",COUNTBLANK(OFFSET(A$1,,,SUMPRODUCT(MAX(ROW(E$2:E1001)*(E1001=E$2:E1001)))))-COUNTBLANK(OFFSET(A$1,,,SUMPRODUCT(MAX(ROW(E$1:E1000)*(E2=E$1:E1000))))))</f>
        <v> </v>
      </c>
      <c r="K1001" s="26" t="str">
        <f>IF(OR(E1001="",E1001="!!!",F1001="NEW"),"",INDEX(J$1:J1000,SUMPRODUCT(MAX(ROW(E$1:E1000)*(E1001=E$1:E1000)))))</f>
        <v> </v>
      </c>
      <c r="L1001" s="27"/>
    </row>
    <row r="1002" spans="1:12">
      <c r="A1002" s="20" t="s">
        <v>1014</v>
      </c>
      <c r="E1002" s="22">
        <f>IF(D1002="?OLD","!!!","")</f>
        <v/>
      </c>
      <c r="F1002" s="23" t="str">
        <f>IF(OR(E1002="",E1002="!!!"),"",IF(NOT(ISNA(VLOOKUP(E1002,E$1:E1001,1,FALSE()))),"OLD",IF(AND(E1002&lt;&gt;"",E1002&lt;&gt;"!!!"),"NEW","")))</f>
        <v> </v>
      </c>
      <c r="G1002" s="24" t="str">
        <f>IF(OR(E1002="",E1002="!!!"),"",IF(OR(J1002=0,AND(J1002=1,K1002=1),AND(J1002=1,I1002="SBJ"),AND(J1002=1,I1002=0)),"?IN_FOCUS",IF(J1002&lt;=2,"?ACTIVATED",IF(J1002&lt;&gt;"","?FAMILIAR",IF(F1002="NEW",IF(ISNA(VLOOKUP(E1002,#REF!,1,FALSE())),"?TYPE_IDENTIFIABLE","?REFERENTIAL"),"_")))))</f>
        <v> </v>
      </c>
      <c r="H1002" s="25" t="str">
        <f>IF(J1002&lt;&gt;1,"",IF(I1002="SBJ","CB","?"))</f>
        <v> </v>
      </c>
      <c r="I1002" s="26" t="str">
        <f>IF(OR(E1002="",E1002="!!!",F1002="NEW"),"",INDEX(B1001:B$2,-1+SUMPRODUCT(MAX(ROW(E1001:E$2)*(E1002=E1001:E$2)))))</f>
        <v> </v>
      </c>
      <c r="J1002" s="26" t="str">
        <f>IF(OR(E1002="",E1002="!!!",F1002="NEW"),"",COUNTBLANK(OFFSET(A$1,,,SUMPRODUCT(MAX(ROW(E$2:E1002)*(E1002=E$2:E1002)))))-COUNTBLANK(OFFSET(A$1,,,SUMPRODUCT(MAX(ROW(E$1:E1001)*(E2=E$1:E1001))))))</f>
        <v> </v>
      </c>
      <c r="K1002" s="26" t="str">
        <f>IF(OR(E1002="",E1002="!!!",F1002="NEW"),"",INDEX(J$1:J1001,SUMPRODUCT(MAX(ROW(E$1:E1001)*(E1002=E$1:E1001)))))</f>
        <v> </v>
      </c>
      <c r="L1002" s="27"/>
    </row>
    <row r="1003" spans="1:12">
      <c r="A1003" s="20" t="s">
        <v>1427</v>
      </c>
      <c r="B1003" s="21" t="s">
        <v>1044</v>
      </c>
      <c r="C1003" s="21" t="s">
        <v>1013</v>
      </c>
      <c r="D1003" s="21" t="s">
        <v>1007</v>
      </c>
      <c r="E1003" s="22">
        <f>IF(D1003="?OLD","!!!","")</f>
        <v/>
      </c>
      <c r="F1003" s="23" t="str">
        <f>IF(OR(E1003="",E1003="!!!"),"",IF(NOT(ISNA(VLOOKUP(E1003,E$1:E1002,1,FALSE()))),"OLD",IF(AND(E1003&lt;&gt;"",E1003&lt;&gt;"!!!"),"NEW","")))</f>
        <v> </v>
      </c>
      <c r="G1003" s="24" t="str">
        <f>IF(OR(E1003="",E1003="!!!"),"",IF(OR(J1003=0,AND(J1003=1,K1003=1),AND(J1003=1,I1003="SBJ"),AND(J1003=1,I1003=0)),"?IN_FOCUS",IF(J1003&lt;=2,"?ACTIVATED",IF(J1003&lt;&gt;"","?FAMILIAR",IF(F1003="NEW",IF(ISNA(VLOOKUP(E1003,#REF!,1,FALSE())),"?TYPE_IDENTIFIABLE","?REFERENTIAL"),"_")))))</f>
        <v> </v>
      </c>
      <c r="H1003" s="25" t="str">
        <f>IF(J1003&lt;&gt;1,"",IF(I1003="SBJ","CB","?"))</f>
        <v> </v>
      </c>
      <c r="I1003" s="26" t="str">
        <f>IF(OR(E1003="",E1003="!!!",F1003="NEW"),"",INDEX(B1002:B$2,-1+SUMPRODUCT(MAX(ROW(E1002:E$2)*(E1003=E1002:E$2)))))</f>
        <v> </v>
      </c>
      <c r="J1003" s="26" t="str">
        <f>IF(OR(E1003="",E1003="!!!",F1003="NEW"),"",COUNTBLANK(OFFSET(A$1,,,SUMPRODUCT(MAX(ROW(E$2:E1003)*(E1003=E$2:E1003)))))-COUNTBLANK(OFFSET(A$1,,,SUMPRODUCT(MAX(ROW(E$1:E1002)*(E2=E$1:E1002))))))</f>
        <v> </v>
      </c>
      <c r="K1003" s="26" t="str">
        <f>IF(OR(E1003="",E1003="!!!",F1003="NEW"),"",INDEX(J$1:J1002,SUMPRODUCT(MAX(ROW(E$1:E1002)*(E1003=E$1:E1002)))))</f>
        <v> </v>
      </c>
      <c r="L1003" s="27"/>
    </row>
    <row r="1004" spans="1:12">
      <c r="A1004" s="20" t="s">
        <v>1266</v>
      </c>
      <c r="E1004" s="22">
        <f>IF(D1004="?OLD","!!!","")</f>
        <v/>
      </c>
      <c r="F1004" s="23" t="str">
        <f>IF(OR(E1004="",E1004="!!!"),"",IF(NOT(ISNA(VLOOKUP(E1004,E$1:E1003,1,FALSE()))),"OLD",IF(AND(E1004&lt;&gt;"",E1004&lt;&gt;"!!!"),"NEW","")))</f>
        <v> </v>
      </c>
      <c r="G1004" s="24" t="str">
        <f>IF(OR(E1004="",E1004="!!!"),"",IF(OR(J1004=0,AND(J1004=1,K1004=1),AND(J1004=1,I1004="SBJ"),AND(J1004=1,I1004=0)),"?IN_FOCUS",IF(J1004&lt;=2,"?ACTIVATED",IF(J1004&lt;&gt;"","?FAMILIAR",IF(F1004="NEW",IF(ISNA(VLOOKUP(E1004,#REF!,1,FALSE())),"?TYPE_IDENTIFIABLE","?REFERENTIAL"),"_")))))</f>
        <v> </v>
      </c>
      <c r="H1004" s="25" t="str">
        <f>IF(J1004&lt;&gt;1,"",IF(I1004="SBJ","CB","?"))</f>
        <v> </v>
      </c>
      <c r="I1004" s="26" t="str">
        <f>IF(OR(E1004="",E1004="!!!",F1004="NEW"),"",INDEX(B1003:B$2,-1+SUMPRODUCT(MAX(ROW(E1003:E$2)*(E1004=E1003:E$2)))))</f>
        <v> </v>
      </c>
      <c r="J1004" s="26" t="str">
        <f>IF(OR(E1004="",E1004="!!!",F1004="NEW"),"",COUNTBLANK(OFFSET(A$1,,,SUMPRODUCT(MAX(ROW(E$2:E1004)*(E1004=E$2:E1004)))))-COUNTBLANK(OFFSET(A$1,,,SUMPRODUCT(MAX(ROW(E$1:E1003)*(E2=E$1:E1003))))))</f>
        <v> </v>
      </c>
      <c r="K1004" s="26" t="str">
        <f>IF(OR(E1004="",E1004="!!!",F1004="NEW"),"",INDEX(J$1:J1003,SUMPRODUCT(MAX(ROW(E$1:E1003)*(E1004=E$1:E1003)))))</f>
        <v> </v>
      </c>
      <c r="L1004" s="27"/>
    </row>
    <row r="1005" spans="1:12">
      <c r="A1005" s="20" t="s">
        <v>1428</v>
      </c>
      <c r="B1005" s="21" t="s">
        <v>1215</v>
      </c>
      <c r="C1005" s="21" t="s">
        <v>1048</v>
      </c>
      <c r="E1005" s="22">
        <f>IF(D1005="?OLD","!!!","")</f>
        <v/>
      </c>
      <c r="F1005" s="23" t="str">
        <f>IF(OR(E1005="",E1005="!!!"),"",IF(NOT(ISNA(VLOOKUP(E1005,E$1:E1004,1,FALSE()))),"OLD",IF(AND(E1005&lt;&gt;"",E1005&lt;&gt;"!!!"),"NEW","")))</f>
        <v> </v>
      </c>
      <c r="G1005" s="24" t="str">
        <f>IF(OR(E1005="",E1005="!!!"),"",IF(OR(J1005=0,AND(J1005=1,K1005=1),AND(J1005=1,I1005="SBJ"),AND(J1005=1,I1005=0)),"?IN_FOCUS",IF(J1005&lt;=2,"?ACTIVATED",IF(J1005&lt;&gt;"","?FAMILIAR",IF(F1005="NEW",IF(ISNA(VLOOKUP(E1005,#REF!,1,FALSE())),"?TYPE_IDENTIFIABLE","?REFERENTIAL"),"_")))))</f>
        <v> </v>
      </c>
      <c r="H1005" s="25" t="str">
        <f>IF(J1005&lt;&gt;1,"",IF(I1005="SBJ","CB","?"))</f>
        <v> </v>
      </c>
      <c r="I1005" s="26" t="str">
        <f>IF(OR(E1005="",E1005="!!!",F1005="NEW"),"",INDEX(B1004:B$2,-1+SUMPRODUCT(MAX(ROW(E1004:E$2)*(E1005=E1004:E$2)))))</f>
        <v> </v>
      </c>
      <c r="J1005" s="26" t="str">
        <f>IF(OR(E1005="",E1005="!!!",F1005="NEW"),"",COUNTBLANK(OFFSET(A$1,,,SUMPRODUCT(MAX(ROW(E$2:E1005)*(E1005=E$2:E1005)))))-COUNTBLANK(OFFSET(A$1,,,SUMPRODUCT(MAX(ROW(E$1:E1004)*(E2=E$1:E1004))))))</f>
        <v> </v>
      </c>
      <c r="K1005" s="26" t="str">
        <f>IF(OR(E1005="",E1005="!!!",F1005="NEW"),"",INDEX(J$1:J1004,SUMPRODUCT(MAX(ROW(E$1:E1004)*(E1005=E$1:E1004)))))</f>
        <v> </v>
      </c>
      <c r="L1005" s="27"/>
    </row>
    <row r="1006" spans="1:12">
      <c r="A1006" s="20" t="s">
        <v>1018</v>
      </c>
      <c r="E1006" s="22">
        <f>IF(D1006="?OLD","!!!","")</f>
        <v/>
      </c>
      <c r="F1006" s="23" t="str">
        <f>IF(OR(E1006="",E1006="!!!"),"",IF(NOT(ISNA(VLOOKUP(E1006,E$1:E1005,1,FALSE()))),"OLD",IF(AND(E1006&lt;&gt;"",E1006&lt;&gt;"!!!"),"NEW","")))</f>
        <v> </v>
      </c>
      <c r="G1006" s="24" t="str">
        <f>IF(OR(E1006="",E1006="!!!"),"",IF(OR(J1006=0,AND(J1006=1,K1006=1),AND(J1006=1,I1006="SBJ"),AND(J1006=1,I1006=0)),"?IN_FOCUS",IF(J1006&lt;=2,"?ACTIVATED",IF(J1006&lt;&gt;"","?FAMILIAR",IF(F1006="NEW",IF(ISNA(VLOOKUP(E1006,#REF!,1,FALSE())),"?TYPE_IDENTIFIABLE","?REFERENTIAL"),"_")))))</f>
        <v> </v>
      </c>
      <c r="H1006" s="25" t="str">
        <f>IF(J1006&lt;&gt;1,"",IF(I1006="SBJ","CB","?"))</f>
        <v> </v>
      </c>
      <c r="I1006" s="26" t="str">
        <f>IF(OR(E1006="",E1006="!!!",F1006="NEW"),"",INDEX(B1005:B$2,-1+SUMPRODUCT(MAX(ROW(E1005:E$2)*(E1006=E1005:E$2)))))</f>
        <v> </v>
      </c>
      <c r="J1006" s="26" t="str">
        <f>IF(OR(E1006="",E1006="!!!",F1006="NEW"),"",COUNTBLANK(OFFSET(A$1,,,SUMPRODUCT(MAX(ROW(E$2:E1006)*(E1006=E$2:E1006)))))-COUNTBLANK(OFFSET(A$1,,,SUMPRODUCT(MAX(ROW(E$1:E1005)*(E2=E$1:E1005))))))</f>
        <v> </v>
      </c>
      <c r="K1006" s="26" t="str">
        <f>IF(OR(E1006="",E1006="!!!",F1006="NEW"),"",INDEX(J$1:J1005,SUMPRODUCT(MAX(ROW(E$1:E1005)*(E1006=E$1:E1005)))))</f>
        <v> </v>
      </c>
      <c r="L1006" s="27"/>
    </row>
    <row r="1007" spans="1:12">
      <c r="A1007" s="20" t="s">
        <v>1324</v>
      </c>
      <c r="E1007" s="22">
        <f>IF(D1007="?OLD","!!!","")</f>
        <v/>
      </c>
      <c r="F1007" s="23" t="str">
        <f>IF(OR(E1007="",E1007="!!!"),"",IF(NOT(ISNA(VLOOKUP(E1007,E$1:E1006,1,FALSE()))),"OLD",IF(AND(E1007&lt;&gt;"",E1007&lt;&gt;"!!!"),"NEW","")))</f>
        <v> </v>
      </c>
      <c r="G1007" s="24" t="str">
        <f>IF(OR(E1007="",E1007="!!!"),"",IF(OR(J1007=0,AND(J1007=1,K1007=1),AND(J1007=1,I1007="SBJ"),AND(J1007=1,I1007=0)),"?IN_FOCUS",IF(J1007&lt;=2,"?ACTIVATED",IF(J1007&lt;&gt;"","?FAMILIAR",IF(F1007="NEW",IF(ISNA(VLOOKUP(E1007,#REF!,1,FALSE())),"?TYPE_IDENTIFIABLE","?REFERENTIAL"),"_")))))</f>
        <v> </v>
      </c>
      <c r="H1007" s="25" t="str">
        <f>IF(J1007&lt;&gt;1,"",IF(I1007="SBJ","CB","?"))</f>
        <v> </v>
      </c>
      <c r="I1007" s="26" t="str">
        <f>IF(OR(E1007="",E1007="!!!",F1007="NEW"),"",INDEX(B1006:B$2,-1+SUMPRODUCT(MAX(ROW(E1006:E$2)*(E1007=E1006:E$2)))))</f>
        <v> </v>
      </c>
      <c r="J1007" s="26" t="str">
        <f>IF(OR(E1007="",E1007="!!!",F1007="NEW"),"",COUNTBLANK(OFFSET(A$1,,,SUMPRODUCT(MAX(ROW(E$2:E1007)*(E1007=E$2:E1007)))))-COUNTBLANK(OFFSET(A$1,,,SUMPRODUCT(MAX(ROW(E$1:E1006)*(E2=E$1:E1006))))))</f>
        <v> </v>
      </c>
      <c r="K1007" s="26" t="str">
        <f>IF(OR(E1007="",E1007="!!!",F1007="NEW"),"",INDEX(J$1:J1006,SUMPRODUCT(MAX(ROW(E$1:E1006)*(E1007=E$1:E1006)))))</f>
        <v> </v>
      </c>
      <c r="L1007" s="27"/>
    </row>
    <row r="1008" spans="1:12">
      <c r="A1008" s="20" t="s">
        <v>1429</v>
      </c>
      <c r="B1008" s="21" t="s">
        <v>1134</v>
      </c>
      <c r="C1008" s="21" t="s">
        <v>1013</v>
      </c>
      <c r="D1008" s="21" t="s">
        <v>1007</v>
      </c>
      <c r="E1008" s="22">
        <f>IF(D1008="?OLD","!!!","")</f>
        <v/>
      </c>
      <c r="F1008" s="23" t="str">
        <f>IF(OR(E1008="",E1008="!!!"),"",IF(NOT(ISNA(VLOOKUP(E1008,E$1:E1007,1,FALSE()))),"OLD",IF(AND(E1008&lt;&gt;"",E1008&lt;&gt;"!!!"),"NEW","")))</f>
        <v> </v>
      </c>
      <c r="G1008" s="24" t="str">
        <f>IF(OR(E1008="",E1008="!!!"),"",IF(OR(J1008=0,AND(J1008=1,K1008=1),AND(J1008=1,I1008="SBJ"),AND(J1008=1,I1008=0)),"?IN_FOCUS",IF(J1008&lt;=2,"?ACTIVATED",IF(J1008&lt;&gt;"","?FAMILIAR",IF(F1008="NEW",IF(ISNA(VLOOKUP(E1008,#REF!,1,FALSE())),"?TYPE_IDENTIFIABLE","?REFERENTIAL"),"_")))))</f>
        <v> </v>
      </c>
      <c r="H1008" s="25" t="str">
        <f>IF(J1008&lt;&gt;1,"",IF(I1008="SBJ","CB","?"))</f>
        <v> </v>
      </c>
      <c r="I1008" s="26" t="str">
        <f>IF(OR(E1008="",E1008="!!!",F1008="NEW"),"",INDEX(B1007:B$2,-1+SUMPRODUCT(MAX(ROW(E1007:E$2)*(E1008=E1007:E$2)))))</f>
        <v> </v>
      </c>
      <c r="J1008" s="26" t="str">
        <f>IF(OR(E1008="",E1008="!!!",F1008="NEW"),"",COUNTBLANK(OFFSET(A$1,,,SUMPRODUCT(MAX(ROW(E$2:E1008)*(E1008=E$2:E1008)))))-COUNTBLANK(OFFSET(A$1,,,SUMPRODUCT(MAX(ROW(E$1:E1007)*(E2=E$1:E1007))))))</f>
        <v> </v>
      </c>
      <c r="K1008" s="26" t="str">
        <f>IF(OR(E1008="",E1008="!!!",F1008="NEW"),"",INDEX(J$1:J1007,SUMPRODUCT(MAX(ROW(E$1:E1007)*(E1008=E$1:E1007)))))</f>
        <v> </v>
      </c>
      <c r="L1008" s="27"/>
    </row>
    <row r="1009" spans="1:12">
      <c r="A1009" s="20" t="s">
        <v>1014</v>
      </c>
      <c r="E1009" s="22">
        <f>IF(D1009="?OLD","!!!","")</f>
        <v/>
      </c>
      <c r="F1009" s="23" t="str">
        <f>IF(OR(E1009="",E1009="!!!"),"",IF(NOT(ISNA(VLOOKUP(E1009,E$1:E1008,1,FALSE()))),"OLD",IF(AND(E1009&lt;&gt;"",E1009&lt;&gt;"!!!"),"NEW","")))</f>
        <v> </v>
      </c>
      <c r="G1009" s="24" t="str">
        <f>IF(OR(E1009="",E1009="!!!"),"",IF(OR(J1009=0,AND(J1009=1,K1009=1),AND(J1009=1,I1009="SBJ"),AND(J1009=1,I1009=0)),"?IN_FOCUS",IF(J1009&lt;=2,"?ACTIVATED",IF(J1009&lt;&gt;"","?FAMILIAR",IF(F1009="NEW",IF(ISNA(VLOOKUP(E1009,#REF!,1,FALSE())),"?TYPE_IDENTIFIABLE","?REFERENTIAL"),"_")))))</f>
        <v> </v>
      </c>
      <c r="H1009" s="25" t="str">
        <f>IF(J1009&lt;&gt;1,"",IF(I1009="SBJ","CB","?"))</f>
        <v> </v>
      </c>
      <c r="I1009" s="26" t="str">
        <f>IF(OR(E1009="",E1009="!!!",F1009="NEW"),"",INDEX(B1008:B$2,-1+SUMPRODUCT(MAX(ROW(E1008:E$2)*(E1009=E1008:E$2)))))</f>
        <v> </v>
      </c>
      <c r="J1009" s="26" t="str">
        <f>IF(OR(E1009="",E1009="!!!",F1009="NEW"),"",COUNTBLANK(OFFSET(A$1,,,SUMPRODUCT(MAX(ROW(E$2:E1009)*(E1009=E$2:E1009)))))-COUNTBLANK(OFFSET(A$1,,,SUMPRODUCT(MAX(ROW(E$1:E1008)*(E2=E$1:E1008))))))</f>
        <v> </v>
      </c>
      <c r="K1009" s="26" t="str">
        <f>IF(OR(E1009="",E1009="!!!",F1009="NEW"),"",INDEX(J$1:J1008,SUMPRODUCT(MAX(ROW(E$1:E1008)*(E1009=E$1:E1008)))))</f>
        <v> </v>
      </c>
      <c r="L1009" s="27"/>
    </row>
    <row r="1010" spans="1:12">
      <c r="A1010" s="20" t="s">
        <v>1430</v>
      </c>
      <c r="B1010" s="21" t="s">
        <v>1040</v>
      </c>
      <c r="C1010" s="21" t="s">
        <v>1073</v>
      </c>
      <c r="D1010" s="21" t="s">
        <v>1007</v>
      </c>
      <c r="E1010" s="22">
        <f>IF(D1010="?OLD","!!!","")</f>
        <v/>
      </c>
      <c r="F1010" s="23" t="str">
        <f>IF(OR(E1010="",E1010="!!!"),"",IF(NOT(ISNA(VLOOKUP(E1010,E$1:E1009,1,FALSE()))),"OLD",IF(AND(E1010&lt;&gt;"",E1010&lt;&gt;"!!!"),"NEW","")))</f>
        <v> </v>
      </c>
      <c r="G1010" s="24" t="str">
        <f>IF(OR(E1010="",E1010="!!!"),"",IF(OR(J1010=0,AND(J1010=1,K1010=1),AND(J1010=1,I1010="SBJ"),AND(J1010=1,I1010=0)),"?IN_FOCUS",IF(J1010&lt;=2,"?ACTIVATED",IF(J1010&lt;&gt;"","?FAMILIAR",IF(F1010="NEW",IF(ISNA(VLOOKUP(E1010,#REF!,1,FALSE())),"?TYPE_IDENTIFIABLE","?REFERENTIAL"),"_")))))</f>
        <v> </v>
      </c>
      <c r="H1010" s="25" t="str">
        <f>IF(J1010&lt;&gt;1,"",IF(I1010="SBJ","CB","?"))</f>
        <v> </v>
      </c>
      <c r="I1010" s="26" t="str">
        <f>IF(OR(E1010="",E1010="!!!",F1010="NEW"),"",INDEX(B1009:B$2,-1+SUMPRODUCT(MAX(ROW(E1009:E$2)*(E1010=E1009:E$2)))))</f>
        <v> </v>
      </c>
      <c r="J1010" s="26" t="str">
        <f>IF(OR(E1010="",E1010="!!!",F1010="NEW"),"",COUNTBLANK(OFFSET(A$1,,,SUMPRODUCT(MAX(ROW(E$2:E1010)*(E1010=E$2:E1010)))))-COUNTBLANK(OFFSET(A$1,,,SUMPRODUCT(MAX(ROW(E$1:E1009)*(E2=E$1:E1009))))))</f>
        <v> </v>
      </c>
      <c r="K1010" s="26" t="str">
        <f>IF(OR(E1010="",E1010="!!!",F1010="NEW"),"",INDEX(J$1:J1009,SUMPRODUCT(MAX(ROW(E$1:E1009)*(E1010=E$1:E1009)))))</f>
        <v> </v>
      </c>
      <c r="L1010" s="27"/>
    </row>
    <row r="1011" spans="1:12">
      <c r="A1011" s="20" t="s">
        <v>1014</v>
      </c>
      <c r="E1011" s="22">
        <f>IF(D1011="?OLD","!!!","")</f>
        <v/>
      </c>
      <c r="F1011" s="23" t="str">
        <f>IF(OR(E1011="",E1011="!!!"),"",IF(NOT(ISNA(VLOOKUP(E1011,E$1:E1010,1,FALSE()))),"OLD",IF(AND(E1011&lt;&gt;"",E1011&lt;&gt;"!!!"),"NEW","")))</f>
        <v> </v>
      </c>
      <c r="G1011" s="24" t="str">
        <f>IF(OR(E1011="",E1011="!!!"),"",IF(OR(J1011=0,AND(J1011=1,K1011=1),AND(J1011=1,I1011="SBJ"),AND(J1011=1,I1011=0)),"?IN_FOCUS",IF(J1011&lt;=2,"?ACTIVATED",IF(J1011&lt;&gt;"","?FAMILIAR",IF(F1011="NEW",IF(ISNA(VLOOKUP(E1011,#REF!,1,FALSE())),"?TYPE_IDENTIFIABLE","?REFERENTIAL"),"_")))))</f>
        <v> </v>
      </c>
      <c r="H1011" s="25" t="str">
        <f>IF(J1011&lt;&gt;1,"",IF(I1011="SBJ","CB","?"))</f>
        <v> </v>
      </c>
      <c r="I1011" s="26" t="str">
        <f>IF(OR(E1011="",E1011="!!!",F1011="NEW"),"",INDEX(B1010:B$2,-1+SUMPRODUCT(MAX(ROW(E1010:E$2)*(E1011=E1010:E$2)))))</f>
        <v> </v>
      </c>
      <c r="J1011" s="26" t="str">
        <f>IF(OR(E1011="",E1011="!!!",F1011="NEW"),"",COUNTBLANK(OFFSET(A$1,,,SUMPRODUCT(MAX(ROW(E$2:E1011)*(E1011=E$2:E1011)))))-COUNTBLANK(OFFSET(A$1,,,SUMPRODUCT(MAX(ROW(E$1:E1010)*(E2=E$1:E1010))))))</f>
        <v> </v>
      </c>
      <c r="K1011" s="26" t="str">
        <f>IF(OR(E1011="",E1011="!!!",F1011="NEW"),"",INDEX(J$1:J1010,SUMPRODUCT(MAX(ROW(E$1:E1010)*(E1011=E$1:E1010)))))</f>
        <v> </v>
      </c>
      <c r="L1011" s="27"/>
    </row>
    <row r="1012" spans="1:12">
      <c r="A1012" s="20" t="s">
        <v>1027</v>
      </c>
      <c r="E1012" s="22">
        <f>IF(D1012="?OLD","!!!","")</f>
        <v/>
      </c>
      <c r="F1012" s="23" t="str">
        <f>IF(OR(E1012="",E1012="!!!"),"",IF(NOT(ISNA(VLOOKUP(E1012,E$1:E1011,1,FALSE()))),"OLD",IF(AND(E1012&lt;&gt;"",E1012&lt;&gt;"!!!"),"NEW","")))</f>
        <v> </v>
      </c>
      <c r="G1012" s="24" t="str">
        <f>IF(OR(E1012="",E1012="!!!"),"",IF(OR(J1012=0,AND(J1012=1,K1012=1),AND(J1012=1,I1012="SBJ"),AND(J1012=1,I1012=0)),"?IN_FOCUS",IF(J1012&lt;=2,"?ACTIVATED",IF(J1012&lt;&gt;"","?FAMILIAR",IF(F1012="NEW",IF(ISNA(VLOOKUP(E1012,#REF!,1,FALSE())),"?TYPE_IDENTIFIABLE","?REFERENTIAL"),"_")))))</f>
        <v> </v>
      </c>
      <c r="H1012" s="25" t="str">
        <f>IF(J1012&lt;&gt;1,"",IF(I1012="SBJ","CB","?"))</f>
        <v> </v>
      </c>
      <c r="I1012" s="26" t="str">
        <f>IF(OR(E1012="",E1012="!!!",F1012="NEW"),"",INDEX(B1011:B$2,-1+SUMPRODUCT(MAX(ROW(E1011:E$2)*(E1012=E1011:E$2)))))</f>
        <v> </v>
      </c>
      <c r="J1012" s="26" t="str">
        <f>IF(OR(E1012="",E1012="!!!",F1012="NEW"),"",COUNTBLANK(OFFSET(A$1,,,SUMPRODUCT(MAX(ROW(E$2:E1012)*(E1012=E$2:E1012)))))-COUNTBLANK(OFFSET(A$1,,,SUMPRODUCT(MAX(ROW(E$1:E1011)*(E2=E$1:E1011))))))</f>
        <v> </v>
      </c>
      <c r="K1012" s="26" t="str">
        <f>IF(OR(E1012="",E1012="!!!",F1012="NEW"),"",INDEX(J$1:J1011,SUMPRODUCT(MAX(ROW(E$1:E1011)*(E1012=E$1:E1011)))))</f>
        <v> </v>
      </c>
      <c r="L1012" s="27"/>
    </row>
    <row r="1013" spans="1:12">
      <c r="A1013" s="20" t="s">
        <v>1431</v>
      </c>
      <c r="E1013" s="22">
        <f>IF(D1013="?OLD","!!!","")</f>
        <v/>
      </c>
      <c r="F1013" s="23" t="str">
        <f>IF(OR(E1013="",E1013="!!!"),"",IF(NOT(ISNA(VLOOKUP(E1013,E$1:E1012,1,FALSE()))),"OLD",IF(AND(E1013&lt;&gt;"",E1013&lt;&gt;"!!!"),"NEW","")))</f>
        <v> </v>
      </c>
      <c r="G1013" s="24" t="str">
        <f>IF(OR(E1013="",E1013="!!!"),"",IF(OR(J1013=0,AND(J1013=1,K1013=1),AND(J1013=1,I1013="SBJ"),AND(J1013=1,I1013=0)),"?IN_FOCUS",IF(J1013&lt;=2,"?ACTIVATED",IF(J1013&lt;&gt;"","?FAMILIAR",IF(F1013="NEW",IF(ISNA(VLOOKUP(E1013,#REF!,1,FALSE())),"?TYPE_IDENTIFIABLE","?REFERENTIAL"),"_")))))</f>
        <v> </v>
      </c>
      <c r="H1013" s="25" t="str">
        <f>IF(J1013&lt;&gt;1,"",IF(I1013="SBJ","CB","?"))</f>
        <v> </v>
      </c>
      <c r="I1013" s="26" t="str">
        <f>IF(OR(E1013="",E1013="!!!",F1013="NEW"),"",INDEX(B1012:B$2,-1+SUMPRODUCT(MAX(ROW(E1012:E$2)*(E1013=E1012:E$2)))))</f>
        <v> </v>
      </c>
      <c r="J1013" s="26" t="str">
        <f>IF(OR(E1013="",E1013="!!!",F1013="NEW"),"",COUNTBLANK(OFFSET(A$1,,,SUMPRODUCT(MAX(ROW(E$2:E1013)*(E1013=E$2:E1013)))))-COUNTBLANK(OFFSET(A$1,,,SUMPRODUCT(MAX(ROW(E$1:E1012)*(E2=E$1:E1012))))))</f>
        <v> </v>
      </c>
      <c r="K1013" s="26" t="str">
        <f>IF(OR(E1013="",E1013="!!!",F1013="NEW"),"",INDEX(J$1:J1012,SUMPRODUCT(MAX(ROW(E$1:E1012)*(E1013=E$1:E1012)))))</f>
        <v> </v>
      </c>
      <c r="L1013" s="27"/>
    </row>
    <row r="1014" spans="1:12">
      <c r="A1014" s="20" t="s">
        <v>1432</v>
      </c>
      <c r="B1014" s="21" t="s">
        <v>1042</v>
      </c>
      <c r="C1014" s="21" t="s">
        <v>1013</v>
      </c>
      <c r="D1014" s="21" t="s">
        <v>1007</v>
      </c>
      <c r="E1014" s="22">
        <f>IF(D1014="?OLD","!!!","")</f>
        <v/>
      </c>
      <c r="F1014" s="23" t="str">
        <f>IF(OR(E1014="",E1014="!!!"),"",IF(NOT(ISNA(VLOOKUP(E1014,E$1:E1013,1,FALSE()))),"OLD",IF(AND(E1014&lt;&gt;"",E1014&lt;&gt;"!!!"),"NEW","")))</f>
        <v> </v>
      </c>
      <c r="G1014" s="24" t="str">
        <f>IF(OR(E1014="",E1014="!!!"),"",IF(OR(J1014=0,AND(J1014=1,K1014=1),AND(J1014=1,I1014="SBJ"),AND(J1014=1,I1014=0)),"?IN_FOCUS",IF(J1014&lt;=2,"?ACTIVATED",IF(J1014&lt;&gt;"","?FAMILIAR",IF(F1014="NEW",IF(ISNA(VLOOKUP(E1014,#REF!,1,FALSE())),"?TYPE_IDENTIFIABLE","?REFERENTIAL"),"_")))))</f>
        <v> </v>
      </c>
      <c r="H1014" s="25" t="str">
        <f>IF(J1014&lt;&gt;1,"",IF(I1014="SBJ","CB","?"))</f>
        <v> </v>
      </c>
      <c r="I1014" s="26" t="str">
        <f>IF(OR(E1014="",E1014="!!!",F1014="NEW"),"",INDEX(B1013:B$2,-1+SUMPRODUCT(MAX(ROW(E1013:E$2)*(E1014=E1013:E$2)))))</f>
        <v> </v>
      </c>
      <c r="J1014" s="26" t="str">
        <f>IF(OR(E1014="",E1014="!!!",F1014="NEW"),"",COUNTBLANK(OFFSET(A$1,,,SUMPRODUCT(MAX(ROW(E$2:E1014)*(E1014=E$2:E1014)))))-COUNTBLANK(OFFSET(A$1,,,SUMPRODUCT(MAX(ROW(E$1:E1013)*(E2=E$1:E1013))))))</f>
        <v> </v>
      </c>
      <c r="K1014" s="26" t="str">
        <f>IF(OR(E1014="",E1014="!!!",F1014="NEW"),"",INDEX(J$1:J1013,SUMPRODUCT(MAX(ROW(E$1:E1013)*(E1014=E$1:E1013)))))</f>
        <v> </v>
      </c>
      <c r="L1014" s="27"/>
    </row>
    <row r="1015" spans="1:12">
      <c r="A1015" s="20" t="s">
        <v>1014</v>
      </c>
      <c r="E1015" s="22">
        <f>IF(D1015="?OLD","!!!","")</f>
        <v/>
      </c>
      <c r="F1015" s="23" t="str">
        <f>IF(OR(E1015="",E1015="!!!"),"",IF(NOT(ISNA(VLOOKUP(E1015,E$1:E1014,1,FALSE()))),"OLD",IF(AND(E1015&lt;&gt;"",E1015&lt;&gt;"!!!"),"NEW","")))</f>
        <v> </v>
      </c>
      <c r="G1015" s="24" t="str">
        <f>IF(OR(E1015="",E1015="!!!"),"",IF(OR(J1015=0,AND(J1015=1,K1015=1),AND(J1015=1,I1015="SBJ"),AND(J1015=1,I1015=0)),"?IN_FOCUS",IF(J1015&lt;=2,"?ACTIVATED",IF(J1015&lt;&gt;"","?FAMILIAR",IF(F1015="NEW",IF(ISNA(VLOOKUP(E1015,#REF!,1,FALSE())),"?TYPE_IDENTIFIABLE","?REFERENTIAL"),"_")))))</f>
        <v> </v>
      </c>
      <c r="H1015" s="25" t="str">
        <f>IF(J1015&lt;&gt;1,"",IF(I1015="SBJ","CB","?"))</f>
        <v> </v>
      </c>
      <c r="I1015" s="26" t="str">
        <f>IF(OR(E1015="",E1015="!!!",F1015="NEW"),"",INDEX(B1014:B$2,-1+SUMPRODUCT(MAX(ROW(E1014:E$2)*(E1015=E1014:E$2)))))</f>
        <v> </v>
      </c>
      <c r="J1015" s="26" t="str">
        <f>IF(OR(E1015="",E1015="!!!",F1015="NEW"),"",COUNTBLANK(OFFSET(A$1,,,SUMPRODUCT(MAX(ROW(E$2:E1015)*(E1015=E$2:E1015)))))-COUNTBLANK(OFFSET(A$1,,,SUMPRODUCT(MAX(ROW(E$1:E1014)*(E2=E$1:E1014))))))</f>
        <v> </v>
      </c>
      <c r="K1015" s="26" t="str">
        <f>IF(OR(E1015="",E1015="!!!",F1015="NEW"),"",INDEX(J$1:J1014,SUMPRODUCT(MAX(ROW(E$1:E1014)*(E1015=E$1:E1014)))))</f>
        <v> </v>
      </c>
      <c r="L1015" s="27"/>
    </row>
    <row r="1016" spans="1:12">
      <c r="A1016" s="20" t="s">
        <v>1433</v>
      </c>
      <c r="E1016" s="22">
        <f>IF(D1016="?OLD","!!!","")</f>
        <v/>
      </c>
      <c r="F1016" s="23" t="str">
        <f>IF(OR(E1016="",E1016="!!!"),"",IF(NOT(ISNA(VLOOKUP(E1016,E$1:E1015,1,FALSE()))),"OLD",IF(AND(E1016&lt;&gt;"",E1016&lt;&gt;"!!!"),"NEW","")))</f>
        <v> </v>
      </c>
      <c r="G1016" s="24" t="str">
        <f>IF(OR(E1016="",E1016="!!!"),"",IF(OR(J1016=0,AND(J1016=1,K1016=1),AND(J1016=1,I1016="SBJ"),AND(J1016=1,I1016=0)),"?IN_FOCUS",IF(J1016&lt;=2,"?ACTIVATED",IF(J1016&lt;&gt;"","?FAMILIAR",IF(F1016="NEW",IF(ISNA(VLOOKUP(E1016,#REF!,1,FALSE())),"?TYPE_IDENTIFIABLE","?REFERENTIAL"),"_")))))</f>
        <v> </v>
      </c>
      <c r="H1016" s="25" t="str">
        <f>IF(J1016&lt;&gt;1,"",IF(I1016="SBJ","CB","?"))</f>
        <v> </v>
      </c>
      <c r="I1016" s="26" t="str">
        <f>IF(OR(E1016="",E1016="!!!",F1016="NEW"),"",INDEX(B1015:B$2,-1+SUMPRODUCT(MAX(ROW(E1015:E$2)*(E1016=E1015:E$2)))))</f>
        <v> </v>
      </c>
      <c r="J1016" s="26" t="str">
        <f>IF(OR(E1016="",E1016="!!!",F1016="NEW"),"",COUNTBLANK(OFFSET(A$1,,,SUMPRODUCT(MAX(ROW(E$2:E1016)*(E1016=E$2:E1016)))))-COUNTBLANK(OFFSET(A$1,,,SUMPRODUCT(MAX(ROW(E$1:E1015)*(E2=E$1:E1015))))))</f>
        <v> </v>
      </c>
      <c r="K1016" s="26" t="str">
        <f>IF(OR(E1016="",E1016="!!!",F1016="NEW"),"",INDEX(J$1:J1015,SUMPRODUCT(MAX(ROW(E$1:E1015)*(E1016=E$1:E1015)))))</f>
        <v> </v>
      </c>
      <c r="L1016" s="27"/>
    </row>
    <row r="1017" spans="1:12">
      <c r="A1017" s="20" t="s">
        <v>102</v>
      </c>
      <c r="E1017" s="22">
        <f>IF(D1017="?OLD","!!!","")</f>
        <v/>
      </c>
      <c r="F1017" s="23" t="str">
        <f>IF(OR(E1017="",E1017="!!!"),"",IF(NOT(ISNA(VLOOKUP(E1017,E$1:E1016,1,FALSE()))),"OLD",IF(AND(E1017&lt;&gt;"",E1017&lt;&gt;"!!!"),"NEW","")))</f>
        <v> </v>
      </c>
      <c r="G1017" s="24" t="str">
        <f>IF(OR(E1017="",E1017="!!!"),"",IF(OR(J1017=0,AND(J1017=1,K1017=1),AND(J1017=1,I1017="SBJ"),AND(J1017=1,I1017=0)),"?IN_FOCUS",IF(J1017&lt;=2,"?ACTIVATED",IF(J1017&lt;&gt;"","?FAMILIAR",IF(F1017="NEW",IF(ISNA(VLOOKUP(E1017,#REF!,1,FALSE())),"?TYPE_IDENTIFIABLE","?REFERENTIAL"),"_")))))</f>
        <v> </v>
      </c>
      <c r="H1017" s="25" t="str">
        <f>IF(J1017&lt;&gt;1,"",IF(I1017="SBJ","CB","?"))</f>
        <v> </v>
      </c>
      <c r="I1017" s="26" t="str">
        <f>IF(OR(E1017="",E1017="!!!",F1017="NEW"),"",INDEX(B1016:B$2,-1+SUMPRODUCT(MAX(ROW(E1016:E$2)*(E1017=E1016:E$2)))))</f>
        <v> </v>
      </c>
      <c r="J1017" s="26" t="str">
        <f>IF(OR(E1017="",E1017="!!!",F1017="NEW"),"",COUNTBLANK(OFFSET(A$1,,,SUMPRODUCT(MAX(ROW(E$2:E1017)*(E1017=E$2:E1017)))))-COUNTBLANK(OFFSET(A$1,,,SUMPRODUCT(MAX(ROW(E$1:E1016)*(E2=E$1:E1016))))))</f>
        <v> </v>
      </c>
      <c r="K1017" s="26" t="str">
        <f>IF(OR(E1017="",E1017="!!!",F1017="NEW"),"",INDEX(J$1:J1016,SUMPRODUCT(MAX(ROW(E$1:E1016)*(E1017=E$1:E1016)))))</f>
        <v> </v>
      </c>
      <c r="L1017" s="27"/>
    </row>
    <row r="1018" spans="1:12">
      <c r="A1018" s="20" t="s">
        <v>1434</v>
      </c>
      <c r="B1018" s="21" t="s">
        <v>1044</v>
      </c>
      <c r="C1018" s="21" t="s">
        <v>1017</v>
      </c>
      <c r="D1018" s="21" t="s">
        <v>1007</v>
      </c>
      <c r="E1018" s="22">
        <f>IF(D1018="?OLD","!!!","")</f>
        <v/>
      </c>
      <c r="F1018" s="23" t="str">
        <f>IF(OR(E1018="",E1018="!!!"),"",IF(NOT(ISNA(VLOOKUP(E1018,E$1:E1017,1,FALSE()))),"OLD",IF(AND(E1018&lt;&gt;"",E1018&lt;&gt;"!!!"),"NEW","")))</f>
        <v> </v>
      </c>
      <c r="G1018" s="24" t="str">
        <f>IF(OR(E1018="",E1018="!!!"),"",IF(OR(J1018=0,AND(J1018=1,K1018=1),AND(J1018=1,I1018="SBJ"),AND(J1018=1,I1018=0)),"?IN_FOCUS",IF(J1018&lt;=2,"?ACTIVATED",IF(J1018&lt;&gt;"","?FAMILIAR",IF(F1018="NEW",IF(ISNA(VLOOKUP(E1018,#REF!,1,FALSE())),"?TYPE_IDENTIFIABLE","?REFERENTIAL"),"_")))))</f>
        <v> </v>
      </c>
      <c r="H1018" s="25" t="str">
        <f>IF(J1018&lt;&gt;1,"",IF(I1018="SBJ","CB","?"))</f>
        <v> </v>
      </c>
      <c r="I1018" s="26" t="str">
        <f>IF(OR(E1018="",E1018="!!!",F1018="NEW"),"",INDEX(B1017:B$2,-1+SUMPRODUCT(MAX(ROW(E1017:E$2)*(E1018=E1017:E$2)))))</f>
        <v> </v>
      </c>
      <c r="J1018" s="26" t="str">
        <f>IF(OR(E1018="",E1018="!!!",F1018="NEW"),"",COUNTBLANK(OFFSET(A$1,,,SUMPRODUCT(MAX(ROW(E$2:E1018)*(E1018=E$2:E1018)))))-COUNTBLANK(OFFSET(A$1,,,SUMPRODUCT(MAX(ROW(E$1:E1017)*(E2=E$1:E1017))))))</f>
        <v> </v>
      </c>
      <c r="K1018" s="26" t="str">
        <f>IF(OR(E1018="",E1018="!!!",F1018="NEW"),"",INDEX(J$1:J1017,SUMPRODUCT(MAX(ROW(E$1:E1017)*(E1018=E$1:E1017)))))</f>
        <v> </v>
      </c>
      <c r="L1018" s="27"/>
    </row>
    <row r="1019" spans="1:12">
      <c r="A1019" s="20" t="s">
        <v>1018</v>
      </c>
      <c r="E1019" s="22">
        <f>IF(D1019="?OLD","!!!","")</f>
        <v/>
      </c>
      <c r="F1019" s="23" t="str">
        <f>IF(OR(E1019="",E1019="!!!"),"",IF(NOT(ISNA(VLOOKUP(E1019,E$1:E1018,1,FALSE()))),"OLD",IF(AND(E1019&lt;&gt;"",E1019&lt;&gt;"!!!"),"NEW","")))</f>
        <v> </v>
      </c>
      <c r="G1019" s="24" t="str">
        <f>IF(OR(E1019="",E1019="!!!"),"",IF(OR(J1019=0,AND(J1019=1,K1019=1),AND(J1019=1,I1019="SBJ"),AND(J1019=1,I1019=0)),"?IN_FOCUS",IF(J1019&lt;=2,"?ACTIVATED",IF(J1019&lt;&gt;"","?FAMILIAR",IF(F1019="NEW",IF(ISNA(VLOOKUP(E1019,#REF!,1,FALSE())),"?TYPE_IDENTIFIABLE","?REFERENTIAL"),"_")))))</f>
        <v> </v>
      </c>
      <c r="H1019" s="25" t="str">
        <f>IF(J1019&lt;&gt;1,"",IF(I1019="SBJ","CB","?"))</f>
        <v> </v>
      </c>
      <c r="I1019" s="26" t="str">
        <f>IF(OR(E1019="",E1019="!!!",F1019="NEW"),"",INDEX(B1018:B$2,-1+SUMPRODUCT(MAX(ROW(E1018:E$2)*(E1019=E1018:E$2)))))</f>
        <v> </v>
      </c>
      <c r="J1019" s="26" t="str">
        <f>IF(OR(E1019="",E1019="!!!",F1019="NEW"),"",COUNTBLANK(OFFSET(A$1,,,SUMPRODUCT(MAX(ROW(E$2:E1019)*(E1019=E$2:E1019)))))-COUNTBLANK(OFFSET(A$1,,,SUMPRODUCT(MAX(ROW(E$1:E1018)*(E2=E$1:E1018))))))</f>
        <v> </v>
      </c>
      <c r="K1019" s="26" t="str">
        <f>IF(OR(E1019="",E1019="!!!",F1019="NEW"),"",INDEX(J$1:J1018,SUMPRODUCT(MAX(ROW(E$1:E1018)*(E1019=E$1:E1018)))))</f>
        <v> </v>
      </c>
      <c r="L1019" s="27"/>
    </row>
    <row r="1020" spans="1:12">
      <c r="A1020" s="20" t="s">
        <v>1435</v>
      </c>
      <c r="E1020" s="22">
        <f>IF(D1020="?OLD","!!!","")</f>
        <v/>
      </c>
      <c r="F1020" s="23" t="str">
        <f>IF(OR(E1020="",E1020="!!!"),"",IF(NOT(ISNA(VLOOKUP(E1020,E$1:E1019,1,FALSE()))),"OLD",IF(AND(E1020&lt;&gt;"",E1020&lt;&gt;"!!!"),"NEW","")))</f>
        <v> </v>
      </c>
      <c r="G1020" s="24" t="str">
        <f>IF(OR(E1020="",E1020="!!!"),"",IF(OR(J1020=0,AND(J1020=1,K1020=1),AND(J1020=1,I1020="SBJ"),AND(J1020=1,I1020=0)),"?IN_FOCUS",IF(J1020&lt;=2,"?ACTIVATED",IF(J1020&lt;&gt;"","?FAMILIAR",IF(F1020="NEW",IF(ISNA(VLOOKUP(E1020,#REF!,1,FALSE())),"?TYPE_IDENTIFIABLE","?REFERENTIAL"),"_")))))</f>
        <v> </v>
      </c>
      <c r="H1020" s="25" t="str">
        <f>IF(J1020&lt;&gt;1,"",IF(I1020="SBJ","CB","?"))</f>
        <v> </v>
      </c>
      <c r="I1020" s="26" t="str">
        <f>IF(OR(E1020="",E1020="!!!",F1020="NEW"),"",INDEX(B1019:B$2,-1+SUMPRODUCT(MAX(ROW(E1019:E$2)*(E1020=E1019:E$2)))))</f>
        <v> </v>
      </c>
      <c r="J1020" s="26" t="str">
        <f>IF(OR(E1020="",E1020="!!!",F1020="NEW"),"",COUNTBLANK(OFFSET(A$1,,,SUMPRODUCT(MAX(ROW(E$2:E1020)*(E1020=E$2:E1020)))))-COUNTBLANK(OFFSET(A$1,,,SUMPRODUCT(MAX(ROW(E$1:E1019)*(E2=E$1:E1019))))))</f>
        <v> </v>
      </c>
      <c r="K1020" s="26" t="str">
        <f>IF(OR(E1020="",E1020="!!!",F1020="NEW"),"",INDEX(J$1:J1019,SUMPRODUCT(MAX(ROW(E$1:E1019)*(E1020=E$1:E1019)))))</f>
        <v> </v>
      </c>
      <c r="L1020" s="27"/>
    </row>
    <row r="1021" spans="1:12">
      <c r="A1021" s="20" t="s">
        <v>1167</v>
      </c>
      <c r="B1021" s="21" t="s">
        <v>1040</v>
      </c>
      <c r="C1021" s="21" t="s">
        <v>1041</v>
      </c>
      <c r="D1021" s="21" t="s">
        <v>1007</v>
      </c>
      <c r="E1021" s="22">
        <f>IF(D1021="?OLD","!!!","")</f>
        <v/>
      </c>
      <c r="F1021" s="23" t="str">
        <f>IF(OR(E1021="",E1021="!!!"),"",IF(NOT(ISNA(VLOOKUP(E1021,E$1:E1020,1,FALSE()))),"OLD",IF(AND(E1021&lt;&gt;"",E1021&lt;&gt;"!!!"),"NEW","")))</f>
        <v> </v>
      </c>
      <c r="G1021" s="24" t="str">
        <f>IF(OR(E1021="",E1021="!!!"),"",IF(OR(J1021=0,AND(J1021=1,K1021=1),AND(J1021=1,I1021="SBJ"),AND(J1021=1,I1021=0)),"?IN_FOCUS",IF(J1021&lt;=2,"?ACTIVATED",IF(J1021&lt;&gt;"","?FAMILIAR",IF(F1021="NEW",IF(ISNA(VLOOKUP(E1021,#REF!,1,FALSE())),"?TYPE_IDENTIFIABLE","?REFERENTIAL"),"_")))))</f>
        <v> </v>
      </c>
      <c r="H1021" s="25" t="str">
        <f>IF(J1021&lt;&gt;1,"",IF(I1021="SBJ","CB","?"))</f>
        <v> </v>
      </c>
      <c r="I1021" s="26" t="str">
        <f>IF(OR(E1021="",E1021="!!!",F1021="NEW"),"",INDEX(B1020:B$2,-1+SUMPRODUCT(MAX(ROW(E1020:E$2)*(E1021=E1020:E$2)))))</f>
        <v> </v>
      </c>
      <c r="J1021" s="26" t="str">
        <f>IF(OR(E1021="",E1021="!!!",F1021="NEW"),"",COUNTBLANK(OFFSET(A$1,,,SUMPRODUCT(MAX(ROW(E$2:E1021)*(E1021=E$2:E1021)))))-COUNTBLANK(OFFSET(A$1,,,SUMPRODUCT(MAX(ROW(E$1:E1020)*(E2=E$1:E1020))))))</f>
        <v> </v>
      </c>
      <c r="K1021" s="26" t="str">
        <f>IF(OR(E1021="",E1021="!!!",F1021="NEW"),"",INDEX(J$1:J1020,SUMPRODUCT(MAX(ROW(E$1:E1020)*(E1021=E$1:E1020)))))</f>
        <v> </v>
      </c>
      <c r="L1021" s="27"/>
    </row>
    <row r="1022" spans="1:12">
      <c r="A1022" s="20" t="s">
        <v>1014</v>
      </c>
      <c r="E1022" s="22">
        <f>IF(D1022="?OLD","!!!","")</f>
        <v/>
      </c>
      <c r="F1022" s="23" t="str">
        <f>IF(OR(E1022="",E1022="!!!"),"",IF(NOT(ISNA(VLOOKUP(E1022,E$1:E1021,1,FALSE()))),"OLD",IF(AND(E1022&lt;&gt;"",E1022&lt;&gt;"!!!"),"NEW","")))</f>
        <v> </v>
      </c>
      <c r="G1022" s="24" t="str">
        <f>IF(OR(E1022="",E1022="!!!"),"",IF(OR(J1022=0,AND(J1022=1,K1022=1),AND(J1022=1,I1022="SBJ"),AND(J1022=1,I1022=0)),"?IN_FOCUS",IF(J1022&lt;=2,"?ACTIVATED",IF(J1022&lt;&gt;"","?FAMILIAR",IF(F1022="NEW",IF(ISNA(VLOOKUP(E1022,#REF!,1,FALSE())),"?TYPE_IDENTIFIABLE","?REFERENTIAL"),"_")))))</f>
        <v> </v>
      </c>
      <c r="H1022" s="25" t="str">
        <f>IF(J1022&lt;&gt;1,"",IF(I1022="SBJ","CB","?"))</f>
        <v> </v>
      </c>
      <c r="I1022" s="26" t="str">
        <f>IF(OR(E1022="",E1022="!!!",F1022="NEW"),"",INDEX(B1021:B$2,-1+SUMPRODUCT(MAX(ROW(E1021:E$2)*(E1022=E1021:E$2)))))</f>
        <v> </v>
      </c>
      <c r="J1022" s="26" t="str">
        <f>IF(OR(E1022="",E1022="!!!",F1022="NEW"),"",COUNTBLANK(OFFSET(A$1,,,SUMPRODUCT(MAX(ROW(E$2:E1022)*(E1022=E$2:E1022)))))-COUNTBLANK(OFFSET(A$1,,,SUMPRODUCT(MAX(ROW(E$1:E1021)*(E2=E$1:E1021))))))</f>
        <v> </v>
      </c>
      <c r="K1022" s="26" t="str">
        <f>IF(OR(E1022="",E1022="!!!",F1022="NEW"),"",INDEX(J$1:J1021,SUMPRODUCT(MAX(ROW(E$1:E1021)*(E1022=E$1:E1021)))))</f>
        <v> </v>
      </c>
      <c r="L1022" s="27"/>
    </row>
    <row r="1023" spans="1:12">
      <c r="A1023" s="20" t="s">
        <v>1063</v>
      </c>
      <c r="B1023" s="21" t="s">
        <v>1042</v>
      </c>
      <c r="C1023" s="21" t="s">
        <v>1048</v>
      </c>
      <c r="E1023" s="22">
        <f>IF(D1023="?OLD","!!!","")</f>
        <v/>
      </c>
      <c r="F1023" s="23" t="str">
        <f>IF(OR(E1023="",E1023="!!!"),"",IF(NOT(ISNA(VLOOKUP(E1023,E$1:E1022,1,FALSE()))),"OLD",IF(AND(E1023&lt;&gt;"",E1023&lt;&gt;"!!!"),"NEW","")))</f>
        <v> </v>
      </c>
      <c r="G1023" s="24" t="str">
        <f>IF(OR(E1023="",E1023="!!!"),"",IF(OR(J1023=0,AND(J1023=1,K1023=1),AND(J1023=1,I1023="SBJ"),AND(J1023=1,I1023=0)),"?IN_FOCUS",IF(J1023&lt;=2,"?ACTIVATED",IF(J1023&lt;&gt;"","?FAMILIAR",IF(F1023="NEW",IF(ISNA(VLOOKUP(E1023,#REF!,1,FALSE())),"?TYPE_IDENTIFIABLE","?REFERENTIAL"),"_")))))</f>
        <v> </v>
      </c>
      <c r="H1023" s="25" t="str">
        <f>IF(J1023&lt;&gt;1,"",IF(I1023="SBJ","CB","?"))</f>
        <v> </v>
      </c>
      <c r="I1023" s="26" t="str">
        <f>IF(OR(E1023="",E1023="!!!",F1023="NEW"),"",INDEX(B1022:B$2,-1+SUMPRODUCT(MAX(ROW(E1022:E$2)*(E1023=E1022:E$2)))))</f>
        <v> </v>
      </c>
      <c r="J1023" s="26" t="str">
        <f>IF(OR(E1023="",E1023="!!!",F1023="NEW"),"",COUNTBLANK(OFFSET(A$1,,,SUMPRODUCT(MAX(ROW(E$2:E1023)*(E1023=E$2:E1023)))))-COUNTBLANK(OFFSET(A$1,,,SUMPRODUCT(MAX(ROW(E$1:E1022)*(E2=E$1:E1022))))))</f>
        <v> </v>
      </c>
      <c r="K1023" s="26" t="str">
        <f>IF(OR(E1023="",E1023="!!!",F1023="NEW"),"",INDEX(J$1:J1022,SUMPRODUCT(MAX(ROW(E$1:E1022)*(E1023=E$1:E1022)))))</f>
        <v> </v>
      </c>
      <c r="L1023" s="27"/>
    </row>
    <row r="1024" spans="1:12">
      <c r="A1024" s="20" t="s">
        <v>1018</v>
      </c>
      <c r="E1024" s="22">
        <f>IF(D1024="?OLD","!!!","")</f>
        <v/>
      </c>
      <c r="F1024" s="23" t="str">
        <f>IF(OR(E1024="",E1024="!!!"),"",IF(NOT(ISNA(VLOOKUP(E1024,E$1:E1023,1,FALSE()))),"OLD",IF(AND(E1024&lt;&gt;"",E1024&lt;&gt;"!!!"),"NEW","")))</f>
        <v> </v>
      </c>
      <c r="G1024" s="24" t="str">
        <f>IF(OR(E1024="",E1024="!!!"),"",IF(OR(J1024=0,AND(J1024=1,K1024=1),AND(J1024=1,I1024="SBJ"),AND(J1024=1,I1024=0)),"?IN_FOCUS",IF(J1024&lt;=2,"?ACTIVATED",IF(J1024&lt;&gt;"","?FAMILIAR",IF(F1024="NEW",IF(ISNA(VLOOKUP(E1024,#REF!,1,FALSE())),"?TYPE_IDENTIFIABLE","?REFERENTIAL"),"_")))))</f>
        <v> </v>
      </c>
      <c r="H1024" s="25" t="str">
        <f>IF(J1024&lt;&gt;1,"",IF(I1024="SBJ","CB","?"))</f>
        <v> </v>
      </c>
      <c r="I1024" s="26" t="str">
        <f>IF(OR(E1024="",E1024="!!!",F1024="NEW"),"",INDEX(B1023:B$2,-1+SUMPRODUCT(MAX(ROW(E1023:E$2)*(E1024=E1023:E$2)))))</f>
        <v> </v>
      </c>
      <c r="J1024" s="26" t="str">
        <f>IF(OR(E1024="",E1024="!!!",F1024="NEW"),"",COUNTBLANK(OFFSET(A$1,,,SUMPRODUCT(MAX(ROW(E$2:E1024)*(E1024=E$2:E1024)))))-COUNTBLANK(OFFSET(A$1,,,SUMPRODUCT(MAX(ROW(E$1:E1023)*(E2=E$1:E1023))))))</f>
        <v> </v>
      </c>
      <c r="K1024" s="26" t="str">
        <f>IF(OR(E1024="",E1024="!!!",F1024="NEW"),"",INDEX(J$1:J1023,SUMPRODUCT(MAX(ROW(E$1:E1023)*(E1024=E$1:E1023)))))</f>
        <v> </v>
      </c>
      <c r="L1024" s="27"/>
    </row>
    <row r="1025" spans="1:12">
      <c r="A1025" s="20" t="s">
        <v>1436</v>
      </c>
      <c r="E1025" s="22">
        <f>IF(D1025="?OLD","!!!","")</f>
        <v/>
      </c>
      <c r="F1025" s="23" t="str">
        <f>IF(OR(E1025="",E1025="!!!"),"",IF(NOT(ISNA(VLOOKUP(E1025,E$1:E1024,1,FALSE()))),"OLD",IF(AND(E1025&lt;&gt;"",E1025&lt;&gt;"!!!"),"NEW","")))</f>
        <v> </v>
      </c>
      <c r="G1025" s="24" t="str">
        <f>IF(OR(E1025="",E1025="!!!"),"",IF(OR(J1025=0,AND(J1025=1,K1025=1),AND(J1025=1,I1025="SBJ"),AND(J1025=1,I1025=0)),"?IN_FOCUS",IF(J1025&lt;=2,"?ACTIVATED",IF(J1025&lt;&gt;"","?FAMILIAR",IF(F1025="NEW",IF(ISNA(VLOOKUP(E1025,#REF!,1,FALSE())),"?TYPE_IDENTIFIABLE","?REFERENTIAL"),"_")))))</f>
        <v> </v>
      </c>
      <c r="H1025" s="25" t="str">
        <f>IF(J1025&lt;&gt;1,"",IF(I1025="SBJ","CB","?"))</f>
        <v> </v>
      </c>
      <c r="I1025" s="26" t="str">
        <f>IF(OR(E1025="",E1025="!!!",F1025="NEW"),"",INDEX(B1024:B$2,-1+SUMPRODUCT(MAX(ROW(E1024:E$2)*(E1025=E1024:E$2)))))</f>
        <v> </v>
      </c>
      <c r="J1025" s="26" t="str">
        <f>IF(OR(E1025="",E1025="!!!",F1025="NEW"),"",COUNTBLANK(OFFSET(A$1,,,SUMPRODUCT(MAX(ROW(E$2:E1025)*(E1025=E$2:E1025)))))-COUNTBLANK(OFFSET(A$1,,,SUMPRODUCT(MAX(ROW(E$1:E1024)*(E2=E$1:E1024))))))</f>
        <v> </v>
      </c>
      <c r="K1025" s="26" t="str">
        <f>IF(OR(E1025="",E1025="!!!",F1025="NEW"),"",INDEX(J$1:J1024,SUMPRODUCT(MAX(ROW(E$1:E1024)*(E1025=E$1:E1024)))))</f>
        <v> </v>
      </c>
      <c r="L1025" s="27"/>
    </row>
    <row r="1026" spans="1:12">
      <c r="A1026" s="20" t="s">
        <v>1182</v>
      </c>
      <c r="E1026" s="22">
        <f>IF(D1026="?OLD","!!!","")</f>
        <v/>
      </c>
      <c r="F1026" s="23" t="str">
        <f>IF(OR(E1026="",E1026="!!!"),"",IF(NOT(ISNA(VLOOKUP(E1026,E$1:E1025,1,FALSE()))),"OLD",IF(AND(E1026&lt;&gt;"",E1026&lt;&gt;"!!!"),"NEW","")))</f>
        <v> </v>
      </c>
      <c r="G1026" s="24" t="str">
        <f>IF(OR(E1026="",E1026="!!!"),"",IF(OR(J1026=0,AND(J1026=1,K1026=1),AND(J1026=1,I1026="SBJ"),AND(J1026=1,I1026=0)),"?IN_FOCUS",IF(J1026&lt;=2,"?ACTIVATED",IF(J1026&lt;&gt;"","?FAMILIAR",IF(F1026="NEW",IF(ISNA(VLOOKUP(E1026,#REF!,1,FALSE())),"?TYPE_IDENTIFIABLE","?REFERENTIAL"),"_")))))</f>
        <v> </v>
      </c>
      <c r="H1026" s="25" t="str">
        <f>IF(J1026&lt;&gt;1,"",IF(I1026="SBJ","CB","?"))</f>
        <v> </v>
      </c>
      <c r="I1026" s="26" t="str">
        <f>IF(OR(E1026="",E1026="!!!",F1026="NEW"),"",INDEX(B1025:B$2,-1+SUMPRODUCT(MAX(ROW(E1025:E$2)*(E1026=E1025:E$2)))))</f>
        <v> </v>
      </c>
      <c r="J1026" s="26" t="str">
        <f>IF(OR(E1026="",E1026="!!!",F1026="NEW"),"",COUNTBLANK(OFFSET(A$1,,,SUMPRODUCT(MAX(ROW(E$2:E1026)*(E1026=E$2:E1026)))))-COUNTBLANK(OFFSET(A$1,,,SUMPRODUCT(MAX(ROW(E$1:E1025)*(E2=E$1:E1025))))))</f>
        <v> </v>
      </c>
      <c r="K1026" s="26" t="str">
        <f>IF(OR(E1026="",E1026="!!!",F1026="NEW"),"",INDEX(J$1:J1025,SUMPRODUCT(MAX(ROW(E$1:E1025)*(E1026=E$1:E1025)))))</f>
        <v> </v>
      </c>
      <c r="L1026" s="27"/>
    </row>
    <row r="1027" spans="1:12">
      <c r="A1027" s="20" t="s">
        <v>1149</v>
      </c>
      <c r="B1027" s="21" t="s">
        <v>1437</v>
      </c>
      <c r="E1027" s="22">
        <f>IF(D1027="?OLD","!!!","")</f>
        <v/>
      </c>
      <c r="F1027" s="23" t="str">
        <f>IF(OR(E1027="",E1027="!!!"),"",IF(NOT(ISNA(VLOOKUP(E1027,E$1:E1026,1,FALSE()))),"OLD",IF(AND(E1027&lt;&gt;"",E1027&lt;&gt;"!!!"),"NEW","")))</f>
        <v> </v>
      </c>
      <c r="G1027" s="24" t="str">
        <f>IF(OR(E1027="",E1027="!!!"),"",IF(OR(J1027=0,AND(J1027=1,K1027=1),AND(J1027=1,I1027="SBJ"),AND(J1027=1,I1027=0)),"?IN_FOCUS",IF(J1027&lt;=2,"?ACTIVATED",IF(J1027&lt;&gt;"","?FAMILIAR",IF(F1027="NEW",IF(ISNA(VLOOKUP(E1027,#REF!,1,FALSE())),"?TYPE_IDENTIFIABLE","?REFERENTIAL"),"_")))))</f>
        <v> </v>
      </c>
      <c r="H1027" s="25" t="str">
        <f>IF(J1027&lt;&gt;1,"",IF(I1027="SBJ","CB","?"))</f>
        <v> </v>
      </c>
      <c r="I1027" s="26" t="str">
        <f>IF(OR(E1027="",E1027="!!!",F1027="NEW"),"",INDEX(B1026:B$2,-1+SUMPRODUCT(MAX(ROW(E1026:E$2)*(E1027=E1026:E$2)))))</f>
        <v> </v>
      </c>
      <c r="J1027" s="26" t="str">
        <f>IF(OR(E1027="",E1027="!!!",F1027="NEW"),"",COUNTBLANK(OFFSET(A$1,,,SUMPRODUCT(MAX(ROW(E$2:E1027)*(E1027=E$2:E1027)))))-COUNTBLANK(OFFSET(A$1,,,SUMPRODUCT(MAX(ROW(E$1:E1026)*(E2=E$1:E1026))))))</f>
        <v> </v>
      </c>
      <c r="K1027" s="26" t="str">
        <f>IF(OR(E1027="",E1027="!!!",F1027="NEW"),"",INDEX(J$1:J1026,SUMPRODUCT(MAX(ROW(E$1:E1026)*(E1027=E$1:E1026)))))</f>
        <v> </v>
      </c>
      <c r="L1027" s="27"/>
    </row>
    <row r="1028" spans="1:12">
      <c r="A1028" s="20" t="s">
        <v>1438</v>
      </c>
      <c r="E1028" s="22">
        <f>IF(D1028="?OLD","!!!","")</f>
        <v/>
      </c>
      <c r="F1028" s="23" t="str">
        <f>IF(OR(E1028="",E1028="!!!"),"",IF(NOT(ISNA(VLOOKUP(E1028,E$1:E1027,1,FALSE()))),"OLD",IF(AND(E1028&lt;&gt;"",E1028&lt;&gt;"!!!"),"NEW","")))</f>
        <v> </v>
      </c>
      <c r="G1028" s="24" t="str">
        <f>IF(OR(E1028="",E1028="!!!"),"",IF(OR(J1028=0,AND(J1028=1,K1028=1),AND(J1028=1,I1028="SBJ"),AND(J1028=1,I1028=0)),"?IN_FOCUS",IF(J1028&lt;=2,"?ACTIVATED",IF(J1028&lt;&gt;"","?FAMILIAR",IF(F1028="NEW",IF(ISNA(VLOOKUP(E1028,#REF!,1,FALSE())),"?TYPE_IDENTIFIABLE","?REFERENTIAL"),"_")))))</f>
        <v> </v>
      </c>
      <c r="H1028" s="25" t="str">
        <f>IF(J1028&lt;&gt;1,"",IF(I1028="SBJ","CB","?"))</f>
        <v> </v>
      </c>
      <c r="I1028" s="26" t="str">
        <f>IF(OR(E1028="",E1028="!!!",F1028="NEW"),"",INDEX(B1027:B$2,-1+SUMPRODUCT(MAX(ROW(E1027:E$2)*(E1028=E1027:E$2)))))</f>
        <v> </v>
      </c>
      <c r="J1028" s="26" t="str">
        <f>IF(OR(E1028="",E1028="!!!",F1028="NEW"),"",COUNTBLANK(OFFSET(A$1,,,SUMPRODUCT(MAX(ROW(E$2:E1028)*(E1028=E$2:E1028)))))-COUNTBLANK(OFFSET(A$1,,,SUMPRODUCT(MAX(ROW(E$1:E1027)*(E2=E$1:E1027))))))</f>
        <v> </v>
      </c>
      <c r="K1028" s="26" t="str">
        <f>IF(OR(E1028="",E1028="!!!",F1028="NEW"),"",INDEX(J$1:J1027,SUMPRODUCT(MAX(ROW(E$1:E1027)*(E1028=E$1:E1027)))))</f>
        <v> </v>
      </c>
      <c r="L1028" s="27"/>
    </row>
    <row r="1029" spans="1:12">
      <c r="A1029" s="20" t="s">
        <v>1020</v>
      </c>
      <c r="E1029" s="22">
        <f>IF(D1029="?OLD","!!!","")</f>
        <v/>
      </c>
      <c r="F1029" s="23" t="str">
        <f>IF(OR(E1029="",E1029="!!!"),"",IF(NOT(ISNA(VLOOKUP(E1029,E$1:E1028,1,FALSE()))),"OLD",IF(AND(E1029&lt;&gt;"",E1029&lt;&gt;"!!!"),"NEW","")))</f>
        <v> </v>
      </c>
      <c r="G1029" s="24" t="str">
        <f>IF(OR(E1029="",E1029="!!!"),"",IF(OR(J1029=0,AND(J1029=1,K1029=1),AND(J1029=1,I1029="SBJ"),AND(J1029=1,I1029=0)),"?IN_FOCUS",IF(J1029&lt;=2,"?ACTIVATED",IF(J1029&lt;&gt;"","?FAMILIAR",IF(F1029="NEW",IF(ISNA(VLOOKUP(E1029,#REF!,1,FALSE())),"?TYPE_IDENTIFIABLE","?REFERENTIAL"),"_")))))</f>
        <v> </v>
      </c>
      <c r="H1029" s="25" t="str">
        <f>IF(J1029&lt;&gt;1,"",IF(I1029="SBJ","CB","?"))</f>
        <v> </v>
      </c>
      <c r="I1029" s="26" t="str">
        <f>IF(OR(E1029="",E1029="!!!",F1029="NEW"),"",INDEX(B1028:B$2,-1+SUMPRODUCT(MAX(ROW(E1028:E$2)*(E1029=E1028:E$2)))))</f>
        <v> </v>
      </c>
      <c r="J1029" s="26" t="str">
        <f>IF(OR(E1029="",E1029="!!!",F1029="NEW"),"",COUNTBLANK(OFFSET(A$1,,,SUMPRODUCT(MAX(ROW(E$2:E1029)*(E1029=E$2:E1029)))))-COUNTBLANK(OFFSET(A$1,,,SUMPRODUCT(MAX(ROW(E$1:E1028)*(E2=E$1:E1028))))))</f>
        <v> </v>
      </c>
      <c r="K1029" s="26" t="str">
        <f>IF(OR(E1029="",E1029="!!!",F1029="NEW"),"",INDEX(J$1:J1028,SUMPRODUCT(MAX(ROW(E$1:E1028)*(E1029=E$1:E1028)))))</f>
        <v> </v>
      </c>
      <c r="L1029" s="27"/>
    </row>
    <row r="1030" spans="1:12">
      <c r="A1030" s="20" t="s">
        <v>1406</v>
      </c>
      <c r="E1030" s="22">
        <f>IF(D1030="?OLD","!!!","")</f>
        <v/>
      </c>
      <c r="F1030" s="23" t="str">
        <f>IF(OR(E1030="",E1030="!!!"),"",IF(NOT(ISNA(VLOOKUP(E1030,E$1:E1029,1,FALSE()))),"OLD",IF(AND(E1030&lt;&gt;"",E1030&lt;&gt;"!!!"),"NEW","")))</f>
        <v> </v>
      </c>
      <c r="G1030" s="24" t="str">
        <f>IF(OR(E1030="",E1030="!!!"),"",IF(OR(J1030=0,AND(J1030=1,K1030=1),AND(J1030=1,I1030="SBJ"),AND(J1030=1,I1030=0)),"?IN_FOCUS",IF(J1030&lt;=2,"?ACTIVATED",IF(J1030&lt;&gt;"","?FAMILIAR",IF(F1030="NEW",IF(ISNA(VLOOKUP(E1030,#REF!,1,FALSE())),"?TYPE_IDENTIFIABLE","?REFERENTIAL"),"_")))))</f>
        <v> </v>
      </c>
      <c r="H1030" s="25" t="str">
        <f>IF(J1030&lt;&gt;1,"",IF(I1030="SBJ","CB","?"))</f>
        <v> </v>
      </c>
      <c r="I1030" s="26" t="str">
        <f>IF(OR(E1030="",E1030="!!!",F1030="NEW"),"",INDEX(B1029:B$2,-1+SUMPRODUCT(MAX(ROW(E1029:E$2)*(E1030=E1029:E$2)))))</f>
        <v> </v>
      </c>
      <c r="J1030" s="26" t="str">
        <f>IF(OR(E1030="",E1030="!!!",F1030="NEW"),"",COUNTBLANK(OFFSET(A$1,,,SUMPRODUCT(MAX(ROW(E$2:E1030)*(E1030=E$2:E1030)))))-COUNTBLANK(OFFSET(A$1,,,SUMPRODUCT(MAX(ROW(E$1:E1029)*(E2=E$1:E1029))))))</f>
        <v> </v>
      </c>
      <c r="K1030" s="26" t="str">
        <f>IF(OR(E1030="",E1030="!!!",F1030="NEW"),"",INDEX(J$1:J1029,SUMPRODUCT(MAX(ROW(E$1:E1029)*(E1030=E$1:E1029)))))</f>
        <v> </v>
      </c>
      <c r="L1030" s="27"/>
    </row>
    <row r="1031" spans="1:12">
      <c r="A1031" s="20" t="s">
        <v>1018</v>
      </c>
      <c r="E1031" s="22">
        <f>IF(D1031="?OLD","!!!","")</f>
        <v/>
      </c>
      <c r="F1031" s="23" t="str">
        <f>IF(OR(E1031="",E1031="!!!"),"",IF(NOT(ISNA(VLOOKUP(E1031,E$1:E1030,1,FALSE()))),"OLD",IF(AND(E1031&lt;&gt;"",E1031&lt;&gt;"!!!"),"NEW","")))</f>
        <v> </v>
      </c>
      <c r="G1031" s="24" t="str">
        <f>IF(OR(E1031="",E1031="!!!"),"",IF(OR(J1031=0,AND(J1031=1,K1031=1),AND(J1031=1,I1031="SBJ"),AND(J1031=1,I1031=0)),"?IN_FOCUS",IF(J1031&lt;=2,"?ACTIVATED",IF(J1031&lt;&gt;"","?FAMILIAR",IF(F1031="NEW",IF(ISNA(VLOOKUP(E1031,#REF!,1,FALSE())),"?TYPE_IDENTIFIABLE","?REFERENTIAL"),"_")))))</f>
        <v> </v>
      </c>
      <c r="H1031" s="25" t="str">
        <f>IF(J1031&lt;&gt;1,"",IF(I1031="SBJ","CB","?"))</f>
        <v> </v>
      </c>
      <c r="I1031" s="26" t="str">
        <f>IF(OR(E1031="",E1031="!!!",F1031="NEW"),"",INDEX(B1030:B$2,-1+SUMPRODUCT(MAX(ROW(E1030:E$2)*(E1031=E1030:E$2)))))</f>
        <v> </v>
      </c>
      <c r="J1031" s="26" t="str">
        <f>IF(OR(E1031="",E1031="!!!",F1031="NEW"),"",COUNTBLANK(OFFSET(A$1,,,SUMPRODUCT(MAX(ROW(E$2:E1031)*(E1031=E$2:E1031)))))-COUNTBLANK(OFFSET(A$1,,,SUMPRODUCT(MAX(ROW(E$1:E1030)*(E2=E$1:E1030))))))</f>
        <v> </v>
      </c>
      <c r="K1031" s="26" t="str">
        <f>IF(OR(E1031="",E1031="!!!",F1031="NEW"),"",INDEX(J$1:J1030,SUMPRODUCT(MAX(ROW(E$1:E1030)*(E1031=E$1:E1030)))))</f>
        <v> </v>
      </c>
      <c r="L1031" s="27"/>
    </row>
    <row r="1032" spans="1:12">
      <c r="A1032" s="20" t="s">
        <v>1137</v>
      </c>
      <c r="E1032" s="22">
        <f>IF(D1032="?OLD","!!!","")</f>
        <v/>
      </c>
      <c r="F1032" s="23" t="str">
        <f>IF(OR(E1032="",E1032="!!!"),"",IF(NOT(ISNA(VLOOKUP(E1032,E$1:E1031,1,FALSE()))),"OLD",IF(AND(E1032&lt;&gt;"",E1032&lt;&gt;"!!!"),"NEW","")))</f>
        <v> </v>
      </c>
      <c r="G1032" s="24" t="str">
        <f>IF(OR(E1032="",E1032="!!!"),"",IF(OR(J1032=0,AND(J1032=1,K1032=1),AND(J1032=1,I1032="SBJ"),AND(J1032=1,I1032=0)),"?IN_FOCUS",IF(J1032&lt;=2,"?ACTIVATED",IF(J1032&lt;&gt;"","?FAMILIAR",IF(F1032="NEW",IF(ISNA(VLOOKUP(E1032,#REF!,1,FALSE())),"?TYPE_IDENTIFIABLE","?REFERENTIAL"),"_")))))</f>
        <v> </v>
      </c>
      <c r="H1032" s="25" t="str">
        <f>IF(J1032&lt;&gt;1,"",IF(I1032="SBJ","CB","?"))</f>
        <v> </v>
      </c>
      <c r="I1032" s="26" t="str">
        <f>IF(OR(E1032="",E1032="!!!",F1032="NEW"),"",INDEX(B1031:B$2,-1+SUMPRODUCT(MAX(ROW(E1031:E$2)*(E1032=E1031:E$2)))))</f>
        <v> </v>
      </c>
      <c r="J1032" s="26" t="str">
        <f>IF(OR(E1032="",E1032="!!!",F1032="NEW"),"",COUNTBLANK(OFFSET(A$1,,,SUMPRODUCT(MAX(ROW(E$2:E1032)*(E1032=E$2:E1032)))))-COUNTBLANK(OFFSET(A$1,,,SUMPRODUCT(MAX(ROW(E$1:E1031)*(E2=E$1:E1031))))))</f>
        <v> </v>
      </c>
      <c r="K1032" s="26" t="str">
        <f>IF(OR(E1032="",E1032="!!!",F1032="NEW"),"",INDEX(J$1:J1031,SUMPRODUCT(MAX(ROW(E$1:E1031)*(E1032=E$1:E1031)))))</f>
        <v> </v>
      </c>
      <c r="L1032" s="27"/>
    </row>
    <row r="1033" spans="1:12">
      <c r="A1033" s="20" t="s">
        <v>1075</v>
      </c>
      <c r="E1033" s="22">
        <f>IF(D1033="?OLD","!!!","")</f>
        <v/>
      </c>
      <c r="F1033" s="23" t="str">
        <f>IF(OR(E1033="",E1033="!!!"),"",IF(NOT(ISNA(VLOOKUP(E1033,E$1:E1032,1,FALSE()))),"OLD",IF(AND(E1033&lt;&gt;"",E1033&lt;&gt;"!!!"),"NEW","")))</f>
        <v> </v>
      </c>
      <c r="G1033" s="24" t="str">
        <f>IF(OR(E1033="",E1033="!!!"),"",IF(OR(J1033=0,AND(J1033=1,K1033=1),AND(J1033=1,I1033="SBJ"),AND(J1033=1,I1033=0)),"?IN_FOCUS",IF(J1033&lt;=2,"?ACTIVATED",IF(J1033&lt;&gt;"","?FAMILIAR",IF(F1033="NEW",IF(ISNA(VLOOKUP(E1033,#REF!,1,FALSE())),"?TYPE_IDENTIFIABLE","?REFERENTIAL"),"_")))))</f>
        <v> </v>
      </c>
      <c r="H1033" s="25" t="str">
        <f>IF(J1033&lt;&gt;1,"",IF(I1033="SBJ","CB","?"))</f>
        <v> </v>
      </c>
      <c r="I1033" s="26" t="str">
        <f>IF(OR(E1033="",E1033="!!!",F1033="NEW"),"",INDEX(B1032:B$2,-1+SUMPRODUCT(MAX(ROW(E1032:E$2)*(E1033=E1032:E$2)))))</f>
        <v> </v>
      </c>
      <c r="J1033" s="26" t="str">
        <f>IF(OR(E1033="",E1033="!!!",F1033="NEW"),"",COUNTBLANK(OFFSET(A$1,,,SUMPRODUCT(MAX(ROW(E$2:E1033)*(E1033=E$2:E1033)))))-COUNTBLANK(OFFSET(A$1,,,SUMPRODUCT(MAX(ROW(E$1:E1032)*(E2=E$1:E1032))))))</f>
        <v> </v>
      </c>
      <c r="K1033" s="26" t="str">
        <f>IF(OR(E1033="",E1033="!!!",F1033="NEW"),"",INDEX(J$1:J1032,SUMPRODUCT(MAX(ROW(E$1:E1032)*(E1033=E$1:E1032)))))</f>
        <v> </v>
      </c>
      <c r="L1033" s="27"/>
    </row>
    <row r="1034" spans="1:12">
      <c r="A1034" s="20" t="s">
        <v>1065</v>
      </c>
      <c r="E1034" s="22">
        <f>IF(D1034="?OLD","!!!","")</f>
        <v/>
      </c>
      <c r="F1034" s="23" t="str">
        <f>IF(OR(E1034="",E1034="!!!"),"",IF(NOT(ISNA(VLOOKUP(E1034,E$1:E1033,1,FALSE()))),"OLD",IF(AND(E1034&lt;&gt;"",E1034&lt;&gt;"!!!"),"NEW","")))</f>
        <v> </v>
      </c>
      <c r="G1034" s="24" t="str">
        <f>IF(OR(E1034="",E1034="!!!"),"",IF(OR(J1034=0,AND(J1034=1,K1034=1),AND(J1034=1,I1034="SBJ"),AND(J1034=1,I1034=0)),"?IN_FOCUS",IF(J1034&lt;=2,"?ACTIVATED",IF(J1034&lt;&gt;"","?FAMILIAR",IF(F1034="NEW",IF(ISNA(VLOOKUP(E1034,#REF!,1,FALSE())),"?TYPE_IDENTIFIABLE","?REFERENTIAL"),"_")))))</f>
        <v> </v>
      </c>
      <c r="H1034" s="25" t="str">
        <f>IF(J1034&lt;&gt;1,"",IF(I1034="SBJ","CB","?"))</f>
        <v> </v>
      </c>
      <c r="I1034" s="26" t="str">
        <f>IF(OR(E1034="",E1034="!!!",F1034="NEW"),"",INDEX(B1033:B$2,-1+SUMPRODUCT(MAX(ROW(E1033:E$2)*(E1034=E1033:E$2)))))</f>
        <v> </v>
      </c>
      <c r="J1034" s="26" t="str">
        <f>IF(OR(E1034="",E1034="!!!",F1034="NEW"),"",COUNTBLANK(OFFSET(A$1,,,SUMPRODUCT(MAX(ROW(E$2:E1034)*(E1034=E$2:E1034)))))-COUNTBLANK(OFFSET(A$1,,,SUMPRODUCT(MAX(ROW(E$1:E1033)*(E2=E$1:E1033))))))</f>
        <v> </v>
      </c>
      <c r="K1034" s="26" t="str">
        <f>IF(OR(E1034="",E1034="!!!",F1034="NEW"),"",INDEX(J$1:J1033,SUMPRODUCT(MAX(ROW(E$1:E1033)*(E1034=E$1:E1033)))))</f>
        <v> </v>
      </c>
      <c r="L1034" s="27"/>
    </row>
    <row r="1035" spans="1:12">
      <c r="A1035" s="20" t="s">
        <v>1439</v>
      </c>
      <c r="E1035" s="22">
        <f>IF(D1035="?OLD","!!!","")</f>
        <v/>
      </c>
      <c r="F1035" s="23" t="str">
        <f>IF(OR(E1035="",E1035="!!!"),"",IF(NOT(ISNA(VLOOKUP(E1035,E$1:E1034,1,FALSE()))),"OLD",IF(AND(E1035&lt;&gt;"",E1035&lt;&gt;"!!!"),"NEW","")))</f>
        <v> </v>
      </c>
      <c r="G1035" s="24" t="str">
        <f>IF(OR(E1035="",E1035="!!!"),"",IF(OR(J1035=0,AND(J1035=1,K1035=1),AND(J1035=1,I1035="SBJ"),AND(J1035=1,I1035=0)),"?IN_FOCUS",IF(J1035&lt;=2,"?ACTIVATED",IF(J1035&lt;&gt;"","?FAMILIAR",IF(F1035="NEW",IF(ISNA(VLOOKUP(E1035,#REF!,1,FALSE())),"?TYPE_IDENTIFIABLE","?REFERENTIAL"),"_")))))</f>
        <v> </v>
      </c>
      <c r="H1035" s="25" t="str">
        <f>IF(J1035&lt;&gt;1,"",IF(I1035="SBJ","CB","?"))</f>
        <v> </v>
      </c>
      <c r="I1035" s="26" t="str">
        <f>IF(OR(E1035="",E1035="!!!",F1035="NEW"),"",INDEX(B1034:B$2,-1+SUMPRODUCT(MAX(ROW(E1034:E$2)*(E1035=E1034:E$2)))))</f>
        <v> </v>
      </c>
      <c r="J1035" s="26" t="str">
        <f>IF(OR(E1035="",E1035="!!!",F1035="NEW"),"",COUNTBLANK(OFFSET(A$1,,,SUMPRODUCT(MAX(ROW(E$2:E1035)*(E1035=E$2:E1035)))))-COUNTBLANK(OFFSET(A$1,,,SUMPRODUCT(MAX(ROW(E$1:E1034)*(E2=E$1:E1034))))))</f>
        <v> </v>
      </c>
      <c r="K1035" s="26" t="str">
        <f>IF(OR(E1035="",E1035="!!!",F1035="NEW"),"",INDEX(J$1:J1034,SUMPRODUCT(MAX(ROW(E$1:E1034)*(E1035=E$1:E1034)))))</f>
        <v> </v>
      </c>
      <c r="L1035" s="27"/>
    </row>
    <row r="1036" spans="1:12">
      <c r="A1036" s="20" t="s">
        <v>1182</v>
      </c>
      <c r="E1036" s="22">
        <f>IF(D1036="?OLD","!!!","")</f>
        <v/>
      </c>
      <c r="F1036" s="23" t="str">
        <f>IF(OR(E1036="",E1036="!!!"),"",IF(NOT(ISNA(VLOOKUP(E1036,E$1:E1035,1,FALSE()))),"OLD",IF(AND(E1036&lt;&gt;"",E1036&lt;&gt;"!!!"),"NEW","")))</f>
        <v> </v>
      </c>
      <c r="G1036" s="24" t="str">
        <f>IF(OR(E1036="",E1036="!!!"),"",IF(OR(J1036=0,AND(J1036=1,K1036=1),AND(J1036=1,I1036="SBJ"),AND(J1036=1,I1036=0)),"?IN_FOCUS",IF(J1036&lt;=2,"?ACTIVATED",IF(J1036&lt;&gt;"","?FAMILIAR",IF(F1036="NEW",IF(ISNA(VLOOKUP(E1036,#REF!,1,FALSE())),"?TYPE_IDENTIFIABLE","?REFERENTIAL"),"_")))))</f>
        <v> </v>
      </c>
      <c r="H1036" s="25" t="str">
        <f>IF(J1036&lt;&gt;1,"",IF(I1036="SBJ","CB","?"))</f>
        <v> </v>
      </c>
      <c r="I1036" s="26" t="str">
        <f>IF(OR(E1036="",E1036="!!!",F1036="NEW"),"",INDEX(B1035:B$2,-1+SUMPRODUCT(MAX(ROW(E1035:E$2)*(E1036=E1035:E$2)))))</f>
        <v> </v>
      </c>
      <c r="J1036" s="26" t="str">
        <f>IF(OR(E1036="",E1036="!!!",F1036="NEW"),"",COUNTBLANK(OFFSET(A$1,,,SUMPRODUCT(MAX(ROW(E$2:E1036)*(E1036=E$2:E1036)))))-COUNTBLANK(OFFSET(A$1,,,SUMPRODUCT(MAX(ROW(E$1:E1035)*(E2=E$1:E1035))))))</f>
        <v> </v>
      </c>
      <c r="K1036" s="26" t="str">
        <f>IF(OR(E1036="",E1036="!!!",F1036="NEW"),"",INDEX(J$1:J1035,SUMPRODUCT(MAX(ROW(E$1:E1035)*(E1036=E$1:E1035)))))</f>
        <v> </v>
      </c>
      <c r="L1036" s="27"/>
    </row>
    <row r="1037" spans="1:12">
      <c r="A1037" s="20" t="s">
        <v>1149</v>
      </c>
      <c r="B1037" s="21" t="s">
        <v>1440</v>
      </c>
      <c r="C1037" s="21" t="s">
        <v>1074</v>
      </c>
      <c r="E1037" s="22">
        <f>IF(D1037="?OLD","!!!","")</f>
        <v/>
      </c>
      <c r="F1037" s="23" t="str">
        <f>IF(OR(E1037="",E1037="!!!"),"",IF(NOT(ISNA(VLOOKUP(E1037,E$1:E1036,1,FALSE()))),"OLD",IF(AND(E1037&lt;&gt;"",E1037&lt;&gt;"!!!"),"NEW","")))</f>
        <v> </v>
      </c>
      <c r="G1037" s="24" t="str">
        <f>IF(OR(E1037="",E1037="!!!"),"",IF(OR(J1037=0,AND(J1037=1,K1037=1),AND(J1037=1,I1037="SBJ"),AND(J1037=1,I1037=0)),"?IN_FOCUS",IF(J1037&lt;=2,"?ACTIVATED",IF(J1037&lt;&gt;"","?FAMILIAR",IF(F1037="NEW",IF(ISNA(VLOOKUP(E1037,#REF!,1,FALSE())),"?TYPE_IDENTIFIABLE","?REFERENTIAL"),"_")))))</f>
        <v> </v>
      </c>
      <c r="H1037" s="25" t="str">
        <f>IF(J1037&lt;&gt;1,"",IF(I1037="SBJ","CB","?"))</f>
        <v> </v>
      </c>
      <c r="I1037" s="26" t="str">
        <f>IF(OR(E1037="",E1037="!!!",F1037="NEW"),"",INDEX(B1036:B$2,-1+SUMPRODUCT(MAX(ROW(E1036:E$2)*(E1037=E1036:E$2)))))</f>
        <v> </v>
      </c>
      <c r="J1037" s="26" t="str">
        <f>IF(OR(E1037="",E1037="!!!",F1037="NEW"),"",COUNTBLANK(OFFSET(A$1,,,SUMPRODUCT(MAX(ROW(E$2:E1037)*(E1037=E$2:E1037)))))-COUNTBLANK(OFFSET(A$1,,,SUMPRODUCT(MAX(ROW(E$1:E1036)*(E2=E$1:E1036))))))</f>
        <v> </v>
      </c>
      <c r="K1037" s="26" t="str">
        <f>IF(OR(E1037="",E1037="!!!",F1037="NEW"),"",INDEX(J$1:J1036,SUMPRODUCT(MAX(ROW(E$1:E1036)*(E1037=E$1:E1036)))))</f>
        <v> </v>
      </c>
      <c r="L1037" s="27"/>
    </row>
    <row r="1038" spans="1:12">
      <c r="A1038" s="20" t="s">
        <v>1023</v>
      </c>
      <c r="E1038" s="22">
        <f>IF(D1038="?OLD","!!!","")</f>
        <v/>
      </c>
      <c r="F1038" s="23" t="str">
        <f>IF(OR(E1038="",E1038="!!!"),"",IF(NOT(ISNA(VLOOKUP(E1038,E$1:E1037,1,FALSE()))),"OLD",IF(AND(E1038&lt;&gt;"",E1038&lt;&gt;"!!!"),"NEW","")))</f>
        <v> </v>
      </c>
      <c r="G1038" s="24" t="str">
        <f>IF(OR(E1038="",E1038="!!!"),"",IF(OR(J1038=0,AND(J1038=1,K1038=1),AND(J1038=1,I1038="SBJ"),AND(J1038=1,I1038=0)),"?IN_FOCUS",IF(J1038&lt;=2,"?ACTIVATED",IF(J1038&lt;&gt;"","?FAMILIAR",IF(F1038="NEW",IF(ISNA(VLOOKUP(E1038,#REF!,1,FALSE())),"?TYPE_IDENTIFIABLE","?REFERENTIAL"),"_")))))</f>
        <v> </v>
      </c>
      <c r="H1038" s="25" t="str">
        <f>IF(J1038&lt;&gt;1,"",IF(I1038="SBJ","CB","?"))</f>
        <v> </v>
      </c>
      <c r="I1038" s="26" t="str">
        <f>IF(OR(E1038="",E1038="!!!",F1038="NEW"),"",INDEX(B1037:B$2,-1+SUMPRODUCT(MAX(ROW(E1037:E$2)*(E1038=E1037:E$2)))))</f>
        <v> </v>
      </c>
      <c r="J1038" s="26" t="str">
        <f>IF(OR(E1038="",E1038="!!!",F1038="NEW"),"",COUNTBLANK(OFFSET(A$1,,,SUMPRODUCT(MAX(ROW(E$2:E1038)*(E1038=E$2:E1038)))))-COUNTBLANK(OFFSET(A$1,,,SUMPRODUCT(MAX(ROW(E$1:E1037)*(E2=E$1:E1037))))))</f>
        <v> </v>
      </c>
      <c r="K1038" s="26" t="str">
        <f>IF(OR(E1038="",E1038="!!!",F1038="NEW"),"",INDEX(J$1:J1037,SUMPRODUCT(MAX(ROW(E$1:E1037)*(E1038=E$1:E1037)))))</f>
        <v> </v>
      </c>
      <c r="L1038" s="27"/>
    </row>
    <row r="1039" spans="1:12">
      <c r="A1039" s="20"/>
    </row>
    <row r="1040" spans="1:12">
      <c r="A1040" s="20" t="s">
        <v>1441</v>
      </c>
    </row>
    <row r="1041" spans="1:12">
      <c r="A1041" s="20" t="s">
        <v>1097</v>
      </c>
      <c r="E1041" s="22">
        <f>IF(D1041="?OLD","!!!","")</f>
        <v/>
      </c>
      <c r="F1041" s="23" t="str">
        <f>IF(OR(E1041="",E1041="!!!"),"",IF(NOT(ISNA(VLOOKUP(E1041,E$1:E1040,1,FALSE()))),"OLD",IF(AND(E1041&lt;&gt;"",E1041&lt;&gt;"!!!"),"NEW","")))</f>
        <v> </v>
      </c>
      <c r="G1041" s="24" t="str">
        <f>IF(OR(E1041="",E1041="!!!"),"",IF(OR(J1041=0,AND(J1041=1,K1041=1),AND(J1041=1,I1041="SBJ"),AND(J1041=1,I1041=0)),"?IN_FOCUS",IF(J1041&lt;=2,"?ACTIVATED",IF(J1041&lt;&gt;"","?FAMILIAR",IF(F1041="NEW",IF(ISNA(VLOOKUP(E1041,#REF!,1,FALSE())),"?TYPE_IDENTIFIABLE","?REFERENTIAL"),"_")))))</f>
        <v> </v>
      </c>
      <c r="H1041" s="25" t="str">
        <f>IF(J1041&lt;&gt;1,"",IF(I1041="SBJ","CB","?"))</f>
        <v> </v>
      </c>
      <c r="I1041" s="26" t="str">
        <f>IF(OR(E1041="",E1041="!!!",F1041="NEW"),"",INDEX(B1040:B$2,-1+SUMPRODUCT(MAX(ROW(E1040:E$2)*(E1041=E1040:E$2)))))</f>
        <v> </v>
      </c>
      <c r="J1041" s="26" t="str">
        <f>IF(OR(E1041="",E1041="!!!",F1041="NEW"),"",COUNTBLANK(OFFSET(A$1,,,SUMPRODUCT(MAX(ROW(E$2:E1041)*(E1041=E$2:E1041)))))-COUNTBLANK(OFFSET(A$1,,,SUMPRODUCT(MAX(ROW(E$1:E1040)*(E2=E$1:E1040))))))</f>
        <v> </v>
      </c>
      <c r="K1041" s="26" t="str">
        <f>IF(OR(E1041="",E1041="!!!",F1041="NEW"),"",INDEX(J$1:J1040,SUMPRODUCT(MAX(ROW(E$1:E1040)*(E1041=E$1:E1040)))))</f>
        <v> </v>
      </c>
      <c r="L1041" s="27"/>
    </row>
    <row r="1042" spans="1:12">
      <c r="A1042" s="20" t="s">
        <v>1442</v>
      </c>
      <c r="B1042" s="21" t="s">
        <v>1005</v>
      </c>
      <c r="C1042" s="21" t="s">
        <v>1048</v>
      </c>
      <c r="E1042" s="22">
        <f>IF(D1042="?OLD","!!!","")</f>
        <v/>
      </c>
      <c r="F1042" s="23" t="str">
        <f>IF(OR(E1042="",E1042="!!!"),"",IF(NOT(ISNA(VLOOKUP(E1042,E$1:E1041,1,FALSE()))),"OLD",IF(AND(E1042&lt;&gt;"",E1042&lt;&gt;"!!!"),"NEW","")))</f>
        <v> </v>
      </c>
      <c r="G1042" s="24" t="str">
        <f>IF(OR(E1042="",E1042="!!!"),"",IF(OR(J1042=0,AND(J1042=1,K1042=1),AND(J1042=1,I1042="SBJ"),AND(J1042=1,I1042=0)),"?IN_FOCUS",IF(J1042&lt;=2,"?ACTIVATED",IF(J1042&lt;&gt;"","?FAMILIAR",IF(F1042="NEW",IF(ISNA(VLOOKUP(E1042,#REF!,1,FALSE())),"?TYPE_IDENTIFIABLE","?REFERENTIAL"),"_")))))</f>
        <v> </v>
      </c>
      <c r="H1042" s="25" t="str">
        <f>IF(J1042&lt;&gt;1,"",IF(I1042="SBJ","CB","?"))</f>
        <v> </v>
      </c>
      <c r="I1042" s="26" t="str">
        <f>IF(OR(E1042="",E1042="!!!",F1042="NEW"),"",INDEX(B1041:B$2,-1+SUMPRODUCT(MAX(ROW(E1041:E$2)*(E1042=E1041:E$2)))))</f>
        <v> </v>
      </c>
      <c r="J1042" s="26" t="str">
        <f>IF(OR(E1042="",E1042="!!!",F1042="NEW"),"",COUNTBLANK(OFFSET(A$1,,,SUMPRODUCT(MAX(ROW(E$2:E1042)*(E1042=E$2:E1042)))))-COUNTBLANK(OFFSET(A$1,,,SUMPRODUCT(MAX(ROW(E$1:E1041)*(E2=E$1:E1041))))))</f>
        <v> </v>
      </c>
      <c r="K1042" s="26" t="str">
        <f>IF(OR(E1042="",E1042="!!!",F1042="NEW"),"",INDEX(J$1:J1041,SUMPRODUCT(MAX(ROW(E$1:E1041)*(E1042=E$1:E1041)))))</f>
        <v> </v>
      </c>
      <c r="L1042" s="27"/>
    </row>
    <row r="1043" spans="1:12">
      <c r="A1043" s="20" t="s">
        <v>1443</v>
      </c>
      <c r="E1043" s="22">
        <f>IF(D1043="?OLD","!!!","")</f>
        <v/>
      </c>
      <c r="F1043" s="23" t="str">
        <f>IF(OR(E1043="",E1043="!!!"),"",IF(NOT(ISNA(VLOOKUP(E1043,E$1:E1042,1,FALSE()))),"OLD",IF(AND(E1043&lt;&gt;"",E1043&lt;&gt;"!!!"),"NEW","")))</f>
        <v> </v>
      </c>
      <c r="G1043" s="24" t="str">
        <f>IF(OR(E1043="",E1043="!!!"),"",IF(OR(J1043=0,AND(J1043=1,K1043=1),AND(J1043=1,I1043="SBJ"),AND(J1043=1,I1043=0)),"?IN_FOCUS",IF(J1043&lt;=2,"?ACTIVATED",IF(J1043&lt;&gt;"","?FAMILIAR",IF(F1043="NEW",IF(ISNA(VLOOKUP(E1043,#REF!,1,FALSE())),"?TYPE_IDENTIFIABLE","?REFERENTIAL"),"_")))))</f>
        <v> </v>
      </c>
      <c r="H1043" s="25" t="str">
        <f>IF(J1043&lt;&gt;1,"",IF(I1043="SBJ","CB","?"))</f>
        <v> </v>
      </c>
      <c r="I1043" s="26" t="str">
        <f>IF(OR(E1043="",E1043="!!!",F1043="NEW"),"",INDEX(B1042:B$2,-1+SUMPRODUCT(MAX(ROW(E1042:E$2)*(E1043=E1042:E$2)))))</f>
        <v> </v>
      </c>
      <c r="J1043" s="26" t="str">
        <f>IF(OR(E1043="",E1043="!!!",F1043="NEW"),"",COUNTBLANK(OFFSET(A$1,,,SUMPRODUCT(MAX(ROW(E$2:E1043)*(E1043=E$2:E1043)))))-COUNTBLANK(OFFSET(A$1,,,SUMPRODUCT(MAX(ROW(E$1:E1042)*(E2=E$1:E1042))))))</f>
        <v> </v>
      </c>
      <c r="K1043" s="26" t="str">
        <f>IF(OR(E1043="",E1043="!!!",F1043="NEW"),"",INDEX(J$1:J1042,SUMPRODUCT(MAX(ROW(E$1:E1042)*(E1043=E$1:E1042)))))</f>
        <v> </v>
      </c>
      <c r="L1043" s="27"/>
    </row>
    <row r="1044" spans="1:12">
      <c r="A1044" s="20" t="s">
        <v>1023</v>
      </c>
      <c r="E1044" s="22">
        <f>IF(D1044="?OLD","!!!","")</f>
        <v/>
      </c>
      <c r="F1044" s="23" t="str">
        <f>IF(OR(E1044="",E1044="!!!"),"",IF(NOT(ISNA(VLOOKUP(E1044,E$1:E1043,1,FALSE()))),"OLD",IF(AND(E1044&lt;&gt;"",E1044&lt;&gt;"!!!"),"NEW","")))</f>
        <v> </v>
      </c>
      <c r="G1044" s="24" t="str">
        <f>IF(OR(E1044="",E1044="!!!"),"",IF(OR(J1044=0,AND(J1044=1,K1044=1),AND(J1044=1,I1044="SBJ"),AND(J1044=1,I1044=0)),"?IN_FOCUS",IF(J1044&lt;=2,"?ACTIVATED",IF(J1044&lt;&gt;"","?FAMILIAR",IF(F1044="NEW",IF(ISNA(VLOOKUP(E1044,#REF!,1,FALSE())),"?TYPE_IDENTIFIABLE","?REFERENTIAL"),"_")))))</f>
        <v> </v>
      </c>
      <c r="H1044" s="25" t="str">
        <f>IF(J1044&lt;&gt;1,"",IF(I1044="SBJ","CB","?"))</f>
        <v> </v>
      </c>
      <c r="I1044" s="26" t="str">
        <f>IF(OR(E1044="",E1044="!!!",F1044="NEW"),"",INDEX(B1043:B$2,-1+SUMPRODUCT(MAX(ROW(E1043:E$2)*(E1044=E1043:E$2)))))</f>
        <v> </v>
      </c>
      <c r="J1044" s="26" t="str">
        <f>IF(OR(E1044="",E1044="!!!",F1044="NEW"),"",COUNTBLANK(OFFSET(A$1,,,SUMPRODUCT(MAX(ROW(E$2:E1044)*(E1044=E$2:E1044)))))-COUNTBLANK(OFFSET(A$1,,,SUMPRODUCT(MAX(ROW(E$1:E1043)*(E2=E$1:E1043))))))</f>
        <v> </v>
      </c>
      <c r="K1044" s="26" t="str">
        <f>IF(OR(E1044="",E1044="!!!",F1044="NEW"),"",INDEX(J$1:J1043,SUMPRODUCT(MAX(ROW(E$1:E1043)*(E1044=E$1:E1043)))))</f>
        <v> </v>
      </c>
      <c r="L1044" s="27"/>
    </row>
    <row r="1045" spans="1:12">
      <c r="A1045" s="20"/>
    </row>
    <row r="1046" spans="1:12">
      <c r="A1046" s="20" t="s">
        <v>1444</v>
      </c>
    </row>
    <row r="1047" spans="1:12">
      <c r="A1047" s="20" t="s">
        <v>1445</v>
      </c>
      <c r="B1047" s="21" t="s">
        <v>1050</v>
      </c>
      <c r="C1047" s="21" t="s">
        <v>1086</v>
      </c>
      <c r="E1047" s="22">
        <f>IF(D1047="?OLD","!!!","")</f>
        <v/>
      </c>
      <c r="F1047" s="23" t="str">
        <f>IF(OR(E1047="",E1047="!!!"),"",IF(NOT(ISNA(VLOOKUP(E1047,E$1:E1046,1,FALSE()))),"OLD",IF(AND(E1047&lt;&gt;"",E1047&lt;&gt;"!!!"),"NEW","")))</f>
        <v> </v>
      </c>
      <c r="G1047" s="24" t="str">
        <f>IF(OR(E1047="",E1047="!!!"),"",IF(OR(J1047=0,AND(J1047=1,K1047=1),AND(J1047=1,I1047="SBJ"),AND(J1047=1,I1047=0)),"?IN_FOCUS",IF(J1047&lt;=2,"?ACTIVATED",IF(J1047&lt;&gt;"","?FAMILIAR",IF(F1047="NEW",IF(ISNA(VLOOKUP(E1047,#REF!,1,FALSE())),"?TYPE_IDENTIFIABLE","?REFERENTIAL"),"_")))))</f>
        <v> </v>
      </c>
      <c r="H1047" s="25" t="str">
        <f>IF(J1047&lt;&gt;1,"",IF(I1047="SBJ","CB","?"))</f>
        <v> </v>
      </c>
      <c r="I1047" s="26" t="str">
        <f>IF(OR(E1047="",E1047="!!!",F1047="NEW"),"",INDEX(B1046:B$2,-1+SUMPRODUCT(MAX(ROW(E1046:E$2)*(E1047=E1046:E$2)))))</f>
        <v> </v>
      </c>
      <c r="J1047" s="26" t="str">
        <f>IF(OR(E1047="",E1047="!!!",F1047="NEW"),"",COUNTBLANK(OFFSET(A$1,,,SUMPRODUCT(MAX(ROW(E$2:E1047)*(E1047=E$2:E1047)))))-COUNTBLANK(OFFSET(A$1,,,SUMPRODUCT(MAX(ROW(E$1:E1046)*(E2=E$1:E1046))))))</f>
        <v> </v>
      </c>
      <c r="K1047" s="26" t="str">
        <f>IF(OR(E1047="",E1047="!!!",F1047="NEW"),"",INDEX(J$1:J1046,SUMPRODUCT(MAX(ROW(E$1:E1046)*(E1047=E$1:E1046)))))</f>
        <v> </v>
      </c>
      <c r="L1047" s="27"/>
    </row>
    <row r="1048" spans="1:12">
      <c r="A1048" s="20" t="s">
        <v>1140</v>
      </c>
      <c r="B1048" s="21" t="s">
        <v>1050</v>
      </c>
      <c r="C1048" s="21" t="s">
        <v>1073</v>
      </c>
      <c r="D1048" s="21" t="s">
        <v>1007</v>
      </c>
      <c r="E1048" s="22">
        <f>IF(D1048="?OLD","!!!","")</f>
        <v/>
      </c>
      <c r="F1048" s="23" t="str">
        <f>IF(OR(E1048="",E1048="!!!"),"",IF(NOT(ISNA(VLOOKUP(E1048,E$1:E1047,1,FALSE()))),"OLD",IF(AND(E1048&lt;&gt;"",E1048&lt;&gt;"!!!"),"NEW","")))</f>
        <v> </v>
      </c>
      <c r="G1048" s="24" t="str">
        <f>IF(OR(E1048="",E1048="!!!"),"",IF(OR(J1048=0,AND(J1048=1,K1048=1),AND(J1048=1,I1048="SBJ"),AND(J1048=1,I1048=0)),"?IN_FOCUS",IF(J1048&lt;=2,"?ACTIVATED",IF(J1048&lt;&gt;"","?FAMILIAR",IF(F1048="NEW",IF(ISNA(VLOOKUP(E1048,#REF!,1,FALSE())),"?TYPE_IDENTIFIABLE","?REFERENTIAL"),"_")))))</f>
        <v> </v>
      </c>
      <c r="H1048" s="25" t="str">
        <f>IF(J1048&lt;&gt;1,"",IF(I1048="SBJ","CB","?"))</f>
        <v> </v>
      </c>
      <c r="I1048" s="26" t="str">
        <f>IF(OR(E1048="",E1048="!!!",F1048="NEW"),"",INDEX(B1047:B$2,-1+SUMPRODUCT(MAX(ROW(E1047:E$2)*(E1048=E1047:E$2)))))</f>
        <v> </v>
      </c>
      <c r="J1048" s="26" t="str">
        <f>IF(OR(E1048="",E1048="!!!",F1048="NEW"),"",COUNTBLANK(OFFSET(A$1,,,SUMPRODUCT(MAX(ROW(E$2:E1048)*(E1048=E$2:E1048)))))-COUNTBLANK(OFFSET(A$1,,,SUMPRODUCT(MAX(ROW(E$1:E1047)*(E2=E$1:E1047))))))</f>
        <v> </v>
      </c>
      <c r="K1048" s="26" t="str">
        <f>IF(OR(E1048="",E1048="!!!",F1048="NEW"),"",INDEX(J$1:J1047,SUMPRODUCT(MAX(ROW(E$1:E1047)*(E1048=E$1:E1047)))))</f>
        <v> </v>
      </c>
      <c r="L1048" s="27"/>
    </row>
    <row r="1049" spans="1:12">
      <c r="A1049" s="20" t="s">
        <v>1164</v>
      </c>
      <c r="E1049" s="22">
        <f>IF(D1049="?OLD","!!!","")</f>
        <v/>
      </c>
      <c r="F1049" s="23" t="str">
        <f>IF(OR(E1049="",E1049="!!!"),"",IF(NOT(ISNA(VLOOKUP(E1049,E$1:E1048,1,FALSE()))),"OLD",IF(AND(E1049&lt;&gt;"",E1049&lt;&gt;"!!!"),"NEW","")))</f>
        <v> </v>
      </c>
      <c r="G1049" s="24" t="str">
        <f>IF(OR(E1049="",E1049="!!!"),"",IF(OR(J1049=0,AND(J1049=1,K1049=1),AND(J1049=1,I1049="SBJ"),AND(J1049=1,I1049=0)),"?IN_FOCUS",IF(J1049&lt;=2,"?ACTIVATED",IF(J1049&lt;&gt;"","?FAMILIAR",IF(F1049="NEW",IF(ISNA(VLOOKUP(E1049,#REF!,1,FALSE())),"?TYPE_IDENTIFIABLE","?REFERENTIAL"),"_")))))</f>
        <v> </v>
      </c>
      <c r="H1049" s="25" t="str">
        <f>IF(J1049&lt;&gt;1,"",IF(I1049="SBJ","CB","?"))</f>
        <v> </v>
      </c>
      <c r="I1049" s="26" t="str">
        <f>IF(OR(E1049="",E1049="!!!",F1049="NEW"),"",INDEX(B1048:B$2,-1+SUMPRODUCT(MAX(ROW(E1048:E$2)*(E1049=E1048:E$2)))))</f>
        <v> </v>
      </c>
      <c r="J1049" s="26" t="str">
        <f>IF(OR(E1049="",E1049="!!!",F1049="NEW"),"",COUNTBLANK(OFFSET(A$1,,,SUMPRODUCT(MAX(ROW(E$2:E1049)*(E1049=E$2:E1049)))))-COUNTBLANK(OFFSET(A$1,,,SUMPRODUCT(MAX(ROW(E$1:E1048)*(E2=E$1:E1048))))))</f>
        <v> </v>
      </c>
      <c r="K1049" s="26" t="str">
        <f>IF(OR(E1049="",E1049="!!!",F1049="NEW"),"",INDEX(J$1:J1048,SUMPRODUCT(MAX(ROW(E$1:E1048)*(E1049=E$1:E1048)))))</f>
        <v> </v>
      </c>
      <c r="L1049" s="27"/>
    </row>
    <row r="1050" spans="1:12">
      <c r="A1050" s="20" t="s">
        <v>1414</v>
      </c>
      <c r="E1050" s="22">
        <f>IF(D1050="?OLD","!!!","")</f>
        <v/>
      </c>
      <c r="F1050" s="23" t="str">
        <f>IF(OR(E1050="",E1050="!!!"),"",IF(NOT(ISNA(VLOOKUP(E1050,E$1:E1049,1,FALSE()))),"OLD",IF(AND(E1050&lt;&gt;"",E1050&lt;&gt;"!!!"),"NEW","")))</f>
        <v> </v>
      </c>
      <c r="G1050" s="24" t="str">
        <f>IF(OR(E1050="",E1050="!!!"),"",IF(OR(J1050=0,AND(J1050=1,K1050=1),AND(J1050=1,I1050="SBJ"),AND(J1050=1,I1050=0)),"?IN_FOCUS",IF(J1050&lt;=2,"?ACTIVATED",IF(J1050&lt;&gt;"","?FAMILIAR",IF(F1050="NEW",IF(ISNA(VLOOKUP(E1050,#REF!,1,FALSE())),"?TYPE_IDENTIFIABLE","?REFERENTIAL"),"_")))))</f>
        <v> </v>
      </c>
      <c r="H1050" s="25" t="str">
        <f>IF(J1050&lt;&gt;1,"",IF(I1050="SBJ","CB","?"))</f>
        <v> </v>
      </c>
      <c r="I1050" s="26" t="str">
        <f>IF(OR(E1050="",E1050="!!!",F1050="NEW"),"",INDEX(B1049:B$2,-1+SUMPRODUCT(MAX(ROW(E1049:E$2)*(E1050=E1049:E$2)))))</f>
        <v> </v>
      </c>
      <c r="J1050" s="26" t="str">
        <f>IF(OR(E1050="",E1050="!!!",F1050="NEW"),"",COUNTBLANK(OFFSET(A$1,,,SUMPRODUCT(MAX(ROW(E$2:E1050)*(E1050=E$2:E1050)))))-COUNTBLANK(OFFSET(A$1,,,SUMPRODUCT(MAX(ROW(E$1:E1049)*(E2=E$1:E1049))))))</f>
        <v> </v>
      </c>
      <c r="K1050" s="26" t="str">
        <f>IF(OR(E1050="",E1050="!!!",F1050="NEW"),"",INDEX(J$1:J1049,SUMPRODUCT(MAX(ROW(E$1:E1049)*(E1050=E$1:E1049)))))</f>
        <v> </v>
      </c>
      <c r="L1050" s="27"/>
    </row>
    <row r="1051" spans="1:12">
      <c r="A1051" s="20" t="s">
        <v>1023</v>
      </c>
      <c r="E1051" s="22">
        <f>IF(D1051="?OLD","!!!","")</f>
        <v/>
      </c>
      <c r="F1051" s="23" t="str">
        <f>IF(OR(E1051="",E1051="!!!"),"",IF(NOT(ISNA(VLOOKUP(E1051,E$1:E1050,1,FALSE()))),"OLD",IF(AND(E1051&lt;&gt;"",E1051&lt;&gt;"!!!"),"NEW","")))</f>
        <v> </v>
      </c>
      <c r="G1051" s="24" t="str">
        <f>IF(OR(E1051="",E1051="!!!"),"",IF(OR(J1051=0,AND(J1051=1,K1051=1),AND(J1051=1,I1051="SBJ"),AND(J1051=1,I1051=0)),"?IN_FOCUS",IF(J1051&lt;=2,"?ACTIVATED",IF(J1051&lt;&gt;"","?FAMILIAR",IF(F1051="NEW",IF(ISNA(VLOOKUP(E1051,#REF!,1,FALSE())),"?TYPE_IDENTIFIABLE","?REFERENTIAL"),"_")))))</f>
        <v> </v>
      </c>
      <c r="H1051" s="25" t="str">
        <f>IF(J1051&lt;&gt;1,"",IF(I1051="SBJ","CB","?"))</f>
        <v> </v>
      </c>
      <c r="I1051" s="26" t="str">
        <f>IF(OR(E1051="",E1051="!!!",F1051="NEW"),"",INDEX(B1050:B$2,-1+SUMPRODUCT(MAX(ROW(E1050:E$2)*(E1051=E1050:E$2)))))</f>
        <v> </v>
      </c>
      <c r="J1051" s="26" t="str">
        <f>IF(OR(E1051="",E1051="!!!",F1051="NEW"),"",COUNTBLANK(OFFSET(A$1,,,SUMPRODUCT(MAX(ROW(E$2:E1051)*(E1051=E$2:E1051)))))-COUNTBLANK(OFFSET(A$1,,,SUMPRODUCT(MAX(ROW(E$1:E1050)*(E2=E$1:E1050))))))</f>
        <v> </v>
      </c>
      <c r="K1051" s="26" t="str">
        <f>IF(OR(E1051="",E1051="!!!",F1051="NEW"),"",INDEX(J$1:J1050,SUMPRODUCT(MAX(ROW(E$1:E1050)*(E1051=E$1:E1050)))))</f>
        <v> </v>
      </c>
      <c r="L1051" s="27"/>
    </row>
    <row r="1052" spans="1:12">
      <c r="A1052" s="20"/>
    </row>
    <row r="1053" spans="1:12">
      <c r="A1053" s="20" t="s">
        <v>1446</v>
      </c>
    </row>
    <row r="1054" spans="1:12">
      <c r="A1054" s="20" t="s">
        <v>11</v>
      </c>
      <c r="E1054" s="22">
        <f>IF(D1054="?OLD","!!!","")</f>
        <v/>
      </c>
      <c r="F1054" s="23" t="str">
        <f>IF(OR(E1054="",E1054="!!!"),"",IF(NOT(ISNA(VLOOKUP(E1054,E$1:E1053,1,FALSE()))),"OLD",IF(AND(E1054&lt;&gt;"",E1054&lt;&gt;"!!!"),"NEW","")))</f>
        <v> </v>
      </c>
      <c r="G1054" s="24" t="str">
        <f>IF(OR(E1054="",E1054="!!!"),"",IF(OR(J1054=0,AND(J1054=1,K1054=1),AND(J1054=1,I1054="SBJ"),AND(J1054=1,I1054=0)),"?IN_FOCUS",IF(J1054&lt;=2,"?ACTIVATED",IF(J1054&lt;&gt;"","?FAMILIAR",IF(F1054="NEW",IF(ISNA(VLOOKUP(E1054,#REF!,1,FALSE())),"?TYPE_IDENTIFIABLE","?REFERENTIAL"),"_")))))</f>
        <v> </v>
      </c>
      <c r="H1054" s="25" t="str">
        <f>IF(J1054&lt;&gt;1,"",IF(I1054="SBJ","CB","?"))</f>
        <v> </v>
      </c>
      <c r="I1054" s="26" t="str">
        <f>IF(OR(E1054="",E1054="!!!",F1054="NEW"),"",INDEX(B1053:B$2,-1+SUMPRODUCT(MAX(ROW(E1053:E$2)*(E1054=E1053:E$2)))))</f>
        <v> </v>
      </c>
      <c r="J1054" s="26" t="str">
        <f>IF(OR(E1054="",E1054="!!!",F1054="NEW"),"",COUNTBLANK(OFFSET(A$1,,,SUMPRODUCT(MAX(ROW(E$2:E1054)*(E1054=E$2:E1054)))))-COUNTBLANK(OFFSET(A$1,,,SUMPRODUCT(MAX(ROW(E$1:E1053)*(E2=E$1:E1053))))))</f>
        <v> </v>
      </c>
      <c r="K1054" s="26" t="str">
        <f>IF(OR(E1054="",E1054="!!!",F1054="NEW"),"",INDEX(J$1:J1053,SUMPRODUCT(MAX(ROW(E$1:E1053)*(E1054=E$1:E1053)))))</f>
        <v> </v>
      </c>
      <c r="L1054" s="27"/>
    </row>
    <row r="1055" spans="1:12">
      <c r="A1055" s="20" t="s">
        <v>1392</v>
      </c>
      <c r="B1055" s="21" t="s">
        <v>1050</v>
      </c>
      <c r="C1055" s="21" t="s">
        <v>1006</v>
      </c>
      <c r="D1055" s="21" t="s">
        <v>1007</v>
      </c>
      <c r="E1055" s="22">
        <f>IF(D1055="?OLD","!!!","")</f>
        <v/>
      </c>
      <c r="F1055" s="23" t="str">
        <f>IF(OR(E1055="",E1055="!!!"),"",IF(NOT(ISNA(VLOOKUP(E1055,E$1:E1054,1,FALSE()))),"OLD",IF(AND(E1055&lt;&gt;"",E1055&lt;&gt;"!!!"),"NEW","")))</f>
        <v> </v>
      </c>
      <c r="G1055" s="24" t="str">
        <f>IF(OR(E1055="",E1055="!!!"),"",IF(OR(J1055=0,AND(J1055=1,K1055=1),AND(J1055=1,I1055="SBJ"),AND(J1055=1,I1055=0)),"?IN_FOCUS",IF(J1055&lt;=2,"?ACTIVATED",IF(J1055&lt;&gt;"","?FAMILIAR",IF(F1055="NEW",IF(ISNA(VLOOKUP(E1055,#REF!,1,FALSE())),"?TYPE_IDENTIFIABLE","?REFERENTIAL"),"_")))))</f>
        <v> </v>
      </c>
      <c r="H1055" s="25" t="str">
        <f>IF(J1055&lt;&gt;1,"",IF(I1055="SBJ","CB","?"))</f>
        <v> </v>
      </c>
      <c r="I1055" s="26" t="str">
        <f>IF(OR(E1055="",E1055="!!!",F1055="NEW"),"",INDEX(B1054:B$2,-1+SUMPRODUCT(MAX(ROW(E1054:E$2)*(E1055=E1054:E$2)))))</f>
        <v> </v>
      </c>
      <c r="J1055" s="26" t="str">
        <f>IF(OR(E1055="",E1055="!!!",F1055="NEW"),"",COUNTBLANK(OFFSET(A$1,,,SUMPRODUCT(MAX(ROW(E$2:E1055)*(E1055=E$2:E1055)))))-COUNTBLANK(OFFSET(A$1,,,SUMPRODUCT(MAX(ROW(E$1:E1054)*(E2=E$1:E1054))))))</f>
        <v> </v>
      </c>
      <c r="K1055" s="26" t="str">
        <f>IF(OR(E1055="",E1055="!!!",F1055="NEW"),"",INDEX(J$1:J1054,SUMPRODUCT(MAX(ROW(E$1:E1054)*(E1055=E$1:E1054)))))</f>
        <v> </v>
      </c>
      <c r="L1055" s="27"/>
    </row>
    <row r="1056" spans="1:12">
      <c r="A1056" s="20" t="s">
        <v>1075</v>
      </c>
      <c r="E1056" s="22">
        <f>IF(D1056="?OLD","!!!","")</f>
        <v/>
      </c>
      <c r="F1056" s="23" t="str">
        <f>IF(OR(E1056="",E1056="!!!"),"",IF(NOT(ISNA(VLOOKUP(E1056,E$1:E1055,1,FALSE()))),"OLD",IF(AND(E1056&lt;&gt;"",E1056&lt;&gt;"!!!"),"NEW","")))</f>
        <v> </v>
      </c>
      <c r="G1056" s="24" t="str">
        <f>IF(OR(E1056="",E1056="!!!"),"",IF(OR(J1056=0,AND(J1056=1,K1056=1),AND(J1056=1,I1056="SBJ"),AND(J1056=1,I1056=0)),"?IN_FOCUS",IF(J1056&lt;=2,"?ACTIVATED",IF(J1056&lt;&gt;"","?FAMILIAR",IF(F1056="NEW",IF(ISNA(VLOOKUP(E1056,#REF!,1,FALSE())),"?TYPE_IDENTIFIABLE","?REFERENTIAL"),"_")))))</f>
        <v> </v>
      </c>
      <c r="H1056" s="25" t="str">
        <f>IF(J1056&lt;&gt;1,"",IF(I1056="SBJ","CB","?"))</f>
        <v> </v>
      </c>
      <c r="I1056" s="26" t="str">
        <f>IF(OR(E1056="",E1056="!!!",F1056="NEW"),"",INDEX(B1055:B$2,-1+SUMPRODUCT(MAX(ROW(E1055:E$2)*(E1056=E1055:E$2)))))</f>
        <v> </v>
      </c>
      <c r="J1056" s="26" t="str">
        <f>IF(OR(E1056="",E1056="!!!",F1056="NEW"),"",COUNTBLANK(OFFSET(A$1,,,SUMPRODUCT(MAX(ROW(E$2:E1056)*(E1056=E$2:E1056)))))-COUNTBLANK(OFFSET(A$1,,,SUMPRODUCT(MAX(ROW(E$1:E1055)*(E2=E$1:E1055))))))</f>
        <v> </v>
      </c>
      <c r="K1056" s="26" t="str">
        <f>IF(OR(E1056="",E1056="!!!",F1056="NEW"),"",INDEX(J$1:J1055,SUMPRODUCT(MAX(ROW(E$1:E1055)*(E1056=E$1:E1055)))))</f>
        <v> </v>
      </c>
      <c r="L1056" s="27"/>
    </row>
    <row r="1057" spans="1:12">
      <c r="A1057" s="20" t="s">
        <v>1127</v>
      </c>
      <c r="E1057" s="22">
        <f>IF(D1057="?OLD","!!!","")</f>
        <v/>
      </c>
      <c r="F1057" s="23" t="str">
        <f>IF(OR(E1057="",E1057="!!!"),"",IF(NOT(ISNA(VLOOKUP(E1057,E$1:E1056,1,FALSE()))),"OLD",IF(AND(E1057&lt;&gt;"",E1057&lt;&gt;"!!!"),"NEW","")))</f>
        <v> </v>
      </c>
      <c r="G1057" s="24" t="str">
        <f>IF(OR(E1057="",E1057="!!!"),"",IF(OR(J1057=0,AND(J1057=1,K1057=1),AND(J1057=1,I1057="SBJ"),AND(J1057=1,I1057=0)),"?IN_FOCUS",IF(J1057&lt;=2,"?ACTIVATED",IF(J1057&lt;&gt;"","?FAMILIAR",IF(F1057="NEW",IF(ISNA(VLOOKUP(E1057,#REF!,1,FALSE())),"?TYPE_IDENTIFIABLE","?REFERENTIAL"),"_")))))</f>
        <v> </v>
      </c>
      <c r="H1057" s="25" t="str">
        <f>IF(J1057&lt;&gt;1,"",IF(I1057="SBJ","CB","?"))</f>
        <v> </v>
      </c>
      <c r="I1057" s="26" t="str">
        <f>IF(OR(E1057="",E1057="!!!",F1057="NEW"),"",INDEX(B1056:B$2,-1+SUMPRODUCT(MAX(ROW(E1056:E$2)*(E1057=E1056:E$2)))))</f>
        <v> </v>
      </c>
      <c r="J1057" s="26" t="str">
        <f>IF(OR(E1057="",E1057="!!!",F1057="NEW"),"",COUNTBLANK(OFFSET(A$1,,,SUMPRODUCT(MAX(ROW(E$2:E1057)*(E1057=E$2:E1057)))))-COUNTBLANK(OFFSET(A$1,,,SUMPRODUCT(MAX(ROW(E$1:E1056)*(E2=E$1:E1056))))))</f>
        <v> </v>
      </c>
      <c r="K1057" s="26" t="str">
        <f>IF(OR(E1057="",E1057="!!!",F1057="NEW"),"",INDEX(J$1:J1056,SUMPRODUCT(MAX(ROW(E$1:E1056)*(E1057=E$1:E1056)))))</f>
        <v> </v>
      </c>
      <c r="L1057" s="27"/>
    </row>
    <row r="1058" spans="1:12">
      <c r="A1058" s="20" t="s">
        <v>102</v>
      </c>
      <c r="E1058" s="22">
        <f>IF(D1058="?OLD","!!!","")</f>
        <v/>
      </c>
      <c r="F1058" s="23" t="str">
        <f>IF(OR(E1058="",E1058="!!!"),"",IF(NOT(ISNA(VLOOKUP(E1058,E$1:E1057,1,FALSE()))),"OLD",IF(AND(E1058&lt;&gt;"",E1058&lt;&gt;"!!!"),"NEW","")))</f>
        <v> </v>
      </c>
      <c r="G1058" s="24" t="str">
        <f>IF(OR(E1058="",E1058="!!!"),"",IF(OR(J1058=0,AND(J1058=1,K1058=1),AND(J1058=1,I1058="SBJ"),AND(J1058=1,I1058=0)),"?IN_FOCUS",IF(J1058&lt;=2,"?ACTIVATED",IF(J1058&lt;&gt;"","?FAMILIAR",IF(F1058="NEW",IF(ISNA(VLOOKUP(E1058,#REF!,1,FALSE())),"?TYPE_IDENTIFIABLE","?REFERENTIAL"),"_")))))</f>
        <v> </v>
      </c>
      <c r="H1058" s="25" t="str">
        <f>IF(J1058&lt;&gt;1,"",IF(I1058="SBJ","CB","?"))</f>
        <v> </v>
      </c>
      <c r="I1058" s="26" t="str">
        <f>IF(OR(E1058="",E1058="!!!",F1058="NEW"),"",INDEX(B1057:B$2,-1+SUMPRODUCT(MAX(ROW(E1057:E$2)*(E1058=E1057:E$2)))))</f>
        <v> </v>
      </c>
      <c r="J1058" s="26" t="str">
        <f>IF(OR(E1058="",E1058="!!!",F1058="NEW"),"",COUNTBLANK(OFFSET(A$1,,,SUMPRODUCT(MAX(ROW(E$2:E1058)*(E1058=E$2:E1058)))))-COUNTBLANK(OFFSET(A$1,,,SUMPRODUCT(MAX(ROW(E$1:E1057)*(E2=E$1:E1057))))))</f>
        <v> </v>
      </c>
      <c r="K1058" s="26" t="str">
        <f>IF(OR(E1058="",E1058="!!!",F1058="NEW"),"",INDEX(J$1:J1057,SUMPRODUCT(MAX(ROW(E$1:E1057)*(E1058=E$1:E1057)))))</f>
        <v> </v>
      </c>
      <c r="L1058" s="27"/>
    </row>
    <row r="1059" spans="1:12">
      <c r="A1059" s="20" t="s">
        <v>1447</v>
      </c>
      <c r="B1059" s="21" t="s">
        <v>1005</v>
      </c>
      <c r="C1059" s="21" t="s">
        <v>1017</v>
      </c>
      <c r="D1059" s="21" t="s">
        <v>1007</v>
      </c>
      <c r="E1059" s="22">
        <f>IF(D1059="?OLD","!!!","")</f>
        <v/>
      </c>
      <c r="F1059" s="23" t="str">
        <f>IF(OR(E1059="",E1059="!!!"),"",IF(NOT(ISNA(VLOOKUP(E1059,E$1:E1058,1,FALSE()))),"OLD",IF(AND(E1059&lt;&gt;"",E1059&lt;&gt;"!!!"),"NEW","")))</f>
        <v> </v>
      </c>
      <c r="G1059" s="24" t="str">
        <f>IF(OR(E1059="",E1059="!!!"),"",IF(OR(J1059=0,AND(J1059=1,K1059=1),AND(J1059=1,I1059="SBJ"),AND(J1059=1,I1059=0)),"?IN_FOCUS",IF(J1059&lt;=2,"?ACTIVATED",IF(J1059&lt;&gt;"","?FAMILIAR",IF(F1059="NEW",IF(ISNA(VLOOKUP(E1059,#REF!,1,FALSE())),"?TYPE_IDENTIFIABLE","?REFERENTIAL"),"_")))))</f>
        <v> </v>
      </c>
      <c r="H1059" s="25" t="str">
        <f>IF(J1059&lt;&gt;1,"",IF(I1059="SBJ","CB","?"))</f>
        <v> </v>
      </c>
      <c r="I1059" s="26" t="str">
        <f>IF(OR(E1059="",E1059="!!!",F1059="NEW"),"",INDEX(B1058:B$2,-1+SUMPRODUCT(MAX(ROW(E1058:E$2)*(E1059=E1058:E$2)))))</f>
        <v> </v>
      </c>
      <c r="J1059" s="26" t="str">
        <f>IF(OR(E1059="",E1059="!!!",F1059="NEW"),"",COUNTBLANK(OFFSET(A$1,,,SUMPRODUCT(MAX(ROW(E$2:E1059)*(E1059=E$2:E1059)))))-COUNTBLANK(OFFSET(A$1,,,SUMPRODUCT(MAX(ROW(E$1:E1058)*(E2=E$1:E1058))))))</f>
        <v> </v>
      </c>
      <c r="K1059" s="26" t="str">
        <f>IF(OR(E1059="",E1059="!!!",F1059="NEW"),"",INDEX(J$1:J1058,SUMPRODUCT(MAX(ROW(E$1:E1058)*(E1059=E$1:E1058)))))</f>
        <v> </v>
      </c>
      <c r="L1059" s="27"/>
    </row>
    <row r="1060" spans="1:12">
      <c r="A1060" s="20" t="s">
        <v>1023</v>
      </c>
      <c r="E1060" s="22">
        <f>IF(D1060="?OLD","!!!","")</f>
        <v/>
      </c>
      <c r="F1060" s="23" t="str">
        <f>IF(OR(E1060="",E1060="!!!"),"",IF(NOT(ISNA(VLOOKUP(E1060,E$1:E1059,1,FALSE()))),"OLD",IF(AND(E1060&lt;&gt;"",E1060&lt;&gt;"!!!"),"NEW","")))</f>
        <v> </v>
      </c>
      <c r="G1060" s="24" t="str">
        <f>IF(OR(E1060="",E1060="!!!"),"",IF(OR(J1060=0,AND(J1060=1,K1060=1),AND(J1060=1,I1060="SBJ"),AND(J1060=1,I1060=0)),"?IN_FOCUS",IF(J1060&lt;=2,"?ACTIVATED",IF(J1060&lt;&gt;"","?FAMILIAR",IF(F1060="NEW",IF(ISNA(VLOOKUP(E1060,#REF!,1,FALSE())),"?TYPE_IDENTIFIABLE","?REFERENTIAL"),"_")))))</f>
        <v> </v>
      </c>
      <c r="H1060" s="25" t="str">
        <f>IF(J1060&lt;&gt;1,"",IF(I1060="SBJ","CB","?"))</f>
        <v> </v>
      </c>
      <c r="I1060" s="26" t="str">
        <f>IF(OR(E1060="",E1060="!!!",F1060="NEW"),"",INDEX(B1059:B$2,-1+SUMPRODUCT(MAX(ROW(E1059:E$2)*(E1060=E1059:E$2)))))</f>
        <v> </v>
      </c>
      <c r="J1060" s="26" t="str">
        <f>IF(OR(E1060="",E1060="!!!",F1060="NEW"),"",COUNTBLANK(OFFSET(A$1,,,SUMPRODUCT(MAX(ROW(E$2:E1060)*(E1060=E$2:E1060)))))-COUNTBLANK(OFFSET(A$1,,,SUMPRODUCT(MAX(ROW(E$1:E1059)*(E2=E$1:E1059))))))</f>
        <v> </v>
      </c>
      <c r="K1060" s="26" t="str">
        <f>IF(OR(E1060="",E1060="!!!",F1060="NEW"),"",INDEX(J$1:J1059,SUMPRODUCT(MAX(ROW(E$1:E1059)*(E1060=E$1:E1059)))))</f>
        <v> </v>
      </c>
      <c r="L1060" s="27"/>
    </row>
    <row r="1061" spans="1:12">
      <c r="A1061" s="20"/>
    </row>
    <row r="1062" spans="1:12">
      <c r="A1062" s="20" t="s">
        <v>1448</v>
      </c>
    </row>
    <row r="1063" spans="1:12">
      <c r="A1063" s="20" t="s">
        <v>1449</v>
      </c>
      <c r="E1063" s="22">
        <f>IF(D1063="?OLD","!!!","")</f>
        <v/>
      </c>
      <c r="F1063" s="23" t="str">
        <f>IF(OR(E1063="",E1063="!!!"),"",IF(NOT(ISNA(VLOOKUP(E1063,E$1:E1062,1,FALSE()))),"OLD",IF(AND(E1063&lt;&gt;"",E1063&lt;&gt;"!!!"),"NEW","")))</f>
        <v> </v>
      </c>
      <c r="G1063" s="24" t="str">
        <f>IF(OR(E1063="",E1063="!!!"),"",IF(OR(J1063=0,AND(J1063=1,K1063=1),AND(J1063=1,I1063="SBJ"),AND(J1063=1,I1063=0)),"?IN_FOCUS",IF(J1063&lt;=2,"?ACTIVATED",IF(J1063&lt;&gt;"","?FAMILIAR",IF(F1063="NEW",IF(ISNA(VLOOKUP(E1063,#REF!,1,FALSE())),"?TYPE_IDENTIFIABLE","?REFERENTIAL"),"_")))))</f>
        <v> </v>
      </c>
      <c r="H1063" s="25" t="str">
        <f>IF(J1063&lt;&gt;1,"",IF(I1063="SBJ","CB","?"))</f>
        <v> </v>
      </c>
      <c r="I1063" s="26" t="str">
        <f>IF(OR(E1063="",E1063="!!!",F1063="NEW"),"",INDEX(B1062:B$2,-1+SUMPRODUCT(MAX(ROW(E1062:E$2)*(E1063=E1062:E$2)))))</f>
        <v> </v>
      </c>
      <c r="J1063" s="26" t="str">
        <f>IF(OR(E1063="",E1063="!!!",F1063="NEW"),"",COUNTBLANK(OFFSET(A$1,,,SUMPRODUCT(MAX(ROW(E$2:E1063)*(E1063=E$2:E1063)))))-COUNTBLANK(OFFSET(A$1,,,SUMPRODUCT(MAX(ROW(E$1:E1062)*(E2=E$1:E1062))))))</f>
        <v> </v>
      </c>
      <c r="K1063" s="26" t="str">
        <f>IF(OR(E1063="",E1063="!!!",F1063="NEW"),"",INDEX(J$1:J1062,SUMPRODUCT(MAX(ROW(E$1:E1062)*(E1063=E$1:E1062)))))</f>
        <v> </v>
      </c>
      <c r="L1063" s="27"/>
    </row>
    <row r="1064" spans="1:12">
      <c r="A1064" s="20" t="s">
        <v>1056</v>
      </c>
      <c r="E1064" s="22">
        <f>IF(D1064="?OLD","!!!","")</f>
        <v/>
      </c>
      <c r="F1064" s="23" t="str">
        <f>IF(OR(E1064="",E1064="!!!"),"",IF(NOT(ISNA(VLOOKUP(E1064,E$1:E1063,1,FALSE()))),"OLD",IF(AND(E1064&lt;&gt;"",E1064&lt;&gt;"!!!"),"NEW","")))</f>
        <v> </v>
      </c>
      <c r="G1064" s="24" t="str">
        <f>IF(OR(E1064="",E1064="!!!"),"",IF(OR(J1064=0,AND(J1064=1,K1064=1),AND(J1064=1,I1064="SBJ"),AND(J1064=1,I1064=0)),"?IN_FOCUS",IF(J1064&lt;=2,"?ACTIVATED",IF(J1064&lt;&gt;"","?FAMILIAR",IF(F1064="NEW",IF(ISNA(VLOOKUP(E1064,#REF!,1,FALSE())),"?TYPE_IDENTIFIABLE","?REFERENTIAL"),"_")))))</f>
        <v> </v>
      </c>
      <c r="H1064" s="25" t="str">
        <f>IF(J1064&lt;&gt;1,"",IF(I1064="SBJ","CB","?"))</f>
        <v> </v>
      </c>
      <c r="I1064" s="26" t="str">
        <f>IF(OR(E1064="",E1064="!!!",F1064="NEW"),"",INDEX(B1063:B$2,-1+SUMPRODUCT(MAX(ROW(E1063:E$2)*(E1064=E1063:E$2)))))</f>
        <v> </v>
      </c>
      <c r="J1064" s="26" t="str">
        <f>IF(OR(E1064="",E1064="!!!",F1064="NEW"),"",COUNTBLANK(OFFSET(A$1,,,SUMPRODUCT(MAX(ROW(E$2:E1064)*(E1064=E$2:E1064)))))-COUNTBLANK(OFFSET(A$1,,,SUMPRODUCT(MAX(ROW(E$1:E1063)*(E2=E$1:E1063))))))</f>
        <v> </v>
      </c>
      <c r="K1064" s="26" t="str">
        <f>IF(OR(E1064="",E1064="!!!",F1064="NEW"),"",INDEX(J$1:J1063,SUMPRODUCT(MAX(ROW(E$1:E1063)*(E1064=E$1:E1063)))))</f>
        <v> </v>
      </c>
      <c r="L1064" s="27"/>
    </row>
    <row r="1065" spans="1:12">
      <c r="A1065" s="20" t="s">
        <v>1391</v>
      </c>
      <c r="B1065" s="21" t="s">
        <v>1119</v>
      </c>
      <c r="C1065" s="21" t="s">
        <v>1111</v>
      </c>
      <c r="E1065" s="22">
        <f>IF(D1065="?OLD","!!!","")</f>
        <v/>
      </c>
      <c r="F1065" s="23" t="str">
        <f>IF(OR(E1065="",E1065="!!!"),"",IF(NOT(ISNA(VLOOKUP(E1065,E$1:E1064,1,FALSE()))),"OLD",IF(AND(E1065&lt;&gt;"",E1065&lt;&gt;"!!!"),"NEW","")))</f>
        <v> </v>
      </c>
      <c r="G1065" s="24" t="str">
        <f>IF(OR(E1065="",E1065="!!!"),"",IF(OR(J1065=0,AND(J1065=1,K1065=1),AND(J1065=1,I1065="SBJ"),AND(J1065=1,I1065=0)),"?IN_FOCUS",IF(J1065&lt;=2,"?ACTIVATED",IF(J1065&lt;&gt;"","?FAMILIAR",IF(F1065="NEW",IF(ISNA(VLOOKUP(E1065,#REF!,1,FALSE())),"?TYPE_IDENTIFIABLE","?REFERENTIAL"),"_")))))</f>
        <v> </v>
      </c>
      <c r="H1065" s="25" t="str">
        <f>IF(J1065&lt;&gt;1,"",IF(I1065="SBJ","CB","?"))</f>
        <v> </v>
      </c>
      <c r="I1065" s="26" t="str">
        <f>IF(OR(E1065="",E1065="!!!",F1065="NEW"),"",INDEX(B1064:B$2,-1+SUMPRODUCT(MAX(ROW(E1064:E$2)*(E1065=E1064:E$2)))))</f>
        <v> </v>
      </c>
      <c r="J1065" s="26" t="str">
        <f>IF(OR(E1065="",E1065="!!!",F1065="NEW"),"",COUNTBLANK(OFFSET(A$1,,,SUMPRODUCT(MAX(ROW(E$2:E1065)*(E1065=E$2:E1065)))))-COUNTBLANK(OFFSET(A$1,,,SUMPRODUCT(MAX(ROW(E$1:E1064)*(E2=E$1:E1064))))))</f>
        <v> </v>
      </c>
      <c r="K1065" s="26" t="str">
        <f>IF(OR(E1065="",E1065="!!!",F1065="NEW"),"",INDEX(J$1:J1064,SUMPRODUCT(MAX(ROW(E$1:E1064)*(E1065=E$1:E1064)))))</f>
        <v> </v>
      </c>
      <c r="L1065" s="27"/>
    </row>
    <row r="1066" spans="1:12">
      <c r="A1066" s="20" t="s">
        <v>1450</v>
      </c>
      <c r="E1066" s="22">
        <f>IF(D1066="?OLD","!!!","")</f>
        <v/>
      </c>
      <c r="F1066" s="23" t="str">
        <f>IF(OR(E1066="",E1066="!!!"),"",IF(NOT(ISNA(VLOOKUP(E1066,E$1:E1065,1,FALSE()))),"OLD",IF(AND(E1066&lt;&gt;"",E1066&lt;&gt;"!!!"),"NEW","")))</f>
        <v> </v>
      </c>
      <c r="G1066" s="24" t="str">
        <f>IF(OR(E1066="",E1066="!!!"),"",IF(OR(J1066=0,AND(J1066=1,K1066=1),AND(J1066=1,I1066="SBJ"),AND(J1066=1,I1066=0)),"?IN_FOCUS",IF(J1066&lt;=2,"?ACTIVATED",IF(J1066&lt;&gt;"","?FAMILIAR",IF(F1066="NEW",IF(ISNA(VLOOKUP(E1066,#REF!,1,FALSE())),"?TYPE_IDENTIFIABLE","?REFERENTIAL"),"_")))))</f>
        <v> </v>
      </c>
      <c r="H1066" s="25" t="str">
        <f>IF(J1066&lt;&gt;1,"",IF(I1066="SBJ","CB","?"))</f>
        <v> </v>
      </c>
      <c r="I1066" s="26" t="str">
        <f>IF(OR(E1066="",E1066="!!!",F1066="NEW"),"",INDEX(B1065:B$2,-1+SUMPRODUCT(MAX(ROW(E1065:E$2)*(E1066=E1065:E$2)))))</f>
        <v> </v>
      </c>
      <c r="J1066" s="26" t="str">
        <f>IF(OR(E1066="",E1066="!!!",F1066="NEW"),"",COUNTBLANK(OFFSET(A$1,,,SUMPRODUCT(MAX(ROW(E$2:E1066)*(E1066=E$2:E1066)))))-COUNTBLANK(OFFSET(A$1,,,SUMPRODUCT(MAX(ROW(E$1:E1065)*(E2=E$1:E1065))))))</f>
        <v> </v>
      </c>
      <c r="K1066" s="26" t="str">
        <f>IF(OR(E1066="",E1066="!!!",F1066="NEW"),"",INDEX(J$1:J1065,SUMPRODUCT(MAX(ROW(E$1:E1065)*(E1066=E$1:E1065)))))</f>
        <v> </v>
      </c>
      <c r="L1066" s="27"/>
    </row>
    <row r="1067" spans="1:12">
      <c r="A1067" s="20" t="s">
        <v>1014</v>
      </c>
      <c r="E1067" s="22">
        <f>IF(D1067="?OLD","!!!","")</f>
        <v/>
      </c>
      <c r="F1067" s="23" t="str">
        <f>IF(OR(E1067="",E1067="!!!"),"",IF(NOT(ISNA(VLOOKUP(E1067,E$1:E1066,1,FALSE()))),"OLD",IF(AND(E1067&lt;&gt;"",E1067&lt;&gt;"!!!"),"NEW","")))</f>
        <v> </v>
      </c>
      <c r="G1067" s="24" t="str">
        <f>IF(OR(E1067="",E1067="!!!"),"",IF(OR(J1067=0,AND(J1067=1,K1067=1),AND(J1067=1,I1067="SBJ"),AND(J1067=1,I1067=0)),"?IN_FOCUS",IF(J1067&lt;=2,"?ACTIVATED",IF(J1067&lt;&gt;"","?FAMILIAR",IF(F1067="NEW",IF(ISNA(VLOOKUP(E1067,#REF!,1,FALSE())),"?TYPE_IDENTIFIABLE","?REFERENTIAL"),"_")))))</f>
        <v> </v>
      </c>
      <c r="H1067" s="25" t="str">
        <f>IF(J1067&lt;&gt;1,"",IF(I1067="SBJ","CB","?"))</f>
        <v> </v>
      </c>
      <c r="I1067" s="26" t="str">
        <f>IF(OR(E1067="",E1067="!!!",F1067="NEW"),"",INDEX(B1066:B$2,-1+SUMPRODUCT(MAX(ROW(E1066:E$2)*(E1067=E1066:E$2)))))</f>
        <v> </v>
      </c>
      <c r="J1067" s="26" t="str">
        <f>IF(OR(E1067="",E1067="!!!",F1067="NEW"),"",COUNTBLANK(OFFSET(A$1,,,SUMPRODUCT(MAX(ROW(E$2:E1067)*(E1067=E$2:E1067)))))-COUNTBLANK(OFFSET(A$1,,,SUMPRODUCT(MAX(ROW(E$1:E1066)*(E2=E$1:E1066))))))</f>
        <v> </v>
      </c>
      <c r="K1067" s="26" t="str">
        <f>IF(OR(E1067="",E1067="!!!",F1067="NEW"),"",INDEX(J$1:J1066,SUMPRODUCT(MAX(ROW(E$1:E1066)*(E1067=E$1:E1066)))))</f>
        <v> </v>
      </c>
      <c r="L1067" s="27"/>
    </row>
    <row r="1068" spans="1:12">
      <c r="A1068" s="20" t="s">
        <v>102</v>
      </c>
      <c r="E1068" s="22">
        <f>IF(D1068="?OLD","!!!","")</f>
        <v/>
      </c>
      <c r="F1068" s="23" t="str">
        <f>IF(OR(E1068="",E1068="!!!"),"",IF(NOT(ISNA(VLOOKUP(E1068,E$1:E1067,1,FALSE()))),"OLD",IF(AND(E1068&lt;&gt;"",E1068&lt;&gt;"!!!"),"NEW","")))</f>
        <v> </v>
      </c>
      <c r="G1068" s="24" t="str">
        <f>IF(OR(E1068="",E1068="!!!"),"",IF(OR(J1068=0,AND(J1068=1,K1068=1),AND(J1068=1,I1068="SBJ"),AND(J1068=1,I1068=0)),"?IN_FOCUS",IF(J1068&lt;=2,"?ACTIVATED",IF(J1068&lt;&gt;"","?FAMILIAR",IF(F1068="NEW",IF(ISNA(VLOOKUP(E1068,#REF!,1,FALSE())),"?TYPE_IDENTIFIABLE","?REFERENTIAL"),"_")))))</f>
        <v> </v>
      </c>
      <c r="H1068" s="25" t="str">
        <f>IF(J1068&lt;&gt;1,"",IF(I1068="SBJ","CB","?"))</f>
        <v> </v>
      </c>
      <c r="I1068" s="26" t="str">
        <f>IF(OR(E1068="",E1068="!!!",F1068="NEW"),"",INDEX(B1067:B$2,-1+SUMPRODUCT(MAX(ROW(E1067:E$2)*(E1068=E1067:E$2)))))</f>
        <v> </v>
      </c>
      <c r="J1068" s="26" t="str">
        <f>IF(OR(E1068="",E1068="!!!",F1068="NEW"),"",COUNTBLANK(OFFSET(A$1,,,SUMPRODUCT(MAX(ROW(E$2:E1068)*(E1068=E$2:E1068)))))-COUNTBLANK(OFFSET(A$1,,,SUMPRODUCT(MAX(ROW(E$1:E1067)*(E2=E$1:E1067))))))</f>
        <v> </v>
      </c>
      <c r="K1068" s="26" t="str">
        <f>IF(OR(E1068="",E1068="!!!",F1068="NEW"),"",INDEX(J$1:J1067,SUMPRODUCT(MAX(ROW(E$1:E1067)*(E1068=E$1:E1067)))))</f>
        <v> </v>
      </c>
      <c r="L1068" s="27"/>
    </row>
    <row r="1069" spans="1:12">
      <c r="A1069" s="20" t="s">
        <v>1451</v>
      </c>
      <c r="E1069" s="22">
        <f>IF(D1069="?OLD","!!!","")</f>
        <v/>
      </c>
      <c r="F1069" s="23" t="str">
        <f>IF(OR(E1069="",E1069="!!!"),"",IF(NOT(ISNA(VLOOKUP(E1069,E$1:E1068,1,FALSE()))),"OLD",IF(AND(E1069&lt;&gt;"",E1069&lt;&gt;"!!!"),"NEW","")))</f>
        <v> </v>
      </c>
      <c r="G1069" s="24" t="str">
        <f>IF(OR(E1069="",E1069="!!!"),"",IF(OR(J1069=0,AND(J1069=1,K1069=1),AND(J1069=1,I1069="SBJ"),AND(J1069=1,I1069=0)),"?IN_FOCUS",IF(J1069&lt;=2,"?ACTIVATED",IF(J1069&lt;&gt;"","?FAMILIAR",IF(F1069="NEW",IF(ISNA(VLOOKUP(E1069,#REF!,1,FALSE())),"?TYPE_IDENTIFIABLE","?REFERENTIAL"),"_")))))</f>
        <v> </v>
      </c>
      <c r="H1069" s="25" t="str">
        <f>IF(J1069&lt;&gt;1,"",IF(I1069="SBJ","CB","?"))</f>
        <v> </v>
      </c>
      <c r="I1069" s="26" t="str">
        <f>IF(OR(E1069="",E1069="!!!",F1069="NEW"),"",INDEX(B1068:B$2,-1+SUMPRODUCT(MAX(ROW(E1068:E$2)*(E1069=E1068:E$2)))))</f>
        <v> </v>
      </c>
      <c r="J1069" s="26" t="str">
        <f>IF(OR(E1069="",E1069="!!!",F1069="NEW"),"",COUNTBLANK(OFFSET(A$1,,,SUMPRODUCT(MAX(ROW(E$2:E1069)*(E1069=E$2:E1069)))))-COUNTBLANK(OFFSET(A$1,,,SUMPRODUCT(MAX(ROW(E$1:E1068)*(E2=E$1:E1068))))))</f>
        <v> </v>
      </c>
      <c r="K1069" s="26" t="str">
        <f>IF(OR(E1069="",E1069="!!!",F1069="NEW"),"",INDEX(J$1:J1068,SUMPRODUCT(MAX(ROW(E$1:E1068)*(E1069=E$1:E1068)))))</f>
        <v> </v>
      </c>
      <c r="L1069" s="27"/>
    </row>
    <row r="1070" spans="1:12">
      <c r="A1070" s="20" t="s">
        <v>102</v>
      </c>
      <c r="E1070" s="22">
        <f>IF(D1070="?OLD","!!!","")</f>
        <v/>
      </c>
      <c r="F1070" s="23" t="str">
        <f>IF(OR(E1070="",E1070="!!!"),"",IF(NOT(ISNA(VLOOKUP(E1070,E$1:E1069,1,FALSE()))),"OLD",IF(AND(E1070&lt;&gt;"",E1070&lt;&gt;"!!!"),"NEW","")))</f>
        <v> </v>
      </c>
      <c r="G1070" s="24" t="str">
        <f>IF(OR(E1070="",E1070="!!!"),"",IF(OR(J1070=0,AND(J1070=1,K1070=1),AND(J1070=1,I1070="SBJ"),AND(J1070=1,I1070=0)),"?IN_FOCUS",IF(J1070&lt;=2,"?ACTIVATED",IF(J1070&lt;&gt;"","?FAMILIAR",IF(F1070="NEW",IF(ISNA(VLOOKUP(E1070,#REF!,1,FALSE())),"?TYPE_IDENTIFIABLE","?REFERENTIAL"),"_")))))</f>
        <v> </v>
      </c>
      <c r="H1070" s="25" t="str">
        <f>IF(J1070&lt;&gt;1,"",IF(I1070="SBJ","CB","?"))</f>
        <v> </v>
      </c>
      <c r="I1070" s="26" t="str">
        <f>IF(OR(E1070="",E1070="!!!",F1070="NEW"),"",INDEX(B1069:B$2,-1+SUMPRODUCT(MAX(ROW(E1069:E$2)*(E1070=E1069:E$2)))))</f>
        <v> </v>
      </c>
      <c r="J1070" s="26" t="str">
        <f>IF(OR(E1070="",E1070="!!!",F1070="NEW"),"",COUNTBLANK(OFFSET(A$1,,,SUMPRODUCT(MAX(ROW(E$2:E1070)*(E1070=E$2:E1070)))))-COUNTBLANK(OFFSET(A$1,,,SUMPRODUCT(MAX(ROW(E$1:E1069)*(E2=E$1:E1069))))))</f>
        <v> </v>
      </c>
      <c r="K1070" s="26" t="str">
        <f>IF(OR(E1070="",E1070="!!!",F1070="NEW"),"",INDEX(J$1:J1069,SUMPRODUCT(MAX(ROW(E$1:E1069)*(E1070=E$1:E1069)))))</f>
        <v> </v>
      </c>
      <c r="L1070" s="27"/>
    </row>
    <row r="1071" spans="1:12">
      <c r="A1071" s="20" t="s">
        <v>1168</v>
      </c>
      <c r="B1071" s="21" t="s">
        <v>1035</v>
      </c>
      <c r="C1071" s="21" t="s">
        <v>1017</v>
      </c>
      <c r="D1071" s="21" t="s">
        <v>1007</v>
      </c>
      <c r="E1071" s="22">
        <f>IF(D1071="?OLD","!!!","")</f>
        <v/>
      </c>
      <c r="F1071" s="23" t="str">
        <f>IF(OR(E1071="",E1071="!!!"),"",IF(NOT(ISNA(VLOOKUP(E1071,E$1:E1070,1,FALSE()))),"OLD",IF(AND(E1071&lt;&gt;"",E1071&lt;&gt;"!!!"),"NEW","")))</f>
        <v> </v>
      </c>
      <c r="G1071" s="24" t="str">
        <f>IF(OR(E1071="",E1071="!!!"),"",IF(OR(J1071=0,AND(J1071=1,K1071=1),AND(J1071=1,I1071="SBJ"),AND(J1071=1,I1071=0)),"?IN_FOCUS",IF(J1071&lt;=2,"?ACTIVATED",IF(J1071&lt;&gt;"","?FAMILIAR",IF(F1071="NEW",IF(ISNA(VLOOKUP(E1071,#REF!,1,FALSE())),"?TYPE_IDENTIFIABLE","?REFERENTIAL"),"_")))))</f>
        <v> </v>
      </c>
      <c r="H1071" s="25" t="str">
        <f>IF(J1071&lt;&gt;1,"",IF(I1071="SBJ","CB","?"))</f>
        <v> </v>
      </c>
      <c r="I1071" s="26" t="str">
        <f>IF(OR(E1071="",E1071="!!!",F1071="NEW"),"",INDEX(B1070:B$2,-1+SUMPRODUCT(MAX(ROW(E1070:E$2)*(E1071=E1070:E$2)))))</f>
        <v> </v>
      </c>
      <c r="J1071" s="26" t="str">
        <f>IF(OR(E1071="",E1071="!!!",F1071="NEW"),"",COUNTBLANK(OFFSET(A$1,,,SUMPRODUCT(MAX(ROW(E$2:E1071)*(E1071=E$2:E1071)))))-COUNTBLANK(OFFSET(A$1,,,SUMPRODUCT(MAX(ROW(E$1:E1070)*(E2=E$1:E1070))))))</f>
        <v> </v>
      </c>
      <c r="K1071" s="26" t="str">
        <f>IF(OR(E1071="",E1071="!!!",F1071="NEW"),"",INDEX(J$1:J1070,SUMPRODUCT(MAX(ROW(E$1:E1070)*(E1071=E$1:E1070)))))</f>
        <v> </v>
      </c>
      <c r="L1071" s="27"/>
    </row>
    <row r="1072" spans="1:12">
      <c r="A1072" s="20" t="s">
        <v>1061</v>
      </c>
      <c r="E1072" s="22">
        <f>IF(D1072="?OLD","!!!","")</f>
        <v/>
      </c>
      <c r="F1072" s="23" t="str">
        <f>IF(OR(E1072="",E1072="!!!"),"",IF(NOT(ISNA(VLOOKUP(E1072,E$1:E1071,1,FALSE()))),"OLD",IF(AND(E1072&lt;&gt;"",E1072&lt;&gt;"!!!"),"NEW","")))</f>
        <v> </v>
      </c>
      <c r="G1072" s="24" t="str">
        <f>IF(OR(E1072="",E1072="!!!"),"",IF(OR(J1072=0,AND(J1072=1,K1072=1),AND(J1072=1,I1072="SBJ"),AND(J1072=1,I1072=0)),"?IN_FOCUS",IF(J1072&lt;=2,"?ACTIVATED",IF(J1072&lt;&gt;"","?FAMILIAR",IF(F1072="NEW",IF(ISNA(VLOOKUP(E1072,#REF!,1,FALSE())),"?TYPE_IDENTIFIABLE","?REFERENTIAL"),"_")))))</f>
        <v> </v>
      </c>
      <c r="H1072" s="25" t="str">
        <f>IF(J1072&lt;&gt;1,"",IF(I1072="SBJ","CB","?"))</f>
        <v> </v>
      </c>
      <c r="I1072" s="26" t="str">
        <f>IF(OR(E1072="",E1072="!!!",F1072="NEW"),"",INDEX(B1071:B$2,-1+SUMPRODUCT(MAX(ROW(E1071:E$2)*(E1072=E1071:E$2)))))</f>
        <v> </v>
      </c>
      <c r="J1072" s="26" t="str">
        <f>IF(OR(E1072="",E1072="!!!",F1072="NEW"),"",COUNTBLANK(OFFSET(A$1,,,SUMPRODUCT(MAX(ROW(E$2:E1072)*(E1072=E$2:E1072)))))-COUNTBLANK(OFFSET(A$1,,,SUMPRODUCT(MAX(ROW(E$1:E1071)*(E2=E$1:E1071))))))</f>
        <v> </v>
      </c>
      <c r="K1072" s="26" t="str">
        <f>IF(OR(E1072="",E1072="!!!",F1072="NEW"),"",INDEX(J$1:J1071,SUMPRODUCT(MAX(ROW(E$1:E1071)*(E1072=E$1:E1071)))))</f>
        <v> </v>
      </c>
      <c r="L1072" s="27"/>
    </row>
    <row r="1073" spans="1:12">
      <c r="A1073" s="20" t="s">
        <v>1452</v>
      </c>
      <c r="E1073" s="22">
        <f>IF(D1073="?OLD","!!!","")</f>
        <v/>
      </c>
      <c r="F1073" s="23" t="str">
        <f>IF(OR(E1073="",E1073="!!!"),"",IF(NOT(ISNA(VLOOKUP(E1073,E$1:E1072,1,FALSE()))),"OLD",IF(AND(E1073&lt;&gt;"",E1073&lt;&gt;"!!!"),"NEW","")))</f>
        <v> </v>
      </c>
      <c r="G1073" s="24" t="str">
        <f>IF(OR(E1073="",E1073="!!!"),"",IF(OR(J1073=0,AND(J1073=1,K1073=1),AND(J1073=1,I1073="SBJ"),AND(J1073=1,I1073=0)),"?IN_FOCUS",IF(J1073&lt;=2,"?ACTIVATED",IF(J1073&lt;&gt;"","?FAMILIAR",IF(F1073="NEW",IF(ISNA(VLOOKUP(E1073,#REF!,1,FALSE())),"?TYPE_IDENTIFIABLE","?REFERENTIAL"),"_")))))</f>
        <v> </v>
      </c>
      <c r="H1073" s="25" t="str">
        <f>IF(J1073&lt;&gt;1,"",IF(I1073="SBJ","CB","?"))</f>
        <v> </v>
      </c>
      <c r="I1073" s="26" t="str">
        <f>IF(OR(E1073="",E1073="!!!",F1073="NEW"),"",INDEX(B1072:B$2,-1+SUMPRODUCT(MAX(ROW(E1072:E$2)*(E1073=E1072:E$2)))))</f>
        <v> </v>
      </c>
      <c r="J1073" s="26" t="str">
        <f>IF(OR(E1073="",E1073="!!!",F1073="NEW"),"",COUNTBLANK(OFFSET(A$1,,,SUMPRODUCT(MAX(ROW(E$2:E1073)*(E1073=E$2:E1073)))))-COUNTBLANK(OFFSET(A$1,,,SUMPRODUCT(MAX(ROW(E$1:E1072)*(E2=E$1:E1072))))))</f>
        <v> </v>
      </c>
      <c r="K1073" s="26" t="str">
        <f>IF(OR(E1073="",E1073="!!!",F1073="NEW"),"",INDEX(J$1:J1072,SUMPRODUCT(MAX(ROW(E$1:E1072)*(E1073=E$1:E1072)))))</f>
        <v> </v>
      </c>
      <c r="L1073" s="27"/>
    </row>
    <row r="1074" spans="1:12">
      <c r="A1074" s="20" t="s">
        <v>102</v>
      </c>
      <c r="E1074" s="22">
        <f>IF(D1074="?OLD","!!!","")</f>
        <v/>
      </c>
      <c r="F1074" s="23" t="str">
        <f>IF(OR(E1074="",E1074="!!!"),"",IF(NOT(ISNA(VLOOKUP(E1074,E$1:E1073,1,FALSE()))),"OLD",IF(AND(E1074&lt;&gt;"",E1074&lt;&gt;"!!!"),"NEW","")))</f>
        <v> </v>
      </c>
      <c r="G1074" s="24" t="str">
        <f>IF(OR(E1074="",E1074="!!!"),"",IF(OR(J1074=0,AND(J1074=1,K1074=1),AND(J1074=1,I1074="SBJ"),AND(J1074=1,I1074=0)),"?IN_FOCUS",IF(J1074&lt;=2,"?ACTIVATED",IF(J1074&lt;&gt;"","?FAMILIAR",IF(F1074="NEW",IF(ISNA(VLOOKUP(E1074,#REF!,1,FALSE())),"?TYPE_IDENTIFIABLE","?REFERENTIAL"),"_")))))</f>
        <v> </v>
      </c>
      <c r="H1074" s="25" t="str">
        <f>IF(J1074&lt;&gt;1,"",IF(I1074="SBJ","CB","?"))</f>
        <v> </v>
      </c>
      <c r="I1074" s="26" t="str">
        <f>IF(OR(E1074="",E1074="!!!",F1074="NEW"),"",INDEX(B1073:B$2,-1+SUMPRODUCT(MAX(ROW(E1073:E$2)*(E1074=E1073:E$2)))))</f>
        <v> </v>
      </c>
      <c r="J1074" s="26" t="str">
        <f>IF(OR(E1074="",E1074="!!!",F1074="NEW"),"",COUNTBLANK(OFFSET(A$1,,,SUMPRODUCT(MAX(ROW(E$2:E1074)*(E1074=E$2:E1074)))))-COUNTBLANK(OFFSET(A$1,,,SUMPRODUCT(MAX(ROW(E$1:E1073)*(E2=E$1:E1073))))))</f>
        <v> </v>
      </c>
      <c r="K1074" s="26" t="str">
        <f>IF(OR(E1074="",E1074="!!!",F1074="NEW"),"",INDEX(J$1:J1073,SUMPRODUCT(MAX(ROW(E$1:E1073)*(E1074=E$1:E1073)))))</f>
        <v> </v>
      </c>
      <c r="L1074" s="27"/>
    </row>
    <row r="1075" spans="1:12">
      <c r="A1075" s="20" t="s">
        <v>1156</v>
      </c>
      <c r="B1075" s="21" t="s">
        <v>1029</v>
      </c>
      <c r="C1075" s="21" t="s">
        <v>1017</v>
      </c>
      <c r="D1075" s="21" t="s">
        <v>1007</v>
      </c>
      <c r="E1075" s="22">
        <f>IF(D1075="?OLD","!!!","")</f>
        <v/>
      </c>
      <c r="F1075" s="23" t="str">
        <f>IF(OR(E1075="",E1075="!!!"),"",IF(NOT(ISNA(VLOOKUP(E1075,E$1:E1074,1,FALSE()))),"OLD",IF(AND(E1075&lt;&gt;"",E1075&lt;&gt;"!!!"),"NEW","")))</f>
        <v> </v>
      </c>
      <c r="G1075" s="24" t="str">
        <f>IF(OR(E1075="",E1075="!!!"),"",IF(OR(J1075=0,AND(J1075=1,K1075=1),AND(J1075=1,I1075="SBJ"),AND(J1075=1,I1075=0)),"?IN_FOCUS",IF(J1075&lt;=2,"?ACTIVATED",IF(J1075&lt;&gt;"","?FAMILIAR",IF(F1075="NEW",IF(ISNA(VLOOKUP(E1075,#REF!,1,FALSE())),"?TYPE_IDENTIFIABLE","?REFERENTIAL"),"_")))))</f>
        <v> </v>
      </c>
      <c r="H1075" s="25" t="str">
        <f>IF(J1075&lt;&gt;1,"",IF(I1075="SBJ","CB","?"))</f>
        <v> </v>
      </c>
      <c r="I1075" s="26" t="str">
        <f>IF(OR(E1075="",E1075="!!!",F1075="NEW"),"",INDEX(B1074:B$2,-1+SUMPRODUCT(MAX(ROW(E1074:E$2)*(E1075=E1074:E$2)))))</f>
        <v> </v>
      </c>
      <c r="J1075" s="26" t="str">
        <f>IF(OR(E1075="",E1075="!!!",F1075="NEW"),"",COUNTBLANK(OFFSET(A$1,,,SUMPRODUCT(MAX(ROW(E$2:E1075)*(E1075=E$2:E1075)))))-COUNTBLANK(OFFSET(A$1,,,SUMPRODUCT(MAX(ROW(E$1:E1074)*(E2=E$1:E1074))))))</f>
        <v> </v>
      </c>
      <c r="K1075" s="26" t="str">
        <f>IF(OR(E1075="",E1075="!!!",F1075="NEW"),"",INDEX(J$1:J1074,SUMPRODUCT(MAX(ROW(E$1:E1074)*(E1075=E$1:E1074)))))</f>
        <v> </v>
      </c>
      <c r="L1075" s="27"/>
    </row>
    <row r="1076" spans="1:12">
      <c r="A1076" s="20" t="s">
        <v>1453</v>
      </c>
      <c r="E1076" s="22">
        <f>IF(D1076="?OLD","!!!","")</f>
        <v/>
      </c>
      <c r="F1076" s="23" t="str">
        <f>IF(OR(E1076="",E1076="!!!"),"",IF(NOT(ISNA(VLOOKUP(E1076,E$1:E1075,1,FALSE()))),"OLD",IF(AND(E1076&lt;&gt;"",E1076&lt;&gt;"!!!"),"NEW","")))</f>
        <v> </v>
      </c>
      <c r="G1076" s="24" t="str">
        <f>IF(OR(E1076="",E1076="!!!"),"",IF(OR(J1076=0,AND(J1076=1,K1076=1),AND(J1076=1,I1076="SBJ"),AND(J1076=1,I1076=0)),"?IN_FOCUS",IF(J1076&lt;=2,"?ACTIVATED",IF(J1076&lt;&gt;"","?FAMILIAR",IF(F1076="NEW",IF(ISNA(VLOOKUP(E1076,#REF!,1,FALSE())),"?TYPE_IDENTIFIABLE","?REFERENTIAL"),"_")))))</f>
        <v> </v>
      </c>
      <c r="H1076" s="25" t="str">
        <f>IF(J1076&lt;&gt;1,"",IF(I1076="SBJ","CB","?"))</f>
        <v> </v>
      </c>
      <c r="I1076" s="26" t="str">
        <f>IF(OR(E1076="",E1076="!!!",F1076="NEW"),"",INDEX(B1075:B$2,-1+SUMPRODUCT(MAX(ROW(E1075:E$2)*(E1076=E1075:E$2)))))</f>
        <v> </v>
      </c>
      <c r="J1076" s="26" t="str">
        <f>IF(OR(E1076="",E1076="!!!",F1076="NEW"),"",COUNTBLANK(OFFSET(A$1,,,SUMPRODUCT(MAX(ROW(E$2:E1076)*(E1076=E$2:E1076)))))-COUNTBLANK(OFFSET(A$1,,,SUMPRODUCT(MAX(ROW(E$1:E1075)*(E2=E$1:E1075))))))</f>
        <v> </v>
      </c>
      <c r="K1076" s="26" t="str">
        <f>IF(OR(E1076="",E1076="!!!",F1076="NEW"),"",INDEX(J$1:J1075,SUMPRODUCT(MAX(ROW(E$1:E1075)*(E1076=E$1:E1075)))))</f>
        <v> </v>
      </c>
      <c r="L1076" s="27"/>
    </row>
    <row r="1077" spans="1:12">
      <c r="A1077" s="20" t="s">
        <v>1194</v>
      </c>
      <c r="E1077" s="22">
        <f>IF(D1077="?OLD","!!!","")</f>
        <v/>
      </c>
      <c r="F1077" s="23" t="str">
        <f>IF(OR(E1077="",E1077="!!!"),"",IF(NOT(ISNA(VLOOKUP(E1077,E$1:E1076,1,FALSE()))),"OLD",IF(AND(E1077&lt;&gt;"",E1077&lt;&gt;"!!!"),"NEW","")))</f>
        <v> </v>
      </c>
      <c r="G1077" s="24" t="str">
        <f>IF(OR(E1077="",E1077="!!!"),"",IF(OR(J1077=0,AND(J1077=1,K1077=1),AND(J1077=1,I1077="SBJ"),AND(J1077=1,I1077=0)),"?IN_FOCUS",IF(J1077&lt;=2,"?ACTIVATED",IF(J1077&lt;&gt;"","?FAMILIAR",IF(F1077="NEW",IF(ISNA(VLOOKUP(E1077,#REF!,1,FALSE())),"?TYPE_IDENTIFIABLE","?REFERENTIAL"),"_")))))</f>
        <v> </v>
      </c>
      <c r="H1077" s="25" t="str">
        <f>IF(J1077&lt;&gt;1,"",IF(I1077="SBJ","CB","?"))</f>
        <v> </v>
      </c>
      <c r="I1077" s="26" t="str">
        <f>IF(OR(E1077="",E1077="!!!",F1077="NEW"),"",INDEX(B1076:B$2,-1+SUMPRODUCT(MAX(ROW(E1076:E$2)*(E1077=E1076:E$2)))))</f>
        <v> </v>
      </c>
      <c r="J1077" s="26" t="str">
        <f>IF(OR(E1077="",E1077="!!!",F1077="NEW"),"",COUNTBLANK(OFFSET(A$1,,,SUMPRODUCT(MAX(ROW(E$2:E1077)*(E1077=E$2:E1077)))))-COUNTBLANK(OFFSET(A$1,,,SUMPRODUCT(MAX(ROW(E$1:E1076)*(E2=E$1:E1076))))))</f>
        <v> </v>
      </c>
      <c r="K1077" s="26" t="str">
        <f>IF(OR(E1077="",E1077="!!!",F1077="NEW"),"",INDEX(J$1:J1076,SUMPRODUCT(MAX(ROW(E$1:E1076)*(E1077=E$1:E1076)))))</f>
        <v> </v>
      </c>
      <c r="L1077" s="27"/>
    </row>
    <row r="1078" spans="1:12">
      <c r="A1078" s="20" t="s">
        <v>1018</v>
      </c>
      <c r="E1078" s="22">
        <f>IF(D1078="?OLD","!!!","")</f>
        <v/>
      </c>
      <c r="F1078" s="23" t="str">
        <f>IF(OR(E1078="",E1078="!!!"),"",IF(NOT(ISNA(VLOOKUP(E1078,E$1:E1077,1,FALSE()))),"OLD",IF(AND(E1078&lt;&gt;"",E1078&lt;&gt;"!!!"),"NEW","")))</f>
        <v> </v>
      </c>
      <c r="G1078" s="24" t="str">
        <f>IF(OR(E1078="",E1078="!!!"),"",IF(OR(J1078=0,AND(J1078=1,K1078=1),AND(J1078=1,I1078="SBJ"),AND(J1078=1,I1078=0)),"?IN_FOCUS",IF(J1078&lt;=2,"?ACTIVATED",IF(J1078&lt;&gt;"","?FAMILIAR",IF(F1078="NEW",IF(ISNA(VLOOKUP(E1078,#REF!,1,FALSE())),"?TYPE_IDENTIFIABLE","?REFERENTIAL"),"_")))))</f>
        <v> </v>
      </c>
      <c r="H1078" s="25" t="str">
        <f>IF(J1078&lt;&gt;1,"",IF(I1078="SBJ","CB","?"))</f>
        <v> </v>
      </c>
      <c r="I1078" s="26" t="str">
        <f>IF(OR(E1078="",E1078="!!!",F1078="NEW"),"",INDEX(B1077:B$2,-1+SUMPRODUCT(MAX(ROW(E1077:E$2)*(E1078=E1077:E$2)))))</f>
        <v> </v>
      </c>
      <c r="J1078" s="26" t="str">
        <f>IF(OR(E1078="",E1078="!!!",F1078="NEW"),"",COUNTBLANK(OFFSET(A$1,,,SUMPRODUCT(MAX(ROW(E$2:E1078)*(E1078=E$2:E1078)))))-COUNTBLANK(OFFSET(A$1,,,SUMPRODUCT(MAX(ROW(E$1:E1077)*(E2=E$1:E1077))))))</f>
        <v> </v>
      </c>
      <c r="K1078" s="26" t="str">
        <f>IF(OR(E1078="",E1078="!!!",F1078="NEW"),"",INDEX(J$1:J1077,SUMPRODUCT(MAX(ROW(E$1:E1077)*(E1078=E$1:E1077)))))</f>
        <v> </v>
      </c>
      <c r="L1078" s="27"/>
    </row>
    <row r="1079" spans="1:12">
      <c r="A1079" s="20" t="s">
        <v>1061</v>
      </c>
      <c r="E1079" s="22">
        <f>IF(D1079="?OLD","!!!","")</f>
        <v/>
      </c>
      <c r="F1079" s="23" t="str">
        <f>IF(OR(E1079="",E1079="!!!"),"",IF(NOT(ISNA(VLOOKUP(E1079,E$1:E1078,1,FALSE()))),"OLD",IF(AND(E1079&lt;&gt;"",E1079&lt;&gt;"!!!"),"NEW","")))</f>
        <v> </v>
      </c>
      <c r="G1079" s="24" t="str">
        <f>IF(OR(E1079="",E1079="!!!"),"",IF(OR(J1079=0,AND(J1079=1,K1079=1),AND(J1079=1,I1079="SBJ"),AND(J1079=1,I1079=0)),"?IN_FOCUS",IF(J1079&lt;=2,"?ACTIVATED",IF(J1079&lt;&gt;"","?FAMILIAR",IF(F1079="NEW",IF(ISNA(VLOOKUP(E1079,#REF!,1,FALSE())),"?TYPE_IDENTIFIABLE","?REFERENTIAL"),"_")))))</f>
        <v> </v>
      </c>
      <c r="H1079" s="25" t="str">
        <f>IF(J1079&lt;&gt;1,"",IF(I1079="SBJ","CB","?"))</f>
        <v> </v>
      </c>
      <c r="I1079" s="26" t="str">
        <f>IF(OR(E1079="",E1079="!!!",F1079="NEW"),"",INDEX(B1078:B$2,-1+SUMPRODUCT(MAX(ROW(E1078:E$2)*(E1079=E1078:E$2)))))</f>
        <v> </v>
      </c>
      <c r="J1079" s="26" t="str">
        <f>IF(OR(E1079="",E1079="!!!",F1079="NEW"),"",COUNTBLANK(OFFSET(A$1,,,SUMPRODUCT(MAX(ROW(E$2:E1079)*(E1079=E$2:E1079)))))-COUNTBLANK(OFFSET(A$1,,,SUMPRODUCT(MAX(ROW(E$1:E1078)*(E2=E$1:E1078))))))</f>
        <v> </v>
      </c>
      <c r="K1079" s="26" t="str">
        <f>IF(OR(E1079="",E1079="!!!",F1079="NEW"),"",INDEX(J$1:J1078,SUMPRODUCT(MAX(ROW(E$1:E1078)*(E1079=E$1:E1078)))))</f>
        <v> </v>
      </c>
      <c r="L1079" s="27"/>
    </row>
    <row r="1080" spans="1:12">
      <c r="A1080" s="20" t="s">
        <v>1454</v>
      </c>
      <c r="E1080" s="22">
        <f>IF(D1080="?OLD","!!!","")</f>
        <v/>
      </c>
      <c r="F1080" s="23" t="str">
        <f>IF(OR(E1080="",E1080="!!!"),"",IF(NOT(ISNA(VLOOKUP(E1080,E$1:E1079,1,FALSE()))),"OLD",IF(AND(E1080&lt;&gt;"",E1080&lt;&gt;"!!!"),"NEW","")))</f>
        <v> </v>
      </c>
      <c r="G1080" s="24" t="str">
        <f>IF(OR(E1080="",E1080="!!!"),"",IF(OR(J1080=0,AND(J1080=1,K1080=1),AND(J1080=1,I1080="SBJ"),AND(J1080=1,I1080=0)),"?IN_FOCUS",IF(J1080&lt;=2,"?ACTIVATED",IF(J1080&lt;&gt;"","?FAMILIAR",IF(F1080="NEW",IF(ISNA(VLOOKUP(E1080,#REF!,1,FALSE())),"?TYPE_IDENTIFIABLE","?REFERENTIAL"),"_")))))</f>
        <v> </v>
      </c>
      <c r="H1080" s="25" t="str">
        <f>IF(J1080&lt;&gt;1,"",IF(I1080="SBJ","CB","?"))</f>
        <v> </v>
      </c>
      <c r="I1080" s="26" t="str">
        <f>IF(OR(E1080="",E1080="!!!",F1080="NEW"),"",INDEX(B1079:B$2,-1+SUMPRODUCT(MAX(ROW(E1079:E$2)*(E1080=E1079:E$2)))))</f>
        <v> </v>
      </c>
      <c r="J1080" s="26" t="str">
        <f>IF(OR(E1080="",E1080="!!!",F1080="NEW"),"",COUNTBLANK(OFFSET(A$1,,,SUMPRODUCT(MAX(ROW(E$2:E1080)*(E1080=E$2:E1080)))))-COUNTBLANK(OFFSET(A$1,,,SUMPRODUCT(MAX(ROW(E$1:E1079)*(E2=E$1:E1079))))))</f>
        <v> </v>
      </c>
      <c r="K1080" s="26" t="str">
        <f>IF(OR(E1080="",E1080="!!!",F1080="NEW"),"",INDEX(J$1:J1079,SUMPRODUCT(MAX(ROW(E$1:E1079)*(E1080=E$1:E1079)))))</f>
        <v> </v>
      </c>
      <c r="L1080" s="27"/>
    </row>
    <row r="1081" spans="1:12">
      <c r="A1081" s="20" t="s">
        <v>102</v>
      </c>
      <c r="E1081" s="22">
        <f>IF(D1081="?OLD","!!!","")</f>
        <v/>
      </c>
      <c r="F1081" s="23" t="str">
        <f>IF(OR(E1081="",E1081="!!!"),"",IF(NOT(ISNA(VLOOKUP(E1081,E$1:E1080,1,FALSE()))),"OLD",IF(AND(E1081&lt;&gt;"",E1081&lt;&gt;"!!!"),"NEW","")))</f>
        <v> </v>
      </c>
      <c r="G1081" s="24" t="str">
        <f>IF(OR(E1081="",E1081="!!!"),"",IF(OR(J1081=0,AND(J1081=1,K1081=1),AND(J1081=1,I1081="SBJ"),AND(J1081=1,I1081=0)),"?IN_FOCUS",IF(J1081&lt;=2,"?ACTIVATED",IF(J1081&lt;&gt;"","?FAMILIAR",IF(F1081="NEW",IF(ISNA(VLOOKUP(E1081,#REF!,1,FALSE())),"?TYPE_IDENTIFIABLE","?REFERENTIAL"),"_")))))</f>
        <v> </v>
      </c>
      <c r="H1081" s="25" t="str">
        <f>IF(J1081&lt;&gt;1,"",IF(I1081="SBJ","CB","?"))</f>
        <v> </v>
      </c>
      <c r="I1081" s="26" t="str">
        <f>IF(OR(E1081="",E1081="!!!",F1081="NEW"),"",INDEX(B1080:B$2,-1+SUMPRODUCT(MAX(ROW(E1080:E$2)*(E1081=E1080:E$2)))))</f>
        <v> </v>
      </c>
      <c r="J1081" s="26" t="str">
        <f>IF(OR(E1081="",E1081="!!!",F1081="NEW"),"",COUNTBLANK(OFFSET(A$1,,,SUMPRODUCT(MAX(ROW(E$2:E1081)*(E1081=E$2:E1081)))))-COUNTBLANK(OFFSET(A$1,,,SUMPRODUCT(MAX(ROW(E$1:E1080)*(E2=E$1:E1080))))))</f>
        <v> </v>
      </c>
      <c r="K1081" s="26" t="str">
        <f>IF(OR(E1081="",E1081="!!!",F1081="NEW"),"",INDEX(J$1:J1080,SUMPRODUCT(MAX(ROW(E$1:E1080)*(E1081=E$1:E1080)))))</f>
        <v> </v>
      </c>
      <c r="L1081" s="27"/>
    </row>
    <row r="1082" spans="1:12">
      <c r="A1082" s="20" t="s">
        <v>1156</v>
      </c>
      <c r="B1082" s="21" t="s">
        <v>1064</v>
      </c>
      <c r="C1082" s="21" t="s">
        <v>1017</v>
      </c>
      <c r="D1082" s="21" t="s">
        <v>1007</v>
      </c>
      <c r="E1082" s="22">
        <f>IF(D1082="?OLD","!!!","")</f>
        <v/>
      </c>
      <c r="F1082" s="23" t="str">
        <f>IF(OR(E1082="",E1082="!!!"),"",IF(NOT(ISNA(VLOOKUP(E1082,E$1:E1081,1,FALSE()))),"OLD",IF(AND(E1082&lt;&gt;"",E1082&lt;&gt;"!!!"),"NEW","")))</f>
        <v> </v>
      </c>
      <c r="G1082" s="24" t="str">
        <f>IF(OR(E1082="",E1082="!!!"),"",IF(OR(J1082=0,AND(J1082=1,K1082=1),AND(J1082=1,I1082="SBJ"),AND(J1082=1,I1082=0)),"?IN_FOCUS",IF(J1082&lt;=2,"?ACTIVATED",IF(J1082&lt;&gt;"","?FAMILIAR",IF(F1082="NEW",IF(ISNA(VLOOKUP(E1082,#REF!,1,FALSE())),"?TYPE_IDENTIFIABLE","?REFERENTIAL"),"_")))))</f>
        <v> </v>
      </c>
      <c r="H1082" s="25" t="str">
        <f>IF(J1082&lt;&gt;1,"",IF(I1082="SBJ","CB","?"))</f>
        <v> </v>
      </c>
      <c r="I1082" s="26" t="str">
        <f>IF(OR(E1082="",E1082="!!!",F1082="NEW"),"",INDEX(B1081:B$2,-1+SUMPRODUCT(MAX(ROW(E1081:E$2)*(E1082=E1081:E$2)))))</f>
        <v> </v>
      </c>
      <c r="J1082" s="26" t="str">
        <f>IF(OR(E1082="",E1082="!!!",F1082="NEW"),"",COUNTBLANK(OFFSET(A$1,,,SUMPRODUCT(MAX(ROW(E$2:E1082)*(E1082=E$2:E1082)))))-COUNTBLANK(OFFSET(A$1,,,SUMPRODUCT(MAX(ROW(E$1:E1081)*(E2=E$1:E1081))))))</f>
        <v> </v>
      </c>
      <c r="K1082" s="26" t="str">
        <f>IF(OR(E1082="",E1082="!!!",F1082="NEW"),"",INDEX(J$1:J1081,SUMPRODUCT(MAX(ROW(E$1:E1081)*(E1082=E$1:E1081)))))</f>
        <v> </v>
      </c>
      <c r="L1082" s="27"/>
    </row>
    <row r="1083" spans="1:12">
      <c r="A1083" s="20" t="s">
        <v>1453</v>
      </c>
      <c r="E1083" s="22">
        <f>IF(D1083="?OLD","!!!","")</f>
        <v/>
      </c>
      <c r="F1083" s="23" t="str">
        <f>IF(OR(E1083="",E1083="!!!"),"",IF(NOT(ISNA(VLOOKUP(E1083,E$1:E1082,1,FALSE()))),"OLD",IF(AND(E1083&lt;&gt;"",E1083&lt;&gt;"!!!"),"NEW","")))</f>
        <v> </v>
      </c>
      <c r="G1083" s="24" t="str">
        <f>IF(OR(E1083="",E1083="!!!"),"",IF(OR(J1083=0,AND(J1083=1,K1083=1),AND(J1083=1,I1083="SBJ"),AND(J1083=1,I1083=0)),"?IN_FOCUS",IF(J1083&lt;=2,"?ACTIVATED",IF(J1083&lt;&gt;"","?FAMILIAR",IF(F1083="NEW",IF(ISNA(VLOOKUP(E1083,#REF!,1,FALSE())),"?TYPE_IDENTIFIABLE","?REFERENTIAL"),"_")))))</f>
        <v> </v>
      </c>
      <c r="H1083" s="25" t="str">
        <f>IF(J1083&lt;&gt;1,"",IF(I1083="SBJ","CB","?"))</f>
        <v> </v>
      </c>
      <c r="I1083" s="26" t="str">
        <f>IF(OR(E1083="",E1083="!!!",F1083="NEW"),"",INDEX(B1082:B$2,-1+SUMPRODUCT(MAX(ROW(E1082:E$2)*(E1083=E1082:E$2)))))</f>
        <v> </v>
      </c>
      <c r="J1083" s="26" t="str">
        <f>IF(OR(E1083="",E1083="!!!",F1083="NEW"),"",COUNTBLANK(OFFSET(A$1,,,SUMPRODUCT(MAX(ROW(E$2:E1083)*(E1083=E$2:E1083)))))-COUNTBLANK(OFFSET(A$1,,,SUMPRODUCT(MAX(ROW(E$1:E1082)*(E2=E$1:E1082))))))</f>
        <v> </v>
      </c>
      <c r="K1083" s="26" t="str">
        <f>IF(OR(E1083="",E1083="!!!",F1083="NEW"),"",INDEX(J$1:J1082,SUMPRODUCT(MAX(ROW(E$1:E1082)*(E1083=E$1:E1082)))))</f>
        <v> </v>
      </c>
      <c r="L1083" s="27"/>
    </row>
    <row r="1084" spans="1:12">
      <c r="A1084" s="20" t="s">
        <v>1194</v>
      </c>
      <c r="E1084" s="22">
        <f>IF(D1084="?OLD","!!!","")</f>
        <v/>
      </c>
      <c r="F1084" s="23" t="str">
        <f>IF(OR(E1084="",E1084="!!!"),"",IF(NOT(ISNA(VLOOKUP(E1084,E$1:E1083,1,FALSE()))),"OLD",IF(AND(E1084&lt;&gt;"",E1084&lt;&gt;"!!!"),"NEW","")))</f>
        <v> </v>
      </c>
      <c r="G1084" s="24" t="str">
        <f>IF(OR(E1084="",E1084="!!!"),"",IF(OR(J1084=0,AND(J1084=1,K1084=1),AND(J1084=1,I1084="SBJ"),AND(J1084=1,I1084=0)),"?IN_FOCUS",IF(J1084&lt;=2,"?ACTIVATED",IF(J1084&lt;&gt;"","?FAMILIAR",IF(F1084="NEW",IF(ISNA(VLOOKUP(E1084,#REF!,1,FALSE())),"?TYPE_IDENTIFIABLE","?REFERENTIAL"),"_")))))</f>
        <v> </v>
      </c>
      <c r="H1084" s="25" t="str">
        <f>IF(J1084&lt;&gt;1,"",IF(I1084="SBJ","CB","?"))</f>
        <v> </v>
      </c>
      <c r="I1084" s="26" t="str">
        <f>IF(OR(E1084="",E1084="!!!",F1084="NEW"),"",INDEX(B1083:B$2,-1+SUMPRODUCT(MAX(ROW(E1083:E$2)*(E1084=E1083:E$2)))))</f>
        <v> </v>
      </c>
      <c r="J1084" s="26" t="str">
        <f>IF(OR(E1084="",E1084="!!!",F1084="NEW"),"",COUNTBLANK(OFFSET(A$1,,,SUMPRODUCT(MAX(ROW(E$2:E1084)*(E1084=E$2:E1084)))))-COUNTBLANK(OFFSET(A$1,,,SUMPRODUCT(MAX(ROW(E$1:E1083)*(E2=E$1:E1083))))))</f>
        <v> </v>
      </c>
      <c r="K1084" s="26" t="str">
        <f>IF(OR(E1084="",E1084="!!!",F1084="NEW"),"",INDEX(J$1:J1083,SUMPRODUCT(MAX(ROW(E$1:E1083)*(E1084=E$1:E1083)))))</f>
        <v> </v>
      </c>
      <c r="L1084" s="27"/>
    </row>
    <row r="1085" spans="1:12">
      <c r="A1085" s="20" t="s">
        <v>1014</v>
      </c>
      <c r="E1085" s="22">
        <f>IF(D1085="?OLD","!!!","")</f>
        <v/>
      </c>
      <c r="F1085" s="23" t="str">
        <f>IF(OR(E1085="",E1085="!!!"),"",IF(NOT(ISNA(VLOOKUP(E1085,E$1:E1084,1,FALSE()))),"OLD",IF(AND(E1085&lt;&gt;"",E1085&lt;&gt;"!!!"),"NEW","")))</f>
        <v> </v>
      </c>
      <c r="G1085" s="24" t="str">
        <f>IF(OR(E1085="",E1085="!!!"),"",IF(OR(J1085=0,AND(J1085=1,K1085=1),AND(J1085=1,I1085="SBJ"),AND(J1085=1,I1085=0)),"?IN_FOCUS",IF(J1085&lt;=2,"?ACTIVATED",IF(J1085&lt;&gt;"","?FAMILIAR",IF(F1085="NEW",IF(ISNA(VLOOKUP(E1085,#REF!,1,FALSE())),"?TYPE_IDENTIFIABLE","?REFERENTIAL"),"_")))))</f>
        <v> </v>
      </c>
      <c r="H1085" s="25" t="str">
        <f>IF(J1085&lt;&gt;1,"",IF(I1085="SBJ","CB","?"))</f>
        <v> </v>
      </c>
      <c r="I1085" s="26" t="str">
        <f>IF(OR(E1085="",E1085="!!!",F1085="NEW"),"",INDEX(B1084:B$2,-1+SUMPRODUCT(MAX(ROW(E1084:E$2)*(E1085=E1084:E$2)))))</f>
        <v> </v>
      </c>
      <c r="J1085" s="26" t="str">
        <f>IF(OR(E1085="",E1085="!!!",F1085="NEW"),"",COUNTBLANK(OFFSET(A$1,,,SUMPRODUCT(MAX(ROW(E$2:E1085)*(E1085=E$2:E1085)))))-COUNTBLANK(OFFSET(A$1,,,SUMPRODUCT(MAX(ROW(E$1:E1084)*(E2=E$1:E1084))))))</f>
        <v> </v>
      </c>
      <c r="K1085" s="26" t="str">
        <f>IF(OR(E1085="",E1085="!!!",F1085="NEW"),"",INDEX(J$1:J1084,SUMPRODUCT(MAX(ROW(E$1:E1084)*(E1085=E$1:E1084)))))</f>
        <v> </v>
      </c>
      <c r="L1085" s="27"/>
    </row>
    <row r="1086" spans="1:12">
      <c r="A1086" s="20" t="s">
        <v>110</v>
      </c>
      <c r="E1086" s="22">
        <f>IF(D1086="?OLD","!!!","")</f>
        <v/>
      </c>
      <c r="F1086" s="23" t="str">
        <f>IF(OR(E1086="",E1086="!!!"),"",IF(NOT(ISNA(VLOOKUP(E1086,E$1:E1085,1,FALSE()))),"OLD",IF(AND(E1086&lt;&gt;"",E1086&lt;&gt;"!!!"),"NEW","")))</f>
        <v> </v>
      </c>
      <c r="G1086" s="24" t="str">
        <f>IF(OR(E1086="",E1086="!!!"),"",IF(OR(J1086=0,AND(J1086=1,K1086=1),AND(J1086=1,I1086="SBJ"),AND(J1086=1,I1086=0)),"?IN_FOCUS",IF(J1086&lt;=2,"?ACTIVATED",IF(J1086&lt;&gt;"","?FAMILIAR",IF(F1086="NEW",IF(ISNA(VLOOKUP(E1086,#REF!,1,FALSE())),"?TYPE_IDENTIFIABLE","?REFERENTIAL"),"_")))))</f>
        <v> </v>
      </c>
      <c r="H1086" s="25" t="str">
        <f>IF(J1086&lt;&gt;1,"",IF(I1086="SBJ","CB","?"))</f>
        <v> </v>
      </c>
      <c r="I1086" s="26" t="str">
        <f>IF(OR(E1086="",E1086="!!!",F1086="NEW"),"",INDEX(B1085:B$2,-1+SUMPRODUCT(MAX(ROW(E1085:E$2)*(E1086=E1085:E$2)))))</f>
        <v> </v>
      </c>
      <c r="J1086" s="26" t="str">
        <f>IF(OR(E1086="",E1086="!!!",F1086="NEW"),"",COUNTBLANK(OFFSET(A$1,,,SUMPRODUCT(MAX(ROW(E$2:E1086)*(E1086=E$2:E1086)))))-COUNTBLANK(OFFSET(A$1,,,SUMPRODUCT(MAX(ROW(E$1:E1085)*(E2=E$1:E1085))))))</f>
        <v> </v>
      </c>
      <c r="K1086" s="26" t="str">
        <f>IF(OR(E1086="",E1086="!!!",F1086="NEW"),"",INDEX(J$1:J1085,SUMPRODUCT(MAX(ROW(E$1:E1085)*(E1086=E$1:E1085)))))</f>
        <v> </v>
      </c>
      <c r="L1086" s="27"/>
    </row>
    <row r="1087" spans="1:12">
      <c r="A1087" s="20" t="s">
        <v>102</v>
      </c>
      <c r="E1087" s="22">
        <f>IF(D1087="?OLD","!!!","")</f>
        <v/>
      </c>
      <c r="F1087" s="23" t="str">
        <f>IF(OR(E1087="",E1087="!!!"),"",IF(NOT(ISNA(VLOOKUP(E1087,E$1:E1086,1,FALSE()))),"OLD",IF(AND(E1087&lt;&gt;"",E1087&lt;&gt;"!!!"),"NEW","")))</f>
        <v> </v>
      </c>
      <c r="G1087" s="24" t="str">
        <f>IF(OR(E1087="",E1087="!!!"),"",IF(OR(J1087=0,AND(J1087=1,K1087=1),AND(J1087=1,I1087="SBJ"),AND(J1087=1,I1087=0)),"?IN_FOCUS",IF(J1087&lt;=2,"?ACTIVATED",IF(J1087&lt;&gt;"","?FAMILIAR",IF(F1087="NEW",IF(ISNA(VLOOKUP(E1087,#REF!,1,FALSE())),"?TYPE_IDENTIFIABLE","?REFERENTIAL"),"_")))))</f>
        <v> </v>
      </c>
      <c r="H1087" s="25" t="str">
        <f>IF(J1087&lt;&gt;1,"",IF(I1087="SBJ","CB","?"))</f>
        <v> </v>
      </c>
      <c r="I1087" s="26" t="str">
        <f>IF(OR(E1087="",E1087="!!!",F1087="NEW"),"",INDEX(B1086:B$2,-1+SUMPRODUCT(MAX(ROW(E1086:E$2)*(E1087=E1086:E$2)))))</f>
        <v> </v>
      </c>
      <c r="J1087" s="26" t="str">
        <f>IF(OR(E1087="",E1087="!!!",F1087="NEW"),"",COUNTBLANK(OFFSET(A$1,,,SUMPRODUCT(MAX(ROW(E$2:E1087)*(E1087=E$2:E1087)))))-COUNTBLANK(OFFSET(A$1,,,SUMPRODUCT(MAX(ROW(E$1:E1086)*(E2=E$1:E1086))))))</f>
        <v> </v>
      </c>
      <c r="K1087" s="26" t="str">
        <f>IF(OR(E1087="",E1087="!!!",F1087="NEW"),"",INDEX(J$1:J1086,SUMPRODUCT(MAX(ROW(E$1:E1086)*(E1087=E$1:E1086)))))</f>
        <v> </v>
      </c>
      <c r="L1087" s="27"/>
    </row>
    <row r="1088" spans="1:12">
      <c r="A1088" s="20" t="s">
        <v>1455</v>
      </c>
      <c r="B1088" s="21" t="s">
        <v>1066</v>
      </c>
      <c r="C1088" s="21" t="s">
        <v>1013</v>
      </c>
      <c r="D1088" s="21" t="s">
        <v>1007</v>
      </c>
      <c r="E1088" s="22">
        <f>IF(D1088="?OLD","!!!","")</f>
        <v/>
      </c>
      <c r="F1088" s="23" t="str">
        <f>IF(OR(E1088="",E1088="!!!"),"",IF(NOT(ISNA(VLOOKUP(E1088,E$1:E1087,1,FALSE()))),"OLD",IF(AND(E1088&lt;&gt;"",E1088&lt;&gt;"!!!"),"NEW","")))</f>
        <v> </v>
      </c>
      <c r="G1088" s="24" t="str">
        <f>IF(OR(E1088="",E1088="!!!"),"",IF(OR(J1088=0,AND(J1088=1,K1088=1),AND(J1088=1,I1088="SBJ"),AND(J1088=1,I1088=0)),"?IN_FOCUS",IF(J1088&lt;=2,"?ACTIVATED",IF(J1088&lt;&gt;"","?FAMILIAR",IF(F1088="NEW",IF(ISNA(VLOOKUP(E1088,#REF!,1,FALSE())),"?TYPE_IDENTIFIABLE","?REFERENTIAL"),"_")))))</f>
        <v> </v>
      </c>
      <c r="H1088" s="25" t="str">
        <f>IF(J1088&lt;&gt;1,"",IF(I1088="SBJ","CB","?"))</f>
        <v> </v>
      </c>
      <c r="I1088" s="26" t="str">
        <f>IF(OR(E1088="",E1088="!!!",F1088="NEW"),"",INDEX(B1087:B$2,-1+SUMPRODUCT(MAX(ROW(E1087:E$2)*(E1088=E1087:E$2)))))</f>
        <v> </v>
      </c>
      <c r="J1088" s="26" t="str">
        <f>IF(OR(E1088="",E1088="!!!",F1088="NEW"),"",COUNTBLANK(OFFSET(A$1,,,SUMPRODUCT(MAX(ROW(E$2:E1088)*(E1088=E$2:E1088)))))-COUNTBLANK(OFFSET(A$1,,,SUMPRODUCT(MAX(ROW(E$1:E1087)*(E2=E$1:E1087))))))</f>
        <v> </v>
      </c>
      <c r="K1088" s="26" t="str">
        <f>IF(OR(E1088="",E1088="!!!",F1088="NEW"),"",INDEX(J$1:J1087,SUMPRODUCT(MAX(ROW(E$1:E1087)*(E1088=E$1:E1087)))))</f>
        <v> </v>
      </c>
      <c r="L1088" s="27"/>
    </row>
    <row r="1089" spans="1:12">
      <c r="A1089" s="20" t="s">
        <v>1456</v>
      </c>
      <c r="E1089" s="22">
        <f>IF(D1089="?OLD","!!!","")</f>
        <v/>
      </c>
      <c r="F1089" s="23" t="str">
        <f>IF(OR(E1089="",E1089="!!!"),"",IF(NOT(ISNA(VLOOKUP(E1089,E$1:E1088,1,FALSE()))),"OLD",IF(AND(E1089&lt;&gt;"",E1089&lt;&gt;"!!!"),"NEW","")))</f>
        <v> </v>
      </c>
      <c r="G1089" s="24" t="str">
        <f>IF(OR(E1089="",E1089="!!!"),"",IF(OR(J1089=0,AND(J1089=1,K1089=1),AND(J1089=1,I1089="SBJ"),AND(J1089=1,I1089=0)),"?IN_FOCUS",IF(J1089&lt;=2,"?ACTIVATED",IF(J1089&lt;&gt;"","?FAMILIAR",IF(F1089="NEW",IF(ISNA(VLOOKUP(E1089,#REF!,1,FALSE())),"?TYPE_IDENTIFIABLE","?REFERENTIAL"),"_")))))</f>
        <v> </v>
      </c>
      <c r="H1089" s="25" t="str">
        <f>IF(J1089&lt;&gt;1,"",IF(I1089="SBJ","CB","?"))</f>
        <v> </v>
      </c>
      <c r="I1089" s="26" t="str">
        <f>IF(OR(E1089="",E1089="!!!",F1089="NEW"),"",INDEX(B1088:B$2,-1+SUMPRODUCT(MAX(ROW(E1088:E$2)*(E1089=E1088:E$2)))))</f>
        <v> </v>
      </c>
      <c r="J1089" s="26" t="str">
        <f>IF(OR(E1089="",E1089="!!!",F1089="NEW"),"",COUNTBLANK(OFFSET(A$1,,,SUMPRODUCT(MAX(ROW(E$2:E1089)*(E1089=E$2:E1089)))))-COUNTBLANK(OFFSET(A$1,,,SUMPRODUCT(MAX(ROW(E$1:E1088)*(E2=E$1:E1088))))))</f>
        <v> </v>
      </c>
      <c r="K1089" s="26" t="str">
        <f>IF(OR(E1089="",E1089="!!!",F1089="NEW"),"",INDEX(J$1:J1088,SUMPRODUCT(MAX(ROW(E$1:E1088)*(E1089=E$1:E1088)))))</f>
        <v> </v>
      </c>
      <c r="L1089" s="27"/>
    </row>
    <row r="1090" spans="1:12">
      <c r="A1090" s="20" t="s">
        <v>1014</v>
      </c>
      <c r="E1090" s="22">
        <f>IF(D1090="?OLD","!!!","")</f>
        <v/>
      </c>
      <c r="F1090" s="23" t="str">
        <f>IF(OR(E1090="",E1090="!!!"),"",IF(NOT(ISNA(VLOOKUP(E1090,E$1:E1089,1,FALSE()))),"OLD",IF(AND(E1090&lt;&gt;"",E1090&lt;&gt;"!!!"),"NEW","")))</f>
        <v> </v>
      </c>
      <c r="G1090" s="24" t="str">
        <f>IF(OR(E1090="",E1090="!!!"),"",IF(OR(J1090=0,AND(J1090=1,K1090=1),AND(J1090=1,I1090="SBJ"),AND(J1090=1,I1090=0)),"?IN_FOCUS",IF(J1090&lt;=2,"?ACTIVATED",IF(J1090&lt;&gt;"","?FAMILIAR",IF(F1090="NEW",IF(ISNA(VLOOKUP(E1090,#REF!,1,FALSE())),"?TYPE_IDENTIFIABLE","?REFERENTIAL"),"_")))))</f>
        <v> </v>
      </c>
      <c r="H1090" s="25" t="str">
        <f>IF(J1090&lt;&gt;1,"",IF(I1090="SBJ","CB","?"))</f>
        <v> </v>
      </c>
      <c r="I1090" s="26" t="str">
        <f>IF(OR(E1090="",E1090="!!!",F1090="NEW"),"",INDEX(B1089:B$2,-1+SUMPRODUCT(MAX(ROW(E1089:E$2)*(E1090=E1089:E$2)))))</f>
        <v> </v>
      </c>
      <c r="J1090" s="26" t="str">
        <f>IF(OR(E1090="",E1090="!!!",F1090="NEW"),"",COUNTBLANK(OFFSET(A$1,,,SUMPRODUCT(MAX(ROW(E$2:E1090)*(E1090=E$2:E1090)))))-COUNTBLANK(OFFSET(A$1,,,SUMPRODUCT(MAX(ROW(E$1:E1089)*(E2=E$1:E1089))))))</f>
        <v> </v>
      </c>
      <c r="K1090" s="26" t="str">
        <f>IF(OR(E1090="",E1090="!!!",F1090="NEW"),"",INDEX(J$1:J1089,SUMPRODUCT(MAX(ROW(E$1:E1089)*(E1090=E$1:E1089)))))</f>
        <v> </v>
      </c>
      <c r="L1090" s="27"/>
    </row>
    <row r="1091" spans="1:12">
      <c r="A1091" s="20" t="s">
        <v>1020</v>
      </c>
      <c r="E1091" s="22">
        <f>IF(D1091="?OLD","!!!","")</f>
        <v/>
      </c>
      <c r="F1091" s="23" t="str">
        <f>IF(OR(E1091="",E1091="!!!"),"",IF(NOT(ISNA(VLOOKUP(E1091,E$1:E1090,1,FALSE()))),"OLD",IF(AND(E1091&lt;&gt;"",E1091&lt;&gt;"!!!"),"NEW","")))</f>
        <v> </v>
      </c>
      <c r="G1091" s="24" t="str">
        <f>IF(OR(E1091="",E1091="!!!"),"",IF(OR(J1091=0,AND(J1091=1,K1091=1),AND(J1091=1,I1091="SBJ"),AND(J1091=1,I1091=0)),"?IN_FOCUS",IF(J1091&lt;=2,"?ACTIVATED",IF(J1091&lt;&gt;"","?FAMILIAR",IF(F1091="NEW",IF(ISNA(VLOOKUP(E1091,#REF!,1,FALSE())),"?TYPE_IDENTIFIABLE","?REFERENTIAL"),"_")))))</f>
        <v> </v>
      </c>
      <c r="H1091" s="25" t="str">
        <f>IF(J1091&lt;&gt;1,"",IF(I1091="SBJ","CB","?"))</f>
        <v> </v>
      </c>
      <c r="I1091" s="26" t="str">
        <f>IF(OR(E1091="",E1091="!!!",F1091="NEW"),"",INDEX(B1090:B$2,-1+SUMPRODUCT(MAX(ROW(E1090:E$2)*(E1091=E1090:E$2)))))</f>
        <v> </v>
      </c>
      <c r="J1091" s="26" t="str">
        <f>IF(OR(E1091="",E1091="!!!",F1091="NEW"),"",COUNTBLANK(OFFSET(A$1,,,SUMPRODUCT(MAX(ROW(E$2:E1091)*(E1091=E$2:E1091)))))-COUNTBLANK(OFFSET(A$1,,,SUMPRODUCT(MAX(ROW(E$1:E1090)*(E2=E$1:E1090))))))</f>
        <v> </v>
      </c>
      <c r="K1091" s="26" t="str">
        <f>IF(OR(E1091="",E1091="!!!",F1091="NEW"),"",INDEX(J$1:J1090,SUMPRODUCT(MAX(ROW(E$1:E1090)*(E1091=E$1:E1090)))))</f>
        <v> </v>
      </c>
      <c r="L1091" s="27"/>
    </row>
    <row r="1092" spans="1:12">
      <c r="A1092" s="20" t="s">
        <v>1211</v>
      </c>
      <c r="B1092" s="21" t="s">
        <v>1042</v>
      </c>
      <c r="C1092" s="21" t="s">
        <v>1006</v>
      </c>
      <c r="D1092" s="21" t="s">
        <v>1007</v>
      </c>
      <c r="E1092" s="22">
        <f>IF(D1092="?OLD","!!!","")</f>
        <v/>
      </c>
      <c r="F1092" s="23" t="str">
        <f>IF(OR(E1092="",E1092="!!!"),"",IF(NOT(ISNA(VLOOKUP(E1092,E$1:E1091,1,FALSE()))),"OLD",IF(AND(E1092&lt;&gt;"",E1092&lt;&gt;"!!!"),"NEW","")))</f>
        <v> </v>
      </c>
      <c r="G1092" s="24" t="str">
        <f>IF(OR(E1092="",E1092="!!!"),"",IF(OR(J1092=0,AND(J1092=1,K1092=1),AND(J1092=1,I1092="SBJ"),AND(J1092=1,I1092=0)),"?IN_FOCUS",IF(J1092&lt;=2,"?ACTIVATED",IF(J1092&lt;&gt;"","?FAMILIAR",IF(F1092="NEW",IF(ISNA(VLOOKUP(E1092,#REF!,1,FALSE())),"?TYPE_IDENTIFIABLE","?REFERENTIAL"),"_")))))</f>
        <v> </v>
      </c>
      <c r="H1092" s="25" t="str">
        <f>IF(J1092&lt;&gt;1,"",IF(I1092="SBJ","CB","?"))</f>
        <v> </v>
      </c>
      <c r="I1092" s="26" t="str">
        <f>IF(OR(E1092="",E1092="!!!",F1092="NEW"),"",INDEX(B1091:B$2,-1+SUMPRODUCT(MAX(ROW(E1091:E$2)*(E1092=E1091:E$2)))))</f>
        <v> </v>
      </c>
      <c r="J1092" s="26" t="str">
        <f>IF(OR(E1092="",E1092="!!!",F1092="NEW"),"",COUNTBLANK(OFFSET(A$1,,,SUMPRODUCT(MAX(ROW(E$2:E1092)*(E1092=E$2:E1092)))))-COUNTBLANK(OFFSET(A$1,,,SUMPRODUCT(MAX(ROW(E$1:E1091)*(E2=E$1:E1091))))))</f>
        <v> </v>
      </c>
      <c r="K1092" s="26" t="str">
        <f>IF(OR(E1092="",E1092="!!!",F1092="NEW"),"",INDEX(J$1:J1091,SUMPRODUCT(MAX(ROW(E$1:E1091)*(E1092=E$1:E1091)))))</f>
        <v> </v>
      </c>
      <c r="L1092" s="27"/>
    </row>
    <row r="1093" spans="1:12">
      <c r="A1093" s="20" t="s">
        <v>1023</v>
      </c>
      <c r="E1093" s="22">
        <f>IF(D1093="?OLD","!!!","")</f>
        <v/>
      </c>
      <c r="F1093" s="23" t="str">
        <f>IF(OR(E1093="",E1093="!!!"),"",IF(NOT(ISNA(VLOOKUP(E1093,E$1:E1092,1,FALSE()))),"OLD",IF(AND(E1093&lt;&gt;"",E1093&lt;&gt;"!!!"),"NEW","")))</f>
        <v> </v>
      </c>
      <c r="G1093" s="24" t="str">
        <f>IF(OR(E1093="",E1093="!!!"),"",IF(OR(J1093=0,AND(J1093=1,K1093=1),AND(J1093=1,I1093="SBJ"),AND(J1093=1,I1093=0)),"?IN_FOCUS",IF(J1093&lt;=2,"?ACTIVATED",IF(J1093&lt;&gt;"","?FAMILIAR",IF(F1093="NEW",IF(ISNA(VLOOKUP(E1093,#REF!,1,FALSE())),"?TYPE_IDENTIFIABLE","?REFERENTIAL"),"_")))))</f>
        <v> </v>
      </c>
      <c r="H1093" s="25" t="str">
        <f>IF(J1093&lt;&gt;1,"",IF(I1093="SBJ","CB","?"))</f>
        <v> </v>
      </c>
      <c r="I1093" s="26" t="str">
        <f>IF(OR(E1093="",E1093="!!!",F1093="NEW"),"",INDEX(B1092:B$2,-1+SUMPRODUCT(MAX(ROW(E1092:E$2)*(E1093=E1092:E$2)))))</f>
        <v> </v>
      </c>
      <c r="J1093" s="26" t="str">
        <f>IF(OR(E1093="",E1093="!!!",F1093="NEW"),"",COUNTBLANK(OFFSET(A$1,,,SUMPRODUCT(MAX(ROW(E$2:E1093)*(E1093=E$2:E1093)))))-COUNTBLANK(OFFSET(A$1,,,SUMPRODUCT(MAX(ROW(E$1:E1092)*(E2=E$1:E1092))))))</f>
        <v> </v>
      </c>
      <c r="K1093" s="26" t="str">
        <f>IF(OR(E1093="",E1093="!!!",F1093="NEW"),"",INDEX(J$1:J1092,SUMPRODUCT(MAX(ROW(E$1:E1092)*(E1093=E$1:E1092)))))</f>
        <v> </v>
      </c>
      <c r="L1093" s="27"/>
    </row>
    <row r="1094" spans="1:12">
      <c r="A1094" s="20"/>
    </row>
    <row r="1095" spans="1:12">
      <c r="A1095" s="20" t="s">
        <v>1457</v>
      </c>
    </row>
    <row r="1096" spans="1:12">
      <c r="A1096" s="20" t="s">
        <v>1175</v>
      </c>
      <c r="E1096" s="22">
        <f>IF(D1096="?OLD","!!!","")</f>
        <v/>
      </c>
      <c r="F1096" s="23" t="str">
        <f>IF(OR(E1096="",E1096="!!!"),"",IF(NOT(ISNA(VLOOKUP(E1096,E$1:E1095,1,FALSE()))),"OLD",IF(AND(E1096&lt;&gt;"",E1096&lt;&gt;"!!!"),"NEW","")))</f>
        <v> </v>
      </c>
      <c r="G1096" s="24" t="str">
        <f>IF(OR(E1096="",E1096="!!!"),"",IF(OR(J1096=0,AND(J1096=1,K1096=1),AND(J1096=1,I1096="SBJ"),AND(J1096=1,I1096=0)),"?IN_FOCUS",IF(J1096&lt;=2,"?ACTIVATED",IF(J1096&lt;&gt;"","?FAMILIAR",IF(F1096="NEW",IF(ISNA(VLOOKUP(E1096,#REF!,1,FALSE())),"?TYPE_IDENTIFIABLE","?REFERENTIAL"),"_")))))</f>
        <v> </v>
      </c>
      <c r="H1096" s="25" t="str">
        <f>IF(J1096&lt;&gt;1,"",IF(I1096="SBJ","CB","?"))</f>
        <v> </v>
      </c>
      <c r="I1096" s="26" t="str">
        <f>IF(OR(E1096="",E1096="!!!",F1096="NEW"),"",INDEX(B1095:B$2,-1+SUMPRODUCT(MAX(ROW(E1095:E$2)*(E1096=E1095:E$2)))))</f>
        <v> </v>
      </c>
      <c r="J1096" s="26" t="str">
        <f>IF(OR(E1096="",E1096="!!!",F1096="NEW"),"",COUNTBLANK(OFFSET(A$1,,,SUMPRODUCT(MAX(ROW(E$2:E1096)*(E1096=E$2:E1096)))))-COUNTBLANK(OFFSET(A$1,,,SUMPRODUCT(MAX(ROW(E$1:E1095)*(E2=E$1:E1095))))))</f>
        <v> </v>
      </c>
      <c r="K1096" s="26" t="str">
        <f>IF(OR(E1096="",E1096="!!!",F1096="NEW"),"",INDEX(J$1:J1095,SUMPRODUCT(MAX(ROW(E$1:E1095)*(E1096=E$1:E1095)))))</f>
        <v> </v>
      </c>
      <c r="L1096" s="27"/>
    </row>
    <row r="1097" spans="1:12">
      <c r="A1097" s="20" t="s">
        <v>1018</v>
      </c>
      <c r="E1097" s="22">
        <f>IF(D1097="?OLD","!!!","")</f>
        <v/>
      </c>
      <c r="F1097" s="23" t="str">
        <f>IF(OR(E1097="",E1097="!!!"),"",IF(NOT(ISNA(VLOOKUP(E1097,E$1:E1096,1,FALSE()))),"OLD",IF(AND(E1097&lt;&gt;"",E1097&lt;&gt;"!!!"),"NEW","")))</f>
        <v> </v>
      </c>
      <c r="G1097" s="24" t="str">
        <f>IF(OR(E1097="",E1097="!!!"),"",IF(OR(J1097=0,AND(J1097=1,K1097=1),AND(J1097=1,I1097="SBJ"),AND(J1097=1,I1097=0)),"?IN_FOCUS",IF(J1097&lt;=2,"?ACTIVATED",IF(J1097&lt;&gt;"","?FAMILIAR",IF(F1097="NEW",IF(ISNA(VLOOKUP(E1097,#REF!,1,FALSE())),"?TYPE_IDENTIFIABLE","?REFERENTIAL"),"_")))))</f>
        <v> </v>
      </c>
      <c r="H1097" s="25" t="str">
        <f>IF(J1097&lt;&gt;1,"",IF(I1097="SBJ","CB","?"))</f>
        <v> </v>
      </c>
      <c r="I1097" s="26" t="str">
        <f>IF(OR(E1097="",E1097="!!!",F1097="NEW"),"",INDEX(B1096:B$2,-1+SUMPRODUCT(MAX(ROW(E1096:E$2)*(E1097=E1096:E$2)))))</f>
        <v> </v>
      </c>
      <c r="J1097" s="26" t="str">
        <f>IF(OR(E1097="",E1097="!!!",F1097="NEW"),"",COUNTBLANK(OFFSET(A$1,,,SUMPRODUCT(MAX(ROW(E$2:E1097)*(E1097=E$2:E1097)))))-COUNTBLANK(OFFSET(A$1,,,SUMPRODUCT(MAX(ROW(E$1:E1096)*(E2=E$1:E1096))))))</f>
        <v> </v>
      </c>
      <c r="K1097" s="26" t="str">
        <f>IF(OR(E1097="",E1097="!!!",F1097="NEW"),"",INDEX(J$1:J1096,SUMPRODUCT(MAX(ROW(E$1:E1096)*(E1097=E$1:E1096)))))</f>
        <v> </v>
      </c>
      <c r="L1097" s="27"/>
    </row>
    <row r="1098" spans="1:12">
      <c r="A1098" s="20" t="s">
        <v>1458</v>
      </c>
      <c r="E1098" s="22">
        <f>IF(D1098="?OLD","!!!","")</f>
        <v/>
      </c>
      <c r="F1098" s="23" t="str">
        <f>IF(OR(E1098="",E1098="!!!"),"",IF(NOT(ISNA(VLOOKUP(E1098,E$1:E1097,1,FALSE()))),"OLD",IF(AND(E1098&lt;&gt;"",E1098&lt;&gt;"!!!"),"NEW","")))</f>
        <v> </v>
      </c>
      <c r="G1098" s="24" t="str">
        <f>IF(OR(E1098="",E1098="!!!"),"",IF(OR(J1098=0,AND(J1098=1,K1098=1),AND(J1098=1,I1098="SBJ"),AND(J1098=1,I1098=0)),"?IN_FOCUS",IF(J1098&lt;=2,"?ACTIVATED",IF(J1098&lt;&gt;"","?FAMILIAR",IF(F1098="NEW",IF(ISNA(VLOOKUP(E1098,#REF!,1,FALSE())),"?TYPE_IDENTIFIABLE","?REFERENTIAL"),"_")))))</f>
        <v> </v>
      </c>
      <c r="H1098" s="25" t="str">
        <f>IF(J1098&lt;&gt;1,"",IF(I1098="SBJ","CB","?"))</f>
        <v> </v>
      </c>
      <c r="I1098" s="26" t="str">
        <f>IF(OR(E1098="",E1098="!!!",F1098="NEW"),"",INDEX(B1097:B$2,-1+SUMPRODUCT(MAX(ROW(E1097:E$2)*(E1098=E1097:E$2)))))</f>
        <v> </v>
      </c>
      <c r="J1098" s="26" t="str">
        <f>IF(OR(E1098="",E1098="!!!",F1098="NEW"),"",COUNTBLANK(OFFSET(A$1,,,SUMPRODUCT(MAX(ROW(E$2:E1098)*(E1098=E$2:E1098)))))-COUNTBLANK(OFFSET(A$1,,,SUMPRODUCT(MAX(ROW(E$1:E1097)*(E2=E$1:E1097))))))</f>
        <v> </v>
      </c>
      <c r="K1098" s="26" t="str">
        <f>IF(OR(E1098="",E1098="!!!",F1098="NEW"),"",INDEX(J$1:J1097,SUMPRODUCT(MAX(ROW(E$1:E1097)*(E1098=E$1:E1097)))))</f>
        <v> </v>
      </c>
      <c r="L1098" s="27"/>
    </row>
    <row r="1099" spans="1:12">
      <c r="A1099" s="20" t="s">
        <v>1014</v>
      </c>
      <c r="E1099" s="22">
        <f>IF(D1099="?OLD","!!!","")</f>
        <v/>
      </c>
      <c r="F1099" s="23" t="str">
        <f>IF(OR(E1099="",E1099="!!!"),"",IF(NOT(ISNA(VLOOKUP(E1099,E$1:E1098,1,FALSE()))),"OLD",IF(AND(E1099&lt;&gt;"",E1099&lt;&gt;"!!!"),"NEW","")))</f>
        <v> </v>
      </c>
      <c r="G1099" s="24" t="str">
        <f>IF(OR(E1099="",E1099="!!!"),"",IF(OR(J1099=0,AND(J1099=1,K1099=1),AND(J1099=1,I1099="SBJ"),AND(J1099=1,I1099=0)),"?IN_FOCUS",IF(J1099&lt;=2,"?ACTIVATED",IF(J1099&lt;&gt;"","?FAMILIAR",IF(F1099="NEW",IF(ISNA(VLOOKUP(E1099,#REF!,1,FALSE())),"?TYPE_IDENTIFIABLE","?REFERENTIAL"),"_")))))</f>
        <v> </v>
      </c>
      <c r="H1099" s="25" t="str">
        <f>IF(J1099&lt;&gt;1,"",IF(I1099="SBJ","CB","?"))</f>
        <v> </v>
      </c>
      <c r="I1099" s="26" t="str">
        <f>IF(OR(E1099="",E1099="!!!",F1099="NEW"),"",INDEX(B1098:B$2,-1+SUMPRODUCT(MAX(ROW(E1098:E$2)*(E1099=E1098:E$2)))))</f>
        <v> </v>
      </c>
      <c r="J1099" s="26" t="str">
        <f>IF(OR(E1099="",E1099="!!!",F1099="NEW"),"",COUNTBLANK(OFFSET(A$1,,,SUMPRODUCT(MAX(ROW(E$2:E1099)*(E1099=E$2:E1099)))))-COUNTBLANK(OFFSET(A$1,,,SUMPRODUCT(MAX(ROW(E$1:E1098)*(E2=E$1:E1098))))))</f>
        <v> </v>
      </c>
      <c r="K1099" s="26" t="str">
        <f>IF(OR(E1099="",E1099="!!!",F1099="NEW"),"",INDEX(J$1:J1098,SUMPRODUCT(MAX(ROW(E$1:E1098)*(E1099=E$1:E1098)))))</f>
        <v> </v>
      </c>
      <c r="L1099" s="27"/>
    </row>
    <row r="1100" spans="1:12">
      <c r="A1100" s="20" t="s">
        <v>1459</v>
      </c>
      <c r="B1100" s="21" t="s">
        <v>1119</v>
      </c>
      <c r="C1100" s="21" t="s">
        <v>1086</v>
      </c>
      <c r="E1100" s="22">
        <f>IF(D1100="?OLD","!!!","")</f>
        <v/>
      </c>
      <c r="F1100" s="23" t="str">
        <f>IF(OR(E1100="",E1100="!!!"),"",IF(NOT(ISNA(VLOOKUP(E1100,E$1:E1099,1,FALSE()))),"OLD",IF(AND(E1100&lt;&gt;"",E1100&lt;&gt;"!!!"),"NEW","")))</f>
        <v> </v>
      </c>
      <c r="G1100" s="24" t="str">
        <f>IF(OR(E1100="",E1100="!!!"),"",IF(OR(J1100=0,AND(J1100=1,K1100=1),AND(J1100=1,I1100="SBJ"),AND(J1100=1,I1100=0)),"?IN_FOCUS",IF(J1100&lt;=2,"?ACTIVATED",IF(J1100&lt;&gt;"","?FAMILIAR",IF(F1100="NEW",IF(ISNA(VLOOKUP(E1100,#REF!,1,FALSE())),"?TYPE_IDENTIFIABLE","?REFERENTIAL"),"_")))))</f>
        <v> </v>
      </c>
      <c r="H1100" s="25" t="str">
        <f>IF(J1100&lt;&gt;1,"",IF(I1100="SBJ","CB","?"))</f>
        <v> </v>
      </c>
      <c r="I1100" s="26" t="str">
        <f>IF(OR(E1100="",E1100="!!!",F1100="NEW"),"",INDEX(B1099:B$2,-1+SUMPRODUCT(MAX(ROW(E1099:E$2)*(E1100=E1099:E$2)))))</f>
        <v> </v>
      </c>
      <c r="J1100" s="26" t="str">
        <f>IF(OR(E1100="",E1100="!!!",F1100="NEW"),"",COUNTBLANK(OFFSET(A$1,,,SUMPRODUCT(MAX(ROW(E$2:E1100)*(E1100=E$2:E1100)))))-COUNTBLANK(OFFSET(A$1,,,SUMPRODUCT(MAX(ROW(E$1:E1099)*(E2=E$1:E1099))))))</f>
        <v> </v>
      </c>
      <c r="K1100" s="26" t="str">
        <f>IF(OR(E1100="",E1100="!!!",F1100="NEW"),"",INDEX(J$1:J1099,SUMPRODUCT(MAX(ROW(E$1:E1099)*(E1100=E$1:E1099)))))</f>
        <v> </v>
      </c>
      <c r="L1100" s="27"/>
    </row>
    <row r="1101" spans="1:12">
      <c r="A1101" s="20" t="s">
        <v>1014</v>
      </c>
      <c r="E1101" s="22">
        <f>IF(D1101="?OLD","!!!","")</f>
        <v/>
      </c>
      <c r="F1101" s="23" t="str">
        <f>IF(OR(E1101="",E1101="!!!"),"",IF(NOT(ISNA(VLOOKUP(E1101,E$1:E1100,1,FALSE()))),"OLD",IF(AND(E1101&lt;&gt;"",E1101&lt;&gt;"!!!"),"NEW","")))</f>
        <v> </v>
      </c>
      <c r="G1101" s="24" t="str">
        <f>IF(OR(E1101="",E1101="!!!"),"",IF(OR(J1101=0,AND(J1101=1,K1101=1),AND(J1101=1,I1101="SBJ"),AND(J1101=1,I1101=0)),"?IN_FOCUS",IF(J1101&lt;=2,"?ACTIVATED",IF(J1101&lt;&gt;"","?FAMILIAR",IF(F1101="NEW",IF(ISNA(VLOOKUP(E1101,#REF!,1,FALSE())),"?TYPE_IDENTIFIABLE","?REFERENTIAL"),"_")))))</f>
        <v> </v>
      </c>
      <c r="H1101" s="25" t="str">
        <f>IF(J1101&lt;&gt;1,"",IF(I1101="SBJ","CB","?"))</f>
        <v> </v>
      </c>
      <c r="I1101" s="26" t="str">
        <f>IF(OR(E1101="",E1101="!!!",F1101="NEW"),"",INDEX(B1100:B$2,-1+SUMPRODUCT(MAX(ROW(E1100:E$2)*(E1101=E1100:E$2)))))</f>
        <v> </v>
      </c>
      <c r="J1101" s="26" t="str">
        <f>IF(OR(E1101="",E1101="!!!",F1101="NEW"),"",COUNTBLANK(OFFSET(A$1,,,SUMPRODUCT(MAX(ROW(E$2:E1101)*(E1101=E$2:E1101)))))-COUNTBLANK(OFFSET(A$1,,,SUMPRODUCT(MAX(ROW(E$1:E1100)*(E2=E$1:E1100))))))</f>
        <v> </v>
      </c>
      <c r="K1101" s="26" t="str">
        <f>IF(OR(E1101="",E1101="!!!",F1101="NEW"),"",INDEX(J$1:J1100,SUMPRODUCT(MAX(ROW(E$1:E1100)*(E1101=E$1:E1100)))))</f>
        <v> </v>
      </c>
      <c r="L1101" s="27"/>
    </row>
    <row r="1102" spans="1:12">
      <c r="A1102" s="20" t="s">
        <v>1279</v>
      </c>
      <c r="E1102" s="22">
        <f>IF(D1102="?OLD","!!!","")</f>
        <v/>
      </c>
      <c r="F1102" s="23" t="str">
        <f>IF(OR(E1102="",E1102="!!!"),"",IF(NOT(ISNA(VLOOKUP(E1102,E$1:E1101,1,FALSE()))),"OLD",IF(AND(E1102&lt;&gt;"",E1102&lt;&gt;"!!!"),"NEW","")))</f>
        <v> </v>
      </c>
      <c r="G1102" s="24" t="str">
        <f>IF(OR(E1102="",E1102="!!!"),"",IF(OR(J1102=0,AND(J1102=1,K1102=1),AND(J1102=1,I1102="SBJ"),AND(J1102=1,I1102=0)),"?IN_FOCUS",IF(J1102&lt;=2,"?ACTIVATED",IF(J1102&lt;&gt;"","?FAMILIAR",IF(F1102="NEW",IF(ISNA(VLOOKUP(E1102,#REF!,1,FALSE())),"?TYPE_IDENTIFIABLE","?REFERENTIAL"),"_")))))</f>
        <v> </v>
      </c>
      <c r="H1102" s="25" t="str">
        <f>IF(J1102&lt;&gt;1,"",IF(I1102="SBJ","CB","?"))</f>
        <v> </v>
      </c>
      <c r="I1102" s="26" t="str">
        <f>IF(OR(E1102="",E1102="!!!",F1102="NEW"),"",INDEX(B1101:B$2,-1+SUMPRODUCT(MAX(ROW(E1101:E$2)*(E1102=E1101:E$2)))))</f>
        <v> </v>
      </c>
      <c r="J1102" s="26" t="str">
        <f>IF(OR(E1102="",E1102="!!!",F1102="NEW"),"",COUNTBLANK(OFFSET(A$1,,,SUMPRODUCT(MAX(ROW(E$2:E1102)*(E1102=E$2:E1102)))))-COUNTBLANK(OFFSET(A$1,,,SUMPRODUCT(MAX(ROW(E$1:E1101)*(E2=E$1:E1101))))))</f>
        <v> </v>
      </c>
      <c r="K1102" s="26" t="str">
        <f>IF(OR(E1102="",E1102="!!!",F1102="NEW"),"",INDEX(J$1:J1101,SUMPRODUCT(MAX(ROW(E$1:E1101)*(E1102=E$1:E1101)))))</f>
        <v> </v>
      </c>
      <c r="L1102" s="27"/>
    </row>
    <row r="1103" spans="1:12">
      <c r="A1103" s="20" t="s">
        <v>1460</v>
      </c>
      <c r="B1103" s="21" t="s">
        <v>1033</v>
      </c>
      <c r="C1103" s="21" t="s">
        <v>1041</v>
      </c>
      <c r="D1103" s="21" t="s">
        <v>1007</v>
      </c>
      <c r="E1103" s="22">
        <f>IF(D1103="?OLD","!!!","")</f>
        <v/>
      </c>
      <c r="F1103" s="23" t="str">
        <f>IF(OR(E1103="",E1103="!!!"),"",IF(NOT(ISNA(VLOOKUP(E1103,E$1:E1102,1,FALSE()))),"OLD",IF(AND(E1103&lt;&gt;"",E1103&lt;&gt;"!!!"),"NEW","")))</f>
        <v> </v>
      </c>
      <c r="G1103" s="24" t="str">
        <f>IF(OR(E1103="",E1103="!!!"),"",IF(OR(J1103=0,AND(J1103=1,K1103=1),AND(J1103=1,I1103="SBJ"),AND(J1103=1,I1103=0)),"?IN_FOCUS",IF(J1103&lt;=2,"?ACTIVATED",IF(J1103&lt;&gt;"","?FAMILIAR",IF(F1103="NEW",IF(ISNA(VLOOKUP(E1103,#REF!,1,FALSE())),"?TYPE_IDENTIFIABLE","?REFERENTIAL"),"_")))))</f>
        <v> </v>
      </c>
      <c r="H1103" s="25" t="str">
        <f>IF(J1103&lt;&gt;1,"",IF(I1103="SBJ","CB","?"))</f>
        <v> </v>
      </c>
      <c r="I1103" s="26" t="str">
        <f>IF(OR(E1103="",E1103="!!!",F1103="NEW"),"",INDEX(B1102:B$2,-1+SUMPRODUCT(MAX(ROW(E1102:E$2)*(E1103=E1102:E$2)))))</f>
        <v> </v>
      </c>
      <c r="J1103" s="26" t="str">
        <f>IF(OR(E1103="",E1103="!!!",F1103="NEW"),"",COUNTBLANK(OFFSET(A$1,,,SUMPRODUCT(MAX(ROW(E$2:E1103)*(E1103=E$2:E1103)))))-COUNTBLANK(OFFSET(A$1,,,SUMPRODUCT(MAX(ROW(E$1:E1102)*(E2=E$1:E1102))))))</f>
        <v> </v>
      </c>
      <c r="K1103" s="26" t="str">
        <f>IF(OR(E1103="",E1103="!!!",F1103="NEW"),"",INDEX(J$1:J1102,SUMPRODUCT(MAX(ROW(E$1:E1102)*(E1103=E$1:E1102)))))</f>
        <v> </v>
      </c>
      <c r="L1103" s="27"/>
    </row>
    <row r="1104" spans="1:12">
      <c r="A1104" s="20" t="s">
        <v>1461</v>
      </c>
      <c r="E1104" s="22">
        <f>IF(D1104="?OLD","!!!","")</f>
        <v/>
      </c>
      <c r="F1104" s="23" t="str">
        <f>IF(OR(E1104="",E1104="!!!"),"",IF(NOT(ISNA(VLOOKUP(E1104,E$1:E1103,1,FALSE()))),"OLD",IF(AND(E1104&lt;&gt;"",E1104&lt;&gt;"!!!"),"NEW","")))</f>
        <v> </v>
      </c>
      <c r="G1104" s="24" t="str">
        <f>IF(OR(E1104="",E1104="!!!"),"",IF(OR(J1104=0,AND(J1104=1,K1104=1),AND(J1104=1,I1104="SBJ"),AND(J1104=1,I1104=0)),"?IN_FOCUS",IF(J1104&lt;=2,"?ACTIVATED",IF(J1104&lt;&gt;"","?FAMILIAR",IF(F1104="NEW",IF(ISNA(VLOOKUP(E1104,#REF!,1,FALSE())),"?TYPE_IDENTIFIABLE","?REFERENTIAL"),"_")))))</f>
        <v> </v>
      </c>
      <c r="H1104" s="25" t="str">
        <f>IF(J1104&lt;&gt;1,"",IF(I1104="SBJ","CB","?"))</f>
        <v> </v>
      </c>
      <c r="I1104" s="26" t="str">
        <f>IF(OR(E1104="",E1104="!!!",F1104="NEW"),"",INDEX(B1103:B$2,-1+SUMPRODUCT(MAX(ROW(E1103:E$2)*(E1104=E1103:E$2)))))</f>
        <v> </v>
      </c>
      <c r="J1104" s="26" t="str">
        <f>IF(OR(E1104="",E1104="!!!",F1104="NEW"),"",COUNTBLANK(OFFSET(A$1,,,SUMPRODUCT(MAX(ROW(E$2:E1104)*(E1104=E$2:E1104)))))-COUNTBLANK(OFFSET(A$1,,,SUMPRODUCT(MAX(ROW(E$1:E1103)*(E2=E$1:E1103))))))</f>
        <v> </v>
      </c>
      <c r="K1104" s="26" t="str">
        <f>IF(OR(E1104="",E1104="!!!",F1104="NEW"),"",INDEX(J$1:J1103,SUMPRODUCT(MAX(ROW(E$1:E1103)*(E1104=E$1:E1103)))))</f>
        <v> </v>
      </c>
      <c r="L1104" s="27"/>
    </row>
    <row r="1105" spans="1:12">
      <c r="A1105" s="20" t="s">
        <v>1462</v>
      </c>
      <c r="E1105" s="22">
        <f>IF(D1105="?OLD","!!!","")</f>
        <v/>
      </c>
      <c r="F1105" s="23" t="str">
        <f>IF(OR(E1105="",E1105="!!!"),"",IF(NOT(ISNA(VLOOKUP(E1105,E$1:E1104,1,FALSE()))),"OLD",IF(AND(E1105&lt;&gt;"",E1105&lt;&gt;"!!!"),"NEW","")))</f>
        <v> </v>
      </c>
      <c r="G1105" s="24" t="str">
        <f>IF(OR(E1105="",E1105="!!!"),"",IF(OR(J1105=0,AND(J1105=1,K1105=1),AND(J1105=1,I1105="SBJ"),AND(J1105=1,I1105=0)),"?IN_FOCUS",IF(J1105&lt;=2,"?ACTIVATED",IF(J1105&lt;&gt;"","?FAMILIAR",IF(F1105="NEW",IF(ISNA(VLOOKUP(E1105,#REF!,1,FALSE())),"?TYPE_IDENTIFIABLE","?REFERENTIAL"),"_")))))</f>
        <v> </v>
      </c>
      <c r="H1105" s="25" t="str">
        <f>IF(J1105&lt;&gt;1,"",IF(I1105="SBJ","CB","?"))</f>
        <v> </v>
      </c>
      <c r="I1105" s="26" t="str">
        <f>IF(OR(E1105="",E1105="!!!",F1105="NEW"),"",INDEX(B1104:B$2,-1+SUMPRODUCT(MAX(ROW(E1104:E$2)*(E1105=E1104:E$2)))))</f>
        <v> </v>
      </c>
      <c r="J1105" s="26" t="str">
        <f>IF(OR(E1105="",E1105="!!!",F1105="NEW"),"",COUNTBLANK(OFFSET(A$1,,,SUMPRODUCT(MAX(ROW(E$2:E1105)*(E1105=E$2:E1105)))))-COUNTBLANK(OFFSET(A$1,,,SUMPRODUCT(MAX(ROW(E$1:E1104)*(E2=E$1:E1104))))))</f>
        <v> </v>
      </c>
      <c r="K1105" s="26" t="str">
        <f>IF(OR(E1105="",E1105="!!!",F1105="NEW"),"",INDEX(J$1:J1104,SUMPRODUCT(MAX(ROW(E$1:E1104)*(E1105=E$1:E1104)))))</f>
        <v> </v>
      </c>
      <c r="L1105" s="27"/>
    </row>
    <row r="1106" spans="1:12">
      <c r="A1106" s="20" t="s">
        <v>1018</v>
      </c>
      <c r="E1106" s="22">
        <f>IF(D1106="?OLD","!!!","")</f>
        <v/>
      </c>
      <c r="F1106" s="23" t="str">
        <f>IF(OR(E1106="",E1106="!!!"),"",IF(NOT(ISNA(VLOOKUP(E1106,E$1:E1105,1,FALSE()))),"OLD",IF(AND(E1106&lt;&gt;"",E1106&lt;&gt;"!!!"),"NEW","")))</f>
        <v> </v>
      </c>
      <c r="G1106" s="24" t="str">
        <f>IF(OR(E1106="",E1106="!!!"),"",IF(OR(J1106=0,AND(J1106=1,K1106=1),AND(J1106=1,I1106="SBJ"),AND(J1106=1,I1106=0)),"?IN_FOCUS",IF(J1106&lt;=2,"?ACTIVATED",IF(J1106&lt;&gt;"","?FAMILIAR",IF(F1106="NEW",IF(ISNA(VLOOKUP(E1106,#REF!,1,FALSE())),"?TYPE_IDENTIFIABLE","?REFERENTIAL"),"_")))))</f>
        <v> </v>
      </c>
      <c r="H1106" s="25" t="str">
        <f>IF(J1106&lt;&gt;1,"",IF(I1106="SBJ","CB","?"))</f>
        <v> </v>
      </c>
      <c r="I1106" s="26" t="str">
        <f>IF(OR(E1106="",E1106="!!!",F1106="NEW"),"",INDEX(B1105:B$2,-1+SUMPRODUCT(MAX(ROW(E1105:E$2)*(E1106=E1105:E$2)))))</f>
        <v> </v>
      </c>
      <c r="J1106" s="26" t="str">
        <f>IF(OR(E1106="",E1106="!!!",F1106="NEW"),"",COUNTBLANK(OFFSET(A$1,,,SUMPRODUCT(MAX(ROW(E$2:E1106)*(E1106=E$2:E1106)))))-COUNTBLANK(OFFSET(A$1,,,SUMPRODUCT(MAX(ROW(E$1:E1105)*(E2=E$1:E1105))))))</f>
        <v> </v>
      </c>
      <c r="K1106" s="26" t="str">
        <f>IF(OR(E1106="",E1106="!!!",F1106="NEW"),"",INDEX(J$1:J1105,SUMPRODUCT(MAX(ROW(E$1:E1105)*(E1106=E$1:E1105)))))</f>
        <v> </v>
      </c>
      <c r="L1106" s="27"/>
    </row>
    <row r="1107" spans="1:12">
      <c r="A1107" s="20" t="s">
        <v>1458</v>
      </c>
      <c r="E1107" s="22">
        <f>IF(D1107="?OLD","!!!","")</f>
        <v/>
      </c>
      <c r="F1107" s="23" t="str">
        <f>IF(OR(E1107="",E1107="!!!"),"",IF(NOT(ISNA(VLOOKUP(E1107,E$1:E1106,1,FALSE()))),"OLD",IF(AND(E1107&lt;&gt;"",E1107&lt;&gt;"!!!"),"NEW","")))</f>
        <v> </v>
      </c>
      <c r="G1107" s="24" t="str">
        <f>IF(OR(E1107="",E1107="!!!"),"",IF(OR(J1107=0,AND(J1107=1,K1107=1),AND(J1107=1,I1107="SBJ"),AND(J1107=1,I1107=0)),"?IN_FOCUS",IF(J1107&lt;=2,"?ACTIVATED",IF(J1107&lt;&gt;"","?FAMILIAR",IF(F1107="NEW",IF(ISNA(VLOOKUP(E1107,#REF!,1,FALSE())),"?TYPE_IDENTIFIABLE","?REFERENTIAL"),"_")))))</f>
        <v> </v>
      </c>
      <c r="H1107" s="25" t="str">
        <f>IF(J1107&lt;&gt;1,"",IF(I1107="SBJ","CB","?"))</f>
        <v> </v>
      </c>
      <c r="I1107" s="26" t="str">
        <f>IF(OR(E1107="",E1107="!!!",F1107="NEW"),"",INDEX(B1106:B$2,-1+SUMPRODUCT(MAX(ROW(E1106:E$2)*(E1107=E1106:E$2)))))</f>
        <v> </v>
      </c>
      <c r="J1107" s="26" t="str">
        <f>IF(OR(E1107="",E1107="!!!",F1107="NEW"),"",COUNTBLANK(OFFSET(A$1,,,SUMPRODUCT(MAX(ROW(E$2:E1107)*(E1107=E$2:E1107)))))-COUNTBLANK(OFFSET(A$1,,,SUMPRODUCT(MAX(ROW(E$1:E1106)*(E2=E$1:E1106))))))</f>
        <v> </v>
      </c>
      <c r="K1107" s="26" t="str">
        <f>IF(OR(E1107="",E1107="!!!",F1107="NEW"),"",INDEX(J$1:J1106,SUMPRODUCT(MAX(ROW(E$1:E1106)*(E1107=E$1:E1106)))))</f>
        <v> </v>
      </c>
      <c r="L1107" s="27"/>
    </row>
    <row r="1108" spans="1:12">
      <c r="A1108" s="20" t="s">
        <v>1014</v>
      </c>
      <c r="E1108" s="22">
        <f>IF(D1108="?OLD","!!!","")</f>
        <v/>
      </c>
      <c r="F1108" s="23" t="str">
        <f>IF(OR(E1108="",E1108="!!!"),"",IF(NOT(ISNA(VLOOKUP(E1108,E$1:E1107,1,FALSE()))),"OLD",IF(AND(E1108&lt;&gt;"",E1108&lt;&gt;"!!!"),"NEW","")))</f>
        <v> </v>
      </c>
      <c r="G1108" s="24" t="str">
        <f>IF(OR(E1108="",E1108="!!!"),"",IF(OR(J1108=0,AND(J1108=1,K1108=1),AND(J1108=1,I1108="SBJ"),AND(J1108=1,I1108=0)),"?IN_FOCUS",IF(J1108&lt;=2,"?ACTIVATED",IF(J1108&lt;&gt;"","?FAMILIAR",IF(F1108="NEW",IF(ISNA(VLOOKUP(E1108,#REF!,1,FALSE())),"?TYPE_IDENTIFIABLE","?REFERENTIAL"),"_")))))</f>
        <v> </v>
      </c>
      <c r="H1108" s="25" t="str">
        <f>IF(J1108&lt;&gt;1,"",IF(I1108="SBJ","CB","?"))</f>
        <v> </v>
      </c>
      <c r="I1108" s="26" t="str">
        <f>IF(OR(E1108="",E1108="!!!",F1108="NEW"),"",INDEX(B1107:B$2,-1+SUMPRODUCT(MAX(ROW(E1107:E$2)*(E1108=E1107:E$2)))))</f>
        <v> </v>
      </c>
      <c r="J1108" s="26" t="str">
        <f>IF(OR(E1108="",E1108="!!!",F1108="NEW"),"",COUNTBLANK(OFFSET(A$1,,,SUMPRODUCT(MAX(ROW(E$2:E1108)*(E1108=E$2:E1108)))))-COUNTBLANK(OFFSET(A$1,,,SUMPRODUCT(MAX(ROW(E$1:E1107)*(E2=E$1:E1107))))))</f>
        <v> </v>
      </c>
      <c r="K1108" s="26" t="str">
        <f>IF(OR(E1108="",E1108="!!!",F1108="NEW"),"",INDEX(J$1:J1107,SUMPRODUCT(MAX(ROW(E$1:E1107)*(E1108=E$1:E1107)))))</f>
        <v> </v>
      </c>
      <c r="L1108" s="27"/>
    </row>
    <row r="1109" spans="1:12">
      <c r="A1109" s="20" t="s">
        <v>1459</v>
      </c>
      <c r="B1109" s="21" t="s">
        <v>1154</v>
      </c>
      <c r="C1109" s="21" t="s">
        <v>1086</v>
      </c>
      <c r="E1109" s="22">
        <f>IF(D1109="?OLD","!!!","")</f>
        <v/>
      </c>
      <c r="F1109" s="23" t="str">
        <f>IF(OR(E1109="",E1109="!!!"),"",IF(NOT(ISNA(VLOOKUP(E1109,E$1:E1108,1,FALSE()))),"OLD",IF(AND(E1109&lt;&gt;"",E1109&lt;&gt;"!!!"),"NEW","")))</f>
        <v> </v>
      </c>
      <c r="G1109" s="24" t="str">
        <f>IF(OR(E1109="",E1109="!!!"),"",IF(OR(J1109=0,AND(J1109=1,K1109=1),AND(J1109=1,I1109="SBJ"),AND(J1109=1,I1109=0)),"?IN_FOCUS",IF(J1109&lt;=2,"?ACTIVATED",IF(J1109&lt;&gt;"","?FAMILIAR",IF(F1109="NEW",IF(ISNA(VLOOKUP(E1109,#REF!,1,FALSE())),"?TYPE_IDENTIFIABLE","?REFERENTIAL"),"_")))))</f>
        <v> </v>
      </c>
      <c r="H1109" s="25" t="str">
        <f>IF(J1109&lt;&gt;1,"",IF(I1109="SBJ","CB","?"))</f>
        <v> </v>
      </c>
      <c r="I1109" s="26" t="str">
        <f>IF(OR(E1109="",E1109="!!!",F1109="NEW"),"",INDEX(B1108:B$2,-1+SUMPRODUCT(MAX(ROW(E1108:E$2)*(E1109=E1108:E$2)))))</f>
        <v> </v>
      </c>
      <c r="J1109" s="26" t="str">
        <f>IF(OR(E1109="",E1109="!!!",F1109="NEW"),"",COUNTBLANK(OFFSET(A$1,,,SUMPRODUCT(MAX(ROW(E$2:E1109)*(E1109=E$2:E1109)))))-COUNTBLANK(OFFSET(A$1,,,SUMPRODUCT(MAX(ROW(E$1:E1108)*(E2=E$1:E1108))))))</f>
        <v> </v>
      </c>
      <c r="K1109" s="26" t="str">
        <f>IF(OR(E1109="",E1109="!!!",F1109="NEW"),"",INDEX(J$1:J1108,SUMPRODUCT(MAX(ROW(E$1:E1108)*(E1109=E$1:E1108)))))</f>
        <v> </v>
      </c>
      <c r="L1109" s="27"/>
    </row>
    <row r="1110" spans="1:12">
      <c r="A1110" s="20" t="s">
        <v>1014</v>
      </c>
      <c r="E1110" s="22">
        <f>IF(D1110="?OLD","!!!","")</f>
        <v/>
      </c>
      <c r="F1110" s="23" t="str">
        <f>IF(OR(E1110="",E1110="!!!"),"",IF(NOT(ISNA(VLOOKUP(E1110,E$1:E1109,1,FALSE()))),"OLD",IF(AND(E1110&lt;&gt;"",E1110&lt;&gt;"!!!"),"NEW","")))</f>
        <v> </v>
      </c>
      <c r="G1110" s="24" t="str">
        <f>IF(OR(E1110="",E1110="!!!"),"",IF(OR(J1110=0,AND(J1110=1,K1110=1),AND(J1110=1,I1110="SBJ"),AND(J1110=1,I1110=0)),"?IN_FOCUS",IF(J1110&lt;=2,"?ACTIVATED",IF(J1110&lt;&gt;"","?FAMILIAR",IF(F1110="NEW",IF(ISNA(VLOOKUP(E1110,#REF!,1,FALSE())),"?TYPE_IDENTIFIABLE","?REFERENTIAL"),"_")))))</f>
        <v> </v>
      </c>
      <c r="H1110" s="25" t="str">
        <f>IF(J1110&lt;&gt;1,"",IF(I1110="SBJ","CB","?"))</f>
        <v> </v>
      </c>
      <c r="I1110" s="26" t="str">
        <f>IF(OR(E1110="",E1110="!!!",F1110="NEW"),"",INDEX(B1109:B$2,-1+SUMPRODUCT(MAX(ROW(E1109:E$2)*(E1110=E1109:E$2)))))</f>
        <v> </v>
      </c>
      <c r="J1110" s="26" t="str">
        <f>IF(OR(E1110="",E1110="!!!",F1110="NEW"),"",COUNTBLANK(OFFSET(A$1,,,SUMPRODUCT(MAX(ROW(E$2:E1110)*(E1110=E$2:E1110)))))-COUNTBLANK(OFFSET(A$1,,,SUMPRODUCT(MAX(ROW(E$1:E1109)*(E2=E$1:E1109))))))</f>
        <v> </v>
      </c>
      <c r="K1110" s="26" t="str">
        <f>IF(OR(E1110="",E1110="!!!",F1110="NEW"),"",INDEX(J$1:J1109,SUMPRODUCT(MAX(ROW(E$1:E1109)*(E1110=E$1:E1109)))))</f>
        <v> </v>
      </c>
      <c r="L1110" s="27"/>
    </row>
    <row r="1111" spans="1:12">
      <c r="A1111" s="20" t="s">
        <v>1463</v>
      </c>
      <c r="B1111" s="21" t="s">
        <v>1035</v>
      </c>
      <c r="C1111" s="21" t="s">
        <v>1082</v>
      </c>
      <c r="D1111" s="21" t="s">
        <v>1007</v>
      </c>
      <c r="E1111" s="22">
        <f>IF(D1111="?OLD","!!!","")</f>
        <v/>
      </c>
      <c r="F1111" s="23" t="str">
        <f>IF(OR(E1111="",E1111="!!!"),"",IF(NOT(ISNA(VLOOKUP(E1111,E$1:E1110,1,FALSE()))),"OLD",IF(AND(E1111&lt;&gt;"",E1111&lt;&gt;"!!!"),"NEW","")))</f>
        <v> </v>
      </c>
      <c r="G1111" s="24" t="str">
        <f>IF(OR(E1111="",E1111="!!!"),"",IF(OR(J1111=0,AND(J1111=1,K1111=1),AND(J1111=1,I1111="SBJ"),AND(J1111=1,I1111=0)),"?IN_FOCUS",IF(J1111&lt;=2,"?ACTIVATED",IF(J1111&lt;&gt;"","?FAMILIAR",IF(F1111="NEW",IF(ISNA(VLOOKUP(E1111,#REF!,1,FALSE())),"?TYPE_IDENTIFIABLE","?REFERENTIAL"),"_")))))</f>
        <v> </v>
      </c>
      <c r="H1111" s="25" t="str">
        <f>IF(J1111&lt;&gt;1,"",IF(I1111="SBJ","CB","?"))</f>
        <v> </v>
      </c>
      <c r="I1111" s="26" t="str">
        <f>IF(OR(E1111="",E1111="!!!",F1111="NEW"),"",INDEX(B1110:B$2,-1+SUMPRODUCT(MAX(ROW(E1110:E$2)*(E1111=E1110:E$2)))))</f>
        <v> </v>
      </c>
      <c r="J1111" s="26" t="str">
        <f>IF(OR(E1111="",E1111="!!!",F1111="NEW"),"",COUNTBLANK(OFFSET(A$1,,,SUMPRODUCT(MAX(ROW(E$2:E1111)*(E1111=E$2:E1111)))))-COUNTBLANK(OFFSET(A$1,,,SUMPRODUCT(MAX(ROW(E$1:E1110)*(E2=E$1:E1110))))))</f>
        <v> </v>
      </c>
      <c r="K1111" s="26" t="str">
        <f>IF(OR(E1111="",E1111="!!!",F1111="NEW"),"",INDEX(J$1:J1110,SUMPRODUCT(MAX(ROW(E$1:E1110)*(E1111=E$1:E1110)))))</f>
        <v> </v>
      </c>
      <c r="L1111" s="27"/>
    </row>
    <row r="1112" spans="1:12">
      <c r="A1112" s="20" t="s">
        <v>1436</v>
      </c>
      <c r="E1112" s="22">
        <f>IF(D1112="?OLD","!!!","")</f>
        <v/>
      </c>
      <c r="F1112" s="23" t="str">
        <f>IF(OR(E1112="",E1112="!!!"),"",IF(NOT(ISNA(VLOOKUP(E1112,E$1:E1111,1,FALSE()))),"OLD",IF(AND(E1112&lt;&gt;"",E1112&lt;&gt;"!!!"),"NEW","")))</f>
        <v> </v>
      </c>
      <c r="G1112" s="24" t="str">
        <f>IF(OR(E1112="",E1112="!!!"),"",IF(OR(J1112=0,AND(J1112=1,K1112=1),AND(J1112=1,I1112="SBJ"),AND(J1112=1,I1112=0)),"?IN_FOCUS",IF(J1112&lt;=2,"?ACTIVATED",IF(J1112&lt;&gt;"","?FAMILIAR",IF(F1112="NEW",IF(ISNA(VLOOKUP(E1112,#REF!,1,FALSE())),"?TYPE_IDENTIFIABLE","?REFERENTIAL"),"_")))))</f>
        <v> </v>
      </c>
      <c r="H1112" s="25" t="str">
        <f>IF(J1112&lt;&gt;1,"",IF(I1112="SBJ","CB","?"))</f>
        <v> </v>
      </c>
      <c r="I1112" s="26" t="str">
        <f>IF(OR(E1112="",E1112="!!!",F1112="NEW"),"",INDEX(B1111:B$2,-1+SUMPRODUCT(MAX(ROW(E1111:E$2)*(E1112=E1111:E$2)))))</f>
        <v> </v>
      </c>
      <c r="J1112" s="26" t="str">
        <f>IF(OR(E1112="",E1112="!!!",F1112="NEW"),"",COUNTBLANK(OFFSET(A$1,,,SUMPRODUCT(MAX(ROW(E$2:E1112)*(E1112=E$2:E1112)))))-COUNTBLANK(OFFSET(A$1,,,SUMPRODUCT(MAX(ROW(E$1:E1111)*(E2=E$1:E1111))))))</f>
        <v> </v>
      </c>
      <c r="K1112" s="26" t="str">
        <f>IF(OR(E1112="",E1112="!!!",F1112="NEW"),"",INDEX(J$1:J1111,SUMPRODUCT(MAX(ROW(E$1:E1111)*(E1112=E$1:E1111)))))</f>
        <v> </v>
      </c>
      <c r="L1112" s="27"/>
    </row>
    <row r="1113" spans="1:12">
      <c r="A1113" s="20" t="s">
        <v>1139</v>
      </c>
      <c r="E1113" s="22">
        <f>IF(D1113="?OLD","!!!","")</f>
        <v/>
      </c>
      <c r="F1113" s="23" t="str">
        <f>IF(OR(E1113="",E1113="!!!"),"",IF(NOT(ISNA(VLOOKUP(E1113,E$1:E1112,1,FALSE()))),"OLD",IF(AND(E1113&lt;&gt;"",E1113&lt;&gt;"!!!"),"NEW","")))</f>
        <v> </v>
      </c>
      <c r="G1113" s="24" t="str">
        <f>IF(OR(E1113="",E1113="!!!"),"",IF(OR(J1113=0,AND(J1113=1,K1113=1),AND(J1113=1,I1113="SBJ"),AND(J1113=1,I1113=0)),"?IN_FOCUS",IF(J1113&lt;=2,"?ACTIVATED",IF(J1113&lt;&gt;"","?FAMILIAR",IF(F1113="NEW",IF(ISNA(VLOOKUP(E1113,#REF!,1,FALSE())),"?TYPE_IDENTIFIABLE","?REFERENTIAL"),"_")))))</f>
        <v> </v>
      </c>
      <c r="H1113" s="25" t="str">
        <f>IF(J1113&lt;&gt;1,"",IF(I1113="SBJ","CB","?"))</f>
        <v> </v>
      </c>
      <c r="I1113" s="26" t="str">
        <f>IF(OR(E1113="",E1113="!!!",F1113="NEW"),"",INDEX(B1112:B$2,-1+SUMPRODUCT(MAX(ROW(E1112:E$2)*(E1113=E1112:E$2)))))</f>
        <v> </v>
      </c>
      <c r="J1113" s="26" t="str">
        <f>IF(OR(E1113="",E1113="!!!",F1113="NEW"),"",COUNTBLANK(OFFSET(A$1,,,SUMPRODUCT(MAX(ROW(E$2:E1113)*(E1113=E$2:E1113)))))-COUNTBLANK(OFFSET(A$1,,,SUMPRODUCT(MAX(ROW(E$1:E1112)*(E2=E$1:E1112))))))</f>
        <v> </v>
      </c>
      <c r="K1113" s="26" t="str">
        <f>IF(OR(E1113="",E1113="!!!",F1113="NEW"),"",INDEX(J$1:J1112,SUMPRODUCT(MAX(ROW(E$1:E1112)*(E1113=E$1:E1112)))))</f>
        <v> </v>
      </c>
      <c r="L1113" s="27"/>
    </row>
    <row r="1114" spans="1:12">
      <c r="A1114" s="20" t="s">
        <v>1065</v>
      </c>
      <c r="E1114" s="22">
        <f>IF(D1114="?OLD","!!!","")</f>
        <v/>
      </c>
      <c r="F1114" s="23" t="str">
        <f>IF(OR(E1114="",E1114="!!!"),"",IF(NOT(ISNA(VLOOKUP(E1114,E$1:E1113,1,FALSE()))),"OLD",IF(AND(E1114&lt;&gt;"",E1114&lt;&gt;"!!!"),"NEW","")))</f>
        <v> </v>
      </c>
      <c r="G1114" s="24" t="str">
        <f>IF(OR(E1114="",E1114="!!!"),"",IF(OR(J1114=0,AND(J1114=1,K1114=1),AND(J1114=1,I1114="SBJ"),AND(J1114=1,I1114=0)),"?IN_FOCUS",IF(J1114&lt;=2,"?ACTIVATED",IF(J1114&lt;&gt;"","?FAMILIAR",IF(F1114="NEW",IF(ISNA(VLOOKUP(E1114,#REF!,1,FALSE())),"?TYPE_IDENTIFIABLE","?REFERENTIAL"),"_")))))</f>
        <v> </v>
      </c>
      <c r="H1114" s="25" t="str">
        <f>IF(J1114&lt;&gt;1,"",IF(I1114="SBJ","CB","?"))</f>
        <v> </v>
      </c>
      <c r="I1114" s="26" t="str">
        <f>IF(OR(E1114="",E1114="!!!",F1114="NEW"),"",INDEX(B1113:B$2,-1+SUMPRODUCT(MAX(ROW(E1113:E$2)*(E1114=E1113:E$2)))))</f>
        <v> </v>
      </c>
      <c r="J1114" s="26" t="str">
        <f>IF(OR(E1114="",E1114="!!!",F1114="NEW"),"",COUNTBLANK(OFFSET(A$1,,,SUMPRODUCT(MAX(ROW(E$2:E1114)*(E1114=E$2:E1114)))))-COUNTBLANK(OFFSET(A$1,,,SUMPRODUCT(MAX(ROW(E$1:E1113)*(E2=E$1:E1113))))))</f>
        <v> </v>
      </c>
      <c r="K1114" s="26" t="str">
        <f>IF(OR(E1114="",E1114="!!!",F1114="NEW"),"",INDEX(J$1:J1113,SUMPRODUCT(MAX(ROW(E$1:E1113)*(E1114=E$1:E1113)))))</f>
        <v> </v>
      </c>
      <c r="L1114" s="27"/>
    </row>
    <row r="1115" spans="1:12">
      <c r="A1115" s="20" t="s">
        <v>102</v>
      </c>
      <c r="E1115" s="22">
        <f>IF(D1115="?OLD","!!!","")</f>
        <v/>
      </c>
      <c r="F1115" s="23" t="str">
        <f>IF(OR(E1115="",E1115="!!!"),"",IF(NOT(ISNA(VLOOKUP(E1115,E$1:E1114,1,FALSE()))),"OLD",IF(AND(E1115&lt;&gt;"",E1115&lt;&gt;"!!!"),"NEW","")))</f>
        <v> </v>
      </c>
      <c r="G1115" s="24" t="str">
        <f>IF(OR(E1115="",E1115="!!!"),"",IF(OR(J1115=0,AND(J1115=1,K1115=1),AND(J1115=1,I1115="SBJ"),AND(J1115=1,I1115=0)),"?IN_FOCUS",IF(J1115&lt;=2,"?ACTIVATED",IF(J1115&lt;&gt;"","?FAMILIAR",IF(F1115="NEW",IF(ISNA(VLOOKUP(E1115,#REF!,1,FALSE())),"?TYPE_IDENTIFIABLE","?REFERENTIAL"),"_")))))</f>
        <v> </v>
      </c>
      <c r="H1115" s="25" t="str">
        <f>IF(J1115&lt;&gt;1,"",IF(I1115="SBJ","CB","?"))</f>
        <v> </v>
      </c>
      <c r="I1115" s="26" t="str">
        <f>IF(OR(E1115="",E1115="!!!",F1115="NEW"),"",INDEX(B1114:B$2,-1+SUMPRODUCT(MAX(ROW(E1114:E$2)*(E1115=E1114:E$2)))))</f>
        <v> </v>
      </c>
      <c r="J1115" s="26" t="str">
        <f>IF(OR(E1115="",E1115="!!!",F1115="NEW"),"",COUNTBLANK(OFFSET(A$1,,,SUMPRODUCT(MAX(ROW(E$2:E1115)*(E1115=E$2:E1115)))))-COUNTBLANK(OFFSET(A$1,,,SUMPRODUCT(MAX(ROW(E$1:E1114)*(E2=E$1:E1114))))))</f>
        <v> </v>
      </c>
      <c r="K1115" s="26" t="str">
        <f>IF(OR(E1115="",E1115="!!!",F1115="NEW"),"",INDEX(J$1:J1114,SUMPRODUCT(MAX(ROW(E$1:E1114)*(E1115=E$1:E1114)))))</f>
        <v> </v>
      </c>
      <c r="L1115" s="27"/>
    </row>
    <row r="1116" spans="1:12">
      <c r="A1116" s="20" t="s">
        <v>1464</v>
      </c>
      <c r="B1116" s="21" t="s">
        <v>1119</v>
      </c>
      <c r="C1116" s="21" t="s">
        <v>1006</v>
      </c>
      <c r="D1116" s="21" t="s">
        <v>1007</v>
      </c>
      <c r="E1116" s="22">
        <f>IF(D1116="?OLD","!!!","")</f>
        <v/>
      </c>
      <c r="F1116" s="23" t="str">
        <f>IF(OR(E1116="",E1116="!!!"),"",IF(NOT(ISNA(VLOOKUP(E1116,E$1:E1115,1,FALSE()))),"OLD",IF(AND(E1116&lt;&gt;"",E1116&lt;&gt;"!!!"),"NEW","")))</f>
        <v> </v>
      </c>
      <c r="G1116" s="24" t="str">
        <f>IF(OR(E1116="",E1116="!!!"),"",IF(OR(J1116=0,AND(J1116=1,K1116=1),AND(J1116=1,I1116="SBJ"),AND(J1116=1,I1116=0)),"?IN_FOCUS",IF(J1116&lt;=2,"?ACTIVATED",IF(J1116&lt;&gt;"","?FAMILIAR",IF(F1116="NEW",IF(ISNA(VLOOKUP(E1116,#REF!,1,FALSE())),"?TYPE_IDENTIFIABLE","?REFERENTIAL"),"_")))))</f>
        <v> </v>
      </c>
      <c r="H1116" s="25" t="str">
        <f>IF(J1116&lt;&gt;1,"",IF(I1116="SBJ","CB","?"))</f>
        <v> </v>
      </c>
      <c r="I1116" s="26" t="str">
        <f>IF(OR(E1116="",E1116="!!!",F1116="NEW"),"",INDEX(B1115:B$2,-1+SUMPRODUCT(MAX(ROW(E1115:E$2)*(E1116=E1115:E$2)))))</f>
        <v> </v>
      </c>
      <c r="J1116" s="26" t="str">
        <f>IF(OR(E1116="",E1116="!!!",F1116="NEW"),"",COUNTBLANK(OFFSET(A$1,,,SUMPRODUCT(MAX(ROW(E$2:E1116)*(E1116=E$2:E1116)))))-COUNTBLANK(OFFSET(A$1,,,SUMPRODUCT(MAX(ROW(E$1:E1115)*(E2=E$1:E1115))))))</f>
        <v> </v>
      </c>
      <c r="K1116" s="26" t="str">
        <f>IF(OR(E1116="",E1116="!!!",F1116="NEW"),"",INDEX(J$1:J1115,SUMPRODUCT(MAX(ROW(E$1:E1115)*(E1116=E$1:E1115)))))</f>
        <v> </v>
      </c>
      <c r="L1116" s="27"/>
    </row>
    <row r="1117" spans="1:12">
      <c r="A1117" s="20" t="s">
        <v>1397</v>
      </c>
      <c r="E1117" s="22">
        <f>IF(D1117="?OLD","!!!","")</f>
        <v/>
      </c>
      <c r="F1117" s="23" t="str">
        <f>IF(OR(E1117="",E1117="!!!"),"",IF(NOT(ISNA(VLOOKUP(E1117,E$1:E1116,1,FALSE()))),"OLD",IF(AND(E1117&lt;&gt;"",E1117&lt;&gt;"!!!"),"NEW","")))</f>
        <v> </v>
      </c>
      <c r="G1117" s="24" t="str">
        <f>IF(OR(E1117="",E1117="!!!"),"",IF(OR(J1117=0,AND(J1117=1,K1117=1),AND(J1117=1,I1117="SBJ"),AND(J1117=1,I1117=0)),"?IN_FOCUS",IF(J1117&lt;=2,"?ACTIVATED",IF(J1117&lt;&gt;"","?FAMILIAR",IF(F1117="NEW",IF(ISNA(VLOOKUP(E1117,#REF!,1,FALSE())),"?TYPE_IDENTIFIABLE","?REFERENTIAL"),"_")))))</f>
        <v> </v>
      </c>
      <c r="H1117" s="25" t="str">
        <f>IF(J1117&lt;&gt;1,"",IF(I1117="SBJ","CB","?"))</f>
        <v> </v>
      </c>
      <c r="I1117" s="26" t="str">
        <f>IF(OR(E1117="",E1117="!!!",F1117="NEW"),"",INDEX(B1116:B$2,-1+SUMPRODUCT(MAX(ROW(E1116:E$2)*(E1117=E1116:E$2)))))</f>
        <v> </v>
      </c>
      <c r="J1117" s="26" t="str">
        <f>IF(OR(E1117="",E1117="!!!",F1117="NEW"),"",COUNTBLANK(OFFSET(A$1,,,SUMPRODUCT(MAX(ROW(E$2:E1117)*(E1117=E$2:E1117)))))-COUNTBLANK(OFFSET(A$1,,,SUMPRODUCT(MAX(ROW(E$1:E1116)*(E2=E$1:E1116))))))</f>
        <v> </v>
      </c>
      <c r="K1117" s="26" t="str">
        <f>IF(OR(E1117="",E1117="!!!",F1117="NEW"),"",INDEX(J$1:J1116,SUMPRODUCT(MAX(ROW(E$1:E1116)*(E1117=E$1:E1116)))))</f>
        <v> </v>
      </c>
      <c r="L1117" s="27"/>
    </row>
    <row r="1118" spans="1:12">
      <c r="A1118" s="20" t="s">
        <v>1324</v>
      </c>
      <c r="E1118" s="22">
        <f>IF(D1118="?OLD","!!!","")</f>
        <v/>
      </c>
      <c r="F1118" s="23" t="str">
        <f>IF(OR(E1118="",E1118="!!!"),"",IF(NOT(ISNA(VLOOKUP(E1118,E$1:E1117,1,FALSE()))),"OLD",IF(AND(E1118&lt;&gt;"",E1118&lt;&gt;"!!!"),"NEW","")))</f>
        <v> </v>
      </c>
      <c r="G1118" s="24" t="str">
        <f>IF(OR(E1118="",E1118="!!!"),"",IF(OR(J1118=0,AND(J1118=1,K1118=1),AND(J1118=1,I1118="SBJ"),AND(J1118=1,I1118=0)),"?IN_FOCUS",IF(J1118&lt;=2,"?ACTIVATED",IF(J1118&lt;&gt;"","?FAMILIAR",IF(F1118="NEW",IF(ISNA(VLOOKUP(E1118,#REF!,1,FALSE())),"?TYPE_IDENTIFIABLE","?REFERENTIAL"),"_")))))</f>
        <v> </v>
      </c>
      <c r="H1118" s="25" t="str">
        <f>IF(J1118&lt;&gt;1,"",IF(I1118="SBJ","CB","?"))</f>
        <v> </v>
      </c>
      <c r="I1118" s="26" t="str">
        <f>IF(OR(E1118="",E1118="!!!",F1118="NEW"),"",INDEX(B1117:B$2,-1+SUMPRODUCT(MAX(ROW(E1117:E$2)*(E1118=E1117:E$2)))))</f>
        <v> </v>
      </c>
      <c r="J1118" s="26" t="str">
        <f>IF(OR(E1118="",E1118="!!!",F1118="NEW"),"",COUNTBLANK(OFFSET(A$1,,,SUMPRODUCT(MAX(ROW(E$2:E1118)*(E1118=E$2:E1118)))))-COUNTBLANK(OFFSET(A$1,,,SUMPRODUCT(MAX(ROW(E$1:E1117)*(E2=E$1:E1117))))))</f>
        <v> </v>
      </c>
      <c r="K1118" s="26" t="str">
        <f>IF(OR(E1118="",E1118="!!!",F1118="NEW"),"",INDEX(J$1:J1117,SUMPRODUCT(MAX(ROW(E$1:E1117)*(E1118=E$1:E1117)))))</f>
        <v> </v>
      </c>
      <c r="L1118" s="27"/>
    </row>
    <row r="1119" spans="1:12">
      <c r="A1119" s="20" t="s">
        <v>1014</v>
      </c>
      <c r="E1119" s="22">
        <f>IF(D1119="?OLD","!!!","")</f>
        <v/>
      </c>
      <c r="F1119" s="23" t="str">
        <f>IF(OR(E1119="",E1119="!!!"),"",IF(NOT(ISNA(VLOOKUP(E1119,E$1:E1118,1,FALSE()))),"OLD",IF(AND(E1119&lt;&gt;"",E1119&lt;&gt;"!!!"),"NEW","")))</f>
        <v> </v>
      </c>
      <c r="G1119" s="24" t="str">
        <f>IF(OR(E1119="",E1119="!!!"),"",IF(OR(J1119=0,AND(J1119=1,K1119=1),AND(J1119=1,I1119="SBJ"),AND(J1119=1,I1119=0)),"?IN_FOCUS",IF(J1119&lt;=2,"?ACTIVATED",IF(J1119&lt;&gt;"","?FAMILIAR",IF(F1119="NEW",IF(ISNA(VLOOKUP(E1119,#REF!,1,FALSE())),"?TYPE_IDENTIFIABLE","?REFERENTIAL"),"_")))))</f>
        <v> </v>
      </c>
      <c r="H1119" s="25" t="str">
        <f>IF(J1119&lt;&gt;1,"",IF(I1119="SBJ","CB","?"))</f>
        <v> </v>
      </c>
      <c r="I1119" s="26" t="str">
        <f>IF(OR(E1119="",E1119="!!!",F1119="NEW"),"",INDEX(B1118:B$2,-1+SUMPRODUCT(MAX(ROW(E1118:E$2)*(E1119=E1118:E$2)))))</f>
        <v> </v>
      </c>
      <c r="J1119" s="26" t="str">
        <f>IF(OR(E1119="",E1119="!!!",F1119="NEW"),"",COUNTBLANK(OFFSET(A$1,,,SUMPRODUCT(MAX(ROW(E$2:E1119)*(E1119=E$2:E1119)))))-COUNTBLANK(OFFSET(A$1,,,SUMPRODUCT(MAX(ROW(E$1:E1118)*(E2=E$1:E1118))))))</f>
        <v> </v>
      </c>
      <c r="K1119" s="26" t="str">
        <f>IF(OR(E1119="",E1119="!!!",F1119="NEW"),"",INDEX(J$1:J1118,SUMPRODUCT(MAX(ROW(E$1:E1118)*(E1119=E$1:E1118)))))</f>
        <v> </v>
      </c>
      <c r="L1119" s="27"/>
    </row>
    <row r="1120" spans="1:12">
      <c r="A1120" s="20" t="s">
        <v>1463</v>
      </c>
      <c r="B1120" s="21" t="s">
        <v>1022</v>
      </c>
      <c r="C1120" s="21" t="s">
        <v>1082</v>
      </c>
      <c r="D1120" s="21" t="s">
        <v>1007</v>
      </c>
      <c r="E1120" s="22">
        <f>IF(D1120="?OLD","!!!","")</f>
        <v/>
      </c>
      <c r="F1120" s="23" t="str">
        <f>IF(OR(E1120="",E1120="!!!"),"",IF(NOT(ISNA(VLOOKUP(E1120,E$1:E1119,1,FALSE()))),"OLD",IF(AND(E1120&lt;&gt;"",E1120&lt;&gt;"!!!"),"NEW","")))</f>
        <v> </v>
      </c>
      <c r="G1120" s="24" t="str">
        <f>IF(OR(E1120="",E1120="!!!"),"",IF(OR(J1120=0,AND(J1120=1,K1120=1),AND(J1120=1,I1120="SBJ"),AND(J1120=1,I1120=0)),"?IN_FOCUS",IF(J1120&lt;=2,"?ACTIVATED",IF(J1120&lt;&gt;"","?FAMILIAR",IF(F1120="NEW",IF(ISNA(VLOOKUP(E1120,#REF!,1,FALSE())),"?TYPE_IDENTIFIABLE","?REFERENTIAL"),"_")))))</f>
        <v> </v>
      </c>
      <c r="H1120" s="25" t="str">
        <f>IF(J1120&lt;&gt;1,"",IF(I1120="SBJ","CB","?"))</f>
        <v> </v>
      </c>
      <c r="I1120" s="26" t="str">
        <f>IF(OR(E1120="",E1120="!!!",F1120="NEW"),"",INDEX(B1119:B$2,-1+SUMPRODUCT(MAX(ROW(E1119:E$2)*(E1120=E1119:E$2)))))</f>
        <v> </v>
      </c>
      <c r="J1120" s="26" t="str">
        <f>IF(OR(E1120="",E1120="!!!",F1120="NEW"),"",COUNTBLANK(OFFSET(A$1,,,SUMPRODUCT(MAX(ROW(E$2:E1120)*(E1120=E$2:E1120)))))-COUNTBLANK(OFFSET(A$1,,,SUMPRODUCT(MAX(ROW(E$1:E1119)*(E2=E$1:E1119))))))</f>
        <v> </v>
      </c>
      <c r="K1120" s="26" t="str">
        <f>IF(OR(E1120="",E1120="!!!",F1120="NEW"),"",INDEX(J$1:J1119,SUMPRODUCT(MAX(ROW(E$1:E1119)*(E1120=E$1:E1119)))))</f>
        <v> </v>
      </c>
      <c r="L1120" s="27"/>
    </row>
    <row r="1121" spans="1:12">
      <c r="A1121" s="20" t="s">
        <v>1436</v>
      </c>
      <c r="E1121" s="22">
        <f>IF(D1121="?OLD","!!!","")</f>
        <v/>
      </c>
      <c r="F1121" s="23" t="str">
        <f>IF(OR(E1121="",E1121="!!!"),"",IF(NOT(ISNA(VLOOKUP(E1121,E$1:E1120,1,FALSE()))),"OLD",IF(AND(E1121&lt;&gt;"",E1121&lt;&gt;"!!!"),"NEW","")))</f>
        <v> </v>
      </c>
      <c r="G1121" s="24" t="str">
        <f>IF(OR(E1121="",E1121="!!!"),"",IF(OR(J1121=0,AND(J1121=1,K1121=1),AND(J1121=1,I1121="SBJ"),AND(J1121=1,I1121=0)),"?IN_FOCUS",IF(J1121&lt;=2,"?ACTIVATED",IF(J1121&lt;&gt;"","?FAMILIAR",IF(F1121="NEW",IF(ISNA(VLOOKUP(E1121,#REF!,1,FALSE())),"?TYPE_IDENTIFIABLE","?REFERENTIAL"),"_")))))</f>
        <v> </v>
      </c>
      <c r="H1121" s="25" t="str">
        <f>IF(J1121&lt;&gt;1,"",IF(I1121="SBJ","CB","?"))</f>
        <v> </v>
      </c>
      <c r="I1121" s="26" t="str">
        <f>IF(OR(E1121="",E1121="!!!",F1121="NEW"),"",INDEX(B1120:B$2,-1+SUMPRODUCT(MAX(ROW(E1120:E$2)*(E1121=E1120:E$2)))))</f>
        <v> </v>
      </c>
      <c r="J1121" s="26" t="str">
        <f>IF(OR(E1121="",E1121="!!!",F1121="NEW"),"",COUNTBLANK(OFFSET(A$1,,,SUMPRODUCT(MAX(ROW(E$2:E1121)*(E1121=E$2:E1121)))))-COUNTBLANK(OFFSET(A$1,,,SUMPRODUCT(MAX(ROW(E$1:E1120)*(E2=E$1:E1120))))))</f>
        <v> </v>
      </c>
      <c r="K1121" s="26" t="str">
        <f>IF(OR(E1121="",E1121="!!!",F1121="NEW"),"",INDEX(J$1:J1120,SUMPRODUCT(MAX(ROW(E$1:E1120)*(E1121=E$1:E1120)))))</f>
        <v> </v>
      </c>
      <c r="L1121" s="27"/>
    </row>
    <row r="1122" spans="1:12">
      <c r="A1122" s="20" t="s">
        <v>1015</v>
      </c>
      <c r="B1122" s="21" t="s">
        <v>1187</v>
      </c>
      <c r="C1122" s="21" t="s">
        <v>1082</v>
      </c>
      <c r="D1122" s="21" t="s">
        <v>1007</v>
      </c>
      <c r="E1122" s="22">
        <f>IF(D1122="?OLD","!!!","")</f>
        <v/>
      </c>
      <c r="F1122" s="23" t="str">
        <f>IF(OR(E1122="",E1122="!!!"),"",IF(NOT(ISNA(VLOOKUP(E1122,E$1:E1121,1,FALSE()))),"OLD",IF(AND(E1122&lt;&gt;"",E1122&lt;&gt;"!!!"),"NEW","")))</f>
        <v> </v>
      </c>
      <c r="G1122" s="24" t="str">
        <f>IF(OR(E1122="",E1122="!!!"),"",IF(OR(J1122=0,AND(J1122=1,K1122=1),AND(J1122=1,I1122="SBJ"),AND(J1122=1,I1122=0)),"?IN_FOCUS",IF(J1122&lt;=2,"?ACTIVATED",IF(J1122&lt;&gt;"","?FAMILIAR",IF(F1122="NEW",IF(ISNA(VLOOKUP(E1122,#REF!,1,FALSE())),"?TYPE_IDENTIFIABLE","?REFERENTIAL"),"_")))))</f>
        <v> </v>
      </c>
      <c r="H1122" s="25" t="str">
        <f>IF(J1122&lt;&gt;1,"",IF(I1122="SBJ","CB","?"))</f>
        <v> </v>
      </c>
      <c r="I1122" s="26" t="str">
        <f>IF(OR(E1122="",E1122="!!!",F1122="NEW"),"",INDEX(B1121:B$2,-1+SUMPRODUCT(MAX(ROW(E1121:E$2)*(E1122=E1121:E$2)))))</f>
        <v> </v>
      </c>
      <c r="J1122" s="26" t="str">
        <f>IF(OR(E1122="",E1122="!!!",F1122="NEW"),"",COUNTBLANK(OFFSET(A$1,,,SUMPRODUCT(MAX(ROW(E$2:E1122)*(E1122=E$2:E1122)))))-COUNTBLANK(OFFSET(A$1,,,SUMPRODUCT(MAX(ROW(E$1:E1121)*(E2=E$1:E1121))))))</f>
        <v> </v>
      </c>
      <c r="K1122" s="26" t="str">
        <f>IF(OR(E1122="",E1122="!!!",F1122="NEW"),"",INDEX(J$1:J1121,SUMPRODUCT(MAX(ROW(E$1:E1121)*(E1122=E$1:E1121)))))</f>
        <v> </v>
      </c>
      <c r="L1122" s="27"/>
    </row>
    <row r="1123" spans="1:12">
      <c r="A1123" s="20" t="s">
        <v>1461</v>
      </c>
      <c r="E1123" s="22">
        <f>IF(D1123="?OLD","!!!","")</f>
        <v/>
      </c>
      <c r="F1123" s="23" t="str">
        <f>IF(OR(E1123="",E1123="!!!"),"",IF(NOT(ISNA(VLOOKUP(E1123,E$1:E1122,1,FALSE()))),"OLD",IF(AND(E1123&lt;&gt;"",E1123&lt;&gt;"!!!"),"NEW","")))</f>
        <v> </v>
      </c>
      <c r="G1123" s="24" t="str">
        <f>IF(OR(E1123="",E1123="!!!"),"",IF(OR(J1123=0,AND(J1123=1,K1123=1),AND(J1123=1,I1123="SBJ"),AND(J1123=1,I1123=0)),"?IN_FOCUS",IF(J1123&lt;=2,"?ACTIVATED",IF(J1123&lt;&gt;"","?FAMILIAR",IF(F1123="NEW",IF(ISNA(VLOOKUP(E1123,#REF!,1,FALSE())),"?TYPE_IDENTIFIABLE","?REFERENTIAL"),"_")))))</f>
        <v> </v>
      </c>
      <c r="H1123" s="25" t="str">
        <f>IF(J1123&lt;&gt;1,"",IF(I1123="SBJ","CB","?"))</f>
        <v> </v>
      </c>
      <c r="I1123" s="26" t="str">
        <f>IF(OR(E1123="",E1123="!!!",F1123="NEW"),"",INDEX(B1122:B$2,-1+SUMPRODUCT(MAX(ROW(E1122:E$2)*(E1123=E1122:E$2)))))</f>
        <v> </v>
      </c>
      <c r="J1123" s="26" t="str">
        <f>IF(OR(E1123="",E1123="!!!",F1123="NEW"),"",COUNTBLANK(OFFSET(A$1,,,SUMPRODUCT(MAX(ROW(E$2:E1123)*(E1123=E$2:E1123)))))-COUNTBLANK(OFFSET(A$1,,,SUMPRODUCT(MAX(ROW(E$1:E1122)*(E2=E$1:E1122))))))</f>
        <v> </v>
      </c>
      <c r="K1123" s="26" t="str">
        <f>IF(OR(E1123="",E1123="!!!",F1123="NEW"),"",INDEX(J$1:J1122,SUMPRODUCT(MAX(ROW(E$1:E1122)*(E1123=E$1:E1122)))))</f>
        <v> </v>
      </c>
      <c r="L1123" s="27"/>
    </row>
    <row r="1124" spans="1:12">
      <c r="A1124" s="20" t="s">
        <v>1465</v>
      </c>
      <c r="E1124" s="22">
        <f>IF(D1124="?OLD","!!!","")</f>
        <v/>
      </c>
      <c r="F1124" s="23" t="str">
        <f>IF(OR(E1124="",E1124="!!!"),"",IF(NOT(ISNA(VLOOKUP(E1124,E$1:E1123,1,FALSE()))),"OLD",IF(AND(E1124&lt;&gt;"",E1124&lt;&gt;"!!!"),"NEW","")))</f>
        <v> </v>
      </c>
      <c r="G1124" s="24" t="str">
        <f>IF(OR(E1124="",E1124="!!!"),"",IF(OR(J1124=0,AND(J1124=1,K1124=1),AND(J1124=1,I1124="SBJ"),AND(J1124=1,I1124=0)),"?IN_FOCUS",IF(J1124&lt;=2,"?ACTIVATED",IF(J1124&lt;&gt;"","?FAMILIAR",IF(F1124="NEW",IF(ISNA(VLOOKUP(E1124,#REF!,1,FALSE())),"?TYPE_IDENTIFIABLE","?REFERENTIAL"),"_")))))</f>
        <v> </v>
      </c>
      <c r="H1124" s="25" t="str">
        <f>IF(J1124&lt;&gt;1,"",IF(I1124="SBJ","CB","?"))</f>
        <v> </v>
      </c>
      <c r="I1124" s="26" t="str">
        <f>IF(OR(E1124="",E1124="!!!",F1124="NEW"),"",INDEX(B1123:B$2,-1+SUMPRODUCT(MAX(ROW(E1123:E$2)*(E1124=E1123:E$2)))))</f>
        <v> </v>
      </c>
      <c r="J1124" s="26" t="str">
        <f>IF(OR(E1124="",E1124="!!!",F1124="NEW"),"",COUNTBLANK(OFFSET(A$1,,,SUMPRODUCT(MAX(ROW(E$2:E1124)*(E1124=E$2:E1124)))))-COUNTBLANK(OFFSET(A$1,,,SUMPRODUCT(MAX(ROW(E$1:E1123)*(E2=E$1:E1123))))))</f>
        <v> </v>
      </c>
      <c r="K1124" s="26" t="str">
        <f>IF(OR(E1124="",E1124="!!!",F1124="NEW"),"",INDEX(J$1:J1123,SUMPRODUCT(MAX(ROW(E$1:E1123)*(E1124=E$1:E1123)))))</f>
        <v> </v>
      </c>
      <c r="L1124" s="27"/>
    </row>
    <row r="1125" spans="1:12">
      <c r="A1125" s="20" t="s">
        <v>1030</v>
      </c>
      <c r="E1125" s="22">
        <f>IF(D1125="?OLD","!!!","")</f>
        <v/>
      </c>
      <c r="F1125" s="23" t="str">
        <f>IF(OR(E1125="",E1125="!!!"),"",IF(NOT(ISNA(VLOOKUP(E1125,E$1:E1124,1,FALSE()))),"OLD",IF(AND(E1125&lt;&gt;"",E1125&lt;&gt;"!!!"),"NEW","")))</f>
        <v> </v>
      </c>
      <c r="G1125" s="24" t="str">
        <f>IF(OR(E1125="",E1125="!!!"),"",IF(OR(J1125=0,AND(J1125=1,K1125=1),AND(J1125=1,I1125="SBJ"),AND(J1125=1,I1125=0)),"?IN_FOCUS",IF(J1125&lt;=2,"?ACTIVATED",IF(J1125&lt;&gt;"","?FAMILIAR",IF(F1125="NEW",IF(ISNA(VLOOKUP(E1125,#REF!,1,FALSE())),"?TYPE_IDENTIFIABLE","?REFERENTIAL"),"_")))))</f>
        <v> </v>
      </c>
      <c r="H1125" s="25" t="str">
        <f>IF(J1125&lt;&gt;1,"",IF(I1125="SBJ","CB","?"))</f>
        <v> </v>
      </c>
      <c r="I1125" s="26" t="str">
        <f>IF(OR(E1125="",E1125="!!!",F1125="NEW"),"",INDEX(B1124:B$2,-1+SUMPRODUCT(MAX(ROW(E1124:E$2)*(E1125=E1124:E$2)))))</f>
        <v> </v>
      </c>
      <c r="J1125" s="26" t="str">
        <f>IF(OR(E1125="",E1125="!!!",F1125="NEW"),"",COUNTBLANK(OFFSET(A$1,,,SUMPRODUCT(MAX(ROW(E$2:E1125)*(E1125=E$2:E1125)))))-COUNTBLANK(OFFSET(A$1,,,SUMPRODUCT(MAX(ROW(E$1:E1124)*(E2=E$1:E1124))))))</f>
        <v> </v>
      </c>
      <c r="K1125" s="26" t="str">
        <f>IF(OR(E1125="",E1125="!!!",F1125="NEW"),"",INDEX(J$1:J1124,SUMPRODUCT(MAX(ROW(E$1:E1124)*(E1125=E$1:E1124)))))</f>
        <v> </v>
      </c>
      <c r="L1125" s="27"/>
    </row>
    <row r="1126" spans="1:12">
      <c r="A1126" s="20" t="s">
        <v>1466</v>
      </c>
      <c r="B1126" s="21" t="s">
        <v>1033</v>
      </c>
      <c r="C1126" s="21" t="s">
        <v>1048</v>
      </c>
      <c r="E1126" s="22">
        <f>IF(D1126="?OLD","!!!","")</f>
        <v/>
      </c>
      <c r="F1126" s="23" t="str">
        <f>IF(OR(E1126="",E1126="!!!"),"",IF(NOT(ISNA(VLOOKUP(E1126,E$1:E1125,1,FALSE()))),"OLD",IF(AND(E1126&lt;&gt;"",E1126&lt;&gt;"!!!"),"NEW","")))</f>
        <v> </v>
      </c>
      <c r="G1126" s="24" t="str">
        <f>IF(OR(E1126="",E1126="!!!"),"",IF(OR(J1126=0,AND(J1126=1,K1126=1),AND(J1126=1,I1126="SBJ"),AND(J1126=1,I1126=0)),"?IN_FOCUS",IF(J1126&lt;=2,"?ACTIVATED",IF(J1126&lt;&gt;"","?FAMILIAR",IF(F1126="NEW",IF(ISNA(VLOOKUP(E1126,#REF!,1,FALSE())),"?TYPE_IDENTIFIABLE","?REFERENTIAL"),"_")))))</f>
        <v> </v>
      </c>
      <c r="H1126" s="25" t="str">
        <f>IF(J1126&lt;&gt;1,"",IF(I1126="SBJ","CB","?"))</f>
        <v> </v>
      </c>
      <c r="I1126" s="26" t="str">
        <f>IF(OR(E1126="",E1126="!!!",F1126="NEW"),"",INDEX(B1125:B$2,-1+SUMPRODUCT(MAX(ROW(E1125:E$2)*(E1126=E1125:E$2)))))</f>
        <v> </v>
      </c>
      <c r="J1126" s="26" t="str">
        <f>IF(OR(E1126="",E1126="!!!",F1126="NEW"),"",COUNTBLANK(OFFSET(A$1,,,SUMPRODUCT(MAX(ROW(E$2:E1126)*(E1126=E$2:E1126)))))-COUNTBLANK(OFFSET(A$1,,,SUMPRODUCT(MAX(ROW(E$1:E1125)*(E2=E$1:E1125))))))</f>
        <v> </v>
      </c>
      <c r="K1126" s="26" t="str">
        <f>IF(OR(E1126="",E1126="!!!",F1126="NEW"),"",INDEX(J$1:J1125,SUMPRODUCT(MAX(ROW(E$1:E1125)*(E1126=E$1:E1125)))))</f>
        <v> </v>
      </c>
      <c r="L1126" s="27"/>
    </row>
    <row r="1127" spans="1:12">
      <c r="A1127" s="20" t="s">
        <v>1018</v>
      </c>
      <c r="E1127" s="22">
        <f>IF(D1127="?OLD","!!!","")</f>
        <v/>
      </c>
      <c r="F1127" s="23" t="str">
        <f>IF(OR(E1127="",E1127="!!!"),"",IF(NOT(ISNA(VLOOKUP(E1127,E$1:E1126,1,FALSE()))),"OLD",IF(AND(E1127&lt;&gt;"",E1127&lt;&gt;"!!!"),"NEW","")))</f>
        <v> </v>
      </c>
      <c r="G1127" s="24" t="str">
        <f>IF(OR(E1127="",E1127="!!!"),"",IF(OR(J1127=0,AND(J1127=1,K1127=1),AND(J1127=1,I1127="SBJ"),AND(J1127=1,I1127=0)),"?IN_FOCUS",IF(J1127&lt;=2,"?ACTIVATED",IF(J1127&lt;&gt;"","?FAMILIAR",IF(F1127="NEW",IF(ISNA(VLOOKUP(E1127,#REF!,1,FALSE())),"?TYPE_IDENTIFIABLE","?REFERENTIAL"),"_")))))</f>
        <v> </v>
      </c>
      <c r="H1127" s="25" t="str">
        <f>IF(J1127&lt;&gt;1,"",IF(I1127="SBJ","CB","?"))</f>
        <v> </v>
      </c>
      <c r="I1127" s="26" t="str">
        <f>IF(OR(E1127="",E1127="!!!",F1127="NEW"),"",INDEX(B1126:B$2,-1+SUMPRODUCT(MAX(ROW(E1126:E$2)*(E1127=E1126:E$2)))))</f>
        <v> </v>
      </c>
      <c r="J1127" s="26" t="str">
        <f>IF(OR(E1127="",E1127="!!!",F1127="NEW"),"",COUNTBLANK(OFFSET(A$1,,,SUMPRODUCT(MAX(ROW(E$2:E1127)*(E1127=E$2:E1127)))))-COUNTBLANK(OFFSET(A$1,,,SUMPRODUCT(MAX(ROW(E$1:E1126)*(E2=E$1:E1126))))))</f>
        <v> </v>
      </c>
      <c r="K1127" s="26" t="str">
        <f>IF(OR(E1127="",E1127="!!!",F1127="NEW"),"",INDEX(J$1:J1126,SUMPRODUCT(MAX(ROW(E$1:E1126)*(E1127=E$1:E1126)))))</f>
        <v> </v>
      </c>
      <c r="L1127" s="27"/>
    </row>
    <row r="1128" spans="1:12">
      <c r="A1128" s="20" t="s">
        <v>1295</v>
      </c>
      <c r="B1128" s="21" t="s">
        <v>1029</v>
      </c>
      <c r="C1128" s="21" t="s">
        <v>1358</v>
      </c>
      <c r="D1128" s="21" t="s">
        <v>1007</v>
      </c>
      <c r="E1128" s="22">
        <f>IF(D1128="?OLD","!!!","")</f>
        <v/>
      </c>
      <c r="F1128" s="23" t="str">
        <f>IF(OR(E1128="",E1128="!!!"),"",IF(NOT(ISNA(VLOOKUP(E1128,E$1:E1127,1,FALSE()))),"OLD",IF(AND(E1128&lt;&gt;"",E1128&lt;&gt;"!!!"),"NEW","")))</f>
        <v> </v>
      </c>
      <c r="G1128" s="24" t="str">
        <f>IF(OR(E1128="",E1128="!!!"),"",IF(OR(J1128=0,AND(J1128=1,K1128=1),AND(J1128=1,I1128="SBJ"),AND(J1128=1,I1128=0)),"?IN_FOCUS",IF(J1128&lt;=2,"?ACTIVATED",IF(J1128&lt;&gt;"","?FAMILIAR",IF(F1128="NEW",IF(ISNA(VLOOKUP(E1128,#REF!,1,FALSE())),"?TYPE_IDENTIFIABLE","?REFERENTIAL"),"_")))))</f>
        <v> </v>
      </c>
      <c r="H1128" s="25" t="str">
        <f>IF(J1128&lt;&gt;1,"",IF(I1128="SBJ","CB","?"))</f>
        <v> </v>
      </c>
      <c r="I1128" s="26" t="str">
        <f>IF(OR(E1128="",E1128="!!!",F1128="NEW"),"",INDEX(B1127:B$2,-1+SUMPRODUCT(MAX(ROW(E1127:E$2)*(E1128=E1127:E$2)))))</f>
        <v> </v>
      </c>
      <c r="J1128" s="26" t="str">
        <f>IF(OR(E1128="",E1128="!!!",F1128="NEW"),"",COUNTBLANK(OFFSET(A$1,,,SUMPRODUCT(MAX(ROW(E$2:E1128)*(E1128=E$2:E1128)))))-COUNTBLANK(OFFSET(A$1,,,SUMPRODUCT(MAX(ROW(E$1:E1127)*(E2=E$1:E1127))))))</f>
        <v> </v>
      </c>
      <c r="K1128" s="26" t="str">
        <f>IF(OR(E1128="",E1128="!!!",F1128="NEW"),"",INDEX(J$1:J1127,SUMPRODUCT(MAX(ROW(E$1:E1127)*(E1128=E$1:E1127)))))</f>
        <v> </v>
      </c>
      <c r="L1128" s="27"/>
    </row>
    <row r="1129" spans="1:12">
      <c r="A1129" s="20" t="s">
        <v>1467</v>
      </c>
      <c r="E1129" s="22">
        <f>IF(D1129="?OLD","!!!","")</f>
        <v/>
      </c>
      <c r="F1129" s="23" t="str">
        <f>IF(OR(E1129="",E1129="!!!"),"",IF(NOT(ISNA(VLOOKUP(E1129,E$1:E1128,1,FALSE()))),"OLD",IF(AND(E1129&lt;&gt;"",E1129&lt;&gt;"!!!"),"NEW","")))</f>
        <v> </v>
      </c>
      <c r="G1129" s="24" t="str">
        <f>IF(OR(E1129="",E1129="!!!"),"",IF(OR(J1129=0,AND(J1129=1,K1129=1),AND(J1129=1,I1129="SBJ"),AND(J1129=1,I1129=0)),"?IN_FOCUS",IF(J1129&lt;=2,"?ACTIVATED",IF(J1129&lt;&gt;"","?FAMILIAR",IF(F1129="NEW",IF(ISNA(VLOOKUP(E1129,#REF!,1,FALSE())),"?TYPE_IDENTIFIABLE","?REFERENTIAL"),"_")))))</f>
        <v> </v>
      </c>
      <c r="H1129" s="25" t="str">
        <f>IF(J1129&lt;&gt;1,"",IF(I1129="SBJ","CB","?"))</f>
        <v> </v>
      </c>
      <c r="I1129" s="26" t="str">
        <f>IF(OR(E1129="",E1129="!!!",F1129="NEW"),"",INDEX(B1128:B$2,-1+SUMPRODUCT(MAX(ROW(E1128:E$2)*(E1129=E1128:E$2)))))</f>
        <v> </v>
      </c>
      <c r="J1129" s="26" t="str">
        <f>IF(OR(E1129="",E1129="!!!",F1129="NEW"),"",COUNTBLANK(OFFSET(A$1,,,SUMPRODUCT(MAX(ROW(E$2:E1129)*(E1129=E$2:E1129)))))-COUNTBLANK(OFFSET(A$1,,,SUMPRODUCT(MAX(ROW(E$1:E1128)*(E2=E$1:E1128))))))</f>
        <v> </v>
      </c>
      <c r="K1129" s="26" t="str">
        <f>IF(OR(E1129="",E1129="!!!",F1129="NEW"),"",INDEX(J$1:J1128,SUMPRODUCT(MAX(ROW(E$1:E1128)*(E1129=E$1:E1128)))))</f>
        <v> </v>
      </c>
      <c r="L1129" s="27"/>
    </row>
    <row r="1130" spans="1:12">
      <c r="A1130" s="20" t="s">
        <v>1018</v>
      </c>
      <c r="E1130" s="22">
        <f>IF(D1130="?OLD","!!!","")</f>
        <v/>
      </c>
      <c r="F1130" s="23" t="str">
        <f>IF(OR(E1130="",E1130="!!!"),"",IF(NOT(ISNA(VLOOKUP(E1130,E$1:E1129,1,FALSE()))),"OLD",IF(AND(E1130&lt;&gt;"",E1130&lt;&gt;"!!!"),"NEW","")))</f>
        <v> </v>
      </c>
      <c r="G1130" s="24" t="str">
        <f>IF(OR(E1130="",E1130="!!!"),"",IF(OR(J1130=0,AND(J1130=1,K1130=1),AND(J1130=1,I1130="SBJ"),AND(J1130=1,I1130=0)),"?IN_FOCUS",IF(J1130&lt;=2,"?ACTIVATED",IF(J1130&lt;&gt;"","?FAMILIAR",IF(F1130="NEW",IF(ISNA(VLOOKUP(E1130,#REF!,1,FALSE())),"?TYPE_IDENTIFIABLE","?REFERENTIAL"),"_")))))</f>
        <v> </v>
      </c>
      <c r="H1130" s="25" t="str">
        <f>IF(J1130&lt;&gt;1,"",IF(I1130="SBJ","CB","?"))</f>
        <v> </v>
      </c>
      <c r="I1130" s="26" t="str">
        <f>IF(OR(E1130="",E1130="!!!",F1130="NEW"),"",INDEX(B1129:B$2,-1+SUMPRODUCT(MAX(ROW(E1129:E$2)*(E1130=E1129:E$2)))))</f>
        <v> </v>
      </c>
      <c r="J1130" s="26" t="str">
        <f>IF(OR(E1130="",E1130="!!!",F1130="NEW"),"",COUNTBLANK(OFFSET(A$1,,,SUMPRODUCT(MAX(ROW(E$2:E1130)*(E1130=E$2:E1130)))))-COUNTBLANK(OFFSET(A$1,,,SUMPRODUCT(MAX(ROW(E$1:E1129)*(E2=E$1:E1129))))))</f>
        <v> </v>
      </c>
      <c r="K1130" s="26" t="str">
        <f>IF(OR(E1130="",E1130="!!!",F1130="NEW"),"",INDEX(J$1:J1129,SUMPRODUCT(MAX(ROW(E$1:E1129)*(E1130=E$1:E1129)))))</f>
        <v> </v>
      </c>
      <c r="L1130" s="27"/>
    </row>
    <row r="1131" spans="1:12">
      <c r="A1131" s="20" t="s">
        <v>1299</v>
      </c>
      <c r="E1131" s="22">
        <f>IF(D1131="?OLD","!!!","")</f>
        <v/>
      </c>
      <c r="F1131" s="23" t="str">
        <f>IF(OR(E1131="",E1131="!!!"),"",IF(NOT(ISNA(VLOOKUP(E1131,E$1:E1130,1,FALSE()))),"OLD",IF(AND(E1131&lt;&gt;"",E1131&lt;&gt;"!!!"),"NEW","")))</f>
        <v> </v>
      </c>
      <c r="G1131" s="24" t="str">
        <f>IF(OR(E1131="",E1131="!!!"),"",IF(OR(J1131=0,AND(J1131=1,K1131=1),AND(J1131=1,I1131="SBJ"),AND(J1131=1,I1131=0)),"?IN_FOCUS",IF(J1131&lt;=2,"?ACTIVATED",IF(J1131&lt;&gt;"","?FAMILIAR",IF(F1131="NEW",IF(ISNA(VLOOKUP(E1131,#REF!,1,FALSE())),"?TYPE_IDENTIFIABLE","?REFERENTIAL"),"_")))))</f>
        <v> </v>
      </c>
      <c r="H1131" s="25" t="str">
        <f>IF(J1131&lt;&gt;1,"",IF(I1131="SBJ","CB","?"))</f>
        <v> </v>
      </c>
      <c r="I1131" s="26" t="str">
        <f>IF(OR(E1131="",E1131="!!!",F1131="NEW"),"",INDEX(B1130:B$2,-1+SUMPRODUCT(MAX(ROW(E1130:E$2)*(E1131=E1130:E$2)))))</f>
        <v> </v>
      </c>
      <c r="J1131" s="26" t="str">
        <f>IF(OR(E1131="",E1131="!!!",F1131="NEW"),"",COUNTBLANK(OFFSET(A$1,,,SUMPRODUCT(MAX(ROW(E$2:E1131)*(E1131=E$2:E1131)))))-COUNTBLANK(OFFSET(A$1,,,SUMPRODUCT(MAX(ROW(E$1:E1130)*(E2=E$1:E1130))))))</f>
        <v> </v>
      </c>
      <c r="K1131" s="26" t="str">
        <f>IF(OR(E1131="",E1131="!!!",F1131="NEW"),"",INDEX(J$1:J1130,SUMPRODUCT(MAX(ROW(E$1:E1130)*(E1131=E$1:E1130)))))</f>
        <v> </v>
      </c>
      <c r="L1131" s="27"/>
    </row>
    <row r="1132" spans="1:12">
      <c r="A1132" s="20" t="s">
        <v>1312</v>
      </c>
      <c r="E1132" s="22">
        <f>IF(D1132="?OLD","!!!","")</f>
        <v/>
      </c>
      <c r="F1132" s="23" t="str">
        <f>IF(OR(E1132="",E1132="!!!"),"",IF(NOT(ISNA(VLOOKUP(E1132,E$1:E1131,1,FALSE()))),"OLD",IF(AND(E1132&lt;&gt;"",E1132&lt;&gt;"!!!"),"NEW","")))</f>
        <v> </v>
      </c>
      <c r="G1132" s="24" t="str">
        <f>IF(OR(E1132="",E1132="!!!"),"",IF(OR(J1132=0,AND(J1132=1,K1132=1),AND(J1132=1,I1132="SBJ"),AND(J1132=1,I1132=0)),"?IN_FOCUS",IF(J1132&lt;=2,"?ACTIVATED",IF(J1132&lt;&gt;"","?FAMILIAR",IF(F1132="NEW",IF(ISNA(VLOOKUP(E1132,#REF!,1,FALSE())),"?TYPE_IDENTIFIABLE","?REFERENTIAL"),"_")))))</f>
        <v> </v>
      </c>
      <c r="H1132" s="25" t="str">
        <f>IF(J1132&lt;&gt;1,"",IF(I1132="SBJ","CB","?"))</f>
        <v> </v>
      </c>
      <c r="I1132" s="26" t="str">
        <f>IF(OR(E1132="",E1132="!!!",F1132="NEW"),"",INDEX(B1131:B$2,-1+SUMPRODUCT(MAX(ROW(E1131:E$2)*(E1132=E1131:E$2)))))</f>
        <v> </v>
      </c>
      <c r="J1132" s="26" t="str">
        <f>IF(OR(E1132="",E1132="!!!",F1132="NEW"),"",COUNTBLANK(OFFSET(A$1,,,SUMPRODUCT(MAX(ROW(E$2:E1132)*(E1132=E$2:E1132)))))-COUNTBLANK(OFFSET(A$1,,,SUMPRODUCT(MAX(ROW(E$1:E1131)*(E2=E$1:E1131))))))</f>
        <v> </v>
      </c>
      <c r="K1132" s="26" t="str">
        <f>IF(OR(E1132="",E1132="!!!",F1132="NEW"),"",INDEX(J$1:J1131,SUMPRODUCT(MAX(ROW(E$1:E1131)*(E1132=E$1:E1131)))))</f>
        <v> </v>
      </c>
      <c r="L1132" s="27"/>
    </row>
    <row r="1133" spans="1:12">
      <c r="A1133" s="20" t="s">
        <v>1468</v>
      </c>
      <c r="E1133" s="22">
        <f>IF(D1133="?OLD","!!!","")</f>
        <v/>
      </c>
      <c r="F1133" s="23" t="str">
        <f>IF(OR(E1133="",E1133="!!!"),"",IF(NOT(ISNA(VLOOKUP(E1133,E$1:E1132,1,FALSE()))),"OLD",IF(AND(E1133&lt;&gt;"",E1133&lt;&gt;"!!!"),"NEW","")))</f>
        <v> </v>
      </c>
      <c r="G1133" s="24" t="str">
        <f>IF(OR(E1133="",E1133="!!!"),"",IF(OR(J1133=0,AND(J1133=1,K1133=1),AND(J1133=1,I1133="SBJ"),AND(J1133=1,I1133=0)),"?IN_FOCUS",IF(J1133&lt;=2,"?ACTIVATED",IF(J1133&lt;&gt;"","?FAMILIAR",IF(F1133="NEW",IF(ISNA(VLOOKUP(E1133,#REF!,1,FALSE())),"?TYPE_IDENTIFIABLE","?REFERENTIAL"),"_")))))</f>
        <v> </v>
      </c>
      <c r="H1133" s="25" t="str">
        <f>IF(J1133&lt;&gt;1,"",IF(I1133="SBJ","CB","?"))</f>
        <v> </v>
      </c>
      <c r="I1133" s="26" t="str">
        <f>IF(OR(E1133="",E1133="!!!",F1133="NEW"),"",INDEX(B1132:B$2,-1+SUMPRODUCT(MAX(ROW(E1132:E$2)*(E1133=E1132:E$2)))))</f>
        <v> </v>
      </c>
      <c r="J1133" s="26" t="str">
        <f>IF(OR(E1133="",E1133="!!!",F1133="NEW"),"",COUNTBLANK(OFFSET(A$1,,,SUMPRODUCT(MAX(ROW(E$2:E1133)*(E1133=E$2:E1133)))))-COUNTBLANK(OFFSET(A$1,,,SUMPRODUCT(MAX(ROW(E$1:E1132)*(E2=E$1:E1132))))))</f>
        <v> </v>
      </c>
      <c r="K1133" s="26" t="str">
        <f>IF(OR(E1133="",E1133="!!!",F1133="NEW"),"",INDEX(J$1:J1132,SUMPRODUCT(MAX(ROW(E$1:E1132)*(E1133=E$1:E1132)))))</f>
        <v> </v>
      </c>
      <c r="L1133" s="27"/>
    </row>
    <row r="1134" spans="1:12">
      <c r="A1134" s="20" t="s">
        <v>1056</v>
      </c>
      <c r="E1134" s="22">
        <f>IF(D1134="?OLD","!!!","")</f>
        <v/>
      </c>
      <c r="F1134" s="23" t="str">
        <f>IF(OR(E1134="",E1134="!!!"),"",IF(NOT(ISNA(VLOOKUP(E1134,E$1:E1133,1,FALSE()))),"OLD",IF(AND(E1134&lt;&gt;"",E1134&lt;&gt;"!!!"),"NEW","")))</f>
        <v> </v>
      </c>
      <c r="G1134" s="24" t="str">
        <f>IF(OR(E1134="",E1134="!!!"),"",IF(OR(J1134=0,AND(J1134=1,K1134=1),AND(J1134=1,I1134="SBJ"),AND(J1134=1,I1134=0)),"?IN_FOCUS",IF(J1134&lt;=2,"?ACTIVATED",IF(J1134&lt;&gt;"","?FAMILIAR",IF(F1134="NEW",IF(ISNA(VLOOKUP(E1134,#REF!,1,FALSE())),"?TYPE_IDENTIFIABLE","?REFERENTIAL"),"_")))))</f>
        <v> </v>
      </c>
      <c r="H1134" s="25" t="str">
        <f>IF(J1134&lt;&gt;1,"",IF(I1134="SBJ","CB","?"))</f>
        <v> </v>
      </c>
      <c r="I1134" s="26" t="str">
        <f>IF(OR(E1134="",E1134="!!!",F1134="NEW"),"",INDEX(B1133:B$2,-1+SUMPRODUCT(MAX(ROW(E1133:E$2)*(E1134=E1133:E$2)))))</f>
        <v> </v>
      </c>
      <c r="J1134" s="26" t="str">
        <f>IF(OR(E1134="",E1134="!!!",F1134="NEW"),"",COUNTBLANK(OFFSET(A$1,,,SUMPRODUCT(MAX(ROW(E$2:E1134)*(E1134=E$2:E1134)))))-COUNTBLANK(OFFSET(A$1,,,SUMPRODUCT(MAX(ROW(E$1:E1133)*(E2=E$1:E1133))))))</f>
        <v> </v>
      </c>
      <c r="K1134" s="26" t="str">
        <f>IF(OR(E1134="",E1134="!!!",F1134="NEW"),"",INDEX(J$1:J1133,SUMPRODUCT(MAX(ROW(E$1:E1133)*(E1134=E$1:E1133)))))</f>
        <v> </v>
      </c>
      <c r="L1134" s="27"/>
    </row>
    <row r="1135" spans="1:12">
      <c r="A1135" s="20" t="s">
        <v>1469</v>
      </c>
      <c r="B1135" s="21" t="s">
        <v>1029</v>
      </c>
      <c r="C1135" s="21" t="s">
        <v>1111</v>
      </c>
      <c r="E1135" s="22">
        <f>IF(D1135="?OLD","!!!","")</f>
        <v/>
      </c>
      <c r="F1135" s="23" t="str">
        <f>IF(OR(E1135="",E1135="!!!"),"",IF(NOT(ISNA(VLOOKUP(E1135,E$1:E1134,1,FALSE()))),"OLD",IF(AND(E1135&lt;&gt;"",E1135&lt;&gt;"!!!"),"NEW","")))</f>
        <v> </v>
      </c>
      <c r="G1135" s="24" t="str">
        <f>IF(OR(E1135="",E1135="!!!"),"",IF(OR(J1135=0,AND(J1135=1,K1135=1),AND(J1135=1,I1135="SBJ"),AND(J1135=1,I1135=0)),"?IN_FOCUS",IF(J1135&lt;=2,"?ACTIVATED",IF(J1135&lt;&gt;"","?FAMILIAR",IF(F1135="NEW",IF(ISNA(VLOOKUP(E1135,#REF!,1,FALSE())),"?TYPE_IDENTIFIABLE","?REFERENTIAL"),"_")))))</f>
        <v> </v>
      </c>
      <c r="H1135" s="25" t="str">
        <f>IF(J1135&lt;&gt;1,"",IF(I1135="SBJ","CB","?"))</f>
        <v> </v>
      </c>
      <c r="I1135" s="26" t="str">
        <f>IF(OR(E1135="",E1135="!!!",F1135="NEW"),"",INDEX(B1134:B$2,-1+SUMPRODUCT(MAX(ROW(E1134:E$2)*(E1135=E1134:E$2)))))</f>
        <v> </v>
      </c>
      <c r="J1135" s="26" t="str">
        <f>IF(OR(E1135="",E1135="!!!",F1135="NEW"),"",COUNTBLANK(OFFSET(A$1,,,SUMPRODUCT(MAX(ROW(E$2:E1135)*(E1135=E$2:E1135)))))-COUNTBLANK(OFFSET(A$1,,,SUMPRODUCT(MAX(ROW(E$1:E1134)*(E2=E$1:E1134))))))</f>
        <v> </v>
      </c>
      <c r="K1135" s="26" t="str">
        <f>IF(OR(E1135="",E1135="!!!",F1135="NEW"),"",INDEX(J$1:J1134,SUMPRODUCT(MAX(ROW(E$1:E1134)*(E1135=E$1:E1134)))))</f>
        <v> </v>
      </c>
      <c r="L1135" s="27"/>
    </row>
    <row r="1136" spans="1:12">
      <c r="A1136" s="20" t="s">
        <v>1030</v>
      </c>
      <c r="E1136" s="22">
        <f>IF(D1136="?OLD","!!!","")</f>
        <v/>
      </c>
      <c r="F1136" s="23" t="str">
        <f>IF(OR(E1136="",E1136="!!!"),"",IF(NOT(ISNA(VLOOKUP(E1136,E$1:E1135,1,FALSE()))),"OLD",IF(AND(E1136&lt;&gt;"",E1136&lt;&gt;"!!!"),"NEW","")))</f>
        <v> </v>
      </c>
      <c r="G1136" s="24" t="str">
        <f>IF(OR(E1136="",E1136="!!!"),"",IF(OR(J1136=0,AND(J1136=1,K1136=1),AND(J1136=1,I1136="SBJ"),AND(J1136=1,I1136=0)),"?IN_FOCUS",IF(J1136&lt;=2,"?ACTIVATED",IF(J1136&lt;&gt;"","?FAMILIAR",IF(F1136="NEW",IF(ISNA(VLOOKUP(E1136,#REF!,1,FALSE())),"?TYPE_IDENTIFIABLE","?REFERENTIAL"),"_")))))</f>
        <v> </v>
      </c>
      <c r="H1136" s="25" t="str">
        <f>IF(J1136&lt;&gt;1,"",IF(I1136="SBJ","CB","?"))</f>
        <v> </v>
      </c>
      <c r="I1136" s="26" t="str">
        <f>IF(OR(E1136="",E1136="!!!",F1136="NEW"),"",INDEX(B1135:B$2,-1+SUMPRODUCT(MAX(ROW(E1135:E$2)*(E1136=E1135:E$2)))))</f>
        <v> </v>
      </c>
      <c r="J1136" s="26" t="str">
        <f>IF(OR(E1136="",E1136="!!!",F1136="NEW"),"",COUNTBLANK(OFFSET(A$1,,,SUMPRODUCT(MAX(ROW(E$2:E1136)*(E1136=E$2:E1136)))))-COUNTBLANK(OFFSET(A$1,,,SUMPRODUCT(MAX(ROW(E$1:E1135)*(E2=E$1:E1135))))))</f>
        <v> </v>
      </c>
      <c r="K1136" s="26" t="str">
        <f>IF(OR(E1136="",E1136="!!!",F1136="NEW"),"",INDEX(J$1:J1135,SUMPRODUCT(MAX(ROW(E$1:E1135)*(E1136=E$1:E1135)))))</f>
        <v> </v>
      </c>
      <c r="L1136" s="27"/>
    </row>
    <row r="1137" spans="1:12">
      <c r="A1137" s="20" t="s">
        <v>822</v>
      </c>
      <c r="B1137" s="21" t="s">
        <v>1022</v>
      </c>
      <c r="C1137" s="21" t="s">
        <v>1048</v>
      </c>
      <c r="E1137" s="22">
        <f>IF(D1137="?OLD","!!!","")</f>
        <v/>
      </c>
      <c r="F1137" s="23" t="str">
        <f>IF(OR(E1137="",E1137="!!!"),"",IF(NOT(ISNA(VLOOKUP(E1137,E$1:E1136,1,FALSE()))),"OLD",IF(AND(E1137&lt;&gt;"",E1137&lt;&gt;"!!!"),"NEW","")))</f>
        <v> </v>
      </c>
      <c r="G1137" s="24" t="str">
        <f>IF(OR(E1137="",E1137="!!!"),"",IF(OR(J1137=0,AND(J1137=1,K1137=1),AND(J1137=1,I1137="SBJ"),AND(J1137=1,I1137=0)),"?IN_FOCUS",IF(J1137&lt;=2,"?ACTIVATED",IF(J1137&lt;&gt;"","?FAMILIAR",IF(F1137="NEW",IF(ISNA(VLOOKUP(E1137,#REF!,1,FALSE())),"?TYPE_IDENTIFIABLE","?REFERENTIAL"),"_")))))</f>
        <v> </v>
      </c>
      <c r="H1137" s="25" t="str">
        <f>IF(J1137&lt;&gt;1,"",IF(I1137="SBJ","CB","?"))</f>
        <v> </v>
      </c>
      <c r="I1137" s="26" t="str">
        <f>IF(OR(E1137="",E1137="!!!",F1137="NEW"),"",INDEX(B1136:B$2,-1+SUMPRODUCT(MAX(ROW(E1136:E$2)*(E1137=E1136:E$2)))))</f>
        <v> </v>
      </c>
      <c r="J1137" s="26" t="str">
        <f>IF(OR(E1137="",E1137="!!!",F1137="NEW"),"",COUNTBLANK(OFFSET(A$1,,,SUMPRODUCT(MAX(ROW(E$2:E1137)*(E1137=E$2:E1137)))))-COUNTBLANK(OFFSET(A$1,,,SUMPRODUCT(MAX(ROW(E$1:E1136)*(E2=E$1:E1136))))))</f>
        <v> </v>
      </c>
      <c r="K1137" s="26" t="str">
        <f>IF(OR(E1137="",E1137="!!!",F1137="NEW"),"",INDEX(J$1:J1136,SUMPRODUCT(MAX(ROW(E$1:E1136)*(E1137=E$1:E1136)))))</f>
        <v> </v>
      </c>
      <c r="L1137" s="27"/>
    </row>
    <row r="1138" spans="1:12">
      <c r="A1138" s="20" t="s">
        <v>1470</v>
      </c>
      <c r="E1138" s="22">
        <f>IF(D1138="?OLD","!!!","")</f>
        <v/>
      </c>
      <c r="F1138" s="23" t="str">
        <f>IF(OR(E1138="",E1138="!!!"),"",IF(NOT(ISNA(VLOOKUP(E1138,E$1:E1137,1,FALSE()))),"OLD",IF(AND(E1138&lt;&gt;"",E1138&lt;&gt;"!!!"),"NEW","")))</f>
        <v> </v>
      </c>
      <c r="G1138" s="24" t="str">
        <f>IF(OR(E1138="",E1138="!!!"),"",IF(OR(J1138=0,AND(J1138=1,K1138=1),AND(J1138=1,I1138="SBJ"),AND(J1138=1,I1138=0)),"?IN_FOCUS",IF(J1138&lt;=2,"?ACTIVATED",IF(J1138&lt;&gt;"","?FAMILIAR",IF(F1138="NEW",IF(ISNA(VLOOKUP(E1138,#REF!,1,FALSE())),"?TYPE_IDENTIFIABLE","?REFERENTIAL"),"_")))))</f>
        <v> </v>
      </c>
      <c r="H1138" s="25" t="str">
        <f>IF(J1138&lt;&gt;1,"",IF(I1138="SBJ","CB","?"))</f>
        <v> </v>
      </c>
      <c r="I1138" s="26" t="str">
        <f>IF(OR(E1138="",E1138="!!!",F1138="NEW"),"",INDEX(B1137:B$2,-1+SUMPRODUCT(MAX(ROW(E1137:E$2)*(E1138=E1137:E$2)))))</f>
        <v> </v>
      </c>
      <c r="J1138" s="26" t="str">
        <f>IF(OR(E1138="",E1138="!!!",F1138="NEW"),"",COUNTBLANK(OFFSET(A$1,,,SUMPRODUCT(MAX(ROW(E$2:E1138)*(E1138=E$2:E1138)))))-COUNTBLANK(OFFSET(A$1,,,SUMPRODUCT(MAX(ROW(E$1:E1137)*(E2=E$1:E1137))))))</f>
        <v> </v>
      </c>
      <c r="K1138" s="26" t="str">
        <f>IF(OR(E1138="",E1138="!!!",F1138="NEW"),"",INDEX(J$1:J1137,SUMPRODUCT(MAX(ROW(E$1:E1137)*(E1138=E$1:E1137)))))</f>
        <v> </v>
      </c>
      <c r="L1138" s="27"/>
    </row>
    <row r="1139" spans="1:12">
      <c r="A1139" s="20" t="s">
        <v>1023</v>
      </c>
      <c r="E1139" s="22">
        <f>IF(D1139="?OLD","!!!","")</f>
        <v/>
      </c>
      <c r="F1139" s="23" t="str">
        <f>IF(OR(E1139="",E1139="!!!"),"",IF(NOT(ISNA(VLOOKUP(E1139,E$1:E1138,1,FALSE()))),"OLD",IF(AND(E1139&lt;&gt;"",E1139&lt;&gt;"!!!"),"NEW","")))</f>
        <v> </v>
      </c>
      <c r="G1139" s="24" t="str">
        <f>IF(OR(E1139="",E1139="!!!"),"",IF(OR(J1139=0,AND(J1139=1,K1139=1),AND(J1139=1,I1139="SBJ"),AND(J1139=1,I1139=0)),"?IN_FOCUS",IF(J1139&lt;=2,"?ACTIVATED",IF(J1139&lt;&gt;"","?FAMILIAR",IF(F1139="NEW",IF(ISNA(VLOOKUP(E1139,#REF!,1,FALSE())),"?TYPE_IDENTIFIABLE","?REFERENTIAL"),"_")))))</f>
        <v> </v>
      </c>
      <c r="H1139" s="25" t="str">
        <f>IF(J1139&lt;&gt;1,"",IF(I1139="SBJ","CB","?"))</f>
        <v> </v>
      </c>
      <c r="I1139" s="26" t="str">
        <f>IF(OR(E1139="",E1139="!!!",F1139="NEW"),"",INDEX(B1138:B$2,-1+SUMPRODUCT(MAX(ROW(E1138:E$2)*(E1139=E1138:E$2)))))</f>
        <v> </v>
      </c>
      <c r="J1139" s="26" t="str">
        <f>IF(OR(E1139="",E1139="!!!",F1139="NEW"),"",COUNTBLANK(OFFSET(A$1,,,SUMPRODUCT(MAX(ROW(E$2:E1139)*(E1139=E$2:E1139)))))-COUNTBLANK(OFFSET(A$1,,,SUMPRODUCT(MAX(ROW(E$1:E1138)*(E2=E$1:E1138))))))</f>
        <v> </v>
      </c>
      <c r="K1139" s="26" t="str">
        <f>IF(OR(E1139="",E1139="!!!",F1139="NEW"),"",INDEX(J$1:J1138,SUMPRODUCT(MAX(ROW(E$1:E1138)*(E1139=E$1:E1138)))))</f>
        <v> </v>
      </c>
      <c r="L1139" s="27"/>
    </row>
    <row r="1140" spans="1:12">
      <c r="A1140" s="20"/>
    </row>
    <row r="1141" spans="1:12">
      <c r="A1141" s="20" t="s">
        <v>1471</v>
      </c>
    </row>
    <row r="1142" spans="1:12">
      <c r="A1142" s="20" t="s">
        <v>1472</v>
      </c>
      <c r="E1142" s="22">
        <f>IF(D1142="?OLD","!!!","")</f>
        <v/>
      </c>
      <c r="F1142" s="23" t="str">
        <f>IF(OR(E1142="",E1142="!!!"),"",IF(NOT(ISNA(VLOOKUP(E1142,E$1:E1141,1,FALSE()))),"OLD",IF(AND(E1142&lt;&gt;"",E1142&lt;&gt;"!!!"),"NEW","")))</f>
        <v> </v>
      </c>
      <c r="G1142" s="24" t="str">
        <f>IF(OR(E1142="",E1142="!!!"),"",IF(OR(J1142=0,AND(J1142=1,K1142=1),AND(J1142=1,I1142="SBJ"),AND(J1142=1,I1142=0)),"?IN_FOCUS",IF(J1142&lt;=2,"?ACTIVATED",IF(J1142&lt;&gt;"","?FAMILIAR",IF(F1142="NEW",IF(ISNA(VLOOKUP(E1142,#REF!,1,FALSE())),"?TYPE_IDENTIFIABLE","?REFERENTIAL"),"_")))))</f>
        <v> </v>
      </c>
      <c r="H1142" s="25" t="str">
        <f>IF(J1142&lt;&gt;1,"",IF(I1142="SBJ","CB","?"))</f>
        <v> </v>
      </c>
      <c r="I1142" s="26" t="str">
        <f>IF(OR(E1142="",E1142="!!!",F1142="NEW"),"",INDEX(B1141:B$2,-1+SUMPRODUCT(MAX(ROW(E1141:E$2)*(E1142=E1141:E$2)))))</f>
        <v> </v>
      </c>
      <c r="J1142" s="26" t="str">
        <f>IF(OR(E1142="",E1142="!!!",F1142="NEW"),"",COUNTBLANK(OFFSET(A$1,,,SUMPRODUCT(MAX(ROW(E$2:E1142)*(E1142=E$2:E1142)))))-COUNTBLANK(OFFSET(A$1,,,SUMPRODUCT(MAX(ROW(E$1:E1141)*(E2=E$1:E1141))))))</f>
        <v> </v>
      </c>
      <c r="K1142" s="26" t="str">
        <f>IF(OR(E1142="",E1142="!!!",F1142="NEW"),"",INDEX(J$1:J1141,SUMPRODUCT(MAX(ROW(E$1:E1141)*(E1142=E$1:E1141)))))</f>
        <v> </v>
      </c>
      <c r="L1142" s="27"/>
    </row>
    <row r="1143" spans="1:12">
      <c r="A1143" s="20" t="s">
        <v>1468</v>
      </c>
      <c r="E1143" s="22">
        <f>IF(D1143="?OLD","!!!","")</f>
        <v/>
      </c>
      <c r="F1143" s="23" t="str">
        <f>IF(OR(E1143="",E1143="!!!"),"",IF(NOT(ISNA(VLOOKUP(E1143,E$1:E1142,1,FALSE()))),"OLD",IF(AND(E1143&lt;&gt;"",E1143&lt;&gt;"!!!"),"NEW","")))</f>
        <v> </v>
      </c>
      <c r="G1143" s="24" t="str">
        <f>IF(OR(E1143="",E1143="!!!"),"",IF(OR(J1143=0,AND(J1143=1,K1143=1),AND(J1143=1,I1143="SBJ"),AND(J1143=1,I1143=0)),"?IN_FOCUS",IF(J1143&lt;=2,"?ACTIVATED",IF(J1143&lt;&gt;"","?FAMILIAR",IF(F1143="NEW",IF(ISNA(VLOOKUP(E1143,#REF!,1,FALSE())),"?TYPE_IDENTIFIABLE","?REFERENTIAL"),"_")))))</f>
        <v> </v>
      </c>
      <c r="H1143" s="25" t="str">
        <f>IF(J1143&lt;&gt;1,"",IF(I1143="SBJ","CB","?"))</f>
        <v> </v>
      </c>
      <c r="I1143" s="26" t="str">
        <f>IF(OR(E1143="",E1143="!!!",F1143="NEW"),"",INDEX(B1142:B$2,-1+SUMPRODUCT(MAX(ROW(E1142:E$2)*(E1143=E1142:E$2)))))</f>
        <v> </v>
      </c>
      <c r="J1143" s="26" t="str">
        <f>IF(OR(E1143="",E1143="!!!",F1143="NEW"),"",COUNTBLANK(OFFSET(A$1,,,SUMPRODUCT(MAX(ROW(E$2:E1143)*(E1143=E$2:E1143)))))-COUNTBLANK(OFFSET(A$1,,,SUMPRODUCT(MAX(ROW(E$1:E1142)*(E2=E$1:E1142))))))</f>
        <v> </v>
      </c>
      <c r="K1143" s="26" t="str">
        <f>IF(OR(E1143="",E1143="!!!",F1143="NEW"),"",INDEX(J$1:J1142,SUMPRODUCT(MAX(ROW(E$1:E1142)*(E1143=E$1:E1142)))))</f>
        <v> </v>
      </c>
      <c r="L1143" s="27"/>
    </row>
    <row r="1144" spans="1:12">
      <c r="A1144" s="20" t="s">
        <v>1469</v>
      </c>
      <c r="B1144" s="21" t="s">
        <v>1085</v>
      </c>
      <c r="C1144" s="21" t="s">
        <v>1013</v>
      </c>
      <c r="D1144" s="21" t="s">
        <v>1007</v>
      </c>
      <c r="E1144" s="22">
        <f>IF(D1144="?OLD","!!!","")</f>
        <v/>
      </c>
      <c r="F1144" s="23" t="str">
        <f>IF(OR(E1144="",E1144="!!!"),"",IF(NOT(ISNA(VLOOKUP(E1144,E$1:E1143,1,FALSE()))),"OLD",IF(AND(E1144&lt;&gt;"",E1144&lt;&gt;"!!!"),"NEW","")))</f>
        <v> </v>
      </c>
      <c r="G1144" s="24" t="str">
        <f>IF(OR(E1144="",E1144="!!!"),"",IF(OR(J1144=0,AND(J1144=1,K1144=1),AND(J1144=1,I1144="SBJ"),AND(J1144=1,I1144=0)),"?IN_FOCUS",IF(J1144&lt;=2,"?ACTIVATED",IF(J1144&lt;&gt;"","?FAMILIAR",IF(F1144="NEW",IF(ISNA(VLOOKUP(E1144,#REF!,1,FALSE())),"?TYPE_IDENTIFIABLE","?REFERENTIAL"),"_")))))</f>
        <v> </v>
      </c>
      <c r="H1144" s="25" t="str">
        <f>IF(J1144&lt;&gt;1,"",IF(I1144="SBJ","CB","?"))</f>
        <v> </v>
      </c>
      <c r="I1144" s="26" t="str">
        <f>IF(OR(E1144="",E1144="!!!",F1144="NEW"),"",INDEX(B1143:B$2,-1+SUMPRODUCT(MAX(ROW(E1143:E$2)*(E1144=E1143:E$2)))))</f>
        <v> </v>
      </c>
      <c r="J1144" s="26" t="str">
        <f>IF(OR(E1144="",E1144="!!!",F1144="NEW"),"",COUNTBLANK(OFFSET(A$1,,,SUMPRODUCT(MAX(ROW(E$2:E1144)*(E1144=E$2:E1144)))))-COUNTBLANK(OFFSET(A$1,,,SUMPRODUCT(MAX(ROW(E$1:E1143)*(E2=E$1:E1143))))))</f>
        <v> </v>
      </c>
      <c r="K1144" s="26" t="str">
        <f>IF(OR(E1144="",E1144="!!!",F1144="NEW"),"",INDEX(J$1:J1143,SUMPRODUCT(MAX(ROW(E$1:E1143)*(E1144=E$1:E1143)))))</f>
        <v> </v>
      </c>
      <c r="L1144" s="27"/>
    </row>
    <row r="1145" spans="1:12">
      <c r="A1145" s="20" t="s">
        <v>1030</v>
      </c>
      <c r="E1145" s="22">
        <f>IF(D1145="?OLD","!!!","")</f>
        <v/>
      </c>
      <c r="F1145" s="23" t="str">
        <f>IF(OR(E1145="",E1145="!!!"),"",IF(NOT(ISNA(VLOOKUP(E1145,E$1:E1144,1,FALSE()))),"OLD",IF(AND(E1145&lt;&gt;"",E1145&lt;&gt;"!!!"),"NEW","")))</f>
        <v> </v>
      </c>
      <c r="G1145" s="24" t="str">
        <f>IF(OR(E1145="",E1145="!!!"),"",IF(OR(J1145=0,AND(J1145=1,K1145=1),AND(J1145=1,I1145="SBJ"),AND(J1145=1,I1145=0)),"?IN_FOCUS",IF(J1145&lt;=2,"?ACTIVATED",IF(J1145&lt;&gt;"","?FAMILIAR",IF(F1145="NEW",IF(ISNA(VLOOKUP(E1145,#REF!,1,FALSE())),"?TYPE_IDENTIFIABLE","?REFERENTIAL"),"_")))))</f>
        <v> </v>
      </c>
      <c r="H1145" s="25" t="str">
        <f>IF(J1145&lt;&gt;1,"",IF(I1145="SBJ","CB","?"))</f>
        <v> </v>
      </c>
      <c r="I1145" s="26" t="str">
        <f>IF(OR(E1145="",E1145="!!!",F1145="NEW"),"",INDEX(B1144:B$2,-1+SUMPRODUCT(MAX(ROW(E1144:E$2)*(E1145=E1144:E$2)))))</f>
        <v> </v>
      </c>
      <c r="J1145" s="26" t="str">
        <f>IF(OR(E1145="",E1145="!!!",F1145="NEW"),"",COUNTBLANK(OFFSET(A$1,,,SUMPRODUCT(MAX(ROW(E$2:E1145)*(E1145=E$2:E1145)))))-COUNTBLANK(OFFSET(A$1,,,SUMPRODUCT(MAX(ROW(E$1:E1144)*(E2=E$1:E1144))))))</f>
        <v> </v>
      </c>
      <c r="K1145" s="26" t="str">
        <f>IF(OR(E1145="",E1145="!!!",F1145="NEW"),"",INDEX(J$1:J1144,SUMPRODUCT(MAX(ROW(E$1:E1144)*(E1145=E$1:E1144)))))</f>
        <v> </v>
      </c>
      <c r="L1145" s="27"/>
    </row>
    <row r="1146" spans="1:12">
      <c r="A1146" s="20" t="s">
        <v>1466</v>
      </c>
      <c r="B1146" s="21" t="s">
        <v>1022</v>
      </c>
      <c r="C1146" s="21" t="s">
        <v>1048</v>
      </c>
      <c r="E1146" s="22">
        <f>IF(D1146="?OLD","!!!","")</f>
        <v/>
      </c>
      <c r="F1146" s="23" t="str">
        <f>IF(OR(E1146="",E1146="!!!"),"",IF(NOT(ISNA(VLOOKUP(E1146,E$1:E1145,1,FALSE()))),"OLD",IF(AND(E1146&lt;&gt;"",E1146&lt;&gt;"!!!"),"NEW","")))</f>
        <v> </v>
      </c>
      <c r="G1146" s="24" t="str">
        <f>IF(OR(E1146="",E1146="!!!"),"",IF(OR(J1146=0,AND(J1146=1,K1146=1),AND(J1146=1,I1146="SBJ"),AND(J1146=1,I1146=0)),"?IN_FOCUS",IF(J1146&lt;=2,"?ACTIVATED",IF(J1146&lt;&gt;"","?FAMILIAR",IF(F1146="NEW",IF(ISNA(VLOOKUP(E1146,#REF!,1,FALSE())),"?TYPE_IDENTIFIABLE","?REFERENTIAL"),"_")))))</f>
        <v> </v>
      </c>
      <c r="H1146" s="25" t="str">
        <f>IF(J1146&lt;&gt;1,"",IF(I1146="SBJ","CB","?"))</f>
        <v> </v>
      </c>
      <c r="I1146" s="26" t="str">
        <f>IF(OR(E1146="",E1146="!!!",F1146="NEW"),"",INDEX(B1145:B$2,-1+SUMPRODUCT(MAX(ROW(E1145:E$2)*(E1146=E1145:E$2)))))</f>
        <v> </v>
      </c>
      <c r="J1146" s="26" t="str">
        <f>IF(OR(E1146="",E1146="!!!",F1146="NEW"),"",COUNTBLANK(OFFSET(A$1,,,SUMPRODUCT(MAX(ROW(E$2:E1146)*(E1146=E$2:E1146)))))-COUNTBLANK(OFFSET(A$1,,,SUMPRODUCT(MAX(ROW(E$1:E1145)*(E2=E$1:E1145))))))</f>
        <v> </v>
      </c>
      <c r="K1146" s="26" t="str">
        <f>IF(OR(E1146="",E1146="!!!",F1146="NEW"),"",INDEX(J$1:J1145,SUMPRODUCT(MAX(ROW(E$1:E1145)*(E1146=E$1:E1145)))))</f>
        <v> </v>
      </c>
      <c r="L1146" s="27"/>
    </row>
    <row r="1147" spans="1:12">
      <c r="A1147" s="20" t="s">
        <v>1020</v>
      </c>
      <c r="E1147" s="22">
        <f>IF(D1147="?OLD","!!!","")</f>
        <v/>
      </c>
      <c r="F1147" s="23" t="str">
        <f>IF(OR(E1147="",E1147="!!!"),"",IF(NOT(ISNA(VLOOKUP(E1147,E$1:E1146,1,FALSE()))),"OLD",IF(AND(E1147&lt;&gt;"",E1147&lt;&gt;"!!!"),"NEW","")))</f>
        <v> </v>
      </c>
      <c r="G1147" s="24" t="str">
        <f>IF(OR(E1147="",E1147="!!!"),"",IF(OR(J1147=0,AND(J1147=1,K1147=1),AND(J1147=1,I1147="SBJ"),AND(J1147=1,I1147=0)),"?IN_FOCUS",IF(J1147&lt;=2,"?ACTIVATED",IF(J1147&lt;&gt;"","?FAMILIAR",IF(F1147="NEW",IF(ISNA(VLOOKUP(E1147,#REF!,1,FALSE())),"?TYPE_IDENTIFIABLE","?REFERENTIAL"),"_")))))</f>
        <v> </v>
      </c>
      <c r="H1147" s="25" t="str">
        <f>IF(J1147&lt;&gt;1,"",IF(I1147="SBJ","CB","?"))</f>
        <v> </v>
      </c>
      <c r="I1147" s="26" t="str">
        <f>IF(OR(E1147="",E1147="!!!",F1147="NEW"),"",INDEX(B1146:B$2,-1+SUMPRODUCT(MAX(ROW(E1146:E$2)*(E1147=E1146:E$2)))))</f>
        <v> </v>
      </c>
      <c r="J1147" s="26" t="str">
        <f>IF(OR(E1147="",E1147="!!!",F1147="NEW"),"",COUNTBLANK(OFFSET(A$1,,,SUMPRODUCT(MAX(ROW(E$2:E1147)*(E1147=E$2:E1147)))))-COUNTBLANK(OFFSET(A$1,,,SUMPRODUCT(MAX(ROW(E$1:E1146)*(E2=E$1:E1146))))))</f>
        <v> </v>
      </c>
      <c r="K1147" s="26" t="str">
        <f>IF(OR(E1147="",E1147="!!!",F1147="NEW"),"",INDEX(J$1:J1146,SUMPRODUCT(MAX(ROW(E$1:E1146)*(E1147=E$1:E1146)))))</f>
        <v> </v>
      </c>
      <c r="L1147" s="27"/>
    </row>
    <row r="1148" spans="1:12">
      <c r="A1148" s="20" t="s">
        <v>1020</v>
      </c>
      <c r="E1148" s="22">
        <f>IF(D1148="?OLD","!!!","")</f>
        <v/>
      </c>
      <c r="F1148" s="23" t="str">
        <f>IF(OR(E1148="",E1148="!!!"),"",IF(NOT(ISNA(VLOOKUP(E1148,E$1:E1147,1,FALSE()))),"OLD",IF(AND(E1148&lt;&gt;"",E1148&lt;&gt;"!!!"),"NEW","")))</f>
        <v> </v>
      </c>
      <c r="G1148" s="24" t="str">
        <f>IF(OR(E1148="",E1148="!!!"),"",IF(OR(J1148=0,AND(J1148=1,K1148=1),AND(J1148=1,I1148="SBJ"),AND(J1148=1,I1148=0)),"?IN_FOCUS",IF(J1148&lt;=2,"?ACTIVATED",IF(J1148&lt;&gt;"","?FAMILIAR",IF(F1148="NEW",IF(ISNA(VLOOKUP(E1148,#REF!,1,FALSE())),"?TYPE_IDENTIFIABLE","?REFERENTIAL"),"_")))))</f>
        <v> </v>
      </c>
      <c r="H1148" s="25" t="str">
        <f>IF(J1148&lt;&gt;1,"",IF(I1148="SBJ","CB","?"))</f>
        <v> </v>
      </c>
      <c r="I1148" s="26" t="str">
        <f>IF(OR(E1148="",E1148="!!!",F1148="NEW"),"",INDEX(B1147:B$2,-1+SUMPRODUCT(MAX(ROW(E1147:E$2)*(E1148=E1147:E$2)))))</f>
        <v> </v>
      </c>
      <c r="J1148" s="26" t="str">
        <f>IF(OR(E1148="",E1148="!!!",F1148="NEW"),"",COUNTBLANK(OFFSET(A$1,,,SUMPRODUCT(MAX(ROW(E$2:E1148)*(E1148=E$2:E1148)))))-COUNTBLANK(OFFSET(A$1,,,SUMPRODUCT(MAX(ROW(E$1:E1147)*(E2=E$1:E1147))))))</f>
        <v> </v>
      </c>
      <c r="K1148" s="26" t="str">
        <f>IF(OR(E1148="",E1148="!!!",F1148="NEW"),"",INDEX(J$1:J1147,SUMPRODUCT(MAX(ROW(E$1:E1147)*(E1148=E$1:E1147)))))</f>
        <v> </v>
      </c>
      <c r="L1148" s="27"/>
    </row>
    <row r="1149" spans="1:12">
      <c r="A1149" s="20" t="s">
        <v>1473</v>
      </c>
      <c r="B1149" s="21" t="s">
        <v>1022</v>
      </c>
      <c r="C1149" s="21" t="s">
        <v>1017</v>
      </c>
      <c r="D1149" s="21" t="s">
        <v>1007</v>
      </c>
      <c r="E1149" s="22">
        <f>IF(D1149="?OLD","!!!","")</f>
        <v/>
      </c>
      <c r="F1149" s="23" t="str">
        <f>IF(OR(E1149="",E1149="!!!"),"",IF(NOT(ISNA(VLOOKUP(E1149,E$1:E1148,1,FALSE()))),"OLD",IF(AND(E1149&lt;&gt;"",E1149&lt;&gt;"!!!"),"NEW","")))</f>
        <v> </v>
      </c>
      <c r="G1149" s="24" t="str">
        <f>IF(OR(E1149="",E1149="!!!"),"",IF(OR(J1149=0,AND(J1149=1,K1149=1),AND(J1149=1,I1149="SBJ"),AND(J1149=1,I1149=0)),"?IN_FOCUS",IF(J1149&lt;=2,"?ACTIVATED",IF(J1149&lt;&gt;"","?FAMILIAR",IF(F1149="NEW",IF(ISNA(VLOOKUP(E1149,#REF!,1,FALSE())),"?TYPE_IDENTIFIABLE","?REFERENTIAL"),"_")))))</f>
        <v> </v>
      </c>
      <c r="H1149" s="25" t="str">
        <f>IF(J1149&lt;&gt;1,"",IF(I1149="SBJ","CB","?"))</f>
        <v> </v>
      </c>
      <c r="I1149" s="26" t="str">
        <f>IF(OR(E1149="",E1149="!!!",F1149="NEW"),"",INDEX(B1148:B$2,-1+SUMPRODUCT(MAX(ROW(E1148:E$2)*(E1149=E1148:E$2)))))</f>
        <v> </v>
      </c>
      <c r="J1149" s="26" t="str">
        <f>IF(OR(E1149="",E1149="!!!",F1149="NEW"),"",COUNTBLANK(OFFSET(A$1,,,SUMPRODUCT(MAX(ROW(E$2:E1149)*(E1149=E$2:E1149)))))-COUNTBLANK(OFFSET(A$1,,,SUMPRODUCT(MAX(ROW(E$1:E1148)*(E2=E$1:E1148))))))</f>
        <v> </v>
      </c>
      <c r="K1149" s="26" t="str">
        <f>IF(OR(E1149="",E1149="!!!",F1149="NEW"),"",INDEX(J$1:J1148,SUMPRODUCT(MAX(ROW(E$1:E1148)*(E1149=E$1:E1148)))))</f>
        <v> </v>
      </c>
      <c r="L1149" s="27"/>
    </row>
    <row r="1150" spans="1:12">
      <c r="A1150" s="20" t="s">
        <v>1474</v>
      </c>
      <c r="E1150" s="22">
        <f>IF(D1150="?OLD","!!!","")</f>
        <v/>
      </c>
      <c r="F1150" s="23" t="str">
        <f>IF(OR(E1150="",E1150="!!!"),"",IF(NOT(ISNA(VLOOKUP(E1150,E$1:E1149,1,FALSE()))),"OLD",IF(AND(E1150&lt;&gt;"",E1150&lt;&gt;"!!!"),"NEW","")))</f>
        <v> </v>
      </c>
      <c r="G1150" s="24" t="str">
        <f>IF(OR(E1150="",E1150="!!!"),"",IF(OR(J1150=0,AND(J1150=1,K1150=1),AND(J1150=1,I1150="SBJ"),AND(J1150=1,I1150=0)),"?IN_FOCUS",IF(J1150&lt;=2,"?ACTIVATED",IF(J1150&lt;&gt;"","?FAMILIAR",IF(F1150="NEW",IF(ISNA(VLOOKUP(E1150,#REF!,1,FALSE())),"?TYPE_IDENTIFIABLE","?REFERENTIAL"),"_")))))</f>
        <v> </v>
      </c>
      <c r="H1150" s="25" t="str">
        <f>IF(J1150&lt;&gt;1,"",IF(I1150="SBJ","CB","?"))</f>
        <v> </v>
      </c>
      <c r="I1150" s="26" t="str">
        <f>IF(OR(E1150="",E1150="!!!",F1150="NEW"),"",INDEX(B1149:B$2,-1+SUMPRODUCT(MAX(ROW(E1149:E$2)*(E1150=E1149:E$2)))))</f>
        <v> </v>
      </c>
      <c r="J1150" s="26" t="str">
        <f>IF(OR(E1150="",E1150="!!!",F1150="NEW"),"",COUNTBLANK(OFFSET(A$1,,,SUMPRODUCT(MAX(ROW(E$2:E1150)*(E1150=E$2:E1150)))))-COUNTBLANK(OFFSET(A$1,,,SUMPRODUCT(MAX(ROW(E$1:E1149)*(E2=E$1:E1149))))))</f>
        <v> </v>
      </c>
      <c r="K1150" s="26" t="str">
        <f>IF(OR(E1150="",E1150="!!!",F1150="NEW"),"",INDEX(J$1:J1149,SUMPRODUCT(MAX(ROW(E$1:E1149)*(E1150=E$1:E1149)))))</f>
        <v> </v>
      </c>
      <c r="L1150" s="27"/>
    </row>
    <row r="1151" spans="1:12">
      <c r="A1151" s="20" t="s">
        <v>1023</v>
      </c>
      <c r="E1151" s="22">
        <f>IF(D1151="?OLD","!!!","")</f>
        <v/>
      </c>
      <c r="F1151" s="23" t="str">
        <f>IF(OR(E1151="",E1151="!!!"),"",IF(NOT(ISNA(VLOOKUP(E1151,E$1:E1150,1,FALSE()))),"OLD",IF(AND(E1151&lt;&gt;"",E1151&lt;&gt;"!!!"),"NEW","")))</f>
        <v> </v>
      </c>
      <c r="G1151" s="24" t="str">
        <f>IF(OR(E1151="",E1151="!!!"),"",IF(OR(J1151=0,AND(J1151=1,K1151=1),AND(J1151=1,I1151="SBJ"),AND(J1151=1,I1151=0)),"?IN_FOCUS",IF(J1151&lt;=2,"?ACTIVATED",IF(J1151&lt;&gt;"","?FAMILIAR",IF(F1151="NEW",IF(ISNA(VLOOKUP(E1151,#REF!,1,FALSE())),"?TYPE_IDENTIFIABLE","?REFERENTIAL"),"_")))))</f>
        <v> </v>
      </c>
      <c r="H1151" s="25" t="str">
        <f>IF(J1151&lt;&gt;1,"",IF(I1151="SBJ","CB","?"))</f>
        <v> </v>
      </c>
      <c r="I1151" s="26" t="str">
        <f>IF(OR(E1151="",E1151="!!!",F1151="NEW"),"",INDEX(B1150:B$2,-1+SUMPRODUCT(MAX(ROW(E1150:E$2)*(E1151=E1150:E$2)))))</f>
        <v> </v>
      </c>
      <c r="J1151" s="26" t="str">
        <f>IF(OR(E1151="",E1151="!!!",F1151="NEW"),"",COUNTBLANK(OFFSET(A$1,,,SUMPRODUCT(MAX(ROW(E$2:E1151)*(E1151=E$2:E1151)))))-COUNTBLANK(OFFSET(A$1,,,SUMPRODUCT(MAX(ROW(E$1:E1150)*(E2=E$1:E1150))))))</f>
        <v> </v>
      </c>
      <c r="K1151" s="26" t="str">
        <f>IF(OR(E1151="",E1151="!!!",F1151="NEW"),"",INDEX(J$1:J1150,SUMPRODUCT(MAX(ROW(E$1:E1150)*(E1151=E$1:E1150)))))</f>
        <v> </v>
      </c>
      <c r="L1151" s="27"/>
    </row>
    <row r="1152" spans="1:12">
      <c r="A1152" s="20"/>
    </row>
    <row r="1153" spans="1:12">
      <c r="A1153" s="20" t="s">
        <v>1475</v>
      </c>
    </row>
    <row r="1154" spans="1:12">
      <c r="A1154" s="20" t="s">
        <v>1175</v>
      </c>
      <c r="E1154" s="22">
        <f>IF(D1154="?OLD","!!!","")</f>
        <v/>
      </c>
      <c r="F1154" s="23" t="str">
        <f>IF(OR(E1154="",E1154="!!!"),"",IF(NOT(ISNA(VLOOKUP(E1154,E$1:E1153,1,FALSE()))),"OLD",IF(AND(E1154&lt;&gt;"",E1154&lt;&gt;"!!!"),"NEW","")))</f>
        <v> </v>
      </c>
      <c r="G1154" s="24" t="str">
        <f>IF(OR(E1154="",E1154="!!!"),"",IF(OR(J1154=0,AND(J1154=1,K1154=1),AND(J1154=1,I1154="SBJ"),AND(J1154=1,I1154=0)),"?IN_FOCUS",IF(J1154&lt;=2,"?ACTIVATED",IF(J1154&lt;&gt;"","?FAMILIAR",IF(F1154="NEW",IF(ISNA(VLOOKUP(E1154,#REF!,1,FALSE())),"?TYPE_IDENTIFIABLE","?REFERENTIAL"),"_")))))</f>
        <v> </v>
      </c>
      <c r="H1154" s="25" t="str">
        <f>IF(J1154&lt;&gt;1,"",IF(I1154="SBJ","CB","?"))</f>
        <v> </v>
      </c>
      <c r="I1154" s="26" t="str">
        <f>IF(OR(E1154="",E1154="!!!",F1154="NEW"),"",INDEX(B1153:B$2,-1+SUMPRODUCT(MAX(ROW(E1153:E$2)*(E1154=E1153:E$2)))))</f>
        <v> </v>
      </c>
      <c r="J1154" s="26" t="str">
        <f>IF(OR(E1154="",E1154="!!!",F1154="NEW"),"",COUNTBLANK(OFFSET(A$1,,,SUMPRODUCT(MAX(ROW(E$2:E1154)*(E1154=E$2:E1154)))))-COUNTBLANK(OFFSET(A$1,,,SUMPRODUCT(MAX(ROW(E$1:E1153)*(E2=E$1:E1153))))))</f>
        <v> </v>
      </c>
      <c r="K1154" s="26" t="str">
        <f>IF(OR(E1154="",E1154="!!!",F1154="NEW"),"",INDEX(J$1:J1153,SUMPRODUCT(MAX(ROW(E$1:E1153)*(E1154=E$1:E1153)))))</f>
        <v> </v>
      </c>
      <c r="L1154" s="27"/>
    </row>
    <row r="1155" spans="1:12">
      <c r="A1155" s="20" t="s">
        <v>1324</v>
      </c>
      <c r="E1155" s="22">
        <f>IF(D1155="?OLD","!!!","")</f>
        <v/>
      </c>
      <c r="F1155" s="23" t="str">
        <f>IF(OR(E1155="",E1155="!!!"),"",IF(NOT(ISNA(VLOOKUP(E1155,E$1:E1154,1,FALSE()))),"OLD",IF(AND(E1155&lt;&gt;"",E1155&lt;&gt;"!!!"),"NEW","")))</f>
        <v> </v>
      </c>
      <c r="G1155" s="24" t="str">
        <f>IF(OR(E1155="",E1155="!!!"),"",IF(OR(J1155=0,AND(J1155=1,K1155=1),AND(J1155=1,I1155="SBJ"),AND(J1155=1,I1155=0)),"?IN_FOCUS",IF(J1155&lt;=2,"?ACTIVATED",IF(J1155&lt;&gt;"","?FAMILIAR",IF(F1155="NEW",IF(ISNA(VLOOKUP(E1155,#REF!,1,FALSE())),"?TYPE_IDENTIFIABLE","?REFERENTIAL"),"_")))))</f>
        <v> </v>
      </c>
      <c r="H1155" s="25" t="str">
        <f>IF(J1155&lt;&gt;1,"",IF(I1155="SBJ","CB","?"))</f>
        <v> </v>
      </c>
      <c r="I1155" s="26" t="str">
        <f>IF(OR(E1155="",E1155="!!!",F1155="NEW"),"",INDEX(B1154:B$2,-1+SUMPRODUCT(MAX(ROW(E1154:E$2)*(E1155=E1154:E$2)))))</f>
        <v> </v>
      </c>
      <c r="J1155" s="26" t="str">
        <f>IF(OR(E1155="",E1155="!!!",F1155="NEW"),"",COUNTBLANK(OFFSET(A$1,,,SUMPRODUCT(MAX(ROW(E$2:E1155)*(E1155=E$2:E1155)))))-COUNTBLANK(OFFSET(A$1,,,SUMPRODUCT(MAX(ROW(E$1:E1154)*(E2=E$1:E1154))))))</f>
        <v> </v>
      </c>
      <c r="K1155" s="26" t="str">
        <f>IF(OR(E1155="",E1155="!!!",F1155="NEW"),"",INDEX(J$1:J1154,SUMPRODUCT(MAX(ROW(E$1:E1154)*(E1155=E$1:E1154)))))</f>
        <v> </v>
      </c>
      <c r="L1155" s="27"/>
    </row>
    <row r="1156" spans="1:12">
      <c r="A1156" s="20" t="s">
        <v>193</v>
      </c>
      <c r="B1156" s="21" t="s">
        <v>1005</v>
      </c>
      <c r="C1156" s="21" t="s">
        <v>1111</v>
      </c>
      <c r="E1156" s="22">
        <f>IF(D1156="?OLD","!!!","")</f>
        <v/>
      </c>
      <c r="F1156" s="23" t="str">
        <f>IF(OR(E1156="",E1156="!!!"),"",IF(NOT(ISNA(VLOOKUP(E1156,E$1:E1155,1,FALSE()))),"OLD",IF(AND(E1156&lt;&gt;"",E1156&lt;&gt;"!!!"),"NEW","")))</f>
        <v> </v>
      </c>
      <c r="G1156" s="24" t="str">
        <f>IF(OR(E1156="",E1156="!!!"),"",IF(OR(J1156=0,AND(J1156=1,K1156=1),AND(J1156=1,I1156="SBJ"),AND(J1156=1,I1156=0)),"?IN_FOCUS",IF(J1156&lt;=2,"?ACTIVATED",IF(J1156&lt;&gt;"","?FAMILIAR",IF(F1156="NEW",IF(ISNA(VLOOKUP(E1156,#REF!,1,FALSE())),"?TYPE_IDENTIFIABLE","?REFERENTIAL"),"_")))))</f>
        <v> </v>
      </c>
      <c r="H1156" s="25" t="str">
        <f>IF(J1156&lt;&gt;1,"",IF(I1156="SBJ","CB","?"))</f>
        <v> </v>
      </c>
      <c r="I1156" s="26" t="str">
        <f>IF(OR(E1156="",E1156="!!!",F1156="NEW"),"",INDEX(B1155:B$2,-1+SUMPRODUCT(MAX(ROW(E1155:E$2)*(E1156=E1155:E$2)))))</f>
        <v> </v>
      </c>
      <c r="J1156" s="26" t="str">
        <f>IF(OR(E1156="",E1156="!!!",F1156="NEW"),"",COUNTBLANK(OFFSET(A$1,,,SUMPRODUCT(MAX(ROW(E$2:E1156)*(E1156=E$2:E1156)))))-COUNTBLANK(OFFSET(A$1,,,SUMPRODUCT(MAX(ROW(E$1:E1155)*(E2=E$1:E1155))))))</f>
        <v> </v>
      </c>
      <c r="K1156" s="26" t="str">
        <f>IF(OR(E1156="",E1156="!!!",F1156="NEW"),"",INDEX(J$1:J1155,SUMPRODUCT(MAX(ROW(E$1:E1155)*(E1156=E$1:E1155)))))</f>
        <v> </v>
      </c>
      <c r="L1156" s="27"/>
    </row>
    <row r="1157" spans="1:12">
      <c r="A1157" s="20" t="s">
        <v>1065</v>
      </c>
      <c r="B1157" s="21" t="s">
        <v>1119</v>
      </c>
      <c r="E1157" s="22">
        <f>IF(D1157="?OLD","!!!","")</f>
        <v/>
      </c>
      <c r="F1157" s="23" t="str">
        <f>IF(OR(E1157="",E1157="!!!"),"",IF(NOT(ISNA(VLOOKUP(E1157,E$1:E1156,1,FALSE()))),"OLD",IF(AND(E1157&lt;&gt;"",E1157&lt;&gt;"!!!"),"NEW","")))</f>
        <v> </v>
      </c>
      <c r="G1157" s="24" t="str">
        <f>IF(OR(E1157="",E1157="!!!"),"",IF(OR(J1157=0,AND(J1157=1,K1157=1),AND(J1157=1,I1157="SBJ"),AND(J1157=1,I1157=0)),"?IN_FOCUS",IF(J1157&lt;=2,"?ACTIVATED",IF(J1157&lt;&gt;"","?FAMILIAR",IF(F1157="NEW",IF(ISNA(VLOOKUP(E1157,#REF!,1,FALSE())),"?TYPE_IDENTIFIABLE","?REFERENTIAL"),"_")))))</f>
        <v> </v>
      </c>
      <c r="H1157" s="25" t="str">
        <f>IF(J1157&lt;&gt;1,"",IF(I1157="SBJ","CB","?"))</f>
        <v> </v>
      </c>
      <c r="I1157" s="26" t="str">
        <f>IF(OR(E1157="",E1157="!!!",F1157="NEW"),"",INDEX(B1156:B$2,-1+SUMPRODUCT(MAX(ROW(E1156:E$2)*(E1157=E1156:E$2)))))</f>
        <v> </v>
      </c>
      <c r="J1157" s="26" t="str">
        <f>IF(OR(E1157="",E1157="!!!",F1157="NEW"),"",COUNTBLANK(OFFSET(A$1,,,SUMPRODUCT(MAX(ROW(E$2:E1157)*(E1157=E$2:E1157)))))-COUNTBLANK(OFFSET(A$1,,,SUMPRODUCT(MAX(ROW(E$1:E1156)*(E2=E$1:E1156))))))</f>
        <v> </v>
      </c>
      <c r="K1157" s="26" t="str">
        <f>IF(OR(E1157="",E1157="!!!",F1157="NEW"),"",INDEX(J$1:J1156,SUMPRODUCT(MAX(ROW(E$1:E1156)*(E1157=E$1:E1156)))))</f>
        <v> </v>
      </c>
      <c r="L1157" s="27"/>
    </row>
    <row r="1158" spans="1:12">
      <c r="A1158" s="20" t="s">
        <v>1178</v>
      </c>
      <c r="E1158" s="22">
        <f>IF(D1158="?OLD","!!!","")</f>
        <v/>
      </c>
      <c r="F1158" s="23" t="str">
        <f>IF(OR(E1158="",E1158="!!!"),"",IF(NOT(ISNA(VLOOKUP(E1158,E$1:E1157,1,FALSE()))),"OLD",IF(AND(E1158&lt;&gt;"",E1158&lt;&gt;"!!!"),"NEW","")))</f>
        <v> </v>
      </c>
      <c r="G1158" s="24" t="str">
        <f>IF(OR(E1158="",E1158="!!!"),"",IF(OR(J1158=0,AND(J1158=1,K1158=1),AND(J1158=1,I1158="SBJ"),AND(J1158=1,I1158=0)),"?IN_FOCUS",IF(J1158&lt;=2,"?ACTIVATED",IF(J1158&lt;&gt;"","?FAMILIAR",IF(F1158="NEW",IF(ISNA(VLOOKUP(E1158,#REF!,1,FALSE())),"?TYPE_IDENTIFIABLE","?REFERENTIAL"),"_")))))</f>
        <v> </v>
      </c>
      <c r="H1158" s="25" t="str">
        <f>IF(J1158&lt;&gt;1,"",IF(I1158="SBJ","CB","?"))</f>
        <v> </v>
      </c>
      <c r="I1158" s="26" t="str">
        <f>IF(OR(E1158="",E1158="!!!",F1158="NEW"),"",INDEX(B1157:B$2,-1+SUMPRODUCT(MAX(ROW(E1157:E$2)*(E1158=E1157:E$2)))))</f>
        <v> </v>
      </c>
      <c r="J1158" s="26" t="str">
        <f>IF(OR(E1158="",E1158="!!!",F1158="NEW"),"",COUNTBLANK(OFFSET(A$1,,,SUMPRODUCT(MAX(ROW(E$2:E1158)*(E1158=E$2:E1158)))))-COUNTBLANK(OFFSET(A$1,,,SUMPRODUCT(MAX(ROW(E$1:E1157)*(E2=E$1:E1157))))))</f>
        <v> </v>
      </c>
      <c r="K1158" s="26" t="str">
        <f>IF(OR(E1158="",E1158="!!!",F1158="NEW"),"",INDEX(J$1:J1157,SUMPRODUCT(MAX(ROW(E$1:E1157)*(E1158=E$1:E1157)))))</f>
        <v> </v>
      </c>
      <c r="L1158" s="27"/>
    </row>
    <row r="1159" spans="1:12">
      <c r="A1159" s="20" t="s">
        <v>1179</v>
      </c>
      <c r="E1159" s="22">
        <f>IF(D1159="?OLD","!!!","")</f>
        <v/>
      </c>
      <c r="F1159" s="23" t="str">
        <f>IF(OR(E1159="",E1159="!!!"),"",IF(NOT(ISNA(VLOOKUP(E1159,E$1:E1158,1,FALSE()))),"OLD",IF(AND(E1159&lt;&gt;"",E1159&lt;&gt;"!!!"),"NEW","")))</f>
        <v> </v>
      </c>
      <c r="G1159" s="24" t="str">
        <f>IF(OR(E1159="",E1159="!!!"),"",IF(OR(J1159=0,AND(J1159=1,K1159=1),AND(J1159=1,I1159="SBJ"),AND(J1159=1,I1159=0)),"?IN_FOCUS",IF(J1159&lt;=2,"?ACTIVATED",IF(J1159&lt;&gt;"","?FAMILIAR",IF(F1159="NEW",IF(ISNA(VLOOKUP(E1159,#REF!,1,FALSE())),"?TYPE_IDENTIFIABLE","?REFERENTIAL"),"_")))))</f>
        <v> </v>
      </c>
      <c r="H1159" s="25" t="str">
        <f>IF(J1159&lt;&gt;1,"",IF(I1159="SBJ","CB","?"))</f>
        <v> </v>
      </c>
      <c r="I1159" s="26" t="str">
        <f>IF(OR(E1159="",E1159="!!!",F1159="NEW"),"",INDEX(B1158:B$2,-1+SUMPRODUCT(MAX(ROW(E1158:E$2)*(E1159=E1158:E$2)))))</f>
        <v> </v>
      </c>
      <c r="J1159" s="26" t="str">
        <f>IF(OR(E1159="",E1159="!!!",F1159="NEW"),"",COUNTBLANK(OFFSET(A$1,,,SUMPRODUCT(MAX(ROW(E$2:E1159)*(E1159=E$2:E1159)))))-COUNTBLANK(OFFSET(A$1,,,SUMPRODUCT(MAX(ROW(E$1:E1158)*(E2=E$1:E1158))))))</f>
        <v> </v>
      </c>
      <c r="K1159" s="26" t="str">
        <f>IF(OR(E1159="",E1159="!!!",F1159="NEW"),"",INDEX(J$1:J1158,SUMPRODUCT(MAX(ROW(E$1:E1158)*(E1159=E$1:E1158)))))</f>
        <v> </v>
      </c>
      <c r="L1159" s="27"/>
    </row>
    <row r="1160" spans="1:12">
      <c r="A1160" s="20" t="s">
        <v>1018</v>
      </c>
      <c r="E1160" s="22">
        <f>IF(D1160="?OLD","!!!","")</f>
        <v/>
      </c>
      <c r="F1160" s="23" t="str">
        <f>IF(OR(E1160="",E1160="!!!"),"",IF(NOT(ISNA(VLOOKUP(E1160,E$1:E1159,1,FALSE()))),"OLD",IF(AND(E1160&lt;&gt;"",E1160&lt;&gt;"!!!"),"NEW","")))</f>
        <v> </v>
      </c>
      <c r="G1160" s="24" t="str">
        <f>IF(OR(E1160="",E1160="!!!"),"",IF(OR(J1160=0,AND(J1160=1,K1160=1),AND(J1160=1,I1160="SBJ"),AND(J1160=1,I1160=0)),"?IN_FOCUS",IF(J1160&lt;=2,"?ACTIVATED",IF(J1160&lt;&gt;"","?FAMILIAR",IF(F1160="NEW",IF(ISNA(VLOOKUP(E1160,#REF!,1,FALSE())),"?TYPE_IDENTIFIABLE","?REFERENTIAL"),"_")))))</f>
        <v> </v>
      </c>
      <c r="H1160" s="25" t="str">
        <f>IF(J1160&lt;&gt;1,"",IF(I1160="SBJ","CB","?"))</f>
        <v> </v>
      </c>
      <c r="I1160" s="26" t="str">
        <f>IF(OR(E1160="",E1160="!!!",F1160="NEW"),"",INDEX(B1159:B$2,-1+SUMPRODUCT(MAX(ROW(E1159:E$2)*(E1160=E1159:E$2)))))</f>
        <v> </v>
      </c>
      <c r="J1160" s="26" t="str">
        <f>IF(OR(E1160="",E1160="!!!",F1160="NEW"),"",COUNTBLANK(OFFSET(A$1,,,SUMPRODUCT(MAX(ROW(E$2:E1160)*(E1160=E$2:E1160)))))-COUNTBLANK(OFFSET(A$1,,,SUMPRODUCT(MAX(ROW(E$1:E1159)*(E2=E$1:E1159))))))</f>
        <v> </v>
      </c>
      <c r="K1160" s="26" t="str">
        <f>IF(OR(E1160="",E1160="!!!",F1160="NEW"),"",INDEX(J$1:J1159,SUMPRODUCT(MAX(ROW(E$1:E1159)*(E1160=E$1:E1159)))))</f>
        <v> </v>
      </c>
      <c r="L1160" s="27"/>
    </row>
    <row r="1161" spans="1:12">
      <c r="A1161" s="20" t="s">
        <v>1324</v>
      </c>
      <c r="E1161" s="22">
        <f>IF(D1161="?OLD","!!!","")</f>
        <v/>
      </c>
      <c r="F1161" s="23" t="str">
        <f>IF(OR(E1161="",E1161="!!!"),"",IF(NOT(ISNA(VLOOKUP(E1161,E$1:E1160,1,FALSE()))),"OLD",IF(AND(E1161&lt;&gt;"",E1161&lt;&gt;"!!!"),"NEW","")))</f>
        <v> </v>
      </c>
      <c r="G1161" s="24" t="str">
        <f>IF(OR(E1161="",E1161="!!!"),"",IF(OR(J1161=0,AND(J1161=1,K1161=1),AND(J1161=1,I1161="SBJ"),AND(J1161=1,I1161=0)),"?IN_FOCUS",IF(J1161&lt;=2,"?ACTIVATED",IF(J1161&lt;&gt;"","?FAMILIAR",IF(F1161="NEW",IF(ISNA(VLOOKUP(E1161,#REF!,1,FALSE())),"?TYPE_IDENTIFIABLE","?REFERENTIAL"),"_")))))</f>
        <v> </v>
      </c>
      <c r="H1161" s="25" t="str">
        <f>IF(J1161&lt;&gt;1,"",IF(I1161="SBJ","CB","?"))</f>
        <v> </v>
      </c>
      <c r="I1161" s="26" t="str">
        <f>IF(OR(E1161="",E1161="!!!",F1161="NEW"),"",INDEX(B1160:B$2,-1+SUMPRODUCT(MAX(ROW(E1160:E$2)*(E1161=E1160:E$2)))))</f>
        <v> </v>
      </c>
      <c r="J1161" s="26" t="str">
        <f>IF(OR(E1161="",E1161="!!!",F1161="NEW"),"",COUNTBLANK(OFFSET(A$1,,,SUMPRODUCT(MAX(ROW(E$2:E1161)*(E1161=E$2:E1161)))))-COUNTBLANK(OFFSET(A$1,,,SUMPRODUCT(MAX(ROW(E$1:E1160)*(E2=E$1:E1160))))))</f>
        <v> </v>
      </c>
      <c r="K1161" s="26" t="str">
        <f>IF(OR(E1161="",E1161="!!!",F1161="NEW"),"",INDEX(J$1:J1160,SUMPRODUCT(MAX(ROW(E$1:E1160)*(E1161=E$1:E1160)))))</f>
        <v> </v>
      </c>
      <c r="L1161" s="27"/>
    </row>
    <row r="1162" spans="1:12">
      <c r="A1162" s="20" t="s">
        <v>193</v>
      </c>
      <c r="B1162" s="21" t="s">
        <v>1005</v>
      </c>
      <c r="C1162" s="21" t="s">
        <v>1013</v>
      </c>
      <c r="D1162" s="21" t="s">
        <v>1007</v>
      </c>
      <c r="E1162" s="22">
        <f>IF(D1162="?OLD","!!!","")</f>
        <v/>
      </c>
      <c r="F1162" s="23" t="str">
        <f>IF(OR(E1162="",E1162="!!!"),"",IF(NOT(ISNA(VLOOKUP(E1162,E$1:E1161,1,FALSE()))),"OLD",IF(AND(E1162&lt;&gt;"",E1162&lt;&gt;"!!!"),"NEW","")))</f>
        <v> </v>
      </c>
      <c r="G1162" s="24" t="str">
        <f>IF(OR(E1162="",E1162="!!!"),"",IF(OR(J1162=0,AND(J1162=1,K1162=1),AND(J1162=1,I1162="SBJ"),AND(J1162=1,I1162=0)),"?IN_FOCUS",IF(J1162&lt;=2,"?ACTIVATED",IF(J1162&lt;&gt;"","?FAMILIAR",IF(F1162="NEW",IF(ISNA(VLOOKUP(E1162,#REF!,1,FALSE())),"?TYPE_IDENTIFIABLE","?REFERENTIAL"),"_")))))</f>
        <v> </v>
      </c>
      <c r="H1162" s="25" t="str">
        <f>IF(J1162&lt;&gt;1,"",IF(I1162="SBJ","CB","?"))</f>
        <v> </v>
      </c>
      <c r="I1162" s="26" t="str">
        <f>IF(OR(E1162="",E1162="!!!",F1162="NEW"),"",INDEX(B1161:B$2,-1+SUMPRODUCT(MAX(ROW(E1161:E$2)*(E1162=E1161:E$2)))))</f>
        <v> </v>
      </c>
      <c r="J1162" s="26" t="str">
        <f>IF(OR(E1162="",E1162="!!!",F1162="NEW"),"",COUNTBLANK(OFFSET(A$1,,,SUMPRODUCT(MAX(ROW(E$2:E1162)*(E1162=E$2:E1162)))))-COUNTBLANK(OFFSET(A$1,,,SUMPRODUCT(MAX(ROW(E$1:E1161)*(E2=E$1:E1161))))))</f>
        <v> </v>
      </c>
      <c r="K1162" s="26" t="str">
        <f>IF(OR(E1162="",E1162="!!!",F1162="NEW"),"",INDEX(J$1:J1161,SUMPRODUCT(MAX(ROW(E$1:E1161)*(E1162=E$1:E1161)))))</f>
        <v> </v>
      </c>
      <c r="L1162" s="27"/>
    </row>
    <row r="1163" spans="1:12">
      <c r="A1163" s="20" t="s">
        <v>1127</v>
      </c>
      <c r="E1163" s="22">
        <f>IF(D1163="?OLD","!!!","")</f>
        <v/>
      </c>
      <c r="F1163" s="23" t="str">
        <f>IF(OR(E1163="",E1163="!!!"),"",IF(NOT(ISNA(VLOOKUP(E1163,E$1:E1162,1,FALSE()))),"OLD",IF(AND(E1163&lt;&gt;"",E1163&lt;&gt;"!!!"),"NEW","")))</f>
        <v> </v>
      </c>
      <c r="G1163" s="24" t="str">
        <f>IF(OR(E1163="",E1163="!!!"),"",IF(OR(J1163=0,AND(J1163=1,K1163=1),AND(J1163=1,I1163="SBJ"),AND(J1163=1,I1163=0)),"?IN_FOCUS",IF(J1163&lt;=2,"?ACTIVATED",IF(J1163&lt;&gt;"","?FAMILIAR",IF(F1163="NEW",IF(ISNA(VLOOKUP(E1163,#REF!,1,FALSE())),"?TYPE_IDENTIFIABLE","?REFERENTIAL"),"_")))))</f>
        <v> </v>
      </c>
      <c r="H1163" s="25" t="str">
        <f>IF(J1163&lt;&gt;1,"",IF(I1163="SBJ","CB","?"))</f>
        <v> </v>
      </c>
      <c r="I1163" s="26" t="str">
        <f>IF(OR(E1163="",E1163="!!!",F1163="NEW"),"",INDEX(B1162:B$2,-1+SUMPRODUCT(MAX(ROW(E1162:E$2)*(E1163=E1162:E$2)))))</f>
        <v> </v>
      </c>
      <c r="J1163" s="26" t="str">
        <f>IF(OR(E1163="",E1163="!!!",F1163="NEW"),"",COUNTBLANK(OFFSET(A$1,,,SUMPRODUCT(MAX(ROW(E$2:E1163)*(E1163=E$2:E1163)))))-COUNTBLANK(OFFSET(A$1,,,SUMPRODUCT(MAX(ROW(E$1:E1162)*(E2=E$1:E1162))))))</f>
        <v> </v>
      </c>
      <c r="K1163" s="26" t="str">
        <f>IF(OR(E1163="",E1163="!!!",F1163="NEW"),"",INDEX(J$1:J1162,SUMPRODUCT(MAX(ROW(E$1:E1162)*(E1163=E$1:E1162)))))</f>
        <v> </v>
      </c>
      <c r="L1163" s="27"/>
    </row>
    <row r="1164" spans="1:12">
      <c r="A1164" s="20" t="s">
        <v>102</v>
      </c>
      <c r="E1164" s="22">
        <f>IF(D1164="?OLD","!!!","")</f>
        <v/>
      </c>
      <c r="F1164" s="23" t="str">
        <f>IF(OR(E1164="",E1164="!!!"),"",IF(NOT(ISNA(VLOOKUP(E1164,E$1:E1163,1,FALSE()))),"OLD",IF(AND(E1164&lt;&gt;"",E1164&lt;&gt;"!!!"),"NEW","")))</f>
        <v> </v>
      </c>
      <c r="G1164" s="24" t="str">
        <f>IF(OR(E1164="",E1164="!!!"),"",IF(OR(J1164=0,AND(J1164=1,K1164=1),AND(J1164=1,I1164="SBJ"),AND(J1164=1,I1164=0)),"?IN_FOCUS",IF(J1164&lt;=2,"?ACTIVATED",IF(J1164&lt;&gt;"","?FAMILIAR",IF(F1164="NEW",IF(ISNA(VLOOKUP(E1164,#REF!,1,FALSE())),"?TYPE_IDENTIFIABLE","?REFERENTIAL"),"_")))))</f>
        <v> </v>
      </c>
      <c r="H1164" s="25" t="str">
        <f>IF(J1164&lt;&gt;1,"",IF(I1164="SBJ","CB","?"))</f>
        <v> </v>
      </c>
      <c r="I1164" s="26" t="str">
        <f>IF(OR(E1164="",E1164="!!!",F1164="NEW"),"",INDEX(B1163:B$2,-1+SUMPRODUCT(MAX(ROW(E1163:E$2)*(E1164=E1163:E$2)))))</f>
        <v> </v>
      </c>
      <c r="J1164" s="26" t="str">
        <f>IF(OR(E1164="",E1164="!!!",F1164="NEW"),"",COUNTBLANK(OFFSET(A$1,,,SUMPRODUCT(MAX(ROW(E$2:E1164)*(E1164=E$2:E1164)))))-COUNTBLANK(OFFSET(A$1,,,SUMPRODUCT(MAX(ROW(E$1:E1163)*(E2=E$1:E1163))))))</f>
        <v> </v>
      </c>
      <c r="K1164" s="26" t="str">
        <f>IF(OR(E1164="",E1164="!!!",F1164="NEW"),"",INDEX(J$1:J1163,SUMPRODUCT(MAX(ROW(E$1:E1163)*(E1164=E$1:E1163)))))</f>
        <v> </v>
      </c>
      <c r="L1164" s="27"/>
    </row>
    <row r="1165" spans="1:12">
      <c r="A1165" s="20" t="s">
        <v>1391</v>
      </c>
      <c r="B1165" s="21" t="s">
        <v>1022</v>
      </c>
      <c r="C1165" s="21" t="s">
        <v>1017</v>
      </c>
      <c r="D1165" s="21" t="s">
        <v>1007</v>
      </c>
      <c r="E1165" s="22">
        <f>IF(D1165="?OLD","!!!","")</f>
        <v/>
      </c>
      <c r="F1165" s="23" t="str">
        <f>IF(OR(E1165="",E1165="!!!"),"",IF(NOT(ISNA(VLOOKUP(E1165,E$1:E1164,1,FALSE()))),"OLD",IF(AND(E1165&lt;&gt;"",E1165&lt;&gt;"!!!"),"NEW","")))</f>
        <v> </v>
      </c>
      <c r="G1165" s="24" t="str">
        <f>IF(OR(E1165="",E1165="!!!"),"",IF(OR(J1165=0,AND(J1165=1,K1165=1),AND(J1165=1,I1165="SBJ"),AND(J1165=1,I1165=0)),"?IN_FOCUS",IF(J1165&lt;=2,"?ACTIVATED",IF(J1165&lt;&gt;"","?FAMILIAR",IF(F1165="NEW",IF(ISNA(VLOOKUP(E1165,#REF!,1,FALSE())),"?TYPE_IDENTIFIABLE","?REFERENTIAL"),"_")))))</f>
        <v> </v>
      </c>
      <c r="H1165" s="25" t="str">
        <f>IF(J1165&lt;&gt;1,"",IF(I1165="SBJ","CB","?"))</f>
        <v> </v>
      </c>
      <c r="I1165" s="26" t="str">
        <f>IF(OR(E1165="",E1165="!!!",F1165="NEW"),"",INDEX(B1164:B$2,-1+SUMPRODUCT(MAX(ROW(E1164:E$2)*(E1165=E1164:E$2)))))</f>
        <v> </v>
      </c>
      <c r="J1165" s="26" t="str">
        <f>IF(OR(E1165="",E1165="!!!",F1165="NEW"),"",COUNTBLANK(OFFSET(A$1,,,SUMPRODUCT(MAX(ROW(E$2:E1165)*(E1165=E$2:E1165)))))-COUNTBLANK(OFFSET(A$1,,,SUMPRODUCT(MAX(ROW(E$1:E1164)*(E2=E$1:E1164))))))</f>
        <v> </v>
      </c>
      <c r="K1165" s="26" t="str">
        <f>IF(OR(E1165="",E1165="!!!",F1165="NEW"),"",INDEX(J$1:J1164,SUMPRODUCT(MAX(ROW(E$1:E1164)*(E1165=E$1:E1164)))))</f>
        <v> </v>
      </c>
      <c r="L1165" s="27"/>
    </row>
    <row r="1166" spans="1:12">
      <c r="A1166" s="20" t="s">
        <v>1392</v>
      </c>
      <c r="B1166" s="21" t="s">
        <v>1033</v>
      </c>
      <c r="C1166" s="21" t="s">
        <v>1006</v>
      </c>
      <c r="D1166" s="21" t="s">
        <v>1007</v>
      </c>
      <c r="E1166" s="22">
        <f>IF(D1166="?OLD","!!!","")</f>
        <v/>
      </c>
      <c r="F1166" s="23" t="str">
        <f>IF(OR(E1166="",E1166="!!!"),"",IF(NOT(ISNA(VLOOKUP(E1166,E$1:E1165,1,FALSE()))),"OLD",IF(AND(E1166&lt;&gt;"",E1166&lt;&gt;"!!!"),"NEW","")))</f>
        <v> </v>
      </c>
      <c r="G1166" s="24" t="str">
        <f>IF(OR(E1166="",E1166="!!!"),"",IF(OR(J1166=0,AND(J1166=1,K1166=1),AND(J1166=1,I1166="SBJ"),AND(J1166=1,I1166=0)),"?IN_FOCUS",IF(J1166&lt;=2,"?ACTIVATED",IF(J1166&lt;&gt;"","?FAMILIAR",IF(F1166="NEW",IF(ISNA(VLOOKUP(E1166,#REF!,1,FALSE())),"?TYPE_IDENTIFIABLE","?REFERENTIAL"),"_")))))</f>
        <v> </v>
      </c>
      <c r="H1166" s="25" t="str">
        <f>IF(J1166&lt;&gt;1,"",IF(I1166="SBJ","CB","?"))</f>
        <v> </v>
      </c>
      <c r="I1166" s="26" t="str">
        <f>IF(OR(E1166="",E1166="!!!",F1166="NEW"),"",INDEX(B1165:B$2,-1+SUMPRODUCT(MAX(ROW(E1165:E$2)*(E1166=E1165:E$2)))))</f>
        <v> </v>
      </c>
      <c r="J1166" s="26" t="str">
        <f>IF(OR(E1166="",E1166="!!!",F1166="NEW"),"",COUNTBLANK(OFFSET(A$1,,,SUMPRODUCT(MAX(ROW(E$2:E1166)*(E1166=E$2:E1166)))))-COUNTBLANK(OFFSET(A$1,,,SUMPRODUCT(MAX(ROW(E$1:E1165)*(E2=E$1:E1165))))))</f>
        <v> </v>
      </c>
      <c r="K1166" s="26" t="str">
        <f>IF(OR(E1166="",E1166="!!!",F1166="NEW"),"",INDEX(J$1:J1165,SUMPRODUCT(MAX(ROW(E$1:E1165)*(E1166=E$1:E1165)))))</f>
        <v> </v>
      </c>
      <c r="L1166" s="27"/>
    </row>
    <row r="1167" spans="1:12">
      <c r="A1167" s="20" t="s">
        <v>1018</v>
      </c>
      <c r="E1167" s="22">
        <f>IF(D1167="?OLD","!!!","")</f>
        <v/>
      </c>
      <c r="F1167" s="23" t="str">
        <f>IF(OR(E1167="",E1167="!!!"),"",IF(NOT(ISNA(VLOOKUP(E1167,E$1:E1166,1,FALSE()))),"OLD",IF(AND(E1167&lt;&gt;"",E1167&lt;&gt;"!!!"),"NEW","")))</f>
        <v> </v>
      </c>
      <c r="G1167" s="24" t="str">
        <f>IF(OR(E1167="",E1167="!!!"),"",IF(OR(J1167=0,AND(J1167=1,K1167=1),AND(J1167=1,I1167="SBJ"),AND(J1167=1,I1167=0)),"?IN_FOCUS",IF(J1167&lt;=2,"?ACTIVATED",IF(J1167&lt;&gt;"","?FAMILIAR",IF(F1167="NEW",IF(ISNA(VLOOKUP(E1167,#REF!,1,FALSE())),"?TYPE_IDENTIFIABLE","?REFERENTIAL"),"_")))))</f>
        <v> </v>
      </c>
      <c r="H1167" s="25" t="str">
        <f>IF(J1167&lt;&gt;1,"",IF(I1167="SBJ","CB","?"))</f>
        <v> </v>
      </c>
      <c r="I1167" s="26" t="str">
        <f>IF(OR(E1167="",E1167="!!!",F1167="NEW"),"",INDEX(B1166:B$2,-1+SUMPRODUCT(MAX(ROW(E1166:E$2)*(E1167=E1166:E$2)))))</f>
        <v> </v>
      </c>
      <c r="J1167" s="26" t="str">
        <f>IF(OR(E1167="",E1167="!!!",F1167="NEW"),"",COUNTBLANK(OFFSET(A$1,,,SUMPRODUCT(MAX(ROW(E$2:E1167)*(E1167=E$2:E1167)))))-COUNTBLANK(OFFSET(A$1,,,SUMPRODUCT(MAX(ROW(E$1:E1166)*(E2=E$1:E1166))))))</f>
        <v> </v>
      </c>
      <c r="K1167" s="26" t="str">
        <f>IF(OR(E1167="",E1167="!!!",F1167="NEW"),"",INDEX(J$1:J1166,SUMPRODUCT(MAX(ROW(E$1:E1166)*(E1167=E$1:E1166)))))</f>
        <v> </v>
      </c>
      <c r="L1167" s="27"/>
    </row>
    <row r="1168" spans="1:12">
      <c r="A1168" s="20" t="s">
        <v>1065</v>
      </c>
      <c r="B1168" s="21" t="s">
        <v>1120</v>
      </c>
      <c r="E1168" s="22">
        <f>IF(D1168="?OLD","!!!","")</f>
        <v/>
      </c>
      <c r="F1168" s="23" t="str">
        <f>IF(OR(E1168="",E1168="!!!"),"",IF(NOT(ISNA(VLOOKUP(E1168,E$1:E1167,1,FALSE()))),"OLD",IF(AND(E1168&lt;&gt;"",E1168&lt;&gt;"!!!"),"NEW","")))</f>
        <v> </v>
      </c>
      <c r="G1168" s="24" t="str">
        <f>IF(OR(E1168="",E1168="!!!"),"",IF(OR(J1168=0,AND(J1168=1,K1168=1),AND(J1168=1,I1168="SBJ"),AND(J1168=1,I1168=0)),"?IN_FOCUS",IF(J1168&lt;=2,"?ACTIVATED",IF(J1168&lt;&gt;"","?FAMILIAR",IF(F1168="NEW",IF(ISNA(VLOOKUP(E1168,#REF!,1,FALSE())),"?TYPE_IDENTIFIABLE","?REFERENTIAL"),"_")))))</f>
        <v> </v>
      </c>
      <c r="H1168" s="25" t="str">
        <f>IF(J1168&lt;&gt;1,"",IF(I1168="SBJ","CB","?"))</f>
        <v> </v>
      </c>
      <c r="I1168" s="26" t="str">
        <f>IF(OR(E1168="",E1168="!!!",F1168="NEW"),"",INDEX(B1167:B$2,-1+SUMPRODUCT(MAX(ROW(E1167:E$2)*(E1168=E1167:E$2)))))</f>
        <v> </v>
      </c>
      <c r="J1168" s="26" t="str">
        <f>IF(OR(E1168="",E1168="!!!",F1168="NEW"),"",COUNTBLANK(OFFSET(A$1,,,SUMPRODUCT(MAX(ROW(E$2:E1168)*(E1168=E$2:E1168)))))-COUNTBLANK(OFFSET(A$1,,,SUMPRODUCT(MAX(ROW(E$1:E1167)*(E2=E$1:E1167))))))</f>
        <v> </v>
      </c>
      <c r="K1168" s="26" t="str">
        <f>IF(OR(E1168="",E1168="!!!",F1168="NEW"),"",INDEX(J$1:J1167,SUMPRODUCT(MAX(ROW(E$1:E1167)*(E1168=E$1:E1167)))))</f>
        <v> </v>
      </c>
      <c r="L1168" s="27"/>
    </row>
    <row r="1169" spans="1:12">
      <c r="A1169" s="20" t="s">
        <v>1476</v>
      </c>
      <c r="E1169" s="22">
        <f>IF(D1169="?OLD","!!!","")</f>
        <v/>
      </c>
      <c r="F1169" s="23" t="str">
        <f>IF(OR(E1169="",E1169="!!!"),"",IF(NOT(ISNA(VLOOKUP(E1169,E$1:E1168,1,FALSE()))),"OLD",IF(AND(E1169&lt;&gt;"",E1169&lt;&gt;"!!!"),"NEW","")))</f>
        <v> </v>
      </c>
      <c r="G1169" s="24" t="str">
        <f>IF(OR(E1169="",E1169="!!!"),"",IF(OR(J1169=0,AND(J1169=1,K1169=1),AND(J1169=1,I1169="SBJ"),AND(J1169=1,I1169=0)),"?IN_FOCUS",IF(J1169&lt;=2,"?ACTIVATED",IF(J1169&lt;&gt;"","?FAMILIAR",IF(F1169="NEW",IF(ISNA(VLOOKUP(E1169,#REF!,1,FALSE())),"?TYPE_IDENTIFIABLE","?REFERENTIAL"),"_")))))</f>
        <v> </v>
      </c>
      <c r="H1169" s="25" t="str">
        <f>IF(J1169&lt;&gt;1,"",IF(I1169="SBJ","CB","?"))</f>
        <v> </v>
      </c>
      <c r="I1169" s="26" t="str">
        <f>IF(OR(E1169="",E1169="!!!",F1169="NEW"),"",INDEX(B1168:B$2,-1+SUMPRODUCT(MAX(ROW(E1168:E$2)*(E1169=E1168:E$2)))))</f>
        <v> </v>
      </c>
      <c r="J1169" s="26" t="str">
        <f>IF(OR(E1169="",E1169="!!!",F1169="NEW"),"",COUNTBLANK(OFFSET(A$1,,,SUMPRODUCT(MAX(ROW(E$2:E1169)*(E1169=E$2:E1169)))))-COUNTBLANK(OFFSET(A$1,,,SUMPRODUCT(MAX(ROW(E$1:E1168)*(E2=E$1:E1168))))))</f>
        <v> </v>
      </c>
      <c r="K1169" s="26" t="str">
        <f>IF(OR(E1169="",E1169="!!!",F1169="NEW"),"",INDEX(J$1:J1168,SUMPRODUCT(MAX(ROW(E$1:E1168)*(E1169=E$1:E1168)))))</f>
        <v> </v>
      </c>
      <c r="L1169" s="27"/>
    </row>
    <row r="1170" spans="1:12">
      <c r="A1170" s="20" t="s">
        <v>1133</v>
      </c>
      <c r="B1170" s="21" t="s">
        <v>1064</v>
      </c>
      <c r="C1170" s="21" t="s">
        <v>1082</v>
      </c>
      <c r="D1170" s="21" t="s">
        <v>1007</v>
      </c>
      <c r="E1170" s="22">
        <f>IF(D1170="?OLD","!!!","")</f>
        <v/>
      </c>
      <c r="F1170" s="23" t="str">
        <f>IF(OR(E1170="",E1170="!!!"),"",IF(NOT(ISNA(VLOOKUP(E1170,E$1:E1169,1,FALSE()))),"OLD",IF(AND(E1170&lt;&gt;"",E1170&lt;&gt;"!!!"),"NEW","")))</f>
        <v> </v>
      </c>
      <c r="G1170" s="24" t="str">
        <f>IF(OR(E1170="",E1170="!!!"),"",IF(OR(J1170=0,AND(J1170=1,K1170=1),AND(J1170=1,I1170="SBJ"),AND(J1170=1,I1170=0)),"?IN_FOCUS",IF(J1170&lt;=2,"?ACTIVATED",IF(J1170&lt;&gt;"","?FAMILIAR",IF(F1170="NEW",IF(ISNA(VLOOKUP(E1170,#REF!,1,FALSE())),"?TYPE_IDENTIFIABLE","?REFERENTIAL"),"_")))))</f>
        <v> </v>
      </c>
      <c r="H1170" s="25" t="str">
        <f>IF(J1170&lt;&gt;1,"",IF(I1170="SBJ","CB","?"))</f>
        <v> </v>
      </c>
      <c r="I1170" s="26" t="str">
        <f>IF(OR(E1170="",E1170="!!!",F1170="NEW"),"",INDEX(B1169:B$2,-1+SUMPRODUCT(MAX(ROW(E1169:E$2)*(E1170=E1169:E$2)))))</f>
        <v> </v>
      </c>
      <c r="J1170" s="26" t="str">
        <f>IF(OR(E1170="",E1170="!!!",F1170="NEW"),"",COUNTBLANK(OFFSET(A$1,,,SUMPRODUCT(MAX(ROW(E$2:E1170)*(E1170=E$2:E1170)))))-COUNTBLANK(OFFSET(A$1,,,SUMPRODUCT(MAX(ROW(E$1:E1169)*(E2=E$1:E1169))))))</f>
        <v> </v>
      </c>
      <c r="K1170" s="26" t="str">
        <f>IF(OR(E1170="",E1170="!!!",F1170="NEW"),"",INDEX(J$1:J1169,SUMPRODUCT(MAX(ROW(E$1:E1169)*(E1170=E$1:E1169)))))</f>
        <v> </v>
      </c>
      <c r="L1170" s="27"/>
    </row>
    <row r="1171" spans="1:12">
      <c r="A1171" s="20" t="s">
        <v>1477</v>
      </c>
      <c r="E1171" s="22">
        <f>IF(D1171="?OLD","!!!","")</f>
        <v/>
      </c>
      <c r="F1171" s="23" t="str">
        <f>IF(OR(E1171="",E1171="!!!"),"",IF(NOT(ISNA(VLOOKUP(E1171,E$1:E1170,1,FALSE()))),"OLD",IF(AND(E1171&lt;&gt;"",E1171&lt;&gt;"!!!"),"NEW","")))</f>
        <v> </v>
      </c>
      <c r="G1171" s="24" t="str">
        <f>IF(OR(E1171="",E1171="!!!"),"",IF(OR(J1171=0,AND(J1171=1,K1171=1),AND(J1171=1,I1171="SBJ"),AND(J1171=1,I1171=0)),"?IN_FOCUS",IF(J1171&lt;=2,"?ACTIVATED",IF(J1171&lt;&gt;"","?FAMILIAR",IF(F1171="NEW",IF(ISNA(VLOOKUP(E1171,#REF!,1,FALSE())),"?TYPE_IDENTIFIABLE","?REFERENTIAL"),"_")))))</f>
        <v> </v>
      </c>
      <c r="H1171" s="25" t="str">
        <f>IF(J1171&lt;&gt;1,"",IF(I1171="SBJ","CB","?"))</f>
        <v> </v>
      </c>
      <c r="I1171" s="26" t="str">
        <f>IF(OR(E1171="",E1171="!!!",F1171="NEW"),"",INDEX(B1170:B$2,-1+SUMPRODUCT(MAX(ROW(E1170:E$2)*(E1171=E1170:E$2)))))</f>
        <v> </v>
      </c>
      <c r="J1171" s="26" t="str">
        <f>IF(OR(E1171="",E1171="!!!",F1171="NEW"),"",COUNTBLANK(OFFSET(A$1,,,SUMPRODUCT(MAX(ROW(E$2:E1171)*(E1171=E$2:E1171)))))-COUNTBLANK(OFFSET(A$1,,,SUMPRODUCT(MAX(ROW(E$1:E1170)*(E2=E$1:E1170))))))</f>
        <v> </v>
      </c>
      <c r="K1171" s="26" t="str">
        <f>IF(OR(E1171="",E1171="!!!",F1171="NEW"),"",INDEX(J$1:J1170,SUMPRODUCT(MAX(ROW(E$1:E1170)*(E1171=E$1:E1170)))))</f>
        <v> </v>
      </c>
      <c r="L1171" s="27"/>
    </row>
    <row r="1172" spans="1:12">
      <c r="A1172" s="20" t="s">
        <v>1018</v>
      </c>
      <c r="E1172" s="22">
        <f>IF(D1172="?OLD","!!!","")</f>
        <v/>
      </c>
      <c r="F1172" s="23" t="str">
        <f>IF(OR(E1172="",E1172="!!!"),"",IF(NOT(ISNA(VLOOKUP(E1172,E$1:E1171,1,FALSE()))),"OLD",IF(AND(E1172&lt;&gt;"",E1172&lt;&gt;"!!!"),"NEW","")))</f>
        <v> </v>
      </c>
      <c r="G1172" s="24" t="str">
        <f>IF(OR(E1172="",E1172="!!!"),"",IF(OR(J1172=0,AND(J1172=1,K1172=1),AND(J1172=1,I1172="SBJ"),AND(J1172=1,I1172=0)),"?IN_FOCUS",IF(J1172&lt;=2,"?ACTIVATED",IF(J1172&lt;&gt;"","?FAMILIAR",IF(F1172="NEW",IF(ISNA(VLOOKUP(E1172,#REF!,1,FALSE())),"?TYPE_IDENTIFIABLE","?REFERENTIAL"),"_")))))</f>
        <v> </v>
      </c>
      <c r="H1172" s="25" t="str">
        <f>IF(J1172&lt;&gt;1,"",IF(I1172="SBJ","CB","?"))</f>
        <v> </v>
      </c>
      <c r="I1172" s="26" t="str">
        <f>IF(OR(E1172="",E1172="!!!",F1172="NEW"),"",INDEX(B1171:B$2,-1+SUMPRODUCT(MAX(ROW(E1171:E$2)*(E1172=E1171:E$2)))))</f>
        <v> </v>
      </c>
      <c r="J1172" s="26" t="str">
        <f>IF(OR(E1172="",E1172="!!!",F1172="NEW"),"",COUNTBLANK(OFFSET(A$1,,,SUMPRODUCT(MAX(ROW(E$2:E1172)*(E1172=E$2:E1172)))))-COUNTBLANK(OFFSET(A$1,,,SUMPRODUCT(MAX(ROW(E$1:E1171)*(E2=E$1:E1171))))))</f>
        <v> </v>
      </c>
      <c r="K1172" s="26" t="str">
        <f>IF(OR(E1172="",E1172="!!!",F1172="NEW"),"",INDEX(J$1:J1171,SUMPRODUCT(MAX(ROW(E$1:E1171)*(E1172=E$1:E1171)))))</f>
        <v> </v>
      </c>
      <c r="L1172" s="27"/>
    </row>
    <row r="1173" spans="1:12">
      <c r="A1173" s="20" t="s">
        <v>1203</v>
      </c>
      <c r="E1173" s="22">
        <f>IF(D1173="?OLD","!!!","")</f>
        <v/>
      </c>
      <c r="F1173" s="23" t="str">
        <f>IF(OR(E1173="",E1173="!!!"),"",IF(NOT(ISNA(VLOOKUP(E1173,E$1:E1172,1,FALSE()))),"OLD",IF(AND(E1173&lt;&gt;"",E1173&lt;&gt;"!!!"),"NEW","")))</f>
        <v> </v>
      </c>
      <c r="G1173" s="24" t="str">
        <f>IF(OR(E1173="",E1173="!!!"),"",IF(OR(J1173=0,AND(J1173=1,K1173=1),AND(J1173=1,I1173="SBJ"),AND(J1173=1,I1173=0)),"?IN_FOCUS",IF(J1173&lt;=2,"?ACTIVATED",IF(J1173&lt;&gt;"","?FAMILIAR",IF(F1173="NEW",IF(ISNA(VLOOKUP(E1173,#REF!,1,FALSE())),"?TYPE_IDENTIFIABLE","?REFERENTIAL"),"_")))))</f>
        <v> </v>
      </c>
      <c r="H1173" s="25" t="str">
        <f>IF(J1173&lt;&gt;1,"",IF(I1173="SBJ","CB","?"))</f>
        <v> </v>
      </c>
      <c r="I1173" s="26" t="str">
        <f>IF(OR(E1173="",E1173="!!!",F1173="NEW"),"",INDEX(B1172:B$2,-1+SUMPRODUCT(MAX(ROW(E1172:E$2)*(E1173=E1172:E$2)))))</f>
        <v> </v>
      </c>
      <c r="J1173" s="26" t="str">
        <f>IF(OR(E1173="",E1173="!!!",F1173="NEW"),"",COUNTBLANK(OFFSET(A$1,,,SUMPRODUCT(MAX(ROW(E$2:E1173)*(E1173=E$2:E1173)))))-COUNTBLANK(OFFSET(A$1,,,SUMPRODUCT(MAX(ROW(E$1:E1172)*(E2=E$1:E1172))))))</f>
        <v> </v>
      </c>
      <c r="K1173" s="26" t="str">
        <f>IF(OR(E1173="",E1173="!!!",F1173="NEW"),"",INDEX(J$1:J1172,SUMPRODUCT(MAX(ROW(E$1:E1172)*(E1173=E$1:E1172)))))</f>
        <v> </v>
      </c>
      <c r="L1173" s="27"/>
    </row>
    <row r="1174" spans="1:12">
      <c r="A1174" s="20" t="s">
        <v>1056</v>
      </c>
      <c r="E1174" s="22">
        <f>IF(D1174="?OLD","!!!","")</f>
        <v/>
      </c>
      <c r="F1174" s="23" t="str">
        <f>IF(OR(E1174="",E1174="!!!"),"",IF(NOT(ISNA(VLOOKUP(E1174,E$1:E1173,1,FALSE()))),"OLD",IF(AND(E1174&lt;&gt;"",E1174&lt;&gt;"!!!"),"NEW","")))</f>
        <v> </v>
      </c>
      <c r="G1174" s="24" t="str">
        <f>IF(OR(E1174="",E1174="!!!"),"",IF(OR(J1174=0,AND(J1174=1,K1174=1),AND(J1174=1,I1174="SBJ"),AND(J1174=1,I1174=0)),"?IN_FOCUS",IF(J1174&lt;=2,"?ACTIVATED",IF(J1174&lt;&gt;"","?FAMILIAR",IF(F1174="NEW",IF(ISNA(VLOOKUP(E1174,#REF!,1,FALSE())),"?TYPE_IDENTIFIABLE","?REFERENTIAL"),"_")))))</f>
        <v> </v>
      </c>
      <c r="H1174" s="25" t="str">
        <f>IF(J1174&lt;&gt;1,"",IF(I1174="SBJ","CB","?"))</f>
        <v> </v>
      </c>
      <c r="I1174" s="26" t="str">
        <f>IF(OR(E1174="",E1174="!!!",F1174="NEW"),"",INDEX(B1173:B$2,-1+SUMPRODUCT(MAX(ROW(E1173:E$2)*(E1174=E1173:E$2)))))</f>
        <v> </v>
      </c>
      <c r="J1174" s="26" t="str">
        <f>IF(OR(E1174="",E1174="!!!",F1174="NEW"),"",COUNTBLANK(OFFSET(A$1,,,SUMPRODUCT(MAX(ROW(E$2:E1174)*(E1174=E$2:E1174)))))-COUNTBLANK(OFFSET(A$1,,,SUMPRODUCT(MAX(ROW(E$1:E1173)*(E2=E$1:E1173))))))</f>
        <v> </v>
      </c>
      <c r="K1174" s="26" t="str">
        <f>IF(OR(E1174="",E1174="!!!",F1174="NEW"),"",INDEX(J$1:J1173,SUMPRODUCT(MAX(ROW(E$1:E1173)*(E1174=E$1:E1173)))))</f>
        <v> </v>
      </c>
      <c r="L1174" s="27"/>
    </row>
    <row r="1175" spans="1:12">
      <c r="A1175" s="20" t="s">
        <v>1478</v>
      </c>
      <c r="B1175" s="21" t="s">
        <v>1029</v>
      </c>
      <c r="C1175" s="21" t="s">
        <v>1013</v>
      </c>
      <c r="D1175" s="21" t="s">
        <v>1007</v>
      </c>
      <c r="E1175" s="22">
        <f>IF(D1175="?OLD","!!!","")</f>
        <v/>
      </c>
      <c r="F1175" s="23" t="str">
        <f>IF(OR(E1175="",E1175="!!!"),"",IF(NOT(ISNA(VLOOKUP(E1175,E$1:E1174,1,FALSE()))),"OLD",IF(AND(E1175&lt;&gt;"",E1175&lt;&gt;"!!!"),"NEW","")))</f>
        <v> </v>
      </c>
      <c r="G1175" s="24" t="str">
        <f>IF(OR(E1175="",E1175="!!!"),"",IF(OR(J1175=0,AND(J1175=1,K1175=1),AND(J1175=1,I1175="SBJ"),AND(J1175=1,I1175=0)),"?IN_FOCUS",IF(J1175&lt;=2,"?ACTIVATED",IF(J1175&lt;&gt;"","?FAMILIAR",IF(F1175="NEW",IF(ISNA(VLOOKUP(E1175,#REF!,1,FALSE())),"?TYPE_IDENTIFIABLE","?REFERENTIAL"),"_")))))</f>
        <v> </v>
      </c>
      <c r="H1175" s="25" t="str">
        <f>IF(J1175&lt;&gt;1,"",IF(I1175="SBJ","CB","?"))</f>
        <v> </v>
      </c>
      <c r="I1175" s="26" t="str">
        <f>IF(OR(E1175="",E1175="!!!",F1175="NEW"),"",INDEX(B1174:B$2,-1+SUMPRODUCT(MAX(ROW(E1174:E$2)*(E1175=E1174:E$2)))))</f>
        <v> </v>
      </c>
      <c r="J1175" s="26" t="str">
        <f>IF(OR(E1175="",E1175="!!!",F1175="NEW"),"",COUNTBLANK(OFFSET(A$1,,,SUMPRODUCT(MAX(ROW(E$2:E1175)*(E1175=E$2:E1175)))))-COUNTBLANK(OFFSET(A$1,,,SUMPRODUCT(MAX(ROW(E$1:E1174)*(E2=E$1:E1174))))))</f>
        <v> </v>
      </c>
      <c r="K1175" s="26" t="str">
        <f>IF(OR(E1175="",E1175="!!!",F1175="NEW"),"",INDEX(J$1:J1174,SUMPRODUCT(MAX(ROW(E$1:E1174)*(E1175=E$1:E1174)))))</f>
        <v> </v>
      </c>
      <c r="L1175" s="27"/>
    </row>
    <row r="1176" spans="1:12">
      <c r="A1176" s="20" t="s">
        <v>1479</v>
      </c>
      <c r="E1176" s="22">
        <f>IF(D1176="?OLD","!!!","")</f>
        <v/>
      </c>
      <c r="F1176" s="23" t="str">
        <f>IF(OR(E1176="",E1176="!!!"),"",IF(NOT(ISNA(VLOOKUP(E1176,E$1:E1175,1,FALSE()))),"OLD",IF(AND(E1176&lt;&gt;"",E1176&lt;&gt;"!!!"),"NEW","")))</f>
        <v> </v>
      </c>
      <c r="G1176" s="24" t="str">
        <f>IF(OR(E1176="",E1176="!!!"),"",IF(OR(J1176=0,AND(J1176=1,K1176=1),AND(J1176=1,I1176="SBJ"),AND(J1176=1,I1176=0)),"?IN_FOCUS",IF(J1176&lt;=2,"?ACTIVATED",IF(J1176&lt;&gt;"","?FAMILIAR",IF(F1176="NEW",IF(ISNA(VLOOKUP(E1176,#REF!,1,FALSE())),"?TYPE_IDENTIFIABLE","?REFERENTIAL"),"_")))))</f>
        <v> </v>
      </c>
      <c r="H1176" s="25" t="str">
        <f>IF(J1176&lt;&gt;1,"",IF(I1176="SBJ","CB","?"))</f>
        <v> </v>
      </c>
      <c r="I1176" s="26" t="str">
        <f>IF(OR(E1176="",E1176="!!!",F1176="NEW"),"",INDEX(B1175:B$2,-1+SUMPRODUCT(MAX(ROW(E1175:E$2)*(E1176=E1175:E$2)))))</f>
        <v> </v>
      </c>
      <c r="J1176" s="26" t="str">
        <f>IF(OR(E1176="",E1176="!!!",F1176="NEW"),"",COUNTBLANK(OFFSET(A$1,,,SUMPRODUCT(MAX(ROW(E$2:E1176)*(E1176=E$2:E1176)))))-COUNTBLANK(OFFSET(A$1,,,SUMPRODUCT(MAX(ROW(E$1:E1175)*(E2=E$1:E1175))))))</f>
        <v> </v>
      </c>
      <c r="K1176" s="26" t="str">
        <f>IF(OR(E1176="",E1176="!!!",F1176="NEW"),"",INDEX(J$1:J1175,SUMPRODUCT(MAX(ROW(E$1:E1175)*(E1176=E$1:E1175)))))</f>
        <v> </v>
      </c>
      <c r="L1176" s="27"/>
    </row>
    <row r="1177" spans="1:12">
      <c r="A1177" s="20" t="s">
        <v>1014</v>
      </c>
      <c r="E1177" s="22">
        <f>IF(D1177="?OLD","!!!","")</f>
        <v/>
      </c>
      <c r="F1177" s="23" t="str">
        <f>IF(OR(E1177="",E1177="!!!"),"",IF(NOT(ISNA(VLOOKUP(E1177,E$1:E1176,1,FALSE()))),"OLD",IF(AND(E1177&lt;&gt;"",E1177&lt;&gt;"!!!"),"NEW","")))</f>
        <v> </v>
      </c>
      <c r="G1177" s="24" t="str">
        <f>IF(OR(E1177="",E1177="!!!"),"",IF(OR(J1177=0,AND(J1177=1,K1177=1),AND(J1177=1,I1177="SBJ"),AND(J1177=1,I1177=0)),"?IN_FOCUS",IF(J1177&lt;=2,"?ACTIVATED",IF(J1177&lt;&gt;"","?FAMILIAR",IF(F1177="NEW",IF(ISNA(VLOOKUP(E1177,#REF!,1,FALSE())),"?TYPE_IDENTIFIABLE","?REFERENTIAL"),"_")))))</f>
        <v> </v>
      </c>
      <c r="H1177" s="25" t="str">
        <f>IF(J1177&lt;&gt;1,"",IF(I1177="SBJ","CB","?"))</f>
        <v> </v>
      </c>
      <c r="I1177" s="26" t="str">
        <f>IF(OR(E1177="",E1177="!!!",F1177="NEW"),"",INDEX(B1176:B$2,-1+SUMPRODUCT(MAX(ROW(E1176:E$2)*(E1177=E1176:E$2)))))</f>
        <v> </v>
      </c>
      <c r="J1177" s="26" t="str">
        <f>IF(OR(E1177="",E1177="!!!",F1177="NEW"),"",COUNTBLANK(OFFSET(A$1,,,SUMPRODUCT(MAX(ROW(E$2:E1177)*(E1177=E$2:E1177)))))-COUNTBLANK(OFFSET(A$1,,,SUMPRODUCT(MAX(ROW(E$1:E1176)*(E2=E$1:E1176))))))</f>
        <v> </v>
      </c>
      <c r="K1177" s="26" t="str">
        <f>IF(OR(E1177="",E1177="!!!",F1177="NEW"),"",INDEX(J$1:J1176,SUMPRODUCT(MAX(ROW(E$1:E1176)*(E1177=E$1:E1176)))))</f>
        <v> </v>
      </c>
      <c r="L1177" s="27"/>
    </row>
    <row r="1178" spans="1:12">
      <c r="A1178" s="20" t="s">
        <v>102</v>
      </c>
      <c r="E1178" s="22">
        <f>IF(D1178="?OLD","!!!","")</f>
        <v/>
      </c>
      <c r="F1178" s="23" t="str">
        <f>IF(OR(E1178="",E1178="!!!"),"",IF(NOT(ISNA(VLOOKUP(E1178,E$1:E1177,1,FALSE()))),"OLD",IF(AND(E1178&lt;&gt;"",E1178&lt;&gt;"!!!"),"NEW","")))</f>
        <v> </v>
      </c>
      <c r="G1178" s="24" t="str">
        <f>IF(OR(E1178="",E1178="!!!"),"",IF(OR(J1178=0,AND(J1178=1,K1178=1),AND(J1178=1,I1178="SBJ"),AND(J1178=1,I1178=0)),"?IN_FOCUS",IF(J1178&lt;=2,"?ACTIVATED",IF(J1178&lt;&gt;"","?FAMILIAR",IF(F1178="NEW",IF(ISNA(VLOOKUP(E1178,#REF!,1,FALSE())),"?TYPE_IDENTIFIABLE","?REFERENTIAL"),"_")))))</f>
        <v> </v>
      </c>
      <c r="H1178" s="25" t="str">
        <f>IF(J1178&lt;&gt;1,"",IF(I1178="SBJ","CB","?"))</f>
        <v> </v>
      </c>
      <c r="I1178" s="26" t="str">
        <f>IF(OR(E1178="",E1178="!!!",F1178="NEW"),"",INDEX(B1177:B$2,-1+SUMPRODUCT(MAX(ROW(E1177:E$2)*(E1178=E1177:E$2)))))</f>
        <v> </v>
      </c>
      <c r="J1178" s="26" t="str">
        <f>IF(OR(E1178="",E1178="!!!",F1178="NEW"),"",COUNTBLANK(OFFSET(A$1,,,SUMPRODUCT(MAX(ROW(E$2:E1178)*(E1178=E$2:E1178)))))-COUNTBLANK(OFFSET(A$1,,,SUMPRODUCT(MAX(ROW(E$1:E1177)*(E2=E$1:E1177))))))</f>
        <v> </v>
      </c>
      <c r="K1178" s="26" t="str">
        <f>IF(OR(E1178="",E1178="!!!",F1178="NEW"),"",INDEX(J$1:J1177,SUMPRODUCT(MAX(ROW(E$1:E1177)*(E1178=E$1:E1177)))))</f>
        <v> </v>
      </c>
      <c r="L1178" s="27"/>
    </row>
    <row r="1179" spans="1:12">
      <c r="A1179" s="20" t="s">
        <v>1168</v>
      </c>
      <c r="B1179" s="21" t="s">
        <v>1033</v>
      </c>
      <c r="C1179" s="21" t="s">
        <v>1013</v>
      </c>
      <c r="D1179" s="21" t="s">
        <v>1007</v>
      </c>
      <c r="E1179" s="22">
        <f>IF(D1179="?OLD","!!!","")</f>
        <v/>
      </c>
      <c r="F1179" s="23" t="str">
        <f>IF(OR(E1179="",E1179="!!!"),"",IF(NOT(ISNA(VLOOKUP(E1179,E$1:E1178,1,FALSE()))),"OLD",IF(AND(E1179&lt;&gt;"",E1179&lt;&gt;"!!!"),"NEW","")))</f>
        <v> </v>
      </c>
      <c r="G1179" s="24" t="str">
        <f>IF(OR(E1179="",E1179="!!!"),"",IF(OR(J1179=0,AND(J1179=1,K1179=1),AND(J1179=1,I1179="SBJ"),AND(J1179=1,I1179=0)),"?IN_FOCUS",IF(J1179&lt;=2,"?ACTIVATED",IF(J1179&lt;&gt;"","?FAMILIAR",IF(F1179="NEW",IF(ISNA(VLOOKUP(E1179,#REF!,1,FALSE())),"?TYPE_IDENTIFIABLE","?REFERENTIAL"),"_")))))</f>
        <v> </v>
      </c>
      <c r="H1179" s="25" t="str">
        <f>IF(J1179&lt;&gt;1,"",IF(I1179="SBJ","CB","?"))</f>
        <v> </v>
      </c>
      <c r="I1179" s="26" t="str">
        <f>IF(OR(E1179="",E1179="!!!",F1179="NEW"),"",INDEX(B1178:B$2,-1+SUMPRODUCT(MAX(ROW(E1178:E$2)*(E1179=E1178:E$2)))))</f>
        <v> </v>
      </c>
      <c r="J1179" s="26" t="str">
        <f>IF(OR(E1179="",E1179="!!!",F1179="NEW"),"",COUNTBLANK(OFFSET(A$1,,,SUMPRODUCT(MAX(ROW(E$2:E1179)*(E1179=E$2:E1179)))))-COUNTBLANK(OFFSET(A$1,,,SUMPRODUCT(MAX(ROW(E$1:E1178)*(E2=E$1:E1178))))))</f>
        <v> </v>
      </c>
      <c r="K1179" s="26" t="str">
        <f>IF(OR(E1179="",E1179="!!!",F1179="NEW"),"",INDEX(J$1:J1178,SUMPRODUCT(MAX(ROW(E$1:E1178)*(E1179=E$1:E1178)))))</f>
        <v> </v>
      </c>
      <c r="L1179" s="27"/>
    </row>
    <row r="1180" spans="1:12">
      <c r="A1180" s="20" t="s">
        <v>1014</v>
      </c>
      <c r="E1180" s="22">
        <f>IF(D1180="?OLD","!!!","")</f>
        <v/>
      </c>
      <c r="F1180" s="23" t="str">
        <f>IF(OR(E1180="",E1180="!!!"),"",IF(NOT(ISNA(VLOOKUP(E1180,E$1:E1179,1,FALSE()))),"OLD",IF(AND(E1180&lt;&gt;"",E1180&lt;&gt;"!!!"),"NEW","")))</f>
        <v> </v>
      </c>
      <c r="G1180" s="24" t="str">
        <f>IF(OR(E1180="",E1180="!!!"),"",IF(OR(J1180=0,AND(J1180=1,K1180=1),AND(J1180=1,I1180="SBJ"),AND(J1180=1,I1180=0)),"?IN_FOCUS",IF(J1180&lt;=2,"?ACTIVATED",IF(J1180&lt;&gt;"","?FAMILIAR",IF(F1180="NEW",IF(ISNA(VLOOKUP(E1180,#REF!,1,FALSE())),"?TYPE_IDENTIFIABLE","?REFERENTIAL"),"_")))))</f>
        <v> </v>
      </c>
      <c r="H1180" s="25" t="str">
        <f>IF(J1180&lt;&gt;1,"",IF(I1180="SBJ","CB","?"))</f>
        <v> </v>
      </c>
      <c r="I1180" s="26" t="str">
        <f>IF(OR(E1180="",E1180="!!!",F1180="NEW"),"",INDEX(B1179:B$2,-1+SUMPRODUCT(MAX(ROW(E1179:E$2)*(E1180=E1179:E$2)))))</f>
        <v> </v>
      </c>
      <c r="J1180" s="26" t="str">
        <f>IF(OR(E1180="",E1180="!!!",F1180="NEW"),"",COUNTBLANK(OFFSET(A$1,,,SUMPRODUCT(MAX(ROW(E$2:E1180)*(E1180=E$2:E1180)))))-COUNTBLANK(OFFSET(A$1,,,SUMPRODUCT(MAX(ROW(E$1:E1179)*(E2=E$1:E1179))))))</f>
        <v> </v>
      </c>
      <c r="K1180" s="26" t="str">
        <f>IF(OR(E1180="",E1180="!!!",F1180="NEW"),"",INDEX(J$1:J1179,SUMPRODUCT(MAX(ROW(E$1:E1179)*(E1180=E$1:E1179)))))</f>
        <v> </v>
      </c>
      <c r="L1180" s="27"/>
    </row>
    <row r="1181" spans="1:12">
      <c r="A1181" s="20" t="s">
        <v>1015</v>
      </c>
      <c r="E1181" s="22">
        <f>IF(D1181="?OLD","!!!","")</f>
        <v/>
      </c>
      <c r="F1181" s="23" t="str">
        <f>IF(OR(E1181="",E1181="!!!"),"",IF(NOT(ISNA(VLOOKUP(E1181,E$1:E1180,1,FALSE()))),"OLD",IF(AND(E1181&lt;&gt;"",E1181&lt;&gt;"!!!"),"NEW","")))</f>
        <v> </v>
      </c>
      <c r="G1181" s="24" t="str">
        <f>IF(OR(E1181="",E1181="!!!"),"",IF(OR(J1181=0,AND(J1181=1,K1181=1),AND(J1181=1,I1181="SBJ"),AND(J1181=1,I1181=0)),"?IN_FOCUS",IF(J1181&lt;=2,"?ACTIVATED",IF(J1181&lt;&gt;"","?FAMILIAR",IF(F1181="NEW",IF(ISNA(VLOOKUP(E1181,#REF!,1,FALSE())),"?TYPE_IDENTIFIABLE","?REFERENTIAL"),"_")))))</f>
        <v> </v>
      </c>
      <c r="H1181" s="25" t="str">
        <f>IF(J1181&lt;&gt;1,"",IF(I1181="SBJ","CB","?"))</f>
        <v> </v>
      </c>
      <c r="I1181" s="26" t="str">
        <f>IF(OR(E1181="",E1181="!!!",F1181="NEW"),"",INDEX(B1180:B$2,-1+SUMPRODUCT(MAX(ROW(E1180:E$2)*(E1181=E1180:E$2)))))</f>
        <v> </v>
      </c>
      <c r="J1181" s="26" t="str">
        <f>IF(OR(E1181="",E1181="!!!",F1181="NEW"),"",COUNTBLANK(OFFSET(A$1,,,SUMPRODUCT(MAX(ROW(E$2:E1181)*(E1181=E$2:E1181)))))-COUNTBLANK(OFFSET(A$1,,,SUMPRODUCT(MAX(ROW(E$1:E1180)*(E2=E$1:E1180))))))</f>
        <v> </v>
      </c>
      <c r="K1181" s="26" t="str">
        <f>IF(OR(E1181="",E1181="!!!",F1181="NEW"),"",INDEX(J$1:J1180,SUMPRODUCT(MAX(ROW(E$1:E1180)*(E1181=E$1:E1180)))))</f>
        <v> </v>
      </c>
      <c r="L1181" s="27"/>
    </row>
    <row r="1182" spans="1:12">
      <c r="A1182" s="20" t="s">
        <v>1480</v>
      </c>
      <c r="B1182" s="21" t="s">
        <v>1035</v>
      </c>
      <c r="C1182" s="21" t="s">
        <v>1006</v>
      </c>
      <c r="D1182" s="21" t="s">
        <v>1007</v>
      </c>
      <c r="E1182" s="22">
        <f>IF(D1182="?OLD","!!!","")</f>
        <v/>
      </c>
      <c r="F1182" s="23" t="str">
        <f>IF(OR(E1182="",E1182="!!!"),"",IF(NOT(ISNA(VLOOKUP(E1182,E$1:E1181,1,FALSE()))),"OLD",IF(AND(E1182&lt;&gt;"",E1182&lt;&gt;"!!!"),"NEW","")))</f>
        <v> </v>
      </c>
      <c r="G1182" s="24" t="str">
        <f>IF(OR(E1182="",E1182="!!!"),"",IF(OR(J1182=0,AND(J1182=1,K1182=1),AND(J1182=1,I1182="SBJ"),AND(J1182=1,I1182=0)),"?IN_FOCUS",IF(J1182&lt;=2,"?ACTIVATED",IF(J1182&lt;&gt;"","?FAMILIAR",IF(F1182="NEW",IF(ISNA(VLOOKUP(E1182,#REF!,1,FALSE())),"?TYPE_IDENTIFIABLE","?REFERENTIAL"),"_")))))</f>
        <v> </v>
      </c>
      <c r="H1182" s="25" t="str">
        <f>IF(J1182&lt;&gt;1,"",IF(I1182="SBJ","CB","?"))</f>
        <v> </v>
      </c>
      <c r="I1182" s="26" t="str">
        <f>IF(OR(E1182="",E1182="!!!",F1182="NEW"),"",INDEX(B1181:B$2,-1+SUMPRODUCT(MAX(ROW(E1181:E$2)*(E1182=E1181:E$2)))))</f>
        <v> </v>
      </c>
      <c r="J1182" s="26" t="str">
        <f>IF(OR(E1182="",E1182="!!!",F1182="NEW"),"",COUNTBLANK(OFFSET(A$1,,,SUMPRODUCT(MAX(ROW(E$2:E1182)*(E1182=E$2:E1182)))))-COUNTBLANK(OFFSET(A$1,,,SUMPRODUCT(MAX(ROW(E$1:E1181)*(E2=E$1:E1181))))))</f>
        <v> </v>
      </c>
      <c r="K1182" s="26" t="str">
        <f>IF(OR(E1182="",E1182="!!!",F1182="NEW"),"",INDEX(J$1:J1181,SUMPRODUCT(MAX(ROW(E$1:E1181)*(E1182=E$1:E1181)))))</f>
        <v> </v>
      </c>
      <c r="L1182" s="27"/>
    </row>
    <row r="1183" spans="1:12">
      <c r="A1183" s="20" t="s">
        <v>1030</v>
      </c>
      <c r="E1183" s="22">
        <f>IF(D1183="?OLD","!!!","")</f>
        <v/>
      </c>
      <c r="F1183" s="23" t="str">
        <f>IF(OR(E1183="",E1183="!!!"),"",IF(NOT(ISNA(VLOOKUP(E1183,E$1:E1182,1,FALSE()))),"OLD",IF(AND(E1183&lt;&gt;"",E1183&lt;&gt;"!!!"),"NEW","")))</f>
        <v> </v>
      </c>
      <c r="G1183" s="24" t="str">
        <f>IF(OR(E1183="",E1183="!!!"),"",IF(OR(J1183=0,AND(J1183=1,K1183=1),AND(J1183=1,I1183="SBJ"),AND(J1183=1,I1183=0)),"?IN_FOCUS",IF(J1183&lt;=2,"?ACTIVATED",IF(J1183&lt;&gt;"","?FAMILIAR",IF(F1183="NEW",IF(ISNA(VLOOKUP(E1183,#REF!,1,FALSE())),"?TYPE_IDENTIFIABLE","?REFERENTIAL"),"_")))))</f>
        <v> </v>
      </c>
      <c r="H1183" s="25" t="str">
        <f>IF(J1183&lt;&gt;1,"",IF(I1183="SBJ","CB","?"))</f>
        <v> </v>
      </c>
      <c r="I1183" s="26" t="str">
        <f>IF(OR(E1183="",E1183="!!!",F1183="NEW"),"",INDEX(B1182:B$2,-1+SUMPRODUCT(MAX(ROW(E1182:E$2)*(E1183=E1182:E$2)))))</f>
        <v> </v>
      </c>
      <c r="J1183" s="26" t="str">
        <f>IF(OR(E1183="",E1183="!!!",F1183="NEW"),"",COUNTBLANK(OFFSET(A$1,,,SUMPRODUCT(MAX(ROW(E$2:E1183)*(E1183=E$2:E1183)))))-COUNTBLANK(OFFSET(A$1,,,SUMPRODUCT(MAX(ROW(E$1:E1182)*(E2=E$1:E1182))))))</f>
        <v> </v>
      </c>
      <c r="K1183" s="26" t="str">
        <f>IF(OR(E1183="",E1183="!!!",F1183="NEW"),"",INDEX(J$1:J1182,SUMPRODUCT(MAX(ROW(E$1:E1182)*(E1183=E$1:E1182)))))</f>
        <v> </v>
      </c>
      <c r="L1183" s="27"/>
    </row>
    <row r="1184" spans="1:12">
      <c r="A1184" s="20" t="s">
        <v>1065</v>
      </c>
      <c r="E1184" s="22">
        <f>IF(D1184="?OLD","!!!","")</f>
        <v/>
      </c>
      <c r="F1184" s="23" t="str">
        <f>IF(OR(E1184="",E1184="!!!"),"",IF(NOT(ISNA(VLOOKUP(E1184,E$1:E1183,1,FALSE()))),"OLD",IF(AND(E1184&lt;&gt;"",E1184&lt;&gt;"!!!"),"NEW","")))</f>
        <v> </v>
      </c>
      <c r="G1184" s="24" t="str">
        <f>IF(OR(E1184="",E1184="!!!"),"",IF(OR(J1184=0,AND(J1184=1,K1184=1),AND(J1184=1,I1184="SBJ"),AND(J1184=1,I1184=0)),"?IN_FOCUS",IF(J1184&lt;=2,"?ACTIVATED",IF(J1184&lt;&gt;"","?FAMILIAR",IF(F1184="NEW",IF(ISNA(VLOOKUP(E1184,#REF!,1,FALSE())),"?TYPE_IDENTIFIABLE","?REFERENTIAL"),"_")))))</f>
        <v> </v>
      </c>
      <c r="H1184" s="25" t="str">
        <f>IF(J1184&lt;&gt;1,"",IF(I1184="SBJ","CB","?"))</f>
        <v> </v>
      </c>
      <c r="I1184" s="26" t="str">
        <f>IF(OR(E1184="",E1184="!!!",F1184="NEW"),"",INDEX(B1183:B$2,-1+SUMPRODUCT(MAX(ROW(E1183:E$2)*(E1184=E1183:E$2)))))</f>
        <v> </v>
      </c>
      <c r="J1184" s="26" t="str">
        <f>IF(OR(E1184="",E1184="!!!",F1184="NEW"),"",COUNTBLANK(OFFSET(A$1,,,SUMPRODUCT(MAX(ROW(E$2:E1184)*(E1184=E$2:E1184)))))-COUNTBLANK(OFFSET(A$1,,,SUMPRODUCT(MAX(ROW(E$1:E1183)*(E2=E$1:E1183))))))</f>
        <v> </v>
      </c>
      <c r="K1184" s="26" t="str">
        <f>IF(OR(E1184="",E1184="!!!",F1184="NEW"),"",INDEX(J$1:J1183,SUMPRODUCT(MAX(ROW(E$1:E1183)*(E1184=E$1:E1183)))))</f>
        <v> </v>
      </c>
      <c r="L1184" s="27"/>
    </row>
    <row r="1185" spans="1:12">
      <c r="A1185" s="20" t="s">
        <v>1481</v>
      </c>
      <c r="E1185" s="22">
        <f>IF(D1185="?OLD","!!!","")</f>
        <v/>
      </c>
      <c r="F1185" s="23" t="str">
        <f>IF(OR(E1185="",E1185="!!!"),"",IF(NOT(ISNA(VLOOKUP(E1185,E$1:E1184,1,FALSE()))),"OLD",IF(AND(E1185&lt;&gt;"",E1185&lt;&gt;"!!!"),"NEW","")))</f>
        <v> </v>
      </c>
      <c r="G1185" s="24" t="str">
        <f>IF(OR(E1185="",E1185="!!!"),"",IF(OR(J1185=0,AND(J1185=1,K1185=1),AND(J1185=1,I1185="SBJ"),AND(J1185=1,I1185=0)),"?IN_FOCUS",IF(J1185&lt;=2,"?ACTIVATED",IF(J1185&lt;&gt;"","?FAMILIAR",IF(F1185="NEW",IF(ISNA(VLOOKUP(E1185,#REF!,1,FALSE())),"?TYPE_IDENTIFIABLE","?REFERENTIAL"),"_")))))</f>
        <v> </v>
      </c>
      <c r="H1185" s="25" t="str">
        <f>IF(J1185&lt;&gt;1,"",IF(I1185="SBJ","CB","?"))</f>
        <v> </v>
      </c>
      <c r="I1185" s="26" t="str">
        <f>IF(OR(E1185="",E1185="!!!",F1185="NEW"),"",INDEX(B1184:B$2,-1+SUMPRODUCT(MAX(ROW(E1184:E$2)*(E1185=E1184:E$2)))))</f>
        <v> </v>
      </c>
      <c r="J1185" s="26" t="str">
        <f>IF(OR(E1185="",E1185="!!!",F1185="NEW"),"",COUNTBLANK(OFFSET(A$1,,,SUMPRODUCT(MAX(ROW(E$2:E1185)*(E1185=E$2:E1185)))))-COUNTBLANK(OFFSET(A$1,,,SUMPRODUCT(MAX(ROW(E$1:E1184)*(E2=E$1:E1184))))))</f>
        <v> </v>
      </c>
      <c r="K1185" s="26" t="str">
        <f>IF(OR(E1185="",E1185="!!!",F1185="NEW"),"",INDEX(J$1:J1184,SUMPRODUCT(MAX(ROW(E$1:E1184)*(E1185=E$1:E1184)))))</f>
        <v> </v>
      </c>
      <c r="L1185" s="27"/>
    </row>
    <row r="1186" spans="1:12">
      <c r="A1186" s="20" t="s">
        <v>1065</v>
      </c>
      <c r="E1186" s="22">
        <f>IF(D1186="?OLD","!!!","")</f>
        <v/>
      </c>
      <c r="F1186" s="23" t="str">
        <f>IF(OR(E1186="",E1186="!!!"),"",IF(NOT(ISNA(VLOOKUP(E1186,E$1:E1185,1,FALSE()))),"OLD",IF(AND(E1186&lt;&gt;"",E1186&lt;&gt;"!!!"),"NEW","")))</f>
        <v> </v>
      </c>
      <c r="G1186" s="24" t="str">
        <f>IF(OR(E1186="",E1186="!!!"),"",IF(OR(J1186=0,AND(J1186=1,K1186=1),AND(J1186=1,I1186="SBJ"),AND(J1186=1,I1186=0)),"?IN_FOCUS",IF(J1186&lt;=2,"?ACTIVATED",IF(J1186&lt;&gt;"","?FAMILIAR",IF(F1186="NEW",IF(ISNA(VLOOKUP(E1186,#REF!,1,FALSE())),"?TYPE_IDENTIFIABLE","?REFERENTIAL"),"_")))))</f>
        <v> </v>
      </c>
      <c r="H1186" s="25" t="str">
        <f>IF(J1186&lt;&gt;1,"",IF(I1186="SBJ","CB","?"))</f>
        <v> </v>
      </c>
      <c r="I1186" s="26" t="str">
        <f>IF(OR(E1186="",E1186="!!!",F1186="NEW"),"",INDEX(B1185:B$2,-1+SUMPRODUCT(MAX(ROW(E1185:E$2)*(E1186=E1185:E$2)))))</f>
        <v> </v>
      </c>
      <c r="J1186" s="26" t="str">
        <f>IF(OR(E1186="",E1186="!!!",F1186="NEW"),"",COUNTBLANK(OFFSET(A$1,,,SUMPRODUCT(MAX(ROW(E$2:E1186)*(E1186=E$2:E1186)))))-COUNTBLANK(OFFSET(A$1,,,SUMPRODUCT(MAX(ROW(E$1:E1185)*(E2=E$1:E1185))))))</f>
        <v> </v>
      </c>
      <c r="K1186" s="26" t="str">
        <f>IF(OR(E1186="",E1186="!!!",F1186="NEW"),"",INDEX(J$1:J1185,SUMPRODUCT(MAX(ROW(E$1:E1185)*(E1186=E$1:E1185)))))</f>
        <v> </v>
      </c>
      <c r="L1186" s="27"/>
    </row>
    <row r="1187" spans="1:12">
      <c r="A1187" s="20" t="s">
        <v>55</v>
      </c>
      <c r="E1187" s="22">
        <f>IF(D1187="?OLD","!!!","")</f>
        <v/>
      </c>
      <c r="F1187" s="23" t="str">
        <f>IF(OR(E1187="",E1187="!!!"),"",IF(NOT(ISNA(VLOOKUP(E1187,E$1:E1186,1,FALSE()))),"OLD",IF(AND(E1187&lt;&gt;"",E1187&lt;&gt;"!!!"),"NEW","")))</f>
        <v> </v>
      </c>
      <c r="G1187" s="24" t="str">
        <f>IF(OR(E1187="",E1187="!!!"),"",IF(OR(J1187=0,AND(J1187=1,K1187=1),AND(J1187=1,I1187="SBJ"),AND(J1187=1,I1187=0)),"?IN_FOCUS",IF(J1187&lt;=2,"?ACTIVATED",IF(J1187&lt;&gt;"","?FAMILIAR",IF(F1187="NEW",IF(ISNA(VLOOKUP(E1187,#REF!,1,FALSE())),"?TYPE_IDENTIFIABLE","?REFERENTIAL"),"_")))))</f>
        <v> </v>
      </c>
      <c r="H1187" s="25" t="str">
        <f>IF(J1187&lt;&gt;1,"",IF(I1187="SBJ","CB","?"))</f>
        <v> </v>
      </c>
      <c r="I1187" s="26" t="str">
        <f>IF(OR(E1187="",E1187="!!!",F1187="NEW"),"",INDEX(B1186:B$2,-1+SUMPRODUCT(MAX(ROW(E1186:E$2)*(E1187=E1186:E$2)))))</f>
        <v> </v>
      </c>
      <c r="J1187" s="26" t="str">
        <f>IF(OR(E1187="",E1187="!!!",F1187="NEW"),"",COUNTBLANK(OFFSET(A$1,,,SUMPRODUCT(MAX(ROW(E$2:E1187)*(E1187=E$2:E1187)))))-COUNTBLANK(OFFSET(A$1,,,SUMPRODUCT(MAX(ROW(E$1:E1186)*(E2=E$1:E1186))))))</f>
        <v> </v>
      </c>
      <c r="K1187" s="26" t="str">
        <f>IF(OR(E1187="",E1187="!!!",F1187="NEW"),"",INDEX(J$1:J1186,SUMPRODUCT(MAX(ROW(E$1:E1186)*(E1187=E$1:E1186)))))</f>
        <v> </v>
      </c>
      <c r="L1187" s="27"/>
    </row>
    <row r="1188" spans="1:12">
      <c r="A1188" s="20" t="s">
        <v>1482</v>
      </c>
      <c r="B1188" s="21" t="s">
        <v>1251</v>
      </c>
      <c r="C1188" s="21" t="s">
        <v>1205</v>
      </c>
      <c r="E1188" s="22">
        <f>IF(D1188="?OLD","!!!","")</f>
        <v/>
      </c>
      <c r="F1188" s="23" t="str">
        <f>IF(OR(E1188="",E1188="!!!"),"",IF(NOT(ISNA(VLOOKUP(E1188,E$1:E1187,1,FALSE()))),"OLD",IF(AND(E1188&lt;&gt;"",E1188&lt;&gt;"!!!"),"NEW","")))</f>
        <v> </v>
      </c>
      <c r="G1188" s="24" t="str">
        <f>IF(OR(E1188="",E1188="!!!"),"",IF(OR(J1188=0,AND(J1188=1,K1188=1),AND(J1188=1,I1188="SBJ"),AND(J1188=1,I1188=0)),"?IN_FOCUS",IF(J1188&lt;=2,"?ACTIVATED",IF(J1188&lt;&gt;"","?FAMILIAR",IF(F1188="NEW",IF(ISNA(VLOOKUP(E1188,#REF!,1,FALSE())),"?TYPE_IDENTIFIABLE","?REFERENTIAL"),"_")))))</f>
        <v> </v>
      </c>
      <c r="H1188" s="25" t="str">
        <f>IF(J1188&lt;&gt;1,"",IF(I1188="SBJ","CB","?"))</f>
        <v> </v>
      </c>
      <c r="I1188" s="26" t="str">
        <f>IF(OR(E1188="",E1188="!!!",F1188="NEW"),"",INDEX(B1187:B$2,-1+SUMPRODUCT(MAX(ROW(E1187:E$2)*(E1188=E1187:E$2)))))</f>
        <v> </v>
      </c>
      <c r="J1188" s="26" t="str">
        <f>IF(OR(E1188="",E1188="!!!",F1188="NEW"),"",COUNTBLANK(OFFSET(A$1,,,SUMPRODUCT(MAX(ROW(E$2:E1188)*(E1188=E$2:E1188)))))-COUNTBLANK(OFFSET(A$1,,,SUMPRODUCT(MAX(ROW(E$1:E1187)*(E2=E$1:E1187))))))</f>
        <v> </v>
      </c>
      <c r="K1188" s="26" t="str">
        <f>IF(OR(E1188="",E1188="!!!",F1188="NEW"),"",INDEX(J$1:J1187,SUMPRODUCT(MAX(ROW(E$1:E1187)*(E1188=E$1:E1187)))))</f>
        <v> </v>
      </c>
      <c r="L1188" s="27"/>
    </row>
    <row r="1189" spans="1:12">
      <c r="A1189" s="20" t="s">
        <v>1483</v>
      </c>
      <c r="E1189" s="22">
        <f>IF(D1189="?OLD","!!!","")</f>
        <v/>
      </c>
      <c r="F1189" s="23" t="str">
        <f>IF(OR(E1189="",E1189="!!!"),"",IF(NOT(ISNA(VLOOKUP(E1189,E$1:E1188,1,FALSE()))),"OLD",IF(AND(E1189&lt;&gt;"",E1189&lt;&gt;"!!!"),"NEW","")))</f>
        <v> </v>
      </c>
      <c r="G1189" s="24" t="str">
        <f>IF(OR(E1189="",E1189="!!!"),"",IF(OR(J1189=0,AND(J1189=1,K1189=1),AND(J1189=1,I1189="SBJ"),AND(J1189=1,I1189=0)),"?IN_FOCUS",IF(J1189&lt;=2,"?ACTIVATED",IF(J1189&lt;&gt;"","?FAMILIAR",IF(F1189="NEW",IF(ISNA(VLOOKUP(E1189,#REF!,1,FALSE())),"?TYPE_IDENTIFIABLE","?REFERENTIAL"),"_")))))</f>
        <v> </v>
      </c>
      <c r="H1189" s="25" t="str">
        <f>IF(J1189&lt;&gt;1,"",IF(I1189="SBJ","CB","?"))</f>
        <v> </v>
      </c>
      <c r="I1189" s="26" t="str">
        <f>IF(OR(E1189="",E1189="!!!",F1189="NEW"),"",INDEX(B1188:B$2,-1+SUMPRODUCT(MAX(ROW(E1188:E$2)*(E1189=E1188:E$2)))))</f>
        <v> </v>
      </c>
      <c r="J1189" s="26" t="str">
        <f>IF(OR(E1189="",E1189="!!!",F1189="NEW"),"",COUNTBLANK(OFFSET(A$1,,,SUMPRODUCT(MAX(ROW(E$2:E1189)*(E1189=E$2:E1189)))))-COUNTBLANK(OFFSET(A$1,,,SUMPRODUCT(MAX(ROW(E$1:E1188)*(E2=E$1:E1188))))))</f>
        <v> </v>
      </c>
      <c r="K1189" s="26" t="str">
        <f>IF(OR(E1189="",E1189="!!!",F1189="NEW"),"",INDEX(J$1:J1188,SUMPRODUCT(MAX(ROW(E$1:E1188)*(E1189=E$1:E1188)))))</f>
        <v> </v>
      </c>
      <c r="L1189" s="27"/>
    </row>
    <row r="1190" spans="1:12">
      <c r="A1190" s="20" t="s">
        <v>1484</v>
      </c>
      <c r="E1190" s="22">
        <f>IF(D1190="?OLD","!!!","")</f>
        <v/>
      </c>
      <c r="F1190" s="23" t="str">
        <f>IF(OR(E1190="",E1190="!!!"),"",IF(NOT(ISNA(VLOOKUP(E1190,E$1:E1189,1,FALSE()))),"OLD",IF(AND(E1190&lt;&gt;"",E1190&lt;&gt;"!!!"),"NEW","")))</f>
        <v> </v>
      </c>
      <c r="G1190" s="24" t="str">
        <f>IF(OR(E1190="",E1190="!!!"),"",IF(OR(J1190=0,AND(J1190=1,K1190=1),AND(J1190=1,I1190="SBJ"),AND(J1190=1,I1190=0)),"?IN_FOCUS",IF(J1190&lt;=2,"?ACTIVATED",IF(J1190&lt;&gt;"","?FAMILIAR",IF(F1190="NEW",IF(ISNA(VLOOKUP(E1190,#REF!,1,FALSE())),"?TYPE_IDENTIFIABLE","?REFERENTIAL"),"_")))))</f>
        <v> </v>
      </c>
      <c r="H1190" s="25" t="str">
        <f>IF(J1190&lt;&gt;1,"",IF(I1190="SBJ","CB","?"))</f>
        <v> </v>
      </c>
      <c r="I1190" s="26" t="str">
        <f>IF(OR(E1190="",E1190="!!!",F1190="NEW"),"",INDEX(B1189:B$2,-1+SUMPRODUCT(MAX(ROW(E1189:E$2)*(E1190=E1189:E$2)))))</f>
        <v> </v>
      </c>
      <c r="J1190" s="26" t="str">
        <f>IF(OR(E1190="",E1190="!!!",F1190="NEW"),"",COUNTBLANK(OFFSET(A$1,,,SUMPRODUCT(MAX(ROW(E$2:E1190)*(E1190=E$2:E1190)))))-COUNTBLANK(OFFSET(A$1,,,SUMPRODUCT(MAX(ROW(E$1:E1189)*(E2=E$1:E1189))))))</f>
        <v> </v>
      </c>
      <c r="K1190" s="26" t="str">
        <f>IF(OR(E1190="",E1190="!!!",F1190="NEW"),"",INDEX(J$1:J1189,SUMPRODUCT(MAX(ROW(E$1:E1189)*(E1190=E$1:E1189)))))</f>
        <v> </v>
      </c>
      <c r="L1190" s="27"/>
    </row>
    <row r="1191" spans="1:12">
      <c r="A1191" s="20" t="s">
        <v>1485</v>
      </c>
      <c r="E1191" s="22">
        <f>IF(D1191="?OLD","!!!","")</f>
        <v/>
      </c>
      <c r="F1191" s="23" t="str">
        <f>IF(OR(E1191="",E1191="!!!"),"",IF(NOT(ISNA(VLOOKUP(E1191,E$1:E1190,1,FALSE()))),"OLD",IF(AND(E1191&lt;&gt;"",E1191&lt;&gt;"!!!"),"NEW","")))</f>
        <v> </v>
      </c>
      <c r="G1191" s="24" t="str">
        <f>IF(OR(E1191="",E1191="!!!"),"",IF(OR(J1191=0,AND(J1191=1,K1191=1),AND(J1191=1,I1191="SBJ"),AND(J1191=1,I1191=0)),"?IN_FOCUS",IF(J1191&lt;=2,"?ACTIVATED",IF(J1191&lt;&gt;"","?FAMILIAR",IF(F1191="NEW",IF(ISNA(VLOOKUP(E1191,#REF!,1,FALSE())),"?TYPE_IDENTIFIABLE","?REFERENTIAL"),"_")))))</f>
        <v> </v>
      </c>
      <c r="H1191" s="25" t="str">
        <f>IF(J1191&lt;&gt;1,"",IF(I1191="SBJ","CB","?"))</f>
        <v> </v>
      </c>
      <c r="I1191" s="26" t="str">
        <f>IF(OR(E1191="",E1191="!!!",F1191="NEW"),"",INDEX(B1190:B$2,-1+SUMPRODUCT(MAX(ROW(E1190:E$2)*(E1191=E1190:E$2)))))</f>
        <v> </v>
      </c>
      <c r="J1191" s="26" t="str">
        <f>IF(OR(E1191="",E1191="!!!",F1191="NEW"),"",COUNTBLANK(OFFSET(A$1,,,SUMPRODUCT(MAX(ROW(E$2:E1191)*(E1191=E$2:E1191)))))-COUNTBLANK(OFFSET(A$1,,,SUMPRODUCT(MAX(ROW(E$1:E1190)*(E2=E$1:E1190))))))</f>
        <v> </v>
      </c>
      <c r="K1191" s="26" t="str">
        <f>IF(OR(E1191="",E1191="!!!",F1191="NEW"),"",INDEX(J$1:J1190,SUMPRODUCT(MAX(ROW(E$1:E1190)*(E1191=E$1:E1190)))))</f>
        <v> </v>
      </c>
      <c r="L1191" s="27"/>
    </row>
    <row r="1192" spans="1:12">
      <c r="A1192" s="20" t="s">
        <v>1274</v>
      </c>
      <c r="B1192" s="21" t="s">
        <v>1253</v>
      </c>
      <c r="C1192" s="21" t="s">
        <v>1041</v>
      </c>
      <c r="D1192" s="21" t="s">
        <v>1007</v>
      </c>
      <c r="E1192" s="22">
        <f>IF(D1192="?OLD","!!!","")</f>
        <v/>
      </c>
      <c r="F1192" s="23" t="str">
        <f>IF(OR(E1192="",E1192="!!!"),"",IF(NOT(ISNA(VLOOKUP(E1192,E$1:E1191,1,FALSE()))),"OLD",IF(AND(E1192&lt;&gt;"",E1192&lt;&gt;"!!!"),"NEW","")))</f>
        <v> </v>
      </c>
      <c r="G1192" s="24" t="str">
        <f>IF(OR(E1192="",E1192="!!!"),"",IF(OR(J1192=0,AND(J1192=1,K1192=1),AND(J1192=1,I1192="SBJ"),AND(J1192=1,I1192=0)),"?IN_FOCUS",IF(J1192&lt;=2,"?ACTIVATED",IF(J1192&lt;&gt;"","?FAMILIAR",IF(F1192="NEW",IF(ISNA(VLOOKUP(E1192,#REF!,1,FALSE())),"?TYPE_IDENTIFIABLE","?REFERENTIAL"),"_")))))</f>
        <v> </v>
      </c>
      <c r="H1192" s="25" t="str">
        <f>IF(J1192&lt;&gt;1,"",IF(I1192="SBJ","CB","?"))</f>
        <v> </v>
      </c>
      <c r="I1192" s="26" t="str">
        <f>IF(OR(E1192="",E1192="!!!",F1192="NEW"),"",INDEX(B1191:B$2,-1+SUMPRODUCT(MAX(ROW(E1191:E$2)*(E1192=E1191:E$2)))))</f>
        <v> </v>
      </c>
      <c r="J1192" s="26" t="str">
        <f>IF(OR(E1192="",E1192="!!!",F1192="NEW"),"",COUNTBLANK(OFFSET(A$1,,,SUMPRODUCT(MAX(ROW(E$2:E1192)*(E1192=E$2:E1192)))))-COUNTBLANK(OFFSET(A$1,,,SUMPRODUCT(MAX(ROW(E$1:E1191)*(E2=E$1:E1191))))))</f>
        <v> </v>
      </c>
      <c r="K1192" s="26" t="str">
        <f>IF(OR(E1192="",E1192="!!!",F1192="NEW"),"",INDEX(J$1:J1191,SUMPRODUCT(MAX(ROW(E$1:E1191)*(E1192=E$1:E1191)))))</f>
        <v> </v>
      </c>
      <c r="L1192" s="27"/>
    </row>
    <row r="1193" spans="1:12">
      <c r="A1193" s="20" t="s">
        <v>56</v>
      </c>
      <c r="E1193" s="22">
        <f>IF(D1193="?OLD","!!!","")</f>
        <v/>
      </c>
      <c r="F1193" s="23" t="str">
        <f>IF(OR(E1193="",E1193="!!!"),"",IF(NOT(ISNA(VLOOKUP(E1193,E$1:E1192,1,FALSE()))),"OLD",IF(AND(E1193&lt;&gt;"",E1193&lt;&gt;"!!!"),"NEW","")))</f>
        <v> </v>
      </c>
      <c r="G1193" s="24" t="str">
        <f>IF(OR(E1193="",E1193="!!!"),"",IF(OR(J1193=0,AND(J1193=1,K1193=1),AND(J1193=1,I1193="SBJ"),AND(J1193=1,I1193=0)),"?IN_FOCUS",IF(J1193&lt;=2,"?ACTIVATED",IF(J1193&lt;&gt;"","?FAMILIAR",IF(F1193="NEW",IF(ISNA(VLOOKUP(E1193,#REF!,1,FALSE())),"?TYPE_IDENTIFIABLE","?REFERENTIAL"),"_")))))</f>
        <v> </v>
      </c>
      <c r="H1193" s="25" t="str">
        <f>IF(J1193&lt;&gt;1,"",IF(I1193="SBJ","CB","?"))</f>
        <v> </v>
      </c>
      <c r="I1193" s="26" t="str">
        <f>IF(OR(E1193="",E1193="!!!",F1193="NEW"),"",INDEX(B1192:B$2,-1+SUMPRODUCT(MAX(ROW(E1192:E$2)*(E1193=E1192:E$2)))))</f>
        <v> </v>
      </c>
      <c r="J1193" s="26" t="str">
        <f>IF(OR(E1193="",E1193="!!!",F1193="NEW"),"",COUNTBLANK(OFFSET(A$1,,,SUMPRODUCT(MAX(ROW(E$2:E1193)*(E1193=E$2:E1193)))))-COUNTBLANK(OFFSET(A$1,,,SUMPRODUCT(MAX(ROW(E$1:E1192)*(E2=E$1:E1192))))))</f>
        <v> </v>
      </c>
      <c r="K1193" s="26" t="str">
        <f>IF(OR(E1193="",E1193="!!!",F1193="NEW"),"",INDEX(J$1:J1192,SUMPRODUCT(MAX(ROW(E$1:E1192)*(E1193=E$1:E1192)))))</f>
        <v> </v>
      </c>
      <c r="L1193" s="27"/>
    </row>
    <row r="1194" spans="1:12">
      <c r="A1194" s="20" t="s">
        <v>1486</v>
      </c>
      <c r="E1194" s="22">
        <f>IF(D1194="?OLD","!!!","")</f>
        <v/>
      </c>
      <c r="F1194" s="23" t="str">
        <f>IF(OR(E1194="",E1194="!!!"),"",IF(NOT(ISNA(VLOOKUP(E1194,E$1:E1193,1,FALSE()))),"OLD",IF(AND(E1194&lt;&gt;"",E1194&lt;&gt;"!!!"),"NEW","")))</f>
        <v> </v>
      </c>
      <c r="G1194" s="24" t="str">
        <f>IF(OR(E1194="",E1194="!!!"),"",IF(OR(J1194=0,AND(J1194=1,K1194=1),AND(J1194=1,I1194="SBJ"),AND(J1194=1,I1194=0)),"?IN_FOCUS",IF(J1194&lt;=2,"?ACTIVATED",IF(J1194&lt;&gt;"","?FAMILIAR",IF(F1194="NEW",IF(ISNA(VLOOKUP(E1194,#REF!,1,FALSE())),"?TYPE_IDENTIFIABLE","?REFERENTIAL"),"_")))))</f>
        <v> </v>
      </c>
      <c r="H1194" s="25" t="str">
        <f>IF(J1194&lt;&gt;1,"",IF(I1194="SBJ","CB","?"))</f>
        <v> </v>
      </c>
      <c r="I1194" s="26" t="str">
        <f>IF(OR(E1194="",E1194="!!!",F1194="NEW"),"",INDEX(B1193:B$2,-1+SUMPRODUCT(MAX(ROW(E1193:E$2)*(E1194=E1193:E$2)))))</f>
        <v> </v>
      </c>
      <c r="J1194" s="26" t="str">
        <f>IF(OR(E1194="",E1194="!!!",F1194="NEW"),"",COUNTBLANK(OFFSET(A$1,,,SUMPRODUCT(MAX(ROW(E$2:E1194)*(E1194=E$2:E1194)))))-COUNTBLANK(OFFSET(A$1,,,SUMPRODUCT(MAX(ROW(E$1:E1193)*(E2=E$1:E1193))))))</f>
        <v> </v>
      </c>
      <c r="K1194" s="26" t="str">
        <f>IF(OR(E1194="",E1194="!!!",F1194="NEW"),"",INDEX(J$1:J1193,SUMPRODUCT(MAX(ROW(E$1:E1193)*(E1194=E$1:E1193)))))</f>
        <v> </v>
      </c>
      <c r="L1194" s="27"/>
    </row>
    <row r="1195" spans="1:12">
      <c r="A1195" s="20" t="s">
        <v>1321</v>
      </c>
      <c r="B1195" s="21" t="s">
        <v>1487</v>
      </c>
      <c r="C1195" s="21" t="s">
        <v>1082</v>
      </c>
      <c r="D1195" s="21" t="s">
        <v>1007</v>
      </c>
      <c r="E1195" s="22">
        <f>IF(D1195="?OLD","!!!","")</f>
        <v/>
      </c>
      <c r="F1195" s="23" t="str">
        <f>IF(OR(E1195="",E1195="!!!"),"",IF(NOT(ISNA(VLOOKUP(E1195,E$1:E1194,1,FALSE()))),"OLD",IF(AND(E1195&lt;&gt;"",E1195&lt;&gt;"!!!"),"NEW","")))</f>
        <v> </v>
      </c>
      <c r="G1195" s="24" t="str">
        <f>IF(OR(E1195="",E1195="!!!"),"",IF(OR(J1195=0,AND(J1195=1,K1195=1),AND(J1195=1,I1195="SBJ"),AND(J1195=1,I1195=0)),"?IN_FOCUS",IF(J1195&lt;=2,"?ACTIVATED",IF(J1195&lt;&gt;"","?FAMILIAR",IF(F1195="NEW",IF(ISNA(VLOOKUP(E1195,#REF!,1,FALSE())),"?TYPE_IDENTIFIABLE","?REFERENTIAL"),"_")))))</f>
        <v> </v>
      </c>
      <c r="H1195" s="25" t="str">
        <f>IF(J1195&lt;&gt;1,"",IF(I1195="SBJ","CB","?"))</f>
        <v> </v>
      </c>
      <c r="I1195" s="26" t="str">
        <f>IF(OR(E1195="",E1195="!!!",F1195="NEW"),"",INDEX(B1194:B$2,-1+SUMPRODUCT(MAX(ROW(E1194:E$2)*(E1195=E1194:E$2)))))</f>
        <v> </v>
      </c>
      <c r="J1195" s="26" t="str">
        <f>IF(OR(E1195="",E1195="!!!",F1195="NEW"),"",COUNTBLANK(OFFSET(A$1,,,SUMPRODUCT(MAX(ROW(E$2:E1195)*(E1195=E$2:E1195)))))-COUNTBLANK(OFFSET(A$1,,,SUMPRODUCT(MAX(ROW(E$1:E1194)*(E2=E$1:E1194))))))</f>
        <v> </v>
      </c>
      <c r="K1195" s="26" t="str">
        <f>IF(OR(E1195="",E1195="!!!",F1195="NEW"),"",INDEX(J$1:J1194,SUMPRODUCT(MAX(ROW(E$1:E1194)*(E1195=E$1:E1194)))))</f>
        <v> </v>
      </c>
      <c r="L1195" s="27"/>
    </row>
    <row r="1196" spans="1:12">
      <c r="A1196" s="20" t="s">
        <v>1488</v>
      </c>
      <c r="E1196" s="22">
        <f>IF(D1196="?OLD","!!!","")</f>
        <v/>
      </c>
      <c r="F1196" s="23" t="str">
        <f>IF(OR(E1196="",E1196="!!!"),"",IF(NOT(ISNA(VLOOKUP(E1196,E$1:E1195,1,FALSE()))),"OLD",IF(AND(E1196&lt;&gt;"",E1196&lt;&gt;"!!!"),"NEW","")))</f>
        <v> </v>
      </c>
      <c r="G1196" s="24" t="str">
        <f>IF(OR(E1196="",E1196="!!!"),"",IF(OR(J1196=0,AND(J1196=1,K1196=1),AND(J1196=1,I1196="SBJ"),AND(J1196=1,I1196=0)),"?IN_FOCUS",IF(J1196&lt;=2,"?ACTIVATED",IF(J1196&lt;&gt;"","?FAMILIAR",IF(F1196="NEW",IF(ISNA(VLOOKUP(E1196,#REF!,1,FALSE())),"?TYPE_IDENTIFIABLE","?REFERENTIAL"),"_")))))</f>
        <v> </v>
      </c>
      <c r="H1196" s="25" t="str">
        <f>IF(J1196&lt;&gt;1,"",IF(I1196="SBJ","CB","?"))</f>
        <v> </v>
      </c>
      <c r="I1196" s="26" t="str">
        <f>IF(OR(E1196="",E1196="!!!",F1196="NEW"),"",INDEX(B1195:B$2,-1+SUMPRODUCT(MAX(ROW(E1195:E$2)*(E1196=E1195:E$2)))))</f>
        <v> </v>
      </c>
      <c r="J1196" s="26" t="str">
        <f>IF(OR(E1196="",E1196="!!!",F1196="NEW"),"",COUNTBLANK(OFFSET(A$1,,,SUMPRODUCT(MAX(ROW(E$2:E1196)*(E1196=E$2:E1196)))))-COUNTBLANK(OFFSET(A$1,,,SUMPRODUCT(MAX(ROW(E$1:E1195)*(E2=E$1:E1195))))))</f>
        <v> </v>
      </c>
      <c r="K1196" s="26" t="str">
        <f>IF(OR(E1196="",E1196="!!!",F1196="NEW"),"",INDEX(J$1:J1195,SUMPRODUCT(MAX(ROW(E$1:E1195)*(E1196=E$1:E1195)))))</f>
        <v> </v>
      </c>
      <c r="L1196" s="27"/>
    </row>
    <row r="1197" spans="1:12">
      <c r="A1197" s="20" t="s">
        <v>1018</v>
      </c>
      <c r="E1197" s="22">
        <f>IF(D1197="?OLD","!!!","")</f>
        <v/>
      </c>
      <c r="F1197" s="23" t="str">
        <f>IF(OR(E1197="",E1197="!!!"),"",IF(NOT(ISNA(VLOOKUP(E1197,E$1:E1196,1,FALSE()))),"OLD",IF(AND(E1197&lt;&gt;"",E1197&lt;&gt;"!!!"),"NEW","")))</f>
        <v> </v>
      </c>
      <c r="G1197" s="24" t="str">
        <f>IF(OR(E1197="",E1197="!!!"),"",IF(OR(J1197=0,AND(J1197=1,K1197=1),AND(J1197=1,I1197="SBJ"),AND(J1197=1,I1197=0)),"?IN_FOCUS",IF(J1197&lt;=2,"?ACTIVATED",IF(J1197&lt;&gt;"","?FAMILIAR",IF(F1197="NEW",IF(ISNA(VLOOKUP(E1197,#REF!,1,FALSE())),"?TYPE_IDENTIFIABLE","?REFERENTIAL"),"_")))))</f>
        <v> </v>
      </c>
      <c r="H1197" s="25" t="str">
        <f>IF(J1197&lt;&gt;1,"",IF(I1197="SBJ","CB","?"))</f>
        <v> </v>
      </c>
      <c r="I1197" s="26" t="str">
        <f>IF(OR(E1197="",E1197="!!!",F1197="NEW"),"",INDEX(B1196:B$2,-1+SUMPRODUCT(MAX(ROW(E1196:E$2)*(E1197=E1196:E$2)))))</f>
        <v> </v>
      </c>
      <c r="J1197" s="26" t="str">
        <f>IF(OR(E1197="",E1197="!!!",F1197="NEW"),"",COUNTBLANK(OFFSET(A$1,,,SUMPRODUCT(MAX(ROW(E$2:E1197)*(E1197=E$2:E1197)))))-COUNTBLANK(OFFSET(A$1,,,SUMPRODUCT(MAX(ROW(E$1:E1196)*(E2=E$1:E1196))))))</f>
        <v> </v>
      </c>
      <c r="K1197" s="26" t="str">
        <f>IF(OR(E1197="",E1197="!!!",F1197="NEW"),"",INDEX(J$1:J1196,SUMPRODUCT(MAX(ROW(E$1:E1196)*(E1197=E$1:E1196)))))</f>
        <v> </v>
      </c>
      <c r="L1197" s="27"/>
    </row>
    <row r="1198" spans="1:12">
      <c r="A1198" s="20" t="s">
        <v>1330</v>
      </c>
      <c r="E1198" s="22">
        <f>IF(D1198="?OLD","!!!","")</f>
        <v/>
      </c>
      <c r="F1198" s="23" t="str">
        <f>IF(OR(E1198="",E1198="!!!"),"",IF(NOT(ISNA(VLOOKUP(E1198,E$1:E1197,1,FALSE()))),"OLD",IF(AND(E1198&lt;&gt;"",E1198&lt;&gt;"!!!"),"NEW","")))</f>
        <v> </v>
      </c>
      <c r="G1198" s="24" t="str">
        <f>IF(OR(E1198="",E1198="!!!"),"",IF(OR(J1198=0,AND(J1198=1,K1198=1),AND(J1198=1,I1198="SBJ"),AND(J1198=1,I1198=0)),"?IN_FOCUS",IF(J1198&lt;=2,"?ACTIVATED",IF(J1198&lt;&gt;"","?FAMILIAR",IF(F1198="NEW",IF(ISNA(VLOOKUP(E1198,#REF!,1,FALSE())),"?TYPE_IDENTIFIABLE","?REFERENTIAL"),"_")))))</f>
        <v> </v>
      </c>
      <c r="H1198" s="25" t="str">
        <f>IF(J1198&lt;&gt;1,"",IF(I1198="SBJ","CB","?"))</f>
        <v> </v>
      </c>
      <c r="I1198" s="26" t="str">
        <f>IF(OR(E1198="",E1198="!!!",F1198="NEW"),"",INDEX(B1197:B$2,-1+SUMPRODUCT(MAX(ROW(E1197:E$2)*(E1198=E1197:E$2)))))</f>
        <v> </v>
      </c>
      <c r="J1198" s="26" t="str">
        <f>IF(OR(E1198="",E1198="!!!",F1198="NEW"),"",COUNTBLANK(OFFSET(A$1,,,SUMPRODUCT(MAX(ROW(E$2:E1198)*(E1198=E$2:E1198)))))-COUNTBLANK(OFFSET(A$1,,,SUMPRODUCT(MAX(ROW(E$1:E1197)*(E2=E$1:E1197))))))</f>
        <v> </v>
      </c>
      <c r="K1198" s="26" t="str">
        <f>IF(OR(E1198="",E1198="!!!",F1198="NEW"),"",INDEX(J$1:J1197,SUMPRODUCT(MAX(ROW(E$1:E1197)*(E1198=E$1:E1197)))))</f>
        <v> </v>
      </c>
      <c r="L1198" s="27"/>
    </row>
    <row r="1199" spans="1:12">
      <c r="A1199" s="20" t="s">
        <v>102</v>
      </c>
      <c r="B1199" s="21" t="s">
        <v>1042</v>
      </c>
      <c r="C1199" s="21" t="s">
        <v>1073</v>
      </c>
      <c r="D1199" s="21" t="s">
        <v>1007</v>
      </c>
      <c r="E1199" s="22">
        <f>IF(D1199="?OLD","!!!","")</f>
        <v/>
      </c>
      <c r="F1199" s="23" t="str">
        <f>IF(OR(E1199="",E1199="!!!"),"",IF(NOT(ISNA(VLOOKUP(E1199,E$1:E1198,1,FALSE()))),"OLD",IF(AND(E1199&lt;&gt;"",E1199&lt;&gt;"!!!"),"NEW","")))</f>
        <v> </v>
      </c>
      <c r="G1199" s="24" t="str">
        <f>IF(OR(E1199="",E1199="!!!"),"",IF(OR(J1199=0,AND(J1199=1,K1199=1),AND(J1199=1,I1199="SBJ"),AND(J1199=1,I1199=0)),"?IN_FOCUS",IF(J1199&lt;=2,"?ACTIVATED",IF(J1199&lt;&gt;"","?FAMILIAR",IF(F1199="NEW",IF(ISNA(VLOOKUP(E1199,#REF!,1,FALSE())),"?TYPE_IDENTIFIABLE","?REFERENTIAL"),"_")))))</f>
        <v> </v>
      </c>
      <c r="H1199" s="25" t="str">
        <f>IF(J1199&lt;&gt;1,"",IF(I1199="SBJ","CB","?"))</f>
        <v> </v>
      </c>
      <c r="I1199" s="26" t="str">
        <f>IF(OR(E1199="",E1199="!!!",F1199="NEW"),"",INDEX(B1198:B$2,-1+SUMPRODUCT(MAX(ROW(E1198:E$2)*(E1199=E1198:E$2)))))</f>
        <v> </v>
      </c>
      <c r="J1199" s="26" t="str">
        <f>IF(OR(E1199="",E1199="!!!",F1199="NEW"),"",COUNTBLANK(OFFSET(A$1,,,SUMPRODUCT(MAX(ROW(E$2:E1199)*(E1199=E$2:E1199)))))-COUNTBLANK(OFFSET(A$1,,,SUMPRODUCT(MAX(ROW(E$1:E1198)*(E2=E$1:E1198))))))</f>
        <v> </v>
      </c>
      <c r="K1199" s="26" t="str">
        <f>IF(OR(E1199="",E1199="!!!",F1199="NEW"),"",INDEX(J$1:J1198,SUMPRODUCT(MAX(ROW(E$1:E1198)*(E1199=E$1:E1198)))))</f>
        <v> </v>
      </c>
      <c r="L1199" s="27"/>
    </row>
    <row r="1200" spans="1:12">
      <c r="A1200" s="20" t="s">
        <v>1065</v>
      </c>
      <c r="B1200" s="21" t="s">
        <v>1489</v>
      </c>
      <c r="E1200" s="22">
        <f>IF(D1200="?OLD","!!!","")</f>
        <v/>
      </c>
      <c r="F1200" s="23" t="str">
        <f>IF(OR(E1200="",E1200="!!!"),"",IF(NOT(ISNA(VLOOKUP(E1200,E$1:E1199,1,FALSE()))),"OLD",IF(AND(E1200&lt;&gt;"",E1200&lt;&gt;"!!!"),"NEW","")))</f>
        <v> </v>
      </c>
      <c r="G1200" s="24" t="str">
        <f>IF(OR(E1200="",E1200="!!!"),"",IF(OR(J1200=0,AND(J1200=1,K1200=1),AND(J1200=1,I1200="SBJ"),AND(J1200=1,I1200=0)),"?IN_FOCUS",IF(J1200&lt;=2,"?ACTIVATED",IF(J1200&lt;&gt;"","?FAMILIAR",IF(F1200="NEW",IF(ISNA(VLOOKUP(E1200,#REF!,1,FALSE())),"?TYPE_IDENTIFIABLE","?REFERENTIAL"),"_")))))</f>
        <v> </v>
      </c>
      <c r="H1200" s="25" t="str">
        <f>IF(J1200&lt;&gt;1,"",IF(I1200="SBJ","CB","?"))</f>
        <v> </v>
      </c>
      <c r="I1200" s="26" t="str">
        <f>IF(OR(E1200="",E1200="!!!",F1200="NEW"),"",INDEX(B1199:B$2,-1+SUMPRODUCT(MAX(ROW(E1199:E$2)*(E1200=E1199:E$2)))))</f>
        <v> </v>
      </c>
      <c r="J1200" s="26" t="str">
        <f>IF(OR(E1200="",E1200="!!!",F1200="NEW"),"",COUNTBLANK(OFFSET(A$1,,,SUMPRODUCT(MAX(ROW(E$2:E1200)*(E1200=E$2:E1200)))))-COUNTBLANK(OFFSET(A$1,,,SUMPRODUCT(MAX(ROW(E$1:E1199)*(E2=E$1:E1199))))))</f>
        <v> </v>
      </c>
      <c r="K1200" s="26" t="str">
        <f>IF(OR(E1200="",E1200="!!!",F1200="NEW"),"",INDEX(J$1:J1199,SUMPRODUCT(MAX(ROW(E$1:E1199)*(E1200=E$1:E1199)))))</f>
        <v> </v>
      </c>
      <c r="L1200" s="27"/>
    </row>
    <row r="1201" spans="1:12">
      <c r="A1201" s="20" t="s">
        <v>1142</v>
      </c>
      <c r="E1201" s="22">
        <f>IF(D1201="?OLD","!!!","")</f>
        <v/>
      </c>
      <c r="F1201" s="23" t="str">
        <f>IF(OR(E1201="",E1201="!!!"),"",IF(NOT(ISNA(VLOOKUP(E1201,E$1:E1200,1,FALSE()))),"OLD",IF(AND(E1201&lt;&gt;"",E1201&lt;&gt;"!!!"),"NEW","")))</f>
        <v> </v>
      </c>
      <c r="G1201" s="24" t="str">
        <f>IF(OR(E1201="",E1201="!!!"),"",IF(OR(J1201=0,AND(J1201=1,K1201=1),AND(J1201=1,I1201="SBJ"),AND(J1201=1,I1201=0)),"?IN_FOCUS",IF(J1201&lt;=2,"?ACTIVATED",IF(J1201&lt;&gt;"","?FAMILIAR",IF(F1201="NEW",IF(ISNA(VLOOKUP(E1201,#REF!,1,FALSE())),"?TYPE_IDENTIFIABLE","?REFERENTIAL"),"_")))))</f>
        <v> </v>
      </c>
      <c r="H1201" s="25" t="str">
        <f>IF(J1201&lt;&gt;1,"",IF(I1201="SBJ","CB","?"))</f>
        <v> </v>
      </c>
      <c r="I1201" s="26" t="str">
        <f>IF(OR(E1201="",E1201="!!!",F1201="NEW"),"",INDEX(B1200:B$2,-1+SUMPRODUCT(MAX(ROW(E1200:E$2)*(E1201=E1200:E$2)))))</f>
        <v> </v>
      </c>
      <c r="J1201" s="26" t="str">
        <f>IF(OR(E1201="",E1201="!!!",F1201="NEW"),"",COUNTBLANK(OFFSET(A$1,,,SUMPRODUCT(MAX(ROW(E$2:E1201)*(E1201=E$2:E1201)))))-COUNTBLANK(OFFSET(A$1,,,SUMPRODUCT(MAX(ROW(E$1:E1200)*(E2=E$1:E1200))))))</f>
        <v> </v>
      </c>
      <c r="K1201" s="26" t="str">
        <f>IF(OR(E1201="",E1201="!!!",F1201="NEW"),"",INDEX(J$1:J1200,SUMPRODUCT(MAX(ROW(E$1:E1200)*(E1201=E$1:E1200)))))</f>
        <v> </v>
      </c>
      <c r="L1201" s="27"/>
    </row>
    <row r="1202" spans="1:12">
      <c r="A1202" s="20" t="s">
        <v>1030</v>
      </c>
      <c r="E1202" s="22">
        <f>IF(D1202="?OLD","!!!","")</f>
        <v/>
      </c>
      <c r="F1202" s="23" t="str">
        <f>IF(OR(E1202="",E1202="!!!"),"",IF(NOT(ISNA(VLOOKUP(E1202,E$1:E1201,1,FALSE()))),"OLD",IF(AND(E1202&lt;&gt;"",E1202&lt;&gt;"!!!"),"NEW","")))</f>
        <v> </v>
      </c>
      <c r="G1202" s="24" t="str">
        <f>IF(OR(E1202="",E1202="!!!"),"",IF(OR(J1202=0,AND(J1202=1,K1202=1),AND(J1202=1,I1202="SBJ"),AND(J1202=1,I1202=0)),"?IN_FOCUS",IF(J1202&lt;=2,"?ACTIVATED",IF(J1202&lt;&gt;"","?FAMILIAR",IF(F1202="NEW",IF(ISNA(VLOOKUP(E1202,#REF!,1,FALSE())),"?TYPE_IDENTIFIABLE","?REFERENTIAL"),"_")))))</f>
        <v> </v>
      </c>
      <c r="H1202" s="25" t="str">
        <f>IF(J1202&lt;&gt;1,"",IF(I1202="SBJ","CB","?"))</f>
        <v> </v>
      </c>
      <c r="I1202" s="26" t="str">
        <f>IF(OR(E1202="",E1202="!!!",F1202="NEW"),"",INDEX(B1201:B$2,-1+SUMPRODUCT(MAX(ROW(E1201:E$2)*(E1202=E1201:E$2)))))</f>
        <v> </v>
      </c>
      <c r="J1202" s="26" t="str">
        <f>IF(OR(E1202="",E1202="!!!",F1202="NEW"),"",COUNTBLANK(OFFSET(A$1,,,SUMPRODUCT(MAX(ROW(E$2:E1202)*(E1202=E$2:E1202)))))-COUNTBLANK(OFFSET(A$1,,,SUMPRODUCT(MAX(ROW(E$1:E1201)*(E2=E$1:E1201))))))</f>
        <v> </v>
      </c>
      <c r="K1202" s="26" t="str">
        <f>IF(OR(E1202="",E1202="!!!",F1202="NEW"),"",INDEX(J$1:J1201,SUMPRODUCT(MAX(ROW(E$1:E1201)*(E1202=E$1:E1201)))))</f>
        <v> </v>
      </c>
      <c r="L1202" s="27"/>
    </row>
    <row r="1203" spans="1:12">
      <c r="A1203" s="20" t="s">
        <v>1015</v>
      </c>
      <c r="B1203" s="21" t="s">
        <v>1440</v>
      </c>
      <c r="C1203" s="21" t="s">
        <v>1082</v>
      </c>
      <c r="D1203" s="21" t="s">
        <v>1007</v>
      </c>
      <c r="E1203" s="22">
        <f>IF(D1203="?OLD","!!!","")</f>
        <v/>
      </c>
      <c r="F1203" s="23" t="str">
        <f>IF(OR(E1203="",E1203="!!!"),"",IF(NOT(ISNA(VLOOKUP(E1203,E$1:E1202,1,FALSE()))),"OLD",IF(AND(E1203&lt;&gt;"",E1203&lt;&gt;"!!!"),"NEW","")))</f>
        <v> </v>
      </c>
      <c r="G1203" s="24" t="str">
        <f>IF(OR(E1203="",E1203="!!!"),"",IF(OR(J1203=0,AND(J1203=1,K1203=1),AND(J1203=1,I1203="SBJ"),AND(J1203=1,I1203=0)),"?IN_FOCUS",IF(J1203&lt;=2,"?ACTIVATED",IF(J1203&lt;&gt;"","?FAMILIAR",IF(F1203="NEW",IF(ISNA(VLOOKUP(E1203,#REF!,1,FALSE())),"?TYPE_IDENTIFIABLE","?REFERENTIAL"),"_")))))</f>
        <v> </v>
      </c>
      <c r="H1203" s="25" t="str">
        <f>IF(J1203&lt;&gt;1,"",IF(I1203="SBJ","CB","?"))</f>
        <v> </v>
      </c>
      <c r="I1203" s="26" t="str">
        <f>IF(OR(E1203="",E1203="!!!",F1203="NEW"),"",INDEX(B1202:B$2,-1+SUMPRODUCT(MAX(ROW(E1202:E$2)*(E1203=E1202:E$2)))))</f>
        <v> </v>
      </c>
      <c r="J1203" s="26" t="str">
        <f>IF(OR(E1203="",E1203="!!!",F1203="NEW"),"",COUNTBLANK(OFFSET(A$1,,,SUMPRODUCT(MAX(ROW(E$2:E1203)*(E1203=E$2:E1203)))))-COUNTBLANK(OFFSET(A$1,,,SUMPRODUCT(MAX(ROW(E$1:E1202)*(E2=E$1:E1202))))))</f>
        <v> </v>
      </c>
      <c r="K1203" s="26" t="str">
        <f>IF(OR(E1203="",E1203="!!!",F1203="NEW"),"",INDEX(J$1:J1202,SUMPRODUCT(MAX(ROW(E$1:E1202)*(E1203=E$1:E1202)))))</f>
        <v> </v>
      </c>
      <c r="L1203" s="27"/>
    </row>
    <row r="1204" spans="1:12">
      <c r="A1204" s="20" t="s">
        <v>1490</v>
      </c>
      <c r="E1204" s="22">
        <f>IF(D1204="?OLD","!!!","")</f>
        <v/>
      </c>
      <c r="F1204" s="23" t="str">
        <f>IF(OR(E1204="",E1204="!!!"),"",IF(NOT(ISNA(VLOOKUP(E1204,E$1:E1203,1,FALSE()))),"OLD",IF(AND(E1204&lt;&gt;"",E1204&lt;&gt;"!!!"),"NEW","")))</f>
        <v> </v>
      </c>
      <c r="G1204" s="24" t="str">
        <f>IF(OR(E1204="",E1204="!!!"),"",IF(OR(J1204=0,AND(J1204=1,K1204=1),AND(J1204=1,I1204="SBJ"),AND(J1204=1,I1204=0)),"?IN_FOCUS",IF(J1204&lt;=2,"?ACTIVATED",IF(J1204&lt;&gt;"","?FAMILIAR",IF(F1204="NEW",IF(ISNA(VLOOKUP(E1204,#REF!,1,FALSE())),"?TYPE_IDENTIFIABLE","?REFERENTIAL"),"_")))))</f>
        <v> </v>
      </c>
      <c r="H1204" s="25" t="str">
        <f>IF(J1204&lt;&gt;1,"",IF(I1204="SBJ","CB","?"))</f>
        <v> </v>
      </c>
      <c r="I1204" s="26" t="str">
        <f>IF(OR(E1204="",E1204="!!!",F1204="NEW"),"",INDEX(B1203:B$2,-1+SUMPRODUCT(MAX(ROW(E1203:E$2)*(E1204=E1203:E$2)))))</f>
        <v> </v>
      </c>
      <c r="J1204" s="26" t="str">
        <f>IF(OR(E1204="",E1204="!!!",F1204="NEW"),"",COUNTBLANK(OFFSET(A$1,,,SUMPRODUCT(MAX(ROW(E$2:E1204)*(E1204=E$2:E1204)))))-COUNTBLANK(OFFSET(A$1,,,SUMPRODUCT(MAX(ROW(E$1:E1203)*(E2=E$1:E1203))))))</f>
        <v> </v>
      </c>
      <c r="K1204" s="26" t="str">
        <f>IF(OR(E1204="",E1204="!!!",F1204="NEW"),"",INDEX(J$1:J1203,SUMPRODUCT(MAX(ROW(E$1:E1203)*(E1204=E$1:E1203)))))</f>
        <v> </v>
      </c>
      <c r="L1204" s="27"/>
    </row>
    <row r="1205" spans="1:12">
      <c r="A1205" s="20" t="s">
        <v>1075</v>
      </c>
      <c r="E1205" s="22">
        <f>IF(D1205="?OLD","!!!","")</f>
        <v/>
      </c>
      <c r="F1205" s="23" t="str">
        <f>IF(OR(E1205="",E1205="!!!"),"",IF(NOT(ISNA(VLOOKUP(E1205,E$1:E1204,1,FALSE()))),"OLD",IF(AND(E1205&lt;&gt;"",E1205&lt;&gt;"!!!"),"NEW","")))</f>
        <v> </v>
      </c>
      <c r="G1205" s="24" t="str">
        <f>IF(OR(E1205="",E1205="!!!"),"",IF(OR(J1205=0,AND(J1205=1,K1205=1),AND(J1205=1,I1205="SBJ"),AND(J1205=1,I1205=0)),"?IN_FOCUS",IF(J1205&lt;=2,"?ACTIVATED",IF(J1205&lt;&gt;"","?FAMILIAR",IF(F1205="NEW",IF(ISNA(VLOOKUP(E1205,#REF!,1,FALSE())),"?TYPE_IDENTIFIABLE","?REFERENTIAL"),"_")))))</f>
        <v> </v>
      </c>
      <c r="H1205" s="25" t="str">
        <f>IF(J1205&lt;&gt;1,"",IF(I1205="SBJ","CB","?"))</f>
        <v> </v>
      </c>
      <c r="I1205" s="26" t="str">
        <f>IF(OR(E1205="",E1205="!!!",F1205="NEW"),"",INDEX(B1204:B$2,-1+SUMPRODUCT(MAX(ROW(E1204:E$2)*(E1205=E1204:E$2)))))</f>
        <v> </v>
      </c>
      <c r="J1205" s="26" t="str">
        <f>IF(OR(E1205="",E1205="!!!",F1205="NEW"),"",COUNTBLANK(OFFSET(A$1,,,SUMPRODUCT(MAX(ROW(E$2:E1205)*(E1205=E$2:E1205)))))-COUNTBLANK(OFFSET(A$1,,,SUMPRODUCT(MAX(ROW(E$1:E1204)*(E2=E$1:E1204))))))</f>
        <v> </v>
      </c>
      <c r="K1205" s="26" t="str">
        <f>IF(OR(E1205="",E1205="!!!",F1205="NEW"),"",INDEX(J$1:J1204,SUMPRODUCT(MAX(ROW(E$1:E1204)*(E1205=E$1:E1204)))))</f>
        <v> </v>
      </c>
      <c r="L1205" s="27"/>
    </row>
    <row r="1206" spans="1:12">
      <c r="A1206" s="20" t="s">
        <v>1065</v>
      </c>
      <c r="E1206" s="22">
        <f>IF(D1206="?OLD","!!!","")</f>
        <v/>
      </c>
      <c r="F1206" s="23" t="str">
        <f>IF(OR(E1206="",E1206="!!!"),"",IF(NOT(ISNA(VLOOKUP(E1206,E$1:E1205,1,FALSE()))),"OLD",IF(AND(E1206&lt;&gt;"",E1206&lt;&gt;"!!!"),"NEW","")))</f>
        <v> </v>
      </c>
      <c r="G1206" s="24" t="str">
        <f>IF(OR(E1206="",E1206="!!!"),"",IF(OR(J1206=0,AND(J1206=1,K1206=1),AND(J1206=1,I1206="SBJ"),AND(J1206=1,I1206=0)),"?IN_FOCUS",IF(J1206&lt;=2,"?ACTIVATED",IF(J1206&lt;&gt;"","?FAMILIAR",IF(F1206="NEW",IF(ISNA(VLOOKUP(E1206,#REF!,1,FALSE())),"?TYPE_IDENTIFIABLE","?REFERENTIAL"),"_")))))</f>
        <v> </v>
      </c>
      <c r="H1206" s="25" t="str">
        <f>IF(J1206&lt;&gt;1,"",IF(I1206="SBJ","CB","?"))</f>
        <v> </v>
      </c>
      <c r="I1206" s="26" t="str">
        <f>IF(OR(E1206="",E1206="!!!",F1206="NEW"),"",INDEX(B1205:B$2,-1+SUMPRODUCT(MAX(ROW(E1205:E$2)*(E1206=E1205:E$2)))))</f>
        <v> </v>
      </c>
      <c r="J1206" s="26" t="str">
        <f>IF(OR(E1206="",E1206="!!!",F1206="NEW"),"",COUNTBLANK(OFFSET(A$1,,,SUMPRODUCT(MAX(ROW(E$2:E1206)*(E1206=E$2:E1206)))))-COUNTBLANK(OFFSET(A$1,,,SUMPRODUCT(MAX(ROW(E$1:E1205)*(E2=E$1:E1205))))))</f>
        <v> </v>
      </c>
      <c r="K1206" s="26" t="str">
        <f>IF(OR(E1206="",E1206="!!!",F1206="NEW"),"",INDEX(J$1:J1205,SUMPRODUCT(MAX(ROW(E$1:E1205)*(E1206=E$1:E1205)))))</f>
        <v> </v>
      </c>
      <c r="L1206" s="27"/>
    </row>
    <row r="1207" spans="1:12">
      <c r="A1207" s="20" t="s">
        <v>1164</v>
      </c>
      <c r="E1207" s="22">
        <f>IF(D1207="?OLD","!!!","")</f>
        <v/>
      </c>
      <c r="F1207" s="23" t="str">
        <f>IF(OR(E1207="",E1207="!!!"),"",IF(NOT(ISNA(VLOOKUP(E1207,E$1:E1206,1,FALSE()))),"OLD",IF(AND(E1207&lt;&gt;"",E1207&lt;&gt;"!!!"),"NEW","")))</f>
        <v> </v>
      </c>
      <c r="G1207" s="24" t="str">
        <f>IF(OR(E1207="",E1207="!!!"),"",IF(OR(J1207=0,AND(J1207=1,K1207=1),AND(J1207=1,I1207="SBJ"),AND(J1207=1,I1207=0)),"?IN_FOCUS",IF(J1207&lt;=2,"?ACTIVATED",IF(J1207&lt;&gt;"","?FAMILIAR",IF(F1207="NEW",IF(ISNA(VLOOKUP(E1207,#REF!,1,FALSE())),"?TYPE_IDENTIFIABLE","?REFERENTIAL"),"_")))))</f>
        <v> </v>
      </c>
      <c r="H1207" s="25" t="str">
        <f>IF(J1207&lt;&gt;1,"",IF(I1207="SBJ","CB","?"))</f>
        <v> </v>
      </c>
      <c r="I1207" s="26" t="str">
        <f>IF(OR(E1207="",E1207="!!!",F1207="NEW"),"",INDEX(B1206:B$2,-1+SUMPRODUCT(MAX(ROW(E1206:E$2)*(E1207=E1206:E$2)))))</f>
        <v> </v>
      </c>
      <c r="J1207" s="26" t="str">
        <f>IF(OR(E1207="",E1207="!!!",F1207="NEW"),"",COUNTBLANK(OFFSET(A$1,,,SUMPRODUCT(MAX(ROW(E$2:E1207)*(E1207=E$2:E1207)))))-COUNTBLANK(OFFSET(A$1,,,SUMPRODUCT(MAX(ROW(E$1:E1206)*(E2=E$1:E1206))))))</f>
        <v> </v>
      </c>
      <c r="K1207" s="26" t="str">
        <f>IF(OR(E1207="",E1207="!!!",F1207="NEW"),"",INDEX(J$1:J1206,SUMPRODUCT(MAX(ROW(E$1:E1206)*(E1207=E$1:E1206)))))</f>
        <v> </v>
      </c>
      <c r="L1207" s="27"/>
    </row>
    <row r="1208" spans="1:12">
      <c r="A1208" s="20" t="s">
        <v>1482</v>
      </c>
      <c r="E1208" s="22">
        <f>IF(D1208="?OLD","!!!","")</f>
        <v/>
      </c>
      <c r="F1208" s="23" t="str">
        <f>IF(OR(E1208="",E1208="!!!"),"",IF(NOT(ISNA(VLOOKUP(E1208,E$1:E1207,1,FALSE()))),"OLD",IF(AND(E1208&lt;&gt;"",E1208&lt;&gt;"!!!"),"NEW","")))</f>
        <v> </v>
      </c>
      <c r="G1208" s="24" t="str">
        <f>IF(OR(E1208="",E1208="!!!"),"",IF(OR(J1208=0,AND(J1208=1,K1208=1),AND(J1208=1,I1208="SBJ"),AND(J1208=1,I1208=0)),"?IN_FOCUS",IF(J1208&lt;=2,"?ACTIVATED",IF(J1208&lt;&gt;"","?FAMILIAR",IF(F1208="NEW",IF(ISNA(VLOOKUP(E1208,#REF!,1,FALSE())),"?TYPE_IDENTIFIABLE","?REFERENTIAL"),"_")))))</f>
        <v> </v>
      </c>
      <c r="H1208" s="25" t="str">
        <f>IF(J1208&lt;&gt;1,"",IF(I1208="SBJ","CB","?"))</f>
        <v> </v>
      </c>
      <c r="I1208" s="26" t="str">
        <f>IF(OR(E1208="",E1208="!!!",F1208="NEW"),"",INDEX(B1207:B$2,-1+SUMPRODUCT(MAX(ROW(E1207:E$2)*(E1208=E1207:E$2)))))</f>
        <v> </v>
      </c>
      <c r="J1208" s="26" t="str">
        <f>IF(OR(E1208="",E1208="!!!",F1208="NEW"),"",COUNTBLANK(OFFSET(A$1,,,SUMPRODUCT(MAX(ROW(E$2:E1208)*(E1208=E$2:E1208)))))-COUNTBLANK(OFFSET(A$1,,,SUMPRODUCT(MAX(ROW(E$1:E1207)*(E2=E$1:E1207))))))</f>
        <v> </v>
      </c>
      <c r="K1208" s="26" t="str">
        <f>IF(OR(E1208="",E1208="!!!",F1208="NEW"),"",INDEX(J$1:J1207,SUMPRODUCT(MAX(ROW(E$1:E1207)*(E1208=E$1:E1207)))))</f>
        <v> </v>
      </c>
      <c r="L1208" s="27"/>
    </row>
    <row r="1209" spans="1:12">
      <c r="A1209" s="20" t="s">
        <v>1491</v>
      </c>
      <c r="B1209" s="21" t="s">
        <v>1154</v>
      </c>
      <c r="C1209" s="21" t="s">
        <v>1048</v>
      </c>
      <c r="E1209" s="22">
        <f>IF(D1209="?OLD","!!!","")</f>
        <v/>
      </c>
      <c r="F1209" s="23" t="str">
        <f>IF(OR(E1209="",E1209="!!!"),"",IF(NOT(ISNA(VLOOKUP(E1209,E$1:E1208,1,FALSE()))),"OLD",IF(AND(E1209&lt;&gt;"",E1209&lt;&gt;"!!!"),"NEW","")))</f>
        <v> </v>
      </c>
      <c r="G1209" s="24" t="str">
        <f>IF(OR(E1209="",E1209="!!!"),"",IF(OR(J1209=0,AND(J1209=1,K1209=1),AND(J1209=1,I1209="SBJ"),AND(J1209=1,I1209=0)),"?IN_FOCUS",IF(J1209&lt;=2,"?ACTIVATED",IF(J1209&lt;&gt;"","?FAMILIAR",IF(F1209="NEW",IF(ISNA(VLOOKUP(E1209,#REF!,1,FALSE())),"?TYPE_IDENTIFIABLE","?REFERENTIAL"),"_")))))</f>
        <v> </v>
      </c>
      <c r="H1209" s="25" t="str">
        <f>IF(J1209&lt;&gt;1,"",IF(I1209="SBJ","CB","?"))</f>
        <v> </v>
      </c>
      <c r="I1209" s="26" t="str">
        <f>IF(OR(E1209="",E1209="!!!",F1209="NEW"),"",INDEX(B1208:B$2,-1+SUMPRODUCT(MAX(ROW(E1208:E$2)*(E1209=E1208:E$2)))))</f>
        <v> </v>
      </c>
      <c r="J1209" s="26" t="str">
        <f>IF(OR(E1209="",E1209="!!!",F1209="NEW"),"",COUNTBLANK(OFFSET(A$1,,,SUMPRODUCT(MAX(ROW(E$2:E1209)*(E1209=E$2:E1209)))))-COUNTBLANK(OFFSET(A$1,,,SUMPRODUCT(MAX(ROW(E$1:E1208)*(E2=E$1:E1208))))))</f>
        <v> </v>
      </c>
      <c r="K1209" s="26" t="str">
        <f>IF(OR(E1209="",E1209="!!!",F1209="NEW"),"",INDEX(J$1:J1208,SUMPRODUCT(MAX(ROW(E$1:E1208)*(E1209=E$1:E1208)))))</f>
        <v> </v>
      </c>
      <c r="L1209" s="27"/>
    </row>
    <row r="1210" spans="1:12">
      <c r="A1210" s="20" t="s">
        <v>1030</v>
      </c>
      <c r="E1210" s="22">
        <f>IF(D1210="?OLD","!!!","")</f>
        <v/>
      </c>
      <c r="F1210" s="23" t="str">
        <f>IF(OR(E1210="",E1210="!!!"),"",IF(NOT(ISNA(VLOOKUP(E1210,E$1:E1209,1,FALSE()))),"OLD",IF(AND(E1210&lt;&gt;"",E1210&lt;&gt;"!!!"),"NEW","")))</f>
        <v> </v>
      </c>
      <c r="G1210" s="24" t="str">
        <f>IF(OR(E1210="",E1210="!!!"),"",IF(OR(J1210=0,AND(J1210=1,K1210=1),AND(J1210=1,I1210="SBJ"),AND(J1210=1,I1210=0)),"?IN_FOCUS",IF(J1210&lt;=2,"?ACTIVATED",IF(J1210&lt;&gt;"","?FAMILIAR",IF(F1210="NEW",IF(ISNA(VLOOKUP(E1210,#REF!,1,FALSE())),"?TYPE_IDENTIFIABLE","?REFERENTIAL"),"_")))))</f>
        <v> </v>
      </c>
      <c r="H1210" s="25" t="str">
        <f>IF(J1210&lt;&gt;1,"",IF(I1210="SBJ","CB","?"))</f>
        <v> </v>
      </c>
      <c r="I1210" s="26" t="str">
        <f>IF(OR(E1210="",E1210="!!!",F1210="NEW"),"",INDEX(B1209:B$2,-1+SUMPRODUCT(MAX(ROW(E1209:E$2)*(E1210=E1209:E$2)))))</f>
        <v> </v>
      </c>
      <c r="J1210" s="26" t="str">
        <f>IF(OR(E1210="",E1210="!!!",F1210="NEW"),"",COUNTBLANK(OFFSET(A$1,,,SUMPRODUCT(MAX(ROW(E$2:E1210)*(E1210=E$2:E1210)))))-COUNTBLANK(OFFSET(A$1,,,SUMPRODUCT(MAX(ROW(E$1:E1209)*(E2=E$1:E1209))))))</f>
        <v> </v>
      </c>
      <c r="K1210" s="26" t="str">
        <f>IF(OR(E1210="",E1210="!!!",F1210="NEW"),"",INDEX(J$1:J1209,SUMPRODUCT(MAX(ROW(E$1:E1209)*(E1210=E$1:E1209)))))</f>
        <v> </v>
      </c>
      <c r="L1210" s="27"/>
    </row>
    <row r="1211" spans="1:12">
      <c r="A1211" s="20" t="s">
        <v>1056</v>
      </c>
      <c r="E1211" s="22">
        <f>IF(D1211="?OLD","!!!","")</f>
        <v/>
      </c>
      <c r="F1211" s="23" t="str">
        <f>IF(OR(E1211="",E1211="!!!"),"",IF(NOT(ISNA(VLOOKUP(E1211,E$1:E1210,1,FALSE()))),"OLD",IF(AND(E1211&lt;&gt;"",E1211&lt;&gt;"!!!"),"NEW","")))</f>
        <v> </v>
      </c>
      <c r="G1211" s="24" t="str">
        <f>IF(OR(E1211="",E1211="!!!"),"",IF(OR(J1211=0,AND(J1211=1,K1211=1),AND(J1211=1,I1211="SBJ"),AND(J1211=1,I1211=0)),"?IN_FOCUS",IF(J1211&lt;=2,"?ACTIVATED",IF(J1211&lt;&gt;"","?FAMILIAR",IF(F1211="NEW",IF(ISNA(VLOOKUP(E1211,#REF!,1,FALSE())),"?TYPE_IDENTIFIABLE","?REFERENTIAL"),"_")))))</f>
        <v> </v>
      </c>
      <c r="H1211" s="25" t="str">
        <f>IF(J1211&lt;&gt;1,"",IF(I1211="SBJ","CB","?"))</f>
        <v> </v>
      </c>
      <c r="I1211" s="26" t="str">
        <f>IF(OR(E1211="",E1211="!!!",F1211="NEW"),"",INDEX(B1210:B$2,-1+SUMPRODUCT(MAX(ROW(E1210:E$2)*(E1211=E1210:E$2)))))</f>
        <v> </v>
      </c>
      <c r="J1211" s="26" t="str">
        <f>IF(OR(E1211="",E1211="!!!",F1211="NEW"),"",COUNTBLANK(OFFSET(A$1,,,SUMPRODUCT(MAX(ROW(E$2:E1211)*(E1211=E$2:E1211)))))-COUNTBLANK(OFFSET(A$1,,,SUMPRODUCT(MAX(ROW(E$1:E1210)*(E2=E$1:E1210))))))</f>
        <v> </v>
      </c>
      <c r="K1211" s="26" t="str">
        <f>IF(OR(E1211="",E1211="!!!",F1211="NEW"),"",INDEX(J$1:J1210,SUMPRODUCT(MAX(ROW(E$1:E1210)*(E1211=E$1:E1210)))))</f>
        <v> </v>
      </c>
      <c r="L1211" s="27"/>
    </row>
    <row r="1212" spans="1:12">
      <c r="A1212" s="20" t="s">
        <v>1466</v>
      </c>
      <c r="B1212" s="21" t="s">
        <v>1033</v>
      </c>
      <c r="C1212" s="21" t="s">
        <v>1013</v>
      </c>
      <c r="D1212" s="21" t="s">
        <v>1007</v>
      </c>
      <c r="E1212" s="22">
        <f>IF(D1212="?OLD","!!!","")</f>
        <v/>
      </c>
      <c r="F1212" s="23" t="str">
        <f>IF(OR(E1212="",E1212="!!!"),"",IF(NOT(ISNA(VLOOKUP(E1212,E$1:E1211,1,FALSE()))),"OLD",IF(AND(E1212&lt;&gt;"",E1212&lt;&gt;"!!!"),"NEW","")))</f>
        <v> </v>
      </c>
      <c r="G1212" s="24" t="str">
        <f>IF(OR(E1212="",E1212="!!!"),"",IF(OR(J1212=0,AND(J1212=1,K1212=1),AND(J1212=1,I1212="SBJ"),AND(J1212=1,I1212=0)),"?IN_FOCUS",IF(J1212&lt;=2,"?ACTIVATED",IF(J1212&lt;&gt;"","?FAMILIAR",IF(F1212="NEW",IF(ISNA(VLOOKUP(E1212,#REF!,1,FALSE())),"?TYPE_IDENTIFIABLE","?REFERENTIAL"),"_")))))</f>
        <v> </v>
      </c>
      <c r="H1212" s="25" t="str">
        <f>IF(J1212&lt;&gt;1,"",IF(I1212="SBJ","CB","?"))</f>
        <v> </v>
      </c>
      <c r="I1212" s="26" t="str">
        <f>IF(OR(E1212="",E1212="!!!",F1212="NEW"),"",INDEX(B1211:B$2,-1+SUMPRODUCT(MAX(ROW(E1211:E$2)*(E1212=E1211:E$2)))))</f>
        <v> </v>
      </c>
      <c r="J1212" s="26" t="str">
        <f>IF(OR(E1212="",E1212="!!!",F1212="NEW"),"",COUNTBLANK(OFFSET(A$1,,,SUMPRODUCT(MAX(ROW(E$2:E1212)*(E1212=E$2:E1212)))))-COUNTBLANK(OFFSET(A$1,,,SUMPRODUCT(MAX(ROW(E$1:E1211)*(E2=E$1:E1211))))))</f>
        <v> </v>
      </c>
      <c r="K1212" s="26" t="str">
        <f>IF(OR(E1212="",E1212="!!!",F1212="NEW"),"",INDEX(J$1:J1211,SUMPRODUCT(MAX(ROW(E$1:E1211)*(E1212=E$1:E1211)))))</f>
        <v> </v>
      </c>
      <c r="L1212" s="27"/>
    </row>
    <row r="1213" spans="1:12">
      <c r="A1213" s="20" t="s">
        <v>1492</v>
      </c>
      <c r="E1213" s="22">
        <f>IF(D1213="?OLD","!!!","")</f>
        <v/>
      </c>
      <c r="F1213" s="23" t="str">
        <f>IF(OR(E1213="",E1213="!!!"),"",IF(NOT(ISNA(VLOOKUP(E1213,E$1:E1212,1,FALSE()))),"OLD",IF(AND(E1213&lt;&gt;"",E1213&lt;&gt;"!!!"),"NEW","")))</f>
        <v> </v>
      </c>
      <c r="G1213" s="24" t="str">
        <f>IF(OR(E1213="",E1213="!!!"),"",IF(OR(J1213=0,AND(J1213=1,K1213=1),AND(J1213=1,I1213="SBJ"),AND(J1213=1,I1213=0)),"?IN_FOCUS",IF(J1213&lt;=2,"?ACTIVATED",IF(J1213&lt;&gt;"","?FAMILIAR",IF(F1213="NEW",IF(ISNA(VLOOKUP(E1213,#REF!,1,FALSE())),"?TYPE_IDENTIFIABLE","?REFERENTIAL"),"_")))))</f>
        <v> </v>
      </c>
      <c r="H1213" s="25" t="str">
        <f>IF(J1213&lt;&gt;1,"",IF(I1213="SBJ","CB","?"))</f>
        <v> </v>
      </c>
      <c r="I1213" s="26" t="str">
        <f>IF(OR(E1213="",E1213="!!!",F1213="NEW"),"",INDEX(B1212:B$2,-1+SUMPRODUCT(MAX(ROW(E1212:E$2)*(E1213=E1212:E$2)))))</f>
        <v> </v>
      </c>
      <c r="J1213" s="26" t="str">
        <f>IF(OR(E1213="",E1213="!!!",F1213="NEW"),"",COUNTBLANK(OFFSET(A$1,,,SUMPRODUCT(MAX(ROW(E$2:E1213)*(E1213=E$2:E1213)))))-COUNTBLANK(OFFSET(A$1,,,SUMPRODUCT(MAX(ROW(E$1:E1212)*(E2=E$1:E1212))))))</f>
        <v> </v>
      </c>
      <c r="K1213" s="26" t="str">
        <f>IF(OR(E1213="",E1213="!!!",F1213="NEW"),"",INDEX(J$1:J1212,SUMPRODUCT(MAX(ROW(E$1:E1212)*(E1213=E$1:E1212)))))</f>
        <v> </v>
      </c>
      <c r="L1213" s="27"/>
    </row>
    <row r="1214" spans="1:12">
      <c r="A1214" s="20" t="s">
        <v>1182</v>
      </c>
      <c r="E1214" s="22">
        <f>IF(D1214="?OLD","!!!","")</f>
        <v/>
      </c>
      <c r="F1214" s="23" t="str">
        <f>IF(OR(E1214="",E1214="!!!"),"",IF(NOT(ISNA(VLOOKUP(E1214,E$1:E1213,1,FALSE()))),"OLD",IF(AND(E1214&lt;&gt;"",E1214&lt;&gt;"!!!"),"NEW","")))</f>
        <v> </v>
      </c>
      <c r="G1214" s="24" t="str">
        <f>IF(OR(E1214="",E1214="!!!"),"",IF(OR(J1214=0,AND(J1214=1,K1214=1),AND(J1214=1,I1214="SBJ"),AND(J1214=1,I1214=0)),"?IN_FOCUS",IF(J1214&lt;=2,"?ACTIVATED",IF(J1214&lt;&gt;"","?FAMILIAR",IF(F1214="NEW",IF(ISNA(VLOOKUP(E1214,#REF!,1,FALSE())),"?TYPE_IDENTIFIABLE","?REFERENTIAL"),"_")))))</f>
        <v> </v>
      </c>
      <c r="H1214" s="25" t="str">
        <f>IF(J1214&lt;&gt;1,"",IF(I1214="SBJ","CB","?"))</f>
        <v> </v>
      </c>
      <c r="I1214" s="26" t="str">
        <f>IF(OR(E1214="",E1214="!!!",F1214="NEW"),"",INDEX(B1213:B$2,-1+SUMPRODUCT(MAX(ROW(E1213:E$2)*(E1214=E1213:E$2)))))</f>
        <v> </v>
      </c>
      <c r="J1214" s="26" t="str">
        <f>IF(OR(E1214="",E1214="!!!",F1214="NEW"),"",COUNTBLANK(OFFSET(A$1,,,SUMPRODUCT(MAX(ROW(E$2:E1214)*(E1214=E$2:E1214)))))-COUNTBLANK(OFFSET(A$1,,,SUMPRODUCT(MAX(ROW(E$1:E1213)*(E2=E$1:E1213))))))</f>
        <v> </v>
      </c>
      <c r="K1214" s="26" t="str">
        <f>IF(OR(E1214="",E1214="!!!",F1214="NEW"),"",INDEX(J$1:J1213,SUMPRODUCT(MAX(ROW(E$1:E1213)*(E1214=E$1:E1213)))))</f>
        <v> </v>
      </c>
      <c r="L1214" s="27"/>
    </row>
    <row r="1215" spans="1:12">
      <c r="A1215" s="20" t="s">
        <v>1493</v>
      </c>
      <c r="B1215" s="21" t="s">
        <v>1035</v>
      </c>
      <c r="C1215" s="21" t="s">
        <v>1013</v>
      </c>
      <c r="D1215" s="21" t="s">
        <v>1007</v>
      </c>
      <c r="E1215" s="22">
        <f>IF(D1215="?OLD","!!!","")</f>
        <v/>
      </c>
      <c r="F1215" s="23" t="str">
        <f>IF(OR(E1215="",E1215="!!!"),"",IF(NOT(ISNA(VLOOKUP(E1215,E$1:E1214,1,FALSE()))),"OLD",IF(AND(E1215&lt;&gt;"",E1215&lt;&gt;"!!!"),"NEW","")))</f>
        <v> </v>
      </c>
      <c r="G1215" s="24" t="str">
        <f>IF(OR(E1215="",E1215="!!!"),"",IF(OR(J1215=0,AND(J1215=1,K1215=1),AND(J1215=1,I1215="SBJ"),AND(J1215=1,I1215=0)),"?IN_FOCUS",IF(J1215&lt;=2,"?ACTIVATED",IF(J1215&lt;&gt;"","?FAMILIAR",IF(F1215="NEW",IF(ISNA(VLOOKUP(E1215,#REF!,1,FALSE())),"?TYPE_IDENTIFIABLE","?REFERENTIAL"),"_")))))</f>
        <v> </v>
      </c>
      <c r="H1215" s="25" t="str">
        <f>IF(J1215&lt;&gt;1,"",IF(I1215="SBJ","CB","?"))</f>
        <v> </v>
      </c>
      <c r="I1215" s="26" t="str">
        <f>IF(OR(E1215="",E1215="!!!",F1215="NEW"),"",INDEX(B1214:B$2,-1+SUMPRODUCT(MAX(ROW(E1214:E$2)*(E1215=E1214:E$2)))))</f>
        <v> </v>
      </c>
      <c r="J1215" s="26" t="str">
        <f>IF(OR(E1215="",E1215="!!!",F1215="NEW"),"",COUNTBLANK(OFFSET(A$1,,,SUMPRODUCT(MAX(ROW(E$2:E1215)*(E1215=E$2:E1215)))))-COUNTBLANK(OFFSET(A$1,,,SUMPRODUCT(MAX(ROW(E$1:E1214)*(E2=E$1:E1214))))))</f>
        <v> </v>
      </c>
      <c r="K1215" s="26" t="str">
        <f>IF(OR(E1215="",E1215="!!!",F1215="NEW"),"",INDEX(J$1:J1214,SUMPRODUCT(MAX(ROW(E$1:E1214)*(E1215=E$1:E1214)))))</f>
        <v> </v>
      </c>
      <c r="L1215" s="27"/>
    </row>
    <row r="1216" spans="1:12">
      <c r="A1216" s="20" t="s">
        <v>1030</v>
      </c>
      <c r="E1216" s="22">
        <f>IF(D1216="?OLD","!!!","")</f>
        <v/>
      </c>
      <c r="F1216" s="23" t="str">
        <f>IF(OR(E1216="",E1216="!!!"),"",IF(NOT(ISNA(VLOOKUP(E1216,E$1:E1215,1,FALSE()))),"OLD",IF(AND(E1216&lt;&gt;"",E1216&lt;&gt;"!!!"),"NEW","")))</f>
        <v> </v>
      </c>
      <c r="G1216" s="24" t="str">
        <f>IF(OR(E1216="",E1216="!!!"),"",IF(OR(J1216=0,AND(J1216=1,K1216=1),AND(J1216=1,I1216="SBJ"),AND(J1216=1,I1216=0)),"?IN_FOCUS",IF(J1216&lt;=2,"?ACTIVATED",IF(J1216&lt;&gt;"","?FAMILIAR",IF(F1216="NEW",IF(ISNA(VLOOKUP(E1216,#REF!,1,FALSE())),"?TYPE_IDENTIFIABLE","?REFERENTIAL"),"_")))))</f>
        <v> </v>
      </c>
      <c r="H1216" s="25" t="str">
        <f>IF(J1216&lt;&gt;1,"",IF(I1216="SBJ","CB","?"))</f>
        <v> </v>
      </c>
      <c r="I1216" s="26" t="str">
        <f>IF(OR(E1216="",E1216="!!!",F1216="NEW"),"",INDEX(B1215:B$2,-1+SUMPRODUCT(MAX(ROW(E1215:E$2)*(E1216=E1215:E$2)))))</f>
        <v> </v>
      </c>
      <c r="J1216" s="26" t="str">
        <f>IF(OR(E1216="",E1216="!!!",F1216="NEW"),"",COUNTBLANK(OFFSET(A$1,,,SUMPRODUCT(MAX(ROW(E$2:E1216)*(E1216=E$2:E1216)))))-COUNTBLANK(OFFSET(A$1,,,SUMPRODUCT(MAX(ROW(E$1:E1215)*(E2=E$1:E1215))))))</f>
        <v> </v>
      </c>
      <c r="K1216" s="26" t="str">
        <f>IF(OR(E1216="",E1216="!!!",F1216="NEW"),"",INDEX(J$1:J1215,SUMPRODUCT(MAX(ROW(E$1:E1215)*(E1216=E$1:E1215)))))</f>
        <v> </v>
      </c>
      <c r="L1216" s="27"/>
    </row>
    <row r="1217" spans="1:12">
      <c r="A1217" s="20" t="s">
        <v>1494</v>
      </c>
      <c r="B1217" s="21" t="s">
        <v>1130</v>
      </c>
      <c r="C1217" s="21" t="s">
        <v>1013</v>
      </c>
      <c r="D1217" s="21" t="s">
        <v>1007</v>
      </c>
      <c r="E1217" s="22">
        <f>IF(D1217="?OLD","!!!","")</f>
        <v/>
      </c>
      <c r="F1217" s="23" t="str">
        <f>IF(OR(E1217="",E1217="!!!"),"",IF(NOT(ISNA(VLOOKUP(E1217,E$1:E1216,1,FALSE()))),"OLD",IF(AND(E1217&lt;&gt;"",E1217&lt;&gt;"!!!"),"NEW","")))</f>
        <v> </v>
      </c>
      <c r="G1217" s="24" t="str">
        <f>IF(OR(E1217="",E1217="!!!"),"",IF(OR(J1217=0,AND(J1217=1,K1217=1),AND(J1217=1,I1217="SBJ"),AND(J1217=1,I1217=0)),"?IN_FOCUS",IF(J1217&lt;=2,"?ACTIVATED",IF(J1217&lt;&gt;"","?FAMILIAR",IF(F1217="NEW",IF(ISNA(VLOOKUP(E1217,#REF!,1,FALSE())),"?TYPE_IDENTIFIABLE","?REFERENTIAL"),"_")))))</f>
        <v> </v>
      </c>
      <c r="H1217" s="25" t="str">
        <f>IF(J1217&lt;&gt;1,"",IF(I1217="SBJ","CB","?"))</f>
        <v> </v>
      </c>
      <c r="I1217" s="26" t="str">
        <f>IF(OR(E1217="",E1217="!!!",F1217="NEW"),"",INDEX(B1216:B$2,-1+SUMPRODUCT(MAX(ROW(E1216:E$2)*(E1217=E1216:E$2)))))</f>
        <v> </v>
      </c>
      <c r="J1217" s="26" t="str">
        <f>IF(OR(E1217="",E1217="!!!",F1217="NEW"),"",COUNTBLANK(OFFSET(A$1,,,SUMPRODUCT(MAX(ROW(E$2:E1217)*(E1217=E$2:E1217)))))-COUNTBLANK(OFFSET(A$1,,,SUMPRODUCT(MAX(ROW(E$1:E1216)*(E2=E$1:E1216))))))</f>
        <v> </v>
      </c>
      <c r="K1217" s="26" t="str">
        <f>IF(OR(E1217="",E1217="!!!",F1217="NEW"),"",INDEX(J$1:J1216,SUMPRODUCT(MAX(ROW(E$1:E1216)*(E1217=E$1:E1216)))))</f>
        <v> </v>
      </c>
      <c r="L1217" s="27"/>
    </row>
    <row r="1218" spans="1:12">
      <c r="A1218" s="20" t="s">
        <v>1229</v>
      </c>
      <c r="E1218" s="22">
        <f>IF(D1218="?OLD","!!!","")</f>
        <v/>
      </c>
      <c r="F1218" s="23" t="str">
        <f>IF(OR(E1218="",E1218="!!!"),"",IF(NOT(ISNA(VLOOKUP(E1218,E$1:E1217,1,FALSE()))),"OLD",IF(AND(E1218&lt;&gt;"",E1218&lt;&gt;"!!!"),"NEW","")))</f>
        <v> </v>
      </c>
      <c r="G1218" s="24" t="str">
        <f>IF(OR(E1218="",E1218="!!!"),"",IF(OR(J1218=0,AND(J1218=1,K1218=1),AND(J1218=1,I1218="SBJ"),AND(J1218=1,I1218=0)),"?IN_FOCUS",IF(J1218&lt;=2,"?ACTIVATED",IF(J1218&lt;&gt;"","?FAMILIAR",IF(F1218="NEW",IF(ISNA(VLOOKUP(E1218,#REF!,1,FALSE())),"?TYPE_IDENTIFIABLE","?REFERENTIAL"),"_")))))</f>
        <v> </v>
      </c>
      <c r="H1218" s="25" t="str">
        <f>IF(J1218&lt;&gt;1,"",IF(I1218="SBJ","CB","?"))</f>
        <v> </v>
      </c>
      <c r="I1218" s="26" t="str">
        <f>IF(OR(E1218="",E1218="!!!",F1218="NEW"),"",INDEX(B1217:B$2,-1+SUMPRODUCT(MAX(ROW(E1217:E$2)*(E1218=E1217:E$2)))))</f>
        <v> </v>
      </c>
      <c r="J1218" s="26" t="str">
        <f>IF(OR(E1218="",E1218="!!!",F1218="NEW"),"",COUNTBLANK(OFFSET(A$1,,,SUMPRODUCT(MAX(ROW(E$2:E1218)*(E1218=E$2:E1218)))))-COUNTBLANK(OFFSET(A$1,,,SUMPRODUCT(MAX(ROW(E$1:E1217)*(E2=E$1:E1217))))))</f>
        <v> </v>
      </c>
      <c r="K1218" s="26" t="str">
        <f>IF(OR(E1218="",E1218="!!!",F1218="NEW"),"",INDEX(J$1:J1217,SUMPRODUCT(MAX(ROW(E$1:E1217)*(E1218=E$1:E1217)))))</f>
        <v> </v>
      </c>
      <c r="L1218" s="27"/>
    </row>
    <row r="1219" spans="1:12">
      <c r="A1219" s="20" t="s">
        <v>1014</v>
      </c>
      <c r="E1219" s="22">
        <f>IF(D1219="?OLD","!!!","")</f>
        <v/>
      </c>
      <c r="F1219" s="23" t="str">
        <f>IF(OR(E1219="",E1219="!!!"),"",IF(NOT(ISNA(VLOOKUP(E1219,E$1:E1218,1,FALSE()))),"OLD",IF(AND(E1219&lt;&gt;"",E1219&lt;&gt;"!!!"),"NEW","")))</f>
        <v> </v>
      </c>
      <c r="G1219" s="24" t="str">
        <f>IF(OR(E1219="",E1219="!!!"),"",IF(OR(J1219=0,AND(J1219=1,K1219=1),AND(J1219=1,I1219="SBJ"),AND(J1219=1,I1219=0)),"?IN_FOCUS",IF(J1219&lt;=2,"?ACTIVATED",IF(J1219&lt;&gt;"","?FAMILIAR",IF(F1219="NEW",IF(ISNA(VLOOKUP(E1219,#REF!,1,FALSE())),"?TYPE_IDENTIFIABLE","?REFERENTIAL"),"_")))))</f>
        <v> </v>
      </c>
      <c r="H1219" s="25" t="str">
        <f>IF(J1219&lt;&gt;1,"",IF(I1219="SBJ","CB","?"))</f>
        <v> </v>
      </c>
      <c r="I1219" s="26" t="str">
        <f>IF(OR(E1219="",E1219="!!!",F1219="NEW"),"",INDEX(B1218:B$2,-1+SUMPRODUCT(MAX(ROW(E1218:E$2)*(E1219=E1218:E$2)))))</f>
        <v> </v>
      </c>
      <c r="J1219" s="26" t="str">
        <f>IF(OR(E1219="",E1219="!!!",F1219="NEW"),"",COUNTBLANK(OFFSET(A$1,,,SUMPRODUCT(MAX(ROW(E$2:E1219)*(E1219=E$2:E1219)))))-COUNTBLANK(OFFSET(A$1,,,SUMPRODUCT(MAX(ROW(E$1:E1218)*(E2=E$1:E1218))))))</f>
        <v> </v>
      </c>
      <c r="K1219" s="26" t="str">
        <f>IF(OR(E1219="",E1219="!!!",F1219="NEW"),"",INDEX(J$1:J1218,SUMPRODUCT(MAX(ROW(E$1:E1218)*(E1219=E$1:E1218)))))</f>
        <v> </v>
      </c>
      <c r="L1219" s="27"/>
    </row>
    <row r="1220" spans="1:12">
      <c r="A1220" s="20" t="s">
        <v>1020</v>
      </c>
      <c r="E1220" s="22">
        <f>IF(D1220="?OLD","!!!","")</f>
        <v/>
      </c>
      <c r="F1220" s="23" t="str">
        <f>IF(OR(E1220="",E1220="!!!"),"",IF(NOT(ISNA(VLOOKUP(E1220,E$1:E1219,1,FALSE()))),"OLD",IF(AND(E1220&lt;&gt;"",E1220&lt;&gt;"!!!"),"NEW","")))</f>
        <v> </v>
      </c>
      <c r="G1220" s="24" t="str">
        <f>IF(OR(E1220="",E1220="!!!"),"",IF(OR(J1220=0,AND(J1220=1,K1220=1),AND(J1220=1,I1220="SBJ"),AND(J1220=1,I1220=0)),"?IN_FOCUS",IF(J1220&lt;=2,"?ACTIVATED",IF(J1220&lt;&gt;"","?FAMILIAR",IF(F1220="NEW",IF(ISNA(VLOOKUP(E1220,#REF!,1,FALSE())),"?TYPE_IDENTIFIABLE","?REFERENTIAL"),"_")))))</f>
        <v> </v>
      </c>
      <c r="H1220" s="25" t="str">
        <f>IF(J1220&lt;&gt;1,"",IF(I1220="SBJ","CB","?"))</f>
        <v> </v>
      </c>
      <c r="I1220" s="26" t="str">
        <f>IF(OR(E1220="",E1220="!!!",F1220="NEW"),"",INDEX(B1219:B$2,-1+SUMPRODUCT(MAX(ROW(E1219:E$2)*(E1220=E1219:E$2)))))</f>
        <v> </v>
      </c>
      <c r="J1220" s="26" t="str">
        <f>IF(OR(E1220="",E1220="!!!",F1220="NEW"),"",COUNTBLANK(OFFSET(A$1,,,SUMPRODUCT(MAX(ROW(E$2:E1220)*(E1220=E$2:E1220)))))-COUNTBLANK(OFFSET(A$1,,,SUMPRODUCT(MAX(ROW(E$1:E1219)*(E2=E$1:E1219))))))</f>
        <v> </v>
      </c>
      <c r="K1220" s="26" t="str">
        <f>IF(OR(E1220="",E1220="!!!",F1220="NEW"),"",INDEX(J$1:J1219,SUMPRODUCT(MAX(ROW(E$1:E1219)*(E1220=E$1:E1219)))))</f>
        <v> </v>
      </c>
      <c r="L1220" s="27"/>
    </row>
    <row r="1221" spans="1:12">
      <c r="A1221" s="20" t="s">
        <v>1495</v>
      </c>
      <c r="B1221" s="21" t="s">
        <v>1040</v>
      </c>
      <c r="C1221" s="21" t="s">
        <v>1017</v>
      </c>
      <c r="D1221" s="21" t="s">
        <v>1007</v>
      </c>
      <c r="E1221" s="22">
        <f>IF(D1221="?OLD","!!!","")</f>
        <v/>
      </c>
      <c r="F1221" s="23" t="str">
        <f>IF(OR(E1221="",E1221="!!!"),"",IF(NOT(ISNA(VLOOKUP(E1221,E$1:E1220,1,FALSE()))),"OLD",IF(AND(E1221&lt;&gt;"",E1221&lt;&gt;"!!!"),"NEW","")))</f>
        <v> </v>
      </c>
      <c r="G1221" s="24" t="str">
        <f>IF(OR(E1221="",E1221="!!!"),"",IF(OR(J1221=0,AND(J1221=1,K1221=1),AND(J1221=1,I1221="SBJ"),AND(J1221=1,I1221=0)),"?IN_FOCUS",IF(J1221&lt;=2,"?ACTIVATED",IF(J1221&lt;&gt;"","?FAMILIAR",IF(F1221="NEW",IF(ISNA(VLOOKUP(E1221,#REF!,1,FALSE())),"?TYPE_IDENTIFIABLE","?REFERENTIAL"),"_")))))</f>
        <v> </v>
      </c>
      <c r="H1221" s="25" t="str">
        <f>IF(J1221&lt;&gt;1,"",IF(I1221="SBJ","CB","?"))</f>
        <v> </v>
      </c>
      <c r="I1221" s="26" t="str">
        <f>IF(OR(E1221="",E1221="!!!",F1221="NEW"),"",INDEX(B1220:B$2,-1+SUMPRODUCT(MAX(ROW(E1220:E$2)*(E1221=E1220:E$2)))))</f>
        <v> </v>
      </c>
      <c r="J1221" s="26" t="str">
        <f>IF(OR(E1221="",E1221="!!!",F1221="NEW"),"",COUNTBLANK(OFFSET(A$1,,,SUMPRODUCT(MAX(ROW(E$2:E1221)*(E1221=E$2:E1221)))))-COUNTBLANK(OFFSET(A$1,,,SUMPRODUCT(MAX(ROW(E$1:E1220)*(E2=E$1:E1220))))))</f>
        <v> </v>
      </c>
      <c r="K1221" s="26" t="str">
        <f>IF(OR(E1221="",E1221="!!!",F1221="NEW"),"",INDEX(J$1:J1220,SUMPRODUCT(MAX(ROW(E$1:E1220)*(E1221=E$1:E1220)))))</f>
        <v> </v>
      </c>
      <c r="L1221" s="27"/>
    </row>
    <row r="1222" spans="1:12">
      <c r="A1222" s="20" t="s">
        <v>1065</v>
      </c>
      <c r="B1222" s="21" t="s">
        <v>1437</v>
      </c>
      <c r="E1222" s="22">
        <f>IF(D1222="?OLD","!!!","")</f>
        <v/>
      </c>
      <c r="F1222" s="23" t="str">
        <f>IF(OR(E1222="",E1222="!!!"),"",IF(NOT(ISNA(VLOOKUP(E1222,E$1:E1221,1,FALSE()))),"OLD",IF(AND(E1222&lt;&gt;"",E1222&lt;&gt;"!!!"),"NEW","")))</f>
        <v> </v>
      </c>
      <c r="G1222" s="24" t="str">
        <f>IF(OR(E1222="",E1222="!!!"),"",IF(OR(J1222=0,AND(J1222=1,K1222=1),AND(J1222=1,I1222="SBJ"),AND(J1222=1,I1222=0)),"?IN_FOCUS",IF(J1222&lt;=2,"?ACTIVATED",IF(J1222&lt;&gt;"","?FAMILIAR",IF(F1222="NEW",IF(ISNA(VLOOKUP(E1222,#REF!,1,FALSE())),"?TYPE_IDENTIFIABLE","?REFERENTIAL"),"_")))))</f>
        <v> </v>
      </c>
      <c r="H1222" s="25" t="str">
        <f>IF(J1222&lt;&gt;1,"",IF(I1222="SBJ","CB","?"))</f>
        <v> </v>
      </c>
      <c r="I1222" s="26" t="str">
        <f>IF(OR(E1222="",E1222="!!!",F1222="NEW"),"",INDEX(B1221:B$2,-1+SUMPRODUCT(MAX(ROW(E1221:E$2)*(E1222=E1221:E$2)))))</f>
        <v> </v>
      </c>
      <c r="J1222" s="26" t="str">
        <f>IF(OR(E1222="",E1222="!!!",F1222="NEW"),"",COUNTBLANK(OFFSET(A$1,,,SUMPRODUCT(MAX(ROW(E$2:E1222)*(E1222=E$2:E1222)))))-COUNTBLANK(OFFSET(A$1,,,SUMPRODUCT(MAX(ROW(E$1:E1221)*(E2=E$1:E1221))))))</f>
        <v> </v>
      </c>
      <c r="K1222" s="26" t="str">
        <f>IF(OR(E1222="",E1222="!!!",F1222="NEW"),"",INDEX(J$1:J1221,SUMPRODUCT(MAX(ROW(E$1:E1221)*(E1222=E$1:E1221)))))</f>
        <v> </v>
      </c>
      <c r="L1222" s="27"/>
    </row>
    <row r="1223" spans="1:12">
      <c r="A1223" s="20" t="s">
        <v>1484</v>
      </c>
      <c r="E1223" s="22">
        <f>IF(D1223="?OLD","!!!","")</f>
        <v/>
      </c>
      <c r="F1223" s="23" t="str">
        <f>IF(OR(E1223="",E1223="!!!"),"",IF(NOT(ISNA(VLOOKUP(E1223,E$1:E1222,1,FALSE()))),"OLD",IF(AND(E1223&lt;&gt;"",E1223&lt;&gt;"!!!"),"NEW","")))</f>
        <v> </v>
      </c>
      <c r="G1223" s="24" t="str">
        <f>IF(OR(E1223="",E1223="!!!"),"",IF(OR(J1223=0,AND(J1223=1,K1223=1),AND(J1223=1,I1223="SBJ"),AND(J1223=1,I1223=0)),"?IN_FOCUS",IF(J1223&lt;=2,"?ACTIVATED",IF(J1223&lt;&gt;"","?FAMILIAR",IF(F1223="NEW",IF(ISNA(VLOOKUP(E1223,#REF!,1,FALSE())),"?TYPE_IDENTIFIABLE","?REFERENTIAL"),"_")))))</f>
        <v> </v>
      </c>
      <c r="H1223" s="25" t="str">
        <f>IF(J1223&lt;&gt;1,"",IF(I1223="SBJ","CB","?"))</f>
        <v> </v>
      </c>
      <c r="I1223" s="26" t="str">
        <f>IF(OR(E1223="",E1223="!!!",F1223="NEW"),"",INDEX(B1222:B$2,-1+SUMPRODUCT(MAX(ROW(E1222:E$2)*(E1223=E1222:E$2)))))</f>
        <v> </v>
      </c>
      <c r="J1223" s="26" t="str">
        <f>IF(OR(E1223="",E1223="!!!",F1223="NEW"),"",COUNTBLANK(OFFSET(A$1,,,SUMPRODUCT(MAX(ROW(E$2:E1223)*(E1223=E$2:E1223)))))-COUNTBLANK(OFFSET(A$1,,,SUMPRODUCT(MAX(ROW(E$1:E1222)*(E2=E$1:E1222))))))</f>
        <v> </v>
      </c>
      <c r="K1223" s="26" t="str">
        <f>IF(OR(E1223="",E1223="!!!",F1223="NEW"),"",INDEX(J$1:J1222,SUMPRODUCT(MAX(ROW(E$1:E1222)*(E1223=E$1:E1222)))))</f>
        <v> </v>
      </c>
      <c r="L1223" s="27"/>
    </row>
    <row r="1224" spans="1:12">
      <c r="A1224" s="20" t="s">
        <v>129</v>
      </c>
      <c r="E1224" s="22">
        <f>IF(D1224="?OLD","!!!","")</f>
        <v/>
      </c>
      <c r="F1224" s="23" t="str">
        <f>IF(OR(E1224="",E1224="!!!"),"",IF(NOT(ISNA(VLOOKUP(E1224,E$1:E1223,1,FALSE()))),"OLD",IF(AND(E1224&lt;&gt;"",E1224&lt;&gt;"!!!"),"NEW","")))</f>
        <v> </v>
      </c>
      <c r="G1224" s="24" t="str">
        <f>IF(OR(E1224="",E1224="!!!"),"",IF(OR(J1224=0,AND(J1224=1,K1224=1),AND(J1224=1,I1224="SBJ"),AND(J1224=1,I1224=0)),"?IN_FOCUS",IF(J1224&lt;=2,"?ACTIVATED",IF(J1224&lt;&gt;"","?FAMILIAR",IF(F1224="NEW",IF(ISNA(VLOOKUP(E1224,#REF!,1,FALSE())),"?TYPE_IDENTIFIABLE","?REFERENTIAL"),"_")))))</f>
        <v> </v>
      </c>
      <c r="H1224" s="25" t="str">
        <f>IF(J1224&lt;&gt;1,"",IF(I1224="SBJ","CB","?"))</f>
        <v> </v>
      </c>
      <c r="I1224" s="26" t="str">
        <f>IF(OR(E1224="",E1224="!!!",F1224="NEW"),"",INDEX(B1223:B$2,-1+SUMPRODUCT(MAX(ROW(E1223:E$2)*(E1224=E1223:E$2)))))</f>
        <v> </v>
      </c>
      <c r="J1224" s="26" t="str">
        <f>IF(OR(E1224="",E1224="!!!",F1224="NEW"),"",COUNTBLANK(OFFSET(A$1,,,SUMPRODUCT(MAX(ROW(E$2:E1224)*(E1224=E$2:E1224)))))-COUNTBLANK(OFFSET(A$1,,,SUMPRODUCT(MAX(ROW(E$1:E1223)*(E2=E$1:E1223))))))</f>
        <v> </v>
      </c>
      <c r="K1224" s="26" t="str">
        <f>IF(OR(E1224="",E1224="!!!",F1224="NEW"),"",INDEX(J$1:J1223,SUMPRODUCT(MAX(ROW(E$1:E1223)*(E1224=E$1:E1223)))))</f>
        <v> </v>
      </c>
      <c r="L1224" s="27"/>
    </row>
    <row r="1225" spans="1:12">
      <c r="A1225" s="20" t="s">
        <v>1496</v>
      </c>
      <c r="E1225" s="22">
        <f>IF(D1225="?OLD","!!!","")</f>
        <v/>
      </c>
      <c r="F1225" s="23" t="str">
        <f>IF(OR(E1225="",E1225="!!!"),"",IF(NOT(ISNA(VLOOKUP(E1225,E$1:E1224,1,FALSE()))),"OLD",IF(AND(E1225&lt;&gt;"",E1225&lt;&gt;"!!!"),"NEW","")))</f>
        <v> </v>
      </c>
      <c r="G1225" s="24" t="str">
        <f>IF(OR(E1225="",E1225="!!!"),"",IF(OR(J1225=0,AND(J1225=1,K1225=1),AND(J1225=1,I1225="SBJ"),AND(J1225=1,I1225=0)),"?IN_FOCUS",IF(J1225&lt;=2,"?ACTIVATED",IF(J1225&lt;&gt;"","?FAMILIAR",IF(F1225="NEW",IF(ISNA(VLOOKUP(E1225,#REF!,1,FALSE())),"?TYPE_IDENTIFIABLE","?REFERENTIAL"),"_")))))</f>
        <v> </v>
      </c>
      <c r="H1225" s="25" t="str">
        <f>IF(J1225&lt;&gt;1,"",IF(I1225="SBJ","CB","?"))</f>
        <v> </v>
      </c>
      <c r="I1225" s="26" t="str">
        <f>IF(OR(E1225="",E1225="!!!",F1225="NEW"),"",INDEX(B1224:B$2,-1+SUMPRODUCT(MAX(ROW(E1224:E$2)*(E1225=E1224:E$2)))))</f>
        <v> </v>
      </c>
      <c r="J1225" s="26" t="str">
        <f>IF(OR(E1225="",E1225="!!!",F1225="NEW"),"",COUNTBLANK(OFFSET(A$1,,,SUMPRODUCT(MAX(ROW(E$2:E1225)*(E1225=E$2:E1225)))))-COUNTBLANK(OFFSET(A$1,,,SUMPRODUCT(MAX(ROW(E$1:E1224)*(E2=E$1:E1224))))))</f>
        <v> </v>
      </c>
      <c r="K1225" s="26" t="str">
        <f>IF(OR(E1225="",E1225="!!!",F1225="NEW"),"",INDEX(J$1:J1224,SUMPRODUCT(MAX(ROW(E$1:E1224)*(E1225=E$1:E1224)))))</f>
        <v> </v>
      </c>
      <c r="L1225" s="27"/>
    </row>
    <row r="1226" spans="1:12">
      <c r="A1226" s="20" t="s">
        <v>1497</v>
      </c>
      <c r="B1226" s="21" t="s">
        <v>1487</v>
      </c>
      <c r="C1226" s="21" t="s">
        <v>1013</v>
      </c>
      <c r="D1226" s="21" t="s">
        <v>1007</v>
      </c>
      <c r="E1226" s="22">
        <f>IF(D1226="?OLD","!!!","")</f>
        <v/>
      </c>
      <c r="F1226" s="23" t="str">
        <f>IF(OR(E1226="",E1226="!!!"),"",IF(NOT(ISNA(VLOOKUP(E1226,E$1:E1225,1,FALSE()))),"OLD",IF(AND(E1226&lt;&gt;"",E1226&lt;&gt;"!!!"),"NEW","")))</f>
        <v> </v>
      </c>
      <c r="G1226" s="24" t="str">
        <f>IF(OR(E1226="",E1226="!!!"),"",IF(OR(J1226=0,AND(J1226=1,K1226=1),AND(J1226=1,I1226="SBJ"),AND(J1226=1,I1226=0)),"?IN_FOCUS",IF(J1226&lt;=2,"?ACTIVATED",IF(J1226&lt;&gt;"","?FAMILIAR",IF(F1226="NEW",IF(ISNA(VLOOKUP(E1226,#REF!,1,FALSE())),"?TYPE_IDENTIFIABLE","?REFERENTIAL"),"_")))))</f>
        <v> </v>
      </c>
      <c r="H1226" s="25" t="str">
        <f>IF(J1226&lt;&gt;1,"",IF(I1226="SBJ","CB","?"))</f>
        <v> </v>
      </c>
      <c r="I1226" s="26" t="str">
        <f>IF(OR(E1226="",E1226="!!!",F1226="NEW"),"",INDEX(B1225:B$2,-1+SUMPRODUCT(MAX(ROW(E1225:E$2)*(E1226=E1225:E$2)))))</f>
        <v> </v>
      </c>
      <c r="J1226" s="26" t="str">
        <f>IF(OR(E1226="",E1226="!!!",F1226="NEW"),"",COUNTBLANK(OFFSET(A$1,,,SUMPRODUCT(MAX(ROW(E$2:E1226)*(E1226=E$2:E1226)))))-COUNTBLANK(OFFSET(A$1,,,SUMPRODUCT(MAX(ROW(E$1:E1225)*(E2=E$1:E1225))))))</f>
        <v> </v>
      </c>
      <c r="K1226" s="26" t="str">
        <f>IF(OR(E1226="",E1226="!!!",F1226="NEW"),"",INDEX(J$1:J1225,SUMPRODUCT(MAX(ROW(E$1:E1225)*(E1226=E$1:E1225)))))</f>
        <v> </v>
      </c>
      <c r="L1226" s="27"/>
    </row>
    <row r="1227" spans="1:12">
      <c r="A1227" s="20" t="s">
        <v>1014</v>
      </c>
      <c r="E1227" s="22">
        <f>IF(D1227="?OLD","!!!","")</f>
        <v/>
      </c>
      <c r="F1227" s="23" t="str">
        <f>IF(OR(E1227="",E1227="!!!"),"",IF(NOT(ISNA(VLOOKUP(E1227,E$1:E1226,1,FALSE()))),"OLD",IF(AND(E1227&lt;&gt;"",E1227&lt;&gt;"!!!"),"NEW","")))</f>
        <v> </v>
      </c>
      <c r="G1227" s="24" t="str">
        <f>IF(OR(E1227="",E1227="!!!"),"",IF(OR(J1227=0,AND(J1227=1,K1227=1),AND(J1227=1,I1227="SBJ"),AND(J1227=1,I1227=0)),"?IN_FOCUS",IF(J1227&lt;=2,"?ACTIVATED",IF(J1227&lt;&gt;"","?FAMILIAR",IF(F1227="NEW",IF(ISNA(VLOOKUP(E1227,#REF!,1,FALSE())),"?TYPE_IDENTIFIABLE","?REFERENTIAL"),"_")))))</f>
        <v> </v>
      </c>
      <c r="H1227" s="25" t="str">
        <f>IF(J1227&lt;&gt;1,"",IF(I1227="SBJ","CB","?"))</f>
        <v> </v>
      </c>
      <c r="I1227" s="26" t="str">
        <f>IF(OR(E1227="",E1227="!!!",F1227="NEW"),"",INDEX(B1226:B$2,-1+SUMPRODUCT(MAX(ROW(E1226:E$2)*(E1227=E1226:E$2)))))</f>
        <v> </v>
      </c>
      <c r="J1227" s="26" t="str">
        <f>IF(OR(E1227="",E1227="!!!",F1227="NEW"),"",COUNTBLANK(OFFSET(A$1,,,SUMPRODUCT(MAX(ROW(E$2:E1227)*(E1227=E$2:E1227)))))-COUNTBLANK(OFFSET(A$1,,,SUMPRODUCT(MAX(ROW(E$1:E1226)*(E2=E$1:E1226))))))</f>
        <v> </v>
      </c>
      <c r="K1227" s="26" t="str">
        <f>IF(OR(E1227="",E1227="!!!",F1227="NEW"),"",INDEX(J$1:J1226,SUMPRODUCT(MAX(ROW(E$1:E1226)*(E1227=E$1:E1226)))))</f>
        <v> </v>
      </c>
      <c r="L1227" s="27"/>
    </row>
    <row r="1228" spans="1:12">
      <c r="A1228" s="20" t="s">
        <v>1498</v>
      </c>
      <c r="B1228" s="21" t="s">
        <v>1215</v>
      </c>
      <c r="C1228" s="21" t="s">
        <v>1048</v>
      </c>
      <c r="E1228" s="22">
        <f>IF(D1228="?OLD","!!!","")</f>
        <v/>
      </c>
      <c r="F1228" s="23" t="str">
        <f>IF(OR(E1228="",E1228="!!!"),"",IF(NOT(ISNA(VLOOKUP(E1228,E$1:E1227,1,FALSE()))),"OLD",IF(AND(E1228&lt;&gt;"",E1228&lt;&gt;"!!!"),"NEW","")))</f>
        <v> </v>
      </c>
      <c r="G1228" s="24" t="str">
        <f>IF(OR(E1228="",E1228="!!!"),"",IF(OR(J1228=0,AND(J1228=1,K1228=1),AND(J1228=1,I1228="SBJ"),AND(J1228=1,I1228=0)),"?IN_FOCUS",IF(J1228&lt;=2,"?ACTIVATED",IF(J1228&lt;&gt;"","?FAMILIAR",IF(F1228="NEW",IF(ISNA(VLOOKUP(E1228,#REF!,1,FALSE())),"?TYPE_IDENTIFIABLE","?REFERENTIAL"),"_")))))</f>
        <v> </v>
      </c>
      <c r="H1228" s="25" t="str">
        <f>IF(J1228&lt;&gt;1,"",IF(I1228="SBJ","CB","?"))</f>
        <v> </v>
      </c>
      <c r="I1228" s="26" t="str">
        <f>IF(OR(E1228="",E1228="!!!",F1228="NEW"),"",INDEX(B1227:B$2,-1+SUMPRODUCT(MAX(ROW(E1227:E$2)*(E1228=E1227:E$2)))))</f>
        <v> </v>
      </c>
      <c r="J1228" s="26" t="str">
        <f>IF(OR(E1228="",E1228="!!!",F1228="NEW"),"",COUNTBLANK(OFFSET(A$1,,,SUMPRODUCT(MAX(ROW(E$2:E1228)*(E1228=E$2:E1228)))))-COUNTBLANK(OFFSET(A$1,,,SUMPRODUCT(MAX(ROW(E$1:E1227)*(E2=E$1:E1227))))))</f>
        <v> </v>
      </c>
      <c r="K1228" s="26" t="str">
        <f>IF(OR(E1228="",E1228="!!!",F1228="NEW"),"",INDEX(J$1:J1227,SUMPRODUCT(MAX(ROW(E$1:E1227)*(E1228=E$1:E1227)))))</f>
        <v> </v>
      </c>
      <c r="L1228" s="27"/>
    </row>
    <row r="1229" spans="1:12">
      <c r="A1229" s="20" t="s">
        <v>1020</v>
      </c>
      <c r="E1229" s="22">
        <f>IF(D1229="?OLD","!!!","")</f>
        <v/>
      </c>
      <c r="F1229" s="23" t="str">
        <f>IF(OR(E1229="",E1229="!!!"),"",IF(NOT(ISNA(VLOOKUP(E1229,E$1:E1228,1,FALSE()))),"OLD",IF(AND(E1229&lt;&gt;"",E1229&lt;&gt;"!!!"),"NEW","")))</f>
        <v> </v>
      </c>
      <c r="G1229" s="24" t="str">
        <f>IF(OR(E1229="",E1229="!!!"),"",IF(OR(J1229=0,AND(J1229=1,K1229=1),AND(J1229=1,I1229="SBJ"),AND(J1229=1,I1229=0)),"?IN_FOCUS",IF(J1229&lt;=2,"?ACTIVATED",IF(J1229&lt;&gt;"","?FAMILIAR",IF(F1229="NEW",IF(ISNA(VLOOKUP(E1229,#REF!,1,FALSE())),"?TYPE_IDENTIFIABLE","?REFERENTIAL"),"_")))))</f>
        <v> </v>
      </c>
      <c r="H1229" s="25" t="str">
        <f>IF(J1229&lt;&gt;1,"",IF(I1229="SBJ","CB","?"))</f>
        <v> </v>
      </c>
      <c r="I1229" s="26" t="str">
        <f>IF(OR(E1229="",E1229="!!!",F1229="NEW"),"",INDEX(B1228:B$2,-1+SUMPRODUCT(MAX(ROW(E1228:E$2)*(E1229=E1228:E$2)))))</f>
        <v> </v>
      </c>
      <c r="J1229" s="26" t="str">
        <f>IF(OR(E1229="",E1229="!!!",F1229="NEW"),"",COUNTBLANK(OFFSET(A$1,,,SUMPRODUCT(MAX(ROW(E$2:E1229)*(E1229=E$2:E1229)))))-COUNTBLANK(OFFSET(A$1,,,SUMPRODUCT(MAX(ROW(E$1:E1228)*(E2=E$1:E1228))))))</f>
        <v> </v>
      </c>
      <c r="K1229" s="26" t="str">
        <f>IF(OR(E1229="",E1229="!!!",F1229="NEW"),"",INDEX(J$1:J1228,SUMPRODUCT(MAX(ROW(E$1:E1228)*(E1229=E$1:E1228)))))</f>
        <v> </v>
      </c>
      <c r="L1229" s="27"/>
    </row>
    <row r="1230" spans="1:12">
      <c r="A1230" s="20" t="s">
        <v>102</v>
      </c>
      <c r="E1230" s="22">
        <f>IF(D1230="?OLD","!!!","")</f>
        <v/>
      </c>
      <c r="F1230" s="23" t="str">
        <f>IF(OR(E1230="",E1230="!!!"),"",IF(NOT(ISNA(VLOOKUP(E1230,E$1:E1229,1,FALSE()))),"OLD",IF(AND(E1230&lt;&gt;"",E1230&lt;&gt;"!!!"),"NEW","")))</f>
        <v> </v>
      </c>
      <c r="G1230" s="24" t="str">
        <f>IF(OR(E1230="",E1230="!!!"),"",IF(OR(J1230=0,AND(J1230=1,K1230=1),AND(J1230=1,I1230="SBJ"),AND(J1230=1,I1230=0)),"?IN_FOCUS",IF(J1230&lt;=2,"?ACTIVATED",IF(J1230&lt;&gt;"","?FAMILIAR",IF(F1230="NEW",IF(ISNA(VLOOKUP(E1230,#REF!,1,FALSE())),"?TYPE_IDENTIFIABLE","?REFERENTIAL"),"_")))))</f>
        <v> </v>
      </c>
      <c r="H1230" s="25" t="str">
        <f>IF(J1230&lt;&gt;1,"",IF(I1230="SBJ","CB","?"))</f>
        <v> </v>
      </c>
      <c r="I1230" s="26" t="str">
        <f>IF(OR(E1230="",E1230="!!!",F1230="NEW"),"",INDEX(B1229:B$2,-1+SUMPRODUCT(MAX(ROW(E1229:E$2)*(E1230=E1229:E$2)))))</f>
        <v> </v>
      </c>
      <c r="J1230" s="26" t="str">
        <f>IF(OR(E1230="",E1230="!!!",F1230="NEW"),"",COUNTBLANK(OFFSET(A$1,,,SUMPRODUCT(MAX(ROW(E$2:E1230)*(E1230=E$2:E1230)))))-COUNTBLANK(OFFSET(A$1,,,SUMPRODUCT(MAX(ROW(E$1:E1229)*(E2=E$1:E1229))))))</f>
        <v> </v>
      </c>
      <c r="K1230" s="26" t="str">
        <f>IF(OR(E1230="",E1230="!!!",F1230="NEW"),"",INDEX(J$1:J1229,SUMPRODUCT(MAX(ROW(E$1:E1229)*(E1230=E$1:E1229)))))</f>
        <v> </v>
      </c>
      <c r="L1230" s="27"/>
    </row>
    <row r="1231" spans="1:12">
      <c r="A1231" s="20" t="s">
        <v>1499</v>
      </c>
      <c r="B1231" s="21" t="s">
        <v>1044</v>
      </c>
      <c r="C1231" s="21" t="s">
        <v>1013</v>
      </c>
      <c r="D1231" s="21" t="s">
        <v>1007</v>
      </c>
      <c r="E1231" s="22">
        <f>IF(D1231="?OLD","!!!","")</f>
        <v/>
      </c>
      <c r="F1231" s="23" t="str">
        <f>IF(OR(E1231="",E1231="!!!"),"",IF(NOT(ISNA(VLOOKUP(E1231,E$1:E1230,1,FALSE()))),"OLD",IF(AND(E1231&lt;&gt;"",E1231&lt;&gt;"!!!"),"NEW","")))</f>
        <v> </v>
      </c>
      <c r="G1231" s="24" t="str">
        <f>IF(OR(E1231="",E1231="!!!"),"",IF(OR(J1231=0,AND(J1231=1,K1231=1),AND(J1231=1,I1231="SBJ"),AND(J1231=1,I1231=0)),"?IN_FOCUS",IF(J1231&lt;=2,"?ACTIVATED",IF(J1231&lt;&gt;"","?FAMILIAR",IF(F1231="NEW",IF(ISNA(VLOOKUP(E1231,#REF!,1,FALSE())),"?TYPE_IDENTIFIABLE","?REFERENTIAL"),"_")))))</f>
        <v> </v>
      </c>
      <c r="H1231" s="25" t="str">
        <f>IF(J1231&lt;&gt;1,"",IF(I1231="SBJ","CB","?"))</f>
        <v> </v>
      </c>
      <c r="I1231" s="26" t="str">
        <f>IF(OR(E1231="",E1231="!!!",F1231="NEW"),"",INDEX(B1230:B$2,-1+SUMPRODUCT(MAX(ROW(E1230:E$2)*(E1231=E1230:E$2)))))</f>
        <v> </v>
      </c>
      <c r="J1231" s="26" t="str">
        <f>IF(OR(E1231="",E1231="!!!",F1231="NEW"),"",COUNTBLANK(OFFSET(A$1,,,SUMPRODUCT(MAX(ROW(E$2:E1231)*(E1231=E$2:E1231)))))-COUNTBLANK(OFFSET(A$1,,,SUMPRODUCT(MAX(ROW(E$1:E1230)*(E2=E$1:E1230))))))</f>
        <v> </v>
      </c>
      <c r="K1231" s="26" t="str">
        <f>IF(OR(E1231="",E1231="!!!",F1231="NEW"),"",INDEX(J$1:J1230,SUMPRODUCT(MAX(ROW(E$1:E1230)*(E1231=E$1:E1230)))))</f>
        <v> </v>
      </c>
      <c r="L1231" s="27"/>
    </row>
    <row r="1232" spans="1:12">
      <c r="A1232" s="20" t="s">
        <v>1014</v>
      </c>
      <c r="E1232" s="22">
        <f>IF(D1232="?OLD","!!!","")</f>
        <v/>
      </c>
      <c r="F1232" s="23" t="str">
        <f>IF(OR(E1232="",E1232="!!!"),"",IF(NOT(ISNA(VLOOKUP(E1232,E$1:E1231,1,FALSE()))),"OLD",IF(AND(E1232&lt;&gt;"",E1232&lt;&gt;"!!!"),"NEW","")))</f>
        <v> </v>
      </c>
      <c r="G1232" s="24" t="str">
        <f>IF(OR(E1232="",E1232="!!!"),"",IF(OR(J1232=0,AND(J1232=1,K1232=1),AND(J1232=1,I1232="SBJ"),AND(J1232=1,I1232=0)),"?IN_FOCUS",IF(J1232&lt;=2,"?ACTIVATED",IF(J1232&lt;&gt;"","?FAMILIAR",IF(F1232="NEW",IF(ISNA(VLOOKUP(E1232,#REF!,1,FALSE())),"?TYPE_IDENTIFIABLE","?REFERENTIAL"),"_")))))</f>
        <v> </v>
      </c>
      <c r="H1232" s="25" t="str">
        <f>IF(J1232&lt;&gt;1,"",IF(I1232="SBJ","CB","?"))</f>
        <v> </v>
      </c>
      <c r="I1232" s="26" t="str">
        <f>IF(OR(E1232="",E1232="!!!",F1232="NEW"),"",INDEX(B1231:B$2,-1+SUMPRODUCT(MAX(ROW(E1231:E$2)*(E1232=E1231:E$2)))))</f>
        <v> </v>
      </c>
      <c r="J1232" s="26" t="str">
        <f>IF(OR(E1232="",E1232="!!!",F1232="NEW"),"",COUNTBLANK(OFFSET(A$1,,,SUMPRODUCT(MAX(ROW(E$2:E1232)*(E1232=E$2:E1232)))))-COUNTBLANK(OFFSET(A$1,,,SUMPRODUCT(MAX(ROW(E$1:E1231)*(E2=E$1:E1231))))))</f>
        <v> </v>
      </c>
      <c r="K1232" s="26" t="str">
        <f>IF(OR(E1232="",E1232="!!!",F1232="NEW"),"",INDEX(J$1:J1231,SUMPRODUCT(MAX(ROW(E$1:E1231)*(E1232=E$1:E1231)))))</f>
        <v> </v>
      </c>
      <c r="L1232" s="27"/>
    </row>
    <row r="1233" spans="1:12">
      <c r="A1233" s="20" t="s">
        <v>124</v>
      </c>
      <c r="E1233" s="22">
        <f>IF(D1233="?OLD","!!!","")</f>
        <v/>
      </c>
      <c r="F1233" s="23" t="str">
        <f>IF(OR(E1233="",E1233="!!!"),"",IF(NOT(ISNA(VLOOKUP(E1233,E$1:E1232,1,FALSE()))),"OLD",IF(AND(E1233&lt;&gt;"",E1233&lt;&gt;"!!!"),"NEW","")))</f>
        <v> </v>
      </c>
      <c r="G1233" s="24" t="str">
        <f>IF(OR(E1233="",E1233="!!!"),"",IF(OR(J1233=0,AND(J1233=1,K1233=1),AND(J1233=1,I1233="SBJ"),AND(J1233=1,I1233=0)),"?IN_FOCUS",IF(J1233&lt;=2,"?ACTIVATED",IF(J1233&lt;&gt;"","?FAMILIAR",IF(F1233="NEW",IF(ISNA(VLOOKUP(E1233,#REF!,1,FALSE())),"?TYPE_IDENTIFIABLE","?REFERENTIAL"),"_")))))</f>
        <v> </v>
      </c>
      <c r="H1233" s="25" t="str">
        <f>IF(J1233&lt;&gt;1,"",IF(I1233="SBJ","CB","?"))</f>
        <v> </v>
      </c>
      <c r="I1233" s="26" t="str">
        <f>IF(OR(E1233="",E1233="!!!",F1233="NEW"),"",INDEX(B1232:B$2,-1+SUMPRODUCT(MAX(ROW(E1232:E$2)*(E1233=E1232:E$2)))))</f>
        <v> </v>
      </c>
      <c r="J1233" s="26" t="str">
        <f>IF(OR(E1233="",E1233="!!!",F1233="NEW"),"",COUNTBLANK(OFFSET(A$1,,,SUMPRODUCT(MAX(ROW(E$2:E1233)*(E1233=E$2:E1233)))))-COUNTBLANK(OFFSET(A$1,,,SUMPRODUCT(MAX(ROW(E$1:E1232)*(E2=E$1:E1232))))))</f>
        <v> </v>
      </c>
      <c r="K1233" s="26" t="str">
        <f>IF(OR(E1233="",E1233="!!!",F1233="NEW"),"",INDEX(J$1:J1232,SUMPRODUCT(MAX(ROW(E$1:E1232)*(E1233=E$1:E1232)))))</f>
        <v> </v>
      </c>
      <c r="L1233" s="27"/>
    </row>
    <row r="1234" spans="1:12">
      <c r="A1234" s="20" t="s">
        <v>1240</v>
      </c>
      <c r="B1234" s="21" t="s">
        <v>1215</v>
      </c>
      <c r="C1234" s="21" t="s">
        <v>1205</v>
      </c>
      <c r="E1234" s="22">
        <f>IF(D1234="?OLD","!!!","")</f>
        <v/>
      </c>
      <c r="F1234" s="23" t="str">
        <f>IF(OR(E1234="",E1234="!!!"),"",IF(NOT(ISNA(VLOOKUP(E1234,E$1:E1233,1,FALSE()))),"OLD",IF(AND(E1234&lt;&gt;"",E1234&lt;&gt;"!!!"),"NEW","")))</f>
        <v> </v>
      </c>
      <c r="G1234" s="24" t="str">
        <f>IF(OR(E1234="",E1234="!!!"),"",IF(OR(J1234=0,AND(J1234=1,K1234=1),AND(J1234=1,I1234="SBJ"),AND(J1234=1,I1234=0)),"?IN_FOCUS",IF(J1234&lt;=2,"?ACTIVATED",IF(J1234&lt;&gt;"","?FAMILIAR",IF(F1234="NEW",IF(ISNA(VLOOKUP(E1234,#REF!,1,FALSE())),"?TYPE_IDENTIFIABLE","?REFERENTIAL"),"_")))))</f>
        <v> </v>
      </c>
      <c r="H1234" s="25" t="str">
        <f>IF(J1234&lt;&gt;1,"",IF(I1234="SBJ","CB","?"))</f>
        <v> </v>
      </c>
      <c r="I1234" s="26" t="str">
        <f>IF(OR(E1234="",E1234="!!!",F1234="NEW"),"",INDEX(B1233:B$2,-1+SUMPRODUCT(MAX(ROW(E1233:E$2)*(E1234=E1233:E$2)))))</f>
        <v> </v>
      </c>
      <c r="J1234" s="26" t="str">
        <f>IF(OR(E1234="",E1234="!!!",F1234="NEW"),"",COUNTBLANK(OFFSET(A$1,,,SUMPRODUCT(MAX(ROW(E$2:E1234)*(E1234=E$2:E1234)))))-COUNTBLANK(OFFSET(A$1,,,SUMPRODUCT(MAX(ROW(E$1:E1233)*(E2=E$1:E1233))))))</f>
        <v> </v>
      </c>
      <c r="K1234" s="26" t="str">
        <f>IF(OR(E1234="",E1234="!!!",F1234="NEW"),"",INDEX(J$1:J1233,SUMPRODUCT(MAX(ROW(E$1:E1233)*(E1234=E$1:E1233)))))</f>
        <v> </v>
      </c>
      <c r="L1234" s="27"/>
    </row>
    <row r="1235" spans="1:12">
      <c r="A1235" s="20" t="s">
        <v>56</v>
      </c>
      <c r="E1235" s="22">
        <f>IF(D1235="?OLD","!!!","")</f>
        <v/>
      </c>
      <c r="F1235" s="23" t="str">
        <f>IF(OR(E1235="",E1235="!!!"),"",IF(NOT(ISNA(VLOOKUP(E1235,E$1:E1234,1,FALSE()))),"OLD",IF(AND(E1235&lt;&gt;"",E1235&lt;&gt;"!!!"),"NEW","")))</f>
        <v> </v>
      </c>
      <c r="G1235" s="24" t="str">
        <f>IF(OR(E1235="",E1235="!!!"),"",IF(OR(J1235=0,AND(J1235=1,K1235=1),AND(J1235=1,I1235="SBJ"),AND(J1235=1,I1235=0)),"?IN_FOCUS",IF(J1235&lt;=2,"?ACTIVATED",IF(J1235&lt;&gt;"","?FAMILIAR",IF(F1235="NEW",IF(ISNA(VLOOKUP(E1235,#REF!,1,FALSE())),"?TYPE_IDENTIFIABLE","?REFERENTIAL"),"_")))))</f>
        <v> </v>
      </c>
      <c r="H1235" s="25" t="str">
        <f>IF(J1235&lt;&gt;1,"",IF(I1235="SBJ","CB","?"))</f>
        <v> </v>
      </c>
      <c r="I1235" s="26" t="str">
        <f>IF(OR(E1235="",E1235="!!!",F1235="NEW"),"",INDEX(B1234:B$2,-1+SUMPRODUCT(MAX(ROW(E1234:E$2)*(E1235=E1234:E$2)))))</f>
        <v> </v>
      </c>
      <c r="J1235" s="26" t="str">
        <f>IF(OR(E1235="",E1235="!!!",F1235="NEW"),"",COUNTBLANK(OFFSET(A$1,,,SUMPRODUCT(MAX(ROW(E$2:E1235)*(E1235=E$2:E1235)))))-COUNTBLANK(OFFSET(A$1,,,SUMPRODUCT(MAX(ROW(E$1:E1234)*(E2=E$1:E1234))))))</f>
        <v> </v>
      </c>
      <c r="K1235" s="26" t="str">
        <f>IF(OR(E1235="",E1235="!!!",F1235="NEW"),"",INDEX(J$1:J1234,SUMPRODUCT(MAX(ROW(E$1:E1234)*(E1235=E$1:E1234)))))</f>
        <v> </v>
      </c>
      <c r="L1235" s="27"/>
    </row>
    <row r="1236" spans="1:12">
      <c r="A1236" s="20" t="s">
        <v>1018</v>
      </c>
      <c r="E1236" s="22">
        <f>IF(D1236="?OLD","!!!","")</f>
        <v/>
      </c>
      <c r="F1236" s="23" t="str">
        <f>IF(OR(E1236="",E1236="!!!"),"",IF(NOT(ISNA(VLOOKUP(E1236,E$1:E1235,1,FALSE()))),"OLD",IF(AND(E1236&lt;&gt;"",E1236&lt;&gt;"!!!"),"NEW","")))</f>
        <v> </v>
      </c>
      <c r="G1236" s="24" t="str">
        <f>IF(OR(E1236="",E1236="!!!"),"",IF(OR(J1236=0,AND(J1236=1,K1236=1),AND(J1236=1,I1236="SBJ"),AND(J1236=1,I1236=0)),"?IN_FOCUS",IF(J1236&lt;=2,"?ACTIVATED",IF(J1236&lt;&gt;"","?FAMILIAR",IF(F1236="NEW",IF(ISNA(VLOOKUP(E1236,#REF!,1,FALSE())),"?TYPE_IDENTIFIABLE","?REFERENTIAL"),"_")))))</f>
        <v> </v>
      </c>
      <c r="H1236" s="25" t="str">
        <f>IF(J1236&lt;&gt;1,"",IF(I1236="SBJ","CB","?"))</f>
        <v> </v>
      </c>
      <c r="I1236" s="26" t="str">
        <f>IF(OR(E1236="",E1236="!!!",F1236="NEW"),"",INDEX(B1235:B$2,-1+SUMPRODUCT(MAX(ROW(E1235:E$2)*(E1236=E1235:E$2)))))</f>
        <v> </v>
      </c>
      <c r="J1236" s="26" t="str">
        <f>IF(OR(E1236="",E1236="!!!",F1236="NEW"),"",COUNTBLANK(OFFSET(A$1,,,SUMPRODUCT(MAX(ROW(E$2:E1236)*(E1236=E$2:E1236)))))-COUNTBLANK(OFFSET(A$1,,,SUMPRODUCT(MAX(ROW(E$1:E1235)*(E2=E$1:E1235))))))</f>
        <v> </v>
      </c>
      <c r="K1236" s="26" t="str">
        <f>IF(OR(E1236="",E1236="!!!",F1236="NEW"),"",INDEX(J$1:J1235,SUMPRODUCT(MAX(ROW(E$1:E1235)*(E1236=E$1:E1235)))))</f>
        <v> </v>
      </c>
      <c r="L1236" s="27"/>
    </row>
    <row r="1237" spans="1:12">
      <c r="A1237" s="20" t="s">
        <v>1500</v>
      </c>
      <c r="E1237" s="22">
        <f>IF(D1237="?OLD","!!!","")</f>
        <v/>
      </c>
      <c r="F1237" s="23" t="str">
        <f>IF(OR(E1237="",E1237="!!!"),"",IF(NOT(ISNA(VLOOKUP(E1237,E$1:E1236,1,FALSE()))),"OLD",IF(AND(E1237&lt;&gt;"",E1237&lt;&gt;"!!!"),"NEW","")))</f>
        <v> </v>
      </c>
      <c r="G1237" s="24" t="str">
        <f>IF(OR(E1237="",E1237="!!!"),"",IF(OR(J1237=0,AND(J1237=1,K1237=1),AND(J1237=1,I1237="SBJ"),AND(J1237=1,I1237=0)),"?IN_FOCUS",IF(J1237&lt;=2,"?ACTIVATED",IF(J1237&lt;&gt;"","?FAMILIAR",IF(F1237="NEW",IF(ISNA(VLOOKUP(E1237,#REF!,1,FALSE())),"?TYPE_IDENTIFIABLE","?REFERENTIAL"),"_")))))</f>
        <v> </v>
      </c>
      <c r="H1237" s="25" t="str">
        <f>IF(J1237&lt;&gt;1,"",IF(I1237="SBJ","CB","?"))</f>
        <v> </v>
      </c>
      <c r="I1237" s="26" t="str">
        <f>IF(OR(E1237="",E1237="!!!",F1237="NEW"),"",INDEX(B1236:B$2,-1+SUMPRODUCT(MAX(ROW(E1236:E$2)*(E1237=E1236:E$2)))))</f>
        <v> </v>
      </c>
      <c r="J1237" s="26" t="str">
        <f>IF(OR(E1237="",E1237="!!!",F1237="NEW"),"",COUNTBLANK(OFFSET(A$1,,,SUMPRODUCT(MAX(ROW(E$2:E1237)*(E1237=E$2:E1237)))))-COUNTBLANK(OFFSET(A$1,,,SUMPRODUCT(MAX(ROW(E$1:E1236)*(E2=E$1:E1236))))))</f>
        <v> </v>
      </c>
      <c r="K1237" s="26" t="str">
        <f>IF(OR(E1237="",E1237="!!!",F1237="NEW"),"",INDEX(J$1:J1236,SUMPRODUCT(MAX(ROW(E$1:E1236)*(E1237=E$1:E1236)))))</f>
        <v> </v>
      </c>
      <c r="L1237" s="27"/>
    </row>
    <row r="1238" spans="1:12">
      <c r="A1238" s="20" t="s">
        <v>1273</v>
      </c>
      <c r="E1238" s="22">
        <f>IF(D1238="?OLD","!!!","")</f>
        <v/>
      </c>
      <c r="F1238" s="23" t="str">
        <f>IF(OR(E1238="",E1238="!!!"),"",IF(NOT(ISNA(VLOOKUP(E1238,E$1:E1237,1,FALSE()))),"OLD",IF(AND(E1238&lt;&gt;"",E1238&lt;&gt;"!!!"),"NEW","")))</f>
        <v> </v>
      </c>
      <c r="G1238" s="24" t="str">
        <f>IF(OR(E1238="",E1238="!!!"),"",IF(OR(J1238=0,AND(J1238=1,K1238=1),AND(J1238=1,I1238="SBJ"),AND(J1238=1,I1238=0)),"?IN_FOCUS",IF(J1238&lt;=2,"?ACTIVATED",IF(J1238&lt;&gt;"","?FAMILIAR",IF(F1238="NEW",IF(ISNA(VLOOKUP(E1238,#REF!,1,FALSE())),"?TYPE_IDENTIFIABLE","?REFERENTIAL"),"_")))))</f>
        <v> </v>
      </c>
      <c r="H1238" s="25" t="str">
        <f>IF(J1238&lt;&gt;1,"",IF(I1238="SBJ","CB","?"))</f>
        <v> </v>
      </c>
      <c r="I1238" s="26" t="str">
        <f>IF(OR(E1238="",E1238="!!!",F1238="NEW"),"",INDEX(B1237:B$2,-1+SUMPRODUCT(MAX(ROW(E1237:E$2)*(E1238=E1237:E$2)))))</f>
        <v> </v>
      </c>
      <c r="J1238" s="26" t="str">
        <f>IF(OR(E1238="",E1238="!!!",F1238="NEW"),"",COUNTBLANK(OFFSET(A$1,,,SUMPRODUCT(MAX(ROW(E$2:E1238)*(E1238=E$2:E1238)))))-COUNTBLANK(OFFSET(A$1,,,SUMPRODUCT(MAX(ROW(E$1:E1237)*(E2=E$1:E1237))))))</f>
        <v> </v>
      </c>
      <c r="K1238" s="26" t="str">
        <f>IF(OR(E1238="",E1238="!!!",F1238="NEW"),"",INDEX(J$1:J1237,SUMPRODUCT(MAX(ROW(E$1:E1237)*(E1238=E$1:E1237)))))</f>
        <v> </v>
      </c>
      <c r="L1238" s="27"/>
    </row>
    <row r="1239" spans="1:12">
      <c r="A1239" s="20" t="s">
        <v>124</v>
      </c>
      <c r="E1239" s="22">
        <f>IF(D1239="?OLD","!!!","")</f>
        <v/>
      </c>
      <c r="F1239" s="23" t="str">
        <f>IF(OR(E1239="",E1239="!!!"),"",IF(NOT(ISNA(VLOOKUP(E1239,E$1:E1238,1,FALSE()))),"OLD",IF(AND(E1239&lt;&gt;"",E1239&lt;&gt;"!!!"),"NEW","")))</f>
        <v> </v>
      </c>
      <c r="G1239" s="24" t="str">
        <f>IF(OR(E1239="",E1239="!!!"),"",IF(OR(J1239=0,AND(J1239=1,K1239=1),AND(J1239=1,I1239="SBJ"),AND(J1239=1,I1239=0)),"?IN_FOCUS",IF(J1239&lt;=2,"?ACTIVATED",IF(J1239&lt;&gt;"","?FAMILIAR",IF(F1239="NEW",IF(ISNA(VLOOKUP(E1239,#REF!,1,FALSE())),"?TYPE_IDENTIFIABLE","?REFERENTIAL"),"_")))))</f>
        <v> </v>
      </c>
      <c r="H1239" s="25" t="str">
        <f>IF(J1239&lt;&gt;1,"",IF(I1239="SBJ","CB","?"))</f>
        <v> </v>
      </c>
      <c r="I1239" s="26" t="str">
        <f>IF(OR(E1239="",E1239="!!!",F1239="NEW"),"",INDEX(B1238:B$2,-1+SUMPRODUCT(MAX(ROW(E1238:E$2)*(E1239=E1238:E$2)))))</f>
        <v> </v>
      </c>
      <c r="J1239" s="26" t="str">
        <f>IF(OR(E1239="",E1239="!!!",F1239="NEW"),"",COUNTBLANK(OFFSET(A$1,,,SUMPRODUCT(MAX(ROW(E$2:E1239)*(E1239=E$2:E1239)))))-COUNTBLANK(OFFSET(A$1,,,SUMPRODUCT(MAX(ROW(E$1:E1238)*(E2=E$1:E1238))))))</f>
        <v> </v>
      </c>
      <c r="K1239" s="26" t="str">
        <f>IF(OR(E1239="",E1239="!!!",F1239="NEW"),"",INDEX(J$1:J1238,SUMPRODUCT(MAX(ROW(E$1:E1238)*(E1239=E$1:E1238)))))</f>
        <v> </v>
      </c>
      <c r="L1239" s="27"/>
    </row>
    <row r="1240" spans="1:12">
      <c r="A1240" s="20" t="s">
        <v>1240</v>
      </c>
      <c r="B1240" s="21" t="s">
        <v>1215</v>
      </c>
      <c r="C1240" s="21" t="s">
        <v>1041</v>
      </c>
      <c r="D1240" s="21" t="s">
        <v>1007</v>
      </c>
      <c r="E1240" s="22">
        <f>IF(D1240="?OLD","!!!","")</f>
        <v/>
      </c>
      <c r="F1240" s="23" t="str">
        <f>IF(OR(E1240="",E1240="!!!"),"",IF(NOT(ISNA(VLOOKUP(E1240,E$1:E1239,1,FALSE()))),"OLD",IF(AND(E1240&lt;&gt;"",E1240&lt;&gt;"!!!"),"NEW","")))</f>
        <v> </v>
      </c>
      <c r="G1240" s="24" t="str">
        <f>IF(OR(E1240="",E1240="!!!"),"",IF(OR(J1240=0,AND(J1240=1,K1240=1),AND(J1240=1,I1240="SBJ"),AND(J1240=1,I1240=0)),"?IN_FOCUS",IF(J1240&lt;=2,"?ACTIVATED",IF(J1240&lt;&gt;"","?FAMILIAR",IF(F1240="NEW",IF(ISNA(VLOOKUP(E1240,#REF!,1,FALSE())),"?TYPE_IDENTIFIABLE","?REFERENTIAL"),"_")))))</f>
        <v> </v>
      </c>
      <c r="H1240" s="25" t="str">
        <f>IF(J1240&lt;&gt;1,"",IF(I1240="SBJ","CB","?"))</f>
        <v> </v>
      </c>
      <c r="I1240" s="26" t="str">
        <f>IF(OR(E1240="",E1240="!!!",F1240="NEW"),"",INDEX(B1239:B$2,-1+SUMPRODUCT(MAX(ROW(E1239:E$2)*(E1240=E1239:E$2)))))</f>
        <v> </v>
      </c>
      <c r="J1240" s="26" t="str">
        <f>IF(OR(E1240="",E1240="!!!",F1240="NEW"),"",COUNTBLANK(OFFSET(A$1,,,SUMPRODUCT(MAX(ROW(E$2:E1240)*(E1240=E$2:E1240)))))-COUNTBLANK(OFFSET(A$1,,,SUMPRODUCT(MAX(ROW(E$1:E1239)*(E2=E$1:E1239))))))</f>
        <v> </v>
      </c>
      <c r="K1240" s="26" t="str">
        <f>IF(OR(E1240="",E1240="!!!",F1240="NEW"),"",INDEX(J$1:J1239,SUMPRODUCT(MAX(ROW(E$1:E1239)*(E1240=E$1:E1239)))))</f>
        <v> </v>
      </c>
      <c r="L1240" s="27"/>
    </row>
    <row r="1241" spans="1:12">
      <c r="A1241" s="20" t="s">
        <v>1018</v>
      </c>
      <c r="E1241" s="22">
        <f>IF(D1241="?OLD","!!!","")</f>
        <v/>
      </c>
      <c r="F1241" s="23" t="str">
        <f>IF(OR(E1241="",E1241="!!!"),"",IF(NOT(ISNA(VLOOKUP(E1241,E$1:E1240,1,FALSE()))),"OLD",IF(AND(E1241&lt;&gt;"",E1241&lt;&gt;"!!!"),"NEW","")))</f>
        <v> </v>
      </c>
      <c r="G1241" s="24" t="str">
        <f>IF(OR(E1241="",E1241="!!!"),"",IF(OR(J1241=0,AND(J1241=1,K1241=1),AND(J1241=1,I1241="SBJ"),AND(J1241=1,I1241=0)),"?IN_FOCUS",IF(J1241&lt;=2,"?ACTIVATED",IF(J1241&lt;&gt;"","?FAMILIAR",IF(F1241="NEW",IF(ISNA(VLOOKUP(E1241,#REF!,1,FALSE())),"?TYPE_IDENTIFIABLE","?REFERENTIAL"),"_")))))</f>
        <v> </v>
      </c>
      <c r="H1241" s="25" t="str">
        <f>IF(J1241&lt;&gt;1,"",IF(I1241="SBJ","CB","?"))</f>
        <v> </v>
      </c>
      <c r="I1241" s="26" t="str">
        <f>IF(OR(E1241="",E1241="!!!",F1241="NEW"),"",INDEX(B1240:B$2,-1+SUMPRODUCT(MAX(ROW(E1240:E$2)*(E1241=E1240:E$2)))))</f>
        <v> </v>
      </c>
      <c r="J1241" s="26" t="str">
        <f>IF(OR(E1241="",E1241="!!!",F1241="NEW"),"",COUNTBLANK(OFFSET(A$1,,,SUMPRODUCT(MAX(ROW(E$2:E1241)*(E1241=E$2:E1241)))))-COUNTBLANK(OFFSET(A$1,,,SUMPRODUCT(MAX(ROW(E$1:E1240)*(E2=E$1:E1240))))))</f>
        <v> </v>
      </c>
      <c r="K1241" s="26" t="str">
        <f>IF(OR(E1241="",E1241="!!!",F1241="NEW"),"",INDEX(J$1:J1240,SUMPRODUCT(MAX(ROW(E$1:E1240)*(E1241=E$1:E1240)))))</f>
        <v> </v>
      </c>
      <c r="L1241" s="27"/>
    </row>
    <row r="1242" spans="1:12">
      <c r="A1242" s="20" t="s">
        <v>1199</v>
      </c>
      <c r="E1242" s="22">
        <f>IF(D1242="?OLD","!!!","")</f>
        <v/>
      </c>
      <c r="F1242" s="23" t="str">
        <f>IF(OR(E1242="",E1242="!!!"),"",IF(NOT(ISNA(VLOOKUP(E1242,E$1:E1241,1,FALSE()))),"OLD",IF(AND(E1242&lt;&gt;"",E1242&lt;&gt;"!!!"),"NEW","")))</f>
        <v> </v>
      </c>
      <c r="G1242" s="24" t="str">
        <f>IF(OR(E1242="",E1242="!!!"),"",IF(OR(J1242=0,AND(J1242=1,K1242=1),AND(J1242=1,I1242="SBJ"),AND(J1242=1,I1242=0)),"?IN_FOCUS",IF(J1242&lt;=2,"?ACTIVATED",IF(J1242&lt;&gt;"","?FAMILIAR",IF(F1242="NEW",IF(ISNA(VLOOKUP(E1242,#REF!,1,FALSE())),"?TYPE_IDENTIFIABLE","?REFERENTIAL"),"_")))))</f>
        <v> </v>
      </c>
      <c r="H1242" s="25" t="str">
        <f>IF(J1242&lt;&gt;1,"",IF(I1242="SBJ","CB","?"))</f>
        <v> </v>
      </c>
      <c r="I1242" s="26" t="str">
        <f>IF(OR(E1242="",E1242="!!!",F1242="NEW"),"",INDEX(B1241:B$2,-1+SUMPRODUCT(MAX(ROW(E1241:E$2)*(E1242=E1241:E$2)))))</f>
        <v> </v>
      </c>
      <c r="J1242" s="26" t="str">
        <f>IF(OR(E1242="",E1242="!!!",F1242="NEW"),"",COUNTBLANK(OFFSET(A$1,,,SUMPRODUCT(MAX(ROW(E$2:E1242)*(E1242=E$2:E1242)))))-COUNTBLANK(OFFSET(A$1,,,SUMPRODUCT(MAX(ROW(E$1:E1241)*(E2=E$1:E1241))))))</f>
        <v> </v>
      </c>
      <c r="K1242" s="26" t="str">
        <f>IF(OR(E1242="",E1242="!!!",F1242="NEW"),"",INDEX(J$1:J1241,SUMPRODUCT(MAX(ROW(E$1:E1241)*(E1242=E$1:E1241)))))</f>
        <v> </v>
      </c>
      <c r="L1242" s="27"/>
    </row>
    <row r="1243" spans="1:12">
      <c r="A1243" s="20" t="s">
        <v>1501</v>
      </c>
      <c r="E1243" s="22">
        <f>IF(D1243="?OLD","!!!","")</f>
        <v/>
      </c>
      <c r="F1243" s="23" t="str">
        <f>IF(OR(E1243="",E1243="!!!"),"",IF(NOT(ISNA(VLOOKUP(E1243,E$1:E1242,1,FALSE()))),"OLD",IF(AND(E1243&lt;&gt;"",E1243&lt;&gt;"!!!"),"NEW","")))</f>
        <v> </v>
      </c>
      <c r="G1243" s="24" t="str">
        <f>IF(OR(E1243="",E1243="!!!"),"",IF(OR(J1243=0,AND(J1243=1,K1243=1),AND(J1243=1,I1243="SBJ"),AND(J1243=1,I1243=0)),"?IN_FOCUS",IF(J1243&lt;=2,"?ACTIVATED",IF(J1243&lt;&gt;"","?FAMILIAR",IF(F1243="NEW",IF(ISNA(VLOOKUP(E1243,#REF!,1,FALSE())),"?TYPE_IDENTIFIABLE","?REFERENTIAL"),"_")))))</f>
        <v> </v>
      </c>
      <c r="H1243" s="25" t="str">
        <f>IF(J1243&lt;&gt;1,"",IF(I1243="SBJ","CB","?"))</f>
        <v> </v>
      </c>
      <c r="I1243" s="26" t="str">
        <f>IF(OR(E1243="",E1243="!!!",F1243="NEW"),"",INDEX(B1242:B$2,-1+SUMPRODUCT(MAX(ROW(E1242:E$2)*(E1243=E1242:E$2)))))</f>
        <v> </v>
      </c>
      <c r="J1243" s="26" t="str">
        <f>IF(OR(E1243="",E1243="!!!",F1243="NEW"),"",COUNTBLANK(OFFSET(A$1,,,SUMPRODUCT(MAX(ROW(E$2:E1243)*(E1243=E$2:E1243)))))-COUNTBLANK(OFFSET(A$1,,,SUMPRODUCT(MAX(ROW(E$1:E1242)*(E2=E$1:E1242))))))</f>
        <v> </v>
      </c>
      <c r="K1243" s="26" t="str">
        <f>IF(OR(E1243="",E1243="!!!",F1243="NEW"),"",INDEX(J$1:J1242,SUMPRODUCT(MAX(ROW(E$1:E1242)*(E1243=E$1:E1242)))))</f>
        <v> </v>
      </c>
      <c r="L1243" s="27"/>
    </row>
    <row r="1244" spans="1:12">
      <c r="A1244" s="20" t="s">
        <v>47</v>
      </c>
      <c r="E1244" s="22">
        <f>IF(D1244="?OLD","!!!","")</f>
        <v/>
      </c>
      <c r="F1244" s="23" t="str">
        <f>IF(OR(E1244="",E1244="!!!"),"",IF(NOT(ISNA(VLOOKUP(E1244,E$1:E1243,1,FALSE()))),"OLD",IF(AND(E1244&lt;&gt;"",E1244&lt;&gt;"!!!"),"NEW","")))</f>
        <v> </v>
      </c>
      <c r="G1244" s="24" t="str">
        <f>IF(OR(E1244="",E1244="!!!"),"",IF(OR(J1244=0,AND(J1244=1,K1244=1),AND(J1244=1,I1244="SBJ"),AND(J1244=1,I1244=0)),"?IN_FOCUS",IF(J1244&lt;=2,"?ACTIVATED",IF(J1244&lt;&gt;"","?FAMILIAR",IF(F1244="NEW",IF(ISNA(VLOOKUP(E1244,#REF!,1,FALSE())),"?TYPE_IDENTIFIABLE","?REFERENTIAL"),"_")))))</f>
        <v> </v>
      </c>
      <c r="H1244" s="25" t="str">
        <f>IF(J1244&lt;&gt;1,"",IF(I1244="SBJ","CB","?"))</f>
        <v> </v>
      </c>
      <c r="I1244" s="26" t="str">
        <f>IF(OR(E1244="",E1244="!!!",F1244="NEW"),"",INDEX(B1243:B$2,-1+SUMPRODUCT(MAX(ROW(E1243:E$2)*(E1244=E1243:E$2)))))</f>
        <v> </v>
      </c>
      <c r="J1244" s="26" t="str">
        <f>IF(OR(E1244="",E1244="!!!",F1244="NEW"),"",COUNTBLANK(OFFSET(A$1,,,SUMPRODUCT(MAX(ROW(E$2:E1244)*(E1244=E$2:E1244)))))-COUNTBLANK(OFFSET(A$1,,,SUMPRODUCT(MAX(ROW(E$1:E1243)*(E2=E$1:E1243))))))</f>
        <v> </v>
      </c>
      <c r="K1244" s="26" t="str">
        <f>IF(OR(E1244="",E1244="!!!",F1244="NEW"),"",INDEX(J$1:J1243,SUMPRODUCT(MAX(ROW(E$1:E1243)*(E1244=E$1:E1243)))))</f>
        <v> </v>
      </c>
      <c r="L1244" s="27"/>
    </row>
    <row r="1245" spans="1:12">
      <c r="A1245" s="20" t="s">
        <v>1497</v>
      </c>
      <c r="B1245" s="21" t="s">
        <v>1440</v>
      </c>
      <c r="C1245" s="21" t="s">
        <v>1013</v>
      </c>
      <c r="D1245" s="21" t="s">
        <v>1007</v>
      </c>
      <c r="E1245" s="22">
        <f>IF(D1245="?OLD","!!!","")</f>
        <v/>
      </c>
      <c r="F1245" s="23" t="str">
        <f>IF(OR(E1245="",E1245="!!!"),"",IF(NOT(ISNA(VLOOKUP(E1245,E$1:E1244,1,FALSE()))),"OLD",IF(AND(E1245&lt;&gt;"",E1245&lt;&gt;"!!!"),"NEW","")))</f>
        <v> </v>
      </c>
      <c r="G1245" s="24" t="str">
        <f>IF(OR(E1245="",E1245="!!!"),"",IF(OR(J1245=0,AND(J1245=1,K1245=1),AND(J1245=1,I1245="SBJ"),AND(J1245=1,I1245=0)),"?IN_FOCUS",IF(J1245&lt;=2,"?ACTIVATED",IF(J1245&lt;&gt;"","?FAMILIAR",IF(F1245="NEW",IF(ISNA(VLOOKUP(E1245,#REF!,1,FALSE())),"?TYPE_IDENTIFIABLE","?REFERENTIAL"),"_")))))</f>
        <v> </v>
      </c>
      <c r="H1245" s="25" t="str">
        <f>IF(J1245&lt;&gt;1,"",IF(I1245="SBJ","CB","?"))</f>
        <v> </v>
      </c>
      <c r="I1245" s="26" t="str">
        <f>IF(OR(E1245="",E1245="!!!",F1245="NEW"),"",INDEX(B1244:B$2,-1+SUMPRODUCT(MAX(ROW(E1244:E$2)*(E1245=E1244:E$2)))))</f>
        <v> </v>
      </c>
      <c r="J1245" s="26" t="str">
        <f>IF(OR(E1245="",E1245="!!!",F1245="NEW"),"",COUNTBLANK(OFFSET(A$1,,,SUMPRODUCT(MAX(ROW(E$2:E1245)*(E1245=E$2:E1245)))))-COUNTBLANK(OFFSET(A$1,,,SUMPRODUCT(MAX(ROW(E$1:E1244)*(E2=E$1:E1244))))))</f>
        <v> </v>
      </c>
      <c r="K1245" s="26" t="str">
        <f>IF(OR(E1245="",E1245="!!!",F1245="NEW"),"",INDEX(J$1:J1244,SUMPRODUCT(MAX(ROW(E$1:E1244)*(E1245=E$1:E1244)))))</f>
        <v> </v>
      </c>
      <c r="L1245" s="27"/>
    </row>
    <row r="1246" spans="1:12">
      <c r="A1246" s="20" t="s">
        <v>1014</v>
      </c>
      <c r="E1246" s="22">
        <f>IF(D1246="?OLD","!!!","")</f>
        <v/>
      </c>
      <c r="F1246" s="23" t="str">
        <f>IF(OR(E1246="",E1246="!!!"),"",IF(NOT(ISNA(VLOOKUP(E1246,E$1:E1245,1,FALSE()))),"OLD",IF(AND(E1246&lt;&gt;"",E1246&lt;&gt;"!!!"),"NEW","")))</f>
        <v> </v>
      </c>
      <c r="G1246" s="24" t="str">
        <f>IF(OR(E1246="",E1246="!!!"),"",IF(OR(J1246=0,AND(J1246=1,K1246=1),AND(J1246=1,I1246="SBJ"),AND(J1246=1,I1246=0)),"?IN_FOCUS",IF(J1246&lt;=2,"?ACTIVATED",IF(J1246&lt;&gt;"","?FAMILIAR",IF(F1246="NEW",IF(ISNA(VLOOKUP(E1246,#REF!,1,FALSE())),"?TYPE_IDENTIFIABLE","?REFERENTIAL"),"_")))))</f>
        <v> </v>
      </c>
      <c r="H1246" s="25" t="str">
        <f>IF(J1246&lt;&gt;1,"",IF(I1246="SBJ","CB","?"))</f>
        <v> </v>
      </c>
      <c r="I1246" s="26" t="str">
        <f>IF(OR(E1246="",E1246="!!!",F1246="NEW"),"",INDEX(B1245:B$2,-1+SUMPRODUCT(MAX(ROW(E1245:E$2)*(E1246=E1245:E$2)))))</f>
        <v> </v>
      </c>
      <c r="J1246" s="26" t="str">
        <f>IF(OR(E1246="",E1246="!!!",F1246="NEW"),"",COUNTBLANK(OFFSET(A$1,,,SUMPRODUCT(MAX(ROW(E$2:E1246)*(E1246=E$2:E1246)))))-COUNTBLANK(OFFSET(A$1,,,SUMPRODUCT(MAX(ROW(E$1:E1245)*(E2=E$1:E1245))))))</f>
        <v> </v>
      </c>
      <c r="K1246" s="26" t="str">
        <f>IF(OR(E1246="",E1246="!!!",F1246="NEW"),"",INDEX(J$1:J1245,SUMPRODUCT(MAX(ROW(E$1:E1245)*(E1246=E$1:E1245)))))</f>
        <v> </v>
      </c>
      <c r="L1246" s="27"/>
    </row>
    <row r="1247" spans="1:12">
      <c r="A1247" s="20" t="s">
        <v>102</v>
      </c>
      <c r="E1247" s="22">
        <f>IF(D1247="?OLD","!!!","")</f>
        <v/>
      </c>
      <c r="F1247" s="23" t="str">
        <f>IF(OR(E1247="",E1247="!!!"),"",IF(NOT(ISNA(VLOOKUP(E1247,E$1:E1246,1,FALSE()))),"OLD",IF(AND(E1247&lt;&gt;"",E1247&lt;&gt;"!!!"),"NEW","")))</f>
        <v> </v>
      </c>
      <c r="G1247" s="24" t="str">
        <f>IF(OR(E1247="",E1247="!!!"),"",IF(OR(J1247=0,AND(J1247=1,K1247=1),AND(J1247=1,I1247="SBJ"),AND(J1247=1,I1247=0)),"?IN_FOCUS",IF(J1247&lt;=2,"?ACTIVATED",IF(J1247&lt;&gt;"","?FAMILIAR",IF(F1247="NEW",IF(ISNA(VLOOKUP(E1247,#REF!,1,FALSE())),"?TYPE_IDENTIFIABLE","?REFERENTIAL"),"_")))))</f>
        <v> </v>
      </c>
      <c r="H1247" s="25" t="str">
        <f>IF(J1247&lt;&gt;1,"",IF(I1247="SBJ","CB","?"))</f>
        <v> </v>
      </c>
      <c r="I1247" s="26" t="str">
        <f>IF(OR(E1247="",E1247="!!!",F1247="NEW"),"",INDEX(B1246:B$2,-1+SUMPRODUCT(MAX(ROW(E1246:E$2)*(E1247=E1246:E$2)))))</f>
        <v> </v>
      </c>
      <c r="J1247" s="26" t="str">
        <f>IF(OR(E1247="",E1247="!!!",F1247="NEW"),"",COUNTBLANK(OFFSET(A$1,,,SUMPRODUCT(MAX(ROW(E$2:E1247)*(E1247=E$2:E1247)))))-COUNTBLANK(OFFSET(A$1,,,SUMPRODUCT(MAX(ROW(E$1:E1246)*(E2=E$1:E1246))))))</f>
        <v> </v>
      </c>
      <c r="K1247" s="26" t="str">
        <f>IF(OR(E1247="",E1247="!!!",F1247="NEW"),"",INDEX(J$1:J1246,SUMPRODUCT(MAX(ROW(E$1:E1246)*(E1247=E$1:E1246)))))</f>
        <v> </v>
      </c>
      <c r="L1247" s="27"/>
    </row>
    <row r="1248" spans="1:12">
      <c r="A1248" s="20" t="s">
        <v>1168</v>
      </c>
      <c r="B1248" s="21" t="s">
        <v>1217</v>
      </c>
      <c r="C1248" s="21" t="s">
        <v>1017</v>
      </c>
      <c r="D1248" s="21" t="s">
        <v>1007</v>
      </c>
      <c r="E1248" s="22">
        <f>IF(D1248="?OLD","!!!","")</f>
        <v/>
      </c>
      <c r="F1248" s="23" t="str">
        <f>IF(OR(E1248="",E1248="!!!"),"",IF(NOT(ISNA(VLOOKUP(E1248,E$1:E1247,1,FALSE()))),"OLD",IF(AND(E1248&lt;&gt;"",E1248&lt;&gt;"!!!"),"NEW","")))</f>
        <v> </v>
      </c>
      <c r="G1248" s="24" t="str">
        <f>IF(OR(E1248="",E1248="!!!"),"",IF(OR(J1248=0,AND(J1248=1,K1248=1),AND(J1248=1,I1248="SBJ"),AND(J1248=1,I1248=0)),"?IN_FOCUS",IF(J1248&lt;=2,"?ACTIVATED",IF(J1248&lt;&gt;"","?FAMILIAR",IF(F1248="NEW",IF(ISNA(VLOOKUP(E1248,#REF!,1,FALSE())),"?TYPE_IDENTIFIABLE","?REFERENTIAL"),"_")))))</f>
        <v> </v>
      </c>
      <c r="H1248" s="25" t="str">
        <f>IF(J1248&lt;&gt;1,"",IF(I1248="SBJ","CB","?"))</f>
        <v> </v>
      </c>
      <c r="I1248" s="26" t="str">
        <f>IF(OR(E1248="",E1248="!!!",F1248="NEW"),"",INDEX(B1247:B$2,-1+SUMPRODUCT(MAX(ROW(E1247:E$2)*(E1248=E1247:E$2)))))</f>
        <v> </v>
      </c>
      <c r="J1248" s="26" t="str">
        <f>IF(OR(E1248="",E1248="!!!",F1248="NEW"),"",COUNTBLANK(OFFSET(A$1,,,SUMPRODUCT(MAX(ROW(E$2:E1248)*(E1248=E$2:E1248)))))-COUNTBLANK(OFFSET(A$1,,,SUMPRODUCT(MAX(ROW(E$1:E1247)*(E2=E$1:E1247))))))</f>
        <v> </v>
      </c>
      <c r="K1248" s="26" t="str">
        <f>IF(OR(E1248="",E1248="!!!",F1248="NEW"),"",INDEX(J$1:J1247,SUMPRODUCT(MAX(ROW(E$1:E1247)*(E1248=E$1:E1247)))))</f>
        <v> </v>
      </c>
      <c r="L1248" s="27"/>
    </row>
    <row r="1249" spans="1:12">
      <c r="A1249" s="20" t="s">
        <v>1023</v>
      </c>
      <c r="E1249" s="22">
        <f>IF(D1249="?OLD","!!!","")</f>
        <v/>
      </c>
      <c r="F1249" s="23" t="str">
        <f>IF(OR(E1249="",E1249="!!!"),"",IF(NOT(ISNA(VLOOKUP(E1249,E$1:E1248,1,FALSE()))),"OLD",IF(AND(E1249&lt;&gt;"",E1249&lt;&gt;"!!!"),"NEW","")))</f>
        <v> </v>
      </c>
      <c r="G1249" s="24" t="str">
        <f>IF(OR(E1249="",E1249="!!!"),"",IF(OR(J1249=0,AND(J1249=1,K1249=1),AND(J1249=1,I1249="SBJ"),AND(J1249=1,I1249=0)),"?IN_FOCUS",IF(J1249&lt;=2,"?ACTIVATED",IF(J1249&lt;&gt;"","?FAMILIAR",IF(F1249="NEW",IF(ISNA(VLOOKUP(E1249,#REF!,1,FALSE())),"?TYPE_IDENTIFIABLE","?REFERENTIAL"),"_")))))</f>
        <v> </v>
      </c>
      <c r="H1249" s="25" t="str">
        <f>IF(J1249&lt;&gt;1,"",IF(I1249="SBJ","CB","?"))</f>
        <v> </v>
      </c>
      <c r="I1249" s="26" t="str">
        <f>IF(OR(E1249="",E1249="!!!",F1249="NEW"),"",INDEX(B1248:B$2,-1+SUMPRODUCT(MAX(ROW(E1248:E$2)*(E1249=E1248:E$2)))))</f>
        <v> </v>
      </c>
      <c r="J1249" s="26" t="str">
        <f>IF(OR(E1249="",E1249="!!!",F1249="NEW"),"",COUNTBLANK(OFFSET(A$1,,,SUMPRODUCT(MAX(ROW(E$2:E1249)*(E1249=E$2:E1249)))))-COUNTBLANK(OFFSET(A$1,,,SUMPRODUCT(MAX(ROW(E$1:E1248)*(E2=E$1:E1248))))))</f>
        <v> </v>
      </c>
      <c r="K1249" s="26" t="str">
        <f>IF(OR(E1249="",E1249="!!!",F1249="NEW"),"",INDEX(J$1:J1248,SUMPRODUCT(MAX(ROW(E$1:E1248)*(E1249=E$1:E1248)))))</f>
        <v> </v>
      </c>
      <c r="L1249" s="27"/>
    </row>
    <row r="1250" spans="1:12">
      <c r="A1250" s="20"/>
    </row>
    <row r="1251" spans="1:12">
      <c r="A1251" s="20" t="s">
        <v>1502</v>
      </c>
    </row>
    <row r="1252" spans="1:12">
      <c r="A1252" s="20" t="s">
        <v>1503</v>
      </c>
      <c r="B1252" s="21" t="s">
        <v>1050</v>
      </c>
      <c r="C1252" s="21" t="s">
        <v>1073</v>
      </c>
      <c r="D1252" s="21" t="s">
        <v>1007</v>
      </c>
      <c r="E1252" s="22">
        <f>IF(D1252="?OLD","!!!","")</f>
        <v/>
      </c>
      <c r="F1252" s="23" t="str">
        <f>IF(OR(E1252="",E1252="!!!"),"",IF(NOT(ISNA(VLOOKUP(E1252,E$1:E1251,1,FALSE()))),"OLD",IF(AND(E1252&lt;&gt;"",E1252&lt;&gt;"!!!"),"NEW","")))</f>
        <v> </v>
      </c>
      <c r="G1252" s="24" t="str">
        <f>IF(OR(E1252="",E1252="!!!"),"",IF(OR(J1252=0,AND(J1252=1,K1252=1),AND(J1252=1,I1252="SBJ"),AND(J1252=1,I1252=0)),"?IN_FOCUS",IF(J1252&lt;=2,"?ACTIVATED",IF(J1252&lt;&gt;"","?FAMILIAR",IF(F1252="NEW",IF(ISNA(VLOOKUP(E1252,#REF!,1,FALSE())),"?TYPE_IDENTIFIABLE","?REFERENTIAL"),"_")))))</f>
        <v> </v>
      </c>
      <c r="H1252" s="25" t="str">
        <f>IF(J1252&lt;&gt;1,"",IF(I1252="SBJ","CB","?"))</f>
        <v> </v>
      </c>
      <c r="I1252" s="26" t="str">
        <f>IF(OR(E1252="",E1252="!!!",F1252="NEW"),"",INDEX(B1251:B$2,-1+SUMPRODUCT(MAX(ROW(E1251:E$2)*(E1252=E1251:E$2)))))</f>
        <v> </v>
      </c>
      <c r="J1252" s="26" t="str">
        <f>IF(OR(E1252="",E1252="!!!",F1252="NEW"),"",COUNTBLANK(OFFSET(A$1,,,SUMPRODUCT(MAX(ROW(E$2:E1252)*(E1252=E$2:E1252)))))-COUNTBLANK(OFFSET(A$1,,,SUMPRODUCT(MAX(ROW(E$1:E1251)*(E2=E$1:E1251))))))</f>
        <v> </v>
      </c>
      <c r="K1252" s="26" t="str">
        <f>IF(OR(E1252="",E1252="!!!",F1252="NEW"),"",INDEX(J$1:J1251,SUMPRODUCT(MAX(ROW(E$1:E1251)*(E1252=E$1:E1251)))))</f>
        <v> </v>
      </c>
      <c r="L1252" s="27"/>
    </row>
    <row r="1253" spans="1:12">
      <c r="A1253" s="20" t="s">
        <v>1142</v>
      </c>
      <c r="E1253" s="22">
        <f>IF(D1253="?OLD","!!!","")</f>
        <v/>
      </c>
      <c r="F1253" s="23" t="str">
        <f>IF(OR(E1253="",E1253="!!!"),"",IF(NOT(ISNA(VLOOKUP(E1253,E$1:E1252,1,FALSE()))),"OLD",IF(AND(E1253&lt;&gt;"",E1253&lt;&gt;"!!!"),"NEW","")))</f>
        <v> </v>
      </c>
      <c r="G1253" s="24" t="str">
        <f>IF(OR(E1253="",E1253="!!!"),"",IF(OR(J1253=0,AND(J1253=1,K1253=1),AND(J1253=1,I1253="SBJ"),AND(J1253=1,I1253=0)),"?IN_FOCUS",IF(J1253&lt;=2,"?ACTIVATED",IF(J1253&lt;&gt;"","?FAMILIAR",IF(F1253="NEW",IF(ISNA(VLOOKUP(E1253,#REF!,1,FALSE())),"?TYPE_IDENTIFIABLE","?REFERENTIAL"),"_")))))</f>
        <v> </v>
      </c>
      <c r="H1253" s="25" t="str">
        <f>IF(J1253&lt;&gt;1,"",IF(I1253="SBJ","CB","?"))</f>
        <v> </v>
      </c>
      <c r="I1253" s="26" t="str">
        <f>IF(OR(E1253="",E1253="!!!",F1253="NEW"),"",INDEX(B1252:B$2,-1+SUMPRODUCT(MAX(ROW(E1252:E$2)*(E1253=E1252:E$2)))))</f>
        <v> </v>
      </c>
      <c r="J1253" s="26" t="str">
        <f>IF(OR(E1253="",E1253="!!!",F1253="NEW"),"",COUNTBLANK(OFFSET(A$1,,,SUMPRODUCT(MAX(ROW(E$2:E1253)*(E1253=E$2:E1253)))))-COUNTBLANK(OFFSET(A$1,,,SUMPRODUCT(MAX(ROW(E$1:E1252)*(E2=E$1:E1252))))))</f>
        <v> </v>
      </c>
      <c r="K1253" s="26" t="str">
        <f>IF(OR(E1253="",E1253="!!!",F1253="NEW"),"",INDEX(J$1:J1252,SUMPRODUCT(MAX(ROW(E$1:E1252)*(E1253=E$1:E1252)))))</f>
        <v> </v>
      </c>
      <c r="L1253" s="27"/>
    </row>
    <row r="1254" spans="1:12">
      <c r="A1254" s="20" t="s">
        <v>1164</v>
      </c>
      <c r="E1254" s="22">
        <f>IF(D1254="?OLD","!!!","")</f>
        <v/>
      </c>
      <c r="F1254" s="23" t="str">
        <f>IF(OR(E1254="",E1254="!!!"),"",IF(NOT(ISNA(VLOOKUP(E1254,E$1:E1253,1,FALSE()))),"OLD",IF(AND(E1254&lt;&gt;"",E1254&lt;&gt;"!!!"),"NEW","")))</f>
        <v> </v>
      </c>
      <c r="G1254" s="24" t="str">
        <f>IF(OR(E1254="",E1254="!!!"),"",IF(OR(J1254=0,AND(J1254=1,K1254=1),AND(J1254=1,I1254="SBJ"),AND(J1254=1,I1254=0)),"?IN_FOCUS",IF(J1254&lt;=2,"?ACTIVATED",IF(J1254&lt;&gt;"","?FAMILIAR",IF(F1254="NEW",IF(ISNA(VLOOKUP(E1254,#REF!,1,FALSE())),"?TYPE_IDENTIFIABLE","?REFERENTIAL"),"_")))))</f>
        <v> </v>
      </c>
      <c r="H1254" s="25" t="str">
        <f>IF(J1254&lt;&gt;1,"",IF(I1254="SBJ","CB","?"))</f>
        <v> </v>
      </c>
      <c r="I1254" s="26" t="str">
        <f>IF(OR(E1254="",E1254="!!!",F1254="NEW"),"",INDEX(B1253:B$2,-1+SUMPRODUCT(MAX(ROW(E1253:E$2)*(E1254=E1253:E$2)))))</f>
        <v> </v>
      </c>
      <c r="J1254" s="26" t="str">
        <f>IF(OR(E1254="",E1254="!!!",F1254="NEW"),"",COUNTBLANK(OFFSET(A$1,,,SUMPRODUCT(MAX(ROW(E$2:E1254)*(E1254=E$2:E1254)))))-COUNTBLANK(OFFSET(A$1,,,SUMPRODUCT(MAX(ROW(E$1:E1253)*(E2=E$1:E1253))))))</f>
        <v> </v>
      </c>
      <c r="K1254" s="26" t="str">
        <f>IF(OR(E1254="",E1254="!!!",F1254="NEW"),"",INDEX(J$1:J1253,SUMPRODUCT(MAX(ROW(E$1:E1253)*(E1254=E$1:E1253)))))</f>
        <v> </v>
      </c>
      <c r="L1254" s="27"/>
    </row>
    <row r="1255" spans="1:12">
      <c r="A1255" s="20" t="s">
        <v>1027</v>
      </c>
      <c r="E1255" s="22">
        <f>IF(D1255="?OLD","!!!","")</f>
        <v/>
      </c>
      <c r="F1255" s="23" t="str">
        <f>IF(OR(E1255="",E1255="!!!"),"",IF(NOT(ISNA(VLOOKUP(E1255,E$1:E1254,1,FALSE()))),"OLD",IF(AND(E1255&lt;&gt;"",E1255&lt;&gt;"!!!"),"NEW","")))</f>
        <v> </v>
      </c>
      <c r="G1255" s="24" t="str">
        <f>IF(OR(E1255="",E1255="!!!"),"",IF(OR(J1255=0,AND(J1255=1,K1255=1),AND(J1255=1,I1255="SBJ"),AND(J1255=1,I1255=0)),"?IN_FOCUS",IF(J1255&lt;=2,"?ACTIVATED",IF(J1255&lt;&gt;"","?FAMILIAR",IF(F1255="NEW",IF(ISNA(VLOOKUP(E1255,#REF!,1,FALSE())),"?TYPE_IDENTIFIABLE","?REFERENTIAL"),"_")))))</f>
        <v> </v>
      </c>
      <c r="H1255" s="25" t="str">
        <f>IF(J1255&lt;&gt;1,"",IF(I1255="SBJ","CB","?"))</f>
        <v> </v>
      </c>
      <c r="I1255" s="26" t="str">
        <f>IF(OR(E1255="",E1255="!!!",F1255="NEW"),"",INDEX(B1254:B$2,-1+SUMPRODUCT(MAX(ROW(E1254:E$2)*(E1255=E1254:E$2)))))</f>
        <v> </v>
      </c>
      <c r="J1255" s="26" t="str">
        <f>IF(OR(E1255="",E1255="!!!",F1255="NEW"),"",COUNTBLANK(OFFSET(A$1,,,SUMPRODUCT(MAX(ROW(E$2:E1255)*(E1255=E$2:E1255)))))-COUNTBLANK(OFFSET(A$1,,,SUMPRODUCT(MAX(ROW(E$1:E1254)*(E2=E$1:E1254))))))</f>
        <v> </v>
      </c>
      <c r="K1255" s="26" t="str">
        <f>IF(OR(E1255="",E1255="!!!",F1255="NEW"),"",INDEX(J$1:J1254,SUMPRODUCT(MAX(ROW(E$1:E1254)*(E1255=E$1:E1254)))))</f>
        <v> </v>
      </c>
      <c r="L1255" s="27"/>
    </row>
    <row r="1256" spans="1:12">
      <c r="A1256" s="20" t="s">
        <v>1172</v>
      </c>
      <c r="B1256" s="21" t="s">
        <v>1005</v>
      </c>
      <c r="C1256" s="21" t="s">
        <v>1017</v>
      </c>
      <c r="D1256" s="21" t="s">
        <v>1007</v>
      </c>
      <c r="E1256" s="22">
        <f>IF(D1256="?OLD","!!!","")</f>
        <v/>
      </c>
      <c r="F1256" s="23" t="str">
        <f>IF(OR(E1256="",E1256="!!!"),"",IF(NOT(ISNA(VLOOKUP(E1256,E$1:E1255,1,FALSE()))),"OLD",IF(AND(E1256&lt;&gt;"",E1256&lt;&gt;"!!!"),"NEW","")))</f>
        <v> </v>
      </c>
      <c r="G1256" s="24" t="str">
        <f>IF(OR(E1256="",E1256="!!!"),"",IF(OR(J1256=0,AND(J1256=1,K1256=1),AND(J1256=1,I1256="SBJ"),AND(J1256=1,I1256=0)),"?IN_FOCUS",IF(J1256&lt;=2,"?ACTIVATED",IF(J1256&lt;&gt;"","?FAMILIAR",IF(F1256="NEW",IF(ISNA(VLOOKUP(E1256,#REF!,1,FALSE())),"?TYPE_IDENTIFIABLE","?REFERENTIAL"),"_")))))</f>
        <v> </v>
      </c>
      <c r="H1256" s="25" t="str">
        <f>IF(J1256&lt;&gt;1,"",IF(I1256="SBJ","CB","?"))</f>
        <v> </v>
      </c>
      <c r="I1256" s="26" t="str">
        <f>IF(OR(E1256="",E1256="!!!",F1256="NEW"),"",INDEX(B1255:B$2,-1+SUMPRODUCT(MAX(ROW(E1255:E$2)*(E1256=E1255:E$2)))))</f>
        <v> </v>
      </c>
      <c r="J1256" s="26" t="str">
        <f>IF(OR(E1256="",E1256="!!!",F1256="NEW"),"",COUNTBLANK(OFFSET(A$1,,,SUMPRODUCT(MAX(ROW(E$2:E1256)*(E1256=E$2:E1256)))))-COUNTBLANK(OFFSET(A$1,,,SUMPRODUCT(MAX(ROW(E$1:E1255)*(E2=E$1:E1255))))))</f>
        <v> </v>
      </c>
      <c r="K1256" s="26" t="str">
        <f>IF(OR(E1256="",E1256="!!!",F1256="NEW"),"",INDEX(J$1:J1255,SUMPRODUCT(MAX(ROW(E$1:E1255)*(E1256=E$1:E1255)))))</f>
        <v> </v>
      </c>
      <c r="L1256" s="27"/>
    </row>
    <row r="1257" spans="1:12">
      <c r="A1257" s="20" t="s">
        <v>1065</v>
      </c>
      <c r="B1257" s="21" t="s">
        <v>1119</v>
      </c>
      <c r="E1257" s="22">
        <f>IF(D1257="?OLD","!!!","")</f>
        <v/>
      </c>
      <c r="F1257" s="23" t="str">
        <f>IF(OR(E1257="",E1257="!!!"),"",IF(NOT(ISNA(VLOOKUP(E1257,E$1:E1256,1,FALSE()))),"OLD",IF(AND(E1257&lt;&gt;"",E1257&lt;&gt;"!!!"),"NEW","")))</f>
        <v> </v>
      </c>
      <c r="G1257" s="24" t="str">
        <f>IF(OR(E1257="",E1257="!!!"),"",IF(OR(J1257=0,AND(J1257=1,K1257=1),AND(J1257=1,I1257="SBJ"),AND(J1257=1,I1257=0)),"?IN_FOCUS",IF(J1257&lt;=2,"?ACTIVATED",IF(J1257&lt;&gt;"","?FAMILIAR",IF(F1257="NEW",IF(ISNA(VLOOKUP(E1257,#REF!,1,FALSE())),"?TYPE_IDENTIFIABLE","?REFERENTIAL"),"_")))))</f>
        <v> </v>
      </c>
      <c r="H1257" s="25" t="str">
        <f>IF(J1257&lt;&gt;1,"",IF(I1257="SBJ","CB","?"))</f>
        <v> </v>
      </c>
      <c r="I1257" s="26" t="str">
        <f>IF(OR(E1257="",E1257="!!!",F1257="NEW"),"",INDEX(B1256:B$2,-1+SUMPRODUCT(MAX(ROW(E1256:E$2)*(E1257=E1256:E$2)))))</f>
        <v> </v>
      </c>
      <c r="J1257" s="26" t="str">
        <f>IF(OR(E1257="",E1257="!!!",F1257="NEW"),"",COUNTBLANK(OFFSET(A$1,,,SUMPRODUCT(MAX(ROW(E$2:E1257)*(E1257=E$2:E1257)))))-COUNTBLANK(OFFSET(A$1,,,SUMPRODUCT(MAX(ROW(E$1:E1256)*(E2=E$1:E1256))))))</f>
        <v> </v>
      </c>
      <c r="K1257" s="26" t="str">
        <f>IF(OR(E1257="",E1257="!!!",F1257="NEW"),"",INDEX(J$1:J1256,SUMPRODUCT(MAX(ROW(E$1:E1256)*(E1257=E$1:E1256)))))</f>
        <v> </v>
      </c>
      <c r="L1257" s="27"/>
    </row>
    <row r="1258" spans="1:12">
      <c r="A1258" s="20" t="s">
        <v>1169</v>
      </c>
      <c r="E1258" s="22">
        <f>IF(D1258="?OLD","!!!","")</f>
        <v/>
      </c>
      <c r="F1258" s="23" t="str">
        <f>IF(OR(E1258="",E1258="!!!"),"",IF(NOT(ISNA(VLOOKUP(E1258,E$1:E1257,1,FALSE()))),"OLD",IF(AND(E1258&lt;&gt;"",E1258&lt;&gt;"!!!"),"NEW","")))</f>
        <v> </v>
      </c>
      <c r="G1258" s="24" t="str">
        <f>IF(OR(E1258="",E1258="!!!"),"",IF(OR(J1258=0,AND(J1258=1,K1258=1),AND(J1258=1,I1258="SBJ"),AND(J1258=1,I1258=0)),"?IN_FOCUS",IF(J1258&lt;=2,"?ACTIVATED",IF(J1258&lt;&gt;"","?FAMILIAR",IF(F1258="NEW",IF(ISNA(VLOOKUP(E1258,#REF!,1,FALSE())),"?TYPE_IDENTIFIABLE","?REFERENTIAL"),"_")))))</f>
        <v> </v>
      </c>
      <c r="H1258" s="25" t="str">
        <f>IF(J1258&lt;&gt;1,"",IF(I1258="SBJ","CB","?"))</f>
        <v> </v>
      </c>
      <c r="I1258" s="26" t="str">
        <f>IF(OR(E1258="",E1258="!!!",F1258="NEW"),"",INDEX(B1257:B$2,-1+SUMPRODUCT(MAX(ROW(E1257:E$2)*(E1258=E1257:E$2)))))</f>
        <v> </v>
      </c>
      <c r="J1258" s="26" t="str">
        <f>IF(OR(E1258="",E1258="!!!",F1258="NEW"),"",COUNTBLANK(OFFSET(A$1,,,SUMPRODUCT(MAX(ROW(E$2:E1258)*(E1258=E$2:E1258)))))-COUNTBLANK(OFFSET(A$1,,,SUMPRODUCT(MAX(ROW(E$1:E1257)*(E2=E$1:E1257))))))</f>
        <v> </v>
      </c>
      <c r="K1258" s="26" t="str">
        <f>IF(OR(E1258="",E1258="!!!",F1258="NEW"),"",INDEX(J$1:J1257,SUMPRODUCT(MAX(ROW(E$1:E1257)*(E1258=E$1:E1257)))))</f>
        <v> </v>
      </c>
      <c r="L1258" s="27"/>
    </row>
    <row r="1259" spans="1:12">
      <c r="A1259" s="20" t="s">
        <v>1065</v>
      </c>
      <c r="E1259" s="22">
        <f>IF(D1259="?OLD","!!!","")</f>
        <v/>
      </c>
      <c r="F1259" s="23" t="str">
        <f>IF(OR(E1259="",E1259="!!!"),"",IF(NOT(ISNA(VLOOKUP(E1259,E$1:E1258,1,FALSE()))),"OLD",IF(AND(E1259&lt;&gt;"",E1259&lt;&gt;"!!!"),"NEW","")))</f>
        <v> </v>
      </c>
      <c r="G1259" s="24" t="str">
        <f>IF(OR(E1259="",E1259="!!!"),"",IF(OR(J1259=0,AND(J1259=1,K1259=1),AND(J1259=1,I1259="SBJ"),AND(J1259=1,I1259=0)),"?IN_FOCUS",IF(J1259&lt;=2,"?ACTIVATED",IF(J1259&lt;&gt;"","?FAMILIAR",IF(F1259="NEW",IF(ISNA(VLOOKUP(E1259,#REF!,1,FALSE())),"?TYPE_IDENTIFIABLE","?REFERENTIAL"),"_")))))</f>
        <v> </v>
      </c>
      <c r="H1259" s="25" t="str">
        <f>IF(J1259&lt;&gt;1,"",IF(I1259="SBJ","CB","?"))</f>
        <v> </v>
      </c>
      <c r="I1259" s="26" t="str">
        <f>IF(OR(E1259="",E1259="!!!",F1259="NEW"),"",INDEX(B1258:B$2,-1+SUMPRODUCT(MAX(ROW(E1258:E$2)*(E1259=E1258:E$2)))))</f>
        <v> </v>
      </c>
      <c r="J1259" s="26" t="str">
        <f>IF(OR(E1259="",E1259="!!!",F1259="NEW"),"",COUNTBLANK(OFFSET(A$1,,,SUMPRODUCT(MAX(ROW(E$2:E1259)*(E1259=E$2:E1259)))))-COUNTBLANK(OFFSET(A$1,,,SUMPRODUCT(MAX(ROW(E$1:E1258)*(E2=E$1:E1258))))))</f>
        <v> </v>
      </c>
      <c r="K1259" s="26" t="str">
        <f>IF(OR(E1259="",E1259="!!!",F1259="NEW"),"",INDEX(J$1:J1258,SUMPRODUCT(MAX(ROW(E$1:E1258)*(E1259=E$1:E1258)))))</f>
        <v> </v>
      </c>
      <c r="L1259" s="27"/>
    </row>
    <row r="1260" spans="1:12">
      <c r="A1260" s="20" t="s">
        <v>1504</v>
      </c>
      <c r="E1260" s="22">
        <f>IF(D1260="?OLD","!!!","")</f>
        <v/>
      </c>
      <c r="F1260" s="23" t="str">
        <f>IF(OR(E1260="",E1260="!!!"),"",IF(NOT(ISNA(VLOOKUP(E1260,E$1:E1259,1,FALSE()))),"OLD",IF(AND(E1260&lt;&gt;"",E1260&lt;&gt;"!!!"),"NEW","")))</f>
        <v> </v>
      </c>
      <c r="G1260" s="24" t="str">
        <f>IF(OR(E1260="",E1260="!!!"),"",IF(OR(J1260=0,AND(J1260=1,K1260=1),AND(J1260=1,I1260="SBJ"),AND(J1260=1,I1260=0)),"?IN_FOCUS",IF(J1260&lt;=2,"?ACTIVATED",IF(J1260&lt;&gt;"","?FAMILIAR",IF(F1260="NEW",IF(ISNA(VLOOKUP(E1260,#REF!,1,FALSE())),"?TYPE_IDENTIFIABLE","?REFERENTIAL"),"_")))))</f>
        <v> </v>
      </c>
      <c r="H1260" s="25" t="str">
        <f>IF(J1260&lt;&gt;1,"",IF(I1260="SBJ","CB","?"))</f>
        <v> </v>
      </c>
      <c r="I1260" s="26" t="str">
        <f>IF(OR(E1260="",E1260="!!!",F1260="NEW"),"",INDEX(B1259:B$2,-1+SUMPRODUCT(MAX(ROW(E1259:E$2)*(E1260=E1259:E$2)))))</f>
        <v> </v>
      </c>
      <c r="J1260" s="26" t="str">
        <f>IF(OR(E1260="",E1260="!!!",F1260="NEW"),"",COUNTBLANK(OFFSET(A$1,,,SUMPRODUCT(MAX(ROW(E$2:E1260)*(E1260=E$2:E1260)))))-COUNTBLANK(OFFSET(A$1,,,SUMPRODUCT(MAX(ROW(E$1:E1259)*(E2=E$1:E1259))))))</f>
        <v> </v>
      </c>
      <c r="K1260" s="26" t="str">
        <f>IF(OR(E1260="",E1260="!!!",F1260="NEW"),"",INDEX(J$1:J1259,SUMPRODUCT(MAX(ROW(E$1:E1259)*(E1260=E$1:E1259)))))</f>
        <v> </v>
      </c>
      <c r="L1260" s="27"/>
    </row>
    <row r="1261" spans="1:12">
      <c r="A1261" s="20" t="s">
        <v>1451</v>
      </c>
      <c r="B1261" s="21" t="s">
        <v>1263</v>
      </c>
      <c r="C1261" s="21" t="s">
        <v>1074</v>
      </c>
      <c r="E1261" s="22">
        <f>IF(D1261="?OLD","!!!","")</f>
        <v/>
      </c>
      <c r="F1261" s="23" t="str">
        <f>IF(OR(E1261="",E1261="!!!"),"",IF(NOT(ISNA(VLOOKUP(E1261,E$1:E1260,1,FALSE()))),"OLD",IF(AND(E1261&lt;&gt;"",E1261&lt;&gt;"!!!"),"NEW","")))</f>
        <v> </v>
      </c>
      <c r="G1261" s="24" t="str">
        <f>IF(OR(E1261="",E1261="!!!"),"",IF(OR(J1261=0,AND(J1261=1,K1261=1),AND(J1261=1,I1261="SBJ"),AND(J1261=1,I1261=0)),"?IN_FOCUS",IF(J1261&lt;=2,"?ACTIVATED",IF(J1261&lt;&gt;"","?FAMILIAR",IF(F1261="NEW",IF(ISNA(VLOOKUP(E1261,#REF!,1,FALSE())),"?TYPE_IDENTIFIABLE","?REFERENTIAL"),"_")))))</f>
        <v> </v>
      </c>
      <c r="H1261" s="25" t="str">
        <f>IF(J1261&lt;&gt;1,"",IF(I1261="SBJ","CB","?"))</f>
        <v> </v>
      </c>
      <c r="I1261" s="26" t="str">
        <f>IF(OR(E1261="",E1261="!!!",F1261="NEW"),"",INDEX(B1260:B$2,-1+SUMPRODUCT(MAX(ROW(E1260:E$2)*(E1261=E1260:E$2)))))</f>
        <v> </v>
      </c>
      <c r="J1261" s="26" t="str">
        <f>IF(OR(E1261="",E1261="!!!",F1261="NEW"),"",COUNTBLANK(OFFSET(A$1,,,SUMPRODUCT(MAX(ROW(E$2:E1261)*(E1261=E$2:E1261)))))-COUNTBLANK(OFFSET(A$1,,,SUMPRODUCT(MAX(ROW(E$1:E1260)*(E2=E$1:E1260))))))</f>
        <v> </v>
      </c>
      <c r="K1261" s="26" t="str">
        <f>IF(OR(E1261="",E1261="!!!",F1261="NEW"),"",INDEX(J$1:J1260,SUMPRODUCT(MAX(ROW(E$1:E1260)*(E1261=E$1:E1260)))))</f>
        <v> </v>
      </c>
      <c r="L1261" s="27"/>
    </row>
    <row r="1262" spans="1:12">
      <c r="A1262" s="20" t="s">
        <v>1505</v>
      </c>
      <c r="E1262" s="22">
        <f>IF(D1262="?OLD","!!!","")</f>
        <v/>
      </c>
      <c r="F1262" s="23" t="str">
        <f>IF(OR(E1262="",E1262="!!!"),"",IF(NOT(ISNA(VLOOKUP(E1262,E$1:E1261,1,FALSE()))),"OLD",IF(AND(E1262&lt;&gt;"",E1262&lt;&gt;"!!!"),"NEW","")))</f>
        <v> </v>
      </c>
      <c r="G1262" s="24" t="str">
        <f>IF(OR(E1262="",E1262="!!!"),"",IF(OR(J1262=0,AND(J1262=1,K1262=1),AND(J1262=1,I1262="SBJ"),AND(J1262=1,I1262=0)),"?IN_FOCUS",IF(J1262&lt;=2,"?ACTIVATED",IF(J1262&lt;&gt;"","?FAMILIAR",IF(F1262="NEW",IF(ISNA(VLOOKUP(E1262,#REF!,1,FALSE())),"?TYPE_IDENTIFIABLE","?REFERENTIAL"),"_")))))</f>
        <v> </v>
      </c>
      <c r="H1262" s="25" t="str">
        <f>IF(J1262&lt;&gt;1,"",IF(I1262="SBJ","CB","?"))</f>
        <v> </v>
      </c>
      <c r="I1262" s="26" t="str">
        <f>IF(OR(E1262="",E1262="!!!",F1262="NEW"),"",INDEX(B1261:B$2,-1+SUMPRODUCT(MAX(ROW(E1261:E$2)*(E1262=E1261:E$2)))))</f>
        <v> </v>
      </c>
      <c r="J1262" s="26" t="str">
        <f>IF(OR(E1262="",E1262="!!!",F1262="NEW"),"",COUNTBLANK(OFFSET(A$1,,,SUMPRODUCT(MAX(ROW(E$2:E1262)*(E1262=E$2:E1262)))))-COUNTBLANK(OFFSET(A$1,,,SUMPRODUCT(MAX(ROW(E$1:E1261)*(E2=E$1:E1261))))))</f>
        <v> </v>
      </c>
      <c r="K1262" s="26" t="str">
        <f>IF(OR(E1262="",E1262="!!!",F1262="NEW"),"",INDEX(J$1:J1261,SUMPRODUCT(MAX(ROW(E$1:E1261)*(E1262=E$1:E1261)))))</f>
        <v> </v>
      </c>
      <c r="L1262" s="27"/>
    </row>
    <row r="1263" spans="1:12">
      <c r="A1263" s="20" t="s">
        <v>238</v>
      </c>
      <c r="E1263" s="22">
        <f>IF(D1263="?OLD","!!!","")</f>
        <v/>
      </c>
      <c r="F1263" s="23" t="str">
        <f>IF(OR(E1263="",E1263="!!!"),"",IF(NOT(ISNA(VLOOKUP(E1263,E$1:E1262,1,FALSE()))),"OLD",IF(AND(E1263&lt;&gt;"",E1263&lt;&gt;"!!!"),"NEW","")))</f>
        <v> </v>
      </c>
      <c r="G1263" s="24" t="str">
        <f>IF(OR(E1263="",E1263="!!!"),"",IF(OR(J1263=0,AND(J1263=1,K1263=1),AND(J1263=1,I1263="SBJ"),AND(J1263=1,I1263=0)),"?IN_FOCUS",IF(J1263&lt;=2,"?ACTIVATED",IF(J1263&lt;&gt;"","?FAMILIAR",IF(F1263="NEW",IF(ISNA(VLOOKUP(E1263,#REF!,1,FALSE())),"?TYPE_IDENTIFIABLE","?REFERENTIAL"),"_")))))</f>
        <v> </v>
      </c>
      <c r="H1263" s="25" t="str">
        <f>IF(J1263&lt;&gt;1,"",IF(I1263="SBJ","CB","?"))</f>
        <v> </v>
      </c>
      <c r="I1263" s="26" t="str">
        <f>IF(OR(E1263="",E1263="!!!",F1263="NEW"),"",INDEX(B1262:B$2,-1+SUMPRODUCT(MAX(ROW(E1262:E$2)*(E1263=E1262:E$2)))))</f>
        <v> </v>
      </c>
      <c r="J1263" s="26" t="str">
        <f>IF(OR(E1263="",E1263="!!!",F1263="NEW"),"",COUNTBLANK(OFFSET(A$1,,,SUMPRODUCT(MAX(ROW(E$2:E1263)*(E1263=E$2:E1263)))))-COUNTBLANK(OFFSET(A$1,,,SUMPRODUCT(MAX(ROW(E$1:E1262)*(E2=E$1:E1262))))))</f>
        <v> </v>
      </c>
      <c r="K1263" s="26" t="str">
        <f>IF(OR(E1263="",E1263="!!!",F1263="NEW"),"",INDEX(J$1:J1262,SUMPRODUCT(MAX(ROW(E$1:E1262)*(E1263=E$1:E1262)))))</f>
        <v> </v>
      </c>
      <c r="L1263" s="27"/>
    </row>
    <row r="1264" spans="1:12">
      <c r="A1264" s="20" t="s">
        <v>102</v>
      </c>
      <c r="E1264" s="22">
        <f>IF(D1264="?OLD","!!!","")</f>
        <v/>
      </c>
      <c r="F1264" s="23" t="str">
        <f>IF(OR(E1264="",E1264="!!!"),"",IF(NOT(ISNA(VLOOKUP(E1264,E$1:E1263,1,FALSE()))),"OLD",IF(AND(E1264&lt;&gt;"",E1264&lt;&gt;"!!!"),"NEW","")))</f>
        <v> </v>
      </c>
      <c r="G1264" s="24" t="str">
        <f>IF(OR(E1264="",E1264="!!!"),"",IF(OR(J1264=0,AND(J1264=1,K1264=1),AND(J1264=1,I1264="SBJ"),AND(J1264=1,I1264=0)),"?IN_FOCUS",IF(J1264&lt;=2,"?ACTIVATED",IF(J1264&lt;&gt;"","?FAMILIAR",IF(F1264="NEW",IF(ISNA(VLOOKUP(E1264,#REF!,1,FALSE())),"?TYPE_IDENTIFIABLE","?REFERENTIAL"),"_")))))</f>
        <v> </v>
      </c>
      <c r="H1264" s="25" t="str">
        <f>IF(J1264&lt;&gt;1,"",IF(I1264="SBJ","CB","?"))</f>
        <v> </v>
      </c>
      <c r="I1264" s="26" t="str">
        <f>IF(OR(E1264="",E1264="!!!",F1264="NEW"),"",INDEX(B1263:B$2,-1+SUMPRODUCT(MAX(ROW(E1263:E$2)*(E1264=E1263:E$2)))))</f>
        <v> </v>
      </c>
      <c r="J1264" s="26" t="str">
        <f>IF(OR(E1264="",E1264="!!!",F1264="NEW"),"",COUNTBLANK(OFFSET(A$1,,,SUMPRODUCT(MAX(ROW(E$2:E1264)*(E1264=E$2:E1264)))))-COUNTBLANK(OFFSET(A$1,,,SUMPRODUCT(MAX(ROW(E$1:E1263)*(E2=E$1:E1263))))))</f>
        <v> </v>
      </c>
      <c r="K1264" s="26" t="str">
        <f>IF(OR(E1264="",E1264="!!!",F1264="NEW"),"",INDEX(J$1:J1263,SUMPRODUCT(MAX(ROW(E$1:E1263)*(E1264=E$1:E1263)))))</f>
        <v> </v>
      </c>
      <c r="L1264" s="27"/>
    </row>
    <row r="1265" spans="1:12">
      <c r="A1265" s="20" t="s">
        <v>1506</v>
      </c>
      <c r="B1265" s="21" t="s">
        <v>1035</v>
      </c>
      <c r="C1265" s="21" t="s">
        <v>1013</v>
      </c>
      <c r="D1265" s="21" t="s">
        <v>1007</v>
      </c>
      <c r="E1265" s="22">
        <f>IF(D1265="?OLD","!!!","")</f>
        <v/>
      </c>
      <c r="F1265" s="23" t="str">
        <f>IF(OR(E1265="",E1265="!!!"),"",IF(NOT(ISNA(VLOOKUP(E1265,E$1:E1264,1,FALSE()))),"OLD",IF(AND(E1265&lt;&gt;"",E1265&lt;&gt;"!!!"),"NEW","")))</f>
        <v> </v>
      </c>
      <c r="G1265" s="24" t="str">
        <f>IF(OR(E1265="",E1265="!!!"),"",IF(OR(J1265=0,AND(J1265=1,K1265=1),AND(J1265=1,I1265="SBJ"),AND(J1265=1,I1265=0)),"?IN_FOCUS",IF(J1265&lt;=2,"?ACTIVATED",IF(J1265&lt;&gt;"","?FAMILIAR",IF(F1265="NEW",IF(ISNA(VLOOKUP(E1265,#REF!,1,FALSE())),"?TYPE_IDENTIFIABLE","?REFERENTIAL"),"_")))))</f>
        <v> </v>
      </c>
      <c r="H1265" s="25" t="str">
        <f>IF(J1265&lt;&gt;1,"",IF(I1265="SBJ","CB","?"))</f>
        <v> </v>
      </c>
      <c r="I1265" s="26" t="str">
        <f>IF(OR(E1265="",E1265="!!!",F1265="NEW"),"",INDEX(B1264:B$2,-1+SUMPRODUCT(MAX(ROW(E1264:E$2)*(E1265=E1264:E$2)))))</f>
        <v> </v>
      </c>
      <c r="J1265" s="26" t="str">
        <f>IF(OR(E1265="",E1265="!!!",F1265="NEW"),"",COUNTBLANK(OFFSET(A$1,,,SUMPRODUCT(MAX(ROW(E$2:E1265)*(E1265=E$2:E1265)))))-COUNTBLANK(OFFSET(A$1,,,SUMPRODUCT(MAX(ROW(E$1:E1264)*(E2=E$1:E1264))))))</f>
        <v> </v>
      </c>
      <c r="K1265" s="26" t="str">
        <f>IF(OR(E1265="",E1265="!!!",F1265="NEW"),"",INDEX(J$1:J1264,SUMPRODUCT(MAX(ROW(E$1:E1264)*(E1265=E$1:E1264)))))</f>
        <v> </v>
      </c>
      <c r="L1265" s="27"/>
    </row>
    <row r="1266" spans="1:12">
      <c r="A1266" s="20" t="s">
        <v>1014</v>
      </c>
      <c r="E1266" s="22">
        <f>IF(D1266="?OLD","!!!","")</f>
        <v/>
      </c>
      <c r="F1266" s="23" t="str">
        <f>IF(OR(E1266="",E1266="!!!"),"",IF(NOT(ISNA(VLOOKUP(E1266,E$1:E1265,1,FALSE()))),"OLD",IF(AND(E1266&lt;&gt;"",E1266&lt;&gt;"!!!"),"NEW","")))</f>
        <v> </v>
      </c>
      <c r="G1266" s="24" t="str">
        <f>IF(OR(E1266="",E1266="!!!"),"",IF(OR(J1266=0,AND(J1266=1,K1266=1),AND(J1266=1,I1266="SBJ"),AND(J1266=1,I1266=0)),"?IN_FOCUS",IF(J1266&lt;=2,"?ACTIVATED",IF(J1266&lt;&gt;"","?FAMILIAR",IF(F1266="NEW",IF(ISNA(VLOOKUP(E1266,#REF!,1,FALSE())),"?TYPE_IDENTIFIABLE","?REFERENTIAL"),"_")))))</f>
        <v> </v>
      </c>
      <c r="H1266" s="25" t="str">
        <f>IF(J1266&lt;&gt;1,"",IF(I1266="SBJ","CB","?"))</f>
        <v> </v>
      </c>
      <c r="I1266" s="26" t="str">
        <f>IF(OR(E1266="",E1266="!!!",F1266="NEW"),"",INDEX(B1265:B$2,-1+SUMPRODUCT(MAX(ROW(E1265:E$2)*(E1266=E1265:E$2)))))</f>
        <v> </v>
      </c>
      <c r="J1266" s="26" t="str">
        <f>IF(OR(E1266="",E1266="!!!",F1266="NEW"),"",COUNTBLANK(OFFSET(A$1,,,SUMPRODUCT(MAX(ROW(E$2:E1266)*(E1266=E$2:E1266)))))-COUNTBLANK(OFFSET(A$1,,,SUMPRODUCT(MAX(ROW(E$1:E1265)*(E2=E$1:E1265))))))</f>
        <v> </v>
      </c>
      <c r="K1266" s="26" t="str">
        <f>IF(OR(E1266="",E1266="!!!",F1266="NEW"),"",INDEX(J$1:J1265,SUMPRODUCT(MAX(ROW(E$1:E1265)*(E1266=E$1:E1265)))))</f>
        <v> </v>
      </c>
      <c r="L1266" s="27"/>
    </row>
    <row r="1267" spans="1:12">
      <c r="A1267" s="20" t="s">
        <v>102</v>
      </c>
      <c r="E1267" s="22">
        <f>IF(D1267="?OLD","!!!","")</f>
        <v/>
      </c>
      <c r="F1267" s="23" t="str">
        <f>IF(OR(E1267="",E1267="!!!"),"",IF(NOT(ISNA(VLOOKUP(E1267,E$1:E1266,1,FALSE()))),"OLD",IF(AND(E1267&lt;&gt;"",E1267&lt;&gt;"!!!"),"NEW","")))</f>
        <v> </v>
      </c>
      <c r="G1267" s="24" t="str">
        <f>IF(OR(E1267="",E1267="!!!"),"",IF(OR(J1267=0,AND(J1267=1,K1267=1),AND(J1267=1,I1267="SBJ"),AND(J1267=1,I1267=0)),"?IN_FOCUS",IF(J1267&lt;=2,"?ACTIVATED",IF(J1267&lt;&gt;"","?FAMILIAR",IF(F1267="NEW",IF(ISNA(VLOOKUP(E1267,#REF!,1,FALSE())),"?TYPE_IDENTIFIABLE","?REFERENTIAL"),"_")))))</f>
        <v> </v>
      </c>
      <c r="H1267" s="25" t="str">
        <f>IF(J1267&lt;&gt;1,"",IF(I1267="SBJ","CB","?"))</f>
        <v> </v>
      </c>
      <c r="I1267" s="26" t="str">
        <f>IF(OR(E1267="",E1267="!!!",F1267="NEW"),"",INDEX(B1266:B$2,-1+SUMPRODUCT(MAX(ROW(E1266:E$2)*(E1267=E1266:E$2)))))</f>
        <v> </v>
      </c>
      <c r="J1267" s="26" t="str">
        <f>IF(OR(E1267="",E1267="!!!",F1267="NEW"),"",COUNTBLANK(OFFSET(A$1,,,SUMPRODUCT(MAX(ROW(E$2:E1267)*(E1267=E$2:E1267)))))-COUNTBLANK(OFFSET(A$1,,,SUMPRODUCT(MAX(ROW(E$1:E1266)*(E2=E$1:E1266))))))</f>
        <v> </v>
      </c>
      <c r="K1267" s="26" t="str">
        <f>IF(OR(E1267="",E1267="!!!",F1267="NEW"),"",INDEX(J$1:J1266,SUMPRODUCT(MAX(ROW(E$1:E1266)*(E1267=E$1:E1266)))))</f>
        <v> </v>
      </c>
      <c r="L1267" s="27"/>
    </row>
    <row r="1268" spans="1:12">
      <c r="A1268" s="20" t="s">
        <v>1156</v>
      </c>
      <c r="B1268" s="21" t="s">
        <v>1130</v>
      </c>
      <c r="C1268" s="21" t="s">
        <v>1013</v>
      </c>
      <c r="D1268" s="21" t="s">
        <v>1007</v>
      </c>
      <c r="E1268" s="22">
        <f>IF(D1268="?OLD","!!!","")</f>
        <v/>
      </c>
      <c r="F1268" s="23" t="str">
        <f>IF(OR(E1268="",E1268="!!!"),"",IF(NOT(ISNA(VLOOKUP(E1268,E$1:E1267,1,FALSE()))),"OLD",IF(AND(E1268&lt;&gt;"",E1268&lt;&gt;"!!!"),"NEW","")))</f>
        <v> </v>
      </c>
      <c r="G1268" s="24" t="str">
        <f>IF(OR(E1268="",E1268="!!!"),"",IF(OR(J1268=0,AND(J1268=1,K1268=1),AND(J1268=1,I1268="SBJ"),AND(J1268=1,I1268=0)),"?IN_FOCUS",IF(J1268&lt;=2,"?ACTIVATED",IF(J1268&lt;&gt;"","?FAMILIAR",IF(F1268="NEW",IF(ISNA(VLOOKUP(E1268,#REF!,1,FALSE())),"?TYPE_IDENTIFIABLE","?REFERENTIAL"),"_")))))</f>
        <v> </v>
      </c>
      <c r="H1268" s="25" t="str">
        <f>IF(J1268&lt;&gt;1,"",IF(I1268="SBJ","CB","?"))</f>
        <v> </v>
      </c>
      <c r="I1268" s="26" t="str">
        <f>IF(OR(E1268="",E1268="!!!",F1268="NEW"),"",INDEX(B1267:B$2,-1+SUMPRODUCT(MAX(ROW(E1267:E$2)*(E1268=E1267:E$2)))))</f>
        <v> </v>
      </c>
      <c r="J1268" s="26" t="str">
        <f>IF(OR(E1268="",E1268="!!!",F1268="NEW"),"",COUNTBLANK(OFFSET(A$1,,,SUMPRODUCT(MAX(ROW(E$2:E1268)*(E1268=E$2:E1268)))))-COUNTBLANK(OFFSET(A$1,,,SUMPRODUCT(MAX(ROW(E$1:E1267)*(E2=E$1:E1267))))))</f>
        <v> </v>
      </c>
      <c r="K1268" s="26" t="str">
        <f>IF(OR(E1268="",E1268="!!!",F1268="NEW"),"",INDEX(J$1:J1267,SUMPRODUCT(MAX(ROW(E$1:E1267)*(E1268=E$1:E1267)))))</f>
        <v> </v>
      </c>
      <c r="L1268" s="27"/>
    </row>
    <row r="1269" spans="1:12">
      <c r="A1269" s="20" t="s">
        <v>1453</v>
      </c>
      <c r="E1269" s="22">
        <f>IF(D1269="?OLD","!!!","")</f>
        <v/>
      </c>
      <c r="F1269" s="23" t="str">
        <f>IF(OR(E1269="",E1269="!!!"),"",IF(NOT(ISNA(VLOOKUP(E1269,E$1:E1268,1,FALSE()))),"OLD",IF(AND(E1269&lt;&gt;"",E1269&lt;&gt;"!!!"),"NEW","")))</f>
        <v> </v>
      </c>
      <c r="G1269" s="24" t="str">
        <f>IF(OR(E1269="",E1269="!!!"),"",IF(OR(J1269=0,AND(J1269=1,K1269=1),AND(J1269=1,I1269="SBJ"),AND(J1269=1,I1269=0)),"?IN_FOCUS",IF(J1269&lt;=2,"?ACTIVATED",IF(J1269&lt;&gt;"","?FAMILIAR",IF(F1269="NEW",IF(ISNA(VLOOKUP(E1269,#REF!,1,FALSE())),"?TYPE_IDENTIFIABLE","?REFERENTIAL"),"_")))))</f>
        <v> </v>
      </c>
      <c r="H1269" s="25" t="str">
        <f>IF(J1269&lt;&gt;1,"",IF(I1269="SBJ","CB","?"))</f>
        <v> </v>
      </c>
      <c r="I1269" s="26" t="str">
        <f>IF(OR(E1269="",E1269="!!!",F1269="NEW"),"",INDEX(B1268:B$2,-1+SUMPRODUCT(MAX(ROW(E1268:E$2)*(E1269=E1268:E$2)))))</f>
        <v> </v>
      </c>
      <c r="J1269" s="26" t="str">
        <f>IF(OR(E1269="",E1269="!!!",F1269="NEW"),"",COUNTBLANK(OFFSET(A$1,,,SUMPRODUCT(MAX(ROW(E$2:E1269)*(E1269=E$2:E1269)))))-COUNTBLANK(OFFSET(A$1,,,SUMPRODUCT(MAX(ROW(E$1:E1268)*(E2=E$1:E1268))))))</f>
        <v> </v>
      </c>
      <c r="K1269" s="26" t="str">
        <f>IF(OR(E1269="",E1269="!!!",F1269="NEW"),"",INDEX(J$1:J1268,SUMPRODUCT(MAX(ROW(E$1:E1268)*(E1269=E$1:E1268)))))</f>
        <v> </v>
      </c>
      <c r="L1269" s="27"/>
    </row>
    <row r="1270" spans="1:12">
      <c r="A1270" s="20" t="s">
        <v>1194</v>
      </c>
      <c r="E1270" s="22">
        <f>IF(D1270="?OLD","!!!","")</f>
        <v/>
      </c>
      <c r="F1270" s="23" t="str">
        <f>IF(OR(E1270="",E1270="!!!"),"",IF(NOT(ISNA(VLOOKUP(E1270,E$1:E1269,1,FALSE()))),"OLD",IF(AND(E1270&lt;&gt;"",E1270&lt;&gt;"!!!"),"NEW","")))</f>
        <v> </v>
      </c>
      <c r="G1270" s="24" t="str">
        <f>IF(OR(E1270="",E1270="!!!"),"",IF(OR(J1270=0,AND(J1270=1,K1270=1),AND(J1270=1,I1270="SBJ"),AND(J1270=1,I1270=0)),"?IN_FOCUS",IF(J1270&lt;=2,"?ACTIVATED",IF(J1270&lt;&gt;"","?FAMILIAR",IF(F1270="NEW",IF(ISNA(VLOOKUP(E1270,#REF!,1,FALSE())),"?TYPE_IDENTIFIABLE","?REFERENTIAL"),"_")))))</f>
        <v> </v>
      </c>
      <c r="H1270" s="25" t="str">
        <f>IF(J1270&lt;&gt;1,"",IF(I1270="SBJ","CB","?"))</f>
        <v> </v>
      </c>
      <c r="I1270" s="26" t="str">
        <f>IF(OR(E1270="",E1270="!!!",F1270="NEW"),"",INDEX(B1269:B$2,-1+SUMPRODUCT(MAX(ROW(E1269:E$2)*(E1270=E1269:E$2)))))</f>
        <v> </v>
      </c>
      <c r="J1270" s="26" t="str">
        <f>IF(OR(E1270="",E1270="!!!",F1270="NEW"),"",COUNTBLANK(OFFSET(A$1,,,SUMPRODUCT(MAX(ROW(E$2:E1270)*(E1270=E$2:E1270)))))-COUNTBLANK(OFFSET(A$1,,,SUMPRODUCT(MAX(ROW(E$1:E1269)*(E2=E$1:E1269))))))</f>
        <v> </v>
      </c>
      <c r="K1270" s="26" t="str">
        <f>IF(OR(E1270="",E1270="!!!",F1270="NEW"),"",INDEX(J$1:J1269,SUMPRODUCT(MAX(ROW(E$1:E1269)*(E1270=E$1:E1269)))))</f>
        <v> </v>
      </c>
      <c r="L1270" s="27"/>
    </row>
    <row r="1271" spans="1:12">
      <c r="A1271" s="20" t="s">
        <v>1030</v>
      </c>
      <c r="E1271" s="22">
        <f>IF(D1271="?OLD","!!!","")</f>
        <v/>
      </c>
      <c r="F1271" s="23" t="str">
        <f>IF(OR(E1271="",E1271="!!!"),"",IF(NOT(ISNA(VLOOKUP(E1271,E$1:E1270,1,FALSE()))),"OLD",IF(AND(E1271&lt;&gt;"",E1271&lt;&gt;"!!!"),"NEW","")))</f>
        <v> </v>
      </c>
      <c r="G1271" s="24" t="str">
        <f>IF(OR(E1271="",E1271="!!!"),"",IF(OR(J1271=0,AND(J1271=1,K1271=1),AND(J1271=1,I1271="SBJ"),AND(J1271=1,I1271=0)),"?IN_FOCUS",IF(J1271&lt;=2,"?ACTIVATED",IF(J1271&lt;&gt;"","?FAMILIAR",IF(F1271="NEW",IF(ISNA(VLOOKUP(E1271,#REF!,1,FALSE())),"?TYPE_IDENTIFIABLE","?REFERENTIAL"),"_")))))</f>
        <v> </v>
      </c>
      <c r="H1271" s="25" t="str">
        <f>IF(J1271&lt;&gt;1,"",IF(I1271="SBJ","CB","?"))</f>
        <v> </v>
      </c>
      <c r="I1271" s="26" t="str">
        <f>IF(OR(E1271="",E1271="!!!",F1271="NEW"),"",INDEX(B1270:B$2,-1+SUMPRODUCT(MAX(ROW(E1270:E$2)*(E1271=E1270:E$2)))))</f>
        <v> </v>
      </c>
      <c r="J1271" s="26" t="str">
        <f>IF(OR(E1271="",E1271="!!!",F1271="NEW"),"",COUNTBLANK(OFFSET(A$1,,,SUMPRODUCT(MAX(ROW(E$2:E1271)*(E1271=E$2:E1271)))))-COUNTBLANK(OFFSET(A$1,,,SUMPRODUCT(MAX(ROW(E$1:E1270)*(E2=E$1:E1270))))))</f>
        <v> </v>
      </c>
      <c r="K1271" s="26" t="str">
        <f>IF(OR(E1271="",E1271="!!!",F1271="NEW"),"",INDEX(J$1:J1270,SUMPRODUCT(MAX(ROW(E$1:E1270)*(E1271=E$1:E1270)))))</f>
        <v> </v>
      </c>
      <c r="L1271" s="27"/>
    </row>
    <row r="1272" spans="1:12">
      <c r="A1272" s="20" t="s">
        <v>1324</v>
      </c>
      <c r="E1272" s="22">
        <f>IF(D1272="?OLD","!!!","")</f>
        <v/>
      </c>
      <c r="F1272" s="23" t="str">
        <f>IF(OR(E1272="",E1272="!!!"),"",IF(NOT(ISNA(VLOOKUP(E1272,E$1:E1271,1,FALSE()))),"OLD",IF(AND(E1272&lt;&gt;"",E1272&lt;&gt;"!!!"),"NEW","")))</f>
        <v> </v>
      </c>
      <c r="G1272" s="24" t="str">
        <f>IF(OR(E1272="",E1272="!!!"),"",IF(OR(J1272=0,AND(J1272=1,K1272=1),AND(J1272=1,I1272="SBJ"),AND(J1272=1,I1272=0)),"?IN_FOCUS",IF(J1272&lt;=2,"?ACTIVATED",IF(J1272&lt;&gt;"","?FAMILIAR",IF(F1272="NEW",IF(ISNA(VLOOKUP(E1272,#REF!,1,FALSE())),"?TYPE_IDENTIFIABLE","?REFERENTIAL"),"_")))))</f>
        <v> </v>
      </c>
      <c r="H1272" s="25" t="str">
        <f>IF(J1272&lt;&gt;1,"",IF(I1272="SBJ","CB","?"))</f>
        <v> </v>
      </c>
      <c r="I1272" s="26" t="str">
        <f>IF(OR(E1272="",E1272="!!!",F1272="NEW"),"",INDEX(B1271:B$2,-1+SUMPRODUCT(MAX(ROW(E1271:E$2)*(E1272=E1271:E$2)))))</f>
        <v> </v>
      </c>
      <c r="J1272" s="26" t="str">
        <f>IF(OR(E1272="",E1272="!!!",F1272="NEW"),"",COUNTBLANK(OFFSET(A$1,,,SUMPRODUCT(MAX(ROW(E$2:E1272)*(E1272=E$2:E1272)))))-COUNTBLANK(OFFSET(A$1,,,SUMPRODUCT(MAX(ROW(E$1:E1271)*(E2=E$1:E1271))))))</f>
        <v> </v>
      </c>
      <c r="K1272" s="26" t="str">
        <f>IF(OR(E1272="",E1272="!!!",F1272="NEW"),"",INDEX(J$1:J1271,SUMPRODUCT(MAX(ROW(E$1:E1271)*(E1272=E$1:E1271)))))</f>
        <v> </v>
      </c>
      <c r="L1272" s="27"/>
    </row>
    <row r="1273" spans="1:12">
      <c r="A1273" s="20" t="s">
        <v>1021</v>
      </c>
      <c r="B1273" s="21" t="s">
        <v>1040</v>
      </c>
      <c r="C1273" s="21" t="s">
        <v>1006</v>
      </c>
      <c r="D1273" s="21" t="s">
        <v>1007</v>
      </c>
      <c r="E1273" s="22">
        <f>IF(D1273="?OLD","!!!","")</f>
        <v/>
      </c>
      <c r="F1273" s="23" t="str">
        <f>IF(OR(E1273="",E1273="!!!"),"",IF(NOT(ISNA(VLOOKUP(E1273,E$1:E1272,1,FALSE()))),"OLD",IF(AND(E1273&lt;&gt;"",E1273&lt;&gt;"!!!"),"NEW","")))</f>
        <v> </v>
      </c>
      <c r="G1273" s="24" t="str">
        <f>IF(OR(E1273="",E1273="!!!"),"",IF(OR(J1273=0,AND(J1273=1,K1273=1),AND(J1273=1,I1273="SBJ"),AND(J1273=1,I1273=0)),"?IN_FOCUS",IF(J1273&lt;=2,"?ACTIVATED",IF(J1273&lt;&gt;"","?FAMILIAR",IF(F1273="NEW",IF(ISNA(VLOOKUP(E1273,#REF!,1,FALSE())),"?TYPE_IDENTIFIABLE","?REFERENTIAL"),"_")))))</f>
        <v> </v>
      </c>
      <c r="H1273" s="25" t="str">
        <f>IF(J1273&lt;&gt;1,"",IF(I1273="SBJ","CB","?"))</f>
        <v> </v>
      </c>
      <c r="I1273" s="26" t="str">
        <f>IF(OR(E1273="",E1273="!!!",F1273="NEW"),"",INDEX(B1272:B$2,-1+SUMPRODUCT(MAX(ROW(E1272:E$2)*(E1273=E1272:E$2)))))</f>
        <v> </v>
      </c>
      <c r="J1273" s="26" t="str">
        <f>IF(OR(E1273="",E1273="!!!",F1273="NEW"),"",COUNTBLANK(OFFSET(A$1,,,SUMPRODUCT(MAX(ROW(E$2:E1273)*(E1273=E$2:E1273)))))-COUNTBLANK(OFFSET(A$1,,,SUMPRODUCT(MAX(ROW(E$1:E1272)*(E2=E$1:E1272))))))</f>
        <v> </v>
      </c>
      <c r="K1273" s="26" t="str">
        <f>IF(OR(E1273="",E1273="!!!",F1273="NEW"),"",INDEX(J$1:J1272,SUMPRODUCT(MAX(ROW(E$1:E1272)*(E1273=E$1:E1272)))))</f>
        <v> </v>
      </c>
      <c r="L1273" s="27"/>
    </row>
    <row r="1274" spans="1:12">
      <c r="A1274" s="20" t="s">
        <v>1507</v>
      </c>
      <c r="E1274" s="22">
        <f>IF(D1274="?OLD","!!!","")</f>
        <v/>
      </c>
      <c r="F1274" s="23" t="str">
        <f>IF(OR(E1274="",E1274="!!!"),"",IF(NOT(ISNA(VLOOKUP(E1274,E$1:E1273,1,FALSE()))),"OLD",IF(AND(E1274&lt;&gt;"",E1274&lt;&gt;"!!!"),"NEW","")))</f>
        <v> </v>
      </c>
      <c r="G1274" s="24" t="str">
        <f>IF(OR(E1274="",E1274="!!!"),"",IF(OR(J1274=0,AND(J1274=1,K1274=1),AND(J1274=1,I1274="SBJ"),AND(J1274=1,I1274=0)),"?IN_FOCUS",IF(J1274&lt;=2,"?ACTIVATED",IF(J1274&lt;&gt;"","?FAMILIAR",IF(F1274="NEW",IF(ISNA(VLOOKUP(E1274,#REF!,1,FALSE())),"?TYPE_IDENTIFIABLE","?REFERENTIAL"),"_")))))</f>
        <v> </v>
      </c>
      <c r="H1274" s="25" t="str">
        <f>IF(J1274&lt;&gt;1,"",IF(I1274="SBJ","CB","?"))</f>
        <v> </v>
      </c>
      <c r="I1274" s="26" t="str">
        <f>IF(OR(E1274="",E1274="!!!",F1274="NEW"),"",INDEX(B1273:B$2,-1+SUMPRODUCT(MAX(ROW(E1273:E$2)*(E1274=E1273:E$2)))))</f>
        <v> </v>
      </c>
      <c r="J1274" s="26" t="str">
        <f>IF(OR(E1274="",E1274="!!!",F1274="NEW"),"",COUNTBLANK(OFFSET(A$1,,,SUMPRODUCT(MAX(ROW(E$2:E1274)*(E1274=E$2:E1274)))))-COUNTBLANK(OFFSET(A$1,,,SUMPRODUCT(MAX(ROW(E$1:E1273)*(E2=E$1:E1273))))))</f>
        <v> </v>
      </c>
      <c r="K1274" s="26" t="str">
        <f>IF(OR(E1274="",E1274="!!!",F1274="NEW"),"",INDEX(J$1:J1273,SUMPRODUCT(MAX(ROW(E$1:E1273)*(E1274=E$1:E1273)))))</f>
        <v> </v>
      </c>
      <c r="L1274" s="27"/>
    </row>
    <row r="1275" spans="1:12">
      <c r="A1275" s="20" t="s">
        <v>56</v>
      </c>
      <c r="E1275" s="22">
        <f>IF(D1275="?OLD","!!!","")</f>
        <v/>
      </c>
      <c r="F1275" s="23" t="str">
        <f>IF(OR(E1275="",E1275="!!!"),"",IF(NOT(ISNA(VLOOKUP(E1275,E$1:E1274,1,FALSE()))),"OLD",IF(AND(E1275&lt;&gt;"",E1275&lt;&gt;"!!!"),"NEW","")))</f>
        <v> </v>
      </c>
      <c r="G1275" s="24" t="str">
        <f>IF(OR(E1275="",E1275="!!!"),"",IF(OR(J1275=0,AND(J1275=1,K1275=1),AND(J1275=1,I1275="SBJ"),AND(J1275=1,I1275=0)),"?IN_FOCUS",IF(J1275&lt;=2,"?ACTIVATED",IF(J1275&lt;&gt;"","?FAMILIAR",IF(F1275="NEW",IF(ISNA(VLOOKUP(E1275,#REF!,1,FALSE())),"?TYPE_IDENTIFIABLE","?REFERENTIAL"),"_")))))</f>
        <v> </v>
      </c>
      <c r="H1275" s="25" t="str">
        <f>IF(J1275&lt;&gt;1,"",IF(I1275="SBJ","CB","?"))</f>
        <v> </v>
      </c>
      <c r="I1275" s="26" t="str">
        <f>IF(OR(E1275="",E1275="!!!",F1275="NEW"),"",INDEX(B1274:B$2,-1+SUMPRODUCT(MAX(ROW(E1274:E$2)*(E1275=E1274:E$2)))))</f>
        <v> </v>
      </c>
      <c r="J1275" s="26" t="str">
        <f>IF(OR(E1275="",E1275="!!!",F1275="NEW"),"",COUNTBLANK(OFFSET(A$1,,,SUMPRODUCT(MAX(ROW(E$2:E1275)*(E1275=E$2:E1275)))))-COUNTBLANK(OFFSET(A$1,,,SUMPRODUCT(MAX(ROW(E$1:E1274)*(E2=E$1:E1274))))))</f>
        <v> </v>
      </c>
      <c r="K1275" s="26" t="str">
        <f>IF(OR(E1275="",E1275="!!!",F1275="NEW"),"",INDEX(J$1:J1274,SUMPRODUCT(MAX(ROW(E$1:E1274)*(E1275=E$1:E1274)))))</f>
        <v> </v>
      </c>
      <c r="L1275" s="27"/>
    </row>
    <row r="1276" spans="1:12">
      <c r="A1276" s="20" t="s">
        <v>1508</v>
      </c>
      <c r="E1276" s="22">
        <f>IF(D1276="?OLD","!!!","")</f>
        <v/>
      </c>
      <c r="F1276" s="23" t="str">
        <f>IF(OR(E1276="",E1276="!!!"),"",IF(NOT(ISNA(VLOOKUP(E1276,E$1:E1275,1,FALSE()))),"OLD",IF(AND(E1276&lt;&gt;"",E1276&lt;&gt;"!!!"),"NEW","")))</f>
        <v> </v>
      </c>
      <c r="G1276" s="24" t="str">
        <f>IF(OR(E1276="",E1276="!!!"),"",IF(OR(J1276=0,AND(J1276=1,K1276=1),AND(J1276=1,I1276="SBJ"),AND(J1276=1,I1276=0)),"?IN_FOCUS",IF(J1276&lt;=2,"?ACTIVATED",IF(J1276&lt;&gt;"","?FAMILIAR",IF(F1276="NEW",IF(ISNA(VLOOKUP(E1276,#REF!,1,FALSE())),"?TYPE_IDENTIFIABLE","?REFERENTIAL"),"_")))))</f>
        <v> </v>
      </c>
      <c r="H1276" s="25" t="str">
        <f>IF(J1276&lt;&gt;1,"",IF(I1276="SBJ","CB","?"))</f>
        <v> </v>
      </c>
      <c r="I1276" s="26" t="str">
        <f>IF(OR(E1276="",E1276="!!!",F1276="NEW"),"",INDEX(B1275:B$2,-1+SUMPRODUCT(MAX(ROW(E1275:E$2)*(E1276=E1275:E$2)))))</f>
        <v> </v>
      </c>
      <c r="J1276" s="26" t="str">
        <f>IF(OR(E1276="",E1276="!!!",F1276="NEW"),"",COUNTBLANK(OFFSET(A$1,,,SUMPRODUCT(MAX(ROW(E$2:E1276)*(E1276=E$2:E1276)))))-COUNTBLANK(OFFSET(A$1,,,SUMPRODUCT(MAX(ROW(E$1:E1275)*(E2=E$1:E1275))))))</f>
        <v> </v>
      </c>
      <c r="K1276" s="26" t="str">
        <f>IF(OR(E1276="",E1276="!!!",F1276="NEW"),"",INDEX(J$1:J1275,SUMPRODUCT(MAX(ROW(E$1:E1275)*(E1276=E$1:E1275)))))</f>
        <v> </v>
      </c>
      <c r="L1276" s="27"/>
    </row>
    <row r="1277" spans="1:12">
      <c r="A1277" s="20" t="s">
        <v>1023</v>
      </c>
      <c r="E1277" s="22">
        <f>IF(D1277="?OLD","!!!","")</f>
        <v/>
      </c>
      <c r="F1277" s="23" t="str">
        <f>IF(OR(E1277="",E1277="!!!"),"",IF(NOT(ISNA(VLOOKUP(E1277,E$1:E1276,1,FALSE()))),"OLD",IF(AND(E1277&lt;&gt;"",E1277&lt;&gt;"!!!"),"NEW","")))</f>
        <v> </v>
      </c>
      <c r="G1277" s="24" t="str">
        <f>IF(OR(E1277="",E1277="!!!"),"",IF(OR(J1277=0,AND(J1277=1,K1277=1),AND(J1277=1,I1277="SBJ"),AND(J1277=1,I1277=0)),"?IN_FOCUS",IF(J1277&lt;=2,"?ACTIVATED",IF(J1277&lt;&gt;"","?FAMILIAR",IF(F1277="NEW",IF(ISNA(VLOOKUP(E1277,#REF!,1,FALSE())),"?TYPE_IDENTIFIABLE","?REFERENTIAL"),"_")))))</f>
        <v> </v>
      </c>
      <c r="H1277" s="25" t="str">
        <f>IF(J1277&lt;&gt;1,"",IF(I1277="SBJ","CB","?"))</f>
        <v> </v>
      </c>
      <c r="I1277" s="26" t="str">
        <f>IF(OR(E1277="",E1277="!!!",F1277="NEW"),"",INDEX(B1276:B$2,-1+SUMPRODUCT(MAX(ROW(E1276:E$2)*(E1277=E1276:E$2)))))</f>
        <v> </v>
      </c>
      <c r="J1277" s="26" t="str">
        <f>IF(OR(E1277="",E1277="!!!",F1277="NEW"),"",COUNTBLANK(OFFSET(A$1,,,SUMPRODUCT(MAX(ROW(E$2:E1277)*(E1277=E$2:E1277)))))-COUNTBLANK(OFFSET(A$1,,,SUMPRODUCT(MAX(ROW(E$1:E1276)*(E2=E$1:E1276))))))</f>
        <v> </v>
      </c>
      <c r="K1277" s="26" t="str">
        <f>IF(OR(E1277="",E1277="!!!",F1277="NEW"),"",INDEX(J$1:J1276,SUMPRODUCT(MAX(ROW(E$1:E1276)*(E1277=E$1:E1276)))))</f>
        <v> </v>
      </c>
      <c r="L1277" s="27"/>
    </row>
    <row r="1278" spans="1:12">
      <c r="A1278" s="20"/>
    </row>
    <row r="1279" spans="1:12">
      <c r="A1279" s="20" t="s">
        <v>1509</v>
      </c>
    </row>
    <row r="1280" spans="1:12">
      <c r="A1280" s="20" t="s">
        <v>1094</v>
      </c>
      <c r="E1280" s="22">
        <f>IF(D1280="?OLD","!!!","")</f>
        <v/>
      </c>
      <c r="F1280" s="23" t="str">
        <f>IF(OR(E1280="",E1280="!!!"),"",IF(NOT(ISNA(VLOOKUP(E1280,E$1:E1279,1,FALSE()))),"OLD",IF(AND(E1280&lt;&gt;"",E1280&lt;&gt;"!!!"),"NEW","")))</f>
        <v> </v>
      </c>
      <c r="G1280" s="24" t="str">
        <f>IF(OR(E1280="",E1280="!!!"),"",IF(OR(J1280=0,AND(J1280=1,K1280=1),AND(J1280=1,I1280="SBJ"),AND(J1280=1,I1280=0)),"?IN_FOCUS",IF(J1280&lt;=2,"?ACTIVATED",IF(J1280&lt;&gt;"","?FAMILIAR",IF(F1280="NEW",IF(ISNA(VLOOKUP(E1280,#REF!,1,FALSE())),"?TYPE_IDENTIFIABLE","?REFERENTIAL"),"_")))))</f>
        <v> </v>
      </c>
      <c r="H1280" s="25" t="str">
        <f>IF(J1280&lt;&gt;1,"",IF(I1280="SBJ","CB","?"))</f>
        <v> </v>
      </c>
      <c r="I1280" s="26" t="str">
        <f>IF(OR(E1280="",E1280="!!!",F1280="NEW"),"",INDEX(B1279:B$2,-1+SUMPRODUCT(MAX(ROW(E1279:E$2)*(E1280=E1279:E$2)))))</f>
        <v> </v>
      </c>
      <c r="J1280" s="26" t="str">
        <f>IF(OR(E1280="",E1280="!!!",F1280="NEW"),"",COUNTBLANK(OFFSET(A$1,,,SUMPRODUCT(MAX(ROW(E$2:E1280)*(E1280=E$2:E1280)))))-COUNTBLANK(OFFSET(A$1,,,SUMPRODUCT(MAX(ROW(E$1:E1279)*(E2=E$1:E1279))))))</f>
        <v> </v>
      </c>
      <c r="K1280" s="26" t="str">
        <f>IF(OR(E1280="",E1280="!!!",F1280="NEW"),"",INDEX(J$1:J1279,SUMPRODUCT(MAX(ROW(E$1:E1279)*(E1280=E$1:E1279)))))</f>
        <v> </v>
      </c>
      <c r="L1280" s="27"/>
    </row>
    <row r="1281" spans="1:12">
      <c r="A1281" s="20" t="s">
        <v>1009</v>
      </c>
      <c r="E1281" s="22">
        <f>IF(D1281="?OLD","!!!","")</f>
        <v/>
      </c>
      <c r="F1281" s="23" t="str">
        <f>IF(OR(E1281="",E1281="!!!"),"",IF(NOT(ISNA(VLOOKUP(E1281,E$1:E1280,1,FALSE()))),"OLD",IF(AND(E1281&lt;&gt;"",E1281&lt;&gt;"!!!"),"NEW","")))</f>
        <v> </v>
      </c>
      <c r="G1281" s="24" t="str">
        <f>IF(OR(E1281="",E1281="!!!"),"",IF(OR(J1281=0,AND(J1281=1,K1281=1),AND(J1281=1,I1281="SBJ"),AND(J1281=1,I1281=0)),"?IN_FOCUS",IF(J1281&lt;=2,"?ACTIVATED",IF(J1281&lt;&gt;"","?FAMILIAR",IF(F1281="NEW",IF(ISNA(VLOOKUP(E1281,#REF!,1,FALSE())),"?TYPE_IDENTIFIABLE","?REFERENTIAL"),"_")))))</f>
        <v> </v>
      </c>
      <c r="H1281" s="25" t="str">
        <f>IF(J1281&lt;&gt;1,"",IF(I1281="SBJ","CB","?"))</f>
        <v> </v>
      </c>
      <c r="I1281" s="26" t="str">
        <f>IF(OR(E1281="",E1281="!!!",F1281="NEW"),"",INDEX(B1280:B$2,-1+SUMPRODUCT(MAX(ROW(E1280:E$2)*(E1281=E1280:E$2)))))</f>
        <v> </v>
      </c>
      <c r="J1281" s="26" t="str">
        <f>IF(OR(E1281="",E1281="!!!",F1281="NEW"),"",COUNTBLANK(OFFSET(A$1,,,SUMPRODUCT(MAX(ROW(E$2:E1281)*(E1281=E$2:E1281)))))-COUNTBLANK(OFFSET(A$1,,,SUMPRODUCT(MAX(ROW(E$1:E1280)*(E2=E$1:E1280))))))</f>
        <v> </v>
      </c>
      <c r="K1281" s="26" t="str">
        <f>IF(OR(E1281="",E1281="!!!",F1281="NEW"),"",INDEX(J$1:J1280,SUMPRODUCT(MAX(ROW(E$1:E1280)*(E1281=E$1:E1280)))))</f>
        <v> </v>
      </c>
      <c r="L1281" s="27"/>
    </row>
    <row r="1282" spans="1:12">
      <c r="A1282" s="20" t="s">
        <v>1389</v>
      </c>
      <c r="B1282" s="21" t="s">
        <v>1119</v>
      </c>
      <c r="C1282" s="21" t="s">
        <v>1073</v>
      </c>
      <c r="D1282" s="21" t="s">
        <v>1007</v>
      </c>
      <c r="E1282" s="22">
        <f>IF(D1282="?OLD","!!!","")</f>
        <v/>
      </c>
      <c r="F1282" s="23" t="str">
        <f>IF(OR(E1282="",E1282="!!!"),"",IF(NOT(ISNA(VLOOKUP(E1282,E$1:E1281,1,FALSE()))),"OLD",IF(AND(E1282&lt;&gt;"",E1282&lt;&gt;"!!!"),"NEW","")))</f>
        <v> </v>
      </c>
      <c r="G1282" s="24" t="str">
        <f>IF(OR(E1282="",E1282="!!!"),"",IF(OR(J1282=0,AND(J1282=1,K1282=1),AND(J1282=1,I1282="SBJ"),AND(J1282=1,I1282=0)),"?IN_FOCUS",IF(J1282&lt;=2,"?ACTIVATED",IF(J1282&lt;&gt;"","?FAMILIAR",IF(F1282="NEW",IF(ISNA(VLOOKUP(E1282,#REF!,1,FALSE())),"?TYPE_IDENTIFIABLE","?REFERENTIAL"),"_")))))</f>
        <v> </v>
      </c>
      <c r="H1282" s="25" t="str">
        <f>IF(J1282&lt;&gt;1,"",IF(I1282="SBJ","CB","?"))</f>
        <v> </v>
      </c>
      <c r="I1282" s="26" t="str">
        <f>IF(OR(E1282="",E1282="!!!",F1282="NEW"),"",INDEX(B1281:B$2,-1+SUMPRODUCT(MAX(ROW(E1281:E$2)*(E1282=E1281:E$2)))))</f>
        <v> </v>
      </c>
      <c r="J1282" s="26" t="str">
        <f>IF(OR(E1282="",E1282="!!!",F1282="NEW"),"",COUNTBLANK(OFFSET(A$1,,,SUMPRODUCT(MAX(ROW(E$2:E1282)*(E1282=E$2:E1282)))))-COUNTBLANK(OFFSET(A$1,,,SUMPRODUCT(MAX(ROW(E$1:E1281)*(E2=E$1:E1281))))))</f>
        <v> </v>
      </c>
      <c r="K1282" s="26" t="str">
        <f>IF(OR(E1282="",E1282="!!!",F1282="NEW"),"",INDEX(J$1:J1281,SUMPRODUCT(MAX(ROW(E$1:E1281)*(E1282=E$1:E1281)))))</f>
        <v> </v>
      </c>
      <c r="L1282" s="27"/>
    </row>
    <row r="1283" spans="1:12">
      <c r="A1283" s="20" t="s">
        <v>1390</v>
      </c>
      <c r="E1283" s="22">
        <f>IF(D1283="?OLD","!!!","")</f>
        <v/>
      </c>
      <c r="F1283" s="23" t="str">
        <f>IF(OR(E1283="",E1283="!!!"),"",IF(NOT(ISNA(VLOOKUP(E1283,E$1:E1282,1,FALSE()))),"OLD",IF(AND(E1283&lt;&gt;"",E1283&lt;&gt;"!!!"),"NEW","")))</f>
        <v> </v>
      </c>
      <c r="G1283" s="24" t="str">
        <f>IF(OR(E1283="",E1283="!!!"),"",IF(OR(J1283=0,AND(J1283=1,K1283=1),AND(J1283=1,I1283="SBJ"),AND(J1283=1,I1283=0)),"?IN_FOCUS",IF(J1283&lt;=2,"?ACTIVATED",IF(J1283&lt;&gt;"","?FAMILIAR",IF(F1283="NEW",IF(ISNA(VLOOKUP(E1283,#REF!,1,FALSE())),"?TYPE_IDENTIFIABLE","?REFERENTIAL"),"_")))))</f>
        <v> </v>
      </c>
      <c r="H1283" s="25" t="str">
        <f>IF(J1283&lt;&gt;1,"",IF(I1283="SBJ","CB","?"))</f>
        <v> </v>
      </c>
      <c r="I1283" s="26" t="str">
        <f>IF(OR(E1283="",E1283="!!!",F1283="NEW"),"",INDEX(B1282:B$2,-1+SUMPRODUCT(MAX(ROW(E1282:E$2)*(E1283=E1282:E$2)))))</f>
        <v> </v>
      </c>
      <c r="J1283" s="26" t="str">
        <f>IF(OR(E1283="",E1283="!!!",F1283="NEW"),"",COUNTBLANK(OFFSET(A$1,,,SUMPRODUCT(MAX(ROW(E$2:E1283)*(E1283=E$2:E1283)))))-COUNTBLANK(OFFSET(A$1,,,SUMPRODUCT(MAX(ROW(E$1:E1282)*(E2=E$1:E1282))))))</f>
        <v> </v>
      </c>
      <c r="K1283" s="26" t="str">
        <f>IF(OR(E1283="",E1283="!!!",F1283="NEW"),"",INDEX(J$1:J1282,SUMPRODUCT(MAX(ROW(E$1:E1282)*(E1283=E$1:E1282)))))</f>
        <v> </v>
      </c>
      <c r="L1283" s="27"/>
    </row>
    <row r="1284" spans="1:12">
      <c r="A1284" s="20" t="s">
        <v>1065</v>
      </c>
      <c r="E1284" s="22">
        <f>IF(D1284="?OLD","!!!","")</f>
        <v/>
      </c>
      <c r="F1284" s="23" t="str">
        <f>IF(OR(E1284="",E1284="!!!"),"",IF(NOT(ISNA(VLOOKUP(E1284,E$1:E1283,1,FALSE()))),"OLD",IF(AND(E1284&lt;&gt;"",E1284&lt;&gt;"!!!"),"NEW","")))</f>
        <v> </v>
      </c>
      <c r="G1284" s="24" t="str">
        <f>IF(OR(E1284="",E1284="!!!"),"",IF(OR(J1284=0,AND(J1284=1,K1284=1),AND(J1284=1,I1284="SBJ"),AND(J1284=1,I1284=0)),"?IN_FOCUS",IF(J1284&lt;=2,"?ACTIVATED",IF(J1284&lt;&gt;"","?FAMILIAR",IF(F1284="NEW",IF(ISNA(VLOOKUP(E1284,#REF!,1,FALSE())),"?TYPE_IDENTIFIABLE","?REFERENTIAL"),"_")))))</f>
        <v> </v>
      </c>
      <c r="H1284" s="25" t="str">
        <f>IF(J1284&lt;&gt;1,"",IF(I1284="SBJ","CB","?"))</f>
        <v> </v>
      </c>
      <c r="I1284" s="26" t="str">
        <f>IF(OR(E1284="",E1284="!!!",F1284="NEW"),"",INDEX(B1283:B$2,-1+SUMPRODUCT(MAX(ROW(E1283:E$2)*(E1284=E1283:E$2)))))</f>
        <v> </v>
      </c>
      <c r="J1284" s="26" t="str">
        <f>IF(OR(E1284="",E1284="!!!",F1284="NEW"),"",COUNTBLANK(OFFSET(A$1,,,SUMPRODUCT(MAX(ROW(E$2:E1284)*(E1284=E$2:E1284)))))-COUNTBLANK(OFFSET(A$1,,,SUMPRODUCT(MAX(ROW(E$1:E1283)*(E2=E$1:E1283))))))</f>
        <v> </v>
      </c>
      <c r="K1284" s="26" t="str">
        <f>IF(OR(E1284="",E1284="!!!",F1284="NEW"),"",INDEX(J$1:J1283,SUMPRODUCT(MAX(ROW(E$1:E1283)*(E1284=E$1:E1283)))))</f>
        <v> </v>
      </c>
      <c r="L1284" s="27"/>
    </row>
    <row r="1285" spans="1:12">
      <c r="A1285" s="20" t="s">
        <v>1438</v>
      </c>
      <c r="E1285" s="22">
        <f>IF(D1285="?OLD","!!!","")</f>
        <v/>
      </c>
      <c r="F1285" s="23" t="str">
        <f>IF(OR(E1285="",E1285="!!!"),"",IF(NOT(ISNA(VLOOKUP(E1285,E$1:E1284,1,FALSE()))),"OLD",IF(AND(E1285&lt;&gt;"",E1285&lt;&gt;"!!!"),"NEW","")))</f>
        <v> </v>
      </c>
      <c r="G1285" s="24" t="str">
        <f>IF(OR(E1285="",E1285="!!!"),"",IF(OR(J1285=0,AND(J1285=1,K1285=1),AND(J1285=1,I1285="SBJ"),AND(J1285=1,I1285=0)),"?IN_FOCUS",IF(J1285&lt;=2,"?ACTIVATED",IF(J1285&lt;&gt;"","?FAMILIAR",IF(F1285="NEW",IF(ISNA(VLOOKUP(E1285,#REF!,1,FALSE())),"?TYPE_IDENTIFIABLE","?REFERENTIAL"),"_")))))</f>
        <v> </v>
      </c>
      <c r="H1285" s="25" t="str">
        <f>IF(J1285&lt;&gt;1,"",IF(I1285="SBJ","CB","?"))</f>
        <v> </v>
      </c>
      <c r="I1285" s="26" t="str">
        <f>IF(OR(E1285="",E1285="!!!",F1285="NEW"),"",INDEX(B1284:B$2,-1+SUMPRODUCT(MAX(ROW(E1284:E$2)*(E1285=E1284:E$2)))))</f>
        <v> </v>
      </c>
      <c r="J1285" s="26" t="str">
        <f>IF(OR(E1285="",E1285="!!!",F1285="NEW"),"",COUNTBLANK(OFFSET(A$1,,,SUMPRODUCT(MAX(ROW(E$2:E1285)*(E1285=E$2:E1285)))))-COUNTBLANK(OFFSET(A$1,,,SUMPRODUCT(MAX(ROW(E$1:E1284)*(E2=E$1:E1284))))))</f>
        <v> </v>
      </c>
      <c r="K1285" s="26" t="str">
        <f>IF(OR(E1285="",E1285="!!!",F1285="NEW"),"",INDEX(J$1:J1284,SUMPRODUCT(MAX(ROW(E$1:E1284)*(E1285=E$1:E1284)))))</f>
        <v> </v>
      </c>
      <c r="L1285" s="27"/>
    </row>
    <row r="1286" spans="1:12">
      <c r="A1286" s="20" t="s">
        <v>1020</v>
      </c>
      <c r="E1286" s="22">
        <f>IF(D1286="?OLD","!!!","")</f>
        <v/>
      </c>
      <c r="F1286" s="23" t="str">
        <f>IF(OR(E1286="",E1286="!!!"),"",IF(NOT(ISNA(VLOOKUP(E1286,E$1:E1285,1,FALSE()))),"OLD",IF(AND(E1286&lt;&gt;"",E1286&lt;&gt;"!!!"),"NEW","")))</f>
        <v> </v>
      </c>
      <c r="G1286" s="24" t="str">
        <f>IF(OR(E1286="",E1286="!!!"),"",IF(OR(J1286=0,AND(J1286=1,K1286=1),AND(J1286=1,I1286="SBJ"),AND(J1286=1,I1286=0)),"?IN_FOCUS",IF(J1286&lt;=2,"?ACTIVATED",IF(J1286&lt;&gt;"","?FAMILIAR",IF(F1286="NEW",IF(ISNA(VLOOKUP(E1286,#REF!,1,FALSE())),"?TYPE_IDENTIFIABLE","?REFERENTIAL"),"_")))))</f>
        <v> </v>
      </c>
      <c r="H1286" s="25" t="str">
        <f>IF(J1286&lt;&gt;1,"",IF(I1286="SBJ","CB","?"))</f>
        <v> </v>
      </c>
      <c r="I1286" s="26" t="str">
        <f>IF(OR(E1286="",E1286="!!!",F1286="NEW"),"",INDEX(B1285:B$2,-1+SUMPRODUCT(MAX(ROW(E1285:E$2)*(E1286=E1285:E$2)))))</f>
        <v> </v>
      </c>
      <c r="J1286" s="26" t="str">
        <f>IF(OR(E1286="",E1286="!!!",F1286="NEW"),"",COUNTBLANK(OFFSET(A$1,,,SUMPRODUCT(MAX(ROW(E$2:E1286)*(E1286=E$2:E1286)))))-COUNTBLANK(OFFSET(A$1,,,SUMPRODUCT(MAX(ROW(E$1:E1285)*(E2=E$1:E1285))))))</f>
        <v> </v>
      </c>
      <c r="K1286" s="26" t="str">
        <f>IF(OR(E1286="",E1286="!!!",F1286="NEW"),"",INDEX(J$1:J1285,SUMPRODUCT(MAX(ROW(E$1:E1285)*(E1286=E$1:E1285)))))</f>
        <v> </v>
      </c>
      <c r="L1286" s="27"/>
    </row>
    <row r="1287" spans="1:12">
      <c r="A1287" s="20" t="s">
        <v>145</v>
      </c>
      <c r="E1287" s="22">
        <f>IF(D1287="?OLD","!!!","")</f>
        <v/>
      </c>
      <c r="F1287" s="23" t="str">
        <f>IF(OR(E1287="",E1287="!!!"),"",IF(NOT(ISNA(VLOOKUP(E1287,E$1:E1286,1,FALSE()))),"OLD",IF(AND(E1287&lt;&gt;"",E1287&lt;&gt;"!!!"),"NEW","")))</f>
        <v> </v>
      </c>
      <c r="G1287" s="24" t="str">
        <f>IF(OR(E1287="",E1287="!!!"),"",IF(OR(J1287=0,AND(J1287=1,K1287=1),AND(J1287=1,I1287="SBJ"),AND(J1287=1,I1287=0)),"?IN_FOCUS",IF(J1287&lt;=2,"?ACTIVATED",IF(J1287&lt;&gt;"","?FAMILIAR",IF(F1287="NEW",IF(ISNA(VLOOKUP(E1287,#REF!,1,FALSE())),"?TYPE_IDENTIFIABLE","?REFERENTIAL"),"_")))))</f>
        <v> </v>
      </c>
      <c r="H1287" s="25" t="str">
        <f>IF(J1287&lt;&gt;1,"",IF(I1287="SBJ","CB","?"))</f>
        <v> </v>
      </c>
      <c r="I1287" s="26" t="str">
        <f>IF(OR(E1287="",E1287="!!!",F1287="NEW"),"",INDEX(B1286:B$2,-1+SUMPRODUCT(MAX(ROW(E1286:E$2)*(E1287=E1286:E$2)))))</f>
        <v> </v>
      </c>
      <c r="J1287" s="26" t="str">
        <f>IF(OR(E1287="",E1287="!!!",F1287="NEW"),"",COUNTBLANK(OFFSET(A$1,,,SUMPRODUCT(MAX(ROW(E$2:E1287)*(E1287=E$2:E1287)))))-COUNTBLANK(OFFSET(A$1,,,SUMPRODUCT(MAX(ROW(E$1:E1286)*(E2=E$1:E1286))))))</f>
        <v> </v>
      </c>
      <c r="K1287" s="26" t="str">
        <f>IF(OR(E1287="",E1287="!!!",F1287="NEW"),"",INDEX(J$1:J1286,SUMPRODUCT(MAX(ROW(E$1:E1286)*(E1287=E$1:E1286)))))</f>
        <v> </v>
      </c>
      <c r="L1287" s="27"/>
    </row>
    <row r="1288" spans="1:12">
      <c r="A1288" s="20" t="s">
        <v>1510</v>
      </c>
      <c r="E1288" s="22">
        <f>IF(D1288="?OLD","!!!","")</f>
        <v/>
      </c>
      <c r="F1288" s="23" t="str">
        <f>IF(OR(E1288="",E1288="!!!"),"",IF(NOT(ISNA(VLOOKUP(E1288,E$1:E1287,1,FALSE()))),"OLD",IF(AND(E1288&lt;&gt;"",E1288&lt;&gt;"!!!"),"NEW","")))</f>
        <v> </v>
      </c>
      <c r="G1288" s="24" t="str">
        <f>IF(OR(E1288="",E1288="!!!"),"",IF(OR(J1288=0,AND(J1288=1,K1288=1),AND(J1288=1,I1288="SBJ"),AND(J1288=1,I1288=0)),"?IN_FOCUS",IF(J1288&lt;=2,"?ACTIVATED",IF(J1288&lt;&gt;"","?FAMILIAR",IF(F1288="NEW",IF(ISNA(VLOOKUP(E1288,#REF!,1,FALSE())),"?TYPE_IDENTIFIABLE","?REFERENTIAL"),"_")))))</f>
        <v> </v>
      </c>
      <c r="H1288" s="25" t="str">
        <f>IF(J1288&lt;&gt;1,"",IF(I1288="SBJ","CB","?"))</f>
        <v> </v>
      </c>
      <c r="I1288" s="26" t="str">
        <f>IF(OR(E1288="",E1288="!!!",F1288="NEW"),"",INDEX(B1287:B$2,-1+SUMPRODUCT(MAX(ROW(E1287:E$2)*(E1288=E1287:E$2)))))</f>
        <v> </v>
      </c>
      <c r="J1288" s="26" t="str">
        <f>IF(OR(E1288="",E1288="!!!",F1288="NEW"),"",COUNTBLANK(OFFSET(A$1,,,SUMPRODUCT(MAX(ROW(E$2:E1288)*(E1288=E$2:E1288)))))-COUNTBLANK(OFFSET(A$1,,,SUMPRODUCT(MAX(ROW(E$1:E1287)*(E2=E$1:E1287))))))</f>
        <v> </v>
      </c>
      <c r="K1288" s="26" t="str">
        <f>IF(OR(E1288="",E1288="!!!",F1288="NEW"),"",INDEX(J$1:J1287,SUMPRODUCT(MAX(ROW(E$1:E1287)*(E1288=E$1:E1287)))))</f>
        <v> </v>
      </c>
      <c r="L1288" s="27"/>
    </row>
    <row r="1289" spans="1:12">
      <c r="A1289" s="20" t="s">
        <v>1027</v>
      </c>
      <c r="E1289" s="22">
        <f>IF(D1289="?OLD","!!!","")</f>
        <v/>
      </c>
      <c r="F1289" s="23" t="str">
        <f>IF(OR(E1289="",E1289="!!!"),"",IF(NOT(ISNA(VLOOKUP(E1289,E$1:E1288,1,FALSE()))),"OLD",IF(AND(E1289&lt;&gt;"",E1289&lt;&gt;"!!!"),"NEW","")))</f>
        <v> </v>
      </c>
      <c r="G1289" s="24" t="str">
        <f>IF(OR(E1289="",E1289="!!!"),"",IF(OR(J1289=0,AND(J1289=1,K1289=1),AND(J1289=1,I1289="SBJ"),AND(J1289=1,I1289=0)),"?IN_FOCUS",IF(J1289&lt;=2,"?ACTIVATED",IF(J1289&lt;&gt;"","?FAMILIAR",IF(F1289="NEW",IF(ISNA(VLOOKUP(E1289,#REF!,1,FALSE())),"?TYPE_IDENTIFIABLE","?REFERENTIAL"),"_")))))</f>
        <v> </v>
      </c>
      <c r="H1289" s="25" t="str">
        <f>IF(J1289&lt;&gt;1,"",IF(I1289="SBJ","CB","?"))</f>
        <v> </v>
      </c>
      <c r="I1289" s="26" t="str">
        <f>IF(OR(E1289="",E1289="!!!",F1289="NEW"),"",INDEX(B1288:B$2,-1+SUMPRODUCT(MAX(ROW(E1288:E$2)*(E1289=E1288:E$2)))))</f>
        <v> </v>
      </c>
      <c r="J1289" s="26" t="str">
        <f>IF(OR(E1289="",E1289="!!!",F1289="NEW"),"",COUNTBLANK(OFFSET(A$1,,,SUMPRODUCT(MAX(ROW(E$2:E1289)*(E1289=E$2:E1289)))))-COUNTBLANK(OFFSET(A$1,,,SUMPRODUCT(MAX(ROW(E$1:E1288)*(E2=E$1:E1288))))))</f>
        <v> </v>
      </c>
      <c r="K1289" s="26" t="str">
        <f>IF(OR(E1289="",E1289="!!!",F1289="NEW"),"",INDEX(J$1:J1288,SUMPRODUCT(MAX(ROW(E$1:E1288)*(E1289=E$1:E1288)))))</f>
        <v> </v>
      </c>
      <c r="L1289" s="27"/>
    </row>
    <row r="1290" spans="1:12">
      <c r="A1290" s="20" t="s">
        <v>1511</v>
      </c>
      <c r="B1290" s="21" t="s">
        <v>1134</v>
      </c>
      <c r="C1290" s="21" t="s">
        <v>1017</v>
      </c>
      <c r="D1290" s="21" t="s">
        <v>1007</v>
      </c>
      <c r="E1290" s="22">
        <f>IF(D1290="?OLD","!!!","")</f>
        <v/>
      </c>
      <c r="F1290" s="23" t="str">
        <f>IF(OR(E1290="",E1290="!!!"),"",IF(NOT(ISNA(VLOOKUP(E1290,E$1:E1289,1,FALSE()))),"OLD",IF(AND(E1290&lt;&gt;"",E1290&lt;&gt;"!!!"),"NEW","")))</f>
        <v> </v>
      </c>
      <c r="G1290" s="24" t="str">
        <f>IF(OR(E1290="",E1290="!!!"),"",IF(OR(J1290=0,AND(J1290=1,K1290=1),AND(J1290=1,I1290="SBJ"),AND(J1290=1,I1290=0)),"?IN_FOCUS",IF(J1290&lt;=2,"?ACTIVATED",IF(J1290&lt;&gt;"","?FAMILIAR",IF(F1290="NEW",IF(ISNA(VLOOKUP(E1290,#REF!,1,FALSE())),"?TYPE_IDENTIFIABLE","?REFERENTIAL"),"_")))))</f>
        <v> </v>
      </c>
      <c r="H1290" s="25" t="str">
        <f>IF(J1290&lt;&gt;1,"",IF(I1290="SBJ","CB","?"))</f>
        <v> </v>
      </c>
      <c r="I1290" s="26" t="str">
        <f>IF(OR(E1290="",E1290="!!!",F1290="NEW"),"",INDEX(B1289:B$2,-1+SUMPRODUCT(MAX(ROW(E1289:E$2)*(E1290=E1289:E$2)))))</f>
        <v> </v>
      </c>
      <c r="J1290" s="26" t="str">
        <f>IF(OR(E1290="",E1290="!!!",F1290="NEW"),"",COUNTBLANK(OFFSET(A$1,,,SUMPRODUCT(MAX(ROW(E$2:E1290)*(E1290=E$2:E1290)))))-COUNTBLANK(OFFSET(A$1,,,SUMPRODUCT(MAX(ROW(E$1:E1289)*(E2=E$1:E1289))))))</f>
        <v> </v>
      </c>
      <c r="K1290" s="26" t="str">
        <f>IF(OR(E1290="",E1290="!!!",F1290="NEW"),"",INDEX(J$1:J1289,SUMPRODUCT(MAX(ROW(E$1:E1289)*(E1290=E$1:E1289)))))</f>
        <v> </v>
      </c>
      <c r="L1290" s="27"/>
    </row>
    <row r="1291" spans="1:12">
      <c r="A1291" s="20" t="s">
        <v>1030</v>
      </c>
      <c r="E1291" s="22">
        <f>IF(D1291="?OLD","!!!","")</f>
        <v/>
      </c>
      <c r="F1291" s="23" t="str">
        <f>IF(OR(E1291="",E1291="!!!"),"",IF(NOT(ISNA(VLOOKUP(E1291,E$1:E1290,1,FALSE()))),"OLD",IF(AND(E1291&lt;&gt;"",E1291&lt;&gt;"!!!"),"NEW","")))</f>
        <v> </v>
      </c>
      <c r="G1291" s="24" t="str">
        <f>IF(OR(E1291="",E1291="!!!"),"",IF(OR(J1291=0,AND(J1291=1,K1291=1),AND(J1291=1,I1291="SBJ"),AND(J1291=1,I1291=0)),"?IN_FOCUS",IF(J1291&lt;=2,"?ACTIVATED",IF(J1291&lt;&gt;"","?FAMILIAR",IF(F1291="NEW",IF(ISNA(VLOOKUP(E1291,#REF!,1,FALSE())),"?TYPE_IDENTIFIABLE","?REFERENTIAL"),"_")))))</f>
        <v> </v>
      </c>
      <c r="H1291" s="25" t="str">
        <f>IF(J1291&lt;&gt;1,"",IF(I1291="SBJ","CB","?"))</f>
        <v> </v>
      </c>
      <c r="I1291" s="26" t="str">
        <f>IF(OR(E1291="",E1291="!!!",F1291="NEW"),"",INDEX(B1290:B$2,-1+SUMPRODUCT(MAX(ROW(E1290:E$2)*(E1291=E1290:E$2)))))</f>
        <v> </v>
      </c>
      <c r="J1291" s="26" t="str">
        <f>IF(OR(E1291="",E1291="!!!",F1291="NEW"),"",COUNTBLANK(OFFSET(A$1,,,SUMPRODUCT(MAX(ROW(E$2:E1291)*(E1291=E$2:E1291)))))-COUNTBLANK(OFFSET(A$1,,,SUMPRODUCT(MAX(ROW(E$1:E1290)*(E2=E$1:E1290))))))</f>
        <v> </v>
      </c>
      <c r="K1291" s="26" t="str">
        <f>IF(OR(E1291="",E1291="!!!",F1291="NEW"),"",INDEX(J$1:J1290,SUMPRODUCT(MAX(ROW(E$1:E1290)*(E1291=E$1:E1290)))))</f>
        <v> </v>
      </c>
      <c r="L1291" s="27"/>
    </row>
    <row r="1292" spans="1:12">
      <c r="A1292" s="20" t="s">
        <v>1065</v>
      </c>
      <c r="E1292" s="22">
        <f>IF(D1292="?OLD","!!!","")</f>
        <v/>
      </c>
      <c r="F1292" s="23" t="str">
        <f>IF(OR(E1292="",E1292="!!!"),"",IF(NOT(ISNA(VLOOKUP(E1292,E$1:E1291,1,FALSE()))),"OLD",IF(AND(E1292&lt;&gt;"",E1292&lt;&gt;"!!!"),"NEW","")))</f>
        <v> </v>
      </c>
      <c r="G1292" s="24" t="str">
        <f>IF(OR(E1292="",E1292="!!!"),"",IF(OR(J1292=0,AND(J1292=1,K1292=1),AND(J1292=1,I1292="SBJ"),AND(J1292=1,I1292=0)),"?IN_FOCUS",IF(J1292&lt;=2,"?ACTIVATED",IF(J1292&lt;&gt;"","?FAMILIAR",IF(F1292="NEW",IF(ISNA(VLOOKUP(E1292,#REF!,1,FALSE())),"?TYPE_IDENTIFIABLE","?REFERENTIAL"),"_")))))</f>
        <v> </v>
      </c>
      <c r="H1292" s="25" t="str">
        <f>IF(J1292&lt;&gt;1,"",IF(I1292="SBJ","CB","?"))</f>
        <v> </v>
      </c>
      <c r="I1292" s="26" t="str">
        <f>IF(OR(E1292="",E1292="!!!",F1292="NEW"),"",INDEX(B1291:B$2,-1+SUMPRODUCT(MAX(ROW(E1291:E$2)*(E1292=E1291:E$2)))))</f>
        <v> </v>
      </c>
      <c r="J1292" s="26" t="str">
        <f>IF(OR(E1292="",E1292="!!!",F1292="NEW"),"",COUNTBLANK(OFFSET(A$1,,,SUMPRODUCT(MAX(ROW(E$2:E1292)*(E1292=E$2:E1292)))))-COUNTBLANK(OFFSET(A$1,,,SUMPRODUCT(MAX(ROW(E$1:E1291)*(E2=E$1:E1291))))))</f>
        <v> </v>
      </c>
      <c r="K1292" s="26" t="str">
        <f>IF(OR(E1292="",E1292="!!!",F1292="NEW"),"",INDEX(J$1:J1291,SUMPRODUCT(MAX(ROW(E$1:E1291)*(E1292=E$1:E1291)))))</f>
        <v> </v>
      </c>
      <c r="L1292" s="27"/>
    </row>
    <row r="1293" spans="1:12">
      <c r="A1293" s="20" t="s">
        <v>1512</v>
      </c>
      <c r="E1293" s="22">
        <f>IF(D1293="?OLD","!!!","")</f>
        <v/>
      </c>
      <c r="F1293" s="23" t="str">
        <f>IF(OR(E1293="",E1293="!!!"),"",IF(NOT(ISNA(VLOOKUP(E1293,E$1:E1292,1,FALSE()))),"OLD",IF(AND(E1293&lt;&gt;"",E1293&lt;&gt;"!!!"),"NEW","")))</f>
        <v> </v>
      </c>
      <c r="G1293" s="24" t="str">
        <f>IF(OR(E1293="",E1293="!!!"),"",IF(OR(J1293=0,AND(J1293=1,K1293=1),AND(J1293=1,I1293="SBJ"),AND(J1293=1,I1293=0)),"?IN_FOCUS",IF(J1293&lt;=2,"?ACTIVATED",IF(J1293&lt;&gt;"","?FAMILIAR",IF(F1293="NEW",IF(ISNA(VLOOKUP(E1293,#REF!,1,FALSE())),"?TYPE_IDENTIFIABLE","?REFERENTIAL"),"_")))))</f>
        <v> </v>
      </c>
      <c r="H1293" s="25" t="str">
        <f>IF(J1293&lt;&gt;1,"",IF(I1293="SBJ","CB","?"))</f>
        <v> </v>
      </c>
      <c r="I1293" s="26" t="str">
        <f>IF(OR(E1293="",E1293="!!!",F1293="NEW"),"",INDEX(B1292:B$2,-1+SUMPRODUCT(MAX(ROW(E1292:E$2)*(E1293=E1292:E$2)))))</f>
        <v> </v>
      </c>
      <c r="J1293" s="26" t="str">
        <f>IF(OR(E1293="",E1293="!!!",F1293="NEW"),"",COUNTBLANK(OFFSET(A$1,,,SUMPRODUCT(MAX(ROW(E$2:E1293)*(E1293=E$2:E1293)))))-COUNTBLANK(OFFSET(A$1,,,SUMPRODUCT(MAX(ROW(E$1:E1292)*(E2=E$1:E1292))))))</f>
        <v> </v>
      </c>
      <c r="K1293" s="26" t="str">
        <f>IF(OR(E1293="",E1293="!!!",F1293="NEW"),"",INDEX(J$1:J1292,SUMPRODUCT(MAX(ROW(E$1:E1292)*(E1293=E$1:E1292)))))</f>
        <v> </v>
      </c>
      <c r="L1293" s="27"/>
    </row>
    <row r="1294" spans="1:12">
      <c r="A1294" s="20" t="s">
        <v>1460</v>
      </c>
      <c r="B1294" s="21" t="s">
        <v>1251</v>
      </c>
      <c r="C1294" s="21" t="s">
        <v>1013</v>
      </c>
      <c r="D1294" s="21" t="s">
        <v>1007</v>
      </c>
      <c r="E1294" s="22">
        <f>IF(D1294="?OLD","!!!","")</f>
        <v/>
      </c>
      <c r="F1294" s="23" t="str">
        <f>IF(OR(E1294="",E1294="!!!"),"",IF(NOT(ISNA(VLOOKUP(E1294,E$1:E1293,1,FALSE()))),"OLD",IF(AND(E1294&lt;&gt;"",E1294&lt;&gt;"!!!"),"NEW","")))</f>
        <v> </v>
      </c>
      <c r="G1294" s="24" t="str">
        <f>IF(OR(E1294="",E1294="!!!"),"",IF(OR(J1294=0,AND(J1294=1,K1294=1),AND(J1294=1,I1294="SBJ"),AND(J1294=1,I1294=0)),"?IN_FOCUS",IF(J1294&lt;=2,"?ACTIVATED",IF(J1294&lt;&gt;"","?FAMILIAR",IF(F1294="NEW",IF(ISNA(VLOOKUP(E1294,#REF!,1,FALSE())),"?TYPE_IDENTIFIABLE","?REFERENTIAL"),"_")))))</f>
        <v> </v>
      </c>
      <c r="H1294" s="25" t="str">
        <f>IF(J1294&lt;&gt;1,"",IF(I1294="SBJ","CB","?"))</f>
        <v> </v>
      </c>
      <c r="I1294" s="26" t="str">
        <f>IF(OR(E1294="",E1294="!!!",F1294="NEW"),"",INDEX(B1293:B$2,-1+SUMPRODUCT(MAX(ROW(E1293:E$2)*(E1294=E1293:E$2)))))</f>
        <v> </v>
      </c>
      <c r="J1294" s="26" t="str">
        <f>IF(OR(E1294="",E1294="!!!",F1294="NEW"),"",COUNTBLANK(OFFSET(A$1,,,SUMPRODUCT(MAX(ROW(E$2:E1294)*(E1294=E$2:E1294)))))-COUNTBLANK(OFFSET(A$1,,,SUMPRODUCT(MAX(ROW(E$1:E1293)*(E2=E$1:E1293))))))</f>
        <v> </v>
      </c>
      <c r="K1294" s="26" t="str">
        <f>IF(OR(E1294="",E1294="!!!",F1294="NEW"),"",INDEX(J$1:J1293,SUMPRODUCT(MAX(ROW(E$1:E1293)*(E1294=E$1:E1293)))))</f>
        <v> </v>
      </c>
      <c r="L1294" s="27"/>
    </row>
    <row r="1295" spans="1:12">
      <c r="A1295" s="20" t="s">
        <v>1014</v>
      </c>
      <c r="E1295" s="22">
        <f>IF(D1295="?OLD","!!!","")</f>
        <v/>
      </c>
      <c r="F1295" s="23" t="str">
        <f>IF(OR(E1295="",E1295="!!!"),"",IF(NOT(ISNA(VLOOKUP(E1295,E$1:E1294,1,FALSE()))),"OLD",IF(AND(E1295&lt;&gt;"",E1295&lt;&gt;"!!!"),"NEW","")))</f>
        <v> </v>
      </c>
      <c r="G1295" s="24" t="str">
        <f>IF(OR(E1295="",E1295="!!!"),"",IF(OR(J1295=0,AND(J1295=1,K1295=1),AND(J1295=1,I1295="SBJ"),AND(J1295=1,I1295=0)),"?IN_FOCUS",IF(J1295&lt;=2,"?ACTIVATED",IF(J1295&lt;&gt;"","?FAMILIAR",IF(F1295="NEW",IF(ISNA(VLOOKUP(E1295,#REF!,1,FALSE())),"?TYPE_IDENTIFIABLE","?REFERENTIAL"),"_")))))</f>
        <v> </v>
      </c>
      <c r="H1295" s="25" t="str">
        <f>IF(J1295&lt;&gt;1,"",IF(I1295="SBJ","CB","?"))</f>
        <v> </v>
      </c>
      <c r="I1295" s="26" t="str">
        <f>IF(OR(E1295="",E1295="!!!",F1295="NEW"),"",INDEX(B1294:B$2,-1+SUMPRODUCT(MAX(ROW(E1294:E$2)*(E1295=E1294:E$2)))))</f>
        <v> </v>
      </c>
      <c r="J1295" s="26" t="str">
        <f>IF(OR(E1295="",E1295="!!!",F1295="NEW"),"",COUNTBLANK(OFFSET(A$1,,,SUMPRODUCT(MAX(ROW(E$2:E1295)*(E1295=E$2:E1295)))))-COUNTBLANK(OFFSET(A$1,,,SUMPRODUCT(MAX(ROW(E$1:E1294)*(E2=E$1:E1294))))))</f>
        <v> </v>
      </c>
      <c r="K1295" s="26" t="str">
        <f>IF(OR(E1295="",E1295="!!!",F1295="NEW"),"",INDEX(J$1:J1294,SUMPRODUCT(MAX(ROW(E$1:E1294)*(E1295=E$1:E1294)))))</f>
        <v> </v>
      </c>
      <c r="L1295" s="27"/>
    </row>
    <row r="1296" spans="1:12">
      <c r="A1296" s="20" t="s">
        <v>1513</v>
      </c>
      <c r="B1296" s="21" t="s">
        <v>1044</v>
      </c>
      <c r="C1296" s="21" t="s">
        <v>1048</v>
      </c>
      <c r="E1296" s="22">
        <f>IF(D1296="?OLD","!!!","")</f>
        <v/>
      </c>
      <c r="F1296" s="23" t="str">
        <f>IF(OR(E1296="",E1296="!!!"),"",IF(NOT(ISNA(VLOOKUP(E1296,E$1:E1295,1,FALSE()))),"OLD",IF(AND(E1296&lt;&gt;"",E1296&lt;&gt;"!!!"),"NEW","")))</f>
        <v> </v>
      </c>
      <c r="G1296" s="24" t="str">
        <f>IF(OR(E1296="",E1296="!!!"),"",IF(OR(J1296=0,AND(J1296=1,K1296=1),AND(J1296=1,I1296="SBJ"),AND(J1296=1,I1296=0)),"?IN_FOCUS",IF(J1296&lt;=2,"?ACTIVATED",IF(J1296&lt;&gt;"","?FAMILIAR",IF(F1296="NEW",IF(ISNA(VLOOKUP(E1296,#REF!,1,FALSE())),"?TYPE_IDENTIFIABLE","?REFERENTIAL"),"_")))))</f>
        <v> </v>
      </c>
      <c r="H1296" s="25" t="str">
        <f>IF(J1296&lt;&gt;1,"",IF(I1296="SBJ","CB","?"))</f>
        <v> </v>
      </c>
      <c r="I1296" s="26" t="str">
        <f>IF(OR(E1296="",E1296="!!!",F1296="NEW"),"",INDEX(B1295:B$2,-1+SUMPRODUCT(MAX(ROW(E1295:E$2)*(E1296=E1295:E$2)))))</f>
        <v> </v>
      </c>
      <c r="J1296" s="26" t="str">
        <f>IF(OR(E1296="",E1296="!!!",F1296="NEW"),"",COUNTBLANK(OFFSET(A$1,,,SUMPRODUCT(MAX(ROW(E$2:E1296)*(E1296=E$2:E1296)))))-COUNTBLANK(OFFSET(A$1,,,SUMPRODUCT(MAX(ROW(E$1:E1295)*(E2=E$1:E1295))))))</f>
        <v> </v>
      </c>
      <c r="K1296" s="26" t="str">
        <f>IF(OR(E1296="",E1296="!!!",F1296="NEW"),"",INDEX(J$1:J1295,SUMPRODUCT(MAX(ROW(E$1:E1295)*(E1296=E$1:E1295)))))</f>
        <v> </v>
      </c>
      <c r="L1296" s="27"/>
    </row>
    <row r="1297" spans="1:12">
      <c r="A1297" s="20" t="s">
        <v>1018</v>
      </c>
      <c r="E1297" s="22">
        <f>IF(D1297="?OLD","!!!","")</f>
        <v/>
      </c>
      <c r="F1297" s="23" t="str">
        <f>IF(OR(E1297="",E1297="!!!"),"",IF(NOT(ISNA(VLOOKUP(E1297,E$1:E1296,1,FALSE()))),"OLD",IF(AND(E1297&lt;&gt;"",E1297&lt;&gt;"!!!"),"NEW","")))</f>
        <v> </v>
      </c>
      <c r="G1297" s="24" t="str">
        <f>IF(OR(E1297="",E1297="!!!"),"",IF(OR(J1297=0,AND(J1297=1,K1297=1),AND(J1297=1,I1297="SBJ"),AND(J1297=1,I1297=0)),"?IN_FOCUS",IF(J1297&lt;=2,"?ACTIVATED",IF(J1297&lt;&gt;"","?FAMILIAR",IF(F1297="NEW",IF(ISNA(VLOOKUP(E1297,#REF!,1,FALSE())),"?TYPE_IDENTIFIABLE","?REFERENTIAL"),"_")))))</f>
        <v> </v>
      </c>
      <c r="H1297" s="25" t="str">
        <f>IF(J1297&lt;&gt;1,"",IF(I1297="SBJ","CB","?"))</f>
        <v> </v>
      </c>
      <c r="I1297" s="26" t="str">
        <f>IF(OR(E1297="",E1297="!!!",F1297="NEW"),"",INDEX(B1296:B$2,-1+SUMPRODUCT(MAX(ROW(E1296:E$2)*(E1297=E1296:E$2)))))</f>
        <v> </v>
      </c>
      <c r="J1297" s="26" t="str">
        <f>IF(OR(E1297="",E1297="!!!",F1297="NEW"),"",COUNTBLANK(OFFSET(A$1,,,SUMPRODUCT(MAX(ROW(E$2:E1297)*(E1297=E$2:E1297)))))-COUNTBLANK(OFFSET(A$1,,,SUMPRODUCT(MAX(ROW(E$1:E1296)*(E2=E$1:E1296))))))</f>
        <v> </v>
      </c>
      <c r="K1297" s="26" t="str">
        <f>IF(OR(E1297="",E1297="!!!",F1297="NEW"),"",INDEX(J$1:J1296,SUMPRODUCT(MAX(ROW(E$1:E1296)*(E1297=E$1:E1296)))))</f>
        <v> </v>
      </c>
      <c r="L1297" s="27"/>
    </row>
    <row r="1298" spans="1:12">
      <c r="A1298" s="20" t="s">
        <v>1460</v>
      </c>
      <c r="B1298" s="21" t="s">
        <v>1044</v>
      </c>
      <c r="C1298" s="21" t="s">
        <v>1013</v>
      </c>
      <c r="D1298" s="21" t="s">
        <v>1007</v>
      </c>
      <c r="E1298" s="22">
        <f>IF(D1298="?OLD","!!!","")</f>
        <v/>
      </c>
      <c r="F1298" s="23" t="str">
        <f>IF(OR(E1298="",E1298="!!!"),"",IF(NOT(ISNA(VLOOKUP(E1298,E$1:E1297,1,FALSE()))),"OLD",IF(AND(E1298&lt;&gt;"",E1298&lt;&gt;"!!!"),"NEW","")))</f>
        <v> </v>
      </c>
      <c r="G1298" s="24" t="str">
        <f>IF(OR(E1298="",E1298="!!!"),"",IF(OR(J1298=0,AND(J1298=1,K1298=1),AND(J1298=1,I1298="SBJ"),AND(J1298=1,I1298=0)),"?IN_FOCUS",IF(J1298&lt;=2,"?ACTIVATED",IF(J1298&lt;&gt;"","?FAMILIAR",IF(F1298="NEW",IF(ISNA(VLOOKUP(E1298,#REF!,1,FALSE())),"?TYPE_IDENTIFIABLE","?REFERENTIAL"),"_")))))</f>
        <v> </v>
      </c>
      <c r="H1298" s="25" t="str">
        <f>IF(J1298&lt;&gt;1,"",IF(I1298="SBJ","CB","?"))</f>
        <v> </v>
      </c>
      <c r="I1298" s="26" t="str">
        <f>IF(OR(E1298="",E1298="!!!",F1298="NEW"),"",INDEX(B1297:B$2,-1+SUMPRODUCT(MAX(ROW(E1297:E$2)*(E1298=E1297:E$2)))))</f>
        <v> </v>
      </c>
      <c r="J1298" s="26" t="str">
        <f>IF(OR(E1298="",E1298="!!!",F1298="NEW"),"",COUNTBLANK(OFFSET(A$1,,,SUMPRODUCT(MAX(ROW(E$2:E1298)*(E1298=E$2:E1298)))))-COUNTBLANK(OFFSET(A$1,,,SUMPRODUCT(MAX(ROW(E$1:E1297)*(E2=E$1:E1297))))))</f>
        <v> </v>
      </c>
      <c r="K1298" s="26" t="str">
        <f>IF(OR(E1298="",E1298="!!!",F1298="NEW"),"",INDEX(J$1:J1297,SUMPRODUCT(MAX(ROW(E$1:E1297)*(E1298=E$1:E1297)))))</f>
        <v> </v>
      </c>
      <c r="L1298" s="27"/>
    </row>
    <row r="1299" spans="1:12">
      <c r="A1299" s="20" t="s">
        <v>1014</v>
      </c>
      <c r="E1299" s="22">
        <f>IF(D1299="?OLD","!!!","")</f>
        <v/>
      </c>
      <c r="F1299" s="23" t="str">
        <f>IF(OR(E1299="",E1299="!!!"),"",IF(NOT(ISNA(VLOOKUP(E1299,E$1:E1298,1,FALSE()))),"OLD",IF(AND(E1299&lt;&gt;"",E1299&lt;&gt;"!!!"),"NEW","")))</f>
        <v> </v>
      </c>
      <c r="G1299" s="24" t="str">
        <f>IF(OR(E1299="",E1299="!!!"),"",IF(OR(J1299=0,AND(J1299=1,K1299=1),AND(J1299=1,I1299="SBJ"),AND(J1299=1,I1299=0)),"?IN_FOCUS",IF(J1299&lt;=2,"?ACTIVATED",IF(J1299&lt;&gt;"","?FAMILIAR",IF(F1299="NEW",IF(ISNA(VLOOKUP(E1299,#REF!,1,FALSE())),"?TYPE_IDENTIFIABLE","?REFERENTIAL"),"_")))))</f>
        <v> </v>
      </c>
      <c r="H1299" s="25" t="str">
        <f>IF(J1299&lt;&gt;1,"",IF(I1299="SBJ","CB","?"))</f>
        <v> </v>
      </c>
      <c r="I1299" s="26" t="str">
        <f>IF(OR(E1299="",E1299="!!!",F1299="NEW"),"",INDEX(B1298:B$2,-1+SUMPRODUCT(MAX(ROW(E1298:E$2)*(E1299=E1298:E$2)))))</f>
        <v> </v>
      </c>
      <c r="J1299" s="26" t="str">
        <f>IF(OR(E1299="",E1299="!!!",F1299="NEW"),"",COUNTBLANK(OFFSET(A$1,,,SUMPRODUCT(MAX(ROW(E$2:E1299)*(E1299=E$2:E1299)))))-COUNTBLANK(OFFSET(A$1,,,SUMPRODUCT(MAX(ROW(E$1:E1298)*(E2=E$1:E1298))))))</f>
        <v> </v>
      </c>
      <c r="K1299" s="26" t="str">
        <f>IF(OR(E1299="",E1299="!!!",F1299="NEW"),"",INDEX(J$1:J1298,SUMPRODUCT(MAX(ROW(E$1:E1298)*(E1299=E$1:E1298)))))</f>
        <v> </v>
      </c>
      <c r="L1299" s="27"/>
    </row>
    <row r="1300" spans="1:12">
      <c r="A1300" s="20" t="s">
        <v>1021</v>
      </c>
      <c r="B1300" s="21" t="s">
        <v>1215</v>
      </c>
      <c r="C1300" s="21" t="s">
        <v>1006</v>
      </c>
      <c r="D1300" s="21" t="s">
        <v>1007</v>
      </c>
      <c r="E1300" s="22">
        <f>IF(D1300="?OLD","!!!","")</f>
        <v/>
      </c>
      <c r="F1300" s="23" t="str">
        <f>IF(OR(E1300="",E1300="!!!"),"",IF(NOT(ISNA(VLOOKUP(E1300,E$1:E1299,1,FALSE()))),"OLD",IF(AND(E1300&lt;&gt;"",E1300&lt;&gt;"!!!"),"NEW","")))</f>
        <v> </v>
      </c>
      <c r="G1300" s="24" t="str">
        <f>IF(OR(E1300="",E1300="!!!"),"",IF(OR(J1300=0,AND(J1300=1,K1300=1),AND(J1300=1,I1300="SBJ"),AND(J1300=1,I1300=0)),"?IN_FOCUS",IF(J1300&lt;=2,"?ACTIVATED",IF(J1300&lt;&gt;"","?FAMILIAR",IF(F1300="NEW",IF(ISNA(VLOOKUP(E1300,#REF!,1,FALSE())),"?TYPE_IDENTIFIABLE","?REFERENTIAL"),"_")))))</f>
        <v> </v>
      </c>
      <c r="H1300" s="25" t="str">
        <f>IF(J1300&lt;&gt;1,"",IF(I1300="SBJ","CB","?"))</f>
        <v> </v>
      </c>
      <c r="I1300" s="26" t="str">
        <f>IF(OR(E1300="",E1300="!!!",F1300="NEW"),"",INDEX(B1299:B$2,-1+SUMPRODUCT(MAX(ROW(E1299:E$2)*(E1300=E1299:E$2)))))</f>
        <v> </v>
      </c>
      <c r="J1300" s="26" t="str">
        <f>IF(OR(E1300="",E1300="!!!",F1300="NEW"),"",COUNTBLANK(OFFSET(A$1,,,SUMPRODUCT(MAX(ROW(E$2:E1300)*(E1300=E$2:E1300)))))-COUNTBLANK(OFFSET(A$1,,,SUMPRODUCT(MAX(ROW(E$1:E1299)*(E2=E$1:E1299))))))</f>
        <v> </v>
      </c>
      <c r="K1300" s="26" t="str">
        <f>IF(OR(E1300="",E1300="!!!",F1300="NEW"),"",INDEX(J$1:J1299,SUMPRODUCT(MAX(ROW(E$1:E1299)*(E1300=E$1:E1299)))))</f>
        <v> </v>
      </c>
      <c r="L1300" s="27"/>
    </row>
    <row r="1301" spans="1:12">
      <c r="A1301" s="20" t="s">
        <v>1018</v>
      </c>
      <c r="E1301" s="22">
        <f>IF(D1301="?OLD","!!!","")</f>
        <v/>
      </c>
      <c r="F1301" s="23" t="str">
        <f>IF(OR(E1301="",E1301="!!!"),"",IF(NOT(ISNA(VLOOKUP(E1301,E$1:E1300,1,FALSE()))),"OLD",IF(AND(E1301&lt;&gt;"",E1301&lt;&gt;"!!!"),"NEW","")))</f>
        <v> </v>
      </c>
      <c r="G1301" s="24" t="str">
        <f>IF(OR(E1301="",E1301="!!!"),"",IF(OR(J1301=0,AND(J1301=1,K1301=1),AND(J1301=1,I1301="SBJ"),AND(J1301=1,I1301=0)),"?IN_FOCUS",IF(J1301&lt;=2,"?ACTIVATED",IF(J1301&lt;&gt;"","?FAMILIAR",IF(F1301="NEW",IF(ISNA(VLOOKUP(E1301,#REF!,1,FALSE())),"?TYPE_IDENTIFIABLE","?REFERENTIAL"),"_")))))</f>
        <v> </v>
      </c>
      <c r="H1301" s="25" t="str">
        <f>IF(J1301&lt;&gt;1,"",IF(I1301="SBJ","CB","?"))</f>
        <v> </v>
      </c>
      <c r="I1301" s="26" t="str">
        <f>IF(OR(E1301="",E1301="!!!",F1301="NEW"),"",INDEX(B1300:B$2,-1+SUMPRODUCT(MAX(ROW(E1300:E$2)*(E1301=E1300:E$2)))))</f>
        <v> </v>
      </c>
      <c r="J1301" s="26" t="str">
        <f>IF(OR(E1301="",E1301="!!!",F1301="NEW"),"",COUNTBLANK(OFFSET(A$1,,,SUMPRODUCT(MAX(ROW(E$2:E1301)*(E1301=E$2:E1301)))))-COUNTBLANK(OFFSET(A$1,,,SUMPRODUCT(MAX(ROW(E$1:E1300)*(E2=E$1:E1300))))))</f>
        <v> </v>
      </c>
      <c r="K1301" s="26" t="str">
        <f>IF(OR(E1301="",E1301="!!!",F1301="NEW"),"",INDEX(J$1:J1300,SUMPRODUCT(MAX(ROW(E$1:E1300)*(E1301=E$1:E1300)))))</f>
        <v> </v>
      </c>
      <c r="L1301" s="27"/>
    </row>
    <row r="1302" spans="1:12">
      <c r="A1302" s="20" t="s">
        <v>1514</v>
      </c>
      <c r="E1302" s="22">
        <f>IF(D1302="?OLD","!!!","")</f>
        <v/>
      </c>
      <c r="F1302" s="23" t="str">
        <f>IF(OR(E1302="",E1302="!!!"),"",IF(NOT(ISNA(VLOOKUP(E1302,E$1:E1301,1,FALSE()))),"OLD",IF(AND(E1302&lt;&gt;"",E1302&lt;&gt;"!!!"),"NEW","")))</f>
        <v> </v>
      </c>
      <c r="G1302" s="24" t="str">
        <f>IF(OR(E1302="",E1302="!!!"),"",IF(OR(J1302=0,AND(J1302=1,K1302=1),AND(J1302=1,I1302="SBJ"),AND(J1302=1,I1302=0)),"?IN_FOCUS",IF(J1302&lt;=2,"?ACTIVATED",IF(J1302&lt;&gt;"","?FAMILIAR",IF(F1302="NEW",IF(ISNA(VLOOKUP(E1302,#REF!,1,FALSE())),"?TYPE_IDENTIFIABLE","?REFERENTIAL"),"_")))))</f>
        <v> </v>
      </c>
      <c r="H1302" s="25" t="str">
        <f>IF(J1302&lt;&gt;1,"",IF(I1302="SBJ","CB","?"))</f>
        <v> </v>
      </c>
      <c r="I1302" s="26" t="str">
        <f>IF(OR(E1302="",E1302="!!!",F1302="NEW"),"",INDEX(B1301:B$2,-1+SUMPRODUCT(MAX(ROW(E1301:E$2)*(E1302=E1301:E$2)))))</f>
        <v> </v>
      </c>
      <c r="J1302" s="26" t="str">
        <f>IF(OR(E1302="",E1302="!!!",F1302="NEW"),"",COUNTBLANK(OFFSET(A$1,,,SUMPRODUCT(MAX(ROW(E$2:E1302)*(E1302=E$2:E1302)))))-COUNTBLANK(OFFSET(A$1,,,SUMPRODUCT(MAX(ROW(E$1:E1301)*(E2=E$1:E1301))))))</f>
        <v> </v>
      </c>
      <c r="K1302" s="26" t="str">
        <f>IF(OR(E1302="",E1302="!!!",F1302="NEW"),"",INDEX(J$1:J1301,SUMPRODUCT(MAX(ROW(E$1:E1301)*(E1302=E$1:E1301)))))</f>
        <v> </v>
      </c>
      <c r="L1302" s="27"/>
    </row>
    <row r="1303" spans="1:12">
      <c r="A1303" s="20" t="s">
        <v>1114</v>
      </c>
      <c r="E1303" s="22">
        <f>IF(D1303="?OLD","!!!","")</f>
        <v/>
      </c>
      <c r="F1303" s="23" t="str">
        <f>IF(OR(E1303="",E1303="!!!"),"",IF(NOT(ISNA(VLOOKUP(E1303,E$1:E1302,1,FALSE()))),"OLD",IF(AND(E1303&lt;&gt;"",E1303&lt;&gt;"!!!"),"NEW","")))</f>
        <v> </v>
      </c>
      <c r="G1303" s="24" t="str">
        <f>IF(OR(E1303="",E1303="!!!"),"",IF(OR(J1303=0,AND(J1303=1,K1303=1),AND(J1303=1,I1303="SBJ"),AND(J1303=1,I1303=0)),"?IN_FOCUS",IF(J1303&lt;=2,"?ACTIVATED",IF(J1303&lt;&gt;"","?FAMILIAR",IF(F1303="NEW",IF(ISNA(VLOOKUP(E1303,#REF!,1,FALSE())),"?TYPE_IDENTIFIABLE","?REFERENTIAL"),"_")))))</f>
        <v> </v>
      </c>
      <c r="H1303" s="25" t="str">
        <f>IF(J1303&lt;&gt;1,"",IF(I1303="SBJ","CB","?"))</f>
        <v> </v>
      </c>
      <c r="I1303" s="26" t="str">
        <f>IF(OR(E1303="",E1303="!!!",F1303="NEW"),"",INDEX(B1302:B$2,-1+SUMPRODUCT(MAX(ROW(E1302:E$2)*(E1303=E1302:E$2)))))</f>
        <v> </v>
      </c>
      <c r="J1303" s="26" t="str">
        <f>IF(OR(E1303="",E1303="!!!",F1303="NEW"),"",COUNTBLANK(OFFSET(A$1,,,SUMPRODUCT(MAX(ROW(E$2:E1303)*(E1303=E$2:E1303)))))-COUNTBLANK(OFFSET(A$1,,,SUMPRODUCT(MAX(ROW(E$1:E1302)*(E2=E$1:E1302))))))</f>
        <v> </v>
      </c>
      <c r="K1303" s="26" t="str">
        <f>IF(OR(E1303="",E1303="!!!",F1303="NEW"),"",INDEX(J$1:J1302,SUMPRODUCT(MAX(ROW(E$1:E1302)*(E1303=E$1:E1302)))))</f>
        <v> </v>
      </c>
      <c r="L1303" s="27"/>
    </row>
    <row r="1304" spans="1:12">
      <c r="A1304" s="20" t="s">
        <v>1515</v>
      </c>
      <c r="E1304" s="22">
        <f>IF(D1304="?OLD","!!!","")</f>
        <v/>
      </c>
      <c r="F1304" s="23" t="str">
        <f>IF(OR(E1304="",E1304="!!!"),"",IF(NOT(ISNA(VLOOKUP(E1304,E$1:E1303,1,FALSE()))),"OLD",IF(AND(E1304&lt;&gt;"",E1304&lt;&gt;"!!!"),"NEW","")))</f>
        <v> </v>
      </c>
      <c r="G1304" s="24" t="str">
        <f>IF(OR(E1304="",E1304="!!!"),"",IF(OR(J1304=0,AND(J1304=1,K1304=1),AND(J1304=1,I1304="SBJ"),AND(J1304=1,I1304=0)),"?IN_FOCUS",IF(J1304&lt;=2,"?ACTIVATED",IF(J1304&lt;&gt;"","?FAMILIAR",IF(F1304="NEW",IF(ISNA(VLOOKUP(E1304,#REF!,1,FALSE())),"?TYPE_IDENTIFIABLE","?REFERENTIAL"),"_")))))</f>
        <v> </v>
      </c>
      <c r="H1304" s="25" t="str">
        <f>IF(J1304&lt;&gt;1,"",IF(I1304="SBJ","CB","?"))</f>
        <v> </v>
      </c>
      <c r="I1304" s="26" t="str">
        <f>IF(OR(E1304="",E1304="!!!",F1304="NEW"),"",INDEX(B1303:B$2,-1+SUMPRODUCT(MAX(ROW(E1303:E$2)*(E1304=E1303:E$2)))))</f>
        <v> </v>
      </c>
      <c r="J1304" s="26" t="str">
        <f>IF(OR(E1304="",E1304="!!!",F1304="NEW"),"",COUNTBLANK(OFFSET(A$1,,,SUMPRODUCT(MAX(ROW(E$2:E1304)*(E1304=E$2:E1304)))))-COUNTBLANK(OFFSET(A$1,,,SUMPRODUCT(MAX(ROW(E$1:E1303)*(E2=E$1:E1303))))))</f>
        <v> </v>
      </c>
      <c r="K1304" s="26" t="str">
        <f>IF(OR(E1304="",E1304="!!!",F1304="NEW"),"",INDEX(J$1:J1303,SUMPRODUCT(MAX(ROW(E$1:E1303)*(E1304=E$1:E1303)))))</f>
        <v> </v>
      </c>
      <c r="L1304" s="27"/>
    </row>
    <row r="1305" spans="1:12">
      <c r="A1305" s="20" t="s">
        <v>1020</v>
      </c>
      <c r="E1305" s="22">
        <f>IF(D1305="?OLD","!!!","")</f>
        <v/>
      </c>
      <c r="F1305" s="23" t="str">
        <f>IF(OR(E1305="",E1305="!!!"),"",IF(NOT(ISNA(VLOOKUP(E1305,E$1:E1304,1,FALSE()))),"OLD",IF(AND(E1305&lt;&gt;"",E1305&lt;&gt;"!!!"),"NEW","")))</f>
        <v> </v>
      </c>
      <c r="G1305" s="24" t="str">
        <f>IF(OR(E1305="",E1305="!!!"),"",IF(OR(J1305=0,AND(J1305=1,K1305=1),AND(J1305=1,I1305="SBJ"),AND(J1305=1,I1305=0)),"?IN_FOCUS",IF(J1305&lt;=2,"?ACTIVATED",IF(J1305&lt;&gt;"","?FAMILIAR",IF(F1305="NEW",IF(ISNA(VLOOKUP(E1305,#REF!,1,FALSE())),"?TYPE_IDENTIFIABLE","?REFERENTIAL"),"_")))))</f>
        <v> </v>
      </c>
      <c r="H1305" s="25" t="str">
        <f>IF(J1305&lt;&gt;1,"",IF(I1305="SBJ","CB","?"))</f>
        <v> </v>
      </c>
      <c r="I1305" s="26" t="str">
        <f>IF(OR(E1305="",E1305="!!!",F1305="NEW"),"",INDEX(B1304:B$2,-1+SUMPRODUCT(MAX(ROW(E1304:E$2)*(E1305=E1304:E$2)))))</f>
        <v> </v>
      </c>
      <c r="J1305" s="26" t="str">
        <f>IF(OR(E1305="",E1305="!!!",F1305="NEW"),"",COUNTBLANK(OFFSET(A$1,,,SUMPRODUCT(MAX(ROW(E$2:E1305)*(E1305=E$2:E1305)))))-COUNTBLANK(OFFSET(A$1,,,SUMPRODUCT(MAX(ROW(E$1:E1304)*(E2=E$1:E1304))))))</f>
        <v> </v>
      </c>
      <c r="K1305" s="26" t="str">
        <f>IF(OR(E1305="",E1305="!!!",F1305="NEW"),"",INDEX(J$1:J1304,SUMPRODUCT(MAX(ROW(E$1:E1304)*(E1305=E$1:E1304)))))</f>
        <v> </v>
      </c>
      <c r="L1305" s="27"/>
    </row>
    <row r="1306" spans="1:12">
      <c r="A1306" s="20" t="s">
        <v>102</v>
      </c>
      <c r="E1306" s="22">
        <f>IF(D1306="?OLD","!!!","")</f>
        <v/>
      </c>
      <c r="F1306" s="23" t="str">
        <f>IF(OR(E1306="",E1306="!!!"),"",IF(NOT(ISNA(VLOOKUP(E1306,E$1:E1305,1,FALSE()))),"OLD",IF(AND(E1306&lt;&gt;"",E1306&lt;&gt;"!!!"),"NEW","")))</f>
        <v> </v>
      </c>
      <c r="G1306" s="24" t="str">
        <f>IF(OR(E1306="",E1306="!!!"),"",IF(OR(J1306=0,AND(J1306=1,K1306=1),AND(J1306=1,I1306="SBJ"),AND(J1306=1,I1306=0)),"?IN_FOCUS",IF(J1306&lt;=2,"?ACTIVATED",IF(J1306&lt;&gt;"","?FAMILIAR",IF(F1306="NEW",IF(ISNA(VLOOKUP(E1306,#REF!,1,FALSE())),"?TYPE_IDENTIFIABLE","?REFERENTIAL"),"_")))))</f>
        <v> </v>
      </c>
      <c r="H1306" s="25" t="str">
        <f>IF(J1306&lt;&gt;1,"",IF(I1306="SBJ","CB","?"))</f>
        <v> </v>
      </c>
      <c r="I1306" s="26" t="str">
        <f>IF(OR(E1306="",E1306="!!!",F1306="NEW"),"",INDEX(B1305:B$2,-1+SUMPRODUCT(MAX(ROW(E1305:E$2)*(E1306=E1305:E$2)))))</f>
        <v> </v>
      </c>
      <c r="J1306" s="26" t="str">
        <f>IF(OR(E1306="",E1306="!!!",F1306="NEW"),"",COUNTBLANK(OFFSET(A$1,,,SUMPRODUCT(MAX(ROW(E$2:E1306)*(E1306=E$2:E1306)))))-COUNTBLANK(OFFSET(A$1,,,SUMPRODUCT(MAX(ROW(E$1:E1305)*(E2=E$1:E1305))))))</f>
        <v> </v>
      </c>
      <c r="K1306" s="26" t="str">
        <f>IF(OR(E1306="",E1306="!!!",F1306="NEW"),"",INDEX(J$1:J1305,SUMPRODUCT(MAX(ROW(E$1:E1305)*(E1306=E$1:E1305)))))</f>
        <v> </v>
      </c>
      <c r="L1306" s="27"/>
    </row>
    <row r="1307" spans="1:12">
      <c r="A1307" s="20" t="s">
        <v>1391</v>
      </c>
      <c r="B1307" s="21" t="s">
        <v>1042</v>
      </c>
      <c r="C1307" s="21" t="s">
        <v>1017</v>
      </c>
      <c r="D1307" s="21" t="s">
        <v>1007</v>
      </c>
      <c r="E1307" s="22">
        <f>IF(D1307="?OLD","!!!","")</f>
        <v/>
      </c>
      <c r="F1307" s="23" t="str">
        <f>IF(OR(E1307="",E1307="!!!"),"",IF(NOT(ISNA(VLOOKUP(E1307,E$1:E1306,1,FALSE()))),"OLD",IF(AND(E1307&lt;&gt;"",E1307&lt;&gt;"!!!"),"NEW","")))</f>
        <v> </v>
      </c>
      <c r="G1307" s="24" t="str">
        <f>IF(OR(E1307="",E1307="!!!"),"",IF(OR(J1307=0,AND(J1307=1,K1307=1),AND(J1307=1,I1307="SBJ"),AND(J1307=1,I1307=0)),"?IN_FOCUS",IF(J1307&lt;=2,"?ACTIVATED",IF(J1307&lt;&gt;"","?FAMILIAR",IF(F1307="NEW",IF(ISNA(VLOOKUP(E1307,#REF!,1,FALSE())),"?TYPE_IDENTIFIABLE","?REFERENTIAL"),"_")))))</f>
        <v> </v>
      </c>
      <c r="H1307" s="25" t="str">
        <f>IF(J1307&lt;&gt;1,"",IF(I1307="SBJ","CB","?"))</f>
        <v> </v>
      </c>
      <c r="I1307" s="26" t="str">
        <f>IF(OR(E1307="",E1307="!!!",F1307="NEW"),"",INDEX(B1306:B$2,-1+SUMPRODUCT(MAX(ROW(E1306:E$2)*(E1307=E1306:E$2)))))</f>
        <v> </v>
      </c>
      <c r="J1307" s="26" t="str">
        <f>IF(OR(E1307="",E1307="!!!",F1307="NEW"),"",COUNTBLANK(OFFSET(A$1,,,SUMPRODUCT(MAX(ROW(E$2:E1307)*(E1307=E$2:E1307)))))-COUNTBLANK(OFFSET(A$1,,,SUMPRODUCT(MAX(ROW(E$1:E1306)*(E2=E$1:E1306))))))</f>
        <v> </v>
      </c>
      <c r="K1307" s="26" t="str">
        <f>IF(OR(E1307="",E1307="!!!",F1307="NEW"),"",INDEX(J$1:J1306,SUMPRODUCT(MAX(ROW(E$1:E1306)*(E1307=E$1:E1306)))))</f>
        <v> </v>
      </c>
      <c r="L1307" s="27"/>
    </row>
    <row r="1308" spans="1:12">
      <c r="A1308" s="20" t="s">
        <v>1018</v>
      </c>
      <c r="E1308" s="22">
        <f>IF(D1308="?OLD","!!!","")</f>
        <v/>
      </c>
      <c r="F1308" s="23" t="str">
        <f>IF(OR(E1308="",E1308="!!!"),"",IF(NOT(ISNA(VLOOKUP(E1308,E$1:E1307,1,FALSE()))),"OLD",IF(AND(E1308&lt;&gt;"",E1308&lt;&gt;"!!!"),"NEW","")))</f>
        <v> </v>
      </c>
      <c r="G1308" s="24" t="str">
        <f>IF(OR(E1308="",E1308="!!!"),"",IF(OR(J1308=0,AND(J1308=1,K1308=1),AND(J1308=1,I1308="SBJ"),AND(J1308=1,I1308=0)),"?IN_FOCUS",IF(J1308&lt;=2,"?ACTIVATED",IF(J1308&lt;&gt;"","?FAMILIAR",IF(F1308="NEW",IF(ISNA(VLOOKUP(E1308,#REF!,1,FALSE())),"?TYPE_IDENTIFIABLE","?REFERENTIAL"),"_")))))</f>
        <v> </v>
      </c>
      <c r="H1308" s="25" t="str">
        <f>IF(J1308&lt;&gt;1,"",IF(I1308="SBJ","CB","?"))</f>
        <v> </v>
      </c>
      <c r="I1308" s="26" t="str">
        <f>IF(OR(E1308="",E1308="!!!",F1308="NEW"),"",INDEX(B1307:B$2,-1+SUMPRODUCT(MAX(ROW(E1307:E$2)*(E1308=E1307:E$2)))))</f>
        <v> </v>
      </c>
      <c r="J1308" s="26" t="str">
        <f>IF(OR(E1308="",E1308="!!!",F1308="NEW"),"",COUNTBLANK(OFFSET(A$1,,,SUMPRODUCT(MAX(ROW(E$2:E1308)*(E1308=E$2:E1308)))))-COUNTBLANK(OFFSET(A$1,,,SUMPRODUCT(MAX(ROW(E$1:E1307)*(E2=E$1:E1307))))))</f>
        <v> </v>
      </c>
      <c r="K1308" s="26" t="str">
        <f>IF(OR(E1308="",E1308="!!!",F1308="NEW"),"",INDEX(J$1:J1307,SUMPRODUCT(MAX(ROW(E$1:E1307)*(E1308=E$1:E1307)))))</f>
        <v> </v>
      </c>
      <c r="L1308" s="27"/>
    </row>
    <row r="1309" spans="1:12">
      <c r="A1309" s="20" t="s">
        <v>56</v>
      </c>
      <c r="E1309" s="22">
        <f>IF(D1309="?OLD","!!!","")</f>
        <v/>
      </c>
      <c r="F1309" s="23" t="str">
        <f>IF(OR(E1309="",E1309="!!!"),"",IF(NOT(ISNA(VLOOKUP(E1309,E$1:E1308,1,FALSE()))),"OLD",IF(AND(E1309&lt;&gt;"",E1309&lt;&gt;"!!!"),"NEW","")))</f>
        <v> </v>
      </c>
      <c r="G1309" s="24" t="str">
        <f>IF(OR(E1309="",E1309="!!!"),"",IF(OR(J1309=0,AND(J1309=1,K1309=1),AND(J1309=1,I1309="SBJ"),AND(J1309=1,I1309=0)),"?IN_FOCUS",IF(J1309&lt;=2,"?ACTIVATED",IF(J1309&lt;&gt;"","?FAMILIAR",IF(F1309="NEW",IF(ISNA(VLOOKUP(E1309,#REF!,1,FALSE())),"?TYPE_IDENTIFIABLE","?REFERENTIAL"),"_")))))</f>
        <v> </v>
      </c>
      <c r="H1309" s="25" t="str">
        <f>IF(J1309&lt;&gt;1,"",IF(I1309="SBJ","CB","?"))</f>
        <v> </v>
      </c>
      <c r="I1309" s="26" t="str">
        <f>IF(OR(E1309="",E1309="!!!",F1309="NEW"),"",INDEX(B1308:B$2,-1+SUMPRODUCT(MAX(ROW(E1308:E$2)*(E1309=E1308:E$2)))))</f>
        <v> </v>
      </c>
      <c r="J1309" s="26" t="str">
        <f>IF(OR(E1309="",E1309="!!!",F1309="NEW"),"",COUNTBLANK(OFFSET(A$1,,,SUMPRODUCT(MAX(ROW(E$2:E1309)*(E1309=E$2:E1309)))))-COUNTBLANK(OFFSET(A$1,,,SUMPRODUCT(MAX(ROW(E$1:E1308)*(E2=E$1:E1308))))))</f>
        <v> </v>
      </c>
      <c r="K1309" s="26" t="str">
        <f>IF(OR(E1309="",E1309="!!!",F1309="NEW"),"",INDEX(J$1:J1308,SUMPRODUCT(MAX(ROW(E$1:E1308)*(E1309=E$1:E1308)))))</f>
        <v> </v>
      </c>
      <c r="L1309" s="27"/>
    </row>
    <row r="1310" spans="1:12">
      <c r="A1310" s="20" t="s">
        <v>1442</v>
      </c>
      <c r="E1310" s="22">
        <f>IF(D1310="?OLD","!!!","")</f>
        <v/>
      </c>
      <c r="F1310" s="23" t="str">
        <f>IF(OR(E1310="",E1310="!!!"),"",IF(NOT(ISNA(VLOOKUP(E1310,E$1:E1309,1,FALSE()))),"OLD",IF(AND(E1310&lt;&gt;"",E1310&lt;&gt;"!!!"),"NEW","")))</f>
        <v> </v>
      </c>
      <c r="G1310" s="24" t="str">
        <f>IF(OR(E1310="",E1310="!!!"),"",IF(OR(J1310=0,AND(J1310=1,K1310=1),AND(J1310=1,I1310="SBJ"),AND(J1310=1,I1310=0)),"?IN_FOCUS",IF(J1310&lt;=2,"?ACTIVATED",IF(J1310&lt;&gt;"","?FAMILIAR",IF(F1310="NEW",IF(ISNA(VLOOKUP(E1310,#REF!,1,FALSE())),"?TYPE_IDENTIFIABLE","?REFERENTIAL"),"_")))))</f>
        <v> </v>
      </c>
      <c r="H1310" s="25" t="str">
        <f>IF(J1310&lt;&gt;1,"",IF(I1310="SBJ","CB","?"))</f>
        <v> </v>
      </c>
      <c r="I1310" s="26" t="str">
        <f>IF(OR(E1310="",E1310="!!!",F1310="NEW"),"",INDEX(B1309:B$2,-1+SUMPRODUCT(MAX(ROW(E1309:E$2)*(E1310=E1309:E$2)))))</f>
        <v> </v>
      </c>
      <c r="J1310" s="26" t="str">
        <f>IF(OR(E1310="",E1310="!!!",F1310="NEW"),"",COUNTBLANK(OFFSET(A$1,,,SUMPRODUCT(MAX(ROW(E$2:E1310)*(E1310=E$2:E1310)))))-COUNTBLANK(OFFSET(A$1,,,SUMPRODUCT(MAX(ROW(E$1:E1309)*(E2=E$1:E1309))))))</f>
        <v> </v>
      </c>
      <c r="K1310" s="26" t="str">
        <f>IF(OR(E1310="",E1310="!!!",F1310="NEW"),"",INDEX(J$1:J1309,SUMPRODUCT(MAX(ROW(E$1:E1309)*(E1310=E$1:E1309)))))</f>
        <v> </v>
      </c>
      <c r="L1310" s="27"/>
    </row>
    <row r="1311" spans="1:12">
      <c r="A1311" s="20" t="s">
        <v>1114</v>
      </c>
      <c r="B1311" s="21" t="s">
        <v>1067</v>
      </c>
      <c r="C1311" s="21" t="s">
        <v>1082</v>
      </c>
      <c r="D1311" s="21" t="s">
        <v>1007</v>
      </c>
      <c r="E1311" s="22">
        <f>IF(D1311="?OLD","!!!","")</f>
        <v/>
      </c>
      <c r="F1311" s="23" t="str">
        <f>IF(OR(E1311="",E1311="!!!"),"",IF(NOT(ISNA(VLOOKUP(E1311,E$1:E1310,1,FALSE()))),"OLD",IF(AND(E1311&lt;&gt;"",E1311&lt;&gt;"!!!"),"NEW","")))</f>
        <v> </v>
      </c>
      <c r="G1311" s="24" t="str">
        <f>IF(OR(E1311="",E1311="!!!"),"",IF(OR(J1311=0,AND(J1311=1,K1311=1),AND(J1311=1,I1311="SBJ"),AND(J1311=1,I1311=0)),"?IN_FOCUS",IF(J1311&lt;=2,"?ACTIVATED",IF(J1311&lt;&gt;"","?FAMILIAR",IF(F1311="NEW",IF(ISNA(VLOOKUP(E1311,#REF!,1,FALSE())),"?TYPE_IDENTIFIABLE","?REFERENTIAL"),"_")))))</f>
        <v> </v>
      </c>
      <c r="H1311" s="25" t="str">
        <f>IF(J1311&lt;&gt;1,"",IF(I1311="SBJ","CB","?"))</f>
        <v> </v>
      </c>
      <c r="I1311" s="26" t="str">
        <f>IF(OR(E1311="",E1311="!!!",F1311="NEW"),"",INDEX(B1310:B$2,-1+SUMPRODUCT(MAX(ROW(E1310:E$2)*(E1311=E1310:E$2)))))</f>
        <v> </v>
      </c>
      <c r="J1311" s="26" t="str">
        <f>IF(OR(E1311="",E1311="!!!",F1311="NEW"),"",COUNTBLANK(OFFSET(A$1,,,SUMPRODUCT(MAX(ROW(E$2:E1311)*(E1311=E$2:E1311)))))-COUNTBLANK(OFFSET(A$1,,,SUMPRODUCT(MAX(ROW(E$1:E1310)*(E2=E$1:E1310))))))</f>
        <v> </v>
      </c>
      <c r="K1311" s="26" t="str">
        <f>IF(OR(E1311="",E1311="!!!",F1311="NEW"),"",INDEX(J$1:J1310,SUMPRODUCT(MAX(ROW(E$1:E1310)*(E1311=E$1:E1310)))))</f>
        <v> </v>
      </c>
      <c r="L1311" s="27"/>
    </row>
    <row r="1312" spans="1:12">
      <c r="A1312" s="20" t="s">
        <v>1516</v>
      </c>
      <c r="E1312" s="22">
        <f>IF(D1312="?OLD","!!!","")</f>
        <v/>
      </c>
      <c r="F1312" s="23" t="str">
        <f>IF(OR(E1312="",E1312="!!!"),"",IF(NOT(ISNA(VLOOKUP(E1312,E$1:E1311,1,FALSE()))),"OLD",IF(AND(E1312&lt;&gt;"",E1312&lt;&gt;"!!!"),"NEW","")))</f>
        <v> </v>
      </c>
      <c r="G1312" s="24" t="str">
        <f>IF(OR(E1312="",E1312="!!!"),"",IF(OR(J1312=0,AND(J1312=1,K1312=1),AND(J1312=1,I1312="SBJ"),AND(J1312=1,I1312=0)),"?IN_FOCUS",IF(J1312&lt;=2,"?ACTIVATED",IF(J1312&lt;&gt;"","?FAMILIAR",IF(F1312="NEW",IF(ISNA(VLOOKUP(E1312,#REF!,1,FALSE())),"?TYPE_IDENTIFIABLE","?REFERENTIAL"),"_")))))</f>
        <v> </v>
      </c>
      <c r="H1312" s="25" t="str">
        <f>IF(J1312&lt;&gt;1,"",IF(I1312="SBJ","CB","?"))</f>
        <v> </v>
      </c>
      <c r="I1312" s="26" t="str">
        <f>IF(OR(E1312="",E1312="!!!",F1312="NEW"),"",INDEX(B1311:B$2,-1+SUMPRODUCT(MAX(ROW(E1311:E$2)*(E1312=E1311:E$2)))))</f>
        <v> </v>
      </c>
      <c r="J1312" s="26" t="str">
        <f>IF(OR(E1312="",E1312="!!!",F1312="NEW"),"",COUNTBLANK(OFFSET(A$1,,,SUMPRODUCT(MAX(ROW(E$2:E1312)*(E1312=E$2:E1312)))))-COUNTBLANK(OFFSET(A$1,,,SUMPRODUCT(MAX(ROW(E$1:E1311)*(E2=E$1:E1311))))))</f>
        <v> </v>
      </c>
      <c r="K1312" s="26" t="str">
        <f>IF(OR(E1312="",E1312="!!!",F1312="NEW"),"",INDEX(J$1:J1311,SUMPRODUCT(MAX(ROW(E$1:E1311)*(E1312=E$1:E1311)))))</f>
        <v> </v>
      </c>
      <c r="L1312" s="27"/>
    </row>
    <row r="1313" spans="1:12">
      <c r="A1313" s="20" t="s">
        <v>1020</v>
      </c>
      <c r="E1313" s="22">
        <f>IF(D1313="?OLD","!!!","")</f>
        <v/>
      </c>
      <c r="F1313" s="23" t="str">
        <f>IF(OR(E1313="",E1313="!!!"),"",IF(NOT(ISNA(VLOOKUP(E1313,E$1:E1312,1,FALSE()))),"OLD",IF(AND(E1313&lt;&gt;"",E1313&lt;&gt;"!!!"),"NEW","")))</f>
        <v> </v>
      </c>
      <c r="G1313" s="24" t="str">
        <f>IF(OR(E1313="",E1313="!!!"),"",IF(OR(J1313=0,AND(J1313=1,K1313=1),AND(J1313=1,I1313="SBJ"),AND(J1313=1,I1313=0)),"?IN_FOCUS",IF(J1313&lt;=2,"?ACTIVATED",IF(J1313&lt;&gt;"","?FAMILIAR",IF(F1313="NEW",IF(ISNA(VLOOKUP(E1313,#REF!,1,FALSE())),"?TYPE_IDENTIFIABLE","?REFERENTIAL"),"_")))))</f>
        <v> </v>
      </c>
      <c r="H1313" s="25" t="str">
        <f>IF(J1313&lt;&gt;1,"",IF(I1313="SBJ","CB","?"))</f>
        <v> </v>
      </c>
      <c r="I1313" s="26" t="str">
        <f>IF(OR(E1313="",E1313="!!!",F1313="NEW"),"",INDEX(B1312:B$2,-1+SUMPRODUCT(MAX(ROW(E1312:E$2)*(E1313=E1312:E$2)))))</f>
        <v> </v>
      </c>
      <c r="J1313" s="26" t="str">
        <f>IF(OR(E1313="",E1313="!!!",F1313="NEW"),"",COUNTBLANK(OFFSET(A$1,,,SUMPRODUCT(MAX(ROW(E$2:E1313)*(E1313=E$2:E1313)))))-COUNTBLANK(OFFSET(A$1,,,SUMPRODUCT(MAX(ROW(E$1:E1312)*(E2=E$1:E1312))))))</f>
        <v> </v>
      </c>
      <c r="K1313" s="26" t="str">
        <f>IF(OR(E1313="",E1313="!!!",F1313="NEW"),"",INDEX(J$1:J1312,SUMPRODUCT(MAX(ROW(E$1:E1312)*(E1313=E$1:E1312)))))</f>
        <v> </v>
      </c>
      <c r="L1313" s="27"/>
    </row>
    <row r="1314" spans="1:12">
      <c r="A1314" s="20" t="s">
        <v>1517</v>
      </c>
      <c r="B1314" s="21" t="s">
        <v>1066</v>
      </c>
      <c r="C1314" s="21" t="s">
        <v>1013</v>
      </c>
      <c r="D1314" s="21" t="s">
        <v>1007</v>
      </c>
      <c r="E1314" s="22">
        <f>IF(D1314="?OLD","!!!","")</f>
        <v/>
      </c>
      <c r="F1314" s="23" t="str">
        <f>IF(OR(E1314="",E1314="!!!"),"",IF(NOT(ISNA(VLOOKUP(E1314,E$1:E1313,1,FALSE()))),"OLD",IF(AND(E1314&lt;&gt;"",E1314&lt;&gt;"!!!"),"NEW","")))</f>
        <v> </v>
      </c>
      <c r="G1314" s="24" t="str">
        <f>IF(OR(E1314="",E1314="!!!"),"",IF(OR(J1314=0,AND(J1314=1,K1314=1),AND(J1314=1,I1314="SBJ"),AND(J1314=1,I1314=0)),"?IN_FOCUS",IF(J1314&lt;=2,"?ACTIVATED",IF(J1314&lt;&gt;"","?FAMILIAR",IF(F1314="NEW",IF(ISNA(VLOOKUP(E1314,#REF!,1,FALSE())),"?TYPE_IDENTIFIABLE","?REFERENTIAL"),"_")))))</f>
        <v> </v>
      </c>
      <c r="H1314" s="25" t="str">
        <f>IF(J1314&lt;&gt;1,"",IF(I1314="SBJ","CB","?"))</f>
        <v> </v>
      </c>
      <c r="I1314" s="26" t="str">
        <f>IF(OR(E1314="",E1314="!!!",F1314="NEW"),"",INDEX(B1313:B$2,-1+SUMPRODUCT(MAX(ROW(E1313:E$2)*(E1314=E1313:E$2)))))</f>
        <v> </v>
      </c>
      <c r="J1314" s="26" t="str">
        <f>IF(OR(E1314="",E1314="!!!",F1314="NEW"),"",COUNTBLANK(OFFSET(A$1,,,SUMPRODUCT(MAX(ROW(E$2:E1314)*(E1314=E$2:E1314)))))-COUNTBLANK(OFFSET(A$1,,,SUMPRODUCT(MAX(ROW(E$1:E1313)*(E2=E$1:E1313))))))</f>
        <v> </v>
      </c>
      <c r="K1314" s="26" t="str">
        <f>IF(OR(E1314="",E1314="!!!",F1314="NEW"),"",INDEX(J$1:J1313,SUMPRODUCT(MAX(ROW(E$1:E1313)*(E1314=E$1:E1313)))))</f>
        <v> </v>
      </c>
      <c r="L1314" s="27"/>
    </row>
    <row r="1315" spans="1:12">
      <c r="A1315" s="20" t="s">
        <v>1014</v>
      </c>
      <c r="E1315" s="22">
        <f>IF(D1315="?OLD","!!!","")</f>
        <v/>
      </c>
      <c r="F1315" s="23" t="str">
        <f>IF(OR(E1315="",E1315="!!!"),"",IF(NOT(ISNA(VLOOKUP(E1315,E$1:E1314,1,FALSE()))),"OLD",IF(AND(E1315&lt;&gt;"",E1315&lt;&gt;"!!!"),"NEW","")))</f>
        <v> </v>
      </c>
      <c r="G1315" s="24" t="str">
        <f>IF(OR(E1315="",E1315="!!!"),"",IF(OR(J1315=0,AND(J1315=1,K1315=1),AND(J1315=1,I1315="SBJ"),AND(J1315=1,I1315=0)),"?IN_FOCUS",IF(J1315&lt;=2,"?ACTIVATED",IF(J1315&lt;&gt;"","?FAMILIAR",IF(F1315="NEW",IF(ISNA(VLOOKUP(E1315,#REF!,1,FALSE())),"?TYPE_IDENTIFIABLE","?REFERENTIAL"),"_")))))</f>
        <v> </v>
      </c>
      <c r="H1315" s="25" t="str">
        <f>IF(J1315&lt;&gt;1,"",IF(I1315="SBJ","CB","?"))</f>
        <v> </v>
      </c>
      <c r="I1315" s="26" t="str">
        <f>IF(OR(E1315="",E1315="!!!",F1315="NEW"),"",INDEX(B1314:B$2,-1+SUMPRODUCT(MAX(ROW(E1314:E$2)*(E1315=E1314:E$2)))))</f>
        <v> </v>
      </c>
      <c r="J1315" s="26" t="str">
        <f>IF(OR(E1315="",E1315="!!!",F1315="NEW"),"",COUNTBLANK(OFFSET(A$1,,,SUMPRODUCT(MAX(ROW(E$2:E1315)*(E1315=E$2:E1315)))))-COUNTBLANK(OFFSET(A$1,,,SUMPRODUCT(MAX(ROW(E$1:E1314)*(E2=E$1:E1314))))))</f>
        <v> </v>
      </c>
      <c r="K1315" s="26" t="str">
        <f>IF(OR(E1315="",E1315="!!!",F1315="NEW"),"",INDEX(J$1:J1314,SUMPRODUCT(MAX(ROW(E$1:E1314)*(E1315=E$1:E1314)))))</f>
        <v> </v>
      </c>
      <c r="L1315" s="27"/>
    </row>
    <row r="1316" spans="1:12">
      <c r="A1316" s="20" t="s">
        <v>1518</v>
      </c>
      <c r="B1316" s="21" t="s">
        <v>1042</v>
      </c>
      <c r="C1316" s="21" t="s">
        <v>1048</v>
      </c>
      <c r="E1316" s="22">
        <f>IF(D1316="?OLD","!!!","")</f>
        <v/>
      </c>
      <c r="F1316" s="23" t="str">
        <f>IF(OR(E1316="",E1316="!!!"),"",IF(NOT(ISNA(VLOOKUP(E1316,E$1:E1315,1,FALSE()))),"OLD",IF(AND(E1316&lt;&gt;"",E1316&lt;&gt;"!!!"),"NEW","")))</f>
        <v> </v>
      </c>
      <c r="G1316" s="24" t="str">
        <f>IF(OR(E1316="",E1316="!!!"),"",IF(OR(J1316=0,AND(J1316=1,K1316=1),AND(J1316=1,I1316="SBJ"),AND(J1316=1,I1316=0)),"?IN_FOCUS",IF(J1316&lt;=2,"?ACTIVATED",IF(J1316&lt;&gt;"","?FAMILIAR",IF(F1316="NEW",IF(ISNA(VLOOKUP(E1316,#REF!,1,FALSE())),"?TYPE_IDENTIFIABLE","?REFERENTIAL"),"_")))))</f>
        <v> </v>
      </c>
      <c r="H1316" s="25" t="str">
        <f>IF(J1316&lt;&gt;1,"",IF(I1316="SBJ","CB","?"))</f>
        <v> </v>
      </c>
      <c r="I1316" s="26" t="str">
        <f>IF(OR(E1316="",E1316="!!!",F1316="NEW"),"",INDEX(B1315:B$2,-1+SUMPRODUCT(MAX(ROW(E1315:E$2)*(E1316=E1315:E$2)))))</f>
        <v> </v>
      </c>
      <c r="J1316" s="26" t="str">
        <f>IF(OR(E1316="",E1316="!!!",F1316="NEW"),"",COUNTBLANK(OFFSET(A$1,,,SUMPRODUCT(MAX(ROW(E$2:E1316)*(E1316=E$2:E1316)))))-COUNTBLANK(OFFSET(A$1,,,SUMPRODUCT(MAX(ROW(E$1:E1315)*(E2=E$1:E1315))))))</f>
        <v> </v>
      </c>
      <c r="K1316" s="26" t="str">
        <f>IF(OR(E1316="",E1316="!!!",F1316="NEW"),"",INDEX(J$1:J1315,SUMPRODUCT(MAX(ROW(E$1:E1315)*(E1316=E$1:E1315)))))</f>
        <v> </v>
      </c>
      <c r="L1316" s="27"/>
    </row>
    <row r="1317" spans="1:12">
      <c r="A1317" s="20" t="s">
        <v>1020</v>
      </c>
      <c r="E1317" s="22">
        <f>IF(D1317="?OLD","!!!","")</f>
        <v/>
      </c>
      <c r="F1317" s="23" t="str">
        <f>IF(OR(E1317="",E1317="!!!"),"",IF(NOT(ISNA(VLOOKUP(E1317,E$1:E1316,1,FALSE()))),"OLD",IF(AND(E1317&lt;&gt;"",E1317&lt;&gt;"!!!"),"NEW","")))</f>
        <v> </v>
      </c>
      <c r="G1317" s="24" t="str">
        <f>IF(OR(E1317="",E1317="!!!"),"",IF(OR(J1317=0,AND(J1317=1,K1317=1),AND(J1317=1,I1317="SBJ"),AND(J1317=1,I1317=0)),"?IN_FOCUS",IF(J1317&lt;=2,"?ACTIVATED",IF(J1317&lt;&gt;"","?FAMILIAR",IF(F1317="NEW",IF(ISNA(VLOOKUP(E1317,#REF!,1,FALSE())),"?TYPE_IDENTIFIABLE","?REFERENTIAL"),"_")))))</f>
        <v> </v>
      </c>
      <c r="H1317" s="25" t="str">
        <f>IF(J1317&lt;&gt;1,"",IF(I1317="SBJ","CB","?"))</f>
        <v> </v>
      </c>
      <c r="I1317" s="26" t="str">
        <f>IF(OR(E1317="",E1317="!!!",F1317="NEW"),"",INDEX(B1316:B$2,-1+SUMPRODUCT(MAX(ROW(E1316:E$2)*(E1317=E1316:E$2)))))</f>
        <v> </v>
      </c>
      <c r="J1317" s="26" t="str">
        <f>IF(OR(E1317="",E1317="!!!",F1317="NEW"),"",COUNTBLANK(OFFSET(A$1,,,SUMPRODUCT(MAX(ROW(E$2:E1317)*(E1317=E$2:E1317)))))-COUNTBLANK(OFFSET(A$1,,,SUMPRODUCT(MAX(ROW(E$1:E1316)*(E2=E$1:E1316))))))</f>
        <v> </v>
      </c>
      <c r="K1317" s="26" t="str">
        <f>IF(OR(E1317="",E1317="!!!",F1317="NEW"),"",INDEX(J$1:J1316,SUMPRODUCT(MAX(ROW(E$1:E1316)*(E1317=E$1:E1316)))))</f>
        <v> </v>
      </c>
      <c r="L1317" s="27"/>
    </row>
    <row r="1318" spans="1:12">
      <c r="A1318" s="20" t="s">
        <v>440</v>
      </c>
      <c r="B1318" s="21" t="s">
        <v>1044</v>
      </c>
      <c r="C1318" s="21" t="s">
        <v>1048</v>
      </c>
      <c r="E1318" s="22">
        <f>IF(D1318="?OLD","!!!","")</f>
        <v/>
      </c>
      <c r="F1318" s="23" t="str">
        <f>IF(OR(E1318="",E1318="!!!"),"",IF(NOT(ISNA(VLOOKUP(E1318,E$1:E1317,1,FALSE()))),"OLD",IF(AND(E1318&lt;&gt;"",E1318&lt;&gt;"!!!"),"NEW","")))</f>
        <v> </v>
      </c>
      <c r="G1318" s="24" t="str">
        <f>IF(OR(E1318="",E1318="!!!"),"",IF(OR(J1318=0,AND(J1318=1,K1318=1),AND(J1318=1,I1318="SBJ"),AND(J1318=1,I1318=0)),"?IN_FOCUS",IF(J1318&lt;=2,"?ACTIVATED",IF(J1318&lt;&gt;"","?FAMILIAR",IF(F1318="NEW",IF(ISNA(VLOOKUP(E1318,#REF!,1,FALSE())),"?TYPE_IDENTIFIABLE","?REFERENTIAL"),"_")))))</f>
        <v> </v>
      </c>
      <c r="H1318" s="25" t="str">
        <f>IF(J1318&lt;&gt;1,"",IF(I1318="SBJ","CB","?"))</f>
        <v> </v>
      </c>
      <c r="I1318" s="26" t="str">
        <f>IF(OR(E1318="",E1318="!!!",F1318="NEW"),"",INDEX(B1317:B$2,-1+SUMPRODUCT(MAX(ROW(E1317:E$2)*(E1318=E1317:E$2)))))</f>
        <v> </v>
      </c>
      <c r="J1318" s="26" t="str">
        <f>IF(OR(E1318="",E1318="!!!",F1318="NEW"),"",COUNTBLANK(OFFSET(A$1,,,SUMPRODUCT(MAX(ROW(E$2:E1318)*(E1318=E$2:E1318)))))-COUNTBLANK(OFFSET(A$1,,,SUMPRODUCT(MAX(ROW(E$1:E1317)*(E2=E$1:E1317))))))</f>
        <v> </v>
      </c>
      <c r="K1318" s="26" t="str">
        <f>IF(OR(E1318="",E1318="!!!",F1318="NEW"),"",INDEX(J$1:J1317,SUMPRODUCT(MAX(ROW(E$1:E1317)*(E1318=E$1:E1317)))))</f>
        <v> </v>
      </c>
      <c r="L1318" s="27"/>
    </row>
    <row r="1319" spans="1:12">
      <c r="A1319" s="20" t="s">
        <v>1014</v>
      </c>
      <c r="E1319" s="22">
        <f>IF(D1319="?OLD","!!!","")</f>
        <v/>
      </c>
      <c r="F1319" s="23" t="str">
        <f>IF(OR(E1319="",E1319="!!!"),"",IF(NOT(ISNA(VLOOKUP(E1319,E$1:E1318,1,FALSE()))),"OLD",IF(AND(E1319&lt;&gt;"",E1319&lt;&gt;"!!!"),"NEW","")))</f>
        <v> </v>
      </c>
      <c r="G1319" s="24" t="str">
        <f>IF(OR(E1319="",E1319="!!!"),"",IF(OR(J1319=0,AND(J1319=1,K1319=1),AND(J1319=1,I1319="SBJ"),AND(J1319=1,I1319=0)),"?IN_FOCUS",IF(J1319&lt;=2,"?ACTIVATED",IF(J1319&lt;&gt;"","?FAMILIAR",IF(F1319="NEW",IF(ISNA(VLOOKUP(E1319,#REF!,1,FALSE())),"?TYPE_IDENTIFIABLE","?REFERENTIAL"),"_")))))</f>
        <v> </v>
      </c>
      <c r="H1319" s="25" t="str">
        <f>IF(J1319&lt;&gt;1,"",IF(I1319="SBJ","CB","?"))</f>
        <v> </v>
      </c>
      <c r="I1319" s="26" t="str">
        <f>IF(OR(E1319="",E1319="!!!",F1319="NEW"),"",INDEX(B1318:B$2,-1+SUMPRODUCT(MAX(ROW(E1318:E$2)*(E1319=E1318:E$2)))))</f>
        <v> </v>
      </c>
      <c r="J1319" s="26" t="str">
        <f>IF(OR(E1319="",E1319="!!!",F1319="NEW"),"",COUNTBLANK(OFFSET(A$1,,,SUMPRODUCT(MAX(ROW(E$2:E1319)*(E1319=E$2:E1319)))))-COUNTBLANK(OFFSET(A$1,,,SUMPRODUCT(MAX(ROW(E$1:E1318)*(E2=E$1:E1318))))))</f>
        <v> </v>
      </c>
      <c r="K1319" s="26" t="str">
        <f>IF(OR(E1319="",E1319="!!!",F1319="NEW"),"",INDEX(J$1:J1318,SUMPRODUCT(MAX(ROW(E$1:E1318)*(E1319=E$1:E1318)))))</f>
        <v> </v>
      </c>
      <c r="L1319" s="27"/>
    </row>
    <row r="1320" spans="1:12">
      <c r="A1320" s="20" t="s">
        <v>1463</v>
      </c>
      <c r="B1320" s="21" t="s">
        <v>1040</v>
      </c>
      <c r="C1320" s="21" t="s">
        <v>1082</v>
      </c>
      <c r="D1320" s="21" t="s">
        <v>1007</v>
      </c>
      <c r="E1320" s="22">
        <f>IF(D1320="?OLD","!!!","")</f>
        <v/>
      </c>
      <c r="F1320" s="23" t="str">
        <f>IF(OR(E1320="",E1320="!!!"),"",IF(NOT(ISNA(VLOOKUP(E1320,E$1:E1319,1,FALSE()))),"OLD",IF(AND(E1320&lt;&gt;"",E1320&lt;&gt;"!!!"),"NEW","")))</f>
        <v> </v>
      </c>
      <c r="G1320" s="24" t="str">
        <f>IF(OR(E1320="",E1320="!!!"),"",IF(OR(J1320=0,AND(J1320=1,K1320=1),AND(J1320=1,I1320="SBJ"),AND(J1320=1,I1320=0)),"?IN_FOCUS",IF(J1320&lt;=2,"?ACTIVATED",IF(J1320&lt;&gt;"","?FAMILIAR",IF(F1320="NEW",IF(ISNA(VLOOKUP(E1320,#REF!,1,FALSE())),"?TYPE_IDENTIFIABLE","?REFERENTIAL"),"_")))))</f>
        <v> </v>
      </c>
      <c r="H1320" s="25" t="str">
        <f>IF(J1320&lt;&gt;1,"",IF(I1320="SBJ","CB","?"))</f>
        <v> </v>
      </c>
      <c r="I1320" s="26" t="str">
        <f>IF(OR(E1320="",E1320="!!!",F1320="NEW"),"",INDEX(B1319:B$2,-1+SUMPRODUCT(MAX(ROW(E1319:E$2)*(E1320=E1319:E$2)))))</f>
        <v> </v>
      </c>
      <c r="J1320" s="26" t="str">
        <f>IF(OR(E1320="",E1320="!!!",F1320="NEW"),"",COUNTBLANK(OFFSET(A$1,,,SUMPRODUCT(MAX(ROW(E$2:E1320)*(E1320=E$2:E1320)))))-COUNTBLANK(OFFSET(A$1,,,SUMPRODUCT(MAX(ROW(E$1:E1319)*(E2=E$1:E1319))))))</f>
        <v> </v>
      </c>
      <c r="K1320" s="26" t="str">
        <f>IF(OR(E1320="",E1320="!!!",F1320="NEW"),"",INDEX(J$1:J1319,SUMPRODUCT(MAX(ROW(E$1:E1319)*(E1320=E$1:E1319)))))</f>
        <v> </v>
      </c>
      <c r="L1320" s="27"/>
    </row>
    <row r="1321" spans="1:12">
      <c r="A1321" s="20" t="s">
        <v>1023</v>
      </c>
      <c r="E1321" s="22">
        <f>IF(D1321="?OLD","!!!","")</f>
        <v/>
      </c>
      <c r="F1321" s="23" t="str">
        <f>IF(OR(E1321="",E1321="!!!"),"",IF(NOT(ISNA(VLOOKUP(E1321,E$1:E1320,1,FALSE()))),"OLD",IF(AND(E1321&lt;&gt;"",E1321&lt;&gt;"!!!"),"NEW","")))</f>
        <v> </v>
      </c>
      <c r="G1321" s="24" t="str">
        <f>IF(OR(E1321="",E1321="!!!"),"",IF(OR(J1321=0,AND(J1321=1,K1321=1),AND(J1321=1,I1321="SBJ"),AND(J1321=1,I1321=0)),"?IN_FOCUS",IF(J1321&lt;=2,"?ACTIVATED",IF(J1321&lt;&gt;"","?FAMILIAR",IF(F1321="NEW",IF(ISNA(VLOOKUP(E1321,#REF!,1,FALSE())),"?TYPE_IDENTIFIABLE","?REFERENTIAL"),"_")))))</f>
        <v> </v>
      </c>
      <c r="H1321" s="25" t="str">
        <f>IF(J1321&lt;&gt;1,"",IF(I1321="SBJ","CB","?"))</f>
        <v> </v>
      </c>
      <c r="I1321" s="26" t="str">
        <f>IF(OR(E1321="",E1321="!!!",F1321="NEW"),"",INDEX(B1320:B$2,-1+SUMPRODUCT(MAX(ROW(E1320:E$2)*(E1321=E1320:E$2)))))</f>
        <v> </v>
      </c>
      <c r="J1321" s="26" t="str">
        <f>IF(OR(E1321="",E1321="!!!",F1321="NEW"),"",COUNTBLANK(OFFSET(A$1,,,SUMPRODUCT(MAX(ROW(E$2:E1321)*(E1321=E$2:E1321)))))-COUNTBLANK(OFFSET(A$1,,,SUMPRODUCT(MAX(ROW(E$1:E1320)*(E2=E$1:E1320))))))</f>
        <v> </v>
      </c>
      <c r="K1321" s="26" t="str">
        <f>IF(OR(E1321="",E1321="!!!",F1321="NEW"),"",INDEX(J$1:J1320,SUMPRODUCT(MAX(ROW(E$1:E1320)*(E1321=E$1:E1320)))))</f>
        <v> </v>
      </c>
      <c r="L1321" s="27"/>
    </row>
    <row r="1322" spans="1:12">
      <c r="A1322" s="20"/>
    </row>
    <row r="1323" spans="1:12">
      <c r="A1323" s="20" t="s">
        <v>1519</v>
      </c>
    </row>
    <row r="1324" spans="1:12">
      <c r="A1324" s="20" t="s">
        <v>1136</v>
      </c>
      <c r="E1324" s="22">
        <f>IF(D1324="?OLD","!!!","")</f>
        <v/>
      </c>
      <c r="F1324" s="23" t="str">
        <f>IF(OR(E1324="",E1324="!!!"),"",IF(NOT(ISNA(VLOOKUP(E1324,E$1:E1323,1,FALSE()))),"OLD",IF(AND(E1324&lt;&gt;"",E1324&lt;&gt;"!!!"),"NEW","")))</f>
        <v> </v>
      </c>
      <c r="G1324" s="24" t="str">
        <f>IF(OR(E1324="",E1324="!!!"),"",IF(OR(J1324=0,AND(J1324=1,K1324=1),AND(J1324=1,I1324="SBJ"),AND(J1324=1,I1324=0)),"?IN_FOCUS",IF(J1324&lt;=2,"?ACTIVATED",IF(J1324&lt;&gt;"","?FAMILIAR",IF(F1324="NEW",IF(ISNA(VLOOKUP(E1324,#REF!,1,FALSE())),"?TYPE_IDENTIFIABLE","?REFERENTIAL"),"_")))))</f>
        <v> </v>
      </c>
      <c r="H1324" s="25" t="str">
        <f>IF(J1324&lt;&gt;1,"",IF(I1324="SBJ","CB","?"))</f>
        <v> </v>
      </c>
      <c r="I1324" s="26" t="str">
        <f>IF(OR(E1324="",E1324="!!!",F1324="NEW"),"",INDEX(B1323:B$2,-1+SUMPRODUCT(MAX(ROW(E1323:E$2)*(E1324=E1323:E$2)))))</f>
        <v> </v>
      </c>
      <c r="J1324" s="26" t="str">
        <f>IF(OR(E1324="",E1324="!!!",F1324="NEW"),"",COUNTBLANK(OFFSET(A$1,,,SUMPRODUCT(MAX(ROW(E$2:E1324)*(E1324=E$2:E1324)))))-COUNTBLANK(OFFSET(A$1,,,SUMPRODUCT(MAX(ROW(E$1:E1323)*(E2=E$1:E1323))))))</f>
        <v> </v>
      </c>
      <c r="K1324" s="26" t="str">
        <f>IF(OR(E1324="",E1324="!!!",F1324="NEW"),"",INDEX(J$1:J1323,SUMPRODUCT(MAX(ROW(E$1:E1323)*(E1324=E$1:E1323)))))</f>
        <v> </v>
      </c>
      <c r="L1324" s="27"/>
    </row>
    <row r="1325" spans="1:12">
      <c r="A1325" s="20" t="s">
        <v>1463</v>
      </c>
      <c r="B1325" s="21" t="s">
        <v>1050</v>
      </c>
      <c r="C1325" s="21" t="s">
        <v>1082</v>
      </c>
      <c r="D1325" s="21" t="s">
        <v>1007</v>
      </c>
      <c r="E1325" s="22">
        <f>IF(D1325="?OLD","!!!","")</f>
        <v/>
      </c>
      <c r="F1325" s="23" t="str">
        <f>IF(OR(E1325="",E1325="!!!"),"",IF(NOT(ISNA(VLOOKUP(E1325,E$1:E1324,1,FALSE()))),"OLD",IF(AND(E1325&lt;&gt;"",E1325&lt;&gt;"!!!"),"NEW","")))</f>
        <v> </v>
      </c>
      <c r="G1325" s="24" t="str">
        <f>IF(OR(E1325="",E1325="!!!"),"",IF(OR(J1325=0,AND(J1325=1,K1325=1),AND(J1325=1,I1325="SBJ"),AND(J1325=1,I1325=0)),"?IN_FOCUS",IF(J1325&lt;=2,"?ACTIVATED",IF(J1325&lt;&gt;"","?FAMILIAR",IF(F1325="NEW",IF(ISNA(VLOOKUP(E1325,#REF!,1,FALSE())),"?TYPE_IDENTIFIABLE","?REFERENTIAL"),"_")))))</f>
        <v> </v>
      </c>
      <c r="H1325" s="25" t="str">
        <f>IF(J1325&lt;&gt;1,"",IF(I1325="SBJ","CB","?"))</f>
        <v> </v>
      </c>
      <c r="I1325" s="26" t="str">
        <f>IF(OR(E1325="",E1325="!!!",F1325="NEW"),"",INDEX(B1324:B$2,-1+SUMPRODUCT(MAX(ROW(E1324:E$2)*(E1325=E1324:E$2)))))</f>
        <v> </v>
      </c>
      <c r="J1325" s="26" t="str">
        <f>IF(OR(E1325="",E1325="!!!",F1325="NEW"),"",COUNTBLANK(OFFSET(A$1,,,SUMPRODUCT(MAX(ROW(E$2:E1325)*(E1325=E$2:E1325)))))-COUNTBLANK(OFFSET(A$1,,,SUMPRODUCT(MAX(ROW(E$1:E1324)*(E2=E$1:E1324))))))</f>
        <v> </v>
      </c>
      <c r="K1325" s="26" t="str">
        <f>IF(OR(E1325="",E1325="!!!",F1325="NEW"),"",INDEX(J$1:J1324,SUMPRODUCT(MAX(ROW(E$1:E1324)*(E1325=E$1:E1324)))))</f>
        <v> </v>
      </c>
      <c r="L1325" s="27"/>
    </row>
    <row r="1326" spans="1:12">
      <c r="A1326" s="20" t="s">
        <v>1520</v>
      </c>
      <c r="E1326" s="22">
        <f>IF(D1326="?OLD","!!!","")</f>
        <v/>
      </c>
      <c r="F1326" s="23" t="str">
        <f>IF(OR(E1326="",E1326="!!!"),"",IF(NOT(ISNA(VLOOKUP(E1326,E$1:E1325,1,FALSE()))),"OLD",IF(AND(E1326&lt;&gt;"",E1326&lt;&gt;"!!!"),"NEW","")))</f>
        <v> </v>
      </c>
      <c r="G1326" s="24" t="str">
        <f>IF(OR(E1326="",E1326="!!!"),"",IF(OR(J1326=0,AND(J1326=1,K1326=1),AND(J1326=1,I1326="SBJ"),AND(J1326=1,I1326=0)),"?IN_FOCUS",IF(J1326&lt;=2,"?ACTIVATED",IF(J1326&lt;&gt;"","?FAMILIAR",IF(F1326="NEW",IF(ISNA(VLOOKUP(E1326,#REF!,1,FALSE())),"?TYPE_IDENTIFIABLE","?REFERENTIAL"),"_")))))</f>
        <v> </v>
      </c>
      <c r="H1326" s="25" t="str">
        <f>IF(J1326&lt;&gt;1,"",IF(I1326="SBJ","CB","?"))</f>
        <v> </v>
      </c>
      <c r="I1326" s="26" t="str">
        <f>IF(OR(E1326="",E1326="!!!",F1326="NEW"),"",INDEX(B1325:B$2,-1+SUMPRODUCT(MAX(ROW(E1325:E$2)*(E1326=E1325:E$2)))))</f>
        <v> </v>
      </c>
      <c r="J1326" s="26" t="str">
        <f>IF(OR(E1326="",E1326="!!!",F1326="NEW"),"",COUNTBLANK(OFFSET(A$1,,,SUMPRODUCT(MAX(ROW(E$2:E1326)*(E1326=E$2:E1326)))))-COUNTBLANK(OFFSET(A$1,,,SUMPRODUCT(MAX(ROW(E$1:E1325)*(E2=E$1:E1325))))))</f>
        <v> </v>
      </c>
      <c r="K1326" s="26" t="str">
        <f>IF(OR(E1326="",E1326="!!!",F1326="NEW"),"",INDEX(J$1:J1325,SUMPRODUCT(MAX(ROW(E$1:E1325)*(E1326=E$1:E1325)))))</f>
        <v> </v>
      </c>
      <c r="L1326" s="27"/>
    </row>
    <row r="1327" spans="1:12">
      <c r="A1327" s="20" t="s">
        <v>1521</v>
      </c>
      <c r="E1327" s="22">
        <f>IF(D1327="?OLD","!!!","")</f>
        <v/>
      </c>
      <c r="F1327" s="23" t="str">
        <f>IF(OR(E1327="",E1327="!!!"),"",IF(NOT(ISNA(VLOOKUP(E1327,E$1:E1326,1,FALSE()))),"OLD",IF(AND(E1327&lt;&gt;"",E1327&lt;&gt;"!!!"),"NEW","")))</f>
        <v> </v>
      </c>
      <c r="G1327" s="24" t="str">
        <f>IF(OR(E1327="",E1327="!!!"),"",IF(OR(J1327=0,AND(J1327=1,K1327=1),AND(J1327=1,I1327="SBJ"),AND(J1327=1,I1327=0)),"?IN_FOCUS",IF(J1327&lt;=2,"?ACTIVATED",IF(J1327&lt;&gt;"","?FAMILIAR",IF(F1327="NEW",IF(ISNA(VLOOKUP(E1327,#REF!,1,FALSE())),"?TYPE_IDENTIFIABLE","?REFERENTIAL"),"_")))))</f>
        <v> </v>
      </c>
      <c r="H1327" s="25" t="str">
        <f>IF(J1327&lt;&gt;1,"",IF(I1327="SBJ","CB","?"))</f>
        <v> </v>
      </c>
      <c r="I1327" s="26" t="str">
        <f>IF(OR(E1327="",E1327="!!!",F1327="NEW"),"",INDEX(B1326:B$2,-1+SUMPRODUCT(MAX(ROW(E1326:E$2)*(E1327=E1326:E$2)))))</f>
        <v> </v>
      </c>
      <c r="J1327" s="26" t="str">
        <f>IF(OR(E1327="",E1327="!!!",F1327="NEW"),"",COUNTBLANK(OFFSET(A$1,,,SUMPRODUCT(MAX(ROW(E$2:E1327)*(E1327=E$2:E1327)))))-COUNTBLANK(OFFSET(A$1,,,SUMPRODUCT(MAX(ROW(E$1:E1326)*(E2=E$1:E1326))))))</f>
        <v> </v>
      </c>
      <c r="K1327" s="26" t="str">
        <f>IF(OR(E1327="",E1327="!!!",F1327="NEW"),"",INDEX(J$1:J1326,SUMPRODUCT(MAX(ROW(E$1:E1326)*(E1327=E$1:E1326)))))</f>
        <v> </v>
      </c>
      <c r="L1327" s="27"/>
    </row>
    <row r="1328" spans="1:12">
      <c r="A1328" s="20" t="s">
        <v>98</v>
      </c>
      <c r="E1328" s="22">
        <f>IF(D1328="?OLD","!!!","")</f>
        <v/>
      </c>
      <c r="F1328" s="23" t="str">
        <f>IF(OR(E1328="",E1328="!!!"),"",IF(NOT(ISNA(VLOOKUP(E1328,E$1:E1327,1,FALSE()))),"OLD",IF(AND(E1328&lt;&gt;"",E1328&lt;&gt;"!!!"),"NEW","")))</f>
        <v> </v>
      </c>
      <c r="G1328" s="24" t="str">
        <f>IF(OR(E1328="",E1328="!!!"),"",IF(OR(J1328=0,AND(J1328=1,K1328=1),AND(J1328=1,I1328="SBJ"),AND(J1328=1,I1328=0)),"?IN_FOCUS",IF(J1328&lt;=2,"?ACTIVATED",IF(J1328&lt;&gt;"","?FAMILIAR",IF(F1328="NEW",IF(ISNA(VLOOKUP(E1328,#REF!,1,FALSE())),"?TYPE_IDENTIFIABLE","?REFERENTIAL"),"_")))))</f>
        <v> </v>
      </c>
      <c r="H1328" s="25" t="str">
        <f>IF(J1328&lt;&gt;1,"",IF(I1328="SBJ","CB","?"))</f>
        <v> </v>
      </c>
      <c r="I1328" s="26" t="str">
        <f>IF(OR(E1328="",E1328="!!!",F1328="NEW"),"",INDEX(B1327:B$2,-1+SUMPRODUCT(MAX(ROW(E1327:E$2)*(E1328=E1327:E$2)))))</f>
        <v> </v>
      </c>
      <c r="J1328" s="26" t="str">
        <f>IF(OR(E1328="",E1328="!!!",F1328="NEW"),"",COUNTBLANK(OFFSET(A$1,,,SUMPRODUCT(MAX(ROW(E$2:E1328)*(E1328=E$2:E1328)))))-COUNTBLANK(OFFSET(A$1,,,SUMPRODUCT(MAX(ROW(E$1:E1327)*(E2=E$1:E1327))))))</f>
        <v> </v>
      </c>
      <c r="K1328" s="26" t="str">
        <f>IF(OR(E1328="",E1328="!!!",F1328="NEW"),"",INDEX(J$1:J1327,SUMPRODUCT(MAX(ROW(E$1:E1327)*(E1328=E$1:E1327)))))</f>
        <v> </v>
      </c>
      <c r="L1328" s="27"/>
    </row>
    <row r="1329" spans="1:12">
      <c r="A1329" s="20" t="s">
        <v>1522</v>
      </c>
      <c r="E1329" s="22">
        <f>IF(D1329="?OLD","!!!","")</f>
        <v/>
      </c>
      <c r="F1329" s="23" t="str">
        <f>IF(OR(E1329="",E1329="!!!"),"",IF(NOT(ISNA(VLOOKUP(E1329,E$1:E1328,1,FALSE()))),"OLD",IF(AND(E1329&lt;&gt;"",E1329&lt;&gt;"!!!"),"NEW","")))</f>
        <v> </v>
      </c>
      <c r="G1329" s="24" t="str">
        <f>IF(OR(E1329="",E1329="!!!"),"",IF(OR(J1329=0,AND(J1329=1,K1329=1),AND(J1329=1,I1329="SBJ"),AND(J1329=1,I1329=0)),"?IN_FOCUS",IF(J1329&lt;=2,"?ACTIVATED",IF(J1329&lt;&gt;"","?FAMILIAR",IF(F1329="NEW",IF(ISNA(VLOOKUP(E1329,#REF!,1,FALSE())),"?TYPE_IDENTIFIABLE","?REFERENTIAL"),"_")))))</f>
        <v> </v>
      </c>
      <c r="H1329" s="25" t="str">
        <f>IF(J1329&lt;&gt;1,"",IF(I1329="SBJ","CB","?"))</f>
        <v> </v>
      </c>
      <c r="I1329" s="26" t="str">
        <f>IF(OR(E1329="",E1329="!!!",F1329="NEW"),"",INDEX(B1328:B$2,-1+SUMPRODUCT(MAX(ROW(E1328:E$2)*(E1329=E1328:E$2)))))</f>
        <v> </v>
      </c>
      <c r="J1329" s="26" t="str">
        <f>IF(OR(E1329="",E1329="!!!",F1329="NEW"),"",COUNTBLANK(OFFSET(A$1,,,SUMPRODUCT(MAX(ROW(E$2:E1329)*(E1329=E$2:E1329)))))-COUNTBLANK(OFFSET(A$1,,,SUMPRODUCT(MAX(ROW(E$1:E1328)*(E2=E$1:E1328))))))</f>
        <v> </v>
      </c>
      <c r="K1329" s="26" t="str">
        <f>IF(OR(E1329="",E1329="!!!",F1329="NEW"),"",INDEX(J$1:J1328,SUMPRODUCT(MAX(ROW(E$1:E1328)*(E1329=E$1:E1328)))))</f>
        <v> </v>
      </c>
      <c r="L1329" s="27"/>
    </row>
    <row r="1330" spans="1:12">
      <c r="A1330" s="20" t="s">
        <v>1182</v>
      </c>
      <c r="E1330" s="22">
        <f>IF(D1330="?OLD","!!!","")</f>
        <v/>
      </c>
      <c r="F1330" s="23" t="str">
        <f>IF(OR(E1330="",E1330="!!!"),"",IF(NOT(ISNA(VLOOKUP(E1330,E$1:E1329,1,FALSE()))),"OLD",IF(AND(E1330&lt;&gt;"",E1330&lt;&gt;"!!!"),"NEW","")))</f>
        <v> </v>
      </c>
      <c r="G1330" s="24" t="str">
        <f>IF(OR(E1330="",E1330="!!!"),"",IF(OR(J1330=0,AND(J1330=1,K1330=1),AND(J1330=1,I1330="SBJ"),AND(J1330=1,I1330=0)),"?IN_FOCUS",IF(J1330&lt;=2,"?ACTIVATED",IF(J1330&lt;&gt;"","?FAMILIAR",IF(F1330="NEW",IF(ISNA(VLOOKUP(E1330,#REF!,1,FALSE())),"?TYPE_IDENTIFIABLE","?REFERENTIAL"),"_")))))</f>
        <v> </v>
      </c>
      <c r="H1330" s="25" t="str">
        <f>IF(J1330&lt;&gt;1,"",IF(I1330="SBJ","CB","?"))</f>
        <v> </v>
      </c>
      <c r="I1330" s="26" t="str">
        <f>IF(OR(E1330="",E1330="!!!",F1330="NEW"),"",INDEX(B1329:B$2,-1+SUMPRODUCT(MAX(ROW(E1329:E$2)*(E1330=E1329:E$2)))))</f>
        <v> </v>
      </c>
      <c r="J1330" s="26" t="str">
        <f>IF(OR(E1330="",E1330="!!!",F1330="NEW"),"",COUNTBLANK(OFFSET(A$1,,,SUMPRODUCT(MAX(ROW(E$2:E1330)*(E1330=E$2:E1330)))))-COUNTBLANK(OFFSET(A$1,,,SUMPRODUCT(MAX(ROW(E$1:E1329)*(E2=E$1:E1329))))))</f>
        <v> </v>
      </c>
      <c r="K1330" s="26" t="str">
        <f>IF(OR(E1330="",E1330="!!!",F1330="NEW"),"",INDEX(J$1:J1329,SUMPRODUCT(MAX(ROW(E$1:E1329)*(E1330=E$1:E1329)))))</f>
        <v> </v>
      </c>
      <c r="L1330" s="27"/>
    </row>
    <row r="1331" spans="1:12">
      <c r="A1331" s="20" t="s">
        <v>1020</v>
      </c>
      <c r="E1331" s="22">
        <f>IF(D1331="?OLD","!!!","")</f>
        <v/>
      </c>
      <c r="F1331" s="23" t="str">
        <f>IF(OR(E1331="",E1331="!!!"),"",IF(NOT(ISNA(VLOOKUP(E1331,E$1:E1330,1,FALSE()))),"OLD",IF(AND(E1331&lt;&gt;"",E1331&lt;&gt;"!!!"),"NEW","")))</f>
        <v> </v>
      </c>
      <c r="G1331" s="24" t="str">
        <f>IF(OR(E1331="",E1331="!!!"),"",IF(OR(J1331=0,AND(J1331=1,K1331=1),AND(J1331=1,I1331="SBJ"),AND(J1331=1,I1331=0)),"?IN_FOCUS",IF(J1331&lt;=2,"?ACTIVATED",IF(J1331&lt;&gt;"","?FAMILIAR",IF(F1331="NEW",IF(ISNA(VLOOKUP(E1331,#REF!,1,FALSE())),"?TYPE_IDENTIFIABLE","?REFERENTIAL"),"_")))))</f>
        <v> </v>
      </c>
      <c r="H1331" s="25" t="str">
        <f>IF(J1331&lt;&gt;1,"",IF(I1331="SBJ","CB","?"))</f>
        <v> </v>
      </c>
      <c r="I1331" s="26" t="str">
        <f>IF(OR(E1331="",E1331="!!!",F1331="NEW"),"",INDEX(B1330:B$2,-1+SUMPRODUCT(MAX(ROW(E1330:E$2)*(E1331=E1330:E$2)))))</f>
        <v> </v>
      </c>
      <c r="J1331" s="26" t="str">
        <f>IF(OR(E1331="",E1331="!!!",F1331="NEW"),"",COUNTBLANK(OFFSET(A$1,,,SUMPRODUCT(MAX(ROW(E$2:E1331)*(E1331=E$2:E1331)))))-COUNTBLANK(OFFSET(A$1,,,SUMPRODUCT(MAX(ROW(E$1:E1330)*(E2=E$1:E1330))))))</f>
        <v> </v>
      </c>
      <c r="K1331" s="26" t="str">
        <f>IF(OR(E1331="",E1331="!!!",F1331="NEW"),"",INDEX(J$1:J1330,SUMPRODUCT(MAX(ROW(E$1:E1330)*(E1331=E$1:E1330)))))</f>
        <v> </v>
      </c>
      <c r="L1331" s="27"/>
    </row>
    <row r="1332" spans="1:12">
      <c r="A1332" s="20" t="s">
        <v>1211</v>
      </c>
      <c r="B1332" s="21" t="s">
        <v>1022</v>
      </c>
      <c r="C1332" s="21" t="s">
        <v>1006</v>
      </c>
      <c r="D1332" s="21" t="s">
        <v>1007</v>
      </c>
      <c r="E1332" s="22">
        <f>IF(D1332="?OLD","!!!","")</f>
        <v/>
      </c>
      <c r="F1332" s="23" t="str">
        <f>IF(OR(E1332="",E1332="!!!"),"",IF(NOT(ISNA(VLOOKUP(E1332,E$1:E1331,1,FALSE()))),"OLD",IF(AND(E1332&lt;&gt;"",E1332&lt;&gt;"!!!"),"NEW","")))</f>
        <v> </v>
      </c>
      <c r="G1332" s="24" t="str">
        <f>IF(OR(E1332="",E1332="!!!"),"",IF(OR(J1332=0,AND(J1332=1,K1332=1),AND(J1332=1,I1332="SBJ"),AND(J1332=1,I1332=0)),"?IN_FOCUS",IF(J1332&lt;=2,"?ACTIVATED",IF(J1332&lt;&gt;"","?FAMILIAR",IF(F1332="NEW",IF(ISNA(VLOOKUP(E1332,#REF!,1,FALSE())),"?TYPE_IDENTIFIABLE","?REFERENTIAL"),"_")))))</f>
        <v> </v>
      </c>
      <c r="H1332" s="25" t="str">
        <f>IF(J1332&lt;&gt;1,"",IF(I1332="SBJ","CB","?"))</f>
        <v> </v>
      </c>
      <c r="I1332" s="26" t="str">
        <f>IF(OR(E1332="",E1332="!!!",F1332="NEW"),"",INDEX(B1331:B$2,-1+SUMPRODUCT(MAX(ROW(E1331:E$2)*(E1332=E1331:E$2)))))</f>
        <v> </v>
      </c>
      <c r="J1332" s="26" t="str">
        <f>IF(OR(E1332="",E1332="!!!",F1332="NEW"),"",COUNTBLANK(OFFSET(A$1,,,SUMPRODUCT(MAX(ROW(E$2:E1332)*(E1332=E$2:E1332)))))-COUNTBLANK(OFFSET(A$1,,,SUMPRODUCT(MAX(ROW(E$1:E1331)*(E2=E$1:E1331))))))</f>
        <v> </v>
      </c>
      <c r="K1332" s="26" t="str">
        <f>IF(OR(E1332="",E1332="!!!",F1332="NEW"),"",INDEX(J$1:J1331,SUMPRODUCT(MAX(ROW(E$1:E1331)*(E1332=E$1:E1331)))))</f>
        <v> </v>
      </c>
      <c r="L1332" s="27"/>
    </row>
    <row r="1333" spans="1:12">
      <c r="A1333" s="20" t="s">
        <v>1023</v>
      </c>
      <c r="E1333" s="22">
        <f>IF(D1333="?OLD","!!!","")</f>
        <v/>
      </c>
      <c r="F1333" s="23" t="str">
        <f>IF(OR(E1333="",E1333="!!!"),"",IF(NOT(ISNA(VLOOKUP(E1333,E$1:E1332,1,FALSE()))),"OLD",IF(AND(E1333&lt;&gt;"",E1333&lt;&gt;"!!!"),"NEW","")))</f>
        <v> </v>
      </c>
      <c r="G1333" s="24" t="str">
        <f>IF(OR(E1333="",E1333="!!!"),"",IF(OR(J1333=0,AND(J1333=1,K1333=1),AND(J1333=1,I1333="SBJ"),AND(J1333=1,I1333=0)),"?IN_FOCUS",IF(J1333&lt;=2,"?ACTIVATED",IF(J1333&lt;&gt;"","?FAMILIAR",IF(F1333="NEW",IF(ISNA(VLOOKUP(E1333,#REF!,1,FALSE())),"?TYPE_IDENTIFIABLE","?REFERENTIAL"),"_")))))</f>
        <v> </v>
      </c>
      <c r="H1333" s="25" t="str">
        <f>IF(J1333&lt;&gt;1,"",IF(I1333="SBJ","CB","?"))</f>
        <v> </v>
      </c>
      <c r="I1333" s="26" t="str">
        <f>IF(OR(E1333="",E1333="!!!",F1333="NEW"),"",INDEX(B1332:B$2,-1+SUMPRODUCT(MAX(ROW(E1332:E$2)*(E1333=E1332:E$2)))))</f>
        <v> </v>
      </c>
      <c r="J1333" s="26" t="str">
        <f>IF(OR(E1333="",E1333="!!!",F1333="NEW"),"",COUNTBLANK(OFFSET(A$1,,,SUMPRODUCT(MAX(ROW(E$2:E1333)*(E1333=E$2:E1333)))))-COUNTBLANK(OFFSET(A$1,,,SUMPRODUCT(MAX(ROW(E$1:E1332)*(E2=E$1:E1332))))))</f>
        <v> </v>
      </c>
      <c r="K1333" s="26" t="str">
        <f>IF(OR(E1333="",E1333="!!!",F1333="NEW"),"",INDEX(J$1:J1332,SUMPRODUCT(MAX(ROW(E$1:E1332)*(E1333=E$1:E1332)))))</f>
        <v> </v>
      </c>
      <c r="L1333" s="27"/>
    </row>
    <row r="1334" spans="1:12">
      <c r="A1334" s="20"/>
    </row>
    <row r="1335" spans="1:12">
      <c r="A1335" s="20" t="s">
        <v>1523</v>
      </c>
    </row>
    <row r="1336" spans="1:12">
      <c r="A1336" s="20" t="s">
        <v>1524</v>
      </c>
      <c r="E1336" s="22">
        <f>IF(D1336="?OLD","!!!","")</f>
        <v/>
      </c>
      <c r="F1336" s="23" t="str">
        <f>IF(OR(E1336="",E1336="!!!"),"",IF(NOT(ISNA(VLOOKUP(E1336,E$1:E1335,1,FALSE()))),"OLD",IF(AND(E1336&lt;&gt;"",E1336&lt;&gt;"!!!"),"NEW","")))</f>
        <v> </v>
      </c>
      <c r="G1336" s="24" t="str">
        <f>IF(OR(E1336="",E1336="!!!"),"",IF(OR(J1336=0,AND(J1336=1,K1336=1),AND(J1336=1,I1336="SBJ"),AND(J1336=1,I1336=0)),"?IN_FOCUS",IF(J1336&lt;=2,"?ACTIVATED",IF(J1336&lt;&gt;"","?FAMILIAR",IF(F1336="NEW",IF(ISNA(VLOOKUP(E1336,#REF!,1,FALSE())),"?TYPE_IDENTIFIABLE","?REFERENTIAL"),"_")))))</f>
        <v> </v>
      </c>
      <c r="H1336" s="25" t="str">
        <f>IF(J1336&lt;&gt;1,"",IF(I1336="SBJ","CB","?"))</f>
        <v> </v>
      </c>
      <c r="I1336" s="26" t="str">
        <f>IF(OR(E1336="",E1336="!!!",F1336="NEW"),"",INDEX(B1335:B$2,-1+SUMPRODUCT(MAX(ROW(E1335:E$2)*(E1336=E1335:E$2)))))</f>
        <v> </v>
      </c>
      <c r="J1336" s="26" t="str">
        <f>IF(OR(E1336="",E1336="!!!",F1336="NEW"),"",COUNTBLANK(OFFSET(A$1,,,SUMPRODUCT(MAX(ROW(E$2:E1336)*(E1336=E$2:E1336)))))-COUNTBLANK(OFFSET(A$1,,,SUMPRODUCT(MAX(ROW(E$1:E1335)*(E2=E$1:E1335))))))</f>
        <v> </v>
      </c>
      <c r="K1336" s="26" t="str">
        <f>IF(OR(E1336="",E1336="!!!",F1336="NEW"),"",INDEX(J$1:J1335,SUMPRODUCT(MAX(ROW(E$1:E1335)*(E1336=E$1:E1335)))))</f>
        <v> </v>
      </c>
      <c r="L1336" s="27"/>
    </row>
    <row r="1337" spans="1:12">
      <c r="A1337" s="20" t="s">
        <v>1075</v>
      </c>
      <c r="E1337" s="22">
        <f>IF(D1337="?OLD","!!!","")</f>
        <v/>
      </c>
      <c r="F1337" s="23" t="str">
        <f>IF(OR(E1337="",E1337="!!!"),"",IF(NOT(ISNA(VLOOKUP(E1337,E$1:E1336,1,FALSE()))),"OLD",IF(AND(E1337&lt;&gt;"",E1337&lt;&gt;"!!!"),"NEW","")))</f>
        <v> </v>
      </c>
      <c r="G1337" s="24" t="str">
        <f>IF(OR(E1337="",E1337="!!!"),"",IF(OR(J1337=0,AND(J1337=1,K1337=1),AND(J1337=1,I1337="SBJ"),AND(J1337=1,I1337=0)),"?IN_FOCUS",IF(J1337&lt;=2,"?ACTIVATED",IF(J1337&lt;&gt;"","?FAMILIAR",IF(F1337="NEW",IF(ISNA(VLOOKUP(E1337,#REF!,1,FALSE())),"?TYPE_IDENTIFIABLE","?REFERENTIAL"),"_")))))</f>
        <v> </v>
      </c>
      <c r="H1337" s="25" t="str">
        <f>IF(J1337&lt;&gt;1,"",IF(I1337="SBJ","CB","?"))</f>
        <v> </v>
      </c>
      <c r="I1337" s="26" t="str">
        <f>IF(OR(E1337="",E1337="!!!",F1337="NEW"),"",INDEX(B1336:B$2,-1+SUMPRODUCT(MAX(ROW(E1336:E$2)*(E1337=E1336:E$2)))))</f>
        <v> </v>
      </c>
      <c r="J1337" s="26" t="str">
        <f>IF(OR(E1337="",E1337="!!!",F1337="NEW"),"",COUNTBLANK(OFFSET(A$1,,,SUMPRODUCT(MAX(ROW(E$2:E1337)*(E1337=E$2:E1337)))))-COUNTBLANK(OFFSET(A$1,,,SUMPRODUCT(MAX(ROW(E$1:E1336)*(E2=E$1:E1336))))))</f>
        <v> </v>
      </c>
      <c r="K1337" s="26" t="str">
        <f>IF(OR(E1337="",E1337="!!!",F1337="NEW"),"",INDEX(J$1:J1336,SUMPRODUCT(MAX(ROW(E$1:E1336)*(E1337=E$1:E1336)))))</f>
        <v> </v>
      </c>
      <c r="L1337" s="27"/>
    </row>
    <row r="1338" spans="1:12">
      <c r="A1338" s="20" t="s">
        <v>1065</v>
      </c>
      <c r="E1338" s="22">
        <f>IF(D1338="?OLD","!!!","")</f>
        <v/>
      </c>
      <c r="F1338" s="23" t="str">
        <f>IF(OR(E1338="",E1338="!!!"),"",IF(NOT(ISNA(VLOOKUP(E1338,E$1:E1337,1,FALSE()))),"OLD",IF(AND(E1338&lt;&gt;"",E1338&lt;&gt;"!!!"),"NEW","")))</f>
        <v> </v>
      </c>
      <c r="G1338" s="24" t="str">
        <f>IF(OR(E1338="",E1338="!!!"),"",IF(OR(J1338=0,AND(J1338=1,K1338=1),AND(J1338=1,I1338="SBJ"),AND(J1338=1,I1338=0)),"?IN_FOCUS",IF(J1338&lt;=2,"?ACTIVATED",IF(J1338&lt;&gt;"","?FAMILIAR",IF(F1338="NEW",IF(ISNA(VLOOKUP(E1338,#REF!,1,FALSE())),"?TYPE_IDENTIFIABLE","?REFERENTIAL"),"_")))))</f>
        <v> </v>
      </c>
      <c r="H1338" s="25" t="str">
        <f>IF(J1338&lt;&gt;1,"",IF(I1338="SBJ","CB","?"))</f>
        <v> </v>
      </c>
      <c r="I1338" s="26" t="str">
        <f>IF(OR(E1338="",E1338="!!!",F1338="NEW"),"",INDEX(B1337:B$2,-1+SUMPRODUCT(MAX(ROW(E1337:E$2)*(E1338=E1337:E$2)))))</f>
        <v> </v>
      </c>
      <c r="J1338" s="26" t="str">
        <f>IF(OR(E1338="",E1338="!!!",F1338="NEW"),"",COUNTBLANK(OFFSET(A$1,,,SUMPRODUCT(MAX(ROW(E$2:E1338)*(E1338=E$2:E1338)))))-COUNTBLANK(OFFSET(A$1,,,SUMPRODUCT(MAX(ROW(E$1:E1337)*(E2=E$1:E1337))))))</f>
        <v> </v>
      </c>
      <c r="K1338" s="26" t="str">
        <f>IF(OR(E1338="",E1338="!!!",F1338="NEW"),"",INDEX(J$1:J1337,SUMPRODUCT(MAX(ROW(E$1:E1337)*(E1338=E$1:E1337)))))</f>
        <v> </v>
      </c>
      <c r="L1338" s="27"/>
    </row>
    <row r="1339" spans="1:12">
      <c r="A1339" s="20" t="s">
        <v>1020</v>
      </c>
      <c r="E1339" s="22">
        <f>IF(D1339="?OLD","!!!","")</f>
        <v/>
      </c>
      <c r="F1339" s="23" t="str">
        <f>IF(OR(E1339="",E1339="!!!"),"",IF(NOT(ISNA(VLOOKUP(E1339,E$1:E1338,1,FALSE()))),"OLD",IF(AND(E1339&lt;&gt;"",E1339&lt;&gt;"!!!"),"NEW","")))</f>
        <v> </v>
      </c>
      <c r="G1339" s="24" t="str">
        <f>IF(OR(E1339="",E1339="!!!"),"",IF(OR(J1339=0,AND(J1339=1,K1339=1),AND(J1339=1,I1339="SBJ"),AND(J1339=1,I1339=0)),"?IN_FOCUS",IF(J1339&lt;=2,"?ACTIVATED",IF(J1339&lt;&gt;"","?FAMILIAR",IF(F1339="NEW",IF(ISNA(VLOOKUP(E1339,#REF!,1,FALSE())),"?TYPE_IDENTIFIABLE","?REFERENTIAL"),"_")))))</f>
        <v> </v>
      </c>
      <c r="H1339" s="25" t="str">
        <f>IF(J1339&lt;&gt;1,"",IF(I1339="SBJ","CB","?"))</f>
        <v> </v>
      </c>
      <c r="I1339" s="26" t="str">
        <f>IF(OR(E1339="",E1339="!!!",F1339="NEW"),"",INDEX(B1338:B$2,-1+SUMPRODUCT(MAX(ROW(E1338:E$2)*(E1339=E1338:E$2)))))</f>
        <v> </v>
      </c>
      <c r="J1339" s="26" t="str">
        <f>IF(OR(E1339="",E1339="!!!",F1339="NEW"),"",COUNTBLANK(OFFSET(A$1,,,SUMPRODUCT(MAX(ROW(E$2:E1339)*(E1339=E$2:E1339)))))-COUNTBLANK(OFFSET(A$1,,,SUMPRODUCT(MAX(ROW(E$1:E1338)*(E2=E$1:E1338))))))</f>
        <v> </v>
      </c>
      <c r="K1339" s="26" t="str">
        <f>IF(OR(E1339="",E1339="!!!",F1339="NEW"),"",INDEX(J$1:J1338,SUMPRODUCT(MAX(ROW(E$1:E1338)*(E1339=E$1:E1338)))))</f>
        <v> </v>
      </c>
      <c r="L1339" s="27"/>
    </row>
    <row r="1340" spans="1:12">
      <c r="A1340" s="20" t="s">
        <v>1211</v>
      </c>
      <c r="B1340" s="21" t="s">
        <v>1050</v>
      </c>
      <c r="C1340" s="21" t="s">
        <v>1006</v>
      </c>
      <c r="D1340" s="21" t="s">
        <v>1007</v>
      </c>
      <c r="E1340" s="22">
        <f>IF(D1340="?OLD","!!!","")</f>
        <v/>
      </c>
      <c r="F1340" s="23" t="str">
        <f>IF(OR(E1340="",E1340="!!!"),"",IF(NOT(ISNA(VLOOKUP(E1340,E$1:E1339,1,FALSE()))),"OLD",IF(AND(E1340&lt;&gt;"",E1340&lt;&gt;"!!!"),"NEW","")))</f>
        <v> </v>
      </c>
      <c r="G1340" s="24" t="str">
        <f>IF(OR(E1340="",E1340="!!!"),"",IF(OR(J1340=0,AND(J1340=1,K1340=1),AND(J1340=1,I1340="SBJ"),AND(J1340=1,I1340=0)),"?IN_FOCUS",IF(J1340&lt;=2,"?ACTIVATED",IF(J1340&lt;&gt;"","?FAMILIAR",IF(F1340="NEW",IF(ISNA(VLOOKUP(E1340,#REF!,1,FALSE())),"?TYPE_IDENTIFIABLE","?REFERENTIAL"),"_")))))</f>
        <v> </v>
      </c>
      <c r="H1340" s="25" t="str">
        <f>IF(J1340&lt;&gt;1,"",IF(I1340="SBJ","CB","?"))</f>
        <v> </v>
      </c>
      <c r="I1340" s="26" t="str">
        <f>IF(OR(E1340="",E1340="!!!",F1340="NEW"),"",INDEX(B1339:B$2,-1+SUMPRODUCT(MAX(ROW(E1339:E$2)*(E1340=E1339:E$2)))))</f>
        <v> </v>
      </c>
      <c r="J1340" s="26" t="str">
        <f>IF(OR(E1340="",E1340="!!!",F1340="NEW"),"",COUNTBLANK(OFFSET(A$1,,,SUMPRODUCT(MAX(ROW(E$2:E1340)*(E1340=E$2:E1340)))))-COUNTBLANK(OFFSET(A$1,,,SUMPRODUCT(MAX(ROW(E$1:E1339)*(E2=E$1:E1339))))))</f>
        <v> </v>
      </c>
      <c r="K1340" s="26" t="str">
        <f>IF(OR(E1340="",E1340="!!!",F1340="NEW"),"",INDEX(J$1:J1339,SUMPRODUCT(MAX(ROW(E$1:E1339)*(E1340=E$1:E1339)))))</f>
        <v> </v>
      </c>
      <c r="L1340" s="27"/>
    </row>
    <row r="1341" spans="1:12">
      <c r="A1341" s="20" t="s">
        <v>1525</v>
      </c>
      <c r="E1341" s="22">
        <f>IF(D1341="?OLD","!!!","")</f>
        <v/>
      </c>
      <c r="F1341" s="23" t="str">
        <f>IF(OR(E1341="",E1341="!!!"),"",IF(NOT(ISNA(VLOOKUP(E1341,E$1:E1340,1,FALSE()))),"OLD",IF(AND(E1341&lt;&gt;"",E1341&lt;&gt;"!!!"),"NEW","")))</f>
        <v> </v>
      </c>
      <c r="G1341" s="24" t="str">
        <f>IF(OR(E1341="",E1341="!!!"),"",IF(OR(J1341=0,AND(J1341=1,K1341=1),AND(J1341=1,I1341="SBJ"),AND(J1341=1,I1341=0)),"?IN_FOCUS",IF(J1341&lt;=2,"?ACTIVATED",IF(J1341&lt;&gt;"","?FAMILIAR",IF(F1341="NEW",IF(ISNA(VLOOKUP(E1341,#REF!,1,FALSE())),"?TYPE_IDENTIFIABLE","?REFERENTIAL"),"_")))))</f>
        <v> </v>
      </c>
      <c r="H1341" s="25" t="str">
        <f>IF(J1341&lt;&gt;1,"",IF(I1341="SBJ","CB","?"))</f>
        <v> </v>
      </c>
      <c r="I1341" s="26" t="str">
        <f>IF(OR(E1341="",E1341="!!!",F1341="NEW"),"",INDEX(B1340:B$2,-1+SUMPRODUCT(MAX(ROW(E1340:E$2)*(E1341=E1340:E$2)))))</f>
        <v> </v>
      </c>
      <c r="J1341" s="26" t="str">
        <f>IF(OR(E1341="",E1341="!!!",F1341="NEW"),"",COUNTBLANK(OFFSET(A$1,,,SUMPRODUCT(MAX(ROW(E$2:E1341)*(E1341=E$2:E1341)))))-COUNTBLANK(OFFSET(A$1,,,SUMPRODUCT(MAX(ROW(E$1:E1340)*(E2=E$1:E1340))))))</f>
        <v> </v>
      </c>
      <c r="K1341" s="26" t="str">
        <f>IF(OR(E1341="",E1341="!!!",F1341="NEW"),"",INDEX(J$1:J1340,SUMPRODUCT(MAX(ROW(E$1:E1340)*(E1341=E$1:E1340)))))</f>
        <v> </v>
      </c>
      <c r="L1341" s="27"/>
    </row>
    <row r="1342" spans="1:12">
      <c r="A1342" s="20" t="s">
        <v>1485</v>
      </c>
      <c r="E1342" s="22">
        <f>IF(D1342="?OLD","!!!","")</f>
        <v/>
      </c>
      <c r="F1342" s="23" t="str">
        <f>IF(OR(E1342="",E1342="!!!"),"",IF(NOT(ISNA(VLOOKUP(E1342,E$1:E1341,1,FALSE()))),"OLD",IF(AND(E1342&lt;&gt;"",E1342&lt;&gt;"!!!"),"NEW","")))</f>
        <v> </v>
      </c>
      <c r="G1342" s="24" t="str">
        <f>IF(OR(E1342="",E1342="!!!"),"",IF(OR(J1342=0,AND(J1342=1,K1342=1),AND(J1342=1,I1342="SBJ"),AND(J1342=1,I1342=0)),"?IN_FOCUS",IF(J1342&lt;=2,"?ACTIVATED",IF(J1342&lt;&gt;"","?FAMILIAR",IF(F1342="NEW",IF(ISNA(VLOOKUP(E1342,#REF!,1,FALSE())),"?TYPE_IDENTIFIABLE","?REFERENTIAL"),"_")))))</f>
        <v> </v>
      </c>
      <c r="H1342" s="25" t="str">
        <f>IF(J1342&lt;&gt;1,"",IF(I1342="SBJ","CB","?"))</f>
        <v> </v>
      </c>
      <c r="I1342" s="26" t="str">
        <f>IF(OR(E1342="",E1342="!!!",F1342="NEW"),"",INDEX(B1341:B$2,-1+SUMPRODUCT(MAX(ROW(E1341:E$2)*(E1342=E1341:E$2)))))</f>
        <v> </v>
      </c>
      <c r="J1342" s="26" t="str">
        <f>IF(OR(E1342="",E1342="!!!",F1342="NEW"),"",COUNTBLANK(OFFSET(A$1,,,SUMPRODUCT(MAX(ROW(E$2:E1342)*(E1342=E$2:E1342)))))-COUNTBLANK(OFFSET(A$1,,,SUMPRODUCT(MAX(ROW(E$1:E1341)*(E2=E$1:E1341))))))</f>
        <v> </v>
      </c>
      <c r="K1342" s="26" t="str">
        <f>IF(OR(E1342="",E1342="!!!",F1342="NEW"),"",INDEX(J$1:J1341,SUMPRODUCT(MAX(ROW(E$1:E1341)*(E1342=E$1:E1341)))))</f>
        <v> </v>
      </c>
      <c r="L1342" s="27"/>
    </row>
    <row r="1343" spans="1:12">
      <c r="A1343" s="20" t="s">
        <v>1518</v>
      </c>
      <c r="B1343" s="21" t="s">
        <v>1085</v>
      </c>
      <c r="C1343" s="21" t="s">
        <v>1041</v>
      </c>
      <c r="D1343" s="21" t="s">
        <v>1007</v>
      </c>
      <c r="E1343" s="22">
        <f>IF(D1343="?OLD","!!!","")</f>
        <v/>
      </c>
      <c r="F1343" s="23" t="str">
        <f>IF(OR(E1343="",E1343="!!!"),"",IF(NOT(ISNA(VLOOKUP(E1343,E$1:E1342,1,FALSE()))),"OLD",IF(AND(E1343&lt;&gt;"",E1343&lt;&gt;"!!!"),"NEW","")))</f>
        <v> </v>
      </c>
      <c r="G1343" s="24" t="str">
        <f>IF(OR(E1343="",E1343="!!!"),"",IF(OR(J1343=0,AND(J1343=1,K1343=1),AND(J1343=1,I1343="SBJ"),AND(J1343=1,I1343=0)),"?IN_FOCUS",IF(J1343&lt;=2,"?ACTIVATED",IF(J1343&lt;&gt;"","?FAMILIAR",IF(F1343="NEW",IF(ISNA(VLOOKUP(E1343,#REF!,1,FALSE())),"?TYPE_IDENTIFIABLE","?REFERENTIAL"),"_")))))</f>
        <v> </v>
      </c>
      <c r="H1343" s="25" t="str">
        <f>IF(J1343&lt;&gt;1,"",IF(I1343="SBJ","CB","?"))</f>
        <v> </v>
      </c>
      <c r="I1343" s="26" t="str">
        <f>IF(OR(E1343="",E1343="!!!",F1343="NEW"),"",INDEX(B1342:B$2,-1+SUMPRODUCT(MAX(ROW(E1342:E$2)*(E1343=E1342:E$2)))))</f>
        <v> </v>
      </c>
      <c r="J1343" s="26" t="str">
        <f>IF(OR(E1343="",E1343="!!!",F1343="NEW"),"",COUNTBLANK(OFFSET(A$1,,,SUMPRODUCT(MAX(ROW(E$2:E1343)*(E1343=E$2:E1343)))))-COUNTBLANK(OFFSET(A$1,,,SUMPRODUCT(MAX(ROW(E$1:E1342)*(E2=E$1:E1342))))))</f>
        <v> </v>
      </c>
      <c r="K1343" s="26" t="str">
        <f>IF(OR(E1343="",E1343="!!!",F1343="NEW"),"",INDEX(J$1:J1342,SUMPRODUCT(MAX(ROW(E$1:E1342)*(E1343=E$1:E1342)))))</f>
        <v> </v>
      </c>
      <c r="L1343" s="27"/>
    </row>
    <row r="1344" spans="1:12">
      <c r="A1344" s="20" t="s">
        <v>1077</v>
      </c>
      <c r="E1344" s="22">
        <f>IF(D1344="?OLD","!!!","")</f>
        <v/>
      </c>
      <c r="F1344" s="23" t="str">
        <f>IF(OR(E1344="",E1344="!!!"),"",IF(NOT(ISNA(VLOOKUP(E1344,E$1:E1343,1,FALSE()))),"OLD",IF(AND(E1344&lt;&gt;"",E1344&lt;&gt;"!!!"),"NEW","")))</f>
        <v> </v>
      </c>
      <c r="G1344" s="24" t="str">
        <f>IF(OR(E1344="",E1344="!!!"),"",IF(OR(J1344=0,AND(J1344=1,K1344=1),AND(J1344=1,I1344="SBJ"),AND(J1344=1,I1344=0)),"?IN_FOCUS",IF(J1344&lt;=2,"?ACTIVATED",IF(J1344&lt;&gt;"","?FAMILIAR",IF(F1344="NEW",IF(ISNA(VLOOKUP(E1344,#REF!,1,FALSE())),"?TYPE_IDENTIFIABLE","?REFERENTIAL"),"_")))))</f>
        <v> </v>
      </c>
      <c r="H1344" s="25" t="str">
        <f>IF(J1344&lt;&gt;1,"",IF(I1344="SBJ","CB","?"))</f>
        <v> </v>
      </c>
      <c r="I1344" s="26" t="str">
        <f>IF(OR(E1344="",E1344="!!!",F1344="NEW"),"",INDEX(B1343:B$2,-1+SUMPRODUCT(MAX(ROW(E1343:E$2)*(E1344=E1343:E$2)))))</f>
        <v> </v>
      </c>
      <c r="J1344" s="26" t="str">
        <f>IF(OR(E1344="",E1344="!!!",F1344="NEW"),"",COUNTBLANK(OFFSET(A$1,,,SUMPRODUCT(MAX(ROW(E$2:E1344)*(E1344=E$2:E1344)))))-COUNTBLANK(OFFSET(A$1,,,SUMPRODUCT(MAX(ROW(E$1:E1343)*(E2=E$1:E1343))))))</f>
        <v> </v>
      </c>
      <c r="K1344" s="26" t="str">
        <f>IF(OR(E1344="",E1344="!!!",F1344="NEW"),"",INDEX(J$1:J1343,SUMPRODUCT(MAX(ROW(E$1:E1343)*(E1344=E$1:E1343)))))</f>
        <v> </v>
      </c>
      <c r="L1344" s="27"/>
    </row>
    <row r="1345" spans="1:12">
      <c r="A1345" s="20"/>
    </row>
    <row r="1346" spans="1:12">
      <c r="A1346" s="20" t="s">
        <v>1526</v>
      </c>
    </row>
    <row r="1347" spans="1:12">
      <c r="A1347" s="20" t="s">
        <v>1118</v>
      </c>
      <c r="B1347" s="21" t="s">
        <v>1005</v>
      </c>
      <c r="C1347" s="21" t="s">
        <v>1048</v>
      </c>
      <c r="E1347" s="22">
        <f>IF(D1347="?OLD","!!!","")</f>
        <v/>
      </c>
      <c r="F1347" s="23" t="str">
        <f>IF(OR(E1347="",E1347="!!!"),"",IF(NOT(ISNA(VLOOKUP(E1347,E$1:E1346,1,FALSE()))),"OLD",IF(AND(E1347&lt;&gt;"",E1347&lt;&gt;"!!!"),"NEW","")))</f>
        <v> </v>
      </c>
      <c r="G1347" s="24" t="str">
        <f>IF(OR(E1347="",E1347="!!!"),"",IF(OR(J1347=0,AND(J1347=1,K1347=1),AND(J1347=1,I1347="SBJ"),AND(J1347=1,I1347=0)),"?IN_FOCUS",IF(J1347&lt;=2,"?ACTIVATED",IF(J1347&lt;&gt;"","?FAMILIAR",IF(F1347="NEW",IF(ISNA(VLOOKUP(E1347,#REF!,1,FALSE())),"?TYPE_IDENTIFIABLE","?REFERENTIAL"),"_")))))</f>
        <v> </v>
      </c>
      <c r="H1347" s="25" t="str">
        <f>IF(J1347&lt;&gt;1,"",IF(I1347="SBJ","CB","?"))</f>
        <v> </v>
      </c>
      <c r="I1347" s="26" t="str">
        <f>IF(OR(E1347="",E1347="!!!",F1347="NEW"),"",INDEX(B1346:B$2,-1+SUMPRODUCT(MAX(ROW(E1346:E$2)*(E1347=E1346:E$2)))))</f>
        <v> </v>
      </c>
      <c r="J1347" s="26" t="str">
        <f>IF(OR(E1347="",E1347="!!!",F1347="NEW"),"",COUNTBLANK(OFFSET(A$1,,,SUMPRODUCT(MAX(ROW(E$2:E1347)*(E1347=E$2:E1347)))))-COUNTBLANK(OFFSET(A$1,,,SUMPRODUCT(MAX(ROW(E$1:E1346)*(E2=E$1:E1346))))))</f>
        <v> </v>
      </c>
      <c r="K1347" s="26" t="str">
        <f>IF(OR(E1347="",E1347="!!!",F1347="NEW"),"",INDEX(J$1:J1346,SUMPRODUCT(MAX(ROW(E$1:E1346)*(E1347=E$1:E1346)))))</f>
        <v> </v>
      </c>
      <c r="L1347" s="27"/>
    </row>
    <row r="1348" spans="1:12">
      <c r="A1348" s="20" t="s">
        <v>1009</v>
      </c>
      <c r="E1348" s="22">
        <f>IF(D1348="?OLD","!!!","")</f>
        <v/>
      </c>
      <c r="F1348" s="23" t="str">
        <f>IF(OR(E1348="",E1348="!!!"),"",IF(NOT(ISNA(VLOOKUP(E1348,E$1:E1347,1,FALSE()))),"OLD",IF(AND(E1348&lt;&gt;"",E1348&lt;&gt;"!!!"),"NEW","")))</f>
        <v> </v>
      </c>
      <c r="G1348" s="24" t="str">
        <f>IF(OR(E1348="",E1348="!!!"),"",IF(OR(J1348=0,AND(J1348=1,K1348=1),AND(J1348=1,I1348="SBJ"),AND(J1348=1,I1348=0)),"?IN_FOCUS",IF(J1348&lt;=2,"?ACTIVATED",IF(J1348&lt;&gt;"","?FAMILIAR",IF(F1348="NEW",IF(ISNA(VLOOKUP(E1348,#REF!,1,FALSE())),"?TYPE_IDENTIFIABLE","?REFERENTIAL"),"_")))))</f>
        <v> </v>
      </c>
      <c r="H1348" s="25" t="str">
        <f>IF(J1348&lt;&gt;1,"",IF(I1348="SBJ","CB","?"))</f>
        <v> </v>
      </c>
      <c r="I1348" s="26" t="str">
        <f>IF(OR(E1348="",E1348="!!!",F1348="NEW"),"",INDEX(B1347:B$2,-1+SUMPRODUCT(MAX(ROW(E1347:E$2)*(E1348=E1347:E$2)))))</f>
        <v> </v>
      </c>
      <c r="J1348" s="26" t="str">
        <f>IF(OR(E1348="",E1348="!!!",F1348="NEW"),"",COUNTBLANK(OFFSET(A$1,,,SUMPRODUCT(MAX(ROW(E$2:E1348)*(E1348=E$2:E1348)))))-COUNTBLANK(OFFSET(A$1,,,SUMPRODUCT(MAX(ROW(E$1:E1347)*(E2=E$1:E1347))))))</f>
        <v> </v>
      </c>
      <c r="K1348" s="26" t="str">
        <f>IF(OR(E1348="",E1348="!!!",F1348="NEW"),"",INDEX(J$1:J1347,SUMPRODUCT(MAX(ROW(E$1:E1347)*(E1348=E$1:E1347)))))</f>
        <v> </v>
      </c>
      <c r="L1348" s="27"/>
    </row>
    <row r="1349" spans="1:12">
      <c r="A1349" s="20" t="s">
        <v>1527</v>
      </c>
      <c r="E1349" s="22">
        <f>IF(D1349="?OLD","!!!","")</f>
        <v/>
      </c>
      <c r="F1349" s="23" t="str">
        <f>IF(OR(E1349="",E1349="!!!"),"",IF(NOT(ISNA(VLOOKUP(E1349,E$1:E1348,1,FALSE()))),"OLD",IF(AND(E1349&lt;&gt;"",E1349&lt;&gt;"!!!"),"NEW","")))</f>
        <v> </v>
      </c>
      <c r="G1349" s="24" t="str">
        <f>IF(OR(E1349="",E1349="!!!"),"",IF(OR(J1349=0,AND(J1349=1,K1349=1),AND(J1349=1,I1349="SBJ"),AND(J1349=1,I1349=0)),"?IN_FOCUS",IF(J1349&lt;=2,"?ACTIVATED",IF(J1349&lt;&gt;"","?FAMILIAR",IF(F1349="NEW",IF(ISNA(VLOOKUP(E1349,#REF!,1,FALSE())),"?TYPE_IDENTIFIABLE","?REFERENTIAL"),"_")))))</f>
        <v> </v>
      </c>
      <c r="H1349" s="25" t="str">
        <f>IF(J1349&lt;&gt;1,"",IF(I1349="SBJ","CB","?"))</f>
        <v> </v>
      </c>
      <c r="I1349" s="26" t="str">
        <f>IF(OR(E1349="",E1349="!!!",F1349="NEW"),"",INDEX(B1348:B$2,-1+SUMPRODUCT(MAX(ROW(E1348:E$2)*(E1349=E1348:E$2)))))</f>
        <v> </v>
      </c>
      <c r="J1349" s="26" t="str">
        <f>IF(OR(E1349="",E1349="!!!",F1349="NEW"),"",COUNTBLANK(OFFSET(A$1,,,SUMPRODUCT(MAX(ROW(E$2:E1349)*(E1349=E$2:E1349)))))-COUNTBLANK(OFFSET(A$1,,,SUMPRODUCT(MAX(ROW(E$1:E1348)*(E2=E$1:E1348))))))</f>
        <v> </v>
      </c>
      <c r="K1349" s="26" t="str">
        <f>IF(OR(E1349="",E1349="!!!",F1349="NEW"),"",INDEX(J$1:J1348,SUMPRODUCT(MAX(ROW(E$1:E1348)*(E1349=E$1:E1348)))))</f>
        <v> </v>
      </c>
      <c r="L1349" s="27"/>
    </row>
    <row r="1350" spans="1:12">
      <c r="A1350" s="20" t="s">
        <v>1023</v>
      </c>
      <c r="E1350" s="22">
        <f>IF(D1350="?OLD","!!!","")</f>
        <v/>
      </c>
      <c r="F1350" s="23" t="str">
        <f>IF(OR(E1350="",E1350="!!!"),"",IF(NOT(ISNA(VLOOKUP(E1350,E$1:E1349,1,FALSE()))),"OLD",IF(AND(E1350&lt;&gt;"",E1350&lt;&gt;"!!!"),"NEW","")))</f>
        <v> </v>
      </c>
      <c r="G1350" s="24" t="str">
        <f>IF(OR(E1350="",E1350="!!!"),"",IF(OR(J1350=0,AND(J1350=1,K1350=1),AND(J1350=1,I1350="SBJ"),AND(J1350=1,I1350=0)),"?IN_FOCUS",IF(J1350&lt;=2,"?ACTIVATED",IF(J1350&lt;&gt;"","?FAMILIAR",IF(F1350="NEW",IF(ISNA(VLOOKUP(E1350,#REF!,1,FALSE())),"?TYPE_IDENTIFIABLE","?REFERENTIAL"),"_")))))</f>
        <v> </v>
      </c>
      <c r="H1350" s="25" t="str">
        <f>IF(J1350&lt;&gt;1,"",IF(I1350="SBJ","CB","?"))</f>
        <v> </v>
      </c>
      <c r="I1350" s="26" t="str">
        <f>IF(OR(E1350="",E1350="!!!",F1350="NEW"),"",INDEX(B1349:B$2,-1+SUMPRODUCT(MAX(ROW(E1349:E$2)*(E1350=E1349:E$2)))))</f>
        <v> </v>
      </c>
      <c r="J1350" s="26" t="str">
        <f>IF(OR(E1350="",E1350="!!!",F1350="NEW"),"",COUNTBLANK(OFFSET(A$1,,,SUMPRODUCT(MAX(ROW(E$2:E1350)*(E1350=E$2:E1350)))))-COUNTBLANK(OFFSET(A$1,,,SUMPRODUCT(MAX(ROW(E$1:E1349)*(E2=E$1:E1349))))))</f>
        <v> </v>
      </c>
      <c r="K1350" s="26" t="str">
        <f>IF(OR(E1350="",E1350="!!!",F1350="NEW"),"",INDEX(J$1:J1349,SUMPRODUCT(MAX(ROW(E$1:E1349)*(E1350=E$1:E1349)))))</f>
        <v> </v>
      </c>
      <c r="L1350" s="27"/>
    </row>
    <row r="1351" spans="1:12">
      <c r="A1351" s="20"/>
    </row>
    <row r="1352" spans="1:12">
      <c r="A1352" s="20" t="s">
        <v>1528</v>
      </c>
    </row>
    <row r="1353" spans="1:12">
      <c r="A1353" s="20" t="s">
        <v>1011</v>
      </c>
      <c r="E1353" s="22">
        <f>IF(D1353="?OLD","!!!","")</f>
        <v/>
      </c>
      <c r="F1353" s="23" t="str">
        <f>IF(OR(E1353="",E1353="!!!"),"",IF(NOT(ISNA(VLOOKUP(E1353,E$1:E1352,1,FALSE()))),"OLD",IF(AND(E1353&lt;&gt;"",E1353&lt;&gt;"!!!"),"NEW","")))</f>
        <v> </v>
      </c>
      <c r="G1353" s="24" t="str">
        <f>IF(OR(E1353="",E1353="!!!"),"",IF(OR(J1353=0,AND(J1353=1,K1353=1),AND(J1353=1,I1353="SBJ"),AND(J1353=1,I1353=0)),"?IN_FOCUS",IF(J1353&lt;=2,"?ACTIVATED",IF(J1353&lt;&gt;"","?FAMILIAR",IF(F1353="NEW",IF(ISNA(VLOOKUP(E1353,#REF!,1,FALSE())),"?TYPE_IDENTIFIABLE","?REFERENTIAL"),"_")))))</f>
        <v> </v>
      </c>
      <c r="H1353" s="25" t="str">
        <f>IF(J1353&lt;&gt;1,"",IF(I1353="SBJ","CB","?"))</f>
        <v> </v>
      </c>
      <c r="I1353" s="26" t="str">
        <f>IF(OR(E1353="",E1353="!!!",F1353="NEW"),"",INDEX(B1352:B$2,-1+SUMPRODUCT(MAX(ROW(E1352:E$2)*(E1353=E1352:E$2)))))</f>
        <v> </v>
      </c>
      <c r="J1353" s="26" t="str">
        <f>IF(OR(E1353="",E1353="!!!",F1353="NEW"),"",COUNTBLANK(OFFSET(A$1,,,SUMPRODUCT(MAX(ROW(E$2:E1353)*(E1353=E$2:E1353)))))-COUNTBLANK(OFFSET(A$1,,,SUMPRODUCT(MAX(ROW(E$1:E1352)*(E2=E$1:E1352))))))</f>
        <v> </v>
      </c>
      <c r="K1353" s="26" t="str">
        <f>IF(OR(E1353="",E1353="!!!",F1353="NEW"),"",INDEX(J$1:J1352,SUMPRODUCT(MAX(ROW(E$1:E1352)*(E1353=E$1:E1352)))))</f>
        <v> </v>
      </c>
      <c r="L1353" s="27"/>
    </row>
    <row r="1354" spans="1:12">
      <c r="A1354" s="20" t="s">
        <v>1529</v>
      </c>
      <c r="E1354" s="22">
        <f>IF(D1354="?OLD","!!!","")</f>
        <v/>
      </c>
      <c r="F1354" s="23" t="str">
        <f>IF(OR(E1354="",E1354="!!!"),"",IF(NOT(ISNA(VLOOKUP(E1354,E$1:E1353,1,FALSE()))),"OLD",IF(AND(E1354&lt;&gt;"",E1354&lt;&gt;"!!!"),"NEW","")))</f>
        <v> </v>
      </c>
      <c r="G1354" s="24" t="str">
        <f>IF(OR(E1354="",E1354="!!!"),"",IF(OR(J1354=0,AND(J1354=1,K1354=1),AND(J1354=1,I1354="SBJ"),AND(J1354=1,I1354=0)),"?IN_FOCUS",IF(J1354&lt;=2,"?ACTIVATED",IF(J1354&lt;&gt;"","?FAMILIAR",IF(F1354="NEW",IF(ISNA(VLOOKUP(E1354,#REF!,1,FALSE())),"?TYPE_IDENTIFIABLE","?REFERENTIAL"),"_")))))</f>
        <v> </v>
      </c>
      <c r="H1354" s="25" t="str">
        <f>IF(J1354&lt;&gt;1,"",IF(I1354="SBJ","CB","?"))</f>
        <v> </v>
      </c>
      <c r="I1354" s="26" t="str">
        <f>IF(OR(E1354="",E1354="!!!",F1354="NEW"),"",INDEX(B1353:B$2,-1+SUMPRODUCT(MAX(ROW(E1353:E$2)*(E1354=E1353:E$2)))))</f>
        <v> </v>
      </c>
      <c r="J1354" s="26" t="str">
        <f>IF(OR(E1354="",E1354="!!!",F1354="NEW"),"",COUNTBLANK(OFFSET(A$1,,,SUMPRODUCT(MAX(ROW(E$2:E1354)*(E1354=E$2:E1354)))))-COUNTBLANK(OFFSET(A$1,,,SUMPRODUCT(MAX(ROW(E$1:E1353)*(E2=E$1:E1353))))))</f>
        <v> </v>
      </c>
      <c r="K1354" s="26" t="str">
        <f>IF(OR(E1354="",E1354="!!!",F1354="NEW"),"",INDEX(J$1:J1353,SUMPRODUCT(MAX(ROW(E$1:E1353)*(E1354=E$1:E1353)))))</f>
        <v> </v>
      </c>
      <c r="L1354" s="27"/>
    </row>
    <row r="1355" spans="1:12">
      <c r="A1355" s="20" t="s">
        <v>1384</v>
      </c>
      <c r="B1355" s="21" t="s">
        <v>1050</v>
      </c>
      <c r="C1355" s="21" t="s">
        <v>1013</v>
      </c>
      <c r="D1355" s="21" t="s">
        <v>1007</v>
      </c>
      <c r="E1355" s="22">
        <f>IF(D1355="?OLD","!!!","")</f>
        <v/>
      </c>
      <c r="F1355" s="23" t="str">
        <f>IF(OR(E1355="",E1355="!!!"),"",IF(NOT(ISNA(VLOOKUP(E1355,E$1:E1354,1,FALSE()))),"OLD",IF(AND(E1355&lt;&gt;"",E1355&lt;&gt;"!!!"),"NEW","")))</f>
        <v> </v>
      </c>
      <c r="G1355" s="24" t="str">
        <f>IF(OR(E1355="",E1355="!!!"),"",IF(OR(J1355=0,AND(J1355=1,K1355=1),AND(J1355=1,I1355="SBJ"),AND(J1355=1,I1355=0)),"?IN_FOCUS",IF(J1355&lt;=2,"?ACTIVATED",IF(J1355&lt;&gt;"","?FAMILIAR",IF(F1355="NEW",IF(ISNA(VLOOKUP(E1355,#REF!,1,FALSE())),"?TYPE_IDENTIFIABLE","?REFERENTIAL"),"_")))))</f>
        <v> </v>
      </c>
      <c r="H1355" s="25" t="str">
        <f>IF(J1355&lt;&gt;1,"",IF(I1355="SBJ","CB","?"))</f>
        <v> </v>
      </c>
      <c r="I1355" s="26" t="str">
        <f>IF(OR(E1355="",E1355="!!!",F1355="NEW"),"",INDEX(B1354:B$2,-1+SUMPRODUCT(MAX(ROW(E1354:E$2)*(E1355=E1354:E$2)))))</f>
        <v> </v>
      </c>
      <c r="J1355" s="26" t="str">
        <f>IF(OR(E1355="",E1355="!!!",F1355="NEW"),"",COUNTBLANK(OFFSET(A$1,,,SUMPRODUCT(MAX(ROW(E$2:E1355)*(E1355=E$2:E1355)))))-COUNTBLANK(OFFSET(A$1,,,SUMPRODUCT(MAX(ROW(E$1:E1354)*(E2=E$1:E1354))))))</f>
        <v> </v>
      </c>
      <c r="K1355" s="26" t="str">
        <f>IF(OR(E1355="",E1355="!!!",F1355="NEW"),"",INDEX(J$1:J1354,SUMPRODUCT(MAX(ROW(E$1:E1354)*(E1355=E$1:E1354)))))</f>
        <v> </v>
      </c>
      <c r="L1355" s="27"/>
    </row>
    <row r="1356" spans="1:12">
      <c r="A1356" s="20" t="s">
        <v>1014</v>
      </c>
      <c r="E1356" s="22">
        <f>IF(D1356="?OLD","!!!","")</f>
        <v/>
      </c>
      <c r="F1356" s="23" t="str">
        <f>IF(OR(E1356="",E1356="!!!"),"",IF(NOT(ISNA(VLOOKUP(E1356,E$1:E1355,1,FALSE()))),"OLD",IF(AND(E1356&lt;&gt;"",E1356&lt;&gt;"!!!"),"NEW","")))</f>
        <v> </v>
      </c>
      <c r="G1356" s="24" t="str">
        <f>IF(OR(E1356="",E1356="!!!"),"",IF(OR(J1356=0,AND(J1356=1,K1356=1),AND(J1356=1,I1356="SBJ"),AND(J1356=1,I1356=0)),"?IN_FOCUS",IF(J1356&lt;=2,"?ACTIVATED",IF(J1356&lt;&gt;"","?FAMILIAR",IF(F1356="NEW",IF(ISNA(VLOOKUP(E1356,#REF!,1,FALSE())),"?TYPE_IDENTIFIABLE","?REFERENTIAL"),"_")))))</f>
        <v> </v>
      </c>
      <c r="H1356" s="25" t="str">
        <f>IF(J1356&lt;&gt;1,"",IF(I1356="SBJ","CB","?"))</f>
        <v> </v>
      </c>
      <c r="I1356" s="26" t="str">
        <f>IF(OR(E1356="",E1356="!!!",F1356="NEW"),"",INDEX(B1355:B$2,-1+SUMPRODUCT(MAX(ROW(E1355:E$2)*(E1356=E1355:E$2)))))</f>
        <v> </v>
      </c>
      <c r="J1356" s="26" t="str">
        <f>IF(OR(E1356="",E1356="!!!",F1356="NEW"),"",COUNTBLANK(OFFSET(A$1,,,SUMPRODUCT(MAX(ROW(E$2:E1356)*(E1356=E$2:E1356)))))-COUNTBLANK(OFFSET(A$1,,,SUMPRODUCT(MAX(ROW(E$1:E1355)*(E2=E$1:E1355))))))</f>
        <v> </v>
      </c>
      <c r="K1356" s="26" t="str">
        <f>IF(OR(E1356="",E1356="!!!",F1356="NEW"),"",INDEX(J$1:J1355,SUMPRODUCT(MAX(ROW(E$1:E1355)*(E1356=E$1:E1355)))))</f>
        <v> </v>
      </c>
      <c r="L1356" s="27"/>
    </row>
    <row r="1357" spans="1:12">
      <c r="A1357" s="20" t="s">
        <v>1020</v>
      </c>
      <c r="E1357" s="22">
        <f>IF(D1357="?OLD","!!!","")</f>
        <v/>
      </c>
      <c r="F1357" s="23" t="str">
        <f>IF(OR(E1357="",E1357="!!!"),"",IF(NOT(ISNA(VLOOKUP(E1357,E$1:E1356,1,FALSE()))),"OLD",IF(AND(E1357&lt;&gt;"",E1357&lt;&gt;"!!!"),"NEW","")))</f>
        <v> </v>
      </c>
      <c r="G1357" s="24" t="str">
        <f>IF(OR(E1357="",E1357="!!!"),"",IF(OR(J1357=0,AND(J1357=1,K1357=1),AND(J1357=1,I1357="SBJ"),AND(J1357=1,I1357=0)),"?IN_FOCUS",IF(J1357&lt;=2,"?ACTIVATED",IF(J1357&lt;&gt;"","?FAMILIAR",IF(F1357="NEW",IF(ISNA(VLOOKUP(E1357,#REF!,1,FALSE())),"?TYPE_IDENTIFIABLE","?REFERENTIAL"),"_")))))</f>
        <v> </v>
      </c>
      <c r="H1357" s="25" t="str">
        <f>IF(J1357&lt;&gt;1,"",IF(I1357="SBJ","CB","?"))</f>
        <v> </v>
      </c>
      <c r="I1357" s="26" t="str">
        <f>IF(OR(E1357="",E1357="!!!",F1357="NEW"),"",INDEX(B1356:B$2,-1+SUMPRODUCT(MAX(ROW(E1356:E$2)*(E1357=E1356:E$2)))))</f>
        <v> </v>
      </c>
      <c r="J1357" s="26" t="str">
        <f>IF(OR(E1357="",E1357="!!!",F1357="NEW"),"",COUNTBLANK(OFFSET(A$1,,,SUMPRODUCT(MAX(ROW(E$2:E1357)*(E1357=E$2:E1357)))))-COUNTBLANK(OFFSET(A$1,,,SUMPRODUCT(MAX(ROW(E$1:E1356)*(E2=E$1:E1356))))))</f>
        <v> </v>
      </c>
      <c r="K1357" s="26" t="str">
        <f>IF(OR(E1357="",E1357="!!!",F1357="NEW"),"",INDEX(J$1:J1356,SUMPRODUCT(MAX(ROW(E$1:E1356)*(E1357=E$1:E1356)))))</f>
        <v> </v>
      </c>
      <c r="L1357" s="27"/>
    </row>
    <row r="1358" spans="1:12">
      <c r="A1358" s="20" t="s">
        <v>1211</v>
      </c>
      <c r="B1358" s="21" t="s">
        <v>1022</v>
      </c>
      <c r="C1358" s="21" t="s">
        <v>1006</v>
      </c>
      <c r="D1358" s="21" t="s">
        <v>1007</v>
      </c>
      <c r="E1358" s="22">
        <f>IF(D1358="?OLD","!!!","")</f>
        <v/>
      </c>
      <c r="F1358" s="23" t="str">
        <f>IF(OR(E1358="",E1358="!!!"),"",IF(NOT(ISNA(VLOOKUP(E1358,E$1:E1357,1,FALSE()))),"OLD",IF(AND(E1358&lt;&gt;"",E1358&lt;&gt;"!!!"),"NEW","")))</f>
        <v> </v>
      </c>
      <c r="G1358" s="24" t="str">
        <f>IF(OR(E1358="",E1358="!!!"),"",IF(OR(J1358=0,AND(J1358=1,K1358=1),AND(J1358=1,I1358="SBJ"),AND(J1358=1,I1358=0)),"?IN_FOCUS",IF(J1358&lt;=2,"?ACTIVATED",IF(J1358&lt;&gt;"","?FAMILIAR",IF(F1358="NEW",IF(ISNA(VLOOKUP(E1358,#REF!,1,FALSE())),"?TYPE_IDENTIFIABLE","?REFERENTIAL"),"_")))))</f>
        <v> </v>
      </c>
      <c r="H1358" s="25" t="str">
        <f>IF(J1358&lt;&gt;1,"",IF(I1358="SBJ","CB","?"))</f>
        <v> </v>
      </c>
      <c r="I1358" s="26" t="str">
        <f>IF(OR(E1358="",E1358="!!!",F1358="NEW"),"",INDEX(B1357:B$2,-1+SUMPRODUCT(MAX(ROW(E1357:E$2)*(E1358=E1357:E$2)))))</f>
        <v> </v>
      </c>
      <c r="J1358" s="26" t="str">
        <f>IF(OR(E1358="",E1358="!!!",F1358="NEW"),"",COUNTBLANK(OFFSET(A$1,,,SUMPRODUCT(MAX(ROW(E$2:E1358)*(E1358=E$2:E1358)))))-COUNTBLANK(OFFSET(A$1,,,SUMPRODUCT(MAX(ROW(E$1:E1357)*(E2=E$1:E1357))))))</f>
        <v> </v>
      </c>
      <c r="K1358" s="26" t="str">
        <f>IF(OR(E1358="",E1358="!!!",F1358="NEW"),"",INDEX(J$1:J1357,SUMPRODUCT(MAX(ROW(E$1:E1357)*(E1358=E$1:E1357)))))</f>
        <v> </v>
      </c>
      <c r="L1358" s="27"/>
    </row>
    <row r="1359" spans="1:12">
      <c r="A1359" s="20" t="s">
        <v>1530</v>
      </c>
      <c r="E1359" s="22">
        <f>IF(D1359="?OLD","!!!","")</f>
        <v/>
      </c>
      <c r="F1359" s="23" t="str">
        <f>IF(OR(E1359="",E1359="!!!"),"",IF(NOT(ISNA(VLOOKUP(E1359,E$1:E1358,1,FALSE()))),"OLD",IF(AND(E1359&lt;&gt;"",E1359&lt;&gt;"!!!"),"NEW","")))</f>
        <v> </v>
      </c>
      <c r="G1359" s="24" t="str">
        <f>IF(OR(E1359="",E1359="!!!"),"",IF(OR(J1359=0,AND(J1359=1,K1359=1),AND(J1359=1,I1359="SBJ"),AND(J1359=1,I1359=0)),"?IN_FOCUS",IF(J1359&lt;=2,"?ACTIVATED",IF(J1359&lt;&gt;"","?FAMILIAR",IF(F1359="NEW",IF(ISNA(VLOOKUP(E1359,#REF!,1,FALSE())),"?TYPE_IDENTIFIABLE","?REFERENTIAL"),"_")))))</f>
        <v> </v>
      </c>
      <c r="H1359" s="25" t="str">
        <f>IF(J1359&lt;&gt;1,"",IF(I1359="SBJ","CB","?"))</f>
        <v> </v>
      </c>
      <c r="I1359" s="26" t="str">
        <f>IF(OR(E1359="",E1359="!!!",F1359="NEW"),"",INDEX(B1358:B$2,-1+SUMPRODUCT(MAX(ROW(E1358:E$2)*(E1359=E1358:E$2)))))</f>
        <v> </v>
      </c>
      <c r="J1359" s="26" t="str">
        <f>IF(OR(E1359="",E1359="!!!",F1359="NEW"),"",COUNTBLANK(OFFSET(A$1,,,SUMPRODUCT(MAX(ROW(E$2:E1359)*(E1359=E$2:E1359)))))-COUNTBLANK(OFFSET(A$1,,,SUMPRODUCT(MAX(ROW(E$1:E1358)*(E2=E$1:E1358))))))</f>
        <v> </v>
      </c>
      <c r="K1359" s="26" t="str">
        <f>IF(OR(E1359="",E1359="!!!",F1359="NEW"),"",INDEX(J$1:J1358,SUMPRODUCT(MAX(ROW(E$1:E1358)*(E1359=E$1:E1358)))))</f>
        <v> </v>
      </c>
      <c r="L1359" s="27"/>
    </row>
    <row r="1360" spans="1:12">
      <c r="A1360" s="20" t="s">
        <v>1114</v>
      </c>
      <c r="E1360" s="22">
        <f>IF(D1360="?OLD","!!!","")</f>
        <v/>
      </c>
      <c r="F1360" s="23" t="str">
        <f>IF(OR(E1360="",E1360="!!!"),"",IF(NOT(ISNA(VLOOKUP(E1360,E$1:E1359,1,FALSE()))),"OLD",IF(AND(E1360&lt;&gt;"",E1360&lt;&gt;"!!!"),"NEW","")))</f>
        <v> </v>
      </c>
      <c r="G1360" s="24" t="str">
        <f>IF(OR(E1360="",E1360="!!!"),"",IF(OR(J1360=0,AND(J1360=1,K1360=1),AND(J1360=1,I1360="SBJ"),AND(J1360=1,I1360=0)),"?IN_FOCUS",IF(J1360&lt;=2,"?ACTIVATED",IF(J1360&lt;&gt;"","?FAMILIAR",IF(F1360="NEW",IF(ISNA(VLOOKUP(E1360,#REF!,1,FALSE())),"?TYPE_IDENTIFIABLE","?REFERENTIAL"),"_")))))</f>
        <v> </v>
      </c>
      <c r="H1360" s="25" t="str">
        <f>IF(J1360&lt;&gt;1,"",IF(I1360="SBJ","CB","?"))</f>
        <v> </v>
      </c>
      <c r="I1360" s="26" t="str">
        <f>IF(OR(E1360="",E1360="!!!",F1360="NEW"),"",INDEX(B1359:B$2,-1+SUMPRODUCT(MAX(ROW(E1359:E$2)*(E1360=E1359:E$2)))))</f>
        <v> </v>
      </c>
      <c r="J1360" s="26" t="str">
        <f>IF(OR(E1360="",E1360="!!!",F1360="NEW"),"",COUNTBLANK(OFFSET(A$1,,,SUMPRODUCT(MAX(ROW(E$2:E1360)*(E1360=E$2:E1360)))))-COUNTBLANK(OFFSET(A$1,,,SUMPRODUCT(MAX(ROW(E$1:E1359)*(E2=E$1:E1359))))))</f>
        <v> </v>
      </c>
      <c r="K1360" s="26" t="str">
        <f>IF(OR(E1360="",E1360="!!!",F1360="NEW"),"",INDEX(J$1:J1359,SUMPRODUCT(MAX(ROW(E$1:E1359)*(E1360=E$1:E1359)))))</f>
        <v> </v>
      </c>
      <c r="L1360" s="27"/>
    </row>
    <row r="1361" spans="1:12">
      <c r="A1361" s="20" t="s">
        <v>1020</v>
      </c>
      <c r="E1361" s="22">
        <f>IF(D1361="?OLD","!!!","")</f>
        <v/>
      </c>
      <c r="F1361" s="23" t="str">
        <f>IF(OR(E1361="",E1361="!!!"),"",IF(NOT(ISNA(VLOOKUP(E1361,E$1:E1360,1,FALSE()))),"OLD",IF(AND(E1361&lt;&gt;"",E1361&lt;&gt;"!!!"),"NEW","")))</f>
        <v> </v>
      </c>
      <c r="G1361" s="24" t="str">
        <f>IF(OR(E1361="",E1361="!!!"),"",IF(OR(J1361=0,AND(J1361=1,K1361=1),AND(J1361=1,I1361="SBJ"),AND(J1361=1,I1361=0)),"?IN_FOCUS",IF(J1361&lt;=2,"?ACTIVATED",IF(J1361&lt;&gt;"","?FAMILIAR",IF(F1361="NEW",IF(ISNA(VLOOKUP(E1361,#REF!,1,FALSE())),"?TYPE_IDENTIFIABLE","?REFERENTIAL"),"_")))))</f>
        <v> </v>
      </c>
      <c r="H1361" s="25" t="str">
        <f>IF(J1361&lt;&gt;1,"",IF(I1361="SBJ","CB","?"))</f>
        <v> </v>
      </c>
      <c r="I1361" s="26" t="str">
        <f>IF(OR(E1361="",E1361="!!!",F1361="NEW"),"",INDEX(B1360:B$2,-1+SUMPRODUCT(MAX(ROW(E1360:E$2)*(E1361=E1360:E$2)))))</f>
        <v> </v>
      </c>
      <c r="J1361" s="26" t="str">
        <f>IF(OR(E1361="",E1361="!!!",F1361="NEW"),"",COUNTBLANK(OFFSET(A$1,,,SUMPRODUCT(MAX(ROW(E$2:E1361)*(E1361=E$2:E1361)))))-COUNTBLANK(OFFSET(A$1,,,SUMPRODUCT(MAX(ROW(E$1:E1360)*(E2=E$1:E1360))))))</f>
        <v> </v>
      </c>
      <c r="K1361" s="26" t="str">
        <f>IF(OR(E1361="",E1361="!!!",F1361="NEW"),"",INDEX(J$1:J1360,SUMPRODUCT(MAX(ROW(E$1:E1360)*(E1361=E$1:E1360)))))</f>
        <v> </v>
      </c>
      <c r="L1361" s="27"/>
    </row>
    <row r="1362" spans="1:12">
      <c r="A1362" s="20" t="s">
        <v>1463</v>
      </c>
      <c r="B1362" s="21" t="s">
        <v>1085</v>
      </c>
      <c r="C1362" s="21" t="s">
        <v>1082</v>
      </c>
      <c r="D1362" s="21" t="s">
        <v>1007</v>
      </c>
      <c r="E1362" s="22">
        <f>IF(D1362="?OLD","!!!","")</f>
        <v/>
      </c>
      <c r="F1362" s="23" t="str">
        <f>IF(OR(E1362="",E1362="!!!"),"",IF(NOT(ISNA(VLOOKUP(E1362,E$1:E1361,1,FALSE()))),"OLD",IF(AND(E1362&lt;&gt;"",E1362&lt;&gt;"!!!"),"NEW","")))</f>
        <v> </v>
      </c>
      <c r="G1362" s="24" t="str">
        <f>IF(OR(E1362="",E1362="!!!"),"",IF(OR(J1362=0,AND(J1362=1,K1362=1),AND(J1362=1,I1362="SBJ"),AND(J1362=1,I1362=0)),"?IN_FOCUS",IF(J1362&lt;=2,"?ACTIVATED",IF(J1362&lt;&gt;"","?FAMILIAR",IF(F1362="NEW",IF(ISNA(VLOOKUP(E1362,#REF!,1,FALSE())),"?TYPE_IDENTIFIABLE","?REFERENTIAL"),"_")))))</f>
        <v> </v>
      </c>
      <c r="H1362" s="25" t="str">
        <f>IF(J1362&lt;&gt;1,"",IF(I1362="SBJ","CB","?"))</f>
        <v> </v>
      </c>
      <c r="I1362" s="26" t="str">
        <f>IF(OR(E1362="",E1362="!!!",F1362="NEW"),"",INDEX(B1361:B$2,-1+SUMPRODUCT(MAX(ROW(E1361:E$2)*(E1362=E1361:E$2)))))</f>
        <v> </v>
      </c>
      <c r="J1362" s="26" t="str">
        <f>IF(OR(E1362="",E1362="!!!",F1362="NEW"),"",COUNTBLANK(OFFSET(A$1,,,SUMPRODUCT(MAX(ROW(E$2:E1362)*(E1362=E$2:E1362)))))-COUNTBLANK(OFFSET(A$1,,,SUMPRODUCT(MAX(ROW(E$1:E1361)*(E2=E$1:E1361))))))</f>
        <v> </v>
      </c>
      <c r="K1362" s="26" t="str">
        <f>IF(OR(E1362="",E1362="!!!",F1362="NEW"),"",INDEX(J$1:J1361,SUMPRODUCT(MAX(ROW(E$1:E1361)*(E1362=E$1:E1361)))))</f>
        <v> </v>
      </c>
      <c r="L1362" s="27"/>
    </row>
    <row r="1363" spans="1:12">
      <c r="A1363" s="20" t="s">
        <v>1132</v>
      </c>
      <c r="E1363" s="22">
        <f>IF(D1363="?OLD","!!!","")</f>
        <v/>
      </c>
      <c r="F1363" s="23" t="str">
        <f>IF(OR(E1363="",E1363="!!!"),"",IF(NOT(ISNA(VLOOKUP(E1363,E$1:E1362,1,FALSE()))),"OLD",IF(AND(E1363&lt;&gt;"",E1363&lt;&gt;"!!!"),"NEW","")))</f>
        <v> </v>
      </c>
      <c r="G1363" s="24" t="str">
        <f>IF(OR(E1363="",E1363="!!!"),"",IF(OR(J1363=0,AND(J1363=1,K1363=1),AND(J1363=1,I1363="SBJ"),AND(J1363=1,I1363=0)),"?IN_FOCUS",IF(J1363&lt;=2,"?ACTIVATED",IF(J1363&lt;&gt;"","?FAMILIAR",IF(F1363="NEW",IF(ISNA(VLOOKUP(E1363,#REF!,1,FALSE())),"?TYPE_IDENTIFIABLE","?REFERENTIAL"),"_")))))</f>
        <v> </v>
      </c>
      <c r="H1363" s="25" t="str">
        <f>IF(J1363&lt;&gt;1,"",IF(I1363="SBJ","CB","?"))</f>
        <v> </v>
      </c>
      <c r="I1363" s="26" t="str">
        <f>IF(OR(E1363="",E1363="!!!",F1363="NEW"),"",INDEX(B1362:B$2,-1+SUMPRODUCT(MAX(ROW(E1362:E$2)*(E1363=E1362:E$2)))))</f>
        <v> </v>
      </c>
      <c r="J1363" s="26" t="str">
        <f>IF(OR(E1363="",E1363="!!!",F1363="NEW"),"",COUNTBLANK(OFFSET(A$1,,,SUMPRODUCT(MAX(ROW(E$2:E1363)*(E1363=E$2:E1363)))))-COUNTBLANK(OFFSET(A$1,,,SUMPRODUCT(MAX(ROW(E$1:E1362)*(E2=E$1:E1362))))))</f>
        <v> </v>
      </c>
      <c r="K1363" s="26" t="str">
        <f>IF(OR(E1363="",E1363="!!!",F1363="NEW"),"",INDEX(J$1:J1362,SUMPRODUCT(MAX(ROW(E$1:E1362)*(E1363=E$1:E1362)))))</f>
        <v> </v>
      </c>
      <c r="L1363" s="27"/>
    </row>
    <row r="1364" spans="1:12">
      <c r="A1364" s="20" t="s">
        <v>1056</v>
      </c>
      <c r="E1364" s="22">
        <f>IF(D1364="?OLD","!!!","")</f>
        <v/>
      </c>
      <c r="F1364" s="23" t="str">
        <f>IF(OR(E1364="",E1364="!!!"),"",IF(NOT(ISNA(VLOOKUP(E1364,E$1:E1363,1,FALSE()))),"OLD",IF(AND(E1364&lt;&gt;"",E1364&lt;&gt;"!!!"),"NEW","")))</f>
        <v> </v>
      </c>
      <c r="G1364" s="24" t="str">
        <f>IF(OR(E1364="",E1364="!!!"),"",IF(OR(J1364=0,AND(J1364=1,K1364=1),AND(J1364=1,I1364="SBJ"),AND(J1364=1,I1364=0)),"?IN_FOCUS",IF(J1364&lt;=2,"?ACTIVATED",IF(J1364&lt;&gt;"","?FAMILIAR",IF(F1364="NEW",IF(ISNA(VLOOKUP(E1364,#REF!,1,FALSE())),"?TYPE_IDENTIFIABLE","?REFERENTIAL"),"_")))))</f>
        <v> </v>
      </c>
      <c r="H1364" s="25" t="str">
        <f>IF(J1364&lt;&gt;1,"",IF(I1364="SBJ","CB","?"))</f>
        <v> </v>
      </c>
      <c r="I1364" s="26" t="str">
        <f>IF(OR(E1364="",E1364="!!!",F1364="NEW"),"",INDEX(B1363:B$2,-1+SUMPRODUCT(MAX(ROW(E1363:E$2)*(E1364=E1363:E$2)))))</f>
        <v> </v>
      </c>
      <c r="J1364" s="26" t="str">
        <f>IF(OR(E1364="",E1364="!!!",F1364="NEW"),"",COUNTBLANK(OFFSET(A$1,,,SUMPRODUCT(MAX(ROW(E$2:E1364)*(E1364=E$2:E1364)))))-COUNTBLANK(OFFSET(A$1,,,SUMPRODUCT(MAX(ROW(E$1:E1363)*(E2=E$1:E1363))))))</f>
        <v> </v>
      </c>
      <c r="K1364" s="26" t="str">
        <f>IF(OR(E1364="",E1364="!!!",F1364="NEW"),"",INDEX(J$1:J1363,SUMPRODUCT(MAX(ROW(E$1:E1363)*(E1364=E$1:E1363)))))</f>
        <v> </v>
      </c>
      <c r="L1364" s="27"/>
    </row>
    <row r="1365" spans="1:12">
      <c r="A1365" s="20" t="s">
        <v>1223</v>
      </c>
      <c r="B1365" s="21" t="s">
        <v>1005</v>
      </c>
      <c r="C1365" s="21" t="s">
        <v>1111</v>
      </c>
      <c r="E1365" s="22">
        <f>IF(D1365="?OLD","!!!","")</f>
        <v/>
      </c>
      <c r="F1365" s="23" t="str">
        <f>IF(OR(E1365="",E1365="!!!"),"",IF(NOT(ISNA(VLOOKUP(E1365,E$1:E1364,1,FALSE()))),"OLD",IF(AND(E1365&lt;&gt;"",E1365&lt;&gt;"!!!"),"NEW","")))</f>
        <v> </v>
      </c>
      <c r="G1365" s="24" t="str">
        <f>IF(OR(E1365="",E1365="!!!"),"",IF(OR(J1365=0,AND(J1365=1,K1365=1),AND(J1365=1,I1365="SBJ"),AND(J1365=1,I1365=0)),"?IN_FOCUS",IF(J1365&lt;=2,"?ACTIVATED",IF(J1365&lt;&gt;"","?FAMILIAR",IF(F1365="NEW",IF(ISNA(VLOOKUP(E1365,#REF!,1,FALSE())),"?TYPE_IDENTIFIABLE","?REFERENTIAL"),"_")))))</f>
        <v> </v>
      </c>
      <c r="H1365" s="25" t="str">
        <f>IF(J1365&lt;&gt;1,"",IF(I1365="SBJ","CB","?"))</f>
        <v> </v>
      </c>
      <c r="I1365" s="26" t="str">
        <f>IF(OR(E1365="",E1365="!!!",F1365="NEW"),"",INDEX(B1364:B$2,-1+SUMPRODUCT(MAX(ROW(E1364:E$2)*(E1365=E1364:E$2)))))</f>
        <v> </v>
      </c>
      <c r="J1365" s="26" t="str">
        <f>IF(OR(E1365="",E1365="!!!",F1365="NEW"),"",COUNTBLANK(OFFSET(A$1,,,SUMPRODUCT(MAX(ROW(E$2:E1365)*(E1365=E$2:E1365)))))-COUNTBLANK(OFFSET(A$1,,,SUMPRODUCT(MAX(ROW(E$1:E1364)*(E2=E$1:E1364))))))</f>
        <v> </v>
      </c>
      <c r="K1365" s="26" t="str">
        <f>IF(OR(E1365="",E1365="!!!",F1365="NEW"),"",INDEX(J$1:J1364,SUMPRODUCT(MAX(ROW(E$1:E1364)*(E1365=E$1:E1364)))))</f>
        <v> </v>
      </c>
      <c r="L1365" s="27"/>
    </row>
    <row r="1366" spans="1:12">
      <c r="A1366" s="20" t="s">
        <v>1531</v>
      </c>
      <c r="E1366" s="22">
        <f>IF(D1366="?OLD","!!!","")</f>
        <v/>
      </c>
      <c r="F1366" s="23" t="str">
        <f>IF(OR(E1366="",E1366="!!!"),"",IF(NOT(ISNA(VLOOKUP(E1366,E$1:E1365,1,FALSE()))),"OLD",IF(AND(E1366&lt;&gt;"",E1366&lt;&gt;"!!!"),"NEW","")))</f>
        <v> </v>
      </c>
      <c r="G1366" s="24" t="str">
        <f>IF(OR(E1366="",E1366="!!!"),"",IF(OR(J1366=0,AND(J1366=1,K1366=1),AND(J1366=1,I1366="SBJ"),AND(J1366=1,I1366=0)),"?IN_FOCUS",IF(J1366&lt;=2,"?ACTIVATED",IF(J1366&lt;&gt;"","?FAMILIAR",IF(F1366="NEW",IF(ISNA(VLOOKUP(E1366,#REF!,1,FALSE())),"?TYPE_IDENTIFIABLE","?REFERENTIAL"),"_")))))</f>
        <v> </v>
      </c>
      <c r="H1366" s="25" t="str">
        <f>IF(J1366&lt;&gt;1,"",IF(I1366="SBJ","CB","?"))</f>
        <v> </v>
      </c>
      <c r="I1366" s="26" t="str">
        <f>IF(OR(E1366="",E1366="!!!",F1366="NEW"),"",INDEX(B1365:B$2,-1+SUMPRODUCT(MAX(ROW(E1365:E$2)*(E1366=E1365:E$2)))))</f>
        <v> </v>
      </c>
      <c r="J1366" s="26" t="str">
        <f>IF(OR(E1366="",E1366="!!!",F1366="NEW"),"",COUNTBLANK(OFFSET(A$1,,,SUMPRODUCT(MAX(ROW(E$2:E1366)*(E1366=E$2:E1366)))))-COUNTBLANK(OFFSET(A$1,,,SUMPRODUCT(MAX(ROW(E$1:E1365)*(E2=E$1:E1365))))))</f>
        <v> </v>
      </c>
      <c r="K1366" s="26" t="str">
        <f>IF(OR(E1366="",E1366="!!!",F1366="NEW"),"",INDEX(J$1:J1365,SUMPRODUCT(MAX(ROW(E$1:E1365)*(E1366=E$1:E1365)))))</f>
        <v> </v>
      </c>
      <c r="L1366" s="27"/>
    </row>
    <row r="1367" spans="1:12">
      <c r="A1367" s="20" t="s">
        <v>1023</v>
      </c>
      <c r="E1367" s="22">
        <f>IF(D1367="?OLD","!!!","")</f>
        <v/>
      </c>
      <c r="F1367" s="23" t="str">
        <f>IF(OR(E1367="",E1367="!!!"),"",IF(NOT(ISNA(VLOOKUP(E1367,E$1:E1366,1,FALSE()))),"OLD",IF(AND(E1367&lt;&gt;"",E1367&lt;&gt;"!!!"),"NEW","")))</f>
        <v> </v>
      </c>
      <c r="G1367" s="24" t="str">
        <f>IF(OR(E1367="",E1367="!!!"),"",IF(OR(J1367=0,AND(J1367=1,K1367=1),AND(J1367=1,I1367="SBJ"),AND(J1367=1,I1367=0)),"?IN_FOCUS",IF(J1367&lt;=2,"?ACTIVATED",IF(J1367&lt;&gt;"","?FAMILIAR",IF(F1367="NEW",IF(ISNA(VLOOKUP(E1367,#REF!,1,FALSE())),"?TYPE_IDENTIFIABLE","?REFERENTIAL"),"_")))))</f>
        <v> </v>
      </c>
      <c r="H1367" s="25" t="str">
        <f>IF(J1367&lt;&gt;1,"",IF(I1367="SBJ","CB","?"))</f>
        <v> </v>
      </c>
      <c r="I1367" s="26" t="str">
        <f>IF(OR(E1367="",E1367="!!!",F1367="NEW"),"",INDEX(B1366:B$2,-1+SUMPRODUCT(MAX(ROW(E1366:E$2)*(E1367=E1366:E$2)))))</f>
        <v> </v>
      </c>
      <c r="J1367" s="26" t="str">
        <f>IF(OR(E1367="",E1367="!!!",F1367="NEW"),"",COUNTBLANK(OFFSET(A$1,,,SUMPRODUCT(MAX(ROW(E$2:E1367)*(E1367=E$2:E1367)))))-COUNTBLANK(OFFSET(A$1,,,SUMPRODUCT(MAX(ROW(E$1:E1366)*(E2=E$1:E1366))))))</f>
        <v> </v>
      </c>
      <c r="K1367" s="26" t="str">
        <f>IF(OR(E1367="",E1367="!!!",F1367="NEW"),"",INDEX(J$1:J1366,SUMPRODUCT(MAX(ROW(E$1:E1366)*(E1367=E$1:E1366)))))</f>
        <v> </v>
      </c>
      <c r="L1367" s="27"/>
    </row>
    <row r="1368" spans="1:12">
      <c r="A1368" s="20"/>
    </row>
    <row r="1369" spans="1:12">
      <c r="A1369" s="20" t="s">
        <v>1532</v>
      </c>
    </row>
    <row r="1370" spans="1:12">
      <c r="A1370" s="20" t="s">
        <v>11</v>
      </c>
      <c r="B1370" s="21" t="s">
        <v>1005</v>
      </c>
      <c r="C1370" s="21" t="s">
        <v>1073</v>
      </c>
      <c r="D1370" s="21" t="s">
        <v>1007</v>
      </c>
      <c r="E1370" s="22">
        <f>IF(D1370="?OLD","!!!","")</f>
        <v/>
      </c>
      <c r="F1370" s="23" t="str">
        <f>IF(OR(E1370="",E1370="!!!"),"",IF(NOT(ISNA(VLOOKUP(E1370,E$1:E1369,1,FALSE()))),"OLD",IF(AND(E1370&lt;&gt;"",E1370&lt;&gt;"!!!"),"NEW","")))</f>
        <v> </v>
      </c>
      <c r="G1370" s="24" t="str">
        <f>IF(OR(E1370="",E1370="!!!"),"",IF(OR(J1370=0,AND(J1370=1,K1370=1),AND(J1370=1,I1370="SBJ"),AND(J1370=1,I1370=0)),"?IN_FOCUS",IF(J1370&lt;=2,"?ACTIVATED",IF(J1370&lt;&gt;"","?FAMILIAR",IF(F1370="NEW",IF(ISNA(VLOOKUP(E1370,#REF!,1,FALSE())),"?TYPE_IDENTIFIABLE","?REFERENTIAL"),"_")))))</f>
        <v> </v>
      </c>
      <c r="H1370" s="25" t="str">
        <f>IF(J1370&lt;&gt;1,"",IF(I1370="SBJ","CB","?"))</f>
        <v> </v>
      </c>
      <c r="I1370" s="26" t="str">
        <f>IF(OR(E1370="",E1370="!!!",F1370="NEW"),"",INDEX(B1369:B$2,-1+SUMPRODUCT(MAX(ROW(E1369:E$2)*(E1370=E1369:E$2)))))</f>
        <v> </v>
      </c>
      <c r="J1370" s="26" t="str">
        <f>IF(OR(E1370="",E1370="!!!",F1370="NEW"),"",COUNTBLANK(OFFSET(A$1,,,SUMPRODUCT(MAX(ROW(E$2:E1370)*(E1370=E$2:E1370)))))-COUNTBLANK(OFFSET(A$1,,,SUMPRODUCT(MAX(ROW(E$1:E1369)*(E2=E$1:E1369))))))</f>
        <v> </v>
      </c>
      <c r="K1370" s="26" t="str">
        <f>IF(OR(E1370="",E1370="!!!",F1370="NEW"),"",INDEX(J$1:J1369,SUMPRODUCT(MAX(ROW(E$1:E1369)*(E1370=E$1:E1369)))))</f>
        <v> </v>
      </c>
      <c r="L1370" s="27"/>
    </row>
    <row r="1371" spans="1:12">
      <c r="A1371" s="20" t="s">
        <v>1065</v>
      </c>
      <c r="B1371" s="21" t="s">
        <v>1029</v>
      </c>
      <c r="E1371" s="22">
        <f>IF(D1371="?OLD","!!!","")</f>
        <v/>
      </c>
      <c r="F1371" s="23" t="str">
        <f>IF(OR(E1371="",E1371="!!!"),"",IF(NOT(ISNA(VLOOKUP(E1371,E$1:E1370,1,FALSE()))),"OLD",IF(AND(E1371&lt;&gt;"",E1371&lt;&gt;"!!!"),"NEW","")))</f>
        <v> </v>
      </c>
      <c r="G1371" s="24" t="str">
        <f>IF(OR(E1371="",E1371="!!!"),"",IF(OR(J1371=0,AND(J1371=1,K1371=1),AND(J1371=1,I1371="SBJ"),AND(J1371=1,I1371=0)),"?IN_FOCUS",IF(J1371&lt;=2,"?ACTIVATED",IF(J1371&lt;&gt;"","?FAMILIAR",IF(F1371="NEW",IF(ISNA(VLOOKUP(E1371,#REF!,1,FALSE())),"?TYPE_IDENTIFIABLE","?REFERENTIAL"),"_")))))</f>
        <v> </v>
      </c>
      <c r="H1371" s="25" t="str">
        <f>IF(J1371&lt;&gt;1,"",IF(I1371="SBJ","CB","?"))</f>
        <v> </v>
      </c>
      <c r="I1371" s="26" t="str">
        <f>IF(OR(E1371="",E1371="!!!",F1371="NEW"),"",INDEX(B1370:B$2,-1+SUMPRODUCT(MAX(ROW(E1370:E$2)*(E1371=E1370:E$2)))))</f>
        <v> </v>
      </c>
      <c r="J1371" s="26" t="str">
        <f>IF(OR(E1371="",E1371="!!!",F1371="NEW"),"",COUNTBLANK(OFFSET(A$1,,,SUMPRODUCT(MAX(ROW(E$2:E1371)*(E1371=E$2:E1371)))))-COUNTBLANK(OFFSET(A$1,,,SUMPRODUCT(MAX(ROW(E$1:E1370)*(E2=E$1:E1370))))))</f>
        <v> </v>
      </c>
      <c r="K1371" s="26" t="str">
        <f>IF(OR(E1371="",E1371="!!!",F1371="NEW"),"",INDEX(J$1:J1370,SUMPRODUCT(MAX(ROW(E$1:E1370)*(E1371=E$1:E1370)))))</f>
        <v> </v>
      </c>
      <c r="L1371" s="27"/>
    </row>
    <row r="1372" spans="1:12">
      <c r="A1372" s="20" t="s">
        <v>1140</v>
      </c>
      <c r="B1372" s="21" t="s">
        <v>1119</v>
      </c>
      <c r="C1372" s="21" t="s">
        <v>1073</v>
      </c>
      <c r="D1372" s="21" t="s">
        <v>1007</v>
      </c>
      <c r="E1372" s="22">
        <f>IF(D1372="?OLD","!!!","")</f>
        <v/>
      </c>
      <c r="F1372" s="23" t="str">
        <f>IF(OR(E1372="",E1372="!!!"),"",IF(NOT(ISNA(VLOOKUP(E1372,E$1:E1371,1,FALSE()))),"OLD",IF(AND(E1372&lt;&gt;"",E1372&lt;&gt;"!!!"),"NEW","")))</f>
        <v> </v>
      </c>
      <c r="G1372" s="24" t="str">
        <f>IF(OR(E1372="",E1372="!!!"),"",IF(OR(J1372=0,AND(J1372=1,K1372=1),AND(J1372=1,I1372="SBJ"),AND(J1372=1,I1372=0)),"?IN_FOCUS",IF(J1372&lt;=2,"?ACTIVATED",IF(J1372&lt;&gt;"","?FAMILIAR",IF(F1372="NEW",IF(ISNA(VLOOKUP(E1372,#REF!,1,FALSE())),"?TYPE_IDENTIFIABLE","?REFERENTIAL"),"_")))))</f>
        <v> </v>
      </c>
      <c r="H1372" s="25" t="str">
        <f>IF(J1372&lt;&gt;1,"",IF(I1372="SBJ","CB","?"))</f>
        <v> </v>
      </c>
      <c r="I1372" s="26" t="str">
        <f>IF(OR(E1372="",E1372="!!!",F1372="NEW"),"",INDEX(B1371:B$2,-1+SUMPRODUCT(MAX(ROW(E1371:E$2)*(E1372=E1371:E$2)))))</f>
        <v> </v>
      </c>
      <c r="J1372" s="26" t="str">
        <f>IF(OR(E1372="",E1372="!!!",F1372="NEW"),"",COUNTBLANK(OFFSET(A$1,,,SUMPRODUCT(MAX(ROW(E$2:E1372)*(E1372=E$2:E1372)))))-COUNTBLANK(OFFSET(A$1,,,SUMPRODUCT(MAX(ROW(E$1:E1371)*(E2=E$1:E1371))))))</f>
        <v> </v>
      </c>
      <c r="K1372" s="26" t="str">
        <f>IF(OR(E1372="",E1372="!!!",F1372="NEW"),"",INDEX(J$1:J1371,SUMPRODUCT(MAX(ROW(E$1:E1371)*(E1372=E$1:E1371)))))</f>
        <v> </v>
      </c>
      <c r="L1372" s="27"/>
    </row>
    <row r="1373" spans="1:12">
      <c r="A1373" s="20" t="s">
        <v>1533</v>
      </c>
      <c r="E1373" s="22">
        <f>IF(D1373="?OLD","!!!","")</f>
        <v/>
      </c>
      <c r="F1373" s="23" t="str">
        <f>IF(OR(E1373="",E1373="!!!"),"",IF(NOT(ISNA(VLOOKUP(E1373,E$1:E1372,1,FALSE()))),"OLD",IF(AND(E1373&lt;&gt;"",E1373&lt;&gt;"!!!"),"NEW","")))</f>
        <v> </v>
      </c>
      <c r="G1373" s="24" t="str">
        <f>IF(OR(E1373="",E1373="!!!"),"",IF(OR(J1373=0,AND(J1373=1,K1373=1),AND(J1373=1,I1373="SBJ"),AND(J1373=1,I1373=0)),"?IN_FOCUS",IF(J1373&lt;=2,"?ACTIVATED",IF(J1373&lt;&gt;"","?FAMILIAR",IF(F1373="NEW",IF(ISNA(VLOOKUP(E1373,#REF!,1,FALSE())),"?TYPE_IDENTIFIABLE","?REFERENTIAL"),"_")))))</f>
        <v> </v>
      </c>
      <c r="H1373" s="25" t="str">
        <f>IF(J1373&lt;&gt;1,"",IF(I1373="SBJ","CB","?"))</f>
        <v> </v>
      </c>
      <c r="I1373" s="26" t="str">
        <f>IF(OR(E1373="",E1373="!!!",F1373="NEW"),"",INDEX(B1372:B$2,-1+SUMPRODUCT(MAX(ROW(E1372:E$2)*(E1373=E1372:E$2)))))</f>
        <v> </v>
      </c>
      <c r="J1373" s="26" t="str">
        <f>IF(OR(E1373="",E1373="!!!",F1373="NEW"),"",COUNTBLANK(OFFSET(A$1,,,SUMPRODUCT(MAX(ROW(E$2:E1373)*(E1373=E$2:E1373)))))-COUNTBLANK(OFFSET(A$1,,,SUMPRODUCT(MAX(ROW(E$1:E1372)*(E2=E$1:E1372))))))</f>
        <v> </v>
      </c>
      <c r="K1373" s="26" t="str">
        <f>IF(OR(E1373="",E1373="!!!",F1373="NEW"),"",INDEX(J$1:J1372,SUMPRODUCT(MAX(ROW(E$1:E1372)*(E1373=E$1:E1372)))))</f>
        <v> </v>
      </c>
      <c r="L1373" s="27"/>
    </row>
    <row r="1374" spans="1:12">
      <c r="A1374" s="20" t="s">
        <v>1097</v>
      </c>
      <c r="E1374" s="22">
        <f>IF(D1374="?OLD","!!!","")</f>
        <v/>
      </c>
      <c r="F1374" s="23" t="str">
        <f>IF(OR(E1374="",E1374="!!!"),"",IF(NOT(ISNA(VLOOKUP(E1374,E$1:E1373,1,FALSE()))),"OLD",IF(AND(E1374&lt;&gt;"",E1374&lt;&gt;"!!!"),"NEW","")))</f>
        <v> </v>
      </c>
      <c r="G1374" s="24" t="str">
        <f>IF(OR(E1374="",E1374="!!!"),"",IF(OR(J1374=0,AND(J1374=1,K1374=1),AND(J1374=1,I1374="SBJ"),AND(J1374=1,I1374=0)),"?IN_FOCUS",IF(J1374&lt;=2,"?ACTIVATED",IF(J1374&lt;&gt;"","?FAMILIAR",IF(F1374="NEW",IF(ISNA(VLOOKUP(E1374,#REF!,1,FALSE())),"?TYPE_IDENTIFIABLE","?REFERENTIAL"),"_")))))</f>
        <v> </v>
      </c>
      <c r="H1374" s="25" t="str">
        <f>IF(J1374&lt;&gt;1,"",IF(I1374="SBJ","CB","?"))</f>
        <v> </v>
      </c>
      <c r="I1374" s="26" t="str">
        <f>IF(OR(E1374="",E1374="!!!",F1374="NEW"),"",INDEX(B1373:B$2,-1+SUMPRODUCT(MAX(ROW(E1373:E$2)*(E1374=E1373:E$2)))))</f>
        <v> </v>
      </c>
      <c r="J1374" s="26" t="str">
        <f>IF(OR(E1374="",E1374="!!!",F1374="NEW"),"",COUNTBLANK(OFFSET(A$1,,,SUMPRODUCT(MAX(ROW(E$2:E1374)*(E1374=E$2:E1374)))))-COUNTBLANK(OFFSET(A$1,,,SUMPRODUCT(MAX(ROW(E$1:E1373)*(E2=E$1:E1373))))))</f>
        <v> </v>
      </c>
      <c r="K1374" s="26" t="str">
        <f>IF(OR(E1374="",E1374="!!!",F1374="NEW"),"",INDEX(J$1:J1373,SUMPRODUCT(MAX(ROW(E$1:E1373)*(E1374=E$1:E1373)))))</f>
        <v> </v>
      </c>
      <c r="L1374" s="27"/>
    </row>
    <row r="1375" spans="1:12">
      <c r="A1375" s="20" t="s">
        <v>1056</v>
      </c>
      <c r="E1375" s="22">
        <f>IF(D1375="?OLD","!!!","")</f>
        <v/>
      </c>
      <c r="F1375" s="23" t="str">
        <f>IF(OR(E1375="",E1375="!!!"),"",IF(NOT(ISNA(VLOOKUP(E1375,E$1:E1374,1,FALSE()))),"OLD",IF(AND(E1375&lt;&gt;"",E1375&lt;&gt;"!!!"),"NEW","")))</f>
        <v> </v>
      </c>
      <c r="G1375" s="24" t="str">
        <f>IF(OR(E1375="",E1375="!!!"),"",IF(OR(J1375=0,AND(J1375=1,K1375=1),AND(J1375=1,I1375="SBJ"),AND(J1375=1,I1375=0)),"?IN_FOCUS",IF(J1375&lt;=2,"?ACTIVATED",IF(J1375&lt;&gt;"","?FAMILIAR",IF(F1375="NEW",IF(ISNA(VLOOKUP(E1375,#REF!,1,FALSE())),"?TYPE_IDENTIFIABLE","?REFERENTIAL"),"_")))))</f>
        <v> </v>
      </c>
      <c r="H1375" s="25" t="str">
        <f>IF(J1375&lt;&gt;1,"",IF(I1375="SBJ","CB","?"))</f>
        <v> </v>
      </c>
      <c r="I1375" s="26" t="str">
        <f>IF(OR(E1375="",E1375="!!!",F1375="NEW"),"",INDEX(B1374:B$2,-1+SUMPRODUCT(MAX(ROW(E1374:E$2)*(E1375=E1374:E$2)))))</f>
        <v> </v>
      </c>
      <c r="J1375" s="26" t="str">
        <f>IF(OR(E1375="",E1375="!!!",F1375="NEW"),"",COUNTBLANK(OFFSET(A$1,,,SUMPRODUCT(MAX(ROW(E$2:E1375)*(E1375=E$2:E1375)))))-COUNTBLANK(OFFSET(A$1,,,SUMPRODUCT(MAX(ROW(E$1:E1374)*(E2=E$1:E1374))))))</f>
        <v> </v>
      </c>
      <c r="K1375" s="26" t="str">
        <f>IF(OR(E1375="",E1375="!!!",F1375="NEW"),"",INDEX(J$1:J1374,SUMPRODUCT(MAX(ROW(E$1:E1374)*(E1375=E$1:E1374)))))</f>
        <v> </v>
      </c>
      <c r="L1375" s="27"/>
    </row>
    <row r="1376" spans="1:12">
      <c r="A1376" s="20" t="s">
        <v>1534</v>
      </c>
      <c r="B1376" s="21" t="s">
        <v>1033</v>
      </c>
      <c r="C1376" s="21" t="s">
        <v>1013</v>
      </c>
      <c r="D1376" s="21" t="s">
        <v>1007</v>
      </c>
      <c r="E1376" s="22">
        <f>IF(D1376="?OLD","!!!","")</f>
        <v/>
      </c>
      <c r="F1376" s="23" t="str">
        <f>IF(OR(E1376="",E1376="!!!"),"",IF(NOT(ISNA(VLOOKUP(E1376,E$1:E1375,1,FALSE()))),"OLD",IF(AND(E1376&lt;&gt;"",E1376&lt;&gt;"!!!"),"NEW","")))</f>
        <v> </v>
      </c>
      <c r="G1376" s="24" t="str">
        <f>IF(OR(E1376="",E1376="!!!"),"",IF(OR(J1376=0,AND(J1376=1,K1376=1),AND(J1376=1,I1376="SBJ"),AND(J1376=1,I1376=0)),"?IN_FOCUS",IF(J1376&lt;=2,"?ACTIVATED",IF(J1376&lt;&gt;"","?FAMILIAR",IF(F1376="NEW",IF(ISNA(VLOOKUP(E1376,#REF!,1,FALSE())),"?TYPE_IDENTIFIABLE","?REFERENTIAL"),"_")))))</f>
        <v> </v>
      </c>
      <c r="H1376" s="25" t="str">
        <f>IF(J1376&lt;&gt;1,"",IF(I1376="SBJ","CB","?"))</f>
        <v> </v>
      </c>
      <c r="I1376" s="26" t="str">
        <f>IF(OR(E1376="",E1376="!!!",F1376="NEW"),"",INDEX(B1375:B$2,-1+SUMPRODUCT(MAX(ROW(E1375:E$2)*(E1376=E1375:E$2)))))</f>
        <v> </v>
      </c>
      <c r="J1376" s="26" t="str">
        <f>IF(OR(E1376="",E1376="!!!",F1376="NEW"),"",COUNTBLANK(OFFSET(A$1,,,SUMPRODUCT(MAX(ROW(E$2:E1376)*(E1376=E$2:E1376)))))-COUNTBLANK(OFFSET(A$1,,,SUMPRODUCT(MAX(ROW(E$1:E1375)*(E2=E$1:E1375))))))</f>
        <v> </v>
      </c>
      <c r="K1376" s="26" t="str">
        <f>IF(OR(E1376="",E1376="!!!",F1376="NEW"),"",INDEX(J$1:J1375,SUMPRODUCT(MAX(ROW(E$1:E1375)*(E1376=E$1:E1375)))))</f>
        <v> </v>
      </c>
      <c r="L1376" s="27"/>
    </row>
    <row r="1377" spans="1:12">
      <c r="A1377" s="20" t="s">
        <v>1014</v>
      </c>
      <c r="E1377" s="22">
        <f>IF(D1377="?OLD","!!!","")</f>
        <v/>
      </c>
      <c r="F1377" s="23" t="str">
        <f>IF(OR(E1377="",E1377="!!!"),"",IF(NOT(ISNA(VLOOKUP(E1377,E$1:E1376,1,FALSE()))),"OLD",IF(AND(E1377&lt;&gt;"",E1377&lt;&gt;"!!!"),"NEW","")))</f>
        <v> </v>
      </c>
      <c r="G1377" s="24" t="str">
        <f>IF(OR(E1377="",E1377="!!!"),"",IF(OR(J1377=0,AND(J1377=1,K1377=1),AND(J1377=1,I1377="SBJ"),AND(J1377=1,I1377=0)),"?IN_FOCUS",IF(J1377&lt;=2,"?ACTIVATED",IF(J1377&lt;&gt;"","?FAMILIAR",IF(F1377="NEW",IF(ISNA(VLOOKUP(E1377,#REF!,1,FALSE())),"?TYPE_IDENTIFIABLE","?REFERENTIAL"),"_")))))</f>
        <v> </v>
      </c>
      <c r="H1377" s="25" t="str">
        <f>IF(J1377&lt;&gt;1,"",IF(I1377="SBJ","CB","?"))</f>
        <v> </v>
      </c>
      <c r="I1377" s="26" t="str">
        <f>IF(OR(E1377="",E1377="!!!",F1377="NEW"),"",INDEX(B1376:B$2,-1+SUMPRODUCT(MAX(ROW(E1376:E$2)*(E1377=E1376:E$2)))))</f>
        <v> </v>
      </c>
      <c r="J1377" s="26" t="str">
        <f>IF(OR(E1377="",E1377="!!!",F1377="NEW"),"",COUNTBLANK(OFFSET(A$1,,,SUMPRODUCT(MAX(ROW(E$2:E1377)*(E1377=E$2:E1377)))))-COUNTBLANK(OFFSET(A$1,,,SUMPRODUCT(MAX(ROW(E$1:E1376)*(E2=E$1:E1376))))))</f>
        <v> </v>
      </c>
      <c r="K1377" s="26" t="str">
        <f>IF(OR(E1377="",E1377="!!!",F1377="NEW"),"",INDEX(J$1:J1376,SUMPRODUCT(MAX(ROW(E$1:E1376)*(E1377=E$1:E1376)))))</f>
        <v> </v>
      </c>
      <c r="L1377" s="27"/>
    </row>
    <row r="1378" spans="1:12">
      <c r="A1378" s="20" t="s">
        <v>1020</v>
      </c>
      <c r="E1378" s="22">
        <f>IF(D1378="?OLD","!!!","")</f>
        <v/>
      </c>
      <c r="F1378" s="23" t="str">
        <f>IF(OR(E1378="",E1378="!!!"),"",IF(NOT(ISNA(VLOOKUP(E1378,E$1:E1377,1,FALSE()))),"OLD",IF(AND(E1378&lt;&gt;"",E1378&lt;&gt;"!!!"),"NEW","")))</f>
        <v> </v>
      </c>
      <c r="G1378" s="24" t="str">
        <f>IF(OR(E1378="",E1378="!!!"),"",IF(OR(J1378=0,AND(J1378=1,K1378=1),AND(J1378=1,I1378="SBJ"),AND(J1378=1,I1378=0)),"?IN_FOCUS",IF(J1378&lt;=2,"?ACTIVATED",IF(J1378&lt;&gt;"","?FAMILIAR",IF(F1378="NEW",IF(ISNA(VLOOKUP(E1378,#REF!,1,FALSE())),"?TYPE_IDENTIFIABLE","?REFERENTIAL"),"_")))))</f>
        <v> </v>
      </c>
      <c r="H1378" s="25" t="str">
        <f>IF(J1378&lt;&gt;1,"",IF(I1378="SBJ","CB","?"))</f>
        <v> </v>
      </c>
      <c r="I1378" s="26" t="str">
        <f>IF(OR(E1378="",E1378="!!!",F1378="NEW"),"",INDEX(B1377:B$2,-1+SUMPRODUCT(MAX(ROW(E1377:E$2)*(E1378=E1377:E$2)))))</f>
        <v> </v>
      </c>
      <c r="J1378" s="26" t="str">
        <f>IF(OR(E1378="",E1378="!!!",F1378="NEW"),"",COUNTBLANK(OFFSET(A$1,,,SUMPRODUCT(MAX(ROW(E$2:E1378)*(E1378=E$2:E1378)))))-COUNTBLANK(OFFSET(A$1,,,SUMPRODUCT(MAX(ROW(E$1:E1377)*(E2=E$1:E1377))))))</f>
        <v> </v>
      </c>
      <c r="K1378" s="26" t="str">
        <f>IF(OR(E1378="",E1378="!!!",F1378="NEW"),"",INDEX(J$1:J1377,SUMPRODUCT(MAX(ROW(E$1:E1377)*(E1378=E$1:E1377)))))</f>
        <v> </v>
      </c>
      <c r="L1378" s="27"/>
    </row>
    <row r="1379" spans="1:12">
      <c r="A1379" s="20" t="s">
        <v>1211</v>
      </c>
      <c r="B1379" s="21" t="s">
        <v>1035</v>
      </c>
      <c r="C1379" s="21" t="s">
        <v>1006</v>
      </c>
      <c r="D1379" s="21" t="s">
        <v>1007</v>
      </c>
      <c r="E1379" s="22">
        <f>IF(D1379="?OLD","!!!","")</f>
        <v/>
      </c>
      <c r="F1379" s="23" t="str">
        <f>IF(OR(E1379="",E1379="!!!"),"",IF(NOT(ISNA(VLOOKUP(E1379,E$1:E1378,1,FALSE()))),"OLD",IF(AND(E1379&lt;&gt;"",E1379&lt;&gt;"!!!"),"NEW","")))</f>
        <v> </v>
      </c>
      <c r="G1379" s="24" t="str">
        <f>IF(OR(E1379="",E1379="!!!"),"",IF(OR(J1379=0,AND(J1379=1,K1379=1),AND(J1379=1,I1379="SBJ"),AND(J1379=1,I1379=0)),"?IN_FOCUS",IF(J1379&lt;=2,"?ACTIVATED",IF(J1379&lt;&gt;"","?FAMILIAR",IF(F1379="NEW",IF(ISNA(VLOOKUP(E1379,#REF!,1,FALSE())),"?TYPE_IDENTIFIABLE","?REFERENTIAL"),"_")))))</f>
        <v> </v>
      </c>
      <c r="H1379" s="25" t="str">
        <f>IF(J1379&lt;&gt;1,"",IF(I1379="SBJ","CB","?"))</f>
        <v> </v>
      </c>
      <c r="I1379" s="26" t="str">
        <f>IF(OR(E1379="",E1379="!!!",F1379="NEW"),"",INDEX(B1378:B$2,-1+SUMPRODUCT(MAX(ROW(E1378:E$2)*(E1379=E1378:E$2)))))</f>
        <v> </v>
      </c>
      <c r="J1379" s="26" t="str">
        <f>IF(OR(E1379="",E1379="!!!",F1379="NEW"),"",COUNTBLANK(OFFSET(A$1,,,SUMPRODUCT(MAX(ROW(E$2:E1379)*(E1379=E$2:E1379)))))-COUNTBLANK(OFFSET(A$1,,,SUMPRODUCT(MAX(ROW(E$1:E1378)*(E2=E$1:E1378))))))</f>
        <v> </v>
      </c>
      <c r="K1379" s="26" t="str">
        <f>IF(OR(E1379="",E1379="!!!",F1379="NEW"),"",INDEX(J$1:J1378,SUMPRODUCT(MAX(ROW(E$1:E1378)*(E1379=E$1:E1378)))))</f>
        <v> </v>
      </c>
      <c r="L1379" s="27"/>
    </row>
    <row r="1380" spans="1:12">
      <c r="A1380" s="20" t="s">
        <v>1018</v>
      </c>
      <c r="E1380" s="22">
        <f>IF(D1380="?OLD","!!!","")</f>
        <v/>
      </c>
      <c r="F1380" s="23" t="str">
        <f>IF(OR(E1380="",E1380="!!!"),"",IF(NOT(ISNA(VLOOKUP(E1380,E$1:E1379,1,FALSE()))),"OLD",IF(AND(E1380&lt;&gt;"",E1380&lt;&gt;"!!!"),"NEW","")))</f>
        <v> </v>
      </c>
      <c r="G1380" s="24" t="str">
        <f>IF(OR(E1380="",E1380="!!!"),"",IF(OR(J1380=0,AND(J1380=1,K1380=1),AND(J1380=1,I1380="SBJ"),AND(J1380=1,I1380=0)),"?IN_FOCUS",IF(J1380&lt;=2,"?ACTIVATED",IF(J1380&lt;&gt;"","?FAMILIAR",IF(F1380="NEW",IF(ISNA(VLOOKUP(E1380,#REF!,1,FALSE())),"?TYPE_IDENTIFIABLE","?REFERENTIAL"),"_")))))</f>
        <v> </v>
      </c>
      <c r="H1380" s="25" t="str">
        <f>IF(J1380&lt;&gt;1,"",IF(I1380="SBJ","CB","?"))</f>
        <v> </v>
      </c>
      <c r="I1380" s="26" t="str">
        <f>IF(OR(E1380="",E1380="!!!",F1380="NEW"),"",INDEX(B1379:B$2,-1+SUMPRODUCT(MAX(ROW(E1379:E$2)*(E1380=E1379:E$2)))))</f>
        <v> </v>
      </c>
      <c r="J1380" s="26" t="str">
        <f>IF(OR(E1380="",E1380="!!!",F1380="NEW"),"",COUNTBLANK(OFFSET(A$1,,,SUMPRODUCT(MAX(ROW(E$2:E1380)*(E1380=E$2:E1380)))))-COUNTBLANK(OFFSET(A$1,,,SUMPRODUCT(MAX(ROW(E$1:E1379)*(E2=E$1:E1379))))))</f>
        <v> </v>
      </c>
      <c r="K1380" s="26" t="str">
        <f>IF(OR(E1380="",E1380="!!!",F1380="NEW"),"",INDEX(J$1:J1379,SUMPRODUCT(MAX(ROW(E$1:E1379)*(E1380=E$1:E1379)))))</f>
        <v> </v>
      </c>
      <c r="L1380" s="27"/>
    </row>
    <row r="1381" spans="1:12">
      <c r="A1381" s="20" t="s">
        <v>1535</v>
      </c>
      <c r="B1381" s="21" t="s">
        <v>1035</v>
      </c>
      <c r="C1381" s="21" t="s">
        <v>1086</v>
      </c>
      <c r="E1381" s="22">
        <f>IF(D1381="?OLD","!!!","")</f>
        <v/>
      </c>
      <c r="F1381" s="23" t="str">
        <f>IF(OR(E1381="",E1381="!!!"),"",IF(NOT(ISNA(VLOOKUP(E1381,E$1:E1380,1,FALSE()))),"OLD",IF(AND(E1381&lt;&gt;"",E1381&lt;&gt;"!!!"),"NEW","")))</f>
        <v> </v>
      </c>
      <c r="G1381" s="24" t="str">
        <f>IF(OR(E1381="",E1381="!!!"),"",IF(OR(J1381=0,AND(J1381=1,K1381=1),AND(J1381=1,I1381="SBJ"),AND(J1381=1,I1381=0)),"?IN_FOCUS",IF(J1381&lt;=2,"?ACTIVATED",IF(J1381&lt;&gt;"","?FAMILIAR",IF(F1381="NEW",IF(ISNA(VLOOKUP(E1381,#REF!,1,FALSE())),"?TYPE_IDENTIFIABLE","?REFERENTIAL"),"_")))))</f>
        <v> </v>
      </c>
      <c r="H1381" s="25" t="str">
        <f>IF(J1381&lt;&gt;1,"",IF(I1381="SBJ","CB","?"))</f>
        <v> </v>
      </c>
      <c r="I1381" s="26" t="str">
        <f>IF(OR(E1381="",E1381="!!!",F1381="NEW"),"",INDEX(B1380:B$2,-1+SUMPRODUCT(MAX(ROW(E1380:E$2)*(E1381=E1380:E$2)))))</f>
        <v> </v>
      </c>
      <c r="J1381" s="26" t="str">
        <f>IF(OR(E1381="",E1381="!!!",F1381="NEW"),"",COUNTBLANK(OFFSET(A$1,,,SUMPRODUCT(MAX(ROW(E$2:E1381)*(E1381=E$2:E1381)))))-COUNTBLANK(OFFSET(A$1,,,SUMPRODUCT(MAX(ROW(E$1:E1380)*(E2=E$1:E1380))))))</f>
        <v> </v>
      </c>
      <c r="K1381" s="26" t="str">
        <f>IF(OR(E1381="",E1381="!!!",F1381="NEW"),"",INDEX(J$1:J1380,SUMPRODUCT(MAX(ROW(E$1:E1380)*(E1381=E$1:E1380)))))</f>
        <v> </v>
      </c>
      <c r="L1381" s="27"/>
    </row>
    <row r="1382" spans="1:12">
      <c r="A1382" s="20" t="s">
        <v>1132</v>
      </c>
      <c r="E1382" s="22">
        <f>IF(D1382="?OLD","!!!","")</f>
        <v/>
      </c>
      <c r="F1382" s="23" t="str">
        <f>IF(OR(E1382="",E1382="!!!"),"",IF(NOT(ISNA(VLOOKUP(E1382,E$1:E1381,1,FALSE()))),"OLD",IF(AND(E1382&lt;&gt;"",E1382&lt;&gt;"!!!"),"NEW","")))</f>
        <v> </v>
      </c>
      <c r="G1382" s="24" t="str">
        <f>IF(OR(E1382="",E1382="!!!"),"",IF(OR(J1382=0,AND(J1382=1,K1382=1),AND(J1382=1,I1382="SBJ"),AND(J1382=1,I1382=0)),"?IN_FOCUS",IF(J1382&lt;=2,"?ACTIVATED",IF(J1382&lt;&gt;"","?FAMILIAR",IF(F1382="NEW",IF(ISNA(VLOOKUP(E1382,#REF!,1,FALSE())),"?TYPE_IDENTIFIABLE","?REFERENTIAL"),"_")))))</f>
        <v> </v>
      </c>
      <c r="H1382" s="25" t="str">
        <f>IF(J1382&lt;&gt;1,"",IF(I1382="SBJ","CB","?"))</f>
        <v> </v>
      </c>
      <c r="I1382" s="26" t="str">
        <f>IF(OR(E1382="",E1382="!!!",F1382="NEW"),"",INDEX(B1381:B$2,-1+SUMPRODUCT(MAX(ROW(E1381:E$2)*(E1382=E1381:E$2)))))</f>
        <v> </v>
      </c>
      <c r="J1382" s="26" t="str">
        <f>IF(OR(E1382="",E1382="!!!",F1382="NEW"),"",COUNTBLANK(OFFSET(A$1,,,SUMPRODUCT(MAX(ROW(E$2:E1382)*(E1382=E$2:E1382)))))-COUNTBLANK(OFFSET(A$1,,,SUMPRODUCT(MAX(ROW(E$1:E1381)*(E2=E$1:E1381))))))</f>
        <v> </v>
      </c>
      <c r="K1382" s="26" t="str">
        <f>IF(OR(E1382="",E1382="!!!",F1382="NEW"),"",INDEX(J$1:J1381,SUMPRODUCT(MAX(ROW(E$1:E1381)*(E1382=E$1:E1381)))))</f>
        <v> </v>
      </c>
      <c r="L1382" s="27"/>
    </row>
    <row r="1383" spans="1:12">
      <c r="A1383" s="20" t="s">
        <v>1138</v>
      </c>
      <c r="B1383" s="21" t="s">
        <v>1154</v>
      </c>
      <c r="C1383" s="21" t="s">
        <v>1082</v>
      </c>
      <c r="D1383" s="21" t="s">
        <v>1007</v>
      </c>
      <c r="E1383" s="22">
        <f>IF(D1383="?OLD","!!!","")</f>
        <v/>
      </c>
      <c r="F1383" s="23" t="str">
        <f>IF(OR(E1383="",E1383="!!!"),"",IF(NOT(ISNA(VLOOKUP(E1383,E$1:E1382,1,FALSE()))),"OLD",IF(AND(E1383&lt;&gt;"",E1383&lt;&gt;"!!!"),"NEW","")))</f>
        <v> </v>
      </c>
      <c r="G1383" s="24" t="str">
        <f>IF(OR(E1383="",E1383="!!!"),"",IF(OR(J1383=0,AND(J1383=1,K1383=1),AND(J1383=1,I1383="SBJ"),AND(J1383=1,I1383=0)),"?IN_FOCUS",IF(J1383&lt;=2,"?ACTIVATED",IF(J1383&lt;&gt;"","?FAMILIAR",IF(F1383="NEW",IF(ISNA(VLOOKUP(E1383,#REF!,1,FALSE())),"?TYPE_IDENTIFIABLE","?REFERENTIAL"),"_")))))</f>
        <v> </v>
      </c>
      <c r="H1383" s="25" t="str">
        <f>IF(J1383&lt;&gt;1,"",IF(I1383="SBJ","CB","?"))</f>
        <v> </v>
      </c>
      <c r="I1383" s="26" t="str">
        <f>IF(OR(E1383="",E1383="!!!",F1383="NEW"),"",INDEX(B1382:B$2,-1+SUMPRODUCT(MAX(ROW(E1382:E$2)*(E1383=E1382:E$2)))))</f>
        <v> </v>
      </c>
      <c r="J1383" s="26" t="str">
        <f>IF(OR(E1383="",E1383="!!!",F1383="NEW"),"",COUNTBLANK(OFFSET(A$1,,,SUMPRODUCT(MAX(ROW(E$2:E1383)*(E1383=E$2:E1383)))))-COUNTBLANK(OFFSET(A$1,,,SUMPRODUCT(MAX(ROW(E$1:E1382)*(E2=E$1:E1382))))))</f>
        <v> </v>
      </c>
      <c r="K1383" s="26" t="str">
        <f>IF(OR(E1383="",E1383="!!!",F1383="NEW"),"",INDEX(J$1:J1382,SUMPRODUCT(MAX(ROW(E$1:E1382)*(E1383=E$1:E1382)))))</f>
        <v> </v>
      </c>
      <c r="L1383" s="27"/>
    </row>
    <row r="1384" spans="1:12">
      <c r="A1384" s="20" t="s">
        <v>1018</v>
      </c>
      <c r="E1384" s="22">
        <f>IF(D1384="?OLD","!!!","")</f>
        <v/>
      </c>
      <c r="F1384" s="23" t="str">
        <f>IF(OR(E1384="",E1384="!!!"),"",IF(NOT(ISNA(VLOOKUP(E1384,E$1:E1383,1,FALSE()))),"OLD",IF(AND(E1384&lt;&gt;"",E1384&lt;&gt;"!!!"),"NEW","")))</f>
        <v> </v>
      </c>
      <c r="G1384" s="24" t="str">
        <f>IF(OR(E1384="",E1384="!!!"),"",IF(OR(J1384=0,AND(J1384=1,K1384=1),AND(J1384=1,I1384="SBJ"),AND(J1384=1,I1384=0)),"?IN_FOCUS",IF(J1384&lt;=2,"?ACTIVATED",IF(J1384&lt;&gt;"","?FAMILIAR",IF(F1384="NEW",IF(ISNA(VLOOKUP(E1384,#REF!,1,FALSE())),"?TYPE_IDENTIFIABLE","?REFERENTIAL"),"_")))))</f>
        <v> </v>
      </c>
      <c r="H1384" s="25" t="str">
        <f>IF(J1384&lt;&gt;1,"",IF(I1384="SBJ","CB","?"))</f>
        <v> </v>
      </c>
      <c r="I1384" s="26" t="str">
        <f>IF(OR(E1384="",E1384="!!!",F1384="NEW"),"",INDEX(B1383:B$2,-1+SUMPRODUCT(MAX(ROW(E1383:E$2)*(E1384=E1383:E$2)))))</f>
        <v> </v>
      </c>
      <c r="J1384" s="26" t="str">
        <f>IF(OR(E1384="",E1384="!!!",F1384="NEW"),"",COUNTBLANK(OFFSET(A$1,,,SUMPRODUCT(MAX(ROW(E$2:E1384)*(E1384=E$2:E1384)))))-COUNTBLANK(OFFSET(A$1,,,SUMPRODUCT(MAX(ROW(E$1:E1383)*(E2=E$1:E1383))))))</f>
        <v> </v>
      </c>
      <c r="K1384" s="26" t="str">
        <f>IF(OR(E1384="",E1384="!!!",F1384="NEW"),"",INDEX(J$1:J1383,SUMPRODUCT(MAX(ROW(E$1:E1383)*(E1384=E$1:E1383)))))</f>
        <v> </v>
      </c>
      <c r="L1384" s="27"/>
    </row>
    <row r="1385" spans="1:12">
      <c r="A1385" s="20" t="s">
        <v>1065</v>
      </c>
      <c r="B1385" s="21" t="s">
        <v>1067</v>
      </c>
      <c r="E1385" s="22">
        <f>IF(D1385="?OLD","!!!","")</f>
        <v/>
      </c>
      <c r="F1385" s="23" t="str">
        <f>IF(OR(E1385="",E1385="!!!"),"",IF(NOT(ISNA(VLOOKUP(E1385,E$1:E1384,1,FALSE()))),"OLD",IF(AND(E1385&lt;&gt;"",E1385&lt;&gt;"!!!"),"NEW","")))</f>
        <v> </v>
      </c>
      <c r="G1385" s="24" t="str">
        <f>IF(OR(E1385="",E1385="!!!"),"",IF(OR(J1385=0,AND(J1385=1,K1385=1),AND(J1385=1,I1385="SBJ"),AND(J1385=1,I1385=0)),"?IN_FOCUS",IF(J1385&lt;=2,"?ACTIVATED",IF(J1385&lt;&gt;"","?FAMILIAR",IF(F1385="NEW",IF(ISNA(VLOOKUP(E1385,#REF!,1,FALSE())),"?TYPE_IDENTIFIABLE","?REFERENTIAL"),"_")))))</f>
        <v> </v>
      </c>
      <c r="H1385" s="25" t="str">
        <f>IF(J1385&lt;&gt;1,"",IF(I1385="SBJ","CB","?"))</f>
        <v> </v>
      </c>
      <c r="I1385" s="26" t="str">
        <f>IF(OR(E1385="",E1385="!!!",F1385="NEW"),"",INDEX(B1384:B$2,-1+SUMPRODUCT(MAX(ROW(E1384:E$2)*(E1385=E1384:E$2)))))</f>
        <v> </v>
      </c>
      <c r="J1385" s="26" t="str">
        <f>IF(OR(E1385="",E1385="!!!",F1385="NEW"),"",COUNTBLANK(OFFSET(A$1,,,SUMPRODUCT(MAX(ROW(E$2:E1385)*(E1385=E$2:E1385)))))-COUNTBLANK(OFFSET(A$1,,,SUMPRODUCT(MAX(ROW(E$1:E1384)*(E2=E$1:E1384))))))</f>
        <v> </v>
      </c>
      <c r="K1385" s="26" t="str">
        <f>IF(OR(E1385="",E1385="!!!",F1385="NEW"),"",INDEX(J$1:J1384,SUMPRODUCT(MAX(ROW(E$1:E1384)*(E1385=E$1:E1384)))))</f>
        <v> </v>
      </c>
      <c r="L1385" s="27"/>
    </row>
    <row r="1386" spans="1:12">
      <c r="A1386" s="20" t="s">
        <v>1206</v>
      </c>
      <c r="E1386" s="22">
        <f>IF(D1386="?OLD","!!!","")</f>
        <v/>
      </c>
      <c r="F1386" s="23" t="str">
        <f>IF(OR(E1386="",E1386="!!!"),"",IF(NOT(ISNA(VLOOKUP(E1386,E$1:E1385,1,FALSE()))),"OLD",IF(AND(E1386&lt;&gt;"",E1386&lt;&gt;"!!!"),"NEW","")))</f>
        <v> </v>
      </c>
      <c r="G1386" s="24" t="str">
        <f>IF(OR(E1386="",E1386="!!!"),"",IF(OR(J1386=0,AND(J1386=1,K1386=1),AND(J1386=1,I1386="SBJ"),AND(J1386=1,I1386=0)),"?IN_FOCUS",IF(J1386&lt;=2,"?ACTIVATED",IF(J1386&lt;&gt;"","?FAMILIAR",IF(F1386="NEW",IF(ISNA(VLOOKUP(E1386,#REF!,1,FALSE())),"?TYPE_IDENTIFIABLE","?REFERENTIAL"),"_")))))</f>
        <v> </v>
      </c>
      <c r="H1386" s="25" t="str">
        <f>IF(J1386&lt;&gt;1,"",IF(I1386="SBJ","CB","?"))</f>
        <v> </v>
      </c>
      <c r="I1386" s="26" t="str">
        <f>IF(OR(E1386="",E1386="!!!",F1386="NEW"),"",INDEX(B1385:B$2,-1+SUMPRODUCT(MAX(ROW(E1385:E$2)*(E1386=E1385:E$2)))))</f>
        <v> </v>
      </c>
      <c r="J1386" s="26" t="str">
        <f>IF(OR(E1386="",E1386="!!!",F1386="NEW"),"",COUNTBLANK(OFFSET(A$1,,,SUMPRODUCT(MAX(ROW(E$2:E1386)*(E1386=E$2:E1386)))))-COUNTBLANK(OFFSET(A$1,,,SUMPRODUCT(MAX(ROW(E$1:E1385)*(E2=E$1:E1385))))))</f>
        <v> </v>
      </c>
      <c r="K1386" s="26" t="str">
        <f>IF(OR(E1386="",E1386="!!!",F1386="NEW"),"",INDEX(J$1:J1385,SUMPRODUCT(MAX(ROW(E$1:E1385)*(E1386=E$1:E1385)))))</f>
        <v> </v>
      </c>
      <c r="L1386" s="27"/>
    </row>
    <row r="1387" spans="1:12">
      <c r="A1387" s="20" t="s">
        <v>1020</v>
      </c>
      <c r="E1387" s="22">
        <f>IF(D1387="?OLD","!!!","")</f>
        <v/>
      </c>
      <c r="F1387" s="23" t="str">
        <f>IF(OR(E1387="",E1387="!!!"),"",IF(NOT(ISNA(VLOOKUP(E1387,E$1:E1386,1,FALSE()))),"OLD",IF(AND(E1387&lt;&gt;"",E1387&lt;&gt;"!!!"),"NEW","")))</f>
        <v> </v>
      </c>
      <c r="G1387" s="24" t="str">
        <f>IF(OR(E1387="",E1387="!!!"),"",IF(OR(J1387=0,AND(J1387=1,K1387=1),AND(J1387=1,I1387="SBJ"),AND(J1387=1,I1387=0)),"?IN_FOCUS",IF(J1387&lt;=2,"?ACTIVATED",IF(J1387&lt;&gt;"","?FAMILIAR",IF(F1387="NEW",IF(ISNA(VLOOKUP(E1387,#REF!,1,FALSE())),"?TYPE_IDENTIFIABLE","?REFERENTIAL"),"_")))))</f>
        <v> </v>
      </c>
      <c r="H1387" s="25" t="str">
        <f>IF(J1387&lt;&gt;1,"",IF(I1387="SBJ","CB","?"))</f>
        <v> </v>
      </c>
      <c r="I1387" s="26" t="str">
        <f>IF(OR(E1387="",E1387="!!!",F1387="NEW"),"",INDEX(B1386:B$2,-1+SUMPRODUCT(MAX(ROW(E1386:E$2)*(E1387=E1386:E$2)))))</f>
        <v> </v>
      </c>
      <c r="J1387" s="26" t="str">
        <f>IF(OR(E1387="",E1387="!!!",F1387="NEW"),"",COUNTBLANK(OFFSET(A$1,,,SUMPRODUCT(MAX(ROW(E$2:E1387)*(E1387=E$2:E1387)))))-COUNTBLANK(OFFSET(A$1,,,SUMPRODUCT(MAX(ROW(E$1:E1386)*(E2=E$1:E1386))))))</f>
        <v> </v>
      </c>
      <c r="K1387" s="26" t="str">
        <f>IF(OR(E1387="",E1387="!!!",F1387="NEW"),"",INDEX(J$1:J1386,SUMPRODUCT(MAX(ROW(E$1:E1386)*(E1387=E$1:E1386)))))</f>
        <v> </v>
      </c>
      <c r="L1387" s="27"/>
    </row>
    <row r="1388" spans="1:12">
      <c r="A1388" s="20" t="s">
        <v>1209</v>
      </c>
      <c r="E1388" s="22">
        <f>IF(D1388="?OLD","!!!","")</f>
        <v/>
      </c>
      <c r="F1388" s="23" t="str">
        <f>IF(OR(E1388="",E1388="!!!"),"",IF(NOT(ISNA(VLOOKUP(E1388,E$1:E1387,1,FALSE()))),"OLD",IF(AND(E1388&lt;&gt;"",E1388&lt;&gt;"!!!"),"NEW","")))</f>
        <v> </v>
      </c>
      <c r="G1388" s="24" t="str">
        <f>IF(OR(E1388="",E1388="!!!"),"",IF(OR(J1388=0,AND(J1388=1,K1388=1),AND(J1388=1,I1388="SBJ"),AND(J1388=1,I1388=0)),"?IN_FOCUS",IF(J1388&lt;=2,"?ACTIVATED",IF(J1388&lt;&gt;"","?FAMILIAR",IF(F1388="NEW",IF(ISNA(VLOOKUP(E1388,#REF!,1,FALSE())),"?TYPE_IDENTIFIABLE","?REFERENTIAL"),"_")))))</f>
        <v> </v>
      </c>
      <c r="H1388" s="25" t="str">
        <f>IF(J1388&lt;&gt;1,"",IF(I1388="SBJ","CB","?"))</f>
        <v> </v>
      </c>
      <c r="I1388" s="26" t="str">
        <f>IF(OR(E1388="",E1388="!!!",F1388="NEW"),"",INDEX(B1387:B$2,-1+SUMPRODUCT(MAX(ROW(E1387:E$2)*(E1388=E1387:E$2)))))</f>
        <v> </v>
      </c>
      <c r="J1388" s="26" t="str">
        <f>IF(OR(E1388="",E1388="!!!",F1388="NEW"),"",COUNTBLANK(OFFSET(A$1,,,SUMPRODUCT(MAX(ROW(E$2:E1388)*(E1388=E$2:E1388)))))-COUNTBLANK(OFFSET(A$1,,,SUMPRODUCT(MAX(ROW(E$1:E1387)*(E2=E$1:E1387))))))</f>
        <v> </v>
      </c>
      <c r="K1388" s="26" t="str">
        <f>IF(OR(E1388="",E1388="!!!",F1388="NEW"),"",INDEX(J$1:J1387,SUMPRODUCT(MAX(ROW(E$1:E1387)*(E1388=E$1:E1387)))))</f>
        <v> </v>
      </c>
      <c r="L1388" s="27"/>
    </row>
    <row r="1389" spans="1:12">
      <c r="A1389" s="20" t="s">
        <v>1132</v>
      </c>
      <c r="E1389" s="22">
        <f>IF(D1389="?OLD","!!!","")</f>
        <v/>
      </c>
      <c r="F1389" s="23" t="str">
        <f>IF(OR(E1389="",E1389="!!!"),"",IF(NOT(ISNA(VLOOKUP(E1389,E$1:E1388,1,FALSE()))),"OLD",IF(AND(E1389&lt;&gt;"",E1389&lt;&gt;"!!!"),"NEW","")))</f>
        <v> </v>
      </c>
      <c r="G1389" s="24" t="str">
        <f>IF(OR(E1389="",E1389="!!!"),"",IF(OR(J1389=0,AND(J1389=1,K1389=1),AND(J1389=1,I1389="SBJ"),AND(J1389=1,I1389=0)),"?IN_FOCUS",IF(J1389&lt;=2,"?ACTIVATED",IF(J1389&lt;&gt;"","?FAMILIAR",IF(F1389="NEW",IF(ISNA(VLOOKUP(E1389,#REF!,1,FALSE())),"?TYPE_IDENTIFIABLE","?REFERENTIAL"),"_")))))</f>
        <v> </v>
      </c>
      <c r="H1389" s="25" t="str">
        <f>IF(J1389&lt;&gt;1,"",IF(I1389="SBJ","CB","?"))</f>
        <v> </v>
      </c>
      <c r="I1389" s="26" t="str">
        <f>IF(OR(E1389="",E1389="!!!",F1389="NEW"),"",INDEX(B1388:B$2,-1+SUMPRODUCT(MAX(ROW(E1388:E$2)*(E1389=E1388:E$2)))))</f>
        <v> </v>
      </c>
      <c r="J1389" s="26" t="str">
        <f>IF(OR(E1389="",E1389="!!!",F1389="NEW"),"",COUNTBLANK(OFFSET(A$1,,,SUMPRODUCT(MAX(ROW(E$2:E1389)*(E1389=E$2:E1389)))))-COUNTBLANK(OFFSET(A$1,,,SUMPRODUCT(MAX(ROW(E$1:E1388)*(E2=E$1:E1388))))))</f>
        <v> </v>
      </c>
      <c r="K1389" s="26" t="str">
        <f>IF(OR(E1389="",E1389="!!!",F1389="NEW"),"",INDEX(J$1:J1388,SUMPRODUCT(MAX(ROW(E$1:E1388)*(E1389=E$1:E1388)))))</f>
        <v> </v>
      </c>
      <c r="L1389" s="27"/>
    </row>
    <row r="1390" spans="1:12">
      <c r="A1390" s="20" t="s">
        <v>1534</v>
      </c>
      <c r="B1390" s="21" t="s">
        <v>1040</v>
      </c>
      <c r="C1390" s="21" t="s">
        <v>1013</v>
      </c>
      <c r="D1390" s="21" t="s">
        <v>1007</v>
      </c>
      <c r="E1390" s="22">
        <f>IF(D1390="?OLD","!!!","")</f>
        <v/>
      </c>
      <c r="F1390" s="23" t="str">
        <f>IF(OR(E1390="",E1390="!!!"),"",IF(NOT(ISNA(VLOOKUP(E1390,E$1:E1389,1,FALSE()))),"OLD",IF(AND(E1390&lt;&gt;"",E1390&lt;&gt;"!!!"),"NEW","")))</f>
        <v> </v>
      </c>
      <c r="G1390" s="24" t="str">
        <f>IF(OR(E1390="",E1390="!!!"),"",IF(OR(J1390=0,AND(J1390=1,K1390=1),AND(J1390=1,I1390="SBJ"),AND(J1390=1,I1390=0)),"?IN_FOCUS",IF(J1390&lt;=2,"?ACTIVATED",IF(J1390&lt;&gt;"","?FAMILIAR",IF(F1390="NEW",IF(ISNA(VLOOKUP(E1390,#REF!,1,FALSE())),"?TYPE_IDENTIFIABLE","?REFERENTIAL"),"_")))))</f>
        <v> </v>
      </c>
      <c r="H1390" s="25" t="str">
        <f>IF(J1390&lt;&gt;1,"",IF(I1390="SBJ","CB","?"))</f>
        <v> </v>
      </c>
      <c r="I1390" s="26" t="str">
        <f>IF(OR(E1390="",E1390="!!!",F1390="NEW"),"",INDEX(B1389:B$2,-1+SUMPRODUCT(MAX(ROW(E1389:E$2)*(E1390=E1389:E$2)))))</f>
        <v> </v>
      </c>
      <c r="J1390" s="26" t="str">
        <f>IF(OR(E1390="",E1390="!!!",F1390="NEW"),"",COUNTBLANK(OFFSET(A$1,,,SUMPRODUCT(MAX(ROW(E$2:E1390)*(E1390=E$2:E1390)))))-COUNTBLANK(OFFSET(A$1,,,SUMPRODUCT(MAX(ROW(E$1:E1389)*(E2=E$1:E1389))))))</f>
        <v> </v>
      </c>
      <c r="K1390" s="26" t="str">
        <f>IF(OR(E1390="",E1390="!!!",F1390="NEW"),"",INDEX(J$1:J1389,SUMPRODUCT(MAX(ROW(E$1:E1389)*(E1390=E$1:E1389)))))</f>
        <v> </v>
      </c>
      <c r="L1390" s="27"/>
    </row>
    <row r="1391" spans="1:12">
      <c r="A1391" s="20" t="s">
        <v>1014</v>
      </c>
      <c r="E1391" s="22">
        <f>IF(D1391="?OLD","!!!","")</f>
        <v/>
      </c>
      <c r="F1391" s="23" t="str">
        <f>IF(OR(E1391="",E1391="!!!"),"",IF(NOT(ISNA(VLOOKUP(E1391,E$1:E1390,1,FALSE()))),"OLD",IF(AND(E1391&lt;&gt;"",E1391&lt;&gt;"!!!"),"NEW","")))</f>
        <v> </v>
      </c>
      <c r="G1391" s="24" t="str">
        <f>IF(OR(E1391="",E1391="!!!"),"",IF(OR(J1391=0,AND(J1391=1,K1391=1),AND(J1391=1,I1391="SBJ"),AND(J1391=1,I1391=0)),"?IN_FOCUS",IF(J1391&lt;=2,"?ACTIVATED",IF(J1391&lt;&gt;"","?FAMILIAR",IF(F1391="NEW",IF(ISNA(VLOOKUP(E1391,#REF!,1,FALSE())),"?TYPE_IDENTIFIABLE","?REFERENTIAL"),"_")))))</f>
        <v> </v>
      </c>
      <c r="H1391" s="25" t="str">
        <f>IF(J1391&lt;&gt;1,"",IF(I1391="SBJ","CB","?"))</f>
        <v> </v>
      </c>
      <c r="I1391" s="26" t="str">
        <f>IF(OR(E1391="",E1391="!!!",F1391="NEW"),"",INDEX(B1390:B$2,-1+SUMPRODUCT(MAX(ROW(E1390:E$2)*(E1391=E1390:E$2)))))</f>
        <v> </v>
      </c>
      <c r="J1391" s="26" t="str">
        <f>IF(OR(E1391="",E1391="!!!",F1391="NEW"),"",COUNTBLANK(OFFSET(A$1,,,SUMPRODUCT(MAX(ROW(E$2:E1391)*(E1391=E$2:E1391)))))-COUNTBLANK(OFFSET(A$1,,,SUMPRODUCT(MAX(ROW(E$1:E1390)*(E2=E$1:E1390))))))</f>
        <v> </v>
      </c>
      <c r="K1391" s="26" t="str">
        <f>IF(OR(E1391="",E1391="!!!",F1391="NEW"),"",INDEX(J$1:J1390,SUMPRODUCT(MAX(ROW(E$1:E1390)*(E1391=E$1:E1390)))))</f>
        <v> </v>
      </c>
      <c r="L1391" s="27"/>
    </row>
    <row r="1392" spans="1:12">
      <c r="A1392" s="20" t="s">
        <v>1243</v>
      </c>
      <c r="B1392" s="21" t="s">
        <v>1042</v>
      </c>
      <c r="C1392" s="21" t="s">
        <v>1013</v>
      </c>
      <c r="D1392" s="21" t="s">
        <v>1007</v>
      </c>
      <c r="E1392" s="22">
        <f>IF(D1392="?OLD","!!!","")</f>
        <v/>
      </c>
      <c r="F1392" s="23" t="str">
        <f>IF(OR(E1392="",E1392="!!!"),"",IF(NOT(ISNA(VLOOKUP(E1392,E$1:E1391,1,FALSE()))),"OLD",IF(AND(E1392&lt;&gt;"",E1392&lt;&gt;"!!!"),"NEW","")))</f>
        <v> </v>
      </c>
      <c r="G1392" s="24" t="str">
        <f>IF(OR(E1392="",E1392="!!!"),"",IF(OR(J1392=0,AND(J1392=1,K1392=1),AND(J1392=1,I1392="SBJ"),AND(J1392=1,I1392=0)),"?IN_FOCUS",IF(J1392&lt;=2,"?ACTIVATED",IF(J1392&lt;&gt;"","?FAMILIAR",IF(F1392="NEW",IF(ISNA(VLOOKUP(E1392,#REF!,1,FALSE())),"?TYPE_IDENTIFIABLE","?REFERENTIAL"),"_")))))</f>
        <v> </v>
      </c>
      <c r="H1392" s="25" t="str">
        <f>IF(J1392&lt;&gt;1,"",IF(I1392="SBJ","CB","?"))</f>
        <v> </v>
      </c>
      <c r="I1392" s="26" t="str">
        <f>IF(OR(E1392="",E1392="!!!",F1392="NEW"),"",INDEX(B1391:B$2,-1+SUMPRODUCT(MAX(ROW(E1391:E$2)*(E1392=E1391:E$2)))))</f>
        <v> </v>
      </c>
      <c r="J1392" s="26" t="str">
        <f>IF(OR(E1392="",E1392="!!!",F1392="NEW"),"",COUNTBLANK(OFFSET(A$1,,,SUMPRODUCT(MAX(ROW(E$2:E1392)*(E1392=E$2:E1392)))))-COUNTBLANK(OFFSET(A$1,,,SUMPRODUCT(MAX(ROW(E$1:E1391)*(E2=E$1:E1391))))))</f>
        <v> </v>
      </c>
      <c r="K1392" s="26" t="str">
        <f>IF(OR(E1392="",E1392="!!!",F1392="NEW"),"",INDEX(J$1:J1391,SUMPRODUCT(MAX(ROW(E$1:E1391)*(E1392=E$1:E1391)))))</f>
        <v> </v>
      </c>
      <c r="L1392" s="27"/>
    </row>
    <row r="1393" spans="1:12">
      <c r="A1393" s="20" t="s">
        <v>1020</v>
      </c>
      <c r="E1393" s="22">
        <f>IF(D1393="?OLD","!!!","")</f>
        <v/>
      </c>
      <c r="F1393" s="23" t="str">
        <f>IF(OR(E1393="",E1393="!!!"),"",IF(NOT(ISNA(VLOOKUP(E1393,E$1:E1392,1,FALSE()))),"OLD",IF(AND(E1393&lt;&gt;"",E1393&lt;&gt;"!!!"),"NEW","")))</f>
        <v> </v>
      </c>
      <c r="G1393" s="24" t="str">
        <f>IF(OR(E1393="",E1393="!!!"),"",IF(OR(J1393=0,AND(J1393=1,K1393=1),AND(J1393=1,I1393="SBJ"),AND(J1393=1,I1393=0)),"?IN_FOCUS",IF(J1393&lt;=2,"?ACTIVATED",IF(J1393&lt;&gt;"","?FAMILIAR",IF(F1393="NEW",IF(ISNA(VLOOKUP(E1393,#REF!,1,FALSE())),"?TYPE_IDENTIFIABLE","?REFERENTIAL"),"_")))))</f>
        <v> </v>
      </c>
      <c r="H1393" s="25" t="str">
        <f>IF(J1393&lt;&gt;1,"",IF(I1393="SBJ","CB","?"))</f>
        <v> </v>
      </c>
      <c r="I1393" s="26" t="str">
        <f>IF(OR(E1393="",E1393="!!!",F1393="NEW"),"",INDEX(B1392:B$2,-1+SUMPRODUCT(MAX(ROW(E1392:E$2)*(E1393=E1392:E$2)))))</f>
        <v> </v>
      </c>
      <c r="J1393" s="26" t="str">
        <f>IF(OR(E1393="",E1393="!!!",F1393="NEW"),"",COUNTBLANK(OFFSET(A$1,,,SUMPRODUCT(MAX(ROW(E$2:E1393)*(E1393=E$2:E1393)))))-COUNTBLANK(OFFSET(A$1,,,SUMPRODUCT(MAX(ROW(E$1:E1392)*(E2=E$1:E1392))))))</f>
        <v> </v>
      </c>
      <c r="K1393" s="26" t="str">
        <f>IF(OR(E1393="",E1393="!!!",F1393="NEW"),"",INDEX(J$1:J1392,SUMPRODUCT(MAX(ROW(E$1:E1392)*(E1393=E$1:E1392)))))</f>
        <v> </v>
      </c>
      <c r="L1393" s="27"/>
    </row>
    <row r="1394" spans="1:12">
      <c r="A1394" s="20" t="s">
        <v>1020</v>
      </c>
      <c r="E1394" s="22">
        <f>IF(D1394="?OLD","!!!","")</f>
        <v/>
      </c>
      <c r="F1394" s="23" t="str">
        <f>IF(OR(E1394="",E1394="!!!"),"",IF(NOT(ISNA(VLOOKUP(E1394,E$1:E1393,1,FALSE()))),"OLD",IF(AND(E1394&lt;&gt;"",E1394&lt;&gt;"!!!"),"NEW","")))</f>
        <v> </v>
      </c>
      <c r="G1394" s="24" t="str">
        <f>IF(OR(E1394="",E1394="!!!"),"",IF(OR(J1394=0,AND(J1394=1,K1394=1),AND(J1394=1,I1394="SBJ"),AND(J1394=1,I1394=0)),"?IN_FOCUS",IF(J1394&lt;=2,"?ACTIVATED",IF(J1394&lt;&gt;"","?FAMILIAR",IF(F1394="NEW",IF(ISNA(VLOOKUP(E1394,#REF!,1,FALSE())),"?TYPE_IDENTIFIABLE","?REFERENTIAL"),"_")))))</f>
        <v> </v>
      </c>
      <c r="H1394" s="25" t="str">
        <f>IF(J1394&lt;&gt;1,"",IF(I1394="SBJ","CB","?"))</f>
        <v> </v>
      </c>
      <c r="I1394" s="26" t="str">
        <f>IF(OR(E1394="",E1394="!!!",F1394="NEW"),"",INDEX(B1393:B$2,-1+SUMPRODUCT(MAX(ROW(E1393:E$2)*(E1394=E1393:E$2)))))</f>
        <v> </v>
      </c>
      <c r="J1394" s="26" t="str">
        <f>IF(OR(E1394="",E1394="!!!",F1394="NEW"),"",COUNTBLANK(OFFSET(A$1,,,SUMPRODUCT(MAX(ROW(E$2:E1394)*(E1394=E$2:E1394)))))-COUNTBLANK(OFFSET(A$1,,,SUMPRODUCT(MAX(ROW(E$1:E1393)*(E2=E$1:E1393))))))</f>
        <v> </v>
      </c>
      <c r="K1394" s="26" t="str">
        <f>IF(OR(E1394="",E1394="!!!",F1394="NEW"),"",INDEX(J$1:J1393,SUMPRODUCT(MAX(ROW(E$1:E1393)*(E1394=E$1:E1393)))))</f>
        <v> </v>
      </c>
      <c r="L1394" s="27"/>
    </row>
    <row r="1395" spans="1:12">
      <c r="A1395" s="20" t="s">
        <v>1536</v>
      </c>
      <c r="B1395" s="21" t="s">
        <v>1044</v>
      </c>
      <c r="C1395" s="21" t="s">
        <v>1013</v>
      </c>
      <c r="D1395" s="21" t="s">
        <v>1007</v>
      </c>
      <c r="E1395" s="22">
        <f>IF(D1395="?OLD","!!!","")</f>
        <v/>
      </c>
      <c r="F1395" s="23" t="str">
        <f>IF(OR(E1395="",E1395="!!!"),"",IF(NOT(ISNA(VLOOKUP(E1395,E$1:E1394,1,FALSE()))),"OLD",IF(AND(E1395&lt;&gt;"",E1395&lt;&gt;"!!!"),"NEW","")))</f>
        <v> </v>
      </c>
      <c r="G1395" s="24" t="str">
        <f>IF(OR(E1395="",E1395="!!!"),"",IF(OR(J1395=0,AND(J1395=1,K1395=1),AND(J1395=1,I1395="SBJ"),AND(J1395=1,I1395=0)),"?IN_FOCUS",IF(J1395&lt;=2,"?ACTIVATED",IF(J1395&lt;&gt;"","?FAMILIAR",IF(F1395="NEW",IF(ISNA(VLOOKUP(E1395,#REF!,1,FALSE())),"?TYPE_IDENTIFIABLE","?REFERENTIAL"),"_")))))</f>
        <v> </v>
      </c>
      <c r="H1395" s="25" t="str">
        <f>IF(J1395&lt;&gt;1,"",IF(I1395="SBJ","CB","?"))</f>
        <v> </v>
      </c>
      <c r="I1395" s="26" t="str">
        <f>IF(OR(E1395="",E1395="!!!",F1395="NEW"),"",INDEX(B1394:B$2,-1+SUMPRODUCT(MAX(ROW(E1394:E$2)*(E1395=E1394:E$2)))))</f>
        <v> </v>
      </c>
      <c r="J1395" s="26" t="str">
        <f>IF(OR(E1395="",E1395="!!!",F1395="NEW"),"",COUNTBLANK(OFFSET(A$1,,,SUMPRODUCT(MAX(ROW(E$2:E1395)*(E1395=E$2:E1395)))))-COUNTBLANK(OFFSET(A$1,,,SUMPRODUCT(MAX(ROW(E$1:E1394)*(E2=E$1:E1394))))))</f>
        <v> </v>
      </c>
      <c r="K1395" s="26" t="str">
        <f>IF(OR(E1395="",E1395="!!!",F1395="NEW"),"",INDEX(J$1:J1394,SUMPRODUCT(MAX(ROW(E$1:E1394)*(E1395=E$1:E1394)))))</f>
        <v> </v>
      </c>
      <c r="L1395" s="27"/>
    </row>
    <row r="1396" spans="1:12">
      <c r="A1396" s="20" t="s">
        <v>1014</v>
      </c>
      <c r="E1396" s="22">
        <f>IF(D1396="?OLD","!!!","")</f>
        <v/>
      </c>
      <c r="F1396" s="23" t="str">
        <f>IF(OR(E1396="",E1396="!!!"),"",IF(NOT(ISNA(VLOOKUP(E1396,E$1:E1395,1,FALSE()))),"OLD",IF(AND(E1396&lt;&gt;"",E1396&lt;&gt;"!!!"),"NEW","")))</f>
        <v> </v>
      </c>
      <c r="G1396" s="24" t="str">
        <f>IF(OR(E1396="",E1396="!!!"),"",IF(OR(J1396=0,AND(J1396=1,K1396=1),AND(J1396=1,I1396="SBJ"),AND(J1396=1,I1396=0)),"?IN_FOCUS",IF(J1396&lt;=2,"?ACTIVATED",IF(J1396&lt;&gt;"","?FAMILIAR",IF(F1396="NEW",IF(ISNA(VLOOKUP(E1396,#REF!,1,FALSE())),"?TYPE_IDENTIFIABLE","?REFERENTIAL"),"_")))))</f>
        <v> </v>
      </c>
      <c r="H1396" s="25" t="str">
        <f>IF(J1396&lt;&gt;1,"",IF(I1396="SBJ","CB","?"))</f>
        <v> </v>
      </c>
      <c r="I1396" s="26" t="str">
        <f>IF(OR(E1396="",E1396="!!!",F1396="NEW"),"",INDEX(B1395:B$2,-1+SUMPRODUCT(MAX(ROW(E1395:E$2)*(E1396=E1395:E$2)))))</f>
        <v> </v>
      </c>
      <c r="J1396" s="26" t="str">
        <f>IF(OR(E1396="",E1396="!!!",F1396="NEW"),"",COUNTBLANK(OFFSET(A$1,,,SUMPRODUCT(MAX(ROW(E$2:E1396)*(E1396=E$2:E1396)))))-COUNTBLANK(OFFSET(A$1,,,SUMPRODUCT(MAX(ROW(E$1:E1395)*(E2=E$1:E1395))))))</f>
        <v> </v>
      </c>
      <c r="K1396" s="26" t="str">
        <f>IF(OR(E1396="",E1396="!!!",F1396="NEW"),"",INDEX(J$1:J1395,SUMPRODUCT(MAX(ROW(E$1:E1395)*(E1396=E$1:E1395)))))</f>
        <v> </v>
      </c>
      <c r="L1396" s="27"/>
    </row>
    <row r="1397" spans="1:12">
      <c r="A1397" s="20" t="s">
        <v>1537</v>
      </c>
      <c r="B1397" s="21" t="s">
        <v>1215</v>
      </c>
      <c r="C1397" s="21" t="s">
        <v>1048</v>
      </c>
      <c r="E1397" s="22">
        <f>IF(D1397="?OLD","!!!","")</f>
        <v/>
      </c>
      <c r="F1397" s="23" t="str">
        <f>IF(OR(E1397="",E1397="!!!"),"",IF(NOT(ISNA(VLOOKUP(E1397,E$1:E1396,1,FALSE()))),"OLD",IF(AND(E1397&lt;&gt;"",E1397&lt;&gt;"!!!"),"NEW","")))</f>
        <v> </v>
      </c>
      <c r="G1397" s="24" t="str">
        <f>IF(OR(E1397="",E1397="!!!"),"",IF(OR(J1397=0,AND(J1397=1,K1397=1),AND(J1397=1,I1397="SBJ"),AND(J1397=1,I1397=0)),"?IN_FOCUS",IF(J1397&lt;=2,"?ACTIVATED",IF(J1397&lt;&gt;"","?FAMILIAR",IF(F1397="NEW",IF(ISNA(VLOOKUP(E1397,#REF!,1,FALSE())),"?TYPE_IDENTIFIABLE","?REFERENTIAL"),"_")))))</f>
        <v> </v>
      </c>
      <c r="H1397" s="25" t="str">
        <f>IF(J1397&lt;&gt;1,"",IF(I1397="SBJ","CB","?"))</f>
        <v> </v>
      </c>
      <c r="I1397" s="26" t="str">
        <f>IF(OR(E1397="",E1397="!!!",F1397="NEW"),"",INDEX(B1396:B$2,-1+SUMPRODUCT(MAX(ROW(E1396:E$2)*(E1397=E1396:E$2)))))</f>
        <v> </v>
      </c>
      <c r="J1397" s="26" t="str">
        <f>IF(OR(E1397="",E1397="!!!",F1397="NEW"),"",COUNTBLANK(OFFSET(A$1,,,SUMPRODUCT(MAX(ROW(E$2:E1397)*(E1397=E$2:E1397)))))-COUNTBLANK(OFFSET(A$1,,,SUMPRODUCT(MAX(ROW(E$1:E1396)*(E2=E$1:E1396))))))</f>
        <v> </v>
      </c>
      <c r="K1397" s="26" t="str">
        <f>IF(OR(E1397="",E1397="!!!",F1397="NEW"),"",INDEX(J$1:J1396,SUMPRODUCT(MAX(ROW(E$1:E1396)*(E1397=E$1:E1396)))))</f>
        <v> </v>
      </c>
      <c r="L1397" s="27"/>
    </row>
    <row r="1398" spans="1:12">
      <c r="A1398" s="20" t="s">
        <v>1538</v>
      </c>
      <c r="E1398" s="22">
        <f>IF(D1398="?OLD","!!!","")</f>
        <v/>
      </c>
      <c r="F1398" s="23" t="str">
        <f>IF(OR(E1398="",E1398="!!!"),"",IF(NOT(ISNA(VLOOKUP(E1398,E$1:E1397,1,FALSE()))),"OLD",IF(AND(E1398&lt;&gt;"",E1398&lt;&gt;"!!!"),"NEW","")))</f>
        <v> </v>
      </c>
      <c r="G1398" s="24" t="str">
        <f>IF(OR(E1398="",E1398="!!!"),"",IF(OR(J1398=0,AND(J1398=1,K1398=1),AND(J1398=1,I1398="SBJ"),AND(J1398=1,I1398=0)),"?IN_FOCUS",IF(J1398&lt;=2,"?ACTIVATED",IF(J1398&lt;&gt;"","?FAMILIAR",IF(F1398="NEW",IF(ISNA(VLOOKUP(E1398,#REF!,1,FALSE())),"?TYPE_IDENTIFIABLE","?REFERENTIAL"),"_")))))</f>
        <v> </v>
      </c>
      <c r="H1398" s="25" t="str">
        <f>IF(J1398&lt;&gt;1,"",IF(I1398="SBJ","CB","?"))</f>
        <v> </v>
      </c>
      <c r="I1398" s="26" t="str">
        <f>IF(OR(E1398="",E1398="!!!",F1398="NEW"),"",INDEX(B1397:B$2,-1+SUMPRODUCT(MAX(ROW(E1397:E$2)*(E1398=E1397:E$2)))))</f>
        <v> </v>
      </c>
      <c r="J1398" s="26" t="str">
        <f>IF(OR(E1398="",E1398="!!!",F1398="NEW"),"",COUNTBLANK(OFFSET(A$1,,,SUMPRODUCT(MAX(ROW(E$2:E1398)*(E1398=E$2:E1398)))))-COUNTBLANK(OFFSET(A$1,,,SUMPRODUCT(MAX(ROW(E$1:E1397)*(E2=E$1:E1397))))))</f>
        <v> </v>
      </c>
      <c r="K1398" s="26" t="str">
        <f>IF(OR(E1398="",E1398="!!!",F1398="NEW"),"",INDEX(J$1:J1397,SUMPRODUCT(MAX(ROW(E$1:E1397)*(E1398=E$1:E1397)))))</f>
        <v> </v>
      </c>
      <c r="L1398" s="27"/>
    </row>
    <row r="1399" spans="1:12">
      <c r="A1399" s="20" t="s">
        <v>1539</v>
      </c>
      <c r="E1399" s="22">
        <f>IF(D1399="?OLD","!!!","")</f>
        <v/>
      </c>
      <c r="F1399" s="23" t="str">
        <f>IF(OR(E1399="",E1399="!!!"),"",IF(NOT(ISNA(VLOOKUP(E1399,E$1:E1398,1,FALSE()))),"OLD",IF(AND(E1399&lt;&gt;"",E1399&lt;&gt;"!!!"),"NEW","")))</f>
        <v> </v>
      </c>
      <c r="G1399" s="24" t="str">
        <f>IF(OR(E1399="",E1399="!!!"),"",IF(OR(J1399=0,AND(J1399=1,K1399=1),AND(J1399=1,I1399="SBJ"),AND(J1399=1,I1399=0)),"?IN_FOCUS",IF(J1399&lt;=2,"?ACTIVATED",IF(J1399&lt;&gt;"","?FAMILIAR",IF(F1399="NEW",IF(ISNA(VLOOKUP(E1399,#REF!,1,FALSE())),"?TYPE_IDENTIFIABLE","?REFERENTIAL"),"_")))))</f>
        <v> </v>
      </c>
      <c r="H1399" s="25" t="str">
        <f>IF(J1399&lt;&gt;1,"",IF(I1399="SBJ","CB","?"))</f>
        <v> </v>
      </c>
      <c r="I1399" s="26" t="str">
        <f>IF(OR(E1399="",E1399="!!!",F1399="NEW"),"",INDEX(B1398:B$2,-1+SUMPRODUCT(MAX(ROW(E1398:E$2)*(E1399=E1398:E$2)))))</f>
        <v> </v>
      </c>
      <c r="J1399" s="26" t="str">
        <f>IF(OR(E1399="",E1399="!!!",F1399="NEW"),"",COUNTBLANK(OFFSET(A$1,,,SUMPRODUCT(MAX(ROW(E$2:E1399)*(E1399=E$2:E1399)))))-COUNTBLANK(OFFSET(A$1,,,SUMPRODUCT(MAX(ROW(E$1:E1398)*(E2=E$1:E1398))))))</f>
        <v> </v>
      </c>
      <c r="K1399" s="26" t="str">
        <f>IF(OR(E1399="",E1399="!!!",F1399="NEW"),"",INDEX(J$1:J1398,SUMPRODUCT(MAX(ROW(E$1:E1398)*(E1399=E$1:E1398)))))</f>
        <v> </v>
      </c>
      <c r="L1399" s="27"/>
    </row>
    <row r="1400" spans="1:12">
      <c r="A1400" s="20" t="s">
        <v>1018</v>
      </c>
      <c r="E1400" s="22">
        <f>IF(D1400="?OLD","!!!","")</f>
        <v/>
      </c>
      <c r="F1400" s="23" t="str">
        <f>IF(OR(E1400="",E1400="!!!"),"",IF(NOT(ISNA(VLOOKUP(E1400,E$1:E1399,1,FALSE()))),"OLD",IF(AND(E1400&lt;&gt;"",E1400&lt;&gt;"!!!"),"NEW","")))</f>
        <v> </v>
      </c>
      <c r="G1400" s="24" t="str">
        <f>IF(OR(E1400="",E1400="!!!"),"",IF(OR(J1400=0,AND(J1400=1,K1400=1),AND(J1400=1,I1400="SBJ"),AND(J1400=1,I1400=0)),"?IN_FOCUS",IF(J1400&lt;=2,"?ACTIVATED",IF(J1400&lt;&gt;"","?FAMILIAR",IF(F1400="NEW",IF(ISNA(VLOOKUP(E1400,#REF!,1,FALSE())),"?TYPE_IDENTIFIABLE","?REFERENTIAL"),"_")))))</f>
        <v> </v>
      </c>
      <c r="H1400" s="25" t="str">
        <f>IF(J1400&lt;&gt;1,"",IF(I1400="SBJ","CB","?"))</f>
        <v> </v>
      </c>
      <c r="I1400" s="26" t="str">
        <f>IF(OR(E1400="",E1400="!!!",F1400="NEW"),"",INDEX(B1399:B$2,-1+SUMPRODUCT(MAX(ROW(E1399:E$2)*(E1400=E1399:E$2)))))</f>
        <v> </v>
      </c>
      <c r="J1400" s="26" t="str">
        <f>IF(OR(E1400="",E1400="!!!",F1400="NEW"),"",COUNTBLANK(OFFSET(A$1,,,SUMPRODUCT(MAX(ROW(E$2:E1400)*(E1400=E$2:E1400)))))-COUNTBLANK(OFFSET(A$1,,,SUMPRODUCT(MAX(ROW(E$1:E1399)*(E2=E$1:E1399))))))</f>
        <v> </v>
      </c>
      <c r="K1400" s="26" t="str">
        <f>IF(OR(E1400="",E1400="!!!",F1400="NEW"),"",INDEX(J$1:J1399,SUMPRODUCT(MAX(ROW(E$1:E1399)*(E1400=E$1:E1399)))))</f>
        <v> </v>
      </c>
      <c r="L1400" s="27"/>
    </row>
    <row r="1401" spans="1:12">
      <c r="A1401" s="20" t="s">
        <v>1063</v>
      </c>
      <c r="B1401" s="21" t="s">
        <v>1217</v>
      </c>
      <c r="C1401" s="21" t="s">
        <v>1013</v>
      </c>
      <c r="D1401" s="21" t="s">
        <v>1007</v>
      </c>
      <c r="E1401" s="22">
        <f>IF(D1401="?OLD","!!!","")</f>
        <v/>
      </c>
      <c r="F1401" s="23" t="str">
        <f>IF(OR(E1401="",E1401="!!!"),"",IF(NOT(ISNA(VLOOKUP(E1401,E$1:E1400,1,FALSE()))),"OLD",IF(AND(E1401&lt;&gt;"",E1401&lt;&gt;"!!!"),"NEW","")))</f>
        <v> </v>
      </c>
      <c r="G1401" s="24" t="str">
        <f>IF(OR(E1401="",E1401="!!!"),"",IF(OR(J1401=0,AND(J1401=1,K1401=1),AND(J1401=1,I1401="SBJ"),AND(J1401=1,I1401=0)),"?IN_FOCUS",IF(J1401&lt;=2,"?ACTIVATED",IF(J1401&lt;&gt;"","?FAMILIAR",IF(F1401="NEW",IF(ISNA(VLOOKUP(E1401,#REF!,1,FALSE())),"?TYPE_IDENTIFIABLE","?REFERENTIAL"),"_")))))</f>
        <v> </v>
      </c>
      <c r="H1401" s="25" t="str">
        <f>IF(J1401&lt;&gt;1,"",IF(I1401="SBJ","CB","?"))</f>
        <v> </v>
      </c>
      <c r="I1401" s="26" t="str">
        <f>IF(OR(E1401="",E1401="!!!",F1401="NEW"),"",INDEX(B1400:B$2,-1+SUMPRODUCT(MAX(ROW(E1400:E$2)*(E1401=E1400:E$2)))))</f>
        <v> </v>
      </c>
      <c r="J1401" s="26" t="str">
        <f>IF(OR(E1401="",E1401="!!!",F1401="NEW"),"",COUNTBLANK(OFFSET(A$1,,,SUMPRODUCT(MAX(ROW(E$2:E1401)*(E1401=E$2:E1401)))))-COUNTBLANK(OFFSET(A$1,,,SUMPRODUCT(MAX(ROW(E$1:E1400)*(E2=E$1:E1400))))))</f>
        <v> </v>
      </c>
      <c r="K1401" s="26" t="str">
        <f>IF(OR(E1401="",E1401="!!!",F1401="NEW"),"",INDEX(J$1:J1400,SUMPRODUCT(MAX(ROW(E$1:E1400)*(E1401=E$1:E1400)))))</f>
        <v> </v>
      </c>
      <c r="L1401" s="27"/>
    </row>
    <row r="1402" spans="1:12">
      <c r="A1402" s="20" t="s">
        <v>1014</v>
      </c>
      <c r="E1402" s="22">
        <f>IF(D1402="?OLD","!!!","")</f>
        <v/>
      </c>
      <c r="F1402" s="23" t="str">
        <f>IF(OR(E1402="",E1402="!!!"),"",IF(NOT(ISNA(VLOOKUP(E1402,E$1:E1401,1,FALSE()))),"OLD",IF(AND(E1402&lt;&gt;"",E1402&lt;&gt;"!!!"),"NEW","")))</f>
        <v> </v>
      </c>
      <c r="G1402" s="24" t="str">
        <f>IF(OR(E1402="",E1402="!!!"),"",IF(OR(J1402=0,AND(J1402=1,K1402=1),AND(J1402=1,I1402="SBJ"),AND(J1402=1,I1402=0)),"?IN_FOCUS",IF(J1402&lt;=2,"?ACTIVATED",IF(J1402&lt;&gt;"","?FAMILIAR",IF(F1402="NEW",IF(ISNA(VLOOKUP(E1402,#REF!,1,FALSE())),"?TYPE_IDENTIFIABLE","?REFERENTIAL"),"_")))))</f>
        <v> </v>
      </c>
      <c r="H1402" s="25" t="str">
        <f>IF(J1402&lt;&gt;1,"",IF(I1402="SBJ","CB","?"))</f>
        <v> </v>
      </c>
      <c r="I1402" s="26" t="str">
        <f>IF(OR(E1402="",E1402="!!!",F1402="NEW"),"",INDEX(B1401:B$2,-1+SUMPRODUCT(MAX(ROW(E1401:E$2)*(E1402=E1401:E$2)))))</f>
        <v> </v>
      </c>
      <c r="J1402" s="26" t="str">
        <f>IF(OR(E1402="",E1402="!!!",F1402="NEW"),"",COUNTBLANK(OFFSET(A$1,,,SUMPRODUCT(MAX(ROW(E$2:E1402)*(E1402=E$2:E1402)))))-COUNTBLANK(OFFSET(A$1,,,SUMPRODUCT(MAX(ROW(E$1:E1401)*(E2=E$1:E1401))))))</f>
        <v> </v>
      </c>
      <c r="K1402" s="26" t="str">
        <f>IF(OR(E1402="",E1402="!!!",F1402="NEW"),"",INDEX(J$1:J1401,SUMPRODUCT(MAX(ROW(E$1:E1401)*(E1402=E$1:E1401)))))</f>
        <v> </v>
      </c>
      <c r="L1402" s="27"/>
    </row>
    <row r="1403" spans="1:12">
      <c r="A1403" s="20" t="s">
        <v>1435</v>
      </c>
      <c r="E1403" s="22">
        <f>IF(D1403="?OLD","!!!","")</f>
        <v/>
      </c>
      <c r="F1403" s="23" t="str">
        <f>IF(OR(E1403="",E1403="!!!"),"",IF(NOT(ISNA(VLOOKUP(E1403,E$1:E1402,1,FALSE()))),"OLD",IF(AND(E1403&lt;&gt;"",E1403&lt;&gt;"!!!"),"NEW","")))</f>
        <v> </v>
      </c>
      <c r="G1403" s="24" t="str">
        <f>IF(OR(E1403="",E1403="!!!"),"",IF(OR(J1403=0,AND(J1403=1,K1403=1),AND(J1403=1,I1403="SBJ"),AND(J1403=1,I1403=0)),"?IN_FOCUS",IF(J1403&lt;=2,"?ACTIVATED",IF(J1403&lt;&gt;"","?FAMILIAR",IF(F1403="NEW",IF(ISNA(VLOOKUP(E1403,#REF!,1,FALSE())),"?TYPE_IDENTIFIABLE","?REFERENTIAL"),"_")))))</f>
        <v> </v>
      </c>
      <c r="H1403" s="25" t="str">
        <f>IF(J1403&lt;&gt;1,"",IF(I1403="SBJ","CB","?"))</f>
        <v> </v>
      </c>
      <c r="I1403" s="26" t="str">
        <f>IF(OR(E1403="",E1403="!!!",F1403="NEW"),"",INDEX(B1402:B$2,-1+SUMPRODUCT(MAX(ROW(E1402:E$2)*(E1403=E1402:E$2)))))</f>
        <v> </v>
      </c>
      <c r="J1403" s="26" t="str">
        <f>IF(OR(E1403="",E1403="!!!",F1403="NEW"),"",COUNTBLANK(OFFSET(A$1,,,SUMPRODUCT(MAX(ROW(E$2:E1403)*(E1403=E$2:E1403)))))-COUNTBLANK(OFFSET(A$1,,,SUMPRODUCT(MAX(ROW(E$1:E1402)*(E2=E$1:E1402))))))</f>
        <v> </v>
      </c>
      <c r="K1403" s="26" t="str">
        <f>IF(OR(E1403="",E1403="!!!",F1403="NEW"),"",INDEX(J$1:J1402,SUMPRODUCT(MAX(ROW(E$1:E1402)*(E1403=E$1:E1402)))))</f>
        <v> </v>
      </c>
      <c r="L1403" s="27"/>
    </row>
    <row r="1404" spans="1:12">
      <c r="A1404" s="20" t="s">
        <v>1167</v>
      </c>
      <c r="B1404" s="21" t="s">
        <v>1540</v>
      </c>
      <c r="C1404" s="21" t="s">
        <v>1041</v>
      </c>
      <c r="D1404" s="21" t="s">
        <v>1007</v>
      </c>
      <c r="E1404" s="22">
        <f>IF(D1404="?OLD","!!!","")</f>
        <v/>
      </c>
      <c r="F1404" s="23" t="str">
        <f>IF(OR(E1404="",E1404="!!!"),"",IF(NOT(ISNA(VLOOKUP(E1404,E$1:E1403,1,FALSE()))),"OLD",IF(AND(E1404&lt;&gt;"",E1404&lt;&gt;"!!!"),"NEW","")))</f>
        <v> </v>
      </c>
      <c r="G1404" s="24" t="str">
        <f>IF(OR(E1404="",E1404="!!!"),"",IF(OR(J1404=0,AND(J1404=1,K1404=1),AND(J1404=1,I1404="SBJ"),AND(J1404=1,I1404=0)),"?IN_FOCUS",IF(J1404&lt;=2,"?ACTIVATED",IF(J1404&lt;&gt;"","?FAMILIAR",IF(F1404="NEW",IF(ISNA(VLOOKUP(E1404,#REF!,1,FALSE())),"?TYPE_IDENTIFIABLE","?REFERENTIAL"),"_")))))</f>
        <v> </v>
      </c>
      <c r="H1404" s="25" t="str">
        <f>IF(J1404&lt;&gt;1,"",IF(I1404="SBJ","CB","?"))</f>
        <v> </v>
      </c>
      <c r="I1404" s="26" t="str">
        <f>IF(OR(E1404="",E1404="!!!",F1404="NEW"),"",INDEX(B1403:B$2,-1+SUMPRODUCT(MAX(ROW(E1403:E$2)*(E1404=E1403:E$2)))))</f>
        <v> </v>
      </c>
      <c r="J1404" s="26" t="str">
        <f>IF(OR(E1404="",E1404="!!!",F1404="NEW"),"",COUNTBLANK(OFFSET(A$1,,,SUMPRODUCT(MAX(ROW(E$2:E1404)*(E1404=E$2:E1404)))))-COUNTBLANK(OFFSET(A$1,,,SUMPRODUCT(MAX(ROW(E$1:E1403)*(E2=E$1:E1403))))))</f>
        <v> </v>
      </c>
      <c r="K1404" s="26" t="str">
        <f>IF(OR(E1404="",E1404="!!!",F1404="NEW"),"",INDEX(J$1:J1403,SUMPRODUCT(MAX(ROW(E$1:E1403)*(E1404=E$1:E1403)))))</f>
        <v> </v>
      </c>
      <c r="L1404" s="27"/>
    </row>
    <row r="1405" spans="1:12">
      <c r="A1405" s="20" t="s">
        <v>1018</v>
      </c>
      <c r="E1405" s="22">
        <f>IF(D1405="?OLD","!!!","")</f>
        <v/>
      </c>
      <c r="F1405" s="23" t="str">
        <f>IF(OR(E1405="",E1405="!!!"),"",IF(NOT(ISNA(VLOOKUP(E1405,E$1:E1404,1,FALSE()))),"OLD",IF(AND(E1405&lt;&gt;"",E1405&lt;&gt;"!!!"),"NEW","")))</f>
        <v> </v>
      </c>
      <c r="G1405" s="24" t="str">
        <f>IF(OR(E1405="",E1405="!!!"),"",IF(OR(J1405=0,AND(J1405=1,K1405=1),AND(J1405=1,I1405="SBJ"),AND(J1405=1,I1405=0)),"?IN_FOCUS",IF(J1405&lt;=2,"?ACTIVATED",IF(J1405&lt;&gt;"","?FAMILIAR",IF(F1405="NEW",IF(ISNA(VLOOKUP(E1405,#REF!,1,FALSE())),"?TYPE_IDENTIFIABLE","?REFERENTIAL"),"_")))))</f>
        <v> </v>
      </c>
      <c r="H1405" s="25" t="str">
        <f>IF(J1405&lt;&gt;1,"",IF(I1405="SBJ","CB","?"))</f>
        <v> </v>
      </c>
      <c r="I1405" s="26" t="str">
        <f>IF(OR(E1405="",E1405="!!!",F1405="NEW"),"",INDEX(B1404:B$2,-1+SUMPRODUCT(MAX(ROW(E1404:E$2)*(E1405=E1404:E$2)))))</f>
        <v> </v>
      </c>
      <c r="J1405" s="26" t="str">
        <f>IF(OR(E1405="",E1405="!!!",F1405="NEW"),"",COUNTBLANK(OFFSET(A$1,,,SUMPRODUCT(MAX(ROW(E$2:E1405)*(E1405=E$2:E1405)))))-COUNTBLANK(OFFSET(A$1,,,SUMPRODUCT(MAX(ROW(E$1:E1404)*(E2=E$1:E1404))))))</f>
        <v> </v>
      </c>
      <c r="K1405" s="26" t="str">
        <f>IF(OR(E1405="",E1405="!!!",F1405="NEW"),"",INDEX(J$1:J1404,SUMPRODUCT(MAX(ROW(E$1:E1404)*(E1405=E$1:E1404)))))</f>
        <v> </v>
      </c>
      <c r="L1405" s="27"/>
    </row>
    <row r="1406" spans="1:12">
      <c r="A1406" s="20" t="s">
        <v>1030</v>
      </c>
      <c r="E1406" s="22">
        <f>IF(D1406="?OLD","!!!","")</f>
        <v/>
      </c>
      <c r="F1406" s="23" t="str">
        <f>IF(OR(E1406="",E1406="!!!"),"",IF(NOT(ISNA(VLOOKUP(E1406,E$1:E1405,1,FALSE()))),"OLD",IF(AND(E1406&lt;&gt;"",E1406&lt;&gt;"!!!"),"NEW","")))</f>
        <v> </v>
      </c>
      <c r="G1406" s="24" t="str">
        <f>IF(OR(E1406="",E1406="!!!"),"",IF(OR(J1406=0,AND(J1406=1,K1406=1),AND(J1406=1,I1406="SBJ"),AND(J1406=1,I1406=0)),"?IN_FOCUS",IF(J1406&lt;=2,"?ACTIVATED",IF(J1406&lt;&gt;"","?FAMILIAR",IF(F1406="NEW",IF(ISNA(VLOOKUP(E1406,#REF!,1,FALSE())),"?TYPE_IDENTIFIABLE","?REFERENTIAL"),"_")))))</f>
        <v> </v>
      </c>
      <c r="H1406" s="25" t="str">
        <f>IF(J1406&lt;&gt;1,"",IF(I1406="SBJ","CB","?"))</f>
        <v> </v>
      </c>
      <c r="I1406" s="26" t="str">
        <f>IF(OR(E1406="",E1406="!!!",F1406="NEW"),"",INDEX(B1405:B$2,-1+SUMPRODUCT(MAX(ROW(E1405:E$2)*(E1406=E1405:E$2)))))</f>
        <v> </v>
      </c>
      <c r="J1406" s="26" t="str">
        <f>IF(OR(E1406="",E1406="!!!",F1406="NEW"),"",COUNTBLANK(OFFSET(A$1,,,SUMPRODUCT(MAX(ROW(E$2:E1406)*(E1406=E$2:E1406)))))-COUNTBLANK(OFFSET(A$1,,,SUMPRODUCT(MAX(ROW(E$1:E1405)*(E2=E$1:E1405))))))</f>
        <v> </v>
      </c>
      <c r="K1406" s="26" t="str">
        <f>IF(OR(E1406="",E1406="!!!",F1406="NEW"),"",INDEX(J$1:J1405,SUMPRODUCT(MAX(ROW(E$1:E1405)*(E1406=E$1:E1405)))))</f>
        <v> </v>
      </c>
      <c r="L1406" s="27"/>
    </row>
    <row r="1407" spans="1:12">
      <c r="A1407" s="20" t="s">
        <v>102</v>
      </c>
      <c r="E1407" s="22">
        <f>IF(D1407="?OLD","!!!","")</f>
        <v/>
      </c>
      <c r="F1407" s="23" t="str">
        <f>IF(OR(E1407="",E1407="!!!"),"",IF(NOT(ISNA(VLOOKUP(E1407,E$1:E1406,1,FALSE()))),"OLD",IF(AND(E1407&lt;&gt;"",E1407&lt;&gt;"!!!"),"NEW","")))</f>
        <v> </v>
      </c>
      <c r="G1407" s="24" t="str">
        <f>IF(OR(E1407="",E1407="!!!"),"",IF(OR(J1407=0,AND(J1407=1,K1407=1),AND(J1407=1,I1407="SBJ"),AND(J1407=1,I1407=0)),"?IN_FOCUS",IF(J1407&lt;=2,"?ACTIVATED",IF(J1407&lt;&gt;"","?FAMILIAR",IF(F1407="NEW",IF(ISNA(VLOOKUP(E1407,#REF!,1,FALSE())),"?TYPE_IDENTIFIABLE","?REFERENTIAL"),"_")))))</f>
        <v> </v>
      </c>
      <c r="H1407" s="25" t="str">
        <f>IF(J1407&lt;&gt;1,"",IF(I1407="SBJ","CB","?"))</f>
        <v> </v>
      </c>
      <c r="I1407" s="26" t="str">
        <f>IF(OR(E1407="",E1407="!!!",F1407="NEW"),"",INDEX(B1406:B$2,-1+SUMPRODUCT(MAX(ROW(E1406:E$2)*(E1407=E1406:E$2)))))</f>
        <v> </v>
      </c>
      <c r="J1407" s="26" t="str">
        <f>IF(OR(E1407="",E1407="!!!",F1407="NEW"),"",COUNTBLANK(OFFSET(A$1,,,SUMPRODUCT(MAX(ROW(E$2:E1407)*(E1407=E$2:E1407)))))-COUNTBLANK(OFFSET(A$1,,,SUMPRODUCT(MAX(ROW(E$1:E1406)*(E2=E$1:E1406))))))</f>
        <v> </v>
      </c>
      <c r="K1407" s="26" t="str">
        <f>IF(OR(E1407="",E1407="!!!",F1407="NEW"),"",INDEX(J$1:J1406,SUMPRODUCT(MAX(ROW(E$1:E1406)*(E1407=E$1:E1406)))))</f>
        <v> </v>
      </c>
      <c r="L1407" s="27"/>
    </row>
    <row r="1408" spans="1:12">
      <c r="A1408" s="20" t="s">
        <v>1208</v>
      </c>
      <c r="B1408" s="21" t="s">
        <v>1217</v>
      </c>
      <c r="C1408" s="21" t="s">
        <v>1006</v>
      </c>
      <c r="D1408" s="21" t="s">
        <v>1007</v>
      </c>
      <c r="E1408" s="22">
        <f>IF(D1408="?OLD","!!!","")</f>
        <v/>
      </c>
      <c r="F1408" s="23" t="str">
        <f>IF(OR(E1408="",E1408="!!!"),"",IF(NOT(ISNA(VLOOKUP(E1408,E$1:E1407,1,FALSE()))),"OLD",IF(AND(E1408&lt;&gt;"",E1408&lt;&gt;"!!!"),"NEW","")))</f>
        <v> </v>
      </c>
      <c r="G1408" s="24" t="str">
        <f>IF(OR(E1408="",E1408="!!!"),"",IF(OR(J1408=0,AND(J1408=1,K1408=1),AND(J1408=1,I1408="SBJ"),AND(J1408=1,I1408=0)),"?IN_FOCUS",IF(J1408&lt;=2,"?ACTIVATED",IF(J1408&lt;&gt;"","?FAMILIAR",IF(F1408="NEW",IF(ISNA(VLOOKUP(E1408,#REF!,1,FALSE())),"?TYPE_IDENTIFIABLE","?REFERENTIAL"),"_")))))</f>
        <v> </v>
      </c>
      <c r="H1408" s="25" t="str">
        <f>IF(J1408&lt;&gt;1,"",IF(I1408="SBJ","CB","?"))</f>
        <v> </v>
      </c>
      <c r="I1408" s="26" t="str">
        <f>IF(OR(E1408="",E1408="!!!",F1408="NEW"),"",INDEX(B1407:B$2,-1+SUMPRODUCT(MAX(ROW(E1407:E$2)*(E1408=E1407:E$2)))))</f>
        <v> </v>
      </c>
      <c r="J1408" s="26" t="str">
        <f>IF(OR(E1408="",E1408="!!!",F1408="NEW"),"",COUNTBLANK(OFFSET(A$1,,,SUMPRODUCT(MAX(ROW(E$2:E1408)*(E1408=E$2:E1408)))))-COUNTBLANK(OFFSET(A$1,,,SUMPRODUCT(MAX(ROW(E$1:E1407)*(E2=E$1:E1407))))))</f>
        <v> </v>
      </c>
      <c r="K1408" s="26" t="str">
        <f>IF(OR(E1408="",E1408="!!!",F1408="NEW"),"",INDEX(J$1:J1407,SUMPRODUCT(MAX(ROW(E$1:E1407)*(E1408=E$1:E1407)))))</f>
        <v> </v>
      </c>
      <c r="L1408" s="27"/>
    </row>
    <row r="1409" spans="1:12">
      <c r="A1409" s="20" t="s">
        <v>1018</v>
      </c>
      <c r="E1409" s="22">
        <f>IF(D1409="?OLD","!!!","")</f>
        <v/>
      </c>
      <c r="F1409" s="23" t="str">
        <f>IF(OR(E1409="",E1409="!!!"),"",IF(NOT(ISNA(VLOOKUP(E1409,E$1:E1408,1,FALSE()))),"OLD",IF(AND(E1409&lt;&gt;"",E1409&lt;&gt;"!!!"),"NEW","")))</f>
        <v> </v>
      </c>
      <c r="G1409" s="24" t="str">
        <f>IF(OR(E1409="",E1409="!!!"),"",IF(OR(J1409=0,AND(J1409=1,K1409=1),AND(J1409=1,I1409="SBJ"),AND(J1409=1,I1409=0)),"?IN_FOCUS",IF(J1409&lt;=2,"?ACTIVATED",IF(J1409&lt;&gt;"","?FAMILIAR",IF(F1409="NEW",IF(ISNA(VLOOKUP(E1409,#REF!,1,FALSE())),"?TYPE_IDENTIFIABLE","?REFERENTIAL"),"_")))))</f>
        <v> </v>
      </c>
      <c r="H1409" s="25" t="str">
        <f>IF(J1409&lt;&gt;1,"",IF(I1409="SBJ","CB","?"))</f>
        <v> </v>
      </c>
      <c r="I1409" s="26" t="str">
        <f>IF(OR(E1409="",E1409="!!!",F1409="NEW"),"",INDEX(B1408:B$2,-1+SUMPRODUCT(MAX(ROW(E1408:E$2)*(E1409=E1408:E$2)))))</f>
        <v> </v>
      </c>
      <c r="J1409" s="26" t="str">
        <f>IF(OR(E1409="",E1409="!!!",F1409="NEW"),"",COUNTBLANK(OFFSET(A$1,,,SUMPRODUCT(MAX(ROW(E$2:E1409)*(E1409=E$2:E1409)))))-COUNTBLANK(OFFSET(A$1,,,SUMPRODUCT(MAX(ROW(E$1:E1408)*(E2=E$1:E1408))))))</f>
        <v> </v>
      </c>
      <c r="K1409" s="26" t="str">
        <f>IF(OR(E1409="",E1409="!!!",F1409="NEW"),"",INDEX(J$1:J1408,SUMPRODUCT(MAX(ROW(E$1:E1408)*(E1409=E$1:E1408)))))</f>
        <v> </v>
      </c>
      <c r="L1409" s="27"/>
    </row>
    <row r="1410" spans="1:12">
      <c r="A1410" s="20" t="s">
        <v>1075</v>
      </c>
      <c r="E1410" s="22">
        <f>IF(D1410="?OLD","!!!","")</f>
        <v/>
      </c>
      <c r="F1410" s="23" t="str">
        <f>IF(OR(E1410="",E1410="!!!"),"",IF(NOT(ISNA(VLOOKUP(E1410,E$1:E1409,1,FALSE()))),"OLD",IF(AND(E1410&lt;&gt;"",E1410&lt;&gt;"!!!"),"NEW","")))</f>
        <v> </v>
      </c>
      <c r="G1410" s="24" t="str">
        <f>IF(OR(E1410="",E1410="!!!"),"",IF(OR(J1410=0,AND(J1410=1,K1410=1),AND(J1410=1,I1410="SBJ"),AND(J1410=1,I1410=0)),"?IN_FOCUS",IF(J1410&lt;=2,"?ACTIVATED",IF(J1410&lt;&gt;"","?FAMILIAR",IF(F1410="NEW",IF(ISNA(VLOOKUP(E1410,#REF!,1,FALSE())),"?TYPE_IDENTIFIABLE","?REFERENTIAL"),"_")))))</f>
        <v> </v>
      </c>
      <c r="H1410" s="25" t="str">
        <f>IF(J1410&lt;&gt;1,"",IF(I1410="SBJ","CB","?"))</f>
        <v> </v>
      </c>
      <c r="I1410" s="26" t="str">
        <f>IF(OR(E1410="",E1410="!!!",F1410="NEW"),"",INDEX(B1409:B$2,-1+SUMPRODUCT(MAX(ROW(E1409:E$2)*(E1410=E1409:E$2)))))</f>
        <v> </v>
      </c>
      <c r="J1410" s="26" t="str">
        <f>IF(OR(E1410="",E1410="!!!",F1410="NEW"),"",COUNTBLANK(OFFSET(A$1,,,SUMPRODUCT(MAX(ROW(E$2:E1410)*(E1410=E$2:E1410)))))-COUNTBLANK(OFFSET(A$1,,,SUMPRODUCT(MAX(ROW(E$1:E1409)*(E2=E$1:E1409))))))</f>
        <v> </v>
      </c>
      <c r="K1410" s="26" t="str">
        <f>IF(OR(E1410="",E1410="!!!",F1410="NEW"),"",INDEX(J$1:J1409,SUMPRODUCT(MAX(ROW(E$1:E1409)*(E1410=E$1:E1409)))))</f>
        <v> </v>
      </c>
      <c r="L1410" s="27"/>
    </row>
    <row r="1411" spans="1:12">
      <c r="A1411" s="20" t="s">
        <v>1065</v>
      </c>
      <c r="E1411" s="22">
        <f>IF(D1411="?OLD","!!!","")</f>
        <v/>
      </c>
      <c r="F1411" s="23" t="str">
        <f>IF(OR(E1411="",E1411="!!!"),"",IF(NOT(ISNA(VLOOKUP(E1411,E$1:E1410,1,FALSE()))),"OLD",IF(AND(E1411&lt;&gt;"",E1411&lt;&gt;"!!!"),"NEW","")))</f>
        <v> </v>
      </c>
      <c r="G1411" s="24" t="str">
        <f>IF(OR(E1411="",E1411="!!!"),"",IF(OR(J1411=0,AND(J1411=1,K1411=1),AND(J1411=1,I1411="SBJ"),AND(J1411=1,I1411=0)),"?IN_FOCUS",IF(J1411&lt;=2,"?ACTIVATED",IF(J1411&lt;&gt;"","?FAMILIAR",IF(F1411="NEW",IF(ISNA(VLOOKUP(E1411,#REF!,1,FALSE())),"?TYPE_IDENTIFIABLE","?REFERENTIAL"),"_")))))</f>
        <v> </v>
      </c>
      <c r="H1411" s="25" t="str">
        <f>IF(J1411&lt;&gt;1,"",IF(I1411="SBJ","CB","?"))</f>
        <v> </v>
      </c>
      <c r="I1411" s="26" t="str">
        <f>IF(OR(E1411="",E1411="!!!",F1411="NEW"),"",INDEX(B1410:B$2,-1+SUMPRODUCT(MAX(ROW(E1410:E$2)*(E1411=E1410:E$2)))))</f>
        <v> </v>
      </c>
      <c r="J1411" s="26" t="str">
        <f>IF(OR(E1411="",E1411="!!!",F1411="NEW"),"",COUNTBLANK(OFFSET(A$1,,,SUMPRODUCT(MAX(ROW(E$2:E1411)*(E1411=E$2:E1411)))))-COUNTBLANK(OFFSET(A$1,,,SUMPRODUCT(MAX(ROW(E$1:E1410)*(E2=E$1:E1410))))))</f>
        <v> </v>
      </c>
      <c r="K1411" s="26" t="str">
        <f>IF(OR(E1411="",E1411="!!!",F1411="NEW"),"",INDEX(J$1:J1410,SUMPRODUCT(MAX(ROW(E$1:E1410)*(E1411=E$1:E1410)))))</f>
        <v> </v>
      </c>
      <c r="L1411" s="27"/>
    </row>
    <row r="1412" spans="1:12">
      <c r="A1412" s="20" t="s">
        <v>1020</v>
      </c>
      <c r="E1412" s="22">
        <f>IF(D1412="?OLD","!!!","")</f>
        <v/>
      </c>
      <c r="F1412" s="23" t="str">
        <f>IF(OR(E1412="",E1412="!!!"),"",IF(NOT(ISNA(VLOOKUP(E1412,E$1:E1411,1,FALSE()))),"OLD",IF(AND(E1412&lt;&gt;"",E1412&lt;&gt;"!!!"),"NEW","")))</f>
        <v> </v>
      </c>
      <c r="G1412" s="24" t="str">
        <f>IF(OR(E1412="",E1412="!!!"),"",IF(OR(J1412=0,AND(J1412=1,K1412=1),AND(J1412=1,I1412="SBJ"),AND(J1412=1,I1412=0)),"?IN_FOCUS",IF(J1412&lt;=2,"?ACTIVATED",IF(J1412&lt;&gt;"","?FAMILIAR",IF(F1412="NEW",IF(ISNA(VLOOKUP(E1412,#REF!,1,FALSE())),"?TYPE_IDENTIFIABLE","?REFERENTIAL"),"_")))))</f>
        <v> </v>
      </c>
      <c r="H1412" s="25" t="str">
        <f>IF(J1412&lt;&gt;1,"",IF(I1412="SBJ","CB","?"))</f>
        <v> </v>
      </c>
      <c r="I1412" s="26" t="str">
        <f>IF(OR(E1412="",E1412="!!!",F1412="NEW"),"",INDEX(B1411:B$2,-1+SUMPRODUCT(MAX(ROW(E1411:E$2)*(E1412=E1411:E$2)))))</f>
        <v> </v>
      </c>
      <c r="J1412" s="26" t="str">
        <f>IF(OR(E1412="",E1412="!!!",F1412="NEW"),"",COUNTBLANK(OFFSET(A$1,,,SUMPRODUCT(MAX(ROW(E$2:E1412)*(E1412=E$2:E1412)))))-COUNTBLANK(OFFSET(A$1,,,SUMPRODUCT(MAX(ROW(E$1:E1411)*(E2=E$1:E1411))))))</f>
        <v> </v>
      </c>
      <c r="K1412" s="26" t="str">
        <f>IF(OR(E1412="",E1412="!!!",F1412="NEW"),"",INDEX(J$1:J1411,SUMPRODUCT(MAX(ROW(E$1:E1411)*(E1412=E$1:E1411)))))</f>
        <v> </v>
      </c>
      <c r="L1412" s="27"/>
    </row>
    <row r="1413" spans="1:12">
      <c r="A1413" s="20" t="s">
        <v>1541</v>
      </c>
      <c r="B1413" s="21" t="s">
        <v>1120</v>
      </c>
      <c r="C1413" s="21" t="s">
        <v>1013</v>
      </c>
      <c r="D1413" s="21" t="s">
        <v>1007</v>
      </c>
      <c r="E1413" s="22">
        <f>IF(D1413="?OLD","!!!","")</f>
        <v/>
      </c>
      <c r="F1413" s="23" t="str">
        <f>IF(OR(E1413="",E1413="!!!"),"",IF(NOT(ISNA(VLOOKUP(E1413,E$1:E1412,1,FALSE()))),"OLD",IF(AND(E1413&lt;&gt;"",E1413&lt;&gt;"!!!"),"NEW","")))</f>
        <v> </v>
      </c>
      <c r="G1413" s="24" t="str">
        <f>IF(OR(E1413="",E1413="!!!"),"",IF(OR(J1413=0,AND(J1413=1,K1413=1),AND(J1413=1,I1413="SBJ"),AND(J1413=1,I1413=0)),"?IN_FOCUS",IF(J1413&lt;=2,"?ACTIVATED",IF(J1413&lt;&gt;"","?FAMILIAR",IF(F1413="NEW",IF(ISNA(VLOOKUP(E1413,#REF!,1,FALSE())),"?TYPE_IDENTIFIABLE","?REFERENTIAL"),"_")))))</f>
        <v> </v>
      </c>
      <c r="H1413" s="25" t="str">
        <f>IF(J1413&lt;&gt;1,"",IF(I1413="SBJ","CB","?"))</f>
        <v> </v>
      </c>
      <c r="I1413" s="26" t="str">
        <f>IF(OR(E1413="",E1413="!!!",F1413="NEW"),"",INDEX(B1412:B$2,-1+SUMPRODUCT(MAX(ROW(E1412:E$2)*(E1413=E1412:E$2)))))</f>
        <v> </v>
      </c>
      <c r="J1413" s="26" t="str">
        <f>IF(OR(E1413="",E1413="!!!",F1413="NEW"),"",COUNTBLANK(OFFSET(A$1,,,SUMPRODUCT(MAX(ROW(E$2:E1413)*(E1413=E$2:E1413)))))-COUNTBLANK(OFFSET(A$1,,,SUMPRODUCT(MAX(ROW(E$1:E1412)*(E2=E$1:E1412))))))</f>
        <v> </v>
      </c>
      <c r="K1413" s="26" t="str">
        <f>IF(OR(E1413="",E1413="!!!",F1413="NEW"),"",INDEX(J$1:J1412,SUMPRODUCT(MAX(ROW(E$1:E1412)*(E1413=E$1:E1412)))))</f>
        <v> </v>
      </c>
      <c r="L1413" s="27"/>
    </row>
    <row r="1414" spans="1:12">
      <c r="A1414" s="20" t="s">
        <v>1014</v>
      </c>
      <c r="E1414" s="22">
        <f>IF(D1414="?OLD","!!!","")</f>
        <v/>
      </c>
      <c r="F1414" s="23" t="str">
        <f>IF(OR(E1414="",E1414="!!!"),"",IF(NOT(ISNA(VLOOKUP(E1414,E$1:E1413,1,FALSE()))),"OLD",IF(AND(E1414&lt;&gt;"",E1414&lt;&gt;"!!!"),"NEW","")))</f>
        <v> </v>
      </c>
      <c r="G1414" s="24" t="str">
        <f>IF(OR(E1414="",E1414="!!!"),"",IF(OR(J1414=0,AND(J1414=1,K1414=1),AND(J1414=1,I1414="SBJ"),AND(J1414=1,I1414=0)),"?IN_FOCUS",IF(J1414&lt;=2,"?ACTIVATED",IF(J1414&lt;&gt;"","?FAMILIAR",IF(F1414="NEW",IF(ISNA(VLOOKUP(E1414,#REF!,1,FALSE())),"?TYPE_IDENTIFIABLE","?REFERENTIAL"),"_")))))</f>
        <v> </v>
      </c>
      <c r="H1414" s="25" t="str">
        <f>IF(J1414&lt;&gt;1,"",IF(I1414="SBJ","CB","?"))</f>
        <v> </v>
      </c>
      <c r="I1414" s="26" t="str">
        <f>IF(OR(E1414="",E1414="!!!",F1414="NEW"),"",INDEX(B1413:B$2,-1+SUMPRODUCT(MAX(ROW(E1413:E$2)*(E1414=E1413:E$2)))))</f>
        <v> </v>
      </c>
      <c r="J1414" s="26" t="str">
        <f>IF(OR(E1414="",E1414="!!!",F1414="NEW"),"",COUNTBLANK(OFFSET(A$1,,,SUMPRODUCT(MAX(ROW(E$2:E1414)*(E1414=E$2:E1414)))))-COUNTBLANK(OFFSET(A$1,,,SUMPRODUCT(MAX(ROW(E$1:E1413)*(E2=E$1:E1413))))))</f>
        <v> </v>
      </c>
      <c r="K1414" s="26" t="str">
        <f>IF(OR(E1414="",E1414="!!!",F1414="NEW"),"",INDEX(J$1:J1413,SUMPRODUCT(MAX(ROW(E$1:E1413)*(E1414=E$1:E1413)))))</f>
        <v> </v>
      </c>
      <c r="L1414" s="27"/>
    </row>
    <row r="1415" spans="1:12">
      <c r="A1415" s="20" t="s">
        <v>1279</v>
      </c>
      <c r="E1415" s="22">
        <f>IF(D1415="?OLD","!!!","")</f>
        <v/>
      </c>
      <c r="F1415" s="23" t="str">
        <f>IF(OR(E1415="",E1415="!!!"),"",IF(NOT(ISNA(VLOOKUP(E1415,E$1:E1414,1,FALSE()))),"OLD",IF(AND(E1415&lt;&gt;"",E1415&lt;&gt;"!!!"),"NEW","")))</f>
        <v> </v>
      </c>
      <c r="G1415" s="24" t="str">
        <f>IF(OR(E1415="",E1415="!!!"),"",IF(OR(J1415=0,AND(J1415=1,K1415=1),AND(J1415=1,I1415="SBJ"),AND(J1415=1,I1415=0)),"?IN_FOCUS",IF(J1415&lt;=2,"?ACTIVATED",IF(J1415&lt;&gt;"","?FAMILIAR",IF(F1415="NEW",IF(ISNA(VLOOKUP(E1415,#REF!,1,FALSE())),"?TYPE_IDENTIFIABLE","?REFERENTIAL"),"_")))))</f>
        <v> </v>
      </c>
      <c r="H1415" s="25" t="str">
        <f>IF(J1415&lt;&gt;1,"",IF(I1415="SBJ","CB","?"))</f>
        <v> </v>
      </c>
      <c r="I1415" s="26" t="str">
        <f>IF(OR(E1415="",E1415="!!!",F1415="NEW"),"",INDEX(B1414:B$2,-1+SUMPRODUCT(MAX(ROW(E1414:E$2)*(E1415=E1414:E$2)))))</f>
        <v> </v>
      </c>
      <c r="J1415" s="26" t="str">
        <f>IF(OR(E1415="",E1415="!!!",F1415="NEW"),"",COUNTBLANK(OFFSET(A$1,,,SUMPRODUCT(MAX(ROW(E$2:E1415)*(E1415=E$2:E1415)))))-COUNTBLANK(OFFSET(A$1,,,SUMPRODUCT(MAX(ROW(E$1:E1414)*(E2=E$1:E1414))))))</f>
        <v> </v>
      </c>
      <c r="K1415" s="26" t="str">
        <f>IF(OR(E1415="",E1415="!!!",F1415="NEW"),"",INDEX(J$1:J1414,SUMPRODUCT(MAX(ROW(E$1:E1414)*(E1415=E$1:E1414)))))</f>
        <v> </v>
      </c>
      <c r="L1415" s="27"/>
    </row>
    <row r="1416" spans="1:12">
      <c r="A1416" s="20" t="s">
        <v>1243</v>
      </c>
      <c r="B1416" s="21" t="s">
        <v>1130</v>
      </c>
      <c r="C1416" s="21" t="s">
        <v>1041</v>
      </c>
      <c r="D1416" s="21" t="s">
        <v>1007</v>
      </c>
      <c r="E1416" s="22">
        <f>IF(D1416="?OLD","!!!","")</f>
        <v/>
      </c>
      <c r="F1416" s="23" t="str">
        <f>IF(OR(E1416="",E1416="!!!"),"",IF(NOT(ISNA(VLOOKUP(E1416,E$1:E1415,1,FALSE()))),"OLD",IF(AND(E1416&lt;&gt;"",E1416&lt;&gt;"!!!"),"NEW","")))</f>
        <v> </v>
      </c>
      <c r="G1416" s="24" t="str">
        <f>IF(OR(E1416="",E1416="!!!"),"",IF(OR(J1416=0,AND(J1416=1,K1416=1),AND(J1416=1,I1416="SBJ"),AND(J1416=1,I1416=0)),"?IN_FOCUS",IF(J1416&lt;=2,"?ACTIVATED",IF(J1416&lt;&gt;"","?FAMILIAR",IF(F1416="NEW",IF(ISNA(VLOOKUP(E1416,#REF!,1,FALSE())),"?TYPE_IDENTIFIABLE","?REFERENTIAL"),"_")))))</f>
        <v> </v>
      </c>
      <c r="H1416" s="25" t="str">
        <f>IF(J1416&lt;&gt;1,"",IF(I1416="SBJ","CB","?"))</f>
        <v> </v>
      </c>
      <c r="I1416" s="26" t="str">
        <f>IF(OR(E1416="",E1416="!!!",F1416="NEW"),"",INDEX(B1415:B$2,-1+SUMPRODUCT(MAX(ROW(E1415:E$2)*(E1416=E1415:E$2)))))</f>
        <v> </v>
      </c>
      <c r="J1416" s="26" t="str">
        <f>IF(OR(E1416="",E1416="!!!",F1416="NEW"),"",COUNTBLANK(OFFSET(A$1,,,SUMPRODUCT(MAX(ROW(E$2:E1416)*(E1416=E$2:E1416)))))-COUNTBLANK(OFFSET(A$1,,,SUMPRODUCT(MAX(ROW(E$1:E1415)*(E2=E$1:E1415))))))</f>
        <v> </v>
      </c>
      <c r="K1416" s="26" t="str">
        <f>IF(OR(E1416="",E1416="!!!",F1416="NEW"),"",INDEX(J$1:J1415,SUMPRODUCT(MAX(ROW(E$1:E1415)*(E1416=E$1:E1415)))))</f>
        <v> </v>
      </c>
      <c r="L1416" s="27"/>
    </row>
    <row r="1417" spans="1:12">
      <c r="A1417" s="20" t="s">
        <v>1542</v>
      </c>
      <c r="E1417" s="22">
        <f>IF(D1417="?OLD","!!!","")</f>
        <v/>
      </c>
      <c r="F1417" s="23" t="str">
        <f>IF(OR(E1417="",E1417="!!!"),"",IF(NOT(ISNA(VLOOKUP(E1417,E$1:E1416,1,FALSE()))),"OLD",IF(AND(E1417&lt;&gt;"",E1417&lt;&gt;"!!!"),"NEW","")))</f>
        <v> </v>
      </c>
      <c r="G1417" s="24" t="str">
        <f>IF(OR(E1417="",E1417="!!!"),"",IF(OR(J1417=0,AND(J1417=1,K1417=1),AND(J1417=1,I1417="SBJ"),AND(J1417=1,I1417=0)),"?IN_FOCUS",IF(J1417&lt;=2,"?ACTIVATED",IF(J1417&lt;&gt;"","?FAMILIAR",IF(F1417="NEW",IF(ISNA(VLOOKUP(E1417,#REF!,1,FALSE())),"?TYPE_IDENTIFIABLE","?REFERENTIAL"),"_")))))</f>
        <v> </v>
      </c>
      <c r="H1417" s="25" t="str">
        <f>IF(J1417&lt;&gt;1,"",IF(I1417="SBJ","CB","?"))</f>
        <v> </v>
      </c>
      <c r="I1417" s="26" t="str">
        <f>IF(OR(E1417="",E1417="!!!",F1417="NEW"),"",INDEX(B1416:B$2,-1+SUMPRODUCT(MAX(ROW(E1416:E$2)*(E1417=E1416:E$2)))))</f>
        <v> </v>
      </c>
      <c r="J1417" s="26" t="str">
        <f>IF(OR(E1417="",E1417="!!!",F1417="NEW"),"",COUNTBLANK(OFFSET(A$1,,,SUMPRODUCT(MAX(ROW(E$2:E1417)*(E1417=E$2:E1417)))))-COUNTBLANK(OFFSET(A$1,,,SUMPRODUCT(MAX(ROW(E$1:E1416)*(E2=E$1:E1416))))))</f>
        <v> </v>
      </c>
      <c r="K1417" s="26" t="str">
        <f>IF(OR(E1417="",E1417="!!!",F1417="NEW"),"",INDEX(J$1:J1416,SUMPRODUCT(MAX(ROW(E$1:E1416)*(E1417=E$1:E1416)))))</f>
        <v> </v>
      </c>
      <c r="L1417" s="27"/>
    </row>
    <row r="1418" spans="1:12">
      <c r="A1418" s="20" t="s">
        <v>1543</v>
      </c>
      <c r="E1418" s="22">
        <f>IF(D1418="?OLD","!!!","")</f>
        <v/>
      </c>
      <c r="F1418" s="23" t="str">
        <f>IF(OR(E1418="",E1418="!!!"),"",IF(NOT(ISNA(VLOOKUP(E1418,E$1:E1417,1,FALSE()))),"OLD",IF(AND(E1418&lt;&gt;"",E1418&lt;&gt;"!!!"),"NEW","")))</f>
        <v> </v>
      </c>
      <c r="G1418" s="24" t="str">
        <f>IF(OR(E1418="",E1418="!!!"),"",IF(OR(J1418=0,AND(J1418=1,K1418=1),AND(J1418=1,I1418="SBJ"),AND(J1418=1,I1418=0)),"?IN_FOCUS",IF(J1418&lt;=2,"?ACTIVATED",IF(J1418&lt;&gt;"","?FAMILIAR",IF(F1418="NEW",IF(ISNA(VLOOKUP(E1418,#REF!,1,FALSE())),"?TYPE_IDENTIFIABLE","?REFERENTIAL"),"_")))))</f>
        <v> </v>
      </c>
      <c r="H1418" s="25" t="str">
        <f>IF(J1418&lt;&gt;1,"",IF(I1418="SBJ","CB","?"))</f>
        <v> </v>
      </c>
      <c r="I1418" s="26" t="str">
        <f>IF(OR(E1418="",E1418="!!!",F1418="NEW"),"",INDEX(B1417:B$2,-1+SUMPRODUCT(MAX(ROW(E1417:E$2)*(E1418=E1417:E$2)))))</f>
        <v> </v>
      </c>
      <c r="J1418" s="26" t="str">
        <f>IF(OR(E1418="",E1418="!!!",F1418="NEW"),"",COUNTBLANK(OFFSET(A$1,,,SUMPRODUCT(MAX(ROW(E$2:E1418)*(E1418=E$2:E1418)))))-COUNTBLANK(OFFSET(A$1,,,SUMPRODUCT(MAX(ROW(E$1:E1417)*(E2=E$1:E1417))))))</f>
        <v> </v>
      </c>
      <c r="K1418" s="26" t="str">
        <f>IF(OR(E1418="",E1418="!!!",F1418="NEW"),"",INDEX(J$1:J1417,SUMPRODUCT(MAX(ROW(E$1:E1417)*(E1418=E$1:E1417)))))</f>
        <v> </v>
      </c>
      <c r="L1418" s="27"/>
    </row>
    <row r="1419" spans="1:12">
      <c r="A1419" s="20" t="s">
        <v>1014</v>
      </c>
      <c r="E1419" s="22">
        <f>IF(D1419="?OLD","!!!","")</f>
        <v/>
      </c>
      <c r="F1419" s="23" t="str">
        <f>IF(OR(E1419="",E1419="!!!"),"",IF(NOT(ISNA(VLOOKUP(E1419,E$1:E1418,1,FALSE()))),"OLD",IF(AND(E1419&lt;&gt;"",E1419&lt;&gt;"!!!"),"NEW","")))</f>
        <v> </v>
      </c>
      <c r="G1419" s="24" t="str">
        <f>IF(OR(E1419="",E1419="!!!"),"",IF(OR(J1419=0,AND(J1419=1,K1419=1),AND(J1419=1,I1419="SBJ"),AND(J1419=1,I1419=0)),"?IN_FOCUS",IF(J1419&lt;=2,"?ACTIVATED",IF(J1419&lt;&gt;"","?FAMILIAR",IF(F1419="NEW",IF(ISNA(VLOOKUP(E1419,#REF!,1,FALSE())),"?TYPE_IDENTIFIABLE","?REFERENTIAL"),"_")))))</f>
        <v> </v>
      </c>
      <c r="H1419" s="25" t="str">
        <f>IF(J1419&lt;&gt;1,"",IF(I1419="SBJ","CB","?"))</f>
        <v> </v>
      </c>
      <c r="I1419" s="26" t="str">
        <f>IF(OR(E1419="",E1419="!!!",F1419="NEW"),"",INDEX(B1418:B$2,-1+SUMPRODUCT(MAX(ROW(E1418:E$2)*(E1419=E1418:E$2)))))</f>
        <v> </v>
      </c>
      <c r="J1419" s="26" t="str">
        <f>IF(OR(E1419="",E1419="!!!",F1419="NEW"),"",COUNTBLANK(OFFSET(A$1,,,SUMPRODUCT(MAX(ROW(E$2:E1419)*(E1419=E$2:E1419)))))-COUNTBLANK(OFFSET(A$1,,,SUMPRODUCT(MAX(ROW(E$1:E1418)*(E2=E$1:E1418))))))</f>
        <v> </v>
      </c>
      <c r="K1419" s="26" t="str">
        <f>IF(OR(E1419="",E1419="!!!",F1419="NEW"),"",INDEX(J$1:J1418,SUMPRODUCT(MAX(ROW(E$1:E1418)*(E1419=E$1:E1418)))))</f>
        <v> </v>
      </c>
      <c r="L1419" s="27"/>
    </row>
    <row r="1420" spans="1:12">
      <c r="A1420" s="20" t="s">
        <v>1015</v>
      </c>
      <c r="E1420" s="22">
        <f>IF(D1420="?OLD","!!!","")</f>
        <v/>
      </c>
      <c r="F1420" s="23" t="str">
        <f>IF(OR(E1420="",E1420="!!!"),"",IF(NOT(ISNA(VLOOKUP(E1420,E$1:E1419,1,FALSE()))),"OLD",IF(AND(E1420&lt;&gt;"",E1420&lt;&gt;"!!!"),"NEW","")))</f>
        <v> </v>
      </c>
      <c r="G1420" s="24" t="str">
        <f>IF(OR(E1420="",E1420="!!!"),"",IF(OR(J1420=0,AND(J1420=1,K1420=1),AND(J1420=1,I1420="SBJ"),AND(J1420=1,I1420=0)),"?IN_FOCUS",IF(J1420&lt;=2,"?ACTIVATED",IF(J1420&lt;&gt;"","?FAMILIAR",IF(F1420="NEW",IF(ISNA(VLOOKUP(E1420,#REF!,1,FALSE())),"?TYPE_IDENTIFIABLE","?REFERENTIAL"),"_")))))</f>
        <v> </v>
      </c>
      <c r="H1420" s="25" t="str">
        <f>IF(J1420&lt;&gt;1,"",IF(I1420="SBJ","CB","?"))</f>
        <v> </v>
      </c>
      <c r="I1420" s="26" t="str">
        <f>IF(OR(E1420="",E1420="!!!",F1420="NEW"),"",INDEX(B1419:B$2,-1+SUMPRODUCT(MAX(ROW(E1419:E$2)*(E1420=E1419:E$2)))))</f>
        <v> </v>
      </c>
      <c r="J1420" s="26" t="str">
        <f>IF(OR(E1420="",E1420="!!!",F1420="NEW"),"",COUNTBLANK(OFFSET(A$1,,,SUMPRODUCT(MAX(ROW(E$2:E1420)*(E1420=E$2:E1420)))))-COUNTBLANK(OFFSET(A$1,,,SUMPRODUCT(MAX(ROW(E$1:E1419)*(E2=E$1:E1419))))))</f>
        <v> </v>
      </c>
      <c r="K1420" s="26" t="str">
        <f>IF(OR(E1420="",E1420="!!!",F1420="NEW"),"",INDEX(J$1:J1419,SUMPRODUCT(MAX(ROW(E$1:E1419)*(E1420=E$1:E1419)))))</f>
        <v> </v>
      </c>
      <c r="L1420" s="27"/>
    </row>
    <row r="1421" spans="1:12">
      <c r="A1421" s="20" t="s">
        <v>1544</v>
      </c>
      <c r="B1421" s="21" t="s">
        <v>1130</v>
      </c>
      <c r="C1421" s="21" t="s">
        <v>1059</v>
      </c>
      <c r="D1421" s="21" t="s">
        <v>1007</v>
      </c>
      <c r="E1421" s="22">
        <f>IF(D1421="?OLD","!!!","")</f>
        <v/>
      </c>
      <c r="F1421" s="23" t="str">
        <f>IF(OR(E1421="",E1421="!!!"),"",IF(NOT(ISNA(VLOOKUP(E1421,E$1:E1420,1,FALSE()))),"OLD",IF(AND(E1421&lt;&gt;"",E1421&lt;&gt;"!!!"),"NEW","")))</f>
        <v> </v>
      </c>
      <c r="G1421" s="24" t="str">
        <f>IF(OR(E1421="",E1421="!!!"),"",IF(OR(J1421=0,AND(J1421=1,K1421=1),AND(J1421=1,I1421="SBJ"),AND(J1421=1,I1421=0)),"?IN_FOCUS",IF(J1421&lt;=2,"?ACTIVATED",IF(J1421&lt;&gt;"","?FAMILIAR",IF(F1421="NEW",IF(ISNA(VLOOKUP(E1421,#REF!,1,FALSE())),"?TYPE_IDENTIFIABLE","?REFERENTIAL"),"_")))))</f>
        <v> </v>
      </c>
      <c r="H1421" s="25" t="str">
        <f>IF(J1421&lt;&gt;1,"",IF(I1421="SBJ","CB","?"))</f>
        <v> </v>
      </c>
      <c r="I1421" s="26" t="str">
        <f>IF(OR(E1421="",E1421="!!!",F1421="NEW"),"",INDEX(B1420:B$2,-1+SUMPRODUCT(MAX(ROW(E1420:E$2)*(E1421=E1420:E$2)))))</f>
        <v> </v>
      </c>
      <c r="J1421" s="26" t="str">
        <f>IF(OR(E1421="",E1421="!!!",F1421="NEW"),"",COUNTBLANK(OFFSET(A$1,,,SUMPRODUCT(MAX(ROW(E$2:E1421)*(E1421=E$2:E1421)))))-COUNTBLANK(OFFSET(A$1,,,SUMPRODUCT(MAX(ROW(E$1:E1420)*(E2=E$1:E1420))))))</f>
        <v> </v>
      </c>
      <c r="K1421" s="26" t="str">
        <f>IF(OR(E1421="",E1421="!!!",F1421="NEW"),"",INDEX(J$1:J1420,SUMPRODUCT(MAX(ROW(E$1:E1420)*(E1421=E$1:E1420)))))</f>
        <v> </v>
      </c>
      <c r="L1421" s="27"/>
    </row>
    <row r="1422" spans="1:12">
      <c r="A1422" s="20" t="s">
        <v>1545</v>
      </c>
      <c r="B1422" s="21" t="s">
        <v>1035</v>
      </c>
      <c r="C1422" s="21" t="s">
        <v>1017</v>
      </c>
      <c r="D1422" s="21" t="s">
        <v>1007</v>
      </c>
      <c r="E1422" s="22">
        <f>IF(D1422="?OLD","!!!","")</f>
        <v/>
      </c>
      <c r="F1422" s="23" t="str">
        <f>IF(OR(E1422="",E1422="!!!"),"",IF(NOT(ISNA(VLOOKUP(E1422,E$1:E1421,1,FALSE()))),"OLD",IF(AND(E1422&lt;&gt;"",E1422&lt;&gt;"!!!"),"NEW","")))</f>
        <v> </v>
      </c>
      <c r="G1422" s="24" t="str">
        <f>IF(OR(E1422="",E1422="!!!"),"",IF(OR(J1422=0,AND(J1422=1,K1422=1),AND(J1422=1,I1422="SBJ"),AND(J1422=1,I1422=0)),"?IN_FOCUS",IF(J1422&lt;=2,"?ACTIVATED",IF(J1422&lt;&gt;"","?FAMILIAR",IF(F1422="NEW",IF(ISNA(VLOOKUP(E1422,#REF!,1,FALSE())),"?TYPE_IDENTIFIABLE","?REFERENTIAL"),"_")))))</f>
        <v> </v>
      </c>
      <c r="H1422" s="25" t="str">
        <f>IF(J1422&lt;&gt;1,"",IF(I1422="SBJ","CB","?"))</f>
        <v> </v>
      </c>
      <c r="I1422" s="26" t="str">
        <f>IF(OR(E1422="",E1422="!!!",F1422="NEW"),"",INDEX(B1421:B$2,-1+SUMPRODUCT(MAX(ROW(E1421:E$2)*(E1422=E1421:E$2)))))</f>
        <v> </v>
      </c>
      <c r="J1422" s="26" t="str">
        <f>IF(OR(E1422="",E1422="!!!",F1422="NEW"),"",COUNTBLANK(OFFSET(A$1,,,SUMPRODUCT(MAX(ROW(E$2:E1422)*(E1422=E$2:E1422)))))-COUNTBLANK(OFFSET(A$1,,,SUMPRODUCT(MAX(ROW(E$1:E1421)*(E2=E$1:E1421))))))</f>
        <v> </v>
      </c>
      <c r="K1422" s="26" t="str">
        <f>IF(OR(E1422="",E1422="!!!",F1422="NEW"),"",INDEX(J$1:J1421,SUMPRODUCT(MAX(ROW(E$1:E1421)*(E1422=E$1:E1421)))))</f>
        <v> </v>
      </c>
      <c r="L1422" s="27"/>
    </row>
    <row r="1423" spans="1:12">
      <c r="A1423" s="20" t="s">
        <v>1023</v>
      </c>
      <c r="E1423" s="22">
        <f>IF(D1423="?OLD","!!!","")</f>
        <v/>
      </c>
      <c r="F1423" s="23" t="str">
        <f>IF(OR(E1423="",E1423="!!!"),"",IF(NOT(ISNA(VLOOKUP(E1423,E$1:E1422,1,FALSE()))),"OLD",IF(AND(E1423&lt;&gt;"",E1423&lt;&gt;"!!!"),"NEW","")))</f>
        <v> </v>
      </c>
      <c r="G1423" s="24" t="str">
        <f>IF(OR(E1423="",E1423="!!!"),"",IF(OR(J1423=0,AND(J1423=1,K1423=1),AND(J1423=1,I1423="SBJ"),AND(J1423=1,I1423=0)),"?IN_FOCUS",IF(J1423&lt;=2,"?ACTIVATED",IF(J1423&lt;&gt;"","?FAMILIAR",IF(F1423="NEW",IF(ISNA(VLOOKUP(E1423,#REF!,1,FALSE())),"?TYPE_IDENTIFIABLE","?REFERENTIAL"),"_")))))</f>
        <v> </v>
      </c>
      <c r="H1423" s="25" t="str">
        <f>IF(J1423&lt;&gt;1,"",IF(I1423="SBJ","CB","?"))</f>
        <v> </v>
      </c>
      <c r="I1423" s="26" t="str">
        <f>IF(OR(E1423="",E1423="!!!",F1423="NEW"),"",INDEX(B1422:B$2,-1+SUMPRODUCT(MAX(ROW(E1422:E$2)*(E1423=E1422:E$2)))))</f>
        <v> </v>
      </c>
      <c r="J1423" s="26" t="str">
        <f>IF(OR(E1423="",E1423="!!!",F1423="NEW"),"",COUNTBLANK(OFFSET(A$1,,,SUMPRODUCT(MAX(ROW(E$2:E1423)*(E1423=E$2:E1423)))))-COUNTBLANK(OFFSET(A$1,,,SUMPRODUCT(MAX(ROW(E$1:E1422)*(E2=E$1:E1422))))))</f>
        <v> </v>
      </c>
      <c r="K1423" s="26" t="str">
        <f>IF(OR(E1423="",E1423="!!!",F1423="NEW"),"",INDEX(J$1:J1422,SUMPRODUCT(MAX(ROW(E$1:E1422)*(E1423=E$1:E1422)))))</f>
        <v> </v>
      </c>
      <c r="L1423" s="27"/>
    </row>
    <row r="1424" spans="1:12">
      <c r="A1424" s="20"/>
    </row>
    <row r="1425" spans="1:12">
      <c r="A1425" s="20" t="s">
        <v>1546</v>
      </c>
    </row>
    <row r="1426" spans="1:12">
      <c r="A1426" s="20" t="s">
        <v>1547</v>
      </c>
      <c r="B1426" s="21" t="s">
        <v>1050</v>
      </c>
      <c r="C1426" s="21" t="s">
        <v>1073</v>
      </c>
      <c r="D1426" s="21" t="s">
        <v>1007</v>
      </c>
      <c r="E1426" s="22">
        <f>IF(D1426="?OLD","!!!","")</f>
        <v/>
      </c>
      <c r="F1426" s="23" t="str">
        <f>IF(OR(E1426="",E1426="!!!"),"",IF(NOT(ISNA(VLOOKUP(E1426,E$1:E1425,1,FALSE()))),"OLD",IF(AND(E1426&lt;&gt;"",E1426&lt;&gt;"!!!"),"NEW","")))</f>
        <v> </v>
      </c>
      <c r="G1426" s="24" t="str">
        <f>IF(OR(E1426="",E1426="!!!"),"",IF(OR(J1426=0,AND(J1426=1,K1426=1),AND(J1426=1,I1426="SBJ"),AND(J1426=1,I1426=0)),"?IN_FOCUS",IF(J1426&lt;=2,"?ACTIVATED",IF(J1426&lt;&gt;"","?FAMILIAR",IF(F1426="NEW",IF(ISNA(VLOOKUP(E1426,#REF!,1,FALSE())),"?TYPE_IDENTIFIABLE","?REFERENTIAL"),"_")))))</f>
        <v> </v>
      </c>
      <c r="H1426" s="25" t="str">
        <f>IF(J1426&lt;&gt;1,"",IF(I1426="SBJ","CB","?"))</f>
        <v> </v>
      </c>
      <c r="I1426" s="26" t="str">
        <f>IF(OR(E1426="",E1426="!!!",F1426="NEW"),"",INDEX(B1425:B$2,-1+SUMPRODUCT(MAX(ROW(E1425:E$2)*(E1426=E1425:E$2)))))</f>
        <v> </v>
      </c>
      <c r="J1426" s="26" t="str">
        <f>IF(OR(E1426="",E1426="!!!",F1426="NEW"),"",COUNTBLANK(OFFSET(A$1,,,SUMPRODUCT(MAX(ROW(E$2:E1426)*(E1426=E$2:E1426)))))-COUNTBLANK(OFFSET(A$1,,,SUMPRODUCT(MAX(ROW(E$1:E1425)*(E2=E$1:E1425))))))</f>
        <v> </v>
      </c>
      <c r="K1426" s="26" t="str">
        <f>IF(OR(E1426="",E1426="!!!",F1426="NEW"),"",INDEX(J$1:J1425,SUMPRODUCT(MAX(ROW(E$1:E1425)*(E1426=E$1:E1425)))))</f>
        <v> </v>
      </c>
      <c r="L1426" s="27"/>
    </row>
    <row r="1427" spans="1:12">
      <c r="A1427" s="20" t="s">
        <v>1142</v>
      </c>
      <c r="E1427" s="22">
        <f>IF(D1427="?OLD","!!!","")</f>
        <v/>
      </c>
      <c r="F1427" s="23" t="str">
        <f>IF(OR(E1427="",E1427="!!!"),"",IF(NOT(ISNA(VLOOKUP(E1427,E$1:E1426,1,FALSE()))),"OLD",IF(AND(E1427&lt;&gt;"",E1427&lt;&gt;"!!!"),"NEW","")))</f>
        <v> </v>
      </c>
      <c r="G1427" s="24" t="str">
        <f>IF(OR(E1427="",E1427="!!!"),"",IF(OR(J1427=0,AND(J1427=1,K1427=1),AND(J1427=1,I1427="SBJ"),AND(J1427=1,I1427=0)),"?IN_FOCUS",IF(J1427&lt;=2,"?ACTIVATED",IF(J1427&lt;&gt;"","?FAMILIAR",IF(F1427="NEW",IF(ISNA(VLOOKUP(E1427,#REF!,1,FALSE())),"?TYPE_IDENTIFIABLE","?REFERENTIAL"),"_")))))</f>
        <v> </v>
      </c>
      <c r="H1427" s="25" t="str">
        <f>IF(J1427&lt;&gt;1,"",IF(I1427="SBJ","CB","?"))</f>
        <v> </v>
      </c>
      <c r="I1427" s="26" t="str">
        <f>IF(OR(E1427="",E1427="!!!",F1427="NEW"),"",INDEX(B1426:B$2,-1+SUMPRODUCT(MAX(ROW(E1426:E$2)*(E1427=E1426:E$2)))))</f>
        <v> </v>
      </c>
      <c r="J1427" s="26" t="str">
        <f>IF(OR(E1427="",E1427="!!!",F1427="NEW"),"",COUNTBLANK(OFFSET(A$1,,,SUMPRODUCT(MAX(ROW(E$2:E1427)*(E1427=E$2:E1427)))))-COUNTBLANK(OFFSET(A$1,,,SUMPRODUCT(MAX(ROW(E$1:E1426)*(E2=E$1:E1426))))))</f>
        <v> </v>
      </c>
      <c r="K1427" s="26" t="str">
        <f>IF(OR(E1427="",E1427="!!!",F1427="NEW"),"",INDEX(J$1:J1426,SUMPRODUCT(MAX(ROW(E$1:E1426)*(E1427=E$1:E1426)))))</f>
        <v> </v>
      </c>
      <c r="L1427" s="27"/>
    </row>
    <row r="1428" spans="1:12">
      <c r="A1428" s="20" t="s">
        <v>1533</v>
      </c>
      <c r="E1428" s="22">
        <f>IF(D1428="?OLD","!!!","")</f>
        <v/>
      </c>
      <c r="F1428" s="23" t="str">
        <f>IF(OR(E1428="",E1428="!!!"),"",IF(NOT(ISNA(VLOOKUP(E1428,E$1:E1427,1,FALSE()))),"OLD",IF(AND(E1428&lt;&gt;"",E1428&lt;&gt;"!!!"),"NEW","")))</f>
        <v> </v>
      </c>
      <c r="G1428" s="24" t="str">
        <f>IF(OR(E1428="",E1428="!!!"),"",IF(OR(J1428=0,AND(J1428=1,K1428=1),AND(J1428=1,I1428="SBJ"),AND(J1428=1,I1428=0)),"?IN_FOCUS",IF(J1428&lt;=2,"?ACTIVATED",IF(J1428&lt;&gt;"","?FAMILIAR",IF(F1428="NEW",IF(ISNA(VLOOKUP(E1428,#REF!,1,FALSE())),"?TYPE_IDENTIFIABLE","?REFERENTIAL"),"_")))))</f>
        <v> </v>
      </c>
      <c r="H1428" s="25" t="str">
        <f>IF(J1428&lt;&gt;1,"",IF(I1428="SBJ","CB","?"))</f>
        <v> </v>
      </c>
      <c r="I1428" s="26" t="str">
        <f>IF(OR(E1428="",E1428="!!!",F1428="NEW"),"",INDEX(B1427:B$2,-1+SUMPRODUCT(MAX(ROW(E1427:E$2)*(E1428=E1427:E$2)))))</f>
        <v> </v>
      </c>
      <c r="J1428" s="26" t="str">
        <f>IF(OR(E1428="",E1428="!!!",F1428="NEW"),"",COUNTBLANK(OFFSET(A$1,,,SUMPRODUCT(MAX(ROW(E$2:E1428)*(E1428=E$2:E1428)))))-COUNTBLANK(OFFSET(A$1,,,SUMPRODUCT(MAX(ROW(E$1:E1427)*(E2=E$1:E1427))))))</f>
        <v> </v>
      </c>
      <c r="K1428" s="26" t="str">
        <f>IF(OR(E1428="",E1428="!!!",F1428="NEW"),"",INDEX(J$1:J1427,SUMPRODUCT(MAX(ROW(E$1:E1427)*(E1428=E$1:E1427)))))</f>
        <v> </v>
      </c>
      <c r="L1428" s="27"/>
    </row>
    <row r="1429" spans="1:12">
      <c r="A1429" s="20" t="s">
        <v>1065</v>
      </c>
      <c r="E1429" s="22">
        <f>IF(D1429="?OLD","!!!","")</f>
        <v/>
      </c>
      <c r="F1429" s="23" t="str">
        <f>IF(OR(E1429="",E1429="!!!"),"",IF(NOT(ISNA(VLOOKUP(E1429,E$1:E1428,1,FALSE()))),"OLD",IF(AND(E1429&lt;&gt;"",E1429&lt;&gt;"!!!"),"NEW","")))</f>
        <v> </v>
      </c>
      <c r="G1429" s="24" t="str">
        <f>IF(OR(E1429="",E1429="!!!"),"",IF(OR(J1429=0,AND(J1429=1,K1429=1),AND(J1429=1,I1429="SBJ"),AND(J1429=1,I1429=0)),"?IN_FOCUS",IF(J1429&lt;=2,"?ACTIVATED",IF(J1429&lt;&gt;"","?FAMILIAR",IF(F1429="NEW",IF(ISNA(VLOOKUP(E1429,#REF!,1,FALSE())),"?TYPE_IDENTIFIABLE","?REFERENTIAL"),"_")))))</f>
        <v> </v>
      </c>
      <c r="H1429" s="25" t="str">
        <f>IF(J1429&lt;&gt;1,"",IF(I1429="SBJ","CB","?"))</f>
        <v> </v>
      </c>
      <c r="I1429" s="26" t="str">
        <f>IF(OR(E1429="",E1429="!!!",F1429="NEW"),"",INDEX(B1428:B$2,-1+SUMPRODUCT(MAX(ROW(E1428:E$2)*(E1429=E1428:E$2)))))</f>
        <v> </v>
      </c>
      <c r="J1429" s="26" t="str">
        <f>IF(OR(E1429="",E1429="!!!",F1429="NEW"),"",COUNTBLANK(OFFSET(A$1,,,SUMPRODUCT(MAX(ROW(E$2:E1429)*(E1429=E$2:E1429)))))-COUNTBLANK(OFFSET(A$1,,,SUMPRODUCT(MAX(ROW(E$1:E1428)*(E2=E$1:E1428))))))</f>
        <v> </v>
      </c>
      <c r="K1429" s="26" t="str">
        <f>IF(OR(E1429="",E1429="!!!",F1429="NEW"),"",INDEX(J$1:J1428,SUMPRODUCT(MAX(ROW(E$1:E1428)*(E1429=E$1:E1428)))))</f>
        <v> </v>
      </c>
      <c r="L1429" s="27"/>
    </row>
    <row r="1430" spans="1:12">
      <c r="A1430" s="20" t="s">
        <v>1548</v>
      </c>
      <c r="E1430" s="22">
        <f>IF(D1430="?OLD","!!!","")</f>
        <v/>
      </c>
      <c r="F1430" s="23" t="str">
        <f>IF(OR(E1430="",E1430="!!!"),"",IF(NOT(ISNA(VLOOKUP(E1430,E$1:E1429,1,FALSE()))),"OLD",IF(AND(E1430&lt;&gt;"",E1430&lt;&gt;"!!!"),"NEW","")))</f>
        <v> </v>
      </c>
      <c r="G1430" s="24" t="str">
        <f>IF(OR(E1430="",E1430="!!!"),"",IF(OR(J1430=0,AND(J1430=1,K1430=1),AND(J1430=1,I1430="SBJ"),AND(J1430=1,I1430=0)),"?IN_FOCUS",IF(J1430&lt;=2,"?ACTIVATED",IF(J1430&lt;&gt;"","?FAMILIAR",IF(F1430="NEW",IF(ISNA(VLOOKUP(E1430,#REF!,1,FALSE())),"?TYPE_IDENTIFIABLE","?REFERENTIAL"),"_")))))</f>
        <v> </v>
      </c>
      <c r="H1430" s="25" t="str">
        <f>IF(J1430&lt;&gt;1,"",IF(I1430="SBJ","CB","?"))</f>
        <v> </v>
      </c>
      <c r="I1430" s="26" t="str">
        <f>IF(OR(E1430="",E1430="!!!",F1430="NEW"),"",INDEX(B1429:B$2,-1+SUMPRODUCT(MAX(ROW(E1429:E$2)*(E1430=E1429:E$2)))))</f>
        <v> </v>
      </c>
      <c r="J1430" s="26" t="str">
        <f>IF(OR(E1430="",E1430="!!!",F1430="NEW"),"",COUNTBLANK(OFFSET(A$1,,,SUMPRODUCT(MAX(ROW(E$2:E1430)*(E1430=E$2:E1430)))))-COUNTBLANK(OFFSET(A$1,,,SUMPRODUCT(MAX(ROW(E$1:E1429)*(E2=E$1:E1429))))))</f>
        <v> </v>
      </c>
      <c r="K1430" s="26" t="str">
        <f>IF(OR(E1430="",E1430="!!!",F1430="NEW"),"",INDEX(J$1:J1429,SUMPRODUCT(MAX(ROW(E$1:E1429)*(E1430=E$1:E1429)))))</f>
        <v> </v>
      </c>
      <c r="L1430" s="27"/>
    </row>
    <row r="1431" spans="1:12">
      <c r="A1431" s="20" t="s">
        <v>1056</v>
      </c>
      <c r="E1431" s="22">
        <f>IF(D1431="?OLD","!!!","")</f>
        <v/>
      </c>
      <c r="F1431" s="23" t="str">
        <f>IF(OR(E1431="",E1431="!!!"),"",IF(NOT(ISNA(VLOOKUP(E1431,E$1:E1430,1,FALSE()))),"OLD",IF(AND(E1431&lt;&gt;"",E1431&lt;&gt;"!!!"),"NEW","")))</f>
        <v> </v>
      </c>
      <c r="G1431" s="24" t="str">
        <f>IF(OR(E1431="",E1431="!!!"),"",IF(OR(J1431=0,AND(J1431=1,K1431=1),AND(J1431=1,I1431="SBJ"),AND(J1431=1,I1431=0)),"?IN_FOCUS",IF(J1431&lt;=2,"?ACTIVATED",IF(J1431&lt;&gt;"","?FAMILIAR",IF(F1431="NEW",IF(ISNA(VLOOKUP(E1431,#REF!,1,FALSE())),"?TYPE_IDENTIFIABLE","?REFERENTIAL"),"_")))))</f>
        <v> </v>
      </c>
      <c r="H1431" s="25" t="str">
        <f>IF(J1431&lt;&gt;1,"",IF(I1431="SBJ","CB","?"))</f>
        <v> </v>
      </c>
      <c r="I1431" s="26" t="str">
        <f>IF(OR(E1431="",E1431="!!!",F1431="NEW"),"",INDEX(B1430:B$2,-1+SUMPRODUCT(MAX(ROW(E1430:E$2)*(E1431=E1430:E$2)))))</f>
        <v> </v>
      </c>
      <c r="J1431" s="26" t="str">
        <f>IF(OR(E1431="",E1431="!!!",F1431="NEW"),"",COUNTBLANK(OFFSET(A$1,,,SUMPRODUCT(MAX(ROW(E$2:E1431)*(E1431=E$2:E1431)))))-COUNTBLANK(OFFSET(A$1,,,SUMPRODUCT(MAX(ROW(E$1:E1430)*(E2=E$1:E1430))))))</f>
        <v> </v>
      </c>
      <c r="K1431" s="26" t="str">
        <f>IF(OR(E1431="",E1431="!!!",F1431="NEW"),"",INDEX(J$1:J1430,SUMPRODUCT(MAX(ROW(E$1:E1430)*(E1431=E$1:E1430)))))</f>
        <v> </v>
      </c>
      <c r="L1431" s="27"/>
    </row>
    <row r="1432" spans="1:12">
      <c r="A1432" s="20" t="s">
        <v>1549</v>
      </c>
      <c r="B1432" s="21" t="s">
        <v>1029</v>
      </c>
      <c r="C1432" s="21" t="s">
        <v>1013</v>
      </c>
      <c r="D1432" s="21" t="s">
        <v>1007</v>
      </c>
      <c r="E1432" s="22">
        <f>IF(D1432="?OLD","!!!","")</f>
        <v/>
      </c>
      <c r="F1432" s="23" t="str">
        <f>IF(OR(E1432="",E1432="!!!"),"",IF(NOT(ISNA(VLOOKUP(E1432,E$1:E1431,1,FALSE()))),"OLD",IF(AND(E1432&lt;&gt;"",E1432&lt;&gt;"!!!"),"NEW","")))</f>
        <v> </v>
      </c>
      <c r="G1432" s="24" t="str">
        <f>IF(OR(E1432="",E1432="!!!"),"",IF(OR(J1432=0,AND(J1432=1,K1432=1),AND(J1432=1,I1432="SBJ"),AND(J1432=1,I1432=0)),"?IN_FOCUS",IF(J1432&lt;=2,"?ACTIVATED",IF(J1432&lt;&gt;"","?FAMILIAR",IF(F1432="NEW",IF(ISNA(VLOOKUP(E1432,#REF!,1,FALSE())),"?TYPE_IDENTIFIABLE","?REFERENTIAL"),"_")))))</f>
        <v> </v>
      </c>
      <c r="H1432" s="25" t="str">
        <f>IF(J1432&lt;&gt;1,"",IF(I1432="SBJ","CB","?"))</f>
        <v> </v>
      </c>
      <c r="I1432" s="26" t="str">
        <f>IF(OR(E1432="",E1432="!!!",F1432="NEW"),"",INDEX(B1431:B$2,-1+SUMPRODUCT(MAX(ROW(E1431:E$2)*(E1432=E1431:E$2)))))</f>
        <v> </v>
      </c>
      <c r="J1432" s="26" t="str">
        <f>IF(OR(E1432="",E1432="!!!",F1432="NEW"),"",COUNTBLANK(OFFSET(A$1,,,SUMPRODUCT(MAX(ROW(E$2:E1432)*(E1432=E$2:E1432)))))-COUNTBLANK(OFFSET(A$1,,,SUMPRODUCT(MAX(ROW(E$1:E1431)*(E2=E$1:E1431))))))</f>
        <v> </v>
      </c>
      <c r="K1432" s="26" t="str">
        <f>IF(OR(E1432="",E1432="!!!",F1432="NEW"),"",INDEX(J$1:J1431,SUMPRODUCT(MAX(ROW(E$1:E1431)*(E1432=E$1:E1431)))))</f>
        <v> </v>
      </c>
      <c r="L1432" s="27"/>
    </row>
    <row r="1433" spans="1:12">
      <c r="A1433" s="20" t="s">
        <v>1014</v>
      </c>
      <c r="E1433" s="22">
        <f>IF(D1433="?OLD","!!!","")</f>
        <v/>
      </c>
      <c r="F1433" s="23" t="str">
        <f>IF(OR(E1433="",E1433="!!!"),"",IF(NOT(ISNA(VLOOKUP(E1433,E$1:E1432,1,FALSE()))),"OLD",IF(AND(E1433&lt;&gt;"",E1433&lt;&gt;"!!!"),"NEW","")))</f>
        <v> </v>
      </c>
      <c r="G1433" s="24" t="str">
        <f>IF(OR(E1433="",E1433="!!!"),"",IF(OR(J1433=0,AND(J1433=1,K1433=1),AND(J1433=1,I1433="SBJ"),AND(J1433=1,I1433=0)),"?IN_FOCUS",IF(J1433&lt;=2,"?ACTIVATED",IF(J1433&lt;&gt;"","?FAMILIAR",IF(F1433="NEW",IF(ISNA(VLOOKUP(E1433,#REF!,1,FALSE())),"?TYPE_IDENTIFIABLE","?REFERENTIAL"),"_")))))</f>
        <v> </v>
      </c>
      <c r="H1433" s="25" t="str">
        <f>IF(J1433&lt;&gt;1,"",IF(I1433="SBJ","CB","?"))</f>
        <v> </v>
      </c>
      <c r="I1433" s="26" t="str">
        <f>IF(OR(E1433="",E1433="!!!",F1433="NEW"),"",INDEX(B1432:B$2,-1+SUMPRODUCT(MAX(ROW(E1432:E$2)*(E1433=E1432:E$2)))))</f>
        <v> </v>
      </c>
      <c r="J1433" s="26" t="str">
        <f>IF(OR(E1433="",E1433="!!!",F1433="NEW"),"",COUNTBLANK(OFFSET(A$1,,,SUMPRODUCT(MAX(ROW(E$2:E1433)*(E1433=E$2:E1433)))))-COUNTBLANK(OFFSET(A$1,,,SUMPRODUCT(MAX(ROW(E$1:E1432)*(E2=E$1:E1432))))))</f>
        <v> </v>
      </c>
      <c r="K1433" s="26" t="str">
        <f>IF(OR(E1433="",E1433="!!!",F1433="NEW"),"",INDEX(J$1:J1432,SUMPRODUCT(MAX(ROW(E$1:E1432)*(E1433=E$1:E1432)))))</f>
        <v> </v>
      </c>
      <c r="L1433" s="27"/>
    </row>
    <row r="1434" spans="1:12">
      <c r="A1434" s="20" t="s">
        <v>1270</v>
      </c>
      <c r="B1434" s="21" t="s">
        <v>1033</v>
      </c>
      <c r="C1434" s="21" t="s">
        <v>1013</v>
      </c>
      <c r="D1434" s="21" t="s">
        <v>1007</v>
      </c>
      <c r="E1434" s="22">
        <f>IF(D1434="?OLD","!!!","")</f>
        <v/>
      </c>
      <c r="F1434" s="23" t="str">
        <f>IF(OR(E1434="",E1434="!!!"),"",IF(NOT(ISNA(VLOOKUP(E1434,E$1:E1433,1,FALSE()))),"OLD",IF(AND(E1434&lt;&gt;"",E1434&lt;&gt;"!!!"),"NEW","")))</f>
        <v> </v>
      </c>
      <c r="G1434" s="24" t="str">
        <f>IF(OR(E1434="",E1434="!!!"),"",IF(OR(J1434=0,AND(J1434=1,K1434=1),AND(J1434=1,I1434="SBJ"),AND(J1434=1,I1434=0)),"?IN_FOCUS",IF(J1434&lt;=2,"?ACTIVATED",IF(J1434&lt;&gt;"","?FAMILIAR",IF(F1434="NEW",IF(ISNA(VLOOKUP(E1434,#REF!,1,FALSE())),"?TYPE_IDENTIFIABLE","?REFERENTIAL"),"_")))))</f>
        <v> </v>
      </c>
      <c r="H1434" s="25" t="str">
        <f>IF(J1434&lt;&gt;1,"",IF(I1434="SBJ","CB","?"))</f>
        <v> </v>
      </c>
      <c r="I1434" s="26" t="str">
        <f>IF(OR(E1434="",E1434="!!!",F1434="NEW"),"",INDEX(B1433:B$2,-1+SUMPRODUCT(MAX(ROW(E1433:E$2)*(E1434=E1433:E$2)))))</f>
        <v> </v>
      </c>
      <c r="J1434" s="26" t="str">
        <f>IF(OR(E1434="",E1434="!!!",F1434="NEW"),"",COUNTBLANK(OFFSET(A$1,,,SUMPRODUCT(MAX(ROW(E$2:E1434)*(E1434=E$2:E1434)))))-COUNTBLANK(OFFSET(A$1,,,SUMPRODUCT(MAX(ROW(E$1:E1433)*(E2=E$1:E1433))))))</f>
        <v> </v>
      </c>
      <c r="K1434" s="26" t="str">
        <f>IF(OR(E1434="",E1434="!!!",F1434="NEW"),"",INDEX(J$1:J1433,SUMPRODUCT(MAX(ROW(E$1:E1433)*(E1434=E$1:E1433)))))</f>
        <v> </v>
      </c>
      <c r="L1434" s="27"/>
    </row>
    <row r="1435" spans="1:12">
      <c r="A1435" s="20" t="s">
        <v>1014</v>
      </c>
      <c r="E1435" s="22">
        <f>IF(D1435="?OLD","!!!","")</f>
        <v/>
      </c>
      <c r="F1435" s="23" t="str">
        <f>IF(OR(E1435="",E1435="!!!"),"",IF(NOT(ISNA(VLOOKUP(E1435,E$1:E1434,1,FALSE()))),"OLD",IF(AND(E1435&lt;&gt;"",E1435&lt;&gt;"!!!"),"NEW","")))</f>
        <v> </v>
      </c>
      <c r="G1435" s="24" t="str">
        <f>IF(OR(E1435="",E1435="!!!"),"",IF(OR(J1435=0,AND(J1435=1,K1435=1),AND(J1435=1,I1435="SBJ"),AND(J1435=1,I1435=0)),"?IN_FOCUS",IF(J1435&lt;=2,"?ACTIVATED",IF(J1435&lt;&gt;"","?FAMILIAR",IF(F1435="NEW",IF(ISNA(VLOOKUP(E1435,#REF!,1,FALSE())),"?TYPE_IDENTIFIABLE","?REFERENTIAL"),"_")))))</f>
        <v> </v>
      </c>
      <c r="H1435" s="25" t="str">
        <f>IF(J1435&lt;&gt;1,"",IF(I1435="SBJ","CB","?"))</f>
        <v> </v>
      </c>
      <c r="I1435" s="26" t="str">
        <f>IF(OR(E1435="",E1435="!!!",F1435="NEW"),"",INDEX(B1434:B$2,-1+SUMPRODUCT(MAX(ROW(E1434:E$2)*(E1435=E1434:E$2)))))</f>
        <v> </v>
      </c>
      <c r="J1435" s="26" t="str">
        <f>IF(OR(E1435="",E1435="!!!",F1435="NEW"),"",COUNTBLANK(OFFSET(A$1,,,SUMPRODUCT(MAX(ROW(E$2:E1435)*(E1435=E$2:E1435)))))-COUNTBLANK(OFFSET(A$1,,,SUMPRODUCT(MAX(ROW(E$1:E1434)*(E2=E$1:E1434))))))</f>
        <v> </v>
      </c>
      <c r="K1435" s="26" t="str">
        <f>IF(OR(E1435="",E1435="!!!",F1435="NEW"),"",INDEX(J$1:J1434,SUMPRODUCT(MAX(ROW(E$1:E1434)*(E1435=E$1:E1434)))))</f>
        <v> </v>
      </c>
      <c r="L1435" s="27"/>
    </row>
    <row r="1436" spans="1:12">
      <c r="A1436" s="20" t="s">
        <v>1460</v>
      </c>
      <c r="B1436" s="21" t="s">
        <v>1035</v>
      </c>
      <c r="C1436" s="21" t="s">
        <v>1048</v>
      </c>
      <c r="E1436" s="22">
        <f>IF(D1436="?OLD","!!!","")</f>
        <v/>
      </c>
      <c r="F1436" s="23" t="str">
        <f>IF(OR(E1436="",E1436="!!!"),"",IF(NOT(ISNA(VLOOKUP(E1436,E$1:E1435,1,FALSE()))),"OLD",IF(AND(E1436&lt;&gt;"",E1436&lt;&gt;"!!!"),"NEW","")))</f>
        <v> </v>
      </c>
      <c r="G1436" s="24" t="str">
        <f>IF(OR(E1436="",E1436="!!!"),"",IF(OR(J1436=0,AND(J1436=1,K1436=1),AND(J1436=1,I1436="SBJ"),AND(J1436=1,I1436=0)),"?IN_FOCUS",IF(J1436&lt;=2,"?ACTIVATED",IF(J1436&lt;&gt;"","?FAMILIAR",IF(F1436="NEW",IF(ISNA(VLOOKUP(E1436,#REF!,1,FALSE())),"?TYPE_IDENTIFIABLE","?REFERENTIAL"),"_")))))</f>
        <v> </v>
      </c>
      <c r="H1436" s="25" t="str">
        <f>IF(J1436&lt;&gt;1,"",IF(I1436="SBJ","CB","?"))</f>
        <v> </v>
      </c>
      <c r="I1436" s="26" t="str">
        <f>IF(OR(E1436="",E1436="!!!",F1436="NEW"),"",INDEX(B1435:B$2,-1+SUMPRODUCT(MAX(ROW(E1435:E$2)*(E1436=E1435:E$2)))))</f>
        <v> </v>
      </c>
      <c r="J1436" s="26" t="str">
        <f>IF(OR(E1436="",E1436="!!!",F1436="NEW"),"",COUNTBLANK(OFFSET(A$1,,,SUMPRODUCT(MAX(ROW(E$2:E1436)*(E1436=E$2:E1436)))))-COUNTBLANK(OFFSET(A$1,,,SUMPRODUCT(MAX(ROW(E$1:E1435)*(E2=E$1:E1435))))))</f>
        <v> </v>
      </c>
      <c r="K1436" s="26" t="str">
        <f>IF(OR(E1436="",E1436="!!!",F1436="NEW"),"",INDEX(J$1:J1435,SUMPRODUCT(MAX(ROW(E$1:E1435)*(E1436=E$1:E1435)))))</f>
        <v> </v>
      </c>
      <c r="L1436" s="27"/>
    </row>
    <row r="1437" spans="1:12">
      <c r="A1437" s="20" t="s">
        <v>1550</v>
      </c>
      <c r="E1437" s="22">
        <f>IF(D1437="?OLD","!!!","")</f>
        <v/>
      </c>
      <c r="F1437" s="23" t="str">
        <f>IF(OR(E1437="",E1437="!!!"),"",IF(NOT(ISNA(VLOOKUP(E1437,E$1:E1436,1,FALSE()))),"OLD",IF(AND(E1437&lt;&gt;"",E1437&lt;&gt;"!!!"),"NEW","")))</f>
        <v> </v>
      </c>
      <c r="G1437" s="24" t="str">
        <f>IF(OR(E1437="",E1437="!!!"),"",IF(OR(J1437=0,AND(J1437=1,K1437=1),AND(J1437=1,I1437="SBJ"),AND(J1437=1,I1437=0)),"?IN_FOCUS",IF(J1437&lt;=2,"?ACTIVATED",IF(J1437&lt;&gt;"","?FAMILIAR",IF(F1437="NEW",IF(ISNA(VLOOKUP(E1437,#REF!,1,FALSE())),"?TYPE_IDENTIFIABLE","?REFERENTIAL"),"_")))))</f>
        <v> </v>
      </c>
      <c r="H1437" s="25" t="str">
        <f>IF(J1437&lt;&gt;1,"",IF(I1437="SBJ","CB","?"))</f>
        <v> </v>
      </c>
      <c r="I1437" s="26" t="str">
        <f>IF(OR(E1437="",E1437="!!!",F1437="NEW"),"",INDEX(B1436:B$2,-1+SUMPRODUCT(MAX(ROW(E1436:E$2)*(E1437=E1436:E$2)))))</f>
        <v> </v>
      </c>
      <c r="J1437" s="26" t="str">
        <f>IF(OR(E1437="",E1437="!!!",F1437="NEW"),"",COUNTBLANK(OFFSET(A$1,,,SUMPRODUCT(MAX(ROW(E$2:E1437)*(E1437=E$2:E1437)))))-COUNTBLANK(OFFSET(A$1,,,SUMPRODUCT(MAX(ROW(E$1:E1436)*(E2=E$1:E1436))))))</f>
        <v> </v>
      </c>
      <c r="K1437" s="26" t="str">
        <f>IF(OR(E1437="",E1437="!!!",F1437="NEW"),"",INDEX(J$1:J1436,SUMPRODUCT(MAX(ROW(E$1:E1436)*(E1437=E$1:E1436)))))</f>
        <v> </v>
      </c>
      <c r="L1437" s="27"/>
    </row>
    <row r="1438" spans="1:12">
      <c r="A1438" s="20" t="s">
        <v>1030</v>
      </c>
      <c r="E1438" s="22">
        <f>IF(D1438="?OLD","!!!","")</f>
        <v/>
      </c>
      <c r="F1438" s="23" t="str">
        <f>IF(OR(E1438="",E1438="!!!"),"",IF(NOT(ISNA(VLOOKUP(E1438,E$1:E1437,1,FALSE()))),"OLD",IF(AND(E1438&lt;&gt;"",E1438&lt;&gt;"!!!"),"NEW","")))</f>
        <v> </v>
      </c>
      <c r="G1438" s="24" t="str">
        <f>IF(OR(E1438="",E1438="!!!"),"",IF(OR(J1438=0,AND(J1438=1,K1438=1),AND(J1438=1,I1438="SBJ"),AND(J1438=1,I1438=0)),"?IN_FOCUS",IF(J1438&lt;=2,"?ACTIVATED",IF(J1438&lt;&gt;"","?FAMILIAR",IF(F1438="NEW",IF(ISNA(VLOOKUP(E1438,#REF!,1,FALSE())),"?TYPE_IDENTIFIABLE","?REFERENTIAL"),"_")))))</f>
        <v> </v>
      </c>
      <c r="H1438" s="25" t="str">
        <f>IF(J1438&lt;&gt;1,"",IF(I1438="SBJ","CB","?"))</f>
        <v> </v>
      </c>
      <c r="I1438" s="26" t="str">
        <f>IF(OR(E1438="",E1438="!!!",F1438="NEW"),"",INDEX(B1437:B$2,-1+SUMPRODUCT(MAX(ROW(E1437:E$2)*(E1438=E1437:E$2)))))</f>
        <v> </v>
      </c>
      <c r="J1438" s="26" t="str">
        <f>IF(OR(E1438="",E1438="!!!",F1438="NEW"),"",COUNTBLANK(OFFSET(A$1,,,SUMPRODUCT(MAX(ROW(E$2:E1438)*(E1438=E$2:E1438)))))-COUNTBLANK(OFFSET(A$1,,,SUMPRODUCT(MAX(ROW(E$1:E1437)*(E2=E$1:E1437))))))</f>
        <v> </v>
      </c>
      <c r="K1438" s="26" t="str">
        <f>IF(OR(E1438="",E1438="!!!",F1438="NEW"),"",INDEX(J$1:J1437,SUMPRODUCT(MAX(ROW(E$1:E1437)*(E1438=E$1:E1437)))))</f>
        <v> </v>
      </c>
      <c r="L1438" s="27"/>
    </row>
    <row r="1439" spans="1:12">
      <c r="A1439" s="20" t="s">
        <v>1324</v>
      </c>
      <c r="E1439" s="22">
        <f>IF(D1439="?OLD","!!!","")</f>
        <v/>
      </c>
      <c r="F1439" s="23" t="str">
        <f>IF(OR(E1439="",E1439="!!!"),"",IF(NOT(ISNA(VLOOKUP(E1439,E$1:E1438,1,FALSE()))),"OLD",IF(AND(E1439&lt;&gt;"",E1439&lt;&gt;"!!!"),"NEW","")))</f>
        <v> </v>
      </c>
      <c r="G1439" s="24" t="str">
        <f>IF(OR(E1439="",E1439="!!!"),"",IF(OR(J1439=0,AND(J1439=1,K1439=1),AND(J1439=1,I1439="SBJ"),AND(J1439=1,I1439=0)),"?IN_FOCUS",IF(J1439&lt;=2,"?ACTIVATED",IF(J1439&lt;&gt;"","?FAMILIAR",IF(F1439="NEW",IF(ISNA(VLOOKUP(E1439,#REF!,1,FALSE())),"?TYPE_IDENTIFIABLE","?REFERENTIAL"),"_")))))</f>
        <v> </v>
      </c>
      <c r="H1439" s="25" t="str">
        <f>IF(J1439&lt;&gt;1,"",IF(I1439="SBJ","CB","?"))</f>
        <v> </v>
      </c>
      <c r="I1439" s="26" t="str">
        <f>IF(OR(E1439="",E1439="!!!",F1439="NEW"),"",INDEX(B1438:B$2,-1+SUMPRODUCT(MAX(ROW(E1438:E$2)*(E1439=E1438:E$2)))))</f>
        <v> </v>
      </c>
      <c r="J1439" s="26" t="str">
        <f>IF(OR(E1439="",E1439="!!!",F1439="NEW"),"",COUNTBLANK(OFFSET(A$1,,,SUMPRODUCT(MAX(ROW(E$2:E1439)*(E1439=E$2:E1439)))))-COUNTBLANK(OFFSET(A$1,,,SUMPRODUCT(MAX(ROW(E$1:E1438)*(E2=E$1:E1438))))))</f>
        <v> </v>
      </c>
      <c r="K1439" s="26" t="str">
        <f>IF(OR(E1439="",E1439="!!!",F1439="NEW"),"",INDEX(J$1:J1438,SUMPRODUCT(MAX(ROW(E$1:E1438)*(E1439=E$1:E1438)))))</f>
        <v> </v>
      </c>
      <c r="L1439" s="27"/>
    </row>
    <row r="1440" spans="1:12">
      <c r="A1440" s="20" t="s">
        <v>1551</v>
      </c>
      <c r="B1440" s="21" t="s">
        <v>1040</v>
      </c>
      <c r="C1440" s="21" t="s">
        <v>1013</v>
      </c>
      <c r="D1440" s="21" t="s">
        <v>1007</v>
      </c>
      <c r="E1440" s="22">
        <f>IF(D1440="?OLD","!!!","")</f>
        <v/>
      </c>
      <c r="F1440" s="23" t="str">
        <f>IF(OR(E1440="",E1440="!!!"),"",IF(NOT(ISNA(VLOOKUP(E1440,E$1:E1439,1,FALSE()))),"OLD",IF(AND(E1440&lt;&gt;"",E1440&lt;&gt;"!!!"),"NEW","")))</f>
        <v> </v>
      </c>
      <c r="G1440" s="24" t="str">
        <f>IF(OR(E1440="",E1440="!!!"),"",IF(OR(J1440=0,AND(J1440=1,K1440=1),AND(J1440=1,I1440="SBJ"),AND(J1440=1,I1440=0)),"?IN_FOCUS",IF(J1440&lt;=2,"?ACTIVATED",IF(J1440&lt;&gt;"","?FAMILIAR",IF(F1440="NEW",IF(ISNA(VLOOKUP(E1440,#REF!,1,FALSE())),"?TYPE_IDENTIFIABLE","?REFERENTIAL"),"_")))))</f>
        <v> </v>
      </c>
      <c r="H1440" s="25" t="str">
        <f>IF(J1440&lt;&gt;1,"",IF(I1440="SBJ","CB","?"))</f>
        <v> </v>
      </c>
      <c r="I1440" s="26" t="str">
        <f>IF(OR(E1440="",E1440="!!!",F1440="NEW"),"",INDEX(B1439:B$2,-1+SUMPRODUCT(MAX(ROW(E1439:E$2)*(E1440=E1439:E$2)))))</f>
        <v> </v>
      </c>
      <c r="J1440" s="26" t="str">
        <f>IF(OR(E1440="",E1440="!!!",F1440="NEW"),"",COUNTBLANK(OFFSET(A$1,,,SUMPRODUCT(MAX(ROW(E$2:E1440)*(E1440=E$2:E1440)))))-COUNTBLANK(OFFSET(A$1,,,SUMPRODUCT(MAX(ROW(E$1:E1439)*(E2=E$1:E1439))))))</f>
        <v> </v>
      </c>
      <c r="K1440" s="26" t="str">
        <f>IF(OR(E1440="",E1440="!!!",F1440="NEW"),"",INDEX(J$1:J1439,SUMPRODUCT(MAX(ROW(E$1:E1439)*(E1440=E$1:E1439)))))</f>
        <v> </v>
      </c>
      <c r="L1440" s="27"/>
    </row>
    <row r="1441" spans="1:12">
      <c r="A1441" s="20" t="s">
        <v>1552</v>
      </c>
      <c r="E1441" s="22">
        <f>IF(D1441="?OLD","!!!","")</f>
        <v/>
      </c>
      <c r="F1441" s="23" t="str">
        <f>IF(OR(E1441="",E1441="!!!"),"",IF(NOT(ISNA(VLOOKUP(E1441,E$1:E1440,1,FALSE()))),"OLD",IF(AND(E1441&lt;&gt;"",E1441&lt;&gt;"!!!"),"NEW","")))</f>
        <v> </v>
      </c>
      <c r="G1441" s="24" t="str">
        <f>IF(OR(E1441="",E1441="!!!"),"",IF(OR(J1441=0,AND(J1441=1,K1441=1),AND(J1441=1,I1441="SBJ"),AND(J1441=1,I1441=0)),"?IN_FOCUS",IF(J1441&lt;=2,"?ACTIVATED",IF(J1441&lt;&gt;"","?FAMILIAR",IF(F1441="NEW",IF(ISNA(VLOOKUP(E1441,#REF!,1,FALSE())),"?TYPE_IDENTIFIABLE","?REFERENTIAL"),"_")))))</f>
        <v> </v>
      </c>
      <c r="H1441" s="25" t="str">
        <f>IF(J1441&lt;&gt;1,"",IF(I1441="SBJ","CB","?"))</f>
        <v> </v>
      </c>
      <c r="I1441" s="26" t="str">
        <f>IF(OR(E1441="",E1441="!!!",F1441="NEW"),"",INDEX(B1440:B$2,-1+SUMPRODUCT(MAX(ROW(E1440:E$2)*(E1441=E1440:E$2)))))</f>
        <v> </v>
      </c>
      <c r="J1441" s="26" t="str">
        <f>IF(OR(E1441="",E1441="!!!",F1441="NEW"),"",COUNTBLANK(OFFSET(A$1,,,SUMPRODUCT(MAX(ROW(E$2:E1441)*(E1441=E$2:E1441)))))-COUNTBLANK(OFFSET(A$1,,,SUMPRODUCT(MAX(ROW(E$1:E1440)*(E2=E$1:E1440))))))</f>
        <v> </v>
      </c>
      <c r="K1441" s="26" t="str">
        <f>IF(OR(E1441="",E1441="!!!",F1441="NEW"),"",INDEX(J$1:J1440,SUMPRODUCT(MAX(ROW(E$1:E1440)*(E1441=E$1:E1440)))))</f>
        <v> </v>
      </c>
      <c r="L1441" s="27"/>
    </row>
    <row r="1442" spans="1:12">
      <c r="A1442" s="20" t="s">
        <v>1014</v>
      </c>
      <c r="E1442" s="22">
        <f>IF(D1442="?OLD","!!!","")</f>
        <v/>
      </c>
      <c r="F1442" s="23" t="str">
        <f>IF(OR(E1442="",E1442="!!!"),"",IF(NOT(ISNA(VLOOKUP(E1442,E$1:E1441,1,FALSE()))),"OLD",IF(AND(E1442&lt;&gt;"",E1442&lt;&gt;"!!!"),"NEW","")))</f>
        <v> </v>
      </c>
      <c r="G1442" s="24" t="str">
        <f>IF(OR(E1442="",E1442="!!!"),"",IF(OR(J1442=0,AND(J1442=1,K1442=1),AND(J1442=1,I1442="SBJ"),AND(J1442=1,I1442=0)),"?IN_FOCUS",IF(J1442&lt;=2,"?ACTIVATED",IF(J1442&lt;&gt;"","?FAMILIAR",IF(F1442="NEW",IF(ISNA(VLOOKUP(E1442,#REF!,1,FALSE())),"?TYPE_IDENTIFIABLE","?REFERENTIAL"),"_")))))</f>
        <v> </v>
      </c>
      <c r="H1442" s="25" t="str">
        <f>IF(J1442&lt;&gt;1,"",IF(I1442="SBJ","CB","?"))</f>
        <v> </v>
      </c>
      <c r="I1442" s="26" t="str">
        <f>IF(OR(E1442="",E1442="!!!",F1442="NEW"),"",INDEX(B1441:B$2,-1+SUMPRODUCT(MAX(ROW(E1441:E$2)*(E1442=E1441:E$2)))))</f>
        <v> </v>
      </c>
      <c r="J1442" s="26" t="str">
        <f>IF(OR(E1442="",E1442="!!!",F1442="NEW"),"",COUNTBLANK(OFFSET(A$1,,,SUMPRODUCT(MAX(ROW(E$2:E1442)*(E1442=E$2:E1442)))))-COUNTBLANK(OFFSET(A$1,,,SUMPRODUCT(MAX(ROW(E$1:E1441)*(E2=E$1:E1441))))))</f>
        <v> </v>
      </c>
      <c r="K1442" s="26" t="str">
        <f>IF(OR(E1442="",E1442="!!!",F1442="NEW"),"",INDEX(J$1:J1441,SUMPRODUCT(MAX(ROW(E$1:E1441)*(E1442=E$1:E1441)))))</f>
        <v> </v>
      </c>
      <c r="L1442" s="27"/>
    </row>
    <row r="1443" spans="1:12">
      <c r="A1443" s="20" t="s">
        <v>1553</v>
      </c>
      <c r="B1443" s="21" t="s">
        <v>1042</v>
      </c>
      <c r="C1443" s="21" t="s">
        <v>1048</v>
      </c>
      <c r="E1443" s="22">
        <f>IF(D1443="?OLD","!!!","")</f>
        <v/>
      </c>
      <c r="F1443" s="23" t="str">
        <f>IF(OR(E1443="",E1443="!!!"),"",IF(NOT(ISNA(VLOOKUP(E1443,E$1:E1442,1,FALSE()))),"OLD",IF(AND(E1443&lt;&gt;"",E1443&lt;&gt;"!!!"),"NEW","")))</f>
        <v> </v>
      </c>
      <c r="G1443" s="24" t="str">
        <f>IF(OR(E1443="",E1443="!!!"),"",IF(OR(J1443=0,AND(J1443=1,K1443=1),AND(J1443=1,I1443="SBJ"),AND(J1443=1,I1443=0)),"?IN_FOCUS",IF(J1443&lt;=2,"?ACTIVATED",IF(J1443&lt;&gt;"","?FAMILIAR",IF(F1443="NEW",IF(ISNA(VLOOKUP(E1443,#REF!,1,FALSE())),"?TYPE_IDENTIFIABLE","?REFERENTIAL"),"_")))))</f>
        <v> </v>
      </c>
      <c r="H1443" s="25" t="str">
        <f>IF(J1443&lt;&gt;1,"",IF(I1443="SBJ","CB","?"))</f>
        <v> </v>
      </c>
      <c r="I1443" s="26" t="str">
        <f>IF(OR(E1443="",E1443="!!!",F1443="NEW"),"",INDEX(B1442:B$2,-1+SUMPRODUCT(MAX(ROW(E1442:E$2)*(E1443=E1442:E$2)))))</f>
        <v> </v>
      </c>
      <c r="J1443" s="26" t="str">
        <f>IF(OR(E1443="",E1443="!!!",F1443="NEW"),"",COUNTBLANK(OFFSET(A$1,,,SUMPRODUCT(MAX(ROW(E$2:E1443)*(E1443=E$2:E1443)))))-COUNTBLANK(OFFSET(A$1,,,SUMPRODUCT(MAX(ROW(E$1:E1442)*(E2=E$1:E1442))))))</f>
        <v> </v>
      </c>
      <c r="K1443" s="26" t="str">
        <f>IF(OR(E1443="",E1443="!!!",F1443="NEW"),"",INDEX(J$1:J1442,SUMPRODUCT(MAX(ROW(E$1:E1442)*(E1443=E$1:E1442)))))</f>
        <v> </v>
      </c>
      <c r="L1443" s="27"/>
    </row>
    <row r="1444" spans="1:12">
      <c r="A1444" s="20" t="s">
        <v>1018</v>
      </c>
      <c r="E1444" s="22">
        <f>IF(D1444="?OLD","!!!","")</f>
        <v/>
      </c>
      <c r="F1444" s="23" t="str">
        <f>IF(OR(E1444="",E1444="!!!"),"",IF(NOT(ISNA(VLOOKUP(E1444,E$1:E1443,1,FALSE()))),"OLD",IF(AND(E1444&lt;&gt;"",E1444&lt;&gt;"!!!"),"NEW","")))</f>
        <v> </v>
      </c>
      <c r="G1444" s="24" t="str">
        <f>IF(OR(E1444="",E1444="!!!"),"",IF(OR(J1444=0,AND(J1444=1,K1444=1),AND(J1444=1,I1444="SBJ"),AND(J1444=1,I1444=0)),"?IN_FOCUS",IF(J1444&lt;=2,"?ACTIVATED",IF(J1444&lt;&gt;"","?FAMILIAR",IF(F1444="NEW",IF(ISNA(VLOOKUP(E1444,#REF!,1,FALSE())),"?TYPE_IDENTIFIABLE","?REFERENTIAL"),"_")))))</f>
        <v> </v>
      </c>
      <c r="H1444" s="25" t="str">
        <f>IF(J1444&lt;&gt;1,"",IF(I1444="SBJ","CB","?"))</f>
        <v> </v>
      </c>
      <c r="I1444" s="26" t="str">
        <f>IF(OR(E1444="",E1444="!!!",F1444="NEW"),"",INDEX(B1443:B$2,-1+SUMPRODUCT(MAX(ROW(E1443:E$2)*(E1444=E1443:E$2)))))</f>
        <v> </v>
      </c>
      <c r="J1444" s="26" t="str">
        <f>IF(OR(E1444="",E1444="!!!",F1444="NEW"),"",COUNTBLANK(OFFSET(A$1,,,SUMPRODUCT(MAX(ROW(E$2:E1444)*(E1444=E$2:E1444)))))-COUNTBLANK(OFFSET(A$1,,,SUMPRODUCT(MAX(ROW(E$1:E1443)*(E2=E$1:E1443))))))</f>
        <v> </v>
      </c>
      <c r="K1444" s="26" t="str">
        <f>IF(OR(E1444="",E1444="!!!",F1444="NEW"),"",INDEX(J$1:J1443,SUMPRODUCT(MAX(ROW(E$1:E1443)*(E1444=E$1:E1443)))))</f>
        <v> </v>
      </c>
      <c r="L1444" s="27"/>
    </row>
    <row r="1445" spans="1:12">
      <c r="A1445" s="20" t="s">
        <v>1182</v>
      </c>
      <c r="E1445" s="22">
        <f>IF(D1445="?OLD","!!!","")</f>
        <v/>
      </c>
      <c r="F1445" s="23" t="str">
        <f>IF(OR(E1445="",E1445="!!!"),"",IF(NOT(ISNA(VLOOKUP(E1445,E$1:E1444,1,FALSE()))),"OLD",IF(AND(E1445&lt;&gt;"",E1445&lt;&gt;"!!!"),"NEW","")))</f>
        <v> </v>
      </c>
      <c r="G1445" s="24" t="str">
        <f>IF(OR(E1445="",E1445="!!!"),"",IF(OR(J1445=0,AND(J1445=1,K1445=1),AND(J1445=1,I1445="SBJ"),AND(J1445=1,I1445=0)),"?IN_FOCUS",IF(J1445&lt;=2,"?ACTIVATED",IF(J1445&lt;&gt;"","?FAMILIAR",IF(F1445="NEW",IF(ISNA(VLOOKUP(E1445,#REF!,1,FALSE())),"?TYPE_IDENTIFIABLE","?REFERENTIAL"),"_")))))</f>
        <v> </v>
      </c>
      <c r="H1445" s="25" t="str">
        <f>IF(J1445&lt;&gt;1,"",IF(I1445="SBJ","CB","?"))</f>
        <v> </v>
      </c>
      <c r="I1445" s="26" t="str">
        <f>IF(OR(E1445="",E1445="!!!",F1445="NEW"),"",INDEX(B1444:B$2,-1+SUMPRODUCT(MAX(ROW(E1444:E$2)*(E1445=E1444:E$2)))))</f>
        <v> </v>
      </c>
      <c r="J1445" s="26" t="str">
        <f>IF(OR(E1445="",E1445="!!!",F1445="NEW"),"",COUNTBLANK(OFFSET(A$1,,,SUMPRODUCT(MAX(ROW(E$2:E1445)*(E1445=E$2:E1445)))))-COUNTBLANK(OFFSET(A$1,,,SUMPRODUCT(MAX(ROW(E$1:E1444)*(E2=E$1:E1444))))))</f>
        <v> </v>
      </c>
      <c r="K1445" s="26" t="str">
        <f>IF(OR(E1445="",E1445="!!!",F1445="NEW"),"",INDEX(J$1:J1444,SUMPRODUCT(MAX(ROW(E$1:E1444)*(E1445=E$1:E1444)))))</f>
        <v> </v>
      </c>
      <c r="L1445" s="27"/>
    </row>
    <row r="1446" spans="1:12">
      <c r="A1446" s="20" t="s">
        <v>1020</v>
      </c>
      <c r="E1446" s="22">
        <f>IF(D1446="?OLD","!!!","")</f>
        <v/>
      </c>
      <c r="F1446" s="23" t="str">
        <f>IF(OR(E1446="",E1446="!!!"),"",IF(NOT(ISNA(VLOOKUP(E1446,E$1:E1445,1,FALSE()))),"OLD",IF(AND(E1446&lt;&gt;"",E1446&lt;&gt;"!!!"),"NEW","")))</f>
        <v> </v>
      </c>
      <c r="G1446" s="24" t="str">
        <f>IF(OR(E1446="",E1446="!!!"),"",IF(OR(J1446=0,AND(J1446=1,K1446=1),AND(J1446=1,I1446="SBJ"),AND(J1446=1,I1446=0)),"?IN_FOCUS",IF(J1446&lt;=2,"?ACTIVATED",IF(J1446&lt;&gt;"","?FAMILIAR",IF(F1446="NEW",IF(ISNA(VLOOKUP(E1446,#REF!,1,FALSE())),"?TYPE_IDENTIFIABLE","?REFERENTIAL"),"_")))))</f>
        <v> </v>
      </c>
      <c r="H1446" s="25" t="str">
        <f>IF(J1446&lt;&gt;1,"",IF(I1446="SBJ","CB","?"))</f>
        <v> </v>
      </c>
      <c r="I1446" s="26" t="str">
        <f>IF(OR(E1446="",E1446="!!!",F1446="NEW"),"",INDEX(B1445:B$2,-1+SUMPRODUCT(MAX(ROW(E1445:E$2)*(E1446=E1445:E$2)))))</f>
        <v> </v>
      </c>
      <c r="J1446" s="26" t="str">
        <f>IF(OR(E1446="",E1446="!!!",F1446="NEW"),"",COUNTBLANK(OFFSET(A$1,,,SUMPRODUCT(MAX(ROW(E$2:E1446)*(E1446=E$2:E1446)))))-COUNTBLANK(OFFSET(A$1,,,SUMPRODUCT(MAX(ROW(E$1:E1445)*(E2=E$1:E1445))))))</f>
        <v> </v>
      </c>
      <c r="K1446" s="26" t="str">
        <f>IF(OR(E1446="",E1446="!!!",F1446="NEW"),"",INDEX(J$1:J1445,SUMPRODUCT(MAX(ROW(E$1:E1445)*(E1446=E$1:E1445)))))</f>
        <v> </v>
      </c>
      <c r="L1446" s="27"/>
    </row>
    <row r="1447" spans="1:12">
      <c r="A1447" s="20" t="s">
        <v>1211</v>
      </c>
      <c r="B1447" s="21" t="s">
        <v>1033</v>
      </c>
      <c r="C1447" s="21" t="s">
        <v>1006</v>
      </c>
      <c r="D1447" s="21" t="s">
        <v>1007</v>
      </c>
      <c r="E1447" s="22">
        <f>IF(D1447="?OLD","!!!","")</f>
        <v/>
      </c>
      <c r="F1447" s="23" t="str">
        <f>IF(OR(E1447="",E1447="!!!"),"",IF(NOT(ISNA(VLOOKUP(E1447,E$1:E1446,1,FALSE()))),"OLD",IF(AND(E1447&lt;&gt;"",E1447&lt;&gt;"!!!"),"NEW","")))</f>
        <v> </v>
      </c>
      <c r="G1447" s="24" t="str">
        <f>IF(OR(E1447="",E1447="!!!"),"",IF(OR(J1447=0,AND(J1447=1,K1447=1),AND(J1447=1,I1447="SBJ"),AND(J1447=1,I1447=0)),"?IN_FOCUS",IF(J1447&lt;=2,"?ACTIVATED",IF(J1447&lt;&gt;"","?FAMILIAR",IF(F1447="NEW",IF(ISNA(VLOOKUP(E1447,#REF!,1,FALSE())),"?TYPE_IDENTIFIABLE","?REFERENTIAL"),"_")))))</f>
        <v> </v>
      </c>
      <c r="H1447" s="25" t="str">
        <f>IF(J1447&lt;&gt;1,"",IF(I1447="SBJ","CB","?"))</f>
        <v> </v>
      </c>
      <c r="I1447" s="26" t="str">
        <f>IF(OR(E1447="",E1447="!!!",F1447="NEW"),"",INDEX(B1446:B$2,-1+SUMPRODUCT(MAX(ROW(E1446:E$2)*(E1447=E1446:E$2)))))</f>
        <v> </v>
      </c>
      <c r="J1447" s="26" t="str">
        <f>IF(OR(E1447="",E1447="!!!",F1447="NEW"),"",COUNTBLANK(OFFSET(A$1,,,SUMPRODUCT(MAX(ROW(E$2:E1447)*(E1447=E$2:E1447)))))-COUNTBLANK(OFFSET(A$1,,,SUMPRODUCT(MAX(ROW(E$1:E1446)*(E2=E$1:E1446))))))</f>
        <v> </v>
      </c>
      <c r="K1447" s="26" t="str">
        <f>IF(OR(E1447="",E1447="!!!",F1447="NEW"),"",INDEX(J$1:J1446,SUMPRODUCT(MAX(ROW(E$1:E1446)*(E1447=E$1:E1446)))))</f>
        <v> </v>
      </c>
      <c r="L1447" s="27"/>
    </row>
    <row r="1448" spans="1:12">
      <c r="A1448" s="20" t="s">
        <v>1036</v>
      </c>
      <c r="E1448" s="22">
        <f>IF(D1448="?OLD","!!!","")</f>
        <v/>
      </c>
      <c r="F1448" s="23" t="str">
        <f>IF(OR(E1448="",E1448="!!!"),"",IF(NOT(ISNA(VLOOKUP(E1448,E$1:E1447,1,FALSE()))),"OLD",IF(AND(E1448&lt;&gt;"",E1448&lt;&gt;"!!!"),"NEW","")))</f>
        <v> </v>
      </c>
      <c r="G1448" s="24" t="str">
        <f>IF(OR(E1448="",E1448="!!!"),"",IF(OR(J1448=0,AND(J1448=1,K1448=1),AND(J1448=1,I1448="SBJ"),AND(J1448=1,I1448=0)),"?IN_FOCUS",IF(J1448&lt;=2,"?ACTIVATED",IF(J1448&lt;&gt;"","?FAMILIAR",IF(F1448="NEW",IF(ISNA(VLOOKUP(E1448,#REF!,1,FALSE())),"?TYPE_IDENTIFIABLE","?REFERENTIAL"),"_")))))</f>
        <v> </v>
      </c>
      <c r="H1448" s="25" t="str">
        <f>IF(J1448&lt;&gt;1,"",IF(I1448="SBJ","CB","?"))</f>
        <v> </v>
      </c>
      <c r="I1448" s="26" t="str">
        <f>IF(OR(E1448="",E1448="!!!",F1448="NEW"),"",INDEX(B1447:B$2,-1+SUMPRODUCT(MAX(ROW(E1447:E$2)*(E1448=E1447:E$2)))))</f>
        <v> </v>
      </c>
      <c r="J1448" s="26" t="str">
        <f>IF(OR(E1448="",E1448="!!!",F1448="NEW"),"",COUNTBLANK(OFFSET(A$1,,,SUMPRODUCT(MAX(ROW(E$2:E1448)*(E1448=E$2:E1448)))))-COUNTBLANK(OFFSET(A$1,,,SUMPRODUCT(MAX(ROW(E$1:E1447)*(E2=E$1:E1447))))))</f>
        <v> </v>
      </c>
      <c r="K1448" s="26" t="str">
        <f>IF(OR(E1448="",E1448="!!!",F1448="NEW"),"",INDEX(J$1:J1447,SUMPRODUCT(MAX(ROW(E$1:E1447)*(E1448=E$1:E1447)))))</f>
        <v> </v>
      </c>
      <c r="L1448" s="27"/>
    </row>
    <row r="1449" spans="1:12">
      <c r="A1449" s="20" t="s">
        <v>1037</v>
      </c>
      <c r="E1449" s="22">
        <f>IF(D1449="?OLD","!!!","")</f>
        <v/>
      </c>
      <c r="F1449" s="23" t="str">
        <f>IF(OR(E1449="",E1449="!!!"),"",IF(NOT(ISNA(VLOOKUP(E1449,E$1:E1448,1,FALSE()))),"OLD",IF(AND(E1449&lt;&gt;"",E1449&lt;&gt;"!!!"),"NEW","")))</f>
        <v> </v>
      </c>
      <c r="G1449" s="24" t="str">
        <f>IF(OR(E1449="",E1449="!!!"),"",IF(OR(J1449=0,AND(J1449=1,K1449=1),AND(J1449=1,I1449="SBJ"),AND(J1449=1,I1449=0)),"?IN_FOCUS",IF(J1449&lt;=2,"?ACTIVATED",IF(J1449&lt;&gt;"","?FAMILIAR",IF(F1449="NEW",IF(ISNA(VLOOKUP(E1449,#REF!,1,FALSE())),"?TYPE_IDENTIFIABLE","?REFERENTIAL"),"_")))))</f>
        <v> </v>
      </c>
      <c r="H1449" s="25" t="str">
        <f>IF(J1449&lt;&gt;1,"",IF(I1449="SBJ","CB","?"))</f>
        <v> </v>
      </c>
      <c r="I1449" s="26" t="str">
        <f>IF(OR(E1449="",E1449="!!!",F1449="NEW"),"",INDEX(B1448:B$2,-1+SUMPRODUCT(MAX(ROW(E1448:E$2)*(E1449=E1448:E$2)))))</f>
        <v> </v>
      </c>
      <c r="J1449" s="26" t="str">
        <f>IF(OR(E1449="",E1449="!!!",F1449="NEW"),"",COUNTBLANK(OFFSET(A$1,,,SUMPRODUCT(MAX(ROW(E$2:E1449)*(E1449=E$2:E1449)))))-COUNTBLANK(OFFSET(A$1,,,SUMPRODUCT(MAX(ROW(E$1:E1448)*(E2=E$1:E1448))))))</f>
        <v> </v>
      </c>
      <c r="K1449" s="26" t="str">
        <f>IF(OR(E1449="",E1449="!!!",F1449="NEW"),"",INDEX(J$1:J1448,SUMPRODUCT(MAX(ROW(E$1:E1448)*(E1449=E$1:E1448)))))</f>
        <v> </v>
      </c>
      <c r="L1449" s="27"/>
    </row>
    <row r="1450" spans="1:12">
      <c r="A1450" s="20" t="s">
        <v>1018</v>
      </c>
      <c r="E1450" s="22">
        <f>IF(D1450="?OLD","!!!","")</f>
        <v/>
      </c>
      <c r="F1450" s="23" t="str">
        <f>IF(OR(E1450="",E1450="!!!"),"",IF(NOT(ISNA(VLOOKUP(E1450,E$1:E1449,1,FALSE()))),"OLD",IF(AND(E1450&lt;&gt;"",E1450&lt;&gt;"!!!"),"NEW","")))</f>
        <v> </v>
      </c>
      <c r="G1450" s="24" t="str">
        <f>IF(OR(E1450="",E1450="!!!"),"",IF(OR(J1450=0,AND(J1450=1,K1450=1),AND(J1450=1,I1450="SBJ"),AND(J1450=1,I1450=0)),"?IN_FOCUS",IF(J1450&lt;=2,"?ACTIVATED",IF(J1450&lt;&gt;"","?FAMILIAR",IF(F1450="NEW",IF(ISNA(VLOOKUP(E1450,#REF!,1,FALSE())),"?TYPE_IDENTIFIABLE","?REFERENTIAL"),"_")))))</f>
        <v> </v>
      </c>
      <c r="H1450" s="25" t="str">
        <f>IF(J1450&lt;&gt;1,"",IF(I1450="SBJ","CB","?"))</f>
        <v> </v>
      </c>
      <c r="I1450" s="26" t="str">
        <f>IF(OR(E1450="",E1450="!!!",F1450="NEW"),"",INDEX(B1449:B$2,-1+SUMPRODUCT(MAX(ROW(E1449:E$2)*(E1450=E1449:E$2)))))</f>
        <v> </v>
      </c>
      <c r="J1450" s="26" t="str">
        <f>IF(OR(E1450="",E1450="!!!",F1450="NEW"),"",COUNTBLANK(OFFSET(A$1,,,SUMPRODUCT(MAX(ROW(E$2:E1450)*(E1450=E$2:E1450)))))-COUNTBLANK(OFFSET(A$1,,,SUMPRODUCT(MAX(ROW(E$1:E1449)*(E2=E$1:E1449))))))</f>
        <v> </v>
      </c>
      <c r="K1450" s="26" t="str">
        <f>IF(OR(E1450="",E1450="!!!",F1450="NEW"),"",INDEX(J$1:J1449,SUMPRODUCT(MAX(ROW(E$1:E1449)*(E1450=E$1:E1449)))))</f>
        <v> </v>
      </c>
      <c r="L1450" s="27"/>
    </row>
    <row r="1451" spans="1:12">
      <c r="A1451" s="20" t="s">
        <v>1020</v>
      </c>
      <c r="E1451" s="22">
        <f>IF(D1451="?OLD","!!!","")</f>
        <v/>
      </c>
      <c r="F1451" s="23" t="str">
        <f>IF(OR(E1451="",E1451="!!!"),"",IF(NOT(ISNA(VLOOKUP(E1451,E$1:E1450,1,FALSE()))),"OLD",IF(AND(E1451&lt;&gt;"",E1451&lt;&gt;"!!!"),"NEW","")))</f>
        <v> </v>
      </c>
      <c r="G1451" s="24" t="str">
        <f>IF(OR(E1451="",E1451="!!!"),"",IF(OR(J1451=0,AND(J1451=1,K1451=1),AND(J1451=1,I1451="SBJ"),AND(J1451=1,I1451=0)),"?IN_FOCUS",IF(J1451&lt;=2,"?ACTIVATED",IF(J1451&lt;&gt;"","?FAMILIAR",IF(F1451="NEW",IF(ISNA(VLOOKUP(E1451,#REF!,1,FALSE())),"?TYPE_IDENTIFIABLE","?REFERENTIAL"),"_")))))</f>
        <v> </v>
      </c>
      <c r="H1451" s="25" t="str">
        <f>IF(J1451&lt;&gt;1,"",IF(I1451="SBJ","CB","?"))</f>
        <v> </v>
      </c>
      <c r="I1451" s="26" t="str">
        <f>IF(OR(E1451="",E1451="!!!",F1451="NEW"),"",INDEX(B1450:B$2,-1+SUMPRODUCT(MAX(ROW(E1450:E$2)*(E1451=E1450:E$2)))))</f>
        <v> </v>
      </c>
      <c r="J1451" s="26" t="str">
        <f>IF(OR(E1451="",E1451="!!!",F1451="NEW"),"",COUNTBLANK(OFFSET(A$1,,,SUMPRODUCT(MAX(ROW(E$2:E1451)*(E1451=E$2:E1451)))))-COUNTBLANK(OFFSET(A$1,,,SUMPRODUCT(MAX(ROW(E$1:E1450)*(E2=E$1:E1450))))))</f>
        <v> </v>
      </c>
      <c r="K1451" s="26" t="str">
        <f>IF(OR(E1451="",E1451="!!!",F1451="NEW"),"",INDEX(J$1:J1450,SUMPRODUCT(MAX(ROW(E$1:E1450)*(E1451=E$1:E1450)))))</f>
        <v> </v>
      </c>
      <c r="L1451" s="27"/>
    </row>
    <row r="1452" spans="1:12">
      <c r="A1452" s="20" t="s">
        <v>110</v>
      </c>
      <c r="E1452" s="22">
        <f>IF(D1452="?OLD","!!!","")</f>
        <v/>
      </c>
      <c r="F1452" s="23" t="str">
        <f>IF(OR(E1452="",E1452="!!!"),"",IF(NOT(ISNA(VLOOKUP(E1452,E$1:E1451,1,FALSE()))),"OLD",IF(AND(E1452&lt;&gt;"",E1452&lt;&gt;"!!!"),"NEW","")))</f>
        <v> </v>
      </c>
      <c r="G1452" s="24" t="str">
        <f>IF(OR(E1452="",E1452="!!!"),"",IF(OR(J1452=0,AND(J1452=1,K1452=1),AND(J1452=1,I1452="SBJ"),AND(J1452=1,I1452=0)),"?IN_FOCUS",IF(J1452&lt;=2,"?ACTIVATED",IF(J1452&lt;&gt;"","?FAMILIAR",IF(F1452="NEW",IF(ISNA(VLOOKUP(E1452,#REF!,1,FALSE())),"?TYPE_IDENTIFIABLE","?REFERENTIAL"),"_")))))</f>
        <v> </v>
      </c>
      <c r="H1452" s="25" t="str">
        <f>IF(J1452&lt;&gt;1,"",IF(I1452="SBJ","CB","?"))</f>
        <v> </v>
      </c>
      <c r="I1452" s="26" t="str">
        <f>IF(OR(E1452="",E1452="!!!",F1452="NEW"),"",INDEX(B1451:B$2,-1+SUMPRODUCT(MAX(ROW(E1451:E$2)*(E1452=E1451:E$2)))))</f>
        <v> </v>
      </c>
      <c r="J1452" s="26" t="str">
        <f>IF(OR(E1452="",E1452="!!!",F1452="NEW"),"",COUNTBLANK(OFFSET(A$1,,,SUMPRODUCT(MAX(ROW(E$2:E1452)*(E1452=E$2:E1452)))))-COUNTBLANK(OFFSET(A$1,,,SUMPRODUCT(MAX(ROW(E$1:E1451)*(E2=E$1:E1451))))))</f>
        <v> </v>
      </c>
      <c r="K1452" s="26" t="str">
        <f>IF(OR(E1452="",E1452="!!!",F1452="NEW"),"",INDEX(J$1:J1451,SUMPRODUCT(MAX(ROW(E$1:E1451)*(E1452=E$1:E1451)))))</f>
        <v> </v>
      </c>
      <c r="L1452" s="27"/>
    </row>
    <row r="1453" spans="1:12">
      <c r="A1453" s="20" t="s">
        <v>1554</v>
      </c>
      <c r="B1453" s="21" t="s">
        <v>1029</v>
      </c>
      <c r="C1453" s="21" t="s">
        <v>1013</v>
      </c>
      <c r="D1453" s="21" t="s">
        <v>1007</v>
      </c>
      <c r="E1453" s="22">
        <f>IF(D1453="?OLD","!!!","")</f>
        <v/>
      </c>
      <c r="F1453" s="23" t="str">
        <f>IF(OR(E1453="",E1453="!!!"),"",IF(NOT(ISNA(VLOOKUP(E1453,E$1:E1452,1,FALSE()))),"OLD",IF(AND(E1453&lt;&gt;"",E1453&lt;&gt;"!!!"),"NEW","")))</f>
        <v> </v>
      </c>
      <c r="G1453" s="24" t="str">
        <f>IF(OR(E1453="",E1453="!!!"),"",IF(OR(J1453=0,AND(J1453=1,K1453=1),AND(J1453=1,I1453="SBJ"),AND(J1453=1,I1453=0)),"?IN_FOCUS",IF(J1453&lt;=2,"?ACTIVATED",IF(J1453&lt;&gt;"","?FAMILIAR",IF(F1453="NEW",IF(ISNA(VLOOKUP(E1453,#REF!,1,FALSE())),"?TYPE_IDENTIFIABLE","?REFERENTIAL"),"_")))))</f>
        <v> </v>
      </c>
      <c r="H1453" s="25" t="str">
        <f>IF(J1453&lt;&gt;1,"",IF(I1453="SBJ","CB","?"))</f>
        <v> </v>
      </c>
      <c r="I1453" s="26" t="str">
        <f>IF(OR(E1453="",E1453="!!!",F1453="NEW"),"",INDEX(B1452:B$2,-1+SUMPRODUCT(MAX(ROW(E1452:E$2)*(E1453=E1452:E$2)))))</f>
        <v> </v>
      </c>
      <c r="J1453" s="26" t="str">
        <f>IF(OR(E1453="",E1453="!!!",F1453="NEW"),"",COUNTBLANK(OFFSET(A$1,,,SUMPRODUCT(MAX(ROW(E$2:E1453)*(E1453=E$2:E1453)))))-COUNTBLANK(OFFSET(A$1,,,SUMPRODUCT(MAX(ROW(E$1:E1452)*(E2=E$1:E1452))))))</f>
        <v> </v>
      </c>
      <c r="K1453" s="26" t="str">
        <f>IF(OR(E1453="",E1453="!!!",F1453="NEW"),"",INDEX(J$1:J1452,SUMPRODUCT(MAX(ROW(E$1:E1452)*(E1453=E$1:E1452)))))</f>
        <v> </v>
      </c>
      <c r="L1453" s="27"/>
    </row>
    <row r="1454" spans="1:12">
      <c r="A1454" s="20" t="s">
        <v>1014</v>
      </c>
      <c r="E1454" s="22">
        <f>IF(D1454="?OLD","!!!","")</f>
        <v/>
      </c>
      <c r="F1454" s="23" t="str">
        <f>IF(OR(E1454="",E1454="!!!"),"",IF(NOT(ISNA(VLOOKUP(E1454,E$1:E1453,1,FALSE()))),"OLD",IF(AND(E1454&lt;&gt;"",E1454&lt;&gt;"!!!"),"NEW","")))</f>
        <v> </v>
      </c>
      <c r="G1454" s="24" t="str">
        <f>IF(OR(E1454="",E1454="!!!"),"",IF(OR(J1454=0,AND(J1454=1,K1454=1),AND(J1454=1,I1454="SBJ"),AND(J1454=1,I1454=0)),"?IN_FOCUS",IF(J1454&lt;=2,"?ACTIVATED",IF(J1454&lt;&gt;"","?FAMILIAR",IF(F1454="NEW",IF(ISNA(VLOOKUP(E1454,#REF!,1,FALSE())),"?TYPE_IDENTIFIABLE","?REFERENTIAL"),"_")))))</f>
        <v> </v>
      </c>
      <c r="H1454" s="25" t="str">
        <f>IF(J1454&lt;&gt;1,"",IF(I1454="SBJ","CB","?"))</f>
        <v> </v>
      </c>
      <c r="I1454" s="26" t="str">
        <f>IF(OR(E1454="",E1454="!!!",F1454="NEW"),"",INDEX(B1453:B$2,-1+SUMPRODUCT(MAX(ROW(E1453:E$2)*(E1454=E1453:E$2)))))</f>
        <v> </v>
      </c>
      <c r="J1454" s="26" t="str">
        <f>IF(OR(E1454="",E1454="!!!",F1454="NEW"),"",COUNTBLANK(OFFSET(A$1,,,SUMPRODUCT(MAX(ROW(E$2:E1454)*(E1454=E$2:E1454)))))-COUNTBLANK(OFFSET(A$1,,,SUMPRODUCT(MAX(ROW(E$1:E1453)*(E2=E$1:E1453))))))</f>
        <v> </v>
      </c>
      <c r="K1454" s="26" t="str">
        <f>IF(OR(E1454="",E1454="!!!",F1454="NEW"),"",INDEX(J$1:J1453,SUMPRODUCT(MAX(ROW(E$1:E1453)*(E1454=E$1:E1453)))))</f>
        <v> </v>
      </c>
      <c r="L1454" s="27"/>
    </row>
    <row r="1455" spans="1:12">
      <c r="A1455" s="20" t="s">
        <v>1555</v>
      </c>
      <c r="B1455" s="21" t="s">
        <v>1033</v>
      </c>
      <c r="C1455" s="21" t="s">
        <v>1048</v>
      </c>
      <c r="E1455" s="22">
        <f>IF(D1455="?OLD","!!!","")</f>
        <v/>
      </c>
      <c r="F1455" s="23" t="str">
        <f>IF(OR(E1455="",E1455="!!!"),"",IF(NOT(ISNA(VLOOKUP(E1455,E$1:E1454,1,FALSE()))),"OLD",IF(AND(E1455&lt;&gt;"",E1455&lt;&gt;"!!!"),"NEW","")))</f>
        <v> </v>
      </c>
      <c r="G1455" s="24" t="str">
        <f>IF(OR(E1455="",E1455="!!!"),"",IF(OR(J1455=0,AND(J1455=1,K1455=1),AND(J1455=1,I1455="SBJ"),AND(J1455=1,I1455=0)),"?IN_FOCUS",IF(J1455&lt;=2,"?ACTIVATED",IF(J1455&lt;&gt;"","?FAMILIAR",IF(F1455="NEW",IF(ISNA(VLOOKUP(E1455,#REF!,1,FALSE())),"?TYPE_IDENTIFIABLE","?REFERENTIAL"),"_")))))</f>
        <v> </v>
      </c>
      <c r="H1455" s="25" t="str">
        <f>IF(J1455&lt;&gt;1,"",IF(I1455="SBJ","CB","?"))</f>
        <v> </v>
      </c>
      <c r="I1455" s="26" t="str">
        <f>IF(OR(E1455="",E1455="!!!",F1455="NEW"),"",INDEX(B1454:B$2,-1+SUMPRODUCT(MAX(ROW(E1454:E$2)*(E1455=E1454:E$2)))))</f>
        <v> </v>
      </c>
      <c r="J1455" s="26" t="str">
        <f>IF(OR(E1455="",E1455="!!!",F1455="NEW"),"",COUNTBLANK(OFFSET(A$1,,,SUMPRODUCT(MAX(ROW(E$2:E1455)*(E1455=E$2:E1455)))))-COUNTBLANK(OFFSET(A$1,,,SUMPRODUCT(MAX(ROW(E$1:E1454)*(E2=E$1:E1454))))))</f>
        <v> </v>
      </c>
      <c r="K1455" s="26" t="str">
        <f>IF(OR(E1455="",E1455="!!!",F1455="NEW"),"",INDEX(J$1:J1454,SUMPRODUCT(MAX(ROW(E$1:E1454)*(E1455=E$1:E1454)))))</f>
        <v> </v>
      </c>
      <c r="L1455" s="27"/>
    </row>
    <row r="1456" spans="1:12">
      <c r="A1456" s="20" t="s">
        <v>1127</v>
      </c>
      <c r="E1456" s="22">
        <f>IF(D1456="?OLD","!!!","")</f>
        <v/>
      </c>
      <c r="F1456" s="23" t="str">
        <f>IF(OR(E1456="",E1456="!!!"),"",IF(NOT(ISNA(VLOOKUP(E1456,E$1:E1455,1,FALSE()))),"OLD",IF(AND(E1456&lt;&gt;"",E1456&lt;&gt;"!!!"),"NEW","")))</f>
        <v> </v>
      </c>
      <c r="G1456" s="24" t="str">
        <f>IF(OR(E1456="",E1456="!!!"),"",IF(OR(J1456=0,AND(J1456=1,K1456=1),AND(J1456=1,I1456="SBJ"),AND(J1456=1,I1456=0)),"?IN_FOCUS",IF(J1456&lt;=2,"?ACTIVATED",IF(J1456&lt;&gt;"","?FAMILIAR",IF(F1456="NEW",IF(ISNA(VLOOKUP(E1456,#REF!,1,FALSE())),"?TYPE_IDENTIFIABLE","?REFERENTIAL"),"_")))))</f>
        <v> </v>
      </c>
      <c r="H1456" s="25" t="str">
        <f>IF(J1456&lt;&gt;1,"",IF(I1456="SBJ","CB","?"))</f>
        <v> </v>
      </c>
      <c r="I1456" s="26" t="str">
        <f>IF(OR(E1456="",E1456="!!!",F1456="NEW"),"",INDEX(B1455:B$2,-1+SUMPRODUCT(MAX(ROW(E1455:E$2)*(E1456=E1455:E$2)))))</f>
        <v> </v>
      </c>
      <c r="J1456" s="26" t="str">
        <f>IF(OR(E1456="",E1456="!!!",F1456="NEW"),"",COUNTBLANK(OFFSET(A$1,,,SUMPRODUCT(MAX(ROW(E$2:E1456)*(E1456=E$2:E1456)))))-COUNTBLANK(OFFSET(A$1,,,SUMPRODUCT(MAX(ROW(E$1:E1455)*(E2=E$1:E1455))))))</f>
        <v> </v>
      </c>
      <c r="K1456" s="26" t="str">
        <f>IF(OR(E1456="",E1456="!!!",F1456="NEW"),"",INDEX(J$1:J1455,SUMPRODUCT(MAX(ROW(E$1:E1455)*(E1456=E$1:E1455)))))</f>
        <v> </v>
      </c>
      <c r="L1456" s="27"/>
    </row>
    <row r="1457" spans="1:12">
      <c r="A1457" s="20" t="s">
        <v>1132</v>
      </c>
      <c r="E1457" s="22">
        <f>IF(D1457="?OLD","!!!","")</f>
        <v/>
      </c>
      <c r="F1457" s="23" t="str">
        <f>IF(OR(E1457="",E1457="!!!"),"",IF(NOT(ISNA(VLOOKUP(E1457,E$1:E1456,1,FALSE()))),"OLD",IF(AND(E1457&lt;&gt;"",E1457&lt;&gt;"!!!"),"NEW","")))</f>
        <v> </v>
      </c>
      <c r="G1457" s="24" t="str">
        <f>IF(OR(E1457="",E1457="!!!"),"",IF(OR(J1457=0,AND(J1457=1,K1457=1),AND(J1457=1,I1457="SBJ"),AND(J1457=1,I1457=0)),"?IN_FOCUS",IF(J1457&lt;=2,"?ACTIVATED",IF(J1457&lt;&gt;"","?FAMILIAR",IF(F1457="NEW",IF(ISNA(VLOOKUP(E1457,#REF!,1,FALSE())),"?TYPE_IDENTIFIABLE","?REFERENTIAL"),"_")))))</f>
        <v> </v>
      </c>
      <c r="H1457" s="25" t="str">
        <f>IF(J1457&lt;&gt;1,"",IF(I1457="SBJ","CB","?"))</f>
        <v> </v>
      </c>
      <c r="I1457" s="26" t="str">
        <f>IF(OR(E1457="",E1457="!!!",F1457="NEW"),"",INDEX(B1456:B$2,-1+SUMPRODUCT(MAX(ROW(E1456:E$2)*(E1457=E1456:E$2)))))</f>
        <v> </v>
      </c>
      <c r="J1457" s="26" t="str">
        <f>IF(OR(E1457="",E1457="!!!",F1457="NEW"),"",COUNTBLANK(OFFSET(A$1,,,SUMPRODUCT(MAX(ROW(E$2:E1457)*(E1457=E$2:E1457)))))-COUNTBLANK(OFFSET(A$1,,,SUMPRODUCT(MAX(ROW(E$1:E1456)*(E2=E$1:E1456))))))</f>
        <v> </v>
      </c>
      <c r="K1457" s="26" t="str">
        <f>IF(OR(E1457="",E1457="!!!",F1457="NEW"),"",INDEX(J$1:J1456,SUMPRODUCT(MAX(ROW(E$1:E1456)*(E1457=E$1:E1456)))))</f>
        <v> </v>
      </c>
      <c r="L1457" s="27"/>
    </row>
    <row r="1458" spans="1:12">
      <c r="A1458" s="20" t="s">
        <v>1556</v>
      </c>
      <c r="E1458" s="22">
        <f>IF(D1458="?OLD","!!!","")</f>
        <v/>
      </c>
      <c r="F1458" s="23" t="str">
        <f>IF(OR(E1458="",E1458="!!!"),"",IF(NOT(ISNA(VLOOKUP(E1458,E$1:E1457,1,FALSE()))),"OLD",IF(AND(E1458&lt;&gt;"",E1458&lt;&gt;"!!!"),"NEW","")))</f>
        <v> </v>
      </c>
      <c r="G1458" s="24" t="str">
        <f>IF(OR(E1458="",E1458="!!!"),"",IF(OR(J1458=0,AND(J1458=1,K1458=1),AND(J1458=1,I1458="SBJ"),AND(J1458=1,I1458=0)),"?IN_FOCUS",IF(J1458&lt;=2,"?ACTIVATED",IF(J1458&lt;&gt;"","?FAMILIAR",IF(F1458="NEW",IF(ISNA(VLOOKUP(E1458,#REF!,1,FALSE())),"?TYPE_IDENTIFIABLE","?REFERENTIAL"),"_")))))</f>
        <v> </v>
      </c>
      <c r="H1458" s="25" t="str">
        <f>IF(J1458&lt;&gt;1,"",IF(I1458="SBJ","CB","?"))</f>
        <v> </v>
      </c>
      <c r="I1458" s="26" t="str">
        <f>IF(OR(E1458="",E1458="!!!",F1458="NEW"),"",INDEX(B1457:B$2,-1+SUMPRODUCT(MAX(ROW(E1457:E$2)*(E1458=E1457:E$2)))))</f>
        <v> </v>
      </c>
      <c r="J1458" s="26" t="str">
        <f>IF(OR(E1458="",E1458="!!!",F1458="NEW"),"",COUNTBLANK(OFFSET(A$1,,,SUMPRODUCT(MAX(ROW(E$2:E1458)*(E1458=E$2:E1458)))))-COUNTBLANK(OFFSET(A$1,,,SUMPRODUCT(MAX(ROW(E$1:E1457)*(E2=E$1:E1457))))))</f>
        <v> </v>
      </c>
      <c r="K1458" s="26" t="str">
        <f>IF(OR(E1458="",E1458="!!!",F1458="NEW"),"",INDEX(J$1:J1457,SUMPRODUCT(MAX(ROW(E$1:E1457)*(E1458=E$1:E1457)))))</f>
        <v> </v>
      </c>
      <c r="L1458" s="27"/>
    </row>
    <row r="1459" spans="1:12">
      <c r="A1459" s="20" t="s">
        <v>1342</v>
      </c>
      <c r="E1459" s="22">
        <f>IF(D1459="?OLD","!!!","")</f>
        <v/>
      </c>
      <c r="F1459" s="23" t="str">
        <f>IF(OR(E1459="",E1459="!!!"),"",IF(NOT(ISNA(VLOOKUP(E1459,E$1:E1458,1,FALSE()))),"OLD",IF(AND(E1459&lt;&gt;"",E1459&lt;&gt;"!!!"),"NEW","")))</f>
        <v> </v>
      </c>
      <c r="G1459" s="24" t="str">
        <f>IF(OR(E1459="",E1459="!!!"),"",IF(OR(J1459=0,AND(J1459=1,K1459=1),AND(J1459=1,I1459="SBJ"),AND(J1459=1,I1459=0)),"?IN_FOCUS",IF(J1459&lt;=2,"?ACTIVATED",IF(J1459&lt;&gt;"","?FAMILIAR",IF(F1459="NEW",IF(ISNA(VLOOKUP(E1459,#REF!,1,FALSE())),"?TYPE_IDENTIFIABLE","?REFERENTIAL"),"_")))))</f>
        <v> </v>
      </c>
      <c r="H1459" s="25" t="str">
        <f>IF(J1459&lt;&gt;1,"",IF(I1459="SBJ","CB","?"))</f>
        <v> </v>
      </c>
      <c r="I1459" s="26" t="str">
        <f>IF(OR(E1459="",E1459="!!!",F1459="NEW"),"",INDEX(B1458:B$2,-1+SUMPRODUCT(MAX(ROW(E1458:E$2)*(E1459=E1458:E$2)))))</f>
        <v> </v>
      </c>
      <c r="J1459" s="26" t="str">
        <f>IF(OR(E1459="",E1459="!!!",F1459="NEW"),"",COUNTBLANK(OFFSET(A$1,,,SUMPRODUCT(MAX(ROW(E$2:E1459)*(E1459=E$2:E1459)))))-COUNTBLANK(OFFSET(A$1,,,SUMPRODUCT(MAX(ROW(E$1:E1458)*(E2=E$1:E1458))))))</f>
        <v> </v>
      </c>
      <c r="K1459" s="26" t="str">
        <f>IF(OR(E1459="",E1459="!!!",F1459="NEW"),"",INDEX(J$1:J1458,SUMPRODUCT(MAX(ROW(E$1:E1458)*(E1459=E$1:E1458)))))</f>
        <v> </v>
      </c>
      <c r="L1459" s="27"/>
    </row>
    <row r="1460" spans="1:12">
      <c r="A1460" s="20" t="s">
        <v>1279</v>
      </c>
      <c r="E1460" s="22">
        <f>IF(D1460="?OLD","!!!","")</f>
        <v/>
      </c>
      <c r="F1460" s="23" t="str">
        <f>IF(OR(E1460="",E1460="!!!"),"",IF(NOT(ISNA(VLOOKUP(E1460,E$1:E1459,1,FALSE()))),"OLD",IF(AND(E1460&lt;&gt;"",E1460&lt;&gt;"!!!"),"NEW","")))</f>
        <v> </v>
      </c>
      <c r="G1460" s="24" t="str">
        <f>IF(OR(E1460="",E1460="!!!"),"",IF(OR(J1460=0,AND(J1460=1,K1460=1),AND(J1460=1,I1460="SBJ"),AND(J1460=1,I1460=0)),"?IN_FOCUS",IF(J1460&lt;=2,"?ACTIVATED",IF(J1460&lt;&gt;"","?FAMILIAR",IF(F1460="NEW",IF(ISNA(VLOOKUP(E1460,#REF!,1,FALSE())),"?TYPE_IDENTIFIABLE","?REFERENTIAL"),"_")))))</f>
        <v> </v>
      </c>
      <c r="H1460" s="25" t="str">
        <f>IF(J1460&lt;&gt;1,"",IF(I1460="SBJ","CB","?"))</f>
        <v> </v>
      </c>
      <c r="I1460" s="26" t="str">
        <f>IF(OR(E1460="",E1460="!!!",F1460="NEW"),"",INDEX(B1459:B$2,-1+SUMPRODUCT(MAX(ROW(E1459:E$2)*(E1460=E1459:E$2)))))</f>
        <v> </v>
      </c>
      <c r="J1460" s="26" t="str">
        <f>IF(OR(E1460="",E1460="!!!",F1460="NEW"),"",COUNTBLANK(OFFSET(A$1,,,SUMPRODUCT(MAX(ROW(E$2:E1460)*(E1460=E$2:E1460)))))-COUNTBLANK(OFFSET(A$1,,,SUMPRODUCT(MAX(ROW(E$1:E1459)*(E2=E$1:E1459))))))</f>
        <v> </v>
      </c>
      <c r="K1460" s="26" t="str">
        <f>IF(OR(E1460="",E1460="!!!",F1460="NEW"),"",INDEX(J$1:J1459,SUMPRODUCT(MAX(ROW(E$1:E1459)*(E1460=E$1:E1459)))))</f>
        <v> </v>
      </c>
      <c r="L1460" s="27"/>
    </row>
    <row r="1461" spans="1:12">
      <c r="A1461" s="20" t="s">
        <v>1243</v>
      </c>
      <c r="B1461" s="21" t="s">
        <v>1134</v>
      </c>
      <c r="C1461" s="21" t="s">
        <v>1041</v>
      </c>
      <c r="D1461" s="21" t="s">
        <v>1007</v>
      </c>
      <c r="E1461" s="22">
        <f>IF(D1461="?OLD","!!!","")</f>
        <v/>
      </c>
      <c r="F1461" s="23" t="str">
        <f>IF(OR(E1461="",E1461="!!!"),"",IF(NOT(ISNA(VLOOKUP(E1461,E$1:E1460,1,FALSE()))),"OLD",IF(AND(E1461&lt;&gt;"",E1461&lt;&gt;"!!!"),"NEW","")))</f>
        <v> </v>
      </c>
      <c r="G1461" s="24" t="str">
        <f>IF(OR(E1461="",E1461="!!!"),"",IF(OR(J1461=0,AND(J1461=1,K1461=1),AND(J1461=1,I1461="SBJ"),AND(J1461=1,I1461=0)),"?IN_FOCUS",IF(J1461&lt;=2,"?ACTIVATED",IF(J1461&lt;&gt;"","?FAMILIAR",IF(F1461="NEW",IF(ISNA(VLOOKUP(E1461,#REF!,1,FALSE())),"?TYPE_IDENTIFIABLE","?REFERENTIAL"),"_")))))</f>
        <v> </v>
      </c>
      <c r="H1461" s="25" t="str">
        <f>IF(J1461&lt;&gt;1,"",IF(I1461="SBJ","CB","?"))</f>
        <v> </v>
      </c>
      <c r="I1461" s="26" t="str">
        <f>IF(OR(E1461="",E1461="!!!",F1461="NEW"),"",INDEX(B1460:B$2,-1+SUMPRODUCT(MAX(ROW(E1460:E$2)*(E1461=E1460:E$2)))))</f>
        <v> </v>
      </c>
      <c r="J1461" s="26" t="str">
        <f>IF(OR(E1461="",E1461="!!!",F1461="NEW"),"",COUNTBLANK(OFFSET(A$1,,,SUMPRODUCT(MAX(ROW(E$2:E1461)*(E1461=E$2:E1461)))))-COUNTBLANK(OFFSET(A$1,,,SUMPRODUCT(MAX(ROW(E$1:E1460)*(E2=E$1:E1460))))))</f>
        <v> </v>
      </c>
      <c r="K1461" s="26" t="str">
        <f>IF(OR(E1461="",E1461="!!!",F1461="NEW"),"",INDEX(J$1:J1460,SUMPRODUCT(MAX(ROW(E$1:E1460)*(E1461=E$1:E1460)))))</f>
        <v> </v>
      </c>
      <c r="L1461" s="27"/>
    </row>
    <row r="1462" spans="1:12">
      <c r="A1462" s="20" t="s">
        <v>1023</v>
      </c>
      <c r="E1462" s="22">
        <f>IF(D1462="?OLD","!!!","")</f>
        <v/>
      </c>
      <c r="F1462" s="23" t="str">
        <f>IF(OR(E1462="",E1462="!!!"),"",IF(NOT(ISNA(VLOOKUP(E1462,E$1:E1461,1,FALSE()))),"OLD",IF(AND(E1462&lt;&gt;"",E1462&lt;&gt;"!!!"),"NEW","")))</f>
        <v> </v>
      </c>
      <c r="G1462" s="24" t="str">
        <f>IF(OR(E1462="",E1462="!!!"),"",IF(OR(J1462=0,AND(J1462=1,K1462=1),AND(J1462=1,I1462="SBJ"),AND(J1462=1,I1462=0)),"?IN_FOCUS",IF(J1462&lt;=2,"?ACTIVATED",IF(J1462&lt;&gt;"","?FAMILIAR",IF(F1462="NEW",IF(ISNA(VLOOKUP(E1462,#REF!,1,FALSE())),"?TYPE_IDENTIFIABLE","?REFERENTIAL"),"_")))))</f>
        <v> </v>
      </c>
      <c r="H1462" s="25" t="str">
        <f>IF(J1462&lt;&gt;1,"",IF(I1462="SBJ","CB","?"))</f>
        <v> </v>
      </c>
      <c r="I1462" s="26" t="str">
        <f>IF(OR(E1462="",E1462="!!!",F1462="NEW"),"",INDEX(B1461:B$2,-1+SUMPRODUCT(MAX(ROW(E1461:E$2)*(E1462=E1461:E$2)))))</f>
        <v> </v>
      </c>
      <c r="J1462" s="26" t="str">
        <f>IF(OR(E1462="",E1462="!!!",F1462="NEW"),"",COUNTBLANK(OFFSET(A$1,,,SUMPRODUCT(MAX(ROW(E$2:E1462)*(E1462=E$2:E1462)))))-COUNTBLANK(OFFSET(A$1,,,SUMPRODUCT(MAX(ROW(E$1:E1461)*(E2=E$1:E1461))))))</f>
        <v> </v>
      </c>
      <c r="K1462" s="26" t="str">
        <f>IF(OR(E1462="",E1462="!!!",F1462="NEW"),"",INDEX(J$1:J1461,SUMPRODUCT(MAX(ROW(E$1:E1461)*(E1462=E$1:E1461)))))</f>
        <v> </v>
      </c>
      <c r="L1462" s="27"/>
    </row>
    <row r="1463" spans="1:12">
      <c r="A1463" s="20"/>
    </row>
    <row r="1464" spans="1:12">
      <c r="A1464" s="20" t="s">
        <v>1557</v>
      </c>
    </row>
    <row r="1465" spans="1:12">
      <c r="A1465" s="20" t="s">
        <v>1558</v>
      </c>
      <c r="E1465" s="22">
        <f>IF(D1465="?OLD","!!!","")</f>
        <v/>
      </c>
      <c r="F1465" s="23" t="str">
        <f>IF(OR(E1465="",E1465="!!!"),"",IF(NOT(ISNA(VLOOKUP(E1465,E$1:E1464,1,FALSE()))),"OLD",IF(AND(E1465&lt;&gt;"",E1465&lt;&gt;"!!!"),"NEW","")))</f>
        <v> </v>
      </c>
      <c r="G1465" s="24" t="str">
        <f>IF(OR(E1465="",E1465="!!!"),"",IF(OR(J1465=0,AND(J1465=1,K1465=1),AND(J1465=1,I1465="SBJ"),AND(J1465=1,I1465=0)),"?IN_FOCUS",IF(J1465&lt;=2,"?ACTIVATED",IF(J1465&lt;&gt;"","?FAMILIAR",IF(F1465="NEW",IF(ISNA(VLOOKUP(E1465,#REF!,1,FALSE())),"?TYPE_IDENTIFIABLE","?REFERENTIAL"),"_")))))</f>
        <v> </v>
      </c>
      <c r="H1465" s="25" t="str">
        <f>IF(J1465&lt;&gt;1,"",IF(I1465="SBJ","CB","?"))</f>
        <v> </v>
      </c>
      <c r="I1465" s="26" t="str">
        <f>IF(OR(E1465="",E1465="!!!",F1465="NEW"),"",INDEX(B1464:B$2,-1+SUMPRODUCT(MAX(ROW(E1464:E$2)*(E1465=E1464:E$2)))))</f>
        <v> </v>
      </c>
      <c r="J1465" s="26" t="str">
        <f>IF(OR(E1465="",E1465="!!!",F1465="NEW"),"",COUNTBLANK(OFFSET(A$1,,,SUMPRODUCT(MAX(ROW(E$2:E1465)*(E1465=E$2:E1465)))))-COUNTBLANK(OFFSET(A$1,,,SUMPRODUCT(MAX(ROW(E$1:E1464)*(E2=E$1:E1464))))))</f>
        <v> </v>
      </c>
      <c r="K1465" s="26" t="str">
        <f>IF(OR(E1465="",E1465="!!!",F1465="NEW"),"",INDEX(J$1:J1464,SUMPRODUCT(MAX(ROW(E$1:E1464)*(E1465=E$1:E1464)))))</f>
        <v> </v>
      </c>
      <c r="L1465" s="27"/>
    </row>
    <row r="1466" spans="1:12">
      <c r="A1466" s="20" t="s">
        <v>227</v>
      </c>
      <c r="B1466" s="21" t="s">
        <v>1005</v>
      </c>
      <c r="C1466" s="21" t="s">
        <v>1205</v>
      </c>
      <c r="E1466" s="22">
        <f>IF(D1466="?OLD","!!!","")</f>
        <v/>
      </c>
      <c r="F1466" s="23" t="str">
        <f>IF(OR(E1466="",E1466="!!!"),"",IF(NOT(ISNA(VLOOKUP(E1466,E$1:E1465,1,FALSE()))),"OLD",IF(AND(E1466&lt;&gt;"",E1466&lt;&gt;"!!!"),"NEW","")))</f>
        <v> </v>
      </c>
      <c r="G1466" s="24" t="str">
        <f>IF(OR(E1466="",E1466="!!!"),"",IF(OR(J1466=0,AND(J1466=1,K1466=1),AND(J1466=1,I1466="SBJ"),AND(J1466=1,I1466=0)),"?IN_FOCUS",IF(J1466&lt;=2,"?ACTIVATED",IF(J1466&lt;&gt;"","?FAMILIAR",IF(F1466="NEW",IF(ISNA(VLOOKUP(E1466,#REF!,1,FALSE())),"?TYPE_IDENTIFIABLE","?REFERENTIAL"),"_")))))</f>
        <v> </v>
      </c>
      <c r="H1466" s="25" t="str">
        <f>IF(J1466&lt;&gt;1,"",IF(I1466="SBJ","CB","?"))</f>
        <v> </v>
      </c>
      <c r="I1466" s="26" t="str">
        <f>IF(OR(E1466="",E1466="!!!",F1466="NEW"),"",INDEX(B1465:B$2,-1+SUMPRODUCT(MAX(ROW(E1465:E$2)*(E1466=E1465:E$2)))))</f>
        <v> </v>
      </c>
      <c r="J1466" s="26" t="str">
        <f>IF(OR(E1466="",E1466="!!!",F1466="NEW"),"",COUNTBLANK(OFFSET(A$1,,,SUMPRODUCT(MAX(ROW(E$2:E1466)*(E1466=E$2:E1466)))))-COUNTBLANK(OFFSET(A$1,,,SUMPRODUCT(MAX(ROW(E$1:E1465)*(E2=E$1:E1465))))))</f>
        <v> </v>
      </c>
      <c r="K1466" s="26" t="str">
        <f>IF(OR(E1466="",E1466="!!!",F1466="NEW"),"",INDEX(J$1:J1465,SUMPRODUCT(MAX(ROW(E$1:E1465)*(E1466=E$1:E1465)))))</f>
        <v> </v>
      </c>
      <c r="L1466" s="27"/>
    </row>
    <row r="1467" spans="1:12">
      <c r="A1467" s="20" t="s">
        <v>1559</v>
      </c>
      <c r="E1467" s="22">
        <f>IF(D1467="?OLD","!!!","")</f>
        <v/>
      </c>
      <c r="F1467" s="23" t="str">
        <f>IF(OR(E1467="",E1467="!!!"),"",IF(NOT(ISNA(VLOOKUP(E1467,E$1:E1466,1,FALSE()))),"OLD",IF(AND(E1467&lt;&gt;"",E1467&lt;&gt;"!!!"),"NEW","")))</f>
        <v> </v>
      </c>
      <c r="G1467" s="24" t="str">
        <f>IF(OR(E1467="",E1467="!!!"),"",IF(OR(J1467=0,AND(J1467=1,K1467=1),AND(J1467=1,I1467="SBJ"),AND(J1467=1,I1467=0)),"?IN_FOCUS",IF(J1467&lt;=2,"?ACTIVATED",IF(J1467&lt;&gt;"","?FAMILIAR",IF(F1467="NEW",IF(ISNA(VLOOKUP(E1467,#REF!,1,FALSE())),"?TYPE_IDENTIFIABLE","?REFERENTIAL"),"_")))))</f>
        <v> </v>
      </c>
      <c r="H1467" s="25" t="str">
        <f>IF(J1467&lt;&gt;1,"",IF(I1467="SBJ","CB","?"))</f>
        <v> </v>
      </c>
      <c r="I1467" s="26" t="str">
        <f>IF(OR(E1467="",E1467="!!!",F1467="NEW"),"",INDEX(B1466:B$2,-1+SUMPRODUCT(MAX(ROW(E1466:E$2)*(E1467=E1466:E$2)))))</f>
        <v> </v>
      </c>
      <c r="J1467" s="26" t="str">
        <f>IF(OR(E1467="",E1467="!!!",F1467="NEW"),"",COUNTBLANK(OFFSET(A$1,,,SUMPRODUCT(MAX(ROW(E$2:E1467)*(E1467=E$2:E1467)))))-COUNTBLANK(OFFSET(A$1,,,SUMPRODUCT(MAX(ROW(E$1:E1466)*(E2=E$1:E1466))))))</f>
        <v> </v>
      </c>
      <c r="K1467" s="26" t="str">
        <f>IF(OR(E1467="",E1467="!!!",F1467="NEW"),"",INDEX(J$1:J1466,SUMPRODUCT(MAX(ROW(E$1:E1466)*(E1467=E$1:E1466)))))</f>
        <v> </v>
      </c>
      <c r="L1467" s="27"/>
    </row>
    <row r="1468" spans="1:12">
      <c r="A1468" s="20" t="s">
        <v>1182</v>
      </c>
      <c r="E1468" s="22">
        <f>IF(D1468="?OLD","!!!","")</f>
        <v/>
      </c>
      <c r="F1468" s="23" t="str">
        <f>IF(OR(E1468="",E1468="!!!"),"",IF(NOT(ISNA(VLOOKUP(E1468,E$1:E1467,1,FALSE()))),"OLD",IF(AND(E1468&lt;&gt;"",E1468&lt;&gt;"!!!"),"NEW","")))</f>
        <v> </v>
      </c>
      <c r="G1468" s="24" t="str">
        <f>IF(OR(E1468="",E1468="!!!"),"",IF(OR(J1468=0,AND(J1468=1,K1468=1),AND(J1468=1,I1468="SBJ"),AND(J1468=1,I1468=0)),"?IN_FOCUS",IF(J1468&lt;=2,"?ACTIVATED",IF(J1468&lt;&gt;"","?FAMILIAR",IF(F1468="NEW",IF(ISNA(VLOOKUP(E1468,#REF!,1,FALSE())),"?TYPE_IDENTIFIABLE","?REFERENTIAL"),"_")))))</f>
        <v> </v>
      </c>
      <c r="H1468" s="25" t="str">
        <f>IF(J1468&lt;&gt;1,"",IF(I1468="SBJ","CB","?"))</f>
        <v> </v>
      </c>
      <c r="I1468" s="26" t="str">
        <f>IF(OR(E1468="",E1468="!!!",F1468="NEW"),"",INDEX(B1467:B$2,-1+SUMPRODUCT(MAX(ROW(E1467:E$2)*(E1468=E1467:E$2)))))</f>
        <v> </v>
      </c>
      <c r="J1468" s="26" t="str">
        <f>IF(OR(E1468="",E1468="!!!",F1468="NEW"),"",COUNTBLANK(OFFSET(A$1,,,SUMPRODUCT(MAX(ROW(E$2:E1468)*(E1468=E$2:E1468)))))-COUNTBLANK(OFFSET(A$1,,,SUMPRODUCT(MAX(ROW(E$1:E1467)*(E2=E$1:E1467))))))</f>
        <v> </v>
      </c>
      <c r="K1468" s="26" t="str">
        <f>IF(OR(E1468="",E1468="!!!",F1468="NEW"),"",INDEX(J$1:J1467,SUMPRODUCT(MAX(ROW(E$1:E1467)*(E1468=E$1:E1467)))))</f>
        <v> </v>
      </c>
      <c r="L1468" s="27"/>
    </row>
    <row r="1469" spans="1:12">
      <c r="A1469" s="20" t="s">
        <v>1284</v>
      </c>
      <c r="B1469" s="21" t="s">
        <v>1022</v>
      </c>
      <c r="C1469" s="21" t="s">
        <v>1073</v>
      </c>
      <c r="D1469" s="21" t="s">
        <v>1007</v>
      </c>
      <c r="E1469" s="22">
        <f>IF(D1469="?OLD","!!!","")</f>
        <v/>
      </c>
      <c r="F1469" s="23" t="str">
        <f>IF(OR(E1469="",E1469="!!!"),"",IF(NOT(ISNA(VLOOKUP(E1469,E$1:E1468,1,FALSE()))),"OLD",IF(AND(E1469&lt;&gt;"",E1469&lt;&gt;"!!!"),"NEW","")))</f>
        <v> </v>
      </c>
      <c r="G1469" s="24" t="str">
        <f>IF(OR(E1469="",E1469="!!!"),"",IF(OR(J1469=0,AND(J1469=1,K1469=1),AND(J1469=1,I1469="SBJ"),AND(J1469=1,I1469=0)),"?IN_FOCUS",IF(J1469&lt;=2,"?ACTIVATED",IF(J1469&lt;&gt;"","?FAMILIAR",IF(F1469="NEW",IF(ISNA(VLOOKUP(E1469,#REF!,1,FALSE())),"?TYPE_IDENTIFIABLE","?REFERENTIAL"),"_")))))</f>
        <v> </v>
      </c>
      <c r="H1469" s="25" t="str">
        <f>IF(J1469&lt;&gt;1,"",IF(I1469="SBJ","CB","?"))</f>
        <v> </v>
      </c>
      <c r="I1469" s="26" t="str">
        <f>IF(OR(E1469="",E1469="!!!",F1469="NEW"),"",INDEX(B1468:B$2,-1+SUMPRODUCT(MAX(ROW(E1468:E$2)*(E1469=E1468:E$2)))))</f>
        <v> </v>
      </c>
      <c r="J1469" s="26" t="str">
        <f>IF(OR(E1469="",E1469="!!!",F1469="NEW"),"",COUNTBLANK(OFFSET(A$1,,,SUMPRODUCT(MAX(ROW(E$2:E1469)*(E1469=E$2:E1469)))))-COUNTBLANK(OFFSET(A$1,,,SUMPRODUCT(MAX(ROW(E$1:E1468)*(E2=E$1:E1468))))))</f>
        <v> </v>
      </c>
      <c r="K1469" s="26" t="str">
        <f>IF(OR(E1469="",E1469="!!!",F1469="NEW"),"",INDEX(J$1:J1468,SUMPRODUCT(MAX(ROW(E$1:E1468)*(E1469=E$1:E1468)))))</f>
        <v> </v>
      </c>
      <c r="L1469" s="27"/>
    </row>
    <row r="1470" spans="1:12">
      <c r="A1470" s="20" t="s">
        <v>1014</v>
      </c>
      <c r="E1470" s="22">
        <f>IF(D1470="?OLD","!!!","")</f>
        <v/>
      </c>
      <c r="F1470" s="23" t="str">
        <f>IF(OR(E1470="",E1470="!!!"),"",IF(NOT(ISNA(VLOOKUP(E1470,E$1:E1469,1,FALSE()))),"OLD",IF(AND(E1470&lt;&gt;"",E1470&lt;&gt;"!!!"),"NEW","")))</f>
        <v> </v>
      </c>
      <c r="G1470" s="24" t="str">
        <f>IF(OR(E1470="",E1470="!!!"),"",IF(OR(J1470=0,AND(J1470=1,K1470=1),AND(J1470=1,I1470="SBJ"),AND(J1470=1,I1470=0)),"?IN_FOCUS",IF(J1470&lt;=2,"?ACTIVATED",IF(J1470&lt;&gt;"","?FAMILIAR",IF(F1470="NEW",IF(ISNA(VLOOKUP(E1470,#REF!,1,FALSE())),"?TYPE_IDENTIFIABLE","?REFERENTIAL"),"_")))))</f>
        <v> </v>
      </c>
      <c r="H1470" s="25" t="str">
        <f>IF(J1470&lt;&gt;1,"",IF(I1470="SBJ","CB","?"))</f>
        <v> </v>
      </c>
      <c r="I1470" s="26" t="str">
        <f>IF(OR(E1470="",E1470="!!!",F1470="NEW"),"",INDEX(B1469:B$2,-1+SUMPRODUCT(MAX(ROW(E1469:E$2)*(E1470=E1469:E$2)))))</f>
        <v> </v>
      </c>
      <c r="J1470" s="26" t="str">
        <f>IF(OR(E1470="",E1470="!!!",F1470="NEW"),"",COUNTBLANK(OFFSET(A$1,,,SUMPRODUCT(MAX(ROW(E$2:E1470)*(E1470=E$2:E1470)))))-COUNTBLANK(OFFSET(A$1,,,SUMPRODUCT(MAX(ROW(E$1:E1469)*(E2=E$1:E1469))))))</f>
        <v> </v>
      </c>
      <c r="K1470" s="26" t="str">
        <f>IF(OR(E1470="",E1470="!!!",F1470="NEW"),"",INDEX(J$1:J1469,SUMPRODUCT(MAX(ROW(E$1:E1469)*(E1470=E$1:E1469)))))</f>
        <v> </v>
      </c>
      <c r="L1470" s="27"/>
    </row>
    <row r="1471" spans="1:12">
      <c r="A1471" s="20" t="s">
        <v>1560</v>
      </c>
      <c r="B1471" s="21" t="s">
        <v>1033</v>
      </c>
      <c r="C1471" s="21" t="s">
        <v>1048</v>
      </c>
      <c r="E1471" s="22">
        <f>IF(D1471="?OLD","!!!","")</f>
        <v/>
      </c>
      <c r="F1471" s="23" t="str">
        <f>IF(OR(E1471="",E1471="!!!"),"",IF(NOT(ISNA(VLOOKUP(E1471,E$1:E1470,1,FALSE()))),"OLD",IF(AND(E1471&lt;&gt;"",E1471&lt;&gt;"!!!"),"NEW","")))</f>
        <v> </v>
      </c>
      <c r="G1471" s="24" t="str">
        <f>IF(OR(E1471="",E1471="!!!"),"",IF(OR(J1471=0,AND(J1471=1,K1471=1),AND(J1471=1,I1471="SBJ"),AND(J1471=1,I1471=0)),"?IN_FOCUS",IF(J1471&lt;=2,"?ACTIVATED",IF(J1471&lt;&gt;"","?FAMILIAR",IF(F1471="NEW",IF(ISNA(VLOOKUP(E1471,#REF!,1,FALSE())),"?TYPE_IDENTIFIABLE","?REFERENTIAL"),"_")))))</f>
        <v> </v>
      </c>
      <c r="H1471" s="25" t="str">
        <f>IF(J1471&lt;&gt;1,"",IF(I1471="SBJ","CB","?"))</f>
        <v> </v>
      </c>
      <c r="I1471" s="26" t="str">
        <f>IF(OR(E1471="",E1471="!!!",F1471="NEW"),"",INDEX(B1470:B$2,-1+SUMPRODUCT(MAX(ROW(E1470:E$2)*(E1471=E1470:E$2)))))</f>
        <v> </v>
      </c>
      <c r="J1471" s="26" t="str">
        <f>IF(OR(E1471="",E1471="!!!",F1471="NEW"),"",COUNTBLANK(OFFSET(A$1,,,SUMPRODUCT(MAX(ROW(E$2:E1471)*(E1471=E$2:E1471)))))-COUNTBLANK(OFFSET(A$1,,,SUMPRODUCT(MAX(ROW(E$1:E1470)*(E2=E$1:E1470))))))</f>
        <v> </v>
      </c>
      <c r="K1471" s="26" t="str">
        <f>IF(OR(E1471="",E1471="!!!",F1471="NEW"),"",INDEX(J$1:J1470,SUMPRODUCT(MAX(ROW(E$1:E1470)*(E1471=E$1:E1470)))))</f>
        <v> </v>
      </c>
      <c r="L1471" s="27"/>
    </row>
    <row r="1472" spans="1:12">
      <c r="A1472" s="20" t="s">
        <v>1512</v>
      </c>
      <c r="E1472" s="22">
        <f>IF(D1472="?OLD","!!!","")</f>
        <v/>
      </c>
      <c r="F1472" s="23" t="str">
        <f>IF(OR(E1472="",E1472="!!!"),"",IF(NOT(ISNA(VLOOKUP(E1472,E$1:E1471,1,FALSE()))),"OLD",IF(AND(E1472&lt;&gt;"",E1472&lt;&gt;"!!!"),"NEW","")))</f>
        <v> </v>
      </c>
      <c r="G1472" s="24" t="str">
        <f>IF(OR(E1472="",E1472="!!!"),"",IF(OR(J1472=0,AND(J1472=1,K1472=1),AND(J1472=1,I1472="SBJ"),AND(J1472=1,I1472=0)),"?IN_FOCUS",IF(J1472&lt;=2,"?ACTIVATED",IF(J1472&lt;&gt;"","?FAMILIAR",IF(F1472="NEW",IF(ISNA(VLOOKUP(E1472,#REF!,1,FALSE())),"?TYPE_IDENTIFIABLE","?REFERENTIAL"),"_")))))</f>
        <v> </v>
      </c>
      <c r="H1472" s="25" t="str">
        <f>IF(J1472&lt;&gt;1,"",IF(I1472="SBJ","CB","?"))</f>
        <v> </v>
      </c>
      <c r="I1472" s="26" t="str">
        <f>IF(OR(E1472="",E1472="!!!",F1472="NEW"),"",INDEX(B1471:B$2,-1+SUMPRODUCT(MAX(ROW(E1471:E$2)*(E1472=E1471:E$2)))))</f>
        <v> </v>
      </c>
      <c r="J1472" s="26" t="str">
        <f>IF(OR(E1472="",E1472="!!!",F1472="NEW"),"",COUNTBLANK(OFFSET(A$1,,,SUMPRODUCT(MAX(ROW(E$2:E1472)*(E1472=E$2:E1472)))))-COUNTBLANK(OFFSET(A$1,,,SUMPRODUCT(MAX(ROW(E$1:E1471)*(E2=E$1:E1471))))))</f>
        <v> </v>
      </c>
      <c r="K1472" s="26" t="str">
        <f>IF(OR(E1472="",E1472="!!!",F1472="NEW"),"",INDEX(J$1:J1471,SUMPRODUCT(MAX(ROW(E$1:E1471)*(E1472=E$1:E1471)))))</f>
        <v> </v>
      </c>
      <c r="L1472" s="27"/>
    </row>
    <row r="1473" spans="1:12">
      <c r="A1473" s="20" t="s">
        <v>1023</v>
      </c>
      <c r="E1473" s="22">
        <f>IF(D1473="?OLD","!!!","")</f>
        <v/>
      </c>
      <c r="F1473" s="23" t="str">
        <f>IF(OR(E1473="",E1473="!!!"),"",IF(NOT(ISNA(VLOOKUP(E1473,E$1:E1472,1,FALSE()))),"OLD",IF(AND(E1473&lt;&gt;"",E1473&lt;&gt;"!!!"),"NEW","")))</f>
        <v> </v>
      </c>
      <c r="G1473" s="24" t="str">
        <f>IF(OR(E1473="",E1473="!!!"),"",IF(OR(J1473=0,AND(J1473=1,K1473=1),AND(J1473=1,I1473="SBJ"),AND(J1473=1,I1473=0)),"?IN_FOCUS",IF(J1473&lt;=2,"?ACTIVATED",IF(J1473&lt;&gt;"","?FAMILIAR",IF(F1473="NEW",IF(ISNA(VLOOKUP(E1473,#REF!,1,FALSE())),"?TYPE_IDENTIFIABLE","?REFERENTIAL"),"_")))))</f>
        <v> </v>
      </c>
      <c r="H1473" s="25" t="str">
        <f>IF(J1473&lt;&gt;1,"",IF(I1473="SBJ","CB","?"))</f>
        <v> </v>
      </c>
      <c r="I1473" s="26" t="str">
        <f>IF(OR(E1473="",E1473="!!!",F1473="NEW"),"",INDEX(B1472:B$2,-1+SUMPRODUCT(MAX(ROW(E1472:E$2)*(E1473=E1472:E$2)))))</f>
        <v> </v>
      </c>
      <c r="J1473" s="26" t="str">
        <f>IF(OR(E1473="",E1473="!!!",F1473="NEW"),"",COUNTBLANK(OFFSET(A$1,,,SUMPRODUCT(MAX(ROW(E$2:E1473)*(E1473=E$2:E1473)))))-COUNTBLANK(OFFSET(A$1,,,SUMPRODUCT(MAX(ROW(E$1:E1472)*(E2=E$1:E1472))))))</f>
        <v> </v>
      </c>
      <c r="K1473" s="26" t="str">
        <f>IF(OR(E1473="",E1473="!!!",F1473="NEW"),"",INDEX(J$1:J1472,SUMPRODUCT(MAX(ROW(E$1:E1472)*(E1473=E$1:E1472)))))</f>
        <v> </v>
      </c>
      <c r="L1473" s="27"/>
    </row>
    <row r="1474" spans="1:12">
      <c r="A1474" s="20"/>
    </row>
    <row r="1475" spans="1:12">
      <c r="A1475" s="20" t="s">
        <v>1561</v>
      </c>
    </row>
    <row r="1476" spans="1:12">
      <c r="A1476" s="20" t="s">
        <v>1562</v>
      </c>
      <c r="B1476" s="21" t="s">
        <v>1050</v>
      </c>
      <c r="C1476" s="21" t="s">
        <v>1086</v>
      </c>
      <c r="E1476" s="22">
        <f>IF(D1476="?OLD","!!!","")</f>
        <v/>
      </c>
      <c r="F1476" s="23" t="str">
        <f>IF(OR(E1476="",E1476="!!!"),"",IF(NOT(ISNA(VLOOKUP(E1476,E$1:E1475,1,FALSE()))),"OLD",IF(AND(E1476&lt;&gt;"",E1476&lt;&gt;"!!!"),"NEW","")))</f>
        <v> </v>
      </c>
      <c r="G1476" s="24" t="str">
        <f>IF(OR(E1476="",E1476="!!!"),"",IF(OR(J1476=0,AND(J1476=1,K1476=1),AND(J1476=1,I1476="SBJ"),AND(J1476=1,I1476=0)),"?IN_FOCUS",IF(J1476&lt;=2,"?ACTIVATED",IF(J1476&lt;&gt;"","?FAMILIAR",IF(F1476="NEW",IF(ISNA(VLOOKUP(E1476,#REF!,1,FALSE())),"?TYPE_IDENTIFIABLE","?REFERENTIAL"),"_")))))</f>
        <v> </v>
      </c>
      <c r="H1476" s="25" t="str">
        <f>IF(J1476&lt;&gt;1,"",IF(I1476="SBJ","CB","?"))</f>
        <v> </v>
      </c>
      <c r="I1476" s="26" t="str">
        <f>IF(OR(E1476="",E1476="!!!",F1476="NEW"),"",INDEX(B1475:B$2,-1+SUMPRODUCT(MAX(ROW(E1475:E$2)*(E1476=E1475:E$2)))))</f>
        <v> </v>
      </c>
      <c r="J1476" s="26" t="str">
        <f>IF(OR(E1476="",E1476="!!!",F1476="NEW"),"",COUNTBLANK(OFFSET(A$1,,,SUMPRODUCT(MAX(ROW(E$2:E1476)*(E1476=E$2:E1476)))))-COUNTBLANK(OFFSET(A$1,,,SUMPRODUCT(MAX(ROW(E$1:E1475)*(E2=E$1:E1475))))))</f>
        <v> </v>
      </c>
      <c r="K1476" s="26" t="str">
        <f>IF(OR(E1476="",E1476="!!!",F1476="NEW"),"",INDEX(J$1:J1475,SUMPRODUCT(MAX(ROW(E$1:E1475)*(E1476=E$1:E1475)))))</f>
        <v> </v>
      </c>
      <c r="L1476" s="27"/>
    </row>
    <row r="1477" spans="1:12">
      <c r="A1477" s="20" t="s">
        <v>1164</v>
      </c>
      <c r="E1477" s="22">
        <f>IF(D1477="?OLD","!!!","")</f>
        <v/>
      </c>
      <c r="F1477" s="23" t="str">
        <f>IF(OR(E1477="",E1477="!!!"),"",IF(NOT(ISNA(VLOOKUP(E1477,E$1:E1476,1,FALSE()))),"OLD",IF(AND(E1477&lt;&gt;"",E1477&lt;&gt;"!!!"),"NEW","")))</f>
        <v> </v>
      </c>
      <c r="G1477" s="24" t="str">
        <f>IF(OR(E1477="",E1477="!!!"),"",IF(OR(J1477=0,AND(J1477=1,K1477=1),AND(J1477=1,I1477="SBJ"),AND(J1477=1,I1477=0)),"?IN_FOCUS",IF(J1477&lt;=2,"?ACTIVATED",IF(J1477&lt;&gt;"","?FAMILIAR",IF(F1477="NEW",IF(ISNA(VLOOKUP(E1477,#REF!,1,FALSE())),"?TYPE_IDENTIFIABLE","?REFERENTIAL"),"_")))))</f>
        <v> </v>
      </c>
      <c r="H1477" s="25" t="str">
        <f>IF(J1477&lt;&gt;1,"",IF(I1477="SBJ","CB","?"))</f>
        <v> </v>
      </c>
      <c r="I1477" s="26" t="str">
        <f>IF(OR(E1477="",E1477="!!!",F1477="NEW"),"",INDEX(B1476:B$2,-1+SUMPRODUCT(MAX(ROW(E1476:E$2)*(E1477=E1476:E$2)))))</f>
        <v> </v>
      </c>
      <c r="J1477" s="26" t="str">
        <f>IF(OR(E1477="",E1477="!!!",F1477="NEW"),"",COUNTBLANK(OFFSET(A$1,,,SUMPRODUCT(MAX(ROW(E$2:E1477)*(E1477=E$2:E1477)))))-COUNTBLANK(OFFSET(A$1,,,SUMPRODUCT(MAX(ROW(E$1:E1476)*(E2=E$1:E1476))))))</f>
        <v> </v>
      </c>
      <c r="K1477" s="26" t="str">
        <f>IF(OR(E1477="",E1477="!!!",F1477="NEW"),"",INDEX(J$1:J1476,SUMPRODUCT(MAX(ROW(E$1:E1476)*(E1477=E$1:E1476)))))</f>
        <v> </v>
      </c>
      <c r="L1477" s="27"/>
    </row>
    <row r="1478" spans="1:12">
      <c r="A1478" s="20" t="s">
        <v>1563</v>
      </c>
      <c r="E1478" s="22">
        <f>IF(D1478="?OLD","!!!","")</f>
        <v/>
      </c>
      <c r="F1478" s="23" t="str">
        <f>IF(OR(E1478="",E1478="!!!"),"",IF(NOT(ISNA(VLOOKUP(E1478,E$1:E1477,1,FALSE()))),"OLD",IF(AND(E1478&lt;&gt;"",E1478&lt;&gt;"!!!"),"NEW","")))</f>
        <v> </v>
      </c>
      <c r="G1478" s="24" t="str">
        <f>IF(OR(E1478="",E1478="!!!"),"",IF(OR(J1478=0,AND(J1478=1,K1478=1),AND(J1478=1,I1478="SBJ"),AND(J1478=1,I1478=0)),"?IN_FOCUS",IF(J1478&lt;=2,"?ACTIVATED",IF(J1478&lt;&gt;"","?FAMILIAR",IF(F1478="NEW",IF(ISNA(VLOOKUP(E1478,#REF!,1,FALSE())),"?TYPE_IDENTIFIABLE","?REFERENTIAL"),"_")))))</f>
        <v> </v>
      </c>
      <c r="H1478" s="25" t="str">
        <f>IF(J1478&lt;&gt;1,"",IF(I1478="SBJ","CB","?"))</f>
        <v> </v>
      </c>
      <c r="I1478" s="26" t="str">
        <f>IF(OR(E1478="",E1478="!!!",F1478="NEW"),"",INDEX(B1477:B$2,-1+SUMPRODUCT(MAX(ROW(E1477:E$2)*(E1478=E1477:E$2)))))</f>
        <v> </v>
      </c>
      <c r="J1478" s="26" t="str">
        <f>IF(OR(E1478="",E1478="!!!",F1478="NEW"),"",COUNTBLANK(OFFSET(A$1,,,SUMPRODUCT(MAX(ROW(E$2:E1478)*(E1478=E$2:E1478)))))-COUNTBLANK(OFFSET(A$1,,,SUMPRODUCT(MAX(ROW(E$1:E1477)*(E2=E$1:E1477))))))</f>
        <v> </v>
      </c>
      <c r="K1478" s="26" t="str">
        <f>IF(OR(E1478="",E1478="!!!",F1478="NEW"),"",INDEX(J$1:J1477,SUMPRODUCT(MAX(ROW(E$1:E1477)*(E1478=E$1:E1477)))))</f>
        <v> </v>
      </c>
      <c r="L1478" s="27"/>
    </row>
    <row r="1479" spans="1:12">
      <c r="A1479" s="20" t="s">
        <v>1023</v>
      </c>
      <c r="E1479" s="22">
        <f>IF(D1479="?OLD","!!!","")</f>
        <v/>
      </c>
      <c r="F1479" s="23" t="str">
        <f>IF(OR(E1479="",E1479="!!!"),"",IF(NOT(ISNA(VLOOKUP(E1479,E$1:E1478,1,FALSE()))),"OLD",IF(AND(E1479&lt;&gt;"",E1479&lt;&gt;"!!!"),"NEW","")))</f>
        <v> </v>
      </c>
      <c r="G1479" s="24" t="str">
        <f>IF(OR(E1479="",E1479="!!!"),"",IF(OR(J1479=0,AND(J1479=1,K1479=1),AND(J1479=1,I1479="SBJ"),AND(J1479=1,I1479=0)),"?IN_FOCUS",IF(J1479&lt;=2,"?ACTIVATED",IF(J1479&lt;&gt;"","?FAMILIAR",IF(F1479="NEW",IF(ISNA(VLOOKUP(E1479,#REF!,1,FALSE())),"?TYPE_IDENTIFIABLE","?REFERENTIAL"),"_")))))</f>
        <v> </v>
      </c>
      <c r="H1479" s="25" t="str">
        <f>IF(J1479&lt;&gt;1,"",IF(I1479="SBJ","CB","?"))</f>
        <v> </v>
      </c>
      <c r="I1479" s="26" t="str">
        <f>IF(OR(E1479="",E1479="!!!",F1479="NEW"),"",INDEX(B1478:B$2,-1+SUMPRODUCT(MAX(ROW(E1478:E$2)*(E1479=E1478:E$2)))))</f>
        <v> </v>
      </c>
      <c r="J1479" s="26" t="str">
        <f>IF(OR(E1479="",E1479="!!!",F1479="NEW"),"",COUNTBLANK(OFFSET(A$1,,,SUMPRODUCT(MAX(ROW(E$2:E1479)*(E1479=E$2:E1479)))))-COUNTBLANK(OFFSET(A$1,,,SUMPRODUCT(MAX(ROW(E$1:E1478)*(E2=E$1:E1478))))))</f>
        <v> </v>
      </c>
      <c r="K1479" s="26" t="str">
        <f>IF(OR(E1479="",E1479="!!!",F1479="NEW"),"",INDEX(J$1:J1478,SUMPRODUCT(MAX(ROW(E$1:E1478)*(E1479=E$1:E1478)))))</f>
        <v> </v>
      </c>
      <c r="L1479" s="27"/>
    </row>
    <row r="1480" spans="1:12">
      <c r="A1480" s="20"/>
    </row>
    <row r="1481" spans="1:12">
      <c r="A1481" s="20" t="s">
        <v>1564</v>
      </c>
    </row>
    <row r="1482" spans="1:12">
      <c r="A1482" s="20" t="s">
        <v>1565</v>
      </c>
      <c r="B1482" s="21" t="s">
        <v>1050</v>
      </c>
      <c r="C1482" s="21" t="s">
        <v>1086</v>
      </c>
      <c r="E1482" s="22">
        <f>IF(D1482="?OLD","!!!","")</f>
        <v/>
      </c>
      <c r="F1482" s="23" t="str">
        <f>IF(OR(E1482="",E1482="!!!"),"",IF(NOT(ISNA(VLOOKUP(E1482,E$1:E1481,1,FALSE()))),"OLD",IF(AND(E1482&lt;&gt;"",E1482&lt;&gt;"!!!"),"NEW","")))</f>
        <v> </v>
      </c>
      <c r="G1482" s="24" t="str">
        <f>IF(OR(E1482="",E1482="!!!"),"",IF(OR(J1482=0,AND(J1482=1,K1482=1),AND(J1482=1,I1482="SBJ"),AND(J1482=1,I1482=0)),"?IN_FOCUS",IF(J1482&lt;=2,"?ACTIVATED",IF(J1482&lt;&gt;"","?FAMILIAR",IF(F1482="NEW",IF(ISNA(VLOOKUP(E1482,#REF!,1,FALSE())),"?TYPE_IDENTIFIABLE","?REFERENTIAL"),"_")))))</f>
        <v> </v>
      </c>
      <c r="H1482" s="25" t="str">
        <f>IF(J1482&lt;&gt;1,"",IF(I1482="SBJ","CB","?"))</f>
        <v> </v>
      </c>
      <c r="I1482" s="26" t="str">
        <f>IF(OR(E1482="",E1482="!!!",F1482="NEW"),"",INDEX(B1481:B$2,-1+SUMPRODUCT(MAX(ROW(E1481:E$2)*(E1482=E1481:E$2)))))</f>
        <v> </v>
      </c>
      <c r="J1482" s="26" t="str">
        <f>IF(OR(E1482="",E1482="!!!",F1482="NEW"),"",COUNTBLANK(OFFSET(A$1,,,SUMPRODUCT(MAX(ROW(E$2:E1482)*(E1482=E$2:E1482)))))-COUNTBLANK(OFFSET(A$1,,,SUMPRODUCT(MAX(ROW(E$1:E1481)*(E2=E$1:E1481))))))</f>
        <v> </v>
      </c>
      <c r="K1482" s="26" t="str">
        <f>IF(OR(E1482="",E1482="!!!",F1482="NEW"),"",INDEX(J$1:J1481,SUMPRODUCT(MAX(ROW(E$1:E1481)*(E1482=E$1:E1481)))))</f>
        <v> </v>
      </c>
      <c r="L1482" s="27"/>
    </row>
    <row r="1483" spans="1:12">
      <c r="A1483" s="20" t="s">
        <v>1164</v>
      </c>
      <c r="E1483" s="22">
        <f>IF(D1483="?OLD","!!!","")</f>
        <v/>
      </c>
      <c r="F1483" s="23" t="str">
        <f>IF(OR(E1483="",E1483="!!!"),"",IF(NOT(ISNA(VLOOKUP(E1483,E$1:E1482,1,FALSE()))),"OLD",IF(AND(E1483&lt;&gt;"",E1483&lt;&gt;"!!!"),"NEW","")))</f>
        <v> </v>
      </c>
      <c r="G1483" s="24" t="str">
        <f>IF(OR(E1483="",E1483="!!!"),"",IF(OR(J1483=0,AND(J1483=1,K1483=1),AND(J1483=1,I1483="SBJ"),AND(J1483=1,I1483=0)),"?IN_FOCUS",IF(J1483&lt;=2,"?ACTIVATED",IF(J1483&lt;&gt;"","?FAMILIAR",IF(F1483="NEW",IF(ISNA(VLOOKUP(E1483,#REF!,1,FALSE())),"?TYPE_IDENTIFIABLE","?REFERENTIAL"),"_")))))</f>
        <v> </v>
      </c>
      <c r="H1483" s="25" t="str">
        <f>IF(J1483&lt;&gt;1,"",IF(I1483="SBJ","CB","?"))</f>
        <v> </v>
      </c>
      <c r="I1483" s="26" t="str">
        <f>IF(OR(E1483="",E1483="!!!",F1483="NEW"),"",INDEX(B1482:B$2,-1+SUMPRODUCT(MAX(ROW(E1482:E$2)*(E1483=E1482:E$2)))))</f>
        <v> </v>
      </c>
      <c r="J1483" s="26" t="str">
        <f>IF(OR(E1483="",E1483="!!!",F1483="NEW"),"",COUNTBLANK(OFFSET(A$1,,,SUMPRODUCT(MAX(ROW(E$2:E1483)*(E1483=E$2:E1483)))))-COUNTBLANK(OFFSET(A$1,,,SUMPRODUCT(MAX(ROW(E$1:E1482)*(E2=E$1:E1482))))))</f>
        <v> </v>
      </c>
      <c r="K1483" s="26" t="str">
        <f>IF(OR(E1483="",E1483="!!!",F1483="NEW"),"",INDEX(J$1:J1482,SUMPRODUCT(MAX(ROW(E$1:E1482)*(E1483=E$1:E1482)))))</f>
        <v> </v>
      </c>
      <c r="L1483" s="27"/>
    </row>
    <row r="1484" spans="1:12">
      <c r="A1484" s="20" t="s">
        <v>1566</v>
      </c>
      <c r="E1484" s="22">
        <f>IF(D1484="?OLD","!!!","")</f>
        <v/>
      </c>
      <c r="F1484" s="23" t="str">
        <f>IF(OR(E1484="",E1484="!!!"),"",IF(NOT(ISNA(VLOOKUP(E1484,E$1:E1483,1,FALSE()))),"OLD",IF(AND(E1484&lt;&gt;"",E1484&lt;&gt;"!!!"),"NEW","")))</f>
        <v> </v>
      </c>
      <c r="G1484" s="24" t="str">
        <f>IF(OR(E1484="",E1484="!!!"),"",IF(OR(J1484=0,AND(J1484=1,K1484=1),AND(J1484=1,I1484="SBJ"),AND(J1484=1,I1484=0)),"?IN_FOCUS",IF(J1484&lt;=2,"?ACTIVATED",IF(J1484&lt;&gt;"","?FAMILIAR",IF(F1484="NEW",IF(ISNA(VLOOKUP(E1484,#REF!,1,FALSE())),"?TYPE_IDENTIFIABLE","?REFERENTIAL"),"_")))))</f>
        <v> </v>
      </c>
      <c r="H1484" s="25" t="str">
        <f>IF(J1484&lt;&gt;1,"",IF(I1484="SBJ","CB","?"))</f>
        <v> </v>
      </c>
      <c r="I1484" s="26" t="str">
        <f>IF(OR(E1484="",E1484="!!!",F1484="NEW"),"",INDEX(B1483:B$2,-1+SUMPRODUCT(MAX(ROW(E1483:E$2)*(E1484=E1483:E$2)))))</f>
        <v> </v>
      </c>
      <c r="J1484" s="26" t="str">
        <f>IF(OR(E1484="",E1484="!!!",F1484="NEW"),"",COUNTBLANK(OFFSET(A$1,,,SUMPRODUCT(MAX(ROW(E$2:E1484)*(E1484=E$2:E1484)))))-COUNTBLANK(OFFSET(A$1,,,SUMPRODUCT(MAX(ROW(E$1:E1483)*(E2=E$1:E1483))))))</f>
        <v> </v>
      </c>
      <c r="K1484" s="26" t="str">
        <f>IF(OR(E1484="",E1484="!!!",F1484="NEW"),"",INDEX(J$1:J1483,SUMPRODUCT(MAX(ROW(E$1:E1483)*(E1484=E$1:E1483)))))</f>
        <v> </v>
      </c>
      <c r="L1484" s="27"/>
    </row>
    <row r="1485" spans="1:12">
      <c r="A1485" s="20" t="s">
        <v>1563</v>
      </c>
      <c r="E1485" s="22">
        <f>IF(D1485="?OLD","!!!","")</f>
        <v/>
      </c>
      <c r="F1485" s="23" t="str">
        <f>IF(OR(E1485="",E1485="!!!"),"",IF(NOT(ISNA(VLOOKUP(E1485,E$1:E1484,1,FALSE()))),"OLD",IF(AND(E1485&lt;&gt;"",E1485&lt;&gt;"!!!"),"NEW","")))</f>
        <v> </v>
      </c>
      <c r="G1485" s="24" t="str">
        <f>IF(OR(E1485="",E1485="!!!"),"",IF(OR(J1485=0,AND(J1485=1,K1485=1),AND(J1485=1,I1485="SBJ"),AND(J1485=1,I1485=0)),"?IN_FOCUS",IF(J1485&lt;=2,"?ACTIVATED",IF(J1485&lt;&gt;"","?FAMILIAR",IF(F1485="NEW",IF(ISNA(VLOOKUP(E1485,#REF!,1,FALSE())),"?TYPE_IDENTIFIABLE","?REFERENTIAL"),"_")))))</f>
        <v> </v>
      </c>
      <c r="H1485" s="25" t="str">
        <f>IF(J1485&lt;&gt;1,"",IF(I1485="SBJ","CB","?"))</f>
        <v> </v>
      </c>
      <c r="I1485" s="26" t="str">
        <f>IF(OR(E1485="",E1485="!!!",F1485="NEW"),"",INDEX(B1484:B$2,-1+SUMPRODUCT(MAX(ROW(E1484:E$2)*(E1485=E1484:E$2)))))</f>
        <v> </v>
      </c>
      <c r="J1485" s="26" t="str">
        <f>IF(OR(E1485="",E1485="!!!",F1485="NEW"),"",COUNTBLANK(OFFSET(A$1,,,SUMPRODUCT(MAX(ROW(E$2:E1485)*(E1485=E$2:E1485)))))-COUNTBLANK(OFFSET(A$1,,,SUMPRODUCT(MAX(ROW(E$1:E1484)*(E2=E$1:E1484))))))</f>
        <v> </v>
      </c>
      <c r="K1485" s="26" t="str">
        <f>IF(OR(E1485="",E1485="!!!",F1485="NEW"),"",INDEX(J$1:J1484,SUMPRODUCT(MAX(ROW(E$1:E1484)*(E1485=E$1:E1484)))))</f>
        <v> </v>
      </c>
      <c r="L1485" s="27"/>
    </row>
    <row r="1486" spans="1:12">
      <c r="A1486" s="20" t="s">
        <v>1023</v>
      </c>
      <c r="E1486" s="22">
        <f>IF(D1486="?OLD","!!!","")</f>
        <v/>
      </c>
      <c r="F1486" s="23" t="str">
        <f>IF(OR(E1486="",E1486="!!!"),"",IF(NOT(ISNA(VLOOKUP(E1486,E$1:E1485,1,FALSE()))),"OLD",IF(AND(E1486&lt;&gt;"",E1486&lt;&gt;"!!!"),"NEW","")))</f>
        <v> </v>
      </c>
      <c r="G1486" s="24" t="str">
        <f>IF(OR(E1486="",E1486="!!!"),"",IF(OR(J1486=0,AND(J1486=1,K1486=1),AND(J1486=1,I1486="SBJ"),AND(J1486=1,I1486=0)),"?IN_FOCUS",IF(J1486&lt;=2,"?ACTIVATED",IF(J1486&lt;&gt;"","?FAMILIAR",IF(F1486="NEW",IF(ISNA(VLOOKUP(E1486,#REF!,1,FALSE())),"?TYPE_IDENTIFIABLE","?REFERENTIAL"),"_")))))</f>
        <v> </v>
      </c>
      <c r="H1486" s="25" t="str">
        <f>IF(J1486&lt;&gt;1,"",IF(I1486="SBJ","CB","?"))</f>
        <v> </v>
      </c>
      <c r="I1486" s="26" t="str">
        <f>IF(OR(E1486="",E1486="!!!",F1486="NEW"),"",INDEX(B1485:B$2,-1+SUMPRODUCT(MAX(ROW(E1485:E$2)*(E1486=E1485:E$2)))))</f>
        <v> </v>
      </c>
      <c r="J1486" s="26" t="str">
        <f>IF(OR(E1486="",E1486="!!!",F1486="NEW"),"",COUNTBLANK(OFFSET(A$1,,,SUMPRODUCT(MAX(ROW(E$2:E1486)*(E1486=E$2:E1486)))))-COUNTBLANK(OFFSET(A$1,,,SUMPRODUCT(MAX(ROW(E$1:E1485)*(E2=E$1:E1485))))))</f>
        <v> </v>
      </c>
      <c r="K1486" s="26" t="str">
        <f>IF(OR(E1486="",E1486="!!!",F1486="NEW"),"",INDEX(J$1:J1485,SUMPRODUCT(MAX(ROW(E$1:E1485)*(E1486=E$1:E1485)))))</f>
        <v> </v>
      </c>
      <c r="L1486" s="27"/>
    </row>
    <row r="1487" spans="1:12">
      <c r="A1487" s="20"/>
    </row>
    <row r="1488" spans="1:12">
      <c r="A1488" s="20" t="s">
        <v>1567</v>
      </c>
    </row>
    <row r="1489" spans="1:12">
      <c r="A1489" s="20" t="s">
        <v>1136</v>
      </c>
      <c r="E1489" s="22">
        <f>IF(D1489="?OLD","!!!","")</f>
        <v/>
      </c>
      <c r="F1489" s="23" t="str">
        <f>IF(OR(E1489="",E1489="!!!"),"",IF(NOT(ISNA(VLOOKUP(E1489,E$1:E1488,1,FALSE()))),"OLD",IF(AND(E1489&lt;&gt;"",E1489&lt;&gt;"!!!"),"NEW","")))</f>
        <v> </v>
      </c>
      <c r="G1489" s="24" t="str">
        <f>IF(OR(E1489="",E1489="!!!"),"",IF(OR(J1489=0,AND(J1489=1,K1489=1),AND(J1489=1,I1489="SBJ"),AND(J1489=1,I1489=0)),"?IN_FOCUS",IF(J1489&lt;=2,"?ACTIVATED",IF(J1489&lt;&gt;"","?FAMILIAR",IF(F1489="NEW",IF(ISNA(VLOOKUP(E1489,#REF!,1,FALSE())),"?TYPE_IDENTIFIABLE","?REFERENTIAL"),"_")))))</f>
        <v> </v>
      </c>
      <c r="H1489" s="25" t="str">
        <f>IF(J1489&lt;&gt;1,"",IF(I1489="SBJ","CB","?"))</f>
        <v> </v>
      </c>
      <c r="I1489" s="26" t="str">
        <f>IF(OR(E1489="",E1489="!!!",F1489="NEW"),"",INDEX(B1488:B$2,-1+SUMPRODUCT(MAX(ROW(E1488:E$2)*(E1489=E1488:E$2)))))</f>
        <v> </v>
      </c>
      <c r="J1489" s="26" t="str">
        <f>IF(OR(E1489="",E1489="!!!",F1489="NEW"),"",COUNTBLANK(OFFSET(A$1,,,SUMPRODUCT(MAX(ROW(E$2:E1489)*(E1489=E$2:E1489)))))-COUNTBLANK(OFFSET(A$1,,,SUMPRODUCT(MAX(ROW(E$1:E1488)*(E2=E$1:E1488))))))</f>
        <v> </v>
      </c>
      <c r="K1489" s="26" t="str">
        <f>IF(OR(E1489="",E1489="!!!",F1489="NEW"),"",INDEX(J$1:J1488,SUMPRODUCT(MAX(ROW(E$1:E1488)*(E1489=E$1:E1488)))))</f>
        <v> </v>
      </c>
      <c r="L1489" s="27"/>
    </row>
    <row r="1490" spans="1:12">
      <c r="A1490" s="20" t="s">
        <v>102</v>
      </c>
      <c r="E1490" s="22">
        <f>IF(D1490="?OLD","!!!","")</f>
        <v/>
      </c>
      <c r="F1490" s="23" t="str">
        <f>IF(OR(E1490="",E1490="!!!"),"",IF(NOT(ISNA(VLOOKUP(E1490,E$1:E1489,1,FALSE()))),"OLD",IF(AND(E1490&lt;&gt;"",E1490&lt;&gt;"!!!"),"NEW","")))</f>
        <v> </v>
      </c>
      <c r="G1490" s="24" t="str">
        <f>IF(OR(E1490="",E1490="!!!"),"",IF(OR(J1490=0,AND(J1490=1,K1490=1),AND(J1490=1,I1490="SBJ"),AND(J1490=1,I1490=0)),"?IN_FOCUS",IF(J1490&lt;=2,"?ACTIVATED",IF(J1490&lt;&gt;"","?FAMILIAR",IF(F1490="NEW",IF(ISNA(VLOOKUP(E1490,#REF!,1,FALSE())),"?TYPE_IDENTIFIABLE","?REFERENTIAL"),"_")))))</f>
        <v> </v>
      </c>
      <c r="H1490" s="25" t="str">
        <f>IF(J1490&lt;&gt;1,"",IF(I1490="SBJ","CB","?"))</f>
        <v> </v>
      </c>
      <c r="I1490" s="26" t="str">
        <f>IF(OR(E1490="",E1490="!!!",F1490="NEW"),"",INDEX(B1489:B$2,-1+SUMPRODUCT(MAX(ROW(E1489:E$2)*(E1490=E1489:E$2)))))</f>
        <v> </v>
      </c>
      <c r="J1490" s="26" t="str">
        <f>IF(OR(E1490="",E1490="!!!",F1490="NEW"),"",COUNTBLANK(OFFSET(A$1,,,SUMPRODUCT(MAX(ROW(E$2:E1490)*(E1490=E$2:E1490)))))-COUNTBLANK(OFFSET(A$1,,,SUMPRODUCT(MAX(ROW(E$1:E1489)*(E2=E$1:E1489))))))</f>
        <v> </v>
      </c>
      <c r="K1490" s="26" t="str">
        <f>IF(OR(E1490="",E1490="!!!",F1490="NEW"),"",INDEX(J$1:J1489,SUMPRODUCT(MAX(ROW(E$1:E1489)*(E1490=E$1:E1489)))))</f>
        <v> </v>
      </c>
      <c r="L1490" s="27"/>
    </row>
    <row r="1491" spans="1:12">
      <c r="A1491" s="20" t="s">
        <v>1568</v>
      </c>
      <c r="B1491" s="21" t="s">
        <v>1050</v>
      </c>
      <c r="C1491" s="21" t="s">
        <v>1017</v>
      </c>
      <c r="D1491" s="21" t="s">
        <v>1007</v>
      </c>
      <c r="E1491" s="22">
        <f>IF(D1491="?OLD","!!!","")</f>
        <v/>
      </c>
      <c r="F1491" s="23" t="str">
        <f>IF(OR(E1491="",E1491="!!!"),"",IF(NOT(ISNA(VLOOKUP(E1491,E$1:E1490,1,FALSE()))),"OLD",IF(AND(E1491&lt;&gt;"",E1491&lt;&gt;"!!!"),"NEW","")))</f>
        <v> </v>
      </c>
      <c r="G1491" s="24" t="str">
        <f>IF(OR(E1491="",E1491="!!!"),"",IF(OR(J1491=0,AND(J1491=1,K1491=1),AND(J1491=1,I1491="SBJ"),AND(J1491=1,I1491=0)),"?IN_FOCUS",IF(J1491&lt;=2,"?ACTIVATED",IF(J1491&lt;&gt;"","?FAMILIAR",IF(F1491="NEW",IF(ISNA(VLOOKUP(E1491,#REF!,1,FALSE())),"?TYPE_IDENTIFIABLE","?REFERENTIAL"),"_")))))</f>
        <v> </v>
      </c>
      <c r="H1491" s="25" t="str">
        <f>IF(J1491&lt;&gt;1,"",IF(I1491="SBJ","CB","?"))</f>
        <v> </v>
      </c>
      <c r="I1491" s="26" t="str">
        <f>IF(OR(E1491="",E1491="!!!",F1491="NEW"),"",INDEX(B1490:B$2,-1+SUMPRODUCT(MAX(ROW(E1490:E$2)*(E1491=E1490:E$2)))))</f>
        <v> </v>
      </c>
      <c r="J1491" s="26" t="str">
        <f>IF(OR(E1491="",E1491="!!!",F1491="NEW"),"",COUNTBLANK(OFFSET(A$1,,,SUMPRODUCT(MAX(ROW(E$2:E1491)*(E1491=E$2:E1491)))))-COUNTBLANK(OFFSET(A$1,,,SUMPRODUCT(MAX(ROW(E$1:E1490)*(E2=E$1:E1490))))))</f>
        <v> </v>
      </c>
      <c r="K1491" s="26" t="str">
        <f>IF(OR(E1491="",E1491="!!!",F1491="NEW"),"",INDEX(J$1:J1490,SUMPRODUCT(MAX(ROW(E$1:E1490)*(E1491=E$1:E1490)))))</f>
        <v> </v>
      </c>
      <c r="L1491" s="27"/>
    </row>
    <row r="1492" spans="1:12">
      <c r="A1492" s="20" t="s">
        <v>1075</v>
      </c>
      <c r="E1492" s="22">
        <f>IF(D1492="?OLD","!!!","")</f>
        <v/>
      </c>
      <c r="F1492" s="23" t="str">
        <f>IF(OR(E1492="",E1492="!!!"),"",IF(NOT(ISNA(VLOOKUP(E1492,E$1:E1491,1,FALSE()))),"OLD",IF(AND(E1492&lt;&gt;"",E1492&lt;&gt;"!!!"),"NEW","")))</f>
        <v> </v>
      </c>
      <c r="G1492" s="24" t="str">
        <f>IF(OR(E1492="",E1492="!!!"),"",IF(OR(J1492=0,AND(J1492=1,K1492=1),AND(J1492=1,I1492="SBJ"),AND(J1492=1,I1492=0)),"?IN_FOCUS",IF(J1492&lt;=2,"?ACTIVATED",IF(J1492&lt;&gt;"","?FAMILIAR",IF(F1492="NEW",IF(ISNA(VLOOKUP(E1492,#REF!,1,FALSE())),"?TYPE_IDENTIFIABLE","?REFERENTIAL"),"_")))))</f>
        <v> </v>
      </c>
      <c r="H1492" s="25" t="str">
        <f>IF(J1492&lt;&gt;1,"",IF(I1492="SBJ","CB","?"))</f>
        <v> </v>
      </c>
      <c r="I1492" s="26" t="str">
        <f>IF(OR(E1492="",E1492="!!!",F1492="NEW"),"",INDEX(B1491:B$2,-1+SUMPRODUCT(MAX(ROW(E1491:E$2)*(E1492=E1491:E$2)))))</f>
        <v> </v>
      </c>
      <c r="J1492" s="26" t="str">
        <f>IF(OR(E1492="",E1492="!!!",F1492="NEW"),"",COUNTBLANK(OFFSET(A$1,,,SUMPRODUCT(MAX(ROW(E$2:E1492)*(E1492=E$2:E1492)))))-COUNTBLANK(OFFSET(A$1,,,SUMPRODUCT(MAX(ROW(E$1:E1491)*(E2=E$1:E1491))))))</f>
        <v> </v>
      </c>
      <c r="K1492" s="26" t="str">
        <f>IF(OR(E1492="",E1492="!!!",F1492="NEW"),"",INDEX(J$1:J1491,SUMPRODUCT(MAX(ROW(E$1:E1491)*(E1492=E$1:E1491)))))</f>
        <v> </v>
      </c>
      <c r="L1492" s="27"/>
    </row>
    <row r="1493" spans="1:12">
      <c r="A1493" s="20" t="s">
        <v>1065</v>
      </c>
      <c r="E1493" s="22">
        <f>IF(D1493="?OLD","!!!","")</f>
        <v/>
      </c>
      <c r="F1493" s="23" t="str">
        <f>IF(OR(E1493="",E1493="!!!"),"",IF(NOT(ISNA(VLOOKUP(E1493,E$1:E1492,1,FALSE()))),"OLD",IF(AND(E1493&lt;&gt;"",E1493&lt;&gt;"!!!"),"NEW","")))</f>
        <v> </v>
      </c>
      <c r="G1493" s="24" t="str">
        <f>IF(OR(E1493="",E1493="!!!"),"",IF(OR(J1493=0,AND(J1493=1,K1493=1),AND(J1493=1,I1493="SBJ"),AND(J1493=1,I1493=0)),"?IN_FOCUS",IF(J1493&lt;=2,"?ACTIVATED",IF(J1493&lt;&gt;"","?FAMILIAR",IF(F1493="NEW",IF(ISNA(VLOOKUP(E1493,#REF!,1,FALSE())),"?TYPE_IDENTIFIABLE","?REFERENTIAL"),"_")))))</f>
        <v> </v>
      </c>
      <c r="H1493" s="25" t="str">
        <f>IF(J1493&lt;&gt;1,"",IF(I1493="SBJ","CB","?"))</f>
        <v> </v>
      </c>
      <c r="I1493" s="26" t="str">
        <f>IF(OR(E1493="",E1493="!!!",F1493="NEW"),"",INDEX(B1492:B$2,-1+SUMPRODUCT(MAX(ROW(E1492:E$2)*(E1493=E1492:E$2)))))</f>
        <v> </v>
      </c>
      <c r="J1493" s="26" t="str">
        <f>IF(OR(E1493="",E1493="!!!",F1493="NEW"),"",COUNTBLANK(OFFSET(A$1,,,SUMPRODUCT(MAX(ROW(E$2:E1493)*(E1493=E$2:E1493)))))-COUNTBLANK(OFFSET(A$1,,,SUMPRODUCT(MAX(ROW(E$1:E1492)*(E2=E$1:E1492))))))</f>
        <v> </v>
      </c>
      <c r="K1493" s="26" t="str">
        <f>IF(OR(E1493="",E1493="!!!",F1493="NEW"),"",INDEX(J$1:J1492,SUMPRODUCT(MAX(ROW(E$1:E1492)*(E1493=E$1:E1492)))))</f>
        <v> </v>
      </c>
      <c r="L1493" s="27"/>
    </row>
    <row r="1494" spans="1:12">
      <c r="A1494" s="20" t="s">
        <v>1018</v>
      </c>
      <c r="E1494" s="22">
        <f>IF(D1494="?OLD","!!!","")</f>
        <v/>
      </c>
      <c r="F1494" s="23" t="str">
        <f>IF(OR(E1494="",E1494="!!!"),"",IF(NOT(ISNA(VLOOKUP(E1494,E$1:E1493,1,FALSE()))),"OLD",IF(AND(E1494&lt;&gt;"",E1494&lt;&gt;"!!!"),"NEW","")))</f>
        <v> </v>
      </c>
      <c r="G1494" s="24" t="str">
        <f>IF(OR(E1494="",E1494="!!!"),"",IF(OR(J1494=0,AND(J1494=1,K1494=1),AND(J1494=1,I1494="SBJ"),AND(J1494=1,I1494=0)),"?IN_FOCUS",IF(J1494&lt;=2,"?ACTIVATED",IF(J1494&lt;&gt;"","?FAMILIAR",IF(F1494="NEW",IF(ISNA(VLOOKUP(E1494,#REF!,1,FALSE())),"?TYPE_IDENTIFIABLE","?REFERENTIAL"),"_")))))</f>
        <v> </v>
      </c>
      <c r="H1494" s="25" t="str">
        <f>IF(J1494&lt;&gt;1,"",IF(I1494="SBJ","CB","?"))</f>
        <v> </v>
      </c>
      <c r="I1494" s="26" t="str">
        <f>IF(OR(E1494="",E1494="!!!",F1494="NEW"),"",INDEX(B1493:B$2,-1+SUMPRODUCT(MAX(ROW(E1493:E$2)*(E1494=E1493:E$2)))))</f>
        <v> </v>
      </c>
      <c r="J1494" s="26" t="str">
        <f>IF(OR(E1494="",E1494="!!!",F1494="NEW"),"",COUNTBLANK(OFFSET(A$1,,,SUMPRODUCT(MAX(ROW(E$2:E1494)*(E1494=E$2:E1494)))))-COUNTBLANK(OFFSET(A$1,,,SUMPRODUCT(MAX(ROW(E$1:E1493)*(E2=E$1:E1493))))))</f>
        <v> </v>
      </c>
      <c r="K1494" s="26" t="str">
        <f>IF(OR(E1494="",E1494="!!!",F1494="NEW"),"",INDEX(J$1:J1493,SUMPRODUCT(MAX(ROW(E$1:E1493)*(E1494=E$1:E1493)))))</f>
        <v> </v>
      </c>
      <c r="L1494" s="27"/>
    </row>
    <row r="1495" spans="1:12">
      <c r="A1495" s="20" t="s">
        <v>1137</v>
      </c>
      <c r="E1495" s="22">
        <f>IF(D1495="?OLD","!!!","")</f>
        <v/>
      </c>
      <c r="F1495" s="23" t="str">
        <f>IF(OR(E1495="",E1495="!!!"),"",IF(NOT(ISNA(VLOOKUP(E1495,E$1:E1494,1,FALSE()))),"OLD",IF(AND(E1495&lt;&gt;"",E1495&lt;&gt;"!!!"),"NEW","")))</f>
        <v> </v>
      </c>
      <c r="G1495" s="24" t="str">
        <f>IF(OR(E1495="",E1495="!!!"),"",IF(OR(J1495=0,AND(J1495=1,K1495=1),AND(J1495=1,I1495="SBJ"),AND(J1495=1,I1495=0)),"?IN_FOCUS",IF(J1495&lt;=2,"?ACTIVATED",IF(J1495&lt;&gt;"","?FAMILIAR",IF(F1495="NEW",IF(ISNA(VLOOKUP(E1495,#REF!,1,FALSE())),"?TYPE_IDENTIFIABLE","?REFERENTIAL"),"_")))))</f>
        <v> </v>
      </c>
      <c r="H1495" s="25" t="str">
        <f>IF(J1495&lt;&gt;1,"",IF(I1495="SBJ","CB","?"))</f>
        <v> </v>
      </c>
      <c r="I1495" s="26" t="str">
        <f>IF(OR(E1495="",E1495="!!!",F1495="NEW"),"",INDEX(B1494:B$2,-1+SUMPRODUCT(MAX(ROW(E1494:E$2)*(E1495=E1494:E$2)))))</f>
        <v> </v>
      </c>
      <c r="J1495" s="26" t="str">
        <f>IF(OR(E1495="",E1495="!!!",F1495="NEW"),"",COUNTBLANK(OFFSET(A$1,,,SUMPRODUCT(MAX(ROW(E$2:E1495)*(E1495=E$2:E1495)))))-COUNTBLANK(OFFSET(A$1,,,SUMPRODUCT(MAX(ROW(E$1:E1494)*(E2=E$1:E1494))))))</f>
        <v> </v>
      </c>
      <c r="K1495" s="26" t="str">
        <f>IF(OR(E1495="",E1495="!!!",F1495="NEW"),"",INDEX(J$1:J1494,SUMPRODUCT(MAX(ROW(E$1:E1494)*(E1495=E$1:E1494)))))</f>
        <v> </v>
      </c>
      <c r="L1495" s="27"/>
    </row>
    <row r="1496" spans="1:12">
      <c r="A1496" s="20" t="s">
        <v>1439</v>
      </c>
      <c r="E1496" s="22">
        <f>IF(D1496="?OLD","!!!","")</f>
        <v/>
      </c>
      <c r="F1496" s="23" t="str">
        <f>IF(OR(E1496="",E1496="!!!"),"",IF(NOT(ISNA(VLOOKUP(E1496,E$1:E1495,1,FALSE()))),"OLD",IF(AND(E1496&lt;&gt;"",E1496&lt;&gt;"!!!"),"NEW","")))</f>
        <v> </v>
      </c>
      <c r="G1496" s="24" t="str">
        <f>IF(OR(E1496="",E1496="!!!"),"",IF(OR(J1496=0,AND(J1496=1,K1496=1),AND(J1496=1,I1496="SBJ"),AND(J1496=1,I1496=0)),"?IN_FOCUS",IF(J1496&lt;=2,"?ACTIVATED",IF(J1496&lt;&gt;"","?FAMILIAR",IF(F1496="NEW",IF(ISNA(VLOOKUP(E1496,#REF!,1,FALSE())),"?TYPE_IDENTIFIABLE","?REFERENTIAL"),"_")))))</f>
        <v> </v>
      </c>
      <c r="H1496" s="25" t="str">
        <f>IF(J1496&lt;&gt;1,"",IF(I1496="SBJ","CB","?"))</f>
        <v> </v>
      </c>
      <c r="I1496" s="26" t="str">
        <f>IF(OR(E1496="",E1496="!!!",F1496="NEW"),"",INDEX(B1495:B$2,-1+SUMPRODUCT(MAX(ROW(E1495:E$2)*(E1496=E1495:E$2)))))</f>
        <v> </v>
      </c>
      <c r="J1496" s="26" t="str">
        <f>IF(OR(E1496="",E1496="!!!",F1496="NEW"),"",COUNTBLANK(OFFSET(A$1,,,SUMPRODUCT(MAX(ROW(E$2:E1496)*(E1496=E$2:E1496)))))-COUNTBLANK(OFFSET(A$1,,,SUMPRODUCT(MAX(ROW(E$1:E1495)*(E2=E$1:E1495))))))</f>
        <v> </v>
      </c>
      <c r="K1496" s="26" t="str">
        <f>IF(OR(E1496="",E1496="!!!",F1496="NEW"),"",INDEX(J$1:J1495,SUMPRODUCT(MAX(ROW(E$1:E1495)*(E1496=E$1:E1495)))))</f>
        <v> </v>
      </c>
      <c r="L1496" s="27"/>
    </row>
    <row r="1497" spans="1:12">
      <c r="A1497" s="20" t="s">
        <v>1127</v>
      </c>
      <c r="E1497" s="22">
        <f>IF(D1497="?OLD","!!!","")</f>
        <v/>
      </c>
      <c r="F1497" s="23" t="str">
        <f>IF(OR(E1497="",E1497="!!!"),"",IF(NOT(ISNA(VLOOKUP(E1497,E$1:E1496,1,FALSE()))),"OLD",IF(AND(E1497&lt;&gt;"",E1497&lt;&gt;"!!!"),"NEW","")))</f>
        <v> </v>
      </c>
      <c r="G1497" s="24" t="str">
        <f>IF(OR(E1497="",E1497="!!!"),"",IF(OR(J1497=0,AND(J1497=1,K1497=1),AND(J1497=1,I1497="SBJ"),AND(J1497=1,I1497=0)),"?IN_FOCUS",IF(J1497&lt;=2,"?ACTIVATED",IF(J1497&lt;&gt;"","?FAMILIAR",IF(F1497="NEW",IF(ISNA(VLOOKUP(E1497,#REF!,1,FALSE())),"?TYPE_IDENTIFIABLE","?REFERENTIAL"),"_")))))</f>
        <v> </v>
      </c>
      <c r="H1497" s="25" t="str">
        <f>IF(J1497&lt;&gt;1,"",IF(I1497="SBJ","CB","?"))</f>
        <v> </v>
      </c>
      <c r="I1497" s="26" t="str">
        <f>IF(OR(E1497="",E1497="!!!",F1497="NEW"),"",INDEX(B1496:B$2,-1+SUMPRODUCT(MAX(ROW(E1496:E$2)*(E1497=E1496:E$2)))))</f>
        <v> </v>
      </c>
      <c r="J1497" s="26" t="str">
        <f>IF(OR(E1497="",E1497="!!!",F1497="NEW"),"",COUNTBLANK(OFFSET(A$1,,,SUMPRODUCT(MAX(ROW(E$2:E1497)*(E1497=E$2:E1497)))))-COUNTBLANK(OFFSET(A$1,,,SUMPRODUCT(MAX(ROW(E$1:E1496)*(E2=E$1:E1496))))))</f>
        <v> </v>
      </c>
      <c r="K1497" s="26" t="str">
        <f>IF(OR(E1497="",E1497="!!!",F1497="NEW"),"",INDEX(J$1:J1496,SUMPRODUCT(MAX(ROW(E$1:E1496)*(E1497=E$1:E1496)))))</f>
        <v> </v>
      </c>
      <c r="L1497" s="27"/>
    </row>
    <row r="1498" spans="1:12">
      <c r="A1498" s="20" t="s">
        <v>1020</v>
      </c>
      <c r="E1498" s="22">
        <f>IF(D1498="?OLD","!!!","")</f>
        <v/>
      </c>
      <c r="F1498" s="23" t="str">
        <f>IF(OR(E1498="",E1498="!!!"),"",IF(NOT(ISNA(VLOOKUP(E1498,E$1:E1497,1,FALSE()))),"OLD",IF(AND(E1498&lt;&gt;"",E1498&lt;&gt;"!!!"),"NEW","")))</f>
        <v> </v>
      </c>
      <c r="G1498" s="24" t="str">
        <f>IF(OR(E1498="",E1498="!!!"),"",IF(OR(J1498=0,AND(J1498=1,K1498=1),AND(J1498=1,I1498="SBJ"),AND(J1498=1,I1498=0)),"?IN_FOCUS",IF(J1498&lt;=2,"?ACTIVATED",IF(J1498&lt;&gt;"","?FAMILIAR",IF(F1498="NEW",IF(ISNA(VLOOKUP(E1498,#REF!,1,FALSE())),"?TYPE_IDENTIFIABLE","?REFERENTIAL"),"_")))))</f>
        <v> </v>
      </c>
      <c r="H1498" s="25" t="str">
        <f>IF(J1498&lt;&gt;1,"",IF(I1498="SBJ","CB","?"))</f>
        <v> </v>
      </c>
      <c r="I1498" s="26" t="str">
        <f>IF(OR(E1498="",E1498="!!!",F1498="NEW"),"",INDEX(B1497:B$2,-1+SUMPRODUCT(MAX(ROW(E1497:E$2)*(E1498=E1497:E$2)))))</f>
        <v> </v>
      </c>
      <c r="J1498" s="26" t="str">
        <f>IF(OR(E1498="",E1498="!!!",F1498="NEW"),"",COUNTBLANK(OFFSET(A$1,,,SUMPRODUCT(MAX(ROW(E$2:E1498)*(E1498=E$2:E1498)))))-COUNTBLANK(OFFSET(A$1,,,SUMPRODUCT(MAX(ROW(E$1:E1497)*(E2=E$1:E1497))))))</f>
        <v> </v>
      </c>
      <c r="K1498" s="26" t="str">
        <f>IF(OR(E1498="",E1498="!!!",F1498="NEW"),"",INDEX(J$1:J1497,SUMPRODUCT(MAX(ROW(E$1:E1497)*(E1498=E$1:E1497)))))</f>
        <v> </v>
      </c>
      <c r="L1498" s="27"/>
    </row>
    <row r="1499" spans="1:12">
      <c r="A1499" s="20" t="s">
        <v>1285</v>
      </c>
      <c r="B1499" s="21" t="s">
        <v>1022</v>
      </c>
      <c r="C1499" s="21" t="s">
        <v>1017</v>
      </c>
      <c r="D1499" s="21" t="s">
        <v>1007</v>
      </c>
      <c r="E1499" s="22">
        <f>IF(D1499="?OLD","!!!","")</f>
        <v/>
      </c>
      <c r="F1499" s="23" t="str">
        <f>IF(OR(E1499="",E1499="!!!"),"",IF(NOT(ISNA(VLOOKUP(E1499,E$1:E1498,1,FALSE()))),"OLD",IF(AND(E1499&lt;&gt;"",E1499&lt;&gt;"!!!"),"NEW","")))</f>
        <v> </v>
      </c>
      <c r="G1499" s="24" t="str">
        <f>IF(OR(E1499="",E1499="!!!"),"",IF(OR(J1499=0,AND(J1499=1,K1499=1),AND(J1499=1,I1499="SBJ"),AND(J1499=1,I1499=0)),"?IN_FOCUS",IF(J1499&lt;=2,"?ACTIVATED",IF(J1499&lt;&gt;"","?FAMILIAR",IF(F1499="NEW",IF(ISNA(VLOOKUP(E1499,#REF!,1,FALSE())),"?TYPE_IDENTIFIABLE","?REFERENTIAL"),"_")))))</f>
        <v> </v>
      </c>
      <c r="H1499" s="25" t="str">
        <f>IF(J1499&lt;&gt;1,"",IF(I1499="SBJ","CB","?"))</f>
        <v> </v>
      </c>
      <c r="I1499" s="26" t="str">
        <f>IF(OR(E1499="",E1499="!!!",F1499="NEW"),"",INDEX(B1498:B$2,-1+SUMPRODUCT(MAX(ROW(E1498:E$2)*(E1499=E1498:E$2)))))</f>
        <v> </v>
      </c>
      <c r="J1499" s="26" t="str">
        <f>IF(OR(E1499="",E1499="!!!",F1499="NEW"),"",COUNTBLANK(OFFSET(A$1,,,SUMPRODUCT(MAX(ROW(E$2:E1499)*(E1499=E$2:E1499)))))-COUNTBLANK(OFFSET(A$1,,,SUMPRODUCT(MAX(ROW(E$1:E1498)*(E2=E$1:E1498))))))</f>
        <v> </v>
      </c>
      <c r="K1499" s="26" t="str">
        <f>IF(OR(E1499="",E1499="!!!",F1499="NEW"),"",INDEX(J$1:J1498,SUMPRODUCT(MAX(ROW(E$1:E1498)*(E1499=E$1:E1498)))))</f>
        <v> </v>
      </c>
      <c r="L1499" s="27"/>
    </row>
    <row r="1500" spans="1:12">
      <c r="A1500" s="20" t="s">
        <v>1132</v>
      </c>
      <c r="E1500" s="22">
        <f>IF(D1500="?OLD","!!!","")</f>
        <v/>
      </c>
      <c r="F1500" s="23" t="str">
        <f>IF(OR(E1500="",E1500="!!!"),"",IF(NOT(ISNA(VLOOKUP(E1500,E$1:E1499,1,FALSE()))),"OLD",IF(AND(E1500&lt;&gt;"",E1500&lt;&gt;"!!!"),"NEW","")))</f>
        <v> </v>
      </c>
      <c r="G1500" s="24" t="str">
        <f>IF(OR(E1500="",E1500="!!!"),"",IF(OR(J1500=0,AND(J1500=1,K1500=1),AND(J1500=1,I1500="SBJ"),AND(J1500=1,I1500=0)),"?IN_FOCUS",IF(J1500&lt;=2,"?ACTIVATED",IF(J1500&lt;&gt;"","?FAMILIAR",IF(F1500="NEW",IF(ISNA(VLOOKUP(E1500,#REF!,1,FALSE())),"?TYPE_IDENTIFIABLE","?REFERENTIAL"),"_")))))</f>
        <v> </v>
      </c>
      <c r="H1500" s="25" t="str">
        <f>IF(J1500&lt;&gt;1,"",IF(I1500="SBJ","CB","?"))</f>
        <v> </v>
      </c>
      <c r="I1500" s="26" t="str">
        <f>IF(OR(E1500="",E1500="!!!",F1500="NEW"),"",INDEX(B1499:B$2,-1+SUMPRODUCT(MAX(ROW(E1499:E$2)*(E1500=E1499:E$2)))))</f>
        <v> </v>
      </c>
      <c r="J1500" s="26" t="str">
        <f>IF(OR(E1500="",E1500="!!!",F1500="NEW"),"",COUNTBLANK(OFFSET(A$1,,,SUMPRODUCT(MAX(ROW(E$2:E1500)*(E1500=E$2:E1500)))))-COUNTBLANK(OFFSET(A$1,,,SUMPRODUCT(MAX(ROW(E$1:E1499)*(E2=E$1:E1499))))))</f>
        <v> </v>
      </c>
      <c r="K1500" s="26" t="str">
        <f>IF(OR(E1500="",E1500="!!!",F1500="NEW"),"",INDEX(J$1:J1499,SUMPRODUCT(MAX(ROW(E$1:E1499)*(E1500=E$1:E1499)))))</f>
        <v> </v>
      </c>
      <c r="L1500" s="27"/>
    </row>
    <row r="1501" spans="1:12">
      <c r="A1501" s="20" t="s">
        <v>1569</v>
      </c>
      <c r="E1501" s="22">
        <f>IF(D1501="?OLD","!!!","")</f>
        <v/>
      </c>
      <c r="F1501" s="23" t="str">
        <f>IF(OR(E1501="",E1501="!!!"),"",IF(NOT(ISNA(VLOOKUP(E1501,E$1:E1500,1,FALSE()))),"OLD",IF(AND(E1501&lt;&gt;"",E1501&lt;&gt;"!!!"),"NEW","")))</f>
        <v> </v>
      </c>
      <c r="G1501" s="24" t="str">
        <f>IF(OR(E1501="",E1501="!!!"),"",IF(OR(J1501=0,AND(J1501=1,K1501=1),AND(J1501=1,I1501="SBJ"),AND(J1501=1,I1501=0)),"?IN_FOCUS",IF(J1501&lt;=2,"?ACTIVATED",IF(J1501&lt;&gt;"","?FAMILIAR",IF(F1501="NEW",IF(ISNA(VLOOKUP(E1501,#REF!,1,FALSE())),"?TYPE_IDENTIFIABLE","?REFERENTIAL"),"_")))))</f>
        <v> </v>
      </c>
      <c r="H1501" s="25" t="str">
        <f>IF(J1501&lt;&gt;1,"",IF(I1501="SBJ","CB","?"))</f>
        <v> </v>
      </c>
      <c r="I1501" s="26" t="str">
        <f>IF(OR(E1501="",E1501="!!!",F1501="NEW"),"",INDEX(B1500:B$2,-1+SUMPRODUCT(MAX(ROW(E1500:E$2)*(E1501=E1500:E$2)))))</f>
        <v> </v>
      </c>
      <c r="J1501" s="26" t="str">
        <f>IF(OR(E1501="",E1501="!!!",F1501="NEW"),"",COUNTBLANK(OFFSET(A$1,,,SUMPRODUCT(MAX(ROW(E$2:E1501)*(E1501=E$2:E1501)))))-COUNTBLANK(OFFSET(A$1,,,SUMPRODUCT(MAX(ROW(E$1:E1500)*(E2=E$1:E1500))))))</f>
        <v> </v>
      </c>
      <c r="K1501" s="26" t="str">
        <f>IF(OR(E1501="",E1501="!!!",F1501="NEW"),"",INDEX(J$1:J1500,SUMPRODUCT(MAX(ROW(E$1:E1500)*(E1501=E$1:E1500)))))</f>
        <v> </v>
      </c>
      <c r="L1501" s="27"/>
    </row>
    <row r="1502" spans="1:12">
      <c r="A1502" s="20" t="s">
        <v>1570</v>
      </c>
      <c r="B1502" s="21" t="s">
        <v>1120</v>
      </c>
      <c r="C1502" s="21" t="s">
        <v>1041</v>
      </c>
      <c r="D1502" s="21" t="s">
        <v>1007</v>
      </c>
      <c r="E1502" s="22">
        <f>IF(D1502="?OLD","!!!","")</f>
        <v/>
      </c>
      <c r="F1502" s="23" t="str">
        <f>IF(OR(E1502="",E1502="!!!"),"",IF(NOT(ISNA(VLOOKUP(E1502,E$1:E1501,1,FALSE()))),"OLD",IF(AND(E1502&lt;&gt;"",E1502&lt;&gt;"!!!"),"NEW","")))</f>
        <v> </v>
      </c>
      <c r="G1502" s="24" t="str">
        <f>IF(OR(E1502="",E1502="!!!"),"",IF(OR(J1502=0,AND(J1502=1,K1502=1),AND(J1502=1,I1502="SBJ"),AND(J1502=1,I1502=0)),"?IN_FOCUS",IF(J1502&lt;=2,"?ACTIVATED",IF(J1502&lt;&gt;"","?FAMILIAR",IF(F1502="NEW",IF(ISNA(VLOOKUP(E1502,#REF!,1,FALSE())),"?TYPE_IDENTIFIABLE","?REFERENTIAL"),"_")))))</f>
        <v> </v>
      </c>
      <c r="H1502" s="25" t="str">
        <f>IF(J1502&lt;&gt;1,"",IF(I1502="SBJ","CB","?"))</f>
        <v> </v>
      </c>
      <c r="I1502" s="26" t="str">
        <f>IF(OR(E1502="",E1502="!!!",F1502="NEW"),"",INDEX(B1501:B$2,-1+SUMPRODUCT(MAX(ROW(E1501:E$2)*(E1502=E1501:E$2)))))</f>
        <v> </v>
      </c>
      <c r="J1502" s="26" t="str">
        <f>IF(OR(E1502="",E1502="!!!",F1502="NEW"),"",COUNTBLANK(OFFSET(A$1,,,SUMPRODUCT(MAX(ROW(E$2:E1502)*(E1502=E$2:E1502)))))-COUNTBLANK(OFFSET(A$1,,,SUMPRODUCT(MAX(ROW(E$1:E1501)*(E2=E$1:E1501))))))</f>
        <v> </v>
      </c>
      <c r="K1502" s="26" t="str">
        <f>IF(OR(E1502="",E1502="!!!",F1502="NEW"),"",INDEX(J$1:J1501,SUMPRODUCT(MAX(ROW(E$1:E1501)*(E1502=E$1:E1501)))))</f>
        <v> </v>
      </c>
      <c r="L1502" s="27"/>
    </row>
    <row r="1503" spans="1:12">
      <c r="A1503" s="20" t="s">
        <v>1075</v>
      </c>
      <c r="E1503" s="22">
        <f>IF(D1503="?OLD","!!!","")</f>
        <v/>
      </c>
      <c r="F1503" s="23" t="str">
        <f>IF(OR(E1503="",E1503="!!!"),"",IF(NOT(ISNA(VLOOKUP(E1503,E$1:E1502,1,FALSE()))),"OLD",IF(AND(E1503&lt;&gt;"",E1503&lt;&gt;"!!!"),"NEW","")))</f>
        <v> </v>
      </c>
      <c r="G1503" s="24" t="str">
        <f>IF(OR(E1503="",E1503="!!!"),"",IF(OR(J1503=0,AND(J1503=1,K1503=1),AND(J1503=1,I1503="SBJ"),AND(J1503=1,I1503=0)),"?IN_FOCUS",IF(J1503&lt;=2,"?ACTIVATED",IF(J1503&lt;&gt;"","?FAMILIAR",IF(F1503="NEW",IF(ISNA(VLOOKUP(E1503,#REF!,1,FALSE())),"?TYPE_IDENTIFIABLE","?REFERENTIAL"),"_")))))</f>
        <v> </v>
      </c>
      <c r="H1503" s="25" t="str">
        <f>IF(J1503&lt;&gt;1,"",IF(I1503="SBJ","CB","?"))</f>
        <v> </v>
      </c>
      <c r="I1503" s="26" t="str">
        <f>IF(OR(E1503="",E1503="!!!",F1503="NEW"),"",INDEX(B1502:B$2,-1+SUMPRODUCT(MAX(ROW(E1502:E$2)*(E1503=E1502:E$2)))))</f>
        <v> </v>
      </c>
      <c r="J1503" s="26" t="str">
        <f>IF(OR(E1503="",E1503="!!!",F1503="NEW"),"",COUNTBLANK(OFFSET(A$1,,,SUMPRODUCT(MAX(ROW(E$2:E1503)*(E1503=E$2:E1503)))))-COUNTBLANK(OFFSET(A$1,,,SUMPRODUCT(MAX(ROW(E$1:E1502)*(E2=E$1:E1502))))))</f>
        <v> </v>
      </c>
      <c r="K1503" s="26" t="str">
        <f>IF(OR(E1503="",E1503="!!!",F1503="NEW"),"",INDEX(J$1:J1502,SUMPRODUCT(MAX(ROW(E$1:E1502)*(E1503=E$1:E1502)))))</f>
        <v> </v>
      </c>
      <c r="L1503" s="27"/>
    </row>
    <row r="1504" spans="1:12">
      <c r="A1504" s="20" t="s">
        <v>1571</v>
      </c>
      <c r="E1504" s="22">
        <f>IF(D1504="?OLD","!!!","")</f>
        <v/>
      </c>
      <c r="F1504" s="23" t="str">
        <f>IF(OR(E1504="",E1504="!!!"),"",IF(NOT(ISNA(VLOOKUP(E1504,E$1:E1503,1,FALSE()))),"OLD",IF(AND(E1504&lt;&gt;"",E1504&lt;&gt;"!!!"),"NEW","")))</f>
        <v> </v>
      </c>
      <c r="G1504" s="24" t="str">
        <f>IF(OR(E1504="",E1504="!!!"),"",IF(OR(J1504=0,AND(J1504=1,K1504=1),AND(J1504=1,I1504="SBJ"),AND(J1504=1,I1504=0)),"?IN_FOCUS",IF(J1504&lt;=2,"?ACTIVATED",IF(J1504&lt;&gt;"","?FAMILIAR",IF(F1504="NEW",IF(ISNA(VLOOKUP(E1504,#REF!,1,FALSE())),"?TYPE_IDENTIFIABLE","?REFERENTIAL"),"_")))))</f>
        <v> </v>
      </c>
      <c r="H1504" s="25" t="str">
        <f>IF(J1504&lt;&gt;1,"",IF(I1504="SBJ","CB","?"))</f>
        <v> </v>
      </c>
      <c r="I1504" s="26" t="str">
        <f>IF(OR(E1504="",E1504="!!!",F1504="NEW"),"",INDEX(B1503:B$2,-1+SUMPRODUCT(MAX(ROW(E1503:E$2)*(E1504=E1503:E$2)))))</f>
        <v> </v>
      </c>
      <c r="J1504" s="26" t="str">
        <f>IF(OR(E1504="",E1504="!!!",F1504="NEW"),"",COUNTBLANK(OFFSET(A$1,,,SUMPRODUCT(MAX(ROW(E$2:E1504)*(E1504=E$2:E1504)))))-COUNTBLANK(OFFSET(A$1,,,SUMPRODUCT(MAX(ROW(E$1:E1503)*(E2=E$1:E1503))))))</f>
        <v> </v>
      </c>
      <c r="K1504" s="26" t="str">
        <f>IF(OR(E1504="",E1504="!!!",F1504="NEW"),"",INDEX(J$1:J1503,SUMPRODUCT(MAX(ROW(E$1:E1503)*(E1504=E$1:E1503)))))</f>
        <v> </v>
      </c>
      <c r="L1504" s="27"/>
    </row>
    <row r="1505" spans="1:12">
      <c r="A1505" s="20" t="s">
        <v>1018</v>
      </c>
      <c r="E1505" s="22">
        <f>IF(D1505="?OLD","!!!","")</f>
        <v/>
      </c>
      <c r="F1505" s="23" t="str">
        <f>IF(OR(E1505="",E1505="!!!"),"",IF(NOT(ISNA(VLOOKUP(E1505,E$1:E1504,1,FALSE()))),"OLD",IF(AND(E1505&lt;&gt;"",E1505&lt;&gt;"!!!"),"NEW","")))</f>
        <v> </v>
      </c>
      <c r="G1505" s="24" t="str">
        <f>IF(OR(E1505="",E1505="!!!"),"",IF(OR(J1505=0,AND(J1505=1,K1505=1),AND(J1505=1,I1505="SBJ"),AND(J1505=1,I1505=0)),"?IN_FOCUS",IF(J1505&lt;=2,"?ACTIVATED",IF(J1505&lt;&gt;"","?FAMILIAR",IF(F1505="NEW",IF(ISNA(VLOOKUP(E1505,#REF!,1,FALSE())),"?TYPE_IDENTIFIABLE","?REFERENTIAL"),"_")))))</f>
        <v> </v>
      </c>
      <c r="H1505" s="25" t="str">
        <f>IF(J1505&lt;&gt;1,"",IF(I1505="SBJ","CB","?"))</f>
        <v> </v>
      </c>
      <c r="I1505" s="26" t="str">
        <f>IF(OR(E1505="",E1505="!!!",F1505="NEW"),"",INDEX(B1504:B$2,-1+SUMPRODUCT(MAX(ROW(E1504:E$2)*(E1505=E1504:E$2)))))</f>
        <v> </v>
      </c>
      <c r="J1505" s="26" t="str">
        <f>IF(OR(E1505="",E1505="!!!",F1505="NEW"),"",COUNTBLANK(OFFSET(A$1,,,SUMPRODUCT(MAX(ROW(E$2:E1505)*(E1505=E$2:E1505)))))-COUNTBLANK(OFFSET(A$1,,,SUMPRODUCT(MAX(ROW(E$1:E1504)*(E2=E$1:E1504))))))</f>
        <v> </v>
      </c>
      <c r="K1505" s="26" t="str">
        <f>IF(OR(E1505="",E1505="!!!",F1505="NEW"),"",INDEX(J$1:J1504,SUMPRODUCT(MAX(ROW(E$1:E1504)*(E1505=E$1:E1504)))))</f>
        <v> </v>
      </c>
      <c r="L1505" s="27"/>
    </row>
    <row r="1506" spans="1:12">
      <c r="A1506" s="20" t="s">
        <v>1051</v>
      </c>
      <c r="E1506" s="22">
        <f>IF(D1506="?OLD","!!!","")</f>
        <v/>
      </c>
      <c r="F1506" s="23" t="str">
        <f>IF(OR(E1506="",E1506="!!!"),"",IF(NOT(ISNA(VLOOKUP(E1506,E$1:E1505,1,FALSE()))),"OLD",IF(AND(E1506&lt;&gt;"",E1506&lt;&gt;"!!!"),"NEW","")))</f>
        <v> </v>
      </c>
      <c r="G1506" s="24" t="str">
        <f>IF(OR(E1506="",E1506="!!!"),"",IF(OR(J1506=0,AND(J1506=1,K1506=1),AND(J1506=1,I1506="SBJ"),AND(J1506=1,I1506=0)),"?IN_FOCUS",IF(J1506&lt;=2,"?ACTIVATED",IF(J1506&lt;&gt;"","?FAMILIAR",IF(F1506="NEW",IF(ISNA(VLOOKUP(E1506,#REF!,1,FALSE())),"?TYPE_IDENTIFIABLE","?REFERENTIAL"),"_")))))</f>
        <v> </v>
      </c>
      <c r="H1506" s="25" t="str">
        <f>IF(J1506&lt;&gt;1,"",IF(I1506="SBJ","CB","?"))</f>
        <v> </v>
      </c>
      <c r="I1506" s="26" t="str">
        <f>IF(OR(E1506="",E1506="!!!",F1506="NEW"),"",INDEX(B1505:B$2,-1+SUMPRODUCT(MAX(ROW(E1505:E$2)*(E1506=E1505:E$2)))))</f>
        <v> </v>
      </c>
      <c r="J1506" s="26" t="str">
        <f>IF(OR(E1506="",E1506="!!!",F1506="NEW"),"",COUNTBLANK(OFFSET(A$1,,,SUMPRODUCT(MAX(ROW(E$2:E1506)*(E1506=E$2:E1506)))))-COUNTBLANK(OFFSET(A$1,,,SUMPRODUCT(MAX(ROW(E$1:E1505)*(E2=E$1:E1505))))))</f>
        <v> </v>
      </c>
      <c r="K1506" s="26" t="str">
        <f>IF(OR(E1506="",E1506="!!!",F1506="NEW"),"",INDEX(J$1:J1505,SUMPRODUCT(MAX(ROW(E$1:E1505)*(E1506=E$1:E1505)))))</f>
        <v> </v>
      </c>
      <c r="L1506" s="27"/>
    </row>
    <row r="1507" spans="1:12">
      <c r="A1507" s="20" t="s">
        <v>1020</v>
      </c>
      <c r="E1507" s="22">
        <f>IF(D1507="?OLD","!!!","")</f>
        <v/>
      </c>
      <c r="F1507" s="23" t="str">
        <f>IF(OR(E1507="",E1507="!!!"),"",IF(NOT(ISNA(VLOOKUP(E1507,E$1:E1506,1,FALSE()))),"OLD",IF(AND(E1507&lt;&gt;"",E1507&lt;&gt;"!!!"),"NEW","")))</f>
        <v> </v>
      </c>
      <c r="G1507" s="24" t="str">
        <f>IF(OR(E1507="",E1507="!!!"),"",IF(OR(J1507=0,AND(J1507=1,K1507=1),AND(J1507=1,I1507="SBJ"),AND(J1507=1,I1507=0)),"?IN_FOCUS",IF(J1507&lt;=2,"?ACTIVATED",IF(J1507&lt;&gt;"","?FAMILIAR",IF(F1507="NEW",IF(ISNA(VLOOKUP(E1507,#REF!,1,FALSE())),"?TYPE_IDENTIFIABLE","?REFERENTIAL"),"_")))))</f>
        <v> </v>
      </c>
      <c r="H1507" s="25" t="str">
        <f>IF(J1507&lt;&gt;1,"",IF(I1507="SBJ","CB","?"))</f>
        <v> </v>
      </c>
      <c r="I1507" s="26" t="str">
        <f>IF(OR(E1507="",E1507="!!!",F1507="NEW"),"",INDEX(B1506:B$2,-1+SUMPRODUCT(MAX(ROW(E1506:E$2)*(E1507=E1506:E$2)))))</f>
        <v> </v>
      </c>
      <c r="J1507" s="26" t="str">
        <f>IF(OR(E1507="",E1507="!!!",F1507="NEW"),"",COUNTBLANK(OFFSET(A$1,,,SUMPRODUCT(MAX(ROW(E$2:E1507)*(E1507=E$2:E1507)))))-COUNTBLANK(OFFSET(A$1,,,SUMPRODUCT(MAX(ROW(E$1:E1506)*(E2=E$1:E1506))))))</f>
        <v> </v>
      </c>
      <c r="K1507" s="26" t="str">
        <f>IF(OR(E1507="",E1507="!!!",F1507="NEW"),"",INDEX(J$1:J1506,SUMPRODUCT(MAX(ROW(E$1:E1506)*(E1507=E$1:E1506)))))</f>
        <v> </v>
      </c>
      <c r="L1507" s="27"/>
    </row>
    <row r="1508" spans="1:12">
      <c r="A1508" s="20" t="s">
        <v>500</v>
      </c>
      <c r="E1508" s="22">
        <f>IF(D1508="?OLD","!!!","")</f>
        <v/>
      </c>
      <c r="F1508" s="23" t="str">
        <f>IF(OR(E1508="",E1508="!!!"),"",IF(NOT(ISNA(VLOOKUP(E1508,E$1:E1507,1,FALSE()))),"OLD",IF(AND(E1508&lt;&gt;"",E1508&lt;&gt;"!!!"),"NEW","")))</f>
        <v> </v>
      </c>
      <c r="G1508" s="24" t="str">
        <f>IF(OR(E1508="",E1508="!!!"),"",IF(OR(J1508=0,AND(J1508=1,K1508=1),AND(J1508=1,I1508="SBJ"),AND(J1508=1,I1508=0)),"?IN_FOCUS",IF(J1508&lt;=2,"?ACTIVATED",IF(J1508&lt;&gt;"","?FAMILIAR",IF(F1508="NEW",IF(ISNA(VLOOKUP(E1508,#REF!,1,FALSE())),"?TYPE_IDENTIFIABLE","?REFERENTIAL"),"_")))))</f>
        <v> </v>
      </c>
      <c r="H1508" s="25" t="str">
        <f>IF(J1508&lt;&gt;1,"",IF(I1508="SBJ","CB","?"))</f>
        <v> </v>
      </c>
      <c r="I1508" s="26" t="str">
        <f>IF(OR(E1508="",E1508="!!!",F1508="NEW"),"",INDEX(B1507:B$2,-1+SUMPRODUCT(MAX(ROW(E1507:E$2)*(E1508=E1507:E$2)))))</f>
        <v> </v>
      </c>
      <c r="J1508" s="26" t="str">
        <f>IF(OR(E1508="",E1508="!!!",F1508="NEW"),"",COUNTBLANK(OFFSET(A$1,,,SUMPRODUCT(MAX(ROW(E$2:E1508)*(E1508=E$2:E1508)))))-COUNTBLANK(OFFSET(A$1,,,SUMPRODUCT(MAX(ROW(E$1:E1507)*(E2=E$1:E1507))))))</f>
        <v> </v>
      </c>
      <c r="K1508" s="26" t="str">
        <f>IF(OR(E1508="",E1508="!!!",F1508="NEW"),"",INDEX(J$1:J1507,SUMPRODUCT(MAX(ROW(E$1:E1507)*(E1508=E$1:E1507)))))</f>
        <v> </v>
      </c>
      <c r="L1508" s="27"/>
    </row>
    <row r="1509" spans="1:12">
      <c r="A1509" s="20" t="s">
        <v>1014</v>
      </c>
      <c r="E1509" s="22">
        <f>IF(D1509="?OLD","!!!","")</f>
        <v/>
      </c>
      <c r="F1509" s="23" t="str">
        <f>IF(OR(E1509="",E1509="!!!"),"",IF(NOT(ISNA(VLOOKUP(E1509,E$1:E1508,1,FALSE()))),"OLD",IF(AND(E1509&lt;&gt;"",E1509&lt;&gt;"!!!"),"NEW","")))</f>
        <v> </v>
      </c>
      <c r="G1509" s="24" t="str">
        <f>IF(OR(E1509="",E1509="!!!"),"",IF(OR(J1509=0,AND(J1509=1,K1509=1),AND(J1509=1,I1509="SBJ"),AND(J1509=1,I1509=0)),"?IN_FOCUS",IF(J1509&lt;=2,"?ACTIVATED",IF(J1509&lt;&gt;"","?FAMILIAR",IF(F1509="NEW",IF(ISNA(VLOOKUP(E1509,#REF!,1,FALSE())),"?TYPE_IDENTIFIABLE","?REFERENTIAL"),"_")))))</f>
        <v> </v>
      </c>
      <c r="H1509" s="25" t="str">
        <f>IF(J1509&lt;&gt;1,"",IF(I1509="SBJ","CB","?"))</f>
        <v> </v>
      </c>
      <c r="I1509" s="26" t="str">
        <f>IF(OR(E1509="",E1509="!!!",F1509="NEW"),"",INDEX(B1508:B$2,-1+SUMPRODUCT(MAX(ROW(E1508:E$2)*(E1509=E1508:E$2)))))</f>
        <v> </v>
      </c>
      <c r="J1509" s="26" t="str">
        <f>IF(OR(E1509="",E1509="!!!",F1509="NEW"),"",COUNTBLANK(OFFSET(A$1,,,SUMPRODUCT(MAX(ROW(E$2:E1509)*(E1509=E$2:E1509)))))-COUNTBLANK(OFFSET(A$1,,,SUMPRODUCT(MAX(ROW(E$1:E1508)*(E2=E$1:E1508))))))</f>
        <v> </v>
      </c>
      <c r="K1509" s="26" t="str">
        <f>IF(OR(E1509="",E1509="!!!",F1509="NEW"),"",INDEX(J$1:J1508,SUMPRODUCT(MAX(ROW(E$1:E1508)*(E1509=E$1:E1508)))))</f>
        <v> </v>
      </c>
      <c r="L1509" s="27"/>
    </row>
    <row r="1510" spans="1:12">
      <c r="A1510" s="20" t="s">
        <v>1279</v>
      </c>
      <c r="E1510" s="22">
        <f>IF(D1510="?OLD","!!!","")</f>
        <v/>
      </c>
      <c r="F1510" s="23" t="str">
        <f>IF(OR(E1510="",E1510="!!!"),"",IF(NOT(ISNA(VLOOKUP(E1510,E$1:E1509,1,FALSE()))),"OLD",IF(AND(E1510&lt;&gt;"",E1510&lt;&gt;"!!!"),"NEW","")))</f>
        <v> </v>
      </c>
      <c r="G1510" s="24" t="str">
        <f>IF(OR(E1510="",E1510="!!!"),"",IF(OR(J1510=0,AND(J1510=1,K1510=1),AND(J1510=1,I1510="SBJ"),AND(J1510=1,I1510=0)),"?IN_FOCUS",IF(J1510&lt;=2,"?ACTIVATED",IF(J1510&lt;&gt;"","?FAMILIAR",IF(F1510="NEW",IF(ISNA(VLOOKUP(E1510,#REF!,1,FALSE())),"?TYPE_IDENTIFIABLE","?REFERENTIAL"),"_")))))</f>
        <v> </v>
      </c>
      <c r="H1510" s="25" t="str">
        <f>IF(J1510&lt;&gt;1,"",IF(I1510="SBJ","CB","?"))</f>
        <v> </v>
      </c>
      <c r="I1510" s="26" t="str">
        <f>IF(OR(E1510="",E1510="!!!",F1510="NEW"),"",INDEX(B1509:B$2,-1+SUMPRODUCT(MAX(ROW(E1509:E$2)*(E1510=E1509:E$2)))))</f>
        <v> </v>
      </c>
      <c r="J1510" s="26" t="str">
        <f>IF(OR(E1510="",E1510="!!!",F1510="NEW"),"",COUNTBLANK(OFFSET(A$1,,,SUMPRODUCT(MAX(ROW(E$2:E1510)*(E1510=E$2:E1510)))))-COUNTBLANK(OFFSET(A$1,,,SUMPRODUCT(MAX(ROW(E$1:E1509)*(E2=E$1:E1509))))))</f>
        <v> </v>
      </c>
      <c r="K1510" s="26" t="str">
        <f>IF(OR(E1510="",E1510="!!!",F1510="NEW"),"",INDEX(J$1:J1509,SUMPRODUCT(MAX(ROW(E$1:E1509)*(E1510=E$1:E1509)))))</f>
        <v> </v>
      </c>
      <c r="L1510" s="27"/>
    </row>
    <row r="1511" spans="1:12">
      <c r="A1511" s="20" t="s">
        <v>1460</v>
      </c>
      <c r="B1511" s="21" t="s">
        <v>1064</v>
      </c>
      <c r="C1511" s="21" t="s">
        <v>1041</v>
      </c>
      <c r="D1511" s="21" t="s">
        <v>1007</v>
      </c>
      <c r="E1511" s="22">
        <f>IF(D1511="?OLD","!!!","")</f>
        <v/>
      </c>
      <c r="F1511" s="23" t="str">
        <f>IF(OR(E1511="",E1511="!!!"),"",IF(NOT(ISNA(VLOOKUP(E1511,E$1:E1510,1,FALSE()))),"OLD",IF(AND(E1511&lt;&gt;"",E1511&lt;&gt;"!!!"),"NEW","")))</f>
        <v> </v>
      </c>
      <c r="G1511" s="24" t="str">
        <f>IF(OR(E1511="",E1511="!!!"),"",IF(OR(J1511=0,AND(J1511=1,K1511=1),AND(J1511=1,I1511="SBJ"),AND(J1511=1,I1511=0)),"?IN_FOCUS",IF(J1511&lt;=2,"?ACTIVATED",IF(J1511&lt;&gt;"","?FAMILIAR",IF(F1511="NEW",IF(ISNA(VLOOKUP(E1511,#REF!,1,FALSE())),"?TYPE_IDENTIFIABLE","?REFERENTIAL"),"_")))))</f>
        <v> </v>
      </c>
      <c r="H1511" s="25" t="str">
        <f>IF(J1511&lt;&gt;1,"",IF(I1511="SBJ","CB","?"))</f>
        <v> </v>
      </c>
      <c r="I1511" s="26" t="str">
        <f>IF(OR(E1511="",E1511="!!!",F1511="NEW"),"",INDEX(B1510:B$2,-1+SUMPRODUCT(MAX(ROW(E1510:E$2)*(E1511=E1510:E$2)))))</f>
        <v> </v>
      </c>
      <c r="J1511" s="26" t="str">
        <f>IF(OR(E1511="",E1511="!!!",F1511="NEW"),"",COUNTBLANK(OFFSET(A$1,,,SUMPRODUCT(MAX(ROW(E$2:E1511)*(E1511=E$2:E1511)))))-COUNTBLANK(OFFSET(A$1,,,SUMPRODUCT(MAX(ROW(E$1:E1510)*(E2=E$1:E1510))))))</f>
        <v> </v>
      </c>
      <c r="K1511" s="26" t="str">
        <f>IF(OR(E1511="",E1511="!!!",F1511="NEW"),"",INDEX(J$1:J1510,SUMPRODUCT(MAX(ROW(E$1:E1510)*(E1511=E$1:E1510)))))</f>
        <v> </v>
      </c>
      <c r="L1511" s="27"/>
    </row>
    <row r="1512" spans="1:12">
      <c r="A1512" s="20" t="s">
        <v>1023</v>
      </c>
      <c r="E1512" s="22">
        <f>IF(D1512="?OLD","!!!","")</f>
        <v/>
      </c>
      <c r="F1512" s="23" t="str">
        <f>IF(OR(E1512="",E1512="!!!"),"",IF(NOT(ISNA(VLOOKUP(E1512,E$1:E1511,1,FALSE()))),"OLD",IF(AND(E1512&lt;&gt;"",E1512&lt;&gt;"!!!"),"NEW","")))</f>
        <v> </v>
      </c>
      <c r="G1512" s="24" t="str">
        <f>IF(OR(E1512="",E1512="!!!"),"",IF(OR(J1512=0,AND(J1512=1,K1512=1),AND(J1512=1,I1512="SBJ"),AND(J1512=1,I1512=0)),"?IN_FOCUS",IF(J1512&lt;=2,"?ACTIVATED",IF(J1512&lt;&gt;"","?FAMILIAR",IF(F1512="NEW",IF(ISNA(VLOOKUP(E1512,#REF!,1,FALSE())),"?TYPE_IDENTIFIABLE","?REFERENTIAL"),"_")))))</f>
        <v> </v>
      </c>
      <c r="H1512" s="25" t="str">
        <f>IF(J1512&lt;&gt;1,"",IF(I1512="SBJ","CB","?"))</f>
        <v> </v>
      </c>
      <c r="I1512" s="26" t="str">
        <f>IF(OR(E1512="",E1512="!!!",F1512="NEW"),"",INDEX(B1511:B$2,-1+SUMPRODUCT(MAX(ROW(E1511:E$2)*(E1512=E1511:E$2)))))</f>
        <v> </v>
      </c>
      <c r="J1512" s="26" t="str">
        <f>IF(OR(E1512="",E1512="!!!",F1512="NEW"),"",COUNTBLANK(OFFSET(A$1,,,SUMPRODUCT(MAX(ROW(E$2:E1512)*(E1512=E$2:E1512)))))-COUNTBLANK(OFFSET(A$1,,,SUMPRODUCT(MAX(ROW(E$1:E1511)*(E2=E$1:E1511))))))</f>
        <v> </v>
      </c>
      <c r="K1512" s="26" t="str">
        <f>IF(OR(E1512="",E1512="!!!",F1512="NEW"),"",INDEX(J$1:J1511,SUMPRODUCT(MAX(ROW(E$1:E1511)*(E1512=E$1:E1511)))))</f>
        <v> </v>
      </c>
      <c r="L1512" s="27"/>
    </row>
    <row r="1513" spans="1:12">
      <c r="A1513" s="20"/>
    </row>
    <row r="1514" spans="1:12">
      <c r="A1514" s="20" t="s">
        <v>1572</v>
      </c>
    </row>
    <row r="1515" spans="1:12">
      <c r="A1515" s="20" t="s">
        <v>1147</v>
      </c>
      <c r="E1515" s="22">
        <f>IF(D1515="?OLD","!!!","")</f>
        <v/>
      </c>
      <c r="F1515" s="23" t="str">
        <f>IF(OR(E1515="",E1515="!!!"),"",IF(NOT(ISNA(VLOOKUP(E1515,E$1:E1514,1,FALSE()))),"OLD",IF(AND(E1515&lt;&gt;"",E1515&lt;&gt;"!!!"),"NEW","")))</f>
        <v> </v>
      </c>
      <c r="G1515" s="24" t="str">
        <f>IF(OR(E1515="",E1515="!!!"),"",IF(OR(J1515=0,AND(J1515=1,K1515=1),AND(J1515=1,I1515="SBJ"),AND(J1515=1,I1515=0)),"?IN_FOCUS",IF(J1515&lt;=2,"?ACTIVATED",IF(J1515&lt;&gt;"","?FAMILIAR",IF(F1515="NEW",IF(ISNA(VLOOKUP(E1515,#REF!,1,FALSE())),"?TYPE_IDENTIFIABLE","?REFERENTIAL"),"_")))))</f>
        <v> </v>
      </c>
      <c r="H1515" s="25" t="str">
        <f>IF(J1515&lt;&gt;1,"",IF(I1515="SBJ","CB","?"))</f>
        <v> </v>
      </c>
      <c r="I1515" s="26" t="str">
        <f>IF(OR(E1515="",E1515="!!!",F1515="NEW"),"",INDEX(B1514:B$2,-1+SUMPRODUCT(MAX(ROW(E1514:E$2)*(E1515=E1514:E$2)))))</f>
        <v> </v>
      </c>
      <c r="J1515" s="26" t="str">
        <f>IF(OR(E1515="",E1515="!!!",F1515="NEW"),"",COUNTBLANK(OFFSET(A$1,,,SUMPRODUCT(MAX(ROW(E$2:E1515)*(E1515=E$2:E1515)))))-COUNTBLANK(OFFSET(A$1,,,SUMPRODUCT(MAX(ROW(E$1:E1514)*(E2=E$1:E1514))))))</f>
        <v> </v>
      </c>
      <c r="K1515" s="26" t="str">
        <f>IF(OR(E1515="",E1515="!!!",F1515="NEW"),"",INDEX(J$1:J1514,SUMPRODUCT(MAX(ROW(E$1:E1514)*(E1515=E$1:E1514)))))</f>
        <v> </v>
      </c>
      <c r="L1515" s="27"/>
    </row>
    <row r="1516" spans="1:12">
      <c r="A1516" s="20" t="s">
        <v>1075</v>
      </c>
      <c r="E1516" s="22">
        <f>IF(D1516="?OLD","!!!","")</f>
        <v/>
      </c>
      <c r="F1516" s="23" t="str">
        <f>IF(OR(E1516="",E1516="!!!"),"",IF(NOT(ISNA(VLOOKUP(E1516,E$1:E1515,1,FALSE()))),"OLD",IF(AND(E1516&lt;&gt;"",E1516&lt;&gt;"!!!"),"NEW","")))</f>
        <v> </v>
      </c>
      <c r="G1516" s="24" t="str">
        <f>IF(OR(E1516="",E1516="!!!"),"",IF(OR(J1516=0,AND(J1516=1,K1516=1),AND(J1516=1,I1516="SBJ"),AND(J1516=1,I1516=0)),"?IN_FOCUS",IF(J1516&lt;=2,"?ACTIVATED",IF(J1516&lt;&gt;"","?FAMILIAR",IF(F1516="NEW",IF(ISNA(VLOOKUP(E1516,#REF!,1,FALSE())),"?TYPE_IDENTIFIABLE","?REFERENTIAL"),"_")))))</f>
        <v> </v>
      </c>
      <c r="H1516" s="25" t="str">
        <f>IF(J1516&lt;&gt;1,"",IF(I1516="SBJ","CB","?"))</f>
        <v> </v>
      </c>
      <c r="I1516" s="26" t="str">
        <f>IF(OR(E1516="",E1516="!!!",F1516="NEW"),"",INDEX(B1515:B$2,-1+SUMPRODUCT(MAX(ROW(E1515:E$2)*(E1516=E1515:E$2)))))</f>
        <v> </v>
      </c>
      <c r="J1516" s="26" t="str">
        <f>IF(OR(E1516="",E1516="!!!",F1516="NEW"),"",COUNTBLANK(OFFSET(A$1,,,SUMPRODUCT(MAX(ROW(E$2:E1516)*(E1516=E$2:E1516)))))-COUNTBLANK(OFFSET(A$1,,,SUMPRODUCT(MAX(ROW(E$1:E1515)*(E2=E$1:E1515))))))</f>
        <v> </v>
      </c>
      <c r="K1516" s="26" t="str">
        <f>IF(OR(E1516="",E1516="!!!",F1516="NEW"),"",INDEX(J$1:J1515,SUMPRODUCT(MAX(ROW(E$1:E1515)*(E1516=E$1:E1515)))))</f>
        <v> </v>
      </c>
      <c r="L1516" s="27"/>
    </row>
    <row r="1517" spans="1:12">
      <c r="A1517" s="20" t="s">
        <v>1573</v>
      </c>
      <c r="E1517" s="22">
        <f>IF(D1517="?OLD","!!!","")</f>
        <v/>
      </c>
      <c r="F1517" s="23" t="str">
        <f>IF(OR(E1517="",E1517="!!!"),"",IF(NOT(ISNA(VLOOKUP(E1517,E$1:E1516,1,FALSE()))),"OLD",IF(AND(E1517&lt;&gt;"",E1517&lt;&gt;"!!!"),"NEW","")))</f>
        <v> </v>
      </c>
      <c r="G1517" s="24" t="str">
        <f>IF(OR(E1517="",E1517="!!!"),"",IF(OR(J1517=0,AND(J1517=1,K1517=1),AND(J1517=1,I1517="SBJ"),AND(J1517=1,I1517=0)),"?IN_FOCUS",IF(J1517&lt;=2,"?ACTIVATED",IF(J1517&lt;&gt;"","?FAMILIAR",IF(F1517="NEW",IF(ISNA(VLOOKUP(E1517,#REF!,1,FALSE())),"?TYPE_IDENTIFIABLE","?REFERENTIAL"),"_")))))</f>
        <v> </v>
      </c>
      <c r="H1517" s="25" t="str">
        <f>IF(J1517&lt;&gt;1,"",IF(I1517="SBJ","CB","?"))</f>
        <v> </v>
      </c>
      <c r="I1517" s="26" t="str">
        <f>IF(OR(E1517="",E1517="!!!",F1517="NEW"),"",INDEX(B1516:B$2,-1+SUMPRODUCT(MAX(ROW(E1516:E$2)*(E1517=E1516:E$2)))))</f>
        <v> </v>
      </c>
      <c r="J1517" s="26" t="str">
        <f>IF(OR(E1517="",E1517="!!!",F1517="NEW"),"",COUNTBLANK(OFFSET(A$1,,,SUMPRODUCT(MAX(ROW(E$2:E1517)*(E1517=E$2:E1517)))))-COUNTBLANK(OFFSET(A$1,,,SUMPRODUCT(MAX(ROW(E$1:E1516)*(E2=E$1:E1516))))))</f>
        <v> </v>
      </c>
      <c r="K1517" s="26" t="str">
        <f>IF(OR(E1517="",E1517="!!!",F1517="NEW"),"",INDEX(J$1:J1516,SUMPRODUCT(MAX(ROW(E$1:E1516)*(E1517=E$1:E1516)))))</f>
        <v> </v>
      </c>
      <c r="L1517" s="27"/>
    </row>
    <row r="1518" spans="1:12">
      <c r="A1518" s="20" t="s">
        <v>1030</v>
      </c>
      <c r="E1518" s="22">
        <f>IF(D1518="?OLD","!!!","")</f>
        <v/>
      </c>
      <c r="F1518" s="23" t="str">
        <f>IF(OR(E1518="",E1518="!!!"),"",IF(NOT(ISNA(VLOOKUP(E1518,E$1:E1517,1,FALSE()))),"OLD",IF(AND(E1518&lt;&gt;"",E1518&lt;&gt;"!!!"),"NEW","")))</f>
        <v> </v>
      </c>
      <c r="G1518" s="24" t="str">
        <f>IF(OR(E1518="",E1518="!!!"),"",IF(OR(J1518=0,AND(J1518=1,K1518=1),AND(J1518=1,I1518="SBJ"),AND(J1518=1,I1518=0)),"?IN_FOCUS",IF(J1518&lt;=2,"?ACTIVATED",IF(J1518&lt;&gt;"","?FAMILIAR",IF(F1518="NEW",IF(ISNA(VLOOKUP(E1518,#REF!,1,FALSE())),"?TYPE_IDENTIFIABLE","?REFERENTIAL"),"_")))))</f>
        <v> </v>
      </c>
      <c r="H1518" s="25" t="str">
        <f>IF(J1518&lt;&gt;1,"",IF(I1518="SBJ","CB","?"))</f>
        <v> </v>
      </c>
      <c r="I1518" s="26" t="str">
        <f>IF(OR(E1518="",E1518="!!!",F1518="NEW"),"",INDEX(B1517:B$2,-1+SUMPRODUCT(MAX(ROW(E1517:E$2)*(E1518=E1517:E$2)))))</f>
        <v> </v>
      </c>
      <c r="J1518" s="26" t="str">
        <f>IF(OR(E1518="",E1518="!!!",F1518="NEW"),"",COUNTBLANK(OFFSET(A$1,,,SUMPRODUCT(MAX(ROW(E$2:E1518)*(E1518=E$2:E1518)))))-COUNTBLANK(OFFSET(A$1,,,SUMPRODUCT(MAX(ROW(E$1:E1517)*(E2=E$1:E1517))))))</f>
        <v> </v>
      </c>
      <c r="K1518" s="26" t="str">
        <f>IF(OR(E1518="",E1518="!!!",F1518="NEW"),"",INDEX(J$1:J1517,SUMPRODUCT(MAX(ROW(E$1:E1517)*(E1518=E$1:E1517)))))</f>
        <v> </v>
      </c>
      <c r="L1518" s="27"/>
    </row>
    <row r="1519" spans="1:12">
      <c r="A1519" s="20" t="s">
        <v>1027</v>
      </c>
      <c r="E1519" s="22">
        <f>IF(D1519="?OLD","!!!","")</f>
        <v/>
      </c>
      <c r="F1519" s="23" t="str">
        <f>IF(OR(E1519="",E1519="!!!"),"",IF(NOT(ISNA(VLOOKUP(E1519,E$1:E1518,1,FALSE()))),"OLD",IF(AND(E1519&lt;&gt;"",E1519&lt;&gt;"!!!"),"NEW","")))</f>
        <v> </v>
      </c>
      <c r="G1519" s="24" t="str">
        <f>IF(OR(E1519="",E1519="!!!"),"",IF(OR(J1519=0,AND(J1519=1,K1519=1),AND(J1519=1,I1519="SBJ"),AND(J1519=1,I1519=0)),"?IN_FOCUS",IF(J1519&lt;=2,"?ACTIVATED",IF(J1519&lt;&gt;"","?FAMILIAR",IF(F1519="NEW",IF(ISNA(VLOOKUP(E1519,#REF!,1,FALSE())),"?TYPE_IDENTIFIABLE","?REFERENTIAL"),"_")))))</f>
        <v> </v>
      </c>
      <c r="H1519" s="25" t="str">
        <f>IF(J1519&lt;&gt;1,"",IF(I1519="SBJ","CB","?"))</f>
        <v> </v>
      </c>
      <c r="I1519" s="26" t="str">
        <f>IF(OR(E1519="",E1519="!!!",F1519="NEW"),"",INDEX(B1518:B$2,-1+SUMPRODUCT(MAX(ROW(E1518:E$2)*(E1519=E1518:E$2)))))</f>
        <v> </v>
      </c>
      <c r="J1519" s="26" t="str">
        <f>IF(OR(E1519="",E1519="!!!",F1519="NEW"),"",COUNTBLANK(OFFSET(A$1,,,SUMPRODUCT(MAX(ROW(E$2:E1519)*(E1519=E$2:E1519)))))-COUNTBLANK(OFFSET(A$1,,,SUMPRODUCT(MAX(ROW(E$1:E1518)*(E2=E$1:E1518))))))</f>
        <v> </v>
      </c>
      <c r="K1519" s="26" t="str">
        <f>IF(OR(E1519="",E1519="!!!",F1519="NEW"),"",INDEX(J$1:J1518,SUMPRODUCT(MAX(ROW(E$1:E1518)*(E1519=E$1:E1518)))))</f>
        <v> </v>
      </c>
      <c r="L1519" s="27"/>
    </row>
    <row r="1520" spans="1:12">
      <c r="A1520" s="20" t="s">
        <v>1574</v>
      </c>
      <c r="B1520" s="21" t="s">
        <v>1005</v>
      </c>
      <c r="C1520" s="21" t="s">
        <v>1017</v>
      </c>
      <c r="D1520" s="21" t="s">
        <v>1007</v>
      </c>
      <c r="E1520" s="22">
        <f>IF(D1520="?OLD","!!!","")</f>
        <v/>
      </c>
      <c r="F1520" s="23" t="str">
        <f>IF(OR(E1520="",E1520="!!!"),"",IF(NOT(ISNA(VLOOKUP(E1520,E$1:E1519,1,FALSE()))),"OLD",IF(AND(E1520&lt;&gt;"",E1520&lt;&gt;"!!!"),"NEW","")))</f>
        <v> </v>
      </c>
      <c r="G1520" s="24" t="str">
        <f>IF(OR(E1520="",E1520="!!!"),"",IF(OR(J1520=0,AND(J1520=1,K1520=1),AND(J1520=1,I1520="SBJ"),AND(J1520=1,I1520=0)),"?IN_FOCUS",IF(J1520&lt;=2,"?ACTIVATED",IF(J1520&lt;&gt;"","?FAMILIAR",IF(F1520="NEW",IF(ISNA(VLOOKUP(E1520,#REF!,1,FALSE())),"?TYPE_IDENTIFIABLE","?REFERENTIAL"),"_")))))</f>
        <v> </v>
      </c>
      <c r="H1520" s="25" t="str">
        <f>IF(J1520&lt;&gt;1,"",IF(I1520="SBJ","CB","?"))</f>
        <v> </v>
      </c>
      <c r="I1520" s="26" t="str">
        <f>IF(OR(E1520="",E1520="!!!",F1520="NEW"),"",INDEX(B1519:B$2,-1+SUMPRODUCT(MAX(ROW(E1519:E$2)*(E1520=E1519:E$2)))))</f>
        <v> </v>
      </c>
      <c r="J1520" s="26" t="str">
        <f>IF(OR(E1520="",E1520="!!!",F1520="NEW"),"",COUNTBLANK(OFFSET(A$1,,,SUMPRODUCT(MAX(ROW(E$2:E1520)*(E1520=E$2:E1520)))))-COUNTBLANK(OFFSET(A$1,,,SUMPRODUCT(MAX(ROW(E$1:E1519)*(E2=E$1:E1519))))))</f>
        <v> </v>
      </c>
      <c r="K1520" s="26" t="str">
        <f>IF(OR(E1520="",E1520="!!!",F1520="NEW"),"",INDEX(J$1:J1519,SUMPRODUCT(MAX(ROW(E$1:E1519)*(E1520=E$1:E1519)))))</f>
        <v> </v>
      </c>
      <c r="L1520" s="27"/>
    </row>
    <row r="1521" spans="1:12">
      <c r="A1521" s="20" t="s">
        <v>1023</v>
      </c>
      <c r="E1521" s="22">
        <f>IF(D1521="?OLD","!!!","")</f>
        <v/>
      </c>
      <c r="F1521" s="23" t="str">
        <f>IF(OR(E1521="",E1521="!!!"),"",IF(NOT(ISNA(VLOOKUP(E1521,E$1:E1520,1,FALSE()))),"OLD",IF(AND(E1521&lt;&gt;"",E1521&lt;&gt;"!!!"),"NEW","")))</f>
        <v> </v>
      </c>
      <c r="G1521" s="24" t="str">
        <f>IF(OR(E1521="",E1521="!!!"),"",IF(OR(J1521=0,AND(J1521=1,K1521=1),AND(J1521=1,I1521="SBJ"),AND(J1521=1,I1521=0)),"?IN_FOCUS",IF(J1521&lt;=2,"?ACTIVATED",IF(J1521&lt;&gt;"","?FAMILIAR",IF(F1521="NEW",IF(ISNA(VLOOKUP(E1521,#REF!,1,FALSE())),"?TYPE_IDENTIFIABLE","?REFERENTIAL"),"_")))))</f>
        <v> </v>
      </c>
      <c r="H1521" s="25" t="str">
        <f>IF(J1521&lt;&gt;1,"",IF(I1521="SBJ","CB","?"))</f>
        <v> </v>
      </c>
      <c r="I1521" s="26" t="str">
        <f>IF(OR(E1521="",E1521="!!!",F1521="NEW"),"",INDEX(B1520:B$2,-1+SUMPRODUCT(MAX(ROW(E1520:E$2)*(E1521=E1520:E$2)))))</f>
        <v> </v>
      </c>
      <c r="J1521" s="26" t="str">
        <f>IF(OR(E1521="",E1521="!!!",F1521="NEW"),"",COUNTBLANK(OFFSET(A$1,,,SUMPRODUCT(MAX(ROW(E$2:E1521)*(E1521=E$2:E1521)))))-COUNTBLANK(OFFSET(A$1,,,SUMPRODUCT(MAX(ROW(E$1:E1520)*(E2=E$1:E1520))))))</f>
        <v> </v>
      </c>
      <c r="K1521" s="26" t="str">
        <f>IF(OR(E1521="",E1521="!!!",F1521="NEW"),"",INDEX(J$1:J1520,SUMPRODUCT(MAX(ROW(E$1:E1520)*(E1521=E$1:E1520)))))</f>
        <v> </v>
      </c>
      <c r="L1521" s="27"/>
    </row>
    <row r="1522" spans="1:12">
      <c r="A1522" s="20"/>
    </row>
    <row r="1523" spans="1:12">
      <c r="A1523" s="20" t="s">
        <v>1184</v>
      </c>
      <c r="E1523" s="22">
        <f>IF(D1523="?OLD","!!!","")</f>
        <v/>
      </c>
      <c r="F1523" s="23" t="str">
        <f>IF(OR(E1523="",E1523="!!!"),"",IF(NOT(ISNA(VLOOKUP(E1523,E$1:E1522,1,FALSE()))),"OLD",IF(AND(E1523&lt;&gt;"",E1523&lt;&gt;"!!!"),"NEW","")))</f>
        <v> </v>
      </c>
      <c r="G1523" s="24" t="str">
        <f>IF(OR(E1523="",E1523="!!!"),"",IF(OR(J1523=0,AND(J1523=1,K1523=1),AND(J1523=1,I1523="SBJ"),AND(J1523=1,I1523=0)),"?IN_FOCUS",IF(J1523&lt;=2,"?ACTIVATED",IF(J1523&lt;&gt;"","?FAMILIAR",IF(F1523="NEW",IF(ISNA(VLOOKUP(E1523,#REF!,1,FALSE())),"?TYPE_IDENTIFIABLE","?REFERENTIAL"),"_")))))</f>
        <v> </v>
      </c>
      <c r="H1523" s="25" t="str">
        <f>IF(J1523&lt;&gt;1,"",IF(I1523="SBJ","CB","?"))</f>
        <v> </v>
      </c>
      <c r="I1523" s="26" t="str">
        <f>IF(OR(E1523="",E1523="!!!",F1523="NEW"),"",INDEX(B1522:B$2,-1+SUMPRODUCT(MAX(ROW(E1522:E$2)*(E1523=E1522:E$2)))))</f>
        <v> </v>
      </c>
      <c r="J1523" s="26" t="str">
        <f>IF(OR(E1523="",E1523="!!!",F1523="NEW"),"",COUNTBLANK(OFFSET(A$1,,,SUMPRODUCT(MAX(ROW(E$2:E1523)*(E1523=E$2:E1523)))))-COUNTBLANK(OFFSET(A$1,,,SUMPRODUCT(MAX(ROW(E$1:E1522)*(E2=E$1:E1522))))))</f>
        <v> </v>
      </c>
      <c r="K1523" s="26" t="str">
        <f>IF(OR(E1523="",E1523="!!!",F1523="NEW"),"",INDEX(J$1:J1522,SUMPRODUCT(MAX(ROW(E$1:E1522)*(E1523=E$1:E1522)))))</f>
        <v> </v>
      </c>
      <c r="L1523" s="27"/>
    </row>
    <row r="1524" spans="1:12">
      <c r="A1524" s="20" t="s">
        <v>1575</v>
      </c>
    </row>
    <row r="1525" spans="1:12">
      <c r="A1525" s="20" t="s">
        <v>1259</v>
      </c>
      <c r="E1525" s="22">
        <f>IF(D1525="?OLD","!!!","")</f>
        <v/>
      </c>
      <c r="F1525" s="23" t="str">
        <f>IF(OR(E1525="",E1525="!!!"),"",IF(NOT(ISNA(VLOOKUP(E1525,E$1:E1524,1,FALSE()))),"OLD",IF(AND(E1525&lt;&gt;"",E1525&lt;&gt;"!!!"),"NEW","")))</f>
        <v> </v>
      </c>
      <c r="G1525" s="24" t="str">
        <f>IF(OR(E1525="",E1525="!!!"),"",IF(OR(J1525=0,AND(J1525=1,K1525=1),AND(J1525=1,I1525="SBJ"),AND(J1525=1,I1525=0)),"?IN_FOCUS",IF(J1525&lt;=2,"?ACTIVATED",IF(J1525&lt;&gt;"","?FAMILIAR",IF(F1525="NEW",IF(ISNA(VLOOKUP(E1525,#REF!,1,FALSE())),"?TYPE_IDENTIFIABLE","?REFERENTIAL"),"_")))))</f>
        <v> </v>
      </c>
      <c r="H1525" s="25" t="str">
        <f>IF(J1525&lt;&gt;1,"",IF(I1525="SBJ","CB","?"))</f>
        <v> </v>
      </c>
      <c r="I1525" s="26" t="str">
        <f>IF(OR(E1525="",E1525="!!!",F1525="NEW"),"",INDEX(B1524:B$2,-1+SUMPRODUCT(MAX(ROW(E1524:E$2)*(E1525=E1524:E$2)))))</f>
        <v> </v>
      </c>
      <c r="J1525" s="26" t="str">
        <f>IF(OR(E1525="",E1525="!!!",F1525="NEW"),"",COUNTBLANK(OFFSET(A$1,,,SUMPRODUCT(MAX(ROW(E$2:E1525)*(E1525=E$2:E1525)))))-COUNTBLANK(OFFSET(A$1,,,SUMPRODUCT(MAX(ROW(E$1:E1524)*(E2=E$1:E1524))))))</f>
        <v> </v>
      </c>
      <c r="K1525" s="26" t="str">
        <f>IF(OR(E1525="",E1525="!!!",F1525="NEW"),"",INDEX(J$1:J1524,SUMPRODUCT(MAX(ROW(E$1:E1524)*(E1525=E$1:E1524)))))</f>
        <v> </v>
      </c>
      <c r="L1525" s="27"/>
    </row>
    <row r="1526" spans="1:12">
      <c r="A1526" s="20" t="s">
        <v>1324</v>
      </c>
      <c r="E1526" s="22">
        <f>IF(D1526="?OLD","!!!","")</f>
        <v/>
      </c>
      <c r="F1526" s="23" t="str">
        <f>IF(OR(E1526="",E1526="!!!"),"",IF(NOT(ISNA(VLOOKUP(E1526,E$1:E1525,1,FALSE()))),"OLD",IF(AND(E1526&lt;&gt;"",E1526&lt;&gt;"!!!"),"NEW","")))</f>
        <v> </v>
      </c>
      <c r="G1526" s="24" t="str">
        <f>IF(OR(E1526="",E1526="!!!"),"",IF(OR(J1526=0,AND(J1526=1,K1526=1),AND(J1526=1,I1526="SBJ"),AND(J1526=1,I1526=0)),"?IN_FOCUS",IF(J1526&lt;=2,"?ACTIVATED",IF(J1526&lt;&gt;"","?FAMILIAR",IF(F1526="NEW",IF(ISNA(VLOOKUP(E1526,#REF!,1,FALSE())),"?TYPE_IDENTIFIABLE","?REFERENTIAL"),"_")))))</f>
        <v> </v>
      </c>
      <c r="H1526" s="25" t="str">
        <f>IF(J1526&lt;&gt;1,"",IF(I1526="SBJ","CB","?"))</f>
        <v> </v>
      </c>
      <c r="I1526" s="26" t="str">
        <f>IF(OR(E1526="",E1526="!!!",F1526="NEW"),"",INDEX(B1525:B$2,-1+SUMPRODUCT(MAX(ROW(E1525:E$2)*(E1526=E1525:E$2)))))</f>
        <v> </v>
      </c>
      <c r="J1526" s="26" t="str">
        <f>IF(OR(E1526="",E1526="!!!",F1526="NEW"),"",COUNTBLANK(OFFSET(A$1,,,SUMPRODUCT(MAX(ROW(E$2:E1526)*(E1526=E$2:E1526)))))-COUNTBLANK(OFFSET(A$1,,,SUMPRODUCT(MAX(ROW(E$1:E1525)*(E2=E$1:E1525))))))</f>
        <v> </v>
      </c>
      <c r="K1526" s="26" t="str">
        <f>IF(OR(E1526="",E1526="!!!",F1526="NEW"),"",INDEX(J$1:J1525,SUMPRODUCT(MAX(ROW(E$1:E1525)*(E1526=E$1:E1525)))))</f>
        <v> </v>
      </c>
      <c r="L1526" s="27"/>
    </row>
    <row r="1527" spans="1:12">
      <c r="A1527" s="20" t="s">
        <v>193</v>
      </c>
      <c r="B1527" s="21" t="s">
        <v>1085</v>
      </c>
      <c r="C1527" s="21" t="s">
        <v>1111</v>
      </c>
      <c r="E1527" s="22">
        <f>IF(D1527="?OLD","!!!","")</f>
        <v/>
      </c>
      <c r="F1527" s="23" t="str">
        <f>IF(OR(E1527="",E1527="!!!"),"",IF(NOT(ISNA(VLOOKUP(E1527,E$1:E1526,1,FALSE()))),"OLD",IF(AND(E1527&lt;&gt;"",E1527&lt;&gt;"!!!"),"NEW","")))</f>
        <v> </v>
      </c>
      <c r="G1527" s="24" t="str">
        <f>IF(OR(E1527="",E1527="!!!"),"",IF(OR(J1527=0,AND(J1527=1,K1527=1),AND(J1527=1,I1527="SBJ"),AND(J1527=1,I1527=0)),"?IN_FOCUS",IF(J1527&lt;=2,"?ACTIVATED",IF(J1527&lt;&gt;"","?FAMILIAR",IF(F1527="NEW",IF(ISNA(VLOOKUP(E1527,#REF!,1,FALSE())),"?TYPE_IDENTIFIABLE","?REFERENTIAL"),"_")))))</f>
        <v> </v>
      </c>
      <c r="H1527" s="25" t="str">
        <f>IF(J1527&lt;&gt;1,"",IF(I1527="SBJ","CB","?"))</f>
        <v> </v>
      </c>
      <c r="I1527" s="26" t="str">
        <f>IF(OR(E1527="",E1527="!!!",F1527="NEW"),"",INDEX(B1526:B$2,-1+SUMPRODUCT(MAX(ROW(E1526:E$2)*(E1527=E1526:E$2)))))</f>
        <v> </v>
      </c>
      <c r="J1527" s="26" t="str">
        <f>IF(OR(E1527="",E1527="!!!",F1527="NEW"),"",COUNTBLANK(OFFSET(A$1,,,SUMPRODUCT(MAX(ROW(E$2:E1527)*(E1527=E$2:E1527)))))-COUNTBLANK(OFFSET(A$1,,,SUMPRODUCT(MAX(ROW(E$1:E1526)*(E2=E$1:E1526))))))</f>
        <v> </v>
      </c>
      <c r="K1527" s="26" t="str">
        <f>IF(OR(E1527="",E1527="!!!",F1527="NEW"),"",INDEX(J$1:J1526,SUMPRODUCT(MAX(ROW(E$1:E1526)*(E1527=E$1:E1526)))))</f>
        <v> </v>
      </c>
      <c r="L1527" s="27"/>
    </row>
    <row r="1528" spans="1:12">
      <c r="A1528" s="20" t="s">
        <v>1576</v>
      </c>
      <c r="E1528" s="22">
        <f>IF(D1528="?OLD","!!!","")</f>
        <v/>
      </c>
      <c r="F1528" s="23" t="str">
        <f>IF(OR(E1528="",E1528="!!!"),"",IF(NOT(ISNA(VLOOKUP(E1528,E$1:E1527,1,FALSE()))),"OLD",IF(AND(E1528&lt;&gt;"",E1528&lt;&gt;"!!!"),"NEW","")))</f>
        <v> </v>
      </c>
      <c r="G1528" s="24" t="str">
        <f>IF(OR(E1528="",E1528="!!!"),"",IF(OR(J1528=0,AND(J1528=1,K1528=1),AND(J1528=1,I1528="SBJ"),AND(J1528=1,I1528=0)),"?IN_FOCUS",IF(J1528&lt;=2,"?ACTIVATED",IF(J1528&lt;&gt;"","?FAMILIAR",IF(F1528="NEW",IF(ISNA(VLOOKUP(E1528,#REF!,1,FALSE())),"?TYPE_IDENTIFIABLE","?REFERENTIAL"),"_")))))</f>
        <v> </v>
      </c>
      <c r="H1528" s="25" t="str">
        <f>IF(J1528&lt;&gt;1,"",IF(I1528="SBJ","CB","?"))</f>
        <v> </v>
      </c>
      <c r="I1528" s="26" t="str">
        <f>IF(OR(E1528="",E1528="!!!",F1528="NEW"),"",INDEX(B1527:B$2,-1+SUMPRODUCT(MAX(ROW(E1527:E$2)*(E1528=E1527:E$2)))))</f>
        <v> </v>
      </c>
      <c r="J1528" s="26" t="str">
        <f>IF(OR(E1528="",E1528="!!!",F1528="NEW"),"",COUNTBLANK(OFFSET(A$1,,,SUMPRODUCT(MAX(ROW(E$2:E1528)*(E1528=E$2:E1528)))))-COUNTBLANK(OFFSET(A$1,,,SUMPRODUCT(MAX(ROW(E$1:E1527)*(E2=E$1:E1527))))))</f>
        <v> </v>
      </c>
      <c r="K1528" s="26" t="str">
        <f>IF(OR(E1528="",E1528="!!!",F1528="NEW"),"",INDEX(J$1:J1527,SUMPRODUCT(MAX(ROW(E$1:E1527)*(E1528=E$1:E1527)))))</f>
        <v> </v>
      </c>
      <c r="L1528" s="27"/>
    </row>
    <row r="1529" spans="1:12">
      <c r="A1529" s="20" t="s">
        <v>1065</v>
      </c>
      <c r="B1529" s="21" t="s">
        <v>1120</v>
      </c>
      <c r="E1529" s="22">
        <f>IF(D1529="?OLD","!!!","")</f>
        <v/>
      </c>
      <c r="F1529" s="23" t="str">
        <f>IF(OR(E1529="",E1529="!!!"),"",IF(NOT(ISNA(VLOOKUP(E1529,E$1:E1528,1,FALSE()))),"OLD",IF(AND(E1529&lt;&gt;"",E1529&lt;&gt;"!!!"),"NEW","")))</f>
        <v> </v>
      </c>
      <c r="G1529" s="24" t="str">
        <f>IF(OR(E1529="",E1529="!!!"),"",IF(OR(J1529=0,AND(J1529=1,K1529=1),AND(J1529=1,I1529="SBJ"),AND(J1529=1,I1529=0)),"?IN_FOCUS",IF(J1529&lt;=2,"?ACTIVATED",IF(J1529&lt;&gt;"","?FAMILIAR",IF(F1529="NEW",IF(ISNA(VLOOKUP(E1529,#REF!,1,FALSE())),"?TYPE_IDENTIFIABLE","?REFERENTIAL"),"_")))))</f>
        <v> </v>
      </c>
      <c r="H1529" s="25" t="str">
        <f>IF(J1529&lt;&gt;1,"",IF(I1529="SBJ","CB","?"))</f>
        <v> </v>
      </c>
      <c r="I1529" s="26" t="str">
        <f>IF(OR(E1529="",E1529="!!!",F1529="NEW"),"",INDEX(B1528:B$2,-1+SUMPRODUCT(MAX(ROW(E1528:E$2)*(E1529=E1528:E$2)))))</f>
        <v> </v>
      </c>
      <c r="J1529" s="26" t="str">
        <f>IF(OR(E1529="",E1529="!!!",F1529="NEW"),"",COUNTBLANK(OFFSET(A$1,,,SUMPRODUCT(MAX(ROW(E$2:E1529)*(E1529=E$2:E1529)))))-COUNTBLANK(OFFSET(A$1,,,SUMPRODUCT(MAX(ROW(E$1:E1528)*(E2=E$1:E1528))))))</f>
        <v> </v>
      </c>
      <c r="K1529" s="26" t="str">
        <f>IF(OR(E1529="",E1529="!!!",F1529="NEW"),"",INDEX(J$1:J1528,SUMPRODUCT(MAX(ROW(E$1:E1528)*(E1529=E$1:E1528)))))</f>
        <v> </v>
      </c>
      <c r="L1529" s="27"/>
    </row>
    <row r="1530" spans="1:12">
      <c r="A1530" s="20" t="s">
        <v>1124</v>
      </c>
      <c r="E1530" s="22">
        <f>IF(D1530="?OLD","!!!","")</f>
        <v/>
      </c>
      <c r="F1530" s="23" t="str">
        <f>IF(OR(E1530="",E1530="!!!"),"",IF(NOT(ISNA(VLOOKUP(E1530,E$1:E1529,1,FALSE()))),"OLD",IF(AND(E1530&lt;&gt;"",E1530&lt;&gt;"!!!"),"NEW","")))</f>
        <v> </v>
      </c>
      <c r="G1530" s="24" t="str">
        <f>IF(OR(E1530="",E1530="!!!"),"",IF(OR(J1530=0,AND(J1530=1,K1530=1),AND(J1530=1,I1530="SBJ"),AND(J1530=1,I1530=0)),"?IN_FOCUS",IF(J1530&lt;=2,"?ACTIVATED",IF(J1530&lt;&gt;"","?FAMILIAR",IF(F1530="NEW",IF(ISNA(VLOOKUP(E1530,#REF!,1,FALSE())),"?TYPE_IDENTIFIABLE","?REFERENTIAL"),"_")))))</f>
        <v> </v>
      </c>
      <c r="H1530" s="25" t="str">
        <f>IF(J1530&lt;&gt;1,"",IF(I1530="SBJ","CB","?"))</f>
        <v> </v>
      </c>
      <c r="I1530" s="26" t="str">
        <f>IF(OR(E1530="",E1530="!!!",F1530="NEW"),"",INDEX(B1529:B$2,-1+SUMPRODUCT(MAX(ROW(E1529:E$2)*(E1530=E1529:E$2)))))</f>
        <v> </v>
      </c>
      <c r="J1530" s="26" t="str">
        <f>IF(OR(E1530="",E1530="!!!",F1530="NEW"),"",COUNTBLANK(OFFSET(A$1,,,SUMPRODUCT(MAX(ROW(E$2:E1530)*(E1530=E$2:E1530)))))-COUNTBLANK(OFFSET(A$1,,,SUMPRODUCT(MAX(ROW(E$1:E1529)*(E2=E$1:E1529))))))</f>
        <v> </v>
      </c>
      <c r="K1530" s="26" t="str">
        <f>IF(OR(E1530="",E1530="!!!",F1530="NEW"),"",INDEX(J$1:J1529,SUMPRODUCT(MAX(ROW(E$1:E1529)*(E1530=E$1:E1529)))))</f>
        <v> </v>
      </c>
      <c r="L1530" s="27"/>
    </row>
    <row r="1531" spans="1:12">
      <c r="A1531" s="20" t="s">
        <v>1065</v>
      </c>
      <c r="E1531" s="22">
        <f>IF(D1531="?OLD","!!!","")</f>
        <v/>
      </c>
      <c r="F1531" s="23" t="str">
        <f>IF(OR(E1531="",E1531="!!!"),"",IF(NOT(ISNA(VLOOKUP(E1531,E$1:E1530,1,FALSE()))),"OLD",IF(AND(E1531&lt;&gt;"",E1531&lt;&gt;"!!!"),"NEW","")))</f>
        <v> </v>
      </c>
      <c r="G1531" s="24" t="str">
        <f>IF(OR(E1531="",E1531="!!!"),"",IF(OR(J1531=0,AND(J1531=1,K1531=1),AND(J1531=1,I1531="SBJ"),AND(J1531=1,I1531=0)),"?IN_FOCUS",IF(J1531&lt;=2,"?ACTIVATED",IF(J1531&lt;&gt;"","?FAMILIAR",IF(F1531="NEW",IF(ISNA(VLOOKUP(E1531,#REF!,1,FALSE())),"?TYPE_IDENTIFIABLE","?REFERENTIAL"),"_")))))</f>
        <v> </v>
      </c>
      <c r="H1531" s="25" t="str">
        <f>IF(J1531&lt;&gt;1,"",IF(I1531="SBJ","CB","?"))</f>
        <v> </v>
      </c>
      <c r="I1531" s="26" t="str">
        <f>IF(OR(E1531="",E1531="!!!",F1531="NEW"),"",INDEX(B1530:B$2,-1+SUMPRODUCT(MAX(ROW(E1530:E$2)*(E1531=E1530:E$2)))))</f>
        <v> </v>
      </c>
      <c r="J1531" s="26" t="str">
        <f>IF(OR(E1531="",E1531="!!!",F1531="NEW"),"",COUNTBLANK(OFFSET(A$1,,,SUMPRODUCT(MAX(ROW(E$2:E1531)*(E1531=E$2:E1531)))))-COUNTBLANK(OFFSET(A$1,,,SUMPRODUCT(MAX(ROW(E$1:E1530)*(E2=E$1:E1530))))))</f>
        <v> </v>
      </c>
      <c r="K1531" s="26" t="str">
        <f>IF(OR(E1531="",E1531="!!!",F1531="NEW"),"",INDEX(J$1:J1530,SUMPRODUCT(MAX(ROW(E$1:E1530)*(E1531=E$1:E1530)))))</f>
        <v> </v>
      </c>
      <c r="L1531" s="27"/>
    </row>
    <row r="1532" spans="1:12">
      <c r="A1532" s="20" t="s">
        <v>238</v>
      </c>
      <c r="E1532" s="22">
        <f>IF(D1532="?OLD","!!!","")</f>
        <v/>
      </c>
      <c r="F1532" s="23" t="str">
        <f>IF(OR(E1532="",E1532="!!!"),"",IF(NOT(ISNA(VLOOKUP(E1532,E$1:E1531,1,FALSE()))),"OLD",IF(AND(E1532&lt;&gt;"",E1532&lt;&gt;"!!!"),"NEW","")))</f>
        <v> </v>
      </c>
      <c r="G1532" s="24" t="str">
        <f>IF(OR(E1532="",E1532="!!!"),"",IF(OR(J1532=0,AND(J1532=1,K1532=1),AND(J1532=1,I1532="SBJ"),AND(J1532=1,I1532=0)),"?IN_FOCUS",IF(J1532&lt;=2,"?ACTIVATED",IF(J1532&lt;&gt;"","?FAMILIAR",IF(F1532="NEW",IF(ISNA(VLOOKUP(E1532,#REF!,1,FALSE())),"?TYPE_IDENTIFIABLE","?REFERENTIAL"),"_")))))</f>
        <v> </v>
      </c>
      <c r="H1532" s="25" t="str">
        <f>IF(J1532&lt;&gt;1,"",IF(I1532="SBJ","CB","?"))</f>
        <v> </v>
      </c>
      <c r="I1532" s="26" t="str">
        <f>IF(OR(E1532="",E1532="!!!",F1532="NEW"),"",INDEX(B1531:B$2,-1+SUMPRODUCT(MAX(ROW(E1531:E$2)*(E1532=E1531:E$2)))))</f>
        <v> </v>
      </c>
      <c r="J1532" s="26" t="str">
        <f>IF(OR(E1532="",E1532="!!!",F1532="NEW"),"",COUNTBLANK(OFFSET(A$1,,,SUMPRODUCT(MAX(ROW(E$2:E1532)*(E1532=E$2:E1532)))))-COUNTBLANK(OFFSET(A$1,,,SUMPRODUCT(MAX(ROW(E$1:E1531)*(E2=E$1:E1531))))))</f>
        <v> </v>
      </c>
      <c r="K1532" s="26" t="str">
        <f>IF(OR(E1532="",E1532="!!!",F1532="NEW"),"",INDEX(J$1:J1531,SUMPRODUCT(MAX(ROW(E$1:E1531)*(E1532=E$1:E1531)))))</f>
        <v> </v>
      </c>
      <c r="L1532" s="27"/>
    </row>
    <row r="1533" spans="1:12">
      <c r="A1533" s="20" t="s">
        <v>1577</v>
      </c>
      <c r="E1533" s="22">
        <f>IF(D1533="?OLD","!!!","")</f>
        <v/>
      </c>
      <c r="F1533" s="23" t="str">
        <f>IF(OR(E1533="",E1533="!!!"),"",IF(NOT(ISNA(VLOOKUP(E1533,E$1:E1532,1,FALSE()))),"OLD",IF(AND(E1533&lt;&gt;"",E1533&lt;&gt;"!!!"),"NEW","")))</f>
        <v> </v>
      </c>
      <c r="G1533" s="24" t="str">
        <f>IF(OR(E1533="",E1533="!!!"),"",IF(OR(J1533=0,AND(J1533=1,K1533=1),AND(J1533=1,I1533="SBJ"),AND(J1533=1,I1533=0)),"?IN_FOCUS",IF(J1533&lt;=2,"?ACTIVATED",IF(J1533&lt;&gt;"","?FAMILIAR",IF(F1533="NEW",IF(ISNA(VLOOKUP(E1533,#REF!,1,FALSE())),"?TYPE_IDENTIFIABLE","?REFERENTIAL"),"_")))))</f>
        <v> </v>
      </c>
      <c r="H1533" s="25" t="str">
        <f>IF(J1533&lt;&gt;1,"",IF(I1533="SBJ","CB","?"))</f>
        <v> </v>
      </c>
      <c r="I1533" s="26" t="str">
        <f>IF(OR(E1533="",E1533="!!!",F1533="NEW"),"",INDEX(B1532:B$2,-1+SUMPRODUCT(MAX(ROW(E1532:E$2)*(E1533=E1532:E$2)))))</f>
        <v> </v>
      </c>
      <c r="J1533" s="26" t="str">
        <f>IF(OR(E1533="",E1533="!!!",F1533="NEW"),"",COUNTBLANK(OFFSET(A$1,,,SUMPRODUCT(MAX(ROW(E$2:E1533)*(E1533=E$2:E1533)))))-COUNTBLANK(OFFSET(A$1,,,SUMPRODUCT(MAX(ROW(E$1:E1532)*(E2=E$1:E1532))))))</f>
        <v> </v>
      </c>
      <c r="K1533" s="26" t="str">
        <f>IF(OR(E1533="",E1533="!!!",F1533="NEW"),"",INDEX(J$1:J1532,SUMPRODUCT(MAX(ROW(E$1:E1532)*(E1533=E$1:E1532)))))</f>
        <v> </v>
      </c>
      <c r="L1533" s="27"/>
    </row>
    <row r="1534" spans="1:12">
      <c r="A1534" s="20" t="s">
        <v>1163</v>
      </c>
      <c r="E1534" s="22">
        <f>IF(D1534="?OLD","!!!","")</f>
        <v/>
      </c>
      <c r="F1534" s="23" t="str">
        <f>IF(OR(E1534="",E1534="!!!"),"",IF(NOT(ISNA(VLOOKUP(E1534,E$1:E1533,1,FALSE()))),"OLD",IF(AND(E1534&lt;&gt;"",E1534&lt;&gt;"!!!"),"NEW","")))</f>
        <v> </v>
      </c>
      <c r="G1534" s="24" t="str">
        <f>IF(OR(E1534="",E1534="!!!"),"",IF(OR(J1534=0,AND(J1534=1,K1534=1),AND(J1534=1,I1534="SBJ"),AND(J1534=1,I1534=0)),"?IN_FOCUS",IF(J1534&lt;=2,"?ACTIVATED",IF(J1534&lt;&gt;"","?FAMILIAR",IF(F1534="NEW",IF(ISNA(VLOOKUP(E1534,#REF!,1,FALSE())),"?TYPE_IDENTIFIABLE","?REFERENTIAL"),"_")))))</f>
        <v> </v>
      </c>
      <c r="H1534" s="25" t="str">
        <f>IF(J1534&lt;&gt;1,"",IF(I1534="SBJ","CB","?"))</f>
        <v> </v>
      </c>
      <c r="I1534" s="26" t="str">
        <f>IF(OR(E1534="",E1534="!!!",F1534="NEW"),"",INDEX(B1533:B$2,-1+SUMPRODUCT(MAX(ROW(E1533:E$2)*(E1534=E1533:E$2)))))</f>
        <v> </v>
      </c>
      <c r="J1534" s="26" t="str">
        <f>IF(OR(E1534="",E1534="!!!",F1534="NEW"),"",COUNTBLANK(OFFSET(A$1,,,SUMPRODUCT(MAX(ROW(E$2:E1534)*(E1534=E$2:E1534)))))-COUNTBLANK(OFFSET(A$1,,,SUMPRODUCT(MAX(ROW(E$1:E1533)*(E2=E$1:E1533))))))</f>
        <v> </v>
      </c>
      <c r="K1534" s="26" t="str">
        <f>IF(OR(E1534="",E1534="!!!",F1534="NEW"),"",INDEX(J$1:J1533,SUMPRODUCT(MAX(ROW(E$1:E1533)*(E1534=E$1:E1533)))))</f>
        <v> </v>
      </c>
      <c r="L1534" s="27"/>
    </row>
    <row r="1535" spans="1:12">
      <c r="A1535" s="20" t="s">
        <v>1009</v>
      </c>
      <c r="E1535" s="22">
        <f>IF(D1535="?OLD","!!!","")</f>
        <v/>
      </c>
      <c r="F1535" s="23" t="str">
        <f>IF(OR(E1535="",E1535="!!!"),"",IF(NOT(ISNA(VLOOKUP(E1535,E$1:E1534,1,FALSE()))),"OLD",IF(AND(E1535&lt;&gt;"",E1535&lt;&gt;"!!!"),"NEW","")))</f>
        <v> </v>
      </c>
      <c r="G1535" s="24" t="str">
        <f>IF(OR(E1535="",E1535="!!!"),"",IF(OR(J1535=0,AND(J1535=1,K1535=1),AND(J1535=1,I1535="SBJ"),AND(J1535=1,I1535=0)),"?IN_FOCUS",IF(J1535&lt;=2,"?ACTIVATED",IF(J1535&lt;&gt;"","?FAMILIAR",IF(F1535="NEW",IF(ISNA(VLOOKUP(E1535,#REF!,1,FALSE())),"?TYPE_IDENTIFIABLE","?REFERENTIAL"),"_")))))</f>
        <v> </v>
      </c>
      <c r="H1535" s="25" t="str">
        <f>IF(J1535&lt;&gt;1,"",IF(I1535="SBJ","CB","?"))</f>
        <v> </v>
      </c>
      <c r="I1535" s="26" t="str">
        <f>IF(OR(E1535="",E1535="!!!",F1535="NEW"),"",INDEX(B1534:B$2,-1+SUMPRODUCT(MAX(ROW(E1534:E$2)*(E1535=E1534:E$2)))))</f>
        <v> </v>
      </c>
      <c r="J1535" s="26" t="str">
        <f>IF(OR(E1535="",E1535="!!!",F1535="NEW"),"",COUNTBLANK(OFFSET(A$1,,,SUMPRODUCT(MAX(ROW(E$2:E1535)*(E1535=E$2:E1535)))))-COUNTBLANK(OFFSET(A$1,,,SUMPRODUCT(MAX(ROW(E$1:E1534)*(E2=E$1:E1534))))))</f>
        <v> </v>
      </c>
      <c r="K1535" s="26" t="str">
        <f>IF(OR(E1535="",E1535="!!!",F1535="NEW"),"",INDEX(J$1:J1534,SUMPRODUCT(MAX(ROW(E$1:E1534)*(E1535=E$1:E1534)))))</f>
        <v> </v>
      </c>
      <c r="L1535" s="27"/>
    </row>
    <row r="1536" spans="1:12">
      <c r="A1536" s="20" t="s">
        <v>1458</v>
      </c>
      <c r="E1536" s="22">
        <f>IF(D1536="?OLD","!!!","")</f>
        <v/>
      </c>
      <c r="F1536" s="23" t="str">
        <f>IF(OR(E1536="",E1536="!!!"),"",IF(NOT(ISNA(VLOOKUP(E1536,E$1:E1535,1,FALSE()))),"OLD",IF(AND(E1536&lt;&gt;"",E1536&lt;&gt;"!!!"),"NEW","")))</f>
        <v> </v>
      </c>
      <c r="G1536" s="24" t="str">
        <f>IF(OR(E1536="",E1536="!!!"),"",IF(OR(J1536=0,AND(J1536=1,K1536=1),AND(J1536=1,I1536="SBJ"),AND(J1536=1,I1536=0)),"?IN_FOCUS",IF(J1536&lt;=2,"?ACTIVATED",IF(J1536&lt;&gt;"","?FAMILIAR",IF(F1536="NEW",IF(ISNA(VLOOKUP(E1536,#REF!,1,FALSE())),"?TYPE_IDENTIFIABLE","?REFERENTIAL"),"_")))))</f>
        <v> </v>
      </c>
      <c r="H1536" s="25" t="str">
        <f>IF(J1536&lt;&gt;1,"",IF(I1536="SBJ","CB","?"))</f>
        <v> </v>
      </c>
      <c r="I1536" s="26" t="str">
        <f>IF(OR(E1536="",E1536="!!!",F1536="NEW"),"",INDEX(B1535:B$2,-1+SUMPRODUCT(MAX(ROW(E1535:E$2)*(E1536=E1535:E$2)))))</f>
        <v> </v>
      </c>
      <c r="J1536" s="26" t="str">
        <f>IF(OR(E1536="",E1536="!!!",F1536="NEW"),"",COUNTBLANK(OFFSET(A$1,,,SUMPRODUCT(MAX(ROW(E$2:E1536)*(E1536=E$2:E1536)))))-COUNTBLANK(OFFSET(A$1,,,SUMPRODUCT(MAX(ROW(E$1:E1535)*(E2=E$1:E1535))))))</f>
        <v> </v>
      </c>
      <c r="K1536" s="26" t="str">
        <f>IF(OR(E1536="",E1536="!!!",F1536="NEW"),"",INDEX(J$1:J1535,SUMPRODUCT(MAX(ROW(E$1:E1535)*(E1536=E$1:E1535)))))</f>
        <v> </v>
      </c>
      <c r="L1536" s="27"/>
    </row>
    <row r="1537" spans="1:12">
      <c r="A1537" s="20" t="s">
        <v>1014</v>
      </c>
      <c r="E1537" s="22">
        <f>IF(D1537="?OLD","!!!","")</f>
        <v/>
      </c>
      <c r="F1537" s="23" t="str">
        <f>IF(OR(E1537="",E1537="!!!"),"",IF(NOT(ISNA(VLOOKUP(E1537,E$1:E1536,1,FALSE()))),"OLD",IF(AND(E1537&lt;&gt;"",E1537&lt;&gt;"!!!"),"NEW","")))</f>
        <v> </v>
      </c>
      <c r="G1537" s="24" t="str">
        <f>IF(OR(E1537="",E1537="!!!"),"",IF(OR(J1537=0,AND(J1537=1,K1537=1),AND(J1537=1,I1537="SBJ"),AND(J1537=1,I1537=0)),"?IN_FOCUS",IF(J1537&lt;=2,"?ACTIVATED",IF(J1537&lt;&gt;"","?FAMILIAR",IF(F1537="NEW",IF(ISNA(VLOOKUP(E1537,#REF!,1,FALSE())),"?TYPE_IDENTIFIABLE","?REFERENTIAL"),"_")))))</f>
        <v> </v>
      </c>
      <c r="H1537" s="25" t="str">
        <f>IF(J1537&lt;&gt;1,"",IF(I1537="SBJ","CB","?"))</f>
        <v> </v>
      </c>
      <c r="I1537" s="26" t="str">
        <f>IF(OR(E1537="",E1537="!!!",F1537="NEW"),"",INDEX(B1536:B$2,-1+SUMPRODUCT(MAX(ROW(E1536:E$2)*(E1537=E1536:E$2)))))</f>
        <v> </v>
      </c>
      <c r="J1537" s="26" t="str">
        <f>IF(OR(E1537="",E1537="!!!",F1537="NEW"),"",COUNTBLANK(OFFSET(A$1,,,SUMPRODUCT(MAX(ROW(E$2:E1537)*(E1537=E$2:E1537)))))-COUNTBLANK(OFFSET(A$1,,,SUMPRODUCT(MAX(ROW(E$1:E1536)*(E2=E$1:E1536))))))</f>
        <v> </v>
      </c>
      <c r="K1537" s="26" t="str">
        <f>IF(OR(E1537="",E1537="!!!",F1537="NEW"),"",INDEX(J$1:J1536,SUMPRODUCT(MAX(ROW(E$1:E1536)*(E1537=E$1:E1536)))))</f>
        <v> </v>
      </c>
      <c r="L1537" s="27"/>
    </row>
    <row r="1538" spans="1:12">
      <c r="A1538" s="20" t="s">
        <v>1027</v>
      </c>
      <c r="E1538" s="22">
        <f>IF(D1538="?OLD","!!!","")</f>
        <v/>
      </c>
      <c r="F1538" s="23" t="str">
        <f>IF(OR(E1538="",E1538="!!!"),"",IF(NOT(ISNA(VLOOKUP(E1538,E$1:E1537,1,FALSE()))),"OLD",IF(AND(E1538&lt;&gt;"",E1538&lt;&gt;"!!!"),"NEW","")))</f>
        <v> </v>
      </c>
      <c r="G1538" s="24" t="str">
        <f>IF(OR(E1538="",E1538="!!!"),"",IF(OR(J1538=0,AND(J1538=1,K1538=1),AND(J1538=1,I1538="SBJ"),AND(J1538=1,I1538=0)),"?IN_FOCUS",IF(J1538&lt;=2,"?ACTIVATED",IF(J1538&lt;&gt;"","?FAMILIAR",IF(F1538="NEW",IF(ISNA(VLOOKUP(E1538,#REF!,1,FALSE())),"?TYPE_IDENTIFIABLE","?REFERENTIAL"),"_")))))</f>
        <v> </v>
      </c>
      <c r="H1538" s="25" t="str">
        <f>IF(J1538&lt;&gt;1,"",IF(I1538="SBJ","CB","?"))</f>
        <v> </v>
      </c>
      <c r="I1538" s="26" t="str">
        <f>IF(OR(E1538="",E1538="!!!",F1538="NEW"),"",INDEX(B1537:B$2,-1+SUMPRODUCT(MAX(ROW(E1537:E$2)*(E1538=E1537:E$2)))))</f>
        <v> </v>
      </c>
      <c r="J1538" s="26" t="str">
        <f>IF(OR(E1538="",E1538="!!!",F1538="NEW"),"",COUNTBLANK(OFFSET(A$1,,,SUMPRODUCT(MAX(ROW(E$2:E1538)*(E1538=E$2:E1538)))))-COUNTBLANK(OFFSET(A$1,,,SUMPRODUCT(MAX(ROW(E$1:E1537)*(E2=E$1:E1537))))))</f>
        <v> </v>
      </c>
      <c r="K1538" s="26" t="str">
        <f>IF(OR(E1538="",E1538="!!!",F1538="NEW"),"",INDEX(J$1:J1537,SUMPRODUCT(MAX(ROW(E$1:E1537)*(E1538=E$1:E1537)))))</f>
        <v> </v>
      </c>
      <c r="L1538" s="27"/>
    </row>
    <row r="1539" spans="1:12">
      <c r="A1539" s="20" t="s">
        <v>1460</v>
      </c>
      <c r="B1539" s="21" t="s">
        <v>1263</v>
      </c>
      <c r="C1539" s="21" t="s">
        <v>1017</v>
      </c>
      <c r="D1539" s="21" t="s">
        <v>1007</v>
      </c>
      <c r="E1539" s="22">
        <f>IF(D1539="?OLD","!!!","")</f>
        <v/>
      </c>
      <c r="F1539" s="23" t="str">
        <f>IF(OR(E1539="",E1539="!!!"),"",IF(NOT(ISNA(VLOOKUP(E1539,E$1:E1538,1,FALSE()))),"OLD",IF(AND(E1539&lt;&gt;"",E1539&lt;&gt;"!!!"),"NEW","")))</f>
        <v> </v>
      </c>
      <c r="G1539" s="24" t="str">
        <f>IF(OR(E1539="",E1539="!!!"),"",IF(OR(J1539=0,AND(J1539=1,K1539=1),AND(J1539=1,I1539="SBJ"),AND(J1539=1,I1539=0)),"?IN_FOCUS",IF(J1539&lt;=2,"?ACTIVATED",IF(J1539&lt;&gt;"","?FAMILIAR",IF(F1539="NEW",IF(ISNA(VLOOKUP(E1539,#REF!,1,FALSE())),"?TYPE_IDENTIFIABLE","?REFERENTIAL"),"_")))))</f>
        <v> </v>
      </c>
      <c r="H1539" s="25" t="str">
        <f>IF(J1539&lt;&gt;1,"",IF(I1539="SBJ","CB","?"))</f>
        <v> </v>
      </c>
      <c r="I1539" s="26" t="str">
        <f>IF(OR(E1539="",E1539="!!!",F1539="NEW"),"",INDEX(B1538:B$2,-1+SUMPRODUCT(MAX(ROW(E1538:E$2)*(E1539=E1538:E$2)))))</f>
        <v> </v>
      </c>
      <c r="J1539" s="26" t="str">
        <f>IF(OR(E1539="",E1539="!!!",F1539="NEW"),"",COUNTBLANK(OFFSET(A$1,,,SUMPRODUCT(MAX(ROW(E$2:E1539)*(E1539=E$2:E1539)))))-COUNTBLANK(OFFSET(A$1,,,SUMPRODUCT(MAX(ROW(E$1:E1538)*(E2=E$1:E1538))))))</f>
        <v> </v>
      </c>
      <c r="K1539" s="26" t="str">
        <f>IF(OR(E1539="",E1539="!!!",F1539="NEW"),"",INDEX(J$1:J1538,SUMPRODUCT(MAX(ROW(E$1:E1538)*(E1539=E$1:E1538)))))</f>
        <v> </v>
      </c>
      <c r="L1539" s="27"/>
    </row>
    <row r="1540" spans="1:12">
      <c r="A1540" s="20" t="s">
        <v>1461</v>
      </c>
      <c r="E1540" s="22">
        <f>IF(D1540="?OLD","!!!","")</f>
        <v/>
      </c>
      <c r="F1540" s="23" t="str">
        <f>IF(OR(E1540="",E1540="!!!"),"",IF(NOT(ISNA(VLOOKUP(E1540,E$1:E1539,1,FALSE()))),"OLD",IF(AND(E1540&lt;&gt;"",E1540&lt;&gt;"!!!"),"NEW","")))</f>
        <v> </v>
      </c>
      <c r="G1540" s="24" t="str">
        <f>IF(OR(E1540="",E1540="!!!"),"",IF(OR(J1540=0,AND(J1540=1,K1540=1),AND(J1540=1,I1540="SBJ"),AND(J1540=1,I1540=0)),"?IN_FOCUS",IF(J1540&lt;=2,"?ACTIVATED",IF(J1540&lt;&gt;"","?FAMILIAR",IF(F1540="NEW",IF(ISNA(VLOOKUP(E1540,#REF!,1,FALSE())),"?TYPE_IDENTIFIABLE","?REFERENTIAL"),"_")))))</f>
        <v> </v>
      </c>
      <c r="H1540" s="25" t="str">
        <f>IF(J1540&lt;&gt;1,"",IF(I1540="SBJ","CB","?"))</f>
        <v> </v>
      </c>
      <c r="I1540" s="26" t="str">
        <f>IF(OR(E1540="",E1540="!!!",F1540="NEW"),"",INDEX(B1539:B$2,-1+SUMPRODUCT(MAX(ROW(E1539:E$2)*(E1540=E1539:E$2)))))</f>
        <v> </v>
      </c>
      <c r="J1540" s="26" t="str">
        <f>IF(OR(E1540="",E1540="!!!",F1540="NEW"),"",COUNTBLANK(OFFSET(A$1,,,SUMPRODUCT(MAX(ROW(E$2:E1540)*(E1540=E$2:E1540)))))-COUNTBLANK(OFFSET(A$1,,,SUMPRODUCT(MAX(ROW(E$1:E1539)*(E2=E$1:E1539))))))</f>
        <v> </v>
      </c>
      <c r="K1540" s="26" t="str">
        <f>IF(OR(E1540="",E1540="!!!",F1540="NEW"),"",INDEX(J$1:J1539,SUMPRODUCT(MAX(ROW(E$1:E1539)*(E1540=E$1:E1539)))))</f>
        <v> </v>
      </c>
      <c r="L1540" s="27"/>
    </row>
    <row r="1541" spans="1:12">
      <c r="A1541" s="20" t="s">
        <v>1413</v>
      </c>
      <c r="E1541" s="22">
        <f>IF(D1541="?OLD","!!!","")</f>
        <v/>
      </c>
      <c r="F1541" s="23" t="str">
        <f>IF(OR(E1541="",E1541="!!!"),"",IF(NOT(ISNA(VLOOKUP(E1541,E$1:E1540,1,FALSE()))),"OLD",IF(AND(E1541&lt;&gt;"",E1541&lt;&gt;"!!!"),"NEW","")))</f>
        <v> </v>
      </c>
      <c r="G1541" s="24" t="str">
        <f>IF(OR(E1541="",E1541="!!!"),"",IF(OR(J1541=0,AND(J1541=1,K1541=1),AND(J1541=1,I1541="SBJ"),AND(J1541=1,I1541=0)),"?IN_FOCUS",IF(J1541&lt;=2,"?ACTIVATED",IF(J1541&lt;&gt;"","?FAMILIAR",IF(F1541="NEW",IF(ISNA(VLOOKUP(E1541,#REF!,1,FALSE())),"?TYPE_IDENTIFIABLE","?REFERENTIAL"),"_")))))</f>
        <v> </v>
      </c>
      <c r="H1541" s="25" t="str">
        <f>IF(J1541&lt;&gt;1,"",IF(I1541="SBJ","CB","?"))</f>
        <v> </v>
      </c>
      <c r="I1541" s="26" t="str">
        <f>IF(OR(E1541="",E1541="!!!",F1541="NEW"),"",INDEX(B1540:B$2,-1+SUMPRODUCT(MAX(ROW(E1540:E$2)*(E1541=E1540:E$2)))))</f>
        <v> </v>
      </c>
      <c r="J1541" s="26" t="str">
        <f>IF(OR(E1541="",E1541="!!!",F1541="NEW"),"",COUNTBLANK(OFFSET(A$1,,,SUMPRODUCT(MAX(ROW(E$2:E1541)*(E1541=E$2:E1541)))))-COUNTBLANK(OFFSET(A$1,,,SUMPRODUCT(MAX(ROW(E$1:E1540)*(E2=E$1:E1540))))))</f>
        <v> </v>
      </c>
      <c r="K1541" s="26" t="str">
        <f>IF(OR(E1541="",E1541="!!!",F1541="NEW"),"",INDEX(J$1:J1540,SUMPRODUCT(MAX(ROW(E$1:E1540)*(E1541=E$1:E1540)))))</f>
        <v> </v>
      </c>
      <c r="L1541" s="27"/>
    </row>
    <row r="1542" spans="1:12">
      <c r="A1542" s="20" t="s">
        <v>1578</v>
      </c>
      <c r="E1542" s="22">
        <f>IF(D1542="?OLD","!!!","")</f>
        <v/>
      </c>
      <c r="F1542" s="23" t="str">
        <f>IF(OR(E1542="",E1542="!!!"),"",IF(NOT(ISNA(VLOOKUP(E1542,E$1:E1541,1,FALSE()))),"OLD",IF(AND(E1542&lt;&gt;"",E1542&lt;&gt;"!!!"),"NEW","")))</f>
        <v> </v>
      </c>
      <c r="G1542" s="24" t="str">
        <f>IF(OR(E1542="",E1542="!!!"),"",IF(OR(J1542=0,AND(J1542=1,K1542=1),AND(J1542=1,I1542="SBJ"),AND(J1542=1,I1542=0)),"?IN_FOCUS",IF(J1542&lt;=2,"?ACTIVATED",IF(J1542&lt;&gt;"","?FAMILIAR",IF(F1542="NEW",IF(ISNA(VLOOKUP(E1542,#REF!,1,FALSE())),"?TYPE_IDENTIFIABLE","?REFERENTIAL"),"_")))))</f>
        <v> </v>
      </c>
      <c r="H1542" s="25" t="str">
        <f>IF(J1542&lt;&gt;1,"",IF(I1542="SBJ","CB","?"))</f>
        <v> </v>
      </c>
      <c r="I1542" s="26" t="str">
        <f>IF(OR(E1542="",E1542="!!!",F1542="NEW"),"",INDEX(B1541:B$2,-1+SUMPRODUCT(MAX(ROW(E1541:E$2)*(E1542=E1541:E$2)))))</f>
        <v> </v>
      </c>
      <c r="J1542" s="26" t="str">
        <f>IF(OR(E1542="",E1542="!!!",F1542="NEW"),"",COUNTBLANK(OFFSET(A$1,,,SUMPRODUCT(MAX(ROW(E$2:E1542)*(E1542=E$2:E1542)))))-COUNTBLANK(OFFSET(A$1,,,SUMPRODUCT(MAX(ROW(E$1:E1541)*(E2=E$1:E1541))))))</f>
        <v> </v>
      </c>
      <c r="K1542" s="26" t="str">
        <f>IF(OR(E1542="",E1542="!!!",F1542="NEW"),"",INDEX(J$1:J1541,SUMPRODUCT(MAX(ROW(E$1:E1541)*(E1542=E$1:E1541)))))</f>
        <v> </v>
      </c>
      <c r="L1542" s="27"/>
    </row>
    <row r="1543" spans="1:12">
      <c r="A1543" s="20" t="s">
        <v>1018</v>
      </c>
      <c r="E1543" s="22">
        <f>IF(D1543="?OLD","!!!","")</f>
        <v/>
      </c>
      <c r="F1543" s="23" t="str">
        <f>IF(OR(E1543="",E1543="!!!"),"",IF(NOT(ISNA(VLOOKUP(E1543,E$1:E1542,1,FALSE()))),"OLD",IF(AND(E1543&lt;&gt;"",E1543&lt;&gt;"!!!"),"NEW","")))</f>
        <v> </v>
      </c>
      <c r="G1543" s="24" t="str">
        <f>IF(OR(E1543="",E1543="!!!"),"",IF(OR(J1543=0,AND(J1543=1,K1543=1),AND(J1543=1,I1543="SBJ"),AND(J1543=1,I1543=0)),"?IN_FOCUS",IF(J1543&lt;=2,"?ACTIVATED",IF(J1543&lt;&gt;"","?FAMILIAR",IF(F1543="NEW",IF(ISNA(VLOOKUP(E1543,#REF!,1,FALSE())),"?TYPE_IDENTIFIABLE","?REFERENTIAL"),"_")))))</f>
        <v> </v>
      </c>
      <c r="H1543" s="25" t="str">
        <f>IF(J1543&lt;&gt;1,"",IF(I1543="SBJ","CB","?"))</f>
        <v> </v>
      </c>
      <c r="I1543" s="26" t="str">
        <f>IF(OR(E1543="",E1543="!!!",F1543="NEW"),"",INDEX(B1542:B$2,-1+SUMPRODUCT(MAX(ROW(E1542:E$2)*(E1543=E1542:E$2)))))</f>
        <v> </v>
      </c>
      <c r="J1543" s="26" t="str">
        <f>IF(OR(E1543="",E1543="!!!",F1543="NEW"),"",COUNTBLANK(OFFSET(A$1,,,SUMPRODUCT(MAX(ROW(E$2:E1543)*(E1543=E$2:E1543)))))-COUNTBLANK(OFFSET(A$1,,,SUMPRODUCT(MAX(ROW(E$1:E1542)*(E2=E$1:E1542))))))</f>
        <v> </v>
      </c>
      <c r="K1543" s="26" t="str">
        <f>IF(OR(E1543="",E1543="!!!",F1543="NEW"),"",INDEX(J$1:J1542,SUMPRODUCT(MAX(ROW(E$1:E1542)*(E1543=E$1:E1542)))))</f>
        <v> </v>
      </c>
      <c r="L1543" s="27"/>
    </row>
    <row r="1544" spans="1:12">
      <c r="A1544" s="20" t="s">
        <v>1458</v>
      </c>
      <c r="E1544" s="22">
        <f>IF(D1544="?OLD","!!!","")</f>
        <v/>
      </c>
      <c r="F1544" s="23" t="str">
        <f>IF(OR(E1544="",E1544="!!!"),"",IF(NOT(ISNA(VLOOKUP(E1544,E$1:E1543,1,FALSE()))),"OLD",IF(AND(E1544&lt;&gt;"",E1544&lt;&gt;"!!!"),"NEW","")))</f>
        <v> </v>
      </c>
      <c r="G1544" s="24" t="str">
        <f>IF(OR(E1544="",E1544="!!!"),"",IF(OR(J1544=0,AND(J1544=1,K1544=1),AND(J1544=1,I1544="SBJ"),AND(J1544=1,I1544=0)),"?IN_FOCUS",IF(J1544&lt;=2,"?ACTIVATED",IF(J1544&lt;&gt;"","?FAMILIAR",IF(F1544="NEW",IF(ISNA(VLOOKUP(E1544,#REF!,1,FALSE())),"?TYPE_IDENTIFIABLE","?REFERENTIAL"),"_")))))</f>
        <v> </v>
      </c>
      <c r="H1544" s="25" t="str">
        <f>IF(J1544&lt;&gt;1,"",IF(I1544="SBJ","CB","?"))</f>
        <v> </v>
      </c>
      <c r="I1544" s="26" t="str">
        <f>IF(OR(E1544="",E1544="!!!",F1544="NEW"),"",INDEX(B1543:B$2,-1+SUMPRODUCT(MAX(ROW(E1543:E$2)*(E1544=E1543:E$2)))))</f>
        <v> </v>
      </c>
      <c r="J1544" s="26" t="str">
        <f>IF(OR(E1544="",E1544="!!!",F1544="NEW"),"",COUNTBLANK(OFFSET(A$1,,,SUMPRODUCT(MAX(ROW(E$2:E1544)*(E1544=E$2:E1544)))))-COUNTBLANK(OFFSET(A$1,,,SUMPRODUCT(MAX(ROW(E$1:E1543)*(E2=E$1:E1543))))))</f>
        <v> </v>
      </c>
      <c r="K1544" s="26" t="str">
        <f>IF(OR(E1544="",E1544="!!!",F1544="NEW"),"",INDEX(J$1:J1543,SUMPRODUCT(MAX(ROW(E$1:E1543)*(E1544=E$1:E1543)))))</f>
        <v> </v>
      </c>
      <c r="L1544" s="27"/>
    </row>
    <row r="1545" spans="1:12">
      <c r="A1545" s="20" t="s">
        <v>1014</v>
      </c>
      <c r="E1545" s="22">
        <f>IF(D1545="?OLD","!!!","")</f>
        <v/>
      </c>
      <c r="F1545" s="23" t="str">
        <f>IF(OR(E1545="",E1545="!!!"),"",IF(NOT(ISNA(VLOOKUP(E1545,E$1:E1544,1,FALSE()))),"OLD",IF(AND(E1545&lt;&gt;"",E1545&lt;&gt;"!!!"),"NEW","")))</f>
        <v> </v>
      </c>
      <c r="G1545" s="24" t="str">
        <f>IF(OR(E1545="",E1545="!!!"),"",IF(OR(J1545=0,AND(J1545=1,K1545=1),AND(J1545=1,I1545="SBJ"),AND(J1545=1,I1545=0)),"?IN_FOCUS",IF(J1545&lt;=2,"?ACTIVATED",IF(J1545&lt;&gt;"","?FAMILIAR",IF(F1545="NEW",IF(ISNA(VLOOKUP(E1545,#REF!,1,FALSE())),"?TYPE_IDENTIFIABLE","?REFERENTIAL"),"_")))))</f>
        <v> </v>
      </c>
      <c r="H1545" s="25" t="str">
        <f>IF(J1545&lt;&gt;1,"",IF(I1545="SBJ","CB","?"))</f>
        <v> </v>
      </c>
      <c r="I1545" s="26" t="str">
        <f>IF(OR(E1545="",E1545="!!!",F1545="NEW"),"",INDEX(B1544:B$2,-1+SUMPRODUCT(MAX(ROW(E1544:E$2)*(E1545=E1544:E$2)))))</f>
        <v> </v>
      </c>
      <c r="J1545" s="26" t="str">
        <f>IF(OR(E1545="",E1545="!!!",F1545="NEW"),"",COUNTBLANK(OFFSET(A$1,,,SUMPRODUCT(MAX(ROW(E$2:E1545)*(E1545=E$2:E1545)))))-COUNTBLANK(OFFSET(A$1,,,SUMPRODUCT(MAX(ROW(E$1:E1544)*(E2=E$1:E1544))))))</f>
        <v> </v>
      </c>
      <c r="K1545" s="26" t="str">
        <f>IF(OR(E1545="",E1545="!!!",F1545="NEW"),"",INDEX(J$1:J1544,SUMPRODUCT(MAX(ROW(E$1:E1544)*(E1545=E$1:E1544)))))</f>
        <v> </v>
      </c>
      <c r="L1545" s="27"/>
    </row>
    <row r="1546" spans="1:12">
      <c r="A1546" s="20" t="s">
        <v>1463</v>
      </c>
      <c r="B1546" s="21" t="s">
        <v>1263</v>
      </c>
      <c r="C1546" s="21" t="s">
        <v>1082</v>
      </c>
      <c r="D1546" s="21" t="s">
        <v>1007</v>
      </c>
      <c r="E1546" s="22">
        <f>IF(D1546="?OLD","!!!","")</f>
        <v/>
      </c>
      <c r="F1546" s="23" t="str">
        <f>IF(OR(E1546="",E1546="!!!"),"",IF(NOT(ISNA(VLOOKUP(E1546,E$1:E1545,1,FALSE()))),"OLD",IF(AND(E1546&lt;&gt;"",E1546&lt;&gt;"!!!"),"NEW","")))</f>
        <v> </v>
      </c>
      <c r="G1546" s="24" t="str">
        <f>IF(OR(E1546="",E1546="!!!"),"",IF(OR(J1546=0,AND(J1546=1,K1546=1),AND(J1546=1,I1546="SBJ"),AND(J1546=1,I1546=0)),"?IN_FOCUS",IF(J1546&lt;=2,"?ACTIVATED",IF(J1546&lt;&gt;"","?FAMILIAR",IF(F1546="NEW",IF(ISNA(VLOOKUP(E1546,#REF!,1,FALSE())),"?TYPE_IDENTIFIABLE","?REFERENTIAL"),"_")))))</f>
        <v> </v>
      </c>
      <c r="H1546" s="25" t="str">
        <f>IF(J1546&lt;&gt;1,"",IF(I1546="SBJ","CB","?"))</f>
        <v> </v>
      </c>
      <c r="I1546" s="26" t="str">
        <f>IF(OR(E1546="",E1546="!!!",F1546="NEW"),"",INDEX(B1545:B$2,-1+SUMPRODUCT(MAX(ROW(E1545:E$2)*(E1546=E1545:E$2)))))</f>
        <v> </v>
      </c>
      <c r="J1546" s="26" t="str">
        <f>IF(OR(E1546="",E1546="!!!",F1546="NEW"),"",COUNTBLANK(OFFSET(A$1,,,SUMPRODUCT(MAX(ROW(E$2:E1546)*(E1546=E$2:E1546)))))-COUNTBLANK(OFFSET(A$1,,,SUMPRODUCT(MAX(ROW(E$1:E1545)*(E2=E$1:E1545))))))</f>
        <v> </v>
      </c>
      <c r="K1546" s="26" t="str">
        <f>IF(OR(E1546="",E1546="!!!",F1546="NEW"),"",INDEX(J$1:J1545,SUMPRODUCT(MAX(ROW(E$1:E1545)*(E1546=E$1:E1545)))))</f>
        <v> </v>
      </c>
      <c r="L1546" s="27"/>
    </row>
    <row r="1547" spans="1:12">
      <c r="A1547" s="20" t="s">
        <v>1461</v>
      </c>
      <c r="E1547" s="22">
        <f>IF(D1547="?OLD","!!!","")</f>
        <v/>
      </c>
      <c r="F1547" s="23" t="str">
        <f>IF(OR(E1547="",E1547="!!!"),"",IF(NOT(ISNA(VLOOKUP(E1547,E$1:E1546,1,FALSE()))),"OLD",IF(AND(E1547&lt;&gt;"",E1547&lt;&gt;"!!!"),"NEW","")))</f>
        <v> </v>
      </c>
      <c r="G1547" s="24" t="str">
        <f>IF(OR(E1547="",E1547="!!!"),"",IF(OR(J1547=0,AND(J1547=1,K1547=1),AND(J1547=1,I1547="SBJ"),AND(J1547=1,I1547=0)),"?IN_FOCUS",IF(J1547&lt;=2,"?ACTIVATED",IF(J1547&lt;&gt;"","?FAMILIAR",IF(F1547="NEW",IF(ISNA(VLOOKUP(E1547,#REF!,1,FALSE())),"?TYPE_IDENTIFIABLE","?REFERENTIAL"),"_")))))</f>
        <v> </v>
      </c>
      <c r="H1547" s="25" t="str">
        <f>IF(J1547&lt;&gt;1,"",IF(I1547="SBJ","CB","?"))</f>
        <v> </v>
      </c>
      <c r="I1547" s="26" t="str">
        <f>IF(OR(E1547="",E1547="!!!",F1547="NEW"),"",INDEX(B1546:B$2,-1+SUMPRODUCT(MAX(ROW(E1546:E$2)*(E1547=E1546:E$2)))))</f>
        <v> </v>
      </c>
      <c r="J1547" s="26" t="str">
        <f>IF(OR(E1547="",E1547="!!!",F1547="NEW"),"",COUNTBLANK(OFFSET(A$1,,,SUMPRODUCT(MAX(ROW(E$2:E1547)*(E1547=E$2:E1547)))))-COUNTBLANK(OFFSET(A$1,,,SUMPRODUCT(MAX(ROW(E$1:E1546)*(E2=E$1:E1546))))))</f>
        <v> </v>
      </c>
      <c r="K1547" s="26" t="str">
        <f>IF(OR(E1547="",E1547="!!!",F1547="NEW"),"",INDEX(J$1:J1546,SUMPRODUCT(MAX(ROW(E$1:E1546)*(E1547=E$1:E1546)))))</f>
        <v> </v>
      </c>
      <c r="L1547" s="27"/>
    </row>
    <row r="1548" spans="1:12">
      <c r="A1548" s="20" t="s">
        <v>1579</v>
      </c>
      <c r="E1548" s="22">
        <f>IF(D1548="?OLD","!!!","")</f>
        <v/>
      </c>
      <c r="F1548" s="23" t="str">
        <f>IF(OR(E1548="",E1548="!!!"),"",IF(NOT(ISNA(VLOOKUP(E1548,E$1:E1547,1,FALSE()))),"OLD",IF(AND(E1548&lt;&gt;"",E1548&lt;&gt;"!!!"),"NEW","")))</f>
        <v> </v>
      </c>
      <c r="G1548" s="24" t="str">
        <f>IF(OR(E1548="",E1548="!!!"),"",IF(OR(J1548=0,AND(J1548=1,K1548=1),AND(J1548=1,I1548="SBJ"),AND(J1548=1,I1548=0)),"?IN_FOCUS",IF(J1548&lt;=2,"?ACTIVATED",IF(J1548&lt;&gt;"","?FAMILIAR",IF(F1548="NEW",IF(ISNA(VLOOKUP(E1548,#REF!,1,FALSE())),"?TYPE_IDENTIFIABLE","?REFERENTIAL"),"_")))))</f>
        <v> </v>
      </c>
      <c r="H1548" s="25" t="str">
        <f>IF(J1548&lt;&gt;1,"",IF(I1548="SBJ","CB","?"))</f>
        <v> </v>
      </c>
      <c r="I1548" s="26" t="str">
        <f>IF(OR(E1548="",E1548="!!!",F1548="NEW"),"",INDEX(B1547:B$2,-1+SUMPRODUCT(MAX(ROW(E1547:E$2)*(E1548=E1547:E$2)))))</f>
        <v> </v>
      </c>
      <c r="J1548" s="26" t="str">
        <f>IF(OR(E1548="",E1548="!!!",F1548="NEW"),"",COUNTBLANK(OFFSET(A$1,,,SUMPRODUCT(MAX(ROW(E$2:E1548)*(E1548=E$2:E1548)))))-COUNTBLANK(OFFSET(A$1,,,SUMPRODUCT(MAX(ROW(E$1:E1547)*(E2=E$1:E1547))))))</f>
        <v> </v>
      </c>
      <c r="K1548" s="26" t="str">
        <f>IF(OR(E1548="",E1548="!!!",F1548="NEW"),"",INDEX(J$1:J1547,SUMPRODUCT(MAX(ROW(E$1:E1547)*(E1548=E$1:E1547)))))</f>
        <v> </v>
      </c>
      <c r="L1548" s="27"/>
    </row>
    <row r="1549" spans="1:12">
      <c r="A1549" s="20" t="s">
        <v>1018</v>
      </c>
      <c r="E1549" s="22">
        <f>IF(D1549="?OLD","!!!","")</f>
        <v/>
      </c>
      <c r="F1549" s="23" t="str">
        <f>IF(OR(E1549="",E1549="!!!"),"",IF(NOT(ISNA(VLOOKUP(E1549,E$1:E1548,1,FALSE()))),"OLD",IF(AND(E1549&lt;&gt;"",E1549&lt;&gt;"!!!"),"NEW","")))</f>
        <v> </v>
      </c>
      <c r="G1549" s="24" t="str">
        <f>IF(OR(E1549="",E1549="!!!"),"",IF(OR(J1549=0,AND(J1549=1,K1549=1),AND(J1549=1,I1549="SBJ"),AND(J1549=1,I1549=0)),"?IN_FOCUS",IF(J1549&lt;=2,"?ACTIVATED",IF(J1549&lt;&gt;"","?FAMILIAR",IF(F1549="NEW",IF(ISNA(VLOOKUP(E1549,#REF!,1,FALSE())),"?TYPE_IDENTIFIABLE","?REFERENTIAL"),"_")))))</f>
        <v> </v>
      </c>
      <c r="H1549" s="25" t="str">
        <f>IF(J1549&lt;&gt;1,"",IF(I1549="SBJ","CB","?"))</f>
        <v> </v>
      </c>
      <c r="I1549" s="26" t="str">
        <f>IF(OR(E1549="",E1549="!!!",F1549="NEW"),"",INDEX(B1548:B$2,-1+SUMPRODUCT(MAX(ROW(E1548:E$2)*(E1549=E1548:E$2)))))</f>
        <v> </v>
      </c>
      <c r="J1549" s="26" t="str">
        <f>IF(OR(E1549="",E1549="!!!",F1549="NEW"),"",COUNTBLANK(OFFSET(A$1,,,SUMPRODUCT(MAX(ROW(E$2:E1549)*(E1549=E$2:E1549)))))-COUNTBLANK(OFFSET(A$1,,,SUMPRODUCT(MAX(ROW(E$1:E1548)*(E2=E$1:E1548))))))</f>
        <v> </v>
      </c>
      <c r="K1549" s="26" t="str">
        <f>IF(OR(E1549="",E1549="!!!",F1549="NEW"),"",INDEX(J$1:J1548,SUMPRODUCT(MAX(ROW(E$1:E1548)*(E1549=E$1:E1548)))))</f>
        <v> </v>
      </c>
      <c r="L1549" s="27"/>
    </row>
    <row r="1550" spans="1:12">
      <c r="A1550" s="20" t="s">
        <v>1189</v>
      </c>
      <c r="E1550" s="22">
        <f>IF(D1550="?OLD","!!!","")</f>
        <v/>
      </c>
      <c r="F1550" s="23" t="str">
        <f>IF(OR(E1550="",E1550="!!!"),"",IF(NOT(ISNA(VLOOKUP(E1550,E$1:E1549,1,FALSE()))),"OLD",IF(AND(E1550&lt;&gt;"",E1550&lt;&gt;"!!!"),"NEW","")))</f>
        <v> </v>
      </c>
      <c r="G1550" s="24" t="str">
        <f>IF(OR(E1550="",E1550="!!!"),"",IF(OR(J1550=0,AND(J1550=1,K1550=1),AND(J1550=1,I1550="SBJ"),AND(J1550=1,I1550=0)),"?IN_FOCUS",IF(J1550&lt;=2,"?ACTIVATED",IF(J1550&lt;&gt;"","?FAMILIAR",IF(F1550="NEW",IF(ISNA(VLOOKUP(E1550,#REF!,1,FALSE())),"?TYPE_IDENTIFIABLE","?REFERENTIAL"),"_")))))</f>
        <v> </v>
      </c>
      <c r="H1550" s="25" t="str">
        <f>IF(J1550&lt;&gt;1,"",IF(I1550="SBJ","CB","?"))</f>
        <v> </v>
      </c>
      <c r="I1550" s="26" t="str">
        <f>IF(OR(E1550="",E1550="!!!",F1550="NEW"),"",INDEX(B1549:B$2,-1+SUMPRODUCT(MAX(ROW(E1549:E$2)*(E1550=E1549:E$2)))))</f>
        <v> </v>
      </c>
      <c r="J1550" s="26" t="str">
        <f>IF(OR(E1550="",E1550="!!!",F1550="NEW"),"",COUNTBLANK(OFFSET(A$1,,,SUMPRODUCT(MAX(ROW(E$2:E1550)*(E1550=E$2:E1550)))))-COUNTBLANK(OFFSET(A$1,,,SUMPRODUCT(MAX(ROW(E$1:E1549)*(E2=E$1:E1549))))))</f>
        <v> </v>
      </c>
      <c r="K1550" s="26" t="str">
        <f>IF(OR(E1550="",E1550="!!!",F1550="NEW"),"",INDEX(J$1:J1549,SUMPRODUCT(MAX(ROW(E$1:E1549)*(E1550=E$1:E1549)))))</f>
        <v> </v>
      </c>
      <c r="L1550" s="27"/>
    </row>
    <row r="1551" spans="1:12">
      <c r="A1551" s="20" t="s">
        <v>1580</v>
      </c>
      <c r="E1551" s="22">
        <f>IF(D1551="?OLD","!!!","")</f>
        <v/>
      </c>
      <c r="F1551" s="23" t="str">
        <f>IF(OR(E1551="",E1551="!!!"),"",IF(NOT(ISNA(VLOOKUP(E1551,E$1:E1550,1,FALSE()))),"OLD",IF(AND(E1551&lt;&gt;"",E1551&lt;&gt;"!!!"),"NEW","")))</f>
        <v> </v>
      </c>
      <c r="G1551" s="24" t="str">
        <f>IF(OR(E1551="",E1551="!!!"),"",IF(OR(J1551=0,AND(J1551=1,K1551=1),AND(J1551=1,I1551="SBJ"),AND(J1551=1,I1551=0)),"?IN_FOCUS",IF(J1551&lt;=2,"?ACTIVATED",IF(J1551&lt;&gt;"","?FAMILIAR",IF(F1551="NEW",IF(ISNA(VLOOKUP(E1551,#REF!,1,FALSE())),"?TYPE_IDENTIFIABLE","?REFERENTIAL"),"_")))))</f>
        <v> </v>
      </c>
      <c r="H1551" s="25" t="str">
        <f>IF(J1551&lt;&gt;1,"",IF(I1551="SBJ","CB","?"))</f>
        <v> </v>
      </c>
      <c r="I1551" s="26" t="str">
        <f>IF(OR(E1551="",E1551="!!!",F1551="NEW"),"",INDEX(B1550:B$2,-1+SUMPRODUCT(MAX(ROW(E1550:E$2)*(E1551=E1550:E$2)))))</f>
        <v> </v>
      </c>
      <c r="J1551" s="26" t="str">
        <f>IF(OR(E1551="",E1551="!!!",F1551="NEW"),"",COUNTBLANK(OFFSET(A$1,,,SUMPRODUCT(MAX(ROW(E$2:E1551)*(E1551=E$2:E1551)))))-COUNTBLANK(OFFSET(A$1,,,SUMPRODUCT(MAX(ROW(E$1:E1550)*(E2=E$1:E1550))))))</f>
        <v> </v>
      </c>
      <c r="K1551" s="26" t="str">
        <f>IF(OR(E1551="",E1551="!!!",F1551="NEW"),"",INDEX(J$1:J1550,SUMPRODUCT(MAX(ROW(E$1:E1550)*(E1551=E$1:E1550)))))</f>
        <v> </v>
      </c>
      <c r="L1551" s="27"/>
    </row>
    <row r="1552" spans="1:12">
      <c r="A1552" s="20" t="s">
        <v>110</v>
      </c>
      <c r="E1552" s="22">
        <f>IF(D1552="?OLD","!!!","")</f>
        <v/>
      </c>
      <c r="F1552" s="23" t="str">
        <f>IF(OR(E1552="",E1552="!!!"),"",IF(NOT(ISNA(VLOOKUP(E1552,E$1:E1551,1,FALSE()))),"OLD",IF(AND(E1552&lt;&gt;"",E1552&lt;&gt;"!!!"),"NEW","")))</f>
        <v> </v>
      </c>
      <c r="G1552" s="24" t="str">
        <f>IF(OR(E1552="",E1552="!!!"),"",IF(OR(J1552=0,AND(J1552=1,K1552=1),AND(J1552=1,I1552="SBJ"),AND(J1552=1,I1552=0)),"?IN_FOCUS",IF(J1552&lt;=2,"?ACTIVATED",IF(J1552&lt;&gt;"","?FAMILIAR",IF(F1552="NEW",IF(ISNA(VLOOKUP(E1552,#REF!,1,FALSE())),"?TYPE_IDENTIFIABLE","?REFERENTIAL"),"_")))))</f>
        <v> </v>
      </c>
      <c r="H1552" s="25" t="str">
        <f>IF(J1552&lt;&gt;1,"",IF(I1552="SBJ","CB","?"))</f>
        <v> </v>
      </c>
      <c r="I1552" s="26" t="str">
        <f>IF(OR(E1552="",E1552="!!!",F1552="NEW"),"",INDEX(B1551:B$2,-1+SUMPRODUCT(MAX(ROW(E1551:E$2)*(E1552=E1551:E$2)))))</f>
        <v> </v>
      </c>
      <c r="J1552" s="26" t="str">
        <f>IF(OR(E1552="",E1552="!!!",F1552="NEW"),"",COUNTBLANK(OFFSET(A$1,,,SUMPRODUCT(MAX(ROW(E$2:E1552)*(E1552=E$2:E1552)))))-COUNTBLANK(OFFSET(A$1,,,SUMPRODUCT(MAX(ROW(E$1:E1551)*(E2=E$1:E1551))))))</f>
        <v> </v>
      </c>
      <c r="K1552" s="26" t="str">
        <f>IF(OR(E1552="",E1552="!!!",F1552="NEW"),"",INDEX(J$1:J1551,SUMPRODUCT(MAX(ROW(E$1:E1551)*(E1552=E$1:E1551)))))</f>
        <v> </v>
      </c>
      <c r="L1552" s="27"/>
    </row>
    <row r="1553" spans="1:12">
      <c r="A1553" s="20" t="s">
        <v>1140</v>
      </c>
      <c r="B1553" s="21" t="s">
        <v>1134</v>
      </c>
      <c r="C1553" s="21" t="s">
        <v>1073</v>
      </c>
      <c r="D1553" s="21" t="s">
        <v>1007</v>
      </c>
      <c r="E1553" s="22">
        <f>IF(D1553="?OLD","!!!","")</f>
        <v/>
      </c>
      <c r="F1553" s="23" t="str">
        <f>IF(OR(E1553="",E1553="!!!"),"",IF(NOT(ISNA(VLOOKUP(E1553,E$1:E1552,1,FALSE()))),"OLD",IF(AND(E1553&lt;&gt;"",E1553&lt;&gt;"!!!"),"NEW","")))</f>
        <v> </v>
      </c>
      <c r="G1553" s="24" t="str">
        <f>IF(OR(E1553="",E1553="!!!"),"",IF(OR(J1553=0,AND(J1553=1,K1553=1),AND(J1553=1,I1553="SBJ"),AND(J1553=1,I1553=0)),"?IN_FOCUS",IF(J1553&lt;=2,"?ACTIVATED",IF(J1553&lt;&gt;"","?FAMILIAR",IF(F1553="NEW",IF(ISNA(VLOOKUP(E1553,#REF!,1,FALSE())),"?TYPE_IDENTIFIABLE","?REFERENTIAL"),"_")))))</f>
        <v> </v>
      </c>
      <c r="H1553" s="25" t="str">
        <f>IF(J1553&lt;&gt;1,"",IF(I1553="SBJ","CB","?"))</f>
        <v> </v>
      </c>
      <c r="I1553" s="26" t="str">
        <f>IF(OR(E1553="",E1553="!!!",F1553="NEW"),"",INDEX(B1552:B$2,-1+SUMPRODUCT(MAX(ROW(E1552:E$2)*(E1553=E1552:E$2)))))</f>
        <v> </v>
      </c>
      <c r="J1553" s="26" t="str">
        <f>IF(OR(E1553="",E1553="!!!",F1553="NEW"),"",COUNTBLANK(OFFSET(A$1,,,SUMPRODUCT(MAX(ROW(E$2:E1553)*(E1553=E$2:E1553)))))-COUNTBLANK(OFFSET(A$1,,,SUMPRODUCT(MAX(ROW(E$1:E1552)*(E2=E$1:E1552))))))</f>
        <v> </v>
      </c>
      <c r="K1553" s="26" t="str">
        <f>IF(OR(E1553="",E1553="!!!",F1553="NEW"),"",INDEX(J$1:J1552,SUMPRODUCT(MAX(ROW(E$1:E1552)*(E1553=E$1:E1552)))))</f>
        <v> </v>
      </c>
      <c r="L1553" s="27"/>
    </row>
    <row r="1554" spans="1:12">
      <c r="A1554" s="20" t="s">
        <v>1182</v>
      </c>
      <c r="E1554" s="22">
        <f>IF(D1554="?OLD","!!!","")</f>
        <v/>
      </c>
      <c r="F1554" s="23" t="str">
        <f>IF(OR(E1554="",E1554="!!!"),"",IF(NOT(ISNA(VLOOKUP(E1554,E$1:E1553,1,FALSE()))),"OLD",IF(AND(E1554&lt;&gt;"",E1554&lt;&gt;"!!!"),"NEW","")))</f>
        <v> </v>
      </c>
      <c r="G1554" s="24" t="str">
        <f>IF(OR(E1554="",E1554="!!!"),"",IF(OR(J1554=0,AND(J1554=1,K1554=1),AND(J1554=1,I1554="SBJ"),AND(J1554=1,I1554=0)),"?IN_FOCUS",IF(J1554&lt;=2,"?ACTIVATED",IF(J1554&lt;&gt;"","?FAMILIAR",IF(F1554="NEW",IF(ISNA(VLOOKUP(E1554,#REF!,1,FALSE())),"?TYPE_IDENTIFIABLE","?REFERENTIAL"),"_")))))</f>
        <v> </v>
      </c>
      <c r="H1554" s="25" t="str">
        <f>IF(J1554&lt;&gt;1,"",IF(I1554="SBJ","CB","?"))</f>
        <v> </v>
      </c>
      <c r="I1554" s="26" t="str">
        <f>IF(OR(E1554="",E1554="!!!",F1554="NEW"),"",INDEX(B1553:B$2,-1+SUMPRODUCT(MAX(ROW(E1553:E$2)*(E1554=E1553:E$2)))))</f>
        <v> </v>
      </c>
      <c r="J1554" s="26" t="str">
        <f>IF(OR(E1554="",E1554="!!!",F1554="NEW"),"",COUNTBLANK(OFFSET(A$1,,,SUMPRODUCT(MAX(ROW(E$2:E1554)*(E1554=E$2:E1554)))))-COUNTBLANK(OFFSET(A$1,,,SUMPRODUCT(MAX(ROW(E$1:E1553)*(E2=E$1:E1553))))))</f>
        <v> </v>
      </c>
      <c r="K1554" s="26" t="str">
        <f>IF(OR(E1554="",E1554="!!!",F1554="NEW"),"",INDEX(J$1:J1553,SUMPRODUCT(MAX(ROW(E$1:E1553)*(E1554=E$1:E1553)))))</f>
        <v> </v>
      </c>
      <c r="L1554" s="27"/>
    </row>
    <row r="1555" spans="1:12">
      <c r="A1555" s="20" t="s">
        <v>1056</v>
      </c>
      <c r="E1555" s="22">
        <f>IF(D1555="?OLD","!!!","")</f>
        <v/>
      </c>
      <c r="F1555" s="23" t="str">
        <f>IF(OR(E1555="",E1555="!!!"),"",IF(NOT(ISNA(VLOOKUP(E1555,E$1:E1554,1,FALSE()))),"OLD",IF(AND(E1555&lt;&gt;"",E1555&lt;&gt;"!!!"),"NEW","")))</f>
        <v> </v>
      </c>
      <c r="G1555" s="24" t="str">
        <f>IF(OR(E1555="",E1555="!!!"),"",IF(OR(J1555=0,AND(J1555=1,K1555=1),AND(J1555=1,I1555="SBJ"),AND(J1555=1,I1555=0)),"?IN_FOCUS",IF(J1555&lt;=2,"?ACTIVATED",IF(J1555&lt;&gt;"","?FAMILIAR",IF(F1555="NEW",IF(ISNA(VLOOKUP(E1555,#REF!,1,FALSE())),"?TYPE_IDENTIFIABLE","?REFERENTIAL"),"_")))))</f>
        <v> </v>
      </c>
      <c r="H1555" s="25" t="str">
        <f>IF(J1555&lt;&gt;1,"",IF(I1555="SBJ","CB","?"))</f>
        <v> </v>
      </c>
      <c r="I1555" s="26" t="str">
        <f>IF(OR(E1555="",E1555="!!!",F1555="NEW"),"",INDEX(B1554:B$2,-1+SUMPRODUCT(MAX(ROW(E1554:E$2)*(E1555=E1554:E$2)))))</f>
        <v> </v>
      </c>
      <c r="J1555" s="26" t="str">
        <f>IF(OR(E1555="",E1555="!!!",F1555="NEW"),"",COUNTBLANK(OFFSET(A$1,,,SUMPRODUCT(MAX(ROW(E$2:E1555)*(E1555=E$2:E1555)))))-COUNTBLANK(OFFSET(A$1,,,SUMPRODUCT(MAX(ROW(E$1:E1554)*(E2=E$1:E1554))))))</f>
        <v> </v>
      </c>
      <c r="K1555" s="26" t="str">
        <f>IF(OR(E1555="",E1555="!!!",F1555="NEW"),"",INDEX(J$1:J1554,SUMPRODUCT(MAX(ROW(E$1:E1554)*(E1555=E$1:E1554)))))</f>
        <v> </v>
      </c>
      <c r="L1555" s="27"/>
    </row>
    <row r="1556" spans="1:12">
      <c r="A1556" s="20" t="s">
        <v>1581</v>
      </c>
      <c r="B1556" s="21" t="s">
        <v>1130</v>
      </c>
      <c r="C1556" s="21" t="s">
        <v>1013</v>
      </c>
      <c r="D1556" s="21" t="s">
        <v>1007</v>
      </c>
      <c r="E1556" s="22">
        <f>IF(D1556="?OLD","!!!","")</f>
        <v/>
      </c>
      <c r="F1556" s="23" t="str">
        <f>IF(OR(E1556="",E1556="!!!"),"",IF(NOT(ISNA(VLOOKUP(E1556,E$1:E1555,1,FALSE()))),"OLD",IF(AND(E1556&lt;&gt;"",E1556&lt;&gt;"!!!"),"NEW","")))</f>
        <v> </v>
      </c>
      <c r="G1556" s="24" t="str">
        <f>IF(OR(E1556="",E1556="!!!"),"",IF(OR(J1556=0,AND(J1556=1,K1556=1),AND(J1556=1,I1556="SBJ"),AND(J1556=1,I1556=0)),"?IN_FOCUS",IF(J1556&lt;=2,"?ACTIVATED",IF(J1556&lt;&gt;"","?FAMILIAR",IF(F1556="NEW",IF(ISNA(VLOOKUP(E1556,#REF!,1,FALSE())),"?TYPE_IDENTIFIABLE","?REFERENTIAL"),"_")))))</f>
        <v> </v>
      </c>
      <c r="H1556" s="25" t="str">
        <f>IF(J1556&lt;&gt;1,"",IF(I1556="SBJ","CB","?"))</f>
        <v> </v>
      </c>
      <c r="I1556" s="26" t="str">
        <f>IF(OR(E1556="",E1556="!!!",F1556="NEW"),"",INDEX(B1555:B$2,-1+SUMPRODUCT(MAX(ROW(E1555:E$2)*(E1556=E1555:E$2)))))</f>
        <v> </v>
      </c>
      <c r="J1556" s="26" t="str">
        <f>IF(OR(E1556="",E1556="!!!",F1556="NEW"),"",COUNTBLANK(OFFSET(A$1,,,SUMPRODUCT(MAX(ROW(E$2:E1556)*(E1556=E$2:E1556)))))-COUNTBLANK(OFFSET(A$1,,,SUMPRODUCT(MAX(ROW(E$1:E1555)*(E2=E$1:E1555))))))</f>
        <v> </v>
      </c>
      <c r="K1556" s="26" t="str">
        <f>IF(OR(E1556="",E1556="!!!",F1556="NEW"),"",INDEX(J$1:J1555,SUMPRODUCT(MAX(ROW(E$1:E1555)*(E1556=E$1:E1555)))))</f>
        <v> </v>
      </c>
      <c r="L1556" s="27"/>
    </row>
    <row r="1557" spans="1:12">
      <c r="A1557" s="20" t="s">
        <v>1014</v>
      </c>
      <c r="E1557" s="22">
        <f>IF(D1557="?OLD","!!!","")</f>
        <v/>
      </c>
      <c r="F1557" s="23" t="str">
        <f>IF(OR(E1557="",E1557="!!!"),"",IF(NOT(ISNA(VLOOKUP(E1557,E$1:E1556,1,FALSE()))),"OLD",IF(AND(E1557&lt;&gt;"",E1557&lt;&gt;"!!!"),"NEW","")))</f>
        <v> </v>
      </c>
      <c r="G1557" s="24" t="str">
        <f>IF(OR(E1557="",E1557="!!!"),"",IF(OR(J1557=0,AND(J1557=1,K1557=1),AND(J1557=1,I1557="SBJ"),AND(J1557=1,I1557=0)),"?IN_FOCUS",IF(J1557&lt;=2,"?ACTIVATED",IF(J1557&lt;&gt;"","?FAMILIAR",IF(F1557="NEW",IF(ISNA(VLOOKUP(E1557,#REF!,1,FALSE())),"?TYPE_IDENTIFIABLE","?REFERENTIAL"),"_")))))</f>
        <v> </v>
      </c>
      <c r="H1557" s="25" t="str">
        <f>IF(J1557&lt;&gt;1,"",IF(I1557="SBJ","CB","?"))</f>
        <v> </v>
      </c>
      <c r="I1557" s="26" t="str">
        <f>IF(OR(E1557="",E1557="!!!",F1557="NEW"),"",INDEX(B1556:B$2,-1+SUMPRODUCT(MAX(ROW(E1556:E$2)*(E1557=E1556:E$2)))))</f>
        <v> </v>
      </c>
      <c r="J1557" s="26" t="str">
        <f>IF(OR(E1557="",E1557="!!!",F1557="NEW"),"",COUNTBLANK(OFFSET(A$1,,,SUMPRODUCT(MAX(ROW(E$2:E1557)*(E1557=E$2:E1557)))))-COUNTBLANK(OFFSET(A$1,,,SUMPRODUCT(MAX(ROW(E$1:E1556)*(E2=E$1:E1556))))))</f>
        <v> </v>
      </c>
      <c r="K1557" s="26" t="str">
        <f>IF(OR(E1557="",E1557="!!!",F1557="NEW"),"",INDEX(J$1:J1556,SUMPRODUCT(MAX(ROW(E$1:E1556)*(E1557=E$1:E1556)))))</f>
        <v> </v>
      </c>
      <c r="L1557" s="27"/>
    </row>
    <row r="1558" spans="1:12">
      <c r="A1558" s="20" t="s">
        <v>1582</v>
      </c>
      <c r="B1558" s="21" t="s">
        <v>1040</v>
      </c>
      <c r="C1558" s="21" t="s">
        <v>1048</v>
      </c>
      <c r="E1558" s="22">
        <f>IF(D1558="?OLD","!!!","")</f>
        <v/>
      </c>
      <c r="F1558" s="23" t="str">
        <f>IF(OR(E1558="",E1558="!!!"),"",IF(NOT(ISNA(VLOOKUP(E1558,E$1:E1557,1,FALSE()))),"OLD",IF(AND(E1558&lt;&gt;"",E1558&lt;&gt;"!!!"),"NEW","")))</f>
        <v> </v>
      </c>
      <c r="G1558" s="24" t="str">
        <f>IF(OR(E1558="",E1558="!!!"),"",IF(OR(J1558=0,AND(J1558=1,K1558=1),AND(J1558=1,I1558="SBJ"),AND(J1558=1,I1558=0)),"?IN_FOCUS",IF(J1558&lt;=2,"?ACTIVATED",IF(J1558&lt;&gt;"","?FAMILIAR",IF(F1558="NEW",IF(ISNA(VLOOKUP(E1558,#REF!,1,FALSE())),"?TYPE_IDENTIFIABLE","?REFERENTIAL"),"_")))))</f>
        <v> </v>
      </c>
      <c r="H1558" s="25" t="str">
        <f>IF(J1558&lt;&gt;1,"",IF(I1558="SBJ","CB","?"))</f>
        <v> </v>
      </c>
      <c r="I1558" s="26" t="str">
        <f>IF(OR(E1558="",E1558="!!!",F1558="NEW"),"",INDEX(B1557:B$2,-1+SUMPRODUCT(MAX(ROW(E1557:E$2)*(E1558=E1557:E$2)))))</f>
        <v> </v>
      </c>
      <c r="J1558" s="26" t="str">
        <f>IF(OR(E1558="",E1558="!!!",F1558="NEW"),"",COUNTBLANK(OFFSET(A$1,,,SUMPRODUCT(MAX(ROW(E$2:E1558)*(E1558=E$2:E1558)))))-COUNTBLANK(OFFSET(A$1,,,SUMPRODUCT(MAX(ROW(E$1:E1557)*(E2=E$1:E1557))))))</f>
        <v> </v>
      </c>
      <c r="K1558" s="26" t="str">
        <f>IF(OR(E1558="",E1558="!!!",F1558="NEW"),"",INDEX(J$1:J1557,SUMPRODUCT(MAX(ROW(E$1:E1557)*(E1558=E$1:E1557)))))</f>
        <v> </v>
      </c>
      <c r="L1558" s="27"/>
    </row>
    <row r="1559" spans="1:12">
      <c r="A1559" s="20" t="s">
        <v>1018</v>
      </c>
      <c r="E1559" s="22">
        <f>IF(D1559="?OLD","!!!","")</f>
        <v/>
      </c>
      <c r="F1559" s="23" t="str">
        <f>IF(OR(E1559="",E1559="!!!"),"",IF(NOT(ISNA(VLOOKUP(E1559,E$1:E1558,1,FALSE()))),"OLD",IF(AND(E1559&lt;&gt;"",E1559&lt;&gt;"!!!"),"NEW","")))</f>
        <v> </v>
      </c>
      <c r="G1559" s="24" t="str">
        <f>IF(OR(E1559="",E1559="!!!"),"",IF(OR(J1559=0,AND(J1559=1,K1559=1),AND(J1559=1,I1559="SBJ"),AND(J1559=1,I1559=0)),"?IN_FOCUS",IF(J1559&lt;=2,"?ACTIVATED",IF(J1559&lt;&gt;"","?FAMILIAR",IF(F1559="NEW",IF(ISNA(VLOOKUP(E1559,#REF!,1,FALSE())),"?TYPE_IDENTIFIABLE","?REFERENTIAL"),"_")))))</f>
        <v> </v>
      </c>
      <c r="H1559" s="25" t="str">
        <f>IF(J1559&lt;&gt;1,"",IF(I1559="SBJ","CB","?"))</f>
        <v> </v>
      </c>
      <c r="I1559" s="26" t="str">
        <f>IF(OR(E1559="",E1559="!!!",F1559="NEW"),"",INDEX(B1558:B$2,-1+SUMPRODUCT(MAX(ROW(E1558:E$2)*(E1559=E1558:E$2)))))</f>
        <v> </v>
      </c>
      <c r="J1559" s="26" t="str">
        <f>IF(OR(E1559="",E1559="!!!",F1559="NEW"),"",COUNTBLANK(OFFSET(A$1,,,SUMPRODUCT(MAX(ROW(E$2:E1559)*(E1559=E$2:E1559)))))-COUNTBLANK(OFFSET(A$1,,,SUMPRODUCT(MAX(ROW(E$1:E1558)*(E2=E$1:E1558))))))</f>
        <v> </v>
      </c>
      <c r="K1559" s="26" t="str">
        <f>IF(OR(E1559="",E1559="!!!",F1559="NEW"),"",INDEX(J$1:J1558,SUMPRODUCT(MAX(ROW(E$1:E1558)*(E1559=E$1:E1558)))))</f>
        <v> </v>
      </c>
      <c r="L1559" s="27"/>
    </row>
    <row r="1560" spans="1:12">
      <c r="A1560" s="20" t="s">
        <v>1189</v>
      </c>
      <c r="E1560" s="22">
        <f>IF(D1560="?OLD","!!!","")</f>
        <v/>
      </c>
      <c r="F1560" s="23" t="str">
        <f>IF(OR(E1560="",E1560="!!!"),"",IF(NOT(ISNA(VLOOKUP(E1560,E$1:E1559,1,FALSE()))),"OLD",IF(AND(E1560&lt;&gt;"",E1560&lt;&gt;"!!!"),"NEW","")))</f>
        <v> </v>
      </c>
      <c r="G1560" s="24" t="str">
        <f>IF(OR(E1560="",E1560="!!!"),"",IF(OR(J1560=0,AND(J1560=1,K1560=1),AND(J1560=1,I1560="SBJ"),AND(J1560=1,I1560=0)),"?IN_FOCUS",IF(J1560&lt;=2,"?ACTIVATED",IF(J1560&lt;&gt;"","?FAMILIAR",IF(F1560="NEW",IF(ISNA(VLOOKUP(E1560,#REF!,1,FALSE())),"?TYPE_IDENTIFIABLE","?REFERENTIAL"),"_")))))</f>
        <v> </v>
      </c>
      <c r="H1560" s="25" t="str">
        <f>IF(J1560&lt;&gt;1,"",IF(I1560="SBJ","CB","?"))</f>
        <v> </v>
      </c>
      <c r="I1560" s="26" t="str">
        <f>IF(OR(E1560="",E1560="!!!",F1560="NEW"),"",INDEX(B1559:B$2,-1+SUMPRODUCT(MAX(ROW(E1559:E$2)*(E1560=E1559:E$2)))))</f>
        <v> </v>
      </c>
      <c r="J1560" s="26" t="str">
        <f>IF(OR(E1560="",E1560="!!!",F1560="NEW"),"",COUNTBLANK(OFFSET(A$1,,,SUMPRODUCT(MAX(ROW(E$2:E1560)*(E1560=E$2:E1560)))))-COUNTBLANK(OFFSET(A$1,,,SUMPRODUCT(MAX(ROW(E$1:E1559)*(E2=E$1:E1559))))))</f>
        <v> </v>
      </c>
      <c r="K1560" s="26" t="str">
        <f>IF(OR(E1560="",E1560="!!!",F1560="NEW"),"",INDEX(J$1:J1559,SUMPRODUCT(MAX(ROW(E$1:E1559)*(E1560=E$1:E1559)))))</f>
        <v> </v>
      </c>
      <c r="L1560" s="27"/>
    </row>
    <row r="1561" spans="1:12">
      <c r="A1561" s="20" t="s">
        <v>1583</v>
      </c>
      <c r="E1561" s="22">
        <f>IF(D1561="?OLD","!!!","")</f>
        <v/>
      </c>
      <c r="F1561" s="23" t="str">
        <f>IF(OR(E1561="",E1561="!!!"),"",IF(NOT(ISNA(VLOOKUP(E1561,E$1:E1560,1,FALSE()))),"OLD",IF(AND(E1561&lt;&gt;"",E1561&lt;&gt;"!!!"),"NEW","")))</f>
        <v> </v>
      </c>
      <c r="G1561" s="24" t="str">
        <f>IF(OR(E1561="",E1561="!!!"),"",IF(OR(J1561=0,AND(J1561=1,K1561=1),AND(J1561=1,I1561="SBJ"),AND(J1561=1,I1561=0)),"?IN_FOCUS",IF(J1561&lt;=2,"?ACTIVATED",IF(J1561&lt;&gt;"","?FAMILIAR",IF(F1561="NEW",IF(ISNA(VLOOKUP(E1561,#REF!,1,FALSE())),"?TYPE_IDENTIFIABLE","?REFERENTIAL"),"_")))))</f>
        <v> </v>
      </c>
      <c r="H1561" s="25" t="str">
        <f>IF(J1561&lt;&gt;1,"",IF(I1561="SBJ","CB","?"))</f>
        <v> </v>
      </c>
      <c r="I1561" s="26" t="str">
        <f>IF(OR(E1561="",E1561="!!!",F1561="NEW"),"",INDEX(B1560:B$2,-1+SUMPRODUCT(MAX(ROW(E1560:E$2)*(E1561=E1560:E$2)))))</f>
        <v> </v>
      </c>
      <c r="J1561" s="26" t="str">
        <f>IF(OR(E1561="",E1561="!!!",F1561="NEW"),"",COUNTBLANK(OFFSET(A$1,,,SUMPRODUCT(MAX(ROW(E$2:E1561)*(E1561=E$2:E1561)))))-COUNTBLANK(OFFSET(A$1,,,SUMPRODUCT(MAX(ROW(E$1:E1560)*(E2=E$1:E1560))))))</f>
        <v> </v>
      </c>
      <c r="K1561" s="26" t="str">
        <f>IF(OR(E1561="",E1561="!!!",F1561="NEW"),"",INDEX(J$1:J1560,SUMPRODUCT(MAX(ROW(E$1:E1560)*(E1561=E$1:E1560)))))</f>
        <v> </v>
      </c>
      <c r="L1561" s="27"/>
    </row>
    <row r="1562" spans="1:12">
      <c r="A1562" s="20" t="s">
        <v>110</v>
      </c>
      <c r="E1562" s="22">
        <f>IF(D1562="?OLD","!!!","")</f>
        <v/>
      </c>
      <c r="F1562" s="23" t="str">
        <f>IF(OR(E1562="",E1562="!!!"),"",IF(NOT(ISNA(VLOOKUP(E1562,E$1:E1561,1,FALSE()))),"OLD",IF(AND(E1562&lt;&gt;"",E1562&lt;&gt;"!!!"),"NEW","")))</f>
        <v> </v>
      </c>
      <c r="G1562" s="24" t="str">
        <f>IF(OR(E1562="",E1562="!!!"),"",IF(OR(J1562=0,AND(J1562=1,K1562=1),AND(J1562=1,I1562="SBJ"),AND(J1562=1,I1562=0)),"?IN_FOCUS",IF(J1562&lt;=2,"?ACTIVATED",IF(J1562&lt;&gt;"","?FAMILIAR",IF(F1562="NEW",IF(ISNA(VLOOKUP(E1562,#REF!,1,FALSE())),"?TYPE_IDENTIFIABLE","?REFERENTIAL"),"_")))))</f>
        <v> </v>
      </c>
      <c r="H1562" s="25" t="str">
        <f>IF(J1562&lt;&gt;1,"",IF(I1562="SBJ","CB","?"))</f>
        <v> </v>
      </c>
      <c r="I1562" s="26" t="str">
        <f>IF(OR(E1562="",E1562="!!!",F1562="NEW"),"",INDEX(B1561:B$2,-1+SUMPRODUCT(MAX(ROW(E1561:E$2)*(E1562=E1561:E$2)))))</f>
        <v> </v>
      </c>
      <c r="J1562" s="26" t="str">
        <f>IF(OR(E1562="",E1562="!!!",F1562="NEW"),"",COUNTBLANK(OFFSET(A$1,,,SUMPRODUCT(MAX(ROW(E$2:E1562)*(E1562=E$2:E1562)))))-COUNTBLANK(OFFSET(A$1,,,SUMPRODUCT(MAX(ROW(E$1:E1561)*(E2=E$1:E1561))))))</f>
        <v> </v>
      </c>
      <c r="K1562" s="26" t="str">
        <f>IF(OR(E1562="",E1562="!!!",F1562="NEW"),"",INDEX(J$1:J1561,SUMPRODUCT(MAX(ROW(E$1:E1561)*(E1562=E$1:E1561)))))</f>
        <v> </v>
      </c>
      <c r="L1562" s="27"/>
    </row>
    <row r="1563" spans="1:12">
      <c r="A1563" s="20" t="s">
        <v>1140</v>
      </c>
      <c r="B1563" s="21" t="s">
        <v>1066</v>
      </c>
      <c r="C1563" s="21" t="s">
        <v>1073</v>
      </c>
      <c r="D1563" s="21" t="s">
        <v>1007</v>
      </c>
      <c r="E1563" s="22">
        <f>IF(D1563="?OLD","!!!","")</f>
        <v/>
      </c>
      <c r="F1563" s="23" t="str">
        <f>IF(OR(E1563="",E1563="!!!"),"",IF(NOT(ISNA(VLOOKUP(E1563,E$1:E1562,1,FALSE()))),"OLD",IF(AND(E1563&lt;&gt;"",E1563&lt;&gt;"!!!"),"NEW","")))</f>
        <v> </v>
      </c>
      <c r="G1563" s="24" t="str">
        <f>IF(OR(E1563="",E1563="!!!"),"",IF(OR(J1563=0,AND(J1563=1,K1563=1),AND(J1563=1,I1563="SBJ"),AND(J1563=1,I1563=0)),"?IN_FOCUS",IF(J1563&lt;=2,"?ACTIVATED",IF(J1563&lt;&gt;"","?FAMILIAR",IF(F1563="NEW",IF(ISNA(VLOOKUP(E1563,#REF!,1,FALSE())),"?TYPE_IDENTIFIABLE","?REFERENTIAL"),"_")))))</f>
        <v> </v>
      </c>
      <c r="H1563" s="25" t="str">
        <f>IF(J1563&lt;&gt;1,"",IF(I1563="SBJ","CB","?"))</f>
        <v> </v>
      </c>
      <c r="I1563" s="26" t="str">
        <f>IF(OR(E1563="",E1563="!!!",F1563="NEW"),"",INDEX(B1562:B$2,-1+SUMPRODUCT(MAX(ROW(E1562:E$2)*(E1563=E1562:E$2)))))</f>
        <v> </v>
      </c>
      <c r="J1563" s="26" t="str">
        <f>IF(OR(E1563="",E1563="!!!",F1563="NEW"),"",COUNTBLANK(OFFSET(A$1,,,SUMPRODUCT(MAX(ROW(E$2:E1563)*(E1563=E$2:E1563)))))-COUNTBLANK(OFFSET(A$1,,,SUMPRODUCT(MAX(ROW(E$1:E1562)*(E2=E$1:E1562))))))</f>
        <v> </v>
      </c>
      <c r="K1563" s="26" t="str">
        <f>IF(OR(E1563="",E1563="!!!",F1563="NEW"),"",INDEX(J$1:J1562,SUMPRODUCT(MAX(ROW(E$1:E1562)*(E1563=E$1:E1562)))))</f>
        <v> </v>
      </c>
      <c r="L1563" s="27"/>
    </row>
    <row r="1564" spans="1:12">
      <c r="A1564" s="20" t="s">
        <v>1189</v>
      </c>
      <c r="E1564" s="22">
        <f>IF(D1564="?OLD","!!!","")</f>
        <v/>
      </c>
      <c r="F1564" s="23" t="str">
        <f>IF(OR(E1564="",E1564="!!!"),"",IF(NOT(ISNA(VLOOKUP(E1564,E$1:E1563,1,FALSE()))),"OLD",IF(AND(E1564&lt;&gt;"",E1564&lt;&gt;"!!!"),"NEW","")))</f>
        <v> </v>
      </c>
      <c r="G1564" s="24" t="str">
        <f>IF(OR(E1564="",E1564="!!!"),"",IF(OR(J1564=0,AND(J1564=1,K1564=1),AND(J1564=1,I1564="SBJ"),AND(J1564=1,I1564=0)),"?IN_FOCUS",IF(J1564&lt;=2,"?ACTIVATED",IF(J1564&lt;&gt;"","?FAMILIAR",IF(F1564="NEW",IF(ISNA(VLOOKUP(E1564,#REF!,1,FALSE())),"?TYPE_IDENTIFIABLE","?REFERENTIAL"),"_")))))</f>
        <v> </v>
      </c>
      <c r="H1564" s="25" t="str">
        <f>IF(J1564&lt;&gt;1,"",IF(I1564="SBJ","CB","?"))</f>
        <v> </v>
      </c>
      <c r="I1564" s="26" t="str">
        <f>IF(OR(E1564="",E1564="!!!",F1564="NEW"),"",INDEX(B1563:B$2,-1+SUMPRODUCT(MAX(ROW(E1563:E$2)*(E1564=E1563:E$2)))))</f>
        <v> </v>
      </c>
      <c r="J1564" s="26" t="str">
        <f>IF(OR(E1564="",E1564="!!!",F1564="NEW"),"",COUNTBLANK(OFFSET(A$1,,,SUMPRODUCT(MAX(ROW(E$2:E1564)*(E1564=E$2:E1564)))))-COUNTBLANK(OFFSET(A$1,,,SUMPRODUCT(MAX(ROW(E$1:E1563)*(E2=E$1:E1563))))))</f>
        <v> </v>
      </c>
      <c r="K1564" s="26" t="str">
        <f>IF(OR(E1564="",E1564="!!!",F1564="NEW"),"",INDEX(J$1:J1563,SUMPRODUCT(MAX(ROW(E$1:E1563)*(E1564=E$1:E1563)))))</f>
        <v> </v>
      </c>
      <c r="L1564" s="27"/>
    </row>
    <row r="1565" spans="1:12">
      <c r="A1565" s="20" t="s">
        <v>1114</v>
      </c>
      <c r="E1565" s="22">
        <f>IF(D1565="?OLD","!!!","")</f>
        <v/>
      </c>
      <c r="F1565" s="23" t="str">
        <f>IF(OR(E1565="",E1565="!!!"),"",IF(NOT(ISNA(VLOOKUP(E1565,E$1:E1564,1,FALSE()))),"OLD",IF(AND(E1565&lt;&gt;"",E1565&lt;&gt;"!!!"),"NEW","")))</f>
        <v> </v>
      </c>
      <c r="G1565" s="24" t="str">
        <f>IF(OR(E1565="",E1565="!!!"),"",IF(OR(J1565=0,AND(J1565=1,K1565=1),AND(J1565=1,I1565="SBJ"),AND(J1565=1,I1565=0)),"?IN_FOCUS",IF(J1565&lt;=2,"?ACTIVATED",IF(J1565&lt;&gt;"","?FAMILIAR",IF(F1565="NEW",IF(ISNA(VLOOKUP(E1565,#REF!,1,FALSE())),"?TYPE_IDENTIFIABLE","?REFERENTIAL"),"_")))))</f>
        <v> </v>
      </c>
      <c r="H1565" s="25" t="str">
        <f>IF(J1565&lt;&gt;1,"",IF(I1565="SBJ","CB","?"))</f>
        <v> </v>
      </c>
      <c r="I1565" s="26" t="str">
        <f>IF(OR(E1565="",E1565="!!!",F1565="NEW"),"",INDEX(B1564:B$2,-1+SUMPRODUCT(MAX(ROW(E1564:E$2)*(E1565=E1564:E$2)))))</f>
        <v> </v>
      </c>
      <c r="J1565" s="26" t="str">
        <f>IF(OR(E1565="",E1565="!!!",F1565="NEW"),"",COUNTBLANK(OFFSET(A$1,,,SUMPRODUCT(MAX(ROW(E$2:E1565)*(E1565=E$2:E1565)))))-COUNTBLANK(OFFSET(A$1,,,SUMPRODUCT(MAX(ROW(E$1:E1564)*(E2=E$1:E1564))))))</f>
        <v> </v>
      </c>
      <c r="K1565" s="26" t="str">
        <f>IF(OR(E1565="",E1565="!!!",F1565="NEW"),"",INDEX(J$1:J1564,SUMPRODUCT(MAX(ROW(E$1:E1564)*(E1565=E$1:E1564)))))</f>
        <v> </v>
      </c>
      <c r="L1565" s="27"/>
    </row>
    <row r="1566" spans="1:12">
      <c r="A1566" s="20" t="s">
        <v>1584</v>
      </c>
      <c r="E1566" s="22">
        <f>IF(D1566="?OLD","!!!","")</f>
        <v/>
      </c>
      <c r="F1566" s="23" t="str">
        <f>IF(OR(E1566="",E1566="!!!"),"",IF(NOT(ISNA(VLOOKUP(E1566,E$1:E1565,1,FALSE()))),"OLD",IF(AND(E1566&lt;&gt;"",E1566&lt;&gt;"!!!"),"NEW","")))</f>
        <v> </v>
      </c>
      <c r="G1566" s="24" t="str">
        <f>IF(OR(E1566="",E1566="!!!"),"",IF(OR(J1566=0,AND(J1566=1,K1566=1),AND(J1566=1,I1566="SBJ"),AND(J1566=1,I1566=0)),"?IN_FOCUS",IF(J1566&lt;=2,"?ACTIVATED",IF(J1566&lt;&gt;"","?FAMILIAR",IF(F1566="NEW",IF(ISNA(VLOOKUP(E1566,#REF!,1,FALSE())),"?TYPE_IDENTIFIABLE","?REFERENTIAL"),"_")))))</f>
        <v> </v>
      </c>
      <c r="H1566" s="25" t="str">
        <f>IF(J1566&lt;&gt;1,"",IF(I1566="SBJ","CB","?"))</f>
        <v> </v>
      </c>
      <c r="I1566" s="26" t="str">
        <f>IF(OR(E1566="",E1566="!!!",F1566="NEW"),"",INDEX(B1565:B$2,-1+SUMPRODUCT(MAX(ROW(E1565:E$2)*(E1566=E1565:E$2)))))</f>
        <v> </v>
      </c>
      <c r="J1566" s="26" t="str">
        <f>IF(OR(E1566="",E1566="!!!",F1566="NEW"),"",COUNTBLANK(OFFSET(A$1,,,SUMPRODUCT(MAX(ROW(E$2:E1566)*(E1566=E$2:E1566)))))-COUNTBLANK(OFFSET(A$1,,,SUMPRODUCT(MAX(ROW(E$1:E1565)*(E2=E$1:E1565))))))</f>
        <v> </v>
      </c>
      <c r="K1566" s="26" t="str">
        <f>IF(OR(E1566="",E1566="!!!",F1566="NEW"),"",INDEX(J$1:J1565,SUMPRODUCT(MAX(ROW(E$1:E1565)*(E1566=E$1:E1565)))))</f>
        <v> </v>
      </c>
      <c r="L1566" s="27"/>
    </row>
    <row r="1567" spans="1:12">
      <c r="A1567" s="20" t="s">
        <v>1585</v>
      </c>
      <c r="E1567" s="22">
        <f>IF(D1567="?OLD","!!!","")</f>
        <v/>
      </c>
      <c r="F1567" s="23" t="str">
        <f>IF(OR(E1567="",E1567="!!!"),"",IF(NOT(ISNA(VLOOKUP(E1567,E$1:E1566,1,FALSE()))),"OLD",IF(AND(E1567&lt;&gt;"",E1567&lt;&gt;"!!!"),"NEW","")))</f>
        <v> </v>
      </c>
      <c r="G1567" s="24" t="str">
        <f>IF(OR(E1567="",E1567="!!!"),"",IF(OR(J1567=0,AND(J1567=1,K1567=1),AND(J1567=1,I1567="SBJ"),AND(J1567=1,I1567=0)),"?IN_FOCUS",IF(J1567&lt;=2,"?ACTIVATED",IF(J1567&lt;&gt;"","?FAMILIAR",IF(F1567="NEW",IF(ISNA(VLOOKUP(E1567,#REF!,1,FALSE())),"?TYPE_IDENTIFIABLE","?REFERENTIAL"),"_")))))</f>
        <v> </v>
      </c>
      <c r="H1567" s="25" t="str">
        <f>IF(J1567&lt;&gt;1,"",IF(I1567="SBJ","CB","?"))</f>
        <v> </v>
      </c>
      <c r="I1567" s="26" t="str">
        <f>IF(OR(E1567="",E1567="!!!",F1567="NEW"),"",INDEX(B1566:B$2,-1+SUMPRODUCT(MAX(ROW(E1566:E$2)*(E1567=E1566:E$2)))))</f>
        <v> </v>
      </c>
      <c r="J1567" s="26" t="str">
        <f>IF(OR(E1567="",E1567="!!!",F1567="NEW"),"",COUNTBLANK(OFFSET(A$1,,,SUMPRODUCT(MAX(ROW(E$2:E1567)*(E1567=E$2:E1567)))))-COUNTBLANK(OFFSET(A$1,,,SUMPRODUCT(MAX(ROW(E$1:E1566)*(E2=E$1:E1566))))))</f>
        <v> </v>
      </c>
      <c r="K1567" s="26" t="str">
        <f>IF(OR(E1567="",E1567="!!!",F1567="NEW"),"",INDEX(J$1:J1566,SUMPRODUCT(MAX(ROW(E$1:E1566)*(E1567=E$1:E1566)))))</f>
        <v> </v>
      </c>
      <c r="L1567" s="27"/>
    </row>
    <row r="1568" spans="1:12">
      <c r="A1568" s="20" t="s">
        <v>1167</v>
      </c>
      <c r="B1568" s="21" t="s">
        <v>1487</v>
      </c>
      <c r="C1568" s="21" t="s">
        <v>1013</v>
      </c>
      <c r="D1568" s="21" t="s">
        <v>1007</v>
      </c>
      <c r="E1568" s="22">
        <f>IF(D1568="?OLD","!!!","")</f>
        <v/>
      </c>
      <c r="F1568" s="23" t="str">
        <f>IF(OR(E1568="",E1568="!!!"),"",IF(NOT(ISNA(VLOOKUP(E1568,E$1:E1567,1,FALSE()))),"OLD",IF(AND(E1568&lt;&gt;"",E1568&lt;&gt;"!!!"),"NEW","")))</f>
        <v> </v>
      </c>
      <c r="G1568" s="24" t="str">
        <f>IF(OR(E1568="",E1568="!!!"),"",IF(OR(J1568=0,AND(J1568=1,K1568=1),AND(J1568=1,I1568="SBJ"),AND(J1568=1,I1568=0)),"?IN_FOCUS",IF(J1568&lt;=2,"?ACTIVATED",IF(J1568&lt;&gt;"","?FAMILIAR",IF(F1568="NEW",IF(ISNA(VLOOKUP(E1568,#REF!,1,FALSE())),"?TYPE_IDENTIFIABLE","?REFERENTIAL"),"_")))))</f>
        <v> </v>
      </c>
      <c r="H1568" s="25" t="str">
        <f>IF(J1568&lt;&gt;1,"",IF(I1568="SBJ","CB","?"))</f>
        <v> </v>
      </c>
      <c r="I1568" s="26" t="str">
        <f>IF(OR(E1568="",E1568="!!!",F1568="NEW"),"",INDEX(B1567:B$2,-1+SUMPRODUCT(MAX(ROW(E1567:E$2)*(E1568=E1567:E$2)))))</f>
        <v> </v>
      </c>
      <c r="J1568" s="26" t="str">
        <f>IF(OR(E1568="",E1568="!!!",F1568="NEW"),"",COUNTBLANK(OFFSET(A$1,,,SUMPRODUCT(MAX(ROW(E$2:E1568)*(E1568=E$2:E1568)))))-COUNTBLANK(OFFSET(A$1,,,SUMPRODUCT(MAX(ROW(E$1:E1567)*(E2=E$1:E1567))))))</f>
        <v> </v>
      </c>
      <c r="K1568" s="26" t="str">
        <f>IF(OR(E1568="",E1568="!!!",F1568="NEW"),"",INDEX(J$1:J1567,SUMPRODUCT(MAX(ROW(E$1:E1567)*(E1568=E$1:E1567)))))</f>
        <v> </v>
      </c>
      <c r="L1568" s="27"/>
    </row>
    <row r="1569" spans="1:12">
      <c r="A1569" s="20" t="s">
        <v>1014</v>
      </c>
      <c r="E1569" s="22">
        <f>IF(D1569="?OLD","!!!","")</f>
        <v/>
      </c>
      <c r="F1569" s="23" t="str">
        <f>IF(OR(E1569="",E1569="!!!"),"",IF(NOT(ISNA(VLOOKUP(E1569,E$1:E1568,1,FALSE()))),"OLD",IF(AND(E1569&lt;&gt;"",E1569&lt;&gt;"!!!"),"NEW","")))</f>
        <v> </v>
      </c>
      <c r="G1569" s="24" t="str">
        <f>IF(OR(E1569="",E1569="!!!"),"",IF(OR(J1569=0,AND(J1569=1,K1569=1),AND(J1569=1,I1569="SBJ"),AND(J1569=1,I1569=0)),"?IN_FOCUS",IF(J1569&lt;=2,"?ACTIVATED",IF(J1569&lt;&gt;"","?FAMILIAR",IF(F1569="NEW",IF(ISNA(VLOOKUP(E1569,#REF!,1,FALSE())),"?TYPE_IDENTIFIABLE","?REFERENTIAL"),"_")))))</f>
        <v> </v>
      </c>
      <c r="H1569" s="25" t="str">
        <f>IF(J1569&lt;&gt;1,"",IF(I1569="SBJ","CB","?"))</f>
        <v> </v>
      </c>
      <c r="I1569" s="26" t="str">
        <f>IF(OR(E1569="",E1569="!!!",F1569="NEW"),"",INDEX(B1568:B$2,-1+SUMPRODUCT(MAX(ROW(E1568:E$2)*(E1569=E1568:E$2)))))</f>
        <v> </v>
      </c>
      <c r="J1569" s="26" t="str">
        <f>IF(OR(E1569="",E1569="!!!",F1569="NEW"),"",COUNTBLANK(OFFSET(A$1,,,SUMPRODUCT(MAX(ROW(E$2:E1569)*(E1569=E$2:E1569)))))-COUNTBLANK(OFFSET(A$1,,,SUMPRODUCT(MAX(ROW(E$1:E1568)*(E2=E$1:E1568))))))</f>
        <v> </v>
      </c>
      <c r="K1569" s="26" t="str">
        <f>IF(OR(E1569="",E1569="!!!",F1569="NEW"),"",INDEX(J$1:J1568,SUMPRODUCT(MAX(ROW(E$1:E1568)*(E1569=E$1:E1568)))))</f>
        <v> </v>
      </c>
      <c r="L1569" s="27"/>
    </row>
    <row r="1570" spans="1:12">
      <c r="A1570" s="20" t="s">
        <v>1586</v>
      </c>
      <c r="B1570" s="21" t="s">
        <v>1215</v>
      </c>
      <c r="C1570" s="21" t="s">
        <v>1048</v>
      </c>
      <c r="E1570" s="22">
        <f>IF(D1570="?OLD","!!!","")</f>
        <v/>
      </c>
      <c r="F1570" s="23" t="str">
        <f>IF(OR(E1570="",E1570="!!!"),"",IF(NOT(ISNA(VLOOKUP(E1570,E$1:E1569,1,FALSE()))),"OLD",IF(AND(E1570&lt;&gt;"",E1570&lt;&gt;"!!!"),"NEW","")))</f>
        <v> </v>
      </c>
      <c r="G1570" s="24" t="str">
        <f>IF(OR(E1570="",E1570="!!!"),"",IF(OR(J1570=0,AND(J1570=1,K1570=1),AND(J1570=1,I1570="SBJ"),AND(J1570=1,I1570=0)),"?IN_FOCUS",IF(J1570&lt;=2,"?ACTIVATED",IF(J1570&lt;&gt;"","?FAMILIAR",IF(F1570="NEW",IF(ISNA(VLOOKUP(E1570,#REF!,1,FALSE())),"?TYPE_IDENTIFIABLE","?REFERENTIAL"),"_")))))</f>
        <v> </v>
      </c>
      <c r="H1570" s="25" t="str">
        <f>IF(J1570&lt;&gt;1,"",IF(I1570="SBJ","CB","?"))</f>
        <v> </v>
      </c>
      <c r="I1570" s="26" t="str">
        <f>IF(OR(E1570="",E1570="!!!",F1570="NEW"),"",INDEX(B1569:B$2,-1+SUMPRODUCT(MAX(ROW(E1569:E$2)*(E1570=E1569:E$2)))))</f>
        <v> </v>
      </c>
      <c r="J1570" s="26" t="str">
        <f>IF(OR(E1570="",E1570="!!!",F1570="NEW"),"",COUNTBLANK(OFFSET(A$1,,,SUMPRODUCT(MAX(ROW(E$2:E1570)*(E1570=E$2:E1570)))))-COUNTBLANK(OFFSET(A$1,,,SUMPRODUCT(MAX(ROW(E$1:E1569)*(E2=E$1:E1569))))))</f>
        <v> </v>
      </c>
      <c r="K1570" s="26" t="str">
        <f>IF(OR(E1570="",E1570="!!!",F1570="NEW"),"",INDEX(J$1:J1569,SUMPRODUCT(MAX(ROW(E$1:E1569)*(E1570=E$1:E1569)))))</f>
        <v> </v>
      </c>
      <c r="L1570" s="27"/>
    </row>
    <row r="1571" spans="1:12">
      <c r="A1571" s="20" t="s">
        <v>1303</v>
      </c>
      <c r="E1571" s="22">
        <f>IF(D1571="?OLD","!!!","")</f>
        <v/>
      </c>
      <c r="F1571" s="23" t="str">
        <f>IF(OR(E1571="",E1571="!!!"),"",IF(NOT(ISNA(VLOOKUP(E1571,E$1:E1570,1,FALSE()))),"OLD",IF(AND(E1571&lt;&gt;"",E1571&lt;&gt;"!!!"),"NEW","")))</f>
        <v> </v>
      </c>
      <c r="G1571" s="24" t="str">
        <f>IF(OR(E1571="",E1571="!!!"),"",IF(OR(J1571=0,AND(J1571=1,K1571=1),AND(J1571=1,I1571="SBJ"),AND(J1571=1,I1571=0)),"?IN_FOCUS",IF(J1571&lt;=2,"?ACTIVATED",IF(J1571&lt;&gt;"","?FAMILIAR",IF(F1571="NEW",IF(ISNA(VLOOKUP(E1571,#REF!,1,FALSE())),"?TYPE_IDENTIFIABLE","?REFERENTIAL"),"_")))))</f>
        <v> </v>
      </c>
      <c r="H1571" s="25" t="str">
        <f>IF(J1571&lt;&gt;1,"",IF(I1571="SBJ","CB","?"))</f>
        <v> </v>
      </c>
      <c r="I1571" s="26" t="str">
        <f>IF(OR(E1571="",E1571="!!!",F1571="NEW"),"",INDEX(B1570:B$2,-1+SUMPRODUCT(MAX(ROW(E1570:E$2)*(E1571=E1570:E$2)))))</f>
        <v> </v>
      </c>
      <c r="J1571" s="26" t="str">
        <f>IF(OR(E1571="",E1571="!!!",F1571="NEW"),"",COUNTBLANK(OFFSET(A$1,,,SUMPRODUCT(MAX(ROW(E$2:E1571)*(E1571=E$2:E1571)))))-COUNTBLANK(OFFSET(A$1,,,SUMPRODUCT(MAX(ROW(E$1:E1570)*(E2=E$1:E1570))))))</f>
        <v> </v>
      </c>
      <c r="K1571" s="26" t="str">
        <f>IF(OR(E1571="",E1571="!!!",F1571="NEW"),"",INDEX(J$1:J1570,SUMPRODUCT(MAX(ROW(E$1:E1570)*(E1571=E$1:E1570)))))</f>
        <v> </v>
      </c>
      <c r="L1571" s="27"/>
    </row>
    <row r="1572" spans="1:12">
      <c r="A1572" s="20" t="s">
        <v>1018</v>
      </c>
      <c r="E1572" s="22">
        <f>IF(D1572="?OLD","!!!","")</f>
        <v/>
      </c>
      <c r="F1572" s="23" t="str">
        <f>IF(OR(E1572="",E1572="!!!"),"",IF(NOT(ISNA(VLOOKUP(E1572,E$1:E1571,1,FALSE()))),"OLD",IF(AND(E1572&lt;&gt;"",E1572&lt;&gt;"!!!"),"NEW","")))</f>
        <v> </v>
      </c>
      <c r="G1572" s="24" t="str">
        <f>IF(OR(E1572="",E1572="!!!"),"",IF(OR(J1572=0,AND(J1572=1,K1572=1),AND(J1572=1,I1572="SBJ"),AND(J1572=1,I1572=0)),"?IN_FOCUS",IF(J1572&lt;=2,"?ACTIVATED",IF(J1572&lt;&gt;"","?FAMILIAR",IF(F1572="NEW",IF(ISNA(VLOOKUP(E1572,#REF!,1,FALSE())),"?TYPE_IDENTIFIABLE","?REFERENTIAL"),"_")))))</f>
        <v> </v>
      </c>
      <c r="H1572" s="25" t="str">
        <f>IF(J1572&lt;&gt;1,"",IF(I1572="SBJ","CB","?"))</f>
        <v> </v>
      </c>
      <c r="I1572" s="26" t="str">
        <f>IF(OR(E1572="",E1572="!!!",F1572="NEW"),"",INDEX(B1571:B$2,-1+SUMPRODUCT(MAX(ROW(E1571:E$2)*(E1572=E1571:E$2)))))</f>
        <v> </v>
      </c>
      <c r="J1572" s="26" t="str">
        <f>IF(OR(E1572="",E1572="!!!",F1572="NEW"),"",COUNTBLANK(OFFSET(A$1,,,SUMPRODUCT(MAX(ROW(E$2:E1572)*(E1572=E$2:E1572)))))-COUNTBLANK(OFFSET(A$1,,,SUMPRODUCT(MAX(ROW(E$1:E1571)*(E2=E$1:E1571))))))</f>
        <v> </v>
      </c>
      <c r="K1572" s="26" t="str">
        <f>IF(OR(E1572="",E1572="!!!",F1572="NEW"),"",INDEX(J$1:J1571,SUMPRODUCT(MAX(ROW(E$1:E1571)*(E1572=E$1:E1571)))))</f>
        <v> </v>
      </c>
      <c r="L1572" s="27"/>
    </row>
    <row r="1573" spans="1:12">
      <c r="A1573" s="20" t="s">
        <v>1189</v>
      </c>
      <c r="E1573" s="22">
        <f>IF(D1573="?OLD","!!!","")</f>
        <v/>
      </c>
      <c r="F1573" s="23" t="str">
        <f>IF(OR(E1573="",E1573="!!!"),"",IF(NOT(ISNA(VLOOKUP(E1573,E$1:E1572,1,FALSE()))),"OLD",IF(AND(E1573&lt;&gt;"",E1573&lt;&gt;"!!!"),"NEW","")))</f>
        <v> </v>
      </c>
      <c r="G1573" s="24" t="str">
        <f>IF(OR(E1573="",E1573="!!!"),"",IF(OR(J1573=0,AND(J1573=1,K1573=1),AND(J1573=1,I1573="SBJ"),AND(J1573=1,I1573=0)),"?IN_FOCUS",IF(J1573&lt;=2,"?ACTIVATED",IF(J1573&lt;&gt;"","?FAMILIAR",IF(F1573="NEW",IF(ISNA(VLOOKUP(E1573,#REF!,1,FALSE())),"?TYPE_IDENTIFIABLE","?REFERENTIAL"),"_")))))</f>
        <v> </v>
      </c>
      <c r="H1573" s="25" t="str">
        <f>IF(J1573&lt;&gt;1,"",IF(I1573="SBJ","CB","?"))</f>
        <v> </v>
      </c>
      <c r="I1573" s="26" t="str">
        <f>IF(OR(E1573="",E1573="!!!",F1573="NEW"),"",INDEX(B1572:B$2,-1+SUMPRODUCT(MAX(ROW(E1572:E$2)*(E1573=E1572:E$2)))))</f>
        <v> </v>
      </c>
      <c r="J1573" s="26" t="str">
        <f>IF(OR(E1573="",E1573="!!!",F1573="NEW"),"",COUNTBLANK(OFFSET(A$1,,,SUMPRODUCT(MAX(ROW(E$2:E1573)*(E1573=E$2:E1573)))))-COUNTBLANK(OFFSET(A$1,,,SUMPRODUCT(MAX(ROW(E$1:E1572)*(E2=E$1:E1572))))))</f>
        <v> </v>
      </c>
      <c r="K1573" s="26" t="str">
        <f>IF(OR(E1573="",E1573="!!!",F1573="NEW"),"",INDEX(J$1:J1572,SUMPRODUCT(MAX(ROW(E$1:E1572)*(E1573=E$1:E1572)))))</f>
        <v> </v>
      </c>
      <c r="L1573" s="27"/>
    </row>
    <row r="1574" spans="1:12">
      <c r="A1574" s="20" t="s">
        <v>1587</v>
      </c>
      <c r="E1574" s="22">
        <f>IF(D1574="?OLD","!!!","")</f>
        <v/>
      </c>
      <c r="F1574" s="23" t="str">
        <f>IF(OR(E1574="",E1574="!!!"),"",IF(NOT(ISNA(VLOOKUP(E1574,E$1:E1573,1,FALSE()))),"OLD",IF(AND(E1574&lt;&gt;"",E1574&lt;&gt;"!!!"),"NEW","")))</f>
        <v> </v>
      </c>
      <c r="G1574" s="24" t="str">
        <f>IF(OR(E1574="",E1574="!!!"),"",IF(OR(J1574=0,AND(J1574=1,K1574=1),AND(J1574=1,I1574="SBJ"),AND(J1574=1,I1574=0)),"?IN_FOCUS",IF(J1574&lt;=2,"?ACTIVATED",IF(J1574&lt;&gt;"","?FAMILIAR",IF(F1574="NEW",IF(ISNA(VLOOKUP(E1574,#REF!,1,FALSE())),"?TYPE_IDENTIFIABLE","?REFERENTIAL"),"_")))))</f>
        <v> </v>
      </c>
      <c r="H1574" s="25" t="str">
        <f>IF(J1574&lt;&gt;1,"",IF(I1574="SBJ","CB","?"))</f>
        <v> </v>
      </c>
      <c r="I1574" s="26" t="str">
        <f>IF(OR(E1574="",E1574="!!!",F1574="NEW"),"",INDEX(B1573:B$2,-1+SUMPRODUCT(MAX(ROW(E1573:E$2)*(E1574=E1573:E$2)))))</f>
        <v> </v>
      </c>
      <c r="J1574" s="26" t="str">
        <f>IF(OR(E1574="",E1574="!!!",F1574="NEW"),"",COUNTBLANK(OFFSET(A$1,,,SUMPRODUCT(MAX(ROW(E$2:E1574)*(E1574=E$2:E1574)))))-COUNTBLANK(OFFSET(A$1,,,SUMPRODUCT(MAX(ROW(E$1:E1573)*(E2=E$1:E1573))))))</f>
        <v> </v>
      </c>
      <c r="K1574" s="26" t="str">
        <f>IF(OR(E1574="",E1574="!!!",F1574="NEW"),"",INDEX(J$1:J1573,SUMPRODUCT(MAX(ROW(E$1:E1573)*(E1574=E$1:E1573)))))</f>
        <v> </v>
      </c>
      <c r="L1574" s="27"/>
    </row>
    <row r="1575" spans="1:12">
      <c r="A1575" s="20" t="s">
        <v>1493</v>
      </c>
      <c r="B1575" s="21" t="s">
        <v>1040</v>
      </c>
      <c r="C1575" s="21" t="s">
        <v>1103</v>
      </c>
      <c r="E1575" s="22">
        <f>IF(D1575="?OLD","!!!","")</f>
        <v/>
      </c>
      <c r="F1575" s="23" t="str">
        <f>IF(OR(E1575="",E1575="!!!"),"",IF(NOT(ISNA(VLOOKUP(E1575,E$1:E1574,1,FALSE()))),"OLD",IF(AND(E1575&lt;&gt;"",E1575&lt;&gt;"!!!"),"NEW","")))</f>
        <v> </v>
      </c>
      <c r="G1575" s="24" t="str">
        <f>IF(OR(E1575="",E1575="!!!"),"",IF(OR(J1575=0,AND(J1575=1,K1575=1),AND(J1575=1,I1575="SBJ"),AND(J1575=1,I1575=0)),"?IN_FOCUS",IF(J1575&lt;=2,"?ACTIVATED",IF(J1575&lt;&gt;"","?FAMILIAR",IF(F1575="NEW",IF(ISNA(VLOOKUP(E1575,#REF!,1,FALSE())),"?TYPE_IDENTIFIABLE","?REFERENTIAL"),"_")))))</f>
        <v> </v>
      </c>
      <c r="H1575" s="25" t="str">
        <f>IF(J1575&lt;&gt;1,"",IF(I1575="SBJ","CB","?"))</f>
        <v> </v>
      </c>
      <c r="I1575" s="26" t="str">
        <f>IF(OR(E1575="",E1575="!!!",F1575="NEW"),"",INDEX(B1574:B$2,-1+SUMPRODUCT(MAX(ROW(E1574:E$2)*(E1575=E1574:E$2)))))</f>
        <v> </v>
      </c>
      <c r="J1575" s="26" t="str">
        <f>IF(OR(E1575="",E1575="!!!",F1575="NEW"),"",COUNTBLANK(OFFSET(A$1,,,SUMPRODUCT(MAX(ROW(E$2:E1575)*(E1575=E$2:E1575)))))-COUNTBLANK(OFFSET(A$1,,,SUMPRODUCT(MAX(ROW(E$1:E1574)*(E2=E$1:E1574))))))</f>
        <v> </v>
      </c>
      <c r="K1575" s="26" t="str">
        <f>IF(OR(E1575="",E1575="!!!",F1575="NEW"),"",INDEX(J$1:J1574,SUMPRODUCT(MAX(ROW(E$1:E1574)*(E1575=E$1:E1574)))))</f>
        <v> </v>
      </c>
      <c r="L1575" s="27"/>
    </row>
    <row r="1576" spans="1:12">
      <c r="A1576" s="20" t="s">
        <v>1097</v>
      </c>
      <c r="E1576" s="22">
        <f>IF(D1576="?OLD","!!!","")</f>
        <v/>
      </c>
      <c r="F1576" s="23" t="str">
        <f>IF(OR(E1576="",E1576="!!!"),"",IF(NOT(ISNA(VLOOKUP(E1576,E$1:E1575,1,FALSE()))),"OLD",IF(AND(E1576&lt;&gt;"",E1576&lt;&gt;"!!!"),"NEW","")))</f>
        <v> </v>
      </c>
      <c r="G1576" s="24" t="str">
        <f>IF(OR(E1576="",E1576="!!!"),"",IF(OR(J1576=0,AND(J1576=1,K1576=1),AND(J1576=1,I1576="SBJ"),AND(J1576=1,I1576=0)),"?IN_FOCUS",IF(J1576&lt;=2,"?ACTIVATED",IF(J1576&lt;&gt;"","?FAMILIAR",IF(F1576="NEW",IF(ISNA(VLOOKUP(E1576,#REF!,1,FALSE())),"?TYPE_IDENTIFIABLE","?REFERENTIAL"),"_")))))</f>
        <v> </v>
      </c>
      <c r="H1576" s="25" t="str">
        <f>IF(J1576&lt;&gt;1,"",IF(I1576="SBJ","CB","?"))</f>
        <v> </v>
      </c>
      <c r="I1576" s="26" t="str">
        <f>IF(OR(E1576="",E1576="!!!",F1576="NEW"),"",INDEX(B1575:B$2,-1+SUMPRODUCT(MAX(ROW(E1575:E$2)*(E1576=E1575:E$2)))))</f>
        <v> </v>
      </c>
      <c r="J1576" s="26" t="str">
        <f>IF(OR(E1576="",E1576="!!!",F1576="NEW"),"",COUNTBLANK(OFFSET(A$1,,,SUMPRODUCT(MAX(ROW(E$2:E1576)*(E1576=E$2:E1576)))))-COUNTBLANK(OFFSET(A$1,,,SUMPRODUCT(MAX(ROW(E$1:E1575)*(E2=E$1:E1575))))))</f>
        <v> </v>
      </c>
      <c r="K1576" s="26" t="str">
        <f>IF(OR(E1576="",E1576="!!!",F1576="NEW"),"",INDEX(J$1:J1575,SUMPRODUCT(MAX(ROW(E$1:E1575)*(E1576=E$1:E1575)))))</f>
        <v> </v>
      </c>
      <c r="L1576" s="27"/>
    </row>
    <row r="1577" spans="1:12">
      <c r="A1577" s="20" t="s">
        <v>1588</v>
      </c>
      <c r="E1577" s="22">
        <f>IF(D1577="?OLD","!!!","")</f>
        <v/>
      </c>
      <c r="F1577" s="23" t="str">
        <f>IF(OR(E1577="",E1577="!!!"),"",IF(NOT(ISNA(VLOOKUP(E1577,E$1:E1576,1,FALSE()))),"OLD",IF(AND(E1577&lt;&gt;"",E1577&lt;&gt;"!!!"),"NEW","")))</f>
        <v> </v>
      </c>
      <c r="G1577" s="24" t="str">
        <f>IF(OR(E1577="",E1577="!!!"),"",IF(OR(J1577=0,AND(J1577=1,K1577=1),AND(J1577=1,I1577="SBJ"),AND(J1577=1,I1577=0)),"?IN_FOCUS",IF(J1577&lt;=2,"?ACTIVATED",IF(J1577&lt;&gt;"","?FAMILIAR",IF(F1577="NEW",IF(ISNA(VLOOKUP(E1577,#REF!,1,FALSE())),"?TYPE_IDENTIFIABLE","?REFERENTIAL"),"_")))))</f>
        <v> </v>
      </c>
      <c r="H1577" s="25" t="str">
        <f>IF(J1577&lt;&gt;1,"",IF(I1577="SBJ","CB","?"))</f>
        <v> </v>
      </c>
      <c r="I1577" s="26" t="str">
        <f>IF(OR(E1577="",E1577="!!!",F1577="NEW"),"",INDEX(B1576:B$2,-1+SUMPRODUCT(MAX(ROW(E1576:E$2)*(E1577=E1576:E$2)))))</f>
        <v> </v>
      </c>
      <c r="J1577" s="26" t="str">
        <f>IF(OR(E1577="",E1577="!!!",F1577="NEW"),"",COUNTBLANK(OFFSET(A$1,,,SUMPRODUCT(MAX(ROW(E$2:E1577)*(E1577=E$2:E1577)))))-COUNTBLANK(OFFSET(A$1,,,SUMPRODUCT(MAX(ROW(E$1:E1576)*(E2=E$1:E1576))))))</f>
        <v> </v>
      </c>
      <c r="K1577" s="26" t="str">
        <f>IF(OR(E1577="",E1577="!!!",F1577="NEW"),"",INDEX(J$1:J1576,SUMPRODUCT(MAX(ROW(E$1:E1576)*(E1577=E$1:E1576)))))</f>
        <v> </v>
      </c>
      <c r="L1577" s="27"/>
    </row>
    <row r="1578" spans="1:12">
      <c r="A1578" s="20" t="s">
        <v>1485</v>
      </c>
      <c r="E1578" s="22">
        <f>IF(D1578="?OLD","!!!","")</f>
        <v/>
      </c>
      <c r="F1578" s="23" t="str">
        <f>IF(OR(E1578="",E1578="!!!"),"",IF(NOT(ISNA(VLOOKUP(E1578,E$1:E1577,1,FALSE()))),"OLD",IF(AND(E1578&lt;&gt;"",E1578&lt;&gt;"!!!"),"NEW","")))</f>
        <v> </v>
      </c>
      <c r="G1578" s="24" t="str">
        <f>IF(OR(E1578="",E1578="!!!"),"",IF(OR(J1578=0,AND(J1578=1,K1578=1),AND(J1578=1,I1578="SBJ"),AND(J1578=1,I1578=0)),"?IN_FOCUS",IF(J1578&lt;=2,"?ACTIVATED",IF(J1578&lt;&gt;"","?FAMILIAR",IF(F1578="NEW",IF(ISNA(VLOOKUP(E1578,#REF!,1,FALSE())),"?TYPE_IDENTIFIABLE","?REFERENTIAL"),"_")))))</f>
        <v> </v>
      </c>
      <c r="H1578" s="25" t="str">
        <f>IF(J1578&lt;&gt;1,"",IF(I1578="SBJ","CB","?"))</f>
        <v> </v>
      </c>
      <c r="I1578" s="26" t="str">
        <f>IF(OR(E1578="",E1578="!!!",F1578="NEW"),"",INDEX(B1577:B$2,-1+SUMPRODUCT(MAX(ROW(E1577:E$2)*(E1578=E1577:E$2)))))</f>
        <v> </v>
      </c>
      <c r="J1578" s="26" t="str">
        <f>IF(OR(E1578="",E1578="!!!",F1578="NEW"),"",COUNTBLANK(OFFSET(A$1,,,SUMPRODUCT(MAX(ROW(E$2:E1578)*(E1578=E$2:E1578)))))-COUNTBLANK(OFFSET(A$1,,,SUMPRODUCT(MAX(ROW(E$1:E1577)*(E2=E$1:E1577))))))</f>
        <v> </v>
      </c>
      <c r="K1578" s="26" t="str">
        <f>IF(OR(E1578="",E1578="!!!",F1578="NEW"),"",INDEX(J$1:J1577,SUMPRODUCT(MAX(ROW(E$1:E1577)*(E1578=E$1:E1577)))))</f>
        <v> </v>
      </c>
      <c r="L1578" s="27"/>
    </row>
    <row r="1579" spans="1:12">
      <c r="A1579" s="20" t="s">
        <v>1518</v>
      </c>
      <c r="B1579" s="21" t="s">
        <v>1487</v>
      </c>
      <c r="C1579" s="21" t="s">
        <v>1041</v>
      </c>
      <c r="D1579" s="21" t="s">
        <v>1007</v>
      </c>
      <c r="E1579" s="22">
        <f>IF(D1579="?OLD","!!!","")</f>
        <v/>
      </c>
      <c r="F1579" s="23" t="str">
        <f>IF(OR(E1579="",E1579="!!!"),"",IF(NOT(ISNA(VLOOKUP(E1579,E$1:E1578,1,FALSE()))),"OLD",IF(AND(E1579&lt;&gt;"",E1579&lt;&gt;"!!!"),"NEW","")))</f>
        <v> </v>
      </c>
      <c r="G1579" s="24" t="str">
        <f>IF(OR(E1579="",E1579="!!!"),"",IF(OR(J1579=0,AND(J1579=1,K1579=1),AND(J1579=1,I1579="SBJ"),AND(J1579=1,I1579=0)),"?IN_FOCUS",IF(J1579&lt;=2,"?ACTIVATED",IF(J1579&lt;&gt;"","?FAMILIAR",IF(F1579="NEW",IF(ISNA(VLOOKUP(E1579,#REF!,1,FALSE())),"?TYPE_IDENTIFIABLE","?REFERENTIAL"),"_")))))</f>
        <v> </v>
      </c>
      <c r="H1579" s="25" t="str">
        <f>IF(J1579&lt;&gt;1,"",IF(I1579="SBJ","CB","?"))</f>
        <v> </v>
      </c>
      <c r="I1579" s="26" t="str">
        <f>IF(OR(E1579="",E1579="!!!",F1579="NEW"),"",INDEX(B1578:B$2,-1+SUMPRODUCT(MAX(ROW(E1578:E$2)*(E1579=E1578:E$2)))))</f>
        <v> </v>
      </c>
      <c r="J1579" s="26" t="str">
        <f>IF(OR(E1579="",E1579="!!!",F1579="NEW"),"",COUNTBLANK(OFFSET(A$1,,,SUMPRODUCT(MAX(ROW(E$2:E1579)*(E1579=E$2:E1579)))))-COUNTBLANK(OFFSET(A$1,,,SUMPRODUCT(MAX(ROW(E$1:E1578)*(E2=E$1:E1578))))))</f>
        <v> </v>
      </c>
      <c r="K1579" s="26" t="str">
        <f>IF(OR(E1579="",E1579="!!!",F1579="NEW"),"",INDEX(J$1:J1578,SUMPRODUCT(MAX(ROW(E$1:E1578)*(E1579=E$1:E1578)))))</f>
        <v> </v>
      </c>
      <c r="L1579" s="27"/>
    </row>
    <row r="1580" spans="1:12">
      <c r="A1580" s="20" t="s">
        <v>1014</v>
      </c>
      <c r="E1580" s="22">
        <f>IF(D1580="?OLD","!!!","")</f>
        <v/>
      </c>
      <c r="F1580" s="23" t="str">
        <f>IF(OR(E1580="",E1580="!!!"),"",IF(NOT(ISNA(VLOOKUP(E1580,E$1:E1579,1,FALSE()))),"OLD",IF(AND(E1580&lt;&gt;"",E1580&lt;&gt;"!!!"),"NEW","")))</f>
        <v> </v>
      </c>
      <c r="G1580" s="24" t="str">
        <f>IF(OR(E1580="",E1580="!!!"),"",IF(OR(J1580=0,AND(J1580=1,K1580=1),AND(J1580=1,I1580="SBJ"),AND(J1580=1,I1580=0)),"?IN_FOCUS",IF(J1580&lt;=2,"?ACTIVATED",IF(J1580&lt;&gt;"","?FAMILIAR",IF(F1580="NEW",IF(ISNA(VLOOKUP(E1580,#REF!,1,FALSE())),"?TYPE_IDENTIFIABLE","?REFERENTIAL"),"_")))))</f>
        <v> </v>
      </c>
      <c r="H1580" s="25" t="str">
        <f>IF(J1580&lt;&gt;1,"",IF(I1580="SBJ","CB","?"))</f>
        <v> </v>
      </c>
      <c r="I1580" s="26" t="str">
        <f>IF(OR(E1580="",E1580="!!!",F1580="NEW"),"",INDEX(B1579:B$2,-1+SUMPRODUCT(MAX(ROW(E1579:E$2)*(E1580=E1579:E$2)))))</f>
        <v> </v>
      </c>
      <c r="J1580" s="26" t="str">
        <f>IF(OR(E1580="",E1580="!!!",F1580="NEW"),"",COUNTBLANK(OFFSET(A$1,,,SUMPRODUCT(MAX(ROW(E$2:E1580)*(E1580=E$2:E1580)))))-COUNTBLANK(OFFSET(A$1,,,SUMPRODUCT(MAX(ROW(E$1:E1579)*(E2=E$1:E1579))))))</f>
        <v> </v>
      </c>
      <c r="K1580" s="26" t="str">
        <f>IF(OR(E1580="",E1580="!!!",F1580="NEW"),"",INDEX(J$1:J1579,SUMPRODUCT(MAX(ROW(E$1:E1579)*(E1580=E$1:E1579)))))</f>
        <v> </v>
      </c>
      <c r="L1580" s="27"/>
    </row>
    <row r="1581" spans="1:12">
      <c r="A1581" s="20" t="s">
        <v>1589</v>
      </c>
      <c r="B1581" s="21" t="s">
        <v>1215</v>
      </c>
      <c r="C1581" s="21" t="s">
        <v>1048</v>
      </c>
      <c r="E1581" s="22">
        <f>IF(D1581="?OLD","!!!","")</f>
        <v/>
      </c>
      <c r="F1581" s="23" t="str">
        <f>IF(OR(E1581="",E1581="!!!"),"",IF(NOT(ISNA(VLOOKUP(E1581,E$1:E1580,1,FALSE()))),"OLD",IF(AND(E1581&lt;&gt;"",E1581&lt;&gt;"!!!"),"NEW","")))</f>
        <v> </v>
      </c>
      <c r="G1581" s="24" t="str">
        <f>IF(OR(E1581="",E1581="!!!"),"",IF(OR(J1581=0,AND(J1581=1,K1581=1),AND(J1581=1,I1581="SBJ"),AND(J1581=1,I1581=0)),"?IN_FOCUS",IF(J1581&lt;=2,"?ACTIVATED",IF(J1581&lt;&gt;"","?FAMILIAR",IF(F1581="NEW",IF(ISNA(VLOOKUP(E1581,#REF!,1,FALSE())),"?TYPE_IDENTIFIABLE","?REFERENTIAL"),"_")))))</f>
        <v> </v>
      </c>
      <c r="H1581" s="25" t="str">
        <f>IF(J1581&lt;&gt;1,"",IF(I1581="SBJ","CB","?"))</f>
        <v> </v>
      </c>
      <c r="I1581" s="26" t="str">
        <f>IF(OR(E1581="",E1581="!!!",F1581="NEW"),"",INDEX(B1580:B$2,-1+SUMPRODUCT(MAX(ROW(E1580:E$2)*(E1581=E1580:E$2)))))</f>
        <v> </v>
      </c>
      <c r="J1581" s="26" t="str">
        <f>IF(OR(E1581="",E1581="!!!",F1581="NEW"),"",COUNTBLANK(OFFSET(A$1,,,SUMPRODUCT(MAX(ROW(E$2:E1581)*(E1581=E$2:E1581)))))-COUNTBLANK(OFFSET(A$1,,,SUMPRODUCT(MAX(ROW(E$1:E1580)*(E2=E$1:E1580))))))</f>
        <v> </v>
      </c>
      <c r="K1581" s="26" t="str">
        <f>IF(OR(E1581="",E1581="!!!",F1581="NEW"),"",INDEX(J$1:J1580,SUMPRODUCT(MAX(ROW(E$1:E1580)*(E1581=E$1:E1580)))))</f>
        <v> </v>
      </c>
      <c r="L1581" s="27"/>
    </row>
    <row r="1582" spans="1:12">
      <c r="A1582" s="20" t="s">
        <v>1189</v>
      </c>
      <c r="E1582" s="22">
        <f>IF(D1582="?OLD","!!!","")</f>
        <v/>
      </c>
      <c r="F1582" s="23" t="str">
        <f>IF(OR(E1582="",E1582="!!!"),"",IF(NOT(ISNA(VLOOKUP(E1582,E$1:E1581,1,FALSE()))),"OLD",IF(AND(E1582&lt;&gt;"",E1582&lt;&gt;"!!!"),"NEW","")))</f>
        <v> </v>
      </c>
      <c r="G1582" s="24" t="str">
        <f>IF(OR(E1582="",E1582="!!!"),"",IF(OR(J1582=0,AND(J1582=1,K1582=1),AND(J1582=1,I1582="SBJ"),AND(J1582=1,I1582=0)),"?IN_FOCUS",IF(J1582&lt;=2,"?ACTIVATED",IF(J1582&lt;&gt;"","?FAMILIAR",IF(F1582="NEW",IF(ISNA(VLOOKUP(E1582,#REF!,1,FALSE())),"?TYPE_IDENTIFIABLE","?REFERENTIAL"),"_")))))</f>
        <v> </v>
      </c>
      <c r="H1582" s="25" t="str">
        <f>IF(J1582&lt;&gt;1,"",IF(I1582="SBJ","CB","?"))</f>
        <v> </v>
      </c>
      <c r="I1582" s="26" t="str">
        <f>IF(OR(E1582="",E1582="!!!",F1582="NEW"),"",INDEX(B1581:B$2,-1+SUMPRODUCT(MAX(ROW(E1581:E$2)*(E1582=E1581:E$2)))))</f>
        <v> </v>
      </c>
      <c r="J1582" s="26" t="str">
        <f>IF(OR(E1582="",E1582="!!!",F1582="NEW"),"",COUNTBLANK(OFFSET(A$1,,,SUMPRODUCT(MAX(ROW(E$2:E1582)*(E1582=E$2:E1582)))))-COUNTBLANK(OFFSET(A$1,,,SUMPRODUCT(MAX(ROW(E$1:E1581)*(E2=E$1:E1581))))))</f>
        <v> </v>
      </c>
      <c r="K1582" s="26" t="str">
        <f>IF(OR(E1582="",E1582="!!!",F1582="NEW"),"",INDEX(J$1:J1581,SUMPRODUCT(MAX(ROW(E$1:E1581)*(E1582=E$1:E1581)))))</f>
        <v> </v>
      </c>
      <c r="L1582" s="27"/>
    </row>
    <row r="1583" spans="1:12">
      <c r="A1583" s="20" t="s">
        <v>1023</v>
      </c>
      <c r="E1583" s="22">
        <f>IF(D1583="?OLD","!!!","")</f>
        <v/>
      </c>
      <c r="F1583" s="23" t="str">
        <f>IF(OR(E1583="",E1583="!!!"),"",IF(NOT(ISNA(VLOOKUP(E1583,E$1:E1582,1,FALSE()))),"OLD",IF(AND(E1583&lt;&gt;"",E1583&lt;&gt;"!!!"),"NEW","")))</f>
        <v> </v>
      </c>
      <c r="G1583" s="24" t="str">
        <f>IF(OR(E1583="",E1583="!!!"),"",IF(OR(J1583=0,AND(J1583=1,K1583=1),AND(J1583=1,I1583="SBJ"),AND(J1583=1,I1583=0)),"?IN_FOCUS",IF(J1583&lt;=2,"?ACTIVATED",IF(J1583&lt;&gt;"","?FAMILIAR",IF(F1583="NEW",IF(ISNA(VLOOKUP(E1583,#REF!,1,FALSE())),"?TYPE_IDENTIFIABLE","?REFERENTIAL"),"_")))))</f>
        <v> </v>
      </c>
      <c r="H1583" s="25" t="str">
        <f>IF(J1583&lt;&gt;1,"",IF(I1583="SBJ","CB","?"))</f>
        <v> </v>
      </c>
      <c r="I1583" s="26" t="str">
        <f>IF(OR(E1583="",E1583="!!!",F1583="NEW"),"",INDEX(B1582:B$2,-1+SUMPRODUCT(MAX(ROW(E1582:E$2)*(E1583=E1582:E$2)))))</f>
        <v> </v>
      </c>
      <c r="J1583" s="26" t="str">
        <f>IF(OR(E1583="",E1583="!!!",F1583="NEW"),"",COUNTBLANK(OFFSET(A$1,,,SUMPRODUCT(MAX(ROW(E$2:E1583)*(E1583=E$2:E1583)))))-COUNTBLANK(OFFSET(A$1,,,SUMPRODUCT(MAX(ROW(E$1:E1582)*(E2=E$1:E1582))))))</f>
        <v> </v>
      </c>
      <c r="K1583" s="26" t="str">
        <f>IF(OR(E1583="",E1583="!!!",F1583="NEW"),"",INDEX(J$1:J1582,SUMPRODUCT(MAX(ROW(E$1:E1582)*(E1583=E$1:E1582)))))</f>
        <v> </v>
      </c>
      <c r="L1583" s="27"/>
    </row>
    <row r="1584" spans="1:12">
      <c r="A1584" s="20"/>
    </row>
    <row r="1585" spans="1:12">
      <c r="A1585" s="20" t="s">
        <v>1590</v>
      </c>
    </row>
    <row r="1586" spans="1:12">
      <c r="A1586" s="20" t="s">
        <v>1591</v>
      </c>
      <c r="E1586" s="22">
        <f>IF(D1586="?OLD","!!!","")</f>
        <v/>
      </c>
      <c r="F1586" s="23" t="str">
        <f>IF(OR(E1586="",E1586="!!!"),"",IF(NOT(ISNA(VLOOKUP(E1586,E$1:E1585,1,FALSE()))),"OLD",IF(AND(E1586&lt;&gt;"",E1586&lt;&gt;"!!!"),"NEW","")))</f>
        <v> </v>
      </c>
      <c r="G1586" s="24" t="str">
        <f>IF(OR(E1586="",E1586="!!!"),"",IF(OR(J1586=0,AND(J1586=1,K1586=1),AND(J1586=1,I1586="SBJ"),AND(J1586=1,I1586=0)),"?IN_FOCUS",IF(J1586&lt;=2,"?ACTIVATED",IF(J1586&lt;&gt;"","?FAMILIAR",IF(F1586="NEW",IF(ISNA(VLOOKUP(E1586,#REF!,1,FALSE())),"?TYPE_IDENTIFIABLE","?REFERENTIAL"),"_")))))</f>
        <v> </v>
      </c>
      <c r="H1586" s="25" t="str">
        <f>IF(J1586&lt;&gt;1,"",IF(I1586="SBJ","CB","?"))</f>
        <v> </v>
      </c>
      <c r="I1586" s="26" t="str">
        <f>IF(OR(E1586="",E1586="!!!",F1586="NEW"),"",INDEX(B1585:B$2,-1+SUMPRODUCT(MAX(ROW(E1585:E$2)*(E1586=E1585:E$2)))))</f>
        <v> </v>
      </c>
      <c r="J1586" s="26" t="str">
        <f>IF(OR(E1586="",E1586="!!!",F1586="NEW"),"",COUNTBLANK(OFFSET(A$1,,,SUMPRODUCT(MAX(ROW(E$2:E1586)*(E1586=E$2:E1586)))))-COUNTBLANK(OFFSET(A$1,,,SUMPRODUCT(MAX(ROW(E$1:E1585)*(E2=E$1:E1585))))))</f>
        <v> </v>
      </c>
      <c r="K1586" s="26" t="str">
        <f>IF(OR(E1586="",E1586="!!!",F1586="NEW"),"",INDEX(J$1:J1585,SUMPRODUCT(MAX(ROW(E$1:E1585)*(E1586=E$1:E1585)))))</f>
        <v> </v>
      </c>
      <c r="L1586" s="27"/>
    </row>
    <row r="1587" spans="1:12">
      <c r="A1587" s="20" t="s">
        <v>1592</v>
      </c>
      <c r="B1587" s="21" t="s">
        <v>1085</v>
      </c>
      <c r="C1587" s="21" t="s">
        <v>1048</v>
      </c>
      <c r="E1587" s="22">
        <f>IF(D1587="?OLD","!!!","")</f>
        <v/>
      </c>
      <c r="F1587" s="23" t="str">
        <f>IF(OR(E1587="",E1587="!!!"),"",IF(NOT(ISNA(VLOOKUP(E1587,E$1:E1586,1,FALSE()))),"OLD",IF(AND(E1587&lt;&gt;"",E1587&lt;&gt;"!!!"),"NEW","")))</f>
        <v> </v>
      </c>
      <c r="G1587" s="24" t="str">
        <f>IF(OR(E1587="",E1587="!!!"),"",IF(OR(J1587=0,AND(J1587=1,K1587=1),AND(J1587=1,I1587="SBJ"),AND(J1587=1,I1587=0)),"?IN_FOCUS",IF(J1587&lt;=2,"?ACTIVATED",IF(J1587&lt;&gt;"","?FAMILIAR",IF(F1587="NEW",IF(ISNA(VLOOKUP(E1587,#REF!,1,FALSE())),"?TYPE_IDENTIFIABLE","?REFERENTIAL"),"_")))))</f>
        <v> </v>
      </c>
      <c r="H1587" s="25" t="str">
        <f>IF(J1587&lt;&gt;1,"",IF(I1587="SBJ","CB","?"))</f>
        <v> </v>
      </c>
      <c r="I1587" s="26" t="str">
        <f>IF(OR(E1587="",E1587="!!!",F1587="NEW"),"",INDEX(B1586:B$2,-1+SUMPRODUCT(MAX(ROW(E1586:E$2)*(E1587=E1586:E$2)))))</f>
        <v> </v>
      </c>
      <c r="J1587" s="26" t="str">
        <f>IF(OR(E1587="",E1587="!!!",F1587="NEW"),"",COUNTBLANK(OFFSET(A$1,,,SUMPRODUCT(MAX(ROW(E$2:E1587)*(E1587=E$2:E1587)))))-COUNTBLANK(OFFSET(A$1,,,SUMPRODUCT(MAX(ROW(E$1:E1586)*(E2=E$1:E1586))))))</f>
        <v> </v>
      </c>
      <c r="K1587" s="26" t="str">
        <f>IF(OR(E1587="",E1587="!!!",F1587="NEW"),"",INDEX(J$1:J1586,SUMPRODUCT(MAX(ROW(E$1:E1586)*(E1587=E$1:E1586)))))</f>
        <v> </v>
      </c>
      <c r="L1587" s="27"/>
    </row>
    <row r="1588" spans="1:12">
      <c r="A1588" s="20" t="s">
        <v>1030</v>
      </c>
      <c r="E1588" s="22">
        <f>IF(D1588="?OLD","!!!","")</f>
        <v/>
      </c>
      <c r="F1588" s="23" t="str">
        <f>IF(OR(E1588="",E1588="!!!"),"",IF(NOT(ISNA(VLOOKUP(E1588,E$1:E1587,1,FALSE()))),"OLD",IF(AND(E1588&lt;&gt;"",E1588&lt;&gt;"!!!"),"NEW","")))</f>
        <v> </v>
      </c>
      <c r="G1588" s="24" t="str">
        <f>IF(OR(E1588="",E1588="!!!"),"",IF(OR(J1588=0,AND(J1588=1,K1588=1),AND(J1588=1,I1588="SBJ"),AND(J1588=1,I1588=0)),"?IN_FOCUS",IF(J1588&lt;=2,"?ACTIVATED",IF(J1588&lt;&gt;"","?FAMILIAR",IF(F1588="NEW",IF(ISNA(VLOOKUP(E1588,#REF!,1,FALSE())),"?TYPE_IDENTIFIABLE","?REFERENTIAL"),"_")))))</f>
        <v> </v>
      </c>
      <c r="H1588" s="25" t="str">
        <f>IF(J1588&lt;&gt;1,"",IF(I1588="SBJ","CB","?"))</f>
        <v> </v>
      </c>
      <c r="I1588" s="26" t="str">
        <f>IF(OR(E1588="",E1588="!!!",F1588="NEW"),"",INDEX(B1587:B$2,-1+SUMPRODUCT(MAX(ROW(E1587:E$2)*(E1588=E1587:E$2)))))</f>
        <v> </v>
      </c>
      <c r="J1588" s="26" t="str">
        <f>IF(OR(E1588="",E1588="!!!",F1588="NEW"),"",COUNTBLANK(OFFSET(A$1,,,SUMPRODUCT(MAX(ROW(E$2:E1588)*(E1588=E$2:E1588)))))-COUNTBLANK(OFFSET(A$1,,,SUMPRODUCT(MAX(ROW(E$1:E1587)*(E2=E$1:E1587))))))</f>
        <v> </v>
      </c>
      <c r="K1588" s="26" t="str">
        <f>IF(OR(E1588="",E1588="!!!",F1588="NEW"),"",INDEX(J$1:J1587,SUMPRODUCT(MAX(ROW(E$1:E1587)*(E1588=E$1:E1587)))))</f>
        <v> </v>
      </c>
      <c r="L1588" s="27"/>
    </row>
    <row r="1589" spans="1:12">
      <c r="A1589" s="20" t="s">
        <v>102</v>
      </c>
      <c r="E1589" s="22">
        <f>IF(D1589="?OLD","!!!","")</f>
        <v/>
      </c>
      <c r="F1589" s="23" t="str">
        <f>IF(OR(E1589="",E1589="!!!"),"",IF(NOT(ISNA(VLOOKUP(E1589,E$1:E1588,1,FALSE()))),"OLD",IF(AND(E1589&lt;&gt;"",E1589&lt;&gt;"!!!"),"NEW","")))</f>
        <v> </v>
      </c>
      <c r="G1589" s="24" t="str">
        <f>IF(OR(E1589="",E1589="!!!"),"",IF(OR(J1589=0,AND(J1589=1,K1589=1),AND(J1589=1,I1589="SBJ"),AND(J1589=1,I1589=0)),"?IN_FOCUS",IF(J1589&lt;=2,"?ACTIVATED",IF(J1589&lt;&gt;"","?FAMILIAR",IF(F1589="NEW",IF(ISNA(VLOOKUP(E1589,#REF!,1,FALSE())),"?TYPE_IDENTIFIABLE","?REFERENTIAL"),"_")))))</f>
        <v> </v>
      </c>
      <c r="H1589" s="25" t="str">
        <f>IF(J1589&lt;&gt;1,"",IF(I1589="SBJ","CB","?"))</f>
        <v> </v>
      </c>
      <c r="I1589" s="26" t="str">
        <f>IF(OR(E1589="",E1589="!!!",F1589="NEW"),"",INDEX(B1588:B$2,-1+SUMPRODUCT(MAX(ROW(E1588:E$2)*(E1589=E1588:E$2)))))</f>
        <v> </v>
      </c>
      <c r="J1589" s="26" t="str">
        <f>IF(OR(E1589="",E1589="!!!",F1589="NEW"),"",COUNTBLANK(OFFSET(A$1,,,SUMPRODUCT(MAX(ROW(E$2:E1589)*(E1589=E$2:E1589)))))-COUNTBLANK(OFFSET(A$1,,,SUMPRODUCT(MAX(ROW(E$1:E1588)*(E2=E$1:E1588))))))</f>
        <v> </v>
      </c>
      <c r="K1589" s="26" t="str">
        <f>IF(OR(E1589="",E1589="!!!",F1589="NEW"),"",INDEX(J$1:J1588,SUMPRODUCT(MAX(ROW(E$1:E1588)*(E1589=E$1:E1588)))))</f>
        <v> </v>
      </c>
      <c r="L1589" s="27"/>
    </row>
    <row r="1590" spans="1:12">
      <c r="A1590" s="20" t="s">
        <v>1593</v>
      </c>
      <c r="B1590" s="21" t="s">
        <v>1005</v>
      </c>
      <c r="C1590" s="21" t="s">
        <v>1006</v>
      </c>
      <c r="D1590" s="21" t="s">
        <v>1007</v>
      </c>
      <c r="E1590" s="22">
        <f>IF(D1590="?OLD","!!!","")</f>
        <v/>
      </c>
      <c r="F1590" s="23" t="str">
        <f>IF(OR(E1590="",E1590="!!!"),"",IF(NOT(ISNA(VLOOKUP(E1590,E$1:E1589,1,FALSE()))),"OLD",IF(AND(E1590&lt;&gt;"",E1590&lt;&gt;"!!!"),"NEW","")))</f>
        <v> </v>
      </c>
      <c r="G1590" s="24" t="str">
        <f>IF(OR(E1590="",E1590="!!!"),"",IF(OR(J1590=0,AND(J1590=1,K1590=1),AND(J1590=1,I1590="SBJ"),AND(J1590=1,I1590=0)),"?IN_FOCUS",IF(J1590&lt;=2,"?ACTIVATED",IF(J1590&lt;&gt;"","?FAMILIAR",IF(F1590="NEW",IF(ISNA(VLOOKUP(E1590,#REF!,1,FALSE())),"?TYPE_IDENTIFIABLE","?REFERENTIAL"),"_")))))</f>
        <v> </v>
      </c>
      <c r="H1590" s="25" t="str">
        <f>IF(J1590&lt;&gt;1,"",IF(I1590="SBJ","CB","?"))</f>
        <v> </v>
      </c>
      <c r="I1590" s="26" t="str">
        <f>IF(OR(E1590="",E1590="!!!",F1590="NEW"),"",INDEX(B1589:B$2,-1+SUMPRODUCT(MAX(ROW(E1589:E$2)*(E1590=E1589:E$2)))))</f>
        <v> </v>
      </c>
      <c r="J1590" s="26" t="str">
        <f>IF(OR(E1590="",E1590="!!!",F1590="NEW"),"",COUNTBLANK(OFFSET(A$1,,,SUMPRODUCT(MAX(ROW(E$2:E1590)*(E1590=E$2:E1590)))))-COUNTBLANK(OFFSET(A$1,,,SUMPRODUCT(MAX(ROW(E$1:E1589)*(E2=E$1:E1589))))))</f>
        <v> </v>
      </c>
      <c r="K1590" s="26" t="str">
        <f>IF(OR(E1590="",E1590="!!!",F1590="NEW"),"",INDEX(J$1:J1589,SUMPRODUCT(MAX(ROW(E$1:E1589)*(E1590=E$1:E1589)))))</f>
        <v> </v>
      </c>
      <c r="L1590" s="27"/>
    </row>
    <row r="1591" spans="1:12">
      <c r="A1591" s="20" t="s">
        <v>1594</v>
      </c>
      <c r="B1591" s="21" t="s">
        <v>1022</v>
      </c>
      <c r="C1591" s="21" t="s">
        <v>1006</v>
      </c>
      <c r="D1591" s="21" t="s">
        <v>1007</v>
      </c>
      <c r="E1591" s="22">
        <f>IF(D1591="?OLD","!!!","")</f>
        <v/>
      </c>
      <c r="F1591" s="23" t="str">
        <f>IF(OR(E1591="",E1591="!!!"),"",IF(NOT(ISNA(VLOOKUP(E1591,E$1:E1590,1,FALSE()))),"OLD",IF(AND(E1591&lt;&gt;"",E1591&lt;&gt;"!!!"),"NEW","")))</f>
        <v> </v>
      </c>
      <c r="G1591" s="24" t="str">
        <f>IF(OR(E1591="",E1591="!!!"),"",IF(OR(J1591=0,AND(J1591=1,K1591=1),AND(J1591=1,I1591="SBJ"),AND(J1591=1,I1591=0)),"?IN_FOCUS",IF(J1591&lt;=2,"?ACTIVATED",IF(J1591&lt;&gt;"","?FAMILIAR",IF(F1591="NEW",IF(ISNA(VLOOKUP(E1591,#REF!,1,FALSE())),"?TYPE_IDENTIFIABLE","?REFERENTIAL"),"_")))))</f>
        <v> </v>
      </c>
      <c r="H1591" s="25" t="str">
        <f>IF(J1591&lt;&gt;1,"",IF(I1591="SBJ","CB","?"))</f>
        <v> </v>
      </c>
      <c r="I1591" s="26" t="str">
        <f>IF(OR(E1591="",E1591="!!!",F1591="NEW"),"",INDEX(B1590:B$2,-1+SUMPRODUCT(MAX(ROW(E1590:E$2)*(E1591=E1590:E$2)))))</f>
        <v> </v>
      </c>
      <c r="J1591" s="26" t="str">
        <f>IF(OR(E1591="",E1591="!!!",F1591="NEW"),"",COUNTBLANK(OFFSET(A$1,,,SUMPRODUCT(MAX(ROW(E$2:E1591)*(E1591=E$2:E1591)))))-COUNTBLANK(OFFSET(A$1,,,SUMPRODUCT(MAX(ROW(E$1:E1590)*(E2=E$1:E1590))))))</f>
        <v> </v>
      </c>
      <c r="K1591" s="26" t="str">
        <f>IF(OR(E1591="",E1591="!!!",F1591="NEW"),"",INDEX(J$1:J1590,SUMPRODUCT(MAX(ROW(E$1:E1590)*(E1591=E$1:E1590)))))</f>
        <v> </v>
      </c>
      <c r="L1591" s="27"/>
    </row>
    <row r="1592" spans="1:12">
      <c r="A1592" s="20" t="s">
        <v>1030</v>
      </c>
      <c r="E1592" s="22">
        <f>IF(D1592="?OLD","!!!","")</f>
        <v/>
      </c>
      <c r="F1592" s="23" t="str">
        <f>IF(OR(E1592="",E1592="!!!"),"",IF(NOT(ISNA(VLOOKUP(E1592,E$1:E1591,1,FALSE()))),"OLD",IF(AND(E1592&lt;&gt;"",E1592&lt;&gt;"!!!"),"NEW","")))</f>
        <v> </v>
      </c>
      <c r="G1592" s="24" t="str">
        <f>IF(OR(E1592="",E1592="!!!"),"",IF(OR(J1592=0,AND(J1592=1,K1592=1),AND(J1592=1,I1592="SBJ"),AND(J1592=1,I1592=0)),"?IN_FOCUS",IF(J1592&lt;=2,"?ACTIVATED",IF(J1592&lt;&gt;"","?FAMILIAR",IF(F1592="NEW",IF(ISNA(VLOOKUP(E1592,#REF!,1,FALSE())),"?TYPE_IDENTIFIABLE","?REFERENTIAL"),"_")))))</f>
        <v> </v>
      </c>
      <c r="H1592" s="25" t="str">
        <f>IF(J1592&lt;&gt;1,"",IF(I1592="SBJ","CB","?"))</f>
        <v> </v>
      </c>
      <c r="I1592" s="26" t="str">
        <f>IF(OR(E1592="",E1592="!!!",F1592="NEW"),"",INDEX(B1591:B$2,-1+SUMPRODUCT(MAX(ROW(E1591:E$2)*(E1592=E1591:E$2)))))</f>
        <v> </v>
      </c>
      <c r="J1592" s="26" t="str">
        <f>IF(OR(E1592="",E1592="!!!",F1592="NEW"),"",COUNTBLANK(OFFSET(A$1,,,SUMPRODUCT(MAX(ROW(E$2:E1592)*(E1592=E$2:E1592)))))-COUNTBLANK(OFFSET(A$1,,,SUMPRODUCT(MAX(ROW(E$1:E1591)*(E2=E$1:E1591))))))</f>
        <v> </v>
      </c>
      <c r="K1592" s="26" t="str">
        <f>IF(OR(E1592="",E1592="!!!",F1592="NEW"),"",INDEX(J$1:J1591,SUMPRODUCT(MAX(ROW(E$1:E1591)*(E1592=E$1:E1591)))))</f>
        <v> </v>
      </c>
      <c r="L1592" s="27"/>
    </row>
    <row r="1593" spans="1:12">
      <c r="A1593" s="20" t="s">
        <v>102</v>
      </c>
      <c r="E1593" s="22">
        <f>IF(D1593="?OLD","!!!","")</f>
        <v/>
      </c>
      <c r="F1593" s="23" t="str">
        <f>IF(OR(E1593="",E1593="!!!"),"",IF(NOT(ISNA(VLOOKUP(E1593,E$1:E1592,1,FALSE()))),"OLD",IF(AND(E1593&lt;&gt;"",E1593&lt;&gt;"!!!"),"NEW","")))</f>
        <v> </v>
      </c>
      <c r="G1593" s="24" t="str">
        <f>IF(OR(E1593="",E1593="!!!"),"",IF(OR(J1593=0,AND(J1593=1,K1593=1),AND(J1593=1,I1593="SBJ"),AND(J1593=1,I1593=0)),"?IN_FOCUS",IF(J1593&lt;=2,"?ACTIVATED",IF(J1593&lt;&gt;"","?FAMILIAR",IF(F1593="NEW",IF(ISNA(VLOOKUP(E1593,#REF!,1,FALSE())),"?TYPE_IDENTIFIABLE","?REFERENTIAL"),"_")))))</f>
        <v> </v>
      </c>
      <c r="H1593" s="25" t="str">
        <f>IF(J1593&lt;&gt;1,"",IF(I1593="SBJ","CB","?"))</f>
        <v> </v>
      </c>
      <c r="I1593" s="26" t="str">
        <f>IF(OR(E1593="",E1593="!!!",F1593="NEW"),"",INDEX(B1592:B$2,-1+SUMPRODUCT(MAX(ROW(E1592:E$2)*(E1593=E1592:E$2)))))</f>
        <v> </v>
      </c>
      <c r="J1593" s="26" t="str">
        <f>IF(OR(E1593="",E1593="!!!",F1593="NEW"),"",COUNTBLANK(OFFSET(A$1,,,SUMPRODUCT(MAX(ROW(E$2:E1593)*(E1593=E$2:E1593)))))-COUNTBLANK(OFFSET(A$1,,,SUMPRODUCT(MAX(ROW(E$1:E1592)*(E2=E$1:E1592))))))</f>
        <v> </v>
      </c>
      <c r="K1593" s="26" t="str">
        <f>IF(OR(E1593="",E1593="!!!",F1593="NEW"),"",INDEX(J$1:J1592,SUMPRODUCT(MAX(ROW(E$1:E1592)*(E1593=E$1:E1592)))))</f>
        <v> </v>
      </c>
      <c r="L1593" s="27"/>
    </row>
    <row r="1594" spans="1:12">
      <c r="A1594" s="20" t="s">
        <v>1204</v>
      </c>
      <c r="B1594" s="21" t="s">
        <v>1005</v>
      </c>
      <c r="C1594" s="21" t="s">
        <v>1017</v>
      </c>
      <c r="D1594" s="21" t="s">
        <v>1007</v>
      </c>
      <c r="E1594" s="22">
        <f>IF(D1594="?OLD","!!!","")</f>
        <v/>
      </c>
      <c r="F1594" s="23" t="str">
        <f>IF(OR(E1594="",E1594="!!!"),"",IF(NOT(ISNA(VLOOKUP(E1594,E$1:E1593,1,FALSE()))),"OLD",IF(AND(E1594&lt;&gt;"",E1594&lt;&gt;"!!!"),"NEW","")))</f>
        <v> </v>
      </c>
      <c r="G1594" s="24" t="str">
        <f>IF(OR(E1594="",E1594="!!!"),"",IF(OR(J1594=0,AND(J1594=1,K1594=1),AND(J1594=1,I1594="SBJ"),AND(J1594=1,I1594=0)),"?IN_FOCUS",IF(J1594&lt;=2,"?ACTIVATED",IF(J1594&lt;&gt;"","?FAMILIAR",IF(F1594="NEW",IF(ISNA(VLOOKUP(E1594,#REF!,1,FALSE())),"?TYPE_IDENTIFIABLE","?REFERENTIAL"),"_")))))</f>
        <v> </v>
      </c>
      <c r="H1594" s="25" t="str">
        <f>IF(J1594&lt;&gt;1,"",IF(I1594="SBJ","CB","?"))</f>
        <v> </v>
      </c>
      <c r="I1594" s="26" t="str">
        <f>IF(OR(E1594="",E1594="!!!",F1594="NEW"),"",INDEX(B1593:B$2,-1+SUMPRODUCT(MAX(ROW(E1593:E$2)*(E1594=E1593:E$2)))))</f>
        <v> </v>
      </c>
      <c r="J1594" s="26" t="str">
        <f>IF(OR(E1594="",E1594="!!!",F1594="NEW"),"",COUNTBLANK(OFFSET(A$1,,,SUMPRODUCT(MAX(ROW(E$2:E1594)*(E1594=E$2:E1594)))))-COUNTBLANK(OFFSET(A$1,,,SUMPRODUCT(MAX(ROW(E$1:E1593)*(E2=E$1:E1593))))))</f>
        <v> </v>
      </c>
      <c r="K1594" s="26" t="str">
        <f>IF(OR(E1594="",E1594="!!!",F1594="NEW"),"",INDEX(J$1:J1593,SUMPRODUCT(MAX(ROW(E$1:E1593)*(E1594=E$1:E1593)))))</f>
        <v> </v>
      </c>
      <c r="L1594" s="27"/>
    </row>
    <row r="1595" spans="1:12">
      <c r="A1595" s="20" t="s">
        <v>1595</v>
      </c>
      <c r="E1595" s="22">
        <f>IF(D1595="?OLD","!!!","")</f>
        <v/>
      </c>
      <c r="F1595" s="23" t="str">
        <f>IF(OR(E1595="",E1595="!!!"),"",IF(NOT(ISNA(VLOOKUP(E1595,E$1:E1594,1,FALSE()))),"OLD",IF(AND(E1595&lt;&gt;"",E1595&lt;&gt;"!!!"),"NEW","")))</f>
        <v> </v>
      </c>
      <c r="G1595" s="24" t="str">
        <f>IF(OR(E1595="",E1595="!!!"),"",IF(OR(J1595=0,AND(J1595=1,K1595=1),AND(J1595=1,I1595="SBJ"),AND(J1595=1,I1595=0)),"?IN_FOCUS",IF(J1595&lt;=2,"?ACTIVATED",IF(J1595&lt;&gt;"","?FAMILIAR",IF(F1595="NEW",IF(ISNA(VLOOKUP(E1595,#REF!,1,FALSE())),"?TYPE_IDENTIFIABLE","?REFERENTIAL"),"_")))))</f>
        <v> </v>
      </c>
      <c r="H1595" s="25" t="str">
        <f>IF(J1595&lt;&gt;1,"",IF(I1595="SBJ","CB","?"))</f>
        <v> </v>
      </c>
      <c r="I1595" s="26" t="str">
        <f>IF(OR(E1595="",E1595="!!!",F1595="NEW"),"",INDEX(B1594:B$2,-1+SUMPRODUCT(MAX(ROW(E1594:E$2)*(E1595=E1594:E$2)))))</f>
        <v> </v>
      </c>
      <c r="J1595" s="26" t="str">
        <f>IF(OR(E1595="",E1595="!!!",F1595="NEW"),"",COUNTBLANK(OFFSET(A$1,,,SUMPRODUCT(MAX(ROW(E$2:E1595)*(E1595=E$2:E1595)))))-COUNTBLANK(OFFSET(A$1,,,SUMPRODUCT(MAX(ROW(E$1:E1594)*(E2=E$1:E1594))))))</f>
        <v> </v>
      </c>
      <c r="K1595" s="26" t="str">
        <f>IF(OR(E1595="",E1595="!!!",F1595="NEW"),"",INDEX(J$1:J1594,SUMPRODUCT(MAX(ROW(E$1:E1594)*(E1595=E$1:E1594)))))</f>
        <v> </v>
      </c>
      <c r="L1595" s="27"/>
    </row>
    <row r="1596" spans="1:12">
      <c r="A1596" s="20" t="s">
        <v>1065</v>
      </c>
      <c r="B1596" s="21" t="s">
        <v>1154</v>
      </c>
      <c r="E1596" s="22">
        <f>IF(D1596="?OLD","!!!","")</f>
        <v/>
      </c>
      <c r="F1596" s="23" t="str">
        <f>IF(OR(E1596="",E1596="!!!"),"",IF(NOT(ISNA(VLOOKUP(E1596,E$1:E1595,1,FALSE()))),"OLD",IF(AND(E1596&lt;&gt;"",E1596&lt;&gt;"!!!"),"NEW","")))</f>
        <v> </v>
      </c>
      <c r="G1596" s="24" t="str">
        <f>IF(OR(E1596="",E1596="!!!"),"",IF(OR(J1596=0,AND(J1596=1,K1596=1),AND(J1596=1,I1596="SBJ"),AND(J1596=1,I1596=0)),"?IN_FOCUS",IF(J1596&lt;=2,"?ACTIVATED",IF(J1596&lt;&gt;"","?FAMILIAR",IF(F1596="NEW",IF(ISNA(VLOOKUP(E1596,#REF!,1,FALSE())),"?TYPE_IDENTIFIABLE","?REFERENTIAL"),"_")))))</f>
        <v> </v>
      </c>
      <c r="H1596" s="25" t="str">
        <f>IF(J1596&lt;&gt;1,"",IF(I1596="SBJ","CB","?"))</f>
        <v> </v>
      </c>
      <c r="I1596" s="26" t="str">
        <f>IF(OR(E1596="",E1596="!!!",F1596="NEW"),"",INDEX(B1595:B$2,-1+SUMPRODUCT(MAX(ROW(E1595:E$2)*(E1596=E1595:E$2)))))</f>
        <v> </v>
      </c>
      <c r="J1596" s="26" t="str">
        <f>IF(OR(E1596="",E1596="!!!",F1596="NEW"),"",COUNTBLANK(OFFSET(A$1,,,SUMPRODUCT(MAX(ROW(E$2:E1596)*(E1596=E$2:E1596)))))-COUNTBLANK(OFFSET(A$1,,,SUMPRODUCT(MAX(ROW(E$1:E1595)*(E2=E$1:E1595))))))</f>
        <v> </v>
      </c>
      <c r="K1596" s="26" t="str">
        <f>IF(OR(E1596="",E1596="!!!",F1596="NEW"),"",INDEX(J$1:J1595,SUMPRODUCT(MAX(ROW(E$1:E1595)*(E1596=E$1:E1595)))))</f>
        <v> </v>
      </c>
      <c r="L1596" s="27"/>
    </row>
    <row r="1597" spans="1:12">
      <c r="A1597" s="20" t="s">
        <v>1142</v>
      </c>
      <c r="E1597" s="22">
        <f>IF(D1597="?OLD","!!!","")</f>
        <v/>
      </c>
      <c r="F1597" s="23" t="str">
        <f>IF(OR(E1597="",E1597="!!!"),"",IF(NOT(ISNA(VLOOKUP(E1597,E$1:E1596,1,FALSE()))),"OLD",IF(AND(E1597&lt;&gt;"",E1597&lt;&gt;"!!!"),"NEW","")))</f>
        <v> </v>
      </c>
      <c r="G1597" s="24" t="str">
        <f>IF(OR(E1597="",E1597="!!!"),"",IF(OR(J1597=0,AND(J1597=1,K1597=1),AND(J1597=1,I1597="SBJ"),AND(J1597=1,I1597=0)),"?IN_FOCUS",IF(J1597&lt;=2,"?ACTIVATED",IF(J1597&lt;&gt;"","?FAMILIAR",IF(F1597="NEW",IF(ISNA(VLOOKUP(E1597,#REF!,1,FALSE())),"?TYPE_IDENTIFIABLE","?REFERENTIAL"),"_")))))</f>
        <v> </v>
      </c>
      <c r="H1597" s="25" t="str">
        <f>IF(J1597&lt;&gt;1,"",IF(I1597="SBJ","CB","?"))</f>
        <v> </v>
      </c>
      <c r="I1597" s="26" t="str">
        <f>IF(OR(E1597="",E1597="!!!",F1597="NEW"),"",INDEX(B1596:B$2,-1+SUMPRODUCT(MAX(ROW(E1596:E$2)*(E1597=E1596:E$2)))))</f>
        <v> </v>
      </c>
      <c r="J1597" s="26" t="str">
        <f>IF(OR(E1597="",E1597="!!!",F1597="NEW"),"",COUNTBLANK(OFFSET(A$1,,,SUMPRODUCT(MAX(ROW(E$2:E1597)*(E1597=E$2:E1597)))))-COUNTBLANK(OFFSET(A$1,,,SUMPRODUCT(MAX(ROW(E$1:E1596)*(E2=E$1:E1596))))))</f>
        <v> </v>
      </c>
      <c r="K1597" s="26" t="str">
        <f>IF(OR(E1597="",E1597="!!!",F1597="NEW"),"",INDEX(J$1:J1596,SUMPRODUCT(MAX(ROW(E$1:E1596)*(E1597=E$1:E1596)))))</f>
        <v> </v>
      </c>
      <c r="L1597" s="27"/>
    </row>
    <row r="1598" spans="1:12">
      <c r="A1598" s="20" t="s">
        <v>1361</v>
      </c>
      <c r="E1598" s="22">
        <f>IF(D1598="?OLD","!!!","")</f>
        <v/>
      </c>
      <c r="F1598" s="23" t="str">
        <f>IF(OR(E1598="",E1598="!!!"),"",IF(NOT(ISNA(VLOOKUP(E1598,E$1:E1597,1,FALSE()))),"OLD",IF(AND(E1598&lt;&gt;"",E1598&lt;&gt;"!!!"),"NEW","")))</f>
        <v> </v>
      </c>
      <c r="G1598" s="24" t="str">
        <f>IF(OR(E1598="",E1598="!!!"),"",IF(OR(J1598=0,AND(J1598=1,K1598=1),AND(J1598=1,I1598="SBJ"),AND(J1598=1,I1598=0)),"?IN_FOCUS",IF(J1598&lt;=2,"?ACTIVATED",IF(J1598&lt;&gt;"","?FAMILIAR",IF(F1598="NEW",IF(ISNA(VLOOKUP(E1598,#REF!,1,FALSE())),"?TYPE_IDENTIFIABLE","?REFERENTIAL"),"_")))))</f>
        <v> </v>
      </c>
      <c r="H1598" s="25" t="str">
        <f>IF(J1598&lt;&gt;1,"",IF(I1598="SBJ","CB","?"))</f>
        <v> </v>
      </c>
      <c r="I1598" s="26" t="str">
        <f>IF(OR(E1598="",E1598="!!!",F1598="NEW"),"",INDEX(B1597:B$2,-1+SUMPRODUCT(MAX(ROW(E1597:E$2)*(E1598=E1597:E$2)))))</f>
        <v> </v>
      </c>
      <c r="J1598" s="26" t="str">
        <f>IF(OR(E1598="",E1598="!!!",F1598="NEW"),"",COUNTBLANK(OFFSET(A$1,,,SUMPRODUCT(MAX(ROW(E$2:E1598)*(E1598=E$2:E1598)))))-COUNTBLANK(OFFSET(A$1,,,SUMPRODUCT(MAX(ROW(E$1:E1597)*(E2=E$1:E1597))))))</f>
        <v> </v>
      </c>
      <c r="K1598" s="26" t="str">
        <f>IF(OR(E1598="",E1598="!!!",F1598="NEW"),"",INDEX(J$1:J1597,SUMPRODUCT(MAX(ROW(E$1:E1597)*(E1598=E$1:E1597)))))</f>
        <v> </v>
      </c>
      <c r="L1598" s="27"/>
    </row>
    <row r="1599" spans="1:12">
      <c r="A1599" s="20" t="s">
        <v>1596</v>
      </c>
      <c r="E1599" s="22">
        <f>IF(D1599="?OLD","!!!","")</f>
        <v/>
      </c>
      <c r="F1599" s="23" t="str">
        <f>IF(OR(E1599="",E1599="!!!"),"",IF(NOT(ISNA(VLOOKUP(E1599,E$1:E1598,1,FALSE()))),"OLD",IF(AND(E1599&lt;&gt;"",E1599&lt;&gt;"!!!"),"NEW","")))</f>
        <v> </v>
      </c>
      <c r="G1599" s="24" t="str">
        <f>IF(OR(E1599="",E1599="!!!"),"",IF(OR(J1599=0,AND(J1599=1,K1599=1),AND(J1599=1,I1599="SBJ"),AND(J1599=1,I1599=0)),"?IN_FOCUS",IF(J1599&lt;=2,"?ACTIVATED",IF(J1599&lt;&gt;"","?FAMILIAR",IF(F1599="NEW",IF(ISNA(VLOOKUP(E1599,#REF!,1,FALSE())),"?TYPE_IDENTIFIABLE","?REFERENTIAL"),"_")))))</f>
        <v> </v>
      </c>
      <c r="H1599" s="25" t="str">
        <f>IF(J1599&lt;&gt;1,"",IF(I1599="SBJ","CB","?"))</f>
        <v> </v>
      </c>
      <c r="I1599" s="26" t="str">
        <f>IF(OR(E1599="",E1599="!!!",F1599="NEW"),"",INDEX(B1598:B$2,-1+SUMPRODUCT(MAX(ROW(E1598:E$2)*(E1599=E1598:E$2)))))</f>
        <v> </v>
      </c>
      <c r="J1599" s="26" t="str">
        <f>IF(OR(E1599="",E1599="!!!",F1599="NEW"),"",COUNTBLANK(OFFSET(A$1,,,SUMPRODUCT(MAX(ROW(E$2:E1599)*(E1599=E$2:E1599)))))-COUNTBLANK(OFFSET(A$1,,,SUMPRODUCT(MAX(ROW(E$1:E1598)*(E2=E$1:E1598))))))</f>
        <v> </v>
      </c>
      <c r="K1599" s="26" t="str">
        <f>IF(OR(E1599="",E1599="!!!",F1599="NEW"),"",INDEX(J$1:J1598,SUMPRODUCT(MAX(ROW(E$1:E1598)*(E1599=E$1:E1598)))))</f>
        <v> </v>
      </c>
      <c r="L1599" s="27"/>
    </row>
    <row r="1600" spans="1:12">
      <c r="A1600" s="20" t="s">
        <v>1597</v>
      </c>
      <c r="E1600" s="22">
        <f>IF(D1600="?OLD","!!!","")</f>
        <v/>
      </c>
      <c r="F1600" s="23" t="str">
        <f>IF(OR(E1600="",E1600="!!!"),"",IF(NOT(ISNA(VLOOKUP(E1600,E$1:E1599,1,FALSE()))),"OLD",IF(AND(E1600&lt;&gt;"",E1600&lt;&gt;"!!!"),"NEW","")))</f>
        <v> </v>
      </c>
      <c r="G1600" s="24" t="str">
        <f>IF(OR(E1600="",E1600="!!!"),"",IF(OR(J1600=0,AND(J1600=1,K1600=1),AND(J1600=1,I1600="SBJ"),AND(J1600=1,I1600=0)),"?IN_FOCUS",IF(J1600&lt;=2,"?ACTIVATED",IF(J1600&lt;&gt;"","?FAMILIAR",IF(F1600="NEW",IF(ISNA(VLOOKUP(E1600,#REF!,1,FALSE())),"?TYPE_IDENTIFIABLE","?REFERENTIAL"),"_")))))</f>
        <v> </v>
      </c>
      <c r="H1600" s="25" t="str">
        <f>IF(J1600&lt;&gt;1,"",IF(I1600="SBJ","CB","?"))</f>
        <v> </v>
      </c>
      <c r="I1600" s="26" t="str">
        <f>IF(OR(E1600="",E1600="!!!",F1600="NEW"),"",INDEX(B1599:B$2,-1+SUMPRODUCT(MAX(ROW(E1599:E$2)*(E1600=E1599:E$2)))))</f>
        <v> </v>
      </c>
      <c r="J1600" s="26" t="str">
        <f>IF(OR(E1600="",E1600="!!!",F1600="NEW"),"",COUNTBLANK(OFFSET(A$1,,,SUMPRODUCT(MAX(ROW(E$2:E1600)*(E1600=E$2:E1600)))))-COUNTBLANK(OFFSET(A$1,,,SUMPRODUCT(MAX(ROW(E$1:E1599)*(E2=E$1:E1599))))))</f>
        <v> </v>
      </c>
      <c r="K1600" s="26" t="str">
        <f>IF(OR(E1600="",E1600="!!!",F1600="NEW"),"",INDEX(J$1:J1599,SUMPRODUCT(MAX(ROW(E$1:E1599)*(E1600=E$1:E1599)))))</f>
        <v> </v>
      </c>
      <c r="L1600" s="27"/>
    </row>
    <row r="1601" spans="1:12">
      <c r="A1601" s="20" t="s">
        <v>1598</v>
      </c>
      <c r="E1601" s="22">
        <f>IF(D1601="?OLD","!!!","")</f>
        <v/>
      </c>
      <c r="F1601" s="23" t="str">
        <f>IF(OR(E1601="",E1601="!!!"),"",IF(NOT(ISNA(VLOOKUP(E1601,E$1:E1600,1,FALSE()))),"OLD",IF(AND(E1601&lt;&gt;"",E1601&lt;&gt;"!!!"),"NEW","")))</f>
        <v> </v>
      </c>
      <c r="G1601" s="24" t="str">
        <f>IF(OR(E1601="",E1601="!!!"),"",IF(OR(J1601=0,AND(J1601=1,K1601=1),AND(J1601=1,I1601="SBJ"),AND(J1601=1,I1601=0)),"?IN_FOCUS",IF(J1601&lt;=2,"?ACTIVATED",IF(J1601&lt;&gt;"","?FAMILIAR",IF(F1601="NEW",IF(ISNA(VLOOKUP(E1601,#REF!,1,FALSE())),"?TYPE_IDENTIFIABLE","?REFERENTIAL"),"_")))))</f>
        <v> </v>
      </c>
      <c r="H1601" s="25" t="str">
        <f>IF(J1601&lt;&gt;1,"",IF(I1601="SBJ","CB","?"))</f>
        <v> </v>
      </c>
      <c r="I1601" s="26" t="str">
        <f>IF(OR(E1601="",E1601="!!!",F1601="NEW"),"",INDEX(B1600:B$2,-1+SUMPRODUCT(MAX(ROW(E1600:E$2)*(E1601=E1600:E$2)))))</f>
        <v> </v>
      </c>
      <c r="J1601" s="26" t="str">
        <f>IF(OR(E1601="",E1601="!!!",F1601="NEW"),"",COUNTBLANK(OFFSET(A$1,,,SUMPRODUCT(MAX(ROW(E$2:E1601)*(E1601=E$2:E1601)))))-COUNTBLANK(OFFSET(A$1,,,SUMPRODUCT(MAX(ROW(E$1:E1600)*(E2=E$1:E1600))))))</f>
        <v> </v>
      </c>
      <c r="K1601" s="26" t="str">
        <f>IF(OR(E1601="",E1601="!!!",F1601="NEW"),"",INDEX(J$1:J1600,SUMPRODUCT(MAX(ROW(E$1:E1600)*(E1601=E$1:E1600)))))</f>
        <v> </v>
      </c>
      <c r="L1601" s="27"/>
    </row>
    <row r="1602" spans="1:12">
      <c r="A1602" s="20" t="s">
        <v>1132</v>
      </c>
      <c r="E1602" s="22">
        <f>IF(D1602="?OLD","!!!","")</f>
        <v/>
      </c>
      <c r="F1602" s="23" t="str">
        <f>IF(OR(E1602="",E1602="!!!"),"",IF(NOT(ISNA(VLOOKUP(E1602,E$1:E1601,1,FALSE()))),"OLD",IF(AND(E1602&lt;&gt;"",E1602&lt;&gt;"!!!"),"NEW","")))</f>
        <v> </v>
      </c>
      <c r="G1602" s="24" t="str">
        <f>IF(OR(E1602="",E1602="!!!"),"",IF(OR(J1602=0,AND(J1602=1,K1602=1),AND(J1602=1,I1602="SBJ"),AND(J1602=1,I1602=0)),"?IN_FOCUS",IF(J1602&lt;=2,"?ACTIVATED",IF(J1602&lt;&gt;"","?FAMILIAR",IF(F1602="NEW",IF(ISNA(VLOOKUP(E1602,#REF!,1,FALSE())),"?TYPE_IDENTIFIABLE","?REFERENTIAL"),"_")))))</f>
        <v> </v>
      </c>
      <c r="H1602" s="25" t="str">
        <f>IF(J1602&lt;&gt;1,"",IF(I1602="SBJ","CB","?"))</f>
        <v> </v>
      </c>
      <c r="I1602" s="26" t="str">
        <f>IF(OR(E1602="",E1602="!!!",F1602="NEW"),"",INDEX(B1601:B$2,-1+SUMPRODUCT(MAX(ROW(E1601:E$2)*(E1602=E1601:E$2)))))</f>
        <v> </v>
      </c>
      <c r="J1602" s="26" t="str">
        <f>IF(OR(E1602="",E1602="!!!",F1602="NEW"),"",COUNTBLANK(OFFSET(A$1,,,SUMPRODUCT(MAX(ROW(E$2:E1602)*(E1602=E$2:E1602)))))-COUNTBLANK(OFFSET(A$1,,,SUMPRODUCT(MAX(ROW(E$1:E1601)*(E2=E$1:E1601))))))</f>
        <v> </v>
      </c>
      <c r="K1602" s="26" t="str">
        <f>IF(OR(E1602="",E1602="!!!",F1602="NEW"),"",INDEX(J$1:J1601,SUMPRODUCT(MAX(ROW(E$1:E1601)*(E1602=E$1:E1601)))))</f>
        <v> </v>
      </c>
      <c r="L1602" s="27"/>
    </row>
    <row r="1603" spans="1:12">
      <c r="A1603" s="20" t="s">
        <v>1020</v>
      </c>
      <c r="E1603" s="22">
        <f>IF(D1603="?OLD","!!!","")</f>
        <v/>
      </c>
      <c r="F1603" s="23" t="str">
        <f>IF(OR(E1603="",E1603="!!!"),"",IF(NOT(ISNA(VLOOKUP(E1603,E$1:E1602,1,FALSE()))),"OLD",IF(AND(E1603&lt;&gt;"",E1603&lt;&gt;"!!!"),"NEW","")))</f>
        <v> </v>
      </c>
      <c r="G1603" s="24" t="str">
        <f>IF(OR(E1603="",E1603="!!!"),"",IF(OR(J1603=0,AND(J1603=1,K1603=1),AND(J1603=1,I1603="SBJ"),AND(J1603=1,I1603=0)),"?IN_FOCUS",IF(J1603&lt;=2,"?ACTIVATED",IF(J1603&lt;&gt;"","?FAMILIAR",IF(F1603="NEW",IF(ISNA(VLOOKUP(E1603,#REF!,1,FALSE())),"?TYPE_IDENTIFIABLE","?REFERENTIAL"),"_")))))</f>
        <v> </v>
      </c>
      <c r="H1603" s="25" t="str">
        <f>IF(J1603&lt;&gt;1,"",IF(I1603="SBJ","CB","?"))</f>
        <v> </v>
      </c>
      <c r="I1603" s="26" t="str">
        <f>IF(OR(E1603="",E1603="!!!",F1603="NEW"),"",INDEX(B1602:B$2,-1+SUMPRODUCT(MAX(ROW(E1602:E$2)*(E1603=E1602:E$2)))))</f>
        <v> </v>
      </c>
      <c r="J1603" s="26" t="str">
        <f>IF(OR(E1603="",E1603="!!!",F1603="NEW"),"",COUNTBLANK(OFFSET(A$1,,,SUMPRODUCT(MAX(ROW(E$2:E1603)*(E1603=E$2:E1603)))))-COUNTBLANK(OFFSET(A$1,,,SUMPRODUCT(MAX(ROW(E$1:E1602)*(E2=E$1:E1602))))))</f>
        <v> </v>
      </c>
      <c r="K1603" s="26" t="str">
        <f>IF(OR(E1603="",E1603="!!!",F1603="NEW"),"",INDEX(J$1:J1602,SUMPRODUCT(MAX(ROW(E$1:E1602)*(E1603=E$1:E1602)))))</f>
        <v> </v>
      </c>
      <c r="L1603" s="27"/>
    </row>
    <row r="1604" spans="1:12">
      <c r="A1604" s="20" t="s">
        <v>1202</v>
      </c>
      <c r="B1604" s="21" t="s">
        <v>1033</v>
      </c>
      <c r="C1604" s="21" t="s">
        <v>1013</v>
      </c>
      <c r="D1604" s="21" t="s">
        <v>1007</v>
      </c>
      <c r="E1604" s="22">
        <f>IF(D1604="?OLD","!!!","")</f>
        <v/>
      </c>
      <c r="F1604" s="23" t="str">
        <f>IF(OR(E1604="",E1604="!!!"),"",IF(NOT(ISNA(VLOOKUP(E1604,E$1:E1603,1,FALSE()))),"OLD",IF(AND(E1604&lt;&gt;"",E1604&lt;&gt;"!!!"),"NEW","")))</f>
        <v> </v>
      </c>
      <c r="G1604" s="24" t="str">
        <f>IF(OR(E1604="",E1604="!!!"),"",IF(OR(J1604=0,AND(J1604=1,K1604=1),AND(J1604=1,I1604="SBJ"),AND(J1604=1,I1604=0)),"?IN_FOCUS",IF(J1604&lt;=2,"?ACTIVATED",IF(J1604&lt;&gt;"","?FAMILIAR",IF(F1604="NEW",IF(ISNA(VLOOKUP(E1604,#REF!,1,FALSE())),"?TYPE_IDENTIFIABLE","?REFERENTIAL"),"_")))))</f>
        <v> </v>
      </c>
      <c r="H1604" s="25" t="str">
        <f>IF(J1604&lt;&gt;1,"",IF(I1604="SBJ","CB","?"))</f>
        <v> </v>
      </c>
      <c r="I1604" s="26" t="str">
        <f>IF(OR(E1604="",E1604="!!!",F1604="NEW"),"",INDEX(B1603:B$2,-1+SUMPRODUCT(MAX(ROW(E1603:E$2)*(E1604=E1603:E$2)))))</f>
        <v> </v>
      </c>
      <c r="J1604" s="26" t="str">
        <f>IF(OR(E1604="",E1604="!!!",F1604="NEW"),"",COUNTBLANK(OFFSET(A$1,,,SUMPRODUCT(MAX(ROW(E$2:E1604)*(E1604=E$2:E1604)))))-COUNTBLANK(OFFSET(A$1,,,SUMPRODUCT(MAX(ROW(E$1:E1603)*(E2=E$1:E1603))))))</f>
        <v> </v>
      </c>
      <c r="K1604" s="26" t="str">
        <f>IF(OR(E1604="",E1604="!!!",F1604="NEW"),"",INDEX(J$1:J1603,SUMPRODUCT(MAX(ROW(E$1:E1603)*(E1604=E$1:E1603)))))</f>
        <v> </v>
      </c>
      <c r="L1604" s="27"/>
    </row>
    <row r="1605" spans="1:12">
      <c r="A1605" s="20" t="s">
        <v>1014</v>
      </c>
      <c r="E1605" s="22">
        <f>IF(D1605="?OLD","!!!","")</f>
        <v/>
      </c>
      <c r="F1605" s="23" t="str">
        <f>IF(OR(E1605="",E1605="!!!"),"",IF(NOT(ISNA(VLOOKUP(E1605,E$1:E1604,1,FALSE()))),"OLD",IF(AND(E1605&lt;&gt;"",E1605&lt;&gt;"!!!"),"NEW","")))</f>
        <v> </v>
      </c>
      <c r="G1605" s="24" t="str">
        <f>IF(OR(E1605="",E1605="!!!"),"",IF(OR(J1605=0,AND(J1605=1,K1605=1),AND(J1605=1,I1605="SBJ"),AND(J1605=1,I1605=0)),"?IN_FOCUS",IF(J1605&lt;=2,"?ACTIVATED",IF(J1605&lt;&gt;"","?FAMILIAR",IF(F1605="NEW",IF(ISNA(VLOOKUP(E1605,#REF!,1,FALSE())),"?TYPE_IDENTIFIABLE","?REFERENTIAL"),"_")))))</f>
        <v> </v>
      </c>
      <c r="H1605" s="25" t="str">
        <f>IF(J1605&lt;&gt;1,"",IF(I1605="SBJ","CB","?"))</f>
        <v> </v>
      </c>
      <c r="I1605" s="26" t="str">
        <f>IF(OR(E1605="",E1605="!!!",F1605="NEW"),"",INDEX(B1604:B$2,-1+SUMPRODUCT(MAX(ROW(E1604:E$2)*(E1605=E1604:E$2)))))</f>
        <v> </v>
      </c>
      <c r="J1605" s="26" t="str">
        <f>IF(OR(E1605="",E1605="!!!",F1605="NEW"),"",COUNTBLANK(OFFSET(A$1,,,SUMPRODUCT(MAX(ROW(E$2:E1605)*(E1605=E$2:E1605)))))-COUNTBLANK(OFFSET(A$1,,,SUMPRODUCT(MAX(ROW(E$1:E1604)*(E2=E$1:E1604))))))</f>
        <v> </v>
      </c>
      <c r="K1605" s="26" t="str">
        <f>IF(OR(E1605="",E1605="!!!",F1605="NEW"),"",INDEX(J$1:J1604,SUMPRODUCT(MAX(ROW(E$1:E1604)*(E1605=E$1:E1604)))))</f>
        <v> </v>
      </c>
      <c r="L1605" s="27"/>
    </row>
    <row r="1606" spans="1:12">
      <c r="A1606" s="20" t="s">
        <v>102</v>
      </c>
      <c r="E1606" s="22">
        <f>IF(D1606="?OLD","!!!","")</f>
        <v/>
      </c>
      <c r="F1606" s="23" t="str">
        <f>IF(OR(E1606="",E1606="!!!"),"",IF(NOT(ISNA(VLOOKUP(E1606,E$1:E1605,1,FALSE()))),"OLD",IF(AND(E1606&lt;&gt;"",E1606&lt;&gt;"!!!"),"NEW","")))</f>
        <v> </v>
      </c>
      <c r="G1606" s="24" t="str">
        <f>IF(OR(E1606="",E1606="!!!"),"",IF(OR(J1606=0,AND(J1606=1,K1606=1),AND(J1606=1,I1606="SBJ"),AND(J1606=1,I1606=0)),"?IN_FOCUS",IF(J1606&lt;=2,"?ACTIVATED",IF(J1606&lt;&gt;"","?FAMILIAR",IF(F1606="NEW",IF(ISNA(VLOOKUP(E1606,#REF!,1,FALSE())),"?TYPE_IDENTIFIABLE","?REFERENTIAL"),"_")))))</f>
        <v> </v>
      </c>
      <c r="H1606" s="25" t="str">
        <f>IF(J1606&lt;&gt;1,"",IF(I1606="SBJ","CB","?"))</f>
        <v> </v>
      </c>
      <c r="I1606" s="26" t="str">
        <f>IF(OR(E1606="",E1606="!!!",F1606="NEW"),"",INDEX(B1605:B$2,-1+SUMPRODUCT(MAX(ROW(E1605:E$2)*(E1606=E1605:E$2)))))</f>
        <v> </v>
      </c>
      <c r="J1606" s="26" t="str">
        <f>IF(OR(E1606="",E1606="!!!",F1606="NEW"),"",COUNTBLANK(OFFSET(A$1,,,SUMPRODUCT(MAX(ROW(E$2:E1606)*(E1606=E$2:E1606)))))-COUNTBLANK(OFFSET(A$1,,,SUMPRODUCT(MAX(ROW(E$1:E1605)*(E2=E$1:E1605))))))</f>
        <v> </v>
      </c>
      <c r="K1606" s="26" t="str">
        <f>IF(OR(E1606="",E1606="!!!",F1606="NEW"),"",INDEX(J$1:J1605,SUMPRODUCT(MAX(ROW(E$1:E1605)*(E1606=E$1:E1605)))))</f>
        <v> </v>
      </c>
      <c r="L1606" s="27"/>
    </row>
    <row r="1607" spans="1:12">
      <c r="A1607" s="20" t="s">
        <v>1392</v>
      </c>
      <c r="B1607" s="21" t="s">
        <v>1035</v>
      </c>
      <c r="C1607" s="21" t="s">
        <v>1006</v>
      </c>
      <c r="D1607" s="21" t="s">
        <v>1007</v>
      </c>
      <c r="E1607" s="22">
        <f>IF(D1607="?OLD","!!!","")</f>
        <v/>
      </c>
      <c r="F1607" s="23" t="str">
        <f>IF(OR(E1607="",E1607="!!!"),"",IF(NOT(ISNA(VLOOKUP(E1607,E$1:E1606,1,FALSE()))),"OLD",IF(AND(E1607&lt;&gt;"",E1607&lt;&gt;"!!!"),"NEW","")))</f>
        <v> </v>
      </c>
      <c r="G1607" s="24" t="str">
        <f>IF(OR(E1607="",E1607="!!!"),"",IF(OR(J1607=0,AND(J1607=1,K1607=1),AND(J1607=1,I1607="SBJ"),AND(J1607=1,I1607=0)),"?IN_FOCUS",IF(J1607&lt;=2,"?ACTIVATED",IF(J1607&lt;&gt;"","?FAMILIAR",IF(F1607="NEW",IF(ISNA(VLOOKUP(E1607,#REF!,1,FALSE())),"?TYPE_IDENTIFIABLE","?REFERENTIAL"),"_")))))</f>
        <v> </v>
      </c>
      <c r="H1607" s="25" t="str">
        <f>IF(J1607&lt;&gt;1,"",IF(I1607="SBJ","CB","?"))</f>
        <v> </v>
      </c>
      <c r="I1607" s="26" t="str">
        <f>IF(OR(E1607="",E1607="!!!",F1607="NEW"),"",INDEX(B1606:B$2,-1+SUMPRODUCT(MAX(ROW(E1606:E$2)*(E1607=E1606:E$2)))))</f>
        <v> </v>
      </c>
      <c r="J1607" s="26" t="str">
        <f>IF(OR(E1607="",E1607="!!!",F1607="NEW"),"",COUNTBLANK(OFFSET(A$1,,,SUMPRODUCT(MAX(ROW(E$2:E1607)*(E1607=E$2:E1607)))))-COUNTBLANK(OFFSET(A$1,,,SUMPRODUCT(MAX(ROW(E$1:E1606)*(E2=E$1:E1606))))))</f>
        <v> </v>
      </c>
      <c r="K1607" s="26" t="str">
        <f>IF(OR(E1607="",E1607="!!!",F1607="NEW"),"",INDEX(J$1:J1606,SUMPRODUCT(MAX(ROW(E$1:E1606)*(E1607=E$1:E1606)))))</f>
        <v> </v>
      </c>
      <c r="L1607" s="27"/>
    </row>
    <row r="1608" spans="1:12">
      <c r="A1608" s="20" t="s">
        <v>1065</v>
      </c>
      <c r="B1608" s="21" t="s">
        <v>1067</v>
      </c>
      <c r="E1608" s="22">
        <f>IF(D1608="?OLD","!!!","")</f>
        <v/>
      </c>
      <c r="F1608" s="23" t="str">
        <f>IF(OR(E1608="",E1608="!!!"),"",IF(NOT(ISNA(VLOOKUP(E1608,E$1:E1607,1,FALSE()))),"OLD",IF(AND(E1608&lt;&gt;"",E1608&lt;&gt;"!!!"),"NEW","")))</f>
        <v> </v>
      </c>
      <c r="G1608" s="24" t="str">
        <f>IF(OR(E1608="",E1608="!!!"),"",IF(OR(J1608=0,AND(J1608=1,K1608=1),AND(J1608=1,I1608="SBJ"),AND(J1608=1,I1608=0)),"?IN_FOCUS",IF(J1608&lt;=2,"?ACTIVATED",IF(J1608&lt;&gt;"","?FAMILIAR",IF(F1608="NEW",IF(ISNA(VLOOKUP(E1608,#REF!,1,FALSE())),"?TYPE_IDENTIFIABLE","?REFERENTIAL"),"_")))))</f>
        <v> </v>
      </c>
      <c r="H1608" s="25" t="str">
        <f>IF(J1608&lt;&gt;1,"",IF(I1608="SBJ","CB","?"))</f>
        <v> </v>
      </c>
      <c r="I1608" s="26" t="str">
        <f>IF(OR(E1608="",E1608="!!!",F1608="NEW"),"",INDEX(B1607:B$2,-1+SUMPRODUCT(MAX(ROW(E1607:E$2)*(E1608=E1607:E$2)))))</f>
        <v> </v>
      </c>
      <c r="J1608" s="26" t="str">
        <f>IF(OR(E1608="",E1608="!!!",F1608="NEW"),"",COUNTBLANK(OFFSET(A$1,,,SUMPRODUCT(MAX(ROW(E$2:E1608)*(E1608=E$2:E1608)))))-COUNTBLANK(OFFSET(A$1,,,SUMPRODUCT(MAX(ROW(E$1:E1607)*(E2=E$1:E1607))))))</f>
        <v> </v>
      </c>
      <c r="K1608" s="26" t="str">
        <f>IF(OR(E1608="",E1608="!!!",F1608="NEW"),"",INDEX(J$1:J1607,SUMPRODUCT(MAX(ROW(E$1:E1607)*(E1608=E$1:E1607)))))</f>
        <v> </v>
      </c>
      <c r="L1608" s="27"/>
    </row>
    <row r="1609" spans="1:12">
      <c r="A1609" s="20" t="s">
        <v>1599</v>
      </c>
      <c r="E1609" s="22">
        <f>IF(D1609="?OLD","!!!","")</f>
        <v/>
      </c>
      <c r="F1609" s="23" t="str">
        <f>IF(OR(E1609="",E1609="!!!"),"",IF(NOT(ISNA(VLOOKUP(E1609,E$1:E1608,1,FALSE()))),"OLD",IF(AND(E1609&lt;&gt;"",E1609&lt;&gt;"!!!"),"NEW","")))</f>
        <v> </v>
      </c>
      <c r="G1609" s="24" t="str">
        <f>IF(OR(E1609="",E1609="!!!"),"",IF(OR(J1609=0,AND(J1609=1,K1609=1),AND(J1609=1,I1609="SBJ"),AND(J1609=1,I1609=0)),"?IN_FOCUS",IF(J1609&lt;=2,"?ACTIVATED",IF(J1609&lt;&gt;"","?FAMILIAR",IF(F1609="NEW",IF(ISNA(VLOOKUP(E1609,#REF!,1,FALSE())),"?TYPE_IDENTIFIABLE","?REFERENTIAL"),"_")))))</f>
        <v> </v>
      </c>
      <c r="H1609" s="25" t="str">
        <f>IF(J1609&lt;&gt;1,"",IF(I1609="SBJ","CB","?"))</f>
        <v> </v>
      </c>
      <c r="I1609" s="26" t="str">
        <f>IF(OR(E1609="",E1609="!!!",F1609="NEW"),"",INDEX(B1608:B$2,-1+SUMPRODUCT(MAX(ROW(E1608:E$2)*(E1609=E1608:E$2)))))</f>
        <v> </v>
      </c>
      <c r="J1609" s="26" t="str">
        <f>IF(OR(E1609="",E1609="!!!",F1609="NEW"),"",COUNTBLANK(OFFSET(A$1,,,SUMPRODUCT(MAX(ROW(E$2:E1609)*(E1609=E$2:E1609)))))-COUNTBLANK(OFFSET(A$1,,,SUMPRODUCT(MAX(ROW(E$1:E1608)*(E2=E$1:E1608))))))</f>
        <v> </v>
      </c>
      <c r="K1609" s="26" t="str">
        <f>IF(OR(E1609="",E1609="!!!",F1609="NEW"),"",INDEX(J$1:J1608,SUMPRODUCT(MAX(ROW(E$1:E1608)*(E1609=E$1:E1608)))))</f>
        <v> </v>
      </c>
      <c r="L1609" s="27"/>
    </row>
    <row r="1610" spans="1:12">
      <c r="A1610" s="20" t="s">
        <v>1065</v>
      </c>
      <c r="E1610" s="22">
        <f>IF(D1610="?OLD","!!!","")</f>
        <v/>
      </c>
      <c r="F1610" s="23" t="str">
        <f>IF(OR(E1610="",E1610="!!!"),"",IF(NOT(ISNA(VLOOKUP(E1610,E$1:E1609,1,FALSE()))),"OLD",IF(AND(E1610&lt;&gt;"",E1610&lt;&gt;"!!!"),"NEW","")))</f>
        <v> </v>
      </c>
      <c r="G1610" s="24" t="str">
        <f>IF(OR(E1610="",E1610="!!!"),"",IF(OR(J1610=0,AND(J1610=1,K1610=1),AND(J1610=1,I1610="SBJ"),AND(J1610=1,I1610=0)),"?IN_FOCUS",IF(J1610&lt;=2,"?ACTIVATED",IF(J1610&lt;&gt;"","?FAMILIAR",IF(F1610="NEW",IF(ISNA(VLOOKUP(E1610,#REF!,1,FALSE())),"?TYPE_IDENTIFIABLE","?REFERENTIAL"),"_")))))</f>
        <v> </v>
      </c>
      <c r="H1610" s="25" t="str">
        <f>IF(J1610&lt;&gt;1,"",IF(I1610="SBJ","CB","?"))</f>
        <v> </v>
      </c>
      <c r="I1610" s="26" t="str">
        <f>IF(OR(E1610="",E1610="!!!",F1610="NEW"),"",INDEX(B1609:B$2,-1+SUMPRODUCT(MAX(ROW(E1609:E$2)*(E1610=E1609:E$2)))))</f>
        <v> </v>
      </c>
      <c r="J1610" s="26" t="str">
        <f>IF(OR(E1610="",E1610="!!!",F1610="NEW"),"",COUNTBLANK(OFFSET(A$1,,,SUMPRODUCT(MAX(ROW(E$2:E1610)*(E1610=E$2:E1610)))))-COUNTBLANK(OFFSET(A$1,,,SUMPRODUCT(MAX(ROW(E$1:E1609)*(E2=E$1:E1609))))))</f>
        <v> </v>
      </c>
      <c r="K1610" s="26" t="str">
        <f>IF(OR(E1610="",E1610="!!!",F1610="NEW"),"",INDEX(J$1:J1609,SUMPRODUCT(MAX(ROW(E$1:E1609)*(E1610=E$1:E1609)))))</f>
        <v> </v>
      </c>
      <c r="L1610" s="27"/>
    </row>
    <row r="1611" spans="1:12">
      <c r="A1611" s="20" t="s">
        <v>1020</v>
      </c>
      <c r="E1611" s="22">
        <f>IF(D1611="?OLD","!!!","")</f>
        <v/>
      </c>
      <c r="F1611" s="23" t="str">
        <f>IF(OR(E1611="",E1611="!!!"),"",IF(NOT(ISNA(VLOOKUP(E1611,E$1:E1610,1,FALSE()))),"OLD",IF(AND(E1611&lt;&gt;"",E1611&lt;&gt;"!!!"),"NEW","")))</f>
        <v> </v>
      </c>
      <c r="G1611" s="24" t="str">
        <f>IF(OR(E1611="",E1611="!!!"),"",IF(OR(J1611=0,AND(J1611=1,K1611=1),AND(J1611=1,I1611="SBJ"),AND(J1611=1,I1611=0)),"?IN_FOCUS",IF(J1611&lt;=2,"?ACTIVATED",IF(J1611&lt;&gt;"","?FAMILIAR",IF(F1611="NEW",IF(ISNA(VLOOKUP(E1611,#REF!,1,FALSE())),"?TYPE_IDENTIFIABLE","?REFERENTIAL"),"_")))))</f>
        <v> </v>
      </c>
      <c r="H1611" s="25" t="str">
        <f>IF(J1611&lt;&gt;1,"",IF(I1611="SBJ","CB","?"))</f>
        <v> </v>
      </c>
      <c r="I1611" s="26" t="str">
        <f>IF(OR(E1611="",E1611="!!!",F1611="NEW"),"",INDEX(B1610:B$2,-1+SUMPRODUCT(MAX(ROW(E1610:E$2)*(E1611=E1610:E$2)))))</f>
        <v> </v>
      </c>
      <c r="J1611" s="26" t="str">
        <f>IF(OR(E1611="",E1611="!!!",F1611="NEW"),"",COUNTBLANK(OFFSET(A$1,,,SUMPRODUCT(MAX(ROW(E$2:E1611)*(E1611=E$2:E1611)))))-COUNTBLANK(OFFSET(A$1,,,SUMPRODUCT(MAX(ROW(E$1:E1610)*(E2=E$1:E1610))))))</f>
        <v> </v>
      </c>
      <c r="K1611" s="26" t="str">
        <f>IF(OR(E1611="",E1611="!!!",F1611="NEW"),"",INDEX(J$1:J1610,SUMPRODUCT(MAX(ROW(E$1:E1610)*(E1611=E$1:E1610)))))</f>
        <v> </v>
      </c>
      <c r="L1611" s="27"/>
    </row>
    <row r="1612" spans="1:12">
      <c r="A1612" s="20" t="s">
        <v>1211</v>
      </c>
      <c r="B1612" s="21" t="s">
        <v>1251</v>
      </c>
      <c r="C1612" s="21" t="s">
        <v>1006</v>
      </c>
      <c r="D1612" s="21" t="s">
        <v>1007</v>
      </c>
      <c r="E1612" s="22">
        <f>IF(D1612="?OLD","!!!","")</f>
        <v/>
      </c>
      <c r="F1612" s="23" t="str">
        <f>IF(OR(E1612="",E1612="!!!"),"",IF(NOT(ISNA(VLOOKUP(E1612,E$1:E1611,1,FALSE()))),"OLD",IF(AND(E1612&lt;&gt;"",E1612&lt;&gt;"!!!"),"NEW","")))</f>
        <v> </v>
      </c>
      <c r="G1612" s="24" t="str">
        <f>IF(OR(E1612="",E1612="!!!"),"",IF(OR(J1612=0,AND(J1612=1,K1612=1),AND(J1612=1,I1612="SBJ"),AND(J1612=1,I1612=0)),"?IN_FOCUS",IF(J1612&lt;=2,"?ACTIVATED",IF(J1612&lt;&gt;"","?FAMILIAR",IF(F1612="NEW",IF(ISNA(VLOOKUP(E1612,#REF!,1,FALSE())),"?TYPE_IDENTIFIABLE","?REFERENTIAL"),"_")))))</f>
        <v> </v>
      </c>
      <c r="H1612" s="25" t="str">
        <f>IF(J1612&lt;&gt;1,"",IF(I1612="SBJ","CB","?"))</f>
        <v> </v>
      </c>
      <c r="I1612" s="26" t="str">
        <f>IF(OR(E1612="",E1612="!!!",F1612="NEW"),"",INDEX(B1611:B$2,-1+SUMPRODUCT(MAX(ROW(E1611:E$2)*(E1612=E1611:E$2)))))</f>
        <v> </v>
      </c>
      <c r="J1612" s="26" t="str">
        <f>IF(OR(E1612="",E1612="!!!",F1612="NEW"),"",COUNTBLANK(OFFSET(A$1,,,SUMPRODUCT(MAX(ROW(E$2:E1612)*(E1612=E$2:E1612)))))-COUNTBLANK(OFFSET(A$1,,,SUMPRODUCT(MAX(ROW(E$1:E1611)*(E2=E$1:E1611))))))</f>
        <v> </v>
      </c>
      <c r="K1612" s="26" t="str">
        <f>IF(OR(E1612="",E1612="!!!",F1612="NEW"),"",INDEX(J$1:J1611,SUMPRODUCT(MAX(ROW(E$1:E1611)*(E1612=E$1:E1611)))))</f>
        <v> </v>
      </c>
      <c r="L1612" s="27"/>
    </row>
    <row r="1613" spans="1:12">
      <c r="A1613" s="20" t="s">
        <v>1600</v>
      </c>
      <c r="E1613" s="22">
        <f>IF(D1613="?OLD","!!!","")</f>
        <v/>
      </c>
      <c r="F1613" s="23" t="str">
        <f>IF(OR(E1613="",E1613="!!!"),"",IF(NOT(ISNA(VLOOKUP(E1613,E$1:E1612,1,FALSE()))),"OLD",IF(AND(E1613&lt;&gt;"",E1613&lt;&gt;"!!!"),"NEW","")))</f>
        <v> </v>
      </c>
      <c r="G1613" s="24" t="str">
        <f>IF(OR(E1613="",E1613="!!!"),"",IF(OR(J1613=0,AND(J1613=1,K1613=1),AND(J1613=1,I1613="SBJ"),AND(J1613=1,I1613=0)),"?IN_FOCUS",IF(J1613&lt;=2,"?ACTIVATED",IF(J1613&lt;&gt;"","?FAMILIAR",IF(F1613="NEW",IF(ISNA(VLOOKUP(E1613,#REF!,1,FALSE())),"?TYPE_IDENTIFIABLE","?REFERENTIAL"),"_")))))</f>
        <v> </v>
      </c>
      <c r="H1613" s="25" t="str">
        <f>IF(J1613&lt;&gt;1,"",IF(I1613="SBJ","CB","?"))</f>
        <v> </v>
      </c>
      <c r="I1613" s="26" t="str">
        <f>IF(OR(E1613="",E1613="!!!",F1613="NEW"),"",INDEX(B1612:B$2,-1+SUMPRODUCT(MAX(ROW(E1612:E$2)*(E1613=E1612:E$2)))))</f>
        <v> </v>
      </c>
      <c r="J1613" s="26" t="str">
        <f>IF(OR(E1613="",E1613="!!!",F1613="NEW"),"",COUNTBLANK(OFFSET(A$1,,,SUMPRODUCT(MAX(ROW(E$2:E1613)*(E1613=E$2:E1613)))))-COUNTBLANK(OFFSET(A$1,,,SUMPRODUCT(MAX(ROW(E$1:E1612)*(E2=E$1:E1612))))))</f>
        <v> </v>
      </c>
      <c r="K1613" s="26" t="str">
        <f>IF(OR(E1613="",E1613="!!!",F1613="NEW"),"",INDEX(J$1:J1612,SUMPRODUCT(MAX(ROW(E$1:E1612)*(E1613=E$1:E1612)))))</f>
        <v> </v>
      </c>
      <c r="L1613" s="27"/>
    </row>
    <row r="1614" spans="1:12">
      <c r="A1614" s="20" t="s">
        <v>1030</v>
      </c>
      <c r="E1614" s="22">
        <f>IF(D1614="?OLD","!!!","")</f>
        <v/>
      </c>
      <c r="F1614" s="23" t="str">
        <f>IF(OR(E1614="",E1614="!!!"),"",IF(NOT(ISNA(VLOOKUP(E1614,E$1:E1613,1,FALSE()))),"OLD",IF(AND(E1614&lt;&gt;"",E1614&lt;&gt;"!!!"),"NEW","")))</f>
        <v> </v>
      </c>
      <c r="G1614" s="24" t="str">
        <f>IF(OR(E1614="",E1614="!!!"),"",IF(OR(J1614=0,AND(J1614=1,K1614=1),AND(J1614=1,I1614="SBJ"),AND(J1614=1,I1614=0)),"?IN_FOCUS",IF(J1614&lt;=2,"?ACTIVATED",IF(J1614&lt;&gt;"","?FAMILIAR",IF(F1614="NEW",IF(ISNA(VLOOKUP(E1614,#REF!,1,FALSE())),"?TYPE_IDENTIFIABLE","?REFERENTIAL"),"_")))))</f>
        <v> </v>
      </c>
      <c r="H1614" s="25" t="str">
        <f>IF(J1614&lt;&gt;1,"",IF(I1614="SBJ","CB","?"))</f>
        <v> </v>
      </c>
      <c r="I1614" s="26" t="str">
        <f>IF(OR(E1614="",E1614="!!!",F1614="NEW"),"",INDEX(B1613:B$2,-1+SUMPRODUCT(MAX(ROW(E1613:E$2)*(E1614=E1613:E$2)))))</f>
        <v> </v>
      </c>
      <c r="J1614" s="26" t="str">
        <f>IF(OR(E1614="",E1614="!!!",F1614="NEW"),"",COUNTBLANK(OFFSET(A$1,,,SUMPRODUCT(MAX(ROW(E$2:E1614)*(E1614=E$2:E1614)))))-COUNTBLANK(OFFSET(A$1,,,SUMPRODUCT(MAX(ROW(E$1:E1613)*(E2=E$1:E1613))))))</f>
        <v> </v>
      </c>
      <c r="K1614" s="26" t="str">
        <f>IF(OR(E1614="",E1614="!!!",F1614="NEW"),"",INDEX(J$1:J1613,SUMPRODUCT(MAX(ROW(E$1:E1613)*(E1614=E$1:E1613)))))</f>
        <v> </v>
      </c>
      <c r="L1614" s="27"/>
    </row>
    <row r="1615" spans="1:12">
      <c r="A1615" s="20" t="s">
        <v>102</v>
      </c>
      <c r="E1615" s="22">
        <f>IF(D1615="?OLD","!!!","")</f>
        <v/>
      </c>
      <c r="F1615" s="23" t="str">
        <f>IF(OR(E1615="",E1615="!!!"),"",IF(NOT(ISNA(VLOOKUP(E1615,E$1:E1614,1,FALSE()))),"OLD",IF(AND(E1615&lt;&gt;"",E1615&lt;&gt;"!!!"),"NEW","")))</f>
        <v> </v>
      </c>
      <c r="G1615" s="24" t="str">
        <f>IF(OR(E1615="",E1615="!!!"),"",IF(OR(J1615=0,AND(J1615=1,K1615=1),AND(J1615=1,I1615="SBJ"),AND(J1615=1,I1615=0)),"?IN_FOCUS",IF(J1615&lt;=2,"?ACTIVATED",IF(J1615&lt;&gt;"","?FAMILIAR",IF(F1615="NEW",IF(ISNA(VLOOKUP(E1615,#REF!,1,FALSE())),"?TYPE_IDENTIFIABLE","?REFERENTIAL"),"_")))))</f>
        <v> </v>
      </c>
      <c r="H1615" s="25" t="str">
        <f>IF(J1615&lt;&gt;1,"",IF(I1615="SBJ","CB","?"))</f>
        <v> </v>
      </c>
      <c r="I1615" s="26" t="str">
        <f>IF(OR(E1615="",E1615="!!!",F1615="NEW"),"",INDEX(B1614:B$2,-1+SUMPRODUCT(MAX(ROW(E1614:E$2)*(E1615=E1614:E$2)))))</f>
        <v> </v>
      </c>
      <c r="J1615" s="26" t="str">
        <f>IF(OR(E1615="",E1615="!!!",F1615="NEW"),"",COUNTBLANK(OFFSET(A$1,,,SUMPRODUCT(MAX(ROW(E$2:E1615)*(E1615=E$2:E1615)))))-COUNTBLANK(OFFSET(A$1,,,SUMPRODUCT(MAX(ROW(E$1:E1614)*(E2=E$1:E1614))))))</f>
        <v> </v>
      </c>
      <c r="K1615" s="26" t="str">
        <f>IF(OR(E1615="",E1615="!!!",F1615="NEW"),"",INDEX(J$1:J1614,SUMPRODUCT(MAX(ROW(E$1:E1614)*(E1615=E$1:E1614)))))</f>
        <v> </v>
      </c>
      <c r="L1615" s="27"/>
    </row>
    <row r="1616" spans="1:12">
      <c r="A1616" s="20" t="s">
        <v>1601</v>
      </c>
      <c r="B1616" s="21" t="s">
        <v>1042</v>
      </c>
      <c r="C1616" s="21" t="s">
        <v>1013</v>
      </c>
      <c r="D1616" s="21" t="s">
        <v>1007</v>
      </c>
      <c r="E1616" s="22">
        <f>IF(D1616="?OLD","!!!","")</f>
        <v/>
      </c>
      <c r="F1616" s="23" t="str">
        <f>IF(OR(E1616="",E1616="!!!"),"",IF(NOT(ISNA(VLOOKUP(E1616,E$1:E1615,1,FALSE()))),"OLD",IF(AND(E1616&lt;&gt;"",E1616&lt;&gt;"!!!"),"NEW","")))</f>
        <v> </v>
      </c>
      <c r="G1616" s="24" t="str">
        <f>IF(OR(E1616="",E1616="!!!"),"",IF(OR(J1616=0,AND(J1616=1,K1616=1),AND(J1616=1,I1616="SBJ"),AND(J1616=1,I1616=0)),"?IN_FOCUS",IF(J1616&lt;=2,"?ACTIVATED",IF(J1616&lt;&gt;"","?FAMILIAR",IF(F1616="NEW",IF(ISNA(VLOOKUP(E1616,#REF!,1,FALSE())),"?TYPE_IDENTIFIABLE","?REFERENTIAL"),"_")))))</f>
        <v> </v>
      </c>
      <c r="H1616" s="25" t="str">
        <f>IF(J1616&lt;&gt;1,"",IF(I1616="SBJ","CB","?"))</f>
        <v> </v>
      </c>
      <c r="I1616" s="26" t="str">
        <f>IF(OR(E1616="",E1616="!!!",F1616="NEW"),"",INDEX(B1615:B$2,-1+SUMPRODUCT(MAX(ROW(E1615:E$2)*(E1616=E1615:E$2)))))</f>
        <v> </v>
      </c>
      <c r="J1616" s="26" t="str">
        <f>IF(OR(E1616="",E1616="!!!",F1616="NEW"),"",COUNTBLANK(OFFSET(A$1,,,SUMPRODUCT(MAX(ROW(E$2:E1616)*(E1616=E$2:E1616)))))-COUNTBLANK(OFFSET(A$1,,,SUMPRODUCT(MAX(ROW(E$1:E1615)*(E2=E$1:E1615))))))</f>
        <v> </v>
      </c>
      <c r="K1616" s="26" t="str">
        <f>IF(OR(E1616="",E1616="!!!",F1616="NEW"),"",INDEX(J$1:J1615,SUMPRODUCT(MAX(ROW(E$1:E1615)*(E1616=E$1:E1615)))))</f>
        <v> </v>
      </c>
      <c r="L1616" s="27"/>
    </row>
    <row r="1617" spans="1:12">
      <c r="A1617" s="20" t="s">
        <v>1014</v>
      </c>
      <c r="E1617" s="22">
        <f>IF(D1617="?OLD","!!!","")</f>
        <v/>
      </c>
      <c r="F1617" s="23" t="str">
        <f>IF(OR(E1617="",E1617="!!!"),"",IF(NOT(ISNA(VLOOKUP(E1617,E$1:E1616,1,FALSE()))),"OLD",IF(AND(E1617&lt;&gt;"",E1617&lt;&gt;"!!!"),"NEW","")))</f>
        <v> </v>
      </c>
      <c r="G1617" s="24" t="str">
        <f>IF(OR(E1617="",E1617="!!!"),"",IF(OR(J1617=0,AND(J1617=1,K1617=1),AND(J1617=1,I1617="SBJ"),AND(J1617=1,I1617=0)),"?IN_FOCUS",IF(J1617&lt;=2,"?ACTIVATED",IF(J1617&lt;&gt;"","?FAMILIAR",IF(F1617="NEW",IF(ISNA(VLOOKUP(E1617,#REF!,1,FALSE())),"?TYPE_IDENTIFIABLE","?REFERENTIAL"),"_")))))</f>
        <v> </v>
      </c>
      <c r="H1617" s="25" t="str">
        <f>IF(J1617&lt;&gt;1,"",IF(I1617="SBJ","CB","?"))</f>
        <v> </v>
      </c>
      <c r="I1617" s="26" t="str">
        <f>IF(OR(E1617="",E1617="!!!",F1617="NEW"),"",INDEX(B1616:B$2,-1+SUMPRODUCT(MAX(ROW(E1616:E$2)*(E1617=E1616:E$2)))))</f>
        <v> </v>
      </c>
      <c r="J1617" s="26" t="str">
        <f>IF(OR(E1617="",E1617="!!!",F1617="NEW"),"",COUNTBLANK(OFFSET(A$1,,,SUMPRODUCT(MAX(ROW(E$2:E1617)*(E1617=E$2:E1617)))))-COUNTBLANK(OFFSET(A$1,,,SUMPRODUCT(MAX(ROW(E$1:E1616)*(E2=E$1:E1616))))))</f>
        <v> </v>
      </c>
      <c r="K1617" s="26" t="str">
        <f>IF(OR(E1617="",E1617="!!!",F1617="NEW"),"",INDEX(J$1:J1616,SUMPRODUCT(MAX(ROW(E$1:E1616)*(E1617=E$1:E1616)))))</f>
        <v> </v>
      </c>
      <c r="L1617" s="27"/>
    </row>
    <row r="1618" spans="1:12">
      <c r="A1618" s="20" t="s">
        <v>1518</v>
      </c>
      <c r="B1618" s="21" t="s">
        <v>1044</v>
      </c>
      <c r="C1618" s="21" t="s">
        <v>1013</v>
      </c>
      <c r="D1618" s="21" t="s">
        <v>1007</v>
      </c>
      <c r="E1618" s="22">
        <f>IF(D1618="?OLD","!!!","")</f>
        <v/>
      </c>
      <c r="F1618" s="23" t="str">
        <f>IF(OR(E1618="",E1618="!!!"),"",IF(NOT(ISNA(VLOOKUP(E1618,E$1:E1617,1,FALSE()))),"OLD",IF(AND(E1618&lt;&gt;"",E1618&lt;&gt;"!!!"),"NEW","")))</f>
        <v> </v>
      </c>
      <c r="G1618" s="24" t="str">
        <f>IF(OR(E1618="",E1618="!!!"),"",IF(OR(J1618=0,AND(J1618=1,K1618=1),AND(J1618=1,I1618="SBJ"),AND(J1618=1,I1618=0)),"?IN_FOCUS",IF(J1618&lt;=2,"?ACTIVATED",IF(J1618&lt;&gt;"","?FAMILIAR",IF(F1618="NEW",IF(ISNA(VLOOKUP(E1618,#REF!,1,FALSE())),"?TYPE_IDENTIFIABLE","?REFERENTIAL"),"_")))))</f>
        <v> </v>
      </c>
      <c r="H1618" s="25" t="str">
        <f>IF(J1618&lt;&gt;1,"",IF(I1618="SBJ","CB","?"))</f>
        <v> </v>
      </c>
      <c r="I1618" s="26" t="str">
        <f>IF(OR(E1618="",E1618="!!!",F1618="NEW"),"",INDEX(B1617:B$2,-1+SUMPRODUCT(MAX(ROW(E1617:E$2)*(E1618=E1617:E$2)))))</f>
        <v> </v>
      </c>
      <c r="J1618" s="26" t="str">
        <f>IF(OR(E1618="",E1618="!!!",F1618="NEW"),"",COUNTBLANK(OFFSET(A$1,,,SUMPRODUCT(MAX(ROW(E$2:E1618)*(E1618=E$2:E1618)))))-COUNTBLANK(OFFSET(A$1,,,SUMPRODUCT(MAX(ROW(E$1:E1617)*(E2=E$1:E1617))))))</f>
        <v> </v>
      </c>
      <c r="K1618" s="26" t="str">
        <f>IF(OR(E1618="",E1618="!!!",F1618="NEW"),"",INDEX(J$1:J1617,SUMPRODUCT(MAX(ROW(E$1:E1617)*(E1618=E$1:E1617)))))</f>
        <v> </v>
      </c>
      <c r="L1618" s="27"/>
    </row>
    <row r="1619" spans="1:12">
      <c r="A1619" s="20" t="s">
        <v>1014</v>
      </c>
      <c r="E1619" s="22">
        <f>IF(D1619="?OLD","!!!","")</f>
        <v/>
      </c>
      <c r="F1619" s="23" t="str">
        <f>IF(OR(E1619="",E1619="!!!"),"",IF(NOT(ISNA(VLOOKUP(E1619,E$1:E1618,1,FALSE()))),"OLD",IF(AND(E1619&lt;&gt;"",E1619&lt;&gt;"!!!"),"NEW","")))</f>
        <v> </v>
      </c>
      <c r="G1619" s="24" t="str">
        <f>IF(OR(E1619="",E1619="!!!"),"",IF(OR(J1619=0,AND(J1619=1,K1619=1),AND(J1619=1,I1619="SBJ"),AND(J1619=1,I1619=0)),"?IN_FOCUS",IF(J1619&lt;=2,"?ACTIVATED",IF(J1619&lt;&gt;"","?FAMILIAR",IF(F1619="NEW",IF(ISNA(VLOOKUP(E1619,#REF!,1,FALSE())),"?TYPE_IDENTIFIABLE","?REFERENTIAL"),"_")))))</f>
        <v> </v>
      </c>
      <c r="H1619" s="25" t="str">
        <f>IF(J1619&lt;&gt;1,"",IF(I1619="SBJ","CB","?"))</f>
        <v> </v>
      </c>
      <c r="I1619" s="26" t="str">
        <f>IF(OR(E1619="",E1619="!!!",F1619="NEW"),"",INDEX(B1618:B$2,-1+SUMPRODUCT(MAX(ROW(E1618:E$2)*(E1619=E1618:E$2)))))</f>
        <v> </v>
      </c>
      <c r="J1619" s="26" t="str">
        <f>IF(OR(E1619="",E1619="!!!",F1619="NEW"),"",COUNTBLANK(OFFSET(A$1,,,SUMPRODUCT(MAX(ROW(E$2:E1619)*(E1619=E$2:E1619)))))-COUNTBLANK(OFFSET(A$1,,,SUMPRODUCT(MAX(ROW(E$1:E1618)*(E2=E$1:E1618))))))</f>
        <v> </v>
      </c>
      <c r="K1619" s="26" t="str">
        <f>IF(OR(E1619="",E1619="!!!",F1619="NEW"),"",INDEX(J$1:J1618,SUMPRODUCT(MAX(ROW(E$1:E1618)*(E1619=E$1:E1618)))))</f>
        <v> </v>
      </c>
      <c r="L1619" s="27"/>
    </row>
    <row r="1620" spans="1:12">
      <c r="A1620" s="20" t="s">
        <v>1602</v>
      </c>
      <c r="B1620" s="21" t="s">
        <v>1215</v>
      </c>
      <c r="C1620" s="21" t="s">
        <v>1048</v>
      </c>
      <c r="E1620" s="22">
        <f>IF(D1620="?OLD","!!!","")</f>
        <v/>
      </c>
      <c r="F1620" s="23" t="str">
        <f>IF(OR(E1620="",E1620="!!!"),"",IF(NOT(ISNA(VLOOKUP(E1620,E$1:E1619,1,FALSE()))),"OLD",IF(AND(E1620&lt;&gt;"",E1620&lt;&gt;"!!!"),"NEW","")))</f>
        <v> </v>
      </c>
      <c r="G1620" s="24" t="str">
        <f>IF(OR(E1620="",E1620="!!!"),"",IF(OR(J1620=0,AND(J1620=1,K1620=1),AND(J1620=1,I1620="SBJ"),AND(J1620=1,I1620=0)),"?IN_FOCUS",IF(J1620&lt;=2,"?ACTIVATED",IF(J1620&lt;&gt;"","?FAMILIAR",IF(F1620="NEW",IF(ISNA(VLOOKUP(E1620,#REF!,1,FALSE())),"?TYPE_IDENTIFIABLE","?REFERENTIAL"),"_")))))</f>
        <v> </v>
      </c>
      <c r="H1620" s="25" t="str">
        <f>IF(J1620&lt;&gt;1,"",IF(I1620="SBJ","CB","?"))</f>
        <v> </v>
      </c>
      <c r="I1620" s="26" t="str">
        <f>IF(OR(E1620="",E1620="!!!",F1620="NEW"),"",INDEX(B1619:B$2,-1+SUMPRODUCT(MAX(ROW(E1619:E$2)*(E1620=E1619:E$2)))))</f>
        <v> </v>
      </c>
      <c r="J1620" s="26" t="str">
        <f>IF(OR(E1620="",E1620="!!!",F1620="NEW"),"",COUNTBLANK(OFFSET(A$1,,,SUMPRODUCT(MAX(ROW(E$2:E1620)*(E1620=E$2:E1620)))))-COUNTBLANK(OFFSET(A$1,,,SUMPRODUCT(MAX(ROW(E$1:E1619)*(E2=E$1:E1619))))))</f>
        <v> </v>
      </c>
      <c r="K1620" s="26" t="str">
        <f>IF(OR(E1620="",E1620="!!!",F1620="NEW"),"",INDEX(J$1:J1619,SUMPRODUCT(MAX(ROW(E$1:E1619)*(E1620=E$1:E1619)))))</f>
        <v> </v>
      </c>
      <c r="L1620" s="27"/>
    </row>
    <row r="1621" spans="1:12">
      <c r="A1621" s="20" t="s">
        <v>1171</v>
      </c>
      <c r="E1621" s="22">
        <f>IF(D1621="?OLD","!!!","")</f>
        <v/>
      </c>
      <c r="F1621" s="23" t="str">
        <f>IF(OR(E1621="",E1621="!!!"),"",IF(NOT(ISNA(VLOOKUP(E1621,E$1:E1620,1,FALSE()))),"OLD",IF(AND(E1621&lt;&gt;"",E1621&lt;&gt;"!!!"),"NEW","")))</f>
        <v> </v>
      </c>
      <c r="G1621" s="24" t="str">
        <f>IF(OR(E1621="",E1621="!!!"),"",IF(OR(J1621=0,AND(J1621=1,K1621=1),AND(J1621=1,I1621="SBJ"),AND(J1621=1,I1621=0)),"?IN_FOCUS",IF(J1621&lt;=2,"?ACTIVATED",IF(J1621&lt;&gt;"","?FAMILIAR",IF(F1621="NEW",IF(ISNA(VLOOKUP(E1621,#REF!,1,FALSE())),"?TYPE_IDENTIFIABLE","?REFERENTIAL"),"_")))))</f>
        <v> </v>
      </c>
      <c r="H1621" s="25" t="str">
        <f>IF(J1621&lt;&gt;1,"",IF(I1621="SBJ","CB","?"))</f>
        <v> </v>
      </c>
      <c r="I1621" s="26" t="str">
        <f>IF(OR(E1621="",E1621="!!!",F1621="NEW"),"",INDEX(B1620:B$2,-1+SUMPRODUCT(MAX(ROW(E1620:E$2)*(E1621=E1620:E$2)))))</f>
        <v> </v>
      </c>
      <c r="J1621" s="26" t="str">
        <f>IF(OR(E1621="",E1621="!!!",F1621="NEW"),"",COUNTBLANK(OFFSET(A$1,,,SUMPRODUCT(MAX(ROW(E$2:E1621)*(E1621=E$2:E1621)))))-COUNTBLANK(OFFSET(A$1,,,SUMPRODUCT(MAX(ROW(E$1:E1620)*(E2=E$1:E1620))))))</f>
        <v> </v>
      </c>
      <c r="K1621" s="26" t="str">
        <f>IF(OR(E1621="",E1621="!!!",F1621="NEW"),"",INDEX(J$1:J1620,SUMPRODUCT(MAX(ROW(E$1:E1620)*(E1621=E$1:E1620)))))</f>
        <v> </v>
      </c>
      <c r="L1621" s="27"/>
    </row>
    <row r="1622" spans="1:12">
      <c r="A1622" s="20" t="s">
        <v>102</v>
      </c>
      <c r="E1622" s="22">
        <f>IF(D1622="?OLD","!!!","")</f>
        <v/>
      </c>
      <c r="F1622" s="23" t="str">
        <f>IF(OR(E1622="",E1622="!!!"),"",IF(NOT(ISNA(VLOOKUP(E1622,E$1:E1621,1,FALSE()))),"OLD",IF(AND(E1622&lt;&gt;"",E1622&lt;&gt;"!!!"),"NEW","")))</f>
        <v> </v>
      </c>
      <c r="G1622" s="24" t="str">
        <f>IF(OR(E1622="",E1622="!!!"),"",IF(OR(J1622=0,AND(J1622=1,K1622=1),AND(J1622=1,I1622="SBJ"),AND(J1622=1,I1622=0)),"?IN_FOCUS",IF(J1622&lt;=2,"?ACTIVATED",IF(J1622&lt;&gt;"","?FAMILIAR",IF(F1622="NEW",IF(ISNA(VLOOKUP(E1622,#REF!,1,FALSE())),"?TYPE_IDENTIFIABLE","?REFERENTIAL"),"_")))))</f>
        <v> </v>
      </c>
      <c r="H1622" s="25" t="str">
        <f>IF(J1622&lt;&gt;1,"",IF(I1622="SBJ","CB","?"))</f>
        <v> </v>
      </c>
      <c r="I1622" s="26" t="str">
        <f>IF(OR(E1622="",E1622="!!!",F1622="NEW"),"",INDEX(B1621:B$2,-1+SUMPRODUCT(MAX(ROW(E1621:E$2)*(E1622=E1621:E$2)))))</f>
        <v> </v>
      </c>
      <c r="J1622" s="26" t="str">
        <f>IF(OR(E1622="",E1622="!!!",F1622="NEW"),"",COUNTBLANK(OFFSET(A$1,,,SUMPRODUCT(MAX(ROW(E$2:E1622)*(E1622=E$2:E1622)))))-COUNTBLANK(OFFSET(A$1,,,SUMPRODUCT(MAX(ROW(E$1:E1621)*(E2=E$1:E1621))))))</f>
        <v> </v>
      </c>
      <c r="K1622" s="26" t="str">
        <f>IF(OR(E1622="",E1622="!!!",F1622="NEW"),"",INDEX(J$1:J1621,SUMPRODUCT(MAX(ROW(E$1:E1621)*(E1622=E$1:E1621)))))</f>
        <v> </v>
      </c>
      <c r="L1622" s="27"/>
    </row>
    <row r="1623" spans="1:12">
      <c r="A1623" s="20" t="s">
        <v>1603</v>
      </c>
      <c r="B1623" s="21" t="s">
        <v>1215</v>
      </c>
      <c r="C1623" s="21" t="s">
        <v>1006</v>
      </c>
      <c r="D1623" s="21" t="s">
        <v>1007</v>
      </c>
      <c r="E1623" s="22">
        <f>IF(D1623="?OLD","!!!","")</f>
        <v/>
      </c>
      <c r="F1623" s="23" t="str">
        <f>IF(OR(E1623="",E1623="!!!"),"",IF(NOT(ISNA(VLOOKUP(E1623,E$1:E1622,1,FALSE()))),"OLD",IF(AND(E1623&lt;&gt;"",E1623&lt;&gt;"!!!"),"NEW","")))</f>
        <v> </v>
      </c>
      <c r="G1623" s="24" t="str">
        <f>IF(OR(E1623="",E1623="!!!"),"",IF(OR(J1623=0,AND(J1623=1,K1623=1),AND(J1623=1,I1623="SBJ"),AND(J1623=1,I1623=0)),"?IN_FOCUS",IF(J1623&lt;=2,"?ACTIVATED",IF(J1623&lt;&gt;"","?FAMILIAR",IF(F1623="NEW",IF(ISNA(VLOOKUP(E1623,#REF!,1,FALSE())),"?TYPE_IDENTIFIABLE","?REFERENTIAL"),"_")))))</f>
        <v> </v>
      </c>
      <c r="H1623" s="25" t="str">
        <f>IF(J1623&lt;&gt;1,"",IF(I1623="SBJ","CB","?"))</f>
        <v> </v>
      </c>
      <c r="I1623" s="26" t="str">
        <f>IF(OR(E1623="",E1623="!!!",F1623="NEW"),"",INDEX(B1622:B$2,-1+SUMPRODUCT(MAX(ROW(E1622:E$2)*(E1623=E1622:E$2)))))</f>
        <v> </v>
      </c>
      <c r="J1623" s="26" t="str">
        <f>IF(OR(E1623="",E1623="!!!",F1623="NEW"),"",COUNTBLANK(OFFSET(A$1,,,SUMPRODUCT(MAX(ROW(E$2:E1623)*(E1623=E$2:E1623)))))-COUNTBLANK(OFFSET(A$1,,,SUMPRODUCT(MAX(ROW(E$1:E1622)*(E2=E$1:E1622))))))</f>
        <v> </v>
      </c>
      <c r="K1623" s="26" t="str">
        <f>IF(OR(E1623="",E1623="!!!",F1623="NEW"),"",INDEX(J$1:J1622,SUMPRODUCT(MAX(ROW(E$1:E1622)*(E1623=E$1:E1622)))))</f>
        <v> </v>
      </c>
      <c r="L1623" s="27"/>
    </row>
    <row r="1624" spans="1:12">
      <c r="A1624" s="20" t="s">
        <v>56</v>
      </c>
      <c r="E1624" s="22">
        <f>IF(D1624="?OLD","!!!","")</f>
        <v/>
      </c>
      <c r="F1624" s="23" t="str">
        <f>IF(OR(E1624="",E1624="!!!"),"",IF(NOT(ISNA(VLOOKUP(E1624,E$1:E1623,1,FALSE()))),"OLD",IF(AND(E1624&lt;&gt;"",E1624&lt;&gt;"!!!"),"NEW","")))</f>
        <v> </v>
      </c>
      <c r="G1624" s="24" t="str">
        <f>IF(OR(E1624="",E1624="!!!"),"",IF(OR(J1624=0,AND(J1624=1,K1624=1),AND(J1624=1,I1624="SBJ"),AND(J1624=1,I1624=0)),"?IN_FOCUS",IF(J1624&lt;=2,"?ACTIVATED",IF(J1624&lt;&gt;"","?FAMILIAR",IF(F1624="NEW",IF(ISNA(VLOOKUP(E1624,#REF!,1,FALSE())),"?TYPE_IDENTIFIABLE","?REFERENTIAL"),"_")))))</f>
        <v> </v>
      </c>
      <c r="H1624" s="25" t="str">
        <f>IF(J1624&lt;&gt;1,"",IF(I1624="SBJ","CB","?"))</f>
        <v> </v>
      </c>
      <c r="I1624" s="26" t="str">
        <f>IF(OR(E1624="",E1624="!!!",F1624="NEW"),"",INDEX(B1623:B$2,-1+SUMPRODUCT(MAX(ROW(E1623:E$2)*(E1624=E1623:E$2)))))</f>
        <v> </v>
      </c>
      <c r="J1624" s="26" t="str">
        <f>IF(OR(E1624="",E1624="!!!",F1624="NEW"),"",COUNTBLANK(OFFSET(A$1,,,SUMPRODUCT(MAX(ROW(E$2:E1624)*(E1624=E$2:E1624)))))-COUNTBLANK(OFFSET(A$1,,,SUMPRODUCT(MAX(ROW(E$1:E1623)*(E2=E$1:E1623))))))</f>
        <v> </v>
      </c>
      <c r="K1624" s="26" t="str">
        <f>IF(OR(E1624="",E1624="!!!",F1624="NEW"),"",INDEX(J$1:J1623,SUMPRODUCT(MAX(ROW(E$1:E1623)*(E1624=E$1:E1623)))))</f>
        <v> </v>
      </c>
      <c r="L1624" s="27"/>
    </row>
    <row r="1625" spans="1:12">
      <c r="A1625" s="20" t="s">
        <v>1604</v>
      </c>
      <c r="B1625" s="21" t="s">
        <v>1217</v>
      </c>
      <c r="C1625" s="21" t="s">
        <v>1082</v>
      </c>
      <c r="D1625" s="21" t="s">
        <v>1007</v>
      </c>
      <c r="E1625" s="22">
        <f>IF(D1625="?OLD","!!!","")</f>
        <v/>
      </c>
      <c r="F1625" s="23" t="str">
        <f>IF(OR(E1625="",E1625="!!!"),"",IF(NOT(ISNA(VLOOKUP(E1625,E$1:E1624,1,FALSE()))),"OLD",IF(AND(E1625&lt;&gt;"",E1625&lt;&gt;"!!!"),"NEW","")))</f>
        <v> </v>
      </c>
      <c r="G1625" s="24" t="str">
        <f>IF(OR(E1625="",E1625="!!!"),"",IF(OR(J1625=0,AND(J1625=1,K1625=1),AND(J1625=1,I1625="SBJ"),AND(J1625=1,I1625=0)),"?IN_FOCUS",IF(J1625&lt;=2,"?ACTIVATED",IF(J1625&lt;&gt;"","?FAMILIAR",IF(F1625="NEW",IF(ISNA(VLOOKUP(E1625,#REF!,1,FALSE())),"?TYPE_IDENTIFIABLE","?REFERENTIAL"),"_")))))</f>
        <v> </v>
      </c>
      <c r="H1625" s="25" t="str">
        <f>IF(J1625&lt;&gt;1,"",IF(I1625="SBJ","CB","?"))</f>
        <v> </v>
      </c>
      <c r="I1625" s="26" t="str">
        <f>IF(OR(E1625="",E1625="!!!",F1625="NEW"),"",INDEX(B1624:B$2,-1+SUMPRODUCT(MAX(ROW(E1624:E$2)*(E1625=E1624:E$2)))))</f>
        <v> </v>
      </c>
      <c r="J1625" s="26" t="str">
        <f>IF(OR(E1625="",E1625="!!!",F1625="NEW"),"",COUNTBLANK(OFFSET(A$1,,,SUMPRODUCT(MAX(ROW(E$2:E1625)*(E1625=E$2:E1625)))))-COUNTBLANK(OFFSET(A$1,,,SUMPRODUCT(MAX(ROW(E$1:E1624)*(E2=E$1:E1624))))))</f>
        <v> </v>
      </c>
      <c r="K1625" s="26" t="str">
        <f>IF(OR(E1625="",E1625="!!!",F1625="NEW"),"",INDEX(J$1:J1624,SUMPRODUCT(MAX(ROW(E$1:E1624)*(E1625=E$1:E1624)))))</f>
        <v> </v>
      </c>
      <c r="L1625" s="27"/>
    </row>
    <row r="1626" spans="1:12">
      <c r="A1626" s="20" t="s">
        <v>1605</v>
      </c>
      <c r="E1626" s="22">
        <f>IF(D1626="?OLD","!!!","")</f>
        <v/>
      </c>
      <c r="F1626" s="23" t="str">
        <f>IF(OR(E1626="",E1626="!!!"),"",IF(NOT(ISNA(VLOOKUP(E1626,E$1:E1625,1,FALSE()))),"OLD",IF(AND(E1626&lt;&gt;"",E1626&lt;&gt;"!!!"),"NEW","")))</f>
        <v> </v>
      </c>
      <c r="G1626" s="24" t="str">
        <f>IF(OR(E1626="",E1626="!!!"),"",IF(OR(J1626=0,AND(J1626=1,K1626=1),AND(J1626=1,I1626="SBJ"),AND(J1626=1,I1626=0)),"?IN_FOCUS",IF(J1626&lt;=2,"?ACTIVATED",IF(J1626&lt;&gt;"","?FAMILIAR",IF(F1626="NEW",IF(ISNA(VLOOKUP(E1626,#REF!,1,FALSE())),"?TYPE_IDENTIFIABLE","?REFERENTIAL"),"_")))))</f>
        <v> </v>
      </c>
      <c r="H1626" s="25" t="str">
        <f>IF(J1626&lt;&gt;1,"",IF(I1626="SBJ","CB","?"))</f>
        <v> </v>
      </c>
      <c r="I1626" s="26" t="str">
        <f>IF(OR(E1626="",E1626="!!!",F1626="NEW"),"",INDEX(B1625:B$2,-1+SUMPRODUCT(MAX(ROW(E1625:E$2)*(E1626=E1625:E$2)))))</f>
        <v> </v>
      </c>
      <c r="J1626" s="26" t="str">
        <f>IF(OR(E1626="",E1626="!!!",F1626="NEW"),"",COUNTBLANK(OFFSET(A$1,,,SUMPRODUCT(MAX(ROW(E$2:E1626)*(E1626=E$2:E1626)))))-COUNTBLANK(OFFSET(A$1,,,SUMPRODUCT(MAX(ROW(E$1:E1625)*(E2=E$1:E1625))))))</f>
        <v> </v>
      </c>
      <c r="K1626" s="26" t="str">
        <f>IF(OR(E1626="",E1626="!!!",F1626="NEW"),"",INDEX(J$1:J1625,SUMPRODUCT(MAX(ROW(E$1:E1625)*(E1626=E$1:E1625)))))</f>
        <v> </v>
      </c>
      <c r="L1626" s="27"/>
    </row>
    <row r="1627" spans="1:12">
      <c r="A1627" s="20" t="s">
        <v>56</v>
      </c>
      <c r="E1627" s="22">
        <f>IF(D1627="?OLD","!!!","")</f>
        <v/>
      </c>
      <c r="F1627" s="23" t="str">
        <f>IF(OR(E1627="",E1627="!!!"),"",IF(NOT(ISNA(VLOOKUP(E1627,E$1:E1626,1,FALSE()))),"OLD",IF(AND(E1627&lt;&gt;"",E1627&lt;&gt;"!!!"),"NEW","")))</f>
        <v> </v>
      </c>
      <c r="G1627" s="24" t="str">
        <f>IF(OR(E1627="",E1627="!!!"),"",IF(OR(J1627=0,AND(J1627=1,K1627=1),AND(J1627=1,I1627="SBJ"),AND(J1627=1,I1627=0)),"?IN_FOCUS",IF(J1627&lt;=2,"?ACTIVATED",IF(J1627&lt;&gt;"","?FAMILIAR",IF(F1627="NEW",IF(ISNA(VLOOKUP(E1627,#REF!,1,FALSE())),"?TYPE_IDENTIFIABLE","?REFERENTIAL"),"_")))))</f>
        <v> </v>
      </c>
      <c r="H1627" s="25" t="str">
        <f>IF(J1627&lt;&gt;1,"",IF(I1627="SBJ","CB","?"))</f>
        <v> </v>
      </c>
      <c r="I1627" s="26" t="str">
        <f>IF(OR(E1627="",E1627="!!!",F1627="NEW"),"",INDEX(B1626:B$2,-1+SUMPRODUCT(MAX(ROW(E1626:E$2)*(E1627=E1626:E$2)))))</f>
        <v> </v>
      </c>
      <c r="J1627" s="26" t="str">
        <f>IF(OR(E1627="",E1627="!!!",F1627="NEW"),"",COUNTBLANK(OFFSET(A$1,,,SUMPRODUCT(MAX(ROW(E$2:E1627)*(E1627=E$2:E1627)))))-COUNTBLANK(OFFSET(A$1,,,SUMPRODUCT(MAX(ROW(E$1:E1626)*(E2=E$1:E1626))))))</f>
        <v> </v>
      </c>
      <c r="K1627" s="26" t="str">
        <f>IF(OR(E1627="",E1627="!!!",F1627="NEW"),"",INDEX(J$1:J1626,SUMPRODUCT(MAX(ROW(E$1:E1626)*(E1627=E$1:E1626)))))</f>
        <v> </v>
      </c>
      <c r="L1627" s="27"/>
    </row>
    <row r="1628" spans="1:12">
      <c r="A1628" s="20" t="s">
        <v>1171</v>
      </c>
      <c r="E1628" s="22">
        <f>IF(D1628="?OLD","!!!","")</f>
        <v/>
      </c>
      <c r="F1628" s="23" t="str">
        <f>IF(OR(E1628="",E1628="!!!"),"",IF(NOT(ISNA(VLOOKUP(E1628,E$1:E1627,1,FALSE()))),"OLD",IF(AND(E1628&lt;&gt;"",E1628&lt;&gt;"!!!"),"NEW","")))</f>
        <v> </v>
      </c>
      <c r="G1628" s="24" t="str">
        <f>IF(OR(E1628="",E1628="!!!"),"",IF(OR(J1628=0,AND(J1628=1,K1628=1),AND(J1628=1,I1628="SBJ"),AND(J1628=1,I1628=0)),"?IN_FOCUS",IF(J1628&lt;=2,"?ACTIVATED",IF(J1628&lt;&gt;"","?FAMILIAR",IF(F1628="NEW",IF(ISNA(VLOOKUP(E1628,#REF!,1,FALSE())),"?TYPE_IDENTIFIABLE","?REFERENTIAL"),"_")))))</f>
        <v> </v>
      </c>
      <c r="H1628" s="25" t="str">
        <f>IF(J1628&lt;&gt;1,"",IF(I1628="SBJ","CB","?"))</f>
        <v> </v>
      </c>
      <c r="I1628" s="26" t="str">
        <f>IF(OR(E1628="",E1628="!!!",F1628="NEW"),"",INDEX(B1627:B$2,-1+SUMPRODUCT(MAX(ROW(E1627:E$2)*(E1628=E1627:E$2)))))</f>
        <v> </v>
      </c>
      <c r="J1628" s="26" t="str">
        <f>IF(OR(E1628="",E1628="!!!",F1628="NEW"),"",COUNTBLANK(OFFSET(A$1,,,SUMPRODUCT(MAX(ROW(E$2:E1628)*(E1628=E$2:E1628)))))-COUNTBLANK(OFFSET(A$1,,,SUMPRODUCT(MAX(ROW(E$1:E1627)*(E2=E$1:E1627))))))</f>
        <v> </v>
      </c>
      <c r="K1628" s="26" t="str">
        <f>IF(OR(E1628="",E1628="!!!",F1628="NEW"),"",INDEX(J$1:J1627,SUMPRODUCT(MAX(ROW(E$1:E1627)*(E1628=E$1:E1627)))))</f>
        <v> </v>
      </c>
      <c r="L1628" s="27"/>
    </row>
    <row r="1629" spans="1:12">
      <c r="A1629" s="20" t="s">
        <v>102</v>
      </c>
      <c r="E1629" s="22">
        <f>IF(D1629="?OLD","!!!","")</f>
        <v/>
      </c>
      <c r="F1629" s="23" t="str">
        <f>IF(OR(E1629="",E1629="!!!"),"",IF(NOT(ISNA(VLOOKUP(E1629,E$1:E1628,1,FALSE()))),"OLD",IF(AND(E1629&lt;&gt;"",E1629&lt;&gt;"!!!"),"NEW","")))</f>
        <v> </v>
      </c>
      <c r="G1629" s="24" t="str">
        <f>IF(OR(E1629="",E1629="!!!"),"",IF(OR(J1629=0,AND(J1629=1,K1629=1),AND(J1629=1,I1629="SBJ"),AND(J1629=1,I1629=0)),"?IN_FOCUS",IF(J1629&lt;=2,"?ACTIVATED",IF(J1629&lt;&gt;"","?FAMILIAR",IF(F1629="NEW",IF(ISNA(VLOOKUP(E1629,#REF!,1,FALSE())),"?TYPE_IDENTIFIABLE","?REFERENTIAL"),"_")))))</f>
        <v> </v>
      </c>
      <c r="H1629" s="25" t="str">
        <f>IF(J1629&lt;&gt;1,"",IF(I1629="SBJ","CB","?"))</f>
        <v> </v>
      </c>
      <c r="I1629" s="26" t="str">
        <f>IF(OR(E1629="",E1629="!!!",F1629="NEW"),"",INDEX(B1628:B$2,-1+SUMPRODUCT(MAX(ROW(E1628:E$2)*(E1629=E1628:E$2)))))</f>
        <v> </v>
      </c>
      <c r="J1629" s="26" t="str">
        <f>IF(OR(E1629="",E1629="!!!",F1629="NEW"),"",COUNTBLANK(OFFSET(A$1,,,SUMPRODUCT(MAX(ROW(E$2:E1629)*(E1629=E$2:E1629)))))-COUNTBLANK(OFFSET(A$1,,,SUMPRODUCT(MAX(ROW(E$1:E1628)*(E2=E$1:E1628))))))</f>
        <v> </v>
      </c>
      <c r="K1629" s="26" t="str">
        <f>IF(OR(E1629="",E1629="!!!",F1629="NEW"),"",INDEX(J$1:J1628,SUMPRODUCT(MAX(ROW(E$1:E1628)*(E1629=E$1:E1628)))))</f>
        <v> </v>
      </c>
      <c r="L1629" s="27"/>
    </row>
    <row r="1630" spans="1:12">
      <c r="A1630" s="20" t="s">
        <v>1464</v>
      </c>
      <c r="B1630" s="21" t="s">
        <v>1044</v>
      </c>
      <c r="C1630" s="21" t="s">
        <v>1006</v>
      </c>
      <c r="D1630" s="21" t="s">
        <v>1007</v>
      </c>
      <c r="E1630" s="22">
        <f>IF(D1630="?OLD","!!!","")</f>
        <v/>
      </c>
      <c r="F1630" s="23" t="str">
        <f>IF(OR(E1630="",E1630="!!!"),"",IF(NOT(ISNA(VLOOKUP(E1630,E$1:E1629,1,FALSE()))),"OLD",IF(AND(E1630&lt;&gt;"",E1630&lt;&gt;"!!!"),"NEW","")))</f>
        <v> </v>
      </c>
      <c r="G1630" s="24" t="str">
        <f>IF(OR(E1630="",E1630="!!!"),"",IF(OR(J1630=0,AND(J1630=1,K1630=1),AND(J1630=1,I1630="SBJ"),AND(J1630=1,I1630=0)),"?IN_FOCUS",IF(J1630&lt;=2,"?ACTIVATED",IF(J1630&lt;&gt;"","?FAMILIAR",IF(F1630="NEW",IF(ISNA(VLOOKUP(E1630,#REF!,1,FALSE())),"?TYPE_IDENTIFIABLE","?REFERENTIAL"),"_")))))</f>
        <v> </v>
      </c>
      <c r="H1630" s="25" t="str">
        <f>IF(J1630&lt;&gt;1,"",IF(I1630="SBJ","CB","?"))</f>
        <v> </v>
      </c>
      <c r="I1630" s="26" t="str">
        <f>IF(OR(E1630="",E1630="!!!",F1630="NEW"),"",INDEX(B1629:B$2,-1+SUMPRODUCT(MAX(ROW(E1629:E$2)*(E1630=E1629:E$2)))))</f>
        <v> </v>
      </c>
      <c r="J1630" s="26" t="str">
        <f>IF(OR(E1630="",E1630="!!!",F1630="NEW"),"",COUNTBLANK(OFFSET(A$1,,,SUMPRODUCT(MAX(ROW(E$2:E1630)*(E1630=E$2:E1630)))))-COUNTBLANK(OFFSET(A$1,,,SUMPRODUCT(MAX(ROW(E$1:E1629)*(E2=E$1:E1629))))))</f>
        <v> </v>
      </c>
      <c r="K1630" s="26" t="str">
        <f>IF(OR(E1630="",E1630="!!!",F1630="NEW"),"",INDEX(J$1:J1629,SUMPRODUCT(MAX(ROW(E$1:E1629)*(E1630=E$1:E1629)))))</f>
        <v> </v>
      </c>
      <c r="L1630" s="27"/>
    </row>
    <row r="1631" spans="1:12">
      <c r="A1631" s="20" t="s">
        <v>56</v>
      </c>
      <c r="E1631" s="22">
        <f>IF(D1631="?OLD","!!!","")</f>
        <v/>
      </c>
      <c r="F1631" s="23" t="str">
        <f>IF(OR(E1631="",E1631="!!!"),"",IF(NOT(ISNA(VLOOKUP(E1631,E$1:E1630,1,FALSE()))),"OLD",IF(AND(E1631&lt;&gt;"",E1631&lt;&gt;"!!!"),"NEW","")))</f>
        <v> </v>
      </c>
      <c r="G1631" s="24" t="str">
        <f>IF(OR(E1631="",E1631="!!!"),"",IF(OR(J1631=0,AND(J1631=1,K1631=1),AND(J1631=1,I1631="SBJ"),AND(J1631=1,I1631=0)),"?IN_FOCUS",IF(J1631&lt;=2,"?ACTIVATED",IF(J1631&lt;&gt;"","?FAMILIAR",IF(F1631="NEW",IF(ISNA(VLOOKUP(E1631,#REF!,1,FALSE())),"?TYPE_IDENTIFIABLE","?REFERENTIAL"),"_")))))</f>
        <v> </v>
      </c>
      <c r="H1631" s="25" t="str">
        <f>IF(J1631&lt;&gt;1,"",IF(I1631="SBJ","CB","?"))</f>
        <v> </v>
      </c>
      <c r="I1631" s="26" t="str">
        <f>IF(OR(E1631="",E1631="!!!",F1631="NEW"),"",INDEX(B1630:B$2,-1+SUMPRODUCT(MAX(ROW(E1630:E$2)*(E1631=E1630:E$2)))))</f>
        <v> </v>
      </c>
      <c r="J1631" s="26" t="str">
        <f>IF(OR(E1631="",E1631="!!!",F1631="NEW"),"",COUNTBLANK(OFFSET(A$1,,,SUMPRODUCT(MAX(ROW(E$2:E1631)*(E1631=E$2:E1631)))))-COUNTBLANK(OFFSET(A$1,,,SUMPRODUCT(MAX(ROW(E$1:E1630)*(E2=E$1:E1630))))))</f>
        <v> </v>
      </c>
      <c r="K1631" s="26" t="str">
        <f>IF(OR(E1631="",E1631="!!!",F1631="NEW"),"",INDEX(J$1:J1630,SUMPRODUCT(MAX(ROW(E$1:E1630)*(E1631=E$1:E1630)))))</f>
        <v> </v>
      </c>
      <c r="L1631" s="27"/>
    </row>
    <row r="1632" spans="1:12">
      <c r="A1632" s="20" t="s">
        <v>1604</v>
      </c>
      <c r="B1632" s="21" t="s">
        <v>1215</v>
      </c>
      <c r="C1632" s="21" t="s">
        <v>1082</v>
      </c>
      <c r="D1632" s="21" t="s">
        <v>1007</v>
      </c>
      <c r="E1632" s="22">
        <f>IF(D1632="?OLD","!!!","")</f>
        <v/>
      </c>
      <c r="F1632" s="23" t="str">
        <f>IF(OR(E1632="",E1632="!!!"),"",IF(NOT(ISNA(VLOOKUP(E1632,E$1:E1631,1,FALSE()))),"OLD",IF(AND(E1632&lt;&gt;"",E1632&lt;&gt;"!!!"),"NEW","")))</f>
        <v> </v>
      </c>
      <c r="G1632" s="24" t="str">
        <f>IF(OR(E1632="",E1632="!!!"),"",IF(OR(J1632=0,AND(J1632=1,K1632=1),AND(J1632=1,I1632="SBJ"),AND(J1632=1,I1632=0)),"?IN_FOCUS",IF(J1632&lt;=2,"?ACTIVATED",IF(J1632&lt;&gt;"","?FAMILIAR",IF(F1632="NEW",IF(ISNA(VLOOKUP(E1632,#REF!,1,FALSE())),"?TYPE_IDENTIFIABLE","?REFERENTIAL"),"_")))))</f>
        <v> </v>
      </c>
      <c r="H1632" s="25" t="str">
        <f>IF(J1632&lt;&gt;1,"",IF(I1632="SBJ","CB","?"))</f>
        <v> </v>
      </c>
      <c r="I1632" s="26" t="str">
        <f>IF(OR(E1632="",E1632="!!!",F1632="NEW"),"",INDEX(B1631:B$2,-1+SUMPRODUCT(MAX(ROW(E1631:E$2)*(E1632=E1631:E$2)))))</f>
        <v> </v>
      </c>
      <c r="J1632" s="26" t="str">
        <f>IF(OR(E1632="",E1632="!!!",F1632="NEW"),"",COUNTBLANK(OFFSET(A$1,,,SUMPRODUCT(MAX(ROW(E$2:E1632)*(E1632=E$2:E1632)))))-COUNTBLANK(OFFSET(A$1,,,SUMPRODUCT(MAX(ROW(E$1:E1631)*(E2=E$1:E1631))))))</f>
        <v> </v>
      </c>
      <c r="K1632" s="26" t="str">
        <f>IF(OR(E1632="",E1632="!!!",F1632="NEW"),"",INDEX(J$1:J1631,SUMPRODUCT(MAX(ROW(E$1:E1631)*(E1632=E$1:E1631)))))</f>
        <v> </v>
      </c>
      <c r="L1632" s="27"/>
    </row>
    <row r="1633" spans="1:12">
      <c r="A1633" s="20" t="s">
        <v>1605</v>
      </c>
      <c r="E1633" s="22">
        <f>IF(D1633="?OLD","!!!","")</f>
        <v/>
      </c>
      <c r="F1633" s="23" t="str">
        <f>IF(OR(E1633="",E1633="!!!"),"",IF(NOT(ISNA(VLOOKUP(E1633,E$1:E1632,1,FALSE()))),"OLD",IF(AND(E1633&lt;&gt;"",E1633&lt;&gt;"!!!"),"NEW","")))</f>
        <v> </v>
      </c>
      <c r="G1633" s="24" t="str">
        <f>IF(OR(E1633="",E1633="!!!"),"",IF(OR(J1633=0,AND(J1633=1,K1633=1),AND(J1633=1,I1633="SBJ"),AND(J1633=1,I1633=0)),"?IN_FOCUS",IF(J1633&lt;=2,"?ACTIVATED",IF(J1633&lt;&gt;"","?FAMILIAR",IF(F1633="NEW",IF(ISNA(VLOOKUP(E1633,#REF!,1,FALSE())),"?TYPE_IDENTIFIABLE","?REFERENTIAL"),"_")))))</f>
        <v> </v>
      </c>
      <c r="H1633" s="25" t="str">
        <f>IF(J1633&lt;&gt;1,"",IF(I1633="SBJ","CB","?"))</f>
        <v> </v>
      </c>
      <c r="I1633" s="26" t="str">
        <f>IF(OR(E1633="",E1633="!!!",F1633="NEW"),"",INDEX(B1632:B$2,-1+SUMPRODUCT(MAX(ROW(E1632:E$2)*(E1633=E1632:E$2)))))</f>
        <v> </v>
      </c>
      <c r="J1633" s="26" t="str">
        <f>IF(OR(E1633="",E1633="!!!",F1633="NEW"),"",COUNTBLANK(OFFSET(A$1,,,SUMPRODUCT(MAX(ROW(E$2:E1633)*(E1633=E$2:E1633)))))-COUNTBLANK(OFFSET(A$1,,,SUMPRODUCT(MAX(ROW(E$1:E1632)*(E2=E$1:E1632))))))</f>
        <v> </v>
      </c>
      <c r="K1633" s="26" t="str">
        <f>IF(OR(E1633="",E1633="!!!",F1633="NEW"),"",INDEX(J$1:J1632,SUMPRODUCT(MAX(ROW(E$1:E1632)*(E1633=E$1:E1632)))))</f>
        <v> </v>
      </c>
      <c r="L1633" s="27"/>
    </row>
    <row r="1634" spans="1:12">
      <c r="A1634" s="20" t="s">
        <v>1023</v>
      </c>
      <c r="E1634" s="22">
        <f>IF(D1634="?OLD","!!!","")</f>
        <v/>
      </c>
      <c r="F1634" s="23" t="str">
        <f>IF(OR(E1634="",E1634="!!!"),"",IF(NOT(ISNA(VLOOKUP(E1634,E$1:E1633,1,FALSE()))),"OLD",IF(AND(E1634&lt;&gt;"",E1634&lt;&gt;"!!!"),"NEW","")))</f>
        <v> </v>
      </c>
      <c r="G1634" s="24" t="str">
        <f>IF(OR(E1634="",E1634="!!!"),"",IF(OR(J1634=0,AND(J1634=1,K1634=1),AND(J1634=1,I1634="SBJ"),AND(J1634=1,I1634=0)),"?IN_FOCUS",IF(J1634&lt;=2,"?ACTIVATED",IF(J1634&lt;&gt;"","?FAMILIAR",IF(F1634="NEW",IF(ISNA(VLOOKUP(E1634,#REF!,1,FALSE())),"?TYPE_IDENTIFIABLE","?REFERENTIAL"),"_")))))</f>
        <v> </v>
      </c>
      <c r="H1634" s="25" t="str">
        <f>IF(J1634&lt;&gt;1,"",IF(I1634="SBJ","CB","?"))</f>
        <v> </v>
      </c>
      <c r="I1634" s="26" t="str">
        <f>IF(OR(E1634="",E1634="!!!",F1634="NEW"),"",INDEX(B1633:B$2,-1+SUMPRODUCT(MAX(ROW(E1633:E$2)*(E1634=E1633:E$2)))))</f>
        <v> </v>
      </c>
      <c r="J1634" s="26" t="str">
        <f>IF(OR(E1634="",E1634="!!!",F1634="NEW"),"",COUNTBLANK(OFFSET(A$1,,,SUMPRODUCT(MAX(ROW(E$2:E1634)*(E1634=E$2:E1634)))))-COUNTBLANK(OFFSET(A$1,,,SUMPRODUCT(MAX(ROW(E$1:E1633)*(E2=E$1:E1633))))))</f>
        <v> </v>
      </c>
      <c r="K1634" s="26" t="str">
        <f>IF(OR(E1634="",E1634="!!!",F1634="NEW"),"",INDEX(J$1:J1633,SUMPRODUCT(MAX(ROW(E$1:E1633)*(E1634=E$1:E1633)))))</f>
        <v> </v>
      </c>
      <c r="L1634" s="27"/>
    </row>
    <row r="1635" spans="1:12">
      <c r="A1635" s="20"/>
    </row>
    <row r="1636" spans="1:12">
      <c r="A1636" s="20" t="s">
        <v>1606</v>
      </c>
    </row>
    <row r="1637" spans="1:12">
      <c r="A1637" s="20" t="s">
        <v>1607</v>
      </c>
      <c r="E1637" s="22">
        <f>IF(D1637="?OLD","!!!","")</f>
        <v/>
      </c>
      <c r="F1637" s="23" t="str">
        <f>IF(OR(E1637="",E1637="!!!"),"",IF(NOT(ISNA(VLOOKUP(E1637,E$1:E1636,1,FALSE()))),"OLD",IF(AND(E1637&lt;&gt;"",E1637&lt;&gt;"!!!"),"NEW","")))</f>
        <v> </v>
      </c>
      <c r="G1637" s="24" t="str">
        <f>IF(OR(E1637="",E1637="!!!"),"",IF(OR(J1637=0,AND(J1637=1,K1637=1),AND(J1637=1,I1637="SBJ"),AND(J1637=1,I1637=0)),"?IN_FOCUS",IF(J1637&lt;=2,"?ACTIVATED",IF(J1637&lt;&gt;"","?FAMILIAR",IF(F1637="NEW",IF(ISNA(VLOOKUP(E1637,#REF!,1,FALSE())),"?TYPE_IDENTIFIABLE","?REFERENTIAL"),"_")))))</f>
        <v> </v>
      </c>
      <c r="H1637" s="25" t="str">
        <f>IF(J1637&lt;&gt;1,"",IF(I1637="SBJ","CB","?"))</f>
        <v> </v>
      </c>
      <c r="I1637" s="26" t="str">
        <f>IF(OR(E1637="",E1637="!!!",F1637="NEW"),"",INDEX(B1636:B$2,-1+SUMPRODUCT(MAX(ROW(E1636:E$2)*(E1637=E1636:E$2)))))</f>
        <v> </v>
      </c>
      <c r="J1637" s="26" t="str">
        <f>IF(OR(E1637="",E1637="!!!",F1637="NEW"),"",COUNTBLANK(OFFSET(A$1,,,SUMPRODUCT(MAX(ROW(E$2:E1637)*(E1637=E$2:E1637)))))-COUNTBLANK(OFFSET(A$1,,,SUMPRODUCT(MAX(ROW(E$1:E1636)*(E2=E$1:E1636))))))</f>
        <v> </v>
      </c>
      <c r="K1637" s="26" t="str">
        <f>IF(OR(E1637="",E1637="!!!",F1637="NEW"),"",INDEX(J$1:J1636,SUMPRODUCT(MAX(ROW(E$1:E1636)*(E1637=E$1:E1636)))))</f>
        <v> </v>
      </c>
      <c r="L1637" s="27"/>
    </row>
    <row r="1638" spans="1:12">
      <c r="A1638" s="20" t="s">
        <v>1018</v>
      </c>
      <c r="E1638" s="22">
        <f>IF(D1638="?OLD","!!!","")</f>
        <v/>
      </c>
      <c r="F1638" s="23" t="str">
        <f>IF(OR(E1638="",E1638="!!!"),"",IF(NOT(ISNA(VLOOKUP(E1638,E$1:E1637,1,FALSE()))),"OLD",IF(AND(E1638&lt;&gt;"",E1638&lt;&gt;"!!!"),"NEW","")))</f>
        <v> </v>
      </c>
      <c r="G1638" s="24" t="str">
        <f>IF(OR(E1638="",E1638="!!!"),"",IF(OR(J1638=0,AND(J1638=1,K1638=1),AND(J1638=1,I1638="SBJ"),AND(J1638=1,I1638=0)),"?IN_FOCUS",IF(J1638&lt;=2,"?ACTIVATED",IF(J1638&lt;&gt;"","?FAMILIAR",IF(F1638="NEW",IF(ISNA(VLOOKUP(E1638,#REF!,1,FALSE())),"?TYPE_IDENTIFIABLE","?REFERENTIAL"),"_")))))</f>
        <v> </v>
      </c>
      <c r="H1638" s="25" t="str">
        <f>IF(J1638&lt;&gt;1,"",IF(I1638="SBJ","CB","?"))</f>
        <v> </v>
      </c>
      <c r="I1638" s="26" t="str">
        <f>IF(OR(E1638="",E1638="!!!",F1638="NEW"),"",INDEX(B1637:B$2,-1+SUMPRODUCT(MAX(ROW(E1637:E$2)*(E1638=E1637:E$2)))))</f>
        <v> </v>
      </c>
      <c r="J1638" s="26" t="str">
        <f>IF(OR(E1638="",E1638="!!!",F1638="NEW"),"",COUNTBLANK(OFFSET(A$1,,,SUMPRODUCT(MAX(ROW(E$2:E1638)*(E1638=E$2:E1638)))))-COUNTBLANK(OFFSET(A$1,,,SUMPRODUCT(MAX(ROW(E$1:E1637)*(E2=E$1:E1637))))))</f>
        <v> </v>
      </c>
      <c r="K1638" s="26" t="str">
        <f>IF(OR(E1638="",E1638="!!!",F1638="NEW"),"",INDEX(J$1:J1637,SUMPRODUCT(MAX(ROW(E$1:E1637)*(E1638=E$1:E1637)))))</f>
        <v> </v>
      </c>
      <c r="L1638" s="27"/>
    </row>
    <row r="1639" spans="1:12">
      <c r="A1639" s="20" t="s">
        <v>1116</v>
      </c>
      <c r="E1639" s="22">
        <f>IF(D1639="?OLD","!!!","")</f>
        <v/>
      </c>
      <c r="F1639" s="23" t="str">
        <f>IF(OR(E1639="",E1639="!!!"),"",IF(NOT(ISNA(VLOOKUP(E1639,E$1:E1638,1,FALSE()))),"OLD",IF(AND(E1639&lt;&gt;"",E1639&lt;&gt;"!!!"),"NEW","")))</f>
        <v> </v>
      </c>
      <c r="G1639" s="24" t="str">
        <f>IF(OR(E1639="",E1639="!!!"),"",IF(OR(J1639=0,AND(J1639=1,K1639=1),AND(J1639=1,I1639="SBJ"),AND(J1639=1,I1639=0)),"?IN_FOCUS",IF(J1639&lt;=2,"?ACTIVATED",IF(J1639&lt;&gt;"","?FAMILIAR",IF(F1639="NEW",IF(ISNA(VLOOKUP(E1639,#REF!,1,FALSE())),"?TYPE_IDENTIFIABLE","?REFERENTIAL"),"_")))))</f>
        <v> </v>
      </c>
      <c r="H1639" s="25" t="str">
        <f>IF(J1639&lt;&gt;1,"",IF(I1639="SBJ","CB","?"))</f>
        <v> </v>
      </c>
      <c r="I1639" s="26" t="str">
        <f>IF(OR(E1639="",E1639="!!!",F1639="NEW"),"",INDEX(B1638:B$2,-1+SUMPRODUCT(MAX(ROW(E1638:E$2)*(E1639=E1638:E$2)))))</f>
        <v> </v>
      </c>
      <c r="J1639" s="26" t="str">
        <f>IF(OR(E1639="",E1639="!!!",F1639="NEW"),"",COUNTBLANK(OFFSET(A$1,,,SUMPRODUCT(MAX(ROW(E$2:E1639)*(E1639=E$2:E1639)))))-COUNTBLANK(OFFSET(A$1,,,SUMPRODUCT(MAX(ROW(E$1:E1638)*(E2=E$1:E1638))))))</f>
        <v> </v>
      </c>
      <c r="K1639" s="26" t="str">
        <f>IF(OR(E1639="",E1639="!!!",F1639="NEW"),"",INDEX(J$1:J1638,SUMPRODUCT(MAX(ROW(E$1:E1638)*(E1639=E$1:E1638)))))</f>
        <v> </v>
      </c>
      <c r="L1639" s="27"/>
    </row>
    <row r="1640" spans="1:12">
      <c r="A1640" s="20" t="s">
        <v>1027</v>
      </c>
      <c r="E1640" s="22">
        <f>IF(D1640="?OLD","!!!","")</f>
        <v/>
      </c>
      <c r="F1640" s="23" t="str">
        <f>IF(OR(E1640="",E1640="!!!"),"",IF(NOT(ISNA(VLOOKUP(E1640,E$1:E1639,1,FALSE()))),"OLD",IF(AND(E1640&lt;&gt;"",E1640&lt;&gt;"!!!"),"NEW","")))</f>
        <v> </v>
      </c>
      <c r="G1640" s="24" t="str">
        <f>IF(OR(E1640="",E1640="!!!"),"",IF(OR(J1640=0,AND(J1640=1,K1640=1),AND(J1640=1,I1640="SBJ"),AND(J1640=1,I1640=0)),"?IN_FOCUS",IF(J1640&lt;=2,"?ACTIVATED",IF(J1640&lt;&gt;"","?FAMILIAR",IF(F1640="NEW",IF(ISNA(VLOOKUP(E1640,#REF!,1,FALSE())),"?TYPE_IDENTIFIABLE","?REFERENTIAL"),"_")))))</f>
        <v> </v>
      </c>
      <c r="H1640" s="25" t="str">
        <f>IF(J1640&lt;&gt;1,"",IF(I1640="SBJ","CB","?"))</f>
        <v> </v>
      </c>
      <c r="I1640" s="26" t="str">
        <f>IF(OR(E1640="",E1640="!!!",F1640="NEW"),"",INDEX(B1639:B$2,-1+SUMPRODUCT(MAX(ROW(E1639:E$2)*(E1640=E1639:E$2)))))</f>
        <v> </v>
      </c>
      <c r="J1640" s="26" t="str">
        <f>IF(OR(E1640="",E1640="!!!",F1640="NEW"),"",COUNTBLANK(OFFSET(A$1,,,SUMPRODUCT(MAX(ROW(E$2:E1640)*(E1640=E$2:E1640)))))-COUNTBLANK(OFFSET(A$1,,,SUMPRODUCT(MAX(ROW(E$1:E1639)*(E2=E$1:E1639))))))</f>
        <v> </v>
      </c>
      <c r="K1640" s="26" t="str">
        <f>IF(OR(E1640="",E1640="!!!",F1640="NEW"),"",INDEX(J$1:J1639,SUMPRODUCT(MAX(ROW(E$1:E1639)*(E1640=E$1:E1639)))))</f>
        <v> </v>
      </c>
      <c r="L1640" s="27"/>
    </row>
    <row r="1641" spans="1:12">
      <c r="A1641" s="20" t="s">
        <v>1460</v>
      </c>
      <c r="B1641" s="21" t="s">
        <v>1050</v>
      </c>
      <c r="C1641" s="21" t="s">
        <v>1017</v>
      </c>
      <c r="D1641" s="21" t="s">
        <v>1007</v>
      </c>
      <c r="E1641" s="22">
        <f>IF(D1641="?OLD","!!!","")</f>
        <v/>
      </c>
      <c r="F1641" s="23" t="str">
        <f>IF(OR(E1641="",E1641="!!!"),"",IF(NOT(ISNA(VLOOKUP(E1641,E$1:E1640,1,FALSE()))),"OLD",IF(AND(E1641&lt;&gt;"",E1641&lt;&gt;"!!!"),"NEW","")))</f>
        <v> </v>
      </c>
      <c r="G1641" s="24" t="str">
        <f>IF(OR(E1641="",E1641="!!!"),"",IF(OR(J1641=0,AND(J1641=1,K1641=1),AND(J1641=1,I1641="SBJ"),AND(J1641=1,I1641=0)),"?IN_FOCUS",IF(J1641&lt;=2,"?ACTIVATED",IF(J1641&lt;&gt;"","?FAMILIAR",IF(F1641="NEW",IF(ISNA(VLOOKUP(E1641,#REF!,1,FALSE())),"?TYPE_IDENTIFIABLE","?REFERENTIAL"),"_")))))</f>
        <v> </v>
      </c>
      <c r="H1641" s="25" t="str">
        <f>IF(J1641&lt;&gt;1,"",IF(I1641="SBJ","CB","?"))</f>
        <v> </v>
      </c>
      <c r="I1641" s="26" t="str">
        <f>IF(OR(E1641="",E1641="!!!",F1641="NEW"),"",INDEX(B1640:B$2,-1+SUMPRODUCT(MAX(ROW(E1640:E$2)*(E1641=E1640:E$2)))))</f>
        <v> </v>
      </c>
      <c r="J1641" s="26" t="str">
        <f>IF(OR(E1641="",E1641="!!!",F1641="NEW"),"",COUNTBLANK(OFFSET(A$1,,,SUMPRODUCT(MAX(ROW(E$2:E1641)*(E1641=E$2:E1641)))))-COUNTBLANK(OFFSET(A$1,,,SUMPRODUCT(MAX(ROW(E$1:E1640)*(E2=E$1:E1640))))))</f>
        <v> </v>
      </c>
      <c r="K1641" s="26" t="str">
        <f>IF(OR(E1641="",E1641="!!!",F1641="NEW"),"",INDEX(J$1:J1640,SUMPRODUCT(MAX(ROW(E$1:E1640)*(E1641=E$1:E1640)))))</f>
        <v> </v>
      </c>
      <c r="L1641" s="27"/>
    </row>
    <row r="1642" spans="1:12">
      <c r="A1642" s="20" t="s">
        <v>1065</v>
      </c>
      <c r="B1642" s="21" t="s">
        <v>1120</v>
      </c>
      <c r="E1642" s="22">
        <f>IF(D1642="?OLD","!!!","")</f>
        <v/>
      </c>
      <c r="F1642" s="23" t="str">
        <f>IF(OR(E1642="",E1642="!!!"),"",IF(NOT(ISNA(VLOOKUP(E1642,E$1:E1641,1,FALSE()))),"OLD",IF(AND(E1642&lt;&gt;"",E1642&lt;&gt;"!!!"),"NEW","")))</f>
        <v> </v>
      </c>
      <c r="G1642" s="24" t="str">
        <f>IF(OR(E1642="",E1642="!!!"),"",IF(OR(J1642=0,AND(J1642=1,K1642=1),AND(J1642=1,I1642="SBJ"),AND(J1642=1,I1642=0)),"?IN_FOCUS",IF(J1642&lt;=2,"?ACTIVATED",IF(J1642&lt;&gt;"","?FAMILIAR",IF(F1642="NEW",IF(ISNA(VLOOKUP(E1642,#REF!,1,FALSE())),"?TYPE_IDENTIFIABLE","?REFERENTIAL"),"_")))))</f>
        <v> </v>
      </c>
      <c r="H1642" s="25" t="str">
        <f>IF(J1642&lt;&gt;1,"",IF(I1642="SBJ","CB","?"))</f>
        <v> </v>
      </c>
      <c r="I1642" s="26" t="str">
        <f>IF(OR(E1642="",E1642="!!!",F1642="NEW"),"",INDEX(B1641:B$2,-1+SUMPRODUCT(MAX(ROW(E1641:E$2)*(E1642=E1641:E$2)))))</f>
        <v> </v>
      </c>
      <c r="J1642" s="26" t="str">
        <f>IF(OR(E1642="",E1642="!!!",F1642="NEW"),"",COUNTBLANK(OFFSET(A$1,,,SUMPRODUCT(MAX(ROW(E$2:E1642)*(E1642=E$2:E1642)))))-COUNTBLANK(OFFSET(A$1,,,SUMPRODUCT(MAX(ROW(E$1:E1641)*(E2=E$1:E1641))))))</f>
        <v> </v>
      </c>
      <c r="K1642" s="26" t="str">
        <f>IF(OR(E1642="",E1642="!!!",F1642="NEW"),"",INDEX(J$1:J1641,SUMPRODUCT(MAX(ROW(E$1:E1641)*(E1642=E$1:E1641)))))</f>
        <v> </v>
      </c>
      <c r="L1642" s="27"/>
    </row>
    <row r="1643" spans="1:12">
      <c r="A1643" s="20" t="s">
        <v>1387</v>
      </c>
      <c r="E1643" s="22">
        <f>IF(D1643="?OLD","!!!","")</f>
        <v/>
      </c>
      <c r="F1643" s="23" t="str">
        <f>IF(OR(E1643="",E1643="!!!"),"",IF(NOT(ISNA(VLOOKUP(E1643,E$1:E1642,1,FALSE()))),"OLD",IF(AND(E1643&lt;&gt;"",E1643&lt;&gt;"!!!"),"NEW","")))</f>
        <v> </v>
      </c>
      <c r="G1643" s="24" t="str">
        <f>IF(OR(E1643="",E1643="!!!"),"",IF(OR(J1643=0,AND(J1643=1,K1643=1),AND(J1643=1,I1643="SBJ"),AND(J1643=1,I1643=0)),"?IN_FOCUS",IF(J1643&lt;=2,"?ACTIVATED",IF(J1643&lt;&gt;"","?FAMILIAR",IF(F1643="NEW",IF(ISNA(VLOOKUP(E1643,#REF!,1,FALSE())),"?TYPE_IDENTIFIABLE","?REFERENTIAL"),"_")))))</f>
        <v> </v>
      </c>
      <c r="H1643" s="25" t="str">
        <f>IF(J1643&lt;&gt;1,"",IF(I1643="SBJ","CB","?"))</f>
        <v> </v>
      </c>
      <c r="I1643" s="26" t="str">
        <f>IF(OR(E1643="",E1643="!!!",F1643="NEW"),"",INDEX(B1642:B$2,-1+SUMPRODUCT(MAX(ROW(E1642:E$2)*(E1643=E1642:E$2)))))</f>
        <v> </v>
      </c>
      <c r="J1643" s="26" t="str">
        <f>IF(OR(E1643="",E1643="!!!",F1643="NEW"),"",COUNTBLANK(OFFSET(A$1,,,SUMPRODUCT(MAX(ROW(E$2:E1643)*(E1643=E$2:E1643)))))-COUNTBLANK(OFFSET(A$1,,,SUMPRODUCT(MAX(ROW(E$1:E1642)*(E2=E$1:E1642))))))</f>
        <v> </v>
      </c>
      <c r="K1643" s="26" t="str">
        <f>IF(OR(E1643="",E1643="!!!",F1643="NEW"),"",INDEX(J$1:J1642,SUMPRODUCT(MAX(ROW(E$1:E1642)*(E1643=E$1:E1642)))))</f>
        <v> </v>
      </c>
      <c r="L1643" s="27"/>
    </row>
    <row r="1644" spans="1:12">
      <c r="A1644" s="20" t="s">
        <v>1020</v>
      </c>
      <c r="E1644" s="22">
        <f>IF(D1644="?OLD","!!!","")</f>
        <v/>
      </c>
      <c r="F1644" s="23" t="str">
        <f>IF(OR(E1644="",E1644="!!!"),"",IF(NOT(ISNA(VLOOKUP(E1644,E$1:E1643,1,FALSE()))),"OLD",IF(AND(E1644&lt;&gt;"",E1644&lt;&gt;"!!!"),"NEW","")))</f>
        <v> </v>
      </c>
      <c r="G1644" s="24" t="str">
        <f>IF(OR(E1644="",E1644="!!!"),"",IF(OR(J1644=0,AND(J1644=1,K1644=1),AND(J1644=1,I1644="SBJ"),AND(J1644=1,I1644=0)),"?IN_FOCUS",IF(J1644&lt;=2,"?ACTIVATED",IF(J1644&lt;&gt;"","?FAMILIAR",IF(F1644="NEW",IF(ISNA(VLOOKUP(E1644,#REF!,1,FALSE())),"?TYPE_IDENTIFIABLE","?REFERENTIAL"),"_")))))</f>
        <v> </v>
      </c>
      <c r="H1644" s="25" t="str">
        <f>IF(J1644&lt;&gt;1,"",IF(I1644="SBJ","CB","?"))</f>
        <v> </v>
      </c>
      <c r="I1644" s="26" t="str">
        <f>IF(OR(E1644="",E1644="!!!",F1644="NEW"),"",INDEX(B1643:B$2,-1+SUMPRODUCT(MAX(ROW(E1643:E$2)*(E1644=E1643:E$2)))))</f>
        <v> </v>
      </c>
      <c r="J1644" s="26" t="str">
        <f>IF(OR(E1644="",E1644="!!!",F1644="NEW"),"",COUNTBLANK(OFFSET(A$1,,,SUMPRODUCT(MAX(ROW(E$2:E1644)*(E1644=E$2:E1644)))))-COUNTBLANK(OFFSET(A$1,,,SUMPRODUCT(MAX(ROW(E$1:E1643)*(E2=E$1:E1643))))))</f>
        <v> </v>
      </c>
      <c r="K1644" s="26" t="str">
        <f>IF(OR(E1644="",E1644="!!!",F1644="NEW"),"",INDEX(J$1:J1643,SUMPRODUCT(MAX(ROW(E$1:E1643)*(E1644=E$1:E1643)))))</f>
        <v> </v>
      </c>
      <c r="L1644" s="27"/>
    </row>
    <row r="1645" spans="1:12">
      <c r="A1645" s="20" t="s">
        <v>1608</v>
      </c>
      <c r="E1645" s="22">
        <f>IF(D1645="?OLD","!!!","")</f>
        <v/>
      </c>
      <c r="F1645" s="23" t="str">
        <f>IF(OR(E1645="",E1645="!!!"),"",IF(NOT(ISNA(VLOOKUP(E1645,E$1:E1644,1,FALSE()))),"OLD",IF(AND(E1645&lt;&gt;"",E1645&lt;&gt;"!!!"),"NEW","")))</f>
        <v> </v>
      </c>
      <c r="G1645" s="24" t="str">
        <f>IF(OR(E1645="",E1645="!!!"),"",IF(OR(J1645=0,AND(J1645=1,K1645=1),AND(J1645=1,I1645="SBJ"),AND(J1645=1,I1645=0)),"?IN_FOCUS",IF(J1645&lt;=2,"?ACTIVATED",IF(J1645&lt;&gt;"","?FAMILIAR",IF(F1645="NEW",IF(ISNA(VLOOKUP(E1645,#REF!,1,FALSE())),"?TYPE_IDENTIFIABLE","?REFERENTIAL"),"_")))))</f>
        <v> </v>
      </c>
      <c r="H1645" s="25" t="str">
        <f>IF(J1645&lt;&gt;1,"",IF(I1645="SBJ","CB","?"))</f>
        <v> </v>
      </c>
      <c r="I1645" s="26" t="str">
        <f>IF(OR(E1645="",E1645="!!!",F1645="NEW"),"",INDEX(B1644:B$2,-1+SUMPRODUCT(MAX(ROW(E1644:E$2)*(E1645=E1644:E$2)))))</f>
        <v> </v>
      </c>
      <c r="J1645" s="26" t="str">
        <f>IF(OR(E1645="",E1645="!!!",F1645="NEW"),"",COUNTBLANK(OFFSET(A$1,,,SUMPRODUCT(MAX(ROW(E$2:E1645)*(E1645=E$2:E1645)))))-COUNTBLANK(OFFSET(A$1,,,SUMPRODUCT(MAX(ROW(E$1:E1644)*(E2=E$1:E1644))))))</f>
        <v> </v>
      </c>
      <c r="K1645" s="26" t="str">
        <f>IF(OR(E1645="",E1645="!!!",F1645="NEW"),"",INDEX(J$1:J1644,SUMPRODUCT(MAX(ROW(E$1:E1644)*(E1645=E$1:E1644)))))</f>
        <v> </v>
      </c>
      <c r="L1645" s="27"/>
    </row>
    <row r="1646" spans="1:12">
      <c r="A1646" s="20" t="s">
        <v>1014</v>
      </c>
      <c r="E1646" s="22">
        <f>IF(D1646="?OLD","!!!","")</f>
        <v/>
      </c>
      <c r="F1646" s="23" t="str">
        <f>IF(OR(E1646="",E1646="!!!"),"",IF(NOT(ISNA(VLOOKUP(E1646,E$1:E1645,1,FALSE()))),"OLD",IF(AND(E1646&lt;&gt;"",E1646&lt;&gt;"!!!"),"NEW","")))</f>
        <v> </v>
      </c>
      <c r="G1646" s="24" t="str">
        <f>IF(OR(E1646="",E1646="!!!"),"",IF(OR(J1646=0,AND(J1646=1,K1646=1),AND(J1646=1,I1646="SBJ"),AND(J1646=1,I1646=0)),"?IN_FOCUS",IF(J1646&lt;=2,"?ACTIVATED",IF(J1646&lt;&gt;"","?FAMILIAR",IF(F1646="NEW",IF(ISNA(VLOOKUP(E1646,#REF!,1,FALSE())),"?TYPE_IDENTIFIABLE","?REFERENTIAL"),"_")))))</f>
        <v> </v>
      </c>
      <c r="H1646" s="25" t="str">
        <f>IF(J1646&lt;&gt;1,"",IF(I1646="SBJ","CB","?"))</f>
        <v> </v>
      </c>
      <c r="I1646" s="26" t="str">
        <f>IF(OR(E1646="",E1646="!!!",F1646="NEW"),"",INDEX(B1645:B$2,-1+SUMPRODUCT(MAX(ROW(E1645:E$2)*(E1646=E1645:E$2)))))</f>
        <v> </v>
      </c>
      <c r="J1646" s="26" t="str">
        <f>IF(OR(E1646="",E1646="!!!",F1646="NEW"),"",COUNTBLANK(OFFSET(A$1,,,SUMPRODUCT(MAX(ROW(E$2:E1646)*(E1646=E$2:E1646)))))-COUNTBLANK(OFFSET(A$1,,,SUMPRODUCT(MAX(ROW(E$1:E1645)*(E2=E$1:E1645))))))</f>
        <v> </v>
      </c>
      <c r="K1646" s="26" t="str">
        <f>IF(OR(E1646="",E1646="!!!",F1646="NEW"),"",INDEX(J$1:J1645,SUMPRODUCT(MAX(ROW(E$1:E1645)*(E1646=E$1:E1645)))))</f>
        <v> </v>
      </c>
      <c r="L1646" s="27"/>
    </row>
    <row r="1647" spans="1:12">
      <c r="A1647" s="20" t="s">
        <v>1285</v>
      </c>
      <c r="B1647" s="21" t="s">
        <v>1035</v>
      </c>
      <c r="C1647" s="21" t="s">
        <v>1048</v>
      </c>
      <c r="E1647" s="22">
        <f>IF(D1647="?OLD","!!!","")</f>
        <v/>
      </c>
      <c r="F1647" s="23" t="str">
        <f>IF(OR(E1647="",E1647="!!!"),"",IF(NOT(ISNA(VLOOKUP(E1647,E$1:E1646,1,FALSE()))),"OLD",IF(AND(E1647&lt;&gt;"",E1647&lt;&gt;"!!!"),"NEW","")))</f>
        <v> </v>
      </c>
      <c r="G1647" s="24" t="str">
        <f>IF(OR(E1647="",E1647="!!!"),"",IF(OR(J1647=0,AND(J1647=1,K1647=1),AND(J1647=1,I1647="SBJ"),AND(J1647=1,I1647=0)),"?IN_FOCUS",IF(J1647&lt;=2,"?ACTIVATED",IF(J1647&lt;&gt;"","?FAMILIAR",IF(F1647="NEW",IF(ISNA(VLOOKUP(E1647,#REF!,1,FALSE())),"?TYPE_IDENTIFIABLE","?REFERENTIAL"),"_")))))</f>
        <v> </v>
      </c>
      <c r="H1647" s="25" t="str">
        <f>IF(J1647&lt;&gt;1,"",IF(I1647="SBJ","CB","?"))</f>
        <v> </v>
      </c>
      <c r="I1647" s="26" t="str">
        <f>IF(OR(E1647="",E1647="!!!",F1647="NEW"),"",INDEX(B1646:B$2,-1+SUMPRODUCT(MAX(ROW(E1646:E$2)*(E1647=E1646:E$2)))))</f>
        <v> </v>
      </c>
      <c r="J1647" s="26" t="str">
        <f>IF(OR(E1647="",E1647="!!!",F1647="NEW"),"",COUNTBLANK(OFFSET(A$1,,,SUMPRODUCT(MAX(ROW(E$2:E1647)*(E1647=E$2:E1647)))))-COUNTBLANK(OFFSET(A$1,,,SUMPRODUCT(MAX(ROW(E$1:E1646)*(E2=E$1:E1646))))))</f>
        <v> </v>
      </c>
      <c r="K1647" s="26" t="str">
        <f>IF(OR(E1647="",E1647="!!!",F1647="NEW"),"",INDEX(J$1:J1646,SUMPRODUCT(MAX(ROW(E$1:E1646)*(E1647=E$1:E1646)))))</f>
        <v> </v>
      </c>
      <c r="L1647" s="27"/>
    </row>
    <row r="1648" spans="1:12">
      <c r="A1648" s="20" t="s">
        <v>1609</v>
      </c>
      <c r="E1648" s="22">
        <f>IF(D1648="?OLD","!!!","")</f>
        <v/>
      </c>
      <c r="F1648" s="23" t="str">
        <f>IF(OR(E1648="",E1648="!!!"),"",IF(NOT(ISNA(VLOOKUP(E1648,E$1:E1647,1,FALSE()))),"OLD",IF(AND(E1648&lt;&gt;"",E1648&lt;&gt;"!!!"),"NEW","")))</f>
        <v> </v>
      </c>
      <c r="G1648" s="24" t="str">
        <f>IF(OR(E1648="",E1648="!!!"),"",IF(OR(J1648=0,AND(J1648=1,K1648=1),AND(J1648=1,I1648="SBJ"),AND(J1648=1,I1648=0)),"?IN_FOCUS",IF(J1648&lt;=2,"?ACTIVATED",IF(J1648&lt;&gt;"","?FAMILIAR",IF(F1648="NEW",IF(ISNA(VLOOKUP(E1648,#REF!,1,FALSE())),"?TYPE_IDENTIFIABLE","?REFERENTIAL"),"_")))))</f>
        <v> </v>
      </c>
      <c r="H1648" s="25" t="str">
        <f>IF(J1648&lt;&gt;1,"",IF(I1648="SBJ","CB","?"))</f>
        <v> </v>
      </c>
      <c r="I1648" s="26" t="str">
        <f>IF(OR(E1648="",E1648="!!!",F1648="NEW"),"",INDEX(B1647:B$2,-1+SUMPRODUCT(MAX(ROW(E1647:E$2)*(E1648=E1647:E$2)))))</f>
        <v> </v>
      </c>
      <c r="J1648" s="26" t="str">
        <f>IF(OR(E1648="",E1648="!!!",F1648="NEW"),"",COUNTBLANK(OFFSET(A$1,,,SUMPRODUCT(MAX(ROW(E$2:E1648)*(E1648=E$2:E1648)))))-COUNTBLANK(OFFSET(A$1,,,SUMPRODUCT(MAX(ROW(E$1:E1647)*(E2=E$1:E1647))))))</f>
        <v> </v>
      </c>
      <c r="K1648" s="26" t="str">
        <f>IF(OR(E1648="",E1648="!!!",F1648="NEW"),"",INDEX(J$1:J1647,SUMPRODUCT(MAX(ROW(E$1:E1647)*(E1648=E$1:E1647)))))</f>
        <v> </v>
      </c>
      <c r="L1648" s="27"/>
    </row>
    <row r="1649" spans="1:12">
      <c r="A1649" s="20" t="s">
        <v>1018</v>
      </c>
      <c r="E1649" s="22">
        <f>IF(D1649="?OLD","!!!","")</f>
        <v/>
      </c>
      <c r="F1649" s="23" t="str">
        <f>IF(OR(E1649="",E1649="!!!"),"",IF(NOT(ISNA(VLOOKUP(E1649,E$1:E1648,1,FALSE()))),"OLD",IF(AND(E1649&lt;&gt;"",E1649&lt;&gt;"!!!"),"NEW","")))</f>
        <v> </v>
      </c>
      <c r="G1649" s="24" t="str">
        <f>IF(OR(E1649="",E1649="!!!"),"",IF(OR(J1649=0,AND(J1649=1,K1649=1),AND(J1649=1,I1649="SBJ"),AND(J1649=1,I1649=0)),"?IN_FOCUS",IF(J1649&lt;=2,"?ACTIVATED",IF(J1649&lt;&gt;"","?FAMILIAR",IF(F1649="NEW",IF(ISNA(VLOOKUP(E1649,#REF!,1,FALSE())),"?TYPE_IDENTIFIABLE","?REFERENTIAL"),"_")))))</f>
        <v> </v>
      </c>
      <c r="H1649" s="25" t="str">
        <f>IF(J1649&lt;&gt;1,"",IF(I1649="SBJ","CB","?"))</f>
        <v> </v>
      </c>
      <c r="I1649" s="26" t="str">
        <f>IF(OR(E1649="",E1649="!!!",F1649="NEW"),"",INDEX(B1648:B$2,-1+SUMPRODUCT(MAX(ROW(E1648:E$2)*(E1649=E1648:E$2)))))</f>
        <v> </v>
      </c>
      <c r="J1649" s="26" t="str">
        <f>IF(OR(E1649="",E1649="!!!",F1649="NEW"),"",COUNTBLANK(OFFSET(A$1,,,SUMPRODUCT(MAX(ROW(E$2:E1649)*(E1649=E$2:E1649)))))-COUNTBLANK(OFFSET(A$1,,,SUMPRODUCT(MAX(ROW(E$1:E1648)*(E2=E$1:E1648))))))</f>
        <v> </v>
      </c>
      <c r="K1649" s="26" t="str">
        <f>IF(OR(E1649="",E1649="!!!",F1649="NEW"),"",INDEX(J$1:J1648,SUMPRODUCT(MAX(ROW(E$1:E1648)*(E1649=E$1:E1648)))))</f>
        <v> </v>
      </c>
      <c r="L1649" s="27"/>
    </row>
    <row r="1650" spans="1:12">
      <c r="A1650" s="20" t="s">
        <v>1330</v>
      </c>
      <c r="E1650" s="22">
        <f>IF(D1650="?OLD","!!!","")</f>
        <v/>
      </c>
      <c r="F1650" s="23" t="str">
        <f>IF(OR(E1650="",E1650="!!!"),"",IF(NOT(ISNA(VLOOKUP(E1650,E$1:E1649,1,FALSE()))),"OLD",IF(AND(E1650&lt;&gt;"",E1650&lt;&gt;"!!!"),"NEW","")))</f>
        <v> </v>
      </c>
      <c r="G1650" s="24" t="str">
        <f>IF(OR(E1650="",E1650="!!!"),"",IF(OR(J1650=0,AND(J1650=1,K1650=1),AND(J1650=1,I1650="SBJ"),AND(J1650=1,I1650=0)),"?IN_FOCUS",IF(J1650&lt;=2,"?ACTIVATED",IF(J1650&lt;&gt;"","?FAMILIAR",IF(F1650="NEW",IF(ISNA(VLOOKUP(E1650,#REF!,1,FALSE())),"?TYPE_IDENTIFIABLE","?REFERENTIAL"),"_")))))</f>
        <v> </v>
      </c>
      <c r="H1650" s="25" t="str">
        <f>IF(J1650&lt;&gt;1,"",IF(I1650="SBJ","CB","?"))</f>
        <v> </v>
      </c>
      <c r="I1650" s="26" t="str">
        <f>IF(OR(E1650="",E1650="!!!",F1650="NEW"),"",INDEX(B1649:B$2,-1+SUMPRODUCT(MAX(ROW(E1649:E$2)*(E1650=E1649:E$2)))))</f>
        <v> </v>
      </c>
      <c r="J1650" s="26" t="str">
        <f>IF(OR(E1650="",E1650="!!!",F1650="NEW"),"",COUNTBLANK(OFFSET(A$1,,,SUMPRODUCT(MAX(ROW(E$2:E1650)*(E1650=E$2:E1650)))))-COUNTBLANK(OFFSET(A$1,,,SUMPRODUCT(MAX(ROW(E$1:E1649)*(E2=E$1:E1649))))))</f>
        <v> </v>
      </c>
      <c r="K1650" s="26" t="str">
        <f>IF(OR(E1650="",E1650="!!!",F1650="NEW"),"",INDEX(J$1:J1649,SUMPRODUCT(MAX(ROW(E$1:E1649)*(E1650=E$1:E1649)))))</f>
        <v> </v>
      </c>
      <c r="L1650" s="27"/>
    </row>
    <row r="1651" spans="1:12">
      <c r="A1651" s="20" t="s">
        <v>1036</v>
      </c>
      <c r="E1651" s="22">
        <f>IF(D1651="?OLD","!!!","")</f>
        <v/>
      </c>
      <c r="F1651" s="23" t="str">
        <f>IF(OR(E1651="",E1651="!!!"),"",IF(NOT(ISNA(VLOOKUP(E1651,E$1:E1650,1,FALSE()))),"OLD",IF(AND(E1651&lt;&gt;"",E1651&lt;&gt;"!!!"),"NEW","")))</f>
        <v> </v>
      </c>
      <c r="G1651" s="24" t="str">
        <f>IF(OR(E1651="",E1651="!!!"),"",IF(OR(J1651=0,AND(J1651=1,K1651=1),AND(J1651=1,I1651="SBJ"),AND(J1651=1,I1651=0)),"?IN_FOCUS",IF(J1651&lt;=2,"?ACTIVATED",IF(J1651&lt;&gt;"","?FAMILIAR",IF(F1651="NEW",IF(ISNA(VLOOKUP(E1651,#REF!,1,FALSE())),"?TYPE_IDENTIFIABLE","?REFERENTIAL"),"_")))))</f>
        <v> </v>
      </c>
      <c r="H1651" s="25" t="str">
        <f>IF(J1651&lt;&gt;1,"",IF(I1651="SBJ","CB","?"))</f>
        <v> </v>
      </c>
      <c r="I1651" s="26" t="str">
        <f>IF(OR(E1651="",E1651="!!!",F1651="NEW"),"",INDEX(B1650:B$2,-1+SUMPRODUCT(MAX(ROW(E1650:E$2)*(E1651=E1650:E$2)))))</f>
        <v> </v>
      </c>
      <c r="J1651" s="26" t="str">
        <f>IF(OR(E1651="",E1651="!!!",F1651="NEW"),"",COUNTBLANK(OFFSET(A$1,,,SUMPRODUCT(MAX(ROW(E$2:E1651)*(E1651=E$2:E1651)))))-COUNTBLANK(OFFSET(A$1,,,SUMPRODUCT(MAX(ROW(E$1:E1650)*(E2=E$1:E1650))))))</f>
        <v> </v>
      </c>
      <c r="K1651" s="26" t="str">
        <f>IF(OR(E1651="",E1651="!!!",F1651="NEW"),"",INDEX(J$1:J1650,SUMPRODUCT(MAX(ROW(E$1:E1650)*(E1651=E$1:E1650)))))</f>
        <v> </v>
      </c>
      <c r="L1651" s="27"/>
    </row>
    <row r="1652" spans="1:12">
      <c r="A1652" s="20" t="s">
        <v>102</v>
      </c>
      <c r="E1652" s="22">
        <f>IF(D1652="?OLD","!!!","")</f>
        <v/>
      </c>
      <c r="F1652" s="23" t="str">
        <f>IF(OR(E1652="",E1652="!!!"),"",IF(NOT(ISNA(VLOOKUP(E1652,E$1:E1651,1,FALSE()))),"OLD",IF(AND(E1652&lt;&gt;"",E1652&lt;&gt;"!!!"),"NEW","")))</f>
        <v> </v>
      </c>
      <c r="G1652" s="24" t="str">
        <f>IF(OR(E1652="",E1652="!!!"),"",IF(OR(J1652=0,AND(J1652=1,K1652=1),AND(J1652=1,I1652="SBJ"),AND(J1652=1,I1652=0)),"?IN_FOCUS",IF(J1652&lt;=2,"?ACTIVATED",IF(J1652&lt;&gt;"","?FAMILIAR",IF(F1652="NEW",IF(ISNA(VLOOKUP(E1652,#REF!,1,FALSE())),"?TYPE_IDENTIFIABLE","?REFERENTIAL"),"_")))))</f>
        <v> </v>
      </c>
      <c r="H1652" s="25" t="str">
        <f>IF(J1652&lt;&gt;1,"",IF(I1652="SBJ","CB","?"))</f>
        <v> </v>
      </c>
      <c r="I1652" s="26" t="str">
        <f>IF(OR(E1652="",E1652="!!!",F1652="NEW"),"",INDEX(B1651:B$2,-1+SUMPRODUCT(MAX(ROW(E1651:E$2)*(E1652=E1651:E$2)))))</f>
        <v> </v>
      </c>
      <c r="J1652" s="26" t="str">
        <f>IF(OR(E1652="",E1652="!!!",F1652="NEW"),"",COUNTBLANK(OFFSET(A$1,,,SUMPRODUCT(MAX(ROW(E$2:E1652)*(E1652=E$2:E1652)))))-COUNTBLANK(OFFSET(A$1,,,SUMPRODUCT(MAX(ROW(E$1:E1651)*(E2=E$1:E1651))))))</f>
        <v> </v>
      </c>
      <c r="K1652" s="26" t="str">
        <f>IF(OR(E1652="",E1652="!!!",F1652="NEW"),"",INDEX(J$1:J1651,SUMPRODUCT(MAX(ROW(E$1:E1651)*(E1652=E$1:E1651)))))</f>
        <v> </v>
      </c>
      <c r="L1652" s="27"/>
    </row>
    <row r="1653" spans="1:12">
      <c r="A1653" s="20" t="s">
        <v>1566</v>
      </c>
      <c r="B1653" s="21" t="s">
        <v>1035</v>
      </c>
      <c r="C1653" s="21" t="s">
        <v>1017</v>
      </c>
      <c r="D1653" s="21" t="s">
        <v>1007</v>
      </c>
      <c r="E1653" s="22">
        <f>IF(D1653="?OLD","!!!","")</f>
        <v/>
      </c>
      <c r="F1653" s="23" t="str">
        <f>IF(OR(E1653="",E1653="!!!"),"",IF(NOT(ISNA(VLOOKUP(E1653,E$1:E1652,1,FALSE()))),"OLD",IF(AND(E1653&lt;&gt;"",E1653&lt;&gt;"!!!"),"NEW","")))</f>
        <v> </v>
      </c>
      <c r="G1653" s="24" t="str">
        <f>IF(OR(E1653="",E1653="!!!"),"",IF(OR(J1653=0,AND(J1653=1,K1653=1),AND(J1653=1,I1653="SBJ"),AND(J1653=1,I1653=0)),"?IN_FOCUS",IF(J1653&lt;=2,"?ACTIVATED",IF(J1653&lt;&gt;"","?FAMILIAR",IF(F1653="NEW",IF(ISNA(VLOOKUP(E1653,#REF!,1,FALSE())),"?TYPE_IDENTIFIABLE","?REFERENTIAL"),"_")))))</f>
        <v> </v>
      </c>
      <c r="H1653" s="25" t="str">
        <f>IF(J1653&lt;&gt;1,"",IF(I1653="SBJ","CB","?"))</f>
        <v> </v>
      </c>
      <c r="I1653" s="26" t="str">
        <f>IF(OR(E1653="",E1653="!!!",F1653="NEW"),"",INDEX(B1652:B$2,-1+SUMPRODUCT(MAX(ROW(E1652:E$2)*(E1653=E1652:E$2)))))</f>
        <v> </v>
      </c>
      <c r="J1653" s="26" t="str">
        <f>IF(OR(E1653="",E1653="!!!",F1653="NEW"),"",COUNTBLANK(OFFSET(A$1,,,SUMPRODUCT(MAX(ROW(E$2:E1653)*(E1653=E$2:E1653)))))-COUNTBLANK(OFFSET(A$1,,,SUMPRODUCT(MAX(ROW(E$1:E1652)*(E2=E$1:E1652))))))</f>
        <v> </v>
      </c>
      <c r="K1653" s="26" t="str">
        <f>IF(OR(E1653="",E1653="!!!",F1653="NEW"),"",INDEX(J$1:J1652,SUMPRODUCT(MAX(ROW(E$1:E1652)*(E1653=E$1:E1652)))))</f>
        <v> </v>
      </c>
      <c r="L1653" s="27"/>
    </row>
    <row r="1654" spans="1:12">
      <c r="A1654" s="20" t="s">
        <v>1610</v>
      </c>
      <c r="E1654" s="22">
        <f>IF(D1654="?OLD","!!!","")</f>
        <v/>
      </c>
      <c r="F1654" s="23" t="str">
        <f>IF(OR(E1654="",E1654="!!!"),"",IF(NOT(ISNA(VLOOKUP(E1654,E$1:E1653,1,FALSE()))),"OLD",IF(AND(E1654&lt;&gt;"",E1654&lt;&gt;"!!!"),"NEW","")))</f>
        <v> </v>
      </c>
      <c r="G1654" s="24" t="str">
        <f>IF(OR(E1654="",E1654="!!!"),"",IF(OR(J1654=0,AND(J1654=1,K1654=1),AND(J1654=1,I1654="SBJ"),AND(J1654=1,I1654=0)),"?IN_FOCUS",IF(J1654&lt;=2,"?ACTIVATED",IF(J1654&lt;&gt;"","?FAMILIAR",IF(F1654="NEW",IF(ISNA(VLOOKUP(E1654,#REF!,1,FALSE())),"?TYPE_IDENTIFIABLE","?REFERENTIAL"),"_")))))</f>
        <v> </v>
      </c>
      <c r="H1654" s="25" t="str">
        <f>IF(J1654&lt;&gt;1,"",IF(I1654="SBJ","CB","?"))</f>
        <v> </v>
      </c>
      <c r="I1654" s="26" t="str">
        <f>IF(OR(E1654="",E1654="!!!",F1654="NEW"),"",INDEX(B1653:B$2,-1+SUMPRODUCT(MAX(ROW(E1653:E$2)*(E1654=E1653:E$2)))))</f>
        <v> </v>
      </c>
      <c r="J1654" s="26" t="str">
        <f>IF(OR(E1654="",E1654="!!!",F1654="NEW"),"",COUNTBLANK(OFFSET(A$1,,,SUMPRODUCT(MAX(ROW(E$2:E1654)*(E1654=E$2:E1654)))))-COUNTBLANK(OFFSET(A$1,,,SUMPRODUCT(MAX(ROW(E$1:E1653)*(E2=E$1:E1653))))))</f>
        <v> </v>
      </c>
      <c r="K1654" s="26" t="str">
        <f>IF(OR(E1654="",E1654="!!!",F1654="NEW"),"",INDEX(J$1:J1653,SUMPRODUCT(MAX(ROW(E$1:E1653)*(E1654=E$1:E1653)))))</f>
        <v> </v>
      </c>
      <c r="L1654" s="27"/>
    </row>
    <row r="1655" spans="1:12">
      <c r="A1655" s="20" t="s">
        <v>1014</v>
      </c>
      <c r="E1655" s="22">
        <f>IF(D1655="?OLD","!!!","")</f>
        <v/>
      </c>
      <c r="F1655" s="23" t="str">
        <f>IF(OR(E1655="",E1655="!!!"),"",IF(NOT(ISNA(VLOOKUP(E1655,E$1:E1654,1,FALSE()))),"OLD",IF(AND(E1655&lt;&gt;"",E1655&lt;&gt;"!!!"),"NEW","")))</f>
        <v> </v>
      </c>
      <c r="G1655" s="24" t="str">
        <f>IF(OR(E1655="",E1655="!!!"),"",IF(OR(J1655=0,AND(J1655=1,K1655=1),AND(J1655=1,I1655="SBJ"),AND(J1655=1,I1655=0)),"?IN_FOCUS",IF(J1655&lt;=2,"?ACTIVATED",IF(J1655&lt;&gt;"","?FAMILIAR",IF(F1655="NEW",IF(ISNA(VLOOKUP(E1655,#REF!,1,FALSE())),"?TYPE_IDENTIFIABLE","?REFERENTIAL"),"_")))))</f>
        <v> </v>
      </c>
      <c r="H1655" s="25" t="str">
        <f>IF(J1655&lt;&gt;1,"",IF(I1655="SBJ","CB","?"))</f>
        <v> </v>
      </c>
      <c r="I1655" s="26" t="str">
        <f>IF(OR(E1655="",E1655="!!!",F1655="NEW"),"",INDEX(B1654:B$2,-1+SUMPRODUCT(MAX(ROW(E1654:E$2)*(E1655=E1654:E$2)))))</f>
        <v> </v>
      </c>
      <c r="J1655" s="26" t="str">
        <f>IF(OR(E1655="",E1655="!!!",F1655="NEW"),"",COUNTBLANK(OFFSET(A$1,,,SUMPRODUCT(MAX(ROW(E$2:E1655)*(E1655=E$2:E1655)))))-COUNTBLANK(OFFSET(A$1,,,SUMPRODUCT(MAX(ROW(E$1:E1654)*(E2=E$1:E1654))))))</f>
        <v> </v>
      </c>
      <c r="K1655" s="26" t="str">
        <f>IF(OR(E1655="",E1655="!!!",F1655="NEW"),"",INDEX(J$1:J1654,SUMPRODUCT(MAX(ROW(E$1:E1654)*(E1655=E$1:E1654)))))</f>
        <v> </v>
      </c>
      <c r="L1655" s="27"/>
    </row>
    <row r="1656" spans="1:12">
      <c r="A1656" s="20" t="s">
        <v>1020</v>
      </c>
      <c r="E1656" s="22">
        <f>IF(D1656="?OLD","!!!","")</f>
        <v/>
      </c>
      <c r="F1656" s="23" t="str">
        <f>IF(OR(E1656="",E1656="!!!"),"",IF(NOT(ISNA(VLOOKUP(E1656,E$1:E1655,1,FALSE()))),"OLD",IF(AND(E1656&lt;&gt;"",E1656&lt;&gt;"!!!"),"NEW","")))</f>
        <v> </v>
      </c>
      <c r="G1656" s="24" t="str">
        <f>IF(OR(E1656="",E1656="!!!"),"",IF(OR(J1656=0,AND(J1656=1,K1656=1),AND(J1656=1,I1656="SBJ"),AND(J1656=1,I1656=0)),"?IN_FOCUS",IF(J1656&lt;=2,"?ACTIVATED",IF(J1656&lt;&gt;"","?FAMILIAR",IF(F1656="NEW",IF(ISNA(VLOOKUP(E1656,#REF!,1,FALSE())),"?TYPE_IDENTIFIABLE","?REFERENTIAL"),"_")))))</f>
        <v> </v>
      </c>
      <c r="H1656" s="25" t="str">
        <f>IF(J1656&lt;&gt;1,"",IF(I1656="SBJ","CB","?"))</f>
        <v> </v>
      </c>
      <c r="I1656" s="26" t="str">
        <f>IF(OR(E1656="",E1656="!!!",F1656="NEW"),"",INDEX(B1655:B$2,-1+SUMPRODUCT(MAX(ROW(E1655:E$2)*(E1656=E1655:E$2)))))</f>
        <v> </v>
      </c>
      <c r="J1656" s="26" t="str">
        <f>IF(OR(E1656="",E1656="!!!",F1656="NEW"),"",COUNTBLANK(OFFSET(A$1,,,SUMPRODUCT(MAX(ROW(E$2:E1656)*(E1656=E$2:E1656)))))-COUNTBLANK(OFFSET(A$1,,,SUMPRODUCT(MAX(ROW(E$1:E1655)*(E2=E$1:E1655))))))</f>
        <v> </v>
      </c>
      <c r="K1656" s="26" t="str">
        <f>IF(OR(E1656="",E1656="!!!",F1656="NEW"),"",INDEX(J$1:J1655,SUMPRODUCT(MAX(ROW(E$1:E1655)*(E1656=E$1:E1655)))))</f>
        <v> </v>
      </c>
      <c r="L1656" s="27"/>
    </row>
    <row r="1657" spans="1:12">
      <c r="A1657" s="20" t="s">
        <v>1611</v>
      </c>
      <c r="B1657" s="21" t="s">
        <v>1035</v>
      </c>
      <c r="C1657" s="21" t="s">
        <v>1017</v>
      </c>
      <c r="D1657" s="21" t="s">
        <v>1007</v>
      </c>
      <c r="E1657" s="22">
        <f>IF(D1657="?OLD","!!!","")</f>
        <v/>
      </c>
      <c r="F1657" s="23" t="str">
        <f>IF(OR(E1657="",E1657="!!!"),"",IF(NOT(ISNA(VLOOKUP(E1657,E$1:E1656,1,FALSE()))),"OLD",IF(AND(E1657&lt;&gt;"",E1657&lt;&gt;"!!!"),"NEW","")))</f>
        <v> </v>
      </c>
      <c r="G1657" s="24" t="str">
        <f>IF(OR(E1657="",E1657="!!!"),"",IF(OR(J1657=0,AND(J1657=1,K1657=1),AND(J1657=1,I1657="SBJ"),AND(J1657=1,I1657=0)),"?IN_FOCUS",IF(J1657&lt;=2,"?ACTIVATED",IF(J1657&lt;&gt;"","?FAMILIAR",IF(F1657="NEW",IF(ISNA(VLOOKUP(E1657,#REF!,1,FALSE())),"?TYPE_IDENTIFIABLE","?REFERENTIAL"),"_")))))</f>
        <v> </v>
      </c>
      <c r="H1657" s="25" t="str">
        <f>IF(J1657&lt;&gt;1,"",IF(I1657="SBJ","CB","?"))</f>
        <v> </v>
      </c>
      <c r="I1657" s="26" t="str">
        <f>IF(OR(E1657="",E1657="!!!",F1657="NEW"),"",INDEX(B1656:B$2,-1+SUMPRODUCT(MAX(ROW(E1656:E$2)*(E1657=E1656:E$2)))))</f>
        <v> </v>
      </c>
      <c r="J1657" s="26" t="str">
        <f>IF(OR(E1657="",E1657="!!!",F1657="NEW"),"",COUNTBLANK(OFFSET(A$1,,,SUMPRODUCT(MAX(ROW(E$2:E1657)*(E1657=E$2:E1657)))))-COUNTBLANK(OFFSET(A$1,,,SUMPRODUCT(MAX(ROW(E$1:E1656)*(E2=E$1:E1656))))))</f>
        <v> </v>
      </c>
      <c r="K1657" s="26" t="str">
        <f>IF(OR(E1657="",E1657="!!!",F1657="NEW"),"",INDEX(J$1:J1656,SUMPRODUCT(MAX(ROW(E$1:E1656)*(E1657=E$1:E1656)))))</f>
        <v> </v>
      </c>
      <c r="L1657" s="27"/>
    </row>
    <row r="1658" spans="1:12">
      <c r="A1658" s="20" t="s">
        <v>1018</v>
      </c>
      <c r="E1658" s="22">
        <f>IF(D1658="?OLD","!!!","")</f>
        <v/>
      </c>
      <c r="F1658" s="23" t="str">
        <f>IF(OR(E1658="",E1658="!!!"),"",IF(NOT(ISNA(VLOOKUP(E1658,E$1:E1657,1,FALSE()))),"OLD",IF(AND(E1658&lt;&gt;"",E1658&lt;&gt;"!!!"),"NEW","")))</f>
        <v> </v>
      </c>
      <c r="G1658" s="24" t="str">
        <f>IF(OR(E1658="",E1658="!!!"),"",IF(OR(J1658=0,AND(J1658=1,K1658=1),AND(J1658=1,I1658="SBJ"),AND(J1658=1,I1658=0)),"?IN_FOCUS",IF(J1658&lt;=2,"?ACTIVATED",IF(J1658&lt;&gt;"","?FAMILIAR",IF(F1658="NEW",IF(ISNA(VLOOKUP(E1658,#REF!,1,FALSE())),"?TYPE_IDENTIFIABLE","?REFERENTIAL"),"_")))))</f>
        <v> </v>
      </c>
      <c r="H1658" s="25" t="str">
        <f>IF(J1658&lt;&gt;1,"",IF(I1658="SBJ","CB","?"))</f>
        <v> </v>
      </c>
      <c r="I1658" s="26" t="str">
        <f>IF(OR(E1658="",E1658="!!!",F1658="NEW"),"",INDEX(B1657:B$2,-1+SUMPRODUCT(MAX(ROW(E1657:E$2)*(E1658=E1657:E$2)))))</f>
        <v> </v>
      </c>
      <c r="J1658" s="26" t="str">
        <f>IF(OR(E1658="",E1658="!!!",F1658="NEW"),"",COUNTBLANK(OFFSET(A$1,,,SUMPRODUCT(MAX(ROW(E$2:E1658)*(E1658=E$2:E1658)))))-COUNTBLANK(OFFSET(A$1,,,SUMPRODUCT(MAX(ROW(E$1:E1657)*(E2=E$1:E1657))))))</f>
        <v> </v>
      </c>
      <c r="K1658" s="26" t="str">
        <f>IF(OR(E1658="",E1658="!!!",F1658="NEW"),"",INDEX(J$1:J1657,SUMPRODUCT(MAX(ROW(E$1:E1657)*(E1658=E$1:E1657)))))</f>
        <v> </v>
      </c>
      <c r="L1658" s="27"/>
    </row>
    <row r="1659" spans="1:12">
      <c r="A1659" s="20" t="s">
        <v>1612</v>
      </c>
      <c r="E1659" s="22">
        <f>IF(D1659="?OLD","!!!","")</f>
        <v/>
      </c>
      <c r="F1659" s="23" t="str">
        <f>IF(OR(E1659="",E1659="!!!"),"",IF(NOT(ISNA(VLOOKUP(E1659,E$1:E1658,1,FALSE()))),"OLD",IF(AND(E1659&lt;&gt;"",E1659&lt;&gt;"!!!"),"NEW","")))</f>
        <v> </v>
      </c>
      <c r="G1659" s="24" t="str">
        <f>IF(OR(E1659="",E1659="!!!"),"",IF(OR(J1659=0,AND(J1659=1,K1659=1),AND(J1659=1,I1659="SBJ"),AND(J1659=1,I1659=0)),"?IN_FOCUS",IF(J1659&lt;=2,"?ACTIVATED",IF(J1659&lt;&gt;"","?FAMILIAR",IF(F1659="NEW",IF(ISNA(VLOOKUP(E1659,#REF!,1,FALSE())),"?TYPE_IDENTIFIABLE","?REFERENTIAL"),"_")))))</f>
        <v> </v>
      </c>
      <c r="H1659" s="25" t="str">
        <f>IF(J1659&lt;&gt;1,"",IF(I1659="SBJ","CB","?"))</f>
        <v> </v>
      </c>
      <c r="I1659" s="26" t="str">
        <f>IF(OR(E1659="",E1659="!!!",F1659="NEW"),"",INDEX(B1658:B$2,-1+SUMPRODUCT(MAX(ROW(E1658:E$2)*(E1659=E1658:E$2)))))</f>
        <v> </v>
      </c>
      <c r="J1659" s="26" t="str">
        <f>IF(OR(E1659="",E1659="!!!",F1659="NEW"),"",COUNTBLANK(OFFSET(A$1,,,SUMPRODUCT(MAX(ROW(E$2:E1659)*(E1659=E$2:E1659)))))-COUNTBLANK(OFFSET(A$1,,,SUMPRODUCT(MAX(ROW(E$1:E1658)*(E2=E$1:E1658))))))</f>
        <v> </v>
      </c>
      <c r="K1659" s="26" t="str">
        <f>IF(OR(E1659="",E1659="!!!",F1659="NEW"),"",INDEX(J$1:J1658,SUMPRODUCT(MAX(ROW(E$1:E1658)*(E1659=E$1:E1658)))))</f>
        <v> </v>
      </c>
      <c r="L1659" s="27"/>
    </row>
    <row r="1660" spans="1:12">
      <c r="A1660" s="20" t="s">
        <v>1613</v>
      </c>
      <c r="E1660" s="22">
        <f>IF(D1660="?OLD","!!!","")</f>
        <v/>
      </c>
      <c r="F1660" s="23" t="str">
        <f>IF(OR(E1660="",E1660="!!!"),"",IF(NOT(ISNA(VLOOKUP(E1660,E$1:E1659,1,FALSE()))),"OLD",IF(AND(E1660&lt;&gt;"",E1660&lt;&gt;"!!!"),"NEW","")))</f>
        <v> </v>
      </c>
      <c r="G1660" s="24" t="str">
        <f>IF(OR(E1660="",E1660="!!!"),"",IF(OR(J1660=0,AND(J1660=1,K1660=1),AND(J1660=1,I1660="SBJ"),AND(J1660=1,I1660=0)),"?IN_FOCUS",IF(J1660&lt;=2,"?ACTIVATED",IF(J1660&lt;&gt;"","?FAMILIAR",IF(F1660="NEW",IF(ISNA(VLOOKUP(E1660,#REF!,1,FALSE())),"?TYPE_IDENTIFIABLE","?REFERENTIAL"),"_")))))</f>
        <v> </v>
      </c>
      <c r="H1660" s="25" t="str">
        <f>IF(J1660&lt;&gt;1,"",IF(I1660="SBJ","CB","?"))</f>
        <v> </v>
      </c>
      <c r="I1660" s="26" t="str">
        <f>IF(OR(E1660="",E1660="!!!",F1660="NEW"),"",INDEX(B1659:B$2,-1+SUMPRODUCT(MAX(ROW(E1659:E$2)*(E1660=E1659:E$2)))))</f>
        <v> </v>
      </c>
      <c r="J1660" s="26" t="str">
        <f>IF(OR(E1660="",E1660="!!!",F1660="NEW"),"",COUNTBLANK(OFFSET(A$1,,,SUMPRODUCT(MAX(ROW(E$2:E1660)*(E1660=E$2:E1660)))))-COUNTBLANK(OFFSET(A$1,,,SUMPRODUCT(MAX(ROW(E$1:E1659)*(E2=E$1:E1659))))))</f>
        <v> </v>
      </c>
      <c r="K1660" s="26" t="str">
        <f>IF(OR(E1660="",E1660="!!!",F1660="NEW"),"",INDEX(J$1:J1659,SUMPRODUCT(MAX(ROW(E$1:E1659)*(E1660=E$1:E1659)))))</f>
        <v> </v>
      </c>
      <c r="L1660" s="27"/>
    </row>
    <row r="1661" spans="1:12">
      <c r="A1661" s="20" t="s">
        <v>1018</v>
      </c>
      <c r="E1661" s="22">
        <f>IF(D1661="?OLD","!!!","")</f>
        <v/>
      </c>
      <c r="F1661" s="23" t="str">
        <f>IF(OR(E1661="",E1661="!!!"),"",IF(NOT(ISNA(VLOOKUP(E1661,E$1:E1660,1,FALSE()))),"OLD",IF(AND(E1661&lt;&gt;"",E1661&lt;&gt;"!!!"),"NEW","")))</f>
        <v> </v>
      </c>
      <c r="G1661" s="24" t="str">
        <f>IF(OR(E1661="",E1661="!!!"),"",IF(OR(J1661=0,AND(J1661=1,K1661=1),AND(J1661=1,I1661="SBJ"),AND(J1661=1,I1661=0)),"?IN_FOCUS",IF(J1661&lt;=2,"?ACTIVATED",IF(J1661&lt;&gt;"","?FAMILIAR",IF(F1661="NEW",IF(ISNA(VLOOKUP(E1661,#REF!,1,FALSE())),"?TYPE_IDENTIFIABLE","?REFERENTIAL"),"_")))))</f>
        <v> </v>
      </c>
      <c r="H1661" s="25" t="str">
        <f>IF(J1661&lt;&gt;1,"",IF(I1661="SBJ","CB","?"))</f>
        <v> </v>
      </c>
      <c r="I1661" s="26" t="str">
        <f>IF(OR(E1661="",E1661="!!!",F1661="NEW"),"",INDEX(B1660:B$2,-1+SUMPRODUCT(MAX(ROW(E1660:E$2)*(E1661=E1660:E$2)))))</f>
        <v> </v>
      </c>
      <c r="J1661" s="26" t="str">
        <f>IF(OR(E1661="",E1661="!!!",F1661="NEW"),"",COUNTBLANK(OFFSET(A$1,,,SUMPRODUCT(MAX(ROW(E$2:E1661)*(E1661=E$2:E1661)))))-COUNTBLANK(OFFSET(A$1,,,SUMPRODUCT(MAX(ROW(E$1:E1660)*(E2=E$1:E1660))))))</f>
        <v> </v>
      </c>
      <c r="K1661" s="26" t="str">
        <f>IF(OR(E1661="",E1661="!!!",F1661="NEW"),"",INDEX(J$1:J1660,SUMPRODUCT(MAX(ROW(E$1:E1660)*(E1661=E$1:E1660)))))</f>
        <v> </v>
      </c>
      <c r="L1661" s="27"/>
    </row>
    <row r="1662" spans="1:12">
      <c r="A1662" s="20" t="s">
        <v>1182</v>
      </c>
      <c r="E1662" s="22">
        <f>IF(D1662="?OLD","!!!","")</f>
        <v/>
      </c>
      <c r="F1662" s="23" t="str">
        <f>IF(OR(E1662="",E1662="!!!"),"",IF(NOT(ISNA(VLOOKUP(E1662,E$1:E1661,1,FALSE()))),"OLD",IF(AND(E1662&lt;&gt;"",E1662&lt;&gt;"!!!"),"NEW","")))</f>
        <v> </v>
      </c>
      <c r="G1662" s="24" t="str">
        <f>IF(OR(E1662="",E1662="!!!"),"",IF(OR(J1662=0,AND(J1662=1,K1662=1),AND(J1662=1,I1662="SBJ"),AND(J1662=1,I1662=0)),"?IN_FOCUS",IF(J1662&lt;=2,"?ACTIVATED",IF(J1662&lt;&gt;"","?FAMILIAR",IF(F1662="NEW",IF(ISNA(VLOOKUP(E1662,#REF!,1,FALSE())),"?TYPE_IDENTIFIABLE","?REFERENTIAL"),"_")))))</f>
        <v> </v>
      </c>
      <c r="H1662" s="25" t="str">
        <f>IF(J1662&lt;&gt;1,"",IF(I1662="SBJ","CB","?"))</f>
        <v> </v>
      </c>
      <c r="I1662" s="26" t="str">
        <f>IF(OR(E1662="",E1662="!!!",F1662="NEW"),"",INDEX(B1661:B$2,-1+SUMPRODUCT(MAX(ROW(E1661:E$2)*(E1662=E1661:E$2)))))</f>
        <v> </v>
      </c>
      <c r="J1662" s="26" t="str">
        <f>IF(OR(E1662="",E1662="!!!",F1662="NEW"),"",COUNTBLANK(OFFSET(A$1,,,SUMPRODUCT(MAX(ROW(E$2:E1662)*(E1662=E$2:E1662)))))-COUNTBLANK(OFFSET(A$1,,,SUMPRODUCT(MAX(ROW(E$1:E1661)*(E2=E$1:E1661))))))</f>
        <v> </v>
      </c>
      <c r="K1662" s="26" t="str">
        <f>IF(OR(E1662="",E1662="!!!",F1662="NEW"),"",INDEX(J$1:J1661,SUMPRODUCT(MAX(ROW(E$1:E1661)*(E1662=E$1:E1661)))))</f>
        <v> </v>
      </c>
      <c r="L1662" s="27"/>
    </row>
    <row r="1663" spans="1:12">
      <c r="A1663" s="20" t="s">
        <v>1020</v>
      </c>
      <c r="E1663" s="22">
        <f>IF(D1663="?OLD","!!!","")</f>
        <v/>
      </c>
      <c r="F1663" s="23" t="str">
        <f>IF(OR(E1663="",E1663="!!!"),"",IF(NOT(ISNA(VLOOKUP(E1663,E$1:E1662,1,FALSE()))),"OLD",IF(AND(E1663&lt;&gt;"",E1663&lt;&gt;"!!!"),"NEW","")))</f>
        <v> </v>
      </c>
      <c r="G1663" s="24" t="str">
        <f>IF(OR(E1663="",E1663="!!!"),"",IF(OR(J1663=0,AND(J1663=1,K1663=1),AND(J1663=1,I1663="SBJ"),AND(J1663=1,I1663=0)),"?IN_FOCUS",IF(J1663&lt;=2,"?ACTIVATED",IF(J1663&lt;&gt;"","?FAMILIAR",IF(F1663="NEW",IF(ISNA(VLOOKUP(E1663,#REF!,1,FALSE())),"?TYPE_IDENTIFIABLE","?REFERENTIAL"),"_")))))</f>
        <v> </v>
      </c>
      <c r="H1663" s="25" t="str">
        <f>IF(J1663&lt;&gt;1,"",IF(I1663="SBJ","CB","?"))</f>
        <v> </v>
      </c>
      <c r="I1663" s="26" t="str">
        <f>IF(OR(E1663="",E1663="!!!",F1663="NEW"),"",INDEX(B1662:B$2,-1+SUMPRODUCT(MAX(ROW(E1662:E$2)*(E1663=E1662:E$2)))))</f>
        <v> </v>
      </c>
      <c r="J1663" s="26" t="str">
        <f>IF(OR(E1663="",E1663="!!!",F1663="NEW"),"",COUNTBLANK(OFFSET(A$1,,,SUMPRODUCT(MAX(ROW(E$2:E1663)*(E1663=E$2:E1663)))))-COUNTBLANK(OFFSET(A$1,,,SUMPRODUCT(MAX(ROW(E$1:E1662)*(E2=E$1:E1662))))))</f>
        <v> </v>
      </c>
      <c r="K1663" s="26" t="str">
        <f>IF(OR(E1663="",E1663="!!!",F1663="NEW"),"",INDEX(J$1:J1662,SUMPRODUCT(MAX(ROW(E$1:E1662)*(E1663=E$1:E1662)))))</f>
        <v> </v>
      </c>
      <c r="L1663" s="27"/>
    </row>
    <row r="1664" spans="1:12">
      <c r="A1664" s="20" t="s">
        <v>1211</v>
      </c>
      <c r="B1664" s="21" t="s">
        <v>1033</v>
      </c>
      <c r="C1664" s="21" t="s">
        <v>1006</v>
      </c>
      <c r="D1664" s="21" t="s">
        <v>1007</v>
      </c>
      <c r="E1664" s="22">
        <f>IF(D1664="?OLD","!!!","")</f>
        <v/>
      </c>
      <c r="F1664" s="23" t="str">
        <f>IF(OR(E1664="",E1664="!!!"),"",IF(NOT(ISNA(VLOOKUP(E1664,E$1:E1663,1,FALSE()))),"OLD",IF(AND(E1664&lt;&gt;"",E1664&lt;&gt;"!!!"),"NEW","")))</f>
        <v> </v>
      </c>
      <c r="G1664" s="24" t="str">
        <f>IF(OR(E1664="",E1664="!!!"),"",IF(OR(J1664=0,AND(J1664=1,K1664=1),AND(J1664=1,I1664="SBJ"),AND(J1664=1,I1664=0)),"?IN_FOCUS",IF(J1664&lt;=2,"?ACTIVATED",IF(J1664&lt;&gt;"","?FAMILIAR",IF(F1664="NEW",IF(ISNA(VLOOKUP(E1664,#REF!,1,FALSE())),"?TYPE_IDENTIFIABLE","?REFERENTIAL"),"_")))))</f>
        <v> </v>
      </c>
      <c r="H1664" s="25" t="str">
        <f>IF(J1664&lt;&gt;1,"",IF(I1664="SBJ","CB","?"))</f>
        <v> </v>
      </c>
      <c r="I1664" s="26" t="str">
        <f>IF(OR(E1664="",E1664="!!!",F1664="NEW"),"",INDEX(B1663:B$2,-1+SUMPRODUCT(MAX(ROW(E1663:E$2)*(E1664=E1663:E$2)))))</f>
        <v> </v>
      </c>
      <c r="J1664" s="26" t="str">
        <f>IF(OR(E1664="",E1664="!!!",F1664="NEW"),"",COUNTBLANK(OFFSET(A$1,,,SUMPRODUCT(MAX(ROW(E$2:E1664)*(E1664=E$2:E1664)))))-COUNTBLANK(OFFSET(A$1,,,SUMPRODUCT(MAX(ROW(E$1:E1663)*(E2=E$1:E1663))))))</f>
        <v> </v>
      </c>
      <c r="K1664" s="26" t="str">
        <f>IF(OR(E1664="",E1664="!!!",F1664="NEW"),"",INDEX(J$1:J1663,SUMPRODUCT(MAX(ROW(E$1:E1663)*(E1664=E$1:E1663)))))</f>
        <v> </v>
      </c>
      <c r="L1664" s="27"/>
    </row>
    <row r="1665" spans="1:12">
      <c r="A1665" s="20" t="s">
        <v>1018</v>
      </c>
      <c r="E1665" s="22">
        <f>IF(D1665="?OLD","!!!","")</f>
        <v/>
      </c>
      <c r="F1665" s="23" t="str">
        <f>IF(OR(E1665="",E1665="!!!"),"",IF(NOT(ISNA(VLOOKUP(E1665,E$1:E1664,1,FALSE()))),"OLD",IF(AND(E1665&lt;&gt;"",E1665&lt;&gt;"!!!"),"NEW","")))</f>
        <v> </v>
      </c>
      <c r="G1665" s="24" t="str">
        <f>IF(OR(E1665="",E1665="!!!"),"",IF(OR(J1665=0,AND(J1665=1,K1665=1),AND(J1665=1,I1665="SBJ"),AND(J1665=1,I1665=0)),"?IN_FOCUS",IF(J1665&lt;=2,"?ACTIVATED",IF(J1665&lt;&gt;"","?FAMILIAR",IF(F1665="NEW",IF(ISNA(VLOOKUP(E1665,#REF!,1,FALSE())),"?TYPE_IDENTIFIABLE","?REFERENTIAL"),"_")))))</f>
        <v> </v>
      </c>
      <c r="H1665" s="25" t="str">
        <f>IF(J1665&lt;&gt;1,"",IF(I1665="SBJ","CB","?"))</f>
        <v> </v>
      </c>
      <c r="I1665" s="26" t="str">
        <f>IF(OR(E1665="",E1665="!!!",F1665="NEW"),"",INDEX(B1664:B$2,-1+SUMPRODUCT(MAX(ROW(E1664:E$2)*(E1665=E1664:E$2)))))</f>
        <v> </v>
      </c>
      <c r="J1665" s="26" t="str">
        <f>IF(OR(E1665="",E1665="!!!",F1665="NEW"),"",COUNTBLANK(OFFSET(A$1,,,SUMPRODUCT(MAX(ROW(E$2:E1665)*(E1665=E$2:E1665)))))-COUNTBLANK(OFFSET(A$1,,,SUMPRODUCT(MAX(ROW(E$1:E1664)*(E2=E$1:E1664))))))</f>
        <v> </v>
      </c>
      <c r="K1665" s="26" t="str">
        <f>IF(OR(E1665="",E1665="!!!",F1665="NEW"),"",INDEX(J$1:J1664,SUMPRODUCT(MAX(ROW(E$1:E1664)*(E1665=E$1:E1664)))))</f>
        <v> </v>
      </c>
      <c r="L1665" s="27"/>
    </row>
    <row r="1666" spans="1:12">
      <c r="A1666" s="20" t="s">
        <v>1142</v>
      </c>
      <c r="E1666" s="22">
        <f>IF(D1666="?OLD","!!!","")</f>
        <v/>
      </c>
      <c r="F1666" s="23" t="str">
        <f>IF(OR(E1666="",E1666="!!!"),"",IF(NOT(ISNA(VLOOKUP(E1666,E$1:E1665,1,FALSE()))),"OLD",IF(AND(E1666&lt;&gt;"",E1666&lt;&gt;"!!!"),"NEW","")))</f>
        <v> </v>
      </c>
      <c r="G1666" s="24" t="str">
        <f>IF(OR(E1666="",E1666="!!!"),"",IF(OR(J1666=0,AND(J1666=1,K1666=1),AND(J1666=1,I1666="SBJ"),AND(J1666=1,I1666=0)),"?IN_FOCUS",IF(J1666&lt;=2,"?ACTIVATED",IF(J1666&lt;&gt;"","?FAMILIAR",IF(F1666="NEW",IF(ISNA(VLOOKUP(E1666,#REF!,1,FALSE())),"?TYPE_IDENTIFIABLE","?REFERENTIAL"),"_")))))</f>
        <v> </v>
      </c>
      <c r="H1666" s="25" t="str">
        <f>IF(J1666&lt;&gt;1,"",IF(I1666="SBJ","CB","?"))</f>
        <v> </v>
      </c>
      <c r="I1666" s="26" t="str">
        <f>IF(OR(E1666="",E1666="!!!",F1666="NEW"),"",INDEX(B1665:B$2,-1+SUMPRODUCT(MAX(ROW(E1665:E$2)*(E1666=E1665:E$2)))))</f>
        <v> </v>
      </c>
      <c r="J1666" s="26" t="str">
        <f>IF(OR(E1666="",E1666="!!!",F1666="NEW"),"",COUNTBLANK(OFFSET(A$1,,,SUMPRODUCT(MAX(ROW(E$2:E1666)*(E1666=E$2:E1666)))))-COUNTBLANK(OFFSET(A$1,,,SUMPRODUCT(MAX(ROW(E$1:E1665)*(E2=E$1:E1665))))))</f>
        <v> </v>
      </c>
      <c r="K1666" s="26" t="str">
        <f>IF(OR(E1666="",E1666="!!!",F1666="NEW"),"",INDEX(J$1:J1665,SUMPRODUCT(MAX(ROW(E$1:E1665)*(E1666=E$1:E1665)))))</f>
        <v> </v>
      </c>
      <c r="L1666" s="27"/>
    </row>
    <row r="1667" spans="1:12">
      <c r="A1667" s="20" t="s">
        <v>1614</v>
      </c>
      <c r="E1667" s="22">
        <f>IF(D1667="?OLD","!!!","")</f>
        <v/>
      </c>
      <c r="F1667" s="23" t="str">
        <f>IF(OR(E1667="",E1667="!!!"),"",IF(NOT(ISNA(VLOOKUP(E1667,E$1:E1666,1,FALSE()))),"OLD",IF(AND(E1667&lt;&gt;"",E1667&lt;&gt;"!!!"),"NEW","")))</f>
        <v> </v>
      </c>
      <c r="G1667" s="24" t="str">
        <f>IF(OR(E1667="",E1667="!!!"),"",IF(OR(J1667=0,AND(J1667=1,K1667=1),AND(J1667=1,I1667="SBJ"),AND(J1667=1,I1667=0)),"?IN_FOCUS",IF(J1667&lt;=2,"?ACTIVATED",IF(J1667&lt;&gt;"","?FAMILIAR",IF(F1667="NEW",IF(ISNA(VLOOKUP(E1667,#REF!,1,FALSE())),"?TYPE_IDENTIFIABLE","?REFERENTIAL"),"_")))))</f>
        <v> </v>
      </c>
      <c r="H1667" s="25" t="str">
        <f>IF(J1667&lt;&gt;1,"",IF(I1667="SBJ","CB","?"))</f>
        <v> </v>
      </c>
      <c r="I1667" s="26" t="str">
        <f>IF(OR(E1667="",E1667="!!!",F1667="NEW"),"",INDEX(B1666:B$2,-1+SUMPRODUCT(MAX(ROW(E1666:E$2)*(E1667=E1666:E$2)))))</f>
        <v> </v>
      </c>
      <c r="J1667" s="26" t="str">
        <f>IF(OR(E1667="",E1667="!!!",F1667="NEW"),"",COUNTBLANK(OFFSET(A$1,,,SUMPRODUCT(MAX(ROW(E$2:E1667)*(E1667=E$2:E1667)))))-COUNTBLANK(OFFSET(A$1,,,SUMPRODUCT(MAX(ROW(E$1:E1666)*(E2=E$1:E1666))))))</f>
        <v> </v>
      </c>
      <c r="K1667" s="26" t="str">
        <f>IF(OR(E1667="",E1667="!!!",F1667="NEW"),"",INDEX(J$1:J1666,SUMPRODUCT(MAX(ROW(E$1:E1666)*(E1667=E$1:E1666)))))</f>
        <v> </v>
      </c>
      <c r="L1667" s="27"/>
    </row>
    <row r="1668" spans="1:12">
      <c r="A1668" s="20" t="s">
        <v>1020</v>
      </c>
      <c r="E1668" s="22">
        <f>IF(D1668="?OLD","!!!","")</f>
        <v/>
      </c>
      <c r="F1668" s="23" t="str">
        <f>IF(OR(E1668="",E1668="!!!"),"",IF(NOT(ISNA(VLOOKUP(E1668,E$1:E1667,1,FALSE()))),"OLD",IF(AND(E1668&lt;&gt;"",E1668&lt;&gt;"!!!"),"NEW","")))</f>
        <v> </v>
      </c>
      <c r="G1668" s="24" t="str">
        <f>IF(OR(E1668="",E1668="!!!"),"",IF(OR(J1668=0,AND(J1668=1,K1668=1),AND(J1668=1,I1668="SBJ"),AND(J1668=1,I1668=0)),"?IN_FOCUS",IF(J1668&lt;=2,"?ACTIVATED",IF(J1668&lt;&gt;"","?FAMILIAR",IF(F1668="NEW",IF(ISNA(VLOOKUP(E1668,#REF!,1,FALSE())),"?TYPE_IDENTIFIABLE","?REFERENTIAL"),"_")))))</f>
        <v> </v>
      </c>
      <c r="H1668" s="25" t="str">
        <f>IF(J1668&lt;&gt;1,"",IF(I1668="SBJ","CB","?"))</f>
        <v> </v>
      </c>
      <c r="I1668" s="26" t="str">
        <f>IF(OR(E1668="",E1668="!!!",F1668="NEW"),"",INDEX(B1667:B$2,-1+SUMPRODUCT(MAX(ROW(E1667:E$2)*(E1668=E1667:E$2)))))</f>
        <v> </v>
      </c>
      <c r="J1668" s="26" t="str">
        <f>IF(OR(E1668="",E1668="!!!",F1668="NEW"),"",COUNTBLANK(OFFSET(A$1,,,SUMPRODUCT(MAX(ROW(E$2:E1668)*(E1668=E$2:E1668)))))-COUNTBLANK(OFFSET(A$1,,,SUMPRODUCT(MAX(ROW(E$1:E1667)*(E2=E$1:E1667))))))</f>
        <v> </v>
      </c>
      <c r="K1668" s="26" t="str">
        <f>IF(OR(E1668="",E1668="!!!",F1668="NEW"),"",INDEX(J$1:J1667,SUMPRODUCT(MAX(ROW(E$1:E1667)*(E1668=E$1:E1667)))))</f>
        <v> </v>
      </c>
      <c r="L1668" s="27"/>
    </row>
    <row r="1669" spans="1:12">
      <c r="A1669" s="20" t="s">
        <v>1211</v>
      </c>
      <c r="B1669" s="21" t="s">
        <v>1085</v>
      </c>
      <c r="C1669" s="21" t="s">
        <v>1006</v>
      </c>
      <c r="D1669" s="21" t="s">
        <v>1007</v>
      </c>
      <c r="E1669" s="22">
        <f>IF(D1669="?OLD","!!!","")</f>
        <v/>
      </c>
      <c r="F1669" s="23" t="str">
        <f>IF(OR(E1669="",E1669="!!!"),"",IF(NOT(ISNA(VLOOKUP(E1669,E$1:E1668,1,FALSE()))),"OLD",IF(AND(E1669&lt;&gt;"",E1669&lt;&gt;"!!!"),"NEW","")))</f>
        <v> </v>
      </c>
      <c r="G1669" s="24" t="str">
        <f>IF(OR(E1669="",E1669="!!!"),"",IF(OR(J1669=0,AND(J1669=1,K1669=1),AND(J1669=1,I1669="SBJ"),AND(J1669=1,I1669=0)),"?IN_FOCUS",IF(J1669&lt;=2,"?ACTIVATED",IF(J1669&lt;&gt;"","?FAMILIAR",IF(F1669="NEW",IF(ISNA(VLOOKUP(E1669,#REF!,1,FALSE())),"?TYPE_IDENTIFIABLE","?REFERENTIAL"),"_")))))</f>
        <v> </v>
      </c>
      <c r="H1669" s="25" t="str">
        <f>IF(J1669&lt;&gt;1,"",IF(I1669="SBJ","CB","?"))</f>
        <v> </v>
      </c>
      <c r="I1669" s="26" t="str">
        <f>IF(OR(E1669="",E1669="!!!",F1669="NEW"),"",INDEX(B1668:B$2,-1+SUMPRODUCT(MAX(ROW(E1668:E$2)*(E1669=E1668:E$2)))))</f>
        <v> </v>
      </c>
      <c r="J1669" s="26" t="str">
        <f>IF(OR(E1669="",E1669="!!!",F1669="NEW"),"",COUNTBLANK(OFFSET(A$1,,,SUMPRODUCT(MAX(ROW(E$2:E1669)*(E1669=E$2:E1669)))))-COUNTBLANK(OFFSET(A$1,,,SUMPRODUCT(MAX(ROW(E$1:E1668)*(E2=E$1:E1668))))))</f>
        <v> </v>
      </c>
      <c r="K1669" s="26" t="str">
        <f>IF(OR(E1669="",E1669="!!!",F1669="NEW"),"",INDEX(J$1:J1668,SUMPRODUCT(MAX(ROW(E$1:E1668)*(E1669=E$1:E1668)))))</f>
        <v> </v>
      </c>
      <c r="L1669" s="27"/>
    </row>
    <row r="1670" spans="1:12">
      <c r="A1670" s="20" t="s">
        <v>1023</v>
      </c>
      <c r="E1670" s="22">
        <f>IF(D1670="?OLD","!!!","")</f>
        <v/>
      </c>
      <c r="F1670" s="23" t="str">
        <f>IF(OR(E1670="",E1670="!!!"),"",IF(NOT(ISNA(VLOOKUP(E1670,E$1:E1669,1,FALSE()))),"OLD",IF(AND(E1670&lt;&gt;"",E1670&lt;&gt;"!!!"),"NEW","")))</f>
        <v> </v>
      </c>
      <c r="G1670" s="24" t="str">
        <f>IF(OR(E1670="",E1670="!!!"),"",IF(OR(J1670=0,AND(J1670=1,K1670=1),AND(J1670=1,I1670="SBJ"),AND(J1670=1,I1670=0)),"?IN_FOCUS",IF(J1670&lt;=2,"?ACTIVATED",IF(J1670&lt;&gt;"","?FAMILIAR",IF(F1670="NEW",IF(ISNA(VLOOKUP(E1670,#REF!,1,FALSE())),"?TYPE_IDENTIFIABLE","?REFERENTIAL"),"_")))))</f>
        <v> </v>
      </c>
      <c r="H1670" s="25" t="str">
        <f>IF(J1670&lt;&gt;1,"",IF(I1670="SBJ","CB","?"))</f>
        <v> </v>
      </c>
      <c r="I1670" s="26" t="str">
        <f>IF(OR(E1670="",E1670="!!!",F1670="NEW"),"",INDEX(B1669:B$2,-1+SUMPRODUCT(MAX(ROW(E1669:E$2)*(E1670=E1669:E$2)))))</f>
        <v> </v>
      </c>
      <c r="J1670" s="26" t="str">
        <f>IF(OR(E1670="",E1670="!!!",F1670="NEW"),"",COUNTBLANK(OFFSET(A$1,,,SUMPRODUCT(MAX(ROW(E$2:E1670)*(E1670=E$2:E1670)))))-COUNTBLANK(OFFSET(A$1,,,SUMPRODUCT(MAX(ROW(E$1:E1669)*(E2=E$1:E1669))))))</f>
        <v> </v>
      </c>
      <c r="K1670" s="26" t="str">
        <f>IF(OR(E1670="",E1670="!!!",F1670="NEW"),"",INDEX(J$1:J1669,SUMPRODUCT(MAX(ROW(E$1:E1669)*(E1670=E$1:E1669)))))</f>
        <v> </v>
      </c>
      <c r="L1670" s="27"/>
    </row>
    <row r="1671" spans="1:12">
      <c r="A1671" s="20"/>
    </row>
    <row r="1672" spans="1:12">
      <c r="A1672" s="20" t="s">
        <v>1615</v>
      </c>
    </row>
    <row r="1673" spans="1:12">
      <c r="A1673" s="20" t="s">
        <v>1373</v>
      </c>
      <c r="E1673" s="22">
        <f>IF(D1673="?OLD","!!!","")</f>
        <v/>
      </c>
      <c r="F1673" s="23" t="str">
        <f>IF(OR(E1673="",E1673="!!!"),"",IF(NOT(ISNA(VLOOKUP(E1673,E$1:E1672,1,FALSE()))),"OLD",IF(AND(E1673&lt;&gt;"",E1673&lt;&gt;"!!!"),"NEW","")))</f>
        <v> </v>
      </c>
      <c r="G1673" s="24" t="str">
        <f>IF(OR(E1673="",E1673="!!!"),"",IF(OR(J1673=0,AND(J1673=1,K1673=1),AND(J1673=1,I1673="SBJ"),AND(J1673=1,I1673=0)),"?IN_FOCUS",IF(J1673&lt;=2,"?ACTIVATED",IF(J1673&lt;&gt;"","?FAMILIAR",IF(F1673="NEW",IF(ISNA(VLOOKUP(E1673,#REF!,1,FALSE())),"?TYPE_IDENTIFIABLE","?REFERENTIAL"),"_")))))</f>
        <v> </v>
      </c>
      <c r="H1673" s="25" t="str">
        <f>IF(J1673&lt;&gt;1,"",IF(I1673="SBJ","CB","?"))</f>
        <v> </v>
      </c>
      <c r="I1673" s="26" t="str">
        <f>IF(OR(E1673="",E1673="!!!",F1673="NEW"),"",INDEX(B1672:B$2,-1+SUMPRODUCT(MAX(ROW(E1672:E$2)*(E1673=E1672:E$2)))))</f>
        <v> </v>
      </c>
      <c r="J1673" s="26" t="str">
        <f>IF(OR(E1673="",E1673="!!!",F1673="NEW"),"",COUNTBLANK(OFFSET(A$1,,,SUMPRODUCT(MAX(ROW(E$2:E1673)*(E1673=E$2:E1673)))))-COUNTBLANK(OFFSET(A$1,,,SUMPRODUCT(MAX(ROW(E$1:E1672)*(E2=E$1:E1672))))))</f>
        <v> </v>
      </c>
      <c r="K1673" s="26" t="str">
        <f>IF(OR(E1673="",E1673="!!!",F1673="NEW"),"",INDEX(J$1:J1672,SUMPRODUCT(MAX(ROW(E$1:E1672)*(E1673=E$1:E1672)))))</f>
        <v> </v>
      </c>
      <c r="L1673" s="27"/>
    </row>
    <row r="1674" spans="1:12">
      <c r="A1674" s="20" t="s">
        <v>1374</v>
      </c>
      <c r="B1674" s="21" t="s">
        <v>1005</v>
      </c>
      <c r="C1674" s="21" t="s">
        <v>1013</v>
      </c>
      <c r="D1674" s="21" t="s">
        <v>1007</v>
      </c>
      <c r="E1674" s="22">
        <f>IF(D1674="?OLD","!!!","")</f>
        <v/>
      </c>
      <c r="F1674" s="23" t="str">
        <f>IF(OR(E1674="",E1674="!!!"),"",IF(NOT(ISNA(VLOOKUP(E1674,E$1:E1673,1,FALSE()))),"OLD",IF(AND(E1674&lt;&gt;"",E1674&lt;&gt;"!!!"),"NEW","")))</f>
        <v> </v>
      </c>
      <c r="G1674" s="24" t="str">
        <f>IF(OR(E1674="",E1674="!!!"),"",IF(OR(J1674=0,AND(J1674=1,K1674=1),AND(J1674=1,I1674="SBJ"),AND(J1674=1,I1674=0)),"?IN_FOCUS",IF(J1674&lt;=2,"?ACTIVATED",IF(J1674&lt;&gt;"","?FAMILIAR",IF(F1674="NEW",IF(ISNA(VLOOKUP(E1674,#REF!,1,FALSE())),"?TYPE_IDENTIFIABLE","?REFERENTIAL"),"_")))))</f>
        <v> </v>
      </c>
      <c r="H1674" s="25" t="str">
        <f>IF(J1674&lt;&gt;1,"",IF(I1674="SBJ","CB","?"))</f>
        <v> </v>
      </c>
      <c r="I1674" s="26" t="str">
        <f>IF(OR(E1674="",E1674="!!!",F1674="NEW"),"",INDEX(B1673:B$2,-1+SUMPRODUCT(MAX(ROW(E1673:E$2)*(E1674=E1673:E$2)))))</f>
        <v> </v>
      </c>
      <c r="J1674" s="26" t="str">
        <f>IF(OR(E1674="",E1674="!!!",F1674="NEW"),"",COUNTBLANK(OFFSET(A$1,,,SUMPRODUCT(MAX(ROW(E$2:E1674)*(E1674=E$2:E1674)))))-COUNTBLANK(OFFSET(A$1,,,SUMPRODUCT(MAX(ROW(E$1:E1673)*(E2=E$1:E1673))))))</f>
        <v> </v>
      </c>
      <c r="K1674" s="26" t="str">
        <f>IF(OR(E1674="",E1674="!!!",F1674="NEW"),"",INDEX(J$1:J1673,SUMPRODUCT(MAX(ROW(E$1:E1673)*(E1674=E$1:E1673)))))</f>
        <v> </v>
      </c>
      <c r="L1674" s="27"/>
    </row>
    <row r="1675" spans="1:12">
      <c r="A1675" s="20" t="s">
        <v>1014</v>
      </c>
      <c r="E1675" s="22">
        <f>IF(D1675="?OLD","!!!","")</f>
        <v/>
      </c>
      <c r="F1675" s="23" t="str">
        <f>IF(OR(E1675="",E1675="!!!"),"",IF(NOT(ISNA(VLOOKUP(E1675,E$1:E1674,1,FALSE()))),"OLD",IF(AND(E1675&lt;&gt;"",E1675&lt;&gt;"!!!"),"NEW","")))</f>
        <v> </v>
      </c>
      <c r="G1675" s="24" t="str">
        <f>IF(OR(E1675="",E1675="!!!"),"",IF(OR(J1675=0,AND(J1675=1,K1675=1),AND(J1675=1,I1675="SBJ"),AND(J1675=1,I1675=0)),"?IN_FOCUS",IF(J1675&lt;=2,"?ACTIVATED",IF(J1675&lt;&gt;"","?FAMILIAR",IF(F1675="NEW",IF(ISNA(VLOOKUP(E1675,#REF!,1,FALSE())),"?TYPE_IDENTIFIABLE","?REFERENTIAL"),"_")))))</f>
        <v> </v>
      </c>
      <c r="H1675" s="25" t="str">
        <f>IF(J1675&lt;&gt;1,"",IF(I1675="SBJ","CB","?"))</f>
        <v> </v>
      </c>
      <c r="I1675" s="26" t="str">
        <f>IF(OR(E1675="",E1675="!!!",F1675="NEW"),"",INDEX(B1674:B$2,-1+SUMPRODUCT(MAX(ROW(E1674:E$2)*(E1675=E1674:E$2)))))</f>
        <v> </v>
      </c>
      <c r="J1675" s="26" t="str">
        <f>IF(OR(E1675="",E1675="!!!",F1675="NEW"),"",COUNTBLANK(OFFSET(A$1,,,SUMPRODUCT(MAX(ROW(E$2:E1675)*(E1675=E$2:E1675)))))-COUNTBLANK(OFFSET(A$1,,,SUMPRODUCT(MAX(ROW(E$1:E1674)*(E2=E$1:E1674))))))</f>
        <v> </v>
      </c>
      <c r="K1675" s="26" t="str">
        <f>IF(OR(E1675="",E1675="!!!",F1675="NEW"),"",INDEX(J$1:J1674,SUMPRODUCT(MAX(ROW(E$1:E1674)*(E1675=E$1:E1674)))))</f>
        <v> </v>
      </c>
      <c r="L1675" s="27"/>
    </row>
    <row r="1676" spans="1:12">
      <c r="A1676" s="20" t="s">
        <v>1140</v>
      </c>
      <c r="B1676" s="21" t="s">
        <v>1022</v>
      </c>
      <c r="C1676" s="21" t="s">
        <v>1073</v>
      </c>
      <c r="D1676" s="21" t="s">
        <v>1007</v>
      </c>
      <c r="E1676" s="22">
        <f>IF(D1676="?OLD","!!!","")</f>
        <v/>
      </c>
      <c r="F1676" s="23" t="str">
        <f>IF(OR(E1676="",E1676="!!!"),"",IF(NOT(ISNA(VLOOKUP(E1676,E$1:E1675,1,FALSE()))),"OLD",IF(AND(E1676&lt;&gt;"",E1676&lt;&gt;"!!!"),"NEW","")))</f>
        <v> </v>
      </c>
      <c r="G1676" s="24" t="str">
        <f>IF(OR(E1676="",E1676="!!!"),"",IF(OR(J1676=0,AND(J1676=1,K1676=1),AND(J1676=1,I1676="SBJ"),AND(J1676=1,I1676=0)),"?IN_FOCUS",IF(J1676&lt;=2,"?ACTIVATED",IF(J1676&lt;&gt;"","?FAMILIAR",IF(F1676="NEW",IF(ISNA(VLOOKUP(E1676,#REF!,1,FALSE())),"?TYPE_IDENTIFIABLE","?REFERENTIAL"),"_")))))</f>
        <v> </v>
      </c>
      <c r="H1676" s="25" t="str">
        <f>IF(J1676&lt;&gt;1,"",IF(I1676="SBJ","CB","?"))</f>
        <v> </v>
      </c>
      <c r="I1676" s="26" t="str">
        <f>IF(OR(E1676="",E1676="!!!",F1676="NEW"),"",INDEX(B1675:B$2,-1+SUMPRODUCT(MAX(ROW(E1675:E$2)*(E1676=E1675:E$2)))))</f>
        <v> </v>
      </c>
      <c r="J1676" s="26" t="str">
        <f>IF(OR(E1676="",E1676="!!!",F1676="NEW"),"",COUNTBLANK(OFFSET(A$1,,,SUMPRODUCT(MAX(ROW(E$2:E1676)*(E1676=E$2:E1676)))))-COUNTBLANK(OFFSET(A$1,,,SUMPRODUCT(MAX(ROW(E$1:E1675)*(E2=E$1:E1675))))))</f>
        <v> </v>
      </c>
      <c r="K1676" s="26" t="str">
        <f>IF(OR(E1676="",E1676="!!!",F1676="NEW"),"",INDEX(J$1:J1675,SUMPRODUCT(MAX(ROW(E$1:E1675)*(E1676=E$1:E1675)))))</f>
        <v> </v>
      </c>
      <c r="L1676" s="27"/>
    </row>
    <row r="1677" spans="1:12">
      <c r="A1677" s="20" t="s">
        <v>1018</v>
      </c>
      <c r="E1677" s="22">
        <f>IF(D1677="?OLD","!!!","")</f>
        <v/>
      </c>
      <c r="F1677" s="23" t="str">
        <f>IF(OR(E1677="",E1677="!!!"),"",IF(NOT(ISNA(VLOOKUP(E1677,E$1:E1676,1,FALSE()))),"OLD",IF(AND(E1677&lt;&gt;"",E1677&lt;&gt;"!!!"),"NEW","")))</f>
        <v> </v>
      </c>
      <c r="G1677" s="24" t="str">
        <f>IF(OR(E1677="",E1677="!!!"),"",IF(OR(J1677=0,AND(J1677=1,K1677=1),AND(J1677=1,I1677="SBJ"),AND(J1677=1,I1677=0)),"?IN_FOCUS",IF(J1677&lt;=2,"?ACTIVATED",IF(J1677&lt;&gt;"","?FAMILIAR",IF(F1677="NEW",IF(ISNA(VLOOKUP(E1677,#REF!,1,FALSE())),"?TYPE_IDENTIFIABLE","?REFERENTIAL"),"_")))))</f>
        <v> </v>
      </c>
      <c r="H1677" s="25" t="str">
        <f>IF(J1677&lt;&gt;1,"",IF(I1677="SBJ","CB","?"))</f>
        <v> </v>
      </c>
      <c r="I1677" s="26" t="str">
        <f>IF(OR(E1677="",E1677="!!!",F1677="NEW"),"",INDEX(B1676:B$2,-1+SUMPRODUCT(MAX(ROW(E1676:E$2)*(E1677=E1676:E$2)))))</f>
        <v> </v>
      </c>
      <c r="J1677" s="26" t="str">
        <f>IF(OR(E1677="",E1677="!!!",F1677="NEW"),"",COUNTBLANK(OFFSET(A$1,,,SUMPRODUCT(MAX(ROW(E$2:E1677)*(E1677=E$2:E1677)))))-COUNTBLANK(OFFSET(A$1,,,SUMPRODUCT(MAX(ROW(E$1:E1676)*(E2=E$1:E1676))))))</f>
        <v> </v>
      </c>
      <c r="K1677" s="26" t="str">
        <f>IF(OR(E1677="",E1677="!!!",F1677="NEW"),"",INDEX(J$1:J1676,SUMPRODUCT(MAX(ROW(E$1:E1676)*(E1677=E$1:E1676)))))</f>
        <v> </v>
      </c>
      <c r="L1677" s="27"/>
    </row>
    <row r="1678" spans="1:12">
      <c r="A1678" s="20" t="s">
        <v>1616</v>
      </c>
      <c r="E1678" s="22">
        <f>IF(D1678="?OLD","!!!","")</f>
        <v/>
      </c>
      <c r="F1678" s="23" t="str">
        <f>IF(OR(E1678="",E1678="!!!"),"",IF(NOT(ISNA(VLOOKUP(E1678,E$1:E1677,1,FALSE()))),"OLD",IF(AND(E1678&lt;&gt;"",E1678&lt;&gt;"!!!"),"NEW","")))</f>
        <v> </v>
      </c>
      <c r="G1678" s="24" t="str">
        <f>IF(OR(E1678="",E1678="!!!"),"",IF(OR(J1678=0,AND(J1678=1,K1678=1),AND(J1678=1,I1678="SBJ"),AND(J1678=1,I1678=0)),"?IN_FOCUS",IF(J1678&lt;=2,"?ACTIVATED",IF(J1678&lt;&gt;"","?FAMILIAR",IF(F1678="NEW",IF(ISNA(VLOOKUP(E1678,#REF!,1,FALSE())),"?TYPE_IDENTIFIABLE","?REFERENTIAL"),"_")))))</f>
        <v> </v>
      </c>
      <c r="H1678" s="25" t="str">
        <f>IF(J1678&lt;&gt;1,"",IF(I1678="SBJ","CB","?"))</f>
        <v> </v>
      </c>
      <c r="I1678" s="26" t="str">
        <f>IF(OR(E1678="",E1678="!!!",F1678="NEW"),"",INDEX(B1677:B$2,-1+SUMPRODUCT(MAX(ROW(E1677:E$2)*(E1678=E1677:E$2)))))</f>
        <v> </v>
      </c>
      <c r="J1678" s="26" t="str">
        <f>IF(OR(E1678="",E1678="!!!",F1678="NEW"),"",COUNTBLANK(OFFSET(A$1,,,SUMPRODUCT(MAX(ROW(E$2:E1678)*(E1678=E$2:E1678)))))-COUNTBLANK(OFFSET(A$1,,,SUMPRODUCT(MAX(ROW(E$1:E1677)*(E2=E$1:E1677))))))</f>
        <v> </v>
      </c>
      <c r="K1678" s="26" t="str">
        <f>IF(OR(E1678="",E1678="!!!",F1678="NEW"),"",INDEX(J$1:J1677,SUMPRODUCT(MAX(ROW(E$1:E1677)*(E1678=E$1:E1677)))))</f>
        <v> </v>
      </c>
      <c r="L1678" s="27"/>
    </row>
    <row r="1679" spans="1:12">
      <c r="A1679" s="20" t="s">
        <v>1065</v>
      </c>
      <c r="E1679" s="22">
        <f>IF(D1679="?OLD","!!!","")</f>
        <v/>
      </c>
      <c r="F1679" s="23" t="str">
        <f>IF(OR(E1679="",E1679="!!!"),"",IF(NOT(ISNA(VLOOKUP(E1679,E$1:E1678,1,FALSE()))),"OLD",IF(AND(E1679&lt;&gt;"",E1679&lt;&gt;"!!!"),"NEW","")))</f>
        <v> </v>
      </c>
      <c r="G1679" s="24" t="str">
        <f>IF(OR(E1679="",E1679="!!!"),"",IF(OR(J1679=0,AND(J1679=1,K1679=1),AND(J1679=1,I1679="SBJ"),AND(J1679=1,I1679=0)),"?IN_FOCUS",IF(J1679&lt;=2,"?ACTIVATED",IF(J1679&lt;&gt;"","?FAMILIAR",IF(F1679="NEW",IF(ISNA(VLOOKUP(E1679,#REF!,1,FALSE())),"?TYPE_IDENTIFIABLE","?REFERENTIAL"),"_")))))</f>
        <v> </v>
      </c>
      <c r="H1679" s="25" t="str">
        <f>IF(J1679&lt;&gt;1,"",IF(I1679="SBJ","CB","?"))</f>
        <v> </v>
      </c>
      <c r="I1679" s="26" t="str">
        <f>IF(OR(E1679="",E1679="!!!",F1679="NEW"),"",INDEX(B1678:B$2,-1+SUMPRODUCT(MAX(ROW(E1678:E$2)*(E1679=E1678:E$2)))))</f>
        <v> </v>
      </c>
      <c r="J1679" s="26" t="str">
        <f>IF(OR(E1679="",E1679="!!!",F1679="NEW"),"",COUNTBLANK(OFFSET(A$1,,,SUMPRODUCT(MAX(ROW(E$2:E1679)*(E1679=E$2:E1679)))))-COUNTBLANK(OFFSET(A$1,,,SUMPRODUCT(MAX(ROW(E$1:E1678)*(E2=E$1:E1678))))))</f>
        <v> </v>
      </c>
      <c r="K1679" s="26" t="str">
        <f>IF(OR(E1679="",E1679="!!!",F1679="NEW"),"",INDEX(J$1:J1678,SUMPRODUCT(MAX(ROW(E$1:E1678)*(E1679=E$1:E1678)))))</f>
        <v> </v>
      </c>
      <c r="L1679" s="27"/>
    </row>
    <row r="1680" spans="1:12">
      <c r="A1680" s="20" t="s">
        <v>1027</v>
      </c>
      <c r="E1680" s="22">
        <f>IF(D1680="?OLD","!!!","")</f>
        <v/>
      </c>
      <c r="F1680" s="23" t="str">
        <f>IF(OR(E1680="",E1680="!!!"),"",IF(NOT(ISNA(VLOOKUP(E1680,E$1:E1679,1,FALSE()))),"OLD",IF(AND(E1680&lt;&gt;"",E1680&lt;&gt;"!!!"),"NEW","")))</f>
        <v> </v>
      </c>
      <c r="G1680" s="24" t="str">
        <f>IF(OR(E1680="",E1680="!!!"),"",IF(OR(J1680=0,AND(J1680=1,K1680=1),AND(J1680=1,I1680="SBJ"),AND(J1680=1,I1680=0)),"?IN_FOCUS",IF(J1680&lt;=2,"?ACTIVATED",IF(J1680&lt;&gt;"","?FAMILIAR",IF(F1680="NEW",IF(ISNA(VLOOKUP(E1680,#REF!,1,FALSE())),"?TYPE_IDENTIFIABLE","?REFERENTIAL"),"_")))))</f>
        <v> </v>
      </c>
      <c r="H1680" s="25" t="str">
        <f>IF(J1680&lt;&gt;1,"",IF(I1680="SBJ","CB","?"))</f>
        <v> </v>
      </c>
      <c r="I1680" s="26" t="str">
        <f>IF(OR(E1680="",E1680="!!!",F1680="NEW"),"",INDEX(B1679:B$2,-1+SUMPRODUCT(MAX(ROW(E1679:E$2)*(E1680=E1679:E$2)))))</f>
        <v> </v>
      </c>
      <c r="J1680" s="26" t="str">
        <f>IF(OR(E1680="",E1680="!!!",F1680="NEW"),"",COUNTBLANK(OFFSET(A$1,,,SUMPRODUCT(MAX(ROW(E$2:E1680)*(E1680=E$2:E1680)))))-COUNTBLANK(OFFSET(A$1,,,SUMPRODUCT(MAX(ROW(E$1:E1679)*(E2=E$1:E1679))))))</f>
        <v> </v>
      </c>
      <c r="K1680" s="26" t="str">
        <f>IF(OR(E1680="",E1680="!!!",F1680="NEW"),"",INDEX(J$1:J1679,SUMPRODUCT(MAX(ROW(E$1:E1679)*(E1680=E$1:E1679)))))</f>
        <v> </v>
      </c>
      <c r="L1680" s="27"/>
    </row>
    <row r="1681" spans="1:12">
      <c r="A1681" s="20" t="s">
        <v>1617</v>
      </c>
      <c r="B1681" s="21" t="s">
        <v>1033</v>
      </c>
      <c r="C1681" s="21" t="s">
        <v>1059</v>
      </c>
      <c r="D1681" s="21" t="s">
        <v>1007</v>
      </c>
      <c r="E1681" s="22">
        <f>IF(D1681="?OLD","!!!","")</f>
        <v/>
      </c>
      <c r="F1681" s="23" t="str">
        <f>IF(OR(E1681="",E1681="!!!"),"",IF(NOT(ISNA(VLOOKUP(E1681,E$1:E1680,1,FALSE()))),"OLD",IF(AND(E1681&lt;&gt;"",E1681&lt;&gt;"!!!"),"NEW","")))</f>
        <v> </v>
      </c>
      <c r="G1681" s="24" t="str">
        <f>IF(OR(E1681="",E1681="!!!"),"",IF(OR(J1681=0,AND(J1681=1,K1681=1),AND(J1681=1,I1681="SBJ"),AND(J1681=1,I1681=0)),"?IN_FOCUS",IF(J1681&lt;=2,"?ACTIVATED",IF(J1681&lt;&gt;"","?FAMILIAR",IF(F1681="NEW",IF(ISNA(VLOOKUP(E1681,#REF!,1,FALSE())),"?TYPE_IDENTIFIABLE","?REFERENTIAL"),"_")))))</f>
        <v> </v>
      </c>
      <c r="H1681" s="25" t="str">
        <f>IF(J1681&lt;&gt;1,"",IF(I1681="SBJ","CB","?"))</f>
        <v> </v>
      </c>
      <c r="I1681" s="26" t="str">
        <f>IF(OR(E1681="",E1681="!!!",F1681="NEW"),"",INDEX(B1680:B$2,-1+SUMPRODUCT(MAX(ROW(E1680:E$2)*(E1681=E1680:E$2)))))</f>
        <v> </v>
      </c>
      <c r="J1681" s="26" t="str">
        <f>IF(OR(E1681="",E1681="!!!",F1681="NEW"),"",COUNTBLANK(OFFSET(A$1,,,SUMPRODUCT(MAX(ROW(E$2:E1681)*(E1681=E$2:E1681)))))-COUNTBLANK(OFFSET(A$1,,,SUMPRODUCT(MAX(ROW(E$1:E1680)*(E2=E$1:E1680))))))</f>
        <v> </v>
      </c>
      <c r="K1681" s="26" t="str">
        <f>IF(OR(E1681="",E1681="!!!",F1681="NEW"),"",INDEX(J$1:J1680,SUMPRODUCT(MAX(ROW(E$1:E1680)*(E1681=E$1:E1680)))))</f>
        <v> </v>
      </c>
      <c r="L1681" s="27"/>
    </row>
    <row r="1682" spans="1:12">
      <c r="A1682" s="20" t="s">
        <v>1460</v>
      </c>
      <c r="B1682" s="21" t="s">
        <v>1119</v>
      </c>
      <c r="C1682" s="21" t="s">
        <v>1017</v>
      </c>
      <c r="D1682" s="21" t="s">
        <v>1007</v>
      </c>
      <c r="E1682" s="22">
        <f>IF(D1682="?OLD","!!!","")</f>
        <v/>
      </c>
      <c r="F1682" s="23" t="str">
        <f>IF(OR(E1682="",E1682="!!!"),"",IF(NOT(ISNA(VLOOKUP(E1682,E$1:E1681,1,FALSE()))),"OLD",IF(AND(E1682&lt;&gt;"",E1682&lt;&gt;"!!!"),"NEW","")))</f>
        <v> </v>
      </c>
      <c r="G1682" s="24" t="str">
        <f>IF(OR(E1682="",E1682="!!!"),"",IF(OR(J1682=0,AND(J1682=1,K1682=1),AND(J1682=1,I1682="SBJ"),AND(J1682=1,I1682=0)),"?IN_FOCUS",IF(J1682&lt;=2,"?ACTIVATED",IF(J1682&lt;&gt;"","?FAMILIAR",IF(F1682="NEW",IF(ISNA(VLOOKUP(E1682,#REF!,1,FALSE())),"?TYPE_IDENTIFIABLE","?REFERENTIAL"),"_")))))</f>
        <v> </v>
      </c>
      <c r="H1682" s="25" t="str">
        <f>IF(J1682&lt;&gt;1,"",IF(I1682="SBJ","CB","?"))</f>
        <v> </v>
      </c>
      <c r="I1682" s="26" t="str">
        <f>IF(OR(E1682="",E1682="!!!",F1682="NEW"),"",INDEX(B1681:B$2,-1+SUMPRODUCT(MAX(ROW(E1681:E$2)*(E1682=E1681:E$2)))))</f>
        <v> </v>
      </c>
      <c r="J1682" s="26" t="str">
        <f>IF(OR(E1682="",E1682="!!!",F1682="NEW"),"",COUNTBLANK(OFFSET(A$1,,,SUMPRODUCT(MAX(ROW(E$2:E1682)*(E1682=E$2:E1682)))))-COUNTBLANK(OFFSET(A$1,,,SUMPRODUCT(MAX(ROW(E$1:E1681)*(E2=E$1:E1681))))))</f>
        <v> </v>
      </c>
      <c r="K1682" s="26" t="str">
        <f>IF(OR(E1682="",E1682="!!!",F1682="NEW"),"",INDEX(J$1:J1681,SUMPRODUCT(MAX(ROW(E$1:E1681)*(E1682=E$1:E1681)))))</f>
        <v> </v>
      </c>
      <c r="L1682" s="27"/>
    </row>
    <row r="1683" spans="1:12">
      <c r="A1683" s="20" t="s">
        <v>1618</v>
      </c>
      <c r="E1683" s="22">
        <f>IF(D1683="?OLD","!!!","")</f>
        <v/>
      </c>
      <c r="F1683" s="23" t="str">
        <f>IF(OR(E1683="",E1683="!!!"),"",IF(NOT(ISNA(VLOOKUP(E1683,E$1:E1682,1,FALSE()))),"OLD",IF(AND(E1683&lt;&gt;"",E1683&lt;&gt;"!!!"),"NEW","")))</f>
        <v> </v>
      </c>
      <c r="G1683" s="24" t="str">
        <f>IF(OR(E1683="",E1683="!!!"),"",IF(OR(J1683=0,AND(J1683=1,K1683=1),AND(J1683=1,I1683="SBJ"),AND(J1683=1,I1683=0)),"?IN_FOCUS",IF(J1683&lt;=2,"?ACTIVATED",IF(J1683&lt;&gt;"","?FAMILIAR",IF(F1683="NEW",IF(ISNA(VLOOKUP(E1683,#REF!,1,FALSE())),"?TYPE_IDENTIFIABLE","?REFERENTIAL"),"_")))))</f>
        <v> </v>
      </c>
      <c r="H1683" s="25" t="str">
        <f>IF(J1683&lt;&gt;1,"",IF(I1683="SBJ","CB","?"))</f>
        <v> </v>
      </c>
      <c r="I1683" s="26" t="str">
        <f>IF(OR(E1683="",E1683="!!!",F1683="NEW"),"",INDEX(B1682:B$2,-1+SUMPRODUCT(MAX(ROW(E1682:E$2)*(E1683=E1682:E$2)))))</f>
        <v> </v>
      </c>
      <c r="J1683" s="26" t="str">
        <f>IF(OR(E1683="",E1683="!!!",F1683="NEW"),"",COUNTBLANK(OFFSET(A$1,,,SUMPRODUCT(MAX(ROW(E$2:E1683)*(E1683=E$2:E1683)))))-COUNTBLANK(OFFSET(A$1,,,SUMPRODUCT(MAX(ROW(E$1:E1682)*(E2=E$1:E1682))))))</f>
        <v> </v>
      </c>
      <c r="K1683" s="26" t="str">
        <f>IF(OR(E1683="",E1683="!!!",F1683="NEW"),"",INDEX(J$1:J1682,SUMPRODUCT(MAX(ROW(E$1:E1682)*(E1683=E$1:E1682)))))</f>
        <v> </v>
      </c>
      <c r="L1683" s="27"/>
    </row>
    <row r="1684" spans="1:12">
      <c r="A1684" s="20" t="s">
        <v>1619</v>
      </c>
      <c r="E1684" s="22">
        <f>IF(D1684="?OLD","!!!","")</f>
        <v/>
      </c>
      <c r="F1684" s="23" t="str">
        <f>IF(OR(E1684="",E1684="!!!"),"",IF(NOT(ISNA(VLOOKUP(E1684,E$1:E1683,1,FALSE()))),"OLD",IF(AND(E1684&lt;&gt;"",E1684&lt;&gt;"!!!"),"NEW","")))</f>
        <v> </v>
      </c>
      <c r="G1684" s="24" t="str">
        <f>IF(OR(E1684="",E1684="!!!"),"",IF(OR(J1684=0,AND(J1684=1,K1684=1),AND(J1684=1,I1684="SBJ"),AND(J1684=1,I1684=0)),"?IN_FOCUS",IF(J1684&lt;=2,"?ACTIVATED",IF(J1684&lt;&gt;"","?FAMILIAR",IF(F1684="NEW",IF(ISNA(VLOOKUP(E1684,#REF!,1,FALSE())),"?TYPE_IDENTIFIABLE","?REFERENTIAL"),"_")))))</f>
        <v> </v>
      </c>
      <c r="H1684" s="25" t="str">
        <f>IF(J1684&lt;&gt;1,"",IF(I1684="SBJ","CB","?"))</f>
        <v> </v>
      </c>
      <c r="I1684" s="26" t="str">
        <f>IF(OR(E1684="",E1684="!!!",F1684="NEW"),"",INDEX(B1683:B$2,-1+SUMPRODUCT(MAX(ROW(E1683:E$2)*(E1684=E1683:E$2)))))</f>
        <v> </v>
      </c>
      <c r="J1684" s="26" t="str">
        <f>IF(OR(E1684="",E1684="!!!",F1684="NEW"),"",COUNTBLANK(OFFSET(A$1,,,SUMPRODUCT(MAX(ROW(E$2:E1684)*(E1684=E$2:E1684)))))-COUNTBLANK(OFFSET(A$1,,,SUMPRODUCT(MAX(ROW(E$1:E1683)*(E2=E$1:E1683))))))</f>
        <v> </v>
      </c>
      <c r="K1684" s="26" t="str">
        <f>IF(OR(E1684="",E1684="!!!",F1684="NEW"),"",INDEX(J$1:J1683,SUMPRODUCT(MAX(ROW(E$1:E1683)*(E1684=E$1:E1683)))))</f>
        <v> </v>
      </c>
      <c r="L1684" s="27"/>
    </row>
    <row r="1685" spans="1:12">
      <c r="A1685" s="20" t="s">
        <v>1097</v>
      </c>
      <c r="E1685" s="22">
        <f>IF(D1685="?OLD","!!!","")</f>
        <v/>
      </c>
      <c r="F1685" s="23" t="str">
        <f>IF(OR(E1685="",E1685="!!!"),"",IF(NOT(ISNA(VLOOKUP(E1685,E$1:E1684,1,FALSE()))),"OLD",IF(AND(E1685&lt;&gt;"",E1685&lt;&gt;"!!!"),"NEW","")))</f>
        <v> </v>
      </c>
      <c r="G1685" s="24" t="str">
        <f>IF(OR(E1685="",E1685="!!!"),"",IF(OR(J1685=0,AND(J1685=1,K1685=1),AND(J1685=1,I1685="SBJ"),AND(J1685=1,I1685=0)),"?IN_FOCUS",IF(J1685&lt;=2,"?ACTIVATED",IF(J1685&lt;&gt;"","?FAMILIAR",IF(F1685="NEW",IF(ISNA(VLOOKUP(E1685,#REF!,1,FALSE())),"?TYPE_IDENTIFIABLE","?REFERENTIAL"),"_")))))</f>
        <v> </v>
      </c>
      <c r="H1685" s="25" t="str">
        <f>IF(J1685&lt;&gt;1,"",IF(I1685="SBJ","CB","?"))</f>
        <v> </v>
      </c>
      <c r="I1685" s="26" t="str">
        <f>IF(OR(E1685="",E1685="!!!",F1685="NEW"),"",INDEX(B1684:B$2,-1+SUMPRODUCT(MAX(ROW(E1684:E$2)*(E1685=E1684:E$2)))))</f>
        <v> </v>
      </c>
      <c r="J1685" s="26" t="str">
        <f>IF(OR(E1685="",E1685="!!!",F1685="NEW"),"",COUNTBLANK(OFFSET(A$1,,,SUMPRODUCT(MAX(ROW(E$2:E1685)*(E1685=E$2:E1685)))))-COUNTBLANK(OFFSET(A$1,,,SUMPRODUCT(MAX(ROW(E$1:E1684)*(E2=E$1:E1684))))))</f>
        <v> </v>
      </c>
      <c r="K1685" s="26" t="str">
        <f>IF(OR(E1685="",E1685="!!!",F1685="NEW"),"",INDEX(J$1:J1684,SUMPRODUCT(MAX(ROW(E$1:E1684)*(E1685=E$1:E1684)))))</f>
        <v> </v>
      </c>
      <c r="L1685" s="27"/>
    </row>
    <row r="1686" spans="1:12">
      <c r="A1686" s="20" t="s">
        <v>126</v>
      </c>
      <c r="E1686" s="22">
        <f>IF(D1686="?OLD","!!!","")</f>
        <v/>
      </c>
      <c r="F1686" s="23" t="str">
        <f>IF(OR(E1686="",E1686="!!!"),"",IF(NOT(ISNA(VLOOKUP(E1686,E$1:E1685,1,FALSE()))),"OLD",IF(AND(E1686&lt;&gt;"",E1686&lt;&gt;"!!!"),"NEW","")))</f>
        <v> </v>
      </c>
      <c r="G1686" s="24" t="str">
        <f>IF(OR(E1686="",E1686="!!!"),"",IF(OR(J1686=0,AND(J1686=1,K1686=1),AND(J1686=1,I1686="SBJ"),AND(J1686=1,I1686=0)),"?IN_FOCUS",IF(J1686&lt;=2,"?ACTIVATED",IF(J1686&lt;&gt;"","?FAMILIAR",IF(F1686="NEW",IF(ISNA(VLOOKUP(E1686,#REF!,1,FALSE())),"?TYPE_IDENTIFIABLE","?REFERENTIAL"),"_")))))</f>
        <v> </v>
      </c>
      <c r="H1686" s="25" t="str">
        <f>IF(J1686&lt;&gt;1,"",IF(I1686="SBJ","CB","?"))</f>
        <v> </v>
      </c>
      <c r="I1686" s="26" t="str">
        <f>IF(OR(E1686="",E1686="!!!",F1686="NEW"),"",INDEX(B1685:B$2,-1+SUMPRODUCT(MAX(ROW(E1685:E$2)*(E1686=E1685:E$2)))))</f>
        <v> </v>
      </c>
      <c r="J1686" s="26" t="str">
        <f>IF(OR(E1686="",E1686="!!!",F1686="NEW"),"",COUNTBLANK(OFFSET(A$1,,,SUMPRODUCT(MAX(ROW(E$2:E1686)*(E1686=E$2:E1686)))))-COUNTBLANK(OFFSET(A$1,,,SUMPRODUCT(MAX(ROW(E$1:E1685)*(E2=E$1:E1685))))))</f>
        <v> </v>
      </c>
      <c r="K1686" s="26" t="str">
        <f>IF(OR(E1686="",E1686="!!!",F1686="NEW"),"",INDEX(J$1:J1685,SUMPRODUCT(MAX(ROW(E$1:E1685)*(E1686=E$1:E1685)))))</f>
        <v> </v>
      </c>
      <c r="L1686" s="27"/>
    </row>
    <row r="1687" spans="1:12">
      <c r="A1687" s="20" t="s">
        <v>1065</v>
      </c>
      <c r="E1687" s="22">
        <f>IF(D1687="?OLD","!!!","")</f>
        <v/>
      </c>
      <c r="F1687" s="23" t="str">
        <f>IF(OR(E1687="",E1687="!!!"),"",IF(NOT(ISNA(VLOOKUP(E1687,E$1:E1686,1,FALSE()))),"OLD",IF(AND(E1687&lt;&gt;"",E1687&lt;&gt;"!!!"),"NEW","")))</f>
        <v> </v>
      </c>
      <c r="G1687" s="24" t="str">
        <f>IF(OR(E1687="",E1687="!!!"),"",IF(OR(J1687=0,AND(J1687=1,K1687=1),AND(J1687=1,I1687="SBJ"),AND(J1687=1,I1687=0)),"?IN_FOCUS",IF(J1687&lt;=2,"?ACTIVATED",IF(J1687&lt;&gt;"","?FAMILIAR",IF(F1687="NEW",IF(ISNA(VLOOKUP(E1687,#REF!,1,FALSE())),"?TYPE_IDENTIFIABLE","?REFERENTIAL"),"_")))))</f>
        <v> </v>
      </c>
      <c r="H1687" s="25" t="str">
        <f>IF(J1687&lt;&gt;1,"",IF(I1687="SBJ","CB","?"))</f>
        <v> </v>
      </c>
      <c r="I1687" s="26" t="str">
        <f>IF(OR(E1687="",E1687="!!!",F1687="NEW"),"",INDEX(B1686:B$2,-1+SUMPRODUCT(MAX(ROW(E1686:E$2)*(E1687=E1686:E$2)))))</f>
        <v> </v>
      </c>
      <c r="J1687" s="26" t="str">
        <f>IF(OR(E1687="",E1687="!!!",F1687="NEW"),"",COUNTBLANK(OFFSET(A$1,,,SUMPRODUCT(MAX(ROW(E$2:E1687)*(E1687=E$2:E1687)))))-COUNTBLANK(OFFSET(A$1,,,SUMPRODUCT(MAX(ROW(E$1:E1686)*(E2=E$1:E1686))))))</f>
        <v> </v>
      </c>
      <c r="K1687" s="26" t="str">
        <f>IF(OR(E1687="",E1687="!!!",F1687="NEW"),"",INDEX(J$1:J1686,SUMPRODUCT(MAX(ROW(E$1:E1686)*(E1687=E$1:E1686)))))</f>
        <v> </v>
      </c>
      <c r="L1687" s="27"/>
    </row>
    <row r="1688" spans="1:12">
      <c r="A1688" s="20" t="s">
        <v>1256</v>
      </c>
      <c r="E1688" s="22">
        <f>IF(D1688="?OLD","!!!","")</f>
        <v/>
      </c>
      <c r="F1688" s="23" t="str">
        <f>IF(OR(E1688="",E1688="!!!"),"",IF(NOT(ISNA(VLOOKUP(E1688,E$1:E1687,1,FALSE()))),"OLD",IF(AND(E1688&lt;&gt;"",E1688&lt;&gt;"!!!"),"NEW","")))</f>
        <v> </v>
      </c>
      <c r="G1688" s="24" t="str">
        <f>IF(OR(E1688="",E1688="!!!"),"",IF(OR(J1688=0,AND(J1688=1,K1688=1),AND(J1688=1,I1688="SBJ"),AND(J1688=1,I1688=0)),"?IN_FOCUS",IF(J1688&lt;=2,"?ACTIVATED",IF(J1688&lt;&gt;"","?FAMILIAR",IF(F1688="NEW",IF(ISNA(VLOOKUP(E1688,#REF!,1,FALSE())),"?TYPE_IDENTIFIABLE","?REFERENTIAL"),"_")))))</f>
        <v> </v>
      </c>
      <c r="H1688" s="25" t="str">
        <f>IF(J1688&lt;&gt;1,"",IF(I1688="SBJ","CB","?"))</f>
        <v> </v>
      </c>
      <c r="I1688" s="26" t="str">
        <f>IF(OR(E1688="",E1688="!!!",F1688="NEW"),"",INDEX(B1687:B$2,-1+SUMPRODUCT(MAX(ROW(E1687:E$2)*(E1688=E1687:E$2)))))</f>
        <v> </v>
      </c>
      <c r="J1688" s="26" t="str">
        <f>IF(OR(E1688="",E1688="!!!",F1688="NEW"),"",COUNTBLANK(OFFSET(A$1,,,SUMPRODUCT(MAX(ROW(E$2:E1688)*(E1688=E$2:E1688)))))-COUNTBLANK(OFFSET(A$1,,,SUMPRODUCT(MAX(ROW(E$1:E1687)*(E2=E$1:E1687))))))</f>
        <v> </v>
      </c>
      <c r="K1688" s="26" t="str">
        <f>IF(OR(E1688="",E1688="!!!",F1688="NEW"),"",INDEX(J$1:J1687,SUMPRODUCT(MAX(ROW(E$1:E1687)*(E1688=E$1:E1687)))))</f>
        <v> </v>
      </c>
      <c r="L1688" s="27"/>
    </row>
    <row r="1689" spans="1:12">
      <c r="A1689" s="20" t="s">
        <v>1620</v>
      </c>
      <c r="E1689" s="22">
        <f>IF(D1689="?OLD","!!!","")</f>
        <v/>
      </c>
      <c r="F1689" s="23" t="str">
        <f>IF(OR(E1689="",E1689="!!!"),"",IF(NOT(ISNA(VLOOKUP(E1689,E$1:E1688,1,FALSE()))),"OLD",IF(AND(E1689&lt;&gt;"",E1689&lt;&gt;"!!!"),"NEW","")))</f>
        <v> </v>
      </c>
      <c r="G1689" s="24" t="str">
        <f>IF(OR(E1689="",E1689="!!!"),"",IF(OR(J1689=0,AND(J1689=1,K1689=1),AND(J1689=1,I1689="SBJ"),AND(J1689=1,I1689=0)),"?IN_FOCUS",IF(J1689&lt;=2,"?ACTIVATED",IF(J1689&lt;&gt;"","?FAMILIAR",IF(F1689="NEW",IF(ISNA(VLOOKUP(E1689,#REF!,1,FALSE())),"?TYPE_IDENTIFIABLE","?REFERENTIAL"),"_")))))</f>
        <v> </v>
      </c>
      <c r="H1689" s="25" t="str">
        <f>IF(J1689&lt;&gt;1,"",IF(I1689="SBJ","CB","?"))</f>
        <v> </v>
      </c>
      <c r="I1689" s="26" t="str">
        <f>IF(OR(E1689="",E1689="!!!",F1689="NEW"),"",INDEX(B1688:B$2,-1+SUMPRODUCT(MAX(ROW(E1688:E$2)*(E1689=E1688:E$2)))))</f>
        <v> </v>
      </c>
      <c r="J1689" s="26" t="str">
        <f>IF(OR(E1689="",E1689="!!!",F1689="NEW"),"",COUNTBLANK(OFFSET(A$1,,,SUMPRODUCT(MAX(ROW(E$2:E1689)*(E1689=E$2:E1689)))))-COUNTBLANK(OFFSET(A$1,,,SUMPRODUCT(MAX(ROW(E$1:E1688)*(E2=E$1:E1688))))))</f>
        <v> </v>
      </c>
      <c r="K1689" s="26" t="str">
        <f>IF(OR(E1689="",E1689="!!!",F1689="NEW"),"",INDEX(J$1:J1688,SUMPRODUCT(MAX(ROW(E$1:E1688)*(E1689=E$1:E1688)))))</f>
        <v> </v>
      </c>
      <c r="L1689" s="27"/>
    </row>
    <row r="1690" spans="1:12">
      <c r="A1690" s="20" t="s">
        <v>1015</v>
      </c>
      <c r="E1690" s="22">
        <f>IF(D1690="?OLD","!!!","")</f>
        <v/>
      </c>
      <c r="F1690" s="23" t="str">
        <f>IF(OR(E1690="",E1690="!!!"),"",IF(NOT(ISNA(VLOOKUP(E1690,E$1:E1689,1,FALSE()))),"OLD",IF(AND(E1690&lt;&gt;"",E1690&lt;&gt;"!!!"),"NEW","")))</f>
        <v> </v>
      </c>
      <c r="G1690" s="24" t="str">
        <f>IF(OR(E1690="",E1690="!!!"),"",IF(OR(J1690=0,AND(J1690=1,K1690=1),AND(J1690=1,I1690="SBJ"),AND(J1690=1,I1690=0)),"?IN_FOCUS",IF(J1690&lt;=2,"?ACTIVATED",IF(J1690&lt;&gt;"","?FAMILIAR",IF(F1690="NEW",IF(ISNA(VLOOKUP(E1690,#REF!,1,FALSE())),"?TYPE_IDENTIFIABLE","?REFERENTIAL"),"_")))))</f>
        <v> </v>
      </c>
      <c r="H1690" s="25" t="str">
        <f>IF(J1690&lt;&gt;1,"",IF(I1690="SBJ","CB","?"))</f>
        <v> </v>
      </c>
      <c r="I1690" s="26" t="str">
        <f>IF(OR(E1690="",E1690="!!!",F1690="NEW"),"",INDEX(B1689:B$2,-1+SUMPRODUCT(MAX(ROW(E1689:E$2)*(E1690=E1689:E$2)))))</f>
        <v> </v>
      </c>
      <c r="J1690" s="26" t="str">
        <f>IF(OR(E1690="",E1690="!!!",F1690="NEW"),"",COUNTBLANK(OFFSET(A$1,,,SUMPRODUCT(MAX(ROW(E$2:E1690)*(E1690=E$2:E1690)))))-COUNTBLANK(OFFSET(A$1,,,SUMPRODUCT(MAX(ROW(E$1:E1689)*(E2=E$1:E1689))))))</f>
        <v> </v>
      </c>
      <c r="K1690" s="26" t="str">
        <f>IF(OR(E1690="",E1690="!!!",F1690="NEW"),"",INDEX(J$1:J1689,SUMPRODUCT(MAX(ROW(E$1:E1689)*(E1690=E$1:E1689)))))</f>
        <v> </v>
      </c>
      <c r="L1690" s="27"/>
    </row>
    <row r="1691" spans="1:12">
      <c r="A1691" s="20" t="s">
        <v>1621</v>
      </c>
      <c r="B1691" s="21" t="s">
        <v>1064</v>
      </c>
      <c r="C1691" s="21" t="s">
        <v>1013</v>
      </c>
      <c r="D1691" s="21" t="s">
        <v>1007</v>
      </c>
      <c r="E1691" s="22">
        <f>IF(D1691="?OLD","!!!","")</f>
        <v/>
      </c>
      <c r="F1691" s="23" t="str">
        <f>IF(OR(E1691="",E1691="!!!"),"",IF(NOT(ISNA(VLOOKUP(E1691,E$1:E1690,1,FALSE()))),"OLD",IF(AND(E1691&lt;&gt;"",E1691&lt;&gt;"!!!"),"NEW","")))</f>
        <v> </v>
      </c>
      <c r="G1691" s="24" t="str">
        <f>IF(OR(E1691="",E1691="!!!"),"",IF(OR(J1691=0,AND(J1691=1,K1691=1),AND(J1691=1,I1691="SBJ"),AND(J1691=1,I1691=0)),"?IN_FOCUS",IF(J1691&lt;=2,"?ACTIVATED",IF(J1691&lt;&gt;"","?FAMILIAR",IF(F1691="NEW",IF(ISNA(VLOOKUP(E1691,#REF!,1,FALSE())),"?TYPE_IDENTIFIABLE","?REFERENTIAL"),"_")))))</f>
        <v> </v>
      </c>
      <c r="H1691" s="25" t="str">
        <f>IF(J1691&lt;&gt;1,"",IF(I1691="SBJ","CB","?"))</f>
        <v> </v>
      </c>
      <c r="I1691" s="26" t="str">
        <f>IF(OR(E1691="",E1691="!!!",F1691="NEW"),"",INDEX(B1690:B$2,-1+SUMPRODUCT(MAX(ROW(E1690:E$2)*(E1691=E1690:E$2)))))</f>
        <v> </v>
      </c>
      <c r="J1691" s="26" t="str">
        <f>IF(OR(E1691="",E1691="!!!",F1691="NEW"),"",COUNTBLANK(OFFSET(A$1,,,SUMPRODUCT(MAX(ROW(E$2:E1691)*(E1691=E$2:E1691)))))-COUNTBLANK(OFFSET(A$1,,,SUMPRODUCT(MAX(ROW(E$1:E1690)*(E2=E$1:E1690))))))</f>
        <v> </v>
      </c>
      <c r="K1691" s="26" t="str">
        <f>IF(OR(E1691="",E1691="!!!",F1691="NEW"),"",INDEX(J$1:J1690,SUMPRODUCT(MAX(ROW(E$1:E1690)*(E1691=E$1:E1690)))))</f>
        <v> </v>
      </c>
      <c r="L1691" s="27"/>
    </row>
    <row r="1692" spans="1:12">
      <c r="A1692" s="20" t="s">
        <v>1014</v>
      </c>
      <c r="E1692" s="22">
        <f>IF(D1692="?OLD","!!!","")</f>
        <v/>
      </c>
      <c r="F1692" s="23" t="str">
        <f>IF(OR(E1692="",E1692="!!!"),"",IF(NOT(ISNA(VLOOKUP(E1692,E$1:E1691,1,FALSE()))),"OLD",IF(AND(E1692&lt;&gt;"",E1692&lt;&gt;"!!!"),"NEW","")))</f>
        <v> </v>
      </c>
      <c r="G1692" s="24" t="str">
        <f>IF(OR(E1692="",E1692="!!!"),"",IF(OR(J1692=0,AND(J1692=1,K1692=1),AND(J1692=1,I1692="SBJ"),AND(J1692=1,I1692=0)),"?IN_FOCUS",IF(J1692&lt;=2,"?ACTIVATED",IF(J1692&lt;&gt;"","?FAMILIAR",IF(F1692="NEW",IF(ISNA(VLOOKUP(E1692,#REF!,1,FALSE())),"?TYPE_IDENTIFIABLE","?REFERENTIAL"),"_")))))</f>
        <v> </v>
      </c>
      <c r="H1692" s="25" t="str">
        <f>IF(J1692&lt;&gt;1,"",IF(I1692="SBJ","CB","?"))</f>
        <v> </v>
      </c>
      <c r="I1692" s="26" t="str">
        <f>IF(OR(E1692="",E1692="!!!",F1692="NEW"),"",INDEX(B1691:B$2,-1+SUMPRODUCT(MAX(ROW(E1691:E$2)*(E1692=E1691:E$2)))))</f>
        <v> </v>
      </c>
      <c r="J1692" s="26" t="str">
        <f>IF(OR(E1692="",E1692="!!!",F1692="NEW"),"",COUNTBLANK(OFFSET(A$1,,,SUMPRODUCT(MAX(ROW(E$2:E1692)*(E1692=E$2:E1692)))))-COUNTBLANK(OFFSET(A$1,,,SUMPRODUCT(MAX(ROW(E$1:E1691)*(E2=E$1:E1691))))))</f>
        <v> </v>
      </c>
      <c r="K1692" s="26" t="str">
        <f>IF(OR(E1692="",E1692="!!!",F1692="NEW"),"",INDEX(J$1:J1691,SUMPRODUCT(MAX(ROW(E$1:E1691)*(E1692=E$1:E1691)))))</f>
        <v> </v>
      </c>
      <c r="L1692" s="27"/>
    </row>
    <row r="1693" spans="1:12">
      <c r="A1693" s="20" t="s">
        <v>102</v>
      </c>
      <c r="E1693" s="22">
        <f>IF(D1693="?OLD","!!!","")</f>
        <v/>
      </c>
      <c r="F1693" s="23" t="str">
        <f>IF(OR(E1693="",E1693="!!!"),"",IF(NOT(ISNA(VLOOKUP(E1693,E$1:E1692,1,FALSE()))),"OLD",IF(AND(E1693&lt;&gt;"",E1693&lt;&gt;"!!!"),"NEW","")))</f>
        <v> </v>
      </c>
      <c r="G1693" s="24" t="str">
        <f>IF(OR(E1693="",E1693="!!!"),"",IF(OR(J1693=0,AND(J1693=1,K1693=1),AND(J1693=1,I1693="SBJ"),AND(J1693=1,I1693=0)),"?IN_FOCUS",IF(J1693&lt;=2,"?ACTIVATED",IF(J1693&lt;&gt;"","?FAMILIAR",IF(F1693="NEW",IF(ISNA(VLOOKUP(E1693,#REF!,1,FALSE())),"?TYPE_IDENTIFIABLE","?REFERENTIAL"),"_")))))</f>
        <v> </v>
      </c>
      <c r="H1693" s="25" t="str">
        <f>IF(J1693&lt;&gt;1,"",IF(I1693="SBJ","CB","?"))</f>
        <v> </v>
      </c>
      <c r="I1693" s="26" t="str">
        <f>IF(OR(E1693="",E1693="!!!",F1693="NEW"),"",INDEX(B1692:B$2,-1+SUMPRODUCT(MAX(ROW(E1692:E$2)*(E1693=E1692:E$2)))))</f>
        <v> </v>
      </c>
      <c r="J1693" s="26" t="str">
        <f>IF(OR(E1693="",E1693="!!!",F1693="NEW"),"",COUNTBLANK(OFFSET(A$1,,,SUMPRODUCT(MAX(ROW(E$2:E1693)*(E1693=E$2:E1693)))))-COUNTBLANK(OFFSET(A$1,,,SUMPRODUCT(MAX(ROW(E$1:E1692)*(E2=E$1:E1692))))))</f>
        <v> </v>
      </c>
      <c r="K1693" s="26" t="str">
        <f>IF(OR(E1693="",E1693="!!!",F1693="NEW"),"",INDEX(J$1:J1692,SUMPRODUCT(MAX(ROW(E$1:E1692)*(E1693=E$1:E1692)))))</f>
        <v> </v>
      </c>
      <c r="L1693" s="27"/>
    </row>
    <row r="1694" spans="1:12">
      <c r="A1694" s="20" t="s">
        <v>1622</v>
      </c>
      <c r="B1694" s="21" t="s">
        <v>1130</v>
      </c>
      <c r="C1694" s="21" t="s">
        <v>1017</v>
      </c>
      <c r="D1694" s="21" t="s">
        <v>1007</v>
      </c>
      <c r="E1694" s="22">
        <f>IF(D1694="?OLD","!!!","")</f>
        <v/>
      </c>
      <c r="F1694" s="23" t="str">
        <f>IF(OR(E1694="",E1694="!!!"),"",IF(NOT(ISNA(VLOOKUP(E1694,E$1:E1693,1,FALSE()))),"OLD",IF(AND(E1694&lt;&gt;"",E1694&lt;&gt;"!!!"),"NEW","")))</f>
        <v> </v>
      </c>
      <c r="G1694" s="24" t="str">
        <f>IF(OR(E1694="",E1694="!!!"),"",IF(OR(J1694=0,AND(J1694=1,K1694=1),AND(J1694=1,I1694="SBJ"),AND(J1694=1,I1694=0)),"?IN_FOCUS",IF(J1694&lt;=2,"?ACTIVATED",IF(J1694&lt;&gt;"","?FAMILIAR",IF(F1694="NEW",IF(ISNA(VLOOKUP(E1694,#REF!,1,FALSE())),"?TYPE_IDENTIFIABLE","?REFERENTIAL"),"_")))))</f>
        <v> </v>
      </c>
      <c r="H1694" s="25" t="str">
        <f>IF(J1694&lt;&gt;1,"",IF(I1694="SBJ","CB","?"))</f>
        <v> </v>
      </c>
      <c r="I1694" s="26" t="str">
        <f>IF(OR(E1694="",E1694="!!!",F1694="NEW"),"",INDEX(B1693:B$2,-1+SUMPRODUCT(MAX(ROW(E1693:E$2)*(E1694=E1693:E$2)))))</f>
        <v> </v>
      </c>
      <c r="J1694" s="26" t="str">
        <f>IF(OR(E1694="",E1694="!!!",F1694="NEW"),"",COUNTBLANK(OFFSET(A$1,,,SUMPRODUCT(MAX(ROW(E$2:E1694)*(E1694=E$2:E1694)))))-COUNTBLANK(OFFSET(A$1,,,SUMPRODUCT(MAX(ROW(E$1:E1693)*(E2=E$1:E1693))))))</f>
        <v> </v>
      </c>
      <c r="K1694" s="26" t="str">
        <f>IF(OR(E1694="",E1694="!!!",F1694="NEW"),"",INDEX(J$1:J1693,SUMPRODUCT(MAX(ROW(E$1:E1693)*(E1694=E$1:E1693)))))</f>
        <v> </v>
      </c>
      <c r="L1694" s="27"/>
    </row>
    <row r="1695" spans="1:12">
      <c r="A1695" s="20" t="s">
        <v>1018</v>
      </c>
      <c r="E1695" s="22">
        <f>IF(D1695="?OLD","!!!","")</f>
        <v/>
      </c>
      <c r="F1695" s="23" t="str">
        <f>IF(OR(E1695="",E1695="!!!"),"",IF(NOT(ISNA(VLOOKUP(E1695,E$1:E1694,1,FALSE()))),"OLD",IF(AND(E1695&lt;&gt;"",E1695&lt;&gt;"!!!"),"NEW","")))</f>
        <v> </v>
      </c>
      <c r="G1695" s="24" t="str">
        <f>IF(OR(E1695="",E1695="!!!"),"",IF(OR(J1695=0,AND(J1695=1,K1695=1),AND(J1695=1,I1695="SBJ"),AND(J1695=1,I1695=0)),"?IN_FOCUS",IF(J1695&lt;=2,"?ACTIVATED",IF(J1695&lt;&gt;"","?FAMILIAR",IF(F1695="NEW",IF(ISNA(VLOOKUP(E1695,#REF!,1,FALSE())),"?TYPE_IDENTIFIABLE","?REFERENTIAL"),"_")))))</f>
        <v> </v>
      </c>
      <c r="H1695" s="25" t="str">
        <f>IF(J1695&lt;&gt;1,"",IF(I1695="SBJ","CB","?"))</f>
        <v> </v>
      </c>
      <c r="I1695" s="26" t="str">
        <f>IF(OR(E1695="",E1695="!!!",F1695="NEW"),"",INDEX(B1694:B$2,-1+SUMPRODUCT(MAX(ROW(E1694:E$2)*(E1695=E1694:E$2)))))</f>
        <v> </v>
      </c>
      <c r="J1695" s="26" t="str">
        <f>IF(OR(E1695="",E1695="!!!",F1695="NEW"),"",COUNTBLANK(OFFSET(A$1,,,SUMPRODUCT(MAX(ROW(E$2:E1695)*(E1695=E$2:E1695)))))-COUNTBLANK(OFFSET(A$1,,,SUMPRODUCT(MAX(ROW(E$1:E1694)*(E2=E$1:E1694))))))</f>
        <v> </v>
      </c>
      <c r="K1695" s="26" t="str">
        <f>IF(OR(E1695="",E1695="!!!",F1695="NEW"),"",INDEX(J$1:J1694,SUMPRODUCT(MAX(ROW(E$1:E1694)*(E1695=E$1:E1694)))))</f>
        <v> </v>
      </c>
      <c r="L1695" s="27"/>
    </row>
    <row r="1696" spans="1:12">
      <c r="A1696" s="20" t="s">
        <v>56</v>
      </c>
      <c r="E1696" s="22">
        <f>IF(D1696="?OLD","!!!","")</f>
        <v/>
      </c>
      <c r="F1696" s="23" t="str">
        <f>IF(OR(E1696="",E1696="!!!"),"",IF(NOT(ISNA(VLOOKUP(E1696,E$1:E1695,1,FALSE()))),"OLD",IF(AND(E1696&lt;&gt;"",E1696&lt;&gt;"!!!"),"NEW","")))</f>
        <v> </v>
      </c>
      <c r="G1696" s="24" t="str">
        <f>IF(OR(E1696="",E1696="!!!"),"",IF(OR(J1696=0,AND(J1696=1,K1696=1),AND(J1696=1,I1696="SBJ"),AND(J1696=1,I1696=0)),"?IN_FOCUS",IF(J1696&lt;=2,"?ACTIVATED",IF(J1696&lt;&gt;"","?FAMILIAR",IF(F1696="NEW",IF(ISNA(VLOOKUP(E1696,#REF!,1,FALSE())),"?TYPE_IDENTIFIABLE","?REFERENTIAL"),"_")))))</f>
        <v> </v>
      </c>
      <c r="H1696" s="25" t="str">
        <f>IF(J1696&lt;&gt;1,"",IF(I1696="SBJ","CB","?"))</f>
        <v> </v>
      </c>
      <c r="I1696" s="26" t="str">
        <f>IF(OR(E1696="",E1696="!!!",F1696="NEW"),"",INDEX(B1695:B$2,-1+SUMPRODUCT(MAX(ROW(E1695:E$2)*(E1696=E1695:E$2)))))</f>
        <v> </v>
      </c>
      <c r="J1696" s="26" t="str">
        <f>IF(OR(E1696="",E1696="!!!",F1696="NEW"),"",COUNTBLANK(OFFSET(A$1,,,SUMPRODUCT(MAX(ROW(E$2:E1696)*(E1696=E$2:E1696)))))-COUNTBLANK(OFFSET(A$1,,,SUMPRODUCT(MAX(ROW(E$1:E1695)*(E2=E$1:E1695))))))</f>
        <v> </v>
      </c>
      <c r="K1696" s="26" t="str">
        <f>IF(OR(E1696="",E1696="!!!",F1696="NEW"),"",INDEX(J$1:J1695,SUMPRODUCT(MAX(ROW(E$1:E1695)*(E1696=E$1:E1695)))))</f>
        <v> </v>
      </c>
      <c r="L1696" s="27"/>
    </row>
    <row r="1697" spans="1:12">
      <c r="A1697" s="20" t="s">
        <v>444</v>
      </c>
      <c r="E1697" s="22">
        <f>IF(D1697="?OLD","!!!","")</f>
        <v/>
      </c>
      <c r="F1697" s="23" t="str">
        <f>IF(OR(E1697="",E1697="!!!"),"",IF(NOT(ISNA(VLOOKUP(E1697,E$1:E1696,1,FALSE()))),"OLD",IF(AND(E1697&lt;&gt;"",E1697&lt;&gt;"!!!"),"NEW","")))</f>
        <v> </v>
      </c>
      <c r="G1697" s="24" t="str">
        <f>IF(OR(E1697="",E1697="!!!"),"",IF(OR(J1697=0,AND(J1697=1,K1697=1),AND(J1697=1,I1697="SBJ"),AND(J1697=1,I1697=0)),"?IN_FOCUS",IF(J1697&lt;=2,"?ACTIVATED",IF(J1697&lt;&gt;"","?FAMILIAR",IF(F1697="NEW",IF(ISNA(VLOOKUP(E1697,#REF!,1,FALSE())),"?TYPE_IDENTIFIABLE","?REFERENTIAL"),"_")))))</f>
        <v> </v>
      </c>
      <c r="H1697" s="25" t="str">
        <f>IF(J1697&lt;&gt;1,"",IF(I1697="SBJ","CB","?"))</f>
        <v> </v>
      </c>
      <c r="I1697" s="26" t="str">
        <f>IF(OR(E1697="",E1697="!!!",F1697="NEW"),"",INDEX(B1696:B$2,-1+SUMPRODUCT(MAX(ROW(E1696:E$2)*(E1697=E1696:E$2)))))</f>
        <v> </v>
      </c>
      <c r="J1697" s="26" t="str">
        <f>IF(OR(E1697="",E1697="!!!",F1697="NEW"),"",COUNTBLANK(OFFSET(A$1,,,SUMPRODUCT(MAX(ROW(E$2:E1697)*(E1697=E$2:E1697)))))-COUNTBLANK(OFFSET(A$1,,,SUMPRODUCT(MAX(ROW(E$1:E1696)*(E2=E$1:E1696))))))</f>
        <v> </v>
      </c>
      <c r="K1697" s="26" t="str">
        <f>IF(OR(E1697="",E1697="!!!",F1697="NEW"),"",INDEX(J$1:J1696,SUMPRODUCT(MAX(ROW(E$1:E1696)*(E1697=E$1:E1696)))))</f>
        <v> </v>
      </c>
      <c r="L1697" s="27"/>
    </row>
    <row r="1698" spans="1:12">
      <c r="A1698" s="20" t="s">
        <v>1255</v>
      </c>
      <c r="E1698" s="22">
        <f>IF(D1698="?OLD","!!!","")</f>
        <v/>
      </c>
      <c r="F1698" s="23" t="str">
        <f>IF(OR(E1698="",E1698="!!!"),"",IF(NOT(ISNA(VLOOKUP(E1698,E$1:E1697,1,FALSE()))),"OLD",IF(AND(E1698&lt;&gt;"",E1698&lt;&gt;"!!!"),"NEW","")))</f>
        <v> </v>
      </c>
      <c r="G1698" s="24" t="str">
        <f>IF(OR(E1698="",E1698="!!!"),"",IF(OR(J1698=0,AND(J1698=1,K1698=1),AND(J1698=1,I1698="SBJ"),AND(J1698=1,I1698=0)),"?IN_FOCUS",IF(J1698&lt;=2,"?ACTIVATED",IF(J1698&lt;&gt;"","?FAMILIAR",IF(F1698="NEW",IF(ISNA(VLOOKUP(E1698,#REF!,1,FALSE())),"?TYPE_IDENTIFIABLE","?REFERENTIAL"),"_")))))</f>
        <v> </v>
      </c>
      <c r="H1698" s="25" t="str">
        <f>IF(J1698&lt;&gt;1,"",IF(I1698="SBJ","CB","?"))</f>
        <v> </v>
      </c>
      <c r="I1698" s="26" t="str">
        <f>IF(OR(E1698="",E1698="!!!",F1698="NEW"),"",INDEX(B1697:B$2,-1+SUMPRODUCT(MAX(ROW(E1697:E$2)*(E1698=E1697:E$2)))))</f>
        <v> </v>
      </c>
      <c r="J1698" s="26" t="str">
        <f>IF(OR(E1698="",E1698="!!!",F1698="NEW"),"",COUNTBLANK(OFFSET(A$1,,,SUMPRODUCT(MAX(ROW(E$2:E1698)*(E1698=E$2:E1698)))))-COUNTBLANK(OFFSET(A$1,,,SUMPRODUCT(MAX(ROW(E$1:E1697)*(E2=E$1:E1697))))))</f>
        <v> </v>
      </c>
      <c r="K1698" s="26" t="str">
        <f>IF(OR(E1698="",E1698="!!!",F1698="NEW"),"",INDEX(J$1:J1697,SUMPRODUCT(MAX(ROW(E$1:E1697)*(E1698=E$1:E1697)))))</f>
        <v> </v>
      </c>
      <c r="L1698" s="27"/>
    </row>
    <row r="1699" spans="1:12">
      <c r="A1699" s="20" t="s">
        <v>1015</v>
      </c>
      <c r="E1699" s="22">
        <f>IF(D1699="?OLD","!!!","")</f>
        <v/>
      </c>
      <c r="F1699" s="23" t="str">
        <f>IF(OR(E1699="",E1699="!!!"),"",IF(NOT(ISNA(VLOOKUP(E1699,E$1:E1698,1,FALSE()))),"OLD",IF(AND(E1699&lt;&gt;"",E1699&lt;&gt;"!!!"),"NEW","")))</f>
        <v> </v>
      </c>
      <c r="G1699" s="24" t="str">
        <f>IF(OR(E1699="",E1699="!!!"),"",IF(OR(J1699=0,AND(J1699=1,K1699=1),AND(J1699=1,I1699="SBJ"),AND(J1699=1,I1699=0)),"?IN_FOCUS",IF(J1699&lt;=2,"?ACTIVATED",IF(J1699&lt;&gt;"","?FAMILIAR",IF(F1699="NEW",IF(ISNA(VLOOKUP(E1699,#REF!,1,FALSE())),"?TYPE_IDENTIFIABLE","?REFERENTIAL"),"_")))))</f>
        <v> </v>
      </c>
      <c r="H1699" s="25" t="str">
        <f>IF(J1699&lt;&gt;1,"",IF(I1699="SBJ","CB","?"))</f>
        <v> </v>
      </c>
      <c r="I1699" s="26" t="str">
        <f>IF(OR(E1699="",E1699="!!!",F1699="NEW"),"",INDEX(B1698:B$2,-1+SUMPRODUCT(MAX(ROW(E1698:E$2)*(E1699=E1698:E$2)))))</f>
        <v> </v>
      </c>
      <c r="J1699" s="26" t="str">
        <f>IF(OR(E1699="",E1699="!!!",F1699="NEW"),"",COUNTBLANK(OFFSET(A$1,,,SUMPRODUCT(MAX(ROW(E$2:E1699)*(E1699=E$2:E1699)))))-COUNTBLANK(OFFSET(A$1,,,SUMPRODUCT(MAX(ROW(E$1:E1698)*(E2=E$1:E1698))))))</f>
        <v> </v>
      </c>
      <c r="K1699" s="26" t="str">
        <f>IF(OR(E1699="",E1699="!!!",F1699="NEW"),"",INDEX(J$1:J1698,SUMPRODUCT(MAX(ROW(E$1:E1698)*(E1699=E$1:E1698)))))</f>
        <v> </v>
      </c>
      <c r="L1699" s="27"/>
    </row>
    <row r="1700" spans="1:12">
      <c r="A1700" s="20" t="s">
        <v>1012</v>
      </c>
      <c r="B1700" s="21" t="s">
        <v>1029</v>
      </c>
      <c r="C1700" s="21" t="s">
        <v>1013</v>
      </c>
      <c r="D1700" s="21" t="s">
        <v>1007</v>
      </c>
      <c r="E1700" s="22">
        <f>IF(D1700="?OLD","!!!","")</f>
        <v/>
      </c>
      <c r="F1700" s="23" t="str">
        <f>IF(OR(E1700="",E1700="!!!"),"",IF(NOT(ISNA(VLOOKUP(E1700,E$1:E1699,1,FALSE()))),"OLD",IF(AND(E1700&lt;&gt;"",E1700&lt;&gt;"!!!"),"NEW","")))</f>
        <v> </v>
      </c>
      <c r="G1700" s="24" t="str">
        <f>IF(OR(E1700="",E1700="!!!"),"",IF(OR(J1700=0,AND(J1700=1,K1700=1),AND(J1700=1,I1700="SBJ"),AND(J1700=1,I1700=0)),"?IN_FOCUS",IF(J1700&lt;=2,"?ACTIVATED",IF(J1700&lt;&gt;"","?FAMILIAR",IF(F1700="NEW",IF(ISNA(VLOOKUP(E1700,#REF!,1,FALSE())),"?TYPE_IDENTIFIABLE","?REFERENTIAL"),"_")))))</f>
        <v> </v>
      </c>
      <c r="H1700" s="25" t="str">
        <f>IF(J1700&lt;&gt;1,"",IF(I1700="SBJ","CB","?"))</f>
        <v> </v>
      </c>
      <c r="I1700" s="26" t="str">
        <f>IF(OR(E1700="",E1700="!!!",F1700="NEW"),"",INDEX(B1699:B$2,-1+SUMPRODUCT(MAX(ROW(E1699:E$2)*(E1700=E1699:E$2)))))</f>
        <v> </v>
      </c>
      <c r="J1700" s="26" t="str">
        <f>IF(OR(E1700="",E1700="!!!",F1700="NEW"),"",COUNTBLANK(OFFSET(A$1,,,SUMPRODUCT(MAX(ROW(E$2:E1700)*(E1700=E$2:E1700)))))-COUNTBLANK(OFFSET(A$1,,,SUMPRODUCT(MAX(ROW(E$1:E1699)*(E2=E$1:E1699))))))</f>
        <v> </v>
      </c>
      <c r="K1700" s="26" t="str">
        <f>IF(OR(E1700="",E1700="!!!",F1700="NEW"),"",INDEX(J$1:J1699,SUMPRODUCT(MAX(ROW(E$1:E1699)*(E1700=E$1:E1699)))))</f>
        <v> </v>
      </c>
      <c r="L1700" s="27"/>
    </row>
    <row r="1701" spans="1:12">
      <c r="A1701" s="20" t="s">
        <v>1014</v>
      </c>
      <c r="E1701" s="22">
        <f>IF(D1701="?OLD","!!!","")</f>
        <v/>
      </c>
      <c r="F1701" s="23" t="str">
        <f>IF(OR(E1701="",E1701="!!!"),"",IF(NOT(ISNA(VLOOKUP(E1701,E$1:E1700,1,FALSE()))),"OLD",IF(AND(E1701&lt;&gt;"",E1701&lt;&gt;"!!!"),"NEW","")))</f>
        <v> </v>
      </c>
      <c r="G1701" s="24" t="str">
        <f>IF(OR(E1701="",E1701="!!!"),"",IF(OR(J1701=0,AND(J1701=1,K1701=1),AND(J1701=1,I1701="SBJ"),AND(J1701=1,I1701=0)),"?IN_FOCUS",IF(J1701&lt;=2,"?ACTIVATED",IF(J1701&lt;&gt;"","?FAMILIAR",IF(F1701="NEW",IF(ISNA(VLOOKUP(E1701,#REF!,1,FALSE())),"?TYPE_IDENTIFIABLE","?REFERENTIAL"),"_")))))</f>
        <v> </v>
      </c>
      <c r="H1701" s="25" t="str">
        <f>IF(J1701&lt;&gt;1,"",IF(I1701="SBJ","CB","?"))</f>
        <v> </v>
      </c>
      <c r="I1701" s="26" t="str">
        <f>IF(OR(E1701="",E1701="!!!",F1701="NEW"),"",INDEX(B1700:B$2,-1+SUMPRODUCT(MAX(ROW(E1700:E$2)*(E1701=E1700:E$2)))))</f>
        <v> </v>
      </c>
      <c r="J1701" s="26" t="str">
        <f>IF(OR(E1701="",E1701="!!!",F1701="NEW"),"",COUNTBLANK(OFFSET(A$1,,,SUMPRODUCT(MAX(ROW(E$2:E1701)*(E1701=E$2:E1701)))))-COUNTBLANK(OFFSET(A$1,,,SUMPRODUCT(MAX(ROW(E$1:E1700)*(E2=E$1:E1700))))))</f>
        <v> </v>
      </c>
      <c r="K1701" s="26" t="str">
        <f>IF(OR(E1701="",E1701="!!!",F1701="NEW"),"",INDEX(J$1:J1700,SUMPRODUCT(MAX(ROW(E$1:E1700)*(E1701=E$1:E1700)))))</f>
        <v> </v>
      </c>
      <c r="L1701" s="27"/>
    </row>
    <row r="1702" spans="1:12">
      <c r="A1702" s="20" t="s">
        <v>1015</v>
      </c>
      <c r="E1702" s="22">
        <f>IF(D1702="?OLD","!!!","")</f>
        <v/>
      </c>
      <c r="F1702" s="23" t="str">
        <f>IF(OR(E1702="",E1702="!!!"),"",IF(NOT(ISNA(VLOOKUP(E1702,E$1:E1701,1,FALSE()))),"OLD",IF(AND(E1702&lt;&gt;"",E1702&lt;&gt;"!!!"),"NEW","")))</f>
        <v> </v>
      </c>
      <c r="G1702" s="24" t="str">
        <f>IF(OR(E1702="",E1702="!!!"),"",IF(OR(J1702=0,AND(J1702=1,K1702=1),AND(J1702=1,I1702="SBJ"),AND(J1702=1,I1702=0)),"?IN_FOCUS",IF(J1702&lt;=2,"?ACTIVATED",IF(J1702&lt;&gt;"","?FAMILIAR",IF(F1702="NEW",IF(ISNA(VLOOKUP(E1702,#REF!,1,FALSE())),"?TYPE_IDENTIFIABLE","?REFERENTIAL"),"_")))))</f>
        <v> </v>
      </c>
      <c r="H1702" s="25" t="str">
        <f>IF(J1702&lt;&gt;1,"",IF(I1702="SBJ","CB","?"))</f>
        <v> </v>
      </c>
      <c r="I1702" s="26" t="str">
        <f>IF(OR(E1702="",E1702="!!!",F1702="NEW"),"",INDEX(B1701:B$2,-1+SUMPRODUCT(MAX(ROW(E1701:E$2)*(E1702=E1701:E$2)))))</f>
        <v> </v>
      </c>
      <c r="J1702" s="26" t="str">
        <f>IF(OR(E1702="",E1702="!!!",F1702="NEW"),"",COUNTBLANK(OFFSET(A$1,,,SUMPRODUCT(MAX(ROW(E$2:E1702)*(E1702=E$2:E1702)))))-COUNTBLANK(OFFSET(A$1,,,SUMPRODUCT(MAX(ROW(E$1:E1701)*(E2=E$1:E1701))))))</f>
        <v> </v>
      </c>
      <c r="K1702" s="26" t="str">
        <f>IF(OR(E1702="",E1702="!!!",F1702="NEW"),"",INDEX(J$1:J1701,SUMPRODUCT(MAX(ROW(E$1:E1701)*(E1702=E$1:E1701)))))</f>
        <v> </v>
      </c>
      <c r="L1702" s="27"/>
    </row>
    <row r="1703" spans="1:12">
      <c r="A1703" s="20" t="s">
        <v>1589</v>
      </c>
      <c r="B1703" s="21" t="s">
        <v>1033</v>
      </c>
      <c r="C1703" s="21" t="s">
        <v>1017</v>
      </c>
      <c r="D1703" s="21" t="s">
        <v>1007</v>
      </c>
      <c r="E1703" s="22">
        <f>IF(D1703="?OLD","!!!","")</f>
        <v/>
      </c>
      <c r="F1703" s="23" t="str">
        <f>IF(OR(E1703="",E1703="!!!"),"",IF(NOT(ISNA(VLOOKUP(E1703,E$1:E1702,1,FALSE()))),"OLD",IF(AND(E1703&lt;&gt;"",E1703&lt;&gt;"!!!"),"NEW","")))</f>
        <v> </v>
      </c>
      <c r="G1703" s="24" t="str">
        <f>IF(OR(E1703="",E1703="!!!"),"",IF(OR(J1703=0,AND(J1703=1,K1703=1),AND(J1703=1,I1703="SBJ"),AND(J1703=1,I1703=0)),"?IN_FOCUS",IF(J1703&lt;=2,"?ACTIVATED",IF(J1703&lt;&gt;"","?FAMILIAR",IF(F1703="NEW",IF(ISNA(VLOOKUP(E1703,#REF!,1,FALSE())),"?TYPE_IDENTIFIABLE","?REFERENTIAL"),"_")))))</f>
        <v> </v>
      </c>
      <c r="H1703" s="25" t="str">
        <f>IF(J1703&lt;&gt;1,"",IF(I1703="SBJ","CB","?"))</f>
        <v> </v>
      </c>
      <c r="I1703" s="26" t="str">
        <f>IF(OR(E1703="",E1703="!!!",F1703="NEW"),"",INDEX(B1702:B$2,-1+SUMPRODUCT(MAX(ROW(E1702:E$2)*(E1703=E1702:E$2)))))</f>
        <v> </v>
      </c>
      <c r="J1703" s="26" t="str">
        <f>IF(OR(E1703="",E1703="!!!",F1703="NEW"),"",COUNTBLANK(OFFSET(A$1,,,SUMPRODUCT(MAX(ROW(E$2:E1703)*(E1703=E$2:E1703)))))-COUNTBLANK(OFFSET(A$1,,,SUMPRODUCT(MAX(ROW(E$1:E1702)*(E2=E$1:E1702))))))</f>
        <v> </v>
      </c>
      <c r="K1703" s="26" t="str">
        <f>IF(OR(E1703="",E1703="!!!",F1703="NEW"),"",INDEX(J$1:J1702,SUMPRODUCT(MAX(ROW(E$1:E1702)*(E1703=E$1:E1702)))))</f>
        <v> </v>
      </c>
      <c r="L1703" s="27"/>
    </row>
    <row r="1704" spans="1:12">
      <c r="A1704" s="20" t="s">
        <v>1023</v>
      </c>
      <c r="E1704" s="22">
        <f>IF(D1704="?OLD","!!!","")</f>
        <v/>
      </c>
      <c r="F1704" s="23" t="str">
        <f>IF(OR(E1704="",E1704="!!!"),"",IF(NOT(ISNA(VLOOKUP(E1704,E$1:E1703,1,FALSE()))),"OLD",IF(AND(E1704&lt;&gt;"",E1704&lt;&gt;"!!!"),"NEW","")))</f>
        <v> </v>
      </c>
      <c r="G1704" s="24" t="str">
        <f>IF(OR(E1704="",E1704="!!!"),"",IF(OR(J1704=0,AND(J1704=1,K1704=1),AND(J1704=1,I1704="SBJ"),AND(J1704=1,I1704=0)),"?IN_FOCUS",IF(J1704&lt;=2,"?ACTIVATED",IF(J1704&lt;&gt;"","?FAMILIAR",IF(F1704="NEW",IF(ISNA(VLOOKUP(E1704,#REF!,1,FALSE())),"?TYPE_IDENTIFIABLE","?REFERENTIAL"),"_")))))</f>
        <v> </v>
      </c>
      <c r="H1704" s="25" t="str">
        <f>IF(J1704&lt;&gt;1,"",IF(I1704="SBJ","CB","?"))</f>
        <v> </v>
      </c>
      <c r="I1704" s="26" t="str">
        <f>IF(OR(E1704="",E1704="!!!",F1704="NEW"),"",INDEX(B1703:B$2,-1+SUMPRODUCT(MAX(ROW(E1703:E$2)*(E1704=E1703:E$2)))))</f>
        <v> </v>
      </c>
      <c r="J1704" s="26" t="str">
        <f>IF(OR(E1704="",E1704="!!!",F1704="NEW"),"",COUNTBLANK(OFFSET(A$1,,,SUMPRODUCT(MAX(ROW(E$2:E1704)*(E1704=E$2:E1704)))))-COUNTBLANK(OFFSET(A$1,,,SUMPRODUCT(MAX(ROW(E$1:E1703)*(E2=E$1:E1703))))))</f>
        <v> </v>
      </c>
      <c r="K1704" s="26" t="str">
        <f>IF(OR(E1704="",E1704="!!!",F1704="NEW"),"",INDEX(J$1:J1703,SUMPRODUCT(MAX(ROW(E$1:E1703)*(E1704=E$1:E1703)))))</f>
        <v> </v>
      </c>
      <c r="L1704" s="27"/>
    </row>
    <row r="1705" spans="1:12">
      <c r="A1705" s="20"/>
    </row>
    <row r="1706" spans="1:12">
      <c r="A1706" s="20" t="s">
        <v>1623</v>
      </c>
    </row>
    <row r="1707" spans="1:12">
      <c r="A1707" s="20" t="s">
        <v>1175</v>
      </c>
      <c r="E1707" s="22">
        <f>IF(D1707="?OLD","!!!","")</f>
        <v/>
      </c>
      <c r="F1707" s="23" t="str">
        <f>IF(OR(E1707="",E1707="!!!"),"",IF(NOT(ISNA(VLOOKUP(E1707,E$1:E1706,1,FALSE()))),"OLD",IF(AND(E1707&lt;&gt;"",E1707&lt;&gt;"!!!"),"NEW","")))</f>
        <v> </v>
      </c>
      <c r="G1707" s="24" t="str">
        <f>IF(OR(E1707="",E1707="!!!"),"",IF(OR(J1707=0,AND(J1707=1,K1707=1),AND(J1707=1,I1707="SBJ"),AND(J1707=1,I1707=0)),"?IN_FOCUS",IF(J1707&lt;=2,"?ACTIVATED",IF(J1707&lt;&gt;"","?FAMILIAR",IF(F1707="NEW",IF(ISNA(VLOOKUP(E1707,#REF!,1,FALSE())),"?TYPE_IDENTIFIABLE","?REFERENTIAL"),"_")))))</f>
        <v> </v>
      </c>
      <c r="H1707" s="25" t="str">
        <f>IF(J1707&lt;&gt;1,"",IF(I1707="SBJ","CB","?"))</f>
        <v> </v>
      </c>
      <c r="I1707" s="26" t="str">
        <f>IF(OR(E1707="",E1707="!!!",F1707="NEW"),"",INDEX(B1706:B$2,-1+SUMPRODUCT(MAX(ROW(E1706:E$2)*(E1707=E1706:E$2)))))</f>
        <v> </v>
      </c>
      <c r="J1707" s="26" t="str">
        <f>IF(OR(E1707="",E1707="!!!",F1707="NEW"),"",COUNTBLANK(OFFSET(A$1,,,SUMPRODUCT(MAX(ROW(E$2:E1707)*(E1707=E$2:E1707)))))-COUNTBLANK(OFFSET(A$1,,,SUMPRODUCT(MAX(ROW(E$1:E1706)*(E2=E$1:E1706))))))</f>
        <v> </v>
      </c>
      <c r="K1707" s="26" t="str">
        <f>IF(OR(E1707="",E1707="!!!",F1707="NEW"),"",INDEX(J$1:J1706,SUMPRODUCT(MAX(ROW(E$1:E1706)*(E1707=E$1:E1706)))))</f>
        <v> </v>
      </c>
      <c r="L1707" s="27"/>
    </row>
    <row r="1708" spans="1:12">
      <c r="A1708" s="20" t="s">
        <v>1138</v>
      </c>
      <c r="B1708" s="21" t="s">
        <v>1050</v>
      </c>
      <c r="C1708" s="21" t="s">
        <v>1082</v>
      </c>
      <c r="D1708" s="21" t="s">
        <v>1007</v>
      </c>
      <c r="E1708" s="22">
        <f>IF(D1708="?OLD","!!!","")</f>
        <v/>
      </c>
      <c r="F1708" s="23" t="str">
        <f>IF(OR(E1708="",E1708="!!!"),"",IF(NOT(ISNA(VLOOKUP(E1708,E$1:E1707,1,FALSE()))),"OLD",IF(AND(E1708&lt;&gt;"",E1708&lt;&gt;"!!!"),"NEW","")))</f>
        <v> </v>
      </c>
      <c r="G1708" s="24" t="str">
        <f>IF(OR(E1708="",E1708="!!!"),"",IF(OR(J1708=0,AND(J1708=1,K1708=1),AND(J1708=1,I1708="SBJ"),AND(J1708=1,I1708=0)),"?IN_FOCUS",IF(J1708&lt;=2,"?ACTIVATED",IF(J1708&lt;&gt;"","?FAMILIAR",IF(F1708="NEW",IF(ISNA(VLOOKUP(E1708,#REF!,1,FALSE())),"?TYPE_IDENTIFIABLE","?REFERENTIAL"),"_")))))</f>
        <v> </v>
      </c>
      <c r="H1708" s="25" t="str">
        <f>IF(J1708&lt;&gt;1,"",IF(I1708="SBJ","CB","?"))</f>
        <v> </v>
      </c>
      <c r="I1708" s="26" t="str">
        <f>IF(OR(E1708="",E1708="!!!",F1708="NEW"),"",INDEX(B1707:B$2,-1+SUMPRODUCT(MAX(ROW(E1707:E$2)*(E1708=E1707:E$2)))))</f>
        <v> </v>
      </c>
      <c r="J1708" s="26" t="str">
        <f>IF(OR(E1708="",E1708="!!!",F1708="NEW"),"",COUNTBLANK(OFFSET(A$1,,,SUMPRODUCT(MAX(ROW(E$2:E1708)*(E1708=E$2:E1708)))))-COUNTBLANK(OFFSET(A$1,,,SUMPRODUCT(MAX(ROW(E$1:E1707)*(E2=E$1:E1707))))))</f>
        <v> </v>
      </c>
      <c r="K1708" s="26" t="str">
        <f>IF(OR(E1708="",E1708="!!!",F1708="NEW"),"",INDEX(J$1:J1707,SUMPRODUCT(MAX(ROW(E$1:E1707)*(E1708=E$1:E1707)))))</f>
        <v> </v>
      </c>
      <c r="L1708" s="27"/>
    </row>
    <row r="1709" spans="1:12">
      <c r="A1709" s="20" t="s">
        <v>1141</v>
      </c>
      <c r="E1709" s="22">
        <f>IF(D1709="?OLD","!!!","")</f>
        <v/>
      </c>
      <c r="F1709" s="23" t="str">
        <f>IF(OR(E1709="",E1709="!!!"),"",IF(NOT(ISNA(VLOOKUP(E1709,E$1:E1708,1,FALSE()))),"OLD",IF(AND(E1709&lt;&gt;"",E1709&lt;&gt;"!!!"),"NEW","")))</f>
        <v> </v>
      </c>
      <c r="G1709" s="24" t="str">
        <f>IF(OR(E1709="",E1709="!!!"),"",IF(OR(J1709=0,AND(J1709=1,K1709=1),AND(J1709=1,I1709="SBJ"),AND(J1709=1,I1709=0)),"?IN_FOCUS",IF(J1709&lt;=2,"?ACTIVATED",IF(J1709&lt;&gt;"","?FAMILIAR",IF(F1709="NEW",IF(ISNA(VLOOKUP(E1709,#REF!,1,FALSE())),"?TYPE_IDENTIFIABLE","?REFERENTIAL"),"_")))))</f>
        <v> </v>
      </c>
      <c r="H1709" s="25" t="str">
        <f>IF(J1709&lt;&gt;1,"",IF(I1709="SBJ","CB","?"))</f>
        <v> </v>
      </c>
      <c r="I1709" s="26" t="str">
        <f>IF(OR(E1709="",E1709="!!!",F1709="NEW"),"",INDEX(B1708:B$2,-1+SUMPRODUCT(MAX(ROW(E1708:E$2)*(E1709=E1708:E$2)))))</f>
        <v> </v>
      </c>
      <c r="J1709" s="26" t="str">
        <f>IF(OR(E1709="",E1709="!!!",F1709="NEW"),"",COUNTBLANK(OFFSET(A$1,,,SUMPRODUCT(MAX(ROW(E$2:E1709)*(E1709=E$2:E1709)))))-COUNTBLANK(OFFSET(A$1,,,SUMPRODUCT(MAX(ROW(E$1:E1708)*(E2=E$1:E1708))))))</f>
        <v> </v>
      </c>
      <c r="K1709" s="26" t="str">
        <f>IF(OR(E1709="",E1709="!!!",F1709="NEW"),"",INDEX(J$1:J1708,SUMPRODUCT(MAX(ROW(E$1:E1708)*(E1709=E$1:E1708)))))</f>
        <v> </v>
      </c>
      <c r="L1709" s="27"/>
    </row>
    <row r="1710" spans="1:12">
      <c r="A1710" s="20" t="s">
        <v>1065</v>
      </c>
      <c r="E1710" s="22">
        <f>IF(D1710="?OLD","!!!","")</f>
        <v/>
      </c>
      <c r="F1710" s="23" t="str">
        <f>IF(OR(E1710="",E1710="!!!"),"",IF(NOT(ISNA(VLOOKUP(E1710,E$1:E1709,1,FALSE()))),"OLD",IF(AND(E1710&lt;&gt;"",E1710&lt;&gt;"!!!"),"NEW","")))</f>
        <v> </v>
      </c>
      <c r="G1710" s="24" t="str">
        <f>IF(OR(E1710="",E1710="!!!"),"",IF(OR(J1710=0,AND(J1710=1,K1710=1),AND(J1710=1,I1710="SBJ"),AND(J1710=1,I1710=0)),"?IN_FOCUS",IF(J1710&lt;=2,"?ACTIVATED",IF(J1710&lt;&gt;"","?FAMILIAR",IF(F1710="NEW",IF(ISNA(VLOOKUP(E1710,#REF!,1,FALSE())),"?TYPE_IDENTIFIABLE","?REFERENTIAL"),"_")))))</f>
        <v> </v>
      </c>
      <c r="H1710" s="25" t="str">
        <f>IF(J1710&lt;&gt;1,"",IF(I1710="SBJ","CB","?"))</f>
        <v> </v>
      </c>
      <c r="I1710" s="26" t="str">
        <f>IF(OR(E1710="",E1710="!!!",F1710="NEW"),"",INDEX(B1709:B$2,-1+SUMPRODUCT(MAX(ROW(E1709:E$2)*(E1710=E1709:E$2)))))</f>
        <v> </v>
      </c>
      <c r="J1710" s="26" t="str">
        <f>IF(OR(E1710="",E1710="!!!",F1710="NEW"),"",COUNTBLANK(OFFSET(A$1,,,SUMPRODUCT(MAX(ROW(E$2:E1710)*(E1710=E$2:E1710)))))-COUNTBLANK(OFFSET(A$1,,,SUMPRODUCT(MAX(ROW(E$1:E1709)*(E2=E$1:E1709))))))</f>
        <v> </v>
      </c>
      <c r="K1710" s="26" t="str">
        <f>IF(OR(E1710="",E1710="!!!",F1710="NEW"),"",INDEX(J$1:J1709,SUMPRODUCT(MAX(ROW(E$1:E1709)*(E1710=E$1:E1709)))))</f>
        <v> </v>
      </c>
      <c r="L1710" s="27"/>
    </row>
    <row r="1711" spans="1:12">
      <c r="A1711" s="20" t="s">
        <v>1018</v>
      </c>
      <c r="E1711" s="22">
        <f>IF(D1711="?OLD","!!!","")</f>
        <v/>
      </c>
      <c r="F1711" s="23" t="str">
        <f>IF(OR(E1711="",E1711="!!!"),"",IF(NOT(ISNA(VLOOKUP(E1711,E$1:E1710,1,FALSE()))),"OLD",IF(AND(E1711&lt;&gt;"",E1711&lt;&gt;"!!!"),"NEW","")))</f>
        <v> </v>
      </c>
      <c r="G1711" s="24" t="str">
        <f>IF(OR(E1711="",E1711="!!!"),"",IF(OR(J1711=0,AND(J1711=1,K1711=1),AND(J1711=1,I1711="SBJ"),AND(J1711=1,I1711=0)),"?IN_FOCUS",IF(J1711&lt;=2,"?ACTIVATED",IF(J1711&lt;&gt;"","?FAMILIAR",IF(F1711="NEW",IF(ISNA(VLOOKUP(E1711,#REF!,1,FALSE())),"?TYPE_IDENTIFIABLE","?REFERENTIAL"),"_")))))</f>
        <v> </v>
      </c>
      <c r="H1711" s="25" t="str">
        <f>IF(J1711&lt;&gt;1,"",IF(I1711="SBJ","CB","?"))</f>
        <v> </v>
      </c>
      <c r="I1711" s="26" t="str">
        <f>IF(OR(E1711="",E1711="!!!",F1711="NEW"),"",INDEX(B1710:B$2,-1+SUMPRODUCT(MAX(ROW(E1710:E$2)*(E1711=E1710:E$2)))))</f>
        <v> </v>
      </c>
      <c r="J1711" s="26" t="str">
        <f>IF(OR(E1711="",E1711="!!!",F1711="NEW"),"",COUNTBLANK(OFFSET(A$1,,,SUMPRODUCT(MAX(ROW(E$2:E1711)*(E1711=E$2:E1711)))))-COUNTBLANK(OFFSET(A$1,,,SUMPRODUCT(MAX(ROW(E$1:E1710)*(E2=E$1:E1710))))))</f>
        <v> </v>
      </c>
      <c r="K1711" s="26" t="str">
        <f>IF(OR(E1711="",E1711="!!!",F1711="NEW"),"",INDEX(J$1:J1710,SUMPRODUCT(MAX(ROW(E$1:E1710)*(E1711=E$1:E1710)))))</f>
        <v> </v>
      </c>
      <c r="L1711" s="27"/>
    </row>
    <row r="1712" spans="1:12">
      <c r="A1712" s="20" t="s">
        <v>1030</v>
      </c>
      <c r="E1712" s="22">
        <f>IF(D1712="?OLD","!!!","")</f>
        <v/>
      </c>
      <c r="F1712" s="23" t="str">
        <f>IF(OR(E1712="",E1712="!!!"),"",IF(NOT(ISNA(VLOOKUP(E1712,E$1:E1711,1,FALSE()))),"OLD",IF(AND(E1712&lt;&gt;"",E1712&lt;&gt;"!!!"),"NEW","")))</f>
        <v> </v>
      </c>
      <c r="G1712" s="24" t="str">
        <f>IF(OR(E1712="",E1712="!!!"),"",IF(OR(J1712=0,AND(J1712=1,K1712=1),AND(J1712=1,I1712="SBJ"),AND(J1712=1,I1712=0)),"?IN_FOCUS",IF(J1712&lt;=2,"?ACTIVATED",IF(J1712&lt;&gt;"","?FAMILIAR",IF(F1712="NEW",IF(ISNA(VLOOKUP(E1712,#REF!,1,FALSE())),"?TYPE_IDENTIFIABLE","?REFERENTIAL"),"_")))))</f>
        <v> </v>
      </c>
      <c r="H1712" s="25" t="str">
        <f>IF(J1712&lt;&gt;1,"",IF(I1712="SBJ","CB","?"))</f>
        <v> </v>
      </c>
      <c r="I1712" s="26" t="str">
        <f>IF(OR(E1712="",E1712="!!!",F1712="NEW"),"",INDEX(B1711:B$2,-1+SUMPRODUCT(MAX(ROW(E1711:E$2)*(E1712=E1711:E$2)))))</f>
        <v> </v>
      </c>
      <c r="J1712" s="26" t="str">
        <f>IF(OR(E1712="",E1712="!!!",F1712="NEW"),"",COUNTBLANK(OFFSET(A$1,,,SUMPRODUCT(MAX(ROW(E$2:E1712)*(E1712=E$2:E1712)))))-COUNTBLANK(OFFSET(A$1,,,SUMPRODUCT(MAX(ROW(E$1:E1711)*(E2=E$1:E1711))))))</f>
        <v> </v>
      </c>
      <c r="K1712" s="26" t="str">
        <f>IF(OR(E1712="",E1712="!!!",F1712="NEW"),"",INDEX(J$1:J1711,SUMPRODUCT(MAX(ROW(E$1:E1711)*(E1712=E$1:E1711)))))</f>
        <v> </v>
      </c>
      <c r="L1712" s="27"/>
    </row>
    <row r="1713" spans="1:12">
      <c r="A1713" s="20" t="s">
        <v>102</v>
      </c>
      <c r="E1713" s="22">
        <f>IF(D1713="?OLD","!!!","")</f>
        <v/>
      </c>
      <c r="F1713" s="23" t="str">
        <f>IF(OR(E1713="",E1713="!!!"),"",IF(NOT(ISNA(VLOOKUP(E1713,E$1:E1712,1,FALSE()))),"OLD",IF(AND(E1713&lt;&gt;"",E1713&lt;&gt;"!!!"),"NEW","")))</f>
        <v> </v>
      </c>
      <c r="G1713" s="24" t="str">
        <f>IF(OR(E1713="",E1713="!!!"),"",IF(OR(J1713=0,AND(J1713=1,K1713=1),AND(J1713=1,I1713="SBJ"),AND(J1713=1,I1713=0)),"?IN_FOCUS",IF(J1713&lt;=2,"?ACTIVATED",IF(J1713&lt;&gt;"","?FAMILIAR",IF(F1713="NEW",IF(ISNA(VLOOKUP(E1713,#REF!,1,FALSE())),"?TYPE_IDENTIFIABLE","?REFERENTIAL"),"_")))))</f>
        <v> </v>
      </c>
      <c r="H1713" s="25" t="str">
        <f>IF(J1713&lt;&gt;1,"",IF(I1713="SBJ","CB","?"))</f>
        <v> </v>
      </c>
      <c r="I1713" s="26" t="str">
        <f>IF(OR(E1713="",E1713="!!!",F1713="NEW"),"",INDEX(B1712:B$2,-1+SUMPRODUCT(MAX(ROW(E1712:E$2)*(E1713=E1712:E$2)))))</f>
        <v> </v>
      </c>
      <c r="J1713" s="26" t="str">
        <f>IF(OR(E1713="",E1713="!!!",F1713="NEW"),"",COUNTBLANK(OFFSET(A$1,,,SUMPRODUCT(MAX(ROW(E$2:E1713)*(E1713=E$2:E1713)))))-COUNTBLANK(OFFSET(A$1,,,SUMPRODUCT(MAX(ROW(E$1:E1712)*(E2=E$1:E1712))))))</f>
        <v> </v>
      </c>
      <c r="K1713" s="26" t="str">
        <f>IF(OR(E1713="",E1713="!!!",F1713="NEW"),"",INDEX(J$1:J1712,SUMPRODUCT(MAX(ROW(E$1:E1712)*(E1713=E$1:E1712)))))</f>
        <v> </v>
      </c>
      <c r="L1713" s="27"/>
    </row>
    <row r="1714" spans="1:12">
      <c r="A1714" s="20" t="s">
        <v>1204</v>
      </c>
      <c r="B1714" s="21" t="s">
        <v>1022</v>
      </c>
      <c r="C1714" s="21" t="s">
        <v>1017</v>
      </c>
      <c r="D1714" s="21" t="s">
        <v>1007</v>
      </c>
      <c r="E1714" s="22">
        <f>IF(D1714="?OLD","!!!","")</f>
        <v/>
      </c>
      <c r="F1714" s="23" t="str">
        <f>IF(OR(E1714="",E1714="!!!"),"",IF(NOT(ISNA(VLOOKUP(E1714,E$1:E1713,1,FALSE()))),"OLD",IF(AND(E1714&lt;&gt;"",E1714&lt;&gt;"!!!"),"NEW","")))</f>
        <v> </v>
      </c>
      <c r="G1714" s="24" t="str">
        <f>IF(OR(E1714="",E1714="!!!"),"",IF(OR(J1714=0,AND(J1714=1,K1714=1),AND(J1714=1,I1714="SBJ"),AND(J1714=1,I1714=0)),"?IN_FOCUS",IF(J1714&lt;=2,"?ACTIVATED",IF(J1714&lt;&gt;"","?FAMILIAR",IF(F1714="NEW",IF(ISNA(VLOOKUP(E1714,#REF!,1,FALSE())),"?TYPE_IDENTIFIABLE","?REFERENTIAL"),"_")))))</f>
        <v> </v>
      </c>
      <c r="H1714" s="25" t="str">
        <f>IF(J1714&lt;&gt;1,"",IF(I1714="SBJ","CB","?"))</f>
        <v> </v>
      </c>
      <c r="I1714" s="26" t="str">
        <f>IF(OR(E1714="",E1714="!!!",F1714="NEW"),"",INDEX(B1713:B$2,-1+SUMPRODUCT(MAX(ROW(E1713:E$2)*(E1714=E1713:E$2)))))</f>
        <v> </v>
      </c>
      <c r="J1714" s="26" t="str">
        <f>IF(OR(E1714="",E1714="!!!",F1714="NEW"),"",COUNTBLANK(OFFSET(A$1,,,SUMPRODUCT(MAX(ROW(E$2:E1714)*(E1714=E$2:E1714)))))-COUNTBLANK(OFFSET(A$1,,,SUMPRODUCT(MAX(ROW(E$1:E1713)*(E2=E$1:E1713))))))</f>
        <v> </v>
      </c>
      <c r="K1714" s="26" t="str">
        <f>IF(OR(E1714="",E1714="!!!",F1714="NEW"),"",INDEX(J$1:J1713,SUMPRODUCT(MAX(ROW(E$1:E1713)*(E1714=E$1:E1713)))))</f>
        <v> </v>
      </c>
      <c r="L1714" s="27"/>
    </row>
    <row r="1715" spans="1:12">
      <c r="A1715" s="20" t="s">
        <v>1595</v>
      </c>
      <c r="E1715" s="22">
        <f>IF(D1715="?OLD","!!!","")</f>
        <v/>
      </c>
      <c r="F1715" s="23" t="str">
        <f>IF(OR(E1715="",E1715="!!!"),"",IF(NOT(ISNA(VLOOKUP(E1715,E$1:E1714,1,FALSE()))),"OLD",IF(AND(E1715&lt;&gt;"",E1715&lt;&gt;"!!!"),"NEW","")))</f>
        <v> </v>
      </c>
      <c r="G1715" s="24" t="str">
        <f>IF(OR(E1715="",E1715="!!!"),"",IF(OR(J1715=0,AND(J1715=1,K1715=1),AND(J1715=1,I1715="SBJ"),AND(J1715=1,I1715=0)),"?IN_FOCUS",IF(J1715&lt;=2,"?ACTIVATED",IF(J1715&lt;&gt;"","?FAMILIAR",IF(F1715="NEW",IF(ISNA(VLOOKUP(E1715,#REF!,1,FALSE())),"?TYPE_IDENTIFIABLE","?REFERENTIAL"),"_")))))</f>
        <v> </v>
      </c>
      <c r="H1715" s="25" t="str">
        <f>IF(J1715&lt;&gt;1,"",IF(I1715="SBJ","CB","?"))</f>
        <v> </v>
      </c>
      <c r="I1715" s="26" t="str">
        <f>IF(OR(E1715="",E1715="!!!",F1715="NEW"),"",INDEX(B1714:B$2,-1+SUMPRODUCT(MAX(ROW(E1714:E$2)*(E1715=E1714:E$2)))))</f>
        <v> </v>
      </c>
      <c r="J1715" s="26" t="str">
        <f>IF(OR(E1715="",E1715="!!!",F1715="NEW"),"",COUNTBLANK(OFFSET(A$1,,,SUMPRODUCT(MAX(ROW(E$2:E1715)*(E1715=E$2:E1715)))))-COUNTBLANK(OFFSET(A$1,,,SUMPRODUCT(MAX(ROW(E$1:E1714)*(E2=E$1:E1714))))))</f>
        <v> </v>
      </c>
      <c r="K1715" s="26" t="str">
        <f>IF(OR(E1715="",E1715="!!!",F1715="NEW"),"",INDEX(J$1:J1714,SUMPRODUCT(MAX(ROW(E$1:E1714)*(E1715=E$1:E1714)))))</f>
        <v> </v>
      </c>
      <c r="L1715" s="27"/>
    </row>
    <row r="1716" spans="1:12">
      <c r="A1716" s="20" t="s">
        <v>1018</v>
      </c>
      <c r="E1716" s="22">
        <f>IF(D1716="?OLD","!!!","")</f>
        <v/>
      </c>
      <c r="F1716" s="23" t="str">
        <f>IF(OR(E1716="",E1716="!!!"),"",IF(NOT(ISNA(VLOOKUP(E1716,E$1:E1715,1,FALSE()))),"OLD",IF(AND(E1716&lt;&gt;"",E1716&lt;&gt;"!!!"),"NEW","")))</f>
        <v> </v>
      </c>
      <c r="G1716" s="24" t="str">
        <f>IF(OR(E1716="",E1716="!!!"),"",IF(OR(J1716=0,AND(J1716=1,K1716=1),AND(J1716=1,I1716="SBJ"),AND(J1716=1,I1716=0)),"?IN_FOCUS",IF(J1716&lt;=2,"?ACTIVATED",IF(J1716&lt;&gt;"","?FAMILIAR",IF(F1716="NEW",IF(ISNA(VLOOKUP(E1716,#REF!,1,FALSE())),"?TYPE_IDENTIFIABLE","?REFERENTIAL"),"_")))))</f>
        <v> </v>
      </c>
      <c r="H1716" s="25" t="str">
        <f>IF(J1716&lt;&gt;1,"",IF(I1716="SBJ","CB","?"))</f>
        <v> </v>
      </c>
      <c r="I1716" s="26" t="str">
        <f>IF(OR(E1716="",E1716="!!!",F1716="NEW"),"",INDEX(B1715:B$2,-1+SUMPRODUCT(MAX(ROW(E1715:E$2)*(E1716=E1715:E$2)))))</f>
        <v> </v>
      </c>
      <c r="J1716" s="26" t="str">
        <f>IF(OR(E1716="",E1716="!!!",F1716="NEW"),"",COUNTBLANK(OFFSET(A$1,,,SUMPRODUCT(MAX(ROW(E$2:E1716)*(E1716=E$2:E1716)))))-COUNTBLANK(OFFSET(A$1,,,SUMPRODUCT(MAX(ROW(E$1:E1715)*(E2=E$1:E1715))))))</f>
        <v> </v>
      </c>
      <c r="K1716" s="26" t="str">
        <f>IF(OR(E1716="",E1716="!!!",F1716="NEW"),"",INDEX(J$1:J1715,SUMPRODUCT(MAX(ROW(E$1:E1715)*(E1716=E$1:E1715)))))</f>
        <v> </v>
      </c>
      <c r="L1716" s="27"/>
    </row>
    <row r="1717" spans="1:12">
      <c r="A1717" s="20" t="s">
        <v>1624</v>
      </c>
      <c r="E1717" s="22">
        <f>IF(D1717="?OLD","!!!","")</f>
        <v/>
      </c>
      <c r="F1717" s="23" t="str">
        <f>IF(OR(E1717="",E1717="!!!"),"",IF(NOT(ISNA(VLOOKUP(E1717,E$1:E1716,1,FALSE()))),"OLD",IF(AND(E1717&lt;&gt;"",E1717&lt;&gt;"!!!"),"NEW","")))</f>
        <v> </v>
      </c>
      <c r="G1717" s="24" t="str">
        <f>IF(OR(E1717="",E1717="!!!"),"",IF(OR(J1717=0,AND(J1717=1,K1717=1),AND(J1717=1,I1717="SBJ"),AND(J1717=1,I1717=0)),"?IN_FOCUS",IF(J1717&lt;=2,"?ACTIVATED",IF(J1717&lt;&gt;"","?FAMILIAR",IF(F1717="NEW",IF(ISNA(VLOOKUP(E1717,#REF!,1,FALSE())),"?TYPE_IDENTIFIABLE","?REFERENTIAL"),"_")))))</f>
        <v> </v>
      </c>
      <c r="H1717" s="25" t="str">
        <f>IF(J1717&lt;&gt;1,"",IF(I1717="SBJ","CB","?"))</f>
        <v> </v>
      </c>
      <c r="I1717" s="26" t="str">
        <f>IF(OR(E1717="",E1717="!!!",F1717="NEW"),"",INDEX(B1716:B$2,-1+SUMPRODUCT(MAX(ROW(E1716:E$2)*(E1717=E1716:E$2)))))</f>
        <v> </v>
      </c>
      <c r="J1717" s="26" t="str">
        <f>IF(OR(E1717="",E1717="!!!",F1717="NEW"),"",COUNTBLANK(OFFSET(A$1,,,SUMPRODUCT(MAX(ROW(E$2:E1717)*(E1717=E$2:E1717)))))-COUNTBLANK(OFFSET(A$1,,,SUMPRODUCT(MAX(ROW(E$1:E1716)*(E2=E$1:E1716))))))</f>
        <v> </v>
      </c>
      <c r="K1717" s="26" t="str">
        <f>IF(OR(E1717="",E1717="!!!",F1717="NEW"),"",INDEX(J$1:J1716,SUMPRODUCT(MAX(ROW(E$1:E1716)*(E1717=E$1:E1716)))))</f>
        <v> </v>
      </c>
      <c r="L1717" s="27"/>
    </row>
    <row r="1718" spans="1:12">
      <c r="A1718" s="20" t="s">
        <v>137</v>
      </c>
      <c r="E1718" s="22">
        <f>IF(D1718="?OLD","!!!","")</f>
        <v/>
      </c>
      <c r="F1718" s="23" t="str">
        <f>IF(OR(E1718="",E1718="!!!"),"",IF(NOT(ISNA(VLOOKUP(E1718,E$1:E1717,1,FALSE()))),"OLD",IF(AND(E1718&lt;&gt;"",E1718&lt;&gt;"!!!"),"NEW","")))</f>
        <v> </v>
      </c>
      <c r="G1718" s="24" t="str">
        <f>IF(OR(E1718="",E1718="!!!"),"",IF(OR(J1718=0,AND(J1718=1,K1718=1),AND(J1718=1,I1718="SBJ"),AND(J1718=1,I1718=0)),"?IN_FOCUS",IF(J1718&lt;=2,"?ACTIVATED",IF(J1718&lt;&gt;"","?FAMILIAR",IF(F1718="NEW",IF(ISNA(VLOOKUP(E1718,#REF!,1,FALSE())),"?TYPE_IDENTIFIABLE","?REFERENTIAL"),"_")))))</f>
        <v> </v>
      </c>
      <c r="H1718" s="25" t="str">
        <f>IF(J1718&lt;&gt;1,"",IF(I1718="SBJ","CB","?"))</f>
        <v> </v>
      </c>
      <c r="I1718" s="26" t="str">
        <f>IF(OR(E1718="",E1718="!!!",F1718="NEW"),"",INDEX(B1717:B$2,-1+SUMPRODUCT(MAX(ROW(E1717:E$2)*(E1718=E1717:E$2)))))</f>
        <v> </v>
      </c>
      <c r="J1718" s="26" t="str">
        <f>IF(OR(E1718="",E1718="!!!",F1718="NEW"),"",COUNTBLANK(OFFSET(A$1,,,SUMPRODUCT(MAX(ROW(E$2:E1718)*(E1718=E$2:E1718)))))-COUNTBLANK(OFFSET(A$1,,,SUMPRODUCT(MAX(ROW(E$1:E1717)*(E2=E$1:E1717))))))</f>
        <v> </v>
      </c>
      <c r="K1718" s="26" t="str">
        <f>IF(OR(E1718="",E1718="!!!",F1718="NEW"),"",INDEX(J$1:J1717,SUMPRODUCT(MAX(ROW(E$1:E1717)*(E1718=E$1:E1717)))))</f>
        <v> </v>
      </c>
      <c r="L1718" s="27"/>
    </row>
    <row r="1719" spans="1:12">
      <c r="A1719" s="20" t="s">
        <v>1027</v>
      </c>
      <c r="E1719" s="22">
        <f>IF(D1719="?OLD","!!!","")</f>
        <v/>
      </c>
      <c r="F1719" s="23" t="str">
        <f>IF(OR(E1719="",E1719="!!!"),"",IF(NOT(ISNA(VLOOKUP(E1719,E$1:E1718,1,FALSE()))),"OLD",IF(AND(E1719&lt;&gt;"",E1719&lt;&gt;"!!!"),"NEW","")))</f>
        <v> </v>
      </c>
      <c r="G1719" s="24" t="str">
        <f>IF(OR(E1719="",E1719="!!!"),"",IF(OR(J1719=0,AND(J1719=1,K1719=1),AND(J1719=1,I1719="SBJ"),AND(J1719=1,I1719=0)),"?IN_FOCUS",IF(J1719&lt;=2,"?ACTIVATED",IF(J1719&lt;&gt;"","?FAMILIAR",IF(F1719="NEW",IF(ISNA(VLOOKUP(E1719,#REF!,1,FALSE())),"?TYPE_IDENTIFIABLE","?REFERENTIAL"),"_")))))</f>
        <v> </v>
      </c>
      <c r="H1719" s="25" t="str">
        <f>IF(J1719&lt;&gt;1,"",IF(I1719="SBJ","CB","?"))</f>
        <v> </v>
      </c>
      <c r="I1719" s="26" t="str">
        <f>IF(OR(E1719="",E1719="!!!",F1719="NEW"),"",INDEX(B1718:B$2,-1+SUMPRODUCT(MAX(ROW(E1718:E$2)*(E1719=E1718:E$2)))))</f>
        <v> </v>
      </c>
      <c r="J1719" s="26" t="str">
        <f>IF(OR(E1719="",E1719="!!!",F1719="NEW"),"",COUNTBLANK(OFFSET(A$1,,,SUMPRODUCT(MAX(ROW(E$2:E1719)*(E1719=E$2:E1719)))))-COUNTBLANK(OFFSET(A$1,,,SUMPRODUCT(MAX(ROW(E$1:E1718)*(E2=E$1:E1718))))))</f>
        <v> </v>
      </c>
      <c r="K1719" s="26" t="str">
        <f>IF(OR(E1719="",E1719="!!!",F1719="NEW"),"",INDEX(J$1:J1718,SUMPRODUCT(MAX(ROW(E$1:E1718)*(E1719=E$1:E1718)))))</f>
        <v> </v>
      </c>
      <c r="L1719" s="27"/>
    </row>
    <row r="1720" spans="1:12">
      <c r="A1720" s="20" t="s">
        <v>1460</v>
      </c>
      <c r="B1720" s="21" t="s">
        <v>1029</v>
      </c>
      <c r="C1720" s="21" t="s">
        <v>1017</v>
      </c>
      <c r="D1720" s="21" t="s">
        <v>1007</v>
      </c>
      <c r="E1720" s="22">
        <f>IF(D1720="?OLD","!!!","")</f>
        <v/>
      </c>
      <c r="F1720" s="23" t="str">
        <f>IF(OR(E1720="",E1720="!!!"),"",IF(NOT(ISNA(VLOOKUP(E1720,E$1:E1719,1,FALSE()))),"OLD",IF(AND(E1720&lt;&gt;"",E1720&lt;&gt;"!!!"),"NEW","")))</f>
        <v> </v>
      </c>
      <c r="G1720" s="24" t="str">
        <f>IF(OR(E1720="",E1720="!!!"),"",IF(OR(J1720=0,AND(J1720=1,K1720=1),AND(J1720=1,I1720="SBJ"),AND(J1720=1,I1720=0)),"?IN_FOCUS",IF(J1720&lt;=2,"?ACTIVATED",IF(J1720&lt;&gt;"","?FAMILIAR",IF(F1720="NEW",IF(ISNA(VLOOKUP(E1720,#REF!,1,FALSE())),"?TYPE_IDENTIFIABLE","?REFERENTIAL"),"_")))))</f>
        <v> </v>
      </c>
      <c r="H1720" s="25" t="str">
        <f>IF(J1720&lt;&gt;1,"",IF(I1720="SBJ","CB","?"))</f>
        <v> </v>
      </c>
      <c r="I1720" s="26" t="str">
        <f>IF(OR(E1720="",E1720="!!!",F1720="NEW"),"",INDEX(B1719:B$2,-1+SUMPRODUCT(MAX(ROW(E1719:E$2)*(E1720=E1719:E$2)))))</f>
        <v> </v>
      </c>
      <c r="J1720" s="26" t="str">
        <f>IF(OR(E1720="",E1720="!!!",F1720="NEW"),"",COUNTBLANK(OFFSET(A$1,,,SUMPRODUCT(MAX(ROW(E$2:E1720)*(E1720=E$2:E1720)))))-COUNTBLANK(OFFSET(A$1,,,SUMPRODUCT(MAX(ROW(E$1:E1719)*(E2=E$1:E1719))))))</f>
        <v> </v>
      </c>
      <c r="K1720" s="26" t="str">
        <f>IF(OR(E1720="",E1720="!!!",F1720="NEW"),"",INDEX(J$1:J1719,SUMPRODUCT(MAX(ROW(E$1:E1719)*(E1720=E$1:E1719)))))</f>
        <v> </v>
      </c>
      <c r="L1720" s="27"/>
    </row>
    <row r="1721" spans="1:12">
      <c r="A1721" s="20" t="s">
        <v>1065</v>
      </c>
      <c r="B1721" s="21" t="s">
        <v>1120</v>
      </c>
      <c r="E1721" s="22">
        <f>IF(D1721="?OLD","!!!","")</f>
        <v/>
      </c>
      <c r="F1721" s="23" t="str">
        <f>IF(OR(E1721="",E1721="!!!"),"",IF(NOT(ISNA(VLOOKUP(E1721,E$1:E1720,1,FALSE()))),"OLD",IF(AND(E1721&lt;&gt;"",E1721&lt;&gt;"!!!"),"NEW","")))</f>
        <v> </v>
      </c>
      <c r="G1721" s="24" t="str">
        <f>IF(OR(E1721="",E1721="!!!"),"",IF(OR(J1721=0,AND(J1721=1,K1721=1),AND(J1721=1,I1721="SBJ"),AND(J1721=1,I1721=0)),"?IN_FOCUS",IF(J1721&lt;=2,"?ACTIVATED",IF(J1721&lt;&gt;"","?FAMILIAR",IF(F1721="NEW",IF(ISNA(VLOOKUP(E1721,#REF!,1,FALSE())),"?TYPE_IDENTIFIABLE","?REFERENTIAL"),"_")))))</f>
        <v> </v>
      </c>
      <c r="H1721" s="25" t="str">
        <f>IF(J1721&lt;&gt;1,"",IF(I1721="SBJ","CB","?"))</f>
        <v> </v>
      </c>
      <c r="I1721" s="26" t="str">
        <f>IF(OR(E1721="",E1721="!!!",F1721="NEW"),"",INDEX(B1720:B$2,-1+SUMPRODUCT(MAX(ROW(E1720:E$2)*(E1721=E1720:E$2)))))</f>
        <v> </v>
      </c>
      <c r="J1721" s="26" t="str">
        <f>IF(OR(E1721="",E1721="!!!",F1721="NEW"),"",COUNTBLANK(OFFSET(A$1,,,SUMPRODUCT(MAX(ROW(E$2:E1721)*(E1721=E$2:E1721)))))-COUNTBLANK(OFFSET(A$1,,,SUMPRODUCT(MAX(ROW(E$1:E1720)*(E2=E$1:E1720))))))</f>
        <v> </v>
      </c>
      <c r="K1721" s="26" t="str">
        <f>IF(OR(E1721="",E1721="!!!",F1721="NEW"),"",INDEX(J$1:J1720,SUMPRODUCT(MAX(ROW(E$1:E1720)*(E1721=E$1:E1720)))))</f>
        <v> </v>
      </c>
      <c r="L1721" s="27"/>
    </row>
    <row r="1722" spans="1:12">
      <c r="A1722" s="20" t="s">
        <v>1387</v>
      </c>
      <c r="E1722" s="22">
        <f>IF(D1722="?OLD","!!!","")</f>
        <v/>
      </c>
      <c r="F1722" s="23" t="str">
        <f>IF(OR(E1722="",E1722="!!!"),"",IF(NOT(ISNA(VLOOKUP(E1722,E$1:E1721,1,FALSE()))),"OLD",IF(AND(E1722&lt;&gt;"",E1722&lt;&gt;"!!!"),"NEW","")))</f>
        <v> </v>
      </c>
      <c r="G1722" s="24" t="str">
        <f>IF(OR(E1722="",E1722="!!!"),"",IF(OR(J1722=0,AND(J1722=1,K1722=1),AND(J1722=1,I1722="SBJ"),AND(J1722=1,I1722=0)),"?IN_FOCUS",IF(J1722&lt;=2,"?ACTIVATED",IF(J1722&lt;&gt;"","?FAMILIAR",IF(F1722="NEW",IF(ISNA(VLOOKUP(E1722,#REF!,1,FALSE())),"?TYPE_IDENTIFIABLE","?REFERENTIAL"),"_")))))</f>
        <v> </v>
      </c>
      <c r="H1722" s="25" t="str">
        <f>IF(J1722&lt;&gt;1,"",IF(I1722="SBJ","CB","?"))</f>
        <v> </v>
      </c>
      <c r="I1722" s="26" t="str">
        <f>IF(OR(E1722="",E1722="!!!",F1722="NEW"),"",INDEX(B1721:B$2,-1+SUMPRODUCT(MAX(ROW(E1721:E$2)*(E1722=E1721:E$2)))))</f>
        <v> </v>
      </c>
      <c r="J1722" s="26" t="str">
        <f>IF(OR(E1722="",E1722="!!!",F1722="NEW"),"",COUNTBLANK(OFFSET(A$1,,,SUMPRODUCT(MAX(ROW(E$2:E1722)*(E1722=E$2:E1722)))))-COUNTBLANK(OFFSET(A$1,,,SUMPRODUCT(MAX(ROW(E$1:E1721)*(E2=E$1:E1721))))))</f>
        <v> </v>
      </c>
      <c r="K1722" s="26" t="str">
        <f>IF(OR(E1722="",E1722="!!!",F1722="NEW"),"",INDEX(J$1:J1721,SUMPRODUCT(MAX(ROW(E$1:E1721)*(E1722=E$1:E1721)))))</f>
        <v> </v>
      </c>
      <c r="L1722" s="27"/>
    </row>
    <row r="1723" spans="1:12">
      <c r="A1723" s="20" t="s">
        <v>1625</v>
      </c>
      <c r="E1723" s="22">
        <f>IF(D1723="?OLD","!!!","")</f>
        <v/>
      </c>
      <c r="F1723" s="23" t="str">
        <f>IF(OR(E1723="",E1723="!!!"),"",IF(NOT(ISNA(VLOOKUP(E1723,E$1:E1722,1,FALSE()))),"OLD",IF(AND(E1723&lt;&gt;"",E1723&lt;&gt;"!!!"),"NEW","")))</f>
        <v> </v>
      </c>
      <c r="G1723" s="24" t="str">
        <f>IF(OR(E1723="",E1723="!!!"),"",IF(OR(J1723=0,AND(J1723=1,K1723=1),AND(J1723=1,I1723="SBJ"),AND(J1723=1,I1723=0)),"?IN_FOCUS",IF(J1723&lt;=2,"?ACTIVATED",IF(J1723&lt;&gt;"","?FAMILIAR",IF(F1723="NEW",IF(ISNA(VLOOKUP(E1723,#REF!,1,FALSE())),"?TYPE_IDENTIFIABLE","?REFERENTIAL"),"_")))))</f>
        <v> </v>
      </c>
      <c r="H1723" s="25" t="str">
        <f>IF(J1723&lt;&gt;1,"",IF(I1723="SBJ","CB","?"))</f>
        <v> </v>
      </c>
      <c r="I1723" s="26" t="str">
        <f>IF(OR(E1723="",E1723="!!!",F1723="NEW"),"",INDEX(B1722:B$2,-1+SUMPRODUCT(MAX(ROW(E1722:E$2)*(E1723=E1722:E$2)))))</f>
        <v> </v>
      </c>
      <c r="J1723" s="26" t="str">
        <f>IF(OR(E1723="",E1723="!!!",F1723="NEW"),"",COUNTBLANK(OFFSET(A$1,,,SUMPRODUCT(MAX(ROW(E$2:E1723)*(E1723=E$2:E1723)))))-COUNTBLANK(OFFSET(A$1,,,SUMPRODUCT(MAX(ROW(E$1:E1722)*(E2=E$1:E1722))))))</f>
        <v> </v>
      </c>
      <c r="K1723" s="26" t="str">
        <f>IF(OR(E1723="",E1723="!!!",F1723="NEW"),"",INDEX(J$1:J1722,SUMPRODUCT(MAX(ROW(E$1:E1722)*(E1723=E$1:E1722)))))</f>
        <v> </v>
      </c>
      <c r="L1723" s="27"/>
    </row>
    <row r="1724" spans="1:12">
      <c r="A1724" s="20" t="s">
        <v>1030</v>
      </c>
      <c r="E1724" s="22">
        <f>IF(D1724="?OLD","!!!","")</f>
        <v/>
      </c>
      <c r="F1724" s="23" t="str">
        <f>IF(OR(E1724="",E1724="!!!"),"",IF(NOT(ISNA(VLOOKUP(E1724,E$1:E1723,1,FALSE()))),"OLD",IF(AND(E1724&lt;&gt;"",E1724&lt;&gt;"!!!"),"NEW","")))</f>
        <v> </v>
      </c>
      <c r="G1724" s="24" t="str">
        <f>IF(OR(E1724="",E1724="!!!"),"",IF(OR(J1724=0,AND(J1724=1,K1724=1),AND(J1724=1,I1724="SBJ"),AND(J1724=1,I1724=0)),"?IN_FOCUS",IF(J1724&lt;=2,"?ACTIVATED",IF(J1724&lt;&gt;"","?FAMILIAR",IF(F1724="NEW",IF(ISNA(VLOOKUP(E1724,#REF!,1,FALSE())),"?TYPE_IDENTIFIABLE","?REFERENTIAL"),"_")))))</f>
        <v> </v>
      </c>
      <c r="H1724" s="25" t="str">
        <f>IF(J1724&lt;&gt;1,"",IF(I1724="SBJ","CB","?"))</f>
        <v> </v>
      </c>
      <c r="I1724" s="26" t="str">
        <f>IF(OR(E1724="",E1724="!!!",F1724="NEW"),"",INDEX(B1723:B$2,-1+SUMPRODUCT(MAX(ROW(E1723:E$2)*(E1724=E1723:E$2)))))</f>
        <v> </v>
      </c>
      <c r="J1724" s="26" t="str">
        <f>IF(OR(E1724="",E1724="!!!",F1724="NEW"),"",COUNTBLANK(OFFSET(A$1,,,SUMPRODUCT(MAX(ROW(E$2:E1724)*(E1724=E$2:E1724)))))-COUNTBLANK(OFFSET(A$1,,,SUMPRODUCT(MAX(ROW(E$1:E1723)*(E2=E$1:E1723))))))</f>
        <v> </v>
      </c>
      <c r="K1724" s="26" t="str">
        <f>IF(OR(E1724="",E1724="!!!",F1724="NEW"),"",INDEX(J$1:J1723,SUMPRODUCT(MAX(ROW(E$1:E1723)*(E1724=E$1:E1723)))))</f>
        <v> </v>
      </c>
      <c r="L1724" s="27"/>
    </row>
    <row r="1725" spans="1:12">
      <c r="A1725" s="20" t="s">
        <v>1015</v>
      </c>
      <c r="E1725" s="22">
        <f>IF(D1725="?OLD","!!!","")</f>
        <v/>
      </c>
      <c r="F1725" s="23" t="str">
        <f>IF(OR(E1725="",E1725="!!!"),"",IF(NOT(ISNA(VLOOKUP(E1725,E$1:E1724,1,FALSE()))),"OLD",IF(AND(E1725&lt;&gt;"",E1725&lt;&gt;"!!!"),"NEW","")))</f>
        <v> </v>
      </c>
      <c r="G1725" s="24" t="str">
        <f>IF(OR(E1725="",E1725="!!!"),"",IF(OR(J1725=0,AND(J1725=1,K1725=1),AND(J1725=1,I1725="SBJ"),AND(J1725=1,I1725=0)),"?IN_FOCUS",IF(J1725&lt;=2,"?ACTIVATED",IF(J1725&lt;&gt;"","?FAMILIAR",IF(F1725="NEW",IF(ISNA(VLOOKUP(E1725,#REF!,1,FALSE())),"?TYPE_IDENTIFIABLE","?REFERENTIAL"),"_")))))</f>
        <v> </v>
      </c>
      <c r="H1725" s="25" t="str">
        <f>IF(J1725&lt;&gt;1,"",IF(I1725="SBJ","CB","?"))</f>
        <v> </v>
      </c>
      <c r="I1725" s="26" t="str">
        <f>IF(OR(E1725="",E1725="!!!",F1725="NEW"),"",INDEX(B1724:B$2,-1+SUMPRODUCT(MAX(ROW(E1724:E$2)*(E1725=E1724:E$2)))))</f>
        <v> </v>
      </c>
      <c r="J1725" s="26" t="str">
        <f>IF(OR(E1725="",E1725="!!!",F1725="NEW"),"",COUNTBLANK(OFFSET(A$1,,,SUMPRODUCT(MAX(ROW(E$2:E1725)*(E1725=E$2:E1725)))))-COUNTBLANK(OFFSET(A$1,,,SUMPRODUCT(MAX(ROW(E$1:E1724)*(E2=E$1:E1724))))))</f>
        <v> </v>
      </c>
      <c r="K1725" s="26" t="str">
        <f>IF(OR(E1725="",E1725="!!!",F1725="NEW"),"",INDEX(J$1:J1724,SUMPRODUCT(MAX(ROW(E$1:E1724)*(E1725=E$1:E1724)))))</f>
        <v> </v>
      </c>
      <c r="L1725" s="27"/>
    </row>
    <row r="1726" spans="1:12">
      <c r="A1726" s="20" t="s">
        <v>1384</v>
      </c>
      <c r="B1726" s="21" t="s">
        <v>1035</v>
      </c>
      <c r="C1726" s="21" t="s">
        <v>1013</v>
      </c>
      <c r="D1726" s="21" t="s">
        <v>1007</v>
      </c>
      <c r="E1726" s="22">
        <f>IF(D1726="?OLD","!!!","")</f>
        <v/>
      </c>
      <c r="F1726" s="23" t="str">
        <f>IF(OR(E1726="",E1726="!!!"),"",IF(NOT(ISNA(VLOOKUP(E1726,E$1:E1725,1,FALSE()))),"OLD",IF(AND(E1726&lt;&gt;"",E1726&lt;&gt;"!!!"),"NEW","")))</f>
        <v> </v>
      </c>
      <c r="G1726" s="24" t="str">
        <f>IF(OR(E1726="",E1726="!!!"),"",IF(OR(J1726=0,AND(J1726=1,K1726=1),AND(J1726=1,I1726="SBJ"),AND(J1726=1,I1726=0)),"?IN_FOCUS",IF(J1726&lt;=2,"?ACTIVATED",IF(J1726&lt;&gt;"","?FAMILIAR",IF(F1726="NEW",IF(ISNA(VLOOKUP(E1726,#REF!,1,FALSE())),"?TYPE_IDENTIFIABLE","?REFERENTIAL"),"_")))))</f>
        <v> </v>
      </c>
      <c r="H1726" s="25" t="str">
        <f>IF(J1726&lt;&gt;1,"",IF(I1726="SBJ","CB","?"))</f>
        <v> </v>
      </c>
      <c r="I1726" s="26" t="str">
        <f>IF(OR(E1726="",E1726="!!!",F1726="NEW"),"",INDEX(B1725:B$2,-1+SUMPRODUCT(MAX(ROW(E1725:E$2)*(E1726=E1725:E$2)))))</f>
        <v> </v>
      </c>
      <c r="J1726" s="26" t="str">
        <f>IF(OR(E1726="",E1726="!!!",F1726="NEW"),"",COUNTBLANK(OFFSET(A$1,,,SUMPRODUCT(MAX(ROW(E$2:E1726)*(E1726=E$2:E1726)))))-COUNTBLANK(OFFSET(A$1,,,SUMPRODUCT(MAX(ROW(E$1:E1725)*(E2=E$1:E1725))))))</f>
        <v> </v>
      </c>
      <c r="K1726" s="26" t="str">
        <f>IF(OR(E1726="",E1726="!!!",F1726="NEW"),"",INDEX(J$1:J1725,SUMPRODUCT(MAX(ROW(E$1:E1725)*(E1726=E$1:E1725)))))</f>
        <v> </v>
      </c>
      <c r="L1726" s="27"/>
    </row>
    <row r="1727" spans="1:12">
      <c r="A1727" s="20" t="s">
        <v>1014</v>
      </c>
      <c r="E1727" s="22">
        <f>IF(D1727="?OLD","!!!","")</f>
        <v/>
      </c>
      <c r="F1727" s="23" t="str">
        <f>IF(OR(E1727="",E1727="!!!"),"",IF(NOT(ISNA(VLOOKUP(E1727,E$1:E1726,1,FALSE()))),"OLD",IF(AND(E1727&lt;&gt;"",E1727&lt;&gt;"!!!"),"NEW","")))</f>
        <v> </v>
      </c>
      <c r="G1727" s="24" t="str">
        <f>IF(OR(E1727="",E1727="!!!"),"",IF(OR(J1727=0,AND(J1727=1,K1727=1),AND(J1727=1,I1727="SBJ"),AND(J1727=1,I1727=0)),"?IN_FOCUS",IF(J1727&lt;=2,"?ACTIVATED",IF(J1727&lt;&gt;"","?FAMILIAR",IF(F1727="NEW",IF(ISNA(VLOOKUP(E1727,#REF!,1,FALSE())),"?TYPE_IDENTIFIABLE","?REFERENTIAL"),"_")))))</f>
        <v> </v>
      </c>
      <c r="H1727" s="25" t="str">
        <f>IF(J1727&lt;&gt;1,"",IF(I1727="SBJ","CB","?"))</f>
        <v> </v>
      </c>
      <c r="I1727" s="26" t="str">
        <f>IF(OR(E1727="",E1727="!!!",F1727="NEW"),"",INDEX(B1726:B$2,-1+SUMPRODUCT(MAX(ROW(E1726:E$2)*(E1727=E1726:E$2)))))</f>
        <v> </v>
      </c>
      <c r="J1727" s="26" t="str">
        <f>IF(OR(E1727="",E1727="!!!",F1727="NEW"),"",COUNTBLANK(OFFSET(A$1,,,SUMPRODUCT(MAX(ROW(E$2:E1727)*(E1727=E$2:E1727)))))-COUNTBLANK(OFFSET(A$1,,,SUMPRODUCT(MAX(ROW(E$1:E1726)*(E2=E$1:E1726))))))</f>
        <v> </v>
      </c>
      <c r="K1727" s="26" t="str">
        <f>IF(OR(E1727="",E1727="!!!",F1727="NEW"),"",INDEX(J$1:J1726,SUMPRODUCT(MAX(ROW(E$1:E1726)*(E1727=E$1:E1726)))))</f>
        <v> </v>
      </c>
      <c r="L1727" s="27"/>
    </row>
    <row r="1728" spans="1:12">
      <c r="A1728" s="20" t="s">
        <v>102</v>
      </c>
      <c r="E1728" s="22">
        <f>IF(D1728="?OLD","!!!","")</f>
        <v/>
      </c>
      <c r="F1728" s="23" t="str">
        <f>IF(OR(E1728="",E1728="!!!"),"",IF(NOT(ISNA(VLOOKUP(E1728,E$1:E1727,1,FALSE()))),"OLD",IF(AND(E1728&lt;&gt;"",E1728&lt;&gt;"!!!"),"NEW","")))</f>
        <v> </v>
      </c>
      <c r="G1728" s="24" t="str">
        <f>IF(OR(E1728="",E1728="!!!"),"",IF(OR(J1728=0,AND(J1728=1,K1728=1),AND(J1728=1,I1728="SBJ"),AND(J1728=1,I1728=0)),"?IN_FOCUS",IF(J1728&lt;=2,"?ACTIVATED",IF(J1728&lt;&gt;"","?FAMILIAR",IF(F1728="NEW",IF(ISNA(VLOOKUP(E1728,#REF!,1,FALSE())),"?TYPE_IDENTIFIABLE","?REFERENTIAL"),"_")))))</f>
        <v> </v>
      </c>
      <c r="H1728" s="25" t="str">
        <f>IF(J1728&lt;&gt;1,"",IF(I1728="SBJ","CB","?"))</f>
        <v> </v>
      </c>
      <c r="I1728" s="26" t="str">
        <f>IF(OR(E1728="",E1728="!!!",F1728="NEW"),"",INDEX(B1727:B$2,-1+SUMPRODUCT(MAX(ROW(E1727:E$2)*(E1728=E1727:E$2)))))</f>
        <v> </v>
      </c>
      <c r="J1728" s="26" t="str">
        <f>IF(OR(E1728="",E1728="!!!",F1728="NEW"),"",COUNTBLANK(OFFSET(A$1,,,SUMPRODUCT(MAX(ROW(E$2:E1728)*(E1728=E$2:E1728)))))-COUNTBLANK(OFFSET(A$1,,,SUMPRODUCT(MAX(ROW(E$1:E1727)*(E2=E$1:E1727))))))</f>
        <v> </v>
      </c>
      <c r="K1728" s="26" t="str">
        <f>IF(OR(E1728="",E1728="!!!",F1728="NEW"),"",INDEX(J$1:J1727,SUMPRODUCT(MAX(ROW(E$1:E1727)*(E1728=E$1:E1727)))))</f>
        <v> </v>
      </c>
      <c r="L1728" s="27"/>
    </row>
    <row r="1729" spans="1:12">
      <c r="A1729" s="20" t="s">
        <v>1392</v>
      </c>
      <c r="B1729" s="21" t="s">
        <v>1130</v>
      </c>
      <c r="C1729" s="21" t="s">
        <v>1006</v>
      </c>
      <c r="D1729" s="21" t="s">
        <v>1007</v>
      </c>
      <c r="E1729" s="22">
        <f>IF(D1729="?OLD","!!!","")</f>
        <v/>
      </c>
      <c r="F1729" s="23" t="str">
        <f>IF(OR(E1729="",E1729="!!!"),"",IF(NOT(ISNA(VLOOKUP(E1729,E$1:E1728,1,FALSE()))),"OLD",IF(AND(E1729&lt;&gt;"",E1729&lt;&gt;"!!!"),"NEW","")))</f>
        <v> </v>
      </c>
      <c r="G1729" s="24" t="str">
        <f>IF(OR(E1729="",E1729="!!!"),"",IF(OR(J1729=0,AND(J1729=1,K1729=1),AND(J1729=1,I1729="SBJ"),AND(J1729=1,I1729=0)),"?IN_FOCUS",IF(J1729&lt;=2,"?ACTIVATED",IF(J1729&lt;&gt;"","?FAMILIAR",IF(F1729="NEW",IF(ISNA(VLOOKUP(E1729,#REF!,1,FALSE())),"?TYPE_IDENTIFIABLE","?REFERENTIAL"),"_")))))</f>
        <v> </v>
      </c>
      <c r="H1729" s="25" t="str">
        <f>IF(J1729&lt;&gt;1,"",IF(I1729="SBJ","CB","?"))</f>
        <v> </v>
      </c>
      <c r="I1729" s="26" t="str">
        <f>IF(OR(E1729="",E1729="!!!",F1729="NEW"),"",INDEX(B1728:B$2,-1+SUMPRODUCT(MAX(ROW(E1728:E$2)*(E1729=E1728:E$2)))))</f>
        <v> </v>
      </c>
      <c r="J1729" s="26" t="str">
        <f>IF(OR(E1729="",E1729="!!!",F1729="NEW"),"",COUNTBLANK(OFFSET(A$1,,,SUMPRODUCT(MAX(ROW(E$2:E1729)*(E1729=E$2:E1729)))))-COUNTBLANK(OFFSET(A$1,,,SUMPRODUCT(MAX(ROW(E$1:E1728)*(E2=E$1:E1728))))))</f>
        <v> </v>
      </c>
      <c r="K1729" s="26" t="str">
        <f>IF(OR(E1729="",E1729="!!!",F1729="NEW"),"",INDEX(J$1:J1728,SUMPRODUCT(MAX(ROW(E$1:E1728)*(E1729=E$1:E1728)))))</f>
        <v> </v>
      </c>
      <c r="L1729" s="27"/>
    </row>
    <row r="1730" spans="1:12">
      <c r="A1730" s="20" t="s">
        <v>110</v>
      </c>
      <c r="E1730" s="22">
        <f>IF(D1730="?OLD","!!!","")</f>
        <v/>
      </c>
      <c r="F1730" s="23" t="str">
        <f>IF(OR(E1730="",E1730="!!!"),"",IF(NOT(ISNA(VLOOKUP(E1730,E$1:E1729,1,FALSE()))),"OLD",IF(AND(E1730&lt;&gt;"",E1730&lt;&gt;"!!!"),"NEW","")))</f>
        <v> </v>
      </c>
      <c r="G1730" s="24" t="str">
        <f>IF(OR(E1730="",E1730="!!!"),"",IF(OR(J1730=0,AND(J1730=1,K1730=1),AND(J1730=1,I1730="SBJ"),AND(J1730=1,I1730=0)),"?IN_FOCUS",IF(J1730&lt;=2,"?ACTIVATED",IF(J1730&lt;&gt;"","?FAMILIAR",IF(F1730="NEW",IF(ISNA(VLOOKUP(E1730,#REF!,1,FALSE())),"?TYPE_IDENTIFIABLE","?REFERENTIAL"),"_")))))</f>
        <v> </v>
      </c>
      <c r="H1730" s="25" t="str">
        <f>IF(J1730&lt;&gt;1,"",IF(I1730="SBJ","CB","?"))</f>
        <v> </v>
      </c>
      <c r="I1730" s="26" t="str">
        <f>IF(OR(E1730="",E1730="!!!",F1730="NEW"),"",INDEX(B1729:B$2,-1+SUMPRODUCT(MAX(ROW(E1729:E$2)*(E1730=E1729:E$2)))))</f>
        <v> </v>
      </c>
      <c r="J1730" s="26" t="str">
        <f>IF(OR(E1730="",E1730="!!!",F1730="NEW"),"",COUNTBLANK(OFFSET(A$1,,,SUMPRODUCT(MAX(ROW(E$2:E1730)*(E1730=E$2:E1730)))))-COUNTBLANK(OFFSET(A$1,,,SUMPRODUCT(MAX(ROW(E$1:E1729)*(E2=E$1:E1729))))))</f>
        <v> </v>
      </c>
      <c r="K1730" s="26" t="str">
        <f>IF(OR(E1730="",E1730="!!!",F1730="NEW"),"",INDEX(J$1:J1729,SUMPRODUCT(MAX(ROW(E$1:E1729)*(E1730=E$1:E1729)))))</f>
        <v> </v>
      </c>
      <c r="L1730" s="27"/>
    </row>
    <row r="1731" spans="1:12">
      <c r="A1731" s="20" t="s">
        <v>1626</v>
      </c>
      <c r="E1731" s="22">
        <f>IF(D1731="?OLD","!!!","")</f>
        <v/>
      </c>
      <c r="F1731" s="23" t="str">
        <f>IF(OR(E1731="",E1731="!!!"),"",IF(NOT(ISNA(VLOOKUP(E1731,E$1:E1730,1,FALSE()))),"OLD",IF(AND(E1731&lt;&gt;"",E1731&lt;&gt;"!!!"),"NEW","")))</f>
        <v> </v>
      </c>
      <c r="G1731" s="24" t="str">
        <f>IF(OR(E1731="",E1731="!!!"),"",IF(OR(J1731=0,AND(J1731=1,K1731=1),AND(J1731=1,I1731="SBJ"),AND(J1731=1,I1731=0)),"?IN_FOCUS",IF(J1731&lt;=2,"?ACTIVATED",IF(J1731&lt;&gt;"","?FAMILIAR",IF(F1731="NEW",IF(ISNA(VLOOKUP(E1731,#REF!,1,FALSE())),"?TYPE_IDENTIFIABLE","?REFERENTIAL"),"_")))))</f>
        <v> </v>
      </c>
      <c r="H1731" s="25" t="str">
        <f>IF(J1731&lt;&gt;1,"",IF(I1731="SBJ","CB","?"))</f>
        <v> </v>
      </c>
      <c r="I1731" s="26" t="str">
        <f>IF(OR(E1731="",E1731="!!!",F1731="NEW"),"",INDEX(B1730:B$2,-1+SUMPRODUCT(MAX(ROW(E1730:E$2)*(E1731=E1730:E$2)))))</f>
        <v> </v>
      </c>
      <c r="J1731" s="26" t="str">
        <f>IF(OR(E1731="",E1731="!!!",F1731="NEW"),"",COUNTBLANK(OFFSET(A$1,,,SUMPRODUCT(MAX(ROW(E$2:E1731)*(E1731=E$2:E1731)))))-COUNTBLANK(OFFSET(A$1,,,SUMPRODUCT(MAX(ROW(E$1:E1730)*(E2=E$1:E1730))))))</f>
        <v> </v>
      </c>
      <c r="K1731" s="26" t="str">
        <f>IF(OR(E1731="",E1731="!!!",F1731="NEW"),"",INDEX(J$1:J1730,SUMPRODUCT(MAX(ROW(E$1:E1730)*(E1731=E$1:E1730)))))</f>
        <v> </v>
      </c>
      <c r="L1731" s="27"/>
    </row>
    <row r="1732" spans="1:12">
      <c r="A1732" s="20" t="s">
        <v>1627</v>
      </c>
      <c r="B1732" s="21" t="s">
        <v>1187</v>
      </c>
      <c r="C1732" s="21" t="s">
        <v>1048</v>
      </c>
      <c r="E1732" s="22">
        <f>IF(D1732="?OLD","!!!","")</f>
        <v/>
      </c>
      <c r="F1732" s="23" t="str">
        <f>IF(OR(E1732="",E1732="!!!"),"",IF(NOT(ISNA(VLOOKUP(E1732,E$1:E1731,1,FALSE()))),"OLD",IF(AND(E1732&lt;&gt;"",E1732&lt;&gt;"!!!"),"NEW","")))</f>
        <v> </v>
      </c>
      <c r="G1732" s="24" t="str">
        <f>IF(OR(E1732="",E1732="!!!"),"",IF(OR(J1732=0,AND(J1732=1,K1732=1),AND(J1732=1,I1732="SBJ"),AND(J1732=1,I1732=0)),"?IN_FOCUS",IF(J1732&lt;=2,"?ACTIVATED",IF(J1732&lt;&gt;"","?FAMILIAR",IF(F1732="NEW",IF(ISNA(VLOOKUP(E1732,#REF!,1,FALSE())),"?TYPE_IDENTIFIABLE","?REFERENTIAL"),"_")))))</f>
        <v> </v>
      </c>
      <c r="H1732" s="25" t="str">
        <f>IF(J1732&lt;&gt;1,"",IF(I1732="SBJ","CB","?"))</f>
        <v> </v>
      </c>
      <c r="I1732" s="26" t="str">
        <f>IF(OR(E1732="",E1732="!!!",F1732="NEW"),"",INDEX(B1731:B$2,-1+SUMPRODUCT(MAX(ROW(E1731:E$2)*(E1732=E1731:E$2)))))</f>
        <v> </v>
      </c>
      <c r="J1732" s="26" t="str">
        <f>IF(OR(E1732="",E1732="!!!",F1732="NEW"),"",COUNTBLANK(OFFSET(A$1,,,SUMPRODUCT(MAX(ROW(E$2:E1732)*(E1732=E$2:E1732)))))-COUNTBLANK(OFFSET(A$1,,,SUMPRODUCT(MAX(ROW(E$1:E1731)*(E2=E$1:E1731))))))</f>
        <v> </v>
      </c>
      <c r="K1732" s="26" t="str">
        <f>IF(OR(E1732="",E1732="!!!",F1732="NEW"),"",INDEX(J$1:J1731,SUMPRODUCT(MAX(ROW(E$1:E1731)*(E1732=E$1:E1731)))))</f>
        <v> </v>
      </c>
      <c r="L1732" s="27"/>
    </row>
    <row r="1733" spans="1:12">
      <c r="A1733" s="20" t="s">
        <v>1097</v>
      </c>
      <c r="E1733" s="22">
        <f>IF(D1733="?OLD","!!!","")</f>
        <v/>
      </c>
      <c r="F1733" s="23" t="str">
        <f>IF(OR(E1733="",E1733="!!!"),"",IF(NOT(ISNA(VLOOKUP(E1733,E$1:E1732,1,FALSE()))),"OLD",IF(AND(E1733&lt;&gt;"",E1733&lt;&gt;"!!!"),"NEW","")))</f>
        <v> </v>
      </c>
      <c r="G1733" s="24" t="str">
        <f>IF(OR(E1733="",E1733="!!!"),"",IF(OR(J1733=0,AND(J1733=1,K1733=1),AND(J1733=1,I1733="SBJ"),AND(J1733=1,I1733=0)),"?IN_FOCUS",IF(J1733&lt;=2,"?ACTIVATED",IF(J1733&lt;&gt;"","?FAMILIAR",IF(F1733="NEW",IF(ISNA(VLOOKUP(E1733,#REF!,1,FALSE())),"?TYPE_IDENTIFIABLE","?REFERENTIAL"),"_")))))</f>
        <v> </v>
      </c>
      <c r="H1733" s="25" t="str">
        <f>IF(J1733&lt;&gt;1,"",IF(I1733="SBJ","CB","?"))</f>
        <v> </v>
      </c>
      <c r="I1733" s="26" t="str">
        <f>IF(OR(E1733="",E1733="!!!",F1733="NEW"),"",INDEX(B1732:B$2,-1+SUMPRODUCT(MAX(ROW(E1732:E$2)*(E1733=E1732:E$2)))))</f>
        <v> </v>
      </c>
      <c r="J1733" s="26" t="str">
        <f>IF(OR(E1733="",E1733="!!!",F1733="NEW"),"",COUNTBLANK(OFFSET(A$1,,,SUMPRODUCT(MAX(ROW(E$2:E1733)*(E1733=E$2:E1733)))))-COUNTBLANK(OFFSET(A$1,,,SUMPRODUCT(MAX(ROW(E$1:E1732)*(E2=E$1:E1732))))))</f>
        <v> </v>
      </c>
      <c r="K1733" s="26" t="str">
        <f>IF(OR(E1733="",E1733="!!!",F1733="NEW"),"",INDEX(J$1:J1732,SUMPRODUCT(MAX(ROW(E$1:E1732)*(E1733=E$1:E1732)))))</f>
        <v> </v>
      </c>
      <c r="L1733" s="27"/>
    </row>
    <row r="1734" spans="1:12">
      <c r="A1734" s="20" t="s">
        <v>1140</v>
      </c>
      <c r="B1734" s="21" t="s">
        <v>1033</v>
      </c>
      <c r="C1734" s="21" t="s">
        <v>1073</v>
      </c>
      <c r="D1734" s="21" t="s">
        <v>1007</v>
      </c>
      <c r="E1734" s="22">
        <f>IF(D1734="?OLD","!!!","")</f>
        <v/>
      </c>
      <c r="F1734" s="23" t="str">
        <f>IF(OR(E1734="",E1734="!!!"),"",IF(NOT(ISNA(VLOOKUP(E1734,E$1:E1733,1,FALSE()))),"OLD",IF(AND(E1734&lt;&gt;"",E1734&lt;&gt;"!!!"),"NEW","")))</f>
        <v> </v>
      </c>
      <c r="G1734" s="24" t="str">
        <f>IF(OR(E1734="",E1734="!!!"),"",IF(OR(J1734=0,AND(J1734=1,K1734=1),AND(J1734=1,I1734="SBJ"),AND(J1734=1,I1734=0)),"?IN_FOCUS",IF(J1734&lt;=2,"?ACTIVATED",IF(J1734&lt;&gt;"","?FAMILIAR",IF(F1734="NEW",IF(ISNA(VLOOKUP(E1734,#REF!,1,FALSE())),"?TYPE_IDENTIFIABLE","?REFERENTIAL"),"_")))))</f>
        <v> </v>
      </c>
      <c r="H1734" s="25" t="str">
        <f>IF(J1734&lt;&gt;1,"",IF(I1734="SBJ","CB","?"))</f>
        <v> </v>
      </c>
      <c r="I1734" s="26" t="str">
        <f>IF(OR(E1734="",E1734="!!!",F1734="NEW"),"",INDEX(B1733:B$2,-1+SUMPRODUCT(MAX(ROW(E1733:E$2)*(E1734=E1733:E$2)))))</f>
        <v> </v>
      </c>
      <c r="J1734" s="26" t="str">
        <f>IF(OR(E1734="",E1734="!!!",F1734="NEW"),"",COUNTBLANK(OFFSET(A$1,,,SUMPRODUCT(MAX(ROW(E$2:E1734)*(E1734=E$2:E1734)))))-COUNTBLANK(OFFSET(A$1,,,SUMPRODUCT(MAX(ROW(E$1:E1733)*(E2=E$1:E1733))))))</f>
        <v> </v>
      </c>
      <c r="K1734" s="26" t="str">
        <f>IF(OR(E1734="",E1734="!!!",F1734="NEW"),"",INDEX(J$1:J1733,SUMPRODUCT(MAX(ROW(E$1:E1733)*(E1734=E$1:E1733)))))</f>
        <v> </v>
      </c>
      <c r="L1734" s="27"/>
    </row>
    <row r="1735" spans="1:12">
      <c r="A1735" s="20" t="s">
        <v>1023</v>
      </c>
      <c r="E1735" s="22">
        <f>IF(D1735="?OLD","!!!","")</f>
        <v/>
      </c>
      <c r="F1735" s="23" t="str">
        <f>IF(OR(E1735="",E1735="!!!"),"",IF(NOT(ISNA(VLOOKUP(E1735,E$1:E1734,1,FALSE()))),"OLD",IF(AND(E1735&lt;&gt;"",E1735&lt;&gt;"!!!"),"NEW","")))</f>
        <v> </v>
      </c>
      <c r="G1735" s="24" t="str">
        <f>IF(OR(E1735="",E1735="!!!"),"",IF(OR(J1735=0,AND(J1735=1,K1735=1),AND(J1735=1,I1735="SBJ"),AND(J1735=1,I1735=0)),"?IN_FOCUS",IF(J1735&lt;=2,"?ACTIVATED",IF(J1735&lt;&gt;"","?FAMILIAR",IF(F1735="NEW",IF(ISNA(VLOOKUP(E1735,#REF!,1,FALSE())),"?TYPE_IDENTIFIABLE","?REFERENTIAL"),"_")))))</f>
        <v> </v>
      </c>
      <c r="H1735" s="25" t="str">
        <f>IF(J1735&lt;&gt;1,"",IF(I1735="SBJ","CB","?"))</f>
        <v> </v>
      </c>
      <c r="I1735" s="26" t="str">
        <f>IF(OR(E1735="",E1735="!!!",F1735="NEW"),"",INDEX(B1734:B$2,-1+SUMPRODUCT(MAX(ROW(E1734:E$2)*(E1735=E1734:E$2)))))</f>
        <v> </v>
      </c>
      <c r="J1735" s="26" t="str">
        <f>IF(OR(E1735="",E1735="!!!",F1735="NEW"),"",COUNTBLANK(OFFSET(A$1,,,SUMPRODUCT(MAX(ROW(E$2:E1735)*(E1735=E$2:E1735)))))-COUNTBLANK(OFFSET(A$1,,,SUMPRODUCT(MAX(ROW(E$1:E1734)*(E2=E$1:E1734))))))</f>
        <v> </v>
      </c>
      <c r="K1735" s="26" t="str">
        <f>IF(OR(E1735="",E1735="!!!",F1735="NEW"),"",INDEX(J$1:J1734,SUMPRODUCT(MAX(ROW(E$1:E1734)*(E1735=E$1:E1734)))))</f>
        <v> </v>
      </c>
      <c r="L1735" s="27"/>
    </row>
    <row r="1736" spans="1:12">
      <c r="A1736" s="20"/>
    </row>
    <row r="1737" spans="1:12">
      <c r="A1737" s="20" t="s">
        <v>1628</v>
      </c>
    </row>
    <row r="1738" spans="1:12">
      <c r="A1738" s="20" t="s">
        <v>1629</v>
      </c>
      <c r="E1738" s="22">
        <f>IF(D1738="?OLD","!!!","")</f>
        <v/>
      </c>
      <c r="F1738" s="23" t="str">
        <f>IF(OR(E1738="",E1738="!!!"),"",IF(NOT(ISNA(VLOOKUP(E1738,E$1:E1737,1,FALSE()))),"OLD",IF(AND(E1738&lt;&gt;"",E1738&lt;&gt;"!!!"),"NEW","")))</f>
        <v> </v>
      </c>
      <c r="G1738" s="24" t="str">
        <f>IF(OR(E1738="",E1738="!!!"),"",IF(OR(J1738=0,AND(J1738=1,K1738=1),AND(J1738=1,I1738="SBJ"),AND(J1738=1,I1738=0)),"?IN_FOCUS",IF(J1738&lt;=2,"?ACTIVATED",IF(J1738&lt;&gt;"","?FAMILIAR",IF(F1738="NEW",IF(ISNA(VLOOKUP(E1738,#REF!,1,FALSE())),"?TYPE_IDENTIFIABLE","?REFERENTIAL"),"_")))))</f>
        <v> </v>
      </c>
      <c r="H1738" s="25" t="str">
        <f>IF(J1738&lt;&gt;1,"",IF(I1738="SBJ","CB","?"))</f>
        <v> </v>
      </c>
      <c r="I1738" s="26" t="str">
        <f>IF(OR(E1738="",E1738="!!!",F1738="NEW"),"",INDEX(B1737:B$2,-1+SUMPRODUCT(MAX(ROW(E1737:E$2)*(E1738=E1737:E$2)))))</f>
        <v> </v>
      </c>
      <c r="J1738" s="26" t="str">
        <f>IF(OR(E1738="",E1738="!!!",F1738="NEW"),"",COUNTBLANK(OFFSET(A$1,,,SUMPRODUCT(MAX(ROW(E$2:E1738)*(E1738=E$2:E1738)))))-COUNTBLANK(OFFSET(A$1,,,SUMPRODUCT(MAX(ROW(E$1:E1737)*(E2=E$1:E1737))))))</f>
        <v> </v>
      </c>
      <c r="K1738" s="26" t="str">
        <f>IF(OR(E1738="",E1738="!!!",F1738="NEW"),"",INDEX(J$1:J1737,SUMPRODUCT(MAX(ROW(E$1:E1737)*(E1738=E$1:E1737)))))</f>
        <v> </v>
      </c>
      <c r="L1738" s="27"/>
    </row>
    <row r="1739" spans="1:12">
      <c r="A1739" s="20" t="s">
        <v>1630</v>
      </c>
      <c r="E1739" s="22">
        <f>IF(D1739="?OLD","!!!","")</f>
        <v/>
      </c>
      <c r="F1739" s="23" t="str">
        <f>IF(OR(E1739="",E1739="!!!"),"",IF(NOT(ISNA(VLOOKUP(E1739,E$1:E1738,1,FALSE()))),"OLD",IF(AND(E1739&lt;&gt;"",E1739&lt;&gt;"!!!"),"NEW","")))</f>
        <v> </v>
      </c>
      <c r="G1739" s="24" t="str">
        <f>IF(OR(E1739="",E1739="!!!"),"",IF(OR(J1739=0,AND(J1739=1,K1739=1),AND(J1739=1,I1739="SBJ"),AND(J1739=1,I1739=0)),"?IN_FOCUS",IF(J1739&lt;=2,"?ACTIVATED",IF(J1739&lt;&gt;"","?FAMILIAR",IF(F1739="NEW",IF(ISNA(VLOOKUP(E1739,#REF!,1,FALSE())),"?TYPE_IDENTIFIABLE","?REFERENTIAL"),"_")))))</f>
        <v> </v>
      </c>
      <c r="H1739" s="25" t="str">
        <f>IF(J1739&lt;&gt;1,"",IF(I1739="SBJ","CB","?"))</f>
        <v> </v>
      </c>
      <c r="I1739" s="26" t="str">
        <f>IF(OR(E1739="",E1739="!!!",F1739="NEW"),"",INDEX(B1738:B$2,-1+SUMPRODUCT(MAX(ROW(E1738:E$2)*(E1739=E1738:E$2)))))</f>
        <v> </v>
      </c>
      <c r="J1739" s="26" t="str">
        <f>IF(OR(E1739="",E1739="!!!",F1739="NEW"),"",COUNTBLANK(OFFSET(A$1,,,SUMPRODUCT(MAX(ROW(E$2:E1739)*(E1739=E$2:E1739)))))-COUNTBLANK(OFFSET(A$1,,,SUMPRODUCT(MAX(ROW(E$1:E1738)*(E2=E$1:E1738))))))</f>
        <v> </v>
      </c>
      <c r="K1739" s="26" t="str">
        <f>IF(OR(E1739="",E1739="!!!",F1739="NEW"),"",INDEX(J$1:J1738,SUMPRODUCT(MAX(ROW(E$1:E1738)*(E1739=E$1:E1738)))))</f>
        <v> </v>
      </c>
      <c r="L1739" s="27"/>
    </row>
    <row r="1740" spans="1:12">
      <c r="A1740" s="20" t="s">
        <v>1631</v>
      </c>
      <c r="B1740" s="21" t="s">
        <v>1029</v>
      </c>
      <c r="C1740" s="21" t="s">
        <v>1082</v>
      </c>
      <c r="D1740" s="21" t="s">
        <v>1007</v>
      </c>
      <c r="E1740" s="22">
        <f>IF(D1740="?OLD","!!!","")</f>
        <v/>
      </c>
      <c r="F1740" s="23" t="str">
        <f>IF(OR(E1740="",E1740="!!!"),"",IF(NOT(ISNA(VLOOKUP(E1740,E$1:E1739,1,FALSE()))),"OLD",IF(AND(E1740&lt;&gt;"",E1740&lt;&gt;"!!!"),"NEW","")))</f>
        <v> </v>
      </c>
      <c r="G1740" s="24" t="str">
        <f>IF(OR(E1740="",E1740="!!!"),"",IF(OR(J1740=0,AND(J1740=1,K1740=1),AND(J1740=1,I1740="SBJ"),AND(J1740=1,I1740=0)),"?IN_FOCUS",IF(J1740&lt;=2,"?ACTIVATED",IF(J1740&lt;&gt;"","?FAMILIAR",IF(F1740="NEW",IF(ISNA(VLOOKUP(E1740,#REF!,1,FALSE())),"?TYPE_IDENTIFIABLE","?REFERENTIAL"),"_")))))</f>
        <v> </v>
      </c>
      <c r="H1740" s="25" t="str">
        <f>IF(J1740&lt;&gt;1,"",IF(I1740="SBJ","CB","?"))</f>
        <v> </v>
      </c>
      <c r="I1740" s="26" t="str">
        <f>IF(OR(E1740="",E1740="!!!",F1740="NEW"),"",INDEX(B1739:B$2,-1+SUMPRODUCT(MAX(ROW(E1739:E$2)*(E1740=E1739:E$2)))))</f>
        <v> </v>
      </c>
      <c r="J1740" s="26" t="str">
        <f>IF(OR(E1740="",E1740="!!!",F1740="NEW"),"",COUNTBLANK(OFFSET(A$1,,,SUMPRODUCT(MAX(ROW(E$2:E1740)*(E1740=E$2:E1740)))))-COUNTBLANK(OFFSET(A$1,,,SUMPRODUCT(MAX(ROW(E$1:E1739)*(E2=E$1:E1739))))))</f>
        <v> </v>
      </c>
      <c r="K1740" s="26" t="str">
        <f>IF(OR(E1740="",E1740="!!!",F1740="NEW"),"",INDEX(J$1:J1739,SUMPRODUCT(MAX(ROW(E$1:E1739)*(E1740=E$1:E1739)))))</f>
        <v> </v>
      </c>
      <c r="L1740" s="27"/>
    </row>
    <row r="1741" spans="1:12">
      <c r="A1741" s="20" t="s">
        <v>1020</v>
      </c>
      <c r="E1741" s="22">
        <f>IF(D1741="?OLD","!!!","")</f>
        <v/>
      </c>
      <c r="F1741" s="23" t="str">
        <f>IF(OR(E1741="",E1741="!!!"),"",IF(NOT(ISNA(VLOOKUP(E1741,E$1:E1740,1,FALSE()))),"OLD",IF(AND(E1741&lt;&gt;"",E1741&lt;&gt;"!!!"),"NEW","")))</f>
        <v> </v>
      </c>
      <c r="G1741" s="24" t="str">
        <f>IF(OR(E1741="",E1741="!!!"),"",IF(OR(J1741=0,AND(J1741=1,K1741=1),AND(J1741=1,I1741="SBJ"),AND(J1741=1,I1741=0)),"?IN_FOCUS",IF(J1741&lt;=2,"?ACTIVATED",IF(J1741&lt;&gt;"","?FAMILIAR",IF(F1741="NEW",IF(ISNA(VLOOKUP(E1741,#REF!,1,FALSE())),"?TYPE_IDENTIFIABLE","?REFERENTIAL"),"_")))))</f>
        <v> </v>
      </c>
      <c r="H1741" s="25" t="str">
        <f>IF(J1741&lt;&gt;1,"",IF(I1741="SBJ","CB","?"))</f>
        <v> </v>
      </c>
      <c r="I1741" s="26" t="str">
        <f>IF(OR(E1741="",E1741="!!!",F1741="NEW"),"",INDEX(B1740:B$2,-1+SUMPRODUCT(MAX(ROW(E1740:E$2)*(E1741=E1740:E$2)))))</f>
        <v> </v>
      </c>
      <c r="J1741" s="26" t="str">
        <f>IF(OR(E1741="",E1741="!!!",F1741="NEW"),"",COUNTBLANK(OFFSET(A$1,,,SUMPRODUCT(MAX(ROW(E$2:E1741)*(E1741=E$2:E1741)))))-COUNTBLANK(OFFSET(A$1,,,SUMPRODUCT(MAX(ROW(E$1:E1740)*(E2=E$1:E1740))))))</f>
        <v> </v>
      </c>
      <c r="K1741" s="26" t="str">
        <f>IF(OR(E1741="",E1741="!!!",F1741="NEW"),"",INDEX(J$1:J1740,SUMPRODUCT(MAX(ROW(E$1:E1740)*(E1741=E$1:E1740)))))</f>
        <v> </v>
      </c>
      <c r="L1741" s="27"/>
    </row>
    <row r="1742" spans="1:12">
      <c r="A1742" s="20" t="s">
        <v>1632</v>
      </c>
      <c r="E1742" s="22">
        <f>IF(D1742="?OLD","!!!","")</f>
        <v/>
      </c>
      <c r="F1742" s="23" t="str">
        <f>IF(OR(E1742="",E1742="!!!"),"",IF(NOT(ISNA(VLOOKUP(E1742,E$1:E1741,1,FALSE()))),"OLD",IF(AND(E1742&lt;&gt;"",E1742&lt;&gt;"!!!"),"NEW","")))</f>
        <v> </v>
      </c>
      <c r="G1742" s="24" t="str">
        <f>IF(OR(E1742="",E1742="!!!"),"",IF(OR(J1742=0,AND(J1742=1,K1742=1),AND(J1742=1,I1742="SBJ"),AND(J1742=1,I1742=0)),"?IN_FOCUS",IF(J1742&lt;=2,"?ACTIVATED",IF(J1742&lt;&gt;"","?FAMILIAR",IF(F1742="NEW",IF(ISNA(VLOOKUP(E1742,#REF!,1,FALSE())),"?TYPE_IDENTIFIABLE","?REFERENTIAL"),"_")))))</f>
        <v> </v>
      </c>
      <c r="H1742" s="25" t="str">
        <f>IF(J1742&lt;&gt;1,"",IF(I1742="SBJ","CB","?"))</f>
        <v> </v>
      </c>
      <c r="I1742" s="26" t="str">
        <f>IF(OR(E1742="",E1742="!!!",F1742="NEW"),"",INDEX(B1741:B$2,-1+SUMPRODUCT(MAX(ROW(E1741:E$2)*(E1742=E1741:E$2)))))</f>
        <v> </v>
      </c>
      <c r="J1742" s="26" t="str">
        <f>IF(OR(E1742="",E1742="!!!",F1742="NEW"),"",COUNTBLANK(OFFSET(A$1,,,SUMPRODUCT(MAX(ROW(E$2:E1742)*(E1742=E$2:E1742)))))-COUNTBLANK(OFFSET(A$1,,,SUMPRODUCT(MAX(ROW(E$1:E1741)*(E2=E$1:E1741))))))</f>
        <v> </v>
      </c>
      <c r="K1742" s="26" t="str">
        <f>IF(OR(E1742="",E1742="!!!",F1742="NEW"),"",INDEX(J$1:J1741,SUMPRODUCT(MAX(ROW(E$1:E1741)*(E1742=E$1:E1741)))))</f>
        <v> </v>
      </c>
      <c r="L1742" s="27"/>
    </row>
    <row r="1743" spans="1:12">
      <c r="A1743" s="20" t="s">
        <v>1023</v>
      </c>
      <c r="E1743" s="22">
        <f>IF(D1743="?OLD","!!!","")</f>
        <v/>
      </c>
      <c r="F1743" s="23" t="str">
        <f>IF(OR(E1743="",E1743="!!!"),"",IF(NOT(ISNA(VLOOKUP(E1743,E$1:E1742,1,FALSE()))),"OLD",IF(AND(E1743&lt;&gt;"",E1743&lt;&gt;"!!!"),"NEW","")))</f>
        <v> </v>
      </c>
      <c r="G1743" s="24" t="str">
        <f>IF(OR(E1743="",E1743="!!!"),"",IF(OR(J1743=0,AND(J1743=1,K1743=1),AND(J1743=1,I1743="SBJ"),AND(J1743=1,I1743=0)),"?IN_FOCUS",IF(J1743&lt;=2,"?ACTIVATED",IF(J1743&lt;&gt;"","?FAMILIAR",IF(F1743="NEW",IF(ISNA(VLOOKUP(E1743,#REF!,1,FALSE())),"?TYPE_IDENTIFIABLE","?REFERENTIAL"),"_")))))</f>
        <v> </v>
      </c>
      <c r="H1743" s="25" t="str">
        <f>IF(J1743&lt;&gt;1,"",IF(I1743="SBJ","CB","?"))</f>
        <v> </v>
      </c>
      <c r="I1743" s="26" t="str">
        <f>IF(OR(E1743="",E1743="!!!",F1743="NEW"),"",INDEX(B1742:B$2,-1+SUMPRODUCT(MAX(ROW(E1742:E$2)*(E1743=E1742:E$2)))))</f>
        <v> </v>
      </c>
      <c r="J1743" s="26" t="str">
        <f>IF(OR(E1743="",E1743="!!!",F1743="NEW"),"",COUNTBLANK(OFFSET(A$1,,,SUMPRODUCT(MAX(ROW(E$2:E1743)*(E1743=E$2:E1743)))))-COUNTBLANK(OFFSET(A$1,,,SUMPRODUCT(MAX(ROW(E$1:E1742)*(E2=E$1:E1742))))))</f>
        <v> </v>
      </c>
      <c r="K1743" s="26" t="str">
        <f>IF(OR(E1743="",E1743="!!!",F1743="NEW"),"",INDEX(J$1:J1742,SUMPRODUCT(MAX(ROW(E$1:E1742)*(E1743=E$1:E1742)))))</f>
        <v> </v>
      </c>
      <c r="L1743" s="27"/>
    </row>
    <row r="1744" spans="1:12">
      <c r="A1744" s="20"/>
    </row>
    <row r="1745" spans="1:12">
      <c r="A1745" s="20" t="s">
        <v>1633</v>
      </c>
    </row>
    <row r="1746" spans="1:12">
      <c r="A1746" s="20" t="s">
        <v>1094</v>
      </c>
      <c r="B1746" s="21" t="s">
        <v>1005</v>
      </c>
      <c r="C1746" s="21" t="s">
        <v>1048</v>
      </c>
      <c r="E1746" s="22">
        <f>IF(D1746="?OLD","!!!","")</f>
        <v/>
      </c>
      <c r="F1746" s="23" t="str">
        <f>IF(OR(E1746="",E1746="!!!"),"",IF(NOT(ISNA(VLOOKUP(E1746,E$1:E1745,1,FALSE()))),"OLD",IF(AND(E1746&lt;&gt;"",E1746&lt;&gt;"!!!"),"NEW","")))</f>
        <v> </v>
      </c>
      <c r="G1746" s="24" t="str">
        <f>IF(OR(E1746="",E1746="!!!"),"",IF(OR(J1746=0,AND(J1746=1,K1746=1),AND(J1746=1,I1746="SBJ"),AND(J1746=1,I1746=0)),"?IN_FOCUS",IF(J1746&lt;=2,"?ACTIVATED",IF(J1746&lt;&gt;"","?FAMILIAR",IF(F1746="NEW",IF(ISNA(VLOOKUP(E1746,#REF!,1,FALSE())),"?TYPE_IDENTIFIABLE","?REFERENTIAL"),"_")))))</f>
        <v> </v>
      </c>
      <c r="H1746" s="25" t="str">
        <f>IF(J1746&lt;&gt;1,"",IF(I1746="SBJ","CB","?"))</f>
        <v> </v>
      </c>
      <c r="I1746" s="26" t="str">
        <f>IF(OR(E1746="",E1746="!!!",F1746="NEW"),"",INDEX(B1745:B$2,-1+SUMPRODUCT(MAX(ROW(E1745:E$2)*(E1746=E1745:E$2)))))</f>
        <v> </v>
      </c>
      <c r="J1746" s="26" t="str">
        <f>IF(OR(E1746="",E1746="!!!",F1746="NEW"),"",COUNTBLANK(OFFSET(A$1,,,SUMPRODUCT(MAX(ROW(E$2:E1746)*(E1746=E$2:E1746)))))-COUNTBLANK(OFFSET(A$1,,,SUMPRODUCT(MAX(ROW(E$1:E1745)*(E2=E$1:E1745))))))</f>
        <v> </v>
      </c>
      <c r="K1746" s="26" t="str">
        <f>IF(OR(E1746="",E1746="!!!",F1746="NEW"),"",INDEX(J$1:J1745,SUMPRODUCT(MAX(ROW(E$1:E1745)*(E1746=E$1:E1745)))))</f>
        <v> </v>
      </c>
      <c r="L1746" s="27"/>
    </row>
    <row r="1747" spans="1:12">
      <c r="A1747" s="20" t="s">
        <v>1009</v>
      </c>
      <c r="E1747" s="22">
        <f>IF(D1747="?OLD","!!!","")</f>
        <v/>
      </c>
      <c r="F1747" s="23" t="str">
        <f>IF(OR(E1747="",E1747="!!!"),"",IF(NOT(ISNA(VLOOKUP(E1747,E$1:E1746,1,FALSE()))),"OLD",IF(AND(E1747&lt;&gt;"",E1747&lt;&gt;"!!!"),"NEW","")))</f>
        <v> </v>
      </c>
      <c r="G1747" s="24" t="str">
        <f>IF(OR(E1747="",E1747="!!!"),"",IF(OR(J1747=0,AND(J1747=1,K1747=1),AND(J1747=1,I1747="SBJ"),AND(J1747=1,I1747=0)),"?IN_FOCUS",IF(J1747&lt;=2,"?ACTIVATED",IF(J1747&lt;&gt;"","?FAMILIAR",IF(F1747="NEW",IF(ISNA(VLOOKUP(E1747,#REF!,1,FALSE())),"?TYPE_IDENTIFIABLE","?REFERENTIAL"),"_")))))</f>
        <v> </v>
      </c>
      <c r="H1747" s="25" t="str">
        <f>IF(J1747&lt;&gt;1,"",IF(I1747="SBJ","CB","?"))</f>
        <v> </v>
      </c>
      <c r="I1747" s="26" t="str">
        <f>IF(OR(E1747="",E1747="!!!",F1747="NEW"),"",INDEX(B1746:B$2,-1+SUMPRODUCT(MAX(ROW(E1746:E$2)*(E1747=E1746:E$2)))))</f>
        <v> </v>
      </c>
      <c r="J1747" s="26" t="str">
        <f>IF(OR(E1747="",E1747="!!!",F1747="NEW"),"",COUNTBLANK(OFFSET(A$1,,,SUMPRODUCT(MAX(ROW(E$2:E1747)*(E1747=E$2:E1747)))))-COUNTBLANK(OFFSET(A$1,,,SUMPRODUCT(MAX(ROW(E$1:E1746)*(E2=E$1:E1746))))))</f>
        <v> </v>
      </c>
      <c r="K1747" s="26" t="str">
        <f>IF(OR(E1747="",E1747="!!!",F1747="NEW"),"",INDEX(J$1:J1746,SUMPRODUCT(MAX(ROW(E$1:E1746)*(E1747=E$1:E1746)))))</f>
        <v> </v>
      </c>
      <c r="L1747" s="27"/>
    </row>
    <row r="1748" spans="1:12">
      <c r="A1748" s="20" t="s">
        <v>1634</v>
      </c>
      <c r="B1748" s="21" t="s">
        <v>1187</v>
      </c>
      <c r="E1748" s="22">
        <f>IF(D1748="?OLD","!!!","")</f>
        <v/>
      </c>
      <c r="F1748" s="23" t="str">
        <f>IF(OR(E1748="",E1748="!!!"),"",IF(NOT(ISNA(VLOOKUP(E1748,E$1:E1747,1,FALSE()))),"OLD",IF(AND(E1748&lt;&gt;"",E1748&lt;&gt;"!!!"),"NEW","")))</f>
        <v> </v>
      </c>
      <c r="G1748" s="24" t="str">
        <f>IF(OR(E1748="",E1748="!!!"),"",IF(OR(J1748=0,AND(J1748=1,K1748=1),AND(J1748=1,I1748="SBJ"),AND(J1748=1,I1748=0)),"?IN_FOCUS",IF(J1748&lt;=2,"?ACTIVATED",IF(J1748&lt;&gt;"","?FAMILIAR",IF(F1748="NEW",IF(ISNA(VLOOKUP(E1748,#REF!,1,FALSE())),"?TYPE_IDENTIFIABLE","?REFERENTIAL"),"_")))))</f>
        <v> </v>
      </c>
      <c r="H1748" s="25" t="str">
        <f>IF(J1748&lt;&gt;1,"",IF(I1748="SBJ","CB","?"))</f>
        <v> </v>
      </c>
      <c r="I1748" s="26" t="str">
        <f>IF(OR(E1748="",E1748="!!!",F1748="NEW"),"",INDEX(B1747:B$2,-1+SUMPRODUCT(MAX(ROW(E1747:E$2)*(E1748=E1747:E$2)))))</f>
        <v> </v>
      </c>
      <c r="J1748" s="26" t="str">
        <f>IF(OR(E1748="",E1748="!!!",F1748="NEW"),"",COUNTBLANK(OFFSET(A$1,,,SUMPRODUCT(MAX(ROW(E$2:E1748)*(E1748=E$2:E1748)))))-COUNTBLANK(OFFSET(A$1,,,SUMPRODUCT(MAX(ROW(E$1:E1747)*(E2=E$1:E1747))))))</f>
        <v> </v>
      </c>
      <c r="K1748" s="26" t="str">
        <f>IF(OR(E1748="",E1748="!!!",F1748="NEW"),"",INDEX(J$1:J1747,SUMPRODUCT(MAX(ROW(E$1:E1747)*(E1748=E$1:E1747)))))</f>
        <v> </v>
      </c>
      <c r="L1748" s="27"/>
    </row>
    <row r="1749" spans="1:12">
      <c r="A1749" s="20" t="s">
        <v>1286</v>
      </c>
      <c r="E1749" s="22">
        <f>IF(D1749="?OLD","!!!","")</f>
        <v/>
      </c>
      <c r="F1749" s="23" t="str">
        <f>IF(OR(E1749="",E1749="!!!"),"",IF(NOT(ISNA(VLOOKUP(E1749,E$1:E1748,1,FALSE()))),"OLD",IF(AND(E1749&lt;&gt;"",E1749&lt;&gt;"!!!"),"NEW","")))</f>
        <v> </v>
      </c>
      <c r="G1749" s="24" t="str">
        <f>IF(OR(E1749="",E1749="!!!"),"",IF(OR(J1749=0,AND(J1749=1,K1749=1),AND(J1749=1,I1749="SBJ"),AND(J1749=1,I1749=0)),"?IN_FOCUS",IF(J1749&lt;=2,"?ACTIVATED",IF(J1749&lt;&gt;"","?FAMILIAR",IF(F1749="NEW",IF(ISNA(VLOOKUP(E1749,#REF!,1,FALSE())),"?TYPE_IDENTIFIABLE","?REFERENTIAL"),"_")))))</f>
        <v> </v>
      </c>
      <c r="H1749" s="25" t="str">
        <f>IF(J1749&lt;&gt;1,"",IF(I1749="SBJ","CB","?"))</f>
        <v> </v>
      </c>
      <c r="I1749" s="26" t="str">
        <f>IF(OR(E1749="",E1749="!!!",F1749="NEW"),"",INDEX(B1748:B$2,-1+SUMPRODUCT(MAX(ROW(E1748:E$2)*(E1749=E1748:E$2)))))</f>
        <v> </v>
      </c>
      <c r="J1749" s="26" t="str">
        <f>IF(OR(E1749="",E1749="!!!",F1749="NEW"),"",COUNTBLANK(OFFSET(A$1,,,SUMPRODUCT(MAX(ROW(E$2:E1749)*(E1749=E$2:E1749)))))-COUNTBLANK(OFFSET(A$1,,,SUMPRODUCT(MAX(ROW(E$1:E1748)*(E2=E$1:E1748))))))</f>
        <v> </v>
      </c>
      <c r="K1749" s="26" t="str">
        <f>IF(OR(E1749="",E1749="!!!",F1749="NEW"),"",INDEX(J$1:J1748,SUMPRODUCT(MAX(ROW(E$1:E1748)*(E1749=E$1:E1748)))))</f>
        <v> </v>
      </c>
      <c r="L1749" s="27"/>
    </row>
    <row r="1750" spans="1:12">
      <c r="A1750" s="20" t="s">
        <v>1635</v>
      </c>
      <c r="E1750" s="22">
        <f>IF(D1750="?OLD","!!!","")</f>
        <v/>
      </c>
      <c r="F1750" s="23" t="str">
        <f>IF(OR(E1750="",E1750="!!!"),"",IF(NOT(ISNA(VLOOKUP(E1750,E$1:E1749,1,FALSE()))),"OLD",IF(AND(E1750&lt;&gt;"",E1750&lt;&gt;"!!!"),"NEW","")))</f>
        <v> </v>
      </c>
      <c r="G1750" s="24" t="str">
        <f>IF(OR(E1750="",E1750="!!!"),"",IF(OR(J1750=0,AND(J1750=1,K1750=1),AND(J1750=1,I1750="SBJ"),AND(J1750=1,I1750=0)),"?IN_FOCUS",IF(J1750&lt;=2,"?ACTIVATED",IF(J1750&lt;&gt;"","?FAMILIAR",IF(F1750="NEW",IF(ISNA(VLOOKUP(E1750,#REF!,1,FALSE())),"?TYPE_IDENTIFIABLE","?REFERENTIAL"),"_")))))</f>
        <v> </v>
      </c>
      <c r="H1750" s="25" t="str">
        <f>IF(J1750&lt;&gt;1,"",IF(I1750="SBJ","CB","?"))</f>
        <v> </v>
      </c>
      <c r="I1750" s="26" t="str">
        <f>IF(OR(E1750="",E1750="!!!",F1750="NEW"),"",INDEX(B1749:B$2,-1+SUMPRODUCT(MAX(ROW(E1749:E$2)*(E1750=E1749:E$2)))))</f>
        <v> </v>
      </c>
      <c r="J1750" s="26" t="str">
        <f>IF(OR(E1750="",E1750="!!!",F1750="NEW"),"",COUNTBLANK(OFFSET(A$1,,,SUMPRODUCT(MAX(ROW(E$2:E1750)*(E1750=E$2:E1750)))))-COUNTBLANK(OFFSET(A$1,,,SUMPRODUCT(MAX(ROW(E$1:E1749)*(E2=E$1:E1749))))))</f>
        <v> </v>
      </c>
      <c r="K1750" s="26" t="str">
        <f>IF(OR(E1750="",E1750="!!!",F1750="NEW"),"",INDEX(J$1:J1749,SUMPRODUCT(MAX(ROW(E$1:E1749)*(E1750=E$1:E1749)))))</f>
        <v> </v>
      </c>
      <c r="L1750" s="27"/>
    </row>
    <row r="1751" spans="1:12">
      <c r="A1751" s="20" t="s">
        <v>1463</v>
      </c>
      <c r="B1751" s="21" t="s">
        <v>1119</v>
      </c>
      <c r="C1751" s="21" t="s">
        <v>1082</v>
      </c>
      <c r="D1751" s="21" t="s">
        <v>1007</v>
      </c>
      <c r="E1751" s="22">
        <f>IF(D1751="?OLD","!!!","")</f>
        <v/>
      </c>
      <c r="F1751" s="23" t="str">
        <f>IF(OR(E1751="",E1751="!!!"),"",IF(NOT(ISNA(VLOOKUP(E1751,E$1:E1750,1,FALSE()))),"OLD",IF(AND(E1751&lt;&gt;"",E1751&lt;&gt;"!!!"),"NEW","")))</f>
        <v> </v>
      </c>
      <c r="G1751" s="24" t="str">
        <f>IF(OR(E1751="",E1751="!!!"),"",IF(OR(J1751=0,AND(J1751=1,K1751=1),AND(J1751=1,I1751="SBJ"),AND(J1751=1,I1751=0)),"?IN_FOCUS",IF(J1751&lt;=2,"?ACTIVATED",IF(J1751&lt;&gt;"","?FAMILIAR",IF(F1751="NEW",IF(ISNA(VLOOKUP(E1751,#REF!,1,FALSE())),"?TYPE_IDENTIFIABLE","?REFERENTIAL"),"_")))))</f>
        <v> </v>
      </c>
      <c r="H1751" s="25" t="str">
        <f>IF(J1751&lt;&gt;1,"",IF(I1751="SBJ","CB","?"))</f>
        <v> </v>
      </c>
      <c r="I1751" s="26" t="str">
        <f>IF(OR(E1751="",E1751="!!!",F1751="NEW"),"",INDEX(B1750:B$2,-1+SUMPRODUCT(MAX(ROW(E1750:E$2)*(E1751=E1750:E$2)))))</f>
        <v> </v>
      </c>
      <c r="J1751" s="26" t="str">
        <f>IF(OR(E1751="",E1751="!!!",F1751="NEW"),"",COUNTBLANK(OFFSET(A$1,,,SUMPRODUCT(MAX(ROW(E$2:E1751)*(E1751=E$2:E1751)))))-COUNTBLANK(OFFSET(A$1,,,SUMPRODUCT(MAX(ROW(E$1:E1750)*(E2=E$1:E1750))))))</f>
        <v> </v>
      </c>
      <c r="K1751" s="26" t="str">
        <f>IF(OR(E1751="",E1751="!!!",F1751="NEW"),"",INDEX(J$1:J1750,SUMPRODUCT(MAX(ROW(E$1:E1750)*(E1751=E$1:E1750)))))</f>
        <v> </v>
      </c>
      <c r="L1751" s="27"/>
    </row>
    <row r="1752" spans="1:12">
      <c r="A1752" s="20" t="s">
        <v>110</v>
      </c>
      <c r="E1752" s="22">
        <f>IF(D1752="?OLD","!!!","")</f>
        <v/>
      </c>
      <c r="F1752" s="23" t="str">
        <f>IF(OR(E1752="",E1752="!!!"),"",IF(NOT(ISNA(VLOOKUP(E1752,E$1:E1751,1,FALSE()))),"OLD",IF(AND(E1752&lt;&gt;"",E1752&lt;&gt;"!!!"),"NEW","")))</f>
        <v> </v>
      </c>
      <c r="G1752" s="24" t="str">
        <f>IF(OR(E1752="",E1752="!!!"),"",IF(OR(J1752=0,AND(J1752=1,K1752=1),AND(J1752=1,I1752="SBJ"),AND(J1752=1,I1752=0)),"?IN_FOCUS",IF(J1752&lt;=2,"?ACTIVATED",IF(J1752&lt;&gt;"","?FAMILIAR",IF(F1752="NEW",IF(ISNA(VLOOKUP(E1752,#REF!,1,FALSE())),"?TYPE_IDENTIFIABLE","?REFERENTIAL"),"_")))))</f>
        <v> </v>
      </c>
      <c r="H1752" s="25" t="str">
        <f>IF(J1752&lt;&gt;1,"",IF(I1752="SBJ","CB","?"))</f>
        <v> </v>
      </c>
      <c r="I1752" s="26" t="str">
        <f>IF(OR(E1752="",E1752="!!!",F1752="NEW"),"",INDEX(B1751:B$2,-1+SUMPRODUCT(MAX(ROW(E1751:E$2)*(E1752=E1751:E$2)))))</f>
        <v> </v>
      </c>
      <c r="J1752" s="26" t="str">
        <f>IF(OR(E1752="",E1752="!!!",F1752="NEW"),"",COUNTBLANK(OFFSET(A$1,,,SUMPRODUCT(MAX(ROW(E$2:E1752)*(E1752=E$2:E1752)))))-COUNTBLANK(OFFSET(A$1,,,SUMPRODUCT(MAX(ROW(E$1:E1751)*(E2=E$1:E1751))))))</f>
        <v> </v>
      </c>
      <c r="K1752" s="26" t="str">
        <f>IF(OR(E1752="",E1752="!!!",F1752="NEW"),"",INDEX(J$1:J1751,SUMPRODUCT(MAX(ROW(E$1:E1751)*(E1752=E$1:E1751)))))</f>
        <v> </v>
      </c>
      <c r="L1752" s="27"/>
    </row>
    <row r="1753" spans="1:12">
      <c r="A1753" s="20" t="s">
        <v>1077</v>
      </c>
      <c r="E1753" s="22">
        <f>IF(D1753="?OLD","!!!","")</f>
        <v/>
      </c>
      <c r="F1753" s="23" t="str">
        <f>IF(OR(E1753="",E1753="!!!"),"",IF(NOT(ISNA(VLOOKUP(E1753,E$1:E1752,1,FALSE()))),"OLD",IF(AND(E1753&lt;&gt;"",E1753&lt;&gt;"!!!"),"NEW","")))</f>
        <v> </v>
      </c>
      <c r="G1753" s="24" t="str">
        <f>IF(OR(E1753="",E1753="!!!"),"",IF(OR(J1753=0,AND(J1753=1,K1753=1),AND(J1753=1,I1753="SBJ"),AND(J1753=1,I1753=0)),"?IN_FOCUS",IF(J1753&lt;=2,"?ACTIVATED",IF(J1753&lt;&gt;"","?FAMILIAR",IF(F1753="NEW",IF(ISNA(VLOOKUP(E1753,#REF!,1,FALSE())),"?TYPE_IDENTIFIABLE","?REFERENTIAL"),"_")))))</f>
        <v> </v>
      </c>
      <c r="H1753" s="25" t="str">
        <f>IF(J1753&lt;&gt;1,"",IF(I1753="SBJ","CB","?"))</f>
        <v> </v>
      </c>
      <c r="I1753" s="26" t="str">
        <f>IF(OR(E1753="",E1753="!!!",F1753="NEW"),"",INDEX(B1752:B$2,-1+SUMPRODUCT(MAX(ROW(E1752:E$2)*(E1753=E1752:E$2)))))</f>
        <v> </v>
      </c>
      <c r="J1753" s="26" t="str">
        <f>IF(OR(E1753="",E1753="!!!",F1753="NEW"),"",COUNTBLANK(OFFSET(A$1,,,SUMPRODUCT(MAX(ROW(E$2:E1753)*(E1753=E$2:E1753)))))-COUNTBLANK(OFFSET(A$1,,,SUMPRODUCT(MAX(ROW(E$1:E1752)*(E2=E$1:E1752))))))</f>
        <v> </v>
      </c>
      <c r="K1753" s="26" t="str">
        <f>IF(OR(E1753="",E1753="!!!",F1753="NEW"),"",INDEX(J$1:J1752,SUMPRODUCT(MAX(ROW(E$1:E1752)*(E1753=E$1:E1752)))))</f>
        <v> </v>
      </c>
      <c r="L1753" s="27"/>
    </row>
    <row r="1754" spans="1:12">
      <c r="A1754" s="20"/>
    </row>
    <row r="1755" spans="1:12">
      <c r="A1755" s="20" t="s">
        <v>1636</v>
      </c>
    </row>
    <row r="1756" spans="1:12">
      <c r="A1756" s="20" t="s">
        <v>1118</v>
      </c>
      <c r="B1756" s="21" t="s">
        <v>1005</v>
      </c>
      <c r="C1756" s="21" t="s">
        <v>1048</v>
      </c>
      <c r="E1756" s="22">
        <f>IF(D1756="?OLD","!!!","")</f>
        <v/>
      </c>
      <c r="F1756" s="23" t="str">
        <f>IF(OR(E1756="",E1756="!!!"),"",IF(NOT(ISNA(VLOOKUP(E1756,E$1:E1755,1,FALSE()))),"OLD",IF(AND(E1756&lt;&gt;"",E1756&lt;&gt;"!!!"),"NEW","")))</f>
        <v> </v>
      </c>
      <c r="G1756" s="24" t="str">
        <f>IF(OR(E1756="",E1756="!!!"),"",IF(OR(J1756=0,AND(J1756=1,K1756=1),AND(J1756=1,I1756="SBJ"),AND(J1756=1,I1756=0)),"?IN_FOCUS",IF(J1756&lt;=2,"?ACTIVATED",IF(J1756&lt;&gt;"","?FAMILIAR",IF(F1756="NEW",IF(ISNA(VLOOKUP(E1756,#REF!,1,FALSE())),"?TYPE_IDENTIFIABLE","?REFERENTIAL"),"_")))))</f>
        <v> </v>
      </c>
      <c r="H1756" s="25" t="str">
        <f>IF(J1756&lt;&gt;1,"",IF(I1756="SBJ","CB","?"))</f>
        <v> </v>
      </c>
      <c r="I1756" s="26" t="str">
        <f>IF(OR(E1756="",E1756="!!!",F1756="NEW"),"",INDEX(B1755:B$2,-1+SUMPRODUCT(MAX(ROW(E1755:E$2)*(E1756=E1755:E$2)))))</f>
        <v> </v>
      </c>
      <c r="J1756" s="26" t="str">
        <f>IF(OR(E1756="",E1756="!!!",F1756="NEW"),"",COUNTBLANK(OFFSET(A$1,,,SUMPRODUCT(MAX(ROW(E$2:E1756)*(E1756=E$2:E1756)))))-COUNTBLANK(OFFSET(A$1,,,SUMPRODUCT(MAX(ROW(E$1:E1755)*(E2=E$1:E1755))))))</f>
        <v> </v>
      </c>
      <c r="K1756" s="26" t="str">
        <f>IF(OR(E1756="",E1756="!!!",F1756="NEW"),"",INDEX(J$1:J1755,SUMPRODUCT(MAX(ROW(E$1:E1755)*(E1756=E$1:E1755)))))</f>
        <v> </v>
      </c>
      <c r="L1756" s="27"/>
    </row>
    <row r="1757" spans="1:12">
      <c r="A1757" s="20" t="s">
        <v>1009</v>
      </c>
      <c r="E1757" s="22">
        <f>IF(D1757="?OLD","!!!","")</f>
        <v/>
      </c>
      <c r="F1757" s="23" t="str">
        <f>IF(OR(E1757="",E1757="!!!"),"",IF(NOT(ISNA(VLOOKUP(E1757,E$1:E1756,1,FALSE()))),"OLD",IF(AND(E1757&lt;&gt;"",E1757&lt;&gt;"!!!"),"NEW","")))</f>
        <v> </v>
      </c>
      <c r="G1757" s="24" t="str">
        <f>IF(OR(E1757="",E1757="!!!"),"",IF(OR(J1757=0,AND(J1757=1,K1757=1),AND(J1757=1,I1757="SBJ"),AND(J1757=1,I1757=0)),"?IN_FOCUS",IF(J1757&lt;=2,"?ACTIVATED",IF(J1757&lt;&gt;"","?FAMILIAR",IF(F1757="NEW",IF(ISNA(VLOOKUP(E1757,#REF!,1,FALSE())),"?TYPE_IDENTIFIABLE","?REFERENTIAL"),"_")))))</f>
        <v> </v>
      </c>
      <c r="H1757" s="25" t="str">
        <f>IF(J1757&lt;&gt;1,"",IF(I1757="SBJ","CB","?"))</f>
        <v> </v>
      </c>
      <c r="I1757" s="26" t="str">
        <f>IF(OR(E1757="",E1757="!!!",F1757="NEW"),"",INDEX(B1756:B$2,-1+SUMPRODUCT(MAX(ROW(E1756:E$2)*(E1757=E1756:E$2)))))</f>
        <v> </v>
      </c>
      <c r="J1757" s="26" t="str">
        <f>IF(OR(E1757="",E1757="!!!",F1757="NEW"),"",COUNTBLANK(OFFSET(A$1,,,SUMPRODUCT(MAX(ROW(E$2:E1757)*(E1757=E$2:E1757)))))-COUNTBLANK(OFFSET(A$1,,,SUMPRODUCT(MAX(ROW(E$1:E1756)*(E2=E$1:E1756))))))</f>
        <v> </v>
      </c>
      <c r="K1757" s="26" t="str">
        <f>IF(OR(E1757="",E1757="!!!",F1757="NEW"),"",INDEX(J$1:J1756,SUMPRODUCT(MAX(ROW(E$1:E1756)*(E1757=E$1:E1756)))))</f>
        <v> </v>
      </c>
      <c r="L1757" s="27"/>
    </row>
    <row r="1758" spans="1:12">
      <c r="A1758" s="20" t="s">
        <v>1400</v>
      </c>
      <c r="E1758" s="22">
        <f>IF(D1758="?OLD","!!!","")</f>
        <v/>
      </c>
      <c r="F1758" s="23" t="str">
        <f>IF(OR(E1758="",E1758="!!!"),"",IF(NOT(ISNA(VLOOKUP(E1758,E$1:E1757,1,FALSE()))),"OLD",IF(AND(E1758&lt;&gt;"",E1758&lt;&gt;"!!!"),"NEW","")))</f>
        <v> </v>
      </c>
      <c r="G1758" s="24" t="str">
        <f>IF(OR(E1758="",E1758="!!!"),"",IF(OR(J1758=0,AND(J1758=1,K1758=1),AND(J1758=1,I1758="SBJ"),AND(J1758=1,I1758=0)),"?IN_FOCUS",IF(J1758&lt;=2,"?ACTIVATED",IF(J1758&lt;&gt;"","?FAMILIAR",IF(F1758="NEW",IF(ISNA(VLOOKUP(E1758,#REF!,1,FALSE())),"?TYPE_IDENTIFIABLE","?REFERENTIAL"),"_")))))</f>
        <v> </v>
      </c>
      <c r="H1758" s="25" t="str">
        <f>IF(J1758&lt;&gt;1,"",IF(I1758="SBJ","CB","?"))</f>
        <v> </v>
      </c>
      <c r="I1758" s="26" t="str">
        <f>IF(OR(E1758="",E1758="!!!",F1758="NEW"),"",INDEX(B1757:B$2,-1+SUMPRODUCT(MAX(ROW(E1757:E$2)*(E1758=E1757:E$2)))))</f>
        <v> </v>
      </c>
      <c r="J1758" s="26" t="str">
        <f>IF(OR(E1758="",E1758="!!!",F1758="NEW"),"",COUNTBLANK(OFFSET(A$1,,,SUMPRODUCT(MAX(ROW(E$2:E1758)*(E1758=E$2:E1758)))))-COUNTBLANK(OFFSET(A$1,,,SUMPRODUCT(MAX(ROW(E$1:E1757)*(E2=E$1:E1757))))))</f>
        <v> </v>
      </c>
      <c r="K1758" s="26" t="str">
        <f>IF(OR(E1758="",E1758="!!!",F1758="NEW"),"",INDEX(J$1:J1757,SUMPRODUCT(MAX(ROW(E$1:E1757)*(E1758=E$1:E1757)))))</f>
        <v> </v>
      </c>
      <c r="L1758" s="27"/>
    </row>
    <row r="1759" spans="1:12">
      <c r="A1759" s="20" t="s">
        <v>193</v>
      </c>
      <c r="B1759" s="21" t="s">
        <v>1119</v>
      </c>
      <c r="C1759" s="21" t="s">
        <v>1017</v>
      </c>
      <c r="D1759" s="21" t="s">
        <v>1007</v>
      </c>
      <c r="E1759" s="22">
        <f>IF(D1759="?OLD","!!!","")</f>
        <v/>
      </c>
      <c r="F1759" s="23" t="str">
        <f>IF(OR(E1759="",E1759="!!!"),"",IF(NOT(ISNA(VLOOKUP(E1759,E$1:E1758,1,FALSE()))),"OLD",IF(AND(E1759&lt;&gt;"",E1759&lt;&gt;"!!!"),"NEW","")))</f>
        <v> </v>
      </c>
      <c r="G1759" s="24" t="str">
        <f>IF(OR(E1759="",E1759="!!!"),"",IF(OR(J1759=0,AND(J1759=1,K1759=1),AND(J1759=1,I1759="SBJ"),AND(J1759=1,I1759=0)),"?IN_FOCUS",IF(J1759&lt;=2,"?ACTIVATED",IF(J1759&lt;&gt;"","?FAMILIAR",IF(F1759="NEW",IF(ISNA(VLOOKUP(E1759,#REF!,1,FALSE())),"?TYPE_IDENTIFIABLE","?REFERENTIAL"),"_")))))</f>
        <v> </v>
      </c>
      <c r="H1759" s="25" t="str">
        <f>IF(J1759&lt;&gt;1,"",IF(I1759="SBJ","CB","?"))</f>
        <v> </v>
      </c>
      <c r="I1759" s="26" t="str">
        <f>IF(OR(E1759="",E1759="!!!",F1759="NEW"),"",INDEX(B1758:B$2,-1+SUMPRODUCT(MAX(ROW(E1758:E$2)*(E1759=E1758:E$2)))))</f>
        <v> </v>
      </c>
      <c r="J1759" s="26" t="str">
        <f>IF(OR(E1759="",E1759="!!!",F1759="NEW"),"",COUNTBLANK(OFFSET(A$1,,,SUMPRODUCT(MAX(ROW(E$2:E1759)*(E1759=E$2:E1759)))))-COUNTBLANK(OFFSET(A$1,,,SUMPRODUCT(MAX(ROW(E$1:E1758)*(E2=E$1:E1758))))))</f>
        <v> </v>
      </c>
      <c r="K1759" s="26" t="str">
        <f>IF(OR(E1759="",E1759="!!!",F1759="NEW"),"",INDEX(J$1:J1758,SUMPRODUCT(MAX(ROW(E$1:E1758)*(E1759=E$1:E1758)))))</f>
        <v> </v>
      </c>
      <c r="L1759" s="27"/>
    </row>
    <row r="1760" spans="1:12">
      <c r="A1760" s="20" t="s">
        <v>1286</v>
      </c>
      <c r="E1760" s="22">
        <f>IF(D1760="?OLD","!!!","")</f>
        <v/>
      </c>
      <c r="F1760" s="23" t="str">
        <f>IF(OR(E1760="",E1760="!!!"),"",IF(NOT(ISNA(VLOOKUP(E1760,E$1:E1759,1,FALSE()))),"OLD",IF(AND(E1760&lt;&gt;"",E1760&lt;&gt;"!!!"),"NEW","")))</f>
        <v> </v>
      </c>
      <c r="G1760" s="24" t="str">
        <f>IF(OR(E1760="",E1760="!!!"),"",IF(OR(J1760=0,AND(J1760=1,K1760=1),AND(J1760=1,I1760="SBJ"),AND(J1760=1,I1760=0)),"?IN_FOCUS",IF(J1760&lt;=2,"?ACTIVATED",IF(J1760&lt;&gt;"","?FAMILIAR",IF(F1760="NEW",IF(ISNA(VLOOKUP(E1760,#REF!,1,FALSE())),"?TYPE_IDENTIFIABLE","?REFERENTIAL"),"_")))))</f>
        <v> </v>
      </c>
      <c r="H1760" s="25" t="str">
        <f>IF(J1760&lt;&gt;1,"",IF(I1760="SBJ","CB","?"))</f>
        <v> </v>
      </c>
      <c r="I1760" s="26" t="str">
        <f>IF(OR(E1760="",E1760="!!!",F1760="NEW"),"",INDEX(B1759:B$2,-1+SUMPRODUCT(MAX(ROW(E1759:E$2)*(E1760=E1759:E$2)))))</f>
        <v> </v>
      </c>
      <c r="J1760" s="26" t="str">
        <f>IF(OR(E1760="",E1760="!!!",F1760="NEW"),"",COUNTBLANK(OFFSET(A$1,,,SUMPRODUCT(MAX(ROW(E$2:E1760)*(E1760=E$2:E1760)))))-COUNTBLANK(OFFSET(A$1,,,SUMPRODUCT(MAX(ROW(E$1:E1759)*(E2=E$1:E1759))))))</f>
        <v> </v>
      </c>
      <c r="K1760" s="26" t="str">
        <f>IF(OR(E1760="",E1760="!!!",F1760="NEW"),"",INDEX(J$1:J1759,SUMPRODUCT(MAX(ROW(E$1:E1759)*(E1760=E$1:E1759)))))</f>
        <v> </v>
      </c>
      <c r="L1760" s="27"/>
    </row>
    <row r="1761" spans="1:12">
      <c r="A1761" s="20" t="s">
        <v>1576</v>
      </c>
      <c r="E1761" s="22">
        <f>IF(D1761="?OLD","!!!","")</f>
        <v/>
      </c>
      <c r="F1761" s="23" t="str">
        <f>IF(OR(E1761="",E1761="!!!"),"",IF(NOT(ISNA(VLOOKUP(E1761,E$1:E1760,1,FALSE()))),"OLD",IF(AND(E1761&lt;&gt;"",E1761&lt;&gt;"!!!"),"NEW","")))</f>
        <v> </v>
      </c>
      <c r="G1761" s="24" t="str">
        <f>IF(OR(E1761="",E1761="!!!"),"",IF(OR(J1761=0,AND(J1761=1,K1761=1),AND(J1761=1,I1761="SBJ"),AND(J1761=1,I1761=0)),"?IN_FOCUS",IF(J1761&lt;=2,"?ACTIVATED",IF(J1761&lt;&gt;"","?FAMILIAR",IF(F1761="NEW",IF(ISNA(VLOOKUP(E1761,#REF!,1,FALSE())),"?TYPE_IDENTIFIABLE","?REFERENTIAL"),"_")))))</f>
        <v> </v>
      </c>
      <c r="H1761" s="25" t="str">
        <f>IF(J1761&lt;&gt;1,"",IF(I1761="SBJ","CB","?"))</f>
        <v> </v>
      </c>
      <c r="I1761" s="26" t="str">
        <f>IF(OR(E1761="",E1761="!!!",F1761="NEW"),"",INDEX(B1760:B$2,-1+SUMPRODUCT(MAX(ROW(E1760:E$2)*(E1761=E1760:E$2)))))</f>
        <v> </v>
      </c>
      <c r="J1761" s="26" t="str">
        <f>IF(OR(E1761="",E1761="!!!",F1761="NEW"),"",COUNTBLANK(OFFSET(A$1,,,SUMPRODUCT(MAX(ROW(E$2:E1761)*(E1761=E$2:E1761)))))-COUNTBLANK(OFFSET(A$1,,,SUMPRODUCT(MAX(ROW(E$1:E1760)*(E2=E$1:E1760))))))</f>
        <v> </v>
      </c>
      <c r="K1761" s="26" t="str">
        <f>IF(OR(E1761="",E1761="!!!",F1761="NEW"),"",INDEX(J$1:J1760,SUMPRODUCT(MAX(ROW(E$1:E1760)*(E1761=E$1:E1760)))))</f>
        <v> </v>
      </c>
      <c r="L1761" s="27"/>
    </row>
    <row r="1762" spans="1:12">
      <c r="A1762" s="20" t="s">
        <v>1065</v>
      </c>
      <c r="E1762" s="22">
        <f>IF(D1762="?OLD","!!!","")</f>
        <v/>
      </c>
      <c r="F1762" s="23" t="str">
        <f>IF(OR(E1762="",E1762="!!!"),"",IF(NOT(ISNA(VLOOKUP(E1762,E$1:E1761,1,FALSE()))),"OLD",IF(AND(E1762&lt;&gt;"",E1762&lt;&gt;"!!!"),"NEW","")))</f>
        <v> </v>
      </c>
      <c r="G1762" s="24" t="str">
        <f>IF(OR(E1762="",E1762="!!!"),"",IF(OR(J1762=0,AND(J1762=1,K1762=1),AND(J1762=1,I1762="SBJ"),AND(J1762=1,I1762=0)),"?IN_FOCUS",IF(J1762&lt;=2,"?ACTIVATED",IF(J1762&lt;&gt;"","?FAMILIAR",IF(F1762="NEW",IF(ISNA(VLOOKUP(E1762,#REF!,1,FALSE())),"?TYPE_IDENTIFIABLE","?REFERENTIAL"),"_")))))</f>
        <v> </v>
      </c>
      <c r="H1762" s="25" t="str">
        <f>IF(J1762&lt;&gt;1,"",IF(I1762="SBJ","CB","?"))</f>
        <v> </v>
      </c>
      <c r="I1762" s="26" t="str">
        <f>IF(OR(E1762="",E1762="!!!",F1762="NEW"),"",INDEX(B1761:B$2,-1+SUMPRODUCT(MAX(ROW(E1761:E$2)*(E1762=E1761:E$2)))))</f>
        <v> </v>
      </c>
      <c r="J1762" s="26" t="str">
        <f>IF(OR(E1762="",E1762="!!!",F1762="NEW"),"",COUNTBLANK(OFFSET(A$1,,,SUMPRODUCT(MAX(ROW(E$2:E1762)*(E1762=E$2:E1762)))))-COUNTBLANK(OFFSET(A$1,,,SUMPRODUCT(MAX(ROW(E$1:E1761)*(E2=E$1:E1761))))))</f>
        <v> </v>
      </c>
      <c r="K1762" s="26" t="str">
        <f>IF(OR(E1762="",E1762="!!!",F1762="NEW"),"",INDEX(J$1:J1761,SUMPRODUCT(MAX(ROW(E$1:E1761)*(E1762=E$1:E1761)))))</f>
        <v> </v>
      </c>
      <c r="L1762" s="27"/>
    </row>
    <row r="1763" spans="1:12">
      <c r="A1763" s="20" t="s">
        <v>1324</v>
      </c>
      <c r="E1763" s="22">
        <f>IF(D1763="?OLD","!!!","")</f>
        <v/>
      </c>
      <c r="F1763" s="23" t="str">
        <f>IF(OR(E1763="",E1763="!!!"),"",IF(NOT(ISNA(VLOOKUP(E1763,E$1:E1762,1,FALSE()))),"OLD",IF(AND(E1763&lt;&gt;"",E1763&lt;&gt;"!!!"),"NEW","")))</f>
        <v> </v>
      </c>
      <c r="G1763" s="24" t="str">
        <f>IF(OR(E1763="",E1763="!!!"),"",IF(OR(J1763=0,AND(J1763=1,K1763=1),AND(J1763=1,I1763="SBJ"),AND(J1763=1,I1763=0)),"?IN_FOCUS",IF(J1763&lt;=2,"?ACTIVATED",IF(J1763&lt;&gt;"","?FAMILIAR",IF(F1763="NEW",IF(ISNA(VLOOKUP(E1763,#REF!,1,FALSE())),"?TYPE_IDENTIFIABLE","?REFERENTIAL"),"_")))))</f>
        <v> </v>
      </c>
      <c r="H1763" s="25" t="str">
        <f>IF(J1763&lt;&gt;1,"",IF(I1763="SBJ","CB","?"))</f>
        <v> </v>
      </c>
      <c r="I1763" s="26" t="str">
        <f>IF(OR(E1763="",E1763="!!!",F1763="NEW"),"",INDEX(B1762:B$2,-1+SUMPRODUCT(MAX(ROW(E1762:E$2)*(E1763=E1762:E$2)))))</f>
        <v> </v>
      </c>
      <c r="J1763" s="26" t="str">
        <f>IF(OR(E1763="",E1763="!!!",F1763="NEW"),"",COUNTBLANK(OFFSET(A$1,,,SUMPRODUCT(MAX(ROW(E$2:E1763)*(E1763=E$2:E1763)))))-COUNTBLANK(OFFSET(A$1,,,SUMPRODUCT(MAX(ROW(E$1:E1762)*(E2=E$1:E1762))))))</f>
        <v> </v>
      </c>
      <c r="K1763" s="26" t="str">
        <f>IF(OR(E1763="",E1763="!!!",F1763="NEW"),"",INDEX(J$1:J1762,SUMPRODUCT(MAX(ROW(E$1:E1762)*(E1763=E$1:E1762)))))</f>
        <v> </v>
      </c>
      <c r="L1763" s="27"/>
    </row>
    <row r="1764" spans="1:12">
      <c r="A1764" s="20" t="s">
        <v>227</v>
      </c>
      <c r="B1764" s="21" t="s">
        <v>1263</v>
      </c>
      <c r="C1764" s="21" t="s">
        <v>1013</v>
      </c>
      <c r="D1764" s="21" t="s">
        <v>1007</v>
      </c>
      <c r="E1764" s="22">
        <f>IF(D1764="?OLD","!!!","")</f>
        <v/>
      </c>
      <c r="F1764" s="23" t="str">
        <f>IF(OR(E1764="",E1764="!!!"),"",IF(NOT(ISNA(VLOOKUP(E1764,E$1:E1763,1,FALSE()))),"OLD",IF(AND(E1764&lt;&gt;"",E1764&lt;&gt;"!!!"),"NEW","")))</f>
        <v> </v>
      </c>
      <c r="G1764" s="24" t="str">
        <f>IF(OR(E1764="",E1764="!!!"),"",IF(OR(J1764=0,AND(J1764=1,K1764=1),AND(J1764=1,I1764="SBJ"),AND(J1764=1,I1764=0)),"?IN_FOCUS",IF(J1764&lt;=2,"?ACTIVATED",IF(J1764&lt;&gt;"","?FAMILIAR",IF(F1764="NEW",IF(ISNA(VLOOKUP(E1764,#REF!,1,FALSE())),"?TYPE_IDENTIFIABLE","?REFERENTIAL"),"_")))))</f>
        <v> </v>
      </c>
      <c r="H1764" s="25" t="str">
        <f>IF(J1764&lt;&gt;1,"",IF(I1764="SBJ","CB","?"))</f>
        <v> </v>
      </c>
      <c r="I1764" s="26" t="str">
        <f>IF(OR(E1764="",E1764="!!!",F1764="NEW"),"",INDEX(B1763:B$2,-1+SUMPRODUCT(MAX(ROW(E1763:E$2)*(E1764=E1763:E$2)))))</f>
        <v> </v>
      </c>
      <c r="J1764" s="26" t="str">
        <f>IF(OR(E1764="",E1764="!!!",F1764="NEW"),"",COUNTBLANK(OFFSET(A$1,,,SUMPRODUCT(MAX(ROW(E$2:E1764)*(E1764=E$2:E1764)))))-COUNTBLANK(OFFSET(A$1,,,SUMPRODUCT(MAX(ROW(E$1:E1763)*(E2=E$1:E1763))))))</f>
        <v> </v>
      </c>
      <c r="K1764" s="26" t="str">
        <f>IF(OR(E1764="",E1764="!!!",F1764="NEW"),"",INDEX(J$1:J1763,SUMPRODUCT(MAX(ROW(E$1:E1763)*(E1764=E$1:E1763)))))</f>
        <v> </v>
      </c>
      <c r="L1764" s="27"/>
    </row>
    <row r="1765" spans="1:12">
      <c r="A1765" s="20" t="s">
        <v>1014</v>
      </c>
      <c r="E1765" s="22">
        <f>IF(D1765="?OLD","!!!","")</f>
        <v/>
      </c>
      <c r="F1765" s="23" t="str">
        <f>IF(OR(E1765="",E1765="!!!"),"",IF(NOT(ISNA(VLOOKUP(E1765,E$1:E1764,1,FALSE()))),"OLD",IF(AND(E1765&lt;&gt;"",E1765&lt;&gt;"!!!"),"NEW","")))</f>
        <v> </v>
      </c>
      <c r="G1765" s="24" t="str">
        <f>IF(OR(E1765="",E1765="!!!"),"",IF(OR(J1765=0,AND(J1765=1,K1765=1),AND(J1765=1,I1765="SBJ"),AND(J1765=1,I1765=0)),"?IN_FOCUS",IF(J1765&lt;=2,"?ACTIVATED",IF(J1765&lt;&gt;"","?FAMILIAR",IF(F1765="NEW",IF(ISNA(VLOOKUP(E1765,#REF!,1,FALSE())),"?TYPE_IDENTIFIABLE","?REFERENTIAL"),"_")))))</f>
        <v> </v>
      </c>
      <c r="H1765" s="25" t="str">
        <f>IF(J1765&lt;&gt;1,"",IF(I1765="SBJ","CB","?"))</f>
        <v> </v>
      </c>
      <c r="I1765" s="26" t="str">
        <f>IF(OR(E1765="",E1765="!!!",F1765="NEW"),"",INDEX(B1764:B$2,-1+SUMPRODUCT(MAX(ROW(E1764:E$2)*(E1765=E1764:E$2)))))</f>
        <v> </v>
      </c>
      <c r="J1765" s="26" t="str">
        <f>IF(OR(E1765="",E1765="!!!",F1765="NEW"),"",COUNTBLANK(OFFSET(A$1,,,SUMPRODUCT(MAX(ROW(E$2:E1765)*(E1765=E$2:E1765)))))-COUNTBLANK(OFFSET(A$1,,,SUMPRODUCT(MAX(ROW(E$1:E1764)*(E2=E$1:E1764))))))</f>
        <v> </v>
      </c>
      <c r="K1765" s="26" t="str">
        <f>IF(OR(E1765="",E1765="!!!",F1765="NEW"),"",INDEX(J$1:J1764,SUMPRODUCT(MAX(ROW(E$1:E1764)*(E1765=E$1:E1764)))))</f>
        <v> </v>
      </c>
      <c r="L1765" s="27"/>
    </row>
    <row r="1766" spans="1:12">
      <c r="A1766" s="20" t="s">
        <v>1021</v>
      </c>
      <c r="B1766" s="21" t="s">
        <v>1040</v>
      </c>
      <c r="C1766" s="21" t="s">
        <v>1006</v>
      </c>
      <c r="D1766" s="21" t="s">
        <v>1007</v>
      </c>
      <c r="E1766" s="22">
        <f>IF(D1766="?OLD","!!!","")</f>
        <v/>
      </c>
      <c r="F1766" s="23" t="str">
        <f>IF(OR(E1766="",E1766="!!!"),"",IF(NOT(ISNA(VLOOKUP(E1766,E$1:E1765,1,FALSE()))),"OLD",IF(AND(E1766&lt;&gt;"",E1766&lt;&gt;"!!!"),"NEW","")))</f>
        <v> </v>
      </c>
      <c r="G1766" s="24" t="str">
        <f>IF(OR(E1766="",E1766="!!!"),"",IF(OR(J1766=0,AND(J1766=1,K1766=1),AND(J1766=1,I1766="SBJ"),AND(J1766=1,I1766=0)),"?IN_FOCUS",IF(J1766&lt;=2,"?ACTIVATED",IF(J1766&lt;&gt;"","?FAMILIAR",IF(F1766="NEW",IF(ISNA(VLOOKUP(E1766,#REF!,1,FALSE())),"?TYPE_IDENTIFIABLE","?REFERENTIAL"),"_")))))</f>
        <v> </v>
      </c>
      <c r="H1766" s="25" t="str">
        <f>IF(J1766&lt;&gt;1,"",IF(I1766="SBJ","CB","?"))</f>
        <v> </v>
      </c>
      <c r="I1766" s="26" t="str">
        <f>IF(OR(E1766="",E1766="!!!",F1766="NEW"),"",INDEX(B1765:B$2,-1+SUMPRODUCT(MAX(ROW(E1765:E$2)*(E1766=E1765:E$2)))))</f>
        <v> </v>
      </c>
      <c r="J1766" s="26" t="str">
        <f>IF(OR(E1766="",E1766="!!!",F1766="NEW"),"",COUNTBLANK(OFFSET(A$1,,,SUMPRODUCT(MAX(ROW(E$2:E1766)*(E1766=E$2:E1766)))))-COUNTBLANK(OFFSET(A$1,,,SUMPRODUCT(MAX(ROW(E$1:E1765)*(E2=E$1:E1765))))))</f>
        <v> </v>
      </c>
      <c r="K1766" s="26" t="str">
        <f>IF(OR(E1766="",E1766="!!!",F1766="NEW"),"",INDEX(J$1:J1765,SUMPRODUCT(MAX(ROW(E$1:E1765)*(E1766=E$1:E1765)))))</f>
        <v> </v>
      </c>
      <c r="L1766" s="27"/>
    </row>
    <row r="1767" spans="1:12">
      <c r="A1767" s="20" t="s">
        <v>1061</v>
      </c>
      <c r="E1767" s="22">
        <f>IF(D1767="?OLD","!!!","")</f>
        <v/>
      </c>
      <c r="F1767" s="23" t="str">
        <f>IF(OR(E1767="",E1767="!!!"),"",IF(NOT(ISNA(VLOOKUP(E1767,E$1:E1766,1,FALSE()))),"OLD",IF(AND(E1767&lt;&gt;"",E1767&lt;&gt;"!!!"),"NEW","")))</f>
        <v> </v>
      </c>
      <c r="G1767" s="24" t="str">
        <f>IF(OR(E1767="",E1767="!!!"),"",IF(OR(J1767=0,AND(J1767=1,K1767=1),AND(J1767=1,I1767="SBJ"),AND(J1767=1,I1767=0)),"?IN_FOCUS",IF(J1767&lt;=2,"?ACTIVATED",IF(J1767&lt;&gt;"","?FAMILIAR",IF(F1767="NEW",IF(ISNA(VLOOKUP(E1767,#REF!,1,FALSE())),"?TYPE_IDENTIFIABLE","?REFERENTIAL"),"_")))))</f>
        <v> </v>
      </c>
      <c r="H1767" s="25" t="str">
        <f>IF(J1767&lt;&gt;1,"",IF(I1767="SBJ","CB","?"))</f>
        <v> </v>
      </c>
      <c r="I1767" s="26" t="str">
        <f>IF(OR(E1767="",E1767="!!!",F1767="NEW"),"",INDEX(B1766:B$2,-1+SUMPRODUCT(MAX(ROW(E1766:E$2)*(E1767=E1766:E$2)))))</f>
        <v> </v>
      </c>
      <c r="J1767" s="26" t="str">
        <f>IF(OR(E1767="",E1767="!!!",F1767="NEW"),"",COUNTBLANK(OFFSET(A$1,,,SUMPRODUCT(MAX(ROW(E$2:E1767)*(E1767=E$2:E1767)))))-COUNTBLANK(OFFSET(A$1,,,SUMPRODUCT(MAX(ROW(E$1:E1766)*(E2=E$1:E1766))))))</f>
        <v> </v>
      </c>
      <c r="K1767" s="26" t="str">
        <f>IF(OR(E1767="",E1767="!!!",F1767="NEW"),"",INDEX(J$1:J1766,SUMPRODUCT(MAX(ROW(E$1:E1766)*(E1767=E$1:E1766)))))</f>
        <v> </v>
      </c>
      <c r="L1767" s="27"/>
    </row>
    <row r="1768" spans="1:12">
      <c r="A1768" s="20" t="s">
        <v>110</v>
      </c>
      <c r="E1768" s="22">
        <f>IF(D1768="?OLD","!!!","")</f>
        <v/>
      </c>
      <c r="F1768" s="23" t="str">
        <f>IF(OR(E1768="",E1768="!!!"),"",IF(NOT(ISNA(VLOOKUP(E1768,E$1:E1767,1,FALSE()))),"OLD",IF(AND(E1768&lt;&gt;"",E1768&lt;&gt;"!!!"),"NEW","")))</f>
        <v> </v>
      </c>
      <c r="G1768" s="24" t="str">
        <f>IF(OR(E1768="",E1768="!!!"),"",IF(OR(J1768=0,AND(J1768=1,K1768=1),AND(J1768=1,I1768="SBJ"),AND(J1768=1,I1768=0)),"?IN_FOCUS",IF(J1768&lt;=2,"?ACTIVATED",IF(J1768&lt;&gt;"","?FAMILIAR",IF(F1768="NEW",IF(ISNA(VLOOKUP(E1768,#REF!,1,FALSE())),"?TYPE_IDENTIFIABLE","?REFERENTIAL"),"_")))))</f>
        <v> </v>
      </c>
      <c r="H1768" s="25" t="str">
        <f>IF(J1768&lt;&gt;1,"",IF(I1768="SBJ","CB","?"))</f>
        <v> </v>
      </c>
      <c r="I1768" s="26" t="str">
        <f>IF(OR(E1768="",E1768="!!!",F1768="NEW"),"",INDEX(B1767:B$2,-1+SUMPRODUCT(MAX(ROW(E1767:E$2)*(E1768=E1767:E$2)))))</f>
        <v> </v>
      </c>
      <c r="J1768" s="26" t="str">
        <f>IF(OR(E1768="",E1768="!!!",F1768="NEW"),"",COUNTBLANK(OFFSET(A$1,,,SUMPRODUCT(MAX(ROW(E$2:E1768)*(E1768=E$2:E1768)))))-COUNTBLANK(OFFSET(A$1,,,SUMPRODUCT(MAX(ROW(E$1:E1767)*(E2=E$1:E1767))))))</f>
        <v> </v>
      </c>
      <c r="K1768" s="26" t="str">
        <f>IF(OR(E1768="",E1768="!!!",F1768="NEW"),"",INDEX(J$1:J1767,SUMPRODUCT(MAX(ROW(E$1:E1767)*(E1768=E$1:E1767)))))</f>
        <v> </v>
      </c>
      <c r="L1768" s="27"/>
    </row>
    <row r="1769" spans="1:12">
      <c r="A1769" s="20" t="s">
        <v>1637</v>
      </c>
      <c r="E1769" s="22">
        <f>IF(D1769="?OLD","!!!","")</f>
        <v/>
      </c>
      <c r="F1769" s="23" t="str">
        <f>IF(OR(E1769="",E1769="!!!"),"",IF(NOT(ISNA(VLOOKUP(E1769,E$1:E1768,1,FALSE()))),"OLD",IF(AND(E1769&lt;&gt;"",E1769&lt;&gt;"!!!"),"NEW","")))</f>
        <v> </v>
      </c>
      <c r="G1769" s="24" t="str">
        <f>IF(OR(E1769="",E1769="!!!"),"",IF(OR(J1769=0,AND(J1769=1,K1769=1),AND(J1769=1,I1769="SBJ"),AND(J1769=1,I1769=0)),"?IN_FOCUS",IF(J1769&lt;=2,"?ACTIVATED",IF(J1769&lt;&gt;"","?FAMILIAR",IF(F1769="NEW",IF(ISNA(VLOOKUP(E1769,#REF!,1,FALSE())),"?TYPE_IDENTIFIABLE","?REFERENTIAL"),"_")))))</f>
        <v> </v>
      </c>
      <c r="H1769" s="25" t="str">
        <f>IF(J1769&lt;&gt;1,"",IF(I1769="SBJ","CB","?"))</f>
        <v> </v>
      </c>
      <c r="I1769" s="26" t="str">
        <f>IF(OR(E1769="",E1769="!!!",F1769="NEW"),"",INDEX(B1768:B$2,-1+SUMPRODUCT(MAX(ROW(E1768:E$2)*(E1769=E1768:E$2)))))</f>
        <v> </v>
      </c>
      <c r="J1769" s="26" t="str">
        <f>IF(OR(E1769="",E1769="!!!",F1769="NEW"),"",COUNTBLANK(OFFSET(A$1,,,SUMPRODUCT(MAX(ROW(E$2:E1769)*(E1769=E$2:E1769)))))-COUNTBLANK(OFFSET(A$1,,,SUMPRODUCT(MAX(ROW(E$1:E1768)*(E2=E$1:E1768))))))</f>
        <v> </v>
      </c>
      <c r="K1769" s="26" t="str">
        <f>IF(OR(E1769="",E1769="!!!",F1769="NEW"),"",INDEX(J$1:J1768,SUMPRODUCT(MAX(ROW(E$1:E1768)*(E1769=E$1:E1768)))))</f>
        <v> </v>
      </c>
      <c r="L1769" s="27"/>
    </row>
    <row r="1770" spans="1:12">
      <c r="A1770" s="20" t="s">
        <v>1018</v>
      </c>
      <c r="E1770" s="22">
        <f>IF(D1770="?OLD","!!!","")</f>
        <v/>
      </c>
      <c r="F1770" s="23" t="str">
        <f>IF(OR(E1770="",E1770="!!!"),"",IF(NOT(ISNA(VLOOKUP(E1770,E$1:E1769,1,FALSE()))),"OLD",IF(AND(E1770&lt;&gt;"",E1770&lt;&gt;"!!!"),"NEW","")))</f>
        <v> </v>
      </c>
      <c r="G1770" s="24" t="str">
        <f>IF(OR(E1770="",E1770="!!!"),"",IF(OR(J1770=0,AND(J1770=1,K1770=1),AND(J1770=1,I1770="SBJ"),AND(J1770=1,I1770=0)),"?IN_FOCUS",IF(J1770&lt;=2,"?ACTIVATED",IF(J1770&lt;&gt;"","?FAMILIAR",IF(F1770="NEW",IF(ISNA(VLOOKUP(E1770,#REF!,1,FALSE())),"?TYPE_IDENTIFIABLE","?REFERENTIAL"),"_")))))</f>
        <v> </v>
      </c>
      <c r="H1770" s="25" t="str">
        <f>IF(J1770&lt;&gt;1,"",IF(I1770="SBJ","CB","?"))</f>
        <v> </v>
      </c>
      <c r="I1770" s="26" t="str">
        <f>IF(OR(E1770="",E1770="!!!",F1770="NEW"),"",INDEX(B1769:B$2,-1+SUMPRODUCT(MAX(ROW(E1769:E$2)*(E1770=E1769:E$2)))))</f>
        <v> </v>
      </c>
      <c r="J1770" s="26" t="str">
        <f>IF(OR(E1770="",E1770="!!!",F1770="NEW"),"",COUNTBLANK(OFFSET(A$1,,,SUMPRODUCT(MAX(ROW(E$2:E1770)*(E1770=E$2:E1770)))))-COUNTBLANK(OFFSET(A$1,,,SUMPRODUCT(MAX(ROW(E$1:E1769)*(E2=E$1:E1769))))))</f>
        <v> </v>
      </c>
      <c r="K1770" s="26" t="str">
        <f>IF(OR(E1770="",E1770="!!!",F1770="NEW"),"",INDEX(J$1:J1769,SUMPRODUCT(MAX(ROW(E$1:E1769)*(E1770=E$1:E1769)))))</f>
        <v> </v>
      </c>
      <c r="L1770" s="27"/>
    </row>
    <row r="1771" spans="1:12">
      <c r="A1771" s="20" t="s">
        <v>1030</v>
      </c>
      <c r="E1771" s="22">
        <f>IF(D1771="?OLD","!!!","")</f>
        <v/>
      </c>
      <c r="F1771" s="23" t="str">
        <f>IF(OR(E1771="",E1771="!!!"),"",IF(NOT(ISNA(VLOOKUP(E1771,E$1:E1770,1,FALSE()))),"OLD",IF(AND(E1771&lt;&gt;"",E1771&lt;&gt;"!!!"),"NEW","")))</f>
        <v> </v>
      </c>
      <c r="G1771" s="24" t="str">
        <f>IF(OR(E1771="",E1771="!!!"),"",IF(OR(J1771=0,AND(J1771=1,K1771=1),AND(J1771=1,I1771="SBJ"),AND(J1771=1,I1771=0)),"?IN_FOCUS",IF(J1771&lt;=2,"?ACTIVATED",IF(J1771&lt;&gt;"","?FAMILIAR",IF(F1771="NEW",IF(ISNA(VLOOKUP(E1771,#REF!,1,FALSE())),"?TYPE_IDENTIFIABLE","?REFERENTIAL"),"_")))))</f>
        <v> </v>
      </c>
      <c r="H1771" s="25" t="str">
        <f>IF(J1771&lt;&gt;1,"",IF(I1771="SBJ","CB","?"))</f>
        <v> </v>
      </c>
      <c r="I1771" s="26" t="str">
        <f>IF(OR(E1771="",E1771="!!!",F1771="NEW"),"",INDEX(B1770:B$2,-1+SUMPRODUCT(MAX(ROW(E1770:E$2)*(E1771=E1770:E$2)))))</f>
        <v> </v>
      </c>
      <c r="J1771" s="26" t="str">
        <f>IF(OR(E1771="",E1771="!!!",F1771="NEW"),"",COUNTBLANK(OFFSET(A$1,,,SUMPRODUCT(MAX(ROW(E$2:E1771)*(E1771=E$2:E1771)))))-COUNTBLANK(OFFSET(A$1,,,SUMPRODUCT(MAX(ROW(E$1:E1770)*(E2=E$1:E1770))))))</f>
        <v> </v>
      </c>
      <c r="K1771" s="26" t="str">
        <f>IF(OR(E1771="",E1771="!!!",F1771="NEW"),"",INDEX(J$1:J1770,SUMPRODUCT(MAX(ROW(E$1:E1770)*(E1771=E$1:E1770)))))</f>
        <v> </v>
      </c>
      <c r="L1771" s="27"/>
    </row>
    <row r="1772" spans="1:12">
      <c r="A1772" s="20" t="s">
        <v>1020</v>
      </c>
      <c r="E1772" s="22">
        <f>IF(D1772="?OLD","!!!","")</f>
        <v/>
      </c>
      <c r="F1772" s="23" t="str">
        <f>IF(OR(E1772="",E1772="!!!"),"",IF(NOT(ISNA(VLOOKUP(E1772,E$1:E1771,1,FALSE()))),"OLD",IF(AND(E1772&lt;&gt;"",E1772&lt;&gt;"!!!"),"NEW","")))</f>
        <v> </v>
      </c>
      <c r="G1772" s="24" t="str">
        <f>IF(OR(E1772="",E1772="!!!"),"",IF(OR(J1772=0,AND(J1772=1,K1772=1),AND(J1772=1,I1772="SBJ"),AND(J1772=1,I1772=0)),"?IN_FOCUS",IF(J1772&lt;=2,"?ACTIVATED",IF(J1772&lt;&gt;"","?FAMILIAR",IF(F1772="NEW",IF(ISNA(VLOOKUP(E1772,#REF!,1,FALSE())),"?TYPE_IDENTIFIABLE","?REFERENTIAL"),"_")))))</f>
        <v> </v>
      </c>
      <c r="H1772" s="25" t="str">
        <f>IF(J1772&lt;&gt;1,"",IF(I1772="SBJ","CB","?"))</f>
        <v> </v>
      </c>
      <c r="I1772" s="26" t="str">
        <f>IF(OR(E1772="",E1772="!!!",F1772="NEW"),"",INDEX(B1771:B$2,-1+SUMPRODUCT(MAX(ROW(E1771:E$2)*(E1772=E1771:E$2)))))</f>
        <v> </v>
      </c>
      <c r="J1772" s="26" t="str">
        <f>IF(OR(E1772="",E1772="!!!",F1772="NEW"),"",COUNTBLANK(OFFSET(A$1,,,SUMPRODUCT(MAX(ROW(E$2:E1772)*(E1772=E$2:E1772)))))-COUNTBLANK(OFFSET(A$1,,,SUMPRODUCT(MAX(ROW(E$1:E1771)*(E2=E$1:E1771))))))</f>
        <v> </v>
      </c>
      <c r="K1772" s="26" t="str">
        <f>IF(OR(E1772="",E1772="!!!",F1772="NEW"),"",INDEX(J$1:J1771,SUMPRODUCT(MAX(ROW(E$1:E1771)*(E1772=E$1:E1771)))))</f>
        <v> </v>
      </c>
      <c r="L1772" s="27"/>
    </row>
    <row r="1773" spans="1:12">
      <c r="A1773" s="20" t="s">
        <v>1638</v>
      </c>
      <c r="B1773" s="21" t="s">
        <v>1130</v>
      </c>
      <c r="C1773" s="21" t="s">
        <v>1006</v>
      </c>
      <c r="D1773" s="21" t="s">
        <v>1007</v>
      </c>
      <c r="E1773" s="22">
        <f>IF(D1773="?OLD","!!!","")</f>
        <v/>
      </c>
      <c r="F1773" s="23" t="str">
        <f>IF(OR(E1773="",E1773="!!!"),"",IF(NOT(ISNA(VLOOKUP(E1773,E$1:E1772,1,FALSE()))),"OLD",IF(AND(E1773&lt;&gt;"",E1773&lt;&gt;"!!!"),"NEW","")))</f>
        <v> </v>
      </c>
      <c r="G1773" s="24" t="str">
        <f>IF(OR(E1773="",E1773="!!!"),"",IF(OR(J1773=0,AND(J1773=1,K1773=1),AND(J1773=1,I1773="SBJ"),AND(J1773=1,I1773=0)),"?IN_FOCUS",IF(J1773&lt;=2,"?ACTIVATED",IF(J1773&lt;&gt;"","?FAMILIAR",IF(F1773="NEW",IF(ISNA(VLOOKUP(E1773,#REF!,1,FALSE())),"?TYPE_IDENTIFIABLE","?REFERENTIAL"),"_")))))</f>
        <v> </v>
      </c>
      <c r="H1773" s="25" t="str">
        <f>IF(J1773&lt;&gt;1,"",IF(I1773="SBJ","CB","?"))</f>
        <v> </v>
      </c>
      <c r="I1773" s="26" t="str">
        <f>IF(OR(E1773="",E1773="!!!",F1773="NEW"),"",INDEX(B1772:B$2,-1+SUMPRODUCT(MAX(ROW(E1772:E$2)*(E1773=E1772:E$2)))))</f>
        <v> </v>
      </c>
      <c r="J1773" s="26" t="str">
        <f>IF(OR(E1773="",E1773="!!!",F1773="NEW"),"",COUNTBLANK(OFFSET(A$1,,,SUMPRODUCT(MAX(ROW(E$2:E1773)*(E1773=E$2:E1773)))))-COUNTBLANK(OFFSET(A$1,,,SUMPRODUCT(MAX(ROW(E$1:E1772)*(E2=E$1:E1772))))))</f>
        <v> </v>
      </c>
      <c r="K1773" s="26" t="str">
        <f>IF(OR(E1773="",E1773="!!!",F1773="NEW"),"",INDEX(J$1:J1772,SUMPRODUCT(MAX(ROW(E$1:E1772)*(E1773=E$1:E1772)))))</f>
        <v> </v>
      </c>
      <c r="L1773" s="27"/>
    </row>
    <row r="1774" spans="1:12">
      <c r="A1774" s="20" t="s">
        <v>1018</v>
      </c>
      <c r="E1774" s="22">
        <f>IF(D1774="?OLD","!!!","")</f>
        <v/>
      </c>
      <c r="F1774" s="23" t="str">
        <f>IF(OR(E1774="",E1774="!!!"),"",IF(NOT(ISNA(VLOOKUP(E1774,E$1:E1773,1,FALSE()))),"OLD",IF(AND(E1774&lt;&gt;"",E1774&lt;&gt;"!!!"),"NEW","")))</f>
        <v> </v>
      </c>
      <c r="G1774" s="24" t="str">
        <f>IF(OR(E1774="",E1774="!!!"),"",IF(OR(J1774=0,AND(J1774=1,K1774=1),AND(J1774=1,I1774="SBJ"),AND(J1774=1,I1774=0)),"?IN_FOCUS",IF(J1774&lt;=2,"?ACTIVATED",IF(J1774&lt;&gt;"","?FAMILIAR",IF(F1774="NEW",IF(ISNA(VLOOKUP(E1774,#REF!,1,FALSE())),"?TYPE_IDENTIFIABLE","?REFERENTIAL"),"_")))))</f>
        <v> </v>
      </c>
      <c r="H1774" s="25" t="str">
        <f>IF(J1774&lt;&gt;1,"",IF(I1774="SBJ","CB","?"))</f>
        <v> </v>
      </c>
      <c r="I1774" s="26" t="str">
        <f>IF(OR(E1774="",E1774="!!!",F1774="NEW"),"",INDEX(B1773:B$2,-1+SUMPRODUCT(MAX(ROW(E1773:E$2)*(E1774=E1773:E$2)))))</f>
        <v> </v>
      </c>
      <c r="J1774" s="26" t="str">
        <f>IF(OR(E1774="",E1774="!!!",F1774="NEW"),"",COUNTBLANK(OFFSET(A$1,,,SUMPRODUCT(MAX(ROW(E$2:E1774)*(E1774=E$2:E1774)))))-COUNTBLANK(OFFSET(A$1,,,SUMPRODUCT(MAX(ROW(E$1:E1773)*(E2=E$1:E1773))))))</f>
        <v> </v>
      </c>
      <c r="K1774" s="26" t="str">
        <f>IF(OR(E1774="",E1774="!!!",F1774="NEW"),"",INDEX(J$1:J1773,SUMPRODUCT(MAX(ROW(E$1:E1773)*(E1774=E$1:E1773)))))</f>
        <v> </v>
      </c>
      <c r="L1774" s="27"/>
    </row>
    <row r="1775" spans="1:12">
      <c r="A1775" s="20" t="s">
        <v>1030</v>
      </c>
      <c r="E1775" s="22">
        <f>IF(D1775="?OLD","!!!","")</f>
        <v/>
      </c>
      <c r="F1775" s="23" t="str">
        <f>IF(OR(E1775="",E1775="!!!"),"",IF(NOT(ISNA(VLOOKUP(E1775,E$1:E1774,1,FALSE()))),"OLD",IF(AND(E1775&lt;&gt;"",E1775&lt;&gt;"!!!"),"NEW","")))</f>
        <v> </v>
      </c>
      <c r="G1775" s="24" t="str">
        <f>IF(OR(E1775="",E1775="!!!"),"",IF(OR(J1775=0,AND(J1775=1,K1775=1),AND(J1775=1,I1775="SBJ"),AND(J1775=1,I1775=0)),"?IN_FOCUS",IF(J1775&lt;=2,"?ACTIVATED",IF(J1775&lt;&gt;"","?FAMILIAR",IF(F1775="NEW",IF(ISNA(VLOOKUP(E1775,#REF!,1,FALSE())),"?TYPE_IDENTIFIABLE","?REFERENTIAL"),"_")))))</f>
        <v> </v>
      </c>
      <c r="H1775" s="25" t="str">
        <f>IF(J1775&lt;&gt;1,"",IF(I1775="SBJ","CB","?"))</f>
        <v> </v>
      </c>
      <c r="I1775" s="26" t="str">
        <f>IF(OR(E1775="",E1775="!!!",F1775="NEW"),"",INDEX(B1774:B$2,-1+SUMPRODUCT(MAX(ROW(E1774:E$2)*(E1775=E1774:E$2)))))</f>
        <v> </v>
      </c>
      <c r="J1775" s="26" t="str">
        <f>IF(OR(E1775="",E1775="!!!",F1775="NEW"),"",COUNTBLANK(OFFSET(A$1,,,SUMPRODUCT(MAX(ROW(E$2:E1775)*(E1775=E$2:E1775)))))-COUNTBLANK(OFFSET(A$1,,,SUMPRODUCT(MAX(ROW(E$1:E1774)*(E2=E$1:E1774))))))</f>
        <v> </v>
      </c>
      <c r="K1775" s="26" t="str">
        <f>IF(OR(E1775="",E1775="!!!",F1775="NEW"),"",INDEX(J$1:J1774,SUMPRODUCT(MAX(ROW(E$1:E1774)*(E1775=E$1:E1774)))))</f>
        <v> </v>
      </c>
      <c r="L1775" s="27"/>
    </row>
    <row r="1776" spans="1:12">
      <c r="A1776" s="20" t="s">
        <v>1122</v>
      </c>
      <c r="E1776" s="22">
        <f>IF(D1776="?OLD","!!!","")</f>
        <v/>
      </c>
      <c r="F1776" s="23" t="str">
        <f>IF(OR(E1776="",E1776="!!!"),"",IF(NOT(ISNA(VLOOKUP(E1776,E$1:E1775,1,FALSE()))),"OLD",IF(AND(E1776&lt;&gt;"",E1776&lt;&gt;"!!!"),"NEW","")))</f>
        <v> </v>
      </c>
      <c r="G1776" s="24" t="str">
        <f>IF(OR(E1776="",E1776="!!!"),"",IF(OR(J1776=0,AND(J1776=1,K1776=1),AND(J1776=1,I1776="SBJ"),AND(J1776=1,I1776=0)),"?IN_FOCUS",IF(J1776&lt;=2,"?ACTIVATED",IF(J1776&lt;&gt;"","?FAMILIAR",IF(F1776="NEW",IF(ISNA(VLOOKUP(E1776,#REF!,1,FALSE())),"?TYPE_IDENTIFIABLE","?REFERENTIAL"),"_")))))</f>
        <v> </v>
      </c>
      <c r="H1776" s="25" t="str">
        <f>IF(J1776&lt;&gt;1,"",IF(I1776="SBJ","CB","?"))</f>
        <v> </v>
      </c>
      <c r="I1776" s="26" t="str">
        <f>IF(OR(E1776="",E1776="!!!",F1776="NEW"),"",INDEX(B1775:B$2,-1+SUMPRODUCT(MAX(ROW(E1775:E$2)*(E1776=E1775:E$2)))))</f>
        <v> </v>
      </c>
      <c r="J1776" s="26" t="str">
        <f>IF(OR(E1776="",E1776="!!!",F1776="NEW"),"",COUNTBLANK(OFFSET(A$1,,,SUMPRODUCT(MAX(ROW(E$2:E1776)*(E1776=E$2:E1776)))))-COUNTBLANK(OFFSET(A$1,,,SUMPRODUCT(MAX(ROW(E$1:E1775)*(E2=E$1:E1775))))))</f>
        <v> </v>
      </c>
      <c r="K1776" s="26" t="str">
        <f>IF(OR(E1776="",E1776="!!!",F1776="NEW"),"",INDEX(J$1:J1775,SUMPRODUCT(MAX(ROW(E$1:E1775)*(E1776=E$1:E1775)))))</f>
        <v> </v>
      </c>
      <c r="L1776" s="27"/>
    </row>
    <row r="1777" spans="1:12">
      <c r="A1777" s="20" t="s">
        <v>1250</v>
      </c>
      <c r="E1777" s="22">
        <f>IF(D1777="?OLD","!!!","")</f>
        <v/>
      </c>
      <c r="F1777" s="23" t="str">
        <f>IF(OR(E1777="",E1777="!!!"),"",IF(NOT(ISNA(VLOOKUP(E1777,E$1:E1776,1,FALSE()))),"OLD",IF(AND(E1777&lt;&gt;"",E1777&lt;&gt;"!!!"),"NEW","")))</f>
        <v> </v>
      </c>
      <c r="G1777" s="24" t="str">
        <f>IF(OR(E1777="",E1777="!!!"),"",IF(OR(J1777=0,AND(J1777=1,K1777=1),AND(J1777=1,I1777="SBJ"),AND(J1777=1,I1777=0)),"?IN_FOCUS",IF(J1777&lt;=2,"?ACTIVATED",IF(J1777&lt;&gt;"","?FAMILIAR",IF(F1777="NEW",IF(ISNA(VLOOKUP(E1777,#REF!,1,FALSE())),"?TYPE_IDENTIFIABLE","?REFERENTIAL"),"_")))))</f>
        <v> </v>
      </c>
      <c r="H1777" s="25" t="str">
        <f>IF(J1777&lt;&gt;1,"",IF(I1777="SBJ","CB","?"))</f>
        <v> </v>
      </c>
      <c r="I1777" s="26" t="str">
        <f>IF(OR(E1777="",E1777="!!!",F1777="NEW"),"",INDEX(B1776:B$2,-1+SUMPRODUCT(MAX(ROW(E1776:E$2)*(E1777=E1776:E$2)))))</f>
        <v> </v>
      </c>
      <c r="J1777" s="26" t="str">
        <f>IF(OR(E1777="",E1777="!!!",F1777="NEW"),"",COUNTBLANK(OFFSET(A$1,,,SUMPRODUCT(MAX(ROW(E$2:E1777)*(E1777=E$2:E1777)))))-COUNTBLANK(OFFSET(A$1,,,SUMPRODUCT(MAX(ROW(E$1:E1776)*(E2=E$1:E1776))))))</f>
        <v> </v>
      </c>
      <c r="K1777" s="26" t="str">
        <f>IF(OR(E1777="",E1777="!!!",F1777="NEW"),"",INDEX(J$1:J1776,SUMPRODUCT(MAX(ROW(E$1:E1776)*(E1777=E$1:E1776)))))</f>
        <v> </v>
      </c>
      <c r="L1777" s="27"/>
    </row>
    <row r="1778" spans="1:12">
      <c r="A1778" s="20" t="s">
        <v>1639</v>
      </c>
      <c r="B1778" s="21" t="s">
        <v>1130</v>
      </c>
      <c r="C1778" s="21" t="s">
        <v>1041</v>
      </c>
      <c r="D1778" s="21" t="s">
        <v>1007</v>
      </c>
      <c r="E1778" s="22">
        <f>IF(D1778="?OLD","!!!","")</f>
        <v/>
      </c>
      <c r="F1778" s="23" t="str">
        <f>IF(OR(E1778="",E1778="!!!"),"",IF(NOT(ISNA(VLOOKUP(E1778,E$1:E1777,1,FALSE()))),"OLD",IF(AND(E1778&lt;&gt;"",E1778&lt;&gt;"!!!"),"NEW","")))</f>
        <v> </v>
      </c>
      <c r="G1778" s="24" t="str">
        <f>IF(OR(E1778="",E1778="!!!"),"",IF(OR(J1778=0,AND(J1778=1,K1778=1),AND(J1778=1,I1778="SBJ"),AND(J1778=1,I1778=0)),"?IN_FOCUS",IF(J1778&lt;=2,"?ACTIVATED",IF(J1778&lt;&gt;"","?FAMILIAR",IF(F1778="NEW",IF(ISNA(VLOOKUP(E1778,#REF!,1,FALSE())),"?TYPE_IDENTIFIABLE","?REFERENTIAL"),"_")))))</f>
        <v> </v>
      </c>
      <c r="H1778" s="25" t="str">
        <f>IF(J1778&lt;&gt;1,"",IF(I1778="SBJ","CB","?"))</f>
        <v> </v>
      </c>
      <c r="I1778" s="26" t="str">
        <f>IF(OR(E1778="",E1778="!!!",F1778="NEW"),"",INDEX(B1777:B$2,-1+SUMPRODUCT(MAX(ROW(E1777:E$2)*(E1778=E1777:E$2)))))</f>
        <v> </v>
      </c>
      <c r="J1778" s="26" t="str">
        <f>IF(OR(E1778="",E1778="!!!",F1778="NEW"),"",COUNTBLANK(OFFSET(A$1,,,SUMPRODUCT(MAX(ROW(E$2:E1778)*(E1778=E$2:E1778)))))-COUNTBLANK(OFFSET(A$1,,,SUMPRODUCT(MAX(ROW(E$1:E1777)*(E2=E$1:E1777))))))</f>
        <v> </v>
      </c>
      <c r="K1778" s="26" t="str">
        <f>IF(OR(E1778="",E1778="!!!",F1778="NEW"),"",INDEX(J$1:J1777,SUMPRODUCT(MAX(ROW(E$1:E1777)*(E1778=E$1:E1777)))))</f>
        <v> </v>
      </c>
      <c r="L1778" s="27"/>
    </row>
    <row r="1779" spans="1:12">
      <c r="A1779" s="20" t="s">
        <v>1018</v>
      </c>
      <c r="E1779" s="22">
        <f>IF(D1779="?OLD","!!!","")</f>
        <v/>
      </c>
      <c r="F1779" s="23" t="str">
        <f>IF(OR(E1779="",E1779="!!!"),"",IF(NOT(ISNA(VLOOKUP(E1779,E$1:E1778,1,FALSE()))),"OLD",IF(AND(E1779&lt;&gt;"",E1779&lt;&gt;"!!!"),"NEW","")))</f>
        <v> </v>
      </c>
      <c r="G1779" s="24" t="str">
        <f>IF(OR(E1779="",E1779="!!!"),"",IF(OR(J1779=0,AND(J1779=1,K1779=1),AND(J1779=1,I1779="SBJ"),AND(J1779=1,I1779=0)),"?IN_FOCUS",IF(J1779&lt;=2,"?ACTIVATED",IF(J1779&lt;&gt;"","?FAMILIAR",IF(F1779="NEW",IF(ISNA(VLOOKUP(E1779,#REF!,1,FALSE())),"?TYPE_IDENTIFIABLE","?REFERENTIAL"),"_")))))</f>
        <v> </v>
      </c>
      <c r="H1779" s="25" t="str">
        <f>IF(J1779&lt;&gt;1,"",IF(I1779="SBJ","CB","?"))</f>
        <v> </v>
      </c>
      <c r="I1779" s="26" t="str">
        <f>IF(OR(E1779="",E1779="!!!",F1779="NEW"),"",INDEX(B1778:B$2,-1+SUMPRODUCT(MAX(ROW(E1778:E$2)*(E1779=E1778:E$2)))))</f>
        <v> </v>
      </c>
      <c r="J1779" s="26" t="str">
        <f>IF(OR(E1779="",E1779="!!!",F1779="NEW"),"",COUNTBLANK(OFFSET(A$1,,,SUMPRODUCT(MAX(ROW(E$2:E1779)*(E1779=E$2:E1779)))))-COUNTBLANK(OFFSET(A$1,,,SUMPRODUCT(MAX(ROW(E$1:E1778)*(E2=E$1:E1778))))))</f>
        <v> </v>
      </c>
      <c r="K1779" s="26" t="str">
        <f>IF(OR(E1779="",E1779="!!!",F1779="NEW"),"",INDEX(J$1:J1778,SUMPRODUCT(MAX(ROW(E$1:E1778)*(E1779=E$1:E1778)))))</f>
        <v> </v>
      </c>
      <c r="L1779" s="27"/>
    </row>
    <row r="1780" spans="1:12">
      <c r="A1780" s="20" t="s">
        <v>1266</v>
      </c>
      <c r="E1780" s="22">
        <f>IF(D1780="?OLD","!!!","")</f>
        <v/>
      </c>
      <c r="F1780" s="23" t="str">
        <f>IF(OR(E1780="",E1780="!!!"),"",IF(NOT(ISNA(VLOOKUP(E1780,E$1:E1779,1,FALSE()))),"OLD",IF(AND(E1780&lt;&gt;"",E1780&lt;&gt;"!!!"),"NEW","")))</f>
        <v> </v>
      </c>
      <c r="G1780" s="24" t="str">
        <f>IF(OR(E1780="",E1780="!!!"),"",IF(OR(J1780=0,AND(J1780=1,K1780=1),AND(J1780=1,I1780="SBJ"),AND(J1780=1,I1780=0)),"?IN_FOCUS",IF(J1780&lt;=2,"?ACTIVATED",IF(J1780&lt;&gt;"","?FAMILIAR",IF(F1780="NEW",IF(ISNA(VLOOKUP(E1780,#REF!,1,FALSE())),"?TYPE_IDENTIFIABLE","?REFERENTIAL"),"_")))))</f>
        <v> </v>
      </c>
      <c r="H1780" s="25" t="str">
        <f>IF(J1780&lt;&gt;1,"",IF(I1780="SBJ","CB","?"))</f>
        <v> </v>
      </c>
      <c r="I1780" s="26" t="str">
        <f>IF(OR(E1780="",E1780="!!!",F1780="NEW"),"",INDEX(B1779:B$2,-1+SUMPRODUCT(MAX(ROW(E1779:E$2)*(E1780=E1779:E$2)))))</f>
        <v> </v>
      </c>
      <c r="J1780" s="26" t="str">
        <f>IF(OR(E1780="",E1780="!!!",F1780="NEW"),"",COUNTBLANK(OFFSET(A$1,,,SUMPRODUCT(MAX(ROW(E$2:E1780)*(E1780=E$2:E1780)))))-COUNTBLANK(OFFSET(A$1,,,SUMPRODUCT(MAX(ROW(E$1:E1779)*(E2=E$1:E1779))))))</f>
        <v> </v>
      </c>
      <c r="K1780" s="26" t="str">
        <f>IF(OR(E1780="",E1780="!!!",F1780="NEW"),"",INDEX(J$1:J1779,SUMPRODUCT(MAX(ROW(E$1:E1779)*(E1780=E$1:E1779)))))</f>
        <v> </v>
      </c>
      <c r="L1780" s="27"/>
    </row>
    <row r="1781" spans="1:12">
      <c r="A1781" s="20" t="s">
        <v>98</v>
      </c>
      <c r="E1781" s="22">
        <f>IF(D1781="?OLD","!!!","")</f>
        <v/>
      </c>
      <c r="F1781" s="23" t="str">
        <f>IF(OR(E1781="",E1781="!!!"),"",IF(NOT(ISNA(VLOOKUP(E1781,E$1:E1780,1,FALSE()))),"OLD",IF(AND(E1781&lt;&gt;"",E1781&lt;&gt;"!!!"),"NEW","")))</f>
        <v> </v>
      </c>
      <c r="G1781" s="24" t="str">
        <f>IF(OR(E1781="",E1781="!!!"),"",IF(OR(J1781=0,AND(J1781=1,K1781=1),AND(J1781=1,I1781="SBJ"),AND(J1781=1,I1781=0)),"?IN_FOCUS",IF(J1781&lt;=2,"?ACTIVATED",IF(J1781&lt;&gt;"","?FAMILIAR",IF(F1781="NEW",IF(ISNA(VLOOKUP(E1781,#REF!,1,FALSE())),"?TYPE_IDENTIFIABLE","?REFERENTIAL"),"_")))))</f>
        <v> </v>
      </c>
      <c r="H1781" s="25" t="str">
        <f>IF(J1781&lt;&gt;1,"",IF(I1781="SBJ","CB","?"))</f>
        <v> </v>
      </c>
      <c r="I1781" s="26" t="str">
        <f>IF(OR(E1781="",E1781="!!!",F1781="NEW"),"",INDEX(B1780:B$2,-1+SUMPRODUCT(MAX(ROW(E1780:E$2)*(E1781=E1780:E$2)))))</f>
        <v> </v>
      </c>
      <c r="J1781" s="26" t="str">
        <f>IF(OR(E1781="",E1781="!!!",F1781="NEW"),"",COUNTBLANK(OFFSET(A$1,,,SUMPRODUCT(MAX(ROW(E$2:E1781)*(E1781=E$2:E1781)))))-COUNTBLANK(OFFSET(A$1,,,SUMPRODUCT(MAX(ROW(E$1:E1780)*(E2=E$1:E1780))))))</f>
        <v> </v>
      </c>
      <c r="K1781" s="26" t="str">
        <f>IF(OR(E1781="",E1781="!!!",F1781="NEW"),"",INDEX(J$1:J1780,SUMPRODUCT(MAX(ROW(E$1:E1780)*(E1781=E$1:E1780)))))</f>
        <v> </v>
      </c>
      <c r="L1781" s="27"/>
    </row>
    <row r="1782" spans="1:12">
      <c r="A1782" s="20" t="s">
        <v>1065</v>
      </c>
      <c r="E1782" s="22">
        <f>IF(D1782="?OLD","!!!","")</f>
        <v/>
      </c>
      <c r="F1782" s="23" t="str">
        <f>IF(OR(E1782="",E1782="!!!"),"",IF(NOT(ISNA(VLOOKUP(E1782,E$1:E1781,1,FALSE()))),"OLD",IF(AND(E1782&lt;&gt;"",E1782&lt;&gt;"!!!"),"NEW","")))</f>
        <v> </v>
      </c>
      <c r="G1782" s="24" t="str">
        <f>IF(OR(E1782="",E1782="!!!"),"",IF(OR(J1782=0,AND(J1782=1,K1782=1),AND(J1782=1,I1782="SBJ"),AND(J1782=1,I1782=0)),"?IN_FOCUS",IF(J1782&lt;=2,"?ACTIVATED",IF(J1782&lt;&gt;"","?FAMILIAR",IF(F1782="NEW",IF(ISNA(VLOOKUP(E1782,#REF!,1,FALSE())),"?TYPE_IDENTIFIABLE","?REFERENTIAL"),"_")))))</f>
        <v> </v>
      </c>
      <c r="H1782" s="25" t="str">
        <f>IF(J1782&lt;&gt;1,"",IF(I1782="SBJ","CB","?"))</f>
        <v> </v>
      </c>
      <c r="I1782" s="26" t="str">
        <f>IF(OR(E1782="",E1782="!!!",F1782="NEW"),"",INDEX(B1781:B$2,-1+SUMPRODUCT(MAX(ROW(E1781:E$2)*(E1782=E1781:E$2)))))</f>
        <v> </v>
      </c>
      <c r="J1782" s="26" t="str">
        <f>IF(OR(E1782="",E1782="!!!",F1782="NEW"),"",COUNTBLANK(OFFSET(A$1,,,SUMPRODUCT(MAX(ROW(E$2:E1782)*(E1782=E$2:E1782)))))-COUNTBLANK(OFFSET(A$1,,,SUMPRODUCT(MAX(ROW(E$1:E1781)*(E2=E$1:E1781))))))</f>
        <v> </v>
      </c>
      <c r="K1782" s="26" t="str">
        <f>IF(OR(E1782="",E1782="!!!",F1782="NEW"),"",INDEX(J$1:J1781,SUMPRODUCT(MAX(ROW(E$1:E1781)*(E1782=E$1:E1781)))))</f>
        <v> </v>
      </c>
      <c r="L1782" s="27"/>
    </row>
    <row r="1783" spans="1:12">
      <c r="A1783" s="20" t="s">
        <v>1640</v>
      </c>
      <c r="E1783" s="22">
        <f>IF(D1783="?OLD","!!!","")</f>
        <v/>
      </c>
      <c r="F1783" s="23" t="str">
        <f>IF(OR(E1783="",E1783="!!!"),"",IF(NOT(ISNA(VLOOKUP(E1783,E$1:E1782,1,FALSE()))),"OLD",IF(AND(E1783&lt;&gt;"",E1783&lt;&gt;"!!!"),"NEW","")))</f>
        <v> </v>
      </c>
      <c r="G1783" s="24" t="str">
        <f>IF(OR(E1783="",E1783="!!!"),"",IF(OR(J1783=0,AND(J1783=1,K1783=1),AND(J1783=1,I1783="SBJ"),AND(J1783=1,I1783=0)),"?IN_FOCUS",IF(J1783&lt;=2,"?ACTIVATED",IF(J1783&lt;&gt;"","?FAMILIAR",IF(F1783="NEW",IF(ISNA(VLOOKUP(E1783,#REF!,1,FALSE())),"?TYPE_IDENTIFIABLE","?REFERENTIAL"),"_")))))</f>
        <v> </v>
      </c>
      <c r="H1783" s="25" t="str">
        <f>IF(J1783&lt;&gt;1,"",IF(I1783="SBJ","CB","?"))</f>
        <v> </v>
      </c>
      <c r="I1783" s="26" t="str">
        <f>IF(OR(E1783="",E1783="!!!",F1783="NEW"),"",INDEX(B1782:B$2,-1+SUMPRODUCT(MAX(ROW(E1782:E$2)*(E1783=E1782:E$2)))))</f>
        <v> </v>
      </c>
      <c r="J1783" s="26" t="str">
        <f>IF(OR(E1783="",E1783="!!!",F1783="NEW"),"",COUNTBLANK(OFFSET(A$1,,,SUMPRODUCT(MAX(ROW(E$2:E1783)*(E1783=E$2:E1783)))))-COUNTBLANK(OFFSET(A$1,,,SUMPRODUCT(MAX(ROW(E$1:E1782)*(E2=E$1:E1782))))))</f>
        <v> </v>
      </c>
      <c r="K1783" s="26" t="str">
        <f>IF(OR(E1783="",E1783="!!!",F1783="NEW"),"",INDEX(J$1:J1782,SUMPRODUCT(MAX(ROW(E$1:E1782)*(E1783=E$1:E1782)))))</f>
        <v> </v>
      </c>
      <c r="L1783" s="27"/>
    </row>
    <row r="1784" spans="1:12">
      <c r="A1784" s="20" t="s">
        <v>1641</v>
      </c>
      <c r="B1784" s="21" t="s">
        <v>1253</v>
      </c>
      <c r="C1784" s="21" t="s">
        <v>1048</v>
      </c>
      <c r="E1784" s="22">
        <f>IF(D1784="?OLD","!!!","")</f>
        <v/>
      </c>
      <c r="F1784" s="23" t="str">
        <f>IF(OR(E1784="",E1784="!!!"),"",IF(NOT(ISNA(VLOOKUP(E1784,E$1:E1783,1,FALSE()))),"OLD",IF(AND(E1784&lt;&gt;"",E1784&lt;&gt;"!!!"),"NEW","")))</f>
        <v> </v>
      </c>
      <c r="G1784" s="24" t="str">
        <f>IF(OR(E1784="",E1784="!!!"),"",IF(OR(J1784=0,AND(J1784=1,K1784=1),AND(J1784=1,I1784="SBJ"),AND(J1784=1,I1784=0)),"?IN_FOCUS",IF(J1784&lt;=2,"?ACTIVATED",IF(J1784&lt;&gt;"","?FAMILIAR",IF(F1784="NEW",IF(ISNA(VLOOKUP(E1784,#REF!,1,FALSE())),"?TYPE_IDENTIFIABLE","?REFERENTIAL"),"_")))))</f>
        <v> </v>
      </c>
      <c r="H1784" s="25" t="str">
        <f>IF(J1784&lt;&gt;1,"",IF(I1784="SBJ","CB","?"))</f>
        <v> </v>
      </c>
      <c r="I1784" s="26" t="str">
        <f>IF(OR(E1784="",E1784="!!!",F1784="NEW"),"",INDEX(B1783:B$2,-1+SUMPRODUCT(MAX(ROW(E1783:E$2)*(E1784=E1783:E$2)))))</f>
        <v> </v>
      </c>
      <c r="J1784" s="26" t="str">
        <f>IF(OR(E1784="",E1784="!!!",F1784="NEW"),"",COUNTBLANK(OFFSET(A$1,,,SUMPRODUCT(MAX(ROW(E$2:E1784)*(E1784=E$2:E1784)))))-COUNTBLANK(OFFSET(A$1,,,SUMPRODUCT(MAX(ROW(E$1:E1783)*(E2=E$1:E1783))))))</f>
        <v> </v>
      </c>
      <c r="K1784" s="26" t="str">
        <f>IF(OR(E1784="",E1784="!!!",F1784="NEW"),"",INDEX(J$1:J1783,SUMPRODUCT(MAX(ROW(E$1:E1783)*(E1784=E$1:E1783)))))</f>
        <v> </v>
      </c>
      <c r="L1784" s="27"/>
    </row>
    <row r="1785" spans="1:12">
      <c r="A1785" s="20" t="s">
        <v>1018</v>
      </c>
      <c r="E1785" s="22">
        <f>IF(D1785="?OLD","!!!","")</f>
        <v/>
      </c>
      <c r="F1785" s="23" t="str">
        <f>IF(OR(E1785="",E1785="!!!"),"",IF(NOT(ISNA(VLOOKUP(E1785,E$1:E1784,1,FALSE()))),"OLD",IF(AND(E1785&lt;&gt;"",E1785&lt;&gt;"!!!"),"NEW","")))</f>
        <v> </v>
      </c>
      <c r="G1785" s="24" t="str">
        <f>IF(OR(E1785="",E1785="!!!"),"",IF(OR(J1785=0,AND(J1785=1,K1785=1),AND(J1785=1,I1785="SBJ"),AND(J1785=1,I1785=0)),"?IN_FOCUS",IF(J1785&lt;=2,"?ACTIVATED",IF(J1785&lt;&gt;"","?FAMILIAR",IF(F1785="NEW",IF(ISNA(VLOOKUP(E1785,#REF!,1,FALSE())),"?TYPE_IDENTIFIABLE","?REFERENTIAL"),"_")))))</f>
        <v> </v>
      </c>
      <c r="H1785" s="25" t="str">
        <f>IF(J1785&lt;&gt;1,"",IF(I1785="SBJ","CB","?"))</f>
        <v> </v>
      </c>
      <c r="I1785" s="26" t="str">
        <f>IF(OR(E1785="",E1785="!!!",F1785="NEW"),"",INDEX(B1784:B$2,-1+SUMPRODUCT(MAX(ROW(E1784:E$2)*(E1785=E1784:E$2)))))</f>
        <v> </v>
      </c>
      <c r="J1785" s="26" t="str">
        <f>IF(OR(E1785="",E1785="!!!",F1785="NEW"),"",COUNTBLANK(OFFSET(A$1,,,SUMPRODUCT(MAX(ROW(E$2:E1785)*(E1785=E$2:E1785)))))-COUNTBLANK(OFFSET(A$1,,,SUMPRODUCT(MAX(ROW(E$1:E1784)*(E2=E$1:E1784))))))</f>
        <v> </v>
      </c>
      <c r="K1785" s="26" t="str">
        <f>IF(OR(E1785="",E1785="!!!",F1785="NEW"),"",INDEX(J$1:J1784,SUMPRODUCT(MAX(ROW(E$1:E1784)*(E1785=E$1:E1784)))))</f>
        <v> </v>
      </c>
      <c r="L1785" s="27"/>
    </row>
    <row r="1786" spans="1:12">
      <c r="A1786" s="20" t="s">
        <v>1097</v>
      </c>
      <c r="E1786" s="22">
        <f>IF(D1786="?OLD","!!!","")</f>
        <v/>
      </c>
      <c r="F1786" s="23" t="str">
        <f>IF(OR(E1786="",E1786="!!!"),"",IF(NOT(ISNA(VLOOKUP(E1786,E$1:E1785,1,FALSE()))),"OLD",IF(AND(E1786&lt;&gt;"",E1786&lt;&gt;"!!!"),"NEW","")))</f>
        <v> </v>
      </c>
      <c r="G1786" s="24" t="str">
        <f>IF(OR(E1786="",E1786="!!!"),"",IF(OR(J1786=0,AND(J1786=1,K1786=1),AND(J1786=1,I1786="SBJ"),AND(J1786=1,I1786=0)),"?IN_FOCUS",IF(J1786&lt;=2,"?ACTIVATED",IF(J1786&lt;&gt;"","?FAMILIAR",IF(F1786="NEW",IF(ISNA(VLOOKUP(E1786,#REF!,1,FALSE())),"?TYPE_IDENTIFIABLE","?REFERENTIAL"),"_")))))</f>
        <v> </v>
      </c>
      <c r="H1786" s="25" t="str">
        <f>IF(J1786&lt;&gt;1,"",IF(I1786="SBJ","CB","?"))</f>
        <v> </v>
      </c>
      <c r="I1786" s="26" t="str">
        <f>IF(OR(E1786="",E1786="!!!",F1786="NEW"),"",INDEX(B1785:B$2,-1+SUMPRODUCT(MAX(ROW(E1785:E$2)*(E1786=E1785:E$2)))))</f>
        <v> </v>
      </c>
      <c r="J1786" s="26" t="str">
        <f>IF(OR(E1786="",E1786="!!!",F1786="NEW"),"",COUNTBLANK(OFFSET(A$1,,,SUMPRODUCT(MAX(ROW(E$2:E1786)*(E1786=E$2:E1786)))))-COUNTBLANK(OFFSET(A$1,,,SUMPRODUCT(MAX(ROW(E$1:E1785)*(E2=E$1:E1785))))))</f>
        <v> </v>
      </c>
      <c r="K1786" s="26" t="str">
        <f>IF(OR(E1786="",E1786="!!!",F1786="NEW"),"",INDEX(J$1:J1785,SUMPRODUCT(MAX(ROW(E$1:E1785)*(E1786=E$1:E1785)))))</f>
        <v> </v>
      </c>
      <c r="L1786" s="27"/>
    </row>
    <row r="1787" spans="1:12">
      <c r="A1787" s="20" t="s">
        <v>1642</v>
      </c>
      <c r="E1787" s="22">
        <f>IF(D1787="?OLD","!!!","")</f>
        <v/>
      </c>
      <c r="F1787" s="23" t="str">
        <f>IF(OR(E1787="",E1787="!!!"),"",IF(NOT(ISNA(VLOOKUP(E1787,E$1:E1786,1,FALSE()))),"OLD",IF(AND(E1787&lt;&gt;"",E1787&lt;&gt;"!!!"),"NEW","")))</f>
        <v> </v>
      </c>
      <c r="G1787" s="24" t="str">
        <f>IF(OR(E1787="",E1787="!!!"),"",IF(OR(J1787=0,AND(J1787=1,K1787=1),AND(J1787=1,I1787="SBJ"),AND(J1787=1,I1787=0)),"?IN_FOCUS",IF(J1787&lt;=2,"?ACTIVATED",IF(J1787&lt;&gt;"","?FAMILIAR",IF(F1787="NEW",IF(ISNA(VLOOKUP(E1787,#REF!,1,FALSE())),"?TYPE_IDENTIFIABLE","?REFERENTIAL"),"_")))))</f>
        <v> </v>
      </c>
      <c r="H1787" s="25" t="str">
        <f>IF(J1787&lt;&gt;1,"",IF(I1787="SBJ","CB","?"))</f>
        <v> </v>
      </c>
      <c r="I1787" s="26" t="str">
        <f>IF(OR(E1787="",E1787="!!!",F1787="NEW"),"",INDEX(B1786:B$2,-1+SUMPRODUCT(MAX(ROW(E1786:E$2)*(E1787=E1786:E$2)))))</f>
        <v> </v>
      </c>
      <c r="J1787" s="26" t="str">
        <f>IF(OR(E1787="",E1787="!!!",F1787="NEW"),"",COUNTBLANK(OFFSET(A$1,,,SUMPRODUCT(MAX(ROW(E$2:E1787)*(E1787=E$2:E1787)))))-COUNTBLANK(OFFSET(A$1,,,SUMPRODUCT(MAX(ROW(E$1:E1786)*(E2=E$1:E1786))))))</f>
        <v> </v>
      </c>
      <c r="K1787" s="26" t="str">
        <f>IF(OR(E1787="",E1787="!!!",F1787="NEW"),"",INDEX(J$1:J1786,SUMPRODUCT(MAX(ROW(E$1:E1786)*(E1787=E$1:E1786)))))</f>
        <v> </v>
      </c>
      <c r="L1787" s="27"/>
    </row>
    <row r="1788" spans="1:12">
      <c r="A1788" s="20" t="s">
        <v>1015</v>
      </c>
      <c r="E1788" s="22">
        <f>IF(D1788="?OLD","!!!","")</f>
        <v/>
      </c>
      <c r="F1788" s="23" t="str">
        <f>IF(OR(E1788="",E1788="!!!"),"",IF(NOT(ISNA(VLOOKUP(E1788,E$1:E1787,1,FALSE()))),"OLD",IF(AND(E1788&lt;&gt;"",E1788&lt;&gt;"!!!"),"NEW","")))</f>
        <v> </v>
      </c>
      <c r="G1788" s="24" t="str">
        <f>IF(OR(E1788="",E1788="!!!"),"",IF(OR(J1788=0,AND(J1788=1,K1788=1),AND(J1788=1,I1788="SBJ"),AND(J1788=1,I1788=0)),"?IN_FOCUS",IF(J1788&lt;=2,"?ACTIVATED",IF(J1788&lt;&gt;"","?FAMILIAR",IF(F1788="NEW",IF(ISNA(VLOOKUP(E1788,#REF!,1,FALSE())),"?TYPE_IDENTIFIABLE","?REFERENTIAL"),"_")))))</f>
        <v> </v>
      </c>
      <c r="H1788" s="25" t="str">
        <f>IF(J1788&lt;&gt;1,"",IF(I1788="SBJ","CB","?"))</f>
        <v> </v>
      </c>
      <c r="I1788" s="26" t="str">
        <f>IF(OR(E1788="",E1788="!!!",F1788="NEW"),"",INDEX(B1787:B$2,-1+SUMPRODUCT(MAX(ROW(E1787:E$2)*(E1788=E1787:E$2)))))</f>
        <v> </v>
      </c>
      <c r="J1788" s="26" t="str">
        <f>IF(OR(E1788="",E1788="!!!",F1788="NEW"),"",COUNTBLANK(OFFSET(A$1,,,SUMPRODUCT(MAX(ROW(E$2:E1788)*(E1788=E$2:E1788)))))-COUNTBLANK(OFFSET(A$1,,,SUMPRODUCT(MAX(ROW(E$1:E1787)*(E2=E$1:E1787))))))</f>
        <v> </v>
      </c>
      <c r="K1788" s="26" t="str">
        <f>IF(OR(E1788="",E1788="!!!",F1788="NEW"),"",INDEX(J$1:J1787,SUMPRODUCT(MAX(ROW(E$1:E1787)*(E1788=E$1:E1787)))))</f>
        <v> </v>
      </c>
      <c r="L1788" s="27"/>
    </row>
    <row r="1789" spans="1:12">
      <c r="A1789" s="20" t="s">
        <v>1012</v>
      </c>
      <c r="B1789" s="21" t="s">
        <v>1487</v>
      </c>
      <c r="C1789" s="21" t="s">
        <v>1013</v>
      </c>
      <c r="D1789" s="21" t="s">
        <v>1007</v>
      </c>
      <c r="E1789" s="22">
        <f>IF(D1789="?OLD","!!!","")</f>
        <v/>
      </c>
      <c r="F1789" s="23" t="str">
        <f>IF(OR(E1789="",E1789="!!!"),"",IF(NOT(ISNA(VLOOKUP(E1789,E$1:E1788,1,FALSE()))),"OLD",IF(AND(E1789&lt;&gt;"",E1789&lt;&gt;"!!!"),"NEW","")))</f>
        <v> </v>
      </c>
      <c r="G1789" s="24" t="str">
        <f>IF(OR(E1789="",E1789="!!!"),"",IF(OR(J1789=0,AND(J1789=1,K1789=1),AND(J1789=1,I1789="SBJ"),AND(J1789=1,I1789=0)),"?IN_FOCUS",IF(J1789&lt;=2,"?ACTIVATED",IF(J1789&lt;&gt;"","?FAMILIAR",IF(F1789="NEW",IF(ISNA(VLOOKUP(E1789,#REF!,1,FALSE())),"?TYPE_IDENTIFIABLE","?REFERENTIAL"),"_")))))</f>
        <v> </v>
      </c>
      <c r="H1789" s="25" t="str">
        <f>IF(J1789&lt;&gt;1,"",IF(I1789="SBJ","CB","?"))</f>
        <v> </v>
      </c>
      <c r="I1789" s="26" t="str">
        <f>IF(OR(E1789="",E1789="!!!",F1789="NEW"),"",INDEX(B1788:B$2,-1+SUMPRODUCT(MAX(ROW(E1788:E$2)*(E1789=E1788:E$2)))))</f>
        <v> </v>
      </c>
      <c r="J1789" s="26" t="str">
        <f>IF(OR(E1789="",E1789="!!!",F1789="NEW"),"",COUNTBLANK(OFFSET(A$1,,,SUMPRODUCT(MAX(ROW(E$2:E1789)*(E1789=E$2:E1789)))))-COUNTBLANK(OFFSET(A$1,,,SUMPRODUCT(MAX(ROW(E$1:E1788)*(E2=E$1:E1788))))))</f>
        <v> </v>
      </c>
      <c r="K1789" s="26" t="str">
        <f>IF(OR(E1789="",E1789="!!!",F1789="NEW"),"",INDEX(J$1:J1788,SUMPRODUCT(MAX(ROW(E$1:E1788)*(E1789=E$1:E1788)))))</f>
        <v> </v>
      </c>
      <c r="L1789" s="27"/>
    </row>
    <row r="1790" spans="1:12">
      <c r="A1790" s="20" t="s">
        <v>1014</v>
      </c>
      <c r="E1790" s="22">
        <f>IF(D1790="?OLD","!!!","")</f>
        <v/>
      </c>
      <c r="F1790" s="23" t="str">
        <f>IF(OR(E1790="",E1790="!!!"),"",IF(NOT(ISNA(VLOOKUP(E1790,E$1:E1789,1,FALSE()))),"OLD",IF(AND(E1790&lt;&gt;"",E1790&lt;&gt;"!!!"),"NEW","")))</f>
        <v> </v>
      </c>
      <c r="G1790" s="24" t="str">
        <f>IF(OR(E1790="",E1790="!!!"),"",IF(OR(J1790=0,AND(J1790=1,K1790=1),AND(J1790=1,I1790="SBJ"),AND(J1790=1,I1790=0)),"?IN_FOCUS",IF(J1790&lt;=2,"?ACTIVATED",IF(J1790&lt;&gt;"","?FAMILIAR",IF(F1790="NEW",IF(ISNA(VLOOKUP(E1790,#REF!,1,FALSE())),"?TYPE_IDENTIFIABLE","?REFERENTIAL"),"_")))))</f>
        <v> </v>
      </c>
      <c r="H1790" s="25" t="str">
        <f>IF(J1790&lt;&gt;1,"",IF(I1790="SBJ","CB","?"))</f>
        <v> </v>
      </c>
      <c r="I1790" s="26" t="str">
        <f>IF(OR(E1790="",E1790="!!!",F1790="NEW"),"",INDEX(B1789:B$2,-1+SUMPRODUCT(MAX(ROW(E1789:E$2)*(E1790=E1789:E$2)))))</f>
        <v> </v>
      </c>
      <c r="J1790" s="26" t="str">
        <f>IF(OR(E1790="",E1790="!!!",F1790="NEW"),"",COUNTBLANK(OFFSET(A$1,,,SUMPRODUCT(MAX(ROW(E$2:E1790)*(E1790=E$2:E1790)))))-COUNTBLANK(OFFSET(A$1,,,SUMPRODUCT(MAX(ROW(E$1:E1789)*(E2=E$1:E1789))))))</f>
        <v> </v>
      </c>
      <c r="K1790" s="26" t="str">
        <f>IF(OR(E1790="",E1790="!!!",F1790="NEW"),"",INDEX(J$1:J1789,SUMPRODUCT(MAX(ROW(E$1:E1789)*(E1790=E$1:E1789)))))</f>
        <v> </v>
      </c>
      <c r="L1790" s="27"/>
    </row>
    <row r="1791" spans="1:12">
      <c r="A1791" s="20" t="s">
        <v>1015</v>
      </c>
      <c r="E1791" s="22">
        <f>IF(D1791="?OLD","!!!","")</f>
        <v/>
      </c>
      <c r="F1791" s="23" t="str">
        <f>IF(OR(E1791="",E1791="!!!"),"",IF(NOT(ISNA(VLOOKUP(E1791,E$1:E1790,1,FALSE()))),"OLD",IF(AND(E1791&lt;&gt;"",E1791&lt;&gt;"!!!"),"NEW","")))</f>
        <v> </v>
      </c>
      <c r="G1791" s="24" t="str">
        <f>IF(OR(E1791="",E1791="!!!"),"",IF(OR(J1791=0,AND(J1791=1,K1791=1),AND(J1791=1,I1791="SBJ"),AND(J1791=1,I1791=0)),"?IN_FOCUS",IF(J1791&lt;=2,"?ACTIVATED",IF(J1791&lt;&gt;"","?FAMILIAR",IF(F1791="NEW",IF(ISNA(VLOOKUP(E1791,#REF!,1,FALSE())),"?TYPE_IDENTIFIABLE","?REFERENTIAL"),"_")))))</f>
        <v> </v>
      </c>
      <c r="H1791" s="25" t="str">
        <f>IF(J1791&lt;&gt;1,"",IF(I1791="SBJ","CB","?"))</f>
        <v> </v>
      </c>
      <c r="I1791" s="26" t="str">
        <f>IF(OR(E1791="",E1791="!!!",F1791="NEW"),"",INDEX(B1790:B$2,-1+SUMPRODUCT(MAX(ROW(E1790:E$2)*(E1791=E1790:E$2)))))</f>
        <v> </v>
      </c>
      <c r="J1791" s="26" t="str">
        <f>IF(OR(E1791="",E1791="!!!",F1791="NEW"),"",COUNTBLANK(OFFSET(A$1,,,SUMPRODUCT(MAX(ROW(E$2:E1791)*(E1791=E$2:E1791)))))-COUNTBLANK(OFFSET(A$1,,,SUMPRODUCT(MAX(ROW(E$1:E1790)*(E2=E$1:E1790))))))</f>
        <v> </v>
      </c>
      <c r="K1791" s="26" t="str">
        <f>IF(OR(E1791="",E1791="!!!",F1791="NEW"),"",INDEX(J$1:J1790,SUMPRODUCT(MAX(ROW(E$1:E1790)*(E1791=E$1:E1790)))))</f>
        <v> </v>
      </c>
      <c r="L1791" s="27"/>
    </row>
    <row r="1792" spans="1:12">
      <c r="A1792" s="20" t="s">
        <v>1589</v>
      </c>
      <c r="B1792" s="21" t="s">
        <v>1215</v>
      </c>
      <c r="C1792" s="21" t="s">
        <v>1017</v>
      </c>
      <c r="D1792" s="21" t="s">
        <v>1007</v>
      </c>
      <c r="E1792" s="22">
        <f>IF(D1792="?OLD","!!!","")</f>
        <v/>
      </c>
      <c r="F1792" s="23" t="str">
        <f>IF(OR(E1792="",E1792="!!!"),"",IF(NOT(ISNA(VLOOKUP(E1792,E$1:E1791,1,FALSE()))),"OLD",IF(AND(E1792&lt;&gt;"",E1792&lt;&gt;"!!!"),"NEW","")))</f>
        <v> </v>
      </c>
      <c r="G1792" s="24" t="str">
        <f>IF(OR(E1792="",E1792="!!!"),"",IF(OR(J1792=0,AND(J1792=1,K1792=1),AND(J1792=1,I1792="SBJ"),AND(J1792=1,I1792=0)),"?IN_FOCUS",IF(J1792&lt;=2,"?ACTIVATED",IF(J1792&lt;&gt;"","?FAMILIAR",IF(F1792="NEW",IF(ISNA(VLOOKUP(E1792,#REF!,1,FALSE())),"?TYPE_IDENTIFIABLE","?REFERENTIAL"),"_")))))</f>
        <v> </v>
      </c>
      <c r="H1792" s="25" t="str">
        <f>IF(J1792&lt;&gt;1,"",IF(I1792="SBJ","CB","?"))</f>
        <v> </v>
      </c>
      <c r="I1792" s="26" t="str">
        <f>IF(OR(E1792="",E1792="!!!",F1792="NEW"),"",INDEX(B1791:B$2,-1+SUMPRODUCT(MAX(ROW(E1791:E$2)*(E1792=E1791:E$2)))))</f>
        <v> </v>
      </c>
      <c r="J1792" s="26" t="str">
        <f>IF(OR(E1792="",E1792="!!!",F1792="NEW"),"",COUNTBLANK(OFFSET(A$1,,,SUMPRODUCT(MAX(ROW(E$2:E1792)*(E1792=E$2:E1792)))))-COUNTBLANK(OFFSET(A$1,,,SUMPRODUCT(MAX(ROW(E$1:E1791)*(E2=E$1:E1791))))))</f>
        <v> </v>
      </c>
      <c r="K1792" s="26" t="str">
        <f>IF(OR(E1792="",E1792="!!!",F1792="NEW"),"",INDEX(J$1:J1791,SUMPRODUCT(MAX(ROW(E$1:E1791)*(E1792=E$1:E1791)))))</f>
        <v> </v>
      </c>
      <c r="L1792" s="27"/>
    </row>
    <row r="1793" spans="1:12">
      <c r="A1793" s="20" t="s">
        <v>1030</v>
      </c>
      <c r="E1793" s="22">
        <f>IF(D1793="?OLD","!!!","")</f>
        <v/>
      </c>
      <c r="F1793" s="23" t="str">
        <f>IF(OR(E1793="",E1793="!!!"),"",IF(NOT(ISNA(VLOOKUP(E1793,E$1:E1792,1,FALSE()))),"OLD",IF(AND(E1793&lt;&gt;"",E1793&lt;&gt;"!!!"),"NEW","")))</f>
        <v> </v>
      </c>
      <c r="G1793" s="24" t="str">
        <f>IF(OR(E1793="",E1793="!!!"),"",IF(OR(J1793=0,AND(J1793=1,K1793=1),AND(J1793=1,I1793="SBJ"),AND(J1793=1,I1793=0)),"?IN_FOCUS",IF(J1793&lt;=2,"?ACTIVATED",IF(J1793&lt;&gt;"","?FAMILIAR",IF(F1793="NEW",IF(ISNA(VLOOKUP(E1793,#REF!,1,FALSE())),"?TYPE_IDENTIFIABLE","?REFERENTIAL"),"_")))))</f>
        <v> </v>
      </c>
      <c r="H1793" s="25" t="str">
        <f>IF(J1793&lt;&gt;1,"",IF(I1793="SBJ","CB","?"))</f>
        <v> </v>
      </c>
      <c r="I1793" s="26" t="str">
        <f>IF(OR(E1793="",E1793="!!!",F1793="NEW"),"",INDEX(B1792:B$2,-1+SUMPRODUCT(MAX(ROW(E1792:E$2)*(E1793=E1792:E$2)))))</f>
        <v> </v>
      </c>
      <c r="J1793" s="26" t="str">
        <f>IF(OR(E1793="",E1793="!!!",F1793="NEW"),"",COUNTBLANK(OFFSET(A$1,,,SUMPRODUCT(MAX(ROW(E$2:E1793)*(E1793=E$2:E1793)))))-COUNTBLANK(OFFSET(A$1,,,SUMPRODUCT(MAX(ROW(E$1:E1792)*(E2=E$1:E1792))))))</f>
        <v> </v>
      </c>
      <c r="K1793" s="26" t="str">
        <f>IF(OR(E1793="",E1793="!!!",F1793="NEW"),"",INDEX(J$1:J1792,SUMPRODUCT(MAX(ROW(E$1:E1792)*(E1793=E$1:E1792)))))</f>
        <v> </v>
      </c>
      <c r="L1793" s="27"/>
    </row>
    <row r="1794" spans="1:12">
      <c r="A1794" s="20" t="s">
        <v>1433</v>
      </c>
      <c r="E1794" s="22">
        <f>IF(D1794="?OLD","!!!","")</f>
        <v/>
      </c>
      <c r="F1794" s="23" t="str">
        <f>IF(OR(E1794="",E1794="!!!"),"",IF(NOT(ISNA(VLOOKUP(E1794,E$1:E1793,1,FALSE()))),"OLD",IF(AND(E1794&lt;&gt;"",E1794&lt;&gt;"!!!"),"NEW","")))</f>
        <v> </v>
      </c>
      <c r="G1794" s="24" t="str">
        <f>IF(OR(E1794="",E1794="!!!"),"",IF(OR(J1794=0,AND(J1794=1,K1794=1),AND(J1794=1,I1794="SBJ"),AND(J1794=1,I1794=0)),"?IN_FOCUS",IF(J1794&lt;=2,"?ACTIVATED",IF(J1794&lt;&gt;"","?FAMILIAR",IF(F1794="NEW",IF(ISNA(VLOOKUP(E1794,#REF!,1,FALSE())),"?TYPE_IDENTIFIABLE","?REFERENTIAL"),"_")))))</f>
        <v> </v>
      </c>
      <c r="H1794" s="25" t="str">
        <f>IF(J1794&lt;&gt;1,"",IF(I1794="SBJ","CB","?"))</f>
        <v> </v>
      </c>
      <c r="I1794" s="26" t="str">
        <f>IF(OR(E1794="",E1794="!!!",F1794="NEW"),"",INDEX(B1793:B$2,-1+SUMPRODUCT(MAX(ROW(E1793:E$2)*(E1794=E1793:E$2)))))</f>
        <v> </v>
      </c>
      <c r="J1794" s="26" t="str">
        <f>IF(OR(E1794="",E1794="!!!",F1794="NEW"),"",COUNTBLANK(OFFSET(A$1,,,SUMPRODUCT(MAX(ROW(E$2:E1794)*(E1794=E$2:E1794)))))-COUNTBLANK(OFFSET(A$1,,,SUMPRODUCT(MAX(ROW(E$1:E1793)*(E2=E$1:E1793))))))</f>
        <v> </v>
      </c>
      <c r="K1794" s="26" t="str">
        <f>IF(OR(E1794="",E1794="!!!",F1794="NEW"),"",INDEX(J$1:J1793,SUMPRODUCT(MAX(ROW(E$1:E1793)*(E1794=E$1:E1793)))))</f>
        <v> </v>
      </c>
      <c r="L1794" s="27"/>
    </row>
    <row r="1795" spans="1:12">
      <c r="A1795" s="20" t="s">
        <v>102</v>
      </c>
      <c r="E1795" s="22">
        <f>IF(D1795="?OLD","!!!","")</f>
        <v/>
      </c>
      <c r="F1795" s="23" t="str">
        <f>IF(OR(E1795="",E1795="!!!"),"",IF(NOT(ISNA(VLOOKUP(E1795,E$1:E1794,1,FALSE()))),"OLD",IF(AND(E1795&lt;&gt;"",E1795&lt;&gt;"!!!"),"NEW","")))</f>
        <v> </v>
      </c>
      <c r="G1795" s="24" t="str">
        <f>IF(OR(E1795="",E1795="!!!"),"",IF(OR(J1795=0,AND(J1795=1,K1795=1),AND(J1795=1,I1795="SBJ"),AND(J1795=1,I1795=0)),"?IN_FOCUS",IF(J1795&lt;=2,"?ACTIVATED",IF(J1795&lt;&gt;"","?FAMILIAR",IF(F1795="NEW",IF(ISNA(VLOOKUP(E1795,#REF!,1,FALSE())),"?TYPE_IDENTIFIABLE","?REFERENTIAL"),"_")))))</f>
        <v> </v>
      </c>
      <c r="H1795" s="25" t="str">
        <f>IF(J1795&lt;&gt;1,"",IF(I1795="SBJ","CB","?"))</f>
        <v> </v>
      </c>
      <c r="I1795" s="26" t="str">
        <f>IF(OR(E1795="",E1795="!!!",F1795="NEW"),"",INDEX(B1794:B$2,-1+SUMPRODUCT(MAX(ROW(E1794:E$2)*(E1795=E1794:E$2)))))</f>
        <v> </v>
      </c>
      <c r="J1795" s="26" t="str">
        <f>IF(OR(E1795="",E1795="!!!",F1795="NEW"),"",COUNTBLANK(OFFSET(A$1,,,SUMPRODUCT(MAX(ROW(E$2:E1795)*(E1795=E$2:E1795)))))-COUNTBLANK(OFFSET(A$1,,,SUMPRODUCT(MAX(ROW(E$1:E1794)*(E2=E$1:E1794))))))</f>
        <v> </v>
      </c>
      <c r="K1795" s="26" t="str">
        <f>IF(OR(E1795="",E1795="!!!",F1795="NEW"),"",INDEX(J$1:J1794,SUMPRODUCT(MAX(ROW(E$1:E1794)*(E1795=E$1:E1794)))))</f>
        <v> </v>
      </c>
      <c r="L1795" s="27"/>
    </row>
    <row r="1796" spans="1:12">
      <c r="A1796" s="20" t="s">
        <v>1156</v>
      </c>
      <c r="B1796" s="21" t="s">
        <v>1044</v>
      </c>
      <c r="C1796" s="21" t="s">
        <v>1017</v>
      </c>
      <c r="D1796" s="21" t="s">
        <v>1007</v>
      </c>
      <c r="E1796" s="22">
        <f>IF(D1796="?OLD","!!!","")</f>
        <v/>
      </c>
      <c r="F1796" s="23" t="str">
        <f>IF(OR(E1796="",E1796="!!!"),"",IF(NOT(ISNA(VLOOKUP(E1796,E$1:E1795,1,FALSE()))),"OLD",IF(AND(E1796&lt;&gt;"",E1796&lt;&gt;"!!!"),"NEW","")))</f>
        <v> </v>
      </c>
      <c r="G1796" s="24" t="str">
        <f>IF(OR(E1796="",E1796="!!!"),"",IF(OR(J1796=0,AND(J1796=1,K1796=1),AND(J1796=1,I1796="SBJ"),AND(J1796=1,I1796=0)),"?IN_FOCUS",IF(J1796&lt;=2,"?ACTIVATED",IF(J1796&lt;&gt;"","?FAMILIAR",IF(F1796="NEW",IF(ISNA(VLOOKUP(E1796,#REF!,1,FALSE())),"?TYPE_IDENTIFIABLE","?REFERENTIAL"),"_")))))</f>
        <v> </v>
      </c>
      <c r="H1796" s="25" t="str">
        <f>IF(J1796&lt;&gt;1,"",IF(I1796="SBJ","CB","?"))</f>
        <v> </v>
      </c>
      <c r="I1796" s="26" t="str">
        <f>IF(OR(E1796="",E1796="!!!",F1796="NEW"),"",INDEX(B1795:B$2,-1+SUMPRODUCT(MAX(ROW(E1795:E$2)*(E1796=E1795:E$2)))))</f>
        <v> </v>
      </c>
      <c r="J1796" s="26" t="str">
        <f>IF(OR(E1796="",E1796="!!!",F1796="NEW"),"",COUNTBLANK(OFFSET(A$1,,,SUMPRODUCT(MAX(ROW(E$2:E1796)*(E1796=E$2:E1796)))))-COUNTBLANK(OFFSET(A$1,,,SUMPRODUCT(MAX(ROW(E$1:E1795)*(E2=E$1:E1795))))))</f>
        <v> </v>
      </c>
      <c r="K1796" s="26" t="str">
        <f>IF(OR(E1796="",E1796="!!!",F1796="NEW"),"",INDEX(J$1:J1795,SUMPRODUCT(MAX(ROW(E$1:E1795)*(E1796=E$1:E1795)))))</f>
        <v> </v>
      </c>
      <c r="L1796" s="27"/>
    </row>
    <row r="1797" spans="1:12">
      <c r="A1797" s="20" t="s">
        <v>1018</v>
      </c>
      <c r="E1797" s="22">
        <f>IF(D1797="?OLD","!!!","")</f>
        <v/>
      </c>
      <c r="F1797" s="23" t="str">
        <f>IF(OR(E1797="",E1797="!!!"),"",IF(NOT(ISNA(VLOOKUP(E1797,E$1:E1796,1,FALSE()))),"OLD",IF(AND(E1797&lt;&gt;"",E1797&lt;&gt;"!!!"),"NEW","")))</f>
        <v> </v>
      </c>
      <c r="G1797" s="24" t="str">
        <f>IF(OR(E1797="",E1797="!!!"),"",IF(OR(J1797=0,AND(J1797=1,K1797=1),AND(J1797=1,I1797="SBJ"),AND(J1797=1,I1797=0)),"?IN_FOCUS",IF(J1797&lt;=2,"?ACTIVATED",IF(J1797&lt;&gt;"","?FAMILIAR",IF(F1797="NEW",IF(ISNA(VLOOKUP(E1797,#REF!,1,FALSE())),"?TYPE_IDENTIFIABLE","?REFERENTIAL"),"_")))))</f>
        <v> </v>
      </c>
      <c r="H1797" s="25" t="str">
        <f>IF(J1797&lt;&gt;1,"",IF(I1797="SBJ","CB","?"))</f>
        <v> </v>
      </c>
      <c r="I1797" s="26" t="str">
        <f>IF(OR(E1797="",E1797="!!!",F1797="NEW"),"",INDEX(B1796:B$2,-1+SUMPRODUCT(MAX(ROW(E1796:E$2)*(E1797=E1796:E$2)))))</f>
        <v> </v>
      </c>
      <c r="J1797" s="26" t="str">
        <f>IF(OR(E1797="",E1797="!!!",F1797="NEW"),"",COUNTBLANK(OFFSET(A$1,,,SUMPRODUCT(MAX(ROW(E$2:E1797)*(E1797=E$2:E1797)))))-COUNTBLANK(OFFSET(A$1,,,SUMPRODUCT(MAX(ROW(E$1:E1796)*(E2=E$1:E1796))))))</f>
        <v> </v>
      </c>
      <c r="K1797" s="26" t="str">
        <f>IF(OR(E1797="",E1797="!!!",F1797="NEW"),"",INDEX(J$1:J1796,SUMPRODUCT(MAX(ROW(E$1:E1796)*(E1797=E$1:E1796)))))</f>
        <v> </v>
      </c>
      <c r="L1797" s="27"/>
    </row>
    <row r="1798" spans="1:12">
      <c r="A1798" s="20" t="s">
        <v>1075</v>
      </c>
      <c r="E1798" s="22">
        <f>IF(D1798="?OLD","!!!","")</f>
        <v/>
      </c>
      <c r="F1798" s="23" t="str">
        <f>IF(OR(E1798="",E1798="!!!"),"",IF(NOT(ISNA(VLOOKUP(E1798,E$1:E1797,1,FALSE()))),"OLD",IF(AND(E1798&lt;&gt;"",E1798&lt;&gt;"!!!"),"NEW","")))</f>
        <v> </v>
      </c>
      <c r="G1798" s="24" t="str">
        <f>IF(OR(E1798="",E1798="!!!"),"",IF(OR(J1798=0,AND(J1798=1,K1798=1),AND(J1798=1,I1798="SBJ"),AND(J1798=1,I1798=0)),"?IN_FOCUS",IF(J1798&lt;=2,"?ACTIVATED",IF(J1798&lt;&gt;"","?FAMILIAR",IF(F1798="NEW",IF(ISNA(VLOOKUP(E1798,#REF!,1,FALSE())),"?TYPE_IDENTIFIABLE","?REFERENTIAL"),"_")))))</f>
        <v> </v>
      </c>
      <c r="H1798" s="25" t="str">
        <f>IF(J1798&lt;&gt;1,"",IF(I1798="SBJ","CB","?"))</f>
        <v> </v>
      </c>
      <c r="I1798" s="26" t="str">
        <f>IF(OR(E1798="",E1798="!!!",F1798="NEW"),"",INDEX(B1797:B$2,-1+SUMPRODUCT(MAX(ROW(E1797:E$2)*(E1798=E1797:E$2)))))</f>
        <v> </v>
      </c>
      <c r="J1798" s="26" t="str">
        <f>IF(OR(E1798="",E1798="!!!",F1798="NEW"),"",COUNTBLANK(OFFSET(A$1,,,SUMPRODUCT(MAX(ROW(E$2:E1798)*(E1798=E$2:E1798)))))-COUNTBLANK(OFFSET(A$1,,,SUMPRODUCT(MAX(ROW(E$1:E1797)*(E2=E$1:E1797))))))</f>
        <v> </v>
      </c>
      <c r="K1798" s="26" t="str">
        <f>IF(OR(E1798="",E1798="!!!",F1798="NEW"),"",INDEX(J$1:J1797,SUMPRODUCT(MAX(ROW(E$1:E1797)*(E1798=E$1:E1797)))))</f>
        <v> </v>
      </c>
      <c r="L1798" s="27"/>
    </row>
    <row r="1799" spans="1:12">
      <c r="A1799" s="20" t="s">
        <v>1326</v>
      </c>
      <c r="E1799" s="22">
        <f>IF(D1799="?OLD","!!!","")</f>
        <v/>
      </c>
      <c r="F1799" s="23" t="str">
        <f>IF(OR(E1799="",E1799="!!!"),"",IF(NOT(ISNA(VLOOKUP(E1799,E$1:E1798,1,FALSE()))),"OLD",IF(AND(E1799&lt;&gt;"",E1799&lt;&gt;"!!!"),"NEW","")))</f>
        <v> </v>
      </c>
      <c r="G1799" s="24" t="str">
        <f>IF(OR(E1799="",E1799="!!!"),"",IF(OR(J1799=0,AND(J1799=1,K1799=1),AND(J1799=1,I1799="SBJ"),AND(J1799=1,I1799=0)),"?IN_FOCUS",IF(J1799&lt;=2,"?ACTIVATED",IF(J1799&lt;&gt;"","?FAMILIAR",IF(F1799="NEW",IF(ISNA(VLOOKUP(E1799,#REF!,1,FALSE())),"?TYPE_IDENTIFIABLE","?REFERENTIAL"),"_")))))</f>
        <v> </v>
      </c>
      <c r="H1799" s="25" t="str">
        <f>IF(J1799&lt;&gt;1,"",IF(I1799="SBJ","CB","?"))</f>
        <v> </v>
      </c>
      <c r="I1799" s="26" t="str">
        <f>IF(OR(E1799="",E1799="!!!",F1799="NEW"),"",INDEX(B1798:B$2,-1+SUMPRODUCT(MAX(ROW(E1798:E$2)*(E1799=E1798:E$2)))))</f>
        <v> </v>
      </c>
      <c r="J1799" s="26" t="str">
        <f>IF(OR(E1799="",E1799="!!!",F1799="NEW"),"",COUNTBLANK(OFFSET(A$1,,,SUMPRODUCT(MAX(ROW(E$2:E1799)*(E1799=E$2:E1799)))))-COUNTBLANK(OFFSET(A$1,,,SUMPRODUCT(MAX(ROW(E$1:E1798)*(E2=E$1:E1798))))))</f>
        <v> </v>
      </c>
      <c r="K1799" s="26" t="str">
        <f>IF(OR(E1799="",E1799="!!!",F1799="NEW"),"",INDEX(J$1:J1798,SUMPRODUCT(MAX(ROW(E$1:E1798)*(E1799=E$1:E1798)))))</f>
        <v> </v>
      </c>
      <c r="L1799" s="27"/>
    </row>
    <row r="1800" spans="1:12">
      <c r="A1800" s="20" t="s">
        <v>1020</v>
      </c>
      <c r="E1800" s="22">
        <f>IF(D1800="?OLD","!!!","")</f>
        <v/>
      </c>
      <c r="F1800" s="23" t="str">
        <f>IF(OR(E1800="",E1800="!!!"),"",IF(NOT(ISNA(VLOOKUP(E1800,E$1:E1799,1,FALSE()))),"OLD",IF(AND(E1800&lt;&gt;"",E1800&lt;&gt;"!!!"),"NEW","")))</f>
        <v> </v>
      </c>
      <c r="G1800" s="24" t="str">
        <f>IF(OR(E1800="",E1800="!!!"),"",IF(OR(J1800=0,AND(J1800=1,K1800=1),AND(J1800=1,I1800="SBJ"),AND(J1800=1,I1800=0)),"?IN_FOCUS",IF(J1800&lt;=2,"?ACTIVATED",IF(J1800&lt;&gt;"","?FAMILIAR",IF(F1800="NEW",IF(ISNA(VLOOKUP(E1800,#REF!,1,FALSE())),"?TYPE_IDENTIFIABLE","?REFERENTIAL"),"_")))))</f>
        <v> </v>
      </c>
      <c r="H1800" s="25" t="str">
        <f>IF(J1800&lt;&gt;1,"",IF(I1800="SBJ","CB","?"))</f>
        <v> </v>
      </c>
      <c r="I1800" s="26" t="str">
        <f>IF(OR(E1800="",E1800="!!!",F1800="NEW"),"",INDEX(B1799:B$2,-1+SUMPRODUCT(MAX(ROW(E1799:E$2)*(E1800=E1799:E$2)))))</f>
        <v> </v>
      </c>
      <c r="J1800" s="26" t="str">
        <f>IF(OR(E1800="",E1800="!!!",F1800="NEW"),"",COUNTBLANK(OFFSET(A$1,,,SUMPRODUCT(MAX(ROW(E$2:E1800)*(E1800=E$2:E1800)))))-COUNTBLANK(OFFSET(A$1,,,SUMPRODUCT(MAX(ROW(E$1:E1799)*(E2=E$1:E1799))))))</f>
        <v> </v>
      </c>
      <c r="K1800" s="26" t="str">
        <f>IF(OR(E1800="",E1800="!!!",F1800="NEW"),"",INDEX(J$1:J1799,SUMPRODUCT(MAX(ROW(E$1:E1799)*(E1800=E$1:E1799)))))</f>
        <v> </v>
      </c>
      <c r="L1800" s="27"/>
    </row>
    <row r="1801" spans="1:12">
      <c r="A1801" s="20" t="s">
        <v>1643</v>
      </c>
      <c r="B1801" s="21" t="s">
        <v>1029</v>
      </c>
      <c r="C1801" s="21" t="s">
        <v>1013</v>
      </c>
      <c r="D1801" s="21" t="s">
        <v>1007</v>
      </c>
      <c r="E1801" s="22">
        <f>IF(D1801="?OLD","!!!","")</f>
        <v/>
      </c>
      <c r="F1801" s="23" t="str">
        <f>IF(OR(E1801="",E1801="!!!"),"",IF(NOT(ISNA(VLOOKUP(E1801,E$1:E1800,1,FALSE()))),"OLD",IF(AND(E1801&lt;&gt;"",E1801&lt;&gt;"!!!"),"NEW","")))</f>
        <v> </v>
      </c>
      <c r="G1801" s="24" t="str">
        <f>IF(OR(E1801="",E1801="!!!"),"",IF(OR(J1801=0,AND(J1801=1,K1801=1),AND(J1801=1,I1801="SBJ"),AND(J1801=1,I1801=0)),"?IN_FOCUS",IF(J1801&lt;=2,"?ACTIVATED",IF(J1801&lt;&gt;"","?FAMILIAR",IF(F1801="NEW",IF(ISNA(VLOOKUP(E1801,#REF!,1,FALSE())),"?TYPE_IDENTIFIABLE","?REFERENTIAL"),"_")))))</f>
        <v> </v>
      </c>
      <c r="H1801" s="25" t="str">
        <f>IF(J1801&lt;&gt;1,"",IF(I1801="SBJ","CB","?"))</f>
        <v> </v>
      </c>
      <c r="I1801" s="26" t="str">
        <f>IF(OR(E1801="",E1801="!!!",F1801="NEW"),"",INDEX(B1800:B$2,-1+SUMPRODUCT(MAX(ROW(E1800:E$2)*(E1801=E1800:E$2)))))</f>
        <v> </v>
      </c>
      <c r="J1801" s="26" t="str">
        <f>IF(OR(E1801="",E1801="!!!",F1801="NEW"),"",COUNTBLANK(OFFSET(A$1,,,SUMPRODUCT(MAX(ROW(E$2:E1801)*(E1801=E$2:E1801)))))-COUNTBLANK(OFFSET(A$1,,,SUMPRODUCT(MAX(ROW(E$1:E1800)*(E2=E$1:E1800))))))</f>
        <v> </v>
      </c>
      <c r="K1801" s="26" t="str">
        <f>IF(OR(E1801="",E1801="!!!",F1801="NEW"),"",INDEX(J$1:J1800,SUMPRODUCT(MAX(ROW(E$1:E1800)*(E1801=E$1:E1800)))))</f>
        <v> </v>
      </c>
      <c r="L1801" s="27"/>
    </row>
    <row r="1802" spans="1:12">
      <c r="A1802" s="20" t="s">
        <v>1014</v>
      </c>
      <c r="E1802" s="22">
        <f>IF(D1802="?OLD","!!!","")</f>
        <v/>
      </c>
      <c r="F1802" s="23" t="str">
        <f>IF(OR(E1802="",E1802="!!!"),"",IF(NOT(ISNA(VLOOKUP(E1802,E$1:E1801,1,FALSE()))),"OLD",IF(AND(E1802&lt;&gt;"",E1802&lt;&gt;"!!!"),"NEW","")))</f>
        <v> </v>
      </c>
      <c r="G1802" s="24" t="str">
        <f>IF(OR(E1802="",E1802="!!!"),"",IF(OR(J1802=0,AND(J1802=1,K1802=1),AND(J1802=1,I1802="SBJ"),AND(J1802=1,I1802=0)),"?IN_FOCUS",IF(J1802&lt;=2,"?ACTIVATED",IF(J1802&lt;&gt;"","?FAMILIAR",IF(F1802="NEW",IF(ISNA(VLOOKUP(E1802,#REF!,1,FALSE())),"?TYPE_IDENTIFIABLE","?REFERENTIAL"),"_")))))</f>
        <v> </v>
      </c>
      <c r="H1802" s="25" t="str">
        <f>IF(J1802&lt;&gt;1,"",IF(I1802="SBJ","CB","?"))</f>
        <v> </v>
      </c>
      <c r="I1802" s="26" t="str">
        <f>IF(OR(E1802="",E1802="!!!",F1802="NEW"),"",INDEX(B1801:B$2,-1+SUMPRODUCT(MAX(ROW(E1801:E$2)*(E1802=E1801:E$2)))))</f>
        <v> </v>
      </c>
      <c r="J1802" s="26" t="str">
        <f>IF(OR(E1802="",E1802="!!!",F1802="NEW"),"",COUNTBLANK(OFFSET(A$1,,,SUMPRODUCT(MAX(ROW(E$2:E1802)*(E1802=E$2:E1802)))))-COUNTBLANK(OFFSET(A$1,,,SUMPRODUCT(MAX(ROW(E$1:E1801)*(E2=E$1:E1801))))))</f>
        <v> </v>
      </c>
      <c r="K1802" s="26" t="str">
        <f>IF(OR(E1802="",E1802="!!!",F1802="NEW"),"",INDEX(J$1:J1801,SUMPRODUCT(MAX(ROW(E$1:E1801)*(E1802=E$1:E1801)))))</f>
        <v> </v>
      </c>
      <c r="L1802" s="27"/>
    </row>
    <row r="1803" spans="1:12">
      <c r="A1803" s="20" t="s">
        <v>1644</v>
      </c>
      <c r="B1803" s="21" t="s">
        <v>1033</v>
      </c>
      <c r="C1803" s="21" t="s">
        <v>1006</v>
      </c>
      <c r="D1803" s="21" t="s">
        <v>1007</v>
      </c>
      <c r="E1803" s="22">
        <f>IF(D1803="?OLD","!!!","")</f>
        <v/>
      </c>
      <c r="F1803" s="23" t="str">
        <f>IF(OR(E1803="",E1803="!!!"),"",IF(NOT(ISNA(VLOOKUP(E1803,E$1:E1802,1,FALSE()))),"OLD",IF(AND(E1803&lt;&gt;"",E1803&lt;&gt;"!!!"),"NEW","")))</f>
        <v> </v>
      </c>
      <c r="G1803" s="24" t="str">
        <f>IF(OR(E1803="",E1803="!!!"),"",IF(OR(J1803=0,AND(J1803=1,K1803=1),AND(J1803=1,I1803="SBJ"),AND(J1803=1,I1803=0)),"?IN_FOCUS",IF(J1803&lt;=2,"?ACTIVATED",IF(J1803&lt;&gt;"","?FAMILIAR",IF(F1803="NEW",IF(ISNA(VLOOKUP(E1803,#REF!,1,FALSE())),"?TYPE_IDENTIFIABLE","?REFERENTIAL"),"_")))))</f>
        <v> </v>
      </c>
      <c r="H1803" s="25" t="str">
        <f>IF(J1803&lt;&gt;1,"",IF(I1803="SBJ","CB","?"))</f>
        <v> </v>
      </c>
      <c r="I1803" s="26" t="str">
        <f>IF(OR(E1803="",E1803="!!!",F1803="NEW"),"",INDEX(B1802:B$2,-1+SUMPRODUCT(MAX(ROW(E1802:E$2)*(E1803=E1802:E$2)))))</f>
        <v> </v>
      </c>
      <c r="J1803" s="26" t="str">
        <f>IF(OR(E1803="",E1803="!!!",F1803="NEW"),"",COUNTBLANK(OFFSET(A$1,,,SUMPRODUCT(MAX(ROW(E$2:E1803)*(E1803=E$2:E1803)))))-COUNTBLANK(OFFSET(A$1,,,SUMPRODUCT(MAX(ROW(E$1:E1802)*(E2=E$1:E1802))))))</f>
        <v> </v>
      </c>
      <c r="K1803" s="26" t="str">
        <f>IF(OR(E1803="",E1803="!!!",F1803="NEW"),"",INDEX(J$1:J1802,SUMPRODUCT(MAX(ROW(E$1:E1802)*(E1803=E$1:E1802)))))</f>
        <v> </v>
      </c>
      <c r="L1803" s="27"/>
    </row>
    <row r="1804" spans="1:12">
      <c r="A1804" s="20" t="s">
        <v>1212</v>
      </c>
      <c r="E1804" s="22">
        <f>IF(D1804="?OLD","!!!","")</f>
        <v/>
      </c>
      <c r="F1804" s="23" t="str">
        <f>IF(OR(E1804="",E1804="!!!"),"",IF(NOT(ISNA(VLOOKUP(E1804,E$1:E1803,1,FALSE()))),"OLD",IF(AND(E1804&lt;&gt;"",E1804&lt;&gt;"!!!"),"NEW","")))</f>
        <v> </v>
      </c>
      <c r="G1804" s="24" t="str">
        <f>IF(OR(E1804="",E1804="!!!"),"",IF(OR(J1804=0,AND(J1804=1,K1804=1),AND(J1804=1,I1804="SBJ"),AND(J1804=1,I1804=0)),"?IN_FOCUS",IF(J1804&lt;=2,"?ACTIVATED",IF(J1804&lt;&gt;"","?FAMILIAR",IF(F1804="NEW",IF(ISNA(VLOOKUP(E1804,#REF!,1,FALSE())),"?TYPE_IDENTIFIABLE","?REFERENTIAL"),"_")))))</f>
        <v> </v>
      </c>
      <c r="H1804" s="25" t="str">
        <f>IF(J1804&lt;&gt;1,"",IF(I1804="SBJ","CB","?"))</f>
        <v> </v>
      </c>
      <c r="I1804" s="26" t="str">
        <f>IF(OR(E1804="",E1804="!!!",F1804="NEW"),"",INDEX(B1803:B$2,-1+SUMPRODUCT(MAX(ROW(E1803:E$2)*(E1804=E1803:E$2)))))</f>
        <v> </v>
      </c>
      <c r="J1804" s="26" t="str">
        <f>IF(OR(E1804="",E1804="!!!",F1804="NEW"),"",COUNTBLANK(OFFSET(A$1,,,SUMPRODUCT(MAX(ROW(E$2:E1804)*(E1804=E$2:E1804)))))-COUNTBLANK(OFFSET(A$1,,,SUMPRODUCT(MAX(ROW(E$1:E1803)*(E2=E$1:E1803))))))</f>
        <v> </v>
      </c>
      <c r="K1804" s="26" t="str">
        <f>IF(OR(E1804="",E1804="!!!",F1804="NEW"),"",INDEX(J$1:J1803,SUMPRODUCT(MAX(ROW(E$1:E1803)*(E1804=E$1:E1803)))))</f>
        <v> </v>
      </c>
      <c r="L1804" s="27"/>
    </row>
    <row r="1805" spans="1:12">
      <c r="A1805" s="20" t="s">
        <v>1214</v>
      </c>
      <c r="B1805" s="21" t="s">
        <v>1035</v>
      </c>
      <c r="C1805" s="21" t="s">
        <v>1006</v>
      </c>
      <c r="D1805" s="21" t="s">
        <v>1007</v>
      </c>
      <c r="E1805" s="22">
        <f>IF(D1805="?OLD","!!!","")</f>
        <v/>
      </c>
      <c r="F1805" s="23" t="str">
        <f>IF(OR(E1805="",E1805="!!!"),"",IF(NOT(ISNA(VLOOKUP(E1805,E$1:E1804,1,FALSE()))),"OLD",IF(AND(E1805&lt;&gt;"",E1805&lt;&gt;"!!!"),"NEW","")))</f>
        <v> </v>
      </c>
      <c r="G1805" s="24" t="str">
        <f>IF(OR(E1805="",E1805="!!!"),"",IF(OR(J1805=0,AND(J1805=1,K1805=1),AND(J1805=1,I1805="SBJ"),AND(J1805=1,I1805=0)),"?IN_FOCUS",IF(J1805&lt;=2,"?ACTIVATED",IF(J1805&lt;&gt;"","?FAMILIAR",IF(F1805="NEW",IF(ISNA(VLOOKUP(E1805,#REF!,1,FALSE())),"?TYPE_IDENTIFIABLE","?REFERENTIAL"),"_")))))</f>
        <v> </v>
      </c>
      <c r="H1805" s="25" t="str">
        <f>IF(J1805&lt;&gt;1,"",IF(I1805="SBJ","CB","?"))</f>
        <v> </v>
      </c>
      <c r="I1805" s="26" t="str">
        <f>IF(OR(E1805="",E1805="!!!",F1805="NEW"),"",INDEX(B1804:B$2,-1+SUMPRODUCT(MAX(ROW(E1804:E$2)*(E1805=E1804:E$2)))))</f>
        <v> </v>
      </c>
      <c r="J1805" s="26" t="str">
        <f>IF(OR(E1805="",E1805="!!!",F1805="NEW"),"",COUNTBLANK(OFFSET(A$1,,,SUMPRODUCT(MAX(ROW(E$2:E1805)*(E1805=E$2:E1805)))))-COUNTBLANK(OFFSET(A$1,,,SUMPRODUCT(MAX(ROW(E$1:E1804)*(E2=E$1:E1804))))))</f>
        <v> </v>
      </c>
      <c r="K1805" s="26" t="str">
        <f>IF(OR(E1805="",E1805="!!!",F1805="NEW"),"",INDEX(J$1:J1804,SUMPRODUCT(MAX(ROW(E$1:E1804)*(E1805=E$1:E1804)))))</f>
        <v> </v>
      </c>
      <c r="L1805" s="27"/>
    </row>
    <row r="1806" spans="1:12">
      <c r="A1806" s="20" t="s">
        <v>1014</v>
      </c>
      <c r="E1806" s="22">
        <f>IF(D1806="?OLD","!!!","")</f>
        <v/>
      </c>
      <c r="F1806" s="23" t="str">
        <f>IF(OR(E1806="",E1806="!!!"),"",IF(NOT(ISNA(VLOOKUP(E1806,E$1:E1805,1,FALSE()))),"OLD",IF(AND(E1806&lt;&gt;"",E1806&lt;&gt;"!!!"),"NEW","")))</f>
        <v> </v>
      </c>
      <c r="G1806" s="24" t="str">
        <f>IF(OR(E1806="",E1806="!!!"),"",IF(OR(J1806=0,AND(J1806=1,K1806=1),AND(J1806=1,I1806="SBJ"),AND(J1806=1,I1806=0)),"?IN_FOCUS",IF(J1806&lt;=2,"?ACTIVATED",IF(J1806&lt;&gt;"","?FAMILIAR",IF(F1806="NEW",IF(ISNA(VLOOKUP(E1806,#REF!,1,FALSE())),"?TYPE_IDENTIFIABLE","?REFERENTIAL"),"_")))))</f>
        <v> </v>
      </c>
      <c r="H1806" s="25" t="str">
        <f>IF(J1806&lt;&gt;1,"",IF(I1806="SBJ","CB","?"))</f>
        <v> </v>
      </c>
      <c r="I1806" s="26" t="str">
        <f>IF(OR(E1806="",E1806="!!!",F1806="NEW"),"",INDEX(B1805:B$2,-1+SUMPRODUCT(MAX(ROW(E1805:E$2)*(E1806=E1805:E$2)))))</f>
        <v> </v>
      </c>
      <c r="J1806" s="26" t="str">
        <f>IF(OR(E1806="",E1806="!!!",F1806="NEW"),"",COUNTBLANK(OFFSET(A$1,,,SUMPRODUCT(MAX(ROW(E$2:E1806)*(E1806=E$2:E1806)))))-COUNTBLANK(OFFSET(A$1,,,SUMPRODUCT(MAX(ROW(E$1:E1805)*(E2=E$1:E1805))))))</f>
        <v> </v>
      </c>
      <c r="K1806" s="26" t="str">
        <f>IF(OR(E1806="",E1806="!!!",F1806="NEW"),"",INDEX(J$1:J1805,SUMPRODUCT(MAX(ROW(E$1:E1805)*(E1806=E$1:E1805)))))</f>
        <v> </v>
      </c>
      <c r="L1806" s="27"/>
    </row>
    <row r="1807" spans="1:12">
      <c r="A1807" s="20" t="s">
        <v>1645</v>
      </c>
      <c r="B1807" s="21" t="s">
        <v>1130</v>
      </c>
      <c r="C1807" s="21" t="s">
        <v>1006</v>
      </c>
      <c r="D1807" s="21" t="s">
        <v>1007</v>
      </c>
      <c r="E1807" s="22">
        <f>IF(D1807="?OLD","!!!","")</f>
        <v/>
      </c>
      <c r="F1807" s="23" t="str">
        <f>IF(OR(E1807="",E1807="!!!"),"",IF(NOT(ISNA(VLOOKUP(E1807,E$1:E1806,1,FALSE()))),"OLD",IF(AND(E1807&lt;&gt;"",E1807&lt;&gt;"!!!"),"NEW","")))</f>
        <v> </v>
      </c>
      <c r="G1807" s="24" t="str">
        <f>IF(OR(E1807="",E1807="!!!"),"",IF(OR(J1807=0,AND(J1807=1,K1807=1),AND(J1807=1,I1807="SBJ"),AND(J1807=1,I1807=0)),"?IN_FOCUS",IF(J1807&lt;=2,"?ACTIVATED",IF(J1807&lt;&gt;"","?FAMILIAR",IF(F1807="NEW",IF(ISNA(VLOOKUP(E1807,#REF!,1,FALSE())),"?TYPE_IDENTIFIABLE","?REFERENTIAL"),"_")))))</f>
        <v> </v>
      </c>
      <c r="H1807" s="25" t="str">
        <f>IF(J1807&lt;&gt;1,"",IF(I1807="SBJ","CB","?"))</f>
        <v> </v>
      </c>
      <c r="I1807" s="26" t="str">
        <f>IF(OR(E1807="",E1807="!!!",F1807="NEW"),"",INDEX(B1806:B$2,-1+SUMPRODUCT(MAX(ROW(E1806:E$2)*(E1807=E1806:E$2)))))</f>
        <v> </v>
      </c>
      <c r="J1807" s="26" t="str">
        <f>IF(OR(E1807="",E1807="!!!",F1807="NEW"),"",COUNTBLANK(OFFSET(A$1,,,SUMPRODUCT(MAX(ROW(E$2:E1807)*(E1807=E$2:E1807)))))-COUNTBLANK(OFFSET(A$1,,,SUMPRODUCT(MAX(ROW(E$1:E1806)*(E2=E$1:E1806))))))</f>
        <v> </v>
      </c>
      <c r="K1807" s="26" t="str">
        <f>IF(OR(E1807="",E1807="!!!",F1807="NEW"),"",INDEX(J$1:J1806,SUMPRODUCT(MAX(ROW(E$1:E1806)*(E1807=E$1:E1806)))))</f>
        <v> </v>
      </c>
      <c r="L1807" s="27"/>
    </row>
    <row r="1808" spans="1:12">
      <c r="A1808" s="20" t="s">
        <v>1218</v>
      </c>
      <c r="E1808" s="22">
        <f>IF(D1808="?OLD","!!!","")</f>
        <v/>
      </c>
      <c r="F1808" s="23" t="str">
        <f>IF(OR(E1808="",E1808="!!!"),"",IF(NOT(ISNA(VLOOKUP(E1808,E$1:E1807,1,FALSE()))),"OLD",IF(AND(E1808&lt;&gt;"",E1808&lt;&gt;"!!!"),"NEW","")))</f>
        <v> </v>
      </c>
      <c r="G1808" s="24" t="str">
        <f>IF(OR(E1808="",E1808="!!!"),"",IF(OR(J1808=0,AND(J1808=1,K1808=1),AND(J1808=1,I1808="SBJ"),AND(J1808=1,I1808=0)),"?IN_FOCUS",IF(J1808&lt;=2,"?ACTIVATED",IF(J1808&lt;&gt;"","?FAMILIAR",IF(F1808="NEW",IF(ISNA(VLOOKUP(E1808,#REF!,1,FALSE())),"?TYPE_IDENTIFIABLE","?REFERENTIAL"),"_")))))</f>
        <v> </v>
      </c>
      <c r="H1808" s="25" t="str">
        <f>IF(J1808&lt;&gt;1,"",IF(I1808="SBJ","CB","?"))</f>
        <v> </v>
      </c>
      <c r="I1808" s="26" t="str">
        <f>IF(OR(E1808="",E1808="!!!",F1808="NEW"),"",INDEX(B1807:B$2,-1+SUMPRODUCT(MAX(ROW(E1807:E$2)*(E1808=E1807:E$2)))))</f>
        <v> </v>
      </c>
      <c r="J1808" s="26" t="str">
        <f>IF(OR(E1808="",E1808="!!!",F1808="NEW"),"",COUNTBLANK(OFFSET(A$1,,,SUMPRODUCT(MAX(ROW(E$2:E1808)*(E1808=E$2:E1808)))))-COUNTBLANK(OFFSET(A$1,,,SUMPRODUCT(MAX(ROW(E$1:E1807)*(E2=E$1:E1807))))))</f>
        <v> </v>
      </c>
      <c r="K1808" s="26" t="str">
        <f>IF(OR(E1808="",E1808="!!!",F1808="NEW"),"",INDEX(J$1:J1807,SUMPRODUCT(MAX(ROW(E$1:E1807)*(E1808=E$1:E1807)))))</f>
        <v> </v>
      </c>
      <c r="L1808" s="27"/>
    </row>
    <row r="1809" spans="1:12">
      <c r="A1809" s="20" t="s">
        <v>1030</v>
      </c>
      <c r="E1809" s="22">
        <f>IF(D1809="?OLD","!!!","")</f>
        <v/>
      </c>
      <c r="F1809" s="23" t="str">
        <f>IF(OR(E1809="",E1809="!!!"),"",IF(NOT(ISNA(VLOOKUP(E1809,E$1:E1808,1,FALSE()))),"OLD",IF(AND(E1809&lt;&gt;"",E1809&lt;&gt;"!!!"),"NEW","")))</f>
        <v> </v>
      </c>
      <c r="G1809" s="24" t="str">
        <f>IF(OR(E1809="",E1809="!!!"),"",IF(OR(J1809=0,AND(J1809=1,K1809=1),AND(J1809=1,I1809="SBJ"),AND(J1809=1,I1809=0)),"?IN_FOCUS",IF(J1809&lt;=2,"?ACTIVATED",IF(J1809&lt;&gt;"","?FAMILIAR",IF(F1809="NEW",IF(ISNA(VLOOKUP(E1809,#REF!,1,FALSE())),"?TYPE_IDENTIFIABLE","?REFERENTIAL"),"_")))))</f>
        <v> </v>
      </c>
      <c r="H1809" s="25" t="str">
        <f>IF(J1809&lt;&gt;1,"",IF(I1809="SBJ","CB","?"))</f>
        <v> </v>
      </c>
      <c r="I1809" s="26" t="str">
        <f>IF(OR(E1809="",E1809="!!!",F1809="NEW"),"",INDEX(B1808:B$2,-1+SUMPRODUCT(MAX(ROW(E1808:E$2)*(E1809=E1808:E$2)))))</f>
        <v> </v>
      </c>
      <c r="J1809" s="26" t="str">
        <f>IF(OR(E1809="",E1809="!!!",F1809="NEW"),"",COUNTBLANK(OFFSET(A$1,,,SUMPRODUCT(MAX(ROW(E$2:E1809)*(E1809=E$2:E1809)))))-COUNTBLANK(OFFSET(A$1,,,SUMPRODUCT(MAX(ROW(E$1:E1808)*(E2=E$1:E1808))))))</f>
        <v> </v>
      </c>
      <c r="K1809" s="26" t="str">
        <f>IF(OR(E1809="",E1809="!!!",F1809="NEW"),"",INDEX(J$1:J1808,SUMPRODUCT(MAX(ROW(E$1:E1808)*(E1809=E$1:E1808)))))</f>
        <v> </v>
      </c>
      <c r="L1809" s="27"/>
    </row>
    <row r="1810" spans="1:12">
      <c r="A1810" s="20" t="s">
        <v>1020</v>
      </c>
      <c r="E1810" s="22">
        <f>IF(D1810="?OLD","!!!","")</f>
        <v/>
      </c>
      <c r="F1810" s="23" t="str">
        <f>IF(OR(E1810="",E1810="!!!"),"",IF(NOT(ISNA(VLOOKUP(E1810,E$1:E1809,1,FALSE()))),"OLD",IF(AND(E1810&lt;&gt;"",E1810&lt;&gt;"!!!"),"NEW","")))</f>
        <v> </v>
      </c>
      <c r="G1810" s="24" t="str">
        <f>IF(OR(E1810="",E1810="!!!"),"",IF(OR(J1810=0,AND(J1810=1,K1810=1),AND(J1810=1,I1810="SBJ"),AND(J1810=1,I1810=0)),"?IN_FOCUS",IF(J1810&lt;=2,"?ACTIVATED",IF(J1810&lt;&gt;"","?FAMILIAR",IF(F1810="NEW",IF(ISNA(VLOOKUP(E1810,#REF!,1,FALSE())),"?TYPE_IDENTIFIABLE","?REFERENTIAL"),"_")))))</f>
        <v> </v>
      </c>
      <c r="H1810" s="25" t="str">
        <f>IF(J1810&lt;&gt;1,"",IF(I1810="SBJ","CB","?"))</f>
        <v> </v>
      </c>
      <c r="I1810" s="26" t="str">
        <f>IF(OR(E1810="",E1810="!!!",F1810="NEW"),"",INDEX(B1809:B$2,-1+SUMPRODUCT(MAX(ROW(E1809:E$2)*(E1810=E1809:E$2)))))</f>
        <v> </v>
      </c>
      <c r="J1810" s="26" t="str">
        <f>IF(OR(E1810="",E1810="!!!",F1810="NEW"),"",COUNTBLANK(OFFSET(A$1,,,SUMPRODUCT(MAX(ROW(E$2:E1810)*(E1810=E$2:E1810)))))-COUNTBLANK(OFFSET(A$1,,,SUMPRODUCT(MAX(ROW(E$1:E1809)*(E2=E$1:E1809))))))</f>
        <v> </v>
      </c>
      <c r="K1810" s="26" t="str">
        <f>IF(OR(E1810="",E1810="!!!",F1810="NEW"),"",INDEX(J$1:J1809,SUMPRODUCT(MAX(ROW(E$1:E1809)*(E1810=E$1:E1809)))))</f>
        <v> </v>
      </c>
      <c r="L1810" s="27"/>
    </row>
    <row r="1811" spans="1:12">
      <c r="A1811" s="20" t="s">
        <v>1021</v>
      </c>
      <c r="B1811" s="21" t="s">
        <v>1022</v>
      </c>
      <c r="C1811" s="21" t="s">
        <v>1006</v>
      </c>
      <c r="D1811" s="21" t="s">
        <v>1007</v>
      </c>
      <c r="E1811" s="22">
        <f>IF(D1811="?OLD","!!!","")</f>
        <v/>
      </c>
      <c r="F1811" s="23" t="str">
        <f>IF(OR(E1811="",E1811="!!!"),"",IF(NOT(ISNA(VLOOKUP(E1811,E$1:E1810,1,FALSE()))),"OLD",IF(AND(E1811&lt;&gt;"",E1811&lt;&gt;"!!!"),"NEW","")))</f>
        <v> </v>
      </c>
      <c r="G1811" s="24" t="str">
        <f>IF(OR(E1811="",E1811="!!!"),"",IF(OR(J1811=0,AND(J1811=1,K1811=1),AND(J1811=1,I1811="SBJ"),AND(J1811=1,I1811=0)),"?IN_FOCUS",IF(J1811&lt;=2,"?ACTIVATED",IF(J1811&lt;&gt;"","?FAMILIAR",IF(F1811="NEW",IF(ISNA(VLOOKUP(E1811,#REF!,1,FALSE())),"?TYPE_IDENTIFIABLE","?REFERENTIAL"),"_")))))</f>
        <v> </v>
      </c>
      <c r="H1811" s="25" t="str">
        <f>IF(J1811&lt;&gt;1,"",IF(I1811="SBJ","CB","?"))</f>
        <v> </v>
      </c>
      <c r="I1811" s="26" t="str">
        <f>IF(OR(E1811="",E1811="!!!",F1811="NEW"),"",INDEX(B1810:B$2,-1+SUMPRODUCT(MAX(ROW(E1810:E$2)*(E1811=E1810:E$2)))))</f>
        <v> </v>
      </c>
      <c r="J1811" s="26" t="str">
        <f>IF(OR(E1811="",E1811="!!!",F1811="NEW"),"",COUNTBLANK(OFFSET(A$1,,,SUMPRODUCT(MAX(ROW(E$2:E1811)*(E1811=E$2:E1811)))))-COUNTBLANK(OFFSET(A$1,,,SUMPRODUCT(MAX(ROW(E$1:E1810)*(E2=E$1:E1810))))))</f>
        <v> </v>
      </c>
      <c r="K1811" s="26" t="str">
        <f>IF(OR(E1811="",E1811="!!!",F1811="NEW"),"",INDEX(J$1:J1810,SUMPRODUCT(MAX(ROW(E$1:E1810)*(E1811=E$1:E1810)))))</f>
        <v> </v>
      </c>
      <c r="L1811" s="27"/>
    </row>
    <row r="1812" spans="1:12">
      <c r="A1812" s="20" t="s">
        <v>1030</v>
      </c>
      <c r="E1812" s="22">
        <f>IF(D1812="?OLD","!!!","")</f>
        <v/>
      </c>
      <c r="F1812" s="23" t="str">
        <f>IF(OR(E1812="",E1812="!!!"),"",IF(NOT(ISNA(VLOOKUP(E1812,E$1:E1811,1,FALSE()))),"OLD",IF(AND(E1812&lt;&gt;"",E1812&lt;&gt;"!!!"),"NEW","")))</f>
        <v> </v>
      </c>
      <c r="G1812" s="24" t="str">
        <f>IF(OR(E1812="",E1812="!!!"),"",IF(OR(J1812=0,AND(J1812=1,K1812=1),AND(J1812=1,I1812="SBJ"),AND(J1812=1,I1812=0)),"?IN_FOCUS",IF(J1812&lt;=2,"?ACTIVATED",IF(J1812&lt;&gt;"","?FAMILIAR",IF(F1812="NEW",IF(ISNA(VLOOKUP(E1812,#REF!,1,FALSE())),"?TYPE_IDENTIFIABLE","?REFERENTIAL"),"_")))))</f>
        <v> </v>
      </c>
      <c r="H1812" s="25" t="str">
        <f>IF(J1812&lt;&gt;1,"",IF(I1812="SBJ","CB","?"))</f>
        <v> </v>
      </c>
      <c r="I1812" s="26" t="str">
        <f>IF(OR(E1812="",E1812="!!!",F1812="NEW"),"",INDEX(B1811:B$2,-1+SUMPRODUCT(MAX(ROW(E1811:E$2)*(E1812=E1811:E$2)))))</f>
        <v> </v>
      </c>
      <c r="J1812" s="26" t="str">
        <f>IF(OR(E1812="",E1812="!!!",F1812="NEW"),"",COUNTBLANK(OFFSET(A$1,,,SUMPRODUCT(MAX(ROW(E$2:E1812)*(E1812=E$2:E1812)))))-COUNTBLANK(OFFSET(A$1,,,SUMPRODUCT(MAX(ROW(E$1:E1811)*(E2=E$1:E1811))))))</f>
        <v> </v>
      </c>
      <c r="K1812" s="26" t="str">
        <f>IF(OR(E1812="",E1812="!!!",F1812="NEW"),"",INDEX(J$1:J1811,SUMPRODUCT(MAX(ROW(E$1:E1811)*(E1812=E$1:E1811)))))</f>
        <v> </v>
      </c>
      <c r="L1812" s="27"/>
    </row>
    <row r="1813" spans="1:12">
      <c r="A1813" s="20" t="s">
        <v>1646</v>
      </c>
      <c r="E1813" s="22">
        <f>IF(D1813="?OLD","!!!","")</f>
        <v/>
      </c>
      <c r="F1813" s="23" t="str">
        <f>IF(OR(E1813="",E1813="!!!"),"",IF(NOT(ISNA(VLOOKUP(E1813,E$1:E1812,1,FALSE()))),"OLD",IF(AND(E1813&lt;&gt;"",E1813&lt;&gt;"!!!"),"NEW","")))</f>
        <v> </v>
      </c>
      <c r="G1813" s="24" t="str">
        <f>IF(OR(E1813="",E1813="!!!"),"",IF(OR(J1813=0,AND(J1813=1,K1813=1),AND(J1813=1,I1813="SBJ"),AND(J1813=1,I1813=0)),"?IN_FOCUS",IF(J1813&lt;=2,"?ACTIVATED",IF(J1813&lt;&gt;"","?FAMILIAR",IF(F1813="NEW",IF(ISNA(VLOOKUP(E1813,#REF!,1,FALSE())),"?TYPE_IDENTIFIABLE","?REFERENTIAL"),"_")))))</f>
        <v> </v>
      </c>
      <c r="H1813" s="25" t="str">
        <f>IF(J1813&lt;&gt;1,"",IF(I1813="SBJ","CB","?"))</f>
        <v> </v>
      </c>
      <c r="I1813" s="26" t="str">
        <f>IF(OR(E1813="",E1813="!!!",F1813="NEW"),"",INDEX(B1812:B$2,-1+SUMPRODUCT(MAX(ROW(E1812:E$2)*(E1813=E1812:E$2)))))</f>
        <v> </v>
      </c>
      <c r="J1813" s="26" t="str">
        <f>IF(OR(E1813="",E1813="!!!",F1813="NEW"),"",COUNTBLANK(OFFSET(A$1,,,SUMPRODUCT(MAX(ROW(E$2:E1813)*(E1813=E$2:E1813)))))-COUNTBLANK(OFFSET(A$1,,,SUMPRODUCT(MAX(ROW(E$1:E1812)*(E2=E$1:E1812))))))</f>
        <v> </v>
      </c>
      <c r="K1813" s="26" t="str">
        <f>IF(OR(E1813="",E1813="!!!",F1813="NEW"),"",INDEX(J$1:J1812,SUMPRODUCT(MAX(ROW(E$1:E1812)*(E1813=E$1:E1812)))))</f>
        <v> </v>
      </c>
      <c r="L1813" s="27"/>
    </row>
    <row r="1814" spans="1:12">
      <c r="A1814" s="20" t="s">
        <v>1647</v>
      </c>
      <c r="B1814" s="21" t="s">
        <v>1022</v>
      </c>
      <c r="C1814" s="21" t="s">
        <v>1205</v>
      </c>
      <c r="E1814" s="22">
        <f>IF(D1814="?OLD","!!!","")</f>
        <v/>
      </c>
      <c r="F1814" s="23" t="str">
        <f>IF(OR(E1814="",E1814="!!!"),"",IF(NOT(ISNA(VLOOKUP(E1814,E$1:E1813,1,FALSE()))),"OLD",IF(AND(E1814&lt;&gt;"",E1814&lt;&gt;"!!!"),"NEW","")))</f>
        <v> </v>
      </c>
      <c r="G1814" s="24" t="str">
        <f>IF(OR(E1814="",E1814="!!!"),"",IF(OR(J1814=0,AND(J1814=1,K1814=1),AND(J1814=1,I1814="SBJ"),AND(J1814=1,I1814=0)),"?IN_FOCUS",IF(J1814&lt;=2,"?ACTIVATED",IF(J1814&lt;&gt;"","?FAMILIAR",IF(F1814="NEW",IF(ISNA(VLOOKUP(E1814,#REF!,1,FALSE())),"?TYPE_IDENTIFIABLE","?REFERENTIAL"),"_")))))</f>
        <v> </v>
      </c>
      <c r="H1814" s="25" t="str">
        <f>IF(J1814&lt;&gt;1,"",IF(I1814="SBJ","CB","?"))</f>
        <v> </v>
      </c>
      <c r="I1814" s="26" t="str">
        <f>IF(OR(E1814="",E1814="!!!",F1814="NEW"),"",INDEX(B1813:B$2,-1+SUMPRODUCT(MAX(ROW(E1813:E$2)*(E1814=E1813:E$2)))))</f>
        <v> </v>
      </c>
      <c r="J1814" s="26" t="str">
        <f>IF(OR(E1814="",E1814="!!!",F1814="NEW"),"",COUNTBLANK(OFFSET(A$1,,,SUMPRODUCT(MAX(ROW(E$2:E1814)*(E1814=E$2:E1814)))))-COUNTBLANK(OFFSET(A$1,,,SUMPRODUCT(MAX(ROW(E$1:E1813)*(E2=E$1:E1813))))))</f>
        <v> </v>
      </c>
      <c r="K1814" s="26" t="str">
        <f>IF(OR(E1814="",E1814="!!!",F1814="NEW"),"",INDEX(J$1:J1813,SUMPRODUCT(MAX(ROW(E$1:E1813)*(E1814=E$1:E1813)))))</f>
        <v> </v>
      </c>
      <c r="L1814" s="27"/>
    </row>
    <row r="1815" spans="1:12">
      <c r="A1815" s="20" t="s">
        <v>1065</v>
      </c>
      <c r="B1815" s="21" t="s">
        <v>1064</v>
      </c>
      <c r="E1815" s="22">
        <f>IF(D1815="?OLD","!!!","")</f>
        <v/>
      </c>
      <c r="F1815" s="23" t="str">
        <f>IF(OR(E1815="",E1815="!!!"),"",IF(NOT(ISNA(VLOOKUP(E1815,E$1:E1814,1,FALSE()))),"OLD",IF(AND(E1815&lt;&gt;"",E1815&lt;&gt;"!!!"),"NEW","")))</f>
        <v> </v>
      </c>
      <c r="G1815" s="24" t="str">
        <f>IF(OR(E1815="",E1815="!!!"),"",IF(OR(J1815=0,AND(J1815=1,K1815=1),AND(J1815=1,I1815="SBJ"),AND(J1815=1,I1815=0)),"?IN_FOCUS",IF(J1815&lt;=2,"?ACTIVATED",IF(J1815&lt;&gt;"","?FAMILIAR",IF(F1815="NEW",IF(ISNA(VLOOKUP(E1815,#REF!,1,FALSE())),"?TYPE_IDENTIFIABLE","?REFERENTIAL"),"_")))))</f>
        <v> </v>
      </c>
      <c r="H1815" s="25" t="str">
        <f>IF(J1815&lt;&gt;1,"",IF(I1815="SBJ","CB","?"))</f>
        <v> </v>
      </c>
      <c r="I1815" s="26" t="str">
        <f>IF(OR(E1815="",E1815="!!!",F1815="NEW"),"",INDEX(B1814:B$2,-1+SUMPRODUCT(MAX(ROW(E1814:E$2)*(E1815=E1814:E$2)))))</f>
        <v> </v>
      </c>
      <c r="J1815" s="26" t="str">
        <f>IF(OR(E1815="",E1815="!!!",F1815="NEW"),"",COUNTBLANK(OFFSET(A$1,,,SUMPRODUCT(MAX(ROW(E$2:E1815)*(E1815=E$2:E1815)))))-COUNTBLANK(OFFSET(A$1,,,SUMPRODUCT(MAX(ROW(E$1:E1814)*(E2=E$1:E1814))))))</f>
        <v> </v>
      </c>
      <c r="K1815" s="26" t="str">
        <f>IF(OR(E1815="",E1815="!!!",F1815="NEW"),"",INDEX(J$1:J1814,SUMPRODUCT(MAX(ROW(E$1:E1814)*(E1815=E$1:E1814)))))</f>
        <v> </v>
      </c>
      <c r="L1815" s="27"/>
    </row>
    <row r="1816" spans="1:12">
      <c r="A1816" s="20" t="s">
        <v>1648</v>
      </c>
      <c r="E1816" s="22">
        <f>IF(D1816="?OLD","!!!","")</f>
        <v/>
      </c>
      <c r="F1816" s="23" t="str">
        <f>IF(OR(E1816="",E1816="!!!"),"",IF(NOT(ISNA(VLOOKUP(E1816,E$1:E1815,1,FALSE()))),"OLD",IF(AND(E1816&lt;&gt;"",E1816&lt;&gt;"!!!"),"NEW","")))</f>
        <v> </v>
      </c>
      <c r="G1816" s="24" t="str">
        <f>IF(OR(E1816="",E1816="!!!"),"",IF(OR(J1816=0,AND(J1816=1,K1816=1),AND(J1816=1,I1816="SBJ"),AND(J1816=1,I1816=0)),"?IN_FOCUS",IF(J1816&lt;=2,"?ACTIVATED",IF(J1816&lt;&gt;"","?FAMILIAR",IF(F1816="NEW",IF(ISNA(VLOOKUP(E1816,#REF!,1,FALSE())),"?TYPE_IDENTIFIABLE","?REFERENTIAL"),"_")))))</f>
        <v> </v>
      </c>
      <c r="H1816" s="25" t="str">
        <f>IF(J1816&lt;&gt;1,"",IF(I1816="SBJ","CB","?"))</f>
        <v> </v>
      </c>
      <c r="I1816" s="26" t="str">
        <f>IF(OR(E1816="",E1816="!!!",F1816="NEW"),"",INDEX(B1815:B$2,-1+SUMPRODUCT(MAX(ROW(E1815:E$2)*(E1816=E1815:E$2)))))</f>
        <v> </v>
      </c>
      <c r="J1816" s="26" t="str">
        <f>IF(OR(E1816="",E1816="!!!",F1816="NEW"),"",COUNTBLANK(OFFSET(A$1,,,SUMPRODUCT(MAX(ROW(E$2:E1816)*(E1816=E$2:E1816)))))-COUNTBLANK(OFFSET(A$1,,,SUMPRODUCT(MAX(ROW(E$1:E1815)*(E2=E$1:E1815))))))</f>
        <v> </v>
      </c>
      <c r="K1816" s="26" t="str">
        <f>IF(OR(E1816="",E1816="!!!",F1816="NEW"),"",INDEX(J$1:J1815,SUMPRODUCT(MAX(ROW(E$1:E1815)*(E1816=E$1:E1815)))))</f>
        <v> </v>
      </c>
      <c r="L1816" s="27"/>
    </row>
    <row r="1817" spans="1:12">
      <c r="A1817" s="20" t="s">
        <v>1023</v>
      </c>
      <c r="E1817" s="22">
        <f>IF(D1817="?OLD","!!!","")</f>
        <v/>
      </c>
      <c r="F1817" s="23" t="str">
        <f>IF(OR(E1817="",E1817="!!!"),"",IF(NOT(ISNA(VLOOKUP(E1817,E$1:E1816,1,FALSE()))),"OLD",IF(AND(E1817&lt;&gt;"",E1817&lt;&gt;"!!!"),"NEW","")))</f>
        <v> </v>
      </c>
      <c r="G1817" s="24" t="str">
        <f>IF(OR(E1817="",E1817="!!!"),"",IF(OR(J1817=0,AND(J1817=1,K1817=1),AND(J1817=1,I1817="SBJ"),AND(J1817=1,I1817=0)),"?IN_FOCUS",IF(J1817&lt;=2,"?ACTIVATED",IF(J1817&lt;&gt;"","?FAMILIAR",IF(F1817="NEW",IF(ISNA(VLOOKUP(E1817,#REF!,1,FALSE())),"?TYPE_IDENTIFIABLE","?REFERENTIAL"),"_")))))</f>
        <v> </v>
      </c>
      <c r="H1817" s="25" t="str">
        <f>IF(J1817&lt;&gt;1,"",IF(I1817="SBJ","CB","?"))</f>
        <v> </v>
      </c>
      <c r="I1817" s="26" t="str">
        <f>IF(OR(E1817="",E1817="!!!",F1817="NEW"),"",INDEX(B1816:B$2,-1+SUMPRODUCT(MAX(ROW(E1816:E$2)*(E1817=E1816:E$2)))))</f>
        <v> </v>
      </c>
      <c r="J1817" s="26" t="str">
        <f>IF(OR(E1817="",E1817="!!!",F1817="NEW"),"",COUNTBLANK(OFFSET(A$1,,,SUMPRODUCT(MAX(ROW(E$2:E1817)*(E1817=E$2:E1817)))))-COUNTBLANK(OFFSET(A$1,,,SUMPRODUCT(MAX(ROW(E$1:E1816)*(E2=E$1:E1816))))))</f>
        <v> </v>
      </c>
      <c r="K1817" s="26" t="str">
        <f>IF(OR(E1817="",E1817="!!!",F1817="NEW"),"",INDEX(J$1:J1816,SUMPRODUCT(MAX(ROW(E$1:E1816)*(E1817=E$1:E1816)))))</f>
        <v> </v>
      </c>
      <c r="L1817" s="27"/>
    </row>
    <row r="1818" spans="1:12">
      <c r="A1818" s="20"/>
    </row>
    <row r="1819" spans="1:12">
      <c r="A1819" s="20" t="s">
        <v>1184</v>
      </c>
      <c r="E1819" s="22">
        <f>IF(D1819="?OLD","!!!","")</f>
        <v/>
      </c>
      <c r="F1819" s="23" t="str">
        <f>IF(OR(E1819="",E1819="!!!"),"",IF(NOT(ISNA(VLOOKUP(E1819,E$1:E1818,1,FALSE()))),"OLD",IF(AND(E1819&lt;&gt;"",E1819&lt;&gt;"!!!"),"NEW","")))</f>
        <v> </v>
      </c>
      <c r="G1819" s="24" t="str">
        <f>IF(OR(E1819="",E1819="!!!"),"",IF(OR(J1819=0,AND(J1819=1,K1819=1),AND(J1819=1,I1819="SBJ"),AND(J1819=1,I1819=0)),"?IN_FOCUS",IF(J1819&lt;=2,"?ACTIVATED",IF(J1819&lt;&gt;"","?FAMILIAR",IF(F1819="NEW",IF(ISNA(VLOOKUP(E1819,#REF!,1,FALSE())),"?TYPE_IDENTIFIABLE","?REFERENTIAL"),"_")))))</f>
        <v> </v>
      </c>
      <c r="H1819" s="25" t="str">
        <f>IF(J1819&lt;&gt;1,"",IF(I1819="SBJ","CB","?"))</f>
        <v> </v>
      </c>
      <c r="I1819" s="26" t="str">
        <f>IF(OR(E1819="",E1819="!!!",F1819="NEW"),"",INDEX(B1818:B$2,-1+SUMPRODUCT(MAX(ROW(E1818:E$2)*(E1819=E1818:E$2)))))</f>
        <v> </v>
      </c>
      <c r="J1819" s="26" t="str">
        <f>IF(OR(E1819="",E1819="!!!",F1819="NEW"),"",COUNTBLANK(OFFSET(A$1,,,SUMPRODUCT(MAX(ROW(E$2:E1819)*(E1819=E$2:E1819)))))-COUNTBLANK(OFFSET(A$1,,,SUMPRODUCT(MAX(ROW(E$1:E1818)*(E2=E$1:E1818))))))</f>
        <v> </v>
      </c>
      <c r="K1819" s="26" t="str">
        <f>IF(OR(E1819="",E1819="!!!",F1819="NEW"),"",INDEX(J$1:J1818,SUMPRODUCT(MAX(ROW(E$1:E1818)*(E1819=E$1:E1818)))))</f>
        <v> </v>
      </c>
      <c r="L1819" s="27"/>
    </row>
    <row r="1820" spans="1:12">
      <c r="A1820" s="20" t="s">
        <v>1649</v>
      </c>
    </row>
    <row r="1821" spans="1:12">
      <c r="A1821" s="20" t="s">
        <v>1400</v>
      </c>
      <c r="E1821" s="22">
        <f>IF(D1821="?OLD","!!!","")</f>
        <v/>
      </c>
      <c r="F1821" s="23" t="str">
        <f>IF(OR(E1821="",E1821="!!!"),"",IF(NOT(ISNA(VLOOKUP(E1821,E$1:E1820,1,FALSE()))),"OLD",IF(AND(E1821&lt;&gt;"",E1821&lt;&gt;"!!!"),"NEW","")))</f>
        <v> </v>
      </c>
      <c r="G1821" s="24" t="str">
        <f>IF(OR(E1821="",E1821="!!!"),"",IF(OR(J1821=0,AND(J1821=1,K1821=1),AND(J1821=1,I1821="SBJ"),AND(J1821=1,I1821=0)),"?IN_FOCUS",IF(J1821&lt;=2,"?ACTIVATED",IF(J1821&lt;&gt;"","?FAMILIAR",IF(F1821="NEW",IF(ISNA(VLOOKUP(E1821,#REF!,1,FALSE())),"?TYPE_IDENTIFIABLE","?REFERENTIAL"),"_")))))</f>
        <v> </v>
      </c>
      <c r="H1821" s="25" t="str">
        <f>IF(J1821&lt;&gt;1,"",IF(I1821="SBJ","CB","?"))</f>
        <v> </v>
      </c>
      <c r="I1821" s="26" t="str">
        <f>IF(OR(E1821="",E1821="!!!",F1821="NEW"),"",INDEX(B1820:B$2,-1+SUMPRODUCT(MAX(ROW(E1820:E$2)*(E1821=E1820:E$2)))))</f>
        <v> </v>
      </c>
      <c r="J1821" s="26" t="str">
        <f>IF(OR(E1821="",E1821="!!!",F1821="NEW"),"",COUNTBLANK(OFFSET(A$1,,,SUMPRODUCT(MAX(ROW(E$2:E1821)*(E1821=E$2:E1821)))))-COUNTBLANK(OFFSET(A$1,,,SUMPRODUCT(MAX(ROW(E$1:E1820)*(E2=E$1:E1820))))))</f>
        <v> </v>
      </c>
      <c r="K1821" s="26" t="str">
        <f>IF(OR(E1821="",E1821="!!!",F1821="NEW"),"",INDEX(J$1:J1820,SUMPRODUCT(MAX(ROW(E$1:E1820)*(E1821=E$1:E1820)))))</f>
        <v> </v>
      </c>
      <c r="L1821" s="27"/>
    </row>
    <row r="1822" spans="1:12">
      <c r="A1822" s="20" t="s">
        <v>1325</v>
      </c>
      <c r="B1822" s="21" t="s">
        <v>1050</v>
      </c>
      <c r="C1822" s="21" t="s">
        <v>1017</v>
      </c>
      <c r="D1822" s="21" t="s">
        <v>1007</v>
      </c>
      <c r="E1822" s="22">
        <f>IF(D1822="?OLD","!!!","")</f>
        <v/>
      </c>
      <c r="F1822" s="23" t="str">
        <f>IF(OR(E1822="",E1822="!!!"),"",IF(NOT(ISNA(VLOOKUP(E1822,E$1:E1821,1,FALSE()))),"OLD",IF(AND(E1822&lt;&gt;"",E1822&lt;&gt;"!!!"),"NEW","")))</f>
        <v> </v>
      </c>
      <c r="G1822" s="24" t="str">
        <f>IF(OR(E1822="",E1822="!!!"),"",IF(OR(J1822=0,AND(J1822=1,K1822=1),AND(J1822=1,I1822="SBJ"),AND(J1822=1,I1822=0)),"?IN_FOCUS",IF(J1822&lt;=2,"?ACTIVATED",IF(J1822&lt;&gt;"","?FAMILIAR",IF(F1822="NEW",IF(ISNA(VLOOKUP(E1822,#REF!,1,FALSE())),"?TYPE_IDENTIFIABLE","?REFERENTIAL"),"_")))))</f>
        <v> </v>
      </c>
      <c r="H1822" s="25" t="str">
        <f>IF(J1822&lt;&gt;1,"",IF(I1822="SBJ","CB","?"))</f>
        <v> </v>
      </c>
      <c r="I1822" s="26" t="str">
        <f>IF(OR(E1822="",E1822="!!!",F1822="NEW"),"",INDEX(B1821:B$2,-1+SUMPRODUCT(MAX(ROW(E1821:E$2)*(E1822=E1821:E$2)))))</f>
        <v> </v>
      </c>
      <c r="J1822" s="26" t="str">
        <f>IF(OR(E1822="",E1822="!!!",F1822="NEW"),"",COUNTBLANK(OFFSET(A$1,,,SUMPRODUCT(MAX(ROW(E$2:E1822)*(E1822=E$2:E1822)))))-COUNTBLANK(OFFSET(A$1,,,SUMPRODUCT(MAX(ROW(E$1:E1821)*(E2=E$1:E1821))))))</f>
        <v> </v>
      </c>
      <c r="K1822" s="26" t="str">
        <f>IF(OR(E1822="",E1822="!!!",F1822="NEW"),"",INDEX(J$1:J1821,SUMPRODUCT(MAX(ROW(E$1:E1821)*(E1822=E$1:E1821)))))</f>
        <v> </v>
      </c>
      <c r="L1822" s="27"/>
    </row>
    <row r="1823" spans="1:12">
      <c r="A1823" s="20" t="s">
        <v>1036</v>
      </c>
      <c r="E1823" s="22">
        <f>IF(D1823="?OLD","!!!","")</f>
        <v/>
      </c>
      <c r="F1823" s="23" t="str">
        <f>IF(OR(E1823="",E1823="!!!"),"",IF(NOT(ISNA(VLOOKUP(E1823,E$1:E1822,1,FALSE()))),"OLD",IF(AND(E1823&lt;&gt;"",E1823&lt;&gt;"!!!"),"NEW","")))</f>
        <v> </v>
      </c>
      <c r="G1823" s="24" t="str">
        <f>IF(OR(E1823="",E1823="!!!"),"",IF(OR(J1823=0,AND(J1823=1,K1823=1),AND(J1823=1,I1823="SBJ"),AND(J1823=1,I1823=0)),"?IN_FOCUS",IF(J1823&lt;=2,"?ACTIVATED",IF(J1823&lt;&gt;"","?FAMILIAR",IF(F1823="NEW",IF(ISNA(VLOOKUP(E1823,#REF!,1,FALSE())),"?TYPE_IDENTIFIABLE","?REFERENTIAL"),"_")))))</f>
        <v> </v>
      </c>
      <c r="H1823" s="25" t="str">
        <f>IF(J1823&lt;&gt;1,"",IF(I1823="SBJ","CB","?"))</f>
        <v> </v>
      </c>
      <c r="I1823" s="26" t="str">
        <f>IF(OR(E1823="",E1823="!!!",F1823="NEW"),"",INDEX(B1822:B$2,-1+SUMPRODUCT(MAX(ROW(E1822:E$2)*(E1823=E1822:E$2)))))</f>
        <v> </v>
      </c>
      <c r="J1823" s="26" t="str">
        <f>IF(OR(E1823="",E1823="!!!",F1823="NEW"),"",COUNTBLANK(OFFSET(A$1,,,SUMPRODUCT(MAX(ROW(E$2:E1823)*(E1823=E$2:E1823)))))-COUNTBLANK(OFFSET(A$1,,,SUMPRODUCT(MAX(ROW(E$1:E1822)*(E2=E$1:E1822))))))</f>
        <v> </v>
      </c>
      <c r="K1823" s="26" t="str">
        <f>IF(OR(E1823="",E1823="!!!",F1823="NEW"),"",INDEX(J$1:J1822,SUMPRODUCT(MAX(ROW(E$1:E1822)*(E1823=E$1:E1822)))))</f>
        <v> </v>
      </c>
      <c r="L1823" s="27"/>
    </row>
    <row r="1824" spans="1:12">
      <c r="A1824" s="20" t="s">
        <v>1065</v>
      </c>
      <c r="E1824" s="22">
        <f>IF(D1824="?OLD","!!!","")</f>
        <v/>
      </c>
      <c r="F1824" s="23" t="str">
        <f>IF(OR(E1824="",E1824="!!!"),"",IF(NOT(ISNA(VLOOKUP(E1824,E$1:E1823,1,FALSE()))),"OLD",IF(AND(E1824&lt;&gt;"",E1824&lt;&gt;"!!!"),"NEW","")))</f>
        <v> </v>
      </c>
      <c r="G1824" s="24" t="str">
        <f>IF(OR(E1824="",E1824="!!!"),"",IF(OR(J1824=0,AND(J1824=1,K1824=1),AND(J1824=1,I1824="SBJ"),AND(J1824=1,I1824=0)),"?IN_FOCUS",IF(J1824&lt;=2,"?ACTIVATED",IF(J1824&lt;&gt;"","?FAMILIAR",IF(F1824="NEW",IF(ISNA(VLOOKUP(E1824,#REF!,1,FALSE())),"?TYPE_IDENTIFIABLE","?REFERENTIAL"),"_")))))</f>
        <v> </v>
      </c>
      <c r="H1824" s="25" t="str">
        <f>IF(J1824&lt;&gt;1,"",IF(I1824="SBJ","CB","?"))</f>
        <v> </v>
      </c>
      <c r="I1824" s="26" t="str">
        <f>IF(OR(E1824="",E1824="!!!",F1824="NEW"),"",INDEX(B1823:B$2,-1+SUMPRODUCT(MAX(ROW(E1823:E$2)*(E1824=E1823:E$2)))))</f>
        <v> </v>
      </c>
      <c r="J1824" s="26" t="str">
        <f>IF(OR(E1824="",E1824="!!!",F1824="NEW"),"",COUNTBLANK(OFFSET(A$1,,,SUMPRODUCT(MAX(ROW(E$2:E1824)*(E1824=E$2:E1824)))))-COUNTBLANK(OFFSET(A$1,,,SUMPRODUCT(MAX(ROW(E$1:E1823)*(E2=E$1:E1823))))))</f>
        <v> </v>
      </c>
      <c r="K1824" s="26" t="str">
        <f>IF(OR(E1824="",E1824="!!!",F1824="NEW"),"",INDEX(J$1:J1823,SUMPRODUCT(MAX(ROW(E$1:E1823)*(E1824=E$1:E1823)))))</f>
        <v> </v>
      </c>
      <c r="L1824" s="27"/>
    </row>
    <row r="1825" spans="1:12">
      <c r="A1825" s="20" t="s">
        <v>1140</v>
      </c>
      <c r="B1825" s="21" t="s">
        <v>1154</v>
      </c>
      <c r="C1825" s="21" t="s">
        <v>1073</v>
      </c>
      <c r="D1825" s="21" t="s">
        <v>1007</v>
      </c>
      <c r="E1825" s="22">
        <f>IF(D1825="?OLD","!!!","")</f>
        <v/>
      </c>
      <c r="F1825" s="23" t="str">
        <f>IF(OR(E1825="",E1825="!!!"),"",IF(NOT(ISNA(VLOOKUP(E1825,E$1:E1824,1,FALSE()))),"OLD",IF(AND(E1825&lt;&gt;"",E1825&lt;&gt;"!!!"),"NEW","")))</f>
        <v> </v>
      </c>
      <c r="G1825" s="24" t="str">
        <f>IF(OR(E1825="",E1825="!!!"),"",IF(OR(J1825=0,AND(J1825=1,K1825=1),AND(J1825=1,I1825="SBJ"),AND(J1825=1,I1825=0)),"?IN_FOCUS",IF(J1825&lt;=2,"?ACTIVATED",IF(J1825&lt;&gt;"","?FAMILIAR",IF(F1825="NEW",IF(ISNA(VLOOKUP(E1825,#REF!,1,FALSE())),"?TYPE_IDENTIFIABLE","?REFERENTIAL"),"_")))))</f>
        <v> </v>
      </c>
      <c r="H1825" s="25" t="str">
        <f>IF(J1825&lt;&gt;1,"",IF(I1825="SBJ","CB","?"))</f>
        <v> </v>
      </c>
      <c r="I1825" s="26" t="str">
        <f>IF(OR(E1825="",E1825="!!!",F1825="NEW"),"",INDEX(B1824:B$2,-1+SUMPRODUCT(MAX(ROW(E1824:E$2)*(E1825=E1824:E$2)))))</f>
        <v> </v>
      </c>
      <c r="J1825" s="26" t="str">
        <f>IF(OR(E1825="",E1825="!!!",F1825="NEW"),"",COUNTBLANK(OFFSET(A$1,,,SUMPRODUCT(MAX(ROW(E$2:E1825)*(E1825=E$2:E1825)))))-COUNTBLANK(OFFSET(A$1,,,SUMPRODUCT(MAX(ROW(E$1:E1824)*(E2=E$1:E1824))))))</f>
        <v> </v>
      </c>
      <c r="K1825" s="26" t="str">
        <f>IF(OR(E1825="",E1825="!!!",F1825="NEW"),"",INDEX(J$1:J1824,SUMPRODUCT(MAX(ROW(E$1:E1824)*(E1825=E$1:E1824)))))</f>
        <v> </v>
      </c>
      <c r="L1825" s="27"/>
    </row>
    <row r="1826" spans="1:12">
      <c r="A1826" s="20" t="s">
        <v>1075</v>
      </c>
      <c r="E1826" s="22">
        <f>IF(D1826="?OLD","!!!","")</f>
        <v/>
      </c>
      <c r="F1826" s="23" t="str">
        <f>IF(OR(E1826="",E1826="!!!"),"",IF(NOT(ISNA(VLOOKUP(E1826,E$1:E1825,1,FALSE()))),"OLD",IF(AND(E1826&lt;&gt;"",E1826&lt;&gt;"!!!"),"NEW","")))</f>
        <v> </v>
      </c>
      <c r="G1826" s="24" t="str">
        <f>IF(OR(E1826="",E1826="!!!"),"",IF(OR(J1826=0,AND(J1826=1,K1826=1),AND(J1826=1,I1826="SBJ"),AND(J1826=1,I1826=0)),"?IN_FOCUS",IF(J1826&lt;=2,"?ACTIVATED",IF(J1826&lt;&gt;"","?FAMILIAR",IF(F1826="NEW",IF(ISNA(VLOOKUP(E1826,#REF!,1,FALSE())),"?TYPE_IDENTIFIABLE","?REFERENTIAL"),"_")))))</f>
        <v> </v>
      </c>
      <c r="H1826" s="25" t="str">
        <f>IF(J1826&lt;&gt;1,"",IF(I1826="SBJ","CB","?"))</f>
        <v> </v>
      </c>
      <c r="I1826" s="26" t="str">
        <f>IF(OR(E1826="",E1826="!!!",F1826="NEW"),"",INDEX(B1825:B$2,-1+SUMPRODUCT(MAX(ROW(E1825:E$2)*(E1826=E1825:E$2)))))</f>
        <v> </v>
      </c>
      <c r="J1826" s="26" t="str">
        <f>IF(OR(E1826="",E1826="!!!",F1826="NEW"),"",COUNTBLANK(OFFSET(A$1,,,SUMPRODUCT(MAX(ROW(E$2:E1826)*(E1826=E$2:E1826)))))-COUNTBLANK(OFFSET(A$1,,,SUMPRODUCT(MAX(ROW(E$1:E1825)*(E2=E$1:E1825))))))</f>
        <v> </v>
      </c>
      <c r="K1826" s="26" t="str">
        <f>IF(OR(E1826="",E1826="!!!",F1826="NEW"),"",INDEX(J$1:J1825,SUMPRODUCT(MAX(ROW(E$1:E1825)*(E1826=E$1:E1825)))))</f>
        <v> </v>
      </c>
      <c r="L1826" s="27"/>
    </row>
    <row r="1827" spans="1:12">
      <c r="A1827" s="20" t="s">
        <v>1576</v>
      </c>
      <c r="E1827" s="22">
        <f>IF(D1827="?OLD","!!!","")</f>
        <v/>
      </c>
      <c r="F1827" s="23" t="str">
        <f>IF(OR(E1827="",E1827="!!!"),"",IF(NOT(ISNA(VLOOKUP(E1827,E$1:E1826,1,FALSE()))),"OLD",IF(AND(E1827&lt;&gt;"",E1827&lt;&gt;"!!!"),"NEW","")))</f>
        <v> </v>
      </c>
      <c r="G1827" s="24" t="str">
        <f>IF(OR(E1827="",E1827="!!!"),"",IF(OR(J1827=0,AND(J1827=1,K1827=1),AND(J1827=1,I1827="SBJ"),AND(J1827=1,I1827=0)),"?IN_FOCUS",IF(J1827&lt;=2,"?ACTIVATED",IF(J1827&lt;&gt;"","?FAMILIAR",IF(F1827="NEW",IF(ISNA(VLOOKUP(E1827,#REF!,1,FALSE())),"?TYPE_IDENTIFIABLE","?REFERENTIAL"),"_")))))</f>
        <v> </v>
      </c>
      <c r="H1827" s="25" t="str">
        <f>IF(J1827&lt;&gt;1,"",IF(I1827="SBJ","CB","?"))</f>
        <v> </v>
      </c>
      <c r="I1827" s="26" t="str">
        <f>IF(OR(E1827="",E1827="!!!",F1827="NEW"),"",INDEX(B1826:B$2,-1+SUMPRODUCT(MAX(ROW(E1826:E$2)*(E1827=E1826:E$2)))))</f>
        <v> </v>
      </c>
      <c r="J1827" s="26" t="str">
        <f>IF(OR(E1827="",E1827="!!!",F1827="NEW"),"",COUNTBLANK(OFFSET(A$1,,,SUMPRODUCT(MAX(ROW(E$2:E1827)*(E1827=E$2:E1827)))))-COUNTBLANK(OFFSET(A$1,,,SUMPRODUCT(MAX(ROW(E$1:E1826)*(E2=E$1:E1826))))))</f>
        <v> </v>
      </c>
      <c r="K1827" s="26" t="str">
        <f>IF(OR(E1827="",E1827="!!!",F1827="NEW"),"",INDEX(J$1:J1826,SUMPRODUCT(MAX(ROW(E$1:E1826)*(E1827=E$1:E1826)))))</f>
        <v> </v>
      </c>
      <c r="L1827" s="27"/>
    </row>
    <row r="1828" spans="1:12">
      <c r="A1828" s="20" t="s">
        <v>1018</v>
      </c>
      <c r="E1828" s="22">
        <f>IF(D1828="?OLD","!!!","")</f>
        <v/>
      </c>
      <c r="F1828" s="23" t="str">
        <f>IF(OR(E1828="",E1828="!!!"),"",IF(NOT(ISNA(VLOOKUP(E1828,E$1:E1827,1,FALSE()))),"OLD",IF(AND(E1828&lt;&gt;"",E1828&lt;&gt;"!!!"),"NEW","")))</f>
        <v> </v>
      </c>
      <c r="G1828" s="24" t="str">
        <f>IF(OR(E1828="",E1828="!!!"),"",IF(OR(J1828=0,AND(J1828=1,K1828=1),AND(J1828=1,I1828="SBJ"),AND(J1828=1,I1828=0)),"?IN_FOCUS",IF(J1828&lt;=2,"?ACTIVATED",IF(J1828&lt;&gt;"","?FAMILIAR",IF(F1828="NEW",IF(ISNA(VLOOKUP(E1828,#REF!,1,FALSE())),"?TYPE_IDENTIFIABLE","?REFERENTIAL"),"_")))))</f>
        <v> </v>
      </c>
      <c r="H1828" s="25" t="str">
        <f>IF(J1828&lt;&gt;1,"",IF(I1828="SBJ","CB","?"))</f>
        <v> </v>
      </c>
      <c r="I1828" s="26" t="str">
        <f>IF(OR(E1828="",E1828="!!!",F1828="NEW"),"",INDEX(B1827:B$2,-1+SUMPRODUCT(MAX(ROW(E1827:E$2)*(E1828=E1827:E$2)))))</f>
        <v> </v>
      </c>
      <c r="J1828" s="26" t="str">
        <f>IF(OR(E1828="",E1828="!!!",F1828="NEW"),"",COUNTBLANK(OFFSET(A$1,,,SUMPRODUCT(MAX(ROW(E$2:E1828)*(E1828=E$2:E1828)))))-COUNTBLANK(OFFSET(A$1,,,SUMPRODUCT(MAX(ROW(E$1:E1827)*(E2=E$1:E1827))))))</f>
        <v> </v>
      </c>
      <c r="K1828" s="26" t="str">
        <f>IF(OR(E1828="",E1828="!!!",F1828="NEW"),"",INDEX(J$1:J1827,SUMPRODUCT(MAX(ROW(E$1:E1827)*(E1828=E$1:E1827)))))</f>
        <v> </v>
      </c>
      <c r="L1828" s="27"/>
    </row>
    <row r="1829" spans="1:12">
      <c r="A1829" s="20" t="s">
        <v>1075</v>
      </c>
      <c r="E1829" s="22">
        <f>IF(D1829="?OLD","!!!","")</f>
        <v/>
      </c>
      <c r="F1829" s="23" t="str">
        <f>IF(OR(E1829="",E1829="!!!"),"",IF(NOT(ISNA(VLOOKUP(E1829,E$1:E1828,1,FALSE()))),"OLD",IF(AND(E1829&lt;&gt;"",E1829&lt;&gt;"!!!"),"NEW","")))</f>
        <v> </v>
      </c>
      <c r="G1829" s="24" t="str">
        <f>IF(OR(E1829="",E1829="!!!"),"",IF(OR(J1829=0,AND(J1829=1,K1829=1),AND(J1829=1,I1829="SBJ"),AND(J1829=1,I1829=0)),"?IN_FOCUS",IF(J1829&lt;=2,"?ACTIVATED",IF(J1829&lt;&gt;"","?FAMILIAR",IF(F1829="NEW",IF(ISNA(VLOOKUP(E1829,#REF!,1,FALSE())),"?TYPE_IDENTIFIABLE","?REFERENTIAL"),"_")))))</f>
        <v> </v>
      </c>
      <c r="H1829" s="25" t="str">
        <f>IF(J1829&lt;&gt;1,"",IF(I1829="SBJ","CB","?"))</f>
        <v> </v>
      </c>
      <c r="I1829" s="26" t="str">
        <f>IF(OR(E1829="",E1829="!!!",F1829="NEW"),"",INDEX(B1828:B$2,-1+SUMPRODUCT(MAX(ROW(E1828:E$2)*(E1829=E1828:E$2)))))</f>
        <v> </v>
      </c>
      <c r="J1829" s="26" t="str">
        <f>IF(OR(E1829="",E1829="!!!",F1829="NEW"),"",COUNTBLANK(OFFSET(A$1,,,SUMPRODUCT(MAX(ROW(E$2:E1829)*(E1829=E$2:E1829)))))-COUNTBLANK(OFFSET(A$1,,,SUMPRODUCT(MAX(ROW(E$1:E1828)*(E2=E$1:E1828))))))</f>
        <v> </v>
      </c>
      <c r="K1829" s="26" t="str">
        <f>IF(OR(E1829="",E1829="!!!",F1829="NEW"),"",INDEX(J$1:J1828,SUMPRODUCT(MAX(ROW(E$1:E1828)*(E1829=E$1:E1828)))))</f>
        <v> </v>
      </c>
      <c r="L1829" s="27"/>
    </row>
    <row r="1830" spans="1:12">
      <c r="A1830" s="20" t="s">
        <v>1065</v>
      </c>
      <c r="E1830" s="22">
        <f>IF(D1830="?OLD","!!!","")</f>
        <v/>
      </c>
      <c r="F1830" s="23" t="str">
        <f>IF(OR(E1830="",E1830="!!!"),"",IF(NOT(ISNA(VLOOKUP(E1830,E$1:E1829,1,FALSE()))),"OLD",IF(AND(E1830&lt;&gt;"",E1830&lt;&gt;"!!!"),"NEW","")))</f>
        <v> </v>
      </c>
      <c r="G1830" s="24" t="str">
        <f>IF(OR(E1830="",E1830="!!!"),"",IF(OR(J1830=0,AND(J1830=1,K1830=1),AND(J1830=1,I1830="SBJ"),AND(J1830=1,I1830=0)),"?IN_FOCUS",IF(J1830&lt;=2,"?ACTIVATED",IF(J1830&lt;&gt;"","?FAMILIAR",IF(F1830="NEW",IF(ISNA(VLOOKUP(E1830,#REF!,1,FALSE())),"?TYPE_IDENTIFIABLE","?REFERENTIAL"),"_")))))</f>
        <v> </v>
      </c>
      <c r="H1830" s="25" t="str">
        <f>IF(J1830&lt;&gt;1,"",IF(I1830="SBJ","CB","?"))</f>
        <v> </v>
      </c>
      <c r="I1830" s="26" t="str">
        <f>IF(OR(E1830="",E1830="!!!",F1830="NEW"),"",INDEX(B1829:B$2,-1+SUMPRODUCT(MAX(ROW(E1829:E$2)*(E1830=E1829:E$2)))))</f>
        <v> </v>
      </c>
      <c r="J1830" s="26" t="str">
        <f>IF(OR(E1830="",E1830="!!!",F1830="NEW"),"",COUNTBLANK(OFFSET(A$1,,,SUMPRODUCT(MAX(ROW(E$2:E1830)*(E1830=E$2:E1830)))))-COUNTBLANK(OFFSET(A$1,,,SUMPRODUCT(MAX(ROW(E$1:E1829)*(E2=E$1:E1829))))))</f>
        <v> </v>
      </c>
      <c r="K1830" s="26" t="str">
        <f>IF(OR(E1830="",E1830="!!!",F1830="NEW"),"",INDEX(J$1:J1829,SUMPRODUCT(MAX(ROW(E$1:E1829)*(E1830=E$1:E1829)))))</f>
        <v> </v>
      </c>
      <c r="L1830" s="27"/>
    </row>
    <row r="1831" spans="1:12">
      <c r="A1831" s="20" t="s">
        <v>1637</v>
      </c>
      <c r="E1831" s="22">
        <f>IF(D1831="?OLD","!!!","")</f>
        <v/>
      </c>
      <c r="F1831" s="23" t="str">
        <f>IF(OR(E1831="",E1831="!!!"),"",IF(NOT(ISNA(VLOOKUP(E1831,E$1:E1830,1,FALSE()))),"OLD",IF(AND(E1831&lt;&gt;"",E1831&lt;&gt;"!!!"),"NEW","")))</f>
        <v> </v>
      </c>
      <c r="G1831" s="24" t="str">
        <f>IF(OR(E1831="",E1831="!!!"),"",IF(OR(J1831=0,AND(J1831=1,K1831=1),AND(J1831=1,I1831="SBJ"),AND(J1831=1,I1831=0)),"?IN_FOCUS",IF(J1831&lt;=2,"?ACTIVATED",IF(J1831&lt;&gt;"","?FAMILIAR",IF(F1831="NEW",IF(ISNA(VLOOKUP(E1831,#REF!,1,FALSE())),"?TYPE_IDENTIFIABLE","?REFERENTIAL"),"_")))))</f>
        <v> </v>
      </c>
      <c r="H1831" s="25" t="str">
        <f>IF(J1831&lt;&gt;1,"",IF(I1831="SBJ","CB","?"))</f>
        <v> </v>
      </c>
      <c r="I1831" s="26" t="str">
        <f>IF(OR(E1831="",E1831="!!!",F1831="NEW"),"",INDEX(B1830:B$2,-1+SUMPRODUCT(MAX(ROW(E1830:E$2)*(E1831=E1830:E$2)))))</f>
        <v> </v>
      </c>
      <c r="J1831" s="26" t="str">
        <f>IF(OR(E1831="",E1831="!!!",F1831="NEW"),"",COUNTBLANK(OFFSET(A$1,,,SUMPRODUCT(MAX(ROW(E$2:E1831)*(E1831=E$2:E1831)))))-COUNTBLANK(OFFSET(A$1,,,SUMPRODUCT(MAX(ROW(E$1:E1830)*(E2=E$1:E1830))))))</f>
        <v> </v>
      </c>
      <c r="K1831" s="26" t="str">
        <f>IF(OR(E1831="",E1831="!!!",F1831="NEW"),"",INDEX(J$1:J1830,SUMPRODUCT(MAX(ROW(E$1:E1830)*(E1831=E$1:E1830)))))</f>
        <v> </v>
      </c>
      <c r="L1831" s="27"/>
    </row>
    <row r="1832" spans="1:12">
      <c r="A1832" s="20" t="s">
        <v>1018</v>
      </c>
      <c r="E1832" s="22">
        <f>IF(D1832="?OLD","!!!","")</f>
        <v/>
      </c>
      <c r="F1832" s="23" t="str">
        <f>IF(OR(E1832="",E1832="!!!"),"",IF(NOT(ISNA(VLOOKUP(E1832,E$1:E1831,1,FALSE()))),"OLD",IF(AND(E1832&lt;&gt;"",E1832&lt;&gt;"!!!"),"NEW","")))</f>
        <v> </v>
      </c>
      <c r="G1832" s="24" t="str">
        <f>IF(OR(E1832="",E1832="!!!"),"",IF(OR(J1832=0,AND(J1832=1,K1832=1),AND(J1832=1,I1832="SBJ"),AND(J1832=1,I1832=0)),"?IN_FOCUS",IF(J1832&lt;=2,"?ACTIVATED",IF(J1832&lt;&gt;"","?FAMILIAR",IF(F1832="NEW",IF(ISNA(VLOOKUP(E1832,#REF!,1,FALSE())),"?TYPE_IDENTIFIABLE","?REFERENTIAL"),"_")))))</f>
        <v> </v>
      </c>
      <c r="H1832" s="25" t="str">
        <f>IF(J1832&lt;&gt;1,"",IF(I1832="SBJ","CB","?"))</f>
        <v> </v>
      </c>
      <c r="I1832" s="26" t="str">
        <f>IF(OR(E1832="",E1832="!!!",F1832="NEW"),"",INDEX(B1831:B$2,-1+SUMPRODUCT(MAX(ROW(E1831:E$2)*(E1832=E1831:E$2)))))</f>
        <v> </v>
      </c>
      <c r="J1832" s="26" t="str">
        <f>IF(OR(E1832="",E1832="!!!",F1832="NEW"),"",COUNTBLANK(OFFSET(A$1,,,SUMPRODUCT(MAX(ROW(E$2:E1832)*(E1832=E$2:E1832)))))-COUNTBLANK(OFFSET(A$1,,,SUMPRODUCT(MAX(ROW(E$1:E1831)*(E2=E$1:E1831))))))</f>
        <v> </v>
      </c>
      <c r="K1832" s="26" t="str">
        <f>IF(OR(E1832="",E1832="!!!",F1832="NEW"),"",INDEX(J$1:J1831,SUMPRODUCT(MAX(ROW(E$1:E1831)*(E1832=E$1:E1831)))))</f>
        <v> </v>
      </c>
      <c r="L1832" s="27"/>
    </row>
    <row r="1833" spans="1:12">
      <c r="A1833" s="20" t="s">
        <v>1114</v>
      </c>
      <c r="E1833" s="22">
        <f>IF(D1833="?OLD","!!!","")</f>
        <v/>
      </c>
      <c r="F1833" s="23" t="str">
        <f>IF(OR(E1833="",E1833="!!!"),"",IF(NOT(ISNA(VLOOKUP(E1833,E$1:E1832,1,FALSE()))),"OLD",IF(AND(E1833&lt;&gt;"",E1833&lt;&gt;"!!!"),"NEW","")))</f>
        <v> </v>
      </c>
      <c r="G1833" s="24" t="str">
        <f>IF(OR(E1833="",E1833="!!!"),"",IF(OR(J1833=0,AND(J1833=1,K1833=1),AND(J1833=1,I1833="SBJ"),AND(J1833=1,I1833=0)),"?IN_FOCUS",IF(J1833&lt;=2,"?ACTIVATED",IF(J1833&lt;&gt;"","?FAMILIAR",IF(F1833="NEW",IF(ISNA(VLOOKUP(E1833,#REF!,1,FALSE())),"?TYPE_IDENTIFIABLE","?REFERENTIAL"),"_")))))</f>
        <v> </v>
      </c>
      <c r="H1833" s="25" t="str">
        <f>IF(J1833&lt;&gt;1,"",IF(I1833="SBJ","CB","?"))</f>
        <v> </v>
      </c>
      <c r="I1833" s="26" t="str">
        <f>IF(OR(E1833="",E1833="!!!",F1833="NEW"),"",INDEX(B1832:B$2,-1+SUMPRODUCT(MAX(ROW(E1832:E$2)*(E1833=E1832:E$2)))))</f>
        <v> </v>
      </c>
      <c r="J1833" s="26" t="str">
        <f>IF(OR(E1833="",E1833="!!!",F1833="NEW"),"",COUNTBLANK(OFFSET(A$1,,,SUMPRODUCT(MAX(ROW(E$2:E1833)*(E1833=E$2:E1833)))))-COUNTBLANK(OFFSET(A$1,,,SUMPRODUCT(MAX(ROW(E$1:E1832)*(E2=E$1:E1832))))))</f>
        <v> </v>
      </c>
      <c r="K1833" s="26" t="str">
        <f>IF(OR(E1833="",E1833="!!!",F1833="NEW"),"",INDEX(J$1:J1832,SUMPRODUCT(MAX(ROW(E$1:E1832)*(E1833=E$1:E1832)))))</f>
        <v> </v>
      </c>
      <c r="L1833" s="27"/>
    </row>
    <row r="1834" spans="1:12">
      <c r="A1834" s="20" t="s">
        <v>1650</v>
      </c>
      <c r="E1834" s="22">
        <f>IF(D1834="?OLD","!!!","")</f>
        <v/>
      </c>
      <c r="F1834" s="23" t="str">
        <f>IF(OR(E1834="",E1834="!!!"),"",IF(NOT(ISNA(VLOOKUP(E1834,E$1:E1833,1,FALSE()))),"OLD",IF(AND(E1834&lt;&gt;"",E1834&lt;&gt;"!!!"),"NEW","")))</f>
        <v> </v>
      </c>
      <c r="G1834" s="24" t="str">
        <f>IF(OR(E1834="",E1834="!!!"),"",IF(OR(J1834=0,AND(J1834=1,K1834=1),AND(J1834=1,I1834="SBJ"),AND(J1834=1,I1834=0)),"?IN_FOCUS",IF(J1834&lt;=2,"?ACTIVATED",IF(J1834&lt;&gt;"","?FAMILIAR",IF(F1834="NEW",IF(ISNA(VLOOKUP(E1834,#REF!,1,FALSE())),"?TYPE_IDENTIFIABLE","?REFERENTIAL"),"_")))))</f>
        <v> </v>
      </c>
      <c r="H1834" s="25" t="str">
        <f>IF(J1834&lt;&gt;1,"",IF(I1834="SBJ","CB","?"))</f>
        <v> </v>
      </c>
      <c r="I1834" s="26" t="str">
        <f>IF(OR(E1834="",E1834="!!!",F1834="NEW"),"",INDEX(B1833:B$2,-1+SUMPRODUCT(MAX(ROW(E1833:E$2)*(E1834=E1833:E$2)))))</f>
        <v> </v>
      </c>
      <c r="J1834" s="26" t="str">
        <f>IF(OR(E1834="",E1834="!!!",F1834="NEW"),"",COUNTBLANK(OFFSET(A$1,,,SUMPRODUCT(MAX(ROW(E$2:E1834)*(E1834=E$2:E1834)))))-COUNTBLANK(OFFSET(A$1,,,SUMPRODUCT(MAX(ROW(E$1:E1833)*(E2=E$1:E1833))))))</f>
        <v> </v>
      </c>
      <c r="K1834" s="26" t="str">
        <f>IF(OR(E1834="",E1834="!!!",F1834="NEW"),"",INDEX(J$1:J1833,SUMPRODUCT(MAX(ROW(E$1:E1833)*(E1834=E$1:E1833)))))</f>
        <v> </v>
      </c>
      <c r="L1834" s="27"/>
    </row>
    <row r="1835" spans="1:12">
      <c r="A1835" s="20" t="s">
        <v>137</v>
      </c>
      <c r="E1835" s="22">
        <f>IF(D1835="?OLD","!!!","")</f>
        <v/>
      </c>
      <c r="F1835" s="23" t="str">
        <f>IF(OR(E1835="",E1835="!!!"),"",IF(NOT(ISNA(VLOOKUP(E1835,E$1:E1834,1,FALSE()))),"OLD",IF(AND(E1835&lt;&gt;"",E1835&lt;&gt;"!!!"),"NEW","")))</f>
        <v> </v>
      </c>
      <c r="G1835" s="24" t="str">
        <f>IF(OR(E1835="",E1835="!!!"),"",IF(OR(J1835=0,AND(J1835=1,K1835=1),AND(J1835=1,I1835="SBJ"),AND(J1835=1,I1835=0)),"?IN_FOCUS",IF(J1835&lt;=2,"?ACTIVATED",IF(J1835&lt;&gt;"","?FAMILIAR",IF(F1835="NEW",IF(ISNA(VLOOKUP(E1835,#REF!,1,FALSE())),"?TYPE_IDENTIFIABLE","?REFERENTIAL"),"_")))))</f>
        <v> </v>
      </c>
      <c r="H1835" s="25" t="str">
        <f>IF(J1835&lt;&gt;1,"",IF(I1835="SBJ","CB","?"))</f>
        <v> </v>
      </c>
      <c r="I1835" s="26" t="str">
        <f>IF(OR(E1835="",E1835="!!!",F1835="NEW"),"",INDEX(B1834:B$2,-1+SUMPRODUCT(MAX(ROW(E1834:E$2)*(E1835=E1834:E$2)))))</f>
        <v> </v>
      </c>
      <c r="J1835" s="26" t="str">
        <f>IF(OR(E1835="",E1835="!!!",F1835="NEW"),"",COUNTBLANK(OFFSET(A$1,,,SUMPRODUCT(MAX(ROW(E$2:E1835)*(E1835=E$2:E1835)))))-COUNTBLANK(OFFSET(A$1,,,SUMPRODUCT(MAX(ROW(E$1:E1834)*(E2=E$1:E1834))))))</f>
        <v> </v>
      </c>
      <c r="K1835" s="26" t="str">
        <f>IF(OR(E1835="",E1835="!!!",F1835="NEW"),"",INDEX(J$1:J1834,SUMPRODUCT(MAX(ROW(E$1:E1834)*(E1835=E$1:E1834)))))</f>
        <v> </v>
      </c>
      <c r="L1835" s="27"/>
    </row>
    <row r="1836" spans="1:12">
      <c r="A1836" s="20" t="s">
        <v>1324</v>
      </c>
      <c r="E1836" s="22">
        <f>IF(D1836="?OLD","!!!","")</f>
        <v/>
      </c>
      <c r="F1836" s="23" t="str">
        <f>IF(OR(E1836="",E1836="!!!"),"",IF(NOT(ISNA(VLOOKUP(E1836,E$1:E1835,1,FALSE()))),"OLD",IF(AND(E1836&lt;&gt;"",E1836&lt;&gt;"!!!"),"NEW","")))</f>
        <v> </v>
      </c>
      <c r="G1836" s="24" t="str">
        <f>IF(OR(E1836="",E1836="!!!"),"",IF(OR(J1836=0,AND(J1836=1,K1836=1),AND(J1836=1,I1836="SBJ"),AND(J1836=1,I1836=0)),"?IN_FOCUS",IF(J1836&lt;=2,"?ACTIVATED",IF(J1836&lt;&gt;"","?FAMILIAR",IF(F1836="NEW",IF(ISNA(VLOOKUP(E1836,#REF!,1,FALSE())),"?TYPE_IDENTIFIABLE","?REFERENTIAL"),"_")))))</f>
        <v> </v>
      </c>
      <c r="H1836" s="25" t="str">
        <f>IF(J1836&lt;&gt;1,"",IF(I1836="SBJ","CB","?"))</f>
        <v> </v>
      </c>
      <c r="I1836" s="26" t="str">
        <f>IF(OR(E1836="",E1836="!!!",F1836="NEW"),"",INDEX(B1835:B$2,-1+SUMPRODUCT(MAX(ROW(E1835:E$2)*(E1836=E1835:E$2)))))</f>
        <v> </v>
      </c>
      <c r="J1836" s="26" t="str">
        <f>IF(OR(E1836="",E1836="!!!",F1836="NEW"),"",COUNTBLANK(OFFSET(A$1,,,SUMPRODUCT(MAX(ROW(E$2:E1836)*(E1836=E$2:E1836)))))-COUNTBLANK(OFFSET(A$1,,,SUMPRODUCT(MAX(ROW(E$1:E1835)*(E2=E$1:E1835))))))</f>
        <v> </v>
      </c>
      <c r="K1836" s="26" t="str">
        <f>IF(OR(E1836="",E1836="!!!",F1836="NEW"),"",INDEX(J$1:J1835,SUMPRODUCT(MAX(ROW(E$1:E1835)*(E1836=E$1:E1835)))))</f>
        <v> </v>
      </c>
      <c r="L1836" s="27"/>
    </row>
    <row r="1837" spans="1:12">
      <c r="A1837" s="20" t="s">
        <v>1651</v>
      </c>
      <c r="B1837" s="21" t="s">
        <v>1064</v>
      </c>
      <c r="C1837" s="21" t="s">
        <v>1013</v>
      </c>
      <c r="D1837" s="21" t="s">
        <v>1007</v>
      </c>
      <c r="E1837" s="22">
        <f>IF(D1837="?OLD","!!!","")</f>
        <v/>
      </c>
      <c r="F1837" s="23" t="str">
        <f>IF(OR(E1837="",E1837="!!!"),"",IF(NOT(ISNA(VLOOKUP(E1837,E$1:E1836,1,FALSE()))),"OLD",IF(AND(E1837&lt;&gt;"",E1837&lt;&gt;"!!!"),"NEW","")))</f>
        <v> </v>
      </c>
      <c r="G1837" s="24" t="str">
        <f>IF(OR(E1837="",E1837="!!!"),"",IF(OR(J1837=0,AND(J1837=1,K1837=1),AND(J1837=1,I1837="SBJ"),AND(J1837=1,I1837=0)),"?IN_FOCUS",IF(J1837&lt;=2,"?ACTIVATED",IF(J1837&lt;&gt;"","?FAMILIAR",IF(F1837="NEW",IF(ISNA(VLOOKUP(E1837,#REF!,1,FALSE())),"?TYPE_IDENTIFIABLE","?REFERENTIAL"),"_")))))</f>
        <v> </v>
      </c>
      <c r="H1837" s="25" t="str">
        <f>IF(J1837&lt;&gt;1,"",IF(I1837="SBJ","CB","?"))</f>
        <v> </v>
      </c>
      <c r="I1837" s="26" t="str">
        <f>IF(OR(E1837="",E1837="!!!",F1837="NEW"),"",INDEX(B1836:B$2,-1+SUMPRODUCT(MAX(ROW(E1836:E$2)*(E1837=E1836:E$2)))))</f>
        <v> </v>
      </c>
      <c r="J1837" s="26" t="str">
        <f>IF(OR(E1837="",E1837="!!!",F1837="NEW"),"",COUNTBLANK(OFFSET(A$1,,,SUMPRODUCT(MAX(ROW(E$2:E1837)*(E1837=E$2:E1837)))))-COUNTBLANK(OFFSET(A$1,,,SUMPRODUCT(MAX(ROW(E$1:E1836)*(E2=E$1:E1836))))))</f>
        <v> </v>
      </c>
      <c r="K1837" s="26" t="str">
        <f>IF(OR(E1837="",E1837="!!!",F1837="NEW"),"",INDEX(J$1:J1836,SUMPRODUCT(MAX(ROW(E$1:E1836)*(E1837=E$1:E1836)))))</f>
        <v> </v>
      </c>
      <c r="L1837" s="27"/>
    </row>
    <row r="1838" spans="1:12">
      <c r="A1838" s="20" t="s">
        <v>1014</v>
      </c>
      <c r="E1838" s="22">
        <f>IF(D1838="?OLD","!!!","")</f>
        <v/>
      </c>
      <c r="F1838" s="23" t="str">
        <f>IF(OR(E1838="",E1838="!!!"),"",IF(NOT(ISNA(VLOOKUP(E1838,E$1:E1837,1,FALSE()))),"OLD",IF(AND(E1838&lt;&gt;"",E1838&lt;&gt;"!!!"),"NEW","")))</f>
        <v> </v>
      </c>
      <c r="G1838" s="24" t="str">
        <f>IF(OR(E1838="",E1838="!!!"),"",IF(OR(J1838=0,AND(J1838=1,K1838=1),AND(J1838=1,I1838="SBJ"),AND(J1838=1,I1838=0)),"?IN_FOCUS",IF(J1838&lt;=2,"?ACTIVATED",IF(J1838&lt;&gt;"","?FAMILIAR",IF(F1838="NEW",IF(ISNA(VLOOKUP(E1838,#REF!,1,FALSE())),"?TYPE_IDENTIFIABLE","?REFERENTIAL"),"_")))))</f>
        <v> </v>
      </c>
      <c r="H1838" s="25" t="str">
        <f>IF(J1838&lt;&gt;1,"",IF(I1838="SBJ","CB","?"))</f>
        <v> </v>
      </c>
      <c r="I1838" s="26" t="str">
        <f>IF(OR(E1838="",E1838="!!!",F1838="NEW"),"",INDEX(B1837:B$2,-1+SUMPRODUCT(MAX(ROW(E1837:E$2)*(E1838=E1837:E$2)))))</f>
        <v> </v>
      </c>
      <c r="J1838" s="26" t="str">
        <f>IF(OR(E1838="",E1838="!!!",F1838="NEW"),"",COUNTBLANK(OFFSET(A$1,,,SUMPRODUCT(MAX(ROW(E$2:E1838)*(E1838=E$2:E1838)))))-COUNTBLANK(OFFSET(A$1,,,SUMPRODUCT(MAX(ROW(E$1:E1837)*(E2=E$1:E1837))))))</f>
        <v> </v>
      </c>
      <c r="K1838" s="26" t="str">
        <f>IF(OR(E1838="",E1838="!!!",F1838="NEW"),"",INDEX(J$1:J1837,SUMPRODUCT(MAX(ROW(E$1:E1837)*(E1838=E$1:E1837)))))</f>
        <v> </v>
      </c>
      <c r="L1838" s="27"/>
    </row>
    <row r="1839" spans="1:12">
      <c r="A1839" s="20" t="s">
        <v>1652</v>
      </c>
      <c r="E1839" s="22">
        <f>IF(D1839="?OLD","!!!","")</f>
        <v/>
      </c>
      <c r="F1839" s="23" t="str">
        <f>IF(OR(E1839="",E1839="!!!"),"",IF(NOT(ISNA(VLOOKUP(E1839,E$1:E1838,1,FALSE()))),"OLD",IF(AND(E1839&lt;&gt;"",E1839&lt;&gt;"!!!"),"NEW","")))</f>
        <v> </v>
      </c>
      <c r="G1839" s="24" t="str">
        <f>IF(OR(E1839="",E1839="!!!"),"",IF(OR(J1839=0,AND(J1839=1,K1839=1),AND(J1839=1,I1839="SBJ"),AND(J1839=1,I1839=0)),"?IN_FOCUS",IF(J1839&lt;=2,"?ACTIVATED",IF(J1839&lt;&gt;"","?FAMILIAR",IF(F1839="NEW",IF(ISNA(VLOOKUP(E1839,#REF!,1,FALSE())),"?TYPE_IDENTIFIABLE","?REFERENTIAL"),"_")))))</f>
        <v> </v>
      </c>
      <c r="H1839" s="25" t="str">
        <f>IF(J1839&lt;&gt;1,"",IF(I1839="SBJ","CB","?"))</f>
        <v> </v>
      </c>
      <c r="I1839" s="26" t="str">
        <f>IF(OR(E1839="",E1839="!!!",F1839="NEW"),"",INDEX(B1838:B$2,-1+SUMPRODUCT(MAX(ROW(E1838:E$2)*(E1839=E1838:E$2)))))</f>
        <v> </v>
      </c>
      <c r="J1839" s="26" t="str">
        <f>IF(OR(E1839="",E1839="!!!",F1839="NEW"),"",COUNTBLANK(OFFSET(A$1,,,SUMPRODUCT(MAX(ROW(E$2:E1839)*(E1839=E$2:E1839)))))-COUNTBLANK(OFFSET(A$1,,,SUMPRODUCT(MAX(ROW(E$1:E1838)*(E2=E$1:E1838))))))</f>
        <v> </v>
      </c>
      <c r="K1839" s="26" t="str">
        <f>IF(OR(E1839="",E1839="!!!",F1839="NEW"),"",INDEX(J$1:J1838,SUMPRODUCT(MAX(ROW(E$1:E1838)*(E1839=E$1:E1838)))))</f>
        <v> </v>
      </c>
      <c r="L1839" s="27"/>
    </row>
    <row r="1840" spans="1:12">
      <c r="A1840" s="20" t="s">
        <v>1189</v>
      </c>
      <c r="E1840" s="22">
        <f>IF(D1840="?OLD","!!!","")</f>
        <v/>
      </c>
      <c r="F1840" s="23" t="str">
        <f>IF(OR(E1840="",E1840="!!!"),"",IF(NOT(ISNA(VLOOKUP(E1840,E$1:E1839,1,FALSE()))),"OLD",IF(AND(E1840&lt;&gt;"",E1840&lt;&gt;"!!!"),"NEW","")))</f>
        <v> </v>
      </c>
      <c r="G1840" s="24" t="str">
        <f>IF(OR(E1840="",E1840="!!!"),"",IF(OR(J1840=0,AND(J1840=1,K1840=1),AND(J1840=1,I1840="SBJ"),AND(J1840=1,I1840=0)),"?IN_FOCUS",IF(J1840&lt;=2,"?ACTIVATED",IF(J1840&lt;&gt;"","?FAMILIAR",IF(F1840="NEW",IF(ISNA(VLOOKUP(E1840,#REF!,1,FALSE())),"?TYPE_IDENTIFIABLE","?REFERENTIAL"),"_")))))</f>
        <v> </v>
      </c>
      <c r="H1840" s="25" t="str">
        <f>IF(J1840&lt;&gt;1,"",IF(I1840="SBJ","CB","?"))</f>
        <v> </v>
      </c>
      <c r="I1840" s="26" t="str">
        <f>IF(OR(E1840="",E1840="!!!",F1840="NEW"),"",INDEX(B1839:B$2,-1+SUMPRODUCT(MAX(ROW(E1839:E$2)*(E1840=E1839:E$2)))))</f>
        <v> </v>
      </c>
      <c r="J1840" s="26" t="str">
        <f>IF(OR(E1840="",E1840="!!!",F1840="NEW"),"",COUNTBLANK(OFFSET(A$1,,,SUMPRODUCT(MAX(ROW(E$2:E1840)*(E1840=E$2:E1840)))))-COUNTBLANK(OFFSET(A$1,,,SUMPRODUCT(MAX(ROW(E$1:E1839)*(E2=E$1:E1839))))))</f>
        <v> </v>
      </c>
      <c r="K1840" s="26" t="str">
        <f>IF(OR(E1840="",E1840="!!!",F1840="NEW"),"",INDEX(J$1:J1839,SUMPRODUCT(MAX(ROW(E$1:E1839)*(E1840=E$1:E1839)))))</f>
        <v> </v>
      </c>
      <c r="L1840" s="27"/>
    </row>
    <row r="1841" spans="1:12">
      <c r="A1841" s="20" t="s">
        <v>1030</v>
      </c>
      <c r="E1841" s="22">
        <f>IF(D1841="?OLD","!!!","")</f>
        <v/>
      </c>
      <c r="F1841" s="23" t="str">
        <f>IF(OR(E1841="",E1841="!!!"),"",IF(NOT(ISNA(VLOOKUP(E1841,E$1:E1840,1,FALSE()))),"OLD",IF(AND(E1841&lt;&gt;"",E1841&lt;&gt;"!!!"),"NEW","")))</f>
        <v> </v>
      </c>
      <c r="G1841" s="24" t="str">
        <f>IF(OR(E1841="",E1841="!!!"),"",IF(OR(J1841=0,AND(J1841=1,K1841=1),AND(J1841=1,I1841="SBJ"),AND(J1841=1,I1841=0)),"?IN_FOCUS",IF(J1841&lt;=2,"?ACTIVATED",IF(J1841&lt;&gt;"","?FAMILIAR",IF(F1841="NEW",IF(ISNA(VLOOKUP(E1841,#REF!,1,FALSE())),"?TYPE_IDENTIFIABLE","?REFERENTIAL"),"_")))))</f>
        <v> </v>
      </c>
      <c r="H1841" s="25" t="str">
        <f>IF(J1841&lt;&gt;1,"",IF(I1841="SBJ","CB","?"))</f>
        <v> </v>
      </c>
      <c r="I1841" s="26" t="str">
        <f>IF(OR(E1841="",E1841="!!!",F1841="NEW"),"",INDEX(B1840:B$2,-1+SUMPRODUCT(MAX(ROW(E1840:E$2)*(E1841=E1840:E$2)))))</f>
        <v> </v>
      </c>
      <c r="J1841" s="26" t="str">
        <f>IF(OR(E1841="",E1841="!!!",F1841="NEW"),"",COUNTBLANK(OFFSET(A$1,,,SUMPRODUCT(MAX(ROW(E$2:E1841)*(E1841=E$2:E1841)))))-COUNTBLANK(OFFSET(A$1,,,SUMPRODUCT(MAX(ROW(E$1:E1840)*(E2=E$1:E1840))))))</f>
        <v> </v>
      </c>
      <c r="K1841" s="26" t="str">
        <f>IF(OR(E1841="",E1841="!!!",F1841="NEW"),"",INDEX(J$1:J1840,SUMPRODUCT(MAX(ROW(E$1:E1840)*(E1841=E$1:E1840)))))</f>
        <v> </v>
      </c>
      <c r="L1841" s="27"/>
    </row>
    <row r="1842" spans="1:12">
      <c r="A1842" s="20" t="s">
        <v>1653</v>
      </c>
      <c r="B1842" s="21" t="s">
        <v>1040</v>
      </c>
      <c r="C1842" s="21" t="s">
        <v>1048</v>
      </c>
      <c r="E1842" s="22">
        <f>IF(D1842="?OLD","!!!","")</f>
        <v/>
      </c>
      <c r="F1842" s="23" t="str">
        <f>IF(OR(E1842="",E1842="!!!"),"",IF(NOT(ISNA(VLOOKUP(E1842,E$1:E1841,1,FALSE()))),"OLD",IF(AND(E1842&lt;&gt;"",E1842&lt;&gt;"!!!"),"NEW","")))</f>
        <v> </v>
      </c>
      <c r="G1842" s="24" t="str">
        <f>IF(OR(E1842="",E1842="!!!"),"",IF(OR(J1842=0,AND(J1842=1,K1842=1),AND(J1842=1,I1842="SBJ"),AND(J1842=1,I1842=0)),"?IN_FOCUS",IF(J1842&lt;=2,"?ACTIVATED",IF(J1842&lt;&gt;"","?FAMILIAR",IF(F1842="NEW",IF(ISNA(VLOOKUP(E1842,#REF!,1,FALSE())),"?TYPE_IDENTIFIABLE","?REFERENTIAL"),"_")))))</f>
        <v> </v>
      </c>
      <c r="H1842" s="25" t="str">
        <f>IF(J1842&lt;&gt;1,"",IF(I1842="SBJ","CB","?"))</f>
        <v> </v>
      </c>
      <c r="I1842" s="26" t="str">
        <f>IF(OR(E1842="",E1842="!!!",F1842="NEW"),"",INDEX(B1841:B$2,-1+SUMPRODUCT(MAX(ROW(E1841:E$2)*(E1842=E1841:E$2)))))</f>
        <v> </v>
      </c>
      <c r="J1842" s="26" t="str">
        <f>IF(OR(E1842="",E1842="!!!",F1842="NEW"),"",COUNTBLANK(OFFSET(A$1,,,SUMPRODUCT(MAX(ROW(E$2:E1842)*(E1842=E$2:E1842)))))-COUNTBLANK(OFFSET(A$1,,,SUMPRODUCT(MAX(ROW(E$1:E1841)*(E2=E$1:E1841))))))</f>
        <v> </v>
      </c>
      <c r="K1842" s="26" t="str">
        <f>IF(OR(E1842="",E1842="!!!",F1842="NEW"),"",INDEX(J$1:J1841,SUMPRODUCT(MAX(ROW(E$1:E1841)*(E1842=E$1:E1841)))))</f>
        <v> </v>
      </c>
      <c r="L1842" s="27"/>
    </row>
    <row r="1843" spans="1:12">
      <c r="A1843" s="20" t="s">
        <v>1018</v>
      </c>
      <c r="E1843" s="22">
        <f>IF(D1843="?OLD","!!!","")</f>
        <v/>
      </c>
      <c r="F1843" s="23" t="str">
        <f>IF(OR(E1843="",E1843="!!!"),"",IF(NOT(ISNA(VLOOKUP(E1843,E$1:E1842,1,FALSE()))),"OLD",IF(AND(E1843&lt;&gt;"",E1843&lt;&gt;"!!!"),"NEW","")))</f>
        <v> </v>
      </c>
      <c r="G1843" s="24" t="str">
        <f>IF(OR(E1843="",E1843="!!!"),"",IF(OR(J1843=0,AND(J1843=1,K1843=1),AND(J1843=1,I1843="SBJ"),AND(J1843=1,I1843=0)),"?IN_FOCUS",IF(J1843&lt;=2,"?ACTIVATED",IF(J1843&lt;&gt;"","?FAMILIAR",IF(F1843="NEW",IF(ISNA(VLOOKUP(E1843,#REF!,1,FALSE())),"?TYPE_IDENTIFIABLE","?REFERENTIAL"),"_")))))</f>
        <v> </v>
      </c>
      <c r="H1843" s="25" t="str">
        <f>IF(J1843&lt;&gt;1,"",IF(I1843="SBJ","CB","?"))</f>
        <v> </v>
      </c>
      <c r="I1843" s="26" t="str">
        <f>IF(OR(E1843="",E1843="!!!",F1843="NEW"),"",INDEX(B1842:B$2,-1+SUMPRODUCT(MAX(ROW(E1842:E$2)*(E1843=E1842:E$2)))))</f>
        <v> </v>
      </c>
      <c r="J1843" s="26" t="str">
        <f>IF(OR(E1843="",E1843="!!!",F1843="NEW"),"",COUNTBLANK(OFFSET(A$1,,,SUMPRODUCT(MAX(ROW(E$2:E1843)*(E1843=E$2:E1843)))))-COUNTBLANK(OFFSET(A$1,,,SUMPRODUCT(MAX(ROW(E$1:E1842)*(E2=E$1:E1842))))))</f>
        <v> </v>
      </c>
      <c r="K1843" s="26" t="str">
        <f>IF(OR(E1843="",E1843="!!!",F1843="NEW"),"",INDEX(J$1:J1842,SUMPRODUCT(MAX(ROW(E$1:E1842)*(E1843=E$1:E1842)))))</f>
        <v> </v>
      </c>
      <c r="L1843" s="27"/>
    </row>
    <row r="1844" spans="1:12">
      <c r="A1844" s="20" t="s">
        <v>1020</v>
      </c>
      <c r="E1844" s="22">
        <f>IF(D1844="?OLD","!!!","")</f>
        <v/>
      </c>
      <c r="F1844" s="23" t="str">
        <f>IF(OR(E1844="",E1844="!!!"),"",IF(NOT(ISNA(VLOOKUP(E1844,E$1:E1843,1,FALSE()))),"OLD",IF(AND(E1844&lt;&gt;"",E1844&lt;&gt;"!!!"),"NEW","")))</f>
        <v> </v>
      </c>
      <c r="G1844" s="24" t="str">
        <f>IF(OR(E1844="",E1844="!!!"),"",IF(OR(J1844=0,AND(J1844=1,K1844=1),AND(J1844=1,I1844="SBJ"),AND(J1844=1,I1844=0)),"?IN_FOCUS",IF(J1844&lt;=2,"?ACTIVATED",IF(J1844&lt;&gt;"","?FAMILIAR",IF(F1844="NEW",IF(ISNA(VLOOKUP(E1844,#REF!,1,FALSE())),"?TYPE_IDENTIFIABLE","?REFERENTIAL"),"_")))))</f>
        <v> </v>
      </c>
      <c r="H1844" s="25" t="str">
        <f>IF(J1844&lt;&gt;1,"",IF(I1844="SBJ","CB","?"))</f>
        <v> </v>
      </c>
      <c r="I1844" s="26" t="str">
        <f>IF(OR(E1844="",E1844="!!!",F1844="NEW"),"",INDEX(B1843:B$2,-1+SUMPRODUCT(MAX(ROW(E1843:E$2)*(E1844=E1843:E$2)))))</f>
        <v> </v>
      </c>
      <c r="J1844" s="26" t="str">
        <f>IF(OR(E1844="",E1844="!!!",F1844="NEW"),"",COUNTBLANK(OFFSET(A$1,,,SUMPRODUCT(MAX(ROW(E$2:E1844)*(E1844=E$2:E1844)))))-COUNTBLANK(OFFSET(A$1,,,SUMPRODUCT(MAX(ROW(E$1:E1843)*(E2=E$1:E1843))))))</f>
        <v> </v>
      </c>
      <c r="K1844" s="26" t="str">
        <f>IF(OR(E1844="",E1844="!!!",F1844="NEW"),"",INDEX(J$1:J1843,SUMPRODUCT(MAX(ROW(E$1:E1843)*(E1844=E$1:E1843)))))</f>
        <v> </v>
      </c>
      <c r="L1844" s="27"/>
    </row>
    <row r="1845" spans="1:12">
      <c r="A1845" s="20" t="s">
        <v>1211</v>
      </c>
      <c r="B1845" s="21" t="s">
        <v>1154</v>
      </c>
      <c r="C1845" s="21" t="s">
        <v>1006</v>
      </c>
      <c r="D1845" s="21" t="s">
        <v>1007</v>
      </c>
      <c r="E1845" s="22">
        <f>IF(D1845="?OLD","!!!","")</f>
        <v/>
      </c>
      <c r="F1845" s="23" t="str">
        <f>IF(OR(E1845="",E1845="!!!"),"",IF(NOT(ISNA(VLOOKUP(E1845,E$1:E1844,1,FALSE()))),"OLD",IF(AND(E1845&lt;&gt;"",E1845&lt;&gt;"!!!"),"NEW","")))</f>
        <v> </v>
      </c>
      <c r="G1845" s="24" t="str">
        <f>IF(OR(E1845="",E1845="!!!"),"",IF(OR(J1845=0,AND(J1845=1,K1845=1),AND(J1845=1,I1845="SBJ"),AND(J1845=1,I1845=0)),"?IN_FOCUS",IF(J1845&lt;=2,"?ACTIVATED",IF(J1845&lt;&gt;"","?FAMILIAR",IF(F1845="NEW",IF(ISNA(VLOOKUP(E1845,#REF!,1,FALSE())),"?TYPE_IDENTIFIABLE","?REFERENTIAL"),"_")))))</f>
        <v> </v>
      </c>
      <c r="H1845" s="25" t="str">
        <f>IF(J1845&lt;&gt;1,"",IF(I1845="SBJ","CB","?"))</f>
        <v> </v>
      </c>
      <c r="I1845" s="26" t="str">
        <f>IF(OR(E1845="",E1845="!!!",F1845="NEW"),"",INDEX(B1844:B$2,-1+SUMPRODUCT(MAX(ROW(E1844:E$2)*(E1845=E1844:E$2)))))</f>
        <v> </v>
      </c>
      <c r="J1845" s="26" t="str">
        <f>IF(OR(E1845="",E1845="!!!",F1845="NEW"),"",COUNTBLANK(OFFSET(A$1,,,SUMPRODUCT(MAX(ROW(E$2:E1845)*(E1845=E$2:E1845)))))-COUNTBLANK(OFFSET(A$1,,,SUMPRODUCT(MAX(ROW(E$1:E1844)*(E2=E$1:E1844))))))</f>
        <v> </v>
      </c>
      <c r="K1845" s="26" t="str">
        <f>IF(OR(E1845="",E1845="!!!",F1845="NEW"),"",INDEX(J$1:J1844,SUMPRODUCT(MAX(ROW(E$1:E1844)*(E1845=E$1:E1844)))))</f>
        <v> </v>
      </c>
      <c r="L1845" s="27"/>
    </row>
    <row r="1846" spans="1:12">
      <c r="A1846" s="20" t="s">
        <v>1061</v>
      </c>
      <c r="E1846" s="22">
        <f>IF(D1846="?OLD","!!!","")</f>
        <v/>
      </c>
      <c r="F1846" s="23" t="str">
        <f>IF(OR(E1846="",E1846="!!!"),"",IF(NOT(ISNA(VLOOKUP(E1846,E$1:E1845,1,FALSE()))),"OLD",IF(AND(E1846&lt;&gt;"",E1846&lt;&gt;"!!!"),"NEW","")))</f>
        <v> </v>
      </c>
      <c r="G1846" s="24" t="str">
        <f>IF(OR(E1846="",E1846="!!!"),"",IF(OR(J1846=0,AND(J1846=1,K1846=1),AND(J1846=1,I1846="SBJ"),AND(J1846=1,I1846=0)),"?IN_FOCUS",IF(J1846&lt;=2,"?ACTIVATED",IF(J1846&lt;&gt;"","?FAMILIAR",IF(F1846="NEW",IF(ISNA(VLOOKUP(E1846,#REF!,1,FALSE())),"?TYPE_IDENTIFIABLE","?REFERENTIAL"),"_")))))</f>
        <v> </v>
      </c>
      <c r="H1846" s="25" t="str">
        <f>IF(J1846&lt;&gt;1,"",IF(I1846="SBJ","CB","?"))</f>
        <v> </v>
      </c>
      <c r="I1846" s="26" t="str">
        <f>IF(OR(E1846="",E1846="!!!",F1846="NEW"),"",INDEX(B1845:B$2,-1+SUMPRODUCT(MAX(ROW(E1845:E$2)*(E1846=E1845:E$2)))))</f>
        <v> </v>
      </c>
      <c r="J1846" s="26" t="str">
        <f>IF(OR(E1846="",E1846="!!!",F1846="NEW"),"",COUNTBLANK(OFFSET(A$1,,,SUMPRODUCT(MAX(ROW(E$2:E1846)*(E1846=E$2:E1846)))))-COUNTBLANK(OFFSET(A$1,,,SUMPRODUCT(MAX(ROW(E$1:E1845)*(E2=E$1:E1845))))))</f>
        <v> </v>
      </c>
      <c r="K1846" s="26" t="str">
        <f>IF(OR(E1846="",E1846="!!!",F1846="NEW"),"",INDEX(J$1:J1845,SUMPRODUCT(MAX(ROW(E$1:E1845)*(E1846=E$1:E1845)))))</f>
        <v> </v>
      </c>
      <c r="L1846" s="27"/>
    </row>
    <row r="1847" spans="1:12">
      <c r="A1847" s="20" t="s">
        <v>137</v>
      </c>
      <c r="E1847" s="22">
        <f>IF(D1847="?OLD","!!!","")</f>
        <v/>
      </c>
      <c r="F1847" s="23" t="str">
        <f>IF(OR(E1847="",E1847="!!!"),"",IF(NOT(ISNA(VLOOKUP(E1847,E$1:E1846,1,FALSE()))),"OLD",IF(AND(E1847&lt;&gt;"",E1847&lt;&gt;"!!!"),"NEW","")))</f>
        <v> </v>
      </c>
      <c r="G1847" s="24" t="str">
        <f>IF(OR(E1847="",E1847="!!!"),"",IF(OR(J1847=0,AND(J1847=1,K1847=1),AND(J1847=1,I1847="SBJ"),AND(J1847=1,I1847=0)),"?IN_FOCUS",IF(J1847&lt;=2,"?ACTIVATED",IF(J1847&lt;&gt;"","?FAMILIAR",IF(F1847="NEW",IF(ISNA(VLOOKUP(E1847,#REF!,1,FALSE())),"?TYPE_IDENTIFIABLE","?REFERENTIAL"),"_")))))</f>
        <v> </v>
      </c>
      <c r="H1847" s="25" t="str">
        <f>IF(J1847&lt;&gt;1,"",IF(I1847="SBJ","CB","?"))</f>
        <v> </v>
      </c>
      <c r="I1847" s="26" t="str">
        <f>IF(OR(E1847="",E1847="!!!",F1847="NEW"),"",INDEX(B1846:B$2,-1+SUMPRODUCT(MAX(ROW(E1846:E$2)*(E1847=E1846:E$2)))))</f>
        <v> </v>
      </c>
      <c r="J1847" s="26" t="str">
        <f>IF(OR(E1847="",E1847="!!!",F1847="NEW"),"",COUNTBLANK(OFFSET(A$1,,,SUMPRODUCT(MAX(ROW(E$2:E1847)*(E1847=E$2:E1847)))))-COUNTBLANK(OFFSET(A$1,,,SUMPRODUCT(MAX(ROW(E$1:E1846)*(E2=E$1:E1846))))))</f>
        <v> </v>
      </c>
      <c r="K1847" s="26" t="str">
        <f>IF(OR(E1847="",E1847="!!!",F1847="NEW"),"",INDEX(J$1:J1846,SUMPRODUCT(MAX(ROW(E$1:E1846)*(E1847=E$1:E1846)))))</f>
        <v> </v>
      </c>
      <c r="L1847" s="27"/>
    </row>
    <row r="1848" spans="1:12">
      <c r="A1848" s="20" t="s">
        <v>1056</v>
      </c>
      <c r="E1848" s="22">
        <f>IF(D1848="?OLD","!!!","")</f>
        <v/>
      </c>
      <c r="F1848" s="23" t="str">
        <f>IF(OR(E1848="",E1848="!!!"),"",IF(NOT(ISNA(VLOOKUP(E1848,E$1:E1847,1,FALSE()))),"OLD",IF(AND(E1848&lt;&gt;"",E1848&lt;&gt;"!!!"),"NEW","")))</f>
        <v> </v>
      </c>
      <c r="G1848" s="24" t="str">
        <f>IF(OR(E1848="",E1848="!!!"),"",IF(OR(J1848=0,AND(J1848=1,K1848=1),AND(J1848=1,I1848="SBJ"),AND(J1848=1,I1848=0)),"?IN_FOCUS",IF(J1848&lt;=2,"?ACTIVATED",IF(J1848&lt;&gt;"","?FAMILIAR",IF(F1848="NEW",IF(ISNA(VLOOKUP(E1848,#REF!,1,FALSE())),"?TYPE_IDENTIFIABLE","?REFERENTIAL"),"_")))))</f>
        <v> </v>
      </c>
      <c r="H1848" s="25" t="str">
        <f>IF(J1848&lt;&gt;1,"",IF(I1848="SBJ","CB","?"))</f>
        <v> </v>
      </c>
      <c r="I1848" s="26" t="str">
        <f>IF(OR(E1848="",E1848="!!!",F1848="NEW"),"",INDEX(B1847:B$2,-1+SUMPRODUCT(MAX(ROW(E1847:E$2)*(E1848=E1847:E$2)))))</f>
        <v> </v>
      </c>
      <c r="J1848" s="26" t="str">
        <f>IF(OR(E1848="",E1848="!!!",F1848="NEW"),"",COUNTBLANK(OFFSET(A$1,,,SUMPRODUCT(MAX(ROW(E$2:E1848)*(E1848=E$2:E1848)))))-COUNTBLANK(OFFSET(A$1,,,SUMPRODUCT(MAX(ROW(E$1:E1847)*(E2=E$1:E1847))))))</f>
        <v> </v>
      </c>
      <c r="K1848" s="26" t="str">
        <f>IF(OR(E1848="",E1848="!!!",F1848="NEW"),"",INDEX(J$1:J1847,SUMPRODUCT(MAX(ROW(E$1:E1847)*(E1848=E$1:E1847)))))</f>
        <v> </v>
      </c>
      <c r="L1848" s="27"/>
    </row>
    <row r="1849" spans="1:12">
      <c r="A1849" s="20" t="s">
        <v>1654</v>
      </c>
      <c r="B1849" s="21" t="s">
        <v>1187</v>
      </c>
      <c r="C1849" s="21" t="s">
        <v>1013</v>
      </c>
      <c r="D1849" s="21" t="s">
        <v>1007</v>
      </c>
      <c r="E1849" s="22">
        <f>IF(D1849="?OLD","!!!","")</f>
        <v/>
      </c>
      <c r="F1849" s="23" t="str">
        <f>IF(OR(E1849="",E1849="!!!"),"",IF(NOT(ISNA(VLOOKUP(E1849,E$1:E1848,1,FALSE()))),"OLD",IF(AND(E1849&lt;&gt;"",E1849&lt;&gt;"!!!"),"NEW","")))</f>
        <v> </v>
      </c>
      <c r="G1849" s="24" t="str">
        <f>IF(OR(E1849="",E1849="!!!"),"",IF(OR(J1849=0,AND(J1849=1,K1849=1),AND(J1849=1,I1849="SBJ"),AND(J1849=1,I1849=0)),"?IN_FOCUS",IF(J1849&lt;=2,"?ACTIVATED",IF(J1849&lt;&gt;"","?FAMILIAR",IF(F1849="NEW",IF(ISNA(VLOOKUP(E1849,#REF!,1,FALSE())),"?TYPE_IDENTIFIABLE","?REFERENTIAL"),"_")))))</f>
        <v> </v>
      </c>
      <c r="H1849" s="25" t="str">
        <f>IF(J1849&lt;&gt;1,"",IF(I1849="SBJ","CB","?"))</f>
        <v> </v>
      </c>
      <c r="I1849" s="26" t="str">
        <f>IF(OR(E1849="",E1849="!!!",F1849="NEW"),"",INDEX(B1848:B$2,-1+SUMPRODUCT(MAX(ROW(E1848:E$2)*(E1849=E1848:E$2)))))</f>
        <v> </v>
      </c>
      <c r="J1849" s="26" t="str">
        <f>IF(OR(E1849="",E1849="!!!",F1849="NEW"),"",COUNTBLANK(OFFSET(A$1,,,SUMPRODUCT(MAX(ROW(E$2:E1849)*(E1849=E$2:E1849)))))-COUNTBLANK(OFFSET(A$1,,,SUMPRODUCT(MAX(ROW(E$1:E1848)*(E2=E$1:E1848))))))</f>
        <v> </v>
      </c>
      <c r="K1849" s="26" t="str">
        <f>IF(OR(E1849="",E1849="!!!",F1849="NEW"),"",INDEX(J$1:J1848,SUMPRODUCT(MAX(ROW(E$1:E1848)*(E1849=E$1:E1848)))))</f>
        <v> </v>
      </c>
      <c r="L1849" s="27"/>
    </row>
    <row r="1850" spans="1:12">
      <c r="A1850" s="20" t="s">
        <v>1014</v>
      </c>
      <c r="E1850" s="22">
        <f>IF(D1850="?OLD","!!!","")</f>
        <v/>
      </c>
      <c r="F1850" s="23" t="str">
        <f>IF(OR(E1850="",E1850="!!!"),"",IF(NOT(ISNA(VLOOKUP(E1850,E$1:E1849,1,FALSE()))),"OLD",IF(AND(E1850&lt;&gt;"",E1850&lt;&gt;"!!!"),"NEW","")))</f>
        <v> </v>
      </c>
      <c r="G1850" s="24" t="str">
        <f>IF(OR(E1850="",E1850="!!!"),"",IF(OR(J1850=0,AND(J1850=1,K1850=1),AND(J1850=1,I1850="SBJ"),AND(J1850=1,I1850=0)),"?IN_FOCUS",IF(J1850&lt;=2,"?ACTIVATED",IF(J1850&lt;&gt;"","?FAMILIAR",IF(F1850="NEW",IF(ISNA(VLOOKUP(E1850,#REF!,1,FALSE())),"?TYPE_IDENTIFIABLE","?REFERENTIAL"),"_")))))</f>
        <v> </v>
      </c>
      <c r="H1850" s="25" t="str">
        <f>IF(J1850&lt;&gt;1,"",IF(I1850="SBJ","CB","?"))</f>
        <v> </v>
      </c>
      <c r="I1850" s="26" t="str">
        <f>IF(OR(E1850="",E1850="!!!",F1850="NEW"),"",INDEX(B1849:B$2,-1+SUMPRODUCT(MAX(ROW(E1849:E$2)*(E1850=E1849:E$2)))))</f>
        <v> </v>
      </c>
      <c r="J1850" s="26" t="str">
        <f>IF(OR(E1850="",E1850="!!!",F1850="NEW"),"",COUNTBLANK(OFFSET(A$1,,,SUMPRODUCT(MAX(ROW(E$2:E1850)*(E1850=E$2:E1850)))))-COUNTBLANK(OFFSET(A$1,,,SUMPRODUCT(MAX(ROW(E$1:E1849)*(E2=E$1:E1849))))))</f>
        <v> </v>
      </c>
      <c r="K1850" s="26" t="str">
        <f>IF(OR(E1850="",E1850="!!!",F1850="NEW"),"",INDEX(J$1:J1849,SUMPRODUCT(MAX(ROW(E$1:E1849)*(E1850=E$1:E1849)))))</f>
        <v> </v>
      </c>
      <c r="L1850" s="27"/>
    </row>
    <row r="1851" spans="1:12">
      <c r="A1851" s="20" t="s">
        <v>1140</v>
      </c>
      <c r="B1851" s="21" t="s">
        <v>1035</v>
      </c>
      <c r="C1851" s="21" t="s">
        <v>1073</v>
      </c>
      <c r="D1851" s="21" t="s">
        <v>1007</v>
      </c>
      <c r="E1851" s="22">
        <f>IF(D1851="?OLD","!!!","")</f>
        <v/>
      </c>
      <c r="F1851" s="23" t="str">
        <f>IF(OR(E1851="",E1851="!!!"),"",IF(NOT(ISNA(VLOOKUP(E1851,E$1:E1850,1,FALSE()))),"OLD",IF(AND(E1851&lt;&gt;"",E1851&lt;&gt;"!!!"),"NEW","")))</f>
        <v> </v>
      </c>
      <c r="G1851" s="24" t="str">
        <f>IF(OR(E1851="",E1851="!!!"),"",IF(OR(J1851=0,AND(J1851=1,K1851=1),AND(J1851=1,I1851="SBJ"),AND(J1851=1,I1851=0)),"?IN_FOCUS",IF(J1851&lt;=2,"?ACTIVATED",IF(J1851&lt;&gt;"","?FAMILIAR",IF(F1851="NEW",IF(ISNA(VLOOKUP(E1851,#REF!,1,FALSE())),"?TYPE_IDENTIFIABLE","?REFERENTIAL"),"_")))))</f>
        <v> </v>
      </c>
      <c r="H1851" s="25" t="str">
        <f>IF(J1851&lt;&gt;1,"",IF(I1851="SBJ","CB","?"))</f>
        <v> </v>
      </c>
      <c r="I1851" s="26" t="str">
        <f>IF(OR(E1851="",E1851="!!!",F1851="NEW"),"",INDEX(B1850:B$2,-1+SUMPRODUCT(MAX(ROW(E1850:E$2)*(E1851=E1850:E$2)))))</f>
        <v> </v>
      </c>
      <c r="J1851" s="26" t="str">
        <f>IF(OR(E1851="",E1851="!!!",F1851="NEW"),"",COUNTBLANK(OFFSET(A$1,,,SUMPRODUCT(MAX(ROW(E$2:E1851)*(E1851=E$2:E1851)))))-COUNTBLANK(OFFSET(A$1,,,SUMPRODUCT(MAX(ROW(E$1:E1850)*(E2=E$1:E1850))))))</f>
        <v> </v>
      </c>
      <c r="K1851" s="26" t="str">
        <f>IF(OR(E1851="",E1851="!!!",F1851="NEW"),"",INDEX(J$1:J1850,SUMPRODUCT(MAX(ROW(E$1:E1850)*(E1851=E$1:E1850)))))</f>
        <v> </v>
      </c>
      <c r="L1851" s="27"/>
    </row>
    <row r="1852" spans="1:12">
      <c r="A1852" s="20" t="s">
        <v>1018</v>
      </c>
      <c r="E1852" s="22">
        <f>IF(D1852="?OLD","!!!","")</f>
        <v/>
      </c>
      <c r="F1852" s="23" t="str">
        <f>IF(OR(E1852="",E1852="!!!"),"",IF(NOT(ISNA(VLOOKUP(E1852,E$1:E1851,1,FALSE()))),"OLD",IF(AND(E1852&lt;&gt;"",E1852&lt;&gt;"!!!"),"NEW","")))</f>
        <v> </v>
      </c>
      <c r="G1852" s="24" t="str">
        <f>IF(OR(E1852="",E1852="!!!"),"",IF(OR(J1852=0,AND(J1852=1,K1852=1),AND(J1852=1,I1852="SBJ"),AND(J1852=1,I1852=0)),"?IN_FOCUS",IF(J1852&lt;=2,"?ACTIVATED",IF(J1852&lt;&gt;"","?FAMILIAR",IF(F1852="NEW",IF(ISNA(VLOOKUP(E1852,#REF!,1,FALSE())),"?TYPE_IDENTIFIABLE","?REFERENTIAL"),"_")))))</f>
        <v> </v>
      </c>
      <c r="H1852" s="25" t="str">
        <f>IF(J1852&lt;&gt;1,"",IF(I1852="SBJ","CB","?"))</f>
        <v> </v>
      </c>
      <c r="I1852" s="26" t="str">
        <f>IF(OR(E1852="",E1852="!!!",F1852="NEW"),"",INDEX(B1851:B$2,-1+SUMPRODUCT(MAX(ROW(E1851:E$2)*(E1852=E1851:E$2)))))</f>
        <v> </v>
      </c>
      <c r="J1852" s="26" t="str">
        <f>IF(OR(E1852="",E1852="!!!",F1852="NEW"),"",COUNTBLANK(OFFSET(A$1,,,SUMPRODUCT(MAX(ROW(E$2:E1852)*(E1852=E$2:E1852)))))-COUNTBLANK(OFFSET(A$1,,,SUMPRODUCT(MAX(ROW(E$1:E1851)*(E2=E$1:E1851))))))</f>
        <v> </v>
      </c>
      <c r="K1852" s="26" t="str">
        <f>IF(OR(E1852="",E1852="!!!",F1852="NEW"),"",INDEX(J$1:J1851,SUMPRODUCT(MAX(ROW(E$1:E1851)*(E1852=E$1:E1851)))))</f>
        <v> </v>
      </c>
      <c r="L1852" s="27"/>
    </row>
    <row r="1853" spans="1:12">
      <c r="A1853" s="20" t="s">
        <v>1015</v>
      </c>
      <c r="E1853" s="22">
        <f>IF(D1853="?OLD","!!!","")</f>
        <v/>
      </c>
      <c r="F1853" s="23" t="str">
        <f>IF(OR(E1853="",E1853="!!!"),"",IF(NOT(ISNA(VLOOKUP(E1853,E$1:E1852,1,FALSE()))),"OLD",IF(AND(E1853&lt;&gt;"",E1853&lt;&gt;"!!!"),"NEW","")))</f>
        <v> </v>
      </c>
      <c r="G1853" s="24" t="str">
        <f>IF(OR(E1853="",E1853="!!!"),"",IF(OR(J1853=0,AND(J1853=1,K1853=1),AND(J1853=1,I1853="SBJ"),AND(J1853=1,I1853=0)),"?IN_FOCUS",IF(J1853&lt;=2,"?ACTIVATED",IF(J1853&lt;&gt;"","?FAMILIAR",IF(F1853="NEW",IF(ISNA(VLOOKUP(E1853,#REF!,1,FALSE())),"?TYPE_IDENTIFIABLE","?REFERENTIAL"),"_")))))</f>
        <v> </v>
      </c>
      <c r="H1853" s="25" t="str">
        <f>IF(J1853&lt;&gt;1,"",IF(I1853="SBJ","CB","?"))</f>
        <v> </v>
      </c>
      <c r="I1853" s="26" t="str">
        <f>IF(OR(E1853="",E1853="!!!",F1853="NEW"),"",INDEX(B1852:B$2,-1+SUMPRODUCT(MAX(ROW(E1852:E$2)*(E1853=E1852:E$2)))))</f>
        <v> </v>
      </c>
      <c r="J1853" s="26" t="str">
        <f>IF(OR(E1853="",E1853="!!!",F1853="NEW"),"",COUNTBLANK(OFFSET(A$1,,,SUMPRODUCT(MAX(ROW(E$2:E1853)*(E1853=E$2:E1853)))))-COUNTBLANK(OFFSET(A$1,,,SUMPRODUCT(MAX(ROW(E$1:E1852)*(E2=E$1:E1852))))))</f>
        <v> </v>
      </c>
      <c r="K1853" s="26" t="str">
        <f>IF(OR(E1853="",E1853="!!!",F1853="NEW"),"",INDEX(J$1:J1852,SUMPRODUCT(MAX(ROW(E$1:E1852)*(E1853=E$1:E1852)))))</f>
        <v> </v>
      </c>
      <c r="L1853" s="27"/>
    </row>
    <row r="1854" spans="1:12">
      <c r="A1854" s="20" t="s">
        <v>1655</v>
      </c>
      <c r="B1854" s="21" t="s">
        <v>1263</v>
      </c>
      <c r="C1854" s="21" t="s">
        <v>1013</v>
      </c>
      <c r="D1854" s="21" t="s">
        <v>1007</v>
      </c>
      <c r="E1854" s="22">
        <f>IF(D1854="?OLD","!!!","")</f>
        <v/>
      </c>
      <c r="F1854" s="23" t="str">
        <f>IF(OR(E1854="",E1854="!!!"),"",IF(NOT(ISNA(VLOOKUP(E1854,E$1:E1853,1,FALSE()))),"OLD",IF(AND(E1854&lt;&gt;"",E1854&lt;&gt;"!!!"),"NEW","")))</f>
        <v> </v>
      </c>
      <c r="G1854" s="24" t="str">
        <f>IF(OR(E1854="",E1854="!!!"),"",IF(OR(J1854=0,AND(J1854=1,K1854=1),AND(J1854=1,I1854="SBJ"),AND(J1854=1,I1854=0)),"?IN_FOCUS",IF(J1854&lt;=2,"?ACTIVATED",IF(J1854&lt;&gt;"","?FAMILIAR",IF(F1854="NEW",IF(ISNA(VLOOKUP(E1854,#REF!,1,FALSE())),"?TYPE_IDENTIFIABLE","?REFERENTIAL"),"_")))))</f>
        <v> </v>
      </c>
      <c r="H1854" s="25" t="str">
        <f>IF(J1854&lt;&gt;1,"",IF(I1854="SBJ","CB","?"))</f>
        <v> </v>
      </c>
      <c r="I1854" s="26" t="str">
        <f>IF(OR(E1854="",E1854="!!!",F1854="NEW"),"",INDEX(B1853:B$2,-1+SUMPRODUCT(MAX(ROW(E1853:E$2)*(E1854=E1853:E$2)))))</f>
        <v> </v>
      </c>
      <c r="J1854" s="26" t="str">
        <f>IF(OR(E1854="",E1854="!!!",F1854="NEW"),"",COUNTBLANK(OFFSET(A$1,,,SUMPRODUCT(MAX(ROW(E$2:E1854)*(E1854=E$2:E1854)))))-COUNTBLANK(OFFSET(A$1,,,SUMPRODUCT(MAX(ROW(E$1:E1853)*(E2=E$1:E1853))))))</f>
        <v> </v>
      </c>
      <c r="K1854" s="26" t="str">
        <f>IF(OR(E1854="",E1854="!!!",F1854="NEW"),"",INDEX(J$1:J1853,SUMPRODUCT(MAX(ROW(E$1:E1853)*(E1854=E$1:E1853)))))</f>
        <v> </v>
      </c>
      <c r="L1854" s="27"/>
    </row>
    <row r="1855" spans="1:12">
      <c r="A1855" s="20" t="s">
        <v>1014</v>
      </c>
      <c r="E1855" s="22">
        <f>IF(D1855="?OLD","!!!","")</f>
        <v/>
      </c>
      <c r="F1855" s="23" t="str">
        <f>IF(OR(E1855="",E1855="!!!"),"",IF(NOT(ISNA(VLOOKUP(E1855,E$1:E1854,1,FALSE()))),"OLD",IF(AND(E1855&lt;&gt;"",E1855&lt;&gt;"!!!"),"NEW","")))</f>
        <v> </v>
      </c>
      <c r="G1855" s="24" t="str">
        <f>IF(OR(E1855="",E1855="!!!"),"",IF(OR(J1855=0,AND(J1855=1,K1855=1),AND(J1855=1,I1855="SBJ"),AND(J1855=1,I1855=0)),"?IN_FOCUS",IF(J1855&lt;=2,"?ACTIVATED",IF(J1855&lt;&gt;"","?FAMILIAR",IF(F1855="NEW",IF(ISNA(VLOOKUP(E1855,#REF!,1,FALSE())),"?TYPE_IDENTIFIABLE","?REFERENTIAL"),"_")))))</f>
        <v> </v>
      </c>
      <c r="H1855" s="25" t="str">
        <f>IF(J1855&lt;&gt;1,"",IF(I1855="SBJ","CB","?"))</f>
        <v> </v>
      </c>
      <c r="I1855" s="26" t="str">
        <f>IF(OR(E1855="",E1855="!!!",F1855="NEW"),"",INDEX(B1854:B$2,-1+SUMPRODUCT(MAX(ROW(E1854:E$2)*(E1855=E1854:E$2)))))</f>
        <v> </v>
      </c>
      <c r="J1855" s="26" t="str">
        <f>IF(OR(E1855="",E1855="!!!",F1855="NEW"),"",COUNTBLANK(OFFSET(A$1,,,SUMPRODUCT(MAX(ROW(E$2:E1855)*(E1855=E$2:E1855)))))-COUNTBLANK(OFFSET(A$1,,,SUMPRODUCT(MAX(ROW(E$1:E1854)*(E2=E$1:E1854))))))</f>
        <v> </v>
      </c>
      <c r="K1855" s="26" t="str">
        <f>IF(OR(E1855="",E1855="!!!",F1855="NEW"),"",INDEX(J$1:J1854,SUMPRODUCT(MAX(ROW(E$1:E1854)*(E1855=E$1:E1854)))))</f>
        <v> </v>
      </c>
      <c r="L1855" s="27"/>
    </row>
    <row r="1856" spans="1:12">
      <c r="A1856" s="20" t="s">
        <v>1570</v>
      </c>
      <c r="B1856" s="21" t="s">
        <v>1040</v>
      </c>
      <c r="C1856" s="21" t="s">
        <v>1013</v>
      </c>
      <c r="D1856" s="21" t="s">
        <v>1007</v>
      </c>
      <c r="E1856" s="22">
        <f>IF(D1856="?OLD","!!!","")</f>
        <v/>
      </c>
      <c r="F1856" s="23" t="str">
        <f>IF(OR(E1856="",E1856="!!!"),"",IF(NOT(ISNA(VLOOKUP(E1856,E$1:E1855,1,FALSE()))),"OLD",IF(AND(E1856&lt;&gt;"",E1856&lt;&gt;"!!!"),"NEW","")))</f>
        <v> </v>
      </c>
      <c r="G1856" s="24" t="str">
        <f>IF(OR(E1856="",E1856="!!!"),"",IF(OR(J1856=0,AND(J1856=1,K1856=1),AND(J1856=1,I1856="SBJ"),AND(J1856=1,I1856=0)),"?IN_FOCUS",IF(J1856&lt;=2,"?ACTIVATED",IF(J1856&lt;&gt;"","?FAMILIAR",IF(F1856="NEW",IF(ISNA(VLOOKUP(E1856,#REF!,1,FALSE())),"?TYPE_IDENTIFIABLE","?REFERENTIAL"),"_")))))</f>
        <v> </v>
      </c>
      <c r="H1856" s="25" t="str">
        <f>IF(J1856&lt;&gt;1,"",IF(I1856="SBJ","CB","?"))</f>
        <v> </v>
      </c>
      <c r="I1856" s="26" t="str">
        <f>IF(OR(E1856="",E1856="!!!",F1856="NEW"),"",INDEX(B1855:B$2,-1+SUMPRODUCT(MAX(ROW(E1855:E$2)*(E1856=E1855:E$2)))))</f>
        <v> </v>
      </c>
      <c r="J1856" s="26" t="str">
        <f>IF(OR(E1856="",E1856="!!!",F1856="NEW"),"",COUNTBLANK(OFFSET(A$1,,,SUMPRODUCT(MAX(ROW(E$2:E1856)*(E1856=E$2:E1856)))))-COUNTBLANK(OFFSET(A$1,,,SUMPRODUCT(MAX(ROW(E$1:E1855)*(E2=E$1:E1855))))))</f>
        <v> </v>
      </c>
      <c r="K1856" s="26" t="str">
        <f>IF(OR(E1856="",E1856="!!!",F1856="NEW"),"",INDEX(J$1:J1855,SUMPRODUCT(MAX(ROW(E$1:E1855)*(E1856=E$1:E1855)))))</f>
        <v> </v>
      </c>
      <c r="L1856" s="27"/>
    </row>
    <row r="1857" spans="1:12">
      <c r="A1857" s="20" t="s">
        <v>1014</v>
      </c>
      <c r="E1857" s="22">
        <f>IF(D1857="?OLD","!!!","")</f>
        <v/>
      </c>
      <c r="F1857" s="23" t="str">
        <f>IF(OR(E1857="",E1857="!!!"),"",IF(NOT(ISNA(VLOOKUP(E1857,E$1:E1856,1,FALSE()))),"OLD",IF(AND(E1857&lt;&gt;"",E1857&lt;&gt;"!!!"),"NEW","")))</f>
        <v> </v>
      </c>
      <c r="G1857" s="24" t="str">
        <f>IF(OR(E1857="",E1857="!!!"),"",IF(OR(J1857=0,AND(J1857=1,K1857=1),AND(J1857=1,I1857="SBJ"),AND(J1857=1,I1857=0)),"?IN_FOCUS",IF(J1857&lt;=2,"?ACTIVATED",IF(J1857&lt;&gt;"","?FAMILIAR",IF(F1857="NEW",IF(ISNA(VLOOKUP(E1857,#REF!,1,FALSE())),"?TYPE_IDENTIFIABLE","?REFERENTIAL"),"_")))))</f>
        <v> </v>
      </c>
      <c r="H1857" s="25" t="str">
        <f>IF(J1857&lt;&gt;1,"",IF(I1857="SBJ","CB","?"))</f>
        <v> </v>
      </c>
      <c r="I1857" s="26" t="str">
        <f>IF(OR(E1857="",E1857="!!!",F1857="NEW"),"",INDEX(B1856:B$2,-1+SUMPRODUCT(MAX(ROW(E1856:E$2)*(E1857=E1856:E$2)))))</f>
        <v> </v>
      </c>
      <c r="J1857" s="26" t="str">
        <f>IF(OR(E1857="",E1857="!!!",F1857="NEW"),"",COUNTBLANK(OFFSET(A$1,,,SUMPRODUCT(MAX(ROW(E$2:E1857)*(E1857=E$2:E1857)))))-COUNTBLANK(OFFSET(A$1,,,SUMPRODUCT(MAX(ROW(E$1:E1856)*(E2=E$1:E1856))))))</f>
        <v> </v>
      </c>
      <c r="K1857" s="26" t="str">
        <f>IF(OR(E1857="",E1857="!!!",F1857="NEW"),"",INDEX(J$1:J1856,SUMPRODUCT(MAX(ROW(E$1:E1856)*(E1857=E$1:E1856)))))</f>
        <v> </v>
      </c>
      <c r="L1857" s="27"/>
    </row>
    <row r="1858" spans="1:12">
      <c r="A1858" s="20" t="s">
        <v>1020</v>
      </c>
      <c r="E1858" s="22">
        <f>IF(D1858="?OLD","!!!","")</f>
        <v/>
      </c>
      <c r="F1858" s="23" t="str">
        <f>IF(OR(E1858="",E1858="!!!"),"",IF(NOT(ISNA(VLOOKUP(E1858,E$1:E1857,1,FALSE()))),"OLD",IF(AND(E1858&lt;&gt;"",E1858&lt;&gt;"!!!"),"NEW","")))</f>
        <v> </v>
      </c>
      <c r="G1858" s="24" t="str">
        <f>IF(OR(E1858="",E1858="!!!"),"",IF(OR(J1858=0,AND(J1858=1,K1858=1),AND(J1858=1,I1858="SBJ"),AND(J1858=1,I1858=0)),"?IN_FOCUS",IF(J1858&lt;=2,"?ACTIVATED",IF(J1858&lt;&gt;"","?FAMILIAR",IF(F1858="NEW",IF(ISNA(VLOOKUP(E1858,#REF!,1,FALSE())),"?TYPE_IDENTIFIABLE","?REFERENTIAL"),"_")))))</f>
        <v> </v>
      </c>
      <c r="H1858" s="25" t="str">
        <f>IF(J1858&lt;&gt;1,"",IF(I1858="SBJ","CB","?"))</f>
        <v> </v>
      </c>
      <c r="I1858" s="26" t="str">
        <f>IF(OR(E1858="",E1858="!!!",F1858="NEW"),"",INDEX(B1857:B$2,-1+SUMPRODUCT(MAX(ROW(E1857:E$2)*(E1858=E1857:E$2)))))</f>
        <v> </v>
      </c>
      <c r="J1858" s="26" t="str">
        <f>IF(OR(E1858="",E1858="!!!",F1858="NEW"),"",COUNTBLANK(OFFSET(A$1,,,SUMPRODUCT(MAX(ROW(E$2:E1858)*(E1858=E$2:E1858)))))-COUNTBLANK(OFFSET(A$1,,,SUMPRODUCT(MAX(ROW(E$1:E1857)*(E2=E$1:E1857))))))</f>
        <v> </v>
      </c>
      <c r="K1858" s="26" t="str">
        <f>IF(OR(E1858="",E1858="!!!",F1858="NEW"),"",INDEX(J$1:J1857,SUMPRODUCT(MAX(ROW(E$1:E1857)*(E1858=E$1:E1857)))))</f>
        <v> </v>
      </c>
      <c r="L1858" s="27"/>
    </row>
    <row r="1859" spans="1:12">
      <c r="A1859" s="20" t="s">
        <v>1054</v>
      </c>
      <c r="B1859" s="21" t="s">
        <v>1042</v>
      </c>
      <c r="C1859" s="21" t="s">
        <v>1006</v>
      </c>
      <c r="D1859" s="21" t="s">
        <v>1007</v>
      </c>
      <c r="E1859" s="22">
        <f>IF(D1859="?OLD","!!!","")</f>
        <v/>
      </c>
      <c r="F1859" s="23" t="str">
        <f>IF(OR(E1859="",E1859="!!!"),"",IF(NOT(ISNA(VLOOKUP(E1859,E$1:E1858,1,FALSE()))),"OLD",IF(AND(E1859&lt;&gt;"",E1859&lt;&gt;"!!!"),"NEW","")))</f>
        <v> </v>
      </c>
      <c r="G1859" s="24" t="str">
        <f>IF(OR(E1859="",E1859="!!!"),"",IF(OR(J1859=0,AND(J1859=1,K1859=1),AND(J1859=1,I1859="SBJ"),AND(J1859=1,I1859=0)),"?IN_FOCUS",IF(J1859&lt;=2,"?ACTIVATED",IF(J1859&lt;&gt;"","?FAMILIAR",IF(F1859="NEW",IF(ISNA(VLOOKUP(E1859,#REF!,1,FALSE())),"?TYPE_IDENTIFIABLE","?REFERENTIAL"),"_")))))</f>
        <v> </v>
      </c>
      <c r="H1859" s="25" t="str">
        <f>IF(J1859&lt;&gt;1,"",IF(I1859="SBJ","CB","?"))</f>
        <v> </v>
      </c>
      <c r="I1859" s="26" t="str">
        <f>IF(OR(E1859="",E1859="!!!",F1859="NEW"),"",INDEX(B1858:B$2,-1+SUMPRODUCT(MAX(ROW(E1858:E$2)*(E1859=E1858:E$2)))))</f>
        <v> </v>
      </c>
      <c r="J1859" s="26" t="str">
        <f>IF(OR(E1859="",E1859="!!!",F1859="NEW"),"",COUNTBLANK(OFFSET(A$1,,,SUMPRODUCT(MAX(ROW(E$2:E1859)*(E1859=E$2:E1859)))))-COUNTBLANK(OFFSET(A$1,,,SUMPRODUCT(MAX(ROW(E$1:E1858)*(E2=E$1:E1858))))))</f>
        <v> </v>
      </c>
      <c r="K1859" s="26" t="str">
        <f>IF(OR(E1859="",E1859="!!!",F1859="NEW"),"",INDEX(J$1:J1858,SUMPRODUCT(MAX(ROW(E$1:E1858)*(E1859=E$1:E1858)))))</f>
        <v> </v>
      </c>
      <c r="L1859" s="27"/>
    </row>
    <row r="1860" spans="1:12">
      <c r="A1860" s="20" t="s">
        <v>1157</v>
      </c>
      <c r="E1860" s="22">
        <f>IF(D1860="?OLD","!!!","")</f>
        <v/>
      </c>
      <c r="F1860" s="23" t="str">
        <f>IF(OR(E1860="",E1860="!!!"),"",IF(NOT(ISNA(VLOOKUP(E1860,E$1:E1859,1,FALSE()))),"OLD",IF(AND(E1860&lt;&gt;"",E1860&lt;&gt;"!!!"),"NEW","")))</f>
        <v> </v>
      </c>
      <c r="G1860" s="24" t="str">
        <f>IF(OR(E1860="",E1860="!!!"),"",IF(OR(J1860=0,AND(J1860=1,K1860=1),AND(J1860=1,I1860="SBJ"),AND(J1860=1,I1860=0)),"?IN_FOCUS",IF(J1860&lt;=2,"?ACTIVATED",IF(J1860&lt;&gt;"","?FAMILIAR",IF(F1860="NEW",IF(ISNA(VLOOKUP(E1860,#REF!,1,FALSE())),"?TYPE_IDENTIFIABLE","?REFERENTIAL"),"_")))))</f>
        <v> </v>
      </c>
      <c r="H1860" s="25" t="str">
        <f>IF(J1860&lt;&gt;1,"",IF(I1860="SBJ","CB","?"))</f>
        <v> </v>
      </c>
      <c r="I1860" s="26" t="str">
        <f>IF(OR(E1860="",E1860="!!!",F1860="NEW"),"",INDEX(B1859:B$2,-1+SUMPRODUCT(MAX(ROW(E1859:E$2)*(E1860=E1859:E$2)))))</f>
        <v> </v>
      </c>
      <c r="J1860" s="26" t="str">
        <f>IF(OR(E1860="",E1860="!!!",F1860="NEW"),"",COUNTBLANK(OFFSET(A$1,,,SUMPRODUCT(MAX(ROW(E$2:E1860)*(E1860=E$2:E1860)))))-COUNTBLANK(OFFSET(A$1,,,SUMPRODUCT(MAX(ROW(E$1:E1859)*(E2=E$1:E1859))))))</f>
        <v> </v>
      </c>
      <c r="K1860" s="26" t="str">
        <f>IF(OR(E1860="",E1860="!!!",F1860="NEW"),"",INDEX(J$1:J1859,SUMPRODUCT(MAX(ROW(E$1:E1859)*(E1860=E$1:E1859)))))</f>
        <v> </v>
      </c>
      <c r="L1860" s="27"/>
    </row>
    <row r="1861" spans="1:12">
      <c r="A1861" s="20" t="s">
        <v>137</v>
      </c>
      <c r="E1861" s="22">
        <f>IF(D1861="?OLD","!!!","")</f>
        <v/>
      </c>
      <c r="F1861" s="23" t="str">
        <f>IF(OR(E1861="",E1861="!!!"),"",IF(NOT(ISNA(VLOOKUP(E1861,E$1:E1860,1,FALSE()))),"OLD",IF(AND(E1861&lt;&gt;"",E1861&lt;&gt;"!!!"),"NEW","")))</f>
        <v> </v>
      </c>
      <c r="G1861" s="24" t="str">
        <f>IF(OR(E1861="",E1861="!!!"),"",IF(OR(J1861=0,AND(J1861=1,K1861=1),AND(J1861=1,I1861="SBJ"),AND(J1861=1,I1861=0)),"?IN_FOCUS",IF(J1861&lt;=2,"?ACTIVATED",IF(J1861&lt;&gt;"","?FAMILIAR",IF(F1861="NEW",IF(ISNA(VLOOKUP(E1861,#REF!,1,FALSE())),"?TYPE_IDENTIFIABLE","?REFERENTIAL"),"_")))))</f>
        <v> </v>
      </c>
      <c r="H1861" s="25" t="str">
        <f>IF(J1861&lt;&gt;1,"",IF(I1861="SBJ","CB","?"))</f>
        <v> </v>
      </c>
      <c r="I1861" s="26" t="str">
        <f>IF(OR(E1861="",E1861="!!!",F1861="NEW"),"",INDEX(B1860:B$2,-1+SUMPRODUCT(MAX(ROW(E1860:E$2)*(E1861=E1860:E$2)))))</f>
        <v> </v>
      </c>
      <c r="J1861" s="26" t="str">
        <f>IF(OR(E1861="",E1861="!!!",F1861="NEW"),"",COUNTBLANK(OFFSET(A$1,,,SUMPRODUCT(MAX(ROW(E$2:E1861)*(E1861=E$2:E1861)))))-COUNTBLANK(OFFSET(A$1,,,SUMPRODUCT(MAX(ROW(E$1:E1860)*(E2=E$1:E1860))))))</f>
        <v> </v>
      </c>
      <c r="K1861" s="26" t="str">
        <f>IF(OR(E1861="",E1861="!!!",F1861="NEW"),"",INDEX(J$1:J1860,SUMPRODUCT(MAX(ROW(E$1:E1860)*(E1861=E$1:E1860)))))</f>
        <v> </v>
      </c>
      <c r="L1861" s="27"/>
    </row>
    <row r="1862" spans="1:12">
      <c r="A1862" s="20" t="s">
        <v>1435</v>
      </c>
      <c r="E1862" s="22">
        <f>IF(D1862="?OLD","!!!","")</f>
        <v/>
      </c>
      <c r="F1862" s="23" t="str">
        <f>IF(OR(E1862="",E1862="!!!"),"",IF(NOT(ISNA(VLOOKUP(E1862,E$1:E1861,1,FALSE()))),"OLD",IF(AND(E1862&lt;&gt;"",E1862&lt;&gt;"!!!"),"NEW","")))</f>
        <v> </v>
      </c>
      <c r="G1862" s="24" t="str">
        <f>IF(OR(E1862="",E1862="!!!"),"",IF(OR(J1862=0,AND(J1862=1,K1862=1),AND(J1862=1,I1862="SBJ"),AND(J1862=1,I1862=0)),"?IN_FOCUS",IF(J1862&lt;=2,"?ACTIVATED",IF(J1862&lt;&gt;"","?FAMILIAR",IF(F1862="NEW",IF(ISNA(VLOOKUP(E1862,#REF!,1,FALSE())),"?TYPE_IDENTIFIABLE","?REFERENTIAL"),"_")))))</f>
        <v> </v>
      </c>
      <c r="H1862" s="25" t="str">
        <f>IF(J1862&lt;&gt;1,"",IF(I1862="SBJ","CB","?"))</f>
        <v> </v>
      </c>
      <c r="I1862" s="26" t="str">
        <f>IF(OR(E1862="",E1862="!!!",F1862="NEW"),"",INDEX(B1861:B$2,-1+SUMPRODUCT(MAX(ROW(E1861:E$2)*(E1862=E1861:E$2)))))</f>
        <v> </v>
      </c>
      <c r="J1862" s="26" t="str">
        <f>IF(OR(E1862="",E1862="!!!",F1862="NEW"),"",COUNTBLANK(OFFSET(A$1,,,SUMPRODUCT(MAX(ROW(E$2:E1862)*(E1862=E$2:E1862)))))-COUNTBLANK(OFFSET(A$1,,,SUMPRODUCT(MAX(ROW(E$1:E1861)*(E2=E$1:E1861))))))</f>
        <v> </v>
      </c>
      <c r="K1862" s="26" t="str">
        <f>IF(OR(E1862="",E1862="!!!",F1862="NEW"),"",INDEX(J$1:J1861,SUMPRODUCT(MAX(ROW(E$1:E1861)*(E1862=E$1:E1861)))))</f>
        <v> </v>
      </c>
      <c r="L1862" s="27"/>
    </row>
    <row r="1863" spans="1:12">
      <c r="A1863" s="20" t="s">
        <v>1654</v>
      </c>
      <c r="B1863" s="21" t="s">
        <v>1134</v>
      </c>
      <c r="C1863" s="21" t="s">
        <v>1041</v>
      </c>
      <c r="D1863" s="21" t="s">
        <v>1007</v>
      </c>
      <c r="E1863" s="22">
        <f>IF(D1863="?OLD","!!!","")</f>
        <v/>
      </c>
      <c r="F1863" s="23" t="str">
        <f>IF(OR(E1863="",E1863="!!!"),"",IF(NOT(ISNA(VLOOKUP(E1863,E$1:E1862,1,FALSE()))),"OLD",IF(AND(E1863&lt;&gt;"",E1863&lt;&gt;"!!!"),"NEW","")))</f>
        <v> </v>
      </c>
      <c r="G1863" s="24" t="str">
        <f>IF(OR(E1863="",E1863="!!!"),"",IF(OR(J1863=0,AND(J1863=1,K1863=1),AND(J1863=1,I1863="SBJ"),AND(J1863=1,I1863=0)),"?IN_FOCUS",IF(J1863&lt;=2,"?ACTIVATED",IF(J1863&lt;&gt;"","?FAMILIAR",IF(F1863="NEW",IF(ISNA(VLOOKUP(E1863,#REF!,1,FALSE())),"?TYPE_IDENTIFIABLE","?REFERENTIAL"),"_")))))</f>
        <v> </v>
      </c>
      <c r="H1863" s="25" t="str">
        <f>IF(J1863&lt;&gt;1,"",IF(I1863="SBJ","CB","?"))</f>
        <v> </v>
      </c>
      <c r="I1863" s="26" t="str">
        <f>IF(OR(E1863="",E1863="!!!",F1863="NEW"),"",INDEX(B1862:B$2,-1+SUMPRODUCT(MAX(ROW(E1862:E$2)*(E1863=E1862:E$2)))))</f>
        <v> </v>
      </c>
      <c r="J1863" s="26" t="str">
        <f>IF(OR(E1863="",E1863="!!!",F1863="NEW"),"",COUNTBLANK(OFFSET(A$1,,,SUMPRODUCT(MAX(ROW(E$2:E1863)*(E1863=E$2:E1863)))))-COUNTBLANK(OFFSET(A$1,,,SUMPRODUCT(MAX(ROW(E$1:E1862)*(E2=E$1:E1862))))))</f>
        <v> </v>
      </c>
      <c r="K1863" s="26" t="str">
        <f>IF(OR(E1863="",E1863="!!!",F1863="NEW"),"",INDEX(J$1:J1862,SUMPRODUCT(MAX(ROW(E$1:E1862)*(E1863=E$1:E1862)))))</f>
        <v> </v>
      </c>
      <c r="L1863" s="27"/>
    </row>
    <row r="1864" spans="1:12">
      <c r="A1864" s="20" t="s">
        <v>1018</v>
      </c>
      <c r="E1864" s="22">
        <f>IF(D1864="?OLD","!!!","")</f>
        <v/>
      </c>
      <c r="F1864" s="23" t="str">
        <f>IF(OR(E1864="",E1864="!!!"),"",IF(NOT(ISNA(VLOOKUP(E1864,E$1:E1863,1,FALSE()))),"OLD",IF(AND(E1864&lt;&gt;"",E1864&lt;&gt;"!!!"),"NEW","")))</f>
        <v> </v>
      </c>
      <c r="G1864" s="24" t="str">
        <f>IF(OR(E1864="",E1864="!!!"),"",IF(OR(J1864=0,AND(J1864=1,K1864=1),AND(J1864=1,I1864="SBJ"),AND(J1864=1,I1864=0)),"?IN_FOCUS",IF(J1864&lt;=2,"?ACTIVATED",IF(J1864&lt;&gt;"","?FAMILIAR",IF(F1864="NEW",IF(ISNA(VLOOKUP(E1864,#REF!,1,FALSE())),"?TYPE_IDENTIFIABLE","?REFERENTIAL"),"_")))))</f>
        <v> </v>
      </c>
      <c r="H1864" s="25" t="str">
        <f>IF(J1864&lt;&gt;1,"",IF(I1864="SBJ","CB","?"))</f>
        <v> </v>
      </c>
      <c r="I1864" s="26" t="str">
        <f>IF(OR(E1864="",E1864="!!!",F1864="NEW"),"",INDEX(B1863:B$2,-1+SUMPRODUCT(MAX(ROW(E1863:E$2)*(E1864=E1863:E$2)))))</f>
        <v> </v>
      </c>
      <c r="J1864" s="26" t="str">
        <f>IF(OR(E1864="",E1864="!!!",F1864="NEW"),"",COUNTBLANK(OFFSET(A$1,,,SUMPRODUCT(MAX(ROW(E$2:E1864)*(E1864=E$2:E1864)))))-COUNTBLANK(OFFSET(A$1,,,SUMPRODUCT(MAX(ROW(E$1:E1863)*(E2=E$1:E1863))))))</f>
        <v> </v>
      </c>
      <c r="K1864" s="26" t="str">
        <f>IF(OR(E1864="",E1864="!!!",F1864="NEW"),"",INDEX(J$1:J1863,SUMPRODUCT(MAX(ROW(E$1:E1863)*(E1864=E$1:E1863)))))</f>
        <v> </v>
      </c>
      <c r="L1864" s="27"/>
    </row>
    <row r="1865" spans="1:12">
      <c r="A1865" s="20" t="s">
        <v>1015</v>
      </c>
      <c r="E1865" s="22">
        <f>IF(D1865="?OLD","!!!","")</f>
        <v/>
      </c>
      <c r="F1865" s="23" t="str">
        <f>IF(OR(E1865="",E1865="!!!"),"",IF(NOT(ISNA(VLOOKUP(E1865,E$1:E1864,1,FALSE()))),"OLD",IF(AND(E1865&lt;&gt;"",E1865&lt;&gt;"!!!"),"NEW","")))</f>
        <v> </v>
      </c>
      <c r="G1865" s="24" t="str">
        <f>IF(OR(E1865="",E1865="!!!"),"",IF(OR(J1865=0,AND(J1865=1,K1865=1),AND(J1865=1,I1865="SBJ"),AND(J1865=1,I1865=0)),"?IN_FOCUS",IF(J1865&lt;=2,"?ACTIVATED",IF(J1865&lt;&gt;"","?FAMILIAR",IF(F1865="NEW",IF(ISNA(VLOOKUP(E1865,#REF!,1,FALSE())),"?TYPE_IDENTIFIABLE","?REFERENTIAL"),"_")))))</f>
        <v> </v>
      </c>
      <c r="H1865" s="25" t="str">
        <f>IF(J1865&lt;&gt;1,"",IF(I1865="SBJ","CB","?"))</f>
        <v> </v>
      </c>
      <c r="I1865" s="26" t="str">
        <f>IF(OR(E1865="",E1865="!!!",F1865="NEW"),"",INDEX(B1864:B$2,-1+SUMPRODUCT(MAX(ROW(E1864:E$2)*(E1865=E1864:E$2)))))</f>
        <v> </v>
      </c>
      <c r="J1865" s="26" t="str">
        <f>IF(OR(E1865="",E1865="!!!",F1865="NEW"),"",COUNTBLANK(OFFSET(A$1,,,SUMPRODUCT(MAX(ROW(E$2:E1865)*(E1865=E$2:E1865)))))-COUNTBLANK(OFFSET(A$1,,,SUMPRODUCT(MAX(ROW(E$1:E1864)*(E2=E$1:E1864))))))</f>
        <v> </v>
      </c>
      <c r="K1865" s="26" t="str">
        <f>IF(OR(E1865="",E1865="!!!",F1865="NEW"),"",INDEX(J$1:J1864,SUMPRODUCT(MAX(ROW(E$1:E1864)*(E1865=E$1:E1864)))))</f>
        <v> </v>
      </c>
      <c r="L1865" s="27"/>
    </row>
    <row r="1866" spans="1:12">
      <c r="A1866" s="20" t="s">
        <v>1655</v>
      </c>
      <c r="B1866" s="21" t="s">
        <v>1130</v>
      </c>
      <c r="C1866" s="21" t="s">
        <v>1013</v>
      </c>
      <c r="D1866" s="21" t="s">
        <v>1007</v>
      </c>
      <c r="E1866" s="22">
        <f>IF(D1866="?OLD","!!!","")</f>
        <v/>
      </c>
      <c r="F1866" s="23" t="str">
        <f>IF(OR(E1866="",E1866="!!!"),"",IF(NOT(ISNA(VLOOKUP(E1866,E$1:E1865,1,FALSE()))),"OLD",IF(AND(E1866&lt;&gt;"",E1866&lt;&gt;"!!!"),"NEW","")))</f>
        <v> </v>
      </c>
      <c r="G1866" s="24" t="str">
        <f>IF(OR(E1866="",E1866="!!!"),"",IF(OR(J1866=0,AND(J1866=1,K1866=1),AND(J1866=1,I1866="SBJ"),AND(J1866=1,I1866=0)),"?IN_FOCUS",IF(J1866&lt;=2,"?ACTIVATED",IF(J1866&lt;&gt;"","?FAMILIAR",IF(F1866="NEW",IF(ISNA(VLOOKUP(E1866,#REF!,1,FALSE())),"?TYPE_IDENTIFIABLE","?REFERENTIAL"),"_")))))</f>
        <v> </v>
      </c>
      <c r="H1866" s="25" t="str">
        <f>IF(J1866&lt;&gt;1,"",IF(I1866="SBJ","CB","?"))</f>
        <v> </v>
      </c>
      <c r="I1866" s="26" t="str">
        <f>IF(OR(E1866="",E1866="!!!",F1866="NEW"),"",INDEX(B1865:B$2,-1+SUMPRODUCT(MAX(ROW(E1865:E$2)*(E1866=E1865:E$2)))))</f>
        <v> </v>
      </c>
      <c r="J1866" s="26" t="str">
        <f>IF(OR(E1866="",E1866="!!!",F1866="NEW"),"",COUNTBLANK(OFFSET(A$1,,,SUMPRODUCT(MAX(ROW(E$2:E1866)*(E1866=E$2:E1866)))))-COUNTBLANK(OFFSET(A$1,,,SUMPRODUCT(MAX(ROW(E$1:E1865)*(E2=E$1:E1865))))))</f>
        <v> </v>
      </c>
      <c r="K1866" s="26" t="str">
        <f>IF(OR(E1866="",E1866="!!!",F1866="NEW"),"",INDEX(J$1:J1865,SUMPRODUCT(MAX(ROW(E$1:E1865)*(E1866=E$1:E1865)))))</f>
        <v> </v>
      </c>
      <c r="L1866" s="27"/>
    </row>
    <row r="1867" spans="1:12">
      <c r="A1867" s="20" t="s">
        <v>1014</v>
      </c>
      <c r="E1867" s="22">
        <f>IF(D1867="?OLD","!!!","")</f>
        <v/>
      </c>
      <c r="F1867" s="23" t="str">
        <f>IF(OR(E1867="",E1867="!!!"),"",IF(NOT(ISNA(VLOOKUP(E1867,E$1:E1866,1,FALSE()))),"OLD",IF(AND(E1867&lt;&gt;"",E1867&lt;&gt;"!!!"),"NEW","")))</f>
        <v> </v>
      </c>
      <c r="G1867" s="24" t="str">
        <f>IF(OR(E1867="",E1867="!!!"),"",IF(OR(J1867=0,AND(J1867=1,K1867=1),AND(J1867=1,I1867="SBJ"),AND(J1867=1,I1867=0)),"?IN_FOCUS",IF(J1867&lt;=2,"?ACTIVATED",IF(J1867&lt;&gt;"","?FAMILIAR",IF(F1867="NEW",IF(ISNA(VLOOKUP(E1867,#REF!,1,FALSE())),"?TYPE_IDENTIFIABLE","?REFERENTIAL"),"_")))))</f>
        <v> </v>
      </c>
      <c r="H1867" s="25" t="str">
        <f>IF(J1867&lt;&gt;1,"",IF(I1867="SBJ","CB","?"))</f>
        <v> </v>
      </c>
      <c r="I1867" s="26" t="str">
        <f>IF(OR(E1867="",E1867="!!!",F1867="NEW"),"",INDEX(B1866:B$2,-1+SUMPRODUCT(MAX(ROW(E1866:E$2)*(E1867=E1866:E$2)))))</f>
        <v> </v>
      </c>
      <c r="J1867" s="26" t="str">
        <f>IF(OR(E1867="",E1867="!!!",F1867="NEW"),"",COUNTBLANK(OFFSET(A$1,,,SUMPRODUCT(MAX(ROW(E$2:E1867)*(E1867=E$2:E1867)))))-COUNTBLANK(OFFSET(A$1,,,SUMPRODUCT(MAX(ROW(E$1:E1866)*(E2=E$1:E1866))))))</f>
        <v> </v>
      </c>
      <c r="K1867" s="26" t="str">
        <f>IF(OR(E1867="",E1867="!!!",F1867="NEW"),"",INDEX(J$1:J1866,SUMPRODUCT(MAX(ROW(E$1:E1866)*(E1867=E$1:E1866)))))</f>
        <v> </v>
      </c>
      <c r="L1867" s="27"/>
    </row>
    <row r="1868" spans="1:12">
      <c r="A1868" s="20" t="s">
        <v>1243</v>
      </c>
      <c r="B1868" s="21" t="s">
        <v>1040</v>
      </c>
      <c r="C1868" s="21" t="s">
        <v>1013</v>
      </c>
      <c r="D1868" s="21" t="s">
        <v>1007</v>
      </c>
      <c r="E1868" s="22">
        <f>IF(D1868="?OLD","!!!","")</f>
        <v/>
      </c>
      <c r="F1868" s="23" t="str">
        <f>IF(OR(E1868="",E1868="!!!"),"",IF(NOT(ISNA(VLOOKUP(E1868,E$1:E1867,1,FALSE()))),"OLD",IF(AND(E1868&lt;&gt;"",E1868&lt;&gt;"!!!"),"NEW","")))</f>
        <v> </v>
      </c>
      <c r="G1868" s="24" t="str">
        <f>IF(OR(E1868="",E1868="!!!"),"",IF(OR(J1868=0,AND(J1868=1,K1868=1),AND(J1868=1,I1868="SBJ"),AND(J1868=1,I1868=0)),"?IN_FOCUS",IF(J1868&lt;=2,"?ACTIVATED",IF(J1868&lt;&gt;"","?FAMILIAR",IF(F1868="NEW",IF(ISNA(VLOOKUP(E1868,#REF!,1,FALSE())),"?TYPE_IDENTIFIABLE","?REFERENTIAL"),"_")))))</f>
        <v> </v>
      </c>
      <c r="H1868" s="25" t="str">
        <f>IF(J1868&lt;&gt;1,"",IF(I1868="SBJ","CB","?"))</f>
        <v> </v>
      </c>
      <c r="I1868" s="26" t="str">
        <f>IF(OR(E1868="",E1868="!!!",F1868="NEW"),"",INDEX(B1867:B$2,-1+SUMPRODUCT(MAX(ROW(E1867:E$2)*(E1868=E1867:E$2)))))</f>
        <v> </v>
      </c>
      <c r="J1868" s="26" t="str">
        <f>IF(OR(E1868="",E1868="!!!",F1868="NEW"),"",COUNTBLANK(OFFSET(A$1,,,SUMPRODUCT(MAX(ROW(E$2:E1868)*(E1868=E$2:E1868)))))-COUNTBLANK(OFFSET(A$1,,,SUMPRODUCT(MAX(ROW(E$1:E1867)*(E2=E$1:E1867))))))</f>
        <v> </v>
      </c>
      <c r="K1868" s="26" t="str">
        <f>IF(OR(E1868="",E1868="!!!",F1868="NEW"),"",INDEX(J$1:J1867,SUMPRODUCT(MAX(ROW(E$1:E1867)*(E1868=E$1:E1867)))))</f>
        <v> </v>
      </c>
      <c r="L1868" s="27"/>
    </row>
    <row r="1869" spans="1:12">
      <c r="A1869" s="20" t="s">
        <v>1014</v>
      </c>
      <c r="E1869" s="22">
        <f>IF(D1869="?OLD","!!!","")</f>
        <v/>
      </c>
      <c r="F1869" s="23" t="str">
        <f>IF(OR(E1869="",E1869="!!!"),"",IF(NOT(ISNA(VLOOKUP(E1869,E$1:E1868,1,FALSE()))),"OLD",IF(AND(E1869&lt;&gt;"",E1869&lt;&gt;"!!!"),"NEW","")))</f>
        <v> </v>
      </c>
      <c r="G1869" s="24" t="str">
        <f>IF(OR(E1869="",E1869="!!!"),"",IF(OR(J1869=0,AND(J1869=1,K1869=1),AND(J1869=1,I1869="SBJ"),AND(J1869=1,I1869=0)),"?IN_FOCUS",IF(J1869&lt;=2,"?ACTIVATED",IF(J1869&lt;&gt;"","?FAMILIAR",IF(F1869="NEW",IF(ISNA(VLOOKUP(E1869,#REF!,1,FALSE())),"?TYPE_IDENTIFIABLE","?REFERENTIAL"),"_")))))</f>
        <v> </v>
      </c>
      <c r="H1869" s="25" t="str">
        <f>IF(J1869&lt;&gt;1,"",IF(I1869="SBJ","CB","?"))</f>
        <v> </v>
      </c>
      <c r="I1869" s="26" t="str">
        <f>IF(OR(E1869="",E1869="!!!",F1869="NEW"),"",INDEX(B1868:B$2,-1+SUMPRODUCT(MAX(ROW(E1868:E$2)*(E1869=E1868:E$2)))))</f>
        <v> </v>
      </c>
      <c r="J1869" s="26" t="str">
        <f>IF(OR(E1869="",E1869="!!!",F1869="NEW"),"",COUNTBLANK(OFFSET(A$1,,,SUMPRODUCT(MAX(ROW(E$2:E1869)*(E1869=E$2:E1869)))))-COUNTBLANK(OFFSET(A$1,,,SUMPRODUCT(MAX(ROW(E$1:E1868)*(E2=E$1:E1868))))))</f>
        <v> </v>
      </c>
      <c r="K1869" s="26" t="str">
        <f>IF(OR(E1869="",E1869="!!!",F1869="NEW"),"",INDEX(J$1:J1868,SUMPRODUCT(MAX(ROW(E$1:E1868)*(E1869=E$1:E1868)))))</f>
        <v> </v>
      </c>
      <c r="L1869" s="27"/>
    </row>
    <row r="1870" spans="1:12">
      <c r="A1870" s="20" t="s">
        <v>1020</v>
      </c>
      <c r="E1870" s="22">
        <f>IF(D1870="?OLD","!!!","")</f>
        <v/>
      </c>
      <c r="F1870" s="23" t="str">
        <f>IF(OR(E1870="",E1870="!!!"),"",IF(NOT(ISNA(VLOOKUP(E1870,E$1:E1869,1,FALSE()))),"OLD",IF(AND(E1870&lt;&gt;"",E1870&lt;&gt;"!!!"),"NEW","")))</f>
        <v> </v>
      </c>
      <c r="G1870" s="24" t="str">
        <f>IF(OR(E1870="",E1870="!!!"),"",IF(OR(J1870=0,AND(J1870=1,K1870=1),AND(J1870=1,I1870="SBJ"),AND(J1870=1,I1870=0)),"?IN_FOCUS",IF(J1870&lt;=2,"?ACTIVATED",IF(J1870&lt;&gt;"","?FAMILIAR",IF(F1870="NEW",IF(ISNA(VLOOKUP(E1870,#REF!,1,FALSE())),"?TYPE_IDENTIFIABLE","?REFERENTIAL"),"_")))))</f>
        <v> </v>
      </c>
      <c r="H1870" s="25" t="str">
        <f>IF(J1870&lt;&gt;1,"",IF(I1870="SBJ","CB","?"))</f>
        <v> </v>
      </c>
      <c r="I1870" s="26" t="str">
        <f>IF(OR(E1870="",E1870="!!!",F1870="NEW"),"",INDEX(B1869:B$2,-1+SUMPRODUCT(MAX(ROW(E1869:E$2)*(E1870=E1869:E$2)))))</f>
        <v> </v>
      </c>
      <c r="J1870" s="26" t="str">
        <f>IF(OR(E1870="",E1870="!!!",F1870="NEW"),"",COUNTBLANK(OFFSET(A$1,,,SUMPRODUCT(MAX(ROW(E$2:E1870)*(E1870=E$2:E1870)))))-COUNTBLANK(OFFSET(A$1,,,SUMPRODUCT(MAX(ROW(E$1:E1869)*(E2=E$1:E1869))))))</f>
        <v> </v>
      </c>
      <c r="K1870" s="26" t="str">
        <f>IF(OR(E1870="",E1870="!!!",F1870="NEW"),"",INDEX(J$1:J1869,SUMPRODUCT(MAX(ROW(E$1:E1869)*(E1870=E$1:E1869)))))</f>
        <v> </v>
      </c>
      <c r="L1870" s="27"/>
    </row>
    <row r="1871" spans="1:12">
      <c r="A1871" s="20" t="s">
        <v>1656</v>
      </c>
      <c r="B1871" s="21" t="s">
        <v>1042</v>
      </c>
      <c r="C1871" s="21" t="s">
        <v>1006</v>
      </c>
      <c r="D1871" s="21" t="s">
        <v>1007</v>
      </c>
      <c r="E1871" s="22">
        <f>IF(D1871="?OLD","!!!","")</f>
        <v/>
      </c>
      <c r="F1871" s="23" t="str">
        <f>IF(OR(E1871="",E1871="!!!"),"",IF(NOT(ISNA(VLOOKUP(E1871,E$1:E1870,1,FALSE()))),"OLD",IF(AND(E1871&lt;&gt;"",E1871&lt;&gt;"!!!"),"NEW","")))</f>
        <v> </v>
      </c>
      <c r="G1871" s="24" t="str">
        <f>IF(OR(E1871="",E1871="!!!"),"",IF(OR(J1871=0,AND(J1871=1,K1871=1),AND(J1871=1,I1871="SBJ"),AND(J1871=1,I1871=0)),"?IN_FOCUS",IF(J1871&lt;=2,"?ACTIVATED",IF(J1871&lt;&gt;"","?FAMILIAR",IF(F1871="NEW",IF(ISNA(VLOOKUP(E1871,#REF!,1,FALSE())),"?TYPE_IDENTIFIABLE","?REFERENTIAL"),"_")))))</f>
        <v> </v>
      </c>
      <c r="H1871" s="25" t="str">
        <f>IF(J1871&lt;&gt;1,"",IF(I1871="SBJ","CB","?"))</f>
        <v> </v>
      </c>
      <c r="I1871" s="26" t="str">
        <f>IF(OR(E1871="",E1871="!!!",F1871="NEW"),"",INDEX(B1870:B$2,-1+SUMPRODUCT(MAX(ROW(E1870:E$2)*(E1871=E1870:E$2)))))</f>
        <v> </v>
      </c>
      <c r="J1871" s="26" t="str">
        <f>IF(OR(E1871="",E1871="!!!",F1871="NEW"),"",COUNTBLANK(OFFSET(A$1,,,SUMPRODUCT(MAX(ROW(E$2:E1871)*(E1871=E$2:E1871)))))-COUNTBLANK(OFFSET(A$1,,,SUMPRODUCT(MAX(ROW(E$1:E1870)*(E2=E$1:E1870))))))</f>
        <v> </v>
      </c>
      <c r="K1871" s="26" t="str">
        <f>IF(OR(E1871="",E1871="!!!",F1871="NEW"),"",INDEX(J$1:J1870,SUMPRODUCT(MAX(ROW(E$1:E1870)*(E1871=E$1:E1870)))))</f>
        <v> </v>
      </c>
      <c r="L1871" s="27"/>
    </row>
    <row r="1872" spans="1:12">
      <c r="A1872" s="20" t="s">
        <v>1157</v>
      </c>
      <c r="E1872" s="22">
        <f>IF(D1872="?OLD","!!!","")</f>
        <v/>
      </c>
      <c r="F1872" s="23" t="str">
        <f>IF(OR(E1872="",E1872="!!!"),"",IF(NOT(ISNA(VLOOKUP(E1872,E$1:E1871,1,FALSE()))),"OLD",IF(AND(E1872&lt;&gt;"",E1872&lt;&gt;"!!!"),"NEW","")))</f>
        <v> </v>
      </c>
      <c r="G1872" s="24" t="str">
        <f>IF(OR(E1872="",E1872="!!!"),"",IF(OR(J1872=0,AND(J1872=1,K1872=1),AND(J1872=1,I1872="SBJ"),AND(J1872=1,I1872=0)),"?IN_FOCUS",IF(J1872&lt;=2,"?ACTIVATED",IF(J1872&lt;&gt;"","?FAMILIAR",IF(F1872="NEW",IF(ISNA(VLOOKUP(E1872,#REF!,1,FALSE())),"?TYPE_IDENTIFIABLE","?REFERENTIAL"),"_")))))</f>
        <v> </v>
      </c>
      <c r="H1872" s="25" t="str">
        <f>IF(J1872&lt;&gt;1,"",IF(I1872="SBJ","CB","?"))</f>
        <v> </v>
      </c>
      <c r="I1872" s="26" t="str">
        <f>IF(OR(E1872="",E1872="!!!",F1872="NEW"),"",INDEX(B1871:B$2,-1+SUMPRODUCT(MAX(ROW(E1871:E$2)*(E1872=E1871:E$2)))))</f>
        <v> </v>
      </c>
      <c r="J1872" s="26" t="str">
        <f>IF(OR(E1872="",E1872="!!!",F1872="NEW"),"",COUNTBLANK(OFFSET(A$1,,,SUMPRODUCT(MAX(ROW(E$2:E1872)*(E1872=E$2:E1872)))))-COUNTBLANK(OFFSET(A$1,,,SUMPRODUCT(MAX(ROW(E$1:E1871)*(E2=E$1:E1871))))))</f>
        <v> </v>
      </c>
      <c r="K1872" s="26" t="str">
        <f>IF(OR(E1872="",E1872="!!!",F1872="NEW"),"",INDEX(J$1:J1871,SUMPRODUCT(MAX(ROW(E$1:E1871)*(E1872=E$1:E1871)))))</f>
        <v> </v>
      </c>
      <c r="L1872" s="27"/>
    </row>
    <row r="1873" spans="1:12">
      <c r="A1873" s="20" t="s">
        <v>137</v>
      </c>
      <c r="E1873" s="22">
        <f>IF(D1873="?OLD","!!!","")</f>
        <v/>
      </c>
      <c r="F1873" s="23" t="str">
        <f>IF(OR(E1873="",E1873="!!!"),"",IF(NOT(ISNA(VLOOKUP(E1873,E$1:E1872,1,FALSE()))),"OLD",IF(AND(E1873&lt;&gt;"",E1873&lt;&gt;"!!!"),"NEW","")))</f>
        <v> </v>
      </c>
      <c r="G1873" s="24" t="str">
        <f>IF(OR(E1873="",E1873="!!!"),"",IF(OR(J1873=0,AND(J1873=1,K1873=1),AND(J1873=1,I1873="SBJ"),AND(J1873=1,I1873=0)),"?IN_FOCUS",IF(J1873&lt;=2,"?ACTIVATED",IF(J1873&lt;&gt;"","?FAMILIAR",IF(F1873="NEW",IF(ISNA(VLOOKUP(E1873,#REF!,1,FALSE())),"?TYPE_IDENTIFIABLE","?REFERENTIAL"),"_")))))</f>
        <v> </v>
      </c>
      <c r="H1873" s="25" t="str">
        <f>IF(J1873&lt;&gt;1,"",IF(I1873="SBJ","CB","?"))</f>
        <v> </v>
      </c>
      <c r="I1873" s="26" t="str">
        <f>IF(OR(E1873="",E1873="!!!",F1873="NEW"),"",INDEX(B1872:B$2,-1+SUMPRODUCT(MAX(ROW(E1872:E$2)*(E1873=E1872:E$2)))))</f>
        <v> </v>
      </c>
      <c r="J1873" s="26" t="str">
        <f>IF(OR(E1873="",E1873="!!!",F1873="NEW"),"",COUNTBLANK(OFFSET(A$1,,,SUMPRODUCT(MAX(ROW(E$2:E1873)*(E1873=E$2:E1873)))))-COUNTBLANK(OFFSET(A$1,,,SUMPRODUCT(MAX(ROW(E$1:E1872)*(E2=E$1:E1872))))))</f>
        <v> </v>
      </c>
      <c r="K1873" s="26" t="str">
        <f>IF(OR(E1873="",E1873="!!!",F1873="NEW"),"",INDEX(J$1:J1872,SUMPRODUCT(MAX(ROW(E$1:E1872)*(E1873=E$1:E1872)))))</f>
        <v> </v>
      </c>
      <c r="L1873" s="27"/>
    </row>
    <row r="1874" spans="1:12">
      <c r="A1874" s="20" t="s">
        <v>1435</v>
      </c>
      <c r="E1874" s="22">
        <f>IF(D1874="?OLD","!!!","")</f>
        <v/>
      </c>
      <c r="F1874" s="23" t="str">
        <f>IF(OR(E1874="",E1874="!!!"),"",IF(NOT(ISNA(VLOOKUP(E1874,E$1:E1873,1,FALSE()))),"OLD",IF(AND(E1874&lt;&gt;"",E1874&lt;&gt;"!!!"),"NEW","")))</f>
        <v> </v>
      </c>
      <c r="G1874" s="24" t="str">
        <f>IF(OR(E1874="",E1874="!!!"),"",IF(OR(J1874=0,AND(J1874=1,K1874=1),AND(J1874=1,I1874="SBJ"),AND(J1874=1,I1874=0)),"?IN_FOCUS",IF(J1874&lt;=2,"?ACTIVATED",IF(J1874&lt;&gt;"","?FAMILIAR",IF(F1874="NEW",IF(ISNA(VLOOKUP(E1874,#REF!,1,FALSE())),"?TYPE_IDENTIFIABLE","?REFERENTIAL"),"_")))))</f>
        <v> </v>
      </c>
      <c r="H1874" s="25" t="str">
        <f>IF(J1874&lt;&gt;1,"",IF(I1874="SBJ","CB","?"))</f>
        <v> </v>
      </c>
      <c r="I1874" s="26" t="str">
        <f>IF(OR(E1874="",E1874="!!!",F1874="NEW"),"",INDEX(B1873:B$2,-1+SUMPRODUCT(MAX(ROW(E1873:E$2)*(E1874=E1873:E$2)))))</f>
        <v> </v>
      </c>
      <c r="J1874" s="26" t="str">
        <f>IF(OR(E1874="",E1874="!!!",F1874="NEW"),"",COUNTBLANK(OFFSET(A$1,,,SUMPRODUCT(MAX(ROW(E$2:E1874)*(E1874=E$2:E1874)))))-COUNTBLANK(OFFSET(A$1,,,SUMPRODUCT(MAX(ROW(E$1:E1873)*(E2=E$1:E1873))))))</f>
        <v> </v>
      </c>
      <c r="K1874" s="26" t="str">
        <f>IF(OR(E1874="",E1874="!!!",F1874="NEW"),"",INDEX(J$1:J1873,SUMPRODUCT(MAX(ROW(E$1:E1873)*(E1874=E$1:E1873)))))</f>
        <v> </v>
      </c>
      <c r="L1874" s="27"/>
    </row>
    <row r="1875" spans="1:12">
      <c r="A1875" s="20" t="s">
        <v>1654</v>
      </c>
      <c r="B1875" s="21" t="s">
        <v>1064</v>
      </c>
      <c r="C1875" s="21" t="s">
        <v>1041</v>
      </c>
      <c r="D1875" s="21" t="s">
        <v>1007</v>
      </c>
      <c r="E1875" s="22">
        <f>IF(D1875="?OLD","!!!","")</f>
        <v/>
      </c>
      <c r="F1875" s="23" t="str">
        <f>IF(OR(E1875="",E1875="!!!"),"",IF(NOT(ISNA(VLOOKUP(E1875,E$1:E1874,1,FALSE()))),"OLD",IF(AND(E1875&lt;&gt;"",E1875&lt;&gt;"!!!"),"NEW","")))</f>
        <v> </v>
      </c>
      <c r="G1875" s="24" t="str">
        <f>IF(OR(E1875="",E1875="!!!"),"",IF(OR(J1875=0,AND(J1875=1,K1875=1),AND(J1875=1,I1875="SBJ"),AND(J1875=1,I1875=0)),"?IN_FOCUS",IF(J1875&lt;=2,"?ACTIVATED",IF(J1875&lt;&gt;"","?FAMILIAR",IF(F1875="NEW",IF(ISNA(VLOOKUP(E1875,#REF!,1,FALSE())),"?TYPE_IDENTIFIABLE","?REFERENTIAL"),"_")))))</f>
        <v> </v>
      </c>
      <c r="H1875" s="25" t="str">
        <f>IF(J1875&lt;&gt;1,"",IF(I1875="SBJ","CB","?"))</f>
        <v> </v>
      </c>
      <c r="I1875" s="26" t="str">
        <f>IF(OR(E1875="",E1875="!!!",F1875="NEW"),"",INDEX(B1874:B$2,-1+SUMPRODUCT(MAX(ROW(E1874:E$2)*(E1875=E1874:E$2)))))</f>
        <v> </v>
      </c>
      <c r="J1875" s="26" t="str">
        <f>IF(OR(E1875="",E1875="!!!",F1875="NEW"),"",COUNTBLANK(OFFSET(A$1,,,SUMPRODUCT(MAX(ROW(E$2:E1875)*(E1875=E$2:E1875)))))-COUNTBLANK(OFFSET(A$1,,,SUMPRODUCT(MAX(ROW(E$1:E1874)*(E2=E$1:E1874))))))</f>
        <v> </v>
      </c>
      <c r="K1875" s="26" t="str">
        <f>IF(OR(E1875="",E1875="!!!",F1875="NEW"),"",INDEX(J$1:J1874,SUMPRODUCT(MAX(ROW(E$1:E1874)*(E1875=E$1:E1874)))))</f>
        <v> </v>
      </c>
      <c r="L1875" s="27"/>
    </row>
    <row r="1876" spans="1:12">
      <c r="A1876" s="20" t="s">
        <v>1018</v>
      </c>
      <c r="E1876" s="22">
        <f>IF(D1876="?OLD","!!!","")</f>
        <v/>
      </c>
      <c r="F1876" s="23" t="str">
        <f>IF(OR(E1876="",E1876="!!!"),"",IF(NOT(ISNA(VLOOKUP(E1876,E$1:E1875,1,FALSE()))),"OLD",IF(AND(E1876&lt;&gt;"",E1876&lt;&gt;"!!!"),"NEW","")))</f>
        <v> </v>
      </c>
      <c r="G1876" s="24" t="str">
        <f>IF(OR(E1876="",E1876="!!!"),"",IF(OR(J1876=0,AND(J1876=1,K1876=1),AND(J1876=1,I1876="SBJ"),AND(J1876=1,I1876=0)),"?IN_FOCUS",IF(J1876&lt;=2,"?ACTIVATED",IF(J1876&lt;&gt;"","?FAMILIAR",IF(F1876="NEW",IF(ISNA(VLOOKUP(E1876,#REF!,1,FALSE())),"?TYPE_IDENTIFIABLE","?REFERENTIAL"),"_")))))</f>
        <v> </v>
      </c>
      <c r="H1876" s="25" t="str">
        <f>IF(J1876&lt;&gt;1,"",IF(I1876="SBJ","CB","?"))</f>
        <v> </v>
      </c>
      <c r="I1876" s="26" t="str">
        <f>IF(OR(E1876="",E1876="!!!",F1876="NEW"),"",INDEX(B1875:B$2,-1+SUMPRODUCT(MAX(ROW(E1875:E$2)*(E1876=E1875:E$2)))))</f>
        <v> </v>
      </c>
      <c r="J1876" s="26" t="str">
        <f>IF(OR(E1876="",E1876="!!!",F1876="NEW"),"",COUNTBLANK(OFFSET(A$1,,,SUMPRODUCT(MAX(ROW(E$2:E1876)*(E1876=E$2:E1876)))))-COUNTBLANK(OFFSET(A$1,,,SUMPRODUCT(MAX(ROW(E$1:E1875)*(E2=E$1:E1875))))))</f>
        <v> </v>
      </c>
      <c r="K1876" s="26" t="str">
        <f>IF(OR(E1876="",E1876="!!!",F1876="NEW"),"",INDEX(J$1:J1875,SUMPRODUCT(MAX(ROW(E$1:E1875)*(E1876=E$1:E1875)))))</f>
        <v> </v>
      </c>
      <c r="L1876" s="27"/>
    </row>
    <row r="1877" spans="1:12">
      <c r="A1877" s="20" t="s">
        <v>1015</v>
      </c>
      <c r="E1877" s="22">
        <f>IF(D1877="?OLD","!!!","")</f>
        <v/>
      </c>
      <c r="F1877" s="23" t="str">
        <f>IF(OR(E1877="",E1877="!!!"),"",IF(NOT(ISNA(VLOOKUP(E1877,E$1:E1876,1,FALSE()))),"OLD",IF(AND(E1877&lt;&gt;"",E1877&lt;&gt;"!!!"),"NEW","")))</f>
        <v> </v>
      </c>
      <c r="G1877" s="24" t="str">
        <f>IF(OR(E1877="",E1877="!!!"),"",IF(OR(J1877=0,AND(J1877=1,K1877=1),AND(J1877=1,I1877="SBJ"),AND(J1877=1,I1877=0)),"?IN_FOCUS",IF(J1877&lt;=2,"?ACTIVATED",IF(J1877&lt;&gt;"","?FAMILIAR",IF(F1877="NEW",IF(ISNA(VLOOKUP(E1877,#REF!,1,FALSE())),"?TYPE_IDENTIFIABLE","?REFERENTIAL"),"_")))))</f>
        <v> </v>
      </c>
      <c r="H1877" s="25" t="str">
        <f>IF(J1877&lt;&gt;1,"",IF(I1877="SBJ","CB","?"))</f>
        <v> </v>
      </c>
      <c r="I1877" s="26" t="str">
        <f>IF(OR(E1877="",E1877="!!!",F1877="NEW"),"",INDEX(B1876:B$2,-1+SUMPRODUCT(MAX(ROW(E1876:E$2)*(E1877=E1876:E$2)))))</f>
        <v> </v>
      </c>
      <c r="J1877" s="26" t="str">
        <f>IF(OR(E1877="",E1877="!!!",F1877="NEW"),"",COUNTBLANK(OFFSET(A$1,,,SUMPRODUCT(MAX(ROW(E$2:E1877)*(E1877=E$2:E1877)))))-COUNTBLANK(OFFSET(A$1,,,SUMPRODUCT(MAX(ROW(E$1:E1876)*(E2=E$1:E1876))))))</f>
        <v> </v>
      </c>
      <c r="K1877" s="26" t="str">
        <f>IF(OR(E1877="",E1877="!!!",F1877="NEW"),"",INDEX(J$1:J1876,SUMPRODUCT(MAX(ROW(E$1:E1876)*(E1877=E$1:E1876)))))</f>
        <v> </v>
      </c>
      <c r="L1877" s="27"/>
    </row>
    <row r="1878" spans="1:12">
      <c r="A1878" s="20" t="s">
        <v>1655</v>
      </c>
      <c r="B1878" s="21" t="s">
        <v>1035</v>
      </c>
      <c r="C1878" s="21" t="s">
        <v>1017</v>
      </c>
      <c r="D1878" s="21" t="s">
        <v>1007</v>
      </c>
      <c r="E1878" s="22">
        <f>IF(D1878="?OLD","!!!","")</f>
        <v/>
      </c>
      <c r="F1878" s="23" t="str">
        <f>IF(OR(E1878="",E1878="!!!"),"",IF(NOT(ISNA(VLOOKUP(E1878,E$1:E1877,1,FALSE()))),"OLD",IF(AND(E1878&lt;&gt;"",E1878&lt;&gt;"!!!"),"NEW","")))</f>
        <v> </v>
      </c>
      <c r="G1878" s="24" t="str">
        <f>IF(OR(E1878="",E1878="!!!"),"",IF(OR(J1878=0,AND(J1878=1,K1878=1),AND(J1878=1,I1878="SBJ"),AND(J1878=1,I1878=0)),"?IN_FOCUS",IF(J1878&lt;=2,"?ACTIVATED",IF(J1878&lt;&gt;"","?FAMILIAR",IF(F1878="NEW",IF(ISNA(VLOOKUP(E1878,#REF!,1,FALSE())),"?TYPE_IDENTIFIABLE","?REFERENTIAL"),"_")))))</f>
        <v> </v>
      </c>
      <c r="H1878" s="25" t="str">
        <f>IF(J1878&lt;&gt;1,"",IF(I1878="SBJ","CB","?"))</f>
        <v> </v>
      </c>
      <c r="I1878" s="26" t="str">
        <f>IF(OR(E1878="",E1878="!!!",F1878="NEW"),"",INDEX(B1877:B$2,-1+SUMPRODUCT(MAX(ROW(E1877:E$2)*(E1878=E1877:E$2)))))</f>
        <v> </v>
      </c>
      <c r="J1878" s="26" t="str">
        <f>IF(OR(E1878="",E1878="!!!",F1878="NEW"),"",COUNTBLANK(OFFSET(A$1,,,SUMPRODUCT(MAX(ROW(E$2:E1878)*(E1878=E$2:E1878)))))-COUNTBLANK(OFFSET(A$1,,,SUMPRODUCT(MAX(ROW(E$1:E1877)*(E2=E$1:E1877))))))</f>
        <v> </v>
      </c>
      <c r="K1878" s="26" t="str">
        <f>IF(OR(E1878="",E1878="!!!",F1878="NEW"),"",INDEX(J$1:J1877,SUMPRODUCT(MAX(ROW(E$1:E1877)*(E1878=E$1:E1877)))))</f>
        <v> </v>
      </c>
      <c r="L1878" s="27"/>
    </row>
    <row r="1879" spans="1:12">
      <c r="A1879" s="20" t="s">
        <v>1657</v>
      </c>
      <c r="E1879" s="22">
        <f>IF(D1879="?OLD","!!!","")</f>
        <v/>
      </c>
      <c r="F1879" s="23" t="str">
        <f>IF(OR(E1879="",E1879="!!!"),"",IF(NOT(ISNA(VLOOKUP(E1879,E$1:E1878,1,FALSE()))),"OLD",IF(AND(E1879&lt;&gt;"",E1879&lt;&gt;"!!!"),"NEW","")))</f>
        <v> </v>
      </c>
      <c r="G1879" s="24" t="str">
        <f>IF(OR(E1879="",E1879="!!!"),"",IF(OR(J1879=0,AND(J1879=1,K1879=1),AND(J1879=1,I1879="SBJ"),AND(J1879=1,I1879=0)),"?IN_FOCUS",IF(J1879&lt;=2,"?ACTIVATED",IF(J1879&lt;&gt;"","?FAMILIAR",IF(F1879="NEW",IF(ISNA(VLOOKUP(E1879,#REF!,1,FALSE())),"?TYPE_IDENTIFIABLE","?REFERENTIAL"),"_")))))</f>
        <v> </v>
      </c>
      <c r="H1879" s="25" t="str">
        <f>IF(J1879&lt;&gt;1,"",IF(I1879="SBJ","CB","?"))</f>
        <v> </v>
      </c>
      <c r="I1879" s="26" t="str">
        <f>IF(OR(E1879="",E1879="!!!",F1879="NEW"),"",INDEX(B1878:B$2,-1+SUMPRODUCT(MAX(ROW(E1878:E$2)*(E1879=E1878:E$2)))))</f>
        <v> </v>
      </c>
      <c r="J1879" s="26" t="str">
        <f>IF(OR(E1879="",E1879="!!!",F1879="NEW"),"",COUNTBLANK(OFFSET(A$1,,,SUMPRODUCT(MAX(ROW(E$2:E1879)*(E1879=E$2:E1879)))))-COUNTBLANK(OFFSET(A$1,,,SUMPRODUCT(MAX(ROW(E$1:E1878)*(E2=E$1:E1878))))))</f>
        <v> </v>
      </c>
      <c r="K1879" s="26" t="str">
        <f>IF(OR(E1879="",E1879="!!!",F1879="NEW"),"",INDEX(J$1:J1878,SUMPRODUCT(MAX(ROW(E$1:E1878)*(E1879=E$1:E1878)))))</f>
        <v> </v>
      </c>
      <c r="L1879" s="27"/>
    </row>
    <row r="1880" spans="1:12">
      <c r="A1880" s="20" t="s">
        <v>1018</v>
      </c>
      <c r="E1880" s="22">
        <f>IF(D1880="?OLD","!!!","")</f>
        <v/>
      </c>
      <c r="F1880" s="23" t="str">
        <f>IF(OR(E1880="",E1880="!!!"),"",IF(NOT(ISNA(VLOOKUP(E1880,E$1:E1879,1,FALSE()))),"OLD",IF(AND(E1880&lt;&gt;"",E1880&lt;&gt;"!!!"),"NEW","")))</f>
        <v> </v>
      </c>
      <c r="G1880" s="24" t="str">
        <f>IF(OR(E1880="",E1880="!!!"),"",IF(OR(J1880=0,AND(J1880=1,K1880=1),AND(J1880=1,I1880="SBJ"),AND(J1880=1,I1880=0)),"?IN_FOCUS",IF(J1880&lt;=2,"?ACTIVATED",IF(J1880&lt;&gt;"","?FAMILIAR",IF(F1880="NEW",IF(ISNA(VLOOKUP(E1880,#REF!,1,FALSE())),"?TYPE_IDENTIFIABLE","?REFERENTIAL"),"_")))))</f>
        <v> </v>
      </c>
      <c r="H1880" s="25" t="str">
        <f>IF(J1880&lt;&gt;1,"",IF(I1880="SBJ","CB","?"))</f>
        <v> </v>
      </c>
      <c r="I1880" s="26" t="str">
        <f>IF(OR(E1880="",E1880="!!!",F1880="NEW"),"",INDEX(B1879:B$2,-1+SUMPRODUCT(MAX(ROW(E1879:E$2)*(E1880=E1879:E$2)))))</f>
        <v> </v>
      </c>
      <c r="J1880" s="26" t="str">
        <f>IF(OR(E1880="",E1880="!!!",F1880="NEW"),"",COUNTBLANK(OFFSET(A$1,,,SUMPRODUCT(MAX(ROW(E$2:E1880)*(E1880=E$2:E1880)))))-COUNTBLANK(OFFSET(A$1,,,SUMPRODUCT(MAX(ROW(E$1:E1879)*(E2=E$1:E1879))))))</f>
        <v> </v>
      </c>
      <c r="K1880" s="26" t="str">
        <f>IF(OR(E1880="",E1880="!!!",F1880="NEW"),"",INDEX(J$1:J1879,SUMPRODUCT(MAX(ROW(E$1:E1879)*(E1880=E$1:E1879)))))</f>
        <v> </v>
      </c>
      <c r="L1880" s="27"/>
    </row>
    <row r="1881" spans="1:12">
      <c r="A1881" s="20" t="s">
        <v>1015</v>
      </c>
      <c r="E1881" s="22">
        <f>IF(D1881="?OLD","!!!","")</f>
        <v/>
      </c>
      <c r="F1881" s="23" t="str">
        <f>IF(OR(E1881="",E1881="!!!"),"",IF(NOT(ISNA(VLOOKUP(E1881,E$1:E1880,1,FALSE()))),"OLD",IF(AND(E1881&lt;&gt;"",E1881&lt;&gt;"!!!"),"NEW","")))</f>
        <v> </v>
      </c>
      <c r="G1881" s="24" t="str">
        <f>IF(OR(E1881="",E1881="!!!"),"",IF(OR(J1881=0,AND(J1881=1,K1881=1),AND(J1881=1,I1881="SBJ"),AND(J1881=1,I1881=0)),"?IN_FOCUS",IF(J1881&lt;=2,"?ACTIVATED",IF(J1881&lt;&gt;"","?FAMILIAR",IF(F1881="NEW",IF(ISNA(VLOOKUP(E1881,#REF!,1,FALSE())),"?TYPE_IDENTIFIABLE","?REFERENTIAL"),"_")))))</f>
        <v> </v>
      </c>
      <c r="H1881" s="25" t="str">
        <f>IF(J1881&lt;&gt;1,"",IF(I1881="SBJ","CB","?"))</f>
        <v> </v>
      </c>
      <c r="I1881" s="26" t="str">
        <f>IF(OR(E1881="",E1881="!!!",F1881="NEW"),"",INDEX(B1880:B$2,-1+SUMPRODUCT(MAX(ROW(E1880:E$2)*(E1881=E1880:E$2)))))</f>
        <v> </v>
      </c>
      <c r="J1881" s="26" t="str">
        <f>IF(OR(E1881="",E1881="!!!",F1881="NEW"),"",COUNTBLANK(OFFSET(A$1,,,SUMPRODUCT(MAX(ROW(E$2:E1881)*(E1881=E$2:E1881)))))-COUNTBLANK(OFFSET(A$1,,,SUMPRODUCT(MAX(ROW(E$1:E1880)*(E2=E$1:E1880))))))</f>
        <v> </v>
      </c>
      <c r="K1881" s="26" t="str">
        <f>IF(OR(E1881="",E1881="!!!",F1881="NEW"),"",INDEX(J$1:J1880,SUMPRODUCT(MAX(ROW(E$1:E1880)*(E1881=E$1:E1880)))))</f>
        <v> </v>
      </c>
      <c r="L1881" s="27"/>
    </row>
    <row r="1882" spans="1:12">
      <c r="A1882" s="20" t="s">
        <v>1655</v>
      </c>
      <c r="B1882" s="21" t="s">
        <v>1035</v>
      </c>
      <c r="C1882" s="21" t="s">
        <v>1017</v>
      </c>
      <c r="D1882" s="21" t="s">
        <v>1007</v>
      </c>
      <c r="E1882" s="22">
        <f>IF(D1882="?OLD","!!!","")</f>
        <v/>
      </c>
      <c r="F1882" s="23" t="str">
        <f>IF(OR(E1882="",E1882="!!!"),"",IF(NOT(ISNA(VLOOKUP(E1882,E$1:E1881,1,FALSE()))),"OLD",IF(AND(E1882&lt;&gt;"",E1882&lt;&gt;"!!!"),"NEW","")))</f>
        <v> </v>
      </c>
      <c r="G1882" s="24" t="str">
        <f>IF(OR(E1882="",E1882="!!!"),"",IF(OR(J1882=0,AND(J1882=1,K1882=1),AND(J1882=1,I1882="SBJ"),AND(J1882=1,I1882=0)),"?IN_FOCUS",IF(J1882&lt;=2,"?ACTIVATED",IF(J1882&lt;&gt;"","?FAMILIAR",IF(F1882="NEW",IF(ISNA(VLOOKUP(E1882,#REF!,1,FALSE())),"?TYPE_IDENTIFIABLE","?REFERENTIAL"),"_")))))</f>
        <v> </v>
      </c>
      <c r="H1882" s="25" t="str">
        <f>IF(J1882&lt;&gt;1,"",IF(I1882="SBJ","CB","?"))</f>
        <v> </v>
      </c>
      <c r="I1882" s="26" t="str">
        <f>IF(OR(E1882="",E1882="!!!",F1882="NEW"),"",INDEX(B1881:B$2,-1+SUMPRODUCT(MAX(ROW(E1881:E$2)*(E1882=E1881:E$2)))))</f>
        <v> </v>
      </c>
      <c r="J1882" s="26" t="str">
        <f>IF(OR(E1882="",E1882="!!!",F1882="NEW"),"",COUNTBLANK(OFFSET(A$1,,,SUMPRODUCT(MAX(ROW(E$2:E1882)*(E1882=E$2:E1882)))))-COUNTBLANK(OFFSET(A$1,,,SUMPRODUCT(MAX(ROW(E$1:E1881)*(E2=E$1:E1881))))))</f>
        <v> </v>
      </c>
      <c r="K1882" s="26" t="str">
        <f>IF(OR(E1882="",E1882="!!!",F1882="NEW"),"",INDEX(J$1:J1881,SUMPRODUCT(MAX(ROW(E$1:E1881)*(E1882=E$1:E1881)))))</f>
        <v> </v>
      </c>
      <c r="L1882" s="27"/>
    </row>
    <row r="1883" spans="1:12">
      <c r="A1883" s="20" t="s">
        <v>1658</v>
      </c>
      <c r="E1883" s="22">
        <f>IF(D1883="?OLD","!!!","")</f>
        <v/>
      </c>
      <c r="F1883" s="23" t="str">
        <f>IF(OR(E1883="",E1883="!!!"),"",IF(NOT(ISNA(VLOOKUP(E1883,E$1:E1882,1,FALSE()))),"OLD",IF(AND(E1883&lt;&gt;"",E1883&lt;&gt;"!!!"),"NEW","")))</f>
        <v> </v>
      </c>
      <c r="G1883" s="24" t="str">
        <f>IF(OR(E1883="",E1883="!!!"),"",IF(OR(J1883=0,AND(J1883=1,K1883=1),AND(J1883=1,I1883="SBJ"),AND(J1883=1,I1883=0)),"?IN_FOCUS",IF(J1883&lt;=2,"?ACTIVATED",IF(J1883&lt;&gt;"","?FAMILIAR",IF(F1883="NEW",IF(ISNA(VLOOKUP(E1883,#REF!,1,FALSE())),"?TYPE_IDENTIFIABLE","?REFERENTIAL"),"_")))))</f>
        <v> </v>
      </c>
      <c r="H1883" s="25" t="str">
        <f>IF(J1883&lt;&gt;1,"",IF(I1883="SBJ","CB","?"))</f>
        <v> </v>
      </c>
      <c r="I1883" s="26" t="str">
        <f>IF(OR(E1883="",E1883="!!!",F1883="NEW"),"",INDEX(B1882:B$2,-1+SUMPRODUCT(MAX(ROW(E1882:E$2)*(E1883=E1882:E$2)))))</f>
        <v> </v>
      </c>
      <c r="J1883" s="26" t="str">
        <f>IF(OR(E1883="",E1883="!!!",F1883="NEW"),"",COUNTBLANK(OFFSET(A$1,,,SUMPRODUCT(MAX(ROW(E$2:E1883)*(E1883=E$2:E1883)))))-COUNTBLANK(OFFSET(A$1,,,SUMPRODUCT(MAX(ROW(E$1:E1882)*(E2=E$1:E1882))))))</f>
        <v> </v>
      </c>
      <c r="K1883" s="26" t="str">
        <f>IF(OR(E1883="",E1883="!!!",F1883="NEW"),"",INDEX(J$1:J1882,SUMPRODUCT(MAX(ROW(E$1:E1882)*(E1883=E$1:E1882)))))</f>
        <v> </v>
      </c>
      <c r="L1883" s="27"/>
    </row>
    <row r="1884" spans="1:12">
      <c r="A1884" s="20" t="s">
        <v>1018</v>
      </c>
      <c r="E1884" s="22">
        <f>IF(D1884="?OLD","!!!","")</f>
        <v/>
      </c>
      <c r="F1884" s="23" t="str">
        <f>IF(OR(E1884="",E1884="!!!"),"",IF(NOT(ISNA(VLOOKUP(E1884,E$1:E1883,1,FALSE()))),"OLD",IF(AND(E1884&lt;&gt;"",E1884&lt;&gt;"!!!"),"NEW","")))</f>
        <v> </v>
      </c>
      <c r="G1884" s="24" t="str">
        <f>IF(OR(E1884="",E1884="!!!"),"",IF(OR(J1884=0,AND(J1884=1,K1884=1),AND(J1884=1,I1884="SBJ"),AND(J1884=1,I1884=0)),"?IN_FOCUS",IF(J1884&lt;=2,"?ACTIVATED",IF(J1884&lt;&gt;"","?FAMILIAR",IF(F1884="NEW",IF(ISNA(VLOOKUP(E1884,#REF!,1,FALSE())),"?TYPE_IDENTIFIABLE","?REFERENTIAL"),"_")))))</f>
        <v> </v>
      </c>
      <c r="H1884" s="25" t="str">
        <f>IF(J1884&lt;&gt;1,"",IF(I1884="SBJ","CB","?"))</f>
        <v> </v>
      </c>
      <c r="I1884" s="26" t="str">
        <f>IF(OR(E1884="",E1884="!!!",F1884="NEW"),"",INDEX(B1883:B$2,-1+SUMPRODUCT(MAX(ROW(E1883:E$2)*(E1884=E1883:E$2)))))</f>
        <v> </v>
      </c>
      <c r="J1884" s="26" t="str">
        <f>IF(OR(E1884="",E1884="!!!",F1884="NEW"),"",COUNTBLANK(OFFSET(A$1,,,SUMPRODUCT(MAX(ROW(E$2:E1884)*(E1884=E$2:E1884)))))-COUNTBLANK(OFFSET(A$1,,,SUMPRODUCT(MAX(ROW(E$1:E1883)*(E2=E$1:E1883))))))</f>
        <v> </v>
      </c>
      <c r="K1884" s="26" t="str">
        <f>IF(OR(E1884="",E1884="!!!",F1884="NEW"),"",INDEX(J$1:J1883,SUMPRODUCT(MAX(ROW(E$1:E1883)*(E1884=E$1:E1883)))))</f>
        <v> </v>
      </c>
      <c r="L1884" s="27"/>
    </row>
    <row r="1885" spans="1:12">
      <c r="A1885" s="20" t="s">
        <v>1015</v>
      </c>
      <c r="E1885" s="22">
        <f>IF(D1885="?OLD","!!!","")</f>
        <v/>
      </c>
      <c r="F1885" s="23" t="str">
        <f>IF(OR(E1885="",E1885="!!!"),"",IF(NOT(ISNA(VLOOKUP(E1885,E$1:E1884,1,FALSE()))),"OLD",IF(AND(E1885&lt;&gt;"",E1885&lt;&gt;"!!!"),"NEW","")))</f>
        <v> </v>
      </c>
      <c r="G1885" s="24" t="str">
        <f>IF(OR(E1885="",E1885="!!!"),"",IF(OR(J1885=0,AND(J1885=1,K1885=1),AND(J1885=1,I1885="SBJ"),AND(J1885=1,I1885=0)),"?IN_FOCUS",IF(J1885&lt;=2,"?ACTIVATED",IF(J1885&lt;&gt;"","?FAMILIAR",IF(F1885="NEW",IF(ISNA(VLOOKUP(E1885,#REF!,1,FALSE())),"?TYPE_IDENTIFIABLE","?REFERENTIAL"),"_")))))</f>
        <v> </v>
      </c>
      <c r="H1885" s="25" t="str">
        <f>IF(J1885&lt;&gt;1,"",IF(I1885="SBJ","CB","?"))</f>
        <v> </v>
      </c>
      <c r="I1885" s="26" t="str">
        <f>IF(OR(E1885="",E1885="!!!",F1885="NEW"),"",INDEX(B1884:B$2,-1+SUMPRODUCT(MAX(ROW(E1884:E$2)*(E1885=E1884:E$2)))))</f>
        <v> </v>
      </c>
      <c r="J1885" s="26" t="str">
        <f>IF(OR(E1885="",E1885="!!!",F1885="NEW"),"",COUNTBLANK(OFFSET(A$1,,,SUMPRODUCT(MAX(ROW(E$2:E1885)*(E1885=E$2:E1885)))))-COUNTBLANK(OFFSET(A$1,,,SUMPRODUCT(MAX(ROW(E$1:E1884)*(E2=E$1:E1884))))))</f>
        <v> </v>
      </c>
      <c r="K1885" s="26" t="str">
        <f>IF(OR(E1885="",E1885="!!!",F1885="NEW"),"",INDEX(J$1:J1884,SUMPRODUCT(MAX(ROW(E$1:E1884)*(E1885=E$1:E1884)))))</f>
        <v> </v>
      </c>
      <c r="L1885" s="27"/>
    </row>
    <row r="1886" spans="1:12">
      <c r="A1886" s="20" t="s">
        <v>1655</v>
      </c>
      <c r="B1886" s="21" t="s">
        <v>1130</v>
      </c>
      <c r="C1886" s="21" t="s">
        <v>1013</v>
      </c>
      <c r="D1886" s="21" t="s">
        <v>1007</v>
      </c>
      <c r="E1886" s="22">
        <f>IF(D1886="?OLD","!!!","")</f>
        <v/>
      </c>
      <c r="F1886" s="23" t="str">
        <f>IF(OR(E1886="",E1886="!!!"),"",IF(NOT(ISNA(VLOOKUP(E1886,E$1:E1885,1,FALSE()))),"OLD",IF(AND(E1886&lt;&gt;"",E1886&lt;&gt;"!!!"),"NEW","")))</f>
        <v> </v>
      </c>
      <c r="G1886" s="24" t="str">
        <f>IF(OR(E1886="",E1886="!!!"),"",IF(OR(J1886=0,AND(J1886=1,K1886=1),AND(J1886=1,I1886="SBJ"),AND(J1886=1,I1886=0)),"?IN_FOCUS",IF(J1886&lt;=2,"?ACTIVATED",IF(J1886&lt;&gt;"","?FAMILIAR",IF(F1886="NEW",IF(ISNA(VLOOKUP(E1886,#REF!,1,FALSE())),"?TYPE_IDENTIFIABLE","?REFERENTIAL"),"_")))))</f>
        <v> </v>
      </c>
      <c r="H1886" s="25" t="str">
        <f>IF(J1886&lt;&gt;1,"",IF(I1886="SBJ","CB","?"))</f>
        <v> </v>
      </c>
      <c r="I1886" s="26" t="str">
        <f>IF(OR(E1886="",E1886="!!!",F1886="NEW"),"",INDEX(B1885:B$2,-1+SUMPRODUCT(MAX(ROW(E1885:E$2)*(E1886=E1885:E$2)))))</f>
        <v> </v>
      </c>
      <c r="J1886" s="26" t="str">
        <f>IF(OR(E1886="",E1886="!!!",F1886="NEW"),"",COUNTBLANK(OFFSET(A$1,,,SUMPRODUCT(MAX(ROW(E$2:E1886)*(E1886=E$2:E1886)))))-COUNTBLANK(OFFSET(A$1,,,SUMPRODUCT(MAX(ROW(E$1:E1885)*(E2=E$1:E1885))))))</f>
        <v> </v>
      </c>
      <c r="K1886" s="26" t="str">
        <f>IF(OR(E1886="",E1886="!!!",F1886="NEW"),"",INDEX(J$1:J1885,SUMPRODUCT(MAX(ROW(E$1:E1885)*(E1886=E$1:E1885)))))</f>
        <v> </v>
      </c>
      <c r="L1886" s="27"/>
    </row>
    <row r="1887" spans="1:12">
      <c r="A1887" s="20" t="s">
        <v>1014</v>
      </c>
      <c r="E1887" s="22">
        <f>IF(D1887="?OLD","!!!","")</f>
        <v/>
      </c>
      <c r="F1887" s="23" t="str">
        <f>IF(OR(E1887="",E1887="!!!"),"",IF(NOT(ISNA(VLOOKUP(E1887,E$1:E1886,1,FALSE()))),"OLD",IF(AND(E1887&lt;&gt;"",E1887&lt;&gt;"!!!"),"NEW","")))</f>
        <v> </v>
      </c>
      <c r="G1887" s="24" t="str">
        <f>IF(OR(E1887="",E1887="!!!"),"",IF(OR(J1887=0,AND(J1887=1,K1887=1),AND(J1887=1,I1887="SBJ"),AND(J1887=1,I1887=0)),"?IN_FOCUS",IF(J1887&lt;=2,"?ACTIVATED",IF(J1887&lt;&gt;"","?FAMILIAR",IF(F1887="NEW",IF(ISNA(VLOOKUP(E1887,#REF!,1,FALSE())),"?TYPE_IDENTIFIABLE","?REFERENTIAL"),"_")))))</f>
        <v> </v>
      </c>
      <c r="H1887" s="25" t="str">
        <f>IF(J1887&lt;&gt;1,"",IF(I1887="SBJ","CB","?"))</f>
        <v> </v>
      </c>
      <c r="I1887" s="26" t="str">
        <f>IF(OR(E1887="",E1887="!!!",F1887="NEW"),"",INDEX(B1886:B$2,-1+SUMPRODUCT(MAX(ROW(E1886:E$2)*(E1887=E1886:E$2)))))</f>
        <v> </v>
      </c>
      <c r="J1887" s="26" t="str">
        <f>IF(OR(E1887="",E1887="!!!",F1887="NEW"),"",COUNTBLANK(OFFSET(A$1,,,SUMPRODUCT(MAX(ROW(E$2:E1887)*(E1887=E$2:E1887)))))-COUNTBLANK(OFFSET(A$1,,,SUMPRODUCT(MAX(ROW(E$1:E1886)*(E2=E$1:E1886))))))</f>
        <v> </v>
      </c>
      <c r="K1887" s="26" t="str">
        <f>IF(OR(E1887="",E1887="!!!",F1887="NEW"),"",INDEX(J$1:J1886,SUMPRODUCT(MAX(ROW(E$1:E1886)*(E1887=E$1:E1886)))))</f>
        <v> </v>
      </c>
      <c r="L1887" s="27"/>
    </row>
    <row r="1888" spans="1:12">
      <c r="A1888" s="20" t="s">
        <v>1659</v>
      </c>
      <c r="B1888" s="21" t="s">
        <v>1040</v>
      </c>
      <c r="C1888" s="21" t="s">
        <v>1006</v>
      </c>
      <c r="D1888" s="21" t="s">
        <v>1007</v>
      </c>
      <c r="E1888" s="22">
        <f>IF(D1888="?OLD","!!!","")</f>
        <v/>
      </c>
      <c r="F1888" s="23" t="str">
        <f>IF(OR(E1888="",E1888="!!!"),"",IF(NOT(ISNA(VLOOKUP(E1888,E$1:E1887,1,FALSE()))),"OLD",IF(AND(E1888&lt;&gt;"",E1888&lt;&gt;"!!!"),"NEW","")))</f>
        <v> </v>
      </c>
      <c r="G1888" s="24" t="str">
        <f>IF(OR(E1888="",E1888="!!!"),"",IF(OR(J1888=0,AND(J1888=1,K1888=1),AND(J1888=1,I1888="SBJ"),AND(J1888=1,I1888=0)),"?IN_FOCUS",IF(J1888&lt;=2,"?ACTIVATED",IF(J1888&lt;&gt;"","?FAMILIAR",IF(F1888="NEW",IF(ISNA(VLOOKUP(E1888,#REF!,1,FALSE())),"?TYPE_IDENTIFIABLE","?REFERENTIAL"),"_")))))</f>
        <v> </v>
      </c>
      <c r="H1888" s="25" t="str">
        <f>IF(J1888&lt;&gt;1,"",IF(I1888="SBJ","CB","?"))</f>
        <v> </v>
      </c>
      <c r="I1888" s="26" t="str">
        <f>IF(OR(E1888="",E1888="!!!",F1888="NEW"),"",INDEX(B1887:B$2,-1+SUMPRODUCT(MAX(ROW(E1887:E$2)*(E1888=E1887:E$2)))))</f>
        <v> </v>
      </c>
      <c r="J1888" s="26" t="str">
        <f>IF(OR(E1888="",E1888="!!!",F1888="NEW"),"",COUNTBLANK(OFFSET(A$1,,,SUMPRODUCT(MAX(ROW(E$2:E1888)*(E1888=E$2:E1888)))))-COUNTBLANK(OFFSET(A$1,,,SUMPRODUCT(MAX(ROW(E$1:E1887)*(E2=E$1:E1887))))))</f>
        <v> </v>
      </c>
      <c r="K1888" s="26" t="str">
        <f>IF(OR(E1888="",E1888="!!!",F1888="NEW"),"",INDEX(J$1:J1887,SUMPRODUCT(MAX(ROW(E$1:E1887)*(E1888=E$1:E1887)))))</f>
        <v> </v>
      </c>
      <c r="L1888" s="27"/>
    </row>
    <row r="1889" spans="1:12">
      <c r="A1889" s="20" t="s">
        <v>1018</v>
      </c>
      <c r="E1889" s="22">
        <f>IF(D1889="?OLD","!!!","")</f>
        <v/>
      </c>
      <c r="F1889" s="23" t="str">
        <f>IF(OR(E1889="",E1889="!!!"),"",IF(NOT(ISNA(VLOOKUP(E1889,E$1:E1888,1,FALSE()))),"OLD",IF(AND(E1889&lt;&gt;"",E1889&lt;&gt;"!!!"),"NEW","")))</f>
        <v> </v>
      </c>
      <c r="G1889" s="24" t="str">
        <f>IF(OR(E1889="",E1889="!!!"),"",IF(OR(J1889=0,AND(J1889=1,K1889=1),AND(J1889=1,I1889="SBJ"),AND(J1889=1,I1889=0)),"?IN_FOCUS",IF(J1889&lt;=2,"?ACTIVATED",IF(J1889&lt;&gt;"","?FAMILIAR",IF(F1889="NEW",IF(ISNA(VLOOKUP(E1889,#REF!,1,FALSE())),"?TYPE_IDENTIFIABLE","?REFERENTIAL"),"_")))))</f>
        <v> </v>
      </c>
      <c r="H1889" s="25" t="str">
        <f>IF(J1889&lt;&gt;1,"",IF(I1889="SBJ","CB","?"))</f>
        <v> </v>
      </c>
      <c r="I1889" s="26" t="str">
        <f>IF(OR(E1889="",E1889="!!!",F1889="NEW"),"",INDEX(B1888:B$2,-1+SUMPRODUCT(MAX(ROW(E1888:E$2)*(E1889=E1888:E$2)))))</f>
        <v> </v>
      </c>
      <c r="J1889" s="26" t="str">
        <f>IF(OR(E1889="",E1889="!!!",F1889="NEW"),"",COUNTBLANK(OFFSET(A$1,,,SUMPRODUCT(MAX(ROW(E$2:E1889)*(E1889=E$2:E1889)))))-COUNTBLANK(OFFSET(A$1,,,SUMPRODUCT(MAX(ROW(E$1:E1888)*(E2=E$1:E1888))))))</f>
        <v> </v>
      </c>
      <c r="K1889" s="26" t="str">
        <f>IF(OR(E1889="",E1889="!!!",F1889="NEW"),"",INDEX(J$1:J1888,SUMPRODUCT(MAX(ROW(E$1:E1888)*(E1889=E$1:E1888)))))</f>
        <v> </v>
      </c>
      <c r="L1889" s="27"/>
    </row>
    <row r="1890" spans="1:12">
      <c r="A1890" s="20" t="s">
        <v>1357</v>
      </c>
      <c r="E1890" s="22">
        <f>IF(D1890="?OLD","!!!","")</f>
        <v/>
      </c>
      <c r="F1890" s="23" t="str">
        <f>IF(OR(E1890="",E1890="!!!"),"",IF(NOT(ISNA(VLOOKUP(E1890,E$1:E1889,1,FALSE()))),"OLD",IF(AND(E1890&lt;&gt;"",E1890&lt;&gt;"!!!"),"NEW","")))</f>
        <v> </v>
      </c>
      <c r="G1890" s="24" t="str">
        <f>IF(OR(E1890="",E1890="!!!"),"",IF(OR(J1890=0,AND(J1890=1,K1890=1),AND(J1890=1,I1890="SBJ"),AND(J1890=1,I1890=0)),"?IN_FOCUS",IF(J1890&lt;=2,"?ACTIVATED",IF(J1890&lt;&gt;"","?FAMILIAR",IF(F1890="NEW",IF(ISNA(VLOOKUP(E1890,#REF!,1,FALSE())),"?TYPE_IDENTIFIABLE","?REFERENTIAL"),"_")))))</f>
        <v> </v>
      </c>
      <c r="H1890" s="25" t="str">
        <f>IF(J1890&lt;&gt;1,"",IF(I1890="SBJ","CB","?"))</f>
        <v> </v>
      </c>
      <c r="I1890" s="26" t="str">
        <f>IF(OR(E1890="",E1890="!!!",F1890="NEW"),"",INDEX(B1889:B$2,-1+SUMPRODUCT(MAX(ROW(E1889:E$2)*(E1890=E1889:E$2)))))</f>
        <v> </v>
      </c>
      <c r="J1890" s="26" t="str">
        <f>IF(OR(E1890="",E1890="!!!",F1890="NEW"),"",COUNTBLANK(OFFSET(A$1,,,SUMPRODUCT(MAX(ROW(E$2:E1890)*(E1890=E$2:E1890)))))-COUNTBLANK(OFFSET(A$1,,,SUMPRODUCT(MAX(ROW(E$1:E1889)*(E2=E$1:E1889))))))</f>
        <v> </v>
      </c>
      <c r="K1890" s="26" t="str">
        <f>IF(OR(E1890="",E1890="!!!",F1890="NEW"),"",INDEX(J$1:J1889,SUMPRODUCT(MAX(ROW(E$1:E1889)*(E1890=E$1:E1889)))))</f>
        <v> </v>
      </c>
      <c r="L1890" s="27"/>
    </row>
    <row r="1891" spans="1:12">
      <c r="A1891" s="20" t="s">
        <v>1224</v>
      </c>
      <c r="B1891" s="21" t="s">
        <v>1251</v>
      </c>
      <c r="C1891" s="21" t="s">
        <v>1082</v>
      </c>
      <c r="D1891" s="21" t="s">
        <v>1007</v>
      </c>
      <c r="E1891" s="22">
        <f>IF(D1891="?OLD","!!!","")</f>
        <v/>
      </c>
      <c r="F1891" s="23" t="str">
        <f>IF(OR(E1891="",E1891="!!!"),"",IF(NOT(ISNA(VLOOKUP(E1891,E$1:E1890,1,FALSE()))),"OLD",IF(AND(E1891&lt;&gt;"",E1891&lt;&gt;"!!!"),"NEW","")))</f>
        <v> </v>
      </c>
      <c r="G1891" s="24" t="str">
        <f>IF(OR(E1891="",E1891="!!!"),"",IF(OR(J1891=0,AND(J1891=1,K1891=1),AND(J1891=1,I1891="SBJ"),AND(J1891=1,I1891=0)),"?IN_FOCUS",IF(J1891&lt;=2,"?ACTIVATED",IF(J1891&lt;&gt;"","?FAMILIAR",IF(F1891="NEW",IF(ISNA(VLOOKUP(E1891,#REF!,1,FALSE())),"?TYPE_IDENTIFIABLE","?REFERENTIAL"),"_")))))</f>
        <v> </v>
      </c>
      <c r="H1891" s="25" t="str">
        <f>IF(J1891&lt;&gt;1,"",IF(I1891="SBJ","CB","?"))</f>
        <v> </v>
      </c>
      <c r="I1891" s="26" t="str">
        <f>IF(OR(E1891="",E1891="!!!",F1891="NEW"),"",INDEX(B1890:B$2,-1+SUMPRODUCT(MAX(ROW(E1890:E$2)*(E1891=E1890:E$2)))))</f>
        <v> </v>
      </c>
      <c r="J1891" s="26" t="str">
        <f>IF(OR(E1891="",E1891="!!!",F1891="NEW"),"",COUNTBLANK(OFFSET(A$1,,,SUMPRODUCT(MAX(ROW(E$2:E1891)*(E1891=E$2:E1891)))))-COUNTBLANK(OFFSET(A$1,,,SUMPRODUCT(MAX(ROW(E$1:E1890)*(E2=E$1:E1890))))))</f>
        <v> </v>
      </c>
      <c r="K1891" s="26" t="str">
        <f>IF(OR(E1891="",E1891="!!!",F1891="NEW"),"",INDEX(J$1:J1890,SUMPRODUCT(MAX(ROW(E$1:E1890)*(E1891=E$1:E1890)))))</f>
        <v> </v>
      </c>
      <c r="L1891" s="27"/>
    </row>
    <row r="1892" spans="1:12">
      <c r="A1892" s="20" t="s">
        <v>1157</v>
      </c>
      <c r="E1892" s="22">
        <f>IF(D1892="?OLD","!!!","")</f>
        <v/>
      </c>
      <c r="F1892" s="23" t="str">
        <f>IF(OR(E1892="",E1892="!!!"),"",IF(NOT(ISNA(VLOOKUP(E1892,E$1:E1891,1,FALSE()))),"OLD",IF(AND(E1892&lt;&gt;"",E1892&lt;&gt;"!!!"),"NEW","")))</f>
        <v> </v>
      </c>
      <c r="G1892" s="24" t="str">
        <f>IF(OR(E1892="",E1892="!!!"),"",IF(OR(J1892=0,AND(J1892=1,K1892=1),AND(J1892=1,I1892="SBJ"),AND(J1892=1,I1892=0)),"?IN_FOCUS",IF(J1892&lt;=2,"?ACTIVATED",IF(J1892&lt;&gt;"","?FAMILIAR",IF(F1892="NEW",IF(ISNA(VLOOKUP(E1892,#REF!,1,FALSE())),"?TYPE_IDENTIFIABLE","?REFERENTIAL"),"_")))))</f>
        <v> </v>
      </c>
      <c r="H1892" s="25" t="str">
        <f>IF(J1892&lt;&gt;1,"",IF(I1892="SBJ","CB","?"))</f>
        <v> </v>
      </c>
      <c r="I1892" s="26" t="str">
        <f>IF(OR(E1892="",E1892="!!!",F1892="NEW"),"",INDEX(B1891:B$2,-1+SUMPRODUCT(MAX(ROW(E1891:E$2)*(E1892=E1891:E$2)))))</f>
        <v> </v>
      </c>
      <c r="J1892" s="26" t="str">
        <f>IF(OR(E1892="",E1892="!!!",F1892="NEW"),"",COUNTBLANK(OFFSET(A$1,,,SUMPRODUCT(MAX(ROW(E$2:E1892)*(E1892=E$2:E1892)))))-COUNTBLANK(OFFSET(A$1,,,SUMPRODUCT(MAX(ROW(E$1:E1891)*(E2=E$1:E1891))))))</f>
        <v> </v>
      </c>
      <c r="K1892" s="26" t="str">
        <f>IF(OR(E1892="",E1892="!!!",F1892="NEW"),"",INDEX(J$1:J1891,SUMPRODUCT(MAX(ROW(E$1:E1891)*(E1892=E$1:E1891)))))</f>
        <v> </v>
      </c>
      <c r="L1892" s="27"/>
    </row>
    <row r="1893" spans="1:12">
      <c r="A1893" s="20" t="s">
        <v>137</v>
      </c>
      <c r="E1893" s="22">
        <f>IF(D1893="?OLD","!!!","")</f>
        <v/>
      </c>
      <c r="F1893" s="23" t="str">
        <f>IF(OR(E1893="",E1893="!!!"),"",IF(NOT(ISNA(VLOOKUP(E1893,E$1:E1892,1,FALSE()))),"OLD",IF(AND(E1893&lt;&gt;"",E1893&lt;&gt;"!!!"),"NEW","")))</f>
        <v> </v>
      </c>
      <c r="G1893" s="24" t="str">
        <f>IF(OR(E1893="",E1893="!!!"),"",IF(OR(J1893=0,AND(J1893=1,K1893=1),AND(J1893=1,I1893="SBJ"),AND(J1893=1,I1893=0)),"?IN_FOCUS",IF(J1893&lt;=2,"?ACTIVATED",IF(J1893&lt;&gt;"","?FAMILIAR",IF(F1893="NEW",IF(ISNA(VLOOKUP(E1893,#REF!,1,FALSE())),"?TYPE_IDENTIFIABLE","?REFERENTIAL"),"_")))))</f>
        <v> </v>
      </c>
      <c r="H1893" s="25" t="str">
        <f>IF(J1893&lt;&gt;1,"",IF(I1893="SBJ","CB","?"))</f>
        <v> </v>
      </c>
      <c r="I1893" s="26" t="str">
        <f>IF(OR(E1893="",E1893="!!!",F1893="NEW"),"",INDEX(B1892:B$2,-1+SUMPRODUCT(MAX(ROW(E1892:E$2)*(E1893=E1892:E$2)))))</f>
        <v> </v>
      </c>
      <c r="J1893" s="26" t="str">
        <f>IF(OR(E1893="",E1893="!!!",F1893="NEW"),"",COUNTBLANK(OFFSET(A$1,,,SUMPRODUCT(MAX(ROW(E$2:E1893)*(E1893=E$2:E1893)))))-COUNTBLANK(OFFSET(A$1,,,SUMPRODUCT(MAX(ROW(E$1:E1892)*(E2=E$1:E1892))))))</f>
        <v> </v>
      </c>
      <c r="K1893" s="26" t="str">
        <f>IF(OR(E1893="",E1893="!!!",F1893="NEW"),"",INDEX(J$1:J1892,SUMPRODUCT(MAX(ROW(E$1:E1892)*(E1893=E$1:E1892)))))</f>
        <v> </v>
      </c>
      <c r="L1893" s="27"/>
    </row>
    <row r="1894" spans="1:12">
      <c r="A1894" s="20" t="s">
        <v>1018</v>
      </c>
      <c r="E1894" s="22">
        <f>IF(D1894="?OLD","!!!","")</f>
        <v/>
      </c>
      <c r="F1894" s="23" t="str">
        <f>IF(OR(E1894="",E1894="!!!"),"",IF(NOT(ISNA(VLOOKUP(E1894,E$1:E1893,1,FALSE()))),"OLD",IF(AND(E1894&lt;&gt;"",E1894&lt;&gt;"!!!"),"NEW","")))</f>
        <v> </v>
      </c>
      <c r="G1894" s="24" t="str">
        <f>IF(OR(E1894="",E1894="!!!"),"",IF(OR(J1894=0,AND(J1894=1,K1894=1),AND(J1894=1,I1894="SBJ"),AND(J1894=1,I1894=0)),"?IN_FOCUS",IF(J1894&lt;=2,"?ACTIVATED",IF(J1894&lt;&gt;"","?FAMILIAR",IF(F1894="NEW",IF(ISNA(VLOOKUP(E1894,#REF!,1,FALSE())),"?TYPE_IDENTIFIABLE","?REFERENTIAL"),"_")))))</f>
        <v> </v>
      </c>
      <c r="H1894" s="25" t="str">
        <f>IF(J1894&lt;&gt;1,"",IF(I1894="SBJ","CB","?"))</f>
        <v> </v>
      </c>
      <c r="I1894" s="26" t="str">
        <f>IF(OR(E1894="",E1894="!!!",F1894="NEW"),"",INDEX(B1893:B$2,-1+SUMPRODUCT(MAX(ROW(E1893:E$2)*(E1894=E1893:E$2)))))</f>
        <v> </v>
      </c>
      <c r="J1894" s="26" t="str">
        <f>IF(OR(E1894="",E1894="!!!",F1894="NEW"),"",COUNTBLANK(OFFSET(A$1,,,SUMPRODUCT(MAX(ROW(E$2:E1894)*(E1894=E$2:E1894)))))-COUNTBLANK(OFFSET(A$1,,,SUMPRODUCT(MAX(ROW(E$1:E1893)*(E2=E$1:E1893))))))</f>
        <v> </v>
      </c>
      <c r="K1894" s="26" t="str">
        <f>IF(OR(E1894="",E1894="!!!",F1894="NEW"),"",INDEX(J$1:J1893,SUMPRODUCT(MAX(ROW(E$1:E1893)*(E1894=E$1:E1893)))))</f>
        <v> </v>
      </c>
      <c r="L1894" s="27"/>
    </row>
    <row r="1895" spans="1:12">
      <c r="A1895" s="20" t="s">
        <v>1299</v>
      </c>
      <c r="E1895" s="22">
        <f>IF(D1895="?OLD","!!!","")</f>
        <v/>
      </c>
      <c r="F1895" s="23" t="str">
        <f>IF(OR(E1895="",E1895="!!!"),"",IF(NOT(ISNA(VLOOKUP(E1895,E$1:E1894,1,FALSE()))),"OLD",IF(AND(E1895&lt;&gt;"",E1895&lt;&gt;"!!!"),"NEW","")))</f>
        <v> </v>
      </c>
      <c r="G1895" s="24" t="str">
        <f>IF(OR(E1895="",E1895="!!!"),"",IF(OR(J1895=0,AND(J1895=1,K1895=1),AND(J1895=1,I1895="SBJ"),AND(J1895=1,I1895=0)),"?IN_FOCUS",IF(J1895&lt;=2,"?ACTIVATED",IF(J1895&lt;&gt;"","?FAMILIAR",IF(F1895="NEW",IF(ISNA(VLOOKUP(E1895,#REF!,1,FALSE())),"?TYPE_IDENTIFIABLE","?REFERENTIAL"),"_")))))</f>
        <v> </v>
      </c>
      <c r="H1895" s="25" t="str">
        <f>IF(J1895&lt;&gt;1,"",IF(I1895="SBJ","CB","?"))</f>
        <v> </v>
      </c>
      <c r="I1895" s="26" t="str">
        <f>IF(OR(E1895="",E1895="!!!",F1895="NEW"),"",INDEX(B1894:B$2,-1+SUMPRODUCT(MAX(ROW(E1894:E$2)*(E1895=E1894:E$2)))))</f>
        <v> </v>
      </c>
      <c r="J1895" s="26" t="str">
        <f>IF(OR(E1895="",E1895="!!!",F1895="NEW"),"",COUNTBLANK(OFFSET(A$1,,,SUMPRODUCT(MAX(ROW(E$2:E1895)*(E1895=E$2:E1895)))))-COUNTBLANK(OFFSET(A$1,,,SUMPRODUCT(MAX(ROW(E$1:E1894)*(E2=E$1:E1894))))))</f>
        <v> </v>
      </c>
      <c r="K1895" s="26" t="str">
        <f>IF(OR(E1895="",E1895="!!!",F1895="NEW"),"",INDEX(J$1:J1894,SUMPRODUCT(MAX(ROW(E$1:E1894)*(E1895=E$1:E1894)))))</f>
        <v> </v>
      </c>
      <c r="L1895" s="27"/>
    </row>
    <row r="1896" spans="1:12">
      <c r="A1896" s="20" t="s">
        <v>1142</v>
      </c>
      <c r="E1896" s="22">
        <f>IF(D1896="?OLD","!!!","")</f>
        <v/>
      </c>
      <c r="F1896" s="23" t="str">
        <f>IF(OR(E1896="",E1896="!!!"),"",IF(NOT(ISNA(VLOOKUP(E1896,E$1:E1895,1,FALSE()))),"OLD",IF(AND(E1896&lt;&gt;"",E1896&lt;&gt;"!!!"),"NEW","")))</f>
        <v> </v>
      </c>
      <c r="G1896" s="24" t="str">
        <f>IF(OR(E1896="",E1896="!!!"),"",IF(OR(J1896=0,AND(J1896=1,K1896=1),AND(J1896=1,I1896="SBJ"),AND(J1896=1,I1896=0)),"?IN_FOCUS",IF(J1896&lt;=2,"?ACTIVATED",IF(J1896&lt;&gt;"","?FAMILIAR",IF(F1896="NEW",IF(ISNA(VLOOKUP(E1896,#REF!,1,FALSE())),"?TYPE_IDENTIFIABLE","?REFERENTIAL"),"_")))))</f>
        <v> </v>
      </c>
      <c r="H1896" s="25" t="str">
        <f>IF(J1896&lt;&gt;1,"",IF(I1896="SBJ","CB","?"))</f>
        <v> </v>
      </c>
      <c r="I1896" s="26" t="str">
        <f>IF(OR(E1896="",E1896="!!!",F1896="NEW"),"",INDEX(B1895:B$2,-1+SUMPRODUCT(MAX(ROW(E1895:E$2)*(E1896=E1895:E$2)))))</f>
        <v> </v>
      </c>
      <c r="J1896" s="26" t="str">
        <f>IF(OR(E1896="",E1896="!!!",F1896="NEW"),"",COUNTBLANK(OFFSET(A$1,,,SUMPRODUCT(MAX(ROW(E$2:E1896)*(E1896=E$2:E1896)))))-COUNTBLANK(OFFSET(A$1,,,SUMPRODUCT(MAX(ROW(E$1:E1895)*(E2=E$1:E1895))))))</f>
        <v> </v>
      </c>
      <c r="K1896" s="26" t="str">
        <f>IF(OR(E1896="",E1896="!!!",F1896="NEW"),"",INDEX(J$1:J1895,SUMPRODUCT(MAX(ROW(E$1:E1895)*(E1896=E$1:E1895)))))</f>
        <v> </v>
      </c>
      <c r="L1896" s="27"/>
    </row>
    <row r="1897" spans="1:12">
      <c r="A1897" s="20" t="s">
        <v>1051</v>
      </c>
      <c r="E1897" s="22">
        <f>IF(D1897="?OLD","!!!","")</f>
        <v/>
      </c>
      <c r="F1897" s="23" t="str">
        <f>IF(OR(E1897="",E1897="!!!"),"",IF(NOT(ISNA(VLOOKUP(E1897,E$1:E1896,1,FALSE()))),"OLD",IF(AND(E1897&lt;&gt;"",E1897&lt;&gt;"!!!"),"NEW","")))</f>
        <v> </v>
      </c>
      <c r="G1897" s="24" t="str">
        <f>IF(OR(E1897="",E1897="!!!"),"",IF(OR(J1897=0,AND(J1897=1,K1897=1),AND(J1897=1,I1897="SBJ"),AND(J1897=1,I1897=0)),"?IN_FOCUS",IF(J1897&lt;=2,"?ACTIVATED",IF(J1897&lt;&gt;"","?FAMILIAR",IF(F1897="NEW",IF(ISNA(VLOOKUP(E1897,#REF!,1,FALSE())),"?TYPE_IDENTIFIABLE","?REFERENTIAL"),"_")))))</f>
        <v> </v>
      </c>
      <c r="H1897" s="25" t="str">
        <f>IF(J1897&lt;&gt;1,"",IF(I1897="SBJ","CB","?"))</f>
        <v> </v>
      </c>
      <c r="I1897" s="26" t="str">
        <f>IF(OR(E1897="",E1897="!!!",F1897="NEW"),"",INDEX(B1896:B$2,-1+SUMPRODUCT(MAX(ROW(E1896:E$2)*(E1897=E1896:E$2)))))</f>
        <v> </v>
      </c>
      <c r="J1897" s="26" t="str">
        <f>IF(OR(E1897="",E1897="!!!",F1897="NEW"),"",COUNTBLANK(OFFSET(A$1,,,SUMPRODUCT(MAX(ROW(E$2:E1897)*(E1897=E$2:E1897)))))-COUNTBLANK(OFFSET(A$1,,,SUMPRODUCT(MAX(ROW(E$1:E1896)*(E2=E$1:E1896))))))</f>
        <v> </v>
      </c>
      <c r="K1897" s="26" t="str">
        <f>IF(OR(E1897="",E1897="!!!",F1897="NEW"),"",INDEX(J$1:J1896,SUMPRODUCT(MAX(ROW(E$1:E1896)*(E1897=E$1:E1896)))))</f>
        <v> </v>
      </c>
      <c r="L1897" s="27"/>
    </row>
    <row r="1898" spans="1:12">
      <c r="A1898" s="20" t="s">
        <v>1660</v>
      </c>
      <c r="E1898" s="22">
        <f>IF(D1898="?OLD","!!!","")</f>
        <v/>
      </c>
      <c r="F1898" s="23" t="str">
        <f>IF(OR(E1898="",E1898="!!!"),"",IF(NOT(ISNA(VLOOKUP(E1898,E$1:E1897,1,FALSE()))),"OLD",IF(AND(E1898&lt;&gt;"",E1898&lt;&gt;"!!!"),"NEW","")))</f>
        <v> </v>
      </c>
      <c r="G1898" s="24" t="str">
        <f>IF(OR(E1898="",E1898="!!!"),"",IF(OR(J1898=0,AND(J1898=1,K1898=1),AND(J1898=1,I1898="SBJ"),AND(J1898=1,I1898=0)),"?IN_FOCUS",IF(J1898&lt;=2,"?ACTIVATED",IF(J1898&lt;&gt;"","?FAMILIAR",IF(F1898="NEW",IF(ISNA(VLOOKUP(E1898,#REF!,1,FALSE())),"?TYPE_IDENTIFIABLE","?REFERENTIAL"),"_")))))</f>
        <v> </v>
      </c>
      <c r="H1898" s="25" t="str">
        <f>IF(J1898&lt;&gt;1,"",IF(I1898="SBJ","CB","?"))</f>
        <v> </v>
      </c>
      <c r="I1898" s="26" t="str">
        <f>IF(OR(E1898="",E1898="!!!",F1898="NEW"),"",INDEX(B1897:B$2,-1+SUMPRODUCT(MAX(ROW(E1897:E$2)*(E1898=E1897:E$2)))))</f>
        <v> </v>
      </c>
      <c r="J1898" s="26" t="str">
        <f>IF(OR(E1898="",E1898="!!!",F1898="NEW"),"",COUNTBLANK(OFFSET(A$1,,,SUMPRODUCT(MAX(ROW(E$2:E1898)*(E1898=E$2:E1898)))))-COUNTBLANK(OFFSET(A$1,,,SUMPRODUCT(MAX(ROW(E$1:E1897)*(E2=E$1:E1897))))))</f>
        <v> </v>
      </c>
      <c r="K1898" s="26" t="str">
        <f>IF(OR(E1898="",E1898="!!!",F1898="NEW"),"",INDEX(J$1:J1897,SUMPRODUCT(MAX(ROW(E$1:E1897)*(E1898=E$1:E1897)))))</f>
        <v> </v>
      </c>
      <c r="L1898" s="27"/>
    </row>
    <row r="1899" spans="1:12">
      <c r="A1899" s="20" t="s">
        <v>1023</v>
      </c>
      <c r="E1899" s="22">
        <f>IF(D1899="?OLD","!!!","")</f>
        <v/>
      </c>
      <c r="F1899" s="23" t="str">
        <f>IF(OR(E1899="",E1899="!!!"),"",IF(NOT(ISNA(VLOOKUP(E1899,E$1:E1898,1,FALSE()))),"OLD",IF(AND(E1899&lt;&gt;"",E1899&lt;&gt;"!!!"),"NEW","")))</f>
        <v> </v>
      </c>
      <c r="G1899" s="24" t="str">
        <f>IF(OR(E1899="",E1899="!!!"),"",IF(OR(J1899=0,AND(J1899=1,K1899=1),AND(J1899=1,I1899="SBJ"),AND(J1899=1,I1899=0)),"?IN_FOCUS",IF(J1899&lt;=2,"?ACTIVATED",IF(J1899&lt;&gt;"","?FAMILIAR",IF(F1899="NEW",IF(ISNA(VLOOKUP(E1899,#REF!,1,FALSE())),"?TYPE_IDENTIFIABLE","?REFERENTIAL"),"_")))))</f>
        <v> </v>
      </c>
      <c r="H1899" s="25" t="str">
        <f>IF(J1899&lt;&gt;1,"",IF(I1899="SBJ","CB","?"))</f>
        <v> </v>
      </c>
      <c r="I1899" s="26" t="str">
        <f>IF(OR(E1899="",E1899="!!!",F1899="NEW"),"",INDEX(B1898:B$2,-1+SUMPRODUCT(MAX(ROW(E1898:E$2)*(E1899=E1898:E$2)))))</f>
        <v> </v>
      </c>
      <c r="J1899" s="26" t="str">
        <f>IF(OR(E1899="",E1899="!!!",F1899="NEW"),"",COUNTBLANK(OFFSET(A$1,,,SUMPRODUCT(MAX(ROW(E$2:E1899)*(E1899=E$2:E1899)))))-COUNTBLANK(OFFSET(A$1,,,SUMPRODUCT(MAX(ROW(E$1:E1898)*(E2=E$1:E1898))))))</f>
        <v> </v>
      </c>
      <c r="K1899" s="26" t="str">
        <f>IF(OR(E1899="",E1899="!!!",F1899="NEW"),"",INDEX(J$1:J1898,SUMPRODUCT(MAX(ROW(E$1:E1898)*(E1899=E$1:E1898)))))</f>
        <v> </v>
      </c>
      <c r="L1899" s="27"/>
    </row>
    <row r="1900" spans="1:12">
      <c r="A1900" s="20"/>
    </row>
    <row r="1901" spans="1:12">
      <c r="A1901" s="20" t="s">
        <v>1661</v>
      </c>
    </row>
    <row r="1902" spans="1:12">
      <c r="A1902" s="20" t="s">
        <v>1400</v>
      </c>
      <c r="E1902" s="22">
        <f>IF(D1902="?OLD","!!!","")</f>
        <v/>
      </c>
      <c r="F1902" s="23" t="str">
        <f>IF(OR(E1902="",E1902="!!!"),"",IF(NOT(ISNA(VLOOKUP(E1902,E$1:E1901,1,FALSE()))),"OLD",IF(AND(E1902&lt;&gt;"",E1902&lt;&gt;"!!!"),"NEW","")))</f>
        <v> </v>
      </c>
      <c r="G1902" s="24" t="str">
        <f>IF(OR(E1902="",E1902="!!!"),"",IF(OR(J1902=0,AND(J1902=1,K1902=1),AND(J1902=1,I1902="SBJ"),AND(J1902=1,I1902=0)),"?IN_FOCUS",IF(J1902&lt;=2,"?ACTIVATED",IF(J1902&lt;&gt;"","?FAMILIAR",IF(F1902="NEW",IF(ISNA(VLOOKUP(E1902,#REF!,1,FALSE())),"?TYPE_IDENTIFIABLE","?REFERENTIAL"),"_")))))</f>
        <v> </v>
      </c>
      <c r="H1902" s="25" t="str">
        <f>IF(J1902&lt;&gt;1,"",IF(I1902="SBJ","CB","?"))</f>
        <v> </v>
      </c>
      <c r="I1902" s="26" t="str">
        <f>IF(OR(E1902="",E1902="!!!",F1902="NEW"),"",INDEX(B1901:B$2,-1+SUMPRODUCT(MAX(ROW(E1901:E$2)*(E1902=E1901:E$2)))))</f>
        <v> </v>
      </c>
      <c r="J1902" s="26" t="str">
        <f>IF(OR(E1902="",E1902="!!!",F1902="NEW"),"",COUNTBLANK(OFFSET(A$1,,,SUMPRODUCT(MAX(ROW(E$2:E1902)*(E1902=E$2:E1902)))))-COUNTBLANK(OFFSET(A$1,,,SUMPRODUCT(MAX(ROW(E$1:E1901)*(E2=E$1:E1901))))))</f>
        <v> </v>
      </c>
      <c r="K1902" s="26" t="str">
        <f>IF(OR(E1902="",E1902="!!!",F1902="NEW"),"",INDEX(J$1:J1901,SUMPRODUCT(MAX(ROW(E$1:E1901)*(E1902=E$1:E1901)))))</f>
        <v> </v>
      </c>
      <c r="L1902" s="27"/>
    </row>
    <row r="1903" spans="1:12">
      <c r="A1903" s="20" t="s">
        <v>1662</v>
      </c>
      <c r="B1903" s="21" t="s">
        <v>1050</v>
      </c>
      <c r="C1903" s="21" t="s">
        <v>1017</v>
      </c>
      <c r="D1903" s="21" t="s">
        <v>1007</v>
      </c>
      <c r="E1903" s="22">
        <f>IF(D1903="?OLD","!!!","")</f>
        <v/>
      </c>
      <c r="F1903" s="23" t="str">
        <f>IF(OR(E1903="",E1903="!!!"),"",IF(NOT(ISNA(VLOOKUP(E1903,E$1:E1902,1,FALSE()))),"OLD",IF(AND(E1903&lt;&gt;"",E1903&lt;&gt;"!!!"),"NEW","")))</f>
        <v> </v>
      </c>
      <c r="G1903" s="24" t="str">
        <f>IF(OR(E1903="",E1903="!!!"),"",IF(OR(J1903=0,AND(J1903=1,K1903=1),AND(J1903=1,I1903="SBJ"),AND(J1903=1,I1903=0)),"?IN_FOCUS",IF(J1903&lt;=2,"?ACTIVATED",IF(J1903&lt;&gt;"","?FAMILIAR",IF(F1903="NEW",IF(ISNA(VLOOKUP(E1903,#REF!,1,FALSE())),"?TYPE_IDENTIFIABLE","?REFERENTIAL"),"_")))))</f>
        <v> </v>
      </c>
      <c r="H1903" s="25" t="str">
        <f>IF(J1903&lt;&gt;1,"",IF(I1903="SBJ","CB","?"))</f>
        <v> </v>
      </c>
      <c r="I1903" s="26" t="str">
        <f>IF(OR(E1903="",E1903="!!!",F1903="NEW"),"",INDEX(B1902:B$2,-1+SUMPRODUCT(MAX(ROW(E1902:E$2)*(E1903=E1902:E$2)))))</f>
        <v> </v>
      </c>
      <c r="J1903" s="26" t="str">
        <f>IF(OR(E1903="",E1903="!!!",F1903="NEW"),"",COUNTBLANK(OFFSET(A$1,,,SUMPRODUCT(MAX(ROW(E$2:E1903)*(E1903=E$2:E1903)))))-COUNTBLANK(OFFSET(A$1,,,SUMPRODUCT(MAX(ROW(E$1:E1902)*(E2=E$1:E1902))))))</f>
        <v> </v>
      </c>
      <c r="K1903" s="26" t="str">
        <f>IF(OR(E1903="",E1903="!!!",F1903="NEW"),"",INDEX(J$1:J1902,SUMPRODUCT(MAX(ROW(E$1:E1902)*(E1903=E$1:E1902)))))</f>
        <v> </v>
      </c>
      <c r="L1903" s="27"/>
    </row>
    <row r="1904" spans="1:12">
      <c r="A1904" s="20" t="s">
        <v>1663</v>
      </c>
      <c r="E1904" s="22">
        <f>IF(D1904="?OLD","!!!","")</f>
        <v/>
      </c>
      <c r="F1904" s="23" t="str">
        <f>IF(OR(E1904="",E1904="!!!"),"",IF(NOT(ISNA(VLOOKUP(E1904,E$1:E1903,1,FALSE()))),"OLD",IF(AND(E1904&lt;&gt;"",E1904&lt;&gt;"!!!"),"NEW","")))</f>
        <v> </v>
      </c>
      <c r="G1904" s="24" t="str">
        <f>IF(OR(E1904="",E1904="!!!"),"",IF(OR(J1904=0,AND(J1904=1,K1904=1),AND(J1904=1,I1904="SBJ"),AND(J1904=1,I1904=0)),"?IN_FOCUS",IF(J1904&lt;=2,"?ACTIVATED",IF(J1904&lt;&gt;"","?FAMILIAR",IF(F1904="NEW",IF(ISNA(VLOOKUP(E1904,#REF!,1,FALSE())),"?TYPE_IDENTIFIABLE","?REFERENTIAL"),"_")))))</f>
        <v> </v>
      </c>
      <c r="H1904" s="25" t="str">
        <f>IF(J1904&lt;&gt;1,"",IF(I1904="SBJ","CB","?"))</f>
        <v> </v>
      </c>
      <c r="I1904" s="26" t="str">
        <f>IF(OR(E1904="",E1904="!!!",F1904="NEW"),"",INDEX(B1903:B$2,-1+SUMPRODUCT(MAX(ROW(E1903:E$2)*(E1904=E1903:E$2)))))</f>
        <v> </v>
      </c>
      <c r="J1904" s="26" t="str">
        <f>IF(OR(E1904="",E1904="!!!",F1904="NEW"),"",COUNTBLANK(OFFSET(A$1,,,SUMPRODUCT(MAX(ROW(E$2:E1904)*(E1904=E$2:E1904)))))-COUNTBLANK(OFFSET(A$1,,,SUMPRODUCT(MAX(ROW(E$1:E1903)*(E2=E$1:E1903))))))</f>
        <v> </v>
      </c>
      <c r="K1904" s="26" t="str">
        <f>IF(OR(E1904="",E1904="!!!",F1904="NEW"),"",INDEX(J$1:J1903,SUMPRODUCT(MAX(ROW(E$1:E1903)*(E1904=E$1:E1903)))))</f>
        <v> </v>
      </c>
      <c r="L1904" s="27"/>
    </row>
    <row r="1905" spans="1:12">
      <c r="A1905" s="20" t="s">
        <v>1075</v>
      </c>
      <c r="E1905" s="22">
        <f>IF(D1905="?OLD","!!!","")</f>
        <v/>
      </c>
      <c r="F1905" s="23" t="str">
        <f>IF(OR(E1905="",E1905="!!!"),"",IF(NOT(ISNA(VLOOKUP(E1905,E$1:E1904,1,FALSE()))),"OLD",IF(AND(E1905&lt;&gt;"",E1905&lt;&gt;"!!!"),"NEW","")))</f>
        <v> </v>
      </c>
      <c r="G1905" s="24" t="str">
        <f>IF(OR(E1905="",E1905="!!!"),"",IF(OR(J1905=0,AND(J1905=1,K1905=1),AND(J1905=1,I1905="SBJ"),AND(J1905=1,I1905=0)),"?IN_FOCUS",IF(J1905&lt;=2,"?ACTIVATED",IF(J1905&lt;&gt;"","?FAMILIAR",IF(F1905="NEW",IF(ISNA(VLOOKUP(E1905,#REF!,1,FALSE())),"?TYPE_IDENTIFIABLE","?REFERENTIAL"),"_")))))</f>
        <v> </v>
      </c>
      <c r="H1905" s="25" t="str">
        <f>IF(J1905&lt;&gt;1,"",IF(I1905="SBJ","CB","?"))</f>
        <v> </v>
      </c>
      <c r="I1905" s="26" t="str">
        <f>IF(OR(E1905="",E1905="!!!",F1905="NEW"),"",INDEX(B1904:B$2,-1+SUMPRODUCT(MAX(ROW(E1904:E$2)*(E1905=E1904:E$2)))))</f>
        <v> </v>
      </c>
      <c r="J1905" s="26" t="str">
        <f>IF(OR(E1905="",E1905="!!!",F1905="NEW"),"",COUNTBLANK(OFFSET(A$1,,,SUMPRODUCT(MAX(ROW(E$2:E1905)*(E1905=E$2:E1905)))))-COUNTBLANK(OFFSET(A$1,,,SUMPRODUCT(MAX(ROW(E$1:E1904)*(E2=E$1:E1904))))))</f>
        <v> </v>
      </c>
      <c r="K1905" s="26" t="str">
        <f>IF(OR(E1905="",E1905="!!!",F1905="NEW"),"",INDEX(J$1:J1904,SUMPRODUCT(MAX(ROW(E$1:E1904)*(E1905=E$1:E1904)))))</f>
        <v> </v>
      </c>
      <c r="L1905" s="27"/>
    </row>
    <row r="1906" spans="1:12">
      <c r="A1906" s="20" t="s">
        <v>1020</v>
      </c>
      <c r="E1906" s="22">
        <f>IF(D1906="?OLD","!!!","")</f>
        <v/>
      </c>
      <c r="F1906" s="23" t="str">
        <f>IF(OR(E1906="",E1906="!!!"),"",IF(NOT(ISNA(VLOOKUP(E1906,E$1:E1905,1,FALSE()))),"OLD",IF(AND(E1906&lt;&gt;"",E1906&lt;&gt;"!!!"),"NEW","")))</f>
        <v> </v>
      </c>
      <c r="G1906" s="24" t="str">
        <f>IF(OR(E1906="",E1906="!!!"),"",IF(OR(J1906=0,AND(J1906=1,K1906=1),AND(J1906=1,I1906="SBJ"),AND(J1906=1,I1906=0)),"?IN_FOCUS",IF(J1906&lt;=2,"?ACTIVATED",IF(J1906&lt;&gt;"","?FAMILIAR",IF(F1906="NEW",IF(ISNA(VLOOKUP(E1906,#REF!,1,FALSE())),"?TYPE_IDENTIFIABLE","?REFERENTIAL"),"_")))))</f>
        <v> </v>
      </c>
      <c r="H1906" s="25" t="str">
        <f>IF(J1906&lt;&gt;1,"",IF(I1906="SBJ","CB","?"))</f>
        <v> </v>
      </c>
      <c r="I1906" s="26" t="str">
        <f>IF(OR(E1906="",E1906="!!!",F1906="NEW"),"",INDEX(B1905:B$2,-1+SUMPRODUCT(MAX(ROW(E1905:E$2)*(E1906=E1905:E$2)))))</f>
        <v> </v>
      </c>
      <c r="J1906" s="26" t="str">
        <f>IF(OR(E1906="",E1906="!!!",F1906="NEW"),"",COUNTBLANK(OFFSET(A$1,,,SUMPRODUCT(MAX(ROW(E$2:E1906)*(E1906=E$2:E1906)))))-COUNTBLANK(OFFSET(A$1,,,SUMPRODUCT(MAX(ROW(E$1:E1905)*(E2=E$1:E1905))))))</f>
        <v> </v>
      </c>
      <c r="K1906" s="26" t="str">
        <f>IF(OR(E1906="",E1906="!!!",F1906="NEW"),"",INDEX(J$1:J1905,SUMPRODUCT(MAX(ROW(E$1:E1905)*(E1906=E$1:E1905)))))</f>
        <v> </v>
      </c>
      <c r="L1906" s="27"/>
    </row>
    <row r="1907" spans="1:12">
      <c r="A1907" s="20" t="s">
        <v>1664</v>
      </c>
      <c r="B1907" s="21" t="s">
        <v>1005</v>
      </c>
      <c r="C1907" s="21" t="s">
        <v>1006</v>
      </c>
      <c r="D1907" s="21" t="s">
        <v>1007</v>
      </c>
      <c r="E1907" s="22">
        <f>IF(D1907="?OLD","!!!","")</f>
        <v/>
      </c>
      <c r="F1907" s="23" t="str">
        <f>IF(OR(E1907="",E1907="!!!"),"",IF(NOT(ISNA(VLOOKUP(E1907,E$1:E1906,1,FALSE()))),"OLD",IF(AND(E1907&lt;&gt;"",E1907&lt;&gt;"!!!"),"NEW","")))</f>
        <v> </v>
      </c>
      <c r="G1907" s="24" t="str">
        <f>IF(OR(E1907="",E1907="!!!"),"",IF(OR(J1907=0,AND(J1907=1,K1907=1),AND(J1907=1,I1907="SBJ"),AND(J1907=1,I1907=0)),"?IN_FOCUS",IF(J1907&lt;=2,"?ACTIVATED",IF(J1907&lt;&gt;"","?FAMILIAR",IF(F1907="NEW",IF(ISNA(VLOOKUP(E1907,#REF!,1,FALSE())),"?TYPE_IDENTIFIABLE","?REFERENTIAL"),"_")))))</f>
        <v> </v>
      </c>
      <c r="H1907" s="25" t="str">
        <f>IF(J1907&lt;&gt;1,"",IF(I1907="SBJ","CB","?"))</f>
        <v> </v>
      </c>
      <c r="I1907" s="26" t="str">
        <f>IF(OR(E1907="",E1907="!!!",F1907="NEW"),"",INDEX(B1906:B$2,-1+SUMPRODUCT(MAX(ROW(E1906:E$2)*(E1907=E1906:E$2)))))</f>
        <v> </v>
      </c>
      <c r="J1907" s="26" t="str">
        <f>IF(OR(E1907="",E1907="!!!",F1907="NEW"),"",COUNTBLANK(OFFSET(A$1,,,SUMPRODUCT(MAX(ROW(E$2:E1907)*(E1907=E$2:E1907)))))-COUNTBLANK(OFFSET(A$1,,,SUMPRODUCT(MAX(ROW(E$1:E1906)*(E2=E$1:E1906))))))</f>
        <v> </v>
      </c>
      <c r="K1907" s="26" t="str">
        <f>IF(OR(E1907="",E1907="!!!",F1907="NEW"),"",INDEX(J$1:J1906,SUMPRODUCT(MAX(ROW(E$1:E1906)*(E1907=E$1:E1906)))))</f>
        <v> </v>
      </c>
      <c r="L1907" s="27"/>
    </row>
    <row r="1908" spans="1:12">
      <c r="A1908" s="20"/>
    </row>
    <row r="1909" spans="1:12">
      <c r="A1909" s="20" t="s">
        <v>1665</v>
      </c>
    </row>
    <row r="1910" spans="1:12">
      <c r="A1910" s="20" t="s">
        <v>1018</v>
      </c>
      <c r="E1910" s="22">
        <f>IF(D1910="?OLD","!!!","")</f>
        <v/>
      </c>
      <c r="F1910" s="23" t="str">
        <f>IF(OR(E1910="",E1910="!!!"),"",IF(NOT(ISNA(VLOOKUP(E1910,E$1:E1909,1,FALSE()))),"OLD",IF(AND(E1910&lt;&gt;"",E1910&lt;&gt;"!!!"),"NEW","")))</f>
        <v> </v>
      </c>
      <c r="G1910" s="24" t="str">
        <f>IF(OR(E1910="",E1910="!!!"),"",IF(OR(J1910=0,AND(J1910=1,K1910=1),AND(J1910=1,I1910="SBJ"),AND(J1910=1,I1910=0)),"?IN_FOCUS",IF(J1910&lt;=2,"?ACTIVATED",IF(J1910&lt;&gt;"","?FAMILIAR",IF(F1910="NEW",IF(ISNA(VLOOKUP(E1910,#REF!,1,FALSE())),"?TYPE_IDENTIFIABLE","?REFERENTIAL"),"_")))))</f>
        <v> </v>
      </c>
      <c r="H1910" s="25" t="str">
        <f>IF(J1910&lt;&gt;1,"",IF(I1910="SBJ","CB","?"))</f>
        <v> </v>
      </c>
      <c r="I1910" s="26" t="str">
        <f>IF(OR(E1910="",E1910="!!!",F1910="NEW"),"",INDEX(B1909:B$2,-1+SUMPRODUCT(MAX(ROW(E1909:E$2)*(E1910=E1909:E$2)))))</f>
        <v> </v>
      </c>
      <c r="J1910" s="26" t="str">
        <f>IF(OR(E1910="",E1910="!!!",F1910="NEW"),"",COUNTBLANK(OFFSET(A$1,,,SUMPRODUCT(MAX(ROW(E$2:E1910)*(E1910=E$2:E1910)))))-COUNTBLANK(OFFSET(A$1,,,SUMPRODUCT(MAX(ROW(E$1:E1909)*(E2=E$1:E1909))))))</f>
        <v> </v>
      </c>
      <c r="K1910" s="26" t="str">
        <f>IF(OR(E1910="",E1910="!!!",F1910="NEW"),"",INDEX(J$1:J1909,SUMPRODUCT(MAX(ROW(E$1:E1909)*(E1910=E$1:E1909)))))</f>
        <v> </v>
      </c>
      <c r="L1910" s="27"/>
    </row>
    <row r="1911" spans="1:12">
      <c r="A1911" s="20" t="s">
        <v>1330</v>
      </c>
      <c r="E1911" s="22">
        <f>IF(D1911="?OLD","!!!","")</f>
        <v/>
      </c>
      <c r="F1911" s="23" t="str">
        <f>IF(OR(E1911="",E1911="!!!"),"",IF(NOT(ISNA(VLOOKUP(E1911,E$1:E1910,1,FALSE()))),"OLD",IF(AND(E1911&lt;&gt;"",E1911&lt;&gt;"!!!"),"NEW","")))</f>
        <v> </v>
      </c>
      <c r="G1911" s="24" t="str">
        <f>IF(OR(E1911="",E1911="!!!"),"",IF(OR(J1911=0,AND(J1911=1,K1911=1),AND(J1911=1,I1911="SBJ"),AND(J1911=1,I1911=0)),"?IN_FOCUS",IF(J1911&lt;=2,"?ACTIVATED",IF(J1911&lt;&gt;"","?FAMILIAR",IF(F1911="NEW",IF(ISNA(VLOOKUP(E1911,#REF!,1,FALSE())),"?TYPE_IDENTIFIABLE","?REFERENTIAL"),"_")))))</f>
        <v> </v>
      </c>
      <c r="H1911" s="25" t="str">
        <f>IF(J1911&lt;&gt;1,"",IF(I1911="SBJ","CB","?"))</f>
        <v> </v>
      </c>
      <c r="I1911" s="26" t="str">
        <f>IF(OR(E1911="",E1911="!!!",F1911="NEW"),"",INDEX(B1910:B$2,-1+SUMPRODUCT(MAX(ROW(E1910:E$2)*(E1911=E1910:E$2)))))</f>
        <v> </v>
      </c>
      <c r="J1911" s="26" t="str">
        <f>IF(OR(E1911="",E1911="!!!",F1911="NEW"),"",COUNTBLANK(OFFSET(A$1,,,SUMPRODUCT(MAX(ROW(E$2:E1911)*(E1911=E$2:E1911)))))-COUNTBLANK(OFFSET(A$1,,,SUMPRODUCT(MAX(ROW(E$1:E1910)*(E2=E$1:E1910))))))</f>
        <v> </v>
      </c>
      <c r="K1911" s="26" t="str">
        <f>IF(OR(E1911="",E1911="!!!",F1911="NEW"),"",INDEX(J$1:J1910,SUMPRODUCT(MAX(ROW(E$1:E1910)*(E1911=E$1:E1910)))))</f>
        <v> </v>
      </c>
      <c r="L1911" s="27"/>
    </row>
    <row r="1912" spans="1:12">
      <c r="A1912" s="20" t="s">
        <v>1224</v>
      </c>
      <c r="B1912" s="21" t="s">
        <v>1050</v>
      </c>
      <c r="C1912" s="21" t="s">
        <v>1082</v>
      </c>
      <c r="D1912" s="21" t="s">
        <v>1007</v>
      </c>
      <c r="E1912" s="22">
        <f>IF(D1912="?OLD","!!!","")</f>
        <v/>
      </c>
      <c r="F1912" s="23" t="str">
        <f>IF(OR(E1912="",E1912="!!!"),"",IF(NOT(ISNA(VLOOKUP(E1912,E$1:E1911,1,FALSE()))),"OLD",IF(AND(E1912&lt;&gt;"",E1912&lt;&gt;"!!!"),"NEW","")))</f>
        <v> </v>
      </c>
      <c r="G1912" s="24" t="str">
        <f>IF(OR(E1912="",E1912="!!!"),"",IF(OR(J1912=0,AND(J1912=1,K1912=1),AND(J1912=1,I1912="SBJ"),AND(J1912=1,I1912=0)),"?IN_FOCUS",IF(J1912&lt;=2,"?ACTIVATED",IF(J1912&lt;&gt;"","?FAMILIAR",IF(F1912="NEW",IF(ISNA(VLOOKUP(E1912,#REF!,1,FALSE())),"?TYPE_IDENTIFIABLE","?REFERENTIAL"),"_")))))</f>
        <v> </v>
      </c>
      <c r="H1912" s="25" t="str">
        <f>IF(J1912&lt;&gt;1,"",IF(I1912="SBJ","CB","?"))</f>
        <v> </v>
      </c>
      <c r="I1912" s="26" t="str">
        <f>IF(OR(E1912="",E1912="!!!",F1912="NEW"),"",INDEX(B1911:B$2,-1+SUMPRODUCT(MAX(ROW(E1911:E$2)*(E1912=E1911:E$2)))))</f>
        <v> </v>
      </c>
      <c r="J1912" s="26" t="str">
        <f>IF(OR(E1912="",E1912="!!!",F1912="NEW"),"",COUNTBLANK(OFFSET(A$1,,,SUMPRODUCT(MAX(ROW(E$2:E1912)*(E1912=E$2:E1912)))))-COUNTBLANK(OFFSET(A$1,,,SUMPRODUCT(MAX(ROW(E$1:E1911)*(E2=E$1:E1911))))))</f>
        <v> </v>
      </c>
      <c r="K1912" s="26" t="str">
        <f>IF(OR(E1912="",E1912="!!!",F1912="NEW"),"",INDEX(J$1:J1911,SUMPRODUCT(MAX(ROW(E$1:E1911)*(E1912=E$1:E1911)))))</f>
        <v> </v>
      </c>
      <c r="L1912" s="27"/>
    </row>
    <row r="1913" spans="1:12">
      <c r="A1913" s="20" t="s">
        <v>1142</v>
      </c>
      <c r="E1913" s="22">
        <f>IF(D1913="?OLD","!!!","")</f>
        <v/>
      </c>
      <c r="F1913" s="23" t="str">
        <f>IF(OR(E1913="",E1913="!!!"),"",IF(NOT(ISNA(VLOOKUP(E1913,E$1:E1912,1,FALSE()))),"OLD",IF(AND(E1913&lt;&gt;"",E1913&lt;&gt;"!!!"),"NEW","")))</f>
        <v> </v>
      </c>
      <c r="G1913" s="24" t="str">
        <f>IF(OR(E1913="",E1913="!!!"),"",IF(OR(J1913=0,AND(J1913=1,K1913=1),AND(J1913=1,I1913="SBJ"),AND(J1913=1,I1913=0)),"?IN_FOCUS",IF(J1913&lt;=2,"?ACTIVATED",IF(J1913&lt;&gt;"","?FAMILIAR",IF(F1913="NEW",IF(ISNA(VLOOKUP(E1913,#REF!,1,FALSE())),"?TYPE_IDENTIFIABLE","?REFERENTIAL"),"_")))))</f>
        <v> </v>
      </c>
      <c r="H1913" s="25" t="str">
        <f>IF(J1913&lt;&gt;1,"",IF(I1913="SBJ","CB","?"))</f>
        <v> </v>
      </c>
      <c r="I1913" s="26" t="str">
        <f>IF(OR(E1913="",E1913="!!!",F1913="NEW"),"",INDEX(B1912:B$2,-1+SUMPRODUCT(MAX(ROW(E1912:E$2)*(E1913=E1912:E$2)))))</f>
        <v> </v>
      </c>
      <c r="J1913" s="26" t="str">
        <f>IF(OR(E1913="",E1913="!!!",F1913="NEW"),"",COUNTBLANK(OFFSET(A$1,,,SUMPRODUCT(MAX(ROW(E$2:E1913)*(E1913=E$2:E1913)))))-COUNTBLANK(OFFSET(A$1,,,SUMPRODUCT(MAX(ROW(E$1:E1912)*(E2=E$1:E1912))))))</f>
        <v> </v>
      </c>
      <c r="K1913" s="26" t="str">
        <f>IF(OR(E1913="",E1913="!!!",F1913="NEW"),"",INDEX(J$1:J1912,SUMPRODUCT(MAX(ROW(E$1:E1912)*(E1913=E$1:E1912)))))</f>
        <v> </v>
      </c>
      <c r="L1913" s="27"/>
    </row>
    <row r="1914" spans="1:12">
      <c r="A1914" s="20" t="s">
        <v>1199</v>
      </c>
      <c r="E1914" s="22">
        <f>IF(D1914="?OLD","!!!","")</f>
        <v/>
      </c>
      <c r="F1914" s="23" t="str">
        <f>IF(OR(E1914="",E1914="!!!"),"",IF(NOT(ISNA(VLOOKUP(E1914,E$1:E1913,1,FALSE()))),"OLD",IF(AND(E1914&lt;&gt;"",E1914&lt;&gt;"!!!"),"NEW","")))</f>
        <v> </v>
      </c>
      <c r="G1914" s="24" t="str">
        <f>IF(OR(E1914="",E1914="!!!"),"",IF(OR(J1914=0,AND(J1914=1,K1914=1),AND(J1914=1,I1914="SBJ"),AND(J1914=1,I1914=0)),"?IN_FOCUS",IF(J1914&lt;=2,"?ACTIVATED",IF(J1914&lt;&gt;"","?FAMILIAR",IF(F1914="NEW",IF(ISNA(VLOOKUP(E1914,#REF!,1,FALSE())),"?TYPE_IDENTIFIABLE","?REFERENTIAL"),"_")))))</f>
        <v> </v>
      </c>
      <c r="H1914" s="25" t="str">
        <f>IF(J1914&lt;&gt;1,"",IF(I1914="SBJ","CB","?"))</f>
        <v> </v>
      </c>
      <c r="I1914" s="26" t="str">
        <f>IF(OR(E1914="",E1914="!!!",F1914="NEW"),"",INDEX(B1913:B$2,-1+SUMPRODUCT(MAX(ROW(E1913:E$2)*(E1914=E1913:E$2)))))</f>
        <v> </v>
      </c>
      <c r="J1914" s="26" t="str">
        <f>IF(OR(E1914="",E1914="!!!",F1914="NEW"),"",COUNTBLANK(OFFSET(A$1,,,SUMPRODUCT(MAX(ROW(E$2:E1914)*(E1914=E$2:E1914)))))-COUNTBLANK(OFFSET(A$1,,,SUMPRODUCT(MAX(ROW(E$1:E1913)*(E2=E$1:E1913))))))</f>
        <v> </v>
      </c>
      <c r="K1914" s="26" t="str">
        <f>IF(OR(E1914="",E1914="!!!",F1914="NEW"),"",INDEX(J$1:J1913,SUMPRODUCT(MAX(ROW(E$1:E1913)*(E1914=E$1:E1913)))))</f>
        <v> </v>
      </c>
      <c r="L1914" s="27"/>
    </row>
    <row r="1915" spans="1:12">
      <c r="A1915" s="20" t="s">
        <v>1142</v>
      </c>
      <c r="E1915" s="22">
        <f>IF(D1915="?OLD","!!!","")</f>
        <v/>
      </c>
      <c r="F1915" s="23" t="str">
        <f>IF(OR(E1915="",E1915="!!!"),"",IF(NOT(ISNA(VLOOKUP(E1915,E$1:E1914,1,FALSE()))),"OLD",IF(AND(E1915&lt;&gt;"",E1915&lt;&gt;"!!!"),"NEW","")))</f>
        <v> </v>
      </c>
      <c r="G1915" s="24" t="str">
        <f>IF(OR(E1915="",E1915="!!!"),"",IF(OR(J1915=0,AND(J1915=1,K1915=1),AND(J1915=1,I1915="SBJ"),AND(J1915=1,I1915=0)),"?IN_FOCUS",IF(J1915&lt;=2,"?ACTIVATED",IF(J1915&lt;&gt;"","?FAMILIAR",IF(F1915="NEW",IF(ISNA(VLOOKUP(E1915,#REF!,1,FALSE())),"?TYPE_IDENTIFIABLE","?REFERENTIAL"),"_")))))</f>
        <v> </v>
      </c>
      <c r="H1915" s="25" t="str">
        <f>IF(J1915&lt;&gt;1,"",IF(I1915="SBJ","CB","?"))</f>
        <v> </v>
      </c>
      <c r="I1915" s="26" t="str">
        <f>IF(OR(E1915="",E1915="!!!",F1915="NEW"),"",INDEX(B1914:B$2,-1+SUMPRODUCT(MAX(ROW(E1914:E$2)*(E1915=E1914:E$2)))))</f>
        <v> </v>
      </c>
      <c r="J1915" s="26" t="str">
        <f>IF(OR(E1915="",E1915="!!!",F1915="NEW"),"",COUNTBLANK(OFFSET(A$1,,,SUMPRODUCT(MAX(ROW(E$2:E1915)*(E1915=E$2:E1915)))))-COUNTBLANK(OFFSET(A$1,,,SUMPRODUCT(MAX(ROW(E$1:E1914)*(E2=E$1:E1914))))))</f>
        <v> </v>
      </c>
      <c r="K1915" s="26" t="str">
        <f>IF(OR(E1915="",E1915="!!!",F1915="NEW"),"",INDEX(J$1:J1914,SUMPRODUCT(MAX(ROW(E$1:E1914)*(E1915=E$1:E1914)))))</f>
        <v> </v>
      </c>
      <c r="L1915" s="27"/>
    </row>
    <row r="1916" spans="1:12">
      <c r="A1916" s="20" t="s">
        <v>1666</v>
      </c>
      <c r="E1916" s="22">
        <f>IF(D1916="?OLD","!!!","")</f>
        <v/>
      </c>
      <c r="F1916" s="23" t="str">
        <f>IF(OR(E1916="",E1916="!!!"),"",IF(NOT(ISNA(VLOOKUP(E1916,E$1:E1915,1,FALSE()))),"OLD",IF(AND(E1916&lt;&gt;"",E1916&lt;&gt;"!!!"),"NEW","")))</f>
        <v> </v>
      </c>
      <c r="G1916" s="24" t="str">
        <f>IF(OR(E1916="",E1916="!!!"),"",IF(OR(J1916=0,AND(J1916=1,K1916=1),AND(J1916=1,I1916="SBJ"),AND(J1916=1,I1916=0)),"?IN_FOCUS",IF(J1916&lt;=2,"?ACTIVATED",IF(J1916&lt;&gt;"","?FAMILIAR",IF(F1916="NEW",IF(ISNA(VLOOKUP(E1916,#REF!,1,FALSE())),"?TYPE_IDENTIFIABLE","?REFERENTIAL"),"_")))))</f>
        <v> </v>
      </c>
      <c r="H1916" s="25" t="str">
        <f>IF(J1916&lt;&gt;1,"",IF(I1916="SBJ","CB","?"))</f>
        <v> </v>
      </c>
      <c r="I1916" s="26" t="str">
        <f>IF(OR(E1916="",E1916="!!!",F1916="NEW"),"",INDEX(B1915:B$2,-1+SUMPRODUCT(MAX(ROW(E1915:E$2)*(E1916=E1915:E$2)))))</f>
        <v> </v>
      </c>
      <c r="J1916" s="26" t="str">
        <f>IF(OR(E1916="",E1916="!!!",F1916="NEW"),"",COUNTBLANK(OFFSET(A$1,,,SUMPRODUCT(MAX(ROW(E$2:E1916)*(E1916=E$2:E1916)))))-COUNTBLANK(OFFSET(A$1,,,SUMPRODUCT(MAX(ROW(E$1:E1915)*(E2=E$1:E1915))))))</f>
        <v> </v>
      </c>
      <c r="K1916" s="26" t="str">
        <f>IF(OR(E1916="",E1916="!!!",F1916="NEW"),"",INDEX(J$1:J1915,SUMPRODUCT(MAX(ROW(E$1:E1915)*(E1916=E$1:E1915)))))</f>
        <v> </v>
      </c>
      <c r="L1916" s="27"/>
    </row>
    <row r="1917" spans="1:12">
      <c r="A1917" s="20" t="s">
        <v>1324</v>
      </c>
      <c r="E1917" s="22">
        <f>IF(D1917="?OLD","!!!","")</f>
        <v/>
      </c>
      <c r="F1917" s="23" t="str">
        <f>IF(OR(E1917="",E1917="!!!"),"",IF(NOT(ISNA(VLOOKUP(E1917,E$1:E1916,1,FALSE()))),"OLD",IF(AND(E1917&lt;&gt;"",E1917&lt;&gt;"!!!"),"NEW","")))</f>
        <v> </v>
      </c>
      <c r="G1917" s="24" t="str">
        <f>IF(OR(E1917="",E1917="!!!"),"",IF(OR(J1917=0,AND(J1917=1,K1917=1),AND(J1917=1,I1917="SBJ"),AND(J1917=1,I1917=0)),"?IN_FOCUS",IF(J1917&lt;=2,"?ACTIVATED",IF(J1917&lt;&gt;"","?FAMILIAR",IF(F1917="NEW",IF(ISNA(VLOOKUP(E1917,#REF!,1,FALSE())),"?TYPE_IDENTIFIABLE","?REFERENTIAL"),"_")))))</f>
        <v> </v>
      </c>
      <c r="H1917" s="25" t="str">
        <f>IF(J1917&lt;&gt;1,"",IF(I1917="SBJ","CB","?"))</f>
        <v> </v>
      </c>
      <c r="I1917" s="26" t="str">
        <f>IF(OR(E1917="",E1917="!!!",F1917="NEW"),"",INDEX(B1916:B$2,-1+SUMPRODUCT(MAX(ROW(E1916:E$2)*(E1917=E1916:E$2)))))</f>
        <v> </v>
      </c>
      <c r="J1917" s="26" t="str">
        <f>IF(OR(E1917="",E1917="!!!",F1917="NEW"),"",COUNTBLANK(OFFSET(A$1,,,SUMPRODUCT(MAX(ROW(E$2:E1917)*(E1917=E$2:E1917)))))-COUNTBLANK(OFFSET(A$1,,,SUMPRODUCT(MAX(ROW(E$1:E1916)*(E2=E$1:E1916))))))</f>
        <v> </v>
      </c>
      <c r="K1917" s="26" t="str">
        <f>IF(OR(E1917="",E1917="!!!",F1917="NEW"),"",INDEX(J$1:J1916,SUMPRODUCT(MAX(ROW(E$1:E1916)*(E1917=E$1:E1916)))))</f>
        <v> </v>
      </c>
      <c r="L1917" s="27"/>
    </row>
    <row r="1918" spans="1:12">
      <c r="A1918" s="20" t="s">
        <v>1667</v>
      </c>
      <c r="B1918" s="21" t="s">
        <v>1085</v>
      </c>
      <c r="C1918" s="21" t="s">
        <v>1013</v>
      </c>
      <c r="D1918" s="21" t="s">
        <v>1007</v>
      </c>
      <c r="E1918" s="22">
        <f>IF(D1918="?OLD","!!!","")</f>
        <v/>
      </c>
      <c r="F1918" s="23" t="str">
        <f>IF(OR(E1918="",E1918="!!!"),"",IF(NOT(ISNA(VLOOKUP(E1918,E$1:E1917,1,FALSE()))),"OLD",IF(AND(E1918&lt;&gt;"",E1918&lt;&gt;"!!!"),"NEW","")))</f>
        <v> </v>
      </c>
      <c r="G1918" s="24" t="str">
        <f>IF(OR(E1918="",E1918="!!!"),"",IF(OR(J1918=0,AND(J1918=1,K1918=1),AND(J1918=1,I1918="SBJ"),AND(J1918=1,I1918=0)),"?IN_FOCUS",IF(J1918&lt;=2,"?ACTIVATED",IF(J1918&lt;&gt;"","?FAMILIAR",IF(F1918="NEW",IF(ISNA(VLOOKUP(E1918,#REF!,1,FALSE())),"?TYPE_IDENTIFIABLE","?REFERENTIAL"),"_")))))</f>
        <v> </v>
      </c>
      <c r="H1918" s="25" t="str">
        <f>IF(J1918&lt;&gt;1,"",IF(I1918="SBJ","CB","?"))</f>
        <v> </v>
      </c>
      <c r="I1918" s="26" t="str">
        <f>IF(OR(E1918="",E1918="!!!",F1918="NEW"),"",INDEX(B1917:B$2,-1+SUMPRODUCT(MAX(ROW(E1917:E$2)*(E1918=E1917:E$2)))))</f>
        <v> </v>
      </c>
      <c r="J1918" s="26" t="str">
        <f>IF(OR(E1918="",E1918="!!!",F1918="NEW"),"",COUNTBLANK(OFFSET(A$1,,,SUMPRODUCT(MAX(ROW(E$2:E1918)*(E1918=E$2:E1918)))))-COUNTBLANK(OFFSET(A$1,,,SUMPRODUCT(MAX(ROW(E$1:E1917)*(E2=E$1:E1917))))))</f>
        <v> </v>
      </c>
      <c r="K1918" s="26" t="str">
        <f>IF(OR(E1918="",E1918="!!!",F1918="NEW"),"",INDEX(J$1:J1917,SUMPRODUCT(MAX(ROW(E$1:E1917)*(E1918=E$1:E1917)))))</f>
        <v> </v>
      </c>
      <c r="L1918" s="27"/>
    </row>
    <row r="1919" spans="1:12">
      <c r="A1919" s="20" t="s">
        <v>1036</v>
      </c>
      <c r="E1919" s="22">
        <f>IF(D1919="?OLD","!!!","")</f>
        <v/>
      </c>
      <c r="F1919" s="23" t="str">
        <f>IF(OR(E1919="",E1919="!!!"),"",IF(NOT(ISNA(VLOOKUP(E1919,E$1:E1918,1,FALSE()))),"OLD",IF(AND(E1919&lt;&gt;"",E1919&lt;&gt;"!!!"),"NEW","")))</f>
        <v> </v>
      </c>
      <c r="G1919" s="24" t="str">
        <f>IF(OR(E1919="",E1919="!!!"),"",IF(OR(J1919=0,AND(J1919=1,K1919=1),AND(J1919=1,I1919="SBJ"),AND(J1919=1,I1919=0)),"?IN_FOCUS",IF(J1919&lt;=2,"?ACTIVATED",IF(J1919&lt;&gt;"","?FAMILIAR",IF(F1919="NEW",IF(ISNA(VLOOKUP(E1919,#REF!,1,FALSE())),"?TYPE_IDENTIFIABLE","?REFERENTIAL"),"_")))))</f>
        <v> </v>
      </c>
      <c r="H1919" s="25" t="str">
        <f>IF(J1919&lt;&gt;1,"",IF(I1919="SBJ","CB","?"))</f>
        <v> </v>
      </c>
      <c r="I1919" s="26" t="str">
        <f>IF(OR(E1919="",E1919="!!!",F1919="NEW"),"",INDEX(B1918:B$2,-1+SUMPRODUCT(MAX(ROW(E1918:E$2)*(E1919=E1918:E$2)))))</f>
        <v> </v>
      </c>
      <c r="J1919" s="26" t="str">
        <f>IF(OR(E1919="",E1919="!!!",F1919="NEW"),"",COUNTBLANK(OFFSET(A$1,,,SUMPRODUCT(MAX(ROW(E$2:E1919)*(E1919=E$2:E1919)))))-COUNTBLANK(OFFSET(A$1,,,SUMPRODUCT(MAX(ROW(E$1:E1918)*(E2=E$1:E1918))))))</f>
        <v> </v>
      </c>
      <c r="K1919" s="26" t="str">
        <f>IF(OR(E1919="",E1919="!!!",F1919="NEW"),"",INDEX(J$1:J1918,SUMPRODUCT(MAX(ROW(E$1:E1918)*(E1919=E$1:E1918)))))</f>
        <v> </v>
      </c>
      <c r="L1919" s="27"/>
    </row>
    <row r="1920" spans="1:12">
      <c r="A1920" s="20" t="s">
        <v>1668</v>
      </c>
      <c r="B1920" s="21" t="s">
        <v>1022</v>
      </c>
      <c r="C1920" s="21" t="s">
        <v>1048</v>
      </c>
      <c r="E1920" s="22">
        <f>IF(D1920="?OLD","!!!","")</f>
        <v/>
      </c>
      <c r="F1920" s="23" t="str">
        <f>IF(OR(E1920="",E1920="!!!"),"",IF(NOT(ISNA(VLOOKUP(E1920,E$1:E1919,1,FALSE()))),"OLD",IF(AND(E1920&lt;&gt;"",E1920&lt;&gt;"!!!"),"NEW","")))</f>
        <v> </v>
      </c>
      <c r="G1920" s="24" t="str">
        <f>IF(OR(E1920="",E1920="!!!"),"",IF(OR(J1920=0,AND(J1920=1,K1920=1),AND(J1920=1,I1920="SBJ"),AND(J1920=1,I1920=0)),"?IN_FOCUS",IF(J1920&lt;=2,"?ACTIVATED",IF(J1920&lt;&gt;"","?FAMILIAR",IF(F1920="NEW",IF(ISNA(VLOOKUP(E1920,#REF!,1,FALSE())),"?TYPE_IDENTIFIABLE","?REFERENTIAL"),"_")))))</f>
        <v> </v>
      </c>
      <c r="H1920" s="25" t="str">
        <f>IF(J1920&lt;&gt;1,"",IF(I1920="SBJ","CB","?"))</f>
        <v> </v>
      </c>
      <c r="I1920" s="26" t="str">
        <f>IF(OR(E1920="",E1920="!!!",F1920="NEW"),"",INDEX(B1919:B$2,-1+SUMPRODUCT(MAX(ROW(E1919:E$2)*(E1920=E1919:E$2)))))</f>
        <v> </v>
      </c>
      <c r="J1920" s="26" t="str">
        <f>IF(OR(E1920="",E1920="!!!",F1920="NEW"),"",COUNTBLANK(OFFSET(A$1,,,SUMPRODUCT(MAX(ROW(E$2:E1920)*(E1920=E$2:E1920)))))-COUNTBLANK(OFFSET(A$1,,,SUMPRODUCT(MAX(ROW(E$1:E1919)*(E2=E$1:E1919))))))</f>
        <v> </v>
      </c>
      <c r="K1920" s="26" t="str">
        <f>IF(OR(E1920="",E1920="!!!",F1920="NEW"),"",INDEX(J$1:J1919,SUMPRODUCT(MAX(ROW(E$1:E1919)*(E1920=E$1:E1919)))))</f>
        <v> </v>
      </c>
      <c r="L1920" s="27"/>
    </row>
    <row r="1921" spans="1:12">
      <c r="A1921" s="20" t="s">
        <v>1018</v>
      </c>
      <c r="E1921" s="22">
        <f>IF(D1921="?OLD","!!!","")</f>
        <v/>
      </c>
      <c r="F1921" s="23" t="str">
        <f>IF(OR(E1921="",E1921="!!!"),"",IF(NOT(ISNA(VLOOKUP(E1921,E$1:E1920,1,FALSE()))),"OLD",IF(AND(E1921&lt;&gt;"",E1921&lt;&gt;"!!!"),"NEW","")))</f>
        <v> </v>
      </c>
      <c r="G1921" s="24" t="str">
        <f>IF(OR(E1921="",E1921="!!!"),"",IF(OR(J1921=0,AND(J1921=1,K1921=1),AND(J1921=1,I1921="SBJ"),AND(J1921=1,I1921=0)),"?IN_FOCUS",IF(J1921&lt;=2,"?ACTIVATED",IF(J1921&lt;&gt;"","?FAMILIAR",IF(F1921="NEW",IF(ISNA(VLOOKUP(E1921,#REF!,1,FALSE())),"?TYPE_IDENTIFIABLE","?REFERENTIAL"),"_")))))</f>
        <v> </v>
      </c>
      <c r="H1921" s="25" t="str">
        <f>IF(J1921&lt;&gt;1,"",IF(I1921="SBJ","CB","?"))</f>
        <v> </v>
      </c>
      <c r="I1921" s="26" t="str">
        <f>IF(OR(E1921="",E1921="!!!",F1921="NEW"),"",INDEX(B1920:B$2,-1+SUMPRODUCT(MAX(ROW(E1920:E$2)*(E1921=E1920:E$2)))))</f>
        <v> </v>
      </c>
      <c r="J1921" s="26" t="str">
        <f>IF(OR(E1921="",E1921="!!!",F1921="NEW"),"",COUNTBLANK(OFFSET(A$1,,,SUMPRODUCT(MAX(ROW(E$2:E1921)*(E1921=E$2:E1921)))))-COUNTBLANK(OFFSET(A$1,,,SUMPRODUCT(MAX(ROW(E$1:E1920)*(E2=E$1:E1920))))))</f>
        <v> </v>
      </c>
      <c r="K1921" s="26" t="str">
        <f>IF(OR(E1921="",E1921="!!!",F1921="NEW"),"",INDEX(J$1:J1920,SUMPRODUCT(MAX(ROW(E$1:E1920)*(E1921=E$1:E1920)))))</f>
        <v> </v>
      </c>
      <c r="L1921" s="27"/>
    </row>
    <row r="1922" spans="1:12">
      <c r="A1922" s="20" t="s">
        <v>1132</v>
      </c>
      <c r="E1922" s="22">
        <f>IF(D1922="?OLD","!!!","")</f>
        <v/>
      </c>
      <c r="F1922" s="23" t="str">
        <f>IF(OR(E1922="",E1922="!!!"),"",IF(NOT(ISNA(VLOOKUP(E1922,E$1:E1921,1,FALSE()))),"OLD",IF(AND(E1922&lt;&gt;"",E1922&lt;&gt;"!!!"),"NEW","")))</f>
        <v> </v>
      </c>
      <c r="G1922" s="24" t="str">
        <f>IF(OR(E1922="",E1922="!!!"),"",IF(OR(J1922=0,AND(J1922=1,K1922=1),AND(J1922=1,I1922="SBJ"),AND(J1922=1,I1922=0)),"?IN_FOCUS",IF(J1922&lt;=2,"?ACTIVATED",IF(J1922&lt;&gt;"","?FAMILIAR",IF(F1922="NEW",IF(ISNA(VLOOKUP(E1922,#REF!,1,FALSE())),"?TYPE_IDENTIFIABLE","?REFERENTIAL"),"_")))))</f>
        <v> </v>
      </c>
      <c r="H1922" s="25" t="str">
        <f>IF(J1922&lt;&gt;1,"",IF(I1922="SBJ","CB","?"))</f>
        <v> </v>
      </c>
      <c r="I1922" s="26" t="str">
        <f>IF(OR(E1922="",E1922="!!!",F1922="NEW"),"",INDEX(B1921:B$2,-1+SUMPRODUCT(MAX(ROW(E1921:E$2)*(E1922=E1921:E$2)))))</f>
        <v> </v>
      </c>
      <c r="J1922" s="26" t="str">
        <f>IF(OR(E1922="",E1922="!!!",F1922="NEW"),"",COUNTBLANK(OFFSET(A$1,,,SUMPRODUCT(MAX(ROW(E$2:E1922)*(E1922=E$2:E1922)))))-COUNTBLANK(OFFSET(A$1,,,SUMPRODUCT(MAX(ROW(E$1:E1921)*(E2=E$1:E1921))))))</f>
        <v> </v>
      </c>
      <c r="K1922" s="26" t="str">
        <f>IF(OR(E1922="",E1922="!!!",F1922="NEW"),"",INDEX(J$1:J1921,SUMPRODUCT(MAX(ROW(E$1:E1921)*(E1922=E$1:E1921)))))</f>
        <v> </v>
      </c>
      <c r="L1922" s="27"/>
    </row>
    <row r="1923" spans="1:12">
      <c r="A1923" s="20" t="s">
        <v>1669</v>
      </c>
      <c r="B1923" s="21" t="s">
        <v>1120</v>
      </c>
      <c r="C1923" s="21" t="s">
        <v>1082</v>
      </c>
      <c r="D1923" s="21" t="s">
        <v>1007</v>
      </c>
      <c r="E1923" s="22">
        <f>IF(D1923="?OLD","!!!","")</f>
        <v/>
      </c>
      <c r="F1923" s="23" t="str">
        <f>IF(OR(E1923="",E1923="!!!"),"",IF(NOT(ISNA(VLOOKUP(E1923,E$1:E1922,1,FALSE()))),"OLD",IF(AND(E1923&lt;&gt;"",E1923&lt;&gt;"!!!"),"NEW","")))</f>
        <v> </v>
      </c>
      <c r="G1923" s="24" t="str">
        <f>IF(OR(E1923="",E1923="!!!"),"",IF(OR(J1923=0,AND(J1923=1,K1923=1),AND(J1923=1,I1923="SBJ"),AND(J1923=1,I1923=0)),"?IN_FOCUS",IF(J1923&lt;=2,"?ACTIVATED",IF(J1923&lt;&gt;"","?FAMILIAR",IF(F1923="NEW",IF(ISNA(VLOOKUP(E1923,#REF!,1,FALSE())),"?TYPE_IDENTIFIABLE","?REFERENTIAL"),"_")))))</f>
        <v> </v>
      </c>
      <c r="H1923" s="25" t="str">
        <f>IF(J1923&lt;&gt;1,"",IF(I1923="SBJ","CB","?"))</f>
        <v> </v>
      </c>
      <c r="I1923" s="26" t="str">
        <f>IF(OR(E1923="",E1923="!!!",F1923="NEW"),"",INDEX(B1922:B$2,-1+SUMPRODUCT(MAX(ROW(E1922:E$2)*(E1923=E1922:E$2)))))</f>
        <v> </v>
      </c>
      <c r="J1923" s="26" t="str">
        <f>IF(OR(E1923="",E1923="!!!",F1923="NEW"),"",COUNTBLANK(OFFSET(A$1,,,SUMPRODUCT(MAX(ROW(E$2:E1923)*(E1923=E$2:E1923)))))-COUNTBLANK(OFFSET(A$1,,,SUMPRODUCT(MAX(ROW(E$1:E1922)*(E2=E$1:E1922))))))</f>
        <v> </v>
      </c>
      <c r="K1923" s="26" t="str">
        <f>IF(OR(E1923="",E1923="!!!",F1923="NEW"),"",INDEX(J$1:J1922,SUMPRODUCT(MAX(ROW(E$1:E1922)*(E1923=E$1:E1922)))))</f>
        <v> </v>
      </c>
      <c r="L1923" s="27"/>
    </row>
    <row r="1924" spans="1:12">
      <c r="A1924" s="20" t="s">
        <v>1142</v>
      </c>
      <c r="E1924" s="22">
        <f>IF(D1924="?OLD","!!!","")</f>
        <v/>
      </c>
      <c r="F1924" s="23" t="str">
        <f>IF(OR(E1924="",E1924="!!!"),"",IF(NOT(ISNA(VLOOKUP(E1924,E$1:E1923,1,FALSE()))),"OLD",IF(AND(E1924&lt;&gt;"",E1924&lt;&gt;"!!!"),"NEW","")))</f>
        <v> </v>
      </c>
      <c r="G1924" s="24" t="str">
        <f>IF(OR(E1924="",E1924="!!!"),"",IF(OR(J1924=0,AND(J1924=1,K1924=1),AND(J1924=1,I1924="SBJ"),AND(J1924=1,I1924=0)),"?IN_FOCUS",IF(J1924&lt;=2,"?ACTIVATED",IF(J1924&lt;&gt;"","?FAMILIAR",IF(F1924="NEW",IF(ISNA(VLOOKUP(E1924,#REF!,1,FALSE())),"?TYPE_IDENTIFIABLE","?REFERENTIAL"),"_")))))</f>
        <v> </v>
      </c>
      <c r="H1924" s="25" t="str">
        <f>IF(J1924&lt;&gt;1,"",IF(I1924="SBJ","CB","?"))</f>
        <v> </v>
      </c>
      <c r="I1924" s="26" t="str">
        <f>IF(OR(E1924="",E1924="!!!",F1924="NEW"),"",INDEX(B1923:B$2,-1+SUMPRODUCT(MAX(ROW(E1923:E$2)*(E1924=E1923:E$2)))))</f>
        <v> </v>
      </c>
      <c r="J1924" s="26" t="str">
        <f>IF(OR(E1924="",E1924="!!!",F1924="NEW"),"",COUNTBLANK(OFFSET(A$1,,,SUMPRODUCT(MAX(ROW(E$2:E1924)*(E1924=E$2:E1924)))))-COUNTBLANK(OFFSET(A$1,,,SUMPRODUCT(MAX(ROW(E$1:E1923)*(E2=E$1:E1923))))))</f>
        <v> </v>
      </c>
      <c r="K1924" s="26" t="str">
        <f>IF(OR(E1924="",E1924="!!!",F1924="NEW"),"",INDEX(J$1:J1923,SUMPRODUCT(MAX(ROW(E$1:E1923)*(E1924=E$1:E1923)))))</f>
        <v> </v>
      </c>
      <c r="L1924" s="27"/>
    </row>
    <row r="1925" spans="1:12">
      <c r="A1925" s="20" t="s">
        <v>1333</v>
      </c>
      <c r="E1925" s="22">
        <f>IF(D1925="?OLD","!!!","")</f>
        <v/>
      </c>
      <c r="F1925" s="23" t="str">
        <f>IF(OR(E1925="",E1925="!!!"),"",IF(NOT(ISNA(VLOOKUP(E1925,E$1:E1924,1,FALSE()))),"OLD",IF(AND(E1925&lt;&gt;"",E1925&lt;&gt;"!!!"),"NEW","")))</f>
        <v> </v>
      </c>
      <c r="G1925" s="24" t="str">
        <f>IF(OR(E1925="",E1925="!!!"),"",IF(OR(J1925=0,AND(J1925=1,K1925=1),AND(J1925=1,I1925="SBJ"),AND(J1925=1,I1925=0)),"?IN_FOCUS",IF(J1925&lt;=2,"?ACTIVATED",IF(J1925&lt;&gt;"","?FAMILIAR",IF(F1925="NEW",IF(ISNA(VLOOKUP(E1925,#REF!,1,FALSE())),"?TYPE_IDENTIFIABLE","?REFERENTIAL"),"_")))))</f>
        <v> </v>
      </c>
      <c r="H1925" s="25" t="str">
        <f>IF(J1925&lt;&gt;1,"",IF(I1925="SBJ","CB","?"))</f>
        <v> </v>
      </c>
      <c r="I1925" s="26" t="str">
        <f>IF(OR(E1925="",E1925="!!!",F1925="NEW"),"",INDEX(B1924:B$2,-1+SUMPRODUCT(MAX(ROW(E1924:E$2)*(E1925=E1924:E$2)))))</f>
        <v> </v>
      </c>
      <c r="J1925" s="26" t="str">
        <f>IF(OR(E1925="",E1925="!!!",F1925="NEW"),"",COUNTBLANK(OFFSET(A$1,,,SUMPRODUCT(MAX(ROW(E$2:E1925)*(E1925=E$2:E1925)))))-COUNTBLANK(OFFSET(A$1,,,SUMPRODUCT(MAX(ROW(E$1:E1924)*(E2=E$1:E1924))))))</f>
        <v> </v>
      </c>
      <c r="K1925" s="26" t="str">
        <f>IF(OR(E1925="",E1925="!!!",F1925="NEW"),"",INDEX(J$1:J1924,SUMPRODUCT(MAX(ROW(E$1:E1924)*(E1925=E$1:E1924)))))</f>
        <v> </v>
      </c>
      <c r="L1925" s="27"/>
    </row>
    <row r="1926" spans="1:12">
      <c r="A1926" s="20" t="s">
        <v>1670</v>
      </c>
      <c r="E1926" s="22">
        <f>IF(D1926="?OLD","!!!","")</f>
        <v/>
      </c>
      <c r="F1926" s="23" t="str">
        <f>IF(OR(E1926="",E1926="!!!"),"",IF(NOT(ISNA(VLOOKUP(E1926,E$1:E1925,1,FALSE()))),"OLD",IF(AND(E1926&lt;&gt;"",E1926&lt;&gt;"!!!"),"NEW","")))</f>
        <v> </v>
      </c>
      <c r="G1926" s="24" t="str">
        <f>IF(OR(E1926="",E1926="!!!"),"",IF(OR(J1926=0,AND(J1926=1,K1926=1),AND(J1926=1,I1926="SBJ"),AND(J1926=1,I1926=0)),"?IN_FOCUS",IF(J1926&lt;=2,"?ACTIVATED",IF(J1926&lt;&gt;"","?FAMILIAR",IF(F1926="NEW",IF(ISNA(VLOOKUP(E1926,#REF!,1,FALSE())),"?TYPE_IDENTIFIABLE","?REFERENTIAL"),"_")))))</f>
        <v> </v>
      </c>
      <c r="H1926" s="25" t="str">
        <f>IF(J1926&lt;&gt;1,"",IF(I1926="SBJ","CB","?"))</f>
        <v> </v>
      </c>
      <c r="I1926" s="26" t="str">
        <f>IF(OR(E1926="",E1926="!!!",F1926="NEW"),"",INDEX(B1925:B$2,-1+SUMPRODUCT(MAX(ROW(E1925:E$2)*(E1926=E1925:E$2)))))</f>
        <v> </v>
      </c>
      <c r="J1926" s="26" t="str">
        <f>IF(OR(E1926="",E1926="!!!",F1926="NEW"),"",COUNTBLANK(OFFSET(A$1,,,SUMPRODUCT(MAX(ROW(E$2:E1926)*(E1926=E$2:E1926)))))-COUNTBLANK(OFFSET(A$1,,,SUMPRODUCT(MAX(ROW(E$1:E1925)*(E2=E$1:E1925))))))</f>
        <v> </v>
      </c>
      <c r="K1926" s="26" t="str">
        <f>IF(OR(E1926="",E1926="!!!",F1926="NEW"),"",INDEX(J$1:J1925,SUMPRODUCT(MAX(ROW(E$1:E1925)*(E1926=E$1:E1925)))))</f>
        <v> </v>
      </c>
      <c r="L1926" s="27"/>
    </row>
    <row r="1927" spans="1:12">
      <c r="A1927" s="20" t="s">
        <v>1036</v>
      </c>
      <c r="E1927" s="22">
        <f>IF(D1927="?OLD","!!!","")</f>
        <v/>
      </c>
      <c r="F1927" s="23" t="str">
        <f>IF(OR(E1927="",E1927="!!!"),"",IF(NOT(ISNA(VLOOKUP(E1927,E$1:E1926,1,FALSE()))),"OLD",IF(AND(E1927&lt;&gt;"",E1927&lt;&gt;"!!!"),"NEW","")))</f>
        <v> </v>
      </c>
      <c r="G1927" s="24" t="str">
        <f>IF(OR(E1927="",E1927="!!!"),"",IF(OR(J1927=0,AND(J1927=1,K1927=1),AND(J1927=1,I1927="SBJ"),AND(J1927=1,I1927=0)),"?IN_FOCUS",IF(J1927&lt;=2,"?ACTIVATED",IF(J1927&lt;&gt;"","?FAMILIAR",IF(F1927="NEW",IF(ISNA(VLOOKUP(E1927,#REF!,1,FALSE())),"?TYPE_IDENTIFIABLE","?REFERENTIAL"),"_")))))</f>
        <v> </v>
      </c>
      <c r="H1927" s="25" t="str">
        <f>IF(J1927&lt;&gt;1,"",IF(I1927="SBJ","CB","?"))</f>
        <v> </v>
      </c>
      <c r="I1927" s="26" t="str">
        <f>IF(OR(E1927="",E1927="!!!",F1927="NEW"),"",INDEX(B1926:B$2,-1+SUMPRODUCT(MAX(ROW(E1926:E$2)*(E1927=E1926:E$2)))))</f>
        <v> </v>
      </c>
      <c r="J1927" s="26" t="str">
        <f>IF(OR(E1927="",E1927="!!!",F1927="NEW"),"",COUNTBLANK(OFFSET(A$1,,,SUMPRODUCT(MAX(ROW(E$2:E1927)*(E1927=E$2:E1927)))))-COUNTBLANK(OFFSET(A$1,,,SUMPRODUCT(MAX(ROW(E$1:E1926)*(E2=E$1:E1926))))))</f>
        <v> </v>
      </c>
      <c r="K1927" s="26" t="str">
        <f>IF(OR(E1927="",E1927="!!!",F1927="NEW"),"",INDEX(J$1:J1926,SUMPRODUCT(MAX(ROW(E$1:E1926)*(E1927=E$1:E1926)))))</f>
        <v> </v>
      </c>
      <c r="L1927" s="27"/>
    </row>
    <row r="1928" spans="1:12">
      <c r="A1928" s="20" t="s">
        <v>1020</v>
      </c>
      <c r="E1928" s="22">
        <f>IF(D1928="?OLD","!!!","")</f>
        <v/>
      </c>
      <c r="F1928" s="23" t="str">
        <f>IF(OR(E1928="",E1928="!!!"),"",IF(NOT(ISNA(VLOOKUP(E1928,E$1:E1927,1,FALSE()))),"OLD",IF(AND(E1928&lt;&gt;"",E1928&lt;&gt;"!!!"),"NEW","")))</f>
        <v> </v>
      </c>
      <c r="G1928" s="24" t="str">
        <f>IF(OR(E1928="",E1928="!!!"),"",IF(OR(J1928=0,AND(J1928=1,K1928=1),AND(J1928=1,I1928="SBJ"),AND(J1928=1,I1928=0)),"?IN_FOCUS",IF(J1928&lt;=2,"?ACTIVATED",IF(J1928&lt;&gt;"","?FAMILIAR",IF(F1928="NEW",IF(ISNA(VLOOKUP(E1928,#REF!,1,FALSE())),"?TYPE_IDENTIFIABLE","?REFERENTIAL"),"_")))))</f>
        <v> </v>
      </c>
      <c r="H1928" s="25" t="str">
        <f>IF(J1928&lt;&gt;1,"",IF(I1928="SBJ","CB","?"))</f>
        <v> </v>
      </c>
      <c r="I1928" s="26" t="str">
        <f>IF(OR(E1928="",E1928="!!!",F1928="NEW"),"",INDEX(B1927:B$2,-1+SUMPRODUCT(MAX(ROW(E1927:E$2)*(E1928=E1927:E$2)))))</f>
        <v> </v>
      </c>
      <c r="J1928" s="26" t="str">
        <f>IF(OR(E1928="",E1928="!!!",F1928="NEW"),"",COUNTBLANK(OFFSET(A$1,,,SUMPRODUCT(MAX(ROW(E$2:E1928)*(E1928=E$2:E1928)))))-COUNTBLANK(OFFSET(A$1,,,SUMPRODUCT(MAX(ROW(E$1:E1927)*(E2=E$1:E1927))))))</f>
        <v> </v>
      </c>
      <c r="K1928" s="26" t="str">
        <f>IF(OR(E1928="",E1928="!!!",F1928="NEW"),"",INDEX(J$1:J1927,SUMPRODUCT(MAX(ROW(E$1:E1927)*(E1928=E$1:E1927)))))</f>
        <v> </v>
      </c>
      <c r="L1928" s="27"/>
    </row>
    <row r="1929" spans="1:12">
      <c r="A1929" s="20" t="s">
        <v>1667</v>
      </c>
      <c r="B1929" s="21" t="s">
        <v>1064</v>
      </c>
      <c r="C1929" s="21" t="s">
        <v>1017</v>
      </c>
      <c r="D1929" s="21" t="s">
        <v>1007</v>
      </c>
      <c r="E1929" s="22">
        <f>IF(D1929="?OLD","!!!","")</f>
        <v/>
      </c>
      <c r="F1929" s="23" t="str">
        <f>IF(OR(E1929="",E1929="!!!"),"",IF(NOT(ISNA(VLOOKUP(E1929,E$1:E1928,1,FALSE()))),"OLD",IF(AND(E1929&lt;&gt;"",E1929&lt;&gt;"!!!"),"NEW","")))</f>
        <v> </v>
      </c>
      <c r="G1929" s="24" t="str">
        <f>IF(OR(E1929="",E1929="!!!"),"",IF(OR(J1929=0,AND(J1929=1,K1929=1),AND(J1929=1,I1929="SBJ"),AND(J1929=1,I1929=0)),"?IN_FOCUS",IF(J1929&lt;=2,"?ACTIVATED",IF(J1929&lt;&gt;"","?FAMILIAR",IF(F1929="NEW",IF(ISNA(VLOOKUP(E1929,#REF!,1,FALSE())),"?TYPE_IDENTIFIABLE","?REFERENTIAL"),"_")))))</f>
        <v> </v>
      </c>
      <c r="H1929" s="25" t="str">
        <f>IF(J1929&lt;&gt;1,"",IF(I1929="SBJ","CB","?"))</f>
        <v> </v>
      </c>
      <c r="I1929" s="26" t="str">
        <f>IF(OR(E1929="",E1929="!!!",F1929="NEW"),"",INDEX(B1928:B$2,-1+SUMPRODUCT(MAX(ROW(E1928:E$2)*(E1929=E1928:E$2)))))</f>
        <v> </v>
      </c>
      <c r="J1929" s="26" t="str">
        <f>IF(OR(E1929="",E1929="!!!",F1929="NEW"),"",COUNTBLANK(OFFSET(A$1,,,SUMPRODUCT(MAX(ROW(E$2:E1929)*(E1929=E$2:E1929)))))-COUNTBLANK(OFFSET(A$1,,,SUMPRODUCT(MAX(ROW(E$1:E1928)*(E2=E$1:E1928))))))</f>
        <v> </v>
      </c>
      <c r="K1929" s="26" t="str">
        <f>IF(OR(E1929="",E1929="!!!",F1929="NEW"),"",INDEX(J$1:J1928,SUMPRODUCT(MAX(ROW(E$1:E1928)*(E1929=E$1:E1928)))))</f>
        <v> </v>
      </c>
      <c r="L1929" s="27"/>
    </row>
    <row r="1930" spans="1:12">
      <c r="A1930" s="20" t="s">
        <v>1137</v>
      </c>
      <c r="E1930" s="22">
        <f>IF(D1930="?OLD","!!!","")</f>
        <v/>
      </c>
      <c r="F1930" s="23" t="str">
        <f>IF(OR(E1930="",E1930="!!!"),"",IF(NOT(ISNA(VLOOKUP(E1930,E$1:E1929,1,FALSE()))),"OLD",IF(AND(E1930&lt;&gt;"",E1930&lt;&gt;"!!!"),"NEW","")))</f>
        <v> </v>
      </c>
      <c r="G1930" s="24" t="str">
        <f>IF(OR(E1930="",E1930="!!!"),"",IF(OR(J1930=0,AND(J1930=1,K1930=1),AND(J1930=1,I1930="SBJ"),AND(J1930=1,I1930=0)),"?IN_FOCUS",IF(J1930&lt;=2,"?ACTIVATED",IF(J1930&lt;&gt;"","?FAMILIAR",IF(F1930="NEW",IF(ISNA(VLOOKUP(E1930,#REF!,1,FALSE())),"?TYPE_IDENTIFIABLE","?REFERENTIAL"),"_")))))</f>
        <v> </v>
      </c>
      <c r="H1930" s="25" t="str">
        <f>IF(J1930&lt;&gt;1,"",IF(I1930="SBJ","CB","?"))</f>
        <v> </v>
      </c>
      <c r="I1930" s="26" t="str">
        <f>IF(OR(E1930="",E1930="!!!",F1930="NEW"),"",INDEX(B1929:B$2,-1+SUMPRODUCT(MAX(ROW(E1929:E$2)*(E1930=E1929:E$2)))))</f>
        <v> </v>
      </c>
      <c r="J1930" s="26" t="str">
        <f>IF(OR(E1930="",E1930="!!!",F1930="NEW"),"",COUNTBLANK(OFFSET(A$1,,,SUMPRODUCT(MAX(ROW(E$2:E1930)*(E1930=E$2:E1930)))))-COUNTBLANK(OFFSET(A$1,,,SUMPRODUCT(MAX(ROW(E$1:E1929)*(E2=E$1:E1929))))))</f>
        <v> </v>
      </c>
      <c r="K1930" s="26" t="str">
        <f>IF(OR(E1930="",E1930="!!!",F1930="NEW"),"",INDEX(J$1:J1929,SUMPRODUCT(MAX(ROW(E$1:E1929)*(E1930=E$1:E1929)))))</f>
        <v> </v>
      </c>
      <c r="L1930" s="27"/>
    </row>
    <row r="1931" spans="1:12">
      <c r="A1931" s="20" t="s">
        <v>1671</v>
      </c>
      <c r="E1931" s="22">
        <f>IF(D1931="?OLD","!!!","")</f>
        <v/>
      </c>
      <c r="F1931" s="23" t="str">
        <f>IF(OR(E1931="",E1931="!!!"),"",IF(NOT(ISNA(VLOOKUP(E1931,E$1:E1930,1,FALSE()))),"OLD",IF(AND(E1931&lt;&gt;"",E1931&lt;&gt;"!!!"),"NEW","")))</f>
        <v> </v>
      </c>
      <c r="G1931" s="24" t="str">
        <f>IF(OR(E1931="",E1931="!!!"),"",IF(OR(J1931=0,AND(J1931=1,K1931=1),AND(J1931=1,I1931="SBJ"),AND(J1931=1,I1931=0)),"?IN_FOCUS",IF(J1931&lt;=2,"?ACTIVATED",IF(J1931&lt;&gt;"","?FAMILIAR",IF(F1931="NEW",IF(ISNA(VLOOKUP(E1931,#REF!,1,FALSE())),"?TYPE_IDENTIFIABLE","?REFERENTIAL"),"_")))))</f>
        <v> </v>
      </c>
      <c r="H1931" s="25" t="str">
        <f>IF(J1931&lt;&gt;1,"",IF(I1931="SBJ","CB","?"))</f>
        <v> </v>
      </c>
      <c r="I1931" s="26" t="str">
        <f>IF(OR(E1931="",E1931="!!!",F1931="NEW"),"",INDEX(B1930:B$2,-1+SUMPRODUCT(MAX(ROW(E1930:E$2)*(E1931=E1930:E$2)))))</f>
        <v> </v>
      </c>
      <c r="J1931" s="26" t="str">
        <f>IF(OR(E1931="",E1931="!!!",F1931="NEW"),"",COUNTBLANK(OFFSET(A$1,,,SUMPRODUCT(MAX(ROW(E$2:E1931)*(E1931=E$2:E1931)))))-COUNTBLANK(OFFSET(A$1,,,SUMPRODUCT(MAX(ROW(E$1:E1930)*(E2=E$1:E1930))))))</f>
        <v> </v>
      </c>
      <c r="K1931" s="26" t="str">
        <f>IF(OR(E1931="",E1931="!!!",F1931="NEW"),"",INDEX(J$1:J1930,SUMPRODUCT(MAX(ROW(E$1:E1930)*(E1931=E$1:E1930)))))</f>
        <v> </v>
      </c>
      <c r="L1931" s="27"/>
    </row>
    <row r="1932" spans="1:12">
      <c r="A1932" s="20" t="s">
        <v>1036</v>
      </c>
      <c r="E1932" s="22">
        <f>IF(D1932="?OLD","!!!","")</f>
        <v/>
      </c>
      <c r="F1932" s="23" t="str">
        <f>IF(OR(E1932="",E1932="!!!"),"",IF(NOT(ISNA(VLOOKUP(E1932,E$1:E1931,1,FALSE()))),"OLD",IF(AND(E1932&lt;&gt;"",E1932&lt;&gt;"!!!"),"NEW","")))</f>
        <v> </v>
      </c>
      <c r="G1932" s="24" t="str">
        <f>IF(OR(E1932="",E1932="!!!"),"",IF(OR(J1932=0,AND(J1932=1,K1932=1),AND(J1932=1,I1932="SBJ"),AND(J1932=1,I1932=0)),"?IN_FOCUS",IF(J1932&lt;=2,"?ACTIVATED",IF(J1932&lt;&gt;"","?FAMILIAR",IF(F1932="NEW",IF(ISNA(VLOOKUP(E1932,#REF!,1,FALSE())),"?TYPE_IDENTIFIABLE","?REFERENTIAL"),"_")))))</f>
        <v> </v>
      </c>
      <c r="H1932" s="25" t="str">
        <f>IF(J1932&lt;&gt;1,"",IF(I1932="SBJ","CB","?"))</f>
        <v> </v>
      </c>
      <c r="I1932" s="26" t="str">
        <f>IF(OR(E1932="",E1932="!!!",F1932="NEW"),"",INDEX(B1931:B$2,-1+SUMPRODUCT(MAX(ROW(E1931:E$2)*(E1932=E1931:E$2)))))</f>
        <v> </v>
      </c>
      <c r="J1932" s="26" t="str">
        <f>IF(OR(E1932="",E1932="!!!",F1932="NEW"),"",COUNTBLANK(OFFSET(A$1,,,SUMPRODUCT(MAX(ROW(E$2:E1932)*(E1932=E$2:E1932)))))-COUNTBLANK(OFFSET(A$1,,,SUMPRODUCT(MAX(ROW(E$1:E1931)*(E2=E$1:E1931))))))</f>
        <v> </v>
      </c>
      <c r="K1932" s="26" t="str">
        <f>IF(OR(E1932="",E1932="!!!",F1932="NEW"),"",INDEX(J$1:J1931,SUMPRODUCT(MAX(ROW(E$1:E1931)*(E1932=E$1:E1931)))))</f>
        <v> </v>
      </c>
      <c r="L1932" s="27"/>
    </row>
    <row r="1933" spans="1:12">
      <c r="A1933" s="20" t="s">
        <v>1015</v>
      </c>
      <c r="E1933" s="22">
        <f>IF(D1933="?OLD","!!!","")</f>
        <v/>
      </c>
      <c r="F1933" s="23" t="str">
        <f>IF(OR(E1933="",E1933="!!!"),"",IF(NOT(ISNA(VLOOKUP(E1933,E$1:E1932,1,FALSE()))),"OLD",IF(AND(E1933&lt;&gt;"",E1933&lt;&gt;"!!!"),"NEW","")))</f>
        <v> </v>
      </c>
      <c r="G1933" s="24" t="str">
        <f>IF(OR(E1933="",E1933="!!!"),"",IF(OR(J1933=0,AND(J1933=1,K1933=1),AND(J1933=1,I1933="SBJ"),AND(J1933=1,I1933=0)),"?IN_FOCUS",IF(J1933&lt;=2,"?ACTIVATED",IF(J1933&lt;&gt;"","?FAMILIAR",IF(F1933="NEW",IF(ISNA(VLOOKUP(E1933,#REF!,1,FALSE())),"?TYPE_IDENTIFIABLE","?REFERENTIAL"),"_")))))</f>
        <v> </v>
      </c>
      <c r="H1933" s="25" t="str">
        <f>IF(J1933&lt;&gt;1,"",IF(I1933="SBJ","CB","?"))</f>
        <v> </v>
      </c>
      <c r="I1933" s="26" t="str">
        <f>IF(OR(E1933="",E1933="!!!",F1933="NEW"),"",INDEX(B1932:B$2,-1+SUMPRODUCT(MAX(ROW(E1932:E$2)*(E1933=E1932:E$2)))))</f>
        <v> </v>
      </c>
      <c r="J1933" s="26" t="str">
        <f>IF(OR(E1933="",E1933="!!!",F1933="NEW"),"",COUNTBLANK(OFFSET(A$1,,,SUMPRODUCT(MAX(ROW(E$2:E1933)*(E1933=E$2:E1933)))))-COUNTBLANK(OFFSET(A$1,,,SUMPRODUCT(MAX(ROW(E$1:E1932)*(E2=E$1:E1932))))))</f>
        <v> </v>
      </c>
      <c r="K1933" s="26" t="str">
        <f>IF(OR(E1933="",E1933="!!!",F1933="NEW"),"",INDEX(J$1:J1932,SUMPRODUCT(MAX(ROW(E$1:E1932)*(E1933=E$1:E1932)))))</f>
        <v> </v>
      </c>
      <c r="L1933" s="27"/>
    </row>
    <row r="1934" spans="1:12">
      <c r="A1934" s="20" t="s">
        <v>1672</v>
      </c>
      <c r="B1934" s="21" t="s">
        <v>1134</v>
      </c>
      <c r="C1934" s="21" t="s">
        <v>1017</v>
      </c>
      <c r="D1934" s="21" t="s">
        <v>1007</v>
      </c>
      <c r="E1934" s="22">
        <f>IF(D1934="?OLD","!!!","")</f>
        <v/>
      </c>
      <c r="F1934" s="23" t="str">
        <f>IF(OR(E1934="",E1934="!!!"),"",IF(NOT(ISNA(VLOOKUP(E1934,E$1:E1933,1,FALSE()))),"OLD",IF(AND(E1934&lt;&gt;"",E1934&lt;&gt;"!!!"),"NEW","")))</f>
        <v> </v>
      </c>
      <c r="G1934" s="24" t="str">
        <f>IF(OR(E1934="",E1934="!!!"),"",IF(OR(J1934=0,AND(J1934=1,K1934=1),AND(J1934=1,I1934="SBJ"),AND(J1934=1,I1934=0)),"?IN_FOCUS",IF(J1934&lt;=2,"?ACTIVATED",IF(J1934&lt;&gt;"","?FAMILIAR",IF(F1934="NEW",IF(ISNA(VLOOKUP(E1934,#REF!,1,FALSE())),"?TYPE_IDENTIFIABLE","?REFERENTIAL"),"_")))))</f>
        <v> </v>
      </c>
      <c r="H1934" s="25" t="str">
        <f>IF(J1934&lt;&gt;1,"",IF(I1934="SBJ","CB","?"))</f>
        <v> </v>
      </c>
      <c r="I1934" s="26" t="str">
        <f>IF(OR(E1934="",E1934="!!!",F1934="NEW"),"",INDEX(B1933:B$2,-1+SUMPRODUCT(MAX(ROW(E1933:E$2)*(E1934=E1933:E$2)))))</f>
        <v> </v>
      </c>
      <c r="J1934" s="26" t="str">
        <f>IF(OR(E1934="",E1934="!!!",F1934="NEW"),"",COUNTBLANK(OFFSET(A$1,,,SUMPRODUCT(MAX(ROW(E$2:E1934)*(E1934=E$2:E1934)))))-COUNTBLANK(OFFSET(A$1,,,SUMPRODUCT(MAX(ROW(E$1:E1933)*(E2=E$1:E1933))))))</f>
        <v> </v>
      </c>
      <c r="K1934" s="26" t="str">
        <f>IF(OR(E1934="",E1934="!!!",F1934="NEW"),"",INDEX(J$1:J1933,SUMPRODUCT(MAX(ROW(E$1:E1933)*(E1934=E$1:E1933)))))</f>
        <v> </v>
      </c>
      <c r="L1934" s="27"/>
    </row>
    <row r="1935" spans="1:12">
      <c r="A1935" s="20" t="s">
        <v>1023</v>
      </c>
      <c r="E1935" s="22">
        <f>IF(D1935="?OLD","!!!","")</f>
        <v/>
      </c>
      <c r="F1935" s="23" t="str">
        <f>IF(OR(E1935="",E1935="!!!"),"",IF(NOT(ISNA(VLOOKUP(E1935,E$1:E1934,1,FALSE()))),"OLD",IF(AND(E1935&lt;&gt;"",E1935&lt;&gt;"!!!"),"NEW","")))</f>
        <v> </v>
      </c>
      <c r="G1935" s="24" t="str">
        <f>IF(OR(E1935="",E1935="!!!"),"",IF(OR(J1935=0,AND(J1935=1,K1935=1),AND(J1935=1,I1935="SBJ"),AND(J1935=1,I1935=0)),"?IN_FOCUS",IF(J1935&lt;=2,"?ACTIVATED",IF(J1935&lt;&gt;"","?FAMILIAR",IF(F1935="NEW",IF(ISNA(VLOOKUP(E1935,#REF!,1,FALSE())),"?TYPE_IDENTIFIABLE","?REFERENTIAL"),"_")))))</f>
        <v> </v>
      </c>
      <c r="H1935" s="25" t="str">
        <f>IF(J1935&lt;&gt;1,"",IF(I1935="SBJ","CB","?"))</f>
        <v> </v>
      </c>
      <c r="I1935" s="26" t="str">
        <f>IF(OR(E1935="",E1935="!!!",F1935="NEW"),"",INDEX(B1934:B$2,-1+SUMPRODUCT(MAX(ROW(E1934:E$2)*(E1935=E1934:E$2)))))</f>
        <v> </v>
      </c>
      <c r="J1935" s="26" t="str">
        <f>IF(OR(E1935="",E1935="!!!",F1935="NEW"),"",COUNTBLANK(OFFSET(A$1,,,SUMPRODUCT(MAX(ROW(E$2:E1935)*(E1935=E$2:E1935)))))-COUNTBLANK(OFFSET(A$1,,,SUMPRODUCT(MAX(ROW(E$1:E1934)*(E2=E$1:E1934))))))</f>
        <v> </v>
      </c>
      <c r="K1935" s="26" t="str">
        <f>IF(OR(E1935="",E1935="!!!",F1935="NEW"),"",INDEX(J$1:J1934,SUMPRODUCT(MAX(ROW(E$1:E1934)*(E1935=E$1:E1934)))))</f>
        <v> </v>
      </c>
      <c r="L1935" s="27"/>
    </row>
    <row r="1936" spans="1:12">
      <c r="A1936" s="20"/>
    </row>
    <row r="1937" spans="1:12">
      <c r="A1937" s="20" t="s">
        <v>1673</v>
      </c>
    </row>
    <row r="1938" spans="1:12">
      <c r="A1938" s="20" t="s">
        <v>1088</v>
      </c>
      <c r="B1938" s="21" t="s">
        <v>1119</v>
      </c>
      <c r="C1938" s="21" t="s">
        <v>1073</v>
      </c>
      <c r="D1938" s="21" t="s">
        <v>1007</v>
      </c>
      <c r="E1938" s="22">
        <f>IF(D1938="?OLD","!!!","")</f>
        <v/>
      </c>
      <c r="F1938" s="23" t="str">
        <f>IF(OR(E1938="",E1938="!!!"),"",IF(NOT(ISNA(VLOOKUP(E1938,E$1:E1937,1,FALSE()))),"OLD",IF(AND(E1938&lt;&gt;"",E1938&lt;&gt;"!!!"),"NEW","")))</f>
        <v> </v>
      </c>
      <c r="G1938" s="24" t="str">
        <f>IF(OR(E1938="",E1938="!!!"),"",IF(OR(J1938=0,AND(J1938=1,K1938=1),AND(J1938=1,I1938="SBJ"),AND(J1938=1,I1938=0)),"?IN_FOCUS",IF(J1938&lt;=2,"?ACTIVATED",IF(J1938&lt;&gt;"","?FAMILIAR",IF(F1938="NEW",IF(ISNA(VLOOKUP(E1938,#REF!,1,FALSE())),"?TYPE_IDENTIFIABLE","?REFERENTIAL"),"_")))))</f>
        <v> </v>
      </c>
      <c r="H1938" s="25" t="str">
        <f>IF(J1938&lt;&gt;1,"",IF(I1938="SBJ","CB","?"))</f>
        <v> </v>
      </c>
      <c r="I1938" s="26" t="str">
        <f>IF(OR(E1938="",E1938="!!!",F1938="NEW"),"",INDEX(B1937:B$2,-1+SUMPRODUCT(MAX(ROW(E1937:E$2)*(E1938=E1937:E$2)))))</f>
        <v> </v>
      </c>
      <c r="J1938" s="26" t="str">
        <f>IF(OR(E1938="",E1938="!!!",F1938="NEW"),"",COUNTBLANK(OFFSET(A$1,,,SUMPRODUCT(MAX(ROW(E$2:E1938)*(E1938=E$2:E1938)))))-COUNTBLANK(OFFSET(A$1,,,SUMPRODUCT(MAX(ROW(E$1:E1937)*(E2=E$1:E1937))))))</f>
        <v> </v>
      </c>
      <c r="K1938" s="26" t="str">
        <f>IF(OR(E1938="",E1938="!!!",F1938="NEW"),"",INDEX(J$1:J1937,SUMPRODUCT(MAX(ROW(E$1:E1937)*(E1938=E$1:E1937)))))</f>
        <v> </v>
      </c>
      <c r="L1938" s="27"/>
    </row>
    <row r="1939" spans="1:12">
      <c r="A1939" s="20" t="s">
        <v>1075</v>
      </c>
      <c r="E1939" s="22">
        <f>IF(D1939="?OLD","!!!","")</f>
        <v/>
      </c>
      <c r="F1939" s="23" t="str">
        <f>IF(OR(E1939="",E1939="!!!"),"",IF(NOT(ISNA(VLOOKUP(E1939,E$1:E1938,1,FALSE()))),"OLD",IF(AND(E1939&lt;&gt;"",E1939&lt;&gt;"!!!"),"NEW","")))</f>
        <v> </v>
      </c>
      <c r="G1939" s="24" t="str">
        <f>IF(OR(E1939="",E1939="!!!"),"",IF(OR(J1939=0,AND(J1939=1,K1939=1),AND(J1939=1,I1939="SBJ"),AND(J1939=1,I1939=0)),"?IN_FOCUS",IF(J1939&lt;=2,"?ACTIVATED",IF(J1939&lt;&gt;"","?FAMILIAR",IF(F1939="NEW",IF(ISNA(VLOOKUP(E1939,#REF!,1,FALSE())),"?TYPE_IDENTIFIABLE","?REFERENTIAL"),"_")))))</f>
        <v> </v>
      </c>
      <c r="H1939" s="25" t="str">
        <f>IF(J1939&lt;&gt;1,"",IF(I1939="SBJ","CB","?"))</f>
        <v> </v>
      </c>
      <c r="I1939" s="26" t="str">
        <f>IF(OR(E1939="",E1939="!!!",F1939="NEW"),"",INDEX(B1938:B$2,-1+SUMPRODUCT(MAX(ROW(E1938:E$2)*(E1939=E1938:E$2)))))</f>
        <v> </v>
      </c>
      <c r="J1939" s="26" t="str">
        <f>IF(OR(E1939="",E1939="!!!",F1939="NEW"),"",COUNTBLANK(OFFSET(A$1,,,SUMPRODUCT(MAX(ROW(E$2:E1939)*(E1939=E$2:E1939)))))-COUNTBLANK(OFFSET(A$1,,,SUMPRODUCT(MAX(ROW(E$1:E1938)*(E2=E$1:E1938))))))</f>
        <v> </v>
      </c>
      <c r="K1939" s="26" t="str">
        <f>IF(OR(E1939="",E1939="!!!",F1939="NEW"),"",INDEX(J$1:J1938,SUMPRODUCT(MAX(ROW(E$1:E1938)*(E1939=E$1:E1938)))))</f>
        <v> </v>
      </c>
      <c r="L1939" s="27"/>
    </row>
    <row r="1940" spans="1:12">
      <c r="A1940" s="20" t="s">
        <v>1324</v>
      </c>
      <c r="E1940" s="22">
        <f>IF(D1940="?OLD","!!!","")</f>
        <v/>
      </c>
      <c r="F1940" s="23" t="str">
        <f>IF(OR(E1940="",E1940="!!!"),"",IF(NOT(ISNA(VLOOKUP(E1940,E$1:E1939,1,FALSE()))),"OLD",IF(AND(E1940&lt;&gt;"",E1940&lt;&gt;"!!!"),"NEW","")))</f>
        <v> </v>
      </c>
      <c r="G1940" s="24" t="str">
        <f>IF(OR(E1940="",E1940="!!!"),"",IF(OR(J1940=0,AND(J1940=1,K1940=1),AND(J1940=1,I1940="SBJ"),AND(J1940=1,I1940=0)),"?IN_FOCUS",IF(J1940&lt;=2,"?ACTIVATED",IF(J1940&lt;&gt;"","?FAMILIAR",IF(F1940="NEW",IF(ISNA(VLOOKUP(E1940,#REF!,1,FALSE())),"?TYPE_IDENTIFIABLE","?REFERENTIAL"),"_")))))</f>
        <v> </v>
      </c>
      <c r="H1940" s="25" t="str">
        <f>IF(J1940&lt;&gt;1,"",IF(I1940="SBJ","CB","?"))</f>
        <v> </v>
      </c>
      <c r="I1940" s="26" t="str">
        <f>IF(OR(E1940="",E1940="!!!",F1940="NEW"),"",INDEX(B1939:B$2,-1+SUMPRODUCT(MAX(ROW(E1939:E$2)*(E1940=E1939:E$2)))))</f>
        <v> </v>
      </c>
      <c r="J1940" s="26" t="str">
        <f>IF(OR(E1940="",E1940="!!!",F1940="NEW"),"",COUNTBLANK(OFFSET(A$1,,,SUMPRODUCT(MAX(ROW(E$2:E1940)*(E1940=E$2:E1940)))))-COUNTBLANK(OFFSET(A$1,,,SUMPRODUCT(MAX(ROW(E$1:E1939)*(E2=E$1:E1939))))))</f>
        <v> </v>
      </c>
      <c r="K1940" s="26" t="str">
        <f>IF(OR(E1940="",E1940="!!!",F1940="NEW"),"",INDEX(J$1:J1939,SUMPRODUCT(MAX(ROW(E$1:E1939)*(E1940=E$1:E1939)))))</f>
        <v> </v>
      </c>
      <c r="L1940" s="27"/>
    </row>
    <row r="1941" spans="1:12">
      <c r="A1941" s="20" t="s">
        <v>193</v>
      </c>
      <c r="B1941" s="21" t="s">
        <v>1050</v>
      </c>
      <c r="C1941" s="21" t="s">
        <v>1111</v>
      </c>
      <c r="E1941" s="22">
        <f>IF(D1941="?OLD","!!!","")</f>
        <v/>
      </c>
      <c r="F1941" s="23" t="str">
        <f>IF(OR(E1941="",E1941="!!!"),"",IF(NOT(ISNA(VLOOKUP(E1941,E$1:E1940,1,FALSE()))),"OLD",IF(AND(E1941&lt;&gt;"",E1941&lt;&gt;"!!!"),"NEW","")))</f>
        <v> </v>
      </c>
      <c r="G1941" s="24" t="str">
        <f>IF(OR(E1941="",E1941="!!!"),"",IF(OR(J1941=0,AND(J1941=1,K1941=1),AND(J1941=1,I1941="SBJ"),AND(J1941=1,I1941=0)),"?IN_FOCUS",IF(J1941&lt;=2,"?ACTIVATED",IF(J1941&lt;&gt;"","?FAMILIAR",IF(F1941="NEW",IF(ISNA(VLOOKUP(E1941,#REF!,1,FALSE())),"?TYPE_IDENTIFIABLE","?REFERENTIAL"),"_")))))</f>
        <v> </v>
      </c>
      <c r="H1941" s="25" t="str">
        <f>IF(J1941&lt;&gt;1,"",IF(I1941="SBJ","CB","?"))</f>
        <v> </v>
      </c>
      <c r="I1941" s="26" t="str">
        <f>IF(OR(E1941="",E1941="!!!",F1941="NEW"),"",INDEX(B1940:B$2,-1+SUMPRODUCT(MAX(ROW(E1940:E$2)*(E1941=E1940:E$2)))))</f>
        <v> </v>
      </c>
      <c r="J1941" s="26" t="str">
        <f>IF(OR(E1941="",E1941="!!!",F1941="NEW"),"",COUNTBLANK(OFFSET(A$1,,,SUMPRODUCT(MAX(ROW(E$2:E1941)*(E1941=E$2:E1941)))))-COUNTBLANK(OFFSET(A$1,,,SUMPRODUCT(MAX(ROW(E$1:E1940)*(E2=E$1:E1940))))))</f>
        <v> </v>
      </c>
      <c r="K1941" s="26" t="str">
        <f>IF(OR(E1941="",E1941="!!!",F1941="NEW"),"",INDEX(J$1:J1940,SUMPRODUCT(MAX(ROW(E$1:E1940)*(E1941=E$1:E1940)))))</f>
        <v> </v>
      </c>
      <c r="L1941" s="27"/>
    </row>
    <row r="1942" spans="1:12">
      <c r="A1942" s="20" t="s">
        <v>1065</v>
      </c>
      <c r="B1942" s="21" t="s">
        <v>1154</v>
      </c>
      <c r="E1942" s="22">
        <f>IF(D1942="?OLD","!!!","")</f>
        <v/>
      </c>
      <c r="F1942" s="23" t="str">
        <f>IF(OR(E1942="",E1942="!!!"),"",IF(NOT(ISNA(VLOOKUP(E1942,E$1:E1941,1,FALSE()))),"OLD",IF(AND(E1942&lt;&gt;"",E1942&lt;&gt;"!!!"),"NEW","")))</f>
        <v> </v>
      </c>
      <c r="G1942" s="24" t="str">
        <f>IF(OR(E1942="",E1942="!!!"),"",IF(OR(J1942=0,AND(J1942=1,K1942=1),AND(J1942=1,I1942="SBJ"),AND(J1942=1,I1942=0)),"?IN_FOCUS",IF(J1942&lt;=2,"?ACTIVATED",IF(J1942&lt;&gt;"","?FAMILIAR",IF(F1942="NEW",IF(ISNA(VLOOKUP(E1942,#REF!,1,FALSE())),"?TYPE_IDENTIFIABLE","?REFERENTIAL"),"_")))))</f>
        <v> </v>
      </c>
      <c r="H1942" s="25" t="str">
        <f>IF(J1942&lt;&gt;1,"",IF(I1942="SBJ","CB","?"))</f>
        <v> </v>
      </c>
      <c r="I1942" s="26" t="str">
        <f>IF(OR(E1942="",E1942="!!!",F1942="NEW"),"",INDEX(B1941:B$2,-1+SUMPRODUCT(MAX(ROW(E1941:E$2)*(E1942=E1941:E$2)))))</f>
        <v> </v>
      </c>
      <c r="J1942" s="26" t="str">
        <f>IF(OR(E1942="",E1942="!!!",F1942="NEW"),"",COUNTBLANK(OFFSET(A$1,,,SUMPRODUCT(MAX(ROW(E$2:E1942)*(E1942=E$2:E1942)))))-COUNTBLANK(OFFSET(A$1,,,SUMPRODUCT(MAX(ROW(E$1:E1941)*(E2=E$1:E1941))))))</f>
        <v> </v>
      </c>
      <c r="K1942" s="26" t="str">
        <f>IF(OR(E1942="",E1942="!!!",F1942="NEW"),"",INDEX(J$1:J1941,SUMPRODUCT(MAX(ROW(E$1:E1941)*(E1942=E$1:E1941)))))</f>
        <v> </v>
      </c>
      <c r="L1942" s="27"/>
    </row>
    <row r="1943" spans="1:12">
      <c r="A1943" s="20" t="s">
        <v>1075</v>
      </c>
      <c r="E1943" s="22">
        <f>IF(D1943="?OLD","!!!","")</f>
        <v/>
      </c>
      <c r="F1943" s="23" t="str">
        <f>IF(OR(E1943="",E1943="!!!"),"",IF(NOT(ISNA(VLOOKUP(E1943,E$1:E1942,1,FALSE()))),"OLD",IF(AND(E1943&lt;&gt;"",E1943&lt;&gt;"!!!"),"NEW","")))</f>
        <v> </v>
      </c>
      <c r="G1943" s="24" t="str">
        <f>IF(OR(E1943="",E1943="!!!"),"",IF(OR(J1943=0,AND(J1943=1,K1943=1),AND(J1943=1,I1943="SBJ"),AND(J1943=1,I1943=0)),"?IN_FOCUS",IF(J1943&lt;=2,"?ACTIVATED",IF(J1943&lt;&gt;"","?FAMILIAR",IF(F1943="NEW",IF(ISNA(VLOOKUP(E1943,#REF!,1,FALSE())),"?TYPE_IDENTIFIABLE","?REFERENTIAL"),"_")))))</f>
        <v> </v>
      </c>
      <c r="H1943" s="25" t="str">
        <f>IF(J1943&lt;&gt;1,"",IF(I1943="SBJ","CB","?"))</f>
        <v> </v>
      </c>
      <c r="I1943" s="26" t="str">
        <f>IF(OR(E1943="",E1943="!!!",F1943="NEW"),"",INDEX(B1942:B$2,-1+SUMPRODUCT(MAX(ROW(E1942:E$2)*(E1943=E1942:E$2)))))</f>
        <v> </v>
      </c>
      <c r="J1943" s="26" t="str">
        <f>IF(OR(E1943="",E1943="!!!",F1943="NEW"),"",COUNTBLANK(OFFSET(A$1,,,SUMPRODUCT(MAX(ROW(E$2:E1943)*(E1943=E$2:E1943)))))-COUNTBLANK(OFFSET(A$1,,,SUMPRODUCT(MAX(ROW(E$1:E1942)*(E2=E$1:E1942))))))</f>
        <v> </v>
      </c>
      <c r="K1943" s="26" t="str">
        <f>IF(OR(E1943="",E1943="!!!",F1943="NEW"),"",INDEX(J$1:J1942,SUMPRODUCT(MAX(ROW(E$1:E1942)*(E1943=E$1:E1942)))))</f>
        <v> </v>
      </c>
      <c r="L1943" s="27"/>
    </row>
    <row r="1944" spans="1:12">
      <c r="A1944" s="20" t="s">
        <v>1250</v>
      </c>
      <c r="E1944" s="22">
        <f>IF(D1944="?OLD","!!!","")</f>
        <v/>
      </c>
      <c r="F1944" s="23" t="str">
        <f>IF(OR(E1944="",E1944="!!!"),"",IF(NOT(ISNA(VLOOKUP(E1944,E$1:E1943,1,FALSE()))),"OLD",IF(AND(E1944&lt;&gt;"",E1944&lt;&gt;"!!!"),"NEW","")))</f>
        <v> </v>
      </c>
      <c r="G1944" s="24" t="str">
        <f>IF(OR(E1944="",E1944="!!!"),"",IF(OR(J1944=0,AND(J1944=1,K1944=1),AND(J1944=1,I1944="SBJ"),AND(J1944=1,I1944=0)),"?IN_FOCUS",IF(J1944&lt;=2,"?ACTIVATED",IF(J1944&lt;&gt;"","?FAMILIAR",IF(F1944="NEW",IF(ISNA(VLOOKUP(E1944,#REF!,1,FALSE())),"?TYPE_IDENTIFIABLE","?REFERENTIAL"),"_")))))</f>
        <v> </v>
      </c>
      <c r="H1944" s="25" t="str">
        <f>IF(J1944&lt;&gt;1,"",IF(I1944="SBJ","CB","?"))</f>
        <v> </v>
      </c>
      <c r="I1944" s="26" t="str">
        <f>IF(OR(E1944="",E1944="!!!",F1944="NEW"),"",INDEX(B1943:B$2,-1+SUMPRODUCT(MAX(ROW(E1943:E$2)*(E1944=E1943:E$2)))))</f>
        <v> </v>
      </c>
      <c r="J1944" s="26" t="str">
        <f>IF(OR(E1944="",E1944="!!!",F1944="NEW"),"",COUNTBLANK(OFFSET(A$1,,,SUMPRODUCT(MAX(ROW(E$2:E1944)*(E1944=E$2:E1944)))))-COUNTBLANK(OFFSET(A$1,,,SUMPRODUCT(MAX(ROW(E$1:E1943)*(E2=E$1:E1943))))))</f>
        <v> </v>
      </c>
      <c r="K1944" s="26" t="str">
        <f>IF(OR(E1944="",E1944="!!!",F1944="NEW"),"",INDEX(J$1:J1943,SUMPRODUCT(MAX(ROW(E$1:E1943)*(E1944=E$1:E1943)))))</f>
        <v> </v>
      </c>
      <c r="L1944" s="27"/>
    </row>
    <row r="1945" spans="1:12">
      <c r="A1945" s="20" t="s">
        <v>756</v>
      </c>
      <c r="E1945" s="22">
        <f>IF(D1945="?OLD","!!!","")</f>
        <v/>
      </c>
      <c r="F1945" s="23" t="str">
        <f>IF(OR(E1945="",E1945="!!!"),"",IF(NOT(ISNA(VLOOKUP(E1945,E$1:E1944,1,FALSE()))),"OLD",IF(AND(E1945&lt;&gt;"",E1945&lt;&gt;"!!!"),"NEW","")))</f>
        <v> </v>
      </c>
      <c r="G1945" s="24" t="str">
        <f>IF(OR(E1945="",E1945="!!!"),"",IF(OR(J1945=0,AND(J1945=1,K1945=1),AND(J1945=1,I1945="SBJ"),AND(J1945=1,I1945=0)),"?IN_FOCUS",IF(J1945&lt;=2,"?ACTIVATED",IF(J1945&lt;&gt;"","?FAMILIAR",IF(F1945="NEW",IF(ISNA(VLOOKUP(E1945,#REF!,1,FALSE())),"?TYPE_IDENTIFIABLE","?REFERENTIAL"),"_")))))</f>
        <v> </v>
      </c>
      <c r="H1945" s="25" t="str">
        <f>IF(J1945&lt;&gt;1,"",IF(I1945="SBJ","CB","?"))</f>
        <v> </v>
      </c>
      <c r="I1945" s="26" t="str">
        <f>IF(OR(E1945="",E1945="!!!",F1945="NEW"),"",INDEX(B1944:B$2,-1+SUMPRODUCT(MAX(ROW(E1944:E$2)*(E1945=E1944:E$2)))))</f>
        <v> </v>
      </c>
      <c r="J1945" s="26" t="str">
        <f>IF(OR(E1945="",E1945="!!!",F1945="NEW"),"",COUNTBLANK(OFFSET(A$1,,,SUMPRODUCT(MAX(ROW(E$2:E1945)*(E1945=E$2:E1945)))))-COUNTBLANK(OFFSET(A$1,,,SUMPRODUCT(MAX(ROW(E$1:E1944)*(E2=E$1:E1944))))))</f>
        <v> </v>
      </c>
      <c r="K1945" s="26" t="str">
        <f>IF(OR(E1945="",E1945="!!!",F1945="NEW"),"",INDEX(J$1:J1944,SUMPRODUCT(MAX(ROW(E$1:E1944)*(E1945=E$1:E1944)))))</f>
        <v> </v>
      </c>
      <c r="L1945" s="27"/>
    </row>
    <row r="1946" spans="1:12">
      <c r="A1946" s="20" t="s">
        <v>1018</v>
      </c>
      <c r="E1946" s="22">
        <f>IF(D1946="?OLD","!!!","")</f>
        <v/>
      </c>
      <c r="F1946" s="23" t="str">
        <f>IF(OR(E1946="",E1946="!!!"),"",IF(NOT(ISNA(VLOOKUP(E1946,E$1:E1945,1,FALSE()))),"OLD",IF(AND(E1946&lt;&gt;"",E1946&lt;&gt;"!!!"),"NEW","")))</f>
        <v> </v>
      </c>
      <c r="G1946" s="24" t="str">
        <f>IF(OR(E1946="",E1946="!!!"),"",IF(OR(J1946=0,AND(J1946=1,K1946=1),AND(J1946=1,I1946="SBJ"),AND(J1946=1,I1946=0)),"?IN_FOCUS",IF(J1946&lt;=2,"?ACTIVATED",IF(J1946&lt;&gt;"","?FAMILIAR",IF(F1946="NEW",IF(ISNA(VLOOKUP(E1946,#REF!,1,FALSE())),"?TYPE_IDENTIFIABLE","?REFERENTIAL"),"_")))))</f>
        <v> </v>
      </c>
      <c r="H1946" s="25" t="str">
        <f>IF(J1946&lt;&gt;1,"",IF(I1946="SBJ","CB","?"))</f>
        <v> </v>
      </c>
      <c r="I1946" s="26" t="str">
        <f>IF(OR(E1946="",E1946="!!!",F1946="NEW"),"",INDEX(B1945:B$2,-1+SUMPRODUCT(MAX(ROW(E1945:E$2)*(E1946=E1945:E$2)))))</f>
        <v> </v>
      </c>
      <c r="J1946" s="26" t="str">
        <f>IF(OR(E1946="",E1946="!!!",F1946="NEW"),"",COUNTBLANK(OFFSET(A$1,,,SUMPRODUCT(MAX(ROW(E$2:E1946)*(E1946=E$2:E1946)))))-COUNTBLANK(OFFSET(A$1,,,SUMPRODUCT(MAX(ROW(E$1:E1945)*(E2=E$1:E1945))))))</f>
        <v> </v>
      </c>
      <c r="K1946" s="26" t="str">
        <f>IF(OR(E1946="",E1946="!!!",F1946="NEW"),"",INDEX(J$1:J1945,SUMPRODUCT(MAX(ROW(E$1:E1945)*(E1946=E$1:E1945)))))</f>
        <v> </v>
      </c>
      <c r="L1946" s="27"/>
    </row>
    <row r="1947" spans="1:12">
      <c r="A1947" s="20" t="s">
        <v>1142</v>
      </c>
      <c r="E1947" s="22">
        <f>IF(D1947="?OLD","!!!","")</f>
        <v/>
      </c>
      <c r="F1947" s="23" t="str">
        <f>IF(OR(E1947="",E1947="!!!"),"",IF(NOT(ISNA(VLOOKUP(E1947,E$1:E1946,1,FALSE()))),"OLD",IF(AND(E1947&lt;&gt;"",E1947&lt;&gt;"!!!"),"NEW","")))</f>
        <v> </v>
      </c>
      <c r="G1947" s="24" t="str">
        <f>IF(OR(E1947="",E1947="!!!"),"",IF(OR(J1947=0,AND(J1947=1,K1947=1),AND(J1947=1,I1947="SBJ"),AND(J1947=1,I1947=0)),"?IN_FOCUS",IF(J1947&lt;=2,"?ACTIVATED",IF(J1947&lt;&gt;"","?FAMILIAR",IF(F1947="NEW",IF(ISNA(VLOOKUP(E1947,#REF!,1,FALSE())),"?TYPE_IDENTIFIABLE","?REFERENTIAL"),"_")))))</f>
        <v> </v>
      </c>
      <c r="H1947" s="25" t="str">
        <f>IF(J1947&lt;&gt;1,"",IF(I1947="SBJ","CB","?"))</f>
        <v> </v>
      </c>
      <c r="I1947" s="26" t="str">
        <f>IF(OR(E1947="",E1947="!!!",F1947="NEW"),"",INDEX(B1946:B$2,-1+SUMPRODUCT(MAX(ROW(E1946:E$2)*(E1947=E1946:E$2)))))</f>
        <v> </v>
      </c>
      <c r="J1947" s="26" t="str">
        <f>IF(OR(E1947="",E1947="!!!",F1947="NEW"),"",COUNTBLANK(OFFSET(A$1,,,SUMPRODUCT(MAX(ROW(E$2:E1947)*(E1947=E$2:E1947)))))-COUNTBLANK(OFFSET(A$1,,,SUMPRODUCT(MAX(ROW(E$1:E1946)*(E2=E$1:E1946))))))</f>
        <v> </v>
      </c>
      <c r="K1947" s="26" t="str">
        <f>IF(OR(E1947="",E1947="!!!",F1947="NEW"),"",INDEX(J$1:J1946,SUMPRODUCT(MAX(ROW(E$1:E1946)*(E1947=E$1:E1946)))))</f>
        <v> </v>
      </c>
      <c r="L1947" s="27"/>
    </row>
    <row r="1948" spans="1:12">
      <c r="A1948" s="20" t="s">
        <v>1199</v>
      </c>
      <c r="E1948" s="22">
        <f>IF(D1948="?OLD","!!!","")</f>
        <v/>
      </c>
      <c r="F1948" s="23" t="str">
        <f>IF(OR(E1948="",E1948="!!!"),"",IF(NOT(ISNA(VLOOKUP(E1948,E$1:E1947,1,FALSE()))),"OLD",IF(AND(E1948&lt;&gt;"",E1948&lt;&gt;"!!!"),"NEW","")))</f>
        <v> </v>
      </c>
      <c r="G1948" s="24" t="str">
        <f>IF(OR(E1948="",E1948="!!!"),"",IF(OR(J1948=0,AND(J1948=1,K1948=1),AND(J1948=1,I1948="SBJ"),AND(J1948=1,I1948=0)),"?IN_FOCUS",IF(J1948&lt;=2,"?ACTIVATED",IF(J1948&lt;&gt;"","?FAMILIAR",IF(F1948="NEW",IF(ISNA(VLOOKUP(E1948,#REF!,1,FALSE())),"?TYPE_IDENTIFIABLE","?REFERENTIAL"),"_")))))</f>
        <v> </v>
      </c>
      <c r="H1948" s="25" t="str">
        <f>IF(J1948&lt;&gt;1,"",IF(I1948="SBJ","CB","?"))</f>
        <v> </v>
      </c>
      <c r="I1948" s="26" t="str">
        <f>IF(OR(E1948="",E1948="!!!",F1948="NEW"),"",INDEX(B1947:B$2,-1+SUMPRODUCT(MAX(ROW(E1947:E$2)*(E1948=E1947:E$2)))))</f>
        <v> </v>
      </c>
      <c r="J1948" s="26" t="str">
        <f>IF(OR(E1948="",E1948="!!!",F1948="NEW"),"",COUNTBLANK(OFFSET(A$1,,,SUMPRODUCT(MAX(ROW(E$2:E1948)*(E1948=E$2:E1948)))))-COUNTBLANK(OFFSET(A$1,,,SUMPRODUCT(MAX(ROW(E$1:E1947)*(E2=E$1:E1947))))))</f>
        <v> </v>
      </c>
      <c r="K1948" s="26" t="str">
        <f>IF(OR(E1948="",E1948="!!!",F1948="NEW"),"",INDEX(J$1:J1947,SUMPRODUCT(MAX(ROW(E$1:E1947)*(E1948=E$1:E1947)))))</f>
        <v> </v>
      </c>
      <c r="L1948" s="27"/>
    </row>
    <row r="1949" spans="1:12">
      <c r="A1949" s="20" t="s">
        <v>1097</v>
      </c>
      <c r="E1949" s="22">
        <f>IF(D1949="?OLD","!!!","")</f>
        <v/>
      </c>
      <c r="F1949" s="23" t="str">
        <f>IF(OR(E1949="",E1949="!!!"),"",IF(NOT(ISNA(VLOOKUP(E1949,E$1:E1948,1,FALSE()))),"OLD",IF(AND(E1949&lt;&gt;"",E1949&lt;&gt;"!!!"),"NEW","")))</f>
        <v> </v>
      </c>
      <c r="G1949" s="24" t="str">
        <f>IF(OR(E1949="",E1949="!!!"),"",IF(OR(J1949=0,AND(J1949=1,K1949=1),AND(J1949=1,I1949="SBJ"),AND(J1949=1,I1949=0)),"?IN_FOCUS",IF(J1949&lt;=2,"?ACTIVATED",IF(J1949&lt;&gt;"","?FAMILIAR",IF(F1949="NEW",IF(ISNA(VLOOKUP(E1949,#REF!,1,FALSE())),"?TYPE_IDENTIFIABLE","?REFERENTIAL"),"_")))))</f>
        <v> </v>
      </c>
      <c r="H1949" s="25" t="str">
        <f>IF(J1949&lt;&gt;1,"",IF(I1949="SBJ","CB","?"))</f>
        <v> </v>
      </c>
      <c r="I1949" s="26" t="str">
        <f>IF(OR(E1949="",E1949="!!!",F1949="NEW"),"",INDEX(B1948:B$2,-1+SUMPRODUCT(MAX(ROW(E1948:E$2)*(E1949=E1948:E$2)))))</f>
        <v> </v>
      </c>
      <c r="J1949" s="26" t="str">
        <f>IF(OR(E1949="",E1949="!!!",F1949="NEW"),"",COUNTBLANK(OFFSET(A$1,,,SUMPRODUCT(MAX(ROW(E$2:E1949)*(E1949=E$2:E1949)))))-COUNTBLANK(OFFSET(A$1,,,SUMPRODUCT(MAX(ROW(E$1:E1948)*(E2=E$1:E1948))))))</f>
        <v> </v>
      </c>
      <c r="K1949" s="26" t="str">
        <f>IF(OR(E1949="",E1949="!!!",F1949="NEW"),"",INDEX(J$1:J1948,SUMPRODUCT(MAX(ROW(E$1:E1948)*(E1949=E$1:E1948)))))</f>
        <v> </v>
      </c>
      <c r="L1949" s="27"/>
    </row>
    <row r="1950" spans="1:12">
      <c r="A1950" s="20" t="s">
        <v>1020</v>
      </c>
      <c r="E1950" s="22">
        <f>IF(D1950="?OLD","!!!","")</f>
        <v/>
      </c>
      <c r="F1950" s="23" t="str">
        <f>IF(OR(E1950="",E1950="!!!"),"",IF(NOT(ISNA(VLOOKUP(E1950,E$1:E1949,1,FALSE()))),"OLD",IF(AND(E1950&lt;&gt;"",E1950&lt;&gt;"!!!"),"NEW","")))</f>
        <v> </v>
      </c>
      <c r="G1950" s="24" t="str">
        <f>IF(OR(E1950="",E1950="!!!"),"",IF(OR(J1950=0,AND(J1950=1,K1950=1),AND(J1950=1,I1950="SBJ"),AND(J1950=1,I1950=0)),"?IN_FOCUS",IF(J1950&lt;=2,"?ACTIVATED",IF(J1950&lt;&gt;"","?FAMILIAR",IF(F1950="NEW",IF(ISNA(VLOOKUP(E1950,#REF!,1,FALSE())),"?TYPE_IDENTIFIABLE","?REFERENTIAL"),"_")))))</f>
        <v> </v>
      </c>
      <c r="H1950" s="25" t="str">
        <f>IF(J1950&lt;&gt;1,"",IF(I1950="SBJ","CB","?"))</f>
        <v> </v>
      </c>
      <c r="I1950" s="26" t="str">
        <f>IF(OR(E1950="",E1950="!!!",F1950="NEW"),"",INDEX(B1949:B$2,-1+SUMPRODUCT(MAX(ROW(E1949:E$2)*(E1950=E1949:E$2)))))</f>
        <v> </v>
      </c>
      <c r="J1950" s="26" t="str">
        <f>IF(OR(E1950="",E1950="!!!",F1950="NEW"),"",COUNTBLANK(OFFSET(A$1,,,SUMPRODUCT(MAX(ROW(E$2:E1950)*(E1950=E$2:E1950)))))-COUNTBLANK(OFFSET(A$1,,,SUMPRODUCT(MAX(ROW(E$1:E1949)*(E2=E$1:E1949))))))</f>
        <v> </v>
      </c>
      <c r="K1950" s="26" t="str">
        <f>IF(OR(E1950="",E1950="!!!",F1950="NEW"),"",INDEX(J$1:J1949,SUMPRODUCT(MAX(ROW(E$1:E1949)*(E1950=E$1:E1949)))))</f>
        <v> </v>
      </c>
      <c r="L1950" s="27"/>
    </row>
    <row r="1951" spans="1:12">
      <c r="A1951" s="20" t="s">
        <v>1674</v>
      </c>
      <c r="B1951" s="21" t="s">
        <v>1022</v>
      </c>
      <c r="C1951" s="21" t="s">
        <v>1006</v>
      </c>
      <c r="D1951" s="21" t="s">
        <v>1007</v>
      </c>
      <c r="E1951" s="22">
        <f>IF(D1951="?OLD","!!!","")</f>
        <v/>
      </c>
      <c r="F1951" s="23" t="str">
        <f>IF(OR(E1951="",E1951="!!!"),"",IF(NOT(ISNA(VLOOKUP(E1951,E$1:E1950,1,FALSE()))),"OLD",IF(AND(E1951&lt;&gt;"",E1951&lt;&gt;"!!!"),"NEW","")))</f>
        <v> </v>
      </c>
      <c r="G1951" s="24" t="str">
        <f>IF(OR(E1951="",E1951="!!!"),"",IF(OR(J1951=0,AND(J1951=1,K1951=1),AND(J1951=1,I1951="SBJ"),AND(J1951=1,I1951=0)),"?IN_FOCUS",IF(J1951&lt;=2,"?ACTIVATED",IF(J1951&lt;&gt;"","?FAMILIAR",IF(F1951="NEW",IF(ISNA(VLOOKUP(E1951,#REF!,1,FALSE())),"?TYPE_IDENTIFIABLE","?REFERENTIAL"),"_")))))</f>
        <v> </v>
      </c>
      <c r="H1951" s="25" t="str">
        <f>IF(J1951&lt;&gt;1,"",IF(I1951="SBJ","CB","?"))</f>
        <v> </v>
      </c>
      <c r="I1951" s="26" t="str">
        <f>IF(OR(E1951="",E1951="!!!",F1951="NEW"),"",INDEX(B1950:B$2,-1+SUMPRODUCT(MAX(ROW(E1950:E$2)*(E1951=E1950:E$2)))))</f>
        <v> </v>
      </c>
      <c r="J1951" s="26" t="str">
        <f>IF(OR(E1951="",E1951="!!!",F1951="NEW"),"",COUNTBLANK(OFFSET(A$1,,,SUMPRODUCT(MAX(ROW(E$2:E1951)*(E1951=E$2:E1951)))))-COUNTBLANK(OFFSET(A$1,,,SUMPRODUCT(MAX(ROW(E$1:E1950)*(E2=E$1:E1950))))))</f>
        <v> </v>
      </c>
      <c r="K1951" s="26" t="str">
        <f>IF(OR(E1951="",E1951="!!!",F1951="NEW"),"",INDEX(J$1:J1950,SUMPRODUCT(MAX(ROW(E$1:E1950)*(E1951=E$1:E1950)))))</f>
        <v> </v>
      </c>
      <c r="L1951" s="27"/>
    </row>
    <row r="1952" spans="1:12">
      <c r="A1952" s="20" t="s">
        <v>1018</v>
      </c>
      <c r="E1952" s="22">
        <f>IF(D1952="?OLD","!!!","")</f>
        <v/>
      </c>
      <c r="F1952" s="23" t="str">
        <f>IF(OR(E1952="",E1952="!!!"),"",IF(NOT(ISNA(VLOOKUP(E1952,E$1:E1951,1,FALSE()))),"OLD",IF(AND(E1952&lt;&gt;"",E1952&lt;&gt;"!!!"),"NEW","")))</f>
        <v> </v>
      </c>
      <c r="G1952" s="24" t="str">
        <f>IF(OR(E1952="",E1952="!!!"),"",IF(OR(J1952=0,AND(J1952=1,K1952=1),AND(J1952=1,I1952="SBJ"),AND(J1952=1,I1952=0)),"?IN_FOCUS",IF(J1952&lt;=2,"?ACTIVATED",IF(J1952&lt;&gt;"","?FAMILIAR",IF(F1952="NEW",IF(ISNA(VLOOKUP(E1952,#REF!,1,FALSE())),"?TYPE_IDENTIFIABLE","?REFERENTIAL"),"_")))))</f>
        <v> </v>
      </c>
      <c r="H1952" s="25" t="str">
        <f>IF(J1952&lt;&gt;1,"",IF(I1952="SBJ","CB","?"))</f>
        <v> </v>
      </c>
      <c r="I1952" s="26" t="str">
        <f>IF(OR(E1952="",E1952="!!!",F1952="NEW"),"",INDEX(B1951:B$2,-1+SUMPRODUCT(MAX(ROW(E1951:E$2)*(E1952=E1951:E$2)))))</f>
        <v> </v>
      </c>
      <c r="J1952" s="26" t="str">
        <f>IF(OR(E1952="",E1952="!!!",F1952="NEW"),"",COUNTBLANK(OFFSET(A$1,,,SUMPRODUCT(MAX(ROW(E$2:E1952)*(E1952=E$2:E1952)))))-COUNTBLANK(OFFSET(A$1,,,SUMPRODUCT(MAX(ROW(E$1:E1951)*(E2=E$1:E1951))))))</f>
        <v> </v>
      </c>
      <c r="K1952" s="26" t="str">
        <f>IF(OR(E1952="",E1952="!!!",F1952="NEW"),"",INDEX(J$1:J1951,SUMPRODUCT(MAX(ROW(E$1:E1951)*(E1952=E$1:E1951)))))</f>
        <v> </v>
      </c>
      <c r="L1952" s="27"/>
    </row>
    <row r="1953" spans="1:12">
      <c r="A1953" s="20" t="s">
        <v>1142</v>
      </c>
      <c r="E1953" s="22">
        <f>IF(D1953="?OLD","!!!","")</f>
        <v/>
      </c>
      <c r="F1953" s="23" t="str">
        <f>IF(OR(E1953="",E1953="!!!"),"",IF(NOT(ISNA(VLOOKUP(E1953,E$1:E1952,1,FALSE()))),"OLD",IF(AND(E1953&lt;&gt;"",E1953&lt;&gt;"!!!"),"NEW","")))</f>
        <v> </v>
      </c>
      <c r="G1953" s="24" t="str">
        <f>IF(OR(E1953="",E1953="!!!"),"",IF(OR(J1953=0,AND(J1953=1,K1953=1),AND(J1953=1,I1953="SBJ"),AND(J1953=1,I1953=0)),"?IN_FOCUS",IF(J1953&lt;=2,"?ACTIVATED",IF(J1953&lt;&gt;"","?FAMILIAR",IF(F1953="NEW",IF(ISNA(VLOOKUP(E1953,#REF!,1,FALSE())),"?TYPE_IDENTIFIABLE","?REFERENTIAL"),"_")))))</f>
        <v> </v>
      </c>
      <c r="H1953" s="25" t="str">
        <f>IF(J1953&lt;&gt;1,"",IF(I1953="SBJ","CB","?"))</f>
        <v> </v>
      </c>
      <c r="I1953" s="26" t="str">
        <f>IF(OR(E1953="",E1953="!!!",F1953="NEW"),"",INDEX(B1952:B$2,-1+SUMPRODUCT(MAX(ROW(E1952:E$2)*(E1953=E1952:E$2)))))</f>
        <v> </v>
      </c>
      <c r="J1953" s="26" t="str">
        <f>IF(OR(E1953="",E1953="!!!",F1953="NEW"),"",COUNTBLANK(OFFSET(A$1,,,SUMPRODUCT(MAX(ROW(E$2:E1953)*(E1953=E$2:E1953)))))-COUNTBLANK(OFFSET(A$1,,,SUMPRODUCT(MAX(ROW(E$1:E1952)*(E2=E$1:E1952))))))</f>
        <v> </v>
      </c>
      <c r="K1953" s="26" t="str">
        <f>IF(OR(E1953="",E1953="!!!",F1953="NEW"),"",INDEX(J$1:J1952,SUMPRODUCT(MAX(ROW(E$1:E1952)*(E1953=E$1:E1952)))))</f>
        <v> </v>
      </c>
      <c r="L1953" s="27"/>
    </row>
    <row r="1954" spans="1:12">
      <c r="A1954" s="20" t="s">
        <v>1164</v>
      </c>
      <c r="E1954" s="22">
        <f>IF(D1954="?OLD","!!!","")</f>
        <v/>
      </c>
      <c r="F1954" s="23" t="str">
        <f>IF(OR(E1954="",E1954="!!!"),"",IF(NOT(ISNA(VLOOKUP(E1954,E$1:E1953,1,FALSE()))),"OLD",IF(AND(E1954&lt;&gt;"",E1954&lt;&gt;"!!!"),"NEW","")))</f>
        <v> </v>
      </c>
      <c r="G1954" s="24" t="str">
        <f>IF(OR(E1954="",E1954="!!!"),"",IF(OR(J1954=0,AND(J1954=1,K1954=1),AND(J1954=1,I1954="SBJ"),AND(J1954=1,I1954=0)),"?IN_FOCUS",IF(J1954&lt;=2,"?ACTIVATED",IF(J1954&lt;&gt;"","?FAMILIAR",IF(F1954="NEW",IF(ISNA(VLOOKUP(E1954,#REF!,1,FALSE())),"?TYPE_IDENTIFIABLE","?REFERENTIAL"),"_")))))</f>
        <v> </v>
      </c>
      <c r="H1954" s="25" t="str">
        <f>IF(J1954&lt;&gt;1,"",IF(I1954="SBJ","CB","?"))</f>
        <v> </v>
      </c>
      <c r="I1954" s="26" t="str">
        <f>IF(OR(E1954="",E1954="!!!",F1954="NEW"),"",INDEX(B1953:B$2,-1+SUMPRODUCT(MAX(ROW(E1953:E$2)*(E1954=E1953:E$2)))))</f>
        <v> </v>
      </c>
      <c r="J1954" s="26" t="str">
        <f>IF(OR(E1954="",E1954="!!!",F1954="NEW"),"",COUNTBLANK(OFFSET(A$1,,,SUMPRODUCT(MAX(ROW(E$2:E1954)*(E1954=E$2:E1954)))))-COUNTBLANK(OFFSET(A$1,,,SUMPRODUCT(MAX(ROW(E$1:E1953)*(E2=E$1:E1953))))))</f>
        <v> </v>
      </c>
      <c r="K1954" s="26" t="str">
        <f>IF(OR(E1954="",E1954="!!!",F1954="NEW"),"",INDEX(J$1:J1953,SUMPRODUCT(MAX(ROW(E$1:E1953)*(E1954=E$1:E1953)))))</f>
        <v> </v>
      </c>
      <c r="L1954" s="27"/>
    </row>
    <row r="1955" spans="1:12">
      <c r="A1955" s="20" t="s">
        <v>1199</v>
      </c>
      <c r="E1955" s="22">
        <f>IF(D1955="?OLD","!!!","")</f>
        <v/>
      </c>
      <c r="F1955" s="23" t="str">
        <f>IF(OR(E1955="",E1955="!!!"),"",IF(NOT(ISNA(VLOOKUP(E1955,E$1:E1954,1,FALSE()))),"OLD",IF(AND(E1955&lt;&gt;"",E1955&lt;&gt;"!!!"),"NEW","")))</f>
        <v> </v>
      </c>
      <c r="G1955" s="24" t="str">
        <f>IF(OR(E1955="",E1955="!!!"),"",IF(OR(J1955=0,AND(J1955=1,K1955=1),AND(J1955=1,I1955="SBJ"),AND(J1955=1,I1955=0)),"?IN_FOCUS",IF(J1955&lt;=2,"?ACTIVATED",IF(J1955&lt;&gt;"","?FAMILIAR",IF(F1955="NEW",IF(ISNA(VLOOKUP(E1955,#REF!,1,FALSE())),"?TYPE_IDENTIFIABLE","?REFERENTIAL"),"_")))))</f>
        <v> </v>
      </c>
      <c r="H1955" s="25" t="str">
        <f>IF(J1955&lt;&gt;1,"",IF(I1955="SBJ","CB","?"))</f>
        <v> </v>
      </c>
      <c r="I1955" s="26" t="str">
        <f>IF(OR(E1955="",E1955="!!!",F1955="NEW"),"",INDEX(B1954:B$2,-1+SUMPRODUCT(MAX(ROW(E1954:E$2)*(E1955=E1954:E$2)))))</f>
        <v> </v>
      </c>
      <c r="J1955" s="26" t="str">
        <f>IF(OR(E1955="",E1955="!!!",F1955="NEW"),"",COUNTBLANK(OFFSET(A$1,,,SUMPRODUCT(MAX(ROW(E$2:E1955)*(E1955=E$2:E1955)))))-COUNTBLANK(OFFSET(A$1,,,SUMPRODUCT(MAX(ROW(E$1:E1954)*(E2=E$1:E1954))))))</f>
        <v> </v>
      </c>
      <c r="K1955" s="26" t="str">
        <f>IF(OR(E1955="",E1955="!!!",F1955="NEW"),"",INDEX(J$1:J1954,SUMPRODUCT(MAX(ROW(E$1:E1954)*(E1955=E$1:E1954)))))</f>
        <v> </v>
      </c>
      <c r="L1955" s="27"/>
    </row>
    <row r="1956" spans="1:12">
      <c r="A1956" s="20" t="s">
        <v>1224</v>
      </c>
      <c r="B1956" s="21" t="s">
        <v>1005</v>
      </c>
      <c r="C1956" s="21" t="s">
        <v>1082</v>
      </c>
      <c r="D1956" s="21" t="s">
        <v>1007</v>
      </c>
      <c r="E1956" s="22">
        <f>IF(D1956="?OLD","!!!","")</f>
        <v/>
      </c>
      <c r="F1956" s="23" t="str">
        <f>IF(OR(E1956="",E1956="!!!"),"",IF(NOT(ISNA(VLOOKUP(E1956,E$1:E1955,1,FALSE()))),"OLD",IF(AND(E1956&lt;&gt;"",E1956&lt;&gt;"!!!"),"NEW","")))</f>
        <v> </v>
      </c>
      <c r="G1956" s="24" t="str">
        <f>IF(OR(E1956="",E1956="!!!"),"",IF(OR(J1956=0,AND(J1956=1,K1956=1),AND(J1956=1,I1956="SBJ"),AND(J1956=1,I1956=0)),"?IN_FOCUS",IF(J1956&lt;=2,"?ACTIVATED",IF(J1956&lt;&gt;"","?FAMILIAR",IF(F1956="NEW",IF(ISNA(VLOOKUP(E1956,#REF!,1,FALSE())),"?TYPE_IDENTIFIABLE","?REFERENTIAL"),"_")))))</f>
        <v> </v>
      </c>
      <c r="H1956" s="25" t="str">
        <f>IF(J1956&lt;&gt;1,"",IF(I1956="SBJ","CB","?"))</f>
        <v> </v>
      </c>
      <c r="I1956" s="26" t="str">
        <f>IF(OR(E1956="",E1956="!!!",F1956="NEW"),"",INDEX(B1955:B$2,-1+SUMPRODUCT(MAX(ROW(E1955:E$2)*(E1956=E1955:E$2)))))</f>
        <v> </v>
      </c>
      <c r="J1956" s="26" t="str">
        <f>IF(OR(E1956="",E1956="!!!",F1956="NEW"),"",COUNTBLANK(OFFSET(A$1,,,SUMPRODUCT(MAX(ROW(E$2:E1956)*(E1956=E$2:E1956)))))-COUNTBLANK(OFFSET(A$1,,,SUMPRODUCT(MAX(ROW(E$1:E1955)*(E2=E$1:E1955))))))</f>
        <v> </v>
      </c>
      <c r="K1956" s="26" t="str">
        <f>IF(OR(E1956="",E1956="!!!",F1956="NEW"),"",INDEX(J$1:J1955,SUMPRODUCT(MAX(ROW(E$1:E1955)*(E1956=E$1:E1955)))))</f>
        <v> </v>
      </c>
      <c r="L1956" s="27"/>
    </row>
    <row r="1957" spans="1:12">
      <c r="A1957" s="20" t="s">
        <v>1018</v>
      </c>
      <c r="E1957" s="22">
        <f>IF(D1957="?OLD","!!!","")</f>
        <v/>
      </c>
      <c r="F1957" s="23" t="str">
        <f>IF(OR(E1957="",E1957="!!!"),"",IF(NOT(ISNA(VLOOKUP(E1957,E$1:E1956,1,FALSE()))),"OLD",IF(AND(E1957&lt;&gt;"",E1957&lt;&gt;"!!!"),"NEW","")))</f>
        <v> </v>
      </c>
      <c r="G1957" s="24" t="str">
        <f>IF(OR(E1957="",E1957="!!!"),"",IF(OR(J1957=0,AND(J1957=1,K1957=1),AND(J1957=1,I1957="SBJ"),AND(J1957=1,I1957=0)),"?IN_FOCUS",IF(J1957&lt;=2,"?ACTIVATED",IF(J1957&lt;&gt;"","?FAMILIAR",IF(F1957="NEW",IF(ISNA(VLOOKUP(E1957,#REF!,1,FALSE())),"?TYPE_IDENTIFIABLE","?REFERENTIAL"),"_")))))</f>
        <v> </v>
      </c>
      <c r="H1957" s="25" t="str">
        <f>IF(J1957&lt;&gt;1,"",IF(I1957="SBJ","CB","?"))</f>
        <v> </v>
      </c>
      <c r="I1957" s="26" t="str">
        <f>IF(OR(E1957="",E1957="!!!",F1957="NEW"),"",INDEX(B1956:B$2,-1+SUMPRODUCT(MAX(ROW(E1956:E$2)*(E1957=E1956:E$2)))))</f>
        <v> </v>
      </c>
      <c r="J1957" s="26" t="str">
        <f>IF(OR(E1957="",E1957="!!!",F1957="NEW"),"",COUNTBLANK(OFFSET(A$1,,,SUMPRODUCT(MAX(ROW(E$2:E1957)*(E1957=E$2:E1957)))))-COUNTBLANK(OFFSET(A$1,,,SUMPRODUCT(MAX(ROW(E$1:E1956)*(E2=E$1:E1956))))))</f>
        <v> </v>
      </c>
      <c r="K1957" s="26" t="str">
        <f>IF(OR(E1957="",E1957="!!!",F1957="NEW"),"",INDEX(J$1:J1956,SUMPRODUCT(MAX(ROW(E$1:E1956)*(E1957=E$1:E1956)))))</f>
        <v> </v>
      </c>
      <c r="L1957" s="27"/>
    </row>
    <row r="1958" spans="1:12">
      <c r="A1958" s="20" t="s">
        <v>1330</v>
      </c>
      <c r="E1958" s="22">
        <f>IF(D1958="?OLD","!!!","")</f>
        <v/>
      </c>
      <c r="F1958" s="23" t="str">
        <f>IF(OR(E1958="",E1958="!!!"),"",IF(NOT(ISNA(VLOOKUP(E1958,E$1:E1957,1,FALSE()))),"OLD",IF(AND(E1958&lt;&gt;"",E1958&lt;&gt;"!!!"),"NEW","")))</f>
        <v> </v>
      </c>
      <c r="G1958" s="24" t="str">
        <f>IF(OR(E1958="",E1958="!!!"),"",IF(OR(J1958=0,AND(J1958=1,K1958=1),AND(J1958=1,I1958="SBJ"),AND(J1958=1,I1958=0)),"?IN_FOCUS",IF(J1958&lt;=2,"?ACTIVATED",IF(J1958&lt;&gt;"","?FAMILIAR",IF(F1958="NEW",IF(ISNA(VLOOKUP(E1958,#REF!,1,FALSE())),"?TYPE_IDENTIFIABLE","?REFERENTIAL"),"_")))))</f>
        <v> </v>
      </c>
      <c r="H1958" s="25" t="str">
        <f>IF(J1958&lt;&gt;1,"",IF(I1958="SBJ","CB","?"))</f>
        <v> </v>
      </c>
      <c r="I1958" s="26" t="str">
        <f>IF(OR(E1958="",E1958="!!!",F1958="NEW"),"",INDEX(B1957:B$2,-1+SUMPRODUCT(MAX(ROW(E1957:E$2)*(E1958=E1957:E$2)))))</f>
        <v> </v>
      </c>
      <c r="J1958" s="26" t="str">
        <f>IF(OR(E1958="",E1958="!!!",F1958="NEW"),"",COUNTBLANK(OFFSET(A$1,,,SUMPRODUCT(MAX(ROW(E$2:E1958)*(E1958=E$2:E1958)))))-COUNTBLANK(OFFSET(A$1,,,SUMPRODUCT(MAX(ROW(E$1:E1957)*(E2=E$1:E1957))))))</f>
        <v> </v>
      </c>
      <c r="K1958" s="26" t="str">
        <f>IF(OR(E1958="",E1958="!!!",F1958="NEW"),"",INDEX(J$1:J1957,SUMPRODUCT(MAX(ROW(E$1:E1957)*(E1958=E$1:E1957)))))</f>
        <v> </v>
      </c>
      <c r="L1958" s="27"/>
    </row>
    <row r="1959" spans="1:12">
      <c r="A1959" s="20" t="s">
        <v>1224</v>
      </c>
      <c r="B1959" s="21" t="s">
        <v>1119</v>
      </c>
      <c r="C1959" s="21" t="s">
        <v>1082</v>
      </c>
      <c r="D1959" s="21" t="s">
        <v>1007</v>
      </c>
      <c r="E1959" s="22">
        <f>IF(D1959="?OLD","!!!","")</f>
        <v/>
      </c>
      <c r="F1959" s="23" t="str">
        <f>IF(OR(E1959="",E1959="!!!"),"",IF(NOT(ISNA(VLOOKUP(E1959,E$1:E1958,1,FALSE()))),"OLD",IF(AND(E1959&lt;&gt;"",E1959&lt;&gt;"!!!"),"NEW","")))</f>
        <v> </v>
      </c>
      <c r="G1959" s="24" t="str">
        <f>IF(OR(E1959="",E1959="!!!"),"",IF(OR(J1959=0,AND(J1959=1,K1959=1),AND(J1959=1,I1959="SBJ"),AND(J1959=1,I1959=0)),"?IN_FOCUS",IF(J1959&lt;=2,"?ACTIVATED",IF(J1959&lt;&gt;"","?FAMILIAR",IF(F1959="NEW",IF(ISNA(VLOOKUP(E1959,#REF!,1,FALSE())),"?TYPE_IDENTIFIABLE","?REFERENTIAL"),"_")))))</f>
        <v> </v>
      </c>
      <c r="H1959" s="25" t="str">
        <f>IF(J1959&lt;&gt;1,"",IF(I1959="SBJ","CB","?"))</f>
        <v> </v>
      </c>
      <c r="I1959" s="26" t="str">
        <f>IF(OR(E1959="",E1959="!!!",F1959="NEW"),"",INDEX(B1958:B$2,-1+SUMPRODUCT(MAX(ROW(E1958:E$2)*(E1959=E1958:E$2)))))</f>
        <v> </v>
      </c>
      <c r="J1959" s="26" t="str">
        <f>IF(OR(E1959="",E1959="!!!",F1959="NEW"),"",COUNTBLANK(OFFSET(A$1,,,SUMPRODUCT(MAX(ROW(E$2:E1959)*(E1959=E$2:E1959)))))-COUNTBLANK(OFFSET(A$1,,,SUMPRODUCT(MAX(ROW(E$1:E1958)*(E2=E$1:E1958))))))</f>
        <v> </v>
      </c>
      <c r="K1959" s="26" t="str">
        <f>IF(OR(E1959="",E1959="!!!",F1959="NEW"),"",INDEX(J$1:J1958,SUMPRODUCT(MAX(ROW(E$1:E1958)*(E1959=E$1:E1958)))))</f>
        <v> </v>
      </c>
      <c r="L1959" s="27"/>
    </row>
    <row r="1960" spans="1:12">
      <c r="A1960" s="20" t="s">
        <v>1164</v>
      </c>
      <c r="E1960" s="22">
        <f>IF(D1960="?OLD","!!!","")</f>
        <v/>
      </c>
      <c r="F1960" s="23" t="str">
        <f>IF(OR(E1960="",E1960="!!!"),"",IF(NOT(ISNA(VLOOKUP(E1960,E$1:E1959,1,FALSE()))),"OLD",IF(AND(E1960&lt;&gt;"",E1960&lt;&gt;"!!!"),"NEW","")))</f>
        <v> </v>
      </c>
      <c r="G1960" s="24" t="str">
        <f>IF(OR(E1960="",E1960="!!!"),"",IF(OR(J1960=0,AND(J1960=1,K1960=1),AND(J1960=1,I1960="SBJ"),AND(J1960=1,I1960=0)),"?IN_FOCUS",IF(J1960&lt;=2,"?ACTIVATED",IF(J1960&lt;&gt;"","?FAMILIAR",IF(F1960="NEW",IF(ISNA(VLOOKUP(E1960,#REF!,1,FALSE())),"?TYPE_IDENTIFIABLE","?REFERENTIAL"),"_")))))</f>
        <v> </v>
      </c>
      <c r="H1960" s="25" t="str">
        <f>IF(J1960&lt;&gt;1,"",IF(I1960="SBJ","CB","?"))</f>
        <v> </v>
      </c>
      <c r="I1960" s="26" t="str">
        <f>IF(OR(E1960="",E1960="!!!",F1960="NEW"),"",INDEX(B1959:B$2,-1+SUMPRODUCT(MAX(ROW(E1959:E$2)*(E1960=E1959:E$2)))))</f>
        <v> </v>
      </c>
      <c r="J1960" s="26" t="str">
        <f>IF(OR(E1960="",E1960="!!!",F1960="NEW"),"",COUNTBLANK(OFFSET(A$1,,,SUMPRODUCT(MAX(ROW(E$2:E1960)*(E1960=E$2:E1960)))))-COUNTBLANK(OFFSET(A$1,,,SUMPRODUCT(MAX(ROW(E$1:E1959)*(E2=E$1:E1959))))))</f>
        <v> </v>
      </c>
      <c r="K1960" s="26" t="str">
        <f>IF(OR(E1960="",E1960="!!!",F1960="NEW"),"",INDEX(J$1:J1959,SUMPRODUCT(MAX(ROW(E$1:E1959)*(E1960=E$1:E1959)))))</f>
        <v> </v>
      </c>
      <c r="L1960" s="27"/>
    </row>
    <row r="1961" spans="1:12">
      <c r="A1961" s="20" t="s">
        <v>1056</v>
      </c>
      <c r="E1961" s="22">
        <f>IF(D1961="?OLD","!!!","")</f>
        <v/>
      </c>
      <c r="F1961" s="23" t="str">
        <f>IF(OR(E1961="",E1961="!!!"),"",IF(NOT(ISNA(VLOOKUP(E1961,E$1:E1960,1,FALSE()))),"OLD",IF(AND(E1961&lt;&gt;"",E1961&lt;&gt;"!!!"),"NEW","")))</f>
        <v> </v>
      </c>
      <c r="G1961" s="24" t="str">
        <f>IF(OR(E1961="",E1961="!!!"),"",IF(OR(J1961=0,AND(J1961=1,K1961=1),AND(J1961=1,I1961="SBJ"),AND(J1961=1,I1961=0)),"?IN_FOCUS",IF(J1961&lt;=2,"?ACTIVATED",IF(J1961&lt;&gt;"","?FAMILIAR",IF(F1961="NEW",IF(ISNA(VLOOKUP(E1961,#REF!,1,FALSE())),"?TYPE_IDENTIFIABLE","?REFERENTIAL"),"_")))))</f>
        <v> </v>
      </c>
      <c r="H1961" s="25" t="str">
        <f>IF(J1961&lt;&gt;1,"",IF(I1961="SBJ","CB","?"))</f>
        <v> </v>
      </c>
      <c r="I1961" s="26" t="str">
        <f>IF(OR(E1961="",E1961="!!!",F1961="NEW"),"",INDEX(B1960:B$2,-1+SUMPRODUCT(MAX(ROW(E1960:E$2)*(E1961=E1960:E$2)))))</f>
        <v> </v>
      </c>
      <c r="J1961" s="26" t="str">
        <f>IF(OR(E1961="",E1961="!!!",F1961="NEW"),"",COUNTBLANK(OFFSET(A$1,,,SUMPRODUCT(MAX(ROW(E$2:E1961)*(E1961=E$2:E1961)))))-COUNTBLANK(OFFSET(A$1,,,SUMPRODUCT(MAX(ROW(E$1:E1960)*(E2=E$1:E1960))))))</f>
        <v> </v>
      </c>
      <c r="K1961" s="26" t="str">
        <f>IF(OR(E1961="",E1961="!!!",F1961="NEW"),"",INDEX(J$1:J1960,SUMPRODUCT(MAX(ROW(E$1:E1960)*(E1961=E$1:E1960)))))</f>
        <v> </v>
      </c>
      <c r="L1961" s="27"/>
    </row>
    <row r="1962" spans="1:12">
      <c r="A1962" s="20" t="s">
        <v>1675</v>
      </c>
      <c r="E1962" s="22">
        <f>IF(D1962="?OLD","!!!","")</f>
        <v/>
      </c>
      <c r="F1962" s="23" t="str">
        <f>IF(OR(E1962="",E1962="!!!"),"",IF(NOT(ISNA(VLOOKUP(E1962,E$1:E1961,1,FALSE()))),"OLD",IF(AND(E1962&lt;&gt;"",E1962&lt;&gt;"!!!"),"NEW","")))</f>
        <v> </v>
      </c>
      <c r="G1962" s="24" t="str">
        <f>IF(OR(E1962="",E1962="!!!"),"",IF(OR(J1962=0,AND(J1962=1,K1962=1),AND(J1962=1,I1962="SBJ"),AND(J1962=1,I1962=0)),"?IN_FOCUS",IF(J1962&lt;=2,"?ACTIVATED",IF(J1962&lt;&gt;"","?FAMILIAR",IF(F1962="NEW",IF(ISNA(VLOOKUP(E1962,#REF!,1,FALSE())),"?TYPE_IDENTIFIABLE","?REFERENTIAL"),"_")))))</f>
        <v> </v>
      </c>
      <c r="H1962" s="25" t="str">
        <f>IF(J1962&lt;&gt;1,"",IF(I1962="SBJ","CB","?"))</f>
        <v> </v>
      </c>
      <c r="I1962" s="26" t="str">
        <f>IF(OR(E1962="",E1962="!!!",F1962="NEW"),"",INDEX(B1961:B$2,-1+SUMPRODUCT(MAX(ROW(E1961:E$2)*(E1962=E1961:E$2)))))</f>
        <v> </v>
      </c>
      <c r="J1962" s="26" t="str">
        <f>IF(OR(E1962="",E1962="!!!",F1962="NEW"),"",COUNTBLANK(OFFSET(A$1,,,SUMPRODUCT(MAX(ROW(E$2:E1962)*(E1962=E$2:E1962)))))-COUNTBLANK(OFFSET(A$1,,,SUMPRODUCT(MAX(ROW(E$1:E1961)*(E2=E$1:E1961))))))</f>
        <v> </v>
      </c>
      <c r="K1962" s="26" t="str">
        <f>IF(OR(E1962="",E1962="!!!",F1962="NEW"),"",INDEX(J$1:J1961,SUMPRODUCT(MAX(ROW(E$1:E1961)*(E1962=E$1:E1961)))))</f>
        <v> </v>
      </c>
      <c r="L1962" s="27"/>
    </row>
    <row r="1963" spans="1:12">
      <c r="A1963" s="20" t="s">
        <v>1676</v>
      </c>
      <c r="B1963" s="21" t="s">
        <v>1005</v>
      </c>
      <c r="C1963" s="21" t="s">
        <v>1111</v>
      </c>
      <c r="E1963" s="22">
        <f>IF(D1963="?OLD","!!!","")</f>
        <v/>
      </c>
      <c r="F1963" s="23" t="str">
        <f>IF(OR(E1963="",E1963="!!!"),"",IF(NOT(ISNA(VLOOKUP(E1963,E$1:E1962,1,FALSE()))),"OLD",IF(AND(E1963&lt;&gt;"",E1963&lt;&gt;"!!!"),"NEW","")))</f>
        <v> </v>
      </c>
      <c r="G1963" s="24" t="str">
        <f>IF(OR(E1963="",E1963="!!!"),"",IF(OR(J1963=0,AND(J1963=1,K1963=1),AND(J1963=1,I1963="SBJ"),AND(J1963=1,I1963=0)),"?IN_FOCUS",IF(J1963&lt;=2,"?ACTIVATED",IF(J1963&lt;&gt;"","?FAMILIAR",IF(F1963="NEW",IF(ISNA(VLOOKUP(E1963,#REF!,1,FALSE())),"?TYPE_IDENTIFIABLE","?REFERENTIAL"),"_")))))</f>
        <v> </v>
      </c>
      <c r="H1963" s="25" t="str">
        <f>IF(J1963&lt;&gt;1,"",IF(I1963="SBJ","CB","?"))</f>
        <v> </v>
      </c>
      <c r="I1963" s="26" t="str">
        <f>IF(OR(E1963="",E1963="!!!",F1963="NEW"),"",INDEX(B1962:B$2,-1+SUMPRODUCT(MAX(ROW(E1962:E$2)*(E1963=E1962:E$2)))))</f>
        <v> </v>
      </c>
      <c r="J1963" s="26" t="str">
        <f>IF(OR(E1963="",E1963="!!!",F1963="NEW"),"",COUNTBLANK(OFFSET(A$1,,,SUMPRODUCT(MAX(ROW(E$2:E1963)*(E1963=E$2:E1963)))))-COUNTBLANK(OFFSET(A$1,,,SUMPRODUCT(MAX(ROW(E$1:E1962)*(E2=E$1:E1962))))))</f>
        <v> </v>
      </c>
      <c r="K1963" s="26" t="str">
        <f>IF(OR(E1963="",E1963="!!!",F1963="NEW"),"",INDEX(J$1:J1962,SUMPRODUCT(MAX(ROW(E$1:E1962)*(E1963=E$1:E1962)))))</f>
        <v> </v>
      </c>
      <c r="L1963" s="27"/>
    </row>
    <row r="1964" spans="1:12">
      <c r="A1964" s="20" t="s">
        <v>1023</v>
      </c>
      <c r="E1964" s="22">
        <f>IF(D1964="?OLD","!!!","")</f>
        <v/>
      </c>
      <c r="F1964" s="23" t="str">
        <f>IF(OR(E1964="",E1964="!!!"),"",IF(NOT(ISNA(VLOOKUP(E1964,E$1:E1963,1,FALSE()))),"OLD",IF(AND(E1964&lt;&gt;"",E1964&lt;&gt;"!!!"),"NEW","")))</f>
        <v> </v>
      </c>
      <c r="G1964" s="24" t="str">
        <f>IF(OR(E1964="",E1964="!!!"),"",IF(OR(J1964=0,AND(J1964=1,K1964=1),AND(J1964=1,I1964="SBJ"),AND(J1964=1,I1964=0)),"?IN_FOCUS",IF(J1964&lt;=2,"?ACTIVATED",IF(J1964&lt;&gt;"","?FAMILIAR",IF(F1964="NEW",IF(ISNA(VLOOKUP(E1964,#REF!,1,FALSE())),"?TYPE_IDENTIFIABLE","?REFERENTIAL"),"_")))))</f>
        <v> </v>
      </c>
      <c r="H1964" s="25" t="str">
        <f>IF(J1964&lt;&gt;1,"",IF(I1964="SBJ","CB","?"))</f>
        <v> </v>
      </c>
      <c r="I1964" s="26" t="str">
        <f>IF(OR(E1964="",E1964="!!!",F1964="NEW"),"",INDEX(B1963:B$2,-1+SUMPRODUCT(MAX(ROW(E1963:E$2)*(E1964=E1963:E$2)))))</f>
        <v> </v>
      </c>
      <c r="J1964" s="26" t="str">
        <f>IF(OR(E1964="",E1964="!!!",F1964="NEW"),"",COUNTBLANK(OFFSET(A$1,,,SUMPRODUCT(MAX(ROW(E$2:E1964)*(E1964=E$2:E1964)))))-COUNTBLANK(OFFSET(A$1,,,SUMPRODUCT(MAX(ROW(E$1:E1963)*(E2=E$1:E1963))))))</f>
        <v> </v>
      </c>
      <c r="K1964" s="26" t="str">
        <f>IF(OR(E1964="",E1964="!!!",F1964="NEW"),"",INDEX(J$1:J1963,SUMPRODUCT(MAX(ROW(E$1:E1963)*(E1964=E$1:E1963)))))</f>
        <v> </v>
      </c>
      <c r="L1964" s="27"/>
    </row>
    <row r="1965" spans="1:12">
      <c r="A1965" s="20"/>
    </row>
    <row r="1966" spans="1:12">
      <c r="A1966" s="20" t="s">
        <v>1677</v>
      </c>
    </row>
    <row r="1967" spans="1:12">
      <c r="A1967" s="20" t="s">
        <v>1678</v>
      </c>
      <c r="E1967" s="22">
        <f>IF(D1967="?OLD","!!!","")</f>
        <v/>
      </c>
      <c r="F1967" s="23" t="str">
        <f>IF(OR(E1967="",E1967="!!!"),"",IF(NOT(ISNA(VLOOKUP(E1967,E$1:E1966,1,FALSE()))),"OLD",IF(AND(E1967&lt;&gt;"",E1967&lt;&gt;"!!!"),"NEW","")))</f>
        <v> </v>
      </c>
      <c r="G1967" s="24" t="str">
        <f>IF(OR(E1967="",E1967="!!!"),"",IF(OR(J1967=0,AND(J1967=1,K1967=1),AND(J1967=1,I1967="SBJ"),AND(J1967=1,I1967=0)),"?IN_FOCUS",IF(J1967&lt;=2,"?ACTIVATED",IF(J1967&lt;&gt;"","?FAMILIAR",IF(F1967="NEW",IF(ISNA(VLOOKUP(E1967,#REF!,1,FALSE())),"?TYPE_IDENTIFIABLE","?REFERENTIAL"),"_")))))</f>
        <v> </v>
      </c>
      <c r="H1967" s="25" t="str">
        <f>IF(J1967&lt;&gt;1,"",IF(I1967="SBJ","CB","?"))</f>
        <v> </v>
      </c>
      <c r="I1967" s="26" t="str">
        <f>IF(OR(E1967="",E1967="!!!",F1967="NEW"),"",INDEX(B1966:B$2,-1+SUMPRODUCT(MAX(ROW(E1966:E$2)*(E1967=E1966:E$2)))))</f>
        <v> </v>
      </c>
      <c r="J1967" s="26" t="str">
        <f>IF(OR(E1967="",E1967="!!!",F1967="NEW"),"",COUNTBLANK(OFFSET(A$1,,,SUMPRODUCT(MAX(ROW(E$2:E1967)*(E1967=E$2:E1967)))))-COUNTBLANK(OFFSET(A$1,,,SUMPRODUCT(MAX(ROW(E$1:E1966)*(E2=E$1:E1966))))))</f>
        <v> </v>
      </c>
      <c r="K1967" s="26" t="str">
        <f>IF(OR(E1967="",E1967="!!!",F1967="NEW"),"",INDEX(J$1:J1966,SUMPRODUCT(MAX(ROW(E$1:E1966)*(E1967=E$1:E1966)))))</f>
        <v> </v>
      </c>
      <c r="L1967" s="27"/>
    </row>
    <row r="1968" spans="1:12">
      <c r="A1968" s="20" t="s">
        <v>1027</v>
      </c>
      <c r="E1968" s="22">
        <f>IF(D1968="?OLD","!!!","")</f>
        <v/>
      </c>
      <c r="F1968" s="23" t="str">
        <f>IF(OR(E1968="",E1968="!!!"),"",IF(NOT(ISNA(VLOOKUP(E1968,E$1:E1967,1,FALSE()))),"OLD",IF(AND(E1968&lt;&gt;"",E1968&lt;&gt;"!!!"),"NEW","")))</f>
        <v> </v>
      </c>
      <c r="G1968" s="24" t="str">
        <f>IF(OR(E1968="",E1968="!!!"),"",IF(OR(J1968=0,AND(J1968=1,K1968=1),AND(J1968=1,I1968="SBJ"),AND(J1968=1,I1968=0)),"?IN_FOCUS",IF(J1968&lt;=2,"?ACTIVATED",IF(J1968&lt;&gt;"","?FAMILIAR",IF(F1968="NEW",IF(ISNA(VLOOKUP(E1968,#REF!,1,FALSE())),"?TYPE_IDENTIFIABLE","?REFERENTIAL"),"_")))))</f>
        <v> </v>
      </c>
      <c r="H1968" s="25" t="str">
        <f>IF(J1968&lt;&gt;1,"",IF(I1968="SBJ","CB","?"))</f>
        <v> </v>
      </c>
      <c r="I1968" s="26" t="str">
        <f>IF(OR(E1968="",E1968="!!!",F1968="NEW"),"",INDEX(B1967:B$2,-1+SUMPRODUCT(MAX(ROW(E1967:E$2)*(E1968=E1967:E$2)))))</f>
        <v> </v>
      </c>
      <c r="J1968" s="26" t="str">
        <f>IF(OR(E1968="",E1968="!!!",F1968="NEW"),"",COUNTBLANK(OFFSET(A$1,,,SUMPRODUCT(MAX(ROW(E$2:E1968)*(E1968=E$2:E1968)))))-COUNTBLANK(OFFSET(A$1,,,SUMPRODUCT(MAX(ROW(E$1:E1967)*(E2=E$1:E1967))))))</f>
        <v> </v>
      </c>
      <c r="K1968" s="26" t="str">
        <f>IF(OR(E1968="",E1968="!!!",F1968="NEW"),"",INDEX(J$1:J1967,SUMPRODUCT(MAX(ROW(E$1:E1967)*(E1968=E$1:E1967)))))</f>
        <v> </v>
      </c>
      <c r="L1968" s="27"/>
    </row>
    <row r="1969" spans="1:12">
      <c r="A1969" s="20" t="s">
        <v>1460</v>
      </c>
      <c r="B1969" s="21" t="s">
        <v>1119</v>
      </c>
      <c r="C1969" s="21" t="s">
        <v>1017</v>
      </c>
      <c r="D1969" s="21" t="s">
        <v>1007</v>
      </c>
      <c r="E1969" s="22">
        <f>IF(D1969="?OLD","!!!","")</f>
        <v/>
      </c>
      <c r="F1969" s="23" t="str">
        <f>IF(OR(E1969="",E1969="!!!"),"",IF(NOT(ISNA(VLOOKUP(E1969,E$1:E1968,1,FALSE()))),"OLD",IF(AND(E1969&lt;&gt;"",E1969&lt;&gt;"!!!"),"NEW","")))</f>
        <v> </v>
      </c>
      <c r="G1969" s="24" t="str">
        <f>IF(OR(E1969="",E1969="!!!"),"",IF(OR(J1969=0,AND(J1969=1,K1969=1),AND(J1969=1,I1969="SBJ"),AND(J1969=1,I1969=0)),"?IN_FOCUS",IF(J1969&lt;=2,"?ACTIVATED",IF(J1969&lt;&gt;"","?FAMILIAR",IF(F1969="NEW",IF(ISNA(VLOOKUP(E1969,#REF!,1,FALSE())),"?TYPE_IDENTIFIABLE","?REFERENTIAL"),"_")))))</f>
        <v> </v>
      </c>
      <c r="H1969" s="25" t="str">
        <f>IF(J1969&lt;&gt;1,"",IF(I1969="SBJ","CB","?"))</f>
        <v> </v>
      </c>
      <c r="I1969" s="26" t="str">
        <f>IF(OR(E1969="",E1969="!!!",F1969="NEW"),"",INDEX(B1968:B$2,-1+SUMPRODUCT(MAX(ROW(E1968:E$2)*(E1969=E1968:E$2)))))</f>
        <v> </v>
      </c>
      <c r="J1969" s="26" t="str">
        <f>IF(OR(E1969="",E1969="!!!",F1969="NEW"),"",COUNTBLANK(OFFSET(A$1,,,SUMPRODUCT(MAX(ROW(E$2:E1969)*(E1969=E$2:E1969)))))-COUNTBLANK(OFFSET(A$1,,,SUMPRODUCT(MAX(ROW(E$1:E1968)*(E2=E$1:E1968))))))</f>
        <v> </v>
      </c>
      <c r="K1969" s="26" t="str">
        <f>IF(OR(E1969="",E1969="!!!",F1969="NEW"),"",INDEX(J$1:J1968,SUMPRODUCT(MAX(ROW(E$1:E1968)*(E1969=E$1:E1968)))))</f>
        <v> </v>
      </c>
      <c r="L1969" s="27"/>
    </row>
    <row r="1970" spans="1:12">
      <c r="A1970" s="20" t="s">
        <v>1679</v>
      </c>
      <c r="E1970" s="22">
        <f>IF(D1970="?OLD","!!!","")</f>
        <v/>
      </c>
      <c r="F1970" s="23" t="str">
        <f>IF(OR(E1970="",E1970="!!!"),"",IF(NOT(ISNA(VLOOKUP(E1970,E$1:E1969,1,FALSE()))),"OLD",IF(AND(E1970&lt;&gt;"",E1970&lt;&gt;"!!!"),"NEW","")))</f>
        <v> </v>
      </c>
      <c r="G1970" s="24" t="str">
        <f>IF(OR(E1970="",E1970="!!!"),"",IF(OR(J1970=0,AND(J1970=1,K1970=1),AND(J1970=1,I1970="SBJ"),AND(J1970=1,I1970=0)),"?IN_FOCUS",IF(J1970&lt;=2,"?ACTIVATED",IF(J1970&lt;&gt;"","?FAMILIAR",IF(F1970="NEW",IF(ISNA(VLOOKUP(E1970,#REF!,1,FALSE())),"?TYPE_IDENTIFIABLE","?REFERENTIAL"),"_")))))</f>
        <v> </v>
      </c>
      <c r="H1970" s="25" t="str">
        <f>IF(J1970&lt;&gt;1,"",IF(I1970="SBJ","CB","?"))</f>
        <v> </v>
      </c>
      <c r="I1970" s="26" t="str">
        <f>IF(OR(E1970="",E1970="!!!",F1970="NEW"),"",INDEX(B1969:B$2,-1+SUMPRODUCT(MAX(ROW(E1969:E$2)*(E1970=E1969:E$2)))))</f>
        <v> </v>
      </c>
      <c r="J1970" s="26" t="str">
        <f>IF(OR(E1970="",E1970="!!!",F1970="NEW"),"",COUNTBLANK(OFFSET(A$1,,,SUMPRODUCT(MAX(ROW(E$2:E1970)*(E1970=E$2:E1970)))))-COUNTBLANK(OFFSET(A$1,,,SUMPRODUCT(MAX(ROW(E$1:E1969)*(E2=E$1:E1969))))))</f>
        <v> </v>
      </c>
      <c r="K1970" s="26" t="str">
        <f>IF(OR(E1970="",E1970="!!!",F1970="NEW"),"",INDEX(J$1:J1969,SUMPRODUCT(MAX(ROW(E$1:E1969)*(E1970=E$1:E1969)))))</f>
        <v> </v>
      </c>
      <c r="L1970" s="27"/>
    </row>
    <row r="1971" spans="1:12">
      <c r="A1971" s="20" t="s">
        <v>1014</v>
      </c>
      <c r="E1971" s="22">
        <f>IF(D1971="?OLD","!!!","")</f>
        <v/>
      </c>
      <c r="F1971" s="23" t="str">
        <f>IF(OR(E1971="",E1971="!!!"),"",IF(NOT(ISNA(VLOOKUP(E1971,E$1:E1970,1,FALSE()))),"OLD",IF(AND(E1971&lt;&gt;"",E1971&lt;&gt;"!!!"),"NEW","")))</f>
        <v> </v>
      </c>
      <c r="G1971" s="24" t="str">
        <f>IF(OR(E1971="",E1971="!!!"),"",IF(OR(J1971=0,AND(J1971=1,K1971=1),AND(J1971=1,I1971="SBJ"),AND(J1971=1,I1971=0)),"?IN_FOCUS",IF(J1971&lt;=2,"?ACTIVATED",IF(J1971&lt;&gt;"","?FAMILIAR",IF(F1971="NEW",IF(ISNA(VLOOKUP(E1971,#REF!,1,FALSE())),"?TYPE_IDENTIFIABLE","?REFERENTIAL"),"_")))))</f>
        <v> </v>
      </c>
      <c r="H1971" s="25" t="str">
        <f>IF(J1971&lt;&gt;1,"",IF(I1971="SBJ","CB","?"))</f>
        <v> </v>
      </c>
      <c r="I1971" s="26" t="str">
        <f>IF(OR(E1971="",E1971="!!!",F1971="NEW"),"",INDEX(B1970:B$2,-1+SUMPRODUCT(MAX(ROW(E1970:E$2)*(E1971=E1970:E$2)))))</f>
        <v> </v>
      </c>
      <c r="J1971" s="26" t="str">
        <f>IF(OR(E1971="",E1971="!!!",F1971="NEW"),"",COUNTBLANK(OFFSET(A$1,,,SUMPRODUCT(MAX(ROW(E$2:E1971)*(E1971=E$2:E1971)))))-COUNTBLANK(OFFSET(A$1,,,SUMPRODUCT(MAX(ROW(E$1:E1970)*(E2=E$1:E1970))))))</f>
        <v> </v>
      </c>
      <c r="K1971" s="26" t="str">
        <f>IF(OR(E1971="",E1971="!!!",F1971="NEW"),"",INDEX(J$1:J1970,SUMPRODUCT(MAX(ROW(E$1:E1970)*(E1971=E$1:E1970)))))</f>
        <v> </v>
      </c>
      <c r="L1971" s="27"/>
    </row>
    <row r="1972" spans="1:12">
      <c r="A1972" s="20" t="s">
        <v>756</v>
      </c>
      <c r="E1972" s="22">
        <f>IF(D1972="?OLD","!!!","")</f>
        <v/>
      </c>
      <c r="F1972" s="23" t="str">
        <f>IF(OR(E1972="",E1972="!!!"),"",IF(NOT(ISNA(VLOOKUP(E1972,E$1:E1971,1,FALSE()))),"OLD",IF(AND(E1972&lt;&gt;"",E1972&lt;&gt;"!!!"),"NEW","")))</f>
        <v> </v>
      </c>
      <c r="G1972" s="24" t="str">
        <f>IF(OR(E1972="",E1972="!!!"),"",IF(OR(J1972=0,AND(J1972=1,K1972=1),AND(J1972=1,I1972="SBJ"),AND(J1972=1,I1972=0)),"?IN_FOCUS",IF(J1972&lt;=2,"?ACTIVATED",IF(J1972&lt;&gt;"","?FAMILIAR",IF(F1972="NEW",IF(ISNA(VLOOKUP(E1972,#REF!,1,FALSE())),"?TYPE_IDENTIFIABLE","?REFERENTIAL"),"_")))))</f>
        <v> </v>
      </c>
      <c r="H1972" s="25" t="str">
        <f>IF(J1972&lt;&gt;1,"",IF(I1972="SBJ","CB","?"))</f>
        <v> </v>
      </c>
      <c r="I1972" s="26" t="str">
        <f>IF(OR(E1972="",E1972="!!!",F1972="NEW"),"",INDEX(B1971:B$2,-1+SUMPRODUCT(MAX(ROW(E1971:E$2)*(E1972=E1971:E$2)))))</f>
        <v> </v>
      </c>
      <c r="J1972" s="26" t="str">
        <f>IF(OR(E1972="",E1972="!!!",F1972="NEW"),"",COUNTBLANK(OFFSET(A$1,,,SUMPRODUCT(MAX(ROW(E$2:E1972)*(E1972=E$2:E1972)))))-COUNTBLANK(OFFSET(A$1,,,SUMPRODUCT(MAX(ROW(E$1:E1971)*(E2=E$1:E1971))))))</f>
        <v> </v>
      </c>
      <c r="K1972" s="26" t="str">
        <f>IF(OR(E1972="",E1972="!!!",F1972="NEW"),"",INDEX(J$1:J1971,SUMPRODUCT(MAX(ROW(E$1:E1971)*(E1972=E$1:E1971)))))</f>
        <v> </v>
      </c>
      <c r="L1972" s="27"/>
    </row>
    <row r="1973" spans="1:12">
      <c r="A1973" s="20" t="s">
        <v>1097</v>
      </c>
      <c r="E1973" s="22">
        <f>IF(D1973="?OLD","!!!","")</f>
        <v/>
      </c>
      <c r="F1973" s="23" t="str">
        <f>IF(OR(E1973="",E1973="!!!"),"",IF(NOT(ISNA(VLOOKUP(E1973,E$1:E1972,1,FALSE()))),"OLD",IF(AND(E1973&lt;&gt;"",E1973&lt;&gt;"!!!"),"NEW","")))</f>
        <v> </v>
      </c>
      <c r="G1973" s="24" t="str">
        <f>IF(OR(E1973="",E1973="!!!"),"",IF(OR(J1973=0,AND(J1973=1,K1973=1),AND(J1973=1,I1973="SBJ"),AND(J1973=1,I1973=0)),"?IN_FOCUS",IF(J1973&lt;=2,"?ACTIVATED",IF(J1973&lt;&gt;"","?FAMILIAR",IF(F1973="NEW",IF(ISNA(VLOOKUP(E1973,#REF!,1,FALSE())),"?TYPE_IDENTIFIABLE","?REFERENTIAL"),"_")))))</f>
        <v> </v>
      </c>
      <c r="H1973" s="25" t="str">
        <f>IF(J1973&lt;&gt;1,"",IF(I1973="SBJ","CB","?"))</f>
        <v> </v>
      </c>
      <c r="I1973" s="26" t="str">
        <f>IF(OR(E1973="",E1973="!!!",F1973="NEW"),"",INDEX(B1972:B$2,-1+SUMPRODUCT(MAX(ROW(E1972:E$2)*(E1973=E1972:E$2)))))</f>
        <v> </v>
      </c>
      <c r="J1973" s="26" t="str">
        <f>IF(OR(E1973="",E1973="!!!",F1973="NEW"),"",COUNTBLANK(OFFSET(A$1,,,SUMPRODUCT(MAX(ROW(E$2:E1973)*(E1973=E$2:E1973)))))-COUNTBLANK(OFFSET(A$1,,,SUMPRODUCT(MAX(ROW(E$1:E1972)*(E2=E$1:E1972))))))</f>
        <v> </v>
      </c>
      <c r="K1973" s="26" t="str">
        <f>IF(OR(E1973="",E1973="!!!",F1973="NEW"),"",INDEX(J$1:J1972,SUMPRODUCT(MAX(ROW(E$1:E1972)*(E1973=E$1:E1972)))))</f>
        <v> </v>
      </c>
      <c r="L1973" s="27"/>
    </row>
    <row r="1974" spans="1:12">
      <c r="A1974" s="20" t="s">
        <v>1324</v>
      </c>
      <c r="E1974" s="22">
        <f>IF(D1974="?OLD","!!!","")</f>
        <v/>
      </c>
      <c r="F1974" s="23" t="str">
        <f>IF(OR(E1974="",E1974="!!!"),"",IF(NOT(ISNA(VLOOKUP(E1974,E$1:E1973,1,FALSE()))),"OLD",IF(AND(E1974&lt;&gt;"",E1974&lt;&gt;"!!!"),"NEW","")))</f>
        <v> </v>
      </c>
      <c r="G1974" s="24" t="str">
        <f>IF(OR(E1974="",E1974="!!!"),"",IF(OR(J1974=0,AND(J1974=1,K1974=1),AND(J1974=1,I1974="SBJ"),AND(J1974=1,I1974=0)),"?IN_FOCUS",IF(J1974&lt;=2,"?ACTIVATED",IF(J1974&lt;&gt;"","?FAMILIAR",IF(F1974="NEW",IF(ISNA(VLOOKUP(E1974,#REF!,1,FALSE())),"?TYPE_IDENTIFIABLE","?REFERENTIAL"),"_")))))</f>
        <v> </v>
      </c>
      <c r="H1974" s="25" t="str">
        <f>IF(J1974&lt;&gt;1,"",IF(I1974="SBJ","CB","?"))</f>
        <v> </v>
      </c>
      <c r="I1974" s="26" t="str">
        <f>IF(OR(E1974="",E1974="!!!",F1974="NEW"),"",INDEX(B1973:B$2,-1+SUMPRODUCT(MAX(ROW(E1973:E$2)*(E1974=E1973:E$2)))))</f>
        <v> </v>
      </c>
      <c r="J1974" s="26" t="str">
        <f>IF(OR(E1974="",E1974="!!!",F1974="NEW"),"",COUNTBLANK(OFFSET(A$1,,,SUMPRODUCT(MAX(ROW(E$2:E1974)*(E1974=E$2:E1974)))))-COUNTBLANK(OFFSET(A$1,,,SUMPRODUCT(MAX(ROW(E$1:E1973)*(E2=E$1:E1973))))))</f>
        <v> </v>
      </c>
      <c r="K1974" s="26" t="str">
        <f>IF(OR(E1974="",E1974="!!!",F1974="NEW"),"",INDEX(J$1:J1973,SUMPRODUCT(MAX(ROW(E$1:E1973)*(E1974=E$1:E1973)))))</f>
        <v> </v>
      </c>
      <c r="L1974" s="27"/>
    </row>
    <row r="1975" spans="1:12">
      <c r="A1975" s="20" t="s">
        <v>1680</v>
      </c>
      <c r="B1975" s="21" t="s">
        <v>1029</v>
      </c>
      <c r="C1975" s="21" t="s">
        <v>1111</v>
      </c>
      <c r="E1975" s="22">
        <f>IF(D1975="?OLD","!!!","")</f>
        <v/>
      </c>
      <c r="F1975" s="23" t="str">
        <f>IF(OR(E1975="",E1975="!!!"),"",IF(NOT(ISNA(VLOOKUP(E1975,E$1:E1974,1,FALSE()))),"OLD",IF(AND(E1975&lt;&gt;"",E1975&lt;&gt;"!!!"),"NEW","")))</f>
        <v> </v>
      </c>
      <c r="G1975" s="24" t="str">
        <f>IF(OR(E1975="",E1975="!!!"),"",IF(OR(J1975=0,AND(J1975=1,K1975=1),AND(J1975=1,I1975="SBJ"),AND(J1975=1,I1975=0)),"?IN_FOCUS",IF(J1975&lt;=2,"?ACTIVATED",IF(J1975&lt;&gt;"","?FAMILIAR",IF(F1975="NEW",IF(ISNA(VLOOKUP(E1975,#REF!,1,FALSE())),"?TYPE_IDENTIFIABLE","?REFERENTIAL"),"_")))))</f>
        <v> </v>
      </c>
      <c r="H1975" s="25" t="str">
        <f>IF(J1975&lt;&gt;1,"",IF(I1975="SBJ","CB","?"))</f>
        <v> </v>
      </c>
      <c r="I1975" s="26" t="str">
        <f>IF(OR(E1975="",E1975="!!!",F1975="NEW"),"",INDEX(B1974:B$2,-1+SUMPRODUCT(MAX(ROW(E1974:E$2)*(E1975=E1974:E$2)))))</f>
        <v> </v>
      </c>
      <c r="J1975" s="26" t="str">
        <f>IF(OR(E1975="",E1975="!!!",F1975="NEW"),"",COUNTBLANK(OFFSET(A$1,,,SUMPRODUCT(MAX(ROW(E$2:E1975)*(E1975=E$2:E1975)))))-COUNTBLANK(OFFSET(A$1,,,SUMPRODUCT(MAX(ROW(E$1:E1974)*(E2=E$1:E1974))))))</f>
        <v> </v>
      </c>
      <c r="K1975" s="26" t="str">
        <f>IF(OR(E1975="",E1975="!!!",F1975="NEW"),"",INDEX(J$1:J1974,SUMPRODUCT(MAX(ROW(E$1:E1974)*(E1975=E$1:E1974)))))</f>
        <v> </v>
      </c>
      <c r="L1975" s="27"/>
    </row>
    <row r="1976" spans="1:12">
      <c r="A1976" s="20" t="s">
        <v>1681</v>
      </c>
      <c r="E1976" s="22">
        <f>IF(D1976="?OLD","!!!","")</f>
        <v/>
      </c>
      <c r="F1976" s="23" t="str">
        <f>IF(OR(E1976="",E1976="!!!"),"",IF(NOT(ISNA(VLOOKUP(E1976,E$1:E1975,1,FALSE()))),"OLD",IF(AND(E1976&lt;&gt;"",E1976&lt;&gt;"!!!"),"NEW","")))</f>
        <v> </v>
      </c>
      <c r="G1976" s="24" t="str">
        <f>IF(OR(E1976="",E1976="!!!"),"",IF(OR(J1976=0,AND(J1976=1,K1976=1),AND(J1976=1,I1976="SBJ"),AND(J1976=1,I1976=0)),"?IN_FOCUS",IF(J1976&lt;=2,"?ACTIVATED",IF(J1976&lt;&gt;"","?FAMILIAR",IF(F1976="NEW",IF(ISNA(VLOOKUP(E1976,#REF!,1,FALSE())),"?TYPE_IDENTIFIABLE","?REFERENTIAL"),"_")))))</f>
        <v> </v>
      </c>
      <c r="H1976" s="25" t="str">
        <f>IF(J1976&lt;&gt;1,"",IF(I1976="SBJ","CB","?"))</f>
        <v> </v>
      </c>
      <c r="I1976" s="26" t="str">
        <f>IF(OR(E1976="",E1976="!!!",F1976="NEW"),"",INDEX(B1975:B$2,-1+SUMPRODUCT(MAX(ROW(E1975:E$2)*(E1976=E1975:E$2)))))</f>
        <v> </v>
      </c>
      <c r="J1976" s="26" t="str">
        <f>IF(OR(E1976="",E1976="!!!",F1976="NEW"),"",COUNTBLANK(OFFSET(A$1,,,SUMPRODUCT(MAX(ROW(E$2:E1976)*(E1976=E$2:E1976)))))-COUNTBLANK(OFFSET(A$1,,,SUMPRODUCT(MAX(ROW(E$1:E1975)*(E2=E$1:E1975))))))</f>
        <v> </v>
      </c>
      <c r="K1976" s="26" t="str">
        <f>IF(OR(E1976="",E1976="!!!",F1976="NEW"),"",INDEX(J$1:J1975,SUMPRODUCT(MAX(ROW(E$1:E1975)*(E1976=E$1:E1975)))))</f>
        <v> </v>
      </c>
      <c r="L1976" s="27"/>
    </row>
    <row r="1977" spans="1:12">
      <c r="A1977" s="20" t="s">
        <v>1036</v>
      </c>
      <c r="E1977" s="22">
        <f>IF(D1977="?OLD","!!!","")</f>
        <v/>
      </c>
      <c r="F1977" s="23" t="str">
        <f>IF(OR(E1977="",E1977="!!!"),"",IF(NOT(ISNA(VLOOKUP(E1977,E$1:E1976,1,FALSE()))),"OLD",IF(AND(E1977&lt;&gt;"",E1977&lt;&gt;"!!!"),"NEW","")))</f>
        <v> </v>
      </c>
      <c r="G1977" s="24" t="str">
        <f>IF(OR(E1977="",E1977="!!!"),"",IF(OR(J1977=0,AND(J1977=1,K1977=1),AND(J1977=1,I1977="SBJ"),AND(J1977=1,I1977=0)),"?IN_FOCUS",IF(J1977&lt;=2,"?ACTIVATED",IF(J1977&lt;&gt;"","?FAMILIAR",IF(F1977="NEW",IF(ISNA(VLOOKUP(E1977,#REF!,1,FALSE())),"?TYPE_IDENTIFIABLE","?REFERENTIAL"),"_")))))</f>
        <v> </v>
      </c>
      <c r="H1977" s="25" t="str">
        <f>IF(J1977&lt;&gt;1,"",IF(I1977="SBJ","CB","?"))</f>
        <v> </v>
      </c>
      <c r="I1977" s="26" t="str">
        <f>IF(OR(E1977="",E1977="!!!",F1977="NEW"),"",INDEX(B1976:B$2,-1+SUMPRODUCT(MAX(ROW(E1976:E$2)*(E1977=E1976:E$2)))))</f>
        <v> </v>
      </c>
      <c r="J1977" s="26" t="str">
        <f>IF(OR(E1977="",E1977="!!!",F1977="NEW"),"",COUNTBLANK(OFFSET(A$1,,,SUMPRODUCT(MAX(ROW(E$2:E1977)*(E1977=E$2:E1977)))))-COUNTBLANK(OFFSET(A$1,,,SUMPRODUCT(MAX(ROW(E$1:E1976)*(E2=E$1:E1976))))))</f>
        <v> </v>
      </c>
      <c r="K1977" s="26" t="str">
        <f>IF(OR(E1977="",E1977="!!!",F1977="NEW"),"",INDEX(J$1:J1976,SUMPRODUCT(MAX(ROW(E$1:E1976)*(E1977=E$1:E1976)))))</f>
        <v> </v>
      </c>
      <c r="L1977" s="27"/>
    </row>
    <row r="1978" spans="1:12">
      <c r="A1978" s="20" t="s">
        <v>1668</v>
      </c>
      <c r="B1978" s="21" t="s">
        <v>1035</v>
      </c>
      <c r="C1978" s="21" t="s">
        <v>1048</v>
      </c>
      <c r="E1978" s="22">
        <f>IF(D1978="?OLD","!!!","")</f>
        <v/>
      </c>
      <c r="F1978" s="23" t="str">
        <f>IF(OR(E1978="",E1978="!!!"),"",IF(NOT(ISNA(VLOOKUP(E1978,E$1:E1977,1,FALSE()))),"OLD",IF(AND(E1978&lt;&gt;"",E1978&lt;&gt;"!!!"),"NEW","")))</f>
        <v> </v>
      </c>
      <c r="G1978" s="24" t="str">
        <f>IF(OR(E1978="",E1978="!!!"),"",IF(OR(J1978=0,AND(J1978=1,K1978=1),AND(J1978=1,I1978="SBJ"),AND(J1978=1,I1978=0)),"?IN_FOCUS",IF(J1978&lt;=2,"?ACTIVATED",IF(J1978&lt;&gt;"","?FAMILIAR",IF(F1978="NEW",IF(ISNA(VLOOKUP(E1978,#REF!,1,FALSE())),"?TYPE_IDENTIFIABLE","?REFERENTIAL"),"_")))))</f>
        <v> </v>
      </c>
      <c r="H1978" s="25" t="str">
        <f>IF(J1978&lt;&gt;1,"",IF(I1978="SBJ","CB","?"))</f>
        <v> </v>
      </c>
      <c r="I1978" s="26" t="str">
        <f>IF(OR(E1978="",E1978="!!!",F1978="NEW"),"",INDEX(B1977:B$2,-1+SUMPRODUCT(MAX(ROW(E1977:E$2)*(E1978=E1977:E$2)))))</f>
        <v> </v>
      </c>
      <c r="J1978" s="26" t="str">
        <f>IF(OR(E1978="",E1978="!!!",F1978="NEW"),"",COUNTBLANK(OFFSET(A$1,,,SUMPRODUCT(MAX(ROW(E$2:E1978)*(E1978=E$2:E1978)))))-COUNTBLANK(OFFSET(A$1,,,SUMPRODUCT(MAX(ROW(E$1:E1977)*(E2=E$1:E1977))))))</f>
        <v> </v>
      </c>
      <c r="K1978" s="26" t="str">
        <f>IF(OR(E1978="",E1978="!!!",F1978="NEW"),"",INDEX(J$1:J1977,SUMPRODUCT(MAX(ROW(E$1:E1977)*(E1978=E$1:E1977)))))</f>
        <v> </v>
      </c>
      <c r="L1978" s="27"/>
    </row>
    <row r="1979" spans="1:12">
      <c r="A1979" s="20" t="s">
        <v>1097</v>
      </c>
      <c r="E1979" s="22">
        <f>IF(D1979="?OLD","!!!","")</f>
        <v/>
      </c>
      <c r="F1979" s="23" t="str">
        <f>IF(OR(E1979="",E1979="!!!"),"",IF(NOT(ISNA(VLOOKUP(E1979,E$1:E1978,1,FALSE()))),"OLD",IF(AND(E1979&lt;&gt;"",E1979&lt;&gt;"!!!"),"NEW","")))</f>
        <v> </v>
      </c>
      <c r="G1979" s="24" t="str">
        <f>IF(OR(E1979="",E1979="!!!"),"",IF(OR(J1979=0,AND(J1979=1,K1979=1),AND(J1979=1,I1979="SBJ"),AND(J1979=1,I1979=0)),"?IN_FOCUS",IF(J1979&lt;=2,"?ACTIVATED",IF(J1979&lt;&gt;"","?FAMILIAR",IF(F1979="NEW",IF(ISNA(VLOOKUP(E1979,#REF!,1,FALSE())),"?TYPE_IDENTIFIABLE","?REFERENTIAL"),"_")))))</f>
        <v> </v>
      </c>
      <c r="H1979" s="25" t="str">
        <f>IF(J1979&lt;&gt;1,"",IF(I1979="SBJ","CB","?"))</f>
        <v> </v>
      </c>
      <c r="I1979" s="26" t="str">
        <f>IF(OR(E1979="",E1979="!!!",F1979="NEW"),"",INDEX(B1978:B$2,-1+SUMPRODUCT(MAX(ROW(E1978:E$2)*(E1979=E1978:E$2)))))</f>
        <v> </v>
      </c>
      <c r="J1979" s="26" t="str">
        <f>IF(OR(E1979="",E1979="!!!",F1979="NEW"),"",COUNTBLANK(OFFSET(A$1,,,SUMPRODUCT(MAX(ROW(E$2:E1979)*(E1979=E$2:E1979)))))-COUNTBLANK(OFFSET(A$1,,,SUMPRODUCT(MAX(ROW(E$1:E1978)*(E2=E$1:E1978))))))</f>
        <v> </v>
      </c>
      <c r="K1979" s="26" t="str">
        <f>IF(OR(E1979="",E1979="!!!",F1979="NEW"),"",INDEX(J$1:J1978,SUMPRODUCT(MAX(ROW(E$1:E1978)*(E1979=E$1:E1978)))))</f>
        <v> </v>
      </c>
      <c r="L1979" s="27"/>
    </row>
    <row r="1980" spans="1:12">
      <c r="A1980" s="20" t="s">
        <v>1357</v>
      </c>
      <c r="E1980" s="22">
        <f>IF(D1980="?OLD","!!!","")</f>
        <v/>
      </c>
      <c r="F1980" s="23" t="str">
        <f>IF(OR(E1980="",E1980="!!!"),"",IF(NOT(ISNA(VLOOKUP(E1980,E$1:E1979,1,FALSE()))),"OLD",IF(AND(E1980&lt;&gt;"",E1980&lt;&gt;"!!!"),"NEW","")))</f>
        <v> </v>
      </c>
      <c r="G1980" s="24" t="str">
        <f>IF(OR(E1980="",E1980="!!!"),"",IF(OR(J1980=0,AND(J1980=1,K1980=1),AND(J1980=1,I1980="SBJ"),AND(J1980=1,I1980=0)),"?IN_FOCUS",IF(J1980&lt;=2,"?ACTIVATED",IF(J1980&lt;&gt;"","?FAMILIAR",IF(F1980="NEW",IF(ISNA(VLOOKUP(E1980,#REF!,1,FALSE())),"?TYPE_IDENTIFIABLE","?REFERENTIAL"),"_")))))</f>
        <v> </v>
      </c>
      <c r="H1980" s="25" t="str">
        <f>IF(J1980&lt;&gt;1,"",IF(I1980="SBJ","CB","?"))</f>
        <v> </v>
      </c>
      <c r="I1980" s="26" t="str">
        <f>IF(OR(E1980="",E1980="!!!",F1980="NEW"),"",INDEX(B1979:B$2,-1+SUMPRODUCT(MAX(ROW(E1979:E$2)*(E1980=E1979:E$2)))))</f>
        <v> </v>
      </c>
      <c r="J1980" s="26" t="str">
        <f>IF(OR(E1980="",E1980="!!!",F1980="NEW"),"",COUNTBLANK(OFFSET(A$1,,,SUMPRODUCT(MAX(ROW(E$2:E1980)*(E1980=E$2:E1980)))))-COUNTBLANK(OFFSET(A$1,,,SUMPRODUCT(MAX(ROW(E$1:E1979)*(E2=E$1:E1979))))))</f>
        <v> </v>
      </c>
      <c r="K1980" s="26" t="str">
        <f>IF(OR(E1980="",E1980="!!!",F1980="NEW"),"",INDEX(J$1:J1979,SUMPRODUCT(MAX(ROW(E$1:E1979)*(E1980=E$1:E1979)))))</f>
        <v> </v>
      </c>
      <c r="L1980" s="27"/>
    </row>
    <row r="1981" spans="1:12">
      <c r="A1981" s="20" t="s">
        <v>1015</v>
      </c>
      <c r="E1981" s="22">
        <f>IF(D1981="?OLD","!!!","")</f>
        <v/>
      </c>
      <c r="F1981" s="23" t="str">
        <f>IF(OR(E1981="",E1981="!!!"),"",IF(NOT(ISNA(VLOOKUP(E1981,E$1:E1980,1,FALSE()))),"OLD",IF(AND(E1981&lt;&gt;"",E1981&lt;&gt;"!!!"),"NEW","")))</f>
        <v> </v>
      </c>
      <c r="G1981" s="24" t="str">
        <f>IF(OR(E1981="",E1981="!!!"),"",IF(OR(J1981=0,AND(J1981=1,K1981=1),AND(J1981=1,I1981="SBJ"),AND(J1981=1,I1981=0)),"?IN_FOCUS",IF(J1981&lt;=2,"?ACTIVATED",IF(J1981&lt;&gt;"","?FAMILIAR",IF(F1981="NEW",IF(ISNA(VLOOKUP(E1981,#REF!,1,FALSE())),"?TYPE_IDENTIFIABLE","?REFERENTIAL"),"_")))))</f>
        <v> </v>
      </c>
      <c r="H1981" s="25" t="str">
        <f>IF(J1981&lt;&gt;1,"",IF(I1981="SBJ","CB","?"))</f>
        <v> </v>
      </c>
      <c r="I1981" s="26" t="str">
        <f>IF(OR(E1981="",E1981="!!!",F1981="NEW"),"",INDEX(B1980:B$2,-1+SUMPRODUCT(MAX(ROW(E1980:E$2)*(E1981=E1980:E$2)))))</f>
        <v> </v>
      </c>
      <c r="J1981" s="26" t="str">
        <f>IF(OR(E1981="",E1981="!!!",F1981="NEW"),"",COUNTBLANK(OFFSET(A$1,,,SUMPRODUCT(MAX(ROW(E$2:E1981)*(E1981=E$2:E1981)))))-COUNTBLANK(OFFSET(A$1,,,SUMPRODUCT(MAX(ROW(E$1:E1980)*(E2=E$1:E1980))))))</f>
        <v> </v>
      </c>
      <c r="K1981" s="26" t="str">
        <f>IF(OR(E1981="",E1981="!!!",F1981="NEW"),"",INDEX(J$1:J1980,SUMPRODUCT(MAX(ROW(E$1:E1980)*(E1981=E$1:E1980)))))</f>
        <v> </v>
      </c>
      <c r="L1981" s="27"/>
    </row>
    <row r="1982" spans="1:12">
      <c r="A1982" s="20" t="s">
        <v>1589</v>
      </c>
      <c r="B1982" s="21" t="s">
        <v>1035</v>
      </c>
      <c r="C1982" s="21" t="s">
        <v>1205</v>
      </c>
      <c r="E1982" s="22">
        <f>IF(D1982="?OLD","!!!","")</f>
        <v/>
      </c>
      <c r="F1982" s="23" t="str">
        <f>IF(OR(E1982="",E1982="!!!"),"",IF(NOT(ISNA(VLOOKUP(E1982,E$1:E1981,1,FALSE()))),"OLD",IF(AND(E1982&lt;&gt;"",E1982&lt;&gt;"!!!"),"NEW","")))</f>
        <v> </v>
      </c>
      <c r="G1982" s="24" t="str">
        <f>IF(OR(E1982="",E1982="!!!"),"",IF(OR(J1982=0,AND(J1982=1,K1982=1),AND(J1982=1,I1982="SBJ"),AND(J1982=1,I1982=0)),"?IN_FOCUS",IF(J1982&lt;=2,"?ACTIVATED",IF(J1982&lt;&gt;"","?FAMILIAR",IF(F1982="NEW",IF(ISNA(VLOOKUP(E1982,#REF!,1,FALSE())),"?TYPE_IDENTIFIABLE","?REFERENTIAL"),"_")))))</f>
        <v> </v>
      </c>
      <c r="H1982" s="25" t="str">
        <f>IF(J1982&lt;&gt;1,"",IF(I1982="SBJ","CB","?"))</f>
        <v> </v>
      </c>
      <c r="I1982" s="26" t="str">
        <f>IF(OR(E1982="",E1982="!!!",F1982="NEW"),"",INDEX(B1981:B$2,-1+SUMPRODUCT(MAX(ROW(E1981:E$2)*(E1982=E1981:E$2)))))</f>
        <v> </v>
      </c>
      <c r="J1982" s="26" t="str">
        <f>IF(OR(E1982="",E1982="!!!",F1982="NEW"),"",COUNTBLANK(OFFSET(A$1,,,SUMPRODUCT(MAX(ROW(E$2:E1982)*(E1982=E$2:E1982)))))-COUNTBLANK(OFFSET(A$1,,,SUMPRODUCT(MAX(ROW(E$1:E1981)*(E2=E$1:E1981))))))</f>
        <v> </v>
      </c>
      <c r="K1982" s="26" t="str">
        <f>IF(OR(E1982="",E1982="!!!",F1982="NEW"),"",INDEX(J$1:J1981,SUMPRODUCT(MAX(ROW(E$1:E1981)*(E1982=E$1:E1981)))))</f>
        <v> </v>
      </c>
      <c r="L1982" s="27"/>
    </row>
    <row r="1983" spans="1:12">
      <c r="A1983" s="20" t="s">
        <v>1065</v>
      </c>
      <c r="B1983" s="21" t="s">
        <v>1067</v>
      </c>
      <c r="E1983" s="22">
        <f>IF(D1983="?OLD","!!!","")</f>
        <v/>
      </c>
      <c r="F1983" s="23" t="str">
        <f>IF(OR(E1983="",E1983="!!!"),"",IF(NOT(ISNA(VLOOKUP(E1983,E$1:E1982,1,FALSE()))),"OLD",IF(AND(E1983&lt;&gt;"",E1983&lt;&gt;"!!!"),"NEW","")))</f>
        <v> </v>
      </c>
      <c r="G1983" s="24" t="str">
        <f>IF(OR(E1983="",E1983="!!!"),"",IF(OR(J1983=0,AND(J1983=1,K1983=1),AND(J1983=1,I1983="SBJ"),AND(J1983=1,I1983=0)),"?IN_FOCUS",IF(J1983&lt;=2,"?ACTIVATED",IF(J1983&lt;&gt;"","?FAMILIAR",IF(F1983="NEW",IF(ISNA(VLOOKUP(E1983,#REF!,1,FALSE())),"?TYPE_IDENTIFIABLE","?REFERENTIAL"),"_")))))</f>
        <v> </v>
      </c>
      <c r="H1983" s="25" t="str">
        <f>IF(J1983&lt;&gt;1,"",IF(I1983="SBJ","CB","?"))</f>
        <v> </v>
      </c>
      <c r="I1983" s="26" t="str">
        <f>IF(OR(E1983="",E1983="!!!",F1983="NEW"),"",INDEX(B1982:B$2,-1+SUMPRODUCT(MAX(ROW(E1982:E$2)*(E1983=E1982:E$2)))))</f>
        <v> </v>
      </c>
      <c r="J1983" s="26" t="str">
        <f>IF(OR(E1983="",E1983="!!!",F1983="NEW"),"",COUNTBLANK(OFFSET(A$1,,,SUMPRODUCT(MAX(ROW(E$2:E1983)*(E1983=E$2:E1983)))))-COUNTBLANK(OFFSET(A$1,,,SUMPRODUCT(MAX(ROW(E$1:E1982)*(E2=E$1:E1982))))))</f>
        <v> </v>
      </c>
      <c r="K1983" s="26" t="str">
        <f>IF(OR(E1983="",E1983="!!!",F1983="NEW"),"",INDEX(J$1:J1982,SUMPRODUCT(MAX(ROW(E$1:E1982)*(E1983=E$1:E1982)))))</f>
        <v> </v>
      </c>
      <c r="L1983" s="27"/>
    </row>
    <row r="1984" spans="1:12">
      <c r="A1984" s="20" t="s">
        <v>1142</v>
      </c>
      <c r="E1984" s="22">
        <f>IF(D1984="?OLD","!!!","")</f>
        <v/>
      </c>
      <c r="F1984" s="23" t="str">
        <f>IF(OR(E1984="",E1984="!!!"),"",IF(NOT(ISNA(VLOOKUP(E1984,E$1:E1983,1,FALSE()))),"OLD",IF(AND(E1984&lt;&gt;"",E1984&lt;&gt;"!!!"),"NEW","")))</f>
        <v> </v>
      </c>
      <c r="G1984" s="24" t="str">
        <f>IF(OR(E1984="",E1984="!!!"),"",IF(OR(J1984=0,AND(J1984=1,K1984=1),AND(J1984=1,I1984="SBJ"),AND(J1984=1,I1984=0)),"?IN_FOCUS",IF(J1984&lt;=2,"?ACTIVATED",IF(J1984&lt;&gt;"","?FAMILIAR",IF(F1984="NEW",IF(ISNA(VLOOKUP(E1984,#REF!,1,FALSE())),"?TYPE_IDENTIFIABLE","?REFERENTIAL"),"_")))))</f>
        <v> </v>
      </c>
      <c r="H1984" s="25" t="str">
        <f>IF(J1984&lt;&gt;1,"",IF(I1984="SBJ","CB","?"))</f>
        <v> </v>
      </c>
      <c r="I1984" s="26" t="str">
        <f>IF(OR(E1984="",E1984="!!!",F1984="NEW"),"",INDEX(B1983:B$2,-1+SUMPRODUCT(MAX(ROW(E1983:E$2)*(E1984=E1983:E$2)))))</f>
        <v> </v>
      </c>
      <c r="J1984" s="26" t="str">
        <f>IF(OR(E1984="",E1984="!!!",F1984="NEW"),"",COUNTBLANK(OFFSET(A$1,,,SUMPRODUCT(MAX(ROW(E$2:E1984)*(E1984=E$2:E1984)))))-COUNTBLANK(OFFSET(A$1,,,SUMPRODUCT(MAX(ROW(E$1:E1983)*(E2=E$1:E1983))))))</f>
        <v> </v>
      </c>
      <c r="K1984" s="26" t="str">
        <f>IF(OR(E1984="",E1984="!!!",F1984="NEW"),"",INDEX(J$1:J1983,SUMPRODUCT(MAX(ROW(E$1:E1983)*(E1984=E$1:E1983)))))</f>
        <v> </v>
      </c>
      <c r="L1984" s="27"/>
    </row>
    <row r="1985" spans="1:12">
      <c r="A1985" s="20" t="s">
        <v>1682</v>
      </c>
      <c r="E1985" s="22">
        <f>IF(D1985="?OLD","!!!","")</f>
        <v/>
      </c>
      <c r="F1985" s="23" t="str">
        <f>IF(OR(E1985="",E1985="!!!"),"",IF(NOT(ISNA(VLOOKUP(E1985,E$1:E1984,1,FALSE()))),"OLD",IF(AND(E1985&lt;&gt;"",E1985&lt;&gt;"!!!"),"NEW","")))</f>
        <v> </v>
      </c>
      <c r="G1985" s="24" t="str">
        <f>IF(OR(E1985="",E1985="!!!"),"",IF(OR(J1985=0,AND(J1985=1,K1985=1),AND(J1985=1,I1985="SBJ"),AND(J1985=1,I1985=0)),"?IN_FOCUS",IF(J1985&lt;=2,"?ACTIVATED",IF(J1985&lt;&gt;"","?FAMILIAR",IF(F1985="NEW",IF(ISNA(VLOOKUP(E1985,#REF!,1,FALSE())),"?TYPE_IDENTIFIABLE","?REFERENTIAL"),"_")))))</f>
        <v> </v>
      </c>
      <c r="H1985" s="25" t="str">
        <f>IF(J1985&lt;&gt;1,"",IF(I1985="SBJ","CB","?"))</f>
        <v> </v>
      </c>
      <c r="I1985" s="26" t="str">
        <f>IF(OR(E1985="",E1985="!!!",F1985="NEW"),"",INDEX(B1984:B$2,-1+SUMPRODUCT(MAX(ROW(E1984:E$2)*(E1985=E1984:E$2)))))</f>
        <v> </v>
      </c>
      <c r="J1985" s="26" t="str">
        <f>IF(OR(E1985="",E1985="!!!",F1985="NEW"),"",COUNTBLANK(OFFSET(A$1,,,SUMPRODUCT(MAX(ROW(E$2:E1985)*(E1985=E$2:E1985)))))-COUNTBLANK(OFFSET(A$1,,,SUMPRODUCT(MAX(ROW(E$1:E1984)*(E2=E$1:E1984))))))</f>
        <v> </v>
      </c>
      <c r="K1985" s="26" t="str">
        <f>IF(OR(E1985="",E1985="!!!",F1985="NEW"),"",INDEX(J$1:J1984,SUMPRODUCT(MAX(ROW(E$1:E1984)*(E1985=E$1:E1984)))))</f>
        <v> </v>
      </c>
      <c r="L1985" s="27"/>
    </row>
    <row r="1986" spans="1:12">
      <c r="A1986" s="20" t="s">
        <v>1683</v>
      </c>
      <c r="E1986" s="22">
        <f>IF(D1986="?OLD","!!!","")</f>
        <v/>
      </c>
      <c r="F1986" s="23" t="str">
        <f>IF(OR(E1986="",E1986="!!!"),"",IF(NOT(ISNA(VLOOKUP(E1986,E$1:E1985,1,FALSE()))),"OLD",IF(AND(E1986&lt;&gt;"",E1986&lt;&gt;"!!!"),"NEW","")))</f>
        <v> </v>
      </c>
      <c r="G1986" s="24" t="str">
        <f>IF(OR(E1986="",E1986="!!!"),"",IF(OR(J1986=0,AND(J1986=1,K1986=1),AND(J1986=1,I1986="SBJ"),AND(J1986=1,I1986=0)),"?IN_FOCUS",IF(J1986&lt;=2,"?ACTIVATED",IF(J1986&lt;&gt;"","?FAMILIAR",IF(F1986="NEW",IF(ISNA(VLOOKUP(E1986,#REF!,1,FALSE())),"?TYPE_IDENTIFIABLE","?REFERENTIAL"),"_")))))</f>
        <v> </v>
      </c>
      <c r="H1986" s="25" t="str">
        <f>IF(J1986&lt;&gt;1,"",IF(I1986="SBJ","CB","?"))</f>
        <v> </v>
      </c>
      <c r="I1986" s="26" t="str">
        <f>IF(OR(E1986="",E1986="!!!",F1986="NEW"),"",INDEX(B1985:B$2,-1+SUMPRODUCT(MAX(ROW(E1985:E$2)*(E1986=E1985:E$2)))))</f>
        <v> </v>
      </c>
      <c r="J1986" s="26" t="str">
        <f>IF(OR(E1986="",E1986="!!!",F1986="NEW"),"",COUNTBLANK(OFFSET(A$1,,,SUMPRODUCT(MAX(ROW(E$2:E1986)*(E1986=E$2:E1986)))))-COUNTBLANK(OFFSET(A$1,,,SUMPRODUCT(MAX(ROW(E$1:E1985)*(E2=E$1:E1985))))))</f>
        <v> </v>
      </c>
      <c r="K1986" s="26" t="str">
        <f>IF(OR(E1986="",E1986="!!!",F1986="NEW"),"",INDEX(J$1:J1985,SUMPRODUCT(MAX(ROW(E$1:E1985)*(E1986=E$1:E1985)))))</f>
        <v> </v>
      </c>
      <c r="L1986" s="27"/>
    </row>
    <row r="1987" spans="1:12">
      <c r="A1987" s="20" t="s">
        <v>193</v>
      </c>
      <c r="B1987" s="21" t="s">
        <v>1066</v>
      </c>
      <c r="C1987" s="21" t="s">
        <v>1103</v>
      </c>
      <c r="E1987" s="22">
        <f>IF(D1987="?OLD","!!!","")</f>
        <v/>
      </c>
      <c r="F1987" s="23" t="str">
        <f>IF(OR(E1987="",E1987="!!!"),"",IF(NOT(ISNA(VLOOKUP(E1987,E$1:E1986,1,FALSE()))),"OLD",IF(AND(E1987&lt;&gt;"",E1987&lt;&gt;"!!!"),"NEW","")))</f>
        <v> </v>
      </c>
      <c r="G1987" s="24" t="str">
        <f>IF(OR(E1987="",E1987="!!!"),"",IF(OR(J1987=0,AND(J1987=1,K1987=1),AND(J1987=1,I1987="SBJ"),AND(J1987=1,I1987=0)),"?IN_FOCUS",IF(J1987&lt;=2,"?ACTIVATED",IF(J1987&lt;&gt;"","?FAMILIAR",IF(F1987="NEW",IF(ISNA(VLOOKUP(E1987,#REF!,1,FALSE())),"?TYPE_IDENTIFIABLE","?REFERENTIAL"),"_")))))</f>
        <v> </v>
      </c>
      <c r="H1987" s="25" t="str">
        <f>IF(J1987&lt;&gt;1,"",IF(I1987="SBJ","CB","?"))</f>
        <v> </v>
      </c>
      <c r="I1987" s="26" t="str">
        <f>IF(OR(E1987="",E1987="!!!",F1987="NEW"),"",INDEX(B1986:B$2,-1+SUMPRODUCT(MAX(ROW(E1986:E$2)*(E1987=E1986:E$2)))))</f>
        <v> </v>
      </c>
      <c r="J1987" s="26" t="str">
        <f>IF(OR(E1987="",E1987="!!!",F1987="NEW"),"",COUNTBLANK(OFFSET(A$1,,,SUMPRODUCT(MAX(ROW(E$2:E1987)*(E1987=E$2:E1987)))))-COUNTBLANK(OFFSET(A$1,,,SUMPRODUCT(MAX(ROW(E$1:E1986)*(E2=E$1:E1986))))))</f>
        <v> </v>
      </c>
      <c r="K1987" s="26" t="str">
        <f>IF(OR(E1987="",E1987="!!!",F1987="NEW"),"",INDEX(J$1:J1986,SUMPRODUCT(MAX(ROW(E$1:E1986)*(E1987=E$1:E1986)))))</f>
        <v> </v>
      </c>
      <c r="L1987" s="27"/>
    </row>
    <row r="1988" spans="1:12">
      <c r="A1988" s="20" t="s">
        <v>1018</v>
      </c>
      <c r="E1988" s="22">
        <f>IF(D1988="?OLD","!!!","")</f>
        <v/>
      </c>
      <c r="F1988" s="23" t="str">
        <f>IF(OR(E1988="",E1988="!!!"),"",IF(NOT(ISNA(VLOOKUP(E1988,E$1:E1987,1,FALSE()))),"OLD",IF(AND(E1988&lt;&gt;"",E1988&lt;&gt;"!!!"),"NEW","")))</f>
        <v> </v>
      </c>
      <c r="G1988" s="24" t="str">
        <f>IF(OR(E1988="",E1988="!!!"),"",IF(OR(J1988=0,AND(J1988=1,K1988=1),AND(J1988=1,I1988="SBJ"),AND(J1988=1,I1988=0)),"?IN_FOCUS",IF(J1988&lt;=2,"?ACTIVATED",IF(J1988&lt;&gt;"","?FAMILIAR",IF(F1988="NEW",IF(ISNA(VLOOKUP(E1988,#REF!,1,FALSE())),"?TYPE_IDENTIFIABLE","?REFERENTIAL"),"_")))))</f>
        <v> </v>
      </c>
      <c r="H1988" s="25" t="str">
        <f>IF(J1988&lt;&gt;1,"",IF(I1988="SBJ","CB","?"))</f>
        <v> </v>
      </c>
      <c r="I1988" s="26" t="str">
        <f>IF(OR(E1988="",E1988="!!!",F1988="NEW"),"",INDEX(B1987:B$2,-1+SUMPRODUCT(MAX(ROW(E1987:E$2)*(E1988=E1987:E$2)))))</f>
        <v> </v>
      </c>
      <c r="J1988" s="26" t="str">
        <f>IF(OR(E1988="",E1988="!!!",F1988="NEW"),"",COUNTBLANK(OFFSET(A$1,,,SUMPRODUCT(MAX(ROW(E$2:E1988)*(E1988=E$2:E1988)))))-COUNTBLANK(OFFSET(A$1,,,SUMPRODUCT(MAX(ROW(E$1:E1987)*(E2=E$1:E1987))))))</f>
        <v> </v>
      </c>
      <c r="K1988" s="26" t="str">
        <f>IF(OR(E1988="",E1988="!!!",F1988="NEW"),"",INDEX(J$1:J1987,SUMPRODUCT(MAX(ROW(E$1:E1987)*(E1988=E$1:E1987)))))</f>
        <v> </v>
      </c>
      <c r="L1988" s="27"/>
    </row>
    <row r="1989" spans="1:12">
      <c r="A1989" s="20" t="s">
        <v>1684</v>
      </c>
      <c r="E1989" s="22">
        <f>IF(D1989="?OLD","!!!","")</f>
        <v/>
      </c>
      <c r="F1989" s="23" t="str">
        <f>IF(OR(E1989="",E1989="!!!"),"",IF(NOT(ISNA(VLOOKUP(E1989,E$1:E1988,1,FALSE()))),"OLD",IF(AND(E1989&lt;&gt;"",E1989&lt;&gt;"!!!"),"NEW","")))</f>
        <v> </v>
      </c>
      <c r="G1989" s="24" t="str">
        <f>IF(OR(E1989="",E1989="!!!"),"",IF(OR(J1989=0,AND(J1989=1,K1989=1),AND(J1989=1,I1989="SBJ"),AND(J1989=1,I1989=0)),"?IN_FOCUS",IF(J1989&lt;=2,"?ACTIVATED",IF(J1989&lt;&gt;"","?FAMILIAR",IF(F1989="NEW",IF(ISNA(VLOOKUP(E1989,#REF!,1,FALSE())),"?TYPE_IDENTIFIABLE","?REFERENTIAL"),"_")))))</f>
        <v> </v>
      </c>
      <c r="H1989" s="25" t="str">
        <f>IF(J1989&lt;&gt;1,"",IF(I1989="SBJ","CB","?"))</f>
        <v> </v>
      </c>
      <c r="I1989" s="26" t="str">
        <f>IF(OR(E1989="",E1989="!!!",F1989="NEW"),"",INDEX(B1988:B$2,-1+SUMPRODUCT(MAX(ROW(E1988:E$2)*(E1989=E1988:E$2)))))</f>
        <v> </v>
      </c>
      <c r="J1989" s="26" t="str">
        <f>IF(OR(E1989="",E1989="!!!",F1989="NEW"),"",COUNTBLANK(OFFSET(A$1,,,SUMPRODUCT(MAX(ROW(E$2:E1989)*(E1989=E$2:E1989)))))-COUNTBLANK(OFFSET(A$1,,,SUMPRODUCT(MAX(ROW(E$1:E1988)*(E2=E$1:E1988))))))</f>
        <v> </v>
      </c>
      <c r="K1989" s="26" t="str">
        <f>IF(OR(E1989="",E1989="!!!",F1989="NEW"),"",INDEX(J$1:J1988,SUMPRODUCT(MAX(ROW(E$1:E1988)*(E1989=E$1:E1988)))))</f>
        <v> </v>
      </c>
      <c r="L1989" s="27"/>
    </row>
    <row r="1990" spans="1:12">
      <c r="A1990" s="20" t="s">
        <v>1142</v>
      </c>
      <c r="E1990" s="22">
        <f>IF(D1990="?OLD","!!!","")</f>
        <v/>
      </c>
      <c r="F1990" s="23" t="str">
        <f>IF(OR(E1990="",E1990="!!!"),"",IF(NOT(ISNA(VLOOKUP(E1990,E$1:E1989,1,FALSE()))),"OLD",IF(AND(E1990&lt;&gt;"",E1990&lt;&gt;"!!!"),"NEW","")))</f>
        <v> </v>
      </c>
      <c r="G1990" s="24" t="str">
        <f>IF(OR(E1990="",E1990="!!!"),"",IF(OR(J1990=0,AND(J1990=1,K1990=1),AND(J1990=1,I1990="SBJ"),AND(J1990=1,I1990=0)),"?IN_FOCUS",IF(J1990&lt;=2,"?ACTIVATED",IF(J1990&lt;&gt;"","?FAMILIAR",IF(F1990="NEW",IF(ISNA(VLOOKUP(E1990,#REF!,1,FALSE())),"?TYPE_IDENTIFIABLE","?REFERENTIAL"),"_")))))</f>
        <v> </v>
      </c>
      <c r="H1990" s="25" t="str">
        <f>IF(J1990&lt;&gt;1,"",IF(I1990="SBJ","CB","?"))</f>
        <v> </v>
      </c>
      <c r="I1990" s="26" t="str">
        <f>IF(OR(E1990="",E1990="!!!",F1990="NEW"),"",INDEX(B1989:B$2,-1+SUMPRODUCT(MAX(ROW(E1989:E$2)*(E1990=E1989:E$2)))))</f>
        <v> </v>
      </c>
      <c r="J1990" s="26" t="str">
        <f>IF(OR(E1990="",E1990="!!!",F1990="NEW"),"",COUNTBLANK(OFFSET(A$1,,,SUMPRODUCT(MAX(ROW(E$2:E1990)*(E1990=E$2:E1990)))))-COUNTBLANK(OFFSET(A$1,,,SUMPRODUCT(MAX(ROW(E$1:E1989)*(E2=E$1:E1989))))))</f>
        <v> </v>
      </c>
      <c r="K1990" s="26" t="str">
        <f>IF(OR(E1990="",E1990="!!!",F1990="NEW"),"",INDEX(J$1:J1989,SUMPRODUCT(MAX(ROW(E$1:E1989)*(E1990=E$1:E1989)))))</f>
        <v> </v>
      </c>
      <c r="L1990" s="27"/>
    </row>
    <row r="1991" spans="1:12">
      <c r="A1991" s="20" t="s">
        <v>1685</v>
      </c>
      <c r="E1991" s="22">
        <f>IF(D1991="?OLD","!!!","")</f>
        <v/>
      </c>
      <c r="F1991" s="23" t="str">
        <f>IF(OR(E1991="",E1991="!!!"),"",IF(NOT(ISNA(VLOOKUP(E1991,E$1:E1990,1,FALSE()))),"OLD",IF(AND(E1991&lt;&gt;"",E1991&lt;&gt;"!!!"),"NEW","")))</f>
        <v> </v>
      </c>
      <c r="G1991" s="24" t="str">
        <f>IF(OR(E1991="",E1991="!!!"),"",IF(OR(J1991=0,AND(J1991=1,K1991=1),AND(J1991=1,I1991="SBJ"),AND(J1991=1,I1991=0)),"?IN_FOCUS",IF(J1991&lt;=2,"?ACTIVATED",IF(J1991&lt;&gt;"","?FAMILIAR",IF(F1991="NEW",IF(ISNA(VLOOKUP(E1991,#REF!,1,FALSE())),"?TYPE_IDENTIFIABLE","?REFERENTIAL"),"_")))))</f>
        <v> </v>
      </c>
      <c r="H1991" s="25" t="str">
        <f>IF(J1991&lt;&gt;1,"",IF(I1991="SBJ","CB","?"))</f>
        <v> </v>
      </c>
      <c r="I1991" s="26" t="str">
        <f>IF(OR(E1991="",E1991="!!!",F1991="NEW"),"",INDEX(B1990:B$2,-1+SUMPRODUCT(MAX(ROW(E1990:E$2)*(E1991=E1990:E$2)))))</f>
        <v> </v>
      </c>
      <c r="J1991" s="26" t="str">
        <f>IF(OR(E1991="",E1991="!!!",F1991="NEW"),"",COUNTBLANK(OFFSET(A$1,,,SUMPRODUCT(MAX(ROW(E$2:E1991)*(E1991=E$2:E1991)))))-COUNTBLANK(OFFSET(A$1,,,SUMPRODUCT(MAX(ROW(E$1:E1990)*(E2=E$1:E1990))))))</f>
        <v> </v>
      </c>
      <c r="K1991" s="26" t="str">
        <f>IF(OR(E1991="",E1991="!!!",F1991="NEW"),"",INDEX(J$1:J1990,SUMPRODUCT(MAX(ROW(E$1:E1990)*(E1991=E$1:E1990)))))</f>
        <v> </v>
      </c>
      <c r="L1991" s="27"/>
    </row>
    <row r="1992" spans="1:12">
      <c r="A1992" s="20" t="s">
        <v>1686</v>
      </c>
      <c r="E1992" s="22">
        <f>IF(D1992="?OLD","!!!","")</f>
        <v/>
      </c>
      <c r="F1992" s="23" t="str">
        <f>IF(OR(E1992="",E1992="!!!"),"",IF(NOT(ISNA(VLOOKUP(E1992,E$1:E1991,1,FALSE()))),"OLD",IF(AND(E1992&lt;&gt;"",E1992&lt;&gt;"!!!"),"NEW","")))</f>
        <v> </v>
      </c>
      <c r="G1992" s="24" t="str">
        <f>IF(OR(E1992="",E1992="!!!"),"",IF(OR(J1992=0,AND(J1992=1,K1992=1),AND(J1992=1,I1992="SBJ"),AND(J1992=1,I1992=0)),"?IN_FOCUS",IF(J1992&lt;=2,"?ACTIVATED",IF(J1992&lt;&gt;"","?FAMILIAR",IF(F1992="NEW",IF(ISNA(VLOOKUP(E1992,#REF!,1,FALSE())),"?TYPE_IDENTIFIABLE","?REFERENTIAL"),"_")))))</f>
        <v> </v>
      </c>
      <c r="H1992" s="25" t="str">
        <f>IF(J1992&lt;&gt;1,"",IF(I1992="SBJ","CB","?"))</f>
        <v> </v>
      </c>
      <c r="I1992" s="26" t="str">
        <f>IF(OR(E1992="",E1992="!!!",F1992="NEW"),"",INDEX(B1991:B$2,-1+SUMPRODUCT(MAX(ROW(E1991:E$2)*(E1992=E1991:E$2)))))</f>
        <v> </v>
      </c>
      <c r="J1992" s="26" t="str">
        <f>IF(OR(E1992="",E1992="!!!",F1992="NEW"),"",COUNTBLANK(OFFSET(A$1,,,SUMPRODUCT(MAX(ROW(E$2:E1992)*(E1992=E$2:E1992)))))-COUNTBLANK(OFFSET(A$1,,,SUMPRODUCT(MAX(ROW(E$1:E1991)*(E2=E$1:E1991))))))</f>
        <v> </v>
      </c>
      <c r="K1992" s="26" t="str">
        <f>IF(OR(E1992="",E1992="!!!",F1992="NEW"),"",INDEX(J$1:J1991,SUMPRODUCT(MAX(ROW(E$1:E1991)*(E1992=E$1:E1991)))))</f>
        <v> </v>
      </c>
      <c r="L1992" s="27"/>
    </row>
    <row r="1993" spans="1:12">
      <c r="A1993" s="20" t="s">
        <v>1687</v>
      </c>
      <c r="B1993" s="21" t="s">
        <v>1187</v>
      </c>
      <c r="C1993" s="21" t="s">
        <v>1103</v>
      </c>
      <c r="E1993" s="22">
        <f>IF(D1993="?OLD","!!!","")</f>
        <v/>
      </c>
      <c r="F1993" s="23" t="str">
        <f>IF(OR(E1993="",E1993="!!!"),"",IF(NOT(ISNA(VLOOKUP(E1993,E$1:E1992,1,FALSE()))),"OLD",IF(AND(E1993&lt;&gt;"",E1993&lt;&gt;"!!!"),"NEW","")))</f>
        <v> </v>
      </c>
      <c r="G1993" s="24" t="str">
        <f>IF(OR(E1993="",E1993="!!!"),"",IF(OR(J1993=0,AND(J1993=1,K1993=1),AND(J1993=1,I1993="SBJ"),AND(J1993=1,I1993=0)),"?IN_FOCUS",IF(J1993&lt;=2,"?ACTIVATED",IF(J1993&lt;&gt;"","?FAMILIAR",IF(F1993="NEW",IF(ISNA(VLOOKUP(E1993,#REF!,1,FALSE())),"?TYPE_IDENTIFIABLE","?REFERENTIAL"),"_")))))</f>
        <v> </v>
      </c>
      <c r="H1993" s="25" t="str">
        <f>IF(J1993&lt;&gt;1,"",IF(I1993="SBJ","CB","?"))</f>
        <v> </v>
      </c>
      <c r="I1993" s="26" t="str">
        <f>IF(OR(E1993="",E1993="!!!",F1993="NEW"),"",INDEX(B1992:B$2,-1+SUMPRODUCT(MAX(ROW(E1992:E$2)*(E1993=E1992:E$2)))))</f>
        <v> </v>
      </c>
      <c r="J1993" s="26" t="str">
        <f>IF(OR(E1993="",E1993="!!!",F1993="NEW"),"",COUNTBLANK(OFFSET(A$1,,,SUMPRODUCT(MAX(ROW(E$2:E1993)*(E1993=E$2:E1993)))))-COUNTBLANK(OFFSET(A$1,,,SUMPRODUCT(MAX(ROW(E$1:E1992)*(E2=E$1:E1992))))))</f>
        <v> </v>
      </c>
      <c r="K1993" s="26" t="str">
        <f>IF(OR(E1993="",E1993="!!!",F1993="NEW"),"",INDEX(J$1:J1992,SUMPRODUCT(MAX(ROW(E$1:E1992)*(E1993=E$1:E1992)))))</f>
        <v> </v>
      </c>
      <c r="L1993" s="27"/>
    </row>
    <row r="1994" spans="1:12">
      <c r="A1994" s="20" t="s">
        <v>1036</v>
      </c>
      <c r="E1994" s="22">
        <f>IF(D1994="?OLD","!!!","")</f>
        <v/>
      </c>
      <c r="F1994" s="23" t="str">
        <f>IF(OR(E1994="",E1994="!!!"),"",IF(NOT(ISNA(VLOOKUP(E1994,E$1:E1993,1,FALSE()))),"OLD",IF(AND(E1994&lt;&gt;"",E1994&lt;&gt;"!!!"),"NEW","")))</f>
        <v> </v>
      </c>
      <c r="G1994" s="24" t="str">
        <f>IF(OR(E1994="",E1994="!!!"),"",IF(OR(J1994=0,AND(J1994=1,K1994=1),AND(J1994=1,I1994="SBJ"),AND(J1994=1,I1994=0)),"?IN_FOCUS",IF(J1994&lt;=2,"?ACTIVATED",IF(J1994&lt;&gt;"","?FAMILIAR",IF(F1994="NEW",IF(ISNA(VLOOKUP(E1994,#REF!,1,FALSE())),"?TYPE_IDENTIFIABLE","?REFERENTIAL"),"_")))))</f>
        <v> </v>
      </c>
      <c r="H1994" s="25" t="str">
        <f>IF(J1994&lt;&gt;1,"",IF(I1994="SBJ","CB","?"))</f>
        <v> </v>
      </c>
      <c r="I1994" s="26" t="str">
        <f>IF(OR(E1994="",E1994="!!!",F1994="NEW"),"",INDEX(B1993:B$2,-1+SUMPRODUCT(MAX(ROW(E1993:E$2)*(E1994=E1993:E$2)))))</f>
        <v> </v>
      </c>
      <c r="J1994" s="26" t="str">
        <f>IF(OR(E1994="",E1994="!!!",F1994="NEW"),"",COUNTBLANK(OFFSET(A$1,,,SUMPRODUCT(MAX(ROW(E$2:E1994)*(E1994=E$2:E1994)))))-COUNTBLANK(OFFSET(A$1,,,SUMPRODUCT(MAX(ROW(E$1:E1993)*(E2=E$1:E1993))))))</f>
        <v> </v>
      </c>
      <c r="K1994" s="26" t="str">
        <f>IF(OR(E1994="",E1994="!!!",F1994="NEW"),"",INDEX(J$1:J1993,SUMPRODUCT(MAX(ROW(E$1:E1993)*(E1994=E$1:E1993)))))</f>
        <v> </v>
      </c>
      <c r="L1994" s="27"/>
    </row>
    <row r="1995" spans="1:12">
      <c r="A1995" s="20" t="s">
        <v>1688</v>
      </c>
      <c r="B1995" s="21" t="s">
        <v>1033</v>
      </c>
      <c r="C1995" s="21" t="s">
        <v>1048</v>
      </c>
      <c r="E1995" s="22">
        <f>IF(D1995="?OLD","!!!","")</f>
        <v/>
      </c>
      <c r="F1995" s="23" t="str">
        <f>IF(OR(E1995="",E1995="!!!"),"",IF(NOT(ISNA(VLOOKUP(E1995,E$1:E1994,1,FALSE()))),"OLD",IF(AND(E1995&lt;&gt;"",E1995&lt;&gt;"!!!"),"NEW","")))</f>
        <v> </v>
      </c>
      <c r="G1995" s="24" t="str">
        <f>IF(OR(E1995="",E1995="!!!"),"",IF(OR(J1995=0,AND(J1995=1,K1995=1),AND(J1995=1,I1995="SBJ"),AND(J1995=1,I1995=0)),"?IN_FOCUS",IF(J1995&lt;=2,"?ACTIVATED",IF(J1995&lt;&gt;"","?FAMILIAR",IF(F1995="NEW",IF(ISNA(VLOOKUP(E1995,#REF!,1,FALSE())),"?TYPE_IDENTIFIABLE","?REFERENTIAL"),"_")))))</f>
        <v> </v>
      </c>
      <c r="H1995" s="25" t="str">
        <f>IF(J1995&lt;&gt;1,"",IF(I1995="SBJ","CB","?"))</f>
        <v> </v>
      </c>
      <c r="I1995" s="26" t="str">
        <f>IF(OR(E1995="",E1995="!!!",F1995="NEW"),"",INDEX(B1994:B$2,-1+SUMPRODUCT(MAX(ROW(E1994:E$2)*(E1995=E1994:E$2)))))</f>
        <v> </v>
      </c>
      <c r="J1995" s="26" t="str">
        <f>IF(OR(E1995="",E1995="!!!",F1995="NEW"),"",COUNTBLANK(OFFSET(A$1,,,SUMPRODUCT(MAX(ROW(E$2:E1995)*(E1995=E$2:E1995)))))-COUNTBLANK(OFFSET(A$1,,,SUMPRODUCT(MAX(ROW(E$1:E1994)*(E2=E$1:E1994))))))</f>
        <v> </v>
      </c>
      <c r="K1995" s="26" t="str">
        <f>IF(OR(E1995="",E1995="!!!",F1995="NEW"),"",INDEX(J$1:J1994,SUMPRODUCT(MAX(ROW(E$1:E1994)*(E1995=E$1:E1994)))))</f>
        <v> </v>
      </c>
      <c r="L1995" s="27"/>
    </row>
    <row r="1996" spans="1:12">
      <c r="A1996" s="20" t="s">
        <v>1605</v>
      </c>
      <c r="E1996" s="22">
        <f>IF(D1996="?OLD","!!!","")</f>
        <v/>
      </c>
      <c r="F1996" s="23" t="str">
        <f>IF(OR(E1996="",E1996="!!!"),"",IF(NOT(ISNA(VLOOKUP(E1996,E$1:E1995,1,FALSE()))),"OLD",IF(AND(E1996&lt;&gt;"",E1996&lt;&gt;"!!!"),"NEW","")))</f>
        <v> </v>
      </c>
      <c r="G1996" s="24" t="str">
        <f>IF(OR(E1996="",E1996="!!!"),"",IF(OR(J1996=0,AND(J1996=1,K1996=1),AND(J1996=1,I1996="SBJ"),AND(J1996=1,I1996=0)),"?IN_FOCUS",IF(J1996&lt;=2,"?ACTIVATED",IF(J1996&lt;&gt;"","?FAMILIAR",IF(F1996="NEW",IF(ISNA(VLOOKUP(E1996,#REF!,1,FALSE())),"?TYPE_IDENTIFIABLE","?REFERENTIAL"),"_")))))</f>
        <v> </v>
      </c>
      <c r="H1996" s="25" t="str">
        <f>IF(J1996&lt;&gt;1,"",IF(I1996="SBJ","CB","?"))</f>
        <v> </v>
      </c>
      <c r="I1996" s="26" t="str">
        <f>IF(OR(E1996="",E1996="!!!",F1996="NEW"),"",INDEX(B1995:B$2,-1+SUMPRODUCT(MAX(ROW(E1995:E$2)*(E1996=E1995:E$2)))))</f>
        <v> </v>
      </c>
      <c r="J1996" s="26" t="str">
        <f>IF(OR(E1996="",E1996="!!!",F1996="NEW"),"",COUNTBLANK(OFFSET(A$1,,,SUMPRODUCT(MAX(ROW(E$2:E1996)*(E1996=E$2:E1996)))))-COUNTBLANK(OFFSET(A$1,,,SUMPRODUCT(MAX(ROW(E$1:E1995)*(E2=E$1:E1995))))))</f>
        <v> </v>
      </c>
      <c r="K1996" s="26" t="str">
        <f>IF(OR(E1996="",E1996="!!!",F1996="NEW"),"",INDEX(J$1:J1995,SUMPRODUCT(MAX(ROW(E$1:E1995)*(E1996=E$1:E1995)))))</f>
        <v> </v>
      </c>
      <c r="L1996" s="27"/>
    </row>
    <row r="1997" spans="1:12">
      <c r="A1997" s="20" t="s">
        <v>1023</v>
      </c>
      <c r="E1997" s="22">
        <f>IF(D1997="?OLD","!!!","")</f>
        <v/>
      </c>
      <c r="F1997" s="23" t="str">
        <f>IF(OR(E1997="",E1997="!!!"),"",IF(NOT(ISNA(VLOOKUP(E1997,E$1:E1996,1,FALSE()))),"OLD",IF(AND(E1997&lt;&gt;"",E1997&lt;&gt;"!!!"),"NEW","")))</f>
        <v> </v>
      </c>
      <c r="G1997" s="24" t="str">
        <f>IF(OR(E1997="",E1997="!!!"),"",IF(OR(J1997=0,AND(J1997=1,K1997=1),AND(J1997=1,I1997="SBJ"),AND(J1997=1,I1997=0)),"?IN_FOCUS",IF(J1997&lt;=2,"?ACTIVATED",IF(J1997&lt;&gt;"","?FAMILIAR",IF(F1997="NEW",IF(ISNA(VLOOKUP(E1997,#REF!,1,FALSE())),"?TYPE_IDENTIFIABLE","?REFERENTIAL"),"_")))))</f>
        <v> </v>
      </c>
      <c r="H1997" s="25" t="str">
        <f>IF(J1997&lt;&gt;1,"",IF(I1997="SBJ","CB","?"))</f>
        <v> </v>
      </c>
      <c r="I1997" s="26" t="str">
        <f>IF(OR(E1997="",E1997="!!!",F1997="NEW"),"",INDEX(B1996:B$2,-1+SUMPRODUCT(MAX(ROW(E1996:E$2)*(E1997=E1996:E$2)))))</f>
        <v> </v>
      </c>
      <c r="J1997" s="26" t="str">
        <f>IF(OR(E1997="",E1997="!!!",F1997="NEW"),"",COUNTBLANK(OFFSET(A$1,,,SUMPRODUCT(MAX(ROW(E$2:E1997)*(E1997=E$2:E1997)))))-COUNTBLANK(OFFSET(A$1,,,SUMPRODUCT(MAX(ROW(E$1:E1996)*(E2=E$1:E1996))))))</f>
        <v> </v>
      </c>
      <c r="K1997" s="26" t="str">
        <f>IF(OR(E1997="",E1997="!!!",F1997="NEW"),"",INDEX(J$1:J1996,SUMPRODUCT(MAX(ROW(E$1:E1996)*(E1997=E$1:E1996)))))</f>
        <v> </v>
      </c>
      <c r="L1997" s="27"/>
    </row>
    <row r="1998" spans="1:12">
      <c r="A1998" s="20"/>
    </row>
    <row r="1999" spans="1:12">
      <c r="A1999" s="20" t="s">
        <v>1689</v>
      </c>
    </row>
    <row r="2000" spans="1:12">
      <c r="A2000" s="20" t="s">
        <v>1547</v>
      </c>
      <c r="B2000" s="21" t="s">
        <v>1050</v>
      </c>
      <c r="C2000" s="21" t="s">
        <v>1073</v>
      </c>
      <c r="D2000" s="21" t="s">
        <v>1007</v>
      </c>
      <c r="E2000" s="22">
        <f>IF(D2000="?OLD","!!!","")</f>
        <v/>
      </c>
      <c r="F2000" s="23" t="str">
        <f>IF(OR(E2000="",E2000="!!!"),"",IF(NOT(ISNA(VLOOKUP(E2000,E$1:E1999,1,FALSE()))),"OLD",IF(AND(E2000&lt;&gt;"",E2000&lt;&gt;"!!!"),"NEW","")))</f>
        <v> </v>
      </c>
      <c r="G2000" s="24" t="str">
        <f>IF(OR(E2000="",E2000="!!!"),"",IF(OR(J2000=0,AND(J2000=1,K2000=1),AND(J2000=1,I2000="SBJ"),AND(J2000=1,I2000=0)),"?IN_FOCUS",IF(J2000&lt;=2,"?ACTIVATED",IF(J2000&lt;&gt;"","?FAMILIAR",IF(F2000="NEW",IF(ISNA(VLOOKUP(E2000,#REF!,1,FALSE())),"?TYPE_IDENTIFIABLE","?REFERENTIAL"),"_")))))</f>
        <v> </v>
      </c>
      <c r="H2000" s="25" t="str">
        <f>IF(J2000&lt;&gt;1,"",IF(I2000="SBJ","CB","?"))</f>
        <v> </v>
      </c>
      <c r="I2000" s="26" t="str">
        <f>IF(OR(E2000="",E2000="!!!",F2000="NEW"),"",INDEX(B1999:B$2,-1+SUMPRODUCT(MAX(ROW(E1999:E$2)*(E2000=E1999:E$2)))))</f>
        <v> </v>
      </c>
      <c r="J2000" s="26" t="str">
        <f>IF(OR(E2000="",E2000="!!!",F2000="NEW"),"",COUNTBLANK(OFFSET(A$1,,,SUMPRODUCT(MAX(ROW(E$2:E2000)*(E2000=E$2:E2000)))))-COUNTBLANK(OFFSET(A$1,,,SUMPRODUCT(MAX(ROW(E$1:E1999)*(E2=E$1:E1999))))))</f>
        <v> </v>
      </c>
      <c r="K2000" s="26" t="str">
        <f>IF(OR(E2000="",E2000="!!!",F2000="NEW"),"",INDEX(J$1:J1999,SUMPRODUCT(MAX(ROW(E$1:E1999)*(E2000=E$1:E1999)))))</f>
        <v> </v>
      </c>
      <c r="L2000" s="27"/>
    </row>
    <row r="2001" spans="1:12">
      <c r="A2001" s="20" t="s">
        <v>1690</v>
      </c>
      <c r="E2001" s="22">
        <f>IF(D2001="?OLD","!!!","")</f>
        <v/>
      </c>
      <c r="F2001" s="23" t="str">
        <f>IF(OR(E2001="",E2001="!!!"),"",IF(NOT(ISNA(VLOOKUP(E2001,E$1:E2000,1,FALSE()))),"OLD",IF(AND(E2001&lt;&gt;"",E2001&lt;&gt;"!!!"),"NEW","")))</f>
        <v> </v>
      </c>
      <c r="G2001" s="24" t="str">
        <f>IF(OR(E2001="",E2001="!!!"),"",IF(OR(J2001=0,AND(J2001=1,K2001=1),AND(J2001=1,I2001="SBJ"),AND(J2001=1,I2001=0)),"?IN_FOCUS",IF(J2001&lt;=2,"?ACTIVATED",IF(J2001&lt;&gt;"","?FAMILIAR",IF(F2001="NEW",IF(ISNA(VLOOKUP(E2001,#REF!,1,FALSE())),"?TYPE_IDENTIFIABLE","?REFERENTIAL"),"_")))))</f>
        <v> </v>
      </c>
      <c r="H2001" s="25" t="str">
        <f>IF(J2001&lt;&gt;1,"",IF(I2001="SBJ","CB","?"))</f>
        <v> </v>
      </c>
      <c r="I2001" s="26" t="str">
        <f>IF(OR(E2001="",E2001="!!!",F2001="NEW"),"",INDEX(B2000:B$2,-1+SUMPRODUCT(MAX(ROW(E2000:E$2)*(E2001=E2000:E$2)))))</f>
        <v> </v>
      </c>
      <c r="J2001" s="26" t="str">
        <f>IF(OR(E2001="",E2001="!!!",F2001="NEW"),"",COUNTBLANK(OFFSET(A$1,,,SUMPRODUCT(MAX(ROW(E$2:E2001)*(E2001=E$2:E2001)))))-COUNTBLANK(OFFSET(A$1,,,SUMPRODUCT(MAX(ROW(E$1:E2000)*(E2=E$1:E2000))))))</f>
        <v> </v>
      </c>
      <c r="K2001" s="26" t="str">
        <f>IF(OR(E2001="",E2001="!!!",F2001="NEW"),"",INDEX(J$1:J2000,SUMPRODUCT(MAX(ROW(E$1:E2000)*(E2001=E$1:E2000)))))</f>
        <v> </v>
      </c>
      <c r="L2001" s="27"/>
    </row>
    <row r="2002" spans="1:12">
      <c r="A2002" s="20" t="s">
        <v>1020</v>
      </c>
      <c r="E2002" s="22">
        <f>IF(D2002="?OLD","!!!","")</f>
        <v/>
      </c>
      <c r="F2002" s="23" t="str">
        <f>IF(OR(E2002="",E2002="!!!"),"",IF(NOT(ISNA(VLOOKUP(E2002,E$1:E2001,1,FALSE()))),"OLD",IF(AND(E2002&lt;&gt;"",E2002&lt;&gt;"!!!"),"NEW","")))</f>
        <v> </v>
      </c>
      <c r="G2002" s="24" t="str">
        <f>IF(OR(E2002="",E2002="!!!"),"",IF(OR(J2002=0,AND(J2002=1,K2002=1),AND(J2002=1,I2002="SBJ"),AND(J2002=1,I2002=0)),"?IN_FOCUS",IF(J2002&lt;=2,"?ACTIVATED",IF(J2002&lt;&gt;"","?FAMILIAR",IF(F2002="NEW",IF(ISNA(VLOOKUP(E2002,#REF!,1,FALSE())),"?TYPE_IDENTIFIABLE","?REFERENTIAL"),"_")))))</f>
        <v> </v>
      </c>
      <c r="H2002" s="25" t="str">
        <f>IF(J2002&lt;&gt;1,"",IF(I2002="SBJ","CB","?"))</f>
        <v> </v>
      </c>
      <c r="I2002" s="26" t="str">
        <f>IF(OR(E2002="",E2002="!!!",F2002="NEW"),"",INDEX(B2001:B$2,-1+SUMPRODUCT(MAX(ROW(E2001:E$2)*(E2002=E2001:E$2)))))</f>
        <v> </v>
      </c>
      <c r="J2002" s="26" t="str">
        <f>IF(OR(E2002="",E2002="!!!",F2002="NEW"),"",COUNTBLANK(OFFSET(A$1,,,SUMPRODUCT(MAX(ROW(E$2:E2002)*(E2002=E$2:E2002)))))-COUNTBLANK(OFFSET(A$1,,,SUMPRODUCT(MAX(ROW(E$1:E2001)*(E2=E$1:E2001))))))</f>
        <v> </v>
      </c>
      <c r="K2002" s="26" t="str">
        <f>IF(OR(E2002="",E2002="!!!",F2002="NEW"),"",INDEX(J$1:J2001,SUMPRODUCT(MAX(ROW(E$1:E2001)*(E2002=E$1:E2001)))))</f>
        <v> </v>
      </c>
      <c r="L2002" s="27"/>
    </row>
    <row r="2003" spans="1:12">
      <c r="A2003" s="20" t="s">
        <v>1691</v>
      </c>
      <c r="B2003" s="21" t="s">
        <v>1085</v>
      </c>
      <c r="C2003" s="21" t="s">
        <v>1017</v>
      </c>
      <c r="D2003" s="21" t="s">
        <v>1007</v>
      </c>
      <c r="E2003" s="22">
        <f>IF(D2003="?OLD","!!!","")</f>
        <v/>
      </c>
      <c r="F2003" s="23" t="str">
        <f>IF(OR(E2003="",E2003="!!!"),"",IF(NOT(ISNA(VLOOKUP(E2003,E$1:E2002,1,FALSE()))),"OLD",IF(AND(E2003&lt;&gt;"",E2003&lt;&gt;"!!!"),"NEW","")))</f>
        <v> </v>
      </c>
      <c r="G2003" s="24" t="str">
        <f>IF(OR(E2003="",E2003="!!!"),"",IF(OR(J2003=0,AND(J2003=1,K2003=1),AND(J2003=1,I2003="SBJ"),AND(J2003=1,I2003=0)),"?IN_FOCUS",IF(J2003&lt;=2,"?ACTIVATED",IF(J2003&lt;&gt;"","?FAMILIAR",IF(F2003="NEW",IF(ISNA(VLOOKUP(E2003,#REF!,1,FALSE())),"?TYPE_IDENTIFIABLE","?REFERENTIAL"),"_")))))</f>
        <v> </v>
      </c>
      <c r="H2003" s="25" t="str">
        <f>IF(J2003&lt;&gt;1,"",IF(I2003="SBJ","CB","?"))</f>
        <v> </v>
      </c>
      <c r="I2003" s="26" t="str">
        <f>IF(OR(E2003="",E2003="!!!",F2003="NEW"),"",INDEX(B2002:B$2,-1+SUMPRODUCT(MAX(ROW(E2002:E$2)*(E2003=E2002:E$2)))))</f>
        <v> </v>
      </c>
      <c r="J2003" s="26" t="str">
        <f>IF(OR(E2003="",E2003="!!!",F2003="NEW"),"",COUNTBLANK(OFFSET(A$1,,,SUMPRODUCT(MAX(ROW(E$2:E2003)*(E2003=E$2:E2003)))))-COUNTBLANK(OFFSET(A$1,,,SUMPRODUCT(MAX(ROW(E$1:E2002)*(E2=E$1:E2002))))))</f>
        <v> </v>
      </c>
      <c r="K2003" s="26" t="str">
        <f>IF(OR(E2003="",E2003="!!!",F2003="NEW"),"",INDEX(J$1:J2002,SUMPRODUCT(MAX(ROW(E$1:E2002)*(E2003=E$1:E2002)))))</f>
        <v> </v>
      </c>
      <c r="L2003" s="27"/>
    </row>
    <row r="2004" spans="1:12">
      <c r="A2004" s="20" t="s">
        <v>56</v>
      </c>
      <c r="E2004" s="22">
        <f>IF(D2004="?OLD","!!!","")</f>
        <v/>
      </c>
      <c r="F2004" s="23" t="str">
        <f>IF(OR(E2004="",E2004="!!!"),"",IF(NOT(ISNA(VLOOKUP(E2004,E$1:E2003,1,FALSE()))),"OLD",IF(AND(E2004&lt;&gt;"",E2004&lt;&gt;"!!!"),"NEW","")))</f>
        <v> </v>
      </c>
      <c r="G2004" s="24" t="str">
        <f>IF(OR(E2004="",E2004="!!!"),"",IF(OR(J2004=0,AND(J2004=1,K2004=1),AND(J2004=1,I2004="SBJ"),AND(J2004=1,I2004=0)),"?IN_FOCUS",IF(J2004&lt;=2,"?ACTIVATED",IF(J2004&lt;&gt;"","?FAMILIAR",IF(F2004="NEW",IF(ISNA(VLOOKUP(E2004,#REF!,1,FALSE())),"?TYPE_IDENTIFIABLE","?REFERENTIAL"),"_")))))</f>
        <v> </v>
      </c>
      <c r="H2004" s="25" t="str">
        <f>IF(J2004&lt;&gt;1,"",IF(I2004="SBJ","CB","?"))</f>
        <v> </v>
      </c>
      <c r="I2004" s="26" t="str">
        <f>IF(OR(E2004="",E2004="!!!",F2004="NEW"),"",INDEX(B2003:B$2,-1+SUMPRODUCT(MAX(ROW(E2003:E$2)*(E2004=E2003:E$2)))))</f>
        <v> </v>
      </c>
      <c r="J2004" s="26" t="str">
        <f>IF(OR(E2004="",E2004="!!!",F2004="NEW"),"",COUNTBLANK(OFFSET(A$1,,,SUMPRODUCT(MAX(ROW(E$2:E2004)*(E2004=E$2:E2004)))))-COUNTBLANK(OFFSET(A$1,,,SUMPRODUCT(MAX(ROW(E$1:E2003)*(E2=E$1:E2003))))))</f>
        <v> </v>
      </c>
      <c r="K2004" s="26" t="str">
        <f>IF(OR(E2004="",E2004="!!!",F2004="NEW"),"",INDEX(J$1:J2003,SUMPRODUCT(MAX(ROW(E$1:E2003)*(E2004=E$1:E2003)))))</f>
        <v> </v>
      </c>
      <c r="L2004" s="27"/>
    </row>
    <row r="2005" spans="1:12">
      <c r="A2005" s="20" t="s">
        <v>1015</v>
      </c>
      <c r="E2005" s="22">
        <f>IF(D2005="?OLD","!!!","")</f>
        <v/>
      </c>
      <c r="F2005" s="23" t="str">
        <f>IF(OR(E2005="",E2005="!!!"),"",IF(NOT(ISNA(VLOOKUP(E2005,E$1:E2004,1,FALSE()))),"OLD",IF(AND(E2005&lt;&gt;"",E2005&lt;&gt;"!!!"),"NEW","")))</f>
        <v> </v>
      </c>
      <c r="G2005" s="24" t="str">
        <f>IF(OR(E2005="",E2005="!!!"),"",IF(OR(J2005=0,AND(J2005=1,K2005=1),AND(J2005=1,I2005="SBJ"),AND(J2005=1,I2005=0)),"?IN_FOCUS",IF(J2005&lt;=2,"?ACTIVATED",IF(J2005&lt;&gt;"","?FAMILIAR",IF(F2005="NEW",IF(ISNA(VLOOKUP(E2005,#REF!,1,FALSE())),"?TYPE_IDENTIFIABLE","?REFERENTIAL"),"_")))))</f>
        <v> </v>
      </c>
      <c r="H2005" s="25" t="str">
        <f>IF(J2005&lt;&gt;1,"",IF(I2005="SBJ","CB","?"))</f>
        <v> </v>
      </c>
      <c r="I2005" s="26" t="str">
        <f>IF(OR(E2005="",E2005="!!!",F2005="NEW"),"",INDEX(B2004:B$2,-1+SUMPRODUCT(MAX(ROW(E2004:E$2)*(E2005=E2004:E$2)))))</f>
        <v> </v>
      </c>
      <c r="J2005" s="26" t="str">
        <f>IF(OR(E2005="",E2005="!!!",F2005="NEW"),"",COUNTBLANK(OFFSET(A$1,,,SUMPRODUCT(MAX(ROW(E$2:E2005)*(E2005=E$2:E2005)))))-COUNTBLANK(OFFSET(A$1,,,SUMPRODUCT(MAX(ROW(E$1:E2004)*(E2=E$1:E2004))))))</f>
        <v> </v>
      </c>
      <c r="K2005" s="26" t="str">
        <f>IF(OR(E2005="",E2005="!!!",F2005="NEW"),"",INDEX(J$1:J2004,SUMPRODUCT(MAX(ROW(E$1:E2004)*(E2005=E$1:E2004)))))</f>
        <v> </v>
      </c>
      <c r="L2005" s="27"/>
    </row>
    <row r="2006" spans="1:12">
      <c r="A2006" s="20" t="s">
        <v>1012</v>
      </c>
      <c r="B2006" s="21" t="s">
        <v>1022</v>
      </c>
      <c r="C2006" s="21" t="s">
        <v>1017</v>
      </c>
      <c r="D2006" s="21" t="s">
        <v>1007</v>
      </c>
      <c r="E2006" s="22">
        <f>IF(D2006="?OLD","!!!","")</f>
        <v/>
      </c>
      <c r="F2006" s="23" t="str">
        <f>IF(OR(E2006="",E2006="!!!"),"",IF(NOT(ISNA(VLOOKUP(E2006,E$1:E2005,1,FALSE()))),"OLD",IF(AND(E2006&lt;&gt;"",E2006&lt;&gt;"!!!"),"NEW","")))</f>
        <v> </v>
      </c>
      <c r="G2006" s="24" t="str">
        <f>IF(OR(E2006="",E2006="!!!"),"",IF(OR(J2006=0,AND(J2006=1,K2006=1),AND(J2006=1,I2006="SBJ"),AND(J2006=1,I2006=0)),"?IN_FOCUS",IF(J2006&lt;=2,"?ACTIVATED",IF(J2006&lt;&gt;"","?FAMILIAR",IF(F2006="NEW",IF(ISNA(VLOOKUP(E2006,#REF!,1,FALSE())),"?TYPE_IDENTIFIABLE","?REFERENTIAL"),"_")))))</f>
        <v> </v>
      </c>
      <c r="H2006" s="25" t="str">
        <f>IF(J2006&lt;&gt;1,"",IF(I2006="SBJ","CB","?"))</f>
        <v> </v>
      </c>
      <c r="I2006" s="26" t="str">
        <f>IF(OR(E2006="",E2006="!!!",F2006="NEW"),"",INDEX(B2005:B$2,-1+SUMPRODUCT(MAX(ROW(E2005:E$2)*(E2006=E2005:E$2)))))</f>
        <v> </v>
      </c>
      <c r="J2006" s="26" t="str">
        <f>IF(OR(E2006="",E2006="!!!",F2006="NEW"),"",COUNTBLANK(OFFSET(A$1,,,SUMPRODUCT(MAX(ROW(E$2:E2006)*(E2006=E$2:E2006)))))-COUNTBLANK(OFFSET(A$1,,,SUMPRODUCT(MAX(ROW(E$1:E2005)*(E2=E$1:E2005))))))</f>
        <v> </v>
      </c>
      <c r="K2006" s="26" t="str">
        <f>IF(OR(E2006="",E2006="!!!",F2006="NEW"),"",INDEX(J$1:J2005,SUMPRODUCT(MAX(ROW(E$1:E2005)*(E2006=E$1:E2005)))))</f>
        <v> </v>
      </c>
      <c r="L2006" s="27"/>
    </row>
    <row r="2007" spans="1:12">
      <c r="A2007" s="20" t="s">
        <v>1065</v>
      </c>
      <c r="B2007" s="21" t="s">
        <v>1064</v>
      </c>
      <c r="E2007" s="22">
        <f>IF(D2007="?OLD","!!!","")</f>
        <v/>
      </c>
      <c r="F2007" s="23" t="str">
        <f>IF(OR(E2007="",E2007="!!!"),"",IF(NOT(ISNA(VLOOKUP(E2007,E$1:E2006,1,FALSE()))),"OLD",IF(AND(E2007&lt;&gt;"",E2007&lt;&gt;"!!!"),"NEW","")))</f>
        <v> </v>
      </c>
      <c r="G2007" s="24" t="str">
        <f>IF(OR(E2007="",E2007="!!!"),"",IF(OR(J2007=0,AND(J2007=1,K2007=1),AND(J2007=1,I2007="SBJ"),AND(J2007=1,I2007=0)),"?IN_FOCUS",IF(J2007&lt;=2,"?ACTIVATED",IF(J2007&lt;&gt;"","?FAMILIAR",IF(F2007="NEW",IF(ISNA(VLOOKUP(E2007,#REF!,1,FALSE())),"?TYPE_IDENTIFIABLE","?REFERENTIAL"),"_")))))</f>
        <v> </v>
      </c>
      <c r="H2007" s="25" t="str">
        <f>IF(J2007&lt;&gt;1,"",IF(I2007="SBJ","CB","?"))</f>
        <v> </v>
      </c>
      <c r="I2007" s="26" t="str">
        <f>IF(OR(E2007="",E2007="!!!",F2007="NEW"),"",INDEX(B2006:B$2,-1+SUMPRODUCT(MAX(ROW(E2006:E$2)*(E2007=E2006:E$2)))))</f>
        <v> </v>
      </c>
      <c r="J2007" s="26" t="str">
        <f>IF(OR(E2007="",E2007="!!!",F2007="NEW"),"",COUNTBLANK(OFFSET(A$1,,,SUMPRODUCT(MAX(ROW(E$2:E2007)*(E2007=E$2:E2007)))))-COUNTBLANK(OFFSET(A$1,,,SUMPRODUCT(MAX(ROW(E$1:E2006)*(E2=E$1:E2006))))))</f>
        <v> </v>
      </c>
      <c r="K2007" s="26" t="str">
        <f>IF(OR(E2007="",E2007="!!!",F2007="NEW"),"",INDEX(J$1:J2006,SUMPRODUCT(MAX(ROW(E$1:E2006)*(E2007=E$1:E2006)))))</f>
        <v> </v>
      </c>
      <c r="L2007" s="27"/>
    </row>
    <row r="2008" spans="1:12">
      <c r="A2008" s="20" t="s">
        <v>1027</v>
      </c>
      <c r="E2008" s="22">
        <f>IF(D2008="?OLD","!!!","")</f>
        <v/>
      </c>
      <c r="F2008" s="23" t="str">
        <f>IF(OR(E2008="",E2008="!!!"),"",IF(NOT(ISNA(VLOOKUP(E2008,E$1:E2007,1,FALSE()))),"OLD",IF(AND(E2008&lt;&gt;"",E2008&lt;&gt;"!!!"),"NEW","")))</f>
        <v> </v>
      </c>
      <c r="G2008" s="24" t="str">
        <f>IF(OR(E2008="",E2008="!!!"),"",IF(OR(J2008=0,AND(J2008=1,K2008=1),AND(J2008=1,I2008="SBJ"),AND(J2008=1,I2008=0)),"?IN_FOCUS",IF(J2008&lt;=2,"?ACTIVATED",IF(J2008&lt;&gt;"","?FAMILIAR",IF(F2008="NEW",IF(ISNA(VLOOKUP(E2008,#REF!,1,FALSE())),"?TYPE_IDENTIFIABLE","?REFERENTIAL"),"_")))))</f>
        <v> </v>
      </c>
      <c r="H2008" s="25" t="str">
        <f>IF(J2008&lt;&gt;1,"",IF(I2008="SBJ","CB","?"))</f>
        <v> </v>
      </c>
      <c r="I2008" s="26" t="str">
        <f>IF(OR(E2008="",E2008="!!!",F2008="NEW"),"",INDEX(B2007:B$2,-1+SUMPRODUCT(MAX(ROW(E2007:E$2)*(E2008=E2007:E$2)))))</f>
        <v> </v>
      </c>
      <c r="J2008" s="26" t="str">
        <f>IF(OR(E2008="",E2008="!!!",F2008="NEW"),"",COUNTBLANK(OFFSET(A$1,,,SUMPRODUCT(MAX(ROW(E$2:E2008)*(E2008=E$2:E2008)))))-COUNTBLANK(OFFSET(A$1,,,SUMPRODUCT(MAX(ROW(E$1:E2007)*(E2=E$1:E2007))))))</f>
        <v> </v>
      </c>
      <c r="K2008" s="26" t="str">
        <f>IF(OR(E2008="",E2008="!!!",F2008="NEW"),"",INDEX(J$1:J2007,SUMPRODUCT(MAX(ROW(E$1:E2007)*(E2008=E$1:E2007)))))</f>
        <v> </v>
      </c>
      <c r="L2008" s="27"/>
    </row>
    <row r="2009" spans="1:12">
      <c r="A2009" s="20" t="s">
        <v>1172</v>
      </c>
      <c r="B2009" s="21" t="s">
        <v>1120</v>
      </c>
      <c r="C2009" s="21" t="s">
        <v>1017</v>
      </c>
      <c r="D2009" s="21" t="s">
        <v>1007</v>
      </c>
      <c r="E2009" s="22">
        <f>IF(D2009="?OLD","!!!","")</f>
        <v/>
      </c>
      <c r="F2009" s="23" t="str">
        <f>IF(OR(E2009="",E2009="!!!"),"",IF(NOT(ISNA(VLOOKUP(E2009,E$1:E2008,1,FALSE()))),"OLD",IF(AND(E2009&lt;&gt;"",E2009&lt;&gt;"!!!"),"NEW","")))</f>
        <v> </v>
      </c>
      <c r="G2009" s="24" t="str">
        <f>IF(OR(E2009="",E2009="!!!"),"",IF(OR(J2009=0,AND(J2009=1,K2009=1),AND(J2009=1,I2009="SBJ"),AND(J2009=1,I2009=0)),"?IN_FOCUS",IF(J2009&lt;=2,"?ACTIVATED",IF(J2009&lt;&gt;"","?FAMILIAR",IF(F2009="NEW",IF(ISNA(VLOOKUP(E2009,#REF!,1,FALSE())),"?TYPE_IDENTIFIABLE","?REFERENTIAL"),"_")))))</f>
        <v> </v>
      </c>
      <c r="H2009" s="25" t="str">
        <f>IF(J2009&lt;&gt;1,"",IF(I2009="SBJ","CB","?"))</f>
        <v> </v>
      </c>
      <c r="I2009" s="26" t="str">
        <f>IF(OR(E2009="",E2009="!!!",F2009="NEW"),"",INDEX(B2008:B$2,-1+SUMPRODUCT(MAX(ROW(E2008:E$2)*(E2009=E2008:E$2)))))</f>
        <v> </v>
      </c>
      <c r="J2009" s="26" t="str">
        <f>IF(OR(E2009="",E2009="!!!",F2009="NEW"),"",COUNTBLANK(OFFSET(A$1,,,SUMPRODUCT(MAX(ROW(E$2:E2009)*(E2009=E$2:E2009)))))-COUNTBLANK(OFFSET(A$1,,,SUMPRODUCT(MAX(ROW(E$1:E2008)*(E2=E$1:E2008))))))</f>
        <v> </v>
      </c>
      <c r="K2009" s="26" t="str">
        <f>IF(OR(E2009="",E2009="!!!",F2009="NEW"),"",INDEX(J$1:J2008,SUMPRODUCT(MAX(ROW(E$1:E2008)*(E2009=E$1:E2008)))))</f>
        <v> </v>
      </c>
      <c r="L2009" s="27"/>
    </row>
    <row r="2010" spans="1:12">
      <c r="A2010" s="20" t="s">
        <v>1520</v>
      </c>
      <c r="E2010" s="22">
        <f>IF(D2010="?OLD","!!!","")</f>
        <v/>
      </c>
      <c r="F2010" s="23" t="str">
        <f>IF(OR(E2010="",E2010="!!!"),"",IF(NOT(ISNA(VLOOKUP(E2010,E$1:E2009,1,FALSE()))),"OLD",IF(AND(E2010&lt;&gt;"",E2010&lt;&gt;"!!!"),"NEW","")))</f>
        <v> </v>
      </c>
      <c r="G2010" s="24" t="str">
        <f>IF(OR(E2010="",E2010="!!!"),"",IF(OR(J2010=0,AND(J2010=1,K2010=1),AND(J2010=1,I2010="SBJ"),AND(J2010=1,I2010=0)),"?IN_FOCUS",IF(J2010&lt;=2,"?ACTIVATED",IF(J2010&lt;&gt;"","?FAMILIAR",IF(F2010="NEW",IF(ISNA(VLOOKUP(E2010,#REF!,1,FALSE())),"?TYPE_IDENTIFIABLE","?REFERENTIAL"),"_")))))</f>
        <v> </v>
      </c>
      <c r="H2010" s="25" t="str">
        <f>IF(J2010&lt;&gt;1,"",IF(I2010="SBJ","CB","?"))</f>
        <v> </v>
      </c>
      <c r="I2010" s="26" t="str">
        <f>IF(OR(E2010="",E2010="!!!",F2010="NEW"),"",INDEX(B2009:B$2,-1+SUMPRODUCT(MAX(ROW(E2009:E$2)*(E2010=E2009:E$2)))))</f>
        <v> </v>
      </c>
      <c r="J2010" s="26" t="str">
        <f>IF(OR(E2010="",E2010="!!!",F2010="NEW"),"",COUNTBLANK(OFFSET(A$1,,,SUMPRODUCT(MAX(ROW(E$2:E2010)*(E2010=E$2:E2010)))))-COUNTBLANK(OFFSET(A$1,,,SUMPRODUCT(MAX(ROW(E$1:E2009)*(E2=E$1:E2009))))))</f>
        <v> </v>
      </c>
      <c r="K2010" s="26" t="str">
        <f>IF(OR(E2010="",E2010="!!!",F2010="NEW"),"",INDEX(J$1:J2009,SUMPRODUCT(MAX(ROW(E$1:E2009)*(E2010=E$1:E2009)))))</f>
        <v> </v>
      </c>
      <c r="L2010" s="27"/>
    </row>
    <row r="2011" spans="1:12">
      <c r="A2011" s="20" t="s">
        <v>1020</v>
      </c>
      <c r="E2011" s="22">
        <f>IF(D2011="?OLD","!!!","")</f>
        <v/>
      </c>
      <c r="F2011" s="23" t="str">
        <f>IF(OR(E2011="",E2011="!!!"),"",IF(NOT(ISNA(VLOOKUP(E2011,E$1:E2010,1,FALSE()))),"OLD",IF(AND(E2011&lt;&gt;"",E2011&lt;&gt;"!!!"),"NEW","")))</f>
        <v> </v>
      </c>
      <c r="G2011" s="24" t="str">
        <f>IF(OR(E2011="",E2011="!!!"),"",IF(OR(J2011=0,AND(J2011=1,K2011=1),AND(J2011=1,I2011="SBJ"),AND(J2011=1,I2011=0)),"?IN_FOCUS",IF(J2011&lt;=2,"?ACTIVATED",IF(J2011&lt;&gt;"","?FAMILIAR",IF(F2011="NEW",IF(ISNA(VLOOKUP(E2011,#REF!,1,FALSE())),"?TYPE_IDENTIFIABLE","?REFERENTIAL"),"_")))))</f>
        <v> </v>
      </c>
      <c r="H2011" s="25" t="str">
        <f>IF(J2011&lt;&gt;1,"",IF(I2011="SBJ","CB","?"))</f>
        <v> </v>
      </c>
      <c r="I2011" s="26" t="str">
        <f>IF(OR(E2011="",E2011="!!!",F2011="NEW"),"",INDEX(B2010:B$2,-1+SUMPRODUCT(MAX(ROW(E2010:E$2)*(E2011=E2010:E$2)))))</f>
        <v> </v>
      </c>
      <c r="J2011" s="26" t="str">
        <f>IF(OR(E2011="",E2011="!!!",F2011="NEW"),"",COUNTBLANK(OFFSET(A$1,,,SUMPRODUCT(MAX(ROW(E$2:E2011)*(E2011=E$2:E2011)))))-COUNTBLANK(OFFSET(A$1,,,SUMPRODUCT(MAX(ROW(E$1:E2010)*(E2=E$1:E2010))))))</f>
        <v> </v>
      </c>
      <c r="K2011" s="26" t="str">
        <f>IF(OR(E2011="",E2011="!!!",F2011="NEW"),"",INDEX(J$1:J2010,SUMPRODUCT(MAX(ROW(E$1:E2010)*(E2011=E$1:E2010)))))</f>
        <v> </v>
      </c>
      <c r="L2011" s="27"/>
    </row>
    <row r="2012" spans="1:12">
      <c r="A2012" s="20" t="s">
        <v>1692</v>
      </c>
      <c r="B2012" s="21" t="s">
        <v>1035</v>
      </c>
      <c r="C2012" s="21" t="s">
        <v>1048</v>
      </c>
      <c r="E2012" s="22">
        <f>IF(D2012="?OLD","!!!","")</f>
        <v/>
      </c>
      <c r="F2012" s="23" t="str">
        <f>IF(OR(E2012="",E2012="!!!"),"",IF(NOT(ISNA(VLOOKUP(E2012,E$1:E2011,1,FALSE()))),"OLD",IF(AND(E2012&lt;&gt;"",E2012&lt;&gt;"!!!"),"NEW","")))</f>
        <v> </v>
      </c>
      <c r="G2012" s="24" t="str">
        <f>IF(OR(E2012="",E2012="!!!"),"",IF(OR(J2012=0,AND(J2012=1,K2012=1),AND(J2012=1,I2012="SBJ"),AND(J2012=1,I2012=0)),"?IN_FOCUS",IF(J2012&lt;=2,"?ACTIVATED",IF(J2012&lt;&gt;"","?FAMILIAR",IF(F2012="NEW",IF(ISNA(VLOOKUP(E2012,#REF!,1,FALSE())),"?TYPE_IDENTIFIABLE","?REFERENTIAL"),"_")))))</f>
        <v> </v>
      </c>
      <c r="H2012" s="25" t="str">
        <f>IF(J2012&lt;&gt;1,"",IF(I2012="SBJ","CB","?"))</f>
        <v> </v>
      </c>
      <c r="I2012" s="26" t="str">
        <f>IF(OR(E2012="",E2012="!!!",F2012="NEW"),"",INDEX(B2011:B$2,-1+SUMPRODUCT(MAX(ROW(E2011:E$2)*(E2012=E2011:E$2)))))</f>
        <v> </v>
      </c>
      <c r="J2012" s="26" t="str">
        <f>IF(OR(E2012="",E2012="!!!",F2012="NEW"),"",COUNTBLANK(OFFSET(A$1,,,SUMPRODUCT(MAX(ROW(E$2:E2012)*(E2012=E$2:E2012)))))-COUNTBLANK(OFFSET(A$1,,,SUMPRODUCT(MAX(ROW(E$1:E2011)*(E2=E$1:E2011))))))</f>
        <v> </v>
      </c>
      <c r="K2012" s="26" t="str">
        <f>IF(OR(E2012="",E2012="!!!",F2012="NEW"),"",INDEX(J$1:J2011,SUMPRODUCT(MAX(ROW(E$1:E2011)*(E2012=E$1:E2011)))))</f>
        <v> </v>
      </c>
      <c r="L2012" s="27"/>
    </row>
    <row r="2013" spans="1:12">
      <c r="A2013" s="20" t="s">
        <v>1663</v>
      </c>
      <c r="E2013" s="22">
        <f>IF(D2013="?OLD","!!!","")</f>
        <v/>
      </c>
      <c r="F2013" s="23" t="str">
        <f>IF(OR(E2013="",E2013="!!!"),"",IF(NOT(ISNA(VLOOKUP(E2013,E$1:E2012,1,FALSE()))),"OLD",IF(AND(E2013&lt;&gt;"",E2013&lt;&gt;"!!!"),"NEW","")))</f>
        <v> </v>
      </c>
      <c r="G2013" s="24" t="str">
        <f>IF(OR(E2013="",E2013="!!!"),"",IF(OR(J2013=0,AND(J2013=1,K2013=1),AND(J2013=1,I2013="SBJ"),AND(J2013=1,I2013=0)),"?IN_FOCUS",IF(J2013&lt;=2,"?ACTIVATED",IF(J2013&lt;&gt;"","?FAMILIAR",IF(F2013="NEW",IF(ISNA(VLOOKUP(E2013,#REF!,1,FALSE())),"?TYPE_IDENTIFIABLE","?REFERENTIAL"),"_")))))</f>
        <v> </v>
      </c>
      <c r="H2013" s="25" t="str">
        <f>IF(J2013&lt;&gt;1,"",IF(I2013="SBJ","CB","?"))</f>
        <v> </v>
      </c>
      <c r="I2013" s="26" t="str">
        <f>IF(OR(E2013="",E2013="!!!",F2013="NEW"),"",INDEX(B2012:B$2,-1+SUMPRODUCT(MAX(ROW(E2012:E$2)*(E2013=E2012:E$2)))))</f>
        <v> </v>
      </c>
      <c r="J2013" s="26" t="str">
        <f>IF(OR(E2013="",E2013="!!!",F2013="NEW"),"",COUNTBLANK(OFFSET(A$1,,,SUMPRODUCT(MAX(ROW(E$2:E2013)*(E2013=E$2:E2013)))))-COUNTBLANK(OFFSET(A$1,,,SUMPRODUCT(MAX(ROW(E$1:E2012)*(E2=E$1:E2012))))))</f>
        <v> </v>
      </c>
      <c r="K2013" s="26" t="str">
        <f>IF(OR(E2013="",E2013="!!!",F2013="NEW"),"",INDEX(J$1:J2012,SUMPRODUCT(MAX(ROW(E$1:E2012)*(E2013=E$1:E2012)))))</f>
        <v> </v>
      </c>
      <c r="L2013" s="27"/>
    </row>
    <row r="2014" spans="1:12">
      <c r="A2014" s="20" t="s">
        <v>1094</v>
      </c>
      <c r="B2014" s="21" t="s">
        <v>1130</v>
      </c>
      <c r="C2014" s="21" t="s">
        <v>1006</v>
      </c>
      <c r="D2014" s="21" t="s">
        <v>1007</v>
      </c>
      <c r="E2014" s="22">
        <f>IF(D2014="?OLD","!!!","")</f>
        <v/>
      </c>
      <c r="F2014" s="23" t="str">
        <f>IF(OR(E2014="",E2014="!!!"),"",IF(NOT(ISNA(VLOOKUP(E2014,E$1:E2013,1,FALSE()))),"OLD",IF(AND(E2014&lt;&gt;"",E2014&lt;&gt;"!!!"),"NEW","")))</f>
        <v> </v>
      </c>
      <c r="G2014" s="24" t="str">
        <f>IF(OR(E2014="",E2014="!!!"),"",IF(OR(J2014=0,AND(J2014=1,K2014=1),AND(J2014=1,I2014="SBJ"),AND(J2014=1,I2014=0)),"?IN_FOCUS",IF(J2014&lt;=2,"?ACTIVATED",IF(J2014&lt;&gt;"","?FAMILIAR",IF(F2014="NEW",IF(ISNA(VLOOKUP(E2014,#REF!,1,FALSE())),"?TYPE_IDENTIFIABLE","?REFERENTIAL"),"_")))))</f>
        <v> </v>
      </c>
      <c r="H2014" s="25" t="str">
        <f>IF(J2014&lt;&gt;1,"",IF(I2014="SBJ","CB","?"))</f>
        <v> </v>
      </c>
      <c r="I2014" s="26" t="str">
        <f>IF(OR(E2014="",E2014="!!!",F2014="NEW"),"",INDEX(B2013:B$2,-1+SUMPRODUCT(MAX(ROW(E2013:E$2)*(E2014=E2013:E$2)))))</f>
        <v> </v>
      </c>
      <c r="J2014" s="26" t="str">
        <f>IF(OR(E2014="",E2014="!!!",F2014="NEW"),"",COUNTBLANK(OFFSET(A$1,,,SUMPRODUCT(MAX(ROW(E$2:E2014)*(E2014=E$2:E2014)))))-COUNTBLANK(OFFSET(A$1,,,SUMPRODUCT(MAX(ROW(E$1:E2013)*(E2=E$1:E2013))))))</f>
        <v> </v>
      </c>
      <c r="K2014" s="26" t="str">
        <f>IF(OR(E2014="",E2014="!!!",F2014="NEW"),"",INDEX(J$1:J2013,SUMPRODUCT(MAX(ROW(E$1:E2013)*(E2014=E$1:E2013)))))</f>
        <v> </v>
      </c>
      <c r="L2014" s="27"/>
    </row>
    <row r="2015" spans="1:12">
      <c r="A2015" s="20" t="s">
        <v>1009</v>
      </c>
      <c r="E2015" s="22">
        <f>IF(D2015="?OLD","!!!","")</f>
        <v/>
      </c>
      <c r="F2015" s="23" t="str">
        <f>IF(OR(E2015="",E2015="!!!"),"",IF(NOT(ISNA(VLOOKUP(E2015,E$1:E2014,1,FALSE()))),"OLD",IF(AND(E2015&lt;&gt;"",E2015&lt;&gt;"!!!"),"NEW","")))</f>
        <v> </v>
      </c>
      <c r="G2015" s="24" t="str">
        <f>IF(OR(E2015="",E2015="!!!"),"",IF(OR(J2015=0,AND(J2015=1,K2015=1),AND(J2015=1,I2015="SBJ"),AND(J2015=1,I2015=0)),"?IN_FOCUS",IF(J2015&lt;=2,"?ACTIVATED",IF(J2015&lt;&gt;"","?FAMILIAR",IF(F2015="NEW",IF(ISNA(VLOOKUP(E2015,#REF!,1,FALSE())),"?TYPE_IDENTIFIABLE","?REFERENTIAL"),"_")))))</f>
        <v> </v>
      </c>
      <c r="H2015" s="25" t="str">
        <f>IF(J2015&lt;&gt;1,"",IF(I2015="SBJ","CB","?"))</f>
        <v> </v>
      </c>
      <c r="I2015" s="26" t="str">
        <f>IF(OR(E2015="",E2015="!!!",F2015="NEW"),"",INDEX(B2014:B$2,-1+SUMPRODUCT(MAX(ROW(E2014:E$2)*(E2015=E2014:E$2)))))</f>
        <v> </v>
      </c>
      <c r="J2015" s="26" t="str">
        <f>IF(OR(E2015="",E2015="!!!",F2015="NEW"),"",COUNTBLANK(OFFSET(A$1,,,SUMPRODUCT(MAX(ROW(E$2:E2015)*(E2015=E$2:E2015)))))-COUNTBLANK(OFFSET(A$1,,,SUMPRODUCT(MAX(ROW(E$1:E2014)*(E2=E$1:E2014))))))</f>
        <v> </v>
      </c>
      <c r="K2015" s="26" t="str">
        <f>IF(OR(E2015="",E2015="!!!",F2015="NEW"),"",INDEX(J$1:J2014,SUMPRODUCT(MAX(ROW(E$1:E2014)*(E2015=E$1:E2014)))))</f>
        <v> </v>
      </c>
      <c r="L2015" s="27"/>
    </row>
    <row r="2016" spans="1:12">
      <c r="A2016" s="20" t="s">
        <v>28</v>
      </c>
      <c r="B2016" s="21" t="s">
        <v>1130</v>
      </c>
      <c r="C2016" s="21" t="s">
        <v>1006</v>
      </c>
      <c r="D2016" s="21" t="s">
        <v>1007</v>
      </c>
      <c r="E2016" s="22">
        <f>IF(D2016="?OLD","!!!","")</f>
        <v/>
      </c>
      <c r="F2016" s="23" t="str">
        <f>IF(OR(E2016="",E2016="!!!"),"",IF(NOT(ISNA(VLOOKUP(E2016,E$1:E2015,1,FALSE()))),"OLD",IF(AND(E2016&lt;&gt;"",E2016&lt;&gt;"!!!"),"NEW","")))</f>
        <v> </v>
      </c>
      <c r="G2016" s="24" t="str">
        <f>IF(OR(E2016="",E2016="!!!"),"",IF(OR(J2016=0,AND(J2016=1,K2016=1),AND(J2016=1,I2016="SBJ"),AND(J2016=1,I2016=0)),"?IN_FOCUS",IF(J2016&lt;=2,"?ACTIVATED",IF(J2016&lt;&gt;"","?FAMILIAR",IF(F2016="NEW",IF(ISNA(VLOOKUP(E2016,#REF!,1,FALSE())),"?TYPE_IDENTIFIABLE","?REFERENTIAL"),"_")))))</f>
        <v> </v>
      </c>
      <c r="H2016" s="25" t="str">
        <f>IF(J2016&lt;&gt;1,"",IF(I2016="SBJ","CB","?"))</f>
        <v> </v>
      </c>
      <c r="I2016" s="26" t="str">
        <f>IF(OR(E2016="",E2016="!!!",F2016="NEW"),"",INDEX(B2015:B$2,-1+SUMPRODUCT(MAX(ROW(E2015:E$2)*(E2016=E2015:E$2)))))</f>
        <v> </v>
      </c>
      <c r="J2016" s="26" t="str">
        <f>IF(OR(E2016="",E2016="!!!",F2016="NEW"),"",COUNTBLANK(OFFSET(A$1,,,SUMPRODUCT(MAX(ROW(E$2:E2016)*(E2016=E$2:E2016)))))-COUNTBLANK(OFFSET(A$1,,,SUMPRODUCT(MAX(ROW(E$1:E2015)*(E2=E$1:E2015))))))</f>
        <v> </v>
      </c>
      <c r="K2016" s="26" t="str">
        <f>IF(OR(E2016="",E2016="!!!",F2016="NEW"),"",INDEX(J$1:J2015,SUMPRODUCT(MAX(ROW(E$1:E2015)*(E2016=E$1:E2015)))))</f>
        <v> </v>
      </c>
      <c r="L2016" s="27"/>
    </row>
    <row r="2017" spans="1:12">
      <c r="A2017" s="20" t="s">
        <v>1018</v>
      </c>
      <c r="E2017" s="22">
        <f>IF(D2017="?OLD","!!!","")</f>
        <v/>
      </c>
      <c r="F2017" s="23" t="str">
        <f>IF(OR(E2017="",E2017="!!!"),"",IF(NOT(ISNA(VLOOKUP(E2017,E$1:E2016,1,FALSE()))),"OLD",IF(AND(E2017&lt;&gt;"",E2017&lt;&gt;"!!!"),"NEW","")))</f>
        <v> </v>
      </c>
      <c r="G2017" s="24" t="str">
        <f>IF(OR(E2017="",E2017="!!!"),"",IF(OR(J2017=0,AND(J2017=1,K2017=1),AND(J2017=1,I2017="SBJ"),AND(J2017=1,I2017=0)),"?IN_FOCUS",IF(J2017&lt;=2,"?ACTIVATED",IF(J2017&lt;&gt;"","?FAMILIAR",IF(F2017="NEW",IF(ISNA(VLOOKUP(E2017,#REF!,1,FALSE())),"?TYPE_IDENTIFIABLE","?REFERENTIAL"),"_")))))</f>
        <v> </v>
      </c>
      <c r="H2017" s="25" t="str">
        <f>IF(J2017&lt;&gt;1,"",IF(I2017="SBJ","CB","?"))</f>
        <v> </v>
      </c>
      <c r="I2017" s="26" t="str">
        <f>IF(OR(E2017="",E2017="!!!",F2017="NEW"),"",INDEX(B2016:B$2,-1+SUMPRODUCT(MAX(ROW(E2016:E$2)*(E2017=E2016:E$2)))))</f>
        <v> </v>
      </c>
      <c r="J2017" s="26" t="str">
        <f>IF(OR(E2017="",E2017="!!!",F2017="NEW"),"",COUNTBLANK(OFFSET(A$1,,,SUMPRODUCT(MAX(ROW(E$2:E2017)*(E2017=E$2:E2017)))))-COUNTBLANK(OFFSET(A$1,,,SUMPRODUCT(MAX(ROW(E$1:E2016)*(E2=E$1:E2016))))))</f>
        <v> </v>
      </c>
      <c r="K2017" s="26" t="str">
        <f>IF(OR(E2017="",E2017="!!!",F2017="NEW"),"",INDEX(J$1:J2016,SUMPRODUCT(MAX(ROW(E$1:E2016)*(E2017=E$1:E2016)))))</f>
        <v> </v>
      </c>
      <c r="L2017" s="27"/>
    </row>
    <row r="2018" spans="1:12">
      <c r="A2018" s="20" t="s">
        <v>1693</v>
      </c>
      <c r="E2018" s="22">
        <f>IF(D2018="?OLD","!!!","")</f>
        <v/>
      </c>
      <c r="F2018" s="23" t="str">
        <f>IF(OR(E2018="",E2018="!!!"),"",IF(NOT(ISNA(VLOOKUP(E2018,E$1:E2017,1,FALSE()))),"OLD",IF(AND(E2018&lt;&gt;"",E2018&lt;&gt;"!!!"),"NEW","")))</f>
        <v> </v>
      </c>
      <c r="G2018" s="24" t="str">
        <f>IF(OR(E2018="",E2018="!!!"),"",IF(OR(J2018=0,AND(J2018=1,K2018=1),AND(J2018=1,I2018="SBJ"),AND(J2018=1,I2018=0)),"?IN_FOCUS",IF(J2018&lt;=2,"?ACTIVATED",IF(J2018&lt;&gt;"","?FAMILIAR",IF(F2018="NEW",IF(ISNA(VLOOKUP(E2018,#REF!,1,FALSE())),"?TYPE_IDENTIFIABLE","?REFERENTIAL"),"_")))))</f>
        <v> </v>
      </c>
      <c r="H2018" s="25" t="str">
        <f>IF(J2018&lt;&gt;1,"",IF(I2018="SBJ","CB","?"))</f>
        <v> </v>
      </c>
      <c r="I2018" s="26" t="str">
        <f>IF(OR(E2018="",E2018="!!!",F2018="NEW"),"",INDEX(B2017:B$2,-1+SUMPRODUCT(MAX(ROW(E2017:E$2)*(E2018=E2017:E$2)))))</f>
        <v> </v>
      </c>
      <c r="J2018" s="26" t="str">
        <f>IF(OR(E2018="",E2018="!!!",F2018="NEW"),"",COUNTBLANK(OFFSET(A$1,,,SUMPRODUCT(MAX(ROW(E$2:E2018)*(E2018=E$2:E2018)))))-COUNTBLANK(OFFSET(A$1,,,SUMPRODUCT(MAX(ROW(E$1:E2017)*(E2=E$1:E2017))))))</f>
        <v> </v>
      </c>
      <c r="K2018" s="26" t="str">
        <f>IF(OR(E2018="",E2018="!!!",F2018="NEW"),"",INDEX(J$1:J2017,SUMPRODUCT(MAX(ROW(E$1:E2017)*(E2018=E$1:E2017)))))</f>
        <v> </v>
      </c>
      <c r="L2018" s="27"/>
    </row>
    <row r="2019" spans="1:12">
      <c r="A2019" s="20" t="s">
        <v>1182</v>
      </c>
      <c r="E2019" s="22">
        <f>IF(D2019="?OLD","!!!","")</f>
        <v/>
      </c>
      <c r="F2019" s="23" t="str">
        <f>IF(OR(E2019="",E2019="!!!"),"",IF(NOT(ISNA(VLOOKUP(E2019,E$1:E2018,1,FALSE()))),"OLD",IF(AND(E2019&lt;&gt;"",E2019&lt;&gt;"!!!"),"NEW","")))</f>
        <v> </v>
      </c>
      <c r="G2019" s="24" t="str">
        <f>IF(OR(E2019="",E2019="!!!"),"",IF(OR(J2019=0,AND(J2019=1,K2019=1),AND(J2019=1,I2019="SBJ"),AND(J2019=1,I2019=0)),"?IN_FOCUS",IF(J2019&lt;=2,"?ACTIVATED",IF(J2019&lt;&gt;"","?FAMILIAR",IF(F2019="NEW",IF(ISNA(VLOOKUP(E2019,#REF!,1,FALSE())),"?TYPE_IDENTIFIABLE","?REFERENTIAL"),"_")))))</f>
        <v> </v>
      </c>
      <c r="H2019" s="25" t="str">
        <f>IF(J2019&lt;&gt;1,"",IF(I2019="SBJ","CB","?"))</f>
        <v> </v>
      </c>
      <c r="I2019" s="26" t="str">
        <f>IF(OR(E2019="",E2019="!!!",F2019="NEW"),"",INDEX(B2018:B$2,-1+SUMPRODUCT(MAX(ROW(E2018:E$2)*(E2019=E2018:E$2)))))</f>
        <v> </v>
      </c>
      <c r="J2019" s="26" t="str">
        <f>IF(OR(E2019="",E2019="!!!",F2019="NEW"),"",COUNTBLANK(OFFSET(A$1,,,SUMPRODUCT(MAX(ROW(E$2:E2019)*(E2019=E$2:E2019)))))-COUNTBLANK(OFFSET(A$1,,,SUMPRODUCT(MAX(ROW(E$1:E2018)*(E2=E$1:E2018))))))</f>
        <v> </v>
      </c>
      <c r="K2019" s="26" t="str">
        <f>IF(OR(E2019="",E2019="!!!",F2019="NEW"),"",INDEX(J$1:J2018,SUMPRODUCT(MAX(ROW(E$1:E2018)*(E2019=E$1:E2018)))))</f>
        <v> </v>
      </c>
      <c r="L2019" s="27"/>
    </row>
    <row r="2020" spans="1:12">
      <c r="A2020" s="20" t="s">
        <v>1128</v>
      </c>
      <c r="B2020" s="21" t="s">
        <v>1029</v>
      </c>
      <c r="C2020" s="21" t="s">
        <v>1082</v>
      </c>
      <c r="D2020" s="21" t="s">
        <v>1007</v>
      </c>
      <c r="E2020" s="22">
        <f>IF(D2020="?OLD","!!!","")</f>
        <v/>
      </c>
      <c r="F2020" s="23" t="str">
        <f>IF(OR(E2020="",E2020="!!!"),"",IF(NOT(ISNA(VLOOKUP(E2020,E$1:E2019,1,FALSE()))),"OLD",IF(AND(E2020&lt;&gt;"",E2020&lt;&gt;"!!!"),"NEW","")))</f>
        <v> </v>
      </c>
      <c r="G2020" s="24" t="str">
        <f>IF(OR(E2020="",E2020="!!!"),"",IF(OR(J2020=0,AND(J2020=1,K2020=1),AND(J2020=1,I2020="SBJ"),AND(J2020=1,I2020=0)),"?IN_FOCUS",IF(J2020&lt;=2,"?ACTIVATED",IF(J2020&lt;&gt;"","?FAMILIAR",IF(F2020="NEW",IF(ISNA(VLOOKUP(E2020,#REF!,1,FALSE())),"?TYPE_IDENTIFIABLE","?REFERENTIAL"),"_")))))</f>
        <v> </v>
      </c>
      <c r="H2020" s="25" t="str">
        <f>IF(J2020&lt;&gt;1,"",IF(I2020="SBJ","CB","?"))</f>
        <v> </v>
      </c>
      <c r="I2020" s="26" t="str">
        <f>IF(OR(E2020="",E2020="!!!",F2020="NEW"),"",INDEX(B2019:B$2,-1+SUMPRODUCT(MAX(ROW(E2019:E$2)*(E2020=E2019:E$2)))))</f>
        <v> </v>
      </c>
      <c r="J2020" s="26" t="str">
        <f>IF(OR(E2020="",E2020="!!!",F2020="NEW"),"",COUNTBLANK(OFFSET(A$1,,,SUMPRODUCT(MAX(ROW(E$2:E2020)*(E2020=E$2:E2020)))))-COUNTBLANK(OFFSET(A$1,,,SUMPRODUCT(MAX(ROW(E$1:E2019)*(E2=E$1:E2019))))))</f>
        <v> </v>
      </c>
      <c r="K2020" s="26" t="str">
        <f>IF(OR(E2020="",E2020="!!!",F2020="NEW"),"",INDEX(J$1:J2019,SUMPRODUCT(MAX(ROW(E$1:E2019)*(E2020=E$1:E2019)))))</f>
        <v> </v>
      </c>
      <c r="L2020" s="27"/>
    </row>
    <row r="2021" spans="1:12">
      <c r="A2021" s="20" t="s">
        <v>1694</v>
      </c>
      <c r="E2021" s="22">
        <f>IF(D2021="?OLD","!!!","")</f>
        <v/>
      </c>
      <c r="F2021" s="23" t="str">
        <f>IF(OR(E2021="",E2021="!!!"),"",IF(NOT(ISNA(VLOOKUP(E2021,E$1:E2020,1,FALSE()))),"OLD",IF(AND(E2021&lt;&gt;"",E2021&lt;&gt;"!!!"),"NEW","")))</f>
        <v> </v>
      </c>
      <c r="G2021" s="24" t="str">
        <f>IF(OR(E2021="",E2021="!!!"),"",IF(OR(J2021=0,AND(J2021=1,K2021=1),AND(J2021=1,I2021="SBJ"),AND(J2021=1,I2021=0)),"?IN_FOCUS",IF(J2021&lt;=2,"?ACTIVATED",IF(J2021&lt;&gt;"","?FAMILIAR",IF(F2021="NEW",IF(ISNA(VLOOKUP(E2021,#REF!,1,FALSE())),"?TYPE_IDENTIFIABLE","?REFERENTIAL"),"_")))))</f>
        <v> </v>
      </c>
      <c r="H2021" s="25" t="str">
        <f>IF(J2021&lt;&gt;1,"",IF(I2021="SBJ","CB","?"))</f>
        <v> </v>
      </c>
      <c r="I2021" s="26" t="str">
        <f>IF(OR(E2021="",E2021="!!!",F2021="NEW"),"",INDEX(B2020:B$2,-1+SUMPRODUCT(MAX(ROW(E2020:E$2)*(E2021=E2020:E$2)))))</f>
        <v> </v>
      </c>
      <c r="J2021" s="26" t="str">
        <f>IF(OR(E2021="",E2021="!!!",F2021="NEW"),"",COUNTBLANK(OFFSET(A$1,,,SUMPRODUCT(MAX(ROW(E$2:E2021)*(E2021=E$2:E2021)))))-COUNTBLANK(OFFSET(A$1,,,SUMPRODUCT(MAX(ROW(E$1:E2020)*(E2=E$1:E2020))))))</f>
        <v> </v>
      </c>
      <c r="K2021" s="26" t="str">
        <f>IF(OR(E2021="",E2021="!!!",F2021="NEW"),"",INDEX(J$1:J2020,SUMPRODUCT(MAX(ROW(E$1:E2020)*(E2021=E$1:E2020)))))</f>
        <v> </v>
      </c>
      <c r="L2021" s="27"/>
    </row>
    <row r="2022" spans="1:12">
      <c r="A2022" s="20" t="s">
        <v>1569</v>
      </c>
      <c r="E2022" s="22">
        <f>IF(D2022="?OLD","!!!","")</f>
        <v/>
      </c>
      <c r="F2022" s="23" t="str">
        <f>IF(OR(E2022="",E2022="!!!"),"",IF(NOT(ISNA(VLOOKUP(E2022,E$1:E2021,1,FALSE()))),"OLD",IF(AND(E2022&lt;&gt;"",E2022&lt;&gt;"!!!"),"NEW","")))</f>
        <v> </v>
      </c>
      <c r="G2022" s="24" t="str">
        <f>IF(OR(E2022="",E2022="!!!"),"",IF(OR(J2022=0,AND(J2022=1,K2022=1),AND(J2022=1,I2022="SBJ"),AND(J2022=1,I2022=0)),"?IN_FOCUS",IF(J2022&lt;=2,"?ACTIVATED",IF(J2022&lt;&gt;"","?FAMILIAR",IF(F2022="NEW",IF(ISNA(VLOOKUP(E2022,#REF!,1,FALSE())),"?TYPE_IDENTIFIABLE","?REFERENTIAL"),"_")))))</f>
        <v> </v>
      </c>
      <c r="H2022" s="25" t="str">
        <f>IF(J2022&lt;&gt;1,"",IF(I2022="SBJ","CB","?"))</f>
        <v> </v>
      </c>
      <c r="I2022" s="26" t="str">
        <f>IF(OR(E2022="",E2022="!!!",F2022="NEW"),"",INDEX(B2021:B$2,-1+SUMPRODUCT(MAX(ROW(E2021:E$2)*(E2022=E2021:E$2)))))</f>
        <v> </v>
      </c>
      <c r="J2022" s="26" t="str">
        <f>IF(OR(E2022="",E2022="!!!",F2022="NEW"),"",COUNTBLANK(OFFSET(A$1,,,SUMPRODUCT(MAX(ROW(E$2:E2022)*(E2022=E$2:E2022)))))-COUNTBLANK(OFFSET(A$1,,,SUMPRODUCT(MAX(ROW(E$1:E2021)*(E2=E$1:E2021))))))</f>
        <v> </v>
      </c>
      <c r="K2022" s="26" t="str">
        <f>IF(OR(E2022="",E2022="!!!",F2022="NEW"),"",INDEX(J$1:J2021,SUMPRODUCT(MAX(ROW(E$1:E2021)*(E2022=E$1:E2021)))))</f>
        <v> </v>
      </c>
      <c r="L2022" s="27"/>
    </row>
    <row r="2023" spans="1:12">
      <c r="A2023" s="20" t="s">
        <v>1410</v>
      </c>
      <c r="B2023" s="21" t="s">
        <v>1022</v>
      </c>
      <c r="C2023" s="21" t="s">
        <v>1041</v>
      </c>
      <c r="D2023" s="21" t="s">
        <v>1007</v>
      </c>
      <c r="E2023" s="22">
        <f>IF(D2023="?OLD","!!!","")</f>
        <v/>
      </c>
      <c r="F2023" s="23" t="str">
        <f>IF(OR(E2023="",E2023="!!!"),"",IF(NOT(ISNA(VLOOKUP(E2023,E$1:E2022,1,FALSE()))),"OLD",IF(AND(E2023&lt;&gt;"",E2023&lt;&gt;"!!!"),"NEW","")))</f>
        <v> </v>
      </c>
      <c r="G2023" s="24" t="str">
        <f>IF(OR(E2023="",E2023="!!!"),"",IF(OR(J2023=0,AND(J2023=1,K2023=1),AND(J2023=1,I2023="SBJ"),AND(J2023=1,I2023=0)),"?IN_FOCUS",IF(J2023&lt;=2,"?ACTIVATED",IF(J2023&lt;&gt;"","?FAMILIAR",IF(F2023="NEW",IF(ISNA(VLOOKUP(E2023,#REF!,1,FALSE())),"?TYPE_IDENTIFIABLE","?REFERENTIAL"),"_")))))</f>
        <v> </v>
      </c>
      <c r="H2023" s="25" t="str">
        <f>IF(J2023&lt;&gt;1,"",IF(I2023="SBJ","CB","?"))</f>
        <v> </v>
      </c>
      <c r="I2023" s="26" t="str">
        <f>IF(OR(E2023="",E2023="!!!",F2023="NEW"),"",INDEX(B2022:B$2,-1+SUMPRODUCT(MAX(ROW(E2022:E$2)*(E2023=E2022:E$2)))))</f>
        <v> </v>
      </c>
      <c r="J2023" s="26" t="str">
        <f>IF(OR(E2023="",E2023="!!!",F2023="NEW"),"",COUNTBLANK(OFFSET(A$1,,,SUMPRODUCT(MAX(ROW(E$2:E2023)*(E2023=E$2:E2023)))))-COUNTBLANK(OFFSET(A$1,,,SUMPRODUCT(MAX(ROW(E$1:E2022)*(E2=E$1:E2022))))))</f>
        <v> </v>
      </c>
      <c r="K2023" s="26" t="str">
        <f>IF(OR(E2023="",E2023="!!!",F2023="NEW"),"",INDEX(J$1:J2022,SUMPRODUCT(MAX(ROW(E$1:E2022)*(E2023=E$1:E2022)))))</f>
        <v> </v>
      </c>
      <c r="L2023" s="27"/>
    </row>
    <row r="2024" spans="1:12">
      <c r="A2024" s="20" t="s">
        <v>1014</v>
      </c>
      <c r="E2024" s="22">
        <f>IF(D2024="?OLD","!!!","")</f>
        <v/>
      </c>
      <c r="F2024" s="23" t="str">
        <f>IF(OR(E2024="",E2024="!!!"),"",IF(NOT(ISNA(VLOOKUP(E2024,E$1:E2023,1,FALSE()))),"OLD",IF(AND(E2024&lt;&gt;"",E2024&lt;&gt;"!!!"),"NEW","")))</f>
        <v> </v>
      </c>
      <c r="G2024" s="24" t="str">
        <f>IF(OR(E2024="",E2024="!!!"),"",IF(OR(J2024=0,AND(J2024=1,K2024=1),AND(J2024=1,I2024="SBJ"),AND(J2024=1,I2024=0)),"?IN_FOCUS",IF(J2024&lt;=2,"?ACTIVATED",IF(J2024&lt;&gt;"","?FAMILIAR",IF(F2024="NEW",IF(ISNA(VLOOKUP(E2024,#REF!,1,FALSE())),"?TYPE_IDENTIFIABLE","?REFERENTIAL"),"_")))))</f>
        <v> </v>
      </c>
      <c r="H2024" s="25" t="str">
        <f>IF(J2024&lt;&gt;1,"",IF(I2024="SBJ","CB","?"))</f>
        <v> </v>
      </c>
      <c r="I2024" s="26" t="str">
        <f>IF(OR(E2024="",E2024="!!!",F2024="NEW"),"",INDEX(B2023:B$2,-1+SUMPRODUCT(MAX(ROW(E2023:E$2)*(E2024=E2023:E$2)))))</f>
        <v> </v>
      </c>
      <c r="J2024" s="26" t="str">
        <f>IF(OR(E2024="",E2024="!!!",F2024="NEW"),"",COUNTBLANK(OFFSET(A$1,,,SUMPRODUCT(MAX(ROW(E$2:E2024)*(E2024=E$2:E2024)))))-COUNTBLANK(OFFSET(A$1,,,SUMPRODUCT(MAX(ROW(E$1:E2023)*(E2=E$1:E2023))))))</f>
        <v> </v>
      </c>
      <c r="K2024" s="26" t="str">
        <f>IF(OR(E2024="",E2024="!!!",F2024="NEW"),"",INDEX(J$1:J2023,SUMPRODUCT(MAX(ROW(E$1:E2023)*(E2024=E$1:E2023)))))</f>
        <v> </v>
      </c>
      <c r="L2024" s="27"/>
    </row>
    <row r="2025" spans="1:12">
      <c r="A2025" s="20" t="s">
        <v>102</v>
      </c>
      <c r="E2025" s="22">
        <f>IF(D2025="?OLD","!!!","")</f>
        <v/>
      </c>
      <c r="F2025" s="23" t="str">
        <f>IF(OR(E2025="",E2025="!!!"),"",IF(NOT(ISNA(VLOOKUP(E2025,E$1:E2024,1,FALSE()))),"OLD",IF(AND(E2025&lt;&gt;"",E2025&lt;&gt;"!!!"),"NEW","")))</f>
        <v> </v>
      </c>
      <c r="G2025" s="24" t="str">
        <f>IF(OR(E2025="",E2025="!!!"),"",IF(OR(J2025=0,AND(J2025=1,K2025=1),AND(J2025=1,I2025="SBJ"),AND(J2025=1,I2025=0)),"?IN_FOCUS",IF(J2025&lt;=2,"?ACTIVATED",IF(J2025&lt;&gt;"","?FAMILIAR",IF(F2025="NEW",IF(ISNA(VLOOKUP(E2025,#REF!,1,FALSE())),"?TYPE_IDENTIFIABLE","?REFERENTIAL"),"_")))))</f>
        <v> </v>
      </c>
      <c r="H2025" s="25" t="str">
        <f>IF(J2025&lt;&gt;1,"",IF(I2025="SBJ","CB","?"))</f>
        <v> </v>
      </c>
      <c r="I2025" s="26" t="str">
        <f>IF(OR(E2025="",E2025="!!!",F2025="NEW"),"",INDEX(B2024:B$2,-1+SUMPRODUCT(MAX(ROW(E2024:E$2)*(E2025=E2024:E$2)))))</f>
        <v> </v>
      </c>
      <c r="J2025" s="26" t="str">
        <f>IF(OR(E2025="",E2025="!!!",F2025="NEW"),"",COUNTBLANK(OFFSET(A$1,,,SUMPRODUCT(MAX(ROW(E$2:E2025)*(E2025=E$2:E2025)))))-COUNTBLANK(OFFSET(A$1,,,SUMPRODUCT(MAX(ROW(E$1:E2024)*(E2=E$1:E2024))))))</f>
        <v> </v>
      </c>
      <c r="K2025" s="26" t="str">
        <f>IF(OR(E2025="",E2025="!!!",F2025="NEW"),"",INDEX(J$1:J2024,SUMPRODUCT(MAX(ROW(E$1:E2024)*(E2025=E$1:E2024)))))</f>
        <v> </v>
      </c>
      <c r="L2025" s="27"/>
    </row>
    <row r="2026" spans="1:12">
      <c r="A2026" s="20" t="s">
        <v>1031</v>
      </c>
      <c r="B2026" s="21" t="s">
        <v>1033</v>
      </c>
      <c r="C2026" s="21" t="s">
        <v>1017</v>
      </c>
      <c r="D2026" s="21" t="s">
        <v>1007</v>
      </c>
      <c r="E2026" s="22">
        <f>IF(D2026="?OLD","!!!","")</f>
        <v/>
      </c>
      <c r="F2026" s="23" t="str">
        <f>IF(OR(E2026="",E2026="!!!"),"",IF(NOT(ISNA(VLOOKUP(E2026,E$1:E2025,1,FALSE()))),"OLD",IF(AND(E2026&lt;&gt;"",E2026&lt;&gt;"!!!"),"NEW","")))</f>
        <v> </v>
      </c>
      <c r="G2026" s="24" t="str">
        <f>IF(OR(E2026="",E2026="!!!"),"",IF(OR(J2026=0,AND(J2026=1,K2026=1),AND(J2026=1,I2026="SBJ"),AND(J2026=1,I2026=0)),"?IN_FOCUS",IF(J2026&lt;=2,"?ACTIVATED",IF(J2026&lt;&gt;"","?FAMILIAR",IF(F2026="NEW",IF(ISNA(VLOOKUP(E2026,#REF!,1,FALSE())),"?TYPE_IDENTIFIABLE","?REFERENTIAL"),"_")))))</f>
        <v> </v>
      </c>
      <c r="H2026" s="25" t="str">
        <f>IF(J2026&lt;&gt;1,"",IF(I2026="SBJ","CB","?"))</f>
        <v> </v>
      </c>
      <c r="I2026" s="26" t="str">
        <f>IF(OR(E2026="",E2026="!!!",F2026="NEW"),"",INDEX(B2025:B$2,-1+SUMPRODUCT(MAX(ROW(E2025:E$2)*(E2026=E2025:E$2)))))</f>
        <v> </v>
      </c>
      <c r="J2026" s="26" t="str">
        <f>IF(OR(E2026="",E2026="!!!",F2026="NEW"),"",COUNTBLANK(OFFSET(A$1,,,SUMPRODUCT(MAX(ROW(E$2:E2026)*(E2026=E$2:E2026)))))-COUNTBLANK(OFFSET(A$1,,,SUMPRODUCT(MAX(ROW(E$1:E2025)*(E2=E$1:E2025))))))</f>
        <v> </v>
      </c>
      <c r="K2026" s="26" t="str">
        <f>IF(OR(E2026="",E2026="!!!",F2026="NEW"),"",INDEX(J$1:J2025,SUMPRODUCT(MAX(ROW(E$1:E2025)*(E2026=E$1:E2025)))))</f>
        <v> </v>
      </c>
      <c r="L2026" s="27"/>
    </row>
    <row r="2027" spans="1:12">
      <c r="A2027" s="20" t="s">
        <v>1023</v>
      </c>
      <c r="E2027" s="22">
        <f>IF(D2027="?OLD","!!!","")</f>
        <v/>
      </c>
      <c r="F2027" s="23" t="str">
        <f>IF(OR(E2027="",E2027="!!!"),"",IF(NOT(ISNA(VLOOKUP(E2027,E$1:E2026,1,FALSE()))),"OLD",IF(AND(E2027&lt;&gt;"",E2027&lt;&gt;"!!!"),"NEW","")))</f>
        <v> </v>
      </c>
      <c r="G2027" s="24" t="str">
        <f>IF(OR(E2027="",E2027="!!!"),"",IF(OR(J2027=0,AND(J2027=1,K2027=1),AND(J2027=1,I2027="SBJ"),AND(J2027=1,I2027=0)),"?IN_FOCUS",IF(J2027&lt;=2,"?ACTIVATED",IF(J2027&lt;&gt;"","?FAMILIAR",IF(F2027="NEW",IF(ISNA(VLOOKUP(E2027,#REF!,1,FALSE())),"?TYPE_IDENTIFIABLE","?REFERENTIAL"),"_")))))</f>
        <v> </v>
      </c>
      <c r="H2027" s="25" t="str">
        <f>IF(J2027&lt;&gt;1,"",IF(I2027="SBJ","CB","?"))</f>
        <v> </v>
      </c>
      <c r="I2027" s="26" t="str">
        <f>IF(OR(E2027="",E2027="!!!",F2027="NEW"),"",INDEX(B2026:B$2,-1+SUMPRODUCT(MAX(ROW(E2026:E$2)*(E2027=E2026:E$2)))))</f>
        <v> </v>
      </c>
      <c r="J2027" s="26" t="str">
        <f>IF(OR(E2027="",E2027="!!!",F2027="NEW"),"",COUNTBLANK(OFFSET(A$1,,,SUMPRODUCT(MAX(ROW(E$2:E2027)*(E2027=E$2:E2027)))))-COUNTBLANK(OFFSET(A$1,,,SUMPRODUCT(MAX(ROW(E$1:E2026)*(E2=E$1:E2026))))))</f>
        <v> </v>
      </c>
      <c r="K2027" s="26" t="str">
        <f>IF(OR(E2027="",E2027="!!!",F2027="NEW"),"",INDEX(J$1:J2026,SUMPRODUCT(MAX(ROW(E$1:E2026)*(E2027=E$1:E2026)))))</f>
        <v> </v>
      </c>
      <c r="L2027" s="27"/>
    </row>
    <row r="2028" spans="1:12">
      <c r="A2028" s="20"/>
    </row>
    <row r="2029" spans="1:12">
      <c r="A2029" s="20" t="s">
        <v>1695</v>
      </c>
    </row>
    <row r="2030" spans="1:12">
      <c r="A2030" s="20" t="s">
        <v>1629</v>
      </c>
      <c r="E2030" s="22">
        <f>IF(D2030="?OLD","!!!","")</f>
        <v/>
      </c>
      <c r="F2030" s="23" t="str">
        <f>IF(OR(E2030="",E2030="!!!"),"",IF(NOT(ISNA(VLOOKUP(E2030,E$1:E2029,1,FALSE()))),"OLD",IF(AND(E2030&lt;&gt;"",E2030&lt;&gt;"!!!"),"NEW","")))</f>
        <v> </v>
      </c>
      <c r="G2030" s="24" t="str">
        <f>IF(OR(E2030="",E2030="!!!"),"",IF(OR(J2030=0,AND(J2030=1,K2030=1),AND(J2030=1,I2030="SBJ"),AND(J2030=1,I2030=0)),"?IN_FOCUS",IF(J2030&lt;=2,"?ACTIVATED",IF(J2030&lt;&gt;"","?FAMILIAR",IF(F2030="NEW",IF(ISNA(VLOOKUP(E2030,#REF!,1,FALSE())),"?TYPE_IDENTIFIABLE","?REFERENTIAL"),"_")))))</f>
        <v> </v>
      </c>
      <c r="H2030" s="25" t="str">
        <f>IF(J2030&lt;&gt;1,"",IF(I2030="SBJ","CB","?"))</f>
        <v> </v>
      </c>
      <c r="I2030" s="26" t="str">
        <f>IF(OR(E2030="",E2030="!!!",F2030="NEW"),"",INDEX(B2029:B$2,-1+SUMPRODUCT(MAX(ROW(E2029:E$2)*(E2030=E2029:E$2)))))</f>
        <v> </v>
      </c>
      <c r="J2030" s="26" t="str">
        <f>IF(OR(E2030="",E2030="!!!",F2030="NEW"),"",COUNTBLANK(OFFSET(A$1,,,SUMPRODUCT(MAX(ROW(E$2:E2030)*(E2030=E$2:E2030)))))-COUNTBLANK(OFFSET(A$1,,,SUMPRODUCT(MAX(ROW(E$1:E2029)*(E2=E$1:E2029))))))</f>
        <v> </v>
      </c>
      <c r="K2030" s="26" t="str">
        <f>IF(OR(E2030="",E2030="!!!",F2030="NEW"),"",INDEX(J$1:J2029,SUMPRODUCT(MAX(ROW(E$1:E2029)*(E2030=E$1:E2029)))))</f>
        <v> </v>
      </c>
      <c r="L2030" s="27"/>
    </row>
    <row r="2031" spans="1:12">
      <c r="A2031" s="20" t="s">
        <v>145</v>
      </c>
      <c r="E2031" s="22">
        <f>IF(D2031="?OLD","!!!","")</f>
        <v/>
      </c>
      <c r="F2031" s="23" t="str">
        <f>IF(OR(E2031="",E2031="!!!"),"",IF(NOT(ISNA(VLOOKUP(E2031,E$1:E2030,1,FALSE()))),"OLD",IF(AND(E2031&lt;&gt;"",E2031&lt;&gt;"!!!"),"NEW","")))</f>
        <v> </v>
      </c>
      <c r="G2031" s="24" t="str">
        <f>IF(OR(E2031="",E2031="!!!"),"",IF(OR(J2031=0,AND(J2031=1,K2031=1),AND(J2031=1,I2031="SBJ"),AND(J2031=1,I2031=0)),"?IN_FOCUS",IF(J2031&lt;=2,"?ACTIVATED",IF(J2031&lt;&gt;"","?FAMILIAR",IF(F2031="NEW",IF(ISNA(VLOOKUP(E2031,#REF!,1,FALSE())),"?TYPE_IDENTIFIABLE","?REFERENTIAL"),"_")))))</f>
        <v> </v>
      </c>
      <c r="H2031" s="25" t="str">
        <f>IF(J2031&lt;&gt;1,"",IF(I2031="SBJ","CB","?"))</f>
        <v> </v>
      </c>
      <c r="I2031" s="26" t="str">
        <f>IF(OR(E2031="",E2031="!!!",F2031="NEW"),"",INDEX(B2030:B$2,-1+SUMPRODUCT(MAX(ROW(E2030:E$2)*(E2031=E2030:E$2)))))</f>
        <v> </v>
      </c>
      <c r="J2031" s="26" t="str">
        <f>IF(OR(E2031="",E2031="!!!",F2031="NEW"),"",COUNTBLANK(OFFSET(A$1,,,SUMPRODUCT(MAX(ROW(E$2:E2031)*(E2031=E$2:E2031)))))-COUNTBLANK(OFFSET(A$1,,,SUMPRODUCT(MAX(ROW(E$1:E2030)*(E2=E$1:E2030))))))</f>
        <v> </v>
      </c>
      <c r="K2031" s="26" t="str">
        <f>IF(OR(E2031="",E2031="!!!",F2031="NEW"),"",INDEX(J$1:J2030,SUMPRODUCT(MAX(ROW(E$1:E2030)*(E2031=E$1:E2030)))))</f>
        <v> </v>
      </c>
      <c r="L2031" s="27"/>
    </row>
    <row r="2032" spans="1:12">
      <c r="A2032" s="20" t="s">
        <v>1100</v>
      </c>
      <c r="B2032" s="21" t="s">
        <v>1029</v>
      </c>
      <c r="C2032" s="21" t="s">
        <v>1082</v>
      </c>
      <c r="D2032" s="21" t="s">
        <v>1007</v>
      </c>
      <c r="E2032" s="22">
        <f>IF(D2032="?OLD","!!!","")</f>
        <v/>
      </c>
      <c r="F2032" s="23" t="str">
        <f>IF(OR(E2032="",E2032="!!!"),"",IF(NOT(ISNA(VLOOKUP(E2032,E$1:E2031,1,FALSE()))),"OLD",IF(AND(E2032&lt;&gt;"",E2032&lt;&gt;"!!!"),"NEW","")))</f>
        <v> </v>
      </c>
      <c r="G2032" s="24" t="str">
        <f>IF(OR(E2032="",E2032="!!!"),"",IF(OR(J2032=0,AND(J2032=1,K2032=1),AND(J2032=1,I2032="SBJ"),AND(J2032=1,I2032=0)),"?IN_FOCUS",IF(J2032&lt;=2,"?ACTIVATED",IF(J2032&lt;&gt;"","?FAMILIAR",IF(F2032="NEW",IF(ISNA(VLOOKUP(E2032,#REF!,1,FALSE())),"?TYPE_IDENTIFIABLE","?REFERENTIAL"),"_")))))</f>
        <v> </v>
      </c>
      <c r="H2032" s="25" t="str">
        <f>IF(J2032&lt;&gt;1,"",IF(I2032="SBJ","CB","?"))</f>
        <v> </v>
      </c>
      <c r="I2032" s="26" t="str">
        <f>IF(OR(E2032="",E2032="!!!",F2032="NEW"),"",INDEX(B2031:B$2,-1+SUMPRODUCT(MAX(ROW(E2031:E$2)*(E2032=E2031:E$2)))))</f>
        <v> </v>
      </c>
      <c r="J2032" s="26" t="str">
        <f>IF(OR(E2032="",E2032="!!!",F2032="NEW"),"",COUNTBLANK(OFFSET(A$1,,,SUMPRODUCT(MAX(ROW(E$2:E2032)*(E2032=E$2:E2032)))))-COUNTBLANK(OFFSET(A$1,,,SUMPRODUCT(MAX(ROW(E$1:E2031)*(E2=E$1:E2031))))))</f>
        <v> </v>
      </c>
      <c r="K2032" s="26" t="str">
        <f>IF(OR(E2032="",E2032="!!!",F2032="NEW"),"",INDEX(J$1:J2031,SUMPRODUCT(MAX(ROW(E$1:E2031)*(E2032=E$1:E2031)))))</f>
        <v> </v>
      </c>
      <c r="L2032" s="27"/>
    </row>
    <row r="2033" spans="1:12">
      <c r="A2033" s="20" t="s">
        <v>1686</v>
      </c>
      <c r="E2033" s="22">
        <f>IF(D2033="?OLD","!!!","")</f>
        <v/>
      </c>
      <c r="F2033" s="23" t="str">
        <f>IF(OR(E2033="",E2033="!!!"),"",IF(NOT(ISNA(VLOOKUP(E2033,E$1:E2032,1,FALSE()))),"OLD",IF(AND(E2033&lt;&gt;"",E2033&lt;&gt;"!!!"),"NEW","")))</f>
        <v> </v>
      </c>
      <c r="G2033" s="24" t="str">
        <f>IF(OR(E2033="",E2033="!!!"),"",IF(OR(J2033=0,AND(J2033=1,K2033=1),AND(J2033=1,I2033="SBJ"),AND(J2033=1,I2033=0)),"?IN_FOCUS",IF(J2033&lt;=2,"?ACTIVATED",IF(J2033&lt;&gt;"","?FAMILIAR",IF(F2033="NEW",IF(ISNA(VLOOKUP(E2033,#REF!,1,FALSE())),"?TYPE_IDENTIFIABLE","?REFERENTIAL"),"_")))))</f>
        <v> </v>
      </c>
      <c r="H2033" s="25" t="str">
        <f>IF(J2033&lt;&gt;1,"",IF(I2033="SBJ","CB","?"))</f>
        <v> </v>
      </c>
      <c r="I2033" s="26" t="str">
        <f>IF(OR(E2033="",E2033="!!!",F2033="NEW"),"",INDEX(B2032:B$2,-1+SUMPRODUCT(MAX(ROW(E2032:E$2)*(E2033=E2032:E$2)))))</f>
        <v> </v>
      </c>
      <c r="J2033" s="26" t="str">
        <f>IF(OR(E2033="",E2033="!!!",F2033="NEW"),"",COUNTBLANK(OFFSET(A$1,,,SUMPRODUCT(MAX(ROW(E$2:E2033)*(E2033=E$2:E2033)))))-COUNTBLANK(OFFSET(A$1,,,SUMPRODUCT(MAX(ROW(E$1:E2032)*(E2=E$1:E2032))))))</f>
        <v> </v>
      </c>
      <c r="K2033" s="26" t="str">
        <f>IF(OR(E2033="",E2033="!!!",F2033="NEW"),"",INDEX(J$1:J2032,SUMPRODUCT(MAX(ROW(E$1:E2032)*(E2033=E$1:E2032)))))</f>
        <v> </v>
      </c>
      <c r="L2033" s="27"/>
    </row>
    <row r="2034" spans="1:12">
      <c r="A2034" s="20" t="s">
        <v>1390</v>
      </c>
      <c r="B2034" s="21" t="s">
        <v>1029</v>
      </c>
      <c r="C2034" s="21" t="s">
        <v>1103</v>
      </c>
      <c r="E2034" s="22">
        <f>IF(D2034="?OLD","!!!","")</f>
        <v/>
      </c>
      <c r="F2034" s="23" t="str">
        <f>IF(OR(E2034="",E2034="!!!"),"",IF(NOT(ISNA(VLOOKUP(E2034,E$1:E2033,1,FALSE()))),"OLD",IF(AND(E2034&lt;&gt;"",E2034&lt;&gt;"!!!"),"NEW","")))</f>
        <v> </v>
      </c>
      <c r="G2034" s="24" t="str">
        <f>IF(OR(E2034="",E2034="!!!"),"",IF(OR(J2034=0,AND(J2034=1,K2034=1),AND(J2034=1,I2034="SBJ"),AND(J2034=1,I2034=0)),"?IN_FOCUS",IF(J2034&lt;=2,"?ACTIVATED",IF(J2034&lt;&gt;"","?FAMILIAR",IF(F2034="NEW",IF(ISNA(VLOOKUP(E2034,#REF!,1,FALSE())),"?TYPE_IDENTIFIABLE","?REFERENTIAL"),"_")))))</f>
        <v> </v>
      </c>
      <c r="H2034" s="25" t="str">
        <f>IF(J2034&lt;&gt;1,"",IF(I2034="SBJ","CB","?"))</f>
        <v> </v>
      </c>
      <c r="I2034" s="26" t="str">
        <f>IF(OR(E2034="",E2034="!!!",F2034="NEW"),"",INDEX(B2033:B$2,-1+SUMPRODUCT(MAX(ROW(E2033:E$2)*(E2034=E2033:E$2)))))</f>
        <v> </v>
      </c>
      <c r="J2034" s="26" t="str">
        <f>IF(OR(E2034="",E2034="!!!",F2034="NEW"),"",COUNTBLANK(OFFSET(A$1,,,SUMPRODUCT(MAX(ROW(E$2:E2034)*(E2034=E$2:E2034)))))-COUNTBLANK(OFFSET(A$1,,,SUMPRODUCT(MAX(ROW(E$1:E2033)*(E2=E$1:E2033))))))</f>
        <v> </v>
      </c>
      <c r="K2034" s="26" t="str">
        <f>IF(OR(E2034="",E2034="!!!",F2034="NEW"),"",INDEX(J$1:J2033,SUMPRODUCT(MAX(ROW(E$1:E2033)*(E2034=E$1:E2033)))))</f>
        <v> </v>
      </c>
      <c r="L2034" s="27"/>
    </row>
    <row r="2035" spans="1:12">
      <c r="A2035" s="20" t="s">
        <v>1023</v>
      </c>
      <c r="E2035" s="22">
        <f>IF(D2035="?OLD","!!!","")</f>
        <v/>
      </c>
      <c r="F2035" s="23" t="str">
        <f>IF(OR(E2035="",E2035="!!!"),"",IF(NOT(ISNA(VLOOKUP(E2035,E$1:E2034,1,FALSE()))),"OLD",IF(AND(E2035&lt;&gt;"",E2035&lt;&gt;"!!!"),"NEW","")))</f>
        <v> </v>
      </c>
      <c r="G2035" s="24" t="str">
        <f>IF(OR(E2035="",E2035="!!!"),"",IF(OR(J2035=0,AND(J2035=1,K2035=1),AND(J2035=1,I2035="SBJ"),AND(J2035=1,I2035=0)),"?IN_FOCUS",IF(J2035&lt;=2,"?ACTIVATED",IF(J2035&lt;&gt;"","?FAMILIAR",IF(F2035="NEW",IF(ISNA(VLOOKUP(E2035,#REF!,1,FALSE())),"?TYPE_IDENTIFIABLE","?REFERENTIAL"),"_")))))</f>
        <v> </v>
      </c>
      <c r="H2035" s="25" t="str">
        <f>IF(J2035&lt;&gt;1,"",IF(I2035="SBJ","CB","?"))</f>
        <v> </v>
      </c>
      <c r="I2035" s="26" t="str">
        <f>IF(OR(E2035="",E2035="!!!",F2035="NEW"),"",INDEX(B2034:B$2,-1+SUMPRODUCT(MAX(ROW(E2034:E$2)*(E2035=E2034:E$2)))))</f>
        <v> </v>
      </c>
      <c r="J2035" s="26" t="str">
        <f>IF(OR(E2035="",E2035="!!!",F2035="NEW"),"",COUNTBLANK(OFFSET(A$1,,,SUMPRODUCT(MAX(ROW(E$2:E2035)*(E2035=E$2:E2035)))))-COUNTBLANK(OFFSET(A$1,,,SUMPRODUCT(MAX(ROW(E$1:E2034)*(E2=E$1:E2034))))))</f>
        <v> </v>
      </c>
      <c r="K2035" s="26" t="str">
        <f>IF(OR(E2035="",E2035="!!!",F2035="NEW"),"",INDEX(J$1:J2034,SUMPRODUCT(MAX(ROW(E$1:E2034)*(E2035=E$1:E2034)))))</f>
        <v> </v>
      </c>
      <c r="L2035" s="27"/>
    </row>
    <row r="2036" spans="1:12">
      <c r="A2036" s="20"/>
    </row>
    <row r="2037" spans="1:12">
      <c r="A2037" s="20" t="s">
        <v>1696</v>
      </c>
    </row>
    <row r="2038" spans="1:12">
      <c r="A2038" s="20" t="s">
        <v>1389</v>
      </c>
      <c r="B2038" s="21" t="s">
        <v>1050</v>
      </c>
      <c r="C2038" s="21" t="s">
        <v>1073</v>
      </c>
      <c r="D2038" s="21" t="s">
        <v>1007</v>
      </c>
      <c r="E2038" s="22">
        <f>IF(D2038="?OLD","!!!","")</f>
        <v/>
      </c>
      <c r="F2038" s="23" t="str">
        <f>IF(OR(E2038="",E2038="!!!"),"",IF(NOT(ISNA(VLOOKUP(E2038,E$1:E2037,1,FALSE()))),"OLD",IF(AND(E2038&lt;&gt;"",E2038&lt;&gt;"!!!"),"NEW","")))</f>
        <v> </v>
      </c>
      <c r="G2038" s="24" t="str">
        <f>IF(OR(E2038="",E2038="!!!"),"",IF(OR(J2038=0,AND(J2038=1,K2038=1),AND(J2038=1,I2038="SBJ"),AND(J2038=1,I2038=0)),"?IN_FOCUS",IF(J2038&lt;=2,"?ACTIVATED",IF(J2038&lt;&gt;"","?FAMILIAR",IF(F2038="NEW",IF(ISNA(VLOOKUP(E2038,#REF!,1,FALSE())),"?TYPE_IDENTIFIABLE","?REFERENTIAL"),"_")))))</f>
        <v> </v>
      </c>
      <c r="H2038" s="25" t="str">
        <f>IF(J2038&lt;&gt;1,"",IF(I2038="SBJ","CB","?"))</f>
        <v> </v>
      </c>
      <c r="I2038" s="26" t="str">
        <f>IF(OR(E2038="",E2038="!!!",F2038="NEW"),"",INDEX(B2037:B$2,-1+SUMPRODUCT(MAX(ROW(E2037:E$2)*(E2038=E2037:E$2)))))</f>
        <v> </v>
      </c>
      <c r="J2038" s="26" t="str">
        <f>IF(OR(E2038="",E2038="!!!",F2038="NEW"),"",COUNTBLANK(OFFSET(A$1,,,SUMPRODUCT(MAX(ROW(E$2:E2038)*(E2038=E$2:E2038)))))-COUNTBLANK(OFFSET(A$1,,,SUMPRODUCT(MAX(ROW(E$1:E2037)*(E2=E$1:E2037))))))</f>
        <v> </v>
      </c>
      <c r="K2038" s="26" t="str">
        <f>IF(OR(E2038="",E2038="!!!",F2038="NEW"),"",INDEX(J$1:J2037,SUMPRODUCT(MAX(ROW(E$1:E2037)*(E2038=E$1:E2037)))))</f>
        <v> </v>
      </c>
      <c r="L2038" s="27"/>
    </row>
    <row r="2039" spans="1:12">
      <c r="A2039" s="20" t="s">
        <v>1075</v>
      </c>
      <c r="E2039" s="22">
        <f>IF(D2039="?OLD","!!!","")</f>
        <v/>
      </c>
      <c r="F2039" s="23" t="str">
        <f>IF(OR(E2039="",E2039="!!!"),"",IF(NOT(ISNA(VLOOKUP(E2039,E$1:E2038,1,FALSE()))),"OLD",IF(AND(E2039&lt;&gt;"",E2039&lt;&gt;"!!!"),"NEW","")))</f>
        <v> </v>
      </c>
      <c r="G2039" s="24" t="str">
        <f>IF(OR(E2039="",E2039="!!!"),"",IF(OR(J2039=0,AND(J2039=1,K2039=1),AND(J2039=1,I2039="SBJ"),AND(J2039=1,I2039=0)),"?IN_FOCUS",IF(J2039&lt;=2,"?ACTIVATED",IF(J2039&lt;&gt;"","?FAMILIAR",IF(F2039="NEW",IF(ISNA(VLOOKUP(E2039,#REF!,1,FALSE())),"?TYPE_IDENTIFIABLE","?REFERENTIAL"),"_")))))</f>
        <v> </v>
      </c>
      <c r="H2039" s="25" t="str">
        <f>IF(J2039&lt;&gt;1,"",IF(I2039="SBJ","CB","?"))</f>
        <v> </v>
      </c>
      <c r="I2039" s="26" t="str">
        <f>IF(OR(E2039="",E2039="!!!",F2039="NEW"),"",INDEX(B2038:B$2,-1+SUMPRODUCT(MAX(ROW(E2038:E$2)*(E2039=E2038:E$2)))))</f>
        <v> </v>
      </c>
      <c r="J2039" s="26" t="str">
        <f>IF(OR(E2039="",E2039="!!!",F2039="NEW"),"",COUNTBLANK(OFFSET(A$1,,,SUMPRODUCT(MAX(ROW(E$2:E2039)*(E2039=E$2:E2039)))))-COUNTBLANK(OFFSET(A$1,,,SUMPRODUCT(MAX(ROW(E$1:E2038)*(E2=E$1:E2038))))))</f>
        <v> </v>
      </c>
      <c r="K2039" s="26" t="str">
        <f>IF(OR(E2039="",E2039="!!!",F2039="NEW"),"",INDEX(J$1:J2038,SUMPRODUCT(MAX(ROW(E$1:E2038)*(E2039=E$1:E2038)))))</f>
        <v> </v>
      </c>
      <c r="L2039" s="27"/>
    </row>
    <row r="2040" spans="1:12">
      <c r="A2040" s="20" t="s">
        <v>1056</v>
      </c>
      <c r="E2040" s="22">
        <f>IF(D2040="?OLD","!!!","")</f>
        <v/>
      </c>
      <c r="F2040" s="23" t="str">
        <f>IF(OR(E2040="",E2040="!!!"),"",IF(NOT(ISNA(VLOOKUP(E2040,E$1:E2039,1,FALSE()))),"OLD",IF(AND(E2040&lt;&gt;"",E2040&lt;&gt;"!!!"),"NEW","")))</f>
        <v> </v>
      </c>
      <c r="G2040" s="24" t="str">
        <f>IF(OR(E2040="",E2040="!!!"),"",IF(OR(J2040=0,AND(J2040=1,K2040=1),AND(J2040=1,I2040="SBJ"),AND(J2040=1,I2040=0)),"?IN_FOCUS",IF(J2040&lt;=2,"?ACTIVATED",IF(J2040&lt;&gt;"","?FAMILIAR",IF(F2040="NEW",IF(ISNA(VLOOKUP(E2040,#REF!,1,FALSE())),"?TYPE_IDENTIFIABLE","?REFERENTIAL"),"_")))))</f>
        <v> </v>
      </c>
      <c r="H2040" s="25" t="str">
        <f>IF(J2040&lt;&gt;1,"",IF(I2040="SBJ","CB","?"))</f>
        <v> </v>
      </c>
      <c r="I2040" s="26" t="str">
        <f>IF(OR(E2040="",E2040="!!!",F2040="NEW"),"",INDEX(B2039:B$2,-1+SUMPRODUCT(MAX(ROW(E2039:E$2)*(E2040=E2039:E$2)))))</f>
        <v> </v>
      </c>
      <c r="J2040" s="26" t="str">
        <f>IF(OR(E2040="",E2040="!!!",F2040="NEW"),"",COUNTBLANK(OFFSET(A$1,,,SUMPRODUCT(MAX(ROW(E$2:E2040)*(E2040=E$2:E2040)))))-COUNTBLANK(OFFSET(A$1,,,SUMPRODUCT(MAX(ROW(E$1:E2039)*(E2=E$1:E2039))))))</f>
        <v> </v>
      </c>
      <c r="K2040" s="26" t="str">
        <f>IF(OR(E2040="",E2040="!!!",F2040="NEW"),"",INDEX(J$1:J2039,SUMPRODUCT(MAX(ROW(E$1:E2039)*(E2040=E$1:E2039)))))</f>
        <v> </v>
      </c>
      <c r="L2040" s="27"/>
    </row>
    <row r="2041" spans="1:12">
      <c r="A2041" s="20" t="s">
        <v>1391</v>
      </c>
      <c r="B2041" s="21" t="s">
        <v>1005</v>
      </c>
      <c r="C2041" s="21" t="s">
        <v>1111</v>
      </c>
      <c r="E2041" s="22">
        <f>IF(D2041="?OLD","!!!","")</f>
        <v/>
      </c>
      <c r="F2041" s="23" t="str">
        <f>IF(OR(E2041="",E2041="!!!"),"",IF(NOT(ISNA(VLOOKUP(E2041,E$1:E2040,1,FALSE()))),"OLD",IF(AND(E2041&lt;&gt;"",E2041&lt;&gt;"!!!"),"NEW","")))</f>
        <v> </v>
      </c>
      <c r="G2041" s="24" t="str">
        <f>IF(OR(E2041="",E2041="!!!"),"",IF(OR(J2041=0,AND(J2041=1,K2041=1),AND(J2041=1,I2041="SBJ"),AND(J2041=1,I2041=0)),"?IN_FOCUS",IF(J2041&lt;=2,"?ACTIVATED",IF(J2041&lt;&gt;"","?FAMILIAR",IF(F2041="NEW",IF(ISNA(VLOOKUP(E2041,#REF!,1,FALSE())),"?TYPE_IDENTIFIABLE","?REFERENTIAL"),"_")))))</f>
        <v> </v>
      </c>
      <c r="H2041" s="25" t="str">
        <f>IF(J2041&lt;&gt;1,"",IF(I2041="SBJ","CB","?"))</f>
        <v> </v>
      </c>
      <c r="I2041" s="26" t="str">
        <f>IF(OR(E2041="",E2041="!!!",F2041="NEW"),"",INDEX(B2040:B$2,-1+SUMPRODUCT(MAX(ROW(E2040:E$2)*(E2041=E2040:E$2)))))</f>
        <v> </v>
      </c>
      <c r="J2041" s="26" t="str">
        <f>IF(OR(E2041="",E2041="!!!",F2041="NEW"),"",COUNTBLANK(OFFSET(A$1,,,SUMPRODUCT(MAX(ROW(E$2:E2041)*(E2041=E$2:E2041)))))-COUNTBLANK(OFFSET(A$1,,,SUMPRODUCT(MAX(ROW(E$1:E2040)*(E2=E$1:E2040))))))</f>
        <v> </v>
      </c>
      <c r="K2041" s="26" t="str">
        <f>IF(OR(E2041="",E2041="!!!",F2041="NEW"),"",INDEX(J$1:J2040,SUMPRODUCT(MAX(ROW(E$1:E2040)*(E2041=E$1:E2040)))))</f>
        <v> </v>
      </c>
      <c r="L2041" s="27"/>
    </row>
    <row r="2042" spans="1:12">
      <c r="A2042" s="20" t="s">
        <v>1101</v>
      </c>
      <c r="E2042" s="22">
        <f>IF(D2042="?OLD","!!!","")</f>
        <v/>
      </c>
      <c r="F2042" s="23" t="str">
        <f>IF(OR(E2042="",E2042="!!!"),"",IF(NOT(ISNA(VLOOKUP(E2042,E$1:E2041,1,FALSE()))),"OLD",IF(AND(E2042&lt;&gt;"",E2042&lt;&gt;"!!!"),"NEW","")))</f>
        <v> </v>
      </c>
      <c r="G2042" s="24" t="str">
        <f>IF(OR(E2042="",E2042="!!!"),"",IF(OR(J2042=0,AND(J2042=1,K2042=1),AND(J2042=1,I2042="SBJ"),AND(J2042=1,I2042=0)),"?IN_FOCUS",IF(J2042&lt;=2,"?ACTIVATED",IF(J2042&lt;&gt;"","?FAMILIAR",IF(F2042="NEW",IF(ISNA(VLOOKUP(E2042,#REF!,1,FALSE())),"?TYPE_IDENTIFIABLE","?REFERENTIAL"),"_")))))</f>
        <v> </v>
      </c>
      <c r="H2042" s="25" t="str">
        <f>IF(J2042&lt;&gt;1,"",IF(I2042="SBJ","CB","?"))</f>
        <v> </v>
      </c>
      <c r="I2042" s="26" t="str">
        <f>IF(OR(E2042="",E2042="!!!",F2042="NEW"),"",INDEX(B2041:B$2,-1+SUMPRODUCT(MAX(ROW(E2041:E$2)*(E2042=E2041:E$2)))))</f>
        <v> </v>
      </c>
      <c r="J2042" s="26" t="str">
        <f>IF(OR(E2042="",E2042="!!!",F2042="NEW"),"",COUNTBLANK(OFFSET(A$1,,,SUMPRODUCT(MAX(ROW(E$2:E2042)*(E2042=E$2:E2042)))))-COUNTBLANK(OFFSET(A$1,,,SUMPRODUCT(MAX(ROW(E$1:E2041)*(E2=E$1:E2041))))))</f>
        <v> </v>
      </c>
      <c r="K2042" s="26" t="str">
        <f>IF(OR(E2042="",E2042="!!!",F2042="NEW"),"",INDEX(J$1:J2041,SUMPRODUCT(MAX(ROW(E$1:E2041)*(E2042=E$1:E2041)))))</f>
        <v> </v>
      </c>
      <c r="L2042" s="27"/>
    </row>
    <row r="2043" spans="1:12">
      <c r="A2043" s="20"/>
    </row>
    <row r="2044" spans="1:12">
      <c r="A2044" s="20" t="s">
        <v>1697</v>
      </c>
    </row>
    <row r="2045" spans="1:12">
      <c r="A2045" s="20" t="s">
        <v>303</v>
      </c>
      <c r="B2045" s="21" t="s">
        <v>1005</v>
      </c>
      <c r="C2045" s="21" t="s">
        <v>1006</v>
      </c>
      <c r="D2045" s="21" t="s">
        <v>1007</v>
      </c>
      <c r="E2045" s="22">
        <f>IF(D2045="?OLD","!!!","")</f>
        <v/>
      </c>
      <c r="F2045" s="23" t="str">
        <f>IF(OR(E2045="",E2045="!!!"),"",IF(NOT(ISNA(VLOOKUP(E2045,E$1:E2044,1,FALSE()))),"OLD",IF(AND(E2045&lt;&gt;"",E2045&lt;&gt;"!!!"),"NEW","")))</f>
        <v> </v>
      </c>
      <c r="G2045" s="24" t="str">
        <f>IF(OR(E2045="",E2045="!!!"),"",IF(OR(J2045=0,AND(J2045=1,K2045=1),AND(J2045=1,I2045="SBJ"),AND(J2045=1,I2045=0)),"?IN_FOCUS",IF(J2045&lt;=2,"?ACTIVATED",IF(J2045&lt;&gt;"","?FAMILIAR",IF(F2045="NEW",IF(ISNA(VLOOKUP(E2045,#REF!,1,FALSE())),"?TYPE_IDENTIFIABLE","?REFERENTIAL"),"_")))))</f>
        <v> </v>
      </c>
      <c r="H2045" s="25" t="str">
        <f>IF(J2045&lt;&gt;1,"",IF(I2045="SBJ","CB","?"))</f>
        <v> </v>
      </c>
      <c r="I2045" s="26" t="str">
        <f>IF(OR(E2045="",E2045="!!!",F2045="NEW"),"",INDEX(B2044:B$2,-1+SUMPRODUCT(MAX(ROW(E2044:E$2)*(E2045=E2044:E$2)))))</f>
        <v> </v>
      </c>
      <c r="J2045" s="26" t="str">
        <f>IF(OR(E2045="",E2045="!!!",F2045="NEW"),"",COUNTBLANK(OFFSET(A$1,,,SUMPRODUCT(MAX(ROW(E$2:E2045)*(E2045=E$2:E2045)))))-COUNTBLANK(OFFSET(A$1,,,SUMPRODUCT(MAX(ROW(E$1:E2044)*(E2=E$1:E2044))))))</f>
        <v> </v>
      </c>
      <c r="K2045" s="26" t="str">
        <f>IF(OR(E2045="",E2045="!!!",F2045="NEW"),"",INDEX(J$1:J2044,SUMPRODUCT(MAX(ROW(E$1:E2044)*(E2045=E$1:E2044)))))</f>
        <v> </v>
      </c>
      <c r="L2045" s="27"/>
    </row>
    <row r="2046" spans="1:12">
      <c r="A2046" s="20" t="s">
        <v>1698</v>
      </c>
      <c r="B2046" s="21" t="s">
        <v>1005</v>
      </c>
      <c r="C2046" s="21" t="s">
        <v>1006</v>
      </c>
      <c r="D2046" s="21" t="s">
        <v>1007</v>
      </c>
      <c r="E2046" s="22">
        <f>IF(D2046="?OLD","!!!","")</f>
        <v/>
      </c>
      <c r="F2046" s="23" t="str">
        <f>IF(OR(E2046="",E2046="!!!"),"",IF(NOT(ISNA(VLOOKUP(E2046,E$1:E2045,1,FALSE()))),"OLD",IF(AND(E2046&lt;&gt;"",E2046&lt;&gt;"!!!"),"NEW","")))</f>
        <v> </v>
      </c>
      <c r="G2046" s="24" t="str">
        <f>IF(OR(E2046="",E2046="!!!"),"",IF(OR(J2046=0,AND(J2046=1,K2046=1),AND(J2046=1,I2046="SBJ"),AND(J2046=1,I2046=0)),"?IN_FOCUS",IF(J2046&lt;=2,"?ACTIVATED",IF(J2046&lt;&gt;"","?FAMILIAR",IF(F2046="NEW",IF(ISNA(VLOOKUP(E2046,#REF!,1,FALSE())),"?TYPE_IDENTIFIABLE","?REFERENTIAL"),"_")))))</f>
        <v> </v>
      </c>
      <c r="H2046" s="25" t="str">
        <f>IF(J2046&lt;&gt;1,"",IF(I2046="SBJ","CB","?"))</f>
        <v> </v>
      </c>
      <c r="I2046" s="26" t="str">
        <f>IF(OR(E2046="",E2046="!!!",F2046="NEW"),"",INDEX(B2045:B$2,-1+SUMPRODUCT(MAX(ROW(E2045:E$2)*(E2046=E2045:E$2)))))</f>
        <v> </v>
      </c>
      <c r="J2046" s="26" t="str">
        <f>IF(OR(E2046="",E2046="!!!",F2046="NEW"),"",COUNTBLANK(OFFSET(A$1,,,SUMPRODUCT(MAX(ROW(E$2:E2046)*(E2046=E$2:E2046)))))-COUNTBLANK(OFFSET(A$1,,,SUMPRODUCT(MAX(ROW(E$1:E2045)*(E2=E$1:E2045))))))</f>
        <v> </v>
      </c>
      <c r="K2046" s="26" t="str">
        <f>IF(OR(E2046="",E2046="!!!",F2046="NEW"),"",INDEX(J$1:J2045,SUMPRODUCT(MAX(ROW(E$1:E2045)*(E2046=E$1:E2045)))))</f>
        <v> </v>
      </c>
      <c r="L2046" s="27"/>
    </row>
    <row r="2047" spans="1:12">
      <c r="A2047" s="20"/>
    </row>
    <row r="2048" spans="1:12">
      <c r="A2048" s="20" t="s">
        <v>1699</v>
      </c>
    </row>
    <row r="2049" spans="1:12">
      <c r="A2049" s="20" t="s">
        <v>11</v>
      </c>
      <c r="B2049" s="21" t="s">
        <v>1005</v>
      </c>
      <c r="C2049" s="21" t="s">
        <v>1073</v>
      </c>
      <c r="D2049" s="21" t="s">
        <v>1007</v>
      </c>
      <c r="E2049" s="22">
        <f>IF(D2049="?OLD","!!!","")</f>
        <v/>
      </c>
      <c r="F2049" s="23" t="str">
        <f>IF(OR(E2049="",E2049="!!!"),"",IF(NOT(ISNA(VLOOKUP(E2049,E$1:E2048,1,FALSE()))),"OLD",IF(AND(E2049&lt;&gt;"",E2049&lt;&gt;"!!!"),"NEW","")))</f>
        <v> </v>
      </c>
      <c r="G2049" s="24" t="str">
        <f>IF(OR(E2049="",E2049="!!!"),"",IF(OR(J2049=0,AND(J2049=1,K2049=1),AND(J2049=1,I2049="SBJ"),AND(J2049=1,I2049=0)),"?IN_FOCUS",IF(J2049&lt;=2,"?ACTIVATED",IF(J2049&lt;&gt;"","?FAMILIAR",IF(F2049="NEW",IF(ISNA(VLOOKUP(E2049,#REF!,1,FALSE())),"?TYPE_IDENTIFIABLE","?REFERENTIAL"),"_")))))</f>
        <v> </v>
      </c>
      <c r="H2049" s="25" t="str">
        <f>IF(J2049&lt;&gt;1,"",IF(I2049="SBJ","CB","?"))</f>
        <v> </v>
      </c>
      <c r="I2049" s="26" t="str">
        <f>IF(OR(E2049="",E2049="!!!",F2049="NEW"),"",INDEX(B2048:B$2,-1+SUMPRODUCT(MAX(ROW(E2048:E$2)*(E2049=E2048:E$2)))))</f>
        <v> </v>
      </c>
      <c r="J2049" s="26" t="str">
        <f>IF(OR(E2049="",E2049="!!!",F2049="NEW"),"",COUNTBLANK(OFFSET(A$1,,,SUMPRODUCT(MAX(ROW(E$2:E2049)*(E2049=E$2:E2049)))))-COUNTBLANK(OFFSET(A$1,,,SUMPRODUCT(MAX(ROW(E$1:E2048)*(E2=E$1:E2048))))))</f>
        <v> </v>
      </c>
      <c r="K2049" s="26" t="str">
        <f>IF(OR(E2049="",E2049="!!!",F2049="NEW"),"",INDEX(J$1:J2048,SUMPRODUCT(MAX(ROW(E$1:E2048)*(E2049=E$1:E2048)))))</f>
        <v> </v>
      </c>
      <c r="L2049" s="27"/>
    </row>
    <row r="2050" spans="1:12">
      <c r="A2050" s="20" t="s">
        <v>1065</v>
      </c>
      <c r="B2050" s="21" t="s">
        <v>1119</v>
      </c>
      <c r="E2050" s="22">
        <f>IF(D2050="?OLD","!!!","")</f>
        <v/>
      </c>
      <c r="F2050" s="23" t="str">
        <f>IF(OR(E2050="",E2050="!!!"),"",IF(NOT(ISNA(VLOOKUP(E2050,E$1:E2049,1,FALSE()))),"OLD",IF(AND(E2050&lt;&gt;"",E2050&lt;&gt;"!!!"),"NEW","")))</f>
        <v> </v>
      </c>
      <c r="G2050" s="24" t="str">
        <f>IF(OR(E2050="",E2050="!!!"),"",IF(OR(J2050=0,AND(J2050=1,K2050=1),AND(J2050=1,I2050="SBJ"),AND(J2050=1,I2050=0)),"?IN_FOCUS",IF(J2050&lt;=2,"?ACTIVATED",IF(J2050&lt;&gt;"","?FAMILIAR",IF(F2050="NEW",IF(ISNA(VLOOKUP(E2050,#REF!,1,FALSE())),"?TYPE_IDENTIFIABLE","?REFERENTIAL"),"_")))))</f>
        <v> </v>
      </c>
      <c r="H2050" s="25" t="str">
        <f>IF(J2050&lt;&gt;1,"",IF(I2050="SBJ","CB","?"))</f>
        <v> </v>
      </c>
      <c r="I2050" s="26" t="str">
        <f>IF(OR(E2050="",E2050="!!!",F2050="NEW"),"",INDEX(B2049:B$2,-1+SUMPRODUCT(MAX(ROW(E2049:E$2)*(E2050=E2049:E$2)))))</f>
        <v> </v>
      </c>
      <c r="J2050" s="26" t="str">
        <f>IF(OR(E2050="",E2050="!!!",F2050="NEW"),"",COUNTBLANK(OFFSET(A$1,,,SUMPRODUCT(MAX(ROW(E$2:E2050)*(E2050=E$2:E2050)))))-COUNTBLANK(OFFSET(A$1,,,SUMPRODUCT(MAX(ROW(E$1:E2049)*(E2=E$1:E2049))))))</f>
        <v> </v>
      </c>
      <c r="K2050" s="26" t="str">
        <f>IF(OR(E2050="",E2050="!!!",F2050="NEW"),"",INDEX(J$1:J2049,SUMPRODUCT(MAX(ROW(E$1:E2049)*(E2050=E$1:E2049)))))</f>
        <v> </v>
      </c>
      <c r="L2050" s="27"/>
    </row>
    <row r="2051" spans="1:12">
      <c r="A2051" s="20" t="s">
        <v>1075</v>
      </c>
      <c r="E2051" s="22">
        <f>IF(D2051="?OLD","!!!","")</f>
        <v/>
      </c>
      <c r="F2051" s="23" t="str">
        <f>IF(OR(E2051="",E2051="!!!"),"",IF(NOT(ISNA(VLOOKUP(E2051,E$1:E2050,1,FALSE()))),"OLD",IF(AND(E2051&lt;&gt;"",E2051&lt;&gt;"!!!"),"NEW","")))</f>
        <v> </v>
      </c>
      <c r="G2051" s="24" t="str">
        <f>IF(OR(E2051="",E2051="!!!"),"",IF(OR(J2051=0,AND(J2051=1,K2051=1),AND(J2051=1,I2051="SBJ"),AND(J2051=1,I2051=0)),"?IN_FOCUS",IF(J2051&lt;=2,"?ACTIVATED",IF(J2051&lt;&gt;"","?FAMILIAR",IF(F2051="NEW",IF(ISNA(VLOOKUP(E2051,#REF!,1,FALSE())),"?TYPE_IDENTIFIABLE","?REFERENTIAL"),"_")))))</f>
        <v> </v>
      </c>
      <c r="H2051" s="25" t="str">
        <f>IF(J2051&lt;&gt;1,"",IF(I2051="SBJ","CB","?"))</f>
        <v> </v>
      </c>
      <c r="I2051" s="26" t="str">
        <f>IF(OR(E2051="",E2051="!!!",F2051="NEW"),"",INDEX(B2050:B$2,-1+SUMPRODUCT(MAX(ROW(E2050:E$2)*(E2051=E2050:E$2)))))</f>
        <v> </v>
      </c>
      <c r="J2051" s="26" t="str">
        <f>IF(OR(E2051="",E2051="!!!",F2051="NEW"),"",COUNTBLANK(OFFSET(A$1,,,SUMPRODUCT(MAX(ROW(E$2:E2051)*(E2051=E$2:E2051)))))-COUNTBLANK(OFFSET(A$1,,,SUMPRODUCT(MAX(ROW(E$1:E2050)*(E2=E$1:E2050))))))</f>
        <v> </v>
      </c>
      <c r="K2051" s="26" t="str">
        <f>IF(OR(E2051="",E2051="!!!",F2051="NEW"),"",INDEX(J$1:J2050,SUMPRODUCT(MAX(ROW(E$1:E2050)*(E2051=E$1:E2050)))))</f>
        <v> </v>
      </c>
      <c r="L2051" s="27"/>
    </row>
    <row r="2052" spans="1:12">
      <c r="A2052" s="20" t="s">
        <v>1284</v>
      </c>
      <c r="B2052" s="21" t="s">
        <v>1005</v>
      </c>
      <c r="C2052" s="21" t="s">
        <v>1073</v>
      </c>
      <c r="D2052" s="21" t="s">
        <v>1007</v>
      </c>
      <c r="E2052" s="22">
        <f>IF(D2052="?OLD","!!!","")</f>
        <v/>
      </c>
      <c r="F2052" s="23" t="str">
        <f>IF(OR(E2052="",E2052="!!!"),"",IF(NOT(ISNA(VLOOKUP(E2052,E$1:E2051,1,FALSE()))),"OLD",IF(AND(E2052&lt;&gt;"",E2052&lt;&gt;"!!!"),"NEW","")))</f>
        <v> </v>
      </c>
      <c r="G2052" s="24" t="str">
        <f>IF(OR(E2052="",E2052="!!!"),"",IF(OR(J2052=0,AND(J2052=1,K2052=1),AND(J2052=1,I2052="SBJ"),AND(J2052=1,I2052=0)),"?IN_FOCUS",IF(J2052&lt;=2,"?ACTIVATED",IF(J2052&lt;&gt;"","?FAMILIAR",IF(F2052="NEW",IF(ISNA(VLOOKUP(E2052,#REF!,1,FALSE())),"?TYPE_IDENTIFIABLE","?REFERENTIAL"),"_")))))</f>
        <v> </v>
      </c>
      <c r="H2052" s="25" t="str">
        <f>IF(J2052&lt;&gt;1,"",IF(I2052="SBJ","CB","?"))</f>
        <v> </v>
      </c>
      <c r="I2052" s="26" t="str">
        <f>IF(OR(E2052="",E2052="!!!",F2052="NEW"),"",INDEX(B2051:B$2,-1+SUMPRODUCT(MAX(ROW(E2051:E$2)*(E2052=E2051:E$2)))))</f>
        <v> </v>
      </c>
      <c r="J2052" s="26" t="str">
        <f>IF(OR(E2052="",E2052="!!!",F2052="NEW"),"",COUNTBLANK(OFFSET(A$1,,,SUMPRODUCT(MAX(ROW(E$2:E2052)*(E2052=E$2:E2052)))))-COUNTBLANK(OFFSET(A$1,,,SUMPRODUCT(MAX(ROW(E$1:E2051)*(E2=E$1:E2051))))))</f>
        <v> </v>
      </c>
      <c r="K2052" s="26" t="str">
        <f>IF(OR(E2052="",E2052="!!!",F2052="NEW"),"",INDEX(J$1:J2051,SUMPRODUCT(MAX(ROW(E$1:E2051)*(E2052=E$1:E2051)))))</f>
        <v> </v>
      </c>
      <c r="L2052" s="27"/>
    </row>
    <row r="2053" spans="1:12">
      <c r="A2053" s="20" t="s">
        <v>1077</v>
      </c>
      <c r="E2053" s="22">
        <f>IF(D2053="?OLD","!!!","")</f>
        <v/>
      </c>
      <c r="F2053" s="23" t="str">
        <f>IF(OR(E2053="",E2053="!!!"),"",IF(NOT(ISNA(VLOOKUP(E2053,E$1:E2052,1,FALSE()))),"OLD",IF(AND(E2053&lt;&gt;"",E2053&lt;&gt;"!!!"),"NEW","")))</f>
        <v> </v>
      </c>
      <c r="G2053" s="24" t="str">
        <f>IF(OR(E2053="",E2053="!!!"),"",IF(OR(J2053=0,AND(J2053=1,K2053=1),AND(J2053=1,I2053="SBJ"),AND(J2053=1,I2053=0)),"?IN_FOCUS",IF(J2053&lt;=2,"?ACTIVATED",IF(J2053&lt;&gt;"","?FAMILIAR",IF(F2053="NEW",IF(ISNA(VLOOKUP(E2053,#REF!,1,FALSE())),"?TYPE_IDENTIFIABLE","?REFERENTIAL"),"_")))))</f>
        <v> </v>
      </c>
      <c r="H2053" s="25" t="str">
        <f>IF(J2053&lt;&gt;1,"",IF(I2053="SBJ","CB","?"))</f>
        <v> </v>
      </c>
      <c r="I2053" s="26" t="str">
        <f>IF(OR(E2053="",E2053="!!!",F2053="NEW"),"",INDEX(B2052:B$2,-1+SUMPRODUCT(MAX(ROW(E2052:E$2)*(E2053=E2052:E$2)))))</f>
        <v> </v>
      </c>
      <c r="J2053" s="26" t="str">
        <f>IF(OR(E2053="",E2053="!!!",F2053="NEW"),"",COUNTBLANK(OFFSET(A$1,,,SUMPRODUCT(MAX(ROW(E$2:E2053)*(E2053=E$2:E2053)))))-COUNTBLANK(OFFSET(A$1,,,SUMPRODUCT(MAX(ROW(E$1:E2052)*(E2=E$1:E2052))))))</f>
        <v> </v>
      </c>
      <c r="K2053" s="26" t="str">
        <f>IF(OR(E2053="",E2053="!!!",F2053="NEW"),"",INDEX(J$1:J2052,SUMPRODUCT(MAX(ROW(E$1:E2052)*(E2053=E$1:E2052)))))</f>
        <v> </v>
      </c>
      <c r="L2053" s="27"/>
    </row>
    <row r="2054" spans="1:12">
      <c r="A2054" s="20"/>
    </row>
    <row r="2055" spans="1:12">
      <c r="A2055" s="20" t="s">
        <v>1700</v>
      </c>
    </row>
    <row r="2056" spans="1:12">
      <c r="A2056" s="20" t="s">
        <v>1118</v>
      </c>
      <c r="B2056" s="21" t="s">
        <v>1005</v>
      </c>
      <c r="C2056" s="21" t="s">
        <v>1048</v>
      </c>
      <c r="E2056" s="22">
        <f>IF(D2056="?OLD","!!!","")</f>
        <v/>
      </c>
      <c r="F2056" s="23" t="str">
        <f>IF(OR(E2056="",E2056="!!!"),"",IF(NOT(ISNA(VLOOKUP(E2056,E$1:E2055,1,FALSE()))),"OLD",IF(AND(E2056&lt;&gt;"",E2056&lt;&gt;"!!!"),"NEW","")))</f>
        <v> </v>
      </c>
      <c r="G2056" s="24" t="str">
        <f>IF(OR(E2056="",E2056="!!!"),"",IF(OR(J2056=0,AND(J2056=1,K2056=1),AND(J2056=1,I2056="SBJ"),AND(J2056=1,I2056=0)),"?IN_FOCUS",IF(J2056&lt;=2,"?ACTIVATED",IF(J2056&lt;&gt;"","?FAMILIAR",IF(F2056="NEW",IF(ISNA(VLOOKUP(E2056,#REF!,1,FALSE())),"?TYPE_IDENTIFIABLE","?REFERENTIAL"),"_")))))</f>
        <v> </v>
      </c>
      <c r="H2056" s="25" t="str">
        <f>IF(J2056&lt;&gt;1,"",IF(I2056="SBJ","CB","?"))</f>
        <v> </v>
      </c>
      <c r="I2056" s="26" t="str">
        <f>IF(OR(E2056="",E2056="!!!",F2056="NEW"),"",INDEX(B2055:B$2,-1+SUMPRODUCT(MAX(ROW(E2055:E$2)*(E2056=E2055:E$2)))))</f>
        <v> </v>
      </c>
      <c r="J2056" s="26" t="str">
        <f>IF(OR(E2056="",E2056="!!!",F2056="NEW"),"",COUNTBLANK(OFFSET(A$1,,,SUMPRODUCT(MAX(ROW(E$2:E2056)*(E2056=E$2:E2056)))))-COUNTBLANK(OFFSET(A$1,,,SUMPRODUCT(MAX(ROW(E$1:E2055)*(E2=E$1:E2055))))))</f>
        <v> </v>
      </c>
      <c r="K2056" s="26" t="str">
        <f>IF(OR(E2056="",E2056="!!!",F2056="NEW"),"",INDEX(J$1:J2055,SUMPRODUCT(MAX(ROW(E$1:E2055)*(E2056=E$1:E2055)))))</f>
        <v> </v>
      </c>
      <c r="L2056" s="27"/>
    </row>
    <row r="2057" spans="1:12">
      <c r="A2057" s="20" t="s">
        <v>1009</v>
      </c>
      <c r="E2057" s="22">
        <f>IF(D2057="?OLD","!!!","")</f>
        <v/>
      </c>
      <c r="F2057" s="23" t="str">
        <f>IF(OR(E2057="",E2057="!!!"),"",IF(NOT(ISNA(VLOOKUP(E2057,E$1:E2056,1,FALSE()))),"OLD",IF(AND(E2057&lt;&gt;"",E2057&lt;&gt;"!!!"),"NEW","")))</f>
        <v> </v>
      </c>
      <c r="G2057" s="24" t="str">
        <f>IF(OR(E2057="",E2057="!!!"),"",IF(OR(J2057=0,AND(J2057=1,K2057=1),AND(J2057=1,I2057="SBJ"),AND(J2057=1,I2057=0)),"?IN_FOCUS",IF(J2057&lt;=2,"?ACTIVATED",IF(J2057&lt;&gt;"","?FAMILIAR",IF(F2057="NEW",IF(ISNA(VLOOKUP(E2057,#REF!,1,FALSE())),"?TYPE_IDENTIFIABLE","?REFERENTIAL"),"_")))))</f>
        <v> </v>
      </c>
      <c r="H2057" s="25" t="str">
        <f>IF(J2057&lt;&gt;1,"",IF(I2057="SBJ","CB","?"))</f>
        <v> </v>
      </c>
      <c r="I2057" s="26" t="str">
        <f>IF(OR(E2057="",E2057="!!!",F2057="NEW"),"",INDEX(B2056:B$2,-1+SUMPRODUCT(MAX(ROW(E2056:E$2)*(E2057=E2056:E$2)))))</f>
        <v> </v>
      </c>
      <c r="J2057" s="26" t="str">
        <f>IF(OR(E2057="",E2057="!!!",F2057="NEW"),"",COUNTBLANK(OFFSET(A$1,,,SUMPRODUCT(MAX(ROW(E$2:E2057)*(E2057=E$2:E2057)))))-COUNTBLANK(OFFSET(A$1,,,SUMPRODUCT(MAX(ROW(E$1:E2056)*(E2=E$1:E2056))))))</f>
        <v> </v>
      </c>
      <c r="K2057" s="26" t="str">
        <f>IF(OR(E2057="",E2057="!!!",F2057="NEW"),"",INDEX(J$1:J2056,SUMPRODUCT(MAX(ROW(E$1:E2056)*(E2057=E$1:E2056)))))</f>
        <v> </v>
      </c>
      <c r="L2057" s="27"/>
    </row>
    <row r="2058" spans="1:12">
      <c r="A2058" s="20" t="s">
        <v>1701</v>
      </c>
      <c r="E2058" s="22">
        <f>IF(D2058="?OLD","!!!","")</f>
        <v/>
      </c>
      <c r="F2058" s="23" t="str">
        <f>IF(OR(E2058="",E2058="!!!"),"",IF(NOT(ISNA(VLOOKUP(E2058,E$1:E2057,1,FALSE()))),"OLD",IF(AND(E2058&lt;&gt;"",E2058&lt;&gt;"!!!"),"NEW","")))</f>
        <v> </v>
      </c>
      <c r="G2058" s="24" t="str">
        <f>IF(OR(E2058="",E2058="!!!"),"",IF(OR(J2058=0,AND(J2058=1,K2058=1),AND(J2058=1,I2058="SBJ"),AND(J2058=1,I2058=0)),"?IN_FOCUS",IF(J2058&lt;=2,"?ACTIVATED",IF(J2058&lt;&gt;"","?FAMILIAR",IF(F2058="NEW",IF(ISNA(VLOOKUP(E2058,#REF!,1,FALSE())),"?TYPE_IDENTIFIABLE","?REFERENTIAL"),"_")))))</f>
        <v> </v>
      </c>
      <c r="H2058" s="25" t="str">
        <f>IF(J2058&lt;&gt;1,"",IF(I2058="SBJ","CB","?"))</f>
        <v> </v>
      </c>
      <c r="I2058" s="26" t="str">
        <f>IF(OR(E2058="",E2058="!!!",F2058="NEW"),"",INDEX(B2057:B$2,-1+SUMPRODUCT(MAX(ROW(E2057:E$2)*(E2058=E2057:E$2)))))</f>
        <v> </v>
      </c>
      <c r="J2058" s="26" t="str">
        <f>IF(OR(E2058="",E2058="!!!",F2058="NEW"),"",COUNTBLANK(OFFSET(A$1,,,SUMPRODUCT(MAX(ROW(E$2:E2058)*(E2058=E$2:E2058)))))-COUNTBLANK(OFFSET(A$1,,,SUMPRODUCT(MAX(ROW(E$1:E2057)*(E2=E$1:E2057))))))</f>
        <v> </v>
      </c>
      <c r="K2058" s="26" t="str">
        <f>IF(OR(E2058="",E2058="!!!",F2058="NEW"),"",INDEX(J$1:J2057,SUMPRODUCT(MAX(ROW(E$1:E2057)*(E2058=E$1:E2057)))))</f>
        <v> </v>
      </c>
      <c r="L2058" s="27"/>
    </row>
    <row r="2059" spans="1:12">
      <c r="A2059" s="20" t="s">
        <v>1065</v>
      </c>
      <c r="E2059" s="22">
        <f>IF(D2059="?OLD","!!!","")</f>
        <v/>
      </c>
      <c r="F2059" s="23" t="str">
        <f>IF(OR(E2059="",E2059="!!!"),"",IF(NOT(ISNA(VLOOKUP(E2059,E$1:E2058,1,FALSE()))),"OLD",IF(AND(E2059&lt;&gt;"",E2059&lt;&gt;"!!!"),"NEW","")))</f>
        <v> </v>
      </c>
      <c r="G2059" s="24" t="str">
        <f>IF(OR(E2059="",E2059="!!!"),"",IF(OR(J2059=0,AND(J2059=1,K2059=1),AND(J2059=1,I2059="SBJ"),AND(J2059=1,I2059=0)),"?IN_FOCUS",IF(J2059&lt;=2,"?ACTIVATED",IF(J2059&lt;&gt;"","?FAMILIAR",IF(F2059="NEW",IF(ISNA(VLOOKUP(E2059,#REF!,1,FALSE())),"?TYPE_IDENTIFIABLE","?REFERENTIAL"),"_")))))</f>
        <v> </v>
      </c>
      <c r="H2059" s="25" t="str">
        <f>IF(J2059&lt;&gt;1,"",IF(I2059="SBJ","CB","?"))</f>
        <v> </v>
      </c>
      <c r="I2059" s="26" t="str">
        <f>IF(OR(E2059="",E2059="!!!",F2059="NEW"),"",INDEX(B2058:B$2,-1+SUMPRODUCT(MAX(ROW(E2058:E$2)*(E2059=E2058:E$2)))))</f>
        <v> </v>
      </c>
      <c r="J2059" s="26" t="str">
        <f>IF(OR(E2059="",E2059="!!!",F2059="NEW"),"",COUNTBLANK(OFFSET(A$1,,,SUMPRODUCT(MAX(ROW(E$2:E2059)*(E2059=E$2:E2059)))))-COUNTBLANK(OFFSET(A$1,,,SUMPRODUCT(MAX(ROW(E$1:E2058)*(E2=E$1:E2058))))))</f>
        <v> </v>
      </c>
      <c r="K2059" s="26" t="str">
        <f>IF(OR(E2059="",E2059="!!!",F2059="NEW"),"",INDEX(J$1:J2058,SUMPRODUCT(MAX(ROW(E$1:E2058)*(E2059=E$1:E2058)))))</f>
        <v> </v>
      </c>
      <c r="L2059" s="27"/>
    </row>
    <row r="2060" spans="1:12">
      <c r="A2060" s="20" t="s">
        <v>889</v>
      </c>
      <c r="E2060" s="22">
        <f>IF(D2060="?OLD","!!!","")</f>
        <v/>
      </c>
      <c r="F2060" s="23" t="str">
        <f>IF(OR(E2060="",E2060="!!!"),"",IF(NOT(ISNA(VLOOKUP(E2060,E$1:E2059,1,FALSE()))),"OLD",IF(AND(E2060&lt;&gt;"",E2060&lt;&gt;"!!!"),"NEW","")))</f>
        <v> </v>
      </c>
      <c r="G2060" s="24" t="str">
        <f>IF(OR(E2060="",E2060="!!!"),"",IF(OR(J2060=0,AND(J2060=1,K2060=1),AND(J2060=1,I2060="SBJ"),AND(J2060=1,I2060=0)),"?IN_FOCUS",IF(J2060&lt;=2,"?ACTIVATED",IF(J2060&lt;&gt;"","?FAMILIAR",IF(F2060="NEW",IF(ISNA(VLOOKUP(E2060,#REF!,1,FALSE())),"?TYPE_IDENTIFIABLE","?REFERENTIAL"),"_")))))</f>
        <v> </v>
      </c>
      <c r="H2060" s="25" t="str">
        <f>IF(J2060&lt;&gt;1,"",IF(I2060="SBJ","CB","?"))</f>
        <v> </v>
      </c>
      <c r="I2060" s="26" t="str">
        <f>IF(OR(E2060="",E2060="!!!",F2060="NEW"),"",INDEX(B2059:B$2,-1+SUMPRODUCT(MAX(ROW(E2059:E$2)*(E2060=E2059:E$2)))))</f>
        <v> </v>
      </c>
      <c r="J2060" s="26" t="str">
        <f>IF(OR(E2060="",E2060="!!!",F2060="NEW"),"",COUNTBLANK(OFFSET(A$1,,,SUMPRODUCT(MAX(ROW(E$2:E2060)*(E2060=E$2:E2060)))))-COUNTBLANK(OFFSET(A$1,,,SUMPRODUCT(MAX(ROW(E$1:E2059)*(E2=E$1:E2059))))))</f>
        <v> </v>
      </c>
      <c r="K2060" s="26" t="str">
        <f>IF(OR(E2060="",E2060="!!!",F2060="NEW"),"",INDEX(J$1:J2059,SUMPRODUCT(MAX(ROW(E$1:E2059)*(E2060=E$1:E2059)))))</f>
        <v> </v>
      </c>
      <c r="L2060" s="27"/>
    </row>
    <row r="2061" spans="1:12">
      <c r="A2061" s="20" t="s">
        <v>1065</v>
      </c>
      <c r="E2061" s="22">
        <f>IF(D2061="?OLD","!!!","")</f>
        <v/>
      </c>
      <c r="F2061" s="23" t="str">
        <f>IF(OR(E2061="",E2061="!!!"),"",IF(NOT(ISNA(VLOOKUP(E2061,E$1:E2060,1,FALSE()))),"OLD",IF(AND(E2061&lt;&gt;"",E2061&lt;&gt;"!!!"),"NEW","")))</f>
        <v> </v>
      </c>
      <c r="G2061" s="24" t="str">
        <f>IF(OR(E2061="",E2061="!!!"),"",IF(OR(J2061=0,AND(J2061=1,K2061=1),AND(J2061=1,I2061="SBJ"),AND(J2061=1,I2061=0)),"?IN_FOCUS",IF(J2061&lt;=2,"?ACTIVATED",IF(J2061&lt;&gt;"","?FAMILIAR",IF(F2061="NEW",IF(ISNA(VLOOKUP(E2061,#REF!,1,FALSE())),"?TYPE_IDENTIFIABLE","?REFERENTIAL"),"_")))))</f>
        <v> </v>
      </c>
      <c r="H2061" s="25" t="str">
        <f>IF(J2061&lt;&gt;1,"",IF(I2061="SBJ","CB","?"))</f>
        <v> </v>
      </c>
      <c r="I2061" s="26" t="str">
        <f>IF(OR(E2061="",E2061="!!!",F2061="NEW"),"",INDEX(B2060:B$2,-1+SUMPRODUCT(MAX(ROW(E2060:E$2)*(E2061=E2060:E$2)))))</f>
        <v> </v>
      </c>
      <c r="J2061" s="26" t="str">
        <f>IF(OR(E2061="",E2061="!!!",F2061="NEW"),"",COUNTBLANK(OFFSET(A$1,,,SUMPRODUCT(MAX(ROW(E$2:E2061)*(E2061=E$2:E2061)))))-COUNTBLANK(OFFSET(A$1,,,SUMPRODUCT(MAX(ROW(E$1:E2060)*(E2=E$1:E2060))))))</f>
        <v> </v>
      </c>
      <c r="K2061" s="26" t="str">
        <f>IF(OR(E2061="",E2061="!!!",F2061="NEW"),"",INDEX(J$1:J2060,SUMPRODUCT(MAX(ROW(E$1:E2060)*(E2061=E$1:E2060)))))</f>
        <v> </v>
      </c>
      <c r="L2061" s="27"/>
    </row>
    <row r="2062" spans="1:12">
      <c r="A2062" s="20" t="s">
        <v>1020</v>
      </c>
      <c r="E2062" s="22">
        <f>IF(D2062="?OLD","!!!","")</f>
        <v/>
      </c>
      <c r="F2062" s="23" t="str">
        <f>IF(OR(E2062="",E2062="!!!"),"",IF(NOT(ISNA(VLOOKUP(E2062,E$1:E2061,1,FALSE()))),"OLD",IF(AND(E2062&lt;&gt;"",E2062&lt;&gt;"!!!"),"NEW","")))</f>
        <v> </v>
      </c>
      <c r="G2062" s="24" t="str">
        <f>IF(OR(E2062="",E2062="!!!"),"",IF(OR(J2062=0,AND(J2062=1,K2062=1),AND(J2062=1,I2062="SBJ"),AND(J2062=1,I2062=0)),"?IN_FOCUS",IF(J2062&lt;=2,"?ACTIVATED",IF(J2062&lt;&gt;"","?FAMILIAR",IF(F2062="NEW",IF(ISNA(VLOOKUP(E2062,#REF!,1,FALSE())),"?TYPE_IDENTIFIABLE","?REFERENTIAL"),"_")))))</f>
        <v> </v>
      </c>
      <c r="H2062" s="25" t="str">
        <f>IF(J2062&lt;&gt;1,"",IF(I2062="SBJ","CB","?"))</f>
        <v> </v>
      </c>
      <c r="I2062" s="26" t="str">
        <f>IF(OR(E2062="",E2062="!!!",F2062="NEW"),"",INDEX(B2061:B$2,-1+SUMPRODUCT(MAX(ROW(E2061:E$2)*(E2062=E2061:E$2)))))</f>
        <v> </v>
      </c>
      <c r="J2062" s="26" t="str">
        <f>IF(OR(E2062="",E2062="!!!",F2062="NEW"),"",COUNTBLANK(OFFSET(A$1,,,SUMPRODUCT(MAX(ROW(E$2:E2062)*(E2062=E$2:E2062)))))-COUNTBLANK(OFFSET(A$1,,,SUMPRODUCT(MAX(ROW(E$1:E2061)*(E2=E$1:E2061))))))</f>
        <v> </v>
      </c>
      <c r="K2062" s="26" t="str">
        <f>IF(OR(E2062="",E2062="!!!",F2062="NEW"),"",INDEX(J$1:J2061,SUMPRODUCT(MAX(ROW(E$1:E2061)*(E2062=E$1:E2061)))))</f>
        <v> </v>
      </c>
      <c r="L2062" s="27"/>
    </row>
    <row r="2063" spans="1:12">
      <c r="A2063" s="20" t="s">
        <v>1211</v>
      </c>
      <c r="B2063" s="21" t="s">
        <v>1154</v>
      </c>
      <c r="C2063" s="21" t="s">
        <v>1006</v>
      </c>
      <c r="D2063" s="21" t="s">
        <v>1007</v>
      </c>
      <c r="E2063" s="22">
        <f>IF(D2063="?OLD","!!!","")</f>
        <v/>
      </c>
      <c r="F2063" s="23" t="str">
        <f>IF(OR(E2063="",E2063="!!!"),"",IF(NOT(ISNA(VLOOKUP(E2063,E$1:E2062,1,FALSE()))),"OLD",IF(AND(E2063&lt;&gt;"",E2063&lt;&gt;"!!!"),"NEW","")))</f>
        <v> </v>
      </c>
      <c r="G2063" s="24" t="str">
        <f>IF(OR(E2063="",E2063="!!!"),"",IF(OR(J2063=0,AND(J2063=1,K2063=1),AND(J2063=1,I2063="SBJ"),AND(J2063=1,I2063=0)),"?IN_FOCUS",IF(J2063&lt;=2,"?ACTIVATED",IF(J2063&lt;&gt;"","?FAMILIAR",IF(F2063="NEW",IF(ISNA(VLOOKUP(E2063,#REF!,1,FALSE())),"?TYPE_IDENTIFIABLE","?REFERENTIAL"),"_")))))</f>
        <v> </v>
      </c>
      <c r="H2063" s="25" t="str">
        <f>IF(J2063&lt;&gt;1,"",IF(I2063="SBJ","CB","?"))</f>
        <v> </v>
      </c>
      <c r="I2063" s="26" t="str">
        <f>IF(OR(E2063="",E2063="!!!",F2063="NEW"),"",INDEX(B2062:B$2,-1+SUMPRODUCT(MAX(ROW(E2062:E$2)*(E2063=E2062:E$2)))))</f>
        <v> </v>
      </c>
      <c r="J2063" s="26" t="str">
        <f>IF(OR(E2063="",E2063="!!!",F2063="NEW"),"",COUNTBLANK(OFFSET(A$1,,,SUMPRODUCT(MAX(ROW(E$2:E2063)*(E2063=E$2:E2063)))))-COUNTBLANK(OFFSET(A$1,,,SUMPRODUCT(MAX(ROW(E$1:E2062)*(E2=E$1:E2062))))))</f>
        <v> </v>
      </c>
      <c r="K2063" s="26" t="str">
        <f>IF(OR(E2063="",E2063="!!!",F2063="NEW"),"",INDEX(J$1:J2062,SUMPRODUCT(MAX(ROW(E$1:E2062)*(E2063=E$1:E2062)))))</f>
        <v> </v>
      </c>
      <c r="L2063" s="27"/>
    </row>
    <row r="2064" spans="1:12">
      <c r="A2064" s="20" t="s">
        <v>1100</v>
      </c>
      <c r="B2064" s="21" t="s">
        <v>1187</v>
      </c>
      <c r="C2064" s="21" t="s">
        <v>1082</v>
      </c>
      <c r="D2064" s="21" t="s">
        <v>1007</v>
      </c>
      <c r="E2064" s="22">
        <f>IF(D2064="?OLD","!!!","")</f>
        <v/>
      </c>
      <c r="F2064" s="23" t="str">
        <f>IF(OR(E2064="",E2064="!!!"),"",IF(NOT(ISNA(VLOOKUP(E2064,E$1:E2063,1,FALSE()))),"OLD",IF(AND(E2064&lt;&gt;"",E2064&lt;&gt;"!!!"),"NEW","")))</f>
        <v> </v>
      </c>
      <c r="G2064" s="24" t="str">
        <f>IF(OR(E2064="",E2064="!!!"),"",IF(OR(J2064=0,AND(J2064=1,K2064=1),AND(J2064=1,I2064="SBJ"),AND(J2064=1,I2064=0)),"?IN_FOCUS",IF(J2064&lt;=2,"?ACTIVATED",IF(J2064&lt;&gt;"","?FAMILIAR",IF(F2064="NEW",IF(ISNA(VLOOKUP(E2064,#REF!,1,FALSE())),"?TYPE_IDENTIFIABLE","?REFERENTIAL"),"_")))))</f>
        <v> </v>
      </c>
      <c r="H2064" s="25" t="str">
        <f>IF(J2064&lt;&gt;1,"",IF(I2064="SBJ","CB","?"))</f>
        <v> </v>
      </c>
      <c r="I2064" s="26" t="str">
        <f>IF(OR(E2064="",E2064="!!!",F2064="NEW"),"",INDEX(B2063:B$2,-1+SUMPRODUCT(MAX(ROW(E2063:E$2)*(E2064=E2063:E$2)))))</f>
        <v> </v>
      </c>
      <c r="J2064" s="26" t="str">
        <f>IF(OR(E2064="",E2064="!!!",F2064="NEW"),"",COUNTBLANK(OFFSET(A$1,,,SUMPRODUCT(MAX(ROW(E$2:E2064)*(E2064=E$2:E2064)))))-COUNTBLANK(OFFSET(A$1,,,SUMPRODUCT(MAX(ROW(E$1:E2063)*(E2=E$1:E2063))))))</f>
        <v> </v>
      </c>
      <c r="K2064" s="26" t="str">
        <f>IF(OR(E2064="",E2064="!!!",F2064="NEW"),"",INDEX(J$1:J2063,SUMPRODUCT(MAX(ROW(E$1:E2063)*(E2064=E$1:E2063)))))</f>
        <v> </v>
      </c>
      <c r="L2064" s="27"/>
    </row>
    <row r="2065" spans="1:12">
      <c r="A2065" s="20" t="s">
        <v>1702</v>
      </c>
      <c r="E2065" s="22">
        <f>IF(D2065="?OLD","!!!","")</f>
        <v/>
      </c>
      <c r="F2065" s="23" t="str">
        <f>IF(OR(E2065="",E2065="!!!"),"",IF(NOT(ISNA(VLOOKUP(E2065,E$1:E2064,1,FALSE()))),"OLD",IF(AND(E2065&lt;&gt;"",E2065&lt;&gt;"!!!"),"NEW","")))</f>
        <v> </v>
      </c>
      <c r="G2065" s="24" t="str">
        <f>IF(OR(E2065="",E2065="!!!"),"",IF(OR(J2065=0,AND(J2065=1,K2065=1),AND(J2065=1,I2065="SBJ"),AND(J2065=1,I2065=0)),"?IN_FOCUS",IF(J2065&lt;=2,"?ACTIVATED",IF(J2065&lt;&gt;"","?FAMILIAR",IF(F2065="NEW",IF(ISNA(VLOOKUP(E2065,#REF!,1,FALSE())),"?TYPE_IDENTIFIABLE","?REFERENTIAL"),"_")))))</f>
        <v> </v>
      </c>
      <c r="H2065" s="25" t="str">
        <f>IF(J2065&lt;&gt;1,"",IF(I2065="SBJ","CB","?"))</f>
        <v> </v>
      </c>
      <c r="I2065" s="26" t="str">
        <f>IF(OR(E2065="",E2065="!!!",F2065="NEW"),"",INDEX(B2064:B$2,-1+SUMPRODUCT(MAX(ROW(E2064:E$2)*(E2065=E2064:E$2)))))</f>
        <v> </v>
      </c>
      <c r="J2065" s="26" t="str">
        <f>IF(OR(E2065="",E2065="!!!",F2065="NEW"),"",COUNTBLANK(OFFSET(A$1,,,SUMPRODUCT(MAX(ROW(E$2:E2065)*(E2065=E$2:E2065)))))-COUNTBLANK(OFFSET(A$1,,,SUMPRODUCT(MAX(ROW(E$1:E2064)*(E2=E$1:E2064))))))</f>
        <v> </v>
      </c>
      <c r="K2065" s="26" t="str">
        <f>IF(OR(E2065="",E2065="!!!",F2065="NEW"),"",INDEX(J$1:J2064,SUMPRODUCT(MAX(ROW(E$1:E2064)*(E2065=E$1:E2064)))))</f>
        <v> </v>
      </c>
      <c r="L2065" s="27"/>
    </row>
    <row r="2066" spans="1:12">
      <c r="A2066" s="20" t="s">
        <v>1056</v>
      </c>
      <c r="E2066" s="22">
        <f>IF(D2066="?OLD","!!!","")</f>
        <v/>
      </c>
      <c r="F2066" s="23" t="str">
        <f>IF(OR(E2066="",E2066="!!!"),"",IF(NOT(ISNA(VLOOKUP(E2066,E$1:E2065,1,FALSE()))),"OLD",IF(AND(E2066&lt;&gt;"",E2066&lt;&gt;"!!!"),"NEW","")))</f>
        <v> </v>
      </c>
      <c r="G2066" s="24" t="str">
        <f>IF(OR(E2066="",E2066="!!!"),"",IF(OR(J2066=0,AND(J2066=1,K2066=1),AND(J2066=1,I2066="SBJ"),AND(J2066=1,I2066=0)),"?IN_FOCUS",IF(J2066&lt;=2,"?ACTIVATED",IF(J2066&lt;&gt;"","?FAMILIAR",IF(F2066="NEW",IF(ISNA(VLOOKUP(E2066,#REF!,1,FALSE())),"?TYPE_IDENTIFIABLE","?REFERENTIAL"),"_")))))</f>
        <v> </v>
      </c>
      <c r="H2066" s="25" t="str">
        <f>IF(J2066&lt;&gt;1,"",IF(I2066="SBJ","CB","?"))</f>
        <v> </v>
      </c>
      <c r="I2066" s="26" t="str">
        <f>IF(OR(E2066="",E2066="!!!",F2066="NEW"),"",INDEX(B2065:B$2,-1+SUMPRODUCT(MAX(ROW(E2065:E$2)*(E2066=E2065:E$2)))))</f>
        <v> </v>
      </c>
      <c r="J2066" s="26" t="str">
        <f>IF(OR(E2066="",E2066="!!!",F2066="NEW"),"",COUNTBLANK(OFFSET(A$1,,,SUMPRODUCT(MAX(ROW(E$2:E2066)*(E2066=E$2:E2066)))))-COUNTBLANK(OFFSET(A$1,,,SUMPRODUCT(MAX(ROW(E$1:E2065)*(E2=E$1:E2065))))))</f>
        <v> </v>
      </c>
      <c r="K2066" s="26" t="str">
        <f>IF(OR(E2066="",E2066="!!!",F2066="NEW"),"",INDEX(J$1:J2065,SUMPRODUCT(MAX(ROW(E$1:E2065)*(E2066=E$1:E2065)))))</f>
        <v> </v>
      </c>
      <c r="L2066" s="27"/>
    </row>
    <row r="2067" spans="1:12">
      <c r="A2067" s="20" t="s">
        <v>1703</v>
      </c>
      <c r="B2067" s="21" t="s">
        <v>1187</v>
      </c>
      <c r="C2067" s="21" t="s">
        <v>1111</v>
      </c>
      <c r="E2067" s="22">
        <f>IF(D2067="?OLD","!!!","")</f>
        <v/>
      </c>
      <c r="F2067" s="23" t="str">
        <f>IF(OR(E2067="",E2067="!!!"),"",IF(NOT(ISNA(VLOOKUP(E2067,E$1:E2066,1,FALSE()))),"OLD",IF(AND(E2067&lt;&gt;"",E2067&lt;&gt;"!!!"),"NEW","")))</f>
        <v> </v>
      </c>
      <c r="G2067" s="24" t="str">
        <f>IF(OR(E2067="",E2067="!!!"),"",IF(OR(J2067=0,AND(J2067=1,K2067=1),AND(J2067=1,I2067="SBJ"),AND(J2067=1,I2067=0)),"?IN_FOCUS",IF(J2067&lt;=2,"?ACTIVATED",IF(J2067&lt;&gt;"","?FAMILIAR",IF(F2067="NEW",IF(ISNA(VLOOKUP(E2067,#REF!,1,FALSE())),"?TYPE_IDENTIFIABLE","?REFERENTIAL"),"_")))))</f>
        <v> </v>
      </c>
      <c r="H2067" s="25" t="str">
        <f>IF(J2067&lt;&gt;1,"",IF(I2067="SBJ","CB","?"))</f>
        <v> </v>
      </c>
      <c r="I2067" s="26" t="str">
        <f>IF(OR(E2067="",E2067="!!!",F2067="NEW"),"",INDEX(B2066:B$2,-1+SUMPRODUCT(MAX(ROW(E2066:E$2)*(E2067=E2066:E$2)))))</f>
        <v> </v>
      </c>
      <c r="J2067" s="26" t="str">
        <f>IF(OR(E2067="",E2067="!!!",F2067="NEW"),"",COUNTBLANK(OFFSET(A$1,,,SUMPRODUCT(MAX(ROW(E$2:E2067)*(E2067=E$2:E2067)))))-COUNTBLANK(OFFSET(A$1,,,SUMPRODUCT(MAX(ROW(E$1:E2066)*(E2=E$1:E2066))))))</f>
        <v> </v>
      </c>
      <c r="K2067" s="26" t="str">
        <f>IF(OR(E2067="",E2067="!!!",F2067="NEW"),"",INDEX(J$1:J2066,SUMPRODUCT(MAX(ROW(E$1:E2066)*(E2067=E$1:E2066)))))</f>
        <v> </v>
      </c>
      <c r="L2067" s="27"/>
    </row>
    <row r="2068" spans="1:12">
      <c r="A2068" s="20" t="s">
        <v>1704</v>
      </c>
      <c r="E2068" s="22">
        <f>IF(D2068="?OLD","!!!","")</f>
        <v/>
      </c>
      <c r="F2068" s="23" t="str">
        <f>IF(OR(E2068="",E2068="!!!"),"",IF(NOT(ISNA(VLOOKUP(E2068,E$1:E2067,1,FALSE()))),"OLD",IF(AND(E2068&lt;&gt;"",E2068&lt;&gt;"!!!"),"NEW","")))</f>
        <v> </v>
      </c>
      <c r="G2068" s="24" t="str">
        <f>IF(OR(E2068="",E2068="!!!"),"",IF(OR(J2068=0,AND(J2068=1,K2068=1),AND(J2068=1,I2068="SBJ"),AND(J2068=1,I2068=0)),"?IN_FOCUS",IF(J2068&lt;=2,"?ACTIVATED",IF(J2068&lt;&gt;"","?FAMILIAR",IF(F2068="NEW",IF(ISNA(VLOOKUP(E2068,#REF!,1,FALSE())),"?TYPE_IDENTIFIABLE","?REFERENTIAL"),"_")))))</f>
        <v> </v>
      </c>
      <c r="H2068" s="25" t="str">
        <f>IF(J2068&lt;&gt;1,"",IF(I2068="SBJ","CB","?"))</f>
        <v> </v>
      </c>
      <c r="I2068" s="26" t="str">
        <f>IF(OR(E2068="",E2068="!!!",F2068="NEW"),"",INDEX(B2067:B$2,-1+SUMPRODUCT(MAX(ROW(E2067:E$2)*(E2068=E2067:E$2)))))</f>
        <v> </v>
      </c>
      <c r="J2068" s="26" t="str">
        <f>IF(OR(E2068="",E2068="!!!",F2068="NEW"),"",COUNTBLANK(OFFSET(A$1,,,SUMPRODUCT(MAX(ROW(E$2:E2068)*(E2068=E$2:E2068)))))-COUNTBLANK(OFFSET(A$1,,,SUMPRODUCT(MAX(ROW(E$1:E2067)*(E2=E$1:E2067))))))</f>
        <v> </v>
      </c>
      <c r="K2068" s="26" t="str">
        <f>IF(OR(E2068="",E2068="!!!",F2068="NEW"),"",INDEX(J$1:J2067,SUMPRODUCT(MAX(ROW(E$1:E2067)*(E2068=E$1:E2067)))))</f>
        <v> </v>
      </c>
      <c r="L2068" s="27"/>
    </row>
    <row r="2069" spans="1:12">
      <c r="A2069" s="20" t="s">
        <v>1023</v>
      </c>
      <c r="E2069" s="22">
        <f>IF(D2069="?OLD","!!!","")</f>
        <v/>
      </c>
      <c r="F2069" s="23" t="str">
        <f>IF(OR(E2069="",E2069="!!!"),"",IF(NOT(ISNA(VLOOKUP(E2069,E$1:E2068,1,FALSE()))),"OLD",IF(AND(E2069&lt;&gt;"",E2069&lt;&gt;"!!!"),"NEW","")))</f>
        <v> </v>
      </c>
      <c r="G2069" s="24" t="str">
        <f>IF(OR(E2069="",E2069="!!!"),"",IF(OR(J2069=0,AND(J2069=1,K2069=1),AND(J2069=1,I2069="SBJ"),AND(J2069=1,I2069=0)),"?IN_FOCUS",IF(J2069&lt;=2,"?ACTIVATED",IF(J2069&lt;&gt;"","?FAMILIAR",IF(F2069="NEW",IF(ISNA(VLOOKUP(E2069,#REF!,1,FALSE())),"?TYPE_IDENTIFIABLE","?REFERENTIAL"),"_")))))</f>
        <v> </v>
      </c>
      <c r="H2069" s="25" t="str">
        <f>IF(J2069&lt;&gt;1,"",IF(I2069="SBJ","CB","?"))</f>
        <v> </v>
      </c>
      <c r="I2069" s="26" t="str">
        <f>IF(OR(E2069="",E2069="!!!",F2069="NEW"),"",INDEX(B2068:B$2,-1+SUMPRODUCT(MAX(ROW(E2068:E$2)*(E2069=E2068:E$2)))))</f>
        <v> </v>
      </c>
      <c r="J2069" s="26" t="str">
        <f>IF(OR(E2069="",E2069="!!!",F2069="NEW"),"",COUNTBLANK(OFFSET(A$1,,,SUMPRODUCT(MAX(ROW(E$2:E2069)*(E2069=E$2:E2069)))))-COUNTBLANK(OFFSET(A$1,,,SUMPRODUCT(MAX(ROW(E$1:E2068)*(E2=E$1:E2068))))))</f>
        <v> </v>
      </c>
      <c r="K2069" s="26" t="str">
        <f>IF(OR(E2069="",E2069="!!!",F2069="NEW"),"",INDEX(J$1:J2068,SUMPRODUCT(MAX(ROW(E$1:E2068)*(E2069=E$1:E2068)))))</f>
        <v> </v>
      </c>
      <c r="L2069" s="27"/>
    </row>
    <row r="2070" spans="1:12">
      <c r="A2070" s="20"/>
    </row>
    <row r="2071" spans="1:12">
      <c r="A2071" s="20" t="s">
        <v>1705</v>
      </c>
    </row>
    <row r="2072" spans="1:12">
      <c r="A2072" s="20" t="s">
        <v>1389</v>
      </c>
      <c r="B2072" s="21" t="s">
        <v>1050</v>
      </c>
      <c r="C2072" s="21" t="s">
        <v>1073</v>
      </c>
      <c r="D2072" s="21" t="s">
        <v>1007</v>
      </c>
      <c r="E2072" s="22">
        <f>IF(D2072="?OLD","!!!","")</f>
        <v/>
      </c>
      <c r="F2072" s="23" t="str">
        <f>IF(OR(E2072="",E2072="!!!"),"",IF(NOT(ISNA(VLOOKUP(E2072,E$1:E2071,1,FALSE()))),"OLD",IF(AND(E2072&lt;&gt;"",E2072&lt;&gt;"!!!"),"NEW","")))</f>
        <v> </v>
      </c>
      <c r="G2072" s="24" t="str">
        <f>IF(OR(E2072="",E2072="!!!"),"",IF(OR(J2072=0,AND(J2072=1,K2072=1),AND(J2072=1,I2072="SBJ"),AND(J2072=1,I2072=0)),"?IN_FOCUS",IF(J2072&lt;=2,"?ACTIVATED",IF(J2072&lt;&gt;"","?FAMILIAR",IF(F2072="NEW",IF(ISNA(VLOOKUP(E2072,#REF!,1,FALSE())),"?TYPE_IDENTIFIABLE","?REFERENTIAL"),"_")))))</f>
        <v> </v>
      </c>
      <c r="H2072" s="25" t="str">
        <f>IF(J2072&lt;&gt;1,"",IF(I2072="SBJ","CB","?"))</f>
        <v> </v>
      </c>
      <c r="I2072" s="26" t="str">
        <f>IF(OR(E2072="",E2072="!!!",F2072="NEW"),"",INDEX(B2071:B$2,-1+SUMPRODUCT(MAX(ROW(E2071:E$2)*(E2072=E2071:E$2)))))</f>
        <v> </v>
      </c>
      <c r="J2072" s="26" t="str">
        <f>IF(OR(E2072="",E2072="!!!",F2072="NEW"),"",COUNTBLANK(OFFSET(A$1,,,SUMPRODUCT(MAX(ROW(E$2:E2072)*(E2072=E$2:E2072)))))-COUNTBLANK(OFFSET(A$1,,,SUMPRODUCT(MAX(ROW(E$1:E2071)*(E2=E$1:E2071))))))</f>
        <v> </v>
      </c>
      <c r="K2072" s="26" t="str">
        <f>IF(OR(E2072="",E2072="!!!",F2072="NEW"),"",INDEX(J$1:J2071,SUMPRODUCT(MAX(ROW(E$1:E2071)*(E2072=E$1:E2071)))))</f>
        <v> </v>
      </c>
      <c r="L2072" s="27"/>
    </row>
    <row r="2073" spans="1:12">
      <c r="A2073" s="20" t="s">
        <v>1075</v>
      </c>
      <c r="E2073" s="22">
        <f>IF(D2073="?OLD","!!!","")</f>
        <v/>
      </c>
      <c r="F2073" s="23" t="str">
        <f>IF(OR(E2073="",E2073="!!!"),"",IF(NOT(ISNA(VLOOKUP(E2073,E$1:E2072,1,FALSE()))),"OLD",IF(AND(E2073&lt;&gt;"",E2073&lt;&gt;"!!!"),"NEW","")))</f>
        <v> </v>
      </c>
      <c r="G2073" s="24" t="str">
        <f>IF(OR(E2073="",E2073="!!!"),"",IF(OR(J2073=0,AND(J2073=1,K2073=1),AND(J2073=1,I2073="SBJ"),AND(J2073=1,I2073=0)),"?IN_FOCUS",IF(J2073&lt;=2,"?ACTIVATED",IF(J2073&lt;&gt;"","?FAMILIAR",IF(F2073="NEW",IF(ISNA(VLOOKUP(E2073,#REF!,1,FALSE())),"?TYPE_IDENTIFIABLE","?REFERENTIAL"),"_")))))</f>
        <v> </v>
      </c>
      <c r="H2073" s="25" t="str">
        <f>IF(J2073&lt;&gt;1,"",IF(I2073="SBJ","CB","?"))</f>
        <v> </v>
      </c>
      <c r="I2073" s="26" t="str">
        <f>IF(OR(E2073="",E2073="!!!",F2073="NEW"),"",INDEX(B2072:B$2,-1+SUMPRODUCT(MAX(ROW(E2072:E$2)*(E2073=E2072:E$2)))))</f>
        <v> </v>
      </c>
      <c r="J2073" s="26" t="str">
        <f>IF(OR(E2073="",E2073="!!!",F2073="NEW"),"",COUNTBLANK(OFFSET(A$1,,,SUMPRODUCT(MAX(ROW(E$2:E2073)*(E2073=E$2:E2073)))))-COUNTBLANK(OFFSET(A$1,,,SUMPRODUCT(MAX(ROW(E$1:E2072)*(E2=E$1:E2072))))))</f>
        <v> </v>
      </c>
      <c r="K2073" s="26" t="str">
        <f>IF(OR(E2073="",E2073="!!!",F2073="NEW"),"",INDEX(J$1:J2072,SUMPRODUCT(MAX(ROW(E$1:E2072)*(E2073=E$1:E2072)))))</f>
        <v> </v>
      </c>
      <c r="L2073" s="27"/>
    </row>
    <row r="2074" spans="1:12">
      <c r="A2074" s="20" t="s">
        <v>1056</v>
      </c>
      <c r="E2074" s="22">
        <f>IF(D2074="?OLD","!!!","")</f>
        <v/>
      </c>
      <c r="F2074" s="23" t="str">
        <f>IF(OR(E2074="",E2074="!!!"),"",IF(NOT(ISNA(VLOOKUP(E2074,E$1:E2073,1,FALSE()))),"OLD",IF(AND(E2074&lt;&gt;"",E2074&lt;&gt;"!!!"),"NEW","")))</f>
        <v> </v>
      </c>
      <c r="G2074" s="24" t="str">
        <f>IF(OR(E2074="",E2074="!!!"),"",IF(OR(J2074=0,AND(J2074=1,K2074=1),AND(J2074=1,I2074="SBJ"),AND(J2074=1,I2074=0)),"?IN_FOCUS",IF(J2074&lt;=2,"?ACTIVATED",IF(J2074&lt;&gt;"","?FAMILIAR",IF(F2074="NEW",IF(ISNA(VLOOKUP(E2074,#REF!,1,FALSE())),"?TYPE_IDENTIFIABLE","?REFERENTIAL"),"_")))))</f>
        <v> </v>
      </c>
      <c r="H2074" s="25" t="str">
        <f>IF(J2074&lt;&gt;1,"",IF(I2074="SBJ","CB","?"))</f>
        <v> </v>
      </c>
      <c r="I2074" s="26" t="str">
        <f>IF(OR(E2074="",E2074="!!!",F2074="NEW"),"",INDEX(B2073:B$2,-1+SUMPRODUCT(MAX(ROW(E2073:E$2)*(E2074=E2073:E$2)))))</f>
        <v> </v>
      </c>
      <c r="J2074" s="26" t="str">
        <f>IF(OR(E2074="",E2074="!!!",F2074="NEW"),"",COUNTBLANK(OFFSET(A$1,,,SUMPRODUCT(MAX(ROW(E$2:E2074)*(E2074=E$2:E2074)))))-COUNTBLANK(OFFSET(A$1,,,SUMPRODUCT(MAX(ROW(E$1:E2073)*(E2=E$1:E2073))))))</f>
        <v> </v>
      </c>
      <c r="K2074" s="26" t="str">
        <f>IF(OR(E2074="",E2074="!!!",F2074="NEW"),"",INDEX(J$1:J2073,SUMPRODUCT(MAX(ROW(E$1:E2073)*(E2074=E$1:E2073)))))</f>
        <v> </v>
      </c>
      <c r="L2074" s="27"/>
    </row>
    <row r="2075" spans="1:12">
      <c r="A2075" s="20" t="s">
        <v>1014</v>
      </c>
      <c r="E2075" s="22">
        <f>IF(D2075="?OLD","!!!","")</f>
        <v/>
      </c>
      <c r="F2075" s="23" t="str">
        <f>IF(OR(E2075="",E2075="!!!"),"",IF(NOT(ISNA(VLOOKUP(E2075,E$1:E2074,1,FALSE()))),"OLD",IF(AND(E2075&lt;&gt;"",E2075&lt;&gt;"!!!"),"NEW","")))</f>
        <v> </v>
      </c>
      <c r="G2075" s="24" t="str">
        <f>IF(OR(E2075="",E2075="!!!"),"",IF(OR(J2075=0,AND(J2075=1,K2075=1),AND(J2075=1,I2075="SBJ"),AND(J2075=1,I2075=0)),"?IN_FOCUS",IF(J2075&lt;=2,"?ACTIVATED",IF(J2075&lt;&gt;"","?FAMILIAR",IF(F2075="NEW",IF(ISNA(VLOOKUP(E2075,#REF!,1,FALSE())),"?TYPE_IDENTIFIABLE","?REFERENTIAL"),"_")))))</f>
        <v> </v>
      </c>
      <c r="H2075" s="25" t="str">
        <f>IF(J2075&lt;&gt;1,"",IF(I2075="SBJ","CB","?"))</f>
        <v> </v>
      </c>
      <c r="I2075" s="26" t="str">
        <f>IF(OR(E2075="",E2075="!!!",F2075="NEW"),"",INDEX(B2074:B$2,-1+SUMPRODUCT(MAX(ROW(E2074:E$2)*(E2075=E2074:E$2)))))</f>
        <v> </v>
      </c>
      <c r="J2075" s="26" t="str">
        <f>IF(OR(E2075="",E2075="!!!",F2075="NEW"),"",COUNTBLANK(OFFSET(A$1,,,SUMPRODUCT(MAX(ROW(E$2:E2075)*(E2075=E$2:E2075)))))-COUNTBLANK(OFFSET(A$1,,,SUMPRODUCT(MAX(ROW(E$1:E2074)*(E2=E$1:E2074))))))</f>
        <v> </v>
      </c>
      <c r="K2075" s="26" t="str">
        <f>IF(OR(E2075="",E2075="!!!",F2075="NEW"),"",INDEX(J$1:J2074,SUMPRODUCT(MAX(ROW(E$1:E2074)*(E2075=E$1:E2074)))))</f>
        <v> </v>
      </c>
      <c r="L2075" s="27"/>
    </row>
    <row r="2076" spans="1:12">
      <c r="A2076" s="20" t="s">
        <v>1015</v>
      </c>
      <c r="E2076" s="22">
        <f>IF(D2076="?OLD","!!!","")</f>
        <v/>
      </c>
      <c r="F2076" s="23" t="str">
        <f>IF(OR(E2076="",E2076="!!!"),"",IF(NOT(ISNA(VLOOKUP(E2076,E$1:E2075,1,FALSE()))),"OLD",IF(AND(E2076&lt;&gt;"",E2076&lt;&gt;"!!!"),"NEW","")))</f>
        <v> </v>
      </c>
      <c r="G2076" s="24" t="str">
        <f>IF(OR(E2076="",E2076="!!!"),"",IF(OR(J2076=0,AND(J2076=1,K2076=1),AND(J2076=1,I2076="SBJ"),AND(J2076=1,I2076=0)),"?IN_FOCUS",IF(J2076&lt;=2,"?ACTIVATED",IF(J2076&lt;&gt;"","?FAMILIAR",IF(F2076="NEW",IF(ISNA(VLOOKUP(E2076,#REF!,1,FALSE())),"?TYPE_IDENTIFIABLE","?REFERENTIAL"),"_")))))</f>
        <v> </v>
      </c>
      <c r="H2076" s="25" t="str">
        <f>IF(J2076&lt;&gt;1,"",IF(I2076="SBJ","CB","?"))</f>
        <v> </v>
      </c>
      <c r="I2076" s="26" t="str">
        <f>IF(OR(E2076="",E2076="!!!",F2076="NEW"),"",INDEX(B2075:B$2,-1+SUMPRODUCT(MAX(ROW(E2075:E$2)*(E2076=E2075:E$2)))))</f>
        <v> </v>
      </c>
      <c r="J2076" s="26" t="str">
        <f>IF(OR(E2076="",E2076="!!!",F2076="NEW"),"",COUNTBLANK(OFFSET(A$1,,,SUMPRODUCT(MAX(ROW(E$2:E2076)*(E2076=E$2:E2076)))))-COUNTBLANK(OFFSET(A$1,,,SUMPRODUCT(MAX(ROW(E$1:E2075)*(E2=E$1:E2075))))))</f>
        <v> </v>
      </c>
      <c r="K2076" s="26" t="str">
        <f>IF(OR(E2076="",E2076="!!!",F2076="NEW"),"",INDEX(J$1:J2075,SUMPRODUCT(MAX(ROW(E$1:E2075)*(E2076=E$1:E2075)))))</f>
        <v> </v>
      </c>
      <c r="L2076" s="27"/>
    </row>
    <row r="2077" spans="1:12">
      <c r="A2077" s="20" t="s">
        <v>1706</v>
      </c>
      <c r="B2077" s="21" t="s">
        <v>1005</v>
      </c>
      <c r="C2077" s="21" t="s">
        <v>1013</v>
      </c>
      <c r="D2077" s="21" t="s">
        <v>1007</v>
      </c>
      <c r="E2077" s="22">
        <f>IF(D2077="?OLD","!!!","")</f>
        <v/>
      </c>
      <c r="F2077" s="23" t="str">
        <f>IF(OR(E2077="",E2077="!!!"),"",IF(NOT(ISNA(VLOOKUP(E2077,E$1:E2076,1,FALSE()))),"OLD",IF(AND(E2077&lt;&gt;"",E2077&lt;&gt;"!!!"),"NEW","")))</f>
        <v> </v>
      </c>
      <c r="G2077" s="24" t="str">
        <f>IF(OR(E2077="",E2077="!!!"),"",IF(OR(J2077=0,AND(J2077=1,K2077=1),AND(J2077=1,I2077="SBJ"),AND(J2077=1,I2077=0)),"?IN_FOCUS",IF(J2077&lt;=2,"?ACTIVATED",IF(J2077&lt;&gt;"","?FAMILIAR",IF(F2077="NEW",IF(ISNA(VLOOKUP(E2077,#REF!,1,FALSE())),"?TYPE_IDENTIFIABLE","?REFERENTIAL"),"_")))))</f>
        <v> </v>
      </c>
      <c r="H2077" s="25" t="str">
        <f>IF(J2077&lt;&gt;1,"",IF(I2077="SBJ","CB","?"))</f>
        <v> </v>
      </c>
      <c r="I2077" s="26" t="str">
        <f>IF(OR(E2077="",E2077="!!!",F2077="NEW"),"",INDEX(B2076:B$2,-1+SUMPRODUCT(MAX(ROW(E2076:E$2)*(E2077=E2076:E$2)))))</f>
        <v> </v>
      </c>
      <c r="J2077" s="26" t="str">
        <f>IF(OR(E2077="",E2077="!!!",F2077="NEW"),"",COUNTBLANK(OFFSET(A$1,,,SUMPRODUCT(MAX(ROW(E$2:E2077)*(E2077=E$2:E2077)))))-COUNTBLANK(OFFSET(A$1,,,SUMPRODUCT(MAX(ROW(E$1:E2076)*(E2=E$1:E2076))))))</f>
        <v> </v>
      </c>
      <c r="K2077" s="26" t="str">
        <f>IF(OR(E2077="",E2077="!!!",F2077="NEW"),"",INDEX(J$1:J2076,SUMPRODUCT(MAX(ROW(E$1:E2076)*(E2077=E$1:E2076)))))</f>
        <v> </v>
      </c>
      <c r="L2077" s="27"/>
    </row>
    <row r="2078" spans="1:12">
      <c r="A2078" s="20" t="s">
        <v>1014</v>
      </c>
      <c r="E2078" s="22">
        <f>IF(D2078="?OLD","!!!","")</f>
        <v/>
      </c>
      <c r="F2078" s="23" t="str">
        <f>IF(OR(E2078="",E2078="!!!"),"",IF(NOT(ISNA(VLOOKUP(E2078,E$1:E2077,1,FALSE()))),"OLD",IF(AND(E2078&lt;&gt;"",E2078&lt;&gt;"!!!"),"NEW","")))</f>
        <v> </v>
      </c>
      <c r="G2078" s="24" t="str">
        <f>IF(OR(E2078="",E2078="!!!"),"",IF(OR(J2078=0,AND(J2078=1,K2078=1),AND(J2078=1,I2078="SBJ"),AND(J2078=1,I2078=0)),"?IN_FOCUS",IF(J2078&lt;=2,"?ACTIVATED",IF(J2078&lt;&gt;"","?FAMILIAR",IF(F2078="NEW",IF(ISNA(VLOOKUP(E2078,#REF!,1,FALSE())),"?TYPE_IDENTIFIABLE","?REFERENTIAL"),"_")))))</f>
        <v> </v>
      </c>
      <c r="H2078" s="25" t="str">
        <f>IF(J2078&lt;&gt;1,"",IF(I2078="SBJ","CB","?"))</f>
        <v> </v>
      </c>
      <c r="I2078" s="26" t="str">
        <f>IF(OR(E2078="",E2078="!!!",F2078="NEW"),"",INDEX(B2077:B$2,-1+SUMPRODUCT(MAX(ROW(E2077:E$2)*(E2078=E2077:E$2)))))</f>
        <v> </v>
      </c>
      <c r="J2078" s="26" t="str">
        <f>IF(OR(E2078="",E2078="!!!",F2078="NEW"),"",COUNTBLANK(OFFSET(A$1,,,SUMPRODUCT(MAX(ROW(E$2:E2078)*(E2078=E$2:E2078)))))-COUNTBLANK(OFFSET(A$1,,,SUMPRODUCT(MAX(ROW(E$1:E2077)*(E2=E$1:E2077))))))</f>
        <v> </v>
      </c>
      <c r="K2078" s="26" t="str">
        <f>IF(OR(E2078="",E2078="!!!",F2078="NEW"),"",INDEX(J$1:J2077,SUMPRODUCT(MAX(ROW(E$1:E2077)*(E2078=E$1:E2077)))))</f>
        <v> </v>
      </c>
      <c r="L2078" s="27"/>
    </row>
    <row r="2079" spans="1:12">
      <c r="A2079" s="20" t="s">
        <v>1020</v>
      </c>
      <c r="E2079" s="22">
        <f>IF(D2079="?OLD","!!!","")</f>
        <v/>
      </c>
      <c r="F2079" s="23" t="str">
        <f>IF(OR(E2079="",E2079="!!!"),"",IF(NOT(ISNA(VLOOKUP(E2079,E$1:E2078,1,FALSE()))),"OLD",IF(AND(E2079&lt;&gt;"",E2079&lt;&gt;"!!!"),"NEW","")))</f>
        <v> </v>
      </c>
      <c r="G2079" s="24" t="str">
        <f>IF(OR(E2079="",E2079="!!!"),"",IF(OR(J2079=0,AND(J2079=1,K2079=1),AND(J2079=1,I2079="SBJ"),AND(J2079=1,I2079=0)),"?IN_FOCUS",IF(J2079&lt;=2,"?ACTIVATED",IF(J2079&lt;&gt;"","?FAMILIAR",IF(F2079="NEW",IF(ISNA(VLOOKUP(E2079,#REF!,1,FALSE())),"?TYPE_IDENTIFIABLE","?REFERENTIAL"),"_")))))</f>
        <v> </v>
      </c>
      <c r="H2079" s="25" t="str">
        <f>IF(J2079&lt;&gt;1,"",IF(I2079="SBJ","CB","?"))</f>
        <v> </v>
      </c>
      <c r="I2079" s="26" t="str">
        <f>IF(OR(E2079="",E2079="!!!",F2079="NEW"),"",INDEX(B2078:B$2,-1+SUMPRODUCT(MAX(ROW(E2078:E$2)*(E2079=E2078:E$2)))))</f>
        <v> </v>
      </c>
      <c r="J2079" s="26" t="str">
        <f>IF(OR(E2079="",E2079="!!!",F2079="NEW"),"",COUNTBLANK(OFFSET(A$1,,,SUMPRODUCT(MAX(ROW(E$2:E2079)*(E2079=E$2:E2079)))))-COUNTBLANK(OFFSET(A$1,,,SUMPRODUCT(MAX(ROW(E$1:E2078)*(E2=E$1:E2078))))))</f>
        <v> </v>
      </c>
      <c r="K2079" s="26" t="str">
        <f>IF(OR(E2079="",E2079="!!!",F2079="NEW"),"",INDEX(J$1:J2078,SUMPRODUCT(MAX(ROW(E$1:E2078)*(E2079=E$1:E2078)))))</f>
        <v> </v>
      </c>
      <c r="L2079" s="27"/>
    </row>
    <row r="2080" spans="1:12">
      <c r="A2080" s="20" t="s">
        <v>1211</v>
      </c>
      <c r="B2080" s="21" t="s">
        <v>1022</v>
      </c>
      <c r="C2080" s="21" t="s">
        <v>1017</v>
      </c>
      <c r="D2080" s="21" t="s">
        <v>1007</v>
      </c>
      <c r="E2080" s="22">
        <f>IF(D2080="?OLD","!!!","")</f>
        <v/>
      </c>
      <c r="F2080" s="23" t="str">
        <f>IF(OR(E2080="",E2080="!!!"),"",IF(NOT(ISNA(VLOOKUP(E2080,E$1:E2079,1,FALSE()))),"OLD",IF(AND(E2080&lt;&gt;"",E2080&lt;&gt;"!!!"),"NEW","")))</f>
        <v> </v>
      </c>
      <c r="G2080" s="24" t="str">
        <f>IF(OR(E2080="",E2080="!!!"),"",IF(OR(J2080=0,AND(J2080=1,K2080=1),AND(J2080=1,I2080="SBJ"),AND(J2080=1,I2080=0)),"?IN_FOCUS",IF(J2080&lt;=2,"?ACTIVATED",IF(J2080&lt;&gt;"","?FAMILIAR",IF(F2080="NEW",IF(ISNA(VLOOKUP(E2080,#REF!,1,FALSE())),"?TYPE_IDENTIFIABLE","?REFERENTIAL"),"_")))))</f>
        <v> </v>
      </c>
      <c r="H2080" s="25" t="str">
        <f>IF(J2080&lt;&gt;1,"",IF(I2080="SBJ","CB","?"))</f>
        <v> </v>
      </c>
      <c r="I2080" s="26" t="str">
        <f>IF(OR(E2080="",E2080="!!!",F2080="NEW"),"",INDEX(B2079:B$2,-1+SUMPRODUCT(MAX(ROW(E2079:E$2)*(E2080=E2079:E$2)))))</f>
        <v> </v>
      </c>
      <c r="J2080" s="26" t="str">
        <f>IF(OR(E2080="",E2080="!!!",F2080="NEW"),"",COUNTBLANK(OFFSET(A$1,,,SUMPRODUCT(MAX(ROW(E$2:E2080)*(E2080=E$2:E2080)))))-COUNTBLANK(OFFSET(A$1,,,SUMPRODUCT(MAX(ROW(E$1:E2079)*(E2=E$1:E2079))))))</f>
        <v> </v>
      </c>
      <c r="K2080" s="26" t="str">
        <f>IF(OR(E2080="",E2080="!!!",F2080="NEW"),"",INDEX(J$1:J2079,SUMPRODUCT(MAX(ROW(E$1:E2079)*(E2080=E$1:E2079)))))</f>
        <v> </v>
      </c>
      <c r="L2080" s="27"/>
    </row>
    <row r="2081" spans="1:12">
      <c r="A2081" s="20" t="s">
        <v>1065</v>
      </c>
      <c r="B2081" s="21" t="s">
        <v>1064</v>
      </c>
      <c r="E2081" s="22">
        <f>IF(D2081="?OLD","!!!","")</f>
        <v/>
      </c>
      <c r="F2081" s="23" t="str">
        <f>IF(OR(E2081="",E2081="!!!"),"",IF(NOT(ISNA(VLOOKUP(E2081,E$1:E2080,1,FALSE()))),"OLD",IF(AND(E2081&lt;&gt;"",E2081&lt;&gt;"!!!"),"NEW","")))</f>
        <v> </v>
      </c>
      <c r="G2081" s="24" t="str">
        <f>IF(OR(E2081="",E2081="!!!"),"",IF(OR(J2081=0,AND(J2081=1,K2081=1),AND(J2081=1,I2081="SBJ"),AND(J2081=1,I2081=0)),"?IN_FOCUS",IF(J2081&lt;=2,"?ACTIVATED",IF(J2081&lt;&gt;"","?FAMILIAR",IF(F2081="NEW",IF(ISNA(VLOOKUP(E2081,#REF!,1,FALSE())),"?TYPE_IDENTIFIABLE","?REFERENTIAL"),"_")))))</f>
        <v> </v>
      </c>
      <c r="H2081" s="25" t="str">
        <f>IF(J2081&lt;&gt;1,"",IF(I2081="SBJ","CB","?"))</f>
        <v> </v>
      </c>
      <c r="I2081" s="26" t="str">
        <f>IF(OR(E2081="",E2081="!!!",F2081="NEW"),"",INDEX(B2080:B$2,-1+SUMPRODUCT(MAX(ROW(E2080:E$2)*(E2081=E2080:E$2)))))</f>
        <v> </v>
      </c>
      <c r="J2081" s="26" t="str">
        <f>IF(OR(E2081="",E2081="!!!",F2081="NEW"),"",COUNTBLANK(OFFSET(A$1,,,SUMPRODUCT(MAX(ROW(E$2:E2081)*(E2081=E$2:E2081)))))-COUNTBLANK(OFFSET(A$1,,,SUMPRODUCT(MAX(ROW(E$1:E2080)*(E2=E$1:E2080))))))</f>
        <v> </v>
      </c>
      <c r="K2081" s="26" t="str">
        <f>IF(OR(E2081="",E2081="!!!",F2081="NEW"),"",INDEX(J$1:J2080,SUMPRODUCT(MAX(ROW(E$1:E2080)*(E2081=E$1:E2080)))))</f>
        <v> </v>
      </c>
      <c r="L2081" s="27"/>
    </row>
    <row r="2082" spans="1:12">
      <c r="A2082" s="20" t="s">
        <v>1707</v>
      </c>
      <c r="E2082" s="22">
        <f>IF(D2082="?OLD","!!!","")</f>
        <v/>
      </c>
      <c r="F2082" s="23" t="str">
        <f>IF(OR(E2082="",E2082="!!!"),"",IF(NOT(ISNA(VLOOKUP(E2082,E$1:E2081,1,FALSE()))),"OLD",IF(AND(E2082&lt;&gt;"",E2082&lt;&gt;"!!!"),"NEW","")))</f>
        <v> </v>
      </c>
      <c r="G2082" s="24" t="str">
        <f>IF(OR(E2082="",E2082="!!!"),"",IF(OR(J2082=0,AND(J2082=1,K2082=1),AND(J2082=1,I2082="SBJ"),AND(J2082=1,I2082=0)),"?IN_FOCUS",IF(J2082&lt;=2,"?ACTIVATED",IF(J2082&lt;&gt;"","?FAMILIAR",IF(F2082="NEW",IF(ISNA(VLOOKUP(E2082,#REF!,1,FALSE())),"?TYPE_IDENTIFIABLE","?REFERENTIAL"),"_")))))</f>
        <v> </v>
      </c>
      <c r="H2082" s="25" t="str">
        <f>IF(J2082&lt;&gt;1,"",IF(I2082="SBJ","CB","?"))</f>
        <v> </v>
      </c>
      <c r="I2082" s="26" t="str">
        <f>IF(OR(E2082="",E2082="!!!",F2082="NEW"),"",INDEX(B2081:B$2,-1+SUMPRODUCT(MAX(ROW(E2081:E$2)*(E2082=E2081:E$2)))))</f>
        <v> </v>
      </c>
      <c r="J2082" s="26" t="str">
        <f>IF(OR(E2082="",E2082="!!!",F2082="NEW"),"",COUNTBLANK(OFFSET(A$1,,,SUMPRODUCT(MAX(ROW(E$2:E2082)*(E2082=E$2:E2082)))))-COUNTBLANK(OFFSET(A$1,,,SUMPRODUCT(MAX(ROW(E$1:E2081)*(E2=E$1:E2081))))))</f>
        <v> </v>
      </c>
      <c r="K2082" s="26" t="str">
        <f>IF(OR(E2082="",E2082="!!!",F2082="NEW"),"",INDEX(J$1:J2081,SUMPRODUCT(MAX(ROW(E$1:E2081)*(E2082=E$1:E2081)))))</f>
        <v> </v>
      </c>
      <c r="L2082" s="27"/>
    </row>
    <row r="2083" spans="1:12">
      <c r="A2083" s="20" t="s">
        <v>1023</v>
      </c>
      <c r="E2083" s="22">
        <f>IF(D2083="?OLD","!!!","")</f>
        <v/>
      </c>
      <c r="F2083" s="23" t="str">
        <f>IF(OR(E2083="",E2083="!!!"),"",IF(NOT(ISNA(VLOOKUP(E2083,E$1:E2082,1,FALSE()))),"OLD",IF(AND(E2083&lt;&gt;"",E2083&lt;&gt;"!!!"),"NEW","")))</f>
        <v> </v>
      </c>
      <c r="G2083" s="24" t="str">
        <f>IF(OR(E2083="",E2083="!!!"),"",IF(OR(J2083=0,AND(J2083=1,K2083=1),AND(J2083=1,I2083="SBJ"),AND(J2083=1,I2083=0)),"?IN_FOCUS",IF(J2083&lt;=2,"?ACTIVATED",IF(J2083&lt;&gt;"","?FAMILIAR",IF(F2083="NEW",IF(ISNA(VLOOKUP(E2083,#REF!,1,FALSE())),"?TYPE_IDENTIFIABLE","?REFERENTIAL"),"_")))))</f>
        <v> </v>
      </c>
      <c r="H2083" s="25" t="str">
        <f>IF(J2083&lt;&gt;1,"",IF(I2083="SBJ","CB","?"))</f>
        <v> </v>
      </c>
      <c r="I2083" s="26" t="str">
        <f>IF(OR(E2083="",E2083="!!!",F2083="NEW"),"",INDEX(B2082:B$2,-1+SUMPRODUCT(MAX(ROW(E2082:E$2)*(E2083=E2082:E$2)))))</f>
        <v> </v>
      </c>
      <c r="J2083" s="26" t="str">
        <f>IF(OR(E2083="",E2083="!!!",F2083="NEW"),"",COUNTBLANK(OFFSET(A$1,,,SUMPRODUCT(MAX(ROW(E$2:E2083)*(E2083=E$2:E2083)))))-COUNTBLANK(OFFSET(A$1,,,SUMPRODUCT(MAX(ROW(E$1:E2082)*(E2=E$1:E2082))))))</f>
        <v> </v>
      </c>
      <c r="K2083" s="26" t="str">
        <f>IF(OR(E2083="",E2083="!!!",F2083="NEW"),"",INDEX(J$1:J2082,SUMPRODUCT(MAX(ROW(E$1:E2082)*(E2083=E$1:E2082)))))</f>
        <v> </v>
      </c>
      <c r="L2083" s="27"/>
    </row>
    <row r="2084" spans="1:12">
      <c r="A2084" s="20"/>
    </row>
    <row r="2085" spans="1:12">
      <c r="A2085" s="20" t="s">
        <v>1708</v>
      </c>
    </row>
    <row r="2086" spans="1:12">
      <c r="A2086" s="20" t="s">
        <v>11</v>
      </c>
      <c r="E2086" s="22">
        <f>IF(D2086="?OLD","!!!","")</f>
        <v/>
      </c>
      <c r="F2086" s="23" t="str">
        <f>IF(OR(E2086="",E2086="!!!"),"",IF(NOT(ISNA(VLOOKUP(E2086,E$1:E2085,1,FALSE()))),"OLD",IF(AND(E2086&lt;&gt;"",E2086&lt;&gt;"!!!"),"NEW","")))</f>
        <v> </v>
      </c>
      <c r="G2086" s="24" t="str">
        <f>IF(OR(E2086="",E2086="!!!"),"",IF(OR(J2086=0,AND(J2086=1,K2086=1),AND(J2086=1,I2086="SBJ"),AND(J2086=1,I2086=0)),"?IN_FOCUS",IF(J2086&lt;=2,"?ACTIVATED",IF(J2086&lt;&gt;"","?FAMILIAR",IF(F2086="NEW",IF(ISNA(VLOOKUP(E2086,#REF!,1,FALSE())),"?TYPE_IDENTIFIABLE","?REFERENTIAL"),"_")))))</f>
        <v> </v>
      </c>
      <c r="H2086" s="25" t="str">
        <f>IF(J2086&lt;&gt;1,"",IF(I2086="SBJ","CB","?"))</f>
        <v> </v>
      </c>
      <c r="I2086" s="26" t="str">
        <f>IF(OR(E2086="",E2086="!!!",F2086="NEW"),"",INDEX(B2085:B$2,-1+SUMPRODUCT(MAX(ROW(E2085:E$2)*(E2086=E2085:E$2)))))</f>
        <v> </v>
      </c>
      <c r="J2086" s="26" t="str">
        <f>IF(OR(E2086="",E2086="!!!",F2086="NEW"),"",COUNTBLANK(OFFSET(A$1,,,SUMPRODUCT(MAX(ROW(E$2:E2086)*(E2086=E$2:E2086)))))-COUNTBLANK(OFFSET(A$1,,,SUMPRODUCT(MAX(ROW(E$1:E2085)*(E2=E$1:E2085))))))</f>
        <v> </v>
      </c>
      <c r="K2086" s="26" t="str">
        <f>IF(OR(E2086="",E2086="!!!",F2086="NEW"),"",INDEX(J$1:J2085,SUMPRODUCT(MAX(ROW(E$1:E2085)*(E2086=E$1:E2085)))))</f>
        <v> </v>
      </c>
      <c r="L2086" s="27"/>
    </row>
    <row r="2087" spans="1:12">
      <c r="A2087" s="20" t="s">
        <v>303</v>
      </c>
      <c r="B2087" s="21" t="s">
        <v>1050</v>
      </c>
      <c r="C2087" s="21" t="s">
        <v>1006</v>
      </c>
      <c r="D2087" s="21" t="s">
        <v>1007</v>
      </c>
      <c r="E2087" s="22">
        <f>IF(D2087="?OLD","!!!","")</f>
        <v/>
      </c>
      <c r="F2087" s="23" t="str">
        <f>IF(OR(E2087="",E2087="!!!"),"",IF(NOT(ISNA(VLOOKUP(E2087,E$1:E2086,1,FALSE()))),"OLD",IF(AND(E2087&lt;&gt;"",E2087&lt;&gt;"!!!"),"NEW","")))</f>
        <v> </v>
      </c>
      <c r="G2087" s="24" t="str">
        <f>IF(OR(E2087="",E2087="!!!"),"",IF(OR(J2087=0,AND(J2087=1,K2087=1),AND(J2087=1,I2087="SBJ"),AND(J2087=1,I2087=0)),"?IN_FOCUS",IF(J2087&lt;=2,"?ACTIVATED",IF(J2087&lt;&gt;"","?FAMILIAR",IF(F2087="NEW",IF(ISNA(VLOOKUP(E2087,#REF!,1,FALSE())),"?TYPE_IDENTIFIABLE","?REFERENTIAL"),"_")))))</f>
        <v> </v>
      </c>
      <c r="H2087" s="25" t="str">
        <f>IF(J2087&lt;&gt;1,"",IF(I2087="SBJ","CB","?"))</f>
        <v> </v>
      </c>
      <c r="I2087" s="26" t="str">
        <f>IF(OR(E2087="",E2087="!!!",F2087="NEW"),"",INDEX(B2086:B$2,-1+SUMPRODUCT(MAX(ROW(E2086:E$2)*(E2087=E2086:E$2)))))</f>
        <v> </v>
      </c>
      <c r="J2087" s="26" t="str">
        <f>IF(OR(E2087="",E2087="!!!",F2087="NEW"),"",COUNTBLANK(OFFSET(A$1,,,SUMPRODUCT(MAX(ROW(E$2:E2087)*(E2087=E$2:E2087)))))-COUNTBLANK(OFFSET(A$1,,,SUMPRODUCT(MAX(ROW(E$1:E2086)*(E2=E$1:E2086))))))</f>
        <v> </v>
      </c>
      <c r="K2087" s="26" t="str">
        <f>IF(OR(E2087="",E2087="!!!",F2087="NEW"),"",INDEX(J$1:J2086,SUMPRODUCT(MAX(ROW(E$1:E2086)*(E2087=E$1:E2086)))))</f>
        <v> </v>
      </c>
      <c r="L2087" s="27"/>
    </row>
    <row r="2088" spans="1:12">
      <c r="A2088" s="20" t="s">
        <v>1698</v>
      </c>
      <c r="B2088" s="21" t="s">
        <v>1022</v>
      </c>
      <c r="C2088" s="21" t="s">
        <v>1006</v>
      </c>
      <c r="D2088" s="21" t="s">
        <v>1007</v>
      </c>
      <c r="E2088" s="22">
        <f>IF(D2088="?OLD","!!!","")</f>
        <v/>
      </c>
      <c r="F2088" s="23" t="str">
        <f>IF(OR(E2088="",E2088="!!!"),"",IF(NOT(ISNA(VLOOKUP(E2088,E$1:E2087,1,FALSE()))),"OLD",IF(AND(E2088&lt;&gt;"",E2088&lt;&gt;"!!!"),"NEW","")))</f>
        <v> </v>
      </c>
      <c r="G2088" s="24" t="str">
        <f>IF(OR(E2088="",E2088="!!!"),"",IF(OR(J2088=0,AND(J2088=1,K2088=1),AND(J2088=1,I2088="SBJ"),AND(J2088=1,I2088=0)),"?IN_FOCUS",IF(J2088&lt;=2,"?ACTIVATED",IF(J2088&lt;&gt;"","?FAMILIAR",IF(F2088="NEW",IF(ISNA(VLOOKUP(E2088,#REF!,1,FALSE())),"?TYPE_IDENTIFIABLE","?REFERENTIAL"),"_")))))</f>
        <v> </v>
      </c>
      <c r="H2088" s="25" t="str">
        <f>IF(J2088&lt;&gt;1,"",IF(I2088="SBJ","CB","?"))</f>
        <v> </v>
      </c>
      <c r="I2088" s="26" t="str">
        <f>IF(OR(E2088="",E2088="!!!",F2088="NEW"),"",INDEX(B2087:B$2,-1+SUMPRODUCT(MAX(ROW(E2087:E$2)*(E2088=E2087:E$2)))))</f>
        <v> </v>
      </c>
      <c r="J2088" s="26" t="str">
        <f>IF(OR(E2088="",E2088="!!!",F2088="NEW"),"",COUNTBLANK(OFFSET(A$1,,,SUMPRODUCT(MAX(ROW(E$2:E2088)*(E2088=E$2:E2088)))))-COUNTBLANK(OFFSET(A$1,,,SUMPRODUCT(MAX(ROW(E$1:E2087)*(E2=E$1:E2087))))))</f>
        <v> </v>
      </c>
      <c r="K2088" s="26" t="str">
        <f>IF(OR(E2088="",E2088="!!!",F2088="NEW"),"",INDEX(J$1:J2087,SUMPRODUCT(MAX(ROW(E$1:E2087)*(E2088=E$1:E2087)))))</f>
        <v> </v>
      </c>
      <c r="L2088" s="27"/>
    </row>
    <row r="2089" spans="1:12">
      <c r="A2089" s="20" t="s">
        <v>1075</v>
      </c>
      <c r="E2089" s="22">
        <f>IF(D2089="?OLD","!!!","")</f>
        <v/>
      </c>
      <c r="F2089" s="23" t="str">
        <f>IF(OR(E2089="",E2089="!!!"),"",IF(NOT(ISNA(VLOOKUP(E2089,E$1:E2088,1,FALSE()))),"OLD",IF(AND(E2089&lt;&gt;"",E2089&lt;&gt;"!!!"),"NEW","")))</f>
        <v> </v>
      </c>
      <c r="G2089" s="24" t="str">
        <f>IF(OR(E2089="",E2089="!!!"),"",IF(OR(J2089=0,AND(J2089=1,K2089=1),AND(J2089=1,I2089="SBJ"),AND(J2089=1,I2089=0)),"?IN_FOCUS",IF(J2089&lt;=2,"?ACTIVATED",IF(J2089&lt;&gt;"","?FAMILIAR",IF(F2089="NEW",IF(ISNA(VLOOKUP(E2089,#REF!,1,FALSE())),"?TYPE_IDENTIFIABLE","?REFERENTIAL"),"_")))))</f>
        <v> </v>
      </c>
      <c r="H2089" s="25" t="str">
        <f>IF(J2089&lt;&gt;1,"",IF(I2089="SBJ","CB","?"))</f>
        <v> </v>
      </c>
      <c r="I2089" s="26" t="str">
        <f>IF(OR(E2089="",E2089="!!!",F2089="NEW"),"",INDEX(B2088:B$2,-1+SUMPRODUCT(MAX(ROW(E2088:E$2)*(E2089=E2088:E$2)))))</f>
        <v> </v>
      </c>
      <c r="J2089" s="26" t="str">
        <f>IF(OR(E2089="",E2089="!!!",F2089="NEW"),"",COUNTBLANK(OFFSET(A$1,,,SUMPRODUCT(MAX(ROW(E$2:E2089)*(E2089=E$2:E2089)))))-COUNTBLANK(OFFSET(A$1,,,SUMPRODUCT(MAX(ROW(E$1:E2088)*(E2=E$1:E2088))))))</f>
        <v> </v>
      </c>
      <c r="K2089" s="26" t="str">
        <f>IF(OR(E2089="",E2089="!!!",F2089="NEW"),"",INDEX(J$1:J2088,SUMPRODUCT(MAX(ROW(E$1:E2088)*(E2089=E$1:E2088)))))</f>
        <v> </v>
      </c>
      <c r="L2089" s="27"/>
    </row>
    <row r="2090" spans="1:12">
      <c r="A2090" s="20" t="s">
        <v>1056</v>
      </c>
      <c r="E2090" s="22">
        <f>IF(D2090="?OLD","!!!","")</f>
        <v/>
      </c>
      <c r="F2090" s="23" t="str">
        <f>IF(OR(E2090="",E2090="!!!"),"",IF(NOT(ISNA(VLOOKUP(E2090,E$1:E2089,1,FALSE()))),"OLD",IF(AND(E2090&lt;&gt;"",E2090&lt;&gt;"!!!"),"NEW","")))</f>
        <v> </v>
      </c>
      <c r="G2090" s="24" t="str">
        <f>IF(OR(E2090="",E2090="!!!"),"",IF(OR(J2090=0,AND(J2090=1,K2090=1),AND(J2090=1,I2090="SBJ"),AND(J2090=1,I2090=0)),"?IN_FOCUS",IF(J2090&lt;=2,"?ACTIVATED",IF(J2090&lt;&gt;"","?FAMILIAR",IF(F2090="NEW",IF(ISNA(VLOOKUP(E2090,#REF!,1,FALSE())),"?TYPE_IDENTIFIABLE","?REFERENTIAL"),"_")))))</f>
        <v> </v>
      </c>
      <c r="H2090" s="25" t="str">
        <f>IF(J2090&lt;&gt;1,"",IF(I2090="SBJ","CB","?"))</f>
        <v> </v>
      </c>
      <c r="I2090" s="26" t="str">
        <f>IF(OR(E2090="",E2090="!!!",F2090="NEW"),"",INDEX(B2089:B$2,-1+SUMPRODUCT(MAX(ROW(E2089:E$2)*(E2090=E2089:E$2)))))</f>
        <v> </v>
      </c>
      <c r="J2090" s="26" t="str">
        <f>IF(OR(E2090="",E2090="!!!",F2090="NEW"),"",COUNTBLANK(OFFSET(A$1,,,SUMPRODUCT(MAX(ROW(E$2:E2090)*(E2090=E$2:E2090)))))-COUNTBLANK(OFFSET(A$1,,,SUMPRODUCT(MAX(ROW(E$1:E2089)*(E2=E$1:E2089))))))</f>
        <v> </v>
      </c>
      <c r="K2090" s="26" t="str">
        <f>IF(OR(E2090="",E2090="!!!",F2090="NEW"),"",INDEX(J$1:J2089,SUMPRODUCT(MAX(ROW(E$1:E2089)*(E2090=E$1:E2089)))))</f>
        <v> </v>
      </c>
      <c r="L2090" s="27"/>
    </row>
    <row r="2091" spans="1:12">
      <c r="A2091" s="20" t="s">
        <v>1391</v>
      </c>
      <c r="B2091" s="21" t="s">
        <v>1005</v>
      </c>
      <c r="C2091" s="21" t="s">
        <v>1111</v>
      </c>
      <c r="E2091" s="22">
        <f>IF(D2091="?OLD","!!!","")</f>
        <v/>
      </c>
      <c r="F2091" s="23" t="str">
        <f>IF(OR(E2091="",E2091="!!!"),"",IF(NOT(ISNA(VLOOKUP(E2091,E$1:E2090,1,FALSE()))),"OLD",IF(AND(E2091&lt;&gt;"",E2091&lt;&gt;"!!!"),"NEW","")))</f>
        <v> </v>
      </c>
      <c r="G2091" s="24" t="str">
        <f>IF(OR(E2091="",E2091="!!!"),"",IF(OR(J2091=0,AND(J2091=1,K2091=1),AND(J2091=1,I2091="SBJ"),AND(J2091=1,I2091=0)),"?IN_FOCUS",IF(J2091&lt;=2,"?ACTIVATED",IF(J2091&lt;&gt;"","?FAMILIAR",IF(F2091="NEW",IF(ISNA(VLOOKUP(E2091,#REF!,1,FALSE())),"?TYPE_IDENTIFIABLE","?REFERENTIAL"),"_")))))</f>
        <v> </v>
      </c>
      <c r="H2091" s="25" t="str">
        <f>IF(J2091&lt;&gt;1,"",IF(I2091="SBJ","CB","?"))</f>
        <v> </v>
      </c>
      <c r="I2091" s="26" t="str">
        <f>IF(OR(E2091="",E2091="!!!",F2091="NEW"),"",INDEX(B2090:B$2,-1+SUMPRODUCT(MAX(ROW(E2090:E$2)*(E2091=E2090:E$2)))))</f>
        <v> </v>
      </c>
      <c r="J2091" s="26" t="str">
        <f>IF(OR(E2091="",E2091="!!!",F2091="NEW"),"",COUNTBLANK(OFFSET(A$1,,,SUMPRODUCT(MAX(ROW(E$2:E2091)*(E2091=E$2:E2091)))))-COUNTBLANK(OFFSET(A$1,,,SUMPRODUCT(MAX(ROW(E$1:E2090)*(E2=E$1:E2090))))))</f>
        <v> </v>
      </c>
      <c r="K2091" s="26" t="str">
        <f>IF(OR(E2091="",E2091="!!!",F2091="NEW"),"",INDEX(J$1:J2090,SUMPRODUCT(MAX(ROW(E$1:E2090)*(E2091=E$1:E2090)))))</f>
        <v> </v>
      </c>
      <c r="L2091" s="27"/>
    </row>
    <row r="2092" spans="1:12">
      <c r="A2092" s="20" t="s">
        <v>1065</v>
      </c>
      <c r="B2092" s="21" t="s">
        <v>1029</v>
      </c>
      <c r="E2092" s="22">
        <f>IF(D2092="?OLD","!!!","")</f>
        <v/>
      </c>
      <c r="F2092" s="23" t="str">
        <f>IF(OR(E2092="",E2092="!!!"),"",IF(NOT(ISNA(VLOOKUP(E2092,E$1:E2091,1,FALSE()))),"OLD",IF(AND(E2092&lt;&gt;"",E2092&lt;&gt;"!!!"),"NEW","")))</f>
        <v> </v>
      </c>
      <c r="G2092" s="24" t="str">
        <f>IF(OR(E2092="",E2092="!!!"),"",IF(OR(J2092=0,AND(J2092=1,K2092=1),AND(J2092=1,I2092="SBJ"),AND(J2092=1,I2092=0)),"?IN_FOCUS",IF(J2092&lt;=2,"?ACTIVATED",IF(J2092&lt;&gt;"","?FAMILIAR",IF(F2092="NEW",IF(ISNA(VLOOKUP(E2092,#REF!,1,FALSE())),"?TYPE_IDENTIFIABLE","?REFERENTIAL"),"_")))))</f>
        <v> </v>
      </c>
      <c r="H2092" s="25" t="str">
        <f>IF(J2092&lt;&gt;1,"",IF(I2092="SBJ","CB","?"))</f>
        <v> </v>
      </c>
      <c r="I2092" s="26" t="str">
        <f>IF(OR(E2092="",E2092="!!!",F2092="NEW"),"",INDEX(B2091:B$2,-1+SUMPRODUCT(MAX(ROW(E2091:E$2)*(E2092=E2091:E$2)))))</f>
        <v> </v>
      </c>
      <c r="J2092" s="26" t="str">
        <f>IF(OR(E2092="",E2092="!!!",F2092="NEW"),"",COUNTBLANK(OFFSET(A$1,,,SUMPRODUCT(MAX(ROW(E$2:E2092)*(E2092=E$2:E2092)))))-COUNTBLANK(OFFSET(A$1,,,SUMPRODUCT(MAX(ROW(E$1:E2091)*(E2=E$1:E2091))))))</f>
        <v> </v>
      </c>
      <c r="K2092" s="26" t="str">
        <f>IF(OR(E2092="",E2092="!!!",F2092="NEW"),"",INDEX(J$1:J2091,SUMPRODUCT(MAX(ROW(E$1:E2091)*(E2092=E$1:E2091)))))</f>
        <v> </v>
      </c>
      <c r="L2092" s="27"/>
    </row>
    <row r="2093" spans="1:12">
      <c r="A2093" s="20" t="s">
        <v>1020</v>
      </c>
      <c r="E2093" s="22">
        <f>IF(D2093="?OLD","!!!","")</f>
        <v/>
      </c>
      <c r="F2093" s="23" t="str">
        <f>IF(OR(E2093="",E2093="!!!"),"",IF(NOT(ISNA(VLOOKUP(E2093,E$1:E2092,1,FALSE()))),"OLD",IF(AND(E2093&lt;&gt;"",E2093&lt;&gt;"!!!"),"NEW","")))</f>
        <v> </v>
      </c>
      <c r="G2093" s="24" t="str">
        <f>IF(OR(E2093="",E2093="!!!"),"",IF(OR(J2093=0,AND(J2093=1,K2093=1),AND(J2093=1,I2093="SBJ"),AND(J2093=1,I2093=0)),"?IN_FOCUS",IF(J2093&lt;=2,"?ACTIVATED",IF(J2093&lt;&gt;"","?FAMILIAR",IF(F2093="NEW",IF(ISNA(VLOOKUP(E2093,#REF!,1,FALSE())),"?TYPE_IDENTIFIABLE","?REFERENTIAL"),"_")))))</f>
        <v> </v>
      </c>
      <c r="H2093" s="25" t="str">
        <f>IF(J2093&lt;&gt;1,"",IF(I2093="SBJ","CB","?"))</f>
        <v> </v>
      </c>
      <c r="I2093" s="26" t="str">
        <f>IF(OR(E2093="",E2093="!!!",F2093="NEW"),"",INDEX(B2092:B$2,-1+SUMPRODUCT(MAX(ROW(E2092:E$2)*(E2093=E2092:E$2)))))</f>
        <v> </v>
      </c>
      <c r="J2093" s="26" t="str">
        <f>IF(OR(E2093="",E2093="!!!",F2093="NEW"),"",COUNTBLANK(OFFSET(A$1,,,SUMPRODUCT(MAX(ROW(E$2:E2093)*(E2093=E$2:E2093)))))-COUNTBLANK(OFFSET(A$1,,,SUMPRODUCT(MAX(ROW(E$1:E2092)*(E2=E$1:E2092))))))</f>
        <v> </v>
      </c>
      <c r="K2093" s="26" t="str">
        <f>IF(OR(E2093="",E2093="!!!",F2093="NEW"),"",INDEX(J$1:J2092,SUMPRODUCT(MAX(ROW(E$1:E2092)*(E2093=E$1:E2092)))))</f>
        <v> </v>
      </c>
      <c r="L2093" s="27"/>
    </row>
    <row r="2094" spans="1:12">
      <c r="A2094" s="20" t="s">
        <v>1211</v>
      </c>
      <c r="B2094" s="21" t="s">
        <v>1119</v>
      </c>
      <c r="C2094" s="21" t="s">
        <v>1006</v>
      </c>
      <c r="D2094" s="21" t="s">
        <v>1007</v>
      </c>
      <c r="E2094" s="22">
        <f>IF(D2094="?OLD","!!!","")</f>
        <v/>
      </c>
      <c r="F2094" s="23" t="str">
        <f>IF(OR(E2094="",E2094="!!!"),"",IF(NOT(ISNA(VLOOKUP(E2094,E$1:E2093,1,FALSE()))),"OLD",IF(AND(E2094&lt;&gt;"",E2094&lt;&gt;"!!!"),"NEW","")))</f>
        <v> </v>
      </c>
      <c r="G2094" s="24" t="str">
        <f>IF(OR(E2094="",E2094="!!!"),"",IF(OR(J2094=0,AND(J2094=1,K2094=1),AND(J2094=1,I2094="SBJ"),AND(J2094=1,I2094=0)),"?IN_FOCUS",IF(J2094&lt;=2,"?ACTIVATED",IF(J2094&lt;&gt;"","?FAMILIAR",IF(F2094="NEW",IF(ISNA(VLOOKUP(E2094,#REF!,1,FALSE())),"?TYPE_IDENTIFIABLE","?REFERENTIAL"),"_")))))</f>
        <v> </v>
      </c>
      <c r="H2094" s="25" t="str">
        <f>IF(J2094&lt;&gt;1,"",IF(I2094="SBJ","CB","?"))</f>
        <v> </v>
      </c>
      <c r="I2094" s="26" t="str">
        <f>IF(OR(E2094="",E2094="!!!",F2094="NEW"),"",INDEX(B2093:B$2,-1+SUMPRODUCT(MAX(ROW(E2093:E$2)*(E2094=E2093:E$2)))))</f>
        <v> </v>
      </c>
      <c r="J2094" s="26" t="str">
        <f>IF(OR(E2094="",E2094="!!!",F2094="NEW"),"",COUNTBLANK(OFFSET(A$1,,,SUMPRODUCT(MAX(ROW(E$2:E2094)*(E2094=E$2:E2094)))))-COUNTBLANK(OFFSET(A$1,,,SUMPRODUCT(MAX(ROW(E$1:E2093)*(E2=E$1:E2093))))))</f>
        <v> </v>
      </c>
      <c r="K2094" s="26" t="str">
        <f>IF(OR(E2094="",E2094="!!!",F2094="NEW"),"",INDEX(J$1:J2093,SUMPRODUCT(MAX(ROW(E$1:E2093)*(E2094=E$1:E2093)))))</f>
        <v> </v>
      </c>
      <c r="L2094" s="27"/>
    </row>
    <row r="2095" spans="1:12">
      <c r="A2095" s="20" t="s">
        <v>1709</v>
      </c>
      <c r="E2095" s="22">
        <f>IF(D2095="?OLD","!!!","")</f>
        <v/>
      </c>
      <c r="F2095" s="23" t="str">
        <f>IF(OR(E2095="",E2095="!!!"),"",IF(NOT(ISNA(VLOOKUP(E2095,E$1:E2094,1,FALSE()))),"OLD",IF(AND(E2095&lt;&gt;"",E2095&lt;&gt;"!!!"),"NEW","")))</f>
        <v> </v>
      </c>
      <c r="G2095" s="24" t="str">
        <f>IF(OR(E2095="",E2095="!!!"),"",IF(OR(J2095=0,AND(J2095=1,K2095=1),AND(J2095=1,I2095="SBJ"),AND(J2095=1,I2095=0)),"?IN_FOCUS",IF(J2095&lt;=2,"?ACTIVATED",IF(J2095&lt;&gt;"","?FAMILIAR",IF(F2095="NEW",IF(ISNA(VLOOKUP(E2095,#REF!,1,FALSE())),"?TYPE_IDENTIFIABLE","?REFERENTIAL"),"_")))))</f>
        <v> </v>
      </c>
      <c r="H2095" s="25" t="str">
        <f>IF(J2095&lt;&gt;1,"",IF(I2095="SBJ","CB","?"))</f>
        <v> </v>
      </c>
      <c r="I2095" s="26" t="str">
        <f>IF(OR(E2095="",E2095="!!!",F2095="NEW"),"",INDEX(B2094:B$2,-1+SUMPRODUCT(MAX(ROW(E2094:E$2)*(E2095=E2094:E$2)))))</f>
        <v> </v>
      </c>
      <c r="J2095" s="26" t="str">
        <f>IF(OR(E2095="",E2095="!!!",F2095="NEW"),"",COUNTBLANK(OFFSET(A$1,,,SUMPRODUCT(MAX(ROW(E$2:E2095)*(E2095=E$2:E2095)))))-COUNTBLANK(OFFSET(A$1,,,SUMPRODUCT(MAX(ROW(E$1:E2094)*(E2=E$1:E2094))))))</f>
        <v> </v>
      </c>
      <c r="K2095" s="26" t="str">
        <f>IF(OR(E2095="",E2095="!!!",F2095="NEW"),"",INDEX(J$1:J2094,SUMPRODUCT(MAX(ROW(E$1:E2094)*(E2095=E$1:E2094)))))</f>
        <v> </v>
      </c>
      <c r="L2095" s="27"/>
    </row>
    <row r="2096" spans="1:12">
      <c r="A2096" s="20" t="s">
        <v>1014</v>
      </c>
      <c r="E2096" s="22">
        <f>IF(D2096="?OLD","!!!","")</f>
        <v/>
      </c>
      <c r="F2096" s="23" t="str">
        <f>IF(OR(E2096="",E2096="!!!"),"",IF(NOT(ISNA(VLOOKUP(E2096,E$1:E2095,1,FALSE()))),"OLD",IF(AND(E2096&lt;&gt;"",E2096&lt;&gt;"!!!"),"NEW","")))</f>
        <v> </v>
      </c>
      <c r="G2096" s="24" t="str">
        <f>IF(OR(E2096="",E2096="!!!"),"",IF(OR(J2096=0,AND(J2096=1,K2096=1),AND(J2096=1,I2096="SBJ"),AND(J2096=1,I2096=0)),"?IN_FOCUS",IF(J2096&lt;=2,"?ACTIVATED",IF(J2096&lt;&gt;"","?FAMILIAR",IF(F2096="NEW",IF(ISNA(VLOOKUP(E2096,#REF!,1,FALSE())),"?TYPE_IDENTIFIABLE","?REFERENTIAL"),"_")))))</f>
        <v> </v>
      </c>
      <c r="H2096" s="25" t="str">
        <f>IF(J2096&lt;&gt;1,"",IF(I2096="SBJ","CB","?"))</f>
        <v> </v>
      </c>
      <c r="I2096" s="26" t="str">
        <f>IF(OR(E2096="",E2096="!!!",F2096="NEW"),"",INDEX(B2095:B$2,-1+SUMPRODUCT(MAX(ROW(E2095:E$2)*(E2096=E2095:E$2)))))</f>
        <v> </v>
      </c>
      <c r="J2096" s="26" t="str">
        <f>IF(OR(E2096="",E2096="!!!",F2096="NEW"),"",COUNTBLANK(OFFSET(A$1,,,SUMPRODUCT(MAX(ROW(E$2:E2096)*(E2096=E$2:E2096)))))-COUNTBLANK(OFFSET(A$1,,,SUMPRODUCT(MAX(ROW(E$1:E2095)*(E2=E$1:E2095))))))</f>
        <v> </v>
      </c>
      <c r="K2096" s="26" t="str">
        <f>IF(OR(E2096="",E2096="!!!",F2096="NEW"),"",INDEX(J$1:J2095,SUMPRODUCT(MAX(ROW(E$1:E2095)*(E2096=E$1:E2095)))))</f>
        <v> </v>
      </c>
      <c r="L2096" s="27"/>
    </row>
    <row r="2097" spans="1:12">
      <c r="A2097" s="20" t="s">
        <v>102</v>
      </c>
      <c r="E2097" s="22">
        <f>IF(D2097="?OLD","!!!","")</f>
        <v/>
      </c>
      <c r="F2097" s="23" t="str">
        <f>IF(OR(E2097="",E2097="!!!"),"",IF(NOT(ISNA(VLOOKUP(E2097,E$1:E2096,1,FALSE()))),"OLD",IF(AND(E2097&lt;&gt;"",E2097&lt;&gt;"!!!"),"NEW","")))</f>
        <v> </v>
      </c>
      <c r="G2097" s="24" t="str">
        <f>IF(OR(E2097="",E2097="!!!"),"",IF(OR(J2097=0,AND(J2097=1,K2097=1),AND(J2097=1,I2097="SBJ"),AND(J2097=1,I2097=0)),"?IN_FOCUS",IF(J2097&lt;=2,"?ACTIVATED",IF(J2097&lt;&gt;"","?FAMILIAR",IF(F2097="NEW",IF(ISNA(VLOOKUP(E2097,#REF!,1,FALSE())),"?TYPE_IDENTIFIABLE","?REFERENTIAL"),"_")))))</f>
        <v> </v>
      </c>
      <c r="H2097" s="25" t="str">
        <f>IF(J2097&lt;&gt;1,"",IF(I2097="SBJ","CB","?"))</f>
        <v> </v>
      </c>
      <c r="I2097" s="26" t="str">
        <f>IF(OR(E2097="",E2097="!!!",F2097="NEW"),"",INDEX(B2096:B$2,-1+SUMPRODUCT(MAX(ROW(E2096:E$2)*(E2097=E2096:E$2)))))</f>
        <v> </v>
      </c>
      <c r="J2097" s="26" t="str">
        <f>IF(OR(E2097="",E2097="!!!",F2097="NEW"),"",COUNTBLANK(OFFSET(A$1,,,SUMPRODUCT(MAX(ROW(E$2:E2097)*(E2097=E$2:E2097)))))-COUNTBLANK(OFFSET(A$1,,,SUMPRODUCT(MAX(ROW(E$1:E2096)*(E2=E$1:E2096))))))</f>
        <v> </v>
      </c>
      <c r="K2097" s="26" t="str">
        <f>IF(OR(E2097="",E2097="!!!",F2097="NEW"),"",INDEX(J$1:J2096,SUMPRODUCT(MAX(ROW(E$1:E2096)*(E2097=E$1:E2096)))))</f>
        <v> </v>
      </c>
      <c r="L2097" s="27"/>
    </row>
    <row r="2098" spans="1:12">
      <c r="A2098" s="20" t="s">
        <v>576</v>
      </c>
      <c r="B2098" s="21" t="s">
        <v>1022</v>
      </c>
      <c r="C2098" s="21" t="s">
        <v>1017</v>
      </c>
      <c r="D2098" s="21" t="s">
        <v>1007</v>
      </c>
      <c r="E2098" s="22">
        <f>IF(D2098="?OLD","!!!","")</f>
        <v/>
      </c>
      <c r="F2098" s="23" t="str">
        <f>IF(OR(E2098="",E2098="!!!"),"",IF(NOT(ISNA(VLOOKUP(E2098,E$1:E2097,1,FALSE()))),"OLD",IF(AND(E2098&lt;&gt;"",E2098&lt;&gt;"!!!"),"NEW","")))</f>
        <v> </v>
      </c>
      <c r="G2098" s="24" t="str">
        <f>IF(OR(E2098="",E2098="!!!"),"",IF(OR(J2098=0,AND(J2098=1,K2098=1),AND(J2098=1,I2098="SBJ"),AND(J2098=1,I2098=0)),"?IN_FOCUS",IF(J2098&lt;=2,"?ACTIVATED",IF(J2098&lt;&gt;"","?FAMILIAR",IF(F2098="NEW",IF(ISNA(VLOOKUP(E2098,#REF!,1,FALSE())),"?TYPE_IDENTIFIABLE","?REFERENTIAL"),"_")))))</f>
        <v> </v>
      </c>
      <c r="H2098" s="25" t="str">
        <f>IF(J2098&lt;&gt;1,"",IF(I2098="SBJ","CB","?"))</f>
        <v> </v>
      </c>
      <c r="I2098" s="26" t="str">
        <f>IF(OR(E2098="",E2098="!!!",F2098="NEW"),"",INDEX(B2097:B$2,-1+SUMPRODUCT(MAX(ROW(E2097:E$2)*(E2098=E2097:E$2)))))</f>
        <v> </v>
      </c>
      <c r="J2098" s="26" t="str">
        <f>IF(OR(E2098="",E2098="!!!",F2098="NEW"),"",COUNTBLANK(OFFSET(A$1,,,SUMPRODUCT(MAX(ROW(E$2:E2098)*(E2098=E$2:E2098)))))-COUNTBLANK(OFFSET(A$1,,,SUMPRODUCT(MAX(ROW(E$1:E2097)*(E2=E$1:E2097))))))</f>
        <v> </v>
      </c>
      <c r="K2098" s="26" t="str">
        <f>IF(OR(E2098="",E2098="!!!",F2098="NEW"),"",INDEX(J$1:J2097,SUMPRODUCT(MAX(ROW(E$1:E2097)*(E2098=E$1:E2097)))))</f>
        <v> </v>
      </c>
      <c r="L2098" s="27"/>
    </row>
    <row r="2099" spans="1:12">
      <c r="A2099" s="20" t="s">
        <v>1023</v>
      </c>
      <c r="E2099" s="22">
        <f>IF(D2099="?OLD","!!!","")</f>
        <v/>
      </c>
      <c r="F2099" s="23" t="str">
        <f>IF(OR(E2099="",E2099="!!!"),"",IF(NOT(ISNA(VLOOKUP(E2099,E$1:E2098,1,FALSE()))),"OLD",IF(AND(E2099&lt;&gt;"",E2099&lt;&gt;"!!!"),"NEW","")))</f>
        <v> </v>
      </c>
      <c r="G2099" s="24" t="str">
        <f>IF(OR(E2099="",E2099="!!!"),"",IF(OR(J2099=0,AND(J2099=1,K2099=1),AND(J2099=1,I2099="SBJ"),AND(J2099=1,I2099=0)),"?IN_FOCUS",IF(J2099&lt;=2,"?ACTIVATED",IF(J2099&lt;&gt;"","?FAMILIAR",IF(F2099="NEW",IF(ISNA(VLOOKUP(E2099,#REF!,1,FALSE())),"?TYPE_IDENTIFIABLE","?REFERENTIAL"),"_")))))</f>
        <v> </v>
      </c>
      <c r="H2099" s="25" t="str">
        <f>IF(J2099&lt;&gt;1,"",IF(I2099="SBJ","CB","?"))</f>
        <v> </v>
      </c>
      <c r="I2099" s="26" t="str">
        <f>IF(OR(E2099="",E2099="!!!",F2099="NEW"),"",INDEX(B2098:B$2,-1+SUMPRODUCT(MAX(ROW(E2098:E$2)*(E2099=E2098:E$2)))))</f>
        <v> </v>
      </c>
      <c r="J2099" s="26" t="str">
        <f>IF(OR(E2099="",E2099="!!!",F2099="NEW"),"",COUNTBLANK(OFFSET(A$1,,,SUMPRODUCT(MAX(ROW(E$2:E2099)*(E2099=E$2:E2099)))))-COUNTBLANK(OFFSET(A$1,,,SUMPRODUCT(MAX(ROW(E$1:E2098)*(E2=E$1:E2098))))))</f>
        <v> </v>
      </c>
      <c r="K2099" s="26" t="str">
        <f>IF(OR(E2099="",E2099="!!!",F2099="NEW"),"",INDEX(J$1:J2098,SUMPRODUCT(MAX(ROW(E$1:E2098)*(E2099=E$1:E2098)))))</f>
        <v> </v>
      </c>
      <c r="L2099" s="27"/>
    </row>
    <row r="2100" spans="1:12">
      <c r="A2100" s="20"/>
    </row>
    <row r="2101" spans="1:12">
      <c r="A2101" s="20" t="s">
        <v>1710</v>
      </c>
    </row>
    <row r="2102" spans="1:12">
      <c r="A2102" s="20" t="s">
        <v>11</v>
      </c>
      <c r="E2102" s="22">
        <f>IF(D2102="?OLD","!!!","")</f>
        <v/>
      </c>
      <c r="F2102" s="23" t="str">
        <f>IF(OR(E2102="",E2102="!!!"),"",IF(NOT(ISNA(VLOOKUP(E2102,E$1:E2101,1,FALSE()))),"OLD",IF(AND(E2102&lt;&gt;"",E2102&lt;&gt;"!!!"),"NEW","")))</f>
        <v> </v>
      </c>
      <c r="G2102" s="24" t="str">
        <f>IF(OR(E2102="",E2102="!!!"),"",IF(OR(J2102=0,AND(J2102=1,K2102=1),AND(J2102=1,I2102="SBJ"),AND(J2102=1,I2102=0)),"?IN_FOCUS",IF(J2102&lt;=2,"?ACTIVATED",IF(J2102&lt;&gt;"","?FAMILIAR",IF(F2102="NEW",IF(ISNA(VLOOKUP(E2102,#REF!,1,FALSE())),"?TYPE_IDENTIFIABLE","?REFERENTIAL"),"_")))))</f>
        <v> </v>
      </c>
      <c r="H2102" s="25" t="str">
        <f>IF(J2102&lt;&gt;1,"",IF(I2102="SBJ","CB","?"))</f>
        <v> </v>
      </c>
      <c r="I2102" s="26" t="str">
        <f>IF(OR(E2102="",E2102="!!!",F2102="NEW"),"",INDEX(B2101:B$2,-1+SUMPRODUCT(MAX(ROW(E2101:E$2)*(E2102=E2101:E$2)))))</f>
        <v> </v>
      </c>
      <c r="J2102" s="26" t="str">
        <f>IF(OR(E2102="",E2102="!!!",F2102="NEW"),"",COUNTBLANK(OFFSET(A$1,,,SUMPRODUCT(MAX(ROW(E$2:E2102)*(E2102=E$2:E2102)))))-COUNTBLANK(OFFSET(A$1,,,SUMPRODUCT(MAX(ROW(E$1:E2101)*(E2=E$1:E2101))))))</f>
        <v> </v>
      </c>
      <c r="K2102" s="26" t="str">
        <f>IF(OR(E2102="",E2102="!!!",F2102="NEW"),"",INDEX(J$1:J2101,SUMPRODUCT(MAX(ROW(E$1:E2101)*(E2102=E$1:E2101)))))</f>
        <v> </v>
      </c>
      <c r="L2102" s="27"/>
    </row>
    <row r="2103" spans="1:12">
      <c r="A2103" s="20" t="s">
        <v>576</v>
      </c>
      <c r="B2103" s="21" t="s">
        <v>1050</v>
      </c>
      <c r="C2103" s="21" t="s">
        <v>1017</v>
      </c>
      <c r="D2103" s="21" t="s">
        <v>1007</v>
      </c>
      <c r="E2103" s="22">
        <f>IF(D2103="?OLD","!!!","")</f>
        <v/>
      </c>
      <c r="F2103" s="23" t="str">
        <f>IF(OR(E2103="",E2103="!!!"),"",IF(NOT(ISNA(VLOOKUP(E2103,E$1:E2102,1,FALSE()))),"OLD",IF(AND(E2103&lt;&gt;"",E2103&lt;&gt;"!!!"),"NEW","")))</f>
        <v> </v>
      </c>
      <c r="G2103" s="24" t="str">
        <f>IF(OR(E2103="",E2103="!!!"),"",IF(OR(J2103=0,AND(J2103=1,K2103=1),AND(J2103=1,I2103="SBJ"),AND(J2103=1,I2103=0)),"?IN_FOCUS",IF(J2103&lt;=2,"?ACTIVATED",IF(J2103&lt;&gt;"","?FAMILIAR",IF(F2103="NEW",IF(ISNA(VLOOKUP(E2103,#REF!,1,FALSE())),"?TYPE_IDENTIFIABLE","?REFERENTIAL"),"_")))))</f>
        <v> </v>
      </c>
      <c r="H2103" s="25" t="str">
        <f>IF(J2103&lt;&gt;1,"",IF(I2103="SBJ","CB","?"))</f>
        <v> </v>
      </c>
      <c r="I2103" s="26" t="str">
        <f>IF(OR(E2103="",E2103="!!!",F2103="NEW"),"",INDEX(B2102:B$2,-1+SUMPRODUCT(MAX(ROW(E2102:E$2)*(E2103=E2102:E$2)))))</f>
        <v> </v>
      </c>
      <c r="J2103" s="26" t="str">
        <f>IF(OR(E2103="",E2103="!!!",F2103="NEW"),"",COUNTBLANK(OFFSET(A$1,,,SUMPRODUCT(MAX(ROW(E$2:E2103)*(E2103=E$2:E2103)))))-COUNTBLANK(OFFSET(A$1,,,SUMPRODUCT(MAX(ROW(E$1:E2102)*(E2=E$1:E2102))))))</f>
        <v> </v>
      </c>
      <c r="K2103" s="26" t="str">
        <f>IF(OR(E2103="",E2103="!!!",F2103="NEW"),"",INDEX(J$1:J2102,SUMPRODUCT(MAX(ROW(E$1:E2102)*(E2103=E$1:E2102)))))</f>
        <v> </v>
      </c>
      <c r="L2103" s="27"/>
    </row>
    <row r="2104" spans="1:12">
      <c r="A2104" s="20" t="s">
        <v>1711</v>
      </c>
      <c r="E2104" s="22">
        <f>IF(D2104="?OLD","!!!","")</f>
        <v/>
      </c>
      <c r="F2104" s="23" t="str">
        <f>IF(OR(E2104="",E2104="!!!"),"",IF(NOT(ISNA(VLOOKUP(E2104,E$1:E2103,1,FALSE()))),"OLD",IF(AND(E2104&lt;&gt;"",E2104&lt;&gt;"!!!"),"NEW","")))</f>
        <v> </v>
      </c>
      <c r="G2104" s="24" t="str">
        <f>IF(OR(E2104="",E2104="!!!"),"",IF(OR(J2104=0,AND(J2104=1,K2104=1),AND(J2104=1,I2104="SBJ"),AND(J2104=1,I2104=0)),"?IN_FOCUS",IF(J2104&lt;=2,"?ACTIVATED",IF(J2104&lt;&gt;"","?FAMILIAR",IF(F2104="NEW",IF(ISNA(VLOOKUP(E2104,#REF!,1,FALSE())),"?TYPE_IDENTIFIABLE","?REFERENTIAL"),"_")))))</f>
        <v> </v>
      </c>
      <c r="H2104" s="25" t="str">
        <f>IF(J2104&lt;&gt;1,"",IF(I2104="SBJ","CB","?"))</f>
        <v> </v>
      </c>
      <c r="I2104" s="26" t="str">
        <f>IF(OR(E2104="",E2104="!!!",F2104="NEW"),"",INDEX(B2103:B$2,-1+SUMPRODUCT(MAX(ROW(E2103:E$2)*(E2104=E2103:E$2)))))</f>
        <v> </v>
      </c>
      <c r="J2104" s="26" t="str">
        <f>IF(OR(E2104="",E2104="!!!",F2104="NEW"),"",COUNTBLANK(OFFSET(A$1,,,SUMPRODUCT(MAX(ROW(E$2:E2104)*(E2104=E$2:E2104)))))-COUNTBLANK(OFFSET(A$1,,,SUMPRODUCT(MAX(ROW(E$1:E2103)*(E2=E$1:E2103))))))</f>
        <v> </v>
      </c>
      <c r="K2104" s="26" t="str">
        <f>IF(OR(E2104="",E2104="!!!",F2104="NEW"),"",INDEX(J$1:J2103,SUMPRODUCT(MAX(ROW(E$1:E2103)*(E2104=E$1:E2103)))))</f>
        <v> </v>
      </c>
      <c r="L2104" s="27"/>
    </row>
    <row r="2105" spans="1:12">
      <c r="A2105" s="20" t="s">
        <v>1712</v>
      </c>
      <c r="E2105" s="22">
        <f>IF(D2105="?OLD","!!!","")</f>
        <v/>
      </c>
      <c r="F2105" s="23" t="str">
        <f>IF(OR(E2105="",E2105="!!!"),"",IF(NOT(ISNA(VLOOKUP(E2105,E$1:E2104,1,FALSE()))),"OLD",IF(AND(E2105&lt;&gt;"",E2105&lt;&gt;"!!!"),"NEW","")))</f>
        <v> </v>
      </c>
      <c r="G2105" s="24" t="str">
        <f>IF(OR(E2105="",E2105="!!!"),"",IF(OR(J2105=0,AND(J2105=1,K2105=1),AND(J2105=1,I2105="SBJ"),AND(J2105=1,I2105=0)),"?IN_FOCUS",IF(J2105&lt;=2,"?ACTIVATED",IF(J2105&lt;&gt;"","?FAMILIAR",IF(F2105="NEW",IF(ISNA(VLOOKUP(E2105,#REF!,1,FALSE())),"?TYPE_IDENTIFIABLE","?REFERENTIAL"),"_")))))</f>
        <v> </v>
      </c>
      <c r="H2105" s="25" t="str">
        <f>IF(J2105&lt;&gt;1,"",IF(I2105="SBJ","CB","?"))</f>
        <v> </v>
      </c>
      <c r="I2105" s="26" t="str">
        <f>IF(OR(E2105="",E2105="!!!",F2105="NEW"),"",INDEX(B2104:B$2,-1+SUMPRODUCT(MAX(ROW(E2104:E$2)*(E2105=E2104:E$2)))))</f>
        <v> </v>
      </c>
      <c r="J2105" s="26" t="str">
        <f>IF(OR(E2105="",E2105="!!!",F2105="NEW"),"",COUNTBLANK(OFFSET(A$1,,,SUMPRODUCT(MAX(ROW(E$2:E2105)*(E2105=E$2:E2105)))))-COUNTBLANK(OFFSET(A$1,,,SUMPRODUCT(MAX(ROW(E$1:E2104)*(E2=E$1:E2104))))))</f>
        <v> </v>
      </c>
      <c r="K2105" s="26" t="str">
        <f>IF(OR(E2105="",E2105="!!!",F2105="NEW"),"",INDEX(J$1:J2104,SUMPRODUCT(MAX(ROW(E$1:E2104)*(E2105=E$1:E2104)))))</f>
        <v> </v>
      </c>
      <c r="L2105" s="27"/>
    </row>
    <row r="2106" spans="1:12">
      <c r="A2106" s="20" t="s">
        <v>1020</v>
      </c>
      <c r="E2106" s="22">
        <f>IF(D2106="?OLD","!!!","")</f>
        <v/>
      </c>
      <c r="F2106" s="23" t="str">
        <f>IF(OR(E2106="",E2106="!!!"),"",IF(NOT(ISNA(VLOOKUP(E2106,E$1:E2105,1,FALSE()))),"OLD",IF(AND(E2106&lt;&gt;"",E2106&lt;&gt;"!!!"),"NEW","")))</f>
        <v> </v>
      </c>
      <c r="G2106" s="24" t="str">
        <f>IF(OR(E2106="",E2106="!!!"),"",IF(OR(J2106=0,AND(J2106=1,K2106=1),AND(J2106=1,I2106="SBJ"),AND(J2106=1,I2106=0)),"?IN_FOCUS",IF(J2106&lt;=2,"?ACTIVATED",IF(J2106&lt;&gt;"","?FAMILIAR",IF(F2106="NEW",IF(ISNA(VLOOKUP(E2106,#REF!,1,FALSE())),"?TYPE_IDENTIFIABLE","?REFERENTIAL"),"_")))))</f>
        <v> </v>
      </c>
      <c r="H2106" s="25" t="str">
        <f>IF(J2106&lt;&gt;1,"",IF(I2106="SBJ","CB","?"))</f>
        <v> </v>
      </c>
      <c r="I2106" s="26" t="str">
        <f>IF(OR(E2106="",E2106="!!!",F2106="NEW"),"",INDEX(B2105:B$2,-1+SUMPRODUCT(MAX(ROW(E2105:E$2)*(E2106=E2105:E$2)))))</f>
        <v> </v>
      </c>
      <c r="J2106" s="26" t="str">
        <f>IF(OR(E2106="",E2106="!!!",F2106="NEW"),"",COUNTBLANK(OFFSET(A$1,,,SUMPRODUCT(MAX(ROW(E$2:E2106)*(E2106=E$2:E2106)))))-COUNTBLANK(OFFSET(A$1,,,SUMPRODUCT(MAX(ROW(E$1:E2105)*(E2=E$1:E2105))))))</f>
        <v> </v>
      </c>
      <c r="K2106" s="26" t="str">
        <f>IF(OR(E2106="",E2106="!!!",F2106="NEW"),"",INDEX(J$1:J2105,SUMPRODUCT(MAX(ROW(E$1:E2105)*(E2106=E$1:E2105)))))</f>
        <v> </v>
      </c>
      <c r="L2106" s="27"/>
    </row>
    <row r="2107" spans="1:12">
      <c r="A2107" s="20" t="s">
        <v>1020</v>
      </c>
      <c r="E2107" s="22">
        <f>IF(D2107="?OLD","!!!","")</f>
        <v/>
      </c>
      <c r="F2107" s="23" t="str">
        <f>IF(OR(E2107="",E2107="!!!"),"",IF(NOT(ISNA(VLOOKUP(E2107,E$1:E2106,1,FALSE()))),"OLD",IF(AND(E2107&lt;&gt;"",E2107&lt;&gt;"!!!"),"NEW","")))</f>
        <v> </v>
      </c>
      <c r="G2107" s="24" t="str">
        <f>IF(OR(E2107="",E2107="!!!"),"",IF(OR(J2107=0,AND(J2107=1,K2107=1),AND(J2107=1,I2107="SBJ"),AND(J2107=1,I2107=0)),"?IN_FOCUS",IF(J2107&lt;=2,"?ACTIVATED",IF(J2107&lt;&gt;"","?FAMILIAR",IF(F2107="NEW",IF(ISNA(VLOOKUP(E2107,#REF!,1,FALSE())),"?TYPE_IDENTIFIABLE","?REFERENTIAL"),"_")))))</f>
        <v> </v>
      </c>
      <c r="H2107" s="25" t="str">
        <f>IF(J2107&lt;&gt;1,"",IF(I2107="SBJ","CB","?"))</f>
        <v> </v>
      </c>
      <c r="I2107" s="26" t="str">
        <f>IF(OR(E2107="",E2107="!!!",F2107="NEW"),"",INDEX(B2106:B$2,-1+SUMPRODUCT(MAX(ROW(E2106:E$2)*(E2107=E2106:E$2)))))</f>
        <v> </v>
      </c>
      <c r="J2107" s="26" t="str">
        <f>IF(OR(E2107="",E2107="!!!",F2107="NEW"),"",COUNTBLANK(OFFSET(A$1,,,SUMPRODUCT(MAX(ROW(E$2:E2107)*(E2107=E$2:E2107)))))-COUNTBLANK(OFFSET(A$1,,,SUMPRODUCT(MAX(ROW(E$1:E2106)*(E2=E$1:E2106))))))</f>
        <v> </v>
      </c>
      <c r="K2107" s="26" t="str">
        <f>IF(OR(E2107="",E2107="!!!",F2107="NEW"),"",INDEX(J$1:J2106,SUMPRODUCT(MAX(ROW(E$1:E2106)*(E2107=E$1:E2106)))))</f>
        <v> </v>
      </c>
      <c r="L2107" s="27"/>
    </row>
    <row r="2108" spans="1:12">
      <c r="A2108" s="20" t="s">
        <v>1211</v>
      </c>
      <c r="B2108" s="21" t="s">
        <v>1085</v>
      </c>
      <c r="C2108" s="21" t="s">
        <v>1006</v>
      </c>
      <c r="D2108" s="21" t="s">
        <v>1007</v>
      </c>
      <c r="E2108" s="22">
        <f>IF(D2108="?OLD","!!!","")</f>
        <v/>
      </c>
      <c r="F2108" s="23" t="str">
        <f>IF(OR(E2108="",E2108="!!!"),"",IF(NOT(ISNA(VLOOKUP(E2108,E$1:E2107,1,FALSE()))),"OLD",IF(AND(E2108&lt;&gt;"",E2108&lt;&gt;"!!!"),"NEW","")))</f>
        <v> </v>
      </c>
      <c r="G2108" s="24" t="str">
        <f>IF(OR(E2108="",E2108="!!!"),"",IF(OR(J2108=0,AND(J2108=1,K2108=1),AND(J2108=1,I2108="SBJ"),AND(J2108=1,I2108=0)),"?IN_FOCUS",IF(J2108&lt;=2,"?ACTIVATED",IF(J2108&lt;&gt;"","?FAMILIAR",IF(F2108="NEW",IF(ISNA(VLOOKUP(E2108,#REF!,1,FALSE())),"?TYPE_IDENTIFIABLE","?REFERENTIAL"),"_")))))</f>
        <v> </v>
      </c>
      <c r="H2108" s="25" t="str">
        <f>IF(J2108&lt;&gt;1,"",IF(I2108="SBJ","CB","?"))</f>
        <v> </v>
      </c>
      <c r="I2108" s="26" t="str">
        <f>IF(OR(E2108="",E2108="!!!",F2108="NEW"),"",INDEX(B2107:B$2,-1+SUMPRODUCT(MAX(ROW(E2107:E$2)*(E2108=E2107:E$2)))))</f>
        <v> </v>
      </c>
      <c r="J2108" s="26" t="str">
        <f>IF(OR(E2108="",E2108="!!!",F2108="NEW"),"",COUNTBLANK(OFFSET(A$1,,,SUMPRODUCT(MAX(ROW(E$2:E2108)*(E2108=E$2:E2108)))))-COUNTBLANK(OFFSET(A$1,,,SUMPRODUCT(MAX(ROW(E$1:E2107)*(E2=E$1:E2107))))))</f>
        <v> </v>
      </c>
      <c r="K2108" s="26" t="str">
        <f>IF(OR(E2108="",E2108="!!!",F2108="NEW"),"",INDEX(J$1:J2107,SUMPRODUCT(MAX(ROW(E$1:E2107)*(E2108=E$1:E2107)))))</f>
        <v> </v>
      </c>
      <c r="L2108" s="27"/>
    </row>
    <row r="2109" spans="1:12">
      <c r="A2109" s="20" t="s">
        <v>1114</v>
      </c>
      <c r="E2109" s="22">
        <f>IF(D2109="?OLD","!!!","")</f>
        <v/>
      </c>
      <c r="F2109" s="23" t="str">
        <f>IF(OR(E2109="",E2109="!!!"),"",IF(NOT(ISNA(VLOOKUP(E2109,E$1:E2108,1,FALSE()))),"OLD",IF(AND(E2109&lt;&gt;"",E2109&lt;&gt;"!!!"),"NEW","")))</f>
        <v> </v>
      </c>
      <c r="G2109" s="24" t="str">
        <f>IF(OR(E2109="",E2109="!!!"),"",IF(OR(J2109=0,AND(J2109=1,K2109=1),AND(J2109=1,I2109="SBJ"),AND(J2109=1,I2109=0)),"?IN_FOCUS",IF(J2109&lt;=2,"?ACTIVATED",IF(J2109&lt;&gt;"","?FAMILIAR",IF(F2109="NEW",IF(ISNA(VLOOKUP(E2109,#REF!,1,FALSE())),"?TYPE_IDENTIFIABLE","?REFERENTIAL"),"_")))))</f>
        <v> </v>
      </c>
      <c r="H2109" s="25" t="str">
        <f>IF(J2109&lt;&gt;1,"",IF(I2109="SBJ","CB","?"))</f>
        <v> </v>
      </c>
      <c r="I2109" s="26" t="str">
        <f>IF(OR(E2109="",E2109="!!!",F2109="NEW"),"",INDEX(B2108:B$2,-1+SUMPRODUCT(MAX(ROW(E2108:E$2)*(E2109=E2108:E$2)))))</f>
        <v> </v>
      </c>
      <c r="J2109" s="26" t="str">
        <f>IF(OR(E2109="",E2109="!!!",F2109="NEW"),"",COUNTBLANK(OFFSET(A$1,,,SUMPRODUCT(MAX(ROW(E$2:E2109)*(E2109=E$2:E2109)))))-COUNTBLANK(OFFSET(A$1,,,SUMPRODUCT(MAX(ROW(E$1:E2108)*(E2=E$1:E2108))))))</f>
        <v> </v>
      </c>
      <c r="K2109" s="26" t="str">
        <f>IF(OR(E2109="",E2109="!!!",F2109="NEW"),"",INDEX(J$1:J2108,SUMPRODUCT(MAX(ROW(E$1:E2108)*(E2109=E$1:E2108)))))</f>
        <v> </v>
      </c>
      <c r="L2109" s="27"/>
    </row>
    <row r="2110" spans="1:12">
      <c r="A2110" s="20" t="s">
        <v>1224</v>
      </c>
      <c r="B2110" s="21" t="s">
        <v>1119</v>
      </c>
      <c r="C2110" s="21" t="s">
        <v>1082</v>
      </c>
      <c r="D2110" s="21" t="s">
        <v>1007</v>
      </c>
      <c r="E2110" s="22">
        <f>IF(D2110="?OLD","!!!","")</f>
        <v/>
      </c>
      <c r="F2110" s="23" t="str">
        <f>IF(OR(E2110="",E2110="!!!"),"",IF(NOT(ISNA(VLOOKUP(E2110,E$1:E2109,1,FALSE()))),"OLD",IF(AND(E2110&lt;&gt;"",E2110&lt;&gt;"!!!"),"NEW","")))</f>
        <v> </v>
      </c>
      <c r="G2110" s="24" t="str">
        <f>IF(OR(E2110="",E2110="!!!"),"",IF(OR(J2110=0,AND(J2110=1,K2110=1),AND(J2110=1,I2110="SBJ"),AND(J2110=1,I2110=0)),"?IN_FOCUS",IF(J2110&lt;=2,"?ACTIVATED",IF(J2110&lt;&gt;"","?FAMILIAR",IF(F2110="NEW",IF(ISNA(VLOOKUP(E2110,#REF!,1,FALSE())),"?TYPE_IDENTIFIABLE","?REFERENTIAL"),"_")))))</f>
        <v> </v>
      </c>
      <c r="H2110" s="25" t="str">
        <f>IF(J2110&lt;&gt;1,"",IF(I2110="SBJ","CB","?"))</f>
        <v> </v>
      </c>
      <c r="I2110" s="26" t="str">
        <f>IF(OR(E2110="",E2110="!!!",F2110="NEW"),"",INDEX(B2109:B$2,-1+SUMPRODUCT(MAX(ROW(E2109:E$2)*(E2110=E2109:E$2)))))</f>
        <v> </v>
      </c>
      <c r="J2110" s="26" t="str">
        <f>IF(OR(E2110="",E2110="!!!",F2110="NEW"),"",COUNTBLANK(OFFSET(A$1,,,SUMPRODUCT(MAX(ROW(E$2:E2110)*(E2110=E$2:E2110)))))-COUNTBLANK(OFFSET(A$1,,,SUMPRODUCT(MAX(ROW(E$1:E2109)*(E2=E$1:E2109))))))</f>
        <v> </v>
      </c>
      <c r="K2110" s="26" t="str">
        <f>IF(OR(E2110="",E2110="!!!",F2110="NEW"),"",INDEX(J$1:J2109,SUMPRODUCT(MAX(ROW(E$1:E2109)*(E2110=E$1:E2109)))))</f>
        <v> </v>
      </c>
      <c r="L2110" s="27"/>
    </row>
    <row r="2111" spans="1:12">
      <c r="A2111" s="20" t="s">
        <v>1713</v>
      </c>
      <c r="E2111" s="22">
        <f>IF(D2111="?OLD","!!!","")</f>
        <v/>
      </c>
      <c r="F2111" s="23" t="str">
        <f>IF(OR(E2111="",E2111="!!!"),"",IF(NOT(ISNA(VLOOKUP(E2111,E$1:E2110,1,FALSE()))),"OLD",IF(AND(E2111&lt;&gt;"",E2111&lt;&gt;"!!!"),"NEW","")))</f>
        <v> </v>
      </c>
      <c r="G2111" s="24" t="str">
        <f>IF(OR(E2111="",E2111="!!!"),"",IF(OR(J2111=0,AND(J2111=1,K2111=1),AND(J2111=1,I2111="SBJ"),AND(J2111=1,I2111=0)),"?IN_FOCUS",IF(J2111&lt;=2,"?ACTIVATED",IF(J2111&lt;&gt;"","?FAMILIAR",IF(F2111="NEW",IF(ISNA(VLOOKUP(E2111,#REF!,1,FALSE())),"?TYPE_IDENTIFIABLE","?REFERENTIAL"),"_")))))</f>
        <v> </v>
      </c>
      <c r="H2111" s="25" t="str">
        <f>IF(J2111&lt;&gt;1,"",IF(I2111="SBJ","CB","?"))</f>
        <v> </v>
      </c>
      <c r="I2111" s="26" t="str">
        <f>IF(OR(E2111="",E2111="!!!",F2111="NEW"),"",INDEX(B2110:B$2,-1+SUMPRODUCT(MAX(ROW(E2110:E$2)*(E2111=E2110:E$2)))))</f>
        <v> </v>
      </c>
      <c r="J2111" s="26" t="str">
        <f>IF(OR(E2111="",E2111="!!!",F2111="NEW"),"",COUNTBLANK(OFFSET(A$1,,,SUMPRODUCT(MAX(ROW(E$2:E2111)*(E2111=E$2:E2111)))))-COUNTBLANK(OFFSET(A$1,,,SUMPRODUCT(MAX(ROW(E$1:E2110)*(E2=E$1:E2110))))))</f>
        <v> </v>
      </c>
      <c r="K2111" s="26" t="str">
        <f>IF(OR(E2111="",E2111="!!!",F2111="NEW"),"",INDEX(J$1:J2110,SUMPRODUCT(MAX(ROW(E$1:E2110)*(E2111=E$1:E2110)))))</f>
        <v> </v>
      </c>
      <c r="L2111" s="27"/>
    </row>
    <row r="2112" spans="1:12">
      <c r="A2112" s="20" t="s">
        <v>1587</v>
      </c>
      <c r="E2112" s="22">
        <f>IF(D2112="?OLD","!!!","")</f>
        <v/>
      </c>
      <c r="F2112" s="23" t="str">
        <f>IF(OR(E2112="",E2112="!!!"),"",IF(NOT(ISNA(VLOOKUP(E2112,E$1:E2111,1,FALSE()))),"OLD",IF(AND(E2112&lt;&gt;"",E2112&lt;&gt;"!!!"),"NEW","")))</f>
        <v> </v>
      </c>
      <c r="G2112" s="24" t="str">
        <f>IF(OR(E2112="",E2112="!!!"),"",IF(OR(J2112=0,AND(J2112=1,K2112=1),AND(J2112=1,I2112="SBJ"),AND(J2112=1,I2112=0)),"?IN_FOCUS",IF(J2112&lt;=2,"?ACTIVATED",IF(J2112&lt;&gt;"","?FAMILIAR",IF(F2112="NEW",IF(ISNA(VLOOKUP(E2112,#REF!,1,FALSE())),"?TYPE_IDENTIFIABLE","?REFERENTIAL"),"_")))))</f>
        <v> </v>
      </c>
      <c r="H2112" s="25" t="str">
        <f>IF(J2112&lt;&gt;1,"",IF(I2112="SBJ","CB","?"))</f>
        <v> </v>
      </c>
      <c r="I2112" s="26" t="str">
        <f>IF(OR(E2112="",E2112="!!!",F2112="NEW"),"",INDEX(B2111:B$2,-1+SUMPRODUCT(MAX(ROW(E2111:E$2)*(E2112=E2111:E$2)))))</f>
        <v> </v>
      </c>
      <c r="J2112" s="26" t="str">
        <f>IF(OR(E2112="",E2112="!!!",F2112="NEW"),"",COUNTBLANK(OFFSET(A$1,,,SUMPRODUCT(MAX(ROW(E$2:E2112)*(E2112=E$2:E2112)))))-COUNTBLANK(OFFSET(A$1,,,SUMPRODUCT(MAX(ROW(E$1:E2111)*(E2=E$1:E2111))))))</f>
        <v> </v>
      </c>
      <c r="K2112" s="26" t="str">
        <f>IF(OR(E2112="",E2112="!!!",F2112="NEW"),"",INDEX(J$1:J2111,SUMPRODUCT(MAX(ROW(E$1:E2111)*(E2112=E$1:E2111)))))</f>
        <v> </v>
      </c>
      <c r="L2112" s="27"/>
    </row>
    <row r="2113" spans="1:12">
      <c r="A2113" s="20" t="s">
        <v>1285</v>
      </c>
      <c r="B2113" s="21" t="s">
        <v>1029</v>
      </c>
      <c r="C2113" s="21" t="s">
        <v>1103</v>
      </c>
      <c r="E2113" s="22">
        <f>IF(D2113="?OLD","!!!","")</f>
        <v/>
      </c>
      <c r="F2113" s="23" t="str">
        <f>IF(OR(E2113="",E2113="!!!"),"",IF(NOT(ISNA(VLOOKUP(E2113,E$1:E2112,1,FALSE()))),"OLD",IF(AND(E2113&lt;&gt;"",E2113&lt;&gt;"!!!"),"NEW","")))</f>
        <v> </v>
      </c>
      <c r="G2113" s="24" t="str">
        <f>IF(OR(E2113="",E2113="!!!"),"",IF(OR(J2113=0,AND(J2113=1,K2113=1),AND(J2113=1,I2113="SBJ"),AND(J2113=1,I2113=0)),"?IN_FOCUS",IF(J2113&lt;=2,"?ACTIVATED",IF(J2113&lt;&gt;"","?FAMILIAR",IF(F2113="NEW",IF(ISNA(VLOOKUP(E2113,#REF!,1,FALSE())),"?TYPE_IDENTIFIABLE","?REFERENTIAL"),"_")))))</f>
        <v> </v>
      </c>
      <c r="H2113" s="25" t="str">
        <f>IF(J2113&lt;&gt;1,"",IF(I2113="SBJ","CB","?"))</f>
        <v> </v>
      </c>
      <c r="I2113" s="26" t="str">
        <f>IF(OR(E2113="",E2113="!!!",F2113="NEW"),"",INDEX(B2112:B$2,-1+SUMPRODUCT(MAX(ROW(E2112:E$2)*(E2113=E2112:E$2)))))</f>
        <v> </v>
      </c>
      <c r="J2113" s="26" t="str">
        <f>IF(OR(E2113="",E2113="!!!",F2113="NEW"),"",COUNTBLANK(OFFSET(A$1,,,SUMPRODUCT(MAX(ROW(E$2:E2113)*(E2113=E$2:E2113)))))-COUNTBLANK(OFFSET(A$1,,,SUMPRODUCT(MAX(ROW(E$1:E2112)*(E2=E$1:E2112))))))</f>
        <v> </v>
      </c>
      <c r="K2113" s="26" t="str">
        <f>IF(OR(E2113="",E2113="!!!",F2113="NEW"),"",INDEX(J$1:J2112,SUMPRODUCT(MAX(ROW(E$1:E2112)*(E2113=E$1:E2112)))))</f>
        <v> </v>
      </c>
      <c r="L2113" s="27"/>
    </row>
    <row r="2114" spans="1:12">
      <c r="A2114" s="20" t="s">
        <v>1014</v>
      </c>
      <c r="E2114" s="22">
        <f>IF(D2114="?OLD","!!!","")</f>
        <v/>
      </c>
      <c r="F2114" s="23" t="str">
        <f>IF(OR(E2114="",E2114="!!!"),"",IF(NOT(ISNA(VLOOKUP(E2114,E$1:E2113,1,FALSE()))),"OLD",IF(AND(E2114&lt;&gt;"",E2114&lt;&gt;"!!!"),"NEW","")))</f>
        <v> </v>
      </c>
      <c r="G2114" s="24" t="str">
        <f>IF(OR(E2114="",E2114="!!!"),"",IF(OR(J2114=0,AND(J2114=1,K2114=1),AND(J2114=1,I2114="SBJ"),AND(J2114=1,I2114=0)),"?IN_FOCUS",IF(J2114&lt;=2,"?ACTIVATED",IF(J2114&lt;&gt;"","?FAMILIAR",IF(F2114="NEW",IF(ISNA(VLOOKUP(E2114,#REF!,1,FALSE())),"?TYPE_IDENTIFIABLE","?REFERENTIAL"),"_")))))</f>
        <v> </v>
      </c>
      <c r="H2114" s="25" t="str">
        <f>IF(J2114&lt;&gt;1,"",IF(I2114="SBJ","CB","?"))</f>
        <v> </v>
      </c>
      <c r="I2114" s="26" t="str">
        <f>IF(OR(E2114="",E2114="!!!",F2114="NEW"),"",INDEX(B2113:B$2,-1+SUMPRODUCT(MAX(ROW(E2113:E$2)*(E2114=E2113:E$2)))))</f>
        <v> </v>
      </c>
      <c r="J2114" s="26" t="str">
        <f>IF(OR(E2114="",E2114="!!!",F2114="NEW"),"",COUNTBLANK(OFFSET(A$1,,,SUMPRODUCT(MAX(ROW(E$2:E2114)*(E2114=E$2:E2114)))))-COUNTBLANK(OFFSET(A$1,,,SUMPRODUCT(MAX(ROW(E$1:E2113)*(E2=E$1:E2113))))))</f>
        <v> </v>
      </c>
      <c r="K2114" s="26" t="str">
        <f>IF(OR(E2114="",E2114="!!!",F2114="NEW"),"",INDEX(J$1:J2113,SUMPRODUCT(MAX(ROW(E$1:E2113)*(E2114=E$1:E2113)))))</f>
        <v> </v>
      </c>
      <c r="L2114" s="27"/>
    </row>
    <row r="2115" spans="1:12">
      <c r="A2115" s="20" t="s">
        <v>1714</v>
      </c>
      <c r="E2115" s="22">
        <f>IF(D2115="?OLD","!!!","")</f>
        <v/>
      </c>
      <c r="F2115" s="23" t="str">
        <f>IF(OR(E2115="",E2115="!!!"),"",IF(NOT(ISNA(VLOOKUP(E2115,E$1:E2114,1,FALSE()))),"OLD",IF(AND(E2115&lt;&gt;"",E2115&lt;&gt;"!!!"),"NEW","")))</f>
        <v> </v>
      </c>
      <c r="G2115" s="24" t="str">
        <f>IF(OR(E2115="",E2115="!!!"),"",IF(OR(J2115=0,AND(J2115=1,K2115=1),AND(J2115=1,I2115="SBJ"),AND(J2115=1,I2115=0)),"?IN_FOCUS",IF(J2115&lt;=2,"?ACTIVATED",IF(J2115&lt;&gt;"","?FAMILIAR",IF(F2115="NEW",IF(ISNA(VLOOKUP(E2115,#REF!,1,FALSE())),"?TYPE_IDENTIFIABLE","?REFERENTIAL"),"_")))))</f>
        <v> </v>
      </c>
      <c r="H2115" s="25" t="str">
        <f>IF(J2115&lt;&gt;1,"",IF(I2115="SBJ","CB","?"))</f>
        <v> </v>
      </c>
      <c r="I2115" s="26" t="str">
        <f>IF(OR(E2115="",E2115="!!!",F2115="NEW"),"",INDEX(B2114:B$2,-1+SUMPRODUCT(MAX(ROW(E2114:E$2)*(E2115=E2114:E$2)))))</f>
        <v> </v>
      </c>
      <c r="J2115" s="26" t="str">
        <f>IF(OR(E2115="",E2115="!!!",F2115="NEW"),"",COUNTBLANK(OFFSET(A$1,,,SUMPRODUCT(MAX(ROW(E$2:E2115)*(E2115=E$2:E2115)))))-COUNTBLANK(OFFSET(A$1,,,SUMPRODUCT(MAX(ROW(E$1:E2114)*(E2=E$1:E2114))))))</f>
        <v> </v>
      </c>
      <c r="K2115" s="26" t="str">
        <f>IF(OR(E2115="",E2115="!!!",F2115="NEW"),"",INDEX(J$1:J2114,SUMPRODUCT(MAX(ROW(E$1:E2114)*(E2115=E$1:E2114)))))</f>
        <v> </v>
      </c>
      <c r="L2115" s="27"/>
    </row>
    <row r="2116" spans="1:12">
      <c r="A2116" s="20" t="s">
        <v>1018</v>
      </c>
      <c r="E2116" s="22">
        <f>IF(D2116="?OLD","!!!","")</f>
        <v/>
      </c>
      <c r="F2116" s="23" t="str">
        <f>IF(OR(E2116="",E2116="!!!"),"",IF(NOT(ISNA(VLOOKUP(E2116,E$1:E2115,1,FALSE()))),"OLD",IF(AND(E2116&lt;&gt;"",E2116&lt;&gt;"!!!"),"NEW","")))</f>
        <v> </v>
      </c>
      <c r="G2116" s="24" t="str">
        <f>IF(OR(E2116="",E2116="!!!"),"",IF(OR(J2116=0,AND(J2116=1,K2116=1),AND(J2116=1,I2116="SBJ"),AND(J2116=1,I2116=0)),"?IN_FOCUS",IF(J2116&lt;=2,"?ACTIVATED",IF(J2116&lt;&gt;"","?FAMILIAR",IF(F2116="NEW",IF(ISNA(VLOOKUP(E2116,#REF!,1,FALSE())),"?TYPE_IDENTIFIABLE","?REFERENTIAL"),"_")))))</f>
        <v> </v>
      </c>
      <c r="H2116" s="25" t="str">
        <f>IF(J2116&lt;&gt;1,"",IF(I2116="SBJ","CB","?"))</f>
        <v> </v>
      </c>
      <c r="I2116" s="26" t="str">
        <f>IF(OR(E2116="",E2116="!!!",F2116="NEW"),"",INDEX(B2115:B$2,-1+SUMPRODUCT(MAX(ROW(E2115:E$2)*(E2116=E2115:E$2)))))</f>
        <v> </v>
      </c>
      <c r="J2116" s="26" t="str">
        <f>IF(OR(E2116="",E2116="!!!",F2116="NEW"),"",COUNTBLANK(OFFSET(A$1,,,SUMPRODUCT(MAX(ROW(E$2:E2116)*(E2116=E$2:E2116)))))-COUNTBLANK(OFFSET(A$1,,,SUMPRODUCT(MAX(ROW(E$1:E2115)*(E2=E$1:E2115))))))</f>
        <v> </v>
      </c>
      <c r="K2116" s="26" t="str">
        <f>IF(OR(E2116="",E2116="!!!",F2116="NEW"),"",INDEX(J$1:J2115,SUMPRODUCT(MAX(ROW(E$1:E2115)*(E2116=E$1:E2115)))))</f>
        <v> </v>
      </c>
      <c r="L2116" s="27"/>
    </row>
    <row r="2117" spans="1:12">
      <c r="A2117" s="20" t="s">
        <v>1116</v>
      </c>
      <c r="E2117" s="22">
        <f>IF(D2117="?OLD","!!!","")</f>
        <v/>
      </c>
      <c r="F2117" s="23" t="str">
        <f>IF(OR(E2117="",E2117="!!!"),"",IF(NOT(ISNA(VLOOKUP(E2117,E$1:E2116,1,FALSE()))),"OLD",IF(AND(E2117&lt;&gt;"",E2117&lt;&gt;"!!!"),"NEW","")))</f>
        <v> </v>
      </c>
      <c r="G2117" s="24" t="str">
        <f>IF(OR(E2117="",E2117="!!!"),"",IF(OR(J2117=0,AND(J2117=1,K2117=1),AND(J2117=1,I2117="SBJ"),AND(J2117=1,I2117=0)),"?IN_FOCUS",IF(J2117&lt;=2,"?ACTIVATED",IF(J2117&lt;&gt;"","?FAMILIAR",IF(F2117="NEW",IF(ISNA(VLOOKUP(E2117,#REF!,1,FALSE())),"?TYPE_IDENTIFIABLE","?REFERENTIAL"),"_")))))</f>
        <v> </v>
      </c>
      <c r="H2117" s="25" t="str">
        <f>IF(J2117&lt;&gt;1,"",IF(I2117="SBJ","CB","?"))</f>
        <v> </v>
      </c>
      <c r="I2117" s="26" t="str">
        <f>IF(OR(E2117="",E2117="!!!",F2117="NEW"),"",INDEX(B2116:B$2,-1+SUMPRODUCT(MAX(ROW(E2116:E$2)*(E2117=E2116:E$2)))))</f>
        <v> </v>
      </c>
      <c r="J2117" s="26" t="str">
        <f>IF(OR(E2117="",E2117="!!!",F2117="NEW"),"",COUNTBLANK(OFFSET(A$1,,,SUMPRODUCT(MAX(ROW(E$2:E2117)*(E2117=E$2:E2117)))))-COUNTBLANK(OFFSET(A$1,,,SUMPRODUCT(MAX(ROW(E$1:E2116)*(E2=E$1:E2116))))))</f>
        <v> </v>
      </c>
      <c r="K2117" s="26" t="str">
        <f>IF(OR(E2117="",E2117="!!!",F2117="NEW"),"",INDEX(J$1:J2116,SUMPRODUCT(MAX(ROW(E$1:E2116)*(E2117=E$1:E2116)))))</f>
        <v> </v>
      </c>
      <c r="L2117" s="27"/>
    </row>
    <row r="2118" spans="1:12">
      <c r="A2118" s="20" t="s">
        <v>1065</v>
      </c>
      <c r="E2118" s="22">
        <f>IF(D2118="?OLD","!!!","")</f>
        <v/>
      </c>
      <c r="F2118" s="23" t="str">
        <f>IF(OR(E2118="",E2118="!!!"),"",IF(NOT(ISNA(VLOOKUP(E2118,E$1:E2117,1,FALSE()))),"OLD",IF(AND(E2118&lt;&gt;"",E2118&lt;&gt;"!!!"),"NEW","")))</f>
        <v> </v>
      </c>
      <c r="G2118" s="24" t="str">
        <f>IF(OR(E2118="",E2118="!!!"),"",IF(OR(J2118=0,AND(J2118=1,K2118=1),AND(J2118=1,I2118="SBJ"),AND(J2118=1,I2118=0)),"?IN_FOCUS",IF(J2118&lt;=2,"?ACTIVATED",IF(J2118&lt;&gt;"","?FAMILIAR",IF(F2118="NEW",IF(ISNA(VLOOKUP(E2118,#REF!,1,FALSE())),"?TYPE_IDENTIFIABLE","?REFERENTIAL"),"_")))))</f>
        <v> </v>
      </c>
      <c r="H2118" s="25" t="str">
        <f>IF(J2118&lt;&gt;1,"",IF(I2118="SBJ","CB","?"))</f>
        <v> </v>
      </c>
      <c r="I2118" s="26" t="str">
        <f>IF(OR(E2118="",E2118="!!!",F2118="NEW"),"",INDEX(B2117:B$2,-1+SUMPRODUCT(MAX(ROW(E2117:E$2)*(E2118=E2117:E$2)))))</f>
        <v> </v>
      </c>
      <c r="J2118" s="26" t="str">
        <f>IF(OR(E2118="",E2118="!!!",F2118="NEW"),"",COUNTBLANK(OFFSET(A$1,,,SUMPRODUCT(MAX(ROW(E$2:E2118)*(E2118=E$2:E2118)))))-COUNTBLANK(OFFSET(A$1,,,SUMPRODUCT(MAX(ROW(E$1:E2117)*(E2=E$1:E2117))))))</f>
        <v> </v>
      </c>
      <c r="K2118" s="26" t="str">
        <f>IF(OR(E2118="",E2118="!!!",F2118="NEW"),"",INDEX(J$1:J2117,SUMPRODUCT(MAX(ROW(E$1:E2117)*(E2118=E$1:E2117)))))</f>
        <v> </v>
      </c>
      <c r="L2118" s="27"/>
    </row>
    <row r="2119" spans="1:12">
      <c r="A2119" s="20" t="s">
        <v>1715</v>
      </c>
      <c r="E2119" s="22">
        <f>IF(D2119="?OLD","!!!","")</f>
        <v/>
      </c>
      <c r="F2119" s="23" t="str">
        <f>IF(OR(E2119="",E2119="!!!"),"",IF(NOT(ISNA(VLOOKUP(E2119,E$1:E2118,1,FALSE()))),"OLD",IF(AND(E2119&lt;&gt;"",E2119&lt;&gt;"!!!"),"NEW","")))</f>
        <v> </v>
      </c>
      <c r="G2119" s="24" t="str">
        <f>IF(OR(E2119="",E2119="!!!"),"",IF(OR(J2119=0,AND(J2119=1,K2119=1),AND(J2119=1,I2119="SBJ"),AND(J2119=1,I2119=0)),"?IN_FOCUS",IF(J2119&lt;=2,"?ACTIVATED",IF(J2119&lt;&gt;"","?FAMILIAR",IF(F2119="NEW",IF(ISNA(VLOOKUP(E2119,#REF!,1,FALSE())),"?TYPE_IDENTIFIABLE","?REFERENTIAL"),"_")))))</f>
        <v> </v>
      </c>
      <c r="H2119" s="25" t="str">
        <f>IF(J2119&lt;&gt;1,"",IF(I2119="SBJ","CB","?"))</f>
        <v> </v>
      </c>
      <c r="I2119" s="26" t="str">
        <f>IF(OR(E2119="",E2119="!!!",F2119="NEW"),"",INDEX(B2118:B$2,-1+SUMPRODUCT(MAX(ROW(E2118:E$2)*(E2119=E2118:E$2)))))</f>
        <v> </v>
      </c>
      <c r="J2119" s="26" t="str">
        <f>IF(OR(E2119="",E2119="!!!",F2119="NEW"),"",COUNTBLANK(OFFSET(A$1,,,SUMPRODUCT(MAX(ROW(E$2:E2119)*(E2119=E$2:E2119)))))-COUNTBLANK(OFFSET(A$1,,,SUMPRODUCT(MAX(ROW(E$1:E2118)*(E2=E$1:E2118))))))</f>
        <v> </v>
      </c>
      <c r="K2119" s="26" t="str">
        <f>IF(OR(E2119="",E2119="!!!",F2119="NEW"),"",INDEX(J$1:J2118,SUMPRODUCT(MAX(ROW(E$1:E2118)*(E2119=E$1:E2118)))))</f>
        <v> </v>
      </c>
      <c r="L2119" s="27"/>
    </row>
    <row r="2120" spans="1:12">
      <c r="A2120" s="20" t="s">
        <v>1018</v>
      </c>
      <c r="E2120" s="22">
        <f>IF(D2120="?OLD","!!!","")</f>
        <v/>
      </c>
      <c r="F2120" s="23" t="str">
        <f>IF(OR(E2120="",E2120="!!!"),"",IF(NOT(ISNA(VLOOKUP(E2120,E$1:E2119,1,FALSE()))),"OLD",IF(AND(E2120&lt;&gt;"",E2120&lt;&gt;"!!!"),"NEW","")))</f>
        <v> </v>
      </c>
      <c r="G2120" s="24" t="str">
        <f>IF(OR(E2120="",E2120="!!!"),"",IF(OR(J2120=0,AND(J2120=1,K2120=1),AND(J2120=1,I2120="SBJ"),AND(J2120=1,I2120=0)),"?IN_FOCUS",IF(J2120&lt;=2,"?ACTIVATED",IF(J2120&lt;&gt;"","?FAMILIAR",IF(F2120="NEW",IF(ISNA(VLOOKUP(E2120,#REF!,1,FALSE())),"?TYPE_IDENTIFIABLE","?REFERENTIAL"),"_")))))</f>
        <v> </v>
      </c>
      <c r="H2120" s="25" t="str">
        <f>IF(J2120&lt;&gt;1,"",IF(I2120="SBJ","CB","?"))</f>
        <v> </v>
      </c>
      <c r="I2120" s="26" t="str">
        <f>IF(OR(E2120="",E2120="!!!",F2120="NEW"),"",INDEX(B2119:B$2,-1+SUMPRODUCT(MAX(ROW(E2119:E$2)*(E2120=E2119:E$2)))))</f>
        <v> </v>
      </c>
      <c r="J2120" s="26" t="str">
        <f>IF(OR(E2120="",E2120="!!!",F2120="NEW"),"",COUNTBLANK(OFFSET(A$1,,,SUMPRODUCT(MAX(ROW(E$2:E2120)*(E2120=E$2:E2120)))))-COUNTBLANK(OFFSET(A$1,,,SUMPRODUCT(MAX(ROW(E$1:E2119)*(E2=E$1:E2119))))))</f>
        <v> </v>
      </c>
      <c r="K2120" s="26" t="str">
        <f>IF(OR(E2120="",E2120="!!!",F2120="NEW"),"",INDEX(J$1:J2119,SUMPRODUCT(MAX(ROW(E$1:E2119)*(E2120=E$1:E2119)))))</f>
        <v> </v>
      </c>
      <c r="L2120" s="27"/>
    </row>
    <row r="2121" spans="1:12">
      <c r="A2121" s="20" t="s">
        <v>1020</v>
      </c>
      <c r="E2121" s="22">
        <f>IF(D2121="?OLD","!!!","")</f>
        <v/>
      </c>
      <c r="F2121" s="23" t="str">
        <f>IF(OR(E2121="",E2121="!!!"),"",IF(NOT(ISNA(VLOOKUP(E2121,E$1:E2120,1,FALSE()))),"OLD",IF(AND(E2121&lt;&gt;"",E2121&lt;&gt;"!!!"),"NEW","")))</f>
        <v> </v>
      </c>
      <c r="G2121" s="24" t="str">
        <f>IF(OR(E2121="",E2121="!!!"),"",IF(OR(J2121=0,AND(J2121=1,K2121=1),AND(J2121=1,I2121="SBJ"),AND(J2121=1,I2121=0)),"?IN_FOCUS",IF(J2121&lt;=2,"?ACTIVATED",IF(J2121&lt;&gt;"","?FAMILIAR",IF(F2121="NEW",IF(ISNA(VLOOKUP(E2121,#REF!,1,FALSE())),"?TYPE_IDENTIFIABLE","?REFERENTIAL"),"_")))))</f>
        <v> </v>
      </c>
      <c r="H2121" s="25" t="str">
        <f>IF(J2121&lt;&gt;1,"",IF(I2121="SBJ","CB","?"))</f>
        <v> </v>
      </c>
      <c r="I2121" s="26" t="str">
        <f>IF(OR(E2121="",E2121="!!!",F2121="NEW"),"",INDEX(B2120:B$2,-1+SUMPRODUCT(MAX(ROW(E2120:E$2)*(E2121=E2120:E$2)))))</f>
        <v> </v>
      </c>
      <c r="J2121" s="26" t="str">
        <f>IF(OR(E2121="",E2121="!!!",F2121="NEW"),"",COUNTBLANK(OFFSET(A$1,,,SUMPRODUCT(MAX(ROW(E$2:E2121)*(E2121=E$2:E2121)))))-COUNTBLANK(OFFSET(A$1,,,SUMPRODUCT(MAX(ROW(E$1:E2120)*(E2=E$1:E2120))))))</f>
        <v> </v>
      </c>
      <c r="K2121" s="26" t="str">
        <f>IF(OR(E2121="",E2121="!!!",F2121="NEW"),"",INDEX(J$1:J2120,SUMPRODUCT(MAX(ROW(E$1:E2120)*(E2121=E$1:E2120)))))</f>
        <v> </v>
      </c>
      <c r="L2121" s="27"/>
    </row>
    <row r="2122" spans="1:12">
      <c r="A2122" s="20" t="s">
        <v>1716</v>
      </c>
      <c r="B2122" s="21" t="s">
        <v>1064</v>
      </c>
      <c r="C2122" s="21" t="s">
        <v>1013</v>
      </c>
      <c r="D2122" s="21" t="s">
        <v>1007</v>
      </c>
      <c r="E2122" s="22">
        <f>IF(D2122="?OLD","!!!","")</f>
        <v/>
      </c>
      <c r="F2122" s="23" t="str">
        <f>IF(OR(E2122="",E2122="!!!"),"",IF(NOT(ISNA(VLOOKUP(E2122,E$1:E2121,1,FALSE()))),"OLD",IF(AND(E2122&lt;&gt;"",E2122&lt;&gt;"!!!"),"NEW","")))</f>
        <v> </v>
      </c>
      <c r="G2122" s="24" t="str">
        <f>IF(OR(E2122="",E2122="!!!"),"",IF(OR(J2122=0,AND(J2122=1,K2122=1),AND(J2122=1,I2122="SBJ"),AND(J2122=1,I2122=0)),"?IN_FOCUS",IF(J2122&lt;=2,"?ACTIVATED",IF(J2122&lt;&gt;"","?FAMILIAR",IF(F2122="NEW",IF(ISNA(VLOOKUP(E2122,#REF!,1,FALSE())),"?TYPE_IDENTIFIABLE","?REFERENTIAL"),"_")))))</f>
        <v> </v>
      </c>
      <c r="H2122" s="25" t="str">
        <f>IF(J2122&lt;&gt;1,"",IF(I2122="SBJ","CB","?"))</f>
        <v> </v>
      </c>
      <c r="I2122" s="26" t="str">
        <f>IF(OR(E2122="",E2122="!!!",F2122="NEW"),"",INDEX(B2121:B$2,-1+SUMPRODUCT(MAX(ROW(E2121:E$2)*(E2122=E2121:E$2)))))</f>
        <v> </v>
      </c>
      <c r="J2122" s="26" t="str">
        <f>IF(OR(E2122="",E2122="!!!",F2122="NEW"),"",COUNTBLANK(OFFSET(A$1,,,SUMPRODUCT(MAX(ROW(E$2:E2122)*(E2122=E$2:E2122)))))-COUNTBLANK(OFFSET(A$1,,,SUMPRODUCT(MAX(ROW(E$1:E2121)*(E2=E$1:E2121))))))</f>
        <v> </v>
      </c>
      <c r="K2122" s="26" t="str">
        <f>IF(OR(E2122="",E2122="!!!",F2122="NEW"),"",INDEX(J$1:J2121,SUMPRODUCT(MAX(ROW(E$1:E2121)*(E2122=E$1:E2121)))))</f>
        <v> </v>
      </c>
      <c r="L2122" s="27"/>
    </row>
    <row r="2123" spans="1:12">
      <c r="A2123" s="20" t="s">
        <v>1014</v>
      </c>
      <c r="E2123" s="22">
        <f>IF(D2123="?OLD","!!!","")</f>
        <v/>
      </c>
      <c r="F2123" s="23" t="str">
        <f>IF(OR(E2123="",E2123="!!!"),"",IF(NOT(ISNA(VLOOKUP(E2123,E$1:E2122,1,FALSE()))),"OLD",IF(AND(E2123&lt;&gt;"",E2123&lt;&gt;"!!!"),"NEW","")))</f>
        <v> </v>
      </c>
      <c r="G2123" s="24" t="str">
        <f>IF(OR(E2123="",E2123="!!!"),"",IF(OR(J2123=0,AND(J2123=1,K2123=1),AND(J2123=1,I2123="SBJ"),AND(J2123=1,I2123=0)),"?IN_FOCUS",IF(J2123&lt;=2,"?ACTIVATED",IF(J2123&lt;&gt;"","?FAMILIAR",IF(F2123="NEW",IF(ISNA(VLOOKUP(E2123,#REF!,1,FALSE())),"?TYPE_IDENTIFIABLE","?REFERENTIAL"),"_")))))</f>
        <v> </v>
      </c>
      <c r="H2123" s="25" t="str">
        <f>IF(J2123&lt;&gt;1,"",IF(I2123="SBJ","CB","?"))</f>
        <v> </v>
      </c>
      <c r="I2123" s="26" t="str">
        <f>IF(OR(E2123="",E2123="!!!",F2123="NEW"),"",INDEX(B2122:B$2,-1+SUMPRODUCT(MAX(ROW(E2122:E$2)*(E2123=E2122:E$2)))))</f>
        <v> </v>
      </c>
      <c r="J2123" s="26" t="str">
        <f>IF(OR(E2123="",E2123="!!!",F2123="NEW"),"",COUNTBLANK(OFFSET(A$1,,,SUMPRODUCT(MAX(ROW(E$2:E2123)*(E2123=E$2:E2123)))))-COUNTBLANK(OFFSET(A$1,,,SUMPRODUCT(MAX(ROW(E$1:E2122)*(E2=E$1:E2122))))))</f>
        <v> </v>
      </c>
      <c r="K2123" s="26" t="str">
        <f>IF(OR(E2123="",E2123="!!!",F2123="NEW"),"",INDEX(J$1:J2122,SUMPRODUCT(MAX(ROW(E$1:E2122)*(E2123=E$1:E2122)))))</f>
        <v> </v>
      </c>
      <c r="L2123" s="27"/>
    </row>
    <row r="2124" spans="1:12">
      <c r="A2124" s="20" t="s">
        <v>1602</v>
      </c>
      <c r="B2124" s="21" t="s">
        <v>1130</v>
      </c>
      <c r="C2124" s="21" t="s">
        <v>1048</v>
      </c>
      <c r="E2124" s="22">
        <f>IF(D2124="?OLD","!!!","")</f>
        <v/>
      </c>
      <c r="F2124" s="23" t="str">
        <f>IF(OR(E2124="",E2124="!!!"),"",IF(NOT(ISNA(VLOOKUP(E2124,E$1:E2123,1,FALSE()))),"OLD",IF(AND(E2124&lt;&gt;"",E2124&lt;&gt;"!!!"),"NEW","")))</f>
        <v> </v>
      </c>
      <c r="G2124" s="24" t="str">
        <f>IF(OR(E2124="",E2124="!!!"),"",IF(OR(J2124=0,AND(J2124=1,K2124=1),AND(J2124=1,I2124="SBJ"),AND(J2124=1,I2124=0)),"?IN_FOCUS",IF(J2124&lt;=2,"?ACTIVATED",IF(J2124&lt;&gt;"","?FAMILIAR",IF(F2124="NEW",IF(ISNA(VLOOKUP(E2124,#REF!,1,FALSE())),"?TYPE_IDENTIFIABLE","?REFERENTIAL"),"_")))))</f>
        <v> </v>
      </c>
      <c r="H2124" s="25" t="str">
        <f>IF(J2124&lt;&gt;1,"",IF(I2124="SBJ","CB","?"))</f>
        <v> </v>
      </c>
      <c r="I2124" s="26" t="str">
        <f>IF(OR(E2124="",E2124="!!!",F2124="NEW"),"",INDEX(B2123:B$2,-1+SUMPRODUCT(MAX(ROW(E2123:E$2)*(E2124=E2123:E$2)))))</f>
        <v> </v>
      </c>
      <c r="J2124" s="26" t="str">
        <f>IF(OR(E2124="",E2124="!!!",F2124="NEW"),"",COUNTBLANK(OFFSET(A$1,,,SUMPRODUCT(MAX(ROW(E$2:E2124)*(E2124=E$2:E2124)))))-COUNTBLANK(OFFSET(A$1,,,SUMPRODUCT(MAX(ROW(E$1:E2123)*(E2=E$1:E2123))))))</f>
        <v> </v>
      </c>
      <c r="K2124" s="26" t="str">
        <f>IF(OR(E2124="",E2124="!!!",F2124="NEW"),"",INDEX(J$1:J2123,SUMPRODUCT(MAX(ROW(E$1:E2123)*(E2124=E$1:E2123)))))</f>
        <v> </v>
      </c>
      <c r="L2124" s="27"/>
    </row>
    <row r="2125" spans="1:12">
      <c r="A2125" s="20" t="s">
        <v>1717</v>
      </c>
      <c r="E2125" s="22">
        <f>IF(D2125="?OLD","!!!","")</f>
        <v/>
      </c>
      <c r="F2125" s="23" t="str">
        <f>IF(OR(E2125="",E2125="!!!"),"",IF(NOT(ISNA(VLOOKUP(E2125,E$1:E2124,1,FALSE()))),"OLD",IF(AND(E2125&lt;&gt;"",E2125&lt;&gt;"!!!"),"NEW","")))</f>
        <v> </v>
      </c>
      <c r="G2125" s="24" t="str">
        <f>IF(OR(E2125="",E2125="!!!"),"",IF(OR(J2125=0,AND(J2125=1,K2125=1),AND(J2125=1,I2125="SBJ"),AND(J2125=1,I2125=0)),"?IN_FOCUS",IF(J2125&lt;=2,"?ACTIVATED",IF(J2125&lt;&gt;"","?FAMILIAR",IF(F2125="NEW",IF(ISNA(VLOOKUP(E2125,#REF!,1,FALSE())),"?TYPE_IDENTIFIABLE","?REFERENTIAL"),"_")))))</f>
        <v> </v>
      </c>
      <c r="H2125" s="25" t="str">
        <f>IF(J2125&lt;&gt;1,"",IF(I2125="SBJ","CB","?"))</f>
        <v> </v>
      </c>
      <c r="I2125" s="26" t="str">
        <f>IF(OR(E2125="",E2125="!!!",F2125="NEW"),"",INDEX(B2124:B$2,-1+SUMPRODUCT(MAX(ROW(E2124:E$2)*(E2125=E2124:E$2)))))</f>
        <v> </v>
      </c>
      <c r="J2125" s="26" t="str">
        <f>IF(OR(E2125="",E2125="!!!",F2125="NEW"),"",COUNTBLANK(OFFSET(A$1,,,SUMPRODUCT(MAX(ROW(E$2:E2125)*(E2125=E$2:E2125)))))-COUNTBLANK(OFFSET(A$1,,,SUMPRODUCT(MAX(ROW(E$1:E2124)*(E2=E$1:E2124))))))</f>
        <v> </v>
      </c>
      <c r="K2125" s="26" t="str">
        <f>IF(OR(E2125="",E2125="!!!",F2125="NEW"),"",INDEX(J$1:J2124,SUMPRODUCT(MAX(ROW(E$1:E2124)*(E2125=E$1:E2124)))))</f>
        <v> </v>
      </c>
      <c r="L2125" s="27"/>
    </row>
    <row r="2126" spans="1:12">
      <c r="A2126" s="20" t="s">
        <v>1065</v>
      </c>
      <c r="B2126" s="21" t="s">
        <v>1251</v>
      </c>
      <c r="E2126" s="22">
        <f>IF(D2126="?OLD","!!!","")</f>
        <v/>
      </c>
      <c r="F2126" s="23" t="str">
        <f>IF(OR(E2126="",E2126="!!!"),"",IF(NOT(ISNA(VLOOKUP(E2126,E$1:E2125,1,FALSE()))),"OLD",IF(AND(E2126&lt;&gt;"",E2126&lt;&gt;"!!!"),"NEW","")))</f>
        <v> </v>
      </c>
      <c r="G2126" s="24" t="str">
        <f>IF(OR(E2126="",E2126="!!!"),"",IF(OR(J2126=0,AND(J2126=1,K2126=1),AND(J2126=1,I2126="SBJ"),AND(J2126=1,I2126=0)),"?IN_FOCUS",IF(J2126&lt;=2,"?ACTIVATED",IF(J2126&lt;&gt;"","?FAMILIAR",IF(F2126="NEW",IF(ISNA(VLOOKUP(E2126,#REF!,1,FALSE())),"?TYPE_IDENTIFIABLE","?REFERENTIAL"),"_")))))</f>
        <v> </v>
      </c>
      <c r="H2126" s="25" t="str">
        <f>IF(J2126&lt;&gt;1,"",IF(I2126="SBJ","CB","?"))</f>
        <v> </v>
      </c>
      <c r="I2126" s="26" t="str">
        <f>IF(OR(E2126="",E2126="!!!",F2126="NEW"),"",INDEX(B2125:B$2,-1+SUMPRODUCT(MAX(ROW(E2125:E$2)*(E2126=E2125:E$2)))))</f>
        <v> </v>
      </c>
      <c r="J2126" s="26" t="str">
        <f>IF(OR(E2126="",E2126="!!!",F2126="NEW"),"",COUNTBLANK(OFFSET(A$1,,,SUMPRODUCT(MAX(ROW(E$2:E2126)*(E2126=E$2:E2126)))))-COUNTBLANK(OFFSET(A$1,,,SUMPRODUCT(MAX(ROW(E$1:E2125)*(E2=E$1:E2125))))))</f>
        <v> </v>
      </c>
      <c r="K2126" s="26" t="str">
        <f>IF(OR(E2126="",E2126="!!!",F2126="NEW"),"",INDEX(J$1:J2125,SUMPRODUCT(MAX(ROW(E$1:E2125)*(E2126=E$1:E2125)))))</f>
        <v> </v>
      </c>
      <c r="L2126" s="27"/>
    </row>
    <row r="2127" spans="1:12">
      <c r="A2127" s="20" t="s">
        <v>1264</v>
      </c>
      <c r="E2127" s="22">
        <f>IF(D2127="?OLD","!!!","")</f>
        <v/>
      </c>
      <c r="F2127" s="23" t="str">
        <f>IF(OR(E2127="",E2127="!!!"),"",IF(NOT(ISNA(VLOOKUP(E2127,E$1:E2126,1,FALSE()))),"OLD",IF(AND(E2127&lt;&gt;"",E2127&lt;&gt;"!!!"),"NEW","")))</f>
        <v> </v>
      </c>
      <c r="G2127" s="24" t="str">
        <f>IF(OR(E2127="",E2127="!!!"),"",IF(OR(J2127=0,AND(J2127=1,K2127=1),AND(J2127=1,I2127="SBJ"),AND(J2127=1,I2127=0)),"?IN_FOCUS",IF(J2127&lt;=2,"?ACTIVATED",IF(J2127&lt;&gt;"","?FAMILIAR",IF(F2127="NEW",IF(ISNA(VLOOKUP(E2127,#REF!,1,FALSE())),"?TYPE_IDENTIFIABLE","?REFERENTIAL"),"_")))))</f>
        <v> </v>
      </c>
      <c r="H2127" s="25" t="str">
        <f>IF(J2127&lt;&gt;1,"",IF(I2127="SBJ","CB","?"))</f>
        <v> </v>
      </c>
      <c r="I2127" s="26" t="str">
        <f>IF(OR(E2127="",E2127="!!!",F2127="NEW"),"",INDEX(B2126:B$2,-1+SUMPRODUCT(MAX(ROW(E2126:E$2)*(E2127=E2126:E$2)))))</f>
        <v> </v>
      </c>
      <c r="J2127" s="26" t="str">
        <f>IF(OR(E2127="",E2127="!!!",F2127="NEW"),"",COUNTBLANK(OFFSET(A$1,,,SUMPRODUCT(MAX(ROW(E$2:E2127)*(E2127=E$2:E2127)))))-COUNTBLANK(OFFSET(A$1,,,SUMPRODUCT(MAX(ROW(E$1:E2126)*(E2=E$1:E2126))))))</f>
        <v> </v>
      </c>
      <c r="K2127" s="26" t="str">
        <f>IF(OR(E2127="",E2127="!!!",F2127="NEW"),"",INDEX(J$1:J2126,SUMPRODUCT(MAX(ROW(E$1:E2126)*(E2127=E$1:E2126)))))</f>
        <v> </v>
      </c>
      <c r="L2127" s="27"/>
    </row>
    <row r="2128" spans="1:12">
      <c r="A2128" s="20" t="s">
        <v>1020</v>
      </c>
      <c r="E2128" s="22">
        <f>IF(D2128="?OLD","!!!","")</f>
        <v/>
      </c>
      <c r="F2128" s="23" t="str">
        <f>IF(OR(E2128="",E2128="!!!"),"",IF(NOT(ISNA(VLOOKUP(E2128,E$1:E2127,1,FALSE()))),"OLD",IF(AND(E2128&lt;&gt;"",E2128&lt;&gt;"!!!"),"NEW","")))</f>
        <v> </v>
      </c>
      <c r="G2128" s="24" t="str">
        <f>IF(OR(E2128="",E2128="!!!"),"",IF(OR(J2128=0,AND(J2128=1,K2128=1),AND(J2128=1,I2128="SBJ"),AND(J2128=1,I2128=0)),"?IN_FOCUS",IF(J2128&lt;=2,"?ACTIVATED",IF(J2128&lt;&gt;"","?FAMILIAR",IF(F2128="NEW",IF(ISNA(VLOOKUP(E2128,#REF!,1,FALSE())),"?TYPE_IDENTIFIABLE","?REFERENTIAL"),"_")))))</f>
        <v> </v>
      </c>
      <c r="H2128" s="25" t="str">
        <f>IF(J2128&lt;&gt;1,"",IF(I2128="SBJ","CB","?"))</f>
        <v> </v>
      </c>
      <c r="I2128" s="26" t="str">
        <f>IF(OR(E2128="",E2128="!!!",F2128="NEW"),"",INDEX(B2127:B$2,-1+SUMPRODUCT(MAX(ROW(E2127:E$2)*(E2128=E2127:E$2)))))</f>
        <v> </v>
      </c>
      <c r="J2128" s="26" t="str">
        <f>IF(OR(E2128="",E2128="!!!",F2128="NEW"),"",COUNTBLANK(OFFSET(A$1,,,SUMPRODUCT(MAX(ROW(E$2:E2128)*(E2128=E$2:E2128)))))-COUNTBLANK(OFFSET(A$1,,,SUMPRODUCT(MAX(ROW(E$1:E2127)*(E2=E$1:E2127))))))</f>
        <v> </v>
      </c>
      <c r="K2128" s="26" t="str">
        <f>IF(OR(E2128="",E2128="!!!",F2128="NEW"),"",INDEX(J$1:J2127,SUMPRODUCT(MAX(ROW(E$1:E2127)*(E2128=E$1:E2127)))))</f>
        <v> </v>
      </c>
      <c r="L2128" s="27"/>
    </row>
    <row r="2129" spans="1:12">
      <c r="A2129" s="20" t="s">
        <v>238</v>
      </c>
      <c r="E2129" s="22">
        <f>IF(D2129="?OLD","!!!","")</f>
        <v/>
      </c>
      <c r="F2129" s="23" t="str">
        <f>IF(OR(E2129="",E2129="!!!"),"",IF(NOT(ISNA(VLOOKUP(E2129,E$1:E2128,1,FALSE()))),"OLD",IF(AND(E2129&lt;&gt;"",E2129&lt;&gt;"!!!"),"NEW","")))</f>
        <v> </v>
      </c>
      <c r="G2129" s="24" t="str">
        <f>IF(OR(E2129="",E2129="!!!"),"",IF(OR(J2129=0,AND(J2129=1,K2129=1),AND(J2129=1,I2129="SBJ"),AND(J2129=1,I2129=0)),"?IN_FOCUS",IF(J2129&lt;=2,"?ACTIVATED",IF(J2129&lt;&gt;"","?FAMILIAR",IF(F2129="NEW",IF(ISNA(VLOOKUP(E2129,#REF!,1,FALSE())),"?TYPE_IDENTIFIABLE","?REFERENTIAL"),"_")))))</f>
        <v> </v>
      </c>
      <c r="H2129" s="25" t="str">
        <f>IF(J2129&lt;&gt;1,"",IF(I2129="SBJ","CB","?"))</f>
        <v> </v>
      </c>
      <c r="I2129" s="26" t="str">
        <f>IF(OR(E2129="",E2129="!!!",F2129="NEW"),"",INDEX(B2128:B$2,-1+SUMPRODUCT(MAX(ROW(E2128:E$2)*(E2129=E2128:E$2)))))</f>
        <v> </v>
      </c>
      <c r="J2129" s="26" t="str">
        <f>IF(OR(E2129="",E2129="!!!",F2129="NEW"),"",COUNTBLANK(OFFSET(A$1,,,SUMPRODUCT(MAX(ROW(E$2:E2129)*(E2129=E$2:E2129)))))-COUNTBLANK(OFFSET(A$1,,,SUMPRODUCT(MAX(ROW(E$1:E2128)*(E2=E$1:E2128))))))</f>
        <v> </v>
      </c>
      <c r="K2129" s="26" t="str">
        <f>IF(OR(E2129="",E2129="!!!",F2129="NEW"),"",INDEX(J$1:J2128,SUMPRODUCT(MAX(ROW(E$1:E2128)*(E2129=E$1:E2128)))))</f>
        <v> </v>
      </c>
      <c r="L2129" s="27"/>
    </row>
    <row r="2130" spans="1:12">
      <c r="A2130" s="20" t="s">
        <v>1718</v>
      </c>
      <c r="E2130" s="22">
        <f>IF(D2130="?OLD","!!!","")</f>
        <v/>
      </c>
      <c r="F2130" s="23" t="str">
        <f>IF(OR(E2130="",E2130="!!!"),"",IF(NOT(ISNA(VLOOKUP(E2130,E$1:E2129,1,FALSE()))),"OLD",IF(AND(E2130&lt;&gt;"",E2130&lt;&gt;"!!!"),"NEW","")))</f>
        <v> </v>
      </c>
      <c r="G2130" s="24" t="str">
        <f>IF(OR(E2130="",E2130="!!!"),"",IF(OR(J2130=0,AND(J2130=1,K2130=1),AND(J2130=1,I2130="SBJ"),AND(J2130=1,I2130=0)),"?IN_FOCUS",IF(J2130&lt;=2,"?ACTIVATED",IF(J2130&lt;&gt;"","?FAMILIAR",IF(F2130="NEW",IF(ISNA(VLOOKUP(E2130,#REF!,1,FALSE())),"?TYPE_IDENTIFIABLE","?REFERENTIAL"),"_")))))</f>
        <v> </v>
      </c>
      <c r="H2130" s="25" t="str">
        <f>IF(J2130&lt;&gt;1,"",IF(I2130="SBJ","CB","?"))</f>
        <v> </v>
      </c>
      <c r="I2130" s="26" t="str">
        <f>IF(OR(E2130="",E2130="!!!",F2130="NEW"),"",INDEX(B2129:B$2,-1+SUMPRODUCT(MAX(ROW(E2129:E$2)*(E2130=E2129:E$2)))))</f>
        <v> </v>
      </c>
      <c r="J2130" s="26" t="str">
        <f>IF(OR(E2130="",E2130="!!!",F2130="NEW"),"",COUNTBLANK(OFFSET(A$1,,,SUMPRODUCT(MAX(ROW(E$2:E2130)*(E2130=E$2:E2130)))))-COUNTBLANK(OFFSET(A$1,,,SUMPRODUCT(MAX(ROW(E$1:E2129)*(E2=E$1:E2129))))))</f>
        <v> </v>
      </c>
      <c r="K2130" s="26" t="str">
        <f>IF(OR(E2130="",E2130="!!!",F2130="NEW"),"",INDEX(J$1:J2129,SUMPRODUCT(MAX(ROW(E$1:E2129)*(E2130=E$1:E2129)))))</f>
        <v> </v>
      </c>
      <c r="L2130" s="27"/>
    </row>
    <row r="2131" spans="1:12">
      <c r="A2131" s="20" t="s">
        <v>1023</v>
      </c>
      <c r="E2131" s="22">
        <f>IF(D2131="?OLD","!!!","")</f>
        <v/>
      </c>
      <c r="F2131" s="23" t="str">
        <f>IF(OR(E2131="",E2131="!!!"),"",IF(NOT(ISNA(VLOOKUP(E2131,E$1:E2130,1,FALSE()))),"OLD",IF(AND(E2131&lt;&gt;"",E2131&lt;&gt;"!!!"),"NEW","")))</f>
        <v> </v>
      </c>
      <c r="G2131" s="24" t="str">
        <f>IF(OR(E2131="",E2131="!!!"),"",IF(OR(J2131=0,AND(J2131=1,K2131=1),AND(J2131=1,I2131="SBJ"),AND(J2131=1,I2131=0)),"?IN_FOCUS",IF(J2131&lt;=2,"?ACTIVATED",IF(J2131&lt;&gt;"","?FAMILIAR",IF(F2131="NEW",IF(ISNA(VLOOKUP(E2131,#REF!,1,FALSE())),"?TYPE_IDENTIFIABLE","?REFERENTIAL"),"_")))))</f>
        <v> </v>
      </c>
      <c r="H2131" s="25" t="str">
        <f>IF(J2131&lt;&gt;1,"",IF(I2131="SBJ","CB","?"))</f>
        <v> </v>
      </c>
      <c r="I2131" s="26" t="str">
        <f>IF(OR(E2131="",E2131="!!!",F2131="NEW"),"",INDEX(B2130:B$2,-1+SUMPRODUCT(MAX(ROW(E2130:E$2)*(E2131=E2130:E$2)))))</f>
        <v> </v>
      </c>
      <c r="J2131" s="26" t="str">
        <f>IF(OR(E2131="",E2131="!!!",F2131="NEW"),"",COUNTBLANK(OFFSET(A$1,,,SUMPRODUCT(MAX(ROW(E$2:E2131)*(E2131=E$2:E2131)))))-COUNTBLANK(OFFSET(A$1,,,SUMPRODUCT(MAX(ROW(E$1:E2130)*(E2=E$1:E2130))))))</f>
        <v> </v>
      </c>
      <c r="K2131" s="26" t="str">
        <f>IF(OR(E2131="",E2131="!!!",F2131="NEW"),"",INDEX(J$1:J2130,SUMPRODUCT(MAX(ROW(E$1:E2130)*(E2131=E$1:E2130)))))</f>
        <v> </v>
      </c>
      <c r="L2131" s="27"/>
    </row>
    <row r="2132" spans="1:12">
      <c r="A2132" s="20"/>
    </row>
    <row r="2133" spans="1:12">
      <c r="A2133" s="20" t="s">
        <v>1719</v>
      </c>
    </row>
    <row r="2134" spans="1:12">
      <c r="A2134" s="20" t="s">
        <v>1720</v>
      </c>
      <c r="B2134" s="21" t="s">
        <v>1050</v>
      </c>
      <c r="C2134" s="21" t="s">
        <v>1082</v>
      </c>
      <c r="D2134" s="21" t="s">
        <v>1007</v>
      </c>
      <c r="E2134" s="22">
        <f>IF(D2134="?OLD","!!!","")</f>
        <v/>
      </c>
      <c r="F2134" s="23" t="str">
        <f>IF(OR(E2134="",E2134="!!!"),"",IF(NOT(ISNA(VLOOKUP(E2134,E$1:E2133,1,FALSE()))),"OLD",IF(AND(E2134&lt;&gt;"",E2134&lt;&gt;"!!!"),"NEW","")))</f>
        <v> </v>
      </c>
      <c r="G2134" s="24" t="str">
        <f>IF(OR(E2134="",E2134="!!!"),"",IF(OR(J2134=0,AND(J2134=1,K2134=1),AND(J2134=1,I2134="SBJ"),AND(J2134=1,I2134=0)),"?IN_FOCUS",IF(J2134&lt;=2,"?ACTIVATED",IF(J2134&lt;&gt;"","?FAMILIAR",IF(F2134="NEW",IF(ISNA(VLOOKUP(E2134,#REF!,1,FALSE())),"?TYPE_IDENTIFIABLE","?REFERENTIAL"),"_")))))</f>
        <v> </v>
      </c>
      <c r="H2134" s="25" t="str">
        <f>IF(J2134&lt;&gt;1,"",IF(I2134="SBJ","CB","?"))</f>
        <v> </v>
      </c>
      <c r="I2134" s="26" t="str">
        <f>IF(OR(E2134="",E2134="!!!",F2134="NEW"),"",INDEX(B2133:B$2,-1+SUMPRODUCT(MAX(ROW(E2133:E$2)*(E2134=E2133:E$2)))))</f>
        <v> </v>
      </c>
      <c r="J2134" s="26" t="str">
        <f>IF(OR(E2134="",E2134="!!!",F2134="NEW"),"",COUNTBLANK(OFFSET(A$1,,,SUMPRODUCT(MAX(ROW(E$2:E2134)*(E2134=E$2:E2134)))))-COUNTBLANK(OFFSET(A$1,,,SUMPRODUCT(MAX(ROW(E$1:E2133)*(E2=E$1:E2133))))))</f>
        <v> </v>
      </c>
      <c r="K2134" s="26" t="str">
        <f>IF(OR(E2134="",E2134="!!!",F2134="NEW"),"",INDEX(J$1:J2133,SUMPRODUCT(MAX(ROW(E$1:E2133)*(E2134=E$1:E2133)))))</f>
        <v> </v>
      </c>
      <c r="L2134" s="27"/>
    </row>
    <row r="2135" spans="1:12">
      <c r="A2135" s="20" t="s">
        <v>1481</v>
      </c>
      <c r="E2135" s="22">
        <f>IF(D2135="?OLD","!!!","")</f>
        <v/>
      </c>
      <c r="F2135" s="23" t="str">
        <f>IF(OR(E2135="",E2135="!!!"),"",IF(NOT(ISNA(VLOOKUP(E2135,E$1:E2134,1,FALSE()))),"OLD",IF(AND(E2135&lt;&gt;"",E2135&lt;&gt;"!!!"),"NEW","")))</f>
        <v> </v>
      </c>
      <c r="G2135" s="24" t="str">
        <f>IF(OR(E2135="",E2135="!!!"),"",IF(OR(J2135=0,AND(J2135=1,K2135=1),AND(J2135=1,I2135="SBJ"),AND(J2135=1,I2135=0)),"?IN_FOCUS",IF(J2135&lt;=2,"?ACTIVATED",IF(J2135&lt;&gt;"","?FAMILIAR",IF(F2135="NEW",IF(ISNA(VLOOKUP(E2135,#REF!,1,FALSE())),"?TYPE_IDENTIFIABLE","?REFERENTIAL"),"_")))))</f>
        <v> </v>
      </c>
      <c r="H2135" s="25" t="str">
        <f>IF(J2135&lt;&gt;1,"",IF(I2135="SBJ","CB","?"))</f>
        <v> </v>
      </c>
      <c r="I2135" s="26" t="str">
        <f>IF(OR(E2135="",E2135="!!!",F2135="NEW"),"",INDEX(B2134:B$2,-1+SUMPRODUCT(MAX(ROW(E2134:E$2)*(E2135=E2134:E$2)))))</f>
        <v> </v>
      </c>
      <c r="J2135" s="26" t="str">
        <f>IF(OR(E2135="",E2135="!!!",F2135="NEW"),"",COUNTBLANK(OFFSET(A$1,,,SUMPRODUCT(MAX(ROW(E$2:E2135)*(E2135=E$2:E2135)))))-COUNTBLANK(OFFSET(A$1,,,SUMPRODUCT(MAX(ROW(E$1:E2134)*(E2=E$1:E2134))))))</f>
        <v> </v>
      </c>
      <c r="K2135" s="26" t="str">
        <f>IF(OR(E2135="",E2135="!!!",F2135="NEW"),"",INDEX(J$1:J2134,SUMPRODUCT(MAX(ROW(E$1:E2134)*(E2135=E$1:E2134)))))</f>
        <v> </v>
      </c>
      <c r="L2135" s="27"/>
    </row>
    <row r="2136" spans="1:12">
      <c r="A2136" s="20" t="s">
        <v>1065</v>
      </c>
      <c r="B2136" s="21" t="s">
        <v>1085</v>
      </c>
      <c r="E2136" s="22">
        <f>IF(D2136="?OLD","!!!","")</f>
        <v/>
      </c>
      <c r="F2136" s="23" t="str">
        <f>IF(OR(E2136="",E2136="!!!"),"",IF(NOT(ISNA(VLOOKUP(E2136,E$1:E2135,1,FALSE()))),"OLD",IF(AND(E2136&lt;&gt;"",E2136&lt;&gt;"!!!"),"NEW","")))</f>
        <v> </v>
      </c>
      <c r="G2136" s="24" t="str">
        <f>IF(OR(E2136="",E2136="!!!"),"",IF(OR(J2136=0,AND(J2136=1,K2136=1),AND(J2136=1,I2136="SBJ"),AND(J2136=1,I2136=0)),"?IN_FOCUS",IF(J2136&lt;=2,"?ACTIVATED",IF(J2136&lt;&gt;"","?FAMILIAR",IF(F2136="NEW",IF(ISNA(VLOOKUP(E2136,#REF!,1,FALSE())),"?TYPE_IDENTIFIABLE","?REFERENTIAL"),"_")))))</f>
        <v> </v>
      </c>
      <c r="H2136" s="25" t="str">
        <f>IF(J2136&lt;&gt;1,"",IF(I2136="SBJ","CB","?"))</f>
        <v> </v>
      </c>
      <c r="I2136" s="26" t="str">
        <f>IF(OR(E2136="",E2136="!!!",F2136="NEW"),"",INDEX(B2135:B$2,-1+SUMPRODUCT(MAX(ROW(E2135:E$2)*(E2136=E2135:E$2)))))</f>
        <v> </v>
      </c>
      <c r="J2136" s="26" t="str">
        <f>IF(OR(E2136="",E2136="!!!",F2136="NEW"),"",COUNTBLANK(OFFSET(A$1,,,SUMPRODUCT(MAX(ROW(E$2:E2136)*(E2136=E$2:E2136)))))-COUNTBLANK(OFFSET(A$1,,,SUMPRODUCT(MAX(ROW(E$1:E2135)*(E2=E$1:E2135))))))</f>
        <v> </v>
      </c>
      <c r="K2136" s="26" t="str">
        <f>IF(OR(E2136="",E2136="!!!",F2136="NEW"),"",INDEX(J$1:J2135,SUMPRODUCT(MAX(ROW(E$1:E2135)*(E2136=E$1:E2135)))))</f>
        <v> </v>
      </c>
      <c r="L2136" s="27"/>
    </row>
    <row r="2137" spans="1:12">
      <c r="A2137" s="20" t="s">
        <v>1142</v>
      </c>
      <c r="E2137" s="22">
        <f>IF(D2137="?OLD","!!!","")</f>
        <v/>
      </c>
      <c r="F2137" s="23" t="str">
        <f>IF(OR(E2137="",E2137="!!!"),"",IF(NOT(ISNA(VLOOKUP(E2137,E$1:E2136,1,FALSE()))),"OLD",IF(AND(E2137&lt;&gt;"",E2137&lt;&gt;"!!!"),"NEW","")))</f>
        <v> </v>
      </c>
      <c r="G2137" s="24" t="str">
        <f>IF(OR(E2137="",E2137="!!!"),"",IF(OR(J2137=0,AND(J2137=1,K2137=1),AND(J2137=1,I2137="SBJ"),AND(J2137=1,I2137=0)),"?IN_FOCUS",IF(J2137&lt;=2,"?ACTIVATED",IF(J2137&lt;&gt;"","?FAMILIAR",IF(F2137="NEW",IF(ISNA(VLOOKUP(E2137,#REF!,1,FALSE())),"?TYPE_IDENTIFIABLE","?REFERENTIAL"),"_")))))</f>
        <v> </v>
      </c>
      <c r="H2137" s="25" t="str">
        <f>IF(J2137&lt;&gt;1,"",IF(I2137="SBJ","CB","?"))</f>
        <v> </v>
      </c>
      <c r="I2137" s="26" t="str">
        <f>IF(OR(E2137="",E2137="!!!",F2137="NEW"),"",INDEX(B2136:B$2,-1+SUMPRODUCT(MAX(ROW(E2136:E$2)*(E2137=E2136:E$2)))))</f>
        <v> </v>
      </c>
      <c r="J2137" s="26" t="str">
        <f>IF(OR(E2137="",E2137="!!!",F2137="NEW"),"",COUNTBLANK(OFFSET(A$1,,,SUMPRODUCT(MAX(ROW(E$2:E2137)*(E2137=E$2:E2137)))))-COUNTBLANK(OFFSET(A$1,,,SUMPRODUCT(MAX(ROW(E$1:E2136)*(E2=E$1:E2136))))))</f>
        <v> </v>
      </c>
      <c r="K2137" s="26" t="str">
        <f>IF(OR(E2137="",E2137="!!!",F2137="NEW"),"",INDEX(J$1:J2136,SUMPRODUCT(MAX(ROW(E$1:E2136)*(E2137=E$1:E2136)))))</f>
        <v> </v>
      </c>
      <c r="L2137" s="27"/>
    </row>
    <row r="2138" spans="1:12">
      <c r="A2138" s="20" t="s">
        <v>1023</v>
      </c>
      <c r="E2138" s="22">
        <f>IF(D2138="?OLD","!!!","")</f>
        <v/>
      </c>
      <c r="F2138" s="23" t="str">
        <f>IF(OR(E2138="",E2138="!!!"),"",IF(NOT(ISNA(VLOOKUP(E2138,E$1:E2137,1,FALSE()))),"OLD",IF(AND(E2138&lt;&gt;"",E2138&lt;&gt;"!!!"),"NEW","")))</f>
        <v> </v>
      </c>
      <c r="G2138" s="24" t="str">
        <f>IF(OR(E2138="",E2138="!!!"),"",IF(OR(J2138=0,AND(J2138=1,K2138=1),AND(J2138=1,I2138="SBJ"),AND(J2138=1,I2138=0)),"?IN_FOCUS",IF(J2138&lt;=2,"?ACTIVATED",IF(J2138&lt;&gt;"","?FAMILIAR",IF(F2138="NEW",IF(ISNA(VLOOKUP(E2138,#REF!,1,FALSE())),"?TYPE_IDENTIFIABLE","?REFERENTIAL"),"_")))))</f>
        <v> </v>
      </c>
      <c r="H2138" s="25" t="str">
        <f>IF(J2138&lt;&gt;1,"",IF(I2138="SBJ","CB","?"))</f>
        <v> </v>
      </c>
      <c r="I2138" s="26" t="str">
        <f>IF(OR(E2138="",E2138="!!!",F2138="NEW"),"",INDEX(B2137:B$2,-1+SUMPRODUCT(MAX(ROW(E2137:E$2)*(E2138=E2137:E$2)))))</f>
        <v> </v>
      </c>
      <c r="J2138" s="26" t="str">
        <f>IF(OR(E2138="",E2138="!!!",F2138="NEW"),"",COUNTBLANK(OFFSET(A$1,,,SUMPRODUCT(MAX(ROW(E$2:E2138)*(E2138=E$2:E2138)))))-COUNTBLANK(OFFSET(A$1,,,SUMPRODUCT(MAX(ROW(E$1:E2137)*(E2=E$1:E2137))))))</f>
        <v> </v>
      </c>
      <c r="K2138" s="26" t="str">
        <f>IF(OR(E2138="",E2138="!!!",F2138="NEW"),"",INDEX(J$1:J2137,SUMPRODUCT(MAX(ROW(E$1:E2137)*(E2138=E$1:E2137)))))</f>
        <v> </v>
      </c>
      <c r="L2138" s="27"/>
    </row>
    <row r="2139" spans="1:12">
      <c r="A2139" s="20"/>
    </row>
    <row r="2140" spans="1:12">
      <c r="A2140" s="20" t="s">
        <v>1184</v>
      </c>
      <c r="E2140" s="22">
        <f>IF(D2140="?OLD","!!!","")</f>
        <v/>
      </c>
      <c r="F2140" s="23" t="str">
        <f>IF(OR(E2140="",E2140="!!!"),"",IF(NOT(ISNA(VLOOKUP(E2140,E$1:E2139,1,FALSE()))),"OLD",IF(AND(E2140&lt;&gt;"",E2140&lt;&gt;"!!!"),"NEW","")))</f>
        <v> </v>
      </c>
      <c r="G2140" s="24" t="str">
        <f>IF(OR(E2140="",E2140="!!!"),"",IF(OR(J2140=0,AND(J2140=1,K2140=1),AND(J2140=1,I2140="SBJ"),AND(J2140=1,I2140=0)),"?IN_FOCUS",IF(J2140&lt;=2,"?ACTIVATED",IF(J2140&lt;&gt;"","?FAMILIAR",IF(F2140="NEW",IF(ISNA(VLOOKUP(E2140,#REF!,1,FALSE())),"?TYPE_IDENTIFIABLE","?REFERENTIAL"),"_")))))</f>
        <v> </v>
      </c>
      <c r="H2140" s="25" t="str">
        <f>IF(J2140&lt;&gt;1,"",IF(I2140="SBJ","CB","?"))</f>
        <v> </v>
      </c>
      <c r="I2140" s="26" t="str">
        <f>IF(OR(E2140="",E2140="!!!",F2140="NEW"),"",INDEX(B2139:B$2,-1+SUMPRODUCT(MAX(ROW(E2139:E$2)*(E2140=E2139:E$2)))))</f>
        <v> </v>
      </c>
      <c r="J2140" s="26" t="str">
        <f>IF(OR(E2140="",E2140="!!!",F2140="NEW"),"",COUNTBLANK(OFFSET(A$1,,,SUMPRODUCT(MAX(ROW(E$2:E2140)*(E2140=E$2:E2140)))))-COUNTBLANK(OFFSET(A$1,,,SUMPRODUCT(MAX(ROW(E$1:E2139)*(E2=E$1:E2139))))))</f>
        <v> </v>
      </c>
      <c r="K2140" s="26" t="str">
        <f>IF(OR(E2140="",E2140="!!!",F2140="NEW"),"",INDEX(J$1:J2139,SUMPRODUCT(MAX(ROW(E$1:E2139)*(E2140=E$1:E2139)))))</f>
        <v> </v>
      </c>
      <c r="L2140" s="27"/>
    </row>
    <row r="2141" spans="1:12">
      <c r="A2141" s="20" t="s">
        <v>1721</v>
      </c>
    </row>
    <row r="2142" spans="1:12">
      <c r="A2142" s="20" t="s">
        <v>1722</v>
      </c>
      <c r="E2142" s="22">
        <f>IF(D2142="?OLD","!!!","")</f>
        <v/>
      </c>
      <c r="F2142" s="23" t="str">
        <f>IF(OR(E2142="",E2142="!!!"),"",IF(NOT(ISNA(VLOOKUP(E2142,E$1:E2141,1,FALSE()))),"OLD",IF(AND(E2142&lt;&gt;"",E2142&lt;&gt;"!!!"),"NEW","")))</f>
        <v> </v>
      </c>
      <c r="G2142" s="24" t="str">
        <f>IF(OR(E2142="",E2142="!!!"),"",IF(OR(J2142=0,AND(J2142=1,K2142=1),AND(J2142=1,I2142="SBJ"),AND(J2142=1,I2142=0)),"?IN_FOCUS",IF(J2142&lt;=2,"?ACTIVATED",IF(J2142&lt;&gt;"","?FAMILIAR",IF(F2142="NEW",IF(ISNA(VLOOKUP(E2142,#REF!,1,FALSE())),"?TYPE_IDENTIFIABLE","?REFERENTIAL"),"_")))))</f>
        <v> </v>
      </c>
      <c r="H2142" s="25" t="str">
        <f>IF(J2142&lt;&gt;1,"",IF(I2142="SBJ","CB","?"))</f>
        <v> </v>
      </c>
      <c r="I2142" s="26" t="str">
        <f>IF(OR(E2142="",E2142="!!!",F2142="NEW"),"",INDEX(B2141:B$2,-1+SUMPRODUCT(MAX(ROW(E2141:E$2)*(E2142=E2141:E$2)))))</f>
        <v> </v>
      </c>
      <c r="J2142" s="26" t="str">
        <f>IF(OR(E2142="",E2142="!!!",F2142="NEW"),"",COUNTBLANK(OFFSET(A$1,,,SUMPRODUCT(MAX(ROW(E$2:E2142)*(E2142=E$2:E2142)))))-COUNTBLANK(OFFSET(A$1,,,SUMPRODUCT(MAX(ROW(E$1:E2141)*(E2=E$1:E2141))))))</f>
        <v> </v>
      </c>
      <c r="K2142" s="26" t="str">
        <f>IF(OR(E2142="",E2142="!!!",F2142="NEW"),"",INDEX(J$1:J2141,SUMPRODUCT(MAX(ROW(E$1:E2141)*(E2142=E$1:E2141)))))</f>
        <v> </v>
      </c>
      <c r="L2142" s="27"/>
    </row>
    <row r="2143" spans="1:12">
      <c r="A2143" s="20" t="s">
        <v>1009</v>
      </c>
      <c r="E2143" s="22">
        <f>IF(D2143="?OLD","!!!","")</f>
        <v/>
      </c>
      <c r="F2143" s="23" t="str">
        <f>IF(OR(E2143="",E2143="!!!"),"",IF(NOT(ISNA(VLOOKUP(E2143,E$1:E2142,1,FALSE()))),"OLD",IF(AND(E2143&lt;&gt;"",E2143&lt;&gt;"!!!"),"NEW","")))</f>
        <v> </v>
      </c>
      <c r="G2143" s="24" t="str">
        <f>IF(OR(E2143="",E2143="!!!"),"",IF(OR(J2143=0,AND(J2143=1,K2143=1),AND(J2143=1,I2143="SBJ"),AND(J2143=1,I2143=0)),"?IN_FOCUS",IF(J2143&lt;=2,"?ACTIVATED",IF(J2143&lt;&gt;"","?FAMILIAR",IF(F2143="NEW",IF(ISNA(VLOOKUP(E2143,#REF!,1,FALSE())),"?TYPE_IDENTIFIABLE","?REFERENTIAL"),"_")))))</f>
        <v> </v>
      </c>
      <c r="H2143" s="25" t="str">
        <f>IF(J2143&lt;&gt;1,"",IF(I2143="SBJ","CB","?"))</f>
        <v> </v>
      </c>
      <c r="I2143" s="26" t="str">
        <f>IF(OR(E2143="",E2143="!!!",F2143="NEW"),"",INDEX(B2142:B$2,-1+SUMPRODUCT(MAX(ROW(E2142:E$2)*(E2143=E2142:E$2)))))</f>
        <v> </v>
      </c>
      <c r="J2143" s="26" t="str">
        <f>IF(OR(E2143="",E2143="!!!",F2143="NEW"),"",COUNTBLANK(OFFSET(A$1,,,SUMPRODUCT(MAX(ROW(E$2:E2143)*(E2143=E$2:E2143)))))-COUNTBLANK(OFFSET(A$1,,,SUMPRODUCT(MAX(ROW(E$1:E2142)*(E2=E$1:E2142))))))</f>
        <v> </v>
      </c>
      <c r="K2143" s="26" t="str">
        <f>IF(OR(E2143="",E2143="!!!",F2143="NEW"),"",INDEX(J$1:J2142,SUMPRODUCT(MAX(ROW(E$1:E2142)*(E2143=E$1:E2142)))))</f>
        <v> </v>
      </c>
      <c r="L2143" s="27"/>
    </row>
    <row r="2144" spans="1:12">
      <c r="A2144" s="20" t="s">
        <v>1189</v>
      </c>
      <c r="E2144" s="22">
        <f>IF(D2144="?OLD","!!!","")</f>
        <v/>
      </c>
      <c r="F2144" s="23" t="str">
        <f>IF(OR(E2144="",E2144="!!!"),"",IF(NOT(ISNA(VLOOKUP(E2144,E$1:E2143,1,FALSE()))),"OLD",IF(AND(E2144&lt;&gt;"",E2144&lt;&gt;"!!!"),"NEW","")))</f>
        <v> </v>
      </c>
      <c r="G2144" s="24" t="str">
        <f>IF(OR(E2144="",E2144="!!!"),"",IF(OR(J2144=0,AND(J2144=1,K2144=1),AND(J2144=1,I2144="SBJ"),AND(J2144=1,I2144=0)),"?IN_FOCUS",IF(J2144&lt;=2,"?ACTIVATED",IF(J2144&lt;&gt;"","?FAMILIAR",IF(F2144="NEW",IF(ISNA(VLOOKUP(E2144,#REF!,1,FALSE())),"?TYPE_IDENTIFIABLE","?REFERENTIAL"),"_")))))</f>
        <v> </v>
      </c>
      <c r="H2144" s="25" t="str">
        <f>IF(J2144&lt;&gt;1,"",IF(I2144="SBJ","CB","?"))</f>
        <v> </v>
      </c>
      <c r="I2144" s="26" t="str">
        <f>IF(OR(E2144="",E2144="!!!",F2144="NEW"),"",INDEX(B2143:B$2,-1+SUMPRODUCT(MAX(ROW(E2143:E$2)*(E2144=E2143:E$2)))))</f>
        <v> </v>
      </c>
      <c r="J2144" s="26" t="str">
        <f>IF(OR(E2144="",E2144="!!!",F2144="NEW"),"",COUNTBLANK(OFFSET(A$1,,,SUMPRODUCT(MAX(ROW(E$2:E2144)*(E2144=E$2:E2144)))))-COUNTBLANK(OFFSET(A$1,,,SUMPRODUCT(MAX(ROW(E$1:E2143)*(E2=E$1:E2143))))))</f>
        <v> </v>
      </c>
      <c r="K2144" s="26" t="str">
        <f>IF(OR(E2144="",E2144="!!!",F2144="NEW"),"",INDEX(J$1:J2143,SUMPRODUCT(MAX(ROW(E$1:E2143)*(E2144=E$1:E2143)))))</f>
        <v> </v>
      </c>
      <c r="L2144" s="27"/>
    </row>
    <row r="2145" spans="1:12">
      <c r="A2145" s="20" t="s">
        <v>1147</v>
      </c>
      <c r="E2145" s="22">
        <f>IF(D2145="?OLD","!!!","")</f>
        <v/>
      </c>
      <c r="F2145" s="23" t="str">
        <f>IF(OR(E2145="",E2145="!!!"),"",IF(NOT(ISNA(VLOOKUP(E2145,E$1:E2144,1,FALSE()))),"OLD",IF(AND(E2145&lt;&gt;"",E2145&lt;&gt;"!!!"),"NEW","")))</f>
        <v> </v>
      </c>
      <c r="G2145" s="24" t="str">
        <f>IF(OR(E2145="",E2145="!!!"),"",IF(OR(J2145=0,AND(J2145=1,K2145=1),AND(J2145=1,I2145="SBJ"),AND(J2145=1,I2145=0)),"?IN_FOCUS",IF(J2145&lt;=2,"?ACTIVATED",IF(J2145&lt;&gt;"","?FAMILIAR",IF(F2145="NEW",IF(ISNA(VLOOKUP(E2145,#REF!,1,FALSE())),"?TYPE_IDENTIFIABLE","?REFERENTIAL"),"_")))))</f>
        <v> </v>
      </c>
      <c r="H2145" s="25" t="str">
        <f>IF(J2145&lt;&gt;1,"",IF(I2145="SBJ","CB","?"))</f>
        <v> </v>
      </c>
      <c r="I2145" s="26" t="str">
        <f>IF(OR(E2145="",E2145="!!!",F2145="NEW"),"",INDEX(B2144:B$2,-1+SUMPRODUCT(MAX(ROW(E2144:E$2)*(E2145=E2144:E$2)))))</f>
        <v> </v>
      </c>
      <c r="J2145" s="26" t="str">
        <f>IF(OR(E2145="",E2145="!!!",F2145="NEW"),"",COUNTBLANK(OFFSET(A$1,,,SUMPRODUCT(MAX(ROW(E$2:E2145)*(E2145=E$2:E2145)))))-COUNTBLANK(OFFSET(A$1,,,SUMPRODUCT(MAX(ROW(E$1:E2144)*(E2=E$1:E2144))))))</f>
        <v> </v>
      </c>
      <c r="K2145" s="26" t="str">
        <f>IF(OR(E2145="",E2145="!!!",F2145="NEW"),"",INDEX(J$1:J2144,SUMPRODUCT(MAX(ROW(E$1:E2144)*(E2145=E$1:E2144)))))</f>
        <v> </v>
      </c>
      <c r="L2145" s="27"/>
    </row>
    <row r="2146" spans="1:12">
      <c r="A2146" s="20" t="s">
        <v>1723</v>
      </c>
      <c r="E2146" s="22">
        <f>IF(D2146="?OLD","!!!","")</f>
        <v/>
      </c>
      <c r="F2146" s="23" t="str">
        <f>IF(OR(E2146="",E2146="!!!"),"",IF(NOT(ISNA(VLOOKUP(E2146,E$1:E2145,1,FALSE()))),"OLD",IF(AND(E2146&lt;&gt;"",E2146&lt;&gt;"!!!"),"NEW","")))</f>
        <v> </v>
      </c>
      <c r="G2146" s="24" t="str">
        <f>IF(OR(E2146="",E2146="!!!"),"",IF(OR(J2146=0,AND(J2146=1,K2146=1),AND(J2146=1,I2146="SBJ"),AND(J2146=1,I2146=0)),"?IN_FOCUS",IF(J2146&lt;=2,"?ACTIVATED",IF(J2146&lt;&gt;"","?FAMILIAR",IF(F2146="NEW",IF(ISNA(VLOOKUP(E2146,#REF!,1,FALSE())),"?TYPE_IDENTIFIABLE","?REFERENTIAL"),"_")))))</f>
        <v> </v>
      </c>
      <c r="H2146" s="25" t="str">
        <f>IF(J2146&lt;&gt;1,"",IF(I2146="SBJ","CB","?"))</f>
        <v> </v>
      </c>
      <c r="I2146" s="26" t="str">
        <f>IF(OR(E2146="",E2146="!!!",F2146="NEW"),"",INDEX(B2145:B$2,-1+SUMPRODUCT(MAX(ROW(E2145:E$2)*(E2146=E2145:E$2)))))</f>
        <v> </v>
      </c>
      <c r="J2146" s="26" t="str">
        <f>IF(OR(E2146="",E2146="!!!",F2146="NEW"),"",COUNTBLANK(OFFSET(A$1,,,SUMPRODUCT(MAX(ROW(E$2:E2146)*(E2146=E$2:E2146)))))-COUNTBLANK(OFFSET(A$1,,,SUMPRODUCT(MAX(ROW(E$1:E2145)*(E2=E$1:E2145))))))</f>
        <v> </v>
      </c>
      <c r="K2146" s="26" t="str">
        <f>IF(OR(E2146="",E2146="!!!",F2146="NEW"),"",INDEX(J$1:J2145,SUMPRODUCT(MAX(ROW(E$1:E2145)*(E2146=E$1:E2145)))))</f>
        <v> </v>
      </c>
      <c r="L2146" s="27"/>
    </row>
    <row r="2147" spans="1:12">
      <c r="A2147" s="20" t="s">
        <v>1279</v>
      </c>
      <c r="E2147" s="22">
        <f>IF(D2147="?OLD","!!!","")</f>
        <v/>
      </c>
      <c r="F2147" s="23" t="str">
        <f>IF(OR(E2147="",E2147="!!!"),"",IF(NOT(ISNA(VLOOKUP(E2147,E$1:E2146,1,FALSE()))),"OLD",IF(AND(E2147&lt;&gt;"",E2147&lt;&gt;"!!!"),"NEW","")))</f>
        <v> </v>
      </c>
      <c r="G2147" s="24" t="str">
        <f>IF(OR(E2147="",E2147="!!!"),"",IF(OR(J2147=0,AND(J2147=1,K2147=1),AND(J2147=1,I2147="SBJ"),AND(J2147=1,I2147=0)),"?IN_FOCUS",IF(J2147&lt;=2,"?ACTIVATED",IF(J2147&lt;&gt;"","?FAMILIAR",IF(F2147="NEW",IF(ISNA(VLOOKUP(E2147,#REF!,1,FALSE())),"?TYPE_IDENTIFIABLE","?REFERENTIAL"),"_")))))</f>
        <v> </v>
      </c>
      <c r="H2147" s="25" t="str">
        <f>IF(J2147&lt;&gt;1,"",IF(I2147="SBJ","CB","?"))</f>
        <v> </v>
      </c>
      <c r="I2147" s="26" t="str">
        <f>IF(OR(E2147="",E2147="!!!",F2147="NEW"),"",INDEX(B2146:B$2,-1+SUMPRODUCT(MAX(ROW(E2146:E$2)*(E2147=E2146:E$2)))))</f>
        <v> </v>
      </c>
      <c r="J2147" s="26" t="str">
        <f>IF(OR(E2147="",E2147="!!!",F2147="NEW"),"",COUNTBLANK(OFFSET(A$1,,,SUMPRODUCT(MAX(ROW(E$2:E2147)*(E2147=E$2:E2147)))))-COUNTBLANK(OFFSET(A$1,,,SUMPRODUCT(MAX(ROW(E$1:E2146)*(E2=E$1:E2146))))))</f>
        <v> </v>
      </c>
      <c r="K2147" s="26" t="str">
        <f>IF(OR(E2147="",E2147="!!!",F2147="NEW"),"",INDEX(J$1:J2146,SUMPRODUCT(MAX(ROW(E$1:E2146)*(E2147=E$1:E2146)))))</f>
        <v> </v>
      </c>
      <c r="L2147" s="27"/>
    </row>
    <row r="2148" spans="1:12">
      <c r="A2148" s="20" t="s">
        <v>1724</v>
      </c>
      <c r="B2148" s="21" t="s">
        <v>1029</v>
      </c>
      <c r="C2148" s="21" t="s">
        <v>1041</v>
      </c>
      <c r="D2148" s="21" t="s">
        <v>1007</v>
      </c>
      <c r="E2148" s="22">
        <f>IF(D2148="?OLD","!!!","")</f>
        <v/>
      </c>
      <c r="F2148" s="23" t="str">
        <f>IF(OR(E2148="",E2148="!!!"),"",IF(NOT(ISNA(VLOOKUP(E2148,E$1:E2147,1,FALSE()))),"OLD",IF(AND(E2148&lt;&gt;"",E2148&lt;&gt;"!!!"),"NEW","")))</f>
        <v> </v>
      </c>
      <c r="G2148" s="24" t="str">
        <f>IF(OR(E2148="",E2148="!!!"),"",IF(OR(J2148=0,AND(J2148=1,K2148=1),AND(J2148=1,I2148="SBJ"),AND(J2148=1,I2148=0)),"?IN_FOCUS",IF(J2148&lt;=2,"?ACTIVATED",IF(J2148&lt;&gt;"","?FAMILIAR",IF(F2148="NEW",IF(ISNA(VLOOKUP(E2148,#REF!,1,FALSE())),"?TYPE_IDENTIFIABLE","?REFERENTIAL"),"_")))))</f>
        <v> </v>
      </c>
      <c r="H2148" s="25" t="str">
        <f>IF(J2148&lt;&gt;1,"",IF(I2148="SBJ","CB","?"))</f>
        <v> </v>
      </c>
      <c r="I2148" s="26" t="str">
        <f>IF(OR(E2148="",E2148="!!!",F2148="NEW"),"",INDEX(B2147:B$2,-1+SUMPRODUCT(MAX(ROW(E2147:E$2)*(E2148=E2147:E$2)))))</f>
        <v> </v>
      </c>
      <c r="J2148" s="26" t="str">
        <f>IF(OR(E2148="",E2148="!!!",F2148="NEW"),"",COUNTBLANK(OFFSET(A$1,,,SUMPRODUCT(MAX(ROW(E$2:E2148)*(E2148=E$2:E2148)))))-COUNTBLANK(OFFSET(A$1,,,SUMPRODUCT(MAX(ROW(E$1:E2147)*(E2=E$1:E2147))))))</f>
        <v> </v>
      </c>
      <c r="K2148" s="26" t="str">
        <f>IF(OR(E2148="",E2148="!!!",F2148="NEW"),"",INDEX(J$1:J2147,SUMPRODUCT(MAX(ROW(E$1:E2147)*(E2148=E$1:E2147)))))</f>
        <v> </v>
      </c>
      <c r="L2148" s="27"/>
    </row>
    <row r="2149" spans="1:12">
      <c r="A2149" s="20" t="s">
        <v>1023</v>
      </c>
      <c r="E2149" s="22">
        <f>IF(D2149="?OLD","!!!","")</f>
        <v/>
      </c>
      <c r="F2149" s="23" t="str">
        <f>IF(OR(E2149="",E2149="!!!"),"",IF(NOT(ISNA(VLOOKUP(E2149,E$1:E2148,1,FALSE()))),"OLD",IF(AND(E2149&lt;&gt;"",E2149&lt;&gt;"!!!"),"NEW","")))</f>
        <v> </v>
      </c>
      <c r="G2149" s="24" t="str">
        <f>IF(OR(E2149="",E2149="!!!"),"",IF(OR(J2149=0,AND(J2149=1,K2149=1),AND(J2149=1,I2149="SBJ"),AND(J2149=1,I2149=0)),"?IN_FOCUS",IF(J2149&lt;=2,"?ACTIVATED",IF(J2149&lt;&gt;"","?FAMILIAR",IF(F2149="NEW",IF(ISNA(VLOOKUP(E2149,#REF!,1,FALSE())),"?TYPE_IDENTIFIABLE","?REFERENTIAL"),"_")))))</f>
        <v> </v>
      </c>
      <c r="H2149" s="25" t="str">
        <f>IF(J2149&lt;&gt;1,"",IF(I2149="SBJ","CB","?"))</f>
        <v> </v>
      </c>
      <c r="I2149" s="26" t="str">
        <f>IF(OR(E2149="",E2149="!!!",F2149="NEW"),"",INDEX(B2148:B$2,-1+SUMPRODUCT(MAX(ROW(E2148:E$2)*(E2149=E2148:E$2)))))</f>
        <v> </v>
      </c>
      <c r="J2149" s="26" t="str">
        <f>IF(OR(E2149="",E2149="!!!",F2149="NEW"),"",COUNTBLANK(OFFSET(A$1,,,SUMPRODUCT(MAX(ROW(E$2:E2149)*(E2149=E$2:E2149)))))-COUNTBLANK(OFFSET(A$1,,,SUMPRODUCT(MAX(ROW(E$1:E2148)*(E2=E$1:E2148))))))</f>
        <v> </v>
      </c>
      <c r="K2149" s="26" t="str">
        <f>IF(OR(E2149="",E2149="!!!",F2149="NEW"),"",INDEX(J$1:J2148,SUMPRODUCT(MAX(ROW(E$1:E2148)*(E2149=E$1:E2148)))))</f>
        <v> </v>
      </c>
      <c r="L2149" s="27"/>
    </row>
    <row r="2150" spans="1:12">
      <c r="A2150" s="20"/>
    </row>
    <row r="2151" spans="1:12">
      <c r="A2151" s="20" t="s">
        <v>1725</v>
      </c>
    </row>
    <row r="2152" spans="1:12">
      <c r="A2152" s="20" t="s">
        <v>1147</v>
      </c>
      <c r="E2152" s="22">
        <f>IF(D2152="?OLD","!!!","")</f>
        <v/>
      </c>
      <c r="F2152" s="23" t="str">
        <f>IF(OR(E2152="",E2152="!!!"),"",IF(NOT(ISNA(VLOOKUP(E2152,E$1:E2151,1,FALSE()))),"OLD",IF(AND(E2152&lt;&gt;"",E2152&lt;&gt;"!!!"),"NEW","")))</f>
        <v> </v>
      </c>
      <c r="G2152" s="24" t="str">
        <f>IF(OR(E2152="",E2152="!!!"),"",IF(OR(J2152=0,AND(J2152=1,K2152=1),AND(J2152=1,I2152="SBJ"),AND(J2152=1,I2152=0)),"?IN_FOCUS",IF(J2152&lt;=2,"?ACTIVATED",IF(J2152&lt;&gt;"","?FAMILIAR",IF(F2152="NEW",IF(ISNA(VLOOKUP(E2152,#REF!,1,FALSE())),"?TYPE_IDENTIFIABLE","?REFERENTIAL"),"_")))))</f>
        <v> </v>
      </c>
      <c r="H2152" s="25" t="str">
        <f>IF(J2152&lt;&gt;1,"",IF(I2152="SBJ","CB","?"))</f>
        <v> </v>
      </c>
      <c r="I2152" s="26" t="str">
        <f>IF(OR(E2152="",E2152="!!!",F2152="NEW"),"",INDEX(B2151:B$2,-1+SUMPRODUCT(MAX(ROW(E2151:E$2)*(E2152=E2151:E$2)))))</f>
        <v> </v>
      </c>
      <c r="J2152" s="26" t="str">
        <f>IF(OR(E2152="",E2152="!!!",F2152="NEW"),"",COUNTBLANK(OFFSET(A$1,,,SUMPRODUCT(MAX(ROW(E$2:E2152)*(E2152=E$2:E2152)))))-COUNTBLANK(OFFSET(A$1,,,SUMPRODUCT(MAX(ROW(E$1:E2151)*(E2=E$1:E2151))))))</f>
        <v> </v>
      </c>
      <c r="K2152" s="26" t="str">
        <f>IF(OR(E2152="",E2152="!!!",F2152="NEW"),"",INDEX(J$1:J2151,SUMPRODUCT(MAX(ROW(E$1:E2151)*(E2152=E$1:E2151)))))</f>
        <v> </v>
      </c>
      <c r="L2152" s="27"/>
    </row>
    <row r="2153" spans="1:12">
      <c r="A2153" s="20" t="s">
        <v>1333</v>
      </c>
      <c r="E2153" s="22">
        <f>IF(D2153="?OLD","!!!","")</f>
        <v/>
      </c>
      <c r="F2153" s="23" t="str">
        <f>IF(OR(E2153="",E2153="!!!"),"",IF(NOT(ISNA(VLOOKUP(E2153,E$1:E2152,1,FALSE()))),"OLD",IF(AND(E2153&lt;&gt;"",E2153&lt;&gt;"!!!"),"NEW","")))</f>
        <v> </v>
      </c>
      <c r="G2153" s="24" t="str">
        <f>IF(OR(E2153="",E2153="!!!"),"",IF(OR(J2153=0,AND(J2153=1,K2153=1),AND(J2153=1,I2153="SBJ"),AND(J2153=1,I2153=0)),"?IN_FOCUS",IF(J2153&lt;=2,"?ACTIVATED",IF(J2153&lt;&gt;"","?FAMILIAR",IF(F2153="NEW",IF(ISNA(VLOOKUP(E2153,#REF!,1,FALSE())),"?TYPE_IDENTIFIABLE","?REFERENTIAL"),"_")))))</f>
        <v> </v>
      </c>
      <c r="H2153" s="25" t="str">
        <f>IF(J2153&lt;&gt;1,"",IF(I2153="SBJ","CB","?"))</f>
        <v> </v>
      </c>
      <c r="I2153" s="26" t="str">
        <f>IF(OR(E2153="",E2153="!!!",F2153="NEW"),"",INDEX(B2152:B$2,-1+SUMPRODUCT(MAX(ROW(E2152:E$2)*(E2153=E2152:E$2)))))</f>
        <v> </v>
      </c>
      <c r="J2153" s="26" t="str">
        <f>IF(OR(E2153="",E2153="!!!",F2153="NEW"),"",COUNTBLANK(OFFSET(A$1,,,SUMPRODUCT(MAX(ROW(E$2:E2153)*(E2153=E$2:E2153)))))-COUNTBLANK(OFFSET(A$1,,,SUMPRODUCT(MAX(ROW(E$1:E2152)*(E2=E$1:E2152))))))</f>
        <v> </v>
      </c>
      <c r="K2153" s="26" t="str">
        <f>IF(OR(E2153="",E2153="!!!",F2153="NEW"),"",INDEX(J$1:J2152,SUMPRODUCT(MAX(ROW(E$1:E2152)*(E2153=E$1:E2152)))))</f>
        <v> </v>
      </c>
      <c r="L2153" s="27"/>
    </row>
    <row r="2154" spans="1:12">
      <c r="A2154" s="20" t="s">
        <v>1055</v>
      </c>
      <c r="E2154" s="22">
        <f>IF(D2154="?OLD","!!!","")</f>
        <v/>
      </c>
      <c r="F2154" s="23" t="str">
        <f>IF(OR(E2154="",E2154="!!!"),"",IF(NOT(ISNA(VLOOKUP(E2154,E$1:E2153,1,FALSE()))),"OLD",IF(AND(E2154&lt;&gt;"",E2154&lt;&gt;"!!!"),"NEW","")))</f>
        <v> </v>
      </c>
      <c r="G2154" s="24" t="str">
        <f>IF(OR(E2154="",E2154="!!!"),"",IF(OR(J2154=0,AND(J2154=1,K2154=1),AND(J2154=1,I2154="SBJ"),AND(J2154=1,I2154=0)),"?IN_FOCUS",IF(J2154&lt;=2,"?ACTIVATED",IF(J2154&lt;&gt;"","?FAMILIAR",IF(F2154="NEW",IF(ISNA(VLOOKUP(E2154,#REF!,1,FALSE())),"?TYPE_IDENTIFIABLE","?REFERENTIAL"),"_")))))</f>
        <v> </v>
      </c>
      <c r="H2154" s="25" t="str">
        <f>IF(J2154&lt;&gt;1,"",IF(I2154="SBJ","CB","?"))</f>
        <v> </v>
      </c>
      <c r="I2154" s="26" t="str">
        <f>IF(OR(E2154="",E2154="!!!",F2154="NEW"),"",INDEX(B2153:B$2,-1+SUMPRODUCT(MAX(ROW(E2153:E$2)*(E2154=E2153:E$2)))))</f>
        <v> </v>
      </c>
      <c r="J2154" s="26" t="str">
        <f>IF(OR(E2154="",E2154="!!!",F2154="NEW"),"",COUNTBLANK(OFFSET(A$1,,,SUMPRODUCT(MAX(ROW(E$2:E2154)*(E2154=E$2:E2154)))))-COUNTBLANK(OFFSET(A$1,,,SUMPRODUCT(MAX(ROW(E$1:E2153)*(E2=E$1:E2153))))))</f>
        <v> </v>
      </c>
      <c r="K2154" s="26" t="str">
        <f>IF(OR(E2154="",E2154="!!!",F2154="NEW"),"",INDEX(J$1:J2153,SUMPRODUCT(MAX(ROW(E$1:E2153)*(E2154=E$1:E2153)))))</f>
        <v> </v>
      </c>
      <c r="L2154" s="27"/>
    </row>
    <row r="2155" spans="1:12">
      <c r="A2155" s="20" t="s">
        <v>1279</v>
      </c>
      <c r="E2155" s="22">
        <f>IF(D2155="?OLD","!!!","")</f>
        <v/>
      </c>
      <c r="F2155" s="23" t="str">
        <f>IF(OR(E2155="",E2155="!!!"),"",IF(NOT(ISNA(VLOOKUP(E2155,E$1:E2154,1,FALSE()))),"OLD",IF(AND(E2155&lt;&gt;"",E2155&lt;&gt;"!!!"),"NEW","")))</f>
        <v> </v>
      </c>
      <c r="G2155" s="24" t="str">
        <f>IF(OR(E2155="",E2155="!!!"),"",IF(OR(J2155=0,AND(J2155=1,K2155=1),AND(J2155=1,I2155="SBJ"),AND(J2155=1,I2155=0)),"?IN_FOCUS",IF(J2155&lt;=2,"?ACTIVATED",IF(J2155&lt;&gt;"","?FAMILIAR",IF(F2155="NEW",IF(ISNA(VLOOKUP(E2155,#REF!,1,FALSE())),"?TYPE_IDENTIFIABLE","?REFERENTIAL"),"_")))))</f>
        <v> </v>
      </c>
      <c r="H2155" s="25" t="str">
        <f>IF(J2155&lt;&gt;1,"",IF(I2155="SBJ","CB","?"))</f>
        <v> </v>
      </c>
      <c r="I2155" s="26" t="str">
        <f>IF(OR(E2155="",E2155="!!!",F2155="NEW"),"",INDEX(B2154:B$2,-1+SUMPRODUCT(MAX(ROW(E2154:E$2)*(E2155=E2154:E$2)))))</f>
        <v> </v>
      </c>
      <c r="J2155" s="26" t="str">
        <f>IF(OR(E2155="",E2155="!!!",F2155="NEW"),"",COUNTBLANK(OFFSET(A$1,,,SUMPRODUCT(MAX(ROW(E$2:E2155)*(E2155=E$2:E2155)))))-COUNTBLANK(OFFSET(A$1,,,SUMPRODUCT(MAX(ROW(E$1:E2154)*(E2=E$1:E2154))))))</f>
        <v> </v>
      </c>
      <c r="K2155" s="26" t="str">
        <f>IF(OR(E2155="",E2155="!!!",F2155="NEW"),"",INDEX(J$1:J2154,SUMPRODUCT(MAX(ROW(E$1:E2154)*(E2155=E$1:E2154)))))</f>
        <v> </v>
      </c>
      <c r="L2155" s="27"/>
    </row>
    <row r="2156" spans="1:12">
      <c r="A2156" s="20" t="s">
        <v>1724</v>
      </c>
      <c r="B2156" s="21" t="s">
        <v>1029</v>
      </c>
      <c r="C2156" s="21" t="s">
        <v>1041</v>
      </c>
      <c r="D2156" s="21" t="s">
        <v>1007</v>
      </c>
      <c r="E2156" s="22">
        <f>IF(D2156="?OLD","!!!","")</f>
        <v/>
      </c>
      <c r="F2156" s="23" t="str">
        <f>IF(OR(E2156="",E2156="!!!"),"",IF(NOT(ISNA(VLOOKUP(E2156,E$1:E2155,1,FALSE()))),"OLD",IF(AND(E2156&lt;&gt;"",E2156&lt;&gt;"!!!"),"NEW","")))</f>
        <v> </v>
      </c>
      <c r="G2156" s="24" t="str">
        <f>IF(OR(E2156="",E2156="!!!"),"",IF(OR(J2156=0,AND(J2156=1,K2156=1),AND(J2156=1,I2156="SBJ"),AND(J2156=1,I2156=0)),"?IN_FOCUS",IF(J2156&lt;=2,"?ACTIVATED",IF(J2156&lt;&gt;"","?FAMILIAR",IF(F2156="NEW",IF(ISNA(VLOOKUP(E2156,#REF!,1,FALSE())),"?TYPE_IDENTIFIABLE","?REFERENTIAL"),"_")))))</f>
        <v> </v>
      </c>
      <c r="H2156" s="25" t="str">
        <f>IF(J2156&lt;&gt;1,"",IF(I2156="SBJ","CB","?"))</f>
        <v> </v>
      </c>
      <c r="I2156" s="26" t="str">
        <f>IF(OR(E2156="",E2156="!!!",F2156="NEW"),"",INDEX(B2155:B$2,-1+SUMPRODUCT(MAX(ROW(E2155:E$2)*(E2156=E2155:E$2)))))</f>
        <v> </v>
      </c>
      <c r="J2156" s="26" t="str">
        <f>IF(OR(E2156="",E2156="!!!",F2156="NEW"),"",COUNTBLANK(OFFSET(A$1,,,SUMPRODUCT(MAX(ROW(E$2:E2156)*(E2156=E$2:E2156)))))-COUNTBLANK(OFFSET(A$1,,,SUMPRODUCT(MAX(ROW(E$1:E2155)*(E2=E$1:E2155))))))</f>
        <v> </v>
      </c>
      <c r="K2156" s="26" t="str">
        <f>IF(OR(E2156="",E2156="!!!",F2156="NEW"),"",INDEX(J$1:J2155,SUMPRODUCT(MAX(ROW(E$1:E2155)*(E2156=E$1:E2155)))))</f>
        <v> </v>
      </c>
      <c r="L2156" s="27"/>
    </row>
    <row r="2157" spans="1:12">
      <c r="A2157" s="20" t="s">
        <v>1023</v>
      </c>
      <c r="E2157" s="22">
        <f>IF(D2157="?OLD","!!!","")</f>
        <v/>
      </c>
      <c r="F2157" s="23" t="str">
        <f>IF(OR(E2157="",E2157="!!!"),"",IF(NOT(ISNA(VLOOKUP(E2157,E$1:E2156,1,FALSE()))),"OLD",IF(AND(E2157&lt;&gt;"",E2157&lt;&gt;"!!!"),"NEW","")))</f>
        <v> </v>
      </c>
      <c r="G2157" s="24" t="str">
        <f>IF(OR(E2157="",E2157="!!!"),"",IF(OR(J2157=0,AND(J2157=1,K2157=1),AND(J2157=1,I2157="SBJ"),AND(J2157=1,I2157=0)),"?IN_FOCUS",IF(J2157&lt;=2,"?ACTIVATED",IF(J2157&lt;&gt;"","?FAMILIAR",IF(F2157="NEW",IF(ISNA(VLOOKUP(E2157,#REF!,1,FALSE())),"?TYPE_IDENTIFIABLE","?REFERENTIAL"),"_")))))</f>
        <v> </v>
      </c>
      <c r="H2157" s="25" t="str">
        <f>IF(J2157&lt;&gt;1,"",IF(I2157="SBJ","CB","?"))</f>
        <v> </v>
      </c>
      <c r="I2157" s="26" t="str">
        <f>IF(OR(E2157="",E2157="!!!",F2157="NEW"),"",INDEX(B2156:B$2,-1+SUMPRODUCT(MAX(ROW(E2156:E$2)*(E2157=E2156:E$2)))))</f>
        <v> </v>
      </c>
      <c r="J2157" s="26" t="str">
        <f>IF(OR(E2157="",E2157="!!!",F2157="NEW"),"",COUNTBLANK(OFFSET(A$1,,,SUMPRODUCT(MAX(ROW(E$2:E2157)*(E2157=E$2:E2157)))))-COUNTBLANK(OFFSET(A$1,,,SUMPRODUCT(MAX(ROW(E$1:E2156)*(E2=E$1:E2156))))))</f>
        <v> </v>
      </c>
      <c r="K2157" s="26" t="str">
        <f>IF(OR(E2157="",E2157="!!!",F2157="NEW"),"",INDEX(J$1:J2156,SUMPRODUCT(MAX(ROW(E$1:E2156)*(E2157=E$1:E2156)))))</f>
        <v> </v>
      </c>
      <c r="L2157" s="27"/>
    </row>
    <row r="2158" spans="1:12">
      <c r="A2158" s="20"/>
    </row>
    <row r="2159" spans="1:12">
      <c r="A2159" s="20" t="s">
        <v>1184</v>
      </c>
      <c r="E2159" s="22">
        <f>IF(D2159="?OLD","!!!","")</f>
        <v/>
      </c>
      <c r="F2159" s="23" t="str">
        <f>IF(OR(E2159="",E2159="!!!"),"",IF(NOT(ISNA(VLOOKUP(E2159,E$1:E2158,1,FALSE()))),"OLD",IF(AND(E2159&lt;&gt;"",E2159&lt;&gt;"!!!"),"NEW","")))</f>
        <v> </v>
      </c>
      <c r="G2159" s="24" t="str">
        <f>IF(OR(E2159="",E2159="!!!"),"",IF(OR(J2159=0,AND(J2159=1,K2159=1),AND(J2159=1,I2159="SBJ"),AND(J2159=1,I2159=0)),"?IN_FOCUS",IF(J2159&lt;=2,"?ACTIVATED",IF(J2159&lt;&gt;"","?FAMILIAR",IF(F2159="NEW",IF(ISNA(VLOOKUP(E2159,#REF!,1,FALSE())),"?TYPE_IDENTIFIABLE","?REFERENTIAL"),"_")))))</f>
        <v> </v>
      </c>
      <c r="H2159" s="25" t="str">
        <f>IF(J2159&lt;&gt;1,"",IF(I2159="SBJ","CB","?"))</f>
        <v> </v>
      </c>
      <c r="I2159" s="26" t="str">
        <f>IF(OR(E2159="",E2159="!!!",F2159="NEW"),"",INDEX(B2158:B$2,-1+SUMPRODUCT(MAX(ROW(E2158:E$2)*(E2159=E2158:E$2)))))</f>
        <v> </v>
      </c>
      <c r="J2159" s="26" t="str">
        <f>IF(OR(E2159="",E2159="!!!",F2159="NEW"),"",COUNTBLANK(OFFSET(A$1,,,SUMPRODUCT(MAX(ROW(E$2:E2159)*(E2159=E$2:E2159)))))-COUNTBLANK(OFFSET(A$1,,,SUMPRODUCT(MAX(ROW(E$1:E2158)*(E2=E$1:E2158))))))</f>
        <v> </v>
      </c>
      <c r="K2159" s="26" t="str">
        <f>IF(OR(E2159="",E2159="!!!",F2159="NEW"),"",INDEX(J$1:J2158,SUMPRODUCT(MAX(ROW(E$1:E2158)*(E2159=E$1:E2158)))))</f>
        <v> </v>
      </c>
      <c r="L2159" s="27"/>
    </row>
    <row r="2160" spans="1:12">
      <c r="A2160" s="20" t="s">
        <v>1726</v>
      </c>
    </row>
    <row r="2161" spans="1:12">
      <c r="A2161" s="20" t="s">
        <v>1189</v>
      </c>
      <c r="E2161" s="22">
        <f>IF(D2161="?OLD","!!!","")</f>
        <v/>
      </c>
      <c r="F2161" s="23" t="str">
        <f>IF(OR(E2161="",E2161="!!!"),"",IF(NOT(ISNA(VLOOKUP(E2161,E$1:E2160,1,FALSE()))),"OLD",IF(AND(E2161&lt;&gt;"",E2161&lt;&gt;"!!!"),"NEW","")))</f>
        <v> </v>
      </c>
      <c r="G2161" s="24" t="str">
        <f>IF(OR(E2161="",E2161="!!!"),"",IF(OR(J2161=0,AND(J2161=1,K2161=1),AND(J2161=1,I2161="SBJ"),AND(J2161=1,I2161=0)),"?IN_FOCUS",IF(J2161&lt;=2,"?ACTIVATED",IF(J2161&lt;&gt;"","?FAMILIAR",IF(F2161="NEW",IF(ISNA(VLOOKUP(E2161,#REF!,1,FALSE())),"?TYPE_IDENTIFIABLE","?REFERENTIAL"),"_")))))</f>
        <v> </v>
      </c>
      <c r="H2161" s="25" t="str">
        <f>IF(J2161&lt;&gt;1,"",IF(I2161="SBJ","CB","?"))</f>
        <v> </v>
      </c>
      <c r="I2161" s="26" t="str">
        <f>IF(OR(E2161="",E2161="!!!",F2161="NEW"),"",INDEX(B2160:B$2,-1+SUMPRODUCT(MAX(ROW(E2160:E$2)*(E2161=E2160:E$2)))))</f>
        <v> </v>
      </c>
      <c r="J2161" s="26" t="str">
        <f>IF(OR(E2161="",E2161="!!!",F2161="NEW"),"",COUNTBLANK(OFFSET(A$1,,,SUMPRODUCT(MAX(ROW(E$2:E2161)*(E2161=E$2:E2161)))))-COUNTBLANK(OFFSET(A$1,,,SUMPRODUCT(MAX(ROW(E$1:E2160)*(E2=E$1:E2160))))))</f>
        <v> </v>
      </c>
      <c r="K2161" s="26" t="str">
        <f>IF(OR(E2161="",E2161="!!!",F2161="NEW"),"",INDEX(J$1:J2160,SUMPRODUCT(MAX(ROW(E$1:E2160)*(E2161=E$1:E2160)))))</f>
        <v> </v>
      </c>
      <c r="L2161" s="27"/>
    </row>
    <row r="2162" spans="1:12">
      <c r="A2162" s="20" t="s">
        <v>1147</v>
      </c>
      <c r="E2162" s="22">
        <f>IF(D2162="?OLD","!!!","")</f>
        <v/>
      </c>
      <c r="F2162" s="23" t="str">
        <f>IF(OR(E2162="",E2162="!!!"),"",IF(NOT(ISNA(VLOOKUP(E2162,E$1:E2161,1,FALSE()))),"OLD",IF(AND(E2162&lt;&gt;"",E2162&lt;&gt;"!!!"),"NEW","")))</f>
        <v> </v>
      </c>
      <c r="G2162" s="24" t="str">
        <f>IF(OR(E2162="",E2162="!!!"),"",IF(OR(J2162=0,AND(J2162=1,K2162=1),AND(J2162=1,I2162="SBJ"),AND(J2162=1,I2162=0)),"?IN_FOCUS",IF(J2162&lt;=2,"?ACTIVATED",IF(J2162&lt;&gt;"","?FAMILIAR",IF(F2162="NEW",IF(ISNA(VLOOKUP(E2162,#REF!,1,FALSE())),"?TYPE_IDENTIFIABLE","?REFERENTIAL"),"_")))))</f>
        <v> </v>
      </c>
      <c r="H2162" s="25" t="str">
        <f>IF(J2162&lt;&gt;1,"",IF(I2162="SBJ","CB","?"))</f>
        <v> </v>
      </c>
      <c r="I2162" s="26" t="str">
        <f>IF(OR(E2162="",E2162="!!!",F2162="NEW"),"",INDEX(B2161:B$2,-1+SUMPRODUCT(MAX(ROW(E2161:E$2)*(E2162=E2161:E$2)))))</f>
        <v> </v>
      </c>
      <c r="J2162" s="26" t="str">
        <f>IF(OR(E2162="",E2162="!!!",F2162="NEW"),"",COUNTBLANK(OFFSET(A$1,,,SUMPRODUCT(MAX(ROW(E$2:E2162)*(E2162=E$2:E2162)))))-COUNTBLANK(OFFSET(A$1,,,SUMPRODUCT(MAX(ROW(E$1:E2161)*(E2=E$1:E2161))))))</f>
        <v> </v>
      </c>
      <c r="K2162" s="26" t="str">
        <f>IF(OR(E2162="",E2162="!!!",F2162="NEW"),"",INDEX(J$1:J2161,SUMPRODUCT(MAX(ROW(E$1:E2161)*(E2162=E$1:E2161)))))</f>
        <v> </v>
      </c>
      <c r="L2162" s="27"/>
    </row>
    <row r="2163" spans="1:12">
      <c r="A2163" s="20" t="s">
        <v>1333</v>
      </c>
      <c r="E2163" s="22">
        <f>IF(D2163="?OLD","!!!","")</f>
        <v/>
      </c>
      <c r="F2163" s="23" t="str">
        <f>IF(OR(E2163="",E2163="!!!"),"",IF(NOT(ISNA(VLOOKUP(E2163,E$1:E2162,1,FALSE()))),"OLD",IF(AND(E2163&lt;&gt;"",E2163&lt;&gt;"!!!"),"NEW","")))</f>
        <v> </v>
      </c>
      <c r="G2163" s="24" t="str">
        <f>IF(OR(E2163="",E2163="!!!"),"",IF(OR(J2163=0,AND(J2163=1,K2163=1),AND(J2163=1,I2163="SBJ"),AND(J2163=1,I2163=0)),"?IN_FOCUS",IF(J2163&lt;=2,"?ACTIVATED",IF(J2163&lt;&gt;"","?FAMILIAR",IF(F2163="NEW",IF(ISNA(VLOOKUP(E2163,#REF!,1,FALSE())),"?TYPE_IDENTIFIABLE","?REFERENTIAL"),"_")))))</f>
        <v> </v>
      </c>
      <c r="H2163" s="25" t="str">
        <f>IF(J2163&lt;&gt;1,"",IF(I2163="SBJ","CB","?"))</f>
        <v> </v>
      </c>
      <c r="I2163" s="26" t="str">
        <f>IF(OR(E2163="",E2163="!!!",F2163="NEW"),"",INDEX(B2162:B$2,-1+SUMPRODUCT(MAX(ROW(E2162:E$2)*(E2163=E2162:E$2)))))</f>
        <v> </v>
      </c>
      <c r="J2163" s="26" t="str">
        <f>IF(OR(E2163="",E2163="!!!",F2163="NEW"),"",COUNTBLANK(OFFSET(A$1,,,SUMPRODUCT(MAX(ROW(E$2:E2163)*(E2163=E$2:E2163)))))-COUNTBLANK(OFFSET(A$1,,,SUMPRODUCT(MAX(ROW(E$1:E2162)*(E2=E$1:E2162))))))</f>
        <v> </v>
      </c>
      <c r="K2163" s="26" t="str">
        <f>IF(OR(E2163="",E2163="!!!",F2163="NEW"),"",INDEX(J$1:J2162,SUMPRODUCT(MAX(ROW(E$1:E2162)*(E2163=E$1:E2162)))))</f>
        <v> </v>
      </c>
      <c r="L2163" s="27"/>
    </row>
    <row r="2164" spans="1:12">
      <c r="A2164" s="20" t="s">
        <v>93</v>
      </c>
      <c r="E2164" s="22">
        <f>IF(D2164="?OLD","!!!","")</f>
        <v/>
      </c>
      <c r="F2164" s="23" t="str">
        <f>IF(OR(E2164="",E2164="!!!"),"",IF(NOT(ISNA(VLOOKUP(E2164,E$1:E2163,1,FALSE()))),"OLD",IF(AND(E2164&lt;&gt;"",E2164&lt;&gt;"!!!"),"NEW","")))</f>
        <v> </v>
      </c>
      <c r="G2164" s="24" t="str">
        <f>IF(OR(E2164="",E2164="!!!"),"",IF(OR(J2164=0,AND(J2164=1,K2164=1),AND(J2164=1,I2164="SBJ"),AND(J2164=1,I2164=0)),"?IN_FOCUS",IF(J2164&lt;=2,"?ACTIVATED",IF(J2164&lt;&gt;"","?FAMILIAR",IF(F2164="NEW",IF(ISNA(VLOOKUP(E2164,#REF!,1,FALSE())),"?TYPE_IDENTIFIABLE","?REFERENTIAL"),"_")))))</f>
        <v> </v>
      </c>
      <c r="H2164" s="25" t="str">
        <f>IF(J2164&lt;&gt;1,"",IF(I2164="SBJ","CB","?"))</f>
        <v> </v>
      </c>
      <c r="I2164" s="26" t="str">
        <f>IF(OR(E2164="",E2164="!!!",F2164="NEW"),"",INDEX(B2163:B$2,-1+SUMPRODUCT(MAX(ROW(E2163:E$2)*(E2164=E2163:E$2)))))</f>
        <v> </v>
      </c>
      <c r="J2164" s="26" t="str">
        <f>IF(OR(E2164="",E2164="!!!",F2164="NEW"),"",COUNTBLANK(OFFSET(A$1,,,SUMPRODUCT(MAX(ROW(E$2:E2164)*(E2164=E$2:E2164)))))-COUNTBLANK(OFFSET(A$1,,,SUMPRODUCT(MAX(ROW(E$1:E2163)*(E2=E$1:E2163))))))</f>
        <v> </v>
      </c>
      <c r="K2164" s="26" t="str">
        <f>IF(OR(E2164="",E2164="!!!",F2164="NEW"),"",INDEX(J$1:J2163,SUMPRODUCT(MAX(ROW(E$1:E2163)*(E2164=E$1:E2163)))))</f>
        <v> </v>
      </c>
      <c r="L2164" s="27"/>
    </row>
    <row r="2165" spans="1:12">
      <c r="A2165" s="20" t="s">
        <v>1727</v>
      </c>
      <c r="E2165" s="22">
        <f>IF(D2165="?OLD","!!!","")</f>
        <v/>
      </c>
      <c r="F2165" s="23" t="str">
        <f>IF(OR(E2165="",E2165="!!!"),"",IF(NOT(ISNA(VLOOKUP(E2165,E$1:E2164,1,FALSE()))),"OLD",IF(AND(E2165&lt;&gt;"",E2165&lt;&gt;"!!!"),"NEW","")))</f>
        <v> </v>
      </c>
      <c r="G2165" s="24" t="str">
        <f>IF(OR(E2165="",E2165="!!!"),"",IF(OR(J2165=0,AND(J2165=1,K2165=1),AND(J2165=1,I2165="SBJ"),AND(J2165=1,I2165=0)),"?IN_FOCUS",IF(J2165&lt;=2,"?ACTIVATED",IF(J2165&lt;&gt;"","?FAMILIAR",IF(F2165="NEW",IF(ISNA(VLOOKUP(E2165,#REF!,1,FALSE())),"?TYPE_IDENTIFIABLE","?REFERENTIAL"),"_")))))</f>
        <v> </v>
      </c>
      <c r="H2165" s="25" t="str">
        <f>IF(J2165&lt;&gt;1,"",IF(I2165="SBJ","CB","?"))</f>
        <v> </v>
      </c>
      <c r="I2165" s="26" t="str">
        <f>IF(OR(E2165="",E2165="!!!",F2165="NEW"),"",INDEX(B2164:B$2,-1+SUMPRODUCT(MAX(ROW(E2164:E$2)*(E2165=E2164:E$2)))))</f>
        <v> </v>
      </c>
      <c r="J2165" s="26" t="str">
        <f>IF(OR(E2165="",E2165="!!!",F2165="NEW"),"",COUNTBLANK(OFFSET(A$1,,,SUMPRODUCT(MAX(ROW(E$2:E2165)*(E2165=E$2:E2165)))))-COUNTBLANK(OFFSET(A$1,,,SUMPRODUCT(MAX(ROW(E$1:E2164)*(E2=E$1:E2164))))))</f>
        <v> </v>
      </c>
      <c r="K2165" s="26" t="str">
        <f>IF(OR(E2165="",E2165="!!!",F2165="NEW"),"",INDEX(J$1:J2164,SUMPRODUCT(MAX(ROW(E$1:E2164)*(E2165=E$1:E2164)))))</f>
        <v> </v>
      </c>
      <c r="L2165" s="27"/>
    </row>
    <row r="2166" spans="1:12">
      <c r="A2166" s="20" t="s">
        <v>1602</v>
      </c>
      <c r="B2166" s="21" t="s">
        <v>1064</v>
      </c>
      <c r="C2166" s="21" t="s">
        <v>1103</v>
      </c>
      <c r="E2166" s="22">
        <f>IF(D2166="?OLD","!!!","")</f>
        <v/>
      </c>
      <c r="F2166" s="23" t="str">
        <f>IF(OR(E2166="",E2166="!!!"),"",IF(NOT(ISNA(VLOOKUP(E2166,E$1:E2165,1,FALSE()))),"OLD",IF(AND(E2166&lt;&gt;"",E2166&lt;&gt;"!!!"),"NEW","")))</f>
        <v> </v>
      </c>
      <c r="G2166" s="24" t="str">
        <f>IF(OR(E2166="",E2166="!!!"),"",IF(OR(J2166=0,AND(J2166=1,K2166=1),AND(J2166=1,I2166="SBJ"),AND(J2166=1,I2166=0)),"?IN_FOCUS",IF(J2166&lt;=2,"?ACTIVATED",IF(J2166&lt;&gt;"","?FAMILIAR",IF(F2166="NEW",IF(ISNA(VLOOKUP(E2166,#REF!,1,FALSE())),"?TYPE_IDENTIFIABLE","?REFERENTIAL"),"_")))))</f>
        <v> </v>
      </c>
      <c r="H2166" s="25" t="str">
        <f>IF(J2166&lt;&gt;1,"",IF(I2166="SBJ","CB","?"))</f>
        <v> </v>
      </c>
      <c r="I2166" s="26" t="str">
        <f>IF(OR(E2166="",E2166="!!!",F2166="NEW"),"",INDEX(B2165:B$2,-1+SUMPRODUCT(MAX(ROW(E2165:E$2)*(E2166=E2165:E$2)))))</f>
        <v> </v>
      </c>
      <c r="J2166" s="26" t="str">
        <f>IF(OR(E2166="",E2166="!!!",F2166="NEW"),"",COUNTBLANK(OFFSET(A$1,,,SUMPRODUCT(MAX(ROW(E$2:E2166)*(E2166=E$2:E2166)))))-COUNTBLANK(OFFSET(A$1,,,SUMPRODUCT(MAX(ROW(E$1:E2165)*(E2=E$1:E2165))))))</f>
        <v> </v>
      </c>
      <c r="K2166" s="26" t="str">
        <f>IF(OR(E2166="",E2166="!!!",F2166="NEW"),"",INDEX(J$1:J2165,SUMPRODUCT(MAX(ROW(E$1:E2165)*(E2166=E$1:E2165)))))</f>
        <v> </v>
      </c>
      <c r="L2166" s="27"/>
    </row>
    <row r="2167" spans="1:12">
      <c r="A2167" s="20" t="s">
        <v>1438</v>
      </c>
      <c r="E2167" s="22">
        <f>IF(D2167="?OLD","!!!","")</f>
        <v/>
      </c>
      <c r="F2167" s="23" t="str">
        <f>IF(OR(E2167="",E2167="!!!"),"",IF(NOT(ISNA(VLOOKUP(E2167,E$1:E2166,1,FALSE()))),"OLD",IF(AND(E2167&lt;&gt;"",E2167&lt;&gt;"!!!"),"NEW","")))</f>
        <v> </v>
      </c>
      <c r="G2167" s="24" t="str">
        <f>IF(OR(E2167="",E2167="!!!"),"",IF(OR(J2167=0,AND(J2167=1,K2167=1),AND(J2167=1,I2167="SBJ"),AND(J2167=1,I2167=0)),"?IN_FOCUS",IF(J2167&lt;=2,"?ACTIVATED",IF(J2167&lt;&gt;"","?FAMILIAR",IF(F2167="NEW",IF(ISNA(VLOOKUP(E2167,#REF!,1,FALSE())),"?TYPE_IDENTIFIABLE","?REFERENTIAL"),"_")))))</f>
        <v> </v>
      </c>
      <c r="H2167" s="25" t="str">
        <f>IF(J2167&lt;&gt;1,"",IF(I2167="SBJ","CB","?"))</f>
        <v> </v>
      </c>
      <c r="I2167" s="26" t="str">
        <f>IF(OR(E2167="",E2167="!!!",F2167="NEW"),"",INDEX(B2166:B$2,-1+SUMPRODUCT(MAX(ROW(E2166:E$2)*(E2167=E2166:E$2)))))</f>
        <v> </v>
      </c>
      <c r="J2167" s="26" t="str">
        <f>IF(OR(E2167="",E2167="!!!",F2167="NEW"),"",COUNTBLANK(OFFSET(A$1,,,SUMPRODUCT(MAX(ROW(E$2:E2167)*(E2167=E$2:E2167)))))-COUNTBLANK(OFFSET(A$1,,,SUMPRODUCT(MAX(ROW(E$1:E2166)*(E2=E$1:E2166))))))</f>
        <v> </v>
      </c>
      <c r="K2167" s="26" t="str">
        <f>IF(OR(E2167="",E2167="!!!",F2167="NEW"),"",INDEX(J$1:J2166,SUMPRODUCT(MAX(ROW(E$1:E2166)*(E2167=E$1:E2166)))))</f>
        <v> </v>
      </c>
      <c r="L2167" s="27"/>
    </row>
    <row r="2168" spans="1:12">
      <c r="A2168" s="20" t="s">
        <v>1020</v>
      </c>
      <c r="E2168" s="22">
        <f>IF(D2168="?OLD","!!!","")</f>
        <v/>
      </c>
      <c r="F2168" s="23" t="str">
        <f>IF(OR(E2168="",E2168="!!!"),"",IF(NOT(ISNA(VLOOKUP(E2168,E$1:E2167,1,FALSE()))),"OLD",IF(AND(E2168&lt;&gt;"",E2168&lt;&gt;"!!!"),"NEW","")))</f>
        <v> </v>
      </c>
      <c r="G2168" s="24" t="str">
        <f>IF(OR(E2168="",E2168="!!!"),"",IF(OR(J2168=0,AND(J2168=1,K2168=1),AND(J2168=1,I2168="SBJ"),AND(J2168=1,I2168=0)),"?IN_FOCUS",IF(J2168&lt;=2,"?ACTIVATED",IF(J2168&lt;&gt;"","?FAMILIAR",IF(F2168="NEW",IF(ISNA(VLOOKUP(E2168,#REF!,1,FALSE())),"?TYPE_IDENTIFIABLE","?REFERENTIAL"),"_")))))</f>
        <v> </v>
      </c>
      <c r="H2168" s="25" t="str">
        <f>IF(J2168&lt;&gt;1,"",IF(I2168="SBJ","CB","?"))</f>
        <v> </v>
      </c>
      <c r="I2168" s="26" t="str">
        <f>IF(OR(E2168="",E2168="!!!",F2168="NEW"),"",INDEX(B2167:B$2,-1+SUMPRODUCT(MAX(ROW(E2167:E$2)*(E2168=E2167:E$2)))))</f>
        <v> </v>
      </c>
      <c r="J2168" s="26" t="str">
        <f>IF(OR(E2168="",E2168="!!!",F2168="NEW"),"",COUNTBLANK(OFFSET(A$1,,,SUMPRODUCT(MAX(ROW(E$2:E2168)*(E2168=E$2:E2168)))))-COUNTBLANK(OFFSET(A$1,,,SUMPRODUCT(MAX(ROW(E$1:E2167)*(E2=E$1:E2167))))))</f>
        <v> </v>
      </c>
      <c r="K2168" s="26" t="str">
        <f>IF(OR(E2168="",E2168="!!!",F2168="NEW"),"",INDEX(J$1:J2167,SUMPRODUCT(MAX(ROW(E$1:E2167)*(E2168=E$1:E2167)))))</f>
        <v> </v>
      </c>
      <c r="L2168" s="27"/>
    </row>
    <row r="2169" spans="1:12">
      <c r="A2169" s="20" t="s">
        <v>1728</v>
      </c>
      <c r="E2169" s="22">
        <f>IF(D2169="?OLD","!!!","")</f>
        <v/>
      </c>
      <c r="F2169" s="23" t="str">
        <f>IF(OR(E2169="",E2169="!!!"),"",IF(NOT(ISNA(VLOOKUP(E2169,E$1:E2168,1,FALSE()))),"OLD",IF(AND(E2169&lt;&gt;"",E2169&lt;&gt;"!!!"),"NEW","")))</f>
        <v> </v>
      </c>
      <c r="G2169" s="24" t="str">
        <f>IF(OR(E2169="",E2169="!!!"),"",IF(OR(J2169=0,AND(J2169=1,K2169=1),AND(J2169=1,I2169="SBJ"),AND(J2169=1,I2169=0)),"?IN_FOCUS",IF(J2169&lt;=2,"?ACTIVATED",IF(J2169&lt;&gt;"","?FAMILIAR",IF(F2169="NEW",IF(ISNA(VLOOKUP(E2169,#REF!,1,FALSE())),"?TYPE_IDENTIFIABLE","?REFERENTIAL"),"_")))))</f>
        <v> </v>
      </c>
      <c r="H2169" s="25" t="str">
        <f>IF(J2169&lt;&gt;1,"",IF(I2169="SBJ","CB","?"))</f>
        <v> </v>
      </c>
      <c r="I2169" s="26" t="str">
        <f>IF(OR(E2169="",E2169="!!!",F2169="NEW"),"",INDEX(B2168:B$2,-1+SUMPRODUCT(MAX(ROW(E2168:E$2)*(E2169=E2168:E$2)))))</f>
        <v> </v>
      </c>
      <c r="J2169" s="26" t="str">
        <f>IF(OR(E2169="",E2169="!!!",F2169="NEW"),"",COUNTBLANK(OFFSET(A$1,,,SUMPRODUCT(MAX(ROW(E$2:E2169)*(E2169=E$2:E2169)))))-COUNTBLANK(OFFSET(A$1,,,SUMPRODUCT(MAX(ROW(E$1:E2168)*(E2=E$1:E2168))))))</f>
        <v> </v>
      </c>
      <c r="K2169" s="26" t="str">
        <f>IF(OR(E2169="",E2169="!!!",F2169="NEW"),"",INDEX(J$1:J2168,SUMPRODUCT(MAX(ROW(E$1:E2168)*(E2169=E$1:E2168)))))</f>
        <v> </v>
      </c>
      <c r="L2169" s="27"/>
    </row>
    <row r="2170" spans="1:12">
      <c r="A2170" s="20" t="s">
        <v>1020</v>
      </c>
      <c r="E2170" s="22">
        <f>IF(D2170="?OLD","!!!","")</f>
        <v/>
      </c>
      <c r="F2170" s="23" t="str">
        <f>IF(OR(E2170="",E2170="!!!"),"",IF(NOT(ISNA(VLOOKUP(E2170,E$1:E2169,1,FALSE()))),"OLD",IF(AND(E2170&lt;&gt;"",E2170&lt;&gt;"!!!"),"NEW","")))</f>
        <v> </v>
      </c>
      <c r="G2170" s="24" t="str">
        <f>IF(OR(E2170="",E2170="!!!"),"",IF(OR(J2170=0,AND(J2170=1,K2170=1),AND(J2170=1,I2170="SBJ"),AND(J2170=1,I2170=0)),"?IN_FOCUS",IF(J2170&lt;=2,"?ACTIVATED",IF(J2170&lt;&gt;"","?FAMILIAR",IF(F2170="NEW",IF(ISNA(VLOOKUP(E2170,#REF!,1,FALSE())),"?TYPE_IDENTIFIABLE","?REFERENTIAL"),"_")))))</f>
        <v> </v>
      </c>
      <c r="H2170" s="25" t="str">
        <f>IF(J2170&lt;&gt;1,"",IF(I2170="SBJ","CB","?"))</f>
        <v> </v>
      </c>
      <c r="I2170" s="26" t="str">
        <f>IF(OR(E2170="",E2170="!!!",F2170="NEW"),"",INDEX(B2169:B$2,-1+SUMPRODUCT(MAX(ROW(E2169:E$2)*(E2170=E2169:E$2)))))</f>
        <v> </v>
      </c>
      <c r="J2170" s="26" t="str">
        <f>IF(OR(E2170="",E2170="!!!",F2170="NEW"),"",COUNTBLANK(OFFSET(A$1,,,SUMPRODUCT(MAX(ROW(E$2:E2170)*(E2170=E$2:E2170)))))-COUNTBLANK(OFFSET(A$1,,,SUMPRODUCT(MAX(ROW(E$1:E2169)*(E2=E$1:E2169))))))</f>
        <v> </v>
      </c>
      <c r="K2170" s="26" t="str">
        <f>IF(OR(E2170="",E2170="!!!",F2170="NEW"),"",INDEX(J$1:J2169,SUMPRODUCT(MAX(ROW(E$1:E2169)*(E2170=E$1:E2169)))))</f>
        <v> </v>
      </c>
      <c r="L2170" s="27"/>
    </row>
    <row r="2171" spans="1:12">
      <c r="A2171" s="20" t="s">
        <v>1692</v>
      </c>
      <c r="B2171" s="21" t="s">
        <v>1187</v>
      </c>
      <c r="C2171" s="21" t="s">
        <v>1048</v>
      </c>
      <c r="E2171" s="22">
        <f>IF(D2171="?OLD","!!!","")</f>
        <v/>
      </c>
      <c r="F2171" s="23" t="str">
        <f>IF(OR(E2171="",E2171="!!!"),"",IF(NOT(ISNA(VLOOKUP(E2171,E$1:E2170,1,FALSE()))),"OLD",IF(AND(E2171&lt;&gt;"",E2171&lt;&gt;"!!!"),"NEW","")))</f>
        <v> </v>
      </c>
      <c r="G2171" s="24" t="str">
        <f>IF(OR(E2171="",E2171="!!!"),"",IF(OR(J2171=0,AND(J2171=1,K2171=1),AND(J2171=1,I2171="SBJ"),AND(J2171=1,I2171=0)),"?IN_FOCUS",IF(J2171&lt;=2,"?ACTIVATED",IF(J2171&lt;&gt;"","?FAMILIAR",IF(F2171="NEW",IF(ISNA(VLOOKUP(E2171,#REF!,1,FALSE())),"?TYPE_IDENTIFIABLE","?REFERENTIAL"),"_")))))</f>
        <v> </v>
      </c>
      <c r="H2171" s="25" t="str">
        <f>IF(J2171&lt;&gt;1,"",IF(I2171="SBJ","CB","?"))</f>
        <v> </v>
      </c>
      <c r="I2171" s="26" t="str">
        <f>IF(OR(E2171="",E2171="!!!",F2171="NEW"),"",INDEX(B2170:B$2,-1+SUMPRODUCT(MAX(ROW(E2170:E$2)*(E2171=E2170:E$2)))))</f>
        <v> </v>
      </c>
      <c r="J2171" s="26" t="str">
        <f>IF(OR(E2171="",E2171="!!!",F2171="NEW"),"",COUNTBLANK(OFFSET(A$1,,,SUMPRODUCT(MAX(ROW(E$2:E2171)*(E2171=E$2:E2171)))))-COUNTBLANK(OFFSET(A$1,,,SUMPRODUCT(MAX(ROW(E$1:E2170)*(E2=E$1:E2170))))))</f>
        <v> </v>
      </c>
      <c r="K2171" s="26" t="str">
        <f>IF(OR(E2171="",E2171="!!!",F2171="NEW"),"",INDEX(J$1:J2170,SUMPRODUCT(MAX(ROW(E$1:E2170)*(E2171=E$1:E2170)))))</f>
        <v> </v>
      </c>
      <c r="L2171" s="27"/>
    </row>
    <row r="2172" spans="1:12">
      <c r="A2172" s="20" t="s">
        <v>1663</v>
      </c>
      <c r="E2172" s="22">
        <f>IF(D2172="?OLD","!!!","")</f>
        <v/>
      </c>
      <c r="F2172" s="23" t="str">
        <f>IF(OR(E2172="",E2172="!!!"),"",IF(NOT(ISNA(VLOOKUP(E2172,E$1:E2171,1,FALSE()))),"OLD",IF(AND(E2172&lt;&gt;"",E2172&lt;&gt;"!!!"),"NEW","")))</f>
        <v> </v>
      </c>
      <c r="G2172" s="24" t="str">
        <f>IF(OR(E2172="",E2172="!!!"),"",IF(OR(J2172=0,AND(J2172=1,K2172=1),AND(J2172=1,I2172="SBJ"),AND(J2172=1,I2172=0)),"?IN_FOCUS",IF(J2172&lt;=2,"?ACTIVATED",IF(J2172&lt;&gt;"","?FAMILIAR",IF(F2172="NEW",IF(ISNA(VLOOKUP(E2172,#REF!,1,FALSE())),"?TYPE_IDENTIFIABLE","?REFERENTIAL"),"_")))))</f>
        <v> </v>
      </c>
      <c r="H2172" s="25" t="str">
        <f>IF(J2172&lt;&gt;1,"",IF(I2172="SBJ","CB","?"))</f>
        <v> </v>
      </c>
      <c r="I2172" s="26" t="str">
        <f>IF(OR(E2172="",E2172="!!!",F2172="NEW"),"",INDEX(B2171:B$2,-1+SUMPRODUCT(MAX(ROW(E2171:E$2)*(E2172=E2171:E$2)))))</f>
        <v> </v>
      </c>
      <c r="J2172" s="26" t="str">
        <f>IF(OR(E2172="",E2172="!!!",F2172="NEW"),"",COUNTBLANK(OFFSET(A$1,,,SUMPRODUCT(MAX(ROW(E$2:E2172)*(E2172=E$2:E2172)))))-COUNTBLANK(OFFSET(A$1,,,SUMPRODUCT(MAX(ROW(E$1:E2171)*(E2=E$1:E2171))))))</f>
        <v> </v>
      </c>
      <c r="K2172" s="26" t="str">
        <f>IF(OR(E2172="",E2172="!!!",F2172="NEW"),"",INDEX(J$1:J2171,SUMPRODUCT(MAX(ROW(E$1:E2171)*(E2172=E$1:E2171)))))</f>
        <v> </v>
      </c>
      <c r="L2172" s="27"/>
    </row>
    <row r="2173" spans="1:12">
      <c r="A2173" s="20" t="s">
        <v>1018</v>
      </c>
      <c r="E2173" s="22">
        <f>IF(D2173="?OLD","!!!","")</f>
        <v/>
      </c>
      <c r="F2173" s="23" t="str">
        <f>IF(OR(E2173="",E2173="!!!"),"",IF(NOT(ISNA(VLOOKUP(E2173,E$1:E2172,1,FALSE()))),"OLD",IF(AND(E2173&lt;&gt;"",E2173&lt;&gt;"!!!"),"NEW","")))</f>
        <v> </v>
      </c>
      <c r="G2173" s="24" t="str">
        <f>IF(OR(E2173="",E2173="!!!"),"",IF(OR(J2173=0,AND(J2173=1,K2173=1),AND(J2173=1,I2173="SBJ"),AND(J2173=1,I2173=0)),"?IN_FOCUS",IF(J2173&lt;=2,"?ACTIVATED",IF(J2173&lt;&gt;"","?FAMILIAR",IF(F2173="NEW",IF(ISNA(VLOOKUP(E2173,#REF!,1,FALSE())),"?TYPE_IDENTIFIABLE","?REFERENTIAL"),"_")))))</f>
        <v> </v>
      </c>
      <c r="H2173" s="25" t="str">
        <f>IF(J2173&lt;&gt;1,"",IF(I2173="SBJ","CB","?"))</f>
        <v> </v>
      </c>
      <c r="I2173" s="26" t="str">
        <f>IF(OR(E2173="",E2173="!!!",F2173="NEW"),"",INDEX(B2172:B$2,-1+SUMPRODUCT(MAX(ROW(E2172:E$2)*(E2173=E2172:E$2)))))</f>
        <v> </v>
      </c>
      <c r="J2173" s="26" t="str">
        <f>IF(OR(E2173="",E2173="!!!",F2173="NEW"),"",COUNTBLANK(OFFSET(A$1,,,SUMPRODUCT(MAX(ROW(E$2:E2173)*(E2173=E$2:E2173)))))-COUNTBLANK(OFFSET(A$1,,,SUMPRODUCT(MAX(ROW(E$1:E2172)*(E2=E$1:E2172))))))</f>
        <v> </v>
      </c>
      <c r="K2173" s="26" t="str">
        <f>IF(OR(E2173="",E2173="!!!",F2173="NEW"),"",INDEX(J$1:J2172,SUMPRODUCT(MAX(ROW(E$1:E2172)*(E2173=E$1:E2172)))))</f>
        <v> </v>
      </c>
      <c r="L2173" s="27"/>
    </row>
    <row r="2174" spans="1:12">
      <c r="A2174" s="20" t="s">
        <v>1189</v>
      </c>
      <c r="E2174" s="22">
        <f>IF(D2174="?OLD","!!!","")</f>
        <v/>
      </c>
      <c r="F2174" s="23" t="str">
        <f>IF(OR(E2174="",E2174="!!!"),"",IF(NOT(ISNA(VLOOKUP(E2174,E$1:E2173,1,FALSE()))),"OLD",IF(AND(E2174&lt;&gt;"",E2174&lt;&gt;"!!!"),"NEW","")))</f>
        <v> </v>
      </c>
      <c r="G2174" s="24" t="str">
        <f>IF(OR(E2174="",E2174="!!!"),"",IF(OR(J2174=0,AND(J2174=1,K2174=1),AND(J2174=1,I2174="SBJ"),AND(J2174=1,I2174=0)),"?IN_FOCUS",IF(J2174&lt;=2,"?ACTIVATED",IF(J2174&lt;&gt;"","?FAMILIAR",IF(F2174="NEW",IF(ISNA(VLOOKUP(E2174,#REF!,1,FALSE())),"?TYPE_IDENTIFIABLE","?REFERENTIAL"),"_")))))</f>
        <v> </v>
      </c>
      <c r="H2174" s="25" t="str">
        <f>IF(J2174&lt;&gt;1,"",IF(I2174="SBJ","CB","?"))</f>
        <v> </v>
      </c>
      <c r="I2174" s="26" t="str">
        <f>IF(OR(E2174="",E2174="!!!",F2174="NEW"),"",INDEX(B2173:B$2,-1+SUMPRODUCT(MAX(ROW(E2173:E$2)*(E2174=E2173:E$2)))))</f>
        <v> </v>
      </c>
      <c r="J2174" s="26" t="str">
        <f>IF(OR(E2174="",E2174="!!!",F2174="NEW"),"",COUNTBLANK(OFFSET(A$1,,,SUMPRODUCT(MAX(ROW(E$2:E2174)*(E2174=E$2:E2174)))))-COUNTBLANK(OFFSET(A$1,,,SUMPRODUCT(MAX(ROW(E$1:E2173)*(E2=E$1:E2173))))))</f>
        <v> </v>
      </c>
      <c r="K2174" s="26" t="str">
        <f>IF(OR(E2174="",E2174="!!!",F2174="NEW"),"",INDEX(J$1:J2173,SUMPRODUCT(MAX(ROW(E$1:E2173)*(E2174=E$1:E2173)))))</f>
        <v> </v>
      </c>
      <c r="L2174" s="27"/>
    </row>
    <row r="2175" spans="1:12">
      <c r="A2175" s="20" t="s">
        <v>1299</v>
      </c>
      <c r="E2175" s="22">
        <f>IF(D2175="?OLD","!!!","")</f>
        <v/>
      </c>
      <c r="F2175" s="23" t="str">
        <f>IF(OR(E2175="",E2175="!!!"),"",IF(NOT(ISNA(VLOOKUP(E2175,E$1:E2174,1,FALSE()))),"OLD",IF(AND(E2175&lt;&gt;"",E2175&lt;&gt;"!!!"),"NEW","")))</f>
        <v> </v>
      </c>
      <c r="G2175" s="24" t="str">
        <f>IF(OR(E2175="",E2175="!!!"),"",IF(OR(J2175=0,AND(J2175=1,K2175=1),AND(J2175=1,I2175="SBJ"),AND(J2175=1,I2175=0)),"?IN_FOCUS",IF(J2175&lt;=2,"?ACTIVATED",IF(J2175&lt;&gt;"","?FAMILIAR",IF(F2175="NEW",IF(ISNA(VLOOKUP(E2175,#REF!,1,FALSE())),"?TYPE_IDENTIFIABLE","?REFERENTIAL"),"_")))))</f>
        <v> </v>
      </c>
      <c r="H2175" s="25" t="str">
        <f>IF(J2175&lt;&gt;1,"",IF(I2175="SBJ","CB","?"))</f>
        <v> </v>
      </c>
      <c r="I2175" s="26" t="str">
        <f>IF(OR(E2175="",E2175="!!!",F2175="NEW"),"",INDEX(B2174:B$2,-1+SUMPRODUCT(MAX(ROW(E2174:E$2)*(E2175=E2174:E$2)))))</f>
        <v> </v>
      </c>
      <c r="J2175" s="26" t="str">
        <f>IF(OR(E2175="",E2175="!!!",F2175="NEW"),"",COUNTBLANK(OFFSET(A$1,,,SUMPRODUCT(MAX(ROW(E$2:E2175)*(E2175=E$2:E2175)))))-COUNTBLANK(OFFSET(A$1,,,SUMPRODUCT(MAX(ROW(E$1:E2174)*(E2=E$1:E2174))))))</f>
        <v> </v>
      </c>
      <c r="K2175" s="26" t="str">
        <f>IF(OR(E2175="",E2175="!!!",F2175="NEW"),"",INDEX(J$1:J2174,SUMPRODUCT(MAX(ROW(E$1:E2174)*(E2175=E$1:E2174)))))</f>
        <v> </v>
      </c>
      <c r="L2175" s="27"/>
    </row>
    <row r="2176" spans="1:12">
      <c r="A2176" s="20" t="s">
        <v>93</v>
      </c>
      <c r="E2176" s="22">
        <f>IF(D2176="?OLD","!!!","")</f>
        <v/>
      </c>
      <c r="F2176" s="23" t="str">
        <f>IF(OR(E2176="",E2176="!!!"),"",IF(NOT(ISNA(VLOOKUP(E2176,E$1:E2175,1,FALSE()))),"OLD",IF(AND(E2176&lt;&gt;"",E2176&lt;&gt;"!!!"),"NEW","")))</f>
        <v> </v>
      </c>
      <c r="G2176" s="24" t="str">
        <f>IF(OR(E2176="",E2176="!!!"),"",IF(OR(J2176=0,AND(J2176=1,K2176=1),AND(J2176=1,I2176="SBJ"),AND(J2176=1,I2176=0)),"?IN_FOCUS",IF(J2176&lt;=2,"?ACTIVATED",IF(J2176&lt;&gt;"","?FAMILIAR",IF(F2176="NEW",IF(ISNA(VLOOKUP(E2176,#REF!,1,FALSE())),"?TYPE_IDENTIFIABLE","?REFERENTIAL"),"_")))))</f>
        <v> </v>
      </c>
      <c r="H2176" s="25" t="str">
        <f>IF(J2176&lt;&gt;1,"",IF(I2176="SBJ","CB","?"))</f>
        <v> </v>
      </c>
      <c r="I2176" s="26" t="str">
        <f>IF(OR(E2176="",E2176="!!!",F2176="NEW"),"",INDEX(B2175:B$2,-1+SUMPRODUCT(MAX(ROW(E2175:E$2)*(E2176=E2175:E$2)))))</f>
        <v> </v>
      </c>
      <c r="J2176" s="26" t="str">
        <f>IF(OR(E2176="",E2176="!!!",F2176="NEW"),"",COUNTBLANK(OFFSET(A$1,,,SUMPRODUCT(MAX(ROW(E$2:E2176)*(E2176=E$2:E2176)))))-COUNTBLANK(OFFSET(A$1,,,SUMPRODUCT(MAX(ROW(E$1:E2175)*(E2=E$1:E2175))))))</f>
        <v> </v>
      </c>
      <c r="K2176" s="26" t="str">
        <f>IF(OR(E2176="",E2176="!!!",F2176="NEW"),"",INDEX(J$1:J2175,SUMPRODUCT(MAX(ROW(E$1:E2175)*(E2176=E$1:E2175)))))</f>
        <v> </v>
      </c>
      <c r="L2176" s="27"/>
    </row>
    <row r="2177" spans="1:12">
      <c r="A2177" s="20" t="s">
        <v>1729</v>
      </c>
      <c r="B2177" s="21" t="s">
        <v>1064</v>
      </c>
      <c r="C2177" s="21" t="s">
        <v>1082</v>
      </c>
      <c r="D2177" s="21" t="s">
        <v>1007</v>
      </c>
      <c r="E2177" s="22">
        <f>IF(D2177="?OLD","!!!","")</f>
        <v/>
      </c>
      <c r="F2177" s="23" t="str">
        <f>IF(OR(E2177="",E2177="!!!"),"",IF(NOT(ISNA(VLOOKUP(E2177,E$1:E2176,1,FALSE()))),"OLD",IF(AND(E2177&lt;&gt;"",E2177&lt;&gt;"!!!"),"NEW","")))</f>
        <v> </v>
      </c>
      <c r="G2177" s="24" t="str">
        <f>IF(OR(E2177="",E2177="!!!"),"",IF(OR(J2177=0,AND(J2177=1,K2177=1),AND(J2177=1,I2177="SBJ"),AND(J2177=1,I2177=0)),"?IN_FOCUS",IF(J2177&lt;=2,"?ACTIVATED",IF(J2177&lt;&gt;"","?FAMILIAR",IF(F2177="NEW",IF(ISNA(VLOOKUP(E2177,#REF!,1,FALSE())),"?TYPE_IDENTIFIABLE","?REFERENTIAL"),"_")))))</f>
        <v> </v>
      </c>
      <c r="H2177" s="25" t="str">
        <f>IF(J2177&lt;&gt;1,"",IF(I2177="SBJ","CB","?"))</f>
        <v> </v>
      </c>
      <c r="I2177" s="26" t="str">
        <f>IF(OR(E2177="",E2177="!!!",F2177="NEW"),"",INDEX(B2176:B$2,-1+SUMPRODUCT(MAX(ROW(E2176:E$2)*(E2177=E2176:E$2)))))</f>
        <v> </v>
      </c>
      <c r="J2177" s="26" t="str">
        <f>IF(OR(E2177="",E2177="!!!",F2177="NEW"),"",COUNTBLANK(OFFSET(A$1,,,SUMPRODUCT(MAX(ROW(E$2:E2177)*(E2177=E$2:E2177)))))-COUNTBLANK(OFFSET(A$1,,,SUMPRODUCT(MAX(ROW(E$1:E2176)*(E2=E$1:E2176))))))</f>
        <v> </v>
      </c>
      <c r="K2177" s="26" t="str">
        <f>IF(OR(E2177="",E2177="!!!",F2177="NEW"),"",INDEX(J$1:J2176,SUMPRODUCT(MAX(ROW(E$1:E2176)*(E2177=E$1:E2176)))))</f>
        <v> </v>
      </c>
      <c r="L2177" s="27"/>
    </row>
    <row r="2178" spans="1:12">
      <c r="A2178" s="20" t="s">
        <v>1140</v>
      </c>
      <c r="B2178" s="21" t="s">
        <v>1130</v>
      </c>
      <c r="C2178" s="21" t="s">
        <v>1073</v>
      </c>
      <c r="D2178" s="21" t="s">
        <v>1007</v>
      </c>
      <c r="E2178" s="22">
        <f>IF(D2178="?OLD","!!!","")</f>
        <v/>
      </c>
      <c r="F2178" s="23" t="str">
        <f>IF(OR(E2178="",E2178="!!!"),"",IF(NOT(ISNA(VLOOKUP(E2178,E$1:E2177,1,FALSE()))),"OLD",IF(AND(E2178&lt;&gt;"",E2178&lt;&gt;"!!!"),"NEW","")))</f>
        <v> </v>
      </c>
      <c r="G2178" s="24" t="str">
        <f>IF(OR(E2178="",E2178="!!!"),"",IF(OR(J2178=0,AND(J2178=1,K2178=1),AND(J2178=1,I2178="SBJ"),AND(J2178=1,I2178=0)),"?IN_FOCUS",IF(J2178&lt;=2,"?ACTIVATED",IF(J2178&lt;&gt;"","?FAMILIAR",IF(F2178="NEW",IF(ISNA(VLOOKUP(E2178,#REF!,1,FALSE())),"?TYPE_IDENTIFIABLE","?REFERENTIAL"),"_")))))</f>
        <v> </v>
      </c>
      <c r="H2178" s="25" t="str">
        <f>IF(J2178&lt;&gt;1,"",IF(I2178="SBJ","CB","?"))</f>
        <v> </v>
      </c>
      <c r="I2178" s="26" t="str">
        <f>IF(OR(E2178="",E2178="!!!",F2178="NEW"),"",INDEX(B2177:B$2,-1+SUMPRODUCT(MAX(ROW(E2177:E$2)*(E2178=E2177:E$2)))))</f>
        <v> </v>
      </c>
      <c r="J2178" s="26" t="str">
        <f>IF(OR(E2178="",E2178="!!!",F2178="NEW"),"",COUNTBLANK(OFFSET(A$1,,,SUMPRODUCT(MAX(ROW(E$2:E2178)*(E2178=E$2:E2178)))))-COUNTBLANK(OFFSET(A$1,,,SUMPRODUCT(MAX(ROW(E$1:E2177)*(E2=E$1:E2177))))))</f>
        <v> </v>
      </c>
      <c r="K2178" s="26" t="str">
        <f>IF(OR(E2178="",E2178="!!!",F2178="NEW"),"",INDEX(J$1:J2177,SUMPRODUCT(MAX(ROW(E$1:E2177)*(E2178=E$1:E2177)))))</f>
        <v> </v>
      </c>
      <c r="L2178" s="27"/>
    </row>
    <row r="2179" spans="1:12">
      <c r="A2179" s="20" t="s">
        <v>1730</v>
      </c>
      <c r="E2179" s="22">
        <f>IF(D2179="?OLD","!!!","")</f>
        <v/>
      </c>
      <c r="F2179" s="23" t="str">
        <f>IF(OR(E2179="",E2179="!!!"),"",IF(NOT(ISNA(VLOOKUP(E2179,E$1:E2178,1,FALSE()))),"OLD",IF(AND(E2179&lt;&gt;"",E2179&lt;&gt;"!!!"),"NEW","")))</f>
        <v> </v>
      </c>
      <c r="G2179" s="24" t="str">
        <f>IF(OR(E2179="",E2179="!!!"),"",IF(OR(J2179=0,AND(J2179=1,K2179=1),AND(J2179=1,I2179="SBJ"),AND(J2179=1,I2179=0)),"?IN_FOCUS",IF(J2179&lt;=2,"?ACTIVATED",IF(J2179&lt;&gt;"","?FAMILIAR",IF(F2179="NEW",IF(ISNA(VLOOKUP(E2179,#REF!,1,FALSE())),"?TYPE_IDENTIFIABLE","?REFERENTIAL"),"_")))))</f>
        <v> </v>
      </c>
      <c r="H2179" s="25" t="str">
        <f>IF(J2179&lt;&gt;1,"",IF(I2179="SBJ","CB","?"))</f>
        <v> </v>
      </c>
      <c r="I2179" s="26" t="str">
        <f>IF(OR(E2179="",E2179="!!!",F2179="NEW"),"",INDEX(B2178:B$2,-1+SUMPRODUCT(MAX(ROW(E2178:E$2)*(E2179=E2178:E$2)))))</f>
        <v> </v>
      </c>
      <c r="J2179" s="26" t="str">
        <f>IF(OR(E2179="",E2179="!!!",F2179="NEW"),"",COUNTBLANK(OFFSET(A$1,,,SUMPRODUCT(MAX(ROW(E$2:E2179)*(E2179=E$2:E2179)))))-COUNTBLANK(OFFSET(A$1,,,SUMPRODUCT(MAX(ROW(E$1:E2178)*(E2=E$1:E2178))))))</f>
        <v> </v>
      </c>
      <c r="K2179" s="26" t="str">
        <f>IF(OR(E2179="",E2179="!!!",F2179="NEW"),"",INDEX(J$1:J2178,SUMPRODUCT(MAX(ROW(E$1:E2178)*(E2179=E$1:E2178)))))</f>
        <v> </v>
      </c>
      <c r="L2179" s="27"/>
    </row>
    <row r="2180" spans="1:12">
      <c r="A2180" s="20" t="s">
        <v>1731</v>
      </c>
      <c r="E2180" s="22">
        <f>IF(D2180="?OLD","!!!","")</f>
        <v/>
      </c>
      <c r="F2180" s="23" t="str">
        <f>IF(OR(E2180="",E2180="!!!"),"",IF(NOT(ISNA(VLOOKUP(E2180,E$1:E2179,1,FALSE()))),"OLD",IF(AND(E2180&lt;&gt;"",E2180&lt;&gt;"!!!"),"NEW","")))</f>
        <v> </v>
      </c>
      <c r="G2180" s="24" t="str">
        <f>IF(OR(E2180="",E2180="!!!"),"",IF(OR(J2180=0,AND(J2180=1,K2180=1),AND(J2180=1,I2180="SBJ"),AND(J2180=1,I2180=0)),"?IN_FOCUS",IF(J2180&lt;=2,"?ACTIVATED",IF(J2180&lt;&gt;"","?FAMILIAR",IF(F2180="NEW",IF(ISNA(VLOOKUP(E2180,#REF!,1,FALSE())),"?TYPE_IDENTIFIABLE","?REFERENTIAL"),"_")))))</f>
        <v> </v>
      </c>
      <c r="H2180" s="25" t="str">
        <f>IF(J2180&lt;&gt;1,"",IF(I2180="SBJ","CB","?"))</f>
        <v> </v>
      </c>
      <c r="I2180" s="26" t="str">
        <f>IF(OR(E2180="",E2180="!!!",F2180="NEW"),"",INDEX(B2179:B$2,-1+SUMPRODUCT(MAX(ROW(E2179:E$2)*(E2180=E2179:E$2)))))</f>
        <v> </v>
      </c>
      <c r="J2180" s="26" t="str">
        <f>IF(OR(E2180="",E2180="!!!",F2180="NEW"),"",COUNTBLANK(OFFSET(A$1,,,SUMPRODUCT(MAX(ROW(E$2:E2180)*(E2180=E$2:E2180)))))-COUNTBLANK(OFFSET(A$1,,,SUMPRODUCT(MAX(ROW(E$1:E2179)*(E2=E$1:E2179))))))</f>
        <v> </v>
      </c>
      <c r="K2180" s="26" t="str">
        <f>IF(OR(E2180="",E2180="!!!",F2180="NEW"),"",INDEX(J$1:J2179,SUMPRODUCT(MAX(ROW(E$1:E2179)*(E2180=E$1:E2179)))))</f>
        <v> </v>
      </c>
      <c r="L2180" s="27"/>
    </row>
    <row r="2181" spans="1:12">
      <c r="A2181" s="20" t="s">
        <v>1020</v>
      </c>
      <c r="E2181" s="22">
        <f>IF(D2181="?OLD","!!!","")</f>
        <v/>
      </c>
      <c r="F2181" s="23" t="str">
        <f>IF(OR(E2181="",E2181="!!!"),"",IF(NOT(ISNA(VLOOKUP(E2181,E$1:E2180,1,FALSE()))),"OLD",IF(AND(E2181&lt;&gt;"",E2181&lt;&gt;"!!!"),"NEW","")))</f>
        <v> </v>
      </c>
      <c r="G2181" s="24" t="str">
        <f>IF(OR(E2181="",E2181="!!!"),"",IF(OR(J2181=0,AND(J2181=1,K2181=1),AND(J2181=1,I2181="SBJ"),AND(J2181=1,I2181=0)),"?IN_FOCUS",IF(J2181&lt;=2,"?ACTIVATED",IF(J2181&lt;&gt;"","?FAMILIAR",IF(F2181="NEW",IF(ISNA(VLOOKUP(E2181,#REF!,1,FALSE())),"?TYPE_IDENTIFIABLE","?REFERENTIAL"),"_")))))</f>
        <v> </v>
      </c>
      <c r="H2181" s="25" t="str">
        <f>IF(J2181&lt;&gt;1,"",IF(I2181="SBJ","CB","?"))</f>
        <v> </v>
      </c>
      <c r="I2181" s="26" t="str">
        <f>IF(OR(E2181="",E2181="!!!",F2181="NEW"),"",INDEX(B2180:B$2,-1+SUMPRODUCT(MAX(ROW(E2180:E$2)*(E2181=E2180:E$2)))))</f>
        <v> </v>
      </c>
      <c r="J2181" s="26" t="str">
        <f>IF(OR(E2181="",E2181="!!!",F2181="NEW"),"",COUNTBLANK(OFFSET(A$1,,,SUMPRODUCT(MAX(ROW(E$2:E2181)*(E2181=E$2:E2181)))))-COUNTBLANK(OFFSET(A$1,,,SUMPRODUCT(MAX(ROW(E$1:E2180)*(E2=E$1:E2180))))))</f>
        <v> </v>
      </c>
      <c r="K2181" s="26" t="str">
        <f>IF(OR(E2181="",E2181="!!!",F2181="NEW"),"",INDEX(J$1:J2180,SUMPRODUCT(MAX(ROW(E$1:E2180)*(E2181=E$1:E2180)))))</f>
        <v> </v>
      </c>
      <c r="L2181" s="27"/>
    </row>
    <row r="2182" spans="1:12">
      <c r="A2182" s="20" t="s">
        <v>1732</v>
      </c>
      <c r="B2182" s="21" t="s">
        <v>1040</v>
      </c>
      <c r="C2182" s="21" t="s">
        <v>1059</v>
      </c>
      <c r="D2182" s="21" t="s">
        <v>1007</v>
      </c>
      <c r="E2182" s="22">
        <f>IF(D2182="?OLD","!!!","")</f>
        <v/>
      </c>
      <c r="F2182" s="23" t="str">
        <f>IF(OR(E2182="",E2182="!!!"),"",IF(NOT(ISNA(VLOOKUP(E2182,E$1:E2181,1,FALSE()))),"OLD",IF(AND(E2182&lt;&gt;"",E2182&lt;&gt;"!!!"),"NEW","")))</f>
        <v> </v>
      </c>
      <c r="G2182" s="24" t="str">
        <f>IF(OR(E2182="",E2182="!!!"),"",IF(OR(J2182=0,AND(J2182=1,K2182=1),AND(J2182=1,I2182="SBJ"),AND(J2182=1,I2182=0)),"?IN_FOCUS",IF(J2182&lt;=2,"?ACTIVATED",IF(J2182&lt;&gt;"","?FAMILIAR",IF(F2182="NEW",IF(ISNA(VLOOKUP(E2182,#REF!,1,FALSE())),"?TYPE_IDENTIFIABLE","?REFERENTIAL"),"_")))))</f>
        <v> </v>
      </c>
      <c r="H2182" s="25" t="str">
        <f>IF(J2182&lt;&gt;1,"",IF(I2182="SBJ","CB","?"))</f>
        <v> </v>
      </c>
      <c r="I2182" s="26" t="str">
        <f>IF(OR(E2182="",E2182="!!!",F2182="NEW"),"",INDEX(B2181:B$2,-1+SUMPRODUCT(MAX(ROW(E2181:E$2)*(E2182=E2181:E$2)))))</f>
        <v> </v>
      </c>
      <c r="J2182" s="26" t="str">
        <f>IF(OR(E2182="",E2182="!!!",F2182="NEW"),"",COUNTBLANK(OFFSET(A$1,,,SUMPRODUCT(MAX(ROW(E$2:E2182)*(E2182=E$2:E2182)))))-COUNTBLANK(OFFSET(A$1,,,SUMPRODUCT(MAX(ROW(E$1:E2181)*(E2=E$1:E2181))))))</f>
        <v> </v>
      </c>
      <c r="K2182" s="26" t="str">
        <f>IF(OR(E2182="",E2182="!!!",F2182="NEW"),"",INDEX(J$1:J2181,SUMPRODUCT(MAX(ROW(E$1:E2181)*(E2182=E$1:E2181)))))</f>
        <v> </v>
      </c>
      <c r="L2182" s="27"/>
    </row>
    <row r="2183" spans="1:12">
      <c r="A2183" s="20" t="s">
        <v>1691</v>
      </c>
      <c r="B2183" s="21" t="s">
        <v>1263</v>
      </c>
      <c r="C2183" s="21" t="s">
        <v>1017</v>
      </c>
      <c r="D2183" s="21" t="s">
        <v>1007</v>
      </c>
      <c r="E2183" s="22">
        <f>IF(D2183="?OLD","!!!","")</f>
        <v/>
      </c>
      <c r="F2183" s="23" t="str">
        <f>IF(OR(E2183="",E2183="!!!"),"",IF(NOT(ISNA(VLOOKUP(E2183,E$1:E2182,1,FALSE()))),"OLD",IF(AND(E2183&lt;&gt;"",E2183&lt;&gt;"!!!"),"NEW","")))</f>
        <v> </v>
      </c>
      <c r="G2183" s="24" t="str">
        <f>IF(OR(E2183="",E2183="!!!"),"",IF(OR(J2183=0,AND(J2183=1,K2183=1),AND(J2183=1,I2183="SBJ"),AND(J2183=1,I2183=0)),"?IN_FOCUS",IF(J2183&lt;=2,"?ACTIVATED",IF(J2183&lt;&gt;"","?FAMILIAR",IF(F2183="NEW",IF(ISNA(VLOOKUP(E2183,#REF!,1,FALSE())),"?TYPE_IDENTIFIABLE","?REFERENTIAL"),"_")))))</f>
        <v> </v>
      </c>
      <c r="H2183" s="25" t="str">
        <f>IF(J2183&lt;&gt;1,"",IF(I2183="SBJ","CB","?"))</f>
        <v> </v>
      </c>
      <c r="I2183" s="26" t="str">
        <f>IF(OR(E2183="",E2183="!!!",F2183="NEW"),"",INDEX(B2182:B$2,-1+SUMPRODUCT(MAX(ROW(E2182:E$2)*(E2183=E2182:E$2)))))</f>
        <v> </v>
      </c>
      <c r="J2183" s="26" t="str">
        <f>IF(OR(E2183="",E2183="!!!",F2183="NEW"),"",COUNTBLANK(OFFSET(A$1,,,SUMPRODUCT(MAX(ROW(E$2:E2183)*(E2183=E$2:E2183)))))-COUNTBLANK(OFFSET(A$1,,,SUMPRODUCT(MAX(ROW(E$1:E2182)*(E2=E$1:E2182))))))</f>
        <v> </v>
      </c>
      <c r="K2183" s="26" t="str">
        <f>IF(OR(E2183="",E2183="!!!",F2183="NEW"),"",INDEX(J$1:J2182,SUMPRODUCT(MAX(ROW(E$1:E2182)*(E2183=E$1:E2182)))))</f>
        <v> </v>
      </c>
      <c r="L2183" s="27"/>
    </row>
    <row r="2184" spans="1:12">
      <c r="A2184" s="20" t="s">
        <v>1189</v>
      </c>
      <c r="E2184" s="22">
        <f>IF(D2184="?OLD","!!!","")</f>
        <v/>
      </c>
      <c r="F2184" s="23" t="str">
        <f>IF(OR(E2184="",E2184="!!!"),"",IF(NOT(ISNA(VLOOKUP(E2184,E$1:E2183,1,FALSE()))),"OLD",IF(AND(E2184&lt;&gt;"",E2184&lt;&gt;"!!!"),"NEW","")))</f>
        <v> </v>
      </c>
      <c r="G2184" s="24" t="str">
        <f>IF(OR(E2184="",E2184="!!!"),"",IF(OR(J2184=0,AND(J2184=1,K2184=1),AND(J2184=1,I2184="SBJ"),AND(J2184=1,I2184=0)),"?IN_FOCUS",IF(J2184&lt;=2,"?ACTIVATED",IF(J2184&lt;&gt;"","?FAMILIAR",IF(F2184="NEW",IF(ISNA(VLOOKUP(E2184,#REF!,1,FALSE())),"?TYPE_IDENTIFIABLE","?REFERENTIAL"),"_")))))</f>
        <v> </v>
      </c>
      <c r="H2184" s="25" t="str">
        <f>IF(J2184&lt;&gt;1,"",IF(I2184="SBJ","CB","?"))</f>
        <v> </v>
      </c>
      <c r="I2184" s="26" t="str">
        <f>IF(OR(E2184="",E2184="!!!",F2184="NEW"),"",INDEX(B2183:B$2,-1+SUMPRODUCT(MAX(ROW(E2183:E$2)*(E2184=E2183:E$2)))))</f>
        <v> </v>
      </c>
      <c r="J2184" s="26" t="str">
        <f>IF(OR(E2184="",E2184="!!!",F2184="NEW"),"",COUNTBLANK(OFFSET(A$1,,,SUMPRODUCT(MAX(ROW(E$2:E2184)*(E2184=E$2:E2184)))))-COUNTBLANK(OFFSET(A$1,,,SUMPRODUCT(MAX(ROW(E$1:E2183)*(E2=E$1:E2183))))))</f>
        <v> </v>
      </c>
      <c r="K2184" s="26" t="str">
        <f>IF(OR(E2184="",E2184="!!!",F2184="NEW"),"",INDEX(J$1:J2183,SUMPRODUCT(MAX(ROW(E$1:E2183)*(E2184=E$1:E2183)))))</f>
        <v> </v>
      </c>
      <c r="L2184" s="27"/>
    </row>
    <row r="2185" spans="1:12">
      <c r="A2185" s="20" t="s">
        <v>1023</v>
      </c>
      <c r="E2185" s="22">
        <f>IF(D2185="?OLD","!!!","")</f>
        <v/>
      </c>
      <c r="F2185" s="23" t="str">
        <f>IF(OR(E2185="",E2185="!!!"),"",IF(NOT(ISNA(VLOOKUP(E2185,E$1:E2184,1,FALSE()))),"OLD",IF(AND(E2185&lt;&gt;"",E2185&lt;&gt;"!!!"),"NEW","")))</f>
        <v> </v>
      </c>
      <c r="G2185" s="24" t="str">
        <f>IF(OR(E2185="",E2185="!!!"),"",IF(OR(J2185=0,AND(J2185=1,K2185=1),AND(J2185=1,I2185="SBJ"),AND(J2185=1,I2185=0)),"?IN_FOCUS",IF(J2185&lt;=2,"?ACTIVATED",IF(J2185&lt;&gt;"","?FAMILIAR",IF(F2185="NEW",IF(ISNA(VLOOKUP(E2185,#REF!,1,FALSE())),"?TYPE_IDENTIFIABLE","?REFERENTIAL"),"_")))))</f>
        <v> </v>
      </c>
      <c r="H2185" s="25" t="str">
        <f>IF(J2185&lt;&gt;1,"",IF(I2185="SBJ","CB","?"))</f>
        <v> </v>
      </c>
      <c r="I2185" s="26" t="str">
        <f>IF(OR(E2185="",E2185="!!!",F2185="NEW"),"",INDEX(B2184:B$2,-1+SUMPRODUCT(MAX(ROW(E2184:E$2)*(E2185=E2184:E$2)))))</f>
        <v> </v>
      </c>
      <c r="J2185" s="26" t="str">
        <f>IF(OR(E2185="",E2185="!!!",F2185="NEW"),"",COUNTBLANK(OFFSET(A$1,,,SUMPRODUCT(MAX(ROW(E$2:E2185)*(E2185=E$2:E2185)))))-COUNTBLANK(OFFSET(A$1,,,SUMPRODUCT(MAX(ROW(E$1:E2184)*(E2=E$1:E2184))))))</f>
        <v> </v>
      </c>
      <c r="K2185" s="26" t="str">
        <f>IF(OR(E2185="",E2185="!!!",F2185="NEW"),"",INDEX(J$1:J2184,SUMPRODUCT(MAX(ROW(E$1:E2184)*(E2185=E$1:E2184)))))</f>
        <v> </v>
      </c>
      <c r="L2185" s="27"/>
    </row>
    <row r="2186" spans="1:12">
      <c r="A2186" s="20"/>
    </row>
    <row r="2187" spans="1:12">
      <c r="A2187" s="20" t="s">
        <v>1733</v>
      </c>
    </row>
    <row r="2188" spans="1:12">
      <c r="A2188" s="20" t="s">
        <v>1734</v>
      </c>
      <c r="E2188" s="22">
        <f>IF(D2188="?OLD","!!!","")</f>
        <v/>
      </c>
      <c r="F2188" s="23" t="str">
        <f>IF(OR(E2188="",E2188="!!!"),"",IF(NOT(ISNA(VLOOKUP(E2188,E$1:E2187,1,FALSE()))),"OLD",IF(AND(E2188&lt;&gt;"",E2188&lt;&gt;"!!!"),"NEW","")))</f>
        <v> </v>
      </c>
      <c r="G2188" s="24" t="str">
        <f>IF(OR(E2188="",E2188="!!!"),"",IF(OR(J2188=0,AND(J2188=1,K2188=1),AND(J2188=1,I2188="SBJ"),AND(J2188=1,I2188=0)),"?IN_FOCUS",IF(J2188&lt;=2,"?ACTIVATED",IF(J2188&lt;&gt;"","?FAMILIAR",IF(F2188="NEW",IF(ISNA(VLOOKUP(E2188,#REF!,1,FALSE())),"?TYPE_IDENTIFIABLE","?REFERENTIAL"),"_")))))</f>
        <v> </v>
      </c>
      <c r="H2188" s="25" t="str">
        <f>IF(J2188&lt;&gt;1,"",IF(I2188="SBJ","CB","?"))</f>
        <v> </v>
      </c>
      <c r="I2188" s="26" t="str">
        <f>IF(OR(E2188="",E2188="!!!",F2188="NEW"),"",INDEX(B2187:B$2,-1+SUMPRODUCT(MAX(ROW(E2187:E$2)*(E2188=E2187:E$2)))))</f>
        <v> </v>
      </c>
      <c r="J2188" s="26" t="str">
        <f>IF(OR(E2188="",E2188="!!!",F2188="NEW"),"",COUNTBLANK(OFFSET(A$1,,,SUMPRODUCT(MAX(ROW(E$2:E2188)*(E2188=E$2:E2188)))))-COUNTBLANK(OFFSET(A$1,,,SUMPRODUCT(MAX(ROW(E$1:E2187)*(E2=E$1:E2187))))))</f>
        <v> </v>
      </c>
      <c r="K2188" s="26" t="str">
        <f>IF(OR(E2188="",E2188="!!!",F2188="NEW"),"",INDEX(J$1:J2187,SUMPRODUCT(MAX(ROW(E$1:E2187)*(E2188=E$1:E2187)))))</f>
        <v> </v>
      </c>
      <c r="L2188" s="27"/>
    </row>
    <row r="2189" spans="1:12">
      <c r="A2189" s="20" t="s">
        <v>1735</v>
      </c>
      <c r="E2189" s="22">
        <f>IF(D2189="?OLD","!!!","")</f>
        <v/>
      </c>
      <c r="F2189" s="23" t="str">
        <f>IF(OR(E2189="",E2189="!!!"),"",IF(NOT(ISNA(VLOOKUP(E2189,E$1:E2188,1,FALSE()))),"OLD",IF(AND(E2189&lt;&gt;"",E2189&lt;&gt;"!!!"),"NEW","")))</f>
        <v> </v>
      </c>
      <c r="G2189" s="24" t="str">
        <f>IF(OR(E2189="",E2189="!!!"),"",IF(OR(J2189=0,AND(J2189=1,K2189=1),AND(J2189=1,I2189="SBJ"),AND(J2189=1,I2189=0)),"?IN_FOCUS",IF(J2189&lt;=2,"?ACTIVATED",IF(J2189&lt;&gt;"","?FAMILIAR",IF(F2189="NEW",IF(ISNA(VLOOKUP(E2189,#REF!,1,FALSE())),"?TYPE_IDENTIFIABLE","?REFERENTIAL"),"_")))))</f>
        <v> </v>
      </c>
      <c r="H2189" s="25" t="str">
        <f>IF(J2189&lt;&gt;1,"",IF(I2189="SBJ","CB","?"))</f>
        <v> </v>
      </c>
      <c r="I2189" s="26" t="str">
        <f>IF(OR(E2189="",E2189="!!!",F2189="NEW"),"",INDEX(B2188:B$2,-1+SUMPRODUCT(MAX(ROW(E2188:E$2)*(E2189=E2188:E$2)))))</f>
        <v> </v>
      </c>
      <c r="J2189" s="26" t="str">
        <f>IF(OR(E2189="",E2189="!!!",F2189="NEW"),"",COUNTBLANK(OFFSET(A$1,,,SUMPRODUCT(MAX(ROW(E$2:E2189)*(E2189=E$2:E2189)))))-COUNTBLANK(OFFSET(A$1,,,SUMPRODUCT(MAX(ROW(E$1:E2188)*(E2=E$1:E2188))))))</f>
        <v> </v>
      </c>
      <c r="K2189" s="26" t="str">
        <f>IF(OR(E2189="",E2189="!!!",F2189="NEW"),"",INDEX(J$1:J2188,SUMPRODUCT(MAX(ROW(E$1:E2188)*(E2189=E$1:E2188)))))</f>
        <v> </v>
      </c>
      <c r="L2189" s="27"/>
    </row>
    <row r="2190" spans="1:12">
      <c r="A2190" s="20" t="s">
        <v>1435</v>
      </c>
      <c r="E2190" s="22">
        <f>IF(D2190="?OLD","!!!","")</f>
        <v/>
      </c>
      <c r="F2190" s="23" t="str">
        <f>IF(OR(E2190="",E2190="!!!"),"",IF(NOT(ISNA(VLOOKUP(E2190,E$1:E2189,1,FALSE()))),"OLD",IF(AND(E2190&lt;&gt;"",E2190&lt;&gt;"!!!"),"NEW","")))</f>
        <v> </v>
      </c>
      <c r="G2190" s="24" t="str">
        <f>IF(OR(E2190="",E2190="!!!"),"",IF(OR(J2190=0,AND(J2190=1,K2190=1),AND(J2190=1,I2190="SBJ"),AND(J2190=1,I2190=0)),"?IN_FOCUS",IF(J2190&lt;=2,"?ACTIVATED",IF(J2190&lt;&gt;"","?FAMILIAR",IF(F2190="NEW",IF(ISNA(VLOOKUP(E2190,#REF!,1,FALSE())),"?TYPE_IDENTIFIABLE","?REFERENTIAL"),"_")))))</f>
        <v> </v>
      </c>
      <c r="H2190" s="25" t="str">
        <f>IF(J2190&lt;&gt;1,"",IF(I2190="SBJ","CB","?"))</f>
        <v> </v>
      </c>
      <c r="I2190" s="26" t="str">
        <f>IF(OR(E2190="",E2190="!!!",F2190="NEW"),"",INDEX(B2189:B$2,-1+SUMPRODUCT(MAX(ROW(E2189:E$2)*(E2190=E2189:E$2)))))</f>
        <v> </v>
      </c>
      <c r="J2190" s="26" t="str">
        <f>IF(OR(E2190="",E2190="!!!",F2190="NEW"),"",COUNTBLANK(OFFSET(A$1,,,SUMPRODUCT(MAX(ROW(E$2:E2190)*(E2190=E$2:E2190)))))-COUNTBLANK(OFFSET(A$1,,,SUMPRODUCT(MAX(ROW(E$1:E2189)*(E2=E$1:E2189))))))</f>
        <v> </v>
      </c>
      <c r="K2190" s="26" t="str">
        <f>IF(OR(E2190="",E2190="!!!",F2190="NEW"),"",INDEX(J$1:J2189,SUMPRODUCT(MAX(ROW(E$1:E2189)*(E2190=E$1:E2189)))))</f>
        <v> </v>
      </c>
      <c r="L2190" s="27"/>
    </row>
    <row r="2191" spans="1:12">
      <c r="A2191" s="20" t="s">
        <v>1736</v>
      </c>
      <c r="B2191" s="21" t="s">
        <v>1085</v>
      </c>
      <c r="C2191" s="21" t="s">
        <v>1041</v>
      </c>
      <c r="D2191" s="21" t="s">
        <v>1007</v>
      </c>
      <c r="E2191" s="22">
        <f>IF(D2191="?OLD","!!!","")</f>
        <v/>
      </c>
      <c r="F2191" s="23" t="str">
        <f>IF(OR(E2191="",E2191="!!!"),"",IF(NOT(ISNA(VLOOKUP(E2191,E$1:E2190,1,FALSE()))),"OLD",IF(AND(E2191&lt;&gt;"",E2191&lt;&gt;"!!!"),"NEW","")))</f>
        <v> </v>
      </c>
      <c r="G2191" s="24" t="str">
        <f>IF(OR(E2191="",E2191="!!!"),"",IF(OR(J2191=0,AND(J2191=1,K2191=1),AND(J2191=1,I2191="SBJ"),AND(J2191=1,I2191=0)),"?IN_FOCUS",IF(J2191&lt;=2,"?ACTIVATED",IF(J2191&lt;&gt;"","?FAMILIAR",IF(F2191="NEW",IF(ISNA(VLOOKUP(E2191,#REF!,1,FALSE())),"?TYPE_IDENTIFIABLE","?REFERENTIAL"),"_")))))</f>
        <v> </v>
      </c>
      <c r="H2191" s="25" t="str">
        <f>IF(J2191&lt;&gt;1,"",IF(I2191="SBJ","CB","?"))</f>
        <v> </v>
      </c>
      <c r="I2191" s="26" t="str">
        <f>IF(OR(E2191="",E2191="!!!",F2191="NEW"),"",INDEX(B2190:B$2,-1+SUMPRODUCT(MAX(ROW(E2190:E$2)*(E2191=E2190:E$2)))))</f>
        <v> </v>
      </c>
      <c r="J2191" s="26" t="str">
        <f>IF(OR(E2191="",E2191="!!!",F2191="NEW"),"",COUNTBLANK(OFFSET(A$1,,,SUMPRODUCT(MAX(ROW(E$2:E2191)*(E2191=E$2:E2191)))))-COUNTBLANK(OFFSET(A$1,,,SUMPRODUCT(MAX(ROW(E$1:E2190)*(E2=E$1:E2190))))))</f>
        <v> </v>
      </c>
      <c r="K2191" s="26" t="str">
        <f>IF(OR(E2191="",E2191="!!!",F2191="NEW"),"",INDEX(J$1:J2190,SUMPRODUCT(MAX(ROW(E$1:E2190)*(E2191=E$1:E2190)))))</f>
        <v> </v>
      </c>
      <c r="L2191" s="27"/>
    </row>
    <row r="2192" spans="1:12">
      <c r="A2192" s="20" t="s">
        <v>1014</v>
      </c>
      <c r="E2192" s="22">
        <f>IF(D2192="?OLD","!!!","")</f>
        <v/>
      </c>
      <c r="F2192" s="23" t="str">
        <f>IF(OR(E2192="",E2192="!!!"),"",IF(NOT(ISNA(VLOOKUP(E2192,E$1:E2191,1,FALSE()))),"OLD",IF(AND(E2192&lt;&gt;"",E2192&lt;&gt;"!!!"),"NEW","")))</f>
        <v> </v>
      </c>
      <c r="G2192" s="24" t="str">
        <f>IF(OR(E2192="",E2192="!!!"),"",IF(OR(J2192=0,AND(J2192=1,K2192=1),AND(J2192=1,I2192="SBJ"),AND(J2192=1,I2192=0)),"?IN_FOCUS",IF(J2192&lt;=2,"?ACTIVATED",IF(J2192&lt;&gt;"","?FAMILIAR",IF(F2192="NEW",IF(ISNA(VLOOKUP(E2192,#REF!,1,FALSE())),"?TYPE_IDENTIFIABLE","?REFERENTIAL"),"_")))))</f>
        <v> </v>
      </c>
      <c r="H2192" s="25" t="str">
        <f>IF(J2192&lt;&gt;1,"",IF(I2192="SBJ","CB","?"))</f>
        <v> </v>
      </c>
      <c r="I2192" s="26" t="str">
        <f>IF(OR(E2192="",E2192="!!!",F2192="NEW"),"",INDEX(B2191:B$2,-1+SUMPRODUCT(MAX(ROW(E2191:E$2)*(E2192=E2191:E$2)))))</f>
        <v> </v>
      </c>
      <c r="J2192" s="26" t="str">
        <f>IF(OR(E2192="",E2192="!!!",F2192="NEW"),"",COUNTBLANK(OFFSET(A$1,,,SUMPRODUCT(MAX(ROW(E$2:E2192)*(E2192=E$2:E2192)))))-COUNTBLANK(OFFSET(A$1,,,SUMPRODUCT(MAX(ROW(E$1:E2191)*(E2=E$1:E2191))))))</f>
        <v> </v>
      </c>
      <c r="K2192" s="26" t="str">
        <f>IF(OR(E2192="",E2192="!!!",F2192="NEW"),"",INDEX(J$1:J2191,SUMPRODUCT(MAX(ROW(E$1:E2191)*(E2192=E$1:E2191)))))</f>
        <v> </v>
      </c>
      <c r="L2192" s="27"/>
    </row>
    <row r="2193" spans="1:12">
      <c r="A2193" s="20" t="s">
        <v>1020</v>
      </c>
      <c r="E2193" s="22">
        <f>IF(D2193="?OLD","!!!","")</f>
        <v/>
      </c>
      <c r="F2193" s="23" t="str">
        <f>IF(OR(E2193="",E2193="!!!"),"",IF(NOT(ISNA(VLOOKUP(E2193,E$1:E2192,1,FALSE()))),"OLD",IF(AND(E2193&lt;&gt;"",E2193&lt;&gt;"!!!"),"NEW","")))</f>
        <v> </v>
      </c>
      <c r="G2193" s="24" t="str">
        <f>IF(OR(E2193="",E2193="!!!"),"",IF(OR(J2193=0,AND(J2193=1,K2193=1),AND(J2193=1,I2193="SBJ"),AND(J2193=1,I2193=0)),"?IN_FOCUS",IF(J2193&lt;=2,"?ACTIVATED",IF(J2193&lt;&gt;"","?FAMILIAR",IF(F2193="NEW",IF(ISNA(VLOOKUP(E2193,#REF!,1,FALSE())),"?TYPE_IDENTIFIABLE","?REFERENTIAL"),"_")))))</f>
        <v> </v>
      </c>
      <c r="H2193" s="25" t="str">
        <f>IF(J2193&lt;&gt;1,"",IF(I2193="SBJ","CB","?"))</f>
        <v> </v>
      </c>
      <c r="I2193" s="26" t="str">
        <f>IF(OR(E2193="",E2193="!!!",F2193="NEW"),"",INDEX(B2192:B$2,-1+SUMPRODUCT(MAX(ROW(E2192:E$2)*(E2193=E2192:E$2)))))</f>
        <v> </v>
      </c>
      <c r="J2193" s="26" t="str">
        <f>IF(OR(E2193="",E2193="!!!",F2193="NEW"),"",COUNTBLANK(OFFSET(A$1,,,SUMPRODUCT(MAX(ROW(E$2:E2193)*(E2193=E$2:E2193)))))-COUNTBLANK(OFFSET(A$1,,,SUMPRODUCT(MAX(ROW(E$1:E2192)*(E2=E$1:E2192))))))</f>
        <v> </v>
      </c>
      <c r="K2193" s="26" t="str">
        <f>IF(OR(E2193="",E2193="!!!",F2193="NEW"),"",INDEX(J$1:J2192,SUMPRODUCT(MAX(ROW(E$1:E2192)*(E2193=E$1:E2192)))))</f>
        <v> </v>
      </c>
      <c r="L2193" s="27"/>
    </row>
    <row r="2194" spans="1:12">
      <c r="A2194" s="20" t="s">
        <v>1410</v>
      </c>
      <c r="B2194" s="21" t="s">
        <v>1022</v>
      </c>
      <c r="C2194" s="21" t="s">
        <v>1013</v>
      </c>
      <c r="D2194" s="21" t="s">
        <v>1007</v>
      </c>
      <c r="E2194" s="22">
        <f>IF(D2194="?OLD","!!!","")</f>
        <v/>
      </c>
      <c r="F2194" s="23" t="str">
        <f>IF(OR(E2194="",E2194="!!!"),"",IF(NOT(ISNA(VLOOKUP(E2194,E$1:E2193,1,FALSE()))),"OLD",IF(AND(E2194&lt;&gt;"",E2194&lt;&gt;"!!!"),"NEW","")))</f>
        <v> </v>
      </c>
      <c r="G2194" s="24" t="str">
        <f>IF(OR(E2194="",E2194="!!!"),"",IF(OR(J2194=0,AND(J2194=1,K2194=1),AND(J2194=1,I2194="SBJ"),AND(J2194=1,I2194=0)),"?IN_FOCUS",IF(J2194&lt;=2,"?ACTIVATED",IF(J2194&lt;&gt;"","?FAMILIAR",IF(F2194="NEW",IF(ISNA(VLOOKUP(E2194,#REF!,1,FALSE())),"?TYPE_IDENTIFIABLE","?REFERENTIAL"),"_")))))</f>
        <v> </v>
      </c>
      <c r="H2194" s="25" t="str">
        <f>IF(J2194&lt;&gt;1,"",IF(I2194="SBJ","CB","?"))</f>
        <v> </v>
      </c>
      <c r="I2194" s="26" t="str">
        <f>IF(OR(E2194="",E2194="!!!",F2194="NEW"),"",INDEX(B2193:B$2,-1+SUMPRODUCT(MAX(ROW(E2193:E$2)*(E2194=E2193:E$2)))))</f>
        <v> </v>
      </c>
      <c r="J2194" s="26" t="str">
        <f>IF(OR(E2194="",E2194="!!!",F2194="NEW"),"",COUNTBLANK(OFFSET(A$1,,,SUMPRODUCT(MAX(ROW(E$2:E2194)*(E2194=E$2:E2194)))))-COUNTBLANK(OFFSET(A$1,,,SUMPRODUCT(MAX(ROW(E$1:E2193)*(E2=E$1:E2193))))))</f>
        <v> </v>
      </c>
      <c r="K2194" s="26" t="str">
        <f>IF(OR(E2194="",E2194="!!!",F2194="NEW"),"",INDEX(J$1:J2193,SUMPRODUCT(MAX(ROW(E$1:E2193)*(E2194=E$1:E2193)))))</f>
        <v> </v>
      </c>
      <c r="L2194" s="27"/>
    </row>
    <row r="2195" spans="1:12">
      <c r="A2195" s="20" t="s">
        <v>1014</v>
      </c>
      <c r="E2195" s="22">
        <f>IF(D2195="?OLD","!!!","")</f>
        <v/>
      </c>
      <c r="F2195" s="23" t="str">
        <f>IF(OR(E2195="",E2195="!!!"),"",IF(NOT(ISNA(VLOOKUP(E2195,E$1:E2194,1,FALSE()))),"OLD",IF(AND(E2195&lt;&gt;"",E2195&lt;&gt;"!!!"),"NEW","")))</f>
        <v> </v>
      </c>
      <c r="G2195" s="24" t="str">
        <f>IF(OR(E2195="",E2195="!!!"),"",IF(OR(J2195=0,AND(J2195=1,K2195=1),AND(J2195=1,I2195="SBJ"),AND(J2195=1,I2195=0)),"?IN_FOCUS",IF(J2195&lt;=2,"?ACTIVATED",IF(J2195&lt;&gt;"","?FAMILIAR",IF(F2195="NEW",IF(ISNA(VLOOKUP(E2195,#REF!,1,FALSE())),"?TYPE_IDENTIFIABLE","?REFERENTIAL"),"_")))))</f>
        <v> </v>
      </c>
      <c r="H2195" s="25" t="str">
        <f>IF(J2195&lt;&gt;1,"",IF(I2195="SBJ","CB","?"))</f>
        <v> </v>
      </c>
      <c r="I2195" s="26" t="str">
        <f>IF(OR(E2195="",E2195="!!!",F2195="NEW"),"",INDEX(B2194:B$2,-1+SUMPRODUCT(MAX(ROW(E2194:E$2)*(E2195=E2194:E$2)))))</f>
        <v> </v>
      </c>
      <c r="J2195" s="26" t="str">
        <f>IF(OR(E2195="",E2195="!!!",F2195="NEW"),"",COUNTBLANK(OFFSET(A$1,,,SUMPRODUCT(MAX(ROW(E$2:E2195)*(E2195=E$2:E2195)))))-COUNTBLANK(OFFSET(A$1,,,SUMPRODUCT(MAX(ROW(E$1:E2194)*(E2=E$1:E2194))))))</f>
        <v> </v>
      </c>
      <c r="K2195" s="26" t="str">
        <f>IF(OR(E2195="",E2195="!!!",F2195="NEW"),"",INDEX(J$1:J2194,SUMPRODUCT(MAX(ROW(E$1:E2194)*(E2195=E$1:E2194)))))</f>
        <v> </v>
      </c>
      <c r="L2195" s="27"/>
    </row>
    <row r="2196" spans="1:12">
      <c r="A2196" s="20" t="s">
        <v>1224</v>
      </c>
      <c r="B2196" s="21" t="s">
        <v>1033</v>
      </c>
      <c r="C2196" s="21" t="s">
        <v>1082</v>
      </c>
      <c r="D2196" s="21" t="s">
        <v>1007</v>
      </c>
      <c r="E2196" s="22">
        <f>IF(D2196="?OLD","!!!","")</f>
        <v/>
      </c>
      <c r="F2196" s="23" t="str">
        <f>IF(OR(E2196="",E2196="!!!"),"",IF(NOT(ISNA(VLOOKUP(E2196,E$1:E2195,1,FALSE()))),"OLD",IF(AND(E2196&lt;&gt;"",E2196&lt;&gt;"!!!"),"NEW","")))</f>
        <v> </v>
      </c>
      <c r="G2196" s="24" t="str">
        <f>IF(OR(E2196="",E2196="!!!"),"",IF(OR(J2196=0,AND(J2196=1,K2196=1),AND(J2196=1,I2196="SBJ"),AND(J2196=1,I2196=0)),"?IN_FOCUS",IF(J2196&lt;=2,"?ACTIVATED",IF(J2196&lt;&gt;"","?FAMILIAR",IF(F2196="NEW",IF(ISNA(VLOOKUP(E2196,#REF!,1,FALSE())),"?TYPE_IDENTIFIABLE","?REFERENTIAL"),"_")))))</f>
        <v> </v>
      </c>
      <c r="H2196" s="25" t="str">
        <f>IF(J2196&lt;&gt;1,"",IF(I2196="SBJ","CB","?"))</f>
        <v> </v>
      </c>
      <c r="I2196" s="26" t="str">
        <f>IF(OR(E2196="",E2196="!!!",F2196="NEW"),"",INDEX(B2195:B$2,-1+SUMPRODUCT(MAX(ROW(E2195:E$2)*(E2196=E2195:E$2)))))</f>
        <v> </v>
      </c>
      <c r="J2196" s="26" t="str">
        <f>IF(OR(E2196="",E2196="!!!",F2196="NEW"),"",COUNTBLANK(OFFSET(A$1,,,SUMPRODUCT(MAX(ROW(E$2:E2196)*(E2196=E$2:E2196)))))-COUNTBLANK(OFFSET(A$1,,,SUMPRODUCT(MAX(ROW(E$1:E2195)*(E2=E$1:E2195))))))</f>
        <v> </v>
      </c>
      <c r="K2196" s="26" t="str">
        <f>IF(OR(E2196="",E2196="!!!",F2196="NEW"),"",INDEX(J$1:J2195,SUMPRODUCT(MAX(ROW(E$1:E2195)*(E2196=E$1:E2195)))))</f>
        <v> </v>
      </c>
      <c r="L2196" s="27"/>
    </row>
    <row r="2197" spans="1:12">
      <c r="A2197" s="20" t="s">
        <v>1018</v>
      </c>
      <c r="E2197" s="22">
        <f>IF(D2197="?OLD","!!!","")</f>
        <v/>
      </c>
      <c r="F2197" s="23" t="str">
        <f>IF(OR(E2197="",E2197="!!!"),"",IF(NOT(ISNA(VLOOKUP(E2197,E$1:E2196,1,FALSE()))),"OLD",IF(AND(E2197&lt;&gt;"",E2197&lt;&gt;"!!!"),"NEW","")))</f>
        <v> </v>
      </c>
      <c r="G2197" s="24" t="str">
        <f>IF(OR(E2197="",E2197="!!!"),"",IF(OR(J2197=0,AND(J2197=1,K2197=1),AND(J2197=1,I2197="SBJ"),AND(J2197=1,I2197=0)),"?IN_FOCUS",IF(J2197&lt;=2,"?ACTIVATED",IF(J2197&lt;&gt;"","?FAMILIAR",IF(F2197="NEW",IF(ISNA(VLOOKUP(E2197,#REF!,1,FALSE())),"?TYPE_IDENTIFIABLE","?REFERENTIAL"),"_")))))</f>
        <v> </v>
      </c>
      <c r="H2197" s="25" t="str">
        <f>IF(J2197&lt;&gt;1,"",IF(I2197="SBJ","CB","?"))</f>
        <v> </v>
      </c>
      <c r="I2197" s="26" t="str">
        <f>IF(OR(E2197="",E2197="!!!",F2197="NEW"),"",INDEX(B2196:B$2,-1+SUMPRODUCT(MAX(ROW(E2196:E$2)*(E2197=E2196:E$2)))))</f>
        <v> </v>
      </c>
      <c r="J2197" s="26" t="str">
        <f>IF(OR(E2197="",E2197="!!!",F2197="NEW"),"",COUNTBLANK(OFFSET(A$1,,,SUMPRODUCT(MAX(ROW(E$2:E2197)*(E2197=E$2:E2197)))))-COUNTBLANK(OFFSET(A$1,,,SUMPRODUCT(MAX(ROW(E$1:E2196)*(E2=E$1:E2196))))))</f>
        <v> </v>
      </c>
      <c r="K2197" s="26" t="str">
        <f>IF(OR(E2197="",E2197="!!!",F2197="NEW"),"",INDEX(J$1:J2196,SUMPRODUCT(MAX(ROW(E$1:E2196)*(E2197=E$1:E2196)))))</f>
        <v> </v>
      </c>
      <c r="L2197" s="27"/>
    </row>
    <row r="2198" spans="1:12">
      <c r="A2198" s="20" t="s">
        <v>1330</v>
      </c>
      <c r="E2198" s="22">
        <f>IF(D2198="?OLD","!!!","")</f>
        <v/>
      </c>
      <c r="F2198" s="23" t="str">
        <f>IF(OR(E2198="",E2198="!!!"),"",IF(NOT(ISNA(VLOOKUP(E2198,E$1:E2197,1,FALSE()))),"OLD",IF(AND(E2198&lt;&gt;"",E2198&lt;&gt;"!!!"),"NEW","")))</f>
        <v> </v>
      </c>
      <c r="G2198" s="24" t="str">
        <f>IF(OR(E2198="",E2198="!!!"),"",IF(OR(J2198=0,AND(J2198=1,K2198=1),AND(J2198=1,I2198="SBJ"),AND(J2198=1,I2198=0)),"?IN_FOCUS",IF(J2198&lt;=2,"?ACTIVATED",IF(J2198&lt;&gt;"","?FAMILIAR",IF(F2198="NEW",IF(ISNA(VLOOKUP(E2198,#REF!,1,FALSE())),"?TYPE_IDENTIFIABLE","?REFERENTIAL"),"_")))))</f>
        <v> </v>
      </c>
      <c r="H2198" s="25" t="str">
        <f>IF(J2198&lt;&gt;1,"",IF(I2198="SBJ","CB","?"))</f>
        <v> </v>
      </c>
      <c r="I2198" s="26" t="str">
        <f>IF(OR(E2198="",E2198="!!!",F2198="NEW"),"",INDEX(B2197:B$2,-1+SUMPRODUCT(MAX(ROW(E2197:E$2)*(E2198=E2197:E$2)))))</f>
        <v> </v>
      </c>
      <c r="J2198" s="26" t="str">
        <f>IF(OR(E2198="",E2198="!!!",F2198="NEW"),"",COUNTBLANK(OFFSET(A$1,,,SUMPRODUCT(MAX(ROW(E$2:E2198)*(E2198=E$2:E2198)))))-COUNTBLANK(OFFSET(A$1,,,SUMPRODUCT(MAX(ROW(E$1:E2197)*(E2=E$1:E2197))))))</f>
        <v> </v>
      </c>
      <c r="K2198" s="26" t="str">
        <f>IF(OR(E2198="",E2198="!!!",F2198="NEW"),"",INDEX(J$1:J2197,SUMPRODUCT(MAX(ROW(E$1:E2197)*(E2198=E$1:E2197)))))</f>
        <v> </v>
      </c>
      <c r="L2198" s="27"/>
    </row>
    <row r="2199" spans="1:12">
      <c r="A2199" s="20" t="s">
        <v>1018</v>
      </c>
      <c r="E2199" s="22">
        <f>IF(D2199="?OLD","!!!","")</f>
        <v/>
      </c>
      <c r="F2199" s="23" t="str">
        <f>IF(OR(E2199="",E2199="!!!"),"",IF(NOT(ISNA(VLOOKUP(E2199,E$1:E2198,1,FALSE()))),"OLD",IF(AND(E2199&lt;&gt;"",E2199&lt;&gt;"!!!"),"NEW","")))</f>
        <v> </v>
      </c>
      <c r="G2199" s="24" t="str">
        <f>IF(OR(E2199="",E2199="!!!"),"",IF(OR(J2199=0,AND(J2199=1,K2199=1),AND(J2199=1,I2199="SBJ"),AND(J2199=1,I2199=0)),"?IN_FOCUS",IF(J2199&lt;=2,"?ACTIVATED",IF(J2199&lt;&gt;"","?FAMILIAR",IF(F2199="NEW",IF(ISNA(VLOOKUP(E2199,#REF!,1,FALSE())),"?TYPE_IDENTIFIABLE","?REFERENTIAL"),"_")))))</f>
        <v> </v>
      </c>
      <c r="H2199" s="25" t="str">
        <f>IF(J2199&lt;&gt;1,"",IF(I2199="SBJ","CB","?"))</f>
        <v> </v>
      </c>
      <c r="I2199" s="26" t="str">
        <f>IF(OR(E2199="",E2199="!!!",F2199="NEW"),"",INDEX(B2198:B$2,-1+SUMPRODUCT(MAX(ROW(E2198:E$2)*(E2199=E2198:E$2)))))</f>
        <v> </v>
      </c>
      <c r="J2199" s="26" t="str">
        <f>IF(OR(E2199="",E2199="!!!",F2199="NEW"),"",COUNTBLANK(OFFSET(A$1,,,SUMPRODUCT(MAX(ROW(E$2:E2199)*(E2199=E$2:E2199)))))-COUNTBLANK(OFFSET(A$1,,,SUMPRODUCT(MAX(ROW(E$1:E2198)*(E2=E$1:E2198))))))</f>
        <v> </v>
      </c>
      <c r="K2199" s="26" t="str">
        <f>IF(OR(E2199="",E2199="!!!",F2199="NEW"),"",INDEX(J$1:J2198,SUMPRODUCT(MAX(ROW(E$1:E2198)*(E2199=E$1:E2198)))))</f>
        <v> </v>
      </c>
      <c r="L2199" s="27"/>
    </row>
    <row r="2200" spans="1:12">
      <c r="A2200" s="20" t="s">
        <v>1137</v>
      </c>
      <c r="E2200" s="22">
        <f>IF(D2200="?OLD","!!!","")</f>
        <v/>
      </c>
      <c r="F2200" s="23" t="str">
        <f>IF(OR(E2200="",E2200="!!!"),"",IF(NOT(ISNA(VLOOKUP(E2200,E$1:E2199,1,FALSE()))),"OLD",IF(AND(E2200&lt;&gt;"",E2200&lt;&gt;"!!!"),"NEW","")))</f>
        <v> </v>
      </c>
      <c r="G2200" s="24" t="str">
        <f>IF(OR(E2200="",E2200="!!!"),"",IF(OR(J2200=0,AND(J2200=1,K2200=1),AND(J2200=1,I2200="SBJ"),AND(J2200=1,I2200=0)),"?IN_FOCUS",IF(J2200&lt;=2,"?ACTIVATED",IF(J2200&lt;&gt;"","?FAMILIAR",IF(F2200="NEW",IF(ISNA(VLOOKUP(E2200,#REF!,1,FALSE())),"?TYPE_IDENTIFIABLE","?REFERENTIAL"),"_")))))</f>
        <v> </v>
      </c>
      <c r="H2200" s="25" t="str">
        <f>IF(J2200&lt;&gt;1,"",IF(I2200="SBJ","CB","?"))</f>
        <v> </v>
      </c>
      <c r="I2200" s="26" t="str">
        <f>IF(OR(E2200="",E2200="!!!",F2200="NEW"),"",INDEX(B2199:B$2,-1+SUMPRODUCT(MAX(ROW(E2199:E$2)*(E2200=E2199:E$2)))))</f>
        <v> </v>
      </c>
      <c r="J2200" s="26" t="str">
        <f>IF(OR(E2200="",E2200="!!!",F2200="NEW"),"",COUNTBLANK(OFFSET(A$1,,,SUMPRODUCT(MAX(ROW(E$2:E2200)*(E2200=E$2:E2200)))))-COUNTBLANK(OFFSET(A$1,,,SUMPRODUCT(MAX(ROW(E$1:E2199)*(E2=E$1:E2199))))))</f>
        <v> </v>
      </c>
      <c r="K2200" s="26" t="str">
        <f>IF(OR(E2200="",E2200="!!!",F2200="NEW"),"",INDEX(J$1:J2199,SUMPRODUCT(MAX(ROW(E$1:E2199)*(E2200=E$1:E2199)))))</f>
        <v> </v>
      </c>
      <c r="L2200" s="27"/>
    </row>
    <row r="2201" spans="1:12">
      <c r="A2201" s="20" t="s">
        <v>1737</v>
      </c>
      <c r="E2201" s="22">
        <f>IF(D2201="?OLD","!!!","")</f>
        <v/>
      </c>
      <c r="F2201" s="23" t="str">
        <f>IF(OR(E2201="",E2201="!!!"),"",IF(NOT(ISNA(VLOOKUP(E2201,E$1:E2200,1,FALSE()))),"OLD",IF(AND(E2201&lt;&gt;"",E2201&lt;&gt;"!!!"),"NEW","")))</f>
        <v> </v>
      </c>
      <c r="G2201" s="24" t="str">
        <f>IF(OR(E2201="",E2201="!!!"),"",IF(OR(J2201=0,AND(J2201=1,K2201=1),AND(J2201=1,I2201="SBJ"),AND(J2201=1,I2201=0)),"?IN_FOCUS",IF(J2201&lt;=2,"?ACTIVATED",IF(J2201&lt;&gt;"","?FAMILIAR",IF(F2201="NEW",IF(ISNA(VLOOKUP(E2201,#REF!,1,FALSE())),"?TYPE_IDENTIFIABLE","?REFERENTIAL"),"_")))))</f>
        <v> </v>
      </c>
      <c r="H2201" s="25" t="str">
        <f>IF(J2201&lt;&gt;1,"",IF(I2201="SBJ","CB","?"))</f>
        <v> </v>
      </c>
      <c r="I2201" s="26" t="str">
        <f>IF(OR(E2201="",E2201="!!!",F2201="NEW"),"",INDEX(B2200:B$2,-1+SUMPRODUCT(MAX(ROW(E2200:E$2)*(E2201=E2200:E$2)))))</f>
        <v> </v>
      </c>
      <c r="J2201" s="26" t="str">
        <f>IF(OR(E2201="",E2201="!!!",F2201="NEW"),"",COUNTBLANK(OFFSET(A$1,,,SUMPRODUCT(MAX(ROW(E$2:E2201)*(E2201=E$2:E2201)))))-COUNTBLANK(OFFSET(A$1,,,SUMPRODUCT(MAX(ROW(E$1:E2200)*(E2=E$1:E2200))))))</f>
        <v> </v>
      </c>
      <c r="K2201" s="26" t="str">
        <f>IF(OR(E2201="",E2201="!!!",F2201="NEW"),"",INDEX(J$1:J2200,SUMPRODUCT(MAX(ROW(E$1:E2200)*(E2201=E$1:E2200)))))</f>
        <v> </v>
      </c>
      <c r="L2201" s="27"/>
    </row>
    <row r="2202" spans="1:12">
      <c r="A2202" s="20" t="s">
        <v>1097</v>
      </c>
      <c r="E2202" s="22">
        <f>IF(D2202="?OLD","!!!","")</f>
        <v/>
      </c>
      <c r="F2202" s="23" t="str">
        <f>IF(OR(E2202="",E2202="!!!"),"",IF(NOT(ISNA(VLOOKUP(E2202,E$1:E2201,1,FALSE()))),"OLD",IF(AND(E2202&lt;&gt;"",E2202&lt;&gt;"!!!"),"NEW","")))</f>
        <v> </v>
      </c>
      <c r="G2202" s="24" t="str">
        <f>IF(OR(E2202="",E2202="!!!"),"",IF(OR(J2202=0,AND(J2202=1,K2202=1),AND(J2202=1,I2202="SBJ"),AND(J2202=1,I2202=0)),"?IN_FOCUS",IF(J2202&lt;=2,"?ACTIVATED",IF(J2202&lt;&gt;"","?FAMILIAR",IF(F2202="NEW",IF(ISNA(VLOOKUP(E2202,#REF!,1,FALSE())),"?TYPE_IDENTIFIABLE","?REFERENTIAL"),"_")))))</f>
        <v> </v>
      </c>
      <c r="H2202" s="25" t="str">
        <f>IF(J2202&lt;&gt;1,"",IF(I2202="SBJ","CB","?"))</f>
        <v> </v>
      </c>
      <c r="I2202" s="26" t="str">
        <f>IF(OR(E2202="",E2202="!!!",F2202="NEW"),"",INDEX(B2201:B$2,-1+SUMPRODUCT(MAX(ROW(E2201:E$2)*(E2202=E2201:E$2)))))</f>
        <v> </v>
      </c>
      <c r="J2202" s="26" t="str">
        <f>IF(OR(E2202="",E2202="!!!",F2202="NEW"),"",COUNTBLANK(OFFSET(A$1,,,SUMPRODUCT(MAX(ROW(E$2:E2202)*(E2202=E$2:E2202)))))-COUNTBLANK(OFFSET(A$1,,,SUMPRODUCT(MAX(ROW(E$1:E2201)*(E2=E$1:E2201))))))</f>
        <v> </v>
      </c>
      <c r="K2202" s="26" t="str">
        <f>IF(OR(E2202="",E2202="!!!",F2202="NEW"),"",INDEX(J$1:J2201,SUMPRODUCT(MAX(ROW(E$1:E2201)*(E2202=E$1:E2201)))))</f>
        <v> </v>
      </c>
      <c r="L2202" s="27"/>
    </row>
    <row r="2203" spans="1:12">
      <c r="A2203" s="20" t="s">
        <v>1435</v>
      </c>
      <c r="E2203" s="22">
        <f>IF(D2203="?OLD","!!!","")</f>
        <v/>
      </c>
      <c r="F2203" s="23" t="str">
        <f>IF(OR(E2203="",E2203="!!!"),"",IF(NOT(ISNA(VLOOKUP(E2203,E$1:E2202,1,FALSE()))),"OLD",IF(AND(E2203&lt;&gt;"",E2203&lt;&gt;"!!!"),"NEW","")))</f>
        <v> </v>
      </c>
      <c r="G2203" s="24" t="str">
        <f>IF(OR(E2203="",E2203="!!!"),"",IF(OR(J2203=0,AND(J2203=1,K2203=1),AND(J2203=1,I2203="SBJ"),AND(J2203=1,I2203=0)),"?IN_FOCUS",IF(J2203&lt;=2,"?ACTIVATED",IF(J2203&lt;&gt;"","?FAMILIAR",IF(F2203="NEW",IF(ISNA(VLOOKUP(E2203,#REF!,1,FALSE())),"?TYPE_IDENTIFIABLE","?REFERENTIAL"),"_")))))</f>
        <v> </v>
      </c>
      <c r="H2203" s="25" t="str">
        <f>IF(J2203&lt;&gt;1,"",IF(I2203="SBJ","CB","?"))</f>
        <v> </v>
      </c>
      <c r="I2203" s="26" t="str">
        <f>IF(OR(E2203="",E2203="!!!",F2203="NEW"),"",INDEX(B2202:B$2,-1+SUMPRODUCT(MAX(ROW(E2202:E$2)*(E2203=E2202:E$2)))))</f>
        <v> </v>
      </c>
      <c r="J2203" s="26" t="str">
        <f>IF(OR(E2203="",E2203="!!!",F2203="NEW"),"",COUNTBLANK(OFFSET(A$1,,,SUMPRODUCT(MAX(ROW(E$2:E2203)*(E2203=E$2:E2203)))))-COUNTBLANK(OFFSET(A$1,,,SUMPRODUCT(MAX(ROW(E$1:E2202)*(E2=E$1:E2202))))))</f>
        <v> </v>
      </c>
      <c r="K2203" s="26" t="str">
        <f>IF(OR(E2203="",E2203="!!!",F2203="NEW"),"",INDEX(J$1:J2202,SUMPRODUCT(MAX(ROW(E$1:E2202)*(E2203=E$1:E2202)))))</f>
        <v> </v>
      </c>
      <c r="L2203" s="27"/>
    </row>
    <row r="2204" spans="1:12">
      <c r="A2204" s="20" t="s">
        <v>1390</v>
      </c>
      <c r="B2204" s="21" t="s">
        <v>1187</v>
      </c>
      <c r="C2204" s="21" t="s">
        <v>1041</v>
      </c>
      <c r="D2204" s="21" t="s">
        <v>1007</v>
      </c>
      <c r="E2204" s="22">
        <f>IF(D2204="?OLD","!!!","")</f>
        <v/>
      </c>
      <c r="F2204" s="23" t="str">
        <f>IF(OR(E2204="",E2204="!!!"),"",IF(NOT(ISNA(VLOOKUP(E2204,E$1:E2203,1,FALSE()))),"OLD",IF(AND(E2204&lt;&gt;"",E2204&lt;&gt;"!!!"),"NEW","")))</f>
        <v> </v>
      </c>
      <c r="G2204" s="24" t="str">
        <f>IF(OR(E2204="",E2204="!!!"),"",IF(OR(J2204=0,AND(J2204=1,K2204=1),AND(J2204=1,I2204="SBJ"),AND(J2204=1,I2204=0)),"?IN_FOCUS",IF(J2204&lt;=2,"?ACTIVATED",IF(J2204&lt;&gt;"","?FAMILIAR",IF(F2204="NEW",IF(ISNA(VLOOKUP(E2204,#REF!,1,FALSE())),"?TYPE_IDENTIFIABLE","?REFERENTIAL"),"_")))))</f>
        <v> </v>
      </c>
      <c r="H2204" s="25" t="str">
        <f>IF(J2204&lt;&gt;1,"",IF(I2204="SBJ","CB","?"))</f>
        <v> </v>
      </c>
      <c r="I2204" s="26" t="str">
        <f>IF(OR(E2204="",E2204="!!!",F2204="NEW"),"",INDEX(B2203:B$2,-1+SUMPRODUCT(MAX(ROW(E2203:E$2)*(E2204=E2203:E$2)))))</f>
        <v> </v>
      </c>
      <c r="J2204" s="26" t="str">
        <f>IF(OR(E2204="",E2204="!!!",F2204="NEW"),"",COUNTBLANK(OFFSET(A$1,,,SUMPRODUCT(MAX(ROW(E$2:E2204)*(E2204=E$2:E2204)))))-COUNTBLANK(OFFSET(A$1,,,SUMPRODUCT(MAX(ROW(E$1:E2203)*(E2=E$1:E2203))))))</f>
        <v> </v>
      </c>
      <c r="K2204" s="26" t="str">
        <f>IF(OR(E2204="",E2204="!!!",F2204="NEW"),"",INDEX(J$1:J2203,SUMPRODUCT(MAX(ROW(E$1:E2203)*(E2204=E$1:E2203)))))</f>
        <v> </v>
      </c>
      <c r="L2204" s="27"/>
    </row>
    <row r="2205" spans="1:12">
      <c r="A2205" s="20" t="s">
        <v>1018</v>
      </c>
      <c r="E2205" s="22">
        <f>IF(D2205="?OLD","!!!","")</f>
        <v/>
      </c>
      <c r="F2205" s="23" t="str">
        <f>IF(OR(E2205="",E2205="!!!"),"",IF(NOT(ISNA(VLOOKUP(E2205,E$1:E2204,1,FALSE()))),"OLD",IF(AND(E2205&lt;&gt;"",E2205&lt;&gt;"!!!"),"NEW","")))</f>
        <v> </v>
      </c>
      <c r="G2205" s="24" t="str">
        <f>IF(OR(E2205="",E2205="!!!"),"",IF(OR(J2205=0,AND(J2205=1,K2205=1),AND(J2205=1,I2205="SBJ"),AND(J2205=1,I2205=0)),"?IN_FOCUS",IF(J2205&lt;=2,"?ACTIVATED",IF(J2205&lt;&gt;"","?FAMILIAR",IF(F2205="NEW",IF(ISNA(VLOOKUP(E2205,#REF!,1,FALSE())),"?TYPE_IDENTIFIABLE","?REFERENTIAL"),"_")))))</f>
        <v> </v>
      </c>
      <c r="H2205" s="25" t="str">
        <f>IF(J2205&lt;&gt;1,"",IF(I2205="SBJ","CB","?"))</f>
        <v> </v>
      </c>
      <c r="I2205" s="26" t="str">
        <f>IF(OR(E2205="",E2205="!!!",F2205="NEW"),"",INDEX(B2204:B$2,-1+SUMPRODUCT(MAX(ROW(E2204:E$2)*(E2205=E2204:E$2)))))</f>
        <v> </v>
      </c>
      <c r="J2205" s="26" t="str">
        <f>IF(OR(E2205="",E2205="!!!",F2205="NEW"),"",COUNTBLANK(OFFSET(A$1,,,SUMPRODUCT(MAX(ROW(E$2:E2205)*(E2205=E$2:E2205)))))-COUNTBLANK(OFFSET(A$1,,,SUMPRODUCT(MAX(ROW(E$1:E2204)*(E2=E$1:E2204))))))</f>
        <v> </v>
      </c>
      <c r="K2205" s="26" t="str">
        <f>IF(OR(E2205="",E2205="!!!",F2205="NEW"),"",INDEX(J$1:J2204,SUMPRODUCT(MAX(ROW(E$1:E2204)*(E2205=E$1:E2204)))))</f>
        <v> </v>
      </c>
      <c r="L2205" s="27"/>
    </row>
    <row r="2206" spans="1:12">
      <c r="A2206" s="20" t="s">
        <v>1180</v>
      </c>
      <c r="B2206" s="21" t="s">
        <v>1119</v>
      </c>
      <c r="C2206" s="21" t="s">
        <v>1082</v>
      </c>
      <c r="D2206" s="21" t="s">
        <v>1007</v>
      </c>
      <c r="E2206" s="22">
        <f>IF(D2206="?OLD","!!!","")</f>
        <v/>
      </c>
      <c r="F2206" s="23" t="str">
        <f>IF(OR(E2206="",E2206="!!!"),"",IF(NOT(ISNA(VLOOKUP(E2206,E$1:E2205,1,FALSE()))),"OLD",IF(AND(E2206&lt;&gt;"",E2206&lt;&gt;"!!!"),"NEW","")))</f>
        <v> </v>
      </c>
      <c r="G2206" s="24" t="str">
        <f>IF(OR(E2206="",E2206="!!!"),"",IF(OR(J2206=0,AND(J2206=1,K2206=1),AND(J2206=1,I2206="SBJ"),AND(J2206=1,I2206=0)),"?IN_FOCUS",IF(J2206&lt;=2,"?ACTIVATED",IF(J2206&lt;&gt;"","?FAMILIAR",IF(F2206="NEW",IF(ISNA(VLOOKUP(E2206,#REF!,1,FALSE())),"?TYPE_IDENTIFIABLE","?REFERENTIAL"),"_")))))</f>
        <v> </v>
      </c>
      <c r="H2206" s="25" t="str">
        <f>IF(J2206&lt;&gt;1,"",IF(I2206="SBJ","CB","?"))</f>
        <v> </v>
      </c>
      <c r="I2206" s="26" t="str">
        <f>IF(OR(E2206="",E2206="!!!",F2206="NEW"),"",INDEX(B2205:B$2,-1+SUMPRODUCT(MAX(ROW(E2205:E$2)*(E2206=E2205:E$2)))))</f>
        <v> </v>
      </c>
      <c r="J2206" s="26" t="str">
        <f>IF(OR(E2206="",E2206="!!!",F2206="NEW"),"",COUNTBLANK(OFFSET(A$1,,,SUMPRODUCT(MAX(ROW(E$2:E2206)*(E2206=E$2:E2206)))))-COUNTBLANK(OFFSET(A$1,,,SUMPRODUCT(MAX(ROW(E$1:E2205)*(E2=E$1:E2205))))))</f>
        <v> </v>
      </c>
      <c r="K2206" s="26" t="str">
        <f>IF(OR(E2206="",E2206="!!!",F2206="NEW"),"",INDEX(J$1:J2205,SUMPRODUCT(MAX(ROW(E$1:E2205)*(E2206=E$1:E2205)))))</f>
        <v> </v>
      </c>
      <c r="L2206" s="27"/>
    </row>
    <row r="2207" spans="1:12">
      <c r="A2207" s="20" t="s">
        <v>1510</v>
      </c>
      <c r="E2207" s="22">
        <f>IF(D2207="?OLD","!!!","")</f>
        <v/>
      </c>
      <c r="F2207" s="23" t="str">
        <f>IF(OR(E2207="",E2207="!!!"),"",IF(NOT(ISNA(VLOOKUP(E2207,E$1:E2206,1,FALSE()))),"OLD",IF(AND(E2207&lt;&gt;"",E2207&lt;&gt;"!!!"),"NEW","")))</f>
        <v> </v>
      </c>
      <c r="G2207" s="24" t="str">
        <f>IF(OR(E2207="",E2207="!!!"),"",IF(OR(J2207=0,AND(J2207=1,K2207=1),AND(J2207=1,I2207="SBJ"),AND(J2207=1,I2207=0)),"?IN_FOCUS",IF(J2207&lt;=2,"?ACTIVATED",IF(J2207&lt;&gt;"","?FAMILIAR",IF(F2207="NEW",IF(ISNA(VLOOKUP(E2207,#REF!,1,FALSE())),"?TYPE_IDENTIFIABLE","?REFERENTIAL"),"_")))))</f>
        <v> </v>
      </c>
      <c r="H2207" s="25" t="str">
        <f>IF(J2207&lt;&gt;1,"",IF(I2207="SBJ","CB","?"))</f>
        <v> </v>
      </c>
      <c r="I2207" s="26" t="str">
        <f>IF(OR(E2207="",E2207="!!!",F2207="NEW"),"",INDEX(B2206:B$2,-1+SUMPRODUCT(MAX(ROW(E2206:E$2)*(E2207=E2206:E$2)))))</f>
        <v> </v>
      </c>
      <c r="J2207" s="26" t="str">
        <f>IF(OR(E2207="",E2207="!!!",F2207="NEW"),"",COUNTBLANK(OFFSET(A$1,,,SUMPRODUCT(MAX(ROW(E$2:E2207)*(E2207=E$2:E2207)))))-COUNTBLANK(OFFSET(A$1,,,SUMPRODUCT(MAX(ROW(E$1:E2206)*(E2=E$1:E2206))))))</f>
        <v> </v>
      </c>
      <c r="K2207" s="26" t="str">
        <f>IF(OR(E2207="",E2207="!!!",F2207="NEW"),"",INDEX(J$1:J2206,SUMPRODUCT(MAX(ROW(E$1:E2206)*(E2207=E$1:E2206)))))</f>
        <v> </v>
      </c>
      <c r="L2207" s="27"/>
    </row>
    <row r="2208" spans="1:12">
      <c r="A2208" s="20" t="s">
        <v>1065</v>
      </c>
      <c r="E2208" s="22">
        <f>IF(D2208="?OLD","!!!","")</f>
        <v/>
      </c>
      <c r="F2208" s="23" t="str">
        <f>IF(OR(E2208="",E2208="!!!"),"",IF(NOT(ISNA(VLOOKUP(E2208,E$1:E2207,1,FALSE()))),"OLD",IF(AND(E2208&lt;&gt;"",E2208&lt;&gt;"!!!"),"NEW","")))</f>
        <v> </v>
      </c>
      <c r="G2208" s="24" t="str">
        <f>IF(OR(E2208="",E2208="!!!"),"",IF(OR(J2208=0,AND(J2208=1,K2208=1),AND(J2208=1,I2208="SBJ"),AND(J2208=1,I2208=0)),"?IN_FOCUS",IF(J2208&lt;=2,"?ACTIVATED",IF(J2208&lt;&gt;"","?FAMILIAR",IF(F2208="NEW",IF(ISNA(VLOOKUP(E2208,#REF!,1,FALSE())),"?TYPE_IDENTIFIABLE","?REFERENTIAL"),"_")))))</f>
        <v> </v>
      </c>
      <c r="H2208" s="25" t="str">
        <f>IF(J2208&lt;&gt;1,"",IF(I2208="SBJ","CB","?"))</f>
        <v> </v>
      </c>
      <c r="I2208" s="26" t="str">
        <f>IF(OR(E2208="",E2208="!!!",F2208="NEW"),"",INDEX(B2207:B$2,-1+SUMPRODUCT(MAX(ROW(E2207:E$2)*(E2208=E2207:E$2)))))</f>
        <v> </v>
      </c>
      <c r="J2208" s="26" t="str">
        <f>IF(OR(E2208="",E2208="!!!",F2208="NEW"),"",COUNTBLANK(OFFSET(A$1,,,SUMPRODUCT(MAX(ROW(E$2:E2208)*(E2208=E$2:E2208)))))-COUNTBLANK(OFFSET(A$1,,,SUMPRODUCT(MAX(ROW(E$1:E2207)*(E2=E$1:E2207))))))</f>
        <v> </v>
      </c>
      <c r="K2208" s="26" t="str">
        <f>IF(OR(E2208="",E2208="!!!",F2208="NEW"),"",INDEX(J$1:J2207,SUMPRODUCT(MAX(ROW(E$1:E2207)*(E2208=E$1:E2207)))))</f>
        <v> </v>
      </c>
      <c r="L2208" s="27"/>
    </row>
    <row r="2209" spans="1:12">
      <c r="A2209" s="20" t="s">
        <v>1224</v>
      </c>
      <c r="B2209" s="21" t="s">
        <v>1154</v>
      </c>
      <c r="C2209" s="21" t="s">
        <v>1082</v>
      </c>
      <c r="D2209" s="21" t="s">
        <v>1007</v>
      </c>
      <c r="E2209" s="22">
        <f>IF(D2209="?OLD","!!!","")</f>
        <v/>
      </c>
      <c r="F2209" s="23" t="str">
        <f>IF(OR(E2209="",E2209="!!!"),"",IF(NOT(ISNA(VLOOKUP(E2209,E$1:E2208,1,FALSE()))),"OLD",IF(AND(E2209&lt;&gt;"",E2209&lt;&gt;"!!!"),"NEW","")))</f>
        <v> </v>
      </c>
      <c r="G2209" s="24" t="str">
        <f>IF(OR(E2209="",E2209="!!!"),"",IF(OR(J2209=0,AND(J2209=1,K2209=1),AND(J2209=1,I2209="SBJ"),AND(J2209=1,I2209=0)),"?IN_FOCUS",IF(J2209&lt;=2,"?ACTIVATED",IF(J2209&lt;&gt;"","?FAMILIAR",IF(F2209="NEW",IF(ISNA(VLOOKUP(E2209,#REF!,1,FALSE())),"?TYPE_IDENTIFIABLE","?REFERENTIAL"),"_")))))</f>
        <v> </v>
      </c>
      <c r="H2209" s="25" t="str">
        <f>IF(J2209&lt;&gt;1,"",IF(I2209="SBJ","CB","?"))</f>
        <v> </v>
      </c>
      <c r="I2209" s="26" t="str">
        <f>IF(OR(E2209="",E2209="!!!",F2209="NEW"),"",INDEX(B2208:B$2,-1+SUMPRODUCT(MAX(ROW(E2208:E$2)*(E2209=E2208:E$2)))))</f>
        <v> </v>
      </c>
      <c r="J2209" s="26" t="str">
        <f>IF(OR(E2209="",E2209="!!!",F2209="NEW"),"",COUNTBLANK(OFFSET(A$1,,,SUMPRODUCT(MAX(ROW(E$2:E2209)*(E2209=E$2:E2209)))))-COUNTBLANK(OFFSET(A$1,,,SUMPRODUCT(MAX(ROW(E$1:E2208)*(E2=E$1:E2208))))))</f>
        <v> </v>
      </c>
      <c r="K2209" s="26" t="str">
        <f>IF(OR(E2209="",E2209="!!!",F2209="NEW"),"",INDEX(J$1:J2208,SUMPRODUCT(MAX(ROW(E$1:E2208)*(E2209=E$1:E2208)))))</f>
        <v> </v>
      </c>
      <c r="L2209" s="27"/>
    </row>
    <row r="2210" spans="1:12">
      <c r="A2210" s="20" t="s">
        <v>1142</v>
      </c>
      <c r="E2210" s="22">
        <f>IF(D2210="?OLD","!!!","")</f>
        <v/>
      </c>
      <c r="F2210" s="23" t="str">
        <f>IF(OR(E2210="",E2210="!!!"),"",IF(NOT(ISNA(VLOOKUP(E2210,E$1:E2209,1,FALSE()))),"OLD",IF(AND(E2210&lt;&gt;"",E2210&lt;&gt;"!!!"),"NEW","")))</f>
        <v> </v>
      </c>
      <c r="G2210" s="24" t="str">
        <f>IF(OR(E2210="",E2210="!!!"),"",IF(OR(J2210=0,AND(J2210=1,K2210=1),AND(J2210=1,I2210="SBJ"),AND(J2210=1,I2210=0)),"?IN_FOCUS",IF(J2210&lt;=2,"?ACTIVATED",IF(J2210&lt;&gt;"","?FAMILIAR",IF(F2210="NEW",IF(ISNA(VLOOKUP(E2210,#REF!,1,FALSE())),"?TYPE_IDENTIFIABLE","?REFERENTIAL"),"_")))))</f>
        <v> </v>
      </c>
      <c r="H2210" s="25" t="str">
        <f>IF(J2210&lt;&gt;1,"",IF(I2210="SBJ","CB","?"))</f>
        <v> </v>
      </c>
      <c r="I2210" s="26" t="str">
        <f>IF(OR(E2210="",E2210="!!!",F2210="NEW"),"",INDEX(B2209:B$2,-1+SUMPRODUCT(MAX(ROW(E2209:E$2)*(E2210=E2209:E$2)))))</f>
        <v> </v>
      </c>
      <c r="J2210" s="26" t="str">
        <f>IF(OR(E2210="",E2210="!!!",F2210="NEW"),"",COUNTBLANK(OFFSET(A$1,,,SUMPRODUCT(MAX(ROW(E$2:E2210)*(E2210=E$2:E2210)))))-COUNTBLANK(OFFSET(A$1,,,SUMPRODUCT(MAX(ROW(E$1:E2209)*(E2=E$1:E2209))))))</f>
        <v> </v>
      </c>
      <c r="K2210" s="26" t="str">
        <f>IF(OR(E2210="",E2210="!!!",F2210="NEW"),"",INDEX(J$1:J2209,SUMPRODUCT(MAX(ROW(E$1:E2209)*(E2210=E$1:E2209)))))</f>
        <v> </v>
      </c>
      <c r="L2210" s="27"/>
    </row>
    <row r="2211" spans="1:12">
      <c r="A2211" s="20" t="s">
        <v>1199</v>
      </c>
      <c r="E2211" s="22">
        <f>IF(D2211="?OLD","!!!","")</f>
        <v/>
      </c>
      <c r="F2211" s="23" t="str">
        <f>IF(OR(E2211="",E2211="!!!"),"",IF(NOT(ISNA(VLOOKUP(E2211,E$1:E2210,1,FALSE()))),"OLD",IF(AND(E2211&lt;&gt;"",E2211&lt;&gt;"!!!"),"NEW","")))</f>
        <v> </v>
      </c>
      <c r="G2211" s="24" t="str">
        <f>IF(OR(E2211="",E2211="!!!"),"",IF(OR(J2211=0,AND(J2211=1,K2211=1),AND(J2211=1,I2211="SBJ"),AND(J2211=1,I2211=0)),"?IN_FOCUS",IF(J2211&lt;=2,"?ACTIVATED",IF(J2211&lt;&gt;"","?FAMILIAR",IF(F2211="NEW",IF(ISNA(VLOOKUP(E2211,#REF!,1,FALSE())),"?TYPE_IDENTIFIABLE","?REFERENTIAL"),"_")))))</f>
        <v> </v>
      </c>
      <c r="H2211" s="25" t="str">
        <f>IF(J2211&lt;&gt;1,"",IF(I2211="SBJ","CB","?"))</f>
        <v> </v>
      </c>
      <c r="I2211" s="26" t="str">
        <f>IF(OR(E2211="",E2211="!!!",F2211="NEW"),"",INDEX(B2210:B$2,-1+SUMPRODUCT(MAX(ROW(E2210:E$2)*(E2211=E2210:E$2)))))</f>
        <v> </v>
      </c>
      <c r="J2211" s="26" t="str">
        <f>IF(OR(E2211="",E2211="!!!",F2211="NEW"),"",COUNTBLANK(OFFSET(A$1,,,SUMPRODUCT(MAX(ROW(E$2:E2211)*(E2211=E$2:E2211)))))-COUNTBLANK(OFFSET(A$1,,,SUMPRODUCT(MAX(ROW(E$1:E2210)*(E2=E$1:E2210))))))</f>
        <v> </v>
      </c>
      <c r="K2211" s="26" t="str">
        <f>IF(OR(E2211="",E2211="!!!",F2211="NEW"),"",INDEX(J$1:J2210,SUMPRODUCT(MAX(ROW(E$1:E2210)*(E2211=E$1:E2210)))))</f>
        <v> </v>
      </c>
      <c r="L2211" s="27"/>
    </row>
    <row r="2212" spans="1:12">
      <c r="A2212" s="20" t="s">
        <v>1520</v>
      </c>
      <c r="E2212" s="22">
        <f>IF(D2212="?OLD","!!!","")</f>
        <v/>
      </c>
      <c r="F2212" s="23" t="str">
        <f>IF(OR(E2212="",E2212="!!!"),"",IF(NOT(ISNA(VLOOKUP(E2212,E$1:E2211,1,FALSE()))),"OLD",IF(AND(E2212&lt;&gt;"",E2212&lt;&gt;"!!!"),"NEW","")))</f>
        <v> </v>
      </c>
      <c r="G2212" s="24" t="str">
        <f>IF(OR(E2212="",E2212="!!!"),"",IF(OR(J2212=0,AND(J2212=1,K2212=1),AND(J2212=1,I2212="SBJ"),AND(J2212=1,I2212=0)),"?IN_FOCUS",IF(J2212&lt;=2,"?ACTIVATED",IF(J2212&lt;&gt;"","?FAMILIAR",IF(F2212="NEW",IF(ISNA(VLOOKUP(E2212,#REF!,1,FALSE())),"?TYPE_IDENTIFIABLE","?REFERENTIAL"),"_")))))</f>
        <v> </v>
      </c>
      <c r="H2212" s="25" t="str">
        <f>IF(J2212&lt;&gt;1,"",IF(I2212="SBJ","CB","?"))</f>
        <v> </v>
      </c>
      <c r="I2212" s="26" t="str">
        <f>IF(OR(E2212="",E2212="!!!",F2212="NEW"),"",INDEX(B2211:B$2,-1+SUMPRODUCT(MAX(ROW(E2211:E$2)*(E2212=E2211:E$2)))))</f>
        <v> </v>
      </c>
      <c r="J2212" s="26" t="str">
        <f>IF(OR(E2212="",E2212="!!!",F2212="NEW"),"",COUNTBLANK(OFFSET(A$1,,,SUMPRODUCT(MAX(ROW(E$2:E2212)*(E2212=E$2:E2212)))))-COUNTBLANK(OFFSET(A$1,,,SUMPRODUCT(MAX(ROW(E$1:E2211)*(E2=E$1:E2211))))))</f>
        <v> </v>
      </c>
      <c r="K2212" s="26" t="str">
        <f>IF(OR(E2212="",E2212="!!!",F2212="NEW"),"",INDEX(J$1:J2211,SUMPRODUCT(MAX(ROW(E$1:E2211)*(E2212=E$1:E2211)))))</f>
        <v> </v>
      </c>
      <c r="L2212" s="27"/>
    </row>
    <row r="2213" spans="1:12">
      <c r="A2213" s="20" t="s">
        <v>1020</v>
      </c>
      <c r="E2213" s="22">
        <f>IF(D2213="?OLD","!!!","")</f>
        <v/>
      </c>
      <c r="F2213" s="23" t="str">
        <f>IF(OR(E2213="",E2213="!!!"),"",IF(NOT(ISNA(VLOOKUP(E2213,E$1:E2212,1,FALSE()))),"OLD",IF(AND(E2213&lt;&gt;"",E2213&lt;&gt;"!!!"),"NEW","")))</f>
        <v> </v>
      </c>
      <c r="G2213" s="24" t="str">
        <f>IF(OR(E2213="",E2213="!!!"),"",IF(OR(J2213=0,AND(J2213=1,K2213=1),AND(J2213=1,I2213="SBJ"),AND(J2213=1,I2213=0)),"?IN_FOCUS",IF(J2213&lt;=2,"?ACTIVATED",IF(J2213&lt;&gt;"","?FAMILIAR",IF(F2213="NEW",IF(ISNA(VLOOKUP(E2213,#REF!,1,FALSE())),"?TYPE_IDENTIFIABLE","?REFERENTIAL"),"_")))))</f>
        <v> </v>
      </c>
      <c r="H2213" s="25" t="str">
        <f>IF(J2213&lt;&gt;1,"",IF(I2213="SBJ","CB","?"))</f>
        <v> </v>
      </c>
      <c r="I2213" s="26" t="str">
        <f>IF(OR(E2213="",E2213="!!!",F2213="NEW"),"",INDEX(B2212:B$2,-1+SUMPRODUCT(MAX(ROW(E2212:E$2)*(E2213=E2212:E$2)))))</f>
        <v> </v>
      </c>
      <c r="J2213" s="26" t="str">
        <f>IF(OR(E2213="",E2213="!!!",F2213="NEW"),"",COUNTBLANK(OFFSET(A$1,,,SUMPRODUCT(MAX(ROW(E$2:E2213)*(E2213=E$2:E2213)))))-COUNTBLANK(OFFSET(A$1,,,SUMPRODUCT(MAX(ROW(E$1:E2212)*(E2=E$1:E2212))))))</f>
        <v> </v>
      </c>
      <c r="K2213" s="26" t="str">
        <f>IF(OR(E2213="",E2213="!!!",F2213="NEW"),"",INDEX(J$1:J2212,SUMPRODUCT(MAX(ROW(E$1:E2212)*(E2213=E$1:E2212)))))</f>
        <v> </v>
      </c>
      <c r="L2213" s="27"/>
    </row>
    <row r="2214" spans="1:12">
      <c r="A2214" s="20" t="s">
        <v>1738</v>
      </c>
      <c r="B2214" s="21" t="s">
        <v>1187</v>
      </c>
      <c r="C2214" s="21" t="s">
        <v>1017</v>
      </c>
      <c r="D2214" s="21" t="s">
        <v>1007</v>
      </c>
      <c r="E2214" s="22">
        <f>IF(D2214="?OLD","!!!","")</f>
        <v/>
      </c>
      <c r="F2214" s="23" t="str">
        <f>IF(OR(E2214="",E2214="!!!"),"",IF(NOT(ISNA(VLOOKUP(E2214,E$1:E2213,1,FALSE()))),"OLD",IF(AND(E2214&lt;&gt;"",E2214&lt;&gt;"!!!"),"NEW","")))</f>
        <v> </v>
      </c>
      <c r="G2214" s="24" t="str">
        <f>IF(OR(E2214="",E2214="!!!"),"",IF(OR(J2214=0,AND(J2214=1,K2214=1),AND(J2214=1,I2214="SBJ"),AND(J2214=1,I2214=0)),"?IN_FOCUS",IF(J2214&lt;=2,"?ACTIVATED",IF(J2214&lt;&gt;"","?FAMILIAR",IF(F2214="NEW",IF(ISNA(VLOOKUP(E2214,#REF!,1,FALSE())),"?TYPE_IDENTIFIABLE","?REFERENTIAL"),"_")))))</f>
        <v> </v>
      </c>
      <c r="H2214" s="25" t="str">
        <f>IF(J2214&lt;&gt;1,"",IF(I2214="SBJ","CB","?"))</f>
        <v> </v>
      </c>
      <c r="I2214" s="26" t="str">
        <f>IF(OR(E2214="",E2214="!!!",F2214="NEW"),"",INDEX(B2213:B$2,-1+SUMPRODUCT(MAX(ROW(E2213:E$2)*(E2214=E2213:E$2)))))</f>
        <v> </v>
      </c>
      <c r="J2214" s="26" t="str">
        <f>IF(OR(E2214="",E2214="!!!",F2214="NEW"),"",COUNTBLANK(OFFSET(A$1,,,SUMPRODUCT(MAX(ROW(E$2:E2214)*(E2214=E$2:E2214)))))-COUNTBLANK(OFFSET(A$1,,,SUMPRODUCT(MAX(ROW(E$1:E2213)*(E2=E$1:E2213))))))</f>
        <v> </v>
      </c>
      <c r="K2214" s="26" t="str">
        <f>IF(OR(E2214="",E2214="!!!",F2214="NEW"),"",INDEX(J$1:J2213,SUMPRODUCT(MAX(ROW(E$1:E2213)*(E2214=E$1:E2213)))))</f>
        <v> </v>
      </c>
      <c r="L2214" s="27"/>
    </row>
    <row r="2215" spans="1:12">
      <c r="A2215" s="20" t="s">
        <v>1018</v>
      </c>
      <c r="E2215" s="22">
        <f>IF(D2215="?OLD","!!!","")</f>
        <v/>
      </c>
      <c r="F2215" s="23" t="str">
        <f>IF(OR(E2215="",E2215="!!!"),"",IF(NOT(ISNA(VLOOKUP(E2215,E$1:E2214,1,FALSE()))),"OLD",IF(AND(E2215&lt;&gt;"",E2215&lt;&gt;"!!!"),"NEW","")))</f>
        <v> </v>
      </c>
      <c r="G2215" s="24" t="str">
        <f>IF(OR(E2215="",E2215="!!!"),"",IF(OR(J2215=0,AND(J2215=1,K2215=1),AND(J2215=1,I2215="SBJ"),AND(J2215=1,I2215=0)),"?IN_FOCUS",IF(J2215&lt;=2,"?ACTIVATED",IF(J2215&lt;&gt;"","?FAMILIAR",IF(F2215="NEW",IF(ISNA(VLOOKUP(E2215,#REF!,1,FALSE())),"?TYPE_IDENTIFIABLE","?REFERENTIAL"),"_")))))</f>
        <v> </v>
      </c>
      <c r="H2215" s="25" t="str">
        <f>IF(J2215&lt;&gt;1,"",IF(I2215="SBJ","CB","?"))</f>
        <v> </v>
      </c>
      <c r="I2215" s="26" t="str">
        <f>IF(OR(E2215="",E2215="!!!",F2215="NEW"),"",INDEX(B2214:B$2,-1+SUMPRODUCT(MAX(ROW(E2214:E$2)*(E2215=E2214:E$2)))))</f>
        <v> </v>
      </c>
      <c r="J2215" s="26" t="str">
        <f>IF(OR(E2215="",E2215="!!!",F2215="NEW"),"",COUNTBLANK(OFFSET(A$1,,,SUMPRODUCT(MAX(ROW(E$2:E2215)*(E2215=E$2:E2215)))))-COUNTBLANK(OFFSET(A$1,,,SUMPRODUCT(MAX(ROW(E$1:E2214)*(E2=E$1:E2214))))))</f>
        <v> </v>
      </c>
      <c r="K2215" s="26" t="str">
        <f>IF(OR(E2215="",E2215="!!!",F2215="NEW"),"",INDEX(J$1:J2214,SUMPRODUCT(MAX(ROW(E$1:E2214)*(E2215=E$1:E2214)))))</f>
        <v> </v>
      </c>
      <c r="L2215" s="27"/>
    </row>
    <row r="2216" spans="1:12">
      <c r="A2216" s="20" t="s">
        <v>1132</v>
      </c>
      <c r="E2216" s="22">
        <f>IF(D2216="?OLD","!!!","")</f>
        <v/>
      </c>
      <c r="F2216" s="23" t="str">
        <f>IF(OR(E2216="",E2216="!!!"),"",IF(NOT(ISNA(VLOOKUP(E2216,E$1:E2215,1,FALSE()))),"OLD",IF(AND(E2216&lt;&gt;"",E2216&lt;&gt;"!!!"),"NEW","")))</f>
        <v> </v>
      </c>
      <c r="G2216" s="24" t="str">
        <f>IF(OR(E2216="",E2216="!!!"),"",IF(OR(J2216=0,AND(J2216=1,K2216=1),AND(J2216=1,I2216="SBJ"),AND(J2216=1,I2216=0)),"?IN_FOCUS",IF(J2216&lt;=2,"?ACTIVATED",IF(J2216&lt;&gt;"","?FAMILIAR",IF(F2216="NEW",IF(ISNA(VLOOKUP(E2216,#REF!,1,FALSE())),"?TYPE_IDENTIFIABLE","?REFERENTIAL"),"_")))))</f>
        <v> </v>
      </c>
      <c r="H2216" s="25" t="str">
        <f>IF(J2216&lt;&gt;1,"",IF(I2216="SBJ","CB","?"))</f>
        <v> </v>
      </c>
      <c r="I2216" s="26" t="str">
        <f>IF(OR(E2216="",E2216="!!!",F2216="NEW"),"",INDEX(B2215:B$2,-1+SUMPRODUCT(MAX(ROW(E2215:E$2)*(E2216=E2215:E$2)))))</f>
        <v> </v>
      </c>
      <c r="J2216" s="26" t="str">
        <f>IF(OR(E2216="",E2216="!!!",F2216="NEW"),"",COUNTBLANK(OFFSET(A$1,,,SUMPRODUCT(MAX(ROW(E$2:E2216)*(E2216=E$2:E2216)))))-COUNTBLANK(OFFSET(A$1,,,SUMPRODUCT(MAX(ROW(E$1:E2215)*(E2=E$1:E2215))))))</f>
        <v> </v>
      </c>
      <c r="K2216" s="26" t="str">
        <f>IF(OR(E2216="",E2216="!!!",F2216="NEW"),"",INDEX(J$1:J2215,SUMPRODUCT(MAX(ROW(E$1:E2215)*(E2216=E$1:E2215)))))</f>
        <v> </v>
      </c>
      <c r="L2216" s="27"/>
    </row>
    <row r="2217" spans="1:12">
      <c r="A2217" s="20" t="s">
        <v>1143</v>
      </c>
      <c r="E2217" s="22">
        <f>IF(D2217="?OLD","!!!","")</f>
        <v/>
      </c>
      <c r="F2217" s="23" t="str">
        <f>IF(OR(E2217="",E2217="!!!"),"",IF(NOT(ISNA(VLOOKUP(E2217,E$1:E2216,1,FALSE()))),"OLD",IF(AND(E2217&lt;&gt;"",E2217&lt;&gt;"!!!"),"NEW","")))</f>
        <v> </v>
      </c>
      <c r="G2217" s="24" t="str">
        <f>IF(OR(E2217="",E2217="!!!"),"",IF(OR(J2217=0,AND(J2217=1,K2217=1),AND(J2217=1,I2217="SBJ"),AND(J2217=1,I2217=0)),"?IN_FOCUS",IF(J2217&lt;=2,"?ACTIVATED",IF(J2217&lt;&gt;"","?FAMILIAR",IF(F2217="NEW",IF(ISNA(VLOOKUP(E2217,#REF!,1,FALSE())),"?TYPE_IDENTIFIABLE","?REFERENTIAL"),"_")))))</f>
        <v> </v>
      </c>
      <c r="H2217" s="25" t="str">
        <f>IF(J2217&lt;&gt;1,"",IF(I2217="SBJ","CB","?"))</f>
        <v> </v>
      </c>
      <c r="I2217" s="26" t="str">
        <f>IF(OR(E2217="",E2217="!!!",F2217="NEW"),"",INDEX(B2216:B$2,-1+SUMPRODUCT(MAX(ROW(E2216:E$2)*(E2217=E2216:E$2)))))</f>
        <v> </v>
      </c>
      <c r="J2217" s="26" t="str">
        <f>IF(OR(E2217="",E2217="!!!",F2217="NEW"),"",COUNTBLANK(OFFSET(A$1,,,SUMPRODUCT(MAX(ROW(E$2:E2217)*(E2217=E$2:E2217)))))-COUNTBLANK(OFFSET(A$1,,,SUMPRODUCT(MAX(ROW(E$1:E2216)*(E2=E$1:E2216))))))</f>
        <v> </v>
      </c>
      <c r="K2217" s="26" t="str">
        <f>IF(OR(E2217="",E2217="!!!",F2217="NEW"),"",INDEX(J$1:J2216,SUMPRODUCT(MAX(ROW(E$1:E2216)*(E2217=E$1:E2216)))))</f>
        <v> </v>
      </c>
      <c r="L2217" s="27"/>
    </row>
    <row r="2218" spans="1:12">
      <c r="A2218" s="20" t="s">
        <v>1738</v>
      </c>
      <c r="B2218" s="21" t="s">
        <v>1263</v>
      </c>
      <c r="C2218" s="21" t="s">
        <v>1041</v>
      </c>
      <c r="D2218" s="21" t="s">
        <v>1007</v>
      </c>
      <c r="E2218" s="22">
        <f>IF(D2218="?OLD","!!!","")</f>
        <v/>
      </c>
      <c r="F2218" s="23" t="str">
        <f>IF(OR(E2218="",E2218="!!!"),"",IF(NOT(ISNA(VLOOKUP(E2218,E$1:E2217,1,FALSE()))),"OLD",IF(AND(E2218&lt;&gt;"",E2218&lt;&gt;"!!!"),"NEW","")))</f>
        <v> </v>
      </c>
      <c r="G2218" s="24" t="str">
        <f>IF(OR(E2218="",E2218="!!!"),"",IF(OR(J2218=0,AND(J2218=1,K2218=1),AND(J2218=1,I2218="SBJ"),AND(J2218=1,I2218=0)),"?IN_FOCUS",IF(J2218&lt;=2,"?ACTIVATED",IF(J2218&lt;&gt;"","?FAMILIAR",IF(F2218="NEW",IF(ISNA(VLOOKUP(E2218,#REF!,1,FALSE())),"?TYPE_IDENTIFIABLE","?REFERENTIAL"),"_")))))</f>
        <v> </v>
      </c>
      <c r="H2218" s="25" t="str">
        <f>IF(J2218&lt;&gt;1,"",IF(I2218="SBJ","CB","?"))</f>
        <v> </v>
      </c>
      <c r="I2218" s="26" t="str">
        <f>IF(OR(E2218="",E2218="!!!",F2218="NEW"),"",INDEX(B2217:B$2,-1+SUMPRODUCT(MAX(ROW(E2217:E$2)*(E2218=E2217:E$2)))))</f>
        <v> </v>
      </c>
      <c r="J2218" s="26" t="str">
        <f>IF(OR(E2218="",E2218="!!!",F2218="NEW"),"",COUNTBLANK(OFFSET(A$1,,,SUMPRODUCT(MAX(ROW(E$2:E2218)*(E2218=E$2:E2218)))))-COUNTBLANK(OFFSET(A$1,,,SUMPRODUCT(MAX(ROW(E$1:E2217)*(E2=E$1:E2217))))))</f>
        <v> </v>
      </c>
      <c r="K2218" s="26" t="str">
        <f>IF(OR(E2218="",E2218="!!!",F2218="NEW"),"",INDEX(J$1:J2217,SUMPRODUCT(MAX(ROW(E$1:E2217)*(E2218=E$1:E2217)))))</f>
        <v> </v>
      </c>
      <c r="L2218" s="27"/>
    </row>
    <row r="2219" spans="1:12">
      <c r="A2219" s="20" t="s">
        <v>1739</v>
      </c>
      <c r="E2219" s="22">
        <f>IF(D2219="?OLD","!!!","")</f>
        <v/>
      </c>
      <c r="F2219" s="23" t="str">
        <f>IF(OR(E2219="",E2219="!!!"),"",IF(NOT(ISNA(VLOOKUP(E2219,E$1:E2218,1,FALSE()))),"OLD",IF(AND(E2219&lt;&gt;"",E2219&lt;&gt;"!!!"),"NEW","")))</f>
        <v> </v>
      </c>
      <c r="G2219" s="24" t="str">
        <f>IF(OR(E2219="",E2219="!!!"),"",IF(OR(J2219=0,AND(J2219=1,K2219=1),AND(J2219=1,I2219="SBJ"),AND(J2219=1,I2219=0)),"?IN_FOCUS",IF(J2219&lt;=2,"?ACTIVATED",IF(J2219&lt;&gt;"","?FAMILIAR",IF(F2219="NEW",IF(ISNA(VLOOKUP(E2219,#REF!,1,FALSE())),"?TYPE_IDENTIFIABLE","?REFERENTIAL"),"_")))))</f>
        <v> </v>
      </c>
      <c r="H2219" s="25" t="str">
        <f>IF(J2219&lt;&gt;1,"",IF(I2219="SBJ","CB","?"))</f>
        <v> </v>
      </c>
      <c r="I2219" s="26" t="str">
        <f>IF(OR(E2219="",E2219="!!!",F2219="NEW"),"",INDEX(B2218:B$2,-1+SUMPRODUCT(MAX(ROW(E2218:E$2)*(E2219=E2218:E$2)))))</f>
        <v> </v>
      </c>
      <c r="J2219" s="26" t="str">
        <f>IF(OR(E2219="",E2219="!!!",F2219="NEW"),"",COUNTBLANK(OFFSET(A$1,,,SUMPRODUCT(MAX(ROW(E$2:E2219)*(E2219=E$2:E2219)))))-COUNTBLANK(OFFSET(A$1,,,SUMPRODUCT(MAX(ROW(E$1:E2218)*(E2=E$1:E2218))))))</f>
        <v> </v>
      </c>
      <c r="K2219" s="26" t="str">
        <f>IF(OR(E2219="",E2219="!!!",F2219="NEW"),"",INDEX(J$1:J2218,SUMPRODUCT(MAX(ROW(E$1:E2218)*(E2219=E$1:E2218)))))</f>
        <v> </v>
      </c>
      <c r="L2219" s="27"/>
    </row>
    <row r="2220" spans="1:12">
      <c r="A2220" s="20" t="s">
        <v>1740</v>
      </c>
      <c r="E2220" s="22">
        <f>IF(D2220="?OLD","!!!","")</f>
        <v/>
      </c>
      <c r="F2220" s="23" t="str">
        <f>IF(OR(E2220="",E2220="!!!"),"",IF(NOT(ISNA(VLOOKUP(E2220,E$1:E2219,1,FALSE()))),"OLD",IF(AND(E2220&lt;&gt;"",E2220&lt;&gt;"!!!"),"NEW","")))</f>
        <v> </v>
      </c>
      <c r="G2220" s="24" t="str">
        <f>IF(OR(E2220="",E2220="!!!"),"",IF(OR(J2220=0,AND(J2220=1,K2220=1),AND(J2220=1,I2220="SBJ"),AND(J2220=1,I2220=0)),"?IN_FOCUS",IF(J2220&lt;=2,"?ACTIVATED",IF(J2220&lt;&gt;"","?FAMILIAR",IF(F2220="NEW",IF(ISNA(VLOOKUP(E2220,#REF!,1,FALSE())),"?TYPE_IDENTIFIABLE","?REFERENTIAL"),"_")))))</f>
        <v> </v>
      </c>
      <c r="H2220" s="25" t="str">
        <f>IF(J2220&lt;&gt;1,"",IF(I2220="SBJ","CB","?"))</f>
        <v> </v>
      </c>
      <c r="I2220" s="26" t="str">
        <f>IF(OR(E2220="",E2220="!!!",F2220="NEW"),"",INDEX(B2219:B$2,-1+SUMPRODUCT(MAX(ROW(E2219:E$2)*(E2220=E2219:E$2)))))</f>
        <v> </v>
      </c>
      <c r="J2220" s="26" t="str">
        <f>IF(OR(E2220="",E2220="!!!",F2220="NEW"),"",COUNTBLANK(OFFSET(A$1,,,SUMPRODUCT(MAX(ROW(E$2:E2220)*(E2220=E$2:E2220)))))-COUNTBLANK(OFFSET(A$1,,,SUMPRODUCT(MAX(ROW(E$1:E2219)*(E2=E$1:E2219))))))</f>
        <v> </v>
      </c>
      <c r="K2220" s="26" t="str">
        <f>IF(OR(E2220="",E2220="!!!",F2220="NEW"),"",INDEX(J$1:J2219,SUMPRODUCT(MAX(ROW(E$1:E2219)*(E2220=E$1:E2219)))))</f>
        <v> </v>
      </c>
      <c r="L2220" s="27"/>
    </row>
    <row r="2221" spans="1:12">
      <c r="A2221" s="20" t="s">
        <v>1023</v>
      </c>
      <c r="E2221" s="22">
        <f>IF(D2221="?OLD","!!!","")</f>
        <v/>
      </c>
      <c r="F2221" s="23" t="str">
        <f>IF(OR(E2221="",E2221="!!!"),"",IF(NOT(ISNA(VLOOKUP(E2221,E$1:E2220,1,FALSE()))),"OLD",IF(AND(E2221&lt;&gt;"",E2221&lt;&gt;"!!!"),"NEW","")))</f>
        <v> </v>
      </c>
      <c r="G2221" s="24" t="str">
        <f>IF(OR(E2221="",E2221="!!!"),"",IF(OR(J2221=0,AND(J2221=1,K2221=1),AND(J2221=1,I2221="SBJ"),AND(J2221=1,I2221=0)),"?IN_FOCUS",IF(J2221&lt;=2,"?ACTIVATED",IF(J2221&lt;&gt;"","?FAMILIAR",IF(F2221="NEW",IF(ISNA(VLOOKUP(E2221,#REF!,1,FALSE())),"?TYPE_IDENTIFIABLE","?REFERENTIAL"),"_")))))</f>
        <v> </v>
      </c>
      <c r="H2221" s="25" t="str">
        <f>IF(J2221&lt;&gt;1,"",IF(I2221="SBJ","CB","?"))</f>
        <v> </v>
      </c>
      <c r="I2221" s="26" t="str">
        <f>IF(OR(E2221="",E2221="!!!",F2221="NEW"),"",INDEX(B2220:B$2,-1+SUMPRODUCT(MAX(ROW(E2220:E$2)*(E2221=E2220:E$2)))))</f>
        <v> </v>
      </c>
      <c r="J2221" s="26" t="str">
        <f>IF(OR(E2221="",E2221="!!!",F2221="NEW"),"",COUNTBLANK(OFFSET(A$1,,,SUMPRODUCT(MAX(ROW(E$2:E2221)*(E2221=E$2:E2221)))))-COUNTBLANK(OFFSET(A$1,,,SUMPRODUCT(MAX(ROW(E$1:E2220)*(E2=E$1:E2220))))))</f>
        <v> </v>
      </c>
      <c r="K2221" s="26" t="str">
        <f>IF(OR(E2221="",E2221="!!!",F2221="NEW"),"",INDEX(J$1:J2220,SUMPRODUCT(MAX(ROW(E$1:E2220)*(E2221=E$1:E2220)))))</f>
        <v> </v>
      </c>
      <c r="L2221" s="27"/>
    </row>
    <row r="2222" spans="1:12">
      <c r="A2222" s="20"/>
    </row>
    <row r="2223" spans="1:12">
      <c r="A2223" s="20" t="s">
        <v>1741</v>
      </c>
    </row>
    <row r="2224" spans="1:12">
      <c r="A2224" s="20" t="s">
        <v>1742</v>
      </c>
      <c r="E2224" s="22">
        <f>IF(D2224="?OLD","!!!","")</f>
        <v/>
      </c>
      <c r="F2224" s="23" t="str">
        <f>IF(OR(E2224="",E2224="!!!"),"",IF(NOT(ISNA(VLOOKUP(E2224,E$1:E2223,1,FALSE()))),"OLD",IF(AND(E2224&lt;&gt;"",E2224&lt;&gt;"!!!"),"NEW","")))</f>
        <v> </v>
      </c>
      <c r="G2224" s="24" t="str">
        <f>IF(OR(E2224="",E2224="!!!"),"",IF(OR(J2224=0,AND(J2224=1,K2224=1),AND(J2224=1,I2224="SBJ"),AND(J2224=1,I2224=0)),"?IN_FOCUS",IF(J2224&lt;=2,"?ACTIVATED",IF(J2224&lt;&gt;"","?FAMILIAR",IF(F2224="NEW",IF(ISNA(VLOOKUP(E2224,#REF!,1,FALSE())),"?TYPE_IDENTIFIABLE","?REFERENTIAL"),"_")))))</f>
        <v> </v>
      </c>
      <c r="H2224" s="25" t="str">
        <f>IF(J2224&lt;&gt;1,"",IF(I2224="SBJ","CB","?"))</f>
        <v> </v>
      </c>
      <c r="I2224" s="26" t="str">
        <f>IF(OR(E2224="",E2224="!!!",F2224="NEW"),"",INDEX(B2223:B$2,-1+SUMPRODUCT(MAX(ROW(E2223:E$2)*(E2224=E2223:E$2)))))</f>
        <v> </v>
      </c>
      <c r="J2224" s="26" t="str">
        <f>IF(OR(E2224="",E2224="!!!",F2224="NEW"),"",COUNTBLANK(OFFSET(A$1,,,SUMPRODUCT(MAX(ROW(E$2:E2224)*(E2224=E$2:E2224)))))-COUNTBLANK(OFFSET(A$1,,,SUMPRODUCT(MAX(ROW(E$1:E2223)*(E2=E$1:E2223))))))</f>
        <v> </v>
      </c>
      <c r="K2224" s="26" t="str">
        <f>IF(OR(E2224="",E2224="!!!",F2224="NEW"),"",INDEX(J$1:J2223,SUMPRODUCT(MAX(ROW(E$1:E2223)*(E2224=E$1:E2223)))))</f>
        <v> </v>
      </c>
      <c r="L2224" s="27"/>
    </row>
    <row r="2225" spans="1:12">
      <c r="A2225" s="20" t="s">
        <v>1051</v>
      </c>
      <c r="E2225" s="22">
        <f>IF(D2225="?OLD","!!!","")</f>
        <v/>
      </c>
      <c r="F2225" s="23" t="str">
        <f>IF(OR(E2225="",E2225="!!!"),"",IF(NOT(ISNA(VLOOKUP(E2225,E$1:E2224,1,FALSE()))),"OLD",IF(AND(E2225&lt;&gt;"",E2225&lt;&gt;"!!!"),"NEW","")))</f>
        <v> </v>
      </c>
      <c r="G2225" s="24" t="str">
        <f>IF(OR(E2225="",E2225="!!!"),"",IF(OR(J2225=0,AND(J2225=1,K2225=1),AND(J2225=1,I2225="SBJ"),AND(J2225=1,I2225=0)),"?IN_FOCUS",IF(J2225&lt;=2,"?ACTIVATED",IF(J2225&lt;&gt;"","?FAMILIAR",IF(F2225="NEW",IF(ISNA(VLOOKUP(E2225,#REF!,1,FALSE())),"?TYPE_IDENTIFIABLE","?REFERENTIAL"),"_")))))</f>
        <v> </v>
      </c>
      <c r="H2225" s="25" t="str">
        <f>IF(J2225&lt;&gt;1,"",IF(I2225="SBJ","CB","?"))</f>
        <v> </v>
      </c>
      <c r="I2225" s="26" t="str">
        <f>IF(OR(E2225="",E2225="!!!",F2225="NEW"),"",INDEX(B2224:B$2,-1+SUMPRODUCT(MAX(ROW(E2224:E$2)*(E2225=E2224:E$2)))))</f>
        <v> </v>
      </c>
      <c r="J2225" s="26" t="str">
        <f>IF(OR(E2225="",E2225="!!!",F2225="NEW"),"",COUNTBLANK(OFFSET(A$1,,,SUMPRODUCT(MAX(ROW(E$2:E2225)*(E2225=E$2:E2225)))))-COUNTBLANK(OFFSET(A$1,,,SUMPRODUCT(MAX(ROW(E$1:E2224)*(E2=E$1:E2224))))))</f>
        <v> </v>
      </c>
      <c r="K2225" s="26" t="str">
        <f>IF(OR(E2225="",E2225="!!!",F2225="NEW"),"",INDEX(J$1:J2224,SUMPRODUCT(MAX(ROW(E$1:E2224)*(E2225=E$1:E2224)))))</f>
        <v> </v>
      </c>
      <c r="L2225" s="27"/>
    </row>
    <row r="2226" spans="1:12">
      <c r="A2226" s="20" t="s">
        <v>1030</v>
      </c>
      <c r="E2226" s="22">
        <f>IF(D2226="?OLD","!!!","")</f>
        <v/>
      </c>
      <c r="F2226" s="23" t="str">
        <f>IF(OR(E2226="",E2226="!!!"),"",IF(NOT(ISNA(VLOOKUP(E2226,E$1:E2225,1,FALSE()))),"OLD",IF(AND(E2226&lt;&gt;"",E2226&lt;&gt;"!!!"),"NEW","")))</f>
        <v> </v>
      </c>
      <c r="G2226" s="24" t="str">
        <f>IF(OR(E2226="",E2226="!!!"),"",IF(OR(J2226=0,AND(J2226=1,K2226=1),AND(J2226=1,I2226="SBJ"),AND(J2226=1,I2226=0)),"?IN_FOCUS",IF(J2226&lt;=2,"?ACTIVATED",IF(J2226&lt;&gt;"","?FAMILIAR",IF(F2226="NEW",IF(ISNA(VLOOKUP(E2226,#REF!,1,FALSE())),"?TYPE_IDENTIFIABLE","?REFERENTIAL"),"_")))))</f>
        <v> </v>
      </c>
      <c r="H2226" s="25" t="str">
        <f>IF(J2226&lt;&gt;1,"",IF(I2226="SBJ","CB","?"))</f>
        <v> </v>
      </c>
      <c r="I2226" s="26" t="str">
        <f>IF(OR(E2226="",E2226="!!!",F2226="NEW"),"",INDEX(B2225:B$2,-1+SUMPRODUCT(MAX(ROW(E2225:E$2)*(E2226=E2225:E$2)))))</f>
        <v> </v>
      </c>
      <c r="J2226" s="26" t="str">
        <f>IF(OR(E2226="",E2226="!!!",F2226="NEW"),"",COUNTBLANK(OFFSET(A$1,,,SUMPRODUCT(MAX(ROW(E$2:E2226)*(E2226=E$2:E2226)))))-COUNTBLANK(OFFSET(A$1,,,SUMPRODUCT(MAX(ROW(E$1:E2225)*(E2=E$1:E2225))))))</f>
        <v> </v>
      </c>
      <c r="K2226" s="26" t="str">
        <f>IF(OR(E2226="",E2226="!!!",F2226="NEW"),"",INDEX(J$1:J2225,SUMPRODUCT(MAX(ROW(E$1:E2225)*(E2226=E$1:E2225)))))</f>
        <v> </v>
      </c>
      <c r="L2226" s="27"/>
    </row>
    <row r="2227" spans="1:12">
      <c r="A2227" s="20" t="s">
        <v>1743</v>
      </c>
      <c r="B2227" s="21" t="s">
        <v>1005</v>
      </c>
      <c r="C2227" s="21" t="s">
        <v>1048</v>
      </c>
      <c r="E2227" s="22">
        <f>IF(D2227="?OLD","!!!","")</f>
        <v/>
      </c>
      <c r="F2227" s="23" t="str">
        <f>IF(OR(E2227="",E2227="!!!"),"",IF(NOT(ISNA(VLOOKUP(E2227,E$1:E2226,1,FALSE()))),"OLD",IF(AND(E2227&lt;&gt;"",E2227&lt;&gt;"!!!"),"NEW","")))</f>
        <v> </v>
      </c>
      <c r="G2227" s="24" t="str">
        <f>IF(OR(E2227="",E2227="!!!"),"",IF(OR(J2227=0,AND(J2227=1,K2227=1),AND(J2227=1,I2227="SBJ"),AND(J2227=1,I2227=0)),"?IN_FOCUS",IF(J2227&lt;=2,"?ACTIVATED",IF(J2227&lt;&gt;"","?FAMILIAR",IF(F2227="NEW",IF(ISNA(VLOOKUP(E2227,#REF!,1,FALSE())),"?TYPE_IDENTIFIABLE","?REFERENTIAL"),"_")))))</f>
        <v> </v>
      </c>
      <c r="H2227" s="25" t="str">
        <f>IF(J2227&lt;&gt;1,"",IF(I2227="SBJ","CB","?"))</f>
        <v> </v>
      </c>
      <c r="I2227" s="26" t="str">
        <f>IF(OR(E2227="",E2227="!!!",F2227="NEW"),"",INDEX(B2226:B$2,-1+SUMPRODUCT(MAX(ROW(E2226:E$2)*(E2227=E2226:E$2)))))</f>
        <v> </v>
      </c>
      <c r="J2227" s="26" t="str">
        <f>IF(OR(E2227="",E2227="!!!",F2227="NEW"),"",COUNTBLANK(OFFSET(A$1,,,SUMPRODUCT(MAX(ROW(E$2:E2227)*(E2227=E$2:E2227)))))-COUNTBLANK(OFFSET(A$1,,,SUMPRODUCT(MAX(ROW(E$1:E2226)*(E2=E$1:E2226))))))</f>
        <v> </v>
      </c>
      <c r="K2227" s="26" t="str">
        <f>IF(OR(E2227="",E2227="!!!",F2227="NEW"),"",INDEX(J$1:J2226,SUMPRODUCT(MAX(ROW(E$1:E2226)*(E2227=E$1:E2226)))))</f>
        <v> </v>
      </c>
      <c r="L2227" s="27"/>
    </row>
    <row r="2228" spans="1:12">
      <c r="A2228" s="20" t="s">
        <v>1023</v>
      </c>
      <c r="E2228" s="22">
        <f>IF(D2228="?OLD","!!!","")</f>
        <v/>
      </c>
      <c r="F2228" s="23" t="str">
        <f>IF(OR(E2228="",E2228="!!!"),"",IF(NOT(ISNA(VLOOKUP(E2228,E$1:E2227,1,FALSE()))),"OLD",IF(AND(E2228&lt;&gt;"",E2228&lt;&gt;"!!!"),"NEW","")))</f>
        <v> </v>
      </c>
      <c r="G2228" s="24" t="str">
        <f>IF(OR(E2228="",E2228="!!!"),"",IF(OR(J2228=0,AND(J2228=1,K2228=1),AND(J2228=1,I2228="SBJ"),AND(J2228=1,I2228=0)),"?IN_FOCUS",IF(J2228&lt;=2,"?ACTIVATED",IF(J2228&lt;&gt;"","?FAMILIAR",IF(F2228="NEW",IF(ISNA(VLOOKUP(E2228,#REF!,1,FALSE())),"?TYPE_IDENTIFIABLE","?REFERENTIAL"),"_")))))</f>
        <v> </v>
      </c>
      <c r="H2228" s="25" t="str">
        <f>IF(J2228&lt;&gt;1,"",IF(I2228="SBJ","CB","?"))</f>
        <v> </v>
      </c>
      <c r="I2228" s="26" t="str">
        <f>IF(OR(E2228="",E2228="!!!",F2228="NEW"),"",INDEX(B2227:B$2,-1+SUMPRODUCT(MAX(ROW(E2227:E$2)*(E2228=E2227:E$2)))))</f>
        <v> </v>
      </c>
      <c r="J2228" s="26" t="str">
        <f>IF(OR(E2228="",E2228="!!!",F2228="NEW"),"",COUNTBLANK(OFFSET(A$1,,,SUMPRODUCT(MAX(ROW(E$2:E2228)*(E2228=E$2:E2228)))))-COUNTBLANK(OFFSET(A$1,,,SUMPRODUCT(MAX(ROW(E$1:E2227)*(E2=E$1:E2227))))))</f>
        <v> </v>
      </c>
      <c r="K2228" s="26" t="str">
        <f>IF(OR(E2228="",E2228="!!!",F2228="NEW"),"",INDEX(J$1:J2227,SUMPRODUCT(MAX(ROW(E$1:E2227)*(E2228=E$1:E2227)))))</f>
        <v> </v>
      </c>
      <c r="L2228" s="27"/>
    </row>
    <row r="2229" spans="1:12">
      <c r="A2229" s="20"/>
    </row>
    <row r="2230" spans="1:12">
      <c r="A2230" s="20" t="s">
        <v>1184</v>
      </c>
      <c r="E2230" s="22">
        <f>IF(D2230="?OLD","!!!","")</f>
        <v/>
      </c>
      <c r="F2230" s="23" t="str">
        <f>IF(OR(E2230="",E2230="!!!"),"",IF(NOT(ISNA(VLOOKUP(E2230,E$1:E2229,1,FALSE()))),"OLD",IF(AND(E2230&lt;&gt;"",E2230&lt;&gt;"!!!"),"NEW","")))</f>
        <v> </v>
      </c>
      <c r="G2230" s="24" t="str">
        <f>IF(OR(E2230="",E2230="!!!"),"",IF(OR(J2230=0,AND(J2230=1,K2230=1),AND(J2230=1,I2230="SBJ"),AND(J2230=1,I2230=0)),"?IN_FOCUS",IF(J2230&lt;=2,"?ACTIVATED",IF(J2230&lt;&gt;"","?FAMILIAR",IF(F2230="NEW",IF(ISNA(VLOOKUP(E2230,#REF!,1,FALSE())),"?TYPE_IDENTIFIABLE","?REFERENTIAL"),"_")))))</f>
        <v> </v>
      </c>
      <c r="H2230" s="25" t="str">
        <f>IF(J2230&lt;&gt;1,"",IF(I2230="SBJ","CB","?"))</f>
        <v> </v>
      </c>
      <c r="I2230" s="26" t="str">
        <f>IF(OR(E2230="",E2230="!!!",F2230="NEW"),"",INDEX(B2229:B$2,-1+SUMPRODUCT(MAX(ROW(E2229:E$2)*(E2230=E2229:E$2)))))</f>
        <v> </v>
      </c>
      <c r="J2230" s="26" t="str">
        <f>IF(OR(E2230="",E2230="!!!",F2230="NEW"),"",COUNTBLANK(OFFSET(A$1,,,SUMPRODUCT(MAX(ROW(E$2:E2230)*(E2230=E$2:E2230)))))-COUNTBLANK(OFFSET(A$1,,,SUMPRODUCT(MAX(ROW(E$1:E2229)*(E2=E$1:E2229))))))</f>
        <v> </v>
      </c>
      <c r="K2230" s="26" t="str">
        <f>IF(OR(E2230="",E2230="!!!",F2230="NEW"),"",INDEX(J$1:J2229,SUMPRODUCT(MAX(ROW(E$1:E2229)*(E2230=E$1:E2229)))))</f>
        <v> </v>
      </c>
      <c r="L2230" s="27"/>
    </row>
    <row r="2231" spans="1:12">
      <c r="A2231" s="20" t="s">
        <v>1744</v>
      </c>
    </row>
    <row r="2232" spans="1:12">
      <c r="A2232" s="20" t="s">
        <v>1400</v>
      </c>
      <c r="E2232" s="22">
        <f>IF(D2232="?OLD","!!!","")</f>
        <v/>
      </c>
      <c r="F2232" s="23" t="str">
        <f>IF(OR(E2232="",E2232="!!!"),"",IF(NOT(ISNA(VLOOKUP(E2232,E$1:E2231,1,FALSE()))),"OLD",IF(AND(E2232&lt;&gt;"",E2232&lt;&gt;"!!!"),"NEW","")))</f>
        <v> </v>
      </c>
      <c r="G2232" s="24" t="str">
        <f>IF(OR(E2232="",E2232="!!!"),"",IF(OR(J2232=0,AND(J2232=1,K2232=1),AND(J2232=1,I2232="SBJ"),AND(J2232=1,I2232=0)),"?IN_FOCUS",IF(J2232&lt;=2,"?ACTIVATED",IF(J2232&lt;&gt;"","?FAMILIAR",IF(F2232="NEW",IF(ISNA(VLOOKUP(E2232,#REF!,1,FALSE())),"?TYPE_IDENTIFIABLE","?REFERENTIAL"),"_")))))</f>
        <v> </v>
      </c>
      <c r="H2232" s="25" t="str">
        <f>IF(J2232&lt;&gt;1,"",IF(I2232="SBJ","CB","?"))</f>
        <v> </v>
      </c>
      <c r="I2232" s="26" t="str">
        <f>IF(OR(E2232="",E2232="!!!",F2232="NEW"),"",INDEX(B2231:B$2,-1+SUMPRODUCT(MAX(ROW(E2231:E$2)*(E2232=E2231:E$2)))))</f>
        <v> </v>
      </c>
      <c r="J2232" s="26" t="str">
        <f>IF(OR(E2232="",E2232="!!!",F2232="NEW"),"",COUNTBLANK(OFFSET(A$1,,,SUMPRODUCT(MAX(ROW(E$2:E2232)*(E2232=E$2:E2232)))))-COUNTBLANK(OFFSET(A$1,,,SUMPRODUCT(MAX(ROW(E$1:E2231)*(E2=E$1:E2231))))))</f>
        <v> </v>
      </c>
      <c r="K2232" s="26" t="str">
        <f>IF(OR(E2232="",E2232="!!!",F2232="NEW"),"",INDEX(J$1:J2231,SUMPRODUCT(MAX(ROW(E$1:E2231)*(E2232=E$1:E2231)))))</f>
        <v> </v>
      </c>
      <c r="L2232" s="27"/>
    </row>
    <row r="2233" spans="1:12">
      <c r="A2233" s="20" t="s">
        <v>1211</v>
      </c>
      <c r="B2233" s="21" t="s">
        <v>1050</v>
      </c>
      <c r="C2233" s="21" t="s">
        <v>1006</v>
      </c>
      <c r="D2233" s="21" t="s">
        <v>1007</v>
      </c>
      <c r="E2233" s="22">
        <f>IF(D2233="?OLD","!!!","")</f>
        <v/>
      </c>
      <c r="F2233" s="23" t="str">
        <f>IF(OR(E2233="",E2233="!!!"),"",IF(NOT(ISNA(VLOOKUP(E2233,E$1:E2232,1,FALSE()))),"OLD",IF(AND(E2233&lt;&gt;"",E2233&lt;&gt;"!!!"),"NEW","")))</f>
        <v> </v>
      </c>
      <c r="G2233" s="24" t="str">
        <f>IF(OR(E2233="",E2233="!!!"),"",IF(OR(J2233=0,AND(J2233=1,K2233=1),AND(J2233=1,I2233="SBJ"),AND(J2233=1,I2233=0)),"?IN_FOCUS",IF(J2233&lt;=2,"?ACTIVATED",IF(J2233&lt;&gt;"","?FAMILIAR",IF(F2233="NEW",IF(ISNA(VLOOKUP(E2233,#REF!,1,FALSE())),"?TYPE_IDENTIFIABLE","?REFERENTIAL"),"_")))))</f>
        <v> </v>
      </c>
      <c r="H2233" s="25" t="str">
        <f>IF(J2233&lt;&gt;1,"",IF(I2233="SBJ","CB","?"))</f>
        <v> </v>
      </c>
      <c r="I2233" s="26" t="str">
        <f>IF(OR(E2233="",E2233="!!!",F2233="NEW"),"",INDEX(B2232:B$2,-1+SUMPRODUCT(MAX(ROW(E2232:E$2)*(E2233=E2232:E$2)))))</f>
        <v> </v>
      </c>
      <c r="J2233" s="26" t="str">
        <f>IF(OR(E2233="",E2233="!!!",F2233="NEW"),"",COUNTBLANK(OFFSET(A$1,,,SUMPRODUCT(MAX(ROW(E$2:E2233)*(E2233=E$2:E2233)))))-COUNTBLANK(OFFSET(A$1,,,SUMPRODUCT(MAX(ROW(E$1:E2232)*(E2=E$1:E2232))))))</f>
        <v> </v>
      </c>
      <c r="K2233" s="26" t="str">
        <f>IF(OR(E2233="",E2233="!!!",F2233="NEW"),"",INDEX(J$1:J2232,SUMPRODUCT(MAX(ROW(E$1:E2232)*(E2233=E$1:E2232)))))</f>
        <v> </v>
      </c>
      <c r="L2233" s="27"/>
    </row>
    <row r="2234" spans="1:12">
      <c r="A2234" s="20" t="s">
        <v>1124</v>
      </c>
      <c r="E2234" s="22">
        <f>IF(D2234="?OLD","!!!","")</f>
        <v/>
      </c>
      <c r="F2234" s="23" t="str">
        <f>IF(OR(E2234="",E2234="!!!"),"",IF(NOT(ISNA(VLOOKUP(E2234,E$1:E2233,1,FALSE()))),"OLD",IF(AND(E2234&lt;&gt;"",E2234&lt;&gt;"!!!"),"NEW","")))</f>
        <v> </v>
      </c>
      <c r="G2234" s="24" t="str">
        <f>IF(OR(E2234="",E2234="!!!"),"",IF(OR(J2234=0,AND(J2234=1,K2234=1),AND(J2234=1,I2234="SBJ"),AND(J2234=1,I2234=0)),"?IN_FOCUS",IF(J2234&lt;=2,"?ACTIVATED",IF(J2234&lt;&gt;"","?FAMILIAR",IF(F2234="NEW",IF(ISNA(VLOOKUP(E2234,#REF!,1,FALSE())),"?TYPE_IDENTIFIABLE","?REFERENTIAL"),"_")))))</f>
        <v> </v>
      </c>
      <c r="H2234" s="25" t="str">
        <f>IF(J2234&lt;&gt;1,"",IF(I2234="SBJ","CB","?"))</f>
        <v> </v>
      </c>
      <c r="I2234" s="26" t="str">
        <f>IF(OR(E2234="",E2234="!!!",F2234="NEW"),"",INDEX(B2233:B$2,-1+SUMPRODUCT(MAX(ROW(E2233:E$2)*(E2234=E2233:E$2)))))</f>
        <v> </v>
      </c>
      <c r="J2234" s="26" t="str">
        <f>IF(OR(E2234="",E2234="!!!",F2234="NEW"),"",COUNTBLANK(OFFSET(A$1,,,SUMPRODUCT(MAX(ROW(E$2:E2234)*(E2234=E$2:E2234)))))-COUNTBLANK(OFFSET(A$1,,,SUMPRODUCT(MAX(ROW(E$1:E2233)*(E2=E$1:E2233))))))</f>
        <v> </v>
      </c>
      <c r="K2234" s="26" t="str">
        <f>IF(OR(E2234="",E2234="!!!",F2234="NEW"),"",INDEX(J$1:J2233,SUMPRODUCT(MAX(ROW(E$1:E2233)*(E2234=E$1:E2233)))))</f>
        <v> </v>
      </c>
      <c r="L2234" s="27"/>
    </row>
    <row r="2235" spans="1:12">
      <c r="A2235" s="20" t="s">
        <v>102</v>
      </c>
      <c r="E2235" s="22">
        <f>IF(D2235="?OLD","!!!","")</f>
        <v/>
      </c>
      <c r="F2235" s="23" t="str">
        <f>IF(OR(E2235="",E2235="!!!"),"",IF(NOT(ISNA(VLOOKUP(E2235,E$1:E2234,1,FALSE()))),"OLD",IF(AND(E2235&lt;&gt;"",E2235&lt;&gt;"!!!"),"NEW","")))</f>
        <v> </v>
      </c>
      <c r="G2235" s="24" t="str">
        <f>IF(OR(E2235="",E2235="!!!"),"",IF(OR(J2235=0,AND(J2235=1,K2235=1),AND(J2235=1,I2235="SBJ"),AND(J2235=1,I2235=0)),"?IN_FOCUS",IF(J2235&lt;=2,"?ACTIVATED",IF(J2235&lt;&gt;"","?FAMILIAR",IF(F2235="NEW",IF(ISNA(VLOOKUP(E2235,#REF!,1,FALSE())),"?TYPE_IDENTIFIABLE","?REFERENTIAL"),"_")))))</f>
        <v> </v>
      </c>
      <c r="H2235" s="25" t="str">
        <f>IF(J2235&lt;&gt;1,"",IF(I2235="SBJ","CB","?"))</f>
        <v> </v>
      </c>
      <c r="I2235" s="26" t="str">
        <f>IF(OR(E2235="",E2235="!!!",F2235="NEW"),"",INDEX(B2234:B$2,-1+SUMPRODUCT(MAX(ROW(E2234:E$2)*(E2235=E2234:E$2)))))</f>
        <v> </v>
      </c>
      <c r="J2235" s="26" t="str">
        <f>IF(OR(E2235="",E2235="!!!",F2235="NEW"),"",COUNTBLANK(OFFSET(A$1,,,SUMPRODUCT(MAX(ROW(E$2:E2235)*(E2235=E$2:E2235)))))-COUNTBLANK(OFFSET(A$1,,,SUMPRODUCT(MAX(ROW(E$1:E2234)*(E2=E$1:E2234))))))</f>
        <v> </v>
      </c>
      <c r="K2235" s="26" t="str">
        <f>IF(OR(E2235="",E2235="!!!",F2235="NEW"),"",INDEX(J$1:J2234,SUMPRODUCT(MAX(ROW(E$1:E2234)*(E2235=E$1:E2234)))))</f>
        <v> </v>
      </c>
      <c r="L2235" s="27"/>
    </row>
    <row r="2236" spans="1:12">
      <c r="A2236" s="20" t="s">
        <v>1058</v>
      </c>
      <c r="B2236" s="21" t="s">
        <v>1022</v>
      </c>
      <c r="C2236" s="21" t="s">
        <v>1059</v>
      </c>
      <c r="D2236" s="21" t="s">
        <v>1007</v>
      </c>
      <c r="E2236" s="22">
        <f>IF(D2236="?OLD","!!!","")</f>
        <v/>
      </c>
      <c r="F2236" s="23" t="str">
        <f>IF(OR(E2236="",E2236="!!!"),"",IF(NOT(ISNA(VLOOKUP(E2236,E$1:E2235,1,FALSE()))),"OLD",IF(AND(E2236&lt;&gt;"",E2236&lt;&gt;"!!!"),"NEW","")))</f>
        <v> </v>
      </c>
      <c r="G2236" s="24" t="str">
        <f>IF(OR(E2236="",E2236="!!!"),"",IF(OR(J2236=0,AND(J2236=1,K2236=1),AND(J2236=1,I2236="SBJ"),AND(J2236=1,I2236=0)),"?IN_FOCUS",IF(J2236&lt;=2,"?ACTIVATED",IF(J2236&lt;&gt;"","?FAMILIAR",IF(F2236="NEW",IF(ISNA(VLOOKUP(E2236,#REF!,1,FALSE())),"?TYPE_IDENTIFIABLE","?REFERENTIAL"),"_")))))</f>
        <v> </v>
      </c>
      <c r="H2236" s="25" t="str">
        <f>IF(J2236&lt;&gt;1,"",IF(I2236="SBJ","CB","?"))</f>
        <v> </v>
      </c>
      <c r="I2236" s="26" t="str">
        <f>IF(OR(E2236="",E2236="!!!",F2236="NEW"),"",INDEX(B2235:B$2,-1+SUMPRODUCT(MAX(ROW(E2235:E$2)*(E2236=E2235:E$2)))))</f>
        <v> </v>
      </c>
      <c r="J2236" s="26" t="str">
        <f>IF(OR(E2236="",E2236="!!!",F2236="NEW"),"",COUNTBLANK(OFFSET(A$1,,,SUMPRODUCT(MAX(ROW(E$2:E2236)*(E2236=E$2:E2236)))))-COUNTBLANK(OFFSET(A$1,,,SUMPRODUCT(MAX(ROW(E$1:E2235)*(E2=E$1:E2235))))))</f>
        <v> </v>
      </c>
      <c r="K2236" s="26" t="str">
        <f>IF(OR(E2236="",E2236="!!!",F2236="NEW"),"",INDEX(J$1:J2235,SUMPRODUCT(MAX(ROW(E$1:E2235)*(E2236=E$1:E2235)))))</f>
        <v> </v>
      </c>
      <c r="L2236" s="27"/>
    </row>
    <row r="2237" spans="1:12">
      <c r="A2237" s="20" t="s">
        <v>1745</v>
      </c>
      <c r="E2237" s="22">
        <f>IF(D2237="?OLD","!!!","")</f>
        <v/>
      </c>
      <c r="F2237" s="23" t="str">
        <f>IF(OR(E2237="",E2237="!!!"),"",IF(NOT(ISNA(VLOOKUP(E2237,E$1:E2236,1,FALSE()))),"OLD",IF(AND(E2237&lt;&gt;"",E2237&lt;&gt;"!!!"),"NEW","")))</f>
        <v> </v>
      </c>
      <c r="G2237" s="24" t="str">
        <f>IF(OR(E2237="",E2237="!!!"),"",IF(OR(J2237=0,AND(J2237=1,K2237=1),AND(J2237=1,I2237="SBJ"),AND(J2237=1,I2237=0)),"?IN_FOCUS",IF(J2237&lt;=2,"?ACTIVATED",IF(J2237&lt;&gt;"","?FAMILIAR",IF(F2237="NEW",IF(ISNA(VLOOKUP(E2237,#REF!,1,FALSE())),"?TYPE_IDENTIFIABLE","?REFERENTIAL"),"_")))))</f>
        <v> </v>
      </c>
      <c r="H2237" s="25" t="str">
        <f>IF(J2237&lt;&gt;1,"",IF(I2237="SBJ","CB","?"))</f>
        <v> </v>
      </c>
      <c r="I2237" s="26" t="str">
        <f>IF(OR(E2237="",E2237="!!!",F2237="NEW"),"",INDEX(B2236:B$2,-1+SUMPRODUCT(MAX(ROW(E2236:E$2)*(E2237=E2236:E$2)))))</f>
        <v> </v>
      </c>
      <c r="J2237" s="26" t="str">
        <f>IF(OR(E2237="",E2237="!!!",F2237="NEW"),"",COUNTBLANK(OFFSET(A$1,,,SUMPRODUCT(MAX(ROW(E$2:E2237)*(E2237=E$2:E2237)))))-COUNTBLANK(OFFSET(A$1,,,SUMPRODUCT(MAX(ROW(E$1:E2236)*(E2=E$1:E2236))))))</f>
        <v> </v>
      </c>
      <c r="K2237" s="26" t="str">
        <f>IF(OR(E2237="",E2237="!!!",F2237="NEW"),"",INDEX(J$1:J2236,SUMPRODUCT(MAX(ROW(E$1:E2236)*(E2237=E$1:E2236)))))</f>
        <v> </v>
      </c>
      <c r="L2237" s="27"/>
    </row>
    <row r="2238" spans="1:12">
      <c r="A2238" s="20" t="s">
        <v>1746</v>
      </c>
      <c r="B2238" s="21" t="s">
        <v>1085</v>
      </c>
      <c r="C2238" s="21" t="s">
        <v>1013</v>
      </c>
      <c r="D2238" s="21" t="s">
        <v>1007</v>
      </c>
      <c r="E2238" s="22">
        <f>IF(D2238="?OLD","!!!","")</f>
        <v/>
      </c>
      <c r="F2238" s="23" t="str">
        <f>IF(OR(E2238="",E2238="!!!"),"",IF(NOT(ISNA(VLOOKUP(E2238,E$1:E2237,1,FALSE()))),"OLD",IF(AND(E2238&lt;&gt;"",E2238&lt;&gt;"!!!"),"NEW","")))</f>
        <v> </v>
      </c>
      <c r="G2238" s="24" t="str">
        <f>IF(OR(E2238="",E2238="!!!"),"",IF(OR(J2238=0,AND(J2238=1,K2238=1),AND(J2238=1,I2238="SBJ"),AND(J2238=1,I2238=0)),"?IN_FOCUS",IF(J2238&lt;=2,"?ACTIVATED",IF(J2238&lt;&gt;"","?FAMILIAR",IF(F2238="NEW",IF(ISNA(VLOOKUP(E2238,#REF!,1,FALSE())),"?TYPE_IDENTIFIABLE","?REFERENTIAL"),"_")))))</f>
        <v> </v>
      </c>
      <c r="H2238" s="25" t="str">
        <f>IF(J2238&lt;&gt;1,"",IF(I2238="SBJ","CB","?"))</f>
        <v> </v>
      </c>
      <c r="I2238" s="26" t="str">
        <f>IF(OR(E2238="",E2238="!!!",F2238="NEW"),"",INDEX(B2237:B$2,-1+SUMPRODUCT(MAX(ROW(E2237:E$2)*(E2238=E2237:E$2)))))</f>
        <v> </v>
      </c>
      <c r="J2238" s="26" t="str">
        <f>IF(OR(E2238="",E2238="!!!",F2238="NEW"),"",COUNTBLANK(OFFSET(A$1,,,SUMPRODUCT(MAX(ROW(E$2:E2238)*(E2238=E$2:E2238)))))-COUNTBLANK(OFFSET(A$1,,,SUMPRODUCT(MAX(ROW(E$1:E2237)*(E2=E$1:E2237))))))</f>
        <v> </v>
      </c>
      <c r="K2238" s="26" t="str">
        <f>IF(OR(E2238="",E2238="!!!",F2238="NEW"),"",INDEX(J$1:J2237,SUMPRODUCT(MAX(ROW(E$1:E2237)*(E2238=E$1:E2237)))))</f>
        <v> </v>
      </c>
      <c r="L2238" s="27"/>
    </row>
    <row r="2239" spans="1:12">
      <c r="A2239" s="20" t="s">
        <v>1014</v>
      </c>
      <c r="E2239" s="22">
        <f>IF(D2239="?OLD","!!!","")</f>
        <v/>
      </c>
      <c r="F2239" s="23" t="str">
        <f>IF(OR(E2239="",E2239="!!!"),"",IF(NOT(ISNA(VLOOKUP(E2239,E$1:E2238,1,FALSE()))),"OLD",IF(AND(E2239&lt;&gt;"",E2239&lt;&gt;"!!!"),"NEW","")))</f>
        <v> </v>
      </c>
      <c r="G2239" s="24" t="str">
        <f>IF(OR(E2239="",E2239="!!!"),"",IF(OR(J2239=0,AND(J2239=1,K2239=1),AND(J2239=1,I2239="SBJ"),AND(J2239=1,I2239=0)),"?IN_FOCUS",IF(J2239&lt;=2,"?ACTIVATED",IF(J2239&lt;&gt;"","?FAMILIAR",IF(F2239="NEW",IF(ISNA(VLOOKUP(E2239,#REF!,1,FALSE())),"?TYPE_IDENTIFIABLE","?REFERENTIAL"),"_")))))</f>
        <v> </v>
      </c>
      <c r="H2239" s="25" t="str">
        <f>IF(J2239&lt;&gt;1,"",IF(I2239="SBJ","CB","?"))</f>
        <v> </v>
      </c>
      <c r="I2239" s="26" t="str">
        <f>IF(OR(E2239="",E2239="!!!",F2239="NEW"),"",INDEX(B2238:B$2,-1+SUMPRODUCT(MAX(ROW(E2238:E$2)*(E2239=E2238:E$2)))))</f>
        <v> </v>
      </c>
      <c r="J2239" s="26" t="str">
        <f>IF(OR(E2239="",E2239="!!!",F2239="NEW"),"",COUNTBLANK(OFFSET(A$1,,,SUMPRODUCT(MAX(ROW(E$2:E2239)*(E2239=E$2:E2239)))))-COUNTBLANK(OFFSET(A$1,,,SUMPRODUCT(MAX(ROW(E$1:E2238)*(E2=E$1:E2238))))))</f>
        <v> </v>
      </c>
      <c r="K2239" s="26" t="str">
        <f>IF(OR(E2239="",E2239="!!!",F2239="NEW"),"",INDEX(J$1:J2238,SUMPRODUCT(MAX(ROW(E$1:E2238)*(E2239=E$1:E2238)))))</f>
        <v> </v>
      </c>
      <c r="L2239" s="27"/>
    </row>
    <row r="2240" spans="1:12">
      <c r="A2240" s="20" t="s">
        <v>1518</v>
      </c>
      <c r="B2240" s="21" t="s">
        <v>1022</v>
      </c>
      <c r="C2240" s="21" t="s">
        <v>1048</v>
      </c>
      <c r="E2240" s="22">
        <f>IF(D2240="?OLD","!!!","")</f>
        <v/>
      </c>
      <c r="F2240" s="23" t="str">
        <f>IF(OR(E2240="",E2240="!!!"),"",IF(NOT(ISNA(VLOOKUP(E2240,E$1:E2239,1,FALSE()))),"OLD",IF(AND(E2240&lt;&gt;"",E2240&lt;&gt;"!!!"),"NEW","")))</f>
        <v> </v>
      </c>
      <c r="G2240" s="24" t="str">
        <f>IF(OR(E2240="",E2240="!!!"),"",IF(OR(J2240=0,AND(J2240=1,K2240=1),AND(J2240=1,I2240="SBJ"),AND(J2240=1,I2240=0)),"?IN_FOCUS",IF(J2240&lt;=2,"?ACTIVATED",IF(J2240&lt;&gt;"","?FAMILIAR",IF(F2240="NEW",IF(ISNA(VLOOKUP(E2240,#REF!,1,FALSE())),"?TYPE_IDENTIFIABLE","?REFERENTIAL"),"_")))))</f>
        <v> </v>
      </c>
      <c r="H2240" s="25" t="str">
        <f>IF(J2240&lt;&gt;1,"",IF(I2240="SBJ","CB","?"))</f>
        <v> </v>
      </c>
      <c r="I2240" s="26" t="str">
        <f>IF(OR(E2240="",E2240="!!!",F2240="NEW"),"",INDEX(B2239:B$2,-1+SUMPRODUCT(MAX(ROW(E2239:E$2)*(E2240=E2239:E$2)))))</f>
        <v> </v>
      </c>
      <c r="J2240" s="26" t="str">
        <f>IF(OR(E2240="",E2240="!!!",F2240="NEW"),"",COUNTBLANK(OFFSET(A$1,,,SUMPRODUCT(MAX(ROW(E$2:E2240)*(E2240=E$2:E2240)))))-COUNTBLANK(OFFSET(A$1,,,SUMPRODUCT(MAX(ROW(E$1:E2239)*(E2=E$1:E2239))))))</f>
        <v> </v>
      </c>
      <c r="K2240" s="26" t="str">
        <f>IF(OR(E2240="",E2240="!!!",F2240="NEW"),"",INDEX(J$1:J2239,SUMPRODUCT(MAX(ROW(E$1:E2239)*(E2240=E$1:E2239)))))</f>
        <v> </v>
      </c>
      <c r="L2240" s="27"/>
    </row>
    <row r="2241" spans="1:12">
      <c r="A2241" s="20" t="s">
        <v>1747</v>
      </c>
      <c r="E2241" s="22">
        <f>IF(D2241="?OLD","!!!","")</f>
        <v/>
      </c>
      <c r="F2241" s="23" t="str">
        <f>IF(OR(E2241="",E2241="!!!"),"",IF(NOT(ISNA(VLOOKUP(E2241,E$1:E2240,1,FALSE()))),"OLD",IF(AND(E2241&lt;&gt;"",E2241&lt;&gt;"!!!"),"NEW","")))</f>
        <v> </v>
      </c>
      <c r="G2241" s="24" t="str">
        <f>IF(OR(E2241="",E2241="!!!"),"",IF(OR(J2241=0,AND(J2241=1,K2241=1),AND(J2241=1,I2241="SBJ"),AND(J2241=1,I2241=0)),"?IN_FOCUS",IF(J2241&lt;=2,"?ACTIVATED",IF(J2241&lt;&gt;"","?FAMILIAR",IF(F2241="NEW",IF(ISNA(VLOOKUP(E2241,#REF!,1,FALSE())),"?TYPE_IDENTIFIABLE","?REFERENTIAL"),"_")))))</f>
        <v> </v>
      </c>
      <c r="H2241" s="25" t="str">
        <f>IF(J2241&lt;&gt;1,"",IF(I2241="SBJ","CB","?"))</f>
        <v> </v>
      </c>
      <c r="I2241" s="26" t="str">
        <f>IF(OR(E2241="",E2241="!!!",F2241="NEW"),"",INDEX(B2240:B$2,-1+SUMPRODUCT(MAX(ROW(E2240:E$2)*(E2241=E2240:E$2)))))</f>
        <v> </v>
      </c>
      <c r="J2241" s="26" t="str">
        <f>IF(OR(E2241="",E2241="!!!",F2241="NEW"),"",COUNTBLANK(OFFSET(A$1,,,SUMPRODUCT(MAX(ROW(E$2:E2241)*(E2241=E$2:E2241)))))-COUNTBLANK(OFFSET(A$1,,,SUMPRODUCT(MAX(ROW(E$1:E2240)*(E2=E$1:E2240))))))</f>
        <v> </v>
      </c>
      <c r="K2241" s="26" t="str">
        <f>IF(OR(E2241="",E2241="!!!",F2241="NEW"),"",INDEX(J$1:J2240,SUMPRODUCT(MAX(ROW(E$1:E2240)*(E2241=E$1:E2240)))))</f>
        <v> </v>
      </c>
      <c r="L2241" s="27"/>
    </row>
    <row r="2242" spans="1:12">
      <c r="A2242" s="20" t="s">
        <v>1065</v>
      </c>
      <c r="B2242" s="21" t="s">
        <v>1120</v>
      </c>
      <c r="E2242" s="22">
        <f>IF(D2242="?OLD","!!!","")</f>
        <v/>
      </c>
      <c r="F2242" s="23" t="str">
        <f>IF(OR(E2242="",E2242="!!!"),"",IF(NOT(ISNA(VLOOKUP(E2242,E$1:E2241,1,FALSE()))),"OLD",IF(AND(E2242&lt;&gt;"",E2242&lt;&gt;"!!!"),"NEW","")))</f>
        <v> </v>
      </c>
      <c r="G2242" s="24" t="str">
        <f>IF(OR(E2242="",E2242="!!!"),"",IF(OR(J2242=0,AND(J2242=1,K2242=1),AND(J2242=1,I2242="SBJ"),AND(J2242=1,I2242=0)),"?IN_FOCUS",IF(J2242&lt;=2,"?ACTIVATED",IF(J2242&lt;&gt;"","?FAMILIAR",IF(F2242="NEW",IF(ISNA(VLOOKUP(E2242,#REF!,1,FALSE())),"?TYPE_IDENTIFIABLE","?REFERENTIAL"),"_")))))</f>
        <v> </v>
      </c>
      <c r="H2242" s="25" t="str">
        <f>IF(J2242&lt;&gt;1,"",IF(I2242="SBJ","CB","?"))</f>
        <v> </v>
      </c>
      <c r="I2242" s="26" t="str">
        <f>IF(OR(E2242="",E2242="!!!",F2242="NEW"),"",INDEX(B2241:B$2,-1+SUMPRODUCT(MAX(ROW(E2241:E$2)*(E2242=E2241:E$2)))))</f>
        <v> </v>
      </c>
      <c r="J2242" s="26" t="str">
        <f>IF(OR(E2242="",E2242="!!!",F2242="NEW"),"",COUNTBLANK(OFFSET(A$1,,,SUMPRODUCT(MAX(ROW(E$2:E2242)*(E2242=E$2:E2242)))))-COUNTBLANK(OFFSET(A$1,,,SUMPRODUCT(MAX(ROW(E$1:E2241)*(E2=E$1:E2241))))))</f>
        <v> </v>
      </c>
      <c r="K2242" s="26" t="str">
        <f>IF(OR(E2242="",E2242="!!!",F2242="NEW"),"",INDEX(J$1:J2241,SUMPRODUCT(MAX(ROW(E$1:E2241)*(E2242=E$1:E2241)))))</f>
        <v> </v>
      </c>
      <c r="L2242" s="27"/>
    </row>
    <row r="2243" spans="1:12">
      <c r="A2243" s="20" t="s">
        <v>1748</v>
      </c>
      <c r="E2243" s="22">
        <f>IF(D2243="?OLD","!!!","")</f>
        <v/>
      </c>
      <c r="F2243" s="23" t="str">
        <f>IF(OR(E2243="",E2243="!!!"),"",IF(NOT(ISNA(VLOOKUP(E2243,E$1:E2242,1,FALSE()))),"OLD",IF(AND(E2243&lt;&gt;"",E2243&lt;&gt;"!!!"),"NEW","")))</f>
        <v> </v>
      </c>
      <c r="G2243" s="24" t="str">
        <f>IF(OR(E2243="",E2243="!!!"),"",IF(OR(J2243=0,AND(J2243=1,K2243=1),AND(J2243=1,I2243="SBJ"),AND(J2243=1,I2243=0)),"?IN_FOCUS",IF(J2243&lt;=2,"?ACTIVATED",IF(J2243&lt;&gt;"","?FAMILIAR",IF(F2243="NEW",IF(ISNA(VLOOKUP(E2243,#REF!,1,FALSE())),"?TYPE_IDENTIFIABLE","?REFERENTIAL"),"_")))))</f>
        <v> </v>
      </c>
      <c r="H2243" s="25" t="str">
        <f>IF(J2243&lt;&gt;1,"",IF(I2243="SBJ","CB","?"))</f>
        <v> </v>
      </c>
      <c r="I2243" s="26" t="str">
        <f>IF(OR(E2243="",E2243="!!!",F2243="NEW"),"",INDEX(B2242:B$2,-1+SUMPRODUCT(MAX(ROW(E2242:E$2)*(E2243=E2242:E$2)))))</f>
        <v> </v>
      </c>
      <c r="J2243" s="26" t="str">
        <f>IF(OR(E2243="",E2243="!!!",F2243="NEW"),"",COUNTBLANK(OFFSET(A$1,,,SUMPRODUCT(MAX(ROW(E$2:E2243)*(E2243=E$2:E2243)))))-COUNTBLANK(OFFSET(A$1,,,SUMPRODUCT(MAX(ROW(E$1:E2242)*(E2=E$1:E2242))))))</f>
        <v> </v>
      </c>
      <c r="K2243" s="26" t="str">
        <f>IF(OR(E2243="",E2243="!!!",F2243="NEW"),"",INDEX(J$1:J2242,SUMPRODUCT(MAX(ROW(E$1:E2242)*(E2243=E$1:E2242)))))</f>
        <v> </v>
      </c>
      <c r="L2243" s="27"/>
    </row>
    <row r="2244" spans="1:12">
      <c r="A2244" s="20" t="s">
        <v>1027</v>
      </c>
      <c r="E2244" s="22">
        <f>IF(D2244="?OLD","!!!","")</f>
        <v/>
      </c>
      <c r="F2244" s="23" t="str">
        <f>IF(OR(E2244="",E2244="!!!"),"",IF(NOT(ISNA(VLOOKUP(E2244,E$1:E2243,1,FALSE()))),"OLD",IF(AND(E2244&lt;&gt;"",E2244&lt;&gt;"!!!"),"NEW","")))</f>
        <v> </v>
      </c>
      <c r="G2244" s="24" t="str">
        <f>IF(OR(E2244="",E2244="!!!"),"",IF(OR(J2244=0,AND(J2244=1,K2244=1),AND(J2244=1,I2244="SBJ"),AND(J2244=1,I2244=0)),"?IN_FOCUS",IF(J2244&lt;=2,"?ACTIVATED",IF(J2244&lt;&gt;"","?FAMILIAR",IF(F2244="NEW",IF(ISNA(VLOOKUP(E2244,#REF!,1,FALSE())),"?TYPE_IDENTIFIABLE","?REFERENTIAL"),"_")))))</f>
        <v> </v>
      </c>
      <c r="H2244" s="25" t="str">
        <f>IF(J2244&lt;&gt;1,"",IF(I2244="SBJ","CB","?"))</f>
        <v> </v>
      </c>
      <c r="I2244" s="26" t="str">
        <f>IF(OR(E2244="",E2244="!!!",F2244="NEW"),"",INDEX(B2243:B$2,-1+SUMPRODUCT(MAX(ROW(E2243:E$2)*(E2244=E2243:E$2)))))</f>
        <v> </v>
      </c>
      <c r="J2244" s="26" t="str">
        <f>IF(OR(E2244="",E2244="!!!",F2244="NEW"),"",COUNTBLANK(OFFSET(A$1,,,SUMPRODUCT(MAX(ROW(E$2:E2244)*(E2244=E$2:E2244)))))-COUNTBLANK(OFFSET(A$1,,,SUMPRODUCT(MAX(ROW(E$1:E2243)*(E2=E$1:E2243))))))</f>
        <v> </v>
      </c>
      <c r="K2244" s="26" t="str">
        <f>IF(OR(E2244="",E2244="!!!",F2244="NEW"),"",INDEX(J$1:J2243,SUMPRODUCT(MAX(ROW(E$1:E2243)*(E2244=E$1:E2243)))))</f>
        <v> </v>
      </c>
      <c r="L2244" s="27"/>
    </row>
    <row r="2245" spans="1:12">
      <c r="A2245" s="20" t="s">
        <v>1749</v>
      </c>
      <c r="E2245" s="22">
        <f>IF(D2245="?OLD","!!!","")</f>
        <v/>
      </c>
      <c r="F2245" s="23" t="str">
        <f>IF(OR(E2245="",E2245="!!!"),"",IF(NOT(ISNA(VLOOKUP(E2245,E$1:E2244,1,FALSE()))),"OLD",IF(AND(E2245&lt;&gt;"",E2245&lt;&gt;"!!!"),"NEW","")))</f>
        <v> </v>
      </c>
      <c r="G2245" s="24" t="str">
        <f>IF(OR(E2245="",E2245="!!!"),"",IF(OR(J2245=0,AND(J2245=1,K2245=1),AND(J2245=1,I2245="SBJ"),AND(J2245=1,I2245=0)),"?IN_FOCUS",IF(J2245&lt;=2,"?ACTIVATED",IF(J2245&lt;&gt;"","?FAMILIAR",IF(F2245="NEW",IF(ISNA(VLOOKUP(E2245,#REF!,1,FALSE())),"?TYPE_IDENTIFIABLE","?REFERENTIAL"),"_")))))</f>
        <v> </v>
      </c>
      <c r="H2245" s="25" t="str">
        <f>IF(J2245&lt;&gt;1,"",IF(I2245="SBJ","CB","?"))</f>
        <v> </v>
      </c>
      <c r="I2245" s="26" t="str">
        <f>IF(OR(E2245="",E2245="!!!",F2245="NEW"),"",INDEX(B2244:B$2,-1+SUMPRODUCT(MAX(ROW(E2244:E$2)*(E2245=E2244:E$2)))))</f>
        <v> </v>
      </c>
      <c r="J2245" s="26" t="str">
        <f>IF(OR(E2245="",E2245="!!!",F2245="NEW"),"",COUNTBLANK(OFFSET(A$1,,,SUMPRODUCT(MAX(ROW(E$2:E2245)*(E2245=E$2:E2245)))))-COUNTBLANK(OFFSET(A$1,,,SUMPRODUCT(MAX(ROW(E$1:E2244)*(E2=E$1:E2244))))))</f>
        <v> </v>
      </c>
      <c r="K2245" s="26" t="str">
        <f>IF(OR(E2245="",E2245="!!!",F2245="NEW"),"",INDEX(J$1:J2244,SUMPRODUCT(MAX(ROW(E$1:E2244)*(E2245=E$1:E2244)))))</f>
        <v> </v>
      </c>
      <c r="L2245" s="27"/>
    </row>
    <row r="2246" spans="1:12">
      <c r="A2246" s="20" t="s">
        <v>1750</v>
      </c>
      <c r="B2246" s="21" t="s">
        <v>1064</v>
      </c>
      <c r="C2246" s="21" t="s">
        <v>1013</v>
      </c>
      <c r="D2246" s="21" t="s">
        <v>1007</v>
      </c>
      <c r="E2246" s="22">
        <f>IF(D2246="?OLD","!!!","")</f>
        <v/>
      </c>
      <c r="F2246" s="23" t="str">
        <f>IF(OR(E2246="",E2246="!!!"),"",IF(NOT(ISNA(VLOOKUP(E2246,E$1:E2245,1,FALSE()))),"OLD",IF(AND(E2246&lt;&gt;"",E2246&lt;&gt;"!!!"),"NEW","")))</f>
        <v> </v>
      </c>
      <c r="G2246" s="24" t="str">
        <f>IF(OR(E2246="",E2246="!!!"),"",IF(OR(J2246=0,AND(J2246=1,K2246=1),AND(J2246=1,I2246="SBJ"),AND(J2246=1,I2246=0)),"?IN_FOCUS",IF(J2246&lt;=2,"?ACTIVATED",IF(J2246&lt;&gt;"","?FAMILIAR",IF(F2246="NEW",IF(ISNA(VLOOKUP(E2246,#REF!,1,FALSE())),"?TYPE_IDENTIFIABLE","?REFERENTIAL"),"_")))))</f>
        <v> </v>
      </c>
      <c r="H2246" s="25" t="str">
        <f>IF(J2246&lt;&gt;1,"",IF(I2246="SBJ","CB","?"))</f>
        <v> </v>
      </c>
      <c r="I2246" s="26" t="str">
        <f>IF(OR(E2246="",E2246="!!!",F2246="NEW"),"",INDEX(B2245:B$2,-1+SUMPRODUCT(MAX(ROW(E2245:E$2)*(E2246=E2245:E$2)))))</f>
        <v> </v>
      </c>
      <c r="J2246" s="26" t="str">
        <f>IF(OR(E2246="",E2246="!!!",F2246="NEW"),"",COUNTBLANK(OFFSET(A$1,,,SUMPRODUCT(MAX(ROW(E$2:E2246)*(E2246=E$2:E2246)))))-COUNTBLANK(OFFSET(A$1,,,SUMPRODUCT(MAX(ROW(E$1:E2245)*(E2=E$1:E2245))))))</f>
        <v> </v>
      </c>
      <c r="K2246" s="26" t="str">
        <f>IF(OR(E2246="",E2246="!!!",F2246="NEW"),"",INDEX(J$1:J2245,SUMPRODUCT(MAX(ROW(E$1:E2245)*(E2246=E$1:E2245)))))</f>
        <v> </v>
      </c>
      <c r="L2246" s="27"/>
    </row>
    <row r="2247" spans="1:12">
      <c r="A2247" s="20" t="s">
        <v>1014</v>
      </c>
      <c r="E2247" s="22">
        <f>IF(D2247="?OLD","!!!","")</f>
        <v/>
      </c>
      <c r="F2247" s="23" t="str">
        <f>IF(OR(E2247="",E2247="!!!"),"",IF(NOT(ISNA(VLOOKUP(E2247,E$1:E2246,1,FALSE()))),"OLD",IF(AND(E2247&lt;&gt;"",E2247&lt;&gt;"!!!"),"NEW","")))</f>
        <v> </v>
      </c>
      <c r="G2247" s="24" t="str">
        <f>IF(OR(E2247="",E2247="!!!"),"",IF(OR(J2247=0,AND(J2247=1,K2247=1),AND(J2247=1,I2247="SBJ"),AND(J2247=1,I2247=0)),"?IN_FOCUS",IF(J2247&lt;=2,"?ACTIVATED",IF(J2247&lt;&gt;"","?FAMILIAR",IF(F2247="NEW",IF(ISNA(VLOOKUP(E2247,#REF!,1,FALSE())),"?TYPE_IDENTIFIABLE","?REFERENTIAL"),"_")))))</f>
        <v> </v>
      </c>
      <c r="H2247" s="25" t="str">
        <f>IF(J2247&lt;&gt;1,"",IF(I2247="SBJ","CB","?"))</f>
        <v> </v>
      </c>
      <c r="I2247" s="26" t="str">
        <f>IF(OR(E2247="",E2247="!!!",F2247="NEW"),"",INDEX(B2246:B$2,-1+SUMPRODUCT(MAX(ROW(E2246:E$2)*(E2247=E2246:E$2)))))</f>
        <v> </v>
      </c>
      <c r="J2247" s="26" t="str">
        <f>IF(OR(E2247="",E2247="!!!",F2247="NEW"),"",COUNTBLANK(OFFSET(A$1,,,SUMPRODUCT(MAX(ROW(E$2:E2247)*(E2247=E$2:E2247)))))-COUNTBLANK(OFFSET(A$1,,,SUMPRODUCT(MAX(ROW(E$1:E2246)*(E2=E$1:E2246))))))</f>
        <v> </v>
      </c>
      <c r="K2247" s="26" t="str">
        <f>IF(OR(E2247="",E2247="!!!",F2247="NEW"),"",INDEX(J$1:J2246,SUMPRODUCT(MAX(ROW(E$1:E2246)*(E2247=E$1:E2246)))))</f>
        <v> </v>
      </c>
      <c r="L2247" s="27"/>
    </row>
    <row r="2248" spans="1:12">
      <c r="A2248" s="20" t="s">
        <v>1324</v>
      </c>
      <c r="E2248" s="22">
        <f>IF(D2248="?OLD","!!!","")</f>
        <v/>
      </c>
      <c r="F2248" s="23" t="str">
        <f>IF(OR(E2248="",E2248="!!!"),"",IF(NOT(ISNA(VLOOKUP(E2248,E$1:E2247,1,FALSE()))),"OLD",IF(AND(E2248&lt;&gt;"",E2248&lt;&gt;"!!!"),"NEW","")))</f>
        <v> </v>
      </c>
      <c r="G2248" s="24" t="str">
        <f>IF(OR(E2248="",E2248="!!!"),"",IF(OR(J2248=0,AND(J2248=1,K2248=1),AND(J2248=1,I2248="SBJ"),AND(J2248=1,I2248=0)),"?IN_FOCUS",IF(J2248&lt;=2,"?ACTIVATED",IF(J2248&lt;&gt;"","?FAMILIAR",IF(F2248="NEW",IF(ISNA(VLOOKUP(E2248,#REF!,1,FALSE())),"?TYPE_IDENTIFIABLE","?REFERENTIAL"),"_")))))</f>
        <v> </v>
      </c>
      <c r="H2248" s="25" t="str">
        <f>IF(J2248&lt;&gt;1,"",IF(I2248="SBJ","CB","?"))</f>
        <v> </v>
      </c>
      <c r="I2248" s="26" t="str">
        <f>IF(OR(E2248="",E2248="!!!",F2248="NEW"),"",INDEX(B2247:B$2,-1+SUMPRODUCT(MAX(ROW(E2247:E$2)*(E2248=E2247:E$2)))))</f>
        <v> </v>
      </c>
      <c r="J2248" s="26" t="str">
        <f>IF(OR(E2248="",E2248="!!!",F2248="NEW"),"",COUNTBLANK(OFFSET(A$1,,,SUMPRODUCT(MAX(ROW(E$2:E2248)*(E2248=E$2:E2248)))))-COUNTBLANK(OFFSET(A$1,,,SUMPRODUCT(MAX(ROW(E$1:E2247)*(E2=E$1:E2247))))))</f>
        <v> </v>
      </c>
      <c r="K2248" s="26" t="str">
        <f>IF(OR(E2248="",E2248="!!!",F2248="NEW"),"",INDEX(J$1:J2247,SUMPRODUCT(MAX(ROW(E$1:E2247)*(E2248=E$1:E2247)))))</f>
        <v> </v>
      </c>
      <c r="L2248" s="27"/>
    </row>
    <row r="2249" spans="1:12">
      <c r="A2249" s="20" t="s">
        <v>1751</v>
      </c>
      <c r="B2249" s="21" t="s">
        <v>1130</v>
      </c>
      <c r="C2249" s="21" t="s">
        <v>1111</v>
      </c>
      <c r="E2249" s="22">
        <f>IF(D2249="?OLD","!!!","")</f>
        <v/>
      </c>
      <c r="F2249" s="23" t="str">
        <f>IF(OR(E2249="",E2249="!!!"),"",IF(NOT(ISNA(VLOOKUP(E2249,E$1:E2248,1,FALSE()))),"OLD",IF(AND(E2249&lt;&gt;"",E2249&lt;&gt;"!!!"),"NEW","")))</f>
        <v> </v>
      </c>
      <c r="G2249" s="24" t="str">
        <f>IF(OR(E2249="",E2249="!!!"),"",IF(OR(J2249=0,AND(J2249=1,K2249=1),AND(J2249=1,I2249="SBJ"),AND(J2249=1,I2249=0)),"?IN_FOCUS",IF(J2249&lt;=2,"?ACTIVATED",IF(J2249&lt;&gt;"","?FAMILIAR",IF(F2249="NEW",IF(ISNA(VLOOKUP(E2249,#REF!,1,FALSE())),"?TYPE_IDENTIFIABLE","?REFERENTIAL"),"_")))))</f>
        <v> </v>
      </c>
      <c r="H2249" s="25" t="str">
        <f>IF(J2249&lt;&gt;1,"",IF(I2249="SBJ","CB","?"))</f>
        <v> </v>
      </c>
      <c r="I2249" s="26" t="str">
        <f>IF(OR(E2249="",E2249="!!!",F2249="NEW"),"",INDEX(B2248:B$2,-1+SUMPRODUCT(MAX(ROW(E2248:E$2)*(E2249=E2248:E$2)))))</f>
        <v> </v>
      </c>
      <c r="J2249" s="26" t="str">
        <f>IF(OR(E2249="",E2249="!!!",F2249="NEW"),"",COUNTBLANK(OFFSET(A$1,,,SUMPRODUCT(MAX(ROW(E$2:E2249)*(E2249=E$2:E2249)))))-COUNTBLANK(OFFSET(A$1,,,SUMPRODUCT(MAX(ROW(E$1:E2248)*(E2=E$1:E2248))))))</f>
        <v> </v>
      </c>
      <c r="K2249" s="26" t="str">
        <f>IF(OR(E2249="",E2249="!!!",F2249="NEW"),"",INDEX(J$1:J2248,SUMPRODUCT(MAX(ROW(E$1:E2248)*(E2249=E$1:E2248)))))</f>
        <v> </v>
      </c>
      <c r="L2249" s="27"/>
    </row>
    <row r="2250" spans="1:12">
      <c r="A2250" s="20" t="s">
        <v>1018</v>
      </c>
      <c r="E2250" s="22">
        <f>IF(D2250="?OLD","!!!","")</f>
        <v/>
      </c>
      <c r="F2250" s="23" t="str">
        <f>IF(OR(E2250="",E2250="!!!"),"",IF(NOT(ISNA(VLOOKUP(E2250,E$1:E2249,1,FALSE()))),"OLD",IF(AND(E2250&lt;&gt;"",E2250&lt;&gt;"!!!"),"NEW","")))</f>
        <v> </v>
      </c>
      <c r="G2250" s="24" t="str">
        <f>IF(OR(E2250="",E2250="!!!"),"",IF(OR(J2250=0,AND(J2250=1,K2250=1),AND(J2250=1,I2250="SBJ"),AND(J2250=1,I2250=0)),"?IN_FOCUS",IF(J2250&lt;=2,"?ACTIVATED",IF(J2250&lt;&gt;"","?FAMILIAR",IF(F2250="NEW",IF(ISNA(VLOOKUP(E2250,#REF!,1,FALSE())),"?TYPE_IDENTIFIABLE","?REFERENTIAL"),"_")))))</f>
        <v> </v>
      </c>
      <c r="H2250" s="25" t="str">
        <f>IF(J2250&lt;&gt;1,"",IF(I2250="SBJ","CB","?"))</f>
        <v> </v>
      </c>
      <c r="I2250" s="26" t="str">
        <f>IF(OR(E2250="",E2250="!!!",F2250="NEW"),"",INDEX(B2249:B$2,-1+SUMPRODUCT(MAX(ROW(E2249:E$2)*(E2250=E2249:E$2)))))</f>
        <v> </v>
      </c>
      <c r="J2250" s="26" t="str">
        <f>IF(OR(E2250="",E2250="!!!",F2250="NEW"),"",COUNTBLANK(OFFSET(A$1,,,SUMPRODUCT(MAX(ROW(E$2:E2250)*(E2250=E$2:E2250)))))-COUNTBLANK(OFFSET(A$1,,,SUMPRODUCT(MAX(ROW(E$1:E2249)*(E2=E$1:E2249))))))</f>
        <v> </v>
      </c>
      <c r="K2250" s="26" t="str">
        <f>IF(OR(E2250="",E2250="!!!",F2250="NEW"),"",INDEX(J$1:J2249,SUMPRODUCT(MAX(ROW(E$1:E2249)*(E2250=E$1:E2249)))))</f>
        <v> </v>
      </c>
      <c r="L2250" s="27"/>
    </row>
    <row r="2251" spans="1:12">
      <c r="A2251" s="20" t="s">
        <v>56</v>
      </c>
      <c r="E2251" s="22">
        <f>IF(D2251="?OLD","!!!","")</f>
        <v/>
      </c>
      <c r="F2251" s="23" t="str">
        <f>IF(OR(E2251="",E2251="!!!"),"",IF(NOT(ISNA(VLOOKUP(E2251,E$1:E2250,1,FALSE()))),"OLD",IF(AND(E2251&lt;&gt;"",E2251&lt;&gt;"!!!"),"NEW","")))</f>
        <v> </v>
      </c>
      <c r="G2251" s="24" t="str">
        <f>IF(OR(E2251="",E2251="!!!"),"",IF(OR(J2251=0,AND(J2251=1,K2251=1),AND(J2251=1,I2251="SBJ"),AND(J2251=1,I2251=0)),"?IN_FOCUS",IF(J2251&lt;=2,"?ACTIVATED",IF(J2251&lt;&gt;"","?FAMILIAR",IF(F2251="NEW",IF(ISNA(VLOOKUP(E2251,#REF!,1,FALSE())),"?TYPE_IDENTIFIABLE","?REFERENTIAL"),"_")))))</f>
        <v> </v>
      </c>
      <c r="H2251" s="25" t="str">
        <f>IF(J2251&lt;&gt;1,"",IF(I2251="SBJ","CB","?"))</f>
        <v> </v>
      </c>
      <c r="I2251" s="26" t="str">
        <f>IF(OR(E2251="",E2251="!!!",F2251="NEW"),"",INDEX(B2250:B$2,-1+SUMPRODUCT(MAX(ROW(E2250:E$2)*(E2251=E2250:E$2)))))</f>
        <v> </v>
      </c>
      <c r="J2251" s="26" t="str">
        <f>IF(OR(E2251="",E2251="!!!",F2251="NEW"),"",COUNTBLANK(OFFSET(A$1,,,SUMPRODUCT(MAX(ROW(E$2:E2251)*(E2251=E$2:E2251)))))-COUNTBLANK(OFFSET(A$1,,,SUMPRODUCT(MAX(ROW(E$1:E2250)*(E2=E$1:E2250))))))</f>
        <v> </v>
      </c>
      <c r="K2251" s="26" t="str">
        <f>IF(OR(E2251="",E2251="!!!",F2251="NEW"),"",INDEX(J$1:J2250,SUMPRODUCT(MAX(ROW(E$1:E2250)*(E2251=E$1:E2250)))))</f>
        <v> </v>
      </c>
      <c r="L2251" s="27"/>
    </row>
    <row r="2252" spans="1:12">
      <c r="A2252" s="20" t="s">
        <v>1018</v>
      </c>
      <c r="E2252" s="22">
        <f>IF(D2252="?OLD","!!!","")</f>
        <v/>
      </c>
      <c r="F2252" s="23" t="str">
        <f>IF(OR(E2252="",E2252="!!!"),"",IF(NOT(ISNA(VLOOKUP(E2252,E$1:E2251,1,FALSE()))),"OLD",IF(AND(E2252&lt;&gt;"",E2252&lt;&gt;"!!!"),"NEW","")))</f>
        <v> </v>
      </c>
      <c r="G2252" s="24" t="str">
        <f>IF(OR(E2252="",E2252="!!!"),"",IF(OR(J2252=0,AND(J2252=1,K2252=1),AND(J2252=1,I2252="SBJ"),AND(J2252=1,I2252=0)),"?IN_FOCUS",IF(J2252&lt;=2,"?ACTIVATED",IF(J2252&lt;&gt;"","?FAMILIAR",IF(F2252="NEW",IF(ISNA(VLOOKUP(E2252,#REF!,1,FALSE())),"?TYPE_IDENTIFIABLE","?REFERENTIAL"),"_")))))</f>
        <v> </v>
      </c>
      <c r="H2252" s="25" t="str">
        <f>IF(J2252&lt;&gt;1,"",IF(I2252="SBJ","CB","?"))</f>
        <v> </v>
      </c>
      <c r="I2252" s="26" t="str">
        <f>IF(OR(E2252="",E2252="!!!",F2252="NEW"),"",INDEX(B2251:B$2,-1+SUMPRODUCT(MAX(ROW(E2251:E$2)*(E2252=E2251:E$2)))))</f>
        <v> </v>
      </c>
      <c r="J2252" s="26" t="str">
        <f>IF(OR(E2252="",E2252="!!!",F2252="NEW"),"",COUNTBLANK(OFFSET(A$1,,,SUMPRODUCT(MAX(ROW(E$2:E2252)*(E2252=E$2:E2252)))))-COUNTBLANK(OFFSET(A$1,,,SUMPRODUCT(MAX(ROW(E$1:E2251)*(E2=E$1:E2251))))))</f>
        <v> </v>
      </c>
      <c r="K2252" s="26" t="str">
        <f>IF(OR(E2252="",E2252="!!!",F2252="NEW"),"",INDEX(J$1:J2251,SUMPRODUCT(MAX(ROW(E$1:E2251)*(E2252=E$1:E2251)))))</f>
        <v> </v>
      </c>
      <c r="L2252" s="27"/>
    </row>
    <row r="2253" spans="1:12">
      <c r="A2253" s="20" t="s">
        <v>1114</v>
      </c>
      <c r="E2253" s="22">
        <f>IF(D2253="?OLD","!!!","")</f>
        <v/>
      </c>
      <c r="F2253" s="23" t="str">
        <f>IF(OR(E2253="",E2253="!!!"),"",IF(NOT(ISNA(VLOOKUP(E2253,E$1:E2252,1,FALSE()))),"OLD",IF(AND(E2253&lt;&gt;"",E2253&lt;&gt;"!!!"),"NEW","")))</f>
        <v> </v>
      </c>
      <c r="G2253" s="24" t="str">
        <f>IF(OR(E2253="",E2253="!!!"),"",IF(OR(J2253=0,AND(J2253=1,K2253=1),AND(J2253=1,I2253="SBJ"),AND(J2253=1,I2253=0)),"?IN_FOCUS",IF(J2253&lt;=2,"?ACTIVATED",IF(J2253&lt;&gt;"","?FAMILIAR",IF(F2253="NEW",IF(ISNA(VLOOKUP(E2253,#REF!,1,FALSE())),"?TYPE_IDENTIFIABLE","?REFERENTIAL"),"_")))))</f>
        <v> </v>
      </c>
      <c r="H2253" s="25" t="str">
        <f>IF(J2253&lt;&gt;1,"",IF(I2253="SBJ","CB","?"))</f>
        <v> </v>
      </c>
      <c r="I2253" s="26" t="str">
        <f>IF(OR(E2253="",E2253="!!!",F2253="NEW"),"",INDEX(B2252:B$2,-1+SUMPRODUCT(MAX(ROW(E2252:E$2)*(E2253=E2252:E$2)))))</f>
        <v> </v>
      </c>
      <c r="J2253" s="26" t="str">
        <f>IF(OR(E2253="",E2253="!!!",F2253="NEW"),"",COUNTBLANK(OFFSET(A$1,,,SUMPRODUCT(MAX(ROW(E$2:E2253)*(E2253=E$2:E2253)))))-COUNTBLANK(OFFSET(A$1,,,SUMPRODUCT(MAX(ROW(E$1:E2252)*(E2=E$1:E2252))))))</f>
        <v> </v>
      </c>
      <c r="K2253" s="26" t="str">
        <f>IF(OR(E2253="",E2253="!!!",F2253="NEW"),"",INDEX(J$1:J2252,SUMPRODUCT(MAX(ROW(E$1:E2252)*(E2253=E$1:E2252)))))</f>
        <v> </v>
      </c>
      <c r="L2253" s="27"/>
    </row>
    <row r="2254" spans="1:12">
      <c r="A2254" s="20" t="s">
        <v>1180</v>
      </c>
      <c r="B2254" s="21" t="s">
        <v>1437</v>
      </c>
      <c r="C2254" s="21" t="s">
        <v>1082</v>
      </c>
      <c r="D2254" s="21" t="s">
        <v>1007</v>
      </c>
      <c r="E2254" s="22">
        <f>IF(D2254="?OLD","!!!","")</f>
        <v/>
      </c>
      <c r="F2254" s="23" t="str">
        <f>IF(OR(E2254="",E2254="!!!"),"",IF(NOT(ISNA(VLOOKUP(E2254,E$1:E2253,1,FALSE()))),"OLD",IF(AND(E2254&lt;&gt;"",E2254&lt;&gt;"!!!"),"NEW","")))</f>
        <v> </v>
      </c>
      <c r="G2254" s="24" t="str">
        <f>IF(OR(E2254="",E2254="!!!"),"",IF(OR(J2254=0,AND(J2254=1,K2254=1),AND(J2254=1,I2254="SBJ"),AND(J2254=1,I2254=0)),"?IN_FOCUS",IF(J2254&lt;=2,"?ACTIVATED",IF(J2254&lt;&gt;"","?FAMILIAR",IF(F2254="NEW",IF(ISNA(VLOOKUP(E2254,#REF!,1,FALSE())),"?TYPE_IDENTIFIABLE","?REFERENTIAL"),"_")))))</f>
        <v> </v>
      </c>
      <c r="H2254" s="25" t="str">
        <f>IF(J2254&lt;&gt;1,"",IF(I2254="SBJ","CB","?"))</f>
        <v> </v>
      </c>
      <c r="I2254" s="26" t="str">
        <f>IF(OR(E2254="",E2254="!!!",F2254="NEW"),"",INDEX(B2253:B$2,-1+SUMPRODUCT(MAX(ROW(E2253:E$2)*(E2254=E2253:E$2)))))</f>
        <v> </v>
      </c>
      <c r="J2254" s="26" t="str">
        <f>IF(OR(E2254="",E2254="!!!",F2254="NEW"),"",COUNTBLANK(OFFSET(A$1,,,SUMPRODUCT(MAX(ROW(E$2:E2254)*(E2254=E$2:E2254)))))-COUNTBLANK(OFFSET(A$1,,,SUMPRODUCT(MAX(ROW(E$1:E2253)*(E2=E$1:E2253))))))</f>
        <v> </v>
      </c>
      <c r="K2254" s="26" t="str">
        <f>IF(OR(E2254="",E2254="!!!",F2254="NEW"),"",INDEX(J$1:J2253,SUMPRODUCT(MAX(ROW(E$1:E2253)*(E2254=E$1:E2253)))))</f>
        <v> </v>
      </c>
      <c r="L2254" s="27"/>
    </row>
    <row r="2255" spans="1:12">
      <c r="A2255" s="20" t="s">
        <v>1752</v>
      </c>
      <c r="E2255" s="22">
        <f>IF(D2255="?OLD","!!!","")</f>
        <v/>
      </c>
      <c r="F2255" s="23" t="str">
        <f>IF(OR(E2255="",E2255="!!!"),"",IF(NOT(ISNA(VLOOKUP(E2255,E$1:E2254,1,FALSE()))),"OLD",IF(AND(E2255&lt;&gt;"",E2255&lt;&gt;"!!!"),"NEW","")))</f>
        <v> </v>
      </c>
      <c r="G2255" s="24" t="str">
        <f>IF(OR(E2255="",E2255="!!!"),"",IF(OR(J2255=0,AND(J2255=1,K2255=1),AND(J2255=1,I2255="SBJ"),AND(J2255=1,I2255=0)),"?IN_FOCUS",IF(J2255&lt;=2,"?ACTIVATED",IF(J2255&lt;&gt;"","?FAMILIAR",IF(F2255="NEW",IF(ISNA(VLOOKUP(E2255,#REF!,1,FALSE())),"?TYPE_IDENTIFIABLE","?REFERENTIAL"),"_")))))</f>
        <v> </v>
      </c>
      <c r="H2255" s="25" t="str">
        <f>IF(J2255&lt;&gt;1,"",IF(I2255="SBJ","CB","?"))</f>
        <v> </v>
      </c>
      <c r="I2255" s="26" t="str">
        <f>IF(OR(E2255="",E2255="!!!",F2255="NEW"),"",INDEX(B2254:B$2,-1+SUMPRODUCT(MAX(ROW(E2254:E$2)*(E2255=E2254:E$2)))))</f>
        <v> </v>
      </c>
      <c r="J2255" s="26" t="str">
        <f>IF(OR(E2255="",E2255="!!!",F2255="NEW"),"",COUNTBLANK(OFFSET(A$1,,,SUMPRODUCT(MAX(ROW(E$2:E2255)*(E2255=E$2:E2255)))))-COUNTBLANK(OFFSET(A$1,,,SUMPRODUCT(MAX(ROW(E$1:E2254)*(E2=E$1:E2254))))))</f>
        <v> </v>
      </c>
      <c r="K2255" s="26" t="str">
        <f>IF(OR(E2255="",E2255="!!!",F2255="NEW"),"",INDEX(J$1:J2254,SUMPRODUCT(MAX(ROW(E$1:E2254)*(E2255=E$1:E2254)))))</f>
        <v> </v>
      </c>
      <c r="L2255" s="27"/>
    </row>
    <row r="2256" spans="1:12">
      <c r="A2256" s="20" t="s">
        <v>1018</v>
      </c>
      <c r="E2256" s="22">
        <f>IF(D2256="?OLD","!!!","")</f>
        <v/>
      </c>
      <c r="F2256" s="23" t="str">
        <f>IF(OR(E2256="",E2256="!!!"),"",IF(NOT(ISNA(VLOOKUP(E2256,E$1:E2255,1,FALSE()))),"OLD",IF(AND(E2256&lt;&gt;"",E2256&lt;&gt;"!!!"),"NEW","")))</f>
        <v> </v>
      </c>
      <c r="G2256" s="24" t="str">
        <f>IF(OR(E2256="",E2256="!!!"),"",IF(OR(J2256=0,AND(J2256=1,K2256=1),AND(J2256=1,I2256="SBJ"),AND(J2256=1,I2256=0)),"?IN_FOCUS",IF(J2256&lt;=2,"?ACTIVATED",IF(J2256&lt;&gt;"","?FAMILIAR",IF(F2256="NEW",IF(ISNA(VLOOKUP(E2256,#REF!,1,FALSE())),"?TYPE_IDENTIFIABLE","?REFERENTIAL"),"_")))))</f>
        <v> </v>
      </c>
      <c r="H2256" s="25" t="str">
        <f>IF(J2256&lt;&gt;1,"",IF(I2256="SBJ","CB","?"))</f>
        <v> </v>
      </c>
      <c r="I2256" s="26" t="str">
        <f>IF(OR(E2256="",E2256="!!!",F2256="NEW"),"",INDEX(B2255:B$2,-1+SUMPRODUCT(MAX(ROW(E2255:E$2)*(E2256=E2255:E$2)))))</f>
        <v> </v>
      </c>
      <c r="J2256" s="26" t="str">
        <f>IF(OR(E2256="",E2256="!!!",F2256="NEW"),"",COUNTBLANK(OFFSET(A$1,,,SUMPRODUCT(MAX(ROW(E$2:E2256)*(E2256=E$2:E2256)))))-COUNTBLANK(OFFSET(A$1,,,SUMPRODUCT(MAX(ROW(E$1:E2255)*(E2=E$1:E2255))))))</f>
        <v> </v>
      </c>
      <c r="K2256" s="26" t="str">
        <f>IF(OR(E2256="",E2256="!!!",F2256="NEW"),"",INDEX(J$1:J2255,SUMPRODUCT(MAX(ROW(E$1:E2255)*(E2256=E$1:E2255)))))</f>
        <v> </v>
      </c>
      <c r="L2256" s="27"/>
    </row>
    <row r="2257" spans="1:12">
      <c r="A2257" s="20" t="s">
        <v>1189</v>
      </c>
      <c r="E2257" s="22">
        <f>IF(D2257="?OLD","!!!","")</f>
        <v/>
      </c>
      <c r="F2257" s="23" t="str">
        <f>IF(OR(E2257="",E2257="!!!"),"",IF(NOT(ISNA(VLOOKUP(E2257,E$1:E2256,1,FALSE()))),"OLD",IF(AND(E2257&lt;&gt;"",E2257&lt;&gt;"!!!"),"NEW","")))</f>
        <v> </v>
      </c>
      <c r="G2257" s="24" t="str">
        <f>IF(OR(E2257="",E2257="!!!"),"",IF(OR(J2257=0,AND(J2257=1,K2257=1),AND(J2257=1,I2257="SBJ"),AND(J2257=1,I2257=0)),"?IN_FOCUS",IF(J2257&lt;=2,"?ACTIVATED",IF(J2257&lt;&gt;"","?FAMILIAR",IF(F2257="NEW",IF(ISNA(VLOOKUP(E2257,#REF!,1,FALSE())),"?TYPE_IDENTIFIABLE","?REFERENTIAL"),"_")))))</f>
        <v> </v>
      </c>
      <c r="H2257" s="25" t="str">
        <f>IF(J2257&lt;&gt;1,"",IF(I2257="SBJ","CB","?"))</f>
        <v> </v>
      </c>
      <c r="I2257" s="26" t="str">
        <f>IF(OR(E2257="",E2257="!!!",F2257="NEW"),"",INDEX(B2256:B$2,-1+SUMPRODUCT(MAX(ROW(E2256:E$2)*(E2257=E2256:E$2)))))</f>
        <v> </v>
      </c>
      <c r="J2257" s="26" t="str">
        <f>IF(OR(E2257="",E2257="!!!",F2257="NEW"),"",COUNTBLANK(OFFSET(A$1,,,SUMPRODUCT(MAX(ROW(E$2:E2257)*(E2257=E$2:E2257)))))-COUNTBLANK(OFFSET(A$1,,,SUMPRODUCT(MAX(ROW(E$1:E2256)*(E2=E$1:E2256))))))</f>
        <v> </v>
      </c>
      <c r="K2257" s="26" t="str">
        <f>IF(OR(E2257="",E2257="!!!",F2257="NEW"),"",INDEX(J$1:J2256,SUMPRODUCT(MAX(ROW(E$1:E2256)*(E2257=E$1:E2256)))))</f>
        <v> </v>
      </c>
      <c r="L2257" s="27"/>
    </row>
    <row r="2258" spans="1:12">
      <c r="A2258" s="20" t="s">
        <v>1753</v>
      </c>
      <c r="E2258" s="22">
        <f>IF(D2258="?OLD","!!!","")</f>
        <v/>
      </c>
      <c r="F2258" s="23" t="str">
        <f>IF(OR(E2258="",E2258="!!!"),"",IF(NOT(ISNA(VLOOKUP(E2258,E$1:E2257,1,FALSE()))),"OLD",IF(AND(E2258&lt;&gt;"",E2258&lt;&gt;"!!!"),"NEW","")))</f>
        <v> </v>
      </c>
      <c r="G2258" s="24" t="str">
        <f>IF(OR(E2258="",E2258="!!!"),"",IF(OR(J2258=0,AND(J2258=1,K2258=1),AND(J2258=1,I2258="SBJ"),AND(J2258=1,I2258=0)),"?IN_FOCUS",IF(J2258&lt;=2,"?ACTIVATED",IF(J2258&lt;&gt;"","?FAMILIAR",IF(F2258="NEW",IF(ISNA(VLOOKUP(E2258,#REF!,1,FALSE())),"?TYPE_IDENTIFIABLE","?REFERENTIAL"),"_")))))</f>
        <v> </v>
      </c>
      <c r="H2258" s="25" t="str">
        <f>IF(J2258&lt;&gt;1,"",IF(I2258="SBJ","CB","?"))</f>
        <v> </v>
      </c>
      <c r="I2258" s="26" t="str">
        <f>IF(OR(E2258="",E2258="!!!",F2258="NEW"),"",INDEX(B2257:B$2,-1+SUMPRODUCT(MAX(ROW(E2257:E$2)*(E2258=E2257:E$2)))))</f>
        <v> </v>
      </c>
      <c r="J2258" s="26" t="str">
        <f>IF(OR(E2258="",E2258="!!!",F2258="NEW"),"",COUNTBLANK(OFFSET(A$1,,,SUMPRODUCT(MAX(ROW(E$2:E2258)*(E2258=E$2:E2258)))))-COUNTBLANK(OFFSET(A$1,,,SUMPRODUCT(MAX(ROW(E$1:E2257)*(E2=E$1:E2257))))))</f>
        <v> </v>
      </c>
      <c r="K2258" s="26" t="str">
        <f>IF(OR(E2258="",E2258="!!!",F2258="NEW"),"",INDEX(J$1:J2257,SUMPRODUCT(MAX(ROW(E$1:E2257)*(E2258=E$1:E2257)))))</f>
        <v> </v>
      </c>
      <c r="L2258" s="27"/>
    </row>
    <row r="2259" spans="1:12">
      <c r="A2259" s="20" t="s">
        <v>1754</v>
      </c>
      <c r="B2259" s="21" t="s">
        <v>1251</v>
      </c>
      <c r="C2259" s="21" t="s">
        <v>1041</v>
      </c>
      <c r="D2259" s="21" t="s">
        <v>1007</v>
      </c>
      <c r="E2259" s="22">
        <f>IF(D2259="?OLD","!!!","")</f>
        <v/>
      </c>
      <c r="F2259" s="23" t="str">
        <f>IF(OR(E2259="",E2259="!!!"),"",IF(NOT(ISNA(VLOOKUP(E2259,E$1:E2258,1,FALSE()))),"OLD",IF(AND(E2259&lt;&gt;"",E2259&lt;&gt;"!!!"),"NEW","")))</f>
        <v> </v>
      </c>
      <c r="G2259" s="24" t="str">
        <f>IF(OR(E2259="",E2259="!!!"),"",IF(OR(J2259=0,AND(J2259=1,K2259=1),AND(J2259=1,I2259="SBJ"),AND(J2259=1,I2259=0)),"?IN_FOCUS",IF(J2259&lt;=2,"?ACTIVATED",IF(J2259&lt;&gt;"","?FAMILIAR",IF(F2259="NEW",IF(ISNA(VLOOKUP(E2259,#REF!,1,FALSE())),"?TYPE_IDENTIFIABLE","?REFERENTIAL"),"_")))))</f>
        <v> </v>
      </c>
      <c r="H2259" s="25" t="str">
        <f>IF(J2259&lt;&gt;1,"",IF(I2259="SBJ","CB","?"))</f>
        <v> </v>
      </c>
      <c r="I2259" s="26" t="str">
        <f>IF(OR(E2259="",E2259="!!!",F2259="NEW"),"",INDEX(B2258:B$2,-1+SUMPRODUCT(MAX(ROW(E2258:E$2)*(E2259=E2258:E$2)))))</f>
        <v> </v>
      </c>
      <c r="J2259" s="26" t="str">
        <f>IF(OR(E2259="",E2259="!!!",F2259="NEW"),"",COUNTBLANK(OFFSET(A$1,,,SUMPRODUCT(MAX(ROW(E$2:E2259)*(E2259=E$2:E2259)))))-COUNTBLANK(OFFSET(A$1,,,SUMPRODUCT(MAX(ROW(E$1:E2258)*(E2=E$1:E2258))))))</f>
        <v> </v>
      </c>
      <c r="K2259" s="26" t="str">
        <f>IF(OR(E2259="",E2259="!!!",F2259="NEW"),"",INDEX(J$1:J2258,SUMPRODUCT(MAX(ROW(E$1:E2258)*(E2259=E$1:E2258)))))</f>
        <v> </v>
      </c>
      <c r="L2259" s="27"/>
    </row>
    <row r="2260" spans="1:12">
      <c r="A2260" s="20" t="s">
        <v>1755</v>
      </c>
      <c r="E2260" s="22">
        <f>IF(D2260="?OLD","!!!","")</f>
        <v/>
      </c>
      <c r="F2260" s="23" t="str">
        <f>IF(OR(E2260="",E2260="!!!"),"",IF(NOT(ISNA(VLOOKUP(E2260,E$1:E2259,1,FALSE()))),"OLD",IF(AND(E2260&lt;&gt;"",E2260&lt;&gt;"!!!"),"NEW","")))</f>
        <v> </v>
      </c>
      <c r="G2260" s="24" t="str">
        <f>IF(OR(E2260="",E2260="!!!"),"",IF(OR(J2260=0,AND(J2260=1,K2260=1),AND(J2260=1,I2260="SBJ"),AND(J2260=1,I2260=0)),"?IN_FOCUS",IF(J2260&lt;=2,"?ACTIVATED",IF(J2260&lt;&gt;"","?FAMILIAR",IF(F2260="NEW",IF(ISNA(VLOOKUP(E2260,#REF!,1,FALSE())),"?TYPE_IDENTIFIABLE","?REFERENTIAL"),"_")))))</f>
        <v> </v>
      </c>
      <c r="H2260" s="25" t="str">
        <f>IF(J2260&lt;&gt;1,"",IF(I2260="SBJ","CB","?"))</f>
        <v> </v>
      </c>
      <c r="I2260" s="26" t="str">
        <f>IF(OR(E2260="",E2260="!!!",F2260="NEW"),"",INDEX(B2259:B$2,-1+SUMPRODUCT(MAX(ROW(E2259:E$2)*(E2260=E2259:E$2)))))</f>
        <v> </v>
      </c>
      <c r="J2260" s="26" t="str">
        <f>IF(OR(E2260="",E2260="!!!",F2260="NEW"),"",COUNTBLANK(OFFSET(A$1,,,SUMPRODUCT(MAX(ROW(E$2:E2260)*(E2260=E$2:E2260)))))-COUNTBLANK(OFFSET(A$1,,,SUMPRODUCT(MAX(ROW(E$1:E2259)*(E2=E$1:E2259))))))</f>
        <v> </v>
      </c>
      <c r="K2260" s="26" t="str">
        <f>IF(OR(E2260="",E2260="!!!",F2260="NEW"),"",INDEX(J$1:J2259,SUMPRODUCT(MAX(ROW(E$1:E2259)*(E2260=E$1:E2259)))))</f>
        <v> </v>
      </c>
      <c r="L2260" s="27"/>
    </row>
    <row r="2261" spans="1:12">
      <c r="A2261" s="20" t="s">
        <v>1014</v>
      </c>
      <c r="E2261" s="22">
        <f>IF(D2261="?OLD","!!!","")</f>
        <v/>
      </c>
      <c r="F2261" s="23" t="str">
        <f>IF(OR(E2261="",E2261="!!!"),"",IF(NOT(ISNA(VLOOKUP(E2261,E$1:E2260,1,FALSE()))),"OLD",IF(AND(E2261&lt;&gt;"",E2261&lt;&gt;"!!!"),"NEW","")))</f>
        <v> </v>
      </c>
      <c r="G2261" s="24" t="str">
        <f>IF(OR(E2261="",E2261="!!!"),"",IF(OR(J2261=0,AND(J2261=1,K2261=1),AND(J2261=1,I2261="SBJ"),AND(J2261=1,I2261=0)),"?IN_FOCUS",IF(J2261&lt;=2,"?ACTIVATED",IF(J2261&lt;&gt;"","?FAMILIAR",IF(F2261="NEW",IF(ISNA(VLOOKUP(E2261,#REF!,1,FALSE())),"?TYPE_IDENTIFIABLE","?REFERENTIAL"),"_")))))</f>
        <v> </v>
      </c>
      <c r="H2261" s="25" t="str">
        <f>IF(J2261&lt;&gt;1,"",IF(I2261="SBJ","CB","?"))</f>
        <v> </v>
      </c>
      <c r="I2261" s="26" t="str">
        <f>IF(OR(E2261="",E2261="!!!",F2261="NEW"),"",INDEX(B2260:B$2,-1+SUMPRODUCT(MAX(ROW(E2260:E$2)*(E2261=E2260:E$2)))))</f>
        <v> </v>
      </c>
      <c r="J2261" s="26" t="str">
        <f>IF(OR(E2261="",E2261="!!!",F2261="NEW"),"",COUNTBLANK(OFFSET(A$1,,,SUMPRODUCT(MAX(ROW(E$2:E2261)*(E2261=E$2:E2261)))))-COUNTBLANK(OFFSET(A$1,,,SUMPRODUCT(MAX(ROW(E$1:E2260)*(E2=E$1:E2260))))))</f>
        <v> </v>
      </c>
      <c r="K2261" s="26" t="str">
        <f>IF(OR(E2261="",E2261="!!!",F2261="NEW"),"",INDEX(J$1:J2260,SUMPRODUCT(MAX(ROW(E$1:E2260)*(E2261=E$1:E2260)))))</f>
        <v> </v>
      </c>
      <c r="L2261" s="27"/>
    </row>
    <row r="2262" spans="1:12">
      <c r="A2262" s="20" t="s">
        <v>1020</v>
      </c>
      <c r="E2262" s="22">
        <f>IF(D2262="?OLD","!!!","")</f>
        <v/>
      </c>
      <c r="F2262" s="23" t="str">
        <f>IF(OR(E2262="",E2262="!!!"),"",IF(NOT(ISNA(VLOOKUP(E2262,E$1:E2261,1,FALSE()))),"OLD",IF(AND(E2262&lt;&gt;"",E2262&lt;&gt;"!!!"),"NEW","")))</f>
        <v> </v>
      </c>
      <c r="G2262" s="24" t="str">
        <f>IF(OR(E2262="",E2262="!!!"),"",IF(OR(J2262=0,AND(J2262=1,K2262=1),AND(J2262=1,I2262="SBJ"),AND(J2262=1,I2262=0)),"?IN_FOCUS",IF(J2262&lt;=2,"?ACTIVATED",IF(J2262&lt;&gt;"","?FAMILIAR",IF(F2262="NEW",IF(ISNA(VLOOKUP(E2262,#REF!,1,FALSE())),"?TYPE_IDENTIFIABLE","?REFERENTIAL"),"_")))))</f>
        <v> </v>
      </c>
      <c r="H2262" s="25" t="str">
        <f>IF(J2262&lt;&gt;1,"",IF(I2262="SBJ","CB","?"))</f>
        <v> </v>
      </c>
      <c r="I2262" s="26" t="str">
        <f>IF(OR(E2262="",E2262="!!!",F2262="NEW"),"",INDEX(B2261:B$2,-1+SUMPRODUCT(MAX(ROW(E2261:E$2)*(E2262=E2261:E$2)))))</f>
        <v> </v>
      </c>
      <c r="J2262" s="26" t="str">
        <f>IF(OR(E2262="",E2262="!!!",F2262="NEW"),"",COUNTBLANK(OFFSET(A$1,,,SUMPRODUCT(MAX(ROW(E$2:E2262)*(E2262=E$2:E2262)))))-COUNTBLANK(OFFSET(A$1,,,SUMPRODUCT(MAX(ROW(E$1:E2261)*(E2=E$1:E2261))))))</f>
        <v> </v>
      </c>
      <c r="K2262" s="26" t="str">
        <f>IF(OR(E2262="",E2262="!!!",F2262="NEW"),"",INDEX(J$1:J2261,SUMPRODUCT(MAX(ROW(E$1:E2261)*(E2262=E$1:E2261)))))</f>
        <v> </v>
      </c>
      <c r="L2262" s="27"/>
    </row>
    <row r="2263" spans="1:12">
      <c r="A2263" s="20" t="s">
        <v>1638</v>
      </c>
      <c r="B2263" s="21" t="s">
        <v>1042</v>
      </c>
      <c r="C2263" s="21" t="s">
        <v>1006</v>
      </c>
      <c r="D2263" s="21" t="s">
        <v>1007</v>
      </c>
      <c r="E2263" s="22">
        <f>IF(D2263="?OLD","!!!","")</f>
        <v/>
      </c>
      <c r="F2263" s="23" t="str">
        <f>IF(OR(E2263="",E2263="!!!"),"",IF(NOT(ISNA(VLOOKUP(E2263,E$1:E2262,1,FALSE()))),"OLD",IF(AND(E2263&lt;&gt;"",E2263&lt;&gt;"!!!"),"NEW","")))</f>
        <v> </v>
      </c>
      <c r="G2263" s="24" t="str">
        <f>IF(OR(E2263="",E2263="!!!"),"",IF(OR(J2263=0,AND(J2263=1,K2263=1),AND(J2263=1,I2263="SBJ"),AND(J2263=1,I2263=0)),"?IN_FOCUS",IF(J2263&lt;=2,"?ACTIVATED",IF(J2263&lt;&gt;"","?FAMILIAR",IF(F2263="NEW",IF(ISNA(VLOOKUP(E2263,#REF!,1,FALSE())),"?TYPE_IDENTIFIABLE","?REFERENTIAL"),"_")))))</f>
        <v> </v>
      </c>
      <c r="H2263" s="25" t="str">
        <f>IF(J2263&lt;&gt;1,"",IF(I2263="SBJ","CB","?"))</f>
        <v> </v>
      </c>
      <c r="I2263" s="26" t="str">
        <f>IF(OR(E2263="",E2263="!!!",F2263="NEW"),"",INDEX(B2262:B$2,-1+SUMPRODUCT(MAX(ROW(E2262:E$2)*(E2263=E2262:E$2)))))</f>
        <v> </v>
      </c>
      <c r="J2263" s="26" t="str">
        <f>IF(OR(E2263="",E2263="!!!",F2263="NEW"),"",COUNTBLANK(OFFSET(A$1,,,SUMPRODUCT(MAX(ROW(E$2:E2263)*(E2263=E$2:E2263)))))-COUNTBLANK(OFFSET(A$1,,,SUMPRODUCT(MAX(ROW(E$1:E2262)*(E2=E$1:E2262))))))</f>
        <v> </v>
      </c>
      <c r="K2263" s="26" t="str">
        <f>IF(OR(E2263="",E2263="!!!",F2263="NEW"),"",INDEX(J$1:J2262,SUMPRODUCT(MAX(ROW(E$1:E2262)*(E2263=E$1:E2262)))))</f>
        <v> </v>
      </c>
      <c r="L2263" s="27"/>
    </row>
    <row r="2264" spans="1:12">
      <c r="A2264" s="20" t="s">
        <v>1189</v>
      </c>
      <c r="E2264" s="22">
        <f>IF(D2264="?OLD","!!!","")</f>
        <v/>
      </c>
      <c r="F2264" s="23" t="str">
        <f>IF(OR(E2264="",E2264="!!!"),"",IF(NOT(ISNA(VLOOKUP(E2264,E$1:E2263,1,FALSE()))),"OLD",IF(AND(E2264&lt;&gt;"",E2264&lt;&gt;"!!!"),"NEW","")))</f>
        <v> </v>
      </c>
      <c r="G2264" s="24" t="str">
        <f>IF(OR(E2264="",E2264="!!!"),"",IF(OR(J2264=0,AND(J2264=1,K2264=1),AND(J2264=1,I2264="SBJ"),AND(J2264=1,I2264=0)),"?IN_FOCUS",IF(J2264&lt;=2,"?ACTIVATED",IF(J2264&lt;&gt;"","?FAMILIAR",IF(F2264="NEW",IF(ISNA(VLOOKUP(E2264,#REF!,1,FALSE())),"?TYPE_IDENTIFIABLE","?REFERENTIAL"),"_")))))</f>
        <v> </v>
      </c>
      <c r="H2264" s="25" t="str">
        <f>IF(J2264&lt;&gt;1,"",IF(I2264="SBJ","CB","?"))</f>
        <v> </v>
      </c>
      <c r="I2264" s="26" t="str">
        <f>IF(OR(E2264="",E2264="!!!",F2264="NEW"),"",INDEX(B2263:B$2,-1+SUMPRODUCT(MAX(ROW(E2263:E$2)*(E2264=E2263:E$2)))))</f>
        <v> </v>
      </c>
      <c r="J2264" s="26" t="str">
        <f>IF(OR(E2264="",E2264="!!!",F2264="NEW"),"",COUNTBLANK(OFFSET(A$1,,,SUMPRODUCT(MAX(ROW(E$2:E2264)*(E2264=E$2:E2264)))))-COUNTBLANK(OFFSET(A$1,,,SUMPRODUCT(MAX(ROW(E$1:E2263)*(E2=E$1:E2263))))))</f>
        <v> </v>
      </c>
      <c r="K2264" s="26" t="str">
        <f>IF(OR(E2264="",E2264="!!!",F2264="NEW"),"",INDEX(J$1:J2263,SUMPRODUCT(MAX(ROW(E$1:E2263)*(E2264=E$1:E2263)))))</f>
        <v> </v>
      </c>
      <c r="L2264" s="27"/>
    </row>
    <row r="2265" spans="1:12">
      <c r="A2265" s="20" t="s">
        <v>1018</v>
      </c>
      <c r="E2265" s="22">
        <f>IF(D2265="?OLD","!!!","")</f>
        <v/>
      </c>
      <c r="F2265" s="23" t="str">
        <f>IF(OR(E2265="",E2265="!!!"),"",IF(NOT(ISNA(VLOOKUP(E2265,E$1:E2264,1,FALSE()))),"OLD",IF(AND(E2265&lt;&gt;"",E2265&lt;&gt;"!!!"),"NEW","")))</f>
        <v> </v>
      </c>
      <c r="G2265" s="24" t="str">
        <f>IF(OR(E2265="",E2265="!!!"),"",IF(OR(J2265=0,AND(J2265=1,K2265=1),AND(J2265=1,I2265="SBJ"),AND(J2265=1,I2265=0)),"?IN_FOCUS",IF(J2265&lt;=2,"?ACTIVATED",IF(J2265&lt;&gt;"","?FAMILIAR",IF(F2265="NEW",IF(ISNA(VLOOKUP(E2265,#REF!,1,FALSE())),"?TYPE_IDENTIFIABLE","?REFERENTIAL"),"_")))))</f>
        <v> </v>
      </c>
      <c r="H2265" s="25" t="str">
        <f>IF(J2265&lt;&gt;1,"",IF(I2265="SBJ","CB","?"))</f>
        <v> </v>
      </c>
      <c r="I2265" s="26" t="str">
        <f>IF(OR(E2265="",E2265="!!!",F2265="NEW"),"",INDEX(B2264:B$2,-1+SUMPRODUCT(MAX(ROW(E2264:E$2)*(E2265=E2264:E$2)))))</f>
        <v> </v>
      </c>
      <c r="J2265" s="26" t="str">
        <f>IF(OR(E2265="",E2265="!!!",F2265="NEW"),"",COUNTBLANK(OFFSET(A$1,,,SUMPRODUCT(MAX(ROW(E$2:E2265)*(E2265=E$2:E2265)))))-COUNTBLANK(OFFSET(A$1,,,SUMPRODUCT(MAX(ROW(E$1:E2264)*(E2=E$1:E2264))))))</f>
        <v> </v>
      </c>
      <c r="K2265" s="26" t="str">
        <f>IF(OR(E2265="",E2265="!!!",F2265="NEW"),"",INDEX(J$1:J2264,SUMPRODUCT(MAX(ROW(E$1:E2264)*(E2265=E$1:E2264)))))</f>
        <v> </v>
      </c>
      <c r="L2265" s="27"/>
    </row>
    <row r="2266" spans="1:12">
      <c r="A2266" s="20" t="s">
        <v>1157</v>
      </c>
      <c r="E2266" s="22">
        <f>IF(D2266="?OLD","!!!","")</f>
        <v/>
      </c>
      <c r="F2266" s="23" t="str">
        <f>IF(OR(E2266="",E2266="!!!"),"",IF(NOT(ISNA(VLOOKUP(E2266,E$1:E2265,1,FALSE()))),"OLD",IF(AND(E2266&lt;&gt;"",E2266&lt;&gt;"!!!"),"NEW","")))</f>
        <v> </v>
      </c>
      <c r="G2266" s="24" t="str">
        <f>IF(OR(E2266="",E2266="!!!"),"",IF(OR(J2266=0,AND(J2266=1,K2266=1),AND(J2266=1,I2266="SBJ"),AND(J2266=1,I2266=0)),"?IN_FOCUS",IF(J2266&lt;=2,"?ACTIVATED",IF(J2266&lt;&gt;"","?FAMILIAR",IF(F2266="NEW",IF(ISNA(VLOOKUP(E2266,#REF!,1,FALSE())),"?TYPE_IDENTIFIABLE","?REFERENTIAL"),"_")))))</f>
        <v> </v>
      </c>
      <c r="H2266" s="25" t="str">
        <f>IF(J2266&lt;&gt;1,"",IF(I2266="SBJ","CB","?"))</f>
        <v> </v>
      </c>
      <c r="I2266" s="26" t="str">
        <f>IF(OR(E2266="",E2266="!!!",F2266="NEW"),"",INDEX(B2265:B$2,-1+SUMPRODUCT(MAX(ROW(E2265:E$2)*(E2266=E2265:E$2)))))</f>
        <v> </v>
      </c>
      <c r="J2266" s="26" t="str">
        <f>IF(OR(E2266="",E2266="!!!",F2266="NEW"),"",COUNTBLANK(OFFSET(A$1,,,SUMPRODUCT(MAX(ROW(E$2:E2266)*(E2266=E$2:E2266)))))-COUNTBLANK(OFFSET(A$1,,,SUMPRODUCT(MAX(ROW(E$1:E2265)*(E2=E$1:E2265))))))</f>
        <v> </v>
      </c>
      <c r="K2266" s="26" t="str">
        <f>IF(OR(E2266="",E2266="!!!",F2266="NEW"),"",INDEX(J$1:J2265,SUMPRODUCT(MAX(ROW(E$1:E2265)*(E2266=E$1:E2265)))))</f>
        <v> </v>
      </c>
      <c r="L2266" s="27"/>
    </row>
    <row r="2267" spans="1:12">
      <c r="A2267" s="20" t="s">
        <v>93</v>
      </c>
      <c r="E2267" s="22">
        <f>IF(D2267="?OLD","!!!","")</f>
        <v/>
      </c>
      <c r="F2267" s="23" t="str">
        <f>IF(OR(E2267="",E2267="!!!"),"",IF(NOT(ISNA(VLOOKUP(E2267,E$1:E2266,1,FALSE()))),"OLD",IF(AND(E2267&lt;&gt;"",E2267&lt;&gt;"!!!"),"NEW","")))</f>
        <v> </v>
      </c>
      <c r="G2267" s="24" t="str">
        <f>IF(OR(E2267="",E2267="!!!"),"",IF(OR(J2267=0,AND(J2267=1,K2267=1),AND(J2267=1,I2267="SBJ"),AND(J2267=1,I2267=0)),"?IN_FOCUS",IF(J2267&lt;=2,"?ACTIVATED",IF(J2267&lt;&gt;"","?FAMILIAR",IF(F2267="NEW",IF(ISNA(VLOOKUP(E2267,#REF!,1,FALSE())),"?TYPE_IDENTIFIABLE","?REFERENTIAL"),"_")))))</f>
        <v> </v>
      </c>
      <c r="H2267" s="25" t="str">
        <f>IF(J2267&lt;&gt;1,"",IF(I2267="SBJ","CB","?"))</f>
        <v> </v>
      </c>
      <c r="I2267" s="26" t="str">
        <f>IF(OR(E2267="",E2267="!!!",F2267="NEW"),"",INDEX(B2266:B$2,-1+SUMPRODUCT(MAX(ROW(E2266:E$2)*(E2267=E2266:E$2)))))</f>
        <v> </v>
      </c>
      <c r="J2267" s="26" t="str">
        <f>IF(OR(E2267="",E2267="!!!",F2267="NEW"),"",COUNTBLANK(OFFSET(A$1,,,SUMPRODUCT(MAX(ROW(E$2:E2267)*(E2267=E$2:E2267)))))-COUNTBLANK(OFFSET(A$1,,,SUMPRODUCT(MAX(ROW(E$1:E2266)*(E2=E$1:E2266))))))</f>
        <v> </v>
      </c>
      <c r="K2267" s="26" t="str">
        <f>IF(OR(E2267="",E2267="!!!",F2267="NEW"),"",INDEX(J$1:J2266,SUMPRODUCT(MAX(ROW(E$1:E2266)*(E2267=E$1:E2266)))))</f>
        <v> </v>
      </c>
      <c r="L2267" s="27"/>
    </row>
    <row r="2268" spans="1:12">
      <c r="A2268" s="20" t="s">
        <v>1020</v>
      </c>
      <c r="E2268" s="22">
        <f>IF(D2268="?OLD","!!!","")</f>
        <v/>
      </c>
      <c r="F2268" s="23" t="str">
        <f>IF(OR(E2268="",E2268="!!!"),"",IF(NOT(ISNA(VLOOKUP(E2268,E$1:E2267,1,FALSE()))),"OLD",IF(AND(E2268&lt;&gt;"",E2268&lt;&gt;"!!!"),"NEW","")))</f>
        <v> </v>
      </c>
      <c r="G2268" s="24" t="str">
        <f>IF(OR(E2268="",E2268="!!!"),"",IF(OR(J2268=0,AND(J2268=1,K2268=1),AND(J2268=1,I2268="SBJ"),AND(J2268=1,I2268=0)),"?IN_FOCUS",IF(J2268&lt;=2,"?ACTIVATED",IF(J2268&lt;&gt;"","?FAMILIAR",IF(F2268="NEW",IF(ISNA(VLOOKUP(E2268,#REF!,1,FALSE())),"?TYPE_IDENTIFIABLE","?REFERENTIAL"),"_")))))</f>
        <v> </v>
      </c>
      <c r="H2268" s="25" t="str">
        <f>IF(J2268&lt;&gt;1,"",IF(I2268="SBJ","CB","?"))</f>
        <v> </v>
      </c>
      <c r="I2268" s="26" t="str">
        <f>IF(OR(E2268="",E2268="!!!",F2268="NEW"),"",INDEX(B2267:B$2,-1+SUMPRODUCT(MAX(ROW(E2267:E$2)*(E2268=E2267:E$2)))))</f>
        <v> </v>
      </c>
      <c r="J2268" s="26" t="str">
        <f>IF(OR(E2268="",E2268="!!!",F2268="NEW"),"",COUNTBLANK(OFFSET(A$1,,,SUMPRODUCT(MAX(ROW(E$2:E2268)*(E2268=E$2:E2268)))))-COUNTBLANK(OFFSET(A$1,,,SUMPRODUCT(MAX(ROW(E$1:E2267)*(E2=E$1:E2267))))))</f>
        <v> </v>
      </c>
      <c r="K2268" s="26" t="str">
        <f>IF(OR(E2268="",E2268="!!!",F2268="NEW"),"",INDEX(J$1:J2267,SUMPRODUCT(MAX(ROW(E$1:E2267)*(E2268=E$1:E2267)))))</f>
        <v> </v>
      </c>
      <c r="L2268" s="27"/>
    </row>
    <row r="2269" spans="1:12">
      <c r="A2269" s="20" t="s">
        <v>102</v>
      </c>
      <c r="E2269" s="22">
        <f>IF(D2269="?OLD","!!!","")</f>
        <v/>
      </c>
      <c r="F2269" s="23" t="str">
        <f>IF(OR(E2269="",E2269="!!!"),"",IF(NOT(ISNA(VLOOKUP(E2269,E$1:E2268,1,FALSE()))),"OLD",IF(AND(E2269&lt;&gt;"",E2269&lt;&gt;"!!!"),"NEW","")))</f>
        <v> </v>
      </c>
      <c r="G2269" s="24" t="str">
        <f>IF(OR(E2269="",E2269="!!!"),"",IF(OR(J2269=0,AND(J2269=1,K2269=1),AND(J2269=1,I2269="SBJ"),AND(J2269=1,I2269=0)),"?IN_FOCUS",IF(J2269&lt;=2,"?ACTIVATED",IF(J2269&lt;&gt;"","?FAMILIAR",IF(F2269="NEW",IF(ISNA(VLOOKUP(E2269,#REF!,1,FALSE())),"?TYPE_IDENTIFIABLE","?REFERENTIAL"),"_")))))</f>
        <v> </v>
      </c>
      <c r="H2269" s="25" t="str">
        <f>IF(J2269&lt;&gt;1,"",IF(I2269="SBJ","CB","?"))</f>
        <v> </v>
      </c>
      <c r="I2269" s="26" t="str">
        <f>IF(OR(E2269="",E2269="!!!",F2269="NEW"),"",INDEX(B2268:B$2,-1+SUMPRODUCT(MAX(ROW(E2268:E$2)*(E2269=E2268:E$2)))))</f>
        <v> </v>
      </c>
      <c r="J2269" s="26" t="str">
        <f>IF(OR(E2269="",E2269="!!!",F2269="NEW"),"",COUNTBLANK(OFFSET(A$1,,,SUMPRODUCT(MAX(ROW(E$2:E2269)*(E2269=E$2:E2269)))))-COUNTBLANK(OFFSET(A$1,,,SUMPRODUCT(MAX(ROW(E$1:E2268)*(E2=E$1:E2268))))))</f>
        <v> </v>
      </c>
      <c r="K2269" s="26" t="str">
        <f>IF(OR(E2269="",E2269="!!!",F2269="NEW"),"",INDEX(J$1:J2268,SUMPRODUCT(MAX(ROW(E$1:E2268)*(E2269=E$1:E2268)))))</f>
        <v> </v>
      </c>
      <c r="L2269" s="27"/>
    </row>
    <row r="2270" spans="1:12">
      <c r="A2270" s="20" t="s">
        <v>576</v>
      </c>
      <c r="B2270" s="21" t="s">
        <v>1035</v>
      </c>
      <c r="C2270" s="21" t="s">
        <v>1017</v>
      </c>
      <c r="D2270" s="21" t="s">
        <v>1007</v>
      </c>
      <c r="E2270" s="22">
        <f>IF(D2270="?OLD","!!!","")</f>
        <v/>
      </c>
      <c r="F2270" s="23" t="str">
        <f>IF(OR(E2270="",E2270="!!!"),"",IF(NOT(ISNA(VLOOKUP(E2270,E$1:E2269,1,FALSE()))),"OLD",IF(AND(E2270&lt;&gt;"",E2270&lt;&gt;"!!!"),"NEW","")))</f>
        <v> </v>
      </c>
      <c r="G2270" s="24" t="str">
        <f>IF(OR(E2270="",E2270="!!!"),"",IF(OR(J2270=0,AND(J2270=1,K2270=1),AND(J2270=1,I2270="SBJ"),AND(J2270=1,I2270=0)),"?IN_FOCUS",IF(J2270&lt;=2,"?ACTIVATED",IF(J2270&lt;&gt;"","?FAMILIAR",IF(F2270="NEW",IF(ISNA(VLOOKUP(E2270,#REF!,1,FALSE())),"?TYPE_IDENTIFIABLE","?REFERENTIAL"),"_")))))</f>
        <v> </v>
      </c>
      <c r="H2270" s="25" t="str">
        <f>IF(J2270&lt;&gt;1,"",IF(I2270="SBJ","CB","?"))</f>
        <v> </v>
      </c>
      <c r="I2270" s="26" t="str">
        <f>IF(OR(E2270="",E2270="!!!",F2270="NEW"),"",INDEX(B2269:B$2,-1+SUMPRODUCT(MAX(ROW(E2269:E$2)*(E2270=E2269:E$2)))))</f>
        <v> </v>
      </c>
      <c r="J2270" s="26" t="str">
        <f>IF(OR(E2270="",E2270="!!!",F2270="NEW"),"",COUNTBLANK(OFFSET(A$1,,,SUMPRODUCT(MAX(ROW(E$2:E2270)*(E2270=E$2:E2270)))))-COUNTBLANK(OFFSET(A$1,,,SUMPRODUCT(MAX(ROW(E$1:E2269)*(E2=E$1:E2269))))))</f>
        <v> </v>
      </c>
      <c r="K2270" s="26" t="str">
        <f>IF(OR(E2270="",E2270="!!!",F2270="NEW"),"",INDEX(J$1:J2269,SUMPRODUCT(MAX(ROW(E$1:E2269)*(E2270=E$1:E2269)))))</f>
        <v> </v>
      </c>
      <c r="L2270" s="27"/>
    </row>
    <row r="2271" spans="1:12">
      <c r="A2271" s="20" t="s">
        <v>1727</v>
      </c>
      <c r="B2271" s="21" t="s">
        <v>1120</v>
      </c>
      <c r="C2271" s="21" t="s">
        <v>1086</v>
      </c>
      <c r="E2271" s="22">
        <f>IF(D2271="?OLD","!!!","")</f>
        <v/>
      </c>
      <c r="F2271" s="23" t="str">
        <f>IF(OR(E2271="",E2271="!!!"),"",IF(NOT(ISNA(VLOOKUP(E2271,E$1:E2270,1,FALSE()))),"OLD",IF(AND(E2271&lt;&gt;"",E2271&lt;&gt;"!!!"),"NEW","")))</f>
        <v> </v>
      </c>
      <c r="G2271" s="24" t="str">
        <f>IF(OR(E2271="",E2271="!!!"),"",IF(OR(J2271=0,AND(J2271=1,K2271=1),AND(J2271=1,I2271="SBJ"),AND(J2271=1,I2271=0)),"?IN_FOCUS",IF(J2271&lt;=2,"?ACTIVATED",IF(J2271&lt;&gt;"","?FAMILIAR",IF(F2271="NEW",IF(ISNA(VLOOKUP(E2271,#REF!,1,FALSE())),"?TYPE_IDENTIFIABLE","?REFERENTIAL"),"_")))))</f>
        <v> </v>
      </c>
      <c r="H2271" s="25" t="str">
        <f>IF(J2271&lt;&gt;1,"",IF(I2271="SBJ","CB","?"))</f>
        <v> </v>
      </c>
      <c r="I2271" s="26" t="str">
        <f>IF(OR(E2271="",E2271="!!!",F2271="NEW"),"",INDEX(B2270:B$2,-1+SUMPRODUCT(MAX(ROW(E2270:E$2)*(E2271=E2270:E$2)))))</f>
        <v> </v>
      </c>
      <c r="J2271" s="26" t="str">
        <f>IF(OR(E2271="",E2271="!!!",F2271="NEW"),"",COUNTBLANK(OFFSET(A$1,,,SUMPRODUCT(MAX(ROW(E$2:E2271)*(E2271=E$2:E2271)))))-COUNTBLANK(OFFSET(A$1,,,SUMPRODUCT(MAX(ROW(E$1:E2270)*(E2=E$1:E2270))))))</f>
        <v> </v>
      </c>
      <c r="K2271" s="26" t="str">
        <f>IF(OR(E2271="",E2271="!!!",F2271="NEW"),"",INDEX(J$1:J2270,SUMPRODUCT(MAX(ROW(E$1:E2270)*(E2271=E$1:E2270)))))</f>
        <v> </v>
      </c>
      <c r="L2271" s="27"/>
    </row>
    <row r="2272" spans="1:12">
      <c r="A2272" s="20" t="s">
        <v>1014</v>
      </c>
      <c r="E2272" s="22">
        <f>IF(D2272="?OLD","!!!","")</f>
        <v/>
      </c>
      <c r="F2272" s="23" t="str">
        <f>IF(OR(E2272="",E2272="!!!"),"",IF(NOT(ISNA(VLOOKUP(E2272,E$1:E2271,1,FALSE()))),"OLD",IF(AND(E2272&lt;&gt;"",E2272&lt;&gt;"!!!"),"NEW","")))</f>
        <v> </v>
      </c>
      <c r="G2272" s="24" t="str">
        <f>IF(OR(E2272="",E2272="!!!"),"",IF(OR(J2272=0,AND(J2272=1,K2272=1),AND(J2272=1,I2272="SBJ"),AND(J2272=1,I2272=0)),"?IN_FOCUS",IF(J2272&lt;=2,"?ACTIVATED",IF(J2272&lt;&gt;"","?FAMILIAR",IF(F2272="NEW",IF(ISNA(VLOOKUP(E2272,#REF!,1,FALSE())),"?TYPE_IDENTIFIABLE","?REFERENTIAL"),"_")))))</f>
        <v> </v>
      </c>
      <c r="H2272" s="25" t="str">
        <f>IF(J2272&lt;&gt;1,"",IF(I2272="SBJ","CB","?"))</f>
        <v> </v>
      </c>
      <c r="I2272" s="26" t="str">
        <f>IF(OR(E2272="",E2272="!!!",F2272="NEW"),"",INDEX(B2271:B$2,-1+SUMPRODUCT(MAX(ROW(E2271:E$2)*(E2272=E2271:E$2)))))</f>
        <v> </v>
      </c>
      <c r="J2272" s="26" t="str">
        <f>IF(OR(E2272="",E2272="!!!",F2272="NEW"),"",COUNTBLANK(OFFSET(A$1,,,SUMPRODUCT(MAX(ROW(E$2:E2272)*(E2272=E$2:E2272)))))-COUNTBLANK(OFFSET(A$1,,,SUMPRODUCT(MAX(ROW(E$1:E2271)*(E2=E$1:E2271))))))</f>
        <v> </v>
      </c>
      <c r="K2272" s="26" t="str">
        <f>IF(OR(E2272="",E2272="!!!",F2272="NEW"),"",INDEX(J$1:J2271,SUMPRODUCT(MAX(ROW(E$1:E2271)*(E2272=E$1:E2271)))))</f>
        <v> </v>
      </c>
      <c r="L2272" s="27"/>
    </row>
    <row r="2273" spans="1:12">
      <c r="A2273" s="20" t="s">
        <v>1279</v>
      </c>
      <c r="E2273" s="22">
        <f>IF(D2273="?OLD","!!!","")</f>
        <v/>
      </c>
      <c r="F2273" s="23" t="str">
        <f>IF(OR(E2273="",E2273="!!!"),"",IF(NOT(ISNA(VLOOKUP(E2273,E$1:E2272,1,FALSE()))),"OLD",IF(AND(E2273&lt;&gt;"",E2273&lt;&gt;"!!!"),"NEW","")))</f>
        <v> </v>
      </c>
      <c r="G2273" s="24" t="str">
        <f>IF(OR(E2273="",E2273="!!!"),"",IF(OR(J2273=0,AND(J2273=1,K2273=1),AND(J2273=1,I2273="SBJ"),AND(J2273=1,I2273=0)),"?IN_FOCUS",IF(J2273&lt;=2,"?ACTIVATED",IF(J2273&lt;&gt;"","?FAMILIAR",IF(F2273="NEW",IF(ISNA(VLOOKUP(E2273,#REF!,1,FALSE())),"?TYPE_IDENTIFIABLE","?REFERENTIAL"),"_")))))</f>
        <v> </v>
      </c>
      <c r="H2273" s="25" t="str">
        <f>IF(J2273&lt;&gt;1,"",IF(I2273="SBJ","CB","?"))</f>
        <v> </v>
      </c>
      <c r="I2273" s="26" t="str">
        <f>IF(OR(E2273="",E2273="!!!",F2273="NEW"),"",INDEX(B2272:B$2,-1+SUMPRODUCT(MAX(ROW(E2272:E$2)*(E2273=E2272:E$2)))))</f>
        <v> </v>
      </c>
      <c r="J2273" s="26" t="str">
        <f>IF(OR(E2273="",E2273="!!!",F2273="NEW"),"",COUNTBLANK(OFFSET(A$1,,,SUMPRODUCT(MAX(ROW(E$2:E2273)*(E2273=E$2:E2273)))))-COUNTBLANK(OFFSET(A$1,,,SUMPRODUCT(MAX(ROW(E$1:E2272)*(E2=E$1:E2272))))))</f>
        <v> </v>
      </c>
      <c r="K2273" s="26" t="str">
        <f>IF(OR(E2273="",E2273="!!!",F2273="NEW"),"",INDEX(J$1:J2272,SUMPRODUCT(MAX(ROW(E$1:E2272)*(E2273=E$1:E2272)))))</f>
        <v> </v>
      </c>
      <c r="L2273" s="27"/>
    </row>
    <row r="2274" spans="1:12">
      <c r="A2274" s="20" t="s">
        <v>1602</v>
      </c>
      <c r="B2274" s="21" t="s">
        <v>1130</v>
      </c>
      <c r="C2274" s="21" t="s">
        <v>1041</v>
      </c>
      <c r="D2274" s="21" t="s">
        <v>1007</v>
      </c>
      <c r="E2274" s="22">
        <f>IF(D2274="?OLD","!!!","")</f>
        <v/>
      </c>
      <c r="F2274" s="23" t="str">
        <f>IF(OR(E2274="",E2274="!!!"),"",IF(NOT(ISNA(VLOOKUP(E2274,E$1:E2273,1,FALSE()))),"OLD",IF(AND(E2274&lt;&gt;"",E2274&lt;&gt;"!!!"),"NEW","")))</f>
        <v> </v>
      </c>
      <c r="G2274" s="24" t="str">
        <f>IF(OR(E2274="",E2274="!!!"),"",IF(OR(J2274=0,AND(J2274=1,K2274=1),AND(J2274=1,I2274="SBJ"),AND(J2274=1,I2274=0)),"?IN_FOCUS",IF(J2274&lt;=2,"?ACTIVATED",IF(J2274&lt;&gt;"","?FAMILIAR",IF(F2274="NEW",IF(ISNA(VLOOKUP(E2274,#REF!,1,FALSE())),"?TYPE_IDENTIFIABLE","?REFERENTIAL"),"_")))))</f>
        <v> </v>
      </c>
      <c r="H2274" s="25" t="str">
        <f>IF(J2274&lt;&gt;1,"",IF(I2274="SBJ","CB","?"))</f>
        <v> </v>
      </c>
      <c r="I2274" s="26" t="str">
        <f>IF(OR(E2274="",E2274="!!!",F2274="NEW"),"",INDEX(B2273:B$2,-1+SUMPRODUCT(MAX(ROW(E2273:E$2)*(E2274=E2273:E$2)))))</f>
        <v> </v>
      </c>
      <c r="J2274" s="26" t="str">
        <f>IF(OR(E2274="",E2274="!!!",F2274="NEW"),"",COUNTBLANK(OFFSET(A$1,,,SUMPRODUCT(MAX(ROW(E$2:E2274)*(E2274=E$2:E2274)))))-COUNTBLANK(OFFSET(A$1,,,SUMPRODUCT(MAX(ROW(E$1:E2273)*(E2=E$1:E2273))))))</f>
        <v> </v>
      </c>
      <c r="K2274" s="26" t="str">
        <f>IF(OR(E2274="",E2274="!!!",F2274="NEW"),"",INDEX(J$1:J2273,SUMPRODUCT(MAX(ROW(E$1:E2273)*(E2274=E$1:E2273)))))</f>
        <v> </v>
      </c>
      <c r="L2274" s="27"/>
    </row>
    <row r="2275" spans="1:12">
      <c r="A2275" s="20" t="s">
        <v>1520</v>
      </c>
      <c r="E2275" s="22">
        <f>IF(D2275="?OLD","!!!","")</f>
        <v/>
      </c>
      <c r="F2275" s="23" t="str">
        <f>IF(OR(E2275="",E2275="!!!"),"",IF(NOT(ISNA(VLOOKUP(E2275,E$1:E2274,1,FALSE()))),"OLD",IF(AND(E2275&lt;&gt;"",E2275&lt;&gt;"!!!"),"NEW","")))</f>
        <v> </v>
      </c>
      <c r="G2275" s="24" t="str">
        <f>IF(OR(E2275="",E2275="!!!"),"",IF(OR(J2275=0,AND(J2275=1,K2275=1),AND(J2275=1,I2275="SBJ"),AND(J2275=1,I2275=0)),"?IN_FOCUS",IF(J2275&lt;=2,"?ACTIVATED",IF(J2275&lt;&gt;"","?FAMILIAR",IF(F2275="NEW",IF(ISNA(VLOOKUP(E2275,#REF!,1,FALSE())),"?TYPE_IDENTIFIABLE","?REFERENTIAL"),"_")))))</f>
        <v> </v>
      </c>
      <c r="H2275" s="25" t="str">
        <f>IF(J2275&lt;&gt;1,"",IF(I2275="SBJ","CB","?"))</f>
        <v> </v>
      </c>
      <c r="I2275" s="26" t="str">
        <f>IF(OR(E2275="",E2275="!!!",F2275="NEW"),"",INDEX(B2274:B$2,-1+SUMPRODUCT(MAX(ROW(E2274:E$2)*(E2275=E2274:E$2)))))</f>
        <v> </v>
      </c>
      <c r="J2275" s="26" t="str">
        <f>IF(OR(E2275="",E2275="!!!",F2275="NEW"),"",COUNTBLANK(OFFSET(A$1,,,SUMPRODUCT(MAX(ROW(E$2:E2275)*(E2275=E$2:E2275)))))-COUNTBLANK(OFFSET(A$1,,,SUMPRODUCT(MAX(ROW(E$1:E2274)*(E2=E$1:E2274))))))</f>
        <v> </v>
      </c>
      <c r="K2275" s="26" t="str">
        <f>IF(OR(E2275="",E2275="!!!",F2275="NEW"),"",INDEX(J$1:J2274,SUMPRODUCT(MAX(ROW(E$1:E2274)*(E2275=E$1:E2274)))))</f>
        <v> </v>
      </c>
      <c r="L2275" s="27"/>
    </row>
    <row r="2276" spans="1:12">
      <c r="A2276" s="20" t="s">
        <v>1637</v>
      </c>
      <c r="E2276" s="22">
        <f>IF(D2276="?OLD","!!!","")</f>
        <v/>
      </c>
      <c r="F2276" s="23" t="str">
        <f>IF(OR(E2276="",E2276="!!!"),"",IF(NOT(ISNA(VLOOKUP(E2276,E$1:E2275,1,FALSE()))),"OLD",IF(AND(E2276&lt;&gt;"",E2276&lt;&gt;"!!!"),"NEW","")))</f>
        <v> </v>
      </c>
      <c r="G2276" s="24" t="str">
        <f>IF(OR(E2276="",E2276="!!!"),"",IF(OR(J2276=0,AND(J2276=1,K2276=1),AND(J2276=1,I2276="SBJ"),AND(J2276=1,I2276=0)),"?IN_FOCUS",IF(J2276&lt;=2,"?ACTIVATED",IF(J2276&lt;&gt;"","?FAMILIAR",IF(F2276="NEW",IF(ISNA(VLOOKUP(E2276,#REF!,1,FALSE())),"?TYPE_IDENTIFIABLE","?REFERENTIAL"),"_")))))</f>
        <v> </v>
      </c>
      <c r="H2276" s="25" t="str">
        <f>IF(J2276&lt;&gt;1,"",IF(I2276="SBJ","CB","?"))</f>
        <v> </v>
      </c>
      <c r="I2276" s="26" t="str">
        <f>IF(OR(E2276="",E2276="!!!",F2276="NEW"),"",INDEX(B2275:B$2,-1+SUMPRODUCT(MAX(ROW(E2275:E$2)*(E2276=E2275:E$2)))))</f>
        <v> </v>
      </c>
      <c r="J2276" s="26" t="str">
        <f>IF(OR(E2276="",E2276="!!!",F2276="NEW"),"",COUNTBLANK(OFFSET(A$1,,,SUMPRODUCT(MAX(ROW(E$2:E2276)*(E2276=E$2:E2276)))))-COUNTBLANK(OFFSET(A$1,,,SUMPRODUCT(MAX(ROW(E$1:E2275)*(E2=E$1:E2275))))))</f>
        <v> </v>
      </c>
      <c r="K2276" s="26" t="str">
        <f>IF(OR(E2276="",E2276="!!!",F2276="NEW"),"",INDEX(J$1:J2275,SUMPRODUCT(MAX(ROW(E$1:E2275)*(E2276=E$1:E2275)))))</f>
        <v> </v>
      </c>
      <c r="L2276" s="27"/>
    </row>
    <row r="2277" spans="1:12">
      <c r="A2277" s="20" t="s">
        <v>1018</v>
      </c>
      <c r="E2277" s="22">
        <f>IF(D2277="?OLD","!!!","")</f>
        <v/>
      </c>
      <c r="F2277" s="23" t="str">
        <f>IF(OR(E2277="",E2277="!!!"),"",IF(NOT(ISNA(VLOOKUP(E2277,E$1:E2276,1,FALSE()))),"OLD",IF(AND(E2277&lt;&gt;"",E2277&lt;&gt;"!!!"),"NEW","")))</f>
        <v> </v>
      </c>
      <c r="G2277" s="24" t="str">
        <f>IF(OR(E2277="",E2277="!!!"),"",IF(OR(J2277=0,AND(J2277=1,K2277=1),AND(J2277=1,I2277="SBJ"),AND(J2277=1,I2277=0)),"?IN_FOCUS",IF(J2277&lt;=2,"?ACTIVATED",IF(J2277&lt;&gt;"","?FAMILIAR",IF(F2277="NEW",IF(ISNA(VLOOKUP(E2277,#REF!,1,FALSE())),"?TYPE_IDENTIFIABLE","?REFERENTIAL"),"_")))))</f>
        <v> </v>
      </c>
      <c r="H2277" s="25" t="str">
        <f>IF(J2277&lt;&gt;1,"",IF(I2277="SBJ","CB","?"))</f>
        <v> </v>
      </c>
      <c r="I2277" s="26" t="str">
        <f>IF(OR(E2277="",E2277="!!!",F2277="NEW"),"",INDEX(B2276:B$2,-1+SUMPRODUCT(MAX(ROW(E2276:E$2)*(E2277=E2276:E$2)))))</f>
        <v> </v>
      </c>
      <c r="J2277" s="26" t="str">
        <f>IF(OR(E2277="",E2277="!!!",F2277="NEW"),"",COUNTBLANK(OFFSET(A$1,,,SUMPRODUCT(MAX(ROW(E$2:E2277)*(E2277=E$2:E2277)))))-COUNTBLANK(OFFSET(A$1,,,SUMPRODUCT(MAX(ROW(E$1:E2276)*(E2=E$1:E2276))))))</f>
        <v> </v>
      </c>
      <c r="K2277" s="26" t="str">
        <f>IF(OR(E2277="",E2277="!!!",F2277="NEW"),"",INDEX(J$1:J2276,SUMPRODUCT(MAX(ROW(E$1:E2276)*(E2277=E$1:E2276)))))</f>
        <v> </v>
      </c>
      <c r="L2277" s="27"/>
    </row>
    <row r="2278" spans="1:12">
      <c r="A2278" s="20" t="s">
        <v>1030</v>
      </c>
      <c r="E2278" s="22">
        <f>IF(D2278="?OLD","!!!","")</f>
        <v/>
      </c>
      <c r="F2278" s="23" t="str">
        <f>IF(OR(E2278="",E2278="!!!"),"",IF(NOT(ISNA(VLOOKUP(E2278,E$1:E2277,1,FALSE()))),"OLD",IF(AND(E2278&lt;&gt;"",E2278&lt;&gt;"!!!"),"NEW","")))</f>
        <v> </v>
      </c>
      <c r="G2278" s="24" t="str">
        <f>IF(OR(E2278="",E2278="!!!"),"",IF(OR(J2278=0,AND(J2278=1,K2278=1),AND(J2278=1,I2278="SBJ"),AND(J2278=1,I2278=0)),"?IN_FOCUS",IF(J2278&lt;=2,"?ACTIVATED",IF(J2278&lt;&gt;"","?FAMILIAR",IF(F2278="NEW",IF(ISNA(VLOOKUP(E2278,#REF!,1,FALSE())),"?TYPE_IDENTIFIABLE","?REFERENTIAL"),"_")))))</f>
        <v> </v>
      </c>
      <c r="H2278" s="25" t="str">
        <f>IF(J2278&lt;&gt;1,"",IF(I2278="SBJ","CB","?"))</f>
        <v> </v>
      </c>
      <c r="I2278" s="26" t="str">
        <f>IF(OR(E2278="",E2278="!!!",F2278="NEW"),"",INDEX(B2277:B$2,-1+SUMPRODUCT(MAX(ROW(E2277:E$2)*(E2278=E2277:E$2)))))</f>
        <v> </v>
      </c>
      <c r="J2278" s="26" t="str">
        <f>IF(OR(E2278="",E2278="!!!",F2278="NEW"),"",COUNTBLANK(OFFSET(A$1,,,SUMPRODUCT(MAX(ROW(E$2:E2278)*(E2278=E$2:E2278)))))-COUNTBLANK(OFFSET(A$1,,,SUMPRODUCT(MAX(ROW(E$1:E2277)*(E2=E$1:E2277))))))</f>
        <v> </v>
      </c>
      <c r="K2278" s="26" t="str">
        <f>IF(OR(E2278="",E2278="!!!",F2278="NEW"),"",INDEX(J$1:J2277,SUMPRODUCT(MAX(ROW(E$1:E2277)*(E2278=E$1:E2277)))))</f>
        <v> </v>
      </c>
      <c r="L2278" s="27"/>
    </row>
    <row r="2279" spans="1:12">
      <c r="A2279" s="20" t="s">
        <v>1122</v>
      </c>
      <c r="E2279" s="22">
        <f>IF(D2279="?OLD","!!!","")</f>
        <v/>
      </c>
      <c r="F2279" s="23" t="str">
        <f>IF(OR(E2279="",E2279="!!!"),"",IF(NOT(ISNA(VLOOKUP(E2279,E$1:E2278,1,FALSE()))),"OLD",IF(AND(E2279&lt;&gt;"",E2279&lt;&gt;"!!!"),"NEW","")))</f>
        <v> </v>
      </c>
      <c r="G2279" s="24" t="str">
        <f>IF(OR(E2279="",E2279="!!!"),"",IF(OR(J2279=0,AND(J2279=1,K2279=1),AND(J2279=1,I2279="SBJ"),AND(J2279=1,I2279=0)),"?IN_FOCUS",IF(J2279&lt;=2,"?ACTIVATED",IF(J2279&lt;&gt;"","?FAMILIAR",IF(F2279="NEW",IF(ISNA(VLOOKUP(E2279,#REF!,1,FALSE())),"?TYPE_IDENTIFIABLE","?REFERENTIAL"),"_")))))</f>
        <v> </v>
      </c>
      <c r="H2279" s="25" t="str">
        <f>IF(J2279&lt;&gt;1,"",IF(I2279="SBJ","CB","?"))</f>
        <v> </v>
      </c>
      <c r="I2279" s="26" t="str">
        <f>IF(OR(E2279="",E2279="!!!",F2279="NEW"),"",INDEX(B2278:B$2,-1+SUMPRODUCT(MAX(ROW(E2278:E$2)*(E2279=E2278:E$2)))))</f>
        <v> </v>
      </c>
      <c r="J2279" s="26" t="str">
        <f>IF(OR(E2279="",E2279="!!!",F2279="NEW"),"",COUNTBLANK(OFFSET(A$1,,,SUMPRODUCT(MAX(ROW(E$2:E2279)*(E2279=E$2:E2279)))))-COUNTBLANK(OFFSET(A$1,,,SUMPRODUCT(MAX(ROW(E$1:E2278)*(E2=E$1:E2278))))))</f>
        <v> </v>
      </c>
      <c r="K2279" s="26" t="str">
        <f>IF(OR(E2279="",E2279="!!!",F2279="NEW"),"",INDEX(J$1:J2278,SUMPRODUCT(MAX(ROW(E$1:E2278)*(E2279=E$1:E2278)))))</f>
        <v> </v>
      </c>
      <c r="L2279" s="27"/>
    </row>
    <row r="2280" spans="1:12">
      <c r="A2280" s="20" t="s">
        <v>1250</v>
      </c>
      <c r="E2280" s="22">
        <f>IF(D2280="?OLD","!!!","")</f>
        <v/>
      </c>
      <c r="F2280" s="23" t="str">
        <f>IF(OR(E2280="",E2280="!!!"),"",IF(NOT(ISNA(VLOOKUP(E2280,E$1:E2279,1,FALSE()))),"OLD",IF(AND(E2280&lt;&gt;"",E2280&lt;&gt;"!!!"),"NEW","")))</f>
        <v> </v>
      </c>
      <c r="G2280" s="24" t="str">
        <f>IF(OR(E2280="",E2280="!!!"),"",IF(OR(J2280=0,AND(J2280=1,K2280=1),AND(J2280=1,I2280="SBJ"),AND(J2280=1,I2280=0)),"?IN_FOCUS",IF(J2280&lt;=2,"?ACTIVATED",IF(J2280&lt;&gt;"","?FAMILIAR",IF(F2280="NEW",IF(ISNA(VLOOKUP(E2280,#REF!,1,FALSE())),"?TYPE_IDENTIFIABLE","?REFERENTIAL"),"_")))))</f>
        <v> </v>
      </c>
      <c r="H2280" s="25" t="str">
        <f>IF(J2280&lt;&gt;1,"",IF(I2280="SBJ","CB","?"))</f>
        <v> </v>
      </c>
      <c r="I2280" s="26" t="str">
        <f>IF(OR(E2280="",E2280="!!!",F2280="NEW"),"",INDEX(B2279:B$2,-1+SUMPRODUCT(MAX(ROW(E2279:E$2)*(E2280=E2279:E$2)))))</f>
        <v> </v>
      </c>
      <c r="J2280" s="26" t="str">
        <f>IF(OR(E2280="",E2280="!!!",F2280="NEW"),"",COUNTBLANK(OFFSET(A$1,,,SUMPRODUCT(MAX(ROW(E$2:E2280)*(E2280=E$2:E2280)))))-COUNTBLANK(OFFSET(A$1,,,SUMPRODUCT(MAX(ROW(E$1:E2279)*(E2=E$1:E2279))))))</f>
        <v> </v>
      </c>
      <c r="K2280" s="26" t="str">
        <f>IF(OR(E2280="",E2280="!!!",F2280="NEW"),"",INDEX(J$1:J2279,SUMPRODUCT(MAX(ROW(E$1:E2279)*(E2280=E$1:E2279)))))</f>
        <v> </v>
      </c>
      <c r="L2280" s="27"/>
    </row>
    <row r="2281" spans="1:12">
      <c r="A2281" s="20" t="s">
        <v>1639</v>
      </c>
      <c r="B2281" s="21" t="s">
        <v>1035</v>
      </c>
      <c r="C2281" s="21" t="s">
        <v>1041</v>
      </c>
      <c r="D2281" s="21" t="s">
        <v>1007</v>
      </c>
      <c r="E2281" s="22">
        <f>IF(D2281="?OLD","!!!","")</f>
        <v/>
      </c>
      <c r="F2281" s="23" t="str">
        <f>IF(OR(E2281="",E2281="!!!"),"",IF(NOT(ISNA(VLOOKUP(E2281,E$1:E2280,1,FALSE()))),"OLD",IF(AND(E2281&lt;&gt;"",E2281&lt;&gt;"!!!"),"NEW","")))</f>
        <v> </v>
      </c>
      <c r="G2281" s="24" t="str">
        <f>IF(OR(E2281="",E2281="!!!"),"",IF(OR(J2281=0,AND(J2281=1,K2281=1),AND(J2281=1,I2281="SBJ"),AND(J2281=1,I2281=0)),"?IN_FOCUS",IF(J2281&lt;=2,"?ACTIVATED",IF(J2281&lt;&gt;"","?FAMILIAR",IF(F2281="NEW",IF(ISNA(VLOOKUP(E2281,#REF!,1,FALSE())),"?TYPE_IDENTIFIABLE","?REFERENTIAL"),"_")))))</f>
        <v> </v>
      </c>
      <c r="H2281" s="25" t="str">
        <f>IF(J2281&lt;&gt;1,"",IF(I2281="SBJ","CB","?"))</f>
        <v> </v>
      </c>
      <c r="I2281" s="26" t="str">
        <f>IF(OR(E2281="",E2281="!!!",F2281="NEW"),"",INDEX(B2280:B$2,-1+SUMPRODUCT(MAX(ROW(E2280:E$2)*(E2281=E2280:E$2)))))</f>
        <v> </v>
      </c>
      <c r="J2281" s="26" t="str">
        <f>IF(OR(E2281="",E2281="!!!",F2281="NEW"),"",COUNTBLANK(OFFSET(A$1,,,SUMPRODUCT(MAX(ROW(E$2:E2281)*(E2281=E$2:E2281)))))-COUNTBLANK(OFFSET(A$1,,,SUMPRODUCT(MAX(ROW(E$1:E2280)*(E2=E$1:E2280))))))</f>
        <v> </v>
      </c>
      <c r="K2281" s="26" t="str">
        <f>IF(OR(E2281="",E2281="!!!",F2281="NEW"),"",INDEX(J$1:J2280,SUMPRODUCT(MAX(ROW(E$1:E2280)*(E2281=E$1:E2280)))))</f>
        <v> </v>
      </c>
      <c r="L2281" s="27"/>
    </row>
    <row r="2282" spans="1:12">
      <c r="A2282" s="20" t="s">
        <v>1023</v>
      </c>
      <c r="E2282" s="22">
        <f>IF(D2282="?OLD","!!!","")</f>
        <v/>
      </c>
      <c r="F2282" s="23" t="str">
        <f>IF(OR(E2282="",E2282="!!!"),"",IF(NOT(ISNA(VLOOKUP(E2282,E$1:E2281,1,FALSE()))),"OLD",IF(AND(E2282&lt;&gt;"",E2282&lt;&gt;"!!!"),"NEW","")))</f>
        <v> </v>
      </c>
      <c r="G2282" s="24" t="str">
        <f>IF(OR(E2282="",E2282="!!!"),"",IF(OR(J2282=0,AND(J2282=1,K2282=1),AND(J2282=1,I2282="SBJ"),AND(J2282=1,I2282=0)),"?IN_FOCUS",IF(J2282&lt;=2,"?ACTIVATED",IF(J2282&lt;&gt;"","?FAMILIAR",IF(F2282="NEW",IF(ISNA(VLOOKUP(E2282,#REF!,1,FALSE())),"?TYPE_IDENTIFIABLE","?REFERENTIAL"),"_")))))</f>
        <v> </v>
      </c>
      <c r="H2282" s="25" t="str">
        <f>IF(J2282&lt;&gt;1,"",IF(I2282="SBJ","CB","?"))</f>
        <v> </v>
      </c>
      <c r="I2282" s="26" t="str">
        <f>IF(OR(E2282="",E2282="!!!",F2282="NEW"),"",INDEX(B2281:B$2,-1+SUMPRODUCT(MAX(ROW(E2281:E$2)*(E2282=E2281:E$2)))))</f>
        <v> </v>
      </c>
      <c r="J2282" s="26" t="str">
        <f>IF(OR(E2282="",E2282="!!!",F2282="NEW"),"",COUNTBLANK(OFFSET(A$1,,,SUMPRODUCT(MAX(ROW(E$2:E2282)*(E2282=E$2:E2282)))))-COUNTBLANK(OFFSET(A$1,,,SUMPRODUCT(MAX(ROW(E$1:E2281)*(E2=E$1:E2281))))))</f>
        <v> </v>
      </c>
      <c r="K2282" s="26" t="str">
        <f>IF(OR(E2282="",E2282="!!!",F2282="NEW"),"",INDEX(J$1:J2281,SUMPRODUCT(MAX(ROW(E$1:E2281)*(E2282=E$1:E2281)))))</f>
        <v> </v>
      </c>
      <c r="L2282" s="27"/>
    </row>
    <row r="2283" spans="1:12">
      <c r="A2283" s="20"/>
    </row>
    <row r="2284" spans="1:12">
      <c r="A2284" s="20" t="s">
        <v>1756</v>
      </c>
    </row>
    <row r="2285" spans="1:12">
      <c r="A2285" s="20" t="s">
        <v>1136</v>
      </c>
      <c r="E2285" s="22">
        <f>IF(D2285="?OLD","!!!","")</f>
        <v/>
      </c>
      <c r="F2285" s="23" t="str">
        <f>IF(OR(E2285="",E2285="!!!"),"",IF(NOT(ISNA(VLOOKUP(E2285,E$1:E2284,1,FALSE()))),"OLD",IF(AND(E2285&lt;&gt;"",E2285&lt;&gt;"!!!"),"NEW","")))</f>
        <v> </v>
      </c>
      <c r="G2285" s="24" t="str">
        <f>IF(OR(E2285="",E2285="!!!"),"",IF(OR(J2285=0,AND(J2285=1,K2285=1),AND(J2285=1,I2285="SBJ"),AND(J2285=1,I2285=0)),"?IN_FOCUS",IF(J2285&lt;=2,"?ACTIVATED",IF(J2285&lt;&gt;"","?FAMILIAR",IF(F2285="NEW",IF(ISNA(VLOOKUP(E2285,#REF!,1,FALSE())),"?TYPE_IDENTIFIABLE","?REFERENTIAL"),"_")))))</f>
        <v> </v>
      </c>
      <c r="H2285" s="25" t="str">
        <f>IF(J2285&lt;&gt;1,"",IF(I2285="SBJ","CB","?"))</f>
        <v> </v>
      </c>
      <c r="I2285" s="26" t="str">
        <f>IF(OR(E2285="",E2285="!!!",F2285="NEW"),"",INDEX(B2284:B$2,-1+SUMPRODUCT(MAX(ROW(E2284:E$2)*(E2285=E2284:E$2)))))</f>
        <v> </v>
      </c>
      <c r="J2285" s="26" t="str">
        <f>IF(OR(E2285="",E2285="!!!",F2285="NEW"),"",COUNTBLANK(OFFSET(A$1,,,SUMPRODUCT(MAX(ROW(E$2:E2285)*(E2285=E$2:E2285)))))-COUNTBLANK(OFFSET(A$1,,,SUMPRODUCT(MAX(ROW(E$1:E2284)*(E2=E$1:E2284))))))</f>
        <v> </v>
      </c>
      <c r="K2285" s="26" t="str">
        <f>IF(OR(E2285="",E2285="!!!",F2285="NEW"),"",INDEX(J$1:J2284,SUMPRODUCT(MAX(ROW(E$1:E2284)*(E2285=E$1:E2284)))))</f>
        <v> </v>
      </c>
      <c r="L2285" s="27"/>
    </row>
    <row r="2286" spans="1:12">
      <c r="A2286" s="20" t="s">
        <v>102</v>
      </c>
      <c r="B2286" s="21" t="s">
        <v>1050</v>
      </c>
      <c r="C2286" s="21" t="s">
        <v>1073</v>
      </c>
      <c r="D2286" s="21" t="s">
        <v>1007</v>
      </c>
      <c r="E2286" s="22">
        <f>IF(D2286="?OLD","!!!","")</f>
        <v/>
      </c>
      <c r="F2286" s="23" t="str">
        <f>IF(OR(E2286="",E2286="!!!"),"",IF(NOT(ISNA(VLOOKUP(E2286,E$1:E2285,1,FALSE()))),"OLD",IF(AND(E2286&lt;&gt;"",E2286&lt;&gt;"!!!"),"NEW","")))</f>
        <v> </v>
      </c>
      <c r="G2286" s="24" t="str">
        <f>IF(OR(E2286="",E2286="!!!"),"",IF(OR(J2286=0,AND(J2286=1,K2286=1),AND(J2286=1,I2286="SBJ"),AND(J2286=1,I2286=0)),"?IN_FOCUS",IF(J2286&lt;=2,"?ACTIVATED",IF(J2286&lt;&gt;"","?FAMILIAR",IF(F2286="NEW",IF(ISNA(VLOOKUP(E2286,#REF!,1,FALSE())),"?TYPE_IDENTIFIABLE","?REFERENTIAL"),"_")))))</f>
        <v> </v>
      </c>
      <c r="H2286" s="25" t="str">
        <f>IF(J2286&lt;&gt;1,"",IF(I2286="SBJ","CB","?"))</f>
        <v> </v>
      </c>
      <c r="I2286" s="26" t="str">
        <f>IF(OR(E2286="",E2286="!!!",F2286="NEW"),"",INDEX(B2285:B$2,-1+SUMPRODUCT(MAX(ROW(E2285:E$2)*(E2286=E2285:E$2)))))</f>
        <v> </v>
      </c>
      <c r="J2286" s="26" t="str">
        <f>IF(OR(E2286="",E2286="!!!",F2286="NEW"),"",COUNTBLANK(OFFSET(A$1,,,SUMPRODUCT(MAX(ROW(E$2:E2286)*(E2286=E$2:E2286)))))-COUNTBLANK(OFFSET(A$1,,,SUMPRODUCT(MAX(ROW(E$1:E2285)*(E2=E$1:E2285))))))</f>
        <v> </v>
      </c>
      <c r="K2286" s="26" t="str">
        <f>IF(OR(E2286="",E2286="!!!",F2286="NEW"),"",INDEX(J$1:J2285,SUMPRODUCT(MAX(ROW(E$1:E2285)*(E2286=E$1:E2285)))))</f>
        <v> </v>
      </c>
      <c r="L2286" s="27"/>
    </row>
    <row r="2287" spans="1:12">
      <c r="A2287" s="20" t="s">
        <v>1065</v>
      </c>
      <c r="B2287" s="21" t="s">
        <v>1187</v>
      </c>
      <c r="E2287" s="22">
        <f>IF(D2287="?OLD","!!!","")</f>
        <v/>
      </c>
      <c r="F2287" s="23" t="str">
        <f>IF(OR(E2287="",E2287="!!!"),"",IF(NOT(ISNA(VLOOKUP(E2287,E$1:E2286,1,FALSE()))),"OLD",IF(AND(E2287&lt;&gt;"",E2287&lt;&gt;"!!!"),"NEW","")))</f>
        <v> </v>
      </c>
      <c r="G2287" s="24" t="str">
        <f>IF(OR(E2287="",E2287="!!!"),"",IF(OR(J2287=0,AND(J2287=1,K2287=1),AND(J2287=1,I2287="SBJ"),AND(J2287=1,I2287=0)),"?IN_FOCUS",IF(J2287&lt;=2,"?ACTIVATED",IF(J2287&lt;&gt;"","?FAMILIAR",IF(F2287="NEW",IF(ISNA(VLOOKUP(E2287,#REF!,1,FALSE())),"?TYPE_IDENTIFIABLE","?REFERENTIAL"),"_")))))</f>
        <v> </v>
      </c>
      <c r="H2287" s="25" t="str">
        <f>IF(J2287&lt;&gt;1,"",IF(I2287="SBJ","CB","?"))</f>
        <v> </v>
      </c>
      <c r="I2287" s="26" t="str">
        <f>IF(OR(E2287="",E2287="!!!",F2287="NEW"),"",INDEX(B2286:B$2,-1+SUMPRODUCT(MAX(ROW(E2286:E$2)*(E2287=E2286:E$2)))))</f>
        <v> </v>
      </c>
      <c r="J2287" s="26" t="str">
        <f>IF(OR(E2287="",E2287="!!!",F2287="NEW"),"",COUNTBLANK(OFFSET(A$1,,,SUMPRODUCT(MAX(ROW(E$2:E2287)*(E2287=E$2:E2287)))))-COUNTBLANK(OFFSET(A$1,,,SUMPRODUCT(MAX(ROW(E$1:E2286)*(E2=E$1:E2286))))))</f>
        <v> </v>
      </c>
      <c r="K2287" s="26" t="str">
        <f>IF(OR(E2287="",E2287="!!!",F2287="NEW"),"",INDEX(J$1:J2286,SUMPRODUCT(MAX(ROW(E$1:E2286)*(E2287=E$1:E2286)))))</f>
        <v> </v>
      </c>
      <c r="L2287" s="27"/>
    </row>
    <row r="2288" spans="1:12">
      <c r="A2288" s="20" t="s">
        <v>102</v>
      </c>
      <c r="E2288" s="22">
        <f>IF(D2288="?OLD","!!!","")</f>
        <v/>
      </c>
      <c r="F2288" s="23" t="str">
        <f>IF(OR(E2288="",E2288="!!!"),"",IF(NOT(ISNA(VLOOKUP(E2288,E$1:E2287,1,FALSE()))),"OLD",IF(AND(E2288&lt;&gt;"",E2288&lt;&gt;"!!!"),"NEW","")))</f>
        <v> </v>
      </c>
      <c r="G2288" s="24" t="str">
        <f>IF(OR(E2288="",E2288="!!!"),"",IF(OR(J2288=0,AND(J2288=1,K2288=1),AND(J2288=1,I2288="SBJ"),AND(J2288=1,I2288=0)),"?IN_FOCUS",IF(J2288&lt;=2,"?ACTIVATED",IF(J2288&lt;&gt;"","?FAMILIAR",IF(F2288="NEW",IF(ISNA(VLOOKUP(E2288,#REF!,1,FALSE())),"?TYPE_IDENTIFIABLE","?REFERENTIAL"),"_")))))</f>
        <v> </v>
      </c>
      <c r="H2288" s="25" t="str">
        <f>IF(J2288&lt;&gt;1,"",IF(I2288="SBJ","CB","?"))</f>
        <v> </v>
      </c>
      <c r="I2288" s="26" t="str">
        <f>IF(OR(E2288="",E2288="!!!",F2288="NEW"),"",INDEX(B2287:B$2,-1+SUMPRODUCT(MAX(ROW(E2287:E$2)*(E2288=E2287:E$2)))))</f>
        <v> </v>
      </c>
      <c r="J2288" s="26" t="str">
        <f>IF(OR(E2288="",E2288="!!!",F2288="NEW"),"",COUNTBLANK(OFFSET(A$1,,,SUMPRODUCT(MAX(ROW(E$2:E2288)*(E2288=E$2:E2288)))))-COUNTBLANK(OFFSET(A$1,,,SUMPRODUCT(MAX(ROW(E$1:E2287)*(E2=E$1:E2287))))))</f>
        <v> </v>
      </c>
      <c r="K2288" s="26" t="str">
        <f>IF(OR(E2288="",E2288="!!!",F2288="NEW"),"",INDEX(J$1:J2287,SUMPRODUCT(MAX(ROW(E$1:E2287)*(E2288=E$1:E2287)))))</f>
        <v> </v>
      </c>
      <c r="L2288" s="27"/>
    </row>
    <row r="2289" spans="1:12">
      <c r="A2289" s="20" t="s">
        <v>303</v>
      </c>
      <c r="B2289" s="21" t="s">
        <v>1154</v>
      </c>
      <c r="C2289" s="21" t="s">
        <v>1006</v>
      </c>
      <c r="D2289" s="21" t="s">
        <v>1007</v>
      </c>
      <c r="E2289" s="22">
        <f>IF(D2289="?OLD","!!!","")</f>
        <v/>
      </c>
      <c r="F2289" s="23" t="str">
        <f>IF(OR(E2289="",E2289="!!!"),"",IF(NOT(ISNA(VLOOKUP(E2289,E$1:E2288,1,FALSE()))),"OLD",IF(AND(E2289&lt;&gt;"",E2289&lt;&gt;"!!!"),"NEW","")))</f>
        <v> </v>
      </c>
      <c r="G2289" s="24" t="str">
        <f>IF(OR(E2289="",E2289="!!!"),"",IF(OR(J2289=0,AND(J2289=1,K2289=1),AND(J2289=1,I2289="SBJ"),AND(J2289=1,I2289=0)),"?IN_FOCUS",IF(J2289&lt;=2,"?ACTIVATED",IF(J2289&lt;&gt;"","?FAMILIAR",IF(F2289="NEW",IF(ISNA(VLOOKUP(E2289,#REF!,1,FALSE())),"?TYPE_IDENTIFIABLE","?REFERENTIAL"),"_")))))</f>
        <v> </v>
      </c>
      <c r="H2289" s="25" t="str">
        <f>IF(J2289&lt;&gt;1,"",IF(I2289="SBJ","CB","?"))</f>
        <v> </v>
      </c>
      <c r="I2289" s="26" t="str">
        <f>IF(OR(E2289="",E2289="!!!",F2289="NEW"),"",INDEX(B2288:B$2,-1+SUMPRODUCT(MAX(ROW(E2288:E$2)*(E2289=E2288:E$2)))))</f>
        <v> </v>
      </c>
      <c r="J2289" s="26" t="str">
        <f>IF(OR(E2289="",E2289="!!!",F2289="NEW"),"",COUNTBLANK(OFFSET(A$1,,,SUMPRODUCT(MAX(ROW(E$2:E2289)*(E2289=E$2:E2289)))))-COUNTBLANK(OFFSET(A$1,,,SUMPRODUCT(MAX(ROW(E$1:E2288)*(E2=E$1:E2288))))))</f>
        <v> </v>
      </c>
      <c r="K2289" s="26" t="str">
        <f>IF(OR(E2289="",E2289="!!!",F2289="NEW"),"",INDEX(J$1:J2288,SUMPRODUCT(MAX(ROW(E$1:E2288)*(E2289=E$1:E2288)))))</f>
        <v> </v>
      </c>
      <c r="L2289" s="27"/>
    </row>
    <row r="2290" spans="1:12">
      <c r="A2290" s="20" t="s">
        <v>1698</v>
      </c>
      <c r="B2290" s="21" t="s">
        <v>1035</v>
      </c>
      <c r="C2290" s="21" t="s">
        <v>1006</v>
      </c>
      <c r="D2290" s="21" t="s">
        <v>1007</v>
      </c>
      <c r="E2290" s="22">
        <f>IF(D2290="?OLD","!!!","")</f>
        <v/>
      </c>
      <c r="F2290" s="23" t="str">
        <f>IF(OR(E2290="",E2290="!!!"),"",IF(NOT(ISNA(VLOOKUP(E2290,E$1:E2289,1,FALSE()))),"OLD",IF(AND(E2290&lt;&gt;"",E2290&lt;&gt;"!!!"),"NEW","")))</f>
        <v> </v>
      </c>
      <c r="G2290" s="24" t="str">
        <f>IF(OR(E2290="",E2290="!!!"),"",IF(OR(J2290=0,AND(J2290=1,K2290=1),AND(J2290=1,I2290="SBJ"),AND(J2290=1,I2290=0)),"?IN_FOCUS",IF(J2290&lt;=2,"?ACTIVATED",IF(J2290&lt;&gt;"","?FAMILIAR",IF(F2290="NEW",IF(ISNA(VLOOKUP(E2290,#REF!,1,FALSE())),"?TYPE_IDENTIFIABLE","?REFERENTIAL"),"_")))))</f>
        <v> </v>
      </c>
      <c r="H2290" s="25" t="str">
        <f>IF(J2290&lt;&gt;1,"",IF(I2290="SBJ","CB","?"))</f>
        <v> </v>
      </c>
      <c r="I2290" s="26" t="str">
        <f>IF(OR(E2290="",E2290="!!!",F2290="NEW"),"",INDEX(B2289:B$2,-1+SUMPRODUCT(MAX(ROW(E2289:E$2)*(E2290=E2289:E$2)))))</f>
        <v> </v>
      </c>
      <c r="J2290" s="26" t="str">
        <f>IF(OR(E2290="",E2290="!!!",F2290="NEW"),"",COUNTBLANK(OFFSET(A$1,,,SUMPRODUCT(MAX(ROW(E$2:E2290)*(E2290=E$2:E2290)))))-COUNTBLANK(OFFSET(A$1,,,SUMPRODUCT(MAX(ROW(E$1:E2289)*(E2=E$1:E2289))))))</f>
        <v> </v>
      </c>
      <c r="K2290" s="26" t="str">
        <f>IF(OR(E2290="",E2290="!!!",F2290="NEW"),"",INDEX(J$1:J2289,SUMPRODUCT(MAX(ROW(E$1:E2289)*(E2290=E$1:E2289)))))</f>
        <v> </v>
      </c>
      <c r="L2290" s="27"/>
    </row>
    <row r="2291" spans="1:12">
      <c r="A2291" s="20" t="s">
        <v>1030</v>
      </c>
      <c r="E2291" s="22">
        <f>IF(D2291="?OLD","!!!","")</f>
        <v/>
      </c>
      <c r="F2291" s="23" t="str">
        <f>IF(OR(E2291="",E2291="!!!"),"",IF(NOT(ISNA(VLOOKUP(E2291,E$1:E2290,1,FALSE()))),"OLD",IF(AND(E2291&lt;&gt;"",E2291&lt;&gt;"!!!"),"NEW","")))</f>
        <v> </v>
      </c>
      <c r="G2291" s="24" t="str">
        <f>IF(OR(E2291="",E2291="!!!"),"",IF(OR(J2291=0,AND(J2291=1,K2291=1),AND(J2291=1,I2291="SBJ"),AND(J2291=1,I2291=0)),"?IN_FOCUS",IF(J2291&lt;=2,"?ACTIVATED",IF(J2291&lt;&gt;"","?FAMILIAR",IF(F2291="NEW",IF(ISNA(VLOOKUP(E2291,#REF!,1,FALSE())),"?TYPE_IDENTIFIABLE","?REFERENTIAL"),"_")))))</f>
        <v> </v>
      </c>
      <c r="H2291" s="25" t="str">
        <f>IF(J2291&lt;&gt;1,"",IF(I2291="SBJ","CB","?"))</f>
        <v> </v>
      </c>
      <c r="I2291" s="26" t="str">
        <f>IF(OR(E2291="",E2291="!!!",F2291="NEW"),"",INDEX(B2290:B$2,-1+SUMPRODUCT(MAX(ROW(E2290:E$2)*(E2291=E2290:E$2)))))</f>
        <v> </v>
      </c>
      <c r="J2291" s="26" t="str">
        <f>IF(OR(E2291="",E2291="!!!",F2291="NEW"),"",COUNTBLANK(OFFSET(A$1,,,SUMPRODUCT(MAX(ROW(E$2:E2291)*(E2291=E$2:E2291)))))-COUNTBLANK(OFFSET(A$1,,,SUMPRODUCT(MAX(ROW(E$1:E2290)*(E2=E$1:E2290))))))</f>
        <v> </v>
      </c>
      <c r="K2291" s="26" t="str">
        <f>IF(OR(E2291="",E2291="!!!",F2291="NEW"),"",INDEX(J$1:J2290,SUMPRODUCT(MAX(ROW(E$1:E2290)*(E2291=E$1:E2290)))))</f>
        <v> </v>
      </c>
      <c r="L2291" s="27"/>
    </row>
    <row r="2292" spans="1:12">
      <c r="A2292" s="20" t="s">
        <v>1015</v>
      </c>
      <c r="E2292" s="22">
        <f>IF(D2292="?OLD","!!!","")</f>
        <v/>
      </c>
      <c r="F2292" s="23" t="str">
        <f>IF(OR(E2292="",E2292="!!!"),"",IF(NOT(ISNA(VLOOKUP(E2292,E$1:E2291,1,FALSE()))),"OLD",IF(AND(E2292&lt;&gt;"",E2292&lt;&gt;"!!!"),"NEW","")))</f>
        <v> </v>
      </c>
      <c r="G2292" s="24" t="str">
        <f>IF(OR(E2292="",E2292="!!!"),"",IF(OR(J2292=0,AND(J2292=1,K2292=1),AND(J2292=1,I2292="SBJ"),AND(J2292=1,I2292=0)),"?IN_FOCUS",IF(J2292&lt;=2,"?ACTIVATED",IF(J2292&lt;&gt;"","?FAMILIAR",IF(F2292="NEW",IF(ISNA(VLOOKUP(E2292,#REF!,1,FALSE())),"?TYPE_IDENTIFIABLE","?REFERENTIAL"),"_")))))</f>
        <v> </v>
      </c>
      <c r="H2292" s="25" t="str">
        <f>IF(J2292&lt;&gt;1,"",IF(I2292="SBJ","CB","?"))</f>
        <v> </v>
      </c>
      <c r="I2292" s="26" t="str">
        <f>IF(OR(E2292="",E2292="!!!",F2292="NEW"),"",INDEX(B2291:B$2,-1+SUMPRODUCT(MAX(ROW(E2291:E$2)*(E2292=E2291:E$2)))))</f>
        <v> </v>
      </c>
      <c r="J2292" s="26" t="str">
        <f>IF(OR(E2292="",E2292="!!!",F2292="NEW"),"",COUNTBLANK(OFFSET(A$1,,,SUMPRODUCT(MAX(ROW(E$2:E2292)*(E2292=E$2:E2292)))))-COUNTBLANK(OFFSET(A$1,,,SUMPRODUCT(MAX(ROW(E$1:E2291)*(E2=E$1:E2291))))))</f>
        <v> </v>
      </c>
      <c r="K2292" s="26" t="str">
        <f>IF(OR(E2292="",E2292="!!!",F2292="NEW"),"",INDEX(J$1:J2291,SUMPRODUCT(MAX(ROW(E$1:E2291)*(E2292=E$1:E2291)))))</f>
        <v> </v>
      </c>
      <c r="L2292" s="27"/>
    </row>
    <row r="2293" spans="1:12">
      <c r="A2293" s="20" t="s">
        <v>1752</v>
      </c>
      <c r="E2293" s="22">
        <f>IF(D2293="?OLD","!!!","")</f>
        <v/>
      </c>
      <c r="F2293" s="23" t="str">
        <f>IF(OR(E2293="",E2293="!!!"),"",IF(NOT(ISNA(VLOOKUP(E2293,E$1:E2292,1,FALSE()))),"OLD",IF(AND(E2293&lt;&gt;"",E2293&lt;&gt;"!!!"),"NEW","")))</f>
        <v> </v>
      </c>
      <c r="G2293" s="24" t="str">
        <f>IF(OR(E2293="",E2293="!!!"),"",IF(OR(J2293=0,AND(J2293=1,K2293=1),AND(J2293=1,I2293="SBJ"),AND(J2293=1,I2293=0)),"?IN_FOCUS",IF(J2293&lt;=2,"?ACTIVATED",IF(J2293&lt;&gt;"","?FAMILIAR",IF(F2293="NEW",IF(ISNA(VLOOKUP(E2293,#REF!,1,FALSE())),"?TYPE_IDENTIFIABLE","?REFERENTIAL"),"_")))))</f>
        <v> </v>
      </c>
      <c r="H2293" s="25" t="str">
        <f>IF(J2293&lt;&gt;1,"",IF(I2293="SBJ","CB","?"))</f>
        <v> </v>
      </c>
      <c r="I2293" s="26" t="str">
        <f>IF(OR(E2293="",E2293="!!!",F2293="NEW"),"",INDEX(B2292:B$2,-1+SUMPRODUCT(MAX(ROW(E2292:E$2)*(E2293=E2292:E$2)))))</f>
        <v> </v>
      </c>
      <c r="J2293" s="26" t="str">
        <f>IF(OR(E2293="",E2293="!!!",F2293="NEW"),"",COUNTBLANK(OFFSET(A$1,,,SUMPRODUCT(MAX(ROW(E$2:E2293)*(E2293=E$2:E2293)))))-COUNTBLANK(OFFSET(A$1,,,SUMPRODUCT(MAX(ROW(E$1:E2292)*(E2=E$1:E2292))))))</f>
        <v> </v>
      </c>
      <c r="K2293" s="26" t="str">
        <f>IF(OR(E2293="",E2293="!!!",F2293="NEW"),"",INDEX(J$1:J2292,SUMPRODUCT(MAX(ROW(E$1:E2292)*(E2293=E$1:E2292)))))</f>
        <v> </v>
      </c>
      <c r="L2293" s="27"/>
    </row>
    <row r="2294" spans="1:12">
      <c r="A2294" s="20" t="s">
        <v>1075</v>
      </c>
      <c r="E2294" s="22">
        <f>IF(D2294="?OLD","!!!","")</f>
        <v/>
      </c>
      <c r="F2294" s="23" t="str">
        <f>IF(OR(E2294="",E2294="!!!"),"",IF(NOT(ISNA(VLOOKUP(E2294,E$1:E2293,1,FALSE()))),"OLD",IF(AND(E2294&lt;&gt;"",E2294&lt;&gt;"!!!"),"NEW","")))</f>
        <v> </v>
      </c>
      <c r="G2294" s="24" t="str">
        <f>IF(OR(E2294="",E2294="!!!"),"",IF(OR(J2294=0,AND(J2294=1,K2294=1),AND(J2294=1,I2294="SBJ"),AND(J2294=1,I2294=0)),"?IN_FOCUS",IF(J2294&lt;=2,"?ACTIVATED",IF(J2294&lt;&gt;"","?FAMILIAR",IF(F2294="NEW",IF(ISNA(VLOOKUP(E2294,#REF!,1,FALSE())),"?TYPE_IDENTIFIABLE","?REFERENTIAL"),"_")))))</f>
        <v> </v>
      </c>
      <c r="H2294" s="25" t="str">
        <f>IF(J2294&lt;&gt;1,"",IF(I2294="SBJ","CB","?"))</f>
        <v> </v>
      </c>
      <c r="I2294" s="26" t="str">
        <f>IF(OR(E2294="",E2294="!!!",F2294="NEW"),"",INDEX(B2293:B$2,-1+SUMPRODUCT(MAX(ROW(E2293:E$2)*(E2294=E2293:E$2)))))</f>
        <v> </v>
      </c>
      <c r="J2294" s="26" t="str">
        <f>IF(OR(E2294="",E2294="!!!",F2294="NEW"),"",COUNTBLANK(OFFSET(A$1,,,SUMPRODUCT(MAX(ROW(E$2:E2294)*(E2294=E$2:E2294)))))-COUNTBLANK(OFFSET(A$1,,,SUMPRODUCT(MAX(ROW(E$1:E2293)*(E2=E$1:E2293))))))</f>
        <v> </v>
      </c>
      <c r="K2294" s="26" t="str">
        <f>IF(OR(E2294="",E2294="!!!",F2294="NEW"),"",INDEX(J$1:J2293,SUMPRODUCT(MAX(ROW(E$1:E2293)*(E2294=E$1:E2293)))))</f>
        <v> </v>
      </c>
      <c r="L2294" s="27"/>
    </row>
    <row r="2295" spans="1:12">
      <c r="A2295" s="20" t="s">
        <v>1065</v>
      </c>
      <c r="E2295" s="22">
        <f>IF(D2295="?OLD","!!!","")</f>
        <v/>
      </c>
      <c r="F2295" s="23" t="str">
        <f>IF(OR(E2295="",E2295="!!!"),"",IF(NOT(ISNA(VLOOKUP(E2295,E$1:E2294,1,FALSE()))),"OLD",IF(AND(E2295&lt;&gt;"",E2295&lt;&gt;"!!!"),"NEW","")))</f>
        <v> </v>
      </c>
      <c r="G2295" s="24" t="str">
        <f>IF(OR(E2295="",E2295="!!!"),"",IF(OR(J2295=0,AND(J2295=1,K2295=1),AND(J2295=1,I2295="SBJ"),AND(J2295=1,I2295=0)),"?IN_FOCUS",IF(J2295&lt;=2,"?ACTIVATED",IF(J2295&lt;&gt;"","?FAMILIAR",IF(F2295="NEW",IF(ISNA(VLOOKUP(E2295,#REF!,1,FALSE())),"?TYPE_IDENTIFIABLE","?REFERENTIAL"),"_")))))</f>
        <v> </v>
      </c>
      <c r="H2295" s="25" t="str">
        <f>IF(J2295&lt;&gt;1,"",IF(I2295="SBJ","CB","?"))</f>
        <v> </v>
      </c>
      <c r="I2295" s="26" t="str">
        <f>IF(OR(E2295="",E2295="!!!",F2295="NEW"),"",INDEX(B2294:B$2,-1+SUMPRODUCT(MAX(ROW(E2294:E$2)*(E2295=E2294:E$2)))))</f>
        <v> </v>
      </c>
      <c r="J2295" s="26" t="str">
        <f>IF(OR(E2295="",E2295="!!!",F2295="NEW"),"",COUNTBLANK(OFFSET(A$1,,,SUMPRODUCT(MAX(ROW(E$2:E2295)*(E2295=E$2:E2295)))))-COUNTBLANK(OFFSET(A$1,,,SUMPRODUCT(MAX(ROW(E$1:E2294)*(E2=E$1:E2294))))))</f>
        <v> </v>
      </c>
      <c r="K2295" s="26" t="str">
        <f>IF(OR(E2295="",E2295="!!!",F2295="NEW"),"",INDEX(J$1:J2294,SUMPRODUCT(MAX(ROW(E$1:E2294)*(E2295=E$1:E2294)))))</f>
        <v> </v>
      </c>
      <c r="L2295" s="27"/>
    </row>
    <row r="2296" spans="1:12">
      <c r="A2296" s="20" t="s">
        <v>1203</v>
      </c>
      <c r="E2296" s="22">
        <f>IF(D2296="?OLD","!!!","")</f>
        <v/>
      </c>
      <c r="F2296" s="23" t="str">
        <f>IF(OR(E2296="",E2296="!!!"),"",IF(NOT(ISNA(VLOOKUP(E2296,E$1:E2295,1,FALSE()))),"OLD",IF(AND(E2296&lt;&gt;"",E2296&lt;&gt;"!!!"),"NEW","")))</f>
        <v> </v>
      </c>
      <c r="G2296" s="24" t="str">
        <f>IF(OR(E2296="",E2296="!!!"),"",IF(OR(J2296=0,AND(J2296=1,K2296=1),AND(J2296=1,I2296="SBJ"),AND(J2296=1,I2296=0)),"?IN_FOCUS",IF(J2296&lt;=2,"?ACTIVATED",IF(J2296&lt;&gt;"","?FAMILIAR",IF(F2296="NEW",IF(ISNA(VLOOKUP(E2296,#REF!,1,FALSE())),"?TYPE_IDENTIFIABLE","?REFERENTIAL"),"_")))))</f>
        <v> </v>
      </c>
      <c r="H2296" s="25" t="str">
        <f>IF(J2296&lt;&gt;1,"",IF(I2296="SBJ","CB","?"))</f>
        <v> </v>
      </c>
      <c r="I2296" s="26" t="str">
        <f>IF(OR(E2296="",E2296="!!!",F2296="NEW"),"",INDEX(B2295:B$2,-1+SUMPRODUCT(MAX(ROW(E2295:E$2)*(E2296=E2295:E$2)))))</f>
        <v> </v>
      </c>
      <c r="J2296" s="26" t="str">
        <f>IF(OR(E2296="",E2296="!!!",F2296="NEW"),"",COUNTBLANK(OFFSET(A$1,,,SUMPRODUCT(MAX(ROW(E$2:E2296)*(E2296=E$2:E2296)))))-COUNTBLANK(OFFSET(A$1,,,SUMPRODUCT(MAX(ROW(E$1:E2295)*(E2=E$1:E2295))))))</f>
        <v> </v>
      </c>
      <c r="K2296" s="26" t="str">
        <f>IF(OR(E2296="",E2296="!!!",F2296="NEW"),"",INDEX(J$1:J2295,SUMPRODUCT(MAX(ROW(E$1:E2295)*(E2296=E$1:E2295)))))</f>
        <v> </v>
      </c>
      <c r="L2296" s="27"/>
    </row>
    <row r="2297" spans="1:12">
      <c r="A2297" s="20" t="s">
        <v>1286</v>
      </c>
      <c r="E2297" s="22">
        <f>IF(D2297="?OLD","!!!","")</f>
        <v/>
      </c>
      <c r="F2297" s="23" t="str">
        <f>IF(OR(E2297="",E2297="!!!"),"",IF(NOT(ISNA(VLOOKUP(E2297,E$1:E2296,1,FALSE()))),"OLD",IF(AND(E2297&lt;&gt;"",E2297&lt;&gt;"!!!"),"NEW","")))</f>
        <v> </v>
      </c>
      <c r="G2297" s="24" t="str">
        <f>IF(OR(E2297="",E2297="!!!"),"",IF(OR(J2297=0,AND(J2297=1,K2297=1),AND(J2297=1,I2297="SBJ"),AND(J2297=1,I2297=0)),"?IN_FOCUS",IF(J2297&lt;=2,"?ACTIVATED",IF(J2297&lt;&gt;"","?FAMILIAR",IF(F2297="NEW",IF(ISNA(VLOOKUP(E2297,#REF!,1,FALSE())),"?TYPE_IDENTIFIABLE","?REFERENTIAL"),"_")))))</f>
        <v> </v>
      </c>
      <c r="H2297" s="25" t="str">
        <f>IF(J2297&lt;&gt;1,"",IF(I2297="SBJ","CB","?"))</f>
        <v> </v>
      </c>
      <c r="I2297" s="26" t="str">
        <f>IF(OR(E2297="",E2297="!!!",F2297="NEW"),"",INDEX(B2296:B$2,-1+SUMPRODUCT(MAX(ROW(E2296:E$2)*(E2297=E2296:E$2)))))</f>
        <v> </v>
      </c>
      <c r="J2297" s="26" t="str">
        <f>IF(OR(E2297="",E2297="!!!",F2297="NEW"),"",COUNTBLANK(OFFSET(A$1,,,SUMPRODUCT(MAX(ROW(E$2:E2297)*(E2297=E$2:E2297)))))-COUNTBLANK(OFFSET(A$1,,,SUMPRODUCT(MAX(ROW(E$1:E2296)*(E2=E$1:E2296))))))</f>
        <v> </v>
      </c>
      <c r="K2297" s="26" t="str">
        <f>IF(OR(E2297="",E2297="!!!",F2297="NEW"),"",INDEX(J$1:J2296,SUMPRODUCT(MAX(ROW(E$1:E2296)*(E2297=E$1:E2296)))))</f>
        <v> </v>
      </c>
      <c r="L2297" s="27"/>
    </row>
    <row r="2298" spans="1:12">
      <c r="A2298" s="20" t="s">
        <v>1757</v>
      </c>
      <c r="B2298" s="21" t="s">
        <v>1085</v>
      </c>
      <c r="C2298" s="21" t="s">
        <v>1013</v>
      </c>
      <c r="D2298" s="21" t="s">
        <v>1007</v>
      </c>
      <c r="E2298" s="22">
        <f>IF(D2298="?OLD","!!!","")</f>
        <v/>
      </c>
      <c r="F2298" s="23" t="str">
        <f>IF(OR(E2298="",E2298="!!!"),"",IF(NOT(ISNA(VLOOKUP(E2298,E$1:E2297,1,FALSE()))),"OLD",IF(AND(E2298&lt;&gt;"",E2298&lt;&gt;"!!!"),"NEW","")))</f>
        <v> </v>
      </c>
      <c r="G2298" s="24" t="str">
        <f>IF(OR(E2298="",E2298="!!!"),"",IF(OR(J2298=0,AND(J2298=1,K2298=1),AND(J2298=1,I2298="SBJ"),AND(J2298=1,I2298=0)),"?IN_FOCUS",IF(J2298&lt;=2,"?ACTIVATED",IF(J2298&lt;&gt;"","?FAMILIAR",IF(F2298="NEW",IF(ISNA(VLOOKUP(E2298,#REF!,1,FALSE())),"?TYPE_IDENTIFIABLE","?REFERENTIAL"),"_")))))</f>
        <v> </v>
      </c>
      <c r="H2298" s="25" t="str">
        <f>IF(J2298&lt;&gt;1,"",IF(I2298="SBJ","CB","?"))</f>
        <v> </v>
      </c>
      <c r="I2298" s="26" t="str">
        <f>IF(OR(E2298="",E2298="!!!",F2298="NEW"),"",INDEX(B2297:B$2,-1+SUMPRODUCT(MAX(ROW(E2297:E$2)*(E2298=E2297:E$2)))))</f>
        <v> </v>
      </c>
      <c r="J2298" s="26" t="str">
        <f>IF(OR(E2298="",E2298="!!!",F2298="NEW"),"",COUNTBLANK(OFFSET(A$1,,,SUMPRODUCT(MAX(ROW(E$2:E2298)*(E2298=E$2:E2298)))))-COUNTBLANK(OFFSET(A$1,,,SUMPRODUCT(MAX(ROW(E$1:E2297)*(E2=E$1:E2297))))))</f>
        <v> </v>
      </c>
      <c r="K2298" s="26" t="str">
        <f>IF(OR(E2298="",E2298="!!!",F2298="NEW"),"",INDEX(J$1:J2297,SUMPRODUCT(MAX(ROW(E$1:E2297)*(E2298=E$1:E2297)))))</f>
        <v> </v>
      </c>
      <c r="L2298" s="27"/>
    </row>
    <row r="2299" spans="1:12">
      <c r="A2299" s="20" t="s">
        <v>1014</v>
      </c>
      <c r="E2299" s="22">
        <f>IF(D2299="?OLD","!!!","")</f>
        <v/>
      </c>
      <c r="F2299" s="23" t="str">
        <f>IF(OR(E2299="",E2299="!!!"),"",IF(NOT(ISNA(VLOOKUP(E2299,E$1:E2298,1,FALSE()))),"OLD",IF(AND(E2299&lt;&gt;"",E2299&lt;&gt;"!!!"),"NEW","")))</f>
        <v> </v>
      </c>
      <c r="G2299" s="24" t="str">
        <f>IF(OR(E2299="",E2299="!!!"),"",IF(OR(J2299=0,AND(J2299=1,K2299=1),AND(J2299=1,I2299="SBJ"),AND(J2299=1,I2299=0)),"?IN_FOCUS",IF(J2299&lt;=2,"?ACTIVATED",IF(J2299&lt;&gt;"","?FAMILIAR",IF(F2299="NEW",IF(ISNA(VLOOKUP(E2299,#REF!,1,FALSE())),"?TYPE_IDENTIFIABLE","?REFERENTIAL"),"_")))))</f>
        <v> </v>
      </c>
      <c r="H2299" s="25" t="str">
        <f>IF(J2299&lt;&gt;1,"",IF(I2299="SBJ","CB","?"))</f>
        <v> </v>
      </c>
      <c r="I2299" s="26" t="str">
        <f>IF(OR(E2299="",E2299="!!!",F2299="NEW"),"",INDEX(B2298:B$2,-1+SUMPRODUCT(MAX(ROW(E2298:E$2)*(E2299=E2298:E$2)))))</f>
        <v> </v>
      </c>
      <c r="J2299" s="26" t="str">
        <f>IF(OR(E2299="",E2299="!!!",F2299="NEW"),"",COUNTBLANK(OFFSET(A$1,,,SUMPRODUCT(MAX(ROW(E$2:E2299)*(E2299=E$2:E2299)))))-COUNTBLANK(OFFSET(A$1,,,SUMPRODUCT(MAX(ROW(E$1:E2298)*(E2=E$1:E2298))))))</f>
        <v> </v>
      </c>
      <c r="K2299" s="26" t="str">
        <f>IF(OR(E2299="",E2299="!!!",F2299="NEW"),"",INDEX(J$1:J2298,SUMPRODUCT(MAX(ROW(E$1:E2298)*(E2299=E$1:E2298)))))</f>
        <v> </v>
      </c>
      <c r="L2299" s="27"/>
    </row>
    <row r="2300" spans="1:12">
      <c r="A2300" s="20" t="s">
        <v>1758</v>
      </c>
      <c r="B2300" s="21" t="s">
        <v>1022</v>
      </c>
      <c r="C2300" s="21" t="s">
        <v>1048</v>
      </c>
      <c r="E2300" s="22">
        <f>IF(D2300="?OLD","!!!","")</f>
        <v/>
      </c>
      <c r="F2300" s="23" t="str">
        <f>IF(OR(E2300="",E2300="!!!"),"",IF(NOT(ISNA(VLOOKUP(E2300,E$1:E2299,1,FALSE()))),"OLD",IF(AND(E2300&lt;&gt;"",E2300&lt;&gt;"!!!"),"NEW","")))</f>
        <v> </v>
      </c>
      <c r="G2300" s="24" t="str">
        <f>IF(OR(E2300="",E2300="!!!"),"",IF(OR(J2300=0,AND(J2300=1,K2300=1),AND(J2300=1,I2300="SBJ"),AND(J2300=1,I2300=0)),"?IN_FOCUS",IF(J2300&lt;=2,"?ACTIVATED",IF(J2300&lt;&gt;"","?FAMILIAR",IF(F2300="NEW",IF(ISNA(VLOOKUP(E2300,#REF!,1,FALSE())),"?TYPE_IDENTIFIABLE","?REFERENTIAL"),"_")))))</f>
        <v> </v>
      </c>
      <c r="H2300" s="25" t="str">
        <f>IF(J2300&lt;&gt;1,"",IF(I2300="SBJ","CB","?"))</f>
        <v> </v>
      </c>
      <c r="I2300" s="26" t="str">
        <f>IF(OR(E2300="",E2300="!!!",F2300="NEW"),"",INDEX(B2299:B$2,-1+SUMPRODUCT(MAX(ROW(E2299:E$2)*(E2300=E2299:E$2)))))</f>
        <v> </v>
      </c>
      <c r="J2300" s="26" t="str">
        <f>IF(OR(E2300="",E2300="!!!",F2300="NEW"),"",COUNTBLANK(OFFSET(A$1,,,SUMPRODUCT(MAX(ROW(E$2:E2300)*(E2300=E$2:E2300)))))-COUNTBLANK(OFFSET(A$1,,,SUMPRODUCT(MAX(ROW(E$1:E2299)*(E2=E$1:E2299))))))</f>
        <v> </v>
      </c>
      <c r="K2300" s="26" t="str">
        <f>IF(OR(E2300="",E2300="!!!",F2300="NEW"),"",INDEX(J$1:J2299,SUMPRODUCT(MAX(ROW(E$1:E2299)*(E2300=E$1:E2299)))))</f>
        <v> </v>
      </c>
      <c r="L2300" s="27"/>
    </row>
    <row r="2301" spans="1:12">
      <c r="A2301" s="20" t="s">
        <v>1020</v>
      </c>
      <c r="E2301" s="22">
        <f>IF(D2301="?OLD","!!!","")</f>
        <v/>
      </c>
      <c r="F2301" s="23" t="str">
        <f>IF(OR(E2301="",E2301="!!!"),"",IF(NOT(ISNA(VLOOKUP(E2301,E$1:E2300,1,FALSE()))),"OLD",IF(AND(E2301&lt;&gt;"",E2301&lt;&gt;"!!!"),"NEW","")))</f>
        <v> </v>
      </c>
      <c r="G2301" s="24" t="str">
        <f>IF(OR(E2301="",E2301="!!!"),"",IF(OR(J2301=0,AND(J2301=1,K2301=1),AND(J2301=1,I2301="SBJ"),AND(J2301=1,I2301=0)),"?IN_FOCUS",IF(J2301&lt;=2,"?ACTIVATED",IF(J2301&lt;&gt;"","?FAMILIAR",IF(F2301="NEW",IF(ISNA(VLOOKUP(E2301,#REF!,1,FALSE())),"?TYPE_IDENTIFIABLE","?REFERENTIAL"),"_")))))</f>
        <v> </v>
      </c>
      <c r="H2301" s="25" t="str">
        <f>IF(J2301&lt;&gt;1,"",IF(I2301="SBJ","CB","?"))</f>
        <v> </v>
      </c>
      <c r="I2301" s="26" t="str">
        <f>IF(OR(E2301="",E2301="!!!",F2301="NEW"),"",INDEX(B2300:B$2,-1+SUMPRODUCT(MAX(ROW(E2300:E$2)*(E2301=E2300:E$2)))))</f>
        <v> </v>
      </c>
      <c r="J2301" s="26" t="str">
        <f>IF(OR(E2301="",E2301="!!!",F2301="NEW"),"",COUNTBLANK(OFFSET(A$1,,,SUMPRODUCT(MAX(ROW(E$2:E2301)*(E2301=E$2:E2301)))))-COUNTBLANK(OFFSET(A$1,,,SUMPRODUCT(MAX(ROW(E$1:E2300)*(E2=E$1:E2300))))))</f>
        <v> </v>
      </c>
      <c r="K2301" s="26" t="str">
        <f>IF(OR(E2301="",E2301="!!!",F2301="NEW"),"",INDEX(J$1:J2300,SUMPRODUCT(MAX(ROW(E$1:E2300)*(E2301=E$1:E2300)))))</f>
        <v> </v>
      </c>
      <c r="L2301" s="27"/>
    </row>
    <row r="2302" spans="1:12">
      <c r="A2302" s="20" t="s">
        <v>238</v>
      </c>
      <c r="E2302" s="22">
        <f>IF(D2302="?OLD","!!!","")</f>
        <v/>
      </c>
      <c r="F2302" s="23" t="str">
        <f>IF(OR(E2302="",E2302="!!!"),"",IF(NOT(ISNA(VLOOKUP(E2302,E$1:E2301,1,FALSE()))),"OLD",IF(AND(E2302&lt;&gt;"",E2302&lt;&gt;"!!!"),"NEW","")))</f>
        <v> </v>
      </c>
      <c r="G2302" s="24" t="str">
        <f>IF(OR(E2302="",E2302="!!!"),"",IF(OR(J2302=0,AND(J2302=1,K2302=1),AND(J2302=1,I2302="SBJ"),AND(J2302=1,I2302=0)),"?IN_FOCUS",IF(J2302&lt;=2,"?ACTIVATED",IF(J2302&lt;&gt;"","?FAMILIAR",IF(F2302="NEW",IF(ISNA(VLOOKUP(E2302,#REF!,1,FALSE())),"?TYPE_IDENTIFIABLE","?REFERENTIAL"),"_")))))</f>
        <v> </v>
      </c>
      <c r="H2302" s="25" t="str">
        <f>IF(J2302&lt;&gt;1,"",IF(I2302="SBJ","CB","?"))</f>
        <v> </v>
      </c>
      <c r="I2302" s="26" t="str">
        <f>IF(OR(E2302="",E2302="!!!",F2302="NEW"),"",INDEX(B2301:B$2,-1+SUMPRODUCT(MAX(ROW(E2301:E$2)*(E2302=E2301:E$2)))))</f>
        <v> </v>
      </c>
      <c r="J2302" s="26" t="str">
        <f>IF(OR(E2302="",E2302="!!!",F2302="NEW"),"",COUNTBLANK(OFFSET(A$1,,,SUMPRODUCT(MAX(ROW(E$2:E2302)*(E2302=E$2:E2302)))))-COUNTBLANK(OFFSET(A$1,,,SUMPRODUCT(MAX(ROW(E$1:E2301)*(E2=E$1:E2301))))))</f>
        <v> </v>
      </c>
      <c r="K2302" s="26" t="str">
        <f>IF(OR(E2302="",E2302="!!!",F2302="NEW"),"",INDEX(J$1:J2301,SUMPRODUCT(MAX(ROW(E$1:E2301)*(E2302=E$1:E2301)))))</f>
        <v> </v>
      </c>
      <c r="L2302" s="27"/>
    </row>
    <row r="2303" spans="1:12">
      <c r="A2303" s="20" t="s">
        <v>1718</v>
      </c>
      <c r="E2303" s="22">
        <f>IF(D2303="?OLD","!!!","")</f>
        <v/>
      </c>
      <c r="F2303" s="23" t="str">
        <f>IF(OR(E2303="",E2303="!!!"),"",IF(NOT(ISNA(VLOOKUP(E2303,E$1:E2302,1,FALSE()))),"OLD",IF(AND(E2303&lt;&gt;"",E2303&lt;&gt;"!!!"),"NEW","")))</f>
        <v> </v>
      </c>
      <c r="G2303" s="24" t="str">
        <f>IF(OR(E2303="",E2303="!!!"),"",IF(OR(J2303=0,AND(J2303=1,K2303=1),AND(J2303=1,I2303="SBJ"),AND(J2303=1,I2303=0)),"?IN_FOCUS",IF(J2303&lt;=2,"?ACTIVATED",IF(J2303&lt;&gt;"","?FAMILIAR",IF(F2303="NEW",IF(ISNA(VLOOKUP(E2303,#REF!,1,FALSE())),"?TYPE_IDENTIFIABLE","?REFERENTIAL"),"_")))))</f>
        <v> </v>
      </c>
      <c r="H2303" s="25" t="str">
        <f>IF(J2303&lt;&gt;1,"",IF(I2303="SBJ","CB","?"))</f>
        <v> </v>
      </c>
      <c r="I2303" s="26" t="str">
        <f>IF(OR(E2303="",E2303="!!!",F2303="NEW"),"",INDEX(B2302:B$2,-1+SUMPRODUCT(MAX(ROW(E2302:E$2)*(E2303=E2302:E$2)))))</f>
        <v> </v>
      </c>
      <c r="J2303" s="26" t="str">
        <f>IF(OR(E2303="",E2303="!!!",F2303="NEW"),"",COUNTBLANK(OFFSET(A$1,,,SUMPRODUCT(MAX(ROW(E$2:E2303)*(E2303=E$2:E2303)))))-COUNTBLANK(OFFSET(A$1,,,SUMPRODUCT(MAX(ROW(E$1:E2302)*(E2=E$1:E2302))))))</f>
        <v> </v>
      </c>
      <c r="K2303" s="26" t="str">
        <f>IF(OR(E2303="",E2303="!!!",F2303="NEW"),"",INDEX(J$1:J2302,SUMPRODUCT(MAX(ROW(E$1:E2302)*(E2303=E$1:E2302)))))</f>
        <v> </v>
      </c>
      <c r="L2303" s="27"/>
    </row>
    <row r="2304" spans="1:12">
      <c r="A2304" s="20" t="s">
        <v>1030</v>
      </c>
      <c r="E2304" s="22">
        <f>IF(D2304="?OLD","!!!","")</f>
        <v/>
      </c>
      <c r="F2304" s="23" t="str">
        <f>IF(OR(E2304="",E2304="!!!"),"",IF(NOT(ISNA(VLOOKUP(E2304,E$1:E2303,1,FALSE()))),"OLD",IF(AND(E2304&lt;&gt;"",E2304&lt;&gt;"!!!"),"NEW","")))</f>
        <v> </v>
      </c>
      <c r="G2304" s="24" t="str">
        <f>IF(OR(E2304="",E2304="!!!"),"",IF(OR(J2304=0,AND(J2304=1,K2304=1),AND(J2304=1,I2304="SBJ"),AND(J2304=1,I2304=0)),"?IN_FOCUS",IF(J2304&lt;=2,"?ACTIVATED",IF(J2304&lt;&gt;"","?FAMILIAR",IF(F2304="NEW",IF(ISNA(VLOOKUP(E2304,#REF!,1,FALSE())),"?TYPE_IDENTIFIABLE","?REFERENTIAL"),"_")))))</f>
        <v> </v>
      </c>
      <c r="H2304" s="25" t="str">
        <f>IF(J2304&lt;&gt;1,"",IF(I2304="SBJ","CB","?"))</f>
        <v> </v>
      </c>
      <c r="I2304" s="26" t="str">
        <f>IF(OR(E2304="",E2304="!!!",F2304="NEW"),"",INDEX(B2303:B$2,-1+SUMPRODUCT(MAX(ROW(E2303:E$2)*(E2304=E2303:E$2)))))</f>
        <v> </v>
      </c>
      <c r="J2304" s="26" t="str">
        <f>IF(OR(E2304="",E2304="!!!",F2304="NEW"),"",COUNTBLANK(OFFSET(A$1,,,SUMPRODUCT(MAX(ROW(E$2:E2304)*(E2304=E$2:E2304)))))-COUNTBLANK(OFFSET(A$1,,,SUMPRODUCT(MAX(ROW(E$1:E2303)*(E2=E$1:E2303))))))</f>
        <v> </v>
      </c>
      <c r="K2304" s="26" t="str">
        <f>IF(OR(E2304="",E2304="!!!",F2304="NEW"),"",INDEX(J$1:J2303,SUMPRODUCT(MAX(ROW(E$1:E2303)*(E2304=E$1:E2303)))))</f>
        <v> </v>
      </c>
      <c r="L2304" s="27"/>
    </row>
    <row r="2305" spans="1:12">
      <c r="A2305" s="20" t="s">
        <v>1015</v>
      </c>
      <c r="E2305" s="22">
        <f>IF(D2305="?OLD","!!!","")</f>
        <v/>
      </c>
      <c r="F2305" s="23" t="str">
        <f>IF(OR(E2305="",E2305="!!!"),"",IF(NOT(ISNA(VLOOKUP(E2305,E$1:E2304,1,FALSE()))),"OLD",IF(AND(E2305&lt;&gt;"",E2305&lt;&gt;"!!!"),"NEW","")))</f>
        <v> </v>
      </c>
      <c r="G2305" s="24" t="str">
        <f>IF(OR(E2305="",E2305="!!!"),"",IF(OR(J2305=0,AND(J2305=1,K2305=1),AND(J2305=1,I2305="SBJ"),AND(J2305=1,I2305=0)),"?IN_FOCUS",IF(J2305&lt;=2,"?ACTIVATED",IF(J2305&lt;&gt;"","?FAMILIAR",IF(F2305="NEW",IF(ISNA(VLOOKUP(E2305,#REF!,1,FALSE())),"?TYPE_IDENTIFIABLE","?REFERENTIAL"),"_")))))</f>
        <v> </v>
      </c>
      <c r="H2305" s="25" t="str">
        <f>IF(J2305&lt;&gt;1,"",IF(I2305="SBJ","CB","?"))</f>
        <v> </v>
      </c>
      <c r="I2305" s="26" t="str">
        <f>IF(OR(E2305="",E2305="!!!",F2305="NEW"),"",INDEX(B2304:B$2,-1+SUMPRODUCT(MAX(ROW(E2304:E$2)*(E2305=E2304:E$2)))))</f>
        <v> </v>
      </c>
      <c r="J2305" s="26" t="str">
        <f>IF(OR(E2305="",E2305="!!!",F2305="NEW"),"",COUNTBLANK(OFFSET(A$1,,,SUMPRODUCT(MAX(ROW(E$2:E2305)*(E2305=E$2:E2305)))))-COUNTBLANK(OFFSET(A$1,,,SUMPRODUCT(MAX(ROW(E$1:E2304)*(E2=E$1:E2304))))))</f>
        <v> </v>
      </c>
      <c r="K2305" s="26" t="str">
        <f>IF(OR(E2305="",E2305="!!!",F2305="NEW"),"",INDEX(J$1:J2304,SUMPRODUCT(MAX(ROW(E$1:E2304)*(E2305=E$1:E2304)))))</f>
        <v> </v>
      </c>
      <c r="L2305" s="27"/>
    </row>
    <row r="2306" spans="1:12">
      <c r="A2306" s="20" t="s">
        <v>1480</v>
      </c>
      <c r="B2306" s="21" t="s">
        <v>1022</v>
      </c>
      <c r="C2306" s="21" t="s">
        <v>1082</v>
      </c>
      <c r="D2306" s="21" t="s">
        <v>1007</v>
      </c>
      <c r="E2306" s="22">
        <f>IF(D2306="?OLD","!!!","")</f>
        <v/>
      </c>
      <c r="F2306" s="23" t="str">
        <f>IF(OR(E2306="",E2306="!!!"),"",IF(NOT(ISNA(VLOOKUP(E2306,E$1:E2305,1,FALSE()))),"OLD",IF(AND(E2306&lt;&gt;"",E2306&lt;&gt;"!!!"),"NEW","")))</f>
        <v> </v>
      </c>
      <c r="G2306" s="24" t="str">
        <f>IF(OR(E2306="",E2306="!!!"),"",IF(OR(J2306=0,AND(J2306=1,K2306=1),AND(J2306=1,I2306="SBJ"),AND(J2306=1,I2306=0)),"?IN_FOCUS",IF(J2306&lt;=2,"?ACTIVATED",IF(J2306&lt;&gt;"","?FAMILIAR",IF(F2306="NEW",IF(ISNA(VLOOKUP(E2306,#REF!,1,FALSE())),"?TYPE_IDENTIFIABLE","?REFERENTIAL"),"_")))))</f>
        <v> </v>
      </c>
      <c r="H2306" s="25" t="str">
        <f>IF(J2306&lt;&gt;1,"",IF(I2306="SBJ","CB","?"))</f>
        <v> </v>
      </c>
      <c r="I2306" s="26" t="str">
        <f>IF(OR(E2306="",E2306="!!!",F2306="NEW"),"",INDEX(B2305:B$2,-1+SUMPRODUCT(MAX(ROW(E2305:E$2)*(E2306=E2305:E$2)))))</f>
        <v> </v>
      </c>
      <c r="J2306" s="26" t="str">
        <f>IF(OR(E2306="",E2306="!!!",F2306="NEW"),"",COUNTBLANK(OFFSET(A$1,,,SUMPRODUCT(MAX(ROW(E$2:E2306)*(E2306=E$2:E2306)))))-COUNTBLANK(OFFSET(A$1,,,SUMPRODUCT(MAX(ROW(E$1:E2305)*(E2=E$1:E2305))))))</f>
        <v> </v>
      </c>
      <c r="K2306" s="26" t="str">
        <f>IF(OR(E2306="",E2306="!!!",F2306="NEW"),"",INDEX(J$1:J2305,SUMPRODUCT(MAX(ROW(E$1:E2305)*(E2306=E$1:E2305)))))</f>
        <v> </v>
      </c>
      <c r="L2306" s="27"/>
    </row>
    <row r="2307" spans="1:12">
      <c r="A2307" s="20" t="s">
        <v>1014</v>
      </c>
      <c r="E2307" s="22">
        <f>IF(D2307="?OLD","!!!","")</f>
        <v/>
      </c>
      <c r="F2307" s="23" t="str">
        <f>IF(OR(E2307="",E2307="!!!"),"",IF(NOT(ISNA(VLOOKUP(E2307,E$1:E2306,1,FALSE()))),"OLD",IF(AND(E2307&lt;&gt;"",E2307&lt;&gt;"!!!"),"NEW","")))</f>
        <v> </v>
      </c>
      <c r="G2307" s="24" t="str">
        <f>IF(OR(E2307="",E2307="!!!"),"",IF(OR(J2307=0,AND(J2307=1,K2307=1),AND(J2307=1,I2307="SBJ"),AND(J2307=1,I2307=0)),"?IN_FOCUS",IF(J2307&lt;=2,"?ACTIVATED",IF(J2307&lt;&gt;"","?FAMILIAR",IF(F2307="NEW",IF(ISNA(VLOOKUP(E2307,#REF!,1,FALSE())),"?TYPE_IDENTIFIABLE","?REFERENTIAL"),"_")))))</f>
        <v> </v>
      </c>
      <c r="H2307" s="25" t="str">
        <f>IF(J2307&lt;&gt;1,"",IF(I2307="SBJ","CB","?"))</f>
        <v> </v>
      </c>
      <c r="I2307" s="26" t="str">
        <f>IF(OR(E2307="",E2307="!!!",F2307="NEW"),"",INDEX(B2306:B$2,-1+SUMPRODUCT(MAX(ROW(E2306:E$2)*(E2307=E2306:E$2)))))</f>
        <v> </v>
      </c>
      <c r="J2307" s="26" t="str">
        <f>IF(OR(E2307="",E2307="!!!",F2307="NEW"),"",COUNTBLANK(OFFSET(A$1,,,SUMPRODUCT(MAX(ROW(E$2:E2307)*(E2307=E$2:E2307)))))-COUNTBLANK(OFFSET(A$1,,,SUMPRODUCT(MAX(ROW(E$1:E2306)*(E2=E$1:E2306))))))</f>
        <v> </v>
      </c>
      <c r="K2307" s="26" t="str">
        <f>IF(OR(E2307="",E2307="!!!",F2307="NEW"),"",INDEX(J$1:J2306,SUMPRODUCT(MAX(ROW(E$1:E2306)*(E2307=E$1:E2306)))))</f>
        <v> </v>
      </c>
      <c r="L2307" s="27"/>
    </row>
    <row r="2308" spans="1:12">
      <c r="A2308" s="20" t="s">
        <v>102</v>
      </c>
      <c r="B2308" s="21" t="s">
        <v>1130</v>
      </c>
      <c r="C2308" s="21" t="s">
        <v>1073</v>
      </c>
      <c r="D2308" s="21" t="s">
        <v>1007</v>
      </c>
      <c r="E2308" s="22">
        <f>IF(D2308="?OLD","!!!","")</f>
        <v/>
      </c>
      <c r="F2308" s="23" t="str">
        <f>IF(OR(E2308="",E2308="!!!"),"",IF(NOT(ISNA(VLOOKUP(E2308,E$1:E2307,1,FALSE()))),"OLD",IF(AND(E2308&lt;&gt;"",E2308&lt;&gt;"!!!"),"NEW","")))</f>
        <v> </v>
      </c>
      <c r="G2308" s="24" t="str">
        <f>IF(OR(E2308="",E2308="!!!"),"",IF(OR(J2308=0,AND(J2308=1,K2308=1),AND(J2308=1,I2308="SBJ"),AND(J2308=1,I2308=0)),"?IN_FOCUS",IF(J2308&lt;=2,"?ACTIVATED",IF(J2308&lt;&gt;"","?FAMILIAR",IF(F2308="NEW",IF(ISNA(VLOOKUP(E2308,#REF!,1,FALSE())),"?TYPE_IDENTIFIABLE","?REFERENTIAL"),"_")))))</f>
        <v> </v>
      </c>
      <c r="H2308" s="25" t="str">
        <f>IF(J2308&lt;&gt;1,"",IF(I2308="SBJ","CB","?"))</f>
        <v> </v>
      </c>
      <c r="I2308" s="26" t="str">
        <f>IF(OR(E2308="",E2308="!!!",F2308="NEW"),"",INDEX(B2307:B$2,-1+SUMPRODUCT(MAX(ROW(E2307:E$2)*(E2308=E2307:E$2)))))</f>
        <v> </v>
      </c>
      <c r="J2308" s="26" t="str">
        <f>IF(OR(E2308="",E2308="!!!",F2308="NEW"),"",COUNTBLANK(OFFSET(A$1,,,SUMPRODUCT(MAX(ROW(E$2:E2308)*(E2308=E$2:E2308)))))-COUNTBLANK(OFFSET(A$1,,,SUMPRODUCT(MAX(ROW(E$1:E2307)*(E2=E$1:E2307))))))</f>
        <v> </v>
      </c>
      <c r="K2308" s="26" t="str">
        <f>IF(OR(E2308="",E2308="!!!",F2308="NEW"),"",INDEX(J$1:J2307,SUMPRODUCT(MAX(ROW(E$1:E2307)*(E2308=E$1:E2307)))))</f>
        <v> </v>
      </c>
      <c r="L2308" s="27"/>
    </row>
    <row r="2309" spans="1:12">
      <c r="A2309" s="20" t="s">
        <v>1065</v>
      </c>
      <c r="E2309" s="22">
        <f>IF(D2309="?OLD","!!!","")</f>
        <v/>
      </c>
      <c r="F2309" s="23" t="str">
        <f>IF(OR(E2309="",E2309="!!!"),"",IF(NOT(ISNA(VLOOKUP(E2309,E$1:E2308,1,FALSE()))),"OLD",IF(AND(E2309&lt;&gt;"",E2309&lt;&gt;"!!!"),"NEW","")))</f>
        <v> </v>
      </c>
      <c r="G2309" s="24" t="str">
        <f>IF(OR(E2309="",E2309="!!!"),"",IF(OR(J2309=0,AND(J2309=1,K2309=1),AND(J2309=1,I2309="SBJ"),AND(J2309=1,I2309=0)),"?IN_FOCUS",IF(J2309&lt;=2,"?ACTIVATED",IF(J2309&lt;&gt;"","?FAMILIAR",IF(F2309="NEW",IF(ISNA(VLOOKUP(E2309,#REF!,1,FALSE())),"?TYPE_IDENTIFIABLE","?REFERENTIAL"),"_")))))</f>
        <v> </v>
      </c>
      <c r="H2309" s="25" t="str">
        <f>IF(J2309&lt;&gt;1,"",IF(I2309="SBJ","CB","?"))</f>
        <v> </v>
      </c>
      <c r="I2309" s="26" t="str">
        <f>IF(OR(E2309="",E2309="!!!",F2309="NEW"),"",INDEX(B2308:B$2,-1+SUMPRODUCT(MAX(ROW(E2308:E$2)*(E2309=E2308:E$2)))))</f>
        <v> </v>
      </c>
      <c r="J2309" s="26" t="str">
        <f>IF(OR(E2309="",E2309="!!!",F2309="NEW"),"",COUNTBLANK(OFFSET(A$1,,,SUMPRODUCT(MAX(ROW(E$2:E2309)*(E2309=E$2:E2309)))))-COUNTBLANK(OFFSET(A$1,,,SUMPRODUCT(MAX(ROW(E$1:E2308)*(E2=E$1:E2308))))))</f>
        <v> </v>
      </c>
      <c r="K2309" s="26" t="str">
        <f>IF(OR(E2309="",E2309="!!!",F2309="NEW"),"",INDEX(J$1:J2308,SUMPRODUCT(MAX(ROW(E$1:E2308)*(E2309=E$1:E2308)))))</f>
        <v> </v>
      </c>
      <c r="L2309" s="27"/>
    </row>
    <row r="2310" spans="1:12">
      <c r="A2310" s="20" t="s">
        <v>1759</v>
      </c>
      <c r="E2310" s="22">
        <f>IF(D2310="?OLD","!!!","")</f>
        <v/>
      </c>
      <c r="F2310" s="23" t="str">
        <f>IF(OR(E2310="",E2310="!!!"),"",IF(NOT(ISNA(VLOOKUP(E2310,E$1:E2309,1,FALSE()))),"OLD",IF(AND(E2310&lt;&gt;"",E2310&lt;&gt;"!!!"),"NEW","")))</f>
        <v> </v>
      </c>
      <c r="G2310" s="24" t="str">
        <f>IF(OR(E2310="",E2310="!!!"),"",IF(OR(J2310=0,AND(J2310=1,K2310=1),AND(J2310=1,I2310="SBJ"),AND(J2310=1,I2310=0)),"?IN_FOCUS",IF(J2310&lt;=2,"?ACTIVATED",IF(J2310&lt;&gt;"","?FAMILIAR",IF(F2310="NEW",IF(ISNA(VLOOKUP(E2310,#REF!,1,FALSE())),"?TYPE_IDENTIFIABLE","?REFERENTIAL"),"_")))))</f>
        <v> </v>
      </c>
      <c r="H2310" s="25" t="str">
        <f>IF(J2310&lt;&gt;1,"",IF(I2310="SBJ","CB","?"))</f>
        <v> </v>
      </c>
      <c r="I2310" s="26" t="str">
        <f>IF(OR(E2310="",E2310="!!!",F2310="NEW"),"",INDEX(B2309:B$2,-1+SUMPRODUCT(MAX(ROW(E2309:E$2)*(E2310=E2309:E$2)))))</f>
        <v> </v>
      </c>
      <c r="J2310" s="26" t="str">
        <f>IF(OR(E2310="",E2310="!!!",F2310="NEW"),"",COUNTBLANK(OFFSET(A$1,,,SUMPRODUCT(MAX(ROW(E$2:E2310)*(E2310=E$2:E2310)))))-COUNTBLANK(OFFSET(A$1,,,SUMPRODUCT(MAX(ROW(E$1:E2309)*(E2=E$1:E2309))))))</f>
        <v> </v>
      </c>
      <c r="K2310" s="26" t="str">
        <f>IF(OR(E2310="",E2310="!!!",F2310="NEW"),"",INDEX(J$1:J2309,SUMPRODUCT(MAX(ROW(E$1:E2309)*(E2310=E$1:E2309)))))</f>
        <v> </v>
      </c>
      <c r="L2310" s="27"/>
    </row>
    <row r="2311" spans="1:12">
      <c r="A2311" s="20" t="s">
        <v>1030</v>
      </c>
      <c r="E2311" s="22">
        <f>IF(D2311="?OLD","!!!","")</f>
        <v/>
      </c>
      <c r="F2311" s="23" t="str">
        <f>IF(OR(E2311="",E2311="!!!"),"",IF(NOT(ISNA(VLOOKUP(E2311,E$1:E2310,1,FALSE()))),"OLD",IF(AND(E2311&lt;&gt;"",E2311&lt;&gt;"!!!"),"NEW","")))</f>
        <v> </v>
      </c>
      <c r="G2311" s="24" t="str">
        <f>IF(OR(E2311="",E2311="!!!"),"",IF(OR(J2311=0,AND(J2311=1,K2311=1),AND(J2311=1,I2311="SBJ"),AND(J2311=1,I2311=0)),"?IN_FOCUS",IF(J2311&lt;=2,"?ACTIVATED",IF(J2311&lt;&gt;"","?FAMILIAR",IF(F2311="NEW",IF(ISNA(VLOOKUP(E2311,#REF!,1,FALSE())),"?TYPE_IDENTIFIABLE","?REFERENTIAL"),"_")))))</f>
        <v> </v>
      </c>
      <c r="H2311" s="25" t="str">
        <f>IF(J2311&lt;&gt;1,"",IF(I2311="SBJ","CB","?"))</f>
        <v> </v>
      </c>
      <c r="I2311" s="26" t="str">
        <f>IF(OR(E2311="",E2311="!!!",F2311="NEW"),"",INDEX(B2310:B$2,-1+SUMPRODUCT(MAX(ROW(E2310:E$2)*(E2311=E2310:E$2)))))</f>
        <v> </v>
      </c>
      <c r="J2311" s="26" t="str">
        <f>IF(OR(E2311="",E2311="!!!",F2311="NEW"),"",COUNTBLANK(OFFSET(A$1,,,SUMPRODUCT(MAX(ROW(E$2:E2311)*(E2311=E$2:E2311)))))-COUNTBLANK(OFFSET(A$1,,,SUMPRODUCT(MAX(ROW(E$1:E2310)*(E2=E$1:E2310))))))</f>
        <v> </v>
      </c>
      <c r="K2311" s="26" t="str">
        <f>IF(OR(E2311="",E2311="!!!",F2311="NEW"),"",INDEX(J$1:J2310,SUMPRODUCT(MAX(ROW(E$1:E2310)*(E2311=E$1:E2310)))))</f>
        <v> </v>
      </c>
      <c r="L2311" s="27"/>
    </row>
    <row r="2312" spans="1:12">
      <c r="A2312" s="20" t="s">
        <v>1020</v>
      </c>
      <c r="E2312" s="22">
        <f>IF(D2312="?OLD","!!!","")</f>
        <v/>
      </c>
      <c r="F2312" s="23" t="str">
        <f>IF(OR(E2312="",E2312="!!!"),"",IF(NOT(ISNA(VLOOKUP(E2312,E$1:E2311,1,FALSE()))),"OLD",IF(AND(E2312&lt;&gt;"",E2312&lt;&gt;"!!!"),"NEW","")))</f>
        <v> </v>
      </c>
      <c r="G2312" s="24" t="str">
        <f>IF(OR(E2312="",E2312="!!!"),"",IF(OR(J2312=0,AND(J2312=1,K2312=1),AND(J2312=1,I2312="SBJ"),AND(J2312=1,I2312=0)),"?IN_FOCUS",IF(J2312&lt;=2,"?ACTIVATED",IF(J2312&lt;&gt;"","?FAMILIAR",IF(F2312="NEW",IF(ISNA(VLOOKUP(E2312,#REF!,1,FALSE())),"?TYPE_IDENTIFIABLE","?REFERENTIAL"),"_")))))</f>
        <v> </v>
      </c>
      <c r="H2312" s="25" t="str">
        <f>IF(J2312&lt;&gt;1,"",IF(I2312="SBJ","CB","?"))</f>
        <v> </v>
      </c>
      <c r="I2312" s="26" t="str">
        <f>IF(OR(E2312="",E2312="!!!",F2312="NEW"),"",INDEX(B2311:B$2,-1+SUMPRODUCT(MAX(ROW(E2311:E$2)*(E2312=E2311:E$2)))))</f>
        <v> </v>
      </c>
      <c r="J2312" s="26" t="str">
        <f>IF(OR(E2312="",E2312="!!!",F2312="NEW"),"",COUNTBLANK(OFFSET(A$1,,,SUMPRODUCT(MAX(ROW(E$2:E2312)*(E2312=E$2:E2312)))))-COUNTBLANK(OFFSET(A$1,,,SUMPRODUCT(MAX(ROW(E$1:E2311)*(E2=E$1:E2311))))))</f>
        <v> </v>
      </c>
      <c r="K2312" s="26" t="str">
        <f>IF(OR(E2312="",E2312="!!!",F2312="NEW"),"",INDEX(J$1:J2311,SUMPRODUCT(MAX(ROW(E$1:E2311)*(E2312=E$1:E2311)))))</f>
        <v> </v>
      </c>
      <c r="L2312" s="27"/>
    </row>
    <row r="2313" spans="1:12">
      <c r="A2313" s="20" t="s">
        <v>1054</v>
      </c>
      <c r="B2313" s="21" t="s">
        <v>1035</v>
      </c>
      <c r="C2313" s="21" t="s">
        <v>1006</v>
      </c>
      <c r="D2313" s="21" t="s">
        <v>1007</v>
      </c>
      <c r="E2313" s="22">
        <f>IF(D2313="?OLD","!!!","")</f>
        <v/>
      </c>
      <c r="F2313" s="23" t="str">
        <f>IF(OR(E2313="",E2313="!!!"),"",IF(NOT(ISNA(VLOOKUP(E2313,E$1:E2312,1,FALSE()))),"OLD",IF(AND(E2313&lt;&gt;"",E2313&lt;&gt;"!!!"),"NEW","")))</f>
        <v> </v>
      </c>
      <c r="G2313" s="24" t="str">
        <f>IF(OR(E2313="",E2313="!!!"),"",IF(OR(J2313=0,AND(J2313=1,K2313=1),AND(J2313=1,I2313="SBJ"),AND(J2313=1,I2313=0)),"?IN_FOCUS",IF(J2313&lt;=2,"?ACTIVATED",IF(J2313&lt;&gt;"","?FAMILIAR",IF(F2313="NEW",IF(ISNA(VLOOKUP(E2313,#REF!,1,FALSE())),"?TYPE_IDENTIFIABLE","?REFERENTIAL"),"_")))))</f>
        <v> </v>
      </c>
      <c r="H2313" s="25" t="str">
        <f>IF(J2313&lt;&gt;1,"",IF(I2313="SBJ","CB","?"))</f>
        <v> </v>
      </c>
      <c r="I2313" s="26" t="str">
        <f>IF(OR(E2313="",E2313="!!!",F2313="NEW"),"",INDEX(B2312:B$2,-1+SUMPRODUCT(MAX(ROW(E2312:E$2)*(E2313=E2312:E$2)))))</f>
        <v> </v>
      </c>
      <c r="J2313" s="26" t="str">
        <f>IF(OR(E2313="",E2313="!!!",F2313="NEW"),"",COUNTBLANK(OFFSET(A$1,,,SUMPRODUCT(MAX(ROW(E$2:E2313)*(E2313=E$2:E2313)))))-COUNTBLANK(OFFSET(A$1,,,SUMPRODUCT(MAX(ROW(E$1:E2312)*(E2=E$1:E2312))))))</f>
        <v> </v>
      </c>
      <c r="K2313" s="26" t="str">
        <f>IF(OR(E2313="",E2313="!!!",F2313="NEW"),"",INDEX(J$1:J2312,SUMPRODUCT(MAX(ROW(E$1:E2312)*(E2313=E$1:E2312)))))</f>
        <v> </v>
      </c>
      <c r="L2313" s="27"/>
    </row>
    <row r="2314" spans="1:12">
      <c r="A2314" s="20" t="s">
        <v>1018</v>
      </c>
      <c r="E2314" s="22">
        <f>IF(D2314="?OLD","!!!","")</f>
        <v/>
      </c>
      <c r="F2314" s="23" t="str">
        <f>IF(OR(E2314="",E2314="!!!"),"",IF(NOT(ISNA(VLOOKUP(E2314,E$1:E2313,1,FALSE()))),"OLD",IF(AND(E2314&lt;&gt;"",E2314&lt;&gt;"!!!"),"NEW","")))</f>
        <v> </v>
      </c>
      <c r="G2314" s="24" t="str">
        <f>IF(OR(E2314="",E2314="!!!"),"",IF(OR(J2314=0,AND(J2314=1,K2314=1),AND(J2314=1,I2314="SBJ"),AND(J2314=1,I2314=0)),"?IN_FOCUS",IF(J2314&lt;=2,"?ACTIVATED",IF(J2314&lt;&gt;"","?FAMILIAR",IF(F2314="NEW",IF(ISNA(VLOOKUP(E2314,#REF!,1,FALSE())),"?TYPE_IDENTIFIABLE","?REFERENTIAL"),"_")))))</f>
        <v> </v>
      </c>
      <c r="H2314" s="25" t="str">
        <f>IF(J2314&lt;&gt;1,"",IF(I2314="SBJ","CB","?"))</f>
        <v> </v>
      </c>
      <c r="I2314" s="26" t="str">
        <f>IF(OR(E2314="",E2314="!!!",F2314="NEW"),"",INDEX(B2313:B$2,-1+SUMPRODUCT(MAX(ROW(E2313:E$2)*(E2314=E2313:E$2)))))</f>
        <v> </v>
      </c>
      <c r="J2314" s="26" t="str">
        <f>IF(OR(E2314="",E2314="!!!",F2314="NEW"),"",COUNTBLANK(OFFSET(A$1,,,SUMPRODUCT(MAX(ROW(E$2:E2314)*(E2314=E$2:E2314)))))-COUNTBLANK(OFFSET(A$1,,,SUMPRODUCT(MAX(ROW(E$1:E2313)*(E2=E$1:E2313))))))</f>
        <v> </v>
      </c>
      <c r="K2314" s="26" t="str">
        <f>IF(OR(E2314="",E2314="!!!",F2314="NEW"),"",INDEX(J$1:J2313,SUMPRODUCT(MAX(ROW(E$1:E2313)*(E2314=E$1:E2313)))))</f>
        <v> </v>
      </c>
      <c r="L2314" s="27"/>
    </row>
    <row r="2315" spans="1:12">
      <c r="A2315" s="20" t="s">
        <v>1030</v>
      </c>
      <c r="E2315" s="22">
        <f>IF(D2315="?OLD","!!!","")</f>
        <v/>
      </c>
      <c r="F2315" s="23" t="str">
        <f>IF(OR(E2315="",E2315="!!!"),"",IF(NOT(ISNA(VLOOKUP(E2315,E$1:E2314,1,FALSE()))),"OLD",IF(AND(E2315&lt;&gt;"",E2315&lt;&gt;"!!!"),"NEW","")))</f>
        <v> </v>
      </c>
      <c r="G2315" s="24" t="str">
        <f>IF(OR(E2315="",E2315="!!!"),"",IF(OR(J2315=0,AND(J2315=1,K2315=1),AND(J2315=1,I2315="SBJ"),AND(J2315=1,I2315=0)),"?IN_FOCUS",IF(J2315&lt;=2,"?ACTIVATED",IF(J2315&lt;&gt;"","?FAMILIAR",IF(F2315="NEW",IF(ISNA(VLOOKUP(E2315,#REF!,1,FALSE())),"?TYPE_IDENTIFIABLE","?REFERENTIAL"),"_")))))</f>
        <v> </v>
      </c>
      <c r="H2315" s="25" t="str">
        <f>IF(J2315&lt;&gt;1,"",IF(I2315="SBJ","CB","?"))</f>
        <v> </v>
      </c>
      <c r="I2315" s="26" t="str">
        <f>IF(OR(E2315="",E2315="!!!",F2315="NEW"),"",INDEX(B2314:B$2,-1+SUMPRODUCT(MAX(ROW(E2314:E$2)*(E2315=E2314:E$2)))))</f>
        <v> </v>
      </c>
      <c r="J2315" s="26" t="str">
        <f>IF(OR(E2315="",E2315="!!!",F2315="NEW"),"",COUNTBLANK(OFFSET(A$1,,,SUMPRODUCT(MAX(ROW(E$2:E2315)*(E2315=E$2:E2315)))))-COUNTBLANK(OFFSET(A$1,,,SUMPRODUCT(MAX(ROW(E$1:E2314)*(E2=E$1:E2314))))))</f>
        <v> </v>
      </c>
      <c r="K2315" s="26" t="str">
        <f>IF(OR(E2315="",E2315="!!!",F2315="NEW"),"",INDEX(J$1:J2314,SUMPRODUCT(MAX(ROW(E$1:E2314)*(E2315=E$1:E2314)))))</f>
        <v> </v>
      </c>
      <c r="L2315" s="27"/>
    </row>
    <row r="2316" spans="1:12">
      <c r="A2316" s="20" t="s">
        <v>1760</v>
      </c>
      <c r="B2316" s="21" t="s">
        <v>1042</v>
      </c>
      <c r="C2316" s="21" t="s">
        <v>1048</v>
      </c>
      <c r="E2316" s="22">
        <f>IF(D2316="?OLD","!!!","")</f>
        <v/>
      </c>
      <c r="F2316" s="23" t="str">
        <f>IF(OR(E2316="",E2316="!!!"),"",IF(NOT(ISNA(VLOOKUP(E2316,E$1:E2315,1,FALSE()))),"OLD",IF(AND(E2316&lt;&gt;"",E2316&lt;&gt;"!!!"),"NEW","")))</f>
        <v> </v>
      </c>
      <c r="G2316" s="24" t="str">
        <f>IF(OR(E2316="",E2316="!!!"),"",IF(OR(J2316=0,AND(J2316=1,K2316=1),AND(J2316=1,I2316="SBJ"),AND(J2316=1,I2316=0)),"?IN_FOCUS",IF(J2316&lt;=2,"?ACTIVATED",IF(J2316&lt;&gt;"","?FAMILIAR",IF(F2316="NEW",IF(ISNA(VLOOKUP(E2316,#REF!,1,FALSE())),"?TYPE_IDENTIFIABLE","?REFERENTIAL"),"_")))))</f>
        <v> </v>
      </c>
      <c r="H2316" s="25" t="str">
        <f>IF(J2316&lt;&gt;1,"",IF(I2316="SBJ","CB","?"))</f>
        <v> </v>
      </c>
      <c r="I2316" s="26" t="str">
        <f>IF(OR(E2316="",E2316="!!!",F2316="NEW"),"",INDEX(B2315:B$2,-1+SUMPRODUCT(MAX(ROW(E2315:E$2)*(E2316=E2315:E$2)))))</f>
        <v> </v>
      </c>
      <c r="J2316" s="26" t="str">
        <f>IF(OR(E2316="",E2316="!!!",F2316="NEW"),"",COUNTBLANK(OFFSET(A$1,,,SUMPRODUCT(MAX(ROW(E$2:E2316)*(E2316=E$2:E2316)))))-COUNTBLANK(OFFSET(A$1,,,SUMPRODUCT(MAX(ROW(E$1:E2315)*(E2=E$1:E2315))))))</f>
        <v> </v>
      </c>
      <c r="K2316" s="26" t="str">
        <f>IF(OR(E2316="",E2316="!!!",F2316="NEW"),"",INDEX(J$1:J2315,SUMPRODUCT(MAX(ROW(E$1:E2315)*(E2316=E$1:E2315)))))</f>
        <v> </v>
      </c>
      <c r="L2316" s="27"/>
    </row>
    <row r="2317" spans="1:12">
      <c r="A2317" s="20" t="s">
        <v>1020</v>
      </c>
      <c r="E2317" s="22">
        <f>IF(D2317="?OLD","!!!","")</f>
        <v/>
      </c>
      <c r="F2317" s="23" t="str">
        <f>IF(OR(E2317="",E2317="!!!"),"",IF(NOT(ISNA(VLOOKUP(E2317,E$1:E2316,1,FALSE()))),"OLD",IF(AND(E2317&lt;&gt;"",E2317&lt;&gt;"!!!"),"NEW","")))</f>
        <v> </v>
      </c>
      <c r="G2317" s="24" t="str">
        <f>IF(OR(E2317="",E2317="!!!"),"",IF(OR(J2317=0,AND(J2317=1,K2317=1),AND(J2317=1,I2317="SBJ"),AND(J2317=1,I2317=0)),"?IN_FOCUS",IF(J2317&lt;=2,"?ACTIVATED",IF(J2317&lt;&gt;"","?FAMILIAR",IF(F2317="NEW",IF(ISNA(VLOOKUP(E2317,#REF!,1,FALSE())),"?TYPE_IDENTIFIABLE","?REFERENTIAL"),"_")))))</f>
        <v> </v>
      </c>
      <c r="H2317" s="25" t="str">
        <f>IF(J2317&lt;&gt;1,"",IF(I2317="SBJ","CB","?"))</f>
        <v> </v>
      </c>
      <c r="I2317" s="26" t="str">
        <f>IF(OR(E2317="",E2317="!!!",F2317="NEW"),"",INDEX(B2316:B$2,-1+SUMPRODUCT(MAX(ROW(E2316:E$2)*(E2317=E2316:E$2)))))</f>
        <v> </v>
      </c>
      <c r="J2317" s="26" t="str">
        <f>IF(OR(E2317="",E2317="!!!",F2317="NEW"),"",COUNTBLANK(OFFSET(A$1,,,SUMPRODUCT(MAX(ROW(E$2:E2317)*(E2317=E$2:E2317)))))-COUNTBLANK(OFFSET(A$1,,,SUMPRODUCT(MAX(ROW(E$1:E2316)*(E2=E$1:E2316))))))</f>
        <v> </v>
      </c>
      <c r="K2317" s="26" t="str">
        <f>IF(OR(E2317="",E2317="!!!",F2317="NEW"),"",INDEX(J$1:J2316,SUMPRODUCT(MAX(ROW(E$1:E2316)*(E2317=E$1:E2316)))))</f>
        <v> </v>
      </c>
      <c r="L2317" s="27"/>
    </row>
    <row r="2318" spans="1:12">
      <c r="A2318" s="20" t="s">
        <v>1015</v>
      </c>
      <c r="E2318" s="22">
        <f>IF(D2318="?OLD","!!!","")</f>
        <v/>
      </c>
      <c r="F2318" s="23" t="str">
        <f>IF(OR(E2318="",E2318="!!!"),"",IF(NOT(ISNA(VLOOKUP(E2318,E$1:E2317,1,FALSE()))),"OLD",IF(AND(E2318&lt;&gt;"",E2318&lt;&gt;"!!!"),"NEW","")))</f>
        <v> </v>
      </c>
      <c r="G2318" s="24" t="str">
        <f>IF(OR(E2318="",E2318="!!!"),"",IF(OR(J2318=0,AND(J2318=1,K2318=1),AND(J2318=1,I2318="SBJ"),AND(J2318=1,I2318=0)),"?IN_FOCUS",IF(J2318&lt;=2,"?ACTIVATED",IF(J2318&lt;&gt;"","?FAMILIAR",IF(F2318="NEW",IF(ISNA(VLOOKUP(E2318,#REF!,1,FALSE())),"?TYPE_IDENTIFIABLE","?REFERENTIAL"),"_")))))</f>
        <v> </v>
      </c>
      <c r="H2318" s="25" t="str">
        <f>IF(J2318&lt;&gt;1,"",IF(I2318="SBJ","CB","?"))</f>
        <v> </v>
      </c>
      <c r="I2318" s="26" t="str">
        <f>IF(OR(E2318="",E2318="!!!",F2318="NEW"),"",INDEX(B2317:B$2,-1+SUMPRODUCT(MAX(ROW(E2317:E$2)*(E2318=E2317:E$2)))))</f>
        <v> </v>
      </c>
      <c r="J2318" s="26" t="str">
        <f>IF(OR(E2318="",E2318="!!!",F2318="NEW"),"",COUNTBLANK(OFFSET(A$1,,,SUMPRODUCT(MAX(ROW(E$2:E2318)*(E2318=E$2:E2318)))))-COUNTBLANK(OFFSET(A$1,,,SUMPRODUCT(MAX(ROW(E$1:E2317)*(E2=E$1:E2317))))))</f>
        <v> </v>
      </c>
      <c r="K2318" s="26" t="str">
        <f>IF(OR(E2318="",E2318="!!!",F2318="NEW"),"",INDEX(J$1:J2317,SUMPRODUCT(MAX(ROW(E$1:E2317)*(E2318=E$1:E2317)))))</f>
        <v> </v>
      </c>
      <c r="L2318" s="27"/>
    </row>
    <row r="2319" spans="1:12">
      <c r="A2319" s="20" t="s">
        <v>1761</v>
      </c>
      <c r="B2319" s="21" t="s">
        <v>1130</v>
      </c>
      <c r="C2319" s="21" t="s">
        <v>1017</v>
      </c>
      <c r="D2319" s="21" t="s">
        <v>1007</v>
      </c>
      <c r="E2319" s="22">
        <f>IF(D2319="?OLD","!!!","")</f>
        <v/>
      </c>
      <c r="F2319" s="23" t="str">
        <f>IF(OR(E2319="",E2319="!!!"),"",IF(NOT(ISNA(VLOOKUP(E2319,E$1:E2318,1,FALSE()))),"OLD",IF(AND(E2319&lt;&gt;"",E2319&lt;&gt;"!!!"),"NEW","")))</f>
        <v> </v>
      </c>
      <c r="G2319" s="24" t="str">
        <f>IF(OR(E2319="",E2319="!!!"),"",IF(OR(J2319=0,AND(J2319=1,K2319=1),AND(J2319=1,I2319="SBJ"),AND(J2319=1,I2319=0)),"?IN_FOCUS",IF(J2319&lt;=2,"?ACTIVATED",IF(J2319&lt;&gt;"","?FAMILIAR",IF(F2319="NEW",IF(ISNA(VLOOKUP(E2319,#REF!,1,FALSE())),"?TYPE_IDENTIFIABLE","?REFERENTIAL"),"_")))))</f>
        <v> </v>
      </c>
      <c r="H2319" s="25" t="str">
        <f>IF(J2319&lt;&gt;1,"",IF(I2319="SBJ","CB","?"))</f>
        <v> </v>
      </c>
      <c r="I2319" s="26" t="str">
        <f>IF(OR(E2319="",E2319="!!!",F2319="NEW"),"",INDEX(B2318:B$2,-1+SUMPRODUCT(MAX(ROW(E2318:E$2)*(E2319=E2318:E$2)))))</f>
        <v> </v>
      </c>
      <c r="J2319" s="26" t="str">
        <f>IF(OR(E2319="",E2319="!!!",F2319="NEW"),"",COUNTBLANK(OFFSET(A$1,,,SUMPRODUCT(MAX(ROW(E$2:E2319)*(E2319=E$2:E2319)))))-COUNTBLANK(OFFSET(A$1,,,SUMPRODUCT(MAX(ROW(E$1:E2318)*(E2=E$1:E2318))))))</f>
        <v> </v>
      </c>
      <c r="K2319" s="26" t="str">
        <f>IF(OR(E2319="",E2319="!!!",F2319="NEW"),"",INDEX(J$1:J2318,SUMPRODUCT(MAX(ROW(E$1:E2318)*(E2319=E$1:E2318)))))</f>
        <v> </v>
      </c>
      <c r="L2319" s="27"/>
    </row>
    <row r="2320" spans="1:12">
      <c r="A2320" s="20" t="s">
        <v>1023</v>
      </c>
      <c r="E2320" s="22">
        <f>IF(D2320="?OLD","!!!","")</f>
        <v/>
      </c>
      <c r="F2320" s="23" t="str">
        <f>IF(OR(E2320="",E2320="!!!"),"",IF(NOT(ISNA(VLOOKUP(E2320,E$1:E2319,1,FALSE()))),"OLD",IF(AND(E2320&lt;&gt;"",E2320&lt;&gt;"!!!"),"NEW","")))</f>
        <v> </v>
      </c>
      <c r="G2320" s="24" t="str">
        <f>IF(OR(E2320="",E2320="!!!"),"",IF(OR(J2320=0,AND(J2320=1,K2320=1),AND(J2320=1,I2320="SBJ"),AND(J2320=1,I2320=0)),"?IN_FOCUS",IF(J2320&lt;=2,"?ACTIVATED",IF(J2320&lt;&gt;"","?FAMILIAR",IF(F2320="NEW",IF(ISNA(VLOOKUP(E2320,#REF!,1,FALSE())),"?TYPE_IDENTIFIABLE","?REFERENTIAL"),"_")))))</f>
        <v> </v>
      </c>
      <c r="H2320" s="25" t="str">
        <f>IF(J2320&lt;&gt;1,"",IF(I2320="SBJ","CB","?"))</f>
        <v> </v>
      </c>
      <c r="I2320" s="26" t="str">
        <f>IF(OR(E2320="",E2320="!!!",F2320="NEW"),"",INDEX(B2319:B$2,-1+SUMPRODUCT(MAX(ROW(E2319:E$2)*(E2320=E2319:E$2)))))</f>
        <v> </v>
      </c>
      <c r="J2320" s="26" t="str">
        <f>IF(OR(E2320="",E2320="!!!",F2320="NEW"),"",COUNTBLANK(OFFSET(A$1,,,SUMPRODUCT(MAX(ROW(E$2:E2320)*(E2320=E$2:E2320)))))-COUNTBLANK(OFFSET(A$1,,,SUMPRODUCT(MAX(ROW(E$1:E2319)*(E2=E$1:E2319))))))</f>
        <v> </v>
      </c>
      <c r="K2320" s="26" t="str">
        <f>IF(OR(E2320="",E2320="!!!",F2320="NEW"),"",INDEX(J$1:J2319,SUMPRODUCT(MAX(ROW(E$1:E2319)*(E2320=E$1:E2319)))))</f>
        <v> </v>
      </c>
      <c r="L2320" s="27"/>
    </row>
    <row r="2321" spans="1:12">
      <c r="A2321" s="20"/>
    </row>
    <row r="2322" spans="1:12">
      <c r="A2322" s="20" t="s">
        <v>1762</v>
      </c>
    </row>
    <row r="2323" spans="1:12">
      <c r="A2323" s="20" t="s">
        <v>1147</v>
      </c>
      <c r="E2323" s="22">
        <f>IF(D2323="?OLD","!!!","")</f>
        <v/>
      </c>
      <c r="F2323" s="23" t="str">
        <f>IF(OR(E2323="",E2323="!!!"),"",IF(NOT(ISNA(VLOOKUP(E2323,E$1:E2322,1,FALSE()))),"OLD",IF(AND(E2323&lt;&gt;"",E2323&lt;&gt;"!!!"),"NEW","")))</f>
        <v> </v>
      </c>
      <c r="G2323" s="24" t="str">
        <f>IF(OR(E2323="",E2323="!!!"),"",IF(OR(J2323=0,AND(J2323=1,K2323=1),AND(J2323=1,I2323="SBJ"),AND(J2323=1,I2323=0)),"?IN_FOCUS",IF(J2323&lt;=2,"?ACTIVATED",IF(J2323&lt;&gt;"","?FAMILIAR",IF(F2323="NEW",IF(ISNA(VLOOKUP(E2323,#REF!,1,FALSE())),"?TYPE_IDENTIFIABLE","?REFERENTIAL"),"_")))))</f>
        <v> </v>
      </c>
      <c r="H2323" s="25" t="str">
        <f>IF(J2323&lt;&gt;1,"",IF(I2323="SBJ","CB","?"))</f>
        <v> </v>
      </c>
      <c r="I2323" s="26" t="str">
        <f>IF(OR(E2323="",E2323="!!!",F2323="NEW"),"",INDEX(B2322:B$2,-1+SUMPRODUCT(MAX(ROW(E2322:E$2)*(E2323=E2322:E$2)))))</f>
        <v> </v>
      </c>
      <c r="J2323" s="26" t="str">
        <f>IF(OR(E2323="",E2323="!!!",F2323="NEW"),"",COUNTBLANK(OFFSET(A$1,,,SUMPRODUCT(MAX(ROW(E$2:E2323)*(E2323=E$2:E2323)))))-COUNTBLANK(OFFSET(A$1,,,SUMPRODUCT(MAX(ROW(E$1:E2322)*(E2=E$1:E2322))))))</f>
        <v> </v>
      </c>
      <c r="K2323" s="26" t="str">
        <f>IF(OR(E2323="",E2323="!!!",F2323="NEW"),"",INDEX(J$1:J2322,SUMPRODUCT(MAX(ROW(E$1:E2322)*(E2323=E$1:E2322)))))</f>
        <v> </v>
      </c>
      <c r="L2323" s="27"/>
    </row>
    <row r="2324" spans="1:12">
      <c r="A2324" s="20" t="s">
        <v>1133</v>
      </c>
      <c r="B2324" s="21" t="s">
        <v>1085</v>
      </c>
      <c r="C2324" s="21" t="s">
        <v>1082</v>
      </c>
      <c r="D2324" s="21" t="s">
        <v>1007</v>
      </c>
      <c r="E2324" s="22">
        <f>IF(D2324="?OLD","!!!","")</f>
        <v/>
      </c>
      <c r="F2324" s="23" t="str">
        <f>IF(OR(E2324="",E2324="!!!"),"",IF(NOT(ISNA(VLOOKUP(E2324,E$1:E2323,1,FALSE()))),"OLD",IF(AND(E2324&lt;&gt;"",E2324&lt;&gt;"!!!"),"NEW","")))</f>
        <v> </v>
      </c>
      <c r="G2324" s="24" t="str">
        <f>IF(OR(E2324="",E2324="!!!"),"",IF(OR(J2324=0,AND(J2324=1,K2324=1),AND(J2324=1,I2324="SBJ"),AND(J2324=1,I2324=0)),"?IN_FOCUS",IF(J2324&lt;=2,"?ACTIVATED",IF(J2324&lt;&gt;"","?FAMILIAR",IF(F2324="NEW",IF(ISNA(VLOOKUP(E2324,#REF!,1,FALSE())),"?TYPE_IDENTIFIABLE","?REFERENTIAL"),"_")))))</f>
        <v> </v>
      </c>
      <c r="H2324" s="25" t="str">
        <f>IF(J2324&lt;&gt;1,"",IF(I2324="SBJ","CB","?"))</f>
        <v> </v>
      </c>
      <c r="I2324" s="26" t="str">
        <f>IF(OR(E2324="",E2324="!!!",F2324="NEW"),"",INDEX(B2323:B$2,-1+SUMPRODUCT(MAX(ROW(E2323:E$2)*(E2324=E2323:E$2)))))</f>
        <v> </v>
      </c>
      <c r="J2324" s="26" t="str">
        <f>IF(OR(E2324="",E2324="!!!",F2324="NEW"),"",COUNTBLANK(OFFSET(A$1,,,SUMPRODUCT(MAX(ROW(E$2:E2324)*(E2324=E$2:E2324)))))-COUNTBLANK(OFFSET(A$1,,,SUMPRODUCT(MAX(ROW(E$1:E2323)*(E2=E$1:E2323))))))</f>
        <v> </v>
      </c>
      <c r="K2324" s="26" t="str">
        <f>IF(OR(E2324="",E2324="!!!",F2324="NEW"),"",INDEX(J$1:J2323,SUMPRODUCT(MAX(ROW(E$1:E2323)*(E2324=E$1:E2323)))))</f>
        <v> </v>
      </c>
      <c r="L2324" s="27"/>
    </row>
    <row r="2325" spans="1:12">
      <c r="A2325" s="20" t="s">
        <v>1763</v>
      </c>
      <c r="E2325" s="22">
        <f>IF(D2325="?OLD","!!!","")</f>
        <v/>
      </c>
      <c r="F2325" s="23" t="str">
        <f>IF(OR(E2325="",E2325="!!!"),"",IF(NOT(ISNA(VLOOKUP(E2325,E$1:E2324,1,FALSE()))),"OLD",IF(AND(E2325&lt;&gt;"",E2325&lt;&gt;"!!!"),"NEW","")))</f>
        <v> </v>
      </c>
      <c r="G2325" s="24" t="str">
        <f>IF(OR(E2325="",E2325="!!!"),"",IF(OR(J2325=0,AND(J2325=1,K2325=1),AND(J2325=1,I2325="SBJ"),AND(J2325=1,I2325=0)),"?IN_FOCUS",IF(J2325&lt;=2,"?ACTIVATED",IF(J2325&lt;&gt;"","?FAMILIAR",IF(F2325="NEW",IF(ISNA(VLOOKUP(E2325,#REF!,1,FALSE())),"?TYPE_IDENTIFIABLE","?REFERENTIAL"),"_")))))</f>
        <v> </v>
      </c>
      <c r="H2325" s="25" t="str">
        <f>IF(J2325&lt;&gt;1,"",IF(I2325="SBJ","CB","?"))</f>
        <v> </v>
      </c>
      <c r="I2325" s="26" t="str">
        <f>IF(OR(E2325="",E2325="!!!",F2325="NEW"),"",INDEX(B2324:B$2,-1+SUMPRODUCT(MAX(ROW(E2324:E$2)*(E2325=E2324:E$2)))))</f>
        <v> </v>
      </c>
      <c r="J2325" s="26" t="str">
        <f>IF(OR(E2325="",E2325="!!!",F2325="NEW"),"",COUNTBLANK(OFFSET(A$1,,,SUMPRODUCT(MAX(ROW(E$2:E2325)*(E2325=E$2:E2325)))))-COUNTBLANK(OFFSET(A$1,,,SUMPRODUCT(MAX(ROW(E$1:E2324)*(E2=E$1:E2324))))))</f>
        <v> </v>
      </c>
      <c r="K2325" s="26" t="str">
        <f>IF(OR(E2325="",E2325="!!!",F2325="NEW"),"",INDEX(J$1:J2324,SUMPRODUCT(MAX(ROW(E$1:E2324)*(E2325=E$1:E2324)))))</f>
        <v> </v>
      </c>
      <c r="L2325" s="27"/>
    </row>
    <row r="2326" spans="1:12">
      <c r="A2326" s="20" t="s">
        <v>1065</v>
      </c>
      <c r="E2326" s="22">
        <f>IF(D2326="?OLD","!!!","")</f>
        <v/>
      </c>
      <c r="F2326" s="23" t="str">
        <f>IF(OR(E2326="",E2326="!!!"),"",IF(NOT(ISNA(VLOOKUP(E2326,E$1:E2325,1,FALSE()))),"OLD",IF(AND(E2326&lt;&gt;"",E2326&lt;&gt;"!!!"),"NEW","")))</f>
        <v> </v>
      </c>
      <c r="G2326" s="24" t="str">
        <f>IF(OR(E2326="",E2326="!!!"),"",IF(OR(J2326=0,AND(J2326=1,K2326=1),AND(J2326=1,I2326="SBJ"),AND(J2326=1,I2326=0)),"?IN_FOCUS",IF(J2326&lt;=2,"?ACTIVATED",IF(J2326&lt;&gt;"","?FAMILIAR",IF(F2326="NEW",IF(ISNA(VLOOKUP(E2326,#REF!,1,FALSE())),"?TYPE_IDENTIFIABLE","?REFERENTIAL"),"_")))))</f>
        <v> </v>
      </c>
      <c r="H2326" s="25" t="str">
        <f>IF(J2326&lt;&gt;1,"",IF(I2326="SBJ","CB","?"))</f>
        <v> </v>
      </c>
      <c r="I2326" s="26" t="str">
        <f>IF(OR(E2326="",E2326="!!!",F2326="NEW"),"",INDEX(B2325:B$2,-1+SUMPRODUCT(MAX(ROW(E2325:E$2)*(E2326=E2325:E$2)))))</f>
        <v> </v>
      </c>
      <c r="J2326" s="26" t="str">
        <f>IF(OR(E2326="",E2326="!!!",F2326="NEW"),"",COUNTBLANK(OFFSET(A$1,,,SUMPRODUCT(MAX(ROW(E$2:E2326)*(E2326=E$2:E2326)))))-COUNTBLANK(OFFSET(A$1,,,SUMPRODUCT(MAX(ROW(E$1:E2325)*(E2=E$1:E2325))))))</f>
        <v> </v>
      </c>
      <c r="K2326" s="26" t="str">
        <f>IF(OR(E2326="",E2326="!!!",F2326="NEW"),"",INDEX(J$1:J2325,SUMPRODUCT(MAX(ROW(E$1:E2325)*(E2326=E$1:E2325)))))</f>
        <v> </v>
      </c>
      <c r="L2326" s="27"/>
    </row>
    <row r="2327" spans="1:12">
      <c r="A2327" s="20" t="s">
        <v>1070</v>
      </c>
      <c r="E2327" s="22">
        <f>IF(D2327="?OLD","!!!","")</f>
        <v/>
      </c>
      <c r="F2327" s="23" t="str">
        <f>IF(OR(E2327="",E2327="!!!"),"",IF(NOT(ISNA(VLOOKUP(E2327,E$1:E2326,1,FALSE()))),"OLD",IF(AND(E2327&lt;&gt;"",E2327&lt;&gt;"!!!"),"NEW","")))</f>
        <v> </v>
      </c>
      <c r="G2327" s="24" t="str">
        <f>IF(OR(E2327="",E2327="!!!"),"",IF(OR(J2327=0,AND(J2327=1,K2327=1),AND(J2327=1,I2327="SBJ"),AND(J2327=1,I2327=0)),"?IN_FOCUS",IF(J2327&lt;=2,"?ACTIVATED",IF(J2327&lt;&gt;"","?FAMILIAR",IF(F2327="NEW",IF(ISNA(VLOOKUP(E2327,#REF!,1,FALSE())),"?TYPE_IDENTIFIABLE","?REFERENTIAL"),"_")))))</f>
        <v> </v>
      </c>
      <c r="H2327" s="25" t="str">
        <f>IF(J2327&lt;&gt;1,"",IF(I2327="SBJ","CB","?"))</f>
        <v> </v>
      </c>
      <c r="I2327" s="26" t="str">
        <f>IF(OR(E2327="",E2327="!!!",F2327="NEW"),"",INDEX(B2326:B$2,-1+SUMPRODUCT(MAX(ROW(E2326:E$2)*(E2327=E2326:E$2)))))</f>
        <v> </v>
      </c>
      <c r="J2327" s="26" t="str">
        <f>IF(OR(E2327="",E2327="!!!",F2327="NEW"),"",COUNTBLANK(OFFSET(A$1,,,SUMPRODUCT(MAX(ROW(E$2:E2327)*(E2327=E$2:E2327)))))-COUNTBLANK(OFFSET(A$1,,,SUMPRODUCT(MAX(ROW(E$1:E2326)*(E2=E$1:E2326))))))</f>
        <v> </v>
      </c>
      <c r="K2327" s="26" t="str">
        <f>IF(OR(E2327="",E2327="!!!",F2327="NEW"),"",INDEX(J$1:J2326,SUMPRODUCT(MAX(ROW(E$1:E2326)*(E2327=E$1:E2326)))))</f>
        <v> </v>
      </c>
      <c r="L2327" s="27"/>
    </row>
    <row r="2328" spans="1:12">
      <c r="A2328" s="20" t="s">
        <v>1284</v>
      </c>
      <c r="B2328" s="21" t="s">
        <v>1005</v>
      </c>
      <c r="C2328" s="21" t="s">
        <v>1073</v>
      </c>
      <c r="D2328" s="21" t="s">
        <v>1007</v>
      </c>
      <c r="E2328" s="22">
        <f>IF(D2328="?OLD","!!!","")</f>
        <v/>
      </c>
      <c r="F2328" s="23" t="str">
        <f>IF(OR(E2328="",E2328="!!!"),"",IF(NOT(ISNA(VLOOKUP(E2328,E$1:E2327,1,FALSE()))),"OLD",IF(AND(E2328&lt;&gt;"",E2328&lt;&gt;"!!!"),"NEW","")))</f>
        <v> </v>
      </c>
      <c r="G2328" s="24" t="str">
        <f>IF(OR(E2328="",E2328="!!!"),"",IF(OR(J2328=0,AND(J2328=1,K2328=1),AND(J2328=1,I2328="SBJ"),AND(J2328=1,I2328=0)),"?IN_FOCUS",IF(J2328&lt;=2,"?ACTIVATED",IF(J2328&lt;&gt;"","?FAMILIAR",IF(F2328="NEW",IF(ISNA(VLOOKUP(E2328,#REF!,1,FALSE())),"?TYPE_IDENTIFIABLE","?REFERENTIAL"),"_")))))</f>
        <v> </v>
      </c>
      <c r="H2328" s="25" t="str">
        <f>IF(J2328&lt;&gt;1,"",IF(I2328="SBJ","CB","?"))</f>
        <v> </v>
      </c>
      <c r="I2328" s="26" t="str">
        <f>IF(OR(E2328="",E2328="!!!",F2328="NEW"),"",INDEX(B2327:B$2,-1+SUMPRODUCT(MAX(ROW(E2327:E$2)*(E2328=E2327:E$2)))))</f>
        <v> </v>
      </c>
      <c r="J2328" s="26" t="str">
        <f>IF(OR(E2328="",E2328="!!!",F2328="NEW"),"",COUNTBLANK(OFFSET(A$1,,,SUMPRODUCT(MAX(ROW(E$2:E2328)*(E2328=E$2:E2328)))))-COUNTBLANK(OFFSET(A$1,,,SUMPRODUCT(MAX(ROW(E$1:E2327)*(E2=E$1:E2327))))))</f>
        <v> </v>
      </c>
      <c r="K2328" s="26" t="str">
        <f>IF(OR(E2328="",E2328="!!!",F2328="NEW"),"",INDEX(J$1:J2327,SUMPRODUCT(MAX(ROW(E$1:E2327)*(E2328=E$1:E2327)))))</f>
        <v> </v>
      </c>
      <c r="L2328" s="27"/>
    </row>
    <row r="2329" spans="1:12">
      <c r="A2329" s="20" t="s">
        <v>102</v>
      </c>
      <c r="B2329" s="21" t="s">
        <v>1119</v>
      </c>
      <c r="C2329" s="21" t="s">
        <v>1073</v>
      </c>
      <c r="D2329" s="21" t="s">
        <v>1007</v>
      </c>
      <c r="E2329" s="22">
        <f>IF(D2329="?OLD","!!!","")</f>
        <v/>
      </c>
      <c r="F2329" s="23" t="str">
        <f>IF(OR(E2329="",E2329="!!!"),"",IF(NOT(ISNA(VLOOKUP(E2329,E$1:E2328,1,FALSE()))),"OLD",IF(AND(E2329&lt;&gt;"",E2329&lt;&gt;"!!!"),"NEW","")))</f>
        <v> </v>
      </c>
      <c r="G2329" s="24" t="str">
        <f>IF(OR(E2329="",E2329="!!!"),"",IF(OR(J2329=0,AND(J2329=1,K2329=1),AND(J2329=1,I2329="SBJ"),AND(J2329=1,I2329=0)),"?IN_FOCUS",IF(J2329&lt;=2,"?ACTIVATED",IF(J2329&lt;&gt;"","?FAMILIAR",IF(F2329="NEW",IF(ISNA(VLOOKUP(E2329,#REF!,1,FALSE())),"?TYPE_IDENTIFIABLE","?REFERENTIAL"),"_")))))</f>
        <v> </v>
      </c>
      <c r="H2329" s="25" t="str">
        <f>IF(J2329&lt;&gt;1,"",IF(I2329="SBJ","CB","?"))</f>
        <v> </v>
      </c>
      <c r="I2329" s="26" t="str">
        <f>IF(OR(E2329="",E2329="!!!",F2329="NEW"),"",INDEX(B2328:B$2,-1+SUMPRODUCT(MAX(ROW(E2328:E$2)*(E2329=E2328:E$2)))))</f>
        <v> </v>
      </c>
      <c r="J2329" s="26" t="str">
        <f>IF(OR(E2329="",E2329="!!!",F2329="NEW"),"",COUNTBLANK(OFFSET(A$1,,,SUMPRODUCT(MAX(ROW(E$2:E2329)*(E2329=E$2:E2329)))))-COUNTBLANK(OFFSET(A$1,,,SUMPRODUCT(MAX(ROW(E$1:E2328)*(E2=E$1:E2328))))))</f>
        <v> </v>
      </c>
      <c r="K2329" s="26" t="str">
        <f>IF(OR(E2329="",E2329="!!!",F2329="NEW"),"",INDEX(J$1:J2328,SUMPRODUCT(MAX(ROW(E$1:E2328)*(E2329=E$1:E2328)))))</f>
        <v> </v>
      </c>
      <c r="L2329" s="27"/>
    </row>
    <row r="2330" spans="1:12">
      <c r="A2330" s="20" t="s">
        <v>1065</v>
      </c>
      <c r="B2330" s="21" t="s">
        <v>1064</v>
      </c>
      <c r="E2330" s="22">
        <f>IF(D2330="?OLD","!!!","")</f>
        <v/>
      </c>
      <c r="F2330" s="23" t="str">
        <f>IF(OR(E2330="",E2330="!!!"),"",IF(NOT(ISNA(VLOOKUP(E2330,E$1:E2329,1,FALSE()))),"OLD",IF(AND(E2330&lt;&gt;"",E2330&lt;&gt;"!!!"),"NEW","")))</f>
        <v> </v>
      </c>
      <c r="G2330" s="24" t="str">
        <f>IF(OR(E2330="",E2330="!!!"),"",IF(OR(J2330=0,AND(J2330=1,K2330=1),AND(J2330=1,I2330="SBJ"),AND(J2330=1,I2330=0)),"?IN_FOCUS",IF(J2330&lt;=2,"?ACTIVATED",IF(J2330&lt;&gt;"","?FAMILIAR",IF(F2330="NEW",IF(ISNA(VLOOKUP(E2330,#REF!,1,FALSE())),"?TYPE_IDENTIFIABLE","?REFERENTIAL"),"_")))))</f>
        <v> </v>
      </c>
      <c r="H2330" s="25" t="str">
        <f>IF(J2330&lt;&gt;1,"",IF(I2330="SBJ","CB","?"))</f>
        <v> </v>
      </c>
      <c r="I2330" s="26" t="str">
        <f>IF(OR(E2330="",E2330="!!!",F2330="NEW"),"",INDEX(B2329:B$2,-1+SUMPRODUCT(MAX(ROW(E2329:E$2)*(E2330=E2329:E$2)))))</f>
        <v> </v>
      </c>
      <c r="J2330" s="26" t="str">
        <f>IF(OR(E2330="",E2330="!!!",F2330="NEW"),"",COUNTBLANK(OFFSET(A$1,,,SUMPRODUCT(MAX(ROW(E$2:E2330)*(E2330=E$2:E2330)))))-COUNTBLANK(OFFSET(A$1,,,SUMPRODUCT(MAX(ROW(E$1:E2329)*(E2=E$1:E2329))))))</f>
        <v> </v>
      </c>
      <c r="K2330" s="26" t="str">
        <f>IF(OR(E2330="",E2330="!!!",F2330="NEW"),"",INDEX(J$1:J2329,SUMPRODUCT(MAX(ROW(E$1:E2329)*(E2330=E$1:E2329)))))</f>
        <v> </v>
      </c>
      <c r="L2330" s="27"/>
    </row>
    <row r="2331" spans="1:12">
      <c r="A2331" s="20" t="s">
        <v>1324</v>
      </c>
      <c r="E2331" s="22">
        <f>IF(D2331="?OLD","!!!","")</f>
        <v/>
      </c>
      <c r="F2331" s="23" t="str">
        <f>IF(OR(E2331="",E2331="!!!"),"",IF(NOT(ISNA(VLOOKUP(E2331,E$1:E2330,1,FALSE()))),"OLD",IF(AND(E2331&lt;&gt;"",E2331&lt;&gt;"!!!"),"NEW","")))</f>
        <v> </v>
      </c>
      <c r="G2331" s="24" t="str">
        <f>IF(OR(E2331="",E2331="!!!"),"",IF(OR(J2331=0,AND(J2331=1,K2331=1),AND(J2331=1,I2331="SBJ"),AND(J2331=1,I2331=0)),"?IN_FOCUS",IF(J2331&lt;=2,"?ACTIVATED",IF(J2331&lt;&gt;"","?FAMILIAR",IF(F2331="NEW",IF(ISNA(VLOOKUP(E2331,#REF!,1,FALSE())),"?TYPE_IDENTIFIABLE","?REFERENTIAL"),"_")))))</f>
        <v> </v>
      </c>
      <c r="H2331" s="25" t="str">
        <f>IF(J2331&lt;&gt;1,"",IF(I2331="SBJ","CB","?"))</f>
        <v> </v>
      </c>
      <c r="I2331" s="26" t="str">
        <f>IF(OR(E2331="",E2331="!!!",F2331="NEW"),"",INDEX(B2330:B$2,-1+SUMPRODUCT(MAX(ROW(E2330:E$2)*(E2331=E2330:E$2)))))</f>
        <v> </v>
      </c>
      <c r="J2331" s="26" t="str">
        <f>IF(OR(E2331="",E2331="!!!",F2331="NEW"),"",COUNTBLANK(OFFSET(A$1,,,SUMPRODUCT(MAX(ROW(E$2:E2331)*(E2331=E$2:E2331)))))-COUNTBLANK(OFFSET(A$1,,,SUMPRODUCT(MAX(ROW(E$1:E2330)*(E2=E$1:E2330))))))</f>
        <v> </v>
      </c>
      <c r="K2331" s="26" t="str">
        <f>IF(OR(E2331="",E2331="!!!",F2331="NEW"),"",INDEX(J$1:J2330,SUMPRODUCT(MAX(ROW(E$1:E2330)*(E2331=E$1:E2330)))))</f>
        <v> </v>
      </c>
      <c r="L2331" s="27"/>
    </row>
    <row r="2332" spans="1:12">
      <c r="A2332" s="20" t="s">
        <v>1764</v>
      </c>
      <c r="B2332" s="21" t="s">
        <v>1120</v>
      </c>
      <c r="C2332" s="21" t="s">
        <v>1013</v>
      </c>
      <c r="D2332" s="21" t="s">
        <v>1007</v>
      </c>
      <c r="E2332" s="22">
        <f>IF(D2332="?OLD","!!!","")</f>
        <v/>
      </c>
      <c r="F2332" s="23" t="str">
        <f>IF(OR(E2332="",E2332="!!!"),"",IF(NOT(ISNA(VLOOKUP(E2332,E$1:E2331,1,FALSE()))),"OLD",IF(AND(E2332&lt;&gt;"",E2332&lt;&gt;"!!!"),"NEW","")))</f>
        <v> </v>
      </c>
      <c r="G2332" s="24" t="str">
        <f>IF(OR(E2332="",E2332="!!!"),"",IF(OR(J2332=0,AND(J2332=1,K2332=1),AND(J2332=1,I2332="SBJ"),AND(J2332=1,I2332=0)),"?IN_FOCUS",IF(J2332&lt;=2,"?ACTIVATED",IF(J2332&lt;&gt;"","?FAMILIAR",IF(F2332="NEW",IF(ISNA(VLOOKUP(E2332,#REF!,1,FALSE())),"?TYPE_IDENTIFIABLE","?REFERENTIAL"),"_")))))</f>
        <v> </v>
      </c>
      <c r="H2332" s="25" t="str">
        <f>IF(J2332&lt;&gt;1,"",IF(I2332="SBJ","CB","?"))</f>
        <v> </v>
      </c>
      <c r="I2332" s="26" t="str">
        <f>IF(OR(E2332="",E2332="!!!",F2332="NEW"),"",INDEX(B2331:B$2,-1+SUMPRODUCT(MAX(ROW(E2331:E$2)*(E2332=E2331:E$2)))))</f>
        <v> </v>
      </c>
      <c r="J2332" s="26" t="str">
        <f>IF(OR(E2332="",E2332="!!!",F2332="NEW"),"",COUNTBLANK(OFFSET(A$1,,,SUMPRODUCT(MAX(ROW(E$2:E2332)*(E2332=E$2:E2332)))))-COUNTBLANK(OFFSET(A$1,,,SUMPRODUCT(MAX(ROW(E$1:E2331)*(E2=E$1:E2331))))))</f>
        <v> </v>
      </c>
      <c r="K2332" s="26" t="str">
        <f>IF(OR(E2332="",E2332="!!!",F2332="NEW"),"",INDEX(J$1:J2331,SUMPRODUCT(MAX(ROW(E$1:E2331)*(E2332=E$1:E2331)))))</f>
        <v> </v>
      </c>
      <c r="L2332" s="27"/>
    </row>
    <row r="2333" spans="1:12">
      <c r="A2333" s="20" t="s">
        <v>1014</v>
      </c>
      <c r="E2333" s="22">
        <f>IF(D2333="?OLD","!!!","")</f>
        <v/>
      </c>
      <c r="F2333" s="23" t="str">
        <f>IF(OR(E2333="",E2333="!!!"),"",IF(NOT(ISNA(VLOOKUP(E2333,E$1:E2332,1,FALSE()))),"OLD",IF(AND(E2333&lt;&gt;"",E2333&lt;&gt;"!!!"),"NEW","")))</f>
        <v> </v>
      </c>
      <c r="G2333" s="24" t="str">
        <f>IF(OR(E2333="",E2333="!!!"),"",IF(OR(J2333=0,AND(J2333=1,K2333=1),AND(J2333=1,I2333="SBJ"),AND(J2333=1,I2333=0)),"?IN_FOCUS",IF(J2333&lt;=2,"?ACTIVATED",IF(J2333&lt;&gt;"","?FAMILIAR",IF(F2333="NEW",IF(ISNA(VLOOKUP(E2333,#REF!,1,FALSE())),"?TYPE_IDENTIFIABLE","?REFERENTIAL"),"_")))))</f>
        <v> </v>
      </c>
      <c r="H2333" s="25" t="str">
        <f>IF(J2333&lt;&gt;1,"",IF(I2333="SBJ","CB","?"))</f>
        <v> </v>
      </c>
      <c r="I2333" s="26" t="str">
        <f>IF(OR(E2333="",E2333="!!!",F2333="NEW"),"",INDEX(B2332:B$2,-1+SUMPRODUCT(MAX(ROW(E2332:E$2)*(E2333=E2332:E$2)))))</f>
        <v> </v>
      </c>
      <c r="J2333" s="26" t="str">
        <f>IF(OR(E2333="",E2333="!!!",F2333="NEW"),"",COUNTBLANK(OFFSET(A$1,,,SUMPRODUCT(MAX(ROW(E$2:E2333)*(E2333=E$2:E2333)))))-COUNTBLANK(OFFSET(A$1,,,SUMPRODUCT(MAX(ROW(E$1:E2332)*(E2=E$1:E2332))))))</f>
        <v> </v>
      </c>
      <c r="K2333" s="26" t="str">
        <f>IF(OR(E2333="",E2333="!!!",F2333="NEW"),"",INDEX(J$1:J2332,SUMPRODUCT(MAX(ROW(E$1:E2332)*(E2333=E$1:E2332)))))</f>
        <v> </v>
      </c>
      <c r="L2333" s="27"/>
    </row>
    <row r="2334" spans="1:12">
      <c r="A2334" s="20" t="s">
        <v>1243</v>
      </c>
      <c r="B2334" s="21" t="s">
        <v>1130</v>
      </c>
      <c r="C2334" s="21" t="s">
        <v>1048</v>
      </c>
      <c r="E2334" s="22">
        <f>IF(D2334="?OLD","!!!","")</f>
        <v/>
      </c>
      <c r="F2334" s="23" t="str">
        <f>IF(OR(E2334="",E2334="!!!"),"",IF(NOT(ISNA(VLOOKUP(E2334,E$1:E2333,1,FALSE()))),"OLD",IF(AND(E2334&lt;&gt;"",E2334&lt;&gt;"!!!"),"NEW","")))</f>
        <v> </v>
      </c>
      <c r="G2334" s="24" t="str">
        <f>IF(OR(E2334="",E2334="!!!"),"",IF(OR(J2334=0,AND(J2334=1,K2334=1),AND(J2334=1,I2334="SBJ"),AND(J2334=1,I2334=0)),"?IN_FOCUS",IF(J2334&lt;=2,"?ACTIVATED",IF(J2334&lt;&gt;"","?FAMILIAR",IF(F2334="NEW",IF(ISNA(VLOOKUP(E2334,#REF!,1,FALSE())),"?TYPE_IDENTIFIABLE","?REFERENTIAL"),"_")))))</f>
        <v> </v>
      </c>
      <c r="H2334" s="25" t="str">
        <f>IF(J2334&lt;&gt;1,"",IF(I2334="SBJ","CB","?"))</f>
        <v> </v>
      </c>
      <c r="I2334" s="26" t="str">
        <f>IF(OR(E2334="",E2334="!!!",F2334="NEW"),"",INDEX(B2333:B$2,-1+SUMPRODUCT(MAX(ROW(E2333:E$2)*(E2334=E2333:E$2)))))</f>
        <v> </v>
      </c>
      <c r="J2334" s="26" t="str">
        <f>IF(OR(E2334="",E2334="!!!",F2334="NEW"),"",COUNTBLANK(OFFSET(A$1,,,SUMPRODUCT(MAX(ROW(E$2:E2334)*(E2334=E$2:E2334)))))-COUNTBLANK(OFFSET(A$1,,,SUMPRODUCT(MAX(ROW(E$1:E2333)*(E2=E$1:E2333))))))</f>
        <v> </v>
      </c>
      <c r="K2334" s="26" t="str">
        <f>IF(OR(E2334="",E2334="!!!",F2334="NEW"),"",INDEX(J$1:J2333,SUMPRODUCT(MAX(ROW(E$1:E2333)*(E2334=E$1:E2333)))))</f>
        <v> </v>
      </c>
      <c r="L2334" s="27"/>
    </row>
    <row r="2335" spans="1:12">
      <c r="A2335" s="20" t="s">
        <v>1765</v>
      </c>
      <c r="E2335" s="22">
        <f>IF(D2335="?OLD","!!!","")</f>
        <v/>
      </c>
      <c r="F2335" s="23" t="str">
        <f>IF(OR(E2335="",E2335="!!!"),"",IF(NOT(ISNA(VLOOKUP(E2335,E$1:E2334,1,FALSE()))),"OLD",IF(AND(E2335&lt;&gt;"",E2335&lt;&gt;"!!!"),"NEW","")))</f>
        <v> </v>
      </c>
      <c r="G2335" s="24" t="str">
        <f>IF(OR(E2335="",E2335="!!!"),"",IF(OR(J2335=0,AND(J2335=1,K2335=1),AND(J2335=1,I2335="SBJ"),AND(J2335=1,I2335=0)),"?IN_FOCUS",IF(J2335&lt;=2,"?ACTIVATED",IF(J2335&lt;&gt;"","?FAMILIAR",IF(F2335="NEW",IF(ISNA(VLOOKUP(E2335,#REF!,1,FALSE())),"?TYPE_IDENTIFIABLE","?REFERENTIAL"),"_")))))</f>
        <v> </v>
      </c>
      <c r="H2335" s="25" t="str">
        <f>IF(J2335&lt;&gt;1,"",IF(I2335="SBJ","CB","?"))</f>
        <v> </v>
      </c>
      <c r="I2335" s="26" t="str">
        <f>IF(OR(E2335="",E2335="!!!",F2335="NEW"),"",INDEX(B2334:B$2,-1+SUMPRODUCT(MAX(ROW(E2334:E$2)*(E2335=E2334:E$2)))))</f>
        <v> </v>
      </c>
      <c r="J2335" s="26" t="str">
        <f>IF(OR(E2335="",E2335="!!!",F2335="NEW"),"",COUNTBLANK(OFFSET(A$1,,,SUMPRODUCT(MAX(ROW(E$2:E2335)*(E2335=E$2:E2335)))))-COUNTBLANK(OFFSET(A$1,,,SUMPRODUCT(MAX(ROW(E$1:E2334)*(E2=E$1:E2334))))))</f>
        <v> </v>
      </c>
      <c r="K2335" s="26" t="str">
        <f>IF(OR(E2335="",E2335="!!!",F2335="NEW"),"",INDEX(J$1:J2334,SUMPRODUCT(MAX(ROW(E$1:E2334)*(E2335=E$1:E2334)))))</f>
        <v> </v>
      </c>
      <c r="L2335" s="27"/>
    </row>
    <row r="2336" spans="1:12">
      <c r="A2336" s="20" t="s">
        <v>392</v>
      </c>
      <c r="E2336" s="22">
        <f>IF(D2336="?OLD","!!!","")</f>
        <v/>
      </c>
      <c r="F2336" s="23" t="str">
        <f>IF(OR(E2336="",E2336="!!!"),"",IF(NOT(ISNA(VLOOKUP(E2336,E$1:E2335,1,FALSE()))),"OLD",IF(AND(E2336&lt;&gt;"",E2336&lt;&gt;"!!!"),"NEW","")))</f>
        <v> </v>
      </c>
      <c r="G2336" s="24" t="str">
        <f>IF(OR(E2336="",E2336="!!!"),"",IF(OR(J2336=0,AND(J2336=1,K2336=1),AND(J2336=1,I2336="SBJ"),AND(J2336=1,I2336=0)),"?IN_FOCUS",IF(J2336&lt;=2,"?ACTIVATED",IF(J2336&lt;&gt;"","?FAMILIAR",IF(F2336="NEW",IF(ISNA(VLOOKUP(E2336,#REF!,1,FALSE())),"?TYPE_IDENTIFIABLE","?REFERENTIAL"),"_")))))</f>
        <v> </v>
      </c>
      <c r="H2336" s="25" t="str">
        <f>IF(J2336&lt;&gt;1,"",IF(I2336="SBJ","CB","?"))</f>
        <v> </v>
      </c>
      <c r="I2336" s="26" t="str">
        <f>IF(OR(E2336="",E2336="!!!",F2336="NEW"),"",INDEX(B2335:B$2,-1+SUMPRODUCT(MAX(ROW(E2335:E$2)*(E2336=E2335:E$2)))))</f>
        <v> </v>
      </c>
      <c r="J2336" s="26" t="str">
        <f>IF(OR(E2336="",E2336="!!!",F2336="NEW"),"",COUNTBLANK(OFFSET(A$1,,,SUMPRODUCT(MAX(ROW(E$2:E2336)*(E2336=E$2:E2336)))))-COUNTBLANK(OFFSET(A$1,,,SUMPRODUCT(MAX(ROW(E$1:E2335)*(E2=E$1:E2335))))))</f>
        <v> </v>
      </c>
      <c r="K2336" s="26" t="str">
        <f>IF(OR(E2336="",E2336="!!!",F2336="NEW"),"",INDEX(J$1:J2335,SUMPRODUCT(MAX(ROW(E$1:E2335)*(E2336=E$1:E2335)))))</f>
        <v> </v>
      </c>
      <c r="L2336" s="27"/>
    </row>
    <row r="2337" spans="1:12">
      <c r="A2337" s="20" t="s">
        <v>1020</v>
      </c>
      <c r="E2337" s="22">
        <f>IF(D2337="?OLD","!!!","")</f>
        <v/>
      </c>
      <c r="F2337" s="23" t="str">
        <f>IF(OR(E2337="",E2337="!!!"),"",IF(NOT(ISNA(VLOOKUP(E2337,E$1:E2336,1,FALSE()))),"OLD",IF(AND(E2337&lt;&gt;"",E2337&lt;&gt;"!!!"),"NEW","")))</f>
        <v> </v>
      </c>
      <c r="G2337" s="24" t="str">
        <f>IF(OR(E2337="",E2337="!!!"),"",IF(OR(J2337=0,AND(J2337=1,K2337=1),AND(J2337=1,I2337="SBJ"),AND(J2337=1,I2337=0)),"?IN_FOCUS",IF(J2337&lt;=2,"?ACTIVATED",IF(J2337&lt;&gt;"","?FAMILIAR",IF(F2337="NEW",IF(ISNA(VLOOKUP(E2337,#REF!,1,FALSE())),"?TYPE_IDENTIFIABLE","?REFERENTIAL"),"_")))))</f>
        <v> </v>
      </c>
      <c r="H2337" s="25" t="str">
        <f>IF(J2337&lt;&gt;1,"",IF(I2337="SBJ","CB","?"))</f>
        <v> </v>
      </c>
      <c r="I2337" s="26" t="str">
        <f>IF(OR(E2337="",E2337="!!!",F2337="NEW"),"",INDEX(B2336:B$2,-1+SUMPRODUCT(MAX(ROW(E2336:E$2)*(E2337=E2336:E$2)))))</f>
        <v> </v>
      </c>
      <c r="J2337" s="26" t="str">
        <f>IF(OR(E2337="",E2337="!!!",F2337="NEW"),"",COUNTBLANK(OFFSET(A$1,,,SUMPRODUCT(MAX(ROW(E$2:E2337)*(E2337=E$2:E2337)))))-COUNTBLANK(OFFSET(A$1,,,SUMPRODUCT(MAX(ROW(E$1:E2336)*(E2=E$1:E2336))))))</f>
        <v> </v>
      </c>
      <c r="K2337" s="26" t="str">
        <f>IF(OR(E2337="",E2337="!!!",F2337="NEW"),"",INDEX(J$1:J2336,SUMPRODUCT(MAX(ROW(E$1:E2336)*(E2337=E$1:E2336)))))</f>
        <v> </v>
      </c>
      <c r="L2337" s="27"/>
    </row>
    <row r="2338" spans="1:12">
      <c r="A2338" s="20" t="s">
        <v>1766</v>
      </c>
      <c r="E2338" s="22">
        <f>IF(D2338="?OLD","!!!","")</f>
        <v/>
      </c>
      <c r="F2338" s="23" t="str">
        <f>IF(OR(E2338="",E2338="!!!"),"",IF(NOT(ISNA(VLOOKUP(E2338,E$1:E2337,1,FALSE()))),"OLD",IF(AND(E2338&lt;&gt;"",E2338&lt;&gt;"!!!"),"NEW","")))</f>
        <v> </v>
      </c>
      <c r="G2338" s="24" t="str">
        <f>IF(OR(E2338="",E2338="!!!"),"",IF(OR(J2338=0,AND(J2338=1,K2338=1),AND(J2338=1,I2338="SBJ"),AND(J2338=1,I2338=0)),"?IN_FOCUS",IF(J2338&lt;=2,"?ACTIVATED",IF(J2338&lt;&gt;"","?FAMILIAR",IF(F2338="NEW",IF(ISNA(VLOOKUP(E2338,#REF!,1,FALSE())),"?TYPE_IDENTIFIABLE","?REFERENTIAL"),"_")))))</f>
        <v> </v>
      </c>
      <c r="H2338" s="25" t="str">
        <f>IF(J2338&lt;&gt;1,"",IF(I2338="SBJ","CB","?"))</f>
        <v> </v>
      </c>
      <c r="I2338" s="26" t="str">
        <f>IF(OR(E2338="",E2338="!!!",F2338="NEW"),"",INDEX(B2337:B$2,-1+SUMPRODUCT(MAX(ROW(E2337:E$2)*(E2338=E2337:E$2)))))</f>
        <v> </v>
      </c>
      <c r="J2338" s="26" t="str">
        <f>IF(OR(E2338="",E2338="!!!",F2338="NEW"),"",COUNTBLANK(OFFSET(A$1,,,SUMPRODUCT(MAX(ROW(E$2:E2338)*(E2338=E$2:E2338)))))-COUNTBLANK(OFFSET(A$1,,,SUMPRODUCT(MAX(ROW(E$1:E2337)*(E2=E$1:E2337))))))</f>
        <v> </v>
      </c>
      <c r="K2338" s="26" t="str">
        <f>IF(OR(E2338="",E2338="!!!",F2338="NEW"),"",INDEX(J$1:J2337,SUMPRODUCT(MAX(ROW(E$1:E2337)*(E2338=E$1:E2337)))))</f>
        <v> </v>
      </c>
      <c r="L2338" s="27"/>
    </row>
    <row r="2339" spans="1:12">
      <c r="A2339" s="20" t="s">
        <v>1023</v>
      </c>
      <c r="E2339" s="22">
        <f>IF(D2339="?OLD","!!!","")</f>
        <v/>
      </c>
      <c r="F2339" s="23" t="str">
        <f>IF(OR(E2339="",E2339="!!!"),"",IF(NOT(ISNA(VLOOKUP(E2339,E$1:E2338,1,FALSE()))),"OLD",IF(AND(E2339&lt;&gt;"",E2339&lt;&gt;"!!!"),"NEW","")))</f>
        <v> </v>
      </c>
      <c r="G2339" s="24" t="str">
        <f>IF(OR(E2339="",E2339="!!!"),"",IF(OR(J2339=0,AND(J2339=1,K2339=1),AND(J2339=1,I2339="SBJ"),AND(J2339=1,I2339=0)),"?IN_FOCUS",IF(J2339&lt;=2,"?ACTIVATED",IF(J2339&lt;&gt;"","?FAMILIAR",IF(F2339="NEW",IF(ISNA(VLOOKUP(E2339,#REF!,1,FALSE())),"?TYPE_IDENTIFIABLE","?REFERENTIAL"),"_")))))</f>
        <v> </v>
      </c>
      <c r="H2339" s="25" t="str">
        <f>IF(J2339&lt;&gt;1,"",IF(I2339="SBJ","CB","?"))</f>
        <v> </v>
      </c>
      <c r="I2339" s="26" t="str">
        <f>IF(OR(E2339="",E2339="!!!",F2339="NEW"),"",INDEX(B2338:B$2,-1+SUMPRODUCT(MAX(ROW(E2338:E$2)*(E2339=E2338:E$2)))))</f>
        <v> </v>
      </c>
      <c r="J2339" s="26" t="str">
        <f>IF(OR(E2339="",E2339="!!!",F2339="NEW"),"",COUNTBLANK(OFFSET(A$1,,,SUMPRODUCT(MAX(ROW(E$2:E2339)*(E2339=E$2:E2339)))))-COUNTBLANK(OFFSET(A$1,,,SUMPRODUCT(MAX(ROW(E$1:E2338)*(E2=E$1:E2338))))))</f>
        <v> </v>
      </c>
      <c r="K2339" s="26" t="str">
        <f>IF(OR(E2339="",E2339="!!!",F2339="NEW"),"",INDEX(J$1:J2338,SUMPRODUCT(MAX(ROW(E$1:E2338)*(E2339=E$1:E2338)))))</f>
        <v> </v>
      </c>
      <c r="L2339" s="27"/>
    </row>
    <row r="2340" spans="1:12">
      <c r="A2340" s="20"/>
    </row>
    <row r="2341" spans="1:12">
      <c r="A2341" s="20" t="s">
        <v>1767</v>
      </c>
    </row>
    <row r="2342" spans="1:12">
      <c r="A2342" s="20" t="s">
        <v>1094</v>
      </c>
      <c r="B2342" s="21" t="s">
        <v>1005</v>
      </c>
      <c r="C2342" s="21" t="s">
        <v>1048</v>
      </c>
      <c r="E2342" s="22">
        <f>IF(D2342="?OLD","!!!","")</f>
        <v/>
      </c>
      <c r="F2342" s="23" t="str">
        <f>IF(OR(E2342="",E2342="!!!"),"",IF(NOT(ISNA(VLOOKUP(E2342,E$1:E2341,1,FALSE()))),"OLD",IF(AND(E2342&lt;&gt;"",E2342&lt;&gt;"!!!"),"NEW","")))</f>
        <v> </v>
      </c>
      <c r="G2342" s="24" t="str">
        <f>IF(OR(E2342="",E2342="!!!"),"",IF(OR(J2342=0,AND(J2342=1,K2342=1),AND(J2342=1,I2342="SBJ"),AND(J2342=1,I2342=0)),"?IN_FOCUS",IF(J2342&lt;=2,"?ACTIVATED",IF(J2342&lt;&gt;"","?FAMILIAR",IF(F2342="NEW",IF(ISNA(VLOOKUP(E2342,#REF!,1,FALSE())),"?TYPE_IDENTIFIABLE","?REFERENTIAL"),"_")))))</f>
        <v> </v>
      </c>
      <c r="H2342" s="25" t="str">
        <f>IF(J2342&lt;&gt;1,"",IF(I2342="SBJ","CB","?"))</f>
        <v> </v>
      </c>
      <c r="I2342" s="26" t="str">
        <f>IF(OR(E2342="",E2342="!!!",F2342="NEW"),"",INDEX(B2341:B$2,-1+SUMPRODUCT(MAX(ROW(E2341:E$2)*(E2342=E2341:E$2)))))</f>
        <v> </v>
      </c>
      <c r="J2342" s="26" t="str">
        <f>IF(OR(E2342="",E2342="!!!",F2342="NEW"),"",COUNTBLANK(OFFSET(A$1,,,SUMPRODUCT(MAX(ROW(E$2:E2342)*(E2342=E$2:E2342)))))-COUNTBLANK(OFFSET(A$1,,,SUMPRODUCT(MAX(ROW(E$1:E2341)*(E2=E$1:E2341))))))</f>
        <v> </v>
      </c>
      <c r="K2342" s="26" t="str">
        <f>IF(OR(E2342="",E2342="!!!",F2342="NEW"),"",INDEX(J$1:J2341,SUMPRODUCT(MAX(ROW(E$1:E2341)*(E2342=E$1:E2341)))))</f>
        <v> </v>
      </c>
      <c r="L2342" s="27"/>
    </row>
    <row r="2343" spans="1:12">
      <c r="A2343" s="20" t="s">
        <v>1009</v>
      </c>
      <c r="E2343" s="22">
        <f>IF(D2343="?OLD","!!!","")</f>
        <v/>
      </c>
      <c r="F2343" s="23" t="str">
        <f>IF(OR(E2343="",E2343="!!!"),"",IF(NOT(ISNA(VLOOKUP(E2343,E$1:E2342,1,FALSE()))),"OLD",IF(AND(E2343&lt;&gt;"",E2343&lt;&gt;"!!!"),"NEW","")))</f>
        <v> </v>
      </c>
      <c r="G2343" s="24" t="str">
        <f>IF(OR(E2343="",E2343="!!!"),"",IF(OR(J2343=0,AND(J2343=1,K2343=1),AND(J2343=1,I2343="SBJ"),AND(J2343=1,I2343=0)),"?IN_FOCUS",IF(J2343&lt;=2,"?ACTIVATED",IF(J2343&lt;&gt;"","?FAMILIAR",IF(F2343="NEW",IF(ISNA(VLOOKUP(E2343,#REF!,1,FALSE())),"?TYPE_IDENTIFIABLE","?REFERENTIAL"),"_")))))</f>
        <v> </v>
      </c>
      <c r="H2343" s="25" t="str">
        <f>IF(J2343&lt;&gt;1,"",IF(I2343="SBJ","CB","?"))</f>
        <v> </v>
      </c>
      <c r="I2343" s="26" t="str">
        <f>IF(OR(E2343="",E2343="!!!",F2343="NEW"),"",INDEX(B2342:B$2,-1+SUMPRODUCT(MAX(ROW(E2342:E$2)*(E2343=E2342:E$2)))))</f>
        <v> </v>
      </c>
      <c r="J2343" s="26" t="str">
        <f>IF(OR(E2343="",E2343="!!!",F2343="NEW"),"",COUNTBLANK(OFFSET(A$1,,,SUMPRODUCT(MAX(ROW(E$2:E2343)*(E2343=E$2:E2343)))))-COUNTBLANK(OFFSET(A$1,,,SUMPRODUCT(MAX(ROW(E$1:E2342)*(E2=E$1:E2342))))))</f>
        <v> </v>
      </c>
      <c r="K2343" s="26" t="str">
        <f>IF(OR(E2343="",E2343="!!!",F2343="NEW"),"",INDEX(J$1:J2342,SUMPRODUCT(MAX(ROW(E$1:E2342)*(E2343=E$1:E2342)))))</f>
        <v> </v>
      </c>
      <c r="L2343" s="27"/>
    </row>
    <row r="2344" spans="1:12">
      <c r="A2344" s="20" t="s">
        <v>28</v>
      </c>
      <c r="B2344" s="21" t="s">
        <v>1005</v>
      </c>
      <c r="C2344" s="21" t="s">
        <v>1006</v>
      </c>
      <c r="D2344" s="21" t="s">
        <v>1007</v>
      </c>
      <c r="E2344" s="22">
        <f>IF(D2344="?OLD","!!!","")</f>
        <v/>
      </c>
      <c r="F2344" s="23" t="str">
        <f>IF(OR(E2344="",E2344="!!!"),"",IF(NOT(ISNA(VLOOKUP(E2344,E$1:E2343,1,FALSE()))),"OLD",IF(AND(E2344&lt;&gt;"",E2344&lt;&gt;"!!!"),"NEW","")))</f>
        <v> </v>
      </c>
      <c r="G2344" s="24" t="str">
        <f>IF(OR(E2344="",E2344="!!!"),"",IF(OR(J2344=0,AND(J2344=1,K2344=1),AND(J2344=1,I2344="SBJ"),AND(J2344=1,I2344=0)),"?IN_FOCUS",IF(J2344&lt;=2,"?ACTIVATED",IF(J2344&lt;&gt;"","?FAMILIAR",IF(F2344="NEW",IF(ISNA(VLOOKUP(E2344,#REF!,1,FALSE())),"?TYPE_IDENTIFIABLE","?REFERENTIAL"),"_")))))</f>
        <v> </v>
      </c>
      <c r="H2344" s="25" t="str">
        <f>IF(J2344&lt;&gt;1,"",IF(I2344="SBJ","CB","?"))</f>
        <v> </v>
      </c>
      <c r="I2344" s="26" t="str">
        <f>IF(OR(E2344="",E2344="!!!",F2344="NEW"),"",INDEX(B2343:B$2,-1+SUMPRODUCT(MAX(ROW(E2343:E$2)*(E2344=E2343:E$2)))))</f>
        <v> </v>
      </c>
      <c r="J2344" s="26" t="str">
        <f>IF(OR(E2344="",E2344="!!!",F2344="NEW"),"",COUNTBLANK(OFFSET(A$1,,,SUMPRODUCT(MAX(ROW(E$2:E2344)*(E2344=E$2:E2344)))))-COUNTBLANK(OFFSET(A$1,,,SUMPRODUCT(MAX(ROW(E$1:E2343)*(E2=E$1:E2343))))))</f>
        <v> </v>
      </c>
      <c r="K2344" s="26" t="str">
        <f>IF(OR(E2344="",E2344="!!!",F2344="NEW"),"",INDEX(J$1:J2343,SUMPRODUCT(MAX(ROW(E$1:E2343)*(E2344=E$1:E2343)))))</f>
        <v> </v>
      </c>
      <c r="L2344" s="27"/>
    </row>
    <row r="2345" spans="1:12">
      <c r="A2345" s="20" t="s">
        <v>1018</v>
      </c>
      <c r="E2345" s="22">
        <f>IF(D2345="?OLD","!!!","")</f>
        <v/>
      </c>
      <c r="F2345" s="23" t="str">
        <f>IF(OR(E2345="",E2345="!!!"),"",IF(NOT(ISNA(VLOOKUP(E2345,E$1:E2344,1,FALSE()))),"OLD",IF(AND(E2345&lt;&gt;"",E2345&lt;&gt;"!!!"),"NEW","")))</f>
        <v> </v>
      </c>
      <c r="G2345" s="24" t="str">
        <f>IF(OR(E2345="",E2345="!!!"),"",IF(OR(J2345=0,AND(J2345=1,K2345=1),AND(J2345=1,I2345="SBJ"),AND(J2345=1,I2345=0)),"?IN_FOCUS",IF(J2345&lt;=2,"?ACTIVATED",IF(J2345&lt;&gt;"","?FAMILIAR",IF(F2345="NEW",IF(ISNA(VLOOKUP(E2345,#REF!,1,FALSE())),"?TYPE_IDENTIFIABLE","?REFERENTIAL"),"_")))))</f>
        <v> </v>
      </c>
      <c r="H2345" s="25" t="str">
        <f>IF(J2345&lt;&gt;1,"",IF(I2345="SBJ","CB","?"))</f>
        <v> </v>
      </c>
      <c r="I2345" s="26" t="str">
        <f>IF(OR(E2345="",E2345="!!!",F2345="NEW"),"",INDEX(B2344:B$2,-1+SUMPRODUCT(MAX(ROW(E2344:E$2)*(E2345=E2344:E$2)))))</f>
        <v> </v>
      </c>
      <c r="J2345" s="26" t="str">
        <f>IF(OR(E2345="",E2345="!!!",F2345="NEW"),"",COUNTBLANK(OFFSET(A$1,,,SUMPRODUCT(MAX(ROW(E$2:E2345)*(E2345=E$2:E2345)))))-COUNTBLANK(OFFSET(A$1,,,SUMPRODUCT(MAX(ROW(E$1:E2344)*(E2=E$1:E2344))))))</f>
        <v> </v>
      </c>
      <c r="K2345" s="26" t="str">
        <f>IF(OR(E2345="",E2345="!!!",F2345="NEW"),"",INDEX(J$1:J2344,SUMPRODUCT(MAX(ROW(E$1:E2344)*(E2345=E$1:E2344)))))</f>
        <v> </v>
      </c>
      <c r="L2345" s="27"/>
    </row>
    <row r="2346" spans="1:12">
      <c r="A2346" s="20" t="s">
        <v>1468</v>
      </c>
      <c r="E2346" s="22">
        <f>IF(D2346="?OLD","!!!","")</f>
        <v/>
      </c>
      <c r="F2346" s="23" t="str">
        <f>IF(OR(E2346="",E2346="!!!"),"",IF(NOT(ISNA(VLOOKUP(E2346,E$1:E2345,1,FALSE()))),"OLD",IF(AND(E2346&lt;&gt;"",E2346&lt;&gt;"!!!"),"NEW","")))</f>
        <v> </v>
      </c>
      <c r="G2346" s="24" t="str">
        <f>IF(OR(E2346="",E2346="!!!"),"",IF(OR(J2346=0,AND(J2346=1,K2346=1),AND(J2346=1,I2346="SBJ"),AND(J2346=1,I2346=0)),"?IN_FOCUS",IF(J2346&lt;=2,"?ACTIVATED",IF(J2346&lt;&gt;"","?FAMILIAR",IF(F2346="NEW",IF(ISNA(VLOOKUP(E2346,#REF!,1,FALSE())),"?TYPE_IDENTIFIABLE","?REFERENTIAL"),"_")))))</f>
        <v> </v>
      </c>
      <c r="H2346" s="25" t="str">
        <f>IF(J2346&lt;&gt;1,"",IF(I2346="SBJ","CB","?"))</f>
        <v> </v>
      </c>
      <c r="I2346" s="26" t="str">
        <f>IF(OR(E2346="",E2346="!!!",F2346="NEW"),"",INDEX(B2345:B$2,-1+SUMPRODUCT(MAX(ROW(E2345:E$2)*(E2346=E2345:E$2)))))</f>
        <v> </v>
      </c>
      <c r="J2346" s="26" t="str">
        <f>IF(OR(E2346="",E2346="!!!",F2346="NEW"),"",COUNTBLANK(OFFSET(A$1,,,SUMPRODUCT(MAX(ROW(E$2:E2346)*(E2346=E$2:E2346)))))-COUNTBLANK(OFFSET(A$1,,,SUMPRODUCT(MAX(ROW(E$1:E2345)*(E2=E$1:E2345))))))</f>
        <v> </v>
      </c>
      <c r="K2346" s="26" t="str">
        <f>IF(OR(E2346="",E2346="!!!",F2346="NEW"),"",INDEX(J$1:J2345,SUMPRODUCT(MAX(ROW(E$1:E2345)*(E2346=E$1:E2345)))))</f>
        <v> </v>
      </c>
      <c r="L2346" s="27"/>
    </row>
    <row r="2347" spans="1:12">
      <c r="A2347" s="20" t="s">
        <v>1324</v>
      </c>
      <c r="E2347" s="22">
        <f>IF(D2347="?OLD","!!!","")</f>
        <v/>
      </c>
      <c r="F2347" s="23" t="str">
        <f>IF(OR(E2347="",E2347="!!!"),"",IF(NOT(ISNA(VLOOKUP(E2347,E$1:E2346,1,FALSE()))),"OLD",IF(AND(E2347&lt;&gt;"",E2347&lt;&gt;"!!!"),"NEW","")))</f>
        <v> </v>
      </c>
      <c r="G2347" s="24" t="str">
        <f>IF(OR(E2347="",E2347="!!!"),"",IF(OR(J2347=0,AND(J2347=1,K2347=1),AND(J2347=1,I2347="SBJ"),AND(J2347=1,I2347=0)),"?IN_FOCUS",IF(J2347&lt;=2,"?ACTIVATED",IF(J2347&lt;&gt;"","?FAMILIAR",IF(F2347="NEW",IF(ISNA(VLOOKUP(E2347,#REF!,1,FALSE())),"?TYPE_IDENTIFIABLE","?REFERENTIAL"),"_")))))</f>
        <v> </v>
      </c>
      <c r="H2347" s="25" t="str">
        <f>IF(J2347&lt;&gt;1,"",IF(I2347="SBJ","CB","?"))</f>
        <v> </v>
      </c>
      <c r="I2347" s="26" t="str">
        <f>IF(OR(E2347="",E2347="!!!",F2347="NEW"),"",INDEX(B2346:B$2,-1+SUMPRODUCT(MAX(ROW(E2346:E$2)*(E2347=E2346:E$2)))))</f>
        <v> </v>
      </c>
      <c r="J2347" s="26" t="str">
        <f>IF(OR(E2347="",E2347="!!!",F2347="NEW"),"",COUNTBLANK(OFFSET(A$1,,,SUMPRODUCT(MAX(ROW(E$2:E2347)*(E2347=E$2:E2347)))))-COUNTBLANK(OFFSET(A$1,,,SUMPRODUCT(MAX(ROW(E$1:E2346)*(E2=E$1:E2346))))))</f>
        <v> </v>
      </c>
      <c r="K2347" s="26" t="str">
        <f>IF(OR(E2347="",E2347="!!!",F2347="NEW"),"",INDEX(J$1:J2346,SUMPRODUCT(MAX(ROW(E$1:E2346)*(E2347=E$1:E2346)))))</f>
        <v> </v>
      </c>
      <c r="L2347" s="27"/>
    </row>
    <row r="2348" spans="1:12">
      <c r="A2348" s="20" t="s">
        <v>1768</v>
      </c>
      <c r="B2348" s="21" t="s">
        <v>1029</v>
      </c>
      <c r="C2348" s="21" t="s">
        <v>1111</v>
      </c>
      <c r="E2348" s="22">
        <f>IF(D2348="?OLD","!!!","")</f>
        <v/>
      </c>
      <c r="F2348" s="23" t="str">
        <f>IF(OR(E2348="",E2348="!!!"),"",IF(NOT(ISNA(VLOOKUP(E2348,E$1:E2347,1,FALSE()))),"OLD",IF(AND(E2348&lt;&gt;"",E2348&lt;&gt;"!!!"),"NEW","")))</f>
        <v> </v>
      </c>
      <c r="G2348" s="24" t="str">
        <f>IF(OR(E2348="",E2348="!!!"),"",IF(OR(J2348=0,AND(J2348=1,K2348=1),AND(J2348=1,I2348="SBJ"),AND(J2348=1,I2348=0)),"?IN_FOCUS",IF(J2348&lt;=2,"?ACTIVATED",IF(J2348&lt;&gt;"","?FAMILIAR",IF(F2348="NEW",IF(ISNA(VLOOKUP(E2348,#REF!,1,FALSE())),"?TYPE_IDENTIFIABLE","?REFERENTIAL"),"_")))))</f>
        <v> </v>
      </c>
      <c r="H2348" s="25" t="str">
        <f>IF(J2348&lt;&gt;1,"",IF(I2348="SBJ","CB","?"))</f>
        <v> </v>
      </c>
      <c r="I2348" s="26" t="str">
        <f>IF(OR(E2348="",E2348="!!!",F2348="NEW"),"",INDEX(B2347:B$2,-1+SUMPRODUCT(MAX(ROW(E2347:E$2)*(E2348=E2347:E$2)))))</f>
        <v> </v>
      </c>
      <c r="J2348" s="26" t="str">
        <f>IF(OR(E2348="",E2348="!!!",F2348="NEW"),"",COUNTBLANK(OFFSET(A$1,,,SUMPRODUCT(MAX(ROW(E$2:E2348)*(E2348=E$2:E2348)))))-COUNTBLANK(OFFSET(A$1,,,SUMPRODUCT(MAX(ROW(E$1:E2347)*(E2=E$1:E2347))))))</f>
        <v> </v>
      </c>
      <c r="K2348" s="26" t="str">
        <f>IF(OR(E2348="",E2348="!!!",F2348="NEW"),"",INDEX(J$1:J2347,SUMPRODUCT(MAX(ROW(E$1:E2347)*(E2348=E$1:E2347)))))</f>
        <v> </v>
      </c>
      <c r="L2348" s="27"/>
    </row>
    <row r="2349" spans="1:12">
      <c r="A2349" s="20" t="s">
        <v>1769</v>
      </c>
      <c r="E2349" s="22">
        <f>IF(D2349="?OLD","!!!","")</f>
        <v/>
      </c>
      <c r="F2349" s="23" t="str">
        <f>IF(OR(E2349="",E2349="!!!"),"",IF(NOT(ISNA(VLOOKUP(E2349,E$1:E2348,1,FALSE()))),"OLD",IF(AND(E2349&lt;&gt;"",E2349&lt;&gt;"!!!"),"NEW","")))</f>
        <v> </v>
      </c>
      <c r="G2349" s="24" t="str">
        <f>IF(OR(E2349="",E2349="!!!"),"",IF(OR(J2349=0,AND(J2349=1,K2349=1),AND(J2349=1,I2349="SBJ"),AND(J2349=1,I2349=0)),"?IN_FOCUS",IF(J2349&lt;=2,"?ACTIVATED",IF(J2349&lt;&gt;"","?FAMILIAR",IF(F2349="NEW",IF(ISNA(VLOOKUP(E2349,#REF!,1,FALSE())),"?TYPE_IDENTIFIABLE","?REFERENTIAL"),"_")))))</f>
        <v> </v>
      </c>
      <c r="H2349" s="25" t="str">
        <f>IF(J2349&lt;&gt;1,"",IF(I2349="SBJ","CB","?"))</f>
        <v> </v>
      </c>
      <c r="I2349" s="26" t="str">
        <f>IF(OR(E2349="",E2349="!!!",F2349="NEW"),"",INDEX(B2348:B$2,-1+SUMPRODUCT(MAX(ROW(E2348:E$2)*(E2349=E2348:E$2)))))</f>
        <v> </v>
      </c>
      <c r="J2349" s="26" t="str">
        <f>IF(OR(E2349="",E2349="!!!",F2349="NEW"),"",COUNTBLANK(OFFSET(A$1,,,SUMPRODUCT(MAX(ROW(E$2:E2349)*(E2349=E$2:E2349)))))-COUNTBLANK(OFFSET(A$1,,,SUMPRODUCT(MAX(ROW(E$1:E2348)*(E2=E$1:E2348))))))</f>
        <v> </v>
      </c>
      <c r="K2349" s="26" t="str">
        <f>IF(OR(E2349="",E2349="!!!",F2349="NEW"),"",INDEX(J$1:J2348,SUMPRODUCT(MAX(ROW(E$1:E2348)*(E2349=E$1:E2348)))))</f>
        <v> </v>
      </c>
      <c r="L2349" s="27"/>
    </row>
    <row r="2350" spans="1:12">
      <c r="A2350" s="20" t="s">
        <v>1030</v>
      </c>
      <c r="E2350" s="22">
        <f>IF(D2350="?OLD","!!!","")</f>
        <v/>
      </c>
      <c r="F2350" s="23" t="str">
        <f>IF(OR(E2350="",E2350="!!!"),"",IF(NOT(ISNA(VLOOKUP(E2350,E$1:E2349,1,FALSE()))),"OLD",IF(AND(E2350&lt;&gt;"",E2350&lt;&gt;"!!!"),"NEW","")))</f>
        <v> </v>
      </c>
      <c r="G2350" s="24" t="str">
        <f>IF(OR(E2350="",E2350="!!!"),"",IF(OR(J2350=0,AND(J2350=1,K2350=1),AND(J2350=1,I2350="SBJ"),AND(J2350=1,I2350=0)),"?IN_FOCUS",IF(J2350&lt;=2,"?ACTIVATED",IF(J2350&lt;&gt;"","?FAMILIAR",IF(F2350="NEW",IF(ISNA(VLOOKUP(E2350,#REF!,1,FALSE())),"?TYPE_IDENTIFIABLE","?REFERENTIAL"),"_")))))</f>
        <v> </v>
      </c>
      <c r="H2350" s="25" t="str">
        <f>IF(J2350&lt;&gt;1,"",IF(I2350="SBJ","CB","?"))</f>
        <v> </v>
      </c>
      <c r="I2350" s="26" t="str">
        <f>IF(OR(E2350="",E2350="!!!",F2350="NEW"),"",INDEX(B2349:B$2,-1+SUMPRODUCT(MAX(ROW(E2349:E$2)*(E2350=E2349:E$2)))))</f>
        <v> </v>
      </c>
      <c r="J2350" s="26" t="str">
        <f>IF(OR(E2350="",E2350="!!!",F2350="NEW"),"",COUNTBLANK(OFFSET(A$1,,,SUMPRODUCT(MAX(ROW(E$2:E2350)*(E2350=E$2:E2350)))))-COUNTBLANK(OFFSET(A$1,,,SUMPRODUCT(MAX(ROW(E$1:E2349)*(E2=E$1:E2349))))))</f>
        <v> </v>
      </c>
      <c r="K2350" s="26" t="str">
        <f>IF(OR(E2350="",E2350="!!!",F2350="NEW"),"",INDEX(J$1:J2349,SUMPRODUCT(MAX(ROW(E$1:E2349)*(E2350=E$1:E2349)))))</f>
        <v> </v>
      </c>
      <c r="L2350" s="27"/>
    </row>
    <row r="2351" spans="1:12">
      <c r="A2351" s="20" t="s">
        <v>102</v>
      </c>
      <c r="E2351" s="22">
        <f>IF(D2351="?OLD","!!!","")</f>
        <v/>
      </c>
      <c r="F2351" s="23" t="str">
        <f>IF(OR(E2351="",E2351="!!!"),"",IF(NOT(ISNA(VLOOKUP(E2351,E$1:E2350,1,FALSE()))),"OLD",IF(AND(E2351&lt;&gt;"",E2351&lt;&gt;"!!!"),"NEW","")))</f>
        <v> </v>
      </c>
      <c r="G2351" s="24" t="str">
        <f>IF(OR(E2351="",E2351="!!!"),"",IF(OR(J2351=0,AND(J2351=1,K2351=1),AND(J2351=1,I2351="SBJ"),AND(J2351=1,I2351=0)),"?IN_FOCUS",IF(J2351&lt;=2,"?ACTIVATED",IF(J2351&lt;&gt;"","?FAMILIAR",IF(F2351="NEW",IF(ISNA(VLOOKUP(E2351,#REF!,1,FALSE())),"?TYPE_IDENTIFIABLE","?REFERENTIAL"),"_")))))</f>
        <v> </v>
      </c>
      <c r="H2351" s="25" t="str">
        <f>IF(J2351&lt;&gt;1,"",IF(I2351="SBJ","CB","?"))</f>
        <v> </v>
      </c>
      <c r="I2351" s="26" t="str">
        <f>IF(OR(E2351="",E2351="!!!",F2351="NEW"),"",INDEX(B2350:B$2,-1+SUMPRODUCT(MAX(ROW(E2350:E$2)*(E2351=E2350:E$2)))))</f>
        <v> </v>
      </c>
      <c r="J2351" s="26" t="str">
        <f>IF(OR(E2351="",E2351="!!!",F2351="NEW"),"",COUNTBLANK(OFFSET(A$1,,,SUMPRODUCT(MAX(ROW(E$2:E2351)*(E2351=E$2:E2351)))))-COUNTBLANK(OFFSET(A$1,,,SUMPRODUCT(MAX(ROW(E$1:E2350)*(E2=E$1:E2350))))))</f>
        <v> </v>
      </c>
      <c r="K2351" s="26" t="str">
        <f>IF(OR(E2351="",E2351="!!!",F2351="NEW"),"",INDEX(J$1:J2350,SUMPRODUCT(MAX(ROW(E$1:E2350)*(E2351=E$1:E2350)))))</f>
        <v> </v>
      </c>
      <c r="L2351" s="27"/>
    </row>
    <row r="2352" spans="1:12">
      <c r="A2352" s="20" t="s">
        <v>1593</v>
      </c>
      <c r="B2352" s="21" t="s">
        <v>1035</v>
      </c>
      <c r="C2352" s="21" t="s">
        <v>1006</v>
      </c>
      <c r="D2352" s="21" t="s">
        <v>1007</v>
      </c>
      <c r="E2352" s="22">
        <f>IF(D2352="?OLD","!!!","")</f>
        <v/>
      </c>
      <c r="F2352" s="23" t="str">
        <f>IF(OR(E2352="",E2352="!!!"),"",IF(NOT(ISNA(VLOOKUP(E2352,E$1:E2351,1,FALSE()))),"OLD",IF(AND(E2352&lt;&gt;"",E2352&lt;&gt;"!!!"),"NEW","")))</f>
        <v> </v>
      </c>
      <c r="G2352" s="24" t="str">
        <f>IF(OR(E2352="",E2352="!!!"),"",IF(OR(J2352=0,AND(J2352=1,K2352=1),AND(J2352=1,I2352="SBJ"),AND(J2352=1,I2352=0)),"?IN_FOCUS",IF(J2352&lt;=2,"?ACTIVATED",IF(J2352&lt;&gt;"","?FAMILIAR",IF(F2352="NEW",IF(ISNA(VLOOKUP(E2352,#REF!,1,FALSE())),"?TYPE_IDENTIFIABLE","?REFERENTIAL"),"_")))))</f>
        <v> </v>
      </c>
      <c r="H2352" s="25" t="str">
        <f>IF(J2352&lt;&gt;1,"",IF(I2352="SBJ","CB","?"))</f>
        <v> </v>
      </c>
      <c r="I2352" s="26" t="str">
        <f>IF(OR(E2352="",E2352="!!!",F2352="NEW"),"",INDEX(B2351:B$2,-1+SUMPRODUCT(MAX(ROW(E2351:E$2)*(E2352=E2351:E$2)))))</f>
        <v> </v>
      </c>
      <c r="J2352" s="26" t="str">
        <f>IF(OR(E2352="",E2352="!!!",F2352="NEW"),"",COUNTBLANK(OFFSET(A$1,,,SUMPRODUCT(MAX(ROW(E$2:E2352)*(E2352=E$2:E2352)))))-COUNTBLANK(OFFSET(A$1,,,SUMPRODUCT(MAX(ROW(E$1:E2351)*(E2=E$1:E2351))))))</f>
        <v> </v>
      </c>
      <c r="K2352" s="26" t="str">
        <f>IF(OR(E2352="",E2352="!!!",F2352="NEW"),"",INDEX(J$1:J2351,SUMPRODUCT(MAX(ROW(E$1:E2351)*(E2352=E$1:E2351)))))</f>
        <v> </v>
      </c>
      <c r="L2352" s="27"/>
    </row>
    <row r="2353" spans="1:12">
      <c r="A2353" s="20" t="s">
        <v>1594</v>
      </c>
      <c r="B2353" s="21" t="s">
        <v>1130</v>
      </c>
      <c r="C2353" s="21" t="s">
        <v>1006</v>
      </c>
      <c r="D2353" s="21" t="s">
        <v>1007</v>
      </c>
      <c r="E2353" s="22">
        <f>IF(D2353="?OLD","!!!","")</f>
        <v/>
      </c>
      <c r="F2353" s="23" t="str">
        <f>IF(OR(E2353="",E2353="!!!"),"",IF(NOT(ISNA(VLOOKUP(E2353,E$1:E2352,1,FALSE()))),"OLD",IF(AND(E2353&lt;&gt;"",E2353&lt;&gt;"!!!"),"NEW","")))</f>
        <v> </v>
      </c>
      <c r="G2353" s="24" t="str">
        <f>IF(OR(E2353="",E2353="!!!"),"",IF(OR(J2353=0,AND(J2353=1,K2353=1),AND(J2353=1,I2353="SBJ"),AND(J2353=1,I2353=0)),"?IN_FOCUS",IF(J2353&lt;=2,"?ACTIVATED",IF(J2353&lt;&gt;"","?FAMILIAR",IF(F2353="NEW",IF(ISNA(VLOOKUP(E2353,#REF!,1,FALSE())),"?TYPE_IDENTIFIABLE","?REFERENTIAL"),"_")))))</f>
        <v> </v>
      </c>
      <c r="H2353" s="25" t="str">
        <f>IF(J2353&lt;&gt;1,"",IF(I2353="SBJ","CB","?"))</f>
        <v> </v>
      </c>
      <c r="I2353" s="26" t="str">
        <f>IF(OR(E2353="",E2353="!!!",F2353="NEW"),"",INDEX(B2352:B$2,-1+SUMPRODUCT(MAX(ROW(E2352:E$2)*(E2353=E2352:E$2)))))</f>
        <v> </v>
      </c>
      <c r="J2353" s="26" t="str">
        <f>IF(OR(E2353="",E2353="!!!",F2353="NEW"),"",COUNTBLANK(OFFSET(A$1,,,SUMPRODUCT(MAX(ROW(E$2:E2353)*(E2353=E$2:E2353)))))-COUNTBLANK(OFFSET(A$1,,,SUMPRODUCT(MAX(ROW(E$1:E2352)*(E2=E$1:E2352))))))</f>
        <v> </v>
      </c>
      <c r="K2353" s="26" t="str">
        <f>IF(OR(E2353="",E2353="!!!",F2353="NEW"),"",INDEX(J$1:J2352,SUMPRODUCT(MAX(ROW(E$1:E2352)*(E2353=E$1:E2352)))))</f>
        <v> </v>
      </c>
      <c r="L2353" s="27"/>
    </row>
    <row r="2354" spans="1:12">
      <c r="A2354" s="20" t="s">
        <v>1018</v>
      </c>
      <c r="E2354" s="22">
        <f>IF(D2354="?OLD","!!!","")</f>
        <v/>
      </c>
      <c r="F2354" s="23" t="str">
        <f>IF(OR(E2354="",E2354="!!!"),"",IF(NOT(ISNA(VLOOKUP(E2354,E$1:E2353,1,FALSE()))),"OLD",IF(AND(E2354&lt;&gt;"",E2354&lt;&gt;"!!!"),"NEW","")))</f>
        <v> </v>
      </c>
      <c r="G2354" s="24" t="str">
        <f>IF(OR(E2354="",E2354="!!!"),"",IF(OR(J2354=0,AND(J2354=1,K2354=1),AND(J2354=1,I2354="SBJ"),AND(J2354=1,I2354=0)),"?IN_FOCUS",IF(J2354&lt;=2,"?ACTIVATED",IF(J2354&lt;&gt;"","?FAMILIAR",IF(F2354="NEW",IF(ISNA(VLOOKUP(E2354,#REF!,1,FALSE())),"?TYPE_IDENTIFIABLE","?REFERENTIAL"),"_")))))</f>
        <v> </v>
      </c>
      <c r="H2354" s="25" t="str">
        <f>IF(J2354&lt;&gt;1,"",IF(I2354="SBJ","CB","?"))</f>
        <v> </v>
      </c>
      <c r="I2354" s="26" t="str">
        <f>IF(OR(E2354="",E2354="!!!",F2354="NEW"),"",INDEX(B2353:B$2,-1+SUMPRODUCT(MAX(ROW(E2353:E$2)*(E2354=E2353:E$2)))))</f>
        <v> </v>
      </c>
      <c r="J2354" s="26" t="str">
        <f>IF(OR(E2354="",E2354="!!!",F2354="NEW"),"",COUNTBLANK(OFFSET(A$1,,,SUMPRODUCT(MAX(ROW(E$2:E2354)*(E2354=E$2:E2354)))))-COUNTBLANK(OFFSET(A$1,,,SUMPRODUCT(MAX(ROW(E$1:E2353)*(E2=E$1:E2353))))))</f>
        <v> </v>
      </c>
      <c r="K2354" s="26" t="str">
        <f>IF(OR(E2354="",E2354="!!!",F2354="NEW"),"",INDEX(J$1:J2353,SUMPRODUCT(MAX(ROW(E$1:E2353)*(E2354=E$1:E2353)))))</f>
        <v> </v>
      </c>
      <c r="L2354" s="27"/>
    </row>
    <row r="2355" spans="1:12">
      <c r="A2355" s="20" t="s">
        <v>1286</v>
      </c>
      <c r="B2355" s="21" t="s">
        <v>1035</v>
      </c>
      <c r="C2355" s="21" t="s">
        <v>1013</v>
      </c>
      <c r="D2355" s="21" t="s">
        <v>1007</v>
      </c>
      <c r="E2355" s="22">
        <f>IF(D2355="?OLD","!!!","")</f>
        <v/>
      </c>
      <c r="F2355" s="23" t="str">
        <f>IF(OR(E2355="",E2355="!!!"),"",IF(NOT(ISNA(VLOOKUP(E2355,E$1:E2354,1,FALSE()))),"OLD",IF(AND(E2355&lt;&gt;"",E2355&lt;&gt;"!!!"),"NEW","")))</f>
        <v> </v>
      </c>
      <c r="G2355" s="24" t="str">
        <f>IF(OR(E2355="",E2355="!!!"),"",IF(OR(J2355=0,AND(J2355=1,K2355=1),AND(J2355=1,I2355="SBJ"),AND(J2355=1,I2355=0)),"?IN_FOCUS",IF(J2355&lt;=2,"?ACTIVATED",IF(J2355&lt;&gt;"","?FAMILIAR",IF(F2355="NEW",IF(ISNA(VLOOKUP(E2355,#REF!,1,FALSE())),"?TYPE_IDENTIFIABLE","?REFERENTIAL"),"_")))))</f>
        <v> </v>
      </c>
      <c r="H2355" s="25" t="str">
        <f>IF(J2355&lt;&gt;1,"",IF(I2355="SBJ","CB","?"))</f>
        <v> </v>
      </c>
      <c r="I2355" s="26" t="str">
        <f>IF(OR(E2355="",E2355="!!!",F2355="NEW"),"",INDEX(B2354:B$2,-1+SUMPRODUCT(MAX(ROW(E2354:E$2)*(E2355=E2354:E$2)))))</f>
        <v> </v>
      </c>
      <c r="J2355" s="26" t="str">
        <f>IF(OR(E2355="",E2355="!!!",F2355="NEW"),"",COUNTBLANK(OFFSET(A$1,,,SUMPRODUCT(MAX(ROW(E$2:E2355)*(E2355=E$2:E2355)))))-COUNTBLANK(OFFSET(A$1,,,SUMPRODUCT(MAX(ROW(E$1:E2354)*(E2=E$1:E2354))))))</f>
        <v> </v>
      </c>
      <c r="K2355" s="26" t="str">
        <f>IF(OR(E2355="",E2355="!!!",F2355="NEW"),"",INDEX(J$1:J2354,SUMPRODUCT(MAX(ROW(E$1:E2354)*(E2355=E$1:E2354)))))</f>
        <v> </v>
      </c>
      <c r="L2355" s="27"/>
    </row>
    <row r="2356" spans="1:12">
      <c r="A2356" s="20" t="s">
        <v>1324</v>
      </c>
      <c r="E2356" s="22">
        <f>IF(D2356="?OLD","!!!","")</f>
        <v/>
      </c>
      <c r="F2356" s="23" t="str">
        <f>IF(OR(E2356="",E2356="!!!"),"",IF(NOT(ISNA(VLOOKUP(E2356,E$1:E2355,1,FALSE()))),"OLD",IF(AND(E2356&lt;&gt;"",E2356&lt;&gt;"!!!"),"NEW","")))</f>
        <v> </v>
      </c>
      <c r="G2356" s="24" t="str">
        <f>IF(OR(E2356="",E2356="!!!"),"",IF(OR(J2356=0,AND(J2356=1,K2356=1),AND(J2356=1,I2356="SBJ"),AND(J2356=1,I2356=0)),"?IN_FOCUS",IF(J2356&lt;=2,"?ACTIVATED",IF(J2356&lt;&gt;"","?FAMILIAR",IF(F2356="NEW",IF(ISNA(VLOOKUP(E2356,#REF!,1,FALSE())),"?TYPE_IDENTIFIABLE","?REFERENTIAL"),"_")))))</f>
        <v> </v>
      </c>
      <c r="H2356" s="25" t="str">
        <f>IF(J2356&lt;&gt;1,"",IF(I2356="SBJ","CB","?"))</f>
        <v> </v>
      </c>
      <c r="I2356" s="26" t="str">
        <f>IF(OR(E2356="",E2356="!!!",F2356="NEW"),"",INDEX(B2355:B$2,-1+SUMPRODUCT(MAX(ROW(E2355:E$2)*(E2356=E2355:E$2)))))</f>
        <v> </v>
      </c>
      <c r="J2356" s="26" t="str">
        <f>IF(OR(E2356="",E2356="!!!",F2356="NEW"),"",COUNTBLANK(OFFSET(A$1,,,SUMPRODUCT(MAX(ROW(E$2:E2356)*(E2356=E$2:E2356)))))-COUNTBLANK(OFFSET(A$1,,,SUMPRODUCT(MAX(ROW(E$1:E2355)*(E2=E$1:E2355))))))</f>
        <v> </v>
      </c>
      <c r="K2356" s="26" t="str">
        <f>IF(OR(E2356="",E2356="!!!",F2356="NEW"),"",INDEX(J$1:J2355,SUMPRODUCT(MAX(ROW(E$1:E2355)*(E2356=E$1:E2355)))))</f>
        <v> </v>
      </c>
      <c r="L2356" s="27"/>
    </row>
    <row r="2357" spans="1:12">
      <c r="A2357" s="20" t="s">
        <v>1346</v>
      </c>
      <c r="B2357" s="21" t="s">
        <v>1040</v>
      </c>
      <c r="C2357" s="21" t="s">
        <v>1048</v>
      </c>
      <c r="E2357" s="22">
        <f>IF(D2357="?OLD","!!!","")</f>
        <v/>
      </c>
      <c r="F2357" s="23" t="str">
        <f>IF(OR(E2357="",E2357="!!!"),"",IF(NOT(ISNA(VLOOKUP(E2357,E$1:E2356,1,FALSE()))),"OLD",IF(AND(E2357&lt;&gt;"",E2357&lt;&gt;"!!!"),"NEW","")))</f>
        <v> </v>
      </c>
      <c r="G2357" s="24" t="str">
        <f>IF(OR(E2357="",E2357="!!!"),"",IF(OR(J2357=0,AND(J2357=1,K2357=1),AND(J2357=1,I2357="SBJ"),AND(J2357=1,I2357=0)),"?IN_FOCUS",IF(J2357&lt;=2,"?ACTIVATED",IF(J2357&lt;&gt;"","?FAMILIAR",IF(F2357="NEW",IF(ISNA(VLOOKUP(E2357,#REF!,1,FALSE())),"?TYPE_IDENTIFIABLE","?REFERENTIAL"),"_")))))</f>
        <v> </v>
      </c>
      <c r="H2357" s="25" t="str">
        <f>IF(J2357&lt;&gt;1,"",IF(I2357="SBJ","CB","?"))</f>
        <v> </v>
      </c>
      <c r="I2357" s="26" t="str">
        <f>IF(OR(E2357="",E2357="!!!",F2357="NEW"),"",INDEX(B2356:B$2,-1+SUMPRODUCT(MAX(ROW(E2356:E$2)*(E2357=E2356:E$2)))))</f>
        <v> </v>
      </c>
      <c r="J2357" s="26" t="str">
        <f>IF(OR(E2357="",E2357="!!!",F2357="NEW"),"",COUNTBLANK(OFFSET(A$1,,,SUMPRODUCT(MAX(ROW(E$2:E2357)*(E2357=E$2:E2357)))))-COUNTBLANK(OFFSET(A$1,,,SUMPRODUCT(MAX(ROW(E$1:E2356)*(E2=E$1:E2356))))))</f>
        <v> </v>
      </c>
      <c r="K2357" s="26" t="str">
        <f>IF(OR(E2357="",E2357="!!!",F2357="NEW"),"",INDEX(J$1:J2356,SUMPRODUCT(MAX(ROW(E$1:E2356)*(E2357=E$1:E2356)))))</f>
        <v> </v>
      </c>
      <c r="L2357" s="27"/>
    </row>
    <row r="2358" spans="1:12">
      <c r="A2358" s="20" t="s">
        <v>1020</v>
      </c>
      <c r="E2358" s="22">
        <f>IF(D2358="?OLD","!!!","")</f>
        <v/>
      </c>
      <c r="F2358" s="23" t="str">
        <f>IF(OR(E2358="",E2358="!!!"),"",IF(NOT(ISNA(VLOOKUP(E2358,E$1:E2357,1,FALSE()))),"OLD",IF(AND(E2358&lt;&gt;"",E2358&lt;&gt;"!!!"),"NEW","")))</f>
        <v> </v>
      </c>
      <c r="G2358" s="24" t="str">
        <f>IF(OR(E2358="",E2358="!!!"),"",IF(OR(J2358=0,AND(J2358=1,K2358=1),AND(J2358=1,I2358="SBJ"),AND(J2358=1,I2358=0)),"?IN_FOCUS",IF(J2358&lt;=2,"?ACTIVATED",IF(J2358&lt;&gt;"","?FAMILIAR",IF(F2358="NEW",IF(ISNA(VLOOKUP(E2358,#REF!,1,FALSE())),"?TYPE_IDENTIFIABLE","?REFERENTIAL"),"_")))))</f>
        <v> </v>
      </c>
      <c r="H2358" s="25" t="str">
        <f>IF(J2358&lt;&gt;1,"",IF(I2358="SBJ","CB","?"))</f>
        <v> </v>
      </c>
      <c r="I2358" s="26" t="str">
        <f>IF(OR(E2358="",E2358="!!!",F2358="NEW"),"",INDEX(B2357:B$2,-1+SUMPRODUCT(MAX(ROW(E2357:E$2)*(E2358=E2357:E$2)))))</f>
        <v> </v>
      </c>
      <c r="J2358" s="26" t="str">
        <f>IF(OR(E2358="",E2358="!!!",F2358="NEW"),"",COUNTBLANK(OFFSET(A$1,,,SUMPRODUCT(MAX(ROW(E$2:E2358)*(E2358=E$2:E2358)))))-COUNTBLANK(OFFSET(A$1,,,SUMPRODUCT(MAX(ROW(E$1:E2357)*(E2=E$1:E2357))))))</f>
        <v> </v>
      </c>
      <c r="K2358" s="26" t="str">
        <f>IF(OR(E2358="",E2358="!!!",F2358="NEW"),"",INDEX(J$1:J2357,SUMPRODUCT(MAX(ROW(E$1:E2357)*(E2358=E$1:E2357)))))</f>
        <v> </v>
      </c>
      <c r="L2358" s="27"/>
    </row>
    <row r="2359" spans="1:12">
      <c r="A2359" s="20" t="s">
        <v>440</v>
      </c>
      <c r="E2359" s="22">
        <f>IF(D2359="?OLD","!!!","")</f>
        <v/>
      </c>
      <c r="F2359" s="23" t="str">
        <f>IF(OR(E2359="",E2359="!!!"),"",IF(NOT(ISNA(VLOOKUP(E2359,E$1:E2358,1,FALSE()))),"OLD",IF(AND(E2359&lt;&gt;"",E2359&lt;&gt;"!!!"),"NEW","")))</f>
        <v> </v>
      </c>
      <c r="G2359" s="24" t="str">
        <f>IF(OR(E2359="",E2359="!!!"),"",IF(OR(J2359=0,AND(J2359=1,K2359=1),AND(J2359=1,I2359="SBJ"),AND(J2359=1,I2359=0)),"?IN_FOCUS",IF(J2359&lt;=2,"?ACTIVATED",IF(J2359&lt;&gt;"","?FAMILIAR",IF(F2359="NEW",IF(ISNA(VLOOKUP(E2359,#REF!,1,FALSE())),"?TYPE_IDENTIFIABLE","?REFERENTIAL"),"_")))))</f>
        <v> </v>
      </c>
      <c r="H2359" s="25" t="str">
        <f>IF(J2359&lt;&gt;1,"",IF(I2359="SBJ","CB","?"))</f>
        <v> </v>
      </c>
      <c r="I2359" s="26" t="str">
        <f>IF(OR(E2359="",E2359="!!!",F2359="NEW"),"",INDEX(B2358:B$2,-1+SUMPRODUCT(MAX(ROW(E2358:E$2)*(E2359=E2358:E$2)))))</f>
        <v> </v>
      </c>
      <c r="J2359" s="26" t="str">
        <f>IF(OR(E2359="",E2359="!!!",F2359="NEW"),"",COUNTBLANK(OFFSET(A$1,,,SUMPRODUCT(MAX(ROW(E$2:E2359)*(E2359=E$2:E2359)))))-COUNTBLANK(OFFSET(A$1,,,SUMPRODUCT(MAX(ROW(E$1:E2358)*(E2=E$1:E2358))))))</f>
        <v> </v>
      </c>
      <c r="K2359" s="26" t="str">
        <f>IF(OR(E2359="",E2359="!!!",F2359="NEW"),"",INDEX(J$1:J2358,SUMPRODUCT(MAX(ROW(E$1:E2358)*(E2359=E$1:E2358)))))</f>
        <v> </v>
      </c>
      <c r="L2359" s="27"/>
    </row>
    <row r="2360" spans="1:12">
      <c r="A2360" s="20" t="s">
        <v>1014</v>
      </c>
      <c r="E2360" s="22">
        <f>IF(D2360="?OLD","!!!","")</f>
        <v/>
      </c>
      <c r="F2360" s="23" t="str">
        <f>IF(OR(E2360="",E2360="!!!"),"",IF(NOT(ISNA(VLOOKUP(E2360,E$1:E2359,1,FALSE()))),"OLD",IF(AND(E2360&lt;&gt;"",E2360&lt;&gt;"!!!"),"NEW","")))</f>
        <v> </v>
      </c>
      <c r="G2360" s="24" t="str">
        <f>IF(OR(E2360="",E2360="!!!"),"",IF(OR(J2360=0,AND(J2360=1,K2360=1),AND(J2360=1,I2360="SBJ"),AND(J2360=1,I2360=0)),"?IN_FOCUS",IF(J2360&lt;=2,"?ACTIVATED",IF(J2360&lt;&gt;"","?FAMILIAR",IF(F2360="NEW",IF(ISNA(VLOOKUP(E2360,#REF!,1,FALSE())),"?TYPE_IDENTIFIABLE","?REFERENTIAL"),"_")))))</f>
        <v> </v>
      </c>
      <c r="H2360" s="25" t="str">
        <f>IF(J2360&lt;&gt;1,"",IF(I2360="SBJ","CB","?"))</f>
        <v> </v>
      </c>
      <c r="I2360" s="26" t="str">
        <f>IF(OR(E2360="",E2360="!!!",F2360="NEW"),"",INDEX(B2359:B$2,-1+SUMPRODUCT(MAX(ROW(E2359:E$2)*(E2360=E2359:E$2)))))</f>
        <v> </v>
      </c>
      <c r="J2360" s="26" t="str">
        <f>IF(OR(E2360="",E2360="!!!",F2360="NEW"),"",COUNTBLANK(OFFSET(A$1,,,SUMPRODUCT(MAX(ROW(E$2:E2360)*(E2360=E$2:E2360)))))-COUNTBLANK(OFFSET(A$1,,,SUMPRODUCT(MAX(ROW(E$1:E2359)*(E2=E$1:E2359))))))</f>
        <v> </v>
      </c>
      <c r="K2360" s="26" t="str">
        <f>IF(OR(E2360="",E2360="!!!",F2360="NEW"),"",INDEX(J$1:J2359,SUMPRODUCT(MAX(ROW(E$1:E2359)*(E2360=E$1:E2359)))))</f>
        <v> </v>
      </c>
      <c r="L2360" s="27"/>
    </row>
    <row r="2361" spans="1:12">
      <c r="A2361" s="20" t="s">
        <v>1015</v>
      </c>
      <c r="E2361" s="22">
        <f>IF(D2361="?OLD","!!!","")</f>
        <v/>
      </c>
      <c r="F2361" s="23" t="str">
        <f>IF(OR(E2361="",E2361="!!!"),"",IF(NOT(ISNA(VLOOKUP(E2361,E$1:E2360,1,FALSE()))),"OLD",IF(AND(E2361&lt;&gt;"",E2361&lt;&gt;"!!!"),"NEW","")))</f>
        <v> </v>
      </c>
      <c r="G2361" s="24" t="str">
        <f>IF(OR(E2361="",E2361="!!!"),"",IF(OR(J2361=0,AND(J2361=1,K2361=1),AND(J2361=1,I2361="SBJ"),AND(J2361=1,I2361=0)),"?IN_FOCUS",IF(J2361&lt;=2,"?ACTIVATED",IF(J2361&lt;&gt;"","?FAMILIAR",IF(F2361="NEW",IF(ISNA(VLOOKUP(E2361,#REF!,1,FALSE())),"?TYPE_IDENTIFIABLE","?REFERENTIAL"),"_")))))</f>
        <v> </v>
      </c>
      <c r="H2361" s="25" t="str">
        <f>IF(J2361&lt;&gt;1,"",IF(I2361="SBJ","CB","?"))</f>
        <v> </v>
      </c>
      <c r="I2361" s="26" t="str">
        <f>IF(OR(E2361="",E2361="!!!",F2361="NEW"),"",INDEX(B2360:B$2,-1+SUMPRODUCT(MAX(ROW(E2360:E$2)*(E2361=E2360:E$2)))))</f>
        <v> </v>
      </c>
      <c r="J2361" s="26" t="str">
        <f>IF(OR(E2361="",E2361="!!!",F2361="NEW"),"",COUNTBLANK(OFFSET(A$1,,,SUMPRODUCT(MAX(ROW(E$2:E2361)*(E2361=E$2:E2361)))))-COUNTBLANK(OFFSET(A$1,,,SUMPRODUCT(MAX(ROW(E$1:E2360)*(E2=E$1:E2360))))))</f>
        <v> </v>
      </c>
      <c r="K2361" s="26" t="str">
        <f>IF(OR(E2361="",E2361="!!!",F2361="NEW"),"",INDEX(J$1:J2360,SUMPRODUCT(MAX(ROW(E$1:E2360)*(E2361=E$1:E2360)))))</f>
        <v> </v>
      </c>
      <c r="L2361" s="27"/>
    </row>
    <row r="2362" spans="1:12">
      <c r="A2362" s="20" t="s">
        <v>1544</v>
      </c>
      <c r="B2362" s="21" t="s">
        <v>1042</v>
      </c>
      <c r="C2362" s="21" t="s">
        <v>1059</v>
      </c>
      <c r="D2362" s="21" t="s">
        <v>1007</v>
      </c>
      <c r="E2362" s="22">
        <f>IF(D2362="?OLD","!!!","")</f>
        <v/>
      </c>
      <c r="F2362" s="23" t="str">
        <f>IF(OR(E2362="",E2362="!!!"),"",IF(NOT(ISNA(VLOOKUP(E2362,E$1:E2361,1,FALSE()))),"OLD",IF(AND(E2362&lt;&gt;"",E2362&lt;&gt;"!!!"),"NEW","")))</f>
        <v> </v>
      </c>
      <c r="G2362" s="24" t="str">
        <f>IF(OR(E2362="",E2362="!!!"),"",IF(OR(J2362=0,AND(J2362=1,K2362=1),AND(J2362=1,I2362="SBJ"),AND(J2362=1,I2362=0)),"?IN_FOCUS",IF(J2362&lt;=2,"?ACTIVATED",IF(J2362&lt;&gt;"","?FAMILIAR",IF(F2362="NEW",IF(ISNA(VLOOKUP(E2362,#REF!,1,FALSE())),"?TYPE_IDENTIFIABLE","?REFERENTIAL"),"_")))))</f>
        <v> </v>
      </c>
      <c r="H2362" s="25" t="str">
        <f>IF(J2362&lt;&gt;1,"",IF(I2362="SBJ","CB","?"))</f>
        <v> </v>
      </c>
      <c r="I2362" s="26" t="str">
        <f>IF(OR(E2362="",E2362="!!!",F2362="NEW"),"",INDEX(B2361:B$2,-1+SUMPRODUCT(MAX(ROW(E2361:E$2)*(E2362=E2361:E$2)))))</f>
        <v> </v>
      </c>
      <c r="J2362" s="26" t="str">
        <f>IF(OR(E2362="",E2362="!!!",F2362="NEW"),"",COUNTBLANK(OFFSET(A$1,,,SUMPRODUCT(MAX(ROW(E$2:E2362)*(E2362=E$2:E2362)))))-COUNTBLANK(OFFSET(A$1,,,SUMPRODUCT(MAX(ROW(E$1:E2361)*(E2=E$1:E2361))))))</f>
        <v> </v>
      </c>
      <c r="K2362" s="26" t="str">
        <f>IF(OR(E2362="",E2362="!!!",F2362="NEW"),"",INDEX(J$1:J2361,SUMPRODUCT(MAX(ROW(E$1:E2361)*(E2362=E$1:E2361)))))</f>
        <v> </v>
      </c>
      <c r="L2362" s="27"/>
    </row>
    <row r="2363" spans="1:12">
      <c r="A2363" s="20" t="s">
        <v>1518</v>
      </c>
      <c r="B2363" s="21" t="s">
        <v>1040</v>
      </c>
      <c r="C2363" s="21" t="s">
        <v>1017</v>
      </c>
      <c r="D2363" s="21" t="s">
        <v>1007</v>
      </c>
      <c r="E2363" s="22">
        <f>IF(D2363="?OLD","!!!","")</f>
        <v/>
      </c>
      <c r="F2363" s="23" t="str">
        <f>IF(OR(E2363="",E2363="!!!"),"",IF(NOT(ISNA(VLOOKUP(E2363,E$1:E2362,1,FALSE()))),"OLD",IF(AND(E2363&lt;&gt;"",E2363&lt;&gt;"!!!"),"NEW","")))</f>
        <v> </v>
      </c>
      <c r="G2363" s="24" t="str">
        <f>IF(OR(E2363="",E2363="!!!"),"",IF(OR(J2363=0,AND(J2363=1,K2363=1),AND(J2363=1,I2363="SBJ"),AND(J2363=1,I2363=0)),"?IN_FOCUS",IF(J2363&lt;=2,"?ACTIVATED",IF(J2363&lt;&gt;"","?FAMILIAR",IF(F2363="NEW",IF(ISNA(VLOOKUP(E2363,#REF!,1,FALSE())),"?TYPE_IDENTIFIABLE","?REFERENTIAL"),"_")))))</f>
        <v> </v>
      </c>
      <c r="H2363" s="25" t="str">
        <f>IF(J2363&lt;&gt;1,"",IF(I2363="SBJ","CB","?"))</f>
        <v> </v>
      </c>
      <c r="I2363" s="26" t="str">
        <f>IF(OR(E2363="",E2363="!!!",F2363="NEW"),"",INDEX(B2362:B$2,-1+SUMPRODUCT(MAX(ROW(E2362:E$2)*(E2363=E2362:E$2)))))</f>
        <v> </v>
      </c>
      <c r="J2363" s="26" t="str">
        <f>IF(OR(E2363="",E2363="!!!",F2363="NEW"),"",COUNTBLANK(OFFSET(A$1,,,SUMPRODUCT(MAX(ROW(E$2:E2363)*(E2363=E$2:E2363)))))-COUNTBLANK(OFFSET(A$1,,,SUMPRODUCT(MAX(ROW(E$1:E2362)*(E2=E$1:E2362))))))</f>
        <v> </v>
      </c>
      <c r="K2363" s="26" t="str">
        <f>IF(OR(E2363="",E2363="!!!",F2363="NEW"),"",INDEX(J$1:J2362,SUMPRODUCT(MAX(ROW(E$1:E2362)*(E2363=E$1:E2362)))))</f>
        <v> </v>
      </c>
      <c r="L2363" s="27"/>
    </row>
    <row r="2364" spans="1:12">
      <c r="A2364" s="20" t="s">
        <v>1023</v>
      </c>
      <c r="E2364" s="22">
        <f>IF(D2364="?OLD","!!!","")</f>
        <v/>
      </c>
      <c r="F2364" s="23" t="str">
        <f>IF(OR(E2364="",E2364="!!!"),"",IF(NOT(ISNA(VLOOKUP(E2364,E$1:E2363,1,FALSE()))),"OLD",IF(AND(E2364&lt;&gt;"",E2364&lt;&gt;"!!!"),"NEW","")))</f>
        <v> </v>
      </c>
      <c r="G2364" s="24" t="str">
        <f>IF(OR(E2364="",E2364="!!!"),"",IF(OR(J2364=0,AND(J2364=1,K2364=1),AND(J2364=1,I2364="SBJ"),AND(J2364=1,I2364=0)),"?IN_FOCUS",IF(J2364&lt;=2,"?ACTIVATED",IF(J2364&lt;&gt;"","?FAMILIAR",IF(F2364="NEW",IF(ISNA(VLOOKUP(E2364,#REF!,1,FALSE())),"?TYPE_IDENTIFIABLE","?REFERENTIAL"),"_")))))</f>
        <v> </v>
      </c>
      <c r="H2364" s="25" t="str">
        <f>IF(J2364&lt;&gt;1,"",IF(I2364="SBJ","CB","?"))</f>
        <v> </v>
      </c>
      <c r="I2364" s="26" t="str">
        <f>IF(OR(E2364="",E2364="!!!",F2364="NEW"),"",INDEX(B2363:B$2,-1+SUMPRODUCT(MAX(ROW(E2363:E$2)*(E2364=E2363:E$2)))))</f>
        <v> </v>
      </c>
      <c r="J2364" s="26" t="str">
        <f>IF(OR(E2364="",E2364="!!!",F2364="NEW"),"",COUNTBLANK(OFFSET(A$1,,,SUMPRODUCT(MAX(ROW(E$2:E2364)*(E2364=E$2:E2364)))))-COUNTBLANK(OFFSET(A$1,,,SUMPRODUCT(MAX(ROW(E$1:E2363)*(E2=E$1:E2363))))))</f>
        <v> </v>
      </c>
      <c r="K2364" s="26" t="str">
        <f>IF(OR(E2364="",E2364="!!!",F2364="NEW"),"",INDEX(J$1:J2363,SUMPRODUCT(MAX(ROW(E$1:E2363)*(E2364=E$1:E2363)))))</f>
        <v> </v>
      </c>
      <c r="L2364" s="27"/>
    </row>
    <row r="2365" spans="1:12">
      <c r="A2365" s="20"/>
    </row>
    <row r="2366" spans="1:12">
      <c r="A2366" s="20" t="s">
        <v>1184</v>
      </c>
      <c r="E2366" s="22">
        <f>IF(D2366="?OLD","!!!","")</f>
        <v/>
      </c>
      <c r="F2366" s="23" t="str">
        <f>IF(OR(E2366="",E2366="!!!"),"",IF(NOT(ISNA(VLOOKUP(E2366,E$1:E2365,1,FALSE()))),"OLD",IF(AND(E2366&lt;&gt;"",E2366&lt;&gt;"!!!"),"NEW","")))</f>
        <v> </v>
      </c>
      <c r="G2366" s="24" t="str">
        <f>IF(OR(E2366="",E2366="!!!"),"",IF(OR(J2366=0,AND(J2366=1,K2366=1),AND(J2366=1,I2366="SBJ"),AND(J2366=1,I2366=0)),"?IN_FOCUS",IF(J2366&lt;=2,"?ACTIVATED",IF(J2366&lt;&gt;"","?FAMILIAR",IF(F2366="NEW",IF(ISNA(VLOOKUP(E2366,#REF!,1,FALSE())),"?TYPE_IDENTIFIABLE","?REFERENTIAL"),"_")))))</f>
        <v> </v>
      </c>
      <c r="H2366" s="25" t="str">
        <f>IF(J2366&lt;&gt;1,"",IF(I2366="SBJ","CB","?"))</f>
        <v> </v>
      </c>
      <c r="I2366" s="26" t="str">
        <f>IF(OR(E2366="",E2366="!!!",F2366="NEW"),"",INDEX(B2365:B$2,-1+SUMPRODUCT(MAX(ROW(E2365:E$2)*(E2366=E2365:E$2)))))</f>
        <v> </v>
      </c>
      <c r="J2366" s="26" t="str">
        <f>IF(OR(E2366="",E2366="!!!",F2366="NEW"),"",COUNTBLANK(OFFSET(A$1,,,SUMPRODUCT(MAX(ROW(E$2:E2366)*(E2366=E$2:E2366)))))-COUNTBLANK(OFFSET(A$1,,,SUMPRODUCT(MAX(ROW(E$1:E2365)*(E2=E$1:E2365))))))</f>
        <v> </v>
      </c>
      <c r="K2366" s="26" t="str">
        <f>IF(OR(E2366="",E2366="!!!",F2366="NEW"),"",INDEX(J$1:J2365,SUMPRODUCT(MAX(ROW(E$1:E2365)*(E2366=E$1:E2365)))))</f>
        <v> </v>
      </c>
      <c r="L2366" s="27"/>
    </row>
    <row r="2367" spans="1:12">
      <c r="A2367" s="20" t="s">
        <v>1770</v>
      </c>
    </row>
    <row r="2368" spans="1:12">
      <c r="A2368" s="20" t="s">
        <v>11</v>
      </c>
      <c r="E2368" s="22">
        <f>IF(D2368="?OLD","!!!","")</f>
        <v/>
      </c>
      <c r="F2368" s="23" t="str">
        <f>IF(OR(E2368="",E2368="!!!"),"",IF(NOT(ISNA(VLOOKUP(E2368,E$1:E2367,1,FALSE()))),"OLD",IF(AND(E2368&lt;&gt;"",E2368&lt;&gt;"!!!"),"NEW","")))</f>
        <v> </v>
      </c>
      <c r="G2368" s="24" t="str">
        <f>IF(OR(E2368="",E2368="!!!"),"",IF(OR(J2368=0,AND(J2368=1,K2368=1),AND(J2368=1,I2368="SBJ"),AND(J2368=1,I2368=0)),"?IN_FOCUS",IF(J2368&lt;=2,"?ACTIVATED",IF(J2368&lt;&gt;"","?FAMILIAR",IF(F2368="NEW",IF(ISNA(VLOOKUP(E2368,#REF!,1,FALSE())),"?TYPE_IDENTIFIABLE","?REFERENTIAL"),"_")))))</f>
        <v> </v>
      </c>
      <c r="H2368" s="25" t="str">
        <f>IF(J2368&lt;&gt;1,"",IF(I2368="SBJ","CB","?"))</f>
        <v> </v>
      </c>
      <c r="I2368" s="26" t="str">
        <f>IF(OR(E2368="",E2368="!!!",F2368="NEW"),"",INDEX(B2367:B$2,-1+SUMPRODUCT(MAX(ROW(E2367:E$2)*(E2368=E2367:E$2)))))</f>
        <v> </v>
      </c>
      <c r="J2368" s="26" t="str">
        <f>IF(OR(E2368="",E2368="!!!",F2368="NEW"),"",COUNTBLANK(OFFSET(A$1,,,SUMPRODUCT(MAX(ROW(E$2:E2368)*(E2368=E$2:E2368)))))-COUNTBLANK(OFFSET(A$1,,,SUMPRODUCT(MAX(ROW(E$1:E2367)*(E2=E$1:E2367))))))</f>
        <v> </v>
      </c>
      <c r="K2368" s="26" t="str">
        <f>IF(OR(E2368="",E2368="!!!",F2368="NEW"),"",INDEX(J$1:J2367,SUMPRODUCT(MAX(ROW(E$1:E2367)*(E2368=E$1:E2367)))))</f>
        <v> </v>
      </c>
      <c r="L2368" s="27"/>
    </row>
    <row r="2369" spans="1:12">
      <c r="A2369" s="20" t="s">
        <v>1771</v>
      </c>
      <c r="B2369" s="21" t="s">
        <v>1050</v>
      </c>
      <c r="C2369" s="21" t="s">
        <v>1017</v>
      </c>
      <c r="D2369" s="21" t="s">
        <v>1007</v>
      </c>
      <c r="E2369" s="22">
        <f>IF(D2369="?OLD","!!!","")</f>
        <v/>
      </c>
      <c r="F2369" s="23" t="str">
        <f>IF(OR(E2369="",E2369="!!!"),"",IF(NOT(ISNA(VLOOKUP(E2369,E$1:E2368,1,FALSE()))),"OLD",IF(AND(E2369&lt;&gt;"",E2369&lt;&gt;"!!!"),"NEW","")))</f>
        <v> </v>
      </c>
      <c r="G2369" s="24" t="str">
        <f>IF(OR(E2369="",E2369="!!!"),"",IF(OR(J2369=0,AND(J2369=1,K2369=1),AND(J2369=1,I2369="SBJ"),AND(J2369=1,I2369=0)),"?IN_FOCUS",IF(J2369&lt;=2,"?ACTIVATED",IF(J2369&lt;&gt;"","?FAMILIAR",IF(F2369="NEW",IF(ISNA(VLOOKUP(E2369,#REF!,1,FALSE())),"?TYPE_IDENTIFIABLE","?REFERENTIAL"),"_")))))</f>
        <v> </v>
      </c>
      <c r="H2369" s="25" t="str">
        <f>IF(J2369&lt;&gt;1,"",IF(I2369="SBJ","CB","?"))</f>
        <v> </v>
      </c>
      <c r="I2369" s="26" t="str">
        <f>IF(OR(E2369="",E2369="!!!",F2369="NEW"),"",INDEX(B2368:B$2,-1+SUMPRODUCT(MAX(ROW(E2368:E$2)*(E2369=E2368:E$2)))))</f>
        <v> </v>
      </c>
      <c r="J2369" s="26" t="str">
        <f>IF(OR(E2369="",E2369="!!!",F2369="NEW"),"",COUNTBLANK(OFFSET(A$1,,,SUMPRODUCT(MAX(ROW(E$2:E2369)*(E2369=E$2:E2369)))))-COUNTBLANK(OFFSET(A$1,,,SUMPRODUCT(MAX(ROW(E$1:E2368)*(E2=E$1:E2368))))))</f>
        <v> </v>
      </c>
      <c r="K2369" s="26" t="str">
        <f>IF(OR(E2369="",E2369="!!!",F2369="NEW"),"",INDEX(J$1:J2368,SUMPRODUCT(MAX(ROW(E$1:E2368)*(E2369=E$1:E2368)))))</f>
        <v> </v>
      </c>
      <c r="L2369" s="27"/>
    </row>
    <row r="2370" spans="1:12">
      <c r="A2370" s="20" t="s">
        <v>1752</v>
      </c>
      <c r="E2370" s="22">
        <f>IF(D2370="?OLD","!!!","")</f>
        <v/>
      </c>
      <c r="F2370" s="23" t="str">
        <f>IF(OR(E2370="",E2370="!!!"),"",IF(NOT(ISNA(VLOOKUP(E2370,E$1:E2369,1,FALSE()))),"OLD",IF(AND(E2370&lt;&gt;"",E2370&lt;&gt;"!!!"),"NEW","")))</f>
        <v> </v>
      </c>
      <c r="G2370" s="24" t="str">
        <f>IF(OR(E2370="",E2370="!!!"),"",IF(OR(J2370=0,AND(J2370=1,K2370=1),AND(J2370=1,I2370="SBJ"),AND(J2370=1,I2370=0)),"?IN_FOCUS",IF(J2370&lt;=2,"?ACTIVATED",IF(J2370&lt;&gt;"","?FAMILIAR",IF(F2370="NEW",IF(ISNA(VLOOKUP(E2370,#REF!,1,FALSE())),"?TYPE_IDENTIFIABLE","?REFERENTIAL"),"_")))))</f>
        <v> </v>
      </c>
      <c r="H2370" s="25" t="str">
        <f>IF(J2370&lt;&gt;1,"",IF(I2370="SBJ","CB","?"))</f>
        <v> </v>
      </c>
      <c r="I2370" s="26" t="str">
        <f>IF(OR(E2370="",E2370="!!!",F2370="NEW"),"",INDEX(B2369:B$2,-1+SUMPRODUCT(MAX(ROW(E2369:E$2)*(E2370=E2369:E$2)))))</f>
        <v> </v>
      </c>
      <c r="J2370" s="26" t="str">
        <f>IF(OR(E2370="",E2370="!!!",F2370="NEW"),"",COUNTBLANK(OFFSET(A$1,,,SUMPRODUCT(MAX(ROW(E$2:E2370)*(E2370=E$2:E2370)))))-COUNTBLANK(OFFSET(A$1,,,SUMPRODUCT(MAX(ROW(E$1:E2369)*(E2=E$1:E2369))))))</f>
        <v> </v>
      </c>
      <c r="K2370" s="26" t="str">
        <f>IF(OR(E2370="",E2370="!!!",F2370="NEW"),"",INDEX(J$1:J2369,SUMPRODUCT(MAX(ROW(E$1:E2369)*(E2370=E$1:E2369)))))</f>
        <v> </v>
      </c>
      <c r="L2370" s="27"/>
    </row>
    <row r="2371" spans="1:12">
      <c r="A2371" s="20" t="s">
        <v>1772</v>
      </c>
      <c r="E2371" s="22">
        <f>IF(D2371="?OLD","!!!","")</f>
        <v/>
      </c>
      <c r="F2371" s="23" t="str">
        <f>IF(OR(E2371="",E2371="!!!"),"",IF(NOT(ISNA(VLOOKUP(E2371,E$1:E2370,1,FALSE()))),"OLD",IF(AND(E2371&lt;&gt;"",E2371&lt;&gt;"!!!"),"NEW","")))</f>
        <v> </v>
      </c>
      <c r="G2371" s="24" t="str">
        <f>IF(OR(E2371="",E2371="!!!"),"",IF(OR(J2371=0,AND(J2371=1,K2371=1),AND(J2371=1,I2371="SBJ"),AND(J2371=1,I2371=0)),"?IN_FOCUS",IF(J2371&lt;=2,"?ACTIVATED",IF(J2371&lt;&gt;"","?FAMILIAR",IF(F2371="NEW",IF(ISNA(VLOOKUP(E2371,#REF!,1,FALSE())),"?TYPE_IDENTIFIABLE","?REFERENTIAL"),"_")))))</f>
        <v> </v>
      </c>
      <c r="H2371" s="25" t="str">
        <f>IF(J2371&lt;&gt;1,"",IF(I2371="SBJ","CB","?"))</f>
        <v> </v>
      </c>
      <c r="I2371" s="26" t="str">
        <f>IF(OR(E2371="",E2371="!!!",F2371="NEW"),"",INDEX(B2370:B$2,-1+SUMPRODUCT(MAX(ROW(E2370:E$2)*(E2371=E2370:E$2)))))</f>
        <v> </v>
      </c>
      <c r="J2371" s="26" t="str">
        <f>IF(OR(E2371="",E2371="!!!",F2371="NEW"),"",COUNTBLANK(OFFSET(A$1,,,SUMPRODUCT(MAX(ROW(E$2:E2371)*(E2371=E$2:E2371)))))-COUNTBLANK(OFFSET(A$1,,,SUMPRODUCT(MAX(ROW(E$1:E2370)*(E2=E$1:E2370))))))</f>
        <v> </v>
      </c>
      <c r="K2371" s="26" t="str">
        <f>IF(OR(E2371="",E2371="!!!",F2371="NEW"),"",INDEX(J$1:J2370,SUMPRODUCT(MAX(ROW(E$1:E2370)*(E2371=E$1:E2370)))))</f>
        <v> </v>
      </c>
      <c r="L2371" s="27"/>
    </row>
    <row r="2372" spans="1:12">
      <c r="A2372" s="20" t="s">
        <v>1009</v>
      </c>
      <c r="E2372" s="22">
        <f>IF(D2372="?OLD","!!!","")</f>
        <v/>
      </c>
      <c r="F2372" s="23" t="str">
        <f>IF(OR(E2372="",E2372="!!!"),"",IF(NOT(ISNA(VLOOKUP(E2372,E$1:E2371,1,FALSE()))),"OLD",IF(AND(E2372&lt;&gt;"",E2372&lt;&gt;"!!!"),"NEW","")))</f>
        <v> </v>
      </c>
      <c r="G2372" s="24" t="str">
        <f>IF(OR(E2372="",E2372="!!!"),"",IF(OR(J2372=0,AND(J2372=1,K2372=1),AND(J2372=1,I2372="SBJ"),AND(J2372=1,I2372=0)),"?IN_FOCUS",IF(J2372&lt;=2,"?ACTIVATED",IF(J2372&lt;&gt;"","?FAMILIAR",IF(F2372="NEW",IF(ISNA(VLOOKUP(E2372,#REF!,1,FALSE())),"?TYPE_IDENTIFIABLE","?REFERENTIAL"),"_")))))</f>
        <v> </v>
      </c>
      <c r="H2372" s="25" t="str">
        <f>IF(J2372&lt;&gt;1,"",IF(I2372="SBJ","CB","?"))</f>
        <v> </v>
      </c>
      <c r="I2372" s="26" t="str">
        <f>IF(OR(E2372="",E2372="!!!",F2372="NEW"),"",INDEX(B2371:B$2,-1+SUMPRODUCT(MAX(ROW(E2371:E$2)*(E2372=E2371:E$2)))))</f>
        <v> </v>
      </c>
      <c r="J2372" s="26" t="str">
        <f>IF(OR(E2372="",E2372="!!!",F2372="NEW"),"",COUNTBLANK(OFFSET(A$1,,,SUMPRODUCT(MAX(ROW(E$2:E2372)*(E2372=E$2:E2372)))))-COUNTBLANK(OFFSET(A$1,,,SUMPRODUCT(MAX(ROW(E$1:E2371)*(E2=E$1:E2371))))))</f>
        <v> </v>
      </c>
      <c r="K2372" s="26" t="str">
        <f>IF(OR(E2372="",E2372="!!!",F2372="NEW"),"",INDEX(J$1:J2371,SUMPRODUCT(MAX(ROW(E$1:E2371)*(E2372=E$1:E2371)))))</f>
        <v> </v>
      </c>
      <c r="L2372" s="27"/>
    </row>
    <row r="2373" spans="1:12">
      <c r="A2373" s="20" t="s">
        <v>1189</v>
      </c>
      <c r="E2373" s="22">
        <f>IF(D2373="?OLD","!!!","")</f>
        <v/>
      </c>
      <c r="F2373" s="23" t="str">
        <f>IF(OR(E2373="",E2373="!!!"),"",IF(NOT(ISNA(VLOOKUP(E2373,E$1:E2372,1,FALSE()))),"OLD",IF(AND(E2373&lt;&gt;"",E2373&lt;&gt;"!!!"),"NEW","")))</f>
        <v> </v>
      </c>
      <c r="G2373" s="24" t="str">
        <f>IF(OR(E2373="",E2373="!!!"),"",IF(OR(J2373=0,AND(J2373=1,K2373=1),AND(J2373=1,I2373="SBJ"),AND(J2373=1,I2373=0)),"?IN_FOCUS",IF(J2373&lt;=2,"?ACTIVATED",IF(J2373&lt;&gt;"","?FAMILIAR",IF(F2373="NEW",IF(ISNA(VLOOKUP(E2373,#REF!,1,FALSE())),"?TYPE_IDENTIFIABLE","?REFERENTIAL"),"_")))))</f>
        <v> </v>
      </c>
      <c r="H2373" s="25" t="str">
        <f>IF(J2373&lt;&gt;1,"",IF(I2373="SBJ","CB","?"))</f>
        <v> </v>
      </c>
      <c r="I2373" s="26" t="str">
        <f>IF(OR(E2373="",E2373="!!!",F2373="NEW"),"",INDEX(B2372:B$2,-1+SUMPRODUCT(MAX(ROW(E2372:E$2)*(E2373=E2372:E$2)))))</f>
        <v> </v>
      </c>
      <c r="J2373" s="26" t="str">
        <f>IF(OR(E2373="",E2373="!!!",F2373="NEW"),"",COUNTBLANK(OFFSET(A$1,,,SUMPRODUCT(MAX(ROW(E$2:E2373)*(E2373=E$2:E2373)))))-COUNTBLANK(OFFSET(A$1,,,SUMPRODUCT(MAX(ROW(E$1:E2372)*(E2=E$1:E2372))))))</f>
        <v> </v>
      </c>
      <c r="K2373" s="26" t="str">
        <f>IF(OR(E2373="",E2373="!!!",F2373="NEW"),"",INDEX(J$1:J2372,SUMPRODUCT(MAX(ROW(E$1:E2372)*(E2373=E$1:E2372)))))</f>
        <v> </v>
      </c>
      <c r="L2373" s="27"/>
    </row>
    <row r="2374" spans="1:12">
      <c r="A2374" s="20" t="s">
        <v>1400</v>
      </c>
      <c r="E2374" s="22">
        <f>IF(D2374="?OLD","!!!","")</f>
        <v/>
      </c>
      <c r="F2374" s="23" t="str">
        <f>IF(OR(E2374="",E2374="!!!"),"",IF(NOT(ISNA(VLOOKUP(E2374,E$1:E2373,1,FALSE()))),"OLD",IF(AND(E2374&lt;&gt;"",E2374&lt;&gt;"!!!"),"NEW","")))</f>
        <v> </v>
      </c>
      <c r="G2374" s="24" t="str">
        <f>IF(OR(E2374="",E2374="!!!"),"",IF(OR(J2374=0,AND(J2374=1,K2374=1),AND(J2374=1,I2374="SBJ"),AND(J2374=1,I2374=0)),"?IN_FOCUS",IF(J2374&lt;=2,"?ACTIVATED",IF(J2374&lt;&gt;"","?FAMILIAR",IF(F2374="NEW",IF(ISNA(VLOOKUP(E2374,#REF!,1,FALSE())),"?TYPE_IDENTIFIABLE","?REFERENTIAL"),"_")))))</f>
        <v> </v>
      </c>
      <c r="H2374" s="25" t="str">
        <f>IF(J2374&lt;&gt;1,"",IF(I2374="SBJ","CB","?"))</f>
        <v> </v>
      </c>
      <c r="I2374" s="26" t="str">
        <f>IF(OR(E2374="",E2374="!!!",F2374="NEW"),"",INDEX(B2373:B$2,-1+SUMPRODUCT(MAX(ROW(E2373:E$2)*(E2374=E2373:E$2)))))</f>
        <v> </v>
      </c>
      <c r="J2374" s="26" t="str">
        <f>IF(OR(E2374="",E2374="!!!",F2374="NEW"),"",COUNTBLANK(OFFSET(A$1,,,SUMPRODUCT(MAX(ROW(E$2:E2374)*(E2374=E$2:E2374)))))-COUNTBLANK(OFFSET(A$1,,,SUMPRODUCT(MAX(ROW(E$1:E2373)*(E2=E$1:E2373))))))</f>
        <v> </v>
      </c>
      <c r="K2374" s="26" t="str">
        <f>IF(OR(E2374="",E2374="!!!",F2374="NEW"),"",INDEX(J$1:J2373,SUMPRODUCT(MAX(ROW(E$1:E2373)*(E2374=E$1:E2373)))))</f>
        <v> </v>
      </c>
      <c r="L2374" s="27"/>
    </row>
    <row r="2375" spans="1:12">
      <c r="A2375" s="20" t="s">
        <v>1211</v>
      </c>
      <c r="B2375" s="21" t="s">
        <v>1119</v>
      </c>
      <c r="C2375" s="21" t="s">
        <v>1017</v>
      </c>
      <c r="D2375" s="21" t="s">
        <v>1007</v>
      </c>
      <c r="E2375" s="22">
        <f>IF(D2375="?OLD","!!!","")</f>
        <v/>
      </c>
      <c r="F2375" s="23" t="str">
        <f>IF(OR(E2375="",E2375="!!!"),"",IF(NOT(ISNA(VLOOKUP(E2375,E$1:E2374,1,FALSE()))),"OLD",IF(AND(E2375&lt;&gt;"",E2375&lt;&gt;"!!!"),"NEW","")))</f>
        <v> </v>
      </c>
      <c r="G2375" s="24" t="str">
        <f>IF(OR(E2375="",E2375="!!!"),"",IF(OR(J2375=0,AND(J2375=1,K2375=1),AND(J2375=1,I2375="SBJ"),AND(J2375=1,I2375=0)),"?IN_FOCUS",IF(J2375&lt;=2,"?ACTIVATED",IF(J2375&lt;&gt;"","?FAMILIAR",IF(F2375="NEW",IF(ISNA(VLOOKUP(E2375,#REF!,1,FALSE())),"?TYPE_IDENTIFIABLE","?REFERENTIAL"),"_")))))</f>
        <v> </v>
      </c>
      <c r="H2375" s="25" t="str">
        <f>IF(J2375&lt;&gt;1,"",IF(I2375="SBJ","CB","?"))</f>
        <v> </v>
      </c>
      <c r="I2375" s="26" t="str">
        <f>IF(OR(E2375="",E2375="!!!",F2375="NEW"),"",INDEX(B2374:B$2,-1+SUMPRODUCT(MAX(ROW(E2374:E$2)*(E2375=E2374:E$2)))))</f>
        <v> </v>
      </c>
      <c r="J2375" s="26" t="str">
        <f>IF(OR(E2375="",E2375="!!!",F2375="NEW"),"",COUNTBLANK(OFFSET(A$1,,,SUMPRODUCT(MAX(ROW(E$2:E2375)*(E2375=E$2:E2375)))))-COUNTBLANK(OFFSET(A$1,,,SUMPRODUCT(MAX(ROW(E$1:E2374)*(E2=E$1:E2374))))))</f>
        <v> </v>
      </c>
      <c r="K2375" s="26" t="str">
        <f>IF(OR(E2375="",E2375="!!!",F2375="NEW"),"",INDEX(J$1:J2374,SUMPRODUCT(MAX(ROW(E$1:E2374)*(E2375=E$1:E2374)))))</f>
        <v> </v>
      </c>
      <c r="L2375" s="27"/>
    </row>
    <row r="2376" spans="1:12">
      <c r="A2376" s="20" t="s">
        <v>1773</v>
      </c>
      <c r="E2376" s="22">
        <f>IF(D2376="?OLD","!!!","")</f>
        <v/>
      </c>
      <c r="F2376" s="23" t="str">
        <f>IF(OR(E2376="",E2376="!!!"),"",IF(NOT(ISNA(VLOOKUP(E2376,E$1:E2375,1,FALSE()))),"OLD",IF(AND(E2376&lt;&gt;"",E2376&lt;&gt;"!!!"),"NEW","")))</f>
        <v> </v>
      </c>
      <c r="G2376" s="24" t="str">
        <f>IF(OR(E2376="",E2376="!!!"),"",IF(OR(J2376=0,AND(J2376=1,K2376=1),AND(J2376=1,I2376="SBJ"),AND(J2376=1,I2376=0)),"?IN_FOCUS",IF(J2376&lt;=2,"?ACTIVATED",IF(J2376&lt;&gt;"","?FAMILIAR",IF(F2376="NEW",IF(ISNA(VLOOKUP(E2376,#REF!,1,FALSE())),"?TYPE_IDENTIFIABLE","?REFERENTIAL"),"_")))))</f>
        <v> </v>
      </c>
      <c r="H2376" s="25" t="str">
        <f>IF(J2376&lt;&gt;1,"",IF(I2376="SBJ","CB","?"))</f>
        <v> </v>
      </c>
      <c r="I2376" s="26" t="str">
        <f>IF(OR(E2376="",E2376="!!!",F2376="NEW"),"",INDEX(B2375:B$2,-1+SUMPRODUCT(MAX(ROW(E2375:E$2)*(E2376=E2375:E$2)))))</f>
        <v> </v>
      </c>
      <c r="J2376" s="26" t="str">
        <f>IF(OR(E2376="",E2376="!!!",F2376="NEW"),"",COUNTBLANK(OFFSET(A$1,,,SUMPRODUCT(MAX(ROW(E$2:E2376)*(E2376=E$2:E2376)))))-COUNTBLANK(OFFSET(A$1,,,SUMPRODUCT(MAX(ROW(E$1:E2375)*(E2=E$1:E2375))))))</f>
        <v> </v>
      </c>
      <c r="K2376" s="26" t="str">
        <f>IF(OR(E2376="",E2376="!!!",F2376="NEW"),"",INDEX(J$1:J2375,SUMPRODUCT(MAX(ROW(E$1:E2375)*(E2376=E$1:E2375)))))</f>
        <v> </v>
      </c>
      <c r="L2376" s="27"/>
    </row>
    <row r="2377" spans="1:12">
      <c r="A2377" s="20" t="s">
        <v>1774</v>
      </c>
      <c r="B2377" s="21" t="s">
        <v>1029</v>
      </c>
      <c r="C2377" s="21" t="s">
        <v>1013</v>
      </c>
      <c r="D2377" s="21" t="s">
        <v>1007</v>
      </c>
      <c r="E2377" s="22">
        <f>IF(D2377="?OLD","!!!","")</f>
        <v/>
      </c>
      <c r="F2377" s="23" t="str">
        <f>IF(OR(E2377="",E2377="!!!"),"",IF(NOT(ISNA(VLOOKUP(E2377,E$1:E2376,1,FALSE()))),"OLD",IF(AND(E2377&lt;&gt;"",E2377&lt;&gt;"!!!"),"NEW","")))</f>
        <v> </v>
      </c>
      <c r="G2377" s="24" t="str">
        <f>IF(OR(E2377="",E2377="!!!"),"",IF(OR(J2377=0,AND(J2377=1,K2377=1),AND(J2377=1,I2377="SBJ"),AND(J2377=1,I2377=0)),"?IN_FOCUS",IF(J2377&lt;=2,"?ACTIVATED",IF(J2377&lt;&gt;"","?FAMILIAR",IF(F2377="NEW",IF(ISNA(VLOOKUP(E2377,#REF!,1,FALSE())),"?TYPE_IDENTIFIABLE","?REFERENTIAL"),"_")))))</f>
        <v> </v>
      </c>
      <c r="H2377" s="25" t="str">
        <f>IF(J2377&lt;&gt;1,"",IF(I2377="SBJ","CB","?"))</f>
        <v> </v>
      </c>
      <c r="I2377" s="26" t="str">
        <f>IF(OR(E2377="",E2377="!!!",F2377="NEW"),"",INDEX(B2376:B$2,-1+SUMPRODUCT(MAX(ROW(E2376:E$2)*(E2377=E2376:E$2)))))</f>
        <v> </v>
      </c>
      <c r="J2377" s="26" t="str">
        <f>IF(OR(E2377="",E2377="!!!",F2377="NEW"),"",COUNTBLANK(OFFSET(A$1,,,SUMPRODUCT(MAX(ROW(E$2:E2377)*(E2377=E$2:E2377)))))-COUNTBLANK(OFFSET(A$1,,,SUMPRODUCT(MAX(ROW(E$1:E2376)*(E2=E$1:E2376))))))</f>
        <v> </v>
      </c>
      <c r="K2377" s="26" t="str">
        <f>IF(OR(E2377="",E2377="!!!",F2377="NEW"),"",INDEX(J$1:J2376,SUMPRODUCT(MAX(ROW(E$1:E2376)*(E2377=E$1:E2376)))))</f>
        <v> </v>
      </c>
      <c r="L2377" s="27"/>
    </row>
    <row r="2378" spans="1:12">
      <c r="A2378" s="20" t="s">
        <v>1014</v>
      </c>
      <c r="E2378" s="22">
        <f>IF(D2378="?OLD","!!!","")</f>
        <v/>
      </c>
      <c r="F2378" s="23" t="str">
        <f>IF(OR(E2378="",E2378="!!!"),"",IF(NOT(ISNA(VLOOKUP(E2378,E$1:E2377,1,FALSE()))),"OLD",IF(AND(E2378&lt;&gt;"",E2378&lt;&gt;"!!!"),"NEW","")))</f>
        <v> </v>
      </c>
      <c r="G2378" s="24" t="str">
        <f>IF(OR(E2378="",E2378="!!!"),"",IF(OR(J2378=0,AND(J2378=1,K2378=1),AND(J2378=1,I2378="SBJ"),AND(J2378=1,I2378=0)),"?IN_FOCUS",IF(J2378&lt;=2,"?ACTIVATED",IF(J2378&lt;&gt;"","?FAMILIAR",IF(F2378="NEW",IF(ISNA(VLOOKUP(E2378,#REF!,1,FALSE())),"?TYPE_IDENTIFIABLE","?REFERENTIAL"),"_")))))</f>
        <v> </v>
      </c>
      <c r="H2378" s="25" t="str">
        <f>IF(J2378&lt;&gt;1,"",IF(I2378="SBJ","CB","?"))</f>
        <v> </v>
      </c>
      <c r="I2378" s="26" t="str">
        <f>IF(OR(E2378="",E2378="!!!",F2378="NEW"),"",INDEX(B2377:B$2,-1+SUMPRODUCT(MAX(ROW(E2377:E$2)*(E2378=E2377:E$2)))))</f>
        <v> </v>
      </c>
      <c r="J2378" s="26" t="str">
        <f>IF(OR(E2378="",E2378="!!!",F2378="NEW"),"",COUNTBLANK(OFFSET(A$1,,,SUMPRODUCT(MAX(ROW(E$2:E2378)*(E2378=E$2:E2378)))))-COUNTBLANK(OFFSET(A$1,,,SUMPRODUCT(MAX(ROW(E$1:E2377)*(E2=E$1:E2377))))))</f>
        <v> </v>
      </c>
      <c r="K2378" s="26" t="str">
        <f>IF(OR(E2378="",E2378="!!!",F2378="NEW"),"",INDEX(J$1:J2377,SUMPRODUCT(MAX(ROW(E$1:E2377)*(E2378=E$1:E2377)))))</f>
        <v> </v>
      </c>
      <c r="L2378" s="27"/>
    </row>
    <row r="2379" spans="1:12">
      <c r="A2379" s="20" t="s">
        <v>1691</v>
      </c>
      <c r="B2379" s="21" t="s">
        <v>1033</v>
      </c>
      <c r="C2379" s="21" t="s">
        <v>1048</v>
      </c>
      <c r="E2379" s="22">
        <f>IF(D2379="?OLD","!!!","")</f>
        <v/>
      </c>
      <c r="F2379" s="23" t="str">
        <f>IF(OR(E2379="",E2379="!!!"),"",IF(NOT(ISNA(VLOOKUP(E2379,E$1:E2378,1,FALSE()))),"OLD",IF(AND(E2379&lt;&gt;"",E2379&lt;&gt;"!!!"),"NEW","")))</f>
        <v> </v>
      </c>
      <c r="G2379" s="24" t="str">
        <f>IF(OR(E2379="",E2379="!!!"),"",IF(OR(J2379=0,AND(J2379=1,K2379=1),AND(J2379=1,I2379="SBJ"),AND(J2379=1,I2379=0)),"?IN_FOCUS",IF(J2379&lt;=2,"?ACTIVATED",IF(J2379&lt;&gt;"","?FAMILIAR",IF(F2379="NEW",IF(ISNA(VLOOKUP(E2379,#REF!,1,FALSE())),"?TYPE_IDENTIFIABLE","?REFERENTIAL"),"_")))))</f>
        <v> </v>
      </c>
      <c r="H2379" s="25" t="str">
        <f>IF(J2379&lt;&gt;1,"",IF(I2379="SBJ","CB","?"))</f>
        <v> </v>
      </c>
      <c r="I2379" s="26" t="str">
        <f>IF(OR(E2379="",E2379="!!!",F2379="NEW"),"",INDEX(B2378:B$2,-1+SUMPRODUCT(MAX(ROW(E2378:E$2)*(E2379=E2378:E$2)))))</f>
        <v> </v>
      </c>
      <c r="J2379" s="26" t="str">
        <f>IF(OR(E2379="",E2379="!!!",F2379="NEW"),"",COUNTBLANK(OFFSET(A$1,,,SUMPRODUCT(MAX(ROW(E$2:E2379)*(E2379=E$2:E2379)))))-COUNTBLANK(OFFSET(A$1,,,SUMPRODUCT(MAX(ROW(E$1:E2378)*(E2=E$1:E2378))))))</f>
        <v> </v>
      </c>
      <c r="K2379" s="26" t="str">
        <f>IF(OR(E2379="",E2379="!!!",F2379="NEW"),"",INDEX(J$1:J2378,SUMPRODUCT(MAX(ROW(E$1:E2378)*(E2379=E$1:E2378)))))</f>
        <v> </v>
      </c>
      <c r="L2379" s="27"/>
    </row>
    <row r="2380" spans="1:12">
      <c r="A2380" s="20" t="s">
        <v>1189</v>
      </c>
      <c r="E2380" s="22">
        <f>IF(D2380="?OLD","!!!","")</f>
        <v/>
      </c>
      <c r="F2380" s="23" t="str">
        <f>IF(OR(E2380="",E2380="!!!"),"",IF(NOT(ISNA(VLOOKUP(E2380,E$1:E2379,1,FALSE()))),"OLD",IF(AND(E2380&lt;&gt;"",E2380&lt;&gt;"!!!"),"NEW","")))</f>
        <v> </v>
      </c>
      <c r="G2380" s="24" t="str">
        <f>IF(OR(E2380="",E2380="!!!"),"",IF(OR(J2380=0,AND(J2380=1,K2380=1),AND(J2380=1,I2380="SBJ"),AND(J2380=1,I2380=0)),"?IN_FOCUS",IF(J2380&lt;=2,"?ACTIVATED",IF(J2380&lt;&gt;"","?FAMILIAR",IF(F2380="NEW",IF(ISNA(VLOOKUP(E2380,#REF!,1,FALSE())),"?TYPE_IDENTIFIABLE","?REFERENTIAL"),"_")))))</f>
        <v> </v>
      </c>
      <c r="H2380" s="25" t="str">
        <f>IF(J2380&lt;&gt;1,"",IF(I2380="SBJ","CB","?"))</f>
        <v> </v>
      </c>
      <c r="I2380" s="26" t="str">
        <f>IF(OR(E2380="",E2380="!!!",F2380="NEW"),"",INDEX(B2379:B$2,-1+SUMPRODUCT(MAX(ROW(E2379:E$2)*(E2380=E2379:E$2)))))</f>
        <v> </v>
      </c>
      <c r="J2380" s="26" t="str">
        <f>IF(OR(E2380="",E2380="!!!",F2380="NEW"),"",COUNTBLANK(OFFSET(A$1,,,SUMPRODUCT(MAX(ROW(E$2:E2380)*(E2380=E$2:E2380)))))-COUNTBLANK(OFFSET(A$1,,,SUMPRODUCT(MAX(ROW(E$1:E2379)*(E2=E$1:E2379))))))</f>
        <v> </v>
      </c>
      <c r="K2380" s="26" t="str">
        <f>IF(OR(E2380="",E2380="!!!",F2380="NEW"),"",INDEX(J$1:J2379,SUMPRODUCT(MAX(ROW(E$1:E2379)*(E2380=E$1:E2379)))))</f>
        <v> </v>
      </c>
      <c r="L2380" s="27"/>
    </row>
    <row r="2381" spans="1:12">
      <c r="A2381" s="20" t="s">
        <v>1775</v>
      </c>
      <c r="E2381" s="22">
        <f>IF(D2381="?OLD","!!!","")</f>
        <v/>
      </c>
      <c r="F2381" s="23" t="str">
        <f>IF(OR(E2381="",E2381="!!!"),"",IF(NOT(ISNA(VLOOKUP(E2381,E$1:E2380,1,FALSE()))),"OLD",IF(AND(E2381&lt;&gt;"",E2381&lt;&gt;"!!!"),"NEW","")))</f>
        <v> </v>
      </c>
      <c r="G2381" s="24" t="str">
        <f>IF(OR(E2381="",E2381="!!!"),"",IF(OR(J2381=0,AND(J2381=1,K2381=1),AND(J2381=1,I2381="SBJ"),AND(J2381=1,I2381=0)),"?IN_FOCUS",IF(J2381&lt;=2,"?ACTIVATED",IF(J2381&lt;&gt;"","?FAMILIAR",IF(F2381="NEW",IF(ISNA(VLOOKUP(E2381,#REF!,1,FALSE())),"?TYPE_IDENTIFIABLE","?REFERENTIAL"),"_")))))</f>
        <v> </v>
      </c>
      <c r="H2381" s="25" t="str">
        <f>IF(J2381&lt;&gt;1,"",IF(I2381="SBJ","CB","?"))</f>
        <v> </v>
      </c>
      <c r="I2381" s="26" t="str">
        <f>IF(OR(E2381="",E2381="!!!",F2381="NEW"),"",INDEX(B2380:B$2,-1+SUMPRODUCT(MAX(ROW(E2380:E$2)*(E2381=E2380:E$2)))))</f>
        <v> </v>
      </c>
      <c r="J2381" s="26" t="str">
        <f>IF(OR(E2381="",E2381="!!!",F2381="NEW"),"",COUNTBLANK(OFFSET(A$1,,,SUMPRODUCT(MAX(ROW(E$2:E2381)*(E2381=E$2:E2381)))))-COUNTBLANK(OFFSET(A$1,,,SUMPRODUCT(MAX(ROW(E$1:E2380)*(E2=E$1:E2380))))))</f>
        <v> </v>
      </c>
      <c r="K2381" s="26" t="str">
        <f>IF(OR(E2381="",E2381="!!!",F2381="NEW"),"",INDEX(J$1:J2380,SUMPRODUCT(MAX(ROW(E$1:E2380)*(E2381=E$1:E2380)))))</f>
        <v> </v>
      </c>
      <c r="L2381" s="27"/>
    </row>
    <row r="2382" spans="1:12">
      <c r="A2382" s="20" t="s">
        <v>1014</v>
      </c>
      <c r="E2382" s="22">
        <f>IF(D2382="?OLD","!!!","")</f>
        <v/>
      </c>
      <c r="F2382" s="23" t="str">
        <f>IF(OR(E2382="",E2382="!!!"),"",IF(NOT(ISNA(VLOOKUP(E2382,E$1:E2381,1,FALSE()))),"OLD",IF(AND(E2382&lt;&gt;"",E2382&lt;&gt;"!!!"),"NEW","")))</f>
        <v> </v>
      </c>
      <c r="G2382" s="24" t="str">
        <f>IF(OR(E2382="",E2382="!!!"),"",IF(OR(J2382=0,AND(J2382=1,K2382=1),AND(J2382=1,I2382="SBJ"),AND(J2382=1,I2382=0)),"?IN_FOCUS",IF(J2382&lt;=2,"?ACTIVATED",IF(J2382&lt;&gt;"","?FAMILIAR",IF(F2382="NEW",IF(ISNA(VLOOKUP(E2382,#REF!,1,FALSE())),"?TYPE_IDENTIFIABLE","?REFERENTIAL"),"_")))))</f>
        <v> </v>
      </c>
      <c r="H2382" s="25" t="str">
        <f>IF(J2382&lt;&gt;1,"",IF(I2382="SBJ","CB","?"))</f>
        <v> </v>
      </c>
      <c r="I2382" s="26" t="str">
        <f>IF(OR(E2382="",E2382="!!!",F2382="NEW"),"",INDEX(B2381:B$2,-1+SUMPRODUCT(MAX(ROW(E2381:E$2)*(E2382=E2381:E$2)))))</f>
        <v> </v>
      </c>
      <c r="J2382" s="26" t="str">
        <f>IF(OR(E2382="",E2382="!!!",F2382="NEW"),"",COUNTBLANK(OFFSET(A$1,,,SUMPRODUCT(MAX(ROW(E$2:E2382)*(E2382=E$2:E2382)))))-COUNTBLANK(OFFSET(A$1,,,SUMPRODUCT(MAX(ROW(E$1:E2381)*(E2=E$1:E2381))))))</f>
        <v> </v>
      </c>
      <c r="K2382" s="26" t="str">
        <f>IF(OR(E2382="",E2382="!!!",F2382="NEW"),"",INDEX(J$1:J2381,SUMPRODUCT(MAX(ROW(E$1:E2381)*(E2382=E$1:E2381)))))</f>
        <v> </v>
      </c>
      <c r="L2382" s="27"/>
    </row>
    <row r="2383" spans="1:12">
      <c r="A2383" s="20" t="s">
        <v>1776</v>
      </c>
      <c r="B2383" s="21" t="s">
        <v>1035</v>
      </c>
      <c r="C2383" s="21" t="s">
        <v>1013</v>
      </c>
      <c r="D2383" s="21" t="s">
        <v>1007</v>
      </c>
      <c r="E2383" s="22">
        <f>IF(D2383="?OLD","!!!","")</f>
        <v/>
      </c>
      <c r="F2383" s="23" t="str">
        <f>IF(OR(E2383="",E2383="!!!"),"",IF(NOT(ISNA(VLOOKUP(E2383,E$1:E2382,1,FALSE()))),"OLD",IF(AND(E2383&lt;&gt;"",E2383&lt;&gt;"!!!"),"NEW","")))</f>
        <v> </v>
      </c>
      <c r="G2383" s="24" t="str">
        <f>IF(OR(E2383="",E2383="!!!"),"",IF(OR(J2383=0,AND(J2383=1,K2383=1),AND(J2383=1,I2383="SBJ"),AND(J2383=1,I2383=0)),"?IN_FOCUS",IF(J2383&lt;=2,"?ACTIVATED",IF(J2383&lt;&gt;"","?FAMILIAR",IF(F2383="NEW",IF(ISNA(VLOOKUP(E2383,#REF!,1,FALSE())),"?TYPE_IDENTIFIABLE","?REFERENTIAL"),"_")))))</f>
        <v> </v>
      </c>
      <c r="H2383" s="25" t="str">
        <f>IF(J2383&lt;&gt;1,"",IF(I2383="SBJ","CB","?"))</f>
        <v> </v>
      </c>
      <c r="I2383" s="26" t="str">
        <f>IF(OR(E2383="",E2383="!!!",F2383="NEW"),"",INDEX(B2382:B$2,-1+SUMPRODUCT(MAX(ROW(E2382:E$2)*(E2383=E2382:E$2)))))</f>
        <v> </v>
      </c>
      <c r="J2383" s="26" t="str">
        <f>IF(OR(E2383="",E2383="!!!",F2383="NEW"),"",COUNTBLANK(OFFSET(A$1,,,SUMPRODUCT(MAX(ROW(E$2:E2383)*(E2383=E$2:E2383)))))-COUNTBLANK(OFFSET(A$1,,,SUMPRODUCT(MAX(ROW(E$1:E2382)*(E2=E$1:E2382))))))</f>
        <v> </v>
      </c>
      <c r="K2383" s="26" t="str">
        <f>IF(OR(E2383="",E2383="!!!",F2383="NEW"),"",INDEX(J$1:J2382,SUMPRODUCT(MAX(ROW(E$1:E2382)*(E2383=E$1:E2382)))))</f>
        <v> </v>
      </c>
      <c r="L2383" s="27"/>
    </row>
    <row r="2384" spans="1:12">
      <c r="A2384" s="20" t="s">
        <v>1036</v>
      </c>
      <c r="E2384" s="22">
        <f>IF(D2384="?OLD","!!!","")</f>
        <v/>
      </c>
      <c r="F2384" s="23" t="str">
        <f>IF(OR(E2384="",E2384="!!!"),"",IF(NOT(ISNA(VLOOKUP(E2384,E$1:E2383,1,FALSE()))),"OLD",IF(AND(E2384&lt;&gt;"",E2384&lt;&gt;"!!!"),"NEW","")))</f>
        <v> </v>
      </c>
      <c r="G2384" s="24" t="str">
        <f>IF(OR(E2384="",E2384="!!!"),"",IF(OR(J2384=0,AND(J2384=1,K2384=1),AND(J2384=1,I2384="SBJ"),AND(J2384=1,I2384=0)),"?IN_FOCUS",IF(J2384&lt;=2,"?ACTIVATED",IF(J2384&lt;&gt;"","?FAMILIAR",IF(F2384="NEW",IF(ISNA(VLOOKUP(E2384,#REF!,1,FALSE())),"?TYPE_IDENTIFIABLE","?REFERENTIAL"),"_")))))</f>
        <v> </v>
      </c>
      <c r="H2384" s="25" t="str">
        <f>IF(J2384&lt;&gt;1,"",IF(I2384="SBJ","CB","?"))</f>
        <v> </v>
      </c>
      <c r="I2384" s="26" t="str">
        <f>IF(OR(E2384="",E2384="!!!",F2384="NEW"),"",INDEX(B2383:B$2,-1+SUMPRODUCT(MAX(ROW(E2383:E$2)*(E2384=E2383:E$2)))))</f>
        <v> </v>
      </c>
      <c r="J2384" s="26" t="str">
        <f>IF(OR(E2384="",E2384="!!!",F2384="NEW"),"",COUNTBLANK(OFFSET(A$1,,,SUMPRODUCT(MAX(ROW(E$2:E2384)*(E2384=E$2:E2384)))))-COUNTBLANK(OFFSET(A$1,,,SUMPRODUCT(MAX(ROW(E$1:E2383)*(E2=E$1:E2383))))))</f>
        <v> </v>
      </c>
      <c r="K2384" s="26" t="str">
        <f>IF(OR(E2384="",E2384="!!!",F2384="NEW"),"",INDEX(J$1:J2383,SUMPRODUCT(MAX(ROW(E$1:E2383)*(E2384=E$1:E2383)))))</f>
        <v> </v>
      </c>
      <c r="L2384" s="27"/>
    </row>
    <row r="2385" spans="1:12">
      <c r="A2385" s="20" t="s">
        <v>1204</v>
      </c>
      <c r="B2385" s="21" t="s">
        <v>1130</v>
      </c>
      <c r="C2385" s="21" t="s">
        <v>1048</v>
      </c>
      <c r="E2385" s="22">
        <f>IF(D2385="?OLD","!!!","")</f>
        <v/>
      </c>
      <c r="F2385" s="23" t="str">
        <f>IF(OR(E2385="",E2385="!!!"),"",IF(NOT(ISNA(VLOOKUP(E2385,E$1:E2384,1,FALSE()))),"OLD",IF(AND(E2385&lt;&gt;"",E2385&lt;&gt;"!!!"),"NEW","")))</f>
        <v> </v>
      </c>
      <c r="G2385" s="24" t="str">
        <f>IF(OR(E2385="",E2385="!!!"),"",IF(OR(J2385=0,AND(J2385=1,K2385=1),AND(J2385=1,I2385="SBJ"),AND(J2385=1,I2385=0)),"?IN_FOCUS",IF(J2385&lt;=2,"?ACTIVATED",IF(J2385&lt;&gt;"","?FAMILIAR",IF(F2385="NEW",IF(ISNA(VLOOKUP(E2385,#REF!,1,FALSE())),"?TYPE_IDENTIFIABLE","?REFERENTIAL"),"_")))))</f>
        <v> </v>
      </c>
      <c r="H2385" s="25" t="str">
        <f>IF(J2385&lt;&gt;1,"",IF(I2385="SBJ","CB","?"))</f>
        <v> </v>
      </c>
      <c r="I2385" s="26" t="str">
        <f>IF(OR(E2385="",E2385="!!!",F2385="NEW"),"",INDEX(B2384:B$2,-1+SUMPRODUCT(MAX(ROW(E2384:E$2)*(E2385=E2384:E$2)))))</f>
        <v> </v>
      </c>
      <c r="J2385" s="26" t="str">
        <f>IF(OR(E2385="",E2385="!!!",F2385="NEW"),"",COUNTBLANK(OFFSET(A$1,,,SUMPRODUCT(MAX(ROW(E$2:E2385)*(E2385=E$2:E2385)))))-COUNTBLANK(OFFSET(A$1,,,SUMPRODUCT(MAX(ROW(E$1:E2384)*(E2=E$1:E2384))))))</f>
        <v> </v>
      </c>
      <c r="K2385" s="26" t="str">
        <f>IF(OR(E2385="",E2385="!!!",F2385="NEW"),"",INDEX(J$1:J2384,SUMPRODUCT(MAX(ROW(E$1:E2384)*(E2385=E$1:E2384)))))</f>
        <v> </v>
      </c>
      <c r="L2385" s="27"/>
    </row>
    <row r="2386" spans="1:12">
      <c r="A2386" s="20" t="s">
        <v>1023</v>
      </c>
      <c r="E2386" s="22">
        <f>IF(D2386="?OLD","!!!","")</f>
        <v/>
      </c>
      <c r="F2386" s="23" t="str">
        <f>IF(OR(E2386="",E2386="!!!"),"",IF(NOT(ISNA(VLOOKUP(E2386,E$1:E2385,1,FALSE()))),"OLD",IF(AND(E2386&lt;&gt;"",E2386&lt;&gt;"!!!"),"NEW","")))</f>
        <v> </v>
      </c>
      <c r="G2386" s="24" t="str">
        <f>IF(OR(E2386="",E2386="!!!"),"",IF(OR(J2386=0,AND(J2386=1,K2386=1),AND(J2386=1,I2386="SBJ"),AND(J2386=1,I2386=0)),"?IN_FOCUS",IF(J2386&lt;=2,"?ACTIVATED",IF(J2386&lt;&gt;"","?FAMILIAR",IF(F2386="NEW",IF(ISNA(VLOOKUP(E2386,#REF!,1,FALSE())),"?TYPE_IDENTIFIABLE","?REFERENTIAL"),"_")))))</f>
        <v> </v>
      </c>
      <c r="H2386" s="25" t="str">
        <f>IF(J2386&lt;&gt;1,"",IF(I2386="SBJ","CB","?"))</f>
        <v> </v>
      </c>
      <c r="I2386" s="26" t="str">
        <f>IF(OR(E2386="",E2386="!!!",F2386="NEW"),"",INDEX(B2385:B$2,-1+SUMPRODUCT(MAX(ROW(E2385:E$2)*(E2386=E2385:E$2)))))</f>
        <v> </v>
      </c>
      <c r="J2386" s="26" t="str">
        <f>IF(OR(E2386="",E2386="!!!",F2386="NEW"),"",COUNTBLANK(OFFSET(A$1,,,SUMPRODUCT(MAX(ROW(E$2:E2386)*(E2386=E$2:E2386)))))-COUNTBLANK(OFFSET(A$1,,,SUMPRODUCT(MAX(ROW(E$1:E2385)*(E2=E$1:E2385))))))</f>
        <v> </v>
      </c>
      <c r="K2386" s="26" t="str">
        <f>IF(OR(E2386="",E2386="!!!",F2386="NEW"),"",INDEX(J$1:J2385,SUMPRODUCT(MAX(ROW(E$1:E2385)*(E2386=E$1:E2385)))))</f>
        <v> </v>
      </c>
      <c r="L2386" s="27"/>
    </row>
    <row r="2387" spans="1:12">
      <c r="A2387" s="20" t="s">
        <v>1189</v>
      </c>
      <c r="E2387" s="22">
        <f>IF(D2387="?OLD","!!!","")</f>
        <v/>
      </c>
      <c r="F2387" s="23" t="str">
        <f>IF(OR(E2387="",E2387="!!!"),"",IF(NOT(ISNA(VLOOKUP(E2387,E$1:E2386,1,FALSE()))),"OLD",IF(AND(E2387&lt;&gt;"",E2387&lt;&gt;"!!!"),"NEW","")))</f>
        <v> </v>
      </c>
      <c r="G2387" s="24" t="str">
        <f>IF(OR(E2387="",E2387="!!!"),"",IF(OR(J2387=0,AND(J2387=1,K2387=1),AND(J2387=1,I2387="SBJ"),AND(J2387=1,I2387=0)),"?IN_FOCUS",IF(J2387&lt;=2,"?ACTIVATED",IF(J2387&lt;&gt;"","?FAMILIAR",IF(F2387="NEW",IF(ISNA(VLOOKUP(E2387,#REF!,1,FALSE())),"?TYPE_IDENTIFIABLE","?REFERENTIAL"),"_")))))</f>
        <v> </v>
      </c>
      <c r="H2387" s="25" t="str">
        <f>IF(J2387&lt;&gt;1,"",IF(I2387="SBJ","CB","?"))</f>
        <v> </v>
      </c>
      <c r="I2387" s="26" t="str">
        <f>IF(OR(E2387="",E2387="!!!",F2387="NEW"),"",INDEX(B2386:B$2,-1+SUMPRODUCT(MAX(ROW(E2386:E$2)*(E2387=E2386:E$2)))))</f>
        <v> </v>
      </c>
      <c r="J2387" s="26" t="str">
        <f>IF(OR(E2387="",E2387="!!!",F2387="NEW"),"",COUNTBLANK(OFFSET(A$1,,,SUMPRODUCT(MAX(ROW(E$2:E2387)*(E2387=E$2:E2387)))))-COUNTBLANK(OFFSET(A$1,,,SUMPRODUCT(MAX(ROW(E$1:E2386)*(E2=E$1:E2386))))))</f>
        <v> </v>
      </c>
      <c r="K2387" s="26" t="str">
        <f>IF(OR(E2387="",E2387="!!!",F2387="NEW"),"",INDEX(J$1:J2386,SUMPRODUCT(MAX(ROW(E$1:E2386)*(E2387=E$1:E2386)))))</f>
        <v> </v>
      </c>
      <c r="L2387" s="27"/>
    </row>
    <row r="2388" spans="1:12">
      <c r="A2388" s="20" t="s">
        <v>1777</v>
      </c>
      <c r="E2388" s="22">
        <f>IF(D2388="?OLD","!!!","")</f>
        <v/>
      </c>
      <c r="F2388" s="23" t="str">
        <f>IF(OR(E2388="",E2388="!!!"),"",IF(NOT(ISNA(VLOOKUP(E2388,E$1:E2387,1,FALSE()))),"OLD",IF(AND(E2388&lt;&gt;"",E2388&lt;&gt;"!!!"),"NEW","")))</f>
        <v> </v>
      </c>
      <c r="G2388" s="24" t="str">
        <f>IF(OR(E2388="",E2388="!!!"),"",IF(OR(J2388=0,AND(J2388=1,K2388=1),AND(J2388=1,I2388="SBJ"),AND(J2388=1,I2388=0)),"?IN_FOCUS",IF(J2388&lt;=2,"?ACTIVATED",IF(J2388&lt;&gt;"","?FAMILIAR",IF(F2388="NEW",IF(ISNA(VLOOKUP(E2388,#REF!,1,FALSE())),"?TYPE_IDENTIFIABLE","?REFERENTIAL"),"_")))))</f>
        <v> </v>
      </c>
      <c r="H2388" s="25" t="str">
        <f>IF(J2388&lt;&gt;1,"",IF(I2388="SBJ","CB","?"))</f>
        <v> </v>
      </c>
      <c r="I2388" s="26" t="str">
        <f>IF(OR(E2388="",E2388="!!!",F2388="NEW"),"",INDEX(B2387:B$2,-1+SUMPRODUCT(MAX(ROW(E2387:E$2)*(E2388=E2387:E$2)))))</f>
        <v> </v>
      </c>
      <c r="J2388" s="26" t="str">
        <f>IF(OR(E2388="",E2388="!!!",F2388="NEW"),"",COUNTBLANK(OFFSET(A$1,,,SUMPRODUCT(MAX(ROW(E$2:E2388)*(E2388=E$2:E2388)))))-COUNTBLANK(OFFSET(A$1,,,SUMPRODUCT(MAX(ROW(E$1:E2387)*(E2=E$1:E2387))))))</f>
        <v> </v>
      </c>
      <c r="K2388" s="26" t="str">
        <f>IF(OR(E2388="",E2388="!!!",F2388="NEW"),"",INDEX(J$1:J2387,SUMPRODUCT(MAX(ROW(E$1:E2387)*(E2388=E$1:E2387)))))</f>
        <v> </v>
      </c>
      <c r="L2388" s="27"/>
    </row>
    <row r="2389" spans="1:12">
      <c r="A2389" s="20" t="s">
        <v>1321</v>
      </c>
      <c r="B2389" s="21" t="s">
        <v>1187</v>
      </c>
      <c r="C2389" s="21" t="s">
        <v>1082</v>
      </c>
      <c r="D2389" s="21" t="s">
        <v>1007</v>
      </c>
      <c r="E2389" s="22">
        <f>IF(D2389="?OLD","!!!","")</f>
        <v/>
      </c>
      <c r="F2389" s="23" t="str">
        <f>IF(OR(E2389="",E2389="!!!"),"",IF(NOT(ISNA(VLOOKUP(E2389,E$1:E2388,1,FALSE()))),"OLD",IF(AND(E2389&lt;&gt;"",E2389&lt;&gt;"!!!"),"NEW","")))</f>
        <v> </v>
      </c>
      <c r="G2389" s="24" t="str">
        <f>IF(OR(E2389="",E2389="!!!"),"",IF(OR(J2389=0,AND(J2389=1,K2389=1),AND(J2389=1,I2389="SBJ"),AND(J2389=1,I2389=0)),"?IN_FOCUS",IF(J2389&lt;=2,"?ACTIVATED",IF(J2389&lt;&gt;"","?FAMILIAR",IF(F2389="NEW",IF(ISNA(VLOOKUP(E2389,#REF!,1,FALSE())),"?TYPE_IDENTIFIABLE","?REFERENTIAL"),"_")))))</f>
        <v> </v>
      </c>
      <c r="H2389" s="25" t="str">
        <f>IF(J2389&lt;&gt;1,"",IF(I2389="SBJ","CB","?"))</f>
        <v> </v>
      </c>
      <c r="I2389" s="26" t="str">
        <f>IF(OR(E2389="",E2389="!!!",F2389="NEW"),"",INDEX(B2388:B$2,-1+SUMPRODUCT(MAX(ROW(E2388:E$2)*(E2389=E2388:E$2)))))</f>
        <v> </v>
      </c>
      <c r="J2389" s="26" t="str">
        <f>IF(OR(E2389="",E2389="!!!",F2389="NEW"),"",COUNTBLANK(OFFSET(A$1,,,SUMPRODUCT(MAX(ROW(E$2:E2389)*(E2389=E$2:E2389)))))-COUNTBLANK(OFFSET(A$1,,,SUMPRODUCT(MAX(ROW(E$1:E2388)*(E2=E$1:E2388))))))</f>
        <v> </v>
      </c>
      <c r="K2389" s="26" t="str">
        <f>IF(OR(E2389="",E2389="!!!",F2389="NEW"),"",INDEX(J$1:J2388,SUMPRODUCT(MAX(ROW(E$1:E2388)*(E2389=E$1:E2388)))))</f>
        <v> </v>
      </c>
      <c r="L2389" s="27"/>
    </row>
    <row r="2390" spans="1:12">
      <c r="A2390" s="20" t="s">
        <v>1127</v>
      </c>
      <c r="E2390" s="22">
        <f>IF(D2390="?OLD","!!!","")</f>
        <v/>
      </c>
      <c r="F2390" s="23" t="str">
        <f>IF(OR(E2390="",E2390="!!!"),"",IF(NOT(ISNA(VLOOKUP(E2390,E$1:E2389,1,FALSE()))),"OLD",IF(AND(E2390&lt;&gt;"",E2390&lt;&gt;"!!!"),"NEW","")))</f>
        <v> </v>
      </c>
      <c r="G2390" s="24" t="str">
        <f>IF(OR(E2390="",E2390="!!!"),"",IF(OR(J2390=0,AND(J2390=1,K2390=1),AND(J2390=1,I2390="SBJ"),AND(J2390=1,I2390=0)),"?IN_FOCUS",IF(J2390&lt;=2,"?ACTIVATED",IF(J2390&lt;&gt;"","?FAMILIAR",IF(F2390="NEW",IF(ISNA(VLOOKUP(E2390,#REF!,1,FALSE())),"?TYPE_IDENTIFIABLE","?REFERENTIAL"),"_")))))</f>
        <v> </v>
      </c>
      <c r="H2390" s="25" t="str">
        <f>IF(J2390&lt;&gt;1,"",IF(I2390="SBJ","CB","?"))</f>
        <v> </v>
      </c>
      <c r="I2390" s="26" t="str">
        <f>IF(OR(E2390="",E2390="!!!",F2390="NEW"),"",INDEX(B2389:B$2,-1+SUMPRODUCT(MAX(ROW(E2389:E$2)*(E2390=E2389:E$2)))))</f>
        <v> </v>
      </c>
      <c r="J2390" s="26" t="str">
        <f>IF(OR(E2390="",E2390="!!!",F2390="NEW"),"",COUNTBLANK(OFFSET(A$1,,,SUMPRODUCT(MAX(ROW(E$2:E2390)*(E2390=E$2:E2390)))))-COUNTBLANK(OFFSET(A$1,,,SUMPRODUCT(MAX(ROW(E$1:E2389)*(E2=E$1:E2389))))))</f>
        <v> </v>
      </c>
      <c r="K2390" s="26" t="str">
        <f>IF(OR(E2390="",E2390="!!!",F2390="NEW"),"",INDEX(J$1:J2389,SUMPRODUCT(MAX(ROW(E$1:E2389)*(E2390=E$1:E2389)))))</f>
        <v> </v>
      </c>
      <c r="L2390" s="27"/>
    </row>
    <row r="2391" spans="1:12">
      <c r="A2391" s="20" t="s">
        <v>1140</v>
      </c>
      <c r="B2391" s="21" t="s">
        <v>1035</v>
      </c>
      <c r="C2391" s="21" t="s">
        <v>1073</v>
      </c>
      <c r="D2391" s="21" t="s">
        <v>1007</v>
      </c>
      <c r="E2391" s="22">
        <f>IF(D2391="?OLD","!!!","")</f>
        <v/>
      </c>
      <c r="F2391" s="23" t="str">
        <f>IF(OR(E2391="",E2391="!!!"),"",IF(NOT(ISNA(VLOOKUP(E2391,E$1:E2390,1,FALSE()))),"OLD",IF(AND(E2391&lt;&gt;"",E2391&lt;&gt;"!!!"),"NEW","")))</f>
        <v> </v>
      </c>
      <c r="G2391" s="24" t="str">
        <f>IF(OR(E2391="",E2391="!!!"),"",IF(OR(J2391=0,AND(J2391=1,K2391=1),AND(J2391=1,I2391="SBJ"),AND(J2391=1,I2391=0)),"?IN_FOCUS",IF(J2391&lt;=2,"?ACTIVATED",IF(J2391&lt;&gt;"","?FAMILIAR",IF(F2391="NEW",IF(ISNA(VLOOKUP(E2391,#REF!,1,FALSE())),"?TYPE_IDENTIFIABLE","?REFERENTIAL"),"_")))))</f>
        <v> </v>
      </c>
      <c r="H2391" s="25" t="str">
        <f>IF(J2391&lt;&gt;1,"",IF(I2391="SBJ","CB","?"))</f>
        <v> </v>
      </c>
      <c r="I2391" s="26" t="str">
        <f>IF(OR(E2391="",E2391="!!!",F2391="NEW"),"",INDEX(B2390:B$2,-1+SUMPRODUCT(MAX(ROW(E2390:E$2)*(E2391=E2390:E$2)))))</f>
        <v> </v>
      </c>
      <c r="J2391" s="26" t="str">
        <f>IF(OR(E2391="",E2391="!!!",F2391="NEW"),"",COUNTBLANK(OFFSET(A$1,,,SUMPRODUCT(MAX(ROW(E$2:E2391)*(E2391=E$2:E2391)))))-COUNTBLANK(OFFSET(A$1,,,SUMPRODUCT(MAX(ROW(E$1:E2390)*(E2=E$1:E2390))))))</f>
        <v> </v>
      </c>
      <c r="K2391" s="26" t="str">
        <f>IF(OR(E2391="",E2391="!!!",F2391="NEW"),"",INDEX(J$1:J2390,SUMPRODUCT(MAX(ROW(E$1:E2390)*(E2391=E$1:E2390)))))</f>
        <v> </v>
      </c>
      <c r="L2391" s="27"/>
    </row>
    <row r="2392" spans="1:12">
      <c r="A2392" s="20" t="s">
        <v>1023</v>
      </c>
      <c r="E2392" s="22">
        <f>IF(D2392="?OLD","!!!","")</f>
        <v/>
      </c>
      <c r="F2392" s="23" t="str">
        <f>IF(OR(E2392="",E2392="!!!"),"",IF(NOT(ISNA(VLOOKUP(E2392,E$1:E2391,1,FALSE()))),"OLD",IF(AND(E2392&lt;&gt;"",E2392&lt;&gt;"!!!"),"NEW","")))</f>
        <v> </v>
      </c>
      <c r="G2392" s="24" t="str">
        <f>IF(OR(E2392="",E2392="!!!"),"",IF(OR(J2392=0,AND(J2392=1,K2392=1),AND(J2392=1,I2392="SBJ"),AND(J2392=1,I2392=0)),"?IN_FOCUS",IF(J2392&lt;=2,"?ACTIVATED",IF(J2392&lt;&gt;"","?FAMILIAR",IF(F2392="NEW",IF(ISNA(VLOOKUP(E2392,#REF!,1,FALSE())),"?TYPE_IDENTIFIABLE","?REFERENTIAL"),"_")))))</f>
        <v> </v>
      </c>
      <c r="H2392" s="25" t="str">
        <f>IF(J2392&lt;&gt;1,"",IF(I2392="SBJ","CB","?"))</f>
        <v> </v>
      </c>
      <c r="I2392" s="26" t="str">
        <f>IF(OR(E2392="",E2392="!!!",F2392="NEW"),"",INDEX(B2391:B$2,-1+SUMPRODUCT(MAX(ROW(E2391:E$2)*(E2392=E2391:E$2)))))</f>
        <v> </v>
      </c>
      <c r="J2392" s="26" t="str">
        <f>IF(OR(E2392="",E2392="!!!",F2392="NEW"),"",COUNTBLANK(OFFSET(A$1,,,SUMPRODUCT(MAX(ROW(E$2:E2392)*(E2392=E$2:E2392)))))-COUNTBLANK(OFFSET(A$1,,,SUMPRODUCT(MAX(ROW(E$1:E2391)*(E2=E$1:E2391))))))</f>
        <v> </v>
      </c>
      <c r="K2392" s="26" t="str">
        <f>IF(OR(E2392="",E2392="!!!",F2392="NEW"),"",INDEX(J$1:J2391,SUMPRODUCT(MAX(ROW(E$1:E2391)*(E2392=E$1:E2391)))))</f>
        <v> </v>
      </c>
      <c r="L2392" s="27"/>
    </row>
    <row r="2393" spans="1:12">
      <c r="A2393" s="20"/>
    </row>
    <row r="2394" spans="1:12">
      <c r="A2394" s="20" t="s">
        <v>1778</v>
      </c>
    </row>
    <row r="2395" spans="1:12">
      <c r="A2395" s="20" t="s">
        <v>1118</v>
      </c>
      <c r="B2395" s="21" t="s">
        <v>1005</v>
      </c>
      <c r="C2395" s="21" t="s">
        <v>1048</v>
      </c>
      <c r="E2395" s="22">
        <f>IF(D2395="?OLD","!!!","")</f>
        <v/>
      </c>
      <c r="F2395" s="23" t="str">
        <f>IF(OR(E2395="",E2395="!!!"),"",IF(NOT(ISNA(VLOOKUP(E2395,E$1:E2394,1,FALSE()))),"OLD",IF(AND(E2395&lt;&gt;"",E2395&lt;&gt;"!!!"),"NEW","")))</f>
        <v> </v>
      </c>
      <c r="G2395" s="24" t="str">
        <f>IF(OR(E2395="",E2395="!!!"),"",IF(OR(J2395=0,AND(J2395=1,K2395=1),AND(J2395=1,I2395="SBJ"),AND(J2395=1,I2395=0)),"?IN_FOCUS",IF(J2395&lt;=2,"?ACTIVATED",IF(J2395&lt;&gt;"","?FAMILIAR",IF(F2395="NEW",IF(ISNA(VLOOKUP(E2395,#REF!,1,FALSE())),"?TYPE_IDENTIFIABLE","?REFERENTIAL"),"_")))))</f>
        <v> </v>
      </c>
      <c r="H2395" s="25" t="str">
        <f>IF(J2395&lt;&gt;1,"",IF(I2395="SBJ","CB","?"))</f>
        <v> </v>
      </c>
      <c r="I2395" s="26" t="str">
        <f>IF(OR(E2395="",E2395="!!!",F2395="NEW"),"",INDEX(B2394:B$2,-1+SUMPRODUCT(MAX(ROW(E2394:E$2)*(E2395=E2394:E$2)))))</f>
        <v> </v>
      </c>
      <c r="J2395" s="26" t="str">
        <f>IF(OR(E2395="",E2395="!!!",F2395="NEW"),"",COUNTBLANK(OFFSET(A$1,,,SUMPRODUCT(MAX(ROW(E$2:E2395)*(E2395=E$2:E2395)))))-COUNTBLANK(OFFSET(A$1,,,SUMPRODUCT(MAX(ROW(E$1:E2394)*(E2=E$1:E2394))))))</f>
        <v> </v>
      </c>
      <c r="K2395" s="26" t="str">
        <f>IF(OR(E2395="",E2395="!!!",F2395="NEW"),"",INDEX(J$1:J2394,SUMPRODUCT(MAX(ROW(E$1:E2394)*(E2395=E$1:E2394)))))</f>
        <v> </v>
      </c>
      <c r="L2395" s="27"/>
    </row>
    <row r="2396" spans="1:12">
      <c r="A2396" s="20" t="s">
        <v>1009</v>
      </c>
      <c r="E2396" s="22">
        <f>IF(D2396="?OLD","!!!","")</f>
        <v/>
      </c>
      <c r="F2396" s="23" t="str">
        <f>IF(OR(E2396="",E2396="!!!"),"",IF(NOT(ISNA(VLOOKUP(E2396,E$1:E2395,1,FALSE()))),"OLD",IF(AND(E2396&lt;&gt;"",E2396&lt;&gt;"!!!"),"NEW","")))</f>
        <v> </v>
      </c>
      <c r="G2396" s="24" t="str">
        <f>IF(OR(E2396="",E2396="!!!"),"",IF(OR(J2396=0,AND(J2396=1,K2396=1),AND(J2396=1,I2396="SBJ"),AND(J2396=1,I2396=0)),"?IN_FOCUS",IF(J2396&lt;=2,"?ACTIVATED",IF(J2396&lt;&gt;"","?FAMILIAR",IF(F2396="NEW",IF(ISNA(VLOOKUP(E2396,#REF!,1,FALSE())),"?TYPE_IDENTIFIABLE","?REFERENTIAL"),"_")))))</f>
        <v> </v>
      </c>
      <c r="H2396" s="25" t="str">
        <f>IF(J2396&lt;&gt;1,"",IF(I2396="SBJ","CB","?"))</f>
        <v> </v>
      </c>
      <c r="I2396" s="26" t="str">
        <f>IF(OR(E2396="",E2396="!!!",F2396="NEW"),"",INDEX(B2395:B$2,-1+SUMPRODUCT(MAX(ROW(E2395:E$2)*(E2396=E2395:E$2)))))</f>
        <v> </v>
      </c>
      <c r="J2396" s="26" t="str">
        <f>IF(OR(E2396="",E2396="!!!",F2396="NEW"),"",COUNTBLANK(OFFSET(A$1,,,SUMPRODUCT(MAX(ROW(E$2:E2396)*(E2396=E$2:E2396)))))-COUNTBLANK(OFFSET(A$1,,,SUMPRODUCT(MAX(ROW(E$1:E2395)*(E2=E$1:E2395))))))</f>
        <v> </v>
      </c>
      <c r="K2396" s="26" t="str">
        <f>IF(OR(E2396="",E2396="!!!",F2396="NEW"),"",INDEX(J$1:J2395,SUMPRODUCT(MAX(ROW(E$1:E2395)*(E2396=E$1:E2395)))))</f>
        <v> </v>
      </c>
      <c r="L2396" s="27"/>
    </row>
    <row r="2397" spans="1:12">
      <c r="A2397" s="20" t="s">
        <v>1779</v>
      </c>
      <c r="B2397" s="21" t="s">
        <v>1119</v>
      </c>
      <c r="C2397" s="21" t="s">
        <v>1082</v>
      </c>
      <c r="D2397" s="21" t="s">
        <v>1007</v>
      </c>
      <c r="E2397" s="22">
        <f>IF(D2397="?OLD","!!!","")</f>
        <v/>
      </c>
      <c r="F2397" s="23" t="str">
        <f>IF(OR(E2397="",E2397="!!!"),"",IF(NOT(ISNA(VLOOKUP(E2397,E$1:E2396,1,FALSE()))),"OLD",IF(AND(E2397&lt;&gt;"",E2397&lt;&gt;"!!!"),"NEW","")))</f>
        <v> </v>
      </c>
      <c r="G2397" s="24" t="str">
        <f>IF(OR(E2397="",E2397="!!!"),"",IF(OR(J2397=0,AND(J2397=1,K2397=1),AND(J2397=1,I2397="SBJ"),AND(J2397=1,I2397=0)),"?IN_FOCUS",IF(J2397&lt;=2,"?ACTIVATED",IF(J2397&lt;&gt;"","?FAMILIAR",IF(F2397="NEW",IF(ISNA(VLOOKUP(E2397,#REF!,1,FALSE())),"?TYPE_IDENTIFIABLE","?REFERENTIAL"),"_")))))</f>
        <v> </v>
      </c>
      <c r="H2397" s="25" t="str">
        <f>IF(J2397&lt;&gt;1,"",IF(I2397="SBJ","CB","?"))</f>
        <v> </v>
      </c>
      <c r="I2397" s="26" t="str">
        <f>IF(OR(E2397="",E2397="!!!",F2397="NEW"),"",INDEX(B2396:B$2,-1+SUMPRODUCT(MAX(ROW(E2396:E$2)*(E2397=E2396:E$2)))))</f>
        <v> </v>
      </c>
      <c r="J2397" s="26" t="str">
        <f>IF(OR(E2397="",E2397="!!!",F2397="NEW"),"",COUNTBLANK(OFFSET(A$1,,,SUMPRODUCT(MAX(ROW(E$2:E2397)*(E2397=E$2:E2397)))))-COUNTBLANK(OFFSET(A$1,,,SUMPRODUCT(MAX(ROW(E$1:E2396)*(E2=E$1:E2396))))))</f>
        <v> </v>
      </c>
      <c r="K2397" s="26" t="str">
        <f>IF(OR(E2397="",E2397="!!!",F2397="NEW"),"",INDEX(J$1:J2396,SUMPRODUCT(MAX(ROW(E$1:E2396)*(E2397=E$1:E2396)))))</f>
        <v> </v>
      </c>
      <c r="L2397" s="27"/>
    </row>
    <row r="2398" spans="1:12">
      <c r="A2398" s="20" t="s">
        <v>1255</v>
      </c>
      <c r="E2398" s="22">
        <f>IF(D2398="?OLD","!!!","")</f>
        <v/>
      </c>
      <c r="F2398" s="23" t="str">
        <f>IF(OR(E2398="",E2398="!!!"),"",IF(NOT(ISNA(VLOOKUP(E2398,E$1:E2397,1,FALSE()))),"OLD",IF(AND(E2398&lt;&gt;"",E2398&lt;&gt;"!!!"),"NEW","")))</f>
        <v> </v>
      </c>
      <c r="G2398" s="24" t="str">
        <f>IF(OR(E2398="",E2398="!!!"),"",IF(OR(J2398=0,AND(J2398=1,K2398=1),AND(J2398=1,I2398="SBJ"),AND(J2398=1,I2398=0)),"?IN_FOCUS",IF(J2398&lt;=2,"?ACTIVATED",IF(J2398&lt;&gt;"","?FAMILIAR",IF(F2398="NEW",IF(ISNA(VLOOKUP(E2398,#REF!,1,FALSE())),"?TYPE_IDENTIFIABLE","?REFERENTIAL"),"_")))))</f>
        <v> </v>
      </c>
      <c r="H2398" s="25" t="str">
        <f>IF(J2398&lt;&gt;1,"",IF(I2398="SBJ","CB","?"))</f>
        <v> </v>
      </c>
      <c r="I2398" s="26" t="str">
        <f>IF(OR(E2398="",E2398="!!!",F2398="NEW"),"",INDEX(B2397:B$2,-1+SUMPRODUCT(MAX(ROW(E2397:E$2)*(E2398=E2397:E$2)))))</f>
        <v> </v>
      </c>
      <c r="J2398" s="26" t="str">
        <f>IF(OR(E2398="",E2398="!!!",F2398="NEW"),"",COUNTBLANK(OFFSET(A$1,,,SUMPRODUCT(MAX(ROW(E$2:E2398)*(E2398=E$2:E2398)))))-COUNTBLANK(OFFSET(A$1,,,SUMPRODUCT(MAX(ROW(E$1:E2397)*(E2=E$1:E2397))))))</f>
        <v> </v>
      </c>
      <c r="K2398" s="26" t="str">
        <f>IF(OR(E2398="",E2398="!!!",F2398="NEW"),"",INDEX(J$1:J2397,SUMPRODUCT(MAX(ROW(E$1:E2397)*(E2398=E$1:E2397)))))</f>
        <v> </v>
      </c>
      <c r="L2398" s="27"/>
    </row>
    <row r="2399" spans="1:12">
      <c r="A2399" s="20" t="s">
        <v>1780</v>
      </c>
      <c r="E2399" s="22">
        <f>IF(D2399="?OLD","!!!","")</f>
        <v/>
      </c>
      <c r="F2399" s="23" t="str">
        <f>IF(OR(E2399="",E2399="!!!"),"",IF(NOT(ISNA(VLOOKUP(E2399,E$1:E2398,1,FALSE()))),"OLD",IF(AND(E2399&lt;&gt;"",E2399&lt;&gt;"!!!"),"NEW","")))</f>
        <v> </v>
      </c>
      <c r="G2399" s="24" t="str">
        <f>IF(OR(E2399="",E2399="!!!"),"",IF(OR(J2399=0,AND(J2399=1,K2399=1),AND(J2399=1,I2399="SBJ"),AND(J2399=1,I2399=0)),"?IN_FOCUS",IF(J2399&lt;=2,"?ACTIVATED",IF(J2399&lt;&gt;"","?FAMILIAR",IF(F2399="NEW",IF(ISNA(VLOOKUP(E2399,#REF!,1,FALSE())),"?TYPE_IDENTIFIABLE","?REFERENTIAL"),"_")))))</f>
        <v> </v>
      </c>
      <c r="H2399" s="25" t="str">
        <f>IF(J2399&lt;&gt;1,"",IF(I2399="SBJ","CB","?"))</f>
        <v> </v>
      </c>
      <c r="I2399" s="26" t="str">
        <f>IF(OR(E2399="",E2399="!!!",F2399="NEW"),"",INDEX(B2398:B$2,-1+SUMPRODUCT(MAX(ROW(E2398:E$2)*(E2399=E2398:E$2)))))</f>
        <v> </v>
      </c>
      <c r="J2399" s="26" t="str">
        <f>IF(OR(E2399="",E2399="!!!",F2399="NEW"),"",COUNTBLANK(OFFSET(A$1,,,SUMPRODUCT(MAX(ROW(E$2:E2399)*(E2399=E$2:E2399)))))-COUNTBLANK(OFFSET(A$1,,,SUMPRODUCT(MAX(ROW(E$1:E2398)*(E2=E$1:E2398))))))</f>
        <v> </v>
      </c>
      <c r="K2399" s="26" t="str">
        <f>IF(OR(E2399="",E2399="!!!",F2399="NEW"),"",INDEX(J$1:J2398,SUMPRODUCT(MAX(ROW(E$1:E2398)*(E2399=E$1:E2398)))))</f>
        <v> </v>
      </c>
      <c r="L2399" s="27"/>
    </row>
    <row r="2400" spans="1:12">
      <c r="A2400" s="20" t="s">
        <v>1018</v>
      </c>
      <c r="E2400" s="22">
        <f>IF(D2400="?OLD","!!!","")</f>
        <v/>
      </c>
      <c r="F2400" s="23" t="str">
        <f>IF(OR(E2400="",E2400="!!!"),"",IF(NOT(ISNA(VLOOKUP(E2400,E$1:E2399,1,FALSE()))),"OLD",IF(AND(E2400&lt;&gt;"",E2400&lt;&gt;"!!!"),"NEW","")))</f>
        <v> </v>
      </c>
      <c r="G2400" s="24" t="str">
        <f>IF(OR(E2400="",E2400="!!!"),"",IF(OR(J2400=0,AND(J2400=1,K2400=1),AND(J2400=1,I2400="SBJ"),AND(J2400=1,I2400=0)),"?IN_FOCUS",IF(J2400&lt;=2,"?ACTIVATED",IF(J2400&lt;&gt;"","?FAMILIAR",IF(F2400="NEW",IF(ISNA(VLOOKUP(E2400,#REF!,1,FALSE())),"?TYPE_IDENTIFIABLE","?REFERENTIAL"),"_")))))</f>
        <v> </v>
      </c>
      <c r="H2400" s="25" t="str">
        <f>IF(J2400&lt;&gt;1,"",IF(I2400="SBJ","CB","?"))</f>
        <v> </v>
      </c>
      <c r="I2400" s="26" t="str">
        <f>IF(OR(E2400="",E2400="!!!",F2400="NEW"),"",INDEX(B2399:B$2,-1+SUMPRODUCT(MAX(ROW(E2399:E$2)*(E2400=E2399:E$2)))))</f>
        <v> </v>
      </c>
      <c r="J2400" s="26" t="str">
        <f>IF(OR(E2400="",E2400="!!!",F2400="NEW"),"",COUNTBLANK(OFFSET(A$1,,,SUMPRODUCT(MAX(ROW(E$2:E2400)*(E2400=E$2:E2400)))))-COUNTBLANK(OFFSET(A$1,,,SUMPRODUCT(MAX(ROW(E$1:E2399)*(E2=E$1:E2399))))))</f>
        <v> </v>
      </c>
      <c r="K2400" s="26" t="str">
        <f>IF(OR(E2400="",E2400="!!!",F2400="NEW"),"",INDEX(J$1:J2399,SUMPRODUCT(MAX(ROW(E$1:E2399)*(E2400=E$1:E2399)))))</f>
        <v> </v>
      </c>
      <c r="L2400" s="27"/>
    </row>
    <row r="2401" spans="1:12">
      <c r="A2401" s="20" t="s">
        <v>1030</v>
      </c>
      <c r="E2401" s="22">
        <f>IF(D2401="?OLD","!!!","")</f>
        <v/>
      </c>
      <c r="F2401" s="23" t="str">
        <f>IF(OR(E2401="",E2401="!!!"),"",IF(NOT(ISNA(VLOOKUP(E2401,E$1:E2400,1,FALSE()))),"OLD",IF(AND(E2401&lt;&gt;"",E2401&lt;&gt;"!!!"),"NEW","")))</f>
        <v> </v>
      </c>
      <c r="G2401" s="24" t="str">
        <f>IF(OR(E2401="",E2401="!!!"),"",IF(OR(J2401=0,AND(J2401=1,K2401=1),AND(J2401=1,I2401="SBJ"),AND(J2401=1,I2401=0)),"?IN_FOCUS",IF(J2401&lt;=2,"?ACTIVATED",IF(J2401&lt;&gt;"","?FAMILIAR",IF(F2401="NEW",IF(ISNA(VLOOKUP(E2401,#REF!,1,FALSE())),"?TYPE_IDENTIFIABLE","?REFERENTIAL"),"_")))))</f>
        <v> </v>
      </c>
      <c r="H2401" s="25" t="str">
        <f>IF(J2401&lt;&gt;1,"",IF(I2401="SBJ","CB","?"))</f>
        <v> </v>
      </c>
      <c r="I2401" s="26" t="str">
        <f>IF(OR(E2401="",E2401="!!!",F2401="NEW"),"",INDEX(B2400:B$2,-1+SUMPRODUCT(MAX(ROW(E2400:E$2)*(E2401=E2400:E$2)))))</f>
        <v> </v>
      </c>
      <c r="J2401" s="26" t="str">
        <f>IF(OR(E2401="",E2401="!!!",F2401="NEW"),"",COUNTBLANK(OFFSET(A$1,,,SUMPRODUCT(MAX(ROW(E$2:E2401)*(E2401=E$2:E2401)))))-COUNTBLANK(OFFSET(A$1,,,SUMPRODUCT(MAX(ROW(E$1:E2400)*(E2=E$1:E2400))))))</f>
        <v> </v>
      </c>
      <c r="K2401" s="26" t="str">
        <f>IF(OR(E2401="",E2401="!!!",F2401="NEW"),"",INDEX(J$1:J2400,SUMPRODUCT(MAX(ROW(E$1:E2400)*(E2401=E$1:E2400)))))</f>
        <v> </v>
      </c>
      <c r="L2401" s="27"/>
    </row>
    <row r="2402" spans="1:12">
      <c r="A2402" s="20" t="s">
        <v>102</v>
      </c>
      <c r="E2402" s="22">
        <f>IF(D2402="?OLD","!!!","")</f>
        <v/>
      </c>
      <c r="F2402" s="23" t="str">
        <f>IF(OR(E2402="",E2402="!!!"),"",IF(NOT(ISNA(VLOOKUP(E2402,E$1:E2401,1,FALSE()))),"OLD",IF(AND(E2402&lt;&gt;"",E2402&lt;&gt;"!!!"),"NEW","")))</f>
        <v> </v>
      </c>
      <c r="G2402" s="24" t="str">
        <f>IF(OR(E2402="",E2402="!!!"),"",IF(OR(J2402=0,AND(J2402=1,K2402=1),AND(J2402=1,I2402="SBJ"),AND(J2402=1,I2402=0)),"?IN_FOCUS",IF(J2402&lt;=2,"?ACTIVATED",IF(J2402&lt;&gt;"","?FAMILIAR",IF(F2402="NEW",IF(ISNA(VLOOKUP(E2402,#REF!,1,FALSE())),"?TYPE_IDENTIFIABLE","?REFERENTIAL"),"_")))))</f>
        <v> </v>
      </c>
      <c r="H2402" s="25" t="str">
        <f>IF(J2402&lt;&gt;1,"",IF(I2402="SBJ","CB","?"))</f>
        <v> </v>
      </c>
      <c r="I2402" s="26" t="str">
        <f>IF(OR(E2402="",E2402="!!!",F2402="NEW"),"",INDEX(B2401:B$2,-1+SUMPRODUCT(MAX(ROW(E2401:E$2)*(E2402=E2401:E$2)))))</f>
        <v> </v>
      </c>
      <c r="J2402" s="26" t="str">
        <f>IF(OR(E2402="",E2402="!!!",F2402="NEW"),"",COUNTBLANK(OFFSET(A$1,,,SUMPRODUCT(MAX(ROW(E$2:E2402)*(E2402=E$2:E2402)))))-COUNTBLANK(OFFSET(A$1,,,SUMPRODUCT(MAX(ROW(E$1:E2401)*(E2=E$1:E2401))))))</f>
        <v> </v>
      </c>
      <c r="K2402" s="26" t="str">
        <f>IF(OR(E2402="",E2402="!!!",F2402="NEW"),"",INDEX(J$1:J2401,SUMPRODUCT(MAX(ROW(E$1:E2401)*(E2402=E$1:E2401)))))</f>
        <v> </v>
      </c>
      <c r="L2402" s="27"/>
    </row>
    <row r="2403" spans="1:12">
      <c r="A2403" s="20" t="s">
        <v>1204</v>
      </c>
      <c r="B2403" s="21" t="s">
        <v>1022</v>
      </c>
      <c r="C2403" s="21" t="s">
        <v>1017</v>
      </c>
      <c r="D2403" s="21" t="s">
        <v>1007</v>
      </c>
      <c r="E2403" s="22">
        <f>IF(D2403="?OLD","!!!","")</f>
        <v/>
      </c>
      <c r="F2403" s="23" t="str">
        <f>IF(OR(E2403="",E2403="!!!"),"",IF(NOT(ISNA(VLOOKUP(E2403,E$1:E2402,1,FALSE()))),"OLD",IF(AND(E2403&lt;&gt;"",E2403&lt;&gt;"!!!"),"NEW","")))</f>
        <v> </v>
      </c>
      <c r="G2403" s="24" t="str">
        <f>IF(OR(E2403="",E2403="!!!"),"",IF(OR(J2403=0,AND(J2403=1,K2403=1),AND(J2403=1,I2403="SBJ"),AND(J2403=1,I2403=0)),"?IN_FOCUS",IF(J2403&lt;=2,"?ACTIVATED",IF(J2403&lt;&gt;"","?FAMILIAR",IF(F2403="NEW",IF(ISNA(VLOOKUP(E2403,#REF!,1,FALSE())),"?TYPE_IDENTIFIABLE","?REFERENTIAL"),"_")))))</f>
        <v> </v>
      </c>
      <c r="H2403" s="25" t="str">
        <f>IF(J2403&lt;&gt;1,"",IF(I2403="SBJ","CB","?"))</f>
        <v> </v>
      </c>
      <c r="I2403" s="26" t="str">
        <f>IF(OR(E2403="",E2403="!!!",F2403="NEW"),"",INDEX(B2402:B$2,-1+SUMPRODUCT(MAX(ROW(E2402:E$2)*(E2403=E2402:E$2)))))</f>
        <v> </v>
      </c>
      <c r="J2403" s="26" t="str">
        <f>IF(OR(E2403="",E2403="!!!",F2403="NEW"),"",COUNTBLANK(OFFSET(A$1,,,SUMPRODUCT(MAX(ROW(E$2:E2403)*(E2403=E$2:E2403)))))-COUNTBLANK(OFFSET(A$1,,,SUMPRODUCT(MAX(ROW(E$1:E2402)*(E2=E$1:E2402))))))</f>
        <v> </v>
      </c>
      <c r="K2403" s="26" t="str">
        <f>IF(OR(E2403="",E2403="!!!",F2403="NEW"),"",INDEX(J$1:J2402,SUMPRODUCT(MAX(ROW(E$1:E2402)*(E2403=E$1:E2402)))))</f>
        <v> </v>
      </c>
      <c r="L2403" s="27"/>
    </row>
    <row r="2404" spans="1:12">
      <c r="A2404" s="20" t="s">
        <v>1595</v>
      </c>
      <c r="E2404" s="22">
        <f>IF(D2404="?OLD","!!!","")</f>
        <v/>
      </c>
      <c r="F2404" s="23" t="str">
        <f>IF(OR(E2404="",E2404="!!!"),"",IF(NOT(ISNA(VLOOKUP(E2404,E$1:E2403,1,FALSE()))),"OLD",IF(AND(E2404&lt;&gt;"",E2404&lt;&gt;"!!!"),"NEW","")))</f>
        <v> </v>
      </c>
      <c r="G2404" s="24" t="str">
        <f>IF(OR(E2404="",E2404="!!!"),"",IF(OR(J2404=0,AND(J2404=1,K2404=1),AND(J2404=1,I2404="SBJ"),AND(J2404=1,I2404=0)),"?IN_FOCUS",IF(J2404&lt;=2,"?ACTIVATED",IF(J2404&lt;&gt;"","?FAMILIAR",IF(F2404="NEW",IF(ISNA(VLOOKUP(E2404,#REF!,1,FALSE())),"?TYPE_IDENTIFIABLE","?REFERENTIAL"),"_")))))</f>
        <v> </v>
      </c>
      <c r="H2404" s="25" t="str">
        <f>IF(J2404&lt;&gt;1,"",IF(I2404="SBJ","CB","?"))</f>
        <v> </v>
      </c>
      <c r="I2404" s="26" t="str">
        <f>IF(OR(E2404="",E2404="!!!",F2404="NEW"),"",INDEX(B2403:B$2,-1+SUMPRODUCT(MAX(ROW(E2403:E$2)*(E2404=E2403:E$2)))))</f>
        <v> </v>
      </c>
      <c r="J2404" s="26" t="str">
        <f>IF(OR(E2404="",E2404="!!!",F2404="NEW"),"",COUNTBLANK(OFFSET(A$1,,,SUMPRODUCT(MAX(ROW(E$2:E2404)*(E2404=E$2:E2404)))))-COUNTBLANK(OFFSET(A$1,,,SUMPRODUCT(MAX(ROW(E$1:E2403)*(E2=E$1:E2403))))))</f>
        <v> </v>
      </c>
      <c r="K2404" s="26" t="str">
        <f>IF(OR(E2404="",E2404="!!!",F2404="NEW"),"",INDEX(J$1:J2403,SUMPRODUCT(MAX(ROW(E$1:E2403)*(E2404=E$1:E2403)))))</f>
        <v> </v>
      </c>
      <c r="L2404" s="27"/>
    </row>
    <row r="2405" spans="1:12">
      <c r="A2405" s="20" t="s">
        <v>1018</v>
      </c>
      <c r="E2405" s="22">
        <f>IF(D2405="?OLD","!!!","")</f>
        <v/>
      </c>
      <c r="F2405" s="23" t="str">
        <f>IF(OR(E2405="",E2405="!!!"),"",IF(NOT(ISNA(VLOOKUP(E2405,E$1:E2404,1,FALSE()))),"OLD",IF(AND(E2405&lt;&gt;"",E2405&lt;&gt;"!!!"),"NEW","")))</f>
        <v> </v>
      </c>
      <c r="G2405" s="24" t="str">
        <f>IF(OR(E2405="",E2405="!!!"),"",IF(OR(J2405=0,AND(J2405=1,K2405=1),AND(J2405=1,I2405="SBJ"),AND(J2405=1,I2405=0)),"?IN_FOCUS",IF(J2405&lt;=2,"?ACTIVATED",IF(J2405&lt;&gt;"","?FAMILIAR",IF(F2405="NEW",IF(ISNA(VLOOKUP(E2405,#REF!,1,FALSE())),"?TYPE_IDENTIFIABLE","?REFERENTIAL"),"_")))))</f>
        <v> </v>
      </c>
      <c r="H2405" s="25" t="str">
        <f>IF(J2405&lt;&gt;1,"",IF(I2405="SBJ","CB","?"))</f>
        <v> </v>
      </c>
      <c r="I2405" s="26" t="str">
        <f>IF(OR(E2405="",E2405="!!!",F2405="NEW"),"",INDEX(B2404:B$2,-1+SUMPRODUCT(MAX(ROW(E2404:E$2)*(E2405=E2404:E$2)))))</f>
        <v> </v>
      </c>
      <c r="J2405" s="26" t="str">
        <f>IF(OR(E2405="",E2405="!!!",F2405="NEW"),"",COUNTBLANK(OFFSET(A$1,,,SUMPRODUCT(MAX(ROW(E$2:E2405)*(E2405=E$2:E2405)))))-COUNTBLANK(OFFSET(A$1,,,SUMPRODUCT(MAX(ROW(E$1:E2404)*(E2=E$1:E2404))))))</f>
        <v> </v>
      </c>
      <c r="K2405" s="26" t="str">
        <f>IF(OR(E2405="",E2405="!!!",F2405="NEW"),"",INDEX(J$1:J2404,SUMPRODUCT(MAX(ROW(E$1:E2404)*(E2405=E$1:E2404)))))</f>
        <v> </v>
      </c>
      <c r="L2405" s="27"/>
    </row>
    <row r="2406" spans="1:12">
      <c r="A2406" s="20" t="s">
        <v>1030</v>
      </c>
      <c r="E2406" s="22">
        <f>IF(D2406="?OLD","!!!","")</f>
        <v/>
      </c>
      <c r="F2406" s="23" t="str">
        <f>IF(OR(E2406="",E2406="!!!"),"",IF(NOT(ISNA(VLOOKUP(E2406,E$1:E2405,1,FALSE()))),"OLD",IF(AND(E2406&lt;&gt;"",E2406&lt;&gt;"!!!"),"NEW","")))</f>
        <v> </v>
      </c>
      <c r="G2406" s="24" t="str">
        <f>IF(OR(E2406="",E2406="!!!"),"",IF(OR(J2406=0,AND(J2406=1,K2406=1),AND(J2406=1,I2406="SBJ"),AND(J2406=1,I2406=0)),"?IN_FOCUS",IF(J2406&lt;=2,"?ACTIVATED",IF(J2406&lt;&gt;"","?FAMILIAR",IF(F2406="NEW",IF(ISNA(VLOOKUP(E2406,#REF!,1,FALSE())),"?TYPE_IDENTIFIABLE","?REFERENTIAL"),"_")))))</f>
        <v> </v>
      </c>
      <c r="H2406" s="25" t="str">
        <f>IF(J2406&lt;&gt;1,"",IF(I2406="SBJ","CB","?"))</f>
        <v> </v>
      </c>
      <c r="I2406" s="26" t="str">
        <f>IF(OR(E2406="",E2406="!!!",F2406="NEW"),"",INDEX(B2405:B$2,-1+SUMPRODUCT(MAX(ROW(E2405:E$2)*(E2406=E2405:E$2)))))</f>
        <v> </v>
      </c>
      <c r="J2406" s="26" t="str">
        <f>IF(OR(E2406="",E2406="!!!",F2406="NEW"),"",COUNTBLANK(OFFSET(A$1,,,SUMPRODUCT(MAX(ROW(E$2:E2406)*(E2406=E$2:E2406)))))-COUNTBLANK(OFFSET(A$1,,,SUMPRODUCT(MAX(ROW(E$1:E2405)*(E2=E$1:E2405))))))</f>
        <v> </v>
      </c>
      <c r="K2406" s="26" t="str">
        <f>IF(OR(E2406="",E2406="!!!",F2406="NEW"),"",INDEX(J$1:J2405,SUMPRODUCT(MAX(ROW(E$1:E2405)*(E2406=E$1:E2405)))))</f>
        <v> </v>
      </c>
      <c r="L2406" s="27"/>
    </row>
    <row r="2407" spans="1:12">
      <c r="A2407" s="20" t="s">
        <v>102</v>
      </c>
      <c r="E2407" s="22">
        <f>IF(D2407="?OLD","!!!","")</f>
        <v/>
      </c>
      <c r="F2407" s="23" t="str">
        <f>IF(OR(E2407="",E2407="!!!"),"",IF(NOT(ISNA(VLOOKUP(E2407,E$1:E2406,1,FALSE()))),"OLD",IF(AND(E2407&lt;&gt;"",E2407&lt;&gt;"!!!"),"NEW","")))</f>
        <v> </v>
      </c>
      <c r="G2407" s="24" t="str">
        <f>IF(OR(E2407="",E2407="!!!"),"",IF(OR(J2407=0,AND(J2407=1,K2407=1),AND(J2407=1,I2407="SBJ"),AND(J2407=1,I2407=0)),"?IN_FOCUS",IF(J2407&lt;=2,"?ACTIVATED",IF(J2407&lt;&gt;"","?FAMILIAR",IF(F2407="NEW",IF(ISNA(VLOOKUP(E2407,#REF!,1,FALSE())),"?TYPE_IDENTIFIABLE","?REFERENTIAL"),"_")))))</f>
        <v> </v>
      </c>
      <c r="H2407" s="25" t="str">
        <f>IF(J2407&lt;&gt;1,"",IF(I2407="SBJ","CB","?"))</f>
        <v> </v>
      </c>
      <c r="I2407" s="26" t="str">
        <f>IF(OR(E2407="",E2407="!!!",F2407="NEW"),"",INDEX(B2406:B$2,-1+SUMPRODUCT(MAX(ROW(E2406:E$2)*(E2407=E2406:E$2)))))</f>
        <v> </v>
      </c>
      <c r="J2407" s="26" t="str">
        <f>IF(OR(E2407="",E2407="!!!",F2407="NEW"),"",COUNTBLANK(OFFSET(A$1,,,SUMPRODUCT(MAX(ROW(E$2:E2407)*(E2407=E$2:E2407)))))-COUNTBLANK(OFFSET(A$1,,,SUMPRODUCT(MAX(ROW(E$1:E2406)*(E2=E$1:E2406))))))</f>
        <v> </v>
      </c>
      <c r="K2407" s="26" t="str">
        <f>IF(OR(E2407="",E2407="!!!",F2407="NEW"),"",INDEX(J$1:J2406,SUMPRODUCT(MAX(ROW(E$1:E2406)*(E2407=E$1:E2406)))))</f>
        <v> </v>
      </c>
      <c r="L2407" s="27"/>
    </row>
    <row r="2408" spans="1:12">
      <c r="A2408" s="20" t="s">
        <v>1781</v>
      </c>
      <c r="B2408" s="21" t="s">
        <v>1022</v>
      </c>
      <c r="C2408" s="21" t="s">
        <v>1013</v>
      </c>
      <c r="D2408" s="21" t="s">
        <v>1007</v>
      </c>
      <c r="E2408" s="22">
        <f>IF(D2408="?OLD","!!!","")</f>
        <v/>
      </c>
      <c r="F2408" s="23" t="str">
        <f>IF(OR(E2408="",E2408="!!!"),"",IF(NOT(ISNA(VLOOKUP(E2408,E$1:E2407,1,FALSE()))),"OLD",IF(AND(E2408&lt;&gt;"",E2408&lt;&gt;"!!!"),"NEW","")))</f>
        <v> </v>
      </c>
      <c r="G2408" s="24" t="str">
        <f>IF(OR(E2408="",E2408="!!!"),"",IF(OR(J2408=0,AND(J2408=1,K2408=1),AND(J2408=1,I2408="SBJ"),AND(J2408=1,I2408=0)),"?IN_FOCUS",IF(J2408&lt;=2,"?ACTIVATED",IF(J2408&lt;&gt;"","?FAMILIAR",IF(F2408="NEW",IF(ISNA(VLOOKUP(E2408,#REF!,1,FALSE())),"?TYPE_IDENTIFIABLE","?REFERENTIAL"),"_")))))</f>
        <v> </v>
      </c>
      <c r="H2408" s="25" t="str">
        <f>IF(J2408&lt;&gt;1,"",IF(I2408="SBJ","CB","?"))</f>
        <v> </v>
      </c>
      <c r="I2408" s="26" t="str">
        <f>IF(OR(E2408="",E2408="!!!",F2408="NEW"),"",INDEX(B2407:B$2,-1+SUMPRODUCT(MAX(ROW(E2407:E$2)*(E2408=E2407:E$2)))))</f>
        <v> </v>
      </c>
      <c r="J2408" s="26" t="str">
        <f>IF(OR(E2408="",E2408="!!!",F2408="NEW"),"",COUNTBLANK(OFFSET(A$1,,,SUMPRODUCT(MAX(ROW(E$2:E2408)*(E2408=E$2:E2408)))))-COUNTBLANK(OFFSET(A$1,,,SUMPRODUCT(MAX(ROW(E$1:E2407)*(E2=E$1:E2407))))))</f>
        <v> </v>
      </c>
      <c r="K2408" s="26" t="str">
        <f>IF(OR(E2408="",E2408="!!!",F2408="NEW"),"",INDEX(J$1:J2407,SUMPRODUCT(MAX(ROW(E$1:E2407)*(E2408=E$1:E2407)))))</f>
        <v> </v>
      </c>
      <c r="L2408" s="27"/>
    </row>
    <row r="2409" spans="1:12">
      <c r="A2409" s="20" t="s">
        <v>1030</v>
      </c>
      <c r="E2409" s="22">
        <f>IF(D2409="?OLD","!!!","")</f>
        <v/>
      </c>
      <c r="F2409" s="23" t="str">
        <f>IF(OR(E2409="",E2409="!!!"),"",IF(NOT(ISNA(VLOOKUP(E2409,E$1:E2408,1,FALSE()))),"OLD",IF(AND(E2409&lt;&gt;"",E2409&lt;&gt;"!!!"),"NEW","")))</f>
        <v> </v>
      </c>
      <c r="G2409" s="24" t="str">
        <f>IF(OR(E2409="",E2409="!!!"),"",IF(OR(J2409=0,AND(J2409=1,K2409=1),AND(J2409=1,I2409="SBJ"),AND(J2409=1,I2409=0)),"?IN_FOCUS",IF(J2409&lt;=2,"?ACTIVATED",IF(J2409&lt;&gt;"","?FAMILIAR",IF(F2409="NEW",IF(ISNA(VLOOKUP(E2409,#REF!,1,FALSE())),"?TYPE_IDENTIFIABLE","?REFERENTIAL"),"_")))))</f>
        <v> </v>
      </c>
      <c r="H2409" s="25" t="str">
        <f>IF(J2409&lt;&gt;1,"",IF(I2409="SBJ","CB","?"))</f>
        <v> </v>
      </c>
      <c r="I2409" s="26" t="str">
        <f>IF(OR(E2409="",E2409="!!!",F2409="NEW"),"",INDEX(B2408:B$2,-1+SUMPRODUCT(MAX(ROW(E2408:E$2)*(E2409=E2408:E$2)))))</f>
        <v> </v>
      </c>
      <c r="J2409" s="26" t="str">
        <f>IF(OR(E2409="",E2409="!!!",F2409="NEW"),"",COUNTBLANK(OFFSET(A$1,,,SUMPRODUCT(MAX(ROW(E$2:E2409)*(E2409=E$2:E2409)))))-COUNTBLANK(OFFSET(A$1,,,SUMPRODUCT(MAX(ROW(E$1:E2408)*(E2=E$1:E2408))))))</f>
        <v> </v>
      </c>
      <c r="K2409" s="26" t="str">
        <f>IF(OR(E2409="",E2409="!!!",F2409="NEW"),"",INDEX(J$1:J2408,SUMPRODUCT(MAX(ROW(E$1:E2408)*(E2409=E$1:E2408)))))</f>
        <v> </v>
      </c>
      <c r="L2409" s="27"/>
    </row>
    <row r="2410" spans="1:12">
      <c r="A2410" s="20" t="s">
        <v>102</v>
      </c>
      <c r="E2410" s="22">
        <f>IF(D2410="?OLD","!!!","")</f>
        <v/>
      </c>
      <c r="F2410" s="23" t="str">
        <f>IF(OR(E2410="",E2410="!!!"),"",IF(NOT(ISNA(VLOOKUP(E2410,E$1:E2409,1,FALSE()))),"OLD",IF(AND(E2410&lt;&gt;"",E2410&lt;&gt;"!!!"),"NEW","")))</f>
        <v> </v>
      </c>
      <c r="G2410" s="24" t="str">
        <f>IF(OR(E2410="",E2410="!!!"),"",IF(OR(J2410=0,AND(J2410=1,K2410=1),AND(J2410=1,I2410="SBJ"),AND(J2410=1,I2410=0)),"?IN_FOCUS",IF(J2410&lt;=2,"?ACTIVATED",IF(J2410&lt;&gt;"","?FAMILIAR",IF(F2410="NEW",IF(ISNA(VLOOKUP(E2410,#REF!,1,FALSE())),"?TYPE_IDENTIFIABLE","?REFERENTIAL"),"_")))))</f>
        <v> </v>
      </c>
      <c r="H2410" s="25" t="str">
        <f>IF(J2410&lt;&gt;1,"",IF(I2410="SBJ","CB","?"))</f>
        <v> </v>
      </c>
      <c r="I2410" s="26" t="str">
        <f>IF(OR(E2410="",E2410="!!!",F2410="NEW"),"",INDEX(B2409:B$2,-1+SUMPRODUCT(MAX(ROW(E2409:E$2)*(E2410=E2409:E$2)))))</f>
        <v> </v>
      </c>
      <c r="J2410" s="26" t="str">
        <f>IF(OR(E2410="",E2410="!!!",F2410="NEW"),"",COUNTBLANK(OFFSET(A$1,,,SUMPRODUCT(MAX(ROW(E$2:E2410)*(E2410=E$2:E2410)))))-COUNTBLANK(OFFSET(A$1,,,SUMPRODUCT(MAX(ROW(E$1:E2409)*(E2=E$1:E2409))))))</f>
        <v> </v>
      </c>
      <c r="K2410" s="26" t="str">
        <f>IF(OR(E2410="",E2410="!!!",F2410="NEW"),"",INDEX(J$1:J2409,SUMPRODUCT(MAX(ROW(E$1:E2409)*(E2410=E$1:E2409)))))</f>
        <v> </v>
      </c>
      <c r="L2410" s="27"/>
    </row>
    <row r="2411" spans="1:12">
      <c r="A2411" s="20" t="s">
        <v>576</v>
      </c>
      <c r="B2411" s="21" t="s">
        <v>1033</v>
      </c>
      <c r="C2411" s="21" t="s">
        <v>1017</v>
      </c>
      <c r="D2411" s="21" t="s">
        <v>1007</v>
      </c>
      <c r="E2411" s="22">
        <f>IF(D2411="?OLD","!!!","")</f>
        <v/>
      </c>
      <c r="F2411" s="23" t="str">
        <f>IF(OR(E2411="",E2411="!!!"),"",IF(NOT(ISNA(VLOOKUP(E2411,E$1:E2410,1,FALSE()))),"OLD",IF(AND(E2411&lt;&gt;"",E2411&lt;&gt;"!!!"),"NEW","")))</f>
        <v> </v>
      </c>
      <c r="G2411" s="24" t="str">
        <f>IF(OR(E2411="",E2411="!!!"),"",IF(OR(J2411=0,AND(J2411=1,K2411=1),AND(J2411=1,I2411="SBJ"),AND(J2411=1,I2411=0)),"?IN_FOCUS",IF(J2411&lt;=2,"?ACTIVATED",IF(J2411&lt;&gt;"","?FAMILIAR",IF(F2411="NEW",IF(ISNA(VLOOKUP(E2411,#REF!,1,FALSE())),"?TYPE_IDENTIFIABLE","?REFERENTIAL"),"_")))))</f>
        <v> </v>
      </c>
      <c r="H2411" s="25" t="str">
        <f>IF(J2411&lt;&gt;1,"",IF(I2411="SBJ","CB","?"))</f>
        <v> </v>
      </c>
      <c r="I2411" s="26" t="str">
        <f>IF(OR(E2411="",E2411="!!!",F2411="NEW"),"",INDEX(B2410:B$2,-1+SUMPRODUCT(MAX(ROW(E2410:E$2)*(E2411=E2410:E$2)))))</f>
        <v> </v>
      </c>
      <c r="J2411" s="26" t="str">
        <f>IF(OR(E2411="",E2411="!!!",F2411="NEW"),"",COUNTBLANK(OFFSET(A$1,,,SUMPRODUCT(MAX(ROW(E$2:E2411)*(E2411=E$2:E2411)))))-COUNTBLANK(OFFSET(A$1,,,SUMPRODUCT(MAX(ROW(E$1:E2410)*(E2=E$1:E2410))))))</f>
        <v> </v>
      </c>
      <c r="K2411" s="26" t="str">
        <f>IF(OR(E2411="",E2411="!!!",F2411="NEW"),"",INDEX(J$1:J2410,SUMPRODUCT(MAX(ROW(E$1:E2410)*(E2411=E$1:E2410)))))</f>
        <v> </v>
      </c>
      <c r="L2411" s="27"/>
    </row>
    <row r="2412" spans="1:12">
      <c r="A2412" s="20" t="s">
        <v>1018</v>
      </c>
      <c r="E2412" s="22">
        <f>IF(D2412="?OLD","!!!","")</f>
        <v/>
      </c>
      <c r="F2412" s="23" t="str">
        <f>IF(OR(E2412="",E2412="!!!"),"",IF(NOT(ISNA(VLOOKUP(E2412,E$1:E2411,1,FALSE()))),"OLD",IF(AND(E2412&lt;&gt;"",E2412&lt;&gt;"!!!"),"NEW","")))</f>
        <v> </v>
      </c>
      <c r="G2412" s="24" t="str">
        <f>IF(OR(E2412="",E2412="!!!"),"",IF(OR(J2412=0,AND(J2412=1,K2412=1),AND(J2412=1,I2412="SBJ"),AND(J2412=1,I2412=0)),"?IN_FOCUS",IF(J2412&lt;=2,"?ACTIVATED",IF(J2412&lt;&gt;"","?FAMILIAR",IF(F2412="NEW",IF(ISNA(VLOOKUP(E2412,#REF!,1,FALSE())),"?TYPE_IDENTIFIABLE","?REFERENTIAL"),"_")))))</f>
        <v> </v>
      </c>
      <c r="H2412" s="25" t="str">
        <f>IF(J2412&lt;&gt;1,"",IF(I2412="SBJ","CB","?"))</f>
        <v> </v>
      </c>
      <c r="I2412" s="26" t="str">
        <f>IF(OR(E2412="",E2412="!!!",F2412="NEW"),"",INDEX(B2411:B$2,-1+SUMPRODUCT(MAX(ROW(E2411:E$2)*(E2412=E2411:E$2)))))</f>
        <v> </v>
      </c>
      <c r="J2412" s="26" t="str">
        <f>IF(OR(E2412="",E2412="!!!",F2412="NEW"),"",COUNTBLANK(OFFSET(A$1,,,SUMPRODUCT(MAX(ROW(E$2:E2412)*(E2412=E$2:E2412)))))-COUNTBLANK(OFFSET(A$1,,,SUMPRODUCT(MAX(ROW(E$1:E2411)*(E2=E$1:E2411))))))</f>
        <v> </v>
      </c>
      <c r="K2412" s="26" t="str">
        <f>IF(OR(E2412="",E2412="!!!",F2412="NEW"),"",INDEX(J$1:J2411,SUMPRODUCT(MAX(ROW(E$1:E2411)*(E2412=E$1:E2411)))))</f>
        <v> </v>
      </c>
      <c r="L2412" s="27"/>
    </row>
    <row r="2413" spans="1:12">
      <c r="A2413" s="20" t="s">
        <v>1324</v>
      </c>
      <c r="E2413" s="22">
        <f>IF(D2413="?OLD","!!!","")</f>
        <v/>
      </c>
      <c r="F2413" s="23" t="str">
        <f>IF(OR(E2413="",E2413="!!!"),"",IF(NOT(ISNA(VLOOKUP(E2413,E$1:E2412,1,FALSE()))),"OLD",IF(AND(E2413&lt;&gt;"",E2413&lt;&gt;"!!!"),"NEW","")))</f>
        <v> </v>
      </c>
      <c r="G2413" s="24" t="str">
        <f>IF(OR(E2413="",E2413="!!!"),"",IF(OR(J2413=0,AND(J2413=1,K2413=1),AND(J2413=1,I2413="SBJ"),AND(J2413=1,I2413=0)),"?IN_FOCUS",IF(J2413&lt;=2,"?ACTIVATED",IF(J2413&lt;&gt;"","?FAMILIAR",IF(F2413="NEW",IF(ISNA(VLOOKUP(E2413,#REF!,1,FALSE())),"?TYPE_IDENTIFIABLE","?REFERENTIAL"),"_")))))</f>
        <v> </v>
      </c>
      <c r="H2413" s="25" t="str">
        <f>IF(J2413&lt;&gt;1,"",IF(I2413="SBJ","CB","?"))</f>
        <v> </v>
      </c>
      <c r="I2413" s="26" t="str">
        <f>IF(OR(E2413="",E2413="!!!",F2413="NEW"),"",INDEX(B2412:B$2,-1+SUMPRODUCT(MAX(ROW(E2412:E$2)*(E2413=E2412:E$2)))))</f>
        <v> </v>
      </c>
      <c r="J2413" s="26" t="str">
        <f>IF(OR(E2413="",E2413="!!!",F2413="NEW"),"",COUNTBLANK(OFFSET(A$1,,,SUMPRODUCT(MAX(ROW(E$2:E2413)*(E2413=E$2:E2413)))))-COUNTBLANK(OFFSET(A$1,,,SUMPRODUCT(MAX(ROW(E$1:E2412)*(E2=E$1:E2412))))))</f>
        <v> </v>
      </c>
      <c r="K2413" s="26" t="str">
        <f>IF(OR(E2413="",E2413="!!!",F2413="NEW"),"",INDEX(J$1:J2412,SUMPRODUCT(MAX(ROW(E$1:E2412)*(E2413=E$1:E2412)))))</f>
        <v> </v>
      </c>
      <c r="L2413" s="27"/>
    </row>
    <row r="2414" spans="1:12">
      <c r="A2414" s="20" t="s">
        <v>193</v>
      </c>
      <c r="B2414" s="21" t="s">
        <v>1029</v>
      </c>
      <c r="C2414" s="21" t="s">
        <v>1013</v>
      </c>
      <c r="D2414" s="21" t="s">
        <v>1007</v>
      </c>
      <c r="E2414" s="22">
        <f>IF(D2414="?OLD","!!!","")</f>
        <v/>
      </c>
      <c r="F2414" s="23" t="str">
        <f>IF(OR(E2414="",E2414="!!!"),"",IF(NOT(ISNA(VLOOKUP(E2414,E$1:E2413,1,FALSE()))),"OLD",IF(AND(E2414&lt;&gt;"",E2414&lt;&gt;"!!!"),"NEW","")))</f>
        <v> </v>
      </c>
      <c r="G2414" s="24" t="str">
        <f>IF(OR(E2414="",E2414="!!!"),"",IF(OR(J2414=0,AND(J2414=1,K2414=1),AND(J2414=1,I2414="SBJ"),AND(J2414=1,I2414=0)),"?IN_FOCUS",IF(J2414&lt;=2,"?ACTIVATED",IF(J2414&lt;&gt;"","?FAMILIAR",IF(F2414="NEW",IF(ISNA(VLOOKUP(E2414,#REF!,1,FALSE())),"?TYPE_IDENTIFIABLE","?REFERENTIAL"),"_")))))</f>
        <v> </v>
      </c>
      <c r="H2414" s="25" t="str">
        <f>IF(J2414&lt;&gt;1,"",IF(I2414="SBJ","CB","?"))</f>
        <v> </v>
      </c>
      <c r="I2414" s="26" t="str">
        <f>IF(OR(E2414="",E2414="!!!",F2414="NEW"),"",INDEX(B2413:B$2,-1+SUMPRODUCT(MAX(ROW(E2413:E$2)*(E2414=E2413:E$2)))))</f>
        <v> </v>
      </c>
      <c r="J2414" s="26" t="str">
        <f>IF(OR(E2414="",E2414="!!!",F2414="NEW"),"",COUNTBLANK(OFFSET(A$1,,,SUMPRODUCT(MAX(ROW(E$2:E2414)*(E2414=E$2:E2414)))))-COUNTBLANK(OFFSET(A$1,,,SUMPRODUCT(MAX(ROW(E$1:E2413)*(E2=E$1:E2413))))))</f>
        <v> </v>
      </c>
      <c r="K2414" s="26" t="str">
        <f>IF(OR(E2414="",E2414="!!!",F2414="NEW"),"",INDEX(J$1:J2413,SUMPRODUCT(MAX(ROW(E$1:E2413)*(E2414=E$1:E2413)))))</f>
        <v> </v>
      </c>
      <c r="L2414" s="27"/>
    </row>
    <row r="2415" spans="1:12">
      <c r="A2415" s="20" t="s">
        <v>1089</v>
      </c>
      <c r="E2415" s="22">
        <f>IF(D2415="?OLD","!!!","")</f>
        <v/>
      </c>
      <c r="F2415" s="23" t="str">
        <f>IF(OR(E2415="",E2415="!!!"),"",IF(NOT(ISNA(VLOOKUP(E2415,E$1:E2414,1,FALSE()))),"OLD",IF(AND(E2415&lt;&gt;"",E2415&lt;&gt;"!!!"),"NEW","")))</f>
        <v> </v>
      </c>
      <c r="G2415" s="24" t="str">
        <f>IF(OR(E2415="",E2415="!!!"),"",IF(OR(J2415=0,AND(J2415=1,K2415=1),AND(J2415=1,I2415="SBJ"),AND(J2415=1,I2415=0)),"?IN_FOCUS",IF(J2415&lt;=2,"?ACTIVATED",IF(J2415&lt;&gt;"","?FAMILIAR",IF(F2415="NEW",IF(ISNA(VLOOKUP(E2415,#REF!,1,FALSE())),"?TYPE_IDENTIFIABLE","?REFERENTIAL"),"_")))))</f>
        <v> </v>
      </c>
      <c r="H2415" s="25" t="str">
        <f>IF(J2415&lt;&gt;1,"",IF(I2415="SBJ","CB","?"))</f>
        <v> </v>
      </c>
      <c r="I2415" s="26" t="str">
        <f>IF(OR(E2415="",E2415="!!!",F2415="NEW"),"",INDEX(B2414:B$2,-1+SUMPRODUCT(MAX(ROW(E2414:E$2)*(E2415=E2414:E$2)))))</f>
        <v> </v>
      </c>
      <c r="J2415" s="26" t="str">
        <f>IF(OR(E2415="",E2415="!!!",F2415="NEW"),"",COUNTBLANK(OFFSET(A$1,,,SUMPRODUCT(MAX(ROW(E$2:E2415)*(E2415=E$2:E2415)))))-COUNTBLANK(OFFSET(A$1,,,SUMPRODUCT(MAX(ROW(E$1:E2414)*(E2=E$1:E2414))))))</f>
        <v> </v>
      </c>
      <c r="K2415" s="26" t="str">
        <f>IF(OR(E2415="",E2415="!!!",F2415="NEW"),"",INDEX(J$1:J2414,SUMPRODUCT(MAX(ROW(E$1:E2414)*(E2415=E$1:E2414)))))</f>
        <v> </v>
      </c>
      <c r="L2415" s="27"/>
    </row>
    <row r="2416" spans="1:12">
      <c r="A2416" s="20" t="s">
        <v>1097</v>
      </c>
      <c r="E2416" s="22">
        <f>IF(D2416="?OLD","!!!","")</f>
        <v/>
      </c>
      <c r="F2416" s="23" t="str">
        <f>IF(OR(E2416="",E2416="!!!"),"",IF(NOT(ISNA(VLOOKUP(E2416,E$1:E2415,1,FALSE()))),"OLD",IF(AND(E2416&lt;&gt;"",E2416&lt;&gt;"!!!"),"NEW","")))</f>
        <v> </v>
      </c>
      <c r="G2416" s="24" t="str">
        <f>IF(OR(E2416="",E2416="!!!"),"",IF(OR(J2416=0,AND(J2416=1,K2416=1),AND(J2416=1,I2416="SBJ"),AND(J2416=1,I2416=0)),"?IN_FOCUS",IF(J2416&lt;=2,"?ACTIVATED",IF(J2416&lt;&gt;"","?FAMILIAR",IF(F2416="NEW",IF(ISNA(VLOOKUP(E2416,#REF!,1,FALSE())),"?TYPE_IDENTIFIABLE","?REFERENTIAL"),"_")))))</f>
        <v> </v>
      </c>
      <c r="H2416" s="25" t="str">
        <f>IF(J2416&lt;&gt;1,"",IF(I2416="SBJ","CB","?"))</f>
        <v> </v>
      </c>
      <c r="I2416" s="26" t="str">
        <f>IF(OR(E2416="",E2416="!!!",F2416="NEW"),"",INDEX(B2415:B$2,-1+SUMPRODUCT(MAX(ROW(E2415:E$2)*(E2416=E2415:E$2)))))</f>
        <v> </v>
      </c>
      <c r="J2416" s="26" t="str">
        <f>IF(OR(E2416="",E2416="!!!",F2416="NEW"),"",COUNTBLANK(OFFSET(A$1,,,SUMPRODUCT(MAX(ROW(E$2:E2416)*(E2416=E$2:E2416)))))-COUNTBLANK(OFFSET(A$1,,,SUMPRODUCT(MAX(ROW(E$1:E2415)*(E2=E$1:E2415))))))</f>
        <v> </v>
      </c>
      <c r="K2416" s="26" t="str">
        <f>IF(OR(E2416="",E2416="!!!",F2416="NEW"),"",INDEX(J$1:J2415,SUMPRODUCT(MAX(ROW(E$1:E2415)*(E2416=E$1:E2415)))))</f>
        <v> </v>
      </c>
      <c r="L2416" s="27"/>
    </row>
    <row r="2417" spans="1:12">
      <c r="A2417" s="20" t="s">
        <v>1535</v>
      </c>
      <c r="B2417" s="21" t="s">
        <v>1033</v>
      </c>
      <c r="C2417" s="21" t="s">
        <v>1086</v>
      </c>
      <c r="E2417" s="22">
        <f>IF(D2417="?OLD","!!!","")</f>
        <v/>
      </c>
      <c r="F2417" s="23" t="str">
        <f>IF(OR(E2417="",E2417="!!!"),"",IF(NOT(ISNA(VLOOKUP(E2417,E$1:E2416,1,FALSE()))),"OLD",IF(AND(E2417&lt;&gt;"",E2417&lt;&gt;"!!!"),"NEW","")))</f>
        <v> </v>
      </c>
      <c r="G2417" s="24" t="str">
        <f>IF(OR(E2417="",E2417="!!!"),"",IF(OR(J2417=0,AND(J2417=1,K2417=1),AND(J2417=1,I2417="SBJ"),AND(J2417=1,I2417=0)),"?IN_FOCUS",IF(J2417&lt;=2,"?ACTIVATED",IF(J2417&lt;&gt;"","?FAMILIAR",IF(F2417="NEW",IF(ISNA(VLOOKUP(E2417,#REF!,1,FALSE())),"?TYPE_IDENTIFIABLE","?REFERENTIAL"),"_")))))</f>
        <v> </v>
      </c>
      <c r="H2417" s="25" t="str">
        <f>IF(J2417&lt;&gt;1,"",IF(I2417="SBJ","CB","?"))</f>
        <v> </v>
      </c>
      <c r="I2417" s="26" t="str">
        <f>IF(OR(E2417="",E2417="!!!",F2417="NEW"),"",INDEX(B2416:B$2,-1+SUMPRODUCT(MAX(ROW(E2416:E$2)*(E2417=E2416:E$2)))))</f>
        <v> </v>
      </c>
      <c r="J2417" s="26" t="str">
        <f>IF(OR(E2417="",E2417="!!!",F2417="NEW"),"",COUNTBLANK(OFFSET(A$1,,,SUMPRODUCT(MAX(ROW(E$2:E2417)*(E2417=E$2:E2417)))))-COUNTBLANK(OFFSET(A$1,,,SUMPRODUCT(MAX(ROW(E$1:E2416)*(E2=E$1:E2416))))))</f>
        <v> </v>
      </c>
      <c r="K2417" s="26" t="str">
        <f>IF(OR(E2417="",E2417="!!!",F2417="NEW"),"",INDEX(J$1:J2416,SUMPRODUCT(MAX(ROW(E$1:E2416)*(E2417=E$1:E2416)))))</f>
        <v> </v>
      </c>
      <c r="L2417" s="27"/>
    </row>
    <row r="2418" spans="1:12">
      <c r="A2418" s="20" t="s">
        <v>1132</v>
      </c>
      <c r="E2418" s="22">
        <f>IF(D2418="?OLD","!!!","")</f>
        <v/>
      </c>
      <c r="F2418" s="23" t="str">
        <f>IF(OR(E2418="",E2418="!!!"),"",IF(NOT(ISNA(VLOOKUP(E2418,E$1:E2417,1,FALSE()))),"OLD",IF(AND(E2418&lt;&gt;"",E2418&lt;&gt;"!!!"),"NEW","")))</f>
        <v> </v>
      </c>
      <c r="G2418" s="24" t="str">
        <f>IF(OR(E2418="",E2418="!!!"),"",IF(OR(J2418=0,AND(J2418=1,K2418=1),AND(J2418=1,I2418="SBJ"),AND(J2418=1,I2418=0)),"?IN_FOCUS",IF(J2418&lt;=2,"?ACTIVATED",IF(J2418&lt;&gt;"","?FAMILIAR",IF(F2418="NEW",IF(ISNA(VLOOKUP(E2418,#REF!,1,FALSE())),"?TYPE_IDENTIFIABLE","?REFERENTIAL"),"_")))))</f>
        <v> </v>
      </c>
      <c r="H2418" s="25" t="str">
        <f>IF(J2418&lt;&gt;1,"",IF(I2418="SBJ","CB","?"))</f>
        <v> </v>
      </c>
      <c r="I2418" s="26" t="str">
        <f>IF(OR(E2418="",E2418="!!!",F2418="NEW"),"",INDEX(B2417:B$2,-1+SUMPRODUCT(MAX(ROW(E2417:E$2)*(E2418=E2417:E$2)))))</f>
        <v> </v>
      </c>
      <c r="J2418" s="26" t="str">
        <f>IF(OR(E2418="",E2418="!!!",F2418="NEW"),"",COUNTBLANK(OFFSET(A$1,,,SUMPRODUCT(MAX(ROW(E$2:E2418)*(E2418=E$2:E2418)))))-COUNTBLANK(OFFSET(A$1,,,SUMPRODUCT(MAX(ROW(E$1:E2417)*(E2=E$1:E2417))))))</f>
        <v> </v>
      </c>
      <c r="K2418" s="26" t="str">
        <f>IF(OR(E2418="",E2418="!!!",F2418="NEW"),"",INDEX(J$1:J2417,SUMPRODUCT(MAX(ROW(E$1:E2417)*(E2418=E$1:E2417)))))</f>
        <v> </v>
      </c>
      <c r="L2418" s="27"/>
    </row>
    <row r="2419" spans="1:12">
      <c r="A2419" s="20" t="s">
        <v>1138</v>
      </c>
      <c r="B2419" s="21" t="s">
        <v>1033</v>
      </c>
      <c r="C2419" s="21" t="s">
        <v>1082</v>
      </c>
      <c r="D2419" s="21" t="s">
        <v>1007</v>
      </c>
      <c r="E2419" s="22">
        <f>IF(D2419="?OLD","!!!","")</f>
        <v/>
      </c>
      <c r="F2419" s="23" t="str">
        <f>IF(OR(E2419="",E2419="!!!"),"",IF(NOT(ISNA(VLOOKUP(E2419,E$1:E2418,1,FALSE()))),"OLD",IF(AND(E2419&lt;&gt;"",E2419&lt;&gt;"!!!"),"NEW","")))</f>
        <v> </v>
      </c>
      <c r="G2419" s="24" t="str">
        <f>IF(OR(E2419="",E2419="!!!"),"",IF(OR(J2419=0,AND(J2419=1,K2419=1),AND(J2419=1,I2419="SBJ"),AND(J2419=1,I2419=0)),"?IN_FOCUS",IF(J2419&lt;=2,"?ACTIVATED",IF(J2419&lt;&gt;"","?FAMILIAR",IF(F2419="NEW",IF(ISNA(VLOOKUP(E2419,#REF!,1,FALSE())),"?TYPE_IDENTIFIABLE","?REFERENTIAL"),"_")))))</f>
        <v> </v>
      </c>
      <c r="H2419" s="25" t="str">
        <f>IF(J2419&lt;&gt;1,"",IF(I2419="SBJ","CB","?"))</f>
        <v> </v>
      </c>
      <c r="I2419" s="26" t="str">
        <f>IF(OR(E2419="",E2419="!!!",F2419="NEW"),"",INDEX(B2418:B$2,-1+SUMPRODUCT(MAX(ROW(E2418:E$2)*(E2419=E2418:E$2)))))</f>
        <v> </v>
      </c>
      <c r="J2419" s="26" t="str">
        <f>IF(OR(E2419="",E2419="!!!",F2419="NEW"),"",COUNTBLANK(OFFSET(A$1,,,SUMPRODUCT(MAX(ROW(E$2:E2419)*(E2419=E$2:E2419)))))-COUNTBLANK(OFFSET(A$1,,,SUMPRODUCT(MAX(ROW(E$1:E2418)*(E2=E$1:E2418))))))</f>
        <v> </v>
      </c>
      <c r="K2419" s="26" t="str">
        <f>IF(OR(E2419="",E2419="!!!",F2419="NEW"),"",INDEX(J$1:J2418,SUMPRODUCT(MAX(ROW(E$1:E2418)*(E2419=E$1:E2418)))))</f>
        <v> </v>
      </c>
      <c r="L2419" s="27"/>
    </row>
    <row r="2420" spans="1:12">
      <c r="A2420" s="20" t="s">
        <v>1018</v>
      </c>
      <c r="E2420" s="22">
        <f>IF(D2420="?OLD","!!!","")</f>
        <v/>
      </c>
      <c r="F2420" s="23" t="str">
        <f>IF(OR(E2420="",E2420="!!!"),"",IF(NOT(ISNA(VLOOKUP(E2420,E$1:E2419,1,FALSE()))),"OLD",IF(AND(E2420&lt;&gt;"",E2420&lt;&gt;"!!!"),"NEW","")))</f>
        <v> </v>
      </c>
      <c r="G2420" s="24" t="str">
        <f>IF(OR(E2420="",E2420="!!!"),"",IF(OR(J2420=0,AND(J2420=1,K2420=1),AND(J2420=1,I2420="SBJ"),AND(J2420=1,I2420=0)),"?IN_FOCUS",IF(J2420&lt;=2,"?ACTIVATED",IF(J2420&lt;&gt;"","?FAMILIAR",IF(F2420="NEW",IF(ISNA(VLOOKUP(E2420,#REF!,1,FALSE())),"?TYPE_IDENTIFIABLE","?REFERENTIAL"),"_")))))</f>
        <v> </v>
      </c>
      <c r="H2420" s="25" t="str">
        <f>IF(J2420&lt;&gt;1,"",IF(I2420="SBJ","CB","?"))</f>
        <v> </v>
      </c>
      <c r="I2420" s="26" t="str">
        <f>IF(OR(E2420="",E2420="!!!",F2420="NEW"),"",INDEX(B2419:B$2,-1+SUMPRODUCT(MAX(ROW(E2419:E$2)*(E2420=E2419:E$2)))))</f>
        <v> </v>
      </c>
      <c r="J2420" s="26" t="str">
        <f>IF(OR(E2420="",E2420="!!!",F2420="NEW"),"",COUNTBLANK(OFFSET(A$1,,,SUMPRODUCT(MAX(ROW(E$2:E2420)*(E2420=E$2:E2420)))))-COUNTBLANK(OFFSET(A$1,,,SUMPRODUCT(MAX(ROW(E$1:E2419)*(E2=E$1:E2419))))))</f>
        <v> </v>
      </c>
      <c r="K2420" s="26" t="str">
        <f>IF(OR(E2420="",E2420="!!!",F2420="NEW"),"",INDEX(J$1:J2419,SUMPRODUCT(MAX(ROW(E$1:E2419)*(E2420=E$1:E2419)))))</f>
        <v> </v>
      </c>
      <c r="L2420" s="27"/>
    </row>
    <row r="2421" spans="1:12">
      <c r="A2421" s="20" t="s">
        <v>1065</v>
      </c>
      <c r="E2421" s="22">
        <f>IF(D2421="?OLD","!!!","")</f>
        <v/>
      </c>
      <c r="F2421" s="23" t="str">
        <f>IF(OR(E2421="",E2421="!!!"),"",IF(NOT(ISNA(VLOOKUP(E2421,E$1:E2420,1,FALSE()))),"OLD",IF(AND(E2421&lt;&gt;"",E2421&lt;&gt;"!!!"),"NEW","")))</f>
        <v> </v>
      </c>
      <c r="G2421" s="24" t="str">
        <f>IF(OR(E2421="",E2421="!!!"),"",IF(OR(J2421=0,AND(J2421=1,K2421=1),AND(J2421=1,I2421="SBJ"),AND(J2421=1,I2421=0)),"?IN_FOCUS",IF(J2421&lt;=2,"?ACTIVATED",IF(J2421&lt;&gt;"","?FAMILIAR",IF(F2421="NEW",IF(ISNA(VLOOKUP(E2421,#REF!,1,FALSE())),"?TYPE_IDENTIFIABLE","?REFERENTIAL"),"_")))))</f>
        <v> </v>
      </c>
      <c r="H2421" s="25" t="str">
        <f>IF(J2421&lt;&gt;1,"",IF(I2421="SBJ","CB","?"))</f>
        <v> </v>
      </c>
      <c r="I2421" s="26" t="str">
        <f>IF(OR(E2421="",E2421="!!!",F2421="NEW"),"",INDEX(B2420:B$2,-1+SUMPRODUCT(MAX(ROW(E2420:E$2)*(E2421=E2420:E$2)))))</f>
        <v> </v>
      </c>
      <c r="J2421" s="26" t="str">
        <f>IF(OR(E2421="",E2421="!!!",F2421="NEW"),"",COUNTBLANK(OFFSET(A$1,,,SUMPRODUCT(MAX(ROW(E$2:E2421)*(E2421=E$2:E2421)))))-COUNTBLANK(OFFSET(A$1,,,SUMPRODUCT(MAX(ROW(E$1:E2420)*(E2=E$1:E2420))))))</f>
        <v> </v>
      </c>
      <c r="K2421" s="26" t="str">
        <f>IF(OR(E2421="",E2421="!!!",F2421="NEW"),"",INDEX(J$1:J2420,SUMPRODUCT(MAX(ROW(E$1:E2420)*(E2421=E$1:E2420)))))</f>
        <v> </v>
      </c>
      <c r="L2421" s="27"/>
    </row>
    <row r="2422" spans="1:12">
      <c r="A2422" s="20" t="s">
        <v>1782</v>
      </c>
      <c r="E2422" s="22">
        <f>IF(D2422="?OLD","!!!","")</f>
        <v/>
      </c>
      <c r="F2422" s="23" t="str">
        <f>IF(OR(E2422="",E2422="!!!"),"",IF(NOT(ISNA(VLOOKUP(E2422,E$1:E2421,1,FALSE()))),"OLD",IF(AND(E2422&lt;&gt;"",E2422&lt;&gt;"!!!"),"NEW","")))</f>
        <v> </v>
      </c>
      <c r="G2422" s="24" t="str">
        <f>IF(OR(E2422="",E2422="!!!"),"",IF(OR(J2422=0,AND(J2422=1,K2422=1),AND(J2422=1,I2422="SBJ"),AND(J2422=1,I2422=0)),"?IN_FOCUS",IF(J2422&lt;=2,"?ACTIVATED",IF(J2422&lt;&gt;"","?FAMILIAR",IF(F2422="NEW",IF(ISNA(VLOOKUP(E2422,#REF!,1,FALSE())),"?TYPE_IDENTIFIABLE","?REFERENTIAL"),"_")))))</f>
        <v> </v>
      </c>
      <c r="H2422" s="25" t="str">
        <f>IF(J2422&lt;&gt;1,"",IF(I2422="SBJ","CB","?"))</f>
        <v> </v>
      </c>
      <c r="I2422" s="26" t="str">
        <f>IF(OR(E2422="",E2422="!!!",F2422="NEW"),"",INDEX(B2421:B$2,-1+SUMPRODUCT(MAX(ROW(E2421:E$2)*(E2422=E2421:E$2)))))</f>
        <v> </v>
      </c>
      <c r="J2422" s="26" t="str">
        <f>IF(OR(E2422="",E2422="!!!",F2422="NEW"),"",COUNTBLANK(OFFSET(A$1,,,SUMPRODUCT(MAX(ROW(E$2:E2422)*(E2422=E$2:E2422)))))-COUNTBLANK(OFFSET(A$1,,,SUMPRODUCT(MAX(ROW(E$1:E2421)*(E2=E$1:E2421))))))</f>
        <v> </v>
      </c>
      <c r="K2422" s="26" t="str">
        <f>IF(OR(E2422="",E2422="!!!",F2422="NEW"),"",INDEX(J$1:J2421,SUMPRODUCT(MAX(ROW(E$1:E2421)*(E2422=E$1:E2421)))))</f>
        <v> </v>
      </c>
      <c r="L2422" s="27"/>
    </row>
    <row r="2423" spans="1:12">
      <c r="A2423" s="20" t="s">
        <v>1014</v>
      </c>
      <c r="E2423" s="22">
        <f>IF(D2423="?OLD","!!!","")</f>
        <v/>
      </c>
      <c r="F2423" s="23" t="str">
        <f>IF(OR(E2423="",E2423="!!!"),"",IF(NOT(ISNA(VLOOKUP(E2423,E$1:E2422,1,FALSE()))),"OLD",IF(AND(E2423&lt;&gt;"",E2423&lt;&gt;"!!!"),"NEW","")))</f>
        <v> </v>
      </c>
      <c r="G2423" s="24" t="str">
        <f>IF(OR(E2423="",E2423="!!!"),"",IF(OR(J2423=0,AND(J2423=1,K2423=1),AND(J2423=1,I2423="SBJ"),AND(J2423=1,I2423=0)),"?IN_FOCUS",IF(J2423&lt;=2,"?ACTIVATED",IF(J2423&lt;&gt;"","?FAMILIAR",IF(F2423="NEW",IF(ISNA(VLOOKUP(E2423,#REF!,1,FALSE())),"?TYPE_IDENTIFIABLE","?REFERENTIAL"),"_")))))</f>
        <v> </v>
      </c>
      <c r="H2423" s="25" t="str">
        <f>IF(J2423&lt;&gt;1,"",IF(I2423="SBJ","CB","?"))</f>
        <v> </v>
      </c>
      <c r="I2423" s="26" t="str">
        <f>IF(OR(E2423="",E2423="!!!",F2423="NEW"),"",INDEX(B2422:B$2,-1+SUMPRODUCT(MAX(ROW(E2422:E$2)*(E2423=E2422:E$2)))))</f>
        <v> </v>
      </c>
      <c r="J2423" s="26" t="str">
        <f>IF(OR(E2423="",E2423="!!!",F2423="NEW"),"",COUNTBLANK(OFFSET(A$1,,,SUMPRODUCT(MAX(ROW(E$2:E2423)*(E2423=E$2:E2423)))))-COUNTBLANK(OFFSET(A$1,,,SUMPRODUCT(MAX(ROW(E$1:E2422)*(E2=E$1:E2422))))))</f>
        <v> </v>
      </c>
      <c r="K2423" s="26" t="str">
        <f>IF(OR(E2423="",E2423="!!!",F2423="NEW"),"",INDEX(J$1:J2422,SUMPRODUCT(MAX(ROW(E$1:E2422)*(E2423=E$1:E2422)))))</f>
        <v> </v>
      </c>
      <c r="L2423" s="27"/>
    </row>
    <row r="2424" spans="1:12">
      <c r="A2424" s="20" t="s">
        <v>1020</v>
      </c>
      <c r="E2424" s="22">
        <f>IF(D2424="?OLD","!!!","")</f>
        <v/>
      </c>
      <c r="F2424" s="23" t="str">
        <f>IF(OR(E2424="",E2424="!!!"),"",IF(NOT(ISNA(VLOOKUP(E2424,E$1:E2423,1,FALSE()))),"OLD",IF(AND(E2424&lt;&gt;"",E2424&lt;&gt;"!!!"),"NEW","")))</f>
        <v> </v>
      </c>
      <c r="G2424" s="24" t="str">
        <f>IF(OR(E2424="",E2424="!!!"),"",IF(OR(J2424=0,AND(J2424=1,K2424=1),AND(J2424=1,I2424="SBJ"),AND(J2424=1,I2424=0)),"?IN_FOCUS",IF(J2424&lt;=2,"?ACTIVATED",IF(J2424&lt;&gt;"","?FAMILIAR",IF(F2424="NEW",IF(ISNA(VLOOKUP(E2424,#REF!,1,FALSE())),"?TYPE_IDENTIFIABLE","?REFERENTIAL"),"_")))))</f>
        <v> </v>
      </c>
      <c r="H2424" s="25" t="str">
        <f>IF(J2424&lt;&gt;1,"",IF(I2424="SBJ","CB","?"))</f>
        <v> </v>
      </c>
      <c r="I2424" s="26" t="str">
        <f>IF(OR(E2424="",E2424="!!!",F2424="NEW"),"",INDEX(B2423:B$2,-1+SUMPRODUCT(MAX(ROW(E2423:E$2)*(E2424=E2423:E$2)))))</f>
        <v> </v>
      </c>
      <c r="J2424" s="26" t="str">
        <f>IF(OR(E2424="",E2424="!!!",F2424="NEW"),"",COUNTBLANK(OFFSET(A$1,,,SUMPRODUCT(MAX(ROW(E$2:E2424)*(E2424=E$2:E2424)))))-COUNTBLANK(OFFSET(A$1,,,SUMPRODUCT(MAX(ROW(E$1:E2423)*(E2=E$1:E2423))))))</f>
        <v> </v>
      </c>
      <c r="K2424" s="26" t="str">
        <f>IF(OR(E2424="",E2424="!!!",F2424="NEW"),"",INDEX(J$1:J2423,SUMPRODUCT(MAX(ROW(E$1:E2423)*(E2424=E$1:E2423)))))</f>
        <v> </v>
      </c>
      <c r="L2424" s="27"/>
    </row>
    <row r="2425" spans="1:12">
      <c r="A2425" s="20" t="s">
        <v>1211</v>
      </c>
      <c r="B2425" s="21" t="s">
        <v>1134</v>
      </c>
      <c r="C2425" s="21" t="s">
        <v>1006</v>
      </c>
      <c r="D2425" s="21" t="s">
        <v>1007</v>
      </c>
      <c r="E2425" s="22">
        <f>IF(D2425="?OLD","!!!","")</f>
        <v/>
      </c>
      <c r="F2425" s="23" t="str">
        <f>IF(OR(E2425="",E2425="!!!"),"",IF(NOT(ISNA(VLOOKUP(E2425,E$1:E2424,1,FALSE()))),"OLD",IF(AND(E2425&lt;&gt;"",E2425&lt;&gt;"!!!"),"NEW","")))</f>
        <v> </v>
      </c>
      <c r="G2425" s="24" t="str">
        <f>IF(OR(E2425="",E2425="!!!"),"",IF(OR(J2425=0,AND(J2425=1,K2425=1),AND(J2425=1,I2425="SBJ"),AND(J2425=1,I2425=0)),"?IN_FOCUS",IF(J2425&lt;=2,"?ACTIVATED",IF(J2425&lt;&gt;"","?FAMILIAR",IF(F2425="NEW",IF(ISNA(VLOOKUP(E2425,#REF!,1,FALSE())),"?TYPE_IDENTIFIABLE","?REFERENTIAL"),"_")))))</f>
        <v> </v>
      </c>
      <c r="H2425" s="25" t="str">
        <f>IF(J2425&lt;&gt;1,"",IF(I2425="SBJ","CB","?"))</f>
        <v> </v>
      </c>
      <c r="I2425" s="26" t="str">
        <f>IF(OR(E2425="",E2425="!!!",F2425="NEW"),"",INDEX(B2424:B$2,-1+SUMPRODUCT(MAX(ROW(E2424:E$2)*(E2425=E2424:E$2)))))</f>
        <v> </v>
      </c>
      <c r="J2425" s="26" t="str">
        <f>IF(OR(E2425="",E2425="!!!",F2425="NEW"),"",COUNTBLANK(OFFSET(A$1,,,SUMPRODUCT(MAX(ROW(E$2:E2425)*(E2425=E$2:E2425)))))-COUNTBLANK(OFFSET(A$1,,,SUMPRODUCT(MAX(ROW(E$1:E2424)*(E2=E$1:E2424))))))</f>
        <v> </v>
      </c>
      <c r="K2425" s="26" t="str">
        <f>IF(OR(E2425="",E2425="!!!",F2425="NEW"),"",INDEX(J$1:J2424,SUMPRODUCT(MAX(ROW(E$1:E2424)*(E2425=E$1:E2424)))))</f>
        <v> </v>
      </c>
      <c r="L2425" s="27"/>
    </row>
    <row r="2426" spans="1:12">
      <c r="A2426" s="20" t="s">
        <v>56</v>
      </c>
      <c r="E2426" s="22">
        <f>IF(D2426="?OLD","!!!","")</f>
        <v/>
      </c>
      <c r="F2426" s="23" t="str">
        <f>IF(OR(E2426="",E2426="!!!"),"",IF(NOT(ISNA(VLOOKUP(E2426,E$1:E2425,1,FALSE()))),"OLD",IF(AND(E2426&lt;&gt;"",E2426&lt;&gt;"!!!"),"NEW","")))</f>
        <v> </v>
      </c>
      <c r="G2426" s="24" t="str">
        <f>IF(OR(E2426="",E2426="!!!"),"",IF(OR(J2426=0,AND(J2426=1,K2426=1),AND(J2426=1,I2426="SBJ"),AND(J2426=1,I2426=0)),"?IN_FOCUS",IF(J2426&lt;=2,"?ACTIVATED",IF(J2426&lt;&gt;"","?FAMILIAR",IF(F2426="NEW",IF(ISNA(VLOOKUP(E2426,#REF!,1,FALSE())),"?TYPE_IDENTIFIABLE","?REFERENTIAL"),"_")))))</f>
        <v> </v>
      </c>
      <c r="H2426" s="25" t="str">
        <f>IF(J2426&lt;&gt;1,"",IF(I2426="SBJ","CB","?"))</f>
        <v> </v>
      </c>
      <c r="I2426" s="26" t="str">
        <f>IF(OR(E2426="",E2426="!!!",F2426="NEW"),"",INDEX(B2425:B$2,-1+SUMPRODUCT(MAX(ROW(E2425:E$2)*(E2426=E2425:E$2)))))</f>
        <v> </v>
      </c>
      <c r="J2426" s="26" t="str">
        <f>IF(OR(E2426="",E2426="!!!",F2426="NEW"),"",COUNTBLANK(OFFSET(A$1,,,SUMPRODUCT(MAX(ROW(E$2:E2426)*(E2426=E$2:E2426)))))-COUNTBLANK(OFFSET(A$1,,,SUMPRODUCT(MAX(ROW(E$1:E2425)*(E2=E$1:E2425))))))</f>
        <v> </v>
      </c>
      <c r="K2426" s="26" t="str">
        <f>IF(OR(E2426="",E2426="!!!",F2426="NEW"),"",INDEX(J$1:J2425,SUMPRODUCT(MAX(ROW(E$1:E2425)*(E2426=E$1:E2425)))))</f>
        <v> </v>
      </c>
      <c r="L2426" s="27"/>
    </row>
    <row r="2427" spans="1:12">
      <c r="A2427" s="20" t="s">
        <v>1065</v>
      </c>
      <c r="E2427" s="22">
        <f>IF(D2427="?OLD","!!!","")</f>
        <v/>
      </c>
      <c r="F2427" s="23" t="str">
        <f>IF(OR(E2427="",E2427="!!!"),"",IF(NOT(ISNA(VLOOKUP(E2427,E$1:E2426,1,FALSE()))),"OLD",IF(AND(E2427&lt;&gt;"",E2427&lt;&gt;"!!!"),"NEW","")))</f>
        <v> </v>
      </c>
      <c r="G2427" s="24" t="str">
        <f>IF(OR(E2427="",E2427="!!!"),"",IF(OR(J2427=0,AND(J2427=1,K2427=1),AND(J2427=1,I2427="SBJ"),AND(J2427=1,I2427=0)),"?IN_FOCUS",IF(J2427&lt;=2,"?ACTIVATED",IF(J2427&lt;&gt;"","?FAMILIAR",IF(F2427="NEW",IF(ISNA(VLOOKUP(E2427,#REF!,1,FALSE())),"?TYPE_IDENTIFIABLE","?REFERENTIAL"),"_")))))</f>
        <v> </v>
      </c>
      <c r="H2427" s="25" t="str">
        <f>IF(J2427&lt;&gt;1,"",IF(I2427="SBJ","CB","?"))</f>
        <v> </v>
      </c>
      <c r="I2427" s="26" t="str">
        <f>IF(OR(E2427="",E2427="!!!",F2427="NEW"),"",INDEX(B2426:B$2,-1+SUMPRODUCT(MAX(ROW(E2426:E$2)*(E2427=E2426:E$2)))))</f>
        <v> </v>
      </c>
      <c r="J2427" s="26" t="str">
        <f>IF(OR(E2427="",E2427="!!!",F2427="NEW"),"",COUNTBLANK(OFFSET(A$1,,,SUMPRODUCT(MAX(ROW(E$2:E2427)*(E2427=E$2:E2427)))))-COUNTBLANK(OFFSET(A$1,,,SUMPRODUCT(MAX(ROW(E$1:E2426)*(E2=E$1:E2426))))))</f>
        <v> </v>
      </c>
      <c r="K2427" s="26" t="str">
        <f>IF(OR(E2427="",E2427="!!!",F2427="NEW"),"",INDEX(J$1:J2426,SUMPRODUCT(MAX(ROW(E$1:E2426)*(E2427=E$1:E2426)))))</f>
        <v> </v>
      </c>
      <c r="L2427" s="27"/>
    </row>
    <row r="2428" spans="1:12">
      <c r="A2428" s="20" t="s">
        <v>1244</v>
      </c>
      <c r="E2428" s="22">
        <f>IF(D2428="?OLD","!!!","")</f>
        <v/>
      </c>
      <c r="F2428" s="23" t="str">
        <f>IF(OR(E2428="",E2428="!!!"),"",IF(NOT(ISNA(VLOOKUP(E2428,E$1:E2427,1,FALSE()))),"OLD",IF(AND(E2428&lt;&gt;"",E2428&lt;&gt;"!!!"),"NEW","")))</f>
        <v> </v>
      </c>
      <c r="G2428" s="24" t="str">
        <f>IF(OR(E2428="",E2428="!!!"),"",IF(OR(J2428=0,AND(J2428=1,K2428=1),AND(J2428=1,I2428="SBJ"),AND(J2428=1,I2428=0)),"?IN_FOCUS",IF(J2428&lt;=2,"?ACTIVATED",IF(J2428&lt;&gt;"","?FAMILIAR",IF(F2428="NEW",IF(ISNA(VLOOKUP(E2428,#REF!,1,FALSE())),"?TYPE_IDENTIFIABLE","?REFERENTIAL"),"_")))))</f>
        <v> </v>
      </c>
      <c r="H2428" s="25" t="str">
        <f>IF(J2428&lt;&gt;1,"",IF(I2428="SBJ","CB","?"))</f>
        <v> </v>
      </c>
      <c r="I2428" s="26" t="str">
        <f>IF(OR(E2428="",E2428="!!!",F2428="NEW"),"",INDEX(B2427:B$2,-1+SUMPRODUCT(MAX(ROW(E2427:E$2)*(E2428=E2427:E$2)))))</f>
        <v> </v>
      </c>
      <c r="J2428" s="26" t="str">
        <f>IF(OR(E2428="",E2428="!!!",F2428="NEW"),"",COUNTBLANK(OFFSET(A$1,,,SUMPRODUCT(MAX(ROW(E$2:E2428)*(E2428=E$2:E2428)))))-COUNTBLANK(OFFSET(A$1,,,SUMPRODUCT(MAX(ROW(E$1:E2427)*(E2=E$1:E2427))))))</f>
        <v> </v>
      </c>
      <c r="K2428" s="26" t="str">
        <f>IF(OR(E2428="",E2428="!!!",F2428="NEW"),"",INDEX(J$1:J2427,SUMPRODUCT(MAX(ROW(E$1:E2427)*(E2428=E$1:E2427)))))</f>
        <v> </v>
      </c>
      <c r="L2428" s="27"/>
    </row>
    <row r="2429" spans="1:12">
      <c r="A2429" s="20" t="s">
        <v>1015</v>
      </c>
      <c r="E2429" s="22">
        <f>IF(D2429="?OLD","!!!","")</f>
        <v/>
      </c>
      <c r="F2429" s="23" t="str">
        <f>IF(OR(E2429="",E2429="!!!"),"",IF(NOT(ISNA(VLOOKUP(E2429,E$1:E2428,1,FALSE()))),"OLD",IF(AND(E2429&lt;&gt;"",E2429&lt;&gt;"!!!"),"NEW","")))</f>
        <v> </v>
      </c>
      <c r="G2429" s="24" t="str">
        <f>IF(OR(E2429="",E2429="!!!"),"",IF(OR(J2429=0,AND(J2429=1,K2429=1),AND(J2429=1,I2429="SBJ"),AND(J2429=1,I2429=0)),"?IN_FOCUS",IF(J2429&lt;=2,"?ACTIVATED",IF(J2429&lt;&gt;"","?FAMILIAR",IF(F2429="NEW",IF(ISNA(VLOOKUP(E2429,#REF!,1,FALSE())),"?TYPE_IDENTIFIABLE","?REFERENTIAL"),"_")))))</f>
        <v> </v>
      </c>
      <c r="H2429" s="25" t="str">
        <f>IF(J2429&lt;&gt;1,"",IF(I2429="SBJ","CB","?"))</f>
        <v> </v>
      </c>
      <c r="I2429" s="26" t="str">
        <f>IF(OR(E2429="",E2429="!!!",F2429="NEW"),"",INDEX(B2428:B$2,-1+SUMPRODUCT(MAX(ROW(E2428:E$2)*(E2429=E2428:E$2)))))</f>
        <v> </v>
      </c>
      <c r="J2429" s="26" t="str">
        <f>IF(OR(E2429="",E2429="!!!",F2429="NEW"),"",COUNTBLANK(OFFSET(A$1,,,SUMPRODUCT(MAX(ROW(E$2:E2429)*(E2429=E$2:E2429)))))-COUNTBLANK(OFFSET(A$1,,,SUMPRODUCT(MAX(ROW(E$1:E2428)*(E2=E$1:E2428))))))</f>
        <v> </v>
      </c>
      <c r="K2429" s="26" t="str">
        <f>IF(OR(E2429="",E2429="!!!",F2429="NEW"),"",INDEX(J$1:J2428,SUMPRODUCT(MAX(ROW(E$1:E2428)*(E2429=E$1:E2428)))))</f>
        <v> </v>
      </c>
      <c r="L2429" s="27"/>
    </row>
    <row r="2430" spans="1:12">
      <c r="A2430" s="20" t="s">
        <v>1228</v>
      </c>
      <c r="B2430" s="21" t="s">
        <v>1066</v>
      </c>
      <c r="C2430" s="21" t="s">
        <v>1017</v>
      </c>
      <c r="D2430" s="21" t="s">
        <v>1007</v>
      </c>
      <c r="E2430" s="22">
        <f>IF(D2430="?OLD","!!!","")</f>
        <v/>
      </c>
      <c r="F2430" s="23" t="str">
        <f>IF(OR(E2430="",E2430="!!!"),"",IF(NOT(ISNA(VLOOKUP(E2430,E$1:E2429,1,FALSE()))),"OLD",IF(AND(E2430&lt;&gt;"",E2430&lt;&gt;"!!!"),"NEW","")))</f>
        <v> </v>
      </c>
      <c r="G2430" s="24" t="str">
        <f>IF(OR(E2430="",E2430="!!!"),"",IF(OR(J2430=0,AND(J2430=1,K2430=1),AND(J2430=1,I2430="SBJ"),AND(J2430=1,I2430=0)),"?IN_FOCUS",IF(J2430&lt;=2,"?ACTIVATED",IF(J2430&lt;&gt;"","?FAMILIAR",IF(F2430="NEW",IF(ISNA(VLOOKUP(E2430,#REF!,1,FALSE())),"?TYPE_IDENTIFIABLE","?REFERENTIAL"),"_")))))</f>
        <v> </v>
      </c>
      <c r="H2430" s="25" t="str">
        <f>IF(J2430&lt;&gt;1,"",IF(I2430="SBJ","CB","?"))</f>
        <v> </v>
      </c>
      <c r="I2430" s="26" t="str">
        <f>IF(OR(E2430="",E2430="!!!",F2430="NEW"),"",INDEX(B2429:B$2,-1+SUMPRODUCT(MAX(ROW(E2429:E$2)*(E2430=E2429:E$2)))))</f>
        <v> </v>
      </c>
      <c r="J2430" s="26" t="str">
        <f>IF(OR(E2430="",E2430="!!!",F2430="NEW"),"",COUNTBLANK(OFFSET(A$1,,,SUMPRODUCT(MAX(ROW(E$2:E2430)*(E2430=E$2:E2430)))))-COUNTBLANK(OFFSET(A$1,,,SUMPRODUCT(MAX(ROW(E$1:E2429)*(E2=E$1:E2429))))))</f>
        <v> </v>
      </c>
      <c r="K2430" s="26" t="str">
        <f>IF(OR(E2430="",E2430="!!!",F2430="NEW"),"",INDEX(J$1:J2429,SUMPRODUCT(MAX(ROW(E$1:E2429)*(E2430=E$1:E2429)))))</f>
        <v> </v>
      </c>
      <c r="L2430" s="27"/>
    </row>
    <row r="2431" spans="1:12">
      <c r="A2431" s="20" t="s">
        <v>1747</v>
      </c>
      <c r="E2431" s="22">
        <f>IF(D2431="?OLD","!!!","")</f>
        <v/>
      </c>
      <c r="F2431" s="23" t="str">
        <f>IF(OR(E2431="",E2431="!!!"),"",IF(NOT(ISNA(VLOOKUP(E2431,E$1:E2430,1,FALSE()))),"OLD",IF(AND(E2431&lt;&gt;"",E2431&lt;&gt;"!!!"),"NEW","")))</f>
        <v> </v>
      </c>
      <c r="G2431" s="24" t="str">
        <f>IF(OR(E2431="",E2431="!!!"),"",IF(OR(J2431=0,AND(J2431=1,K2431=1),AND(J2431=1,I2431="SBJ"),AND(J2431=1,I2431=0)),"?IN_FOCUS",IF(J2431&lt;=2,"?ACTIVATED",IF(J2431&lt;&gt;"","?FAMILIAR",IF(F2431="NEW",IF(ISNA(VLOOKUP(E2431,#REF!,1,FALSE())),"?TYPE_IDENTIFIABLE","?REFERENTIAL"),"_")))))</f>
        <v> </v>
      </c>
      <c r="H2431" s="25" t="str">
        <f>IF(J2431&lt;&gt;1,"",IF(I2431="SBJ","CB","?"))</f>
        <v> </v>
      </c>
      <c r="I2431" s="26" t="str">
        <f>IF(OR(E2431="",E2431="!!!",F2431="NEW"),"",INDEX(B2430:B$2,-1+SUMPRODUCT(MAX(ROW(E2430:E$2)*(E2431=E2430:E$2)))))</f>
        <v> </v>
      </c>
      <c r="J2431" s="26" t="str">
        <f>IF(OR(E2431="",E2431="!!!",F2431="NEW"),"",COUNTBLANK(OFFSET(A$1,,,SUMPRODUCT(MAX(ROW(E$2:E2431)*(E2431=E$2:E2431)))))-COUNTBLANK(OFFSET(A$1,,,SUMPRODUCT(MAX(ROW(E$1:E2430)*(E2=E$1:E2430))))))</f>
        <v> </v>
      </c>
      <c r="K2431" s="26" t="str">
        <f>IF(OR(E2431="",E2431="!!!",F2431="NEW"),"",INDEX(J$1:J2430,SUMPRODUCT(MAX(ROW(E$1:E2430)*(E2431=E$1:E2430)))))</f>
        <v> </v>
      </c>
      <c r="L2431" s="27"/>
    </row>
    <row r="2432" spans="1:12">
      <c r="A2432" s="20" t="s">
        <v>1018</v>
      </c>
      <c r="E2432" s="22">
        <f>IF(D2432="?OLD","!!!","")</f>
        <v/>
      </c>
      <c r="F2432" s="23" t="str">
        <f>IF(OR(E2432="",E2432="!!!"),"",IF(NOT(ISNA(VLOOKUP(E2432,E$1:E2431,1,FALSE()))),"OLD",IF(AND(E2432&lt;&gt;"",E2432&lt;&gt;"!!!"),"NEW","")))</f>
        <v> </v>
      </c>
      <c r="G2432" s="24" t="str">
        <f>IF(OR(E2432="",E2432="!!!"),"",IF(OR(J2432=0,AND(J2432=1,K2432=1),AND(J2432=1,I2432="SBJ"),AND(J2432=1,I2432=0)),"?IN_FOCUS",IF(J2432&lt;=2,"?ACTIVATED",IF(J2432&lt;&gt;"","?FAMILIAR",IF(F2432="NEW",IF(ISNA(VLOOKUP(E2432,#REF!,1,FALSE())),"?TYPE_IDENTIFIABLE","?REFERENTIAL"),"_")))))</f>
        <v> </v>
      </c>
      <c r="H2432" s="25" t="str">
        <f>IF(J2432&lt;&gt;1,"",IF(I2432="SBJ","CB","?"))</f>
        <v> </v>
      </c>
      <c r="I2432" s="26" t="str">
        <f>IF(OR(E2432="",E2432="!!!",F2432="NEW"),"",INDEX(B2431:B$2,-1+SUMPRODUCT(MAX(ROW(E2431:E$2)*(E2432=E2431:E$2)))))</f>
        <v> </v>
      </c>
      <c r="J2432" s="26" t="str">
        <f>IF(OR(E2432="",E2432="!!!",F2432="NEW"),"",COUNTBLANK(OFFSET(A$1,,,SUMPRODUCT(MAX(ROW(E$2:E2432)*(E2432=E$2:E2432)))))-COUNTBLANK(OFFSET(A$1,,,SUMPRODUCT(MAX(ROW(E$1:E2431)*(E2=E$1:E2431))))))</f>
        <v> </v>
      </c>
      <c r="K2432" s="26" t="str">
        <f>IF(OR(E2432="",E2432="!!!",F2432="NEW"),"",INDEX(J$1:J2431,SUMPRODUCT(MAX(ROW(E$1:E2431)*(E2432=E$1:E2431)))))</f>
        <v> </v>
      </c>
      <c r="L2432" s="27"/>
    </row>
    <row r="2433" spans="1:12">
      <c r="A2433" s="20" t="s">
        <v>56</v>
      </c>
      <c r="E2433" s="22">
        <f>IF(D2433="?OLD","!!!","")</f>
        <v/>
      </c>
      <c r="F2433" s="23" t="str">
        <f>IF(OR(E2433="",E2433="!!!"),"",IF(NOT(ISNA(VLOOKUP(E2433,E$1:E2432,1,FALSE()))),"OLD",IF(AND(E2433&lt;&gt;"",E2433&lt;&gt;"!!!"),"NEW","")))</f>
        <v> </v>
      </c>
      <c r="G2433" s="24" t="str">
        <f>IF(OR(E2433="",E2433="!!!"),"",IF(OR(J2433=0,AND(J2433=1,K2433=1),AND(J2433=1,I2433="SBJ"),AND(J2433=1,I2433=0)),"?IN_FOCUS",IF(J2433&lt;=2,"?ACTIVATED",IF(J2433&lt;&gt;"","?FAMILIAR",IF(F2433="NEW",IF(ISNA(VLOOKUP(E2433,#REF!,1,FALSE())),"?TYPE_IDENTIFIABLE","?REFERENTIAL"),"_")))))</f>
        <v> </v>
      </c>
      <c r="H2433" s="25" t="str">
        <f>IF(J2433&lt;&gt;1,"",IF(I2433="SBJ","CB","?"))</f>
        <v> </v>
      </c>
      <c r="I2433" s="26" t="str">
        <f>IF(OR(E2433="",E2433="!!!",F2433="NEW"),"",INDEX(B2432:B$2,-1+SUMPRODUCT(MAX(ROW(E2432:E$2)*(E2433=E2432:E$2)))))</f>
        <v> </v>
      </c>
      <c r="J2433" s="26" t="str">
        <f>IF(OR(E2433="",E2433="!!!",F2433="NEW"),"",COUNTBLANK(OFFSET(A$1,,,SUMPRODUCT(MAX(ROW(E$2:E2433)*(E2433=E$2:E2433)))))-COUNTBLANK(OFFSET(A$1,,,SUMPRODUCT(MAX(ROW(E$1:E2432)*(E2=E$1:E2432))))))</f>
        <v> </v>
      </c>
      <c r="K2433" s="26" t="str">
        <f>IF(OR(E2433="",E2433="!!!",F2433="NEW"),"",INDEX(J$1:J2432,SUMPRODUCT(MAX(ROW(E$1:E2432)*(E2433=E$1:E2432)))))</f>
        <v> </v>
      </c>
      <c r="L2433" s="27"/>
    </row>
    <row r="2434" spans="1:12">
      <c r="A2434" s="20" t="s">
        <v>1783</v>
      </c>
      <c r="E2434" s="22">
        <f>IF(D2434="?OLD","!!!","")</f>
        <v/>
      </c>
      <c r="F2434" s="23" t="str">
        <f>IF(OR(E2434="",E2434="!!!"),"",IF(NOT(ISNA(VLOOKUP(E2434,E$1:E2433,1,FALSE()))),"OLD",IF(AND(E2434&lt;&gt;"",E2434&lt;&gt;"!!!"),"NEW","")))</f>
        <v> </v>
      </c>
      <c r="G2434" s="24" t="str">
        <f>IF(OR(E2434="",E2434="!!!"),"",IF(OR(J2434=0,AND(J2434=1,K2434=1),AND(J2434=1,I2434="SBJ"),AND(J2434=1,I2434=0)),"?IN_FOCUS",IF(J2434&lt;=2,"?ACTIVATED",IF(J2434&lt;&gt;"","?FAMILIAR",IF(F2434="NEW",IF(ISNA(VLOOKUP(E2434,#REF!,1,FALSE())),"?TYPE_IDENTIFIABLE","?REFERENTIAL"),"_")))))</f>
        <v> </v>
      </c>
      <c r="H2434" s="25" t="str">
        <f>IF(J2434&lt;&gt;1,"",IF(I2434="SBJ","CB","?"))</f>
        <v> </v>
      </c>
      <c r="I2434" s="26" t="str">
        <f>IF(OR(E2434="",E2434="!!!",F2434="NEW"),"",INDEX(B2433:B$2,-1+SUMPRODUCT(MAX(ROW(E2433:E$2)*(E2434=E2433:E$2)))))</f>
        <v> </v>
      </c>
      <c r="J2434" s="26" t="str">
        <f>IF(OR(E2434="",E2434="!!!",F2434="NEW"),"",COUNTBLANK(OFFSET(A$1,,,SUMPRODUCT(MAX(ROW(E$2:E2434)*(E2434=E$2:E2434)))))-COUNTBLANK(OFFSET(A$1,,,SUMPRODUCT(MAX(ROW(E$1:E2433)*(E2=E$1:E2433))))))</f>
        <v> </v>
      </c>
      <c r="K2434" s="26" t="str">
        <f>IF(OR(E2434="",E2434="!!!",F2434="NEW"),"",INDEX(J$1:J2433,SUMPRODUCT(MAX(ROW(E$1:E2433)*(E2434=E$1:E2433)))))</f>
        <v> </v>
      </c>
      <c r="L2434" s="27"/>
    </row>
    <row r="2435" spans="1:12">
      <c r="A2435" s="20" t="s">
        <v>102</v>
      </c>
      <c r="B2435" s="21" t="s">
        <v>1066</v>
      </c>
      <c r="C2435" s="21" t="s">
        <v>1073</v>
      </c>
      <c r="D2435" s="21" t="s">
        <v>1007</v>
      </c>
      <c r="E2435" s="22">
        <f>IF(D2435="?OLD","!!!","")</f>
        <v/>
      </c>
      <c r="F2435" s="23" t="str">
        <f>IF(OR(E2435="",E2435="!!!"),"",IF(NOT(ISNA(VLOOKUP(E2435,E$1:E2434,1,FALSE()))),"OLD",IF(AND(E2435&lt;&gt;"",E2435&lt;&gt;"!!!"),"NEW","")))</f>
        <v> </v>
      </c>
      <c r="G2435" s="24" t="str">
        <f>IF(OR(E2435="",E2435="!!!"),"",IF(OR(J2435=0,AND(J2435=1,K2435=1),AND(J2435=1,I2435="SBJ"),AND(J2435=1,I2435=0)),"?IN_FOCUS",IF(J2435&lt;=2,"?ACTIVATED",IF(J2435&lt;&gt;"","?FAMILIAR",IF(F2435="NEW",IF(ISNA(VLOOKUP(E2435,#REF!,1,FALSE())),"?TYPE_IDENTIFIABLE","?REFERENTIAL"),"_")))))</f>
        <v> </v>
      </c>
      <c r="H2435" s="25" t="str">
        <f>IF(J2435&lt;&gt;1,"",IF(I2435="SBJ","CB","?"))</f>
        <v> </v>
      </c>
      <c r="I2435" s="26" t="str">
        <f>IF(OR(E2435="",E2435="!!!",F2435="NEW"),"",INDEX(B2434:B$2,-1+SUMPRODUCT(MAX(ROW(E2434:E$2)*(E2435=E2434:E$2)))))</f>
        <v> </v>
      </c>
      <c r="J2435" s="26" t="str">
        <f>IF(OR(E2435="",E2435="!!!",F2435="NEW"),"",COUNTBLANK(OFFSET(A$1,,,SUMPRODUCT(MAX(ROW(E$2:E2435)*(E2435=E$2:E2435)))))-COUNTBLANK(OFFSET(A$1,,,SUMPRODUCT(MAX(ROW(E$1:E2434)*(E2=E$1:E2434))))))</f>
        <v> </v>
      </c>
      <c r="K2435" s="26" t="str">
        <f>IF(OR(E2435="",E2435="!!!",F2435="NEW"),"",INDEX(J$1:J2434,SUMPRODUCT(MAX(ROW(E$1:E2434)*(E2435=E$1:E2434)))))</f>
        <v> </v>
      </c>
      <c r="L2435" s="27"/>
    </row>
    <row r="2436" spans="1:12">
      <c r="A2436" s="20" t="s">
        <v>1065</v>
      </c>
      <c r="B2436" s="21" t="s">
        <v>1437</v>
      </c>
      <c r="E2436" s="22">
        <f>IF(D2436="?OLD","!!!","")</f>
        <v/>
      </c>
      <c r="F2436" s="23" t="str">
        <f>IF(OR(E2436="",E2436="!!!"),"",IF(NOT(ISNA(VLOOKUP(E2436,E$1:E2435,1,FALSE()))),"OLD",IF(AND(E2436&lt;&gt;"",E2436&lt;&gt;"!!!"),"NEW","")))</f>
        <v> </v>
      </c>
      <c r="G2436" s="24" t="str">
        <f>IF(OR(E2436="",E2436="!!!"),"",IF(OR(J2436=0,AND(J2436=1,K2436=1),AND(J2436=1,I2436="SBJ"),AND(J2436=1,I2436=0)),"?IN_FOCUS",IF(J2436&lt;=2,"?ACTIVATED",IF(J2436&lt;&gt;"","?FAMILIAR",IF(F2436="NEW",IF(ISNA(VLOOKUP(E2436,#REF!,1,FALSE())),"?TYPE_IDENTIFIABLE","?REFERENTIAL"),"_")))))</f>
        <v> </v>
      </c>
      <c r="H2436" s="25" t="str">
        <f>IF(J2436&lt;&gt;1,"",IF(I2436="SBJ","CB","?"))</f>
        <v> </v>
      </c>
      <c r="I2436" s="26" t="str">
        <f>IF(OR(E2436="",E2436="!!!",F2436="NEW"),"",INDEX(B2435:B$2,-1+SUMPRODUCT(MAX(ROW(E2435:E$2)*(E2436=E2435:E$2)))))</f>
        <v> </v>
      </c>
      <c r="J2436" s="26" t="str">
        <f>IF(OR(E2436="",E2436="!!!",F2436="NEW"),"",COUNTBLANK(OFFSET(A$1,,,SUMPRODUCT(MAX(ROW(E$2:E2436)*(E2436=E$2:E2436)))))-COUNTBLANK(OFFSET(A$1,,,SUMPRODUCT(MAX(ROW(E$1:E2435)*(E2=E$1:E2435))))))</f>
        <v> </v>
      </c>
      <c r="K2436" s="26" t="str">
        <f>IF(OR(E2436="",E2436="!!!",F2436="NEW"),"",INDEX(J$1:J2435,SUMPRODUCT(MAX(ROW(E$1:E2435)*(E2436=E$1:E2435)))))</f>
        <v> </v>
      </c>
      <c r="L2436" s="27"/>
    </row>
    <row r="2437" spans="1:12">
      <c r="A2437" s="20" t="s">
        <v>1300</v>
      </c>
      <c r="E2437" s="22">
        <f>IF(D2437="?OLD","!!!","")</f>
        <v/>
      </c>
      <c r="F2437" s="23" t="str">
        <f>IF(OR(E2437="",E2437="!!!"),"",IF(NOT(ISNA(VLOOKUP(E2437,E$1:E2436,1,FALSE()))),"OLD",IF(AND(E2437&lt;&gt;"",E2437&lt;&gt;"!!!"),"NEW","")))</f>
        <v> </v>
      </c>
      <c r="G2437" s="24" t="str">
        <f>IF(OR(E2437="",E2437="!!!"),"",IF(OR(J2437=0,AND(J2437=1,K2437=1),AND(J2437=1,I2437="SBJ"),AND(J2437=1,I2437=0)),"?IN_FOCUS",IF(J2437&lt;=2,"?ACTIVATED",IF(J2437&lt;&gt;"","?FAMILIAR",IF(F2437="NEW",IF(ISNA(VLOOKUP(E2437,#REF!,1,FALSE())),"?TYPE_IDENTIFIABLE","?REFERENTIAL"),"_")))))</f>
        <v> </v>
      </c>
      <c r="H2437" s="25" t="str">
        <f>IF(J2437&lt;&gt;1,"",IF(I2437="SBJ","CB","?"))</f>
        <v> </v>
      </c>
      <c r="I2437" s="26" t="str">
        <f>IF(OR(E2437="",E2437="!!!",F2437="NEW"),"",INDEX(B2436:B$2,-1+SUMPRODUCT(MAX(ROW(E2436:E$2)*(E2437=E2436:E$2)))))</f>
        <v> </v>
      </c>
      <c r="J2437" s="26" t="str">
        <f>IF(OR(E2437="",E2437="!!!",F2437="NEW"),"",COUNTBLANK(OFFSET(A$1,,,SUMPRODUCT(MAX(ROW(E$2:E2437)*(E2437=E$2:E2437)))))-COUNTBLANK(OFFSET(A$1,,,SUMPRODUCT(MAX(ROW(E$1:E2436)*(E2=E$1:E2436))))))</f>
        <v> </v>
      </c>
      <c r="K2437" s="26" t="str">
        <f>IF(OR(E2437="",E2437="!!!",F2437="NEW"),"",INDEX(J$1:J2436,SUMPRODUCT(MAX(ROW(E$1:E2436)*(E2437=E$1:E2436)))))</f>
        <v> </v>
      </c>
      <c r="L2437" s="27"/>
    </row>
    <row r="2438" spans="1:12">
      <c r="A2438" s="20" t="s">
        <v>1030</v>
      </c>
      <c r="E2438" s="22">
        <f>IF(D2438="?OLD","!!!","")</f>
        <v/>
      </c>
      <c r="F2438" s="23" t="str">
        <f>IF(OR(E2438="",E2438="!!!"),"",IF(NOT(ISNA(VLOOKUP(E2438,E$1:E2437,1,FALSE()))),"OLD",IF(AND(E2438&lt;&gt;"",E2438&lt;&gt;"!!!"),"NEW","")))</f>
        <v> </v>
      </c>
      <c r="G2438" s="24" t="str">
        <f>IF(OR(E2438="",E2438="!!!"),"",IF(OR(J2438=0,AND(J2438=1,K2438=1),AND(J2438=1,I2438="SBJ"),AND(J2438=1,I2438=0)),"?IN_FOCUS",IF(J2438&lt;=2,"?ACTIVATED",IF(J2438&lt;&gt;"","?FAMILIAR",IF(F2438="NEW",IF(ISNA(VLOOKUP(E2438,#REF!,1,FALSE())),"?TYPE_IDENTIFIABLE","?REFERENTIAL"),"_")))))</f>
        <v> </v>
      </c>
      <c r="H2438" s="25" t="str">
        <f>IF(J2438&lt;&gt;1,"",IF(I2438="SBJ","CB","?"))</f>
        <v> </v>
      </c>
      <c r="I2438" s="26" t="str">
        <f>IF(OR(E2438="",E2438="!!!",F2438="NEW"),"",INDEX(B2437:B$2,-1+SUMPRODUCT(MAX(ROW(E2437:E$2)*(E2438=E2437:E$2)))))</f>
        <v> </v>
      </c>
      <c r="J2438" s="26" t="str">
        <f>IF(OR(E2438="",E2438="!!!",F2438="NEW"),"",COUNTBLANK(OFFSET(A$1,,,SUMPRODUCT(MAX(ROW(E$2:E2438)*(E2438=E$2:E2438)))))-COUNTBLANK(OFFSET(A$1,,,SUMPRODUCT(MAX(ROW(E$1:E2437)*(E2=E$1:E2437))))))</f>
        <v> </v>
      </c>
      <c r="K2438" s="26" t="str">
        <f>IF(OR(E2438="",E2438="!!!",F2438="NEW"),"",INDEX(J$1:J2437,SUMPRODUCT(MAX(ROW(E$1:E2437)*(E2438=E$1:E2437)))))</f>
        <v> </v>
      </c>
      <c r="L2438" s="27"/>
    </row>
    <row r="2439" spans="1:12">
      <c r="A2439" s="20" t="s">
        <v>1224</v>
      </c>
      <c r="B2439" s="21" t="s">
        <v>1044</v>
      </c>
      <c r="C2439" s="21" t="s">
        <v>1082</v>
      </c>
      <c r="D2439" s="21" t="s">
        <v>1007</v>
      </c>
      <c r="E2439" s="22">
        <f>IF(D2439="?OLD","!!!","")</f>
        <v/>
      </c>
      <c r="F2439" s="23" t="str">
        <f>IF(OR(E2439="",E2439="!!!"),"",IF(NOT(ISNA(VLOOKUP(E2439,E$1:E2438,1,FALSE()))),"OLD",IF(AND(E2439&lt;&gt;"",E2439&lt;&gt;"!!!"),"NEW","")))</f>
        <v> </v>
      </c>
      <c r="G2439" s="24" t="str">
        <f>IF(OR(E2439="",E2439="!!!"),"",IF(OR(J2439=0,AND(J2439=1,K2439=1),AND(J2439=1,I2439="SBJ"),AND(J2439=1,I2439=0)),"?IN_FOCUS",IF(J2439&lt;=2,"?ACTIVATED",IF(J2439&lt;&gt;"","?FAMILIAR",IF(F2439="NEW",IF(ISNA(VLOOKUP(E2439,#REF!,1,FALSE())),"?TYPE_IDENTIFIABLE","?REFERENTIAL"),"_")))))</f>
        <v> </v>
      </c>
      <c r="H2439" s="25" t="str">
        <f>IF(J2439&lt;&gt;1,"",IF(I2439="SBJ","CB","?"))</f>
        <v> </v>
      </c>
      <c r="I2439" s="26" t="str">
        <f>IF(OR(E2439="",E2439="!!!",F2439="NEW"),"",INDEX(B2438:B$2,-1+SUMPRODUCT(MAX(ROW(E2438:E$2)*(E2439=E2438:E$2)))))</f>
        <v> </v>
      </c>
      <c r="J2439" s="26" t="str">
        <f>IF(OR(E2439="",E2439="!!!",F2439="NEW"),"",COUNTBLANK(OFFSET(A$1,,,SUMPRODUCT(MAX(ROW(E$2:E2439)*(E2439=E$2:E2439)))))-COUNTBLANK(OFFSET(A$1,,,SUMPRODUCT(MAX(ROW(E$1:E2438)*(E2=E$1:E2438))))))</f>
        <v> </v>
      </c>
      <c r="K2439" s="26" t="str">
        <f>IF(OR(E2439="",E2439="!!!",F2439="NEW"),"",INDEX(J$1:J2438,SUMPRODUCT(MAX(ROW(E$1:E2438)*(E2439=E$1:E2438)))))</f>
        <v> </v>
      </c>
      <c r="L2439" s="27"/>
    </row>
    <row r="2440" spans="1:12">
      <c r="A2440" s="20" t="s">
        <v>1018</v>
      </c>
      <c r="E2440" s="22">
        <f>IF(D2440="?OLD","!!!","")</f>
        <v/>
      </c>
      <c r="F2440" s="23" t="str">
        <f>IF(OR(E2440="",E2440="!!!"),"",IF(NOT(ISNA(VLOOKUP(E2440,E$1:E2439,1,FALSE()))),"OLD",IF(AND(E2440&lt;&gt;"",E2440&lt;&gt;"!!!"),"NEW","")))</f>
        <v> </v>
      </c>
      <c r="G2440" s="24" t="str">
        <f>IF(OR(E2440="",E2440="!!!"),"",IF(OR(J2440=0,AND(J2440=1,K2440=1),AND(J2440=1,I2440="SBJ"),AND(J2440=1,I2440=0)),"?IN_FOCUS",IF(J2440&lt;=2,"?ACTIVATED",IF(J2440&lt;&gt;"","?FAMILIAR",IF(F2440="NEW",IF(ISNA(VLOOKUP(E2440,#REF!,1,FALSE())),"?TYPE_IDENTIFIABLE","?REFERENTIAL"),"_")))))</f>
        <v> </v>
      </c>
      <c r="H2440" s="25" t="str">
        <f>IF(J2440&lt;&gt;1,"",IF(I2440="SBJ","CB","?"))</f>
        <v> </v>
      </c>
      <c r="I2440" s="26" t="str">
        <f>IF(OR(E2440="",E2440="!!!",F2440="NEW"),"",INDEX(B2439:B$2,-1+SUMPRODUCT(MAX(ROW(E2439:E$2)*(E2440=E2439:E$2)))))</f>
        <v> </v>
      </c>
      <c r="J2440" s="26" t="str">
        <f>IF(OR(E2440="",E2440="!!!",F2440="NEW"),"",COUNTBLANK(OFFSET(A$1,,,SUMPRODUCT(MAX(ROW(E$2:E2440)*(E2440=E$2:E2440)))))-COUNTBLANK(OFFSET(A$1,,,SUMPRODUCT(MAX(ROW(E$1:E2439)*(E2=E$1:E2439))))))</f>
        <v> </v>
      </c>
      <c r="K2440" s="26" t="str">
        <f>IF(OR(E2440="",E2440="!!!",F2440="NEW"),"",INDEX(J$1:J2439,SUMPRODUCT(MAX(ROW(E$1:E2439)*(E2440=E$1:E2439)))))</f>
        <v> </v>
      </c>
      <c r="L2440" s="27"/>
    </row>
    <row r="2441" spans="1:12">
      <c r="A2441" s="20" t="s">
        <v>137</v>
      </c>
      <c r="E2441" s="22">
        <f>IF(D2441="?OLD","!!!","")</f>
        <v/>
      </c>
      <c r="F2441" s="23" t="str">
        <f>IF(OR(E2441="",E2441="!!!"),"",IF(NOT(ISNA(VLOOKUP(E2441,E$1:E2440,1,FALSE()))),"OLD",IF(AND(E2441&lt;&gt;"",E2441&lt;&gt;"!!!"),"NEW","")))</f>
        <v> </v>
      </c>
      <c r="G2441" s="24" t="str">
        <f>IF(OR(E2441="",E2441="!!!"),"",IF(OR(J2441=0,AND(J2441=1,K2441=1),AND(J2441=1,I2441="SBJ"),AND(J2441=1,I2441=0)),"?IN_FOCUS",IF(J2441&lt;=2,"?ACTIVATED",IF(J2441&lt;&gt;"","?FAMILIAR",IF(F2441="NEW",IF(ISNA(VLOOKUP(E2441,#REF!,1,FALSE())),"?TYPE_IDENTIFIABLE","?REFERENTIAL"),"_")))))</f>
        <v> </v>
      </c>
      <c r="H2441" s="25" t="str">
        <f>IF(J2441&lt;&gt;1,"",IF(I2441="SBJ","CB","?"))</f>
        <v> </v>
      </c>
      <c r="I2441" s="26" t="str">
        <f>IF(OR(E2441="",E2441="!!!",F2441="NEW"),"",INDEX(B2440:B$2,-1+SUMPRODUCT(MAX(ROW(E2440:E$2)*(E2441=E2440:E$2)))))</f>
        <v> </v>
      </c>
      <c r="J2441" s="26" t="str">
        <f>IF(OR(E2441="",E2441="!!!",F2441="NEW"),"",COUNTBLANK(OFFSET(A$1,,,SUMPRODUCT(MAX(ROW(E$2:E2441)*(E2441=E$2:E2441)))))-COUNTBLANK(OFFSET(A$1,,,SUMPRODUCT(MAX(ROW(E$1:E2440)*(E2=E$1:E2440))))))</f>
        <v> </v>
      </c>
      <c r="K2441" s="26" t="str">
        <f>IF(OR(E2441="",E2441="!!!",F2441="NEW"),"",INDEX(J$1:J2440,SUMPRODUCT(MAX(ROW(E$1:E2440)*(E2441=E$1:E2440)))))</f>
        <v> </v>
      </c>
      <c r="L2441" s="27"/>
    </row>
    <row r="2442" spans="1:12">
      <c r="A2442" s="20" t="s">
        <v>1784</v>
      </c>
      <c r="B2442" s="21" t="s">
        <v>1440</v>
      </c>
      <c r="C2442" s="21" t="s">
        <v>1048</v>
      </c>
      <c r="E2442" s="22">
        <f>IF(D2442="?OLD","!!!","")</f>
        <v/>
      </c>
      <c r="F2442" s="23" t="str">
        <f>IF(OR(E2442="",E2442="!!!"),"",IF(NOT(ISNA(VLOOKUP(E2442,E$1:E2441,1,FALSE()))),"OLD",IF(AND(E2442&lt;&gt;"",E2442&lt;&gt;"!!!"),"NEW","")))</f>
        <v> </v>
      </c>
      <c r="G2442" s="24" t="str">
        <f>IF(OR(E2442="",E2442="!!!"),"",IF(OR(J2442=0,AND(J2442=1,K2442=1),AND(J2442=1,I2442="SBJ"),AND(J2442=1,I2442=0)),"?IN_FOCUS",IF(J2442&lt;=2,"?ACTIVATED",IF(J2442&lt;&gt;"","?FAMILIAR",IF(F2442="NEW",IF(ISNA(VLOOKUP(E2442,#REF!,1,FALSE())),"?TYPE_IDENTIFIABLE","?REFERENTIAL"),"_")))))</f>
        <v> </v>
      </c>
      <c r="H2442" s="25" t="str">
        <f>IF(J2442&lt;&gt;1,"",IF(I2442="SBJ","CB","?"))</f>
        <v> </v>
      </c>
      <c r="I2442" s="26" t="str">
        <f>IF(OR(E2442="",E2442="!!!",F2442="NEW"),"",INDEX(B2441:B$2,-1+SUMPRODUCT(MAX(ROW(E2441:E$2)*(E2442=E2441:E$2)))))</f>
        <v> </v>
      </c>
      <c r="J2442" s="26" t="str">
        <f>IF(OR(E2442="",E2442="!!!",F2442="NEW"),"",COUNTBLANK(OFFSET(A$1,,,SUMPRODUCT(MAX(ROW(E$2:E2442)*(E2442=E$2:E2442)))))-COUNTBLANK(OFFSET(A$1,,,SUMPRODUCT(MAX(ROW(E$1:E2441)*(E2=E$1:E2441))))))</f>
        <v> </v>
      </c>
      <c r="K2442" s="26" t="str">
        <f>IF(OR(E2442="",E2442="!!!",F2442="NEW"),"",INDEX(J$1:J2441,SUMPRODUCT(MAX(ROW(E$1:E2441)*(E2442=E$1:E2441)))))</f>
        <v> </v>
      </c>
      <c r="L2442" s="27"/>
    </row>
    <row r="2443" spans="1:12">
      <c r="A2443" s="20" t="s">
        <v>1785</v>
      </c>
      <c r="E2443" s="22">
        <f>IF(D2443="?OLD","!!!","")</f>
        <v/>
      </c>
      <c r="F2443" s="23" t="str">
        <f>IF(OR(E2443="",E2443="!!!"),"",IF(NOT(ISNA(VLOOKUP(E2443,E$1:E2442,1,FALSE()))),"OLD",IF(AND(E2443&lt;&gt;"",E2443&lt;&gt;"!!!"),"NEW","")))</f>
        <v> </v>
      </c>
      <c r="G2443" s="24" t="str">
        <f>IF(OR(E2443="",E2443="!!!"),"",IF(OR(J2443=0,AND(J2443=1,K2443=1),AND(J2443=1,I2443="SBJ"),AND(J2443=1,I2443=0)),"?IN_FOCUS",IF(J2443&lt;=2,"?ACTIVATED",IF(J2443&lt;&gt;"","?FAMILIAR",IF(F2443="NEW",IF(ISNA(VLOOKUP(E2443,#REF!,1,FALSE())),"?TYPE_IDENTIFIABLE","?REFERENTIAL"),"_")))))</f>
        <v> </v>
      </c>
      <c r="H2443" s="25" t="str">
        <f>IF(J2443&lt;&gt;1,"",IF(I2443="SBJ","CB","?"))</f>
        <v> </v>
      </c>
      <c r="I2443" s="26" t="str">
        <f>IF(OR(E2443="",E2443="!!!",F2443="NEW"),"",INDEX(B2442:B$2,-1+SUMPRODUCT(MAX(ROW(E2442:E$2)*(E2443=E2442:E$2)))))</f>
        <v> </v>
      </c>
      <c r="J2443" s="26" t="str">
        <f>IF(OR(E2443="",E2443="!!!",F2443="NEW"),"",COUNTBLANK(OFFSET(A$1,,,SUMPRODUCT(MAX(ROW(E$2:E2443)*(E2443=E$2:E2443)))))-COUNTBLANK(OFFSET(A$1,,,SUMPRODUCT(MAX(ROW(E$1:E2442)*(E2=E$1:E2442))))))</f>
        <v> </v>
      </c>
      <c r="K2443" s="26" t="str">
        <f>IF(OR(E2443="",E2443="!!!",F2443="NEW"),"",INDEX(J$1:J2442,SUMPRODUCT(MAX(ROW(E$1:E2442)*(E2443=E$1:E2442)))))</f>
        <v> </v>
      </c>
      <c r="L2443" s="27"/>
    </row>
    <row r="2444" spans="1:12">
      <c r="A2444" s="20" t="s">
        <v>1786</v>
      </c>
      <c r="E2444" s="22">
        <f>IF(D2444="?OLD","!!!","")</f>
        <v/>
      </c>
      <c r="F2444" s="23" t="str">
        <f>IF(OR(E2444="",E2444="!!!"),"",IF(NOT(ISNA(VLOOKUP(E2444,E$1:E2443,1,FALSE()))),"OLD",IF(AND(E2444&lt;&gt;"",E2444&lt;&gt;"!!!"),"NEW","")))</f>
        <v> </v>
      </c>
      <c r="G2444" s="24" t="str">
        <f>IF(OR(E2444="",E2444="!!!"),"",IF(OR(J2444=0,AND(J2444=1,K2444=1),AND(J2444=1,I2444="SBJ"),AND(J2444=1,I2444=0)),"?IN_FOCUS",IF(J2444&lt;=2,"?ACTIVATED",IF(J2444&lt;&gt;"","?FAMILIAR",IF(F2444="NEW",IF(ISNA(VLOOKUP(E2444,#REF!,1,FALSE())),"?TYPE_IDENTIFIABLE","?REFERENTIAL"),"_")))))</f>
        <v> </v>
      </c>
      <c r="H2444" s="25" t="str">
        <f>IF(J2444&lt;&gt;1,"",IF(I2444="SBJ","CB","?"))</f>
        <v> </v>
      </c>
      <c r="I2444" s="26" t="str">
        <f>IF(OR(E2444="",E2444="!!!",F2444="NEW"),"",INDEX(B2443:B$2,-1+SUMPRODUCT(MAX(ROW(E2443:E$2)*(E2444=E2443:E$2)))))</f>
        <v> </v>
      </c>
      <c r="J2444" s="26" t="str">
        <f>IF(OR(E2444="",E2444="!!!",F2444="NEW"),"",COUNTBLANK(OFFSET(A$1,,,SUMPRODUCT(MAX(ROW(E$2:E2444)*(E2444=E$2:E2444)))))-COUNTBLANK(OFFSET(A$1,,,SUMPRODUCT(MAX(ROW(E$1:E2443)*(E2=E$1:E2443))))))</f>
        <v> </v>
      </c>
      <c r="K2444" s="26" t="str">
        <f>IF(OR(E2444="",E2444="!!!",F2444="NEW"),"",INDEX(J$1:J2443,SUMPRODUCT(MAX(ROW(E$1:E2443)*(E2444=E$1:E2443)))))</f>
        <v> </v>
      </c>
      <c r="L2444" s="27"/>
    </row>
    <row r="2445" spans="1:12">
      <c r="A2445" s="20" t="s">
        <v>1787</v>
      </c>
      <c r="B2445" s="21" t="s">
        <v>1217</v>
      </c>
      <c r="C2445" s="21" t="s">
        <v>1048</v>
      </c>
      <c r="E2445" s="22">
        <f>IF(D2445="?OLD","!!!","")</f>
        <v/>
      </c>
      <c r="F2445" s="23" t="str">
        <f>IF(OR(E2445="",E2445="!!!"),"",IF(NOT(ISNA(VLOOKUP(E2445,E$1:E2444,1,FALSE()))),"OLD",IF(AND(E2445&lt;&gt;"",E2445&lt;&gt;"!!!"),"NEW","")))</f>
        <v> </v>
      </c>
      <c r="G2445" s="24" t="str">
        <f>IF(OR(E2445="",E2445="!!!"),"",IF(OR(J2445=0,AND(J2445=1,K2445=1),AND(J2445=1,I2445="SBJ"),AND(J2445=1,I2445=0)),"?IN_FOCUS",IF(J2445&lt;=2,"?ACTIVATED",IF(J2445&lt;&gt;"","?FAMILIAR",IF(F2445="NEW",IF(ISNA(VLOOKUP(E2445,#REF!,1,FALSE())),"?TYPE_IDENTIFIABLE","?REFERENTIAL"),"_")))))</f>
        <v> </v>
      </c>
      <c r="H2445" s="25" t="str">
        <f>IF(J2445&lt;&gt;1,"",IF(I2445="SBJ","CB","?"))</f>
        <v> </v>
      </c>
      <c r="I2445" s="26" t="str">
        <f>IF(OR(E2445="",E2445="!!!",F2445="NEW"),"",INDEX(B2444:B$2,-1+SUMPRODUCT(MAX(ROW(E2444:E$2)*(E2445=E2444:E$2)))))</f>
        <v> </v>
      </c>
      <c r="J2445" s="26" t="str">
        <f>IF(OR(E2445="",E2445="!!!",F2445="NEW"),"",COUNTBLANK(OFFSET(A$1,,,SUMPRODUCT(MAX(ROW(E$2:E2445)*(E2445=E$2:E2445)))))-COUNTBLANK(OFFSET(A$1,,,SUMPRODUCT(MAX(ROW(E$1:E2444)*(E2=E$1:E2444))))))</f>
        <v> </v>
      </c>
      <c r="K2445" s="26" t="str">
        <f>IF(OR(E2445="",E2445="!!!",F2445="NEW"),"",INDEX(J$1:J2444,SUMPRODUCT(MAX(ROW(E$1:E2444)*(E2445=E$1:E2444)))))</f>
        <v> </v>
      </c>
      <c r="L2445" s="27"/>
    </row>
    <row r="2446" spans="1:12">
      <c r="A2446" s="20" t="s">
        <v>1065</v>
      </c>
      <c r="E2446" s="22">
        <f>IF(D2446="?OLD","!!!","")</f>
        <v/>
      </c>
      <c r="F2446" s="23" t="str">
        <f>IF(OR(E2446="",E2446="!!!"),"",IF(NOT(ISNA(VLOOKUP(E2446,E$1:E2445,1,FALSE()))),"OLD",IF(AND(E2446&lt;&gt;"",E2446&lt;&gt;"!!!"),"NEW","")))</f>
        <v> </v>
      </c>
      <c r="G2446" s="24" t="str">
        <f>IF(OR(E2446="",E2446="!!!"),"",IF(OR(J2446=0,AND(J2446=1,K2446=1),AND(J2446=1,I2446="SBJ"),AND(J2446=1,I2446=0)),"?IN_FOCUS",IF(J2446&lt;=2,"?ACTIVATED",IF(J2446&lt;&gt;"","?FAMILIAR",IF(F2446="NEW",IF(ISNA(VLOOKUP(E2446,#REF!,1,FALSE())),"?TYPE_IDENTIFIABLE","?REFERENTIAL"),"_")))))</f>
        <v> </v>
      </c>
      <c r="H2446" s="25" t="str">
        <f>IF(J2446&lt;&gt;1,"",IF(I2446="SBJ","CB","?"))</f>
        <v> </v>
      </c>
      <c r="I2446" s="26" t="str">
        <f>IF(OR(E2446="",E2446="!!!",F2446="NEW"),"",INDEX(B2445:B$2,-1+SUMPRODUCT(MAX(ROW(E2445:E$2)*(E2446=E2445:E$2)))))</f>
        <v> </v>
      </c>
      <c r="J2446" s="26" t="str">
        <f>IF(OR(E2446="",E2446="!!!",F2446="NEW"),"",COUNTBLANK(OFFSET(A$1,,,SUMPRODUCT(MAX(ROW(E$2:E2446)*(E2446=E$2:E2446)))))-COUNTBLANK(OFFSET(A$1,,,SUMPRODUCT(MAX(ROW(E$1:E2445)*(E2=E$1:E2445))))))</f>
        <v> </v>
      </c>
      <c r="K2446" s="26" t="str">
        <f>IF(OR(E2446="",E2446="!!!",F2446="NEW"),"",INDEX(J$1:J2445,SUMPRODUCT(MAX(ROW(E$1:E2445)*(E2446=E$1:E2445)))))</f>
        <v> </v>
      </c>
      <c r="L2446" s="27"/>
    </row>
    <row r="2447" spans="1:12">
      <c r="A2447" s="20" t="s">
        <v>1142</v>
      </c>
      <c r="E2447" s="22">
        <f>IF(D2447="?OLD","!!!","")</f>
        <v/>
      </c>
      <c r="F2447" s="23" t="str">
        <f>IF(OR(E2447="",E2447="!!!"),"",IF(NOT(ISNA(VLOOKUP(E2447,E$1:E2446,1,FALSE()))),"OLD",IF(AND(E2447&lt;&gt;"",E2447&lt;&gt;"!!!"),"NEW","")))</f>
        <v> </v>
      </c>
      <c r="G2447" s="24" t="str">
        <f>IF(OR(E2447="",E2447="!!!"),"",IF(OR(J2447=0,AND(J2447=1,K2447=1),AND(J2447=1,I2447="SBJ"),AND(J2447=1,I2447=0)),"?IN_FOCUS",IF(J2447&lt;=2,"?ACTIVATED",IF(J2447&lt;&gt;"","?FAMILIAR",IF(F2447="NEW",IF(ISNA(VLOOKUP(E2447,#REF!,1,FALSE())),"?TYPE_IDENTIFIABLE","?REFERENTIAL"),"_")))))</f>
        <v> </v>
      </c>
      <c r="H2447" s="25" t="str">
        <f>IF(J2447&lt;&gt;1,"",IF(I2447="SBJ","CB","?"))</f>
        <v> </v>
      </c>
      <c r="I2447" s="26" t="str">
        <f>IF(OR(E2447="",E2447="!!!",F2447="NEW"),"",INDEX(B2446:B$2,-1+SUMPRODUCT(MAX(ROW(E2446:E$2)*(E2447=E2446:E$2)))))</f>
        <v> </v>
      </c>
      <c r="J2447" s="26" t="str">
        <f>IF(OR(E2447="",E2447="!!!",F2447="NEW"),"",COUNTBLANK(OFFSET(A$1,,,SUMPRODUCT(MAX(ROW(E$2:E2447)*(E2447=E$2:E2447)))))-COUNTBLANK(OFFSET(A$1,,,SUMPRODUCT(MAX(ROW(E$1:E2446)*(E2=E$1:E2446))))))</f>
        <v> </v>
      </c>
      <c r="K2447" s="26" t="str">
        <f>IF(OR(E2447="",E2447="!!!",F2447="NEW"),"",INDEX(J$1:J2446,SUMPRODUCT(MAX(ROW(E$1:E2446)*(E2447=E$1:E2446)))))</f>
        <v> </v>
      </c>
      <c r="L2447" s="27"/>
    </row>
    <row r="2448" spans="1:12">
      <c r="A2448" s="20" t="s">
        <v>1222</v>
      </c>
      <c r="E2448" s="22">
        <f>IF(D2448="?OLD","!!!","")</f>
        <v/>
      </c>
      <c r="F2448" s="23" t="str">
        <f>IF(OR(E2448="",E2448="!!!"),"",IF(NOT(ISNA(VLOOKUP(E2448,E$1:E2447,1,FALSE()))),"OLD",IF(AND(E2448&lt;&gt;"",E2448&lt;&gt;"!!!"),"NEW","")))</f>
        <v> </v>
      </c>
      <c r="G2448" s="24" t="str">
        <f>IF(OR(E2448="",E2448="!!!"),"",IF(OR(J2448=0,AND(J2448=1,K2448=1),AND(J2448=1,I2448="SBJ"),AND(J2448=1,I2448=0)),"?IN_FOCUS",IF(J2448&lt;=2,"?ACTIVATED",IF(J2448&lt;&gt;"","?FAMILIAR",IF(F2448="NEW",IF(ISNA(VLOOKUP(E2448,#REF!,1,FALSE())),"?TYPE_IDENTIFIABLE","?REFERENTIAL"),"_")))))</f>
        <v> </v>
      </c>
      <c r="H2448" s="25" t="str">
        <f>IF(J2448&lt;&gt;1,"",IF(I2448="SBJ","CB","?"))</f>
        <v> </v>
      </c>
      <c r="I2448" s="26" t="str">
        <f>IF(OR(E2448="",E2448="!!!",F2448="NEW"),"",INDEX(B2447:B$2,-1+SUMPRODUCT(MAX(ROW(E2447:E$2)*(E2448=E2447:E$2)))))</f>
        <v> </v>
      </c>
      <c r="J2448" s="26" t="str">
        <f>IF(OR(E2448="",E2448="!!!",F2448="NEW"),"",COUNTBLANK(OFFSET(A$1,,,SUMPRODUCT(MAX(ROW(E$2:E2448)*(E2448=E$2:E2448)))))-COUNTBLANK(OFFSET(A$1,,,SUMPRODUCT(MAX(ROW(E$1:E2447)*(E2=E$1:E2447))))))</f>
        <v> </v>
      </c>
      <c r="K2448" s="26" t="str">
        <f>IF(OR(E2448="",E2448="!!!",F2448="NEW"),"",INDEX(J$1:J2447,SUMPRODUCT(MAX(ROW(E$1:E2447)*(E2448=E$1:E2447)))))</f>
        <v> </v>
      </c>
      <c r="L2448" s="27"/>
    </row>
    <row r="2449" spans="1:12">
      <c r="A2449" s="20" t="s">
        <v>1403</v>
      </c>
      <c r="E2449" s="22">
        <f>IF(D2449="?OLD","!!!","")</f>
        <v/>
      </c>
      <c r="F2449" s="23" t="str">
        <f>IF(OR(E2449="",E2449="!!!"),"",IF(NOT(ISNA(VLOOKUP(E2449,E$1:E2448,1,FALSE()))),"OLD",IF(AND(E2449&lt;&gt;"",E2449&lt;&gt;"!!!"),"NEW","")))</f>
        <v> </v>
      </c>
      <c r="G2449" s="24" t="str">
        <f>IF(OR(E2449="",E2449="!!!"),"",IF(OR(J2449=0,AND(J2449=1,K2449=1),AND(J2449=1,I2449="SBJ"),AND(J2449=1,I2449=0)),"?IN_FOCUS",IF(J2449&lt;=2,"?ACTIVATED",IF(J2449&lt;&gt;"","?FAMILIAR",IF(F2449="NEW",IF(ISNA(VLOOKUP(E2449,#REF!,1,FALSE())),"?TYPE_IDENTIFIABLE","?REFERENTIAL"),"_")))))</f>
        <v> </v>
      </c>
      <c r="H2449" s="25" t="str">
        <f>IF(J2449&lt;&gt;1,"",IF(I2449="SBJ","CB","?"))</f>
        <v> </v>
      </c>
      <c r="I2449" s="26" t="str">
        <f>IF(OR(E2449="",E2449="!!!",F2449="NEW"),"",INDEX(B2448:B$2,-1+SUMPRODUCT(MAX(ROW(E2448:E$2)*(E2449=E2448:E$2)))))</f>
        <v> </v>
      </c>
      <c r="J2449" s="26" t="str">
        <f>IF(OR(E2449="",E2449="!!!",F2449="NEW"),"",COUNTBLANK(OFFSET(A$1,,,SUMPRODUCT(MAX(ROW(E$2:E2449)*(E2449=E$2:E2449)))))-COUNTBLANK(OFFSET(A$1,,,SUMPRODUCT(MAX(ROW(E$1:E2448)*(E2=E$1:E2448))))))</f>
        <v> </v>
      </c>
      <c r="K2449" s="26" t="str">
        <f>IF(OR(E2449="",E2449="!!!",F2449="NEW"),"",INDEX(J$1:J2448,SUMPRODUCT(MAX(ROW(E$1:E2448)*(E2449=E$1:E2448)))))</f>
        <v> </v>
      </c>
      <c r="L2449" s="27"/>
    </row>
    <row r="2450" spans="1:12">
      <c r="A2450" s="20" t="s">
        <v>1788</v>
      </c>
      <c r="B2450" s="21" t="s">
        <v>1789</v>
      </c>
      <c r="C2450" s="21" t="s">
        <v>1048</v>
      </c>
      <c r="E2450" s="22">
        <f>IF(D2450="?OLD","!!!","")</f>
        <v/>
      </c>
      <c r="F2450" s="23" t="str">
        <f>IF(OR(E2450="",E2450="!!!"),"",IF(NOT(ISNA(VLOOKUP(E2450,E$1:E2449,1,FALSE()))),"OLD",IF(AND(E2450&lt;&gt;"",E2450&lt;&gt;"!!!"),"NEW","")))</f>
        <v> </v>
      </c>
      <c r="G2450" s="24" t="str">
        <f>IF(OR(E2450="",E2450="!!!"),"",IF(OR(J2450=0,AND(J2450=1,K2450=1),AND(J2450=1,I2450="SBJ"),AND(J2450=1,I2450=0)),"?IN_FOCUS",IF(J2450&lt;=2,"?ACTIVATED",IF(J2450&lt;&gt;"","?FAMILIAR",IF(F2450="NEW",IF(ISNA(VLOOKUP(E2450,#REF!,1,FALSE())),"?TYPE_IDENTIFIABLE","?REFERENTIAL"),"_")))))</f>
        <v> </v>
      </c>
      <c r="H2450" s="25" t="str">
        <f>IF(J2450&lt;&gt;1,"",IF(I2450="SBJ","CB","?"))</f>
        <v> </v>
      </c>
      <c r="I2450" s="26" t="str">
        <f>IF(OR(E2450="",E2450="!!!",F2450="NEW"),"",INDEX(B2449:B$2,-1+SUMPRODUCT(MAX(ROW(E2449:E$2)*(E2450=E2449:E$2)))))</f>
        <v> </v>
      </c>
      <c r="J2450" s="26" t="str">
        <f>IF(OR(E2450="",E2450="!!!",F2450="NEW"),"",COUNTBLANK(OFFSET(A$1,,,SUMPRODUCT(MAX(ROW(E$2:E2450)*(E2450=E$2:E2450)))))-COUNTBLANK(OFFSET(A$1,,,SUMPRODUCT(MAX(ROW(E$1:E2449)*(E2=E$1:E2449))))))</f>
        <v> </v>
      </c>
      <c r="K2450" s="26" t="str">
        <f>IF(OR(E2450="",E2450="!!!",F2450="NEW"),"",INDEX(J$1:J2449,SUMPRODUCT(MAX(ROW(E$1:E2449)*(E2450=E$1:E2449)))))</f>
        <v> </v>
      </c>
      <c r="L2450" s="27"/>
    </row>
    <row r="2451" spans="1:12">
      <c r="A2451" s="20" t="s">
        <v>1018</v>
      </c>
      <c r="E2451" s="22">
        <f>IF(D2451="?OLD","!!!","")</f>
        <v/>
      </c>
      <c r="F2451" s="23" t="str">
        <f>IF(OR(E2451="",E2451="!!!"),"",IF(NOT(ISNA(VLOOKUP(E2451,E$1:E2450,1,FALSE()))),"OLD",IF(AND(E2451&lt;&gt;"",E2451&lt;&gt;"!!!"),"NEW","")))</f>
        <v> </v>
      </c>
      <c r="G2451" s="24" t="str">
        <f>IF(OR(E2451="",E2451="!!!"),"",IF(OR(J2451=0,AND(J2451=1,K2451=1),AND(J2451=1,I2451="SBJ"),AND(J2451=1,I2451=0)),"?IN_FOCUS",IF(J2451&lt;=2,"?ACTIVATED",IF(J2451&lt;&gt;"","?FAMILIAR",IF(F2451="NEW",IF(ISNA(VLOOKUP(E2451,#REF!,1,FALSE())),"?TYPE_IDENTIFIABLE","?REFERENTIAL"),"_")))))</f>
        <v> </v>
      </c>
      <c r="H2451" s="25" t="str">
        <f>IF(J2451&lt;&gt;1,"",IF(I2451="SBJ","CB","?"))</f>
        <v> </v>
      </c>
      <c r="I2451" s="26" t="str">
        <f>IF(OR(E2451="",E2451="!!!",F2451="NEW"),"",INDEX(B2450:B$2,-1+SUMPRODUCT(MAX(ROW(E2450:E$2)*(E2451=E2450:E$2)))))</f>
        <v> </v>
      </c>
      <c r="J2451" s="26" t="str">
        <f>IF(OR(E2451="",E2451="!!!",F2451="NEW"),"",COUNTBLANK(OFFSET(A$1,,,SUMPRODUCT(MAX(ROW(E$2:E2451)*(E2451=E$2:E2451)))))-COUNTBLANK(OFFSET(A$1,,,SUMPRODUCT(MAX(ROW(E$1:E2450)*(E2=E$1:E2450))))))</f>
        <v> </v>
      </c>
      <c r="K2451" s="26" t="str">
        <f>IF(OR(E2451="",E2451="!!!",F2451="NEW"),"",INDEX(J$1:J2450,SUMPRODUCT(MAX(ROW(E$1:E2450)*(E2451=E$1:E2450)))))</f>
        <v> </v>
      </c>
      <c r="L2451" s="27"/>
    </row>
    <row r="2452" spans="1:12">
      <c r="A2452" s="20" t="s">
        <v>56</v>
      </c>
      <c r="E2452" s="22">
        <f>IF(D2452="?OLD","!!!","")</f>
        <v/>
      </c>
      <c r="F2452" s="23" t="str">
        <f>IF(OR(E2452="",E2452="!!!"),"",IF(NOT(ISNA(VLOOKUP(E2452,E$1:E2451,1,FALSE()))),"OLD",IF(AND(E2452&lt;&gt;"",E2452&lt;&gt;"!!!"),"NEW","")))</f>
        <v> </v>
      </c>
      <c r="G2452" s="24" t="str">
        <f>IF(OR(E2452="",E2452="!!!"),"",IF(OR(J2452=0,AND(J2452=1,K2452=1),AND(J2452=1,I2452="SBJ"),AND(J2452=1,I2452=0)),"?IN_FOCUS",IF(J2452&lt;=2,"?ACTIVATED",IF(J2452&lt;&gt;"","?FAMILIAR",IF(F2452="NEW",IF(ISNA(VLOOKUP(E2452,#REF!,1,FALSE())),"?TYPE_IDENTIFIABLE","?REFERENTIAL"),"_")))))</f>
        <v> </v>
      </c>
      <c r="H2452" s="25" t="str">
        <f>IF(J2452&lt;&gt;1,"",IF(I2452="SBJ","CB","?"))</f>
        <v> </v>
      </c>
      <c r="I2452" s="26" t="str">
        <f>IF(OR(E2452="",E2452="!!!",F2452="NEW"),"",INDEX(B2451:B$2,-1+SUMPRODUCT(MAX(ROW(E2451:E$2)*(E2452=E2451:E$2)))))</f>
        <v> </v>
      </c>
      <c r="J2452" s="26" t="str">
        <f>IF(OR(E2452="",E2452="!!!",F2452="NEW"),"",COUNTBLANK(OFFSET(A$1,,,SUMPRODUCT(MAX(ROW(E$2:E2452)*(E2452=E$2:E2452)))))-COUNTBLANK(OFFSET(A$1,,,SUMPRODUCT(MAX(ROW(E$1:E2451)*(E2=E$1:E2451))))))</f>
        <v> </v>
      </c>
      <c r="K2452" s="26" t="str">
        <f>IF(OR(E2452="",E2452="!!!",F2452="NEW"),"",INDEX(J$1:J2451,SUMPRODUCT(MAX(ROW(E$1:E2451)*(E2452=E$1:E2451)))))</f>
        <v> </v>
      </c>
      <c r="L2452" s="27"/>
    </row>
    <row r="2453" spans="1:12">
      <c r="A2453" s="20" t="s">
        <v>1065</v>
      </c>
      <c r="E2453" s="22">
        <f>IF(D2453="?OLD","!!!","")</f>
        <v/>
      </c>
      <c r="F2453" s="23" t="str">
        <f>IF(OR(E2453="",E2453="!!!"),"",IF(NOT(ISNA(VLOOKUP(E2453,E$1:E2452,1,FALSE()))),"OLD",IF(AND(E2453&lt;&gt;"",E2453&lt;&gt;"!!!"),"NEW","")))</f>
        <v> </v>
      </c>
      <c r="G2453" s="24" t="str">
        <f>IF(OR(E2453="",E2453="!!!"),"",IF(OR(J2453=0,AND(J2453=1,K2453=1),AND(J2453=1,I2453="SBJ"),AND(J2453=1,I2453=0)),"?IN_FOCUS",IF(J2453&lt;=2,"?ACTIVATED",IF(J2453&lt;&gt;"","?FAMILIAR",IF(F2453="NEW",IF(ISNA(VLOOKUP(E2453,#REF!,1,FALSE())),"?TYPE_IDENTIFIABLE","?REFERENTIAL"),"_")))))</f>
        <v> </v>
      </c>
      <c r="H2453" s="25" t="str">
        <f>IF(J2453&lt;&gt;1,"",IF(I2453="SBJ","CB","?"))</f>
        <v> </v>
      </c>
      <c r="I2453" s="26" t="str">
        <f>IF(OR(E2453="",E2453="!!!",F2453="NEW"),"",INDEX(B2452:B$2,-1+SUMPRODUCT(MAX(ROW(E2452:E$2)*(E2453=E2452:E$2)))))</f>
        <v> </v>
      </c>
      <c r="J2453" s="26" t="str">
        <f>IF(OR(E2453="",E2453="!!!",F2453="NEW"),"",COUNTBLANK(OFFSET(A$1,,,SUMPRODUCT(MAX(ROW(E$2:E2453)*(E2453=E$2:E2453)))))-COUNTBLANK(OFFSET(A$1,,,SUMPRODUCT(MAX(ROW(E$1:E2452)*(E2=E$1:E2452))))))</f>
        <v> </v>
      </c>
      <c r="K2453" s="26" t="str">
        <f>IF(OR(E2453="",E2453="!!!",F2453="NEW"),"",INDEX(J$1:J2452,SUMPRODUCT(MAX(ROW(E$1:E2452)*(E2453=E$1:E2452)))))</f>
        <v> </v>
      </c>
      <c r="L2453" s="27"/>
    </row>
    <row r="2454" spans="1:12">
      <c r="A2454" s="20" t="s">
        <v>1142</v>
      </c>
      <c r="E2454" s="22">
        <f>IF(D2454="?OLD","!!!","")</f>
        <v/>
      </c>
      <c r="F2454" s="23" t="str">
        <f>IF(OR(E2454="",E2454="!!!"),"",IF(NOT(ISNA(VLOOKUP(E2454,E$1:E2453,1,FALSE()))),"OLD",IF(AND(E2454&lt;&gt;"",E2454&lt;&gt;"!!!"),"NEW","")))</f>
        <v> </v>
      </c>
      <c r="G2454" s="24" t="str">
        <f>IF(OR(E2454="",E2454="!!!"),"",IF(OR(J2454=0,AND(J2454=1,K2454=1),AND(J2454=1,I2454="SBJ"),AND(J2454=1,I2454=0)),"?IN_FOCUS",IF(J2454&lt;=2,"?ACTIVATED",IF(J2454&lt;&gt;"","?FAMILIAR",IF(F2454="NEW",IF(ISNA(VLOOKUP(E2454,#REF!,1,FALSE())),"?TYPE_IDENTIFIABLE","?REFERENTIAL"),"_")))))</f>
        <v> </v>
      </c>
      <c r="H2454" s="25" t="str">
        <f>IF(J2454&lt;&gt;1,"",IF(I2454="SBJ","CB","?"))</f>
        <v> </v>
      </c>
      <c r="I2454" s="26" t="str">
        <f>IF(OR(E2454="",E2454="!!!",F2454="NEW"),"",INDEX(B2453:B$2,-1+SUMPRODUCT(MAX(ROW(E2453:E$2)*(E2454=E2453:E$2)))))</f>
        <v> </v>
      </c>
      <c r="J2454" s="26" t="str">
        <f>IF(OR(E2454="",E2454="!!!",F2454="NEW"),"",COUNTBLANK(OFFSET(A$1,,,SUMPRODUCT(MAX(ROW(E$2:E2454)*(E2454=E$2:E2454)))))-COUNTBLANK(OFFSET(A$1,,,SUMPRODUCT(MAX(ROW(E$1:E2453)*(E2=E$1:E2453))))))</f>
        <v> </v>
      </c>
      <c r="K2454" s="26" t="str">
        <f>IF(OR(E2454="",E2454="!!!",F2454="NEW"),"",INDEX(J$1:J2453,SUMPRODUCT(MAX(ROW(E$1:E2453)*(E2454=E$1:E2453)))))</f>
        <v> </v>
      </c>
      <c r="L2454" s="27"/>
    </row>
    <row r="2455" spans="1:12">
      <c r="A2455" s="20" t="s">
        <v>1222</v>
      </c>
      <c r="E2455" s="22">
        <f>IF(D2455="?OLD","!!!","")</f>
        <v/>
      </c>
      <c r="F2455" s="23" t="str">
        <f>IF(OR(E2455="",E2455="!!!"),"",IF(NOT(ISNA(VLOOKUP(E2455,E$1:E2454,1,FALSE()))),"OLD",IF(AND(E2455&lt;&gt;"",E2455&lt;&gt;"!!!"),"NEW","")))</f>
        <v> </v>
      </c>
      <c r="G2455" s="24" t="str">
        <f>IF(OR(E2455="",E2455="!!!"),"",IF(OR(J2455=0,AND(J2455=1,K2455=1),AND(J2455=1,I2455="SBJ"),AND(J2455=1,I2455=0)),"?IN_FOCUS",IF(J2455&lt;=2,"?ACTIVATED",IF(J2455&lt;&gt;"","?FAMILIAR",IF(F2455="NEW",IF(ISNA(VLOOKUP(E2455,#REF!,1,FALSE())),"?TYPE_IDENTIFIABLE","?REFERENTIAL"),"_")))))</f>
        <v> </v>
      </c>
      <c r="H2455" s="25" t="str">
        <f>IF(J2455&lt;&gt;1,"",IF(I2455="SBJ","CB","?"))</f>
        <v> </v>
      </c>
      <c r="I2455" s="26" t="str">
        <f>IF(OR(E2455="",E2455="!!!",F2455="NEW"),"",INDEX(B2454:B$2,-1+SUMPRODUCT(MAX(ROW(E2454:E$2)*(E2455=E2454:E$2)))))</f>
        <v> </v>
      </c>
      <c r="J2455" s="26" t="str">
        <f>IF(OR(E2455="",E2455="!!!",F2455="NEW"),"",COUNTBLANK(OFFSET(A$1,,,SUMPRODUCT(MAX(ROW(E$2:E2455)*(E2455=E$2:E2455)))))-COUNTBLANK(OFFSET(A$1,,,SUMPRODUCT(MAX(ROW(E$1:E2454)*(E2=E$1:E2454))))))</f>
        <v> </v>
      </c>
      <c r="K2455" s="26" t="str">
        <f>IF(OR(E2455="",E2455="!!!",F2455="NEW"),"",INDEX(J$1:J2454,SUMPRODUCT(MAX(ROW(E$1:E2454)*(E2455=E$1:E2454)))))</f>
        <v> </v>
      </c>
      <c r="L2455" s="27"/>
    </row>
    <row r="2456" spans="1:12">
      <c r="A2456" s="20" t="s">
        <v>1403</v>
      </c>
      <c r="E2456" s="22">
        <f>IF(D2456="?OLD","!!!","")</f>
        <v/>
      </c>
      <c r="F2456" s="23" t="str">
        <f>IF(OR(E2456="",E2456="!!!"),"",IF(NOT(ISNA(VLOOKUP(E2456,E$1:E2455,1,FALSE()))),"OLD",IF(AND(E2456&lt;&gt;"",E2456&lt;&gt;"!!!"),"NEW","")))</f>
        <v> </v>
      </c>
      <c r="G2456" s="24" t="str">
        <f>IF(OR(E2456="",E2456="!!!"),"",IF(OR(J2456=0,AND(J2456=1,K2456=1),AND(J2456=1,I2456="SBJ"),AND(J2456=1,I2456=0)),"?IN_FOCUS",IF(J2456&lt;=2,"?ACTIVATED",IF(J2456&lt;&gt;"","?FAMILIAR",IF(F2456="NEW",IF(ISNA(VLOOKUP(E2456,#REF!,1,FALSE())),"?TYPE_IDENTIFIABLE","?REFERENTIAL"),"_")))))</f>
        <v> </v>
      </c>
      <c r="H2456" s="25" t="str">
        <f>IF(J2456&lt;&gt;1,"",IF(I2456="SBJ","CB","?"))</f>
        <v> </v>
      </c>
      <c r="I2456" s="26" t="str">
        <f>IF(OR(E2456="",E2456="!!!",F2456="NEW"),"",INDEX(B2455:B$2,-1+SUMPRODUCT(MAX(ROW(E2455:E$2)*(E2456=E2455:E$2)))))</f>
        <v> </v>
      </c>
      <c r="J2456" s="26" t="str">
        <f>IF(OR(E2456="",E2456="!!!",F2456="NEW"),"",COUNTBLANK(OFFSET(A$1,,,SUMPRODUCT(MAX(ROW(E$2:E2456)*(E2456=E$2:E2456)))))-COUNTBLANK(OFFSET(A$1,,,SUMPRODUCT(MAX(ROW(E$1:E2455)*(E2=E$1:E2455))))))</f>
        <v> </v>
      </c>
      <c r="K2456" s="26" t="str">
        <f>IF(OR(E2456="",E2456="!!!",F2456="NEW"),"",INDEX(J$1:J2455,SUMPRODUCT(MAX(ROW(E$1:E2455)*(E2456=E$1:E2455)))))</f>
        <v> </v>
      </c>
      <c r="L2456" s="27"/>
    </row>
    <row r="2457" spans="1:12">
      <c r="A2457" s="20" t="s">
        <v>1790</v>
      </c>
      <c r="B2457" s="21" t="s">
        <v>1791</v>
      </c>
      <c r="C2457" s="21" t="s">
        <v>1013</v>
      </c>
      <c r="D2457" s="21" t="s">
        <v>1007</v>
      </c>
      <c r="E2457" s="22">
        <f>IF(D2457="?OLD","!!!","")</f>
        <v/>
      </c>
      <c r="F2457" s="23" t="str">
        <f>IF(OR(E2457="",E2457="!!!"),"",IF(NOT(ISNA(VLOOKUP(E2457,E$1:E2456,1,FALSE()))),"OLD",IF(AND(E2457&lt;&gt;"",E2457&lt;&gt;"!!!"),"NEW","")))</f>
        <v> </v>
      </c>
      <c r="G2457" s="24" t="str">
        <f>IF(OR(E2457="",E2457="!!!"),"",IF(OR(J2457=0,AND(J2457=1,K2457=1),AND(J2457=1,I2457="SBJ"),AND(J2457=1,I2457=0)),"?IN_FOCUS",IF(J2457&lt;=2,"?ACTIVATED",IF(J2457&lt;&gt;"","?FAMILIAR",IF(F2457="NEW",IF(ISNA(VLOOKUP(E2457,#REF!,1,FALSE())),"?TYPE_IDENTIFIABLE","?REFERENTIAL"),"_")))))</f>
        <v> </v>
      </c>
      <c r="H2457" s="25" t="str">
        <f>IF(J2457&lt;&gt;1,"",IF(I2457="SBJ","CB","?"))</f>
        <v> </v>
      </c>
      <c r="I2457" s="26" t="str">
        <f>IF(OR(E2457="",E2457="!!!",F2457="NEW"),"",INDEX(B2456:B$2,-1+SUMPRODUCT(MAX(ROW(E2456:E$2)*(E2457=E2456:E$2)))))</f>
        <v> </v>
      </c>
      <c r="J2457" s="26" t="str">
        <f>IF(OR(E2457="",E2457="!!!",F2457="NEW"),"",COUNTBLANK(OFFSET(A$1,,,SUMPRODUCT(MAX(ROW(E$2:E2457)*(E2457=E$2:E2457)))))-COUNTBLANK(OFFSET(A$1,,,SUMPRODUCT(MAX(ROW(E$1:E2456)*(E2=E$1:E2456))))))</f>
        <v> </v>
      </c>
      <c r="K2457" s="26" t="str">
        <f>IF(OR(E2457="",E2457="!!!",F2457="NEW"),"",INDEX(J$1:J2456,SUMPRODUCT(MAX(ROW(E$1:E2456)*(E2457=E$1:E2456)))))</f>
        <v> </v>
      </c>
      <c r="L2457" s="27"/>
    </row>
    <row r="2458" spans="1:12">
      <c r="A2458" s="20" t="s">
        <v>1020</v>
      </c>
      <c r="E2458" s="22">
        <f>IF(D2458="?OLD","!!!","")</f>
        <v/>
      </c>
      <c r="F2458" s="23" t="str">
        <f>IF(OR(E2458="",E2458="!!!"),"",IF(NOT(ISNA(VLOOKUP(E2458,E$1:E2457,1,FALSE()))),"OLD",IF(AND(E2458&lt;&gt;"",E2458&lt;&gt;"!!!"),"NEW","")))</f>
        <v> </v>
      </c>
      <c r="G2458" s="24" t="str">
        <f>IF(OR(E2458="",E2458="!!!"),"",IF(OR(J2458=0,AND(J2458=1,K2458=1),AND(J2458=1,I2458="SBJ"),AND(J2458=1,I2458=0)),"?IN_FOCUS",IF(J2458&lt;=2,"?ACTIVATED",IF(J2458&lt;&gt;"","?FAMILIAR",IF(F2458="NEW",IF(ISNA(VLOOKUP(E2458,#REF!,1,FALSE())),"?TYPE_IDENTIFIABLE","?REFERENTIAL"),"_")))))</f>
        <v> </v>
      </c>
      <c r="H2458" s="25" t="str">
        <f>IF(J2458&lt;&gt;1,"",IF(I2458="SBJ","CB","?"))</f>
        <v> </v>
      </c>
      <c r="I2458" s="26" t="str">
        <f>IF(OR(E2458="",E2458="!!!",F2458="NEW"),"",INDEX(B2457:B$2,-1+SUMPRODUCT(MAX(ROW(E2457:E$2)*(E2458=E2457:E$2)))))</f>
        <v> </v>
      </c>
      <c r="J2458" s="26" t="str">
        <f>IF(OR(E2458="",E2458="!!!",F2458="NEW"),"",COUNTBLANK(OFFSET(A$1,,,SUMPRODUCT(MAX(ROW(E$2:E2458)*(E2458=E$2:E2458)))))-COUNTBLANK(OFFSET(A$1,,,SUMPRODUCT(MAX(ROW(E$1:E2457)*(E2=E$1:E2457))))))</f>
        <v> </v>
      </c>
      <c r="K2458" s="26" t="str">
        <f>IF(OR(E2458="",E2458="!!!",F2458="NEW"),"",INDEX(J$1:J2457,SUMPRODUCT(MAX(ROW(E$1:E2457)*(E2458=E$1:E2457)))))</f>
        <v> </v>
      </c>
      <c r="L2458" s="27"/>
    </row>
    <row r="2459" spans="1:12">
      <c r="A2459" s="20" t="s">
        <v>1027</v>
      </c>
      <c r="E2459" s="22">
        <f>IF(D2459="?OLD","!!!","")</f>
        <v/>
      </c>
      <c r="F2459" s="23" t="str">
        <f>IF(OR(E2459="",E2459="!!!"),"",IF(NOT(ISNA(VLOOKUP(E2459,E$1:E2458,1,FALSE()))),"OLD",IF(AND(E2459&lt;&gt;"",E2459&lt;&gt;"!!!"),"NEW","")))</f>
        <v> </v>
      </c>
      <c r="G2459" s="24" t="str">
        <f>IF(OR(E2459="",E2459="!!!"),"",IF(OR(J2459=0,AND(J2459=1,K2459=1),AND(J2459=1,I2459="SBJ"),AND(J2459=1,I2459=0)),"?IN_FOCUS",IF(J2459&lt;=2,"?ACTIVATED",IF(J2459&lt;&gt;"","?FAMILIAR",IF(F2459="NEW",IF(ISNA(VLOOKUP(E2459,#REF!,1,FALSE())),"?TYPE_IDENTIFIABLE","?REFERENTIAL"),"_")))))</f>
        <v> </v>
      </c>
      <c r="H2459" s="25" t="str">
        <f>IF(J2459&lt;&gt;1,"",IF(I2459="SBJ","CB","?"))</f>
        <v> </v>
      </c>
      <c r="I2459" s="26" t="str">
        <f>IF(OR(E2459="",E2459="!!!",F2459="NEW"),"",INDEX(B2458:B$2,-1+SUMPRODUCT(MAX(ROW(E2458:E$2)*(E2459=E2458:E$2)))))</f>
        <v> </v>
      </c>
      <c r="J2459" s="26" t="str">
        <f>IF(OR(E2459="",E2459="!!!",F2459="NEW"),"",COUNTBLANK(OFFSET(A$1,,,SUMPRODUCT(MAX(ROW(E$2:E2459)*(E2459=E$2:E2459)))))-COUNTBLANK(OFFSET(A$1,,,SUMPRODUCT(MAX(ROW(E$1:E2458)*(E2=E$1:E2458))))))</f>
        <v> </v>
      </c>
      <c r="K2459" s="26" t="str">
        <f>IF(OR(E2459="",E2459="!!!",F2459="NEW"),"",INDEX(J$1:J2458,SUMPRODUCT(MAX(ROW(E$1:E2458)*(E2459=E$1:E2458)))))</f>
        <v> </v>
      </c>
      <c r="L2459" s="27"/>
    </row>
    <row r="2460" spans="1:12">
      <c r="A2460" s="20" t="s">
        <v>1774</v>
      </c>
      <c r="B2460" s="21" t="s">
        <v>1792</v>
      </c>
      <c r="C2460" s="21" t="s">
        <v>1013</v>
      </c>
      <c r="D2460" s="21" t="s">
        <v>1007</v>
      </c>
      <c r="E2460" s="22">
        <f>IF(D2460="?OLD","!!!","")</f>
        <v/>
      </c>
      <c r="F2460" s="23" t="str">
        <f>IF(OR(E2460="",E2460="!!!"),"",IF(NOT(ISNA(VLOOKUP(E2460,E$1:E2459,1,FALSE()))),"OLD",IF(AND(E2460&lt;&gt;"",E2460&lt;&gt;"!!!"),"NEW","")))</f>
        <v> </v>
      </c>
      <c r="G2460" s="24" t="str">
        <f>IF(OR(E2460="",E2460="!!!"),"",IF(OR(J2460=0,AND(J2460=1,K2460=1),AND(J2460=1,I2460="SBJ"),AND(J2460=1,I2460=0)),"?IN_FOCUS",IF(J2460&lt;=2,"?ACTIVATED",IF(J2460&lt;&gt;"","?FAMILIAR",IF(F2460="NEW",IF(ISNA(VLOOKUP(E2460,#REF!,1,FALSE())),"?TYPE_IDENTIFIABLE","?REFERENTIAL"),"_")))))</f>
        <v> </v>
      </c>
      <c r="H2460" s="25" t="str">
        <f>IF(J2460&lt;&gt;1,"",IF(I2460="SBJ","CB","?"))</f>
        <v> </v>
      </c>
      <c r="I2460" s="26" t="str">
        <f>IF(OR(E2460="",E2460="!!!",F2460="NEW"),"",INDEX(B2459:B$2,-1+SUMPRODUCT(MAX(ROW(E2459:E$2)*(E2460=E2459:E$2)))))</f>
        <v> </v>
      </c>
      <c r="J2460" s="26" t="str">
        <f>IF(OR(E2460="",E2460="!!!",F2460="NEW"),"",COUNTBLANK(OFFSET(A$1,,,SUMPRODUCT(MAX(ROW(E$2:E2460)*(E2460=E$2:E2460)))))-COUNTBLANK(OFFSET(A$1,,,SUMPRODUCT(MAX(ROW(E$1:E2459)*(E2=E$1:E2459))))))</f>
        <v> </v>
      </c>
      <c r="K2460" s="26" t="str">
        <f>IF(OR(E2460="",E2460="!!!",F2460="NEW"),"",INDEX(J$1:J2459,SUMPRODUCT(MAX(ROW(E$1:E2459)*(E2460=E$1:E2459)))))</f>
        <v> </v>
      </c>
      <c r="L2460" s="27"/>
    </row>
    <row r="2461" spans="1:12">
      <c r="A2461" s="20" t="s">
        <v>1014</v>
      </c>
      <c r="E2461" s="22">
        <f>IF(D2461="?OLD","!!!","")</f>
        <v/>
      </c>
      <c r="F2461" s="23" t="str">
        <f>IF(OR(E2461="",E2461="!!!"),"",IF(NOT(ISNA(VLOOKUP(E2461,E$1:E2460,1,FALSE()))),"OLD",IF(AND(E2461&lt;&gt;"",E2461&lt;&gt;"!!!"),"NEW","")))</f>
        <v> </v>
      </c>
      <c r="G2461" s="24" t="str">
        <f>IF(OR(E2461="",E2461="!!!"),"",IF(OR(J2461=0,AND(J2461=1,K2461=1),AND(J2461=1,I2461="SBJ"),AND(J2461=1,I2461=0)),"?IN_FOCUS",IF(J2461&lt;=2,"?ACTIVATED",IF(J2461&lt;&gt;"","?FAMILIAR",IF(F2461="NEW",IF(ISNA(VLOOKUP(E2461,#REF!,1,FALSE())),"?TYPE_IDENTIFIABLE","?REFERENTIAL"),"_")))))</f>
        <v> </v>
      </c>
      <c r="H2461" s="25" t="str">
        <f>IF(J2461&lt;&gt;1,"",IF(I2461="SBJ","CB","?"))</f>
        <v> </v>
      </c>
      <c r="I2461" s="26" t="str">
        <f>IF(OR(E2461="",E2461="!!!",F2461="NEW"),"",INDEX(B2460:B$2,-1+SUMPRODUCT(MAX(ROW(E2460:E$2)*(E2461=E2460:E$2)))))</f>
        <v> </v>
      </c>
      <c r="J2461" s="26" t="str">
        <f>IF(OR(E2461="",E2461="!!!",F2461="NEW"),"",COUNTBLANK(OFFSET(A$1,,,SUMPRODUCT(MAX(ROW(E$2:E2461)*(E2461=E$2:E2461)))))-COUNTBLANK(OFFSET(A$1,,,SUMPRODUCT(MAX(ROW(E$1:E2460)*(E2=E$1:E2460))))))</f>
        <v> </v>
      </c>
      <c r="K2461" s="26" t="str">
        <f>IF(OR(E2461="",E2461="!!!",F2461="NEW"),"",INDEX(J$1:J2460,SUMPRODUCT(MAX(ROW(E$1:E2460)*(E2461=E$1:E2460)))))</f>
        <v> </v>
      </c>
      <c r="L2461" s="27"/>
    </row>
    <row r="2462" spans="1:12">
      <c r="A2462" s="20" t="s">
        <v>1020</v>
      </c>
      <c r="E2462" s="22">
        <f>IF(D2462="?OLD","!!!","")</f>
        <v/>
      </c>
      <c r="F2462" s="23" t="str">
        <f>IF(OR(E2462="",E2462="!!!"),"",IF(NOT(ISNA(VLOOKUP(E2462,E$1:E2461,1,FALSE()))),"OLD",IF(AND(E2462&lt;&gt;"",E2462&lt;&gt;"!!!"),"NEW","")))</f>
        <v> </v>
      </c>
      <c r="G2462" s="24" t="str">
        <f>IF(OR(E2462="",E2462="!!!"),"",IF(OR(J2462=0,AND(J2462=1,K2462=1),AND(J2462=1,I2462="SBJ"),AND(J2462=1,I2462=0)),"?IN_FOCUS",IF(J2462&lt;=2,"?ACTIVATED",IF(J2462&lt;&gt;"","?FAMILIAR",IF(F2462="NEW",IF(ISNA(VLOOKUP(E2462,#REF!,1,FALSE())),"?TYPE_IDENTIFIABLE","?REFERENTIAL"),"_")))))</f>
        <v> </v>
      </c>
      <c r="H2462" s="25" t="str">
        <f>IF(J2462&lt;&gt;1,"",IF(I2462="SBJ","CB","?"))</f>
        <v> </v>
      </c>
      <c r="I2462" s="26" t="str">
        <f>IF(OR(E2462="",E2462="!!!",F2462="NEW"),"",INDEX(B2461:B$2,-1+SUMPRODUCT(MAX(ROW(E2461:E$2)*(E2462=E2461:E$2)))))</f>
        <v> </v>
      </c>
      <c r="J2462" s="26" t="str">
        <f>IF(OR(E2462="",E2462="!!!",F2462="NEW"),"",COUNTBLANK(OFFSET(A$1,,,SUMPRODUCT(MAX(ROW(E$2:E2462)*(E2462=E$2:E2462)))))-COUNTBLANK(OFFSET(A$1,,,SUMPRODUCT(MAX(ROW(E$1:E2461)*(E2=E$1:E2461))))))</f>
        <v> </v>
      </c>
      <c r="K2462" s="26" t="str">
        <f>IF(OR(E2462="",E2462="!!!",F2462="NEW"),"",INDEX(J$1:J2461,SUMPRODUCT(MAX(ROW(E$1:E2461)*(E2462=E$1:E2461)))))</f>
        <v> </v>
      </c>
      <c r="L2462" s="27"/>
    </row>
    <row r="2463" spans="1:12">
      <c r="A2463" s="20" t="s">
        <v>1211</v>
      </c>
      <c r="B2463" s="21" t="s">
        <v>1793</v>
      </c>
      <c r="C2463" s="21" t="s">
        <v>1017</v>
      </c>
      <c r="D2463" s="21" t="s">
        <v>1007</v>
      </c>
      <c r="E2463" s="22">
        <f>IF(D2463="?OLD","!!!","")</f>
        <v/>
      </c>
      <c r="F2463" s="23" t="str">
        <f>IF(OR(E2463="",E2463="!!!"),"",IF(NOT(ISNA(VLOOKUP(E2463,E$1:E2462,1,FALSE()))),"OLD",IF(AND(E2463&lt;&gt;"",E2463&lt;&gt;"!!!"),"NEW","")))</f>
        <v> </v>
      </c>
      <c r="G2463" s="24" t="str">
        <f>IF(OR(E2463="",E2463="!!!"),"",IF(OR(J2463=0,AND(J2463=1,K2463=1),AND(J2463=1,I2463="SBJ"),AND(J2463=1,I2463=0)),"?IN_FOCUS",IF(J2463&lt;=2,"?ACTIVATED",IF(J2463&lt;&gt;"","?FAMILIAR",IF(F2463="NEW",IF(ISNA(VLOOKUP(E2463,#REF!,1,FALSE())),"?TYPE_IDENTIFIABLE","?REFERENTIAL"),"_")))))</f>
        <v> </v>
      </c>
      <c r="H2463" s="25" t="str">
        <f>IF(J2463&lt;&gt;1,"",IF(I2463="SBJ","CB","?"))</f>
        <v> </v>
      </c>
      <c r="I2463" s="26" t="str">
        <f>IF(OR(E2463="",E2463="!!!",F2463="NEW"),"",INDEX(B2462:B$2,-1+SUMPRODUCT(MAX(ROW(E2462:E$2)*(E2463=E2462:E$2)))))</f>
        <v> </v>
      </c>
      <c r="J2463" s="26" t="str">
        <f>IF(OR(E2463="",E2463="!!!",F2463="NEW"),"",COUNTBLANK(OFFSET(A$1,,,SUMPRODUCT(MAX(ROW(E$2:E2463)*(E2463=E$2:E2463)))))-COUNTBLANK(OFFSET(A$1,,,SUMPRODUCT(MAX(ROW(E$1:E2462)*(E2=E$1:E2462))))))</f>
        <v> </v>
      </c>
      <c r="K2463" s="26" t="str">
        <f>IF(OR(E2463="",E2463="!!!",F2463="NEW"),"",INDEX(J$1:J2462,SUMPRODUCT(MAX(ROW(E$1:E2462)*(E2463=E$1:E2462)))))</f>
        <v> </v>
      </c>
      <c r="L2463" s="27"/>
    </row>
    <row r="2464" spans="1:12">
      <c r="A2464" s="20" t="s">
        <v>1018</v>
      </c>
      <c r="E2464" s="22">
        <f>IF(D2464="?OLD","!!!","")</f>
        <v/>
      </c>
      <c r="F2464" s="23" t="str">
        <f>IF(OR(E2464="",E2464="!!!"),"",IF(NOT(ISNA(VLOOKUP(E2464,E$1:E2463,1,FALSE()))),"OLD",IF(AND(E2464&lt;&gt;"",E2464&lt;&gt;"!!!"),"NEW","")))</f>
        <v> </v>
      </c>
      <c r="G2464" s="24" t="str">
        <f>IF(OR(E2464="",E2464="!!!"),"",IF(OR(J2464=0,AND(J2464=1,K2464=1),AND(J2464=1,I2464="SBJ"),AND(J2464=1,I2464=0)),"?IN_FOCUS",IF(J2464&lt;=2,"?ACTIVATED",IF(J2464&lt;&gt;"","?FAMILIAR",IF(F2464="NEW",IF(ISNA(VLOOKUP(E2464,#REF!,1,FALSE())),"?TYPE_IDENTIFIABLE","?REFERENTIAL"),"_")))))</f>
        <v> </v>
      </c>
      <c r="H2464" s="25" t="str">
        <f>IF(J2464&lt;&gt;1,"",IF(I2464="SBJ","CB","?"))</f>
        <v> </v>
      </c>
      <c r="I2464" s="26" t="str">
        <f>IF(OR(E2464="",E2464="!!!",F2464="NEW"),"",INDEX(B2463:B$2,-1+SUMPRODUCT(MAX(ROW(E2463:E$2)*(E2464=E2463:E$2)))))</f>
        <v> </v>
      </c>
      <c r="J2464" s="26" t="str">
        <f>IF(OR(E2464="",E2464="!!!",F2464="NEW"),"",COUNTBLANK(OFFSET(A$1,,,SUMPRODUCT(MAX(ROW(E$2:E2464)*(E2464=E$2:E2464)))))-COUNTBLANK(OFFSET(A$1,,,SUMPRODUCT(MAX(ROW(E$1:E2463)*(E2=E$1:E2463))))))</f>
        <v> </v>
      </c>
      <c r="K2464" s="26" t="str">
        <f>IF(OR(E2464="",E2464="!!!",F2464="NEW"),"",INDEX(J$1:J2463,SUMPRODUCT(MAX(ROW(E$1:E2463)*(E2464=E$1:E2463)))))</f>
        <v> </v>
      </c>
      <c r="L2464" s="27"/>
    </row>
    <row r="2465" spans="1:12">
      <c r="A2465" s="20" t="s">
        <v>1137</v>
      </c>
      <c r="E2465" s="22">
        <f>IF(D2465="?OLD","!!!","")</f>
        <v/>
      </c>
      <c r="F2465" s="23" t="str">
        <f>IF(OR(E2465="",E2465="!!!"),"",IF(NOT(ISNA(VLOOKUP(E2465,E$1:E2464,1,FALSE()))),"OLD",IF(AND(E2465&lt;&gt;"",E2465&lt;&gt;"!!!"),"NEW","")))</f>
        <v> </v>
      </c>
      <c r="G2465" s="24" t="str">
        <f>IF(OR(E2465="",E2465="!!!"),"",IF(OR(J2465=0,AND(J2465=1,K2465=1),AND(J2465=1,I2465="SBJ"),AND(J2465=1,I2465=0)),"?IN_FOCUS",IF(J2465&lt;=2,"?ACTIVATED",IF(J2465&lt;&gt;"","?FAMILIAR",IF(F2465="NEW",IF(ISNA(VLOOKUP(E2465,#REF!,1,FALSE())),"?TYPE_IDENTIFIABLE","?REFERENTIAL"),"_")))))</f>
        <v> </v>
      </c>
      <c r="H2465" s="25" t="str">
        <f>IF(J2465&lt;&gt;1,"",IF(I2465="SBJ","CB","?"))</f>
        <v> </v>
      </c>
      <c r="I2465" s="26" t="str">
        <f>IF(OR(E2465="",E2465="!!!",F2465="NEW"),"",INDEX(B2464:B$2,-1+SUMPRODUCT(MAX(ROW(E2464:E$2)*(E2465=E2464:E$2)))))</f>
        <v> </v>
      </c>
      <c r="J2465" s="26" t="str">
        <f>IF(OR(E2465="",E2465="!!!",F2465="NEW"),"",COUNTBLANK(OFFSET(A$1,,,SUMPRODUCT(MAX(ROW(E$2:E2465)*(E2465=E$2:E2465)))))-COUNTBLANK(OFFSET(A$1,,,SUMPRODUCT(MAX(ROW(E$1:E2464)*(E2=E$1:E2464))))))</f>
        <v> </v>
      </c>
      <c r="K2465" s="26" t="str">
        <f>IF(OR(E2465="",E2465="!!!",F2465="NEW"),"",INDEX(J$1:J2464,SUMPRODUCT(MAX(ROW(E$1:E2464)*(E2465=E$1:E2464)))))</f>
        <v> </v>
      </c>
      <c r="L2465" s="27"/>
    </row>
    <row r="2466" spans="1:12">
      <c r="A2466" s="20" t="s">
        <v>1794</v>
      </c>
      <c r="E2466" s="22">
        <f>IF(D2466="?OLD","!!!","")</f>
        <v/>
      </c>
      <c r="F2466" s="23" t="str">
        <f>IF(OR(E2466="",E2466="!!!"),"",IF(NOT(ISNA(VLOOKUP(E2466,E$1:E2465,1,FALSE()))),"OLD",IF(AND(E2466&lt;&gt;"",E2466&lt;&gt;"!!!"),"NEW","")))</f>
        <v> </v>
      </c>
      <c r="G2466" s="24" t="str">
        <f>IF(OR(E2466="",E2466="!!!"),"",IF(OR(J2466=0,AND(J2466=1,K2466=1),AND(J2466=1,I2466="SBJ"),AND(J2466=1,I2466=0)),"?IN_FOCUS",IF(J2466&lt;=2,"?ACTIVATED",IF(J2466&lt;&gt;"","?FAMILIAR",IF(F2466="NEW",IF(ISNA(VLOOKUP(E2466,#REF!,1,FALSE())),"?TYPE_IDENTIFIABLE","?REFERENTIAL"),"_")))))</f>
        <v> </v>
      </c>
      <c r="H2466" s="25" t="str">
        <f>IF(J2466&lt;&gt;1,"",IF(I2466="SBJ","CB","?"))</f>
        <v> </v>
      </c>
      <c r="I2466" s="26" t="str">
        <f>IF(OR(E2466="",E2466="!!!",F2466="NEW"),"",INDEX(B2465:B$2,-1+SUMPRODUCT(MAX(ROW(E2465:E$2)*(E2466=E2465:E$2)))))</f>
        <v> </v>
      </c>
      <c r="J2466" s="26" t="str">
        <f>IF(OR(E2466="",E2466="!!!",F2466="NEW"),"",COUNTBLANK(OFFSET(A$1,,,SUMPRODUCT(MAX(ROW(E$2:E2466)*(E2466=E$2:E2466)))))-COUNTBLANK(OFFSET(A$1,,,SUMPRODUCT(MAX(ROW(E$1:E2465)*(E2=E$1:E2465))))))</f>
        <v> </v>
      </c>
      <c r="K2466" s="26" t="str">
        <f>IF(OR(E2466="",E2466="!!!",F2466="NEW"),"",INDEX(J$1:J2465,SUMPRODUCT(MAX(ROW(E$1:E2465)*(E2466=E$1:E2465)))))</f>
        <v> </v>
      </c>
      <c r="L2466" s="27"/>
    </row>
    <row r="2467" spans="1:12">
      <c r="A2467" s="20" t="s">
        <v>1065</v>
      </c>
      <c r="E2467" s="22">
        <f>IF(D2467="?OLD","!!!","")</f>
        <v/>
      </c>
      <c r="F2467" s="23" t="str">
        <f>IF(OR(E2467="",E2467="!!!"),"",IF(NOT(ISNA(VLOOKUP(E2467,E$1:E2466,1,FALSE()))),"OLD",IF(AND(E2467&lt;&gt;"",E2467&lt;&gt;"!!!"),"NEW","")))</f>
        <v> </v>
      </c>
      <c r="G2467" s="24" t="str">
        <f>IF(OR(E2467="",E2467="!!!"),"",IF(OR(J2467=0,AND(J2467=1,K2467=1),AND(J2467=1,I2467="SBJ"),AND(J2467=1,I2467=0)),"?IN_FOCUS",IF(J2467&lt;=2,"?ACTIVATED",IF(J2467&lt;&gt;"","?FAMILIAR",IF(F2467="NEW",IF(ISNA(VLOOKUP(E2467,#REF!,1,FALSE())),"?TYPE_IDENTIFIABLE","?REFERENTIAL"),"_")))))</f>
        <v> </v>
      </c>
      <c r="H2467" s="25" t="str">
        <f>IF(J2467&lt;&gt;1,"",IF(I2467="SBJ","CB","?"))</f>
        <v> </v>
      </c>
      <c r="I2467" s="26" t="str">
        <f>IF(OR(E2467="",E2467="!!!",F2467="NEW"),"",INDEX(B2466:B$2,-1+SUMPRODUCT(MAX(ROW(E2466:E$2)*(E2467=E2466:E$2)))))</f>
        <v> </v>
      </c>
      <c r="J2467" s="26" t="str">
        <f>IF(OR(E2467="",E2467="!!!",F2467="NEW"),"",COUNTBLANK(OFFSET(A$1,,,SUMPRODUCT(MAX(ROW(E$2:E2467)*(E2467=E$2:E2467)))))-COUNTBLANK(OFFSET(A$1,,,SUMPRODUCT(MAX(ROW(E$1:E2466)*(E2=E$1:E2466))))))</f>
        <v> </v>
      </c>
      <c r="K2467" s="26" t="str">
        <f>IF(OR(E2467="",E2467="!!!",F2467="NEW"),"",INDEX(J$1:J2466,SUMPRODUCT(MAX(ROW(E$1:E2466)*(E2467=E$1:E2466)))))</f>
        <v> </v>
      </c>
      <c r="L2467" s="27"/>
    </row>
    <row r="2468" spans="1:12">
      <c r="A2468" s="20" t="s">
        <v>1569</v>
      </c>
      <c r="E2468" s="22">
        <f>IF(D2468="?OLD","!!!","")</f>
        <v/>
      </c>
      <c r="F2468" s="23" t="str">
        <f>IF(OR(E2468="",E2468="!!!"),"",IF(NOT(ISNA(VLOOKUP(E2468,E$1:E2467,1,FALSE()))),"OLD",IF(AND(E2468&lt;&gt;"",E2468&lt;&gt;"!!!"),"NEW","")))</f>
        <v> </v>
      </c>
      <c r="G2468" s="24" t="str">
        <f>IF(OR(E2468="",E2468="!!!"),"",IF(OR(J2468=0,AND(J2468=1,K2468=1),AND(J2468=1,I2468="SBJ"),AND(J2468=1,I2468=0)),"?IN_FOCUS",IF(J2468&lt;=2,"?ACTIVATED",IF(J2468&lt;&gt;"","?FAMILIAR",IF(F2468="NEW",IF(ISNA(VLOOKUP(E2468,#REF!,1,FALSE())),"?TYPE_IDENTIFIABLE","?REFERENTIAL"),"_")))))</f>
        <v> </v>
      </c>
      <c r="H2468" s="25" t="str">
        <f>IF(J2468&lt;&gt;1,"",IF(I2468="SBJ","CB","?"))</f>
        <v> </v>
      </c>
      <c r="I2468" s="26" t="str">
        <f>IF(OR(E2468="",E2468="!!!",F2468="NEW"),"",INDEX(B2467:B$2,-1+SUMPRODUCT(MAX(ROW(E2467:E$2)*(E2468=E2467:E$2)))))</f>
        <v> </v>
      </c>
      <c r="J2468" s="26" t="str">
        <f>IF(OR(E2468="",E2468="!!!",F2468="NEW"),"",COUNTBLANK(OFFSET(A$1,,,SUMPRODUCT(MAX(ROW(E$2:E2468)*(E2468=E$2:E2468)))))-COUNTBLANK(OFFSET(A$1,,,SUMPRODUCT(MAX(ROW(E$1:E2467)*(E2=E$1:E2467))))))</f>
        <v> </v>
      </c>
      <c r="K2468" s="26" t="str">
        <f>IF(OR(E2468="",E2468="!!!",F2468="NEW"),"",INDEX(J$1:J2467,SUMPRODUCT(MAX(ROW(E$1:E2467)*(E2468=E$1:E2467)))))</f>
        <v> </v>
      </c>
      <c r="L2468" s="27"/>
    </row>
    <row r="2469" spans="1:12">
      <c r="A2469" s="20" t="s">
        <v>1202</v>
      </c>
      <c r="B2469" s="21" t="s">
        <v>1795</v>
      </c>
      <c r="C2469" s="21" t="s">
        <v>1041</v>
      </c>
      <c r="D2469" s="21" t="s">
        <v>1007</v>
      </c>
      <c r="E2469" s="22">
        <f>IF(D2469="?OLD","!!!","")</f>
        <v/>
      </c>
      <c r="F2469" s="23" t="str">
        <f>IF(OR(E2469="",E2469="!!!"),"",IF(NOT(ISNA(VLOOKUP(E2469,E$1:E2468,1,FALSE()))),"OLD",IF(AND(E2469&lt;&gt;"",E2469&lt;&gt;"!!!"),"NEW","")))</f>
        <v> </v>
      </c>
      <c r="G2469" s="24" t="str">
        <f>IF(OR(E2469="",E2469="!!!"),"",IF(OR(J2469=0,AND(J2469=1,K2469=1),AND(J2469=1,I2469="SBJ"),AND(J2469=1,I2469=0)),"?IN_FOCUS",IF(J2469&lt;=2,"?ACTIVATED",IF(J2469&lt;&gt;"","?FAMILIAR",IF(F2469="NEW",IF(ISNA(VLOOKUP(E2469,#REF!,1,FALSE())),"?TYPE_IDENTIFIABLE","?REFERENTIAL"),"_")))))</f>
        <v> </v>
      </c>
      <c r="H2469" s="25" t="str">
        <f>IF(J2469&lt;&gt;1,"",IF(I2469="SBJ","CB","?"))</f>
        <v> </v>
      </c>
      <c r="I2469" s="26" t="str">
        <f>IF(OR(E2469="",E2469="!!!",F2469="NEW"),"",INDEX(B2468:B$2,-1+SUMPRODUCT(MAX(ROW(E2468:E$2)*(E2469=E2468:E$2)))))</f>
        <v> </v>
      </c>
      <c r="J2469" s="26" t="str">
        <f>IF(OR(E2469="",E2469="!!!",F2469="NEW"),"",COUNTBLANK(OFFSET(A$1,,,SUMPRODUCT(MAX(ROW(E$2:E2469)*(E2469=E$2:E2469)))))-COUNTBLANK(OFFSET(A$1,,,SUMPRODUCT(MAX(ROW(E$1:E2468)*(E2=E$1:E2468))))))</f>
        <v> </v>
      </c>
      <c r="K2469" s="26" t="str">
        <f>IF(OR(E2469="",E2469="!!!",F2469="NEW"),"",INDEX(J$1:J2468,SUMPRODUCT(MAX(ROW(E$1:E2468)*(E2469=E$1:E2468)))))</f>
        <v> </v>
      </c>
      <c r="L2469" s="27"/>
    </row>
    <row r="2470" spans="1:12">
      <c r="A2470" s="20" t="s">
        <v>1796</v>
      </c>
      <c r="E2470" s="22">
        <f>IF(D2470="?OLD","!!!","")</f>
        <v/>
      </c>
      <c r="F2470" s="23" t="str">
        <f>IF(OR(E2470="",E2470="!!!"),"",IF(NOT(ISNA(VLOOKUP(E2470,E$1:E2469,1,FALSE()))),"OLD",IF(AND(E2470&lt;&gt;"",E2470&lt;&gt;"!!!"),"NEW","")))</f>
        <v> </v>
      </c>
      <c r="G2470" s="24" t="str">
        <f>IF(OR(E2470="",E2470="!!!"),"",IF(OR(J2470=0,AND(J2470=1,K2470=1),AND(J2470=1,I2470="SBJ"),AND(J2470=1,I2470=0)),"?IN_FOCUS",IF(J2470&lt;=2,"?ACTIVATED",IF(J2470&lt;&gt;"","?FAMILIAR",IF(F2470="NEW",IF(ISNA(VLOOKUP(E2470,#REF!,1,FALSE())),"?TYPE_IDENTIFIABLE","?REFERENTIAL"),"_")))))</f>
        <v> </v>
      </c>
      <c r="H2470" s="25" t="str">
        <f>IF(J2470&lt;&gt;1,"",IF(I2470="SBJ","CB","?"))</f>
        <v> </v>
      </c>
      <c r="I2470" s="26" t="str">
        <f>IF(OR(E2470="",E2470="!!!",F2470="NEW"),"",INDEX(B2469:B$2,-1+SUMPRODUCT(MAX(ROW(E2469:E$2)*(E2470=E2469:E$2)))))</f>
        <v> </v>
      </c>
      <c r="J2470" s="26" t="str">
        <f>IF(OR(E2470="",E2470="!!!",F2470="NEW"),"",COUNTBLANK(OFFSET(A$1,,,SUMPRODUCT(MAX(ROW(E$2:E2470)*(E2470=E$2:E2470)))))-COUNTBLANK(OFFSET(A$1,,,SUMPRODUCT(MAX(ROW(E$1:E2469)*(E2=E$1:E2469))))))</f>
        <v> </v>
      </c>
      <c r="K2470" s="26" t="str">
        <f>IF(OR(E2470="",E2470="!!!",F2470="NEW"),"",INDEX(J$1:J2469,SUMPRODUCT(MAX(ROW(E$1:E2469)*(E2470=E$1:E2469)))))</f>
        <v> </v>
      </c>
      <c r="L2470" s="27"/>
    </row>
    <row r="2471" spans="1:12">
      <c r="A2471" s="20" t="s">
        <v>893</v>
      </c>
      <c r="E2471" s="22">
        <f>IF(D2471="?OLD","!!!","")</f>
        <v/>
      </c>
      <c r="F2471" s="23" t="str">
        <f>IF(OR(E2471="",E2471="!!!"),"",IF(NOT(ISNA(VLOOKUP(E2471,E$1:E2470,1,FALSE()))),"OLD",IF(AND(E2471&lt;&gt;"",E2471&lt;&gt;"!!!"),"NEW","")))</f>
        <v> </v>
      </c>
      <c r="G2471" s="24" t="str">
        <f>IF(OR(E2471="",E2471="!!!"),"",IF(OR(J2471=0,AND(J2471=1,K2471=1),AND(J2471=1,I2471="SBJ"),AND(J2471=1,I2471=0)),"?IN_FOCUS",IF(J2471&lt;=2,"?ACTIVATED",IF(J2471&lt;&gt;"","?FAMILIAR",IF(F2471="NEW",IF(ISNA(VLOOKUP(E2471,#REF!,1,FALSE())),"?TYPE_IDENTIFIABLE","?REFERENTIAL"),"_")))))</f>
        <v> </v>
      </c>
      <c r="H2471" s="25" t="str">
        <f>IF(J2471&lt;&gt;1,"",IF(I2471="SBJ","CB","?"))</f>
        <v> </v>
      </c>
      <c r="I2471" s="26" t="str">
        <f>IF(OR(E2471="",E2471="!!!",F2471="NEW"),"",INDEX(B2470:B$2,-1+SUMPRODUCT(MAX(ROW(E2470:E$2)*(E2471=E2470:E$2)))))</f>
        <v> </v>
      </c>
      <c r="J2471" s="26" t="str">
        <f>IF(OR(E2471="",E2471="!!!",F2471="NEW"),"",COUNTBLANK(OFFSET(A$1,,,SUMPRODUCT(MAX(ROW(E$2:E2471)*(E2471=E$2:E2471)))))-COUNTBLANK(OFFSET(A$1,,,SUMPRODUCT(MAX(ROW(E$1:E2470)*(E2=E$1:E2470))))))</f>
        <v> </v>
      </c>
      <c r="K2471" s="26" t="str">
        <f>IF(OR(E2471="",E2471="!!!",F2471="NEW"),"",INDEX(J$1:J2470,SUMPRODUCT(MAX(ROW(E$1:E2470)*(E2471=E$1:E2470)))))</f>
        <v> </v>
      </c>
      <c r="L2471" s="27"/>
    </row>
    <row r="2472" spans="1:12">
      <c r="A2472" s="20" t="s">
        <v>1023</v>
      </c>
      <c r="E2472" s="22">
        <f>IF(D2472="?OLD","!!!","")</f>
        <v/>
      </c>
      <c r="F2472" s="23" t="str">
        <f>IF(OR(E2472="",E2472="!!!"),"",IF(NOT(ISNA(VLOOKUP(E2472,E$1:E2471,1,FALSE()))),"OLD",IF(AND(E2472&lt;&gt;"",E2472&lt;&gt;"!!!"),"NEW","")))</f>
        <v> </v>
      </c>
      <c r="G2472" s="24" t="str">
        <f>IF(OR(E2472="",E2472="!!!"),"",IF(OR(J2472=0,AND(J2472=1,K2472=1),AND(J2472=1,I2472="SBJ"),AND(J2472=1,I2472=0)),"?IN_FOCUS",IF(J2472&lt;=2,"?ACTIVATED",IF(J2472&lt;&gt;"","?FAMILIAR",IF(F2472="NEW",IF(ISNA(VLOOKUP(E2472,#REF!,1,FALSE())),"?TYPE_IDENTIFIABLE","?REFERENTIAL"),"_")))))</f>
        <v> </v>
      </c>
      <c r="H2472" s="25" t="str">
        <f>IF(J2472&lt;&gt;1,"",IF(I2472="SBJ","CB","?"))</f>
        <v> </v>
      </c>
      <c r="I2472" s="26" t="str">
        <f>IF(OR(E2472="",E2472="!!!",F2472="NEW"),"",INDEX(B2471:B$2,-1+SUMPRODUCT(MAX(ROW(E2471:E$2)*(E2472=E2471:E$2)))))</f>
        <v> </v>
      </c>
      <c r="J2472" s="26" t="str">
        <f>IF(OR(E2472="",E2472="!!!",F2472="NEW"),"",COUNTBLANK(OFFSET(A$1,,,SUMPRODUCT(MAX(ROW(E$2:E2472)*(E2472=E$2:E2472)))))-COUNTBLANK(OFFSET(A$1,,,SUMPRODUCT(MAX(ROW(E$1:E2471)*(E2=E$1:E2471))))))</f>
        <v> </v>
      </c>
      <c r="K2472" s="26" t="str">
        <f>IF(OR(E2472="",E2472="!!!",F2472="NEW"),"",INDEX(J$1:J2471,SUMPRODUCT(MAX(ROW(E$1:E2471)*(E2472=E$1:E2471)))))</f>
        <v> </v>
      </c>
      <c r="L2472" s="27"/>
    </row>
    <row r="2473" spans="1:12">
      <c r="A2473" s="20"/>
    </row>
    <row r="2474" spans="1:12">
      <c r="A2474" s="20" t="s">
        <v>1797</v>
      </c>
    </row>
    <row r="2475" spans="1:12">
      <c r="A2475" s="20" t="s">
        <v>1136</v>
      </c>
      <c r="E2475" s="22">
        <f>IF(D2475="?OLD","!!!","")</f>
        <v/>
      </c>
      <c r="F2475" s="23" t="str">
        <f>IF(OR(E2475="",E2475="!!!"),"",IF(NOT(ISNA(VLOOKUP(E2475,E$1:E2474,1,FALSE()))),"OLD",IF(AND(E2475&lt;&gt;"",E2475&lt;&gt;"!!!"),"NEW","")))</f>
        <v> </v>
      </c>
      <c r="G2475" s="24" t="str">
        <f>IF(OR(E2475="",E2475="!!!"),"",IF(OR(J2475=0,AND(J2475=1,K2475=1),AND(J2475=1,I2475="SBJ"),AND(J2475=1,I2475=0)),"?IN_FOCUS",IF(J2475&lt;=2,"?ACTIVATED",IF(J2475&lt;&gt;"","?FAMILIAR",IF(F2475="NEW",IF(ISNA(VLOOKUP(E2475,#REF!,1,FALSE())),"?TYPE_IDENTIFIABLE","?REFERENTIAL"),"_")))))</f>
        <v> </v>
      </c>
      <c r="H2475" s="25" t="str">
        <f>IF(J2475&lt;&gt;1,"",IF(I2475="SBJ","CB","?"))</f>
        <v> </v>
      </c>
      <c r="I2475" s="26" t="str">
        <f>IF(OR(E2475="",E2475="!!!",F2475="NEW"),"",INDEX(B2474:B$2,-1+SUMPRODUCT(MAX(ROW(E2474:E$2)*(E2475=E2474:E$2)))))</f>
        <v> </v>
      </c>
      <c r="J2475" s="26" t="str">
        <f>IF(OR(E2475="",E2475="!!!",F2475="NEW"),"",COUNTBLANK(OFFSET(A$1,,,SUMPRODUCT(MAX(ROW(E$2:E2475)*(E2475=E$2:E2475)))))-COUNTBLANK(OFFSET(A$1,,,SUMPRODUCT(MAX(ROW(E$1:E2474)*(E2=E$1:E2474))))))</f>
        <v> </v>
      </c>
      <c r="K2475" s="26" t="str">
        <f>IF(OR(E2475="",E2475="!!!",F2475="NEW"),"",INDEX(J$1:J2474,SUMPRODUCT(MAX(ROW(E$1:E2474)*(E2475=E$1:E2474)))))</f>
        <v> </v>
      </c>
      <c r="L2475" s="27"/>
    </row>
    <row r="2476" spans="1:12">
      <c r="A2476" s="20" t="s">
        <v>102</v>
      </c>
      <c r="B2476" s="21" t="s">
        <v>1005</v>
      </c>
      <c r="C2476" s="21" t="s">
        <v>1073</v>
      </c>
      <c r="D2476" s="21" t="s">
        <v>1007</v>
      </c>
      <c r="E2476" s="22">
        <f>IF(D2476="?OLD","!!!","")</f>
        <v/>
      </c>
      <c r="F2476" s="23" t="str">
        <f>IF(OR(E2476="",E2476="!!!"),"",IF(NOT(ISNA(VLOOKUP(E2476,E$1:E2475,1,FALSE()))),"OLD",IF(AND(E2476&lt;&gt;"",E2476&lt;&gt;"!!!"),"NEW","")))</f>
        <v> </v>
      </c>
      <c r="G2476" s="24" t="str">
        <f>IF(OR(E2476="",E2476="!!!"),"",IF(OR(J2476=0,AND(J2476=1,K2476=1),AND(J2476=1,I2476="SBJ"),AND(J2476=1,I2476=0)),"?IN_FOCUS",IF(J2476&lt;=2,"?ACTIVATED",IF(J2476&lt;&gt;"","?FAMILIAR",IF(F2476="NEW",IF(ISNA(VLOOKUP(E2476,#REF!,1,FALSE())),"?TYPE_IDENTIFIABLE","?REFERENTIAL"),"_")))))</f>
        <v> </v>
      </c>
      <c r="H2476" s="25" t="str">
        <f>IF(J2476&lt;&gt;1,"",IF(I2476="SBJ","CB","?"))</f>
        <v> </v>
      </c>
      <c r="I2476" s="26" t="str">
        <f>IF(OR(E2476="",E2476="!!!",F2476="NEW"),"",INDEX(B2475:B$2,-1+SUMPRODUCT(MAX(ROW(E2475:E$2)*(E2476=E2475:E$2)))))</f>
        <v> </v>
      </c>
      <c r="J2476" s="26" t="str">
        <f>IF(OR(E2476="",E2476="!!!",F2476="NEW"),"",COUNTBLANK(OFFSET(A$1,,,SUMPRODUCT(MAX(ROW(E$2:E2476)*(E2476=E$2:E2476)))))-COUNTBLANK(OFFSET(A$1,,,SUMPRODUCT(MAX(ROW(E$1:E2475)*(E2=E$1:E2475))))))</f>
        <v> </v>
      </c>
      <c r="K2476" s="26" t="str">
        <f>IF(OR(E2476="",E2476="!!!",F2476="NEW"),"",INDEX(J$1:J2475,SUMPRODUCT(MAX(ROW(E$1:E2475)*(E2476=E$1:E2475)))))</f>
        <v> </v>
      </c>
      <c r="L2476" s="27"/>
    </row>
    <row r="2477" spans="1:12">
      <c r="A2477" s="20" t="s">
        <v>1065</v>
      </c>
      <c r="B2477" s="21" t="s">
        <v>1119</v>
      </c>
      <c r="E2477" s="22">
        <f>IF(D2477="?OLD","!!!","")</f>
        <v/>
      </c>
      <c r="F2477" s="23" t="str">
        <f>IF(OR(E2477="",E2477="!!!"),"",IF(NOT(ISNA(VLOOKUP(E2477,E$1:E2476,1,FALSE()))),"OLD",IF(AND(E2477&lt;&gt;"",E2477&lt;&gt;"!!!"),"NEW","")))</f>
        <v> </v>
      </c>
      <c r="G2477" s="24" t="str">
        <f>IF(OR(E2477="",E2477="!!!"),"",IF(OR(J2477=0,AND(J2477=1,K2477=1),AND(J2477=1,I2477="SBJ"),AND(J2477=1,I2477=0)),"?IN_FOCUS",IF(J2477&lt;=2,"?ACTIVATED",IF(J2477&lt;&gt;"","?FAMILIAR",IF(F2477="NEW",IF(ISNA(VLOOKUP(E2477,#REF!,1,FALSE())),"?TYPE_IDENTIFIABLE","?REFERENTIAL"),"_")))))</f>
        <v> </v>
      </c>
      <c r="H2477" s="25" t="str">
        <f>IF(J2477&lt;&gt;1,"",IF(I2477="SBJ","CB","?"))</f>
        <v> </v>
      </c>
      <c r="I2477" s="26" t="str">
        <f>IF(OR(E2477="",E2477="!!!",F2477="NEW"),"",INDEX(B2476:B$2,-1+SUMPRODUCT(MAX(ROW(E2476:E$2)*(E2477=E2476:E$2)))))</f>
        <v> </v>
      </c>
      <c r="J2477" s="26" t="str">
        <f>IF(OR(E2477="",E2477="!!!",F2477="NEW"),"",COUNTBLANK(OFFSET(A$1,,,SUMPRODUCT(MAX(ROW(E$2:E2477)*(E2477=E$2:E2477)))))-COUNTBLANK(OFFSET(A$1,,,SUMPRODUCT(MAX(ROW(E$1:E2476)*(E2=E$1:E2476))))))</f>
        <v> </v>
      </c>
      <c r="K2477" s="26" t="str">
        <f>IF(OR(E2477="",E2477="!!!",F2477="NEW"),"",INDEX(J$1:J2476,SUMPRODUCT(MAX(ROW(E$1:E2476)*(E2477=E$1:E2476)))))</f>
        <v> </v>
      </c>
      <c r="L2477" s="27"/>
    </row>
    <row r="2478" spans="1:12">
      <c r="A2478" s="20" t="s">
        <v>1075</v>
      </c>
      <c r="E2478" s="22">
        <f>IF(D2478="?OLD","!!!","")</f>
        <v/>
      </c>
      <c r="F2478" s="23" t="str">
        <f>IF(OR(E2478="",E2478="!!!"),"",IF(NOT(ISNA(VLOOKUP(E2478,E$1:E2477,1,FALSE()))),"OLD",IF(AND(E2478&lt;&gt;"",E2478&lt;&gt;"!!!"),"NEW","")))</f>
        <v> </v>
      </c>
      <c r="G2478" s="24" t="str">
        <f>IF(OR(E2478="",E2478="!!!"),"",IF(OR(J2478=0,AND(J2478=1,K2478=1),AND(J2478=1,I2478="SBJ"),AND(J2478=1,I2478=0)),"?IN_FOCUS",IF(J2478&lt;=2,"?ACTIVATED",IF(J2478&lt;&gt;"","?FAMILIAR",IF(F2478="NEW",IF(ISNA(VLOOKUP(E2478,#REF!,1,FALSE())),"?TYPE_IDENTIFIABLE","?REFERENTIAL"),"_")))))</f>
        <v> </v>
      </c>
      <c r="H2478" s="25" t="str">
        <f>IF(J2478&lt;&gt;1,"",IF(I2478="SBJ","CB","?"))</f>
        <v> </v>
      </c>
      <c r="I2478" s="26" t="str">
        <f>IF(OR(E2478="",E2478="!!!",F2478="NEW"),"",INDEX(B2477:B$2,-1+SUMPRODUCT(MAX(ROW(E2477:E$2)*(E2478=E2477:E$2)))))</f>
        <v> </v>
      </c>
      <c r="J2478" s="26" t="str">
        <f>IF(OR(E2478="",E2478="!!!",F2478="NEW"),"",COUNTBLANK(OFFSET(A$1,,,SUMPRODUCT(MAX(ROW(E$2:E2478)*(E2478=E$2:E2478)))))-COUNTBLANK(OFFSET(A$1,,,SUMPRODUCT(MAX(ROW(E$1:E2477)*(E2=E$1:E2477))))))</f>
        <v> </v>
      </c>
      <c r="K2478" s="26" t="str">
        <f>IF(OR(E2478="",E2478="!!!",F2478="NEW"),"",INDEX(J$1:J2477,SUMPRODUCT(MAX(ROW(E$1:E2477)*(E2478=E$1:E2477)))))</f>
        <v> </v>
      </c>
      <c r="L2478" s="27"/>
    </row>
    <row r="2479" spans="1:12">
      <c r="A2479" s="20" t="s">
        <v>1798</v>
      </c>
      <c r="E2479" s="22">
        <f>IF(D2479="?OLD","!!!","")</f>
        <v/>
      </c>
      <c r="F2479" s="23" t="str">
        <f>IF(OR(E2479="",E2479="!!!"),"",IF(NOT(ISNA(VLOOKUP(E2479,E$1:E2478,1,FALSE()))),"OLD",IF(AND(E2479&lt;&gt;"",E2479&lt;&gt;"!!!"),"NEW","")))</f>
        <v> </v>
      </c>
      <c r="G2479" s="24" t="str">
        <f>IF(OR(E2479="",E2479="!!!"),"",IF(OR(J2479=0,AND(J2479=1,K2479=1),AND(J2479=1,I2479="SBJ"),AND(J2479=1,I2479=0)),"?IN_FOCUS",IF(J2479&lt;=2,"?ACTIVATED",IF(J2479&lt;&gt;"","?FAMILIAR",IF(F2479="NEW",IF(ISNA(VLOOKUP(E2479,#REF!,1,FALSE())),"?TYPE_IDENTIFIABLE","?REFERENTIAL"),"_")))))</f>
        <v> </v>
      </c>
      <c r="H2479" s="25" t="str">
        <f>IF(J2479&lt;&gt;1,"",IF(I2479="SBJ","CB","?"))</f>
        <v> </v>
      </c>
      <c r="I2479" s="26" t="str">
        <f>IF(OR(E2479="",E2479="!!!",F2479="NEW"),"",INDEX(B2478:B$2,-1+SUMPRODUCT(MAX(ROW(E2478:E$2)*(E2479=E2478:E$2)))))</f>
        <v> </v>
      </c>
      <c r="J2479" s="26" t="str">
        <f>IF(OR(E2479="",E2479="!!!",F2479="NEW"),"",COUNTBLANK(OFFSET(A$1,,,SUMPRODUCT(MAX(ROW(E$2:E2479)*(E2479=E$2:E2479)))))-COUNTBLANK(OFFSET(A$1,,,SUMPRODUCT(MAX(ROW(E$1:E2478)*(E2=E$1:E2478))))))</f>
        <v> </v>
      </c>
      <c r="K2479" s="26" t="str">
        <f>IF(OR(E2479="",E2479="!!!",F2479="NEW"),"",INDEX(J$1:J2478,SUMPRODUCT(MAX(ROW(E$1:E2478)*(E2479=E$1:E2478)))))</f>
        <v> </v>
      </c>
      <c r="L2479" s="27"/>
    </row>
    <row r="2480" spans="1:12">
      <c r="A2480" s="20" t="s">
        <v>1799</v>
      </c>
      <c r="E2480" s="22">
        <f>IF(D2480="?OLD","!!!","")</f>
        <v/>
      </c>
      <c r="F2480" s="23" t="str">
        <f>IF(OR(E2480="",E2480="!!!"),"",IF(NOT(ISNA(VLOOKUP(E2480,E$1:E2479,1,FALSE()))),"OLD",IF(AND(E2480&lt;&gt;"",E2480&lt;&gt;"!!!"),"NEW","")))</f>
        <v> </v>
      </c>
      <c r="G2480" s="24" t="str">
        <f>IF(OR(E2480="",E2480="!!!"),"",IF(OR(J2480=0,AND(J2480=1,K2480=1),AND(J2480=1,I2480="SBJ"),AND(J2480=1,I2480=0)),"?IN_FOCUS",IF(J2480&lt;=2,"?ACTIVATED",IF(J2480&lt;&gt;"","?FAMILIAR",IF(F2480="NEW",IF(ISNA(VLOOKUP(E2480,#REF!,1,FALSE())),"?TYPE_IDENTIFIABLE","?REFERENTIAL"),"_")))))</f>
        <v> </v>
      </c>
      <c r="H2480" s="25" t="str">
        <f>IF(J2480&lt;&gt;1,"",IF(I2480="SBJ","CB","?"))</f>
        <v> </v>
      </c>
      <c r="I2480" s="26" t="str">
        <f>IF(OR(E2480="",E2480="!!!",F2480="NEW"),"",INDEX(B2479:B$2,-1+SUMPRODUCT(MAX(ROW(E2479:E$2)*(E2480=E2479:E$2)))))</f>
        <v> </v>
      </c>
      <c r="J2480" s="26" t="str">
        <f>IF(OR(E2480="",E2480="!!!",F2480="NEW"),"",COUNTBLANK(OFFSET(A$1,,,SUMPRODUCT(MAX(ROW(E$2:E2480)*(E2480=E$2:E2480)))))-COUNTBLANK(OFFSET(A$1,,,SUMPRODUCT(MAX(ROW(E$1:E2479)*(E2=E$1:E2479))))))</f>
        <v> </v>
      </c>
      <c r="K2480" s="26" t="str">
        <f>IF(OR(E2480="",E2480="!!!",F2480="NEW"),"",INDEX(J$1:J2479,SUMPRODUCT(MAX(ROW(E$1:E2479)*(E2480=E$1:E2479)))))</f>
        <v> </v>
      </c>
      <c r="L2480" s="27"/>
    </row>
    <row r="2481" spans="1:12">
      <c r="A2481" s="20" t="s">
        <v>1030</v>
      </c>
      <c r="E2481" s="22">
        <f>IF(D2481="?OLD","!!!","")</f>
        <v/>
      </c>
      <c r="F2481" s="23" t="str">
        <f>IF(OR(E2481="",E2481="!!!"),"",IF(NOT(ISNA(VLOOKUP(E2481,E$1:E2480,1,FALSE()))),"OLD",IF(AND(E2481&lt;&gt;"",E2481&lt;&gt;"!!!"),"NEW","")))</f>
        <v> </v>
      </c>
      <c r="G2481" s="24" t="str">
        <f>IF(OR(E2481="",E2481="!!!"),"",IF(OR(J2481=0,AND(J2481=1,K2481=1),AND(J2481=1,I2481="SBJ"),AND(J2481=1,I2481=0)),"?IN_FOCUS",IF(J2481&lt;=2,"?ACTIVATED",IF(J2481&lt;&gt;"","?FAMILIAR",IF(F2481="NEW",IF(ISNA(VLOOKUP(E2481,#REF!,1,FALSE())),"?TYPE_IDENTIFIABLE","?REFERENTIAL"),"_")))))</f>
        <v> </v>
      </c>
      <c r="H2481" s="25" t="str">
        <f>IF(J2481&lt;&gt;1,"",IF(I2481="SBJ","CB","?"))</f>
        <v> </v>
      </c>
      <c r="I2481" s="26" t="str">
        <f>IF(OR(E2481="",E2481="!!!",F2481="NEW"),"",INDEX(B2480:B$2,-1+SUMPRODUCT(MAX(ROW(E2480:E$2)*(E2481=E2480:E$2)))))</f>
        <v> </v>
      </c>
      <c r="J2481" s="26" t="str">
        <f>IF(OR(E2481="",E2481="!!!",F2481="NEW"),"",COUNTBLANK(OFFSET(A$1,,,SUMPRODUCT(MAX(ROW(E$2:E2481)*(E2481=E$2:E2481)))))-COUNTBLANK(OFFSET(A$1,,,SUMPRODUCT(MAX(ROW(E$1:E2480)*(E2=E$1:E2480))))))</f>
        <v> </v>
      </c>
      <c r="K2481" s="26" t="str">
        <f>IF(OR(E2481="",E2481="!!!",F2481="NEW"),"",INDEX(J$1:J2480,SUMPRODUCT(MAX(ROW(E$1:E2480)*(E2481=E$1:E2480)))))</f>
        <v> </v>
      </c>
      <c r="L2481" s="27"/>
    </row>
    <row r="2482" spans="1:12">
      <c r="A2482" s="20" t="s">
        <v>1284</v>
      </c>
      <c r="B2482" s="21" t="s">
        <v>1022</v>
      </c>
      <c r="C2482" s="21" t="s">
        <v>1073</v>
      </c>
      <c r="D2482" s="21" t="s">
        <v>1007</v>
      </c>
      <c r="E2482" s="22">
        <f>IF(D2482="?OLD","!!!","")</f>
        <v/>
      </c>
      <c r="F2482" s="23" t="str">
        <f>IF(OR(E2482="",E2482="!!!"),"",IF(NOT(ISNA(VLOOKUP(E2482,E$1:E2481,1,FALSE()))),"OLD",IF(AND(E2482&lt;&gt;"",E2482&lt;&gt;"!!!"),"NEW","")))</f>
        <v> </v>
      </c>
      <c r="G2482" s="24" t="str">
        <f>IF(OR(E2482="",E2482="!!!"),"",IF(OR(J2482=0,AND(J2482=1,K2482=1),AND(J2482=1,I2482="SBJ"),AND(J2482=1,I2482=0)),"?IN_FOCUS",IF(J2482&lt;=2,"?ACTIVATED",IF(J2482&lt;&gt;"","?FAMILIAR",IF(F2482="NEW",IF(ISNA(VLOOKUP(E2482,#REF!,1,FALSE())),"?TYPE_IDENTIFIABLE","?REFERENTIAL"),"_")))))</f>
        <v> </v>
      </c>
      <c r="H2482" s="25" t="str">
        <f>IF(J2482&lt;&gt;1,"",IF(I2482="SBJ","CB","?"))</f>
        <v> </v>
      </c>
      <c r="I2482" s="26" t="str">
        <f>IF(OR(E2482="",E2482="!!!",F2482="NEW"),"",INDEX(B2481:B$2,-1+SUMPRODUCT(MAX(ROW(E2481:E$2)*(E2482=E2481:E$2)))))</f>
        <v> </v>
      </c>
      <c r="J2482" s="26" t="str">
        <f>IF(OR(E2482="",E2482="!!!",F2482="NEW"),"",COUNTBLANK(OFFSET(A$1,,,SUMPRODUCT(MAX(ROW(E$2:E2482)*(E2482=E$2:E2482)))))-COUNTBLANK(OFFSET(A$1,,,SUMPRODUCT(MAX(ROW(E$1:E2481)*(E2=E$1:E2481))))))</f>
        <v> </v>
      </c>
      <c r="K2482" s="26" t="str">
        <f>IF(OR(E2482="",E2482="!!!",F2482="NEW"),"",INDEX(J$1:J2481,SUMPRODUCT(MAX(ROW(E$1:E2481)*(E2482=E$1:E2481)))))</f>
        <v> </v>
      </c>
      <c r="L2482" s="27"/>
    </row>
    <row r="2483" spans="1:12">
      <c r="A2483" s="20" t="s">
        <v>1800</v>
      </c>
      <c r="B2483" s="21" t="s">
        <v>1033</v>
      </c>
      <c r="C2483" s="21" t="s">
        <v>1086</v>
      </c>
      <c r="E2483" s="22">
        <f>IF(D2483="?OLD","!!!","")</f>
        <v/>
      </c>
      <c r="F2483" s="23" t="str">
        <f>IF(OR(E2483="",E2483="!!!"),"",IF(NOT(ISNA(VLOOKUP(E2483,E$1:E2482,1,FALSE()))),"OLD",IF(AND(E2483&lt;&gt;"",E2483&lt;&gt;"!!!"),"NEW","")))</f>
        <v> </v>
      </c>
      <c r="G2483" s="24" t="str">
        <f>IF(OR(E2483="",E2483="!!!"),"",IF(OR(J2483=0,AND(J2483=1,K2483=1),AND(J2483=1,I2483="SBJ"),AND(J2483=1,I2483=0)),"?IN_FOCUS",IF(J2483&lt;=2,"?ACTIVATED",IF(J2483&lt;&gt;"","?FAMILIAR",IF(F2483="NEW",IF(ISNA(VLOOKUP(E2483,#REF!,1,FALSE())),"?TYPE_IDENTIFIABLE","?REFERENTIAL"),"_")))))</f>
        <v> </v>
      </c>
      <c r="H2483" s="25" t="str">
        <f>IF(J2483&lt;&gt;1,"",IF(I2483="SBJ","CB","?"))</f>
        <v> </v>
      </c>
      <c r="I2483" s="26" t="str">
        <f>IF(OR(E2483="",E2483="!!!",F2483="NEW"),"",INDEX(B2482:B$2,-1+SUMPRODUCT(MAX(ROW(E2482:E$2)*(E2483=E2482:E$2)))))</f>
        <v> </v>
      </c>
      <c r="J2483" s="26" t="str">
        <f>IF(OR(E2483="",E2483="!!!",F2483="NEW"),"",COUNTBLANK(OFFSET(A$1,,,SUMPRODUCT(MAX(ROW(E$2:E2483)*(E2483=E$2:E2483)))))-COUNTBLANK(OFFSET(A$1,,,SUMPRODUCT(MAX(ROW(E$1:E2482)*(E2=E$1:E2482))))))</f>
        <v> </v>
      </c>
      <c r="K2483" s="26" t="str">
        <f>IF(OR(E2483="",E2483="!!!",F2483="NEW"),"",INDEX(J$1:J2482,SUMPRODUCT(MAX(ROW(E$1:E2482)*(E2483=E$1:E2482)))))</f>
        <v> </v>
      </c>
      <c r="L2483" s="27"/>
    </row>
    <row r="2484" spans="1:12">
      <c r="A2484" s="20" t="s">
        <v>1018</v>
      </c>
      <c r="E2484" s="22">
        <f>IF(D2484="?OLD","!!!","")</f>
        <v/>
      </c>
      <c r="F2484" s="23" t="str">
        <f>IF(OR(E2484="",E2484="!!!"),"",IF(NOT(ISNA(VLOOKUP(E2484,E$1:E2483,1,FALSE()))),"OLD",IF(AND(E2484&lt;&gt;"",E2484&lt;&gt;"!!!"),"NEW","")))</f>
        <v> </v>
      </c>
      <c r="G2484" s="24" t="str">
        <f>IF(OR(E2484="",E2484="!!!"),"",IF(OR(J2484=0,AND(J2484=1,K2484=1),AND(J2484=1,I2484="SBJ"),AND(J2484=1,I2484=0)),"?IN_FOCUS",IF(J2484&lt;=2,"?ACTIVATED",IF(J2484&lt;&gt;"","?FAMILIAR",IF(F2484="NEW",IF(ISNA(VLOOKUP(E2484,#REF!,1,FALSE())),"?TYPE_IDENTIFIABLE","?REFERENTIAL"),"_")))))</f>
        <v> </v>
      </c>
      <c r="H2484" s="25" t="str">
        <f>IF(J2484&lt;&gt;1,"",IF(I2484="SBJ","CB","?"))</f>
        <v> </v>
      </c>
      <c r="I2484" s="26" t="str">
        <f>IF(OR(E2484="",E2484="!!!",F2484="NEW"),"",INDEX(B2483:B$2,-1+SUMPRODUCT(MAX(ROW(E2483:E$2)*(E2484=E2483:E$2)))))</f>
        <v> </v>
      </c>
      <c r="J2484" s="26" t="str">
        <f>IF(OR(E2484="",E2484="!!!",F2484="NEW"),"",COUNTBLANK(OFFSET(A$1,,,SUMPRODUCT(MAX(ROW(E$2:E2484)*(E2484=E$2:E2484)))))-COUNTBLANK(OFFSET(A$1,,,SUMPRODUCT(MAX(ROW(E$1:E2483)*(E2=E$1:E2483))))))</f>
        <v> </v>
      </c>
      <c r="K2484" s="26" t="str">
        <f>IF(OR(E2484="",E2484="!!!",F2484="NEW"),"",INDEX(J$1:J2483,SUMPRODUCT(MAX(ROW(E$1:E2483)*(E2484=E$1:E2483)))))</f>
        <v> </v>
      </c>
      <c r="L2484" s="27"/>
    </row>
    <row r="2485" spans="1:12">
      <c r="A2485" s="20" t="s">
        <v>1127</v>
      </c>
      <c r="E2485" s="22">
        <f>IF(D2485="?OLD","!!!","")</f>
        <v/>
      </c>
      <c r="F2485" s="23" t="str">
        <f>IF(OR(E2485="",E2485="!!!"),"",IF(NOT(ISNA(VLOOKUP(E2485,E$1:E2484,1,FALSE()))),"OLD",IF(AND(E2485&lt;&gt;"",E2485&lt;&gt;"!!!"),"NEW","")))</f>
        <v> </v>
      </c>
      <c r="G2485" s="24" t="str">
        <f>IF(OR(E2485="",E2485="!!!"),"",IF(OR(J2485=0,AND(J2485=1,K2485=1),AND(J2485=1,I2485="SBJ"),AND(J2485=1,I2485=0)),"?IN_FOCUS",IF(J2485&lt;=2,"?ACTIVATED",IF(J2485&lt;&gt;"","?FAMILIAR",IF(F2485="NEW",IF(ISNA(VLOOKUP(E2485,#REF!,1,FALSE())),"?TYPE_IDENTIFIABLE","?REFERENTIAL"),"_")))))</f>
        <v> </v>
      </c>
      <c r="H2485" s="25" t="str">
        <f>IF(J2485&lt;&gt;1,"",IF(I2485="SBJ","CB","?"))</f>
        <v> </v>
      </c>
      <c r="I2485" s="26" t="str">
        <f>IF(OR(E2485="",E2485="!!!",F2485="NEW"),"",INDEX(B2484:B$2,-1+SUMPRODUCT(MAX(ROW(E2484:E$2)*(E2485=E2484:E$2)))))</f>
        <v> </v>
      </c>
      <c r="J2485" s="26" t="str">
        <f>IF(OR(E2485="",E2485="!!!",F2485="NEW"),"",COUNTBLANK(OFFSET(A$1,,,SUMPRODUCT(MAX(ROW(E$2:E2485)*(E2485=E$2:E2485)))))-COUNTBLANK(OFFSET(A$1,,,SUMPRODUCT(MAX(ROW(E$1:E2484)*(E2=E$1:E2484))))))</f>
        <v> </v>
      </c>
      <c r="K2485" s="26" t="str">
        <f>IF(OR(E2485="",E2485="!!!",F2485="NEW"),"",INDEX(J$1:J2484,SUMPRODUCT(MAX(ROW(E$1:E2484)*(E2485=E$1:E2484)))))</f>
        <v> </v>
      </c>
      <c r="L2485" s="27"/>
    </row>
    <row r="2486" spans="1:12">
      <c r="A2486" s="20" t="s">
        <v>102</v>
      </c>
      <c r="E2486" s="22">
        <f>IF(D2486="?OLD","!!!","")</f>
        <v/>
      </c>
      <c r="F2486" s="23" t="str">
        <f>IF(OR(E2486="",E2486="!!!"),"",IF(NOT(ISNA(VLOOKUP(E2486,E$1:E2485,1,FALSE()))),"OLD",IF(AND(E2486&lt;&gt;"",E2486&lt;&gt;"!!!"),"NEW","")))</f>
        <v> </v>
      </c>
      <c r="G2486" s="24" t="str">
        <f>IF(OR(E2486="",E2486="!!!"),"",IF(OR(J2486=0,AND(J2486=1,K2486=1),AND(J2486=1,I2486="SBJ"),AND(J2486=1,I2486=0)),"?IN_FOCUS",IF(J2486&lt;=2,"?ACTIVATED",IF(J2486&lt;&gt;"","?FAMILIAR",IF(F2486="NEW",IF(ISNA(VLOOKUP(E2486,#REF!,1,FALSE())),"?TYPE_IDENTIFIABLE","?REFERENTIAL"),"_")))))</f>
        <v> </v>
      </c>
      <c r="H2486" s="25" t="str">
        <f>IF(J2486&lt;&gt;1,"",IF(I2486="SBJ","CB","?"))</f>
        <v> </v>
      </c>
      <c r="I2486" s="26" t="str">
        <f>IF(OR(E2486="",E2486="!!!",F2486="NEW"),"",INDEX(B2485:B$2,-1+SUMPRODUCT(MAX(ROW(E2485:E$2)*(E2486=E2485:E$2)))))</f>
        <v> </v>
      </c>
      <c r="J2486" s="26" t="str">
        <f>IF(OR(E2486="",E2486="!!!",F2486="NEW"),"",COUNTBLANK(OFFSET(A$1,,,SUMPRODUCT(MAX(ROW(E$2:E2486)*(E2486=E$2:E2486)))))-COUNTBLANK(OFFSET(A$1,,,SUMPRODUCT(MAX(ROW(E$1:E2485)*(E2=E$1:E2485))))))</f>
        <v> </v>
      </c>
      <c r="K2486" s="26" t="str">
        <f>IF(OR(E2486="",E2486="!!!",F2486="NEW"),"",INDEX(J$1:J2485,SUMPRODUCT(MAX(ROW(E$1:E2485)*(E2486=E$1:E2485)))))</f>
        <v> </v>
      </c>
      <c r="L2486" s="27"/>
    </row>
    <row r="2487" spans="1:12">
      <c r="A2487" s="20" t="s">
        <v>1801</v>
      </c>
      <c r="B2487" s="21" t="s">
        <v>1035</v>
      </c>
      <c r="C2487" s="21" t="s">
        <v>1017</v>
      </c>
      <c r="D2487" s="21" t="s">
        <v>1007</v>
      </c>
      <c r="E2487" s="22">
        <f>IF(D2487="?OLD","!!!","")</f>
        <v/>
      </c>
      <c r="F2487" s="23" t="str">
        <f>IF(OR(E2487="",E2487="!!!"),"",IF(NOT(ISNA(VLOOKUP(E2487,E$1:E2486,1,FALSE()))),"OLD",IF(AND(E2487&lt;&gt;"",E2487&lt;&gt;"!!!"),"NEW","")))</f>
        <v> </v>
      </c>
      <c r="G2487" s="24" t="str">
        <f>IF(OR(E2487="",E2487="!!!"),"",IF(OR(J2487=0,AND(J2487=1,K2487=1),AND(J2487=1,I2487="SBJ"),AND(J2487=1,I2487=0)),"?IN_FOCUS",IF(J2487&lt;=2,"?ACTIVATED",IF(J2487&lt;&gt;"","?FAMILIAR",IF(F2487="NEW",IF(ISNA(VLOOKUP(E2487,#REF!,1,FALSE())),"?TYPE_IDENTIFIABLE","?REFERENTIAL"),"_")))))</f>
        <v> </v>
      </c>
      <c r="H2487" s="25" t="str">
        <f>IF(J2487&lt;&gt;1,"",IF(I2487="SBJ","CB","?"))</f>
        <v> </v>
      </c>
      <c r="I2487" s="26" t="str">
        <f>IF(OR(E2487="",E2487="!!!",F2487="NEW"),"",INDEX(B2486:B$2,-1+SUMPRODUCT(MAX(ROW(E2486:E$2)*(E2487=E2486:E$2)))))</f>
        <v> </v>
      </c>
      <c r="J2487" s="26" t="str">
        <f>IF(OR(E2487="",E2487="!!!",F2487="NEW"),"",COUNTBLANK(OFFSET(A$1,,,SUMPRODUCT(MAX(ROW(E$2:E2487)*(E2487=E$2:E2487)))))-COUNTBLANK(OFFSET(A$1,,,SUMPRODUCT(MAX(ROW(E$1:E2486)*(E2=E$1:E2486))))))</f>
        <v> </v>
      </c>
      <c r="K2487" s="26" t="str">
        <f>IF(OR(E2487="",E2487="!!!",F2487="NEW"),"",INDEX(J$1:J2486,SUMPRODUCT(MAX(ROW(E$1:E2486)*(E2487=E$1:E2486)))))</f>
        <v> </v>
      </c>
      <c r="L2487" s="27"/>
    </row>
    <row r="2488" spans="1:12">
      <c r="A2488" s="20" t="s">
        <v>1014</v>
      </c>
      <c r="E2488" s="22">
        <f>IF(D2488="?OLD","!!!","")</f>
        <v/>
      </c>
      <c r="F2488" s="23" t="str">
        <f>IF(OR(E2488="",E2488="!!!"),"",IF(NOT(ISNA(VLOOKUP(E2488,E$1:E2487,1,FALSE()))),"OLD",IF(AND(E2488&lt;&gt;"",E2488&lt;&gt;"!!!"),"NEW","")))</f>
        <v> </v>
      </c>
      <c r="G2488" s="24" t="str">
        <f>IF(OR(E2488="",E2488="!!!"),"",IF(OR(J2488=0,AND(J2488=1,K2488=1),AND(J2488=1,I2488="SBJ"),AND(J2488=1,I2488=0)),"?IN_FOCUS",IF(J2488&lt;=2,"?ACTIVATED",IF(J2488&lt;&gt;"","?FAMILIAR",IF(F2488="NEW",IF(ISNA(VLOOKUP(E2488,#REF!,1,FALSE())),"?TYPE_IDENTIFIABLE","?REFERENTIAL"),"_")))))</f>
        <v> </v>
      </c>
      <c r="H2488" s="25" t="str">
        <f>IF(J2488&lt;&gt;1,"",IF(I2488="SBJ","CB","?"))</f>
        <v> </v>
      </c>
      <c r="I2488" s="26" t="str">
        <f>IF(OR(E2488="",E2488="!!!",F2488="NEW"),"",INDEX(B2487:B$2,-1+SUMPRODUCT(MAX(ROW(E2487:E$2)*(E2488=E2487:E$2)))))</f>
        <v> </v>
      </c>
      <c r="J2488" s="26" t="str">
        <f>IF(OR(E2488="",E2488="!!!",F2488="NEW"),"",COUNTBLANK(OFFSET(A$1,,,SUMPRODUCT(MAX(ROW(E$2:E2488)*(E2488=E$2:E2488)))))-COUNTBLANK(OFFSET(A$1,,,SUMPRODUCT(MAX(ROW(E$1:E2487)*(E2=E$1:E2487))))))</f>
        <v> </v>
      </c>
      <c r="K2488" s="26" t="str">
        <f>IF(OR(E2488="",E2488="!!!",F2488="NEW"),"",INDEX(J$1:J2487,SUMPRODUCT(MAX(ROW(E$1:E2487)*(E2488=E$1:E2487)))))</f>
        <v> </v>
      </c>
      <c r="L2488" s="27"/>
    </row>
    <row r="2489" spans="1:12">
      <c r="A2489" s="20" t="s">
        <v>1020</v>
      </c>
      <c r="E2489" s="22">
        <f>IF(D2489="?OLD","!!!","")</f>
        <v/>
      </c>
      <c r="F2489" s="23" t="str">
        <f>IF(OR(E2489="",E2489="!!!"),"",IF(NOT(ISNA(VLOOKUP(E2489,E$1:E2488,1,FALSE()))),"OLD",IF(AND(E2489&lt;&gt;"",E2489&lt;&gt;"!!!"),"NEW","")))</f>
        <v> </v>
      </c>
      <c r="G2489" s="24" t="str">
        <f>IF(OR(E2489="",E2489="!!!"),"",IF(OR(J2489=0,AND(J2489=1,K2489=1),AND(J2489=1,I2489="SBJ"),AND(J2489=1,I2489=0)),"?IN_FOCUS",IF(J2489&lt;=2,"?ACTIVATED",IF(J2489&lt;&gt;"","?FAMILIAR",IF(F2489="NEW",IF(ISNA(VLOOKUP(E2489,#REF!,1,FALSE())),"?TYPE_IDENTIFIABLE","?REFERENTIAL"),"_")))))</f>
        <v> </v>
      </c>
      <c r="H2489" s="25" t="str">
        <f>IF(J2489&lt;&gt;1,"",IF(I2489="SBJ","CB","?"))</f>
        <v> </v>
      </c>
      <c r="I2489" s="26" t="str">
        <f>IF(OR(E2489="",E2489="!!!",F2489="NEW"),"",INDEX(B2488:B$2,-1+SUMPRODUCT(MAX(ROW(E2488:E$2)*(E2489=E2488:E$2)))))</f>
        <v> </v>
      </c>
      <c r="J2489" s="26" t="str">
        <f>IF(OR(E2489="",E2489="!!!",F2489="NEW"),"",COUNTBLANK(OFFSET(A$1,,,SUMPRODUCT(MAX(ROW(E$2:E2489)*(E2489=E$2:E2489)))))-COUNTBLANK(OFFSET(A$1,,,SUMPRODUCT(MAX(ROW(E$1:E2488)*(E2=E$1:E2488))))))</f>
        <v> </v>
      </c>
      <c r="K2489" s="26" t="str">
        <f>IF(OR(E2489="",E2489="!!!",F2489="NEW"),"",INDEX(J$1:J2488,SUMPRODUCT(MAX(ROW(E$1:E2488)*(E2489=E$1:E2488)))))</f>
        <v> </v>
      </c>
      <c r="L2489" s="27"/>
    </row>
    <row r="2490" spans="1:12">
      <c r="A2490" s="20" t="s">
        <v>1211</v>
      </c>
      <c r="B2490" s="21" t="s">
        <v>1067</v>
      </c>
      <c r="C2490" s="21" t="s">
        <v>1006</v>
      </c>
      <c r="D2490" s="21" t="s">
        <v>1007</v>
      </c>
      <c r="E2490" s="22">
        <f>IF(D2490="?OLD","!!!","")</f>
        <v/>
      </c>
      <c r="F2490" s="23" t="str">
        <f>IF(OR(E2490="",E2490="!!!"),"",IF(NOT(ISNA(VLOOKUP(E2490,E$1:E2489,1,FALSE()))),"OLD",IF(AND(E2490&lt;&gt;"",E2490&lt;&gt;"!!!"),"NEW","")))</f>
        <v> </v>
      </c>
      <c r="G2490" s="24" t="str">
        <f>IF(OR(E2490="",E2490="!!!"),"",IF(OR(J2490=0,AND(J2490=1,K2490=1),AND(J2490=1,I2490="SBJ"),AND(J2490=1,I2490=0)),"?IN_FOCUS",IF(J2490&lt;=2,"?ACTIVATED",IF(J2490&lt;&gt;"","?FAMILIAR",IF(F2490="NEW",IF(ISNA(VLOOKUP(E2490,#REF!,1,FALSE())),"?TYPE_IDENTIFIABLE","?REFERENTIAL"),"_")))))</f>
        <v> </v>
      </c>
      <c r="H2490" s="25" t="str">
        <f>IF(J2490&lt;&gt;1,"",IF(I2490="SBJ","CB","?"))</f>
        <v> </v>
      </c>
      <c r="I2490" s="26" t="str">
        <f>IF(OR(E2490="",E2490="!!!",F2490="NEW"),"",INDEX(B2489:B$2,-1+SUMPRODUCT(MAX(ROW(E2489:E$2)*(E2490=E2489:E$2)))))</f>
        <v> </v>
      </c>
      <c r="J2490" s="26" t="str">
        <f>IF(OR(E2490="",E2490="!!!",F2490="NEW"),"",COUNTBLANK(OFFSET(A$1,,,SUMPRODUCT(MAX(ROW(E$2:E2490)*(E2490=E$2:E2490)))))-COUNTBLANK(OFFSET(A$1,,,SUMPRODUCT(MAX(ROW(E$1:E2489)*(E2=E$1:E2489))))))</f>
        <v> </v>
      </c>
      <c r="K2490" s="26" t="str">
        <f>IF(OR(E2490="",E2490="!!!",F2490="NEW"),"",INDEX(J$1:J2489,SUMPRODUCT(MAX(ROW(E$1:E2489)*(E2490=E$1:E2489)))))</f>
        <v> </v>
      </c>
      <c r="L2490" s="27"/>
    </row>
    <row r="2491" spans="1:12">
      <c r="A2491" s="20" t="s">
        <v>98</v>
      </c>
      <c r="E2491" s="22">
        <f>IF(D2491="?OLD","!!!","")</f>
        <v/>
      </c>
      <c r="F2491" s="23" t="str">
        <f>IF(OR(E2491="",E2491="!!!"),"",IF(NOT(ISNA(VLOOKUP(E2491,E$1:E2490,1,FALSE()))),"OLD",IF(AND(E2491&lt;&gt;"",E2491&lt;&gt;"!!!"),"NEW","")))</f>
        <v> </v>
      </c>
      <c r="G2491" s="24" t="str">
        <f>IF(OR(E2491="",E2491="!!!"),"",IF(OR(J2491=0,AND(J2491=1,K2491=1),AND(J2491=1,I2491="SBJ"),AND(J2491=1,I2491=0)),"?IN_FOCUS",IF(J2491&lt;=2,"?ACTIVATED",IF(J2491&lt;&gt;"","?FAMILIAR",IF(F2491="NEW",IF(ISNA(VLOOKUP(E2491,#REF!,1,FALSE())),"?TYPE_IDENTIFIABLE","?REFERENTIAL"),"_")))))</f>
        <v> </v>
      </c>
      <c r="H2491" s="25" t="str">
        <f>IF(J2491&lt;&gt;1,"",IF(I2491="SBJ","CB","?"))</f>
        <v> </v>
      </c>
      <c r="I2491" s="26" t="str">
        <f>IF(OR(E2491="",E2491="!!!",F2491="NEW"),"",INDEX(B2490:B$2,-1+SUMPRODUCT(MAX(ROW(E2490:E$2)*(E2491=E2490:E$2)))))</f>
        <v> </v>
      </c>
      <c r="J2491" s="26" t="str">
        <f>IF(OR(E2491="",E2491="!!!",F2491="NEW"),"",COUNTBLANK(OFFSET(A$1,,,SUMPRODUCT(MAX(ROW(E$2:E2491)*(E2491=E$2:E2491)))))-COUNTBLANK(OFFSET(A$1,,,SUMPRODUCT(MAX(ROW(E$1:E2490)*(E2=E$1:E2490))))))</f>
        <v> </v>
      </c>
      <c r="K2491" s="26" t="str">
        <f>IF(OR(E2491="",E2491="!!!",F2491="NEW"),"",INDEX(J$1:J2490,SUMPRODUCT(MAX(ROW(E$1:E2490)*(E2491=E$1:E2490)))))</f>
        <v> </v>
      </c>
      <c r="L2491" s="27"/>
    </row>
    <row r="2492" spans="1:12">
      <c r="A2492" s="20" t="s">
        <v>1802</v>
      </c>
      <c r="E2492" s="22">
        <f>IF(D2492="?OLD","!!!","")</f>
        <v/>
      </c>
      <c r="F2492" s="23" t="str">
        <f>IF(OR(E2492="",E2492="!!!"),"",IF(NOT(ISNA(VLOOKUP(E2492,E$1:E2491,1,FALSE()))),"OLD",IF(AND(E2492&lt;&gt;"",E2492&lt;&gt;"!!!"),"NEW","")))</f>
        <v> </v>
      </c>
      <c r="G2492" s="24" t="str">
        <f>IF(OR(E2492="",E2492="!!!"),"",IF(OR(J2492=0,AND(J2492=1,K2492=1),AND(J2492=1,I2492="SBJ"),AND(J2492=1,I2492=0)),"?IN_FOCUS",IF(J2492&lt;=2,"?ACTIVATED",IF(J2492&lt;&gt;"","?FAMILIAR",IF(F2492="NEW",IF(ISNA(VLOOKUP(E2492,#REF!,1,FALSE())),"?TYPE_IDENTIFIABLE","?REFERENTIAL"),"_")))))</f>
        <v> </v>
      </c>
      <c r="H2492" s="25" t="str">
        <f>IF(J2492&lt;&gt;1,"",IF(I2492="SBJ","CB","?"))</f>
        <v> </v>
      </c>
      <c r="I2492" s="26" t="str">
        <f>IF(OR(E2492="",E2492="!!!",F2492="NEW"),"",INDEX(B2491:B$2,-1+SUMPRODUCT(MAX(ROW(E2491:E$2)*(E2492=E2491:E$2)))))</f>
        <v> </v>
      </c>
      <c r="J2492" s="26" t="str">
        <f>IF(OR(E2492="",E2492="!!!",F2492="NEW"),"",COUNTBLANK(OFFSET(A$1,,,SUMPRODUCT(MAX(ROW(E$2:E2492)*(E2492=E$2:E2492)))))-COUNTBLANK(OFFSET(A$1,,,SUMPRODUCT(MAX(ROW(E$1:E2491)*(E2=E$1:E2491))))))</f>
        <v> </v>
      </c>
      <c r="K2492" s="26" t="str">
        <f>IF(OR(E2492="",E2492="!!!",F2492="NEW"),"",INDEX(J$1:J2491,SUMPRODUCT(MAX(ROW(E$1:E2491)*(E2492=E$1:E2491)))))</f>
        <v> </v>
      </c>
      <c r="L2492" s="27"/>
    </row>
    <row r="2493" spans="1:12">
      <c r="A2493" s="20" t="s">
        <v>1027</v>
      </c>
      <c r="E2493" s="22">
        <f>IF(D2493="?OLD","!!!","")</f>
        <v/>
      </c>
      <c r="F2493" s="23" t="str">
        <f>IF(OR(E2493="",E2493="!!!"),"",IF(NOT(ISNA(VLOOKUP(E2493,E$1:E2492,1,FALSE()))),"OLD",IF(AND(E2493&lt;&gt;"",E2493&lt;&gt;"!!!"),"NEW","")))</f>
        <v> </v>
      </c>
      <c r="G2493" s="24" t="str">
        <f>IF(OR(E2493="",E2493="!!!"),"",IF(OR(J2493=0,AND(J2493=1,K2493=1),AND(J2493=1,I2493="SBJ"),AND(J2493=1,I2493=0)),"?IN_FOCUS",IF(J2493&lt;=2,"?ACTIVATED",IF(J2493&lt;&gt;"","?FAMILIAR",IF(F2493="NEW",IF(ISNA(VLOOKUP(E2493,#REF!,1,FALSE())),"?TYPE_IDENTIFIABLE","?REFERENTIAL"),"_")))))</f>
        <v> </v>
      </c>
      <c r="H2493" s="25" t="str">
        <f>IF(J2493&lt;&gt;1,"",IF(I2493="SBJ","CB","?"))</f>
        <v> </v>
      </c>
      <c r="I2493" s="26" t="str">
        <f>IF(OR(E2493="",E2493="!!!",F2493="NEW"),"",INDEX(B2492:B$2,-1+SUMPRODUCT(MAX(ROW(E2492:E$2)*(E2493=E2492:E$2)))))</f>
        <v> </v>
      </c>
      <c r="J2493" s="26" t="str">
        <f>IF(OR(E2493="",E2493="!!!",F2493="NEW"),"",COUNTBLANK(OFFSET(A$1,,,SUMPRODUCT(MAX(ROW(E$2:E2493)*(E2493=E$2:E2493)))))-COUNTBLANK(OFFSET(A$1,,,SUMPRODUCT(MAX(ROW(E$1:E2492)*(E2=E$1:E2492))))))</f>
        <v> </v>
      </c>
      <c r="K2493" s="26" t="str">
        <f>IF(OR(E2493="",E2493="!!!",F2493="NEW"),"",INDEX(J$1:J2492,SUMPRODUCT(MAX(ROW(E$1:E2492)*(E2493=E$1:E2492)))))</f>
        <v> </v>
      </c>
      <c r="L2493" s="27"/>
    </row>
    <row r="2494" spans="1:12">
      <c r="A2494" s="20" t="s">
        <v>1803</v>
      </c>
      <c r="B2494" s="21" t="s">
        <v>1042</v>
      </c>
      <c r="C2494" s="21" t="s">
        <v>1059</v>
      </c>
      <c r="D2494" s="21" t="s">
        <v>1007</v>
      </c>
      <c r="E2494" s="22">
        <f>IF(D2494="?OLD","!!!","")</f>
        <v/>
      </c>
      <c r="F2494" s="23" t="str">
        <f>IF(OR(E2494="",E2494="!!!"),"",IF(NOT(ISNA(VLOOKUP(E2494,E$1:E2493,1,FALSE()))),"OLD",IF(AND(E2494&lt;&gt;"",E2494&lt;&gt;"!!!"),"NEW","")))</f>
        <v> </v>
      </c>
      <c r="G2494" s="24" t="str">
        <f>IF(OR(E2494="",E2494="!!!"),"",IF(OR(J2494=0,AND(J2494=1,K2494=1),AND(J2494=1,I2494="SBJ"),AND(J2494=1,I2494=0)),"?IN_FOCUS",IF(J2494&lt;=2,"?ACTIVATED",IF(J2494&lt;&gt;"","?FAMILIAR",IF(F2494="NEW",IF(ISNA(VLOOKUP(E2494,#REF!,1,FALSE())),"?TYPE_IDENTIFIABLE","?REFERENTIAL"),"_")))))</f>
        <v> </v>
      </c>
      <c r="H2494" s="25" t="str">
        <f>IF(J2494&lt;&gt;1,"",IF(I2494="SBJ","CB","?"))</f>
        <v> </v>
      </c>
      <c r="I2494" s="26" t="str">
        <f>IF(OR(E2494="",E2494="!!!",F2494="NEW"),"",INDEX(B2493:B$2,-1+SUMPRODUCT(MAX(ROW(E2493:E$2)*(E2494=E2493:E$2)))))</f>
        <v> </v>
      </c>
      <c r="J2494" s="26" t="str">
        <f>IF(OR(E2494="",E2494="!!!",F2494="NEW"),"",COUNTBLANK(OFFSET(A$1,,,SUMPRODUCT(MAX(ROW(E$2:E2494)*(E2494=E$2:E2494)))))-COUNTBLANK(OFFSET(A$1,,,SUMPRODUCT(MAX(ROW(E$1:E2493)*(E2=E$1:E2493))))))</f>
        <v> </v>
      </c>
      <c r="K2494" s="26" t="str">
        <f>IF(OR(E2494="",E2494="!!!",F2494="NEW"),"",INDEX(J$1:J2493,SUMPRODUCT(MAX(ROW(E$1:E2493)*(E2494=E$1:E2493)))))</f>
        <v> </v>
      </c>
      <c r="L2494" s="27"/>
    </row>
    <row r="2495" spans="1:12">
      <c r="A2495" s="20" t="s">
        <v>1804</v>
      </c>
      <c r="E2495" s="22">
        <f>IF(D2495="?OLD","!!!","")</f>
        <v/>
      </c>
      <c r="F2495" s="23" t="str">
        <f>IF(OR(E2495="",E2495="!!!"),"",IF(NOT(ISNA(VLOOKUP(E2495,E$1:E2494,1,FALSE()))),"OLD",IF(AND(E2495&lt;&gt;"",E2495&lt;&gt;"!!!"),"NEW","")))</f>
        <v> </v>
      </c>
      <c r="G2495" s="24" t="str">
        <f>IF(OR(E2495="",E2495="!!!"),"",IF(OR(J2495=0,AND(J2495=1,K2495=1),AND(J2495=1,I2495="SBJ"),AND(J2495=1,I2495=0)),"?IN_FOCUS",IF(J2495&lt;=2,"?ACTIVATED",IF(J2495&lt;&gt;"","?FAMILIAR",IF(F2495="NEW",IF(ISNA(VLOOKUP(E2495,#REF!,1,FALSE())),"?TYPE_IDENTIFIABLE","?REFERENTIAL"),"_")))))</f>
        <v> </v>
      </c>
      <c r="H2495" s="25" t="str">
        <f>IF(J2495&lt;&gt;1,"",IF(I2495="SBJ","CB","?"))</f>
        <v> </v>
      </c>
      <c r="I2495" s="26" t="str">
        <f>IF(OR(E2495="",E2495="!!!",F2495="NEW"),"",INDEX(B2494:B$2,-1+SUMPRODUCT(MAX(ROW(E2494:E$2)*(E2495=E2494:E$2)))))</f>
        <v> </v>
      </c>
      <c r="J2495" s="26" t="str">
        <f>IF(OR(E2495="",E2495="!!!",F2495="NEW"),"",COUNTBLANK(OFFSET(A$1,,,SUMPRODUCT(MAX(ROW(E$2:E2495)*(E2495=E$2:E2495)))))-COUNTBLANK(OFFSET(A$1,,,SUMPRODUCT(MAX(ROW(E$1:E2494)*(E2=E$1:E2494))))))</f>
        <v> </v>
      </c>
      <c r="K2495" s="26" t="str">
        <f>IF(OR(E2495="",E2495="!!!",F2495="NEW"),"",INDEX(J$1:J2494,SUMPRODUCT(MAX(ROW(E$1:E2494)*(E2495=E$1:E2494)))))</f>
        <v> </v>
      </c>
      <c r="L2495" s="27"/>
    </row>
    <row r="2496" spans="1:12">
      <c r="A2496" s="20" t="s">
        <v>1774</v>
      </c>
      <c r="B2496" s="21" t="s">
        <v>1066</v>
      </c>
      <c r="C2496" s="21" t="s">
        <v>1017</v>
      </c>
      <c r="D2496" s="21" t="s">
        <v>1007</v>
      </c>
      <c r="E2496" s="22">
        <f>IF(D2496="?OLD","!!!","")</f>
        <v/>
      </c>
      <c r="F2496" s="23" t="str">
        <f>IF(OR(E2496="",E2496="!!!"),"",IF(NOT(ISNA(VLOOKUP(E2496,E$1:E2495,1,FALSE()))),"OLD",IF(AND(E2496&lt;&gt;"",E2496&lt;&gt;"!!!"),"NEW","")))</f>
        <v> </v>
      </c>
      <c r="G2496" s="24" t="str">
        <f>IF(OR(E2496="",E2496="!!!"),"",IF(OR(J2496=0,AND(J2496=1,K2496=1),AND(J2496=1,I2496="SBJ"),AND(J2496=1,I2496=0)),"?IN_FOCUS",IF(J2496&lt;=2,"?ACTIVATED",IF(J2496&lt;&gt;"","?FAMILIAR",IF(F2496="NEW",IF(ISNA(VLOOKUP(E2496,#REF!,1,FALSE())),"?TYPE_IDENTIFIABLE","?REFERENTIAL"),"_")))))</f>
        <v> </v>
      </c>
      <c r="H2496" s="25" t="str">
        <f>IF(J2496&lt;&gt;1,"",IF(I2496="SBJ","CB","?"))</f>
        <v> </v>
      </c>
      <c r="I2496" s="26" t="str">
        <f>IF(OR(E2496="",E2496="!!!",F2496="NEW"),"",INDEX(B2495:B$2,-1+SUMPRODUCT(MAX(ROW(E2495:E$2)*(E2496=E2495:E$2)))))</f>
        <v> </v>
      </c>
      <c r="J2496" s="26" t="str">
        <f>IF(OR(E2496="",E2496="!!!",F2496="NEW"),"",COUNTBLANK(OFFSET(A$1,,,SUMPRODUCT(MAX(ROW(E$2:E2496)*(E2496=E$2:E2496)))))-COUNTBLANK(OFFSET(A$1,,,SUMPRODUCT(MAX(ROW(E$1:E2495)*(E2=E$1:E2495))))))</f>
        <v> </v>
      </c>
      <c r="K2496" s="26" t="str">
        <f>IF(OR(E2496="",E2496="!!!",F2496="NEW"),"",INDEX(J$1:J2495,SUMPRODUCT(MAX(ROW(E$1:E2495)*(E2496=E$1:E2495)))))</f>
        <v> </v>
      </c>
      <c r="L2496" s="27"/>
    </row>
    <row r="2497" spans="1:12">
      <c r="A2497" s="20" t="s">
        <v>1018</v>
      </c>
      <c r="E2497" s="22">
        <f>IF(D2497="?OLD","!!!","")</f>
        <v/>
      </c>
      <c r="F2497" s="23" t="str">
        <f>IF(OR(E2497="",E2497="!!!"),"",IF(NOT(ISNA(VLOOKUP(E2497,E$1:E2496,1,FALSE()))),"OLD",IF(AND(E2497&lt;&gt;"",E2497&lt;&gt;"!!!"),"NEW","")))</f>
        <v> </v>
      </c>
      <c r="G2497" s="24" t="str">
        <f>IF(OR(E2497="",E2497="!!!"),"",IF(OR(J2497=0,AND(J2497=1,K2497=1),AND(J2497=1,I2497="SBJ"),AND(J2497=1,I2497=0)),"?IN_FOCUS",IF(J2497&lt;=2,"?ACTIVATED",IF(J2497&lt;&gt;"","?FAMILIAR",IF(F2497="NEW",IF(ISNA(VLOOKUP(E2497,#REF!,1,FALSE())),"?TYPE_IDENTIFIABLE","?REFERENTIAL"),"_")))))</f>
        <v> </v>
      </c>
      <c r="H2497" s="25" t="str">
        <f>IF(J2497&lt;&gt;1,"",IF(I2497="SBJ","CB","?"))</f>
        <v> </v>
      </c>
      <c r="I2497" s="26" t="str">
        <f>IF(OR(E2497="",E2497="!!!",F2497="NEW"),"",INDEX(B2496:B$2,-1+SUMPRODUCT(MAX(ROW(E2496:E$2)*(E2497=E2496:E$2)))))</f>
        <v> </v>
      </c>
      <c r="J2497" s="26" t="str">
        <f>IF(OR(E2497="",E2497="!!!",F2497="NEW"),"",COUNTBLANK(OFFSET(A$1,,,SUMPRODUCT(MAX(ROW(E$2:E2497)*(E2497=E$2:E2497)))))-COUNTBLANK(OFFSET(A$1,,,SUMPRODUCT(MAX(ROW(E$1:E2496)*(E2=E$1:E2496))))))</f>
        <v> </v>
      </c>
      <c r="K2497" s="26" t="str">
        <f>IF(OR(E2497="",E2497="!!!",F2497="NEW"),"",INDEX(J$1:J2496,SUMPRODUCT(MAX(ROW(E$1:E2496)*(E2497=E$1:E2496)))))</f>
        <v> </v>
      </c>
      <c r="L2497" s="27"/>
    </row>
    <row r="2498" spans="1:12">
      <c r="A2498" s="20" t="s">
        <v>1027</v>
      </c>
      <c r="E2498" s="22">
        <f>IF(D2498="?OLD","!!!","")</f>
        <v/>
      </c>
      <c r="F2498" s="23" t="str">
        <f>IF(OR(E2498="",E2498="!!!"),"",IF(NOT(ISNA(VLOOKUP(E2498,E$1:E2497,1,FALSE()))),"OLD",IF(AND(E2498&lt;&gt;"",E2498&lt;&gt;"!!!"),"NEW","")))</f>
        <v> </v>
      </c>
      <c r="G2498" s="24" t="str">
        <f>IF(OR(E2498="",E2498="!!!"),"",IF(OR(J2498=0,AND(J2498=1,K2498=1),AND(J2498=1,I2498="SBJ"),AND(J2498=1,I2498=0)),"?IN_FOCUS",IF(J2498&lt;=2,"?ACTIVATED",IF(J2498&lt;&gt;"","?FAMILIAR",IF(F2498="NEW",IF(ISNA(VLOOKUP(E2498,#REF!,1,FALSE())),"?TYPE_IDENTIFIABLE","?REFERENTIAL"),"_")))))</f>
        <v> </v>
      </c>
      <c r="H2498" s="25" t="str">
        <f>IF(J2498&lt;&gt;1,"",IF(I2498="SBJ","CB","?"))</f>
        <v> </v>
      </c>
      <c r="I2498" s="26" t="str">
        <f>IF(OR(E2498="",E2498="!!!",F2498="NEW"),"",INDEX(B2497:B$2,-1+SUMPRODUCT(MAX(ROW(E2497:E$2)*(E2498=E2497:E$2)))))</f>
        <v> </v>
      </c>
      <c r="J2498" s="26" t="str">
        <f>IF(OR(E2498="",E2498="!!!",F2498="NEW"),"",COUNTBLANK(OFFSET(A$1,,,SUMPRODUCT(MAX(ROW(E$2:E2498)*(E2498=E$2:E2498)))))-COUNTBLANK(OFFSET(A$1,,,SUMPRODUCT(MAX(ROW(E$1:E2497)*(E2=E$1:E2497))))))</f>
        <v> </v>
      </c>
      <c r="K2498" s="26" t="str">
        <f>IF(OR(E2498="",E2498="!!!",F2498="NEW"),"",INDEX(J$1:J2497,SUMPRODUCT(MAX(ROW(E$1:E2497)*(E2498=E$1:E2497)))))</f>
        <v> </v>
      </c>
      <c r="L2498" s="27"/>
    </row>
    <row r="2499" spans="1:12">
      <c r="A2499" s="20" t="s">
        <v>1803</v>
      </c>
      <c r="B2499" s="21" t="s">
        <v>1130</v>
      </c>
      <c r="C2499" s="21" t="s">
        <v>1059</v>
      </c>
      <c r="D2499" s="21" t="s">
        <v>1007</v>
      </c>
      <c r="E2499" s="22">
        <f>IF(D2499="?OLD","!!!","")</f>
        <v/>
      </c>
      <c r="F2499" s="23" t="str">
        <f>IF(OR(E2499="",E2499="!!!"),"",IF(NOT(ISNA(VLOOKUP(E2499,E$1:E2498,1,FALSE()))),"OLD",IF(AND(E2499&lt;&gt;"",E2499&lt;&gt;"!!!"),"NEW","")))</f>
        <v> </v>
      </c>
      <c r="G2499" s="24" t="str">
        <f>IF(OR(E2499="",E2499="!!!"),"",IF(OR(J2499=0,AND(J2499=1,K2499=1),AND(J2499=1,I2499="SBJ"),AND(J2499=1,I2499=0)),"?IN_FOCUS",IF(J2499&lt;=2,"?ACTIVATED",IF(J2499&lt;&gt;"","?FAMILIAR",IF(F2499="NEW",IF(ISNA(VLOOKUP(E2499,#REF!,1,FALSE())),"?TYPE_IDENTIFIABLE","?REFERENTIAL"),"_")))))</f>
        <v> </v>
      </c>
      <c r="H2499" s="25" t="str">
        <f>IF(J2499&lt;&gt;1,"",IF(I2499="SBJ","CB","?"))</f>
        <v> </v>
      </c>
      <c r="I2499" s="26" t="str">
        <f>IF(OR(E2499="",E2499="!!!",F2499="NEW"),"",INDEX(B2498:B$2,-1+SUMPRODUCT(MAX(ROW(E2498:E$2)*(E2499=E2498:E$2)))))</f>
        <v> </v>
      </c>
      <c r="J2499" s="26" t="str">
        <f>IF(OR(E2499="",E2499="!!!",F2499="NEW"),"",COUNTBLANK(OFFSET(A$1,,,SUMPRODUCT(MAX(ROW(E$2:E2499)*(E2499=E$2:E2499)))))-COUNTBLANK(OFFSET(A$1,,,SUMPRODUCT(MAX(ROW(E$1:E2498)*(E2=E$1:E2498))))))</f>
        <v> </v>
      </c>
      <c r="K2499" s="26" t="str">
        <f>IF(OR(E2499="",E2499="!!!",F2499="NEW"),"",INDEX(J$1:J2498,SUMPRODUCT(MAX(ROW(E$1:E2498)*(E2499=E$1:E2498)))))</f>
        <v> </v>
      </c>
      <c r="L2499" s="27"/>
    </row>
    <row r="2500" spans="1:12">
      <c r="A2500" s="20" t="s">
        <v>1804</v>
      </c>
      <c r="E2500" s="22">
        <f>IF(D2500="?OLD","!!!","")</f>
        <v/>
      </c>
      <c r="F2500" s="23" t="str">
        <f>IF(OR(E2500="",E2500="!!!"),"",IF(NOT(ISNA(VLOOKUP(E2500,E$1:E2499,1,FALSE()))),"OLD",IF(AND(E2500&lt;&gt;"",E2500&lt;&gt;"!!!"),"NEW","")))</f>
        <v> </v>
      </c>
      <c r="G2500" s="24" t="str">
        <f>IF(OR(E2500="",E2500="!!!"),"",IF(OR(J2500=0,AND(J2500=1,K2500=1),AND(J2500=1,I2500="SBJ"),AND(J2500=1,I2500=0)),"?IN_FOCUS",IF(J2500&lt;=2,"?ACTIVATED",IF(J2500&lt;&gt;"","?FAMILIAR",IF(F2500="NEW",IF(ISNA(VLOOKUP(E2500,#REF!,1,FALSE())),"?TYPE_IDENTIFIABLE","?REFERENTIAL"),"_")))))</f>
        <v> </v>
      </c>
      <c r="H2500" s="25" t="str">
        <f>IF(J2500&lt;&gt;1,"",IF(I2500="SBJ","CB","?"))</f>
        <v> </v>
      </c>
      <c r="I2500" s="26" t="str">
        <f>IF(OR(E2500="",E2500="!!!",F2500="NEW"),"",INDEX(B2499:B$2,-1+SUMPRODUCT(MAX(ROW(E2499:E$2)*(E2500=E2499:E$2)))))</f>
        <v> </v>
      </c>
      <c r="J2500" s="26" t="str">
        <f>IF(OR(E2500="",E2500="!!!",F2500="NEW"),"",COUNTBLANK(OFFSET(A$1,,,SUMPRODUCT(MAX(ROW(E$2:E2500)*(E2500=E$2:E2500)))))-COUNTBLANK(OFFSET(A$1,,,SUMPRODUCT(MAX(ROW(E$1:E2499)*(E2=E$1:E2499))))))</f>
        <v> </v>
      </c>
      <c r="K2500" s="26" t="str">
        <f>IF(OR(E2500="",E2500="!!!",F2500="NEW"),"",INDEX(J$1:J2499,SUMPRODUCT(MAX(ROW(E$1:E2499)*(E2500=E$1:E2499)))))</f>
        <v> </v>
      </c>
      <c r="L2500" s="27"/>
    </row>
    <row r="2501" spans="1:12">
      <c r="A2501" s="20" t="s">
        <v>1301</v>
      </c>
      <c r="B2501" s="21" t="s">
        <v>1035</v>
      </c>
      <c r="C2501" s="21" t="s">
        <v>1017</v>
      </c>
      <c r="D2501" s="21" t="s">
        <v>1007</v>
      </c>
      <c r="E2501" s="22">
        <f>IF(D2501="?OLD","!!!","")</f>
        <v/>
      </c>
      <c r="F2501" s="23" t="str">
        <f>IF(OR(E2501="",E2501="!!!"),"",IF(NOT(ISNA(VLOOKUP(E2501,E$1:E2500,1,FALSE()))),"OLD",IF(AND(E2501&lt;&gt;"",E2501&lt;&gt;"!!!"),"NEW","")))</f>
        <v> </v>
      </c>
      <c r="G2501" s="24" t="str">
        <f>IF(OR(E2501="",E2501="!!!"),"",IF(OR(J2501=0,AND(J2501=1,K2501=1),AND(J2501=1,I2501="SBJ"),AND(J2501=1,I2501=0)),"?IN_FOCUS",IF(J2501&lt;=2,"?ACTIVATED",IF(J2501&lt;&gt;"","?FAMILIAR",IF(F2501="NEW",IF(ISNA(VLOOKUP(E2501,#REF!,1,FALSE())),"?TYPE_IDENTIFIABLE","?REFERENTIAL"),"_")))))</f>
        <v> </v>
      </c>
      <c r="H2501" s="25" t="str">
        <f>IF(J2501&lt;&gt;1,"",IF(I2501="SBJ","CB","?"))</f>
        <v> </v>
      </c>
      <c r="I2501" s="26" t="str">
        <f>IF(OR(E2501="",E2501="!!!",F2501="NEW"),"",INDEX(B2500:B$2,-1+SUMPRODUCT(MAX(ROW(E2500:E$2)*(E2501=E2500:E$2)))))</f>
        <v> </v>
      </c>
      <c r="J2501" s="26" t="str">
        <f>IF(OR(E2501="",E2501="!!!",F2501="NEW"),"",COUNTBLANK(OFFSET(A$1,,,SUMPRODUCT(MAX(ROW(E$2:E2501)*(E2501=E$2:E2501)))))-COUNTBLANK(OFFSET(A$1,,,SUMPRODUCT(MAX(ROW(E$1:E2500)*(E2=E$1:E2500))))))</f>
        <v> </v>
      </c>
      <c r="K2501" s="26" t="str">
        <f>IF(OR(E2501="",E2501="!!!",F2501="NEW"),"",INDEX(J$1:J2500,SUMPRODUCT(MAX(ROW(E$1:E2500)*(E2501=E$1:E2500)))))</f>
        <v> </v>
      </c>
      <c r="L2501" s="27"/>
    </row>
    <row r="2502" spans="1:12">
      <c r="A2502" s="20" t="s">
        <v>1018</v>
      </c>
      <c r="E2502" s="22">
        <f>IF(D2502="?OLD","!!!","")</f>
        <v/>
      </c>
      <c r="F2502" s="23" t="str">
        <f>IF(OR(E2502="",E2502="!!!"),"",IF(NOT(ISNA(VLOOKUP(E2502,E$1:E2501,1,FALSE()))),"OLD",IF(AND(E2502&lt;&gt;"",E2502&lt;&gt;"!!!"),"NEW","")))</f>
        <v> </v>
      </c>
      <c r="G2502" s="24" t="str">
        <f>IF(OR(E2502="",E2502="!!!"),"",IF(OR(J2502=0,AND(J2502=1,K2502=1),AND(J2502=1,I2502="SBJ"),AND(J2502=1,I2502=0)),"?IN_FOCUS",IF(J2502&lt;=2,"?ACTIVATED",IF(J2502&lt;&gt;"","?FAMILIAR",IF(F2502="NEW",IF(ISNA(VLOOKUP(E2502,#REF!,1,FALSE())),"?TYPE_IDENTIFIABLE","?REFERENTIAL"),"_")))))</f>
        <v> </v>
      </c>
      <c r="H2502" s="25" t="str">
        <f>IF(J2502&lt;&gt;1,"",IF(I2502="SBJ","CB","?"))</f>
        <v> </v>
      </c>
      <c r="I2502" s="26" t="str">
        <f>IF(OR(E2502="",E2502="!!!",F2502="NEW"),"",INDEX(B2501:B$2,-1+SUMPRODUCT(MAX(ROW(E2501:E$2)*(E2502=E2501:E$2)))))</f>
        <v> </v>
      </c>
      <c r="J2502" s="26" t="str">
        <f>IF(OR(E2502="",E2502="!!!",F2502="NEW"),"",COUNTBLANK(OFFSET(A$1,,,SUMPRODUCT(MAX(ROW(E$2:E2502)*(E2502=E$2:E2502)))))-COUNTBLANK(OFFSET(A$1,,,SUMPRODUCT(MAX(ROW(E$1:E2501)*(E2=E$1:E2501))))))</f>
        <v> </v>
      </c>
      <c r="K2502" s="26" t="str">
        <f>IF(OR(E2502="",E2502="!!!",F2502="NEW"),"",INDEX(J$1:J2501,SUMPRODUCT(MAX(ROW(E$1:E2501)*(E2502=E$1:E2501)))))</f>
        <v> </v>
      </c>
      <c r="L2502" s="27"/>
    </row>
    <row r="2503" spans="1:12">
      <c r="A2503" s="20" t="s">
        <v>1775</v>
      </c>
      <c r="B2503" s="21" t="s">
        <v>1130</v>
      </c>
      <c r="C2503" s="21" t="s">
        <v>1013</v>
      </c>
      <c r="D2503" s="21" t="s">
        <v>1007</v>
      </c>
      <c r="E2503" s="22">
        <f>IF(D2503="?OLD","!!!","")</f>
        <v/>
      </c>
      <c r="F2503" s="23" t="str">
        <f>IF(OR(E2503="",E2503="!!!"),"",IF(NOT(ISNA(VLOOKUP(E2503,E$1:E2502,1,FALSE()))),"OLD",IF(AND(E2503&lt;&gt;"",E2503&lt;&gt;"!!!"),"NEW","")))</f>
        <v> </v>
      </c>
      <c r="G2503" s="24" t="str">
        <f>IF(OR(E2503="",E2503="!!!"),"",IF(OR(J2503=0,AND(J2503=1,K2503=1),AND(J2503=1,I2503="SBJ"),AND(J2503=1,I2503=0)),"?IN_FOCUS",IF(J2503&lt;=2,"?ACTIVATED",IF(J2503&lt;&gt;"","?FAMILIAR",IF(F2503="NEW",IF(ISNA(VLOOKUP(E2503,#REF!,1,FALSE())),"?TYPE_IDENTIFIABLE","?REFERENTIAL"),"_")))))</f>
        <v> </v>
      </c>
      <c r="H2503" s="25" t="str">
        <f>IF(J2503&lt;&gt;1,"",IF(I2503="SBJ","CB","?"))</f>
        <v> </v>
      </c>
      <c r="I2503" s="26" t="str">
        <f>IF(OR(E2503="",E2503="!!!",F2503="NEW"),"",INDEX(B2502:B$2,-1+SUMPRODUCT(MAX(ROW(E2502:E$2)*(E2503=E2502:E$2)))))</f>
        <v> </v>
      </c>
      <c r="J2503" s="26" t="str">
        <f>IF(OR(E2503="",E2503="!!!",F2503="NEW"),"",COUNTBLANK(OFFSET(A$1,,,SUMPRODUCT(MAX(ROW(E$2:E2503)*(E2503=E$2:E2503)))))-COUNTBLANK(OFFSET(A$1,,,SUMPRODUCT(MAX(ROW(E$1:E2502)*(E2=E$1:E2502))))))</f>
        <v> </v>
      </c>
      <c r="K2503" s="26" t="str">
        <f>IF(OR(E2503="",E2503="!!!",F2503="NEW"),"",INDEX(J$1:J2502,SUMPRODUCT(MAX(ROW(E$1:E2502)*(E2503=E$1:E2502)))))</f>
        <v> </v>
      </c>
      <c r="L2503" s="27"/>
    </row>
    <row r="2504" spans="1:12">
      <c r="A2504" s="20" t="s">
        <v>1014</v>
      </c>
      <c r="E2504" s="22">
        <f>IF(D2504="?OLD","!!!","")</f>
        <v/>
      </c>
      <c r="F2504" s="23" t="str">
        <f>IF(OR(E2504="",E2504="!!!"),"",IF(NOT(ISNA(VLOOKUP(E2504,E$1:E2503,1,FALSE()))),"OLD",IF(AND(E2504&lt;&gt;"",E2504&lt;&gt;"!!!"),"NEW","")))</f>
        <v> </v>
      </c>
      <c r="G2504" s="24" t="str">
        <f>IF(OR(E2504="",E2504="!!!"),"",IF(OR(J2504=0,AND(J2504=1,K2504=1),AND(J2504=1,I2504="SBJ"),AND(J2504=1,I2504=0)),"?IN_FOCUS",IF(J2504&lt;=2,"?ACTIVATED",IF(J2504&lt;&gt;"","?FAMILIAR",IF(F2504="NEW",IF(ISNA(VLOOKUP(E2504,#REF!,1,FALSE())),"?TYPE_IDENTIFIABLE","?REFERENTIAL"),"_")))))</f>
        <v> </v>
      </c>
      <c r="H2504" s="25" t="str">
        <f>IF(J2504&lt;&gt;1,"",IF(I2504="SBJ","CB","?"))</f>
        <v> </v>
      </c>
      <c r="I2504" s="26" t="str">
        <f>IF(OR(E2504="",E2504="!!!",F2504="NEW"),"",INDEX(B2503:B$2,-1+SUMPRODUCT(MAX(ROW(E2503:E$2)*(E2504=E2503:E$2)))))</f>
        <v> </v>
      </c>
      <c r="J2504" s="26" t="str">
        <f>IF(OR(E2504="",E2504="!!!",F2504="NEW"),"",COUNTBLANK(OFFSET(A$1,,,SUMPRODUCT(MAX(ROW(E$2:E2504)*(E2504=E$2:E2504)))))-COUNTBLANK(OFFSET(A$1,,,SUMPRODUCT(MAX(ROW(E$1:E2503)*(E2=E$1:E2503))))))</f>
        <v> </v>
      </c>
      <c r="K2504" s="26" t="str">
        <f>IF(OR(E2504="",E2504="!!!",F2504="NEW"),"",INDEX(J$1:J2503,SUMPRODUCT(MAX(ROW(E$1:E2503)*(E2504=E$1:E2503)))))</f>
        <v> </v>
      </c>
      <c r="L2504" s="27"/>
    </row>
    <row r="2505" spans="1:12">
      <c r="A2505" s="20" t="s">
        <v>1776</v>
      </c>
      <c r="B2505" s="21" t="s">
        <v>1040</v>
      </c>
      <c r="C2505" s="21" t="s">
        <v>1048</v>
      </c>
      <c r="E2505" s="22">
        <f>IF(D2505="?OLD","!!!","")</f>
        <v/>
      </c>
      <c r="F2505" s="23" t="str">
        <f>IF(OR(E2505="",E2505="!!!"),"",IF(NOT(ISNA(VLOOKUP(E2505,E$1:E2504,1,FALSE()))),"OLD",IF(AND(E2505&lt;&gt;"",E2505&lt;&gt;"!!!"),"NEW","")))</f>
        <v> </v>
      </c>
      <c r="G2505" s="24" t="str">
        <f>IF(OR(E2505="",E2505="!!!"),"",IF(OR(J2505=0,AND(J2505=1,K2505=1),AND(J2505=1,I2505="SBJ"),AND(J2505=1,I2505=0)),"?IN_FOCUS",IF(J2505&lt;=2,"?ACTIVATED",IF(J2505&lt;&gt;"","?FAMILIAR",IF(F2505="NEW",IF(ISNA(VLOOKUP(E2505,#REF!,1,FALSE())),"?TYPE_IDENTIFIABLE","?REFERENTIAL"),"_")))))</f>
        <v> </v>
      </c>
      <c r="H2505" s="25" t="str">
        <f>IF(J2505&lt;&gt;1,"",IF(I2505="SBJ","CB","?"))</f>
        <v> </v>
      </c>
      <c r="I2505" s="26" t="str">
        <f>IF(OR(E2505="",E2505="!!!",F2505="NEW"),"",INDEX(B2504:B$2,-1+SUMPRODUCT(MAX(ROW(E2504:E$2)*(E2505=E2504:E$2)))))</f>
        <v> </v>
      </c>
      <c r="J2505" s="26" t="str">
        <f>IF(OR(E2505="",E2505="!!!",F2505="NEW"),"",COUNTBLANK(OFFSET(A$1,,,SUMPRODUCT(MAX(ROW(E$2:E2505)*(E2505=E$2:E2505)))))-COUNTBLANK(OFFSET(A$1,,,SUMPRODUCT(MAX(ROW(E$1:E2504)*(E2=E$1:E2504))))))</f>
        <v> </v>
      </c>
      <c r="K2505" s="26" t="str">
        <f>IF(OR(E2505="",E2505="!!!",F2505="NEW"),"",INDEX(J$1:J2504,SUMPRODUCT(MAX(ROW(E$1:E2504)*(E2505=E$1:E2504)))))</f>
        <v> </v>
      </c>
      <c r="L2505" s="27"/>
    </row>
    <row r="2506" spans="1:12">
      <c r="A2506" s="20" t="s">
        <v>1030</v>
      </c>
      <c r="E2506" s="22">
        <f>IF(D2506="?OLD","!!!","")</f>
        <v/>
      </c>
      <c r="F2506" s="23" t="str">
        <f>IF(OR(E2506="",E2506="!!!"),"",IF(NOT(ISNA(VLOOKUP(E2506,E$1:E2505,1,FALSE()))),"OLD",IF(AND(E2506&lt;&gt;"",E2506&lt;&gt;"!!!"),"NEW","")))</f>
        <v> </v>
      </c>
      <c r="G2506" s="24" t="str">
        <f>IF(OR(E2506="",E2506="!!!"),"",IF(OR(J2506=0,AND(J2506=1,K2506=1),AND(J2506=1,I2506="SBJ"),AND(J2506=1,I2506=0)),"?IN_FOCUS",IF(J2506&lt;=2,"?ACTIVATED",IF(J2506&lt;&gt;"","?FAMILIAR",IF(F2506="NEW",IF(ISNA(VLOOKUP(E2506,#REF!,1,FALSE())),"?TYPE_IDENTIFIABLE","?REFERENTIAL"),"_")))))</f>
        <v> </v>
      </c>
      <c r="H2506" s="25" t="str">
        <f>IF(J2506&lt;&gt;1,"",IF(I2506="SBJ","CB","?"))</f>
        <v> </v>
      </c>
      <c r="I2506" s="26" t="str">
        <f>IF(OR(E2506="",E2506="!!!",F2506="NEW"),"",INDEX(B2505:B$2,-1+SUMPRODUCT(MAX(ROW(E2505:E$2)*(E2506=E2505:E$2)))))</f>
        <v> </v>
      </c>
      <c r="J2506" s="26" t="str">
        <f>IF(OR(E2506="",E2506="!!!",F2506="NEW"),"",COUNTBLANK(OFFSET(A$1,,,SUMPRODUCT(MAX(ROW(E$2:E2506)*(E2506=E$2:E2506)))))-COUNTBLANK(OFFSET(A$1,,,SUMPRODUCT(MAX(ROW(E$1:E2505)*(E2=E$1:E2505))))))</f>
        <v> </v>
      </c>
      <c r="K2506" s="26" t="str">
        <f>IF(OR(E2506="",E2506="!!!",F2506="NEW"),"",INDEX(J$1:J2505,SUMPRODUCT(MAX(ROW(E$1:E2505)*(E2506=E$1:E2505)))))</f>
        <v> </v>
      </c>
      <c r="L2506" s="27"/>
    </row>
    <row r="2507" spans="1:12">
      <c r="A2507" s="20" t="s">
        <v>1056</v>
      </c>
      <c r="E2507" s="22">
        <f>IF(D2507="?OLD","!!!","")</f>
        <v/>
      </c>
      <c r="F2507" s="23" t="str">
        <f>IF(OR(E2507="",E2507="!!!"),"",IF(NOT(ISNA(VLOOKUP(E2507,E$1:E2506,1,FALSE()))),"OLD",IF(AND(E2507&lt;&gt;"",E2507&lt;&gt;"!!!"),"NEW","")))</f>
        <v> </v>
      </c>
      <c r="G2507" s="24" t="str">
        <f>IF(OR(E2507="",E2507="!!!"),"",IF(OR(J2507=0,AND(J2507=1,K2507=1),AND(J2507=1,I2507="SBJ"),AND(J2507=1,I2507=0)),"?IN_FOCUS",IF(J2507&lt;=2,"?ACTIVATED",IF(J2507&lt;&gt;"","?FAMILIAR",IF(F2507="NEW",IF(ISNA(VLOOKUP(E2507,#REF!,1,FALSE())),"?TYPE_IDENTIFIABLE","?REFERENTIAL"),"_")))))</f>
        <v> </v>
      </c>
      <c r="H2507" s="25" t="str">
        <f>IF(J2507&lt;&gt;1,"",IF(I2507="SBJ","CB","?"))</f>
        <v> </v>
      </c>
      <c r="I2507" s="26" t="str">
        <f>IF(OR(E2507="",E2507="!!!",F2507="NEW"),"",INDEX(B2506:B$2,-1+SUMPRODUCT(MAX(ROW(E2506:E$2)*(E2507=E2506:E$2)))))</f>
        <v> </v>
      </c>
      <c r="J2507" s="26" t="str">
        <f>IF(OR(E2507="",E2507="!!!",F2507="NEW"),"",COUNTBLANK(OFFSET(A$1,,,SUMPRODUCT(MAX(ROW(E$2:E2507)*(E2507=E$2:E2507)))))-COUNTBLANK(OFFSET(A$1,,,SUMPRODUCT(MAX(ROW(E$1:E2506)*(E2=E$1:E2506))))))</f>
        <v> </v>
      </c>
      <c r="K2507" s="26" t="str">
        <f>IF(OR(E2507="",E2507="!!!",F2507="NEW"),"",INDEX(J$1:J2506,SUMPRODUCT(MAX(ROW(E$1:E2506)*(E2507=E$1:E2506)))))</f>
        <v> </v>
      </c>
      <c r="L2507" s="27"/>
    </row>
    <row r="2508" spans="1:12">
      <c r="A2508" s="20" t="s">
        <v>1199</v>
      </c>
      <c r="E2508" s="22">
        <f>IF(D2508="?OLD","!!!","")</f>
        <v/>
      </c>
      <c r="F2508" s="23" t="str">
        <f>IF(OR(E2508="",E2508="!!!"),"",IF(NOT(ISNA(VLOOKUP(E2508,E$1:E2507,1,FALSE()))),"OLD",IF(AND(E2508&lt;&gt;"",E2508&lt;&gt;"!!!"),"NEW","")))</f>
        <v> </v>
      </c>
      <c r="G2508" s="24" t="str">
        <f>IF(OR(E2508="",E2508="!!!"),"",IF(OR(J2508=0,AND(J2508=1,K2508=1),AND(J2508=1,I2508="SBJ"),AND(J2508=1,I2508=0)),"?IN_FOCUS",IF(J2508&lt;=2,"?ACTIVATED",IF(J2508&lt;&gt;"","?FAMILIAR",IF(F2508="NEW",IF(ISNA(VLOOKUP(E2508,#REF!,1,FALSE())),"?TYPE_IDENTIFIABLE","?REFERENTIAL"),"_")))))</f>
        <v> </v>
      </c>
      <c r="H2508" s="25" t="str">
        <f>IF(J2508&lt;&gt;1,"",IF(I2508="SBJ","CB","?"))</f>
        <v> </v>
      </c>
      <c r="I2508" s="26" t="str">
        <f>IF(OR(E2508="",E2508="!!!",F2508="NEW"),"",INDEX(B2507:B$2,-1+SUMPRODUCT(MAX(ROW(E2507:E$2)*(E2508=E2507:E$2)))))</f>
        <v> </v>
      </c>
      <c r="J2508" s="26" t="str">
        <f>IF(OR(E2508="",E2508="!!!",F2508="NEW"),"",COUNTBLANK(OFFSET(A$1,,,SUMPRODUCT(MAX(ROW(E$2:E2508)*(E2508=E$2:E2508)))))-COUNTBLANK(OFFSET(A$1,,,SUMPRODUCT(MAX(ROW(E$1:E2507)*(E2=E$1:E2507))))))</f>
        <v> </v>
      </c>
      <c r="K2508" s="26" t="str">
        <f>IF(OR(E2508="",E2508="!!!",F2508="NEW"),"",INDEX(J$1:J2507,SUMPRODUCT(MAX(ROW(E$1:E2507)*(E2508=E$1:E2507)))))</f>
        <v> </v>
      </c>
      <c r="L2508" s="27"/>
    </row>
    <row r="2509" spans="1:12">
      <c r="A2509" s="20" t="s">
        <v>1204</v>
      </c>
      <c r="B2509" s="21" t="s">
        <v>1040</v>
      </c>
      <c r="C2509" s="21" t="s">
        <v>1111</v>
      </c>
      <c r="E2509" s="22">
        <f>IF(D2509="?OLD","!!!","")</f>
        <v/>
      </c>
      <c r="F2509" s="23" t="str">
        <f>IF(OR(E2509="",E2509="!!!"),"",IF(NOT(ISNA(VLOOKUP(E2509,E$1:E2508,1,FALSE()))),"OLD",IF(AND(E2509&lt;&gt;"",E2509&lt;&gt;"!!!"),"NEW","")))</f>
        <v> </v>
      </c>
      <c r="G2509" s="24" t="str">
        <f>IF(OR(E2509="",E2509="!!!"),"",IF(OR(J2509=0,AND(J2509=1,K2509=1),AND(J2509=1,I2509="SBJ"),AND(J2509=1,I2509=0)),"?IN_FOCUS",IF(J2509&lt;=2,"?ACTIVATED",IF(J2509&lt;&gt;"","?FAMILIAR",IF(F2509="NEW",IF(ISNA(VLOOKUP(E2509,#REF!,1,FALSE())),"?TYPE_IDENTIFIABLE","?REFERENTIAL"),"_")))))</f>
        <v> </v>
      </c>
      <c r="H2509" s="25" t="str">
        <f>IF(J2509&lt;&gt;1,"",IF(I2509="SBJ","CB","?"))</f>
        <v> </v>
      </c>
      <c r="I2509" s="26" t="str">
        <f>IF(OR(E2509="",E2509="!!!",F2509="NEW"),"",INDEX(B2508:B$2,-1+SUMPRODUCT(MAX(ROW(E2508:E$2)*(E2509=E2508:E$2)))))</f>
        <v> </v>
      </c>
      <c r="J2509" s="26" t="str">
        <f>IF(OR(E2509="",E2509="!!!",F2509="NEW"),"",COUNTBLANK(OFFSET(A$1,,,SUMPRODUCT(MAX(ROW(E$2:E2509)*(E2509=E$2:E2509)))))-COUNTBLANK(OFFSET(A$1,,,SUMPRODUCT(MAX(ROW(E$1:E2508)*(E2=E$1:E2508))))))</f>
        <v> </v>
      </c>
      <c r="K2509" s="26" t="str">
        <f>IF(OR(E2509="",E2509="!!!",F2509="NEW"),"",INDEX(J$1:J2508,SUMPRODUCT(MAX(ROW(E$1:E2508)*(E2509=E$1:E2508)))))</f>
        <v> </v>
      </c>
      <c r="L2509" s="27"/>
    </row>
    <row r="2510" spans="1:12">
      <c r="A2510" s="20" t="s">
        <v>1018</v>
      </c>
      <c r="E2510" s="22">
        <f>IF(D2510="?OLD","!!!","")</f>
        <v/>
      </c>
      <c r="F2510" s="23" t="str">
        <f>IF(OR(E2510="",E2510="!!!"),"",IF(NOT(ISNA(VLOOKUP(E2510,E$1:E2509,1,FALSE()))),"OLD",IF(AND(E2510&lt;&gt;"",E2510&lt;&gt;"!!!"),"NEW","")))</f>
        <v> </v>
      </c>
      <c r="G2510" s="24" t="str">
        <f>IF(OR(E2510="",E2510="!!!"),"",IF(OR(J2510=0,AND(J2510=1,K2510=1),AND(J2510=1,I2510="SBJ"),AND(J2510=1,I2510=0)),"?IN_FOCUS",IF(J2510&lt;=2,"?ACTIVATED",IF(J2510&lt;&gt;"","?FAMILIAR",IF(F2510="NEW",IF(ISNA(VLOOKUP(E2510,#REF!,1,FALSE())),"?TYPE_IDENTIFIABLE","?REFERENTIAL"),"_")))))</f>
        <v> </v>
      </c>
      <c r="H2510" s="25" t="str">
        <f>IF(J2510&lt;&gt;1,"",IF(I2510="SBJ","CB","?"))</f>
        <v> </v>
      </c>
      <c r="I2510" s="26" t="str">
        <f>IF(OR(E2510="",E2510="!!!",F2510="NEW"),"",INDEX(B2509:B$2,-1+SUMPRODUCT(MAX(ROW(E2509:E$2)*(E2510=E2509:E$2)))))</f>
        <v> </v>
      </c>
      <c r="J2510" s="26" t="str">
        <f>IF(OR(E2510="",E2510="!!!",F2510="NEW"),"",COUNTBLANK(OFFSET(A$1,,,SUMPRODUCT(MAX(ROW(E$2:E2510)*(E2510=E$2:E2510)))))-COUNTBLANK(OFFSET(A$1,,,SUMPRODUCT(MAX(ROW(E$1:E2509)*(E2=E$1:E2509))))))</f>
        <v> </v>
      </c>
      <c r="K2510" s="26" t="str">
        <f>IF(OR(E2510="",E2510="!!!",F2510="NEW"),"",INDEX(J$1:J2509,SUMPRODUCT(MAX(ROW(E$1:E2509)*(E2510=E$1:E2509)))))</f>
        <v> </v>
      </c>
      <c r="L2510" s="27"/>
    </row>
    <row r="2511" spans="1:12">
      <c r="A2511" s="20" t="s">
        <v>1805</v>
      </c>
      <c r="E2511" s="22">
        <f>IF(D2511="?OLD","!!!","")</f>
        <v/>
      </c>
      <c r="F2511" s="23" t="str">
        <f>IF(OR(E2511="",E2511="!!!"),"",IF(NOT(ISNA(VLOOKUP(E2511,E$1:E2510,1,FALSE()))),"OLD",IF(AND(E2511&lt;&gt;"",E2511&lt;&gt;"!!!"),"NEW","")))</f>
        <v> </v>
      </c>
      <c r="G2511" s="24" t="str">
        <f>IF(OR(E2511="",E2511="!!!"),"",IF(OR(J2511=0,AND(J2511=1,K2511=1),AND(J2511=1,I2511="SBJ"),AND(J2511=1,I2511=0)),"?IN_FOCUS",IF(J2511&lt;=2,"?ACTIVATED",IF(J2511&lt;&gt;"","?FAMILIAR",IF(F2511="NEW",IF(ISNA(VLOOKUP(E2511,#REF!,1,FALSE())),"?TYPE_IDENTIFIABLE","?REFERENTIAL"),"_")))))</f>
        <v> </v>
      </c>
      <c r="H2511" s="25" t="str">
        <f>IF(J2511&lt;&gt;1,"",IF(I2511="SBJ","CB","?"))</f>
        <v> </v>
      </c>
      <c r="I2511" s="26" t="str">
        <f>IF(OR(E2511="",E2511="!!!",F2511="NEW"),"",INDEX(B2510:B$2,-1+SUMPRODUCT(MAX(ROW(E2510:E$2)*(E2511=E2510:E$2)))))</f>
        <v> </v>
      </c>
      <c r="J2511" s="26" t="str">
        <f>IF(OR(E2511="",E2511="!!!",F2511="NEW"),"",COUNTBLANK(OFFSET(A$1,,,SUMPRODUCT(MAX(ROW(E$2:E2511)*(E2511=E$2:E2511)))))-COUNTBLANK(OFFSET(A$1,,,SUMPRODUCT(MAX(ROW(E$1:E2510)*(E2=E$1:E2510))))))</f>
        <v> </v>
      </c>
      <c r="K2511" s="26" t="str">
        <f>IF(OR(E2511="",E2511="!!!",F2511="NEW"),"",INDEX(J$1:J2510,SUMPRODUCT(MAX(ROW(E$1:E2510)*(E2511=E$1:E2510)))))</f>
        <v> </v>
      </c>
      <c r="L2511" s="27"/>
    </row>
    <row r="2512" spans="1:12">
      <c r="A2512" s="20" t="s">
        <v>1056</v>
      </c>
      <c r="E2512" s="22">
        <f>IF(D2512="?OLD","!!!","")</f>
        <v/>
      </c>
      <c r="F2512" s="23" t="str">
        <f>IF(OR(E2512="",E2512="!!!"),"",IF(NOT(ISNA(VLOOKUP(E2512,E$1:E2511,1,FALSE()))),"OLD",IF(AND(E2512&lt;&gt;"",E2512&lt;&gt;"!!!"),"NEW","")))</f>
        <v> </v>
      </c>
      <c r="G2512" s="24" t="str">
        <f>IF(OR(E2512="",E2512="!!!"),"",IF(OR(J2512=0,AND(J2512=1,K2512=1),AND(J2512=1,I2512="SBJ"),AND(J2512=1,I2512=0)),"?IN_FOCUS",IF(J2512&lt;=2,"?ACTIVATED",IF(J2512&lt;&gt;"","?FAMILIAR",IF(F2512="NEW",IF(ISNA(VLOOKUP(E2512,#REF!,1,FALSE())),"?TYPE_IDENTIFIABLE","?REFERENTIAL"),"_")))))</f>
        <v> </v>
      </c>
      <c r="H2512" s="25" t="str">
        <f>IF(J2512&lt;&gt;1,"",IF(I2512="SBJ","CB","?"))</f>
        <v> </v>
      </c>
      <c r="I2512" s="26" t="str">
        <f>IF(OR(E2512="",E2512="!!!",F2512="NEW"),"",INDEX(B2511:B$2,-1+SUMPRODUCT(MAX(ROW(E2511:E$2)*(E2512=E2511:E$2)))))</f>
        <v> </v>
      </c>
      <c r="J2512" s="26" t="str">
        <f>IF(OR(E2512="",E2512="!!!",F2512="NEW"),"",COUNTBLANK(OFFSET(A$1,,,SUMPRODUCT(MAX(ROW(E$2:E2512)*(E2512=E$2:E2512)))))-COUNTBLANK(OFFSET(A$1,,,SUMPRODUCT(MAX(ROW(E$1:E2511)*(E2=E$1:E2511))))))</f>
        <v> </v>
      </c>
      <c r="K2512" s="26" t="str">
        <f>IF(OR(E2512="",E2512="!!!",F2512="NEW"),"",INDEX(J$1:J2511,SUMPRODUCT(MAX(ROW(E$1:E2511)*(E2512=E$1:E2511)))))</f>
        <v> </v>
      </c>
      <c r="L2512" s="27"/>
    </row>
    <row r="2513" spans="1:12">
      <c r="A2513" s="20" t="s">
        <v>1806</v>
      </c>
      <c r="E2513" s="22">
        <f>IF(D2513="?OLD","!!!","")</f>
        <v/>
      </c>
      <c r="F2513" s="23" t="str">
        <f>IF(OR(E2513="",E2513="!!!"),"",IF(NOT(ISNA(VLOOKUP(E2513,E$1:E2512,1,FALSE()))),"OLD",IF(AND(E2513&lt;&gt;"",E2513&lt;&gt;"!!!"),"NEW","")))</f>
        <v> </v>
      </c>
      <c r="G2513" s="24" t="str">
        <f>IF(OR(E2513="",E2513="!!!"),"",IF(OR(J2513=0,AND(J2513=1,K2513=1),AND(J2513=1,I2513="SBJ"),AND(J2513=1,I2513=0)),"?IN_FOCUS",IF(J2513&lt;=2,"?ACTIVATED",IF(J2513&lt;&gt;"","?FAMILIAR",IF(F2513="NEW",IF(ISNA(VLOOKUP(E2513,#REF!,1,FALSE())),"?TYPE_IDENTIFIABLE","?REFERENTIAL"),"_")))))</f>
        <v> </v>
      </c>
      <c r="H2513" s="25" t="str">
        <f>IF(J2513&lt;&gt;1,"",IF(I2513="SBJ","CB","?"))</f>
        <v> </v>
      </c>
      <c r="I2513" s="26" t="str">
        <f>IF(OR(E2513="",E2513="!!!",F2513="NEW"),"",INDEX(B2512:B$2,-1+SUMPRODUCT(MAX(ROW(E2512:E$2)*(E2513=E2512:E$2)))))</f>
        <v> </v>
      </c>
      <c r="J2513" s="26" t="str">
        <f>IF(OR(E2513="",E2513="!!!",F2513="NEW"),"",COUNTBLANK(OFFSET(A$1,,,SUMPRODUCT(MAX(ROW(E$2:E2513)*(E2513=E$2:E2513)))))-COUNTBLANK(OFFSET(A$1,,,SUMPRODUCT(MAX(ROW(E$1:E2512)*(E2=E$1:E2512))))))</f>
        <v> </v>
      </c>
      <c r="K2513" s="26" t="str">
        <f>IF(OR(E2513="",E2513="!!!",F2513="NEW"),"",INDEX(J$1:J2512,SUMPRODUCT(MAX(ROW(E$1:E2512)*(E2513=E$1:E2512)))))</f>
        <v> </v>
      </c>
      <c r="L2513" s="27"/>
    </row>
    <row r="2514" spans="1:12">
      <c r="A2514" s="20" t="s">
        <v>1807</v>
      </c>
      <c r="B2514" s="21" t="s">
        <v>1066</v>
      </c>
      <c r="C2514" s="21" t="s">
        <v>1111</v>
      </c>
      <c r="E2514" s="22">
        <f>IF(D2514="?OLD","!!!","")</f>
        <v/>
      </c>
      <c r="F2514" s="23" t="str">
        <f>IF(OR(E2514="",E2514="!!!"),"",IF(NOT(ISNA(VLOOKUP(E2514,E$1:E2513,1,FALSE()))),"OLD",IF(AND(E2514&lt;&gt;"",E2514&lt;&gt;"!!!"),"NEW","")))</f>
        <v> </v>
      </c>
      <c r="G2514" s="24" t="str">
        <f>IF(OR(E2514="",E2514="!!!"),"",IF(OR(J2514=0,AND(J2514=1,K2514=1),AND(J2514=1,I2514="SBJ"),AND(J2514=1,I2514=0)),"?IN_FOCUS",IF(J2514&lt;=2,"?ACTIVATED",IF(J2514&lt;&gt;"","?FAMILIAR",IF(F2514="NEW",IF(ISNA(VLOOKUP(E2514,#REF!,1,FALSE())),"?TYPE_IDENTIFIABLE","?REFERENTIAL"),"_")))))</f>
        <v> </v>
      </c>
      <c r="H2514" s="25" t="str">
        <f>IF(J2514&lt;&gt;1,"",IF(I2514="SBJ","CB","?"))</f>
        <v> </v>
      </c>
      <c r="I2514" s="26" t="str">
        <f>IF(OR(E2514="",E2514="!!!",F2514="NEW"),"",INDEX(B2513:B$2,-1+SUMPRODUCT(MAX(ROW(E2513:E$2)*(E2514=E2513:E$2)))))</f>
        <v> </v>
      </c>
      <c r="J2514" s="26" t="str">
        <f>IF(OR(E2514="",E2514="!!!",F2514="NEW"),"",COUNTBLANK(OFFSET(A$1,,,SUMPRODUCT(MAX(ROW(E$2:E2514)*(E2514=E$2:E2514)))))-COUNTBLANK(OFFSET(A$1,,,SUMPRODUCT(MAX(ROW(E$1:E2513)*(E2=E$1:E2513))))))</f>
        <v> </v>
      </c>
      <c r="K2514" s="26" t="str">
        <f>IF(OR(E2514="",E2514="!!!",F2514="NEW"),"",INDEX(J$1:J2513,SUMPRODUCT(MAX(ROW(E$1:E2513)*(E2514=E$1:E2513)))))</f>
        <v> </v>
      </c>
      <c r="L2514" s="27"/>
    </row>
    <row r="2515" spans="1:12">
      <c r="A2515" s="20" t="s">
        <v>1018</v>
      </c>
      <c r="E2515" s="22">
        <f>IF(D2515="?OLD","!!!","")</f>
        <v/>
      </c>
      <c r="F2515" s="23" t="str">
        <f>IF(OR(E2515="",E2515="!!!"),"",IF(NOT(ISNA(VLOOKUP(E2515,E$1:E2514,1,FALSE()))),"OLD",IF(AND(E2515&lt;&gt;"",E2515&lt;&gt;"!!!"),"NEW","")))</f>
        <v> </v>
      </c>
      <c r="G2515" s="24" t="str">
        <f>IF(OR(E2515="",E2515="!!!"),"",IF(OR(J2515=0,AND(J2515=1,K2515=1),AND(J2515=1,I2515="SBJ"),AND(J2515=1,I2515=0)),"?IN_FOCUS",IF(J2515&lt;=2,"?ACTIVATED",IF(J2515&lt;&gt;"","?FAMILIAR",IF(F2515="NEW",IF(ISNA(VLOOKUP(E2515,#REF!,1,FALSE())),"?TYPE_IDENTIFIABLE","?REFERENTIAL"),"_")))))</f>
        <v> </v>
      </c>
      <c r="H2515" s="25" t="str">
        <f>IF(J2515&lt;&gt;1,"",IF(I2515="SBJ","CB","?"))</f>
        <v> </v>
      </c>
      <c r="I2515" s="26" t="str">
        <f>IF(OR(E2515="",E2515="!!!",F2515="NEW"),"",INDEX(B2514:B$2,-1+SUMPRODUCT(MAX(ROW(E2514:E$2)*(E2515=E2514:E$2)))))</f>
        <v> </v>
      </c>
      <c r="J2515" s="26" t="str">
        <f>IF(OR(E2515="",E2515="!!!",F2515="NEW"),"",COUNTBLANK(OFFSET(A$1,,,SUMPRODUCT(MAX(ROW(E$2:E2515)*(E2515=E$2:E2515)))))-COUNTBLANK(OFFSET(A$1,,,SUMPRODUCT(MAX(ROW(E$1:E2514)*(E2=E$1:E2514))))))</f>
        <v> </v>
      </c>
      <c r="K2515" s="26" t="str">
        <f>IF(OR(E2515="",E2515="!!!",F2515="NEW"),"",INDEX(J$1:J2514,SUMPRODUCT(MAX(ROW(E$1:E2514)*(E2515=E$1:E2514)))))</f>
        <v> </v>
      </c>
      <c r="L2515" s="27"/>
    </row>
    <row r="2516" spans="1:12">
      <c r="A2516" s="20" t="s">
        <v>1056</v>
      </c>
      <c r="E2516" s="22">
        <f>IF(D2516="?OLD","!!!","")</f>
        <v/>
      </c>
      <c r="F2516" s="23" t="str">
        <f>IF(OR(E2516="",E2516="!!!"),"",IF(NOT(ISNA(VLOOKUP(E2516,E$1:E2515,1,FALSE()))),"OLD",IF(AND(E2516&lt;&gt;"",E2516&lt;&gt;"!!!"),"NEW","")))</f>
        <v> </v>
      </c>
      <c r="G2516" s="24" t="str">
        <f>IF(OR(E2516="",E2516="!!!"),"",IF(OR(J2516=0,AND(J2516=1,K2516=1),AND(J2516=1,I2516="SBJ"),AND(J2516=1,I2516=0)),"?IN_FOCUS",IF(J2516&lt;=2,"?ACTIVATED",IF(J2516&lt;&gt;"","?FAMILIAR",IF(F2516="NEW",IF(ISNA(VLOOKUP(E2516,#REF!,1,FALSE())),"?TYPE_IDENTIFIABLE","?REFERENTIAL"),"_")))))</f>
        <v> </v>
      </c>
      <c r="H2516" s="25" t="str">
        <f>IF(J2516&lt;&gt;1,"",IF(I2516="SBJ","CB","?"))</f>
        <v> </v>
      </c>
      <c r="I2516" s="26" t="str">
        <f>IF(OR(E2516="",E2516="!!!",F2516="NEW"),"",INDEX(B2515:B$2,-1+SUMPRODUCT(MAX(ROW(E2515:E$2)*(E2516=E2515:E$2)))))</f>
        <v> </v>
      </c>
      <c r="J2516" s="26" t="str">
        <f>IF(OR(E2516="",E2516="!!!",F2516="NEW"),"",COUNTBLANK(OFFSET(A$1,,,SUMPRODUCT(MAX(ROW(E$2:E2516)*(E2516=E$2:E2516)))))-COUNTBLANK(OFFSET(A$1,,,SUMPRODUCT(MAX(ROW(E$1:E2515)*(E2=E$1:E2515))))))</f>
        <v> </v>
      </c>
      <c r="K2516" s="26" t="str">
        <f>IF(OR(E2516="",E2516="!!!",F2516="NEW"),"",INDEX(J$1:J2515,SUMPRODUCT(MAX(ROW(E$1:E2515)*(E2516=E$1:E2515)))))</f>
        <v> </v>
      </c>
      <c r="L2516" s="27"/>
    </row>
    <row r="2517" spans="1:12">
      <c r="A2517" s="20" t="s">
        <v>1807</v>
      </c>
      <c r="B2517" s="21" t="s">
        <v>1035</v>
      </c>
      <c r="C2517" s="21" t="s">
        <v>1013</v>
      </c>
      <c r="D2517" s="21" t="s">
        <v>1007</v>
      </c>
      <c r="E2517" s="22">
        <f>IF(D2517="?OLD","!!!","")</f>
        <v/>
      </c>
      <c r="F2517" s="23" t="str">
        <f>IF(OR(E2517="",E2517="!!!"),"",IF(NOT(ISNA(VLOOKUP(E2517,E$1:E2516,1,FALSE()))),"OLD",IF(AND(E2517&lt;&gt;"",E2517&lt;&gt;"!!!"),"NEW","")))</f>
        <v> </v>
      </c>
      <c r="G2517" s="24" t="str">
        <f>IF(OR(E2517="",E2517="!!!"),"",IF(OR(J2517=0,AND(J2517=1,K2517=1),AND(J2517=1,I2517="SBJ"),AND(J2517=1,I2517=0)),"?IN_FOCUS",IF(J2517&lt;=2,"?ACTIVATED",IF(J2517&lt;&gt;"","?FAMILIAR",IF(F2517="NEW",IF(ISNA(VLOOKUP(E2517,#REF!,1,FALSE())),"?TYPE_IDENTIFIABLE","?REFERENTIAL"),"_")))))</f>
        <v> </v>
      </c>
      <c r="H2517" s="25" t="str">
        <f>IF(J2517&lt;&gt;1,"",IF(I2517="SBJ","CB","?"))</f>
        <v> </v>
      </c>
      <c r="I2517" s="26" t="str">
        <f>IF(OR(E2517="",E2517="!!!",F2517="NEW"),"",INDEX(B2516:B$2,-1+SUMPRODUCT(MAX(ROW(E2516:E$2)*(E2517=E2516:E$2)))))</f>
        <v> </v>
      </c>
      <c r="J2517" s="26" t="str">
        <f>IF(OR(E2517="",E2517="!!!",F2517="NEW"),"",COUNTBLANK(OFFSET(A$1,,,SUMPRODUCT(MAX(ROW(E$2:E2517)*(E2517=E$2:E2517)))))-COUNTBLANK(OFFSET(A$1,,,SUMPRODUCT(MAX(ROW(E$1:E2516)*(E2=E$1:E2516))))))</f>
        <v> </v>
      </c>
      <c r="K2517" s="26" t="str">
        <f>IF(OR(E2517="",E2517="!!!",F2517="NEW"),"",INDEX(J$1:J2516,SUMPRODUCT(MAX(ROW(E$1:E2516)*(E2517=E$1:E2516)))))</f>
        <v> </v>
      </c>
      <c r="L2517" s="27"/>
    </row>
    <row r="2518" spans="1:12">
      <c r="A2518" s="20" t="s">
        <v>1171</v>
      </c>
      <c r="E2518" s="22">
        <f>IF(D2518="?OLD","!!!","")</f>
        <v/>
      </c>
      <c r="F2518" s="23" t="str">
        <f>IF(OR(E2518="",E2518="!!!"),"",IF(NOT(ISNA(VLOOKUP(E2518,E$1:E2517,1,FALSE()))),"OLD",IF(AND(E2518&lt;&gt;"",E2518&lt;&gt;"!!!"),"NEW","")))</f>
        <v> </v>
      </c>
      <c r="G2518" s="24" t="str">
        <f>IF(OR(E2518="",E2518="!!!"),"",IF(OR(J2518=0,AND(J2518=1,K2518=1),AND(J2518=1,I2518="SBJ"),AND(J2518=1,I2518=0)),"?IN_FOCUS",IF(J2518&lt;=2,"?ACTIVATED",IF(J2518&lt;&gt;"","?FAMILIAR",IF(F2518="NEW",IF(ISNA(VLOOKUP(E2518,#REF!,1,FALSE())),"?TYPE_IDENTIFIABLE","?REFERENTIAL"),"_")))))</f>
        <v> </v>
      </c>
      <c r="H2518" s="25" t="str">
        <f>IF(J2518&lt;&gt;1,"",IF(I2518="SBJ","CB","?"))</f>
        <v> </v>
      </c>
      <c r="I2518" s="26" t="str">
        <f>IF(OR(E2518="",E2518="!!!",F2518="NEW"),"",INDEX(B2517:B$2,-1+SUMPRODUCT(MAX(ROW(E2517:E$2)*(E2518=E2517:E$2)))))</f>
        <v> </v>
      </c>
      <c r="J2518" s="26" t="str">
        <f>IF(OR(E2518="",E2518="!!!",F2518="NEW"),"",COUNTBLANK(OFFSET(A$1,,,SUMPRODUCT(MAX(ROW(E$2:E2518)*(E2518=E$2:E2518)))))-COUNTBLANK(OFFSET(A$1,,,SUMPRODUCT(MAX(ROW(E$1:E2517)*(E2=E$1:E2517))))))</f>
        <v> </v>
      </c>
      <c r="K2518" s="26" t="str">
        <f>IF(OR(E2518="",E2518="!!!",F2518="NEW"),"",INDEX(J$1:J2517,SUMPRODUCT(MAX(ROW(E$1:E2517)*(E2518=E$1:E2517)))))</f>
        <v> </v>
      </c>
      <c r="L2518" s="27"/>
    </row>
    <row r="2519" spans="1:12">
      <c r="A2519" s="20" t="s">
        <v>1273</v>
      </c>
      <c r="E2519" s="22">
        <f>IF(D2519="?OLD","!!!","")</f>
        <v/>
      </c>
      <c r="F2519" s="23" t="str">
        <f>IF(OR(E2519="",E2519="!!!"),"",IF(NOT(ISNA(VLOOKUP(E2519,E$1:E2518,1,FALSE()))),"OLD",IF(AND(E2519&lt;&gt;"",E2519&lt;&gt;"!!!"),"NEW","")))</f>
        <v> </v>
      </c>
      <c r="G2519" s="24" t="str">
        <f>IF(OR(E2519="",E2519="!!!"),"",IF(OR(J2519=0,AND(J2519=1,K2519=1),AND(J2519=1,I2519="SBJ"),AND(J2519=1,I2519=0)),"?IN_FOCUS",IF(J2519&lt;=2,"?ACTIVATED",IF(J2519&lt;&gt;"","?FAMILIAR",IF(F2519="NEW",IF(ISNA(VLOOKUP(E2519,#REF!,1,FALSE())),"?TYPE_IDENTIFIABLE","?REFERENTIAL"),"_")))))</f>
        <v> </v>
      </c>
      <c r="H2519" s="25" t="str">
        <f>IF(J2519&lt;&gt;1,"",IF(I2519="SBJ","CB","?"))</f>
        <v> </v>
      </c>
      <c r="I2519" s="26" t="str">
        <f>IF(OR(E2519="",E2519="!!!",F2519="NEW"),"",INDEX(B2518:B$2,-1+SUMPRODUCT(MAX(ROW(E2518:E$2)*(E2519=E2518:E$2)))))</f>
        <v> </v>
      </c>
      <c r="J2519" s="26" t="str">
        <f>IF(OR(E2519="",E2519="!!!",F2519="NEW"),"",COUNTBLANK(OFFSET(A$1,,,SUMPRODUCT(MAX(ROW(E$2:E2519)*(E2519=E$2:E2519)))))-COUNTBLANK(OFFSET(A$1,,,SUMPRODUCT(MAX(ROW(E$1:E2518)*(E2=E$1:E2518))))))</f>
        <v> </v>
      </c>
      <c r="K2519" s="26" t="str">
        <f>IF(OR(E2519="",E2519="!!!",F2519="NEW"),"",INDEX(J$1:J2518,SUMPRODUCT(MAX(ROW(E$1:E2518)*(E2519=E$1:E2518)))))</f>
        <v> </v>
      </c>
      <c r="L2519" s="27"/>
    </row>
    <row r="2520" spans="1:12">
      <c r="A2520" s="20" t="s">
        <v>1808</v>
      </c>
      <c r="E2520" s="22">
        <f>IF(D2520="?OLD","!!!","")</f>
        <v/>
      </c>
      <c r="F2520" s="23" t="str">
        <f>IF(OR(E2520="",E2520="!!!"),"",IF(NOT(ISNA(VLOOKUP(E2520,E$1:E2519,1,FALSE()))),"OLD",IF(AND(E2520&lt;&gt;"",E2520&lt;&gt;"!!!"),"NEW","")))</f>
        <v> </v>
      </c>
      <c r="G2520" s="24" t="str">
        <f>IF(OR(E2520="",E2520="!!!"),"",IF(OR(J2520=0,AND(J2520=1,K2520=1),AND(J2520=1,I2520="SBJ"),AND(J2520=1,I2520=0)),"?IN_FOCUS",IF(J2520&lt;=2,"?ACTIVATED",IF(J2520&lt;&gt;"","?FAMILIAR",IF(F2520="NEW",IF(ISNA(VLOOKUP(E2520,#REF!,1,FALSE())),"?TYPE_IDENTIFIABLE","?REFERENTIAL"),"_")))))</f>
        <v> </v>
      </c>
      <c r="H2520" s="25" t="str">
        <f>IF(J2520&lt;&gt;1,"",IF(I2520="SBJ","CB","?"))</f>
        <v> </v>
      </c>
      <c r="I2520" s="26" t="str">
        <f>IF(OR(E2520="",E2520="!!!",F2520="NEW"),"",INDEX(B2519:B$2,-1+SUMPRODUCT(MAX(ROW(E2519:E$2)*(E2520=E2519:E$2)))))</f>
        <v> </v>
      </c>
      <c r="J2520" s="26" t="str">
        <f>IF(OR(E2520="",E2520="!!!",F2520="NEW"),"",COUNTBLANK(OFFSET(A$1,,,SUMPRODUCT(MAX(ROW(E$2:E2520)*(E2520=E$2:E2520)))))-COUNTBLANK(OFFSET(A$1,,,SUMPRODUCT(MAX(ROW(E$1:E2519)*(E2=E$1:E2519))))))</f>
        <v> </v>
      </c>
      <c r="K2520" s="26" t="str">
        <f>IF(OR(E2520="",E2520="!!!",F2520="NEW"),"",INDEX(J$1:J2519,SUMPRODUCT(MAX(ROW(E$1:E2519)*(E2520=E$1:E2519)))))</f>
        <v> </v>
      </c>
      <c r="L2520" s="27"/>
    </row>
    <row r="2521" spans="1:12">
      <c r="A2521" s="20" t="s">
        <v>1018</v>
      </c>
      <c r="E2521" s="22">
        <f>IF(D2521="?OLD","!!!","")</f>
        <v/>
      </c>
      <c r="F2521" s="23" t="str">
        <f>IF(OR(E2521="",E2521="!!!"),"",IF(NOT(ISNA(VLOOKUP(E2521,E$1:E2520,1,FALSE()))),"OLD",IF(AND(E2521&lt;&gt;"",E2521&lt;&gt;"!!!"),"NEW","")))</f>
        <v> </v>
      </c>
      <c r="G2521" s="24" t="str">
        <f>IF(OR(E2521="",E2521="!!!"),"",IF(OR(J2521=0,AND(J2521=1,K2521=1),AND(J2521=1,I2521="SBJ"),AND(J2521=1,I2521=0)),"?IN_FOCUS",IF(J2521&lt;=2,"?ACTIVATED",IF(J2521&lt;&gt;"","?FAMILIAR",IF(F2521="NEW",IF(ISNA(VLOOKUP(E2521,#REF!,1,FALSE())),"?TYPE_IDENTIFIABLE","?REFERENTIAL"),"_")))))</f>
        <v> </v>
      </c>
      <c r="H2521" s="25" t="str">
        <f>IF(J2521&lt;&gt;1,"",IF(I2521="SBJ","CB","?"))</f>
        <v> </v>
      </c>
      <c r="I2521" s="26" t="str">
        <f>IF(OR(E2521="",E2521="!!!",F2521="NEW"),"",INDEX(B2520:B$2,-1+SUMPRODUCT(MAX(ROW(E2520:E$2)*(E2521=E2520:E$2)))))</f>
        <v> </v>
      </c>
      <c r="J2521" s="26" t="str">
        <f>IF(OR(E2521="",E2521="!!!",F2521="NEW"),"",COUNTBLANK(OFFSET(A$1,,,SUMPRODUCT(MAX(ROW(E$2:E2521)*(E2521=E$2:E2521)))))-COUNTBLANK(OFFSET(A$1,,,SUMPRODUCT(MAX(ROW(E$1:E2520)*(E2=E$1:E2520))))))</f>
        <v> </v>
      </c>
      <c r="K2521" s="26" t="str">
        <f>IF(OR(E2521="",E2521="!!!",F2521="NEW"),"",INDEX(J$1:J2520,SUMPRODUCT(MAX(ROW(E$1:E2520)*(E2521=E$1:E2520)))))</f>
        <v> </v>
      </c>
      <c r="L2521" s="27"/>
    </row>
    <row r="2522" spans="1:12">
      <c r="A2522" s="20" t="s">
        <v>1065</v>
      </c>
      <c r="B2522" s="21" t="s">
        <v>1251</v>
      </c>
      <c r="E2522" s="22">
        <f>IF(D2522="?OLD","!!!","")</f>
        <v/>
      </c>
      <c r="F2522" s="23" t="str">
        <f>IF(OR(E2522="",E2522="!!!"),"",IF(NOT(ISNA(VLOOKUP(E2522,E$1:E2521,1,FALSE()))),"OLD",IF(AND(E2522&lt;&gt;"",E2522&lt;&gt;"!!!"),"NEW","")))</f>
        <v> </v>
      </c>
      <c r="G2522" s="24" t="str">
        <f>IF(OR(E2522="",E2522="!!!"),"",IF(OR(J2522=0,AND(J2522=1,K2522=1),AND(J2522=1,I2522="SBJ"),AND(J2522=1,I2522=0)),"?IN_FOCUS",IF(J2522&lt;=2,"?ACTIVATED",IF(J2522&lt;&gt;"","?FAMILIAR",IF(F2522="NEW",IF(ISNA(VLOOKUP(E2522,#REF!,1,FALSE())),"?TYPE_IDENTIFIABLE","?REFERENTIAL"),"_")))))</f>
        <v> </v>
      </c>
      <c r="H2522" s="25" t="str">
        <f>IF(J2522&lt;&gt;1,"",IF(I2522="SBJ","CB","?"))</f>
        <v> </v>
      </c>
      <c r="I2522" s="26" t="str">
        <f>IF(OR(E2522="",E2522="!!!",F2522="NEW"),"",INDEX(B2521:B$2,-1+SUMPRODUCT(MAX(ROW(E2521:E$2)*(E2522=E2521:E$2)))))</f>
        <v> </v>
      </c>
      <c r="J2522" s="26" t="str">
        <f>IF(OR(E2522="",E2522="!!!",F2522="NEW"),"",COUNTBLANK(OFFSET(A$1,,,SUMPRODUCT(MAX(ROW(E$2:E2522)*(E2522=E$2:E2522)))))-COUNTBLANK(OFFSET(A$1,,,SUMPRODUCT(MAX(ROW(E$1:E2521)*(E2=E$1:E2521))))))</f>
        <v> </v>
      </c>
      <c r="K2522" s="26" t="str">
        <f>IF(OR(E2522="",E2522="!!!",F2522="NEW"),"",INDEX(J$1:J2521,SUMPRODUCT(MAX(ROW(E$1:E2521)*(E2522=E$1:E2521)))))</f>
        <v> </v>
      </c>
      <c r="L2522" s="27"/>
    </row>
    <row r="2523" spans="1:12">
      <c r="A2523" s="20" t="s">
        <v>1809</v>
      </c>
      <c r="E2523" s="22">
        <f>IF(D2523="?OLD","!!!","")</f>
        <v/>
      </c>
      <c r="F2523" s="23" t="str">
        <f>IF(OR(E2523="",E2523="!!!"),"",IF(NOT(ISNA(VLOOKUP(E2523,E$1:E2522,1,FALSE()))),"OLD",IF(AND(E2523&lt;&gt;"",E2523&lt;&gt;"!!!"),"NEW","")))</f>
        <v> </v>
      </c>
      <c r="G2523" s="24" t="str">
        <f>IF(OR(E2523="",E2523="!!!"),"",IF(OR(J2523=0,AND(J2523=1,K2523=1),AND(J2523=1,I2523="SBJ"),AND(J2523=1,I2523=0)),"?IN_FOCUS",IF(J2523&lt;=2,"?ACTIVATED",IF(J2523&lt;&gt;"","?FAMILIAR",IF(F2523="NEW",IF(ISNA(VLOOKUP(E2523,#REF!,1,FALSE())),"?TYPE_IDENTIFIABLE","?REFERENTIAL"),"_")))))</f>
        <v> </v>
      </c>
      <c r="H2523" s="25" t="str">
        <f>IF(J2523&lt;&gt;1,"",IF(I2523="SBJ","CB","?"))</f>
        <v> </v>
      </c>
      <c r="I2523" s="26" t="str">
        <f>IF(OR(E2523="",E2523="!!!",F2523="NEW"),"",INDEX(B2522:B$2,-1+SUMPRODUCT(MAX(ROW(E2522:E$2)*(E2523=E2522:E$2)))))</f>
        <v> </v>
      </c>
      <c r="J2523" s="26" t="str">
        <f>IF(OR(E2523="",E2523="!!!",F2523="NEW"),"",COUNTBLANK(OFFSET(A$1,,,SUMPRODUCT(MAX(ROW(E$2:E2523)*(E2523=E$2:E2523)))))-COUNTBLANK(OFFSET(A$1,,,SUMPRODUCT(MAX(ROW(E$1:E2522)*(E2=E$1:E2522))))))</f>
        <v> </v>
      </c>
      <c r="K2523" s="26" t="str">
        <f>IF(OR(E2523="",E2523="!!!",F2523="NEW"),"",INDEX(J$1:J2522,SUMPRODUCT(MAX(ROW(E$1:E2522)*(E2523=E$1:E2522)))))</f>
        <v> </v>
      </c>
      <c r="L2523" s="27"/>
    </row>
    <row r="2524" spans="1:12">
      <c r="A2524" s="20" t="s">
        <v>1286</v>
      </c>
      <c r="E2524" s="22">
        <f>IF(D2524="?OLD","!!!","")</f>
        <v/>
      </c>
      <c r="F2524" s="23" t="str">
        <f>IF(OR(E2524="",E2524="!!!"),"",IF(NOT(ISNA(VLOOKUP(E2524,E$1:E2523,1,FALSE()))),"OLD",IF(AND(E2524&lt;&gt;"",E2524&lt;&gt;"!!!"),"NEW","")))</f>
        <v> </v>
      </c>
      <c r="G2524" s="24" t="str">
        <f>IF(OR(E2524="",E2524="!!!"),"",IF(OR(J2524=0,AND(J2524=1,K2524=1),AND(J2524=1,I2524="SBJ"),AND(J2524=1,I2524=0)),"?IN_FOCUS",IF(J2524&lt;=2,"?ACTIVATED",IF(J2524&lt;&gt;"","?FAMILIAR",IF(F2524="NEW",IF(ISNA(VLOOKUP(E2524,#REF!,1,FALSE())),"?TYPE_IDENTIFIABLE","?REFERENTIAL"),"_")))))</f>
        <v> </v>
      </c>
      <c r="H2524" s="25" t="str">
        <f>IF(J2524&lt;&gt;1,"",IF(I2524="SBJ","CB","?"))</f>
        <v> </v>
      </c>
      <c r="I2524" s="26" t="str">
        <f>IF(OR(E2524="",E2524="!!!",F2524="NEW"),"",INDEX(B2523:B$2,-1+SUMPRODUCT(MAX(ROW(E2523:E$2)*(E2524=E2523:E$2)))))</f>
        <v> </v>
      </c>
      <c r="J2524" s="26" t="str">
        <f>IF(OR(E2524="",E2524="!!!",F2524="NEW"),"",COUNTBLANK(OFFSET(A$1,,,SUMPRODUCT(MAX(ROW(E$2:E2524)*(E2524=E$2:E2524)))))-COUNTBLANK(OFFSET(A$1,,,SUMPRODUCT(MAX(ROW(E$1:E2523)*(E2=E$1:E2523))))))</f>
        <v> </v>
      </c>
      <c r="K2524" s="26" t="str">
        <f>IF(OR(E2524="",E2524="!!!",F2524="NEW"),"",INDEX(J$1:J2523,SUMPRODUCT(MAX(ROW(E$1:E2523)*(E2524=E$1:E2523)))))</f>
        <v> </v>
      </c>
      <c r="L2524" s="27"/>
    </row>
    <row r="2525" spans="1:12">
      <c r="A2525" s="20" t="s">
        <v>1014</v>
      </c>
      <c r="E2525" s="22">
        <f>IF(D2525="?OLD","!!!","")</f>
        <v/>
      </c>
      <c r="F2525" s="23" t="str">
        <f>IF(OR(E2525="",E2525="!!!"),"",IF(NOT(ISNA(VLOOKUP(E2525,E$1:E2524,1,FALSE()))),"OLD",IF(AND(E2525&lt;&gt;"",E2525&lt;&gt;"!!!"),"NEW","")))</f>
        <v> </v>
      </c>
      <c r="G2525" s="24" t="str">
        <f>IF(OR(E2525="",E2525="!!!"),"",IF(OR(J2525=0,AND(J2525=1,K2525=1),AND(J2525=1,I2525="SBJ"),AND(J2525=1,I2525=0)),"?IN_FOCUS",IF(J2525&lt;=2,"?ACTIVATED",IF(J2525&lt;&gt;"","?FAMILIAR",IF(F2525="NEW",IF(ISNA(VLOOKUP(E2525,#REF!,1,FALSE())),"?TYPE_IDENTIFIABLE","?REFERENTIAL"),"_")))))</f>
        <v> </v>
      </c>
      <c r="H2525" s="25" t="str">
        <f>IF(J2525&lt;&gt;1,"",IF(I2525="SBJ","CB","?"))</f>
        <v> </v>
      </c>
      <c r="I2525" s="26" t="str">
        <f>IF(OR(E2525="",E2525="!!!",F2525="NEW"),"",INDEX(B2524:B$2,-1+SUMPRODUCT(MAX(ROW(E2524:E$2)*(E2525=E2524:E$2)))))</f>
        <v> </v>
      </c>
      <c r="J2525" s="26" t="str">
        <f>IF(OR(E2525="",E2525="!!!",F2525="NEW"),"",COUNTBLANK(OFFSET(A$1,,,SUMPRODUCT(MAX(ROW(E$2:E2525)*(E2525=E$2:E2525)))))-COUNTBLANK(OFFSET(A$1,,,SUMPRODUCT(MAX(ROW(E$1:E2524)*(E2=E$1:E2524))))))</f>
        <v> </v>
      </c>
      <c r="K2525" s="26" t="str">
        <f>IF(OR(E2525="",E2525="!!!",F2525="NEW"),"",INDEX(J$1:J2524,SUMPRODUCT(MAX(ROW(E$1:E2524)*(E2525=E$1:E2524)))))</f>
        <v> </v>
      </c>
      <c r="L2525" s="27"/>
    </row>
    <row r="2526" spans="1:12">
      <c r="A2526" s="20" t="s">
        <v>1810</v>
      </c>
      <c r="E2526" s="22">
        <f>IF(D2526="?OLD","!!!","")</f>
        <v/>
      </c>
      <c r="F2526" s="23" t="str">
        <f>IF(OR(E2526="",E2526="!!!"),"",IF(NOT(ISNA(VLOOKUP(E2526,E$1:E2525,1,FALSE()))),"OLD",IF(AND(E2526&lt;&gt;"",E2526&lt;&gt;"!!!"),"NEW","")))</f>
        <v> </v>
      </c>
      <c r="G2526" s="24" t="str">
        <f>IF(OR(E2526="",E2526="!!!"),"",IF(OR(J2526=0,AND(J2526=1,K2526=1),AND(J2526=1,I2526="SBJ"),AND(J2526=1,I2526=0)),"?IN_FOCUS",IF(J2526&lt;=2,"?ACTIVATED",IF(J2526&lt;&gt;"","?FAMILIAR",IF(F2526="NEW",IF(ISNA(VLOOKUP(E2526,#REF!,1,FALSE())),"?TYPE_IDENTIFIABLE","?REFERENTIAL"),"_")))))</f>
        <v> </v>
      </c>
      <c r="H2526" s="25" t="str">
        <f>IF(J2526&lt;&gt;1,"",IF(I2526="SBJ","CB","?"))</f>
        <v> </v>
      </c>
      <c r="I2526" s="26" t="str">
        <f>IF(OR(E2526="",E2526="!!!",F2526="NEW"),"",INDEX(B2525:B$2,-1+SUMPRODUCT(MAX(ROW(E2525:E$2)*(E2526=E2525:E$2)))))</f>
        <v> </v>
      </c>
      <c r="J2526" s="26" t="str">
        <f>IF(OR(E2526="",E2526="!!!",F2526="NEW"),"",COUNTBLANK(OFFSET(A$1,,,SUMPRODUCT(MAX(ROW(E$2:E2526)*(E2526=E$2:E2526)))))-COUNTBLANK(OFFSET(A$1,,,SUMPRODUCT(MAX(ROW(E$1:E2525)*(E2=E$1:E2525))))))</f>
        <v> </v>
      </c>
      <c r="K2526" s="26" t="str">
        <f>IF(OR(E2526="",E2526="!!!",F2526="NEW"),"",INDEX(J$1:J2525,SUMPRODUCT(MAX(ROW(E$1:E2525)*(E2526=E$1:E2525)))))</f>
        <v> </v>
      </c>
      <c r="L2526" s="27"/>
    </row>
    <row r="2527" spans="1:12">
      <c r="A2527" s="20" t="s">
        <v>1172</v>
      </c>
      <c r="B2527" s="21" t="s">
        <v>1253</v>
      </c>
      <c r="C2527" s="21" t="s">
        <v>1205</v>
      </c>
      <c r="E2527" s="22">
        <f>IF(D2527="?OLD","!!!","")</f>
        <v/>
      </c>
      <c r="F2527" s="23" t="str">
        <f>IF(OR(E2527="",E2527="!!!"),"",IF(NOT(ISNA(VLOOKUP(E2527,E$1:E2526,1,FALSE()))),"OLD",IF(AND(E2527&lt;&gt;"",E2527&lt;&gt;"!!!"),"NEW","")))</f>
        <v> </v>
      </c>
      <c r="G2527" s="24" t="str">
        <f>IF(OR(E2527="",E2527="!!!"),"",IF(OR(J2527=0,AND(J2527=1,K2527=1),AND(J2527=1,I2527="SBJ"),AND(J2527=1,I2527=0)),"?IN_FOCUS",IF(J2527&lt;=2,"?ACTIVATED",IF(J2527&lt;&gt;"","?FAMILIAR",IF(F2527="NEW",IF(ISNA(VLOOKUP(E2527,#REF!,1,FALSE())),"?TYPE_IDENTIFIABLE","?REFERENTIAL"),"_")))))</f>
        <v> </v>
      </c>
      <c r="H2527" s="25" t="str">
        <f>IF(J2527&lt;&gt;1,"",IF(I2527="SBJ","CB","?"))</f>
        <v> </v>
      </c>
      <c r="I2527" s="26" t="str">
        <f>IF(OR(E2527="",E2527="!!!",F2527="NEW"),"",INDEX(B2526:B$2,-1+SUMPRODUCT(MAX(ROW(E2526:E$2)*(E2527=E2526:E$2)))))</f>
        <v> </v>
      </c>
      <c r="J2527" s="26" t="str">
        <f>IF(OR(E2527="",E2527="!!!",F2527="NEW"),"",COUNTBLANK(OFFSET(A$1,,,SUMPRODUCT(MAX(ROW(E$2:E2527)*(E2527=E$2:E2527)))))-COUNTBLANK(OFFSET(A$1,,,SUMPRODUCT(MAX(ROW(E$1:E2526)*(E2=E$1:E2526))))))</f>
        <v> </v>
      </c>
      <c r="K2527" s="26" t="str">
        <f>IF(OR(E2527="",E2527="!!!",F2527="NEW"),"",INDEX(J$1:J2526,SUMPRODUCT(MAX(ROW(E$1:E2526)*(E2527=E$1:E2526)))))</f>
        <v> </v>
      </c>
      <c r="L2527" s="27"/>
    </row>
    <row r="2528" spans="1:12">
      <c r="A2528" s="20" t="s">
        <v>1023</v>
      </c>
      <c r="E2528" s="22">
        <f>IF(D2528="?OLD","!!!","")</f>
        <v/>
      </c>
      <c r="F2528" s="23" t="str">
        <f>IF(OR(E2528="",E2528="!!!"),"",IF(NOT(ISNA(VLOOKUP(E2528,E$1:E2527,1,FALSE()))),"OLD",IF(AND(E2528&lt;&gt;"",E2528&lt;&gt;"!!!"),"NEW","")))</f>
        <v> </v>
      </c>
      <c r="G2528" s="24" t="str">
        <f>IF(OR(E2528="",E2528="!!!"),"",IF(OR(J2528=0,AND(J2528=1,K2528=1),AND(J2528=1,I2528="SBJ"),AND(J2528=1,I2528=0)),"?IN_FOCUS",IF(J2528&lt;=2,"?ACTIVATED",IF(J2528&lt;&gt;"","?FAMILIAR",IF(F2528="NEW",IF(ISNA(VLOOKUP(E2528,#REF!,1,FALSE())),"?TYPE_IDENTIFIABLE","?REFERENTIAL"),"_")))))</f>
        <v> </v>
      </c>
      <c r="H2528" s="25" t="str">
        <f>IF(J2528&lt;&gt;1,"",IF(I2528="SBJ","CB","?"))</f>
        <v> </v>
      </c>
      <c r="I2528" s="26" t="str">
        <f>IF(OR(E2528="",E2528="!!!",F2528="NEW"),"",INDEX(B2527:B$2,-1+SUMPRODUCT(MAX(ROW(E2527:E$2)*(E2528=E2527:E$2)))))</f>
        <v> </v>
      </c>
      <c r="J2528" s="26" t="str">
        <f>IF(OR(E2528="",E2528="!!!",F2528="NEW"),"",COUNTBLANK(OFFSET(A$1,,,SUMPRODUCT(MAX(ROW(E$2:E2528)*(E2528=E$2:E2528)))))-COUNTBLANK(OFFSET(A$1,,,SUMPRODUCT(MAX(ROW(E$1:E2527)*(E2=E$1:E2527))))))</f>
        <v> </v>
      </c>
      <c r="K2528" s="26" t="str">
        <f>IF(OR(E2528="",E2528="!!!",F2528="NEW"),"",INDEX(J$1:J2527,SUMPRODUCT(MAX(ROW(E$1:E2527)*(E2528=E$1:E2527)))))</f>
        <v> </v>
      </c>
      <c r="L2528" s="27"/>
    </row>
    <row r="2529" spans="1:12">
      <c r="A2529" s="20"/>
    </row>
    <row r="2530" spans="1:12">
      <c r="A2530" s="20" t="s">
        <v>1811</v>
      </c>
    </row>
    <row r="2531" spans="1:12">
      <c r="A2531" s="20" t="s">
        <v>1247</v>
      </c>
      <c r="E2531" s="22">
        <f>IF(D2531="?OLD","!!!","")</f>
        <v/>
      </c>
      <c r="F2531" s="23" t="str">
        <f>IF(OR(E2531="",E2531="!!!"),"",IF(NOT(ISNA(VLOOKUP(E2531,E$1:E2530,1,FALSE()))),"OLD",IF(AND(E2531&lt;&gt;"",E2531&lt;&gt;"!!!"),"NEW","")))</f>
        <v> </v>
      </c>
      <c r="G2531" s="24" t="str">
        <f>IF(OR(E2531="",E2531="!!!"),"",IF(OR(J2531=0,AND(J2531=1,K2531=1),AND(J2531=1,I2531="SBJ"),AND(J2531=1,I2531=0)),"?IN_FOCUS",IF(J2531&lt;=2,"?ACTIVATED",IF(J2531&lt;&gt;"","?FAMILIAR",IF(F2531="NEW",IF(ISNA(VLOOKUP(E2531,#REF!,1,FALSE())),"?TYPE_IDENTIFIABLE","?REFERENTIAL"),"_")))))</f>
        <v> </v>
      </c>
      <c r="H2531" s="25" t="str">
        <f>IF(J2531&lt;&gt;1,"",IF(I2531="SBJ","CB","?"))</f>
        <v> </v>
      </c>
      <c r="I2531" s="26" t="str">
        <f>IF(OR(E2531="",E2531="!!!",F2531="NEW"),"",INDEX(B2530:B$2,-1+SUMPRODUCT(MAX(ROW(E2530:E$2)*(E2531=E2530:E$2)))))</f>
        <v> </v>
      </c>
      <c r="J2531" s="26" t="str">
        <f>IF(OR(E2531="",E2531="!!!",F2531="NEW"),"",COUNTBLANK(OFFSET(A$1,,,SUMPRODUCT(MAX(ROW(E$2:E2531)*(E2531=E$2:E2531)))))-COUNTBLANK(OFFSET(A$1,,,SUMPRODUCT(MAX(ROW(E$1:E2530)*(E2=E$1:E2530))))))</f>
        <v> </v>
      </c>
      <c r="K2531" s="26" t="str">
        <f>IF(OR(E2531="",E2531="!!!",F2531="NEW"),"",INDEX(J$1:J2530,SUMPRODUCT(MAX(ROW(E$1:E2530)*(E2531=E$1:E2530)))))</f>
        <v> </v>
      </c>
      <c r="L2531" s="27"/>
    </row>
    <row r="2532" spans="1:12">
      <c r="A2532" s="20" t="s">
        <v>1686</v>
      </c>
      <c r="E2532" s="22">
        <f>IF(D2532="?OLD","!!!","")</f>
        <v/>
      </c>
      <c r="F2532" s="23" t="str">
        <f>IF(OR(E2532="",E2532="!!!"),"",IF(NOT(ISNA(VLOOKUP(E2532,E$1:E2531,1,FALSE()))),"OLD",IF(AND(E2532&lt;&gt;"",E2532&lt;&gt;"!!!"),"NEW","")))</f>
        <v> </v>
      </c>
      <c r="G2532" s="24" t="str">
        <f>IF(OR(E2532="",E2532="!!!"),"",IF(OR(J2532=0,AND(J2532=1,K2532=1),AND(J2532=1,I2532="SBJ"),AND(J2532=1,I2532=0)),"?IN_FOCUS",IF(J2532&lt;=2,"?ACTIVATED",IF(J2532&lt;&gt;"","?FAMILIAR",IF(F2532="NEW",IF(ISNA(VLOOKUP(E2532,#REF!,1,FALSE())),"?TYPE_IDENTIFIABLE","?REFERENTIAL"),"_")))))</f>
        <v> </v>
      </c>
      <c r="H2532" s="25" t="str">
        <f>IF(J2532&lt;&gt;1,"",IF(I2532="SBJ","CB","?"))</f>
        <v> </v>
      </c>
      <c r="I2532" s="26" t="str">
        <f>IF(OR(E2532="",E2532="!!!",F2532="NEW"),"",INDEX(B2531:B$2,-1+SUMPRODUCT(MAX(ROW(E2531:E$2)*(E2532=E2531:E$2)))))</f>
        <v> </v>
      </c>
      <c r="J2532" s="26" t="str">
        <f>IF(OR(E2532="",E2532="!!!",F2532="NEW"),"",COUNTBLANK(OFFSET(A$1,,,SUMPRODUCT(MAX(ROW(E$2:E2532)*(E2532=E$2:E2532)))))-COUNTBLANK(OFFSET(A$1,,,SUMPRODUCT(MAX(ROW(E$1:E2531)*(E2=E$1:E2531))))))</f>
        <v> </v>
      </c>
      <c r="K2532" s="26" t="str">
        <f>IF(OR(E2532="",E2532="!!!",F2532="NEW"),"",INDEX(J$1:J2531,SUMPRODUCT(MAX(ROW(E$1:E2531)*(E2532=E$1:E2531)))))</f>
        <v> </v>
      </c>
      <c r="L2532" s="27"/>
    </row>
    <row r="2533" spans="1:12">
      <c r="A2533" s="20" t="s">
        <v>1807</v>
      </c>
      <c r="B2533" s="21" t="s">
        <v>1005</v>
      </c>
      <c r="C2533" s="21" t="s">
        <v>1103</v>
      </c>
      <c r="E2533" s="22">
        <f>IF(D2533="?OLD","!!!","")</f>
        <v/>
      </c>
      <c r="F2533" s="23" t="str">
        <f>IF(OR(E2533="",E2533="!!!"),"",IF(NOT(ISNA(VLOOKUP(E2533,E$1:E2532,1,FALSE()))),"OLD",IF(AND(E2533&lt;&gt;"",E2533&lt;&gt;"!!!"),"NEW","")))</f>
        <v> </v>
      </c>
      <c r="G2533" s="24" t="str">
        <f>IF(OR(E2533="",E2533="!!!"),"",IF(OR(J2533=0,AND(J2533=1,K2533=1),AND(J2533=1,I2533="SBJ"),AND(J2533=1,I2533=0)),"?IN_FOCUS",IF(J2533&lt;=2,"?ACTIVATED",IF(J2533&lt;&gt;"","?FAMILIAR",IF(F2533="NEW",IF(ISNA(VLOOKUP(E2533,#REF!,1,FALSE())),"?TYPE_IDENTIFIABLE","?REFERENTIAL"),"_")))))</f>
        <v> </v>
      </c>
      <c r="H2533" s="25" t="str">
        <f>IF(J2533&lt;&gt;1,"",IF(I2533="SBJ","CB","?"))</f>
        <v> </v>
      </c>
      <c r="I2533" s="26" t="str">
        <f>IF(OR(E2533="",E2533="!!!",F2533="NEW"),"",INDEX(B2532:B$2,-1+SUMPRODUCT(MAX(ROW(E2532:E$2)*(E2533=E2532:E$2)))))</f>
        <v> </v>
      </c>
      <c r="J2533" s="26" t="str">
        <f>IF(OR(E2533="",E2533="!!!",F2533="NEW"),"",COUNTBLANK(OFFSET(A$1,,,SUMPRODUCT(MAX(ROW(E$2:E2533)*(E2533=E$2:E2533)))))-COUNTBLANK(OFFSET(A$1,,,SUMPRODUCT(MAX(ROW(E$1:E2532)*(E2=E$1:E2532))))))</f>
        <v> </v>
      </c>
      <c r="K2533" s="26" t="str">
        <f>IF(OR(E2533="",E2533="!!!",F2533="NEW"),"",INDEX(J$1:J2532,SUMPRODUCT(MAX(ROW(E$1:E2532)*(E2533=E$1:E2532)))))</f>
        <v> </v>
      </c>
      <c r="L2533" s="27"/>
    </row>
    <row r="2534" spans="1:12">
      <c r="A2534" s="20" t="s">
        <v>1018</v>
      </c>
      <c r="E2534" s="22">
        <f>IF(D2534="?OLD","!!!","")</f>
        <v/>
      </c>
      <c r="F2534" s="23" t="str">
        <f>IF(OR(E2534="",E2534="!!!"),"",IF(NOT(ISNA(VLOOKUP(E2534,E$1:E2533,1,FALSE()))),"OLD",IF(AND(E2534&lt;&gt;"",E2534&lt;&gt;"!!!"),"NEW","")))</f>
        <v> </v>
      </c>
      <c r="G2534" s="24" t="str">
        <f>IF(OR(E2534="",E2534="!!!"),"",IF(OR(J2534=0,AND(J2534=1,K2534=1),AND(J2534=1,I2534="SBJ"),AND(J2534=1,I2534=0)),"?IN_FOCUS",IF(J2534&lt;=2,"?ACTIVATED",IF(J2534&lt;&gt;"","?FAMILIAR",IF(F2534="NEW",IF(ISNA(VLOOKUP(E2534,#REF!,1,FALSE())),"?TYPE_IDENTIFIABLE","?REFERENTIAL"),"_")))))</f>
        <v> </v>
      </c>
      <c r="H2534" s="25" t="str">
        <f>IF(J2534&lt;&gt;1,"",IF(I2534="SBJ","CB","?"))</f>
        <v> </v>
      </c>
      <c r="I2534" s="26" t="str">
        <f>IF(OR(E2534="",E2534="!!!",F2534="NEW"),"",INDEX(B2533:B$2,-1+SUMPRODUCT(MAX(ROW(E2533:E$2)*(E2534=E2533:E$2)))))</f>
        <v> </v>
      </c>
      <c r="J2534" s="26" t="str">
        <f>IF(OR(E2534="",E2534="!!!",F2534="NEW"),"",COUNTBLANK(OFFSET(A$1,,,SUMPRODUCT(MAX(ROW(E$2:E2534)*(E2534=E$2:E2534)))))-COUNTBLANK(OFFSET(A$1,,,SUMPRODUCT(MAX(ROW(E$1:E2533)*(E2=E$1:E2533))))))</f>
        <v> </v>
      </c>
      <c r="K2534" s="26" t="str">
        <f>IF(OR(E2534="",E2534="!!!",F2534="NEW"),"",INDEX(J$1:J2533,SUMPRODUCT(MAX(ROW(E$1:E2533)*(E2534=E$1:E2533)))))</f>
        <v> </v>
      </c>
      <c r="L2534" s="27"/>
    </row>
    <row r="2535" spans="1:12">
      <c r="A2535" s="20" t="s">
        <v>1224</v>
      </c>
      <c r="B2535" s="21" t="s">
        <v>1050</v>
      </c>
      <c r="C2535" s="21" t="s">
        <v>1082</v>
      </c>
      <c r="D2535" s="21" t="s">
        <v>1007</v>
      </c>
      <c r="E2535" s="22">
        <f>IF(D2535="?OLD","!!!","")</f>
        <v/>
      </c>
      <c r="F2535" s="23" t="str">
        <f>IF(OR(E2535="",E2535="!!!"),"",IF(NOT(ISNA(VLOOKUP(E2535,E$1:E2534,1,FALSE()))),"OLD",IF(AND(E2535&lt;&gt;"",E2535&lt;&gt;"!!!"),"NEW","")))</f>
        <v> </v>
      </c>
      <c r="G2535" s="24" t="str">
        <f>IF(OR(E2535="",E2535="!!!"),"",IF(OR(J2535=0,AND(J2535=1,K2535=1),AND(J2535=1,I2535="SBJ"),AND(J2535=1,I2535=0)),"?IN_FOCUS",IF(J2535&lt;=2,"?ACTIVATED",IF(J2535&lt;&gt;"","?FAMILIAR",IF(F2535="NEW",IF(ISNA(VLOOKUP(E2535,#REF!,1,FALSE())),"?TYPE_IDENTIFIABLE","?REFERENTIAL"),"_")))))</f>
        <v> </v>
      </c>
      <c r="H2535" s="25" t="str">
        <f>IF(J2535&lt;&gt;1,"",IF(I2535="SBJ","CB","?"))</f>
        <v> </v>
      </c>
      <c r="I2535" s="26" t="str">
        <f>IF(OR(E2535="",E2535="!!!",F2535="NEW"),"",INDEX(B2534:B$2,-1+SUMPRODUCT(MAX(ROW(E2534:E$2)*(E2535=E2534:E$2)))))</f>
        <v> </v>
      </c>
      <c r="J2535" s="26" t="str">
        <f>IF(OR(E2535="",E2535="!!!",F2535="NEW"),"",COUNTBLANK(OFFSET(A$1,,,SUMPRODUCT(MAX(ROW(E$2:E2535)*(E2535=E$2:E2535)))))-COUNTBLANK(OFFSET(A$1,,,SUMPRODUCT(MAX(ROW(E$1:E2534)*(E2=E$1:E2534))))))</f>
        <v> </v>
      </c>
      <c r="K2535" s="26" t="str">
        <f>IF(OR(E2535="",E2535="!!!",F2535="NEW"),"",INDEX(J$1:J2534,SUMPRODUCT(MAX(ROW(E$1:E2534)*(E2535=E$1:E2534)))))</f>
        <v> </v>
      </c>
      <c r="L2535" s="27"/>
    </row>
    <row r="2536" spans="1:12">
      <c r="A2536" s="20" t="s">
        <v>1812</v>
      </c>
      <c r="E2536" s="22">
        <f>IF(D2536="?OLD","!!!","")</f>
        <v/>
      </c>
      <c r="F2536" s="23" t="str">
        <f>IF(OR(E2536="",E2536="!!!"),"",IF(NOT(ISNA(VLOOKUP(E2536,E$1:E2535,1,FALSE()))),"OLD",IF(AND(E2536&lt;&gt;"",E2536&lt;&gt;"!!!"),"NEW","")))</f>
        <v> </v>
      </c>
      <c r="G2536" s="24" t="str">
        <f>IF(OR(E2536="",E2536="!!!"),"",IF(OR(J2536=0,AND(J2536=1,K2536=1),AND(J2536=1,I2536="SBJ"),AND(J2536=1,I2536=0)),"?IN_FOCUS",IF(J2536&lt;=2,"?ACTIVATED",IF(J2536&lt;&gt;"","?FAMILIAR",IF(F2536="NEW",IF(ISNA(VLOOKUP(E2536,#REF!,1,FALSE())),"?TYPE_IDENTIFIABLE","?REFERENTIAL"),"_")))))</f>
        <v> </v>
      </c>
      <c r="H2536" s="25" t="str">
        <f>IF(J2536&lt;&gt;1,"",IF(I2536="SBJ","CB","?"))</f>
        <v> </v>
      </c>
      <c r="I2536" s="26" t="str">
        <f>IF(OR(E2536="",E2536="!!!",F2536="NEW"),"",INDEX(B2535:B$2,-1+SUMPRODUCT(MAX(ROW(E2535:E$2)*(E2536=E2535:E$2)))))</f>
        <v> </v>
      </c>
      <c r="J2536" s="26" t="str">
        <f>IF(OR(E2536="",E2536="!!!",F2536="NEW"),"",COUNTBLANK(OFFSET(A$1,,,SUMPRODUCT(MAX(ROW(E$2:E2536)*(E2536=E$2:E2536)))))-COUNTBLANK(OFFSET(A$1,,,SUMPRODUCT(MAX(ROW(E$1:E2535)*(E2=E$1:E2535))))))</f>
        <v> </v>
      </c>
      <c r="K2536" s="26" t="str">
        <f>IF(OR(E2536="",E2536="!!!",F2536="NEW"),"",INDEX(J$1:J2535,SUMPRODUCT(MAX(ROW(E$1:E2535)*(E2536=E$1:E2535)))))</f>
        <v> </v>
      </c>
      <c r="L2536" s="27"/>
    </row>
    <row r="2537" spans="1:12">
      <c r="A2537" s="20" t="s">
        <v>1018</v>
      </c>
      <c r="E2537" s="22">
        <f>IF(D2537="?OLD","!!!","")</f>
        <v/>
      </c>
      <c r="F2537" s="23" t="str">
        <f>IF(OR(E2537="",E2537="!!!"),"",IF(NOT(ISNA(VLOOKUP(E2537,E$1:E2536,1,FALSE()))),"OLD",IF(AND(E2537&lt;&gt;"",E2537&lt;&gt;"!!!"),"NEW","")))</f>
        <v> </v>
      </c>
      <c r="G2537" s="24" t="str">
        <f>IF(OR(E2537="",E2537="!!!"),"",IF(OR(J2537=0,AND(J2537=1,K2537=1),AND(J2537=1,I2537="SBJ"),AND(J2537=1,I2537=0)),"?IN_FOCUS",IF(J2537&lt;=2,"?ACTIVATED",IF(J2537&lt;&gt;"","?FAMILIAR",IF(F2537="NEW",IF(ISNA(VLOOKUP(E2537,#REF!,1,FALSE())),"?TYPE_IDENTIFIABLE","?REFERENTIAL"),"_")))))</f>
        <v> </v>
      </c>
      <c r="H2537" s="25" t="str">
        <f>IF(J2537&lt;&gt;1,"",IF(I2537="SBJ","CB","?"))</f>
        <v> </v>
      </c>
      <c r="I2537" s="26" t="str">
        <f>IF(OR(E2537="",E2537="!!!",F2537="NEW"),"",INDEX(B2536:B$2,-1+SUMPRODUCT(MAX(ROW(E2536:E$2)*(E2537=E2536:E$2)))))</f>
        <v> </v>
      </c>
      <c r="J2537" s="26" t="str">
        <f>IF(OR(E2537="",E2537="!!!",F2537="NEW"),"",COUNTBLANK(OFFSET(A$1,,,SUMPRODUCT(MAX(ROW(E$2:E2537)*(E2537=E$2:E2537)))))-COUNTBLANK(OFFSET(A$1,,,SUMPRODUCT(MAX(ROW(E$1:E2536)*(E2=E$1:E2536))))))</f>
        <v> </v>
      </c>
      <c r="K2537" s="26" t="str">
        <f>IF(OR(E2537="",E2537="!!!",F2537="NEW"),"",INDEX(J$1:J2536,SUMPRODUCT(MAX(ROW(E$1:E2536)*(E2537=E$1:E2536)))))</f>
        <v> </v>
      </c>
      <c r="L2537" s="27"/>
    </row>
    <row r="2538" spans="1:12">
      <c r="A2538" s="20" t="s">
        <v>1036</v>
      </c>
      <c r="E2538" s="22">
        <f>IF(D2538="?OLD","!!!","")</f>
        <v/>
      </c>
      <c r="F2538" s="23" t="str">
        <f>IF(OR(E2538="",E2538="!!!"),"",IF(NOT(ISNA(VLOOKUP(E2538,E$1:E2537,1,FALSE()))),"OLD",IF(AND(E2538&lt;&gt;"",E2538&lt;&gt;"!!!"),"NEW","")))</f>
        <v> </v>
      </c>
      <c r="G2538" s="24" t="str">
        <f>IF(OR(E2538="",E2538="!!!"),"",IF(OR(J2538=0,AND(J2538=1,K2538=1),AND(J2538=1,I2538="SBJ"),AND(J2538=1,I2538=0)),"?IN_FOCUS",IF(J2538&lt;=2,"?ACTIVATED",IF(J2538&lt;&gt;"","?FAMILIAR",IF(F2538="NEW",IF(ISNA(VLOOKUP(E2538,#REF!,1,FALSE())),"?TYPE_IDENTIFIABLE","?REFERENTIAL"),"_")))))</f>
        <v> </v>
      </c>
      <c r="H2538" s="25" t="str">
        <f>IF(J2538&lt;&gt;1,"",IF(I2538="SBJ","CB","?"))</f>
        <v> </v>
      </c>
      <c r="I2538" s="26" t="str">
        <f>IF(OR(E2538="",E2538="!!!",F2538="NEW"),"",INDEX(B2537:B$2,-1+SUMPRODUCT(MAX(ROW(E2537:E$2)*(E2538=E2537:E$2)))))</f>
        <v> </v>
      </c>
      <c r="J2538" s="26" t="str">
        <f>IF(OR(E2538="",E2538="!!!",F2538="NEW"),"",COUNTBLANK(OFFSET(A$1,,,SUMPRODUCT(MAX(ROW(E$2:E2538)*(E2538=E$2:E2538)))))-COUNTBLANK(OFFSET(A$1,,,SUMPRODUCT(MAX(ROW(E$1:E2537)*(E2=E$1:E2537))))))</f>
        <v> </v>
      </c>
      <c r="K2538" s="26" t="str">
        <f>IF(OR(E2538="",E2538="!!!",F2538="NEW"),"",INDEX(J$1:J2537,SUMPRODUCT(MAX(ROW(E$1:E2537)*(E2538=E$1:E2537)))))</f>
        <v> </v>
      </c>
      <c r="L2538" s="27"/>
    </row>
    <row r="2539" spans="1:12">
      <c r="A2539" s="20" t="s">
        <v>1813</v>
      </c>
      <c r="B2539" s="21" t="s">
        <v>1005</v>
      </c>
      <c r="C2539" s="21" t="s">
        <v>1048</v>
      </c>
      <c r="E2539" s="22">
        <f>IF(D2539="?OLD","!!!","")</f>
        <v/>
      </c>
      <c r="F2539" s="23" t="str">
        <f>IF(OR(E2539="",E2539="!!!"),"",IF(NOT(ISNA(VLOOKUP(E2539,E$1:E2538,1,FALSE()))),"OLD",IF(AND(E2539&lt;&gt;"",E2539&lt;&gt;"!!!"),"NEW","")))</f>
        <v> </v>
      </c>
      <c r="G2539" s="24" t="str">
        <f>IF(OR(E2539="",E2539="!!!"),"",IF(OR(J2539=0,AND(J2539=1,K2539=1),AND(J2539=1,I2539="SBJ"),AND(J2539=1,I2539=0)),"?IN_FOCUS",IF(J2539&lt;=2,"?ACTIVATED",IF(J2539&lt;&gt;"","?FAMILIAR",IF(F2539="NEW",IF(ISNA(VLOOKUP(E2539,#REF!,1,FALSE())),"?TYPE_IDENTIFIABLE","?REFERENTIAL"),"_")))))</f>
        <v> </v>
      </c>
      <c r="H2539" s="25" t="str">
        <f>IF(J2539&lt;&gt;1,"",IF(I2539="SBJ","CB","?"))</f>
        <v> </v>
      </c>
      <c r="I2539" s="26" t="str">
        <f>IF(OR(E2539="",E2539="!!!",F2539="NEW"),"",INDEX(B2538:B$2,-1+SUMPRODUCT(MAX(ROW(E2538:E$2)*(E2539=E2538:E$2)))))</f>
        <v> </v>
      </c>
      <c r="J2539" s="26" t="str">
        <f>IF(OR(E2539="",E2539="!!!",F2539="NEW"),"",COUNTBLANK(OFFSET(A$1,,,SUMPRODUCT(MAX(ROW(E$2:E2539)*(E2539=E$2:E2539)))))-COUNTBLANK(OFFSET(A$1,,,SUMPRODUCT(MAX(ROW(E$1:E2538)*(E2=E$1:E2538))))))</f>
        <v> </v>
      </c>
      <c r="K2539" s="26" t="str">
        <f>IF(OR(E2539="",E2539="!!!",F2539="NEW"),"",INDEX(J$1:J2538,SUMPRODUCT(MAX(ROW(E$1:E2538)*(E2539=E$1:E2538)))))</f>
        <v> </v>
      </c>
      <c r="L2539" s="27"/>
    </row>
    <row r="2540" spans="1:12">
      <c r="A2540" s="20" t="s">
        <v>1018</v>
      </c>
      <c r="E2540" s="22">
        <f>IF(D2540="?OLD","!!!","")</f>
        <v/>
      </c>
      <c r="F2540" s="23" t="str">
        <f>IF(OR(E2540="",E2540="!!!"),"",IF(NOT(ISNA(VLOOKUP(E2540,E$1:E2539,1,FALSE()))),"OLD",IF(AND(E2540&lt;&gt;"",E2540&lt;&gt;"!!!"),"NEW","")))</f>
        <v> </v>
      </c>
      <c r="G2540" s="24" t="str">
        <f>IF(OR(E2540="",E2540="!!!"),"",IF(OR(J2540=0,AND(J2540=1,K2540=1),AND(J2540=1,I2540="SBJ"),AND(J2540=1,I2540=0)),"?IN_FOCUS",IF(J2540&lt;=2,"?ACTIVATED",IF(J2540&lt;&gt;"","?FAMILIAR",IF(F2540="NEW",IF(ISNA(VLOOKUP(E2540,#REF!,1,FALSE())),"?TYPE_IDENTIFIABLE","?REFERENTIAL"),"_")))))</f>
        <v> </v>
      </c>
      <c r="H2540" s="25" t="str">
        <f>IF(J2540&lt;&gt;1,"",IF(I2540="SBJ","CB","?"))</f>
        <v> </v>
      </c>
      <c r="I2540" s="26" t="str">
        <f>IF(OR(E2540="",E2540="!!!",F2540="NEW"),"",INDEX(B2539:B$2,-1+SUMPRODUCT(MAX(ROW(E2539:E$2)*(E2540=E2539:E$2)))))</f>
        <v> </v>
      </c>
      <c r="J2540" s="26" t="str">
        <f>IF(OR(E2540="",E2540="!!!",F2540="NEW"),"",COUNTBLANK(OFFSET(A$1,,,SUMPRODUCT(MAX(ROW(E$2:E2540)*(E2540=E$2:E2540)))))-COUNTBLANK(OFFSET(A$1,,,SUMPRODUCT(MAX(ROW(E$1:E2539)*(E2=E$1:E2539))))))</f>
        <v> </v>
      </c>
      <c r="K2540" s="26" t="str">
        <f>IF(OR(E2540="",E2540="!!!",F2540="NEW"),"",INDEX(J$1:J2539,SUMPRODUCT(MAX(ROW(E$1:E2539)*(E2540=E$1:E2539)))))</f>
        <v> </v>
      </c>
      <c r="L2540" s="27"/>
    </row>
    <row r="2541" spans="1:12">
      <c r="A2541" s="20" t="s">
        <v>1295</v>
      </c>
      <c r="E2541" s="22">
        <f>IF(D2541="?OLD","!!!","")</f>
        <v/>
      </c>
      <c r="F2541" s="23" t="str">
        <f>IF(OR(E2541="",E2541="!!!"),"",IF(NOT(ISNA(VLOOKUP(E2541,E$1:E2540,1,FALSE()))),"OLD",IF(AND(E2541&lt;&gt;"",E2541&lt;&gt;"!!!"),"NEW","")))</f>
        <v> </v>
      </c>
      <c r="G2541" s="24" t="str">
        <f>IF(OR(E2541="",E2541="!!!"),"",IF(OR(J2541=0,AND(J2541=1,K2541=1),AND(J2541=1,I2541="SBJ"),AND(J2541=1,I2541=0)),"?IN_FOCUS",IF(J2541&lt;=2,"?ACTIVATED",IF(J2541&lt;&gt;"","?FAMILIAR",IF(F2541="NEW",IF(ISNA(VLOOKUP(E2541,#REF!,1,FALSE())),"?TYPE_IDENTIFIABLE","?REFERENTIAL"),"_")))))</f>
        <v> </v>
      </c>
      <c r="H2541" s="25" t="str">
        <f>IF(J2541&lt;&gt;1,"",IF(I2541="SBJ","CB","?"))</f>
        <v> </v>
      </c>
      <c r="I2541" s="26" t="str">
        <f>IF(OR(E2541="",E2541="!!!",F2541="NEW"),"",INDEX(B2540:B$2,-1+SUMPRODUCT(MAX(ROW(E2540:E$2)*(E2541=E2540:E$2)))))</f>
        <v> </v>
      </c>
      <c r="J2541" s="26" t="str">
        <f>IF(OR(E2541="",E2541="!!!",F2541="NEW"),"",COUNTBLANK(OFFSET(A$1,,,SUMPRODUCT(MAX(ROW(E$2:E2541)*(E2541=E$2:E2541)))))-COUNTBLANK(OFFSET(A$1,,,SUMPRODUCT(MAX(ROW(E$1:E2540)*(E2=E$1:E2540))))))</f>
        <v> </v>
      </c>
      <c r="K2541" s="26" t="str">
        <f>IF(OR(E2541="",E2541="!!!",F2541="NEW"),"",INDEX(J$1:J2540,SUMPRODUCT(MAX(ROW(E$1:E2540)*(E2541=E$1:E2540)))))</f>
        <v> </v>
      </c>
      <c r="L2541" s="27"/>
    </row>
    <row r="2542" spans="1:12">
      <c r="A2542" s="20" t="s">
        <v>1027</v>
      </c>
      <c r="E2542" s="22">
        <f>IF(D2542="?OLD","!!!","")</f>
        <v/>
      </c>
      <c r="F2542" s="23" t="str">
        <f>IF(OR(E2542="",E2542="!!!"),"",IF(NOT(ISNA(VLOOKUP(E2542,E$1:E2541,1,FALSE()))),"OLD",IF(AND(E2542&lt;&gt;"",E2542&lt;&gt;"!!!"),"NEW","")))</f>
        <v> </v>
      </c>
      <c r="G2542" s="24" t="str">
        <f>IF(OR(E2542="",E2542="!!!"),"",IF(OR(J2542=0,AND(J2542=1,K2542=1),AND(J2542=1,I2542="SBJ"),AND(J2542=1,I2542=0)),"?IN_FOCUS",IF(J2542&lt;=2,"?ACTIVATED",IF(J2542&lt;&gt;"","?FAMILIAR",IF(F2542="NEW",IF(ISNA(VLOOKUP(E2542,#REF!,1,FALSE())),"?TYPE_IDENTIFIABLE","?REFERENTIAL"),"_")))))</f>
        <v> </v>
      </c>
      <c r="H2542" s="25" t="str">
        <f>IF(J2542&lt;&gt;1,"",IF(I2542="SBJ","CB","?"))</f>
        <v> </v>
      </c>
      <c r="I2542" s="26" t="str">
        <f>IF(OR(E2542="",E2542="!!!",F2542="NEW"),"",INDEX(B2541:B$2,-1+SUMPRODUCT(MAX(ROW(E2541:E$2)*(E2542=E2541:E$2)))))</f>
        <v> </v>
      </c>
      <c r="J2542" s="26" t="str">
        <f>IF(OR(E2542="",E2542="!!!",F2542="NEW"),"",COUNTBLANK(OFFSET(A$1,,,SUMPRODUCT(MAX(ROW(E$2:E2542)*(E2542=E$2:E2542)))))-COUNTBLANK(OFFSET(A$1,,,SUMPRODUCT(MAX(ROW(E$1:E2541)*(E2=E$1:E2541))))))</f>
        <v> </v>
      </c>
      <c r="K2542" s="26" t="str">
        <f>IF(OR(E2542="",E2542="!!!",F2542="NEW"),"",INDEX(J$1:J2541,SUMPRODUCT(MAX(ROW(E$1:E2541)*(E2542=E$1:E2541)))))</f>
        <v> </v>
      </c>
      <c r="L2542" s="27"/>
    </row>
    <row r="2543" spans="1:12">
      <c r="A2543" s="20" t="s">
        <v>1431</v>
      </c>
      <c r="E2543" s="22">
        <f>IF(D2543="?OLD","!!!","")</f>
        <v/>
      </c>
      <c r="F2543" s="23" t="str">
        <f>IF(OR(E2543="",E2543="!!!"),"",IF(NOT(ISNA(VLOOKUP(E2543,E$1:E2542,1,FALSE()))),"OLD",IF(AND(E2543&lt;&gt;"",E2543&lt;&gt;"!!!"),"NEW","")))</f>
        <v> </v>
      </c>
      <c r="G2543" s="24" t="str">
        <f>IF(OR(E2543="",E2543="!!!"),"",IF(OR(J2543=0,AND(J2543=1,K2543=1),AND(J2543=1,I2543="SBJ"),AND(J2543=1,I2543=0)),"?IN_FOCUS",IF(J2543&lt;=2,"?ACTIVATED",IF(J2543&lt;&gt;"","?FAMILIAR",IF(F2543="NEW",IF(ISNA(VLOOKUP(E2543,#REF!,1,FALSE())),"?TYPE_IDENTIFIABLE","?REFERENTIAL"),"_")))))</f>
        <v> </v>
      </c>
      <c r="H2543" s="25" t="str">
        <f>IF(J2543&lt;&gt;1,"",IF(I2543="SBJ","CB","?"))</f>
        <v> </v>
      </c>
      <c r="I2543" s="26" t="str">
        <f>IF(OR(E2543="",E2543="!!!",F2543="NEW"),"",INDEX(B2542:B$2,-1+SUMPRODUCT(MAX(ROW(E2542:E$2)*(E2543=E2542:E$2)))))</f>
        <v> </v>
      </c>
      <c r="J2543" s="26" t="str">
        <f>IF(OR(E2543="",E2543="!!!",F2543="NEW"),"",COUNTBLANK(OFFSET(A$1,,,SUMPRODUCT(MAX(ROW(E$2:E2543)*(E2543=E$2:E2543)))))-COUNTBLANK(OFFSET(A$1,,,SUMPRODUCT(MAX(ROW(E$1:E2542)*(E2=E$1:E2542))))))</f>
        <v> </v>
      </c>
      <c r="K2543" s="26" t="str">
        <f>IF(OR(E2543="",E2543="!!!",F2543="NEW"),"",INDEX(J$1:J2542,SUMPRODUCT(MAX(ROW(E$1:E2542)*(E2543=E$1:E2542)))))</f>
        <v> </v>
      </c>
      <c r="L2543" s="27"/>
    </row>
    <row r="2544" spans="1:12">
      <c r="A2544" s="20" t="s">
        <v>1030</v>
      </c>
      <c r="E2544" s="22">
        <f>IF(D2544="?OLD","!!!","")</f>
        <v/>
      </c>
      <c r="F2544" s="23" t="str">
        <f>IF(OR(E2544="",E2544="!!!"),"",IF(NOT(ISNA(VLOOKUP(E2544,E$1:E2543,1,FALSE()))),"OLD",IF(AND(E2544&lt;&gt;"",E2544&lt;&gt;"!!!"),"NEW","")))</f>
        <v> </v>
      </c>
      <c r="G2544" s="24" t="str">
        <f>IF(OR(E2544="",E2544="!!!"),"",IF(OR(J2544=0,AND(J2544=1,K2544=1),AND(J2544=1,I2544="SBJ"),AND(J2544=1,I2544=0)),"?IN_FOCUS",IF(J2544&lt;=2,"?ACTIVATED",IF(J2544&lt;&gt;"","?FAMILIAR",IF(F2544="NEW",IF(ISNA(VLOOKUP(E2544,#REF!,1,FALSE())),"?TYPE_IDENTIFIABLE","?REFERENTIAL"),"_")))))</f>
        <v> </v>
      </c>
      <c r="H2544" s="25" t="str">
        <f>IF(J2544&lt;&gt;1,"",IF(I2544="SBJ","CB","?"))</f>
        <v> </v>
      </c>
      <c r="I2544" s="26" t="str">
        <f>IF(OR(E2544="",E2544="!!!",F2544="NEW"),"",INDEX(B2543:B$2,-1+SUMPRODUCT(MAX(ROW(E2543:E$2)*(E2544=E2543:E$2)))))</f>
        <v> </v>
      </c>
      <c r="J2544" s="26" t="str">
        <f>IF(OR(E2544="",E2544="!!!",F2544="NEW"),"",COUNTBLANK(OFFSET(A$1,,,SUMPRODUCT(MAX(ROW(E$2:E2544)*(E2544=E$2:E2544)))))-COUNTBLANK(OFFSET(A$1,,,SUMPRODUCT(MAX(ROW(E$1:E2543)*(E2=E$1:E2543))))))</f>
        <v> </v>
      </c>
      <c r="K2544" s="26" t="str">
        <f>IF(OR(E2544="",E2544="!!!",F2544="NEW"),"",INDEX(J$1:J2543,SUMPRODUCT(MAX(ROW(E$1:E2543)*(E2544=E$1:E2543)))))</f>
        <v> </v>
      </c>
      <c r="L2544" s="27"/>
    </row>
    <row r="2545" spans="1:12">
      <c r="A2545" s="20" t="s">
        <v>1593</v>
      </c>
      <c r="B2545" s="21" t="s">
        <v>1022</v>
      </c>
      <c r="C2545" s="21" t="s">
        <v>1006</v>
      </c>
      <c r="D2545" s="21" t="s">
        <v>1007</v>
      </c>
      <c r="E2545" s="22">
        <f>IF(D2545="?OLD","!!!","")</f>
        <v/>
      </c>
      <c r="F2545" s="23" t="str">
        <f>IF(OR(E2545="",E2545="!!!"),"",IF(NOT(ISNA(VLOOKUP(E2545,E$1:E2544,1,FALSE()))),"OLD",IF(AND(E2545&lt;&gt;"",E2545&lt;&gt;"!!!"),"NEW","")))</f>
        <v> </v>
      </c>
      <c r="G2545" s="24" t="str">
        <f>IF(OR(E2545="",E2545="!!!"),"",IF(OR(J2545=0,AND(J2545=1,K2545=1),AND(J2545=1,I2545="SBJ"),AND(J2545=1,I2545=0)),"?IN_FOCUS",IF(J2545&lt;=2,"?ACTIVATED",IF(J2545&lt;&gt;"","?FAMILIAR",IF(F2545="NEW",IF(ISNA(VLOOKUP(E2545,#REF!,1,FALSE())),"?TYPE_IDENTIFIABLE","?REFERENTIAL"),"_")))))</f>
        <v> </v>
      </c>
      <c r="H2545" s="25" t="str">
        <f>IF(J2545&lt;&gt;1,"",IF(I2545="SBJ","CB","?"))</f>
        <v> </v>
      </c>
      <c r="I2545" s="26" t="str">
        <f>IF(OR(E2545="",E2545="!!!",F2545="NEW"),"",INDEX(B2544:B$2,-1+SUMPRODUCT(MAX(ROW(E2544:E$2)*(E2545=E2544:E$2)))))</f>
        <v> </v>
      </c>
      <c r="J2545" s="26" t="str">
        <f>IF(OR(E2545="",E2545="!!!",F2545="NEW"),"",COUNTBLANK(OFFSET(A$1,,,SUMPRODUCT(MAX(ROW(E$2:E2545)*(E2545=E$2:E2545)))))-COUNTBLANK(OFFSET(A$1,,,SUMPRODUCT(MAX(ROW(E$1:E2544)*(E2=E$1:E2544))))))</f>
        <v> </v>
      </c>
      <c r="K2545" s="26" t="str">
        <f>IF(OR(E2545="",E2545="!!!",F2545="NEW"),"",INDEX(J$1:J2544,SUMPRODUCT(MAX(ROW(E$1:E2544)*(E2545=E$1:E2544)))))</f>
        <v> </v>
      </c>
      <c r="L2545" s="27"/>
    </row>
    <row r="2546" spans="1:12">
      <c r="A2546" s="20" t="s">
        <v>1018</v>
      </c>
      <c r="E2546" s="22">
        <f>IF(D2546="?OLD","!!!","")</f>
        <v/>
      </c>
      <c r="F2546" s="23" t="str">
        <f>IF(OR(E2546="",E2546="!!!"),"",IF(NOT(ISNA(VLOOKUP(E2546,E$1:E2545,1,FALSE()))),"OLD",IF(AND(E2546&lt;&gt;"",E2546&lt;&gt;"!!!"),"NEW","")))</f>
        <v> </v>
      </c>
      <c r="G2546" s="24" t="str">
        <f>IF(OR(E2546="",E2546="!!!"),"",IF(OR(J2546=0,AND(J2546=1,K2546=1),AND(J2546=1,I2546="SBJ"),AND(J2546=1,I2546=0)),"?IN_FOCUS",IF(J2546&lt;=2,"?ACTIVATED",IF(J2546&lt;&gt;"","?FAMILIAR",IF(F2546="NEW",IF(ISNA(VLOOKUP(E2546,#REF!,1,FALSE())),"?TYPE_IDENTIFIABLE","?REFERENTIAL"),"_")))))</f>
        <v> </v>
      </c>
      <c r="H2546" s="25" t="str">
        <f>IF(J2546&lt;&gt;1,"",IF(I2546="SBJ","CB","?"))</f>
        <v> </v>
      </c>
      <c r="I2546" s="26" t="str">
        <f>IF(OR(E2546="",E2546="!!!",F2546="NEW"),"",INDEX(B2545:B$2,-1+SUMPRODUCT(MAX(ROW(E2545:E$2)*(E2546=E2545:E$2)))))</f>
        <v> </v>
      </c>
      <c r="J2546" s="26" t="str">
        <f>IF(OR(E2546="",E2546="!!!",F2546="NEW"),"",COUNTBLANK(OFFSET(A$1,,,SUMPRODUCT(MAX(ROW(E$2:E2546)*(E2546=E$2:E2546)))))-COUNTBLANK(OFFSET(A$1,,,SUMPRODUCT(MAX(ROW(E$1:E2545)*(E2=E$1:E2545))))))</f>
        <v> </v>
      </c>
      <c r="K2546" s="26" t="str">
        <f>IF(OR(E2546="",E2546="!!!",F2546="NEW"),"",INDEX(J$1:J2545,SUMPRODUCT(MAX(ROW(E$1:E2545)*(E2546=E$1:E2545)))))</f>
        <v> </v>
      </c>
      <c r="L2546" s="27"/>
    </row>
    <row r="2547" spans="1:12">
      <c r="A2547" s="20" t="s">
        <v>1814</v>
      </c>
      <c r="B2547" s="21" t="s">
        <v>1033</v>
      </c>
      <c r="C2547" s="21" t="s">
        <v>1006</v>
      </c>
      <c r="D2547" s="21" t="s">
        <v>1007</v>
      </c>
      <c r="E2547" s="22">
        <f>IF(D2547="?OLD","!!!","")</f>
        <v/>
      </c>
      <c r="F2547" s="23" t="str">
        <f>IF(OR(E2547="",E2547="!!!"),"",IF(NOT(ISNA(VLOOKUP(E2547,E$1:E2546,1,FALSE()))),"OLD",IF(AND(E2547&lt;&gt;"",E2547&lt;&gt;"!!!"),"NEW","")))</f>
        <v> </v>
      </c>
      <c r="G2547" s="24" t="str">
        <f>IF(OR(E2547="",E2547="!!!"),"",IF(OR(J2547=0,AND(J2547=1,K2547=1),AND(J2547=1,I2547="SBJ"),AND(J2547=1,I2547=0)),"?IN_FOCUS",IF(J2547&lt;=2,"?ACTIVATED",IF(J2547&lt;&gt;"","?FAMILIAR",IF(F2547="NEW",IF(ISNA(VLOOKUP(E2547,#REF!,1,FALSE())),"?TYPE_IDENTIFIABLE","?REFERENTIAL"),"_")))))</f>
        <v> </v>
      </c>
      <c r="H2547" s="25" t="str">
        <f>IF(J2547&lt;&gt;1,"",IF(I2547="SBJ","CB","?"))</f>
        <v> </v>
      </c>
      <c r="I2547" s="26" t="str">
        <f>IF(OR(E2547="",E2547="!!!",F2547="NEW"),"",INDEX(B2546:B$2,-1+SUMPRODUCT(MAX(ROW(E2546:E$2)*(E2547=E2546:E$2)))))</f>
        <v> </v>
      </c>
      <c r="J2547" s="26" t="str">
        <f>IF(OR(E2547="",E2547="!!!",F2547="NEW"),"",COUNTBLANK(OFFSET(A$1,,,SUMPRODUCT(MAX(ROW(E$2:E2547)*(E2547=E$2:E2547)))))-COUNTBLANK(OFFSET(A$1,,,SUMPRODUCT(MAX(ROW(E$1:E2546)*(E2=E$1:E2546))))))</f>
        <v> </v>
      </c>
      <c r="K2547" s="26" t="str">
        <f>IF(OR(E2547="",E2547="!!!",F2547="NEW"),"",INDEX(J$1:J2546,SUMPRODUCT(MAX(ROW(E$1:E2546)*(E2547=E$1:E2546)))))</f>
        <v> </v>
      </c>
      <c r="L2547" s="27"/>
    </row>
    <row r="2548" spans="1:12">
      <c r="A2548" s="20" t="s">
        <v>1023</v>
      </c>
      <c r="E2548" s="22">
        <f>IF(D2548="?OLD","!!!","")</f>
        <v/>
      </c>
      <c r="F2548" s="23" t="str">
        <f>IF(OR(E2548="",E2548="!!!"),"",IF(NOT(ISNA(VLOOKUP(E2548,E$1:E2547,1,FALSE()))),"OLD",IF(AND(E2548&lt;&gt;"",E2548&lt;&gt;"!!!"),"NEW","")))</f>
        <v> </v>
      </c>
      <c r="G2548" s="24" t="str">
        <f>IF(OR(E2548="",E2548="!!!"),"",IF(OR(J2548=0,AND(J2548=1,K2548=1),AND(J2548=1,I2548="SBJ"),AND(J2548=1,I2548=0)),"?IN_FOCUS",IF(J2548&lt;=2,"?ACTIVATED",IF(J2548&lt;&gt;"","?FAMILIAR",IF(F2548="NEW",IF(ISNA(VLOOKUP(E2548,#REF!,1,FALSE())),"?TYPE_IDENTIFIABLE","?REFERENTIAL"),"_")))))</f>
        <v> </v>
      </c>
      <c r="H2548" s="25" t="str">
        <f>IF(J2548&lt;&gt;1,"",IF(I2548="SBJ","CB","?"))</f>
        <v> </v>
      </c>
      <c r="I2548" s="26" t="str">
        <f>IF(OR(E2548="",E2548="!!!",F2548="NEW"),"",INDEX(B2547:B$2,-1+SUMPRODUCT(MAX(ROW(E2547:E$2)*(E2548=E2547:E$2)))))</f>
        <v> </v>
      </c>
      <c r="J2548" s="26" t="str">
        <f>IF(OR(E2548="",E2548="!!!",F2548="NEW"),"",COUNTBLANK(OFFSET(A$1,,,SUMPRODUCT(MAX(ROW(E$2:E2548)*(E2548=E$2:E2548)))))-COUNTBLANK(OFFSET(A$1,,,SUMPRODUCT(MAX(ROW(E$1:E2547)*(E2=E$1:E2547))))))</f>
        <v> </v>
      </c>
      <c r="K2548" s="26" t="str">
        <f>IF(OR(E2548="",E2548="!!!",F2548="NEW"),"",INDEX(J$1:J2547,SUMPRODUCT(MAX(ROW(E$1:E2547)*(E2548=E$1:E2547)))))</f>
        <v> </v>
      </c>
      <c r="L2548" s="27"/>
    </row>
    <row r="2549" spans="1:12">
      <c r="A2549" s="20"/>
    </row>
    <row r="2550" spans="1:12">
      <c r="A2550" s="20" t="s">
        <v>1815</v>
      </c>
    </row>
    <row r="2551" spans="1:12">
      <c r="A2551" s="20" t="s">
        <v>11</v>
      </c>
      <c r="B2551" s="21" t="s">
        <v>1050</v>
      </c>
      <c r="C2551" s="21" t="s">
        <v>1073</v>
      </c>
      <c r="D2551" s="21" t="s">
        <v>1007</v>
      </c>
      <c r="E2551" s="22">
        <f>IF(D2551="?OLD","!!!","")</f>
        <v/>
      </c>
      <c r="F2551" s="23" t="str">
        <f>IF(OR(E2551="",E2551="!!!"),"",IF(NOT(ISNA(VLOOKUP(E2551,E$1:E2550,1,FALSE()))),"OLD",IF(AND(E2551&lt;&gt;"",E2551&lt;&gt;"!!!"),"NEW","")))</f>
        <v> </v>
      </c>
      <c r="G2551" s="24" t="str">
        <f>IF(OR(E2551="",E2551="!!!"),"",IF(OR(J2551=0,AND(J2551=1,K2551=1),AND(J2551=1,I2551="SBJ"),AND(J2551=1,I2551=0)),"?IN_FOCUS",IF(J2551&lt;=2,"?ACTIVATED",IF(J2551&lt;&gt;"","?FAMILIAR",IF(F2551="NEW",IF(ISNA(VLOOKUP(E2551,#REF!,1,FALSE())),"?TYPE_IDENTIFIABLE","?REFERENTIAL"),"_")))))</f>
        <v> </v>
      </c>
      <c r="H2551" s="25" t="str">
        <f>IF(J2551&lt;&gt;1,"",IF(I2551="SBJ","CB","?"))</f>
        <v> </v>
      </c>
      <c r="I2551" s="26" t="str">
        <f>IF(OR(E2551="",E2551="!!!",F2551="NEW"),"",INDEX(B2550:B$2,-1+SUMPRODUCT(MAX(ROW(E2550:E$2)*(E2551=E2550:E$2)))))</f>
        <v> </v>
      </c>
      <c r="J2551" s="26" t="str">
        <f>IF(OR(E2551="",E2551="!!!",F2551="NEW"),"",COUNTBLANK(OFFSET(A$1,,,SUMPRODUCT(MAX(ROW(E$2:E2551)*(E2551=E$2:E2551)))))-COUNTBLANK(OFFSET(A$1,,,SUMPRODUCT(MAX(ROW(E$1:E2550)*(E2=E$1:E2550))))))</f>
        <v> </v>
      </c>
      <c r="K2551" s="26" t="str">
        <f>IF(OR(E2551="",E2551="!!!",F2551="NEW"),"",INDEX(J$1:J2550,SUMPRODUCT(MAX(ROW(E$1:E2550)*(E2551=E$1:E2550)))))</f>
        <v> </v>
      </c>
      <c r="L2551" s="27"/>
    </row>
    <row r="2552" spans="1:12">
      <c r="A2552" s="20" t="s">
        <v>1065</v>
      </c>
      <c r="B2552" s="21" t="s">
        <v>1154</v>
      </c>
      <c r="E2552" s="22">
        <f>IF(D2552="?OLD","!!!","")</f>
        <v/>
      </c>
      <c r="F2552" s="23" t="str">
        <f>IF(OR(E2552="",E2552="!!!"),"",IF(NOT(ISNA(VLOOKUP(E2552,E$1:E2551,1,FALSE()))),"OLD",IF(AND(E2552&lt;&gt;"",E2552&lt;&gt;"!!!"),"NEW","")))</f>
        <v> </v>
      </c>
      <c r="G2552" s="24" t="str">
        <f>IF(OR(E2552="",E2552="!!!"),"",IF(OR(J2552=0,AND(J2552=1,K2552=1),AND(J2552=1,I2552="SBJ"),AND(J2552=1,I2552=0)),"?IN_FOCUS",IF(J2552&lt;=2,"?ACTIVATED",IF(J2552&lt;&gt;"","?FAMILIAR",IF(F2552="NEW",IF(ISNA(VLOOKUP(E2552,#REF!,1,FALSE())),"?TYPE_IDENTIFIABLE","?REFERENTIAL"),"_")))))</f>
        <v> </v>
      </c>
      <c r="H2552" s="25" t="str">
        <f>IF(J2552&lt;&gt;1,"",IF(I2552="SBJ","CB","?"))</f>
        <v> </v>
      </c>
      <c r="I2552" s="26" t="str">
        <f>IF(OR(E2552="",E2552="!!!",F2552="NEW"),"",INDEX(B2551:B$2,-1+SUMPRODUCT(MAX(ROW(E2551:E$2)*(E2552=E2551:E$2)))))</f>
        <v> </v>
      </c>
      <c r="J2552" s="26" t="str">
        <f>IF(OR(E2552="",E2552="!!!",F2552="NEW"),"",COUNTBLANK(OFFSET(A$1,,,SUMPRODUCT(MAX(ROW(E$2:E2552)*(E2552=E$2:E2552)))))-COUNTBLANK(OFFSET(A$1,,,SUMPRODUCT(MAX(ROW(E$1:E2551)*(E2=E$1:E2551))))))</f>
        <v> </v>
      </c>
      <c r="K2552" s="26" t="str">
        <f>IF(OR(E2552="",E2552="!!!",F2552="NEW"),"",INDEX(J$1:J2551,SUMPRODUCT(MAX(ROW(E$1:E2551)*(E2552=E$1:E2551)))))</f>
        <v> </v>
      </c>
      <c r="L2552" s="27"/>
    </row>
    <row r="2553" spans="1:12">
      <c r="A2553" s="20" t="s">
        <v>1075</v>
      </c>
      <c r="E2553" s="22">
        <f>IF(D2553="?OLD","!!!","")</f>
        <v/>
      </c>
      <c r="F2553" s="23" t="str">
        <f>IF(OR(E2553="",E2553="!!!"),"",IF(NOT(ISNA(VLOOKUP(E2553,E$1:E2552,1,FALSE()))),"OLD",IF(AND(E2553&lt;&gt;"",E2553&lt;&gt;"!!!"),"NEW","")))</f>
        <v> </v>
      </c>
      <c r="G2553" s="24" t="str">
        <f>IF(OR(E2553="",E2553="!!!"),"",IF(OR(J2553=0,AND(J2553=1,K2553=1),AND(J2553=1,I2553="SBJ"),AND(J2553=1,I2553=0)),"?IN_FOCUS",IF(J2553&lt;=2,"?ACTIVATED",IF(J2553&lt;&gt;"","?FAMILIAR",IF(F2553="NEW",IF(ISNA(VLOOKUP(E2553,#REF!,1,FALSE())),"?TYPE_IDENTIFIABLE","?REFERENTIAL"),"_")))))</f>
        <v> </v>
      </c>
      <c r="H2553" s="25" t="str">
        <f>IF(J2553&lt;&gt;1,"",IF(I2553="SBJ","CB","?"))</f>
        <v> </v>
      </c>
      <c r="I2553" s="26" t="str">
        <f>IF(OR(E2553="",E2553="!!!",F2553="NEW"),"",INDEX(B2552:B$2,-1+SUMPRODUCT(MAX(ROW(E2552:E$2)*(E2553=E2552:E$2)))))</f>
        <v> </v>
      </c>
      <c r="J2553" s="26" t="str">
        <f>IF(OR(E2553="",E2553="!!!",F2553="NEW"),"",COUNTBLANK(OFFSET(A$1,,,SUMPRODUCT(MAX(ROW(E$2:E2553)*(E2553=E$2:E2553)))))-COUNTBLANK(OFFSET(A$1,,,SUMPRODUCT(MAX(ROW(E$1:E2552)*(E2=E$1:E2552))))))</f>
        <v> </v>
      </c>
      <c r="K2553" s="26" t="str">
        <f>IF(OR(E2553="",E2553="!!!",F2553="NEW"),"",INDEX(J$1:J2552,SUMPRODUCT(MAX(ROW(E$1:E2552)*(E2553=E$1:E2552)))))</f>
        <v> </v>
      </c>
      <c r="L2553" s="27"/>
    </row>
    <row r="2554" spans="1:12">
      <c r="A2554" s="20" t="s">
        <v>1816</v>
      </c>
      <c r="E2554" s="22">
        <f>IF(D2554="?OLD","!!!","")</f>
        <v/>
      </c>
      <c r="F2554" s="23" t="str">
        <f>IF(OR(E2554="",E2554="!!!"),"",IF(NOT(ISNA(VLOOKUP(E2554,E$1:E2553,1,FALSE()))),"OLD",IF(AND(E2554&lt;&gt;"",E2554&lt;&gt;"!!!"),"NEW","")))</f>
        <v> </v>
      </c>
      <c r="G2554" s="24" t="str">
        <f>IF(OR(E2554="",E2554="!!!"),"",IF(OR(J2554=0,AND(J2554=1,K2554=1),AND(J2554=1,I2554="SBJ"),AND(J2554=1,I2554=0)),"?IN_FOCUS",IF(J2554&lt;=2,"?ACTIVATED",IF(J2554&lt;&gt;"","?FAMILIAR",IF(F2554="NEW",IF(ISNA(VLOOKUP(E2554,#REF!,1,FALSE())),"?TYPE_IDENTIFIABLE","?REFERENTIAL"),"_")))))</f>
        <v> </v>
      </c>
      <c r="H2554" s="25" t="str">
        <f>IF(J2554&lt;&gt;1,"",IF(I2554="SBJ","CB","?"))</f>
        <v> </v>
      </c>
      <c r="I2554" s="26" t="str">
        <f>IF(OR(E2554="",E2554="!!!",F2554="NEW"),"",INDEX(B2553:B$2,-1+SUMPRODUCT(MAX(ROW(E2553:E$2)*(E2554=E2553:E$2)))))</f>
        <v> </v>
      </c>
      <c r="J2554" s="26" t="str">
        <f>IF(OR(E2554="",E2554="!!!",F2554="NEW"),"",COUNTBLANK(OFFSET(A$1,,,SUMPRODUCT(MAX(ROW(E$2:E2554)*(E2554=E$2:E2554)))))-COUNTBLANK(OFFSET(A$1,,,SUMPRODUCT(MAX(ROW(E$1:E2553)*(E2=E$1:E2553))))))</f>
        <v> </v>
      </c>
      <c r="K2554" s="26" t="str">
        <f>IF(OR(E2554="",E2554="!!!",F2554="NEW"),"",INDEX(J$1:J2553,SUMPRODUCT(MAX(ROW(E$1:E2553)*(E2554=E$1:E2553)))))</f>
        <v> </v>
      </c>
      <c r="L2554" s="27"/>
    </row>
    <row r="2555" spans="1:12">
      <c r="A2555" s="20" t="s">
        <v>1030</v>
      </c>
      <c r="E2555" s="22">
        <f>IF(D2555="?OLD","!!!","")</f>
        <v/>
      </c>
      <c r="F2555" s="23" t="str">
        <f>IF(OR(E2555="",E2555="!!!"),"",IF(NOT(ISNA(VLOOKUP(E2555,E$1:E2554,1,FALSE()))),"OLD",IF(AND(E2555&lt;&gt;"",E2555&lt;&gt;"!!!"),"NEW","")))</f>
        <v> </v>
      </c>
      <c r="G2555" s="24" t="str">
        <f>IF(OR(E2555="",E2555="!!!"),"",IF(OR(J2555=0,AND(J2555=1,K2555=1),AND(J2555=1,I2555="SBJ"),AND(J2555=1,I2555=0)),"?IN_FOCUS",IF(J2555&lt;=2,"?ACTIVATED",IF(J2555&lt;&gt;"","?FAMILIAR",IF(F2555="NEW",IF(ISNA(VLOOKUP(E2555,#REF!,1,FALSE())),"?TYPE_IDENTIFIABLE","?REFERENTIAL"),"_")))))</f>
        <v> </v>
      </c>
      <c r="H2555" s="25" t="str">
        <f>IF(J2555&lt;&gt;1,"",IF(I2555="SBJ","CB","?"))</f>
        <v> </v>
      </c>
      <c r="I2555" s="26" t="str">
        <f>IF(OR(E2555="",E2555="!!!",F2555="NEW"),"",INDEX(B2554:B$2,-1+SUMPRODUCT(MAX(ROW(E2554:E$2)*(E2555=E2554:E$2)))))</f>
        <v> </v>
      </c>
      <c r="J2555" s="26" t="str">
        <f>IF(OR(E2555="",E2555="!!!",F2555="NEW"),"",COUNTBLANK(OFFSET(A$1,,,SUMPRODUCT(MAX(ROW(E$2:E2555)*(E2555=E$2:E2555)))))-COUNTBLANK(OFFSET(A$1,,,SUMPRODUCT(MAX(ROW(E$1:E2554)*(E2=E$1:E2554))))))</f>
        <v> </v>
      </c>
      <c r="K2555" s="26" t="str">
        <f>IF(OR(E2555="",E2555="!!!",F2555="NEW"),"",INDEX(J$1:J2554,SUMPRODUCT(MAX(ROW(E$1:E2554)*(E2555=E$1:E2554)))))</f>
        <v> </v>
      </c>
      <c r="L2555" s="27"/>
    </row>
    <row r="2556" spans="1:12">
      <c r="A2556" s="20" t="s">
        <v>1284</v>
      </c>
      <c r="B2556" s="21" t="s">
        <v>1033</v>
      </c>
      <c r="C2556" s="21" t="s">
        <v>1073</v>
      </c>
      <c r="D2556" s="21" t="s">
        <v>1007</v>
      </c>
      <c r="E2556" s="22">
        <f>IF(D2556="?OLD","!!!","")</f>
        <v/>
      </c>
      <c r="F2556" s="23" t="str">
        <f>IF(OR(E2556="",E2556="!!!"),"",IF(NOT(ISNA(VLOOKUP(E2556,E$1:E2555,1,FALSE()))),"OLD",IF(AND(E2556&lt;&gt;"",E2556&lt;&gt;"!!!"),"NEW","")))</f>
        <v> </v>
      </c>
      <c r="G2556" s="24" t="str">
        <f>IF(OR(E2556="",E2556="!!!"),"",IF(OR(J2556=0,AND(J2556=1,K2556=1),AND(J2556=1,I2556="SBJ"),AND(J2556=1,I2556=0)),"?IN_FOCUS",IF(J2556&lt;=2,"?ACTIVATED",IF(J2556&lt;&gt;"","?FAMILIAR",IF(F2556="NEW",IF(ISNA(VLOOKUP(E2556,#REF!,1,FALSE())),"?TYPE_IDENTIFIABLE","?REFERENTIAL"),"_")))))</f>
        <v> </v>
      </c>
      <c r="H2556" s="25" t="str">
        <f>IF(J2556&lt;&gt;1,"",IF(I2556="SBJ","CB","?"))</f>
        <v> </v>
      </c>
      <c r="I2556" s="26" t="str">
        <f>IF(OR(E2556="",E2556="!!!",F2556="NEW"),"",INDEX(B2555:B$2,-1+SUMPRODUCT(MAX(ROW(E2555:E$2)*(E2556=E2555:E$2)))))</f>
        <v> </v>
      </c>
      <c r="J2556" s="26" t="str">
        <f>IF(OR(E2556="",E2556="!!!",F2556="NEW"),"",COUNTBLANK(OFFSET(A$1,,,SUMPRODUCT(MAX(ROW(E$2:E2556)*(E2556=E$2:E2556)))))-COUNTBLANK(OFFSET(A$1,,,SUMPRODUCT(MAX(ROW(E$1:E2555)*(E2=E$1:E2555))))))</f>
        <v> </v>
      </c>
      <c r="K2556" s="26" t="str">
        <f>IF(OR(E2556="",E2556="!!!",F2556="NEW"),"",INDEX(J$1:J2555,SUMPRODUCT(MAX(ROW(E$1:E2555)*(E2556=E$1:E2555)))))</f>
        <v> </v>
      </c>
      <c r="L2556" s="27"/>
    </row>
    <row r="2557" spans="1:12">
      <c r="A2557" s="20" t="s">
        <v>1800</v>
      </c>
      <c r="B2557" s="21" t="s">
        <v>1035</v>
      </c>
      <c r="C2557" s="21" t="s">
        <v>1086</v>
      </c>
      <c r="E2557" s="22">
        <f>IF(D2557="?OLD","!!!","")</f>
        <v/>
      </c>
      <c r="F2557" s="23" t="str">
        <f>IF(OR(E2557="",E2557="!!!"),"",IF(NOT(ISNA(VLOOKUP(E2557,E$1:E2556,1,FALSE()))),"OLD",IF(AND(E2557&lt;&gt;"",E2557&lt;&gt;"!!!"),"NEW","")))</f>
        <v> </v>
      </c>
      <c r="G2557" s="24" t="str">
        <f>IF(OR(E2557="",E2557="!!!"),"",IF(OR(J2557=0,AND(J2557=1,K2557=1),AND(J2557=1,I2557="SBJ"),AND(J2557=1,I2557=0)),"?IN_FOCUS",IF(J2557&lt;=2,"?ACTIVATED",IF(J2557&lt;&gt;"","?FAMILIAR",IF(F2557="NEW",IF(ISNA(VLOOKUP(E2557,#REF!,1,FALSE())),"?TYPE_IDENTIFIABLE","?REFERENTIAL"),"_")))))</f>
        <v> </v>
      </c>
      <c r="H2557" s="25" t="str">
        <f>IF(J2557&lt;&gt;1,"",IF(I2557="SBJ","CB","?"))</f>
        <v> </v>
      </c>
      <c r="I2557" s="26" t="str">
        <f>IF(OR(E2557="",E2557="!!!",F2557="NEW"),"",INDEX(B2556:B$2,-1+SUMPRODUCT(MAX(ROW(E2556:E$2)*(E2557=E2556:E$2)))))</f>
        <v> </v>
      </c>
      <c r="J2557" s="26" t="str">
        <f>IF(OR(E2557="",E2557="!!!",F2557="NEW"),"",COUNTBLANK(OFFSET(A$1,,,SUMPRODUCT(MAX(ROW(E$2:E2557)*(E2557=E$2:E2557)))))-COUNTBLANK(OFFSET(A$1,,,SUMPRODUCT(MAX(ROW(E$1:E2556)*(E2=E$1:E2556))))))</f>
        <v> </v>
      </c>
      <c r="K2557" s="26" t="str">
        <f>IF(OR(E2557="",E2557="!!!",F2557="NEW"),"",INDEX(J$1:J2556,SUMPRODUCT(MAX(ROW(E$1:E2556)*(E2557=E$1:E2556)))))</f>
        <v> </v>
      </c>
      <c r="L2557" s="27"/>
    </row>
    <row r="2558" spans="1:12">
      <c r="A2558" s="20" t="s">
        <v>1018</v>
      </c>
      <c r="E2558" s="22">
        <f>IF(D2558="?OLD","!!!","")</f>
        <v/>
      </c>
      <c r="F2558" s="23" t="str">
        <f>IF(OR(E2558="",E2558="!!!"),"",IF(NOT(ISNA(VLOOKUP(E2558,E$1:E2557,1,FALSE()))),"OLD",IF(AND(E2558&lt;&gt;"",E2558&lt;&gt;"!!!"),"NEW","")))</f>
        <v> </v>
      </c>
      <c r="G2558" s="24" t="str">
        <f>IF(OR(E2558="",E2558="!!!"),"",IF(OR(J2558=0,AND(J2558=1,K2558=1),AND(J2558=1,I2558="SBJ"),AND(J2558=1,I2558=0)),"?IN_FOCUS",IF(J2558&lt;=2,"?ACTIVATED",IF(J2558&lt;&gt;"","?FAMILIAR",IF(F2558="NEW",IF(ISNA(VLOOKUP(E2558,#REF!,1,FALSE())),"?TYPE_IDENTIFIABLE","?REFERENTIAL"),"_")))))</f>
        <v> </v>
      </c>
      <c r="H2558" s="25" t="str">
        <f>IF(J2558&lt;&gt;1,"",IF(I2558="SBJ","CB","?"))</f>
        <v> </v>
      </c>
      <c r="I2558" s="26" t="str">
        <f>IF(OR(E2558="",E2558="!!!",F2558="NEW"),"",INDEX(B2557:B$2,-1+SUMPRODUCT(MAX(ROW(E2557:E$2)*(E2558=E2557:E$2)))))</f>
        <v> </v>
      </c>
      <c r="J2558" s="26" t="str">
        <f>IF(OR(E2558="",E2558="!!!",F2558="NEW"),"",COUNTBLANK(OFFSET(A$1,,,SUMPRODUCT(MAX(ROW(E$2:E2558)*(E2558=E$2:E2558)))))-COUNTBLANK(OFFSET(A$1,,,SUMPRODUCT(MAX(ROW(E$1:E2557)*(E2=E$1:E2557))))))</f>
        <v> </v>
      </c>
      <c r="K2558" s="26" t="str">
        <f>IF(OR(E2558="",E2558="!!!",F2558="NEW"),"",INDEX(J$1:J2557,SUMPRODUCT(MAX(ROW(E$1:E2557)*(E2558=E$1:E2557)))))</f>
        <v> </v>
      </c>
      <c r="L2558" s="27"/>
    </row>
    <row r="2559" spans="1:12">
      <c r="A2559" s="20" t="s">
        <v>1030</v>
      </c>
      <c r="E2559" s="22">
        <f>IF(D2559="?OLD","!!!","")</f>
        <v/>
      </c>
      <c r="F2559" s="23" t="str">
        <f>IF(OR(E2559="",E2559="!!!"),"",IF(NOT(ISNA(VLOOKUP(E2559,E$1:E2558,1,FALSE()))),"OLD",IF(AND(E2559&lt;&gt;"",E2559&lt;&gt;"!!!"),"NEW","")))</f>
        <v> </v>
      </c>
      <c r="G2559" s="24" t="str">
        <f>IF(OR(E2559="",E2559="!!!"),"",IF(OR(J2559=0,AND(J2559=1,K2559=1),AND(J2559=1,I2559="SBJ"),AND(J2559=1,I2559=0)),"?IN_FOCUS",IF(J2559&lt;=2,"?ACTIVATED",IF(J2559&lt;&gt;"","?FAMILIAR",IF(F2559="NEW",IF(ISNA(VLOOKUP(E2559,#REF!,1,FALSE())),"?TYPE_IDENTIFIABLE","?REFERENTIAL"),"_")))))</f>
        <v> </v>
      </c>
      <c r="H2559" s="25" t="str">
        <f>IF(J2559&lt;&gt;1,"",IF(I2559="SBJ","CB","?"))</f>
        <v> </v>
      </c>
      <c r="I2559" s="26" t="str">
        <f>IF(OR(E2559="",E2559="!!!",F2559="NEW"),"",INDEX(B2558:B$2,-1+SUMPRODUCT(MAX(ROW(E2558:E$2)*(E2559=E2558:E$2)))))</f>
        <v> </v>
      </c>
      <c r="J2559" s="26" t="str">
        <f>IF(OR(E2559="",E2559="!!!",F2559="NEW"),"",COUNTBLANK(OFFSET(A$1,,,SUMPRODUCT(MAX(ROW(E$2:E2559)*(E2559=E$2:E2559)))))-COUNTBLANK(OFFSET(A$1,,,SUMPRODUCT(MAX(ROW(E$1:E2558)*(E2=E$1:E2558))))))</f>
        <v> </v>
      </c>
      <c r="K2559" s="26" t="str">
        <f>IF(OR(E2559="",E2559="!!!",F2559="NEW"),"",INDEX(J$1:J2558,SUMPRODUCT(MAX(ROW(E$1:E2558)*(E2559=E$1:E2558)))))</f>
        <v> </v>
      </c>
      <c r="L2559" s="27"/>
    </row>
    <row r="2560" spans="1:12">
      <c r="A2560" s="20" t="s">
        <v>1435</v>
      </c>
      <c r="E2560" s="22">
        <f>IF(D2560="?OLD","!!!","")</f>
        <v/>
      </c>
      <c r="F2560" s="23" t="str">
        <f>IF(OR(E2560="",E2560="!!!"),"",IF(NOT(ISNA(VLOOKUP(E2560,E$1:E2559,1,FALSE()))),"OLD",IF(AND(E2560&lt;&gt;"",E2560&lt;&gt;"!!!"),"NEW","")))</f>
        <v> </v>
      </c>
      <c r="G2560" s="24" t="str">
        <f>IF(OR(E2560="",E2560="!!!"),"",IF(OR(J2560=0,AND(J2560=1,K2560=1),AND(J2560=1,I2560="SBJ"),AND(J2560=1,I2560=0)),"?IN_FOCUS",IF(J2560&lt;=2,"?ACTIVATED",IF(J2560&lt;&gt;"","?FAMILIAR",IF(F2560="NEW",IF(ISNA(VLOOKUP(E2560,#REF!,1,FALSE())),"?TYPE_IDENTIFIABLE","?REFERENTIAL"),"_")))))</f>
        <v> </v>
      </c>
      <c r="H2560" s="25" t="str">
        <f>IF(J2560&lt;&gt;1,"",IF(I2560="SBJ","CB","?"))</f>
        <v> </v>
      </c>
      <c r="I2560" s="26" t="str">
        <f>IF(OR(E2560="",E2560="!!!",F2560="NEW"),"",INDEX(B2559:B$2,-1+SUMPRODUCT(MAX(ROW(E2559:E$2)*(E2560=E2559:E$2)))))</f>
        <v> </v>
      </c>
      <c r="J2560" s="26" t="str">
        <f>IF(OR(E2560="",E2560="!!!",F2560="NEW"),"",COUNTBLANK(OFFSET(A$1,,,SUMPRODUCT(MAX(ROW(E$2:E2560)*(E2560=E$2:E2560)))))-COUNTBLANK(OFFSET(A$1,,,SUMPRODUCT(MAX(ROW(E$1:E2559)*(E2=E$1:E2559))))))</f>
        <v> </v>
      </c>
      <c r="K2560" s="26" t="str">
        <f>IF(OR(E2560="",E2560="!!!",F2560="NEW"),"",INDEX(J$1:J2559,SUMPRODUCT(MAX(ROW(E$1:E2559)*(E2560=E$1:E2559)))))</f>
        <v> </v>
      </c>
      <c r="L2560" s="27"/>
    </row>
    <row r="2561" spans="1:12">
      <c r="A2561" s="20" t="s">
        <v>1817</v>
      </c>
      <c r="B2561" s="21" t="s">
        <v>1022</v>
      </c>
      <c r="C2561" s="21" t="s">
        <v>1041</v>
      </c>
      <c r="D2561" s="21" t="s">
        <v>1007</v>
      </c>
      <c r="E2561" s="22">
        <f>IF(D2561="?OLD","!!!","")</f>
        <v/>
      </c>
      <c r="F2561" s="23" t="str">
        <f>IF(OR(E2561="",E2561="!!!"),"",IF(NOT(ISNA(VLOOKUP(E2561,E$1:E2560,1,FALSE()))),"OLD",IF(AND(E2561&lt;&gt;"",E2561&lt;&gt;"!!!"),"NEW","")))</f>
        <v> </v>
      </c>
      <c r="G2561" s="24" t="str">
        <f>IF(OR(E2561="",E2561="!!!"),"",IF(OR(J2561=0,AND(J2561=1,K2561=1),AND(J2561=1,I2561="SBJ"),AND(J2561=1,I2561=0)),"?IN_FOCUS",IF(J2561&lt;=2,"?ACTIVATED",IF(J2561&lt;&gt;"","?FAMILIAR",IF(F2561="NEW",IF(ISNA(VLOOKUP(E2561,#REF!,1,FALSE())),"?TYPE_IDENTIFIABLE","?REFERENTIAL"),"_")))))</f>
        <v> </v>
      </c>
      <c r="H2561" s="25" t="str">
        <f>IF(J2561&lt;&gt;1,"",IF(I2561="SBJ","CB","?"))</f>
        <v> </v>
      </c>
      <c r="I2561" s="26" t="str">
        <f>IF(OR(E2561="",E2561="!!!",F2561="NEW"),"",INDEX(B2560:B$2,-1+SUMPRODUCT(MAX(ROW(E2560:E$2)*(E2561=E2560:E$2)))))</f>
        <v> </v>
      </c>
      <c r="J2561" s="26" t="str">
        <f>IF(OR(E2561="",E2561="!!!",F2561="NEW"),"",COUNTBLANK(OFFSET(A$1,,,SUMPRODUCT(MAX(ROW(E$2:E2561)*(E2561=E$2:E2561)))))-COUNTBLANK(OFFSET(A$1,,,SUMPRODUCT(MAX(ROW(E$1:E2560)*(E2=E$1:E2560))))))</f>
        <v> </v>
      </c>
      <c r="K2561" s="26" t="str">
        <f>IF(OR(E2561="",E2561="!!!",F2561="NEW"),"",INDEX(J$1:J2560,SUMPRODUCT(MAX(ROW(E$1:E2560)*(E2561=E$1:E2560)))))</f>
        <v> </v>
      </c>
      <c r="L2561" s="27"/>
    </row>
    <row r="2562" spans="1:12">
      <c r="A2562" s="20" t="s">
        <v>1018</v>
      </c>
      <c r="E2562" s="22">
        <f>IF(D2562="?OLD","!!!","")</f>
        <v/>
      </c>
      <c r="F2562" s="23" t="str">
        <f>IF(OR(E2562="",E2562="!!!"),"",IF(NOT(ISNA(VLOOKUP(E2562,E$1:E2561,1,FALSE()))),"OLD",IF(AND(E2562&lt;&gt;"",E2562&lt;&gt;"!!!"),"NEW","")))</f>
        <v> </v>
      </c>
      <c r="G2562" s="24" t="str">
        <f>IF(OR(E2562="",E2562="!!!"),"",IF(OR(J2562=0,AND(J2562=1,K2562=1),AND(J2562=1,I2562="SBJ"),AND(J2562=1,I2562=0)),"?IN_FOCUS",IF(J2562&lt;=2,"?ACTIVATED",IF(J2562&lt;&gt;"","?FAMILIAR",IF(F2562="NEW",IF(ISNA(VLOOKUP(E2562,#REF!,1,FALSE())),"?TYPE_IDENTIFIABLE","?REFERENTIAL"),"_")))))</f>
        <v> </v>
      </c>
      <c r="H2562" s="25" t="str">
        <f>IF(J2562&lt;&gt;1,"",IF(I2562="SBJ","CB","?"))</f>
        <v> </v>
      </c>
      <c r="I2562" s="26" t="str">
        <f>IF(OR(E2562="",E2562="!!!",F2562="NEW"),"",INDEX(B2561:B$2,-1+SUMPRODUCT(MAX(ROW(E2561:E$2)*(E2562=E2561:E$2)))))</f>
        <v> </v>
      </c>
      <c r="J2562" s="26" t="str">
        <f>IF(OR(E2562="",E2562="!!!",F2562="NEW"),"",COUNTBLANK(OFFSET(A$1,,,SUMPRODUCT(MAX(ROW(E$2:E2562)*(E2562=E$2:E2562)))))-COUNTBLANK(OFFSET(A$1,,,SUMPRODUCT(MAX(ROW(E$1:E2561)*(E2=E$1:E2561))))))</f>
        <v> </v>
      </c>
      <c r="K2562" s="26" t="str">
        <f>IF(OR(E2562="",E2562="!!!",F2562="NEW"),"",INDEX(J$1:J2561,SUMPRODUCT(MAX(ROW(E$1:E2561)*(E2562=E$1:E2561)))))</f>
        <v> </v>
      </c>
      <c r="L2562" s="27"/>
    </row>
    <row r="2563" spans="1:12">
      <c r="A2563" s="20" t="s">
        <v>1065</v>
      </c>
      <c r="B2563" s="21" t="s">
        <v>1120</v>
      </c>
      <c r="E2563" s="22">
        <f>IF(D2563="?OLD","!!!","")</f>
        <v/>
      </c>
      <c r="F2563" s="23" t="str">
        <f>IF(OR(E2563="",E2563="!!!"),"",IF(NOT(ISNA(VLOOKUP(E2563,E$1:E2562,1,FALSE()))),"OLD",IF(AND(E2563&lt;&gt;"",E2563&lt;&gt;"!!!"),"NEW","")))</f>
        <v> </v>
      </c>
      <c r="G2563" s="24" t="str">
        <f>IF(OR(E2563="",E2563="!!!"),"",IF(OR(J2563=0,AND(J2563=1,K2563=1),AND(J2563=1,I2563="SBJ"),AND(J2563=1,I2563=0)),"?IN_FOCUS",IF(J2563&lt;=2,"?ACTIVATED",IF(J2563&lt;&gt;"","?FAMILIAR",IF(F2563="NEW",IF(ISNA(VLOOKUP(E2563,#REF!,1,FALSE())),"?TYPE_IDENTIFIABLE","?REFERENTIAL"),"_")))))</f>
        <v> </v>
      </c>
      <c r="H2563" s="25" t="str">
        <f>IF(J2563&lt;&gt;1,"",IF(I2563="SBJ","CB","?"))</f>
        <v> </v>
      </c>
      <c r="I2563" s="26" t="str">
        <f>IF(OR(E2563="",E2563="!!!",F2563="NEW"),"",INDEX(B2562:B$2,-1+SUMPRODUCT(MAX(ROW(E2562:E$2)*(E2563=E2562:E$2)))))</f>
        <v> </v>
      </c>
      <c r="J2563" s="26" t="str">
        <f>IF(OR(E2563="",E2563="!!!",F2563="NEW"),"",COUNTBLANK(OFFSET(A$1,,,SUMPRODUCT(MAX(ROW(E$2:E2563)*(E2563=E$2:E2563)))))-COUNTBLANK(OFFSET(A$1,,,SUMPRODUCT(MAX(ROW(E$1:E2562)*(E2=E$1:E2562))))))</f>
        <v> </v>
      </c>
      <c r="K2563" s="26" t="str">
        <f>IF(OR(E2563="",E2563="!!!",F2563="NEW"),"",INDEX(J$1:J2562,SUMPRODUCT(MAX(ROW(E$1:E2562)*(E2563=E$1:E2562)))))</f>
        <v> </v>
      </c>
      <c r="L2563" s="27"/>
    </row>
    <row r="2564" spans="1:12">
      <c r="A2564" s="20" t="s">
        <v>1142</v>
      </c>
      <c r="E2564" s="22">
        <f>IF(D2564="?OLD","!!!","")</f>
        <v/>
      </c>
      <c r="F2564" s="23" t="str">
        <f>IF(OR(E2564="",E2564="!!!"),"",IF(NOT(ISNA(VLOOKUP(E2564,E$1:E2563,1,FALSE()))),"OLD",IF(AND(E2564&lt;&gt;"",E2564&lt;&gt;"!!!"),"NEW","")))</f>
        <v> </v>
      </c>
      <c r="G2564" s="24" t="str">
        <f>IF(OR(E2564="",E2564="!!!"),"",IF(OR(J2564=0,AND(J2564=1,K2564=1),AND(J2564=1,I2564="SBJ"),AND(J2564=1,I2564=0)),"?IN_FOCUS",IF(J2564&lt;=2,"?ACTIVATED",IF(J2564&lt;&gt;"","?FAMILIAR",IF(F2564="NEW",IF(ISNA(VLOOKUP(E2564,#REF!,1,FALSE())),"?TYPE_IDENTIFIABLE","?REFERENTIAL"),"_")))))</f>
        <v> </v>
      </c>
      <c r="H2564" s="25" t="str">
        <f>IF(J2564&lt;&gt;1,"",IF(I2564="SBJ","CB","?"))</f>
        <v> </v>
      </c>
      <c r="I2564" s="26" t="str">
        <f>IF(OR(E2564="",E2564="!!!",F2564="NEW"),"",INDEX(B2563:B$2,-1+SUMPRODUCT(MAX(ROW(E2563:E$2)*(E2564=E2563:E$2)))))</f>
        <v> </v>
      </c>
      <c r="J2564" s="26" t="str">
        <f>IF(OR(E2564="",E2564="!!!",F2564="NEW"),"",COUNTBLANK(OFFSET(A$1,,,SUMPRODUCT(MAX(ROW(E$2:E2564)*(E2564=E$2:E2564)))))-COUNTBLANK(OFFSET(A$1,,,SUMPRODUCT(MAX(ROW(E$1:E2563)*(E2=E$1:E2563))))))</f>
        <v> </v>
      </c>
      <c r="K2564" s="26" t="str">
        <f>IF(OR(E2564="",E2564="!!!",F2564="NEW"),"",INDEX(J$1:J2563,SUMPRODUCT(MAX(ROW(E$1:E2563)*(E2564=E$1:E2563)))))</f>
        <v> </v>
      </c>
      <c r="L2564" s="27"/>
    </row>
    <row r="2565" spans="1:12">
      <c r="A2565" s="20" t="s">
        <v>1818</v>
      </c>
      <c r="E2565" s="22">
        <f>IF(D2565="?OLD","!!!","")</f>
        <v/>
      </c>
      <c r="F2565" s="23" t="str">
        <f>IF(OR(E2565="",E2565="!!!"),"",IF(NOT(ISNA(VLOOKUP(E2565,E$1:E2564,1,FALSE()))),"OLD",IF(AND(E2565&lt;&gt;"",E2565&lt;&gt;"!!!"),"NEW","")))</f>
        <v> </v>
      </c>
      <c r="G2565" s="24" t="str">
        <f>IF(OR(E2565="",E2565="!!!"),"",IF(OR(J2565=0,AND(J2565=1,K2565=1),AND(J2565=1,I2565="SBJ"),AND(J2565=1,I2565=0)),"?IN_FOCUS",IF(J2565&lt;=2,"?ACTIVATED",IF(J2565&lt;&gt;"","?FAMILIAR",IF(F2565="NEW",IF(ISNA(VLOOKUP(E2565,#REF!,1,FALSE())),"?TYPE_IDENTIFIABLE","?REFERENTIAL"),"_")))))</f>
        <v> </v>
      </c>
      <c r="H2565" s="25" t="str">
        <f>IF(J2565&lt;&gt;1,"",IF(I2565="SBJ","CB","?"))</f>
        <v> </v>
      </c>
      <c r="I2565" s="26" t="str">
        <f>IF(OR(E2565="",E2565="!!!",F2565="NEW"),"",INDEX(B2564:B$2,-1+SUMPRODUCT(MAX(ROW(E2564:E$2)*(E2565=E2564:E$2)))))</f>
        <v> </v>
      </c>
      <c r="J2565" s="26" t="str">
        <f>IF(OR(E2565="",E2565="!!!",F2565="NEW"),"",COUNTBLANK(OFFSET(A$1,,,SUMPRODUCT(MAX(ROW(E$2:E2565)*(E2565=E$2:E2565)))))-COUNTBLANK(OFFSET(A$1,,,SUMPRODUCT(MAX(ROW(E$1:E2564)*(E2=E$1:E2564))))))</f>
        <v> </v>
      </c>
      <c r="K2565" s="26" t="str">
        <f>IF(OR(E2565="",E2565="!!!",F2565="NEW"),"",INDEX(J$1:J2564,SUMPRODUCT(MAX(ROW(E$1:E2564)*(E2565=E$1:E2564)))))</f>
        <v> </v>
      </c>
      <c r="L2565" s="27"/>
    </row>
    <row r="2566" spans="1:12">
      <c r="A2566" s="20" t="s">
        <v>1819</v>
      </c>
      <c r="E2566" s="22">
        <f>IF(D2566="?OLD","!!!","")</f>
        <v/>
      </c>
      <c r="F2566" s="23" t="str">
        <f>IF(OR(E2566="",E2566="!!!"),"",IF(NOT(ISNA(VLOOKUP(E2566,E$1:E2565,1,FALSE()))),"OLD",IF(AND(E2566&lt;&gt;"",E2566&lt;&gt;"!!!"),"NEW","")))</f>
        <v> </v>
      </c>
      <c r="G2566" s="24" t="str">
        <f>IF(OR(E2566="",E2566="!!!"),"",IF(OR(J2566=0,AND(J2566=1,K2566=1),AND(J2566=1,I2566="SBJ"),AND(J2566=1,I2566=0)),"?IN_FOCUS",IF(J2566&lt;=2,"?ACTIVATED",IF(J2566&lt;&gt;"","?FAMILIAR",IF(F2566="NEW",IF(ISNA(VLOOKUP(E2566,#REF!,1,FALSE())),"?TYPE_IDENTIFIABLE","?REFERENTIAL"),"_")))))</f>
        <v> </v>
      </c>
      <c r="H2566" s="25" t="str">
        <f>IF(J2566&lt;&gt;1,"",IF(I2566="SBJ","CB","?"))</f>
        <v> </v>
      </c>
      <c r="I2566" s="26" t="str">
        <f>IF(OR(E2566="",E2566="!!!",F2566="NEW"),"",INDEX(B2565:B$2,-1+SUMPRODUCT(MAX(ROW(E2565:E$2)*(E2566=E2565:E$2)))))</f>
        <v> </v>
      </c>
      <c r="J2566" s="26" t="str">
        <f>IF(OR(E2566="",E2566="!!!",F2566="NEW"),"",COUNTBLANK(OFFSET(A$1,,,SUMPRODUCT(MAX(ROW(E$2:E2566)*(E2566=E$2:E2566)))))-COUNTBLANK(OFFSET(A$1,,,SUMPRODUCT(MAX(ROW(E$1:E2565)*(E2=E$1:E2565))))))</f>
        <v> </v>
      </c>
      <c r="K2566" s="26" t="str">
        <f>IF(OR(E2566="",E2566="!!!",F2566="NEW"),"",INDEX(J$1:J2565,SUMPRODUCT(MAX(ROW(E$1:E2565)*(E2566=E$1:E2565)))))</f>
        <v> </v>
      </c>
      <c r="L2566" s="27"/>
    </row>
    <row r="2567" spans="1:12">
      <c r="A2567" s="20" t="s">
        <v>1820</v>
      </c>
      <c r="B2567" s="21" t="s">
        <v>1064</v>
      </c>
      <c r="C2567" s="21" t="s">
        <v>1103</v>
      </c>
      <c r="E2567" s="22">
        <f>IF(D2567="?OLD","!!!","")</f>
        <v/>
      </c>
      <c r="F2567" s="23" t="str">
        <f>IF(OR(E2567="",E2567="!!!"),"",IF(NOT(ISNA(VLOOKUP(E2567,E$1:E2566,1,FALSE()))),"OLD",IF(AND(E2567&lt;&gt;"",E2567&lt;&gt;"!!!"),"NEW","")))</f>
        <v> </v>
      </c>
      <c r="G2567" s="24" t="str">
        <f>IF(OR(E2567="",E2567="!!!"),"",IF(OR(J2567=0,AND(J2567=1,K2567=1),AND(J2567=1,I2567="SBJ"),AND(J2567=1,I2567=0)),"?IN_FOCUS",IF(J2567&lt;=2,"?ACTIVATED",IF(J2567&lt;&gt;"","?FAMILIAR",IF(F2567="NEW",IF(ISNA(VLOOKUP(E2567,#REF!,1,FALSE())),"?TYPE_IDENTIFIABLE","?REFERENTIAL"),"_")))))</f>
        <v> </v>
      </c>
      <c r="H2567" s="25" t="str">
        <f>IF(J2567&lt;&gt;1,"",IF(I2567="SBJ","CB","?"))</f>
        <v> </v>
      </c>
      <c r="I2567" s="26" t="str">
        <f>IF(OR(E2567="",E2567="!!!",F2567="NEW"),"",INDEX(B2566:B$2,-1+SUMPRODUCT(MAX(ROW(E2566:E$2)*(E2567=E2566:E$2)))))</f>
        <v> </v>
      </c>
      <c r="J2567" s="26" t="str">
        <f>IF(OR(E2567="",E2567="!!!",F2567="NEW"),"",COUNTBLANK(OFFSET(A$1,,,SUMPRODUCT(MAX(ROW(E$2:E2567)*(E2567=E$2:E2567)))))-COUNTBLANK(OFFSET(A$1,,,SUMPRODUCT(MAX(ROW(E$1:E2566)*(E2=E$1:E2566))))))</f>
        <v> </v>
      </c>
      <c r="K2567" s="26" t="str">
        <f>IF(OR(E2567="",E2567="!!!",F2567="NEW"),"",INDEX(J$1:J2566,SUMPRODUCT(MAX(ROW(E$1:E2566)*(E2567=E$1:E2566)))))</f>
        <v> </v>
      </c>
      <c r="L2567" s="27"/>
    </row>
    <row r="2568" spans="1:12">
      <c r="A2568" s="20" t="s">
        <v>1018</v>
      </c>
      <c r="E2568" s="22">
        <f>IF(D2568="?OLD","!!!","")</f>
        <v/>
      </c>
      <c r="F2568" s="23" t="str">
        <f>IF(OR(E2568="",E2568="!!!"),"",IF(NOT(ISNA(VLOOKUP(E2568,E$1:E2567,1,FALSE()))),"OLD",IF(AND(E2568&lt;&gt;"",E2568&lt;&gt;"!!!"),"NEW","")))</f>
        <v> </v>
      </c>
      <c r="G2568" s="24" t="str">
        <f>IF(OR(E2568="",E2568="!!!"),"",IF(OR(J2568=0,AND(J2568=1,K2568=1),AND(J2568=1,I2568="SBJ"),AND(J2568=1,I2568=0)),"?IN_FOCUS",IF(J2568&lt;=2,"?ACTIVATED",IF(J2568&lt;&gt;"","?FAMILIAR",IF(F2568="NEW",IF(ISNA(VLOOKUP(E2568,#REF!,1,FALSE())),"?TYPE_IDENTIFIABLE","?REFERENTIAL"),"_")))))</f>
        <v> </v>
      </c>
      <c r="H2568" s="25" t="str">
        <f>IF(J2568&lt;&gt;1,"",IF(I2568="SBJ","CB","?"))</f>
        <v> </v>
      </c>
      <c r="I2568" s="26" t="str">
        <f>IF(OR(E2568="",E2568="!!!",F2568="NEW"),"",INDEX(B2567:B$2,-1+SUMPRODUCT(MAX(ROW(E2567:E$2)*(E2568=E2567:E$2)))))</f>
        <v> </v>
      </c>
      <c r="J2568" s="26" t="str">
        <f>IF(OR(E2568="",E2568="!!!",F2568="NEW"),"",COUNTBLANK(OFFSET(A$1,,,SUMPRODUCT(MAX(ROW(E$2:E2568)*(E2568=E$2:E2568)))))-COUNTBLANK(OFFSET(A$1,,,SUMPRODUCT(MAX(ROW(E$1:E2567)*(E2=E$1:E2567))))))</f>
        <v> </v>
      </c>
      <c r="K2568" s="26" t="str">
        <f>IF(OR(E2568="",E2568="!!!",F2568="NEW"),"",INDEX(J$1:J2567,SUMPRODUCT(MAX(ROW(E$1:E2567)*(E2568=E$1:E2567)))))</f>
        <v> </v>
      </c>
      <c r="L2568" s="27"/>
    </row>
    <row r="2569" spans="1:12">
      <c r="A2569" s="20" t="s">
        <v>1075</v>
      </c>
      <c r="E2569" s="22">
        <f>IF(D2569="?OLD","!!!","")</f>
        <v/>
      </c>
      <c r="F2569" s="23" t="str">
        <f>IF(OR(E2569="",E2569="!!!"),"",IF(NOT(ISNA(VLOOKUP(E2569,E$1:E2568,1,FALSE()))),"OLD",IF(AND(E2569&lt;&gt;"",E2569&lt;&gt;"!!!"),"NEW","")))</f>
        <v> </v>
      </c>
      <c r="G2569" s="24" t="str">
        <f>IF(OR(E2569="",E2569="!!!"),"",IF(OR(J2569=0,AND(J2569=1,K2569=1),AND(J2569=1,I2569="SBJ"),AND(J2569=1,I2569=0)),"?IN_FOCUS",IF(J2569&lt;=2,"?ACTIVATED",IF(J2569&lt;&gt;"","?FAMILIAR",IF(F2569="NEW",IF(ISNA(VLOOKUP(E2569,#REF!,1,FALSE())),"?TYPE_IDENTIFIABLE","?REFERENTIAL"),"_")))))</f>
        <v> </v>
      </c>
      <c r="H2569" s="25" t="str">
        <f>IF(J2569&lt;&gt;1,"",IF(I2569="SBJ","CB","?"))</f>
        <v> </v>
      </c>
      <c r="I2569" s="26" t="str">
        <f>IF(OR(E2569="",E2569="!!!",F2569="NEW"),"",INDEX(B2568:B$2,-1+SUMPRODUCT(MAX(ROW(E2568:E$2)*(E2569=E2568:E$2)))))</f>
        <v> </v>
      </c>
      <c r="J2569" s="26" t="str">
        <f>IF(OR(E2569="",E2569="!!!",F2569="NEW"),"",COUNTBLANK(OFFSET(A$1,,,SUMPRODUCT(MAX(ROW(E$2:E2569)*(E2569=E$2:E2569)))))-COUNTBLANK(OFFSET(A$1,,,SUMPRODUCT(MAX(ROW(E$1:E2568)*(E2=E$1:E2568))))))</f>
        <v> </v>
      </c>
      <c r="K2569" s="26" t="str">
        <f>IF(OR(E2569="",E2569="!!!",F2569="NEW"),"",INDEX(J$1:J2568,SUMPRODUCT(MAX(ROW(E$1:E2568)*(E2569=E$1:E2568)))))</f>
        <v> </v>
      </c>
      <c r="L2569" s="27"/>
    </row>
    <row r="2570" spans="1:12">
      <c r="A2570" s="20" t="s">
        <v>102</v>
      </c>
      <c r="E2570" s="22">
        <f>IF(D2570="?OLD","!!!","")</f>
        <v/>
      </c>
      <c r="F2570" s="23" t="str">
        <f>IF(OR(E2570="",E2570="!!!"),"",IF(NOT(ISNA(VLOOKUP(E2570,E$1:E2569,1,FALSE()))),"OLD",IF(AND(E2570&lt;&gt;"",E2570&lt;&gt;"!!!"),"NEW","")))</f>
        <v> </v>
      </c>
      <c r="G2570" s="24" t="str">
        <f>IF(OR(E2570="",E2570="!!!"),"",IF(OR(J2570=0,AND(J2570=1,K2570=1),AND(J2570=1,I2570="SBJ"),AND(J2570=1,I2570=0)),"?IN_FOCUS",IF(J2570&lt;=2,"?ACTIVATED",IF(J2570&lt;&gt;"","?FAMILIAR",IF(F2570="NEW",IF(ISNA(VLOOKUP(E2570,#REF!,1,FALSE())),"?TYPE_IDENTIFIABLE","?REFERENTIAL"),"_")))))</f>
        <v> </v>
      </c>
      <c r="H2570" s="25" t="str">
        <f>IF(J2570&lt;&gt;1,"",IF(I2570="SBJ","CB","?"))</f>
        <v> </v>
      </c>
      <c r="I2570" s="26" t="str">
        <f>IF(OR(E2570="",E2570="!!!",F2570="NEW"),"",INDEX(B2569:B$2,-1+SUMPRODUCT(MAX(ROW(E2569:E$2)*(E2570=E2569:E$2)))))</f>
        <v> </v>
      </c>
      <c r="J2570" s="26" t="str">
        <f>IF(OR(E2570="",E2570="!!!",F2570="NEW"),"",COUNTBLANK(OFFSET(A$1,,,SUMPRODUCT(MAX(ROW(E$2:E2570)*(E2570=E$2:E2570)))))-COUNTBLANK(OFFSET(A$1,,,SUMPRODUCT(MAX(ROW(E$1:E2569)*(E2=E$1:E2569))))))</f>
        <v> </v>
      </c>
      <c r="K2570" s="26" t="str">
        <f>IF(OR(E2570="",E2570="!!!",F2570="NEW"),"",INDEX(J$1:J2569,SUMPRODUCT(MAX(ROW(E$1:E2569)*(E2570=E$1:E2569)))))</f>
        <v> </v>
      </c>
      <c r="L2570" s="27"/>
    </row>
    <row r="2571" spans="1:12">
      <c r="A2571" s="20" t="s">
        <v>1801</v>
      </c>
      <c r="B2571" s="21" t="s">
        <v>1005</v>
      </c>
      <c r="C2571" s="21" t="s">
        <v>1017</v>
      </c>
      <c r="D2571" s="21" t="s">
        <v>1007</v>
      </c>
      <c r="E2571" s="22">
        <f>IF(D2571="?OLD","!!!","")</f>
        <v/>
      </c>
      <c r="F2571" s="23" t="str">
        <f>IF(OR(E2571="",E2571="!!!"),"",IF(NOT(ISNA(VLOOKUP(E2571,E$1:E2570,1,FALSE()))),"OLD",IF(AND(E2571&lt;&gt;"",E2571&lt;&gt;"!!!"),"NEW","")))</f>
        <v> </v>
      </c>
      <c r="G2571" s="24" t="str">
        <f>IF(OR(E2571="",E2571="!!!"),"",IF(OR(J2571=0,AND(J2571=1,K2571=1),AND(J2571=1,I2571="SBJ"),AND(J2571=1,I2571=0)),"?IN_FOCUS",IF(J2571&lt;=2,"?ACTIVATED",IF(J2571&lt;&gt;"","?FAMILIAR",IF(F2571="NEW",IF(ISNA(VLOOKUP(E2571,#REF!,1,FALSE())),"?TYPE_IDENTIFIABLE","?REFERENTIAL"),"_")))))</f>
        <v> </v>
      </c>
      <c r="H2571" s="25" t="str">
        <f>IF(J2571&lt;&gt;1,"",IF(I2571="SBJ","CB","?"))</f>
        <v> </v>
      </c>
      <c r="I2571" s="26" t="str">
        <f>IF(OR(E2571="",E2571="!!!",F2571="NEW"),"",INDEX(B2570:B$2,-1+SUMPRODUCT(MAX(ROW(E2570:E$2)*(E2571=E2570:E$2)))))</f>
        <v> </v>
      </c>
      <c r="J2571" s="26" t="str">
        <f>IF(OR(E2571="",E2571="!!!",F2571="NEW"),"",COUNTBLANK(OFFSET(A$1,,,SUMPRODUCT(MAX(ROW(E$2:E2571)*(E2571=E$2:E2571)))))-COUNTBLANK(OFFSET(A$1,,,SUMPRODUCT(MAX(ROW(E$1:E2570)*(E2=E$1:E2570))))))</f>
        <v> </v>
      </c>
      <c r="K2571" s="26" t="str">
        <f>IF(OR(E2571="",E2571="!!!",F2571="NEW"),"",INDEX(J$1:J2570,SUMPRODUCT(MAX(ROW(E$1:E2570)*(E2571=E$1:E2570)))))</f>
        <v> </v>
      </c>
      <c r="L2571" s="27"/>
    </row>
    <row r="2572" spans="1:12">
      <c r="A2572" s="20" t="s">
        <v>1014</v>
      </c>
      <c r="E2572" s="22">
        <f>IF(D2572="?OLD","!!!","")</f>
        <v/>
      </c>
      <c r="F2572" s="23" t="str">
        <f>IF(OR(E2572="",E2572="!!!"),"",IF(NOT(ISNA(VLOOKUP(E2572,E$1:E2571,1,FALSE()))),"OLD",IF(AND(E2572&lt;&gt;"",E2572&lt;&gt;"!!!"),"NEW","")))</f>
        <v> </v>
      </c>
      <c r="G2572" s="24" t="str">
        <f>IF(OR(E2572="",E2572="!!!"),"",IF(OR(J2572=0,AND(J2572=1,K2572=1),AND(J2572=1,I2572="SBJ"),AND(J2572=1,I2572=0)),"?IN_FOCUS",IF(J2572&lt;=2,"?ACTIVATED",IF(J2572&lt;&gt;"","?FAMILIAR",IF(F2572="NEW",IF(ISNA(VLOOKUP(E2572,#REF!,1,FALSE())),"?TYPE_IDENTIFIABLE","?REFERENTIAL"),"_")))))</f>
        <v> </v>
      </c>
      <c r="H2572" s="25" t="str">
        <f>IF(J2572&lt;&gt;1,"",IF(I2572="SBJ","CB","?"))</f>
        <v> </v>
      </c>
      <c r="I2572" s="26" t="str">
        <f>IF(OR(E2572="",E2572="!!!",F2572="NEW"),"",INDEX(B2571:B$2,-1+SUMPRODUCT(MAX(ROW(E2571:E$2)*(E2572=E2571:E$2)))))</f>
        <v> </v>
      </c>
      <c r="J2572" s="26" t="str">
        <f>IF(OR(E2572="",E2572="!!!",F2572="NEW"),"",COUNTBLANK(OFFSET(A$1,,,SUMPRODUCT(MAX(ROW(E$2:E2572)*(E2572=E$2:E2572)))))-COUNTBLANK(OFFSET(A$1,,,SUMPRODUCT(MAX(ROW(E$1:E2571)*(E2=E$1:E2571))))))</f>
        <v> </v>
      </c>
      <c r="K2572" s="26" t="str">
        <f>IF(OR(E2572="",E2572="!!!",F2572="NEW"),"",INDEX(J$1:J2571,SUMPRODUCT(MAX(ROW(E$1:E2571)*(E2572=E$1:E2571)))))</f>
        <v> </v>
      </c>
      <c r="L2572" s="27"/>
    </row>
    <row r="2573" spans="1:12">
      <c r="A2573" s="20" t="s">
        <v>1065</v>
      </c>
      <c r="E2573" s="22">
        <f>IF(D2573="?OLD","!!!","")</f>
        <v/>
      </c>
      <c r="F2573" s="23" t="str">
        <f>IF(OR(E2573="",E2573="!!!"),"",IF(NOT(ISNA(VLOOKUP(E2573,E$1:E2572,1,FALSE()))),"OLD",IF(AND(E2573&lt;&gt;"",E2573&lt;&gt;"!!!"),"NEW","")))</f>
        <v> </v>
      </c>
      <c r="G2573" s="24" t="str">
        <f>IF(OR(E2573="",E2573="!!!"),"",IF(OR(J2573=0,AND(J2573=1,K2573=1),AND(J2573=1,I2573="SBJ"),AND(J2573=1,I2573=0)),"?IN_FOCUS",IF(J2573&lt;=2,"?ACTIVATED",IF(J2573&lt;&gt;"","?FAMILIAR",IF(F2573="NEW",IF(ISNA(VLOOKUP(E2573,#REF!,1,FALSE())),"?TYPE_IDENTIFIABLE","?REFERENTIAL"),"_")))))</f>
        <v> </v>
      </c>
      <c r="H2573" s="25" t="str">
        <f>IF(J2573&lt;&gt;1,"",IF(I2573="SBJ","CB","?"))</f>
        <v> </v>
      </c>
      <c r="I2573" s="26" t="str">
        <f>IF(OR(E2573="",E2573="!!!",F2573="NEW"),"",INDEX(B2572:B$2,-1+SUMPRODUCT(MAX(ROW(E2572:E$2)*(E2573=E2572:E$2)))))</f>
        <v> </v>
      </c>
      <c r="J2573" s="26" t="str">
        <f>IF(OR(E2573="",E2573="!!!",F2573="NEW"),"",COUNTBLANK(OFFSET(A$1,,,SUMPRODUCT(MAX(ROW(E$2:E2573)*(E2573=E$2:E2573)))))-COUNTBLANK(OFFSET(A$1,,,SUMPRODUCT(MAX(ROW(E$1:E2572)*(E2=E$1:E2572))))))</f>
        <v> </v>
      </c>
      <c r="K2573" s="26" t="str">
        <f>IF(OR(E2573="",E2573="!!!",F2573="NEW"),"",INDEX(J$1:J2572,SUMPRODUCT(MAX(ROW(E$1:E2572)*(E2573=E$1:E2572)))))</f>
        <v> </v>
      </c>
      <c r="L2573" s="27"/>
    </row>
    <row r="2574" spans="1:12">
      <c r="A2574" s="20" t="s">
        <v>1142</v>
      </c>
      <c r="E2574" s="22">
        <f>IF(D2574="?OLD","!!!","")</f>
        <v/>
      </c>
      <c r="F2574" s="23" t="str">
        <f>IF(OR(E2574="",E2574="!!!"),"",IF(NOT(ISNA(VLOOKUP(E2574,E$1:E2573,1,FALSE()))),"OLD",IF(AND(E2574&lt;&gt;"",E2574&lt;&gt;"!!!"),"NEW","")))</f>
        <v> </v>
      </c>
      <c r="G2574" s="24" t="str">
        <f>IF(OR(E2574="",E2574="!!!"),"",IF(OR(J2574=0,AND(J2574=1,K2574=1),AND(J2574=1,I2574="SBJ"),AND(J2574=1,I2574=0)),"?IN_FOCUS",IF(J2574&lt;=2,"?ACTIVATED",IF(J2574&lt;&gt;"","?FAMILIAR",IF(F2574="NEW",IF(ISNA(VLOOKUP(E2574,#REF!,1,FALSE())),"?TYPE_IDENTIFIABLE","?REFERENTIAL"),"_")))))</f>
        <v> </v>
      </c>
      <c r="H2574" s="25" t="str">
        <f>IF(J2574&lt;&gt;1,"",IF(I2574="SBJ","CB","?"))</f>
        <v> </v>
      </c>
      <c r="I2574" s="26" t="str">
        <f>IF(OR(E2574="",E2574="!!!",F2574="NEW"),"",INDEX(B2573:B$2,-1+SUMPRODUCT(MAX(ROW(E2573:E$2)*(E2574=E2573:E$2)))))</f>
        <v> </v>
      </c>
      <c r="J2574" s="26" t="str">
        <f>IF(OR(E2574="",E2574="!!!",F2574="NEW"),"",COUNTBLANK(OFFSET(A$1,,,SUMPRODUCT(MAX(ROW(E$2:E2574)*(E2574=E$2:E2574)))))-COUNTBLANK(OFFSET(A$1,,,SUMPRODUCT(MAX(ROW(E$1:E2573)*(E2=E$1:E2573))))))</f>
        <v> </v>
      </c>
      <c r="K2574" s="26" t="str">
        <f>IF(OR(E2574="",E2574="!!!",F2574="NEW"),"",INDEX(J$1:J2573,SUMPRODUCT(MAX(ROW(E$1:E2573)*(E2574=E$1:E2573)))))</f>
        <v> </v>
      </c>
      <c r="L2574" s="27"/>
    </row>
    <row r="2575" spans="1:12">
      <c r="A2575" s="20" t="s">
        <v>1199</v>
      </c>
      <c r="E2575" s="22">
        <f>IF(D2575="?OLD","!!!","")</f>
        <v/>
      </c>
      <c r="F2575" s="23" t="str">
        <f>IF(OR(E2575="",E2575="!!!"),"",IF(NOT(ISNA(VLOOKUP(E2575,E$1:E2574,1,FALSE()))),"OLD",IF(AND(E2575&lt;&gt;"",E2575&lt;&gt;"!!!"),"NEW","")))</f>
        <v> </v>
      </c>
      <c r="G2575" s="24" t="str">
        <f>IF(OR(E2575="",E2575="!!!"),"",IF(OR(J2575=0,AND(J2575=1,K2575=1),AND(J2575=1,I2575="SBJ"),AND(J2575=1,I2575=0)),"?IN_FOCUS",IF(J2575&lt;=2,"?ACTIVATED",IF(J2575&lt;&gt;"","?FAMILIAR",IF(F2575="NEW",IF(ISNA(VLOOKUP(E2575,#REF!,1,FALSE())),"?TYPE_IDENTIFIABLE","?REFERENTIAL"),"_")))))</f>
        <v> </v>
      </c>
      <c r="H2575" s="25" t="str">
        <f>IF(J2575&lt;&gt;1,"",IF(I2575="SBJ","CB","?"))</f>
        <v> </v>
      </c>
      <c r="I2575" s="26" t="str">
        <f>IF(OR(E2575="",E2575="!!!",F2575="NEW"),"",INDEX(B2574:B$2,-1+SUMPRODUCT(MAX(ROW(E2574:E$2)*(E2575=E2574:E$2)))))</f>
        <v> </v>
      </c>
      <c r="J2575" s="26" t="str">
        <f>IF(OR(E2575="",E2575="!!!",F2575="NEW"),"",COUNTBLANK(OFFSET(A$1,,,SUMPRODUCT(MAX(ROW(E$2:E2575)*(E2575=E$2:E2575)))))-COUNTBLANK(OFFSET(A$1,,,SUMPRODUCT(MAX(ROW(E$1:E2574)*(E2=E$1:E2574))))))</f>
        <v> </v>
      </c>
      <c r="K2575" s="26" t="str">
        <f>IF(OR(E2575="",E2575="!!!",F2575="NEW"),"",INDEX(J$1:J2574,SUMPRODUCT(MAX(ROW(E$1:E2574)*(E2575=E$1:E2574)))))</f>
        <v> </v>
      </c>
      <c r="L2575" s="27"/>
    </row>
    <row r="2576" spans="1:12">
      <c r="A2576" s="20" t="s">
        <v>1222</v>
      </c>
      <c r="E2576" s="22">
        <f>IF(D2576="?OLD","!!!","")</f>
        <v/>
      </c>
      <c r="F2576" s="23" t="str">
        <f>IF(OR(E2576="",E2576="!!!"),"",IF(NOT(ISNA(VLOOKUP(E2576,E$1:E2575,1,FALSE()))),"OLD",IF(AND(E2576&lt;&gt;"",E2576&lt;&gt;"!!!"),"NEW","")))</f>
        <v> </v>
      </c>
      <c r="G2576" s="24" t="str">
        <f>IF(OR(E2576="",E2576="!!!"),"",IF(OR(J2576=0,AND(J2576=1,K2576=1),AND(J2576=1,I2576="SBJ"),AND(J2576=1,I2576=0)),"?IN_FOCUS",IF(J2576&lt;=2,"?ACTIVATED",IF(J2576&lt;&gt;"","?FAMILIAR",IF(F2576="NEW",IF(ISNA(VLOOKUP(E2576,#REF!,1,FALSE())),"?TYPE_IDENTIFIABLE","?REFERENTIAL"),"_")))))</f>
        <v> </v>
      </c>
      <c r="H2576" s="25" t="str">
        <f>IF(J2576&lt;&gt;1,"",IF(I2576="SBJ","CB","?"))</f>
        <v> </v>
      </c>
      <c r="I2576" s="26" t="str">
        <f>IF(OR(E2576="",E2576="!!!",F2576="NEW"),"",INDEX(B2575:B$2,-1+SUMPRODUCT(MAX(ROW(E2575:E$2)*(E2576=E2575:E$2)))))</f>
        <v> </v>
      </c>
      <c r="J2576" s="26" t="str">
        <f>IF(OR(E2576="",E2576="!!!",F2576="NEW"),"",COUNTBLANK(OFFSET(A$1,,,SUMPRODUCT(MAX(ROW(E$2:E2576)*(E2576=E$2:E2576)))))-COUNTBLANK(OFFSET(A$1,,,SUMPRODUCT(MAX(ROW(E$1:E2575)*(E2=E$1:E2575))))))</f>
        <v> </v>
      </c>
      <c r="K2576" s="26" t="str">
        <f>IF(OR(E2576="",E2576="!!!",F2576="NEW"),"",INDEX(J$1:J2575,SUMPRODUCT(MAX(ROW(E$1:E2575)*(E2576=E$1:E2575)))))</f>
        <v> </v>
      </c>
      <c r="L2576" s="27"/>
    </row>
    <row r="2577" spans="1:12">
      <c r="A2577" s="20" t="s">
        <v>1403</v>
      </c>
      <c r="E2577" s="22">
        <f>IF(D2577="?OLD","!!!","")</f>
        <v/>
      </c>
      <c r="F2577" s="23" t="str">
        <f>IF(OR(E2577="",E2577="!!!"),"",IF(NOT(ISNA(VLOOKUP(E2577,E$1:E2576,1,FALSE()))),"OLD",IF(AND(E2577&lt;&gt;"",E2577&lt;&gt;"!!!"),"NEW","")))</f>
        <v> </v>
      </c>
      <c r="G2577" s="24" t="str">
        <f>IF(OR(E2577="",E2577="!!!"),"",IF(OR(J2577=0,AND(J2577=1,K2577=1),AND(J2577=1,I2577="SBJ"),AND(J2577=1,I2577=0)),"?IN_FOCUS",IF(J2577&lt;=2,"?ACTIVATED",IF(J2577&lt;&gt;"","?FAMILIAR",IF(F2577="NEW",IF(ISNA(VLOOKUP(E2577,#REF!,1,FALSE())),"?TYPE_IDENTIFIABLE","?REFERENTIAL"),"_")))))</f>
        <v> </v>
      </c>
      <c r="H2577" s="25" t="str">
        <f>IF(J2577&lt;&gt;1,"",IF(I2577="SBJ","CB","?"))</f>
        <v> </v>
      </c>
      <c r="I2577" s="26" t="str">
        <f>IF(OR(E2577="",E2577="!!!",F2577="NEW"),"",INDEX(B2576:B$2,-1+SUMPRODUCT(MAX(ROW(E2576:E$2)*(E2577=E2576:E$2)))))</f>
        <v> </v>
      </c>
      <c r="J2577" s="26" t="str">
        <f>IF(OR(E2577="",E2577="!!!",F2577="NEW"),"",COUNTBLANK(OFFSET(A$1,,,SUMPRODUCT(MAX(ROW(E$2:E2577)*(E2577=E$2:E2577)))))-COUNTBLANK(OFFSET(A$1,,,SUMPRODUCT(MAX(ROW(E$1:E2576)*(E2=E$1:E2576))))))</f>
        <v> </v>
      </c>
      <c r="K2577" s="26" t="str">
        <f>IF(OR(E2577="",E2577="!!!",F2577="NEW"),"",INDEX(J$1:J2576,SUMPRODUCT(MAX(ROW(E$1:E2576)*(E2577=E$1:E2576)))))</f>
        <v> </v>
      </c>
      <c r="L2577" s="27"/>
    </row>
    <row r="2578" spans="1:12">
      <c r="A2578" s="20" t="s">
        <v>1808</v>
      </c>
      <c r="E2578" s="22">
        <f>IF(D2578="?OLD","!!!","")</f>
        <v/>
      </c>
      <c r="F2578" s="23" t="str">
        <f>IF(OR(E2578="",E2578="!!!"),"",IF(NOT(ISNA(VLOOKUP(E2578,E$1:E2577,1,FALSE()))),"OLD",IF(AND(E2578&lt;&gt;"",E2578&lt;&gt;"!!!"),"NEW","")))</f>
        <v> </v>
      </c>
      <c r="G2578" s="24" t="str">
        <f>IF(OR(E2578="",E2578="!!!"),"",IF(OR(J2578=0,AND(J2578=1,K2578=1),AND(J2578=1,I2578="SBJ"),AND(J2578=1,I2578=0)),"?IN_FOCUS",IF(J2578&lt;=2,"?ACTIVATED",IF(J2578&lt;&gt;"","?FAMILIAR",IF(F2578="NEW",IF(ISNA(VLOOKUP(E2578,#REF!,1,FALSE())),"?TYPE_IDENTIFIABLE","?REFERENTIAL"),"_")))))</f>
        <v> </v>
      </c>
      <c r="H2578" s="25" t="str">
        <f>IF(J2578&lt;&gt;1,"",IF(I2578="SBJ","CB","?"))</f>
        <v> </v>
      </c>
      <c r="I2578" s="26" t="str">
        <f>IF(OR(E2578="",E2578="!!!",F2578="NEW"),"",INDEX(B2577:B$2,-1+SUMPRODUCT(MAX(ROW(E2577:E$2)*(E2578=E2577:E$2)))))</f>
        <v> </v>
      </c>
      <c r="J2578" s="26" t="str">
        <f>IF(OR(E2578="",E2578="!!!",F2578="NEW"),"",COUNTBLANK(OFFSET(A$1,,,SUMPRODUCT(MAX(ROW(E$2:E2578)*(E2578=E$2:E2578)))))-COUNTBLANK(OFFSET(A$1,,,SUMPRODUCT(MAX(ROW(E$1:E2577)*(E2=E$1:E2577))))))</f>
        <v> </v>
      </c>
      <c r="K2578" s="26" t="str">
        <f>IF(OR(E2578="",E2578="!!!",F2578="NEW"),"",INDEX(J$1:J2577,SUMPRODUCT(MAX(ROW(E$1:E2577)*(E2578=E$1:E2577)))))</f>
        <v> </v>
      </c>
      <c r="L2578" s="27"/>
    </row>
    <row r="2579" spans="1:12">
      <c r="A2579" s="20" t="s">
        <v>1790</v>
      </c>
      <c r="B2579" s="21" t="s">
        <v>1029</v>
      </c>
      <c r="C2579" s="21" t="s">
        <v>1205</v>
      </c>
      <c r="E2579" s="22">
        <f>IF(D2579="?OLD","!!!","")</f>
        <v/>
      </c>
      <c r="F2579" s="23" t="str">
        <f>IF(OR(E2579="",E2579="!!!"),"",IF(NOT(ISNA(VLOOKUP(E2579,E$1:E2578,1,FALSE()))),"OLD",IF(AND(E2579&lt;&gt;"",E2579&lt;&gt;"!!!"),"NEW","")))</f>
        <v> </v>
      </c>
      <c r="G2579" s="24" t="str">
        <f>IF(OR(E2579="",E2579="!!!"),"",IF(OR(J2579=0,AND(J2579=1,K2579=1),AND(J2579=1,I2579="SBJ"),AND(J2579=1,I2579=0)),"?IN_FOCUS",IF(J2579&lt;=2,"?ACTIVATED",IF(J2579&lt;&gt;"","?FAMILIAR",IF(F2579="NEW",IF(ISNA(VLOOKUP(E2579,#REF!,1,FALSE())),"?TYPE_IDENTIFIABLE","?REFERENTIAL"),"_")))))</f>
        <v> </v>
      </c>
      <c r="H2579" s="25" t="str">
        <f>IF(J2579&lt;&gt;1,"",IF(I2579="SBJ","CB","?"))</f>
        <v> </v>
      </c>
      <c r="I2579" s="26" t="str">
        <f>IF(OR(E2579="",E2579="!!!",F2579="NEW"),"",INDEX(B2578:B$2,-1+SUMPRODUCT(MAX(ROW(E2578:E$2)*(E2579=E2578:E$2)))))</f>
        <v> </v>
      </c>
      <c r="J2579" s="26" t="str">
        <f>IF(OR(E2579="",E2579="!!!",F2579="NEW"),"",COUNTBLANK(OFFSET(A$1,,,SUMPRODUCT(MAX(ROW(E$2:E2579)*(E2579=E$2:E2579)))))-COUNTBLANK(OFFSET(A$1,,,SUMPRODUCT(MAX(ROW(E$1:E2578)*(E2=E$1:E2578))))))</f>
        <v> </v>
      </c>
      <c r="K2579" s="26" t="str">
        <f>IF(OR(E2579="",E2579="!!!",F2579="NEW"),"",INDEX(J$1:J2578,SUMPRODUCT(MAX(ROW(E$1:E2578)*(E2579=E$1:E2578)))))</f>
        <v> </v>
      </c>
      <c r="L2579" s="27"/>
    </row>
    <row r="2580" spans="1:12">
      <c r="A2580" s="20" t="s">
        <v>1018</v>
      </c>
      <c r="E2580" s="22">
        <f>IF(D2580="?OLD","!!!","")</f>
        <v/>
      </c>
      <c r="F2580" s="23" t="str">
        <f>IF(OR(E2580="",E2580="!!!"),"",IF(NOT(ISNA(VLOOKUP(E2580,E$1:E2579,1,FALSE()))),"OLD",IF(AND(E2580&lt;&gt;"",E2580&lt;&gt;"!!!"),"NEW","")))</f>
        <v> </v>
      </c>
      <c r="G2580" s="24" t="str">
        <f>IF(OR(E2580="",E2580="!!!"),"",IF(OR(J2580=0,AND(J2580=1,K2580=1),AND(J2580=1,I2580="SBJ"),AND(J2580=1,I2580=0)),"?IN_FOCUS",IF(J2580&lt;=2,"?ACTIVATED",IF(J2580&lt;&gt;"","?FAMILIAR",IF(F2580="NEW",IF(ISNA(VLOOKUP(E2580,#REF!,1,FALSE())),"?TYPE_IDENTIFIABLE","?REFERENTIAL"),"_")))))</f>
        <v> </v>
      </c>
      <c r="H2580" s="25" t="str">
        <f>IF(J2580&lt;&gt;1,"",IF(I2580="SBJ","CB","?"))</f>
        <v> </v>
      </c>
      <c r="I2580" s="26" t="str">
        <f>IF(OR(E2580="",E2580="!!!",F2580="NEW"),"",INDEX(B2579:B$2,-1+SUMPRODUCT(MAX(ROW(E2579:E$2)*(E2580=E2579:E$2)))))</f>
        <v> </v>
      </c>
      <c r="J2580" s="26" t="str">
        <f>IF(OR(E2580="",E2580="!!!",F2580="NEW"),"",COUNTBLANK(OFFSET(A$1,,,SUMPRODUCT(MAX(ROW(E$2:E2580)*(E2580=E$2:E2580)))))-COUNTBLANK(OFFSET(A$1,,,SUMPRODUCT(MAX(ROW(E$1:E2579)*(E2=E$1:E2579))))))</f>
        <v> </v>
      </c>
      <c r="K2580" s="26" t="str">
        <f>IF(OR(E2580="",E2580="!!!",F2580="NEW"),"",INDEX(J$1:J2579,SUMPRODUCT(MAX(ROW(E$1:E2579)*(E2580=E$1:E2579)))))</f>
        <v> </v>
      </c>
      <c r="L2580" s="27"/>
    </row>
    <row r="2581" spans="1:12">
      <c r="A2581" s="20" t="s">
        <v>1132</v>
      </c>
      <c r="E2581" s="22">
        <f>IF(D2581="?OLD","!!!","")</f>
        <v/>
      </c>
      <c r="F2581" s="23" t="str">
        <f>IF(OR(E2581="",E2581="!!!"),"",IF(NOT(ISNA(VLOOKUP(E2581,E$1:E2580,1,FALSE()))),"OLD",IF(AND(E2581&lt;&gt;"",E2581&lt;&gt;"!!!"),"NEW","")))</f>
        <v> </v>
      </c>
      <c r="G2581" s="24" t="str">
        <f>IF(OR(E2581="",E2581="!!!"),"",IF(OR(J2581=0,AND(J2581=1,K2581=1),AND(J2581=1,I2581="SBJ"),AND(J2581=1,I2581=0)),"?IN_FOCUS",IF(J2581&lt;=2,"?ACTIVATED",IF(J2581&lt;&gt;"","?FAMILIAR",IF(F2581="NEW",IF(ISNA(VLOOKUP(E2581,#REF!,1,FALSE())),"?TYPE_IDENTIFIABLE","?REFERENTIAL"),"_")))))</f>
        <v> </v>
      </c>
      <c r="H2581" s="25" t="str">
        <f>IF(J2581&lt;&gt;1,"",IF(I2581="SBJ","CB","?"))</f>
        <v> </v>
      </c>
      <c r="I2581" s="26" t="str">
        <f>IF(OR(E2581="",E2581="!!!",F2581="NEW"),"",INDEX(B2580:B$2,-1+SUMPRODUCT(MAX(ROW(E2580:E$2)*(E2581=E2580:E$2)))))</f>
        <v> </v>
      </c>
      <c r="J2581" s="26" t="str">
        <f>IF(OR(E2581="",E2581="!!!",F2581="NEW"),"",COUNTBLANK(OFFSET(A$1,,,SUMPRODUCT(MAX(ROW(E$2:E2581)*(E2581=E$2:E2581)))))-COUNTBLANK(OFFSET(A$1,,,SUMPRODUCT(MAX(ROW(E$1:E2580)*(E2=E$1:E2580))))))</f>
        <v> </v>
      </c>
      <c r="K2581" s="26" t="str">
        <f>IF(OR(E2581="",E2581="!!!",F2581="NEW"),"",INDEX(J$1:J2580,SUMPRODUCT(MAX(ROW(E$1:E2580)*(E2581=E$1:E2580)))))</f>
        <v> </v>
      </c>
      <c r="L2581" s="27"/>
    </row>
    <row r="2582" spans="1:12">
      <c r="A2582" s="20" t="s">
        <v>1020</v>
      </c>
      <c r="E2582" s="22">
        <f>IF(D2582="?OLD","!!!","")</f>
        <v/>
      </c>
      <c r="F2582" s="23" t="str">
        <f>IF(OR(E2582="",E2582="!!!"),"",IF(NOT(ISNA(VLOOKUP(E2582,E$1:E2581,1,FALSE()))),"OLD",IF(AND(E2582&lt;&gt;"",E2582&lt;&gt;"!!!"),"NEW","")))</f>
        <v> </v>
      </c>
      <c r="G2582" s="24" t="str">
        <f>IF(OR(E2582="",E2582="!!!"),"",IF(OR(J2582=0,AND(J2582=1,K2582=1),AND(J2582=1,I2582="SBJ"),AND(J2582=1,I2582=0)),"?IN_FOCUS",IF(J2582&lt;=2,"?ACTIVATED",IF(J2582&lt;&gt;"","?FAMILIAR",IF(F2582="NEW",IF(ISNA(VLOOKUP(E2582,#REF!,1,FALSE())),"?TYPE_IDENTIFIABLE","?REFERENTIAL"),"_")))))</f>
        <v> </v>
      </c>
      <c r="H2582" s="25" t="str">
        <f>IF(J2582&lt;&gt;1,"",IF(I2582="SBJ","CB","?"))</f>
        <v> </v>
      </c>
      <c r="I2582" s="26" t="str">
        <f>IF(OR(E2582="",E2582="!!!",F2582="NEW"),"",INDEX(B2581:B$2,-1+SUMPRODUCT(MAX(ROW(E2581:E$2)*(E2582=E2581:E$2)))))</f>
        <v> </v>
      </c>
      <c r="J2582" s="26" t="str">
        <f>IF(OR(E2582="",E2582="!!!",F2582="NEW"),"",COUNTBLANK(OFFSET(A$1,,,SUMPRODUCT(MAX(ROW(E$2:E2582)*(E2582=E$2:E2582)))))-COUNTBLANK(OFFSET(A$1,,,SUMPRODUCT(MAX(ROW(E$1:E2581)*(E2=E$1:E2581))))))</f>
        <v> </v>
      </c>
      <c r="K2582" s="26" t="str">
        <f>IF(OR(E2582="",E2582="!!!",F2582="NEW"),"",INDEX(J$1:J2581,SUMPRODUCT(MAX(ROW(E$1:E2581)*(E2582=E$1:E2581)))))</f>
        <v> </v>
      </c>
      <c r="L2582" s="27"/>
    </row>
    <row r="2583" spans="1:12">
      <c r="A2583" s="20" t="s">
        <v>1821</v>
      </c>
      <c r="B2583" s="21" t="s">
        <v>1119</v>
      </c>
      <c r="C2583" s="21" t="s">
        <v>1013</v>
      </c>
      <c r="D2583" s="21" t="s">
        <v>1007</v>
      </c>
      <c r="E2583" s="22">
        <f>IF(D2583="?OLD","!!!","")</f>
        <v/>
      </c>
      <c r="F2583" s="23" t="str">
        <f>IF(OR(E2583="",E2583="!!!"),"",IF(NOT(ISNA(VLOOKUP(E2583,E$1:E2582,1,FALSE()))),"OLD",IF(AND(E2583&lt;&gt;"",E2583&lt;&gt;"!!!"),"NEW","")))</f>
        <v> </v>
      </c>
      <c r="G2583" s="24" t="str">
        <f>IF(OR(E2583="",E2583="!!!"),"",IF(OR(J2583=0,AND(J2583=1,K2583=1),AND(J2583=1,I2583="SBJ"),AND(J2583=1,I2583=0)),"?IN_FOCUS",IF(J2583&lt;=2,"?ACTIVATED",IF(J2583&lt;&gt;"","?FAMILIAR",IF(F2583="NEW",IF(ISNA(VLOOKUP(E2583,#REF!,1,FALSE())),"?TYPE_IDENTIFIABLE","?REFERENTIAL"),"_")))))</f>
        <v> </v>
      </c>
      <c r="H2583" s="25" t="str">
        <f>IF(J2583&lt;&gt;1,"",IF(I2583="SBJ","CB","?"))</f>
        <v> </v>
      </c>
      <c r="I2583" s="26" t="str">
        <f>IF(OR(E2583="",E2583="!!!",F2583="NEW"),"",INDEX(B2582:B$2,-1+SUMPRODUCT(MAX(ROW(E2582:E$2)*(E2583=E2582:E$2)))))</f>
        <v> </v>
      </c>
      <c r="J2583" s="26" t="str">
        <f>IF(OR(E2583="",E2583="!!!",F2583="NEW"),"",COUNTBLANK(OFFSET(A$1,,,SUMPRODUCT(MAX(ROW(E$2:E2583)*(E2583=E$2:E2583)))))-COUNTBLANK(OFFSET(A$1,,,SUMPRODUCT(MAX(ROW(E$1:E2582)*(E2=E$1:E2582))))))</f>
        <v> </v>
      </c>
      <c r="K2583" s="26" t="str">
        <f>IF(OR(E2583="",E2583="!!!",F2583="NEW"),"",INDEX(J$1:J2582,SUMPRODUCT(MAX(ROW(E$1:E2582)*(E2583=E$1:E2582)))))</f>
        <v> </v>
      </c>
      <c r="L2583" s="27"/>
    </row>
    <row r="2584" spans="1:12">
      <c r="A2584" s="20" t="s">
        <v>1014</v>
      </c>
      <c r="E2584" s="22">
        <f>IF(D2584="?OLD","!!!","")</f>
        <v/>
      </c>
      <c r="F2584" s="23" t="str">
        <f>IF(OR(E2584="",E2584="!!!"),"",IF(NOT(ISNA(VLOOKUP(E2584,E$1:E2583,1,FALSE()))),"OLD",IF(AND(E2584&lt;&gt;"",E2584&lt;&gt;"!!!"),"NEW","")))</f>
        <v> </v>
      </c>
      <c r="G2584" s="24" t="str">
        <f>IF(OR(E2584="",E2584="!!!"),"",IF(OR(J2584=0,AND(J2584=1,K2584=1),AND(J2584=1,I2584="SBJ"),AND(J2584=1,I2584=0)),"?IN_FOCUS",IF(J2584&lt;=2,"?ACTIVATED",IF(J2584&lt;&gt;"","?FAMILIAR",IF(F2584="NEW",IF(ISNA(VLOOKUP(E2584,#REF!,1,FALSE())),"?TYPE_IDENTIFIABLE","?REFERENTIAL"),"_")))))</f>
        <v> </v>
      </c>
      <c r="H2584" s="25" t="str">
        <f>IF(J2584&lt;&gt;1,"",IF(I2584="SBJ","CB","?"))</f>
        <v> </v>
      </c>
      <c r="I2584" s="26" t="str">
        <f>IF(OR(E2584="",E2584="!!!",F2584="NEW"),"",INDEX(B2583:B$2,-1+SUMPRODUCT(MAX(ROW(E2583:E$2)*(E2584=E2583:E$2)))))</f>
        <v> </v>
      </c>
      <c r="J2584" s="26" t="str">
        <f>IF(OR(E2584="",E2584="!!!",F2584="NEW"),"",COUNTBLANK(OFFSET(A$1,,,SUMPRODUCT(MAX(ROW(E$2:E2584)*(E2584=E$2:E2584)))))-COUNTBLANK(OFFSET(A$1,,,SUMPRODUCT(MAX(ROW(E$1:E2583)*(E2=E$1:E2583))))))</f>
        <v> </v>
      </c>
      <c r="K2584" s="26" t="str">
        <f>IF(OR(E2584="",E2584="!!!",F2584="NEW"),"",INDEX(J$1:J2583,SUMPRODUCT(MAX(ROW(E$1:E2583)*(E2584=E$1:E2583)))))</f>
        <v> </v>
      </c>
      <c r="L2584" s="27"/>
    </row>
    <row r="2585" spans="1:12">
      <c r="A2585" s="20" t="s">
        <v>1020</v>
      </c>
      <c r="E2585" s="22">
        <f>IF(D2585="?OLD","!!!","")</f>
        <v/>
      </c>
      <c r="F2585" s="23" t="str">
        <f>IF(OR(E2585="",E2585="!!!"),"",IF(NOT(ISNA(VLOOKUP(E2585,E$1:E2584,1,FALSE()))),"OLD",IF(AND(E2585&lt;&gt;"",E2585&lt;&gt;"!!!"),"NEW","")))</f>
        <v> </v>
      </c>
      <c r="G2585" s="24" t="str">
        <f>IF(OR(E2585="",E2585="!!!"),"",IF(OR(J2585=0,AND(J2585=1,K2585=1),AND(J2585=1,I2585="SBJ"),AND(J2585=1,I2585=0)),"?IN_FOCUS",IF(J2585&lt;=2,"?ACTIVATED",IF(J2585&lt;&gt;"","?FAMILIAR",IF(F2585="NEW",IF(ISNA(VLOOKUP(E2585,#REF!,1,FALSE())),"?TYPE_IDENTIFIABLE","?REFERENTIAL"),"_")))))</f>
        <v> </v>
      </c>
      <c r="H2585" s="25" t="str">
        <f>IF(J2585&lt;&gt;1,"",IF(I2585="SBJ","CB","?"))</f>
        <v> </v>
      </c>
      <c r="I2585" s="26" t="str">
        <f>IF(OR(E2585="",E2585="!!!",F2585="NEW"),"",INDEX(B2584:B$2,-1+SUMPRODUCT(MAX(ROW(E2584:E$2)*(E2585=E2584:E$2)))))</f>
        <v> </v>
      </c>
      <c r="J2585" s="26" t="str">
        <f>IF(OR(E2585="",E2585="!!!",F2585="NEW"),"",COUNTBLANK(OFFSET(A$1,,,SUMPRODUCT(MAX(ROW(E$2:E2585)*(E2585=E$2:E2585)))))-COUNTBLANK(OFFSET(A$1,,,SUMPRODUCT(MAX(ROW(E$1:E2584)*(E2=E$1:E2584))))))</f>
        <v> </v>
      </c>
      <c r="K2585" s="26" t="str">
        <f>IF(OR(E2585="",E2585="!!!",F2585="NEW"),"",INDEX(J$1:J2584,SUMPRODUCT(MAX(ROW(E$1:E2584)*(E2585=E$1:E2584)))))</f>
        <v> </v>
      </c>
      <c r="L2585" s="27"/>
    </row>
    <row r="2586" spans="1:12">
      <c r="A2586" s="20" t="s">
        <v>1822</v>
      </c>
      <c r="B2586" s="21" t="s">
        <v>1033</v>
      </c>
      <c r="C2586" s="21" t="s">
        <v>1013</v>
      </c>
      <c r="D2586" s="21" t="s">
        <v>1007</v>
      </c>
      <c r="E2586" s="22">
        <f>IF(D2586="?OLD","!!!","")</f>
        <v/>
      </c>
      <c r="F2586" s="23" t="str">
        <f>IF(OR(E2586="",E2586="!!!"),"",IF(NOT(ISNA(VLOOKUP(E2586,E$1:E2585,1,FALSE()))),"OLD",IF(AND(E2586&lt;&gt;"",E2586&lt;&gt;"!!!"),"NEW","")))</f>
        <v> </v>
      </c>
      <c r="G2586" s="24" t="str">
        <f>IF(OR(E2586="",E2586="!!!"),"",IF(OR(J2586=0,AND(J2586=1,K2586=1),AND(J2586=1,I2586="SBJ"),AND(J2586=1,I2586=0)),"?IN_FOCUS",IF(J2586&lt;=2,"?ACTIVATED",IF(J2586&lt;&gt;"","?FAMILIAR",IF(F2586="NEW",IF(ISNA(VLOOKUP(E2586,#REF!,1,FALSE())),"?TYPE_IDENTIFIABLE","?REFERENTIAL"),"_")))))</f>
        <v> </v>
      </c>
      <c r="H2586" s="25" t="str">
        <f>IF(J2586&lt;&gt;1,"",IF(I2586="SBJ","CB","?"))</f>
        <v> </v>
      </c>
      <c r="I2586" s="26" t="str">
        <f>IF(OR(E2586="",E2586="!!!",F2586="NEW"),"",INDEX(B2585:B$2,-1+SUMPRODUCT(MAX(ROW(E2585:E$2)*(E2586=E2585:E$2)))))</f>
        <v> </v>
      </c>
      <c r="J2586" s="26" t="str">
        <f>IF(OR(E2586="",E2586="!!!",F2586="NEW"),"",COUNTBLANK(OFFSET(A$1,,,SUMPRODUCT(MAX(ROW(E$2:E2586)*(E2586=E$2:E2586)))))-COUNTBLANK(OFFSET(A$1,,,SUMPRODUCT(MAX(ROW(E$1:E2585)*(E2=E$1:E2585))))))</f>
        <v> </v>
      </c>
      <c r="K2586" s="26" t="str">
        <f>IF(OR(E2586="",E2586="!!!",F2586="NEW"),"",INDEX(J$1:J2585,SUMPRODUCT(MAX(ROW(E$1:E2585)*(E2586=E$1:E2585)))))</f>
        <v> </v>
      </c>
      <c r="L2586" s="27"/>
    </row>
    <row r="2587" spans="1:12">
      <c r="A2587" s="20" t="s">
        <v>1014</v>
      </c>
      <c r="E2587" s="22">
        <f>IF(D2587="?OLD","!!!","")</f>
        <v/>
      </c>
      <c r="F2587" s="23" t="str">
        <f>IF(OR(E2587="",E2587="!!!"),"",IF(NOT(ISNA(VLOOKUP(E2587,E$1:E2586,1,FALSE()))),"OLD",IF(AND(E2587&lt;&gt;"",E2587&lt;&gt;"!!!"),"NEW","")))</f>
        <v> </v>
      </c>
      <c r="G2587" s="24" t="str">
        <f>IF(OR(E2587="",E2587="!!!"),"",IF(OR(J2587=0,AND(J2587=1,K2587=1),AND(J2587=1,I2587="SBJ"),AND(J2587=1,I2587=0)),"?IN_FOCUS",IF(J2587&lt;=2,"?ACTIVATED",IF(J2587&lt;&gt;"","?FAMILIAR",IF(F2587="NEW",IF(ISNA(VLOOKUP(E2587,#REF!,1,FALSE())),"?TYPE_IDENTIFIABLE","?REFERENTIAL"),"_")))))</f>
        <v> </v>
      </c>
      <c r="H2587" s="25" t="str">
        <f>IF(J2587&lt;&gt;1,"",IF(I2587="SBJ","CB","?"))</f>
        <v> </v>
      </c>
      <c r="I2587" s="26" t="str">
        <f>IF(OR(E2587="",E2587="!!!",F2587="NEW"),"",INDEX(B2586:B$2,-1+SUMPRODUCT(MAX(ROW(E2586:E$2)*(E2587=E2586:E$2)))))</f>
        <v> </v>
      </c>
      <c r="J2587" s="26" t="str">
        <f>IF(OR(E2587="",E2587="!!!",F2587="NEW"),"",COUNTBLANK(OFFSET(A$1,,,SUMPRODUCT(MAX(ROW(E$2:E2587)*(E2587=E$2:E2587)))))-COUNTBLANK(OFFSET(A$1,,,SUMPRODUCT(MAX(ROW(E$1:E2586)*(E2=E$1:E2586))))))</f>
        <v> </v>
      </c>
      <c r="K2587" s="26" t="str">
        <f>IF(OR(E2587="",E2587="!!!",F2587="NEW"),"",INDEX(J$1:J2586,SUMPRODUCT(MAX(ROW(E$1:E2586)*(E2587=E$1:E2586)))))</f>
        <v> </v>
      </c>
      <c r="L2587" s="27"/>
    </row>
    <row r="2588" spans="1:12">
      <c r="A2588" s="20" t="s">
        <v>1243</v>
      </c>
      <c r="B2588" s="21" t="s">
        <v>1035</v>
      </c>
      <c r="C2588" s="21" t="s">
        <v>1013</v>
      </c>
      <c r="D2588" s="21" t="s">
        <v>1007</v>
      </c>
      <c r="E2588" s="22">
        <f>IF(D2588="?OLD","!!!","")</f>
        <v/>
      </c>
      <c r="F2588" s="23" t="str">
        <f>IF(OR(E2588="",E2588="!!!"),"",IF(NOT(ISNA(VLOOKUP(E2588,E$1:E2587,1,FALSE()))),"OLD",IF(AND(E2588&lt;&gt;"",E2588&lt;&gt;"!!!"),"NEW","")))</f>
        <v> </v>
      </c>
      <c r="G2588" s="24" t="str">
        <f>IF(OR(E2588="",E2588="!!!"),"",IF(OR(J2588=0,AND(J2588=1,K2588=1),AND(J2588=1,I2588="SBJ"),AND(J2588=1,I2588=0)),"?IN_FOCUS",IF(J2588&lt;=2,"?ACTIVATED",IF(J2588&lt;&gt;"","?FAMILIAR",IF(F2588="NEW",IF(ISNA(VLOOKUP(E2588,#REF!,1,FALSE())),"?TYPE_IDENTIFIABLE","?REFERENTIAL"),"_")))))</f>
        <v> </v>
      </c>
      <c r="H2588" s="25" t="str">
        <f>IF(J2588&lt;&gt;1,"",IF(I2588="SBJ","CB","?"))</f>
        <v> </v>
      </c>
      <c r="I2588" s="26" t="str">
        <f>IF(OR(E2588="",E2588="!!!",F2588="NEW"),"",INDEX(B2587:B$2,-1+SUMPRODUCT(MAX(ROW(E2587:E$2)*(E2588=E2587:E$2)))))</f>
        <v> </v>
      </c>
      <c r="J2588" s="26" t="str">
        <f>IF(OR(E2588="",E2588="!!!",F2588="NEW"),"",COUNTBLANK(OFFSET(A$1,,,SUMPRODUCT(MAX(ROW(E$2:E2588)*(E2588=E$2:E2588)))))-COUNTBLANK(OFFSET(A$1,,,SUMPRODUCT(MAX(ROW(E$1:E2587)*(E2=E$1:E2587))))))</f>
        <v> </v>
      </c>
      <c r="K2588" s="26" t="str">
        <f>IF(OR(E2588="",E2588="!!!",F2588="NEW"),"",INDEX(J$1:J2587,SUMPRODUCT(MAX(ROW(E$1:E2587)*(E2588=E$1:E2587)))))</f>
        <v> </v>
      </c>
      <c r="L2588" s="27"/>
    </row>
    <row r="2589" spans="1:12">
      <c r="A2589" s="20" t="s">
        <v>1014</v>
      </c>
      <c r="E2589" s="22">
        <f>IF(D2589="?OLD","!!!","")</f>
        <v/>
      </c>
      <c r="F2589" s="23" t="str">
        <f>IF(OR(E2589="",E2589="!!!"),"",IF(NOT(ISNA(VLOOKUP(E2589,E$1:E2588,1,FALSE()))),"OLD",IF(AND(E2589&lt;&gt;"",E2589&lt;&gt;"!!!"),"NEW","")))</f>
        <v> </v>
      </c>
      <c r="G2589" s="24" t="str">
        <f>IF(OR(E2589="",E2589="!!!"),"",IF(OR(J2589=0,AND(J2589=1,K2589=1),AND(J2589=1,I2589="SBJ"),AND(J2589=1,I2589=0)),"?IN_FOCUS",IF(J2589&lt;=2,"?ACTIVATED",IF(J2589&lt;&gt;"","?FAMILIAR",IF(F2589="NEW",IF(ISNA(VLOOKUP(E2589,#REF!,1,FALSE())),"?TYPE_IDENTIFIABLE","?REFERENTIAL"),"_")))))</f>
        <v> </v>
      </c>
      <c r="H2589" s="25" t="str">
        <f>IF(J2589&lt;&gt;1,"",IF(I2589="SBJ","CB","?"))</f>
        <v> </v>
      </c>
      <c r="I2589" s="26" t="str">
        <f>IF(OR(E2589="",E2589="!!!",F2589="NEW"),"",INDEX(B2588:B$2,-1+SUMPRODUCT(MAX(ROW(E2588:E$2)*(E2589=E2588:E$2)))))</f>
        <v> </v>
      </c>
      <c r="J2589" s="26" t="str">
        <f>IF(OR(E2589="",E2589="!!!",F2589="NEW"),"",COUNTBLANK(OFFSET(A$1,,,SUMPRODUCT(MAX(ROW(E$2:E2589)*(E2589=E$2:E2589)))))-COUNTBLANK(OFFSET(A$1,,,SUMPRODUCT(MAX(ROW(E$1:E2588)*(E2=E$1:E2588))))))</f>
        <v> </v>
      </c>
      <c r="K2589" s="26" t="str">
        <f>IF(OR(E2589="",E2589="!!!",F2589="NEW"),"",INDEX(J$1:J2588,SUMPRODUCT(MAX(ROW(E$1:E2588)*(E2589=E$1:E2588)))))</f>
        <v> </v>
      </c>
      <c r="L2589" s="27"/>
    </row>
    <row r="2590" spans="1:12">
      <c r="A2590" s="20" t="s">
        <v>102</v>
      </c>
      <c r="E2590" s="22">
        <f>IF(D2590="?OLD","!!!","")</f>
        <v/>
      </c>
      <c r="F2590" s="23" t="str">
        <f>IF(OR(E2590="",E2590="!!!"),"",IF(NOT(ISNA(VLOOKUP(E2590,E$1:E2589,1,FALSE()))),"OLD",IF(AND(E2590&lt;&gt;"",E2590&lt;&gt;"!!!"),"NEW","")))</f>
        <v> </v>
      </c>
      <c r="G2590" s="24" t="str">
        <f>IF(OR(E2590="",E2590="!!!"),"",IF(OR(J2590=0,AND(J2590=1,K2590=1),AND(J2590=1,I2590="SBJ"),AND(J2590=1,I2590=0)),"?IN_FOCUS",IF(J2590&lt;=2,"?ACTIVATED",IF(J2590&lt;&gt;"","?FAMILIAR",IF(F2590="NEW",IF(ISNA(VLOOKUP(E2590,#REF!,1,FALSE())),"?TYPE_IDENTIFIABLE","?REFERENTIAL"),"_")))))</f>
        <v> </v>
      </c>
      <c r="H2590" s="25" t="str">
        <f>IF(J2590&lt;&gt;1,"",IF(I2590="SBJ","CB","?"))</f>
        <v> </v>
      </c>
      <c r="I2590" s="26" t="str">
        <f>IF(OR(E2590="",E2590="!!!",F2590="NEW"),"",INDEX(B2589:B$2,-1+SUMPRODUCT(MAX(ROW(E2589:E$2)*(E2590=E2589:E$2)))))</f>
        <v> </v>
      </c>
      <c r="J2590" s="26" t="str">
        <f>IF(OR(E2590="",E2590="!!!",F2590="NEW"),"",COUNTBLANK(OFFSET(A$1,,,SUMPRODUCT(MAX(ROW(E$2:E2590)*(E2590=E$2:E2590)))))-COUNTBLANK(OFFSET(A$1,,,SUMPRODUCT(MAX(ROW(E$1:E2589)*(E2=E$1:E2589))))))</f>
        <v> </v>
      </c>
      <c r="K2590" s="26" t="str">
        <f>IF(OR(E2590="",E2590="!!!",F2590="NEW"),"",INDEX(J$1:J2589,SUMPRODUCT(MAX(ROW(E$1:E2589)*(E2590=E$1:E2589)))))</f>
        <v> </v>
      </c>
      <c r="L2590" s="27"/>
    </row>
    <row r="2591" spans="1:12">
      <c r="A2591" s="20" t="s">
        <v>1823</v>
      </c>
      <c r="B2591" s="21" t="s">
        <v>1130</v>
      </c>
      <c r="C2591" s="21" t="s">
        <v>1017</v>
      </c>
      <c r="D2591" s="21" t="s">
        <v>1007</v>
      </c>
      <c r="E2591" s="22">
        <f>IF(D2591="?OLD","!!!","")</f>
        <v/>
      </c>
      <c r="F2591" s="23" t="str">
        <f>IF(OR(E2591="",E2591="!!!"),"",IF(NOT(ISNA(VLOOKUP(E2591,E$1:E2590,1,FALSE()))),"OLD",IF(AND(E2591&lt;&gt;"",E2591&lt;&gt;"!!!"),"NEW","")))</f>
        <v> </v>
      </c>
      <c r="G2591" s="24" t="str">
        <f>IF(OR(E2591="",E2591="!!!"),"",IF(OR(J2591=0,AND(J2591=1,K2591=1),AND(J2591=1,I2591="SBJ"),AND(J2591=1,I2591=0)),"?IN_FOCUS",IF(J2591&lt;=2,"?ACTIVATED",IF(J2591&lt;&gt;"","?FAMILIAR",IF(F2591="NEW",IF(ISNA(VLOOKUP(E2591,#REF!,1,FALSE())),"?TYPE_IDENTIFIABLE","?REFERENTIAL"),"_")))))</f>
        <v> </v>
      </c>
      <c r="H2591" s="25" t="str">
        <f>IF(J2591&lt;&gt;1,"",IF(I2591="SBJ","CB","?"))</f>
        <v> </v>
      </c>
      <c r="I2591" s="26" t="str">
        <f>IF(OR(E2591="",E2591="!!!",F2591="NEW"),"",INDEX(B2590:B$2,-1+SUMPRODUCT(MAX(ROW(E2590:E$2)*(E2591=E2590:E$2)))))</f>
        <v> </v>
      </c>
      <c r="J2591" s="26" t="str">
        <f>IF(OR(E2591="",E2591="!!!",F2591="NEW"),"",COUNTBLANK(OFFSET(A$1,,,SUMPRODUCT(MAX(ROW(E$2:E2591)*(E2591=E$2:E2591)))))-COUNTBLANK(OFFSET(A$1,,,SUMPRODUCT(MAX(ROW(E$1:E2590)*(E2=E$1:E2590))))))</f>
        <v> </v>
      </c>
      <c r="K2591" s="26" t="str">
        <f>IF(OR(E2591="",E2591="!!!",F2591="NEW"),"",INDEX(J$1:J2590,SUMPRODUCT(MAX(ROW(E$1:E2590)*(E2591=E$1:E2590)))))</f>
        <v> </v>
      </c>
      <c r="L2591" s="27"/>
    </row>
    <row r="2592" spans="1:12">
      <c r="A2592" s="20" t="s">
        <v>1018</v>
      </c>
      <c r="E2592" s="22">
        <f>IF(D2592="?OLD","!!!","")</f>
        <v/>
      </c>
      <c r="F2592" s="23" t="str">
        <f>IF(OR(E2592="",E2592="!!!"),"",IF(NOT(ISNA(VLOOKUP(E2592,E$1:E2591,1,FALSE()))),"OLD",IF(AND(E2592&lt;&gt;"",E2592&lt;&gt;"!!!"),"NEW","")))</f>
        <v> </v>
      </c>
      <c r="G2592" s="24" t="str">
        <f>IF(OR(E2592="",E2592="!!!"),"",IF(OR(J2592=0,AND(J2592=1,K2592=1),AND(J2592=1,I2592="SBJ"),AND(J2592=1,I2592=0)),"?IN_FOCUS",IF(J2592&lt;=2,"?ACTIVATED",IF(J2592&lt;&gt;"","?FAMILIAR",IF(F2592="NEW",IF(ISNA(VLOOKUP(E2592,#REF!,1,FALSE())),"?TYPE_IDENTIFIABLE","?REFERENTIAL"),"_")))))</f>
        <v> </v>
      </c>
      <c r="H2592" s="25" t="str">
        <f>IF(J2592&lt;&gt;1,"",IF(I2592="SBJ","CB","?"))</f>
        <v> </v>
      </c>
      <c r="I2592" s="26" t="str">
        <f>IF(OR(E2592="",E2592="!!!",F2592="NEW"),"",INDEX(B2591:B$2,-1+SUMPRODUCT(MAX(ROW(E2591:E$2)*(E2592=E2591:E$2)))))</f>
        <v> </v>
      </c>
      <c r="J2592" s="26" t="str">
        <f>IF(OR(E2592="",E2592="!!!",F2592="NEW"),"",COUNTBLANK(OFFSET(A$1,,,SUMPRODUCT(MAX(ROW(E$2:E2592)*(E2592=E$2:E2592)))))-COUNTBLANK(OFFSET(A$1,,,SUMPRODUCT(MAX(ROW(E$1:E2591)*(E2=E$1:E2591))))))</f>
        <v> </v>
      </c>
      <c r="K2592" s="26" t="str">
        <f>IF(OR(E2592="",E2592="!!!",F2592="NEW"),"",INDEX(J$1:J2591,SUMPRODUCT(MAX(ROW(E$1:E2591)*(E2592=E$1:E2591)))))</f>
        <v> </v>
      </c>
      <c r="L2592" s="27"/>
    </row>
    <row r="2593" spans="1:12">
      <c r="A2593" s="20" t="s">
        <v>1824</v>
      </c>
      <c r="B2593" s="21" t="s">
        <v>1035</v>
      </c>
      <c r="C2593" s="21" t="s">
        <v>1006</v>
      </c>
      <c r="D2593" s="21" t="s">
        <v>1007</v>
      </c>
      <c r="E2593" s="22">
        <f>IF(D2593="?OLD","!!!","")</f>
        <v/>
      </c>
      <c r="F2593" s="23" t="str">
        <f>IF(OR(E2593="",E2593="!!!"),"",IF(NOT(ISNA(VLOOKUP(E2593,E$1:E2592,1,FALSE()))),"OLD",IF(AND(E2593&lt;&gt;"",E2593&lt;&gt;"!!!"),"NEW","")))</f>
        <v> </v>
      </c>
      <c r="G2593" s="24" t="str">
        <f>IF(OR(E2593="",E2593="!!!"),"",IF(OR(J2593=0,AND(J2593=1,K2593=1),AND(J2593=1,I2593="SBJ"),AND(J2593=1,I2593=0)),"?IN_FOCUS",IF(J2593&lt;=2,"?ACTIVATED",IF(J2593&lt;&gt;"","?FAMILIAR",IF(F2593="NEW",IF(ISNA(VLOOKUP(E2593,#REF!,1,FALSE())),"?TYPE_IDENTIFIABLE","?REFERENTIAL"),"_")))))</f>
        <v> </v>
      </c>
      <c r="H2593" s="25" t="str">
        <f>IF(J2593&lt;&gt;1,"",IF(I2593="SBJ","CB","?"))</f>
        <v> </v>
      </c>
      <c r="I2593" s="26" t="str">
        <f>IF(OR(E2593="",E2593="!!!",F2593="NEW"),"",INDEX(B2592:B$2,-1+SUMPRODUCT(MAX(ROW(E2592:E$2)*(E2593=E2592:E$2)))))</f>
        <v> </v>
      </c>
      <c r="J2593" s="26" t="str">
        <f>IF(OR(E2593="",E2593="!!!",F2593="NEW"),"",COUNTBLANK(OFFSET(A$1,,,SUMPRODUCT(MAX(ROW(E$2:E2593)*(E2593=E$2:E2593)))))-COUNTBLANK(OFFSET(A$1,,,SUMPRODUCT(MAX(ROW(E$1:E2592)*(E2=E$1:E2592))))))</f>
        <v> </v>
      </c>
      <c r="K2593" s="26" t="str">
        <f>IF(OR(E2593="",E2593="!!!",F2593="NEW"),"",INDEX(J$1:J2592,SUMPRODUCT(MAX(ROW(E$1:E2592)*(E2593=E$1:E2592)))))</f>
        <v> </v>
      </c>
      <c r="L2593" s="27"/>
    </row>
    <row r="2594" spans="1:12">
      <c r="A2594" s="20" t="s">
        <v>1825</v>
      </c>
      <c r="B2594" s="21" t="s">
        <v>1130</v>
      </c>
      <c r="C2594" s="21" t="s">
        <v>1006</v>
      </c>
      <c r="D2594" s="21" t="s">
        <v>1007</v>
      </c>
      <c r="E2594" s="22">
        <f>IF(D2594="?OLD","!!!","")</f>
        <v/>
      </c>
      <c r="F2594" s="23" t="str">
        <f>IF(OR(E2594="",E2594="!!!"),"",IF(NOT(ISNA(VLOOKUP(E2594,E$1:E2593,1,FALSE()))),"OLD",IF(AND(E2594&lt;&gt;"",E2594&lt;&gt;"!!!"),"NEW","")))</f>
        <v> </v>
      </c>
      <c r="G2594" s="24" t="str">
        <f>IF(OR(E2594="",E2594="!!!"),"",IF(OR(J2594=0,AND(J2594=1,K2594=1),AND(J2594=1,I2594="SBJ"),AND(J2594=1,I2594=0)),"?IN_FOCUS",IF(J2594&lt;=2,"?ACTIVATED",IF(J2594&lt;&gt;"","?FAMILIAR",IF(F2594="NEW",IF(ISNA(VLOOKUP(E2594,#REF!,1,FALSE())),"?TYPE_IDENTIFIABLE","?REFERENTIAL"),"_")))))</f>
        <v> </v>
      </c>
      <c r="H2594" s="25" t="str">
        <f>IF(J2594&lt;&gt;1,"",IF(I2594="SBJ","CB","?"))</f>
        <v> </v>
      </c>
      <c r="I2594" s="26" t="str">
        <f>IF(OR(E2594="",E2594="!!!",F2594="NEW"),"",INDEX(B2593:B$2,-1+SUMPRODUCT(MAX(ROW(E2593:E$2)*(E2594=E2593:E$2)))))</f>
        <v> </v>
      </c>
      <c r="J2594" s="26" t="str">
        <f>IF(OR(E2594="",E2594="!!!",F2594="NEW"),"",COUNTBLANK(OFFSET(A$1,,,SUMPRODUCT(MAX(ROW(E$2:E2594)*(E2594=E$2:E2594)))))-COUNTBLANK(OFFSET(A$1,,,SUMPRODUCT(MAX(ROW(E$1:E2593)*(E2=E$1:E2593))))))</f>
        <v> </v>
      </c>
      <c r="K2594" s="26" t="str">
        <f>IF(OR(E2594="",E2594="!!!",F2594="NEW"),"",INDEX(J$1:J2593,SUMPRODUCT(MAX(ROW(E$1:E2593)*(E2594=E$1:E2593)))))</f>
        <v> </v>
      </c>
      <c r="L2594" s="27"/>
    </row>
    <row r="2595" spans="1:12">
      <c r="A2595" s="20" t="s">
        <v>1018</v>
      </c>
      <c r="E2595" s="22">
        <f>IF(D2595="?OLD","!!!","")</f>
        <v/>
      </c>
      <c r="F2595" s="23" t="str">
        <f>IF(OR(E2595="",E2595="!!!"),"",IF(NOT(ISNA(VLOOKUP(E2595,E$1:E2594,1,FALSE()))),"OLD",IF(AND(E2595&lt;&gt;"",E2595&lt;&gt;"!!!"),"NEW","")))</f>
        <v> </v>
      </c>
      <c r="G2595" s="24" t="str">
        <f>IF(OR(E2595="",E2595="!!!"),"",IF(OR(J2595=0,AND(J2595=1,K2595=1),AND(J2595=1,I2595="SBJ"),AND(J2595=1,I2595=0)),"?IN_FOCUS",IF(J2595&lt;=2,"?ACTIVATED",IF(J2595&lt;&gt;"","?FAMILIAR",IF(F2595="NEW",IF(ISNA(VLOOKUP(E2595,#REF!,1,FALSE())),"?TYPE_IDENTIFIABLE","?REFERENTIAL"),"_")))))</f>
        <v> </v>
      </c>
      <c r="H2595" s="25" t="str">
        <f>IF(J2595&lt;&gt;1,"",IF(I2595="SBJ","CB","?"))</f>
        <v> </v>
      </c>
      <c r="I2595" s="26" t="str">
        <f>IF(OR(E2595="",E2595="!!!",F2595="NEW"),"",INDEX(B2594:B$2,-1+SUMPRODUCT(MAX(ROW(E2594:E$2)*(E2595=E2594:E$2)))))</f>
        <v> </v>
      </c>
      <c r="J2595" s="26" t="str">
        <f>IF(OR(E2595="",E2595="!!!",F2595="NEW"),"",COUNTBLANK(OFFSET(A$1,,,SUMPRODUCT(MAX(ROW(E$2:E2595)*(E2595=E$2:E2595)))))-COUNTBLANK(OFFSET(A$1,,,SUMPRODUCT(MAX(ROW(E$1:E2594)*(E2=E$1:E2594))))))</f>
        <v> </v>
      </c>
      <c r="K2595" s="26" t="str">
        <f>IF(OR(E2595="",E2595="!!!",F2595="NEW"),"",INDEX(J$1:J2594,SUMPRODUCT(MAX(ROW(E$1:E2594)*(E2595=E$1:E2594)))))</f>
        <v> </v>
      </c>
      <c r="L2595" s="27"/>
    </row>
    <row r="2596" spans="1:12">
      <c r="A2596" s="20" t="s">
        <v>1142</v>
      </c>
      <c r="E2596" s="22">
        <f>IF(D2596="?OLD","!!!","")</f>
        <v/>
      </c>
      <c r="F2596" s="23" t="str">
        <f>IF(OR(E2596="",E2596="!!!"),"",IF(NOT(ISNA(VLOOKUP(E2596,E$1:E2595,1,FALSE()))),"OLD",IF(AND(E2596&lt;&gt;"",E2596&lt;&gt;"!!!"),"NEW","")))</f>
        <v> </v>
      </c>
      <c r="G2596" s="24" t="str">
        <f>IF(OR(E2596="",E2596="!!!"),"",IF(OR(J2596=0,AND(J2596=1,K2596=1),AND(J2596=1,I2596="SBJ"),AND(J2596=1,I2596=0)),"?IN_FOCUS",IF(J2596&lt;=2,"?ACTIVATED",IF(J2596&lt;&gt;"","?FAMILIAR",IF(F2596="NEW",IF(ISNA(VLOOKUP(E2596,#REF!,1,FALSE())),"?TYPE_IDENTIFIABLE","?REFERENTIAL"),"_")))))</f>
        <v> </v>
      </c>
      <c r="H2596" s="25" t="str">
        <f>IF(J2596&lt;&gt;1,"",IF(I2596="SBJ","CB","?"))</f>
        <v> </v>
      </c>
      <c r="I2596" s="26" t="str">
        <f>IF(OR(E2596="",E2596="!!!",F2596="NEW"),"",INDEX(B2595:B$2,-1+SUMPRODUCT(MAX(ROW(E2595:E$2)*(E2596=E2595:E$2)))))</f>
        <v> </v>
      </c>
      <c r="J2596" s="26" t="str">
        <f>IF(OR(E2596="",E2596="!!!",F2596="NEW"),"",COUNTBLANK(OFFSET(A$1,,,SUMPRODUCT(MAX(ROW(E$2:E2596)*(E2596=E$2:E2596)))))-COUNTBLANK(OFFSET(A$1,,,SUMPRODUCT(MAX(ROW(E$1:E2595)*(E2=E$1:E2595))))))</f>
        <v> </v>
      </c>
      <c r="K2596" s="26" t="str">
        <f>IF(OR(E2596="",E2596="!!!",F2596="NEW"),"",INDEX(J$1:J2595,SUMPRODUCT(MAX(ROW(E$1:E2595)*(E2596=E$1:E2595)))))</f>
        <v> </v>
      </c>
      <c r="L2596" s="27"/>
    </row>
    <row r="2597" spans="1:12">
      <c r="A2597" s="20" t="s">
        <v>1222</v>
      </c>
      <c r="E2597" s="22">
        <f>IF(D2597="?OLD","!!!","")</f>
        <v/>
      </c>
      <c r="F2597" s="23" t="str">
        <f>IF(OR(E2597="",E2597="!!!"),"",IF(NOT(ISNA(VLOOKUP(E2597,E$1:E2596,1,FALSE()))),"OLD",IF(AND(E2597&lt;&gt;"",E2597&lt;&gt;"!!!"),"NEW","")))</f>
        <v> </v>
      </c>
      <c r="G2597" s="24" t="str">
        <f>IF(OR(E2597="",E2597="!!!"),"",IF(OR(J2597=0,AND(J2597=1,K2597=1),AND(J2597=1,I2597="SBJ"),AND(J2597=1,I2597=0)),"?IN_FOCUS",IF(J2597&lt;=2,"?ACTIVATED",IF(J2597&lt;&gt;"","?FAMILIAR",IF(F2597="NEW",IF(ISNA(VLOOKUP(E2597,#REF!,1,FALSE())),"?TYPE_IDENTIFIABLE","?REFERENTIAL"),"_")))))</f>
        <v> </v>
      </c>
      <c r="H2597" s="25" t="str">
        <f>IF(J2597&lt;&gt;1,"",IF(I2597="SBJ","CB","?"))</f>
        <v> </v>
      </c>
      <c r="I2597" s="26" t="str">
        <f>IF(OR(E2597="",E2597="!!!",F2597="NEW"),"",INDEX(B2596:B$2,-1+SUMPRODUCT(MAX(ROW(E2596:E$2)*(E2597=E2596:E$2)))))</f>
        <v> </v>
      </c>
      <c r="J2597" s="26" t="str">
        <f>IF(OR(E2597="",E2597="!!!",F2597="NEW"),"",COUNTBLANK(OFFSET(A$1,,,SUMPRODUCT(MAX(ROW(E$2:E2597)*(E2597=E$2:E2597)))))-COUNTBLANK(OFFSET(A$1,,,SUMPRODUCT(MAX(ROW(E$1:E2596)*(E2=E$1:E2596))))))</f>
        <v> </v>
      </c>
      <c r="K2597" s="26" t="str">
        <f>IF(OR(E2597="",E2597="!!!",F2597="NEW"),"",INDEX(J$1:J2596,SUMPRODUCT(MAX(ROW(E$1:E2596)*(E2597=E$1:E2596)))))</f>
        <v> </v>
      </c>
      <c r="L2597" s="27"/>
    </row>
    <row r="2598" spans="1:12">
      <c r="A2598" s="20" t="s">
        <v>1179</v>
      </c>
      <c r="E2598" s="22">
        <f>IF(D2598="?OLD","!!!","")</f>
        <v/>
      </c>
      <c r="F2598" s="23" t="str">
        <f>IF(OR(E2598="",E2598="!!!"),"",IF(NOT(ISNA(VLOOKUP(E2598,E$1:E2597,1,FALSE()))),"OLD",IF(AND(E2598&lt;&gt;"",E2598&lt;&gt;"!!!"),"NEW","")))</f>
        <v> </v>
      </c>
      <c r="G2598" s="24" t="str">
        <f>IF(OR(E2598="",E2598="!!!"),"",IF(OR(J2598=0,AND(J2598=1,K2598=1),AND(J2598=1,I2598="SBJ"),AND(J2598=1,I2598=0)),"?IN_FOCUS",IF(J2598&lt;=2,"?ACTIVATED",IF(J2598&lt;&gt;"","?FAMILIAR",IF(F2598="NEW",IF(ISNA(VLOOKUP(E2598,#REF!,1,FALSE())),"?TYPE_IDENTIFIABLE","?REFERENTIAL"),"_")))))</f>
        <v> </v>
      </c>
      <c r="H2598" s="25" t="str">
        <f>IF(J2598&lt;&gt;1,"",IF(I2598="SBJ","CB","?"))</f>
        <v> </v>
      </c>
      <c r="I2598" s="26" t="str">
        <f>IF(OR(E2598="",E2598="!!!",F2598="NEW"),"",INDEX(B2597:B$2,-1+SUMPRODUCT(MAX(ROW(E2597:E$2)*(E2598=E2597:E$2)))))</f>
        <v> </v>
      </c>
      <c r="J2598" s="26" t="str">
        <f>IF(OR(E2598="",E2598="!!!",F2598="NEW"),"",COUNTBLANK(OFFSET(A$1,,,SUMPRODUCT(MAX(ROW(E$2:E2598)*(E2598=E$2:E2598)))))-COUNTBLANK(OFFSET(A$1,,,SUMPRODUCT(MAX(ROW(E$1:E2597)*(E2=E$1:E2597))))))</f>
        <v> </v>
      </c>
      <c r="K2598" s="26" t="str">
        <f>IF(OR(E2598="",E2598="!!!",F2598="NEW"),"",INDEX(J$1:J2597,SUMPRODUCT(MAX(ROW(E$1:E2597)*(E2598=E$1:E2597)))))</f>
        <v> </v>
      </c>
      <c r="L2598" s="27"/>
    </row>
    <row r="2599" spans="1:12">
      <c r="A2599" s="20" t="s">
        <v>1435</v>
      </c>
      <c r="E2599" s="22">
        <f>IF(D2599="?OLD","!!!","")</f>
        <v/>
      </c>
      <c r="F2599" s="23" t="str">
        <f>IF(OR(E2599="",E2599="!!!"),"",IF(NOT(ISNA(VLOOKUP(E2599,E$1:E2598,1,FALSE()))),"OLD",IF(AND(E2599&lt;&gt;"",E2599&lt;&gt;"!!!"),"NEW","")))</f>
        <v> </v>
      </c>
      <c r="G2599" s="24" t="str">
        <f>IF(OR(E2599="",E2599="!!!"),"",IF(OR(J2599=0,AND(J2599=1,K2599=1),AND(J2599=1,I2599="SBJ"),AND(J2599=1,I2599=0)),"?IN_FOCUS",IF(J2599&lt;=2,"?ACTIVATED",IF(J2599&lt;&gt;"","?FAMILIAR",IF(F2599="NEW",IF(ISNA(VLOOKUP(E2599,#REF!,1,FALSE())),"?TYPE_IDENTIFIABLE","?REFERENTIAL"),"_")))))</f>
        <v> </v>
      </c>
      <c r="H2599" s="25" t="str">
        <f>IF(J2599&lt;&gt;1,"",IF(I2599="SBJ","CB","?"))</f>
        <v> </v>
      </c>
      <c r="I2599" s="26" t="str">
        <f>IF(OR(E2599="",E2599="!!!",F2599="NEW"),"",INDEX(B2598:B$2,-1+SUMPRODUCT(MAX(ROW(E2598:E$2)*(E2599=E2598:E$2)))))</f>
        <v> </v>
      </c>
      <c r="J2599" s="26" t="str">
        <f>IF(OR(E2599="",E2599="!!!",F2599="NEW"),"",COUNTBLANK(OFFSET(A$1,,,SUMPRODUCT(MAX(ROW(E$2:E2599)*(E2599=E$2:E2599)))))-COUNTBLANK(OFFSET(A$1,,,SUMPRODUCT(MAX(ROW(E$1:E2598)*(E2=E$1:E2598))))))</f>
        <v> </v>
      </c>
      <c r="K2599" s="26" t="str">
        <f>IF(OR(E2599="",E2599="!!!",F2599="NEW"),"",INDEX(J$1:J2598,SUMPRODUCT(MAX(ROW(E$1:E2598)*(E2599=E$1:E2598)))))</f>
        <v> </v>
      </c>
      <c r="L2599" s="27"/>
    </row>
    <row r="2600" spans="1:12">
      <c r="A2600" s="20" t="s">
        <v>1817</v>
      </c>
      <c r="B2600" s="21" t="s">
        <v>1029</v>
      </c>
      <c r="C2600" s="21" t="s">
        <v>1041</v>
      </c>
      <c r="D2600" s="21" t="s">
        <v>1007</v>
      </c>
      <c r="E2600" s="22">
        <f>IF(D2600="?OLD","!!!","")</f>
        <v/>
      </c>
      <c r="F2600" s="23" t="str">
        <f>IF(OR(E2600="",E2600="!!!"),"",IF(NOT(ISNA(VLOOKUP(E2600,E$1:E2599,1,FALSE()))),"OLD",IF(AND(E2600&lt;&gt;"",E2600&lt;&gt;"!!!"),"NEW","")))</f>
        <v> </v>
      </c>
      <c r="G2600" s="24" t="str">
        <f>IF(OR(E2600="",E2600="!!!"),"",IF(OR(J2600=0,AND(J2600=1,K2600=1),AND(J2600=1,I2600="SBJ"),AND(J2600=1,I2600=0)),"?IN_FOCUS",IF(J2600&lt;=2,"?ACTIVATED",IF(J2600&lt;&gt;"","?FAMILIAR",IF(F2600="NEW",IF(ISNA(VLOOKUP(E2600,#REF!,1,FALSE())),"?TYPE_IDENTIFIABLE","?REFERENTIAL"),"_")))))</f>
        <v> </v>
      </c>
      <c r="H2600" s="25" t="str">
        <f>IF(J2600&lt;&gt;1,"",IF(I2600="SBJ","CB","?"))</f>
        <v> </v>
      </c>
      <c r="I2600" s="26" t="str">
        <f>IF(OR(E2600="",E2600="!!!",F2600="NEW"),"",INDEX(B2599:B$2,-1+SUMPRODUCT(MAX(ROW(E2599:E$2)*(E2600=E2599:E$2)))))</f>
        <v> </v>
      </c>
      <c r="J2600" s="26" t="str">
        <f>IF(OR(E2600="",E2600="!!!",F2600="NEW"),"",COUNTBLANK(OFFSET(A$1,,,SUMPRODUCT(MAX(ROW(E$2:E2600)*(E2600=E$2:E2600)))))-COUNTBLANK(OFFSET(A$1,,,SUMPRODUCT(MAX(ROW(E$1:E2599)*(E2=E$1:E2599))))))</f>
        <v> </v>
      </c>
      <c r="K2600" s="26" t="str">
        <f>IF(OR(E2600="",E2600="!!!",F2600="NEW"),"",INDEX(J$1:J2599,SUMPRODUCT(MAX(ROW(E$1:E2599)*(E2600=E$1:E2599)))))</f>
        <v> </v>
      </c>
      <c r="L2600" s="27"/>
    </row>
    <row r="2601" spans="1:12">
      <c r="A2601" s="20" t="s">
        <v>1694</v>
      </c>
      <c r="E2601" s="22">
        <f>IF(D2601="?OLD","!!!","")</f>
        <v/>
      </c>
      <c r="F2601" s="23" t="str">
        <f>IF(OR(E2601="",E2601="!!!"),"",IF(NOT(ISNA(VLOOKUP(E2601,E$1:E2600,1,FALSE()))),"OLD",IF(AND(E2601&lt;&gt;"",E2601&lt;&gt;"!!!"),"NEW","")))</f>
        <v> </v>
      </c>
      <c r="G2601" s="24" t="str">
        <f>IF(OR(E2601="",E2601="!!!"),"",IF(OR(J2601=0,AND(J2601=1,K2601=1),AND(J2601=1,I2601="SBJ"),AND(J2601=1,I2601=0)),"?IN_FOCUS",IF(J2601&lt;=2,"?ACTIVATED",IF(J2601&lt;&gt;"","?FAMILIAR",IF(F2601="NEW",IF(ISNA(VLOOKUP(E2601,#REF!,1,FALSE())),"?TYPE_IDENTIFIABLE","?REFERENTIAL"),"_")))))</f>
        <v> </v>
      </c>
      <c r="H2601" s="25" t="str">
        <f>IF(J2601&lt;&gt;1,"",IF(I2601="SBJ","CB","?"))</f>
        <v> </v>
      </c>
      <c r="I2601" s="26" t="str">
        <f>IF(OR(E2601="",E2601="!!!",F2601="NEW"),"",INDEX(B2600:B$2,-1+SUMPRODUCT(MAX(ROW(E2600:E$2)*(E2601=E2600:E$2)))))</f>
        <v> </v>
      </c>
      <c r="J2601" s="26" t="str">
        <f>IF(OR(E2601="",E2601="!!!",F2601="NEW"),"",COUNTBLANK(OFFSET(A$1,,,SUMPRODUCT(MAX(ROW(E$2:E2601)*(E2601=E$2:E2601)))))-COUNTBLANK(OFFSET(A$1,,,SUMPRODUCT(MAX(ROW(E$1:E2600)*(E2=E$1:E2600))))))</f>
        <v> </v>
      </c>
      <c r="K2601" s="26" t="str">
        <f>IF(OR(E2601="",E2601="!!!",F2601="NEW"),"",INDEX(J$1:J2600,SUMPRODUCT(MAX(ROW(E$1:E2600)*(E2601=E$1:E2600)))))</f>
        <v> </v>
      </c>
      <c r="L2601" s="27"/>
    </row>
    <row r="2602" spans="1:12">
      <c r="A2602" s="20" t="s">
        <v>102</v>
      </c>
      <c r="E2602" s="22">
        <f>IF(D2602="?OLD","!!!","")</f>
        <v/>
      </c>
      <c r="F2602" s="23" t="str">
        <f>IF(OR(E2602="",E2602="!!!"),"",IF(NOT(ISNA(VLOOKUP(E2602,E$1:E2601,1,FALSE()))),"OLD",IF(AND(E2602&lt;&gt;"",E2602&lt;&gt;"!!!"),"NEW","")))</f>
        <v> </v>
      </c>
      <c r="G2602" s="24" t="str">
        <f>IF(OR(E2602="",E2602="!!!"),"",IF(OR(J2602=0,AND(J2602=1,K2602=1),AND(J2602=1,I2602="SBJ"),AND(J2602=1,I2602=0)),"?IN_FOCUS",IF(J2602&lt;=2,"?ACTIVATED",IF(J2602&lt;&gt;"","?FAMILIAR",IF(F2602="NEW",IF(ISNA(VLOOKUP(E2602,#REF!,1,FALSE())),"?TYPE_IDENTIFIABLE","?REFERENTIAL"),"_")))))</f>
        <v> </v>
      </c>
      <c r="H2602" s="25" t="str">
        <f>IF(J2602&lt;&gt;1,"",IF(I2602="SBJ","CB","?"))</f>
        <v> </v>
      </c>
      <c r="I2602" s="26" t="str">
        <f>IF(OR(E2602="",E2602="!!!",F2602="NEW"),"",INDEX(B2601:B$2,-1+SUMPRODUCT(MAX(ROW(E2601:E$2)*(E2602=E2601:E$2)))))</f>
        <v> </v>
      </c>
      <c r="J2602" s="26" t="str">
        <f>IF(OR(E2602="",E2602="!!!",F2602="NEW"),"",COUNTBLANK(OFFSET(A$1,,,SUMPRODUCT(MAX(ROW(E$2:E2602)*(E2602=E$2:E2602)))))-COUNTBLANK(OFFSET(A$1,,,SUMPRODUCT(MAX(ROW(E$1:E2601)*(E2=E$1:E2601))))))</f>
        <v> </v>
      </c>
      <c r="K2602" s="26" t="str">
        <f>IF(OR(E2602="",E2602="!!!",F2602="NEW"),"",INDEX(J$1:J2601,SUMPRODUCT(MAX(ROW(E$1:E2601)*(E2602=E$1:E2601)))))</f>
        <v> </v>
      </c>
      <c r="L2602" s="27"/>
    </row>
    <row r="2603" spans="1:12">
      <c r="A2603" s="20" t="s">
        <v>1593</v>
      </c>
      <c r="B2603" s="21" t="s">
        <v>1022</v>
      </c>
      <c r="C2603" s="21" t="s">
        <v>1006</v>
      </c>
      <c r="D2603" s="21" t="s">
        <v>1007</v>
      </c>
      <c r="E2603" s="22">
        <f>IF(D2603="?OLD","!!!","")</f>
        <v/>
      </c>
      <c r="F2603" s="23" t="str">
        <f>IF(OR(E2603="",E2603="!!!"),"",IF(NOT(ISNA(VLOOKUP(E2603,E$1:E2602,1,FALSE()))),"OLD",IF(AND(E2603&lt;&gt;"",E2603&lt;&gt;"!!!"),"NEW","")))</f>
        <v> </v>
      </c>
      <c r="G2603" s="24" t="str">
        <f>IF(OR(E2603="",E2603="!!!"),"",IF(OR(J2603=0,AND(J2603=1,K2603=1),AND(J2603=1,I2603="SBJ"),AND(J2603=1,I2603=0)),"?IN_FOCUS",IF(J2603&lt;=2,"?ACTIVATED",IF(J2603&lt;&gt;"","?FAMILIAR",IF(F2603="NEW",IF(ISNA(VLOOKUP(E2603,#REF!,1,FALSE())),"?TYPE_IDENTIFIABLE","?REFERENTIAL"),"_")))))</f>
        <v> </v>
      </c>
      <c r="H2603" s="25" t="str">
        <f>IF(J2603&lt;&gt;1,"",IF(I2603="SBJ","CB","?"))</f>
        <v> </v>
      </c>
      <c r="I2603" s="26" t="str">
        <f>IF(OR(E2603="",E2603="!!!",F2603="NEW"),"",INDEX(B2602:B$2,-1+SUMPRODUCT(MAX(ROW(E2602:E$2)*(E2603=E2602:E$2)))))</f>
        <v> </v>
      </c>
      <c r="J2603" s="26" t="str">
        <f>IF(OR(E2603="",E2603="!!!",F2603="NEW"),"",COUNTBLANK(OFFSET(A$1,,,SUMPRODUCT(MAX(ROW(E$2:E2603)*(E2603=E$2:E2603)))))-COUNTBLANK(OFFSET(A$1,,,SUMPRODUCT(MAX(ROW(E$1:E2602)*(E2=E$1:E2602))))))</f>
        <v> </v>
      </c>
      <c r="K2603" s="26" t="str">
        <f>IF(OR(E2603="",E2603="!!!",F2603="NEW"),"",INDEX(J$1:J2602,SUMPRODUCT(MAX(ROW(E$1:E2602)*(E2603=E$1:E2602)))))</f>
        <v> </v>
      </c>
      <c r="L2603" s="27"/>
    </row>
    <row r="2604" spans="1:12">
      <c r="A2604" s="20" t="s">
        <v>1594</v>
      </c>
      <c r="B2604" s="21" t="s">
        <v>1033</v>
      </c>
      <c r="C2604" s="21" t="s">
        <v>1006</v>
      </c>
      <c r="D2604" s="21" t="s">
        <v>1007</v>
      </c>
      <c r="E2604" s="22">
        <f>IF(D2604="?OLD","!!!","")</f>
        <v/>
      </c>
      <c r="F2604" s="23" t="str">
        <f>IF(OR(E2604="",E2604="!!!"),"",IF(NOT(ISNA(VLOOKUP(E2604,E$1:E2603,1,FALSE()))),"OLD",IF(AND(E2604&lt;&gt;"",E2604&lt;&gt;"!!!"),"NEW","")))</f>
        <v> </v>
      </c>
      <c r="G2604" s="24" t="str">
        <f>IF(OR(E2604="",E2604="!!!"),"",IF(OR(J2604=0,AND(J2604=1,K2604=1),AND(J2604=1,I2604="SBJ"),AND(J2604=1,I2604=0)),"?IN_FOCUS",IF(J2604&lt;=2,"?ACTIVATED",IF(J2604&lt;&gt;"","?FAMILIAR",IF(F2604="NEW",IF(ISNA(VLOOKUP(E2604,#REF!,1,FALSE())),"?TYPE_IDENTIFIABLE","?REFERENTIAL"),"_")))))</f>
        <v> </v>
      </c>
      <c r="H2604" s="25" t="str">
        <f>IF(J2604&lt;&gt;1,"",IF(I2604="SBJ","CB","?"))</f>
        <v> </v>
      </c>
      <c r="I2604" s="26" t="str">
        <f>IF(OR(E2604="",E2604="!!!",F2604="NEW"),"",INDEX(B2603:B$2,-1+SUMPRODUCT(MAX(ROW(E2603:E$2)*(E2604=E2603:E$2)))))</f>
        <v> </v>
      </c>
      <c r="J2604" s="26" t="str">
        <f>IF(OR(E2604="",E2604="!!!",F2604="NEW"),"",COUNTBLANK(OFFSET(A$1,,,SUMPRODUCT(MAX(ROW(E$2:E2604)*(E2604=E$2:E2604)))))-COUNTBLANK(OFFSET(A$1,,,SUMPRODUCT(MAX(ROW(E$1:E2603)*(E2=E$1:E2603))))))</f>
        <v> </v>
      </c>
      <c r="K2604" s="26" t="str">
        <f>IF(OR(E2604="",E2604="!!!",F2604="NEW"),"",INDEX(J$1:J2603,SUMPRODUCT(MAX(ROW(E$1:E2603)*(E2604=E$1:E2603)))))</f>
        <v> </v>
      </c>
      <c r="L2604" s="27"/>
    </row>
    <row r="2605" spans="1:12">
      <c r="A2605" s="20" t="s">
        <v>1020</v>
      </c>
      <c r="E2605" s="22">
        <f>IF(D2605="?OLD","!!!","")</f>
        <v/>
      </c>
      <c r="F2605" s="23" t="str">
        <f>IF(OR(E2605="",E2605="!!!"),"",IF(NOT(ISNA(VLOOKUP(E2605,E$1:E2604,1,FALSE()))),"OLD",IF(AND(E2605&lt;&gt;"",E2605&lt;&gt;"!!!"),"NEW","")))</f>
        <v> </v>
      </c>
      <c r="G2605" s="24" t="str">
        <f>IF(OR(E2605="",E2605="!!!"),"",IF(OR(J2605=0,AND(J2605=1,K2605=1),AND(J2605=1,I2605="SBJ"),AND(J2605=1,I2605=0)),"?IN_FOCUS",IF(J2605&lt;=2,"?ACTIVATED",IF(J2605&lt;&gt;"","?FAMILIAR",IF(F2605="NEW",IF(ISNA(VLOOKUP(E2605,#REF!,1,FALSE())),"?TYPE_IDENTIFIABLE","?REFERENTIAL"),"_")))))</f>
        <v> </v>
      </c>
      <c r="H2605" s="25" t="str">
        <f>IF(J2605&lt;&gt;1,"",IF(I2605="SBJ","CB","?"))</f>
        <v> </v>
      </c>
      <c r="I2605" s="26" t="str">
        <f>IF(OR(E2605="",E2605="!!!",F2605="NEW"),"",INDEX(B2604:B$2,-1+SUMPRODUCT(MAX(ROW(E2604:E$2)*(E2605=E2604:E$2)))))</f>
        <v> </v>
      </c>
      <c r="J2605" s="26" t="str">
        <f>IF(OR(E2605="",E2605="!!!",F2605="NEW"),"",COUNTBLANK(OFFSET(A$1,,,SUMPRODUCT(MAX(ROW(E$2:E2605)*(E2605=E$2:E2605)))))-COUNTBLANK(OFFSET(A$1,,,SUMPRODUCT(MAX(ROW(E$1:E2604)*(E2=E$1:E2604))))))</f>
        <v> </v>
      </c>
      <c r="K2605" s="26" t="str">
        <f>IF(OR(E2605="",E2605="!!!",F2605="NEW"),"",INDEX(J$1:J2604,SUMPRODUCT(MAX(ROW(E$1:E2604)*(E2605=E$1:E2604)))))</f>
        <v> </v>
      </c>
      <c r="L2605" s="27"/>
    </row>
    <row r="2606" spans="1:12">
      <c r="A2606" s="20" t="s">
        <v>98</v>
      </c>
      <c r="E2606" s="22">
        <f>IF(D2606="?OLD","!!!","")</f>
        <v/>
      </c>
      <c r="F2606" s="23" t="str">
        <f>IF(OR(E2606="",E2606="!!!"),"",IF(NOT(ISNA(VLOOKUP(E2606,E$1:E2605,1,FALSE()))),"OLD",IF(AND(E2606&lt;&gt;"",E2606&lt;&gt;"!!!"),"NEW","")))</f>
        <v> </v>
      </c>
      <c r="G2606" s="24" t="str">
        <f>IF(OR(E2606="",E2606="!!!"),"",IF(OR(J2606=0,AND(J2606=1,K2606=1),AND(J2606=1,I2606="SBJ"),AND(J2606=1,I2606=0)),"?IN_FOCUS",IF(J2606&lt;=2,"?ACTIVATED",IF(J2606&lt;&gt;"","?FAMILIAR",IF(F2606="NEW",IF(ISNA(VLOOKUP(E2606,#REF!,1,FALSE())),"?TYPE_IDENTIFIABLE","?REFERENTIAL"),"_")))))</f>
        <v> </v>
      </c>
      <c r="H2606" s="25" t="str">
        <f>IF(J2606&lt;&gt;1,"",IF(I2606="SBJ","CB","?"))</f>
        <v> </v>
      </c>
      <c r="I2606" s="26" t="str">
        <f>IF(OR(E2606="",E2606="!!!",F2606="NEW"),"",INDEX(B2605:B$2,-1+SUMPRODUCT(MAX(ROW(E2605:E$2)*(E2606=E2605:E$2)))))</f>
        <v> </v>
      </c>
      <c r="J2606" s="26" t="str">
        <f>IF(OR(E2606="",E2606="!!!",F2606="NEW"),"",COUNTBLANK(OFFSET(A$1,,,SUMPRODUCT(MAX(ROW(E$2:E2606)*(E2606=E$2:E2606)))))-COUNTBLANK(OFFSET(A$1,,,SUMPRODUCT(MAX(ROW(E$1:E2605)*(E2=E$1:E2605))))))</f>
        <v> </v>
      </c>
      <c r="K2606" s="26" t="str">
        <f>IF(OR(E2606="",E2606="!!!",F2606="NEW"),"",INDEX(J$1:J2605,SUMPRODUCT(MAX(ROW(E$1:E2605)*(E2606=E$1:E2605)))))</f>
        <v> </v>
      </c>
      <c r="L2606" s="27"/>
    </row>
    <row r="2607" spans="1:12">
      <c r="A2607" s="20" t="s">
        <v>1826</v>
      </c>
      <c r="E2607" s="22">
        <f>IF(D2607="?OLD","!!!","")</f>
        <v/>
      </c>
      <c r="F2607" s="23" t="str">
        <f>IF(OR(E2607="",E2607="!!!"),"",IF(NOT(ISNA(VLOOKUP(E2607,E$1:E2606,1,FALSE()))),"OLD",IF(AND(E2607&lt;&gt;"",E2607&lt;&gt;"!!!"),"NEW","")))</f>
        <v> </v>
      </c>
      <c r="G2607" s="24" t="str">
        <f>IF(OR(E2607="",E2607="!!!"),"",IF(OR(J2607=0,AND(J2607=1,K2607=1),AND(J2607=1,I2607="SBJ"),AND(J2607=1,I2607=0)),"?IN_FOCUS",IF(J2607&lt;=2,"?ACTIVATED",IF(J2607&lt;&gt;"","?FAMILIAR",IF(F2607="NEW",IF(ISNA(VLOOKUP(E2607,#REF!,1,FALSE())),"?TYPE_IDENTIFIABLE","?REFERENTIAL"),"_")))))</f>
        <v> </v>
      </c>
      <c r="H2607" s="25" t="str">
        <f>IF(J2607&lt;&gt;1,"",IF(I2607="SBJ","CB","?"))</f>
        <v> </v>
      </c>
      <c r="I2607" s="26" t="str">
        <f>IF(OR(E2607="",E2607="!!!",F2607="NEW"),"",INDEX(B2606:B$2,-1+SUMPRODUCT(MAX(ROW(E2606:E$2)*(E2607=E2606:E$2)))))</f>
        <v> </v>
      </c>
      <c r="J2607" s="26" t="str">
        <f>IF(OR(E2607="",E2607="!!!",F2607="NEW"),"",COUNTBLANK(OFFSET(A$1,,,SUMPRODUCT(MAX(ROW(E$2:E2607)*(E2607=E$2:E2607)))))-COUNTBLANK(OFFSET(A$1,,,SUMPRODUCT(MAX(ROW(E$1:E2606)*(E2=E$1:E2606))))))</f>
        <v> </v>
      </c>
      <c r="K2607" s="26" t="str">
        <f>IF(OR(E2607="",E2607="!!!",F2607="NEW"),"",INDEX(J$1:J2606,SUMPRODUCT(MAX(ROW(E$1:E2606)*(E2607=E$1:E2606)))))</f>
        <v> </v>
      </c>
      <c r="L2607" s="27"/>
    </row>
    <row r="2608" spans="1:12">
      <c r="A2608" s="20" t="s">
        <v>1018</v>
      </c>
      <c r="E2608" s="22">
        <f>IF(D2608="?OLD","!!!","")</f>
        <v/>
      </c>
      <c r="F2608" s="23" t="str">
        <f>IF(OR(E2608="",E2608="!!!"),"",IF(NOT(ISNA(VLOOKUP(E2608,E$1:E2607,1,FALSE()))),"OLD",IF(AND(E2608&lt;&gt;"",E2608&lt;&gt;"!!!"),"NEW","")))</f>
        <v> </v>
      </c>
      <c r="G2608" s="24" t="str">
        <f>IF(OR(E2608="",E2608="!!!"),"",IF(OR(J2608=0,AND(J2608=1,K2608=1),AND(J2608=1,I2608="SBJ"),AND(J2608=1,I2608=0)),"?IN_FOCUS",IF(J2608&lt;=2,"?ACTIVATED",IF(J2608&lt;&gt;"","?FAMILIAR",IF(F2608="NEW",IF(ISNA(VLOOKUP(E2608,#REF!,1,FALSE())),"?TYPE_IDENTIFIABLE","?REFERENTIAL"),"_")))))</f>
        <v> </v>
      </c>
      <c r="H2608" s="25" t="str">
        <f>IF(J2608&lt;&gt;1,"",IF(I2608="SBJ","CB","?"))</f>
        <v> </v>
      </c>
      <c r="I2608" s="26" t="str">
        <f>IF(OR(E2608="",E2608="!!!",F2608="NEW"),"",INDEX(B2607:B$2,-1+SUMPRODUCT(MAX(ROW(E2607:E$2)*(E2608=E2607:E$2)))))</f>
        <v> </v>
      </c>
      <c r="J2608" s="26" t="str">
        <f>IF(OR(E2608="",E2608="!!!",F2608="NEW"),"",COUNTBLANK(OFFSET(A$1,,,SUMPRODUCT(MAX(ROW(E$2:E2608)*(E2608=E$2:E2608)))))-COUNTBLANK(OFFSET(A$1,,,SUMPRODUCT(MAX(ROW(E$1:E2607)*(E2=E$1:E2607))))))</f>
        <v> </v>
      </c>
      <c r="K2608" s="26" t="str">
        <f>IF(OR(E2608="",E2608="!!!",F2608="NEW"),"",INDEX(J$1:J2607,SUMPRODUCT(MAX(ROW(E$1:E2607)*(E2608=E$1:E2607)))))</f>
        <v> </v>
      </c>
      <c r="L2608" s="27"/>
    </row>
    <row r="2609" spans="1:12">
      <c r="A2609" s="20" t="s">
        <v>1827</v>
      </c>
      <c r="E2609" s="22">
        <f>IF(D2609="?OLD","!!!","")</f>
        <v/>
      </c>
      <c r="F2609" s="23" t="str">
        <f>IF(OR(E2609="",E2609="!!!"),"",IF(NOT(ISNA(VLOOKUP(E2609,E$1:E2608,1,FALSE()))),"OLD",IF(AND(E2609&lt;&gt;"",E2609&lt;&gt;"!!!"),"NEW","")))</f>
        <v> </v>
      </c>
      <c r="G2609" s="24" t="str">
        <f>IF(OR(E2609="",E2609="!!!"),"",IF(OR(J2609=0,AND(J2609=1,K2609=1),AND(J2609=1,I2609="SBJ"),AND(J2609=1,I2609=0)),"?IN_FOCUS",IF(J2609&lt;=2,"?ACTIVATED",IF(J2609&lt;&gt;"","?FAMILIAR",IF(F2609="NEW",IF(ISNA(VLOOKUP(E2609,#REF!,1,FALSE())),"?TYPE_IDENTIFIABLE","?REFERENTIAL"),"_")))))</f>
        <v> </v>
      </c>
      <c r="H2609" s="25" t="str">
        <f>IF(J2609&lt;&gt;1,"",IF(I2609="SBJ","CB","?"))</f>
        <v> </v>
      </c>
      <c r="I2609" s="26" t="str">
        <f>IF(OR(E2609="",E2609="!!!",F2609="NEW"),"",INDEX(B2608:B$2,-1+SUMPRODUCT(MAX(ROW(E2608:E$2)*(E2609=E2608:E$2)))))</f>
        <v> </v>
      </c>
      <c r="J2609" s="26" t="str">
        <f>IF(OR(E2609="",E2609="!!!",F2609="NEW"),"",COUNTBLANK(OFFSET(A$1,,,SUMPRODUCT(MAX(ROW(E$2:E2609)*(E2609=E$2:E2609)))))-COUNTBLANK(OFFSET(A$1,,,SUMPRODUCT(MAX(ROW(E$1:E2608)*(E2=E$1:E2608))))))</f>
        <v> </v>
      </c>
      <c r="K2609" s="26" t="str">
        <f>IF(OR(E2609="",E2609="!!!",F2609="NEW"),"",INDEX(J$1:J2608,SUMPRODUCT(MAX(ROW(E$1:E2608)*(E2609=E$1:E2608)))))</f>
        <v> </v>
      </c>
      <c r="L2609" s="27"/>
    </row>
    <row r="2610" spans="1:12">
      <c r="A2610" s="20" t="s">
        <v>1100</v>
      </c>
      <c r="B2610" s="21" t="s">
        <v>1134</v>
      </c>
      <c r="C2610" s="21" t="s">
        <v>1082</v>
      </c>
      <c r="D2610" s="21" t="s">
        <v>1007</v>
      </c>
      <c r="E2610" s="22">
        <f>IF(D2610="?OLD","!!!","")</f>
        <v/>
      </c>
      <c r="F2610" s="23" t="str">
        <f>IF(OR(E2610="",E2610="!!!"),"",IF(NOT(ISNA(VLOOKUP(E2610,E$1:E2609,1,FALSE()))),"OLD",IF(AND(E2610&lt;&gt;"",E2610&lt;&gt;"!!!"),"NEW","")))</f>
        <v> </v>
      </c>
      <c r="G2610" s="24" t="str">
        <f>IF(OR(E2610="",E2610="!!!"),"",IF(OR(J2610=0,AND(J2610=1,K2610=1),AND(J2610=1,I2610="SBJ"),AND(J2610=1,I2610=0)),"?IN_FOCUS",IF(J2610&lt;=2,"?ACTIVATED",IF(J2610&lt;&gt;"","?FAMILIAR",IF(F2610="NEW",IF(ISNA(VLOOKUP(E2610,#REF!,1,FALSE())),"?TYPE_IDENTIFIABLE","?REFERENTIAL"),"_")))))</f>
        <v> </v>
      </c>
      <c r="H2610" s="25" t="str">
        <f>IF(J2610&lt;&gt;1,"",IF(I2610="SBJ","CB","?"))</f>
        <v> </v>
      </c>
      <c r="I2610" s="26" t="str">
        <f>IF(OR(E2610="",E2610="!!!",F2610="NEW"),"",INDEX(B2609:B$2,-1+SUMPRODUCT(MAX(ROW(E2609:E$2)*(E2610=E2609:E$2)))))</f>
        <v> </v>
      </c>
      <c r="J2610" s="26" t="str">
        <f>IF(OR(E2610="",E2610="!!!",F2610="NEW"),"",COUNTBLANK(OFFSET(A$1,,,SUMPRODUCT(MAX(ROW(E$2:E2610)*(E2610=E$2:E2610)))))-COUNTBLANK(OFFSET(A$1,,,SUMPRODUCT(MAX(ROW(E$1:E2609)*(E2=E$1:E2609))))))</f>
        <v> </v>
      </c>
      <c r="K2610" s="26" t="str">
        <f>IF(OR(E2610="",E2610="!!!",F2610="NEW"),"",INDEX(J$1:J2609,SUMPRODUCT(MAX(ROW(E$1:E2609)*(E2610=E$1:E2609)))))</f>
        <v> </v>
      </c>
      <c r="L2610" s="27"/>
    </row>
    <row r="2611" spans="1:12">
      <c r="A2611" s="20" t="s">
        <v>1056</v>
      </c>
      <c r="E2611" s="22">
        <f>IF(D2611="?OLD","!!!","")</f>
        <v/>
      </c>
      <c r="F2611" s="23" t="str">
        <f>IF(OR(E2611="",E2611="!!!"),"",IF(NOT(ISNA(VLOOKUP(E2611,E$1:E2610,1,FALSE()))),"OLD",IF(AND(E2611&lt;&gt;"",E2611&lt;&gt;"!!!"),"NEW","")))</f>
        <v> </v>
      </c>
      <c r="G2611" s="24" t="str">
        <f>IF(OR(E2611="",E2611="!!!"),"",IF(OR(J2611=0,AND(J2611=1,K2611=1),AND(J2611=1,I2611="SBJ"),AND(J2611=1,I2611=0)),"?IN_FOCUS",IF(J2611&lt;=2,"?ACTIVATED",IF(J2611&lt;&gt;"","?FAMILIAR",IF(F2611="NEW",IF(ISNA(VLOOKUP(E2611,#REF!,1,FALSE())),"?TYPE_IDENTIFIABLE","?REFERENTIAL"),"_")))))</f>
        <v> </v>
      </c>
      <c r="H2611" s="25" t="str">
        <f>IF(J2611&lt;&gt;1,"",IF(I2611="SBJ","CB","?"))</f>
        <v> </v>
      </c>
      <c r="I2611" s="26" t="str">
        <f>IF(OR(E2611="",E2611="!!!",F2611="NEW"),"",INDEX(B2610:B$2,-1+SUMPRODUCT(MAX(ROW(E2610:E$2)*(E2611=E2610:E$2)))))</f>
        <v> </v>
      </c>
      <c r="J2611" s="26" t="str">
        <f>IF(OR(E2611="",E2611="!!!",F2611="NEW"),"",COUNTBLANK(OFFSET(A$1,,,SUMPRODUCT(MAX(ROW(E$2:E2611)*(E2611=E$2:E2611)))))-COUNTBLANK(OFFSET(A$1,,,SUMPRODUCT(MAX(ROW(E$1:E2610)*(E2=E$1:E2610))))))</f>
        <v> </v>
      </c>
      <c r="K2611" s="26" t="str">
        <f>IF(OR(E2611="",E2611="!!!",F2611="NEW"),"",INDEX(J$1:J2610,SUMPRODUCT(MAX(ROW(E$1:E2610)*(E2611=E$1:E2610)))))</f>
        <v> </v>
      </c>
      <c r="L2611" s="27"/>
    </row>
    <row r="2612" spans="1:12">
      <c r="A2612" s="20" t="s">
        <v>1828</v>
      </c>
      <c r="B2612" s="21" t="s">
        <v>1134</v>
      </c>
      <c r="C2612" s="21" t="s">
        <v>1013</v>
      </c>
      <c r="D2612" s="21" t="s">
        <v>1007</v>
      </c>
      <c r="E2612" s="22">
        <f>IF(D2612="?OLD","!!!","")</f>
        <v/>
      </c>
      <c r="F2612" s="23" t="str">
        <f>IF(OR(E2612="",E2612="!!!"),"",IF(NOT(ISNA(VLOOKUP(E2612,E$1:E2611,1,FALSE()))),"OLD",IF(AND(E2612&lt;&gt;"",E2612&lt;&gt;"!!!"),"NEW","")))</f>
        <v> </v>
      </c>
      <c r="G2612" s="24" t="str">
        <f>IF(OR(E2612="",E2612="!!!"),"",IF(OR(J2612=0,AND(J2612=1,K2612=1),AND(J2612=1,I2612="SBJ"),AND(J2612=1,I2612=0)),"?IN_FOCUS",IF(J2612&lt;=2,"?ACTIVATED",IF(J2612&lt;&gt;"","?FAMILIAR",IF(F2612="NEW",IF(ISNA(VLOOKUP(E2612,#REF!,1,FALSE())),"?TYPE_IDENTIFIABLE","?REFERENTIAL"),"_")))))</f>
        <v> </v>
      </c>
      <c r="H2612" s="25" t="str">
        <f>IF(J2612&lt;&gt;1,"",IF(I2612="SBJ","CB","?"))</f>
        <v> </v>
      </c>
      <c r="I2612" s="26" t="str">
        <f>IF(OR(E2612="",E2612="!!!",F2612="NEW"),"",INDEX(B2611:B$2,-1+SUMPRODUCT(MAX(ROW(E2611:E$2)*(E2612=E2611:E$2)))))</f>
        <v> </v>
      </c>
      <c r="J2612" s="26" t="str">
        <f>IF(OR(E2612="",E2612="!!!",F2612="NEW"),"",COUNTBLANK(OFFSET(A$1,,,SUMPRODUCT(MAX(ROW(E$2:E2612)*(E2612=E$2:E2612)))))-COUNTBLANK(OFFSET(A$1,,,SUMPRODUCT(MAX(ROW(E$1:E2611)*(E2=E$1:E2611))))))</f>
        <v> </v>
      </c>
      <c r="K2612" s="26" t="str">
        <f>IF(OR(E2612="",E2612="!!!",F2612="NEW"),"",INDEX(J$1:J2611,SUMPRODUCT(MAX(ROW(E$1:E2611)*(E2612=E$1:E2611)))))</f>
        <v> </v>
      </c>
      <c r="L2612" s="27"/>
    </row>
    <row r="2613" spans="1:12">
      <c r="A2613" s="20" t="s">
        <v>1127</v>
      </c>
      <c r="E2613" s="22">
        <f>IF(D2613="?OLD","!!!","")</f>
        <v/>
      </c>
      <c r="F2613" s="23" t="str">
        <f>IF(OR(E2613="",E2613="!!!"),"",IF(NOT(ISNA(VLOOKUP(E2613,E$1:E2612,1,FALSE()))),"OLD",IF(AND(E2613&lt;&gt;"",E2613&lt;&gt;"!!!"),"NEW","")))</f>
        <v> </v>
      </c>
      <c r="G2613" s="24" t="str">
        <f>IF(OR(E2613="",E2613="!!!"),"",IF(OR(J2613=0,AND(J2613=1,K2613=1),AND(J2613=1,I2613="SBJ"),AND(J2613=1,I2613=0)),"?IN_FOCUS",IF(J2613&lt;=2,"?ACTIVATED",IF(J2613&lt;&gt;"","?FAMILIAR",IF(F2613="NEW",IF(ISNA(VLOOKUP(E2613,#REF!,1,FALSE())),"?TYPE_IDENTIFIABLE","?REFERENTIAL"),"_")))))</f>
        <v> </v>
      </c>
      <c r="H2613" s="25" t="str">
        <f>IF(J2613&lt;&gt;1,"",IF(I2613="SBJ","CB","?"))</f>
        <v> </v>
      </c>
      <c r="I2613" s="26" t="str">
        <f>IF(OR(E2613="",E2613="!!!",F2613="NEW"),"",INDEX(B2612:B$2,-1+SUMPRODUCT(MAX(ROW(E2612:E$2)*(E2613=E2612:E$2)))))</f>
        <v> </v>
      </c>
      <c r="J2613" s="26" t="str">
        <f>IF(OR(E2613="",E2613="!!!",F2613="NEW"),"",COUNTBLANK(OFFSET(A$1,,,SUMPRODUCT(MAX(ROW(E$2:E2613)*(E2613=E$2:E2613)))))-COUNTBLANK(OFFSET(A$1,,,SUMPRODUCT(MAX(ROW(E$1:E2612)*(E2=E$1:E2612))))))</f>
        <v> </v>
      </c>
      <c r="K2613" s="26" t="str">
        <f>IF(OR(E2613="",E2613="!!!",F2613="NEW"),"",INDEX(J$1:J2612,SUMPRODUCT(MAX(ROW(E$1:E2612)*(E2613=E$1:E2612)))))</f>
        <v> </v>
      </c>
      <c r="L2613" s="27"/>
    </row>
    <row r="2614" spans="1:12">
      <c r="A2614" s="20" t="s">
        <v>102</v>
      </c>
      <c r="E2614" s="22">
        <f>IF(D2614="?OLD","!!!","")</f>
        <v/>
      </c>
      <c r="F2614" s="23" t="str">
        <f>IF(OR(E2614="",E2614="!!!"),"",IF(NOT(ISNA(VLOOKUP(E2614,E$1:E2613,1,FALSE()))),"OLD",IF(AND(E2614&lt;&gt;"",E2614&lt;&gt;"!!!"),"NEW","")))</f>
        <v> </v>
      </c>
      <c r="G2614" s="24" t="str">
        <f>IF(OR(E2614="",E2614="!!!"),"",IF(OR(J2614=0,AND(J2614=1,K2614=1),AND(J2614=1,I2614="SBJ"),AND(J2614=1,I2614=0)),"?IN_FOCUS",IF(J2614&lt;=2,"?ACTIVATED",IF(J2614&lt;&gt;"","?FAMILIAR",IF(F2614="NEW",IF(ISNA(VLOOKUP(E2614,#REF!,1,FALSE())),"?TYPE_IDENTIFIABLE","?REFERENTIAL"),"_")))))</f>
        <v> </v>
      </c>
      <c r="H2614" s="25" t="str">
        <f>IF(J2614&lt;&gt;1,"",IF(I2614="SBJ","CB","?"))</f>
        <v> </v>
      </c>
      <c r="I2614" s="26" t="str">
        <f>IF(OR(E2614="",E2614="!!!",F2614="NEW"),"",INDEX(B2613:B$2,-1+SUMPRODUCT(MAX(ROW(E2613:E$2)*(E2614=E2613:E$2)))))</f>
        <v> </v>
      </c>
      <c r="J2614" s="26" t="str">
        <f>IF(OR(E2614="",E2614="!!!",F2614="NEW"),"",COUNTBLANK(OFFSET(A$1,,,SUMPRODUCT(MAX(ROW(E$2:E2614)*(E2614=E$2:E2614)))))-COUNTBLANK(OFFSET(A$1,,,SUMPRODUCT(MAX(ROW(E$1:E2613)*(E2=E$1:E2613))))))</f>
        <v> </v>
      </c>
      <c r="K2614" s="26" t="str">
        <f>IF(OR(E2614="",E2614="!!!",F2614="NEW"),"",INDEX(J$1:J2613,SUMPRODUCT(MAX(ROW(E$1:E2613)*(E2614=E$1:E2613)))))</f>
        <v> </v>
      </c>
      <c r="L2614" s="27"/>
    </row>
    <row r="2615" spans="1:12">
      <c r="A2615" s="20" t="s">
        <v>1817</v>
      </c>
      <c r="B2615" s="21" t="s">
        <v>1040</v>
      </c>
      <c r="C2615" s="21" t="s">
        <v>1017</v>
      </c>
      <c r="D2615" s="21" t="s">
        <v>1007</v>
      </c>
      <c r="E2615" s="22">
        <f>IF(D2615="?OLD","!!!","")</f>
        <v/>
      </c>
      <c r="F2615" s="23" t="str">
        <f>IF(OR(E2615="",E2615="!!!"),"",IF(NOT(ISNA(VLOOKUP(E2615,E$1:E2614,1,FALSE()))),"OLD",IF(AND(E2615&lt;&gt;"",E2615&lt;&gt;"!!!"),"NEW","")))</f>
        <v> </v>
      </c>
      <c r="G2615" s="24" t="str">
        <f>IF(OR(E2615="",E2615="!!!"),"",IF(OR(J2615=0,AND(J2615=1,K2615=1),AND(J2615=1,I2615="SBJ"),AND(J2615=1,I2615=0)),"?IN_FOCUS",IF(J2615&lt;=2,"?ACTIVATED",IF(J2615&lt;&gt;"","?FAMILIAR",IF(F2615="NEW",IF(ISNA(VLOOKUP(E2615,#REF!,1,FALSE())),"?TYPE_IDENTIFIABLE","?REFERENTIAL"),"_")))))</f>
        <v> </v>
      </c>
      <c r="H2615" s="25" t="str">
        <f>IF(J2615&lt;&gt;1,"",IF(I2615="SBJ","CB","?"))</f>
        <v> </v>
      </c>
      <c r="I2615" s="26" t="str">
        <f>IF(OR(E2615="",E2615="!!!",F2615="NEW"),"",INDEX(B2614:B$2,-1+SUMPRODUCT(MAX(ROW(E2614:E$2)*(E2615=E2614:E$2)))))</f>
        <v> </v>
      </c>
      <c r="J2615" s="26" t="str">
        <f>IF(OR(E2615="",E2615="!!!",F2615="NEW"),"",COUNTBLANK(OFFSET(A$1,,,SUMPRODUCT(MAX(ROW(E$2:E2615)*(E2615=E$2:E2615)))))-COUNTBLANK(OFFSET(A$1,,,SUMPRODUCT(MAX(ROW(E$1:E2614)*(E2=E$1:E2614))))))</f>
        <v> </v>
      </c>
      <c r="K2615" s="26" t="str">
        <f>IF(OR(E2615="",E2615="!!!",F2615="NEW"),"",INDEX(J$1:J2614,SUMPRODUCT(MAX(ROW(E$1:E2614)*(E2615=E$1:E2614)))))</f>
        <v> </v>
      </c>
      <c r="L2615" s="27"/>
    </row>
    <row r="2616" spans="1:12">
      <c r="A2616" s="20" t="s">
        <v>1023</v>
      </c>
      <c r="E2616" s="22">
        <f>IF(D2616="?OLD","!!!","")</f>
        <v/>
      </c>
      <c r="F2616" s="23" t="str">
        <f>IF(OR(E2616="",E2616="!!!"),"",IF(NOT(ISNA(VLOOKUP(E2616,E$1:E2615,1,FALSE()))),"OLD",IF(AND(E2616&lt;&gt;"",E2616&lt;&gt;"!!!"),"NEW","")))</f>
        <v> </v>
      </c>
      <c r="G2616" s="24" t="str">
        <f>IF(OR(E2616="",E2616="!!!"),"",IF(OR(J2616=0,AND(J2616=1,K2616=1),AND(J2616=1,I2616="SBJ"),AND(J2616=1,I2616=0)),"?IN_FOCUS",IF(J2616&lt;=2,"?ACTIVATED",IF(J2616&lt;&gt;"","?FAMILIAR",IF(F2616="NEW",IF(ISNA(VLOOKUP(E2616,#REF!,1,FALSE())),"?TYPE_IDENTIFIABLE","?REFERENTIAL"),"_")))))</f>
        <v> </v>
      </c>
      <c r="H2616" s="25" t="str">
        <f>IF(J2616&lt;&gt;1,"",IF(I2616="SBJ","CB","?"))</f>
        <v> </v>
      </c>
      <c r="I2616" s="26" t="str">
        <f>IF(OR(E2616="",E2616="!!!",F2616="NEW"),"",INDEX(B2615:B$2,-1+SUMPRODUCT(MAX(ROW(E2615:E$2)*(E2616=E2615:E$2)))))</f>
        <v> </v>
      </c>
      <c r="J2616" s="26" t="str">
        <f>IF(OR(E2616="",E2616="!!!",F2616="NEW"),"",COUNTBLANK(OFFSET(A$1,,,SUMPRODUCT(MAX(ROW(E$2:E2616)*(E2616=E$2:E2616)))))-COUNTBLANK(OFFSET(A$1,,,SUMPRODUCT(MAX(ROW(E$1:E2615)*(E2=E$1:E2615))))))</f>
        <v> </v>
      </c>
      <c r="K2616" s="26" t="str">
        <f>IF(OR(E2616="",E2616="!!!",F2616="NEW"),"",INDEX(J$1:J2615,SUMPRODUCT(MAX(ROW(E$1:E2615)*(E2616=E$1:E2615)))))</f>
        <v> </v>
      </c>
      <c r="L2616" s="27"/>
    </row>
    <row r="2617" spans="1:12">
      <c r="A2617" s="20"/>
    </row>
    <row r="2618" spans="1:12">
      <c r="A2618" s="20" t="s">
        <v>1829</v>
      </c>
    </row>
    <row r="2619" spans="1:12">
      <c r="A2619" s="20" t="s">
        <v>1175</v>
      </c>
      <c r="E2619" s="22">
        <f>IF(D2619="?OLD","!!!","")</f>
        <v/>
      </c>
      <c r="F2619" s="23" t="str">
        <f>IF(OR(E2619="",E2619="!!!"),"",IF(NOT(ISNA(VLOOKUP(E2619,E$1:E2618,1,FALSE()))),"OLD",IF(AND(E2619&lt;&gt;"",E2619&lt;&gt;"!!!"),"NEW","")))</f>
        <v> </v>
      </c>
      <c r="G2619" s="24" t="str">
        <f>IF(OR(E2619="",E2619="!!!"),"",IF(OR(J2619=0,AND(J2619=1,K2619=1),AND(J2619=1,I2619="SBJ"),AND(J2619=1,I2619=0)),"?IN_FOCUS",IF(J2619&lt;=2,"?ACTIVATED",IF(J2619&lt;&gt;"","?FAMILIAR",IF(F2619="NEW",IF(ISNA(VLOOKUP(E2619,#REF!,1,FALSE())),"?TYPE_IDENTIFIABLE","?REFERENTIAL"),"_")))))</f>
        <v> </v>
      </c>
      <c r="H2619" s="25" t="str">
        <f>IF(J2619&lt;&gt;1,"",IF(I2619="SBJ","CB","?"))</f>
        <v> </v>
      </c>
      <c r="I2619" s="26" t="str">
        <f>IF(OR(E2619="",E2619="!!!",F2619="NEW"),"",INDEX(B2618:B$2,-1+SUMPRODUCT(MAX(ROW(E2618:E$2)*(E2619=E2618:E$2)))))</f>
        <v> </v>
      </c>
      <c r="J2619" s="26" t="str">
        <f>IF(OR(E2619="",E2619="!!!",F2619="NEW"),"",COUNTBLANK(OFFSET(A$1,,,SUMPRODUCT(MAX(ROW(E$2:E2619)*(E2619=E$2:E2619)))))-COUNTBLANK(OFFSET(A$1,,,SUMPRODUCT(MAX(ROW(E$1:E2618)*(E2=E$1:E2618))))))</f>
        <v> </v>
      </c>
      <c r="K2619" s="26" t="str">
        <f>IF(OR(E2619="",E2619="!!!",F2619="NEW"),"",INDEX(J$1:J2618,SUMPRODUCT(MAX(ROW(E$1:E2618)*(E2619=E$1:E2618)))))</f>
        <v> </v>
      </c>
      <c r="L2619" s="27"/>
    </row>
    <row r="2620" spans="1:12">
      <c r="A2620" s="20" t="s">
        <v>1199</v>
      </c>
      <c r="E2620" s="22">
        <f>IF(D2620="?OLD","!!!","")</f>
        <v/>
      </c>
      <c r="F2620" s="23" t="str">
        <f>IF(OR(E2620="",E2620="!!!"),"",IF(NOT(ISNA(VLOOKUP(E2620,E$1:E2619,1,FALSE()))),"OLD",IF(AND(E2620&lt;&gt;"",E2620&lt;&gt;"!!!"),"NEW","")))</f>
        <v> </v>
      </c>
      <c r="G2620" s="24" t="str">
        <f>IF(OR(E2620="",E2620="!!!"),"",IF(OR(J2620=0,AND(J2620=1,K2620=1),AND(J2620=1,I2620="SBJ"),AND(J2620=1,I2620=0)),"?IN_FOCUS",IF(J2620&lt;=2,"?ACTIVATED",IF(J2620&lt;&gt;"","?FAMILIAR",IF(F2620="NEW",IF(ISNA(VLOOKUP(E2620,#REF!,1,FALSE())),"?TYPE_IDENTIFIABLE","?REFERENTIAL"),"_")))))</f>
        <v> </v>
      </c>
      <c r="H2620" s="25" t="str">
        <f>IF(J2620&lt;&gt;1,"",IF(I2620="SBJ","CB","?"))</f>
        <v> </v>
      </c>
      <c r="I2620" s="26" t="str">
        <f>IF(OR(E2620="",E2620="!!!",F2620="NEW"),"",INDEX(B2619:B$2,-1+SUMPRODUCT(MAX(ROW(E2619:E$2)*(E2620=E2619:E$2)))))</f>
        <v> </v>
      </c>
      <c r="J2620" s="26" t="str">
        <f>IF(OR(E2620="",E2620="!!!",F2620="NEW"),"",COUNTBLANK(OFFSET(A$1,,,SUMPRODUCT(MAX(ROW(E$2:E2620)*(E2620=E$2:E2620)))))-COUNTBLANK(OFFSET(A$1,,,SUMPRODUCT(MAX(ROW(E$1:E2619)*(E2=E$1:E2619))))))</f>
        <v> </v>
      </c>
      <c r="K2620" s="26" t="str">
        <f>IF(OR(E2620="",E2620="!!!",F2620="NEW"),"",INDEX(J$1:J2619,SUMPRODUCT(MAX(ROW(E$1:E2619)*(E2620=E$1:E2619)))))</f>
        <v> </v>
      </c>
      <c r="L2620" s="27"/>
    </row>
    <row r="2621" spans="1:12">
      <c r="A2621" s="20" t="s">
        <v>1830</v>
      </c>
      <c r="E2621" s="22">
        <f>IF(D2621="?OLD","!!!","")</f>
        <v/>
      </c>
      <c r="F2621" s="23" t="str">
        <f>IF(OR(E2621="",E2621="!!!"),"",IF(NOT(ISNA(VLOOKUP(E2621,E$1:E2620,1,FALSE()))),"OLD",IF(AND(E2621&lt;&gt;"",E2621&lt;&gt;"!!!"),"NEW","")))</f>
        <v> </v>
      </c>
      <c r="G2621" s="24" t="str">
        <f>IF(OR(E2621="",E2621="!!!"),"",IF(OR(J2621=0,AND(J2621=1,K2621=1),AND(J2621=1,I2621="SBJ"),AND(J2621=1,I2621=0)),"?IN_FOCUS",IF(J2621&lt;=2,"?ACTIVATED",IF(J2621&lt;&gt;"","?FAMILIAR",IF(F2621="NEW",IF(ISNA(VLOOKUP(E2621,#REF!,1,FALSE())),"?TYPE_IDENTIFIABLE","?REFERENTIAL"),"_")))))</f>
        <v> </v>
      </c>
      <c r="H2621" s="25" t="str">
        <f>IF(J2621&lt;&gt;1,"",IF(I2621="SBJ","CB","?"))</f>
        <v> </v>
      </c>
      <c r="I2621" s="26" t="str">
        <f>IF(OR(E2621="",E2621="!!!",F2621="NEW"),"",INDEX(B2620:B$2,-1+SUMPRODUCT(MAX(ROW(E2620:E$2)*(E2621=E2620:E$2)))))</f>
        <v> </v>
      </c>
      <c r="J2621" s="26" t="str">
        <f>IF(OR(E2621="",E2621="!!!",F2621="NEW"),"",COUNTBLANK(OFFSET(A$1,,,SUMPRODUCT(MAX(ROW(E$2:E2621)*(E2621=E$2:E2621)))))-COUNTBLANK(OFFSET(A$1,,,SUMPRODUCT(MAX(ROW(E$1:E2620)*(E2=E$1:E2620))))))</f>
        <v> </v>
      </c>
      <c r="K2621" s="26" t="str">
        <f>IF(OR(E2621="",E2621="!!!",F2621="NEW"),"",INDEX(J$1:J2620,SUMPRODUCT(MAX(ROW(E$1:E2620)*(E2621=E$1:E2620)))))</f>
        <v> </v>
      </c>
      <c r="L2621" s="27"/>
    </row>
    <row r="2622" spans="1:12">
      <c r="A2622" s="20" t="s">
        <v>1075</v>
      </c>
      <c r="E2622" s="22">
        <f>IF(D2622="?OLD","!!!","")</f>
        <v/>
      </c>
      <c r="F2622" s="23" t="str">
        <f>IF(OR(E2622="",E2622="!!!"),"",IF(NOT(ISNA(VLOOKUP(E2622,E$1:E2621,1,FALSE()))),"OLD",IF(AND(E2622&lt;&gt;"",E2622&lt;&gt;"!!!"),"NEW","")))</f>
        <v> </v>
      </c>
      <c r="G2622" s="24" t="str">
        <f>IF(OR(E2622="",E2622="!!!"),"",IF(OR(J2622=0,AND(J2622=1,K2622=1),AND(J2622=1,I2622="SBJ"),AND(J2622=1,I2622=0)),"?IN_FOCUS",IF(J2622&lt;=2,"?ACTIVATED",IF(J2622&lt;&gt;"","?FAMILIAR",IF(F2622="NEW",IF(ISNA(VLOOKUP(E2622,#REF!,1,FALSE())),"?TYPE_IDENTIFIABLE","?REFERENTIAL"),"_")))))</f>
        <v> </v>
      </c>
      <c r="H2622" s="25" t="str">
        <f>IF(J2622&lt;&gt;1,"",IF(I2622="SBJ","CB","?"))</f>
        <v> </v>
      </c>
      <c r="I2622" s="26" t="str">
        <f>IF(OR(E2622="",E2622="!!!",F2622="NEW"),"",INDEX(B2621:B$2,-1+SUMPRODUCT(MAX(ROW(E2621:E$2)*(E2622=E2621:E$2)))))</f>
        <v> </v>
      </c>
      <c r="J2622" s="26" t="str">
        <f>IF(OR(E2622="",E2622="!!!",F2622="NEW"),"",COUNTBLANK(OFFSET(A$1,,,SUMPRODUCT(MAX(ROW(E$2:E2622)*(E2622=E$2:E2622)))))-COUNTBLANK(OFFSET(A$1,,,SUMPRODUCT(MAX(ROW(E$1:E2621)*(E2=E$1:E2621))))))</f>
        <v> </v>
      </c>
      <c r="K2622" s="26" t="str">
        <f>IF(OR(E2622="",E2622="!!!",F2622="NEW"),"",INDEX(J$1:J2621,SUMPRODUCT(MAX(ROW(E$1:E2621)*(E2622=E$1:E2621)))))</f>
        <v> </v>
      </c>
      <c r="L2622" s="27"/>
    </row>
    <row r="2623" spans="1:12">
      <c r="A2623" s="20" t="s">
        <v>1065</v>
      </c>
      <c r="E2623" s="22">
        <f>IF(D2623="?OLD","!!!","")</f>
        <v/>
      </c>
      <c r="F2623" s="23" t="str">
        <f>IF(OR(E2623="",E2623="!!!"),"",IF(NOT(ISNA(VLOOKUP(E2623,E$1:E2622,1,FALSE()))),"OLD",IF(AND(E2623&lt;&gt;"",E2623&lt;&gt;"!!!"),"NEW","")))</f>
        <v> </v>
      </c>
      <c r="G2623" s="24" t="str">
        <f>IF(OR(E2623="",E2623="!!!"),"",IF(OR(J2623=0,AND(J2623=1,K2623=1),AND(J2623=1,I2623="SBJ"),AND(J2623=1,I2623=0)),"?IN_FOCUS",IF(J2623&lt;=2,"?ACTIVATED",IF(J2623&lt;&gt;"","?FAMILIAR",IF(F2623="NEW",IF(ISNA(VLOOKUP(E2623,#REF!,1,FALSE())),"?TYPE_IDENTIFIABLE","?REFERENTIAL"),"_")))))</f>
        <v> </v>
      </c>
      <c r="H2623" s="25" t="str">
        <f>IF(J2623&lt;&gt;1,"",IF(I2623="SBJ","CB","?"))</f>
        <v> </v>
      </c>
      <c r="I2623" s="26" t="str">
        <f>IF(OR(E2623="",E2623="!!!",F2623="NEW"),"",INDEX(B2622:B$2,-1+SUMPRODUCT(MAX(ROW(E2622:E$2)*(E2623=E2622:E$2)))))</f>
        <v> </v>
      </c>
      <c r="J2623" s="26" t="str">
        <f>IF(OR(E2623="",E2623="!!!",F2623="NEW"),"",COUNTBLANK(OFFSET(A$1,,,SUMPRODUCT(MAX(ROW(E$2:E2623)*(E2623=E$2:E2623)))))-COUNTBLANK(OFFSET(A$1,,,SUMPRODUCT(MAX(ROW(E$1:E2622)*(E2=E$1:E2622))))))</f>
        <v> </v>
      </c>
      <c r="K2623" s="26" t="str">
        <f>IF(OR(E2623="",E2623="!!!",F2623="NEW"),"",INDEX(J$1:J2622,SUMPRODUCT(MAX(ROW(E$1:E2622)*(E2623=E$1:E2622)))))</f>
        <v> </v>
      </c>
      <c r="L2623" s="27"/>
    </row>
    <row r="2624" spans="1:12">
      <c r="A2624" s="20" t="s">
        <v>1604</v>
      </c>
      <c r="B2624" s="21" t="s">
        <v>1050</v>
      </c>
      <c r="C2624" s="21" t="s">
        <v>1082</v>
      </c>
      <c r="D2624" s="21" t="s">
        <v>1007</v>
      </c>
      <c r="E2624" s="22">
        <f>IF(D2624="?OLD","!!!","")</f>
        <v/>
      </c>
      <c r="F2624" s="23" t="str">
        <f>IF(OR(E2624="",E2624="!!!"),"",IF(NOT(ISNA(VLOOKUP(E2624,E$1:E2623,1,FALSE()))),"OLD",IF(AND(E2624&lt;&gt;"",E2624&lt;&gt;"!!!"),"NEW","")))</f>
        <v> </v>
      </c>
      <c r="G2624" s="24" t="str">
        <f>IF(OR(E2624="",E2624="!!!"),"",IF(OR(J2624=0,AND(J2624=1,K2624=1),AND(J2624=1,I2624="SBJ"),AND(J2624=1,I2624=0)),"?IN_FOCUS",IF(J2624&lt;=2,"?ACTIVATED",IF(J2624&lt;&gt;"","?FAMILIAR",IF(F2624="NEW",IF(ISNA(VLOOKUP(E2624,#REF!,1,FALSE())),"?TYPE_IDENTIFIABLE","?REFERENTIAL"),"_")))))</f>
        <v> </v>
      </c>
      <c r="H2624" s="25" t="str">
        <f>IF(J2624&lt;&gt;1,"",IF(I2624="SBJ","CB","?"))</f>
        <v> </v>
      </c>
      <c r="I2624" s="26" t="str">
        <f>IF(OR(E2624="",E2624="!!!",F2624="NEW"),"",INDEX(B2623:B$2,-1+SUMPRODUCT(MAX(ROW(E2623:E$2)*(E2624=E2623:E$2)))))</f>
        <v> </v>
      </c>
      <c r="J2624" s="26" t="str">
        <f>IF(OR(E2624="",E2624="!!!",F2624="NEW"),"",COUNTBLANK(OFFSET(A$1,,,SUMPRODUCT(MAX(ROW(E$2:E2624)*(E2624=E$2:E2624)))))-COUNTBLANK(OFFSET(A$1,,,SUMPRODUCT(MAX(ROW(E$1:E2623)*(E2=E$1:E2623))))))</f>
        <v> </v>
      </c>
      <c r="K2624" s="26" t="str">
        <f>IF(OR(E2624="",E2624="!!!",F2624="NEW"),"",INDEX(J$1:J2623,SUMPRODUCT(MAX(ROW(E$1:E2623)*(E2624=E$1:E2623)))))</f>
        <v> </v>
      </c>
      <c r="L2624" s="27"/>
    </row>
    <row r="2625" spans="1:12">
      <c r="A2625" s="20" t="s">
        <v>1831</v>
      </c>
      <c r="E2625" s="22">
        <f>IF(D2625="?OLD","!!!","")</f>
        <v/>
      </c>
      <c r="F2625" s="23" t="str">
        <f>IF(OR(E2625="",E2625="!!!"),"",IF(NOT(ISNA(VLOOKUP(E2625,E$1:E2624,1,FALSE()))),"OLD",IF(AND(E2625&lt;&gt;"",E2625&lt;&gt;"!!!"),"NEW","")))</f>
        <v> </v>
      </c>
      <c r="G2625" s="24" t="str">
        <f>IF(OR(E2625="",E2625="!!!"),"",IF(OR(J2625=0,AND(J2625=1,K2625=1),AND(J2625=1,I2625="SBJ"),AND(J2625=1,I2625=0)),"?IN_FOCUS",IF(J2625&lt;=2,"?ACTIVATED",IF(J2625&lt;&gt;"","?FAMILIAR",IF(F2625="NEW",IF(ISNA(VLOOKUP(E2625,#REF!,1,FALSE())),"?TYPE_IDENTIFIABLE","?REFERENTIAL"),"_")))))</f>
        <v> </v>
      </c>
      <c r="H2625" s="25" t="str">
        <f>IF(J2625&lt;&gt;1,"",IF(I2625="SBJ","CB","?"))</f>
        <v> </v>
      </c>
      <c r="I2625" s="26" t="str">
        <f>IF(OR(E2625="",E2625="!!!",F2625="NEW"),"",INDEX(B2624:B$2,-1+SUMPRODUCT(MAX(ROW(E2624:E$2)*(E2625=E2624:E$2)))))</f>
        <v> </v>
      </c>
      <c r="J2625" s="26" t="str">
        <f>IF(OR(E2625="",E2625="!!!",F2625="NEW"),"",COUNTBLANK(OFFSET(A$1,,,SUMPRODUCT(MAX(ROW(E$2:E2625)*(E2625=E$2:E2625)))))-COUNTBLANK(OFFSET(A$1,,,SUMPRODUCT(MAX(ROW(E$1:E2624)*(E2=E$1:E2624))))))</f>
        <v> </v>
      </c>
      <c r="K2625" s="26" t="str">
        <f>IF(OR(E2625="",E2625="!!!",F2625="NEW"),"",INDEX(J$1:J2624,SUMPRODUCT(MAX(ROW(E$1:E2624)*(E2625=E$1:E2624)))))</f>
        <v> </v>
      </c>
      <c r="L2625" s="27"/>
    </row>
    <row r="2626" spans="1:12">
      <c r="A2626" s="20" t="s">
        <v>1324</v>
      </c>
      <c r="E2626" s="22">
        <f>IF(D2626="?OLD","!!!","")</f>
        <v/>
      </c>
      <c r="F2626" s="23" t="str">
        <f>IF(OR(E2626="",E2626="!!!"),"",IF(NOT(ISNA(VLOOKUP(E2626,E$1:E2625,1,FALSE()))),"OLD",IF(AND(E2626&lt;&gt;"",E2626&lt;&gt;"!!!"),"NEW","")))</f>
        <v> </v>
      </c>
      <c r="G2626" s="24" t="str">
        <f>IF(OR(E2626="",E2626="!!!"),"",IF(OR(J2626=0,AND(J2626=1,K2626=1),AND(J2626=1,I2626="SBJ"),AND(J2626=1,I2626=0)),"?IN_FOCUS",IF(J2626&lt;=2,"?ACTIVATED",IF(J2626&lt;&gt;"","?FAMILIAR",IF(F2626="NEW",IF(ISNA(VLOOKUP(E2626,#REF!,1,FALSE())),"?TYPE_IDENTIFIABLE","?REFERENTIAL"),"_")))))</f>
        <v> </v>
      </c>
      <c r="H2626" s="25" t="str">
        <f>IF(J2626&lt;&gt;1,"",IF(I2626="SBJ","CB","?"))</f>
        <v> </v>
      </c>
      <c r="I2626" s="26" t="str">
        <f>IF(OR(E2626="",E2626="!!!",F2626="NEW"),"",INDEX(B2625:B$2,-1+SUMPRODUCT(MAX(ROW(E2625:E$2)*(E2626=E2625:E$2)))))</f>
        <v> </v>
      </c>
      <c r="J2626" s="26" t="str">
        <f>IF(OR(E2626="",E2626="!!!",F2626="NEW"),"",COUNTBLANK(OFFSET(A$1,,,SUMPRODUCT(MAX(ROW(E$2:E2626)*(E2626=E$2:E2626)))))-COUNTBLANK(OFFSET(A$1,,,SUMPRODUCT(MAX(ROW(E$1:E2625)*(E2=E$1:E2625))))))</f>
        <v> </v>
      </c>
      <c r="K2626" s="26" t="str">
        <f>IF(OR(E2626="",E2626="!!!",F2626="NEW"),"",INDEX(J$1:J2625,SUMPRODUCT(MAX(ROW(E$1:E2625)*(E2626=E$1:E2625)))))</f>
        <v> </v>
      </c>
      <c r="L2626" s="27"/>
    </row>
    <row r="2627" spans="1:12">
      <c r="A2627" s="20" t="s">
        <v>1651</v>
      </c>
      <c r="B2627" s="21" t="s">
        <v>1085</v>
      </c>
      <c r="C2627" s="21" t="s">
        <v>1111</v>
      </c>
      <c r="E2627" s="22">
        <f>IF(D2627="?OLD","!!!","")</f>
        <v/>
      </c>
      <c r="F2627" s="23" t="str">
        <f>IF(OR(E2627="",E2627="!!!"),"",IF(NOT(ISNA(VLOOKUP(E2627,E$1:E2626,1,FALSE()))),"OLD",IF(AND(E2627&lt;&gt;"",E2627&lt;&gt;"!!!"),"NEW","")))</f>
        <v> </v>
      </c>
      <c r="G2627" s="24" t="str">
        <f>IF(OR(E2627="",E2627="!!!"),"",IF(OR(J2627=0,AND(J2627=1,K2627=1),AND(J2627=1,I2627="SBJ"),AND(J2627=1,I2627=0)),"?IN_FOCUS",IF(J2627&lt;=2,"?ACTIVATED",IF(J2627&lt;&gt;"","?FAMILIAR",IF(F2627="NEW",IF(ISNA(VLOOKUP(E2627,#REF!,1,FALSE())),"?TYPE_IDENTIFIABLE","?REFERENTIAL"),"_")))))</f>
        <v> </v>
      </c>
      <c r="H2627" s="25" t="str">
        <f>IF(J2627&lt;&gt;1,"",IF(I2627="SBJ","CB","?"))</f>
        <v> </v>
      </c>
      <c r="I2627" s="26" t="str">
        <f>IF(OR(E2627="",E2627="!!!",F2627="NEW"),"",INDEX(B2626:B$2,-1+SUMPRODUCT(MAX(ROW(E2626:E$2)*(E2627=E2626:E$2)))))</f>
        <v> </v>
      </c>
      <c r="J2627" s="26" t="str">
        <f>IF(OR(E2627="",E2627="!!!",F2627="NEW"),"",COUNTBLANK(OFFSET(A$1,,,SUMPRODUCT(MAX(ROW(E$2:E2627)*(E2627=E$2:E2627)))))-COUNTBLANK(OFFSET(A$1,,,SUMPRODUCT(MAX(ROW(E$1:E2626)*(E2=E$1:E2626))))))</f>
        <v> </v>
      </c>
      <c r="K2627" s="26" t="str">
        <f>IF(OR(E2627="",E2627="!!!",F2627="NEW"),"",INDEX(J$1:J2626,SUMPRODUCT(MAX(ROW(E$1:E2626)*(E2627=E$1:E2626)))))</f>
        <v> </v>
      </c>
      <c r="L2627" s="27"/>
    </row>
    <row r="2628" spans="1:12">
      <c r="A2628" s="20" t="s">
        <v>1020</v>
      </c>
      <c r="E2628" s="22">
        <f>IF(D2628="?OLD","!!!","")</f>
        <v/>
      </c>
      <c r="F2628" s="23" t="str">
        <f>IF(OR(E2628="",E2628="!!!"),"",IF(NOT(ISNA(VLOOKUP(E2628,E$1:E2627,1,FALSE()))),"OLD",IF(AND(E2628&lt;&gt;"",E2628&lt;&gt;"!!!"),"NEW","")))</f>
        <v> </v>
      </c>
      <c r="G2628" s="24" t="str">
        <f>IF(OR(E2628="",E2628="!!!"),"",IF(OR(J2628=0,AND(J2628=1,K2628=1),AND(J2628=1,I2628="SBJ"),AND(J2628=1,I2628=0)),"?IN_FOCUS",IF(J2628&lt;=2,"?ACTIVATED",IF(J2628&lt;&gt;"","?FAMILIAR",IF(F2628="NEW",IF(ISNA(VLOOKUP(E2628,#REF!,1,FALSE())),"?TYPE_IDENTIFIABLE","?REFERENTIAL"),"_")))))</f>
        <v> </v>
      </c>
      <c r="H2628" s="25" t="str">
        <f>IF(J2628&lt;&gt;1,"",IF(I2628="SBJ","CB","?"))</f>
        <v> </v>
      </c>
      <c r="I2628" s="26" t="str">
        <f>IF(OR(E2628="",E2628="!!!",F2628="NEW"),"",INDEX(B2627:B$2,-1+SUMPRODUCT(MAX(ROW(E2627:E$2)*(E2628=E2627:E$2)))))</f>
        <v> </v>
      </c>
      <c r="J2628" s="26" t="str">
        <f>IF(OR(E2628="",E2628="!!!",F2628="NEW"),"",COUNTBLANK(OFFSET(A$1,,,SUMPRODUCT(MAX(ROW(E$2:E2628)*(E2628=E$2:E2628)))))-COUNTBLANK(OFFSET(A$1,,,SUMPRODUCT(MAX(ROW(E$1:E2627)*(E2=E$1:E2627))))))</f>
        <v> </v>
      </c>
      <c r="K2628" s="26" t="str">
        <f>IF(OR(E2628="",E2628="!!!",F2628="NEW"),"",INDEX(J$1:J2627,SUMPRODUCT(MAX(ROW(E$1:E2627)*(E2628=E$1:E2627)))))</f>
        <v> </v>
      </c>
      <c r="L2628" s="27"/>
    </row>
    <row r="2629" spans="1:12">
      <c r="A2629" s="20" t="s">
        <v>1020</v>
      </c>
      <c r="E2629" s="22">
        <f>IF(D2629="?OLD","!!!","")</f>
        <v/>
      </c>
      <c r="F2629" s="23" t="str">
        <f>IF(OR(E2629="",E2629="!!!"),"",IF(NOT(ISNA(VLOOKUP(E2629,E$1:E2628,1,FALSE()))),"OLD",IF(AND(E2629&lt;&gt;"",E2629&lt;&gt;"!!!"),"NEW","")))</f>
        <v> </v>
      </c>
      <c r="G2629" s="24" t="str">
        <f>IF(OR(E2629="",E2629="!!!"),"",IF(OR(J2629=0,AND(J2629=1,K2629=1),AND(J2629=1,I2629="SBJ"),AND(J2629=1,I2629=0)),"?IN_FOCUS",IF(J2629&lt;=2,"?ACTIVATED",IF(J2629&lt;&gt;"","?FAMILIAR",IF(F2629="NEW",IF(ISNA(VLOOKUP(E2629,#REF!,1,FALSE())),"?TYPE_IDENTIFIABLE","?REFERENTIAL"),"_")))))</f>
        <v> </v>
      </c>
      <c r="H2629" s="25" t="str">
        <f>IF(J2629&lt;&gt;1,"",IF(I2629="SBJ","CB","?"))</f>
        <v> </v>
      </c>
      <c r="I2629" s="26" t="str">
        <f>IF(OR(E2629="",E2629="!!!",F2629="NEW"),"",INDEX(B2628:B$2,-1+SUMPRODUCT(MAX(ROW(E2628:E$2)*(E2629=E2628:E$2)))))</f>
        <v> </v>
      </c>
      <c r="J2629" s="26" t="str">
        <f>IF(OR(E2629="",E2629="!!!",F2629="NEW"),"",COUNTBLANK(OFFSET(A$1,,,SUMPRODUCT(MAX(ROW(E$2:E2629)*(E2629=E$2:E2629)))))-COUNTBLANK(OFFSET(A$1,,,SUMPRODUCT(MAX(ROW(E$1:E2628)*(E2=E$1:E2628))))))</f>
        <v> </v>
      </c>
      <c r="K2629" s="26" t="str">
        <f>IF(OR(E2629="",E2629="!!!",F2629="NEW"),"",INDEX(J$1:J2628,SUMPRODUCT(MAX(ROW(E$1:E2628)*(E2629=E$1:E2628)))))</f>
        <v> </v>
      </c>
      <c r="L2629" s="27"/>
    </row>
    <row r="2630" spans="1:12">
      <c r="A2630" s="20" t="s">
        <v>1211</v>
      </c>
      <c r="B2630" s="21" t="s">
        <v>1085</v>
      </c>
      <c r="C2630" s="21" t="s">
        <v>1006</v>
      </c>
      <c r="D2630" s="21" t="s">
        <v>1007</v>
      </c>
      <c r="E2630" s="22">
        <f>IF(D2630="?OLD","!!!","")</f>
        <v/>
      </c>
      <c r="F2630" s="23" t="str">
        <f>IF(OR(E2630="",E2630="!!!"),"",IF(NOT(ISNA(VLOOKUP(E2630,E$1:E2629,1,FALSE()))),"OLD",IF(AND(E2630&lt;&gt;"",E2630&lt;&gt;"!!!"),"NEW","")))</f>
        <v> </v>
      </c>
      <c r="G2630" s="24" t="str">
        <f>IF(OR(E2630="",E2630="!!!"),"",IF(OR(J2630=0,AND(J2630=1,K2630=1),AND(J2630=1,I2630="SBJ"),AND(J2630=1,I2630=0)),"?IN_FOCUS",IF(J2630&lt;=2,"?ACTIVATED",IF(J2630&lt;&gt;"","?FAMILIAR",IF(F2630="NEW",IF(ISNA(VLOOKUP(E2630,#REF!,1,FALSE())),"?TYPE_IDENTIFIABLE","?REFERENTIAL"),"_")))))</f>
        <v> </v>
      </c>
      <c r="H2630" s="25" t="str">
        <f>IF(J2630&lt;&gt;1,"",IF(I2630="SBJ","CB","?"))</f>
        <v> </v>
      </c>
      <c r="I2630" s="26" t="str">
        <f>IF(OR(E2630="",E2630="!!!",F2630="NEW"),"",INDEX(B2629:B$2,-1+SUMPRODUCT(MAX(ROW(E2629:E$2)*(E2630=E2629:E$2)))))</f>
        <v> </v>
      </c>
      <c r="J2630" s="26" t="str">
        <f>IF(OR(E2630="",E2630="!!!",F2630="NEW"),"",COUNTBLANK(OFFSET(A$1,,,SUMPRODUCT(MAX(ROW(E$2:E2630)*(E2630=E$2:E2630)))))-COUNTBLANK(OFFSET(A$1,,,SUMPRODUCT(MAX(ROW(E$1:E2629)*(E2=E$1:E2629))))))</f>
        <v> </v>
      </c>
      <c r="K2630" s="26" t="str">
        <f>IF(OR(E2630="",E2630="!!!",F2630="NEW"),"",INDEX(J$1:J2629,SUMPRODUCT(MAX(ROW(E$1:E2629)*(E2630=E$1:E2629)))))</f>
        <v> </v>
      </c>
      <c r="L2630" s="27"/>
    </row>
    <row r="2631" spans="1:12">
      <c r="A2631" s="20" t="s">
        <v>56</v>
      </c>
      <c r="E2631" s="22">
        <f>IF(D2631="?OLD","!!!","")</f>
        <v/>
      </c>
      <c r="F2631" s="23" t="str">
        <f>IF(OR(E2631="",E2631="!!!"),"",IF(NOT(ISNA(VLOOKUP(E2631,E$1:E2630,1,FALSE()))),"OLD",IF(AND(E2631&lt;&gt;"",E2631&lt;&gt;"!!!"),"NEW","")))</f>
        <v> </v>
      </c>
      <c r="G2631" s="24" t="str">
        <f>IF(OR(E2631="",E2631="!!!"),"",IF(OR(J2631=0,AND(J2631=1,K2631=1),AND(J2631=1,I2631="SBJ"),AND(J2631=1,I2631=0)),"?IN_FOCUS",IF(J2631&lt;=2,"?ACTIVATED",IF(J2631&lt;&gt;"","?FAMILIAR",IF(F2631="NEW",IF(ISNA(VLOOKUP(E2631,#REF!,1,FALSE())),"?TYPE_IDENTIFIABLE","?REFERENTIAL"),"_")))))</f>
        <v> </v>
      </c>
      <c r="H2631" s="25" t="str">
        <f>IF(J2631&lt;&gt;1,"",IF(I2631="SBJ","CB","?"))</f>
        <v> </v>
      </c>
      <c r="I2631" s="26" t="str">
        <f>IF(OR(E2631="",E2631="!!!",F2631="NEW"),"",INDEX(B2630:B$2,-1+SUMPRODUCT(MAX(ROW(E2630:E$2)*(E2631=E2630:E$2)))))</f>
        <v> </v>
      </c>
      <c r="J2631" s="26" t="str">
        <f>IF(OR(E2631="",E2631="!!!",F2631="NEW"),"",COUNTBLANK(OFFSET(A$1,,,SUMPRODUCT(MAX(ROW(E$2:E2631)*(E2631=E$2:E2631)))))-COUNTBLANK(OFFSET(A$1,,,SUMPRODUCT(MAX(ROW(E$1:E2630)*(E2=E$1:E2630))))))</f>
        <v> </v>
      </c>
      <c r="K2631" s="26" t="str">
        <f>IF(OR(E2631="",E2631="!!!",F2631="NEW"),"",INDEX(J$1:J2630,SUMPRODUCT(MAX(ROW(E$1:E2630)*(E2631=E$1:E2630)))))</f>
        <v> </v>
      </c>
      <c r="L2631" s="27"/>
    </row>
    <row r="2632" spans="1:12">
      <c r="A2632" s="20" t="s">
        <v>1832</v>
      </c>
      <c r="E2632" s="22">
        <f>IF(D2632="?OLD","!!!","")</f>
        <v/>
      </c>
      <c r="F2632" s="23" t="str">
        <f>IF(OR(E2632="",E2632="!!!"),"",IF(NOT(ISNA(VLOOKUP(E2632,E$1:E2631,1,FALSE()))),"OLD",IF(AND(E2632&lt;&gt;"",E2632&lt;&gt;"!!!"),"NEW","")))</f>
        <v> </v>
      </c>
      <c r="G2632" s="24" t="str">
        <f>IF(OR(E2632="",E2632="!!!"),"",IF(OR(J2632=0,AND(J2632=1,K2632=1),AND(J2632=1,I2632="SBJ"),AND(J2632=1,I2632=0)),"?IN_FOCUS",IF(J2632&lt;=2,"?ACTIVATED",IF(J2632&lt;&gt;"","?FAMILIAR",IF(F2632="NEW",IF(ISNA(VLOOKUP(E2632,#REF!,1,FALSE())),"?TYPE_IDENTIFIABLE","?REFERENTIAL"),"_")))))</f>
        <v> </v>
      </c>
      <c r="H2632" s="25" t="str">
        <f>IF(J2632&lt;&gt;1,"",IF(I2632="SBJ","CB","?"))</f>
        <v> </v>
      </c>
      <c r="I2632" s="26" t="str">
        <f>IF(OR(E2632="",E2632="!!!",F2632="NEW"),"",INDEX(B2631:B$2,-1+SUMPRODUCT(MAX(ROW(E2631:E$2)*(E2632=E2631:E$2)))))</f>
        <v> </v>
      </c>
      <c r="J2632" s="26" t="str">
        <f>IF(OR(E2632="",E2632="!!!",F2632="NEW"),"",COUNTBLANK(OFFSET(A$1,,,SUMPRODUCT(MAX(ROW(E$2:E2632)*(E2632=E$2:E2632)))))-COUNTBLANK(OFFSET(A$1,,,SUMPRODUCT(MAX(ROW(E$1:E2631)*(E2=E$1:E2631))))))</f>
        <v> </v>
      </c>
      <c r="K2632" s="26" t="str">
        <f>IF(OR(E2632="",E2632="!!!",F2632="NEW"),"",INDEX(J$1:J2631,SUMPRODUCT(MAX(ROW(E$1:E2631)*(E2632=E$1:E2631)))))</f>
        <v> </v>
      </c>
      <c r="L2632" s="27"/>
    </row>
    <row r="2633" spans="1:12">
      <c r="A2633" s="20" t="s">
        <v>1020</v>
      </c>
      <c r="B2633" s="21" t="s">
        <v>1029</v>
      </c>
      <c r="C2633" s="21" t="s">
        <v>1082</v>
      </c>
      <c r="D2633" s="21" t="s">
        <v>1007</v>
      </c>
      <c r="E2633" s="22">
        <f>IF(D2633="?OLD","!!!","")</f>
        <v/>
      </c>
      <c r="F2633" s="23" t="str">
        <f>IF(OR(E2633="",E2633="!!!"),"",IF(NOT(ISNA(VLOOKUP(E2633,E$1:E2632,1,FALSE()))),"OLD",IF(AND(E2633&lt;&gt;"",E2633&lt;&gt;"!!!"),"NEW","")))</f>
        <v> </v>
      </c>
      <c r="G2633" s="24" t="str">
        <f>IF(OR(E2633="",E2633="!!!"),"",IF(OR(J2633=0,AND(J2633=1,K2633=1),AND(J2633=1,I2633="SBJ"),AND(J2633=1,I2633=0)),"?IN_FOCUS",IF(J2633&lt;=2,"?ACTIVATED",IF(J2633&lt;&gt;"","?FAMILIAR",IF(F2633="NEW",IF(ISNA(VLOOKUP(E2633,#REF!,1,FALSE())),"?TYPE_IDENTIFIABLE","?REFERENTIAL"),"_")))))</f>
        <v> </v>
      </c>
      <c r="H2633" s="25" t="str">
        <f>IF(J2633&lt;&gt;1,"",IF(I2633="SBJ","CB","?"))</f>
        <v> </v>
      </c>
      <c r="I2633" s="26" t="str">
        <f>IF(OR(E2633="",E2633="!!!",F2633="NEW"),"",INDEX(B2632:B$2,-1+SUMPRODUCT(MAX(ROW(E2632:E$2)*(E2633=E2632:E$2)))))</f>
        <v> </v>
      </c>
      <c r="J2633" s="26" t="str">
        <f>IF(OR(E2633="",E2633="!!!",F2633="NEW"),"",COUNTBLANK(OFFSET(A$1,,,SUMPRODUCT(MAX(ROW(E$2:E2633)*(E2633=E$2:E2633)))))-COUNTBLANK(OFFSET(A$1,,,SUMPRODUCT(MAX(ROW(E$1:E2632)*(E2=E$1:E2632))))))</f>
        <v> </v>
      </c>
      <c r="K2633" s="26" t="str">
        <f>IF(OR(E2633="",E2633="!!!",F2633="NEW"),"",INDEX(J$1:J2632,SUMPRODUCT(MAX(ROW(E$1:E2632)*(E2633=E$1:E2632)))))</f>
        <v> </v>
      </c>
      <c r="L2633" s="27"/>
    </row>
    <row r="2634" spans="1:12">
      <c r="A2634" s="20" t="s">
        <v>1018</v>
      </c>
      <c r="E2634" s="22">
        <f>IF(D2634="?OLD","!!!","")</f>
        <v/>
      </c>
      <c r="F2634" s="23" t="str">
        <f>IF(OR(E2634="",E2634="!!!"),"",IF(NOT(ISNA(VLOOKUP(E2634,E$1:E2633,1,FALSE()))),"OLD",IF(AND(E2634&lt;&gt;"",E2634&lt;&gt;"!!!"),"NEW","")))</f>
        <v> </v>
      </c>
      <c r="G2634" s="24" t="str">
        <f>IF(OR(E2634="",E2634="!!!"),"",IF(OR(J2634=0,AND(J2634=1,K2634=1),AND(J2634=1,I2634="SBJ"),AND(J2634=1,I2634=0)),"?IN_FOCUS",IF(J2634&lt;=2,"?ACTIVATED",IF(J2634&lt;&gt;"","?FAMILIAR",IF(F2634="NEW",IF(ISNA(VLOOKUP(E2634,#REF!,1,FALSE())),"?TYPE_IDENTIFIABLE","?REFERENTIAL"),"_")))))</f>
        <v> </v>
      </c>
      <c r="H2634" s="25" t="str">
        <f>IF(J2634&lt;&gt;1,"",IF(I2634="SBJ","CB","?"))</f>
        <v> </v>
      </c>
      <c r="I2634" s="26" t="str">
        <f>IF(OR(E2634="",E2634="!!!",F2634="NEW"),"",INDEX(B2633:B$2,-1+SUMPRODUCT(MAX(ROW(E2633:E$2)*(E2634=E2633:E$2)))))</f>
        <v> </v>
      </c>
      <c r="J2634" s="26" t="str">
        <f>IF(OR(E2634="",E2634="!!!",F2634="NEW"),"",COUNTBLANK(OFFSET(A$1,,,SUMPRODUCT(MAX(ROW(E$2:E2634)*(E2634=E$2:E2634)))))-COUNTBLANK(OFFSET(A$1,,,SUMPRODUCT(MAX(ROW(E$1:E2633)*(E2=E$1:E2633))))))</f>
        <v> </v>
      </c>
      <c r="K2634" s="26" t="str">
        <f>IF(OR(E2634="",E2634="!!!",F2634="NEW"),"",INDEX(J$1:J2633,SUMPRODUCT(MAX(ROW(E$1:E2633)*(E2634=E$1:E2633)))))</f>
        <v> </v>
      </c>
      <c r="L2634" s="27"/>
    </row>
    <row r="2635" spans="1:12">
      <c r="A2635" s="20" t="s">
        <v>1330</v>
      </c>
      <c r="E2635" s="22">
        <f>IF(D2635="?OLD","!!!","")</f>
        <v/>
      </c>
      <c r="F2635" s="23" t="str">
        <f>IF(OR(E2635="",E2635="!!!"),"",IF(NOT(ISNA(VLOOKUP(E2635,E$1:E2634,1,FALSE()))),"OLD",IF(AND(E2635&lt;&gt;"",E2635&lt;&gt;"!!!"),"NEW","")))</f>
        <v> </v>
      </c>
      <c r="G2635" s="24" t="str">
        <f>IF(OR(E2635="",E2635="!!!"),"",IF(OR(J2635=0,AND(J2635=1,K2635=1),AND(J2635=1,I2635="SBJ"),AND(J2635=1,I2635=0)),"?IN_FOCUS",IF(J2635&lt;=2,"?ACTIVATED",IF(J2635&lt;&gt;"","?FAMILIAR",IF(F2635="NEW",IF(ISNA(VLOOKUP(E2635,#REF!,1,FALSE())),"?TYPE_IDENTIFIABLE","?REFERENTIAL"),"_")))))</f>
        <v> </v>
      </c>
      <c r="H2635" s="25" t="str">
        <f>IF(J2635&lt;&gt;1,"",IF(I2635="SBJ","CB","?"))</f>
        <v> </v>
      </c>
      <c r="I2635" s="26" t="str">
        <f>IF(OR(E2635="",E2635="!!!",F2635="NEW"),"",INDEX(B2634:B$2,-1+SUMPRODUCT(MAX(ROW(E2634:E$2)*(E2635=E2634:E$2)))))</f>
        <v> </v>
      </c>
      <c r="J2635" s="26" t="str">
        <f>IF(OR(E2635="",E2635="!!!",F2635="NEW"),"",COUNTBLANK(OFFSET(A$1,,,SUMPRODUCT(MAX(ROW(E$2:E2635)*(E2635=E$2:E2635)))))-COUNTBLANK(OFFSET(A$1,,,SUMPRODUCT(MAX(ROW(E$1:E2634)*(E2=E$1:E2634))))))</f>
        <v> </v>
      </c>
      <c r="K2635" s="26" t="str">
        <f>IF(OR(E2635="",E2635="!!!",F2635="NEW"),"",INDEX(J$1:J2634,SUMPRODUCT(MAX(ROW(E$1:E2634)*(E2635=E$1:E2634)))))</f>
        <v> </v>
      </c>
      <c r="L2635" s="27"/>
    </row>
    <row r="2636" spans="1:12">
      <c r="A2636" s="20" t="s">
        <v>1312</v>
      </c>
      <c r="E2636" s="22">
        <f>IF(D2636="?OLD","!!!","")</f>
        <v/>
      </c>
      <c r="F2636" s="23" t="str">
        <f>IF(OR(E2636="",E2636="!!!"),"",IF(NOT(ISNA(VLOOKUP(E2636,E$1:E2635,1,FALSE()))),"OLD",IF(AND(E2636&lt;&gt;"",E2636&lt;&gt;"!!!"),"NEW","")))</f>
        <v> </v>
      </c>
      <c r="G2636" s="24" t="str">
        <f>IF(OR(E2636="",E2636="!!!"),"",IF(OR(J2636=0,AND(J2636=1,K2636=1),AND(J2636=1,I2636="SBJ"),AND(J2636=1,I2636=0)),"?IN_FOCUS",IF(J2636&lt;=2,"?ACTIVATED",IF(J2636&lt;&gt;"","?FAMILIAR",IF(F2636="NEW",IF(ISNA(VLOOKUP(E2636,#REF!,1,FALSE())),"?TYPE_IDENTIFIABLE","?REFERENTIAL"),"_")))))</f>
        <v> </v>
      </c>
      <c r="H2636" s="25" t="str">
        <f>IF(J2636&lt;&gt;1,"",IF(I2636="SBJ","CB","?"))</f>
        <v> </v>
      </c>
      <c r="I2636" s="26" t="str">
        <f>IF(OR(E2636="",E2636="!!!",F2636="NEW"),"",INDEX(B2635:B$2,-1+SUMPRODUCT(MAX(ROW(E2635:E$2)*(E2636=E2635:E$2)))))</f>
        <v> </v>
      </c>
      <c r="J2636" s="26" t="str">
        <f>IF(OR(E2636="",E2636="!!!",F2636="NEW"),"",COUNTBLANK(OFFSET(A$1,,,SUMPRODUCT(MAX(ROW(E$2:E2636)*(E2636=E$2:E2636)))))-COUNTBLANK(OFFSET(A$1,,,SUMPRODUCT(MAX(ROW(E$1:E2635)*(E2=E$1:E2635))))))</f>
        <v> </v>
      </c>
      <c r="K2636" s="26" t="str">
        <f>IF(OR(E2636="",E2636="!!!",F2636="NEW"),"",INDEX(J$1:J2635,SUMPRODUCT(MAX(ROW(E$1:E2635)*(E2636=E$1:E2635)))))</f>
        <v> </v>
      </c>
      <c r="L2636" s="27"/>
    </row>
    <row r="2637" spans="1:12">
      <c r="A2637" s="20" t="s">
        <v>1020</v>
      </c>
      <c r="E2637" s="22">
        <f>IF(D2637="?OLD","!!!","")</f>
        <v/>
      </c>
      <c r="F2637" s="23" t="str">
        <f>IF(OR(E2637="",E2637="!!!"),"",IF(NOT(ISNA(VLOOKUP(E2637,E$1:E2636,1,FALSE()))),"OLD",IF(AND(E2637&lt;&gt;"",E2637&lt;&gt;"!!!"),"NEW","")))</f>
        <v> </v>
      </c>
      <c r="G2637" s="24" t="str">
        <f>IF(OR(E2637="",E2637="!!!"),"",IF(OR(J2637=0,AND(J2637=1,K2637=1),AND(J2637=1,I2637="SBJ"),AND(J2637=1,I2637=0)),"?IN_FOCUS",IF(J2637&lt;=2,"?ACTIVATED",IF(J2637&lt;&gt;"","?FAMILIAR",IF(F2637="NEW",IF(ISNA(VLOOKUP(E2637,#REF!,1,FALSE())),"?TYPE_IDENTIFIABLE","?REFERENTIAL"),"_")))))</f>
        <v> </v>
      </c>
      <c r="H2637" s="25" t="str">
        <f>IF(J2637&lt;&gt;1,"",IF(I2637="SBJ","CB","?"))</f>
        <v> </v>
      </c>
      <c r="I2637" s="26" t="str">
        <f>IF(OR(E2637="",E2637="!!!",F2637="NEW"),"",INDEX(B2636:B$2,-1+SUMPRODUCT(MAX(ROW(E2636:E$2)*(E2637=E2636:E$2)))))</f>
        <v> </v>
      </c>
      <c r="J2637" s="26" t="str">
        <f>IF(OR(E2637="",E2637="!!!",F2637="NEW"),"",COUNTBLANK(OFFSET(A$1,,,SUMPRODUCT(MAX(ROW(E$2:E2637)*(E2637=E$2:E2637)))))-COUNTBLANK(OFFSET(A$1,,,SUMPRODUCT(MAX(ROW(E$1:E2636)*(E2=E$1:E2636))))))</f>
        <v> </v>
      </c>
      <c r="K2637" s="26" t="str">
        <f>IF(OR(E2637="",E2637="!!!",F2637="NEW"),"",INDEX(J$1:J2636,SUMPRODUCT(MAX(ROW(E$1:E2636)*(E2637=E$1:E2636)))))</f>
        <v> </v>
      </c>
      <c r="L2637" s="27"/>
    </row>
    <row r="2638" spans="1:12">
      <c r="A2638" s="20" t="s">
        <v>1222</v>
      </c>
      <c r="E2638" s="22">
        <f>IF(D2638="?OLD","!!!","")</f>
        <v/>
      </c>
      <c r="F2638" s="23" t="str">
        <f>IF(OR(E2638="",E2638="!!!"),"",IF(NOT(ISNA(VLOOKUP(E2638,E$1:E2637,1,FALSE()))),"OLD",IF(AND(E2638&lt;&gt;"",E2638&lt;&gt;"!!!"),"NEW","")))</f>
        <v> </v>
      </c>
      <c r="G2638" s="24" t="str">
        <f>IF(OR(E2638="",E2638="!!!"),"",IF(OR(J2638=0,AND(J2638=1,K2638=1),AND(J2638=1,I2638="SBJ"),AND(J2638=1,I2638=0)),"?IN_FOCUS",IF(J2638&lt;=2,"?ACTIVATED",IF(J2638&lt;&gt;"","?FAMILIAR",IF(F2638="NEW",IF(ISNA(VLOOKUP(E2638,#REF!,1,FALSE())),"?TYPE_IDENTIFIABLE","?REFERENTIAL"),"_")))))</f>
        <v> </v>
      </c>
      <c r="H2638" s="25" t="str">
        <f>IF(J2638&lt;&gt;1,"",IF(I2638="SBJ","CB","?"))</f>
        <v> </v>
      </c>
      <c r="I2638" s="26" t="str">
        <f>IF(OR(E2638="",E2638="!!!",F2638="NEW"),"",INDEX(B2637:B$2,-1+SUMPRODUCT(MAX(ROW(E2637:E$2)*(E2638=E2637:E$2)))))</f>
        <v> </v>
      </c>
      <c r="J2638" s="26" t="str">
        <f>IF(OR(E2638="",E2638="!!!",F2638="NEW"),"",COUNTBLANK(OFFSET(A$1,,,SUMPRODUCT(MAX(ROW(E$2:E2638)*(E2638=E$2:E2638)))))-COUNTBLANK(OFFSET(A$1,,,SUMPRODUCT(MAX(ROW(E$1:E2637)*(E2=E$1:E2637))))))</f>
        <v> </v>
      </c>
      <c r="K2638" s="26" t="str">
        <f>IF(OR(E2638="",E2638="!!!",F2638="NEW"),"",INDEX(J$1:J2637,SUMPRODUCT(MAX(ROW(E$1:E2637)*(E2638=E$1:E2637)))))</f>
        <v> </v>
      </c>
      <c r="L2638" s="27"/>
    </row>
    <row r="2639" spans="1:12">
      <c r="A2639" s="20" t="s">
        <v>1179</v>
      </c>
      <c r="E2639" s="22">
        <f>IF(D2639="?OLD","!!!","")</f>
        <v/>
      </c>
      <c r="F2639" s="23" t="str">
        <f>IF(OR(E2639="",E2639="!!!"),"",IF(NOT(ISNA(VLOOKUP(E2639,E$1:E2638,1,FALSE()))),"OLD",IF(AND(E2639&lt;&gt;"",E2639&lt;&gt;"!!!"),"NEW","")))</f>
        <v> </v>
      </c>
      <c r="G2639" s="24" t="str">
        <f>IF(OR(E2639="",E2639="!!!"),"",IF(OR(J2639=0,AND(J2639=1,K2639=1),AND(J2639=1,I2639="SBJ"),AND(J2639=1,I2639=0)),"?IN_FOCUS",IF(J2639&lt;=2,"?ACTIVATED",IF(J2639&lt;&gt;"","?FAMILIAR",IF(F2639="NEW",IF(ISNA(VLOOKUP(E2639,#REF!,1,FALSE())),"?TYPE_IDENTIFIABLE","?REFERENTIAL"),"_")))))</f>
        <v> </v>
      </c>
      <c r="H2639" s="25" t="str">
        <f>IF(J2639&lt;&gt;1,"",IF(I2639="SBJ","CB","?"))</f>
        <v> </v>
      </c>
      <c r="I2639" s="26" t="str">
        <f>IF(OR(E2639="",E2639="!!!",F2639="NEW"),"",INDEX(B2638:B$2,-1+SUMPRODUCT(MAX(ROW(E2638:E$2)*(E2639=E2638:E$2)))))</f>
        <v> </v>
      </c>
      <c r="J2639" s="26" t="str">
        <f>IF(OR(E2639="",E2639="!!!",F2639="NEW"),"",COUNTBLANK(OFFSET(A$1,,,SUMPRODUCT(MAX(ROW(E$2:E2639)*(E2639=E$2:E2639)))))-COUNTBLANK(OFFSET(A$1,,,SUMPRODUCT(MAX(ROW(E$1:E2638)*(E2=E$1:E2638))))))</f>
        <v> </v>
      </c>
      <c r="K2639" s="26" t="str">
        <f>IF(OR(E2639="",E2639="!!!",F2639="NEW"),"",INDEX(J$1:J2638,SUMPRODUCT(MAX(ROW(E$1:E2638)*(E2639=E$1:E2638)))))</f>
        <v> </v>
      </c>
      <c r="L2639" s="27"/>
    </row>
    <row r="2640" spans="1:12">
      <c r="A2640" s="20" t="s">
        <v>1833</v>
      </c>
      <c r="E2640" s="22">
        <f>IF(D2640="?OLD","!!!","")</f>
        <v/>
      </c>
      <c r="F2640" s="23" t="str">
        <f>IF(OR(E2640="",E2640="!!!"),"",IF(NOT(ISNA(VLOOKUP(E2640,E$1:E2639,1,FALSE()))),"OLD",IF(AND(E2640&lt;&gt;"",E2640&lt;&gt;"!!!"),"NEW","")))</f>
        <v> </v>
      </c>
      <c r="G2640" s="24" t="str">
        <f>IF(OR(E2640="",E2640="!!!"),"",IF(OR(J2640=0,AND(J2640=1,K2640=1),AND(J2640=1,I2640="SBJ"),AND(J2640=1,I2640=0)),"?IN_FOCUS",IF(J2640&lt;=2,"?ACTIVATED",IF(J2640&lt;&gt;"","?FAMILIAR",IF(F2640="NEW",IF(ISNA(VLOOKUP(E2640,#REF!,1,FALSE())),"?TYPE_IDENTIFIABLE","?REFERENTIAL"),"_")))))</f>
        <v> </v>
      </c>
      <c r="H2640" s="25" t="str">
        <f>IF(J2640&lt;&gt;1,"",IF(I2640="SBJ","CB","?"))</f>
        <v> </v>
      </c>
      <c r="I2640" s="26" t="str">
        <f>IF(OR(E2640="",E2640="!!!",F2640="NEW"),"",INDEX(B2639:B$2,-1+SUMPRODUCT(MAX(ROW(E2639:E$2)*(E2640=E2639:E$2)))))</f>
        <v> </v>
      </c>
      <c r="J2640" s="26" t="str">
        <f>IF(OR(E2640="",E2640="!!!",F2640="NEW"),"",COUNTBLANK(OFFSET(A$1,,,SUMPRODUCT(MAX(ROW(E$2:E2640)*(E2640=E$2:E2640)))))-COUNTBLANK(OFFSET(A$1,,,SUMPRODUCT(MAX(ROW(E$1:E2639)*(E2=E$1:E2639))))))</f>
        <v> </v>
      </c>
      <c r="K2640" s="26" t="str">
        <f>IF(OR(E2640="",E2640="!!!",F2640="NEW"),"",INDEX(J$1:J2639,SUMPRODUCT(MAX(ROW(E$1:E2639)*(E2640=E$1:E2639)))))</f>
        <v> </v>
      </c>
      <c r="L2640" s="27"/>
    </row>
    <row r="2641" spans="1:12">
      <c r="A2641" s="20" t="s">
        <v>1014</v>
      </c>
      <c r="E2641" s="22">
        <f>IF(D2641="?OLD","!!!","")</f>
        <v/>
      </c>
      <c r="F2641" s="23" t="str">
        <f>IF(OR(E2641="",E2641="!!!"),"",IF(NOT(ISNA(VLOOKUP(E2641,E$1:E2640,1,FALSE()))),"OLD",IF(AND(E2641&lt;&gt;"",E2641&lt;&gt;"!!!"),"NEW","")))</f>
        <v> </v>
      </c>
      <c r="G2641" s="24" t="str">
        <f>IF(OR(E2641="",E2641="!!!"),"",IF(OR(J2641=0,AND(J2641=1,K2641=1),AND(J2641=1,I2641="SBJ"),AND(J2641=1,I2641=0)),"?IN_FOCUS",IF(J2641&lt;=2,"?ACTIVATED",IF(J2641&lt;&gt;"","?FAMILIAR",IF(F2641="NEW",IF(ISNA(VLOOKUP(E2641,#REF!,1,FALSE())),"?TYPE_IDENTIFIABLE","?REFERENTIAL"),"_")))))</f>
        <v> </v>
      </c>
      <c r="H2641" s="25" t="str">
        <f>IF(J2641&lt;&gt;1,"",IF(I2641="SBJ","CB","?"))</f>
        <v> </v>
      </c>
      <c r="I2641" s="26" t="str">
        <f>IF(OR(E2641="",E2641="!!!",F2641="NEW"),"",INDEX(B2640:B$2,-1+SUMPRODUCT(MAX(ROW(E2640:E$2)*(E2641=E2640:E$2)))))</f>
        <v> </v>
      </c>
      <c r="J2641" s="26" t="str">
        <f>IF(OR(E2641="",E2641="!!!",F2641="NEW"),"",COUNTBLANK(OFFSET(A$1,,,SUMPRODUCT(MAX(ROW(E$2:E2641)*(E2641=E$2:E2641)))))-COUNTBLANK(OFFSET(A$1,,,SUMPRODUCT(MAX(ROW(E$1:E2640)*(E2=E$1:E2640))))))</f>
        <v> </v>
      </c>
      <c r="K2641" s="26" t="str">
        <f>IF(OR(E2641="",E2641="!!!",F2641="NEW"),"",INDEX(J$1:J2640,SUMPRODUCT(MAX(ROW(E$1:E2640)*(E2641=E$1:E2640)))))</f>
        <v> </v>
      </c>
      <c r="L2641" s="27"/>
    </row>
    <row r="2642" spans="1:12">
      <c r="A2642" s="20" t="s">
        <v>1140</v>
      </c>
      <c r="B2642" s="21" t="s">
        <v>1022</v>
      </c>
      <c r="C2642" s="21" t="s">
        <v>1073</v>
      </c>
      <c r="D2642" s="21" t="s">
        <v>1007</v>
      </c>
      <c r="E2642" s="22">
        <f>IF(D2642="?OLD","!!!","")</f>
        <v/>
      </c>
      <c r="F2642" s="23" t="str">
        <f>IF(OR(E2642="",E2642="!!!"),"",IF(NOT(ISNA(VLOOKUP(E2642,E$1:E2641,1,FALSE()))),"OLD",IF(AND(E2642&lt;&gt;"",E2642&lt;&gt;"!!!"),"NEW","")))</f>
        <v> </v>
      </c>
      <c r="G2642" s="24" t="str">
        <f>IF(OR(E2642="",E2642="!!!"),"",IF(OR(J2642=0,AND(J2642=1,K2642=1),AND(J2642=1,I2642="SBJ"),AND(J2642=1,I2642=0)),"?IN_FOCUS",IF(J2642&lt;=2,"?ACTIVATED",IF(J2642&lt;&gt;"","?FAMILIAR",IF(F2642="NEW",IF(ISNA(VLOOKUP(E2642,#REF!,1,FALSE())),"?TYPE_IDENTIFIABLE","?REFERENTIAL"),"_")))))</f>
        <v> </v>
      </c>
      <c r="H2642" s="25" t="str">
        <f>IF(J2642&lt;&gt;1,"",IF(I2642="SBJ","CB","?"))</f>
        <v> </v>
      </c>
      <c r="I2642" s="26" t="str">
        <f>IF(OR(E2642="",E2642="!!!",F2642="NEW"),"",INDEX(B2641:B$2,-1+SUMPRODUCT(MAX(ROW(E2641:E$2)*(E2642=E2641:E$2)))))</f>
        <v> </v>
      </c>
      <c r="J2642" s="26" t="str">
        <f>IF(OR(E2642="",E2642="!!!",F2642="NEW"),"",COUNTBLANK(OFFSET(A$1,,,SUMPRODUCT(MAX(ROW(E$2:E2642)*(E2642=E$2:E2642)))))-COUNTBLANK(OFFSET(A$1,,,SUMPRODUCT(MAX(ROW(E$1:E2641)*(E2=E$1:E2641))))))</f>
        <v> </v>
      </c>
      <c r="K2642" s="26" t="str">
        <f>IF(OR(E2642="",E2642="!!!",F2642="NEW"),"",INDEX(J$1:J2641,SUMPRODUCT(MAX(ROW(E$1:E2641)*(E2642=E$1:E2641)))))</f>
        <v> </v>
      </c>
      <c r="L2642" s="27"/>
    </row>
    <row r="2643" spans="1:12">
      <c r="A2643" s="20" t="s">
        <v>1023</v>
      </c>
      <c r="E2643" s="22">
        <f>IF(D2643="?OLD","!!!","")</f>
        <v/>
      </c>
      <c r="F2643" s="23" t="str">
        <f>IF(OR(E2643="",E2643="!!!"),"",IF(NOT(ISNA(VLOOKUP(E2643,E$1:E2642,1,FALSE()))),"OLD",IF(AND(E2643&lt;&gt;"",E2643&lt;&gt;"!!!"),"NEW","")))</f>
        <v> </v>
      </c>
      <c r="G2643" s="24" t="str">
        <f>IF(OR(E2643="",E2643="!!!"),"",IF(OR(J2643=0,AND(J2643=1,K2643=1),AND(J2643=1,I2643="SBJ"),AND(J2643=1,I2643=0)),"?IN_FOCUS",IF(J2643&lt;=2,"?ACTIVATED",IF(J2643&lt;&gt;"","?FAMILIAR",IF(F2643="NEW",IF(ISNA(VLOOKUP(E2643,#REF!,1,FALSE())),"?TYPE_IDENTIFIABLE","?REFERENTIAL"),"_")))))</f>
        <v> </v>
      </c>
      <c r="H2643" s="25" t="str">
        <f>IF(J2643&lt;&gt;1,"",IF(I2643="SBJ","CB","?"))</f>
        <v> </v>
      </c>
      <c r="I2643" s="26" t="str">
        <f>IF(OR(E2643="",E2643="!!!",F2643="NEW"),"",INDEX(B2642:B$2,-1+SUMPRODUCT(MAX(ROW(E2642:E$2)*(E2643=E2642:E$2)))))</f>
        <v> </v>
      </c>
      <c r="J2643" s="26" t="str">
        <f>IF(OR(E2643="",E2643="!!!",F2643="NEW"),"",COUNTBLANK(OFFSET(A$1,,,SUMPRODUCT(MAX(ROW(E$2:E2643)*(E2643=E$2:E2643)))))-COUNTBLANK(OFFSET(A$1,,,SUMPRODUCT(MAX(ROW(E$1:E2642)*(E2=E$1:E2642))))))</f>
        <v> </v>
      </c>
      <c r="K2643" s="26" t="str">
        <f>IF(OR(E2643="",E2643="!!!",F2643="NEW"),"",INDEX(J$1:J2642,SUMPRODUCT(MAX(ROW(E$1:E2642)*(E2643=E$1:E2642)))))</f>
        <v> </v>
      </c>
      <c r="L2643" s="27"/>
    </row>
    <row r="2644" spans="1:12">
      <c r="A2644" s="20"/>
    </row>
    <row r="2645" spans="1:12">
      <c r="A2645" s="20" t="s">
        <v>1834</v>
      </c>
    </row>
    <row r="2646" spans="1:12">
      <c r="A2646" s="20" t="s">
        <v>11</v>
      </c>
      <c r="B2646" s="21" t="s">
        <v>1005</v>
      </c>
      <c r="C2646" s="21" t="s">
        <v>1073</v>
      </c>
      <c r="D2646" s="21" t="s">
        <v>1007</v>
      </c>
      <c r="E2646" s="22">
        <f>IF(D2646="?OLD","!!!","")</f>
        <v/>
      </c>
      <c r="F2646" s="23" t="str">
        <f>IF(OR(E2646="",E2646="!!!"),"",IF(NOT(ISNA(VLOOKUP(E2646,E$1:E2645,1,FALSE()))),"OLD",IF(AND(E2646&lt;&gt;"",E2646&lt;&gt;"!!!"),"NEW","")))</f>
        <v> </v>
      </c>
      <c r="G2646" s="24" t="str">
        <f>IF(OR(E2646="",E2646="!!!"),"",IF(OR(J2646=0,AND(J2646=1,K2646=1),AND(J2646=1,I2646="SBJ"),AND(J2646=1,I2646=0)),"?IN_FOCUS",IF(J2646&lt;=2,"?ACTIVATED",IF(J2646&lt;&gt;"","?FAMILIAR",IF(F2646="NEW",IF(ISNA(VLOOKUP(E2646,#REF!,1,FALSE())),"?TYPE_IDENTIFIABLE","?REFERENTIAL"),"_")))))</f>
        <v> </v>
      </c>
      <c r="H2646" s="25" t="str">
        <f>IF(J2646&lt;&gt;1,"",IF(I2646="SBJ","CB","?"))</f>
        <v> </v>
      </c>
      <c r="I2646" s="26" t="str">
        <f>IF(OR(E2646="",E2646="!!!",F2646="NEW"),"",INDEX(B2645:B$2,-1+SUMPRODUCT(MAX(ROW(E2645:E$2)*(E2646=E2645:E$2)))))</f>
        <v> </v>
      </c>
      <c r="J2646" s="26" t="str">
        <f>IF(OR(E2646="",E2646="!!!",F2646="NEW"),"",COUNTBLANK(OFFSET(A$1,,,SUMPRODUCT(MAX(ROW(E$2:E2646)*(E2646=E$2:E2646)))))-COUNTBLANK(OFFSET(A$1,,,SUMPRODUCT(MAX(ROW(E$1:E2645)*(E2=E$1:E2645))))))</f>
        <v> </v>
      </c>
      <c r="K2646" s="26" t="str">
        <f>IF(OR(E2646="",E2646="!!!",F2646="NEW"),"",INDEX(J$1:J2645,SUMPRODUCT(MAX(ROW(E$1:E2645)*(E2646=E$1:E2645)))))</f>
        <v> </v>
      </c>
      <c r="L2646" s="27"/>
    </row>
    <row r="2647" spans="1:12">
      <c r="A2647" s="20" t="s">
        <v>1065</v>
      </c>
      <c r="B2647" s="21" t="s">
        <v>1005</v>
      </c>
      <c r="C2647" s="21" t="s">
        <v>1074</v>
      </c>
      <c r="E2647" s="22">
        <f>IF(D2647="?OLD","!!!","")</f>
        <v/>
      </c>
      <c r="F2647" s="23" t="str">
        <f>IF(OR(E2647="",E2647="!!!"),"",IF(NOT(ISNA(VLOOKUP(E2647,E$1:E2646,1,FALSE()))),"OLD",IF(AND(E2647&lt;&gt;"",E2647&lt;&gt;"!!!"),"NEW","")))</f>
        <v> </v>
      </c>
      <c r="G2647" s="24" t="str">
        <f>IF(OR(E2647="",E2647="!!!"),"",IF(OR(J2647=0,AND(J2647=1,K2647=1),AND(J2647=1,I2647="SBJ"),AND(J2647=1,I2647=0)),"?IN_FOCUS",IF(J2647&lt;=2,"?ACTIVATED",IF(J2647&lt;&gt;"","?FAMILIAR",IF(F2647="NEW",IF(ISNA(VLOOKUP(E2647,#REF!,1,FALSE())),"?TYPE_IDENTIFIABLE","?REFERENTIAL"),"_")))))</f>
        <v> </v>
      </c>
      <c r="H2647" s="25" t="str">
        <f>IF(J2647&lt;&gt;1,"",IF(I2647="SBJ","CB","?"))</f>
        <v> </v>
      </c>
      <c r="I2647" s="26" t="str">
        <f>IF(OR(E2647="",E2647="!!!",F2647="NEW"),"",INDEX(B2646:B$2,-1+SUMPRODUCT(MAX(ROW(E2646:E$2)*(E2647=E2646:E$2)))))</f>
        <v> </v>
      </c>
      <c r="J2647" s="26" t="str">
        <f>IF(OR(E2647="",E2647="!!!",F2647="NEW"),"",COUNTBLANK(OFFSET(A$1,,,SUMPRODUCT(MAX(ROW(E$2:E2647)*(E2647=E$2:E2647)))))-COUNTBLANK(OFFSET(A$1,,,SUMPRODUCT(MAX(ROW(E$1:E2646)*(E2=E$1:E2646))))))</f>
        <v> </v>
      </c>
      <c r="K2647" s="26" t="str">
        <f>IF(OR(E2647="",E2647="!!!",F2647="NEW"),"",INDEX(J$1:J2646,SUMPRODUCT(MAX(ROW(E$1:E2646)*(E2647=E$1:E2646)))))</f>
        <v> </v>
      </c>
      <c r="L2647" s="27"/>
    </row>
    <row r="2648" spans="1:12">
      <c r="A2648" s="20" t="s">
        <v>1075</v>
      </c>
      <c r="E2648" s="22">
        <f>IF(D2648="?OLD","!!!","")</f>
        <v/>
      </c>
      <c r="F2648" s="23" t="str">
        <f>IF(OR(E2648="",E2648="!!!"),"",IF(NOT(ISNA(VLOOKUP(E2648,E$1:E2647,1,FALSE()))),"OLD",IF(AND(E2648&lt;&gt;"",E2648&lt;&gt;"!!!"),"NEW","")))</f>
        <v> </v>
      </c>
      <c r="G2648" s="24" t="str">
        <f>IF(OR(E2648="",E2648="!!!"),"",IF(OR(J2648=0,AND(J2648=1,K2648=1),AND(J2648=1,I2648="SBJ"),AND(J2648=1,I2648=0)),"?IN_FOCUS",IF(J2648&lt;=2,"?ACTIVATED",IF(J2648&lt;&gt;"","?FAMILIAR",IF(F2648="NEW",IF(ISNA(VLOOKUP(E2648,#REF!,1,FALSE())),"?TYPE_IDENTIFIABLE","?REFERENTIAL"),"_")))))</f>
        <v> </v>
      </c>
      <c r="H2648" s="25" t="str">
        <f>IF(J2648&lt;&gt;1,"",IF(I2648="SBJ","CB","?"))</f>
        <v> </v>
      </c>
      <c r="I2648" s="26" t="str">
        <f>IF(OR(E2648="",E2648="!!!",F2648="NEW"),"",INDEX(B2647:B$2,-1+SUMPRODUCT(MAX(ROW(E2647:E$2)*(E2648=E2647:E$2)))))</f>
        <v> </v>
      </c>
      <c r="J2648" s="26" t="str">
        <f>IF(OR(E2648="",E2648="!!!",F2648="NEW"),"",COUNTBLANK(OFFSET(A$1,,,SUMPRODUCT(MAX(ROW(E$2:E2648)*(E2648=E$2:E2648)))))-COUNTBLANK(OFFSET(A$1,,,SUMPRODUCT(MAX(ROW(E$1:E2647)*(E2=E$1:E2647))))))</f>
        <v> </v>
      </c>
      <c r="K2648" s="26" t="str">
        <f>IF(OR(E2648="",E2648="!!!",F2648="NEW"),"",INDEX(J$1:J2647,SUMPRODUCT(MAX(ROW(E$1:E2647)*(E2648=E$1:E2647)))))</f>
        <v> </v>
      </c>
      <c r="L2648" s="27"/>
    </row>
    <row r="2649" spans="1:12">
      <c r="A2649" s="20" t="s">
        <v>1065</v>
      </c>
      <c r="E2649" s="22">
        <f>IF(D2649="?OLD","!!!","")</f>
        <v/>
      </c>
      <c r="F2649" s="23" t="str">
        <f>IF(OR(E2649="",E2649="!!!"),"",IF(NOT(ISNA(VLOOKUP(E2649,E$1:E2648,1,FALSE()))),"OLD",IF(AND(E2649&lt;&gt;"",E2649&lt;&gt;"!!!"),"NEW","")))</f>
        <v> </v>
      </c>
      <c r="G2649" s="24" t="str">
        <f>IF(OR(E2649="",E2649="!!!"),"",IF(OR(J2649=0,AND(J2649=1,K2649=1),AND(J2649=1,I2649="SBJ"),AND(J2649=1,I2649=0)),"?IN_FOCUS",IF(J2649&lt;=2,"?ACTIVATED",IF(J2649&lt;&gt;"","?FAMILIAR",IF(F2649="NEW",IF(ISNA(VLOOKUP(E2649,#REF!,1,FALSE())),"?TYPE_IDENTIFIABLE","?REFERENTIAL"),"_")))))</f>
        <v> </v>
      </c>
      <c r="H2649" s="25" t="str">
        <f>IF(J2649&lt;&gt;1,"",IF(I2649="SBJ","CB","?"))</f>
        <v> </v>
      </c>
      <c r="I2649" s="26" t="str">
        <f>IF(OR(E2649="",E2649="!!!",F2649="NEW"),"",INDEX(B2648:B$2,-1+SUMPRODUCT(MAX(ROW(E2648:E$2)*(E2649=E2648:E$2)))))</f>
        <v> </v>
      </c>
      <c r="J2649" s="26" t="str">
        <f>IF(OR(E2649="",E2649="!!!",F2649="NEW"),"",COUNTBLANK(OFFSET(A$1,,,SUMPRODUCT(MAX(ROW(E$2:E2649)*(E2649=E$2:E2649)))))-COUNTBLANK(OFFSET(A$1,,,SUMPRODUCT(MAX(ROW(E$1:E2648)*(E2=E$1:E2648))))))</f>
        <v> </v>
      </c>
      <c r="K2649" s="26" t="str">
        <f>IF(OR(E2649="",E2649="!!!",F2649="NEW"),"",INDEX(J$1:J2648,SUMPRODUCT(MAX(ROW(E$1:E2648)*(E2649=E$1:E2648)))))</f>
        <v> </v>
      </c>
      <c r="L2649" s="27"/>
    </row>
    <row r="2650" spans="1:12">
      <c r="A2650" s="20" t="s">
        <v>1284</v>
      </c>
      <c r="B2650" s="21" t="s">
        <v>1050</v>
      </c>
      <c r="C2650" s="21" t="s">
        <v>1073</v>
      </c>
      <c r="D2650" s="21" t="s">
        <v>1007</v>
      </c>
      <c r="E2650" s="22">
        <f>IF(D2650="?OLD","!!!","")</f>
        <v/>
      </c>
      <c r="F2650" s="23" t="str">
        <f>IF(OR(E2650="",E2650="!!!"),"",IF(NOT(ISNA(VLOOKUP(E2650,E$1:E2649,1,FALSE()))),"OLD",IF(AND(E2650&lt;&gt;"",E2650&lt;&gt;"!!!"),"NEW","")))</f>
        <v> </v>
      </c>
      <c r="G2650" s="24" t="str">
        <f>IF(OR(E2650="",E2650="!!!"),"",IF(OR(J2650=0,AND(J2650=1,K2650=1),AND(J2650=1,I2650="SBJ"),AND(J2650=1,I2650=0)),"?IN_FOCUS",IF(J2650&lt;=2,"?ACTIVATED",IF(J2650&lt;&gt;"","?FAMILIAR",IF(F2650="NEW",IF(ISNA(VLOOKUP(E2650,#REF!,1,FALSE())),"?TYPE_IDENTIFIABLE","?REFERENTIAL"),"_")))))</f>
        <v> </v>
      </c>
      <c r="H2650" s="25" t="str">
        <f>IF(J2650&lt;&gt;1,"",IF(I2650="SBJ","CB","?"))</f>
        <v> </v>
      </c>
      <c r="I2650" s="26" t="str">
        <f>IF(OR(E2650="",E2650="!!!",F2650="NEW"),"",INDEX(B2649:B$2,-1+SUMPRODUCT(MAX(ROW(E2649:E$2)*(E2650=E2649:E$2)))))</f>
        <v> </v>
      </c>
      <c r="J2650" s="26" t="str">
        <f>IF(OR(E2650="",E2650="!!!",F2650="NEW"),"",COUNTBLANK(OFFSET(A$1,,,SUMPRODUCT(MAX(ROW(E$2:E2650)*(E2650=E$2:E2650)))))-COUNTBLANK(OFFSET(A$1,,,SUMPRODUCT(MAX(ROW(E$1:E2649)*(E2=E$1:E2649))))))</f>
        <v> </v>
      </c>
      <c r="K2650" s="26" t="str">
        <f>IF(OR(E2650="",E2650="!!!",F2650="NEW"),"",INDEX(J$1:J2649,SUMPRODUCT(MAX(ROW(E$1:E2649)*(E2650=E$1:E2649)))))</f>
        <v> </v>
      </c>
      <c r="L2650" s="27"/>
    </row>
    <row r="2651" spans="1:12">
      <c r="A2651" s="20" t="s">
        <v>1030</v>
      </c>
      <c r="E2651" s="22">
        <f>IF(D2651="?OLD","!!!","")</f>
        <v/>
      </c>
      <c r="F2651" s="23" t="str">
        <f>IF(OR(E2651="",E2651="!!!"),"",IF(NOT(ISNA(VLOOKUP(E2651,E$1:E2650,1,FALSE()))),"OLD",IF(AND(E2651&lt;&gt;"",E2651&lt;&gt;"!!!"),"NEW","")))</f>
        <v> </v>
      </c>
      <c r="G2651" s="24" t="str">
        <f>IF(OR(E2651="",E2651="!!!"),"",IF(OR(J2651=0,AND(J2651=1,K2651=1),AND(J2651=1,I2651="SBJ"),AND(J2651=1,I2651=0)),"?IN_FOCUS",IF(J2651&lt;=2,"?ACTIVATED",IF(J2651&lt;&gt;"","?FAMILIAR",IF(F2651="NEW",IF(ISNA(VLOOKUP(E2651,#REF!,1,FALSE())),"?TYPE_IDENTIFIABLE","?REFERENTIAL"),"_")))))</f>
        <v> </v>
      </c>
      <c r="H2651" s="25" t="str">
        <f>IF(J2651&lt;&gt;1,"",IF(I2651="SBJ","CB","?"))</f>
        <v> </v>
      </c>
      <c r="I2651" s="26" t="str">
        <f>IF(OR(E2651="",E2651="!!!",F2651="NEW"),"",INDEX(B2650:B$2,-1+SUMPRODUCT(MAX(ROW(E2650:E$2)*(E2651=E2650:E$2)))))</f>
        <v> </v>
      </c>
      <c r="J2651" s="26" t="str">
        <f>IF(OR(E2651="",E2651="!!!",F2651="NEW"),"",COUNTBLANK(OFFSET(A$1,,,SUMPRODUCT(MAX(ROW(E$2:E2651)*(E2651=E$2:E2651)))))-COUNTBLANK(OFFSET(A$1,,,SUMPRODUCT(MAX(ROW(E$1:E2650)*(E2=E$1:E2650))))))</f>
        <v> </v>
      </c>
      <c r="K2651" s="26" t="str">
        <f>IF(OR(E2651="",E2651="!!!",F2651="NEW"),"",INDEX(J$1:J2650,SUMPRODUCT(MAX(ROW(E$1:E2650)*(E2651=E$1:E2650)))))</f>
        <v> </v>
      </c>
      <c r="L2651" s="27"/>
    </row>
    <row r="2652" spans="1:12">
      <c r="A2652" s="20" t="s">
        <v>1015</v>
      </c>
      <c r="E2652" s="22">
        <f>IF(D2652="?OLD","!!!","")</f>
        <v/>
      </c>
      <c r="F2652" s="23" t="str">
        <f>IF(OR(E2652="",E2652="!!!"),"",IF(NOT(ISNA(VLOOKUP(E2652,E$1:E2651,1,FALSE()))),"OLD",IF(AND(E2652&lt;&gt;"",E2652&lt;&gt;"!!!"),"NEW","")))</f>
        <v> </v>
      </c>
      <c r="G2652" s="24" t="str">
        <f>IF(OR(E2652="",E2652="!!!"),"",IF(OR(J2652=0,AND(J2652=1,K2652=1),AND(J2652=1,I2652="SBJ"),AND(J2652=1,I2652=0)),"?IN_FOCUS",IF(J2652&lt;=2,"?ACTIVATED",IF(J2652&lt;&gt;"","?FAMILIAR",IF(F2652="NEW",IF(ISNA(VLOOKUP(E2652,#REF!,1,FALSE())),"?TYPE_IDENTIFIABLE","?REFERENTIAL"),"_")))))</f>
        <v> </v>
      </c>
      <c r="H2652" s="25" t="str">
        <f>IF(J2652&lt;&gt;1,"",IF(I2652="SBJ","CB","?"))</f>
        <v> </v>
      </c>
      <c r="I2652" s="26" t="str">
        <f>IF(OR(E2652="",E2652="!!!",F2652="NEW"),"",INDEX(B2651:B$2,-1+SUMPRODUCT(MAX(ROW(E2651:E$2)*(E2652=E2651:E$2)))))</f>
        <v> </v>
      </c>
      <c r="J2652" s="26" t="str">
        <f>IF(OR(E2652="",E2652="!!!",F2652="NEW"),"",COUNTBLANK(OFFSET(A$1,,,SUMPRODUCT(MAX(ROW(E$2:E2652)*(E2652=E$2:E2652)))))-COUNTBLANK(OFFSET(A$1,,,SUMPRODUCT(MAX(ROW(E$1:E2651)*(E2=E$1:E2651))))))</f>
        <v> </v>
      </c>
      <c r="K2652" s="26" t="str">
        <f>IF(OR(E2652="",E2652="!!!",F2652="NEW"),"",INDEX(J$1:J2651,SUMPRODUCT(MAX(ROW(E$1:E2651)*(E2652=E$1:E2651)))))</f>
        <v> </v>
      </c>
      <c r="L2652" s="27"/>
    </row>
    <row r="2653" spans="1:12">
      <c r="A2653" s="20" t="s">
        <v>1835</v>
      </c>
      <c r="B2653" s="21" t="s">
        <v>1022</v>
      </c>
      <c r="C2653" s="21" t="s">
        <v>1013</v>
      </c>
      <c r="D2653" s="21" t="s">
        <v>1007</v>
      </c>
      <c r="E2653" s="22">
        <f>IF(D2653="?OLD","!!!","")</f>
        <v/>
      </c>
      <c r="F2653" s="23" t="str">
        <f>IF(OR(E2653="",E2653="!!!"),"",IF(NOT(ISNA(VLOOKUP(E2653,E$1:E2652,1,FALSE()))),"OLD",IF(AND(E2653&lt;&gt;"",E2653&lt;&gt;"!!!"),"NEW","")))</f>
        <v> </v>
      </c>
      <c r="G2653" s="24" t="str">
        <f>IF(OR(E2653="",E2653="!!!"),"",IF(OR(J2653=0,AND(J2653=1,K2653=1),AND(J2653=1,I2653="SBJ"),AND(J2653=1,I2653=0)),"?IN_FOCUS",IF(J2653&lt;=2,"?ACTIVATED",IF(J2653&lt;&gt;"","?FAMILIAR",IF(F2653="NEW",IF(ISNA(VLOOKUP(E2653,#REF!,1,FALSE())),"?TYPE_IDENTIFIABLE","?REFERENTIAL"),"_")))))</f>
        <v> </v>
      </c>
      <c r="H2653" s="25" t="str">
        <f>IF(J2653&lt;&gt;1,"",IF(I2653="SBJ","CB","?"))</f>
        <v> </v>
      </c>
      <c r="I2653" s="26" t="str">
        <f>IF(OR(E2653="",E2653="!!!",F2653="NEW"),"",INDEX(B2652:B$2,-1+SUMPRODUCT(MAX(ROW(E2652:E$2)*(E2653=E2652:E$2)))))</f>
        <v> </v>
      </c>
      <c r="J2653" s="26" t="str">
        <f>IF(OR(E2653="",E2653="!!!",F2653="NEW"),"",COUNTBLANK(OFFSET(A$1,,,SUMPRODUCT(MAX(ROW(E$2:E2653)*(E2653=E$2:E2653)))))-COUNTBLANK(OFFSET(A$1,,,SUMPRODUCT(MAX(ROW(E$1:E2652)*(E2=E$1:E2652))))))</f>
        <v> </v>
      </c>
      <c r="K2653" s="26" t="str">
        <f>IF(OR(E2653="",E2653="!!!",F2653="NEW"),"",INDEX(J$1:J2652,SUMPRODUCT(MAX(ROW(E$1:E2652)*(E2653=E$1:E2652)))))</f>
        <v> </v>
      </c>
      <c r="L2653" s="27"/>
    </row>
    <row r="2654" spans="1:12">
      <c r="A2654" s="20" t="s">
        <v>1127</v>
      </c>
      <c r="E2654" s="22">
        <f>IF(D2654="?OLD","!!!","")</f>
        <v/>
      </c>
      <c r="F2654" s="23" t="str">
        <f>IF(OR(E2654="",E2654="!!!"),"",IF(NOT(ISNA(VLOOKUP(E2654,E$1:E2653,1,FALSE()))),"OLD",IF(AND(E2654&lt;&gt;"",E2654&lt;&gt;"!!!"),"NEW","")))</f>
        <v> </v>
      </c>
      <c r="G2654" s="24" t="str">
        <f>IF(OR(E2654="",E2654="!!!"),"",IF(OR(J2654=0,AND(J2654=1,K2654=1),AND(J2654=1,I2654="SBJ"),AND(J2654=1,I2654=0)),"?IN_FOCUS",IF(J2654&lt;=2,"?ACTIVATED",IF(J2654&lt;&gt;"","?FAMILIAR",IF(F2654="NEW",IF(ISNA(VLOOKUP(E2654,#REF!,1,FALSE())),"?TYPE_IDENTIFIABLE","?REFERENTIAL"),"_")))))</f>
        <v> </v>
      </c>
      <c r="H2654" s="25" t="str">
        <f>IF(J2654&lt;&gt;1,"",IF(I2654="SBJ","CB","?"))</f>
        <v> </v>
      </c>
      <c r="I2654" s="26" t="str">
        <f>IF(OR(E2654="",E2654="!!!",F2654="NEW"),"",INDEX(B2653:B$2,-1+SUMPRODUCT(MAX(ROW(E2653:E$2)*(E2654=E2653:E$2)))))</f>
        <v> </v>
      </c>
      <c r="J2654" s="26" t="str">
        <f>IF(OR(E2654="",E2654="!!!",F2654="NEW"),"",COUNTBLANK(OFFSET(A$1,,,SUMPRODUCT(MAX(ROW(E$2:E2654)*(E2654=E$2:E2654)))))-COUNTBLANK(OFFSET(A$1,,,SUMPRODUCT(MAX(ROW(E$1:E2653)*(E2=E$1:E2653))))))</f>
        <v> </v>
      </c>
      <c r="K2654" s="26" t="str">
        <f>IF(OR(E2654="",E2654="!!!",F2654="NEW"),"",INDEX(J$1:J2653,SUMPRODUCT(MAX(ROW(E$1:E2653)*(E2654=E$1:E2653)))))</f>
        <v> </v>
      </c>
      <c r="L2654" s="27"/>
    </row>
    <row r="2655" spans="1:12">
      <c r="A2655" s="20" t="s">
        <v>102</v>
      </c>
      <c r="E2655" s="22">
        <f>IF(D2655="?OLD","!!!","")</f>
        <v/>
      </c>
      <c r="F2655" s="23" t="str">
        <f>IF(OR(E2655="",E2655="!!!"),"",IF(NOT(ISNA(VLOOKUP(E2655,E$1:E2654,1,FALSE()))),"OLD",IF(AND(E2655&lt;&gt;"",E2655&lt;&gt;"!!!"),"NEW","")))</f>
        <v> </v>
      </c>
      <c r="G2655" s="24" t="str">
        <f>IF(OR(E2655="",E2655="!!!"),"",IF(OR(J2655=0,AND(J2655=1,K2655=1),AND(J2655=1,I2655="SBJ"),AND(J2655=1,I2655=0)),"?IN_FOCUS",IF(J2655&lt;=2,"?ACTIVATED",IF(J2655&lt;&gt;"","?FAMILIAR",IF(F2655="NEW",IF(ISNA(VLOOKUP(E2655,#REF!,1,FALSE())),"?TYPE_IDENTIFIABLE","?REFERENTIAL"),"_")))))</f>
        <v> </v>
      </c>
      <c r="H2655" s="25" t="str">
        <f>IF(J2655&lt;&gt;1,"",IF(I2655="SBJ","CB","?"))</f>
        <v> </v>
      </c>
      <c r="I2655" s="26" t="str">
        <f>IF(OR(E2655="",E2655="!!!",F2655="NEW"),"",INDEX(B2654:B$2,-1+SUMPRODUCT(MAX(ROW(E2654:E$2)*(E2655=E2654:E$2)))))</f>
        <v> </v>
      </c>
      <c r="J2655" s="26" t="str">
        <f>IF(OR(E2655="",E2655="!!!",F2655="NEW"),"",COUNTBLANK(OFFSET(A$1,,,SUMPRODUCT(MAX(ROW(E$2:E2655)*(E2655=E$2:E2655)))))-COUNTBLANK(OFFSET(A$1,,,SUMPRODUCT(MAX(ROW(E$1:E2654)*(E2=E$1:E2654))))))</f>
        <v> </v>
      </c>
      <c r="K2655" s="26" t="str">
        <f>IF(OR(E2655="",E2655="!!!",F2655="NEW"),"",INDEX(J$1:J2654,SUMPRODUCT(MAX(ROW(E$1:E2654)*(E2655=E$1:E2654)))))</f>
        <v> </v>
      </c>
      <c r="L2655" s="27"/>
    </row>
    <row r="2656" spans="1:12">
      <c r="A2656" s="20" t="s">
        <v>1836</v>
      </c>
      <c r="B2656" s="21" t="s">
        <v>1033</v>
      </c>
      <c r="C2656" s="21" t="s">
        <v>1013</v>
      </c>
      <c r="D2656" s="21" t="s">
        <v>1007</v>
      </c>
      <c r="E2656" s="22">
        <f>IF(D2656="?OLD","!!!","")</f>
        <v/>
      </c>
      <c r="F2656" s="23" t="str">
        <f>IF(OR(E2656="",E2656="!!!"),"",IF(NOT(ISNA(VLOOKUP(E2656,E$1:E2655,1,FALSE()))),"OLD",IF(AND(E2656&lt;&gt;"",E2656&lt;&gt;"!!!"),"NEW","")))</f>
        <v> </v>
      </c>
      <c r="G2656" s="24" t="str">
        <f>IF(OR(E2656="",E2656="!!!"),"",IF(OR(J2656=0,AND(J2656=1,K2656=1),AND(J2656=1,I2656="SBJ"),AND(J2656=1,I2656=0)),"?IN_FOCUS",IF(J2656&lt;=2,"?ACTIVATED",IF(J2656&lt;&gt;"","?FAMILIAR",IF(F2656="NEW",IF(ISNA(VLOOKUP(E2656,#REF!,1,FALSE())),"?TYPE_IDENTIFIABLE","?REFERENTIAL"),"_")))))</f>
        <v> </v>
      </c>
      <c r="H2656" s="25" t="str">
        <f>IF(J2656&lt;&gt;1,"",IF(I2656="SBJ","CB","?"))</f>
        <v> </v>
      </c>
      <c r="I2656" s="26" t="str">
        <f>IF(OR(E2656="",E2656="!!!",F2656="NEW"),"",INDEX(B2655:B$2,-1+SUMPRODUCT(MAX(ROW(E2655:E$2)*(E2656=E2655:E$2)))))</f>
        <v> </v>
      </c>
      <c r="J2656" s="26" t="str">
        <f>IF(OR(E2656="",E2656="!!!",F2656="NEW"),"",COUNTBLANK(OFFSET(A$1,,,SUMPRODUCT(MAX(ROW(E$2:E2656)*(E2656=E$2:E2656)))))-COUNTBLANK(OFFSET(A$1,,,SUMPRODUCT(MAX(ROW(E$1:E2655)*(E2=E$1:E2655))))))</f>
        <v> </v>
      </c>
      <c r="K2656" s="26" t="str">
        <f>IF(OR(E2656="",E2656="!!!",F2656="NEW"),"",INDEX(J$1:J2655,SUMPRODUCT(MAX(ROW(E$1:E2655)*(E2656=E$1:E2655)))))</f>
        <v> </v>
      </c>
      <c r="L2656" s="27"/>
    </row>
    <row r="2657" spans="1:12">
      <c r="A2657" s="20" t="s">
        <v>1014</v>
      </c>
      <c r="E2657" s="22">
        <f>IF(D2657="?OLD","!!!","")</f>
        <v/>
      </c>
      <c r="F2657" s="23" t="str">
        <f>IF(OR(E2657="",E2657="!!!"),"",IF(NOT(ISNA(VLOOKUP(E2657,E$1:E2656,1,FALSE()))),"OLD",IF(AND(E2657&lt;&gt;"",E2657&lt;&gt;"!!!"),"NEW","")))</f>
        <v> </v>
      </c>
      <c r="G2657" s="24" t="str">
        <f>IF(OR(E2657="",E2657="!!!"),"",IF(OR(J2657=0,AND(J2657=1,K2657=1),AND(J2657=1,I2657="SBJ"),AND(J2657=1,I2657=0)),"?IN_FOCUS",IF(J2657&lt;=2,"?ACTIVATED",IF(J2657&lt;&gt;"","?FAMILIAR",IF(F2657="NEW",IF(ISNA(VLOOKUP(E2657,#REF!,1,FALSE())),"?TYPE_IDENTIFIABLE","?REFERENTIAL"),"_")))))</f>
        <v> </v>
      </c>
      <c r="H2657" s="25" t="str">
        <f>IF(J2657&lt;&gt;1,"",IF(I2657="SBJ","CB","?"))</f>
        <v> </v>
      </c>
      <c r="I2657" s="26" t="str">
        <f>IF(OR(E2657="",E2657="!!!",F2657="NEW"),"",INDEX(B2656:B$2,-1+SUMPRODUCT(MAX(ROW(E2656:E$2)*(E2657=E2656:E$2)))))</f>
        <v> </v>
      </c>
      <c r="J2657" s="26" t="str">
        <f>IF(OR(E2657="",E2657="!!!",F2657="NEW"),"",COUNTBLANK(OFFSET(A$1,,,SUMPRODUCT(MAX(ROW(E$2:E2657)*(E2657=E$2:E2657)))))-COUNTBLANK(OFFSET(A$1,,,SUMPRODUCT(MAX(ROW(E$1:E2656)*(E2=E$1:E2656))))))</f>
        <v> </v>
      </c>
      <c r="K2657" s="26" t="str">
        <f>IF(OR(E2657="",E2657="!!!",F2657="NEW"),"",INDEX(J$1:J2656,SUMPRODUCT(MAX(ROW(E$1:E2656)*(E2657=E$1:E2656)))))</f>
        <v> </v>
      </c>
      <c r="L2657" s="27"/>
    </row>
    <row r="2658" spans="1:12">
      <c r="A2658" s="20" t="s">
        <v>1837</v>
      </c>
      <c r="B2658" s="21" t="s">
        <v>1035</v>
      </c>
      <c r="C2658" s="21" t="s">
        <v>1013</v>
      </c>
      <c r="D2658" s="21" t="s">
        <v>1007</v>
      </c>
      <c r="E2658" s="22">
        <f>IF(D2658="?OLD","!!!","")</f>
        <v/>
      </c>
      <c r="F2658" s="23" t="str">
        <f>IF(OR(E2658="",E2658="!!!"),"",IF(NOT(ISNA(VLOOKUP(E2658,E$1:E2657,1,FALSE()))),"OLD",IF(AND(E2658&lt;&gt;"",E2658&lt;&gt;"!!!"),"NEW","")))</f>
        <v> </v>
      </c>
      <c r="G2658" s="24" t="str">
        <f>IF(OR(E2658="",E2658="!!!"),"",IF(OR(J2658=0,AND(J2658=1,K2658=1),AND(J2658=1,I2658="SBJ"),AND(J2658=1,I2658=0)),"?IN_FOCUS",IF(J2658&lt;=2,"?ACTIVATED",IF(J2658&lt;&gt;"","?FAMILIAR",IF(F2658="NEW",IF(ISNA(VLOOKUP(E2658,#REF!,1,FALSE())),"?TYPE_IDENTIFIABLE","?REFERENTIAL"),"_")))))</f>
        <v> </v>
      </c>
      <c r="H2658" s="25" t="str">
        <f>IF(J2658&lt;&gt;1,"",IF(I2658="SBJ","CB","?"))</f>
        <v> </v>
      </c>
      <c r="I2658" s="26" t="str">
        <f>IF(OR(E2658="",E2658="!!!",F2658="NEW"),"",INDEX(B2657:B$2,-1+SUMPRODUCT(MAX(ROW(E2657:E$2)*(E2658=E2657:E$2)))))</f>
        <v> </v>
      </c>
      <c r="J2658" s="26" t="str">
        <f>IF(OR(E2658="",E2658="!!!",F2658="NEW"),"",COUNTBLANK(OFFSET(A$1,,,SUMPRODUCT(MAX(ROW(E$2:E2658)*(E2658=E$2:E2658)))))-COUNTBLANK(OFFSET(A$1,,,SUMPRODUCT(MAX(ROW(E$1:E2657)*(E2=E$1:E2657))))))</f>
        <v> </v>
      </c>
      <c r="K2658" s="26" t="str">
        <f>IF(OR(E2658="",E2658="!!!",F2658="NEW"),"",INDEX(J$1:J2657,SUMPRODUCT(MAX(ROW(E$1:E2657)*(E2658=E$1:E2657)))))</f>
        <v> </v>
      </c>
      <c r="L2658" s="27"/>
    </row>
    <row r="2659" spans="1:12">
      <c r="A2659" s="20" t="s">
        <v>1014</v>
      </c>
      <c r="E2659" s="22">
        <f>IF(D2659="?OLD","!!!","")</f>
        <v/>
      </c>
      <c r="F2659" s="23" t="str">
        <f>IF(OR(E2659="",E2659="!!!"),"",IF(NOT(ISNA(VLOOKUP(E2659,E$1:E2658,1,FALSE()))),"OLD",IF(AND(E2659&lt;&gt;"",E2659&lt;&gt;"!!!"),"NEW","")))</f>
        <v> </v>
      </c>
      <c r="G2659" s="24" t="str">
        <f>IF(OR(E2659="",E2659="!!!"),"",IF(OR(J2659=0,AND(J2659=1,K2659=1),AND(J2659=1,I2659="SBJ"),AND(J2659=1,I2659=0)),"?IN_FOCUS",IF(J2659&lt;=2,"?ACTIVATED",IF(J2659&lt;&gt;"","?FAMILIAR",IF(F2659="NEW",IF(ISNA(VLOOKUP(E2659,#REF!,1,FALSE())),"?TYPE_IDENTIFIABLE","?REFERENTIAL"),"_")))))</f>
        <v> </v>
      </c>
      <c r="H2659" s="25" t="str">
        <f>IF(J2659&lt;&gt;1,"",IF(I2659="SBJ","CB","?"))</f>
        <v> </v>
      </c>
      <c r="I2659" s="26" t="str">
        <f>IF(OR(E2659="",E2659="!!!",F2659="NEW"),"",INDEX(B2658:B$2,-1+SUMPRODUCT(MAX(ROW(E2658:E$2)*(E2659=E2658:E$2)))))</f>
        <v> </v>
      </c>
      <c r="J2659" s="26" t="str">
        <f>IF(OR(E2659="",E2659="!!!",F2659="NEW"),"",COUNTBLANK(OFFSET(A$1,,,SUMPRODUCT(MAX(ROW(E$2:E2659)*(E2659=E$2:E2659)))))-COUNTBLANK(OFFSET(A$1,,,SUMPRODUCT(MAX(ROW(E$1:E2658)*(E2=E$1:E2658))))))</f>
        <v> </v>
      </c>
      <c r="K2659" s="26" t="str">
        <f>IF(OR(E2659="",E2659="!!!",F2659="NEW"),"",INDEX(J$1:J2658,SUMPRODUCT(MAX(ROW(E$1:E2658)*(E2659=E$1:E2658)))))</f>
        <v> </v>
      </c>
      <c r="L2659" s="27"/>
    </row>
    <row r="2660" spans="1:12">
      <c r="A2660" s="20" t="s">
        <v>1027</v>
      </c>
      <c r="E2660" s="22">
        <f>IF(D2660="?OLD","!!!","")</f>
        <v/>
      </c>
      <c r="F2660" s="23" t="str">
        <f>IF(OR(E2660="",E2660="!!!"),"",IF(NOT(ISNA(VLOOKUP(E2660,E$1:E2659,1,FALSE()))),"OLD",IF(AND(E2660&lt;&gt;"",E2660&lt;&gt;"!!!"),"NEW","")))</f>
        <v> </v>
      </c>
      <c r="G2660" s="24" t="str">
        <f>IF(OR(E2660="",E2660="!!!"),"",IF(OR(J2660=0,AND(J2660=1,K2660=1),AND(J2660=1,I2660="SBJ"),AND(J2660=1,I2660=0)),"?IN_FOCUS",IF(J2660&lt;=2,"?ACTIVATED",IF(J2660&lt;&gt;"","?FAMILIAR",IF(F2660="NEW",IF(ISNA(VLOOKUP(E2660,#REF!,1,FALSE())),"?TYPE_IDENTIFIABLE","?REFERENTIAL"),"_")))))</f>
        <v> </v>
      </c>
      <c r="H2660" s="25" t="str">
        <f>IF(J2660&lt;&gt;1,"",IF(I2660="SBJ","CB","?"))</f>
        <v> </v>
      </c>
      <c r="I2660" s="26" t="str">
        <f>IF(OR(E2660="",E2660="!!!",F2660="NEW"),"",INDEX(B2659:B$2,-1+SUMPRODUCT(MAX(ROW(E2659:E$2)*(E2660=E2659:E$2)))))</f>
        <v> </v>
      </c>
      <c r="J2660" s="26" t="str">
        <f>IF(OR(E2660="",E2660="!!!",F2660="NEW"),"",COUNTBLANK(OFFSET(A$1,,,SUMPRODUCT(MAX(ROW(E$2:E2660)*(E2660=E$2:E2660)))))-COUNTBLANK(OFFSET(A$1,,,SUMPRODUCT(MAX(ROW(E$1:E2659)*(E2=E$1:E2659))))))</f>
        <v> </v>
      </c>
      <c r="K2660" s="26" t="str">
        <f>IF(OR(E2660="",E2660="!!!",F2660="NEW"),"",INDEX(J$1:J2659,SUMPRODUCT(MAX(ROW(E$1:E2659)*(E2660=E$1:E2659)))))</f>
        <v> </v>
      </c>
      <c r="L2660" s="27"/>
    </row>
    <row r="2661" spans="1:12">
      <c r="A2661" s="20" t="s">
        <v>1243</v>
      </c>
      <c r="B2661" s="21" t="s">
        <v>1130</v>
      </c>
      <c r="C2661" s="21" t="s">
        <v>1017</v>
      </c>
      <c r="D2661" s="21" t="s">
        <v>1007</v>
      </c>
      <c r="E2661" s="22">
        <f>IF(D2661="?OLD","!!!","")</f>
        <v/>
      </c>
      <c r="F2661" s="23" t="str">
        <f>IF(OR(E2661="",E2661="!!!"),"",IF(NOT(ISNA(VLOOKUP(E2661,E$1:E2660,1,FALSE()))),"OLD",IF(AND(E2661&lt;&gt;"",E2661&lt;&gt;"!!!"),"NEW","")))</f>
        <v> </v>
      </c>
      <c r="G2661" s="24" t="str">
        <f>IF(OR(E2661="",E2661="!!!"),"",IF(OR(J2661=0,AND(J2661=1,K2661=1),AND(J2661=1,I2661="SBJ"),AND(J2661=1,I2661=0)),"?IN_FOCUS",IF(J2661&lt;=2,"?ACTIVATED",IF(J2661&lt;&gt;"","?FAMILIAR",IF(F2661="NEW",IF(ISNA(VLOOKUP(E2661,#REF!,1,FALSE())),"?TYPE_IDENTIFIABLE","?REFERENTIAL"),"_")))))</f>
        <v> </v>
      </c>
      <c r="H2661" s="25" t="str">
        <f>IF(J2661&lt;&gt;1,"",IF(I2661="SBJ","CB","?"))</f>
        <v> </v>
      </c>
      <c r="I2661" s="26" t="str">
        <f>IF(OR(E2661="",E2661="!!!",F2661="NEW"),"",INDEX(B2660:B$2,-1+SUMPRODUCT(MAX(ROW(E2660:E$2)*(E2661=E2660:E$2)))))</f>
        <v> </v>
      </c>
      <c r="J2661" s="26" t="str">
        <f>IF(OR(E2661="",E2661="!!!",F2661="NEW"),"",COUNTBLANK(OFFSET(A$1,,,SUMPRODUCT(MAX(ROW(E$2:E2661)*(E2661=E$2:E2661)))))-COUNTBLANK(OFFSET(A$1,,,SUMPRODUCT(MAX(ROW(E$1:E2660)*(E2=E$1:E2660))))))</f>
        <v> </v>
      </c>
      <c r="K2661" s="26" t="str">
        <f>IF(OR(E2661="",E2661="!!!",F2661="NEW"),"",INDEX(J$1:J2660,SUMPRODUCT(MAX(ROW(E$1:E2660)*(E2661=E$1:E2660)))))</f>
        <v> </v>
      </c>
      <c r="L2661" s="27"/>
    </row>
    <row r="2662" spans="1:12">
      <c r="A2662" s="20" t="s">
        <v>1717</v>
      </c>
      <c r="E2662" s="22">
        <f>IF(D2662="?OLD","!!!","")</f>
        <v/>
      </c>
      <c r="F2662" s="23" t="str">
        <f>IF(OR(E2662="",E2662="!!!"),"",IF(NOT(ISNA(VLOOKUP(E2662,E$1:E2661,1,FALSE()))),"OLD",IF(AND(E2662&lt;&gt;"",E2662&lt;&gt;"!!!"),"NEW","")))</f>
        <v> </v>
      </c>
      <c r="G2662" s="24" t="str">
        <f>IF(OR(E2662="",E2662="!!!"),"",IF(OR(J2662=0,AND(J2662=1,K2662=1),AND(J2662=1,I2662="SBJ"),AND(J2662=1,I2662=0)),"?IN_FOCUS",IF(J2662&lt;=2,"?ACTIVATED",IF(J2662&lt;&gt;"","?FAMILIAR",IF(F2662="NEW",IF(ISNA(VLOOKUP(E2662,#REF!,1,FALSE())),"?TYPE_IDENTIFIABLE","?REFERENTIAL"),"_")))))</f>
        <v> </v>
      </c>
      <c r="H2662" s="25" t="str">
        <f>IF(J2662&lt;&gt;1,"",IF(I2662="SBJ","CB","?"))</f>
        <v> </v>
      </c>
      <c r="I2662" s="26" t="str">
        <f>IF(OR(E2662="",E2662="!!!",F2662="NEW"),"",INDEX(B2661:B$2,-1+SUMPRODUCT(MAX(ROW(E2661:E$2)*(E2662=E2661:E$2)))))</f>
        <v> </v>
      </c>
      <c r="J2662" s="26" t="str">
        <f>IF(OR(E2662="",E2662="!!!",F2662="NEW"),"",COUNTBLANK(OFFSET(A$1,,,SUMPRODUCT(MAX(ROW(E$2:E2662)*(E2662=E$2:E2662)))))-COUNTBLANK(OFFSET(A$1,,,SUMPRODUCT(MAX(ROW(E$1:E2661)*(E2=E$1:E2661))))))</f>
        <v> </v>
      </c>
      <c r="K2662" s="26" t="str">
        <f>IF(OR(E2662="",E2662="!!!",F2662="NEW"),"",INDEX(J$1:J2661,SUMPRODUCT(MAX(ROW(E$1:E2661)*(E2662=E$1:E2661)))))</f>
        <v> </v>
      </c>
      <c r="L2662" s="27"/>
    </row>
    <row r="2663" spans="1:12">
      <c r="A2663" s="20" t="s">
        <v>1018</v>
      </c>
      <c r="E2663" s="22">
        <f>IF(D2663="?OLD","!!!","")</f>
        <v/>
      </c>
      <c r="F2663" s="23" t="str">
        <f>IF(OR(E2663="",E2663="!!!"),"",IF(NOT(ISNA(VLOOKUP(E2663,E$1:E2662,1,FALSE()))),"OLD",IF(AND(E2663&lt;&gt;"",E2663&lt;&gt;"!!!"),"NEW","")))</f>
        <v> </v>
      </c>
      <c r="G2663" s="24" t="str">
        <f>IF(OR(E2663="",E2663="!!!"),"",IF(OR(J2663=0,AND(J2663=1,K2663=1),AND(J2663=1,I2663="SBJ"),AND(J2663=1,I2663=0)),"?IN_FOCUS",IF(J2663&lt;=2,"?ACTIVATED",IF(J2663&lt;&gt;"","?FAMILIAR",IF(F2663="NEW",IF(ISNA(VLOOKUP(E2663,#REF!,1,FALSE())),"?TYPE_IDENTIFIABLE","?REFERENTIAL"),"_")))))</f>
        <v> </v>
      </c>
      <c r="H2663" s="25" t="str">
        <f>IF(J2663&lt;&gt;1,"",IF(I2663="SBJ","CB","?"))</f>
        <v> </v>
      </c>
      <c r="I2663" s="26" t="str">
        <f>IF(OR(E2663="",E2663="!!!",F2663="NEW"),"",INDEX(B2662:B$2,-1+SUMPRODUCT(MAX(ROW(E2662:E$2)*(E2663=E2662:E$2)))))</f>
        <v> </v>
      </c>
      <c r="J2663" s="26" t="str">
        <f>IF(OR(E2663="",E2663="!!!",F2663="NEW"),"",COUNTBLANK(OFFSET(A$1,,,SUMPRODUCT(MAX(ROW(E$2:E2663)*(E2663=E$2:E2663)))))-COUNTBLANK(OFFSET(A$1,,,SUMPRODUCT(MAX(ROW(E$1:E2662)*(E2=E$1:E2662))))))</f>
        <v> </v>
      </c>
      <c r="K2663" s="26" t="str">
        <f>IF(OR(E2663="",E2663="!!!",F2663="NEW"),"",INDEX(J$1:J2662,SUMPRODUCT(MAX(ROW(E$1:E2662)*(E2663=E$1:E2662)))))</f>
        <v> </v>
      </c>
      <c r="L2663" s="27"/>
    </row>
    <row r="2664" spans="1:12">
      <c r="A2664" s="20" t="s">
        <v>1137</v>
      </c>
      <c r="E2664" s="22">
        <f>IF(D2664="?OLD","!!!","")</f>
        <v/>
      </c>
      <c r="F2664" s="23" t="str">
        <f>IF(OR(E2664="",E2664="!!!"),"",IF(NOT(ISNA(VLOOKUP(E2664,E$1:E2663,1,FALSE()))),"OLD",IF(AND(E2664&lt;&gt;"",E2664&lt;&gt;"!!!"),"NEW","")))</f>
        <v> </v>
      </c>
      <c r="G2664" s="24" t="str">
        <f>IF(OR(E2664="",E2664="!!!"),"",IF(OR(J2664=0,AND(J2664=1,K2664=1),AND(J2664=1,I2664="SBJ"),AND(J2664=1,I2664=0)),"?IN_FOCUS",IF(J2664&lt;=2,"?ACTIVATED",IF(J2664&lt;&gt;"","?FAMILIAR",IF(F2664="NEW",IF(ISNA(VLOOKUP(E2664,#REF!,1,FALSE())),"?TYPE_IDENTIFIABLE","?REFERENTIAL"),"_")))))</f>
        <v> </v>
      </c>
      <c r="H2664" s="25" t="str">
        <f>IF(J2664&lt;&gt;1,"",IF(I2664="SBJ","CB","?"))</f>
        <v> </v>
      </c>
      <c r="I2664" s="26" t="str">
        <f>IF(OR(E2664="",E2664="!!!",F2664="NEW"),"",INDEX(B2663:B$2,-1+SUMPRODUCT(MAX(ROW(E2663:E$2)*(E2664=E2663:E$2)))))</f>
        <v> </v>
      </c>
      <c r="J2664" s="26" t="str">
        <f>IF(OR(E2664="",E2664="!!!",F2664="NEW"),"",COUNTBLANK(OFFSET(A$1,,,SUMPRODUCT(MAX(ROW(E$2:E2664)*(E2664=E$2:E2664)))))-COUNTBLANK(OFFSET(A$1,,,SUMPRODUCT(MAX(ROW(E$1:E2663)*(E2=E$1:E2663))))))</f>
        <v> </v>
      </c>
      <c r="K2664" s="26" t="str">
        <f>IF(OR(E2664="",E2664="!!!",F2664="NEW"),"",INDEX(J$1:J2663,SUMPRODUCT(MAX(ROW(E$1:E2663)*(E2664=E$1:E2663)))))</f>
        <v> </v>
      </c>
      <c r="L2664" s="27"/>
    </row>
    <row r="2665" spans="1:12">
      <c r="A2665" s="20" t="s">
        <v>1020</v>
      </c>
      <c r="E2665" s="22">
        <f>IF(D2665="?OLD","!!!","")</f>
        <v/>
      </c>
      <c r="F2665" s="23" t="str">
        <f>IF(OR(E2665="",E2665="!!!"),"",IF(NOT(ISNA(VLOOKUP(E2665,E$1:E2664,1,FALSE()))),"OLD",IF(AND(E2665&lt;&gt;"",E2665&lt;&gt;"!!!"),"NEW","")))</f>
        <v> </v>
      </c>
      <c r="G2665" s="24" t="str">
        <f>IF(OR(E2665="",E2665="!!!"),"",IF(OR(J2665=0,AND(J2665=1,K2665=1),AND(J2665=1,I2665="SBJ"),AND(J2665=1,I2665=0)),"?IN_FOCUS",IF(J2665&lt;=2,"?ACTIVATED",IF(J2665&lt;&gt;"","?FAMILIAR",IF(F2665="NEW",IF(ISNA(VLOOKUP(E2665,#REF!,1,FALSE())),"?TYPE_IDENTIFIABLE","?REFERENTIAL"),"_")))))</f>
        <v> </v>
      </c>
      <c r="H2665" s="25" t="str">
        <f>IF(J2665&lt;&gt;1,"",IF(I2665="SBJ","CB","?"))</f>
        <v> </v>
      </c>
      <c r="I2665" s="26" t="str">
        <f>IF(OR(E2665="",E2665="!!!",F2665="NEW"),"",INDEX(B2664:B$2,-1+SUMPRODUCT(MAX(ROW(E2664:E$2)*(E2665=E2664:E$2)))))</f>
        <v> </v>
      </c>
      <c r="J2665" s="26" t="str">
        <f>IF(OR(E2665="",E2665="!!!",F2665="NEW"),"",COUNTBLANK(OFFSET(A$1,,,SUMPRODUCT(MAX(ROW(E$2:E2665)*(E2665=E$2:E2665)))))-COUNTBLANK(OFFSET(A$1,,,SUMPRODUCT(MAX(ROW(E$1:E2664)*(E2=E$1:E2664))))))</f>
        <v> </v>
      </c>
      <c r="K2665" s="26" t="str">
        <f>IF(OR(E2665="",E2665="!!!",F2665="NEW"),"",INDEX(J$1:J2664,SUMPRODUCT(MAX(ROW(E$1:E2664)*(E2665=E$1:E2664)))))</f>
        <v> </v>
      </c>
      <c r="L2665" s="27"/>
    </row>
    <row r="2666" spans="1:12">
      <c r="A2666" s="20" t="s">
        <v>1821</v>
      </c>
      <c r="B2666" s="21" t="s">
        <v>1119</v>
      </c>
      <c r="C2666" s="21" t="s">
        <v>1013</v>
      </c>
      <c r="D2666" s="21" t="s">
        <v>1007</v>
      </c>
      <c r="E2666" s="22">
        <f>IF(D2666="?OLD","!!!","")</f>
        <v/>
      </c>
      <c r="F2666" s="23" t="str">
        <f>IF(OR(E2666="",E2666="!!!"),"",IF(NOT(ISNA(VLOOKUP(E2666,E$1:E2665,1,FALSE()))),"OLD",IF(AND(E2666&lt;&gt;"",E2666&lt;&gt;"!!!"),"NEW","")))</f>
        <v> </v>
      </c>
      <c r="G2666" s="24" t="str">
        <f>IF(OR(E2666="",E2666="!!!"),"",IF(OR(J2666=0,AND(J2666=1,K2666=1),AND(J2666=1,I2666="SBJ"),AND(J2666=1,I2666=0)),"?IN_FOCUS",IF(J2666&lt;=2,"?ACTIVATED",IF(J2666&lt;&gt;"","?FAMILIAR",IF(F2666="NEW",IF(ISNA(VLOOKUP(E2666,#REF!,1,FALSE())),"?TYPE_IDENTIFIABLE","?REFERENTIAL"),"_")))))</f>
        <v> </v>
      </c>
      <c r="H2666" s="25" t="str">
        <f>IF(J2666&lt;&gt;1,"",IF(I2666="SBJ","CB","?"))</f>
        <v> </v>
      </c>
      <c r="I2666" s="26" t="str">
        <f>IF(OR(E2666="",E2666="!!!",F2666="NEW"),"",INDEX(B2665:B$2,-1+SUMPRODUCT(MAX(ROW(E2665:E$2)*(E2666=E2665:E$2)))))</f>
        <v> </v>
      </c>
      <c r="J2666" s="26" t="str">
        <f>IF(OR(E2666="",E2666="!!!",F2666="NEW"),"",COUNTBLANK(OFFSET(A$1,,,SUMPRODUCT(MAX(ROW(E$2:E2666)*(E2666=E$2:E2666)))))-COUNTBLANK(OFFSET(A$1,,,SUMPRODUCT(MAX(ROW(E$1:E2665)*(E2=E$1:E2665))))))</f>
        <v> </v>
      </c>
      <c r="K2666" s="26" t="str">
        <f>IF(OR(E2666="",E2666="!!!",F2666="NEW"),"",INDEX(J$1:J2665,SUMPRODUCT(MAX(ROW(E$1:E2665)*(E2666=E$1:E2665)))))</f>
        <v> </v>
      </c>
      <c r="L2666" s="27"/>
    </row>
    <row r="2667" spans="1:12">
      <c r="A2667" s="20" t="s">
        <v>1014</v>
      </c>
      <c r="E2667" s="22">
        <f>IF(D2667="?OLD","!!!","")</f>
        <v/>
      </c>
      <c r="F2667" s="23" t="str">
        <f>IF(OR(E2667="",E2667="!!!"),"",IF(NOT(ISNA(VLOOKUP(E2667,E$1:E2666,1,FALSE()))),"OLD",IF(AND(E2667&lt;&gt;"",E2667&lt;&gt;"!!!"),"NEW","")))</f>
        <v> </v>
      </c>
      <c r="G2667" s="24" t="str">
        <f>IF(OR(E2667="",E2667="!!!"),"",IF(OR(J2667=0,AND(J2667=1,K2667=1),AND(J2667=1,I2667="SBJ"),AND(J2667=1,I2667=0)),"?IN_FOCUS",IF(J2667&lt;=2,"?ACTIVATED",IF(J2667&lt;&gt;"","?FAMILIAR",IF(F2667="NEW",IF(ISNA(VLOOKUP(E2667,#REF!,1,FALSE())),"?TYPE_IDENTIFIABLE","?REFERENTIAL"),"_")))))</f>
        <v> </v>
      </c>
      <c r="H2667" s="25" t="str">
        <f>IF(J2667&lt;&gt;1,"",IF(I2667="SBJ","CB","?"))</f>
        <v> </v>
      </c>
      <c r="I2667" s="26" t="str">
        <f>IF(OR(E2667="",E2667="!!!",F2667="NEW"),"",INDEX(B2666:B$2,-1+SUMPRODUCT(MAX(ROW(E2666:E$2)*(E2667=E2666:E$2)))))</f>
        <v> </v>
      </c>
      <c r="J2667" s="26" t="str">
        <f>IF(OR(E2667="",E2667="!!!",F2667="NEW"),"",COUNTBLANK(OFFSET(A$1,,,SUMPRODUCT(MAX(ROW(E$2:E2667)*(E2667=E$2:E2667)))))-COUNTBLANK(OFFSET(A$1,,,SUMPRODUCT(MAX(ROW(E$1:E2666)*(E2=E$1:E2666))))))</f>
        <v> </v>
      </c>
      <c r="K2667" s="26" t="str">
        <f>IF(OR(E2667="",E2667="!!!",F2667="NEW"),"",INDEX(J$1:J2666,SUMPRODUCT(MAX(ROW(E$1:E2666)*(E2667=E$1:E2666)))))</f>
        <v> </v>
      </c>
      <c r="L2667" s="27"/>
    </row>
    <row r="2668" spans="1:12">
      <c r="A2668" s="20" t="s">
        <v>1020</v>
      </c>
      <c r="E2668" s="22">
        <f>IF(D2668="?OLD","!!!","")</f>
        <v/>
      </c>
      <c r="F2668" s="23" t="str">
        <f>IF(OR(E2668="",E2668="!!!"),"",IF(NOT(ISNA(VLOOKUP(E2668,E$1:E2667,1,FALSE()))),"OLD",IF(AND(E2668&lt;&gt;"",E2668&lt;&gt;"!!!"),"NEW","")))</f>
        <v> </v>
      </c>
      <c r="G2668" s="24" t="str">
        <f>IF(OR(E2668="",E2668="!!!"),"",IF(OR(J2668=0,AND(J2668=1,K2668=1),AND(J2668=1,I2668="SBJ"),AND(J2668=1,I2668=0)),"?IN_FOCUS",IF(J2668&lt;=2,"?ACTIVATED",IF(J2668&lt;&gt;"","?FAMILIAR",IF(F2668="NEW",IF(ISNA(VLOOKUP(E2668,#REF!,1,FALSE())),"?TYPE_IDENTIFIABLE","?REFERENTIAL"),"_")))))</f>
        <v> </v>
      </c>
      <c r="H2668" s="25" t="str">
        <f>IF(J2668&lt;&gt;1,"",IF(I2668="SBJ","CB","?"))</f>
        <v> </v>
      </c>
      <c r="I2668" s="26" t="str">
        <f>IF(OR(E2668="",E2668="!!!",F2668="NEW"),"",INDEX(B2667:B$2,-1+SUMPRODUCT(MAX(ROW(E2667:E$2)*(E2668=E2667:E$2)))))</f>
        <v> </v>
      </c>
      <c r="J2668" s="26" t="str">
        <f>IF(OR(E2668="",E2668="!!!",F2668="NEW"),"",COUNTBLANK(OFFSET(A$1,,,SUMPRODUCT(MAX(ROW(E$2:E2668)*(E2668=E$2:E2668)))))-COUNTBLANK(OFFSET(A$1,,,SUMPRODUCT(MAX(ROW(E$1:E2667)*(E2=E$1:E2667))))))</f>
        <v> </v>
      </c>
      <c r="K2668" s="26" t="str">
        <f>IF(OR(E2668="",E2668="!!!",F2668="NEW"),"",INDEX(J$1:J2667,SUMPRODUCT(MAX(ROW(E$1:E2667)*(E2668=E$1:E2667)))))</f>
        <v> </v>
      </c>
      <c r="L2668" s="27"/>
    </row>
    <row r="2669" spans="1:12">
      <c r="A2669" s="20" t="s">
        <v>1822</v>
      </c>
      <c r="B2669" s="21" t="s">
        <v>1033</v>
      </c>
      <c r="C2669" s="21" t="s">
        <v>1006</v>
      </c>
      <c r="D2669" s="21" t="s">
        <v>1007</v>
      </c>
      <c r="E2669" s="22">
        <f>IF(D2669="?OLD","!!!","")</f>
        <v/>
      </c>
      <c r="F2669" s="23" t="str">
        <f>IF(OR(E2669="",E2669="!!!"),"",IF(NOT(ISNA(VLOOKUP(E2669,E$1:E2668,1,FALSE()))),"OLD",IF(AND(E2669&lt;&gt;"",E2669&lt;&gt;"!!!"),"NEW","")))</f>
        <v> </v>
      </c>
      <c r="G2669" s="24" t="str">
        <f>IF(OR(E2669="",E2669="!!!"),"",IF(OR(J2669=0,AND(J2669=1,K2669=1),AND(J2669=1,I2669="SBJ"),AND(J2669=1,I2669=0)),"?IN_FOCUS",IF(J2669&lt;=2,"?ACTIVATED",IF(J2669&lt;&gt;"","?FAMILIAR",IF(F2669="NEW",IF(ISNA(VLOOKUP(E2669,#REF!,1,FALSE())),"?TYPE_IDENTIFIABLE","?REFERENTIAL"),"_")))))</f>
        <v> </v>
      </c>
      <c r="H2669" s="25" t="str">
        <f>IF(J2669&lt;&gt;1,"",IF(I2669="SBJ","CB","?"))</f>
        <v> </v>
      </c>
      <c r="I2669" s="26" t="str">
        <f>IF(OR(E2669="",E2669="!!!",F2669="NEW"),"",INDEX(B2668:B$2,-1+SUMPRODUCT(MAX(ROW(E2668:E$2)*(E2669=E2668:E$2)))))</f>
        <v> </v>
      </c>
      <c r="J2669" s="26" t="str">
        <f>IF(OR(E2669="",E2669="!!!",F2669="NEW"),"",COUNTBLANK(OFFSET(A$1,,,SUMPRODUCT(MAX(ROW(E$2:E2669)*(E2669=E$2:E2669)))))-COUNTBLANK(OFFSET(A$1,,,SUMPRODUCT(MAX(ROW(E$1:E2668)*(E2=E$1:E2668))))))</f>
        <v> </v>
      </c>
      <c r="K2669" s="26" t="str">
        <f>IF(OR(E2669="",E2669="!!!",F2669="NEW"),"",INDEX(J$1:J2668,SUMPRODUCT(MAX(ROW(E$1:E2668)*(E2669=E$1:E2668)))))</f>
        <v> </v>
      </c>
      <c r="L2669" s="27"/>
    </row>
    <row r="2670" spans="1:12">
      <c r="A2670" s="20" t="s">
        <v>1014</v>
      </c>
      <c r="E2670" s="22">
        <f>IF(D2670="?OLD","!!!","")</f>
        <v/>
      </c>
      <c r="F2670" s="23" t="str">
        <f>IF(OR(E2670="",E2670="!!!"),"",IF(NOT(ISNA(VLOOKUP(E2670,E$1:E2669,1,FALSE()))),"OLD",IF(AND(E2670&lt;&gt;"",E2670&lt;&gt;"!!!"),"NEW","")))</f>
        <v> </v>
      </c>
      <c r="G2670" s="24" t="str">
        <f>IF(OR(E2670="",E2670="!!!"),"",IF(OR(J2670=0,AND(J2670=1,K2670=1),AND(J2670=1,I2670="SBJ"),AND(J2670=1,I2670=0)),"?IN_FOCUS",IF(J2670&lt;=2,"?ACTIVATED",IF(J2670&lt;&gt;"","?FAMILIAR",IF(F2670="NEW",IF(ISNA(VLOOKUP(E2670,#REF!,1,FALSE())),"?TYPE_IDENTIFIABLE","?REFERENTIAL"),"_")))))</f>
        <v> </v>
      </c>
      <c r="H2670" s="25" t="str">
        <f>IF(J2670&lt;&gt;1,"",IF(I2670="SBJ","CB","?"))</f>
        <v> </v>
      </c>
      <c r="I2670" s="26" t="str">
        <f>IF(OR(E2670="",E2670="!!!",F2670="NEW"),"",INDEX(B2669:B$2,-1+SUMPRODUCT(MAX(ROW(E2669:E$2)*(E2670=E2669:E$2)))))</f>
        <v> </v>
      </c>
      <c r="J2670" s="26" t="str">
        <f>IF(OR(E2670="",E2670="!!!",F2670="NEW"),"",COUNTBLANK(OFFSET(A$1,,,SUMPRODUCT(MAX(ROW(E$2:E2670)*(E2670=E$2:E2670)))))-COUNTBLANK(OFFSET(A$1,,,SUMPRODUCT(MAX(ROW(E$1:E2669)*(E2=E$1:E2669))))))</f>
        <v> </v>
      </c>
      <c r="K2670" s="26" t="str">
        <f>IF(OR(E2670="",E2670="!!!",F2670="NEW"),"",INDEX(J$1:J2669,SUMPRODUCT(MAX(ROW(E$1:E2669)*(E2670=E$1:E2669)))))</f>
        <v> </v>
      </c>
      <c r="L2670" s="27"/>
    </row>
    <row r="2671" spans="1:12">
      <c r="A2671" s="20" t="s">
        <v>1838</v>
      </c>
      <c r="B2671" s="21" t="s">
        <v>1035</v>
      </c>
      <c r="C2671" s="21" t="s">
        <v>1006</v>
      </c>
      <c r="D2671" s="21" t="s">
        <v>1007</v>
      </c>
      <c r="E2671" s="22">
        <f>IF(D2671="?OLD","!!!","")</f>
        <v/>
      </c>
      <c r="F2671" s="23" t="str">
        <f>IF(OR(E2671="",E2671="!!!"),"",IF(NOT(ISNA(VLOOKUP(E2671,E$1:E2670,1,FALSE()))),"OLD",IF(AND(E2671&lt;&gt;"",E2671&lt;&gt;"!!!"),"NEW","")))</f>
        <v> </v>
      </c>
      <c r="G2671" s="24" t="str">
        <f>IF(OR(E2671="",E2671="!!!"),"",IF(OR(J2671=0,AND(J2671=1,K2671=1),AND(J2671=1,I2671="SBJ"),AND(J2671=1,I2671=0)),"?IN_FOCUS",IF(J2671&lt;=2,"?ACTIVATED",IF(J2671&lt;&gt;"","?FAMILIAR",IF(F2671="NEW",IF(ISNA(VLOOKUP(E2671,#REF!,1,FALSE())),"?TYPE_IDENTIFIABLE","?REFERENTIAL"),"_")))))</f>
        <v> </v>
      </c>
      <c r="H2671" s="25" t="str">
        <f>IF(J2671&lt;&gt;1,"",IF(I2671="SBJ","CB","?"))</f>
        <v> </v>
      </c>
      <c r="I2671" s="26" t="str">
        <f>IF(OR(E2671="",E2671="!!!",F2671="NEW"),"",INDEX(B2670:B$2,-1+SUMPRODUCT(MAX(ROW(E2670:E$2)*(E2671=E2670:E$2)))))</f>
        <v> </v>
      </c>
      <c r="J2671" s="26" t="str">
        <f>IF(OR(E2671="",E2671="!!!",F2671="NEW"),"",COUNTBLANK(OFFSET(A$1,,,SUMPRODUCT(MAX(ROW(E$2:E2671)*(E2671=E$2:E2671)))))-COUNTBLANK(OFFSET(A$1,,,SUMPRODUCT(MAX(ROW(E$1:E2670)*(E2=E$1:E2670))))))</f>
        <v> </v>
      </c>
      <c r="K2671" s="26" t="str">
        <f>IF(OR(E2671="",E2671="!!!",F2671="NEW"),"",INDEX(J$1:J2670,SUMPRODUCT(MAX(ROW(E$1:E2670)*(E2671=E$1:E2670)))))</f>
        <v> </v>
      </c>
      <c r="L2671" s="27"/>
    </row>
    <row r="2672" spans="1:12">
      <c r="A2672" s="20" t="s">
        <v>1014</v>
      </c>
      <c r="E2672" s="22">
        <f>IF(D2672="?OLD","!!!","")</f>
        <v/>
      </c>
      <c r="F2672" s="23" t="str">
        <f>IF(OR(E2672="",E2672="!!!"),"",IF(NOT(ISNA(VLOOKUP(E2672,E$1:E2671,1,FALSE()))),"OLD",IF(AND(E2672&lt;&gt;"",E2672&lt;&gt;"!!!"),"NEW","")))</f>
        <v> </v>
      </c>
      <c r="G2672" s="24" t="str">
        <f>IF(OR(E2672="",E2672="!!!"),"",IF(OR(J2672=0,AND(J2672=1,K2672=1),AND(J2672=1,I2672="SBJ"),AND(J2672=1,I2672=0)),"?IN_FOCUS",IF(J2672&lt;=2,"?ACTIVATED",IF(J2672&lt;&gt;"","?FAMILIAR",IF(F2672="NEW",IF(ISNA(VLOOKUP(E2672,#REF!,1,FALSE())),"?TYPE_IDENTIFIABLE","?REFERENTIAL"),"_")))))</f>
        <v> </v>
      </c>
      <c r="H2672" s="25" t="str">
        <f>IF(J2672&lt;&gt;1,"",IF(I2672="SBJ","CB","?"))</f>
        <v> </v>
      </c>
      <c r="I2672" s="26" t="str">
        <f>IF(OR(E2672="",E2672="!!!",F2672="NEW"),"",INDEX(B2671:B$2,-1+SUMPRODUCT(MAX(ROW(E2671:E$2)*(E2672=E2671:E$2)))))</f>
        <v> </v>
      </c>
      <c r="J2672" s="26" t="str">
        <f>IF(OR(E2672="",E2672="!!!",F2672="NEW"),"",COUNTBLANK(OFFSET(A$1,,,SUMPRODUCT(MAX(ROW(E$2:E2672)*(E2672=E$2:E2672)))))-COUNTBLANK(OFFSET(A$1,,,SUMPRODUCT(MAX(ROW(E$1:E2671)*(E2=E$1:E2671))))))</f>
        <v> </v>
      </c>
      <c r="K2672" s="26" t="str">
        <f>IF(OR(E2672="",E2672="!!!",F2672="NEW"),"",INDEX(J$1:J2671,SUMPRODUCT(MAX(ROW(E$1:E2671)*(E2672=E$1:E2671)))))</f>
        <v> </v>
      </c>
      <c r="L2672" s="27"/>
    </row>
    <row r="2673" spans="1:12">
      <c r="A2673" s="20" t="s">
        <v>102</v>
      </c>
      <c r="E2673" s="22">
        <f>IF(D2673="?OLD","!!!","")</f>
        <v/>
      </c>
      <c r="F2673" s="23" t="str">
        <f>IF(OR(E2673="",E2673="!!!"),"",IF(NOT(ISNA(VLOOKUP(E2673,E$1:E2672,1,FALSE()))),"OLD",IF(AND(E2673&lt;&gt;"",E2673&lt;&gt;"!!!"),"NEW","")))</f>
        <v> </v>
      </c>
      <c r="G2673" s="24" t="str">
        <f>IF(OR(E2673="",E2673="!!!"),"",IF(OR(J2673=0,AND(J2673=1,K2673=1),AND(J2673=1,I2673="SBJ"),AND(J2673=1,I2673=0)),"?IN_FOCUS",IF(J2673&lt;=2,"?ACTIVATED",IF(J2673&lt;&gt;"","?FAMILIAR",IF(F2673="NEW",IF(ISNA(VLOOKUP(E2673,#REF!,1,FALSE())),"?TYPE_IDENTIFIABLE","?REFERENTIAL"),"_")))))</f>
        <v> </v>
      </c>
      <c r="H2673" s="25" t="str">
        <f>IF(J2673&lt;&gt;1,"",IF(I2673="SBJ","CB","?"))</f>
        <v> </v>
      </c>
      <c r="I2673" s="26" t="str">
        <f>IF(OR(E2673="",E2673="!!!",F2673="NEW"),"",INDEX(B2672:B$2,-1+SUMPRODUCT(MAX(ROW(E2672:E$2)*(E2673=E2672:E$2)))))</f>
        <v> </v>
      </c>
      <c r="J2673" s="26" t="str">
        <f>IF(OR(E2673="",E2673="!!!",F2673="NEW"),"",COUNTBLANK(OFFSET(A$1,,,SUMPRODUCT(MAX(ROW(E$2:E2673)*(E2673=E$2:E2673)))))-COUNTBLANK(OFFSET(A$1,,,SUMPRODUCT(MAX(ROW(E$1:E2672)*(E2=E$1:E2672))))))</f>
        <v> </v>
      </c>
      <c r="K2673" s="26" t="str">
        <f>IF(OR(E2673="",E2673="!!!",F2673="NEW"),"",INDEX(J$1:J2672,SUMPRODUCT(MAX(ROW(E$1:E2672)*(E2673=E$1:E2672)))))</f>
        <v> </v>
      </c>
      <c r="L2673" s="27"/>
    </row>
    <row r="2674" spans="1:12">
      <c r="A2674" s="20" t="s">
        <v>1823</v>
      </c>
      <c r="B2674" s="21" t="s">
        <v>1035</v>
      </c>
      <c r="C2674" s="21" t="s">
        <v>1017</v>
      </c>
      <c r="D2674" s="21" t="s">
        <v>1007</v>
      </c>
      <c r="E2674" s="22">
        <f>IF(D2674="?OLD","!!!","")</f>
        <v/>
      </c>
      <c r="F2674" s="23" t="str">
        <f>IF(OR(E2674="",E2674="!!!"),"",IF(NOT(ISNA(VLOOKUP(E2674,E$1:E2673,1,FALSE()))),"OLD",IF(AND(E2674&lt;&gt;"",E2674&lt;&gt;"!!!"),"NEW","")))</f>
        <v> </v>
      </c>
      <c r="G2674" s="24" t="str">
        <f>IF(OR(E2674="",E2674="!!!"),"",IF(OR(J2674=0,AND(J2674=1,K2674=1),AND(J2674=1,I2674="SBJ"),AND(J2674=1,I2674=0)),"?IN_FOCUS",IF(J2674&lt;=2,"?ACTIVATED",IF(J2674&lt;&gt;"","?FAMILIAR",IF(F2674="NEW",IF(ISNA(VLOOKUP(E2674,#REF!,1,FALSE())),"?TYPE_IDENTIFIABLE","?REFERENTIAL"),"_")))))</f>
        <v> </v>
      </c>
      <c r="H2674" s="25" t="str">
        <f>IF(J2674&lt;&gt;1,"",IF(I2674="SBJ","CB","?"))</f>
        <v> </v>
      </c>
      <c r="I2674" s="26" t="str">
        <f>IF(OR(E2674="",E2674="!!!",F2674="NEW"),"",INDEX(B2673:B$2,-1+SUMPRODUCT(MAX(ROW(E2673:E$2)*(E2674=E2673:E$2)))))</f>
        <v> </v>
      </c>
      <c r="J2674" s="26" t="str">
        <f>IF(OR(E2674="",E2674="!!!",F2674="NEW"),"",COUNTBLANK(OFFSET(A$1,,,SUMPRODUCT(MAX(ROW(E$2:E2674)*(E2674=E$2:E2674)))))-COUNTBLANK(OFFSET(A$1,,,SUMPRODUCT(MAX(ROW(E$1:E2673)*(E2=E$1:E2673))))))</f>
        <v> </v>
      </c>
      <c r="K2674" s="26" t="str">
        <f>IF(OR(E2674="",E2674="!!!",F2674="NEW"),"",INDEX(J$1:J2673,SUMPRODUCT(MAX(ROW(E$1:E2673)*(E2674=E$1:E2673)))))</f>
        <v> </v>
      </c>
      <c r="L2674" s="27"/>
    </row>
    <row r="2675" spans="1:12">
      <c r="A2675" s="20" t="s">
        <v>1142</v>
      </c>
      <c r="E2675" s="22">
        <f>IF(D2675="?OLD","!!!","")</f>
        <v/>
      </c>
      <c r="F2675" s="23" t="str">
        <f>IF(OR(E2675="",E2675="!!!"),"",IF(NOT(ISNA(VLOOKUP(E2675,E$1:E2674,1,FALSE()))),"OLD",IF(AND(E2675&lt;&gt;"",E2675&lt;&gt;"!!!"),"NEW","")))</f>
        <v> </v>
      </c>
      <c r="G2675" s="24" t="str">
        <f>IF(OR(E2675="",E2675="!!!"),"",IF(OR(J2675=0,AND(J2675=1,K2675=1),AND(J2675=1,I2675="SBJ"),AND(J2675=1,I2675=0)),"?IN_FOCUS",IF(J2675&lt;=2,"?ACTIVATED",IF(J2675&lt;&gt;"","?FAMILIAR",IF(F2675="NEW",IF(ISNA(VLOOKUP(E2675,#REF!,1,FALSE())),"?TYPE_IDENTIFIABLE","?REFERENTIAL"),"_")))))</f>
        <v> </v>
      </c>
      <c r="H2675" s="25" t="str">
        <f>IF(J2675&lt;&gt;1,"",IF(I2675="SBJ","CB","?"))</f>
        <v> </v>
      </c>
      <c r="I2675" s="26" t="str">
        <f>IF(OR(E2675="",E2675="!!!",F2675="NEW"),"",INDEX(B2674:B$2,-1+SUMPRODUCT(MAX(ROW(E2674:E$2)*(E2675=E2674:E$2)))))</f>
        <v> </v>
      </c>
      <c r="J2675" s="26" t="str">
        <f>IF(OR(E2675="",E2675="!!!",F2675="NEW"),"",COUNTBLANK(OFFSET(A$1,,,SUMPRODUCT(MAX(ROW(E$2:E2675)*(E2675=E$2:E2675)))))-COUNTBLANK(OFFSET(A$1,,,SUMPRODUCT(MAX(ROW(E$1:E2674)*(E2=E$1:E2674))))))</f>
        <v> </v>
      </c>
      <c r="K2675" s="26" t="str">
        <f>IF(OR(E2675="",E2675="!!!",F2675="NEW"),"",INDEX(J$1:J2674,SUMPRODUCT(MAX(ROW(E$1:E2674)*(E2675=E$1:E2674)))))</f>
        <v> </v>
      </c>
      <c r="L2675" s="27"/>
    </row>
    <row r="2676" spans="1:12">
      <c r="A2676" s="20" t="s">
        <v>1839</v>
      </c>
      <c r="E2676" s="22">
        <f>IF(D2676="?OLD","!!!","")</f>
        <v/>
      </c>
      <c r="F2676" s="23" t="str">
        <f>IF(OR(E2676="",E2676="!!!"),"",IF(NOT(ISNA(VLOOKUP(E2676,E$1:E2675,1,FALSE()))),"OLD",IF(AND(E2676&lt;&gt;"",E2676&lt;&gt;"!!!"),"NEW","")))</f>
        <v> </v>
      </c>
      <c r="G2676" s="24" t="str">
        <f>IF(OR(E2676="",E2676="!!!"),"",IF(OR(J2676=0,AND(J2676=1,K2676=1),AND(J2676=1,I2676="SBJ"),AND(J2676=1,I2676=0)),"?IN_FOCUS",IF(J2676&lt;=2,"?ACTIVATED",IF(J2676&lt;&gt;"","?FAMILIAR",IF(F2676="NEW",IF(ISNA(VLOOKUP(E2676,#REF!,1,FALSE())),"?TYPE_IDENTIFIABLE","?REFERENTIAL"),"_")))))</f>
        <v> </v>
      </c>
      <c r="H2676" s="25" t="str">
        <f>IF(J2676&lt;&gt;1,"",IF(I2676="SBJ","CB","?"))</f>
        <v> </v>
      </c>
      <c r="I2676" s="26" t="str">
        <f>IF(OR(E2676="",E2676="!!!",F2676="NEW"),"",INDEX(B2675:B$2,-1+SUMPRODUCT(MAX(ROW(E2675:E$2)*(E2676=E2675:E$2)))))</f>
        <v> </v>
      </c>
      <c r="J2676" s="26" t="str">
        <f>IF(OR(E2676="",E2676="!!!",F2676="NEW"),"",COUNTBLANK(OFFSET(A$1,,,SUMPRODUCT(MAX(ROW(E$2:E2676)*(E2676=E$2:E2676)))))-COUNTBLANK(OFFSET(A$1,,,SUMPRODUCT(MAX(ROW(E$1:E2675)*(E2=E$1:E2675))))))</f>
        <v> </v>
      </c>
      <c r="K2676" s="26" t="str">
        <f>IF(OR(E2676="",E2676="!!!",F2676="NEW"),"",INDEX(J$1:J2675,SUMPRODUCT(MAX(ROW(E$1:E2675)*(E2676=E$1:E2675)))))</f>
        <v> </v>
      </c>
      <c r="L2676" s="27"/>
    </row>
    <row r="2677" spans="1:12">
      <c r="A2677" s="20" t="s">
        <v>1840</v>
      </c>
      <c r="B2677" s="21" t="s">
        <v>1029</v>
      </c>
      <c r="C2677" s="21" t="s">
        <v>1048</v>
      </c>
      <c r="E2677" s="22">
        <f>IF(D2677="?OLD","!!!","")</f>
        <v/>
      </c>
      <c r="F2677" s="23" t="str">
        <f>IF(OR(E2677="",E2677="!!!"),"",IF(NOT(ISNA(VLOOKUP(E2677,E$1:E2676,1,FALSE()))),"OLD",IF(AND(E2677&lt;&gt;"",E2677&lt;&gt;"!!!"),"NEW","")))</f>
        <v> </v>
      </c>
      <c r="G2677" s="24" t="str">
        <f>IF(OR(E2677="",E2677="!!!"),"",IF(OR(J2677=0,AND(J2677=1,K2677=1),AND(J2677=1,I2677="SBJ"),AND(J2677=1,I2677=0)),"?IN_FOCUS",IF(J2677&lt;=2,"?ACTIVATED",IF(J2677&lt;&gt;"","?FAMILIAR",IF(F2677="NEW",IF(ISNA(VLOOKUP(E2677,#REF!,1,FALSE())),"?TYPE_IDENTIFIABLE","?REFERENTIAL"),"_")))))</f>
        <v> </v>
      </c>
      <c r="H2677" s="25" t="str">
        <f>IF(J2677&lt;&gt;1,"",IF(I2677="SBJ","CB","?"))</f>
        <v> </v>
      </c>
      <c r="I2677" s="26" t="str">
        <f>IF(OR(E2677="",E2677="!!!",F2677="NEW"),"",INDEX(B2676:B$2,-1+SUMPRODUCT(MAX(ROW(E2676:E$2)*(E2677=E2676:E$2)))))</f>
        <v> </v>
      </c>
      <c r="J2677" s="26" t="str">
        <f>IF(OR(E2677="",E2677="!!!",F2677="NEW"),"",COUNTBLANK(OFFSET(A$1,,,SUMPRODUCT(MAX(ROW(E$2:E2677)*(E2677=E$2:E2677)))))-COUNTBLANK(OFFSET(A$1,,,SUMPRODUCT(MAX(ROW(E$1:E2676)*(E2=E$1:E2676))))))</f>
        <v> </v>
      </c>
      <c r="K2677" s="26" t="str">
        <f>IF(OR(E2677="",E2677="!!!",F2677="NEW"),"",INDEX(J$1:J2676,SUMPRODUCT(MAX(ROW(E$1:E2676)*(E2677=E$1:E2676)))))</f>
        <v> </v>
      </c>
      <c r="L2677" s="27"/>
    </row>
    <row r="2678" spans="1:12">
      <c r="A2678" s="20" t="s">
        <v>1014</v>
      </c>
      <c r="E2678" s="22">
        <f>IF(D2678="?OLD","!!!","")</f>
        <v/>
      </c>
      <c r="F2678" s="23" t="str">
        <f>IF(OR(E2678="",E2678="!!!"),"",IF(NOT(ISNA(VLOOKUP(E2678,E$1:E2677,1,FALSE()))),"OLD",IF(AND(E2678&lt;&gt;"",E2678&lt;&gt;"!!!"),"NEW","")))</f>
        <v> </v>
      </c>
      <c r="G2678" s="24" t="str">
        <f>IF(OR(E2678="",E2678="!!!"),"",IF(OR(J2678=0,AND(J2678=1,K2678=1),AND(J2678=1,I2678="SBJ"),AND(J2678=1,I2678=0)),"?IN_FOCUS",IF(J2678&lt;=2,"?ACTIVATED",IF(J2678&lt;&gt;"","?FAMILIAR",IF(F2678="NEW",IF(ISNA(VLOOKUP(E2678,#REF!,1,FALSE())),"?TYPE_IDENTIFIABLE","?REFERENTIAL"),"_")))))</f>
        <v> </v>
      </c>
      <c r="H2678" s="25" t="str">
        <f>IF(J2678&lt;&gt;1,"",IF(I2678="SBJ","CB","?"))</f>
        <v> </v>
      </c>
      <c r="I2678" s="26" t="str">
        <f>IF(OR(E2678="",E2678="!!!",F2678="NEW"),"",INDEX(B2677:B$2,-1+SUMPRODUCT(MAX(ROW(E2677:E$2)*(E2678=E2677:E$2)))))</f>
        <v> </v>
      </c>
      <c r="J2678" s="26" t="str">
        <f>IF(OR(E2678="",E2678="!!!",F2678="NEW"),"",COUNTBLANK(OFFSET(A$1,,,SUMPRODUCT(MAX(ROW(E$2:E2678)*(E2678=E$2:E2678)))))-COUNTBLANK(OFFSET(A$1,,,SUMPRODUCT(MAX(ROW(E$1:E2677)*(E2=E$1:E2677))))))</f>
        <v> </v>
      </c>
      <c r="K2678" s="26" t="str">
        <f>IF(OR(E2678="",E2678="!!!",F2678="NEW"),"",INDEX(J$1:J2677,SUMPRODUCT(MAX(ROW(E$1:E2677)*(E2678=E$1:E2677)))))</f>
        <v> </v>
      </c>
      <c r="L2678" s="27"/>
    </row>
    <row r="2679" spans="1:12">
      <c r="A2679" s="20" t="s">
        <v>1065</v>
      </c>
      <c r="E2679" s="22">
        <f>IF(D2679="?OLD","!!!","")</f>
        <v/>
      </c>
      <c r="F2679" s="23" t="str">
        <f>IF(OR(E2679="",E2679="!!!"),"",IF(NOT(ISNA(VLOOKUP(E2679,E$1:E2678,1,FALSE()))),"OLD",IF(AND(E2679&lt;&gt;"",E2679&lt;&gt;"!!!"),"NEW","")))</f>
        <v> </v>
      </c>
      <c r="G2679" s="24" t="str">
        <f>IF(OR(E2679="",E2679="!!!"),"",IF(OR(J2679=0,AND(J2679=1,K2679=1),AND(J2679=1,I2679="SBJ"),AND(J2679=1,I2679=0)),"?IN_FOCUS",IF(J2679&lt;=2,"?ACTIVATED",IF(J2679&lt;&gt;"","?FAMILIAR",IF(F2679="NEW",IF(ISNA(VLOOKUP(E2679,#REF!,1,FALSE())),"?TYPE_IDENTIFIABLE","?REFERENTIAL"),"_")))))</f>
        <v> </v>
      </c>
      <c r="H2679" s="25" t="str">
        <f>IF(J2679&lt;&gt;1,"",IF(I2679="SBJ","CB","?"))</f>
        <v> </v>
      </c>
      <c r="I2679" s="26" t="str">
        <f>IF(OR(E2679="",E2679="!!!",F2679="NEW"),"",INDEX(B2678:B$2,-1+SUMPRODUCT(MAX(ROW(E2678:E$2)*(E2679=E2678:E$2)))))</f>
        <v> </v>
      </c>
      <c r="J2679" s="26" t="str">
        <f>IF(OR(E2679="",E2679="!!!",F2679="NEW"),"",COUNTBLANK(OFFSET(A$1,,,SUMPRODUCT(MAX(ROW(E$2:E2679)*(E2679=E$2:E2679)))))-COUNTBLANK(OFFSET(A$1,,,SUMPRODUCT(MAX(ROW(E$1:E2678)*(E2=E$1:E2678))))))</f>
        <v> </v>
      </c>
      <c r="K2679" s="26" t="str">
        <f>IF(OR(E2679="",E2679="!!!",F2679="NEW"),"",INDEX(J$1:J2678,SUMPRODUCT(MAX(ROW(E$1:E2678)*(E2679=E$1:E2678)))))</f>
        <v> </v>
      </c>
      <c r="L2679" s="27"/>
    </row>
    <row r="2680" spans="1:12">
      <c r="A2680" s="20" t="s">
        <v>1027</v>
      </c>
      <c r="E2680" s="22">
        <f>IF(D2680="?OLD","!!!","")</f>
        <v/>
      </c>
      <c r="F2680" s="23" t="str">
        <f>IF(OR(E2680="",E2680="!!!"),"",IF(NOT(ISNA(VLOOKUP(E2680,E$1:E2679,1,FALSE()))),"OLD",IF(AND(E2680&lt;&gt;"",E2680&lt;&gt;"!!!"),"NEW","")))</f>
        <v> </v>
      </c>
      <c r="G2680" s="24" t="str">
        <f>IF(OR(E2680="",E2680="!!!"),"",IF(OR(J2680=0,AND(J2680=1,K2680=1),AND(J2680=1,I2680="SBJ"),AND(J2680=1,I2680=0)),"?IN_FOCUS",IF(J2680&lt;=2,"?ACTIVATED",IF(J2680&lt;&gt;"","?FAMILIAR",IF(F2680="NEW",IF(ISNA(VLOOKUP(E2680,#REF!,1,FALSE())),"?TYPE_IDENTIFIABLE","?REFERENTIAL"),"_")))))</f>
        <v> </v>
      </c>
      <c r="H2680" s="25" t="str">
        <f>IF(J2680&lt;&gt;1,"",IF(I2680="SBJ","CB","?"))</f>
        <v> </v>
      </c>
      <c r="I2680" s="26" t="str">
        <f>IF(OR(E2680="",E2680="!!!",F2680="NEW"),"",INDEX(B2679:B$2,-1+SUMPRODUCT(MAX(ROW(E2679:E$2)*(E2680=E2679:E$2)))))</f>
        <v> </v>
      </c>
      <c r="J2680" s="26" t="str">
        <f>IF(OR(E2680="",E2680="!!!",F2680="NEW"),"",COUNTBLANK(OFFSET(A$1,,,SUMPRODUCT(MAX(ROW(E$2:E2680)*(E2680=E$2:E2680)))))-COUNTBLANK(OFFSET(A$1,,,SUMPRODUCT(MAX(ROW(E$1:E2679)*(E2=E$1:E2679))))))</f>
        <v> </v>
      </c>
      <c r="K2680" s="26" t="str">
        <f>IF(OR(E2680="",E2680="!!!",F2680="NEW"),"",INDEX(J$1:J2679,SUMPRODUCT(MAX(ROW(E$1:E2679)*(E2680=E$1:E2679)))))</f>
        <v> </v>
      </c>
      <c r="L2680" s="27"/>
    </row>
    <row r="2681" spans="1:12">
      <c r="A2681" s="20" t="s">
        <v>1774</v>
      </c>
      <c r="B2681" s="21" t="s">
        <v>1263</v>
      </c>
      <c r="C2681" s="21" t="s">
        <v>1017</v>
      </c>
      <c r="D2681" s="21" t="s">
        <v>1007</v>
      </c>
      <c r="E2681" s="22">
        <f>IF(D2681="?OLD","!!!","")</f>
        <v/>
      </c>
      <c r="F2681" s="23" t="str">
        <f>IF(OR(E2681="",E2681="!!!"),"",IF(NOT(ISNA(VLOOKUP(E2681,E$1:E2680,1,FALSE()))),"OLD",IF(AND(E2681&lt;&gt;"",E2681&lt;&gt;"!!!"),"NEW","")))</f>
        <v> </v>
      </c>
      <c r="G2681" s="24" t="str">
        <f>IF(OR(E2681="",E2681="!!!"),"",IF(OR(J2681=0,AND(J2681=1,K2681=1),AND(J2681=1,I2681="SBJ"),AND(J2681=1,I2681=0)),"?IN_FOCUS",IF(J2681&lt;=2,"?ACTIVATED",IF(J2681&lt;&gt;"","?FAMILIAR",IF(F2681="NEW",IF(ISNA(VLOOKUP(E2681,#REF!,1,FALSE())),"?TYPE_IDENTIFIABLE","?REFERENTIAL"),"_")))))</f>
        <v> </v>
      </c>
      <c r="H2681" s="25" t="str">
        <f>IF(J2681&lt;&gt;1,"",IF(I2681="SBJ","CB","?"))</f>
        <v> </v>
      </c>
      <c r="I2681" s="26" t="str">
        <f>IF(OR(E2681="",E2681="!!!",F2681="NEW"),"",INDEX(B2680:B$2,-1+SUMPRODUCT(MAX(ROW(E2680:E$2)*(E2681=E2680:E$2)))))</f>
        <v> </v>
      </c>
      <c r="J2681" s="26" t="str">
        <f>IF(OR(E2681="",E2681="!!!",F2681="NEW"),"",COUNTBLANK(OFFSET(A$1,,,SUMPRODUCT(MAX(ROW(E$2:E2681)*(E2681=E$2:E2681)))))-COUNTBLANK(OFFSET(A$1,,,SUMPRODUCT(MAX(ROW(E$1:E2680)*(E2=E$1:E2680))))))</f>
        <v> </v>
      </c>
      <c r="K2681" s="26" t="str">
        <f>IF(OR(E2681="",E2681="!!!",F2681="NEW"),"",INDEX(J$1:J2680,SUMPRODUCT(MAX(ROW(E$1:E2680)*(E2681=E$1:E2680)))))</f>
        <v> </v>
      </c>
      <c r="L2681" s="27"/>
    </row>
    <row r="2682" spans="1:12">
      <c r="A2682" s="20" t="s">
        <v>1387</v>
      </c>
      <c r="E2682" s="22">
        <f>IF(D2682="?OLD","!!!","")</f>
        <v/>
      </c>
      <c r="F2682" s="23" t="str">
        <f>IF(OR(E2682="",E2682="!!!"),"",IF(NOT(ISNA(VLOOKUP(E2682,E$1:E2681,1,FALSE()))),"OLD",IF(AND(E2682&lt;&gt;"",E2682&lt;&gt;"!!!"),"NEW","")))</f>
        <v> </v>
      </c>
      <c r="G2682" s="24" t="str">
        <f>IF(OR(E2682="",E2682="!!!"),"",IF(OR(J2682=0,AND(J2682=1,K2682=1),AND(J2682=1,I2682="SBJ"),AND(J2682=1,I2682=0)),"?IN_FOCUS",IF(J2682&lt;=2,"?ACTIVATED",IF(J2682&lt;&gt;"","?FAMILIAR",IF(F2682="NEW",IF(ISNA(VLOOKUP(E2682,#REF!,1,FALSE())),"?TYPE_IDENTIFIABLE","?REFERENTIAL"),"_")))))</f>
        <v> </v>
      </c>
      <c r="H2682" s="25" t="str">
        <f>IF(J2682&lt;&gt;1,"",IF(I2682="SBJ","CB","?"))</f>
        <v> </v>
      </c>
      <c r="I2682" s="26" t="str">
        <f>IF(OR(E2682="",E2682="!!!",F2682="NEW"),"",INDEX(B2681:B$2,-1+SUMPRODUCT(MAX(ROW(E2681:E$2)*(E2682=E2681:E$2)))))</f>
        <v> </v>
      </c>
      <c r="J2682" s="26" t="str">
        <f>IF(OR(E2682="",E2682="!!!",F2682="NEW"),"",COUNTBLANK(OFFSET(A$1,,,SUMPRODUCT(MAX(ROW(E$2:E2682)*(E2682=E$2:E2682)))))-COUNTBLANK(OFFSET(A$1,,,SUMPRODUCT(MAX(ROW(E$1:E2681)*(E2=E$1:E2681))))))</f>
        <v> </v>
      </c>
      <c r="K2682" s="26" t="str">
        <f>IF(OR(E2682="",E2682="!!!",F2682="NEW"),"",INDEX(J$1:J2681,SUMPRODUCT(MAX(ROW(E$1:E2681)*(E2682=E$1:E2681)))))</f>
        <v> </v>
      </c>
      <c r="L2682" s="27"/>
    </row>
    <row r="2683" spans="1:12">
      <c r="A2683" s="20" t="s">
        <v>1020</v>
      </c>
      <c r="E2683" s="22">
        <f>IF(D2683="?OLD","!!!","")</f>
        <v/>
      </c>
      <c r="F2683" s="23" t="str">
        <f>IF(OR(E2683="",E2683="!!!"),"",IF(NOT(ISNA(VLOOKUP(E2683,E$1:E2682,1,FALSE()))),"OLD",IF(AND(E2683&lt;&gt;"",E2683&lt;&gt;"!!!"),"NEW","")))</f>
        <v> </v>
      </c>
      <c r="G2683" s="24" t="str">
        <f>IF(OR(E2683="",E2683="!!!"),"",IF(OR(J2683=0,AND(J2683=1,K2683=1),AND(J2683=1,I2683="SBJ"),AND(J2683=1,I2683=0)),"?IN_FOCUS",IF(J2683&lt;=2,"?ACTIVATED",IF(J2683&lt;&gt;"","?FAMILIAR",IF(F2683="NEW",IF(ISNA(VLOOKUP(E2683,#REF!,1,FALSE())),"?TYPE_IDENTIFIABLE","?REFERENTIAL"),"_")))))</f>
        <v> </v>
      </c>
      <c r="H2683" s="25" t="str">
        <f>IF(J2683&lt;&gt;1,"",IF(I2683="SBJ","CB","?"))</f>
        <v> </v>
      </c>
      <c r="I2683" s="26" t="str">
        <f>IF(OR(E2683="",E2683="!!!",F2683="NEW"),"",INDEX(B2682:B$2,-1+SUMPRODUCT(MAX(ROW(E2682:E$2)*(E2683=E2682:E$2)))))</f>
        <v> </v>
      </c>
      <c r="J2683" s="26" t="str">
        <f>IF(OR(E2683="",E2683="!!!",F2683="NEW"),"",COUNTBLANK(OFFSET(A$1,,,SUMPRODUCT(MAX(ROW(E$2:E2683)*(E2683=E$2:E2683)))))-COUNTBLANK(OFFSET(A$1,,,SUMPRODUCT(MAX(ROW(E$1:E2682)*(E2=E$1:E2682))))))</f>
        <v> </v>
      </c>
      <c r="K2683" s="26" t="str">
        <f>IF(OR(E2683="",E2683="!!!",F2683="NEW"),"",INDEX(J$1:J2682,SUMPRODUCT(MAX(ROW(E$1:E2682)*(E2683=E$1:E2682)))))</f>
        <v> </v>
      </c>
      <c r="L2683" s="27"/>
    </row>
    <row r="2684" spans="1:12">
      <c r="A2684" s="20" t="s">
        <v>238</v>
      </c>
      <c r="E2684" s="22">
        <f>IF(D2684="?OLD","!!!","")</f>
        <v/>
      </c>
      <c r="F2684" s="23" t="str">
        <f>IF(OR(E2684="",E2684="!!!"),"",IF(NOT(ISNA(VLOOKUP(E2684,E$1:E2683,1,FALSE()))),"OLD",IF(AND(E2684&lt;&gt;"",E2684&lt;&gt;"!!!"),"NEW","")))</f>
        <v> </v>
      </c>
      <c r="G2684" s="24" t="str">
        <f>IF(OR(E2684="",E2684="!!!"),"",IF(OR(J2684=0,AND(J2684=1,K2684=1),AND(J2684=1,I2684="SBJ"),AND(J2684=1,I2684=0)),"?IN_FOCUS",IF(J2684&lt;=2,"?ACTIVATED",IF(J2684&lt;&gt;"","?FAMILIAR",IF(F2684="NEW",IF(ISNA(VLOOKUP(E2684,#REF!,1,FALSE())),"?TYPE_IDENTIFIABLE","?REFERENTIAL"),"_")))))</f>
        <v> </v>
      </c>
      <c r="H2684" s="25" t="str">
        <f>IF(J2684&lt;&gt;1,"",IF(I2684="SBJ","CB","?"))</f>
        <v> </v>
      </c>
      <c r="I2684" s="26" t="str">
        <f>IF(OR(E2684="",E2684="!!!",F2684="NEW"),"",INDEX(B2683:B$2,-1+SUMPRODUCT(MAX(ROW(E2683:E$2)*(E2684=E2683:E$2)))))</f>
        <v> </v>
      </c>
      <c r="J2684" s="26" t="str">
        <f>IF(OR(E2684="",E2684="!!!",F2684="NEW"),"",COUNTBLANK(OFFSET(A$1,,,SUMPRODUCT(MAX(ROW(E$2:E2684)*(E2684=E$2:E2684)))))-COUNTBLANK(OFFSET(A$1,,,SUMPRODUCT(MAX(ROW(E$1:E2683)*(E2=E$1:E2683))))))</f>
        <v> </v>
      </c>
      <c r="K2684" s="26" t="str">
        <f>IF(OR(E2684="",E2684="!!!",F2684="NEW"),"",INDEX(J$1:J2683,SUMPRODUCT(MAX(ROW(E$1:E2683)*(E2684=E$1:E2683)))))</f>
        <v> </v>
      </c>
      <c r="L2684" s="27"/>
    </row>
    <row r="2685" spans="1:12">
      <c r="A2685" s="20" t="s">
        <v>1841</v>
      </c>
      <c r="E2685" s="22">
        <f>IF(D2685="?OLD","!!!","")</f>
        <v/>
      </c>
      <c r="F2685" s="23" t="str">
        <f>IF(OR(E2685="",E2685="!!!"),"",IF(NOT(ISNA(VLOOKUP(E2685,E$1:E2684,1,FALSE()))),"OLD",IF(AND(E2685&lt;&gt;"",E2685&lt;&gt;"!!!"),"NEW","")))</f>
        <v> </v>
      </c>
      <c r="G2685" s="24" t="str">
        <f>IF(OR(E2685="",E2685="!!!"),"",IF(OR(J2685=0,AND(J2685=1,K2685=1),AND(J2685=1,I2685="SBJ"),AND(J2685=1,I2685=0)),"?IN_FOCUS",IF(J2685&lt;=2,"?ACTIVATED",IF(J2685&lt;&gt;"","?FAMILIAR",IF(F2685="NEW",IF(ISNA(VLOOKUP(E2685,#REF!,1,FALSE())),"?TYPE_IDENTIFIABLE","?REFERENTIAL"),"_")))))</f>
        <v> </v>
      </c>
      <c r="H2685" s="25" t="str">
        <f>IF(J2685&lt;&gt;1,"",IF(I2685="SBJ","CB","?"))</f>
        <v> </v>
      </c>
      <c r="I2685" s="26" t="str">
        <f>IF(OR(E2685="",E2685="!!!",F2685="NEW"),"",INDEX(B2684:B$2,-1+SUMPRODUCT(MAX(ROW(E2684:E$2)*(E2685=E2684:E$2)))))</f>
        <v> </v>
      </c>
      <c r="J2685" s="26" t="str">
        <f>IF(OR(E2685="",E2685="!!!",F2685="NEW"),"",COUNTBLANK(OFFSET(A$1,,,SUMPRODUCT(MAX(ROW(E$2:E2685)*(E2685=E$2:E2685)))))-COUNTBLANK(OFFSET(A$1,,,SUMPRODUCT(MAX(ROW(E$1:E2684)*(E2=E$1:E2684))))))</f>
        <v> </v>
      </c>
      <c r="K2685" s="26" t="str">
        <f>IF(OR(E2685="",E2685="!!!",F2685="NEW"),"",INDEX(J$1:J2684,SUMPRODUCT(MAX(ROW(E$1:E2684)*(E2685=E$1:E2684)))))</f>
        <v> </v>
      </c>
      <c r="L2685" s="27"/>
    </row>
    <row r="2686" spans="1:12">
      <c r="A2686" s="20" t="s">
        <v>1775</v>
      </c>
      <c r="B2686" s="21" t="s">
        <v>1263</v>
      </c>
      <c r="C2686" s="21" t="s">
        <v>1013</v>
      </c>
      <c r="D2686" s="21" t="s">
        <v>1007</v>
      </c>
      <c r="E2686" s="22">
        <f>IF(D2686="?OLD","!!!","")</f>
        <v/>
      </c>
      <c r="F2686" s="23" t="str">
        <f>IF(OR(E2686="",E2686="!!!"),"",IF(NOT(ISNA(VLOOKUP(E2686,E$1:E2685,1,FALSE()))),"OLD",IF(AND(E2686&lt;&gt;"",E2686&lt;&gt;"!!!"),"NEW","")))</f>
        <v> </v>
      </c>
      <c r="G2686" s="24" t="str">
        <f>IF(OR(E2686="",E2686="!!!"),"",IF(OR(J2686=0,AND(J2686=1,K2686=1),AND(J2686=1,I2686="SBJ"),AND(J2686=1,I2686=0)),"?IN_FOCUS",IF(J2686&lt;=2,"?ACTIVATED",IF(J2686&lt;&gt;"","?FAMILIAR",IF(F2686="NEW",IF(ISNA(VLOOKUP(E2686,#REF!,1,FALSE())),"?TYPE_IDENTIFIABLE","?REFERENTIAL"),"_")))))</f>
        <v> </v>
      </c>
      <c r="H2686" s="25" t="str">
        <f>IF(J2686&lt;&gt;1,"",IF(I2686="SBJ","CB","?"))</f>
        <v> </v>
      </c>
      <c r="I2686" s="26" t="str">
        <f>IF(OR(E2686="",E2686="!!!",F2686="NEW"),"",INDEX(B2685:B$2,-1+SUMPRODUCT(MAX(ROW(E2685:E$2)*(E2686=E2685:E$2)))))</f>
        <v> </v>
      </c>
      <c r="J2686" s="26" t="str">
        <f>IF(OR(E2686="",E2686="!!!",F2686="NEW"),"",COUNTBLANK(OFFSET(A$1,,,SUMPRODUCT(MAX(ROW(E$2:E2686)*(E2686=E$2:E2686)))))-COUNTBLANK(OFFSET(A$1,,,SUMPRODUCT(MAX(ROW(E$1:E2685)*(E2=E$1:E2685))))))</f>
        <v> </v>
      </c>
      <c r="K2686" s="26" t="str">
        <f>IF(OR(E2686="",E2686="!!!",F2686="NEW"),"",INDEX(J$1:J2685,SUMPRODUCT(MAX(ROW(E$1:E2685)*(E2686=E$1:E2685)))))</f>
        <v> </v>
      </c>
      <c r="L2686" s="27"/>
    </row>
    <row r="2687" spans="1:12">
      <c r="A2687" s="20" t="s">
        <v>1014</v>
      </c>
      <c r="E2687" s="22">
        <f>IF(D2687="?OLD","!!!","")</f>
        <v/>
      </c>
      <c r="F2687" s="23" t="str">
        <f>IF(OR(E2687="",E2687="!!!"),"",IF(NOT(ISNA(VLOOKUP(E2687,E$1:E2686,1,FALSE()))),"OLD",IF(AND(E2687&lt;&gt;"",E2687&lt;&gt;"!!!"),"NEW","")))</f>
        <v> </v>
      </c>
      <c r="G2687" s="24" t="str">
        <f>IF(OR(E2687="",E2687="!!!"),"",IF(OR(J2687=0,AND(J2687=1,K2687=1),AND(J2687=1,I2687="SBJ"),AND(J2687=1,I2687=0)),"?IN_FOCUS",IF(J2687&lt;=2,"?ACTIVATED",IF(J2687&lt;&gt;"","?FAMILIAR",IF(F2687="NEW",IF(ISNA(VLOOKUP(E2687,#REF!,1,FALSE())),"?TYPE_IDENTIFIABLE","?REFERENTIAL"),"_")))))</f>
        <v> </v>
      </c>
      <c r="H2687" s="25" t="str">
        <f>IF(J2687&lt;&gt;1,"",IF(I2687="SBJ","CB","?"))</f>
        <v> </v>
      </c>
      <c r="I2687" s="26" t="str">
        <f>IF(OR(E2687="",E2687="!!!",F2687="NEW"),"",INDEX(B2686:B$2,-1+SUMPRODUCT(MAX(ROW(E2686:E$2)*(E2687=E2686:E$2)))))</f>
        <v> </v>
      </c>
      <c r="J2687" s="26" t="str">
        <f>IF(OR(E2687="",E2687="!!!",F2687="NEW"),"",COUNTBLANK(OFFSET(A$1,,,SUMPRODUCT(MAX(ROW(E$2:E2687)*(E2687=E$2:E2687)))))-COUNTBLANK(OFFSET(A$1,,,SUMPRODUCT(MAX(ROW(E$1:E2686)*(E2=E$1:E2686))))))</f>
        <v> </v>
      </c>
      <c r="K2687" s="26" t="str">
        <f>IF(OR(E2687="",E2687="!!!",F2687="NEW"),"",INDEX(J$1:J2686,SUMPRODUCT(MAX(ROW(E$1:E2686)*(E2687=E$1:E2686)))))</f>
        <v> </v>
      </c>
      <c r="L2687" s="27"/>
    </row>
    <row r="2688" spans="1:12">
      <c r="A2688" s="20" t="s">
        <v>1776</v>
      </c>
      <c r="B2688" s="21" t="s">
        <v>1040</v>
      </c>
      <c r="C2688" s="21" t="s">
        <v>1013</v>
      </c>
      <c r="D2688" s="21" t="s">
        <v>1007</v>
      </c>
      <c r="E2688" s="22">
        <f>IF(D2688="?OLD","!!!","")</f>
        <v/>
      </c>
      <c r="F2688" s="23" t="str">
        <f>IF(OR(E2688="",E2688="!!!"),"",IF(NOT(ISNA(VLOOKUP(E2688,E$1:E2687,1,FALSE()))),"OLD",IF(AND(E2688&lt;&gt;"",E2688&lt;&gt;"!!!"),"NEW","")))</f>
        <v> </v>
      </c>
      <c r="G2688" s="24" t="str">
        <f>IF(OR(E2688="",E2688="!!!"),"",IF(OR(J2688=0,AND(J2688=1,K2688=1),AND(J2688=1,I2688="SBJ"),AND(J2688=1,I2688=0)),"?IN_FOCUS",IF(J2688&lt;=2,"?ACTIVATED",IF(J2688&lt;&gt;"","?FAMILIAR",IF(F2688="NEW",IF(ISNA(VLOOKUP(E2688,#REF!,1,FALSE())),"?TYPE_IDENTIFIABLE","?REFERENTIAL"),"_")))))</f>
        <v> </v>
      </c>
      <c r="H2688" s="25" t="str">
        <f>IF(J2688&lt;&gt;1,"",IF(I2688="SBJ","CB","?"))</f>
        <v> </v>
      </c>
      <c r="I2688" s="26" t="str">
        <f>IF(OR(E2688="",E2688="!!!",F2688="NEW"),"",INDEX(B2687:B$2,-1+SUMPRODUCT(MAX(ROW(E2687:E$2)*(E2688=E2687:E$2)))))</f>
        <v> </v>
      </c>
      <c r="J2688" s="26" t="str">
        <f>IF(OR(E2688="",E2688="!!!",F2688="NEW"),"",COUNTBLANK(OFFSET(A$1,,,SUMPRODUCT(MAX(ROW(E$2:E2688)*(E2688=E$2:E2688)))))-COUNTBLANK(OFFSET(A$1,,,SUMPRODUCT(MAX(ROW(E$1:E2687)*(E2=E$1:E2687))))))</f>
        <v> </v>
      </c>
      <c r="K2688" s="26" t="str">
        <f>IF(OR(E2688="",E2688="!!!",F2688="NEW"),"",INDEX(J$1:J2687,SUMPRODUCT(MAX(ROW(E$1:E2687)*(E2688=E$1:E2687)))))</f>
        <v> </v>
      </c>
      <c r="L2688" s="27"/>
    </row>
    <row r="2689" spans="1:12">
      <c r="A2689" s="20" t="s">
        <v>1036</v>
      </c>
      <c r="E2689" s="22">
        <f>IF(D2689="?OLD","!!!","")</f>
        <v/>
      </c>
      <c r="F2689" s="23" t="str">
        <f>IF(OR(E2689="",E2689="!!!"),"",IF(NOT(ISNA(VLOOKUP(E2689,E$1:E2688,1,FALSE()))),"OLD",IF(AND(E2689&lt;&gt;"",E2689&lt;&gt;"!!!"),"NEW","")))</f>
        <v> </v>
      </c>
      <c r="G2689" s="24" t="str">
        <f>IF(OR(E2689="",E2689="!!!"),"",IF(OR(J2689=0,AND(J2689=1,K2689=1),AND(J2689=1,I2689="SBJ"),AND(J2689=1,I2689=0)),"?IN_FOCUS",IF(J2689&lt;=2,"?ACTIVATED",IF(J2689&lt;&gt;"","?FAMILIAR",IF(F2689="NEW",IF(ISNA(VLOOKUP(E2689,#REF!,1,FALSE())),"?TYPE_IDENTIFIABLE","?REFERENTIAL"),"_")))))</f>
        <v> </v>
      </c>
      <c r="H2689" s="25" t="str">
        <f>IF(J2689&lt;&gt;1,"",IF(I2689="SBJ","CB","?"))</f>
        <v> </v>
      </c>
      <c r="I2689" s="26" t="str">
        <f>IF(OR(E2689="",E2689="!!!",F2689="NEW"),"",INDEX(B2688:B$2,-1+SUMPRODUCT(MAX(ROW(E2688:E$2)*(E2689=E2688:E$2)))))</f>
        <v> </v>
      </c>
      <c r="J2689" s="26" t="str">
        <f>IF(OR(E2689="",E2689="!!!",F2689="NEW"),"",COUNTBLANK(OFFSET(A$1,,,SUMPRODUCT(MAX(ROW(E$2:E2689)*(E2689=E$2:E2689)))))-COUNTBLANK(OFFSET(A$1,,,SUMPRODUCT(MAX(ROW(E$1:E2688)*(E2=E$1:E2688))))))</f>
        <v> </v>
      </c>
      <c r="K2689" s="26" t="str">
        <f>IF(OR(E2689="",E2689="!!!",F2689="NEW"),"",INDEX(J$1:J2688,SUMPRODUCT(MAX(ROW(E$1:E2688)*(E2689=E$1:E2688)))))</f>
        <v> </v>
      </c>
      <c r="L2689" s="27"/>
    </row>
    <row r="2690" spans="1:12">
      <c r="A2690" s="20" t="s">
        <v>1204</v>
      </c>
      <c r="B2690" s="21" t="s">
        <v>1042</v>
      </c>
      <c r="C2690" s="21" t="s">
        <v>1048</v>
      </c>
      <c r="E2690" s="22">
        <f>IF(D2690="?OLD","!!!","")</f>
        <v/>
      </c>
      <c r="F2690" s="23" t="str">
        <f>IF(OR(E2690="",E2690="!!!"),"",IF(NOT(ISNA(VLOOKUP(E2690,E$1:E2689,1,FALSE()))),"OLD",IF(AND(E2690&lt;&gt;"",E2690&lt;&gt;"!!!"),"NEW","")))</f>
        <v> </v>
      </c>
      <c r="G2690" s="24" t="str">
        <f>IF(OR(E2690="",E2690="!!!"),"",IF(OR(J2690=0,AND(J2690=1,K2690=1),AND(J2690=1,I2690="SBJ"),AND(J2690=1,I2690=0)),"?IN_FOCUS",IF(J2690&lt;=2,"?ACTIVATED",IF(J2690&lt;&gt;"","?FAMILIAR",IF(F2690="NEW",IF(ISNA(VLOOKUP(E2690,#REF!,1,FALSE())),"?TYPE_IDENTIFIABLE","?REFERENTIAL"),"_")))))</f>
        <v> </v>
      </c>
      <c r="H2690" s="25" t="str">
        <f>IF(J2690&lt;&gt;1,"",IF(I2690="SBJ","CB","?"))</f>
        <v> </v>
      </c>
      <c r="I2690" s="26" t="str">
        <f>IF(OR(E2690="",E2690="!!!",F2690="NEW"),"",INDEX(B2689:B$2,-1+SUMPRODUCT(MAX(ROW(E2689:E$2)*(E2690=E2689:E$2)))))</f>
        <v> </v>
      </c>
      <c r="J2690" s="26" t="str">
        <f>IF(OR(E2690="",E2690="!!!",F2690="NEW"),"",COUNTBLANK(OFFSET(A$1,,,SUMPRODUCT(MAX(ROW(E$2:E2690)*(E2690=E$2:E2690)))))-COUNTBLANK(OFFSET(A$1,,,SUMPRODUCT(MAX(ROW(E$1:E2689)*(E2=E$1:E2689))))))</f>
        <v> </v>
      </c>
      <c r="K2690" s="26" t="str">
        <f>IF(OR(E2690="",E2690="!!!",F2690="NEW"),"",INDEX(J$1:J2689,SUMPRODUCT(MAX(ROW(E$1:E2689)*(E2690=E$1:E2689)))))</f>
        <v> </v>
      </c>
      <c r="L2690" s="27"/>
    </row>
    <row r="2691" spans="1:12">
      <c r="A2691" s="20" t="s">
        <v>1077</v>
      </c>
      <c r="E2691" s="22">
        <f>IF(D2691="?OLD","!!!","")</f>
        <v/>
      </c>
      <c r="F2691" s="23" t="str">
        <f>IF(OR(E2691="",E2691="!!!"),"",IF(NOT(ISNA(VLOOKUP(E2691,E$1:E2690,1,FALSE()))),"OLD",IF(AND(E2691&lt;&gt;"",E2691&lt;&gt;"!!!"),"NEW","")))</f>
        <v> </v>
      </c>
      <c r="G2691" s="24" t="str">
        <f>IF(OR(E2691="",E2691="!!!"),"",IF(OR(J2691=0,AND(J2691=1,K2691=1),AND(J2691=1,I2691="SBJ"),AND(J2691=1,I2691=0)),"?IN_FOCUS",IF(J2691&lt;=2,"?ACTIVATED",IF(J2691&lt;&gt;"","?FAMILIAR",IF(F2691="NEW",IF(ISNA(VLOOKUP(E2691,#REF!,1,FALSE())),"?TYPE_IDENTIFIABLE","?REFERENTIAL"),"_")))))</f>
        <v> </v>
      </c>
      <c r="H2691" s="25" t="str">
        <f>IF(J2691&lt;&gt;1,"",IF(I2691="SBJ","CB","?"))</f>
        <v> </v>
      </c>
      <c r="I2691" s="26" t="str">
        <f>IF(OR(E2691="",E2691="!!!",F2691="NEW"),"",INDEX(B2690:B$2,-1+SUMPRODUCT(MAX(ROW(E2690:E$2)*(E2691=E2690:E$2)))))</f>
        <v> </v>
      </c>
      <c r="J2691" s="26" t="str">
        <f>IF(OR(E2691="",E2691="!!!",F2691="NEW"),"",COUNTBLANK(OFFSET(A$1,,,SUMPRODUCT(MAX(ROW(E$2:E2691)*(E2691=E$2:E2691)))))-COUNTBLANK(OFFSET(A$1,,,SUMPRODUCT(MAX(ROW(E$1:E2690)*(E2=E$1:E2690))))))</f>
        <v> </v>
      </c>
      <c r="K2691" s="26" t="str">
        <f>IF(OR(E2691="",E2691="!!!",F2691="NEW"),"",INDEX(J$1:J2690,SUMPRODUCT(MAX(ROW(E$1:E2690)*(E2691=E$1:E2690)))))</f>
        <v> </v>
      </c>
      <c r="L2691" s="27"/>
    </row>
    <row r="2692" spans="1:12">
      <c r="A2692" s="20"/>
    </row>
    <row r="2693" spans="1:12">
      <c r="A2693" s="20" t="s">
        <v>1842</v>
      </c>
    </row>
    <row r="2694" spans="1:12">
      <c r="A2694" s="20" t="s">
        <v>1094</v>
      </c>
      <c r="E2694" s="22">
        <f>IF(D2694="?OLD","!!!","")</f>
        <v/>
      </c>
      <c r="F2694" s="23" t="str">
        <f>IF(OR(E2694="",E2694="!!!"),"",IF(NOT(ISNA(VLOOKUP(E2694,E$1:E2693,1,FALSE()))),"OLD",IF(AND(E2694&lt;&gt;"",E2694&lt;&gt;"!!!"),"NEW","")))</f>
        <v> </v>
      </c>
      <c r="G2694" s="24" t="str">
        <f>IF(OR(E2694="",E2694="!!!"),"",IF(OR(J2694=0,AND(J2694=1,K2694=1),AND(J2694=1,I2694="SBJ"),AND(J2694=1,I2694=0)),"?IN_FOCUS",IF(J2694&lt;=2,"?ACTIVATED",IF(J2694&lt;&gt;"","?FAMILIAR",IF(F2694="NEW",IF(ISNA(VLOOKUP(E2694,#REF!,1,FALSE())),"?TYPE_IDENTIFIABLE","?REFERENTIAL"),"_")))))</f>
        <v> </v>
      </c>
      <c r="H2694" s="25" t="str">
        <f>IF(J2694&lt;&gt;1,"",IF(I2694="SBJ","CB","?"))</f>
        <v> </v>
      </c>
      <c r="I2694" s="26" t="str">
        <f>IF(OR(E2694="",E2694="!!!",F2694="NEW"),"",INDEX(B2693:B$2,-1+SUMPRODUCT(MAX(ROW(E2693:E$2)*(E2694=E2693:E$2)))))</f>
        <v> </v>
      </c>
      <c r="J2694" s="26" t="str">
        <f>IF(OR(E2694="",E2694="!!!",F2694="NEW"),"",COUNTBLANK(OFFSET(A$1,,,SUMPRODUCT(MAX(ROW(E$2:E2694)*(E2694=E$2:E2694)))))-COUNTBLANK(OFFSET(A$1,,,SUMPRODUCT(MAX(ROW(E$1:E2693)*(E2=E$1:E2693))))))</f>
        <v> </v>
      </c>
      <c r="K2694" s="26" t="str">
        <f>IF(OR(E2694="",E2694="!!!",F2694="NEW"),"",INDEX(J$1:J2693,SUMPRODUCT(MAX(ROW(E$1:E2693)*(E2694=E$1:E2693)))))</f>
        <v> </v>
      </c>
      <c r="L2694" s="27"/>
    </row>
    <row r="2695" spans="1:12">
      <c r="A2695" s="20" t="s">
        <v>1009</v>
      </c>
      <c r="E2695" s="22">
        <f>IF(D2695="?OLD","!!!","")</f>
        <v/>
      </c>
      <c r="F2695" s="23" t="str">
        <f>IF(OR(E2695="",E2695="!!!"),"",IF(NOT(ISNA(VLOOKUP(E2695,E$1:E2694,1,FALSE()))),"OLD",IF(AND(E2695&lt;&gt;"",E2695&lt;&gt;"!!!"),"NEW","")))</f>
        <v> </v>
      </c>
      <c r="G2695" s="24" t="str">
        <f>IF(OR(E2695="",E2695="!!!"),"",IF(OR(J2695=0,AND(J2695=1,K2695=1),AND(J2695=1,I2695="SBJ"),AND(J2695=1,I2695=0)),"?IN_FOCUS",IF(J2695&lt;=2,"?ACTIVATED",IF(J2695&lt;&gt;"","?FAMILIAR",IF(F2695="NEW",IF(ISNA(VLOOKUP(E2695,#REF!,1,FALSE())),"?TYPE_IDENTIFIABLE","?REFERENTIAL"),"_")))))</f>
        <v> </v>
      </c>
      <c r="H2695" s="25" t="str">
        <f>IF(J2695&lt;&gt;1,"",IF(I2695="SBJ","CB","?"))</f>
        <v> </v>
      </c>
      <c r="I2695" s="26" t="str">
        <f>IF(OR(E2695="",E2695="!!!",F2695="NEW"),"",INDEX(B2694:B$2,-1+SUMPRODUCT(MAX(ROW(E2694:E$2)*(E2695=E2694:E$2)))))</f>
        <v> </v>
      </c>
      <c r="J2695" s="26" t="str">
        <f>IF(OR(E2695="",E2695="!!!",F2695="NEW"),"",COUNTBLANK(OFFSET(A$1,,,SUMPRODUCT(MAX(ROW(E$2:E2695)*(E2695=E$2:E2695)))))-COUNTBLANK(OFFSET(A$1,,,SUMPRODUCT(MAX(ROW(E$1:E2694)*(E2=E$1:E2694))))))</f>
        <v> </v>
      </c>
      <c r="K2695" s="26" t="str">
        <f>IF(OR(E2695="",E2695="!!!",F2695="NEW"),"",INDEX(J$1:J2694,SUMPRODUCT(MAX(ROW(E$1:E2694)*(E2695=E$1:E2694)))))</f>
        <v> </v>
      </c>
      <c r="L2695" s="27"/>
    </row>
    <row r="2696" spans="1:12">
      <c r="A2696" s="20" t="s">
        <v>28</v>
      </c>
      <c r="B2696" s="21" t="s">
        <v>1050</v>
      </c>
      <c r="C2696" s="21" t="s">
        <v>1006</v>
      </c>
      <c r="D2696" s="21" t="s">
        <v>1007</v>
      </c>
      <c r="E2696" s="22">
        <f>IF(D2696="?OLD","!!!","")</f>
        <v/>
      </c>
      <c r="F2696" s="23" t="str">
        <f>IF(OR(E2696="",E2696="!!!"),"",IF(NOT(ISNA(VLOOKUP(E2696,E$1:E2695,1,FALSE()))),"OLD",IF(AND(E2696&lt;&gt;"",E2696&lt;&gt;"!!!"),"NEW","")))</f>
        <v> </v>
      </c>
      <c r="G2696" s="24" t="str">
        <f>IF(OR(E2696="",E2696="!!!"),"",IF(OR(J2696=0,AND(J2696=1,K2696=1),AND(J2696=1,I2696="SBJ"),AND(J2696=1,I2696=0)),"?IN_FOCUS",IF(J2696&lt;=2,"?ACTIVATED",IF(J2696&lt;&gt;"","?FAMILIAR",IF(F2696="NEW",IF(ISNA(VLOOKUP(E2696,#REF!,1,FALSE())),"?TYPE_IDENTIFIABLE","?REFERENTIAL"),"_")))))</f>
        <v> </v>
      </c>
      <c r="H2696" s="25" t="str">
        <f>IF(J2696&lt;&gt;1,"",IF(I2696="SBJ","CB","?"))</f>
        <v> </v>
      </c>
      <c r="I2696" s="26" t="str">
        <f>IF(OR(E2696="",E2696="!!!",F2696="NEW"),"",INDEX(B2695:B$2,-1+SUMPRODUCT(MAX(ROW(E2695:E$2)*(E2696=E2695:E$2)))))</f>
        <v> </v>
      </c>
      <c r="J2696" s="26" t="str">
        <f>IF(OR(E2696="",E2696="!!!",F2696="NEW"),"",COUNTBLANK(OFFSET(A$1,,,SUMPRODUCT(MAX(ROW(E$2:E2696)*(E2696=E$2:E2696)))))-COUNTBLANK(OFFSET(A$1,,,SUMPRODUCT(MAX(ROW(E$1:E2695)*(E2=E$1:E2695))))))</f>
        <v> </v>
      </c>
      <c r="K2696" s="26" t="str">
        <f>IF(OR(E2696="",E2696="!!!",F2696="NEW"),"",INDEX(J$1:J2695,SUMPRODUCT(MAX(ROW(E$1:E2695)*(E2696=E$1:E2695)))))</f>
        <v> </v>
      </c>
      <c r="L2696" s="27"/>
    </row>
    <row r="2697" spans="1:12">
      <c r="A2697" s="20" t="s">
        <v>1018</v>
      </c>
      <c r="E2697" s="22">
        <f>IF(D2697="?OLD","!!!","")</f>
        <v/>
      </c>
      <c r="F2697" s="23" t="str">
        <f>IF(OR(E2697="",E2697="!!!"),"",IF(NOT(ISNA(VLOOKUP(E2697,E$1:E2696,1,FALSE()))),"OLD",IF(AND(E2697&lt;&gt;"",E2697&lt;&gt;"!!!"),"NEW","")))</f>
        <v> </v>
      </c>
      <c r="G2697" s="24" t="str">
        <f>IF(OR(E2697="",E2697="!!!"),"",IF(OR(J2697=0,AND(J2697=1,K2697=1),AND(J2697=1,I2697="SBJ"),AND(J2697=1,I2697=0)),"?IN_FOCUS",IF(J2697&lt;=2,"?ACTIVATED",IF(J2697&lt;&gt;"","?FAMILIAR",IF(F2697="NEW",IF(ISNA(VLOOKUP(E2697,#REF!,1,FALSE())),"?TYPE_IDENTIFIABLE","?REFERENTIAL"),"_")))))</f>
        <v> </v>
      </c>
      <c r="H2697" s="25" t="str">
        <f>IF(J2697&lt;&gt;1,"",IF(I2697="SBJ","CB","?"))</f>
        <v> </v>
      </c>
      <c r="I2697" s="26" t="str">
        <f>IF(OR(E2697="",E2697="!!!",F2697="NEW"),"",INDEX(B2696:B$2,-1+SUMPRODUCT(MAX(ROW(E2696:E$2)*(E2697=E2696:E$2)))))</f>
        <v> </v>
      </c>
      <c r="J2697" s="26" t="str">
        <f>IF(OR(E2697="",E2697="!!!",F2697="NEW"),"",COUNTBLANK(OFFSET(A$1,,,SUMPRODUCT(MAX(ROW(E$2:E2697)*(E2697=E$2:E2697)))))-COUNTBLANK(OFFSET(A$1,,,SUMPRODUCT(MAX(ROW(E$1:E2696)*(E2=E$1:E2696))))))</f>
        <v> </v>
      </c>
      <c r="K2697" s="26" t="str">
        <f>IF(OR(E2697="",E2697="!!!",F2697="NEW"),"",INDEX(J$1:J2696,SUMPRODUCT(MAX(ROW(E$1:E2696)*(E2697=E$1:E2696)))))</f>
        <v> </v>
      </c>
      <c r="L2697" s="27"/>
    </row>
    <row r="2698" spans="1:12">
      <c r="A2698" s="20" t="s">
        <v>1020</v>
      </c>
      <c r="E2698" s="22">
        <f>IF(D2698="?OLD","!!!","")</f>
        <v/>
      </c>
      <c r="F2698" s="23" t="str">
        <f>IF(OR(E2698="",E2698="!!!"),"",IF(NOT(ISNA(VLOOKUP(E2698,E$1:E2697,1,FALSE()))),"OLD",IF(AND(E2698&lt;&gt;"",E2698&lt;&gt;"!!!"),"NEW","")))</f>
        <v> </v>
      </c>
      <c r="G2698" s="24" t="str">
        <f>IF(OR(E2698="",E2698="!!!"),"",IF(OR(J2698=0,AND(J2698=1,K2698=1),AND(J2698=1,I2698="SBJ"),AND(J2698=1,I2698=0)),"?IN_FOCUS",IF(J2698&lt;=2,"?ACTIVATED",IF(J2698&lt;&gt;"","?FAMILIAR",IF(F2698="NEW",IF(ISNA(VLOOKUP(E2698,#REF!,1,FALSE())),"?TYPE_IDENTIFIABLE","?REFERENTIAL"),"_")))))</f>
        <v> </v>
      </c>
      <c r="H2698" s="25" t="str">
        <f>IF(J2698&lt;&gt;1,"",IF(I2698="SBJ","CB","?"))</f>
        <v> </v>
      </c>
      <c r="I2698" s="26" t="str">
        <f>IF(OR(E2698="",E2698="!!!",F2698="NEW"),"",INDEX(B2697:B$2,-1+SUMPRODUCT(MAX(ROW(E2697:E$2)*(E2698=E2697:E$2)))))</f>
        <v> </v>
      </c>
      <c r="J2698" s="26" t="str">
        <f>IF(OR(E2698="",E2698="!!!",F2698="NEW"),"",COUNTBLANK(OFFSET(A$1,,,SUMPRODUCT(MAX(ROW(E$2:E2698)*(E2698=E$2:E2698)))))-COUNTBLANK(OFFSET(A$1,,,SUMPRODUCT(MAX(ROW(E$1:E2697)*(E2=E$1:E2697))))))</f>
        <v> </v>
      </c>
      <c r="K2698" s="26" t="str">
        <f>IF(OR(E2698="",E2698="!!!",F2698="NEW"),"",INDEX(J$1:J2697,SUMPRODUCT(MAX(ROW(E$1:E2697)*(E2698=E$1:E2697)))))</f>
        <v> </v>
      </c>
      <c r="L2698" s="27"/>
    </row>
    <row r="2699" spans="1:12">
      <c r="A2699" s="20" t="s">
        <v>1843</v>
      </c>
      <c r="B2699" s="21" t="s">
        <v>1022</v>
      </c>
      <c r="C2699" s="21" t="s">
        <v>1013</v>
      </c>
      <c r="D2699" s="21" t="s">
        <v>1007</v>
      </c>
      <c r="E2699" s="22">
        <f>IF(D2699="?OLD","!!!","")</f>
        <v/>
      </c>
      <c r="F2699" s="23" t="str">
        <f>IF(OR(E2699="",E2699="!!!"),"",IF(NOT(ISNA(VLOOKUP(E2699,E$1:E2698,1,FALSE()))),"OLD",IF(AND(E2699&lt;&gt;"",E2699&lt;&gt;"!!!"),"NEW","")))</f>
        <v> </v>
      </c>
      <c r="G2699" s="24" t="str">
        <f>IF(OR(E2699="",E2699="!!!"),"",IF(OR(J2699=0,AND(J2699=1,K2699=1),AND(J2699=1,I2699="SBJ"),AND(J2699=1,I2699=0)),"?IN_FOCUS",IF(J2699&lt;=2,"?ACTIVATED",IF(J2699&lt;&gt;"","?FAMILIAR",IF(F2699="NEW",IF(ISNA(VLOOKUP(E2699,#REF!,1,FALSE())),"?TYPE_IDENTIFIABLE","?REFERENTIAL"),"_")))))</f>
        <v> </v>
      </c>
      <c r="H2699" s="25" t="str">
        <f>IF(J2699&lt;&gt;1,"",IF(I2699="SBJ","CB","?"))</f>
        <v> </v>
      </c>
      <c r="I2699" s="26" t="str">
        <f>IF(OR(E2699="",E2699="!!!",F2699="NEW"),"",INDEX(B2698:B$2,-1+SUMPRODUCT(MAX(ROW(E2698:E$2)*(E2699=E2698:E$2)))))</f>
        <v> </v>
      </c>
      <c r="J2699" s="26" t="str">
        <f>IF(OR(E2699="",E2699="!!!",F2699="NEW"),"",COUNTBLANK(OFFSET(A$1,,,SUMPRODUCT(MAX(ROW(E$2:E2699)*(E2699=E$2:E2699)))))-COUNTBLANK(OFFSET(A$1,,,SUMPRODUCT(MAX(ROW(E$1:E2698)*(E2=E$1:E2698))))))</f>
        <v> </v>
      </c>
      <c r="K2699" s="26" t="str">
        <f>IF(OR(E2699="",E2699="!!!",F2699="NEW"),"",INDEX(J$1:J2698,SUMPRODUCT(MAX(ROW(E$1:E2698)*(E2699=E$1:E2698)))))</f>
        <v> </v>
      </c>
      <c r="L2699" s="27"/>
    </row>
    <row r="2700" spans="1:12">
      <c r="A2700" s="20" t="s">
        <v>1020</v>
      </c>
      <c r="E2700" s="22">
        <f>IF(D2700="?OLD","!!!","")</f>
        <v/>
      </c>
      <c r="F2700" s="23" t="str">
        <f>IF(OR(E2700="",E2700="!!!"),"",IF(NOT(ISNA(VLOOKUP(E2700,E$1:E2699,1,FALSE()))),"OLD",IF(AND(E2700&lt;&gt;"",E2700&lt;&gt;"!!!"),"NEW","")))</f>
        <v> </v>
      </c>
      <c r="G2700" s="24" t="str">
        <f>IF(OR(E2700="",E2700="!!!"),"",IF(OR(J2700=0,AND(J2700=1,K2700=1),AND(J2700=1,I2700="SBJ"),AND(J2700=1,I2700=0)),"?IN_FOCUS",IF(J2700&lt;=2,"?ACTIVATED",IF(J2700&lt;&gt;"","?FAMILIAR",IF(F2700="NEW",IF(ISNA(VLOOKUP(E2700,#REF!,1,FALSE())),"?TYPE_IDENTIFIABLE","?REFERENTIAL"),"_")))))</f>
        <v> </v>
      </c>
      <c r="H2700" s="25" t="str">
        <f>IF(J2700&lt;&gt;1,"",IF(I2700="SBJ","CB","?"))</f>
        <v> </v>
      </c>
      <c r="I2700" s="26" t="str">
        <f>IF(OR(E2700="",E2700="!!!",F2700="NEW"),"",INDEX(B2699:B$2,-1+SUMPRODUCT(MAX(ROW(E2699:E$2)*(E2700=E2699:E$2)))))</f>
        <v> </v>
      </c>
      <c r="J2700" s="26" t="str">
        <f>IF(OR(E2700="",E2700="!!!",F2700="NEW"),"",COUNTBLANK(OFFSET(A$1,,,SUMPRODUCT(MAX(ROW(E$2:E2700)*(E2700=E$2:E2700)))))-COUNTBLANK(OFFSET(A$1,,,SUMPRODUCT(MAX(ROW(E$1:E2699)*(E2=E$1:E2699))))))</f>
        <v> </v>
      </c>
      <c r="K2700" s="26" t="str">
        <f>IF(OR(E2700="",E2700="!!!",F2700="NEW"),"",INDEX(J$1:J2699,SUMPRODUCT(MAX(ROW(E$1:E2699)*(E2700=E$1:E2699)))))</f>
        <v> </v>
      </c>
      <c r="L2700" s="27"/>
    </row>
    <row r="2701" spans="1:12">
      <c r="A2701" s="20" t="s">
        <v>1433</v>
      </c>
      <c r="E2701" s="22">
        <f>IF(D2701="?OLD","!!!","")</f>
        <v/>
      </c>
      <c r="F2701" s="23" t="str">
        <f>IF(OR(E2701="",E2701="!!!"),"",IF(NOT(ISNA(VLOOKUP(E2701,E$1:E2700,1,FALSE()))),"OLD",IF(AND(E2701&lt;&gt;"",E2701&lt;&gt;"!!!"),"NEW","")))</f>
        <v> </v>
      </c>
      <c r="G2701" s="24" t="str">
        <f>IF(OR(E2701="",E2701="!!!"),"",IF(OR(J2701=0,AND(J2701=1,K2701=1),AND(J2701=1,I2701="SBJ"),AND(J2701=1,I2701=0)),"?IN_FOCUS",IF(J2701&lt;=2,"?ACTIVATED",IF(J2701&lt;&gt;"","?FAMILIAR",IF(F2701="NEW",IF(ISNA(VLOOKUP(E2701,#REF!,1,FALSE())),"?TYPE_IDENTIFIABLE","?REFERENTIAL"),"_")))))</f>
        <v> </v>
      </c>
      <c r="H2701" s="25" t="str">
        <f>IF(J2701&lt;&gt;1,"",IF(I2701="SBJ","CB","?"))</f>
        <v> </v>
      </c>
      <c r="I2701" s="26" t="str">
        <f>IF(OR(E2701="",E2701="!!!",F2701="NEW"),"",INDEX(B2700:B$2,-1+SUMPRODUCT(MAX(ROW(E2700:E$2)*(E2701=E2700:E$2)))))</f>
        <v> </v>
      </c>
      <c r="J2701" s="26" t="str">
        <f>IF(OR(E2701="",E2701="!!!",F2701="NEW"),"",COUNTBLANK(OFFSET(A$1,,,SUMPRODUCT(MAX(ROW(E$2:E2701)*(E2701=E$2:E2701)))))-COUNTBLANK(OFFSET(A$1,,,SUMPRODUCT(MAX(ROW(E$1:E2700)*(E2=E$1:E2700))))))</f>
        <v> </v>
      </c>
      <c r="K2701" s="26" t="str">
        <f>IF(OR(E2701="",E2701="!!!",F2701="NEW"),"",INDEX(J$1:J2700,SUMPRODUCT(MAX(ROW(E$1:E2700)*(E2701=E$1:E2700)))))</f>
        <v> </v>
      </c>
      <c r="L2701" s="27"/>
    </row>
    <row r="2702" spans="1:12">
      <c r="A2702" s="20" t="s">
        <v>1122</v>
      </c>
      <c r="E2702" s="22">
        <f>IF(D2702="?OLD","!!!","")</f>
        <v/>
      </c>
      <c r="F2702" s="23" t="str">
        <f>IF(OR(E2702="",E2702="!!!"),"",IF(NOT(ISNA(VLOOKUP(E2702,E$1:E2701,1,FALSE()))),"OLD",IF(AND(E2702&lt;&gt;"",E2702&lt;&gt;"!!!"),"NEW","")))</f>
        <v> </v>
      </c>
      <c r="G2702" s="24" t="str">
        <f>IF(OR(E2702="",E2702="!!!"),"",IF(OR(J2702=0,AND(J2702=1,K2702=1),AND(J2702=1,I2702="SBJ"),AND(J2702=1,I2702=0)),"?IN_FOCUS",IF(J2702&lt;=2,"?ACTIVATED",IF(J2702&lt;&gt;"","?FAMILIAR",IF(F2702="NEW",IF(ISNA(VLOOKUP(E2702,#REF!,1,FALSE())),"?TYPE_IDENTIFIABLE","?REFERENTIAL"),"_")))))</f>
        <v> </v>
      </c>
      <c r="H2702" s="25" t="str">
        <f>IF(J2702&lt;&gt;1,"",IF(I2702="SBJ","CB","?"))</f>
        <v> </v>
      </c>
      <c r="I2702" s="26" t="str">
        <f>IF(OR(E2702="",E2702="!!!",F2702="NEW"),"",INDEX(B2701:B$2,-1+SUMPRODUCT(MAX(ROW(E2701:E$2)*(E2702=E2701:E$2)))))</f>
        <v> </v>
      </c>
      <c r="J2702" s="26" t="str">
        <f>IF(OR(E2702="",E2702="!!!",F2702="NEW"),"",COUNTBLANK(OFFSET(A$1,,,SUMPRODUCT(MAX(ROW(E$2:E2702)*(E2702=E$2:E2702)))))-COUNTBLANK(OFFSET(A$1,,,SUMPRODUCT(MAX(ROW(E$1:E2701)*(E2=E$1:E2701))))))</f>
        <v> </v>
      </c>
      <c r="K2702" s="26" t="str">
        <f>IF(OR(E2702="",E2702="!!!",F2702="NEW"),"",INDEX(J$1:J2701,SUMPRODUCT(MAX(ROW(E$1:E2701)*(E2702=E$1:E2701)))))</f>
        <v> </v>
      </c>
      <c r="L2702" s="27"/>
    </row>
    <row r="2703" spans="1:12">
      <c r="A2703" s="20" t="s">
        <v>1123</v>
      </c>
      <c r="B2703" s="21" t="s">
        <v>1033</v>
      </c>
      <c r="C2703" s="21" t="s">
        <v>1041</v>
      </c>
      <c r="D2703" s="21" t="s">
        <v>1007</v>
      </c>
      <c r="E2703" s="22">
        <f>IF(D2703="?OLD","!!!","")</f>
        <v/>
      </c>
      <c r="F2703" s="23" t="str">
        <f>IF(OR(E2703="",E2703="!!!"),"",IF(NOT(ISNA(VLOOKUP(E2703,E$1:E2702,1,FALSE()))),"OLD",IF(AND(E2703&lt;&gt;"",E2703&lt;&gt;"!!!"),"NEW","")))</f>
        <v> </v>
      </c>
      <c r="G2703" s="24" t="str">
        <f>IF(OR(E2703="",E2703="!!!"),"",IF(OR(J2703=0,AND(J2703=1,K2703=1),AND(J2703=1,I2703="SBJ"),AND(J2703=1,I2703=0)),"?IN_FOCUS",IF(J2703&lt;=2,"?ACTIVATED",IF(J2703&lt;&gt;"","?FAMILIAR",IF(F2703="NEW",IF(ISNA(VLOOKUP(E2703,#REF!,1,FALSE())),"?TYPE_IDENTIFIABLE","?REFERENTIAL"),"_")))))</f>
        <v> </v>
      </c>
      <c r="H2703" s="25" t="str">
        <f>IF(J2703&lt;&gt;1,"",IF(I2703="SBJ","CB","?"))</f>
        <v> </v>
      </c>
      <c r="I2703" s="26" t="str">
        <f>IF(OR(E2703="",E2703="!!!",F2703="NEW"),"",INDEX(B2702:B$2,-1+SUMPRODUCT(MAX(ROW(E2702:E$2)*(E2703=E2702:E$2)))))</f>
        <v> </v>
      </c>
      <c r="J2703" s="26" t="str">
        <f>IF(OR(E2703="",E2703="!!!",F2703="NEW"),"",COUNTBLANK(OFFSET(A$1,,,SUMPRODUCT(MAX(ROW(E$2:E2703)*(E2703=E$2:E2703)))))-COUNTBLANK(OFFSET(A$1,,,SUMPRODUCT(MAX(ROW(E$1:E2702)*(E2=E$1:E2702))))))</f>
        <v> </v>
      </c>
      <c r="K2703" s="26" t="str">
        <f>IF(OR(E2703="",E2703="!!!",F2703="NEW"),"",INDEX(J$1:J2702,SUMPRODUCT(MAX(ROW(E$1:E2702)*(E2703=E$1:E2702)))))</f>
        <v> </v>
      </c>
      <c r="L2703" s="27"/>
    </row>
    <row r="2704" spans="1:12">
      <c r="A2704" s="20" t="s">
        <v>1075</v>
      </c>
      <c r="E2704" s="22">
        <f>IF(D2704="?OLD","!!!","")</f>
        <v/>
      </c>
      <c r="F2704" s="23" t="str">
        <f>IF(OR(E2704="",E2704="!!!"),"",IF(NOT(ISNA(VLOOKUP(E2704,E$1:E2703,1,FALSE()))),"OLD",IF(AND(E2704&lt;&gt;"",E2704&lt;&gt;"!!!"),"NEW","")))</f>
        <v> </v>
      </c>
      <c r="G2704" s="24" t="str">
        <f>IF(OR(E2704="",E2704="!!!"),"",IF(OR(J2704=0,AND(J2704=1,K2704=1),AND(J2704=1,I2704="SBJ"),AND(J2704=1,I2704=0)),"?IN_FOCUS",IF(J2704&lt;=2,"?ACTIVATED",IF(J2704&lt;&gt;"","?FAMILIAR",IF(F2704="NEW",IF(ISNA(VLOOKUP(E2704,#REF!,1,FALSE())),"?TYPE_IDENTIFIABLE","?REFERENTIAL"),"_")))))</f>
        <v> </v>
      </c>
      <c r="H2704" s="25" t="str">
        <f>IF(J2704&lt;&gt;1,"",IF(I2704="SBJ","CB","?"))</f>
        <v> </v>
      </c>
      <c r="I2704" s="26" t="str">
        <f>IF(OR(E2704="",E2704="!!!",F2704="NEW"),"",INDEX(B2703:B$2,-1+SUMPRODUCT(MAX(ROW(E2703:E$2)*(E2704=E2703:E$2)))))</f>
        <v> </v>
      </c>
      <c r="J2704" s="26" t="str">
        <f>IF(OR(E2704="",E2704="!!!",F2704="NEW"),"",COUNTBLANK(OFFSET(A$1,,,SUMPRODUCT(MAX(ROW(E$2:E2704)*(E2704=E$2:E2704)))))-COUNTBLANK(OFFSET(A$1,,,SUMPRODUCT(MAX(ROW(E$1:E2703)*(E2=E$1:E2703))))))</f>
        <v> </v>
      </c>
      <c r="K2704" s="26" t="str">
        <f>IF(OR(E2704="",E2704="!!!",F2704="NEW"),"",INDEX(J$1:J2703,SUMPRODUCT(MAX(ROW(E$1:E2703)*(E2704=E$1:E2703)))))</f>
        <v> </v>
      </c>
      <c r="L2704" s="27"/>
    </row>
    <row r="2705" spans="1:12">
      <c r="A2705" s="20" t="s">
        <v>1569</v>
      </c>
      <c r="B2705" s="21" t="s">
        <v>1005</v>
      </c>
      <c r="C2705" s="21" t="s">
        <v>1073</v>
      </c>
      <c r="D2705" s="21" t="s">
        <v>1007</v>
      </c>
      <c r="E2705" s="22">
        <f>IF(D2705="?OLD","!!!","")</f>
        <v/>
      </c>
      <c r="F2705" s="23" t="str">
        <f>IF(OR(E2705="",E2705="!!!"),"",IF(NOT(ISNA(VLOOKUP(E2705,E$1:E2704,1,FALSE()))),"OLD",IF(AND(E2705&lt;&gt;"",E2705&lt;&gt;"!!!"),"NEW","")))</f>
        <v> </v>
      </c>
      <c r="G2705" s="24" t="str">
        <f>IF(OR(E2705="",E2705="!!!"),"",IF(OR(J2705=0,AND(J2705=1,K2705=1),AND(J2705=1,I2705="SBJ"),AND(J2705=1,I2705=0)),"?IN_FOCUS",IF(J2705&lt;=2,"?ACTIVATED",IF(J2705&lt;&gt;"","?FAMILIAR",IF(F2705="NEW",IF(ISNA(VLOOKUP(E2705,#REF!,1,FALSE())),"?TYPE_IDENTIFIABLE","?REFERENTIAL"),"_")))))</f>
        <v> </v>
      </c>
      <c r="H2705" s="25" t="str">
        <f>IF(J2705&lt;&gt;1,"",IF(I2705="SBJ","CB","?"))</f>
        <v> </v>
      </c>
      <c r="I2705" s="26" t="str">
        <f>IF(OR(E2705="",E2705="!!!",F2705="NEW"),"",INDEX(B2704:B$2,-1+SUMPRODUCT(MAX(ROW(E2704:E$2)*(E2705=E2704:E$2)))))</f>
        <v> </v>
      </c>
      <c r="J2705" s="26" t="str">
        <f>IF(OR(E2705="",E2705="!!!",F2705="NEW"),"",COUNTBLANK(OFFSET(A$1,,,SUMPRODUCT(MAX(ROW(E$2:E2705)*(E2705=E$2:E2705)))))-COUNTBLANK(OFFSET(A$1,,,SUMPRODUCT(MAX(ROW(E$1:E2704)*(E2=E$1:E2704))))))</f>
        <v> </v>
      </c>
      <c r="K2705" s="26" t="str">
        <f>IF(OR(E2705="",E2705="!!!",F2705="NEW"),"",INDEX(J$1:J2704,SUMPRODUCT(MAX(ROW(E$1:E2704)*(E2705=E$1:E2704)))))</f>
        <v> </v>
      </c>
      <c r="L2705" s="27"/>
    </row>
    <row r="2706" spans="1:12">
      <c r="A2706" s="20" t="s">
        <v>1009</v>
      </c>
      <c r="E2706" s="22">
        <f>IF(D2706="?OLD","!!!","")</f>
        <v/>
      </c>
      <c r="F2706" s="23" t="str">
        <f>IF(OR(E2706="",E2706="!!!"),"",IF(NOT(ISNA(VLOOKUP(E2706,E$1:E2705,1,FALSE()))),"OLD",IF(AND(E2706&lt;&gt;"",E2706&lt;&gt;"!!!"),"NEW","")))</f>
        <v> </v>
      </c>
      <c r="G2706" s="24" t="str">
        <f>IF(OR(E2706="",E2706="!!!"),"",IF(OR(J2706=0,AND(J2706=1,K2706=1),AND(J2706=1,I2706="SBJ"),AND(J2706=1,I2706=0)),"?IN_FOCUS",IF(J2706&lt;=2,"?ACTIVATED",IF(J2706&lt;&gt;"","?FAMILIAR",IF(F2706="NEW",IF(ISNA(VLOOKUP(E2706,#REF!,1,FALSE())),"?TYPE_IDENTIFIABLE","?REFERENTIAL"),"_")))))</f>
        <v> </v>
      </c>
      <c r="H2706" s="25" t="str">
        <f>IF(J2706&lt;&gt;1,"",IF(I2706="SBJ","CB","?"))</f>
        <v> </v>
      </c>
      <c r="I2706" s="26" t="str">
        <f>IF(OR(E2706="",E2706="!!!",F2706="NEW"),"",INDEX(B2705:B$2,-1+SUMPRODUCT(MAX(ROW(E2705:E$2)*(E2706=E2705:E$2)))))</f>
        <v> </v>
      </c>
      <c r="J2706" s="26" t="str">
        <f>IF(OR(E2706="",E2706="!!!",F2706="NEW"),"",COUNTBLANK(OFFSET(A$1,,,SUMPRODUCT(MAX(ROW(E$2:E2706)*(E2706=E$2:E2706)))))-COUNTBLANK(OFFSET(A$1,,,SUMPRODUCT(MAX(ROW(E$1:E2705)*(E2=E$1:E2705))))))</f>
        <v> </v>
      </c>
      <c r="K2706" s="26" t="str">
        <f>IF(OR(E2706="",E2706="!!!",F2706="NEW"),"",INDEX(J$1:J2705,SUMPRODUCT(MAX(ROW(E$1:E2705)*(E2706=E$1:E2705)))))</f>
        <v> </v>
      </c>
      <c r="L2706" s="27"/>
    </row>
    <row r="2707" spans="1:12">
      <c r="A2707" s="20"/>
    </row>
    <row r="2708" spans="1:12">
      <c r="A2708" s="20" t="s">
        <v>1844</v>
      </c>
    </row>
    <row r="2709" spans="1:12">
      <c r="A2709" s="20" t="s">
        <v>1845</v>
      </c>
      <c r="E2709" s="22">
        <f>IF(D2709="?OLD","!!!","")</f>
        <v/>
      </c>
      <c r="F2709" s="23" t="str">
        <f>IF(OR(E2709="",E2709="!!!"),"",IF(NOT(ISNA(VLOOKUP(E2709,E$1:E2708,1,FALSE()))),"OLD",IF(AND(E2709&lt;&gt;"",E2709&lt;&gt;"!!!"),"NEW","")))</f>
        <v> </v>
      </c>
      <c r="G2709" s="24" t="str">
        <f>IF(OR(E2709="",E2709="!!!"),"",IF(OR(J2709=0,AND(J2709=1,K2709=1),AND(J2709=1,I2709="SBJ"),AND(J2709=1,I2709=0)),"?IN_FOCUS",IF(J2709&lt;=2,"?ACTIVATED",IF(J2709&lt;&gt;"","?FAMILIAR",IF(F2709="NEW",IF(ISNA(VLOOKUP(E2709,#REF!,1,FALSE())),"?TYPE_IDENTIFIABLE","?REFERENTIAL"),"_")))))</f>
        <v> </v>
      </c>
      <c r="H2709" s="25" t="str">
        <f>IF(J2709&lt;&gt;1,"",IF(I2709="SBJ","CB","?"))</f>
        <v> </v>
      </c>
      <c r="I2709" s="26" t="str">
        <f>IF(OR(E2709="",E2709="!!!",F2709="NEW"),"",INDEX(B2708:B$2,-1+SUMPRODUCT(MAX(ROW(E2708:E$2)*(E2709=E2708:E$2)))))</f>
        <v> </v>
      </c>
      <c r="J2709" s="26" t="str">
        <f>IF(OR(E2709="",E2709="!!!",F2709="NEW"),"",COUNTBLANK(OFFSET(A$1,,,SUMPRODUCT(MAX(ROW(E$2:E2709)*(E2709=E$2:E2709)))))-COUNTBLANK(OFFSET(A$1,,,SUMPRODUCT(MAX(ROW(E$1:E2708)*(E2=E$1:E2708))))))</f>
        <v> </v>
      </c>
      <c r="K2709" s="26" t="str">
        <f>IF(OR(E2709="",E2709="!!!",F2709="NEW"),"",INDEX(J$1:J2708,SUMPRODUCT(MAX(ROW(E$1:E2708)*(E2709=E$1:E2708)))))</f>
        <v> </v>
      </c>
      <c r="L2709" s="27"/>
    </row>
    <row r="2710" spans="1:12">
      <c r="A2710" s="20" t="s">
        <v>1075</v>
      </c>
      <c r="E2710" s="22">
        <f>IF(D2710="?OLD","!!!","")</f>
        <v/>
      </c>
      <c r="F2710" s="23" t="str">
        <f>IF(OR(E2710="",E2710="!!!"),"",IF(NOT(ISNA(VLOOKUP(E2710,E$1:E2709,1,FALSE()))),"OLD",IF(AND(E2710&lt;&gt;"",E2710&lt;&gt;"!!!"),"NEW","")))</f>
        <v> </v>
      </c>
      <c r="G2710" s="24" t="str">
        <f>IF(OR(E2710="",E2710="!!!"),"",IF(OR(J2710=0,AND(J2710=1,K2710=1),AND(J2710=1,I2710="SBJ"),AND(J2710=1,I2710=0)),"?IN_FOCUS",IF(J2710&lt;=2,"?ACTIVATED",IF(J2710&lt;&gt;"","?FAMILIAR",IF(F2710="NEW",IF(ISNA(VLOOKUP(E2710,#REF!,1,FALSE())),"?TYPE_IDENTIFIABLE","?REFERENTIAL"),"_")))))</f>
        <v> </v>
      </c>
      <c r="H2710" s="25" t="str">
        <f>IF(J2710&lt;&gt;1,"",IF(I2710="SBJ","CB","?"))</f>
        <v> </v>
      </c>
      <c r="I2710" s="26" t="str">
        <f>IF(OR(E2710="",E2710="!!!",F2710="NEW"),"",INDEX(B2709:B$2,-1+SUMPRODUCT(MAX(ROW(E2709:E$2)*(E2710=E2709:E$2)))))</f>
        <v> </v>
      </c>
      <c r="J2710" s="26" t="str">
        <f>IF(OR(E2710="",E2710="!!!",F2710="NEW"),"",COUNTBLANK(OFFSET(A$1,,,SUMPRODUCT(MAX(ROW(E$2:E2710)*(E2710=E$2:E2710)))))-COUNTBLANK(OFFSET(A$1,,,SUMPRODUCT(MAX(ROW(E$1:E2709)*(E2=E$1:E2709))))))</f>
        <v> </v>
      </c>
      <c r="K2710" s="26" t="str">
        <f>IF(OR(E2710="",E2710="!!!",F2710="NEW"),"",INDEX(J$1:J2709,SUMPRODUCT(MAX(ROW(E$1:E2709)*(E2710=E$1:E2709)))))</f>
        <v> </v>
      </c>
      <c r="L2710" s="27"/>
    </row>
    <row r="2711" spans="1:12">
      <c r="A2711" s="20" t="s">
        <v>1065</v>
      </c>
      <c r="E2711" s="22">
        <f>IF(D2711="?OLD","!!!","")</f>
        <v/>
      </c>
      <c r="F2711" s="23" t="str">
        <f>IF(OR(E2711="",E2711="!!!"),"",IF(NOT(ISNA(VLOOKUP(E2711,E$1:E2710,1,FALSE()))),"OLD",IF(AND(E2711&lt;&gt;"",E2711&lt;&gt;"!!!"),"NEW","")))</f>
        <v> </v>
      </c>
      <c r="G2711" s="24" t="str">
        <f>IF(OR(E2711="",E2711="!!!"),"",IF(OR(J2711=0,AND(J2711=1,K2711=1),AND(J2711=1,I2711="SBJ"),AND(J2711=1,I2711=0)),"?IN_FOCUS",IF(J2711&lt;=2,"?ACTIVATED",IF(J2711&lt;&gt;"","?FAMILIAR",IF(F2711="NEW",IF(ISNA(VLOOKUP(E2711,#REF!,1,FALSE())),"?TYPE_IDENTIFIABLE","?REFERENTIAL"),"_")))))</f>
        <v> </v>
      </c>
      <c r="H2711" s="25" t="str">
        <f>IF(J2711&lt;&gt;1,"",IF(I2711="SBJ","CB","?"))</f>
        <v> </v>
      </c>
      <c r="I2711" s="26" t="str">
        <f>IF(OR(E2711="",E2711="!!!",F2711="NEW"),"",INDEX(B2710:B$2,-1+SUMPRODUCT(MAX(ROW(E2710:E$2)*(E2711=E2710:E$2)))))</f>
        <v> </v>
      </c>
      <c r="J2711" s="26" t="str">
        <f>IF(OR(E2711="",E2711="!!!",F2711="NEW"),"",COUNTBLANK(OFFSET(A$1,,,SUMPRODUCT(MAX(ROW(E$2:E2711)*(E2711=E$2:E2711)))))-COUNTBLANK(OFFSET(A$1,,,SUMPRODUCT(MAX(ROW(E$1:E2710)*(E2=E$1:E2710))))))</f>
        <v> </v>
      </c>
      <c r="K2711" s="26" t="str">
        <f>IF(OR(E2711="",E2711="!!!",F2711="NEW"),"",INDEX(J$1:J2710,SUMPRODUCT(MAX(ROW(E$1:E2710)*(E2711=E$1:E2710)))))</f>
        <v> </v>
      </c>
      <c r="L2711" s="27"/>
    </row>
    <row r="2712" spans="1:12">
      <c r="A2712" s="20" t="s">
        <v>1846</v>
      </c>
      <c r="E2712" s="22">
        <f>IF(D2712="?OLD","!!!","")</f>
        <v/>
      </c>
      <c r="F2712" s="23" t="str">
        <f>IF(OR(E2712="",E2712="!!!"),"",IF(NOT(ISNA(VLOOKUP(E2712,E$1:E2711,1,FALSE()))),"OLD",IF(AND(E2712&lt;&gt;"",E2712&lt;&gt;"!!!"),"NEW","")))</f>
        <v> </v>
      </c>
      <c r="G2712" s="24" t="str">
        <f>IF(OR(E2712="",E2712="!!!"),"",IF(OR(J2712=0,AND(J2712=1,K2712=1),AND(J2712=1,I2712="SBJ"),AND(J2712=1,I2712=0)),"?IN_FOCUS",IF(J2712&lt;=2,"?ACTIVATED",IF(J2712&lt;&gt;"","?FAMILIAR",IF(F2712="NEW",IF(ISNA(VLOOKUP(E2712,#REF!,1,FALSE())),"?TYPE_IDENTIFIABLE","?REFERENTIAL"),"_")))))</f>
        <v> </v>
      </c>
      <c r="H2712" s="25" t="str">
        <f>IF(J2712&lt;&gt;1,"",IF(I2712="SBJ","CB","?"))</f>
        <v> </v>
      </c>
      <c r="I2712" s="26" t="str">
        <f>IF(OR(E2712="",E2712="!!!",F2712="NEW"),"",INDEX(B2711:B$2,-1+SUMPRODUCT(MAX(ROW(E2711:E$2)*(E2712=E2711:E$2)))))</f>
        <v> </v>
      </c>
      <c r="J2712" s="26" t="str">
        <f>IF(OR(E2712="",E2712="!!!",F2712="NEW"),"",COUNTBLANK(OFFSET(A$1,,,SUMPRODUCT(MAX(ROW(E$2:E2712)*(E2712=E$2:E2712)))))-COUNTBLANK(OFFSET(A$1,,,SUMPRODUCT(MAX(ROW(E$1:E2711)*(E2=E$1:E2711))))))</f>
        <v> </v>
      </c>
      <c r="K2712" s="26" t="str">
        <f>IF(OR(E2712="",E2712="!!!",F2712="NEW"),"",INDEX(J$1:J2711,SUMPRODUCT(MAX(ROW(E$1:E2711)*(E2712=E$1:E2711)))))</f>
        <v> </v>
      </c>
      <c r="L2712" s="27"/>
    </row>
    <row r="2713" spans="1:12">
      <c r="A2713" s="20" t="s">
        <v>1847</v>
      </c>
      <c r="E2713" s="22">
        <f>IF(D2713="?OLD","!!!","")</f>
        <v/>
      </c>
      <c r="F2713" s="23" t="str">
        <f>IF(OR(E2713="",E2713="!!!"),"",IF(NOT(ISNA(VLOOKUP(E2713,E$1:E2712,1,FALSE()))),"OLD",IF(AND(E2713&lt;&gt;"",E2713&lt;&gt;"!!!"),"NEW","")))</f>
        <v> </v>
      </c>
      <c r="G2713" s="24" t="str">
        <f>IF(OR(E2713="",E2713="!!!"),"",IF(OR(J2713=0,AND(J2713=1,K2713=1),AND(J2713=1,I2713="SBJ"),AND(J2713=1,I2713=0)),"?IN_FOCUS",IF(J2713&lt;=2,"?ACTIVATED",IF(J2713&lt;&gt;"","?FAMILIAR",IF(F2713="NEW",IF(ISNA(VLOOKUP(E2713,#REF!,1,FALSE())),"?TYPE_IDENTIFIABLE","?REFERENTIAL"),"_")))))</f>
        <v> </v>
      </c>
      <c r="H2713" s="25" t="str">
        <f>IF(J2713&lt;&gt;1,"",IF(I2713="SBJ","CB","?"))</f>
        <v> </v>
      </c>
      <c r="I2713" s="26" t="str">
        <f>IF(OR(E2713="",E2713="!!!",F2713="NEW"),"",INDEX(B2712:B$2,-1+SUMPRODUCT(MAX(ROW(E2712:E$2)*(E2713=E2712:E$2)))))</f>
        <v> </v>
      </c>
      <c r="J2713" s="26" t="str">
        <f>IF(OR(E2713="",E2713="!!!",F2713="NEW"),"",COUNTBLANK(OFFSET(A$1,,,SUMPRODUCT(MAX(ROW(E$2:E2713)*(E2713=E$2:E2713)))))-COUNTBLANK(OFFSET(A$1,,,SUMPRODUCT(MAX(ROW(E$1:E2712)*(E2=E$1:E2712))))))</f>
        <v> </v>
      </c>
      <c r="K2713" s="26" t="str">
        <f>IF(OR(E2713="",E2713="!!!",F2713="NEW"),"",INDEX(J$1:J2712,SUMPRODUCT(MAX(ROW(E$1:E2712)*(E2713=E$1:E2712)))))</f>
        <v> </v>
      </c>
      <c r="L2713" s="27"/>
    </row>
    <row r="2714" spans="1:12">
      <c r="A2714" s="20" t="s">
        <v>1321</v>
      </c>
      <c r="B2714" s="21" t="s">
        <v>1029</v>
      </c>
      <c r="C2714" s="21" t="s">
        <v>1082</v>
      </c>
      <c r="D2714" s="21" t="s">
        <v>1007</v>
      </c>
      <c r="E2714" s="22">
        <f>IF(D2714="?OLD","!!!","")</f>
        <v/>
      </c>
      <c r="F2714" s="23" t="str">
        <f>IF(OR(E2714="",E2714="!!!"),"",IF(NOT(ISNA(VLOOKUP(E2714,E$1:E2713,1,FALSE()))),"OLD",IF(AND(E2714&lt;&gt;"",E2714&lt;&gt;"!!!"),"NEW","")))</f>
        <v> </v>
      </c>
      <c r="G2714" s="24" t="str">
        <f>IF(OR(E2714="",E2714="!!!"),"",IF(OR(J2714=0,AND(J2714=1,K2714=1),AND(J2714=1,I2714="SBJ"),AND(J2714=1,I2714=0)),"?IN_FOCUS",IF(J2714&lt;=2,"?ACTIVATED",IF(J2714&lt;&gt;"","?FAMILIAR",IF(F2714="NEW",IF(ISNA(VLOOKUP(E2714,#REF!,1,FALSE())),"?TYPE_IDENTIFIABLE","?REFERENTIAL"),"_")))))</f>
        <v> </v>
      </c>
      <c r="H2714" s="25" t="str">
        <f>IF(J2714&lt;&gt;1,"",IF(I2714="SBJ","CB","?"))</f>
        <v> </v>
      </c>
      <c r="I2714" s="26" t="str">
        <f>IF(OR(E2714="",E2714="!!!",F2714="NEW"),"",INDEX(B2713:B$2,-1+SUMPRODUCT(MAX(ROW(E2713:E$2)*(E2714=E2713:E$2)))))</f>
        <v> </v>
      </c>
      <c r="J2714" s="26" t="str">
        <f>IF(OR(E2714="",E2714="!!!",F2714="NEW"),"",COUNTBLANK(OFFSET(A$1,,,SUMPRODUCT(MAX(ROW(E$2:E2714)*(E2714=E$2:E2714)))))-COUNTBLANK(OFFSET(A$1,,,SUMPRODUCT(MAX(ROW(E$1:E2713)*(E2=E$1:E2713))))))</f>
        <v> </v>
      </c>
      <c r="K2714" s="26" t="str">
        <f>IF(OR(E2714="",E2714="!!!",F2714="NEW"),"",INDEX(J$1:J2713,SUMPRODUCT(MAX(ROW(E$1:E2713)*(E2714=E$1:E2713)))))</f>
        <v> </v>
      </c>
      <c r="L2714" s="27"/>
    </row>
    <row r="2715" spans="1:12">
      <c r="A2715" s="20" t="s">
        <v>1182</v>
      </c>
      <c r="E2715" s="22">
        <f>IF(D2715="?OLD","!!!","")</f>
        <v/>
      </c>
      <c r="F2715" s="23" t="str">
        <f>IF(OR(E2715="",E2715="!!!"),"",IF(NOT(ISNA(VLOOKUP(E2715,E$1:E2714,1,FALSE()))),"OLD",IF(AND(E2715&lt;&gt;"",E2715&lt;&gt;"!!!"),"NEW","")))</f>
        <v> </v>
      </c>
      <c r="G2715" s="24" t="str">
        <f>IF(OR(E2715="",E2715="!!!"),"",IF(OR(J2715=0,AND(J2715=1,K2715=1),AND(J2715=1,I2715="SBJ"),AND(J2715=1,I2715=0)),"?IN_FOCUS",IF(J2715&lt;=2,"?ACTIVATED",IF(J2715&lt;&gt;"","?FAMILIAR",IF(F2715="NEW",IF(ISNA(VLOOKUP(E2715,#REF!,1,FALSE())),"?TYPE_IDENTIFIABLE","?REFERENTIAL"),"_")))))</f>
        <v> </v>
      </c>
      <c r="H2715" s="25" t="str">
        <f>IF(J2715&lt;&gt;1,"",IF(I2715="SBJ","CB","?"))</f>
        <v> </v>
      </c>
      <c r="I2715" s="26" t="str">
        <f>IF(OR(E2715="",E2715="!!!",F2715="NEW"),"",INDEX(B2714:B$2,-1+SUMPRODUCT(MAX(ROW(E2714:E$2)*(E2715=E2714:E$2)))))</f>
        <v> </v>
      </c>
      <c r="J2715" s="26" t="str">
        <f>IF(OR(E2715="",E2715="!!!",F2715="NEW"),"",COUNTBLANK(OFFSET(A$1,,,SUMPRODUCT(MAX(ROW(E$2:E2715)*(E2715=E$2:E2715)))))-COUNTBLANK(OFFSET(A$1,,,SUMPRODUCT(MAX(ROW(E$1:E2714)*(E2=E$1:E2714))))))</f>
        <v> </v>
      </c>
      <c r="K2715" s="26" t="str">
        <f>IF(OR(E2715="",E2715="!!!",F2715="NEW"),"",INDEX(J$1:J2714,SUMPRODUCT(MAX(ROW(E$1:E2714)*(E2715=E$1:E2714)))))</f>
        <v> </v>
      </c>
      <c r="L2715" s="27"/>
    </row>
    <row r="2716" spans="1:12">
      <c r="A2716" s="20" t="s">
        <v>1083</v>
      </c>
      <c r="E2716" s="22">
        <f>IF(D2716="?OLD","!!!","")</f>
        <v/>
      </c>
      <c r="F2716" s="23" t="str">
        <f>IF(OR(E2716="",E2716="!!!"),"",IF(NOT(ISNA(VLOOKUP(E2716,E$1:E2715,1,FALSE()))),"OLD",IF(AND(E2716&lt;&gt;"",E2716&lt;&gt;"!!!"),"NEW","")))</f>
        <v> </v>
      </c>
      <c r="G2716" s="24" t="str">
        <f>IF(OR(E2716="",E2716="!!!"),"",IF(OR(J2716=0,AND(J2716=1,K2716=1),AND(J2716=1,I2716="SBJ"),AND(J2716=1,I2716=0)),"?IN_FOCUS",IF(J2716&lt;=2,"?ACTIVATED",IF(J2716&lt;&gt;"","?FAMILIAR",IF(F2716="NEW",IF(ISNA(VLOOKUP(E2716,#REF!,1,FALSE())),"?TYPE_IDENTIFIABLE","?REFERENTIAL"),"_")))))</f>
        <v> </v>
      </c>
      <c r="H2716" s="25" t="str">
        <f>IF(J2716&lt;&gt;1,"",IF(I2716="SBJ","CB","?"))</f>
        <v> </v>
      </c>
      <c r="I2716" s="26" t="str">
        <f>IF(OR(E2716="",E2716="!!!",F2716="NEW"),"",INDEX(B2715:B$2,-1+SUMPRODUCT(MAX(ROW(E2715:E$2)*(E2716=E2715:E$2)))))</f>
        <v> </v>
      </c>
      <c r="J2716" s="26" t="str">
        <f>IF(OR(E2716="",E2716="!!!",F2716="NEW"),"",COUNTBLANK(OFFSET(A$1,,,SUMPRODUCT(MAX(ROW(E$2:E2716)*(E2716=E$2:E2716)))))-COUNTBLANK(OFFSET(A$1,,,SUMPRODUCT(MAX(ROW(E$1:E2715)*(E2=E$1:E2715))))))</f>
        <v> </v>
      </c>
      <c r="K2716" s="26" t="str">
        <f>IF(OR(E2716="",E2716="!!!",F2716="NEW"),"",INDEX(J$1:J2715,SUMPRODUCT(MAX(ROW(E$1:E2715)*(E2716=E$1:E2715)))))</f>
        <v> </v>
      </c>
      <c r="L2716" s="27"/>
    </row>
    <row r="2717" spans="1:12">
      <c r="A2717" s="20" t="s">
        <v>1143</v>
      </c>
      <c r="E2717" s="22">
        <f>IF(D2717="?OLD","!!!","")</f>
        <v/>
      </c>
      <c r="F2717" s="23" t="str">
        <f>IF(OR(E2717="",E2717="!!!"),"",IF(NOT(ISNA(VLOOKUP(E2717,E$1:E2716,1,FALSE()))),"OLD",IF(AND(E2717&lt;&gt;"",E2717&lt;&gt;"!!!"),"NEW","")))</f>
        <v> </v>
      </c>
      <c r="G2717" s="24" t="str">
        <f>IF(OR(E2717="",E2717="!!!"),"",IF(OR(J2717=0,AND(J2717=1,K2717=1),AND(J2717=1,I2717="SBJ"),AND(J2717=1,I2717=0)),"?IN_FOCUS",IF(J2717&lt;=2,"?ACTIVATED",IF(J2717&lt;&gt;"","?FAMILIAR",IF(F2717="NEW",IF(ISNA(VLOOKUP(E2717,#REF!,1,FALSE())),"?TYPE_IDENTIFIABLE","?REFERENTIAL"),"_")))))</f>
        <v> </v>
      </c>
      <c r="H2717" s="25" t="str">
        <f>IF(J2717&lt;&gt;1,"",IF(I2717="SBJ","CB","?"))</f>
        <v> </v>
      </c>
      <c r="I2717" s="26" t="str">
        <f>IF(OR(E2717="",E2717="!!!",F2717="NEW"),"",INDEX(B2716:B$2,-1+SUMPRODUCT(MAX(ROW(E2716:E$2)*(E2717=E2716:E$2)))))</f>
        <v> </v>
      </c>
      <c r="J2717" s="26" t="str">
        <f>IF(OR(E2717="",E2717="!!!",F2717="NEW"),"",COUNTBLANK(OFFSET(A$1,,,SUMPRODUCT(MAX(ROW(E$2:E2717)*(E2717=E$2:E2717)))))-COUNTBLANK(OFFSET(A$1,,,SUMPRODUCT(MAX(ROW(E$1:E2716)*(E2=E$1:E2716))))))</f>
        <v> </v>
      </c>
      <c r="K2717" s="26" t="str">
        <f>IF(OR(E2717="",E2717="!!!",F2717="NEW"),"",INDEX(J$1:J2716,SUMPRODUCT(MAX(ROW(E$1:E2716)*(E2717=E$1:E2716)))))</f>
        <v> </v>
      </c>
      <c r="L2717" s="27"/>
    </row>
    <row r="2718" spans="1:12">
      <c r="A2718" s="20" t="s">
        <v>1429</v>
      </c>
      <c r="B2718" s="21" t="s">
        <v>1029</v>
      </c>
      <c r="C2718" s="21" t="s">
        <v>1205</v>
      </c>
      <c r="E2718" s="22">
        <f>IF(D2718="?OLD","!!!","")</f>
        <v/>
      </c>
      <c r="F2718" s="23" t="str">
        <f>IF(OR(E2718="",E2718="!!!"),"",IF(NOT(ISNA(VLOOKUP(E2718,E$1:E2717,1,FALSE()))),"OLD",IF(AND(E2718&lt;&gt;"",E2718&lt;&gt;"!!!"),"NEW","")))</f>
        <v> </v>
      </c>
      <c r="G2718" s="24" t="str">
        <f>IF(OR(E2718="",E2718="!!!"),"",IF(OR(J2718=0,AND(J2718=1,K2718=1),AND(J2718=1,I2718="SBJ"),AND(J2718=1,I2718=0)),"?IN_FOCUS",IF(J2718&lt;=2,"?ACTIVATED",IF(J2718&lt;&gt;"","?FAMILIAR",IF(F2718="NEW",IF(ISNA(VLOOKUP(E2718,#REF!,1,FALSE())),"?TYPE_IDENTIFIABLE","?REFERENTIAL"),"_")))))</f>
        <v> </v>
      </c>
      <c r="H2718" s="25" t="str">
        <f>IF(J2718&lt;&gt;1,"",IF(I2718="SBJ","CB","?"))</f>
        <v> </v>
      </c>
      <c r="I2718" s="26" t="str">
        <f>IF(OR(E2718="",E2718="!!!",F2718="NEW"),"",INDEX(B2717:B$2,-1+SUMPRODUCT(MAX(ROW(E2717:E$2)*(E2718=E2717:E$2)))))</f>
        <v> </v>
      </c>
      <c r="J2718" s="26" t="str">
        <f>IF(OR(E2718="",E2718="!!!",F2718="NEW"),"",COUNTBLANK(OFFSET(A$1,,,SUMPRODUCT(MAX(ROW(E$2:E2718)*(E2718=E$2:E2718)))))-COUNTBLANK(OFFSET(A$1,,,SUMPRODUCT(MAX(ROW(E$1:E2717)*(E2=E$1:E2717))))))</f>
        <v> </v>
      </c>
      <c r="K2718" s="26" t="str">
        <f>IF(OR(E2718="",E2718="!!!",F2718="NEW"),"",INDEX(J$1:J2717,SUMPRODUCT(MAX(ROW(E$1:E2717)*(E2718=E$1:E2717)))))</f>
        <v> </v>
      </c>
      <c r="L2718" s="27"/>
    </row>
    <row r="2719" spans="1:12">
      <c r="A2719" s="20" t="s">
        <v>1018</v>
      </c>
      <c r="E2719" s="22">
        <f>IF(D2719="?OLD","!!!","")</f>
        <v/>
      </c>
      <c r="F2719" s="23" t="str">
        <f>IF(OR(E2719="",E2719="!!!"),"",IF(NOT(ISNA(VLOOKUP(E2719,E$1:E2718,1,FALSE()))),"OLD",IF(AND(E2719&lt;&gt;"",E2719&lt;&gt;"!!!"),"NEW","")))</f>
        <v> </v>
      </c>
      <c r="G2719" s="24" t="str">
        <f>IF(OR(E2719="",E2719="!!!"),"",IF(OR(J2719=0,AND(J2719=1,K2719=1),AND(J2719=1,I2719="SBJ"),AND(J2719=1,I2719=0)),"?IN_FOCUS",IF(J2719&lt;=2,"?ACTIVATED",IF(J2719&lt;&gt;"","?FAMILIAR",IF(F2719="NEW",IF(ISNA(VLOOKUP(E2719,#REF!,1,FALSE())),"?TYPE_IDENTIFIABLE","?REFERENTIAL"),"_")))))</f>
        <v> </v>
      </c>
      <c r="H2719" s="25" t="str">
        <f>IF(J2719&lt;&gt;1,"",IF(I2719="SBJ","CB","?"))</f>
        <v> </v>
      </c>
      <c r="I2719" s="26" t="str">
        <f>IF(OR(E2719="",E2719="!!!",F2719="NEW"),"",INDEX(B2718:B$2,-1+SUMPRODUCT(MAX(ROW(E2718:E$2)*(E2719=E2718:E$2)))))</f>
        <v> </v>
      </c>
      <c r="J2719" s="26" t="str">
        <f>IF(OR(E2719="",E2719="!!!",F2719="NEW"),"",COUNTBLANK(OFFSET(A$1,,,SUMPRODUCT(MAX(ROW(E$2:E2719)*(E2719=E$2:E2719)))))-COUNTBLANK(OFFSET(A$1,,,SUMPRODUCT(MAX(ROW(E$1:E2718)*(E2=E$1:E2718))))))</f>
        <v> </v>
      </c>
      <c r="K2719" s="26" t="str">
        <f>IF(OR(E2719="",E2719="!!!",F2719="NEW"),"",INDEX(J$1:J2718,SUMPRODUCT(MAX(ROW(E$1:E2718)*(E2719=E$1:E2718)))))</f>
        <v> </v>
      </c>
      <c r="L2719" s="27"/>
    </row>
    <row r="2720" spans="1:12">
      <c r="A2720" s="20" t="s">
        <v>1848</v>
      </c>
      <c r="E2720" s="22">
        <f>IF(D2720="?OLD","!!!","")</f>
        <v/>
      </c>
      <c r="F2720" s="23" t="str">
        <f>IF(OR(E2720="",E2720="!!!"),"",IF(NOT(ISNA(VLOOKUP(E2720,E$1:E2719,1,FALSE()))),"OLD",IF(AND(E2720&lt;&gt;"",E2720&lt;&gt;"!!!"),"NEW","")))</f>
        <v> </v>
      </c>
      <c r="G2720" s="24" t="str">
        <f>IF(OR(E2720="",E2720="!!!"),"",IF(OR(J2720=0,AND(J2720=1,K2720=1),AND(J2720=1,I2720="SBJ"),AND(J2720=1,I2720=0)),"?IN_FOCUS",IF(J2720&lt;=2,"?ACTIVATED",IF(J2720&lt;&gt;"","?FAMILIAR",IF(F2720="NEW",IF(ISNA(VLOOKUP(E2720,#REF!,1,FALSE())),"?TYPE_IDENTIFIABLE","?REFERENTIAL"),"_")))))</f>
        <v> </v>
      </c>
      <c r="H2720" s="25" t="str">
        <f>IF(J2720&lt;&gt;1,"",IF(I2720="SBJ","CB","?"))</f>
        <v> </v>
      </c>
      <c r="I2720" s="26" t="str">
        <f>IF(OR(E2720="",E2720="!!!",F2720="NEW"),"",INDEX(B2719:B$2,-1+SUMPRODUCT(MAX(ROW(E2719:E$2)*(E2720=E2719:E$2)))))</f>
        <v> </v>
      </c>
      <c r="J2720" s="26" t="str">
        <f>IF(OR(E2720="",E2720="!!!",F2720="NEW"),"",COUNTBLANK(OFFSET(A$1,,,SUMPRODUCT(MAX(ROW(E$2:E2720)*(E2720=E$2:E2720)))))-COUNTBLANK(OFFSET(A$1,,,SUMPRODUCT(MAX(ROW(E$1:E2719)*(E2=E$1:E2719))))))</f>
        <v> </v>
      </c>
      <c r="K2720" s="26" t="str">
        <f>IF(OR(E2720="",E2720="!!!",F2720="NEW"),"",INDEX(J$1:J2719,SUMPRODUCT(MAX(ROW(E$1:E2719)*(E2720=E$1:E2719)))))</f>
        <v> </v>
      </c>
      <c r="L2720" s="27"/>
    </row>
    <row r="2721" spans="1:12">
      <c r="A2721" s="20" t="s">
        <v>1077</v>
      </c>
      <c r="E2721" s="22">
        <f>IF(D2721="?OLD","!!!","")</f>
        <v/>
      </c>
      <c r="F2721" s="23" t="str">
        <f>IF(OR(E2721="",E2721="!!!"),"",IF(NOT(ISNA(VLOOKUP(E2721,E$1:E2720,1,FALSE()))),"OLD",IF(AND(E2721&lt;&gt;"",E2721&lt;&gt;"!!!"),"NEW","")))</f>
        <v> </v>
      </c>
      <c r="G2721" s="24" t="str">
        <f>IF(OR(E2721="",E2721="!!!"),"",IF(OR(J2721=0,AND(J2721=1,K2721=1),AND(J2721=1,I2721="SBJ"),AND(J2721=1,I2721=0)),"?IN_FOCUS",IF(J2721&lt;=2,"?ACTIVATED",IF(J2721&lt;&gt;"","?FAMILIAR",IF(F2721="NEW",IF(ISNA(VLOOKUP(E2721,#REF!,1,FALSE())),"?TYPE_IDENTIFIABLE","?REFERENTIAL"),"_")))))</f>
        <v> </v>
      </c>
      <c r="H2721" s="25" t="str">
        <f>IF(J2721&lt;&gt;1,"",IF(I2721="SBJ","CB","?"))</f>
        <v> </v>
      </c>
      <c r="I2721" s="26" t="str">
        <f>IF(OR(E2721="",E2721="!!!",F2721="NEW"),"",INDEX(B2720:B$2,-1+SUMPRODUCT(MAX(ROW(E2720:E$2)*(E2721=E2720:E$2)))))</f>
        <v> </v>
      </c>
      <c r="J2721" s="26" t="str">
        <f>IF(OR(E2721="",E2721="!!!",F2721="NEW"),"",COUNTBLANK(OFFSET(A$1,,,SUMPRODUCT(MAX(ROW(E$2:E2721)*(E2721=E$2:E2721)))))-COUNTBLANK(OFFSET(A$1,,,SUMPRODUCT(MAX(ROW(E$1:E2720)*(E2=E$1:E2720))))))</f>
        <v> </v>
      </c>
      <c r="K2721" s="26" t="str">
        <f>IF(OR(E2721="",E2721="!!!",F2721="NEW"),"",INDEX(J$1:J2720,SUMPRODUCT(MAX(ROW(E$1:E2720)*(E2721=E$1:E2720)))))</f>
        <v> </v>
      </c>
      <c r="L2721" s="27"/>
    </row>
    <row r="2722" spans="1:12">
      <c r="A2722" s="20"/>
    </row>
    <row r="2723" spans="1:12">
      <c r="A2723" s="20" t="s">
        <v>1849</v>
      </c>
    </row>
    <row r="2724" spans="1:12">
      <c r="A2724" s="20" t="s">
        <v>1629</v>
      </c>
      <c r="E2724" s="22">
        <f>IF(D2724="?OLD","!!!","")</f>
        <v/>
      </c>
      <c r="F2724" s="23" t="str">
        <f>IF(OR(E2724="",E2724="!!!"),"",IF(NOT(ISNA(VLOOKUP(E2724,E$1:E2723,1,FALSE()))),"OLD",IF(AND(E2724&lt;&gt;"",E2724&lt;&gt;"!!!"),"NEW","")))</f>
        <v> </v>
      </c>
      <c r="G2724" s="24" t="str">
        <f>IF(OR(E2724="",E2724="!!!"),"",IF(OR(J2724=0,AND(J2724=1,K2724=1),AND(J2724=1,I2724="SBJ"),AND(J2724=1,I2724=0)),"?IN_FOCUS",IF(J2724&lt;=2,"?ACTIVATED",IF(J2724&lt;&gt;"","?FAMILIAR",IF(F2724="NEW",IF(ISNA(VLOOKUP(E2724,#REF!,1,FALSE())),"?TYPE_IDENTIFIABLE","?REFERENTIAL"),"_")))))</f>
        <v> </v>
      </c>
      <c r="H2724" s="25" t="str">
        <f>IF(J2724&lt;&gt;1,"",IF(I2724="SBJ","CB","?"))</f>
        <v> </v>
      </c>
      <c r="I2724" s="26" t="str">
        <f>IF(OR(E2724="",E2724="!!!",F2724="NEW"),"",INDEX(B2723:B$2,-1+SUMPRODUCT(MAX(ROW(E2723:E$2)*(E2724=E2723:E$2)))))</f>
        <v> </v>
      </c>
      <c r="J2724" s="26" t="str">
        <f>IF(OR(E2724="",E2724="!!!",F2724="NEW"),"",COUNTBLANK(OFFSET(A$1,,,SUMPRODUCT(MAX(ROW(E$2:E2724)*(E2724=E$2:E2724)))))-COUNTBLANK(OFFSET(A$1,,,SUMPRODUCT(MAX(ROW(E$1:E2723)*(E2=E$1:E2723))))))</f>
        <v> </v>
      </c>
      <c r="K2724" s="26" t="str">
        <f>IF(OR(E2724="",E2724="!!!",F2724="NEW"),"",INDEX(J$1:J2723,SUMPRODUCT(MAX(ROW(E$1:E2723)*(E2724=E$1:E2723)))))</f>
        <v> </v>
      </c>
      <c r="L2724" s="27"/>
    </row>
    <row r="2725" spans="1:12">
      <c r="A2725" s="20" t="s">
        <v>93</v>
      </c>
      <c r="E2725" s="22">
        <f>IF(D2725="?OLD","!!!","")</f>
        <v/>
      </c>
      <c r="F2725" s="23" t="str">
        <f>IF(OR(E2725="",E2725="!!!"),"",IF(NOT(ISNA(VLOOKUP(E2725,E$1:E2724,1,FALSE()))),"OLD",IF(AND(E2725&lt;&gt;"",E2725&lt;&gt;"!!!"),"NEW","")))</f>
        <v> </v>
      </c>
      <c r="G2725" s="24" t="str">
        <f>IF(OR(E2725="",E2725="!!!"),"",IF(OR(J2725=0,AND(J2725=1,K2725=1),AND(J2725=1,I2725="SBJ"),AND(J2725=1,I2725=0)),"?IN_FOCUS",IF(J2725&lt;=2,"?ACTIVATED",IF(J2725&lt;&gt;"","?FAMILIAR",IF(F2725="NEW",IF(ISNA(VLOOKUP(E2725,#REF!,1,FALSE())),"?TYPE_IDENTIFIABLE","?REFERENTIAL"),"_")))))</f>
        <v> </v>
      </c>
      <c r="H2725" s="25" t="str">
        <f>IF(J2725&lt;&gt;1,"",IF(I2725="SBJ","CB","?"))</f>
        <v> </v>
      </c>
      <c r="I2725" s="26" t="str">
        <f>IF(OR(E2725="",E2725="!!!",F2725="NEW"),"",INDEX(B2724:B$2,-1+SUMPRODUCT(MAX(ROW(E2724:E$2)*(E2725=E2724:E$2)))))</f>
        <v> </v>
      </c>
      <c r="J2725" s="26" t="str">
        <f>IF(OR(E2725="",E2725="!!!",F2725="NEW"),"",COUNTBLANK(OFFSET(A$1,,,SUMPRODUCT(MAX(ROW(E$2:E2725)*(E2725=E$2:E2725)))))-COUNTBLANK(OFFSET(A$1,,,SUMPRODUCT(MAX(ROW(E$1:E2724)*(E2=E$1:E2724))))))</f>
        <v> </v>
      </c>
      <c r="K2725" s="26" t="str">
        <f>IF(OR(E2725="",E2725="!!!",F2725="NEW"),"",INDEX(J$1:J2724,SUMPRODUCT(MAX(ROW(E$1:E2724)*(E2725=E$1:E2724)))))</f>
        <v> </v>
      </c>
      <c r="L2725" s="27"/>
    </row>
    <row r="2726" spans="1:12">
      <c r="A2726" s="20" t="s">
        <v>1018</v>
      </c>
      <c r="E2726" s="22">
        <f>IF(D2726="?OLD","!!!","")</f>
        <v/>
      </c>
      <c r="F2726" s="23" t="str">
        <f>IF(OR(E2726="",E2726="!!!"),"",IF(NOT(ISNA(VLOOKUP(E2726,E$1:E2725,1,FALSE()))),"OLD",IF(AND(E2726&lt;&gt;"",E2726&lt;&gt;"!!!"),"NEW","")))</f>
        <v> </v>
      </c>
      <c r="G2726" s="24" t="str">
        <f>IF(OR(E2726="",E2726="!!!"),"",IF(OR(J2726=0,AND(J2726=1,K2726=1),AND(J2726=1,I2726="SBJ"),AND(J2726=1,I2726=0)),"?IN_FOCUS",IF(J2726&lt;=2,"?ACTIVATED",IF(J2726&lt;&gt;"","?FAMILIAR",IF(F2726="NEW",IF(ISNA(VLOOKUP(E2726,#REF!,1,FALSE())),"?TYPE_IDENTIFIABLE","?REFERENTIAL"),"_")))))</f>
        <v> </v>
      </c>
      <c r="H2726" s="25" t="str">
        <f>IF(J2726&lt;&gt;1,"",IF(I2726="SBJ","CB","?"))</f>
        <v> </v>
      </c>
      <c r="I2726" s="26" t="str">
        <f>IF(OR(E2726="",E2726="!!!",F2726="NEW"),"",INDEX(B2725:B$2,-1+SUMPRODUCT(MAX(ROW(E2725:E$2)*(E2726=E2725:E$2)))))</f>
        <v> </v>
      </c>
      <c r="J2726" s="26" t="str">
        <f>IF(OR(E2726="",E2726="!!!",F2726="NEW"),"",COUNTBLANK(OFFSET(A$1,,,SUMPRODUCT(MAX(ROW(E$2:E2726)*(E2726=E$2:E2726)))))-COUNTBLANK(OFFSET(A$1,,,SUMPRODUCT(MAX(ROW(E$1:E2725)*(E2=E$1:E2725))))))</f>
        <v> </v>
      </c>
      <c r="K2726" s="26" t="str">
        <f>IF(OR(E2726="",E2726="!!!",F2726="NEW"),"",INDEX(J$1:J2725,SUMPRODUCT(MAX(ROW(E$1:E2725)*(E2726=E$1:E2725)))))</f>
        <v> </v>
      </c>
      <c r="L2726" s="27"/>
    </row>
    <row r="2727" spans="1:12">
      <c r="A2727" s="20" t="s">
        <v>1114</v>
      </c>
      <c r="E2727" s="22">
        <f>IF(D2727="?OLD","!!!","")</f>
        <v/>
      </c>
      <c r="F2727" s="23" t="str">
        <f>IF(OR(E2727="",E2727="!!!"),"",IF(NOT(ISNA(VLOOKUP(E2727,E$1:E2726,1,FALSE()))),"OLD",IF(AND(E2727&lt;&gt;"",E2727&lt;&gt;"!!!"),"NEW","")))</f>
        <v> </v>
      </c>
      <c r="G2727" s="24" t="str">
        <f>IF(OR(E2727="",E2727="!!!"),"",IF(OR(J2727=0,AND(J2727=1,K2727=1),AND(J2727=1,I2727="SBJ"),AND(J2727=1,I2727=0)),"?IN_FOCUS",IF(J2727&lt;=2,"?ACTIVATED",IF(J2727&lt;&gt;"","?FAMILIAR",IF(F2727="NEW",IF(ISNA(VLOOKUP(E2727,#REF!,1,FALSE())),"?TYPE_IDENTIFIABLE","?REFERENTIAL"),"_")))))</f>
        <v> </v>
      </c>
      <c r="H2727" s="25" t="str">
        <f>IF(J2727&lt;&gt;1,"",IF(I2727="SBJ","CB","?"))</f>
        <v> </v>
      </c>
      <c r="I2727" s="26" t="str">
        <f>IF(OR(E2727="",E2727="!!!",F2727="NEW"),"",INDEX(B2726:B$2,-1+SUMPRODUCT(MAX(ROW(E2726:E$2)*(E2727=E2726:E$2)))))</f>
        <v> </v>
      </c>
      <c r="J2727" s="26" t="str">
        <f>IF(OR(E2727="",E2727="!!!",F2727="NEW"),"",COUNTBLANK(OFFSET(A$1,,,SUMPRODUCT(MAX(ROW(E$2:E2727)*(E2727=E$2:E2727)))))-COUNTBLANK(OFFSET(A$1,,,SUMPRODUCT(MAX(ROW(E$1:E2726)*(E2=E$1:E2726))))))</f>
        <v> </v>
      </c>
      <c r="K2727" s="26" t="str">
        <f>IF(OR(E2727="",E2727="!!!",F2727="NEW"),"",INDEX(J$1:J2726,SUMPRODUCT(MAX(ROW(E$1:E2726)*(E2727=E$1:E2726)))))</f>
        <v> </v>
      </c>
      <c r="L2727" s="27"/>
    </row>
    <row r="2728" spans="1:12">
      <c r="A2728" s="20" t="s">
        <v>1142</v>
      </c>
      <c r="E2728" s="22">
        <f>IF(D2728="?OLD","!!!","")</f>
        <v/>
      </c>
      <c r="F2728" s="23" t="str">
        <f>IF(OR(E2728="",E2728="!!!"),"",IF(NOT(ISNA(VLOOKUP(E2728,E$1:E2727,1,FALSE()))),"OLD",IF(AND(E2728&lt;&gt;"",E2728&lt;&gt;"!!!"),"NEW","")))</f>
        <v> </v>
      </c>
      <c r="G2728" s="24" t="str">
        <f>IF(OR(E2728="",E2728="!!!"),"",IF(OR(J2728=0,AND(J2728=1,K2728=1),AND(J2728=1,I2728="SBJ"),AND(J2728=1,I2728=0)),"?IN_FOCUS",IF(J2728&lt;=2,"?ACTIVATED",IF(J2728&lt;&gt;"","?FAMILIAR",IF(F2728="NEW",IF(ISNA(VLOOKUP(E2728,#REF!,1,FALSE())),"?TYPE_IDENTIFIABLE","?REFERENTIAL"),"_")))))</f>
        <v> </v>
      </c>
      <c r="H2728" s="25" t="str">
        <f>IF(J2728&lt;&gt;1,"",IF(I2728="SBJ","CB","?"))</f>
        <v> </v>
      </c>
      <c r="I2728" s="26" t="str">
        <f>IF(OR(E2728="",E2728="!!!",F2728="NEW"),"",INDEX(B2727:B$2,-1+SUMPRODUCT(MAX(ROW(E2727:E$2)*(E2728=E2727:E$2)))))</f>
        <v> </v>
      </c>
      <c r="J2728" s="26" t="str">
        <f>IF(OR(E2728="",E2728="!!!",F2728="NEW"),"",COUNTBLANK(OFFSET(A$1,,,SUMPRODUCT(MAX(ROW(E$2:E2728)*(E2728=E$2:E2728)))))-COUNTBLANK(OFFSET(A$1,,,SUMPRODUCT(MAX(ROW(E$1:E2727)*(E2=E$1:E2727))))))</f>
        <v> </v>
      </c>
      <c r="K2728" s="26" t="str">
        <f>IF(OR(E2728="",E2728="!!!",F2728="NEW"),"",INDEX(J$1:J2727,SUMPRODUCT(MAX(ROW(E$1:E2727)*(E2728=E$1:E2727)))))</f>
        <v> </v>
      </c>
      <c r="L2728" s="27"/>
    </row>
    <row r="2729" spans="1:12">
      <c r="A2729" s="20" t="s">
        <v>1850</v>
      </c>
      <c r="E2729" s="22">
        <f>IF(D2729="?OLD","!!!","")</f>
        <v/>
      </c>
      <c r="F2729" s="23" t="str">
        <f>IF(OR(E2729="",E2729="!!!"),"",IF(NOT(ISNA(VLOOKUP(E2729,E$1:E2728,1,FALSE()))),"OLD",IF(AND(E2729&lt;&gt;"",E2729&lt;&gt;"!!!"),"NEW","")))</f>
        <v> </v>
      </c>
      <c r="G2729" s="24" t="str">
        <f>IF(OR(E2729="",E2729="!!!"),"",IF(OR(J2729=0,AND(J2729=1,K2729=1),AND(J2729=1,I2729="SBJ"),AND(J2729=1,I2729=0)),"?IN_FOCUS",IF(J2729&lt;=2,"?ACTIVATED",IF(J2729&lt;&gt;"","?FAMILIAR",IF(F2729="NEW",IF(ISNA(VLOOKUP(E2729,#REF!,1,FALSE())),"?TYPE_IDENTIFIABLE","?REFERENTIAL"),"_")))))</f>
        <v> </v>
      </c>
      <c r="H2729" s="25" t="str">
        <f>IF(J2729&lt;&gt;1,"",IF(I2729="SBJ","CB","?"))</f>
        <v> </v>
      </c>
      <c r="I2729" s="26" t="str">
        <f>IF(OR(E2729="",E2729="!!!",F2729="NEW"),"",INDEX(B2728:B$2,-1+SUMPRODUCT(MAX(ROW(E2728:E$2)*(E2729=E2728:E$2)))))</f>
        <v> </v>
      </c>
      <c r="J2729" s="26" t="str">
        <f>IF(OR(E2729="",E2729="!!!",F2729="NEW"),"",COUNTBLANK(OFFSET(A$1,,,SUMPRODUCT(MAX(ROW(E$2:E2729)*(E2729=E$2:E2729)))))-COUNTBLANK(OFFSET(A$1,,,SUMPRODUCT(MAX(ROW(E$1:E2728)*(E2=E$1:E2728))))))</f>
        <v> </v>
      </c>
      <c r="K2729" s="26" t="str">
        <f>IF(OR(E2729="",E2729="!!!",F2729="NEW"),"",INDEX(J$1:J2728,SUMPRODUCT(MAX(ROW(E$1:E2728)*(E2729=E$1:E2728)))))</f>
        <v> </v>
      </c>
      <c r="L2729" s="27"/>
    </row>
    <row r="2730" spans="1:12">
      <c r="A2730" s="20" t="s">
        <v>1851</v>
      </c>
      <c r="B2730" s="21" t="s">
        <v>1064</v>
      </c>
      <c r="C2730" s="21" t="s">
        <v>1086</v>
      </c>
      <c r="E2730" s="22">
        <f>IF(D2730="?OLD","!!!","")</f>
        <v/>
      </c>
      <c r="F2730" s="23" t="str">
        <f>IF(OR(E2730="",E2730="!!!"),"",IF(NOT(ISNA(VLOOKUP(E2730,E$1:E2729,1,FALSE()))),"OLD",IF(AND(E2730&lt;&gt;"",E2730&lt;&gt;"!!!"),"NEW","")))</f>
        <v> </v>
      </c>
      <c r="G2730" s="24" t="str">
        <f>IF(OR(E2730="",E2730="!!!"),"",IF(OR(J2730=0,AND(J2730=1,K2730=1),AND(J2730=1,I2730="SBJ"),AND(J2730=1,I2730=0)),"?IN_FOCUS",IF(J2730&lt;=2,"?ACTIVATED",IF(J2730&lt;&gt;"","?FAMILIAR",IF(F2730="NEW",IF(ISNA(VLOOKUP(E2730,#REF!,1,FALSE())),"?TYPE_IDENTIFIABLE","?REFERENTIAL"),"_")))))</f>
        <v> </v>
      </c>
      <c r="H2730" s="25" t="str">
        <f>IF(J2730&lt;&gt;1,"",IF(I2730="SBJ","CB","?"))</f>
        <v> </v>
      </c>
      <c r="I2730" s="26" t="str">
        <f>IF(OR(E2730="",E2730="!!!",F2730="NEW"),"",INDEX(B2729:B$2,-1+SUMPRODUCT(MAX(ROW(E2729:E$2)*(E2730=E2729:E$2)))))</f>
        <v> </v>
      </c>
      <c r="J2730" s="26" t="str">
        <f>IF(OR(E2730="",E2730="!!!",F2730="NEW"),"",COUNTBLANK(OFFSET(A$1,,,SUMPRODUCT(MAX(ROW(E$2:E2730)*(E2730=E$2:E2730)))))-COUNTBLANK(OFFSET(A$1,,,SUMPRODUCT(MAX(ROW(E$1:E2729)*(E2=E$1:E2729))))))</f>
        <v> </v>
      </c>
      <c r="K2730" s="26" t="str">
        <f>IF(OR(E2730="",E2730="!!!",F2730="NEW"),"",INDEX(J$1:J2729,SUMPRODUCT(MAX(ROW(E$1:E2729)*(E2730=E$1:E2729)))))</f>
        <v> </v>
      </c>
      <c r="L2730" s="27"/>
    </row>
    <row r="2731" spans="1:12">
      <c r="A2731" s="20" t="s">
        <v>1014</v>
      </c>
      <c r="E2731" s="22">
        <f>IF(D2731="?OLD","!!!","")</f>
        <v/>
      </c>
      <c r="F2731" s="23" t="str">
        <f>IF(OR(E2731="",E2731="!!!"),"",IF(NOT(ISNA(VLOOKUP(E2731,E$1:E2730,1,FALSE()))),"OLD",IF(AND(E2731&lt;&gt;"",E2731&lt;&gt;"!!!"),"NEW","")))</f>
        <v> </v>
      </c>
      <c r="G2731" s="24" t="str">
        <f>IF(OR(E2731="",E2731="!!!"),"",IF(OR(J2731=0,AND(J2731=1,K2731=1),AND(J2731=1,I2731="SBJ"),AND(J2731=1,I2731=0)),"?IN_FOCUS",IF(J2731&lt;=2,"?ACTIVATED",IF(J2731&lt;&gt;"","?FAMILIAR",IF(F2731="NEW",IF(ISNA(VLOOKUP(E2731,#REF!,1,FALSE())),"?TYPE_IDENTIFIABLE","?REFERENTIAL"),"_")))))</f>
        <v> </v>
      </c>
      <c r="H2731" s="25" t="str">
        <f>IF(J2731&lt;&gt;1,"",IF(I2731="SBJ","CB","?"))</f>
        <v> </v>
      </c>
      <c r="I2731" s="26" t="str">
        <f>IF(OR(E2731="",E2731="!!!",F2731="NEW"),"",INDEX(B2730:B$2,-1+SUMPRODUCT(MAX(ROW(E2730:E$2)*(E2731=E2730:E$2)))))</f>
        <v> </v>
      </c>
      <c r="J2731" s="26" t="str">
        <f>IF(OR(E2731="",E2731="!!!",F2731="NEW"),"",COUNTBLANK(OFFSET(A$1,,,SUMPRODUCT(MAX(ROW(E$2:E2731)*(E2731=E$2:E2731)))))-COUNTBLANK(OFFSET(A$1,,,SUMPRODUCT(MAX(ROW(E$1:E2730)*(E2=E$1:E2730))))))</f>
        <v> </v>
      </c>
      <c r="K2731" s="26" t="str">
        <f>IF(OR(E2731="",E2731="!!!",F2731="NEW"),"",INDEX(J$1:J2730,SUMPRODUCT(MAX(ROW(E$1:E2730)*(E2731=E$1:E2730)))))</f>
        <v> </v>
      </c>
      <c r="L2731" s="27"/>
    </row>
    <row r="2732" spans="1:12">
      <c r="A2732" s="20" t="s">
        <v>1852</v>
      </c>
      <c r="E2732" s="22">
        <f>IF(D2732="?OLD","!!!","")</f>
        <v/>
      </c>
      <c r="F2732" s="23" t="str">
        <f>IF(OR(E2732="",E2732="!!!"),"",IF(NOT(ISNA(VLOOKUP(E2732,E$1:E2731,1,FALSE()))),"OLD",IF(AND(E2732&lt;&gt;"",E2732&lt;&gt;"!!!"),"NEW","")))</f>
        <v> </v>
      </c>
      <c r="G2732" s="24" t="str">
        <f>IF(OR(E2732="",E2732="!!!"),"",IF(OR(J2732=0,AND(J2732=1,K2732=1),AND(J2732=1,I2732="SBJ"),AND(J2732=1,I2732=0)),"?IN_FOCUS",IF(J2732&lt;=2,"?ACTIVATED",IF(J2732&lt;&gt;"","?FAMILIAR",IF(F2732="NEW",IF(ISNA(VLOOKUP(E2732,#REF!,1,FALSE())),"?TYPE_IDENTIFIABLE","?REFERENTIAL"),"_")))))</f>
        <v> </v>
      </c>
      <c r="H2732" s="25" t="str">
        <f>IF(J2732&lt;&gt;1,"",IF(I2732="SBJ","CB","?"))</f>
        <v> </v>
      </c>
      <c r="I2732" s="26" t="str">
        <f>IF(OR(E2732="",E2732="!!!",F2732="NEW"),"",INDEX(B2731:B$2,-1+SUMPRODUCT(MAX(ROW(E2731:E$2)*(E2732=E2731:E$2)))))</f>
        <v> </v>
      </c>
      <c r="J2732" s="26" t="str">
        <f>IF(OR(E2732="",E2732="!!!",F2732="NEW"),"",COUNTBLANK(OFFSET(A$1,,,SUMPRODUCT(MAX(ROW(E$2:E2732)*(E2732=E$2:E2732)))))-COUNTBLANK(OFFSET(A$1,,,SUMPRODUCT(MAX(ROW(E$1:E2731)*(E2=E$1:E2731))))))</f>
        <v> </v>
      </c>
      <c r="K2732" s="26" t="str">
        <f>IF(OR(E2732="",E2732="!!!",F2732="NEW"),"",INDEX(J$1:J2731,SUMPRODUCT(MAX(ROW(E$1:E2731)*(E2732=E$1:E2731)))))</f>
        <v> </v>
      </c>
      <c r="L2732" s="27"/>
    </row>
    <row r="2733" spans="1:12">
      <c r="A2733" s="20" t="s">
        <v>1018</v>
      </c>
      <c r="E2733" s="22">
        <f>IF(D2733="?OLD","!!!","")</f>
        <v/>
      </c>
      <c r="F2733" s="23" t="str">
        <f>IF(OR(E2733="",E2733="!!!"),"",IF(NOT(ISNA(VLOOKUP(E2733,E$1:E2732,1,FALSE()))),"OLD",IF(AND(E2733&lt;&gt;"",E2733&lt;&gt;"!!!"),"NEW","")))</f>
        <v> </v>
      </c>
      <c r="G2733" s="24" t="str">
        <f>IF(OR(E2733="",E2733="!!!"),"",IF(OR(J2733=0,AND(J2733=1,K2733=1),AND(J2733=1,I2733="SBJ"),AND(J2733=1,I2733=0)),"?IN_FOCUS",IF(J2733&lt;=2,"?ACTIVATED",IF(J2733&lt;&gt;"","?FAMILIAR",IF(F2733="NEW",IF(ISNA(VLOOKUP(E2733,#REF!,1,FALSE())),"?TYPE_IDENTIFIABLE","?REFERENTIAL"),"_")))))</f>
        <v> </v>
      </c>
      <c r="H2733" s="25" t="str">
        <f>IF(J2733&lt;&gt;1,"",IF(I2733="SBJ","CB","?"))</f>
        <v> </v>
      </c>
      <c r="I2733" s="26" t="str">
        <f>IF(OR(E2733="",E2733="!!!",F2733="NEW"),"",INDEX(B2732:B$2,-1+SUMPRODUCT(MAX(ROW(E2732:E$2)*(E2733=E2732:E$2)))))</f>
        <v> </v>
      </c>
      <c r="J2733" s="26" t="str">
        <f>IF(OR(E2733="",E2733="!!!",F2733="NEW"),"",COUNTBLANK(OFFSET(A$1,,,SUMPRODUCT(MAX(ROW(E$2:E2733)*(E2733=E$2:E2733)))))-COUNTBLANK(OFFSET(A$1,,,SUMPRODUCT(MAX(ROW(E$1:E2732)*(E2=E$1:E2732))))))</f>
        <v> </v>
      </c>
      <c r="K2733" s="26" t="str">
        <f>IF(OR(E2733="",E2733="!!!",F2733="NEW"),"",INDEX(J$1:J2732,SUMPRODUCT(MAX(ROW(E$1:E2732)*(E2733=E$1:E2732)))))</f>
        <v> </v>
      </c>
      <c r="L2733" s="27"/>
    </row>
    <row r="2734" spans="1:12">
      <c r="A2734" s="20" t="s">
        <v>1142</v>
      </c>
      <c r="E2734" s="22">
        <f>IF(D2734="?OLD","!!!","")</f>
        <v/>
      </c>
      <c r="F2734" s="23" t="str">
        <f>IF(OR(E2734="",E2734="!!!"),"",IF(NOT(ISNA(VLOOKUP(E2734,E$1:E2733,1,FALSE()))),"OLD",IF(AND(E2734&lt;&gt;"",E2734&lt;&gt;"!!!"),"NEW","")))</f>
        <v> </v>
      </c>
      <c r="G2734" s="24" t="str">
        <f>IF(OR(E2734="",E2734="!!!"),"",IF(OR(J2734=0,AND(J2734=1,K2734=1),AND(J2734=1,I2734="SBJ"),AND(J2734=1,I2734=0)),"?IN_FOCUS",IF(J2734&lt;=2,"?ACTIVATED",IF(J2734&lt;&gt;"","?FAMILIAR",IF(F2734="NEW",IF(ISNA(VLOOKUP(E2734,#REF!,1,FALSE())),"?TYPE_IDENTIFIABLE","?REFERENTIAL"),"_")))))</f>
        <v> </v>
      </c>
      <c r="H2734" s="25" t="str">
        <f>IF(J2734&lt;&gt;1,"",IF(I2734="SBJ","CB","?"))</f>
        <v> </v>
      </c>
      <c r="I2734" s="26" t="str">
        <f>IF(OR(E2734="",E2734="!!!",F2734="NEW"),"",INDEX(B2733:B$2,-1+SUMPRODUCT(MAX(ROW(E2733:E$2)*(E2734=E2733:E$2)))))</f>
        <v> </v>
      </c>
      <c r="J2734" s="26" t="str">
        <f>IF(OR(E2734="",E2734="!!!",F2734="NEW"),"",COUNTBLANK(OFFSET(A$1,,,SUMPRODUCT(MAX(ROW(E$2:E2734)*(E2734=E$2:E2734)))))-COUNTBLANK(OFFSET(A$1,,,SUMPRODUCT(MAX(ROW(E$1:E2733)*(E2=E$1:E2733))))))</f>
        <v> </v>
      </c>
      <c r="K2734" s="26" t="str">
        <f>IF(OR(E2734="",E2734="!!!",F2734="NEW"),"",INDEX(J$1:J2733,SUMPRODUCT(MAX(ROW(E$1:E2733)*(E2734=E$1:E2733)))))</f>
        <v> </v>
      </c>
      <c r="L2734" s="27"/>
    </row>
    <row r="2735" spans="1:12">
      <c r="A2735" s="20" t="s">
        <v>1178</v>
      </c>
      <c r="E2735" s="22">
        <f>IF(D2735="?OLD","!!!","")</f>
        <v/>
      </c>
      <c r="F2735" s="23" t="str">
        <f>IF(OR(E2735="",E2735="!!!"),"",IF(NOT(ISNA(VLOOKUP(E2735,E$1:E2734,1,FALSE()))),"OLD",IF(AND(E2735&lt;&gt;"",E2735&lt;&gt;"!!!"),"NEW","")))</f>
        <v> </v>
      </c>
      <c r="G2735" s="24" t="str">
        <f>IF(OR(E2735="",E2735="!!!"),"",IF(OR(J2735=0,AND(J2735=1,K2735=1),AND(J2735=1,I2735="SBJ"),AND(J2735=1,I2735=0)),"?IN_FOCUS",IF(J2735&lt;=2,"?ACTIVATED",IF(J2735&lt;&gt;"","?FAMILIAR",IF(F2735="NEW",IF(ISNA(VLOOKUP(E2735,#REF!,1,FALSE())),"?TYPE_IDENTIFIABLE","?REFERENTIAL"),"_")))))</f>
        <v> </v>
      </c>
      <c r="H2735" s="25" t="str">
        <f>IF(J2735&lt;&gt;1,"",IF(I2735="SBJ","CB","?"))</f>
        <v> </v>
      </c>
      <c r="I2735" s="26" t="str">
        <f>IF(OR(E2735="",E2735="!!!",F2735="NEW"),"",INDEX(B2734:B$2,-1+SUMPRODUCT(MAX(ROW(E2734:E$2)*(E2735=E2734:E$2)))))</f>
        <v> </v>
      </c>
      <c r="J2735" s="26" t="str">
        <f>IF(OR(E2735="",E2735="!!!",F2735="NEW"),"",COUNTBLANK(OFFSET(A$1,,,SUMPRODUCT(MAX(ROW(E$2:E2735)*(E2735=E$2:E2735)))))-COUNTBLANK(OFFSET(A$1,,,SUMPRODUCT(MAX(ROW(E$1:E2734)*(E2=E$1:E2734))))))</f>
        <v> </v>
      </c>
      <c r="K2735" s="26" t="str">
        <f>IF(OR(E2735="",E2735="!!!",F2735="NEW"),"",INDEX(J$1:J2734,SUMPRODUCT(MAX(ROW(E$1:E2734)*(E2735=E$1:E2734)))))</f>
        <v> </v>
      </c>
      <c r="L2735" s="27"/>
    </row>
    <row r="2736" spans="1:12">
      <c r="A2736" s="20" t="s">
        <v>1851</v>
      </c>
      <c r="B2736" s="21" t="s">
        <v>1187</v>
      </c>
      <c r="C2736" s="21" t="s">
        <v>1086</v>
      </c>
      <c r="E2736" s="22">
        <f>IF(D2736="?OLD","!!!","")</f>
        <v/>
      </c>
      <c r="F2736" s="23" t="str">
        <f>IF(OR(E2736="",E2736="!!!"),"",IF(NOT(ISNA(VLOOKUP(E2736,E$1:E2735,1,FALSE()))),"OLD",IF(AND(E2736&lt;&gt;"",E2736&lt;&gt;"!!!"),"NEW","")))</f>
        <v> </v>
      </c>
      <c r="G2736" s="24" t="str">
        <f>IF(OR(E2736="",E2736="!!!"),"",IF(OR(J2736=0,AND(J2736=1,K2736=1),AND(J2736=1,I2736="SBJ"),AND(J2736=1,I2736=0)),"?IN_FOCUS",IF(J2736&lt;=2,"?ACTIVATED",IF(J2736&lt;&gt;"","?FAMILIAR",IF(F2736="NEW",IF(ISNA(VLOOKUP(E2736,#REF!,1,FALSE())),"?TYPE_IDENTIFIABLE","?REFERENTIAL"),"_")))))</f>
        <v> </v>
      </c>
      <c r="H2736" s="25" t="str">
        <f>IF(J2736&lt;&gt;1,"",IF(I2736="SBJ","CB","?"))</f>
        <v> </v>
      </c>
      <c r="I2736" s="26" t="str">
        <f>IF(OR(E2736="",E2736="!!!",F2736="NEW"),"",INDEX(B2735:B$2,-1+SUMPRODUCT(MAX(ROW(E2735:E$2)*(E2736=E2735:E$2)))))</f>
        <v> </v>
      </c>
      <c r="J2736" s="26" t="str">
        <f>IF(OR(E2736="",E2736="!!!",F2736="NEW"),"",COUNTBLANK(OFFSET(A$1,,,SUMPRODUCT(MAX(ROW(E$2:E2736)*(E2736=E$2:E2736)))))-COUNTBLANK(OFFSET(A$1,,,SUMPRODUCT(MAX(ROW(E$1:E2735)*(E2=E$1:E2735))))))</f>
        <v> </v>
      </c>
      <c r="K2736" s="26" t="str">
        <f>IF(OR(E2736="",E2736="!!!",F2736="NEW"),"",INDEX(J$1:J2735,SUMPRODUCT(MAX(ROW(E$1:E2735)*(E2736=E$1:E2735)))))</f>
        <v> </v>
      </c>
      <c r="L2736" s="27"/>
    </row>
    <row r="2737" spans="1:12">
      <c r="A2737" s="20" t="s">
        <v>1182</v>
      </c>
      <c r="E2737" s="22">
        <f>IF(D2737="?OLD","!!!","")</f>
        <v/>
      </c>
      <c r="F2737" s="23" t="str">
        <f>IF(OR(E2737="",E2737="!!!"),"",IF(NOT(ISNA(VLOOKUP(E2737,E$1:E2736,1,FALSE()))),"OLD",IF(AND(E2737&lt;&gt;"",E2737&lt;&gt;"!!!"),"NEW","")))</f>
        <v> </v>
      </c>
      <c r="G2737" s="24" t="str">
        <f>IF(OR(E2737="",E2737="!!!"),"",IF(OR(J2737=0,AND(J2737=1,K2737=1),AND(J2737=1,I2737="SBJ"),AND(J2737=1,I2737=0)),"?IN_FOCUS",IF(J2737&lt;=2,"?ACTIVATED",IF(J2737&lt;&gt;"","?FAMILIAR",IF(F2737="NEW",IF(ISNA(VLOOKUP(E2737,#REF!,1,FALSE())),"?TYPE_IDENTIFIABLE","?REFERENTIAL"),"_")))))</f>
        <v> </v>
      </c>
      <c r="H2737" s="25" t="str">
        <f>IF(J2737&lt;&gt;1,"",IF(I2737="SBJ","CB","?"))</f>
        <v> </v>
      </c>
      <c r="I2737" s="26" t="str">
        <f>IF(OR(E2737="",E2737="!!!",F2737="NEW"),"",INDEX(B2736:B$2,-1+SUMPRODUCT(MAX(ROW(E2736:E$2)*(E2737=E2736:E$2)))))</f>
        <v> </v>
      </c>
      <c r="J2737" s="26" t="str">
        <f>IF(OR(E2737="",E2737="!!!",F2737="NEW"),"",COUNTBLANK(OFFSET(A$1,,,SUMPRODUCT(MAX(ROW(E$2:E2737)*(E2737=E$2:E2737)))))-COUNTBLANK(OFFSET(A$1,,,SUMPRODUCT(MAX(ROW(E$1:E2736)*(E2=E$1:E2736))))))</f>
        <v> </v>
      </c>
      <c r="K2737" s="26" t="str">
        <f>IF(OR(E2737="",E2737="!!!",F2737="NEW"),"",INDEX(J$1:J2736,SUMPRODUCT(MAX(ROW(E$1:E2736)*(E2737=E$1:E2736)))))</f>
        <v> </v>
      </c>
      <c r="L2737" s="27"/>
    </row>
    <row r="2738" spans="1:12">
      <c r="A2738" s="20" t="s">
        <v>1065</v>
      </c>
      <c r="E2738" s="22">
        <f>IF(D2738="?OLD","!!!","")</f>
        <v/>
      </c>
      <c r="F2738" s="23" t="str">
        <f>IF(OR(E2738="",E2738="!!!"),"",IF(NOT(ISNA(VLOOKUP(E2738,E$1:E2737,1,FALSE()))),"OLD",IF(AND(E2738&lt;&gt;"",E2738&lt;&gt;"!!!"),"NEW","")))</f>
        <v> </v>
      </c>
      <c r="G2738" s="24" t="str">
        <f>IF(OR(E2738="",E2738="!!!"),"",IF(OR(J2738=0,AND(J2738=1,K2738=1),AND(J2738=1,I2738="SBJ"),AND(J2738=1,I2738=0)),"?IN_FOCUS",IF(J2738&lt;=2,"?ACTIVATED",IF(J2738&lt;&gt;"","?FAMILIAR",IF(F2738="NEW",IF(ISNA(VLOOKUP(E2738,#REF!,1,FALSE())),"?TYPE_IDENTIFIABLE","?REFERENTIAL"),"_")))))</f>
        <v> </v>
      </c>
      <c r="H2738" s="25" t="str">
        <f>IF(J2738&lt;&gt;1,"",IF(I2738="SBJ","CB","?"))</f>
        <v> </v>
      </c>
      <c r="I2738" s="26" t="str">
        <f>IF(OR(E2738="",E2738="!!!",F2738="NEW"),"",INDEX(B2737:B$2,-1+SUMPRODUCT(MAX(ROW(E2737:E$2)*(E2738=E2737:E$2)))))</f>
        <v> </v>
      </c>
      <c r="J2738" s="26" t="str">
        <f>IF(OR(E2738="",E2738="!!!",F2738="NEW"),"",COUNTBLANK(OFFSET(A$1,,,SUMPRODUCT(MAX(ROW(E$2:E2738)*(E2738=E$2:E2738)))))-COUNTBLANK(OFFSET(A$1,,,SUMPRODUCT(MAX(ROW(E$1:E2737)*(E2=E$1:E2737))))))</f>
        <v> </v>
      </c>
      <c r="K2738" s="26" t="str">
        <f>IF(OR(E2738="",E2738="!!!",F2738="NEW"),"",INDEX(J$1:J2737,SUMPRODUCT(MAX(ROW(E$1:E2737)*(E2738=E$1:E2737)))))</f>
        <v> </v>
      </c>
      <c r="L2738" s="27"/>
    </row>
    <row r="2739" spans="1:12">
      <c r="A2739" s="20" t="s">
        <v>1030</v>
      </c>
      <c r="E2739" s="22">
        <f>IF(D2739="?OLD","!!!","")</f>
        <v/>
      </c>
      <c r="F2739" s="23" t="str">
        <f>IF(OR(E2739="",E2739="!!!"),"",IF(NOT(ISNA(VLOOKUP(E2739,E$1:E2738,1,FALSE()))),"OLD",IF(AND(E2739&lt;&gt;"",E2739&lt;&gt;"!!!"),"NEW","")))</f>
        <v> </v>
      </c>
      <c r="G2739" s="24" t="str">
        <f>IF(OR(E2739="",E2739="!!!"),"",IF(OR(J2739=0,AND(J2739=1,K2739=1),AND(J2739=1,I2739="SBJ"),AND(J2739=1,I2739=0)),"?IN_FOCUS",IF(J2739&lt;=2,"?ACTIVATED",IF(J2739&lt;&gt;"","?FAMILIAR",IF(F2739="NEW",IF(ISNA(VLOOKUP(E2739,#REF!,1,FALSE())),"?TYPE_IDENTIFIABLE","?REFERENTIAL"),"_")))))</f>
        <v> </v>
      </c>
      <c r="H2739" s="25" t="str">
        <f>IF(J2739&lt;&gt;1,"",IF(I2739="SBJ","CB","?"))</f>
        <v> </v>
      </c>
      <c r="I2739" s="26" t="str">
        <f>IF(OR(E2739="",E2739="!!!",F2739="NEW"),"",INDEX(B2738:B$2,-1+SUMPRODUCT(MAX(ROW(E2738:E$2)*(E2739=E2738:E$2)))))</f>
        <v> </v>
      </c>
      <c r="J2739" s="26" t="str">
        <f>IF(OR(E2739="",E2739="!!!",F2739="NEW"),"",COUNTBLANK(OFFSET(A$1,,,SUMPRODUCT(MAX(ROW(E$2:E2739)*(E2739=E$2:E2739)))))-COUNTBLANK(OFFSET(A$1,,,SUMPRODUCT(MAX(ROW(E$1:E2738)*(E2=E$1:E2738))))))</f>
        <v> </v>
      </c>
      <c r="K2739" s="26" t="str">
        <f>IF(OR(E2739="",E2739="!!!",F2739="NEW"),"",INDEX(J$1:J2738,SUMPRODUCT(MAX(ROW(E$1:E2738)*(E2739=E$1:E2738)))))</f>
        <v> </v>
      </c>
      <c r="L2739" s="27"/>
    </row>
    <row r="2740" spans="1:12">
      <c r="A2740" s="20" t="s">
        <v>1015</v>
      </c>
      <c r="B2740" s="21" t="s">
        <v>1064</v>
      </c>
      <c r="C2740" s="21" t="s">
        <v>1082</v>
      </c>
      <c r="D2740" s="21" t="s">
        <v>1007</v>
      </c>
      <c r="E2740" s="22">
        <f>IF(D2740="?OLD","!!!","")</f>
        <v/>
      </c>
      <c r="F2740" s="23" t="str">
        <f>IF(OR(E2740="",E2740="!!!"),"",IF(NOT(ISNA(VLOOKUP(E2740,E$1:E2739,1,FALSE()))),"OLD",IF(AND(E2740&lt;&gt;"",E2740&lt;&gt;"!!!"),"NEW","")))</f>
        <v> </v>
      </c>
      <c r="G2740" s="24" t="str">
        <f>IF(OR(E2740="",E2740="!!!"),"",IF(OR(J2740=0,AND(J2740=1,K2740=1),AND(J2740=1,I2740="SBJ"),AND(J2740=1,I2740=0)),"?IN_FOCUS",IF(J2740&lt;=2,"?ACTIVATED",IF(J2740&lt;&gt;"","?FAMILIAR",IF(F2740="NEW",IF(ISNA(VLOOKUP(E2740,#REF!,1,FALSE())),"?TYPE_IDENTIFIABLE","?REFERENTIAL"),"_")))))</f>
        <v> </v>
      </c>
      <c r="H2740" s="25" t="str">
        <f>IF(J2740&lt;&gt;1,"",IF(I2740="SBJ","CB","?"))</f>
        <v> </v>
      </c>
      <c r="I2740" s="26" t="str">
        <f>IF(OR(E2740="",E2740="!!!",F2740="NEW"),"",INDEX(B2739:B$2,-1+SUMPRODUCT(MAX(ROW(E2739:E$2)*(E2740=E2739:E$2)))))</f>
        <v> </v>
      </c>
      <c r="J2740" s="26" t="str">
        <f>IF(OR(E2740="",E2740="!!!",F2740="NEW"),"",COUNTBLANK(OFFSET(A$1,,,SUMPRODUCT(MAX(ROW(E$2:E2740)*(E2740=E$2:E2740)))))-COUNTBLANK(OFFSET(A$1,,,SUMPRODUCT(MAX(ROW(E$1:E2739)*(E2=E$1:E2739))))))</f>
        <v> </v>
      </c>
      <c r="K2740" s="26" t="str">
        <f>IF(OR(E2740="",E2740="!!!",F2740="NEW"),"",INDEX(J$1:J2739,SUMPRODUCT(MAX(ROW(E$1:E2739)*(E2740=E$1:E2739)))))</f>
        <v> </v>
      </c>
      <c r="L2740" s="27"/>
    </row>
    <row r="2741" spans="1:12">
      <c r="A2741" s="20" t="s">
        <v>1847</v>
      </c>
      <c r="E2741" s="22">
        <f>IF(D2741="?OLD","!!!","")</f>
        <v/>
      </c>
      <c r="F2741" s="23" t="str">
        <f>IF(OR(E2741="",E2741="!!!"),"",IF(NOT(ISNA(VLOOKUP(E2741,E$1:E2740,1,FALSE()))),"OLD",IF(AND(E2741&lt;&gt;"",E2741&lt;&gt;"!!!"),"NEW","")))</f>
        <v> </v>
      </c>
      <c r="G2741" s="24" t="str">
        <f>IF(OR(E2741="",E2741="!!!"),"",IF(OR(J2741=0,AND(J2741=1,K2741=1),AND(J2741=1,I2741="SBJ"),AND(J2741=1,I2741=0)),"?IN_FOCUS",IF(J2741&lt;=2,"?ACTIVATED",IF(J2741&lt;&gt;"","?FAMILIAR",IF(F2741="NEW",IF(ISNA(VLOOKUP(E2741,#REF!,1,FALSE())),"?TYPE_IDENTIFIABLE","?REFERENTIAL"),"_")))))</f>
        <v> </v>
      </c>
      <c r="H2741" s="25" t="str">
        <f>IF(J2741&lt;&gt;1,"",IF(I2741="SBJ","CB","?"))</f>
        <v> </v>
      </c>
      <c r="I2741" s="26" t="str">
        <f>IF(OR(E2741="",E2741="!!!",F2741="NEW"),"",INDEX(B2740:B$2,-1+SUMPRODUCT(MAX(ROW(E2740:E$2)*(E2741=E2740:E$2)))))</f>
        <v> </v>
      </c>
      <c r="J2741" s="26" t="str">
        <f>IF(OR(E2741="",E2741="!!!",F2741="NEW"),"",COUNTBLANK(OFFSET(A$1,,,SUMPRODUCT(MAX(ROW(E$2:E2741)*(E2741=E$2:E2741)))))-COUNTBLANK(OFFSET(A$1,,,SUMPRODUCT(MAX(ROW(E$1:E2740)*(E2=E$1:E2740))))))</f>
        <v> </v>
      </c>
      <c r="K2741" s="26" t="str">
        <f>IF(OR(E2741="",E2741="!!!",F2741="NEW"),"",INDEX(J$1:J2740,SUMPRODUCT(MAX(ROW(E$1:E2740)*(E2741=E$1:E2740)))))</f>
        <v> </v>
      </c>
      <c r="L2741" s="27"/>
    </row>
    <row r="2742" spans="1:12">
      <c r="A2742" s="20" t="s">
        <v>1023</v>
      </c>
      <c r="E2742" s="22">
        <f>IF(D2742="?OLD","!!!","")</f>
        <v/>
      </c>
      <c r="F2742" s="23" t="str">
        <f>IF(OR(E2742="",E2742="!!!"),"",IF(NOT(ISNA(VLOOKUP(E2742,E$1:E2741,1,FALSE()))),"OLD",IF(AND(E2742&lt;&gt;"",E2742&lt;&gt;"!!!"),"NEW","")))</f>
        <v> </v>
      </c>
      <c r="G2742" s="24" t="str">
        <f>IF(OR(E2742="",E2742="!!!"),"",IF(OR(J2742=0,AND(J2742=1,K2742=1),AND(J2742=1,I2742="SBJ"),AND(J2742=1,I2742=0)),"?IN_FOCUS",IF(J2742&lt;=2,"?ACTIVATED",IF(J2742&lt;&gt;"","?FAMILIAR",IF(F2742="NEW",IF(ISNA(VLOOKUP(E2742,#REF!,1,FALSE())),"?TYPE_IDENTIFIABLE","?REFERENTIAL"),"_")))))</f>
        <v> </v>
      </c>
      <c r="H2742" s="25" t="str">
        <f>IF(J2742&lt;&gt;1,"",IF(I2742="SBJ","CB","?"))</f>
        <v> </v>
      </c>
      <c r="I2742" s="26" t="str">
        <f>IF(OR(E2742="",E2742="!!!",F2742="NEW"),"",INDEX(B2741:B$2,-1+SUMPRODUCT(MAX(ROW(E2741:E$2)*(E2742=E2741:E$2)))))</f>
        <v> </v>
      </c>
      <c r="J2742" s="26" t="str">
        <f>IF(OR(E2742="",E2742="!!!",F2742="NEW"),"",COUNTBLANK(OFFSET(A$1,,,SUMPRODUCT(MAX(ROW(E$2:E2742)*(E2742=E$2:E2742)))))-COUNTBLANK(OFFSET(A$1,,,SUMPRODUCT(MAX(ROW(E$1:E2741)*(E2=E$1:E2741))))))</f>
        <v> </v>
      </c>
      <c r="K2742" s="26" t="str">
        <f>IF(OR(E2742="",E2742="!!!",F2742="NEW"),"",INDEX(J$1:J2741,SUMPRODUCT(MAX(ROW(E$1:E2741)*(E2742=E$1:E2741)))))</f>
        <v> </v>
      </c>
      <c r="L2742" s="27"/>
    </row>
    <row r="2743" spans="1:12">
      <c r="A2743" s="20"/>
    </row>
    <row r="2744" spans="1:12">
      <c r="A2744" s="20" t="s">
        <v>1853</v>
      </c>
    </row>
    <row r="2745" spans="1:12">
      <c r="A2745" s="20" t="s">
        <v>1294</v>
      </c>
      <c r="E2745" s="22">
        <f>IF(D2745="?OLD","!!!","")</f>
        <v/>
      </c>
      <c r="F2745" s="23" t="str">
        <f>IF(OR(E2745="",E2745="!!!"),"",IF(NOT(ISNA(VLOOKUP(E2745,E$1:E2744,1,FALSE()))),"OLD",IF(AND(E2745&lt;&gt;"",E2745&lt;&gt;"!!!"),"NEW","")))</f>
        <v> </v>
      </c>
      <c r="G2745" s="24" t="str">
        <f>IF(OR(E2745="",E2745="!!!"),"",IF(OR(J2745=0,AND(J2745=1,K2745=1),AND(J2745=1,I2745="SBJ"),AND(J2745=1,I2745=0)),"?IN_FOCUS",IF(J2745&lt;=2,"?ACTIVATED",IF(J2745&lt;&gt;"","?FAMILIAR",IF(F2745="NEW",IF(ISNA(VLOOKUP(E2745,#REF!,1,FALSE())),"?TYPE_IDENTIFIABLE","?REFERENTIAL"),"_")))))</f>
        <v> </v>
      </c>
      <c r="H2745" s="25" t="str">
        <f>IF(J2745&lt;&gt;1,"",IF(I2745="SBJ","CB","?"))</f>
        <v> </v>
      </c>
      <c r="I2745" s="26" t="str">
        <f>IF(OR(E2745="",E2745="!!!",F2745="NEW"),"",INDEX(B2744:B$2,-1+SUMPRODUCT(MAX(ROW(E2744:E$2)*(E2745=E2744:E$2)))))</f>
        <v> </v>
      </c>
      <c r="J2745" s="26" t="str">
        <f>IF(OR(E2745="",E2745="!!!",F2745="NEW"),"",COUNTBLANK(OFFSET(A$1,,,SUMPRODUCT(MAX(ROW(E$2:E2745)*(E2745=E$2:E2745)))))-COUNTBLANK(OFFSET(A$1,,,SUMPRODUCT(MAX(ROW(E$1:E2744)*(E2=E$1:E2744))))))</f>
        <v> </v>
      </c>
      <c r="K2745" s="26" t="str">
        <f>IF(OR(E2745="",E2745="!!!",F2745="NEW"),"",INDEX(J$1:J2744,SUMPRODUCT(MAX(ROW(E$1:E2744)*(E2745=E$1:E2744)))))</f>
        <v> </v>
      </c>
      <c r="L2745" s="27"/>
    </row>
    <row r="2746" spans="1:12">
      <c r="A2746" s="20" t="s">
        <v>1122</v>
      </c>
      <c r="E2746" s="22">
        <f>IF(D2746="?OLD","!!!","")</f>
        <v/>
      </c>
      <c r="F2746" s="23" t="str">
        <f>IF(OR(E2746="",E2746="!!!"),"",IF(NOT(ISNA(VLOOKUP(E2746,E$1:E2745,1,FALSE()))),"OLD",IF(AND(E2746&lt;&gt;"",E2746&lt;&gt;"!!!"),"NEW","")))</f>
        <v> </v>
      </c>
      <c r="G2746" s="24" t="str">
        <f>IF(OR(E2746="",E2746="!!!"),"",IF(OR(J2746=0,AND(J2746=1,K2746=1),AND(J2746=1,I2746="SBJ"),AND(J2746=1,I2746=0)),"?IN_FOCUS",IF(J2746&lt;=2,"?ACTIVATED",IF(J2746&lt;&gt;"","?FAMILIAR",IF(F2746="NEW",IF(ISNA(VLOOKUP(E2746,#REF!,1,FALSE())),"?TYPE_IDENTIFIABLE","?REFERENTIAL"),"_")))))</f>
        <v> </v>
      </c>
      <c r="H2746" s="25" t="str">
        <f>IF(J2746&lt;&gt;1,"",IF(I2746="SBJ","CB","?"))</f>
        <v> </v>
      </c>
      <c r="I2746" s="26" t="str">
        <f>IF(OR(E2746="",E2746="!!!",F2746="NEW"),"",INDEX(B2745:B$2,-1+SUMPRODUCT(MAX(ROW(E2745:E$2)*(E2746=E2745:E$2)))))</f>
        <v> </v>
      </c>
      <c r="J2746" s="26" t="str">
        <f>IF(OR(E2746="",E2746="!!!",F2746="NEW"),"",COUNTBLANK(OFFSET(A$1,,,SUMPRODUCT(MAX(ROW(E$2:E2746)*(E2746=E$2:E2746)))))-COUNTBLANK(OFFSET(A$1,,,SUMPRODUCT(MAX(ROW(E$1:E2745)*(E2=E$1:E2745))))))</f>
        <v> </v>
      </c>
      <c r="K2746" s="26" t="str">
        <f>IF(OR(E2746="",E2746="!!!",F2746="NEW"),"",INDEX(J$1:J2745,SUMPRODUCT(MAX(ROW(E$1:E2745)*(E2746=E$1:E2745)))))</f>
        <v> </v>
      </c>
      <c r="L2746" s="27"/>
    </row>
    <row r="2747" spans="1:12">
      <c r="A2747" s="20" t="s">
        <v>1478</v>
      </c>
      <c r="B2747" s="21" t="s">
        <v>1005</v>
      </c>
      <c r="C2747" s="21" t="s">
        <v>1041</v>
      </c>
      <c r="D2747" s="21" t="s">
        <v>1007</v>
      </c>
      <c r="E2747" s="22">
        <f>IF(D2747="?OLD","!!!","")</f>
        <v/>
      </c>
      <c r="F2747" s="23" t="str">
        <f>IF(OR(E2747="",E2747="!!!"),"",IF(NOT(ISNA(VLOOKUP(E2747,E$1:E2746,1,FALSE()))),"OLD",IF(AND(E2747&lt;&gt;"",E2747&lt;&gt;"!!!"),"NEW","")))</f>
        <v> </v>
      </c>
      <c r="G2747" s="24" t="str">
        <f>IF(OR(E2747="",E2747="!!!"),"",IF(OR(J2747=0,AND(J2747=1,K2747=1),AND(J2747=1,I2747="SBJ"),AND(J2747=1,I2747=0)),"?IN_FOCUS",IF(J2747&lt;=2,"?ACTIVATED",IF(J2747&lt;&gt;"","?FAMILIAR",IF(F2747="NEW",IF(ISNA(VLOOKUP(E2747,#REF!,1,FALSE())),"?TYPE_IDENTIFIABLE","?REFERENTIAL"),"_")))))</f>
        <v> </v>
      </c>
      <c r="H2747" s="25" t="str">
        <f>IF(J2747&lt;&gt;1,"",IF(I2747="SBJ","CB","?"))</f>
        <v> </v>
      </c>
      <c r="I2747" s="26" t="str">
        <f>IF(OR(E2747="",E2747="!!!",F2747="NEW"),"",INDEX(B2746:B$2,-1+SUMPRODUCT(MAX(ROW(E2746:E$2)*(E2747=E2746:E$2)))))</f>
        <v> </v>
      </c>
      <c r="J2747" s="26" t="str">
        <f>IF(OR(E2747="",E2747="!!!",F2747="NEW"),"",COUNTBLANK(OFFSET(A$1,,,SUMPRODUCT(MAX(ROW(E$2:E2747)*(E2747=E$2:E2747)))))-COUNTBLANK(OFFSET(A$1,,,SUMPRODUCT(MAX(ROW(E$1:E2746)*(E2=E$1:E2746))))))</f>
        <v> </v>
      </c>
      <c r="K2747" s="26" t="str">
        <f>IF(OR(E2747="",E2747="!!!",F2747="NEW"),"",INDEX(J$1:J2746,SUMPRODUCT(MAX(ROW(E$1:E2746)*(E2747=E$1:E2746)))))</f>
        <v> </v>
      </c>
      <c r="L2747" s="27"/>
    </row>
    <row r="2748" spans="1:12">
      <c r="A2748" s="20" t="s">
        <v>1014</v>
      </c>
      <c r="E2748" s="22">
        <f>IF(D2748="?OLD","!!!","")</f>
        <v/>
      </c>
      <c r="F2748" s="23" t="str">
        <f>IF(OR(E2748="",E2748="!!!"),"",IF(NOT(ISNA(VLOOKUP(E2748,E$1:E2747,1,FALSE()))),"OLD",IF(AND(E2748&lt;&gt;"",E2748&lt;&gt;"!!!"),"NEW","")))</f>
        <v> </v>
      </c>
      <c r="G2748" s="24" t="str">
        <f>IF(OR(E2748="",E2748="!!!"),"",IF(OR(J2748=0,AND(J2748=1,K2748=1),AND(J2748=1,I2748="SBJ"),AND(J2748=1,I2748=0)),"?IN_FOCUS",IF(J2748&lt;=2,"?ACTIVATED",IF(J2748&lt;&gt;"","?FAMILIAR",IF(F2748="NEW",IF(ISNA(VLOOKUP(E2748,#REF!,1,FALSE())),"?TYPE_IDENTIFIABLE","?REFERENTIAL"),"_")))))</f>
        <v> </v>
      </c>
      <c r="H2748" s="25" t="str">
        <f>IF(J2748&lt;&gt;1,"",IF(I2748="SBJ","CB","?"))</f>
        <v> </v>
      </c>
      <c r="I2748" s="26" t="str">
        <f>IF(OR(E2748="",E2748="!!!",F2748="NEW"),"",INDEX(B2747:B$2,-1+SUMPRODUCT(MAX(ROW(E2747:E$2)*(E2748=E2747:E$2)))))</f>
        <v> </v>
      </c>
      <c r="J2748" s="26" t="str">
        <f>IF(OR(E2748="",E2748="!!!",F2748="NEW"),"",COUNTBLANK(OFFSET(A$1,,,SUMPRODUCT(MAX(ROW(E$2:E2748)*(E2748=E$2:E2748)))))-COUNTBLANK(OFFSET(A$1,,,SUMPRODUCT(MAX(ROW(E$1:E2747)*(E2=E$1:E2747))))))</f>
        <v> </v>
      </c>
      <c r="K2748" s="26" t="str">
        <f>IF(OR(E2748="",E2748="!!!",F2748="NEW"),"",INDEX(J$1:J2747,SUMPRODUCT(MAX(ROW(E$1:E2747)*(E2748=E$1:E2747)))))</f>
        <v> </v>
      </c>
      <c r="L2748" s="27"/>
    </row>
    <row r="2749" spans="1:12">
      <c r="A2749" s="20" t="s">
        <v>1854</v>
      </c>
      <c r="B2749" s="21" t="s">
        <v>1022</v>
      </c>
      <c r="C2749" s="21" t="s">
        <v>1048</v>
      </c>
      <c r="E2749" s="22">
        <f>IF(D2749="?OLD","!!!","")</f>
        <v/>
      </c>
      <c r="F2749" s="23" t="str">
        <f>IF(OR(E2749="",E2749="!!!"),"",IF(NOT(ISNA(VLOOKUP(E2749,E$1:E2748,1,FALSE()))),"OLD",IF(AND(E2749&lt;&gt;"",E2749&lt;&gt;"!!!"),"NEW","")))</f>
        <v> </v>
      </c>
      <c r="G2749" s="24" t="str">
        <f>IF(OR(E2749="",E2749="!!!"),"",IF(OR(J2749=0,AND(J2749=1,K2749=1),AND(J2749=1,I2749="SBJ"),AND(J2749=1,I2749=0)),"?IN_FOCUS",IF(J2749&lt;=2,"?ACTIVATED",IF(J2749&lt;&gt;"","?FAMILIAR",IF(F2749="NEW",IF(ISNA(VLOOKUP(E2749,#REF!,1,FALSE())),"?TYPE_IDENTIFIABLE","?REFERENTIAL"),"_")))))</f>
        <v> </v>
      </c>
      <c r="H2749" s="25" t="str">
        <f>IF(J2749&lt;&gt;1,"",IF(I2749="SBJ","CB","?"))</f>
        <v> </v>
      </c>
      <c r="I2749" s="26" t="str">
        <f>IF(OR(E2749="",E2749="!!!",F2749="NEW"),"",INDEX(B2748:B$2,-1+SUMPRODUCT(MAX(ROW(E2748:E$2)*(E2749=E2748:E$2)))))</f>
        <v> </v>
      </c>
      <c r="J2749" s="26" t="str">
        <f>IF(OR(E2749="",E2749="!!!",F2749="NEW"),"",COUNTBLANK(OFFSET(A$1,,,SUMPRODUCT(MAX(ROW(E$2:E2749)*(E2749=E$2:E2749)))))-COUNTBLANK(OFFSET(A$1,,,SUMPRODUCT(MAX(ROW(E$1:E2748)*(E2=E$1:E2748))))))</f>
        <v> </v>
      </c>
      <c r="K2749" s="26" t="str">
        <f>IF(OR(E2749="",E2749="!!!",F2749="NEW"),"",INDEX(J$1:J2748,SUMPRODUCT(MAX(ROW(E$1:E2748)*(E2749=E$1:E2748)))))</f>
        <v> </v>
      </c>
      <c r="L2749" s="27"/>
    </row>
    <row r="2750" spans="1:12">
      <c r="A2750" s="20" t="s">
        <v>1018</v>
      </c>
      <c r="E2750" s="22">
        <f>IF(D2750="?OLD","!!!","")</f>
        <v/>
      </c>
      <c r="F2750" s="23" t="str">
        <f>IF(OR(E2750="",E2750="!!!"),"",IF(NOT(ISNA(VLOOKUP(E2750,E$1:E2749,1,FALSE()))),"OLD",IF(AND(E2750&lt;&gt;"",E2750&lt;&gt;"!!!"),"NEW","")))</f>
        <v> </v>
      </c>
      <c r="G2750" s="24" t="str">
        <f>IF(OR(E2750="",E2750="!!!"),"",IF(OR(J2750=0,AND(J2750=1,K2750=1),AND(J2750=1,I2750="SBJ"),AND(J2750=1,I2750=0)),"?IN_FOCUS",IF(J2750&lt;=2,"?ACTIVATED",IF(J2750&lt;&gt;"","?FAMILIAR",IF(F2750="NEW",IF(ISNA(VLOOKUP(E2750,#REF!,1,FALSE())),"?TYPE_IDENTIFIABLE","?REFERENTIAL"),"_")))))</f>
        <v> </v>
      </c>
      <c r="H2750" s="25" t="str">
        <f>IF(J2750&lt;&gt;1,"",IF(I2750="SBJ","CB","?"))</f>
        <v> </v>
      </c>
      <c r="I2750" s="26" t="str">
        <f>IF(OR(E2750="",E2750="!!!",F2750="NEW"),"",INDEX(B2749:B$2,-1+SUMPRODUCT(MAX(ROW(E2749:E$2)*(E2750=E2749:E$2)))))</f>
        <v> </v>
      </c>
      <c r="J2750" s="26" t="str">
        <f>IF(OR(E2750="",E2750="!!!",F2750="NEW"),"",COUNTBLANK(OFFSET(A$1,,,SUMPRODUCT(MAX(ROW(E$2:E2750)*(E2750=E$2:E2750)))))-COUNTBLANK(OFFSET(A$1,,,SUMPRODUCT(MAX(ROW(E$1:E2749)*(E2=E$1:E2749))))))</f>
        <v> </v>
      </c>
      <c r="K2750" s="26" t="str">
        <f>IF(OR(E2750="",E2750="!!!",F2750="NEW"),"",INDEX(J$1:J2749,SUMPRODUCT(MAX(ROW(E$1:E2749)*(E2750=E$1:E2749)))))</f>
        <v> </v>
      </c>
      <c r="L2750" s="27"/>
    </row>
    <row r="2751" spans="1:12">
      <c r="A2751" s="20" t="s">
        <v>1451</v>
      </c>
      <c r="B2751" s="21" t="s">
        <v>1050</v>
      </c>
      <c r="C2751" s="21" t="s">
        <v>1074</v>
      </c>
      <c r="E2751" s="22">
        <f>IF(D2751="?OLD","!!!","")</f>
        <v/>
      </c>
      <c r="F2751" s="23" t="str">
        <f>IF(OR(E2751="",E2751="!!!"),"",IF(NOT(ISNA(VLOOKUP(E2751,E$1:E2750,1,FALSE()))),"OLD",IF(AND(E2751&lt;&gt;"",E2751&lt;&gt;"!!!"),"NEW","")))</f>
        <v> </v>
      </c>
      <c r="G2751" s="24" t="str">
        <f>IF(OR(E2751="",E2751="!!!"),"",IF(OR(J2751=0,AND(J2751=1,K2751=1),AND(J2751=1,I2751="SBJ"),AND(J2751=1,I2751=0)),"?IN_FOCUS",IF(J2751&lt;=2,"?ACTIVATED",IF(J2751&lt;&gt;"","?FAMILIAR",IF(F2751="NEW",IF(ISNA(VLOOKUP(E2751,#REF!,1,FALSE())),"?TYPE_IDENTIFIABLE","?REFERENTIAL"),"_")))))</f>
        <v> </v>
      </c>
      <c r="H2751" s="25" t="str">
        <f>IF(J2751&lt;&gt;1,"",IF(I2751="SBJ","CB","?"))</f>
        <v> </v>
      </c>
      <c r="I2751" s="26" t="str">
        <f>IF(OR(E2751="",E2751="!!!",F2751="NEW"),"",INDEX(B2750:B$2,-1+SUMPRODUCT(MAX(ROW(E2750:E$2)*(E2751=E2750:E$2)))))</f>
        <v> </v>
      </c>
      <c r="J2751" s="26" t="str">
        <f>IF(OR(E2751="",E2751="!!!",F2751="NEW"),"",COUNTBLANK(OFFSET(A$1,,,SUMPRODUCT(MAX(ROW(E$2:E2751)*(E2751=E$2:E2751)))))-COUNTBLANK(OFFSET(A$1,,,SUMPRODUCT(MAX(ROW(E$1:E2750)*(E2=E$1:E2750))))))</f>
        <v> </v>
      </c>
      <c r="K2751" s="26" t="str">
        <f>IF(OR(E2751="",E2751="!!!",F2751="NEW"),"",INDEX(J$1:J2750,SUMPRODUCT(MAX(ROW(E$1:E2750)*(E2751=E$1:E2750)))))</f>
        <v> </v>
      </c>
      <c r="L2751" s="27"/>
    </row>
    <row r="2752" spans="1:12">
      <c r="A2752" s="20" t="s">
        <v>1075</v>
      </c>
      <c r="E2752" s="22">
        <f>IF(D2752="?OLD","!!!","")</f>
        <v/>
      </c>
      <c r="F2752" s="23" t="str">
        <f>IF(OR(E2752="",E2752="!!!"),"",IF(NOT(ISNA(VLOOKUP(E2752,E$1:E2751,1,FALSE()))),"OLD",IF(AND(E2752&lt;&gt;"",E2752&lt;&gt;"!!!"),"NEW","")))</f>
        <v> </v>
      </c>
      <c r="G2752" s="24" t="str">
        <f>IF(OR(E2752="",E2752="!!!"),"",IF(OR(J2752=0,AND(J2752=1,K2752=1),AND(J2752=1,I2752="SBJ"),AND(J2752=1,I2752=0)),"?IN_FOCUS",IF(J2752&lt;=2,"?ACTIVATED",IF(J2752&lt;&gt;"","?FAMILIAR",IF(F2752="NEW",IF(ISNA(VLOOKUP(E2752,#REF!,1,FALSE())),"?TYPE_IDENTIFIABLE","?REFERENTIAL"),"_")))))</f>
        <v> </v>
      </c>
      <c r="H2752" s="25" t="str">
        <f>IF(J2752&lt;&gt;1,"",IF(I2752="SBJ","CB","?"))</f>
        <v> </v>
      </c>
      <c r="I2752" s="26" t="str">
        <f>IF(OR(E2752="",E2752="!!!",F2752="NEW"),"",INDEX(B2751:B$2,-1+SUMPRODUCT(MAX(ROW(E2751:E$2)*(E2752=E2751:E$2)))))</f>
        <v> </v>
      </c>
      <c r="J2752" s="26" t="str">
        <f>IF(OR(E2752="",E2752="!!!",F2752="NEW"),"",COUNTBLANK(OFFSET(A$1,,,SUMPRODUCT(MAX(ROW(E$2:E2752)*(E2752=E$2:E2752)))))-COUNTBLANK(OFFSET(A$1,,,SUMPRODUCT(MAX(ROW(E$1:E2751)*(E2=E$1:E2751))))))</f>
        <v> </v>
      </c>
      <c r="K2752" s="26" t="str">
        <f>IF(OR(E2752="",E2752="!!!",F2752="NEW"),"",INDEX(J$1:J2751,SUMPRODUCT(MAX(ROW(E$1:E2751)*(E2752=E$1:E2751)))))</f>
        <v> </v>
      </c>
      <c r="L2752" s="27"/>
    </row>
    <row r="2753" spans="1:12">
      <c r="A2753" s="20" t="s">
        <v>102</v>
      </c>
      <c r="E2753" s="22">
        <f>IF(D2753="?OLD","!!!","")</f>
        <v/>
      </c>
      <c r="F2753" s="23" t="str">
        <f>IF(OR(E2753="",E2753="!!!"),"",IF(NOT(ISNA(VLOOKUP(E2753,E$1:E2752,1,FALSE()))),"OLD",IF(AND(E2753&lt;&gt;"",E2753&lt;&gt;"!!!"),"NEW","")))</f>
        <v> </v>
      </c>
      <c r="G2753" s="24" t="str">
        <f>IF(OR(E2753="",E2753="!!!"),"",IF(OR(J2753=0,AND(J2753=1,K2753=1),AND(J2753=1,I2753="SBJ"),AND(J2753=1,I2753=0)),"?IN_FOCUS",IF(J2753&lt;=2,"?ACTIVATED",IF(J2753&lt;&gt;"","?FAMILIAR",IF(F2753="NEW",IF(ISNA(VLOOKUP(E2753,#REF!,1,FALSE())),"?TYPE_IDENTIFIABLE","?REFERENTIAL"),"_")))))</f>
        <v> </v>
      </c>
      <c r="H2753" s="25" t="str">
        <f>IF(J2753&lt;&gt;1,"",IF(I2753="SBJ","CB","?"))</f>
        <v> </v>
      </c>
      <c r="I2753" s="26" t="str">
        <f>IF(OR(E2753="",E2753="!!!",F2753="NEW"),"",INDEX(B2752:B$2,-1+SUMPRODUCT(MAX(ROW(E2752:E$2)*(E2753=E2752:E$2)))))</f>
        <v> </v>
      </c>
      <c r="J2753" s="26" t="str">
        <f>IF(OR(E2753="",E2753="!!!",F2753="NEW"),"",COUNTBLANK(OFFSET(A$1,,,SUMPRODUCT(MAX(ROW(E$2:E2753)*(E2753=E$2:E2753)))))-COUNTBLANK(OFFSET(A$1,,,SUMPRODUCT(MAX(ROW(E$1:E2752)*(E2=E$1:E2752))))))</f>
        <v> </v>
      </c>
      <c r="K2753" s="26" t="str">
        <f>IF(OR(E2753="",E2753="!!!",F2753="NEW"),"",INDEX(J$1:J2752,SUMPRODUCT(MAX(ROW(E$1:E2752)*(E2753=E$1:E2752)))))</f>
        <v> </v>
      </c>
      <c r="L2753" s="27"/>
    </row>
    <row r="2754" spans="1:12">
      <c r="A2754" s="20" t="s">
        <v>1855</v>
      </c>
      <c r="B2754" s="21" t="s">
        <v>1005</v>
      </c>
      <c r="C2754" s="21" t="s">
        <v>1013</v>
      </c>
      <c r="D2754" s="21" t="s">
        <v>1007</v>
      </c>
      <c r="E2754" s="22">
        <f>IF(D2754="?OLD","!!!","")</f>
        <v/>
      </c>
      <c r="F2754" s="23" t="str">
        <f>IF(OR(E2754="",E2754="!!!"),"",IF(NOT(ISNA(VLOOKUP(E2754,E$1:E2753,1,FALSE()))),"OLD",IF(AND(E2754&lt;&gt;"",E2754&lt;&gt;"!!!"),"NEW","")))</f>
        <v> </v>
      </c>
      <c r="G2754" s="24" t="str">
        <f>IF(OR(E2754="",E2754="!!!"),"",IF(OR(J2754=0,AND(J2754=1,K2754=1),AND(J2754=1,I2754="SBJ"),AND(J2754=1,I2754=0)),"?IN_FOCUS",IF(J2754&lt;=2,"?ACTIVATED",IF(J2754&lt;&gt;"","?FAMILIAR",IF(F2754="NEW",IF(ISNA(VLOOKUP(E2754,#REF!,1,FALSE())),"?TYPE_IDENTIFIABLE","?REFERENTIAL"),"_")))))</f>
        <v> </v>
      </c>
      <c r="H2754" s="25" t="str">
        <f>IF(J2754&lt;&gt;1,"",IF(I2754="SBJ","CB","?"))</f>
        <v> </v>
      </c>
      <c r="I2754" s="26" t="str">
        <f>IF(OR(E2754="",E2754="!!!",F2754="NEW"),"",INDEX(B2753:B$2,-1+SUMPRODUCT(MAX(ROW(E2753:E$2)*(E2754=E2753:E$2)))))</f>
        <v> </v>
      </c>
      <c r="J2754" s="26" t="str">
        <f>IF(OR(E2754="",E2754="!!!",F2754="NEW"),"",COUNTBLANK(OFFSET(A$1,,,SUMPRODUCT(MAX(ROW(E$2:E2754)*(E2754=E$2:E2754)))))-COUNTBLANK(OFFSET(A$1,,,SUMPRODUCT(MAX(ROW(E$1:E2753)*(E2=E$1:E2753))))))</f>
        <v> </v>
      </c>
      <c r="K2754" s="26" t="str">
        <f>IF(OR(E2754="",E2754="!!!",F2754="NEW"),"",INDEX(J$1:J2753,SUMPRODUCT(MAX(ROW(E$1:E2753)*(E2754=E$1:E2753)))))</f>
        <v> </v>
      </c>
      <c r="L2754" s="27"/>
    </row>
    <row r="2755" spans="1:12">
      <c r="A2755" s="20" t="s">
        <v>1077</v>
      </c>
      <c r="E2755" s="22">
        <f>IF(D2755="?OLD","!!!","")</f>
        <v/>
      </c>
      <c r="F2755" s="23" t="str">
        <f>IF(OR(E2755="",E2755="!!!"),"",IF(NOT(ISNA(VLOOKUP(E2755,E$1:E2754,1,FALSE()))),"OLD",IF(AND(E2755&lt;&gt;"",E2755&lt;&gt;"!!!"),"NEW","")))</f>
        <v> </v>
      </c>
      <c r="G2755" s="24" t="str">
        <f>IF(OR(E2755="",E2755="!!!"),"",IF(OR(J2755=0,AND(J2755=1,K2755=1),AND(J2755=1,I2755="SBJ"),AND(J2755=1,I2755=0)),"?IN_FOCUS",IF(J2755&lt;=2,"?ACTIVATED",IF(J2755&lt;&gt;"","?FAMILIAR",IF(F2755="NEW",IF(ISNA(VLOOKUP(E2755,#REF!,1,FALSE())),"?TYPE_IDENTIFIABLE","?REFERENTIAL"),"_")))))</f>
        <v> </v>
      </c>
      <c r="H2755" s="25" t="str">
        <f>IF(J2755&lt;&gt;1,"",IF(I2755="SBJ","CB","?"))</f>
        <v> </v>
      </c>
      <c r="I2755" s="26" t="str">
        <f>IF(OR(E2755="",E2755="!!!",F2755="NEW"),"",INDEX(B2754:B$2,-1+SUMPRODUCT(MAX(ROW(E2754:E$2)*(E2755=E2754:E$2)))))</f>
        <v> </v>
      </c>
      <c r="J2755" s="26" t="str">
        <f>IF(OR(E2755="",E2755="!!!",F2755="NEW"),"",COUNTBLANK(OFFSET(A$1,,,SUMPRODUCT(MAX(ROW(E$2:E2755)*(E2755=E$2:E2755)))))-COUNTBLANK(OFFSET(A$1,,,SUMPRODUCT(MAX(ROW(E$1:E2754)*(E2=E$1:E2754))))))</f>
        <v> </v>
      </c>
      <c r="K2755" s="26" t="str">
        <f>IF(OR(E2755="",E2755="!!!",F2755="NEW"),"",INDEX(J$1:J2754,SUMPRODUCT(MAX(ROW(E$1:E2754)*(E2755=E$1:E2754)))))</f>
        <v> </v>
      </c>
      <c r="L2755" s="27"/>
    </row>
    <row r="2756" spans="1:12">
      <c r="A2756" s="20"/>
    </row>
    <row r="2757" spans="1:12">
      <c r="A2757" s="20" t="s">
        <v>1856</v>
      </c>
    </row>
    <row r="2758" spans="1:12">
      <c r="A2758" s="20" t="s">
        <v>1118</v>
      </c>
      <c r="B2758" s="21" t="s">
        <v>1005</v>
      </c>
      <c r="C2758" s="21" t="s">
        <v>1048</v>
      </c>
      <c r="E2758" s="22">
        <f>IF(D2758="?OLD","!!!","")</f>
        <v/>
      </c>
      <c r="F2758" s="23" t="str">
        <f>IF(OR(E2758="",E2758="!!!"),"",IF(NOT(ISNA(VLOOKUP(E2758,E$1:E2757,1,FALSE()))),"OLD",IF(AND(E2758&lt;&gt;"",E2758&lt;&gt;"!!!"),"NEW","")))</f>
        <v> </v>
      </c>
      <c r="G2758" s="24" t="str">
        <f>IF(OR(E2758="",E2758="!!!"),"",IF(OR(J2758=0,AND(J2758=1,K2758=1),AND(J2758=1,I2758="SBJ"),AND(J2758=1,I2758=0)),"?IN_FOCUS",IF(J2758&lt;=2,"?ACTIVATED",IF(J2758&lt;&gt;"","?FAMILIAR",IF(F2758="NEW",IF(ISNA(VLOOKUP(E2758,#REF!,1,FALSE())),"?TYPE_IDENTIFIABLE","?REFERENTIAL"),"_")))))</f>
        <v> </v>
      </c>
      <c r="H2758" s="25" t="str">
        <f>IF(J2758&lt;&gt;1,"",IF(I2758="SBJ","CB","?"))</f>
        <v> </v>
      </c>
      <c r="I2758" s="26" t="str">
        <f>IF(OR(E2758="",E2758="!!!",F2758="NEW"),"",INDEX(B2757:B$2,-1+SUMPRODUCT(MAX(ROW(E2757:E$2)*(E2758=E2757:E$2)))))</f>
        <v> </v>
      </c>
      <c r="J2758" s="26" t="str">
        <f>IF(OR(E2758="",E2758="!!!",F2758="NEW"),"",COUNTBLANK(OFFSET(A$1,,,SUMPRODUCT(MAX(ROW(E$2:E2758)*(E2758=E$2:E2758)))))-COUNTBLANK(OFFSET(A$1,,,SUMPRODUCT(MAX(ROW(E$1:E2757)*(E2=E$1:E2757))))))</f>
        <v> </v>
      </c>
      <c r="K2758" s="26" t="str">
        <f>IF(OR(E2758="",E2758="!!!",F2758="NEW"),"",INDEX(J$1:J2757,SUMPRODUCT(MAX(ROW(E$1:E2757)*(E2758=E$1:E2757)))))</f>
        <v> </v>
      </c>
      <c r="L2758" s="27"/>
    </row>
    <row r="2759" spans="1:12">
      <c r="A2759" s="20" t="s">
        <v>1009</v>
      </c>
      <c r="E2759" s="22">
        <f>IF(D2759="?OLD","!!!","")</f>
        <v/>
      </c>
      <c r="F2759" s="23" t="str">
        <f>IF(OR(E2759="",E2759="!!!"),"",IF(NOT(ISNA(VLOOKUP(E2759,E$1:E2758,1,FALSE()))),"OLD",IF(AND(E2759&lt;&gt;"",E2759&lt;&gt;"!!!"),"NEW","")))</f>
        <v> </v>
      </c>
      <c r="G2759" s="24" t="str">
        <f>IF(OR(E2759="",E2759="!!!"),"",IF(OR(J2759=0,AND(J2759=1,K2759=1),AND(J2759=1,I2759="SBJ"),AND(J2759=1,I2759=0)),"?IN_FOCUS",IF(J2759&lt;=2,"?ACTIVATED",IF(J2759&lt;&gt;"","?FAMILIAR",IF(F2759="NEW",IF(ISNA(VLOOKUP(E2759,#REF!,1,FALSE())),"?TYPE_IDENTIFIABLE","?REFERENTIAL"),"_")))))</f>
        <v> </v>
      </c>
      <c r="H2759" s="25" t="str">
        <f>IF(J2759&lt;&gt;1,"",IF(I2759="SBJ","CB","?"))</f>
        <v> </v>
      </c>
      <c r="I2759" s="26" t="str">
        <f>IF(OR(E2759="",E2759="!!!",F2759="NEW"),"",INDEX(B2758:B$2,-1+SUMPRODUCT(MAX(ROW(E2758:E$2)*(E2759=E2758:E$2)))))</f>
        <v> </v>
      </c>
      <c r="J2759" s="26" t="str">
        <f>IF(OR(E2759="",E2759="!!!",F2759="NEW"),"",COUNTBLANK(OFFSET(A$1,,,SUMPRODUCT(MAX(ROW(E$2:E2759)*(E2759=E$2:E2759)))))-COUNTBLANK(OFFSET(A$1,,,SUMPRODUCT(MAX(ROW(E$1:E2758)*(E2=E$1:E2758))))))</f>
        <v> </v>
      </c>
      <c r="K2759" s="26" t="str">
        <f>IF(OR(E2759="",E2759="!!!",F2759="NEW"),"",INDEX(J$1:J2758,SUMPRODUCT(MAX(ROW(E$1:E2758)*(E2759=E$1:E2758)))))</f>
        <v> </v>
      </c>
      <c r="L2759" s="27"/>
    </row>
    <row r="2760" spans="1:12">
      <c r="A2760" s="20" t="s">
        <v>1857</v>
      </c>
      <c r="E2760" s="22">
        <f>IF(D2760="?OLD","!!!","")</f>
        <v/>
      </c>
      <c r="F2760" s="23" t="str">
        <f>IF(OR(E2760="",E2760="!!!"),"",IF(NOT(ISNA(VLOOKUP(E2760,E$1:E2759,1,FALSE()))),"OLD",IF(AND(E2760&lt;&gt;"",E2760&lt;&gt;"!!!"),"NEW","")))</f>
        <v> </v>
      </c>
      <c r="G2760" s="24" t="str">
        <f>IF(OR(E2760="",E2760="!!!"),"",IF(OR(J2760=0,AND(J2760=1,K2760=1),AND(J2760=1,I2760="SBJ"),AND(J2760=1,I2760=0)),"?IN_FOCUS",IF(J2760&lt;=2,"?ACTIVATED",IF(J2760&lt;&gt;"","?FAMILIAR",IF(F2760="NEW",IF(ISNA(VLOOKUP(E2760,#REF!,1,FALSE())),"?TYPE_IDENTIFIABLE","?REFERENTIAL"),"_")))))</f>
        <v> </v>
      </c>
      <c r="H2760" s="25" t="str">
        <f>IF(J2760&lt;&gt;1,"",IF(I2760="SBJ","CB","?"))</f>
        <v> </v>
      </c>
      <c r="I2760" s="26" t="str">
        <f>IF(OR(E2760="",E2760="!!!",F2760="NEW"),"",INDEX(B2759:B$2,-1+SUMPRODUCT(MAX(ROW(E2759:E$2)*(E2760=E2759:E$2)))))</f>
        <v> </v>
      </c>
      <c r="J2760" s="26" t="str">
        <f>IF(OR(E2760="",E2760="!!!",F2760="NEW"),"",COUNTBLANK(OFFSET(A$1,,,SUMPRODUCT(MAX(ROW(E$2:E2760)*(E2760=E$2:E2760)))))-COUNTBLANK(OFFSET(A$1,,,SUMPRODUCT(MAX(ROW(E$1:E2759)*(E2=E$1:E2759))))))</f>
        <v> </v>
      </c>
      <c r="K2760" s="26" t="str">
        <f>IF(OR(E2760="",E2760="!!!",F2760="NEW"),"",INDEX(J$1:J2759,SUMPRODUCT(MAX(ROW(E$1:E2759)*(E2760=E$1:E2759)))))</f>
        <v> </v>
      </c>
      <c r="L2760" s="27"/>
    </row>
    <row r="2761" spans="1:12">
      <c r="A2761" s="20" t="s">
        <v>1018</v>
      </c>
      <c r="E2761" s="22">
        <f>IF(D2761="?OLD","!!!","")</f>
        <v/>
      </c>
      <c r="F2761" s="23" t="str">
        <f>IF(OR(E2761="",E2761="!!!"),"",IF(NOT(ISNA(VLOOKUP(E2761,E$1:E2760,1,FALSE()))),"OLD",IF(AND(E2761&lt;&gt;"",E2761&lt;&gt;"!!!"),"NEW","")))</f>
        <v> </v>
      </c>
      <c r="G2761" s="24" t="str">
        <f>IF(OR(E2761="",E2761="!!!"),"",IF(OR(J2761=0,AND(J2761=1,K2761=1),AND(J2761=1,I2761="SBJ"),AND(J2761=1,I2761=0)),"?IN_FOCUS",IF(J2761&lt;=2,"?ACTIVATED",IF(J2761&lt;&gt;"","?FAMILIAR",IF(F2761="NEW",IF(ISNA(VLOOKUP(E2761,#REF!,1,FALSE())),"?TYPE_IDENTIFIABLE","?REFERENTIAL"),"_")))))</f>
        <v> </v>
      </c>
      <c r="H2761" s="25" t="str">
        <f>IF(J2761&lt;&gt;1,"",IF(I2761="SBJ","CB","?"))</f>
        <v> </v>
      </c>
      <c r="I2761" s="26" t="str">
        <f>IF(OR(E2761="",E2761="!!!",F2761="NEW"),"",INDEX(B2760:B$2,-1+SUMPRODUCT(MAX(ROW(E2760:E$2)*(E2761=E2760:E$2)))))</f>
        <v> </v>
      </c>
      <c r="J2761" s="26" t="str">
        <f>IF(OR(E2761="",E2761="!!!",F2761="NEW"),"",COUNTBLANK(OFFSET(A$1,,,SUMPRODUCT(MAX(ROW(E$2:E2761)*(E2761=E$2:E2761)))))-COUNTBLANK(OFFSET(A$1,,,SUMPRODUCT(MAX(ROW(E$1:E2760)*(E2=E$1:E2760))))))</f>
        <v> </v>
      </c>
      <c r="K2761" s="26" t="str">
        <f>IF(OR(E2761="",E2761="!!!",F2761="NEW"),"",INDEX(J$1:J2760,SUMPRODUCT(MAX(ROW(E$1:E2760)*(E2761=E$1:E2760)))))</f>
        <v> </v>
      </c>
      <c r="L2761" s="27"/>
    </row>
    <row r="2762" spans="1:12">
      <c r="A2762" s="20" t="s">
        <v>1020</v>
      </c>
      <c r="E2762" s="22">
        <f>IF(D2762="?OLD","!!!","")</f>
        <v/>
      </c>
      <c r="F2762" s="23" t="str">
        <f>IF(OR(E2762="",E2762="!!!"),"",IF(NOT(ISNA(VLOOKUP(E2762,E$1:E2761,1,FALSE()))),"OLD",IF(AND(E2762&lt;&gt;"",E2762&lt;&gt;"!!!"),"NEW","")))</f>
        <v> </v>
      </c>
      <c r="G2762" s="24" t="str">
        <f>IF(OR(E2762="",E2762="!!!"),"",IF(OR(J2762=0,AND(J2762=1,K2762=1),AND(J2762=1,I2762="SBJ"),AND(J2762=1,I2762=0)),"?IN_FOCUS",IF(J2762&lt;=2,"?ACTIVATED",IF(J2762&lt;&gt;"","?FAMILIAR",IF(F2762="NEW",IF(ISNA(VLOOKUP(E2762,#REF!,1,FALSE())),"?TYPE_IDENTIFIABLE","?REFERENTIAL"),"_")))))</f>
        <v> </v>
      </c>
      <c r="H2762" s="25" t="str">
        <f>IF(J2762&lt;&gt;1,"",IF(I2762="SBJ","CB","?"))</f>
        <v> </v>
      </c>
      <c r="I2762" s="26" t="str">
        <f>IF(OR(E2762="",E2762="!!!",F2762="NEW"),"",INDEX(B2761:B$2,-1+SUMPRODUCT(MAX(ROW(E2761:E$2)*(E2762=E2761:E$2)))))</f>
        <v> </v>
      </c>
      <c r="J2762" s="26" t="str">
        <f>IF(OR(E2762="",E2762="!!!",F2762="NEW"),"",COUNTBLANK(OFFSET(A$1,,,SUMPRODUCT(MAX(ROW(E$2:E2762)*(E2762=E$2:E2762)))))-COUNTBLANK(OFFSET(A$1,,,SUMPRODUCT(MAX(ROW(E$1:E2761)*(E2=E$1:E2761))))))</f>
        <v> </v>
      </c>
      <c r="K2762" s="26" t="str">
        <f>IF(OR(E2762="",E2762="!!!",F2762="NEW"),"",INDEX(J$1:J2761,SUMPRODUCT(MAX(ROW(E$1:E2761)*(E2762=E$1:E2761)))))</f>
        <v> </v>
      </c>
      <c r="L2762" s="27"/>
    </row>
    <row r="2763" spans="1:12">
      <c r="A2763" s="20" t="s">
        <v>1315</v>
      </c>
      <c r="E2763" s="22">
        <f>IF(D2763="?OLD","!!!","")</f>
        <v/>
      </c>
      <c r="F2763" s="23" t="str">
        <f>IF(OR(E2763="",E2763="!!!"),"",IF(NOT(ISNA(VLOOKUP(E2763,E$1:E2762,1,FALSE()))),"OLD",IF(AND(E2763&lt;&gt;"",E2763&lt;&gt;"!!!"),"NEW","")))</f>
        <v> </v>
      </c>
      <c r="G2763" s="24" t="str">
        <f>IF(OR(E2763="",E2763="!!!"),"",IF(OR(J2763=0,AND(J2763=1,K2763=1),AND(J2763=1,I2763="SBJ"),AND(J2763=1,I2763=0)),"?IN_FOCUS",IF(J2763&lt;=2,"?ACTIVATED",IF(J2763&lt;&gt;"","?FAMILIAR",IF(F2763="NEW",IF(ISNA(VLOOKUP(E2763,#REF!,1,FALSE())),"?TYPE_IDENTIFIABLE","?REFERENTIAL"),"_")))))</f>
        <v> </v>
      </c>
      <c r="H2763" s="25" t="str">
        <f>IF(J2763&lt;&gt;1,"",IF(I2763="SBJ","CB","?"))</f>
        <v> </v>
      </c>
      <c r="I2763" s="26" t="str">
        <f>IF(OR(E2763="",E2763="!!!",F2763="NEW"),"",INDEX(B2762:B$2,-1+SUMPRODUCT(MAX(ROW(E2762:E$2)*(E2763=E2762:E$2)))))</f>
        <v> </v>
      </c>
      <c r="J2763" s="26" t="str">
        <f>IF(OR(E2763="",E2763="!!!",F2763="NEW"),"",COUNTBLANK(OFFSET(A$1,,,SUMPRODUCT(MAX(ROW(E$2:E2763)*(E2763=E$2:E2763)))))-COUNTBLANK(OFFSET(A$1,,,SUMPRODUCT(MAX(ROW(E$1:E2762)*(E2=E$1:E2762))))))</f>
        <v> </v>
      </c>
      <c r="K2763" s="26" t="str">
        <f>IF(OR(E2763="",E2763="!!!",F2763="NEW"),"",INDEX(J$1:J2762,SUMPRODUCT(MAX(ROW(E$1:E2762)*(E2763=E$1:E2762)))))</f>
        <v> </v>
      </c>
      <c r="L2763" s="27"/>
    </row>
    <row r="2764" spans="1:12">
      <c r="A2764" s="20" t="s">
        <v>193</v>
      </c>
      <c r="B2764" s="21" t="s">
        <v>1119</v>
      </c>
      <c r="C2764" s="21" t="s">
        <v>1017</v>
      </c>
      <c r="D2764" s="21" t="s">
        <v>1007</v>
      </c>
      <c r="E2764" s="22">
        <f>IF(D2764="?OLD","!!!","")</f>
        <v/>
      </c>
      <c r="F2764" s="23" t="str">
        <f>IF(OR(E2764="",E2764="!!!"),"",IF(NOT(ISNA(VLOOKUP(E2764,E$1:E2763,1,FALSE()))),"OLD",IF(AND(E2764&lt;&gt;"",E2764&lt;&gt;"!!!"),"NEW","")))</f>
        <v> </v>
      </c>
      <c r="G2764" s="24" t="str">
        <f>IF(OR(E2764="",E2764="!!!"),"",IF(OR(J2764=0,AND(J2764=1,K2764=1),AND(J2764=1,I2764="SBJ"),AND(J2764=1,I2764=0)),"?IN_FOCUS",IF(J2764&lt;=2,"?ACTIVATED",IF(J2764&lt;&gt;"","?FAMILIAR",IF(F2764="NEW",IF(ISNA(VLOOKUP(E2764,#REF!,1,FALSE())),"?TYPE_IDENTIFIABLE","?REFERENTIAL"),"_")))))</f>
        <v> </v>
      </c>
      <c r="H2764" s="25" t="str">
        <f>IF(J2764&lt;&gt;1,"",IF(I2764="SBJ","CB","?"))</f>
        <v> </v>
      </c>
      <c r="I2764" s="26" t="str">
        <f>IF(OR(E2764="",E2764="!!!",F2764="NEW"),"",INDEX(B2763:B$2,-1+SUMPRODUCT(MAX(ROW(E2763:E$2)*(E2764=E2763:E$2)))))</f>
        <v> </v>
      </c>
      <c r="J2764" s="26" t="str">
        <f>IF(OR(E2764="",E2764="!!!",F2764="NEW"),"",COUNTBLANK(OFFSET(A$1,,,SUMPRODUCT(MAX(ROW(E$2:E2764)*(E2764=E$2:E2764)))))-COUNTBLANK(OFFSET(A$1,,,SUMPRODUCT(MAX(ROW(E$1:E2763)*(E2=E$1:E2763))))))</f>
        <v> </v>
      </c>
      <c r="K2764" s="26" t="str">
        <f>IF(OR(E2764="",E2764="!!!",F2764="NEW"),"",INDEX(J$1:J2763,SUMPRODUCT(MAX(ROW(E$1:E2763)*(E2764=E$1:E2763)))))</f>
        <v> </v>
      </c>
      <c r="L2764" s="27"/>
    </row>
    <row r="2765" spans="1:12">
      <c r="A2765" s="20" t="s">
        <v>1075</v>
      </c>
      <c r="E2765" s="22">
        <f>IF(D2765="?OLD","!!!","")</f>
        <v/>
      </c>
      <c r="F2765" s="23" t="str">
        <f>IF(OR(E2765="",E2765="!!!"),"",IF(NOT(ISNA(VLOOKUP(E2765,E$1:E2764,1,FALSE()))),"OLD",IF(AND(E2765&lt;&gt;"",E2765&lt;&gt;"!!!"),"NEW","")))</f>
        <v> </v>
      </c>
      <c r="G2765" s="24" t="str">
        <f>IF(OR(E2765="",E2765="!!!"),"",IF(OR(J2765=0,AND(J2765=1,K2765=1),AND(J2765=1,I2765="SBJ"),AND(J2765=1,I2765=0)),"?IN_FOCUS",IF(J2765&lt;=2,"?ACTIVATED",IF(J2765&lt;&gt;"","?FAMILIAR",IF(F2765="NEW",IF(ISNA(VLOOKUP(E2765,#REF!,1,FALSE())),"?TYPE_IDENTIFIABLE","?REFERENTIAL"),"_")))))</f>
        <v> </v>
      </c>
      <c r="H2765" s="25" t="str">
        <f>IF(J2765&lt;&gt;1,"",IF(I2765="SBJ","CB","?"))</f>
        <v> </v>
      </c>
      <c r="I2765" s="26" t="str">
        <f>IF(OR(E2765="",E2765="!!!",F2765="NEW"),"",INDEX(B2764:B$2,-1+SUMPRODUCT(MAX(ROW(E2764:E$2)*(E2765=E2764:E$2)))))</f>
        <v> </v>
      </c>
      <c r="J2765" s="26" t="str">
        <f>IF(OR(E2765="",E2765="!!!",F2765="NEW"),"",COUNTBLANK(OFFSET(A$1,,,SUMPRODUCT(MAX(ROW(E$2:E2765)*(E2765=E$2:E2765)))))-COUNTBLANK(OFFSET(A$1,,,SUMPRODUCT(MAX(ROW(E$1:E2764)*(E2=E$1:E2764))))))</f>
        <v> </v>
      </c>
      <c r="K2765" s="26" t="str">
        <f>IF(OR(E2765="",E2765="!!!",F2765="NEW"),"",INDEX(J$1:J2764,SUMPRODUCT(MAX(ROW(E$1:E2764)*(E2765=E$1:E2764)))))</f>
        <v> </v>
      </c>
      <c r="L2765" s="27"/>
    </row>
    <row r="2766" spans="1:12">
      <c r="A2766" s="20" t="s">
        <v>1065</v>
      </c>
      <c r="E2766" s="22">
        <f>IF(D2766="?OLD","!!!","")</f>
        <v/>
      </c>
      <c r="F2766" s="23" t="str">
        <f>IF(OR(E2766="",E2766="!!!"),"",IF(NOT(ISNA(VLOOKUP(E2766,E$1:E2765,1,FALSE()))),"OLD",IF(AND(E2766&lt;&gt;"",E2766&lt;&gt;"!!!"),"NEW","")))</f>
        <v> </v>
      </c>
      <c r="G2766" s="24" t="str">
        <f>IF(OR(E2766="",E2766="!!!"),"",IF(OR(J2766=0,AND(J2766=1,K2766=1),AND(J2766=1,I2766="SBJ"),AND(J2766=1,I2766=0)),"?IN_FOCUS",IF(J2766&lt;=2,"?ACTIVATED",IF(J2766&lt;&gt;"","?FAMILIAR",IF(F2766="NEW",IF(ISNA(VLOOKUP(E2766,#REF!,1,FALSE())),"?TYPE_IDENTIFIABLE","?REFERENTIAL"),"_")))))</f>
        <v> </v>
      </c>
      <c r="H2766" s="25" t="str">
        <f>IF(J2766&lt;&gt;1,"",IF(I2766="SBJ","CB","?"))</f>
        <v> </v>
      </c>
      <c r="I2766" s="26" t="str">
        <f>IF(OR(E2766="",E2766="!!!",F2766="NEW"),"",INDEX(B2765:B$2,-1+SUMPRODUCT(MAX(ROW(E2765:E$2)*(E2766=E2765:E$2)))))</f>
        <v> </v>
      </c>
      <c r="J2766" s="26" t="str">
        <f>IF(OR(E2766="",E2766="!!!",F2766="NEW"),"",COUNTBLANK(OFFSET(A$1,,,SUMPRODUCT(MAX(ROW(E$2:E2766)*(E2766=E$2:E2766)))))-COUNTBLANK(OFFSET(A$1,,,SUMPRODUCT(MAX(ROW(E$1:E2765)*(E2=E$1:E2765))))))</f>
        <v> </v>
      </c>
      <c r="K2766" s="26" t="str">
        <f>IF(OR(E2766="",E2766="!!!",F2766="NEW"),"",INDEX(J$1:J2765,SUMPRODUCT(MAX(ROW(E$1:E2765)*(E2766=E$1:E2765)))))</f>
        <v> </v>
      </c>
      <c r="L2766" s="27"/>
    </row>
    <row r="2767" spans="1:12">
      <c r="A2767" s="20" t="s">
        <v>1438</v>
      </c>
      <c r="E2767" s="22">
        <f>IF(D2767="?OLD","!!!","")</f>
        <v/>
      </c>
      <c r="F2767" s="23" t="str">
        <f>IF(OR(E2767="",E2767="!!!"),"",IF(NOT(ISNA(VLOOKUP(E2767,E$1:E2766,1,FALSE()))),"OLD",IF(AND(E2767&lt;&gt;"",E2767&lt;&gt;"!!!"),"NEW","")))</f>
        <v> </v>
      </c>
      <c r="G2767" s="24" t="str">
        <f>IF(OR(E2767="",E2767="!!!"),"",IF(OR(J2767=0,AND(J2767=1,K2767=1),AND(J2767=1,I2767="SBJ"),AND(J2767=1,I2767=0)),"?IN_FOCUS",IF(J2767&lt;=2,"?ACTIVATED",IF(J2767&lt;&gt;"","?FAMILIAR",IF(F2767="NEW",IF(ISNA(VLOOKUP(E2767,#REF!,1,FALSE())),"?TYPE_IDENTIFIABLE","?REFERENTIAL"),"_")))))</f>
        <v> </v>
      </c>
      <c r="H2767" s="25" t="str">
        <f>IF(J2767&lt;&gt;1,"",IF(I2767="SBJ","CB","?"))</f>
        <v> </v>
      </c>
      <c r="I2767" s="26" t="str">
        <f>IF(OR(E2767="",E2767="!!!",F2767="NEW"),"",INDEX(B2766:B$2,-1+SUMPRODUCT(MAX(ROW(E2766:E$2)*(E2767=E2766:E$2)))))</f>
        <v> </v>
      </c>
      <c r="J2767" s="26" t="str">
        <f>IF(OR(E2767="",E2767="!!!",F2767="NEW"),"",COUNTBLANK(OFFSET(A$1,,,SUMPRODUCT(MAX(ROW(E$2:E2767)*(E2767=E$2:E2767)))))-COUNTBLANK(OFFSET(A$1,,,SUMPRODUCT(MAX(ROW(E$1:E2766)*(E2=E$1:E2766))))))</f>
        <v> </v>
      </c>
      <c r="K2767" s="26" t="str">
        <f>IF(OR(E2767="",E2767="!!!",F2767="NEW"),"",INDEX(J$1:J2766,SUMPRODUCT(MAX(ROW(E$1:E2766)*(E2767=E$1:E2766)))))</f>
        <v> </v>
      </c>
      <c r="L2767" s="27"/>
    </row>
    <row r="2768" spans="1:12">
      <c r="A2768" s="20" t="s">
        <v>1020</v>
      </c>
      <c r="E2768" s="22">
        <f>IF(D2768="?OLD","!!!","")</f>
        <v/>
      </c>
      <c r="F2768" s="23" t="str">
        <f>IF(OR(E2768="",E2768="!!!"),"",IF(NOT(ISNA(VLOOKUP(E2768,E$1:E2767,1,FALSE()))),"OLD",IF(AND(E2768&lt;&gt;"",E2768&lt;&gt;"!!!"),"NEW","")))</f>
        <v> </v>
      </c>
      <c r="G2768" s="24" t="str">
        <f>IF(OR(E2768="",E2768="!!!"),"",IF(OR(J2768=0,AND(J2768=1,K2768=1),AND(J2768=1,I2768="SBJ"),AND(J2768=1,I2768=0)),"?IN_FOCUS",IF(J2768&lt;=2,"?ACTIVATED",IF(J2768&lt;&gt;"","?FAMILIAR",IF(F2768="NEW",IF(ISNA(VLOOKUP(E2768,#REF!,1,FALSE())),"?TYPE_IDENTIFIABLE","?REFERENTIAL"),"_")))))</f>
        <v> </v>
      </c>
      <c r="H2768" s="25" t="str">
        <f>IF(J2768&lt;&gt;1,"",IF(I2768="SBJ","CB","?"))</f>
        <v> </v>
      </c>
      <c r="I2768" s="26" t="str">
        <f>IF(OR(E2768="",E2768="!!!",F2768="NEW"),"",INDEX(B2767:B$2,-1+SUMPRODUCT(MAX(ROW(E2767:E$2)*(E2768=E2767:E$2)))))</f>
        <v> </v>
      </c>
      <c r="J2768" s="26" t="str">
        <f>IF(OR(E2768="",E2768="!!!",F2768="NEW"),"",COUNTBLANK(OFFSET(A$1,,,SUMPRODUCT(MAX(ROW(E$2:E2768)*(E2768=E$2:E2768)))))-COUNTBLANK(OFFSET(A$1,,,SUMPRODUCT(MAX(ROW(E$1:E2767)*(E2=E$1:E2767))))))</f>
        <v> </v>
      </c>
      <c r="K2768" s="26" t="str">
        <f>IF(OR(E2768="",E2768="!!!",F2768="NEW"),"",INDEX(J$1:J2767,SUMPRODUCT(MAX(ROW(E$1:E2767)*(E2768=E$1:E2767)))))</f>
        <v> </v>
      </c>
      <c r="L2768" s="27"/>
    </row>
    <row r="2769" spans="1:12">
      <c r="A2769" s="20" t="s">
        <v>1858</v>
      </c>
      <c r="E2769" s="22">
        <f>IF(D2769="?OLD","!!!","")</f>
        <v/>
      </c>
      <c r="F2769" s="23" t="str">
        <f>IF(OR(E2769="",E2769="!!!"),"",IF(NOT(ISNA(VLOOKUP(E2769,E$1:E2768,1,FALSE()))),"OLD",IF(AND(E2769&lt;&gt;"",E2769&lt;&gt;"!!!"),"NEW","")))</f>
        <v> </v>
      </c>
      <c r="G2769" s="24" t="str">
        <f>IF(OR(E2769="",E2769="!!!"),"",IF(OR(J2769=0,AND(J2769=1,K2769=1),AND(J2769=1,I2769="SBJ"),AND(J2769=1,I2769=0)),"?IN_FOCUS",IF(J2769&lt;=2,"?ACTIVATED",IF(J2769&lt;&gt;"","?FAMILIAR",IF(F2769="NEW",IF(ISNA(VLOOKUP(E2769,#REF!,1,FALSE())),"?TYPE_IDENTIFIABLE","?REFERENTIAL"),"_")))))</f>
        <v> </v>
      </c>
      <c r="H2769" s="25" t="str">
        <f>IF(J2769&lt;&gt;1,"",IF(I2769="SBJ","CB","?"))</f>
        <v> </v>
      </c>
      <c r="I2769" s="26" t="str">
        <f>IF(OR(E2769="",E2769="!!!",F2769="NEW"),"",INDEX(B2768:B$2,-1+SUMPRODUCT(MAX(ROW(E2768:E$2)*(E2769=E2768:E$2)))))</f>
        <v> </v>
      </c>
      <c r="J2769" s="26" t="str">
        <f>IF(OR(E2769="",E2769="!!!",F2769="NEW"),"",COUNTBLANK(OFFSET(A$1,,,SUMPRODUCT(MAX(ROW(E$2:E2769)*(E2769=E$2:E2769)))))-COUNTBLANK(OFFSET(A$1,,,SUMPRODUCT(MAX(ROW(E$1:E2768)*(E2=E$1:E2768))))))</f>
        <v> </v>
      </c>
      <c r="K2769" s="26" t="str">
        <f>IF(OR(E2769="",E2769="!!!",F2769="NEW"),"",INDEX(J$1:J2768,SUMPRODUCT(MAX(ROW(E$1:E2768)*(E2769=E$1:E2768)))))</f>
        <v> </v>
      </c>
      <c r="L2769" s="27"/>
    </row>
    <row r="2770" spans="1:12">
      <c r="A2770" s="20" t="s">
        <v>1014</v>
      </c>
      <c r="E2770" s="22">
        <f>IF(D2770="?OLD","!!!","")</f>
        <v/>
      </c>
      <c r="F2770" s="23" t="str">
        <f>IF(OR(E2770="",E2770="!!!"),"",IF(NOT(ISNA(VLOOKUP(E2770,E$1:E2769,1,FALSE()))),"OLD",IF(AND(E2770&lt;&gt;"",E2770&lt;&gt;"!!!"),"NEW","")))</f>
        <v> </v>
      </c>
      <c r="G2770" s="24" t="str">
        <f>IF(OR(E2770="",E2770="!!!"),"",IF(OR(J2770=0,AND(J2770=1,K2770=1),AND(J2770=1,I2770="SBJ"),AND(J2770=1,I2770=0)),"?IN_FOCUS",IF(J2770&lt;=2,"?ACTIVATED",IF(J2770&lt;&gt;"","?FAMILIAR",IF(F2770="NEW",IF(ISNA(VLOOKUP(E2770,#REF!,1,FALSE())),"?TYPE_IDENTIFIABLE","?REFERENTIAL"),"_")))))</f>
        <v> </v>
      </c>
      <c r="H2770" s="25" t="str">
        <f>IF(J2770&lt;&gt;1,"",IF(I2770="SBJ","CB","?"))</f>
        <v> </v>
      </c>
      <c r="I2770" s="26" t="str">
        <f>IF(OR(E2770="",E2770="!!!",F2770="NEW"),"",INDEX(B2769:B$2,-1+SUMPRODUCT(MAX(ROW(E2769:E$2)*(E2770=E2769:E$2)))))</f>
        <v> </v>
      </c>
      <c r="J2770" s="26" t="str">
        <f>IF(OR(E2770="",E2770="!!!",F2770="NEW"),"",COUNTBLANK(OFFSET(A$1,,,SUMPRODUCT(MAX(ROW(E$2:E2770)*(E2770=E$2:E2770)))))-COUNTBLANK(OFFSET(A$1,,,SUMPRODUCT(MAX(ROW(E$1:E2769)*(E2=E$1:E2769))))))</f>
        <v> </v>
      </c>
      <c r="K2770" s="26" t="str">
        <f>IF(OR(E2770="",E2770="!!!",F2770="NEW"),"",INDEX(J$1:J2769,SUMPRODUCT(MAX(ROW(E$1:E2769)*(E2770=E$1:E2769)))))</f>
        <v> </v>
      </c>
      <c r="L2770" s="27"/>
    </row>
    <row r="2771" spans="1:12">
      <c r="A2771" s="20" t="s">
        <v>1015</v>
      </c>
      <c r="E2771" s="22">
        <f>IF(D2771="?OLD","!!!","")</f>
        <v/>
      </c>
      <c r="F2771" s="23" t="str">
        <f>IF(OR(E2771="",E2771="!!!"),"",IF(NOT(ISNA(VLOOKUP(E2771,E$1:E2770,1,FALSE()))),"OLD",IF(AND(E2771&lt;&gt;"",E2771&lt;&gt;"!!!"),"NEW","")))</f>
        <v> </v>
      </c>
      <c r="G2771" s="24" t="str">
        <f>IF(OR(E2771="",E2771="!!!"),"",IF(OR(J2771=0,AND(J2771=1,K2771=1),AND(J2771=1,I2771="SBJ"),AND(J2771=1,I2771=0)),"?IN_FOCUS",IF(J2771&lt;=2,"?ACTIVATED",IF(J2771&lt;&gt;"","?FAMILIAR",IF(F2771="NEW",IF(ISNA(VLOOKUP(E2771,#REF!,1,FALSE())),"?TYPE_IDENTIFIABLE","?REFERENTIAL"),"_")))))</f>
        <v> </v>
      </c>
      <c r="H2771" s="25" t="str">
        <f>IF(J2771&lt;&gt;1,"",IF(I2771="SBJ","CB","?"))</f>
        <v> </v>
      </c>
      <c r="I2771" s="26" t="str">
        <f>IF(OR(E2771="",E2771="!!!",F2771="NEW"),"",INDEX(B2770:B$2,-1+SUMPRODUCT(MAX(ROW(E2770:E$2)*(E2771=E2770:E$2)))))</f>
        <v> </v>
      </c>
      <c r="J2771" s="26" t="str">
        <f>IF(OR(E2771="",E2771="!!!",F2771="NEW"),"",COUNTBLANK(OFFSET(A$1,,,SUMPRODUCT(MAX(ROW(E$2:E2771)*(E2771=E$2:E2771)))))-COUNTBLANK(OFFSET(A$1,,,SUMPRODUCT(MAX(ROW(E$1:E2770)*(E2=E$1:E2770))))))</f>
        <v> </v>
      </c>
      <c r="K2771" s="26" t="str">
        <f>IF(OR(E2771="",E2771="!!!",F2771="NEW"),"",INDEX(J$1:J2770,SUMPRODUCT(MAX(ROW(E$1:E2770)*(E2771=E$1:E2770)))))</f>
        <v> </v>
      </c>
      <c r="L2771" s="27"/>
    </row>
    <row r="2772" spans="1:12">
      <c r="A2772" s="20" t="s">
        <v>1269</v>
      </c>
      <c r="B2772" s="21" t="s">
        <v>1130</v>
      </c>
      <c r="C2772" s="21" t="s">
        <v>1059</v>
      </c>
      <c r="D2772" s="21" t="s">
        <v>1007</v>
      </c>
      <c r="E2772" s="22">
        <f>IF(D2772="?OLD","!!!","")</f>
        <v/>
      </c>
      <c r="F2772" s="23" t="str">
        <f>IF(OR(E2772="",E2772="!!!"),"",IF(NOT(ISNA(VLOOKUP(E2772,E$1:E2771,1,FALSE()))),"OLD",IF(AND(E2772&lt;&gt;"",E2772&lt;&gt;"!!!"),"NEW","")))</f>
        <v> </v>
      </c>
      <c r="G2772" s="24" t="str">
        <f>IF(OR(E2772="",E2772="!!!"),"",IF(OR(J2772=0,AND(J2772=1,K2772=1),AND(J2772=1,I2772="SBJ"),AND(J2772=1,I2772=0)),"?IN_FOCUS",IF(J2772&lt;=2,"?ACTIVATED",IF(J2772&lt;&gt;"","?FAMILIAR",IF(F2772="NEW",IF(ISNA(VLOOKUP(E2772,#REF!,1,FALSE())),"?TYPE_IDENTIFIABLE","?REFERENTIAL"),"_")))))</f>
        <v> </v>
      </c>
      <c r="H2772" s="25" t="str">
        <f>IF(J2772&lt;&gt;1,"",IF(I2772="SBJ","CB","?"))</f>
        <v> </v>
      </c>
      <c r="I2772" s="26" t="str">
        <f>IF(OR(E2772="",E2772="!!!",F2772="NEW"),"",INDEX(B2771:B$2,-1+SUMPRODUCT(MAX(ROW(E2771:E$2)*(E2772=E2771:E$2)))))</f>
        <v> </v>
      </c>
      <c r="J2772" s="26" t="str">
        <f>IF(OR(E2772="",E2772="!!!",F2772="NEW"),"",COUNTBLANK(OFFSET(A$1,,,SUMPRODUCT(MAX(ROW(E$2:E2772)*(E2772=E$2:E2772)))))-COUNTBLANK(OFFSET(A$1,,,SUMPRODUCT(MAX(ROW(E$1:E2771)*(E2=E$1:E2771))))))</f>
        <v> </v>
      </c>
      <c r="K2772" s="26" t="str">
        <f>IF(OR(E2772="",E2772="!!!",F2772="NEW"),"",INDEX(J$1:J2771,SUMPRODUCT(MAX(ROW(E$1:E2771)*(E2772=E$1:E2771)))))</f>
        <v> </v>
      </c>
      <c r="L2772" s="27"/>
    </row>
    <row r="2773" spans="1:12">
      <c r="A2773" s="20" t="s">
        <v>1012</v>
      </c>
      <c r="B2773" s="21" t="s">
        <v>1064</v>
      </c>
      <c r="C2773" s="21" t="s">
        <v>1017</v>
      </c>
      <c r="D2773" s="21" t="s">
        <v>1007</v>
      </c>
      <c r="E2773" s="22">
        <f>IF(D2773="?OLD","!!!","")</f>
        <v/>
      </c>
      <c r="F2773" s="23" t="str">
        <f>IF(OR(E2773="",E2773="!!!"),"",IF(NOT(ISNA(VLOOKUP(E2773,E$1:E2772,1,FALSE()))),"OLD",IF(AND(E2773&lt;&gt;"",E2773&lt;&gt;"!!!"),"NEW","")))</f>
        <v> </v>
      </c>
      <c r="G2773" s="24" t="str">
        <f>IF(OR(E2773="",E2773="!!!"),"",IF(OR(J2773=0,AND(J2773=1,K2773=1),AND(J2773=1,I2773="SBJ"),AND(J2773=1,I2773=0)),"?IN_FOCUS",IF(J2773&lt;=2,"?ACTIVATED",IF(J2773&lt;&gt;"","?FAMILIAR",IF(F2773="NEW",IF(ISNA(VLOOKUP(E2773,#REF!,1,FALSE())),"?TYPE_IDENTIFIABLE","?REFERENTIAL"),"_")))))</f>
        <v> </v>
      </c>
      <c r="H2773" s="25" t="str">
        <f>IF(J2773&lt;&gt;1,"",IF(I2773="SBJ","CB","?"))</f>
        <v> </v>
      </c>
      <c r="I2773" s="26" t="str">
        <f>IF(OR(E2773="",E2773="!!!",F2773="NEW"),"",INDEX(B2772:B$2,-1+SUMPRODUCT(MAX(ROW(E2772:E$2)*(E2773=E2772:E$2)))))</f>
        <v> </v>
      </c>
      <c r="J2773" s="26" t="str">
        <f>IF(OR(E2773="",E2773="!!!",F2773="NEW"),"",COUNTBLANK(OFFSET(A$1,,,SUMPRODUCT(MAX(ROW(E$2:E2773)*(E2773=E$2:E2773)))))-COUNTBLANK(OFFSET(A$1,,,SUMPRODUCT(MAX(ROW(E$1:E2772)*(E2=E$1:E2772))))))</f>
        <v> </v>
      </c>
      <c r="K2773" s="26" t="str">
        <f>IF(OR(E2773="",E2773="!!!",F2773="NEW"),"",INDEX(J$1:J2772,SUMPRODUCT(MAX(ROW(E$1:E2772)*(E2773=E$1:E2772)))))</f>
        <v> </v>
      </c>
      <c r="L2773" s="27"/>
    </row>
    <row r="2774" spans="1:12">
      <c r="A2774" s="20" t="s">
        <v>1023</v>
      </c>
      <c r="E2774" s="22">
        <f>IF(D2774="?OLD","!!!","")</f>
        <v/>
      </c>
      <c r="F2774" s="23" t="str">
        <f>IF(OR(E2774="",E2774="!!!"),"",IF(NOT(ISNA(VLOOKUP(E2774,E$1:E2773,1,FALSE()))),"OLD",IF(AND(E2774&lt;&gt;"",E2774&lt;&gt;"!!!"),"NEW","")))</f>
        <v> </v>
      </c>
      <c r="G2774" s="24" t="str">
        <f>IF(OR(E2774="",E2774="!!!"),"",IF(OR(J2774=0,AND(J2774=1,K2774=1),AND(J2774=1,I2774="SBJ"),AND(J2774=1,I2774=0)),"?IN_FOCUS",IF(J2774&lt;=2,"?ACTIVATED",IF(J2774&lt;&gt;"","?FAMILIAR",IF(F2774="NEW",IF(ISNA(VLOOKUP(E2774,#REF!,1,FALSE())),"?TYPE_IDENTIFIABLE","?REFERENTIAL"),"_")))))</f>
        <v> </v>
      </c>
      <c r="H2774" s="25" t="str">
        <f>IF(J2774&lt;&gt;1,"",IF(I2774="SBJ","CB","?"))</f>
        <v> </v>
      </c>
      <c r="I2774" s="26" t="str">
        <f>IF(OR(E2774="",E2774="!!!",F2774="NEW"),"",INDEX(B2773:B$2,-1+SUMPRODUCT(MAX(ROW(E2773:E$2)*(E2774=E2773:E$2)))))</f>
        <v> </v>
      </c>
      <c r="J2774" s="26" t="str">
        <f>IF(OR(E2774="",E2774="!!!",F2774="NEW"),"",COUNTBLANK(OFFSET(A$1,,,SUMPRODUCT(MAX(ROW(E$2:E2774)*(E2774=E$2:E2774)))))-COUNTBLANK(OFFSET(A$1,,,SUMPRODUCT(MAX(ROW(E$1:E2773)*(E2=E$1:E2773))))))</f>
        <v> </v>
      </c>
      <c r="K2774" s="26" t="str">
        <f>IF(OR(E2774="",E2774="!!!",F2774="NEW"),"",INDEX(J$1:J2773,SUMPRODUCT(MAX(ROW(E$1:E2773)*(E2774=E$1:E2773)))))</f>
        <v> </v>
      </c>
      <c r="L2774" s="27"/>
    </row>
    <row r="2775" spans="1:12">
      <c r="A2775" s="20"/>
    </row>
    <row r="2776" spans="1:12">
      <c r="A2776" s="20" t="s">
        <v>1184</v>
      </c>
      <c r="E2776" s="22">
        <f>IF(D2776="?OLD","!!!","")</f>
        <v/>
      </c>
      <c r="F2776" s="23" t="str">
        <f>IF(OR(E2776="",E2776="!!!"),"",IF(NOT(ISNA(VLOOKUP(E2776,E$1:E2775,1,FALSE()))),"OLD",IF(AND(E2776&lt;&gt;"",E2776&lt;&gt;"!!!"),"NEW","")))</f>
        <v> </v>
      </c>
      <c r="G2776" s="24" t="str">
        <f>IF(OR(E2776="",E2776="!!!"),"",IF(OR(J2776=0,AND(J2776=1,K2776=1),AND(J2776=1,I2776="SBJ"),AND(J2776=1,I2776=0)),"?IN_FOCUS",IF(J2776&lt;=2,"?ACTIVATED",IF(J2776&lt;&gt;"","?FAMILIAR",IF(F2776="NEW",IF(ISNA(VLOOKUP(E2776,#REF!,1,FALSE())),"?TYPE_IDENTIFIABLE","?REFERENTIAL"),"_")))))</f>
        <v> </v>
      </c>
      <c r="H2776" s="25" t="str">
        <f>IF(J2776&lt;&gt;1,"",IF(I2776="SBJ","CB","?"))</f>
        <v> </v>
      </c>
      <c r="I2776" s="26" t="str">
        <f>IF(OR(E2776="",E2776="!!!",F2776="NEW"),"",INDEX(B2775:B$2,-1+SUMPRODUCT(MAX(ROW(E2775:E$2)*(E2776=E2775:E$2)))))</f>
        <v> </v>
      </c>
      <c r="J2776" s="26" t="str">
        <f>IF(OR(E2776="",E2776="!!!",F2776="NEW"),"",COUNTBLANK(OFFSET(A$1,,,SUMPRODUCT(MAX(ROW(E$2:E2776)*(E2776=E$2:E2776)))))-COUNTBLANK(OFFSET(A$1,,,SUMPRODUCT(MAX(ROW(E$1:E2775)*(E2=E$1:E2775))))))</f>
        <v> </v>
      </c>
      <c r="K2776" s="26" t="str">
        <f>IF(OR(E2776="",E2776="!!!",F2776="NEW"),"",INDEX(J$1:J2775,SUMPRODUCT(MAX(ROW(E$1:E2775)*(E2776=E$1:E2775)))))</f>
        <v> </v>
      </c>
      <c r="L2776" s="27"/>
    </row>
    <row r="2777" spans="1:12">
      <c r="A2777" s="20" t="s">
        <v>1859</v>
      </c>
    </row>
    <row r="2778" spans="1:12">
      <c r="A2778" s="20" t="s">
        <v>1860</v>
      </c>
      <c r="E2778" s="22">
        <f>IF(D2778="?OLD","!!!","")</f>
        <v/>
      </c>
      <c r="F2778" s="23" t="str">
        <f>IF(OR(E2778="",E2778="!!!"),"",IF(NOT(ISNA(VLOOKUP(E2778,E$1:E2777,1,FALSE()))),"OLD",IF(AND(E2778&lt;&gt;"",E2778&lt;&gt;"!!!"),"NEW","")))</f>
        <v> </v>
      </c>
      <c r="G2778" s="24" t="str">
        <f>IF(OR(E2778="",E2778="!!!"),"",IF(OR(J2778=0,AND(J2778=1,K2778=1),AND(J2778=1,I2778="SBJ"),AND(J2778=1,I2778=0)),"?IN_FOCUS",IF(J2778&lt;=2,"?ACTIVATED",IF(J2778&lt;&gt;"","?FAMILIAR",IF(F2778="NEW",IF(ISNA(VLOOKUP(E2778,#REF!,1,FALSE())),"?TYPE_IDENTIFIABLE","?REFERENTIAL"),"_")))))</f>
        <v> </v>
      </c>
      <c r="H2778" s="25" t="str">
        <f>IF(J2778&lt;&gt;1,"",IF(I2778="SBJ","CB","?"))</f>
        <v> </v>
      </c>
      <c r="I2778" s="26" t="str">
        <f>IF(OR(E2778="",E2778="!!!",F2778="NEW"),"",INDEX(B2777:B$2,-1+SUMPRODUCT(MAX(ROW(E2777:E$2)*(E2778=E2777:E$2)))))</f>
        <v> </v>
      </c>
      <c r="J2778" s="26" t="str">
        <f>IF(OR(E2778="",E2778="!!!",F2778="NEW"),"",COUNTBLANK(OFFSET(A$1,,,SUMPRODUCT(MAX(ROW(E$2:E2778)*(E2778=E$2:E2778)))))-COUNTBLANK(OFFSET(A$1,,,SUMPRODUCT(MAX(ROW(E$1:E2777)*(E2=E$1:E2777))))))</f>
        <v> </v>
      </c>
      <c r="K2778" s="26" t="str">
        <f>IF(OR(E2778="",E2778="!!!",F2778="NEW"),"",INDEX(J$1:J2777,SUMPRODUCT(MAX(ROW(E$1:E2777)*(E2778=E$1:E2777)))))</f>
        <v> </v>
      </c>
      <c r="L2778" s="27"/>
    </row>
    <row r="2779" spans="1:12">
      <c r="A2779" s="20" t="s">
        <v>1009</v>
      </c>
      <c r="E2779" s="22">
        <f>IF(D2779="?OLD","!!!","")</f>
        <v/>
      </c>
      <c r="F2779" s="23" t="str">
        <f>IF(OR(E2779="",E2779="!!!"),"",IF(NOT(ISNA(VLOOKUP(E2779,E$1:E2778,1,FALSE()))),"OLD",IF(AND(E2779&lt;&gt;"",E2779&lt;&gt;"!!!"),"NEW","")))</f>
        <v> </v>
      </c>
      <c r="G2779" s="24" t="str">
        <f>IF(OR(E2779="",E2779="!!!"),"",IF(OR(J2779=0,AND(J2779=1,K2779=1),AND(J2779=1,I2779="SBJ"),AND(J2779=1,I2779=0)),"?IN_FOCUS",IF(J2779&lt;=2,"?ACTIVATED",IF(J2779&lt;&gt;"","?FAMILIAR",IF(F2779="NEW",IF(ISNA(VLOOKUP(E2779,#REF!,1,FALSE())),"?TYPE_IDENTIFIABLE","?REFERENTIAL"),"_")))))</f>
        <v> </v>
      </c>
      <c r="H2779" s="25" t="str">
        <f>IF(J2779&lt;&gt;1,"",IF(I2779="SBJ","CB","?"))</f>
        <v> </v>
      </c>
      <c r="I2779" s="26" t="str">
        <f>IF(OR(E2779="",E2779="!!!",F2779="NEW"),"",INDEX(B2778:B$2,-1+SUMPRODUCT(MAX(ROW(E2778:E$2)*(E2779=E2778:E$2)))))</f>
        <v> </v>
      </c>
      <c r="J2779" s="26" t="str">
        <f>IF(OR(E2779="",E2779="!!!",F2779="NEW"),"",COUNTBLANK(OFFSET(A$1,,,SUMPRODUCT(MAX(ROW(E$2:E2779)*(E2779=E$2:E2779)))))-COUNTBLANK(OFFSET(A$1,,,SUMPRODUCT(MAX(ROW(E$1:E2778)*(E2=E$1:E2778))))))</f>
        <v> </v>
      </c>
      <c r="K2779" s="26" t="str">
        <f>IF(OR(E2779="",E2779="!!!",F2779="NEW"),"",INDEX(J$1:J2778,SUMPRODUCT(MAX(ROW(E$1:E2778)*(E2779=E$1:E2778)))))</f>
        <v> </v>
      </c>
      <c r="L2779" s="27"/>
    </row>
    <row r="2780" spans="1:12">
      <c r="A2780" s="20" t="s">
        <v>1189</v>
      </c>
      <c r="E2780" s="22">
        <f>IF(D2780="?OLD","!!!","")</f>
        <v/>
      </c>
      <c r="F2780" s="23" t="str">
        <f>IF(OR(E2780="",E2780="!!!"),"",IF(NOT(ISNA(VLOOKUP(E2780,E$1:E2779,1,FALSE()))),"OLD",IF(AND(E2780&lt;&gt;"",E2780&lt;&gt;"!!!"),"NEW","")))</f>
        <v> </v>
      </c>
      <c r="G2780" s="24" t="str">
        <f>IF(OR(E2780="",E2780="!!!"),"",IF(OR(J2780=0,AND(J2780=1,K2780=1),AND(J2780=1,I2780="SBJ"),AND(J2780=1,I2780=0)),"?IN_FOCUS",IF(J2780&lt;=2,"?ACTIVATED",IF(J2780&lt;&gt;"","?FAMILIAR",IF(F2780="NEW",IF(ISNA(VLOOKUP(E2780,#REF!,1,FALSE())),"?TYPE_IDENTIFIABLE","?REFERENTIAL"),"_")))))</f>
        <v> </v>
      </c>
      <c r="H2780" s="25" t="str">
        <f>IF(J2780&lt;&gt;1,"",IF(I2780="SBJ","CB","?"))</f>
        <v> </v>
      </c>
      <c r="I2780" s="26" t="str">
        <f>IF(OR(E2780="",E2780="!!!",F2780="NEW"),"",INDEX(B2779:B$2,-1+SUMPRODUCT(MAX(ROW(E2779:E$2)*(E2780=E2779:E$2)))))</f>
        <v> </v>
      </c>
      <c r="J2780" s="26" t="str">
        <f>IF(OR(E2780="",E2780="!!!",F2780="NEW"),"",COUNTBLANK(OFFSET(A$1,,,SUMPRODUCT(MAX(ROW(E$2:E2780)*(E2780=E$2:E2780)))))-COUNTBLANK(OFFSET(A$1,,,SUMPRODUCT(MAX(ROW(E$1:E2779)*(E2=E$1:E2779))))))</f>
        <v> </v>
      </c>
      <c r="K2780" s="26" t="str">
        <f>IF(OR(E2780="",E2780="!!!",F2780="NEW"),"",INDEX(J$1:J2779,SUMPRODUCT(MAX(ROW(E$1:E2779)*(E2780=E$1:E2779)))))</f>
        <v> </v>
      </c>
      <c r="L2780" s="27"/>
    </row>
    <row r="2781" spans="1:12">
      <c r="A2781" s="20" t="s">
        <v>1861</v>
      </c>
      <c r="E2781" s="22">
        <f>IF(D2781="?OLD","!!!","")</f>
        <v/>
      </c>
      <c r="F2781" s="23" t="str">
        <f>IF(OR(E2781="",E2781="!!!"),"",IF(NOT(ISNA(VLOOKUP(E2781,E$1:E2780,1,FALSE()))),"OLD",IF(AND(E2781&lt;&gt;"",E2781&lt;&gt;"!!!"),"NEW","")))</f>
        <v> </v>
      </c>
      <c r="G2781" s="24" t="str">
        <f>IF(OR(E2781="",E2781="!!!"),"",IF(OR(J2781=0,AND(J2781=1,K2781=1),AND(J2781=1,I2781="SBJ"),AND(J2781=1,I2781=0)),"?IN_FOCUS",IF(J2781&lt;=2,"?ACTIVATED",IF(J2781&lt;&gt;"","?FAMILIAR",IF(F2781="NEW",IF(ISNA(VLOOKUP(E2781,#REF!,1,FALSE())),"?TYPE_IDENTIFIABLE","?REFERENTIAL"),"_")))))</f>
        <v> </v>
      </c>
      <c r="H2781" s="25" t="str">
        <f>IF(J2781&lt;&gt;1,"",IF(I2781="SBJ","CB","?"))</f>
        <v> </v>
      </c>
      <c r="I2781" s="26" t="str">
        <f>IF(OR(E2781="",E2781="!!!",F2781="NEW"),"",INDEX(B2780:B$2,-1+SUMPRODUCT(MAX(ROW(E2780:E$2)*(E2781=E2780:E$2)))))</f>
        <v> </v>
      </c>
      <c r="J2781" s="26" t="str">
        <f>IF(OR(E2781="",E2781="!!!",F2781="NEW"),"",COUNTBLANK(OFFSET(A$1,,,SUMPRODUCT(MAX(ROW(E$2:E2781)*(E2781=E$2:E2781)))))-COUNTBLANK(OFFSET(A$1,,,SUMPRODUCT(MAX(ROW(E$1:E2780)*(E2=E$1:E2780))))))</f>
        <v> </v>
      </c>
      <c r="K2781" s="26" t="str">
        <f>IF(OR(E2781="",E2781="!!!",F2781="NEW"),"",INDEX(J$1:J2780,SUMPRODUCT(MAX(ROW(E$1:E2780)*(E2781=E$1:E2780)))))</f>
        <v> </v>
      </c>
      <c r="L2781" s="27"/>
    </row>
    <row r="2782" spans="1:12">
      <c r="A2782" s="20" t="s">
        <v>1065</v>
      </c>
      <c r="E2782" s="22">
        <f>IF(D2782="?OLD","!!!","")</f>
        <v/>
      </c>
      <c r="F2782" s="23" t="str">
        <f>IF(OR(E2782="",E2782="!!!"),"",IF(NOT(ISNA(VLOOKUP(E2782,E$1:E2781,1,FALSE()))),"OLD",IF(AND(E2782&lt;&gt;"",E2782&lt;&gt;"!!!"),"NEW","")))</f>
        <v> </v>
      </c>
      <c r="G2782" s="24" t="str">
        <f>IF(OR(E2782="",E2782="!!!"),"",IF(OR(J2782=0,AND(J2782=1,K2782=1),AND(J2782=1,I2782="SBJ"),AND(J2782=1,I2782=0)),"?IN_FOCUS",IF(J2782&lt;=2,"?ACTIVATED",IF(J2782&lt;&gt;"","?FAMILIAR",IF(F2782="NEW",IF(ISNA(VLOOKUP(E2782,#REF!,1,FALSE())),"?TYPE_IDENTIFIABLE","?REFERENTIAL"),"_")))))</f>
        <v> </v>
      </c>
      <c r="H2782" s="25" t="str">
        <f>IF(J2782&lt;&gt;1,"",IF(I2782="SBJ","CB","?"))</f>
        <v> </v>
      </c>
      <c r="I2782" s="26" t="str">
        <f>IF(OR(E2782="",E2782="!!!",F2782="NEW"),"",INDEX(B2781:B$2,-1+SUMPRODUCT(MAX(ROW(E2781:E$2)*(E2782=E2781:E$2)))))</f>
        <v> </v>
      </c>
      <c r="J2782" s="26" t="str">
        <f>IF(OR(E2782="",E2782="!!!",F2782="NEW"),"",COUNTBLANK(OFFSET(A$1,,,SUMPRODUCT(MAX(ROW(E$2:E2782)*(E2782=E$2:E2782)))))-COUNTBLANK(OFFSET(A$1,,,SUMPRODUCT(MAX(ROW(E$1:E2781)*(E2=E$1:E2781))))))</f>
        <v> </v>
      </c>
      <c r="K2782" s="26" t="str">
        <f>IF(OR(E2782="",E2782="!!!",F2782="NEW"),"",INDEX(J$1:J2781,SUMPRODUCT(MAX(ROW(E$1:E2781)*(E2782=E$1:E2781)))))</f>
        <v> </v>
      </c>
      <c r="L2782" s="27"/>
    </row>
    <row r="2783" spans="1:12">
      <c r="A2783" s="20" t="s">
        <v>1142</v>
      </c>
      <c r="E2783" s="22">
        <f>IF(D2783="?OLD","!!!","")</f>
        <v/>
      </c>
      <c r="F2783" s="23" t="str">
        <f>IF(OR(E2783="",E2783="!!!"),"",IF(NOT(ISNA(VLOOKUP(E2783,E$1:E2782,1,FALSE()))),"OLD",IF(AND(E2783&lt;&gt;"",E2783&lt;&gt;"!!!"),"NEW","")))</f>
        <v> </v>
      </c>
      <c r="G2783" s="24" t="str">
        <f>IF(OR(E2783="",E2783="!!!"),"",IF(OR(J2783=0,AND(J2783=1,K2783=1),AND(J2783=1,I2783="SBJ"),AND(J2783=1,I2783=0)),"?IN_FOCUS",IF(J2783&lt;=2,"?ACTIVATED",IF(J2783&lt;&gt;"","?FAMILIAR",IF(F2783="NEW",IF(ISNA(VLOOKUP(E2783,#REF!,1,FALSE())),"?TYPE_IDENTIFIABLE","?REFERENTIAL"),"_")))))</f>
        <v> </v>
      </c>
      <c r="H2783" s="25" t="str">
        <f>IF(J2783&lt;&gt;1,"",IF(I2783="SBJ","CB","?"))</f>
        <v> </v>
      </c>
      <c r="I2783" s="26" t="str">
        <f>IF(OR(E2783="",E2783="!!!",F2783="NEW"),"",INDEX(B2782:B$2,-1+SUMPRODUCT(MAX(ROW(E2782:E$2)*(E2783=E2782:E$2)))))</f>
        <v> </v>
      </c>
      <c r="J2783" s="26" t="str">
        <f>IF(OR(E2783="",E2783="!!!",F2783="NEW"),"",COUNTBLANK(OFFSET(A$1,,,SUMPRODUCT(MAX(ROW(E$2:E2783)*(E2783=E$2:E2783)))))-COUNTBLANK(OFFSET(A$1,,,SUMPRODUCT(MAX(ROW(E$1:E2782)*(E2=E$1:E2782))))))</f>
        <v> </v>
      </c>
      <c r="K2783" s="26" t="str">
        <f>IF(OR(E2783="",E2783="!!!",F2783="NEW"),"",INDEX(J$1:J2782,SUMPRODUCT(MAX(ROW(E$1:E2782)*(E2783=E$1:E2782)))))</f>
        <v> </v>
      </c>
      <c r="L2783" s="27"/>
    </row>
    <row r="2784" spans="1:12">
      <c r="A2784" s="20" t="s">
        <v>1862</v>
      </c>
      <c r="E2784" s="22">
        <f>IF(D2784="?OLD","!!!","")</f>
        <v/>
      </c>
      <c r="F2784" s="23" t="str">
        <f>IF(OR(E2784="",E2784="!!!"),"",IF(NOT(ISNA(VLOOKUP(E2784,E$1:E2783,1,FALSE()))),"OLD",IF(AND(E2784&lt;&gt;"",E2784&lt;&gt;"!!!"),"NEW","")))</f>
        <v> </v>
      </c>
      <c r="G2784" s="24" t="str">
        <f>IF(OR(E2784="",E2784="!!!"),"",IF(OR(J2784=0,AND(J2784=1,K2784=1),AND(J2784=1,I2784="SBJ"),AND(J2784=1,I2784=0)),"?IN_FOCUS",IF(J2784&lt;=2,"?ACTIVATED",IF(J2784&lt;&gt;"","?FAMILIAR",IF(F2784="NEW",IF(ISNA(VLOOKUP(E2784,#REF!,1,FALSE())),"?TYPE_IDENTIFIABLE","?REFERENTIAL"),"_")))))</f>
        <v> </v>
      </c>
      <c r="H2784" s="25" t="str">
        <f>IF(J2784&lt;&gt;1,"",IF(I2784="SBJ","CB","?"))</f>
        <v> </v>
      </c>
      <c r="I2784" s="26" t="str">
        <f>IF(OR(E2784="",E2784="!!!",F2784="NEW"),"",INDEX(B2783:B$2,-1+SUMPRODUCT(MAX(ROW(E2783:E$2)*(E2784=E2783:E$2)))))</f>
        <v> </v>
      </c>
      <c r="J2784" s="26" t="str">
        <f>IF(OR(E2784="",E2784="!!!",F2784="NEW"),"",COUNTBLANK(OFFSET(A$1,,,SUMPRODUCT(MAX(ROW(E$2:E2784)*(E2784=E$2:E2784)))))-COUNTBLANK(OFFSET(A$1,,,SUMPRODUCT(MAX(ROW(E$1:E2783)*(E2=E$1:E2783))))))</f>
        <v> </v>
      </c>
      <c r="K2784" s="26" t="str">
        <f>IF(OR(E2784="",E2784="!!!",F2784="NEW"),"",INDEX(J$1:J2783,SUMPRODUCT(MAX(ROW(E$1:E2783)*(E2784=E$1:E2783)))))</f>
        <v> </v>
      </c>
      <c r="L2784" s="27"/>
    </row>
    <row r="2785" spans="1:12">
      <c r="A2785" s="20" t="s">
        <v>256</v>
      </c>
      <c r="E2785" s="22">
        <f>IF(D2785="?OLD","!!!","")</f>
        <v/>
      </c>
      <c r="F2785" s="23" t="str">
        <f>IF(OR(E2785="",E2785="!!!"),"",IF(NOT(ISNA(VLOOKUP(E2785,E$1:E2784,1,FALSE()))),"OLD",IF(AND(E2785&lt;&gt;"",E2785&lt;&gt;"!!!"),"NEW","")))</f>
        <v> </v>
      </c>
      <c r="G2785" s="24" t="str">
        <f>IF(OR(E2785="",E2785="!!!"),"",IF(OR(J2785=0,AND(J2785=1,K2785=1),AND(J2785=1,I2785="SBJ"),AND(J2785=1,I2785=0)),"?IN_FOCUS",IF(J2785&lt;=2,"?ACTIVATED",IF(J2785&lt;&gt;"","?FAMILIAR",IF(F2785="NEW",IF(ISNA(VLOOKUP(E2785,#REF!,1,FALSE())),"?TYPE_IDENTIFIABLE","?REFERENTIAL"),"_")))))</f>
        <v> </v>
      </c>
      <c r="H2785" s="25" t="str">
        <f>IF(J2785&lt;&gt;1,"",IF(I2785="SBJ","CB","?"))</f>
        <v> </v>
      </c>
      <c r="I2785" s="26" t="str">
        <f>IF(OR(E2785="",E2785="!!!",F2785="NEW"),"",INDEX(B2784:B$2,-1+SUMPRODUCT(MAX(ROW(E2784:E$2)*(E2785=E2784:E$2)))))</f>
        <v> </v>
      </c>
      <c r="J2785" s="26" t="str">
        <f>IF(OR(E2785="",E2785="!!!",F2785="NEW"),"",COUNTBLANK(OFFSET(A$1,,,SUMPRODUCT(MAX(ROW(E$2:E2785)*(E2785=E$2:E2785)))))-COUNTBLANK(OFFSET(A$1,,,SUMPRODUCT(MAX(ROW(E$1:E2784)*(E2=E$1:E2784))))))</f>
        <v> </v>
      </c>
      <c r="K2785" s="26" t="str">
        <f>IF(OR(E2785="",E2785="!!!",F2785="NEW"),"",INDEX(J$1:J2784,SUMPRODUCT(MAX(ROW(E$1:E2784)*(E2785=E$1:E2784)))))</f>
        <v> </v>
      </c>
      <c r="L2785" s="27"/>
    </row>
    <row r="2786" spans="1:12">
      <c r="A2786" s="20" t="s">
        <v>1014</v>
      </c>
      <c r="E2786" s="22">
        <f>IF(D2786="?OLD","!!!","")</f>
        <v/>
      </c>
      <c r="F2786" s="23" t="str">
        <f>IF(OR(E2786="",E2786="!!!"),"",IF(NOT(ISNA(VLOOKUP(E2786,E$1:E2785,1,FALSE()))),"OLD",IF(AND(E2786&lt;&gt;"",E2786&lt;&gt;"!!!"),"NEW","")))</f>
        <v> </v>
      </c>
      <c r="G2786" s="24" t="str">
        <f>IF(OR(E2786="",E2786="!!!"),"",IF(OR(J2786=0,AND(J2786=1,K2786=1),AND(J2786=1,I2786="SBJ"),AND(J2786=1,I2786=0)),"?IN_FOCUS",IF(J2786&lt;=2,"?ACTIVATED",IF(J2786&lt;&gt;"","?FAMILIAR",IF(F2786="NEW",IF(ISNA(VLOOKUP(E2786,#REF!,1,FALSE())),"?TYPE_IDENTIFIABLE","?REFERENTIAL"),"_")))))</f>
        <v> </v>
      </c>
      <c r="H2786" s="25" t="str">
        <f>IF(J2786&lt;&gt;1,"",IF(I2786="SBJ","CB","?"))</f>
        <v> </v>
      </c>
      <c r="I2786" s="26" t="str">
        <f>IF(OR(E2786="",E2786="!!!",F2786="NEW"),"",INDEX(B2785:B$2,-1+SUMPRODUCT(MAX(ROW(E2785:E$2)*(E2786=E2785:E$2)))))</f>
        <v> </v>
      </c>
      <c r="J2786" s="26" t="str">
        <f>IF(OR(E2786="",E2786="!!!",F2786="NEW"),"",COUNTBLANK(OFFSET(A$1,,,SUMPRODUCT(MAX(ROW(E$2:E2786)*(E2786=E$2:E2786)))))-COUNTBLANK(OFFSET(A$1,,,SUMPRODUCT(MAX(ROW(E$1:E2785)*(E2=E$1:E2785))))))</f>
        <v> </v>
      </c>
      <c r="K2786" s="26" t="str">
        <f>IF(OR(E2786="",E2786="!!!",F2786="NEW"),"",INDEX(J$1:J2785,SUMPRODUCT(MAX(ROW(E$1:E2785)*(E2786=E$1:E2785)))))</f>
        <v> </v>
      </c>
      <c r="L2786" s="27"/>
    </row>
    <row r="2787" spans="1:12">
      <c r="A2787" s="20" t="s">
        <v>1140</v>
      </c>
      <c r="B2787" s="21" t="s">
        <v>1134</v>
      </c>
      <c r="C2787" s="21" t="s">
        <v>1073</v>
      </c>
      <c r="D2787" s="21" t="s">
        <v>1007</v>
      </c>
      <c r="E2787" s="22">
        <f>IF(D2787="?OLD","!!!","")</f>
        <v/>
      </c>
      <c r="F2787" s="23" t="str">
        <f>IF(OR(E2787="",E2787="!!!"),"",IF(NOT(ISNA(VLOOKUP(E2787,E$1:E2786,1,FALSE()))),"OLD",IF(AND(E2787&lt;&gt;"",E2787&lt;&gt;"!!!"),"NEW","")))</f>
        <v> </v>
      </c>
      <c r="G2787" s="24" t="str">
        <f>IF(OR(E2787="",E2787="!!!"),"",IF(OR(J2787=0,AND(J2787=1,K2787=1),AND(J2787=1,I2787="SBJ"),AND(J2787=1,I2787=0)),"?IN_FOCUS",IF(J2787&lt;=2,"?ACTIVATED",IF(J2787&lt;&gt;"","?FAMILIAR",IF(F2787="NEW",IF(ISNA(VLOOKUP(E2787,#REF!,1,FALSE())),"?TYPE_IDENTIFIABLE","?REFERENTIAL"),"_")))))</f>
        <v> </v>
      </c>
      <c r="H2787" s="25" t="str">
        <f>IF(J2787&lt;&gt;1,"",IF(I2787="SBJ","CB","?"))</f>
        <v> </v>
      </c>
      <c r="I2787" s="26" t="str">
        <f>IF(OR(E2787="",E2787="!!!",F2787="NEW"),"",INDEX(B2786:B$2,-1+SUMPRODUCT(MAX(ROW(E2786:E$2)*(E2787=E2786:E$2)))))</f>
        <v> </v>
      </c>
      <c r="J2787" s="26" t="str">
        <f>IF(OR(E2787="",E2787="!!!",F2787="NEW"),"",COUNTBLANK(OFFSET(A$1,,,SUMPRODUCT(MAX(ROW(E$2:E2787)*(E2787=E$2:E2787)))))-COUNTBLANK(OFFSET(A$1,,,SUMPRODUCT(MAX(ROW(E$1:E2786)*(E2=E$1:E2786))))))</f>
        <v> </v>
      </c>
      <c r="K2787" s="26" t="str">
        <f>IF(OR(E2787="",E2787="!!!",F2787="NEW"),"",INDEX(J$1:J2786,SUMPRODUCT(MAX(ROW(E$1:E2786)*(E2787=E$1:E2786)))))</f>
        <v> </v>
      </c>
      <c r="L2787" s="27"/>
    </row>
    <row r="2788" spans="1:12">
      <c r="A2788" s="20" t="s">
        <v>1018</v>
      </c>
      <c r="E2788" s="22">
        <f>IF(D2788="?OLD","!!!","")</f>
        <v/>
      </c>
      <c r="F2788" s="23" t="str">
        <f>IF(OR(E2788="",E2788="!!!"),"",IF(NOT(ISNA(VLOOKUP(E2788,E$1:E2787,1,FALSE()))),"OLD",IF(AND(E2788&lt;&gt;"",E2788&lt;&gt;"!!!"),"NEW","")))</f>
        <v> </v>
      </c>
      <c r="G2788" s="24" t="str">
        <f>IF(OR(E2788="",E2788="!!!"),"",IF(OR(J2788=0,AND(J2788=1,K2788=1),AND(J2788=1,I2788="SBJ"),AND(J2788=1,I2788=0)),"?IN_FOCUS",IF(J2788&lt;=2,"?ACTIVATED",IF(J2788&lt;&gt;"","?FAMILIAR",IF(F2788="NEW",IF(ISNA(VLOOKUP(E2788,#REF!,1,FALSE())),"?TYPE_IDENTIFIABLE","?REFERENTIAL"),"_")))))</f>
        <v> </v>
      </c>
      <c r="H2788" s="25" t="str">
        <f>IF(J2788&lt;&gt;1,"",IF(I2788="SBJ","CB","?"))</f>
        <v> </v>
      </c>
      <c r="I2788" s="26" t="str">
        <f>IF(OR(E2788="",E2788="!!!",F2788="NEW"),"",INDEX(B2787:B$2,-1+SUMPRODUCT(MAX(ROW(E2787:E$2)*(E2788=E2787:E$2)))))</f>
        <v> </v>
      </c>
      <c r="J2788" s="26" t="str">
        <f>IF(OR(E2788="",E2788="!!!",F2788="NEW"),"",COUNTBLANK(OFFSET(A$1,,,SUMPRODUCT(MAX(ROW(E$2:E2788)*(E2788=E$2:E2788)))))-COUNTBLANK(OFFSET(A$1,,,SUMPRODUCT(MAX(ROW(E$1:E2787)*(E2=E$1:E2787))))))</f>
        <v> </v>
      </c>
      <c r="K2788" s="26" t="str">
        <f>IF(OR(E2788="",E2788="!!!",F2788="NEW"),"",INDEX(J$1:J2787,SUMPRODUCT(MAX(ROW(E$1:E2787)*(E2788=E$1:E2787)))))</f>
        <v> </v>
      </c>
      <c r="L2788" s="27"/>
    </row>
    <row r="2789" spans="1:12">
      <c r="A2789" s="20" t="s">
        <v>1863</v>
      </c>
      <c r="E2789" s="22">
        <f>IF(D2789="?OLD","!!!","")</f>
        <v/>
      </c>
      <c r="F2789" s="23" t="str">
        <f>IF(OR(E2789="",E2789="!!!"),"",IF(NOT(ISNA(VLOOKUP(E2789,E$1:E2788,1,FALSE()))),"OLD",IF(AND(E2789&lt;&gt;"",E2789&lt;&gt;"!!!"),"NEW","")))</f>
        <v> </v>
      </c>
      <c r="G2789" s="24" t="str">
        <f>IF(OR(E2789="",E2789="!!!"),"",IF(OR(J2789=0,AND(J2789=1,K2789=1),AND(J2789=1,I2789="SBJ"),AND(J2789=1,I2789=0)),"?IN_FOCUS",IF(J2789&lt;=2,"?ACTIVATED",IF(J2789&lt;&gt;"","?FAMILIAR",IF(F2789="NEW",IF(ISNA(VLOOKUP(E2789,#REF!,1,FALSE())),"?TYPE_IDENTIFIABLE","?REFERENTIAL"),"_")))))</f>
        <v> </v>
      </c>
      <c r="H2789" s="25" t="str">
        <f>IF(J2789&lt;&gt;1,"",IF(I2789="SBJ","CB","?"))</f>
        <v> </v>
      </c>
      <c r="I2789" s="26" t="str">
        <f>IF(OR(E2789="",E2789="!!!",F2789="NEW"),"",INDEX(B2788:B$2,-1+SUMPRODUCT(MAX(ROW(E2788:E$2)*(E2789=E2788:E$2)))))</f>
        <v> </v>
      </c>
      <c r="J2789" s="26" t="str">
        <f>IF(OR(E2789="",E2789="!!!",F2789="NEW"),"",COUNTBLANK(OFFSET(A$1,,,SUMPRODUCT(MAX(ROW(E$2:E2789)*(E2789=E$2:E2789)))))-COUNTBLANK(OFFSET(A$1,,,SUMPRODUCT(MAX(ROW(E$1:E2788)*(E2=E$1:E2788))))))</f>
        <v> </v>
      </c>
      <c r="K2789" s="26" t="str">
        <f>IF(OR(E2789="",E2789="!!!",F2789="NEW"),"",INDEX(J$1:J2788,SUMPRODUCT(MAX(ROW(E$1:E2788)*(E2789=E$1:E2788)))))</f>
        <v> </v>
      </c>
      <c r="L2789" s="27"/>
    </row>
    <row r="2790" spans="1:12">
      <c r="A2790" s="20" t="s">
        <v>1862</v>
      </c>
      <c r="E2790" s="22">
        <f>IF(D2790="?OLD","!!!","")</f>
        <v/>
      </c>
      <c r="F2790" s="23" t="str">
        <f>IF(OR(E2790="",E2790="!!!"),"",IF(NOT(ISNA(VLOOKUP(E2790,E$1:E2789,1,FALSE()))),"OLD",IF(AND(E2790&lt;&gt;"",E2790&lt;&gt;"!!!"),"NEW","")))</f>
        <v> </v>
      </c>
      <c r="G2790" s="24" t="str">
        <f>IF(OR(E2790="",E2790="!!!"),"",IF(OR(J2790=0,AND(J2790=1,K2790=1),AND(J2790=1,I2790="SBJ"),AND(J2790=1,I2790=0)),"?IN_FOCUS",IF(J2790&lt;=2,"?ACTIVATED",IF(J2790&lt;&gt;"","?FAMILIAR",IF(F2790="NEW",IF(ISNA(VLOOKUP(E2790,#REF!,1,FALSE())),"?TYPE_IDENTIFIABLE","?REFERENTIAL"),"_")))))</f>
        <v> </v>
      </c>
      <c r="H2790" s="25" t="str">
        <f>IF(J2790&lt;&gt;1,"",IF(I2790="SBJ","CB","?"))</f>
        <v> </v>
      </c>
      <c r="I2790" s="26" t="str">
        <f>IF(OR(E2790="",E2790="!!!",F2790="NEW"),"",INDEX(B2789:B$2,-1+SUMPRODUCT(MAX(ROW(E2789:E$2)*(E2790=E2789:E$2)))))</f>
        <v> </v>
      </c>
      <c r="J2790" s="26" t="str">
        <f>IF(OR(E2790="",E2790="!!!",F2790="NEW"),"",COUNTBLANK(OFFSET(A$1,,,SUMPRODUCT(MAX(ROW(E$2:E2790)*(E2790=E$2:E2790)))))-COUNTBLANK(OFFSET(A$1,,,SUMPRODUCT(MAX(ROW(E$1:E2789)*(E2=E$1:E2789))))))</f>
        <v> </v>
      </c>
      <c r="K2790" s="26" t="str">
        <f>IF(OR(E2790="",E2790="!!!",F2790="NEW"),"",INDEX(J$1:J2789,SUMPRODUCT(MAX(ROW(E$1:E2789)*(E2790=E$1:E2789)))))</f>
        <v> </v>
      </c>
      <c r="L2790" s="27"/>
    </row>
    <row r="2791" spans="1:12">
      <c r="A2791" s="20" t="s">
        <v>1347</v>
      </c>
      <c r="E2791" s="22">
        <f>IF(D2791="?OLD","!!!","")</f>
        <v/>
      </c>
      <c r="F2791" s="23" t="str">
        <f>IF(OR(E2791="",E2791="!!!"),"",IF(NOT(ISNA(VLOOKUP(E2791,E$1:E2790,1,FALSE()))),"OLD",IF(AND(E2791&lt;&gt;"",E2791&lt;&gt;"!!!"),"NEW","")))</f>
        <v> </v>
      </c>
      <c r="G2791" s="24" t="str">
        <f>IF(OR(E2791="",E2791="!!!"),"",IF(OR(J2791=0,AND(J2791=1,K2791=1),AND(J2791=1,I2791="SBJ"),AND(J2791=1,I2791=0)),"?IN_FOCUS",IF(J2791&lt;=2,"?ACTIVATED",IF(J2791&lt;&gt;"","?FAMILIAR",IF(F2791="NEW",IF(ISNA(VLOOKUP(E2791,#REF!,1,FALSE())),"?TYPE_IDENTIFIABLE","?REFERENTIAL"),"_")))))</f>
        <v> </v>
      </c>
      <c r="H2791" s="25" t="str">
        <f>IF(J2791&lt;&gt;1,"",IF(I2791="SBJ","CB","?"))</f>
        <v> </v>
      </c>
      <c r="I2791" s="26" t="str">
        <f>IF(OR(E2791="",E2791="!!!",F2791="NEW"),"",INDEX(B2790:B$2,-1+SUMPRODUCT(MAX(ROW(E2790:E$2)*(E2791=E2790:E$2)))))</f>
        <v> </v>
      </c>
      <c r="J2791" s="26" t="str">
        <f>IF(OR(E2791="",E2791="!!!",F2791="NEW"),"",COUNTBLANK(OFFSET(A$1,,,SUMPRODUCT(MAX(ROW(E$2:E2791)*(E2791=E$2:E2791)))))-COUNTBLANK(OFFSET(A$1,,,SUMPRODUCT(MAX(ROW(E$1:E2790)*(E2=E$1:E2790))))))</f>
        <v> </v>
      </c>
      <c r="K2791" s="26" t="str">
        <f>IF(OR(E2791="",E2791="!!!",F2791="NEW"),"",INDEX(J$1:J2790,SUMPRODUCT(MAX(ROW(E$1:E2790)*(E2791=E$1:E2790)))))</f>
        <v> </v>
      </c>
      <c r="L2791" s="27"/>
    </row>
    <row r="2792" spans="1:12">
      <c r="A2792" s="20" t="s">
        <v>1030</v>
      </c>
      <c r="E2792" s="22">
        <f>IF(D2792="?OLD","!!!","")</f>
        <v/>
      </c>
      <c r="F2792" s="23" t="str">
        <f>IF(OR(E2792="",E2792="!!!"),"",IF(NOT(ISNA(VLOOKUP(E2792,E$1:E2791,1,FALSE()))),"OLD",IF(AND(E2792&lt;&gt;"",E2792&lt;&gt;"!!!"),"NEW","")))</f>
        <v> </v>
      </c>
      <c r="G2792" s="24" t="str">
        <f>IF(OR(E2792="",E2792="!!!"),"",IF(OR(J2792=0,AND(J2792=1,K2792=1),AND(J2792=1,I2792="SBJ"),AND(J2792=1,I2792=0)),"?IN_FOCUS",IF(J2792&lt;=2,"?ACTIVATED",IF(J2792&lt;&gt;"","?FAMILIAR",IF(F2792="NEW",IF(ISNA(VLOOKUP(E2792,#REF!,1,FALSE())),"?TYPE_IDENTIFIABLE","?REFERENTIAL"),"_")))))</f>
        <v> </v>
      </c>
      <c r="H2792" s="25" t="str">
        <f>IF(J2792&lt;&gt;1,"",IF(I2792="SBJ","CB","?"))</f>
        <v> </v>
      </c>
      <c r="I2792" s="26" t="str">
        <f>IF(OR(E2792="",E2792="!!!",F2792="NEW"),"",INDEX(B2791:B$2,-1+SUMPRODUCT(MAX(ROW(E2791:E$2)*(E2792=E2791:E$2)))))</f>
        <v> </v>
      </c>
      <c r="J2792" s="26" t="str">
        <f>IF(OR(E2792="",E2792="!!!",F2792="NEW"),"",COUNTBLANK(OFFSET(A$1,,,SUMPRODUCT(MAX(ROW(E$2:E2792)*(E2792=E$2:E2792)))))-COUNTBLANK(OFFSET(A$1,,,SUMPRODUCT(MAX(ROW(E$1:E2791)*(E2=E$1:E2791))))))</f>
        <v> </v>
      </c>
      <c r="K2792" s="26" t="str">
        <f>IF(OR(E2792="",E2792="!!!",F2792="NEW"),"",INDEX(J$1:J2791,SUMPRODUCT(MAX(ROW(E$1:E2791)*(E2792=E$1:E2791)))))</f>
        <v> </v>
      </c>
      <c r="L2792" s="27"/>
    </row>
    <row r="2793" spans="1:12">
      <c r="A2793" s="20" t="s">
        <v>1140</v>
      </c>
      <c r="B2793" s="21" t="s">
        <v>1064</v>
      </c>
      <c r="C2793" s="21" t="s">
        <v>1073</v>
      </c>
      <c r="D2793" s="21" t="s">
        <v>1007</v>
      </c>
      <c r="E2793" s="22">
        <f>IF(D2793="?OLD","!!!","")</f>
        <v/>
      </c>
      <c r="F2793" s="23" t="str">
        <f>IF(OR(E2793="",E2793="!!!"),"",IF(NOT(ISNA(VLOOKUP(E2793,E$1:E2792,1,FALSE()))),"OLD",IF(AND(E2793&lt;&gt;"",E2793&lt;&gt;"!!!"),"NEW","")))</f>
        <v> </v>
      </c>
      <c r="G2793" s="24" t="str">
        <f>IF(OR(E2793="",E2793="!!!"),"",IF(OR(J2793=0,AND(J2793=1,K2793=1),AND(J2793=1,I2793="SBJ"),AND(J2793=1,I2793=0)),"?IN_FOCUS",IF(J2793&lt;=2,"?ACTIVATED",IF(J2793&lt;&gt;"","?FAMILIAR",IF(F2793="NEW",IF(ISNA(VLOOKUP(E2793,#REF!,1,FALSE())),"?TYPE_IDENTIFIABLE","?REFERENTIAL"),"_")))))</f>
        <v> </v>
      </c>
      <c r="H2793" s="25" t="str">
        <f>IF(J2793&lt;&gt;1,"",IF(I2793="SBJ","CB","?"))</f>
        <v> </v>
      </c>
      <c r="I2793" s="26" t="str">
        <f>IF(OR(E2793="",E2793="!!!",F2793="NEW"),"",INDEX(B2792:B$2,-1+SUMPRODUCT(MAX(ROW(E2792:E$2)*(E2793=E2792:E$2)))))</f>
        <v> </v>
      </c>
      <c r="J2793" s="26" t="str">
        <f>IF(OR(E2793="",E2793="!!!",F2793="NEW"),"",COUNTBLANK(OFFSET(A$1,,,SUMPRODUCT(MAX(ROW(E$2:E2793)*(E2793=E$2:E2793)))))-COUNTBLANK(OFFSET(A$1,,,SUMPRODUCT(MAX(ROW(E$1:E2792)*(E2=E$1:E2792))))))</f>
        <v> </v>
      </c>
      <c r="K2793" s="26" t="str">
        <f>IF(OR(E2793="",E2793="!!!",F2793="NEW"),"",INDEX(J$1:J2792,SUMPRODUCT(MAX(ROW(E$1:E2792)*(E2793=E$1:E2792)))))</f>
        <v> </v>
      </c>
      <c r="L2793" s="27"/>
    </row>
    <row r="2794" spans="1:12">
      <c r="A2794" s="20" t="s">
        <v>1018</v>
      </c>
      <c r="E2794" s="22">
        <f>IF(D2794="?OLD","!!!","")</f>
        <v/>
      </c>
      <c r="F2794" s="23" t="str">
        <f>IF(OR(E2794="",E2794="!!!"),"",IF(NOT(ISNA(VLOOKUP(E2794,E$1:E2793,1,FALSE()))),"OLD",IF(AND(E2794&lt;&gt;"",E2794&lt;&gt;"!!!"),"NEW","")))</f>
        <v> </v>
      </c>
      <c r="G2794" s="24" t="str">
        <f>IF(OR(E2794="",E2794="!!!"),"",IF(OR(J2794=0,AND(J2794=1,K2794=1),AND(J2794=1,I2794="SBJ"),AND(J2794=1,I2794=0)),"?IN_FOCUS",IF(J2794&lt;=2,"?ACTIVATED",IF(J2794&lt;&gt;"","?FAMILIAR",IF(F2794="NEW",IF(ISNA(VLOOKUP(E2794,#REF!,1,FALSE())),"?TYPE_IDENTIFIABLE","?REFERENTIAL"),"_")))))</f>
        <v> </v>
      </c>
      <c r="H2794" s="25" t="str">
        <f>IF(J2794&lt;&gt;1,"",IF(I2794="SBJ","CB","?"))</f>
        <v> </v>
      </c>
      <c r="I2794" s="26" t="str">
        <f>IF(OR(E2794="",E2794="!!!",F2794="NEW"),"",INDEX(B2793:B$2,-1+SUMPRODUCT(MAX(ROW(E2793:E$2)*(E2794=E2793:E$2)))))</f>
        <v> </v>
      </c>
      <c r="J2794" s="26" t="str">
        <f>IF(OR(E2794="",E2794="!!!",F2794="NEW"),"",COUNTBLANK(OFFSET(A$1,,,SUMPRODUCT(MAX(ROW(E$2:E2794)*(E2794=E$2:E2794)))))-COUNTBLANK(OFFSET(A$1,,,SUMPRODUCT(MAX(ROW(E$1:E2793)*(E2=E$1:E2793))))))</f>
        <v> </v>
      </c>
      <c r="K2794" s="26" t="str">
        <f>IF(OR(E2794="",E2794="!!!",F2794="NEW"),"",INDEX(J$1:J2793,SUMPRODUCT(MAX(ROW(E$1:E2793)*(E2794=E$1:E2793)))))</f>
        <v> </v>
      </c>
      <c r="L2794" s="27"/>
    </row>
    <row r="2795" spans="1:12">
      <c r="A2795" s="20" t="s">
        <v>1583</v>
      </c>
      <c r="E2795" s="22">
        <f>IF(D2795="?OLD","!!!","")</f>
        <v/>
      </c>
      <c r="F2795" s="23" t="str">
        <f>IF(OR(E2795="",E2795="!!!"),"",IF(NOT(ISNA(VLOOKUP(E2795,E$1:E2794,1,FALSE()))),"OLD",IF(AND(E2795&lt;&gt;"",E2795&lt;&gt;"!!!"),"NEW","")))</f>
        <v> </v>
      </c>
      <c r="G2795" s="24" t="str">
        <f>IF(OR(E2795="",E2795="!!!"),"",IF(OR(J2795=0,AND(J2795=1,K2795=1),AND(J2795=1,I2795="SBJ"),AND(J2795=1,I2795=0)),"?IN_FOCUS",IF(J2795&lt;=2,"?ACTIVATED",IF(J2795&lt;&gt;"","?FAMILIAR",IF(F2795="NEW",IF(ISNA(VLOOKUP(E2795,#REF!,1,FALSE())),"?TYPE_IDENTIFIABLE","?REFERENTIAL"),"_")))))</f>
        <v> </v>
      </c>
      <c r="H2795" s="25" t="str">
        <f>IF(J2795&lt;&gt;1,"",IF(I2795="SBJ","CB","?"))</f>
        <v> </v>
      </c>
      <c r="I2795" s="26" t="str">
        <f>IF(OR(E2795="",E2795="!!!",F2795="NEW"),"",INDEX(B2794:B$2,-1+SUMPRODUCT(MAX(ROW(E2794:E$2)*(E2795=E2794:E$2)))))</f>
        <v> </v>
      </c>
      <c r="J2795" s="26" t="str">
        <f>IF(OR(E2795="",E2795="!!!",F2795="NEW"),"",COUNTBLANK(OFFSET(A$1,,,SUMPRODUCT(MAX(ROW(E$2:E2795)*(E2795=E$2:E2795)))))-COUNTBLANK(OFFSET(A$1,,,SUMPRODUCT(MAX(ROW(E$1:E2794)*(E2=E$1:E2794))))))</f>
        <v> </v>
      </c>
      <c r="K2795" s="26" t="str">
        <f>IF(OR(E2795="",E2795="!!!",F2795="NEW"),"",INDEX(J$1:J2794,SUMPRODUCT(MAX(ROW(E$1:E2794)*(E2795=E$1:E2794)))))</f>
        <v> </v>
      </c>
      <c r="L2795" s="27"/>
    </row>
    <row r="2796" spans="1:12">
      <c r="A2796" s="20" t="s">
        <v>1864</v>
      </c>
      <c r="E2796" s="22">
        <f>IF(D2796="?OLD","!!!","")</f>
        <v/>
      </c>
      <c r="F2796" s="23" t="str">
        <f>IF(OR(E2796="",E2796="!!!"),"",IF(NOT(ISNA(VLOOKUP(E2796,E$1:E2795,1,FALSE()))),"OLD",IF(AND(E2796&lt;&gt;"",E2796&lt;&gt;"!!!"),"NEW","")))</f>
        <v> </v>
      </c>
      <c r="G2796" s="24" t="str">
        <f>IF(OR(E2796="",E2796="!!!"),"",IF(OR(J2796=0,AND(J2796=1,K2796=1),AND(J2796=1,I2796="SBJ"),AND(J2796=1,I2796=0)),"?IN_FOCUS",IF(J2796&lt;=2,"?ACTIVATED",IF(J2796&lt;&gt;"","?FAMILIAR",IF(F2796="NEW",IF(ISNA(VLOOKUP(E2796,#REF!,1,FALSE())),"?TYPE_IDENTIFIABLE","?REFERENTIAL"),"_")))))</f>
        <v> </v>
      </c>
      <c r="H2796" s="25" t="str">
        <f>IF(J2796&lt;&gt;1,"",IF(I2796="SBJ","CB","?"))</f>
        <v> </v>
      </c>
      <c r="I2796" s="26" t="str">
        <f>IF(OR(E2796="",E2796="!!!",F2796="NEW"),"",INDEX(B2795:B$2,-1+SUMPRODUCT(MAX(ROW(E2795:E$2)*(E2796=E2795:E$2)))))</f>
        <v> </v>
      </c>
      <c r="J2796" s="26" t="str">
        <f>IF(OR(E2796="",E2796="!!!",F2796="NEW"),"",COUNTBLANK(OFFSET(A$1,,,SUMPRODUCT(MAX(ROW(E$2:E2796)*(E2796=E$2:E2796)))))-COUNTBLANK(OFFSET(A$1,,,SUMPRODUCT(MAX(ROW(E$1:E2795)*(E2=E$1:E2795))))))</f>
        <v> </v>
      </c>
      <c r="K2796" s="26" t="str">
        <f>IF(OR(E2796="",E2796="!!!",F2796="NEW"),"",INDEX(J$1:J2795,SUMPRODUCT(MAX(ROW(E$1:E2795)*(E2796=E$1:E2795)))))</f>
        <v> </v>
      </c>
      <c r="L2796" s="27"/>
    </row>
    <row r="2797" spans="1:12">
      <c r="A2797" s="20" t="s">
        <v>1321</v>
      </c>
      <c r="B2797" s="21" t="s">
        <v>1134</v>
      </c>
      <c r="C2797" s="21" t="s">
        <v>1082</v>
      </c>
      <c r="D2797" s="21" t="s">
        <v>1007</v>
      </c>
      <c r="E2797" s="22">
        <f>IF(D2797="?OLD","!!!","")</f>
        <v/>
      </c>
      <c r="F2797" s="23" t="str">
        <f>IF(OR(E2797="",E2797="!!!"),"",IF(NOT(ISNA(VLOOKUP(E2797,E$1:E2796,1,FALSE()))),"OLD",IF(AND(E2797&lt;&gt;"",E2797&lt;&gt;"!!!"),"NEW","")))</f>
        <v> </v>
      </c>
      <c r="G2797" s="24" t="str">
        <f>IF(OR(E2797="",E2797="!!!"),"",IF(OR(J2797=0,AND(J2797=1,K2797=1),AND(J2797=1,I2797="SBJ"),AND(J2797=1,I2797=0)),"?IN_FOCUS",IF(J2797&lt;=2,"?ACTIVATED",IF(J2797&lt;&gt;"","?FAMILIAR",IF(F2797="NEW",IF(ISNA(VLOOKUP(E2797,#REF!,1,FALSE())),"?TYPE_IDENTIFIABLE","?REFERENTIAL"),"_")))))</f>
        <v> </v>
      </c>
      <c r="H2797" s="25" t="str">
        <f>IF(J2797&lt;&gt;1,"",IF(I2797="SBJ","CB","?"))</f>
        <v> </v>
      </c>
      <c r="I2797" s="26" t="str">
        <f>IF(OR(E2797="",E2797="!!!",F2797="NEW"),"",INDEX(B2796:B$2,-1+SUMPRODUCT(MAX(ROW(E2796:E$2)*(E2797=E2796:E$2)))))</f>
        <v> </v>
      </c>
      <c r="J2797" s="26" t="str">
        <f>IF(OR(E2797="",E2797="!!!",F2797="NEW"),"",COUNTBLANK(OFFSET(A$1,,,SUMPRODUCT(MAX(ROW(E$2:E2797)*(E2797=E$2:E2797)))))-COUNTBLANK(OFFSET(A$1,,,SUMPRODUCT(MAX(ROW(E$1:E2796)*(E2=E$1:E2796))))))</f>
        <v> </v>
      </c>
      <c r="K2797" s="26" t="str">
        <f>IF(OR(E2797="",E2797="!!!",F2797="NEW"),"",INDEX(J$1:J2796,SUMPRODUCT(MAX(ROW(E$1:E2796)*(E2797=E$1:E2796)))))</f>
        <v> </v>
      </c>
      <c r="L2797" s="27"/>
    </row>
    <row r="2798" spans="1:12">
      <c r="A2798" s="20" t="s">
        <v>1014</v>
      </c>
      <c r="E2798" s="22">
        <f>IF(D2798="?OLD","!!!","")</f>
        <v/>
      </c>
      <c r="F2798" s="23" t="str">
        <f>IF(OR(E2798="",E2798="!!!"),"",IF(NOT(ISNA(VLOOKUP(E2798,E$1:E2797,1,FALSE()))),"OLD",IF(AND(E2798&lt;&gt;"",E2798&lt;&gt;"!!!"),"NEW","")))</f>
        <v> </v>
      </c>
      <c r="G2798" s="24" t="str">
        <f>IF(OR(E2798="",E2798="!!!"),"",IF(OR(J2798=0,AND(J2798=1,K2798=1),AND(J2798=1,I2798="SBJ"),AND(J2798=1,I2798=0)),"?IN_FOCUS",IF(J2798&lt;=2,"?ACTIVATED",IF(J2798&lt;&gt;"","?FAMILIAR",IF(F2798="NEW",IF(ISNA(VLOOKUP(E2798,#REF!,1,FALSE())),"?TYPE_IDENTIFIABLE","?REFERENTIAL"),"_")))))</f>
        <v> </v>
      </c>
      <c r="H2798" s="25" t="str">
        <f>IF(J2798&lt;&gt;1,"",IF(I2798="SBJ","CB","?"))</f>
        <v> </v>
      </c>
      <c r="I2798" s="26" t="str">
        <f>IF(OR(E2798="",E2798="!!!",F2798="NEW"),"",INDEX(B2797:B$2,-1+SUMPRODUCT(MAX(ROW(E2797:E$2)*(E2798=E2797:E$2)))))</f>
        <v> </v>
      </c>
      <c r="J2798" s="26" t="str">
        <f>IF(OR(E2798="",E2798="!!!",F2798="NEW"),"",COUNTBLANK(OFFSET(A$1,,,SUMPRODUCT(MAX(ROW(E$2:E2798)*(E2798=E$2:E2798)))))-COUNTBLANK(OFFSET(A$1,,,SUMPRODUCT(MAX(ROW(E$1:E2797)*(E2=E$1:E2797))))))</f>
        <v> </v>
      </c>
      <c r="K2798" s="26" t="str">
        <f>IF(OR(E2798="",E2798="!!!",F2798="NEW"),"",INDEX(J$1:J2797,SUMPRODUCT(MAX(ROW(E$1:E2797)*(E2798=E$1:E2797)))))</f>
        <v> </v>
      </c>
      <c r="L2798" s="27"/>
    </row>
    <row r="2799" spans="1:12">
      <c r="A2799" s="20" t="s">
        <v>1224</v>
      </c>
      <c r="B2799" s="21" t="s">
        <v>1040</v>
      </c>
      <c r="C2799" s="21" t="s">
        <v>1082</v>
      </c>
      <c r="D2799" s="21" t="s">
        <v>1007</v>
      </c>
      <c r="E2799" s="22">
        <f>IF(D2799="?OLD","!!!","")</f>
        <v/>
      </c>
      <c r="F2799" s="23" t="str">
        <f>IF(OR(E2799="",E2799="!!!"),"",IF(NOT(ISNA(VLOOKUP(E2799,E$1:E2798,1,FALSE()))),"OLD",IF(AND(E2799&lt;&gt;"",E2799&lt;&gt;"!!!"),"NEW","")))</f>
        <v> </v>
      </c>
      <c r="G2799" s="24" t="str">
        <f>IF(OR(E2799="",E2799="!!!"),"",IF(OR(J2799=0,AND(J2799=1,K2799=1),AND(J2799=1,I2799="SBJ"),AND(J2799=1,I2799=0)),"?IN_FOCUS",IF(J2799&lt;=2,"?ACTIVATED",IF(J2799&lt;&gt;"","?FAMILIAR",IF(F2799="NEW",IF(ISNA(VLOOKUP(E2799,#REF!,1,FALSE())),"?TYPE_IDENTIFIABLE","?REFERENTIAL"),"_")))))</f>
        <v> </v>
      </c>
      <c r="H2799" s="25" t="str">
        <f>IF(J2799&lt;&gt;1,"",IF(I2799="SBJ","CB","?"))</f>
        <v> </v>
      </c>
      <c r="I2799" s="26" t="str">
        <f>IF(OR(E2799="",E2799="!!!",F2799="NEW"),"",INDEX(B2798:B$2,-1+SUMPRODUCT(MAX(ROW(E2798:E$2)*(E2799=E2798:E$2)))))</f>
        <v> </v>
      </c>
      <c r="J2799" s="26" t="str">
        <f>IF(OR(E2799="",E2799="!!!",F2799="NEW"),"",COUNTBLANK(OFFSET(A$1,,,SUMPRODUCT(MAX(ROW(E$2:E2799)*(E2799=E$2:E2799)))))-COUNTBLANK(OFFSET(A$1,,,SUMPRODUCT(MAX(ROW(E$1:E2798)*(E2=E$1:E2798))))))</f>
        <v> </v>
      </c>
      <c r="K2799" s="26" t="str">
        <f>IF(OR(E2799="",E2799="!!!",F2799="NEW"),"",INDEX(J$1:J2798,SUMPRODUCT(MAX(ROW(E$1:E2798)*(E2799=E$1:E2798)))))</f>
        <v> </v>
      </c>
      <c r="L2799" s="27"/>
    </row>
    <row r="2800" spans="1:12">
      <c r="A2800" s="20" t="s">
        <v>1018</v>
      </c>
      <c r="E2800" s="22">
        <f>IF(D2800="?OLD","!!!","")</f>
        <v/>
      </c>
      <c r="F2800" s="23" t="str">
        <f>IF(OR(E2800="",E2800="!!!"),"",IF(NOT(ISNA(VLOOKUP(E2800,E$1:E2799,1,FALSE()))),"OLD",IF(AND(E2800&lt;&gt;"",E2800&lt;&gt;"!!!"),"NEW","")))</f>
        <v> </v>
      </c>
      <c r="G2800" s="24" t="str">
        <f>IF(OR(E2800="",E2800="!!!"),"",IF(OR(J2800=0,AND(J2800=1,K2800=1),AND(J2800=1,I2800="SBJ"),AND(J2800=1,I2800=0)),"?IN_FOCUS",IF(J2800&lt;=2,"?ACTIVATED",IF(J2800&lt;&gt;"","?FAMILIAR",IF(F2800="NEW",IF(ISNA(VLOOKUP(E2800,#REF!,1,FALSE())),"?TYPE_IDENTIFIABLE","?REFERENTIAL"),"_")))))</f>
        <v> </v>
      </c>
      <c r="H2800" s="25" t="str">
        <f>IF(J2800&lt;&gt;1,"",IF(I2800="SBJ","CB","?"))</f>
        <v> </v>
      </c>
      <c r="I2800" s="26" t="str">
        <f>IF(OR(E2800="",E2800="!!!",F2800="NEW"),"",INDEX(B2799:B$2,-1+SUMPRODUCT(MAX(ROW(E2799:E$2)*(E2800=E2799:E$2)))))</f>
        <v> </v>
      </c>
      <c r="J2800" s="26" t="str">
        <f>IF(OR(E2800="",E2800="!!!",F2800="NEW"),"",COUNTBLANK(OFFSET(A$1,,,SUMPRODUCT(MAX(ROW(E$2:E2800)*(E2800=E$2:E2800)))))-COUNTBLANK(OFFSET(A$1,,,SUMPRODUCT(MAX(ROW(E$1:E2799)*(E2=E$1:E2799))))))</f>
        <v> </v>
      </c>
      <c r="K2800" s="26" t="str">
        <f>IF(OR(E2800="",E2800="!!!",F2800="NEW"),"",INDEX(J$1:J2799,SUMPRODUCT(MAX(ROW(E$1:E2799)*(E2800=E$1:E2799)))))</f>
        <v> </v>
      </c>
      <c r="L2800" s="27"/>
    </row>
    <row r="2801" spans="1:12">
      <c r="A2801" s="20" t="s">
        <v>102</v>
      </c>
      <c r="E2801" s="22">
        <f>IF(D2801="?OLD","!!!","")</f>
        <v/>
      </c>
      <c r="F2801" s="23" t="str">
        <f>IF(OR(E2801="",E2801="!!!"),"",IF(NOT(ISNA(VLOOKUP(E2801,E$1:E2800,1,FALSE()))),"OLD",IF(AND(E2801&lt;&gt;"",E2801&lt;&gt;"!!!"),"NEW","")))</f>
        <v> </v>
      </c>
      <c r="G2801" s="24" t="str">
        <f>IF(OR(E2801="",E2801="!!!"),"",IF(OR(J2801=0,AND(J2801=1,K2801=1),AND(J2801=1,I2801="SBJ"),AND(J2801=1,I2801=0)),"?IN_FOCUS",IF(J2801&lt;=2,"?ACTIVATED",IF(J2801&lt;&gt;"","?FAMILIAR",IF(F2801="NEW",IF(ISNA(VLOOKUP(E2801,#REF!,1,FALSE())),"?TYPE_IDENTIFIABLE","?REFERENTIAL"),"_")))))</f>
        <v> </v>
      </c>
      <c r="H2801" s="25" t="str">
        <f>IF(J2801&lt;&gt;1,"",IF(I2801="SBJ","CB","?"))</f>
        <v> </v>
      </c>
      <c r="I2801" s="26" t="str">
        <f>IF(OR(E2801="",E2801="!!!",F2801="NEW"),"",INDEX(B2800:B$2,-1+SUMPRODUCT(MAX(ROW(E2800:E$2)*(E2801=E2800:E$2)))))</f>
        <v> </v>
      </c>
      <c r="J2801" s="26" t="str">
        <f>IF(OR(E2801="",E2801="!!!",F2801="NEW"),"",COUNTBLANK(OFFSET(A$1,,,SUMPRODUCT(MAX(ROW(E$2:E2801)*(E2801=E$2:E2801)))))-COUNTBLANK(OFFSET(A$1,,,SUMPRODUCT(MAX(ROW(E$1:E2800)*(E2=E$1:E2800))))))</f>
        <v> </v>
      </c>
      <c r="K2801" s="26" t="str">
        <f>IF(OR(E2801="",E2801="!!!",F2801="NEW"),"",INDEX(J$1:J2800,SUMPRODUCT(MAX(ROW(E$1:E2800)*(E2801=E$1:E2800)))))</f>
        <v> </v>
      </c>
      <c r="L2801" s="27"/>
    </row>
    <row r="2802" spans="1:12">
      <c r="A2802" s="20" t="s">
        <v>1865</v>
      </c>
      <c r="B2802" s="21" t="s">
        <v>1120</v>
      </c>
      <c r="C2802" s="21" t="s">
        <v>1017</v>
      </c>
      <c r="D2802" s="21" t="s">
        <v>1007</v>
      </c>
      <c r="E2802" s="22">
        <f>IF(D2802="?OLD","!!!","")</f>
        <v/>
      </c>
      <c r="F2802" s="23" t="str">
        <f>IF(OR(E2802="",E2802="!!!"),"",IF(NOT(ISNA(VLOOKUP(E2802,E$1:E2801,1,FALSE()))),"OLD",IF(AND(E2802&lt;&gt;"",E2802&lt;&gt;"!!!"),"NEW","")))</f>
        <v> </v>
      </c>
      <c r="G2802" s="24" t="str">
        <f>IF(OR(E2802="",E2802="!!!"),"",IF(OR(J2802=0,AND(J2802=1,K2802=1),AND(J2802=1,I2802="SBJ"),AND(J2802=1,I2802=0)),"?IN_FOCUS",IF(J2802&lt;=2,"?ACTIVATED",IF(J2802&lt;&gt;"","?FAMILIAR",IF(F2802="NEW",IF(ISNA(VLOOKUP(E2802,#REF!,1,FALSE())),"?TYPE_IDENTIFIABLE","?REFERENTIAL"),"_")))))</f>
        <v> </v>
      </c>
      <c r="H2802" s="25" t="str">
        <f>IF(J2802&lt;&gt;1,"",IF(I2802="SBJ","CB","?"))</f>
        <v> </v>
      </c>
      <c r="I2802" s="26" t="str">
        <f>IF(OR(E2802="",E2802="!!!",F2802="NEW"),"",INDEX(B2801:B$2,-1+SUMPRODUCT(MAX(ROW(E2801:E$2)*(E2802=E2801:E$2)))))</f>
        <v> </v>
      </c>
      <c r="J2802" s="26" t="str">
        <f>IF(OR(E2802="",E2802="!!!",F2802="NEW"),"",COUNTBLANK(OFFSET(A$1,,,SUMPRODUCT(MAX(ROW(E$2:E2802)*(E2802=E$2:E2802)))))-COUNTBLANK(OFFSET(A$1,,,SUMPRODUCT(MAX(ROW(E$1:E2801)*(E2=E$1:E2801))))))</f>
        <v> </v>
      </c>
      <c r="K2802" s="26" t="str">
        <f>IF(OR(E2802="",E2802="!!!",F2802="NEW"),"",INDEX(J$1:J2801,SUMPRODUCT(MAX(ROW(E$1:E2801)*(E2802=E$1:E2801)))))</f>
        <v> </v>
      </c>
      <c r="L2802" s="27"/>
    </row>
    <row r="2803" spans="1:12">
      <c r="A2803" s="20" t="s">
        <v>1142</v>
      </c>
      <c r="E2803" s="22">
        <f>IF(D2803="?OLD","!!!","")</f>
        <v/>
      </c>
      <c r="F2803" s="23" t="str">
        <f>IF(OR(E2803="",E2803="!!!"),"",IF(NOT(ISNA(VLOOKUP(E2803,E$1:E2802,1,FALSE()))),"OLD",IF(AND(E2803&lt;&gt;"",E2803&lt;&gt;"!!!"),"NEW","")))</f>
        <v> </v>
      </c>
      <c r="G2803" s="24" t="str">
        <f>IF(OR(E2803="",E2803="!!!"),"",IF(OR(J2803=0,AND(J2803=1,K2803=1),AND(J2803=1,I2803="SBJ"),AND(J2803=1,I2803=0)),"?IN_FOCUS",IF(J2803&lt;=2,"?ACTIVATED",IF(J2803&lt;&gt;"","?FAMILIAR",IF(F2803="NEW",IF(ISNA(VLOOKUP(E2803,#REF!,1,FALSE())),"?TYPE_IDENTIFIABLE","?REFERENTIAL"),"_")))))</f>
        <v> </v>
      </c>
      <c r="H2803" s="25" t="str">
        <f>IF(J2803&lt;&gt;1,"",IF(I2803="SBJ","CB","?"))</f>
        <v> </v>
      </c>
      <c r="I2803" s="26" t="str">
        <f>IF(OR(E2803="",E2803="!!!",F2803="NEW"),"",INDEX(B2802:B$2,-1+SUMPRODUCT(MAX(ROW(E2802:E$2)*(E2803=E2802:E$2)))))</f>
        <v> </v>
      </c>
      <c r="J2803" s="26" t="str">
        <f>IF(OR(E2803="",E2803="!!!",F2803="NEW"),"",COUNTBLANK(OFFSET(A$1,,,SUMPRODUCT(MAX(ROW(E$2:E2803)*(E2803=E$2:E2803)))))-COUNTBLANK(OFFSET(A$1,,,SUMPRODUCT(MAX(ROW(E$1:E2802)*(E2=E$1:E2802))))))</f>
        <v> </v>
      </c>
      <c r="K2803" s="26" t="str">
        <f>IF(OR(E2803="",E2803="!!!",F2803="NEW"),"",INDEX(J$1:J2802,SUMPRODUCT(MAX(ROW(E$1:E2802)*(E2803=E$1:E2802)))))</f>
        <v> </v>
      </c>
      <c r="L2803" s="27"/>
    </row>
    <row r="2804" spans="1:12">
      <c r="A2804" s="20" t="s">
        <v>1162</v>
      </c>
      <c r="E2804" s="22">
        <f>IF(D2804="?OLD","!!!","")</f>
        <v/>
      </c>
      <c r="F2804" s="23" t="str">
        <f>IF(OR(E2804="",E2804="!!!"),"",IF(NOT(ISNA(VLOOKUP(E2804,E$1:E2803,1,FALSE()))),"OLD",IF(AND(E2804&lt;&gt;"",E2804&lt;&gt;"!!!"),"NEW","")))</f>
        <v> </v>
      </c>
      <c r="G2804" s="24" t="str">
        <f>IF(OR(E2804="",E2804="!!!"),"",IF(OR(J2804=0,AND(J2804=1,K2804=1),AND(J2804=1,I2804="SBJ"),AND(J2804=1,I2804=0)),"?IN_FOCUS",IF(J2804&lt;=2,"?ACTIVATED",IF(J2804&lt;&gt;"","?FAMILIAR",IF(F2804="NEW",IF(ISNA(VLOOKUP(E2804,#REF!,1,FALSE())),"?TYPE_IDENTIFIABLE","?REFERENTIAL"),"_")))))</f>
        <v> </v>
      </c>
      <c r="H2804" s="25" t="str">
        <f>IF(J2804&lt;&gt;1,"",IF(I2804="SBJ","CB","?"))</f>
        <v> </v>
      </c>
      <c r="I2804" s="26" t="str">
        <f>IF(OR(E2804="",E2804="!!!",F2804="NEW"),"",INDEX(B2803:B$2,-1+SUMPRODUCT(MAX(ROW(E2803:E$2)*(E2804=E2803:E$2)))))</f>
        <v> </v>
      </c>
      <c r="J2804" s="26" t="str">
        <f>IF(OR(E2804="",E2804="!!!",F2804="NEW"),"",COUNTBLANK(OFFSET(A$1,,,SUMPRODUCT(MAX(ROW(E$2:E2804)*(E2804=E$2:E2804)))))-COUNTBLANK(OFFSET(A$1,,,SUMPRODUCT(MAX(ROW(E$1:E2803)*(E2=E$1:E2803))))))</f>
        <v> </v>
      </c>
      <c r="K2804" s="26" t="str">
        <f>IF(OR(E2804="",E2804="!!!",F2804="NEW"),"",INDEX(J$1:J2803,SUMPRODUCT(MAX(ROW(E$1:E2803)*(E2804=E$1:E2803)))))</f>
        <v> </v>
      </c>
      <c r="L2804" s="27"/>
    </row>
    <row r="2805" spans="1:12">
      <c r="A2805" s="20" t="s">
        <v>1018</v>
      </c>
      <c r="E2805" s="22">
        <f>IF(D2805="?OLD","!!!","")</f>
        <v/>
      </c>
      <c r="F2805" s="23" t="str">
        <f>IF(OR(E2805="",E2805="!!!"),"",IF(NOT(ISNA(VLOOKUP(E2805,E$1:E2804,1,FALSE()))),"OLD",IF(AND(E2805&lt;&gt;"",E2805&lt;&gt;"!!!"),"NEW","")))</f>
        <v> </v>
      </c>
      <c r="G2805" s="24" t="str">
        <f>IF(OR(E2805="",E2805="!!!"),"",IF(OR(J2805=0,AND(J2805=1,K2805=1),AND(J2805=1,I2805="SBJ"),AND(J2805=1,I2805=0)),"?IN_FOCUS",IF(J2805&lt;=2,"?ACTIVATED",IF(J2805&lt;&gt;"","?FAMILIAR",IF(F2805="NEW",IF(ISNA(VLOOKUP(E2805,#REF!,1,FALSE())),"?TYPE_IDENTIFIABLE","?REFERENTIAL"),"_")))))</f>
        <v> </v>
      </c>
      <c r="H2805" s="25" t="str">
        <f>IF(J2805&lt;&gt;1,"",IF(I2805="SBJ","CB","?"))</f>
        <v> </v>
      </c>
      <c r="I2805" s="26" t="str">
        <f>IF(OR(E2805="",E2805="!!!",F2805="NEW"),"",INDEX(B2804:B$2,-1+SUMPRODUCT(MAX(ROW(E2804:E$2)*(E2805=E2804:E$2)))))</f>
        <v> </v>
      </c>
      <c r="J2805" s="26" t="str">
        <f>IF(OR(E2805="",E2805="!!!",F2805="NEW"),"",COUNTBLANK(OFFSET(A$1,,,SUMPRODUCT(MAX(ROW(E$2:E2805)*(E2805=E$2:E2805)))))-COUNTBLANK(OFFSET(A$1,,,SUMPRODUCT(MAX(ROW(E$1:E2804)*(E2=E$1:E2804))))))</f>
        <v> </v>
      </c>
      <c r="K2805" s="26" t="str">
        <f>IF(OR(E2805="",E2805="!!!",F2805="NEW"),"",INDEX(J$1:J2804,SUMPRODUCT(MAX(ROW(E$1:E2804)*(E2805=E$1:E2804)))))</f>
        <v> </v>
      </c>
      <c r="L2805" s="27"/>
    </row>
    <row r="2806" spans="1:12">
      <c r="A2806" s="20" t="s">
        <v>1485</v>
      </c>
      <c r="E2806" s="22">
        <f>IF(D2806="?OLD","!!!","")</f>
        <v/>
      </c>
      <c r="F2806" s="23" t="str">
        <f>IF(OR(E2806="",E2806="!!!"),"",IF(NOT(ISNA(VLOOKUP(E2806,E$1:E2805,1,FALSE()))),"OLD",IF(AND(E2806&lt;&gt;"",E2806&lt;&gt;"!!!"),"NEW","")))</f>
        <v> </v>
      </c>
      <c r="G2806" s="24" t="str">
        <f>IF(OR(E2806="",E2806="!!!"),"",IF(OR(J2806=0,AND(J2806=1,K2806=1),AND(J2806=1,I2806="SBJ"),AND(J2806=1,I2806=0)),"?IN_FOCUS",IF(J2806&lt;=2,"?ACTIVATED",IF(J2806&lt;&gt;"","?FAMILIAR",IF(F2806="NEW",IF(ISNA(VLOOKUP(E2806,#REF!,1,FALSE())),"?TYPE_IDENTIFIABLE","?REFERENTIAL"),"_")))))</f>
        <v> </v>
      </c>
      <c r="H2806" s="25" t="str">
        <f>IF(J2806&lt;&gt;1,"",IF(I2806="SBJ","CB","?"))</f>
        <v> </v>
      </c>
      <c r="I2806" s="26" t="str">
        <f>IF(OR(E2806="",E2806="!!!",F2806="NEW"),"",INDEX(B2805:B$2,-1+SUMPRODUCT(MAX(ROW(E2805:E$2)*(E2806=E2805:E$2)))))</f>
        <v> </v>
      </c>
      <c r="J2806" s="26" t="str">
        <f>IF(OR(E2806="",E2806="!!!",F2806="NEW"),"",COUNTBLANK(OFFSET(A$1,,,SUMPRODUCT(MAX(ROW(E$2:E2806)*(E2806=E$2:E2806)))))-COUNTBLANK(OFFSET(A$1,,,SUMPRODUCT(MAX(ROW(E$1:E2805)*(E2=E$1:E2805))))))</f>
        <v> </v>
      </c>
      <c r="K2806" s="26" t="str">
        <f>IF(OR(E2806="",E2806="!!!",F2806="NEW"),"",INDEX(J$1:J2805,SUMPRODUCT(MAX(ROW(E$1:E2805)*(E2806=E$1:E2805)))))</f>
        <v> </v>
      </c>
      <c r="L2806" s="27"/>
    </row>
    <row r="2807" spans="1:12">
      <c r="A2807" s="20" t="s">
        <v>1866</v>
      </c>
      <c r="B2807" s="21" t="s">
        <v>1119</v>
      </c>
      <c r="C2807" s="21" t="s">
        <v>1041</v>
      </c>
      <c r="D2807" s="21" t="s">
        <v>1007</v>
      </c>
      <c r="E2807" s="22">
        <f>IF(D2807="?OLD","!!!","")</f>
        <v/>
      </c>
      <c r="F2807" s="23" t="str">
        <f>IF(OR(E2807="",E2807="!!!"),"",IF(NOT(ISNA(VLOOKUP(E2807,E$1:E2806,1,FALSE()))),"OLD",IF(AND(E2807&lt;&gt;"",E2807&lt;&gt;"!!!"),"NEW","")))</f>
        <v> </v>
      </c>
      <c r="G2807" s="24" t="str">
        <f>IF(OR(E2807="",E2807="!!!"),"",IF(OR(J2807=0,AND(J2807=1,K2807=1),AND(J2807=1,I2807="SBJ"),AND(J2807=1,I2807=0)),"?IN_FOCUS",IF(J2807&lt;=2,"?ACTIVATED",IF(J2807&lt;&gt;"","?FAMILIAR",IF(F2807="NEW",IF(ISNA(VLOOKUP(E2807,#REF!,1,FALSE())),"?TYPE_IDENTIFIABLE","?REFERENTIAL"),"_")))))</f>
        <v> </v>
      </c>
      <c r="H2807" s="25" t="str">
        <f>IF(J2807&lt;&gt;1,"",IF(I2807="SBJ","CB","?"))</f>
        <v> </v>
      </c>
      <c r="I2807" s="26" t="str">
        <f>IF(OR(E2807="",E2807="!!!",F2807="NEW"),"",INDEX(B2806:B$2,-1+SUMPRODUCT(MAX(ROW(E2806:E$2)*(E2807=E2806:E$2)))))</f>
        <v> </v>
      </c>
      <c r="J2807" s="26" t="str">
        <f>IF(OR(E2807="",E2807="!!!",F2807="NEW"),"",COUNTBLANK(OFFSET(A$1,,,SUMPRODUCT(MAX(ROW(E$2:E2807)*(E2807=E$2:E2807)))))-COUNTBLANK(OFFSET(A$1,,,SUMPRODUCT(MAX(ROW(E$1:E2806)*(E2=E$1:E2806))))))</f>
        <v> </v>
      </c>
      <c r="K2807" s="26" t="str">
        <f>IF(OR(E2807="",E2807="!!!",F2807="NEW"),"",INDEX(J$1:J2806,SUMPRODUCT(MAX(ROW(E$1:E2806)*(E2807=E$1:E2806)))))</f>
        <v> </v>
      </c>
      <c r="L2807" s="27"/>
    </row>
    <row r="2808" spans="1:12">
      <c r="A2808" s="20" t="s">
        <v>1387</v>
      </c>
      <c r="E2808" s="22">
        <f>IF(D2808="?OLD","!!!","")</f>
        <v/>
      </c>
      <c r="F2808" s="23" t="str">
        <f>IF(OR(E2808="",E2808="!!!"),"",IF(NOT(ISNA(VLOOKUP(E2808,E$1:E2807,1,FALSE()))),"OLD",IF(AND(E2808&lt;&gt;"",E2808&lt;&gt;"!!!"),"NEW","")))</f>
        <v> </v>
      </c>
      <c r="G2808" s="24" t="str">
        <f>IF(OR(E2808="",E2808="!!!"),"",IF(OR(J2808=0,AND(J2808=1,K2808=1),AND(J2808=1,I2808="SBJ"),AND(J2808=1,I2808=0)),"?IN_FOCUS",IF(J2808&lt;=2,"?ACTIVATED",IF(J2808&lt;&gt;"","?FAMILIAR",IF(F2808="NEW",IF(ISNA(VLOOKUP(E2808,#REF!,1,FALSE())),"?TYPE_IDENTIFIABLE","?REFERENTIAL"),"_")))))</f>
        <v> </v>
      </c>
      <c r="H2808" s="25" t="str">
        <f>IF(J2808&lt;&gt;1,"",IF(I2808="SBJ","CB","?"))</f>
        <v> </v>
      </c>
      <c r="I2808" s="26" t="str">
        <f>IF(OR(E2808="",E2808="!!!",F2808="NEW"),"",INDEX(B2807:B$2,-1+SUMPRODUCT(MAX(ROW(E2807:E$2)*(E2808=E2807:E$2)))))</f>
        <v> </v>
      </c>
      <c r="J2808" s="26" t="str">
        <f>IF(OR(E2808="",E2808="!!!",F2808="NEW"),"",COUNTBLANK(OFFSET(A$1,,,SUMPRODUCT(MAX(ROW(E$2:E2808)*(E2808=E$2:E2808)))))-COUNTBLANK(OFFSET(A$1,,,SUMPRODUCT(MAX(ROW(E$1:E2807)*(E2=E$1:E2807))))))</f>
        <v> </v>
      </c>
      <c r="K2808" s="26" t="str">
        <f>IF(OR(E2808="",E2808="!!!",F2808="NEW"),"",INDEX(J$1:J2807,SUMPRODUCT(MAX(ROW(E$1:E2807)*(E2808=E$1:E2807)))))</f>
        <v> </v>
      </c>
      <c r="L2808" s="27"/>
    </row>
    <row r="2809" spans="1:12">
      <c r="A2809" s="20" t="s">
        <v>1020</v>
      </c>
      <c r="E2809" s="22">
        <f>IF(D2809="?OLD","!!!","")</f>
        <v/>
      </c>
      <c r="F2809" s="23" t="str">
        <f>IF(OR(E2809="",E2809="!!!"),"",IF(NOT(ISNA(VLOOKUP(E2809,E$1:E2808,1,FALSE()))),"OLD",IF(AND(E2809&lt;&gt;"",E2809&lt;&gt;"!!!"),"NEW","")))</f>
        <v> </v>
      </c>
      <c r="G2809" s="24" t="str">
        <f>IF(OR(E2809="",E2809="!!!"),"",IF(OR(J2809=0,AND(J2809=1,K2809=1),AND(J2809=1,I2809="SBJ"),AND(J2809=1,I2809=0)),"?IN_FOCUS",IF(J2809&lt;=2,"?ACTIVATED",IF(J2809&lt;&gt;"","?FAMILIAR",IF(F2809="NEW",IF(ISNA(VLOOKUP(E2809,#REF!,1,FALSE())),"?TYPE_IDENTIFIABLE","?REFERENTIAL"),"_")))))</f>
        <v> </v>
      </c>
      <c r="H2809" s="25" t="str">
        <f>IF(J2809&lt;&gt;1,"",IF(I2809="SBJ","CB","?"))</f>
        <v> </v>
      </c>
      <c r="I2809" s="26" t="str">
        <f>IF(OR(E2809="",E2809="!!!",F2809="NEW"),"",INDEX(B2808:B$2,-1+SUMPRODUCT(MAX(ROW(E2808:E$2)*(E2809=E2808:E$2)))))</f>
        <v> </v>
      </c>
      <c r="J2809" s="26" t="str">
        <f>IF(OR(E2809="",E2809="!!!",F2809="NEW"),"",COUNTBLANK(OFFSET(A$1,,,SUMPRODUCT(MAX(ROW(E$2:E2809)*(E2809=E$2:E2809)))))-COUNTBLANK(OFFSET(A$1,,,SUMPRODUCT(MAX(ROW(E$1:E2808)*(E2=E$1:E2808))))))</f>
        <v> </v>
      </c>
      <c r="K2809" s="26" t="str">
        <f>IF(OR(E2809="",E2809="!!!",F2809="NEW"),"",INDEX(J$1:J2808,SUMPRODUCT(MAX(ROW(E$1:E2808)*(E2809=E$1:E2808)))))</f>
        <v> </v>
      </c>
      <c r="L2809" s="27"/>
    </row>
    <row r="2810" spans="1:12">
      <c r="A2810" s="20" t="s">
        <v>110</v>
      </c>
      <c r="E2810" s="22">
        <f>IF(D2810="?OLD","!!!","")</f>
        <v/>
      </c>
      <c r="F2810" s="23" t="str">
        <f>IF(OR(E2810="",E2810="!!!"),"",IF(NOT(ISNA(VLOOKUP(E2810,E$1:E2809,1,FALSE()))),"OLD",IF(AND(E2810&lt;&gt;"",E2810&lt;&gt;"!!!"),"NEW","")))</f>
        <v> </v>
      </c>
      <c r="G2810" s="24" t="str">
        <f>IF(OR(E2810="",E2810="!!!"),"",IF(OR(J2810=0,AND(J2810=1,K2810=1),AND(J2810=1,I2810="SBJ"),AND(J2810=1,I2810=0)),"?IN_FOCUS",IF(J2810&lt;=2,"?ACTIVATED",IF(J2810&lt;&gt;"","?FAMILIAR",IF(F2810="NEW",IF(ISNA(VLOOKUP(E2810,#REF!,1,FALSE())),"?TYPE_IDENTIFIABLE","?REFERENTIAL"),"_")))))</f>
        <v> </v>
      </c>
      <c r="H2810" s="25" t="str">
        <f>IF(J2810&lt;&gt;1,"",IF(I2810="SBJ","CB","?"))</f>
        <v> </v>
      </c>
      <c r="I2810" s="26" t="str">
        <f>IF(OR(E2810="",E2810="!!!",F2810="NEW"),"",INDEX(B2809:B$2,-1+SUMPRODUCT(MAX(ROW(E2809:E$2)*(E2810=E2809:E$2)))))</f>
        <v> </v>
      </c>
      <c r="J2810" s="26" t="str">
        <f>IF(OR(E2810="",E2810="!!!",F2810="NEW"),"",COUNTBLANK(OFFSET(A$1,,,SUMPRODUCT(MAX(ROW(E$2:E2810)*(E2810=E$2:E2810)))))-COUNTBLANK(OFFSET(A$1,,,SUMPRODUCT(MAX(ROW(E$1:E2809)*(E2=E$1:E2809))))))</f>
        <v> </v>
      </c>
      <c r="K2810" s="26" t="str">
        <f>IF(OR(E2810="",E2810="!!!",F2810="NEW"),"",INDEX(J$1:J2809,SUMPRODUCT(MAX(ROW(E$1:E2809)*(E2810=E$1:E2809)))))</f>
        <v> </v>
      </c>
      <c r="L2810" s="27"/>
    </row>
    <row r="2811" spans="1:12">
      <c r="A2811" s="20" t="s">
        <v>102</v>
      </c>
      <c r="B2811" s="21" t="s">
        <v>1029</v>
      </c>
      <c r="C2811" s="21" t="s">
        <v>1073</v>
      </c>
      <c r="D2811" s="21" t="s">
        <v>1007</v>
      </c>
      <c r="E2811" s="22">
        <f>IF(D2811="?OLD","!!!","")</f>
        <v/>
      </c>
      <c r="F2811" s="23" t="str">
        <f>IF(OR(E2811="",E2811="!!!"),"",IF(NOT(ISNA(VLOOKUP(E2811,E$1:E2810,1,FALSE()))),"OLD",IF(AND(E2811&lt;&gt;"",E2811&lt;&gt;"!!!"),"NEW","")))</f>
        <v> </v>
      </c>
      <c r="G2811" s="24" t="str">
        <f>IF(OR(E2811="",E2811="!!!"),"",IF(OR(J2811=0,AND(J2811=1,K2811=1),AND(J2811=1,I2811="SBJ"),AND(J2811=1,I2811=0)),"?IN_FOCUS",IF(J2811&lt;=2,"?ACTIVATED",IF(J2811&lt;&gt;"","?FAMILIAR",IF(F2811="NEW",IF(ISNA(VLOOKUP(E2811,#REF!,1,FALSE())),"?TYPE_IDENTIFIABLE","?REFERENTIAL"),"_")))))</f>
        <v> </v>
      </c>
      <c r="H2811" s="25" t="str">
        <f>IF(J2811&lt;&gt;1,"",IF(I2811="SBJ","CB","?"))</f>
        <v> </v>
      </c>
      <c r="I2811" s="26" t="str">
        <f>IF(OR(E2811="",E2811="!!!",F2811="NEW"),"",INDEX(B2810:B$2,-1+SUMPRODUCT(MAX(ROW(E2810:E$2)*(E2811=E2810:E$2)))))</f>
        <v> </v>
      </c>
      <c r="J2811" s="26" t="str">
        <f>IF(OR(E2811="",E2811="!!!",F2811="NEW"),"",COUNTBLANK(OFFSET(A$1,,,SUMPRODUCT(MAX(ROW(E$2:E2811)*(E2811=E$2:E2811)))))-COUNTBLANK(OFFSET(A$1,,,SUMPRODUCT(MAX(ROW(E$1:E2810)*(E2=E$1:E2810))))))</f>
        <v> </v>
      </c>
      <c r="K2811" s="26" t="str">
        <f>IF(OR(E2811="",E2811="!!!",F2811="NEW"),"",INDEX(J$1:J2810,SUMPRODUCT(MAX(ROW(E$1:E2810)*(E2811=E$1:E2810)))))</f>
        <v> </v>
      </c>
      <c r="L2811" s="27"/>
    </row>
    <row r="2812" spans="1:12">
      <c r="A2812" s="20" t="s">
        <v>1065</v>
      </c>
      <c r="B2812" s="21" t="s">
        <v>1120</v>
      </c>
      <c r="E2812" s="22">
        <f>IF(D2812="?OLD","!!!","")</f>
        <v/>
      </c>
      <c r="F2812" s="23" t="str">
        <f>IF(OR(E2812="",E2812="!!!"),"",IF(NOT(ISNA(VLOOKUP(E2812,E$1:E2811,1,FALSE()))),"OLD",IF(AND(E2812&lt;&gt;"",E2812&lt;&gt;"!!!"),"NEW","")))</f>
        <v> </v>
      </c>
      <c r="G2812" s="24" t="str">
        <f>IF(OR(E2812="",E2812="!!!"),"",IF(OR(J2812=0,AND(J2812=1,K2812=1),AND(J2812=1,I2812="SBJ"),AND(J2812=1,I2812=0)),"?IN_FOCUS",IF(J2812&lt;=2,"?ACTIVATED",IF(J2812&lt;&gt;"","?FAMILIAR",IF(F2812="NEW",IF(ISNA(VLOOKUP(E2812,#REF!,1,FALSE())),"?TYPE_IDENTIFIABLE","?REFERENTIAL"),"_")))))</f>
        <v> </v>
      </c>
      <c r="H2812" s="25" t="str">
        <f>IF(J2812&lt;&gt;1,"",IF(I2812="SBJ","CB","?"))</f>
        <v> </v>
      </c>
      <c r="I2812" s="26" t="str">
        <f>IF(OR(E2812="",E2812="!!!",F2812="NEW"),"",INDEX(B2811:B$2,-1+SUMPRODUCT(MAX(ROW(E2811:E$2)*(E2812=E2811:E$2)))))</f>
        <v> </v>
      </c>
      <c r="J2812" s="26" t="str">
        <f>IF(OR(E2812="",E2812="!!!",F2812="NEW"),"",COUNTBLANK(OFFSET(A$1,,,SUMPRODUCT(MAX(ROW(E$2:E2812)*(E2812=E$2:E2812)))))-COUNTBLANK(OFFSET(A$1,,,SUMPRODUCT(MAX(ROW(E$1:E2811)*(E2=E$1:E2811))))))</f>
        <v> </v>
      </c>
      <c r="K2812" s="26" t="str">
        <f>IF(OR(E2812="",E2812="!!!",F2812="NEW"),"",INDEX(J$1:J2811,SUMPRODUCT(MAX(ROW(E$1:E2811)*(E2812=E$1:E2811)))))</f>
        <v> </v>
      </c>
      <c r="L2812" s="27"/>
    </row>
    <row r="2813" spans="1:12">
      <c r="A2813" s="20" t="s">
        <v>1075</v>
      </c>
      <c r="E2813" s="22">
        <f>IF(D2813="?OLD","!!!","")</f>
        <v/>
      </c>
      <c r="F2813" s="23" t="str">
        <f>IF(OR(E2813="",E2813="!!!"),"",IF(NOT(ISNA(VLOOKUP(E2813,E$1:E2812,1,FALSE()))),"OLD",IF(AND(E2813&lt;&gt;"",E2813&lt;&gt;"!!!"),"NEW","")))</f>
        <v> </v>
      </c>
      <c r="G2813" s="24" t="str">
        <f>IF(OR(E2813="",E2813="!!!"),"",IF(OR(J2813=0,AND(J2813=1,K2813=1),AND(J2813=1,I2813="SBJ"),AND(J2813=1,I2813=0)),"?IN_FOCUS",IF(J2813&lt;=2,"?ACTIVATED",IF(J2813&lt;&gt;"","?FAMILIAR",IF(F2813="NEW",IF(ISNA(VLOOKUP(E2813,#REF!,1,FALSE())),"?TYPE_IDENTIFIABLE","?REFERENTIAL"),"_")))))</f>
        <v> </v>
      </c>
      <c r="H2813" s="25" t="str">
        <f>IF(J2813&lt;&gt;1,"",IF(I2813="SBJ","CB","?"))</f>
        <v> </v>
      </c>
      <c r="I2813" s="26" t="str">
        <f>IF(OR(E2813="",E2813="!!!",F2813="NEW"),"",INDEX(B2812:B$2,-1+SUMPRODUCT(MAX(ROW(E2812:E$2)*(E2813=E2812:E$2)))))</f>
        <v> </v>
      </c>
      <c r="J2813" s="26" t="str">
        <f>IF(OR(E2813="",E2813="!!!",F2813="NEW"),"",COUNTBLANK(OFFSET(A$1,,,SUMPRODUCT(MAX(ROW(E$2:E2813)*(E2813=E$2:E2813)))))-COUNTBLANK(OFFSET(A$1,,,SUMPRODUCT(MAX(ROW(E$1:E2812)*(E2=E$1:E2812))))))</f>
        <v> </v>
      </c>
      <c r="K2813" s="26" t="str">
        <f>IF(OR(E2813="",E2813="!!!",F2813="NEW"),"",INDEX(J$1:J2812,SUMPRODUCT(MAX(ROW(E$1:E2812)*(E2813=E$1:E2812)))))</f>
        <v> </v>
      </c>
      <c r="L2813" s="27"/>
    </row>
    <row r="2814" spans="1:12">
      <c r="A2814" s="20" t="s">
        <v>1250</v>
      </c>
      <c r="E2814" s="22">
        <f>IF(D2814="?OLD","!!!","")</f>
        <v/>
      </c>
      <c r="F2814" s="23" t="str">
        <f>IF(OR(E2814="",E2814="!!!"),"",IF(NOT(ISNA(VLOOKUP(E2814,E$1:E2813,1,FALSE()))),"OLD",IF(AND(E2814&lt;&gt;"",E2814&lt;&gt;"!!!"),"NEW","")))</f>
        <v> </v>
      </c>
      <c r="G2814" s="24" t="str">
        <f>IF(OR(E2814="",E2814="!!!"),"",IF(OR(J2814=0,AND(J2814=1,K2814=1),AND(J2814=1,I2814="SBJ"),AND(J2814=1,I2814=0)),"?IN_FOCUS",IF(J2814&lt;=2,"?ACTIVATED",IF(J2814&lt;&gt;"","?FAMILIAR",IF(F2814="NEW",IF(ISNA(VLOOKUP(E2814,#REF!,1,FALSE())),"?TYPE_IDENTIFIABLE","?REFERENTIAL"),"_")))))</f>
        <v> </v>
      </c>
      <c r="H2814" s="25" t="str">
        <f>IF(J2814&lt;&gt;1,"",IF(I2814="SBJ","CB","?"))</f>
        <v> </v>
      </c>
      <c r="I2814" s="26" t="str">
        <f>IF(OR(E2814="",E2814="!!!",F2814="NEW"),"",INDEX(B2813:B$2,-1+SUMPRODUCT(MAX(ROW(E2813:E$2)*(E2814=E2813:E$2)))))</f>
        <v> </v>
      </c>
      <c r="J2814" s="26" t="str">
        <f>IF(OR(E2814="",E2814="!!!",F2814="NEW"),"",COUNTBLANK(OFFSET(A$1,,,SUMPRODUCT(MAX(ROW(E$2:E2814)*(E2814=E$2:E2814)))))-COUNTBLANK(OFFSET(A$1,,,SUMPRODUCT(MAX(ROW(E$1:E2813)*(E2=E$1:E2813))))))</f>
        <v> </v>
      </c>
      <c r="K2814" s="26" t="str">
        <f>IF(OR(E2814="",E2814="!!!",F2814="NEW"),"",INDEX(J$1:J2813,SUMPRODUCT(MAX(ROW(E$1:E2813)*(E2814=E$1:E2813)))))</f>
        <v> </v>
      </c>
      <c r="L2814" s="27"/>
    </row>
    <row r="2815" spans="1:12">
      <c r="A2815" s="20" t="s">
        <v>1867</v>
      </c>
      <c r="E2815" s="22">
        <f>IF(D2815="?OLD","!!!","")</f>
        <v/>
      </c>
      <c r="F2815" s="23" t="str">
        <f>IF(OR(E2815="",E2815="!!!"),"",IF(NOT(ISNA(VLOOKUP(E2815,E$1:E2814,1,FALSE()))),"OLD",IF(AND(E2815&lt;&gt;"",E2815&lt;&gt;"!!!"),"NEW","")))</f>
        <v> </v>
      </c>
      <c r="G2815" s="24" t="str">
        <f>IF(OR(E2815="",E2815="!!!"),"",IF(OR(J2815=0,AND(J2815=1,K2815=1),AND(J2815=1,I2815="SBJ"),AND(J2815=1,I2815=0)),"?IN_FOCUS",IF(J2815&lt;=2,"?ACTIVATED",IF(J2815&lt;&gt;"","?FAMILIAR",IF(F2815="NEW",IF(ISNA(VLOOKUP(E2815,#REF!,1,FALSE())),"?TYPE_IDENTIFIABLE","?REFERENTIAL"),"_")))))</f>
        <v> </v>
      </c>
      <c r="H2815" s="25" t="str">
        <f>IF(J2815&lt;&gt;1,"",IF(I2815="SBJ","CB","?"))</f>
        <v> </v>
      </c>
      <c r="I2815" s="26" t="str">
        <f>IF(OR(E2815="",E2815="!!!",F2815="NEW"),"",INDEX(B2814:B$2,-1+SUMPRODUCT(MAX(ROW(E2814:E$2)*(E2815=E2814:E$2)))))</f>
        <v> </v>
      </c>
      <c r="J2815" s="26" t="str">
        <f>IF(OR(E2815="",E2815="!!!",F2815="NEW"),"",COUNTBLANK(OFFSET(A$1,,,SUMPRODUCT(MAX(ROW(E$2:E2815)*(E2815=E$2:E2815)))))-COUNTBLANK(OFFSET(A$1,,,SUMPRODUCT(MAX(ROW(E$1:E2814)*(E2=E$1:E2814))))))</f>
        <v> </v>
      </c>
      <c r="K2815" s="26" t="str">
        <f>IF(OR(E2815="",E2815="!!!",F2815="NEW"),"",INDEX(J$1:J2814,SUMPRODUCT(MAX(ROW(E$1:E2814)*(E2815=E$1:E2814)))))</f>
        <v> </v>
      </c>
      <c r="L2815" s="27"/>
    </row>
    <row r="2816" spans="1:12">
      <c r="A2816" s="20" t="s">
        <v>1023</v>
      </c>
      <c r="E2816" s="22">
        <f>IF(D2816="?OLD","!!!","")</f>
        <v/>
      </c>
      <c r="F2816" s="23" t="str">
        <f>IF(OR(E2816="",E2816="!!!"),"",IF(NOT(ISNA(VLOOKUP(E2816,E$1:E2815,1,FALSE()))),"OLD",IF(AND(E2816&lt;&gt;"",E2816&lt;&gt;"!!!"),"NEW","")))</f>
        <v> </v>
      </c>
      <c r="G2816" s="24" t="str">
        <f>IF(OR(E2816="",E2816="!!!"),"",IF(OR(J2816=0,AND(J2816=1,K2816=1),AND(J2816=1,I2816="SBJ"),AND(J2816=1,I2816=0)),"?IN_FOCUS",IF(J2816&lt;=2,"?ACTIVATED",IF(J2816&lt;&gt;"","?FAMILIAR",IF(F2816="NEW",IF(ISNA(VLOOKUP(E2816,#REF!,1,FALSE())),"?TYPE_IDENTIFIABLE","?REFERENTIAL"),"_")))))</f>
        <v> </v>
      </c>
      <c r="H2816" s="25" t="str">
        <f>IF(J2816&lt;&gt;1,"",IF(I2816="SBJ","CB","?"))</f>
        <v> </v>
      </c>
      <c r="I2816" s="26" t="str">
        <f>IF(OR(E2816="",E2816="!!!",F2816="NEW"),"",INDEX(B2815:B$2,-1+SUMPRODUCT(MAX(ROW(E2815:E$2)*(E2816=E2815:E$2)))))</f>
        <v> </v>
      </c>
      <c r="J2816" s="26" t="str">
        <f>IF(OR(E2816="",E2816="!!!",F2816="NEW"),"",COUNTBLANK(OFFSET(A$1,,,SUMPRODUCT(MAX(ROW(E$2:E2816)*(E2816=E$2:E2816)))))-COUNTBLANK(OFFSET(A$1,,,SUMPRODUCT(MAX(ROW(E$1:E2815)*(E2=E$1:E2815))))))</f>
        <v> </v>
      </c>
      <c r="K2816" s="26" t="str">
        <f>IF(OR(E2816="",E2816="!!!",F2816="NEW"),"",INDEX(J$1:J2815,SUMPRODUCT(MAX(ROW(E$1:E2815)*(E2816=E$1:E2815)))))</f>
        <v> </v>
      </c>
      <c r="L2816" s="27"/>
    </row>
    <row r="2817" spans="1:12">
      <c r="A2817" s="20"/>
    </row>
    <row r="2818" spans="1:12">
      <c r="A2818" s="20" t="s">
        <v>1868</v>
      </c>
    </row>
    <row r="2819" spans="1:12">
      <c r="A2819" s="20" t="s">
        <v>1011</v>
      </c>
      <c r="E2819" s="22">
        <f>IF(D2819="?OLD","!!!","")</f>
        <v/>
      </c>
      <c r="F2819" s="23" t="str">
        <f>IF(OR(E2819="",E2819="!!!"),"",IF(NOT(ISNA(VLOOKUP(E2819,E$1:E2818,1,FALSE()))),"OLD",IF(AND(E2819&lt;&gt;"",E2819&lt;&gt;"!!!"),"NEW","")))</f>
        <v> </v>
      </c>
      <c r="G2819" s="24" t="str">
        <f>IF(OR(E2819="",E2819="!!!"),"",IF(OR(J2819=0,AND(J2819=1,K2819=1),AND(J2819=1,I2819="SBJ"),AND(J2819=1,I2819=0)),"?IN_FOCUS",IF(J2819&lt;=2,"?ACTIVATED",IF(J2819&lt;&gt;"","?FAMILIAR",IF(F2819="NEW",IF(ISNA(VLOOKUP(E2819,#REF!,1,FALSE())),"?TYPE_IDENTIFIABLE","?REFERENTIAL"),"_")))))</f>
        <v> </v>
      </c>
      <c r="H2819" s="25" t="str">
        <f>IF(J2819&lt;&gt;1,"",IF(I2819="SBJ","CB","?"))</f>
        <v> </v>
      </c>
      <c r="I2819" s="26" t="str">
        <f>IF(OR(E2819="",E2819="!!!",F2819="NEW"),"",INDEX(B2818:B$2,-1+SUMPRODUCT(MAX(ROW(E2818:E$2)*(E2819=E2818:E$2)))))</f>
        <v> </v>
      </c>
      <c r="J2819" s="26" t="str">
        <f>IF(OR(E2819="",E2819="!!!",F2819="NEW"),"",COUNTBLANK(OFFSET(A$1,,,SUMPRODUCT(MAX(ROW(E$2:E2819)*(E2819=E$2:E2819)))))-COUNTBLANK(OFFSET(A$1,,,SUMPRODUCT(MAX(ROW(E$1:E2818)*(E2=E$1:E2818))))))</f>
        <v> </v>
      </c>
      <c r="K2819" s="26" t="str">
        <f>IF(OR(E2819="",E2819="!!!",F2819="NEW"),"",INDEX(J$1:J2818,SUMPRODUCT(MAX(ROW(E$1:E2818)*(E2819=E$1:E2818)))))</f>
        <v> </v>
      </c>
      <c r="L2819" s="27"/>
    </row>
    <row r="2820" spans="1:12">
      <c r="A2820" s="20" t="s">
        <v>1269</v>
      </c>
      <c r="B2820" s="21" t="s">
        <v>1022</v>
      </c>
      <c r="C2820" s="21" t="s">
        <v>1059</v>
      </c>
      <c r="D2820" s="21" t="s">
        <v>1007</v>
      </c>
      <c r="E2820" s="22">
        <f>IF(D2820="?OLD","!!!","")</f>
        <v/>
      </c>
      <c r="F2820" s="23" t="str">
        <f>IF(OR(E2820="",E2820="!!!"),"",IF(NOT(ISNA(VLOOKUP(E2820,E$1:E2819,1,FALSE()))),"OLD",IF(AND(E2820&lt;&gt;"",E2820&lt;&gt;"!!!"),"NEW","")))</f>
        <v> </v>
      </c>
      <c r="G2820" s="24" t="str">
        <f>IF(OR(E2820="",E2820="!!!"),"",IF(OR(J2820=0,AND(J2820=1,K2820=1),AND(J2820=1,I2820="SBJ"),AND(J2820=1,I2820=0)),"?IN_FOCUS",IF(J2820&lt;=2,"?ACTIVATED",IF(J2820&lt;&gt;"","?FAMILIAR",IF(F2820="NEW",IF(ISNA(VLOOKUP(E2820,#REF!,1,FALSE())),"?TYPE_IDENTIFIABLE","?REFERENTIAL"),"_")))))</f>
        <v> </v>
      </c>
      <c r="H2820" s="25" t="str">
        <f>IF(J2820&lt;&gt;1,"",IF(I2820="SBJ","CB","?"))</f>
        <v> </v>
      </c>
      <c r="I2820" s="26" t="str">
        <f>IF(OR(E2820="",E2820="!!!",F2820="NEW"),"",INDEX(B2819:B$2,-1+SUMPRODUCT(MAX(ROW(E2819:E$2)*(E2820=E2819:E$2)))))</f>
        <v> </v>
      </c>
      <c r="J2820" s="26" t="str">
        <f>IF(OR(E2820="",E2820="!!!",F2820="NEW"),"",COUNTBLANK(OFFSET(A$1,,,SUMPRODUCT(MAX(ROW(E$2:E2820)*(E2820=E$2:E2820)))))-COUNTBLANK(OFFSET(A$1,,,SUMPRODUCT(MAX(ROW(E$1:E2819)*(E2=E$1:E2819))))))</f>
        <v> </v>
      </c>
      <c r="K2820" s="26" t="str">
        <f>IF(OR(E2820="",E2820="!!!",F2820="NEW"),"",INDEX(J$1:J2819,SUMPRODUCT(MAX(ROW(E$1:E2819)*(E2820=E$1:E2819)))))</f>
        <v> </v>
      </c>
      <c r="L2820" s="27"/>
    </row>
    <row r="2821" spans="1:12">
      <c r="A2821" s="20" t="s">
        <v>1012</v>
      </c>
      <c r="B2821" s="21" t="s">
        <v>1050</v>
      </c>
      <c r="C2821" s="21" t="s">
        <v>1017</v>
      </c>
      <c r="D2821" s="21" t="s">
        <v>1007</v>
      </c>
      <c r="E2821" s="22">
        <f>IF(D2821="?OLD","!!!","")</f>
        <v/>
      </c>
      <c r="F2821" s="23" t="str">
        <f>IF(OR(E2821="",E2821="!!!"),"",IF(NOT(ISNA(VLOOKUP(E2821,E$1:E2820,1,FALSE()))),"OLD",IF(AND(E2821&lt;&gt;"",E2821&lt;&gt;"!!!"),"NEW","")))</f>
        <v> </v>
      </c>
      <c r="G2821" s="24" t="str">
        <f>IF(OR(E2821="",E2821="!!!"),"",IF(OR(J2821=0,AND(J2821=1,K2821=1),AND(J2821=1,I2821="SBJ"),AND(J2821=1,I2821=0)),"?IN_FOCUS",IF(J2821&lt;=2,"?ACTIVATED",IF(J2821&lt;&gt;"","?FAMILIAR",IF(F2821="NEW",IF(ISNA(VLOOKUP(E2821,#REF!,1,FALSE())),"?TYPE_IDENTIFIABLE","?REFERENTIAL"),"_")))))</f>
        <v> </v>
      </c>
      <c r="H2821" s="25" t="str">
        <f>IF(J2821&lt;&gt;1,"",IF(I2821="SBJ","CB","?"))</f>
        <v> </v>
      </c>
      <c r="I2821" s="26" t="str">
        <f>IF(OR(E2821="",E2821="!!!",F2821="NEW"),"",INDEX(B2820:B$2,-1+SUMPRODUCT(MAX(ROW(E2820:E$2)*(E2821=E2820:E$2)))))</f>
        <v> </v>
      </c>
      <c r="J2821" s="26" t="str">
        <f>IF(OR(E2821="",E2821="!!!",F2821="NEW"),"",COUNTBLANK(OFFSET(A$1,,,SUMPRODUCT(MAX(ROW(E$2:E2821)*(E2821=E$2:E2821)))))-COUNTBLANK(OFFSET(A$1,,,SUMPRODUCT(MAX(ROW(E$1:E2820)*(E2=E$1:E2820))))))</f>
        <v> </v>
      </c>
      <c r="K2821" s="26" t="str">
        <f>IF(OR(E2821="",E2821="!!!",F2821="NEW"),"",INDEX(J$1:J2820,SUMPRODUCT(MAX(ROW(E$1:E2820)*(E2821=E$1:E2820)))))</f>
        <v> </v>
      </c>
      <c r="L2821" s="27"/>
    </row>
    <row r="2822" spans="1:12">
      <c r="A2822" s="20" t="s">
        <v>1164</v>
      </c>
      <c r="E2822" s="22">
        <f>IF(D2822="?OLD","!!!","")</f>
        <v/>
      </c>
      <c r="F2822" s="23" t="str">
        <f>IF(OR(E2822="",E2822="!!!"),"",IF(NOT(ISNA(VLOOKUP(E2822,E$1:E2821,1,FALSE()))),"OLD",IF(AND(E2822&lt;&gt;"",E2822&lt;&gt;"!!!"),"NEW","")))</f>
        <v> </v>
      </c>
      <c r="G2822" s="24" t="str">
        <f>IF(OR(E2822="",E2822="!!!"),"",IF(OR(J2822=0,AND(J2822=1,K2822=1),AND(J2822=1,I2822="SBJ"),AND(J2822=1,I2822=0)),"?IN_FOCUS",IF(J2822&lt;=2,"?ACTIVATED",IF(J2822&lt;&gt;"","?FAMILIAR",IF(F2822="NEW",IF(ISNA(VLOOKUP(E2822,#REF!,1,FALSE())),"?TYPE_IDENTIFIABLE","?REFERENTIAL"),"_")))))</f>
        <v> </v>
      </c>
      <c r="H2822" s="25" t="str">
        <f>IF(J2822&lt;&gt;1,"",IF(I2822="SBJ","CB","?"))</f>
        <v> </v>
      </c>
      <c r="I2822" s="26" t="str">
        <f>IF(OR(E2822="",E2822="!!!",F2822="NEW"),"",INDEX(B2821:B$2,-1+SUMPRODUCT(MAX(ROW(E2821:E$2)*(E2822=E2821:E$2)))))</f>
        <v> </v>
      </c>
      <c r="J2822" s="26" t="str">
        <f>IF(OR(E2822="",E2822="!!!",F2822="NEW"),"",COUNTBLANK(OFFSET(A$1,,,SUMPRODUCT(MAX(ROW(E$2:E2822)*(E2822=E$2:E2822)))))-COUNTBLANK(OFFSET(A$1,,,SUMPRODUCT(MAX(ROW(E$1:E2821)*(E2=E$1:E2821))))))</f>
        <v> </v>
      </c>
      <c r="K2822" s="26" t="str">
        <f>IF(OR(E2822="",E2822="!!!",F2822="NEW"),"",INDEX(J$1:J2821,SUMPRODUCT(MAX(ROW(E$1:E2821)*(E2822=E$1:E2821)))))</f>
        <v> </v>
      </c>
      <c r="L2822" s="27"/>
    </row>
    <row r="2823" spans="1:12">
      <c r="A2823" s="20" t="s">
        <v>1869</v>
      </c>
      <c r="E2823" s="22">
        <f>IF(D2823="?OLD","!!!","")</f>
        <v/>
      </c>
      <c r="F2823" s="23" t="str">
        <f>IF(OR(E2823="",E2823="!!!"),"",IF(NOT(ISNA(VLOOKUP(E2823,E$1:E2822,1,FALSE()))),"OLD",IF(AND(E2823&lt;&gt;"",E2823&lt;&gt;"!!!"),"NEW","")))</f>
        <v> </v>
      </c>
      <c r="G2823" s="24" t="str">
        <f>IF(OR(E2823="",E2823="!!!"),"",IF(OR(J2823=0,AND(J2823=1,K2823=1),AND(J2823=1,I2823="SBJ"),AND(J2823=1,I2823=0)),"?IN_FOCUS",IF(J2823&lt;=2,"?ACTIVATED",IF(J2823&lt;&gt;"","?FAMILIAR",IF(F2823="NEW",IF(ISNA(VLOOKUP(E2823,#REF!,1,FALSE())),"?TYPE_IDENTIFIABLE","?REFERENTIAL"),"_")))))</f>
        <v> </v>
      </c>
      <c r="H2823" s="25" t="str">
        <f>IF(J2823&lt;&gt;1,"",IF(I2823="SBJ","CB","?"))</f>
        <v> </v>
      </c>
      <c r="I2823" s="26" t="str">
        <f>IF(OR(E2823="",E2823="!!!",F2823="NEW"),"",INDEX(B2822:B$2,-1+SUMPRODUCT(MAX(ROW(E2822:E$2)*(E2823=E2822:E$2)))))</f>
        <v> </v>
      </c>
      <c r="J2823" s="26" t="str">
        <f>IF(OR(E2823="",E2823="!!!",F2823="NEW"),"",COUNTBLANK(OFFSET(A$1,,,SUMPRODUCT(MAX(ROW(E$2:E2823)*(E2823=E$2:E2823)))))-COUNTBLANK(OFFSET(A$1,,,SUMPRODUCT(MAX(ROW(E$1:E2822)*(E2=E$1:E2822))))))</f>
        <v> </v>
      </c>
      <c r="K2823" s="26" t="str">
        <f>IF(OR(E2823="",E2823="!!!",F2823="NEW"),"",INDEX(J$1:J2822,SUMPRODUCT(MAX(ROW(E$1:E2822)*(E2823=E$1:E2822)))))</f>
        <v> </v>
      </c>
      <c r="L2823" s="27"/>
    </row>
    <row r="2824" spans="1:12">
      <c r="A2824" s="20" t="s">
        <v>1299</v>
      </c>
      <c r="E2824" s="22">
        <f>IF(D2824="?OLD","!!!","")</f>
        <v/>
      </c>
      <c r="F2824" s="23" t="str">
        <f>IF(OR(E2824="",E2824="!!!"),"",IF(NOT(ISNA(VLOOKUP(E2824,E$1:E2823,1,FALSE()))),"OLD",IF(AND(E2824&lt;&gt;"",E2824&lt;&gt;"!!!"),"NEW","")))</f>
        <v> </v>
      </c>
      <c r="G2824" s="24" t="str">
        <f>IF(OR(E2824="",E2824="!!!"),"",IF(OR(J2824=0,AND(J2824=1,K2824=1),AND(J2824=1,I2824="SBJ"),AND(J2824=1,I2824=0)),"?IN_FOCUS",IF(J2824&lt;=2,"?ACTIVATED",IF(J2824&lt;&gt;"","?FAMILIAR",IF(F2824="NEW",IF(ISNA(VLOOKUP(E2824,#REF!,1,FALSE())),"?TYPE_IDENTIFIABLE","?REFERENTIAL"),"_")))))</f>
        <v> </v>
      </c>
      <c r="H2824" s="25" t="str">
        <f>IF(J2824&lt;&gt;1,"",IF(I2824="SBJ","CB","?"))</f>
        <v> </v>
      </c>
      <c r="I2824" s="26" t="str">
        <f>IF(OR(E2824="",E2824="!!!",F2824="NEW"),"",INDEX(B2823:B$2,-1+SUMPRODUCT(MAX(ROW(E2823:E$2)*(E2824=E2823:E$2)))))</f>
        <v> </v>
      </c>
      <c r="J2824" s="26" t="str">
        <f>IF(OR(E2824="",E2824="!!!",F2824="NEW"),"",COUNTBLANK(OFFSET(A$1,,,SUMPRODUCT(MAX(ROW(E$2:E2824)*(E2824=E$2:E2824)))))-COUNTBLANK(OFFSET(A$1,,,SUMPRODUCT(MAX(ROW(E$1:E2823)*(E2=E$1:E2823))))))</f>
        <v> </v>
      </c>
      <c r="K2824" s="26" t="str">
        <f>IF(OR(E2824="",E2824="!!!",F2824="NEW"),"",INDEX(J$1:J2823,SUMPRODUCT(MAX(ROW(E$1:E2823)*(E2824=E$1:E2823)))))</f>
        <v> </v>
      </c>
      <c r="L2824" s="27"/>
    </row>
    <row r="2825" spans="1:12">
      <c r="A2825" s="20" t="s">
        <v>1312</v>
      </c>
      <c r="E2825" s="22">
        <f>IF(D2825="?OLD","!!!","")</f>
        <v/>
      </c>
      <c r="F2825" s="23" t="str">
        <f>IF(OR(E2825="",E2825="!!!"),"",IF(NOT(ISNA(VLOOKUP(E2825,E$1:E2824,1,FALSE()))),"OLD",IF(AND(E2825&lt;&gt;"",E2825&lt;&gt;"!!!"),"NEW","")))</f>
        <v> </v>
      </c>
      <c r="G2825" s="24" t="str">
        <f>IF(OR(E2825="",E2825="!!!"),"",IF(OR(J2825=0,AND(J2825=1,K2825=1),AND(J2825=1,I2825="SBJ"),AND(J2825=1,I2825=0)),"?IN_FOCUS",IF(J2825&lt;=2,"?ACTIVATED",IF(J2825&lt;&gt;"","?FAMILIAR",IF(F2825="NEW",IF(ISNA(VLOOKUP(E2825,#REF!,1,FALSE())),"?TYPE_IDENTIFIABLE","?REFERENTIAL"),"_")))))</f>
        <v> </v>
      </c>
      <c r="H2825" s="25" t="str">
        <f>IF(J2825&lt;&gt;1,"",IF(I2825="SBJ","CB","?"))</f>
        <v> </v>
      </c>
      <c r="I2825" s="26" t="str">
        <f>IF(OR(E2825="",E2825="!!!",F2825="NEW"),"",INDEX(B2824:B$2,-1+SUMPRODUCT(MAX(ROW(E2824:E$2)*(E2825=E2824:E$2)))))</f>
        <v> </v>
      </c>
      <c r="J2825" s="26" t="str">
        <f>IF(OR(E2825="",E2825="!!!",F2825="NEW"),"",COUNTBLANK(OFFSET(A$1,,,SUMPRODUCT(MAX(ROW(E$2:E2825)*(E2825=E$2:E2825)))))-COUNTBLANK(OFFSET(A$1,,,SUMPRODUCT(MAX(ROW(E$1:E2824)*(E2=E$1:E2824))))))</f>
        <v> </v>
      </c>
      <c r="K2825" s="26" t="str">
        <f>IF(OR(E2825="",E2825="!!!",F2825="NEW"),"",INDEX(J$1:J2824,SUMPRODUCT(MAX(ROW(E$1:E2824)*(E2825=E$1:E2824)))))</f>
        <v> </v>
      </c>
      <c r="L2825" s="27"/>
    </row>
    <row r="2826" spans="1:12">
      <c r="A2826" s="20" t="s">
        <v>1870</v>
      </c>
      <c r="E2826" s="22">
        <f>IF(D2826="?OLD","!!!","")</f>
        <v/>
      </c>
      <c r="F2826" s="23" t="str">
        <f>IF(OR(E2826="",E2826="!!!"),"",IF(NOT(ISNA(VLOOKUP(E2826,E$1:E2825,1,FALSE()))),"OLD",IF(AND(E2826&lt;&gt;"",E2826&lt;&gt;"!!!"),"NEW","")))</f>
        <v> </v>
      </c>
      <c r="G2826" s="24" t="str">
        <f>IF(OR(E2826="",E2826="!!!"),"",IF(OR(J2826=0,AND(J2826=1,K2826=1),AND(J2826=1,I2826="SBJ"),AND(J2826=1,I2826=0)),"?IN_FOCUS",IF(J2826&lt;=2,"?ACTIVATED",IF(J2826&lt;&gt;"","?FAMILIAR",IF(F2826="NEW",IF(ISNA(VLOOKUP(E2826,#REF!,1,FALSE())),"?TYPE_IDENTIFIABLE","?REFERENTIAL"),"_")))))</f>
        <v> </v>
      </c>
      <c r="H2826" s="25" t="str">
        <f>IF(J2826&lt;&gt;1,"",IF(I2826="SBJ","CB","?"))</f>
        <v> </v>
      </c>
      <c r="I2826" s="26" t="str">
        <f>IF(OR(E2826="",E2826="!!!",F2826="NEW"),"",INDEX(B2825:B$2,-1+SUMPRODUCT(MAX(ROW(E2825:E$2)*(E2826=E2825:E$2)))))</f>
        <v> </v>
      </c>
      <c r="J2826" s="26" t="str">
        <f>IF(OR(E2826="",E2826="!!!",F2826="NEW"),"",COUNTBLANK(OFFSET(A$1,,,SUMPRODUCT(MAX(ROW(E$2:E2826)*(E2826=E$2:E2826)))))-COUNTBLANK(OFFSET(A$1,,,SUMPRODUCT(MAX(ROW(E$1:E2825)*(E2=E$1:E2825))))))</f>
        <v> </v>
      </c>
      <c r="K2826" s="26" t="str">
        <f>IF(OR(E2826="",E2826="!!!",F2826="NEW"),"",INDEX(J$1:J2825,SUMPRODUCT(MAX(ROW(E$1:E2825)*(E2826=E$1:E2825)))))</f>
        <v> </v>
      </c>
      <c r="L2826" s="27"/>
    </row>
    <row r="2827" spans="1:12">
      <c r="A2827" s="20" t="s">
        <v>1137</v>
      </c>
      <c r="E2827" s="22">
        <f>IF(D2827="?OLD","!!!","")</f>
        <v/>
      </c>
      <c r="F2827" s="23" t="str">
        <f>IF(OR(E2827="",E2827="!!!"),"",IF(NOT(ISNA(VLOOKUP(E2827,E$1:E2826,1,FALSE()))),"OLD",IF(AND(E2827&lt;&gt;"",E2827&lt;&gt;"!!!"),"NEW","")))</f>
        <v> </v>
      </c>
      <c r="G2827" s="24" t="str">
        <f>IF(OR(E2827="",E2827="!!!"),"",IF(OR(J2827=0,AND(J2827=1,K2827=1),AND(J2827=1,I2827="SBJ"),AND(J2827=1,I2827=0)),"?IN_FOCUS",IF(J2827&lt;=2,"?ACTIVATED",IF(J2827&lt;&gt;"","?FAMILIAR",IF(F2827="NEW",IF(ISNA(VLOOKUP(E2827,#REF!,1,FALSE())),"?TYPE_IDENTIFIABLE","?REFERENTIAL"),"_")))))</f>
        <v> </v>
      </c>
      <c r="H2827" s="25" t="str">
        <f>IF(J2827&lt;&gt;1,"",IF(I2827="SBJ","CB","?"))</f>
        <v> </v>
      </c>
      <c r="I2827" s="26" t="str">
        <f>IF(OR(E2827="",E2827="!!!",F2827="NEW"),"",INDEX(B2826:B$2,-1+SUMPRODUCT(MAX(ROW(E2826:E$2)*(E2827=E2826:E$2)))))</f>
        <v> </v>
      </c>
      <c r="J2827" s="26" t="str">
        <f>IF(OR(E2827="",E2827="!!!",F2827="NEW"),"",COUNTBLANK(OFFSET(A$1,,,SUMPRODUCT(MAX(ROW(E$2:E2827)*(E2827=E$2:E2827)))))-COUNTBLANK(OFFSET(A$1,,,SUMPRODUCT(MAX(ROW(E$1:E2826)*(E2=E$1:E2826))))))</f>
        <v> </v>
      </c>
      <c r="K2827" s="26" t="str">
        <f>IF(OR(E2827="",E2827="!!!",F2827="NEW"),"",INDEX(J$1:J2826,SUMPRODUCT(MAX(ROW(E$1:E2826)*(E2827=E$1:E2826)))))</f>
        <v> </v>
      </c>
      <c r="L2827" s="27"/>
    </row>
    <row r="2828" spans="1:12">
      <c r="A2828" s="20" t="s">
        <v>1583</v>
      </c>
      <c r="E2828" s="22">
        <f>IF(D2828="?OLD","!!!","")</f>
        <v/>
      </c>
      <c r="F2828" s="23" t="str">
        <f>IF(OR(E2828="",E2828="!!!"),"",IF(NOT(ISNA(VLOOKUP(E2828,E$1:E2827,1,FALSE()))),"OLD",IF(AND(E2828&lt;&gt;"",E2828&lt;&gt;"!!!"),"NEW","")))</f>
        <v> </v>
      </c>
      <c r="G2828" s="24" t="str">
        <f>IF(OR(E2828="",E2828="!!!"),"",IF(OR(J2828=0,AND(J2828=1,K2828=1),AND(J2828=1,I2828="SBJ"),AND(J2828=1,I2828=0)),"?IN_FOCUS",IF(J2828&lt;=2,"?ACTIVATED",IF(J2828&lt;&gt;"","?FAMILIAR",IF(F2828="NEW",IF(ISNA(VLOOKUP(E2828,#REF!,1,FALSE())),"?TYPE_IDENTIFIABLE","?REFERENTIAL"),"_")))))</f>
        <v> </v>
      </c>
      <c r="H2828" s="25" t="str">
        <f>IF(J2828&lt;&gt;1,"",IF(I2828="SBJ","CB","?"))</f>
        <v> </v>
      </c>
      <c r="I2828" s="26" t="str">
        <f>IF(OR(E2828="",E2828="!!!",F2828="NEW"),"",INDEX(B2827:B$2,-1+SUMPRODUCT(MAX(ROW(E2827:E$2)*(E2828=E2827:E$2)))))</f>
        <v> </v>
      </c>
      <c r="J2828" s="26" t="str">
        <f>IF(OR(E2828="",E2828="!!!",F2828="NEW"),"",COUNTBLANK(OFFSET(A$1,,,SUMPRODUCT(MAX(ROW(E$2:E2828)*(E2828=E$2:E2828)))))-COUNTBLANK(OFFSET(A$1,,,SUMPRODUCT(MAX(ROW(E$1:E2827)*(E2=E$1:E2827))))))</f>
        <v> </v>
      </c>
      <c r="K2828" s="26" t="str">
        <f>IF(OR(E2828="",E2828="!!!",F2828="NEW"),"",INDEX(J$1:J2827,SUMPRODUCT(MAX(ROW(E$1:E2827)*(E2828=E$1:E2827)))))</f>
        <v> </v>
      </c>
      <c r="L2828" s="27"/>
    </row>
    <row r="2829" spans="1:12">
      <c r="A2829" s="20" t="s">
        <v>256</v>
      </c>
      <c r="E2829" s="22">
        <f>IF(D2829="?OLD","!!!","")</f>
        <v/>
      </c>
      <c r="F2829" s="23" t="str">
        <f>IF(OR(E2829="",E2829="!!!"),"",IF(NOT(ISNA(VLOOKUP(E2829,E$1:E2828,1,FALSE()))),"OLD",IF(AND(E2829&lt;&gt;"",E2829&lt;&gt;"!!!"),"NEW","")))</f>
        <v> </v>
      </c>
      <c r="G2829" s="24" t="str">
        <f>IF(OR(E2829="",E2829="!!!"),"",IF(OR(J2829=0,AND(J2829=1,K2829=1),AND(J2829=1,I2829="SBJ"),AND(J2829=1,I2829=0)),"?IN_FOCUS",IF(J2829&lt;=2,"?ACTIVATED",IF(J2829&lt;&gt;"","?FAMILIAR",IF(F2829="NEW",IF(ISNA(VLOOKUP(E2829,#REF!,1,FALSE())),"?TYPE_IDENTIFIABLE","?REFERENTIAL"),"_")))))</f>
        <v> </v>
      </c>
      <c r="H2829" s="25" t="str">
        <f>IF(J2829&lt;&gt;1,"",IF(I2829="SBJ","CB","?"))</f>
        <v> </v>
      </c>
      <c r="I2829" s="26" t="str">
        <f>IF(OR(E2829="",E2829="!!!",F2829="NEW"),"",INDEX(B2828:B$2,-1+SUMPRODUCT(MAX(ROW(E2828:E$2)*(E2829=E2828:E$2)))))</f>
        <v> </v>
      </c>
      <c r="J2829" s="26" t="str">
        <f>IF(OR(E2829="",E2829="!!!",F2829="NEW"),"",COUNTBLANK(OFFSET(A$1,,,SUMPRODUCT(MAX(ROW(E$2:E2829)*(E2829=E$2:E2829)))))-COUNTBLANK(OFFSET(A$1,,,SUMPRODUCT(MAX(ROW(E$1:E2828)*(E2=E$1:E2828))))))</f>
        <v> </v>
      </c>
      <c r="K2829" s="26" t="str">
        <f>IF(OR(E2829="",E2829="!!!",F2829="NEW"),"",INDEX(J$1:J2828,SUMPRODUCT(MAX(ROW(E$1:E2828)*(E2829=E$1:E2828)))))</f>
        <v> </v>
      </c>
      <c r="L2829" s="27"/>
    </row>
    <row r="2830" spans="1:12">
      <c r="A2830" s="20" t="s">
        <v>1014</v>
      </c>
      <c r="E2830" s="22">
        <f>IF(D2830="?OLD","!!!","")</f>
        <v/>
      </c>
      <c r="F2830" s="23" t="str">
        <f>IF(OR(E2830="",E2830="!!!"),"",IF(NOT(ISNA(VLOOKUP(E2830,E$1:E2829,1,FALSE()))),"OLD",IF(AND(E2830&lt;&gt;"",E2830&lt;&gt;"!!!"),"NEW","")))</f>
        <v> </v>
      </c>
      <c r="G2830" s="24" t="str">
        <f>IF(OR(E2830="",E2830="!!!"),"",IF(OR(J2830=0,AND(J2830=1,K2830=1),AND(J2830=1,I2830="SBJ"),AND(J2830=1,I2830=0)),"?IN_FOCUS",IF(J2830&lt;=2,"?ACTIVATED",IF(J2830&lt;&gt;"","?FAMILIAR",IF(F2830="NEW",IF(ISNA(VLOOKUP(E2830,#REF!,1,FALSE())),"?TYPE_IDENTIFIABLE","?REFERENTIAL"),"_")))))</f>
        <v> </v>
      </c>
      <c r="H2830" s="25" t="str">
        <f>IF(J2830&lt;&gt;1,"",IF(I2830="SBJ","CB","?"))</f>
        <v> </v>
      </c>
      <c r="I2830" s="26" t="str">
        <f>IF(OR(E2830="",E2830="!!!",F2830="NEW"),"",INDEX(B2829:B$2,-1+SUMPRODUCT(MAX(ROW(E2829:E$2)*(E2830=E2829:E$2)))))</f>
        <v> </v>
      </c>
      <c r="J2830" s="26" t="str">
        <f>IF(OR(E2830="",E2830="!!!",F2830="NEW"),"",COUNTBLANK(OFFSET(A$1,,,SUMPRODUCT(MAX(ROW(E$2:E2830)*(E2830=E$2:E2830)))))-COUNTBLANK(OFFSET(A$1,,,SUMPRODUCT(MAX(ROW(E$1:E2829)*(E2=E$1:E2829))))))</f>
        <v> </v>
      </c>
      <c r="K2830" s="26" t="str">
        <f>IF(OR(E2830="",E2830="!!!",F2830="NEW"),"",INDEX(J$1:J2829,SUMPRODUCT(MAX(ROW(E$1:E2829)*(E2830=E$1:E2829)))))</f>
        <v> </v>
      </c>
      <c r="L2830" s="27"/>
    </row>
    <row r="2831" spans="1:12">
      <c r="A2831" s="20" t="s">
        <v>1224</v>
      </c>
      <c r="B2831" s="21" t="s">
        <v>1187</v>
      </c>
      <c r="C2831" s="21" t="s">
        <v>1082</v>
      </c>
      <c r="D2831" s="21" t="s">
        <v>1007</v>
      </c>
      <c r="E2831" s="22">
        <f>IF(D2831="?OLD","!!!","")</f>
        <v/>
      </c>
      <c r="F2831" s="23" t="str">
        <f>IF(OR(E2831="",E2831="!!!"),"",IF(NOT(ISNA(VLOOKUP(E2831,E$1:E2830,1,FALSE()))),"OLD",IF(AND(E2831&lt;&gt;"",E2831&lt;&gt;"!!!"),"NEW","")))</f>
        <v> </v>
      </c>
      <c r="G2831" s="24" t="str">
        <f>IF(OR(E2831="",E2831="!!!"),"",IF(OR(J2831=0,AND(J2831=1,K2831=1),AND(J2831=1,I2831="SBJ"),AND(J2831=1,I2831=0)),"?IN_FOCUS",IF(J2831&lt;=2,"?ACTIVATED",IF(J2831&lt;&gt;"","?FAMILIAR",IF(F2831="NEW",IF(ISNA(VLOOKUP(E2831,#REF!,1,FALSE())),"?TYPE_IDENTIFIABLE","?REFERENTIAL"),"_")))))</f>
        <v> </v>
      </c>
      <c r="H2831" s="25" t="str">
        <f>IF(J2831&lt;&gt;1,"",IF(I2831="SBJ","CB","?"))</f>
        <v> </v>
      </c>
      <c r="I2831" s="26" t="str">
        <f>IF(OR(E2831="",E2831="!!!",F2831="NEW"),"",INDEX(B2830:B$2,-1+SUMPRODUCT(MAX(ROW(E2830:E$2)*(E2831=E2830:E$2)))))</f>
        <v> </v>
      </c>
      <c r="J2831" s="26" t="str">
        <f>IF(OR(E2831="",E2831="!!!",F2831="NEW"),"",COUNTBLANK(OFFSET(A$1,,,SUMPRODUCT(MAX(ROW(E$2:E2831)*(E2831=E$2:E2831)))))-COUNTBLANK(OFFSET(A$1,,,SUMPRODUCT(MAX(ROW(E$1:E2830)*(E2=E$1:E2830))))))</f>
        <v> </v>
      </c>
      <c r="K2831" s="26" t="str">
        <f>IF(OR(E2831="",E2831="!!!",F2831="NEW"),"",INDEX(J$1:J2830,SUMPRODUCT(MAX(ROW(E$1:E2830)*(E2831=E$1:E2830)))))</f>
        <v> </v>
      </c>
      <c r="L2831" s="27"/>
    </row>
    <row r="2832" spans="1:12">
      <c r="A2832" s="20" t="s">
        <v>1023</v>
      </c>
      <c r="E2832" s="22">
        <f>IF(D2832="?OLD","!!!","")</f>
        <v/>
      </c>
      <c r="F2832" s="23" t="str">
        <f>IF(OR(E2832="",E2832="!!!"),"",IF(NOT(ISNA(VLOOKUP(E2832,E$1:E2831,1,FALSE()))),"OLD",IF(AND(E2832&lt;&gt;"",E2832&lt;&gt;"!!!"),"NEW","")))</f>
        <v> </v>
      </c>
      <c r="G2832" s="24" t="str">
        <f>IF(OR(E2832="",E2832="!!!"),"",IF(OR(J2832=0,AND(J2832=1,K2832=1),AND(J2832=1,I2832="SBJ"),AND(J2832=1,I2832=0)),"?IN_FOCUS",IF(J2832&lt;=2,"?ACTIVATED",IF(J2832&lt;&gt;"","?FAMILIAR",IF(F2832="NEW",IF(ISNA(VLOOKUP(E2832,#REF!,1,FALSE())),"?TYPE_IDENTIFIABLE","?REFERENTIAL"),"_")))))</f>
        <v> </v>
      </c>
      <c r="H2832" s="25" t="str">
        <f>IF(J2832&lt;&gt;1,"",IF(I2832="SBJ","CB","?"))</f>
        <v> </v>
      </c>
      <c r="I2832" s="26" t="str">
        <f>IF(OR(E2832="",E2832="!!!",F2832="NEW"),"",INDEX(B2831:B$2,-1+SUMPRODUCT(MAX(ROW(E2831:E$2)*(E2832=E2831:E$2)))))</f>
        <v> </v>
      </c>
      <c r="J2832" s="26" t="str">
        <f>IF(OR(E2832="",E2832="!!!",F2832="NEW"),"",COUNTBLANK(OFFSET(A$1,,,SUMPRODUCT(MAX(ROW(E$2:E2832)*(E2832=E$2:E2832)))))-COUNTBLANK(OFFSET(A$1,,,SUMPRODUCT(MAX(ROW(E$1:E2831)*(E2=E$1:E2831))))))</f>
        <v> </v>
      </c>
      <c r="K2832" s="26" t="str">
        <f>IF(OR(E2832="",E2832="!!!",F2832="NEW"),"",INDEX(J$1:J2831,SUMPRODUCT(MAX(ROW(E$1:E2831)*(E2832=E$1:E2831)))))</f>
        <v> </v>
      </c>
      <c r="L2832" s="27"/>
    </row>
    <row r="2833" spans="1:12">
      <c r="A2833" s="20"/>
    </row>
    <row r="2834" spans="1:12">
      <c r="A2834" s="20" t="s">
        <v>1871</v>
      </c>
    </row>
    <row r="2835" spans="1:12">
      <c r="A2835" s="20" t="s">
        <v>1872</v>
      </c>
      <c r="E2835" s="22">
        <f>IF(D2835="?OLD","!!!","")</f>
        <v/>
      </c>
      <c r="F2835" s="23" t="str">
        <f>IF(OR(E2835="",E2835="!!!"),"",IF(NOT(ISNA(VLOOKUP(E2835,E$1:E2834,1,FALSE()))),"OLD",IF(AND(E2835&lt;&gt;"",E2835&lt;&gt;"!!!"),"NEW","")))</f>
        <v> </v>
      </c>
      <c r="G2835" s="24" t="str">
        <f>IF(OR(E2835="",E2835="!!!"),"",IF(OR(J2835=0,AND(J2835=1,K2835=1),AND(J2835=1,I2835="SBJ"),AND(J2835=1,I2835=0)),"?IN_FOCUS",IF(J2835&lt;=2,"?ACTIVATED",IF(J2835&lt;&gt;"","?FAMILIAR",IF(F2835="NEW",IF(ISNA(VLOOKUP(E2835,#REF!,1,FALSE())),"?TYPE_IDENTIFIABLE","?REFERENTIAL"),"_")))))</f>
        <v> </v>
      </c>
      <c r="H2835" s="25" t="str">
        <f>IF(J2835&lt;&gt;1,"",IF(I2835="SBJ","CB","?"))</f>
        <v> </v>
      </c>
      <c r="I2835" s="26" t="str">
        <f>IF(OR(E2835="",E2835="!!!",F2835="NEW"),"",INDEX(B2834:B$2,-1+SUMPRODUCT(MAX(ROW(E2834:E$2)*(E2835=E2834:E$2)))))</f>
        <v> </v>
      </c>
      <c r="J2835" s="26" t="str">
        <f>IF(OR(E2835="",E2835="!!!",F2835="NEW"),"",COUNTBLANK(OFFSET(A$1,,,SUMPRODUCT(MAX(ROW(E$2:E2835)*(E2835=E$2:E2835)))))-COUNTBLANK(OFFSET(A$1,,,SUMPRODUCT(MAX(ROW(E$1:E2834)*(E2=E$1:E2834))))))</f>
        <v> </v>
      </c>
      <c r="K2835" s="26" t="str">
        <f>IF(OR(E2835="",E2835="!!!",F2835="NEW"),"",INDEX(J$1:J2834,SUMPRODUCT(MAX(ROW(E$1:E2834)*(E2835=E$1:E2834)))))</f>
        <v> </v>
      </c>
      <c r="L2835" s="27"/>
    </row>
    <row r="2836" spans="1:12">
      <c r="A2836" s="20" t="s">
        <v>1014</v>
      </c>
      <c r="E2836" s="22">
        <f>IF(D2836="?OLD","!!!","")</f>
        <v/>
      </c>
      <c r="F2836" s="23" t="str">
        <f>IF(OR(E2836="",E2836="!!!"),"",IF(NOT(ISNA(VLOOKUP(E2836,E$1:E2835,1,FALSE()))),"OLD",IF(AND(E2836&lt;&gt;"",E2836&lt;&gt;"!!!"),"NEW","")))</f>
        <v> </v>
      </c>
      <c r="G2836" s="24" t="str">
        <f>IF(OR(E2836="",E2836="!!!"),"",IF(OR(J2836=0,AND(J2836=1,K2836=1),AND(J2836=1,I2836="SBJ"),AND(J2836=1,I2836=0)),"?IN_FOCUS",IF(J2836&lt;=2,"?ACTIVATED",IF(J2836&lt;&gt;"","?FAMILIAR",IF(F2836="NEW",IF(ISNA(VLOOKUP(E2836,#REF!,1,FALSE())),"?TYPE_IDENTIFIABLE","?REFERENTIAL"),"_")))))</f>
        <v> </v>
      </c>
      <c r="H2836" s="25" t="str">
        <f>IF(J2836&lt;&gt;1,"",IF(I2836="SBJ","CB","?"))</f>
        <v> </v>
      </c>
      <c r="I2836" s="26" t="str">
        <f>IF(OR(E2836="",E2836="!!!",F2836="NEW"),"",INDEX(B2835:B$2,-1+SUMPRODUCT(MAX(ROW(E2835:E$2)*(E2836=E2835:E$2)))))</f>
        <v> </v>
      </c>
      <c r="J2836" s="26" t="str">
        <f>IF(OR(E2836="",E2836="!!!",F2836="NEW"),"",COUNTBLANK(OFFSET(A$1,,,SUMPRODUCT(MAX(ROW(E$2:E2836)*(E2836=E$2:E2836)))))-COUNTBLANK(OFFSET(A$1,,,SUMPRODUCT(MAX(ROW(E$1:E2835)*(E2=E$1:E2835))))))</f>
        <v> </v>
      </c>
      <c r="K2836" s="26" t="str">
        <f>IF(OR(E2836="",E2836="!!!",F2836="NEW"),"",INDEX(J$1:J2835,SUMPRODUCT(MAX(ROW(E$1:E2835)*(E2836=E$1:E2835)))))</f>
        <v> </v>
      </c>
      <c r="L2836" s="27"/>
    </row>
    <row r="2837" spans="1:12">
      <c r="A2837" s="20" t="s">
        <v>1140</v>
      </c>
      <c r="B2837" s="21" t="s">
        <v>1050</v>
      </c>
      <c r="C2837" s="21" t="s">
        <v>1073</v>
      </c>
      <c r="D2837" s="21" t="s">
        <v>1007</v>
      </c>
      <c r="E2837" s="22">
        <f>IF(D2837="?OLD","!!!","")</f>
        <v/>
      </c>
      <c r="F2837" s="23" t="str">
        <f>IF(OR(E2837="",E2837="!!!"),"",IF(NOT(ISNA(VLOOKUP(E2837,E$1:E2836,1,FALSE()))),"OLD",IF(AND(E2837&lt;&gt;"",E2837&lt;&gt;"!!!"),"NEW","")))</f>
        <v> </v>
      </c>
      <c r="G2837" s="24" t="str">
        <f>IF(OR(E2837="",E2837="!!!"),"",IF(OR(J2837=0,AND(J2837=1,K2837=1),AND(J2837=1,I2837="SBJ"),AND(J2837=1,I2837=0)),"?IN_FOCUS",IF(J2837&lt;=2,"?ACTIVATED",IF(J2837&lt;&gt;"","?FAMILIAR",IF(F2837="NEW",IF(ISNA(VLOOKUP(E2837,#REF!,1,FALSE())),"?TYPE_IDENTIFIABLE","?REFERENTIAL"),"_")))))</f>
        <v> </v>
      </c>
      <c r="H2837" s="25" t="str">
        <f>IF(J2837&lt;&gt;1,"",IF(I2837="SBJ","CB","?"))</f>
        <v> </v>
      </c>
      <c r="I2837" s="26" t="str">
        <f>IF(OR(E2837="",E2837="!!!",F2837="NEW"),"",INDEX(B2836:B$2,-1+SUMPRODUCT(MAX(ROW(E2836:E$2)*(E2837=E2836:E$2)))))</f>
        <v> </v>
      </c>
      <c r="J2837" s="26" t="str">
        <f>IF(OR(E2837="",E2837="!!!",F2837="NEW"),"",COUNTBLANK(OFFSET(A$1,,,SUMPRODUCT(MAX(ROW(E$2:E2837)*(E2837=E$2:E2837)))))-COUNTBLANK(OFFSET(A$1,,,SUMPRODUCT(MAX(ROW(E$1:E2836)*(E2=E$1:E2836))))))</f>
        <v> </v>
      </c>
      <c r="K2837" s="26" t="str">
        <f>IF(OR(E2837="",E2837="!!!",F2837="NEW"),"",INDEX(J$1:J2836,SUMPRODUCT(MAX(ROW(E$1:E2836)*(E2837=E$1:E2836)))))</f>
        <v> </v>
      </c>
      <c r="L2837" s="27"/>
    </row>
    <row r="2838" spans="1:12">
      <c r="A2838" s="20" t="s">
        <v>1018</v>
      </c>
      <c r="E2838" s="22">
        <f>IF(D2838="?OLD","!!!","")</f>
        <v/>
      </c>
      <c r="F2838" s="23" t="str">
        <f>IF(OR(E2838="",E2838="!!!"),"",IF(NOT(ISNA(VLOOKUP(E2838,E$1:E2837,1,FALSE()))),"OLD",IF(AND(E2838&lt;&gt;"",E2838&lt;&gt;"!!!"),"NEW","")))</f>
        <v> </v>
      </c>
      <c r="G2838" s="24" t="str">
        <f>IF(OR(E2838="",E2838="!!!"),"",IF(OR(J2838=0,AND(J2838=1,K2838=1),AND(J2838=1,I2838="SBJ"),AND(J2838=1,I2838=0)),"?IN_FOCUS",IF(J2838&lt;=2,"?ACTIVATED",IF(J2838&lt;&gt;"","?FAMILIAR",IF(F2838="NEW",IF(ISNA(VLOOKUP(E2838,#REF!,1,FALSE())),"?TYPE_IDENTIFIABLE","?REFERENTIAL"),"_")))))</f>
        <v> </v>
      </c>
      <c r="H2838" s="25" t="str">
        <f>IF(J2838&lt;&gt;1,"",IF(I2838="SBJ","CB","?"))</f>
        <v> </v>
      </c>
      <c r="I2838" s="26" t="str">
        <f>IF(OR(E2838="",E2838="!!!",F2838="NEW"),"",INDEX(B2837:B$2,-1+SUMPRODUCT(MAX(ROW(E2837:E$2)*(E2838=E2837:E$2)))))</f>
        <v> </v>
      </c>
      <c r="J2838" s="26" t="str">
        <f>IF(OR(E2838="",E2838="!!!",F2838="NEW"),"",COUNTBLANK(OFFSET(A$1,,,SUMPRODUCT(MAX(ROW(E$2:E2838)*(E2838=E$2:E2838)))))-COUNTBLANK(OFFSET(A$1,,,SUMPRODUCT(MAX(ROW(E$1:E2837)*(E2=E$1:E2837))))))</f>
        <v> </v>
      </c>
      <c r="K2838" s="26" t="str">
        <f>IF(OR(E2838="",E2838="!!!",F2838="NEW"),"",INDEX(J$1:J2837,SUMPRODUCT(MAX(ROW(E$1:E2837)*(E2838=E$1:E2837)))))</f>
        <v> </v>
      </c>
      <c r="L2838" s="27"/>
    </row>
    <row r="2839" spans="1:12">
      <c r="A2839" s="20" t="s">
        <v>1075</v>
      </c>
      <c r="E2839" s="22">
        <f>IF(D2839="?OLD","!!!","")</f>
        <v/>
      </c>
      <c r="F2839" s="23" t="str">
        <f>IF(OR(E2839="",E2839="!!!"),"",IF(NOT(ISNA(VLOOKUP(E2839,E$1:E2838,1,FALSE()))),"OLD",IF(AND(E2839&lt;&gt;"",E2839&lt;&gt;"!!!"),"NEW","")))</f>
        <v> </v>
      </c>
      <c r="G2839" s="24" t="str">
        <f>IF(OR(E2839="",E2839="!!!"),"",IF(OR(J2839=0,AND(J2839=1,K2839=1),AND(J2839=1,I2839="SBJ"),AND(J2839=1,I2839=0)),"?IN_FOCUS",IF(J2839&lt;=2,"?ACTIVATED",IF(J2839&lt;&gt;"","?FAMILIAR",IF(F2839="NEW",IF(ISNA(VLOOKUP(E2839,#REF!,1,FALSE())),"?TYPE_IDENTIFIABLE","?REFERENTIAL"),"_")))))</f>
        <v> </v>
      </c>
      <c r="H2839" s="25" t="str">
        <f>IF(J2839&lt;&gt;1,"",IF(I2839="SBJ","CB","?"))</f>
        <v> </v>
      </c>
      <c r="I2839" s="26" t="str">
        <f>IF(OR(E2839="",E2839="!!!",F2839="NEW"),"",INDEX(B2838:B$2,-1+SUMPRODUCT(MAX(ROW(E2838:E$2)*(E2839=E2838:E$2)))))</f>
        <v> </v>
      </c>
      <c r="J2839" s="26" t="str">
        <f>IF(OR(E2839="",E2839="!!!",F2839="NEW"),"",COUNTBLANK(OFFSET(A$1,,,SUMPRODUCT(MAX(ROW(E$2:E2839)*(E2839=E$2:E2839)))))-COUNTBLANK(OFFSET(A$1,,,SUMPRODUCT(MAX(ROW(E$1:E2838)*(E2=E$1:E2838))))))</f>
        <v> </v>
      </c>
      <c r="K2839" s="26" t="str">
        <f>IF(OR(E2839="",E2839="!!!",F2839="NEW"),"",INDEX(J$1:J2838,SUMPRODUCT(MAX(ROW(E$1:E2838)*(E2839=E$1:E2838)))))</f>
        <v> </v>
      </c>
      <c r="L2839" s="27"/>
    </row>
    <row r="2840" spans="1:12">
      <c r="A2840" s="20" t="s">
        <v>1324</v>
      </c>
      <c r="E2840" s="22">
        <f>IF(D2840="?OLD","!!!","")</f>
        <v/>
      </c>
      <c r="F2840" s="23" t="str">
        <f>IF(OR(E2840="",E2840="!!!"),"",IF(NOT(ISNA(VLOOKUP(E2840,E$1:E2839,1,FALSE()))),"OLD",IF(AND(E2840&lt;&gt;"",E2840&lt;&gt;"!!!"),"NEW","")))</f>
        <v> </v>
      </c>
      <c r="G2840" s="24" t="str">
        <f>IF(OR(E2840="",E2840="!!!"),"",IF(OR(J2840=0,AND(J2840=1,K2840=1),AND(J2840=1,I2840="SBJ"),AND(J2840=1,I2840=0)),"?IN_FOCUS",IF(J2840&lt;=2,"?ACTIVATED",IF(J2840&lt;&gt;"","?FAMILIAR",IF(F2840="NEW",IF(ISNA(VLOOKUP(E2840,#REF!,1,FALSE())),"?TYPE_IDENTIFIABLE","?REFERENTIAL"),"_")))))</f>
        <v> </v>
      </c>
      <c r="H2840" s="25" t="str">
        <f>IF(J2840&lt;&gt;1,"",IF(I2840="SBJ","CB","?"))</f>
        <v> </v>
      </c>
      <c r="I2840" s="26" t="str">
        <f>IF(OR(E2840="",E2840="!!!",F2840="NEW"),"",INDEX(B2839:B$2,-1+SUMPRODUCT(MAX(ROW(E2839:E$2)*(E2840=E2839:E$2)))))</f>
        <v> </v>
      </c>
      <c r="J2840" s="26" t="str">
        <f>IF(OR(E2840="",E2840="!!!",F2840="NEW"),"",COUNTBLANK(OFFSET(A$1,,,SUMPRODUCT(MAX(ROW(E$2:E2840)*(E2840=E$2:E2840)))))-COUNTBLANK(OFFSET(A$1,,,SUMPRODUCT(MAX(ROW(E$1:E2839)*(E2=E$1:E2839))))))</f>
        <v> </v>
      </c>
      <c r="K2840" s="26" t="str">
        <f>IF(OR(E2840="",E2840="!!!",F2840="NEW"),"",INDEX(J$1:J2839,SUMPRODUCT(MAX(ROW(E$1:E2839)*(E2840=E$1:E2839)))))</f>
        <v> </v>
      </c>
      <c r="L2840" s="27"/>
    </row>
    <row r="2841" spans="1:12">
      <c r="A2841" s="20" t="s">
        <v>1410</v>
      </c>
      <c r="B2841" s="21" t="s">
        <v>1005</v>
      </c>
      <c r="C2841" s="21" t="s">
        <v>1013</v>
      </c>
      <c r="D2841" s="21" t="s">
        <v>1007</v>
      </c>
      <c r="E2841" s="22">
        <f>IF(D2841="?OLD","!!!","")</f>
        <v/>
      </c>
      <c r="F2841" s="23" t="str">
        <f>IF(OR(E2841="",E2841="!!!"),"",IF(NOT(ISNA(VLOOKUP(E2841,E$1:E2840,1,FALSE()))),"OLD",IF(AND(E2841&lt;&gt;"",E2841&lt;&gt;"!!!"),"NEW","")))</f>
        <v> </v>
      </c>
      <c r="G2841" s="24" t="str">
        <f>IF(OR(E2841="",E2841="!!!"),"",IF(OR(J2841=0,AND(J2841=1,K2841=1),AND(J2841=1,I2841="SBJ"),AND(J2841=1,I2841=0)),"?IN_FOCUS",IF(J2841&lt;=2,"?ACTIVATED",IF(J2841&lt;&gt;"","?FAMILIAR",IF(F2841="NEW",IF(ISNA(VLOOKUP(E2841,#REF!,1,FALSE())),"?TYPE_IDENTIFIABLE","?REFERENTIAL"),"_")))))</f>
        <v> </v>
      </c>
      <c r="H2841" s="25" t="str">
        <f>IF(J2841&lt;&gt;1,"",IF(I2841="SBJ","CB","?"))</f>
        <v> </v>
      </c>
      <c r="I2841" s="26" t="str">
        <f>IF(OR(E2841="",E2841="!!!",F2841="NEW"),"",INDEX(B2840:B$2,-1+SUMPRODUCT(MAX(ROW(E2840:E$2)*(E2841=E2840:E$2)))))</f>
        <v> </v>
      </c>
      <c r="J2841" s="26" t="str">
        <f>IF(OR(E2841="",E2841="!!!",F2841="NEW"),"",COUNTBLANK(OFFSET(A$1,,,SUMPRODUCT(MAX(ROW(E$2:E2841)*(E2841=E$2:E2841)))))-COUNTBLANK(OFFSET(A$1,,,SUMPRODUCT(MAX(ROW(E$1:E2840)*(E2=E$1:E2840))))))</f>
        <v> </v>
      </c>
      <c r="K2841" s="26" t="str">
        <f>IF(OR(E2841="",E2841="!!!",F2841="NEW"),"",INDEX(J$1:J2840,SUMPRODUCT(MAX(ROW(E$1:E2840)*(E2841=E$1:E2840)))))</f>
        <v> </v>
      </c>
      <c r="L2841" s="27"/>
    </row>
    <row r="2842" spans="1:12">
      <c r="A2842" s="20" t="s">
        <v>1014</v>
      </c>
      <c r="E2842" s="22">
        <f>IF(D2842="?OLD","!!!","")</f>
        <v/>
      </c>
      <c r="F2842" s="23" t="str">
        <f>IF(OR(E2842="",E2842="!!!"),"",IF(NOT(ISNA(VLOOKUP(E2842,E$1:E2841,1,FALSE()))),"OLD",IF(AND(E2842&lt;&gt;"",E2842&lt;&gt;"!!!"),"NEW","")))</f>
        <v> </v>
      </c>
      <c r="G2842" s="24" t="str">
        <f>IF(OR(E2842="",E2842="!!!"),"",IF(OR(J2842=0,AND(J2842=1,K2842=1),AND(J2842=1,I2842="SBJ"),AND(J2842=1,I2842=0)),"?IN_FOCUS",IF(J2842&lt;=2,"?ACTIVATED",IF(J2842&lt;&gt;"","?FAMILIAR",IF(F2842="NEW",IF(ISNA(VLOOKUP(E2842,#REF!,1,FALSE())),"?TYPE_IDENTIFIABLE","?REFERENTIAL"),"_")))))</f>
        <v> </v>
      </c>
      <c r="H2842" s="25" t="str">
        <f>IF(J2842&lt;&gt;1,"",IF(I2842="SBJ","CB","?"))</f>
        <v> </v>
      </c>
      <c r="I2842" s="26" t="str">
        <f>IF(OR(E2842="",E2842="!!!",F2842="NEW"),"",INDEX(B2841:B$2,-1+SUMPRODUCT(MAX(ROW(E2841:E$2)*(E2842=E2841:E$2)))))</f>
        <v> </v>
      </c>
      <c r="J2842" s="26" t="str">
        <f>IF(OR(E2842="",E2842="!!!",F2842="NEW"),"",COUNTBLANK(OFFSET(A$1,,,SUMPRODUCT(MAX(ROW(E$2:E2842)*(E2842=E$2:E2842)))))-COUNTBLANK(OFFSET(A$1,,,SUMPRODUCT(MAX(ROW(E$1:E2841)*(E2=E$1:E2841))))))</f>
        <v> </v>
      </c>
      <c r="K2842" s="26" t="str">
        <f>IF(OR(E2842="",E2842="!!!",F2842="NEW"),"",INDEX(J$1:J2841,SUMPRODUCT(MAX(ROW(E$1:E2841)*(E2842=E$1:E2841)))))</f>
        <v> </v>
      </c>
      <c r="L2842" s="27"/>
    </row>
    <row r="2843" spans="1:12">
      <c r="A2843" s="20" t="s">
        <v>1020</v>
      </c>
      <c r="E2843" s="22">
        <f>IF(D2843="?OLD","!!!","")</f>
        <v/>
      </c>
      <c r="F2843" s="23" t="str">
        <f>IF(OR(E2843="",E2843="!!!"),"",IF(NOT(ISNA(VLOOKUP(E2843,E$1:E2842,1,FALSE()))),"OLD",IF(AND(E2843&lt;&gt;"",E2843&lt;&gt;"!!!"),"NEW","")))</f>
        <v> </v>
      </c>
      <c r="G2843" s="24" t="str">
        <f>IF(OR(E2843="",E2843="!!!"),"",IF(OR(J2843=0,AND(J2843=1,K2843=1),AND(J2843=1,I2843="SBJ"),AND(J2843=1,I2843=0)),"?IN_FOCUS",IF(J2843&lt;=2,"?ACTIVATED",IF(J2843&lt;&gt;"","?FAMILIAR",IF(F2843="NEW",IF(ISNA(VLOOKUP(E2843,#REF!,1,FALSE())),"?TYPE_IDENTIFIABLE","?REFERENTIAL"),"_")))))</f>
        <v> </v>
      </c>
      <c r="H2843" s="25" t="str">
        <f>IF(J2843&lt;&gt;1,"",IF(I2843="SBJ","CB","?"))</f>
        <v> </v>
      </c>
      <c r="I2843" s="26" t="str">
        <f>IF(OR(E2843="",E2843="!!!",F2843="NEW"),"",INDEX(B2842:B$2,-1+SUMPRODUCT(MAX(ROW(E2842:E$2)*(E2843=E2842:E$2)))))</f>
        <v> </v>
      </c>
      <c r="J2843" s="26" t="str">
        <f>IF(OR(E2843="",E2843="!!!",F2843="NEW"),"",COUNTBLANK(OFFSET(A$1,,,SUMPRODUCT(MAX(ROW(E$2:E2843)*(E2843=E$2:E2843)))))-COUNTBLANK(OFFSET(A$1,,,SUMPRODUCT(MAX(ROW(E$1:E2842)*(E2=E$1:E2842))))))</f>
        <v> </v>
      </c>
      <c r="K2843" s="26" t="str">
        <f>IF(OR(E2843="",E2843="!!!",F2843="NEW"),"",INDEX(J$1:J2842,SUMPRODUCT(MAX(ROW(E$1:E2842)*(E2843=E$1:E2842)))))</f>
        <v> </v>
      </c>
      <c r="L2843" s="27"/>
    </row>
    <row r="2844" spans="1:12">
      <c r="A2844" s="20" t="s">
        <v>1873</v>
      </c>
      <c r="B2844" s="21" t="s">
        <v>1022</v>
      </c>
      <c r="C2844" s="21" t="s">
        <v>1059</v>
      </c>
      <c r="D2844" s="21" t="s">
        <v>1007</v>
      </c>
      <c r="E2844" s="22">
        <f>IF(D2844="?OLD","!!!","")</f>
        <v/>
      </c>
      <c r="F2844" s="23" t="str">
        <f>IF(OR(E2844="",E2844="!!!"),"",IF(NOT(ISNA(VLOOKUP(E2844,E$1:E2843,1,FALSE()))),"OLD",IF(AND(E2844&lt;&gt;"",E2844&lt;&gt;"!!!"),"NEW","")))</f>
        <v> </v>
      </c>
      <c r="G2844" s="24" t="str">
        <f>IF(OR(E2844="",E2844="!!!"),"",IF(OR(J2844=0,AND(J2844=1,K2844=1),AND(J2844=1,I2844="SBJ"),AND(J2844=1,I2844=0)),"?IN_FOCUS",IF(J2844&lt;=2,"?ACTIVATED",IF(J2844&lt;&gt;"","?FAMILIAR",IF(F2844="NEW",IF(ISNA(VLOOKUP(E2844,#REF!,1,FALSE())),"?TYPE_IDENTIFIABLE","?REFERENTIAL"),"_")))))</f>
        <v> </v>
      </c>
      <c r="H2844" s="25" t="str">
        <f>IF(J2844&lt;&gt;1,"",IF(I2844="SBJ","CB","?"))</f>
        <v> </v>
      </c>
      <c r="I2844" s="26" t="str">
        <f>IF(OR(E2844="",E2844="!!!",F2844="NEW"),"",INDEX(B2843:B$2,-1+SUMPRODUCT(MAX(ROW(E2843:E$2)*(E2844=E2843:E$2)))))</f>
        <v> </v>
      </c>
      <c r="J2844" s="26" t="str">
        <f>IF(OR(E2844="",E2844="!!!",F2844="NEW"),"",COUNTBLANK(OFFSET(A$1,,,SUMPRODUCT(MAX(ROW(E$2:E2844)*(E2844=E$2:E2844)))))-COUNTBLANK(OFFSET(A$1,,,SUMPRODUCT(MAX(ROW(E$1:E2843)*(E2=E$1:E2843))))))</f>
        <v> </v>
      </c>
      <c r="K2844" s="26" t="str">
        <f>IF(OR(E2844="",E2844="!!!",F2844="NEW"),"",INDEX(J$1:J2843,SUMPRODUCT(MAX(ROW(E$1:E2843)*(E2844=E$1:E2843)))))</f>
        <v> </v>
      </c>
      <c r="L2844" s="27"/>
    </row>
    <row r="2845" spans="1:12">
      <c r="A2845" s="20" t="s">
        <v>1874</v>
      </c>
      <c r="B2845" s="21" t="s">
        <v>1005</v>
      </c>
      <c r="C2845" s="21" t="s">
        <v>1017</v>
      </c>
      <c r="D2845" s="21" t="s">
        <v>1007</v>
      </c>
      <c r="E2845" s="22">
        <f>IF(D2845="?OLD","!!!","")</f>
        <v/>
      </c>
      <c r="F2845" s="23" t="str">
        <f>IF(OR(E2845="",E2845="!!!"),"",IF(NOT(ISNA(VLOOKUP(E2845,E$1:E2844,1,FALSE()))),"OLD",IF(AND(E2845&lt;&gt;"",E2845&lt;&gt;"!!!"),"NEW","")))</f>
        <v> </v>
      </c>
      <c r="G2845" s="24" t="str">
        <f>IF(OR(E2845="",E2845="!!!"),"",IF(OR(J2845=0,AND(J2845=1,K2845=1),AND(J2845=1,I2845="SBJ"),AND(J2845=1,I2845=0)),"?IN_FOCUS",IF(J2845&lt;=2,"?ACTIVATED",IF(J2845&lt;&gt;"","?FAMILIAR",IF(F2845="NEW",IF(ISNA(VLOOKUP(E2845,#REF!,1,FALSE())),"?TYPE_IDENTIFIABLE","?REFERENTIAL"),"_")))))</f>
        <v> </v>
      </c>
      <c r="H2845" s="25" t="str">
        <f>IF(J2845&lt;&gt;1,"",IF(I2845="SBJ","CB","?"))</f>
        <v> </v>
      </c>
      <c r="I2845" s="26" t="str">
        <f>IF(OR(E2845="",E2845="!!!",F2845="NEW"),"",INDEX(B2844:B$2,-1+SUMPRODUCT(MAX(ROW(E2844:E$2)*(E2845=E2844:E$2)))))</f>
        <v> </v>
      </c>
      <c r="J2845" s="26" t="str">
        <f>IF(OR(E2845="",E2845="!!!",F2845="NEW"),"",COUNTBLANK(OFFSET(A$1,,,SUMPRODUCT(MAX(ROW(E$2:E2845)*(E2845=E$2:E2845)))))-COUNTBLANK(OFFSET(A$1,,,SUMPRODUCT(MAX(ROW(E$1:E2844)*(E2=E$1:E2844))))))</f>
        <v> </v>
      </c>
      <c r="K2845" s="26" t="str">
        <f>IF(OR(E2845="",E2845="!!!",F2845="NEW"),"",INDEX(J$1:J2844,SUMPRODUCT(MAX(ROW(E$1:E2844)*(E2845=E$1:E2844)))))</f>
        <v> </v>
      </c>
      <c r="L2845" s="27"/>
    </row>
    <row r="2846" spans="1:12">
      <c r="A2846" s="20" t="s">
        <v>1875</v>
      </c>
      <c r="E2846" s="22">
        <f>IF(D2846="?OLD","!!!","")</f>
        <v/>
      </c>
      <c r="F2846" s="23" t="str">
        <f>IF(OR(E2846="",E2846="!!!"),"",IF(NOT(ISNA(VLOOKUP(E2846,E$1:E2845,1,FALSE()))),"OLD",IF(AND(E2846&lt;&gt;"",E2846&lt;&gt;"!!!"),"NEW","")))</f>
        <v> </v>
      </c>
      <c r="G2846" s="24" t="str">
        <f>IF(OR(E2846="",E2846="!!!"),"",IF(OR(J2846=0,AND(J2846=1,K2846=1),AND(J2846=1,I2846="SBJ"),AND(J2846=1,I2846=0)),"?IN_FOCUS",IF(J2846&lt;=2,"?ACTIVATED",IF(J2846&lt;&gt;"","?FAMILIAR",IF(F2846="NEW",IF(ISNA(VLOOKUP(E2846,#REF!,1,FALSE())),"?TYPE_IDENTIFIABLE","?REFERENTIAL"),"_")))))</f>
        <v> </v>
      </c>
      <c r="H2846" s="25" t="str">
        <f>IF(J2846&lt;&gt;1,"",IF(I2846="SBJ","CB","?"))</f>
        <v> </v>
      </c>
      <c r="I2846" s="26" t="str">
        <f>IF(OR(E2846="",E2846="!!!",F2846="NEW"),"",INDEX(B2845:B$2,-1+SUMPRODUCT(MAX(ROW(E2845:E$2)*(E2846=E2845:E$2)))))</f>
        <v> </v>
      </c>
      <c r="J2846" s="26" t="str">
        <f>IF(OR(E2846="",E2846="!!!",F2846="NEW"),"",COUNTBLANK(OFFSET(A$1,,,SUMPRODUCT(MAX(ROW(E$2:E2846)*(E2846=E$2:E2846)))))-COUNTBLANK(OFFSET(A$1,,,SUMPRODUCT(MAX(ROW(E$1:E2845)*(E2=E$1:E2845))))))</f>
        <v> </v>
      </c>
      <c r="K2846" s="26" t="str">
        <f>IF(OR(E2846="",E2846="!!!",F2846="NEW"),"",INDEX(J$1:J2845,SUMPRODUCT(MAX(ROW(E$1:E2845)*(E2846=E$1:E2845)))))</f>
        <v> </v>
      </c>
      <c r="L2846" s="27"/>
    </row>
    <row r="2847" spans="1:12">
      <c r="A2847" s="20" t="s">
        <v>1018</v>
      </c>
      <c r="E2847" s="22">
        <f>IF(D2847="?OLD","!!!","")</f>
        <v/>
      </c>
      <c r="F2847" s="23" t="str">
        <f>IF(OR(E2847="",E2847="!!!"),"",IF(NOT(ISNA(VLOOKUP(E2847,E$1:E2846,1,FALSE()))),"OLD",IF(AND(E2847&lt;&gt;"",E2847&lt;&gt;"!!!"),"NEW","")))</f>
        <v> </v>
      </c>
      <c r="G2847" s="24" t="str">
        <f>IF(OR(E2847="",E2847="!!!"),"",IF(OR(J2847=0,AND(J2847=1,K2847=1),AND(J2847=1,I2847="SBJ"),AND(J2847=1,I2847=0)),"?IN_FOCUS",IF(J2847&lt;=2,"?ACTIVATED",IF(J2847&lt;&gt;"","?FAMILIAR",IF(F2847="NEW",IF(ISNA(VLOOKUP(E2847,#REF!,1,FALSE())),"?TYPE_IDENTIFIABLE","?REFERENTIAL"),"_")))))</f>
        <v> </v>
      </c>
      <c r="H2847" s="25" t="str">
        <f>IF(J2847&lt;&gt;1,"",IF(I2847="SBJ","CB","?"))</f>
        <v> </v>
      </c>
      <c r="I2847" s="26" t="str">
        <f>IF(OR(E2847="",E2847="!!!",F2847="NEW"),"",INDEX(B2846:B$2,-1+SUMPRODUCT(MAX(ROW(E2846:E$2)*(E2847=E2846:E$2)))))</f>
        <v> </v>
      </c>
      <c r="J2847" s="26" t="str">
        <f>IF(OR(E2847="",E2847="!!!",F2847="NEW"),"",COUNTBLANK(OFFSET(A$1,,,SUMPRODUCT(MAX(ROW(E$2:E2847)*(E2847=E$2:E2847)))))-COUNTBLANK(OFFSET(A$1,,,SUMPRODUCT(MAX(ROW(E$1:E2846)*(E2=E$1:E2846))))))</f>
        <v> </v>
      </c>
      <c r="K2847" s="26" t="str">
        <f>IF(OR(E2847="",E2847="!!!",F2847="NEW"),"",INDEX(J$1:J2846,SUMPRODUCT(MAX(ROW(E$1:E2846)*(E2847=E$1:E2846)))))</f>
        <v> </v>
      </c>
      <c r="L2847" s="27"/>
    </row>
    <row r="2848" spans="1:12">
      <c r="A2848" s="20" t="s">
        <v>1142</v>
      </c>
      <c r="E2848" s="22">
        <f>IF(D2848="?OLD","!!!","")</f>
        <v/>
      </c>
      <c r="F2848" s="23" t="str">
        <f>IF(OR(E2848="",E2848="!!!"),"",IF(NOT(ISNA(VLOOKUP(E2848,E$1:E2847,1,FALSE()))),"OLD",IF(AND(E2848&lt;&gt;"",E2848&lt;&gt;"!!!"),"NEW","")))</f>
        <v> </v>
      </c>
      <c r="G2848" s="24" t="str">
        <f>IF(OR(E2848="",E2848="!!!"),"",IF(OR(J2848=0,AND(J2848=1,K2848=1),AND(J2848=1,I2848="SBJ"),AND(J2848=1,I2848=0)),"?IN_FOCUS",IF(J2848&lt;=2,"?ACTIVATED",IF(J2848&lt;&gt;"","?FAMILIAR",IF(F2848="NEW",IF(ISNA(VLOOKUP(E2848,#REF!,1,FALSE())),"?TYPE_IDENTIFIABLE","?REFERENTIAL"),"_")))))</f>
        <v> </v>
      </c>
      <c r="H2848" s="25" t="str">
        <f>IF(J2848&lt;&gt;1,"",IF(I2848="SBJ","CB","?"))</f>
        <v> </v>
      </c>
      <c r="I2848" s="26" t="str">
        <f>IF(OR(E2848="",E2848="!!!",F2848="NEW"),"",INDEX(B2847:B$2,-1+SUMPRODUCT(MAX(ROW(E2847:E$2)*(E2848=E2847:E$2)))))</f>
        <v> </v>
      </c>
      <c r="J2848" s="26" t="str">
        <f>IF(OR(E2848="",E2848="!!!",F2848="NEW"),"",COUNTBLANK(OFFSET(A$1,,,SUMPRODUCT(MAX(ROW(E$2:E2848)*(E2848=E$2:E2848)))))-COUNTBLANK(OFFSET(A$1,,,SUMPRODUCT(MAX(ROW(E$1:E2847)*(E2=E$1:E2847))))))</f>
        <v> </v>
      </c>
      <c r="K2848" s="26" t="str">
        <f>IF(OR(E2848="",E2848="!!!",F2848="NEW"),"",INDEX(J$1:J2847,SUMPRODUCT(MAX(ROW(E$1:E2847)*(E2848=E$1:E2847)))))</f>
        <v> </v>
      </c>
      <c r="L2848" s="27"/>
    </row>
    <row r="2849" spans="1:12">
      <c r="A2849" s="20" t="s">
        <v>1199</v>
      </c>
      <c r="E2849" s="22">
        <f>IF(D2849="?OLD","!!!","")</f>
        <v/>
      </c>
      <c r="F2849" s="23" t="str">
        <f>IF(OR(E2849="",E2849="!!!"),"",IF(NOT(ISNA(VLOOKUP(E2849,E$1:E2848,1,FALSE()))),"OLD",IF(AND(E2849&lt;&gt;"",E2849&lt;&gt;"!!!"),"NEW","")))</f>
        <v> </v>
      </c>
      <c r="G2849" s="24" t="str">
        <f>IF(OR(E2849="",E2849="!!!"),"",IF(OR(J2849=0,AND(J2849=1,K2849=1),AND(J2849=1,I2849="SBJ"),AND(J2849=1,I2849=0)),"?IN_FOCUS",IF(J2849&lt;=2,"?ACTIVATED",IF(J2849&lt;&gt;"","?FAMILIAR",IF(F2849="NEW",IF(ISNA(VLOOKUP(E2849,#REF!,1,FALSE())),"?TYPE_IDENTIFIABLE","?REFERENTIAL"),"_")))))</f>
        <v> </v>
      </c>
      <c r="H2849" s="25" t="str">
        <f>IF(J2849&lt;&gt;1,"",IF(I2849="SBJ","CB","?"))</f>
        <v> </v>
      </c>
      <c r="I2849" s="26" t="str">
        <f>IF(OR(E2849="",E2849="!!!",F2849="NEW"),"",INDEX(B2848:B$2,-1+SUMPRODUCT(MAX(ROW(E2848:E$2)*(E2849=E2848:E$2)))))</f>
        <v> </v>
      </c>
      <c r="J2849" s="26" t="str">
        <f>IF(OR(E2849="",E2849="!!!",F2849="NEW"),"",COUNTBLANK(OFFSET(A$1,,,SUMPRODUCT(MAX(ROW(E$2:E2849)*(E2849=E$2:E2849)))))-COUNTBLANK(OFFSET(A$1,,,SUMPRODUCT(MAX(ROW(E$1:E2848)*(E2=E$1:E2848))))))</f>
        <v> </v>
      </c>
      <c r="K2849" s="26" t="str">
        <f>IF(OR(E2849="",E2849="!!!",F2849="NEW"),"",INDEX(J$1:J2848,SUMPRODUCT(MAX(ROW(E$1:E2848)*(E2849=E$1:E2848)))))</f>
        <v> </v>
      </c>
      <c r="L2849" s="27"/>
    </row>
    <row r="2850" spans="1:12">
      <c r="A2850" s="20" t="s">
        <v>1030</v>
      </c>
      <c r="E2850" s="22">
        <f>IF(D2850="?OLD","!!!","")</f>
        <v/>
      </c>
      <c r="F2850" s="23" t="str">
        <f>IF(OR(E2850="",E2850="!!!"),"",IF(NOT(ISNA(VLOOKUP(E2850,E$1:E2849,1,FALSE()))),"OLD",IF(AND(E2850&lt;&gt;"",E2850&lt;&gt;"!!!"),"NEW","")))</f>
        <v> </v>
      </c>
      <c r="G2850" s="24" t="str">
        <f>IF(OR(E2850="",E2850="!!!"),"",IF(OR(J2850=0,AND(J2850=1,K2850=1),AND(J2850=1,I2850="SBJ"),AND(J2850=1,I2850=0)),"?IN_FOCUS",IF(J2850&lt;=2,"?ACTIVATED",IF(J2850&lt;&gt;"","?FAMILIAR",IF(F2850="NEW",IF(ISNA(VLOOKUP(E2850,#REF!,1,FALSE())),"?TYPE_IDENTIFIABLE","?REFERENTIAL"),"_")))))</f>
        <v> </v>
      </c>
      <c r="H2850" s="25" t="str">
        <f>IF(J2850&lt;&gt;1,"",IF(I2850="SBJ","CB","?"))</f>
        <v> </v>
      </c>
      <c r="I2850" s="26" t="str">
        <f>IF(OR(E2850="",E2850="!!!",F2850="NEW"),"",INDEX(B2849:B$2,-1+SUMPRODUCT(MAX(ROW(E2849:E$2)*(E2850=E2849:E$2)))))</f>
        <v> </v>
      </c>
      <c r="J2850" s="26" t="str">
        <f>IF(OR(E2850="",E2850="!!!",F2850="NEW"),"",COUNTBLANK(OFFSET(A$1,,,SUMPRODUCT(MAX(ROW(E$2:E2850)*(E2850=E$2:E2850)))))-COUNTBLANK(OFFSET(A$1,,,SUMPRODUCT(MAX(ROW(E$1:E2849)*(E2=E$1:E2849))))))</f>
        <v> </v>
      </c>
      <c r="K2850" s="26" t="str">
        <f>IF(OR(E2850="",E2850="!!!",F2850="NEW"),"",INDEX(J$1:J2849,SUMPRODUCT(MAX(ROW(E$1:E2849)*(E2850=E$1:E2849)))))</f>
        <v> </v>
      </c>
      <c r="L2850" s="27"/>
    </row>
    <row r="2851" spans="1:12">
      <c r="A2851" s="20" t="s">
        <v>1020</v>
      </c>
      <c r="E2851" s="22">
        <f>IF(D2851="?OLD","!!!","")</f>
        <v/>
      </c>
      <c r="F2851" s="23" t="str">
        <f>IF(OR(E2851="",E2851="!!!"),"",IF(NOT(ISNA(VLOOKUP(E2851,E$1:E2850,1,FALSE()))),"OLD",IF(AND(E2851&lt;&gt;"",E2851&lt;&gt;"!!!"),"NEW","")))</f>
        <v> </v>
      </c>
      <c r="G2851" s="24" t="str">
        <f>IF(OR(E2851="",E2851="!!!"),"",IF(OR(J2851=0,AND(J2851=1,K2851=1),AND(J2851=1,I2851="SBJ"),AND(J2851=1,I2851=0)),"?IN_FOCUS",IF(J2851&lt;=2,"?ACTIVATED",IF(J2851&lt;&gt;"","?FAMILIAR",IF(F2851="NEW",IF(ISNA(VLOOKUP(E2851,#REF!,1,FALSE())),"?TYPE_IDENTIFIABLE","?REFERENTIAL"),"_")))))</f>
        <v> </v>
      </c>
      <c r="H2851" s="25" t="str">
        <f>IF(J2851&lt;&gt;1,"",IF(I2851="SBJ","CB","?"))</f>
        <v> </v>
      </c>
      <c r="I2851" s="26" t="str">
        <f>IF(OR(E2851="",E2851="!!!",F2851="NEW"),"",INDEX(B2850:B$2,-1+SUMPRODUCT(MAX(ROW(E2850:E$2)*(E2851=E2850:E$2)))))</f>
        <v> </v>
      </c>
      <c r="J2851" s="26" t="str">
        <f>IF(OR(E2851="",E2851="!!!",F2851="NEW"),"",COUNTBLANK(OFFSET(A$1,,,SUMPRODUCT(MAX(ROW(E$2:E2851)*(E2851=E$2:E2851)))))-COUNTBLANK(OFFSET(A$1,,,SUMPRODUCT(MAX(ROW(E$1:E2850)*(E2=E$1:E2850))))))</f>
        <v> </v>
      </c>
      <c r="K2851" s="26" t="str">
        <f>IF(OR(E2851="",E2851="!!!",F2851="NEW"),"",INDEX(J$1:J2850,SUMPRODUCT(MAX(ROW(E$1:E2850)*(E2851=E$1:E2850)))))</f>
        <v> </v>
      </c>
      <c r="L2851" s="27"/>
    </row>
    <row r="2852" spans="1:12">
      <c r="A2852" s="20" t="s">
        <v>1638</v>
      </c>
      <c r="B2852" s="21" t="s">
        <v>1005</v>
      </c>
      <c r="C2852" s="21" t="s">
        <v>1006</v>
      </c>
      <c r="D2852" s="21" t="s">
        <v>1007</v>
      </c>
      <c r="E2852" s="22">
        <f>IF(D2852="?OLD","!!!","")</f>
        <v/>
      </c>
      <c r="F2852" s="23" t="str">
        <f>IF(OR(E2852="",E2852="!!!"),"",IF(NOT(ISNA(VLOOKUP(E2852,E$1:E2851,1,FALSE()))),"OLD",IF(AND(E2852&lt;&gt;"",E2852&lt;&gt;"!!!"),"NEW","")))</f>
        <v> </v>
      </c>
      <c r="G2852" s="24" t="str">
        <f>IF(OR(E2852="",E2852="!!!"),"",IF(OR(J2852=0,AND(J2852=1,K2852=1),AND(J2852=1,I2852="SBJ"),AND(J2852=1,I2852=0)),"?IN_FOCUS",IF(J2852&lt;=2,"?ACTIVATED",IF(J2852&lt;&gt;"","?FAMILIAR",IF(F2852="NEW",IF(ISNA(VLOOKUP(E2852,#REF!,1,FALSE())),"?TYPE_IDENTIFIABLE","?REFERENTIAL"),"_")))))</f>
        <v> </v>
      </c>
      <c r="H2852" s="25" t="str">
        <f>IF(J2852&lt;&gt;1,"",IF(I2852="SBJ","CB","?"))</f>
        <v> </v>
      </c>
      <c r="I2852" s="26" t="str">
        <f>IF(OR(E2852="",E2852="!!!",F2852="NEW"),"",INDEX(B2851:B$2,-1+SUMPRODUCT(MAX(ROW(E2851:E$2)*(E2852=E2851:E$2)))))</f>
        <v> </v>
      </c>
      <c r="J2852" s="26" t="str">
        <f>IF(OR(E2852="",E2852="!!!",F2852="NEW"),"",COUNTBLANK(OFFSET(A$1,,,SUMPRODUCT(MAX(ROW(E$2:E2852)*(E2852=E$2:E2852)))))-COUNTBLANK(OFFSET(A$1,,,SUMPRODUCT(MAX(ROW(E$1:E2851)*(E2=E$1:E2851))))))</f>
        <v> </v>
      </c>
      <c r="K2852" s="26" t="str">
        <f>IF(OR(E2852="",E2852="!!!",F2852="NEW"),"",INDEX(J$1:J2851,SUMPRODUCT(MAX(ROW(E$1:E2851)*(E2852=E$1:E2851)))))</f>
        <v> </v>
      </c>
      <c r="L2852" s="27"/>
    </row>
    <row r="2853" spans="1:12">
      <c r="A2853" s="20" t="s">
        <v>1018</v>
      </c>
      <c r="E2853" s="22">
        <f>IF(D2853="?OLD","!!!","")</f>
        <v/>
      </c>
      <c r="F2853" s="23" t="str">
        <f>IF(OR(E2853="",E2853="!!!"),"",IF(NOT(ISNA(VLOOKUP(E2853,E$1:E2852,1,FALSE()))),"OLD",IF(AND(E2853&lt;&gt;"",E2853&lt;&gt;"!!!"),"NEW","")))</f>
        <v> </v>
      </c>
      <c r="G2853" s="24" t="str">
        <f>IF(OR(E2853="",E2853="!!!"),"",IF(OR(J2853=0,AND(J2853=1,K2853=1),AND(J2853=1,I2853="SBJ"),AND(J2853=1,I2853=0)),"?IN_FOCUS",IF(J2853&lt;=2,"?ACTIVATED",IF(J2853&lt;&gt;"","?FAMILIAR",IF(F2853="NEW",IF(ISNA(VLOOKUP(E2853,#REF!,1,FALSE())),"?TYPE_IDENTIFIABLE","?REFERENTIAL"),"_")))))</f>
        <v> </v>
      </c>
      <c r="H2853" s="25" t="str">
        <f>IF(J2853&lt;&gt;1,"",IF(I2853="SBJ","CB","?"))</f>
        <v> </v>
      </c>
      <c r="I2853" s="26" t="str">
        <f>IF(OR(E2853="",E2853="!!!",F2853="NEW"),"",INDEX(B2852:B$2,-1+SUMPRODUCT(MAX(ROW(E2852:E$2)*(E2853=E2852:E$2)))))</f>
        <v> </v>
      </c>
      <c r="J2853" s="26" t="str">
        <f>IF(OR(E2853="",E2853="!!!",F2853="NEW"),"",COUNTBLANK(OFFSET(A$1,,,SUMPRODUCT(MAX(ROW(E$2:E2853)*(E2853=E$2:E2853)))))-COUNTBLANK(OFFSET(A$1,,,SUMPRODUCT(MAX(ROW(E$1:E2852)*(E2=E$1:E2852))))))</f>
        <v> </v>
      </c>
      <c r="K2853" s="26" t="str">
        <f>IF(OR(E2853="",E2853="!!!",F2853="NEW"),"",INDEX(J$1:J2852,SUMPRODUCT(MAX(ROW(E$1:E2852)*(E2853=E$1:E2852)))))</f>
        <v> </v>
      </c>
      <c r="L2853" s="27"/>
    </row>
    <row r="2854" spans="1:12">
      <c r="A2854" s="20" t="s">
        <v>1330</v>
      </c>
      <c r="E2854" s="22">
        <f>IF(D2854="?OLD","!!!","")</f>
        <v/>
      </c>
      <c r="F2854" s="23" t="str">
        <f>IF(OR(E2854="",E2854="!!!"),"",IF(NOT(ISNA(VLOOKUP(E2854,E$1:E2853,1,FALSE()))),"OLD",IF(AND(E2854&lt;&gt;"",E2854&lt;&gt;"!!!"),"NEW","")))</f>
        <v> </v>
      </c>
      <c r="G2854" s="24" t="str">
        <f>IF(OR(E2854="",E2854="!!!"),"",IF(OR(J2854=0,AND(J2854=1,K2854=1),AND(J2854=1,I2854="SBJ"),AND(J2854=1,I2854=0)),"?IN_FOCUS",IF(J2854&lt;=2,"?ACTIVATED",IF(J2854&lt;&gt;"","?FAMILIAR",IF(F2854="NEW",IF(ISNA(VLOOKUP(E2854,#REF!,1,FALSE())),"?TYPE_IDENTIFIABLE","?REFERENTIAL"),"_")))))</f>
        <v> </v>
      </c>
      <c r="H2854" s="25" t="str">
        <f>IF(J2854&lt;&gt;1,"",IF(I2854="SBJ","CB","?"))</f>
        <v> </v>
      </c>
      <c r="I2854" s="26" t="str">
        <f>IF(OR(E2854="",E2854="!!!",F2854="NEW"),"",INDEX(B2853:B$2,-1+SUMPRODUCT(MAX(ROW(E2853:E$2)*(E2854=E2853:E$2)))))</f>
        <v> </v>
      </c>
      <c r="J2854" s="26" t="str">
        <f>IF(OR(E2854="",E2854="!!!",F2854="NEW"),"",COUNTBLANK(OFFSET(A$1,,,SUMPRODUCT(MAX(ROW(E$2:E2854)*(E2854=E$2:E2854)))))-COUNTBLANK(OFFSET(A$1,,,SUMPRODUCT(MAX(ROW(E$1:E2853)*(E2=E$1:E2853))))))</f>
        <v> </v>
      </c>
      <c r="K2854" s="26" t="str">
        <f>IF(OR(E2854="",E2854="!!!",F2854="NEW"),"",INDEX(J$1:J2853,SUMPRODUCT(MAX(ROW(E$1:E2853)*(E2854=E$1:E2853)))))</f>
        <v> </v>
      </c>
      <c r="L2854" s="27"/>
    </row>
    <row r="2855" spans="1:12">
      <c r="A2855" s="20" t="s">
        <v>1030</v>
      </c>
      <c r="E2855" s="22">
        <f>IF(D2855="?OLD","!!!","")</f>
        <v/>
      </c>
      <c r="F2855" s="23" t="str">
        <f>IF(OR(E2855="",E2855="!!!"),"",IF(NOT(ISNA(VLOOKUP(E2855,E$1:E2854,1,FALSE()))),"OLD",IF(AND(E2855&lt;&gt;"",E2855&lt;&gt;"!!!"),"NEW","")))</f>
        <v> </v>
      </c>
      <c r="G2855" s="24" t="str">
        <f>IF(OR(E2855="",E2855="!!!"),"",IF(OR(J2855=0,AND(J2855=1,K2855=1),AND(J2855=1,I2855="SBJ"),AND(J2855=1,I2855=0)),"?IN_FOCUS",IF(J2855&lt;=2,"?ACTIVATED",IF(J2855&lt;&gt;"","?FAMILIAR",IF(F2855="NEW",IF(ISNA(VLOOKUP(E2855,#REF!,1,FALSE())),"?TYPE_IDENTIFIABLE","?REFERENTIAL"),"_")))))</f>
        <v> </v>
      </c>
      <c r="H2855" s="25" t="str">
        <f>IF(J2855&lt;&gt;1,"",IF(I2855="SBJ","CB","?"))</f>
        <v> </v>
      </c>
      <c r="I2855" s="26" t="str">
        <f>IF(OR(E2855="",E2855="!!!",F2855="NEW"),"",INDEX(B2854:B$2,-1+SUMPRODUCT(MAX(ROW(E2854:E$2)*(E2855=E2854:E$2)))))</f>
        <v> </v>
      </c>
      <c r="J2855" s="26" t="str">
        <f>IF(OR(E2855="",E2855="!!!",F2855="NEW"),"",COUNTBLANK(OFFSET(A$1,,,SUMPRODUCT(MAX(ROW(E$2:E2855)*(E2855=E$2:E2855)))))-COUNTBLANK(OFFSET(A$1,,,SUMPRODUCT(MAX(ROW(E$1:E2854)*(E2=E$1:E2854))))))</f>
        <v> </v>
      </c>
      <c r="K2855" s="26" t="str">
        <f>IF(OR(E2855="",E2855="!!!",F2855="NEW"),"",INDEX(J$1:J2854,SUMPRODUCT(MAX(ROW(E$1:E2854)*(E2855=E$1:E2854)))))</f>
        <v> </v>
      </c>
      <c r="L2855" s="27"/>
    </row>
    <row r="2856" spans="1:12">
      <c r="A2856" s="20" t="s">
        <v>1027</v>
      </c>
      <c r="E2856" s="22">
        <f>IF(D2856="?OLD","!!!","")</f>
        <v/>
      </c>
      <c r="F2856" s="23" t="str">
        <f>IF(OR(E2856="",E2856="!!!"),"",IF(NOT(ISNA(VLOOKUP(E2856,E$1:E2855,1,FALSE()))),"OLD",IF(AND(E2856&lt;&gt;"",E2856&lt;&gt;"!!!"),"NEW","")))</f>
        <v> </v>
      </c>
      <c r="G2856" s="24" t="str">
        <f>IF(OR(E2856="",E2856="!!!"),"",IF(OR(J2856=0,AND(J2856=1,K2856=1),AND(J2856=1,I2856="SBJ"),AND(J2856=1,I2856=0)),"?IN_FOCUS",IF(J2856&lt;=2,"?ACTIVATED",IF(J2856&lt;&gt;"","?FAMILIAR",IF(F2856="NEW",IF(ISNA(VLOOKUP(E2856,#REF!,1,FALSE())),"?TYPE_IDENTIFIABLE","?REFERENTIAL"),"_")))))</f>
        <v> </v>
      </c>
      <c r="H2856" s="25" t="str">
        <f>IF(J2856&lt;&gt;1,"",IF(I2856="SBJ","CB","?"))</f>
        <v> </v>
      </c>
      <c r="I2856" s="26" t="str">
        <f>IF(OR(E2856="",E2856="!!!",F2856="NEW"),"",INDEX(B2855:B$2,-1+SUMPRODUCT(MAX(ROW(E2855:E$2)*(E2856=E2855:E$2)))))</f>
        <v> </v>
      </c>
      <c r="J2856" s="26" t="str">
        <f>IF(OR(E2856="",E2856="!!!",F2856="NEW"),"",COUNTBLANK(OFFSET(A$1,,,SUMPRODUCT(MAX(ROW(E$2:E2856)*(E2856=E$2:E2856)))))-COUNTBLANK(OFFSET(A$1,,,SUMPRODUCT(MAX(ROW(E$1:E2855)*(E2=E$1:E2855))))))</f>
        <v> </v>
      </c>
      <c r="K2856" s="26" t="str">
        <f>IF(OR(E2856="",E2856="!!!",F2856="NEW"),"",INDEX(J$1:J2855,SUMPRODUCT(MAX(ROW(E$1:E2855)*(E2856=E$1:E2855)))))</f>
        <v> </v>
      </c>
      <c r="L2856" s="27"/>
    </row>
    <row r="2857" spans="1:12">
      <c r="A2857" s="20" t="s">
        <v>1173</v>
      </c>
      <c r="B2857" s="21" t="s">
        <v>1005</v>
      </c>
      <c r="C2857" s="21" t="s">
        <v>1017</v>
      </c>
      <c r="D2857" s="21" t="s">
        <v>1007</v>
      </c>
      <c r="E2857" s="22">
        <f>IF(D2857="?OLD","!!!","")</f>
        <v/>
      </c>
      <c r="F2857" s="23" t="str">
        <f>IF(OR(E2857="",E2857="!!!"),"",IF(NOT(ISNA(VLOOKUP(E2857,E$1:E2856,1,FALSE()))),"OLD",IF(AND(E2857&lt;&gt;"",E2857&lt;&gt;"!!!"),"NEW","")))</f>
        <v> </v>
      </c>
      <c r="G2857" s="24" t="str">
        <f>IF(OR(E2857="",E2857="!!!"),"",IF(OR(J2857=0,AND(J2857=1,K2857=1),AND(J2857=1,I2857="SBJ"),AND(J2857=1,I2857=0)),"?IN_FOCUS",IF(J2857&lt;=2,"?ACTIVATED",IF(J2857&lt;&gt;"","?FAMILIAR",IF(F2857="NEW",IF(ISNA(VLOOKUP(E2857,#REF!,1,FALSE())),"?TYPE_IDENTIFIABLE","?REFERENTIAL"),"_")))))</f>
        <v> </v>
      </c>
      <c r="H2857" s="25" t="str">
        <f>IF(J2857&lt;&gt;1,"",IF(I2857="SBJ","CB","?"))</f>
        <v> </v>
      </c>
      <c r="I2857" s="26" t="str">
        <f>IF(OR(E2857="",E2857="!!!",F2857="NEW"),"",INDEX(B2856:B$2,-1+SUMPRODUCT(MAX(ROW(E2856:E$2)*(E2857=E2856:E$2)))))</f>
        <v> </v>
      </c>
      <c r="J2857" s="26" t="str">
        <f>IF(OR(E2857="",E2857="!!!",F2857="NEW"),"",COUNTBLANK(OFFSET(A$1,,,SUMPRODUCT(MAX(ROW(E$2:E2857)*(E2857=E$2:E2857)))))-COUNTBLANK(OFFSET(A$1,,,SUMPRODUCT(MAX(ROW(E$1:E2856)*(E2=E$1:E2856))))))</f>
        <v> </v>
      </c>
      <c r="K2857" s="26" t="str">
        <f>IF(OR(E2857="",E2857="!!!",F2857="NEW"),"",INDEX(J$1:J2856,SUMPRODUCT(MAX(ROW(E$1:E2856)*(E2857=E$1:E2856)))))</f>
        <v> </v>
      </c>
      <c r="L2857" s="27"/>
    </row>
    <row r="2858" spans="1:12">
      <c r="A2858" s="20" t="s">
        <v>1876</v>
      </c>
      <c r="E2858" s="22">
        <f>IF(D2858="?OLD","!!!","")</f>
        <v/>
      </c>
      <c r="F2858" s="23" t="str">
        <f>IF(OR(E2858="",E2858="!!!"),"",IF(NOT(ISNA(VLOOKUP(E2858,E$1:E2857,1,FALSE()))),"OLD",IF(AND(E2858&lt;&gt;"",E2858&lt;&gt;"!!!"),"NEW","")))</f>
        <v> </v>
      </c>
      <c r="G2858" s="24" t="str">
        <f>IF(OR(E2858="",E2858="!!!"),"",IF(OR(J2858=0,AND(J2858=1,K2858=1),AND(J2858=1,I2858="SBJ"),AND(J2858=1,I2858=0)),"?IN_FOCUS",IF(J2858&lt;=2,"?ACTIVATED",IF(J2858&lt;&gt;"","?FAMILIAR",IF(F2858="NEW",IF(ISNA(VLOOKUP(E2858,#REF!,1,FALSE())),"?TYPE_IDENTIFIABLE","?REFERENTIAL"),"_")))))</f>
        <v> </v>
      </c>
      <c r="H2858" s="25" t="str">
        <f>IF(J2858&lt;&gt;1,"",IF(I2858="SBJ","CB","?"))</f>
        <v> </v>
      </c>
      <c r="I2858" s="26" t="str">
        <f>IF(OR(E2858="",E2858="!!!",F2858="NEW"),"",INDEX(B2857:B$2,-1+SUMPRODUCT(MAX(ROW(E2857:E$2)*(E2858=E2857:E$2)))))</f>
        <v> </v>
      </c>
      <c r="J2858" s="26" t="str">
        <f>IF(OR(E2858="",E2858="!!!",F2858="NEW"),"",COUNTBLANK(OFFSET(A$1,,,SUMPRODUCT(MAX(ROW(E$2:E2858)*(E2858=E$2:E2858)))))-COUNTBLANK(OFFSET(A$1,,,SUMPRODUCT(MAX(ROW(E$1:E2857)*(E2=E$1:E2857))))))</f>
        <v> </v>
      </c>
      <c r="K2858" s="26" t="str">
        <f>IF(OR(E2858="",E2858="!!!",F2858="NEW"),"",INDEX(J$1:J2857,SUMPRODUCT(MAX(ROW(E$1:E2857)*(E2858=E$1:E2857)))))</f>
        <v> </v>
      </c>
      <c r="L2858" s="27"/>
    </row>
    <row r="2859" spans="1:12">
      <c r="A2859" s="20" t="s">
        <v>56</v>
      </c>
      <c r="E2859" s="22">
        <f>IF(D2859="?OLD","!!!","")</f>
        <v/>
      </c>
      <c r="F2859" s="23" t="str">
        <f>IF(OR(E2859="",E2859="!!!"),"",IF(NOT(ISNA(VLOOKUP(E2859,E$1:E2858,1,FALSE()))),"OLD",IF(AND(E2859&lt;&gt;"",E2859&lt;&gt;"!!!"),"NEW","")))</f>
        <v> </v>
      </c>
      <c r="G2859" s="24" t="str">
        <f>IF(OR(E2859="",E2859="!!!"),"",IF(OR(J2859=0,AND(J2859=1,K2859=1),AND(J2859=1,I2859="SBJ"),AND(J2859=1,I2859=0)),"?IN_FOCUS",IF(J2859&lt;=2,"?ACTIVATED",IF(J2859&lt;&gt;"","?FAMILIAR",IF(F2859="NEW",IF(ISNA(VLOOKUP(E2859,#REF!,1,FALSE())),"?TYPE_IDENTIFIABLE","?REFERENTIAL"),"_")))))</f>
        <v> </v>
      </c>
      <c r="H2859" s="25" t="str">
        <f>IF(J2859&lt;&gt;1,"",IF(I2859="SBJ","CB","?"))</f>
        <v> </v>
      </c>
      <c r="I2859" s="26" t="str">
        <f>IF(OR(E2859="",E2859="!!!",F2859="NEW"),"",INDEX(B2858:B$2,-1+SUMPRODUCT(MAX(ROW(E2858:E$2)*(E2859=E2858:E$2)))))</f>
        <v> </v>
      </c>
      <c r="J2859" s="26" t="str">
        <f>IF(OR(E2859="",E2859="!!!",F2859="NEW"),"",COUNTBLANK(OFFSET(A$1,,,SUMPRODUCT(MAX(ROW(E$2:E2859)*(E2859=E$2:E2859)))))-COUNTBLANK(OFFSET(A$1,,,SUMPRODUCT(MAX(ROW(E$1:E2858)*(E2=E$1:E2858))))))</f>
        <v> </v>
      </c>
      <c r="K2859" s="26" t="str">
        <f>IF(OR(E2859="",E2859="!!!",F2859="NEW"),"",INDEX(J$1:J2858,SUMPRODUCT(MAX(ROW(E$1:E2858)*(E2859=E$1:E2858)))))</f>
        <v> </v>
      </c>
      <c r="L2859" s="27"/>
    </row>
    <row r="2860" spans="1:12">
      <c r="A2860" s="20" t="s">
        <v>1030</v>
      </c>
      <c r="E2860" s="22">
        <f>IF(D2860="?OLD","!!!","")</f>
        <v/>
      </c>
      <c r="F2860" s="23" t="str">
        <f>IF(OR(E2860="",E2860="!!!"),"",IF(NOT(ISNA(VLOOKUP(E2860,E$1:E2859,1,FALSE()))),"OLD",IF(AND(E2860&lt;&gt;"",E2860&lt;&gt;"!!!"),"NEW","")))</f>
        <v> </v>
      </c>
      <c r="G2860" s="24" t="str">
        <f>IF(OR(E2860="",E2860="!!!"),"",IF(OR(J2860=0,AND(J2860=1,K2860=1),AND(J2860=1,I2860="SBJ"),AND(J2860=1,I2860=0)),"?IN_FOCUS",IF(J2860&lt;=2,"?ACTIVATED",IF(J2860&lt;&gt;"","?FAMILIAR",IF(F2860="NEW",IF(ISNA(VLOOKUP(E2860,#REF!,1,FALSE())),"?TYPE_IDENTIFIABLE","?REFERENTIAL"),"_")))))</f>
        <v> </v>
      </c>
      <c r="H2860" s="25" t="str">
        <f>IF(J2860&lt;&gt;1,"",IF(I2860="SBJ","CB","?"))</f>
        <v> </v>
      </c>
      <c r="I2860" s="26" t="str">
        <f>IF(OR(E2860="",E2860="!!!",F2860="NEW"),"",INDEX(B2859:B$2,-1+SUMPRODUCT(MAX(ROW(E2859:E$2)*(E2860=E2859:E$2)))))</f>
        <v> </v>
      </c>
      <c r="J2860" s="26" t="str">
        <f>IF(OR(E2860="",E2860="!!!",F2860="NEW"),"",COUNTBLANK(OFFSET(A$1,,,SUMPRODUCT(MAX(ROW(E$2:E2860)*(E2860=E$2:E2860)))))-COUNTBLANK(OFFSET(A$1,,,SUMPRODUCT(MAX(ROW(E$1:E2859)*(E2=E$1:E2859))))))</f>
        <v> </v>
      </c>
      <c r="K2860" s="26" t="str">
        <f>IF(OR(E2860="",E2860="!!!",F2860="NEW"),"",INDEX(J$1:J2859,SUMPRODUCT(MAX(ROW(E$1:E2859)*(E2860=E$1:E2859)))))</f>
        <v> </v>
      </c>
      <c r="L2860" s="27"/>
    </row>
    <row r="2861" spans="1:12">
      <c r="A2861" s="20" t="s">
        <v>1027</v>
      </c>
      <c r="E2861" s="22">
        <f>IF(D2861="?OLD","!!!","")</f>
        <v/>
      </c>
      <c r="F2861" s="23" t="str">
        <f>IF(OR(E2861="",E2861="!!!"),"",IF(NOT(ISNA(VLOOKUP(E2861,E$1:E2860,1,FALSE()))),"OLD",IF(AND(E2861&lt;&gt;"",E2861&lt;&gt;"!!!"),"NEW","")))</f>
        <v> </v>
      </c>
      <c r="G2861" s="24" t="str">
        <f>IF(OR(E2861="",E2861="!!!"),"",IF(OR(J2861=0,AND(J2861=1,K2861=1),AND(J2861=1,I2861="SBJ"),AND(J2861=1,I2861=0)),"?IN_FOCUS",IF(J2861&lt;=2,"?ACTIVATED",IF(J2861&lt;&gt;"","?FAMILIAR",IF(F2861="NEW",IF(ISNA(VLOOKUP(E2861,#REF!,1,FALSE())),"?TYPE_IDENTIFIABLE","?REFERENTIAL"),"_")))))</f>
        <v> </v>
      </c>
      <c r="H2861" s="25" t="str">
        <f>IF(J2861&lt;&gt;1,"",IF(I2861="SBJ","CB","?"))</f>
        <v> </v>
      </c>
      <c r="I2861" s="26" t="str">
        <f>IF(OR(E2861="",E2861="!!!",F2861="NEW"),"",INDEX(B2860:B$2,-1+SUMPRODUCT(MAX(ROW(E2860:E$2)*(E2861=E2860:E$2)))))</f>
        <v> </v>
      </c>
      <c r="J2861" s="26" t="str">
        <f>IF(OR(E2861="",E2861="!!!",F2861="NEW"),"",COUNTBLANK(OFFSET(A$1,,,SUMPRODUCT(MAX(ROW(E$2:E2861)*(E2861=E$2:E2861)))))-COUNTBLANK(OFFSET(A$1,,,SUMPRODUCT(MAX(ROW(E$1:E2860)*(E2=E$1:E2860))))))</f>
        <v> </v>
      </c>
      <c r="K2861" s="26" t="str">
        <f>IF(OR(E2861="",E2861="!!!",F2861="NEW"),"",INDEX(J$1:J2860,SUMPRODUCT(MAX(ROW(E$1:E2860)*(E2861=E$1:E2860)))))</f>
        <v> </v>
      </c>
      <c r="L2861" s="27"/>
    </row>
    <row r="2862" spans="1:12">
      <c r="A2862" s="20" t="s">
        <v>1173</v>
      </c>
      <c r="B2862" s="21" t="s">
        <v>1022</v>
      </c>
      <c r="C2862" s="21" t="s">
        <v>1013</v>
      </c>
      <c r="D2862" s="21" t="s">
        <v>1007</v>
      </c>
      <c r="E2862" s="22">
        <f>IF(D2862="?OLD","!!!","")</f>
        <v/>
      </c>
      <c r="F2862" s="23" t="str">
        <f>IF(OR(E2862="",E2862="!!!"),"",IF(NOT(ISNA(VLOOKUP(E2862,E$1:E2861,1,FALSE()))),"OLD",IF(AND(E2862&lt;&gt;"",E2862&lt;&gt;"!!!"),"NEW","")))</f>
        <v> </v>
      </c>
      <c r="G2862" s="24" t="str">
        <f>IF(OR(E2862="",E2862="!!!"),"",IF(OR(J2862=0,AND(J2862=1,K2862=1),AND(J2862=1,I2862="SBJ"),AND(J2862=1,I2862=0)),"?IN_FOCUS",IF(J2862&lt;=2,"?ACTIVATED",IF(J2862&lt;&gt;"","?FAMILIAR",IF(F2862="NEW",IF(ISNA(VLOOKUP(E2862,#REF!,1,FALSE())),"?TYPE_IDENTIFIABLE","?REFERENTIAL"),"_")))))</f>
        <v> </v>
      </c>
      <c r="H2862" s="25" t="str">
        <f>IF(J2862&lt;&gt;1,"",IF(I2862="SBJ","CB","?"))</f>
        <v> </v>
      </c>
      <c r="I2862" s="26" t="str">
        <f>IF(OR(E2862="",E2862="!!!",F2862="NEW"),"",INDEX(B2861:B$2,-1+SUMPRODUCT(MAX(ROW(E2861:E$2)*(E2862=E2861:E$2)))))</f>
        <v> </v>
      </c>
      <c r="J2862" s="26" t="str">
        <f>IF(OR(E2862="",E2862="!!!",F2862="NEW"),"",COUNTBLANK(OFFSET(A$1,,,SUMPRODUCT(MAX(ROW(E$2:E2862)*(E2862=E$2:E2862)))))-COUNTBLANK(OFFSET(A$1,,,SUMPRODUCT(MAX(ROW(E$1:E2861)*(E2=E$1:E2861))))))</f>
        <v> </v>
      </c>
      <c r="K2862" s="26" t="str">
        <f>IF(OR(E2862="",E2862="!!!",F2862="NEW"),"",INDEX(J$1:J2861,SUMPRODUCT(MAX(ROW(E$1:E2861)*(E2862=E$1:E2861)))))</f>
        <v> </v>
      </c>
      <c r="L2862" s="27"/>
    </row>
    <row r="2863" spans="1:12">
      <c r="A2863" s="20" t="s">
        <v>1877</v>
      </c>
      <c r="E2863" s="22">
        <f>IF(D2863="?OLD","!!!","")</f>
        <v/>
      </c>
      <c r="F2863" s="23" t="str">
        <f>IF(OR(E2863="",E2863="!!!"),"",IF(NOT(ISNA(VLOOKUP(E2863,E$1:E2862,1,FALSE()))),"OLD",IF(AND(E2863&lt;&gt;"",E2863&lt;&gt;"!!!"),"NEW","")))</f>
        <v> </v>
      </c>
      <c r="G2863" s="24" t="str">
        <f>IF(OR(E2863="",E2863="!!!"),"",IF(OR(J2863=0,AND(J2863=1,K2863=1),AND(J2863=1,I2863="SBJ"),AND(J2863=1,I2863=0)),"?IN_FOCUS",IF(J2863&lt;=2,"?ACTIVATED",IF(J2863&lt;&gt;"","?FAMILIAR",IF(F2863="NEW",IF(ISNA(VLOOKUP(E2863,#REF!,1,FALSE())),"?TYPE_IDENTIFIABLE","?REFERENTIAL"),"_")))))</f>
        <v> </v>
      </c>
      <c r="H2863" s="25" t="str">
        <f>IF(J2863&lt;&gt;1,"",IF(I2863="SBJ","CB","?"))</f>
        <v> </v>
      </c>
      <c r="I2863" s="26" t="str">
        <f>IF(OR(E2863="",E2863="!!!",F2863="NEW"),"",INDEX(B2862:B$2,-1+SUMPRODUCT(MAX(ROW(E2862:E$2)*(E2863=E2862:E$2)))))</f>
        <v> </v>
      </c>
      <c r="J2863" s="26" t="str">
        <f>IF(OR(E2863="",E2863="!!!",F2863="NEW"),"",COUNTBLANK(OFFSET(A$1,,,SUMPRODUCT(MAX(ROW(E$2:E2863)*(E2863=E$2:E2863)))))-COUNTBLANK(OFFSET(A$1,,,SUMPRODUCT(MAX(ROW(E$1:E2862)*(E2=E$1:E2862))))))</f>
        <v> </v>
      </c>
      <c r="K2863" s="26" t="str">
        <f>IF(OR(E2863="",E2863="!!!",F2863="NEW"),"",INDEX(J$1:J2862,SUMPRODUCT(MAX(ROW(E$1:E2862)*(E2863=E$1:E2862)))))</f>
        <v> </v>
      </c>
      <c r="L2863" s="27"/>
    </row>
    <row r="2864" spans="1:12">
      <c r="A2864" s="20" t="s">
        <v>1030</v>
      </c>
      <c r="E2864" s="22">
        <f>IF(D2864="?OLD","!!!","")</f>
        <v/>
      </c>
      <c r="F2864" s="23" t="str">
        <f>IF(OR(E2864="",E2864="!!!"),"",IF(NOT(ISNA(VLOOKUP(E2864,E$1:E2863,1,FALSE()))),"OLD",IF(AND(E2864&lt;&gt;"",E2864&lt;&gt;"!!!"),"NEW","")))</f>
        <v> </v>
      </c>
      <c r="G2864" s="24" t="str">
        <f>IF(OR(E2864="",E2864="!!!"),"",IF(OR(J2864=0,AND(J2864=1,K2864=1),AND(J2864=1,I2864="SBJ"),AND(J2864=1,I2864=0)),"?IN_FOCUS",IF(J2864&lt;=2,"?ACTIVATED",IF(J2864&lt;&gt;"","?FAMILIAR",IF(F2864="NEW",IF(ISNA(VLOOKUP(E2864,#REF!,1,FALSE())),"?TYPE_IDENTIFIABLE","?REFERENTIAL"),"_")))))</f>
        <v> </v>
      </c>
      <c r="H2864" s="25" t="str">
        <f>IF(J2864&lt;&gt;1,"",IF(I2864="SBJ","CB","?"))</f>
        <v> </v>
      </c>
      <c r="I2864" s="26" t="str">
        <f>IF(OR(E2864="",E2864="!!!",F2864="NEW"),"",INDEX(B2863:B$2,-1+SUMPRODUCT(MAX(ROW(E2863:E$2)*(E2864=E2863:E$2)))))</f>
        <v> </v>
      </c>
      <c r="J2864" s="26" t="str">
        <f>IF(OR(E2864="",E2864="!!!",F2864="NEW"),"",COUNTBLANK(OFFSET(A$1,,,SUMPRODUCT(MAX(ROW(E$2:E2864)*(E2864=E$2:E2864)))))-COUNTBLANK(OFFSET(A$1,,,SUMPRODUCT(MAX(ROW(E$1:E2863)*(E2=E$1:E2863))))))</f>
        <v> </v>
      </c>
      <c r="K2864" s="26" t="str">
        <f>IF(OR(E2864="",E2864="!!!",F2864="NEW"),"",INDEX(J$1:J2863,SUMPRODUCT(MAX(ROW(E$1:E2863)*(E2864=E$1:E2863)))))</f>
        <v> </v>
      </c>
      <c r="L2864" s="27"/>
    </row>
    <row r="2865" spans="1:12">
      <c r="A2865" s="20" t="s">
        <v>1433</v>
      </c>
      <c r="E2865" s="22">
        <f>IF(D2865="?OLD","!!!","")</f>
        <v/>
      </c>
      <c r="F2865" s="23" t="str">
        <f>IF(OR(E2865="",E2865="!!!"),"",IF(NOT(ISNA(VLOOKUP(E2865,E$1:E2864,1,FALSE()))),"OLD",IF(AND(E2865&lt;&gt;"",E2865&lt;&gt;"!!!"),"NEW","")))</f>
        <v> </v>
      </c>
      <c r="G2865" s="24" t="str">
        <f>IF(OR(E2865="",E2865="!!!"),"",IF(OR(J2865=0,AND(J2865=1,K2865=1),AND(J2865=1,I2865="SBJ"),AND(J2865=1,I2865=0)),"?IN_FOCUS",IF(J2865&lt;=2,"?ACTIVATED",IF(J2865&lt;&gt;"","?FAMILIAR",IF(F2865="NEW",IF(ISNA(VLOOKUP(E2865,#REF!,1,FALSE())),"?TYPE_IDENTIFIABLE","?REFERENTIAL"),"_")))))</f>
        <v> </v>
      </c>
      <c r="H2865" s="25" t="str">
        <f>IF(J2865&lt;&gt;1,"",IF(I2865="SBJ","CB","?"))</f>
        <v> </v>
      </c>
      <c r="I2865" s="26" t="str">
        <f>IF(OR(E2865="",E2865="!!!",F2865="NEW"),"",INDEX(B2864:B$2,-1+SUMPRODUCT(MAX(ROW(E2864:E$2)*(E2865=E2864:E$2)))))</f>
        <v> </v>
      </c>
      <c r="J2865" s="26" t="str">
        <f>IF(OR(E2865="",E2865="!!!",F2865="NEW"),"",COUNTBLANK(OFFSET(A$1,,,SUMPRODUCT(MAX(ROW(E$2:E2865)*(E2865=E$2:E2865)))))-COUNTBLANK(OFFSET(A$1,,,SUMPRODUCT(MAX(ROW(E$1:E2864)*(E2=E$1:E2864))))))</f>
        <v> </v>
      </c>
      <c r="K2865" s="26" t="str">
        <f>IF(OR(E2865="",E2865="!!!",F2865="NEW"),"",INDEX(J$1:J2864,SUMPRODUCT(MAX(ROW(E$1:E2864)*(E2865=E$1:E2864)))))</f>
        <v> </v>
      </c>
      <c r="L2865" s="27"/>
    </row>
    <row r="2866" spans="1:12">
      <c r="A2866" s="20" t="s">
        <v>102</v>
      </c>
      <c r="E2866" s="22">
        <f>IF(D2866="?OLD","!!!","")</f>
        <v/>
      </c>
      <c r="F2866" s="23" t="str">
        <f>IF(OR(E2866="",E2866="!!!"),"",IF(NOT(ISNA(VLOOKUP(E2866,E$1:E2865,1,FALSE()))),"OLD",IF(AND(E2866&lt;&gt;"",E2866&lt;&gt;"!!!"),"NEW","")))</f>
        <v> </v>
      </c>
      <c r="G2866" s="24" t="str">
        <f>IF(OR(E2866="",E2866="!!!"),"",IF(OR(J2866=0,AND(J2866=1,K2866=1),AND(J2866=1,I2866="SBJ"),AND(J2866=1,I2866=0)),"?IN_FOCUS",IF(J2866&lt;=2,"?ACTIVATED",IF(J2866&lt;&gt;"","?FAMILIAR",IF(F2866="NEW",IF(ISNA(VLOOKUP(E2866,#REF!,1,FALSE())),"?TYPE_IDENTIFIABLE","?REFERENTIAL"),"_")))))</f>
        <v> </v>
      </c>
      <c r="H2866" s="25" t="str">
        <f>IF(J2866&lt;&gt;1,"",IF(I2866="SBJ","CB","?"))</f>
        <v> </v>
      </c>
      <c r="I2866" s="26" t="str">
        <f>IF(OR(E2866="",E2866="!!!",F2866="NEW"),"",INDEX(B2865:B$2,-1+SUMPRODUCT(MAX(ROW(E2865:E$2)*(E2866=E2865:E$2)))))</f>
        <v> </v>
      </c>
      <c r="J2866" s="26" t="str">
        <f>IF(OR(E2866="",E2866="!!!",F2866="NEW"),"",COUNTBLANK(OFFSET(A$1,,,SUMPRODUCT(MAX(ROW(E$2:E2866)*(E2866=E$2:E2866)))))-COUNTBLANK(OFFSET(A$1,,,SUMPRODUCT(MAX(ROW(E$1:E2865)*(E2=E$1:E2865))))))</f>
        <v> </v>
      </c>
      <c r="K2866" s="26" t="str">
        <f>IF(OR(E2866="",E2866="!!!",F2866="NEW"),"",INDEX(J$1:J2865,SUMPRODUCT(MAX(ROW(E$1:E2865)*(E2866=E$1:E2865)))))</f>
        <v> </v>
      </c>
      <c r="L2866" s="27"/>
    </row>
    <row r="2867" spans="1:12">
      <c r="A2867" s="20" t="s">
        <v>1156</v>
      </c>
      <c r="B2867" s="21" t="s">
        <v>1033</v>
      </c>
      <c r="C2867" s="21" t="s">
        <v>1017</v>
      </c>
      <c r="D2867" s="21" t="s">
        <v>1007</v>
      </c>
      <c r="E2867" s="22">
        <f>IF(D2867="?OLD","!!!","")</f>
        <v/>
      </c>
      <c r="F2867" s="23" t="str">
        <f>IF(OR(E2867="",E2867="!!!"),"",IF(NOT(ISNA(VLOOKUP(E2867,E$1:E2866,1,FALSE()))),"OLD",IF(AND(E2867&lt;&gt;"",E2867&lt;&gt;"!!!"),"NEW","")))</f>
        <v> </v>
      </c>
      <c r="G2867" s="24" t="str">
        <f>IF(OR(E2867="",E2867="!!!"),"",IF(OR(J2867=0,AND(J2867=1,K2867=1),AND(J2867=1,I2867="SBJ"),AND(J2867=1,I2867=0)),"?IN_FOCUS",IF(J2867&lt;=2,"?ACTIVATED",IF(J2867&lt;&gt;"","?FAMILIAR",IF(F2867="NEW",IF(ISNA(VLOOKUP(E2867,#REF!,1,FALSE())),"?TYPE_IDENTIFIABLE","?REFERENTIAL"),"_")))))</f>
        <v> </v>
      </c>
      <c r="H2867" s="25" t="str">
        <f>IF(J2867&lt;&gt;1,"",IF(I2867="SBJ","CB","?"))</f>
        <v> </v>
      </c>
      <c r="I2867" s="26" t="str">
        <f>IF(OR(E2867="",E2867="!!!",F2867="NEW"),"",INDEX(B2866:B$2,-1+SUMPRODUCT(MAX(ROW(E2866:E$2)*(E2867=E2866:E$2)))))</f>
        <v> </v>
      </c>
      <c r="J2867" s="26" t="str">
        <f>IF(OR(E2867="",E2867="!!!",F2867="NEW"),"",COUNTBLANK(OFFSET(A$1,,,SUMPRODUCT(MAX(ROW(E$2:E2867)*(E2867=E$2:E2867)))))-COUNTBLANK(OFFSET(A$1,,,SUMPRODUCT(MAX(ROW(E$1:E2866)*(E2=E$1:E2866))))))</f>
        <v> </v>
      </c>
      <c r="K2867" s="26" t="str">
        <f>IF(OR(E2867="",E2867="!!!",F2867="NEW"),"",INDEX(J$1:J2866,SUMPRODUCT(MAX(ROW(E$1:E2866)*(E2867=E$1:E2866)))))</f>
        <v> </v>
      </c>
      <c r="L2867" s="27"/>
    </row>
    <row r="2868" spans="1:12">
      <c r="A2868" s="20" t="s">
        <v>1023</v>
      </c>
      <c r="E2868" s="22">
        <f>IF(D2868="?OLD","!!!","")</f>
        <v/>
      </c>
      <c r="F2868" s="23" t="str">
        <f>IF(OR(E2868="",E2868="!!!"),"",IF(NOT(ISNA(VLOOKUP(E2868,E$1:E2867,1,FALSE()))),"OLD",IF(AND(E2868&lt;&gt;"",E2868&lt;&gt;"!!!"),"NEW","")))</f>
        <v> </v>
      </c>
      <c r="G2868" s="24" t="str">
        <f>IF(OR(E2868="",E2868="!!!"),"",IF(OR(J2868=0,AND(J2868=1,K2868=1),AND(J2868=1,I2868="SBJ"),AND(J2868=1,I2868=0)),"?IN_FOCUS",IF(J2868&lt;=2,"?ACTIVATED",IF(J2868&lt;&gt;"","?FAMILIAR",IF(F2868="NEW",IF(ISNA(VLOOKUP(E2868,#REF!,1,FALSE())),"?TYPE_IDENTIFIABLE","?REFERENTIAL"),"_")))))</f>
        <v> </v>
      </c>
      <c r="H2868" s="25" t="str">
        <f>IF(J2868&lt;&gt;1,"",IF(I2868="SBJ","CB","?"))</f>
        <v> </v>
      </c>
      <c r="I2868" s="26" t="str">
        <f>IF(OR(E2868="",E2868="!!!",F2868="NEW"),"",INDEX(B2867:B$2,-1+SUMPRODUCT(MAX(ROW(E2867:E$2)*(E2868=E2867:E$2)))))</f>
        <v> </v>
      </c>
      <c r="J2868" s="26" t="str">
        <f>IF(OR(E2868="",E2868="!!!",F2868="NEW"),"",COUNTBLANK(OFFSET(A$1,,,SUMPRODUCT(MAX(ROW(E$2:E2868)*(E2868=E$2:E2868)))))-COUNTBLANK(OFFSET(A$1,,,SUMPRODUCT(MAX(ROW(E$1:E2867)*(E2=E$1:E2867))))))</f>
        <v> </v>
      </c>
      <c r="K2868" s="26" t="str">
        <f>IF(OR(E2868="",E2868="!!!",F2868="NEW"),"",INDEX(J$1:J2867,SUMPRODUCT(MAX(ROW(E$1:E2867)*(E2868=E$1:E2867)))))</f>
        <v> </v>
      </c>
      <c r="L2868" s="27"/>
    </row>
    <row r="2869" spans="1:12">
      <c r="A2869" s="20"/>
    </row>
    <row r="2870" spans="1:12">
      <c r="A2870" s="20" t="s">
        <v>1878</v>
      </c>
    </row>
    <row r="2871" spans="1:12">
      <c r="A2871" s="20" t="s">
        <v>1879</v>
      </c>
      <c r="E2871" s="22">
        <f>IF(D2871="?OLD","!!!","")</f>
        <v/>
      </c>
      <c r="F2871" s="23" t="str">
        <f>IF(OR(E2871="",E2871="!!!"),"",IF(NOT(ISNA(VLOOKUP(E2871,E$1:E2870,1,FALSE()))),"OLD",IF(AND(E2871&lt;&gt;"",E2871&lt;&gt;"!!!"),"NEW","")))</f>
        <v> </v>
      </c>
      <c r="G2871" s="24" t="str">
        <f>IF(OR(E2871="",E2871="!!!"),"",IF(OR(J2871=0,AND(J2871=1,K2871=1),AND(J2871=1,I2871="SBJ"),AND(J2871=1,I2871=0)),"?IN_FOCUS",IF(J2871&lt;=2,"?ACTIVATED",IF(J2871&lt;&gt;"","?FAMILIAR",IF(F2871="NEW",IF(ISNA(VLOOKUP(E2871,#REF!,1,FALSE())),"?TYPE_IDENTIFIABLE","?REFERENTIAL"),"_")))))</f>
        <v> </v>
      </c>
      <c r="H2871" s="25" t="str">
        <f>IF(J2871&lt;&gt;1,"",IF(I2871="SBJ","CB","?"))</f>
        <v> </v>
      </c>
      <c r="I2871" s="26" t="str">
        <f>IF(OR(E2871="",E2871="!!!",F2871="NEW"),"",INDEX(B2870:B$2,-1+SUMPRODUCT(MAX(ROW(E2870:E$2)*(E2871=E2870:E$2)))))</f>
        <v> </v>
      </c>
      <c r="J2871" s="26" t="str">
        <f>IF(OR(E2871="",E2871="!!!",F2871="NEW"),"",COUNTBLANK(OFFSET(A$1,,,SUMPRODUCT(MAX(ROW(E$2:E2871)*(E2871=E$2:E2871)))))-COUNTBLANK(OFFSET(A$1,,,SUMPRODUCT(MAX(ROW(E$1:E2870)*(E2=E$1:E2870))))))</f>
        <v> </v>
      </c>
      <c r="K2871" s="26" t="str">
        <f>IF(OR(E2871="",E2871="!!!",F2871="NEW"),"",INDEX(J$1:J2870,SUMPRODUCT(MAX(ROW(E$1:E2870)*(E2871=E$1:E2870)))))</f>
        <v> </v>
      </c>
      <c r="L2871" s="27"/>
    </row>
    <row r="2872" spans="1:12">
      <c r="A2872" s="20" t="s">
        <v>1172</v>
      </c>
      <c r="B2872" s="21" t="s">
        <v>1050</v>
      </c>
      <c r="C2872" s="21" t="s">
        <v>1017</v>
      </c>
      <c r="D2872" s="21" t="s">
        <v>1007</v>
      </c>
      <c r="E2872" s="22">
        <f>IF(D2872="?OLD","!!!","")</f>
        <v/>
      </c>
      <c r="F2872" s="23" t="str">
        <f>IF(OR(E2872="",E2872="!!!"),"",IF(NOT(ISNA(VLOOKUP(E2872,E$1:E2871,1,FALSE()))),"OLD",IF(AND(E2872&lt;&gt;"",E2872&lt;&gt;"!!!"),"NEW","")))</f>
        <v> </v>
      </c>
      <c r="G2872" s="24" t="str">
        <f>IF(OR(E2872="",E2872="!!!"),"",IF(OR(J2872=0,AND(J2872=1,K2872=1),AND(J2872=1,I2872="SBJ"),AND(J2872=1,I2872=0)),"?IN_FOCUS",IF(J2872&lt;=2,"?ACTIVATED",IF(J2872&lt;&gt;"","?FAMILIAR",IF(F2872="NEW",IF(ISNA(VLOOKUP(E2872,#REF!,1,FALSE())),"?TYPE_IDENTIFIABLE","?REFERENTIAL"),"_")))))</f>
        <v> </v>
      </c>
      <c r="H2872" s="25" t="str">
        <f>IF(J2872&lt;&gt;1,"",IF(I2872="SBJ","CB","?"))</f>
        <v> </v>
      </c>
      <c r="I2872" s="26" t="str">
        <f>IF(OR(E2872="",E2872="!!!",F2872="NEW"),"",INDEX(B2871:B$2,-1+SUMPRODUCT(MAX(ROW(E2871:E$2)*(E2872=E2871:E$2)))))</f>
        <v> </v>
      </c>
      <c r="J2872" s="26" t="str">
        <f>IF(OR(E2872="",E2872="!!!",F2872="NEW"),"",COUNTBLANK(OFFSET(A$1,,,SUMPRODUCT(MAX(ROW(E$2:E2872)*(E2872=E$2:E2872)))))-COUNTBLANK(OFFSET(A$1,,,SUMPRODUCT(MAX(ROW(E$1:E2871)*(E2=E$1:E2871))))))</f>
        <v> </v>
      </c>
      <c r="K2872" s="26" t="str">
        <f>IF(OR(E2872="",E2872="!!!",F2872="NEW"),"",INDEX(J$1:J2871,SUMPRODUCT(MAX(ROW(E$1:E2871)*(E2872=E$1:E2871)))))</f>
        <v> </v>
      </c>
      <c r="L2872" s="27"/>
    </row>
    <row r="2873" spans="1:12">
      <c r="A2873" s="20" t="s">
        <v>1260</v>
      </c>
      <c r="E2873" s="22">
        <f>IF(D2873="?OLD","!!!","")</f>
        <v/>
      </c>
      <c r="F2873" s="23" t="str">
        <f>IF(OR(E2873="",E2873="!!!"),"",IF(NOT(ISNA(VLOOKUP(E2873,E$1:E2872,1,FALSE()))),"OLD",IF(AND(E2873&lt;&gt;"",E2873&lt;&gt;"!!!"),"NEW","")))</f>
        <v> </v>
      </c>
      <c r="G2873" s="24" t="str">
        <f>IF(OR(E2873="",E2873="!!!"),"",IF(OR(J2873=0,AND(J2873=1,K2873=1),AND(J2873=1,I2873="SBJ"),AND(J2873=1,I2873=0)),"?IN_FOCUS",IF(J2873&lt;=2,"?ACTIVATED",IF(J2873&lt;&gt;"","?FAMILIAR",IF(F2873="NEW",IF(ISNA(VLOOKUP(E2873,#REF!,1,FALSE())),"?TYPE_IDENTIFIABLE","?REFERENTIAL"),"_")))))</f>
        <v> </v>
      </c>
      <c r="H2873" s="25" t="str">
        <f>IF(J2873&lt;&gt;1,"",IF(I2873="SBJ","CB","?"))</f>
        <v> </v>
      </c>
      <c r="I2873" s="26" t="str">
        <f>IF(OR(E2873="",E2873="!!!",F2873="NEW"),"",INDEX(B2872:B$2,-1+SUMPRODUCT(MAX(ROW(E2872:E$2)*(E2873=E2872:E$2)))))</f>
        <v> </v>
      </c>
      <c r="J2873" s="26" t="str">
        <f>IF(OR(E2873="",E2873="!!!",F2873="NEW"),"",COUNTBLANK(OFFSET(A$1,,,SUMPRODUCT(MAX(ROW(E$2:E2873)*(E2873=E$2:E2873)))))-COUNTBLANK(OFFSET(A$1,,,SUMPRODUCT(MAX(ROW(E$1:E2872)*(E2=E$1:E2872))))))</f>
        <v> </v>
      </c>
      <c r="K2873" s="26" t="str">
        <f>IF(OR(E2873="",E2873="!!!",F2873="NEW"),"",INDEX(J$1:J2872,SUMPRODUCT(MAX(ROW(E$1:E2872)*(E2873=E$1:E2872)))))</f>
        <v> </v>
      </c>
      <c r="L2873" s="27"/>
    </row>
    <row r="2874" spans="1:12">
      <c r="A2874" s="20" t="s">
        <v>98</v>
      </c>
      <c r="E2874" s="22">
        <f>IF(D2874="?OLD","!!!","")</f>
        <v/>
      </c>
      <c r="F2874" s="23" t="str">
        <f>IF(OR(E2874="",E2874="!!!"),"",IF(NOT(ISNA(VLOOKUP(E2874,E$1:E2873,1,FALSE()))),"OLD",IF(AND(E2874&lt;&gt;"",E2874&lt;&gt;"!!!"),"NEW","")))</f>
        <v> </v>
      </c>
      <c r="G2874" s="24" t="str">
        <f>IF(OR(E2874="",E2874="!!!"),"",IF(OR(J2874=0,AND(J2874=1,K2874=1),AND(J2874=1,I2874="SBJ"),AND(J2874=1,I2874=0)),"?IN_FOCUS",IF(J2874&lt;=2,"?ACTIVATED",IF(J2874&lt;&gt;"","?FAMILIAR",IF(F2874="NEW",IF(ISNA(VLOOKUP(E2874,#REF!,1,FALSE())),"?TYPE_IDENTIFIABLE","?REFERENTIAL"),"_")))))</f>
        <v> </v>
      </c>
      <c r="H2874" s="25" t="str">
        <f>IF(J2874&lt;&gt;1,"",IF(I2874="SBJ","CB","?"))</f>
        <v> </v>
      </c>
      <c r="I2874" s="26" t="str">
        <f>IF(OR(E2874="",E2874="!!!",F2874="NEW"),"",INDEX(B2873:B$2,-1+SUMPRODUCT(MAX(ROW(E2873:E$2)*(E2874=E2873:E$2)))))</f>
        <v> </v>
      </c>
      <c r="J2874" s="26" t="str">
        <f>IF(OR(E2874="",E2874="!!!",F2874="NEW"),"",COUNTBLANK(OFFSET(A$1,,,SUMPRODUCT(MAX(ROW(E$2:E2874)*(E2874=E$2:E2874)))))-COUNTBLANK(OFFSET(A$1,,,SUMPRODUCT(MAX(ROW(E$1:E2873)*(E2=E$1:E2873))))))</f>
        <v> </v>
      </c>
      <c r="K2874" s="26" t="str">
        <f>IF(OR(E2874="",E2874="!!!",F2874="NEW"),"",INDEX(J$1:J2873,SUMPRODUCT(MAX(ROW(E$1:E2873)*(E2874=E$1:E2873)))))</f>
        <v> </v>
      </c>
      <c r="L2874" s="27"/>
    </row>
    <row r="2875" spans="1:12">
      <c r="A2875" s="20" t="s">
        <v>1020</v>
      </c>
      <c r="E2875" s="22">
        <f>IF(D2875="?OLD","!!!","")</f>
        <v/>
      </c>
      <c r="F2875" s="23" t="str">
        <f>IF(OR(E2875="",E2875="!!!"),"",IF(NOT(ISNA(VLOOKUP(E2875,E$1:E2874,1,FALSE()))),"OLD",IF(AND(E2875&lt;&gt;"",E2875&lt;&gt;"!!!"),"NEW","")))</f>
        <v> </v>
      </c>
      <c r="G2875" s="24" t="str">
        <f>IF(OR(E2875="",E2875="!!!"),"",IF(OR(J2875=0,AND(J2875=1,K2875=1),AND(J2875=1,I2875="SBJ"),AND(J2875=1,I2875=0)),"?IN_FOCUS",IF(J2875&lt;=2,"?ACTIVATED",IF(J2875&lt;&gt;"","?FAMILIAR",IF(F2875="NEW",IF(ISNA(VLOOKUP(E2875,#REF!,1,FALSE())),"?TYPE_IDENTIFIABLE","?REFERENTIAL"),"_")))))</f>
        <v> </v>
      </c>
      <c r="H2875" s="25" t="str">
        <f>IF(J2875&lt;&gt;1,"",IF(I2875="SBJ","CB","?"))</f>
        <v> </v>
      </c>
      <c r="I2875" s="26" t="str">
        <f>IF(OR(E2875="",E2875="!!!",F2875="NEW"),"",INDEX(B2874:B$2,-1+SUMPRODUCT(MAX(ROW(E2874:E$2)*(E2875=E2874:E$2)))))</f>
        <v> </v>
      </c>
      <c r="J2875" s="26" t="str">
        <f>IF(OR(E2875="",E2875="!!!",F2875="NEW"),"",COUNTBLANK(OFFSET(A$1,,,SUMPRODUCT(MAX(ROW(E$2:E2875)*(E2875=E$2:E2875)))))-COUNTBLANK(OFFSET(A$1,,,SUMPRODUCT(MAX(ROW(E$1:E2874)*(E2=E$1:E2874))))))</f>
        <v> </v>
      </c>
      <c r="K2875" s="26" t="str">
        <f>IF(OR(E2875="",E2875="!!!",F2875="NEW"),"",INDEX(J$1:J2874,SUMPRODUCT(MAX(ROW(E$1:E2874)*(E2875=E$1:E2874)))))</f>
        <v> </v>
      </c>
      <c r="L2875" s="27"/>
    </row>
    <row r="2876" spans="1:12">
      <c r="A2876" s="20" t="s">
        <v>1322</v>
      </c>
      <c r="B2876" s="21" t="s">
        <v>1029</v>
      </c>
      <c r="C2876" s="21" t="s">
        <v>1017</v>
      </c>
      <c r="D2876" s="21" t="s">
        <v>1007</v>
      </c>
      <c r="E2876" s="22">
        <f>IF(D2876="?OLD","!!!","")</f>
        <v/>
      </c>
      <c r="F2876" s="23" t="str">
        <f>IF(OR(E2876="",E2876="!!!"),"",IF(NOT(ISNA(VLOOKUP(E2876,E$1:E2875,1,FALSE()))),"OLD",IF(AND(E2876&lt;&gt;"",E2876&lt;&gt;"!!!"),"NEW","")))</f>
        <v> </v>
      </c>
      <c r="G2876" s="24" t="str">
        <f>IF(OR(E2876="",E2876="!!!"),"",IF(OR(J2876=0,AND(J2876=1,K2876=1),AND(J2876=1,I2876="SBJ"),AND(J2876=1,I2876=0)),"?IN_FOCUS",IF(J2876&lt;=2,"?ACTIVATED",IF(J2876&lt;&gt;"","?FAMILIAR",IF(F2876="NEW",IF(ISNA(VLOOKUP(E2876,#REF!,1,FALSE())),"?TYPE_IDENTIFIABLE","?REFERENTIAL"),"_")))))</f>
        <v> </v>
      </c>
      <c r="H2876" s="25" t="str">
        <f>IF(J2876&lt;&gt;1,"",IF(I2876="SBJ","CB","?"))</f>
        <v> </v>
      </c>
      <c r="I2876" s="26" t="str">
        <f>IF(OR(E2876="",E2876="!!!",F2876="NEW"),"",INDEX(B2875:B$2,-1+SUMPRODUCT(MAX(ROW(E2875:E$2)*(E2876=E2875:E$2)))))</f>
        <v> </v>
      </c>
      <c r="J2876" s="26" t="str">
        <f>IF(OR(E2876="",E2876="!!!",F2876="NEW"),"",COUNTBLANK(OFFSET(A$1,,,SUMPRODUCT(MAX(ROW(E$2:E2876)*(E2876=E$2:E2876)))))-COUNTBLANK(OFFSET(A$1,,,SUMPRODUCT(MAX(ROW(E$1:E2875)*(E2=E$1:E2875))))))</f>
        <v> </v>
      </c>
      <c r="K2876" s="26" t="str">
        <f>IF(OR(E2876="",E2876="!!!",F2876="NEW"),"",INDEX(J$1:J2875,SUMPRODUCT(MAX(ROW(E$1:E2875)*(E2876=E$1:E2875)))))</f>
        <v> </v>
      </c>
      <c r="L2876" s="27"/>
    </row>
    <row r="2877" spans="1:12">
      <c r="A2877" s="20" t="s">
        <v>1014</v>
      </c>
      <c r="E2877" s="22">
        <f>IF(D2877="?OLD","!!!","")</f>
        <v/>
      </c>
      <c r="F2877" s="23" t="str">
        <f>IF(OR(E2877="",E2877="!!!"),"",IF(NOT(ISNA(VLOOKUP(E2877,E$1:E2876,1,FALSE()))),"OLD",IF(AND(E2877&lt;&gt;"",E2877&lt;&gt;"!!!"),"NEW","")))</f>
        <v> </v>
      </c>
      <c r="G2877" s="24" t="str">
        <f>IF(OR(E2877="",E2877="!!!"),"",IF(OR(J2877=0,AND(J2877=1,K2877=1),AND(J2877=1,I2877="SBJ"),AND(J2877=1,I2877=0)),"?IN_FOCUS",IF(J2877&lt;=2,"?ACTIVATED",IF(J2877&lt;&gt;"","?FAMILIAR",IF(F2877="NEW",IF(ISNA(VLOOKUP(E2877,#REF!,1,FALSE())),"?TYPE_IDENTIFIABLE","?REFERENTIAL"),"_")))))</f>
        <v> </v>
      </c>
      <c r="H2877" s="25" t="str">
        <f>IF(J2877&lt;&gt;1,"",IF(I2877="SBJ","CB","?"))</f>
        <v> </v>
      </c>
      <c r="I2877" s="26" t="str">
        <f>IF(OR(E2877="",E2877="!!!",F2877="NEW"),"",INDEX(B2876:B$2,-1+SUMPRODUCT(MAX(ROW(E2876:E$2)*(E2877=E2876:E$2)))))</f>
        <v> </v>
      </c>
      <c r="J2877" s="26" t="str">
        <f>IF(OR(E2877="",E2877="!!!",F2877="NEW"),"",COUNTBLANK(OFFSET(A$1,,,SUMPRODUCT(MAX(ROW(E$2:E2877)*(E2877=E$2:E2877)))))-COUNTBLANK(OFFSET(A$1,,,SUMPRODUCT(MAX(ROW(E$1:E2876)*(E2=E$1:E2876))))))</f>
        <v> </v>
      </c>
      <c r="K2877" s="26" t="str">
        <f>IF(OR(E2877="",E2877="!!!",F2877="NEW"),"",INDEX(J$1:J2876,SUMPRODUCT(MAX(ROW(E$1:E2876)*(E2877=E$1:E2876)))))</f>
        <v> </v>
      </c>
      <c r="L2877" s="27"/>
    </row>
    <row r="2878" spans="1:12">
      <c r="A2878" s="20" t="s">
        <v>1880</v>
      </c>
      <c r="E2878" s="22">
        <f>IF(D2878="?OLD","!!!","")</f>
        <v/>
      </c>
      <c r="F2878" s="23" t="str">
        <f>IF(OR(E2878="",E2878="!!!"),"",IF(NOT(ISNA(VLOOKUP(E2878,E$1:E2877,1,FALSE()))),"OLD",IF(AND(E2878&lt;&gt;"",E2878&lt;&gt;"!!!"),"NEW","")))</f>
        <v> </v>
      </c>
      <c r="G2878" s="24" t="str">
        <f>IF(OR(E2878="",E2878="!!!"),"",IF(OR(J2878=0,AND(J2878=1,K2878=1),AND(J2878=1,I2878="SBJ"),AND(J2878=1,I2878=0)),"?IN_FOCUS",IF(J2878&lt;=2,"?ACTIVATED",IF(J2878&lt;&gt;"","?FAMILIAR",IF(F2878="NEW",IF(ISNA(VLOOKUP(E2878,#REF!,1,FALSE())),"?TYPE_IDENTIFIABLE","?REFERENTIAL"),"_")))))</f>
        <v> </v>
      </c>
      <c r="H2878" s="25" t="str">
        <f>IF(J2878&lt;&gt;1,"",IF(I2878="SBJ","CB","?"))</f>
        <v> </v>
      </c>
      <c r="I2878" s="26" t="str">
        <f>IF(OR(E2878="",E2878="!!!",F2878="NEW"),"",INDEX(B2877:B$2,-1+SUMPRODUCT(MAX(ROW(E2877:E$2)*(E2878=E2877:E$2)))))</f>
        <v> </v>
      </c>
      <c r="J2878" s="26" t="str">
        <f>IF(OR(E2878="",E2878="!!!",F2878="NEW"),"",COUNTBLANK(OFFSET(A$1,,,SUMPRODUCT(MAX(ROW(E$2:E2878)*(E2878=E$2:E2878)))))-COUNTBLANK(OFFSET(A$1,,,SUMPRODUCT(MAX(ROW(E$1:E2877)*(E2=E$1:E2877))))))</f>
        <v> </v>
      </c>
      <c r="K2878" s="26" t="str">
        <f>IF(OR(E2878="",E2878="!!!",F2878="NEW"),"",INDEX(J$1:J2877,SUMPRODUCT(MAX(ROW(E$1:E2877)*(E2878=E$1:E2877)))))</f>
        <v> </v>
      </c>
      <c r="L2878" s="27"/>
    </row>
    <row r="2879" spans="1:12">
      <c r="A2879" s="20" t="s">
        <v>1030</v>
      </c>
      <c r="E2879" s="22">
        <f>IF(D2879="?OLD","!!!","")</f>
        <v/>
      </c>
      <c r="F2879" s="23" t="str">
        <f>IF(OR(E2879="",E2879="!!!"),"",IF(NOT(ISNA(VLOOKUP(E2879,E$1:E2878,1,FALSE()))),"OLD",IF(AND(E2879&lt;&gt;"",E2879&lt;&gt;"!!!"),"NEW","")))</f>
        <v> </v>
      </c>
      <c r="G2879" s="24" t="str">
        <f>IF(OR(E2879="",E2879="!!!"),"",IF(OR(J2879=0,AND(J2879=1,K2879=1),AND(J2879=1,I2879="SBJ"),AND(J2879=1,I2879=0)),"?IN_FOCUS",IF(J2879&lt;=2,"?ACTIVATED",IF(J2879&lt;&gt;"","?FAMILIAR",IF(F2879="NEW",IF(ISNA(VLOOKUP(E2879,#REF!,1,FALSE())),"?TYPE_IDENTIFIABLE","?REFERENTIAL"),"_")))))</f>
        <v> </v>
      </c>
      <c r="H2879" s="25" t="str">
        <f>IF(J2879&lt;&gt;1,"",IF(I2879="SBJ","CB","?"))</f>
        <v> </v>
      </c>
      <c r="I2879" s="26" t="str">
        <f>IF(OR(E2879="",E2879="!!!",F2879="NEW"),"",INDEX(B2878:B$2,-1+SUMPRODUCT(MAX(ROW(E2878:E$2)*(E2879=E2878:E$2)))))</f>
        <v> </v>
      </c>
      <c r="J2879" s="26" t="str">
        <f>IF(OR(E2879="",E2879="!!!",F2879="NEW"),"",COUNTBLANK(OFFSET(A$1,,,SUMPRODUCT(MAX(ROW(E$2:E2879)*(E2879=E$2:E2879)))))-COUNTBLANK(OFFSET(A$1,,,SUMPRODUCT(MAX(ROW(E$1:E2878)*(E2=E$1:E2878))))))</f>
        <v> </v>
      </c>
      <c r="K2879" s="26" t="str">
        <f>IF(OR(E2879="",E2879="!!!",F2879="NEW"),"",INDEX(J$1:J2878,SUMPRODUCT(MAX(ROW(E$1:E2878)*(E2879=E$1:E2878)))))</f>
        <v> </v>
      </c>
      <c r="L2879" s="27"/>
    </row>
    <row r="2880" spans="1:12">
      <c r="A2880" s="20" t="s">
        <v>102</v>
      </c>
      <c r="E2880" s="22">
        <f>IF(D2880="?OLD","!!!","")</f>
        <v/>
      </c>
      <c r="F2880" s="23" t="str">
        <f>IF(OR(E2880="",E2880="!!!"),"",IF(NOT(ISNA(VLOOKUP(E2880,E$1:E2879,1,FALSE()))),"OLD",IF(AND(E2880&lt;&gt;"",E2880&lt;&gt;"!!!"),"NEW","")))</f>
        <v> </v>
      </c>
      <c r="G2880" s="24" t="str">
        <f>IF(OR(E2880="",E2880="!!!"),"",IF(OR(J2880=0,AND(J2880=1,K2880=1),AND(J2880=1,I2880="SBJ"),AND(J2880=1,I2880=0)),"?IN_FOCUS",IF(J2880&lt;=2,"?ACTIVATED",IF(J2880&lt;&gt;"","?FAMILIAR",IF(F2880="NEW",IF(ISNA(VLOOKUP(E2880,#REF!,1,FALSE())),"?TYPE_IDENTIFIABLE","?REFERENTIAL"),"_")))))</f>
        <v> </v>
      </c>
      <c r="H2880" s="25" t="str">
        <f>IF(J2880&lt;&gt;1,"",IF(I2880="SBJ","CB","?"))</f>
        <v> </v>
      </c>
      <c r="I2880" s="26" t="str">
        <f>IF(OR(E2880="",E2880="!!!",F2880="NEW"),"",INDEX(B2879:B$2,-1+SUMPRODUCT(MAX(ROW(E2879:E$2)*(E2880=E2879:E$2)))))</f>
        <v> </v>
      </c>
      <c r="J2880" s="26" t="str">
        <f>IF(OR(E2880="",E2880="!!!",F2880="NEW"),"",COUNTBLANK(OFFSET(A$1,,,SUMPRODUCT(MAX(ROW(E$2:E2880)*(E2880=E$2:E2880)))))-COUNTBLANK(OFFSET(A$1,,,SUMPRODUCT(MAX(ROW(E$1:E2879)*(E2=E$1:E2879))))))</f>
        <v> </v>
      </c>
      <c r="K2880" s="26" t="str">
        <f>IF(OR(E2880="",E2880="!!!",F2880="NEW"),"",INDEX(J$1:J2879,SUMPRODUCT(MAX(ROW(E$1:E2879)*(E2880=E$1:E2879)))))</f>
        <v> </v>
      </c>
      <c r="L2880" s="27"/>
    </row>
    <row r="2881" spans="1:12">
      <c r="A2881" s="20" t="s">
        <v>1881</v>
      </c>
      <c r="B2881" s="21" t="s">
        <v>1035</v>
      </c>
      <c r="C2881" s="21" t="s">
        <v>1017</v>
      </c>
      <c r="D2881" s="21" t="s">
        <v>1007</v>
      </c>
      <c r="E2881" s="22">
        <f>IF(D2881="?OLD","!!!","")</f>
        <v/>
      </c>
      <c r="F2881" s="23" t="str">
        <f>IF(OR(E2881="",E2881="!!!"),"",IF(NOT(ISNA(VLOOKUP(E2881,E$1:E2880,1,FALSE()))),"OLD",IF(AND(E2881&lt;&gt;"",E2881&lt;&gt;"!!!"),"NEW","")))</f>
        <v> </v>
      </c>
      <c r="G2881" s="24" t="str">
        <f>IF(OR(E2881="",E2881="!!!"),"",IF(OR(J2881=0,AND(J2881=1,K2881=1),AND(J2881=1,I2881="SBJ"),AND(J2881=1,I2881=0)),"?IN_FOCUS",IF(J2881&lt;=2,"?ACTIVATED",IF(J2881&lt;&gt;"","?FAMILIAR",IF(F2881="NEW",IF(ISNA(VLOOKUP(E2881,#REF!,1,FALSE())),"?TYPE_IDENTIFIABLE","?REFERENTIAL"),"_")))))</f>
        <v> </v>
      </c>
      <c r="H2881" s="25" t="str">
        <f>IF(J2881&lt;&gt;1,"",IF(I2881="SBJ","CB","?"))</f>
        <v> </v>
      </c>
      <c r="I2881" s="26" t="str">
        <f>IF(OR(E2881="",E2881="!!!",F2881="NEW"),"",INDEX(B2880:B$2,-1+SUMPRODUCT(MAX(ROW(E2880:E$2)*(E2881=E2880:E$2)))))</f>
        <v> </v>
      </c>
      <c r="J2881" s="26" t="str">
        <f>IF(OR(E2881="",E2881="!!!",F2881="NEW"),"",COUNTBLANK(OFFSET(A$1,,,SUMPRODUCT(MAX(ROW(E$2:E2881)*(E2881=E$2:E2881)))))-COUNTBLANK(OFFSET(A$1,,,SUMPRODUCT(MAX(ROW(E$1:E2880)*(E2=E$1:E2880))))))</f>
        <v> </v>
      </c>
      <c r="K2881" s="26" t="str">
        <f>IF(OR(E2881="",E2881="!!!",F2881="NEW"),"",INDEX(J$1:J2880,SUMPRODUCT(MAX(ROW(E$1:E2880)*(E2881=E$1:E2880)))))</f>
        <v> </v>
      </c>
      <c r="L2881" s="27"/>
    </row>
    <row r="2882" spans="1:12">
      <c r="A2882" s="20" t="s">
        <v>56</v>
      </c>
      <c r="E2882" s="22">
        <f>IF(D2882="?OLD","!!!","")</f>
        <v/>
      </c>
      <c r="F2882" s="23" t="str">
        <f>IF(OR(E2882="",E2882="!!!"),"",IF(NOT(ISNA(VLOOKUP(E2882,E$1:E2881,1,FALSE()))),"OLD",IF(AND(E2882&lt;&gt;"",E2882&lt;&gt;"!!!"),"NEW","")))</f>
        <v> </v>
      </c>
      <c r="G2882" s="24" t="str">
        <f>IF(OR(E2882="",E2882="!!!"),"",IF(OR(J2882=0,AND(J2882=1,K2882=1),AND(J2882=1,I2882="SBJ"),AND(J2882=1,I2882=0)),"?IN_FOCUS",IF(J2882&lt;=2,"?ACTIVATED",IF(J2882&lt;&gt;"","?FAMILIAR",IF(F2882="NEW",IF(ISNA(VLOOKUP(E2882,#REF!,1,FALSE())),"?TYPE_IDENTIFIABLE","?REFERENTIAL"),"_")))))</f>
        <v> </v>
      </c>
      <c r="H2882" s="25" t="str">
        <f>IF(J2882&lt;&gt;1,"",IF(I2882="SBJ","CB","?"))</f>
        <v> </v>
      </c>
      <c r="I2882" s="26" t="str">
        <f>IF(OR(E2882="",E2882="!!!",F2882="NEW"),"",INDEX(B2881:B$2,-1+SUMPRODUCT(MAX(ROW(E2881:E$2)*(E2882=E2881:E$2)))))</f>
        <v> </v>
      </c>
      <c r="J2882" s="26" t="str">
        <f>IF(OR(E2882="",E2882="!!!",F2882="NEW"),"",COUNTBLANK(OFFSET(A$1,,,SUMPRODUCT(MAX(ROW(E$2:E2882)*(E2882=E$2:E2882)))))-COUNTBLANK(OFFSET(A$1,,,SUMPRODUCT(MAX(ROW(E$1:E2881)*(E2=E$1:E2881))))))</f>
        <v> </v>
      </c>
      <c r="K2882" s="26" t="str">
        <f>IF(OR(E2882="",E2882="!!!",F2882="NEW"),"",INDEX(J$1:J2881,SUMPRODUCT(MAX(ROW(E$1:E2881)*(E2882=E$1:E2881)))))</f>
        <v> </v>
      </c>
      <c r="L2882" s="27"/>
    </row>
    <row r="2883" spans="1:12">
      <c r="A2883" s="20" t="s">
        <v>1882</v>
      </c>
      <c r="E2883" s="22">
        <f>IF(D2883="?OLD","!!!","")</f>
        <v/>
      </c>
      <c r="F2883" s="23" t="str">
        <f>IF(OR(E2883="",E2883="!!!"),"",IF(NOT(ISNA(VLOOKUP(E2883,E$1:E2882,1,FALSE()))),"OLD",IF(AND(E2883&lt;&gt;"",E2883&lt;&gt;"!!!"),"NEW","")))</f>
        <v> </v>
      </c>
      <c r="G2883" s="24" t="str">
        <f>IF(OR(E2883="",E2883="!!!"),"",IF(OR(J2883=0,AND(J2883=1,K2883=1),AND(J2883=1,I2883="SBJ"),AND(J2883=1,I2883=0)),"?IN_FOCUS",IF(J2883&lt;=2,"?ACTIVATED",IF(J2883&lt;&gt;"","?FAMILIAR",IF(F2883="NEW",IF(ISNA(VLOOKUP(E2883,#REF!,1,FALSE())),"?TYPE_IDENTIFIABLE","?REFERENTIAL"),"_")))))</f>
        <v> </v>
      </c>
      <c r="H2883" s="25" t="str">
        <f>IF(J2883&lt;&gt;1,"",IF(I2883="SBJ","CB","?"))</f>
        <v> </v>
      </c>
      <c r="I2883" s="26" t="str">
        <f>IF(OR(E2883="",E2883="!!!",F2883="NEW"),"",INDEX(B2882:B$2,-1+SUMPRODUCT(MAX(ROW(E2882:E$2)*(E2883=E2882:E$2)))))</f>
        <v> </v>
      </c>
      <c r="J2883" s="26" t="str">
        <f>IF(OR(E2883="",E2883="!!!",F2883="NEW"),"",COUNTBLANK(OFFSET(A$1,,,SUMPRODUCT(MAX(ROW(E$2:E2883)*(E2883=E$2:E2883)))))-COUNTBLANK(OFFSET(A$1,,,SUMPRODUCT(MAX(ROW(E$1:E2882)*(E2=E$1:E2882))))))</f>
        <v> </v>
      </c>
      <c r="K2883" s="26" t="str">
        <f>IF(OR(E2883="",E2883="!!!",F2883="NEW"),"",INDEX(J$1:J2882,SUMPRODUCT(MAX(ROW(E$1:E2882)*(E2883=E$1:E2882)))))</f>
        <v> </v>
      </c>
      <c r="L2883" s="27"/>
    </row>
    <row r="2884" spans="1:12">
      <c r="A2884" s="20" t="s">
        <v>1097</v>
      </c>
      <c r="E2884" s="22">
        <f>IF(D2884="?OLD","!!!","")</f>
        <v/>
      </c>
      <c r="F2884" s="23" t="str">
        <f>IF(OR(E2884="",E2884="!!!"),"",IF(NOT(ISNA(VLOOKUP(E2884,E$1:E2883,1,FALSE()))),"OLD",IF(AND(E2884&lt;&gt;"",E2884&lt;&gt;"!!!"),"NEW","")))</f>
        <v> </v>
      </c>
      <c r="G2884" s="24" t="str">
        <f>IF(OR(E2884="",E2884="!!!"),"",IF(OR(J2884=0,AND(J2884=1,K2884=1),AND(J2884=1,I2884="SBJ"),AND(J2884=1,I2884=0)),"?IN_FOCUS",IF(J2884&lt;=2,"?ACTIVATED",IF(J2884&lt;&gt;"","?FAMILIAR",IF(F2884="NEW",IF(ISNA(VLOOKUP(E2884,#REF!,1,FALSE())),"?TYPE_IDENTIFIABLE","?REFERENTIAL"),"_")))))</f>
        <v> </v>
      </c>
      <c r="H2884" s="25" t="str">
        <f>IF(J2884&lt;&gt;1,"",IF(I2884="SBJ","CB","?"))</f>
        <v> </v>
      </c>
      <c r="I2884" s="26" t="str">
        <f>IF(OR(E2884="",E2884="!!!",F2884="NEW"),"",INDEX(B2883:B$2,-1+SUMPRODUCT(MAX(ROW(E2883:E$2)*(E2884=E2883:E$2)))))</f>
        <v> </v>
      </c>
      <c r="J2884" s="26" t="str">
        <f>IF(OR(E2884="",E2884="!!!",F2884="NEW"),"",COUNTBLANK(OFFSET(A$1,,,SUMPRODUCT(MAX(ROW(E$2:E2884)*(E2884=E$2:E2884)))))-COUNTBLANK(OFFSET(A$1,,,SUMPRODUCT(MAX(ROW(E$1:E2883)*(E2=E$1:E2883))))))</f>
        <v> </v>
      </c>
      <c r="K2884" s="26" t="str">
        <f>IF(OR(E2884="",E2884="!!!",F2884="NEW"),"",INDEX(J$1:J2883,SUMPRODUCT(MAX(ROW(E$1:E2883)*(E2884=E$1:E2883)))))</f>
        <v> </v>
      </c>
      <c r="L2884" s="27"/>
    </row>
    <row r="2885" spans="1:12">
      <c r="A2885" s="20" t="s">
        <v>1020</v>
      </c>
      <c r="E2885" s="22">
        <f>IF(D2885="?OLD","!!!","")</f>
        <v/>
      </c>
      <c r="F2885" s="23" t="str">
        <f>IF(OR(E2885="",E2885="!!!"),"",IF(NOT(ISNA(VLOOKUP(E2885,E$1:E2884,1,FALSE()))),"OLD",IF(AND(E2885&lt;&gt;"",E2885&lt;&gt;"!!!"),"NEW","")))</f>
        <v> </v>
      </c>
      <c r="G2885" s="24" t="str">
        <f>IF(OR(E2885="",E2885="!!!"),"",IF(OR(J2885=0,AND(J2885=1,K2885=1),AND(J2885=1,I2885="SBJ"),AND(J2885=1,I2885=0)),"?IN_FOCUS",IF(J2885&lt;=2,"?ACTIVATED",IF(J2885&lt;&gt;"","?FAMILIAR",IF(F2885="NEW",IF(ISNA(VLOOKUP(E2885,#REF!,1,FALSE())),"?TYPE_IDENTIFIABLE","?REFERENTIAL"),"_")))))</f>
        <v> </v>
      </c>
      <c r="H2885" s="25" t="str">
        <f>IF(J2885&lt;&gt;1,"",IF(I2885="SBJ","CB","?"))</f>
        <v> </v>
      </c>
      <c r="I2885" s="26" t="str">
        <f>IF(OR(E2885="",E2885="!!!",F2885="NEW"),"",INDEX(B2884:B$2,-1+SUMPRODUCT(MAX(ROW(E2884:E$2)*(E2885=E2884:E$2)))))</f>
        <v> </v>
      </c>
      <c r="J2885" s="26" t="str">
        <f>IF(OR(E2885="",E2885="!!!",F2885="NEW"),"",COUNTBLANK(OFFSET(A$1,,,SUMPRODUCT(MAX(ROW(E$2:E2885)*(E2885=E$2:E2885)))))-COUNTBLANK(OFFSET(A$1,,,SUMPRODUCT(MAX(ROW(E$1:E2884)*(E2=E$1:E2884))))))</f>
        <v> </v>
      </c>
      <c r="K2885" s="26" t="str">
        <f>IF(OR(E2885="",E2885="!!!",F2885="NEW"),"",INDEX(J$1:J2884,SUMPRODUCT(MAX(ROW(E$1:E2884)*(E2885=E$1:E2884)))))</f>
        <v> </v>
      </c>
      <c r="L2885" s="27"/>
    </row>
    <row r="2886" spans="1:12">
      <c r="A2886" s="20" t="s">
        <v>1883</v>
      </c>
      <c r="B2886" s="21" t="s">
        <v>1130</v>
      </c>
      <c r="C2886" s="21" t="s">
        <v>1017</v>
      </c>
      <c r="D2886" s="21" t="s">
        <v>1007</v>
      </c>
      <c r="E2886" s="22">
        <f>IF(D2886="?OLD","!!!","")</f>
        <v/>
      </c>
      <c r="F2886" s="23" t="str">
        <f>IF(OR(E2886="",E2886="!!!"),"",IF(NOT(ISNA(VLOOKUP(E2886,E$1:E2885,1,FALSE()))),"OLD",IF(AND(E2886&lt;&gt;"",E2886&lt;&gt;"!!!"),"NEW","")))</f>
        <v> </v>
      </c>
      <c r="G2886" s="24" t="str">
        <f>IF(OR(E2886="",E2886="!!!"),"",IF(OR(J2886=0,AND(J2886=1,K2886=1),AND(J2886=1,I2886="SBJ"),AND(J2886=1,I2886=0)),"?IN_FOCUS",IF(J2886&lt;=2,"?ACTIVATED",IF(J2886&lt;&gt;"","?FAMILIAR",IF(F2886="NEW",IF(ISNA(VLOOKUP(E2886,#REF!,1,FALSE())),"?TYPE_IDENTIFIABLE","?REFERENTIAL"),"_")))))</f>
        <v> </v>
      </c>
      <c r="H2886" s="25" t="str">
        <f>IF(J2886&lt;&gt;1,"",IF(I2886="SBJ","CB","?"))</f>
        <v> </v>
      </c>
      <c r="I2886" s="26" t="str">
        <f>IF(OR(E2886="",E2886="!!!",F2886="NEW"),"",INDEX(B2885:B$2,-1+SUMPRODUCT(MAX(ROW(E2885:E$2)*(E2886=E2885:E$2)))))</f>
        <v> </v>
      </c>
      <c r="J2886" s="26" t="str">
        <f>IF(OR(E2886="",E2886="!!!",F2886="NEW"),"",COUNTBLANK(OFFSET(A$1,,,SUMPRODUCT(MAX(ROW(E$2:E2886)*(E2886=E$2:E2886)))))-COUNTBLANK(OFFSET(A$1,,,SUMPRODUCT(MAX(ROW(E$1:E2885)*(E2=E$1:E2885))))))</f>
        <v> </v>
      </c>
      <c r="K2886" s="26" t="str">
        <f>IF(OR(E2886="",E2886="!!!",F2886="NEW"),"",INDEX(J$1:J2885,SUMPRODUCT(MAX(ROW(E$1:E2885)*(E2886=E$1:E2885)))))</f>
        <v> </v>
      </c>
      <c r="L2886" s="27"/>
    </row>
    <row r="2887" spans="1:12">
      <c r="A2887" s="20" t="s">
        <v>1018</v>
      </c>
      <c r="E2887" s="22">
        <f>IF(D2887="?OLD","!!!","")</f>
        <v/>
      </c>
      <c r="F2887" s="23" t="str">
        <f>IF(OR(E2887="",E2887="!!!"),"",IF(NOT(ISNA(VLOOKUP(E2887,E$1:E2886,1,FALSE()))),"OLD",IF(AND(E2887&lt;&gt;"",E2887&lt;&gt;"!!!"),"NEW","")))</f>
        <v> </v>
      </c>
      <c r="G2887" s="24" t="str">
        <f>IF(OR(E2887="",E2887="!!!"),"",IF(OR(J2887=0,AND(J2887=1,K2887=1),AND(J2887=1,I2887="SBJ"),AND(J2887=1,I2887=0)),"?IN_FOCUS",IF(J2887&lt;=2,"?ACTIVATED",IF(J2887&lt;&gt;"","?FAMILIAR",IF(F2887="NEW",IF(ISNA(VLOOKUP(E2887,#REF!,1,FALSE())),"?TYPE_IDENTIFIABLE","?REFERENTIAL"),"_")))))</f>
        <v> </v>
      </c>
      <c r="H2887" s="25" t="str">
        <f>IF(J2887&lt;&gt;1,"",IF(I2887="SBJ","CB","?"))</f>
        <v> </v>
      </c>
      <c r="I2887" s="26" t="str">
        <f>IF(OR(E2887="",E2887="!!!",F2887="NEW"),"",INDEX(B2886:B$2,-1+SUMPRODUCT(MAX(ROW(E2886:E$2)*(E2887=E2886:E$2)))))</f>
        <v> </v>
      </c>
      <c r="J2887" s="26" t="str">
        <f>IF(OR(E2887="",E2887="!!!",F2887="NEW"),"",COUNTBLANK(OFFSET(A$1,,,SUMPRODUCT(MAX(ROW(E$2:E2887)*(E2887=E$2:E2887)))))-COUNTBLANK(OFFSET(A$1,,,SUMPRODUCT(MAX(ROW(E$1:E2886)*(E2=E$1:E2886))))))</f>
        <v> </v>
      </c>
      <c r="K2887" s="26" t="str">
        <f>IF(OR(E2887="",E2887="!!!",F2887="NEW"),"",INDEX(J$1:J2886,SUMPRODUCT(MAX(ROW(E$1:E2886)*(E2887=E$1:E2886)))))</f>
        <v> </v>
      </c>
      <c r="L2887" s="27"/>
    </row>
    <row r="2888" spans="1:12">
      <c r="A2888" s="20" t="s">
        <v>1014</v>
      </c>
      <c r="E2888" s="22">
        <f>IF(D2888="?OLD","!!!","")</f>
        <v/>
      </c>
      <c r="F2888" s="23" t="str">
        <f>IF(OR(E2888="",E2888="!!!"),"",IF(NOT(ISNA(VLOOKUP(E2888,E$1:E2887,1,FALSE()))),"OLD",IF(AND(E2888&lt;&gt;"",E2888&lt;&gt;"!!!"),"NEW","")))</f>
        <v> </v>
      </c>
      <c r="G2888" s="24" t="str">
        <f>IF(OR(E2888="",E2888="!!!"),"",IF(OR(J2888=0,AND(J2888=1,K2888=1),AND(J2888=1,I2888="SBJ"),AND(J2888=1,I2888=0)),"?IN_FOCUS",IF(J2888&lt;=2,"?ACTIVATED",IF(J2888&lt;&gt;"","?FAMILIAR",IF(F2888="NEW",IF(ISNA(VLOOKUP(E2888,#REF!,1,FALSE())),"?TYPE_IDENTIFIABLE","?REFERENTIAL"),"_")))))</f>
        <v> </v>
      </c>
      <c r="H2888" s="25" t="str">
        <f>IF(J2888&lt;&gt;1,"",IF(I2888="SBJ","CB","?"))</f>
        <v> </v>
      </c>
      <c r="I2888" s="26" t="str">
        <f>IF(OR(E2888="",E2888="!!!",F2888="NEW"),"",INDEX(B2887:B$2,-1+SUMPRODUCT(MAX(ROW(E2887:E$2)*(E2888=E2887:E$2)))))</f>
        <v> </v>
      </c>
      <c r="J2888" s="26" t="str">
        <f>IF(OR(E2888="",E2888="!!!",F2888="NEW"),"",COUNTBLANK(OFFSET(A$1,,,SUMPRODUCT(MAX(ROW(E$2:E2888)*(E2888=E$2:E2888)))))-COUNTBLANK(OFFSET(A$1,,,SUMPRODUCT(MAX(ROW(E$1:E2887)*(E2=E$1:E2887))))))</f>
        <v> </v>
      </c>
      <c r="K2888" s="26" t="str">
        <f>IF(OR(E2888="",E2888="!!!",F2888="NEW"),"",INDEX(J$1:J2887,SUMPRODUCT(MAX(ROW(E$1:E2887)*(E2888=E$1:E2887)))))</f>
        <v> </v>
      </c>
      <c r="L2888" s="27"/>
    </row>
    <row r="2889" spans="1:12">
      <c r="A2889" s="20" t="s">
        <v>1884</v>
      </c>
      <c r="E2889" s="22">
        <f>IF(D2889="?OLD","!!!","")</f>
        <v/>
      </c>
      <c r="F2889" s="23" t="str">
        <f>IF(OR(E2889="",E2889="!!!"),"",IF(NOT(ISNA(VLOOKUP(E2889,E$1:E2888,1,FALSE()))),"OLD",IF(AND(E2889&lt;&gt;"",E2889&lt;&gt;"!!!"),"NEW","")))</f>
        <v> </v>
      </c>
      <c r="G2889" s="24" t="str">
        <f>IF(OR(E2889="",E2889="!!!"),"",IF(OR(J2889=0,AND(J2889=1,K2889=1),AND(J2889=1,I2889="SBJ"),AND(J2889=1,I2889=0)),"?IN_FOCUS",IF(J2889&lt;=2,"?ACTIVATED",IF(J2889&lt;&gt;"","?FAMILIAR",IF(F2889="NEW",IF(ISNA(VLOOKUP(E2889,#REF!,1,FALSE())),"?TYPE_IDENTIFIABLE","?REFERENTIAL"),"_")))))</f>
        <v> </v>
      </c>
      <c r="H2889" s="25" t="str">
        <f>IF(J2889&lt;&gt;1,"",IF(I2889="SBJ","CB","?"))</f>
        <v> </v>
      </c>
      <c r="I2889" s="26" t="str">
        <f>IF(OR(E2889="",E2889="!!!",F2889="NEW"),"",INDEX(B2888:B$2,-1+SUMPRODUCT(MAX(ROW(E2888:E$2)*(E2889=E2888:E$2)))))</f>
        <v> </v>
      </c>
      <c r="J2889" s="26" t="str">
        <f>IF(OR(E2889="",E2889="!!!",F2889="NEW"),"",COUNTBLANK(OFFSET(A$1,,,SUMPRODUCT(MAX(ROW(E$2:E2889)*(E2889=E$2:E2889)))))-COUNTBLANK(OFFSET(A$1,,,SUMPRODUCT(MAX(ROW(E$1:E2888)*(E2=E$1:E2888))))))</f>
        <v> </v>
      </c>
      <c r="K2889" s="26" t="str">
        <f>IF(OR(E2889="",E2889="!!!",F2889="NEW"),"",INDEX(J$1:J2888,SUMPRODUCT(MAX(ROW(E$1:E2888)*(E2889=E$1:E2888)))))</f>
        <v> </v>
      </c>
      <c r="L2889" s="27"/>
    </row>
    <row r="2890" spans="1:12">
      <c r="A2890" s="20" t="s">
        <v>1324</v>
      </c>
      <c r="E2890" s="22">
        <f>IF(D2890="?OLD","!!!","")</f>
        <v/>
      </c>
      <c r="F2890" s="23" t="str">
        <f>IF(OR(E2890="",E2890="!!!"),"",IF(NOT(ISNA(VLOOKUP(E2890,E$1:E2889,1,FALSE()))),"OLD",IF(AND(E2890&lt;&gt;"",E2890&lt;&gt;"!!!"),"NEW","")))</f>
        <v> </v>
      </c>
      <c r="G2890" s="24" t="str">
        <f>IF(OR(E2890="",E2890="!!!"),"",IF(OR(J2890=0,AND(J2890=1,K2890=1),AND(J2890=1,I2890="SBJ"),AND(J2890=1,I2890=0)),"?IN_FOCUS",IF(J2890&lt;=2,"?ACTIVATED",IF(J2890&lt;&gt;"","?FAMILIAR",IF(F2890="NEW",IF(ISNA(VLOOKUP(E2890,#REF!,1,FALSE())),"?TYPE_IDENTIFIABLE","?REFERENTIAL"),"_")))))</f>
        <v> </v>
      </c>
      <c r="H2890" s="25" t="str">
        <f>IF(J2890&lt;&gt;1,"",IF(I2890="SBJ","CB","?"))</f>
        <v> </v>
      </c>
      <c r="I2890" s="26" t="str">
        <f>IF(OR(E2890="",E2890="!!!",F2890="NEW"),"",INDEX(B2889:B$2,-1+SUMPRODUCT(MAX(ROW(E2889:E$2)*(E2890=E2889:E$2)))))</f>
        <v> </v>
      </c>
      <c r="J2890" s="26" t="str">
        <f>IF(OR(E2890="",E2890="!!!",F2890="NEW"),"",COUNTBLANK(OFFSET(A$1,,,SUMPRODUCT(MAX(ROW(E$2:E2890)*(E2890=E$2:E2890)))))-COUNTBLANK(OFFSET(A$1,,,SUMPRODUCT(MAX(ROW(E$1:E2889)*(E2=E$1:E2889))))))</f>
        <v> </v>
      </c>
      <c r="K2890" s="26" t="str">
        <f>IF(OR(E2890="",E2890="!!!",F2890="NEW"),"",INDEX(J$1:J2889,SUMPRODUCT(MAX(ROW(E$1:E2889)*(E2890=E$1:E2889)))))</f>
        <v> </v>
      </c>
      <c r="L2890" s="27"/>
    </row>
    <row r="2891" spans="1:12">
      <c r="A2891" s="20" t="s">
        <v>1885</v>
      </c>
      <c r="B2891" s="21" t="s">
        <v>1134</v>
      </c>
      <c r="C2891" s="21" t="s">
        <v>1111</v>
      </c>
      <c r="E2891" s="22">
        <f>IF(D2891="?OLD","!!!","")</f>
        <v/>
      </c>
      <c r="F2891" s="23" t="str">
        <f>IF(OR(E2891="",E2891="!!!"),"",IF(NOT(ISNA(VLOOKUP(E2891,E$1:E2890,1,FALSE()))),"OLD",IF(AND(E2891&lt;&gt;"",E2891&lt;&gt;"!!!"),"NEW","")))</f>
        <v> </v>
      </c>
      <c r="G2891" s="24" t="str">
        <f>IF(OR(E2891="",E2891="!!!"),"",IF(OR(J2891=0,AND(J2891=1,K2891=1),AND(J2891=1,I2891="SBJ"),AND(J2891=1,I2891=0)),"?IN_FOCUS",IF(J2891&lt;=2,"?ACTIVATED",IF(J2891&lt;&gt;"","?FAMILIAR",IF(F2891="NEW",IF(ISNA(VLOOKUP(E2891,#REF!,1,FALSE())),"?TYPE_IDENTIFIABLE","?REFERENTIAL"),"_")))))</f>
        <v> </v>
      </c>
      <c r="H2891" s="25" t="str">
        <f>IF(J2891&lt;&gt;1,"",IF(I2891="SBJ","CB","?"))</f>
        <v> </v>
      </c>
      <c r="I2891" s="26" t="str">
        <f>IF(OR(E2891="",E2891="!!!",F2891="NEW"),"",INDEX(B2890:B$2,-1+SUMPRODUCT(MAX(ROW(E2890:E$2)*(E2891=E2890:E$2)))))</f>
        <v> </v>
      </c>
      <c r="J2891" s="26" t="str">
        <f>IF(OR(E2891="",E2891="!!!",F2891="NEW"),"",COUNTBLANK(OFFSET(A$1,,,SUMPRODUCT(MAX(ROW(E$2:E2891)*(E2891=E$2:E2891)))))-COUNTBLANK(OFFSET(A$1,,,SUMPRODUCT(MAX(ROW(E$1:E2890)*(E2=E$1:E2890))))))</f>
        <v> </v>
      </c>
      <c r="K2891" s="26" t="str">
        <f>IF(OR(E2891="",E2891="!!!",F2891="NEW"),"",INDEX(J$1:J2890,SUMPRODUCT(MAX(ROW(E$1:E2890)*(E2891=E$1:E2890)))))</f>
        <v> </v>
      </c>
      <c r="L2891" s="27"/>
    </row>
    <row r="2892" spans="1:12">
      <c r="A2892" s="20" t="s">
        <v>1886</v>
      </c>
      <c r="E2892" s="22">
        <f>IF(D2892="?OLD","!!!","")</f>
        <v/>
      </c>
      <c r="F2892" s="23" t="str">
        <f>IF(OR(E2892="",E2892="!!!"),"",IF(NOT(ISNA(VLOOKUP(E2892,E$1:E2891,1,FALSE()))),"OLD",IF(AND(E2892&lt;&gt;"",E2892&lt;&gt;"!!!"),"NEW","")))</f>
        <v> </v>
      </c>
      <c r="G2892" s="24" t="str">
        <f>IF(OR(E2892="",E2892="!!!"),"",IF(OR(J2892=0,AND(J2892=1,K2892=1),AND(J2892=1,I2892="SBJ"),AND(J2892=1,I2892=0)),"?IN_FOCUS",IF(J2892&lt;=2,"?ACTIVATED",IF(J2892&lt;&gt;"","?FAMILIAR",IF(F2892="NEW",IF(ISNA(VLOOKUP(E2892,#REF!,1,FALSE())),"?TYPE_IDENTIFIABLE","?REFERENTIAL"),"_")))))</f>
        <v> </v>
      </c>
      <c r="H2892" s="25" t="str">
        <f>IF(J2892&lt;&gt;1,"",IF(I2892="SBJ","CB","?"))</f>
        <v> </v>
      </c>
      <c r="I2892" s="26" t="str">
        <f>IF(OR(E2892="",E2892="!!!",F2892="NEW"),"",INDEX(B2891:B$2,-1+SUMPRODUCT(MAX(ROW(E2891:E$2)*(E2892=E2891:E$2)))))</f>
        <v> </v>
      </c>
      <c r="J2892" s="26" t="str">
        <f>IF(OR(E2892="",E2892="!!!",F2892="NEW"),"",COUNTBLANK(OFFSET(A$1,,,SUMPRODUCT(MAX(ROW(E$2:E2892)*(E2892=E$2:E2892)))))-COUNTBLANK(OFFSET(A$1,,,SUMPRODUCT(MAX(ROW(E$1:E2891)*(E2=E$1:E2891))))))</f>
        <v> </v>
      </c>
      <c r="K2892" s="26" t="str">
        <f>IF(OR(E2892="",E2892="!!!",F2892="NEW"),"",INDEX(J$1:J2891,SUMPRODUCT(MAX(ROW(E$1:E2891)*(E2892=E$1:E2891)))))</f>
        <v> </v>
      </c>
      <c r="L2892" s="27"/>
    </row>
    <row r="2893" spans="1:12">
      <c r="A2893" s="20" t="s">
        <v>1097</v>
      </c>
      <c r="E2893" s="22">
        <f>IF(D2893="?OLD","!!!","")</f>
        <v/>
      </c>
      <c r="F2893" s="23" t="str">
        <f>IF(OR(E2893="",E2893="!!!"),"",IF(NOT(ISNA(VLOOKUP(E2893,E$1:E2892,1,FALSE()))),"OLD",IF(AND(E2893&lt;&gt;"",E2893&lt;&gt;"!!!"),"NEW","")))</f>
        <v> </v>
      </c>
      <c r="G2893" s="24" t="str">
        <f>IF(OR(E2893="",E2893="!!!"),"",IF(OR(J2893=0,AND(J2893=1,K2893=1),AND(J2893=1,I2893="SBJ"),AND(J2893=1,I2893=0)),"?IN_FOCUS",IF(J2893&lt;=2,"?ACTIVATED",IF(J2893&lt;&gt;"","?FAMILIAR",IF(F2893="NEW",IF(ISNA(VLOOKUP(E2893,#REF!,1,FALSE())),"?TYPE_IDENTIFIABLE","?REFERENTIAL"),"_")))))</f>
        <v> </v>
      </c>
      <c r="H2893" s="25" t="str">
        <f>IF(J2893&lt;&gt;1,"",IF(I2893="SBJ","CB","?"))</f>
        <v> </v>
      </c>
      <c r="I2893" s="26" t="str">
        <f>IF(OR(E2893="",E2893="!!!",F2893="NEW"),"",INDEX(B2892:B$2,-1+SUMPRODUCT(MAX(ROW(E2892:E$2)*(E2893=E2892:E$2)))))</f>
        <v> </v>
      </c>
      <c r="J2893" s="26" t="str">
        <f>IF(OR(E2893="",E2893="!!!",F2893="NEW"),"",COUNTBLANK(OFFSET(A$1,,,SUMPRODUCT(MAX(ROW(E$2:E2893)*(E2893=E$2:E2893)))))-COUNTBLANK(OFFSET(A$1,,,SUMPRODUCT(MAX(ROW(E$1:E2892)*(E2=E$1:E2892))))))</f>
        <v> </v>
      </c>
      <c r="K2893" s="26" t="str">
        <f>IF(OR(E2893="",E2893="!!!",F2893="NEW"),"",INDEX(J$1:J2892,SUMPRODUCT(MAX(ROW(E$1:E2892)*(E2893=E$1:E2892)))))</f>
        <v> </v>
      </c>
      <c r="L2893" s="27"/>
    </row>
    <row r="2894" spans="1:12">
      <c r="A2894" s="20" t="s">
        <v>1015</v>
      </c>
      <c r="E2894" s="22">
        <f>IF(D2894="?OLD","!!!","")</f>
        <v/>
      </c>
      <c r="F2894" s="23" t="str">
        <f>IF(OR(E2894="",E2894="!!!"),"",IF(NOT(ISNA(VLOOKUP(E2894,E$1:E2893,1,FALSE()))),"OLD",IF(AND(E2894&lt;&gt;"",E2894&lt;&gt;"!!!"),"NEW","")))</f>
        <v> </v>
      </c>
      <c r="G2894" s="24" t="str">
        <f>IF(OR(E2894="",E2894="!!!"),"",IF(OR(J2894=0,AND(J2894=1,K2894=1),AND(J2894=1,I2894="SBJ"),AND(J2894=1,I2894=0)),"?IN_FOCUS",IF(J2894&lt;=2,"?ACTIVATED",IF(J2894&lt;&gt;"","?FAMILIAR",IF(F2894="NEW",IF(ISNA(VLOOKUP(E2894,#REF!,1,FALSE())),"?TYPE_IDENTIFIABLE","?REFERENTIAL"),"_")))))</f>
        <v> </v>
      </c>
      <c r="H2894" s="25" t="str">
        <f>IF(J2894&lt;&gt;1,"",IF(I2894="SBJ","CB","?"))</f>
        <v> </v>
      </c>
      <c r="I2894" s="26" t="str">
        <f>IF(OR(E2894="",E2894="!!!",F2894="NEW"),"",INDEX(B2893:B$2,-1+SUMPRODUCT(MAX(ROW(E2893:E$2)*(E2894=E2893:E$2)))))</f>
        <v> </v>
      </c>
      <c r="J2894" s="26" t="str">
        <f>IF(OR(E2894="",E2894="!!!",F2894="NEW"),"",COUNTBLANK(OFFSET(A$1,,,SUMPRODUCT(MAX(ROW(E$2:E2894)*(E2894=E$2:E2894)))))-COUNTBLANK(OFFSET(A$1,,,SUMPRODUCT(MAX(ROW(E$1:E2893)*(E2=E$1:E2893))))))</f>
        <v> </v>
      </c>
      <c r="K2894" s="26" t="str">
        <f>IF(OR(E2894="",E2894="!!!",F2894="NEW"),"",INDEX(J$1:J2893,SUMPRODUCT(MAX(ROW(E$1:E2893)*(E2894=E$1:E2893)))))</f>
        <v> </v>
      </c>
      <c r="L2894" s="27"/>
    </row>
    <row r="2895" spans="1:12">
      <c r="A2895" s="20" t="s">
        <v>1544</v>
      </c>
      <c r="B2895" s="21" t="s">
        <v>1042</v>
      </c>
      <c r="C2895" s="21" t="s">
        <v>1059</v>
      </c>
      <c r="D2895" s="21" t="s">
        <v>1007</v>
      </c>
      <c r="E2895" s="22">
        <f>IF(D2895="?OLD","!!!","")</f>
        <v/>
      </c>
      <c r="F2895" s="23" t="str">
        <f>IF(OR(E2895="",E2895="!!!"),"",IF(NOT(ISNA(VLOOKUP(E2895,E$1:E2894,1,FALSE()))),"OLD",IF(AND(E2895&lt;&gt;"",E2895&lt;&gt;"!!!"),"NEW","")))</f>
        <v> </v>
      </c>
      <c r="G2895" s="24" t="str">
        <f>IF(OR(E2895="",E2895="!!!"),"",IF(OR(J2895=0,AND(J2895=1,K2895=1),AND(J2895=1,I2895="SBJ"),AND(J2895=1,I2895=0)),"?IN_FOCUS",IF(J2895&lt;=2,"?ACTIVATED",IF(J2895&lt;&gt;"","?FAMILIAR",IF(F2895="NEW",IF(ISNA(VLOOKUP(E2895,#REF!,1,FALSE())),"?TYPE_IDENTIFIABLE","?REFERENTIAL"),"_")))))</f>
        <v> </v>
      </c>
      <c r="H2895" s="25" t="str">
        <f>IF(J2895&lt;&gt;1,"",IF(I2895="SBJ","CB","?"))</f>
        <v> </v>
      </c>
      <c r="I2895" s="26" t="str">
        <f>IF(OR(E2895="",E2895="!!!",F2895="NEW"),"",INDEX(B2894:B$2,-1+SUMPRODUCT(MAX(ROW(E2894:E$2)*(E2895=E2894:E$2)))))</f>
        <v> </v>
      </c>
      <c r="J2895" s="26" t="str">
        <f>IF(OR(E2895="",E2895="!!!",F2895="NEW"),"",COUNTBLANK(OFFSET(A$1,,,SUMPRODUCT(MAX(ROW(E$2:E2895)*(E2895=E$2:E2895)))))-COUNTBLANK(OFFSET(A$1,,,SUMPRODUCT(MAX(ROW(E$1:E2894)*(E2=E$1:E2894))))))</f>
        <v> </v>
      </c>
      <c r="K2895" s="26" t="str">
        <f>IF(OR(E2895="",E2895="!!!",F2895="NEW"),"",INDEX(J$1:J2894,SUMPRODUCT(MAX(ROW(E$1:E2894)*(E2895=E$1:E2894)))))</f>
        <v> </v>
      </c>
      <c r="L2895" s="27"/>
    </row>
    <row r="2896" spans="1:12">
      <c r="A2896" s="20" t="s">
        <v>1887</v>
      </c>
      <c r="B2896" s="21" t="s">
        <v>1040</v>
      </c>
      <c r="C2896" s="21" t="s">
        <v>1017</v>
      </c>
      <c r="D2896" s="21" t="s">
        <v>1007</v>
      </c>
      <c r="E2896" s="22">
        <f>IF(D2896="?OLD","!!!","")</f>
        <v/>
      </c>
      <c r="F2896" s="23" t="str">
        <f>IF(OR(E2896="",E2896="!!!"),"",IF(NOT(ISNA(VLOOKUP(E2896,E$1:E2895,1,FALSE()))),"OLD",IF(AND(E2896&lt;&gt;"",E2896&lt;&gt;"!!!"),"NEW","")))</f>
        <v> </v>
      </c>
      <c r="G2896" s="24" t="str">
        <f>IF(OR(E2896="",E2896="!!!"),"",IF(OR(J2896=0,AND(J2896=1,K2896=1),AND(J2896=1,I2896="SBJ"),AND(J2896=1,I2896=0)),"?IN_FOCUS",IF(J2896&lt;=2,"?ACTIVATED",IF(J2896&lt;&gt;"","?FAMILIAR",IF(F2896="NEW",IF(ISNA(VLOOKUP(E2896,#REF!,1,FALSE())),"?TYPE_IDENTIFIABLE","?REFERENTIAL"),"_")))))</f>
        <v> </v>
      </c>
      <c r="H2896" s="25" t="str">
        <f>IF(J2896&lt;&gt;1,"",IF(I2896="SBJ","CB","?"))</f>
        <v> </v>
      </c>
      <c r="I2896" s="26" t="str">
        <f>IF(OR(E2896="",E2896="!!!",F2896="NEW"),"",INDEX(B2895:B$2,-1+SUMPRODUCT(MAX(ROW(E2895:E$2)*(E2896=E2895:E$2)))))</f>
        <v> </v>
      </c>
      <c r="J2896" s="26" t="str">
        <f>IF(OR(E2896="",E2896="!!!",F2896="NEW"),"",COUNTBLANK(OFFSET(A$1,,,SUMPRODUCT(MAX(ROW(E$2:E2896)*(E2896=E$2:E2896)))))-COUNTBLANK(OFFSET(A$1,,,SUMPRODUCT(MAX(ROW(E$1:E2895)*(E2=E$1:E2895))))))</f>
        <v> </v>
      </c>
      <c r="K2896" s="26" t="str">
        <f>IF(OR(E2896="",E2896="!!!",F2896="NEW"),"",INDEX(J$1:J2895,SUMPRODUCT(MAX(ROW(E$1:E2895)*(E2896=E$1:E2895)))))</f>
        <v> </v>
      </c>
      <c r="L2896" s="27"/>
    </row>
    <row r="2897" spans="1:12">
      <c r="A2897" s="20" t="s">
        <v>1888</v>
      </c>
      <c r="E2897" s="22">
        <f>IF(D2897="?OLD","!!!","")</f>
        <v/>
      </c>
      <c r="F2897" s="23" t="str">
        <f>IF(OR(E2897="",E2897="!!!"),"",IF(NOT(ISNA(VLOOKUP(E2897,E$1:E2896,1,FALSE()))),"OLD",IF(AND(E2897&lt;&gt;"",E2897&lt;&gt;"!!!"),"NEW","")))</f>
        <v> </v>
      </c>
      <c r="G2897" s="24" t="str">
        <f>IF(OR(E2897="",E2897="!!!"),"",IF(OR(J2897=0,AND(J2897=1,K2897=1),AND(J2897=1,I2897="SBJ"),AND(J2897=1,I2897=0)),"?IN_FOCUS",IF(J2897&lt;=2,"?ACTIVATED",IF(J2897&lt;&gt;"","?FAMILIAR",IF(F2897="NEW",IF(ISNA(VLOOKUP(E2897,#REF!,1,FALSE())),"?TYPE_IDENTIFIABLE","?REFERENTIAL"),"_")))))</f>
        <v> </v>
      </c>
      <c r="H2897" s="25" t="str">
        <f>IF(J2897&lt;&gt;1,"",IF(I2897="SBJ","CB","?"))</f>
        <v> </v>
      </c>
      <c r="I2897" s="26" t="str">
        <f>IF(OR(E2897="",E2897="!!!",F2897="NEW"),"",INDEX(B2896:B$2,-1+SUMPRODUCT(MAX(ROW(E2896:E$2)*(E2897=E2896:E$2)))))</f>
        <v> </v>
      </c>
      <c r="J2897" s="26" t="str">
        <f>IF(OR(E2897="",E2897="!!!",F2897="NEW"),"",COUNTBLANK(OFFSET(A$1,,,SUMPRODUCT(MAX(ROW(E$2:E2897)*(E2897=E$2:E2897)))))-COUNTBLANK(OFFSET(A$1,,,SUMPRODUCT(MAX(ROW(E$1:E2896)*(E2=E$1:E2896))))))</f>
        <v> </v>
      </c>
      <c r="K2897" s="26" t="str">
        <f>IF(OR(E2897="",E2897="!!!",F2897="NEW"),"",INDEX(J$1:J2896,SUMPRODUCT(MAX(ROW(E$1:E2896)*(E2897=E$1:E2896)))))</f>
        <v> </v>
      </c>
      <c r="L2897" s="27"/>
    </row>
    <row r="2898" spans="1:12">
      <c r="A2898" s="20" t="s">
        <v>1018</v>
      </c>
      <c r="E2898" s="22">
        <f>IF(D2898="?OLD","!!!","")</f>
        <v/>
      </c>
      <c r="F2898" s="23" t="str">
        <f>IF(OR(E2898="",E2898="!!!"),"",IF(NOT(ISNA(VLOOKUP(E2898,E$1:E2897,1,FALSE()))),"OLD",IF(AND(E2898&lt;&gt;"",E2898&lt;&gt;"!!!"),"NEW","")))</f>
        <v> </v>
      </c>
      <c r="G2898" s="24" t="str">
        <f>IF(OR(E2898="",E2898="!!!"),"",IF(OR(J2898=0,AND(J2898=1,K2898=1),AND(J2898=1,I2898="SBJ"),AND(J2898=1,I2898=0)),"?IN_FOCUS",IF(J2898&lt;=2,"?ACTIVATED",IF(J2898&lt;&gt;"","?FAMILIAR",IF(F2898="NEW",IF(ISNA(VLOOKUP(E2898,#REF!,1,FALSE())),"?TYPE_IDENTIFIABLE","?REFERENTIAL"),"_")))))</f>
        <v> </v>
      </c>
      <c r="H2898" s="25" t="str">
        <f>IF(J2898&lt;&gt;1,"",IF(I2898="SBJ","CB","?"))</f>
        <v> </v>
      </c>
      <c r="I2898" s="26" t="str">
        <f>IF(OR(E2898="",E2898="!!!",F2898="NEW"),"",INDEX(B2897:B$2,-1+SUMPRODUCT(MAX(ROW(E2897:E$2)*(E2898=E2897:E$2)))))</f>
        <v> </v>
      </c>
      <c r="J2898" s="26" t="str">
        <f>IF(OR(E2898="",E2898="!!!",F2898="NEW"),"",COUNTBLANK(OFFSET(A$1,,,SUMPRODUCT(MAX(ROW(E$2:E2898)*(E2898=E$2:E2898)))))-COUNTBLANK(OFFSET(A$1,,,SUMPRODUCT(MAX(ROW(E$1:E2897)*(E2=E$1:E2897))))))</f>
        <v> </v>
      </c>
      <c r="K2898" s="26" t="str">
        <f>IF(OR(E2898="",E2898="!!!",F2898="NEW"),"",INDEX(J$1:J2897,SUMPRODUCT(MAX(ROW(E$1:E2897)*(E2898=E$1:E2897)))))</f>
        <v> </v>
      </c>
      <c r="L2898" s="27"/>
    </row>
    <row r="2899" spans="1:12">
      <c r="A2899" s="20" t="s">
        <v>1879</v>
      </c>
      <c r="E2899" s="22">
        <f>IF(D2899="?OLD","!!!","")</f>
        <v/>
      </c>
      <c r="F2899" s="23" t="str">
        <f>IF(OR(E2899="",E2899="!!!"),"",IF(NOT(ISNA(VLOOKUP(E2899,E$1:E2898,1,FALSE()))),"OLD",IF(AND(E2899&lt;&gt;"",E2899&lt;&gt;"!!!"),"NEW","")))</f>
        <v> </v>
      </c>
      <c r="G2899" s="24" t="str">
        <f>IF(OR(E2899="",E2899="!!!"),"",IF(OR(J2899=0,AND(J2899=1,K2899=1),AND(J2899=1,I2899="SBJ"),AND(J2899=1,I2899=0)),"?IN_FOCUS",IF(J2899&lt;=2,"?ACTIVATED",IF(J2899&lt;&gt;"","?FAMILIAR",IF(F2899="NEW",IF(ISNA(VLOOKUP(E2899,#REF!,1,FALSE())),"?TYPE_IDENTIFIABLE","?REFERENTIAL"),"_")))))</f>
        <v> </v>
      </c>
      <c r="H2899" s="25" t="str">
        <f>IF(J2899&lt;&gt;1,"",IF(I2899="SBJ","CB","?"))</f>
        <v> </v>
      </c>
      <c r="I2899" s="26" t="str">
        <f>IF(OR(E2899="",E2899="!!!",F2899="NEW"),"",INDEX(B2898:B$2,-1+SUMPRODUCT(MAX(ROW(E2898:E$2)*(E2899=E2898:E$2)))))</f>
        <v> </v>
      </c>
      <c r="J2899" s="26" t="str">
        <f>IF(OR(E2899="",E2899="!!!",F2899="NEW"),"",COUNTBLANK(OFFSET(A$1,,,SUMPRODUCT(MAX(ROW(E$2:E2899)*(E2899=E$2:E2899)))))-COUNTBLANK(OFFSET(A$1,,,SUMPRODUCT(MAX(ROW(E$1:E2898)*(E2=E$1:E2898))))))</f>
        <v> </v>
      </c>
      <c r="K2899" s="26" t="str">
        <f>IF(OR(E2899="",E2899="!!!",F2899="NEW"),"",INDEX(J$1:J2898,SUMPRODUCT(MAX(ROW(E$1:E2898)*(E2899=E$1:E2898)))))</f>
        <v> </v>
      </c>
      <c r="L2899" s="27"/>
    </row>
    <row r="2900" spans="1:12">
      <c r="A2900" s="20" t="s">
        <v>1172</v>
      </c>
      <c r="B2900" s="21" t="s">
        <v>1154</v>
      </c>
      <c r="C2900" s="21" t="s">
        <v>1017</v>
      </c>
      <c r="D2900" s="21" t="s">
        <v>1007</v>
      </c>
      <c r="E2900" s="22">
        <f>IF(D2900="?OLD","!!!","")</f>
        <v/>
      </c>
      <c r="F2900" s="23" t="str">
        <f>IF(OR(E2900="",E2900="!!!"),"",IF(NOT(ISNA(VLOOKUP(E2900,E$1:E2899,1,FALSE()))),"OLD",IF(AND(E2900&lt;&gt;"",E2900&lt;&gt;"!!!"),"NEW","")))</f>
        <v> </v>
      </c>
      <c r="G2900" s="24" t="str">
        <f>IF(OR(E2900="",E2900="!!!"),"",IF(OR(J2900=0,AND(J2900=1,K2900=1),AND(J2900=1,I2900="SBJ"),AND(J2900=1,I2900=0)),"?IN_FOCUS",IF(J2900&lt;=2,"?ACTIVATED",IF(J2900&lt;&gt;"","?FAMILIAR",IF(F2900="NEW",IF(ISNA(VLOOKUP(E2900,#REF!,1,FALSE())),"?TYPE_IDENTIFIABLE","?REFERENTIAL"),"_")))))</f>
        <v> </v>
      </c>
      <c r="H2900" s="25" t="str">
        <f>IF(J2900&lt;&gt;1,"",IF(I2900="SBJ","CB","?"))</f>
        <v> </v>
      </c>
      <c r="I2900" s="26" t="str">
        <f>IF(OR(E2900="",E2900="!!!",F2900="NEW"),"",INDEX(B2899:B$2,-1+SUMPRODUCT(MAX(ROW(E2899:E$2)*(E2900=E2899:E$2)))))</f>
        <v> </v>
      </c>
      <c r="J2900" s="26" t="str">
        <f>IF(OR(E2900="",E2900="!!!",F2900="NEW"),"",COUNTBLANK(OFFSET(A$1,,,SUMPRODUCT(MAX(ROW(E$2:E2900)*(E2900=E$2:E2900)))))-COUNTBLANK(OFFSET(A$1,,,SUMPRODUCT(MAX(ROW(E$1:E2899)*(E2=E$1:E2899))))))</f>
        <v> </v>
      </c>
      <c r="K2900" s="26" t="str">
        <f>IF(OR(E2900="",E2900="!!!",F2900="NEW"),"",INDEX(J$1:J2899,SUMPRODUCT(MAX(ROW(E$1:E2899)*(E2900=E$1:E2899)))))</f>
        <v> </v>
      </c>
      <c r="L2900" s="27"/>
    </row>
    <row r="2901" spans="1:12">
      <c r="A2901" s="20" t="s">
        <v>1260</v>
      </c>
      <c r="E2901" s="22">
        <f>IF(D2901="?OLD","!!!","")</f>
        <v/>
      </c>
      <c r="F2901" s="23" t="str">
        <f>IF(OR(E2901="",E2901="!!!"),"",IF(NOT(ISNA(VLOOKUP(E2901,E$1:E2900,1,FALSE()))),"OLD",IF(AND(E2901&lt;&gt;"",E2901&lt;&gt;"!!!"),"NEW","")))</f>
        <v> </v>
      </c>
      <c r="G2901" s="24" t="str">
        <f>IF(OR(E2901="",E2901="!!!"),"",IF(OR(J2901=0,AND(J2901=1,K2901=1),AND(J2901=1,I2901="SBJ"),AND(J2901=1,I2901=0)),"?IN_FOCUS",IF(J2901&lt;=2,"?ACTIVATED",IF(J2901&lt;&gt;"","?FAMILIAR",IF(F2901="NEW",IF(ISNA(VLOOKUP(E2901,#REF!,1,FALSE())),"?TYPE_IDENTIFIABLE","?REFERENTIAL"),"_")))))</f>
        <v> </v>
      </c>
      <c r="H2901" s="25" t="str">
        <f>IF(J2901&lt;&gt;1,"",IF(I2901="SBJ","CB","?"))</f>
        <v> </v>
      </c>
      <c r="I2901" s="26" t="str">
        <f>IF(OR(E2901="",E2901="!!!",F2901="NEW"),"",INDEX(B2900:B$2,-1+SUMPRODUCT(MAX(ROW(E2900:E$2)*(E2901=E2900:E$2)))))</f>
        <v> </v>
      </c>
      <c r="J2901" s="26" t="str">
        <f>IF(OR(E2901="",E2901="!!!",F2901="NEW"),"",COUNTBLANK(OFFSET(A$1,,,SUMPRODUCT(MAX(ROW(E$2:E2901)*(E2901=E$2:E2901)))))-COUNTBLANK(OFFSET(A$1,,,SUMPRODUCT(MAX(ROW(E$1:E2900)*(E2=E$1:E2900))))))</f>
        <v> </v>
      </c>
      <c r="K2901" s="26" t="str">
        <f>IF(OR(E2901="",E2901="!!!",F2901="NEW"),"",INDEX(J$1:J2900,SUMPRODUCT(MAX(ROW(E$1:E2900)*(E2901=E$1:E2900)))))</f>
        <v> </v>
      </c>
      <c r="L2901" s="27"/>
    </row>
    <row r="2902" spans="1:12">
      <c r="A2902" s="20" t="s">
        <v>70</v>
      </c>
      <c r="E2902" s="22">
        <f>IF(D2902="?OLD","!!!","")</f>
        <v/>
      </c>
      <c r="F2902" s="23" t="str">
        <f>IF(OR(E2902="",E2902="!!!"),"",IF(NOT(ISNA(VLOOKUP(E2902,E$1:E2901,1,FALSE()))),"OLD",IF(AND(E2902&lt;&gt;"",E2902&lt;&gt;"!!!"),"NEW","")))</f>
        <v> </v>
      </c>
      <c r="G2902" s="24" t="str">
        <f>IF(OR(E2902="",E2902="!!!"),"",IF(OR(J2902=0,AND(J2902=1,K2902=1),AND(J2902=1,I2902="SBJ"),AND(J2902=1,I2902=0)),"?IN_FOCUS",IF(J2902&lt;=2,"?ACTIVATED",IF(J2902&lt;&gt;"","?FAMILIAR",IF(F2902="NEW",IF(ISNA(VLOOKUP(E2902,#REF!,1,FALSE())),"?TYPE_IDENTIFIABLE","?REFERENTIAL"),"_")))))</f>
        <v> </v>
      </c>
      <c r="H2902" s="25" t="str">
        <f>IF(J2902&lt;&gt;1,"",IF(I2902="SBJ","CB","?"))</f>
        <v> </v>
      </c>
      <c r="I2902" s="26" t="str">
        <f>IF(OR(E2902="",E2902="!!!",F2902="NEW"),"",INDEX(B2901:B$2,-1+SUMPRODUCT(MAX(ROW(E2901:E$2)*(E2902=E2901:E$2)))))</f>
        <v> </v>
      </c>
      <c r="J2902" s="26" t="str">
        <f>IF(OR(E2902="",E2902="!!!",F2902="NEW"),"",COUNTBLANK(OFFSET(A$1,,,SUMPRODUCT(MAX(ROW(E$2:E2902)*(E2902=E$2:E2902)))))-COUNTBLANK(OFFSET(A$1,,,SUMPRODUCT(MAX(ROW(E$1:E2901)*(E2=E$1:E2901))))))</f>
        <v> </v>
      </c>
      <c r="K2902" s="26" t="str">
        <f>IF(OR(E2902="",E2902="!!!",F2902="NEW"),"",INDEX(J$1:J2901,SUMPRODUCT(MAX(ROW(E$1:E2901)*(E2902=E$1:E2901)))))</f>
        <v> </v>
      </c>
      <c r="L2902" s="27"/>
    </row>
    <row r="2903" spans="1:12">
      <c r="A2903" s="20" t="s">
        <v>1889</v>
      </c>
      <c r="E2903" s="22">
        <f>IF(D2903="?OLD","!!!","")</f>
        <v/>
      </c>
      <c r="F2903" s="23" t="str">
        <f>IF(OR(E2903="",E2903="!!!"),"",IF(NOT(ISNA(VLOOKUP(E2903,E$1:E2902,1,FALSE()))),"OLD",IF(AND(E2903&lt;&gt;"",E2903&lt;&gt;"!!!"),"NEW","")))</f>
        <v> </v>
      </c>
      <c r="G2903" s="24" t="str">
        <f>IF(OR(E2903="",E2903="!!!"),"",IF(OR(J2903=0,AND(J2903=1,K2903=1),AND(J2903=1,I2903="SBJ"),AND(J2903=1,I2903=0)),"?IN_FOCUS",IF(J2903&lt;=2,"?ACTIVATED",IF(J2903&lt;&gt;"","?FAMILIAR",IF(F2903="NEW",IF(ISNA(VLOOKUP(E2903,#REF!,1,FALSE())),"?TYPE_IDENTIFIABLE","?REFERENTIAL"),"_")))))</f>
        <v> </v>
      </c>
      <c r="H2903" s="25" t="str">
        <f>IF(J2903&lt;&gt;1,"",IF(I2903="SBJ","CB","?"))</f>
        <v> </v>
      </c>
      <c r="I2903" s="26" t="str">
        <f>IF(OR(E2903="",E2903="!!!",F2903="NEW"),"",INDEX(B2902:B$2,-1+SUMPRODUCT(MAX(ROW(E2902:E$2)*(E2903=E2902:E$2)))))</f>
        <v> </v>
      </c>
      <c r="J2903" s="26" t="str">
        <f>IF(OR(E2903="",E2903="!!!",F2903="NEW"),"",COUNTBLANK(OFFSET(A$1,,,SUMPRODUCT(MAX(ROW(E$2:E2903)*(E2903=E$2:E2903)))))-COUNTBLANK(OFFSET(A$1,,,SUMPRODUCT(MAX(ROW(E$1:E2902)*(E2=E$1:E2902))))))</f>
        <v> </v>
      </c>
      <c r="K2903" s="26" t="str">
        <f>IF(OR(E2903="",E2903="!!!",F2903="NEW"),"",INDEX(J$1:J2902,SUMPRODUCT(MAX(ROW(E$1:E2902)*(E2903=E$1:E2902)))))</f>
        <v> </v>
      </c>
      <c r="L2903" s="27"/>
    </row>
    <row r="2904" spans="1:12">
      <c r="A2904" s="20" t="s">
        <v>1056</v>
      </c>
      <c r="E2904" s="22">
        <f>IF(D2904="?OLD","!!!","")</f>
        <v/>
      </c>
      <c r="F2904" s="23" t="str">
        <f>IF(OR(E2904="",E2904="!!!"),"",IF(NOT(ISNA(VLOOKUP(E2904,E$1:E2903,1,FALSE()))),"OLD",IF(AND(E2904&lt;&gt;"",E2904&lt;&gt;"!!!"),"NEW","")))</f>
        <v> </v>
      </c>
      <c r="G2904" s="24" t="str">
        <f>IF(OR(E2904="",E2904="!!!"),"",IF(OR(J2904=0,AND(J2904=1,K2904=1),AND(J2904=1,I2904="SBJ"),AND(J2904=1,I2904=0)),"?IN_FOCUS",IF(J2904&lt;=2,"?ACTIVATED",IF(J2904&lt;&gt;"","?FAMILIAR",IF(F2904="NEW",IF(ISNA(VLOOKUP(E2904,#REF!,1,FALSE())),"?TYPE_IDENTIFIABLE","?REFERENTIAL"),"_")))))</f>
        <v> </v>
      </c>
      <c r="H2904" s="25" t="str">
        <f>IF(J2904&lt;&gt;1,"",IF(I2904="SBJ","CB","?"))</f>
        <v> </v>
      </c>
      <c r="I2904" s="26" t="str">
        <f>IF(OR(E2904="",E2904="!!!",F2904="NEW"),"",INDEX(B2903:B$2,-1+SUMPRODUCT(MAX(ROW(E2903:E$2)*(E2904=E2903:E$2)))))</f>
        <v> </v>
      </c>
      <c r="J2904" s="26" t="str">
        <f>IF(OR(E2904="",E2904="!!!",F2904="NEW"),"",COUNTBLANK(OFFSET(A$1,,,SUMPRODUCT(MAX(ROW(E$2:E2904)*(E2904=E$2:E2904)))))-COUNTBLANK(OFFSET(A$1,,,SUMPRODUCT(MAX(ROW(E$1:E2903)*(E2=E$1:E2903))))))</f>
        <v> </v>
      </c>
      <c r="K2904" s="26" t="str">
        <f>IF(OR(E2904="",E2904="!!!",F2904="NEW"),"",INDEX(J$1:J2903,SUMPRODUCT(MAX(ROW(E$1:E2903)*(E2904=E$1:E2903)))))</f>
        <v> </v>
      </c>
      <c r="L2904" s="27"/>
    </row>
    <row r="2905" spans="1:12">
      <c r="A2905" s="20" t="s">
        <v>1890</v>
      </c>
      <c r="B2905" s="21" t="s">
        <v>1253</v>
      </c>
      <c r="C2905" s="21" t="s">
        <v>1013</v>
      </c>
      <c r="D2905" s="21" t="s">
        <v>1007</v>
      </c>
      <c r="E2905" s="22">
        <f>IF(D2905="?OLD","!!!","")</f>
        <v/>
      </c>
      <c r="F2905" s="23" t="str">
        <f>IF(OR(E2905="",E2905="!!!"),"",IF(NOT(ISNA(VLOOKUP(E2905,E$1:E2904,1,FALSE()))),"OLD",IF(AND(E2905&lt;&gt;"",E2905&lt;&gt;"!!!"),"NEW","")))</f>
        <v> </v>
      </c>
      <c r="G2905" s="24" t="str">
        <f>IF(OR(E2905="",E2905="!!!"),"",IF(OR(J2905=0,AND(J2905=1,K2905=1),AND(J2905=1,I2905="SBJ"),AND(J2905=1,I2905=0)),"?IN_FOCUS",IF(J2905&lt;=2,"?ACTIVATED",IF(J2905&lt;&gt;"","?FAMILIAR",IF(F2905="NEW",IF(ISNA(VLOOKUP(E2905,#REF!,1,FALSE())),"?TYPE_IDENTIFIABLE","?REFERENTIAL"),"_")))))</f>
        <v> </v>
      </c>
      <c r="H2905" s="25" t="str">
        <f>IF(J2905&lt;&gt;1,"",IF(I2905="SBJ","CB","?"))</f>
        <v> </v>
      </c>
      <c r="I2905" s="26" t="str">
        <f>IF(OR(E2905="",E2905="!!!",F2905="NEW"),"",INDEX(B2904:B$2,-1+SUMPRODUCT(MAX(ROW(E2904:E$2)*(E2905=E2904:E$2)))))</f>
        <v> </v>
      </c>
      <c r="J2905" s="26" t="str">
        <f>IF(OR(E2905="",E2905="!!!",F2905="NEW"),"",COUNTBLANK(OFFSET(A$1,,,SUMPRODUCT(MAX(ROW(E$2:E2905)*(E2905=E$2:E2905)))))-COUNTBLANK(OFFSET(A$1,,,SUMPRODUCT(MAX(ROW(E$1:E2904)*(E2=E$1:E2904))))))</f>
        <v> </v>
      </c>
      <c r="K2905" s="26" t="str">
        <f>IF(OR(E2905="",E2905="!!!",F2905="NEW"),"",INDEX(J$1:J2904,SUMPRODUCT(MAX(ROW(E$1:E2904)*(E2905=E$1:E2904)))))</f>
        <v> </v>
      </c>
      <c r="L2905" s="27"/>
    </row>
    <row r="2906" spans="1:12">
      <c r="A2906" s="20" t="s">
        <v>1891</v>
      </c>
      <c r="E2906" s="22">
        <f>IF(D2906="?OLD","!!!","")</f>
        <v/>
      </c>
      <c r="F2906" s="23" t="str">
        <f>IF(OR(E2906="",E2906="!!!"),"",IF(NOT(ISNA(VLOOKUP(E2906,E$1:E2905,1,FALSE()))),"OLD",IF(AND(E2906&lt;&gt;"",E2906&lt;&gt;"!!!"),"NEW","")))</f>
        <v> </v>
      </c>
      <c r="G2906" s="24" t="str">
        <f>IF(OR(E2906="",E2906="!!!"),"",IF(OR(J2906=0,AND(J2906=1,K2906=1),AND(J2906=1,I2906="SBJ"),AND(J2906=1,I2906=0)),"?IN_FOCUS",IF(J2906&lt;=2,"?ACTIVATED",IF(J2906&lt;&gt;"","?FAMILIAR",IF(F2906="NEW",IF(ISNA(VLOOKUP(E2906,#REF!,1,FALSE())),"?TYPE_IDENTIFIABLE","?REFERENTIAL"),"_")))))</f>
        <v> </v>
      </c>
      <c r="H2906" s="25" t="str">
        <f>IF(J2906&lt;&gt;1,"",IF(I2906="SBJ","CB","?"))</f>
        <v> </v>
      </c>
      <c r="I2906" s="26" t="str">
        <f>IF(OR(E2906="",E2906="!!!",F2906="NEW"),"",INDEX(B2905:B$2,-1+SUMPRODUCT(MAX(ROW(E2905:E$2)*(E2906=E2905:E$2)))))</f>
        <v> </v>
      </c>
      <c r="J2906" s="26" t="str">
        <f>IF(OR(E2906="",E2906="!!!",F2906="NEW"),"",COUNTBLANK(OFFSET(A$1,,,SUMPRODUCT(MAX(ROW(E$2:E2906)*(E2906=E$2:E2906)))))-COUNTBLANK(OFFSET(A$1,,,SUMPRODUCT(MAX(ROW(E$1:E2905)*(E2=E$1:E2905))))))</f>
        <v> </v>
      </c>
      <c r="K2906" s="26" t="str">
        <f>IF(OR(E2906="",E2906="!!!",F2906="NEW"),"",INDEX(J$1:J2905,SUMPRODUCT(MAX(ROW(E$1:E2905)*(E2906=E$1:E2905)))))</f>
        <v> </v>
      </c>
      <c r="L2906" s="27"/>
    </row>
    <row r="2907" spans="1:12">
      <c r="A2907" s="20" t="s">
        <v>1018</v>
      </c>
      <c r="E2907" s="22">
        <f>IF(D2907="?OLD","!!!","")</f>
        <v/>
      </c>
      <c r="F2907" s="23" t="str">
        <f>IF(OR(E2907="",E2907="!!!"),"",IF(NOT(ISNA(VLOOKUP(E2907,E$1:E2906,1,FALSE()))),"OLD",IF(AND(E2907&lt;&gt;"",E2907&lt;&gt;"!!!"),"NEW","")))</f>
        <v> </v>
      </c>
      <c r="G2907" s="24" t="str">
        <f>IF(OR(E2907="",E2907="!!!"),"",IF(OR(J2907=0,AND(J2907=1,K2907=1),AND(J2907=1,I2907="SBJ"),AND(J2907=1,I2907=0)),"?IN_FOCUS",IF(J2907&lt;=2,"?ACTIVATED",IF(J2907&lt;&gt;"","?FAMILIAR",IF(F2907="NEW",IF(ISNA(VLOOKUP(E2907,#REF!,1,FALSE())),"?TYPE_IDENTIFIABLE","?REFERENTIAL"),"_")))))</f>
        <v> </v>
      </c>
      <c r="H2907" s="25" t="str">
        <f>IF(J2907&lt;&gt;1,"",IF(I2907="SBJ","CB","?"))</f>
        <v> </v>
      </c>
      <c r="I2907" s="26" t="str">
        <f>IF(OR(E2907="",E2907="!!!",F2907="NEW"),"",INDEX(B2906:B$2,-1+SUMPRODUCT(MAX(ROW(E2906:E$2)*(E2907=E2906:E$2)))))</f>
        <v> </v>
      </c>
      <c r="J2907" s="26" t="str">
        <f>IF(OR(E2907="",E2907="!!!",F2907="NEW"),"",COUNTBLANK(OFFSET(A$1,,,SUMPRODUCT(MAX(ROW(E$2:E2907)*(E2907=E$2:E2907)))))-COUNTBLANK(OFFSET(A$1,,,SUMPRODUCT(MAX(ROW(E$1:E2906)*(E2=E$1:E2906))))))</f>
        <v> </v>
      </c>
      <c r="K2907" s="26" t="str">
        <f>IF(OR(E2907="",E2907="!!!",F2907="NEW"),"",INDEX(J$1:J2906,SUMPRODUCT(MAX(ROW(E$1:E2906)*(E2907=E$1:E2906)))))</f>
        <v> </v>
      </c>
      <c r="L2907" s="27"/>
    </row>
    <row r="2908" spans="1:12">
      <c r="A2908" s="20" t="s">
        <v>1260</v>
      </c>
      <c r="E2908" s="22">
        <f>IF(D2908="?OLD","!!!","")</f>
        <v/>
      </c>
      <c r="F2908" s="23" t="str">
        <f>IF(OR(E2908="",E2908="!!!"),"",IF(NOT(ISNA(VLOOKUP(E2908,E$1:E2907,1,FALSE()))),"OLD",IF(AND(E2908&lt;&gt;"",E2908&lt;&gt;"!!!"),"NEW","")))</f>
        <v> </v>
      </c>
      <c r="G2908" s="24" t="str">
        <f>IF(OR(E2908="",E2908="!!!"),"",IF(OR(J2908=0,AND(J2908=1,K2908=1),AND(J2908=1,I2908="SBJ"),AND(J2908=1,I2908=0)),"?IN_FOCUS",IF(J2908&lt;=2,"?ACTIVATED",IF(J2908&lt;&gt;"","?FAMILIAR",IF(F2908="NEW",IF(ISNA(VLOOKUP(E2908,#REF!,1,FALSE())),"?TYPE_IDENTIFIABLE","?REFERENTIAL"),"_")))))</f>
        <v> </v>
      </c>
      <c r="H2908" s="25" t="str">
        <f>IF(J2908&lt;&gt;1,"",IF(I2908="SBJ","CB","?"))</f>
        <v> </v>
      </c>
      <c r="I2908" s="26" t="str">
        <f>IF(OR(E2908="",E2908="!!!",F2908="NEW"),"",INDEX(B2907:B$2,-1+SUMPRODUCT(MAX(ROW(E2907:E$2)*(E2908=E2907:E$2)))))</f>
        <v> </v>
      </c>
      <c r="J2908" s="26" t="str">
        <f>IF(OR(E2908="",E2908="!!!",F2908="NEW"),"",COUNTBLANK(OFFSET(A$1,,,SUMPRODUCT(MAX(ROW(E$2:E2908)*(E2908=E$2:E2908)))))-COUNTBLANK(OFFSET(A$1,,,SUMPRODUCT(MAX(ROW(E$1:E2907)*(E2=E$1:E2907))))))</f>
        <v> </v>
      </c>
      <c r="K2908" s="26" t="str">
        <f>IF(OR(E2908="",E2908="!!!",F2908="NEW"),"",INDEX(J$1:J2907,SUMPRODUCT(MAX(ROW(E$1:E2907)*(E2908=E$1:E2907)))))</f>
        <v> </v>
      </c>
      <c r="L2908" s="27"/>
    </row>
    <row r="2909" spans="1:12">
      <c r="A2909" s="20" t="s">
        <v>70</v>
      </c>
      <c r="B2909" s="21" t="s">
        <v>1035</v>
      </c>
      <c r="C2909" s="21" t="s">
        <v>1048</v>
      </c>
      <c r="E2909" s="22">
        <f>IF(D2909="?OLD","!!!","")</f>
        <v/>
      </c>
      <c r="F2909" s="23" t="str">
        <f>IF(OR(E2909="",E2909="!!!"),"",IF(NOT(ISNA(VLOOKUP(E2909,E$1:E2908,1,FALSE()))),"OLD",IF(AND(E2909&lt;&gt;"",E2909&lt;&gt;"!!!"),"NEW","")))</f>
        <v> </v>
      </c>
      <c r="G2909" s="24" t="str">
        <f>IF(OR(E2909="",E2909="!!!"),"",IF(OR(J2909=0,AND(J2909=1,K2909=1),AND(J2909=1,I2909="SBJ"),AND(J2909=1,I2909=0)),"?IN_FOCUS",IF(J2909&lt;=2,"?ACTIVATED",IF(J2909&lt;&gt;"","?FAMILIAR",IF(F2909="NEW",IF(ISNA(VLOOKUP(E2909,#REF!,1,FALSE())),"?TYPE_IDENTIFIABLE","?REFERENTIAL"),"_")))))</f>
        <v> </v>
      </c>
      <c r="H2909" s="25" t="str">
        <f>IF(J2909&lt;&gt;1,"",IF(I2909="SBJ","CB","?"))</f>
        <v> </v>
      </c>
      <c r="I2909" s="26" t="str">
        <f>IF(OR(E2909="",E2909="!!!",F2909="NEW"),"",INDEX(B2908:B$2,-1+SUMPRODUCT(MAX(ROW(E2908:E$2)*(E2909=E2908:E$2)))))</f>
        <v> </v>
      </c>
      <c r="J2909" s="26" t="str">
        <f>IF(OR(E2909="",E2909="!!!",F2909="NEW"),"",COUNTBLANK(OFFSET(A$1,,,SUMPRODUCT(MAX(ROW(E$2:E2909)*(E2909=E$2:E2909)))))-COUNTBLANK(OFFSET(A$1,,,SUMPRODUCT(MAX(ROW(E$1:E2908)*(E2=E$1:E2908))))))</f>
        <v> </v>
      </c>
      <c r="K2909" s="26" t="str">
        <f>IF(OR(E2909="",E2909="!!!",F2909="NEW"),"",INDEX(J$1:J2908,SUMPRODUCT(MAX(ROW(E$1:E2908)*(E2909=E$1:E2908)))))</f>
        <v> </v>
      </c>
      <c r="L2909" s="27"/>
    </row>
    <row r="2910" spans="1:12">
      <c r="A2910" s="20" t="s">
        <v>172</v>
      </c>
      <c r="E2910" s="22">
        <f>IF(D2910="?OLD","!!!","")</f>
        <v/>
      </c>
      <c r="F2910" s="23" t="str">
        <f>IF(OR(E2910="",E2910="!!!"),"",IF(NOT(ISNA(VLOOKUP(E2910,E$1:E2909,1,FALSE()))),"OLD",IF(AND(E2910&lt;&gt;"",E2910&lt;&gt;"!!!"),"NEW","")))</f>
        <v> </v>
      </c>
      <c r="G2910" s="24" t="str">
        <f>IF(OR(E2910="",E2910="!!!"),"",IF(OR(J2910=0,AND(J2910=1,K2910=1),AND(J2910=1,I2910="SBJ"),AND(J2910=1,I2910=0)),"?IN_FOCUS",IF(J2910&lt;=2,"?ACTIVATED",IF(J2910&lt;&gt;"","?FAMILIAR",IF(F2910="NEW",IF(ISNA(VLOOKUP(E2910,#REF!,1,FALSE())),"?TYPE_IDENTIFIABLE","?REFERENTIAL"),"_")))))</f>
        <v> </v>
      </c>
      <c r="H2910" s="25" t="str">
        <f>IF(J2910&lt;&gt;1,"",IF(I2910="SBJ","CB","?"))</f>
        <v> </v>
      </c>
      <c r="I2910" s="26" t="str">
        <f>IF(OR(E2910="",E2910="!!!",F2910="NEW"),"",INDEX(B2909:B$2,-1+SUMPRODUCT(MAX(ROW(E2909:E$2)*(E2910=E2909:E$2)))))</f>
        <v> </v>
      </c>
      <c r="J2910" s="26" t="str">
        <f>IF(OR(E2910="",E2910="!!!",F2910="NEW"),"",COUNTBLANK(OFFSET(A$1,,,SUMPRODUCT(MAX(ROW(E$2:E2910)*(E2910=E$2:E2910)))))-COUNTBLANK(OFFSET(A$1,,,SUMPRODUCT(MAX(ROW(E$1:E2909)*(E2=E$1:E2909))))))</f>
        <v> </v>
      </c>
      <c r="K2910" s="26" t="str">
        <f>IF(OR(E2910="",E2910="!!!",F2910="NEW"),"",INDEX(J$1:J2909,SUMPRODUCT(MAX(ROW(E$1:E2909)*(E2910=E$1:E2909)))))</f>
        <v> </v>
      </c>
      <c r="L2910" s="27"/>
    </row>
    <row r="2911" spans="1:12">
      <c r="A2911" s="20" t="s">
        <v>1014</v>
      </c>
      <c r="E2911" s="22">
        <f>IF(D2911="?OLD","!!!","")</f>
        <v/>
      </c>
      <c r="F2911" s="23" t="str">
        <f>IF(OR(E2911="",E2911="!!!"),"",IF(NOT(ISNA(VLOOKUP(E2911,E$1:E2910,1,FALSE()))),"OLD",IF(AND(E2911&lt;&gt;"",E2911&lt;&gt;"!!!"),"NEW","")))</f>
        <v> </v>
      </c>
      <c r="G2911" s="24" t="str">
        <f>IF(OR(E2911="",E2911="!!!"),"",IF(OR(J2911=0,AND(J2911=1,K2911=1),AND(J2911=1,I2911="SBJ"),AND(J2911=1,I2911=0)),"?IN_FOCUS",IF(J2911&lt;=2,"?ACTIVATED",IF(J2911&lt;&gt;"","?FAMILIAR",IF(F2911="NEW",IF(ISNA(VLOOKUP(E2911,#REF!,1,FALSE())),"?TYPE_IDENTIFIABLE","?REFERENTIAL"),"_")))))</f>
        <v> </v>
      </c>
      <c r="H2911" s="25" t="str">
        <f>IF(J2911&lt;&gt;1,"",IF(I2911="SBJ","CB","?"))</f>
        <v> </v>
      </c>
      <c r="I2911" s="26" t="str">
        <f>IF(OR(E2911="",E2911="!!!",F2911="NEW"),"",INDEX(B2910:B$2,-1+SUMPRODUCT(MAX(ROW(E2910:E$2)*(E2911=E2910:E$2)))))</f>
        <v> </v>
      </c>
      <c r="J2911" s="26" t="str">
        <f>IF(OR(E2911="",E2911="!!!",F2911="NEW"),"",COUNTBLANK(OFFSET(A$1,,,SUMPRODUCT(MAX(ROW(E$2:E2911)*(E2911=E$2:E2911)))))-COUNTBLANK(OFFSET(A$1,,,SUMPRODUCT(MAX(ROW(E$1:E2910)*(E2=E$1:E2910))))))</f>
        <v> </v>
      </c>
      <c r="K2911" s="26" t="str">
        <f>IF(OR(E2911="",E2911="!!!",F2911="NEW"),"",INDEX(J$1:J2910,SUMPRODUCT(MAX(ROW(E$1:E2910)*(E2911=E$1:E2910)))))</f>
        <v> </v>
      </c>
      <c r="L2911" s="27"/>
    </row>
    <row r="2912" spans="1:12">
      <c r="A2912" s="20" t="s">
        <v>1892</v>
      </c>
      <c r="B2912" s="21" t="s">
        <v>1040</v>
      </c>
      <c r="C2912" s="21" t="s">
        <v>1048</v>
      </c>
      <c r="E2912" s="22">
        <f>IF(D2912="?OLD","!!!","")</f>
        <v/>
      </c>
      <c r="F2912" s="23" t="str">
        <f>IF(OR(E2912="",E2912="!!!"),"",IF(NOT(ISNA(VLOOKUP(E2912,E$1:E2911,1,FALSE()))),"OLD",IF(AND(E2912&lt;&gt;"",E2912&lt;&gt;"!!!"),"NEW","")))</f>
        <v> </v>
      </c>
      <c r="G2912" s="24" t="str">
        <f>IF(OR(E2912="",E2912="!!!"),"",IF(OR(J2912=0,AND(J2912=1,K2912=1),AND(J2912=1,I2912="SBJ"),AND(J2912=1,I2912=0)),"?IN_FOCUS",IF(J2912&lt;=2,"?ACTIVATED",IF(J2912&lt;&gt;"","?FAMILIAR",IF(F2912="NEW",IF(ISNA(VLOOKUP(E2912,#REF!,1,FALSE())),"?TYPE_IDENTIFIABLE","?REFERENTIAL"),"_")))))</f>
        <v> </v>
      </c>
      <c r="H2912" s="25" t="str">
        <f>IF(J2912&lt;&gt;1,"",IF(I2912="SBJ","CB","?"))</f>
        <v> </v>
      </c>
      <c r="I2912" s="26" t="str">
        <f>IF(OR(E2912="",E2912="!!!",F2912="NEW"),"",INDEX(B2911:B$2,-1+SUMPRODUCT(MAX(ROW(E2911:E$2)*(E2912=E2911:E$2)))))</f>
        <v> </v>
      </c>
      <c r="J2912" s="26" t="str">
        <f>IF(OR(E2912="",E2912="!!!",F2912="NEW"),"",COUNTBLANK(OFFSET(A$1,,,SUMPRODUCT(MAX(ROW(E$2:E2912)*(E2912=E$2:E2912)))))-COUNTBLANK(OFFSET(A$1,,,SUMPRODUCT(MAX(ROW(E$1:E2911)*(E2=E$1:E2911))))))</f>
        <v> </v>
      </c>
      <c r="K2912" s="26" t="str">
        <f>IF(OR(E2912="",E2912="!!!",F2912="NEW"),"",INDEX(J$1:J2911,SUMPRODUCT(MAX(ROW(E$1:E2911)*(E2912=E$1:E2911)))))</f>
        <v> </v>
      </c>
      <c r="L2912" s="27"/>
    </row>
    <row r="2913" spans="1:12">
      <c r="A2913" s="20" t="s">
        <v>1018</v>
      </c>
      <c r="E2913" s="22">
        <f>IF(D2913="?OLD","!!!","")</f>
        <v/>
      </c>
      <c r="F2913" s="23" t="str">
        <f>IF(OR(E2913="",E2913="!!!"),"",IF(NOT(ISNA(VLOOKUP(E2913,E$1:E2912,1,FALSE()))),"OLD",IF(AND(E2913&lt;&gt;"",E2913&lt;&gt;"!!!"),"NEW","")))</f>
        <v> </v>
      </c>
      <c r="G2913" s="24" t="str">
        <f>IF(OR(E2913="",E2913="!!!"),"",IF(OR(J2913=0,AND(J2913=1,K2913=1),AND(J2913=1,I2913="SBJ"),AND(J2913=1,I2913=0)),"?IN_FOCUS",IF(J2913&lt;=2,"?ACTIVATED",IF(J2913&lt;&gt;"","?FAMILIAR",IF(F2913="NEW",IF(ISNA(VLOOKUP(E2913,#REF!,1,FALSE())),"?TYPE_IDENTIFIABLE","?REFERENTIAL"),"_")))))</f>
        <v> </v>
      </c>
      <c r="H2913" s="25" t="str">
        <f>IF(J2913&lt;&gt;1,"",IF(I2913="SBJ","CB","?"))</f>
        <v> </v>
      </c>
      <c r="I2913" s="26" t="str">
        <f>IF(OR(E2913="",E2913="!!!",F2913="NEW"),"",INDEX(B2912:B$2,-1+SUMPRODUCT(MAX(ROW(E2912:E$2)*(E2913=E2912:E$2)))))</f>
        <v> </v>
      </c>
      <c r="J2913" s="26" t="str">
        <f>IF(OR(E2913="",E2913="!!!",F2913="NEW"),"",COUNTBLANK(OFFSET(A$1,,,SUMPRODUCT(MAX(ROW(E$2:E2913)*(E2913=E$2:E2913)))))-COUNTBLANK(OFFSET(A$1,,,SUMPRODUCT(MAX(ROW(E$1:E2912)*(E2=E$1:E2912))))))</f>
        <v> </v>
      </c>
      <c r="K2913" s="26" t="str">
        <f>IF(OR(E2913="",E2913="!!!",F2913="NEW"),"",INDEX(J$1:J2912,SUMPRODUCT(MAX(ROW(E$1:E2912)*(E2913=E$1:E2912)))))</f>
        <v> </v>
      </c>
      <c r="L2913" s="27"/>
    </row>
    <row r="2914" spans="1:12">
      <c r="A2914" s="20" t="s">
        <v>1260</v>
      </c>
      <c r="E2914" s="22">
        <f>IF(D2914="?OLD","!!!","")</f>
        <v/>
      </c>
      <c r="F2914" s="23" t="str">
        <f>IF(OR(E2914="",E2914="!!!"),"",IF(NOT(ISNA(VLOOKUP(E2914,E$1:E2913,1,FALSE()))),"OLD",IF(AND(E2914&lt;&gt;"",E2914&lt;&gt;"!!!"),"NEW","")))</f>
        <v> </v>
      </c>
      <c r="G2914" s="24" t="str">
        <f>IF(OR(E2914="",E2914="!!!"),"",IF(OR(J2914=0,AND(J2914=1,K2914=1),AND(J2914=1,I2914="SBJ"),AND(J2914=1,I2914=0)),"?IN_FOCUS",IF(J2914&lt;=2,"?ACTIVATED",IF(J2914&lt;&gt;"","?FAMILIAR",IF(F2914="NEW",IF(ISNA(VLOOKUP(E2914,#REF!,1,FALSE())),"?TYPE_IDENTIFIABLE","?REFERENTIAL"),"_")))))</f>
        <v> </v>
      </c>
      <c r="H2914" s="25" t="str">
        <f>IF(J2914&lt;&gt;1,"",IF(I2914="SBJ","CB","?"))</f>
        <v> </v>
      </c>
      <c r="I2914" s="26" t="str">
        <f>IF(OR(E2914="",E2914="!!!",F2914="NEW"),"",INDEX(B2913:B$2,-1+SUMPRODUCT(MAX(ROW(E2913:E$2)*(E2914=E2913:E$2)))))</f>
        <v> </v>
      </c>
      <c r="J2914" s="26" t="str">
        <f>IF(OR(E2914="",E2914="!!!",F2914="NEW"),"",COUNTBLANK(OFFSET(A$1,,,SUMPRODUCT(MAX(ROW(E$2:E2914)*(E2914=E$2:E2914)))))-COUNTBLANK(OFFSET(A$1,,,SUMPRODUCT(MAX(ROW(E$1:E2913)*(E2=E$1:E2913))))))</f>
        <v> </v>
      </c>
      <c r="K2914" s="26" t="str">
        <f>IF(OR(E2914="",E2914="!!!",F2914="NEW"),"",INDEX(J$1:J2913,SUMPRODUCT(MAX(ROW(E$1:E2913)*(E2914=E$1:E2913)))))</f>
        <v> </v>
      </c>
      <c r="L2914" s="27"/>
    </row>
    <row r="2915" spans="1:12">
      <c r="A2915" s="20" t="s">
        <v>70</v>
      </c>
      <c r="B2915" s="21" t="s">
        <v>1120</v>
      </c>
      <c r="C2915" s="21" t="s">
        <v>1048</v>
      </c>
      <c r="E2915" s="22">
        <f>IF(D2915="?OLD","!!!","")</f>
        <v/>
      </c>
      <c r="F2915" s="23" t="str">
        <f>IF(OR(E2915="",E2915="!!!"),"",IF(NOT(ISNA(VLOOKUP(E2915,E$1:E2914,1,FALSE()))),"OLD",IF(AND(E2915&lt;&gt;"",E2915&lt;&gt;"!!!"),"NEW","")))</f>
        <v> </v>
      </c>
      <c r="G2915" s="24" t="str">
        <f>IF(OR(E2915="",E2915="!!!"),"",IF(OR(J2915=0,AND(J2915=1,K2915=1),AND(J2915=1,I2915="SBJ"),AND(J2915=1,I2915=0)),"?IN_FOCUS",IF(J2915&lt;=2,"?ACTIVATED",IF(J2915&lt;&gt;"","?FAMILIAR",IF(F2915="NEW",IF(ISNA(VLOOKUP(E2915,#REF!,1,FALSE())),"?TYPE_IDENTIFIABLE","?REFERENTIAL"),"_")))))</f>
        <v> </v>
      </c>
      <c r="H2915" s="25" t="str">
        <f>IF(J2915&lt;&gt;1,"",IF(I2915="SBJ","CB","?"))</f>
        <v> </v>
      </c>
      <c r="I2915" s="26" t="str">
        <f>IF(OR(E2915="",E2915="!!!",F2915="NEW"),"",INDEX(B2914:B$2,-1+SUMPRODUCT(MAX(ROW(E2914:E$2)*(E2915=E2914:E$2)))))</f>
        <v> </v>
      </c>
      <c r="J2915" s="26" t="str">
        <f>IF(OR(E2915="",E2915="!!!",F2915="NEW"),"",COUNTBLANK(OFFSET(A$1,,,SUMPRODUCT(MAX(ROW(E$2:E2915)*(E2915=E$2:E2915)))))-COUNTBLANK(OFFSET(A$1,,,SUMPRODUCT(MAX(ROW(E$1:E2914)*(E2=E$1:E2914))))))</f>
        <v> </v>
      </c>
      <c r="K2915" s="26" t="str">
        <f>IF(OR(E2915="",E2915="!!!",F2915="NEW"),"",INDEX(J$1:J2914,SUMPRODUCT(MAX(ROW(E$1:E2914)*(E2915=E$1:E2914)))))</f>
        <v> </v>
      </c>
      <c r="L2915" s="27"/>
    </row>
    <row r="2916" spans="1:12">
      <c r="A2916" s="20" t="s">
        <v>1889</v>
      </c>
      <c r="E2916" s="22">
        <f>IF(D2916="?OLD","!!!","")</f>
        <v/>
      </c>
      <c r="F2916" s="23" t="str">
        <f>IF(OR(E2916="",E2916="!!!"),"",IF(NOT(ISNA(VLOOKUP(E2916,E$1:E2915,1,FALSE()))),"OLD",IF(AND(E2916&lt;&gt;"",E2916&lt;&gt;"!!!"),"NEW","")))</f>
        <v> </v>
      </c>
      <c r="G2916" s="24" t="str">
        <f>IF(OR(E2916="",E2916="!!!"),"",IF(OR(J2916=0,AND(J2916=1,K2916=1),AND(J2916=1,I2916="SBJ"),AND(J2916=1,I2916=0)),"?IN_FOCUS",IF(J2916&lt;=2,"?ACTIVATED",IF(J2916&lt;&gt;"","?FAMILIAR",IF(F2916="NEW",IF(ISNA(VLOOKUP(E2916,#REF!,1,FALSE())),"?TYPE_IDENTIFIABLE","?REFERENTIAL"),"_")))))</f>
        <v> </v>
      </c>
      <c r="H2916" s="25" t="str">
        <f>IF(J2916&lt;&gt;1,"",IF(I2916="SBJ","CB","?"))</f>
        <v> </v>
      </c>
      <c r="I2916" s="26" t="str">
        <f>IF(OR(E2916="",E2916="!!!",F2916="NEW"),"",INDEX(B2915:B$2,-1+SUMPRODUCT(MAX(ROW(E2915:E$2)*(E2916=E2915:E$2)))))</f>
        <v> </v>
      </c>
      <c r="J2916" s="26" t="str">
        <f>IF(OR(E2916="",E2916="!!!",F2916="NEW"),"",COUNTBLANK(OFFSET(A$1,,,SUMPRODUCT(MAX(ROW(E$2:E2916)*(E2916=E$2:E2916)))))-COUNTBLANK(OFFSET(A$1,,,SUMPRODUCT(MAX(ROW(E$1:E2915)*(E2=E$1:E2915))))))</f>
        <v> </v>
      </c>
      <c r="K2916" s="26" t="str">
        <f>IF(OR(E2916="",E2916="!!!",F2916="NEW"),"",INDEX(J$1:J2915,SUMPRODUCT(MAX(ROW(E$1:E2915)*(E2916=E$1:E2915)))))</f>
        <v> </v>
      </c>
      <c r="L2916" s="27"/>
    </row>
    <row r="2917" spans="1:12">
      <c r="A2917" s="20" t="s">
        <v>1324</v>
      </c>
      <c r="E2917" s="22">
        <f>IF(D2917="?OLD","!!!","")</f>
        <v/>
      </c>
      <c r="F2917" s="23" t="str">
        <f>IF(OR(E2917="",E2917="!!!"),"",IF(NOT(ISNA(VLOOKUP(E2917,E$1:E2916,1,FALSE()))),"OLD",IF(AND(E2917&lt;&gt;"",E2917&lt;&gt;"!!!"),"NEW","")))</f>
        <v> </v>
      </c>
      <c r="G2917" s="24" t="str">
        <f>IF(OR(E2917="",E2917="!!!"),"",IF(OR(J2917=0,AND(J2917=1,K2917=1),AND(J2917=1,I2917="SBJ"),AND(J2917=1,I2917=0)),"?IN_FOCUS",IF(J2917&lt;=2,"?ACTIVATED",IF(J2917&lt;&gt;"","?FAMILIAR",IF(F2917="NEW",IF(ISNA(VLOOKUP(E2917,#REF!,1,FALSE())),"?TYPE_IDENTIFIABLE","?REFERENTIAL"),"_")))))</f>
        <v> </v>
      </c>
      <c r="H2917" s="25" t="str">
        <f>IF(J2917&lt;&gt;1,"",IF(I2917="SBJ","CB","?"))</f>
        <v> </v>
      </c>
      <c r="I2917" s="26" t="str">
        <f>IF(OR(E2917="",E2917="!!!",F2917="NEW"),"",INDEX(B2916:B$2,-1+SUMPRODUCT(MAX(ROW(E2916:E$2)*(E2917=E2916:E$2)))))</f>
        <v> </v>
      </c>
      <c r="J2917" s="26" t="str">
        <f>IF(OR(E2917="",E2917="!!!",F2917="NEW"),"",COUNTBLANK(OFFSET(A$1,,,SUMPRODUCT(MAX(ROW(E$2:E2917)*(E2917=E$2:E2917)))))-COUNTBLANK(OFFSET(A$1,,,SUMPRODUCT(MAX(ROW(E$1:E2916)*(E2=E$1:E2916))))))</f>
        <v> </v>
      </c>
      <c r="K2917" s="26" t="str">
        <f>IF(OR(E2917="",E2917="!!!",F2917="NEW"),"",INDEX(J$1:J2916,SUMPRODUCT(MAX(ROW(E$1:E2916)*(E2917=E$1:E2916)))))</f>
        <v> </v>
      </c>
      <c r="L2917" s="27"/>
    </row>
    <row r="2918" spans="1:12">
      <c r="A2918" s="20" t="s">
        <v>1893</v>
      </c>
      <c r="B2918" s="21" t="s">
        <v>1064</v>
      </c>
      <c r="C2918" s="21" t="s">
        <v>1013</v>
      </c>
      <c r="D2918" s="21" t="s">
        <v>1007</v>
      </c>
      <c r="E2918" s="22">
        <f>IF(D2918="?OLD","!!!","")</f>
        <v/>
      </c>
      <c r="F2918" s="23" t="str">
        <f>IF(OR(E2918="",E2918="!!!"),"",IF(NOT(ISNA(VLOOKUP(E2918,E$1:E2917,1,FALSE()))),"OLD",IF(AND(E2918&lt;&gt;"",E2918&lt;&gt;"!!!"),"NEW","")))</f>
        <v> </v>
      </c>
      <c r="G2918" s="24" t="str">
        <f>IF(OR(E2918="",E2918="!!!"),"",IF(OR(J2918=0,AND(J2918=1,K2918=1),AND(J2918=1,I2918="SBJ"),AND(J2918=1,I2918=0)),"?IN_FOCUS",IF(J2918&lt;=2,"?ACTIVATED",IF(J2918&lt;&gt;"","?FAMILIAR",IF(F2918="NEW",IF(ISNA(VLOOKUP(E2918,#REF!,1,FALSE())),"?TYPE_IDENTIFIABLE","?REFERENTIAL"),"_")))))</f>
        <v> </v>
      </c>
      <c r="H2918" s="25" t="str">
        <f>IF(J2918&lt;&gt;1,"",IF(I2918="SBJ","CB","?"))</f>
        <v> </v>
      </c>
      <c r="I2918" s="26" t="str">
        <f>IF(OR(E2918="",E2918="!!!",F2918="NEW"),"",INDEX(B2917:B$2,-1+SUMPRODUCT(MAX(ROW(E2917:E$2)*(E2918=E2917:E$2)))))</f>
        <v> </v>
      </c>
      <c r="J2918" s="26" t="str">
        <f>IF(OR(E2918="",E2918="!!!",F2918="NEW"),"",COUNTBLANK(OFFSET(A$1,,,SUMPRODUCT(MAX(ROW(E$2:E2918)*(E2918=E$2:E2918)))))-COUNTBLANK(OFFSET(A$1,,,SUMPRODUCT(MAX(ROW(E$1:E2917)*(E2=E$1:E2917))))))</f>
        <v> </v>
      </c>
      <c r="K2918" s="26" t="str">
        <f>IF(OR(E2918="",E2918="!!!",F2918="NEW"),"",INDEX(J$1:J2917,SUMPRODUCT(MAX(ROW(E$1:E2917)*(E2918=E$1:E2917)))))</f>
        <v> </v>
      </c>
      <c r="L2918" s="27"/>
    </row>
    <row r="2919" spans="1:12">
      <c r="A2919" s="20" t="s">
        <v>1014</v>
      </c>
      <c r="E2919" s="22">
        <f>IF(D2919="?OLD","!!!","")</f>
        <v/>
      </c>
      <c r="F2919" s="23" t="str">
        <f>IF(OR(E2919="",E2919="!!!"),"",IF(NOT(ISNA(VLOOKUP(E2919,E$1:E2918,1,FALSE()))),"OLD",IF(AND(E2919&lt;&gt;"",E2919&lt;&gt;"!!!"),"NEW","")))</f>
        <v> </v>
      </c>
      <c r="G2919" s="24" t="str">
        <f>IF(OR(E2919="",E2919="!!!"),"",IF(OR(J2919=0,AND(J2919=1,K2919=1),AND(J2919=1,I2919="SBJ"),AND(J2919=1,I2919=0)),"?IN_FOCUS",IF(J2919&lt;=2,"?ACTIVATED",IF(J2919&lt;&gt;"","?FAMILIAR",IF(F2919="NEW",IF(ISNA(VLOOKUP(E2919,#REF!,1,FALSE())),"?TYPE_IDENTIFIABLE","?REFERENTIAL"),"_")))))</f>
        <v> </v>
      </c>
      <c r="H2919" s="25" t="str">
        <f>IF(J2919&lt;&gt;1,"",IF(I2919="SBJ","CB","?"))</f>
        <v> </v>
      </c>
      <c r="I2919" s="26" t="str">
        <f>IF(OR(E2919="",E2919="!!!",F2919="NEW"),"",INDEX(B2918:B$2,-1+SUMPRODUCT(MAX(ROW(E2918:E$2)*(E2919=E2918:E$2)))))</f>
        <v> </v>
      </c>
      <c r="J2919" s="26" t="str">
        <f>IF(OR(E2919="",E2919="!!!",F2919="NEW"),"",COUNTBLANK(OFFSET(A$1,,,SUMPRODUCT(MAX(ROW(E$2:E2919)*(E2919=E$2:E2919)))))-COUNTBLANK(OFFSET(A$1,,,SUMPRODUCT(MAX(ROW(E$1:E2918)*(E2=E$1:E2918))))))</f>
        <v> </v>
      </c>
      <c r="K2919" s="26" t="str">
        <f>IF(OR(E2919="",E2919="!!!",F2919="NEW"),"",INDEX(J$1:J2918,SUMPRODUCT(MAX(ROW(E$1:E2918)*(E2919=E$1:E2918)))))</f>
        <v> </v>
      </c>
      <c r="L2919" s="27"/>
    </row>
    <row r="2920" spans="1:12">
      <c r="A2920" s="20" t="s">
        <v>1894</v>
      </c>
      <c r="B2920" s="21" t="s">
        <v>1130</v>
      </c>
      <c r="C2920" s="21" t="s">
        <v>1048</v>
      </c>
      <c r="E2920" s="22">
        <f>IF(D2920="?OLD","!!!","")</f>
        <v/>
      </c>
      <c r="F2920" s="23" t="str">
        <f>IF(OR(E2920="",E2920="!!!"),"",IF(NOT(ISNA(VLOOKUP(E2920,E$1:E2919,1,FALSE()))),"OLD",IF(AND(E2920&lt;&gt;"",E2920&lt;&gt;"!!!"),"NEW","")))</f>
        <v> </v>
      </c>
      <c r="G2920" s="24" t="str">
        <f>IF(OR(E2920="",E2920="!!!"),"",IF(OR(J2920=0,AND(J2920=1,K2920=1),AND(J2920=1,I2920="SBJ"),AND(J2920=1,I2920=0)),"?IN_FOCUS",IF(J2920&lt;=2,"?ACTIVATED",IF(J2920&lt;&gt;"","?FAMILIAR",IF(F2920="NEW",IF(ISNA(VLOOKUP(E2920,#REF!,1,FALSE())),"?TYPE_IDENTIFIABLE","?REFERENTIAL"),"_")))))</f>
        <v> </v>
      </c>
      <c r="H2920" s="25" t="str">
        <f>IF(J2920&lt;&gt;1,"",IF(I2920="SBJ","CB","?"))</f>
        <v> </v>
      </c>
      <c r="I2920" s="26" t="str">
        <f>IF(OR(E2920="",E2920="!!!",F2920="NEW"),"",INDEX(B2919:B$2,-1+SUMPRODUCT(MAX(ROW(E2919:E$2)*(E2920=E2919:E$2)))))</f>
        <v> </v>
      </c>
      <c r="J2920" s="26" t="str">
        <f>IF(OR(E2920="",E2920="!!!",F2920="NEW"),"",COUNTBLANK(OFFSET(A$1,,,SUMPRODUCT(MAX(ROW(E$2:E2920)*(E2920=E$2:E2920)))))-COUNTBLANK(OFFSET(A$1,,,SUMPRODUCT(MAX(ROW(E$1:E2919)*(E2=E$1:E2919))))))</f>
        <v> </v>
      </c>
      <c r="K2920" s="26" t="str">
        <f>IF(OR(E2920="",E2920="!!!",F2920="NEW"),"",INDEX(J$1:J2919,SUMPRODUCT(MAX(ROW(E$1:E2919)*(E2920=E$1:E2919)))))</f>
        <v> </v>
      </c>
      <c r="L2920" s="27"/>
    </row>
    <row r="2921" spans="1:12">
      <c r="A2921" s="20" t="s">
        <v>1266</v>
      </c>
      <c r="E2921" s="22">
        <f>IF(D2921="?OLD","!!!","")</f>
        <v/>
      </c>
      <c r="F2921" s="23" t="str">
        <f>IF(OR(E2921="",E2921="!!!"),"",IF(NOT(ISNA(VLOOKUP(E2921,E$1:E2920,1,FALSE()))),"OLD",IF(AND(E2921&lt;&gt;"",E2921&lt;&gt;"!!!"),"NEW","")))</f>
        <v> </v>
      </c>
      <c r="G2921" s="24" t="str">
        <f>IF(OR(E2921="",E2921="!!!"),"",IF(OR(J2921=0,AND(J2921=1,K2921=1),AND(J2921=1,I2921="SBJ"),AND(J2921=1,I2921=0)),"?IN_FOCUS",IF(J2921&lt;=2,"?ACTIVATED",IF(J2921&lt;&gt;"","?FAMILIAR",IF(F2921="NEW",IF(ISNA(VLOOKUP(E2921,#REF!,1,FALSE())),"?TYPE_IDENTIFIABLE","?REFERENTIAL"),"_")))))</f>
        <v> </v>
      </c>
      <c r="H2921" s="25" t="str">
        <f>IF(J2921&lt;&gt;1,"",IF(I2921="SBJ","CB","?"))</f>
        <v> </v>
      </c>
      <c r="I2921" s="26" t="str">
        <f>IF(OR(E2921="",E2921="!!!",F2921="NEW"),"",INDEX(B2920:B$2,-1+SUMPRODUCT(MAX(ROW(E2920:E$2)*(E2921=E2920:E$2)))))</f>
        <v> </v>
      </c>
      <c r="J2921" s="26" t="str">
        <f>IF(OR(E2921="",E2921="!!!",F2921="NEW"),"",COUNTBLANK(OFFSET(A$1,,,SUMPRODUCT(MAX(ROW(E$2:E2921)*(E2921=E$2:E2921)))))-COUNTBLANK(OFFSET(A$1,,,SUMPRODUCT(MAX(ROW(E$1:E2920)*(E2=E$1:E2920))))))</f>
        <v> </v>
      </c>
      <c r="K2921" s="26" t="str">
        <f>IF(OR(E2921="",E2921="!!!",F2921="NEW"),"",INDEX(J$1:J2920,SUMPRODUCT(MAX(ROW(E$1:E2920)*(E2921=E$1:E2920)))))</f>
        <v> </v>
      </c>
      <c r="L2921" s="27"/>
    </row>
    <row r="2922" spans="1:12">
      <c r="A2922" s="20" t="s">
        <v>1114</v>
      </c>
      <c r="E2922" s="22">
        <f>IF(D2922="?OLD","!!!","")</f>
        <v/>
      </c>
      <c r="F2922" s="23" t="str">
        <f>IF(OR(E2922="",E2922="!!!"),"",IF(NOT(ISNA(VLOOKUP(E2922,E$1:E2921,1,FALSE()))),"OLD",IF(AND(E2922&lt;&gt;"",E2922&lt;&gt;"!!!"),"NEW","")))</f>
        <v> </v>
      </c>
      <c r="G2922" s="24" t="str">
        <f>IF(OR(E2922="",E2922="!!!"),"",IF(OR(J2922=0,AND(J2922=1,K2922=1),AND(J2922=1,I2922="SBJ"),AND(J2922=1,I2922=0)),"?IN_FOCUS",IF(J2922&lt;=2,"?ACTIVATED",IF(J2922&lt;&gt;"","?FAMILIAR",IF(F2922="NEW",IF(ISNA(VLOOKUP(E2922,#REF!,1,FALSE())),"?TYPE_IDENTIFIABLE","?REFERENTIAL"),"_")))))</f>
        <v> </v>
      </c>
      <c r="H2922" s="25" t="str">
        <f>IF(J2922&lt;&gt;1,"",IF(I2922="SBJ","CB","?"))</f>
        <v> </v>
      </c>
      <c r="I2922" s="26" t="str">
        <f>IF(OR(E2922="",E2922="!!!",F2922="NEW"),"",INDEX(B2921:B$2,-1+SUMPRODUCT(MAX(ROW(E2921:E$2)*(E2922=E2921:E$2)))))</f>
        <v> </v>
      </c>
      <c r="J2922" s="26" t="str">
        <f>IF(OR(E2922="",E2922="!!!",F2922="NEW"),"",COUNTBLANK(OFFSET(A$1,,,SUMPRODUCT(MAX(ROW(E$2:E2922)*(E2922=E$2:E2922)))))-COUNTBLANK(OFFSET(A$1,,,SUMPRODUCT(MAX(ROW(E$1:E2921)*(E2=E$1:E2921))))))</f>
        <v> </v>
      </c>
      <c r="K2922" s="26" t="str">
        <f>IF(OR(E2922="",E2922="!!!",F2922="NEW"),"",INDEX(J$1:J2921,SUMPRODUCT(MAX(ROW(E$1:E2921)*(E2922=E$1:E2921)))))</f>
        <v> </v>
      </c>
      <c r="L2922" s="27"/>
    </row>
    <row r="2923" spans="1:12">
      <c r="A2923" s="20" t="s">
        <v>1895</v>
      </c>
      <c r="E2923" s="22">
        <f>IF(D2923="?OLD","!!!","")</f>
        <v/>
      </c>
      <c r="F2923" s="23" t="str">
        <f>IF(OR(E2923="",E2923="!!!"),"",IF(NOT(ISNA(VLOOKUP(E2923,E$1:E2922,1,FALSE()))),"OLD",IF(AND(E2923&lt;&gt;"",E2923&lt;&gt;"!!!"),"NEW","")))</f>
        <v> </v>
      </c>
      <c r="G2923" s="24" t="str">
        <f>IF(OR(E2923="",E2923="!!!"),"",IF(OR(J2923=0,AND(J2923=1,K2923=1),AND(J2923=1,I2923="SBJ"),AND(J2923=1,I2923=0)),"?IN_FOCUS",IF(J2923&lt;=2,"?ACTIVATED",IF(J2923&lt;&gt;"","?FAMILIAR",IF(F2923="NEW",IF(ISNA(VLOOKUP(E2923,#REF!,1,FALSE())),"?TYPE_IDENTIFIABLE","?REFERENTIAL"),"_")))))</f>
        <v> </v>
      </c>
      <c r="H2923" s="25" t="str">
        <f>IF(J2923&lt;&gt;1,"",IF(I2923="SBJ","CB","?"))</f>
        <v> </v>
      </c>
      <c r="I2923" s="26" t="str">
        <f>IF(OR(E2923="",E2923="!!!",F2923="NEW"),"",INDEX(B2922:B$2,-1+SUMPRODUCT(MAX(ROW(E2922:E$2)*(E2923=E2922:E$2)))))</f>
        <v> </v>
      </c>
      <c r="J2923" s="26" t="str">
        <f>IF(OR(E2923="",E2923="!!!",F2923="NEW"),"",COUNTBLANK(OFFSET(A$1,,,SUMPRODUCT(MAX(ROW(E$2:E2923)*(E2923=E$2:E2923)))))-COUNTBLANK(OFFSET(A$1,,,SUMPRODUCT(MAX(ROW(E$1:E2922)*(E2=E$1:E2922))))))</f>
        <v> </v>
      </c>
      <c r="K2923" s="26" t="str">
        <f>IF(OR(E2923="",E2923="!!!",F2923="NEW"),"",INDEX(J$1:J2922,SUMPRODUCT(MAX(ROW(E$1:E2922)*(E2923=E$1:E2922)))))</f>
        <v> </v>
      </c>
      <c r="L2923" s="27"/>
    </row>
    <row r="2924" spans="1:12">
      <c r="A2924" s="20" t="s">
        <v>1114</v>
      </c>
      <c r="B2924" s="21" t="s">
        <v>1042</v>
      </c>
      <c r="C2924" s="21" t="s">
        <v>1082</v>
      </c>
      <c r="D2924" s="21" t="s">
        <v>1007</v>
      </c>
      <c r="E2924" s="22">
        <f>IF(D2924="?OLD","!!!","")</f>
        <v/>
      </c>
      <c r="F2924" s="23" t="str">
        <f>IF(OR(E2924="",E2924="!!!"),"",IF(NOT(ISNA(VLOOKUP(E2924,E$1:E2923,1,FALSE()))),"OLD",IF(AND(E2924&lt;&gt;"",E2924&lt;&gt;"!!!"),"NEW","")))</f>
        <v> </v>
      </c>
      <c r="G2924" s="24" t="str">
        <f>IF(OR(E2924="",E2924="!!!"),"",IF(OR(J2924=0,AND(J2924=1,K2924=1),AND(J2924=1,I2924="SBJ"),AND(J2924=1,I2924=0)),"?IN_FOCUS",IF(J2924&lt;=2,"?ACTIVATED",IF(J2924&lt;&gt;"","?FAMILIAR",IF(F2924="NEW",IF(ISNA(VLOOKUP(E2924,#REF!,1,FALSE())),"?TYPE_IDENTIFIABLE","?REFERENTIAL"),"_")))))</f>
        <v> </v>
      </c>
      <c r="H2924" s="25" t="str">
        <f>IF(J2924&lt;&gt;1,"",IF(I2924="SBJ","CB","?"))</f>
        <v> </v>
      </c>
      <c r="I2924" s="26" t="str">
        <f>IF(OR(E2924="",E2924="!!!",F2924="NEW"),"",INDEX(B2923:B$2,-1+SUMPRODUCT(MAX(ROW(E2923:E$2)*(E2924=E2923:E$2)))))</f>
        <v> </v>
      </c>
      <c r="J2924" s="26" t="str">
        <f>IF(OR(E2924="",E2924="!!!",F2924="NEW"),"",COUNTBLANK(OFFSET(A$1,,,SUMPRODUCT(MAX(ROW(E$2:E2924)*(E2924=E$2:E2924)))))-COUNTBLANK(OFFSET(A$1,,,SUMPRODUCT(MAX(ROW(E$1:E2923)*(E2=E$1:E2923))))))</f>
        <v> </v>
      </c>
      <c r="K2924" s="26" t="str">
        <f>IF(OR(E2924="",E2924="!!!",F2924="NEW"),"",INDEX(J$1:J2923,SUMPRODUCT(MAX(ROW(E$1:E2923)*(E2924=E$1:E2923)))))</f>
        <v> </v>
      </c>
      <c r="L2924" s="27"/>
    </row>
    <row r="2925" spans="1:12">
      <c r="A2925" s="20" t="s">
        <v>1279</v>
      </c>
      <c r="E2925" s="22">
        <f>IF(D2925="?OLD","!!!","")</f>
        <v/>
      </c>
      <c r="F2925" s="23" t="str">
        <f>IF(OR(E2925="",E2925="!!!"),"",IF(NOT(ISNA(VLOOKUP(E2925,E$1:E2924,1,FALSE()))),"OLD",IF(AND(E2925&lt;&gt;"",E2925&lt;&gt;"!!!"),"NEW","")))</f>
        <v> </v>
      </c>
      <c r="G2925" s="24" t="str">
        <f>IF(OR(E2925="",E2925="!!!"),"",IF(OR(J2925=0,AND(J2925=1,K2925=1),AND(J2925=1,I2925="SBJ"),AND(J2925=1,I2925=0)),"?IN_FOCUS",IF(J2925&lt;=2,"?ACTIVATED",IF(J2925&lt;&gt;"","?FAMILIAR",IF(F2925="NEW",IF(ISNA(VLOOKUP(E2925,#REF!,1,FALSE())),"?TYPE_IDENTIFIABLE","?REFERENTIAL"),"_")))))</f>
        <v> </v>
      </c>
      <c r="H2925" s="25" t="str">
        <f>IF(J2925&lt;&gt;1,"",IF(I2925="SBJ","CB","?"))</f>
        <v> </v>
      </c>
      <c r="I2925" s="26" t="str">
        <f>IF(OR(E2925="",E2925="!!!",F2925="NEW"),"",INDEX(B2924:B$2,-1+SUMPRODUCT(MAX(ROW(E2924:E$2)*(E2925=E2924:E$2)))))</f>
        <v> </v>
      </c>
      <c r="J2925" s="26" t="str">
        <f>IF(OR(E2925="",E2925="!!!",F2925="NEW"),"",COUNTBLANK(OFFSET(A$1,,,SUMPRODUCT(MAX(ROW(E$2:E2925)*(E2925=E$2:E2925)))))-COUNTBLANK(OFFSET(A$1,,,SUMPRODUCT(MAX(ROW(E$1:E2924)*(E2=E$1:E2924))))))</f>
        <v> </v>
      </c>
      <c r="K2925" s="26" t="str">
        <f>IF(OR(E2925="",E2925="!!!",F2925="NEW"),"",INDEX(J$1:J2924,SUMPRODUCT(MAX(ROW(E$1:E2924)*(E2925=E$1:E2924)))))</f>
        <v> </v>
      </c>
      <c r="L2925" s="27"/>
    </row>
    <row r="2926" spans="1:12">
      <c r="A2926" s="20" t="s">
        <v>1896</v>
      </c>
      <c r="B2926" s="21" t="s">
        <v>1066</v>
      </c>
      <c r="C2926" s="21" t="s">
        <v>1041</v>
      </c>
      <c r="D2926" s="21" t="s">
        <v>1007</v>
      </c>
      <c r="E2926" s="22">
        <f>IF(D2926="?OLD","!!!","")</f>
        <v/>
      </c>
      <c r="F2926" s="23" t="str">
        <f>IF(OR(E2926="",E2926="!!!"),"",IF(NOT(ISNA(VLOOKUP(E2926,E$1:E2925,1,FALSE()))),"OLD",IF(AND(E2926&lt;&gt;"",E2926&lt;&gt;"!!!"),"NEW","")))</f>
        <v> </v>
      </c>
      <c r="G2926" s="24" t="str">
        <f>IF(OR(E2926="",E2926="!!!"),"",IF(OR(J2926=0,AND(J2926=1,K2926=1),AND(J2926=1,I2926="SBJ"),AND(J2926=1,I2926=0)),"?IN_FOCUS",IF(J2926&lt;=2,"?ACTIVATED",IF(J2926&lt;&gt;"","?FAMILIAR",IF(F2926="NEW",IF(ISNA(VLOOKUP(E2926,#REF!,1,FALSE())),"?TYPE_IDENTIFIABLE","?REFERENTIAL"),"_")))))</f>
        <v> </v>
      </c>
      <c r="H2926" s="25" t="str">
        <f>IF(J2926&lt;&gt;1,"",IF(I2926="SBJ","CB","?"))</f>
        <v> </v>
      </c>
      <c r="I2926" s="26" t="str">
        <f>IF(OR(E2926="",E2926="!!!",F2926="NEW"),"",INDEX(B2925:B$2,-1+SUMPRODUCT(MAX(ROW(E2925:E$2)*(E2926=E2925:E$2)))))</f>
        <v> </v>
      </c>
      <c r="J2926" s="26" t="str">
        <f>IF(OR(E2926="",E2926="!!!",F2926="NEW"),"",COUNTBLANK(OFFSET(A$1,,,SUMPRODUCT(MAX(ROW(E$2:E2926)*(E2926=E$2:E2926)))))-COUNTBLANK(OFFSET(A$1,,,SUMPRODUCT(MAX(ROW(E$1:E2925)*(E2=E$1:E2925))))))</f>
        <v> </v>
      </c>
      <c r="K2926" s="26" t="str">
        <f>IF(OR(E2926="",E2926="!!!",F2926="NEW"),"",INDEX(J$1:J2925,SUMPRODUCT(MAX(ROW(E$1:E2925)*(E2926=E$1:E2925)))))</f>
        <v> </v>
      </c>
      <c r="L2926" s="27"/>
    </row>
    <row r="2927" spans="1:12">
      <c r="A2927" s="20" t="s">
        <v>1256</v>
      </c>
      <c r="E2927" s="22">
        <f>IF(D2927="?OLD","!!!","")</f>
        <v/>
      </c>
      <c r="F2927" s="23" t="str">
        <f>IF(OR(E2927="",E2927="!!!"),"",IF(NOT(ISNA(VLOOKUP(E2927,E$1:E2926,1,FALSE()))),"OLD",IF(AND(E2927&lt;&gt;"",E2927&lt;&gt;"!!!"),"NEW","")))</f>
        <v> </v>
      </c>
      <c r="G2927" s="24" t="str">
        <f>IF(OR(E2927="",E2927="!!!"),"",IF(OR(J2927=0,AND(J2927=1,K2927=1),AND(J2927=1,I2927="SBJ"),AND(J2927=1,I2927=0)),"?IN_FOCUS",IF(J2927&lt;=2,"?ACTIVATED",IF(J2927&lt;&gt;"","?FAMILIAR",IF(F2927="NEW",IF(ISNA(VLOOKUP(E2927,#REF!,1,FALSE())),"?TYPE_IDENTIFIABLE","?REFERENTIAL"),"_")))))</f>
        <v> </v>
      </c>
      <c r="H2927" s="25" t="str">
        <f>IF(J2927&lt;&gt;1,"",IF(I2927="SBJ","CB","?"))</f>
        <v> </v>
      </c>
      <c r="I2927" s="26" t="str">
        <f>IF(OR(E2927="",E2927="!!!",F2927="NEW"),"",INDEX(B2926:B$2,-1+SUMPRODUCT(MAX(ROW(E2926:E$2)*(E2927=E2926:E$2)))))</f>
        <v> </v>
      </c>
      <c r="J2927" s="26" t="str">
        <f>IF(OR(E2927="",E2927="!!!",F2927="NEW"),"",COUNTBLANK(OFFSET(A$1,,,SUMPRODUCT(MAX(ROW(E$2:E2927)*(E2927=E$2:E2927)))))-COUNTBLANK(OFFSET(A$1,,,SUMPRODUCT(MAX(ROW(E$1:E2926)*(E2=E$1:E2926))))))</f>
        <v> </v>
      </c>
      <c r="K2927" s="26" t="str">
        <f>IF(OR(E2927="",E2927="!!!",F2927="NEW"),"",INDEX(J$1:J2926,SUMPRODUCT(MAX(ROW(E$1:E2926)*(E2927=E$1:E2926)))))</f>
        <v> </v>
      </c>
      <c r="L2927" s="27"/>
    </row>
    <row r="2928" spans="1:12">
      <c r="A2928" s="20" t="s">
        <v>238</v>
      </c>
      <c r="E2928" s="22">
        <f>IF(D2928="?OLD","!!!","")</f>
        <v/>
      </c>
      <c r="F2928" s="23" t="str">
        <f>IF(OR(E2928="",E2928="!!!"),"",IF(NOT(ISNA(VLOOKUP(E2928,E$1:E2927,1,FALSE()))),"OLD",IF(AND(E2928&lt;&gt;"",E2928&lt;&gt;"!!!"),"NEW","")))</f>
        <v> </v>
      </c>
      <c r="G2928" s="24" t="str">
        <f>IF(OR(E2928="",E2928="!!!"),"",IF(OR(J2928=0,AND(J2928=1,K2928=1),AND(J2928=1,I2928="SBJ"),AND(J2928=1,I2928=0)),"?IN_FOCUS",IF(J2928&lt;=2,"?ACTIVATED",IF(J2928&lt;&gt;"","?FAMILIAR",IF(F2928="NEW",IF(ISNA(VLOOKUP(E2928,#REF!,1,FALSE())),"?TYPE_IDENTIFIABLE","?REFERENTIAL"),"_")))))</f>
        <v> </v>
      </c>
      <c r="H2928" s="25" t="str">
        <f>IF(J2928&lt;&gt;1,"",IF(I2928="SBJ","CB","?"))</f>
        <v> </v>
      </c>
      <c r="I2928" s="26" t="str">
        <f>IF(OR(E2928="",E2928="!!!",F2928="NEW"),"",INDEX(B2927:B$2,-1+SUMPRODUCT(MAX(ROW(E2927:E$2)*(E2928=E2927:E$2)))))</f>
        <v> </v>
      </c>
      <c r="J2928" s="26" t="str">
        <f>IF(OR(E2928="",E2928="!!!",F2928="NEW"),"",COUNTBLANK(OFFSET(A$1,,,SUMPRODUCT(MAX(ROW(E$2:E2928)*(E2928=E$2:E2928)))))-COUNTBLANK(OFFSET(A$1,,,SUMPRODUCT(MAX(ROW(E$1:E2927)*(E2=E$1:E2927))))))</f>
        <v> </v>
      </c>
      <c r="K2928" s="26" t="str">
        <f>IF(OR(E2928="",E2928="!!!",F2928="NEW"),"",INDEX(J$1:J2927,SUMPRODUCT(MAX(ROW(E$1:E2927)*(E2928=E$1:E2927)))))</f>
        <v> </v>
      </c>
      <c r="L2928" s="27"/>
    </row>
    <row r="2929" spans="1:12">
      <c r="A2929" s="20" t="s">
        <v>1897</v>
      </c>
      <c r="E2929" s="22">
        <f>IF(D2929="?OLD","!!!","")</f>
        <v/>
      </c>
      <c r="F2929" s="23" t="str">
        <f>IF(OR(E2929="",E2929="!!!"),"",IF(NOT(ISNA(VLOOKUP(E2929,E$1:E2928,1,FALSE()))),"OLD",IF(AND(E2929&lt;&gt;"",E2929&lt;&gt;"!!!"),"NEW","")))</f>
        <v> </v>
      </c>
      <c r="G2929" s="24" t="str">
        <f>IF(OR(E2929="",E2929="!!!"),"",IF(OR(J2929=0,AND(J2929=1,K2929=1),AND(J2929=1,I2929="SBJ"),AND(J2929=1,I2929=0)),"?IN_FOCUS",IF(J2929&lt;=2,"?ACTIVATED",IF(J2929&lt;&gt;"","?FAMILIAR",IF(F2929="NEW",IF(ISNA(VLOOKUP(E2929,#REF!,1,FALSE())),"?TYPE_IDENTIFIABLE","?REFERENTIAL"),"_")))))</f>
        <v> </v>
      </c>
      <c r="H2929" s="25" t="str">
        <f>IF(J2929&lt;&gt;1,"",IF(I2929="SBJ","CB","?"))</f>
        <v> </v>
      </c>
      <c r="I2929" s="26" t="str">
        <f>IF(OR(E2929="",E2929="!!!",F2929="NEW"),"",INDEX(B2928:B$2,-1+SUMPRODUCT(MAX(ROW(E2928:E$2)*(E2929=E2928:E$2)))))</f>
        <v> </v>
      </c>
      <c r="J2929" s="26" t="str">
        <f>IF(OR(E2929="",E2929="!!!",F2929="NEW"),"",COUNTBLANK(OFFSET(A$1,,,SUMPRODUCT(MAX(ROW(E$2:E2929)*(E2929=E$2:E2929)))))-COUNTBLANK(OFFSET(A$1,,,SUMPRODUCT(MAX(ROW(E$1:E2928)*(E2=E$1:E2928))))))</f>
        <v> </v>
      </c>
      <c r="K2929" s="26" t="str">
        <f>IF(OR(E2929="",E2929="!!!",F2929="NEW"),"",INDEX(J$1:J2928,SUMPRODUCT(MAX(ROW(E$1:E2928)*(E2929=E$1:E2928)))))</f>
        <v> </v>
      </c>
      <c r="L2929" s="27"/>
    </row>
    <row r="2930" spans="1:12">
      <c r="A2930" s="20" t="s">
        <v>1036</v>
      </c>
      <c r="E2930" s="22">
        <f>IF(D2930="?OLD","!!!","")</f>
        <v/>
      </c>
      <c r="F2930" s="23" t="str">
        <f>IF(OR(E2930="",E2930="!!!"),"",IF(NOT(ISNA(VLOOKUP(E2930,E$1:E2929,1,FALSE()))),"OLD",IF(AND(E2930&lt;&gt;"",E2930&lt;&gt;"!!!"),"NEW","")))</f>
        <v> </v>
      </c>
      <c r="G2930" s="24" t="str">
        <f>IF(OR(E2930="",E2930="!!!"),"",IF(OR(J2930=0,AND(J2930=1,K2930=1),AND(J2930=1,I2930="SBJ"),AND(J2930=1,I2930=0)),"?IN_FOCUS",IF(J2930&lt;=2,"?ACTIVATED",IF(J2930&lt;&gt;"","?FAMILIAR",IF(F2930="NEW",IF(ISNA(VLOOKUP(E2930,#REF!,1,FALSE())),"?TYPE_IDENTIFIABLE","?REFERENTIAL"),"_")))))</f>
        <v> </v>
      </c>
      <c r="H2930" s="25" t="str">
        <f>IF(J2930&lt;&gt;1,"",IF(I2930="SBJ","CB","?"))</f>
        <v> </v>
      </c>
      <c r="I2930" s="26" t="str">
        <f>IF(OR(E2930="",E2930="!!!",F2930="NEW"),"",INDEX(B2929:B$2,-1+SUMPRODUCT(MAX(ROW(E2929:E$2)*(E2930=E2929:E$2)))))</f>
        <v> </v>
      </c>
      <c r="J2930" s="26" t="str">
        <f>IF(OR(E2930="",E2930="!!!",F2930="NEW"),"",COUNTBLANK(OFFSET(A$1,,,SUMPRODUCT(MAX(ROW(E$2:E2930)*(E2930=E$2:E2930)))))-COUNTBLANK(OFFSET(A$1,,,SUMPRODUCT(MAX(ROW(E$1:E2929)*(E2=E$1:E2929))))))</f>
        <v> </v>
      </c>
      <c r="K2930" s="26" t="str">
        <f>IF(OR(E2930="",E2930="!!!",F2930="NEW"),"",INDEX(J$1:J2929,SUMPRODUCT(MAX(ROW(E$1:E2929)*(E2930=E$1:E2929)))))</f>
        <v> </v>
      </c>
      <c r="L2930" s="27"/>
    </row>
    <row r="2931" spans="1:12">
      <c r="A2931" s="20" t="s">
        <v>1056</v>
      </c>
      <c r="E2931" s="22">
        <f>IF(D2931="?OLD","!!!","")</f>
        <v/>
      </c>
      <c r="F2931" s="23" t="str">
        <f>IF(OR(E2931="",E2931="!!!"),"",IF(NOT(ISNA(VLOOKUP(E2931,E$1:E2930,1,FALSE()))),"OLD",IF(AND(E2931&lt;&gt;"",E2931&lt;&gt;"!!!"),"NEW","")))</f>
        <v> </v>
      </c>
      <c r="G2931" s="24" t="str">
        <f>IF(OR(E2931="",E2931="!!!"),"",IF(OR(J2931=0,AND(J2931=1,K2931=1),AND(J2931=1,I2931="SBJ"),AND(J2931=1,I2931=0)),"?IN_FOCUS",IF(J2931&lt;=2,"?ACTIVATED",IF(J2931&lt;&gt;"","?FAMILIAR",IF(F2931="NEW",IF(ISNA(VLOOKUP(E2931,#REF!,1,FALSE())),"?TYPE_IDENTIFIABLE","?REFERENTIAL"),"_")))))</f>
        <v> </v>
      </c>
      <c r="H2931" s="25" t="str">
        <f>IF(J2931&lt;&gt;1,"",IF(I2931="SBJ","CB","?"))</f>
        <v> </v>
      </c>
      <c r="I2931" s="26" t="str">
        <f>IF(OR(E2931="",E2931="!!!",F2931="NEW"),"",INDEX(B2930:B$2,-1+SUMPRODUCT(MAX(ROW(E2930:E$2)*(E2931=E2930:E$2)))))</f>
        <v> </v>
      </c>
      <c r="J2931" s="26" t="str">
        <f>IF(OR(E2931="",E2931="!!!",F2931="NEW"),"",COUNTBLANK(OFFSET(A$1,,,SUMPRODUCT(MAX(ROW(E$2:E2931)*(E2931=E$2:E2931)))))-COUNTBLANK(OFFSET(A$1,,,SUMPRODUCT(MAX(ROW(E$1:E2930)*(E2=E$1:E2930))))))</f>
        <v> </v>
      </c>
      <c r="K2931" s="26" t="str">
        <f>IF(OR(E2931="",E2931="!!!",F2931="NEW"),"",INDEX(J$1:J2930,SUMPRODUCT(MAX(ROW(E$1:E2930)*(E2931=E$1:E2930)))))</f>
        <v> </v>
      </c>
      <c r="L2931" s="27"/>
    </row>
    <row r="2932" spans="1:12">
      <c r="A2932" s="20" t="s">
        <v>1898</v>
      </c>
      <c r="B2932" s="21" t="s">
        <v>1130</v>
      </c>
      <c r="C2932" s="21" t="s">
        <v>1013</v>
      </c>
      <c r="D2932" s="21" t="s">
        <v>1007</v>
      </c>
      <c r="E2932" s="22">
        <f>IF(D2932="?OLD","!!!","")</f>
        <v/>
      </c>
      <c r="F2932" s="23" t="str">
        <f>IF(OR(E2932="",E2932="!!!"),"",IF(NOT(ISNA(VLOOKUP(E2932,E$1:E2931,1,FALSE()))),"OLD",IF(AND(E2932&lt;&gt;"",E2932&lt;&gt;"!!!"),"NEW","")))</f>
        <v> </v>
      </c>
      <c r="G2932" s="24" t="str">
        <f>IF(OR(E2932="",E2932="!!!"),"",IF(OR(J2932=0,AND(J2932=1,K2932=1),AND(J2932=1,I2932="SBJ"),AND(J2932=1,I2932=0)),"?IN_FOCUS",IF(J2932&lt;=2,"?ACTIVATED",IF(J2932&lt;&gt;"","?FAMILIAR",IF(F2932="NEW",IF(ISNA(VLOOKUP(E2932,#REF!,1,FALSE())),"?TYPE_IDENTIFIABLE","?REFERENTIAL"),"_")))))</f>
        <v> </v>
      </c>
      <c r="H2932" s="25" t="str">
        <f>IF(J2932&lt;&gt;1,"",IF(I2932="SBJ","CB","?"))</f>
        <v> </v>
      </c>
      <c r="I2932" s="26" t="str">
        <f>IF(OR(E2932="",E2932="!!!",F2932="NEW"),"",INDEX(B2931:B$2,-1+SUMPRODUCT(MAX(ROW(E2931:E$2)*(E2932=E2931:E$2)))))</f>
        <v> </v>
      </c>
      <c r="J2932" s="26" t="str">
        <f>IF(OR(E2932="",E2932="!!!",F2932="NEW"),"",COUNTBLANK(OFFSET(A$1,,,SUMPRODUCT(MAX(ROW(E$2:E2932)*(E2932=E$2:E2932)))))-COUNTBLANK(OFFSET(A$1,,,SUMPRODUCT(MAX(ROW(E$1:E2931)*(E2=E$1:E2931))))))</f>
        <v> </v>
      </c>
      <c r="K2932" s="26" t="str">
        <f>IF(OR(E2932="",E2932="!!!",F2932="NEW"),"",INDEX(J$1:J2931,SUMPRODUCT(MAX(ROW(E$1:E2931)*(E2932=E$1:E2931)))))</f>
        <v> </v>
      </c>
      <c r="L2932" s="27"/>
    </row>
    <row r="2933" spans="1:12">
      <c r="A2933" s="20" t="s">
        <v>1014</v>
      </c>
      <c r="E2933" s="22">
        <f>IF(D2933="?OLD","!!!","")</f>
        <v/>
      </c>
      <c r="F2933" s="23" t="str">
        <f>IF(OR(E2933="",E2933="!!!"),"",IF(NOT(ISNA(VLOOKUP(E2933,E$1:E2932,1,FALSE()))),"OLD",IF(AND(E2933&lt;&gt;"",E2933&lt;&gt;"!!!"),"NEW","")))</f>
        <v> </v>
      </c>
      <c r="G2933" s="24" t="str">
        <f>IF(OR(E2933="",E2933="!!!"),"",IF(OR(J2933=0,AND(J2933=1,K2933=1),AND(J2933=1,I2933="SBJ"),AND(J2933=1,I2933=0)),"?IN_FOCUS",IF(J2933&lt;=2,"?ACTIVATED",IF(J2933&lt;&gt;"","?FAMILIAR",IF(F2933="NEW",IF(ISNA(VLOOKUP(E2933,#REF!,1,FALSE())),"?TYPE_IDENTIFIABLE","?REFERENTIAL"),"_")))))</f>
        <v> </v>
      </c>
      <c r="H2933" s="25" t="str">
        <f>IF(J2933&lt;&gt;1,"",IF(I2933="SBJ","CB","?"))</f>
        <v> </v>
      </c>
      <c r="I2933" s="26" t="str">
        <f>IF(OR(E2933="",E2933="!!!",F2933="NEW"),"",INDEX(B2932:B$2,-1+SUMPRODUCT(MAX(ROW(E2932:E$2)*(E2933=E2932:E$2)))))</f>
        <v> </v>
      </c>
      <c r="J2933" s="26" t="str">
        <f>IF(OR(E2933="",E2933="!!!",F2933="NEW"),"",COUNTBLANK(OFFSET(A$1,,,SUMPRODUCT(MAX(ROW(E$2:E2933)*(E2933=E$2:E2933)))))-COUNTBLANK(OFFSET(A$1,,,SUMPRODUCT(MAX(ROW(E$1:E2932)*(E2=E$1:E2932))))))</f>
        <v> </v>
      </c>
      <c r="K2933" s="26" t="str">
        <f>IF(OR(E2933="",E2933="!!!",F2933="NEW"),"",INDEX(J$1:J2932,SUMPRODUCT(MAX(ROW(E$1:E2932)*(E2933=E$1:E2932)))))</f>
        <v> </v>
      </c>
      <c r="L2933" s="27"/>
    </row>
    <row r="2934" spans="1:12">
      <c r="A2934" s="20" t="s">
        <v>102</v>
      </c>
      <c r="E2934" s="22">
        <f>IF(D2934="?OLD","!!!","")</f>
        <v/>
      </c>
      <c r="F2934" s="23" t="str">
        <f>IF(OR(E2934="",E2934="!!!"),"",IF(NOT(ISNA(VLOOKUP(E2934,E$1:E2933,1,FALSE()))),"OLD",IF(AND(E2934&lt;&gt;"",E2934&lt;&gt;"!!!"),"NEW","")))</f>
        <v> </v>
      </c>
      <c r="G2934" s="24" t="str">
        <f>IF(OR(E2934="",E2934="!!!"),"",IF(OR(J2934=0,AND(J2934=1,K2934=1),AND(J2934=1,I2934="SBJ"),AND(J2934=1,I2934=0)),"?IN_FOCUS",IF(J2934&lt;=2,"?ACTIVATED",IF(J2934&lt;&gt;"","?FAMILIAR",IF(F2934="NEW",IF(ISNA(VLOOKUP(E2934,#REF!,1,FALSE())),"?TYPE_IDENTIFIABLE","?REFERENTIAL"),"_")))))</f>
        <v> </v>
      </c>
      <c r="H2934" s="25" t="str">
        <f>IF(J2934&lt;&gt;1,"",IF(I2934="SBJ","CB","?"))</f>
        <v> </v>
      </c>
      <c r="I2934" s="26" t="str">
        <f>IF(OR(E2934="",E2934="!!!",F2934="NEW"),"",INDEX(B2933:B$2,-1+SUMPRODUCT(MAX(ROW(E2933:E$2)*(E2934=E2933:E$2)))))</f>
        <v> </v>
      </c>
      <c r="J2934" s="26" t="str">
        <f>IF(OR(E2934="",E2934="!!!",F2934="NEW"),"",COUNTBLANK(OFFSET(A$1,,,SUMPRODUCT(MAX(ROW(E$2:E2934)*(E2934=E$2:E2934)))))-COUNTBLANK(OFFSET(A$1,,,SUMPRODUCT(MAX(ROW(E$1:E2933)*(E2=E$1:E2933))))))</f>
        <v> </v>
      </c>
      <c r="K2934" s="26" t="str">
        <f>IF(OR(E2934="",E2934="!!!",F2934="NEW"),"",INDEX(J$1:J2933,SUMPRODUCT(MAX(ROW(E$1:E2933)*(E2934=E$1:E2933)))))</f>
        <v> </v>
      </c>
      <c r="L2934" s="27"/>
    </row>
    <row r="2935" spans="1:12">
      <c r="A2935" s="20" t="s">
        <v>1168</v>
      </c>
      <c r="B2935" s="21" t="s">
        <v>1040</v>
      </c>
      <c r="C2935" s="21" t="s">
        <v>1017</v>
      </c>
      <c r="D2935" s="21" t="s">
        <v>1007</v>
      </c>
      <c r="E2935" s="22">
        <f>IF(D2935="?OLD","!!!","")</f>
        <v/>
      </c>
      <c r="F2935" s="23" t="str">
        <f>IF(OR(E2935="",E2935="!!!"),"",IF(NOT(ISNA(VLOOKUP(E2935,E$1:E2934,1,FALSE()))),"OLD",IF(AND(E2935&lt;&gt;"",E2935&lt;&gt;"!!!"),"NEW","")))</f>
        <v> </v>
      </c>
      <c r="G2935" s="24" t="str">
        <f>IF(OR(E2935="",E2935="!!!"),"",IF(OR(J2935=0,AND(J2935=1,K2935=1),AND(J2935=1,I2935="SBJ"),AND(J2935=1,I2935=0)),"?IN_FOCUS",IF(J2935&lt;=2,"?ACTIVATED",IF(J2935&lt;&gt;"","?FAMILIAR",IF(F2935="NEW",IF(ISNA(VLOOKUP(E2935,#REF!,1,FALSE())),"?TYPE_IDENTIFIABLE","?REFERENTIAL"),"_")))))</f>
        <v> </v>
      </c>
      <c r="H2935" s="25" t="str">
        <f>IF(J2935&lt;&gt;1,"",IF(I2935="SBJ","CB","?"))</f>
        <v> </v>
      </c>
      <c r="I2935" s="26" t="str">
        <f>IF(OR(E2935="",E2935="!!!",F2935="NEW"),"",INDEX(B2934:B$2,-1+SUMPRODUCT(MAX(ROW(E2934:E$2)*(E2935=E2934:E$2)))))</f>
        <v> </v>
      </c>
      <c r="J2935" s="26" t="str">
        <f>IF(OR(E2935="",E2935="!!!",F2935="NEW"),"",COUNTBLANK(OFFSET(A$1,,,SUMPRODUCT(MAX(ROW(E$2:E2935)*(E2935=E$2:E2935)))))-COUNTBLANK(OFFSET(A$1,,,SUMPRODUCT(MAX(ROW(E$1:E2934)*(E2=E$1:E2934))))))</f>
        <v> </v>
      </c>
      <c r="K2935" s="26" t="str">
        <f>IF(OR(E2935="",E2935="!!!",F2935="NEW"),"",INDEX(J$1:J2934,SUMPRODUCT(MAX(ROW(E$1:E2934)*(E2935=E$1:E2934)))))</f>
        <v> </v>
      </c>
      <c r="L2935" s="27"/>
    </row>
    <row r="2936" spans="1:12">
      <c r="A2936" s="20" t="s">
        <v>1018</v>
      </c>
      <c r="E2936" s="22">
        <f>IF(D2936="?OLD","!!!","")</f>
        <v/>
      </c>
      <c r="F2936" s="23" t="str">
        <f>IF(OR(E2936="",E2936="!!!"),"",IF(NOT(ISNA(VLOOKUP(E2936,E$1:E2935,1,FALSE()))),"OLD",IF(AND(E2936&lt;&gt;"",E2936&lt;&gt;"!!!"),"NEW","")))</f>
        <v> </v>
      </c>
      <c r="G2936" s="24" t="str">
        <f>IF(OR(E2936="",E2936="!!!"),"",IF(OR(J2936=0,AND(J2936=1,K2936=1),AND(J2936=1,I2936="SBJ"),AND(J2936=1,I2936=0)),"?IN_FOCUS",IF(J2936&lt;=2,"?ACTIVATED",IF(J2936&lt;&gt;"","?FAMILIAR",IF(F2936="NEW",IF(ISNA(VLOOKUP(E2936,#REF!,1,FALSE())),"?TYPE_IDENTIFIABLE","?REFERENTIAL"),"_")))))</f>
        <v> </v>
      </c>
      <c r="H2936" s="25" t="str">
        <f>IF(J2936&lt;&gt;1,"",IF(I2936="SBJ","CB","?"))</f>
        <v> </v>
      </c>
      <c r="I2936" s="26" t="str">
        <f>IF(OR(E2936="",E2936="!!!",F2936="NEW"),"",INDEX(B2935:B$2,-1+SUMPRODUCT(MAX(ROW(E2935:E$2)*(E2936=E2935:E$2)))))</f>
        <v> </v>
      </c>
      <c r="J2936" s="26" t="str">
        <f>IF(OR(E2936="",E2936="!!!",F2936="NEW"),"",COUNTBLANK(OFFSET(A$1,,,SUMPRODUCT(MAX(ROW(E$2:E2936)*(E2936=E$2:E2936)))))-COUNTBLANK(OFFSET(A$1,,,SUMPRODUCT(MAX(ROW(E$1:E2935)*(E2=E$1:E2935))))))</f>
        <v> </v>
      </c>
      <c r="K2936" s="26" t="str">
        <f>IF(OR(E2936="",E2936="!!!",F2936="NEW"),"",INDEX(J$1:J2935,SUMPRODUCT(MAX(ROW(E$1:E2935)*(E2936=E$1:E2935)))))</f>
        <v> </v>
      </c>
      <c r="L2936" s="27"/>
    </row>
    <row r="2937" spans="1:12">
      <c r="A2937" s="20" t="s">
        <v>1899</v>
      </c>
      <c r="E2937" s="22">
        <f>IF(D2937="?OLD","!!!","")</f>
        <v/>
      </c>
      <c r="F2937" s="23" t="str">
        <f>IF(OR(E2937="",E2937="!!!"),"",IF(NOT(ISNA(VLOOKUP(E2937,E$1:E2936,1,FALSE()))),"OLD",IF(AND(E2937&lt;&gt;"",E2937&lt;&gt;"!!!"),"NEW","")))</f>
        <v> </v>
      </c>
      <c r="G2937" s="24" t="str">
        <f>IF(OR(E2937="",E2937="!!!"),"",IF(OR(J2937=0,AND(J2937=1,K2937=1),AND(J2937=1,I2937="SBJ"),AND(J2937=1,I2937=0)),"?IN_FOCUS",IF(J2937&lt;=2,"?ACTIVATED",IF(J2937&lt;&gt;"","?FAMILIAR",IF(F2937="NEW",IF(ISNA(VLOOKUP(E2937,#REF!,1,FALSE())),"?TYPE_IDENTIFIABLE","?REFERENTIAL"),"_")))))</f>
        <v> </v>
      </c>
      <c r="H2937" s="25" t="str">
        <f>IF(J2937&lt;&gt;1,"",IF(I2937="SBJ","CB","?"))</f>
        <v> </v>
      </c>
      <c r="I2937" s="26" t="str">
        <f>IF(OR(E2937="",E2937="!!!",F2937="NEW"),"",INDEX(B2936:B$2,-1+SUMPRODUCT(MAX(ROW(E2936:E$2)*(E2937=E2936:E$2)))))</f>
        <v> </v>
      </c>
      <c r="J2937" s="26" t="str">
        <f>IF(OR(E2937="",E2937="!!!",F2937="NEW"),"",COUNTBLANK(OFFSET(A$1,,,SUMPRODUCT(MAX(ROW(E$2:E2937)*(E2937=E$2:E2937)))))-COUNTBLANK(OFFSET(A$1,,,SUMPRODUCT(MAX(ROW(E$1:E2936)*(E2=E$1:E2936))))))</f>
        <v> </v>
      </c>
      <c r="K2937" s="26" t="str">
        <f>IF(OR(E2937="",E2937="!!!",F2937="NEW"),"",INDEX(J$1:J2936,SUMPRODUCT(MAX(ROW(E$1:E2936)*(E2937=E$1:E2936)))))</f>
        <v> </v>
      </c>
      <c r="L2937" s="27"/>
    </row>
    <row r="2938" spans="1:12">
      <c r="A2938" s="20" t="s">
        <v>1018</v>
      </c>
      <c r="E2938" s="22">
        <f>IF(D2938="?OLD","!!!","")</f>
        <v/>
      </c>
      <c r="F2938" s="23" t="str">
        <f>IF(OR(E2938="",E2938="!!!"),"",IF(NOT(ISNA(VLOOKUP(E2938,E$1:E2937,1,FALSE()))),"OLD",IF(AND(E2938&lt;&gt;"",E2938&lt;&gt;"!!!"),"NEW","")))</f>
        <v> </v>
      </c>
      <c r="G2938" s="24" t="str">
        <f>IF(OR(E2938="",E2938="!!!"),"",IF(OR(J2938=0,AND(J2938=1,K2938=1),AND(J2938=1,I2938="SBJ"),AND(J2938=1,I2938=0)),"?IN_FOCUS",IF(J2938&lt;=2,"?ACTIVATED",IF(J2938&lt;&gt;"","?FAMILIAR",IF(F2938="NEW",IF(ISNA(VLOOKUP(E2938,#REF!,1,FALSE())),"?TYPE_IDENTIFIABLE","?REFERENTIAL"),"_")))))</f>
        <v> </v>
      </c>
      <c r="H2938" s="25" t="str">
        <f>IF(J2938&lt;&gt;1,"",IF(I2938="SBJ","CB","?"))</f>
        <v> </v>
      </c>
      <c r="I2938" s="26" t="str">
        <f>IF(OR(E2938="",E2938="!!!",F2938="NEW"),"",INDEX(B2937:B$2,-1+SUMPRODUCT(MAX(ROW(E2937:E$2)*(E2938=E2937:E$2)))))</f>
        <v> </v>
      </c>
      <c r="J2938" s="26" t="str">
        <f>IF(OR(E2938="",E2938="!!!",F2938="NEW"),"",COUNTBLANK(OFFSET(A$1,,,SUMPRODUCT(MAX(ROW(E$2:E2938)*(E2938=E$2:E2938)))))-COUNTBLANK(OFFSET(A$1,,,SUMPRODUCT(MAX(ROW(E$1:E2937)*(E2=E$1:E2937))))))</f>
        <v> </v>
      </c>
      <c r="K2938" s="26" t="str">
        <f>IF(OR(E2938="",E2938="!!!",F2938="NEW"),"",INDEX(J$1:J2937,SUMPRODUCT(MAX(ROW(E$1:E2937)*(E2938=E$1:E2937)))))</f>
        <v> </v>
      </c>
      <c r="L2938" s="27"/>
    </row>
    <row r="2939" spans="1:12">
      <c r="A2939" s="20" t="s">
        <v>1900</v>
      </c>
      <c r="E2939" s="22">
        <f>IF(D2939="?OLD","!!!","")</f>
        <v/>
      </c>
      <c r="F2939" s="23" t="str">
        <f>IF(OR(E2939="",E2939="!!!"),"",IF(NOT(ISNA(VLOOKUP(E2939,E$1:E2938,1,FALSE()))),"OLD",IF(AND(E2939&lt;&gt;"",E2939&lt;&gt;"!!!"),"NEW","")))</f>
        <v> </v>
      </c>
      <c r="G2939" s="24" t="str">
        <f>IF(OR(E2939="",E2939="!!!"),"",IF(OR(J2939=0,AND(J2939=1,K2939=1),AND(J2939=1,I2939="SBJ"),AND(J2939=1,I2939=0)),"?IN_FOCUS",IF(J2939&lt;=2,"?ACTIVATED",IF(J2939&lt;&gt;"","?FAMILIAR",IF(F2939="NEW",IF(ISNA(VLOOKUP(E2939,#REF!,1,FALSE())),"?TYPE_IDENTIFIABLE","?REFERENTIAL"),"_")))))</f>
        <v> </v>
      </c>
      <c r="H2939" s="25" t="str">
        <f>IF(J2939&lt;&gt;1,"",IF(I2939="SBJ","CB","?"))</f>
        <v> </v>
      </c>
      <c r="I2939" s="26" t="str">
        <f>IF(OR(E2939="",E2939="!!!",F2939="NEW"),"",INDEX(B2938:B$2,-1+SUMPRODUCT(MAX(ROW(E2938:E$2)*(E2939=E2938:E$2)))))</f>
        <v> </v>
      </c>
      <c r="J2939" s="26" t="str">
        <f>IF(OR(E2939="",E2939="!!!",F2939="NEW"),"",COUNTBLANK(OFFSET(A$1,,,SUMPRODUCT(MAX(ROW(E$2:E2939)*(E2939=E$2:E2939)))))-COUNTBLANK(OFFSET(A$1,,,SUMPRODUCT(MAX(ROW(E$1:E2938)*(E2=E$1:E2938))))))</f>
        <v> </v>
      </c>
      <c r="K2939" s="26" t="str">
        <f>IF(OR(E2939="",E2939="!!!",F2939="NEW"),"",INDEX(J$1:J2938,SUMPRODUCT(MAX(ROW(E$1:E2938)*(E2939=E$1:E2938)))))</f>
        <v> </v>
      </c>
      <c r="L2939" s="27"/>
    </row>
    <row r="2940" spans="1:12">
      <c r="A2940" s="20" t="s">
        <v>1901</v>
      </c>
      <c r="B2940" s="21" t="s">
        <v>1042</v>
      </c>
      <c r="C2940" s="21" t="s">
        <v>1013</v>
      </c>
      <c r="D2940" s="21" t="s">
        <v>1007</v>
      </c>
      <c r="E2940" s="22">
        <f>IF(D2940="?OLD","!!!","")</f>
        <v/>
      </c>
      <c r="F2940" s="23" t="str">
        <f>IF(OR(E2940="",E2940="!!!"),"",IF(NOT(ISNA(VLOOKUP(E2940,E$1:E2939,1,FALSE()))),"OLD",IF(AND(E2940&lt;&gt;"",E2940&lt;&gt;"!!!"),"NEW","")))</f>
        <v> </v>
      </c>
      <c r="G2940" s="24" t="str">
        <f>IF(OR(E2940="",E2940="!!!"),"",IF(OR(J2940=0,AND(J2940=1,K2940=1),AND(J2940=1,I2940="SBJ"),AND(J2940=1,I2940=0)),"?IN_FOCUS",IF(J2940&lt;=2,"?ACTIVATED",IF(J2940&lt;&gt;"","?FAMILIAR",IF(F2940="NEW",IF(ISNA(VLOOKUP(E2940,#REF!,1,FALSE())),"?TYPE_IDENTIFIABLE","?REFERENTIAL"),"_")))))</f>
        <v> </v>
      </c>
      <c r="H2940" s="25" t="str">
        <f>IF(J2940&lt;&gt;1,"",IF(I2940="SBJ","CB","?"))</f>
        <v> </v>
      </c>
      <c r="I2940" s="26" t="str">
        <f>IF(OR(E2940="",E2940="!!!",F2940="NEW"),"",INDEX(B2939:B$2,-1+SUMPRODUCT(MAX(ROW(E2939:E$2)*(E2940=E2939:E$2)))))</f>
        <v> </v>
      </c>
      <c r="J2940" s="26" t="str">
        <f>IF(OR(E2940="",E2940="!!!",F2940="NEW"),"",COUNTBLANK(OFFSET(A$1,,,SUMPRODUCT(MAX(ROW(E$2:E2940)*(E2940=E$2:E2940)))))-COUNTBLANK(OFFSET(A$1,,,SUMPRODUCT(MAX(ROW(E$1:E2939)*(E2=E$1:E2939))))))</f>
        <v> </v>
      </c>
      <c r="K2940" s="26" t="str">
        <f>IF(OR(E2940="",E2940="!!!",F2940="NEW"),"",INDEX(J$1:J2939,SUMPRODUCT(MAX(ROW(E$1:E2939)*(E2940=E$1:E2939)))))</f>
        <v> </v>
      </c>
      <c r="L2940" s="27"/>
    </row>
    <row r="2941" spans="1:12">
      <c r="A2941" s="20" t="s">
        <v>1014</v>
      </c>
      <c r="E2941" s="22">
        <f>IF(D2941="?OLD","!!!","")</f>
        <v/>
      </c>
      <c r="F2941" s="23" t="str">
        <f>IF(OR(E2941="",E2941="!!!"),"",IF(NOT(ISNA(VLOOKUP(E2941,E$1:E2940,1,FALSE()))),"OLD",IF(AND(E2941&lt;&gt;"",E2941&lt;&gt;"!!!"),"NEW","")))</f>
        <v> </v>
      </c>
      <c r="G2941" s="24" t="str">
        <f>IF(OR(E2941="",E2941="!!!"),"",IF(OR(J2941=0,AND(J2941=1,K2941=1),AND(J2941=1,I2941="SBJ"),AND(J2941=1,I2941=0)),"?IN_FOCUS",IF(J2941&lt;=2,"?ACTIVATED",IF(J2941&lt;&gt;"","?FAMILIAR",IF(F2941="NEW",IF(ISNA(VLOOKUP(E2941,#REF!,1,FALSE())),"?TYPE_IDENTIFIABLE","?REFERENTIAL"),"_")))))</f>
        <v> </v>
      </c>
      <c r="H2941" s="25" t="str">
        <f>IF(J2941&lt;&gt;1,"",IF(I2941="SBJ","CB","?"))</f>
        <v> </v>
      </c>
      <c r="I2941" s="26" t="str">
        <f>IF(OR(E2941="",E2941="!!!",F2941="NEW"),"",INDEX(B2940:B$2,-1+SUMPRODUCT(MAX(ROW(E2940:E$2)*(E2941=E2940:E$2)))))</f>
        <v> </v>
      </c>
      <c r="J2941" s="26" t="str">
        <f>IF(OR(E2941="",E2941="!!!",F2941="NEW"),"",COUNTBLANK(OFFSET(A$1,,,SUMPRODUCT(MAX(ROW(E$2:E2941)*(E2941=E$2:E2941)))))-COUNTBLANK(OFFSET(A$1,,,SUMPRODUCT(MAX(ROW(E$1:E2940)*(E2=E$1:E2940))))))</f>
        <v> </v>
      </c>
      <c r="K2941" s="26" t="str">
        <f>IF(OR(E2941="",E2941="!!!",F2941="NEW"),"",INDEX(J$1:J2940,SUMPRODUCT(MAX(ROW(E$1:E2940)*(E2941=E$1:E2940)))))</f>
        <v> </v>
      </c>
      <c r="L2941" s="27"/>
    </row>
    <row r="2942" spans="1:12">
      <c r="A2942" s="20" t="s">
        <v>102</v>
      </c>
      <c r="E2942" s="22">
        <f>IF(D2942="?OLD","!!!","")</f>
        <v/>
      </c>
      <c r="F2942" s="23" t="str">
        <f>IF(OR(E2942="",E2942="!!!"),"",IF(NOT(ISNA(VLOOKUP(E2942,E$1:E2941,1,FALSE()))),"OLD",IF(AND(E2942&lt;&gt;"",E2942&lt;&gt;"!!!"),"NEW","")))</f>
        <v> </v>
      </c>
      <c r="G2942" s="24" t="str">
        <f>IF(OR(E2942="",E2942="!!!"),"",IF(OR(J2942=0,AND(J2942=1,K2942=1),AND(J2942=1,I2942="SBJ"),AND(J2942=1,I2942=0)),"?IN_FOCUS",IF(J2942&lt;=2,"?ACTIVATED",IF(J2942&lt;&gt;"","?FAMILIAR",IF(F2942="NEW",IF(ISNA(VLOOKUP(E2942,#REF!,1,FALSE())),"?TYPE_IDENTIFIABLE","?REFERENTIAL"),"_")))))</f>
        <v> </v>
      </c>
      <c r="H2942" s="25" t="str">
        <f>IF(J2942&lt;&gt;1,"",IF(I2942="SBJ","CB","?"))</f>
        <v> </v>
      </c>
      <c r="I2942" s="26" t="str">
        <f>IF(OR(E2942="",E2942="!!!",F2942="NEW"),"",INDEX(B2941:B$2,-1+SUMPRODUCT(MAX(ROW(E2941:E$2)*(E2942=E2941:E$2)))))</f>
        <v> </v>
      </c>
      <c r="J2942" s="26" t="str">
        <f>IF(OR(E2942="",E2942="!!!",F2942="NEW"),"",COUNTBLANK(OFFSET(A$1,,,SUMPRODUCT(MAX(ROW(E$2:E2942)*(E2942=E$2:E2942)))))-COUNTBLANK(OFFSET(A$1,,,SUMPRODUCT(MAX(ROW(E$1:E2941)*(E2=E$1:E2941))))))</f>
        <v> </v>
      </c>
      <c r="K2942" s="26" t="str">
        <f>IF(OR(E2942="",E2942="!!!",F2942="NEW"),"",INDEX(J$1:J2941,SUMPRODUCT(MAX(ROW(E$1:E2941)*(E2942=E$1:E2941)))))</f>
        <v> </v>
      </c>
      <c r="L2942" s="27"/>
    </row>
    <row r="2943" spans="1:12">
      <c r="A2943" s="20" t="s">
        <v>1902</v>
      </c>
      <c r="B2943" s="21" t="s">
        <v>1215</v>
      </c>
      <c r="C2943" s="21" t="s">
        <v>1059</v>
      </c>
      <c r="D2943" s="21" t="s">
        <v>1007</v>
      </c>
      <c r="E2943" s="22">
        <f>IF(D2943="?OLD","!!!","")</f>
        <v/>
      </c>
      <c r="F2943" s="23" t="str">
        <f>IF(OR(E2943="",E2943="!!!"),"",IF(NOT(ISNA(VLOOKUP(E2943,E$1:E2942,1,FALSE()))),"OLD",IF(AND(E2943&lt;&gt;"",E2943&lt;&gt;"!!!"),"NEW","")))</f>
        <v> </v>
      </c>
      <c r="G2943" s="24" t="str">
        <f>IF(OR(E2943="",E2943="!!!"),"",IF(OR(J2943=0,AND(J2943=1,K2943=1),AND(J2943=1,I2943="SBJ"),AND(J2943=1,I2943=0)),"?IN_FOCUS",IF(J2943&lt;=2,"?ACTIVATED",IF(J2943&lt;&gt;"","?FAMILIAR",IF(F2943="NEW",IF(ISNA(VLOOKUP(E2943,#REF!,1,FALSE())),"?TYPE_IDENTIFIABLE","?REFERENTIAL"),"_")))))</f>
        <v> </v>
      </c>
      <c r="H2943" s="25" t="str">
        <f>IF(J2943&lt;&gt;1,"",IF(I2943="SBJ","CB","?"))</f>
        <v> </v>
      </c>
      <c r="I2943" s="26" t="str">
        <f>IF(OR(E2943="",E2943="!!!",F2943="NEW"),"",INDEX(B2942:B$2,-1+SUMPRODUCT(MAX(ROW(E2942:E$2)*(E2943=E2942:E$2)))))</f>
        <v> </v>
      </c>
      <c r="J2943" s="26" t="str">
        <f>IF(OR(E2943="",E2943="!!!",F2943="NEW"),"",COUNTBLANK(OFFSET(A$1,,,SUMPRODUCT(MAX(ROW(E$2:E2943)*(E2943=E$2:E2943)))))-COUNTBLANK(OFFSET(A$1,,,SUMPRODUCT(MAX(ROW(E$1:E2942)*(E2=E$1:E2942))))))</f>
        <v> </v>
      </c>
      <c r="K2943" s="26" t="str">
        <f>IF(OR(E2943="",E2943="!!!",F2943="NEW"),"",INDEX(J$1:J2942,SUMPRODUCT(MAX(ROW(E$1:E2942)*(E2943=E$1:E2942)))))</f>
        <v> </v>
      </c>
      <c r="L2943" s="27"/>
    </row>
    <row r="2944" spans="1:12">
      <c r="A2944" s="20" t="s">
        <v>1168</v>
      </c>
      <c r="B2944" s="21" t="s">
        <v>1044</v>
      </c>
      <c r="C2944" s="21" t="s">
        <v>1017</v>
      </c>
      <c r="D2944" s="21" t="s">
        <v>1007</v>
      </c>
      <c r="E2944" s="22">
        <f>IF(D2944="?OLD","!!!","")</f>
        <v/>
      </c>
      <c r="F2944" s="23" t="str">
        <f>IF(OR(E2944="",E2944="!!!"),"",IF(NOT(ISNA(VLOOKUP(E2944,E$1:E2943,1,FALSE()))),"OLD",IF(AND(E2944&lt;&gt;"",E2944&lt;&gt;"!!!"),"NEW","")))</f>
        <v> </v>
      </c>
      <c r="G2944" s="24" t="str">
        <f>IF(OR(E2944="",E2944="!!!"),"",IF(OR(J2944=0,AND(J2944=1,K2944=1),AND(J2944=1,I2944="SBJ"),AND(J2944=1,I2944=0)),"?IN_FOCUS",IF(J2944&lt;=2,"?ACTIVATED",IF(J2944&lt;&gt;"","?FAMILIAR",IF(F2944="NEW",IF(ISNA(VLOOKUP(E2944,#REF!,1,FALSE())),"?TYPE_IDENTIFIABLE","?REFERENTIAL"),"_")))))</f>
        <v> </v>
      </c>
      <c r="H2944" s="25" t="str">
        <f>IF(J2944&lt;&gt;1,"",IF(I2944="SBJ","CB","?"))</f>
        <v> </v>
      </c>
      <c r="I2944" s="26" t="str">
        <f>IF(OR(E2944="",E2944="!!!",F2944="NEW"),"",INDEX(B2943:B$2,-1+SUMPRODUCT(MAX(ROW(E2943:E$2)*(E2944=E2943:E$2)))))</f>
        <v> </v>
      </c>
      <c r="J2944" s="26" t="str">
        <f>IF(OR(E2944="",E2944="!!!",F2944="NEW"),"",COUNTBLANK(OFFSET(A$1,,,SUMPRODUCT(MAX(ROW(E$2:E2944)*(E2944=E$2:E2944)))))-COUNTBLANK(OFFSET(A$1,,,SUMPRODUCT(MAX(ROW(E$1:E2943)*(E2=E$1:E2943))))))</f>
        <v> </v>
      </c>
      <c r="K2944" s="26" t="str">
        <f>IF(OR(E2944="",E2944="!!!",F2944="NEW"),"",INDEX(J$1:J2943,SUMPRODUCT(MAX(ROW(E$1:E2943)*(E2944=E$1:E2943)))))</f>
        <v> </v>
      </c>
      <c r="L2944" s="27"/>
    </row>
    <row r="2945" spans="1:12">
      <c r="A2945" s="20" t="s">
        <v>1018</v>
      </c>
      <c r="E2945" s="22">
        <f>IF(D2945="?OLD","!!!","")</f>
        <v/>
      </c>
      <c r="F2945" s="23" t="str">
        <f>IF(OR(E2945="",E2945="!!!"),"",IF(NOT(ISNA(VLOOKUP(E2945,E$1:E2944,1,FALSE()))),"OLD",IF(AND(E2945&lt;&gt;"",E2945&lt;&gt;"!!!"),"NEW","")))</f>
        <v> </v>
      </c>
      <c r="G2945" s="24" t="str">
        <f>IF(OR(E2945="",E2945="!!!"),"",IF(OR(J2945=0,AND(J2945=1,K2945=1),AND(J2945=1,I2945="SBJ"),AND(J2945=1,I2945=0)),"?IN_FOCUS",IF(J2945&lt;=2,"?ACTIVATED",IF(J2945&lt;&gt;"","?FAMILIAR",IF(F2945="NEW",IF(ISNA(VLOOKUP(E2945,#REF!,1,FALSE())),"?TYPE_IDENTIFIABLE","?REFERENTIAL"),"_")))))</f>
        <v> </v>
      </c>
      <c r="H2945" s="25" t="str">
        <f>IF(J2945&lt;&gt;1,"",IF(I2945="SBJ","CB","?"))</f>
        <v> </v>
      </c>
      <c r="I2945" s="26" t="str">
        <f>IF(OR(E2945="",E2945="!!!",F2945="NEW"),"",INDEX(B2944:B$2,-1+SUMPRODUCT(MAX(ROW(E2944:E$2)*(E2945=E2944:E$2)))))</f>
        <v> </v>
      </c>
      <c r="J2945" s="26" t="str">
        <f>IF(OR(E2945="",E2945="!!!",F2945="NEW"),"",COUNTBLANK(OFFSET(A$1,,,SUMPRODUCT(MAX(ROW(E$2:E2945)*(E2945=E$2:E2945)))))-COUNTBLANK(OFFSET(A$1,,,SUMPRODUCT(MAX(ROW(E$1:E2944)*(E2=E$1:E2944))))))</f>
        <v> </v>
      </c>
      <c r="K2945" s="26" t="str">
        <f>IF(OR(E2945="",E2945="!!!",F2945="NEW"),"",INDEX(J$1:J2944,SUMPRODUCT(MAX(ROW(E$1:E2944)*(E2945=E$1:E2944)))))</f>
        <v> </v>
      </c>
      <c r="L2945" s="27"/>
    </row>
    <row r="2946" spans="1:12">
      <c r="A2946" s="20" t="s">
        <v>1014</v>
      </c>
      <c r="E2946" s="22">
        <f>IF(D2946="?OLD","!!!","")</f>
        <v/>
      </c>
      <c r="F2946" s="23" t="str">
        <f>IF(OR(E2946="",E2946="!!!"),"",IF(NOT(ISNA(VLOOKUP(E2946,E$1:E2945,1,FALSE()))),"OLD",IF(AND(E2946&lt;&gt;"",E2946&lt;&gt;"!!!"),"NEW","")))</f>
        <v> </v>
      </c>
      <c r="G2946" s="24" t="str">
        <f>IF(OR(E2946="",E2946="!!!"),"",IF(OR(J2946=0,AND(J2946=1,K2946=1),AND(J2946=1,I2946="SBJ"),AND(J2946=1,I2946=0)),"?IN_FOCUS",IF(J2946&lt;=2,"?ACTIVATED",IF(J2946&lt;&gt;"","?FAMILIAR",IF(F2946="NEW",IF(ISNA(VLOOKUP(E2946,#REF!,1,FALSE())),"?TYPE_IDENTIFIABLE","?REFERENTIAL"),"_")))))</f>
        <v> </v>
      </c>
      <c r="H2946" s="25" t="str">
        <f>IF(J2946&lt;&gt;1,"",IF(I2946="SBJ","CB","?"))</f>
        <v> </v>
      </c>
      <c r="I2946" s="26" t="str">
        <f>IF(OR(E2946="",E2946="!!!",F2946="NEW"),"",INDEX(B2945:B$2,-1+SUMPRODUCT(MAX(ROW(E2945:E$2)*(E2946=E2945:E$2)))))</f>
        <v> </v>
      </c>
      <c r="J2946" s="26" t="str">
        <f>IF(OR(E2946="",E2946="!!!",F2946="NEW"),"",COUNTBLANK(OFFSET(A$1,,,SUMPRODUCT(MAX(ROW(E$2:E2946)*(E2946=E$2:E2946)))))-COUNTBLANK(OFFSET(A$1,,,SUMPRODUCT(MAX(ROW(E$1:E2945)*(E2=E$1:E2945))))))</f>
        <v> </v>
      </c>
      <c r="K2946" s="26" t="str">
        <f>IF(OR(E2946="",E2946="!!!",F2946="NEW"),"",INDEX(J$1:J2945,SUMPRODUCT(MAX(ROW(E$1:E2945)*(E2946=E$1:E2945)))))</f>
        <v> </v>
      </c>
      <c r="L2946" s="27"/>
    </row>
    <row r="2947" spans="1:12">
      <c r="A2947" s="20" t="s">
        <v>1163</v>
      </c>
      <c r="E2947" s="22">
        <f>IF(D2947="?OLD","!!!","")</f>
        <v/>
      </c>
      <c r="F2947" s="23" t="str">
        <f>IF(OR(E2947="",E2947="!!!"),"",IF(NOT(ISNA(VLOOKUP(E2947,E$1:E2946,1,FALSE()))),"OLD",IF(AND(E2947&lt;&gt;"",E2947&lt;&gt;"!!!"),"NEW","")))</f>
        <v> </v>
      </c>
      <c r="G2947" s="24" t="str">
        <f>IF(OR(E2947="",E2947="!!!"),"",IF(OR(J2947=0,AND(J2947=1,K2947=1),AND(J2947=1,I2947="SBJ"),AND(J2947=1,I2947=0)),"?IN_FOCUS",IF(J2947&lt;=2,"?ACTIVATED",IF(J2947&lt;&gt;"","?FAMILIAR",IF(F2947="NEW",IF(ISNA(VLOOKUP(E2947,#REF!,1,FALSE())),"?TYPE_IDENTIFIABLE","?REFERENTIAL"),"_")))))</f>
        <v> </v>
      </c>
      <c r="H2947" s="25" t="str">
        <f>IF(J2947&lt;&gt;1,"",IF(I2947="SBJ","CB","?"))</f>
        <v> </v>
      </c>
      <c r="I2947" s="26" t="str">
        <f>IF(OR(E2947="",E2947="!!!",F2947="NEW"),"",INDEX(B2946:B$2,-1+SUMPRODUCT(MAX(ROW(E2946:E$2)*(E2947=E2946:E$2)))))</f>
        <v> </v>
      </c>
      <c r="J2947" s="26" t="str">
        <f>IF(OR(E2947="",E2947="!!!",F2947="NEW"),"",COUNTBLANK(OFFSET(A$1,,,SUMPRODUCT(MAX(ROW(E$2:E2947)*(E2947=E$2:E2947)))))-COUNTBLANK(OFFSET(A$1,,,SUMPRODUCT(MAX(ROW(E$1:E2946)*(E2=E$1:E2946))))))</f>
        <v> </v>
      </c>
      <c r="K2947" s="26" t="str">
        <f>IF(OR(E2947="",E2947="!!!",F2947="NEW"),"",INDEX(J$1:J2946,SUMPRODUCT(MAX(ROW(E$1:E2946)*(E2947=E$1:E2946)))))</f>
        <v> </v>
      </c>
      <c r="L2947" s="27"/>
    </row>
    <row r="2948" spans="1:12">
      <c r="A2948" s="20" t="s">
        <v>1020</v>
      </c>
      <c r="E2948" s="22">
        <f>IF(D2948="?OLD","!!!","")</f>
        <v/>
      </c>
      <c r="F2948" s="23" t="str">
        <f>IF(OR(E2948="",E2948="!!!"),"",IF(NOT(ISNA(VLOOKUP(E2948,E$1:E2947,1,FALSE()))),"OLD",IF(AND(E2948&lt;&gt;"",E2948&lt;&gt;"!!!"),"NEW","")))</f>
        <v> </v>
      </c>
      <c r="G2948" s="24" t="str">
        <f>IF(OR(E2948="",E2948="!!!"),"",IF(OR(J2948=0,AND(J2948=1,K2948=1),AND(J2948=1,I2948="SBJ"),AND(J2948=1,I2948=0)),"?IN_FOCUS",IF(J2948&lt;=2,"?ACTIVATED",IF(J2948&lt;&gt;"","?FAMILIAR",IF(F2948="NEW",IF(ISNA(VLOOKUP(E2948,#REF!,1,FALSE())),"?TYPE_IDENTIFIABLE","?REFERENTIAL"),"_")))))</f>
        <v> </v>
      </c>
      <c r="H2948" s="25" t="str">
        <f>IF(J2948&lt;&gt;1,"",IF(I2948="SBJ","CB","?"))</f>
        <v> </v>
      </c>
      <c r="I2948" s="26" t="str">
        <f>IF(OR(E2948="",E2948="!!!",F2948="NEW"),"",INDEX(B2947:B$2,-1+SUMPRODUCT(MAX(ROW(E2947:E$2)*(E2948=E2947:E$2)))))</f>
        <v> </v>
      </c>
      <c r="J2948" s="26" t="str">
        <f>IF(OR(E2948="",E2948="!!!",F2948="NEW"),"",COUNTBLANK(OFFSET(A$1,,,SUMPRODUCT(MAX(ROW(E$2:E2948)*(E2948=E$2:E2948)))))-COUNTBLANK(OFFSET(A$1,,,SUMPRODUCT(MAX(ROW(E$1:E2947)*(E2=E$1:E2947))))))</f>
        <v> </v>
      </c>
      <c r="K2948" s="26" t="str">
        <f>IF(OR(E2948="",E2948="!!!",F2948="NEW"),"",INDEX(J$1:J2947,SUMPRODUCT(MAX(ROW(E$1:E2947)*(E2948=E$1:E2947)))))</f>
        <v> </v>
      </c>
      <c r="L2948" s="27"/>
    </row>
    <row r="2949" spans="1:12">
      <c r="A2949" s="20" t="s">
        <v>1903</v>
      </c>
      <c r="E2949" s="22">
        <f>IF(D2949="?OLD","!!!","")</f>
        <v/>
      </c>
      <c r="F2949" s="23" t="str">
        <f>IF(OR(E2949="",E2949="!!!"),"",IF(NOT(ISNA(VLOOKUP(E2949,E$1:E2948,1,FALSE()))),"OLD",IF(AND(E2949&lt;&gt;"",E2949&lt;&gt;"!!!"),"NEW","")))</f>
        <v> </v>
      </c>
      <c r="G2949" s="24" t="str">
        <f>IF(OR(E2949="",E2949="!!!"),"",IF(OR(J2949=0,AND(J2949=1,K2949=1),AND(J2949=1,I2949="SBJ"),AND(J2949=1,I2949=0)),"?IN_FOCUS",IF(J2949&lt;=2,"?ACTIVATED",IF(J2949&lt;&gt;"","?FAMILIAR",IF(F2949="NEW",IF(ISNA(VLOOKUP(E2949,#REF!,1,FALSE())),"?TYPE_IDENTIFIABLE","?REFERENTIAL"),"_")))))</f>
        <v> </v>
      </c>
      <c r="H2949" s="25" t="str">
        <f>IF(J2949&lt;&gt;1,"",IF(I2949="SBJ","CB","?"))</f>
        <v> </v>
      </c>
      <c r="I2949" s="26" t="str">
        <f>IF(OR(E2949="",E2949="!!!",F2949="NEW"),"",INDEX(B2948:B$2,-1+SUMPRODUCT(MAX(ROW(E2948:E$2)*(E2949=E2948:E$2)))))</f>
        <v> </v>
      </c>
      <c r="J2949" s="26" t="str">
        <f>IF(OR(E2949="",E2949="!!!",F2949="NEW"),"",COUNTBLANK(OFFSET(A$1,,,SUMPRODUCT(MAX(ROW(E$2:E2949)*(E2949=E$2:E2949)))))-COUNTBLANK(OFFSET(A$1,,,SUMPRODUCT(MAX(ROW(E$1:E2948)*(E2=E$1:E2948))))))</f>
        <v> </v>
      </c>
      <c r="K2949" s="26" t="str">
        <f>IF(OR(E2949="",E2949="!!!",F2949="NEW"),"",INDEX(J$1:J2948,SUMPRODUCT(MAX(ROW(E$1:E2948)*(E2949=E$1:E2948)))))</f>
        <v> </v>
      </c>
      <c r="L2949" s="27"/>
    </row>
    <row r="2950" spans="1:12">
      <c r="A2950" s="20" t="s">
        <v>1240</v>
      </c>
      <c r="B2950" s="21" t="s">
        <v>1040</v>
      </c>
      <c r="C2950" s="21" t="s">
        <v>1103</v>
      </c>
      <c r="E2950" s="22">
        <f>IF(D2950="?OLD","!!!","")</f>
        <v/>
      </c>
      <c r="F2950" s="23" t="str">
        <f>IF(OR(E2950="",E2950="!!!"),"",IF(NOT(ISNA(VLOOKUP(E2950,E$1:E2949,1,FALSE()))),"OLD",IF(AND(E2950&lt;&gt;"",E2950&lt;&gt;"!!!"),"NEW","")))</f>
        <v> </v>
      </c>
      <c r="G2950" s="24" t="str">
        <f>IF(OR(E2950="",E2950="!!!"),"",IF(OR(J2950=0,AND(J2950=1,K2950=1),AND(J2950=1,I2950="SBJ"),AND(J2950=1,I2950=0)),"?IN_FOCUS",IF(J2950&lt;=2,"?ACTIVATED",IF(J2950&lt;&gt;"","?FAMILIAR",IF(F2950="NEW",IF(ISNA(VLOOKUP(E2950,#REF!,1,FALSE())),"?TYPE_IDENTIFIABLE","?REFERENTIAL"),"_")))))</f>
        <v> </v>
      </c>
      <c r="H2950" s="25" t="str">
        <f>IF(J2950&lt;&gt;1,"",IF(I2950="SBJ","CB","?"))</f>
        <v> </v>
      </c>
      <c r="I2950" s="26" t="str">
        <f>IF(OR(E2950="",E2950="!!!",F2950="NEW"),"",INDEX(B2949:B$2,-1+SUMPRODUCT(MAX(ROW(E2949:E$2)*(E2950=E2949:E$2)))))</f>
        <v> </v>
      </c>
      <c r="J2950" s="26" t="str">
        <f>IF(OR(E2950="",E2950="!!!",F2950="NEW"),"",COUNTBLANK(OFFSET(A$1,,,SUMPRODUCT(MAX(ROW(E$2:E2950)*(E2950=E$2:E2950)))))-COUNTBLANK(OFFSET(A$1,,,SUMPRODUCT(MAX(ROW(E$1:E2949)*(E2=E$1:E2949))))))</f>
        <v> </v>
      </c>
      <c r="K2950" s="26" t="str">
        <f>IF(OR(E2950="",E2950="!!!",F2950="NEW"),"",INDEX(J$1:J2949,SUMPRODUCT(MAX(ROW(E$1:E2949)*(E2950=E$1:E2949)))))</f>
        <v> </v>
      </c>
      <c r="L2950" s="27"/>
    </row>
    <row r="2951" spans="1:12">
      <c r="A2951" s="20" t="s">
        <v>1018</v>
      </c>
      <c r="E2951" s="22">
        <f>IF(D2951="?OLD","!!!","")</f>
        <v/>
      </c>
      <c r="F2951" s="23" t="str">
        <f>IF(OR(E2951="",E2951="!!!"),"",IF(NOT(ISNA(VLOOKUP(E2951,E$1:E2950,1,FALSE()))),"OLD",IF(AND(E2951&lt;&gt;"",E2951&lt;&gt;"!!!"),"NEW","")))</f>
        <v> </v>
      </c>
      <c r="G2951" s="24" t="str">
        <f>IF(OR(E2951="",E2951="!!!"),"",IF(OR(J2951=0,AND(J2951=1,K2951=1),AND(J2951=1,I2951="SBJ"),AND(J2951=1,I2951=0)),"?IN_FOCUS",IF(J2951&lt;=2,"?ACTIVATED",IF(J2951&lt;&gt;"","?FAMILIAR",IF(F2951="NEW",IF(ISNA(VLOOKUP(E2951,#REF!,1,FALSE())),"?TYPE_IDENTIFIABLE","?REFERENTIAL"),"_")))))</f>
        <v> </v>
      </c>
      <c r="H2951" s="25" t="str">
        <f>IF(J2951&lt;&gt;1,"",IF(I2951="SBJ","CB","?"))</f>
        <v> </v>
      </c>
      <c r="I2951" s="26" t="str">
        <f>IF(OR(E2951="",E2951="!!!",F2951="NEW"),"",INDEX(B2950:B$2,-1+SUMPRODUCT(MAX(ROW(E2950:E$2)*(E2951=E2950:E$2)))))</f>
        <v> </v>
      </c>
      <c r="J2951" s="26" t="str">
        <f>IF(OR(E2951="",E2951="!!!",F2951="NEW"),"",COUNTBLANK(OFFSET(A$1,,,SUMPRODUCT(MAX(ROW(E$2:E2951)*(E2951=E$2:E2951)))))-COUNTBLANK(OFFSET(A$1,,,SUMPRODUCT(MAX(ROW(E$1:E2950)*(E2=E$1:E2950))))))</f>
        <v> </v>
      </c>
      <c r="K2951" s="26" t="str">
        <f>IF(OR(E2951="",E2951="!!!",F2951="NEW"),"",INDEX(J$1:J2950,SUMPRODUCT(MAX(ROW(E$1:E2950)*(E2951=E$1:E2950)))))</f>
        <v> </v>
      </c>
      <c r="L2951" s="27"/>
    </row>
    <row r="2952" spans="1:12">
      <c r="A2952" s="20" t="s">
        <v>1114</v>
      </c>
      <c r="E2952" s="22">
        <f>IF(D2952="?OLD","!!!","")</f>
        <v/>
      </c>
      <c r="F2952" s="23" t="str">
        <f>IF(OR(E2952="",E2952="!!!"),"",IF(NOT(ISNA(VLOOKUP(E2952,E$1:E2951,1,FALSE()))),"OLD",IF(AND(E2952&lt;&gt;"",E2952&lt;&gt;"!!!"),"NEW","")))</f>
        <v> </v>
      </c>
      <c r="G2952" s="24" t="str">
        <f>IF(OR(E2952="",E2952="!!!"),"",IF(OR(J2952=0,AND(J2952=1,K2952=1),AND(J2952=1,I2952="SBJ"),AND(J2952=1,I2952=0)),"?IN_FOCUS",IF(J2952&lt;=2,"?ACTIVATED",IF(J2952&lt;&gt;"","?FAMILIAR",IF(F2952="NEW",IF(ISNA(VLOOKUP(E2952,#REF!,1,FALSE())),"?TYPE_IDENTIFIABLE","?REFERENTIAL"),"_")))))</f>
        <v> </v>
      </c>
      <c r="H2952" s="25" t="str">
        <f>IF(J2952&lt;&gt;1,"",IF(I2952="SBJ","CB","?"))</f>
        <v> </v>
      </c>
      <c r="I2952" s="26" t="str">
        <f>IF(OR(E2952="",E2952="!!!",F2952="NEW"),"",INDEX(B2951:B$2,-1+SUMPRODUCT(MAX(ROW(E2951:E$2)*(E2952=E2951:E$2)))))</f>
        <v> </v>
      </c>
      <c r="J2952" s="26" t="str">
        <f>IF(OR(E2952="",E2952="!!!",F2952="NEW"),"",COUNTBLANK(OFFSET(A$1,,,SUMPRODUCT(MAX(ROW(E$2:E2952)*(E2952=E$2:E2952)))))-COUNTBLANK(OFFSET(A$1,,,SUMPRODUCT(MAX(ROW(E$1:E2951)*(E2=E$1:E2951))))))</f>
        <v> </v>
      </c>
      <c r="K2952" s="26" t="str">
        <f>IF(OR(E2952="",E2952="!!!",F2952="NEW"),"",INDEX(J$1:J2951,SUMPRODUCT(MAX(ROW(E$1:E2951)*(E2952=E$1:E2951)))))</f>
        <v> </v>
      </c>
      <c r="L2952" s="27"/>
    </row>
    <row r="2953" spans="1:12">
      <c r="A2953" s="20" t="s">
        <v>1463</v>
      </c>
      <c r="B2953" s="21" t="s">
        <v>1067</v>
      </c>
      <c r="C2953" s="21" t="s">
        <v>1082</v>
      </c>
      <c r="D2953" s="21" t="s">
        <v>1007</v>
      </c>
      <c r="E2953" s="22">
        <f>IF(D2953="?OLD","!!!","")</f>
        <v/>
      </c>
      <c r="F2953" s="23" t="str">
        <f>IF(OR(E2953="",E2953="!!!"),"",IF(NOT(ISNA(VLOOKUP(E2953,E$1:E2952,1,FALSE()))),"OLD",IF(AND(E2953&lt;&gt;"",E2953&lt;&gt;"!!!"),"NEW","")))</f>
        <v> </v>
      </c>
      <c r="G2953" s="24" t="str">
        <f>IF(OR(E2953="",E2953="!!!"),"",IF(OR(J2953=0,AND(J2953=1,K2953=1),AND(J2953=1,I2953="SBJ"),AND(J2953=1,I2953=0)),"?IN_FOCUS",IF(J2953&lt;=2,"?ACTIVATED",IF(J2953&lt;&gt;"","?FAMILIAR",IF(F2953="NEW",IF(ISNA(VLOOKUP(E2953,#REF!,1,FALSE())),"?TYPE_IDENTIFIABLE","?REFERENTIAL"),"_")))))</f>
        <v> </v>
      </c>
      <c r="H2953" s="25" t="str">
        <f>IF(J2953&lt;&gt;1,"",IF(I2953="SBJ","CB","?"))</f>
        <v> </v>
      </c>
      <c r="I2953" s="26" t="str">
        <f>IF(OR(E2953="",E2953="!!!",F2953="NEW"),"",INDEX(B2952:B$2,-1+SUMPRODUCT(MAX(ROW(E2952:E$2)*(E2953=E2952:E$2)))))</f>
        <v> </v>
      </c>
      <c r="J2953" s="26" t="str">
        <f>IF(OR(E2953="",E2953="!!!",F2953="NEW"),"",COUNTBLANK(OFFSET(A$1,,,SUMPRODUCT(MAX(ROW(E$2:E2953)*(E2953=E$2:E2953)))))-COUNTBLANK(OFFSET(A$1,,,SUMPRODUCT(MAX(ROW(E$1:E2952)*(E2=E$1:E2952))))))</f>
        <v> </v>
      </c>
      <c r="K2953" s="26" t="str">
        <f>IF(OR(E2953="",E2953="!!!",F2953="NEW"),"",INDEX(J$1:J2952,SUMPRODUCT(MAX(ROW(E$1:E2952)*(E2953=E$1:E2952)))))</f>
        <v> </v>
      </c>
      <c r="L2953" s="27"/>
    </row>
    <row r="2954" spans="1:12">
      <c r="A2954" s="20" t="s">
        <v>1904</v>
      </c>
      <c r="E2954" s="22">
        <f>IF(D2954="?OLD","!!!","")</f>
        <v/>
      </c>
      <c r="F2954" s="23" t="str">
        <f>IF(OR(E2954="",E2954="!!!"),"",IF(NOT(ISNA(VLOOKUP(E2954,E$1:E2953,1,FALSE()))),"OLD",IF(AND(E2954&lt;&gt;"",E2954&lt;&gt;"!!!"),"NEW","")))</f>
        <v> </v>
      </c>
      <c r="G2954" s="24" t="str">
        <f>IF(OR(E2954="",E2954="!!!"),"",IF(OR(J2954=0,AND(J2954=1,K2954=1),AND(J2954=1,I2954="SBJ"),AND(J2954=1,I2954=0)),"?IN_FOCUS",IF(J2954&lt;=2,"?ACTIVATED",IF(J2954&lt;&gt;"","?FAMILIAR",IF(F2954="NEW",IF(ISNA(VLOOKUP(E2954,#REF!,1,FALSE())),"?TYPE_IDENTIFIABLE","?REFERENTIAL"),"_")))))</f>
        <v> </v>
      </c>
      <c r="H2954" s="25" t="str">
        <f>IF(J2954&lt;&gt;1,"",IF(I2954="SBJ","CB","?"))</f>
        <v> </v>
      </c>
      <c r="I2954" s="26" t="str">
        <f>IF(OR(E2954="",E2954="!!!",F2954="NEW"),"",INDEX(B2953:B$2,-1+SUMPRODUCT(MAX(ROW(E2953:E$2)*(E2954=E2953:E$2)))))</f>
        <v> </v>
      </c>
      <c r="J2954" s="26" t="str">
        <f>IF(OR(E2954="",E2954="!!!",F2954="NEW"),"",COUNTBLANK(OFFSET(A$1,,,SUMPRODUCT(MAX(ROW(E$2:E2954)*(E2954=E$2:E2954)))))-COUNTBLANK(OFFSET(A$1,,,SUMPRODUCT(MAX(ROW(E$1:E2953)*(E2=E$1:E2953))))))</f>
        <v> </v>
      </c>
      <c r="K2954" s="26" t="str">
        <f>IF(OR(E2954="",E2954="!!!",F2954="NEW"),"",INDEX(J$1:J2953,SUMPRODUCT(MAX(ROW(E$1:E2953)*(E2954=E$1:E2953)))))</f>
        <v> </v>
      </c>
      <c r="L2954" s="27"/>
    </row>
    <row r="2955" spans="1:12">
      <c r="A2955" s="20" t="s">
        <v>1855</v>
      </c>
      <c r="E2955" s="22">
        <f>IF(D2955="?OLD","!!!","")</f>
        <v/>
      </c>
      <c r="F2955" s="23" t="str">
        <f>IF(OR(E2955="",E2955="!!!"),"",IF(NOT(ISNA(VLOOKUP(E2955,E$1:E2954,1,FALSE()))),"OLD",IF(AND(E2955&lt;&gt;"",E2955&lt;&gt;"!!!"),"NEW","")))</f>
        <v> </v>
      </c>
      <c r="G2955" s="24" t="str">
        <f>IF(OR(E2955="",E2955="!!!"),"",IF(OR(J2955=0,AND(J2955=1,K2955=1),AND(J2955=1,I2955="SBJ"),AND(J2955=1,I2955=0)),"?IN_FOCUS",IF(J2955&lt;=2,"?ACTIVATED",IF(J2955&lt;&gt;"","?FAMILIAR",IF(F2955="NEW",IF(ISNA(VLOOKUP(E2955,#REF!,1,FALSE())),"?TYPE_IDENTIFIABLE","?REFERENTIAL"),"_")))))</f>
        <v> </v>
      </c>
      <c r="H2955" s="25" t="str">
        <f>IF(J2955&lt;&gt;1,"",IF(I2955="SBJ","CB","?"))</f>
        <v> </v>
      </c>
      <c r="I2955" s="26" t="str">
        <f>IF(OR(E2955="",E2955="!!!",F2955="NEW"),"",INDEX(B2954:B$2,-1+SUMPRODUCT(MAX(ROW(E2954:E$2)*(E2955=E2954:E$2)))))</f>
        <v> </v>
      </c>
      <c r="J2955" s="26" t="str">
        <f>IF(OR(E2955="",E2955="!!!",F2955="NEW"),"",COUNTBLANK(OFFSET(A$1,,,SUMPRODUCT(MAX(ROW(E$2:E2955)*(E2955=E$2:E2955)))))-COUNTBLANK(OFFSET(A$1,,,SUMPRODUCT(MAX(ROW(E$1:E2954)*(E2=E$1:E2954))))))</f>
        <v> </v>
      </c>
      <c r="K2955" s="26" t="str">
        <f>IF(OR(E2955="",E2955="!!!",F2955="NEW"),"",INDEX(J$1:J2954,SUMPRODUCT(MAX(ROW(E$1:E2954)*(E2955=E$1:E2954)))))</f>
        <v> </v>
      </c>
      <c r="L2955" s="27"/>
    </row>
    <row r="2956" spans="1:12">
      <c r="A2956" s="20" t="s">
        <v>1905</v>
      </c>
      <c r="E2956" s="22">
        <f>IF(D2956="?OLD","!!!","")</f>
        <v/>
      </c>
      <c r="F2956" s="23" t="str">
        <f>IF(OR(E2956="",E2956="!!!"),"",IF(NOT(ISNA(VLOOKUP(E2956,E$1:E2955,1,FALSE()))),"OLD",IF(AND(E2956&lt;&gt;"",E2956&lt;&gt;"!!!"),"NEW","")))</f>
        <v> </v>
      </c>
      <c r="G2956" s="24" t="str">
        <f>IF(OR(E2956="",E2956="!!!"),"",IF(OR(J2956=0,AND(J2956=1,K2956=1),AND(J2956=1,I2956="SBJ"),AND(J2956=1,I2956=0)),"?IN_FOCUS",IF(J2956&lt;=2,"?ACTIVATED",IF(J2956&lt;&gt;"","?FAMILIAR",IF(F2956="NEW",IF(ISNA(VLOOKUP(E2956,#REF!,1,FALSE())),"?TYPE_IDENTIFIABLE","?REFERENTIAL"),"_")))))</f>
        <v> </v>
      </c>
      <c r="H2956" s="25" t="str">
        <f>IF(J2956&lt;&gt;1,"",IF(I2956="SBJ","CB","?"))</f>
        <v> </v>
      </c>
      <c r="I2956" s="26" t="str">
        <f>IF(OR(E2956="",E2956="!!!",F2956="NEW"),"",INDEX(B2955:B$2,-1+SUMPRODUCT(MAX(ROW(E2955:E$2)*(E2956=E2955:E$2)))))</f>
        <v> </v>
      </c>
      <c r="J2956" s="26" t="str">
        <f>IF(OR(E2956="",E2956="!!!",F2956="NEW"),"",COUNTBLANK(OFFSET(A$1,,,SUMPRODUCT(MAX(ROW(E$2:E2956)*(E2956=E$2:E2956)))))-COUNTBLANK(OFFSET(A$1,,,SUMPRODUCT(MAX(ROW(E$1:E2955)*(E2=E$1:E2955))))))</f>
        <v> </v>
      </c>
      <c r="K2956" s="26" t="str">
        <f>IF(OR(E2956="",E2956="!!!",F2956="NEW"),"",INDEX(J$1:J2955,SUMPRODUCT(MAX(ROW(E$1:E2955)*(E2956=E$1:E2955)))))</f>
        <v> </v>
      </c>
      <c r="L2956" s="27"/>
    </row>
    <row r="2957" spans="1:12">
      <c r="A2957" s="20" t="s">
        <v>56</v>
      </c>
      <c r="E2957" s="22">
        <f>IF(D2957="?OLD","!!!","")</f>
        <v/>
      </c>
      <c r="F2957" s="23" t="str">
        <f>IF(OR(E2957="",E2957="!!!"),"",IF(NOT(ISNA(VLOOKUP(E2957,E$1:E2956,1,FALSE()))),"OLD",IF(AND(E2957&lt;&gt;"",E2957&lt;&gt;"!!!"),"NEW","")))</f>
        <v> </v>
      </c>
      <c r="G2957" s="24" t="str">
        <f>IF(OR(E2957="",E2957="!!!"),"",IF(OR(J2957=0,AND(J2957=1,K2957=1),AND(J2957=1,I2957="SBJ"),AND(J2957=1,I2957=0)),"?IN_FOCUS",IF(J2957&lt;=2,"?ACTIVATED",IF(J2957&lt;&gt;"","?FAMILIAR",IF(F2957="NEW",IF(ISNA(VLOOKUP(E2957,#REF!,1,FALSE())),"?TYPE_IDENTIFIABLE","?REFERENTIAL"),"_")))))</f>
        <v> </v>
      </c>
      <c r="H2957" s="25" t="str">
        <f>IF(J2957&lt;&gt;1,"",IF(I2957="SBJ","CB","?"))</f>
        <v> </v>
      </c>
      <c r="I2957" s="26" t="str">
        <f>IF(OR(E2957="",E2957="!!!",F2957="NEW"),"",INDEX(B2956:B$2,-1+SUMPRODUCT(MAX(ROW(E2956:E$2)*(E2957=E2956:E$2)))))</f>
        <v> </v>
      </c>
      <c r="J2957" s="26" t="str">
        <f>IF(OR(E2957="",E2957="!!!",F2957="NEW"),"",COUNTBLANK(OFFSET(A$1,,,SUMPRODUCT(MAX(ROW(E$2:E2957)*(E2957=E$2:E2957)))))-COUNTBLANK(OFFSET(A$1,,,SUMPRODUCT(MAX(ROW(E$1:E2956)*(E2=E$1:E2956))))))</f>
        <v> </v>
      </c>
      <c r="K2957" s="26" t="str">
        <f>IF(OR(E2957="",E2957="!!!",F2957="NEW"),"",INDEX(J$1:J2956,SUMPRODUCT(MAX(ROW(E$1:E2956)*(E2957=E$1:E2956)))))</f>
        <v> </v>
      </c>
      <c r="L2957" s="27"/>
    </row>
    <row r="2958" spans="1:12">
      <c r="A2958" s="20" t="s">
        <v>102</v>
      </c>
      <c r="B2958" s="21" t="s">
        <v>1040</v>
      </c>
      <c r="C2958" s="21" t="s">
        <v>1073</v>
      </c>
      <c r="D2958" s="21" t="s">
        <v>1007</v>
      </c>
      <c r="E2958" s="22">
        <f>IF(D2958="?OLD","!!!","")</f>
        <v/>
      </c>
      <c r="F2958" s="23" t="str">
        <f>IF(OR(E2958="",E2958="!!!"),"",IF(NOT(ISNA(VLOOKUP(E2958,E$1:E2957,1,FALSE()))),"OLD",IF(AND(E2958&lt;&gt;"",E2958&lt;&gt;"!!!"),"NEW","")))</f>
        <v> </v>
      </c>
      <c r="G2958" s="24" t="str">
        <f>IF(OR(E2958="",E2958="!!!"),"",IF(OR(J2958=0,AND(J2958=1,K2958=1),AND(J2958=1,I2958="SBJ"),AND(J2958=1,I2958=0)),"?IN_FOCUS",IF(J2958&lt;=2,"?ACTIVATED",IF(J2958&lt;&gt;"","?FAMILIAR",IF(F2958="NEW",IF(ISNA(VLOOKUP(E2958,#REF!,1,FALSE())),"?TYPE_IDENTIFIABLE","?REFERENTIAL"),"_")))))</f>
        <v> </v>
      </c>
      <c r="H2958" s="25" t="str">
        <f>IF(J2958&lt;&gt;1,"",IF(I2958="SBJ","CB","?"))</f>
        <v> </v>
      </c>
      <c r="I2958" s="26" t="str">
        <f>IF(OR(E2958="",E2958="!!!",F2958="NEW"),"",INDEX(B2957:B$2,-1+SUMPRODUCT(MAX(ROW(E2957:E$2)*(E2958=E2957:E$2)))))</f>
        <v> </v>
      </c>
      <c r="J2958" s="26" t="str">
        <f>IF(OR(E2958="",E2958="!!!",F2958="NEW"),"",COUNTBLANK(OFFSET(A$1,,,SUMPRODUCT(MAX(ROW(E$2:E2958)*(E2958=E$2:E2958)))))-COUNTBLANK(OFFSET(A$1,,,SUMPRODUCT(MAX(ROW(E$1:E2957)*(E2=E$1:E2957))))))</f>
        <v> </v>
      </c>
      <c r="K2958" s="26" t="str">
        <f>IF(OR(E2958="",E2958="!!!",F2958="NEW"),"",INDEX(J$1:J2957,SUMPRODUCT(MAX(ROW(E$1:E2957)*(E2958=E$1:E2957)))))</f>
        <v> </v>
      </c>
      <c r="L2958" s="27"/>
    </row>
    <row r="2959" spans="1:12">
      <c r="A2959" s="20" t="s">
        <v>1065</v>
      </c>
      <c r="B2959" s="21" t="s">
        <v>1437</v>
      </c>
      <c r="C2959" s="21" t="s">
        <v>1074</v>
      </c>
      <c r="E2959" s="22">
        <f>IF(D2959="?OLD","!!!","")</f>
        <v/>
      </c>
      <c r="F2959" s="23" t="str">
        <f>IF(OR(E2959="",E2959="!!!"),"",IF(NOT(ISNA(VLOOKUP(E2959,E$1:E2958,1,FALSE()))),"OLD",IF(AND(E2959&lt;&gt;"",E2959&lt;&gt;"!!!"),"NEW","")))</f>
        <v> </v>
      </c>
      <c r="G2959" s="24" t="str">
        <f>IF(OR(E2959="",E2959="!!!"),"",IF(OR(J2959=0,AND(J2959=1,K2959=1),AND(J2959=1,I2959="SBJ"),AND(J2959=1,I2959=0)),"?IN_FOCUS",IF(J2959&lt;=2,"?ACTIVATED",IF(J2959&lt;&gt;"","?FAMILIAR",IF(F2959="NEW",IF(ISNA(VLOOKUP(E2959,#REF!,1,FALSE())),"?TYPE_IDENTIFIABLE","?REFERENTIAL"),"_")))))</f>
        <v> </v>
      </c>
      <c r="H2959" s="25" t="str">
        <f>IF(J2959&lt;&gt;1,"",IF(I2959="SBJ","CB","?"))</f>
        <v> </v>
      </c>
      <c r="I2959" s="26" t="str">
        <f>IF(OR(E2959="",E2959="!!!",F2959="NEW"),"",INDEX(B2958:B$2,-1+SUMPRODUCT(MAX(ROW(E2958:E$2)*(E2959=E2958:E$2)))))</f>
        <v> </v>
      </c>
      <c r="J2959" s="26" t="str">
        <f>IF(OR(E2959="",E2959="!!!",F2959="NEW"),"",COUNTBLANK(OFFSET(A$1,,,SUMPRODUCT(MAX(ROW(E$2:E2959)*(E2959=E$2:E2959)))))-COUNTBLANK(OFFSET(A$1,,,SUMPRODUCT(MAX(ROW(E$1:E2958)*(E2=E$1:E2958))))))</f>
        <v> </v>
      </c>
      <c r="K2959" s="26" t="str">
        <f>IF(OR(E2959="",E2959="!!!",F2959="NEW"),"",INDEX(J$1:J2958,SUMPRODUCT(MAX(ROW(E$1:E2958)*(E2959=E$1:E2958)))))</f>
        <v> </v>
      </c>
      <c r="L2959" s="27"/>
    </row>
    <row r="2960" spans="1:12">
      <c r="A2960" s="20" t="s">
        <v>1075</v>
      </c>
      <c r="E2960" s="22">
        <f>IF(D2960="?OLD","!!!","")</f>
        <v/>
      </c>
      <c r="F2960" s="23" t="str">
        <f>IF(OR(E2960="",E2960="!!!"),"",IF(NOT(ISNA(VLOOKUP(E2960,E$1:E2959,1,FALSE()))),"OLD",IF(AND(E2960&lt;&gt;"",E2960&lt;&gt;"!!!"),"NEW","")))</f>
        <v> </v>
      </c>
      <c r="G2960" s="24" t="str">
        <f>IF(OR(E2960="",E2960="!!!"),"",IF(OR(J2960=0,AND(J2960=1,K2960=1),AND(J2960=1,I2960="SBJ"),AND(J2960=1,I2960=0)),"?IN_FOCUS",IF(J2960&lt;=2,"?ACTIVATED",IF(J2960&lt;&gt;"","?FAMILIAR",IF(F2960="NEW",IF(ISNA(VLOOKUP(E2960,#REF!,1,FALSE())),"?TYPE_IDENTIFIABLE","?REFERENTIAL"),"_")))))</f>
        <v> </v>
      </c>
      <c r="H2960" s="25" t="str">
        <f>IF(J2960&lt;&gt;1,"",IF(I2960="SBJ","CB","?"))</f>
        <v> </v>
      </c>
      <c r="I2960" s="26" t="str">
        <f>IF(OR(E2960="",E2960="!!!",F2960="NEW"),"",INDEX(B2959:B$2,-1+SUMPRODUCT(MAX(ROW(E2959:E$2)*(E2960=E2959:E$2)))))</f>
        <v> </v>
      </c>
      <c r="J2960" s="26" t="str">
        <f>IF(OR(E2960="",E2960="!!!",F2960="NEW"),"",COUNTBLANK(OFFSET(A$1,,,SUMPRODUCT(MAX(ROW(E$2:E2960)*(E2960=E$2:E2960)))))-COUNTBLANK(OFFSET(A$1,,,SUMPRODUCT(MAX(ROW(E$1:E2959)*(E2=E$1:E2959))))))</f>
        <v> </v>
      </c>
      <c r="K2960" s="26" t="str">
        <f>IF(OR(E2960="",E2960="!!!",F2960="NEW"),"",INDEX(J$1:J2959,SUMPRODUCT(MAX(ROW(E$1:E2959)*(E2960=E$1:E2959)))))</f>
        <v> </v>
      </c>
      <c r="L2960" s="27"/>
    </row>
    <row r="2961" spans="1:12">
      <c r="A2961" s="20" t="s">
        <v>1065</v>
      </c>
      <c r="E2961" s="22">
        <f>IF(D2961="?OLD","!!!","")</f>
        <v/>
      </c>
      <c r="F2961" s="23" t="str">
        <f>IF(OR(E2961="",E2961="!!!"),"",IF(NOT(ISNA(VLOOKUP(E2961,E$1:E2960,1,FALSE()))),"OLD",IF(AND(E2961&lt;&gt;"",E2961&lt;&gt;"!!!"),"NEW","")))</f>
        <v> </v>
      </c>
      <c r="G2961" s="24" t="str">
        <f>IF(OR(E2961="",E2961="!!!"),"",IF(OR(J2961=0,AND(J2961=1,K2961=1),AND(J2961=1,I2961="SBJ"),AND(J2961=1,I2961=0)),"?IN_FOCUS",IF(J2961&lt;=2,"?ACTIVATED",IF(J2961&lt;&gt;"","?FAMILIAR",IF(F2961="NEW",IF(ISNA(VLOOKUP(E2961,#REF!,1,FALSE())),"?TYPE_IDENTIFIABLE","?REFERENTIAL"),"_")))))</f>
        <v> </v>
      </c>
      <c r="H2961" s="25" t="str">
        <f>IF(J2961&lt;&gt;1,"",IF(I2961="SBJ","CB","?"))</f>
        <v> </v>
      </c>
      <c r="I2961" s="26" t="str">
        <f>IF(OR(E2961="",E2961="!!!",F2961="NEW"),"",INDEX(B2960:B$2,-1+SUMPRODUCT(MAX(ROW(E2960:E$2)*(E2961=E2960:E$2)))))</f>
        <v> </v>
      </c>
      <c r="J2961" s="26" t="str">
        <f>IF(OR(E2961="",E2961="!!!",F2961="NEW"),"",COUNTBLANK(OFFSET(A$1,,,SUMPRODUCT(MAX(ROW(E$2:E2961)*(E2961=E$2:E2961)))))-COUNTBLANK(OFFSET(A$1,,,SUMPRODUCT(MAX(ROW(E$1:E2960)*(E2=E$1:E2960))))))</f>
        <v> </v>
      </c>
      <c r="K2961" s="26" t="str">
        <f>IF(OR(E2961="",E2961="!!!",F2961="NEW"),"",INDEX(J$1:J2960,SUMPRODUCT(MAX(ROW(E$1:E2960)*(E2961=E$1:E2960)))))</f>
        <v> </v>
      </c>
      <c r="L2961" s="27"/>
    </row>
    <row r="2962" spans="1:12">
      <c r="A2962" s="20" t="s">
        <v>1256</v>
      </c>
      <c r="E2962" s="22">
        <f>IF(D2962="?OLD","!!!","")</f>
        <v/>
      </c>
      <c r="F2962" s="23" t="str">
        <f>IF(OR(E2962="",E2962="!!!"),"",IF(NOT(ISNA(VLOOKUP(E2962,E$1:E2961,1,FALSE()))),"OLD",IF(AND(E2962&lt;&gt;"",E2962&lt;&gt;"!!!"),"NEW","")))</f>
        <v> </v>
      </c>
      <c r="G2962" s="24" t="str">
        <f>IF(OR(E2962="",E2962="!!!"),"",IF(OR(J2962=0,AND(J2962=1,K2962=1),AND(J2962=1,I2962="SBJ"),AND(J2962=1,I2962=0)),"?IN_FOCUS",IF(J2962&lt;=2,"?ACTIVATED",IF(J2962&lt;&gt;"","?FAMILIAR",IF(F2962="NEW",IF(ISNA(VLOOKUP(E2962,#REF!,1,FALSE())),"?TYPE_IDENTIFIABLE","?REFERENTIAL"),"_")))))</f>
        <v> </v>
      </c>
      <c r="H2962" s="25" t="str">
        <f>IF(J2962&lt;&gt;1,"",IF(I2962="SBJ","CB","?"))</f>
        <v> </v>
      </c>
      <c r="I2962" s="26" t="str">
        <f>IF(OR(E2962="",E2962="!!!",F2962="NEW"),"",INDEX(B2961:B$2,-1+SUMPRODUCT(MAX(ROW(E2961:E$2)*(E2962=E2961:E$2)))))</f>
        <v> </v>
      </c>
      <c r="J2962" s="26" t="str">
        <f>IF(OR(E2962="",E2962="!!!",F2962="NEW"),"",COUNTBLANK(OFFSET(A$1,,,SUMPRODUCT(MAX(ROW(E$2:E2962)*(E2962=E$2:E2962)))))-COUNTBLANK(OFFSET(A$1,,,SUMPRODUCT(MAX(ROW(E$1:E2961)*(E2=E$1:E2961))))))</f>
        <v> </v>
      </c>
      <c r="K2962" s="26" t="str">
        <f>IF(OR(E2962="",E2962="!!!",F2962="NEW"),"",INDEX(J$1:J2961,SUMPRODUCT(MAX(ROW(E$1:E2961)*(E2962=E$1:E2961)))))</f>
        <v> </v>
      </c>
      <c r="L2962" s="27"/>
    </row>
    <row r="2963" spans="1:12">
      <c r="A2963" s="20" t="s">
        <v>186</v>
      </c>
      <c r="E2963" s="22">
        <f>IF(D2963="?OLD","!!!","")</f>
        <v/>
      </c>
      <c r="F2963" s="23" t="str">
        <f>IF(OR(E2963="",E2963="!!!"),"",IF(NOT(ISNA(VLOOKUP(E2963,E$1:E2962,1,FALSE()))),"OLD",IF(AND(E2963&lt;&gt;"",E2963&lt;&gt;"!!!"),"NEW","")))</f>
        <v> </v>
      </c>
      <c r="G2963" s="24" t="str">
        <f>IF(OR(E2963="",E2963="!!!"),"",IF(OR(J2963=0,AND(J2963=1,K2963=1),AND(J2963=1,I2963="SBJ"),AND(J2963=1,I2963=0)),"?IN_FOCUS",IF(J2963&lt;=2,"?ACTIVATED",IF(J2963&lt;&gt;"","?FAMILIAR",IF(F2963="NEW",IF(ISNA(VLOOKUP(E2963,#REF!,1,FALSE())),"?TYPE_IDENTIFIABLE","?REFERENTIAL"),"_")))))</f>
        <v> </v>
      </c>
      <c r="H2963" s="25" t="str">
        <f>IF(J2963&lt;&gt;1,"",IF(I2963="SBJ","CB","?"))</f>
        <v> </v>
      </c>
      <c r="I2963" s="26" t="str">
        <f>IF(OR(E2963="",E2963="!!!",F2963="NEW"),"",INDEX(B2962:B$2,-1+SUMPRODUCT(MAX(ROW(E2962:E$2)*(E2963=E2962:E$2)))))</f>
        <v> </v>
      </c>
      <c r="J2963" s="26" t="str">
        <f>IF(OR(E2963="",E2963="!!!",F2963="NEW"),"",COUNTBLANK(OFFSET(A$1,,,SUMPRODUCT(MAX(ROW(E$2:E2963)*(E2963=E$2:E2963)))))-COUNTBLANK(OFFSET(A$1,,,SUMPRODUCT(MAX(ROW(E$1:E2962)*(E2=E$1:E2962))))))</f>
        <v> </v>
      </c>
      <c r="K2963" s="26" t="str">
        <f>IF(OR(E2963="",E2963="!!!",F2963="NEW"),"",INDEX(J$1:J2962,SUMPRODUCT(MAX(ROW(E$1:E2962)*(E2963=E$1:E2962)))))</f>
        <v> </v>
      </c>
      <c r="L2963" s="27"/>
    </row>
    <row r="2964" spans="1:12">
      <c r="A2964" s="20" t="s">
        <v>1906</v>
      </c>
      <c r="E2964" s="22">
        <f>IF(D2964="?OLD","!!!","")</f>
        <v/>
      </c>
      <c r="F2964" s="23" t="str">
        <f>IF(OR(E2964="",E2964="!!!"),"",IF(NOT(ISNA(VLOOKUP(E2964,E$1:E2963,1,FALSE()))),"OLD",IF(AND(E2964&lt;&gt;"",E2964&lt;&gt;"!!!"),"NEW","")))</f>
        <v> </v>
      </c>
      <c r="G2964" s="24" t="str">
        <f>IF(OR(E2964="",E2964="!!!"),"",IF(OR(J2964=0,AND(J2964=1,K2964=1),AND(J2964=1,I2964="SBJ"),AND(J2964=1,I2964=0)),"?IN_FOCUS",IF(J2964&lt;=2,"?ACTIVATED",IF(J2964&lt;&gt;"","?FAMILIAR",IF(F2964="NEW",IF(ISNA(VLOOKUP(E2964,#REF!,1,FALSE())),"?TYPE_IDENTIFIABLE","?REFERENTIAL"),"_")))))</f>
        <v> </v>
      </c>
      <c r="H2964" s="25" t="str">
        <f>IF(J2964&lt;&gt;1,"",IF(I2964="SBJ","CB","?"))</f>
        <v> </v>
      </c>
      <c r="I2964" s="26" t="str">
        <f>IF(OR(E2964="",E2964="!!!",F2964="NEW"),"",INDEX(B2963:B$2,-1+SUMPRODUCT(MAX(ROW(E2963:E$2)*(E2964=E2963:E$2)))))</f>
        <v> </v>
      </c>
      <c r="J2964" s="26" t="str">
        <f>IF(OR(E2964="",E2964="!!!",F2964="NEW"),"",COUNTBLANK(OFFSET(A$1,,,SUMPRODUCT(MAX(ROW(E$2:E2964)*(E2964=E$2:E2964)))))-COUNTBLANK(OFFSET(A$1,,,SUMPRODUCT(MAX(ROW(E$1:E2963)*(E2=E$1:E2963))))))</f>
        <v> </v>
      </c>
      <c r="K2964" s="26" t="str">
        <f>IF(OR(E2964="",E2964="!!!",F2964="NEW"),"",INDEX(J$1:J2963,SUMPRODUCT(MAX(ROW(E$1:E2963)*(E2964=E$1:E2963)))))</f>
        <v> </v>
      </c>
      <c r="L2964" s="27"/>
    </row>
    <row r="2965" spans="1:12">
      <c r="A2965" s="20" t="s">
        <v>1020</v>
      </c>
      <c r="E2965" s="22">
        <f>IF(D2965="?OLD","!!!","")</f>
        <v/>
      </c>
      <c r="F2965" s="23" t="str">
        <f>IF(OR(E2965="",E2965="!!!"),"",IF(NOT(ISNA(VLOOKUP(E2965,E$1:E2964,1,FALSE()))),"OLD",IF(AND(E2965&lt;&gt;"",E2965&lt;&gt;"!!!"),"NEW","")))</f>
        <v> </v>
      </c>
      <c r="G2965" s="24" t="str">
        <f>IF(OR(E2965="",E2965="!!!"),"",IF(OR(J2965=0,AND(J2965=1,K2965=1),AND(J2965=1,I2965="SBJ"),AND(J2965=1,I2965=0)),"?IN_FOCUS",IF(J2965&lt;=2,"?ACTIVATED",IF(J2965&lt;&gt;"","?FAMILIAR",IF(F2965="NEW",IF(ISNA(VLOOKUP(E2965,#REF!,1,FALSE())),"?TYPE_IDENTIFIABLE","?REFERENTIAL"),"_")))))</f>
        <v> </v>
      </c>
      <c r="H2965" s="25" t="str">
        <f>IF(J2965&lt;&gt;1,"",IF(I2965="SBJ","CB","?"))</f>
        <v> </v>
      </c>
      <c r="I2965" s="26" t="str">
        <f>IF(OR(E2965="",E2965="!!!",F2965="NEW"),"",INDEX(B2964:B$2,-1+SUMPRODUCT(MAX(ROW(E2964:E$2)*(E2965=E2964:E$2)))))</f>
        <v> </v>
      </c>
      <c r="J2965" s="26" t="str">
        <f>IF(OR(E2965="",E2965="!!!",F2965="NEW"),"",COUNTBLANK(OFFSET(A$1,,,SUMPRODUCT(MAX(ROW(E$2:E2965)*(E2965=E$2:E2965)))))-COUNTBLANK(OFFSET(A$1,,,SUMPRODUCT(MAX(ROW(E$1:E2964)*(E2=E$1:E2964))))))</f>
        <v> </v>
      </c>
      <c r="K2965" s="26" t="str">
        <f>IF(OR(E2965="",E2965="!!!",F2965="NEW"),"",INDEX(J$1:J2964,SUMPRODUCT(MAX(ROW(E$1:E2964)*(E2965=E$1:E2964)))))</f>
        <v> </v>
      </c>
      <c r="L2965" s="27"/>
    </row>
    <row r="2966" spans="1:12">
      <c r="A2966" s="20" t="s">
        <v>1027</v>
      </c>
      <c r="E2966" s="22">
        <f>IF(D2966="?OLD","!!!","")</f>
        <v/>
      </c>
      <c r="F2966" s="23" t="str">
        <f>IF(OR(E2966="",E2966="!!!"),"",IF(NOT(ISNA(VLOOKUP(E2966,E$1:E2965,1,FALSE()))),"OLD",IF(AND(E2966&lt;&gt;"",E2966&lt;&gt;"!!!"),"NEW","")))</f>
        <v> </v>
      </c>
      <c r="G2966" s="24" t="str">
        <f>IF(OR(E2966="",E2966="!!!"),"",IF(OR(J2966=0,AND(J2966=1,K2966=1),AND(J2966=1,I2966="SBJ"),AND(J2966=1,I2966=0)),"?IN_FOCUS",IF(J2966&lt;=2,"?ACTIVATED",IF(J2966&lt;&gt;"","?FAMILIAR",IF(F2966="NEW",IF(ISNA(VLOOKUP(E2966,#REF!,1,FALSE())),"?TYPE_IDENTIFIABLE","?REFERENTIAL"),"_")))))</f>
        <v> </v>
      </c>
      <c r="H2966" s="25" t="str">
        <f>IF(J2966&lt;&gt;1,"",IF(I2966="SBJ","CB","?"))</f>
        <v> </v>
      </c>
      <c r="I2966" s="26" t="str">
        <f>IF(OR(E2966="",E2966="!!!",F2966="NEW"),"",INDEX(B2965:B$2,-1+SUMPRODUCT(MAX(ROW(E2965:E$2)*(E2966=E2965:E$2)))))</f>
        <v> </v>
      </c>
      <c r="J2966" s="26" t="str">
        <f>IF(OR(E2966="",E2966="!!!",F2966="NEW"),"",COUNTBLANK(OFFSET(A$1,,,SUMPRODUCT(MAX(ROW(E$2:E2966)*(E2966=E$2:E2966)))))-COUNTBLANK(OFFSET(A$1,,,SUMPRODUCT(MAX(ROW(E$1:E2965)*(E2=E$1:E2965))))))</f>
        <v> </v>
      </c>
      <c r="K2966" s="26" t="str">
        <f>IF(OR(E2966="",E2966="!!!",F2966="NEW"),"",INDEX(J$1:J2965,SUMPRODUCT(MAX(ROW(E$1:E2965)*(E2966=E$1:E2965)))))</f>
        <v> </v>
      </c>
      <c r="L2966" s="27"/>
    </row>
    <row r="2967" spans="1:12">
      <c r="A2967" s="20" t="s">
        <v>1617</v>
      </c>
      <c r="B2967" s="21" t="s">
        <v>1215</v>
      </c>
      <c r="C2967" s="21" t="s">
        <v>1059</v>
      </c>
      <c r="D2967" s="21" t="s">
        <v>1007</v>
      </c>
      <c r="E2967" s="22">
        <f>IF(D2967="?OLD","!!!","")</f>
        <v/>
      </c>
      <c r="F2967" s="23" t="str">
        <f>IF(OR(E2967="",E2967="!!!"),"",IF(NOT(ISNA(VLOOKUP(E2967,E$1:E2966,1,FALSE()))),"OLD",IF(AND(E2967&lt;&gt;"",E2967&lt;&gt;"!!!"),"NEW","")))</f>
        <v> </v>
      </c>
      <c r="G2967" s="24" t="str">
        <f>IF(OR(E2967="",E2967="!!!"),"",IF(OR(J2967=0,AND(J2967=1,K2967=1),AND(J2967=1,I2967="SBJ"),AND(J2967=1,I2967=0)),"?IN_FOCUS",IF(J2967&lt;=2,"?ACTIVATED",IF(J2967&lt;&gt;"","?FAMILIAR",IF(F2967="NEW",IF(ISNA(VLOOKUP(E2967,#REF!,1,FALSE())),"?TYPE_IDENTIFIABLE","?REFERENTIAL"),"_")))))</f>
        <v> </v>
      </c>
      <c r="H2967" s="25" t="str">
        <f>IF(J2967&lt;&gt;1,"",IF(I2967="SBJ","CB","?"))</f>
        <v> </v>
      </c>
      <c r="I2967" s="26" t="str">
        <f>IF(OR(E2967="",E2967="!!!",F2967="NEW"),"",INDEX(B2966:B$2,-1+SUMPRODUCT(MAX(ROW(E2966:E$2)*(E2967=E2966:E$2)))))</f>
        <v> </v>
      </c>
      <c r="J2967" s="26" t="str">
        <f>IF(OR(E2967="",E2967="!!!",F2967="NEW"),"",COUNTBLANK(OFFSET(A$1,,,SUMPRODUCT(MAX(ROW(E$2:E2967)*(E2967=E$2:E2967)))))-COUNTBLANK(OFFSET(A$1,,,SUMPRODUCT(MAX(ROW(E$1:E2966)*(E2=E$1:E2966))))))</f>
        <v> </v>
      </c>
      <c r="K2967" s="26" t="str">
        <f>IF(OR(E2967="",E2967="!!!",F2967="NEW"),"",INDEX(J$1:J2966,SUMPRODUCT(MAX(ROW(E$1:E2966)*(E2967=E$1:E2966)))))</f>
        <v> </v>
      </c>
      <c r="L2967" s="27"/>
    </row>
    <row r="2968" spans="1:12">
      <c r="A2968" s="20" t="s">
        <v>1907</v>
      </c>
      <c r="B2968" s="21" t="s">
        <v>1487</v>
      </c>
      <c r="C2968" s="21" t="s">
        <v>1017</v>
      </c>
      <c r="D2968" s="21" t="s">
        <v>1007</v>
      </c>
      <c r="E2968" s="22">
        <f>IF(D2968="?OLD","!!!","")</f>
        <v/>
      </c>
      <c r="F2968" s="23" t="str">
        <f>IF(OR(E2968="",E2968="!!!"),"",IF(NOT(ISNA(VLOOKUP(E2968,E$1:E2967,1,FALSE()))),"OLD",IF(AND(E2968&lt;&gt;"",E2968&lt;&gt;"!!!"),"NEW","")))</f>
        <v> </v>
      </c>
      <c r="G2968" s="24" t="str">
        <f>IF(OR(E2968="",E2968="!!!"),"",IF(OR(J2968=0,AND(J2968=1,K2968=1),AND(J2968=1,I2968="SBJ"),AND(J2968=1,I2968=0)),"?IN_FOCUS",IF(J2968&lt;=2,"?ACTIVATED",IF(J2968&lt;&gt;"","?FAMILIAR",IF(F2968="NEW",IF(ISNA(VLOOKUP(E2968,#REF!,1,FALSE())),"?TYPE_IDENTIFIABLE","?REFERENTIAL"),"_")))))</f>
        <v> </v>
      </c>
      <c r="H2968" s="25" t="str">
        <f>IF(J2968&lt;&gt;1,"",IF(I2968="SBJ","CB","?"))</f>
        <v> </v>
      </c>
      <c r="I2968" s="26" t="str">
        <f>IF(OR(E2968="",E2968="!!!",F2968="NEW"),"",INDEX(B2967:B$2,-1+SUMPRODUCT(MAX(ROW(E2967:E$2)*(E2968=E2967:E$2)))))</f>
        <v> </v>
      </c>
      <c r="J2968" s="26" t="str">
        <f>IF(OR(E2968="",E2968="!!!",F2968="NEW"),"",COUNTBLANK(OFFSET(A$1,,,SUMPRODUCT(MAX(ROW(E$2:E2968)*(E2968=E$2:E2968)))))-COUNTBLANK(OFFSET(A$1,,,SUMPRODUCT(MAX(ROW(E$1:E2967)*(E2=E$1:E2967))))))</f>
        <v> </v>
      </c>
      <c r="K2968" s="26" t="str">
        <f>IF(OR(E2968="",E2968="!!!",F2968="NEW"),"",INDEX(J$1:J2967,SUMPRODUCT(MAX(ROW(E$1:E2967)*(E2968=E$1:E2967)))))</f>
        <v> </v>
      </c>
      <c r="L2968" s="27"/>
    </row>
    <row r="2969" spans="1:12">
      <c r="A2969" s="20" t="s">
        <v>1023</v>
      </c>
      <c r="E2969" s="22">
        <f>IF(D2969="?OLD","!!!","")</f>
        <v/>
      </c>
      <c r="F2969" s="23" t="str">
        <f>IF(OR(E2969="",E2969="!!!"),"",IF(NOT(ISNA(VLOOKUP(E2969,E$1:E2968,1,FALSE()))),"OLD",IF(AND(E2969&lt;&gt;"",E2969&lt;&gt;"!!!"),"NEW","")))</f>
        <v> </v>
      </c>
      <c r="G2969" s="24" t="str">
        <f>IF(OR(E2969="",E2969="!!!"),"",IF(OR(J2969=0,AND(J2969=1,K2969=1),AND(J2969=1,I2969="SBJ"),AND(J2969=1,I2969=0)),"?IN_FOCUS",IF(J2969&lt;=2,"?ACTIVATED",IF(J2969&lt;&gt;"","?FAMILIAR",IF(F2969="NEW",IF(ISNA(VLOOKUP(E2969,#REF!,1,FALSE())),"?TYPE_IDENTIFIABLE","?REFERENTIAL"),"_")))))</f>
        <v> </v>
      </c>
      <c r="H2969" s="25" t="str">
        <f>IF(J2969&lt;&gt;1,"",IF(I2969="SBJ","CB","?"))</f>
        <v> </v>
      </c>
      <c r="I2969" s="26" t="str">
        <f>IF(OR(E2969="",E2969="!!!",F2969="NEW"),"",INDEX(B2968:B$2,-1+SUMPRODUCT(MAX(ROW(E2968:E$2)*(E2969=E2968:E$2)))))</f>
        <v> </v>
      </c>
      <c r="J2969" s="26" t="str">
        <f>IF(OR(E2969="",E2969="!!!",F2969="NEW"),"",COUNTBLANK(OFFSET(A$1,,,SUMPRODUCT(MAX(ROW(E$2:E2969)*(E2969=E$2:E2969)))))-COUNTBLANK(OFFSET(A$1,,,SUMPRODUCT(MAX(ROW(E$1:E2968)*(E2=E$1:E2968))))))</f>
        <v> </v>
      </c>
      <c r="K2969" s="26" t="str">
        <f>IF(OR(E2969="",E2969="!!!",F2969="NEW"),"",INDEX(J$1:J2968,SUMPRODUCT(MAX(ROW(E$1:E2968)*(E2969=E$1:E2968)))))</f>
        <v> </v>
      </c>
      <c r="L2969" s="27"/>
    </row>
    <row r="2970" spans="1:12">
      <c r="A2970" s="20"/>
    </row>
    <row r="2971" spans="1:12">
      <c r="A2971" s="20" t="s">
        <v>1908</v>
      </c>
    </row>
    <row r="2972" spans="1:12">
      <c r="A2972" s="20" t="s">
        <v>1909</v>
      </c>
      <c r="E2972" s="22">
        <f>IF(D2972="?OLD","!!!","")</f>
        <v/>
      </c>
      <c r="F2972" s="23" t="str">
        <f>IF(OR(E2972="",E2972="!!!"),"",IF(NOT(ISNA(VLOOKUP(E2972,E$1:E2971,1,FALSE()))),"OLD",IF(AND(E2972&lt;&gt;"",E2972&lt;&gt;"!!!"),"NEW","")))</f>
        <v> </v>
      </c>
      <c r="G2972" s="24" t="str">
        <f>IF(OR(E2972="",E2972="!!!"),"",IF(OR(J2972=0,AND(J2972=1,K2972=1),AND(J2972=1,I2972="SBJ"),AND(J2972=1,I2972=0)),"?IN_FOCUS",IF(J2972&lt;=2,"?ACTIVATED",IF(J2972&lt;&gt;"","?FAMILIAR",IF(F2972="NEW",IF(ISNA(VLOOKUP(E2972,#REF!,1,FALSE())),"?TYPE_IDENTIFIABLE","?REFERENTIAL"),"_")))))</f>
        <v> </v>
      </c>
      <c r="H2972" s="25" t="str">
        <f>IF(J2972&lt;&gt;1,"",IF(I2972="SBJ","CB","?"))</f>
        <v> </v>
      </c>
      <c r="I2972" s="26" t="str">
        <f>IF(OR(E2972="",E2972="!!!",F2972="NEW"),"",INDEX(B2971:B$2,-1+SUMPRODUCT(MAX(ROW(E2971:E$2)*(E2972=E2971:E$2)))))</f>
        <v> </v>
      </c>
      <c r="J2972" s="26" t="str">
        <f>IF(OR(E2972="",E2972="!!!",F2972="NEW"),"",COUNTBLANK(OFFSET(A$1,,,SUMPRODUCT(MAX(ROW(E$2:E2972)*(E2972=E$2:E2972)))))-COUNTBLANK(OFFSET(A$1,,,SUMPRODUCT(MAX(ROW(E$1:E2971)*(E2=E$1:E2971))))))</f>
        <v> </v>
      </c>
      <c r="K2972" s="26" t="str">
        <f>IF(OR(E2972="",E2972="!!!",F2972="NEW"),"",INDEX(J$1:J2971,SUMPRODUCT(MAX(ROW(E$1:E2971)*(E2972=E$1:E2971)))))</f>
        <v> </v>
      </c>
      <c r="L2972" s="27"/>
    </row>
    <row r="2973" spans="1:12">
      <c r="A2973" s="20" t="s">
        <v>102</v>
      </c>
      <c r="E2973" s="22">
        <f>IF(D2973="?OLD","!!!","")</f>
        <v/>
      </c>
      <c r="F2973" s="23" t="str">
        <f>IF(OR(E2973="",E2973="!!!"),"",IF(NOT(ISNA(VLOOKUP(E2973,E$1:E2972,1,FALSE()))),"OLD",IF(AND(E2973&lt;&gt;"",E2973&lt;&gt;"!!!"),"NEW","")))</f>
        <v> </v>
      </c>
      <c r="G2973" s="24" t="str">
        <f>IF(OR(E2973="",E2973="!!!"),"",IF(OR(J2973=0,AND(J2973=1,K2973=1),AND(J2973=1,I2973="SBJ"),AND(J2973=1,I2973=0)),"?IN_FOCUS",IF(J2973&lt;=2,"?ACTIVATED",IF(J2973&lt;&gt;"","?FAMILIAR",IF(F2973="NEW",IF(ISNA(VLOOKUP(E2973,#REF!,1,FALSE())),"?TYPE_IDENTIFIABLE","?REFERENTIAL"),"_")))))</f>
        <v> </v>
      </c>
      <c r="H2973" s="25" t="str">
        <f>IF(J2973&lt;&gt;1,"",IF(I2973="SBJ","CB","?"))</f>
        <v> </v>
      </c>
      <c r="I2973" s="26" t="str">
        <f>IF(OR(E2973="",E2973="!!!",F2973="NEW"),"",INDEX(B2972:B$2,-1+SUMPRODUCT(MAX(ROW(E2972:E$2)*(E2973=E2972:E$2)))))</f>
        <v> </v>
      </c>
      <c r="J2973" s="26" t="str">
        <f>IF(OR(E2973="",E2973="!!!",F2973="NEW"),"",COUNTBLANK(OFFSET(A$1,,,SUMPRODUCT(MAX(ROW(E$2:E2973)*(E2973=E$2:E2973)))))-COUNTBLANK(OFFSET(A$1,,,SUMPRODUCT(MAX(ROW(E$1:E2972)*(E2=E$1:E2972))))))</f>
        <v> </v>
      </c>
      <c r="K2973" s="26" t="str">
        <f>IF(OR(E2973="",E2973="!!!",F2973="NEW"),"",INDEX(J$1:J2972,SUMPRODUCT(MAX(ROW(E$1:E2972)*(E2973=E$1:E2972)))))</f>
        <v> </v>
      </c>
      <c r="L2973" s="27"/>
    </row>
    <row r="2974" spans="1:12">
      <c r="A2974" s="20" t="s">
        <v>16</v>
      </c>
      <c r="B2974" s="21" t="s">
        <v>1085</v>
      </c>
      <c r="C2974" s="21" t="s">
        <v>1017</v>
      </c>
      <c r="D2974" s="21" t="s">
        <v>1007</v>
      </c>
      <c r="E2974" s="22">
        <f>IF(D2974="?OLD","!!!","")</f>
        <v/>
      </c>
      <c r="F2974" s="23" t="str">
        <f>IF(OR(E2974="",E2974="!!!"),"",IF(NOT(ISNA(VLOOKUP(E2974,E$1:E2973,1,FALSE()))),"OLD",IF(AND(E2974&lt;&gt;"",E2974&lt;&gt;"!!!"),"NEW","")))</f>
        <v> </v>
      </c>
      <c r="G2974" s="24" t="str">
        <f>IF(OR(E2974="",E2974="!!!"),"",IF(OR(J2974=0,AND(J2974=1,K2974=1),AND(J2974=1,I2974="SBJ"),AND(J2974=1,I2974=0)),"?IN_FOCUS",IF(J2974&lt;=2,"?ACTIVATED",IF(J2974&lt;&gt;"","?FAMILIAR",IF(F2974="NEW",IF(ISNA(VLOOKUP(E2974,#REF!,1,FALSE())),"?TYPE_IDENTIFIABLE","?REFERENTIAL"),"_")))))</f>
        <v> </v>
      </c>
      <c r="H2974" s="25" t="str">
        <f>IF(J2974&lt;&gt;1,"",IF(I2974="SBJ","CB","?"))</f>
        <v> </v>
      </c>
      <c r="I2974" s="26" t="str">
        <f>IF(OR(E2974="",E2974="!!!",F2974="NEW"),"",INDEX(B2973:B$2,-1+SUMPRODUCT(MAX(ROW(E2973:E$2)*(E2974=E2973:E$2)))))</f>
        <v> </v>
      </c>
      <c r="J2974" s="26" t="str">
        <f>IF(OR(E2974="",E2974="!!!",F2974="NEW"),"",COUNTBLANK(OFFSET(A$1,,,SUMPRODUCT(MAX(ROW(E$2:E2974)*(E2974=E$2:E2974)))))-COUNTBLANK(OFFSET(A$1,,,SUMPRODUCT(MAX(ROW(E$1:E2973)*(E2=E$1:E2973))))))</f>
        <v> </v>
      </c>
      <c r="K2974" s="26" t="str">
        <f>IF(OR(E2974="",E2974="!!!",F2974="NEW"),"",INDEX(J$1:J2973,SUMPRODUCT(MAX(ROW(E$1:E2973)*(E2974=E$1:E2973)))))</f>
        <v> </v>
      </c>
      <c r="L2974" s="27"/>
    </row>
    <row r="2975" spans="1:12">
      <c r="A2975" s="20" t="s">
        <v>1020</v>
      </c>
      <c r="E2975" s="22">
        <f>IF(D2975="?OLD","!!!","")</f>
        <v/>
      </c>
      <c r="F2975" s="23" t="str">
        <f>IF(OR(E2975="",E2975="!!!"),"",IF(NOT(ISNA(VLOOKUP(E2975,E$1:E2974,1,FALSE()))),"OLD",IF(AND(E2975&lt;&gt;"",E2975&lt;&gt;"!!!"),"NEW","")))</f>
        <v> </v>
      </c>
      <c r="G2975" s="24" t="str">
        <f>IF(OR(E2975="",E2975="!!!"),"",IF(OR(J2975=0,AND(J2975=1,K2975=1),AND(J2975=1,I2975="SBJ"),AND(J2975=1,I2975=0)),"?IN_FOCUS",IF(J2975&lt;=2,"?ACTIVATED",IF(J2975&lt;&gt;"","?FAMILIAR",IF(F2975="NEW",IF(ISNA(VLOOKUP(E2975,#REF!,1,FALSE())),"?TYPE_IDENTIFIABLE","?REFERENTIAL"),"_")))))</f>
        <v> </v>
      </c>
      <c r="H2975" s="25" t="str">
        <f>IF(J2975&lt;&gt;1,"",IF(I2975="SBJ","CB","?"))</f>
        <v> </v>
      </c>
      <c r="I2975" s="26" t="str">
        <f>IF(OR(E2975="",E2975="!!!",F2975="NEW"),"",INDEX(B2974:B$2,-1+SUMPRODUCT(MAX(ROW(E2974:E$2)*(E2975=E2974:E$2)))))</f>
        <v> </v>
      </c>
      <c r="J2975" s="26" t="str">
        <f>IF(OR(E2975="",E2975="!!!",F2975="NEW"),"",COUNTBLANK(OFFSET(A$1,,,SUMPRODUCT(MAX(ROW(E$2:E2975)*(E2975=E$2:E2975)))))-COUNTBLANK(OFFSET(A$1,,,SUMPRODUCT(MAX(ROW(E$1:E2974)*(E2=E$1:E2974))))))</f>
        <v> </v>
      </c>
      <c r="K2975" s="26" t="str">
        <f>IF(OR(E2975="",E2975="!!!",F2975="NEW"),"",INDEX(J$1:J2974,SUMPRODUCT(MAX(ROW(E$1:E2974)*(E2975=E$1:E2974)))))</f>
        <v> </v>
      </c>
      <c r="L2975" s="27"/>
    </row>
    <row r="2976" spans="1:12">
      <c r="A2976" s="20" t="s">
        <v>1020</v>
      </c>
      <c r="E2976" s="22">
        <f>IF(D2976="?OLD","!!!","")</f>
        <v/>
      </c>
      <c r="F2976" s="23" t="str">
        <f>IF(OR(E2976="",E2976="!!!"),"",IF(NOT(ISNA(VLOOKUP(E2976,E$1:E2975,1,FALSE()))),"OLD",IF(AND(E2976&lt;&gt;"",E2976&lt;&gt;"!!!"),"NEW","")))</f>
        <v> </v>
      </c>
      <c r="G2976" s="24" t="str">
        <f>IF(OR(E2976="",E2976="!!!"),"",IF(OR(J2976=0,AND(J2976=1,K2976=1),AND(J2976=1,I2976="SBJ"),AND(J2976=1,I2976=0)),"?IN_FOCUS",IF(J2976&lt;=2,"?ACTIVATED",IF(J2976&lt;&gt;"","?FAMILIAR",IF(F2976="NEW",IF(ISNA(VLOOKUP(E2976,#REF!,1,FALSE())),"?TYPE_IDENTIFIABLE","?REFERENTIAL"),"_")))))</f>
        <v> </v>
      </c>
      <c r="H2976" s="25" t="str">
        <f>IF(J2976&lt;&gt;1,"",IF(I2976="SBJ","CB","?"))</f>
        <v> </v>
      </c>
      <c r="I2976" s="26" t="str">
        <f>IF(OR(E2976="",E2976="!!!",F2976="NEW"),"",INDEX(B2975:B$2,-1+SUMPRODUCT(MAX(ROW(E2975:E$2)*(E2976=E2975:E$2)))))</f>
        <v> </v>
      </c>
      <c r="J2976" s="26" t="str">
        <f>IF(OR(E2976="",E2976="!!!",F2976="NEW"),"",COUNTBLANK(OFFSET(A$1,,,SUMPRODUCT(MAX(ROW(E$2:E2976)*(E2976=E$2:E2976)))))-COUNTBLANK(OFFSET(A$1,,,SUMPRODUCT(MAX(ROW(E$1:E2975)*(E2=E$1:E2975))))))</f>
        <v> </v>
      </c>
      <c r="K2976" s="26" t="str">
        <f>IF(OR(E2976="",E2976="!!!",F2976="NEW"),"",INDEX(J$1:J2975,SUMPRODUCT(MAX(ROW(E$1:E2975)*(E2976=E$1:E2975)))))</f>
        <v> </v>
      </c>
      <c r="L2976" s="27"/>
    </row>
    <row r="2977" spans="1:12">
      <c r="A2977" s="20" t="s">
        <v>1691</v>
      </c>
      <c r="B2977" s="21" t="s">
        <v>1085</v>
      </c>
      <c r="C2977" s="21" t="s">
        <v>1017</v>
      </c>
      <c r="D2977" s="21" t="s">
        <v>1007</v>
      </c>
      <c r="E2977" s="22">
        <f>IF(D2977="?OLD","!!!","")</f>
        <v/>
      </c>
      <c r="F2977" s="23" t="str">
        <f>IF(OR(E2977="",E2977="!!!"),"",IF(NOT(ISNA(VLOOKUP(E2977,E$1:E2976,1,FALSE()))),"OLD",IF(AND(E2977&lt;&gt;"",E2977&lt;&gt;"!!!"),"NEW","")))</f>
        <v> </v>
      </c>
      <c r="G2977" s="24" t="str">
        <f>IF(OR(E2977="",E2977="!!!"),"",IF(OR(J2977=0,AND(J2977=1,K2977=1),AND(J2977=1,I2977="SBJ"),AND(J2977=1,I2977=0)),"?IN_FOCUS",IF(J2977&lt;=2,"?ACTIVATED",IF(J2977&lt;&gt;"","?FAMILIAR",IF(F2977="NEW",IF(ISNA(VLOOKUP(E2977,#REF!,1,FALSE())),"?TYPE_IDENTIFIABLE","?REFERENTIAL"),"_")))))</f>
        <v> </v>
      </c>
      <c r="H2977" s="25" t="str">
        <f>IF(J2977&lt;&gt;1,"",IF(I2977="SBJ","CB","?"))</f>
        <v> </v>
      </c>
      <c r="I2977" s="26" t="str">
        <f>IF(OR(E2977="",E2977="!!!",F2977="NEW"),"",INDEX(B2976:B$2,-1+SUMPRODUCT(MAX(ROW(E2976:E$2)*(E2977=E2976:E$2)))))</f>
        <v> </v>
      </c>
      <c r="J2977" s="26" t="str">
        <f>IF(OR(E2977="",E2977="!!!",F2977="NEW"),"",COUNTBLANK(OFFSET(A$1,,,SUMPRODUCT(MAX(ROW(E$2:E2977)*(E2977=E$2:E2977)))))-COUNTBLANK(OFFSET(A$1,,,SUMPRODUCT(MAX(ROW(E$1:E2976)*(E2=E$1:E2976))))))</f>
        <v> </v>
      </c>
      <c r="K2977" s="26" t="str">
        <f>IF(OR(E2977="",E2977="!!!",F2977="NEW"),"",INDEX(J$1:J2976,SUMPRODUCT(MAX(ROW(E$1:E2976)*(E2977=E$1:E2976)))))</f>
        <v> </v>
      </c>
      <c r="L2977" s="27"/>
    </row>
    <row r="2978" spans="1:12">
      <c r="A2978" s="20" t="s">
        <v>1023</v>
      </c>
      <c r="E2978" s="22">
        <f>IF(D2978="?OLD","!!!","")</f>
        <v/>
      </c>
      <c r="F2978" s="23" t="str">
        <f>IF(OR(E2978="",E2978="!!!"),"",IF(NOT(ISNA(VLOOKUP(E2978,E$1:E2977,1,FALSE()))),"OLD",IF(AND(E2978&lt;&gt;"",E2978&lt;&gt;"!!!"),"NEW","")))</f>
        <v> </v>
      </c>
      <c r="G2978" s="24" t="str">
        <f>IF(OR(E2978="",E2978="!!!"),"",IF(OR(J2978=0,AND(J2978=1,K2978=1),AND(J2978=1,I2978="SBJ"),AND(J2978=1,I2978=0)),"?IN_FOCUS",IF(J2978&lt;=2,"?ACTIVATED",IF(J2978&lt;&gt;"","?FAMILIAR",IF(F2978="NEW",IF(ISNA(VLOOKUP(E2978,#REF!,1,FALSE())),"?TYPE_IDENTIFIABLE","?REFERENTIAL"),"_")))))</f>
        <v> </v>
      </c>
      <c r="H2978" s="25" t="str">
        <f>IF(J2978&lt;&gt;1,"",IF(I2978="SBJ","CB","?"))</f>
        <v> </v>
      </c>
      <c r="I2978" s="26" t="str">
        <f>IF(OR(E2978="",E2978="!!!",F2978="NEW"),"",INDEX(B2977:B$2,-1+SUMPRODUCT(MAX(ROW(E2977:E$2)*(E2978=E2977:E$2)))))</f>
        <v> </v>
      </c>
      <c r="J2978" s="26" t="str">
        <f>IF(OR(E2978="",E2978="!!!",F2978="NEW"),"",COUNTBLANK(OFFSET(A$1,,,SUMPRODUCT(MAX(ROW(E$2:E2978)*(E2978=E$2:E2978)))))-COUNTBLANK(OFFSET(A$1,,,SUMPRODUCT(MAX(ROW(E$1:E2977)*(E2=E$1:E2977))))))</f>
        <v> </v>
      </c>
      <c r="K2978" s="26" t="str">
        <f>IF(OR(E2978="",E2978="!!!",F2978="NEW"),"",INDEX(J$1:J2977,SUMPRODUCT(MAX(ROW(E$1:E2977)*(E2978=E$1:E2977)))))</f>
        <v> </v>
      </c>
      <c r="L2978" s="27"/>
    </row>
    <row r="2979" spans="1:12">
      <c r="A2979" s="20"/>
    </row>
    <row r="2980" spans="1:12">
      <c r="A2980" s="20" t="s">
        <v>1910</v>
      </c>
    </row>
    <row r="2981" spans="1:12">
      <c r="A2981" s="20" t="s">
        <v>1911</v>
      </c>
      <c r="E2981" s="22">
        <f>IF(D2981="?OLD","!!!","")</f>
        <v/>
      </c>
      <c r="F2981" s="23" t="str">
        <f>IF(OR(E2981="",E2981="!!!"),"",IF(NOT(ISNA(VLOOKUP(E2981,E$1:E2980,1,FALSE()))),"OLD",IF(AND(E2981&lt;&gt;"",E2981&lt;&gt;"!!!"),"NEW","")))</f>
        <v> </v>
      </c>
      <c r="G2981" s="24" t="str">
        <f>IF(OR(E2981="",E2981="!!!"),"",IF(OR(J2981=0,AND(J2981=1,K2981=1),AND(J2981=1,I2981="SBJ"),AND(J2981=1,I2981=0)),"?IN_FOCUS",IF(J2981&lt;=2,"?ACTIVATED",IF(J2981&lt;&gt;"","?FAMILIAR",IF(F2981="NEW",IF(ISNA(VLOOKUP(E2981,#REF!,1,FALSE())),"?TYPE_IDENTIFIABLE","?REFERENTIAL"),"_")))))</f>
        <v> </v>
      </c>
      <c r="H2981" s="25" t="str">
        <f>IF(J2981&lt;&gt;1,"",IF(I2981="SBJ","CB","?"))</f>
        <v> </v>
      </c>
      <c r="I2981" s="26" t="str">
        <f>IF(OR(E2981="",E2981="!!!",F2981="NEW"),"",INDEX(B2980:B$2,-1+SUMPRODUCT(MAX(ROW(E2980:E$2)*(E2981=E2980:E$2)))))</f>
        <v> </v>
      </c>
      <c r="J2981" s="26" t="str">
        <f>IF(OR(E2981="",E2981="!!!",F2981="NEW"),"",COUNTBLANK(OFFSET(A$1,,,SUMPRODUCT(MAX(ROW(E$2:E2981)*(E2981=E$2:E2981)))))-COUNTBLANK(OFFSET(A$1,,,SUMPRODUCT(MAX(ROW(E$1:E2980)*(E2=E$1:E2980))))))</f>
        <v> </v>
      </c>
      <c r="K2981" s="26" t="str">
        <f>IF(OR(E2981="",E2981="!!!",F2981="NEW"),"",INDEX(J$1:J2980,SUMPRODUCT(MAX(ROW(E$1:E2980)*(E2981=E$1:E2980)))))</f>
        <v> </v>
      </c>
      <c r="L2981" s="27"/>
    </row>
    <row r="2982" spans="1:12">
      <c r="A2982" s="20" t="s">
        <v>1065</v>
      </c>
      <c r="E2982" s="22">
        <f>IF(D2982="?OLD","!!!","")</f>
        <v/>
      </c>
      <c r="F2982" s="23" t="str">
        <f>IF(OR(E2982="",E2982="!!!"),"",IF(NOT(ISNA(VLOOKUP(E2982,E$1:E2981,1,FALSE()))),"OLD",IF(AND(E2982&lt;&gt;"",E2982&lt;&gt;"!!!"),"NEW","")))</f>
        <v> </v>
      </c>
      <c r="G2982" s="24" t="str">
        <f>IF(OR(E2982="",E2982="!!!"),"",IF(OR(J2982=0,AND(J2982=1,K2982=1),AND(J2982=1,I2982="SBJ"),AND(J2982=1,I2982=0)),"?IN_FOCUS",IF(J2982&lt;=2,"?ACTIVATED",IF(J2982&lt;&gt;"","?FAMILIAR",IF(F2982="NEW",IF(ISNA(VLOOKUP(E2982,#REF!,1,FALSE())),"?TYPE_IDENTIFIABLE","?REFERENTIAL"),"_")))))</f>
        <v> </v>
      </c>
      <c r="H2982" s="25" t="str">
        <f>IF(J2982&lt;&gt;1,"",IF(I2982="SBJ","CB","?"))</f>
        <v> </v>
      </c>
      <c r="I2982" s="26" t="str">
        <f>IF(OR(E2982="",E2982="!!!",F2982="NEW"),"",INDEX(B2981:B$2,-1+SUMPRODUCT(MAX(ROW(E2981:E$2)*(E2982=E2981:E$2)))))</f>
        <v> </v>
      </c>
      <c r="J2982" s="26" t="str">
        <f>IF(OR(E2982="",E2982="!!!",F2982="NEW"),"",COUNTBLANK(OFFSET(A$1,,,SUMPRODUCT(MAX(ROW(E$2:E2982)*(E2982=E$2:E2982)))))-COUNTBLANK(OFFSET(A$1,,,SUMPRODUCT(MAX(ROW(E$1:E2981)*(E2=E$1:E2981))))))</f>
        <v> </v>
      </c>
      <c r="K2982" s="26" t="str">
        <f>IF(OR(E2982="",E2982="!!!",F2982="NEW"),"",INDEX(J$1:J2981,SUMPRODUCT(MAX(ROW(E$1:E2981)*(E2982=E$1:E2981)))))</f>
        <v> </v>
      </c>
      <c r="L2982" s="27"/>
    </row>
    <row r="2983" spans="1:12">
      <c r="A2983" s="20" t="s">
        <v>1015</v>
      </c>
      <c r="E2983" s="22">
        <f>IF(D2983="?OLD","!!!","")</f>
        <v/>
      </c>
      <c r="F2983" s="23" t="str">
        <f>IF(OR(E2983="",E2983="!!!"),"",IF(NOT(ISNA(VLOOKUP(E2983,E$1:E2982,1,FALSE()))),"OLD",IF(AND(E2983&lt;&gt;"",E2983&lt;&gt;"!!!"),"NEW","")))</f>
        <v> </v>
      </c>
      <c r="G2983" s="24" t="str">
        <f>IF(OR(E2983="",E2983="!!!"),"",IF(OR(J2983=0,AND(J2983=1,K2983=1),AND(J2983=1,I2983="SBJ"),AND(J2983=1,I2983=0)),"?IN_FOCUS",IF(J2983&lt;=2,"?ACTIVATED",IF(J2983&lt;&gt;"","?FAMILIAR",IF(F2983="NEW",IF(ISNA(VLOOKUP(E2983,#REF!,1,FALSE())),"?TYPE_IDENTIFIABLE","?REFERENTIAL"),"_")))))</f>
        <v> </v>
      </c>
      <c r="H2983" s="25" t="str">
        <f>IF(J2983&lt;&gt;1,"",IF(I2983="SBJ","CB","?"))</f>
        <v> </v>
      </c>
      <c r="I2983" s="26" t="str">
        <f>IF(OR(E2983="",E2983="!!!",F2983="NEW"),"",INDEX(B2982:B$2,-1+SUMPRODUCT(MAX(ROW(E2982:E$2)*(E2983=E2982:E$2)))))</f>
        <v> </v>
      </c>
      <c r="J2983" s="26" t="str">
        <f>IF(OR(E2983="",E2983="!!!",F2983="NEW"),"",COUNTBLANK(OFFSET(A$1,,,SUMPRODUCT(MAX(ROW(E$2:E2983)*(E2983=E$2:E2983)))))-COUNTBLANK(OFFSET(A$1,,,SUMPRODUCT(MAX(ROW(E$1:E2982)*(E2=E$1:E2982))))))</f>
        <v> </v>
      </c>
      <c r="K2983" s="26" t="str">
        <f>IF(OR(E2983="",E2983="!!!",F2983="NEW"),"",INDEX(J$1:J2982,SUMPRODUCT(MAX(ROW(E$1:E2982)*(E2983=E$1:E2982)))))</f>
        <v> </v>
      </c>
      <c r="L2983" s="27"/>
    </row>
    <row r="2984" spans="1:12">
      <c r="A2984" s="20" t="s">
        <v>1912</v>
      </c>
      <c r="B2984" s="21" t="s">
        <v>1119</v>
      </c>
      <c r="C2984" s="21" t="s">
        <v>1017</v>
      </c>
      <c r="D2984" s="21" t="s">
        <v>1007</v>
      </c>
      <c r="E2984" s="22">
        <f>IF(D2984="?OLD","!!!","")</f>
        <v/>
      </c>
      <c r="F2984" s="23" t="str">
        <f>IF(OR(E2984="",E2984="!!!"),"",IF(NOT(ISNA(VLOOKUP(E2984,E$1:E2983,1,FALSE()))),"OLD",IF(AND(E2984&lt;&gt;"",E2984&lt;&gt;"!!!"),"NEW","")))</f>
        <v> </v>
      </c>
      <c r="G2984" s="24" t="str">
        <f>IF(OR(E2984="",E2984="!!!"),"",IF(OR(J2984=0,AND(J2984=1,K2984=1),AND(J2984=1,I2984="SBJ"),AND(J2984=1,I2984=0)),"?IN_FOCUS",IF(J2984&lt;=2,"?ACTIVATED",IF(J2984&lt;&gt;"","?FAMILIAR",IF(F2984="NEW",IF(ISNA(VLOOKUP(E2984,#REF!,1,FALSE())),"?TYPE_IDENTIFIABLE","?REFERENTIAL"),"_")))))</f>
        <v> </v>
      </c>
      <c r="H2984" s="25" t="str">
        <f>IF(J2984&lt;&gt;1,"",IF(I2984="SBJ","CB","?"))</f>
        <v> </v>
      </c>
      <c r="I2984" s="26" t="str">
        <f>IF(OR(E2984="",E2984="!!!",F2984="NEW"),"",INDEX(B2983:B$2,-1+SUMPRODUCT(MAX(ROW(E2983:E$2)*(E2984=E2983:E$2)))))</f>
        <v> </v>
      </c>
      <c r="J2984" s="26" t="str">
        <f>IF(OR(E2984="",E2984="!!!",F2984="NEW"),"",COUNTBLANK(OFFSET(A$1,,,SUMPRODUCT(MAX(ROW(E$2:E2984)*(E2984=E$2:E2984)))))-COUNTBLANK(OFFSET(A$1,,,SUMPRODUCT(MAX(ROW(E$1:E2983)*(E2=E$1:E2983))))))</f>
        <v> </v>
      </c>
      <c r="K2984" s="26" t="str">
        <f>IF(OR(E2984="",E2984="!!!",F2984="NEW"),"",INDEX(J$1:J2983,SUMPRODUCT(MAX(ROW(E$1:E2983)*(E2984=E$1:E2983)))))</f>
        <v> </v>
      </c>
      <c r="L2984" s="27"/>
    </row>
    <row r="2985" spans="1:12">
      <c r="A2985" s="20" t="s">
        <v>1913</v>
      </c>
      <c r="E2985" s="22">
        <f>IF(D2985="?OLD","!!!","")</f>
        <v/>
      </c>
      <c r="F2985" s="23" t="str">
        <f>IF(OR(E2985="",E2985="!!!"),"",IF(NOT(ISNA(VLOOKUP(E2985,E$1:E2984,1,FALSE()))),"OLD",IF(AND(E2985&lt;&gt;"",E2985&lt;&gt;"!!!"),"NEW","")))</f>
        <v> </v>
      </c>
      <c r="G2985" s="24" t="str">
        <f>IF(OR(E2985="",E2985="!!!"),"",IF(OR(J2985=0,AND(J2985=1,K2985=1),AND(J2985=1,I2985="SBJ"),AND(J2985=1,I2985=0)),"?IN_FOCUS",IF(J2985&lt;=2,"?ACTIVATED",IF(J2985&lt;&gt;"","?FAMILIAR",IF(F2985="NEW",IF(ISNA(VLOOKUP(E2985,#REF!,1,FALSE())),"?TYPE_IDENTIFIABLE","?REFERENTIAL"),"_")))))</f>
        <v> </v>
      </c>
      <c r="H2985" s="25" t="str">
        <f>IF(J2985&lt;&gt;1,"",IF(I2985="SBJ","CB","?"))</f>
        <v> </v>
      </c>
      <c r="I2985" s="26" t="str">
        <f>IF(OR(E2985="",E2985="!!!",F2985="NEW"),"",INDEX(B2984:B$2,-1+SUMPRODUCT(MAX(ROW(E2984:E$2)*(E2985=E2984:E$2)))))</f>
        <v> </v>
      </c>
      <c r="J2985" s="26" t="str">
        <f>IF(OR(E2985="",E2985="!!!",F2985="NEW"),"",COUNTBLANK(OFFSET(A$1,,,SUMPRODUCT(MAX(ROW(E$2:E2985)*(E2985=E$2:E2985)))))-COUNTBLANK(OFFSET(A$1,,,SUMPRODUCT(MAX(ROW(E$1:E2984)*(E2=E$1:E2984))))))</f>
        <v> </v>
      </c>
      <c r="K2985" s="26" t="str">
        <f>IF(OR(E2985="",E2985="!!!",F2985="NEW"),"",INDEX(J$1:J2984,SUMPRODUCT(MAX(ROW(E$1:E2984)*(E2985=E$1:E2984)))))</f>
        <v> </v>
      </c>
      <c r="L2985" s="27"/>
    </row>
    <row r="2986" spans="1:12">
      <c r="A2986" s="20" t="s">
        <v>1914</v>
      </c>
      <c r="E2986" s="22">
        <f>IF(D2986="?OLD","!!!","")</f>
        <v/>
      </c>
      <c r="F2986" s="23" t="str">
        <f>IF(OR(E2986="",E2986="!!!"),"",IF(NOT(ISNA(VLOOKUP(E2986,E$1:E2985,1,FALSE()))),"OLD",IF(AND(E2986&lt;&gt;"",E2986&lt;&gt;"!!!"),"NEW","")))</f>
        <v> </v>
      </c>
      <c r="G2986" s="24" t="str">
        <f>IF(OR(E2986="",E2986="!!!"),"",IF(OR(J2986=0,AND(J2986=1,K2986=1),AND(J2986=1,I2986="SBJ"),AND(J2986=1,I2986=0)),"?IN_FOCUS",IF(J2986&lt;=2,"?ACTIVATED",IF(J2986&lt;&gt;"","?FAMILIAR",IF(F2986="NEW",IF(ISNA(VLOOKUP(E2986,#REF!,1,FALSE())),"?TYPE_IDENTIFIABLE","?REFERENTIAL"),"_")))))</f>
        <v> </v>
      </c>
      <c r="H2986" s="25" t="str">
        <f>IF(J2986&lt;&gt;1,"",IF(I2986="SBJ","CB","?"))</f>
        <v> </v>
      </c>
      <c r="I2986" s="26" t="str">
        <f>IF(OR(E2986="",E2986="!!!",F2986="NEW"),"",INDEX(B2985:B$2,-1+SUMPRODUCT(MAX(ROW(E2985:E$2)*(E2986=E2985:E$2)))))</f>
        <v> </v>
      </c>
      <c r="J2986" s="26" t="str">
        <f>IF(OR(E2986="",E2986="!!!",F2986="NEW"),"",COUNTBLANK(OFFSET(A$1,,,SUMPRODUCT(MAX(ROW(E$2:E2986)*(E2986=E$2:E2986)))))-COUNTBLANK(OFFSET(A$1,,,SUMPRODUCT(MAX(ROW(E$1:E2985)*(E2=E$1:E2985))))))</f>
        <v> </v>
      </c>
      <c r="K2986" s="26" t="str">
        <f>IF(OR(E2986="",E2986="!!!",F2986="NEW"),"",INDEX(J$1:J2985,SUMPRODUCT(MAX(ROW(E$1:E2985)*(E2986=E$1:E2985)))))</f>
        <v> </v>
      </c>
      <c r="L2986" s="27"/>
    </row>
    <row r="2987" spans="1:12">
      <c r="A2987" s="20" t="s">
        <v>1030</v>
      </c>
      <c r="E2987" s="22">
        <f>IF(D2987="?OLD","!!!","")</f>
        <v/>
      </c>
      <c r="F2987" s="23" t="str">
        <f>IF(OR(E2987="",E2987="!!!"),"",IF(NOT(ISNA(VLOOKUP(E2987,E$1:E2986,1,FALSE()))),"OLD",IF(AND(E2987&lt;&gt;"",E2987&lt;&gt;"!!!"),"NEW","")))</f>
        <v> </v>
      </c>
      <c r="G2987" s="24" t="str">
        <f>IF(OR(E2987="",E2987="!!!"),"",IF(OR(J2987=0,AND(J2987=1,K2987=1),AND(J2987=1,I2987="SBJ"),AND(J2987=1,I2987=0)),"?IN_FOCUS",IF(J2987&lt;=2,"?ACTIVATED",IF(J2987&lt;&gt;"","?FAMILIAR",IF(F2987="NEW",IF(ISNA(VLOOKUP(E2987,#REF!,1,FALSE())),"?TYPE_IDENTIFIABLE","?REFERENTIAL"),"_")))))</f>
        <v> </v>
      </c>
      <c r="H2987" s="25" t="str">
        <f>IF(J2987&lt;&gt;1,"",IF(I2987="SBJ","CB","?"))</f>
        <v> </v>
      </c>
      <c r="I2987" s="26" t="str">
        <f>IF(OR(E2987="",E2987="!!!",F2987="NEW"),"",INDEX(B2986:B$2,-1+SUMPRODUCT(MAX(ROW(E2986:E$2)*(E2987=E2986:E$2)))))</f>
        <v> </v>
      </c>
      <c r="J2987" s="26" t="str">
        <f>IF(OR(E2987="",E2987="!!!",F2987="NEW"),"",COUNTBLANK(OFFSET(A$1,,,SUMPRODUCT(MAX(ROW(E$2:E2987)*(E2987=E$2:E2987)))))-COUNTBLANK(OFFSET(A$1,,,SUMPRODUCT(MAX(ROW(E$1:E2986)*(E2=E$1:E2986))))))</f>
        <v> </v>
      </c>
      <c r="K2987" s="26" t="str">
        <f>IF(OR(E2987="",E2987="!!!",F2987="NEW"),"",INDEX(J$1:J2986,SUMPRODUCT(MAX(ROW(E$1:E2986)*(E2987=E$1:E2986)))))</f>
        <v> </v>
      </c>
      <c r="L2987" s="27"/>
    </row>
    <row r="2988" spans="1:12">
      <c r="A2988" s="20" t="s">
        <v>1915</v>
      </c>
      <c r="B2988" s="21" t="s">
        <v>1029</v>
      </c>
      <c r="C2988" s="21" t="s">
        <v>1048</v>
      </c>
      <c r="E2988" s="22">
        <f>IF(D2988="?OLD","!!!","")</f>
        <v/>
      </c>
      <c r="F2988" s="23" t="str">
        <f>IF(OR(E2988="",E2988="!!!"),"",IF(NOT(ISNA(VLOOKUP(E2988,E$1:E2987,1,FALSE()))),"OLD",IF(AND(E2988&lt;&gt;"",E2988&lt;&gt;"!!!"),"NEW","")))</f>
        <v> </v>
      </c>
      <c r="G2988" s="24" t="str">
        <f>IF(OR(E2988="",E2988="!!!"),"",IF(OR(J2988=0,AND(J2988=1,K2988=1),AND(J2988=1,I2988="SBJ"),AND(J2988=1,I2988=0)),"?IN_FOCUS",IF(J2988&lt;=2,"?ACTIVATED",IF(J2988&lt;&gt;"","?FAMILIAR",IF(F2988="NEW",IF(ISNA(VLOOKUP(E2988,#REF!,1,FALSE())),"?TYPE_IDENTIFIABLE","?REFERENTIAL"),"_")))))</f>
        <v> </v>
      </c>
      <c r="H2988" s="25" t="str">
        <f>IF(J2988&lt;&gt;1,"",IF(I2988="SBJ","CB","?"))</f>
        <v> </v>
      </c>
      <c r="I2988" s="26" t="str">
        <f>IF(OR(E2988="",E2988="!!!",F2988="NEW"),"",INDEX(B2987:B$2,-1+SUMPRODUCT(MAX(ROW(E2987:E$2)*(E2988=E2987:E$2)))))</f>
        <v> </v>
      </c>
      <c r="J2988" s="26" t="str">
        <f>IF(OR(E2988="",E2988="!!!",F2988="NEW"),"",COUNTBLANK(OFFSET(A$1,,,SUMPRODUCT(MAX(ROW(E$2:E2988)*(E2988=E$2:E2988)))))-COUNTBLANK(OFFSET(A$1,,,SUMPRODUCT(MAX(ROW(E$1:E2987)*(E2=E$1:E2987))))))</f>
        <v> </v>
      </c>
      <c r="K2988" s="26" t="str">
        <f>IF(OR(E2988="",E2988="!!!",F2988="NEW"),"",INDEX(J$1:J2987,SUMPRODUCT(MAX(ROW(E$1:E2987)*(E2988=E$1:E2987)))))</f>
        <v> </v>
      </c>
      <c r="L2988" s="27"/>
    </row>
    <row r="2989" spans="1:12">
      <c r="A2989" s="20" t="s">
        <v>1916</v>
      </c>
      <c r="E2989" s="22">
        <f>IF(D2989="?OLD","!!!","")</f>
        <v/>
      </c>
      <c r="F2989" s="23" t="str">
        <f>IF(OR(E2989="",E2989="!!!"),"",IF(NOT(ISNA(VLOOKUP(E2989,E$1:E2988,1,FALSE()))),"OLD",IF(AND(E2989&lt;&gt;"",E2989&lt;&gt;"!!!"),"NEW","")))</f>
        <v> </v>
      </c>
      <c r="G2989" s="24" t="str">
        <f>IF(OR(E2989="",E2989="!!!"),"",IF(OR(J2989=0,AND(J2989=1,K2989=1),AND(J2989=1,I2989="SBJ"),AND(J2989=1,I2989=0)),"?IN_FOCUS",IF(J2989&lt;=2,"?ACTIVATED",IF(J2989&lt;&gt;"","?FAMILIAR",IF(F2989="NEW",IF(ISNA(VLOOKUP(E2989,#REF!,1,FALSE())),"?TYPE_IDENTIFIABLE","?REFERENTIAL"),"_")))))</f>
        <v> </v>
      </c>
      <c r="H2989" s="25" t="str">
        <f>IF(J2989&lt;&gt;1,"",IF(I2989="SBJ","CB","?"))</f>
        <v> </v>
      </c>
      <c r="I2989" s="26" t="str">
        <f>IF(OR(E2989="",E2989="!!!",F2989="NEW"),"",INDEX(B2988:B$2,-1+SUMPRODUCT(MAX(ROW(E2988:E$2)*(E2989=E2988:E$2)))))</f>
        <v> </v>
      </c>
      <c r="J2989" s="26" t="str">
        <f>IF(OR(E2989="",E2989="!!!",F2989="NEW"),"",COUNTBLANK(OFFSET(A$1,,,SUMPRODUCT(MAX(ROW(E$2:E2989)*(E2989=E$2:E2989)))))-COUNTBLANK(OFFSET(A$1,,,SUMPRODUCT(MAX(ROW(E$1:E2988)*(E2=E$1:E2988))))))</f>
        <v> </v>
      </c>
      <c r="K2989" s="26" t="str">
        <f>IF(OR(E2989="",E2989="!!!",F2989="NEW"),"",INDEX(J$1:J2988,SUMPRODUCT(MAX(ROW(E$1:E2988)*(E2989=E$1:E2988)))))</f>
        <v> </v>
      </c>
      <c r="L2989" s="27"/>
    </row>
    <row r="2990" spans="1:12">
      <c r="A2990" s="20" t="s">
        <v>1684</v>
      </c>
      <c r="E2990" s="22">
        <f>IF(D2990="?OLD","!!!","")</f>
        <v/>
      </c>
      <c r="F2990" s="23" t="str">
        <f>IF(OR(E2990="",E2990="!!!"),"",IF(NOT(ISNA(VLOOKUP(E2990,E$1:E2989,1,FALSE()))),"OLD",IF(AND(E2990&lt;&gt;"",E2990&lt;&gt;"!!!"),"NEW","")))</f>
        <v> </v>
      </c>
      <c r="G2990" s="24" t="str">
        <f>IF(OR(E2990="",E2990="!!!"),"",IF(OR(J2990=0,AND(J2990=1,K2990=1),AND(J2990=1,I2990="SBJ"),AND(J2990=1,I2990=0)),"?IN_FOCUS",IF(J2990&lt;=2,"?ACTIVATED",IF(J2990&lt;&gt;"","?FAMILIAR",IF(F2990="NEW",IF(ISNA(VLOOKUP(E2990,#REF!,1,FALSE())),"?TYPE_IDENTIFIABLE","?REFERENTIAL"),"_")))))</f>
        <v> </v>
      </c>
      <c r="H2990" s="25" t="str">
        <f>IF(J2990&lt;&gt;1,"",IF(I2990="SBJ","CB","?"))</f>
        <v> </v>
      </c>
      <c r="I2990" s="26" t="str">
        <f>IF(OR(E2990="",E2990="!!!",F2990="NEW"),"",INDEX(B2989:B$2,-1+SUMPRODUCT(MAX(ROW(E2989:E$2)*(E2990=E2989:E$2)))))</f>
        <v> </v>
      </c>
      <c r="J2990" s="26" t="str">
        <f>IF(OR(E2990="",E2990="!!!",F2990="NEW"),"",COUNTBLANK(OFFSET(A$1,,,SUMPRODUCT(MAX(ROW(E$2:E2990)*(E2990=E$2:E2990)))))-COUNTBLANK(OFFSET(A$1,,,SUMPRODUCT(MAX(ROW(E$1:E2989)*(E2=E$1:E2989))))))</f>
        <v> </v>
      </c>
      <c r="K2990" s="26" t="str">
        <f>IF(OR(E2990="",E2990="!!!",F2990="NEW"),"",INDEX(J$1:J2989,SUMPRODUCT(MAX(ROW(E$1:E2989)*(E2990=E$1:E2989)))))</f>
        <v> </v>
      </c>
      <c r="L2990" s="27"/>
    </row>
    <row r="2991" spans="1:12">
      <c r="A2991" s="20" t="s">
        <v>1917</v>
      </c>
      <c r="E2991" s="22">
        <f>IF(D2991="?OLD","!!!","")</f>
        <v/>
      </c>
      <c r="F2991" s="23" t="str">
        <f>IF(OR(E2991="",E2991="!!!"),"",IF(NOT(ISNA(VLOOKUP(E2991,E$1:E2990,1,FALSE()))),"OLD",IF(AND(E2991&lt;&gt;"",E2991&lt;&gt;"!!!"),"NEW","")))</f>
        <v> </v>
      </c>
      <c r="G2991" s="24" t="str">
        <f>IF(OR(E2991="",E2991="!!!"),"",IF(OR(J2991=0,AND(J2991=1,K2991=1),AND(J2991=1,I2991="SBJ"),AND(J2991=1,I2991=0)),"?IN_FOCUS",IF(J2991&lt;=2,"?ACTIVATED",IF(J2991&lt;&gt;"","?FAMILIAR",IF(F2991="NEW",IF(ISNA(VLOOKUP(E2991,#REF!,1,FALSE())),"?TYPE_IDENTIFIABLE","?REFERENTIAL"),"_")))))</f>
        <v> </v>
      </c>
      <c r="H2991" s="25" t="str">
        <f>IF(J2991&lt;&gt;1,"",IF(I2991="SBJ","CB","?"))</f>
        <v> </v>
      </c>
      <c r="I2991" s="26" t="str">
        <f>IF(OR(E2991="",E2991="!!!",F2991="NEW"),"",INDEX(B2990:B$2,-1+SUMPRODUCT(MAX(ROW(E2990:E$2)*(E2991=E2990:E$2)))))</f>
        <v> </v>
      </c>
      <c r="J2991" s="26" t="str">
        <f>IF(OR(E2991="",E2991="!!!",F2991="NEW"),"",COUNTBLANK(OFFSET(A$1,,,SUMPRODUCT(MAX(ROW(E$2:E2991)*(E2991=E$2:E2991)))))-COUNTBLANK(OFFSET(A$1,,,SUMPRODUCT(MAX(ROW(E$1:E2990)*(E2=E$1:E2990))))))</f>
        <v> </v>
      </c>
      <c r="K2991" s="26" t="str">
        <f>IF(OR(E2991="",E2991="!!!",F2991="NEW"),"",INDEX(J$1:J2990,SUMPRODUCT(MAX(ROW(E$1:E2990)*(E2991=E$1:E2990)))))</f>
        <v> </v>
      </c>
      <c r="L2991" s="27"/>
    </row>
    <row r="2992" spans="1:12">
      <c r="A2992" s="20" t="s">
        <v>1167</v>
      </c>
      <c r="B2992" s="21" t="s">
        <v>1033</v>
      </c>
      <c r="C2992" s="21" t="s">
        <v>1013</v>
      </c>
      <c r="D2992" s="21" t="s">
        <v>1007</v>
      </c>
      <c r="E2992" s="22">
        <f>IF(D2992="?OLD","!!!","")</f>
        <v/>
      </c>
      <c r="F2992" s="23" t="str">
        <f>IF(OR(E2992="",E2992="!!!"),"",IF(NOT(ISNA(VLOOKUP(E2992,E$1:E2991,1,FALSE()))),"OLD",IF(AND(E2992&lt;&gt;"",E2992&lt;&gt;"!!!"),"NEW","")))</f>
        <v> </v>
      </c>
      <c r="G2992" s="24" t="str">
        <f>IF(OR(E2992="",E2992="!!!"),"",IF(OR(J2992=0,AND(J2992=1,K2992=1),AND(J2992=1,I2992="SBJ"),AND(J2992=1,I2992=0)),"?IN_FOCUS",IF(J2992&lt;=2,"?ACTIVATED",IF(J2992&lt;&gt;"","?FAMILIAR",IF(F2992="NEW",IF(ISNA(VLOOKUP(E2992,#REF!,1,FALSE())),"?TYPE_IDENTIFIABLE","?REFERENTIAL"),"_")))))</f>
        <v> </v>
      </c>
      <c r="H2992" s="25" t="str">
        <f>IF(J2992&lt;&gt;1,"",IF(I2992="SBJ","CB","?"))</f>
        <v> </v>
      </c>
      <c r="I2992" s="26" t="str">
        <f>IF(OR(E2992="",E2992="!!!",F2992="NEW"),"",INDEX(B2991:B$2,-1+SUMPRODUCT(MAX(ROW(E2991:E$2)*(E2992=E2991:E$2)))))</f>
        <v> </v>
      </c>
      <c r="J2992" s="26" t="str">
        <f>IF(OR(E2992="",E2992="!!!",F2992="NEW"),"",COUNTBLANK(OFFSET(A$1,,,SUMPRODUCT(MAX(ROW(E$2:E2992)*(E2992=E$2:E2992)))))-COUNTBLANK(OFFSET(A$1,,,SUMPRODUCT(MAX(ROW(E$1:E2991)*(E2=E$1:E2991))))))</f>
        <v> </v>
      </c>
      <c r="K2992" s="26" t="str">
        <f>IF(OR(E2992="",E2992="!!!",F2992="NEW"),"",INDEX(J$1:J2991,SUMPRODUCT(MAX(ROW(E$1:E2991)*(E2992=E$1:E2991)))))</f>
        <v> </v>
      </c>
      <c r="L2992" s="27"/>
    </row>
    <row r="2993" spans="1:12">
      <c r="A2993" s="20" t="s">
        <v>1014</v>
      </c>
      <c r="E2993" s="22">
        <f>IF(D2993="?OLD","!!!","")</f>
        <v/>
      </c>
      <c r="F2993" s="23" t="str">
        <f>IF(OR(E2993="",E2993="!!!"),"",IF(NOT(ISNA(VLOOKUP(E2993,E$1:E2992,1,FALSE()))),"OLD",IF(AND(E2993&lt;&gt;"",E2993&lt;&gt;"!!!"),"NEW","")))</f>
        <v> </v>
      </c>
      <c r="G2993" s="24" t="str">
        <f>IF(OR(E2993="",E2993="!!!"),"",IF(OR(J2993=0,AND(J2993=1,K2993=1),AND(J2993=1,I2993="SBJ"),AND(J2993=1,I2993=0)),"?IN_FOCUS",IF(J2993&lt;=2,"?ACTIVATED",IF(J2993&lt;&gt;"","?FAMILIAR",IF(F2993="NEW",IF(ISNA(VLOOKUP(E2993,#REF!,1,FALSE())),"?TYPE_IDENTIFIABLE","?REFERENTIAL"),"_")))))</f>
        <v> </v>
      </c>
      <c r="H2993" s="25" t="str">
        <f>IF(J2993&lt;&gt;1,"",IF(I2993="SBJ","CB","?"))</f>
        <v> </v>
      </c>
      <c r="I2993" s="26" t="str">
        <f>IF(OR(E2993="",E2993="!!!",F2993="NEW"),"",INDEX(B2992:B$2,-1+SUMPRODUCT(MAX(ROW(E2992:E$2)*(E2993=E2992:E$2)))))</f>
        <v> </v>
      </c>
      <c r="J2993" s="26" t="str">
        <f>IF(OR(E2993="",E2993="!!!",F2993="NEW"),"",COUNTBLANK(OFFSET(A$1,,,SUMPRODUCT(MAX(ROW(E$2:E2993)*(E2993=E$2:E2993)))))-COUNTBLANK(OFFSET(A$1,,,SUMPRODUCT(MAX(ROW(E$1:E2992)*(E2=E$1:E2992))))))</f>
        <v> </v>
      </c>
      <c r="K2993" s="26" t="str">
        <f>IF(OR(E2993="",E2993="!!!",F2993="NEW"),"",INDEX(J$1:J2992,SUMPRODUCT(MAX(ROW(E$1:E2992)*(E2993=E$1:E2992)))))</f>
        <v> </v>
      </c>
      <c r="L2993" s="27"/>
    </row>
    <row r="2994" spans="1:12">
      <c r="A2994" s="20" t="s">
        <v>1918</v>
      </c>
      <c r="B2994" s="21" t="s">
        <v>1035</v>
      </c>
      <c r="C2994" s="21" t="s">
        <v>1048</v>
      </c>
      <c r="E2994" s="22">
        <f>IF(D2994="?OLD","!!!","")</f>
        <v/>
      </c>
      <c r="F2994" s="23" t="str">
        <f>IF(OR(E2994="",E2994="!!!"),"",IF(NOT(ISNA(VLOOKUP(E2994,E$1:E2993,1,FALSE()))),"OLD",IF(AND(E2994&lt;&gt;"",E2994&lt;&gt;"!!!"),"NEW","")))</f>
        <v> </v>
      </c>
      <c r="G2994" s="24" t="str">
        <f>IF(OR(E2994="",E2994="!!!"),"",IF(OR(J2994=0,AND(J2994=1,K2994=1),AND(J2994=1,I2994="SBJ"),AND(J2994=1,I2994=0)),"?IN_FOCUS",IF(J2994&lt;=2,"?ACTIVATED",IF(J2994&lt;&gt;"","?FAMILIAR",IF(F2994="NEW",IF(ISNA(VLOOKUP(E2994,#REF!,1,FALSE())),"?TYPE_IDENTIFIABLE","?REFERENTIAL"),"_")))))</f>
        <v> </v>
      </c>
      <c r="H2994" s="25" t="str">
        <f>IF(J2994&lt;&gt;1,"",IF(I2994="SBJ","CB","?"))</f>
        <v> </v>
      </c>
      <c r="I2994" s="26" t="str">
        <f>IF(OR(E2994="",E2994="!!!",F2994="NEW"),"",INDEX(B2993:B$2,-1+SUMPRODUCT(MAX(ROW(E2993:E$2)*(E2994=E2993:E$2)))))</f>
        <v> </v>
      </c>
      <c r="J2994" s="26" t="str">
        <f>IF(OR(E2994="",E2994="!!!",F2994="NEW"),"",COUNTBLANK(OFFSET(A$1,,,SUMPRODUCT(MAX(ROW(E$2:E2994)*(E2994=E$2:E2994)))))-COUNTBLANK(OFFSET(A$1,,,SUMPRODUCT(MAX(ROW(E$1:E2993)*(E2=E$1:E2993))))))</f>
        <v> </v>
      </c>
      <c r="K2994" s="26" t="str">
        <f>IF(OR(E2994="",E2994="!!!",F2994="NEW"),"",INDEX(J$1:J2993,SUMPRODUCT(MAX(ROW(E$1:E2993)*(E2994=E$1:E2993)))))</f>
        <v> </v>
      </c>
      <c r="L2994" s="27"/>
    </row>
    <row r="2995" spans="1:12">
      <c r="A2995" s="20" t="s">
        <v>1919</v>
      </c>
      <c r="E2995" s="22">
        <f>IF(D2995="?OLD","!!!","")</f>
        <v/>
      </c>
      <c r="F2995" s="23" t="str">
        <f>IF(OR(E2995="",E2995="!!!"),"",IF(NOT(ISNA(VLOOKUP(E2995,E$1:E2994,1,FALSE()))),"OLD",IF(AND(E2995&lt;&gt;"",E2995&lt;&gt;"!!!"),"NEW","")))</f>
        <v> </v>
      </c>
      <c r="G2995" s="24" t="str">
        <f>IF(OR(E2995="",E2995="!!!"),"",IF(OR(J2995=0,AND(J2995=1,K2995=1),AND(J2995=1,I2995="SBJ"),AND(J2995=1,I2995=0)),"?IN_FOCUS",IF(J2995&lt;=2,"?ACTIVATED",IF(J2995&lt;&gt;"","?FAMILIAR",IF(F2995="NEW",IF(ISNA(VLOOKUP(E2995,#REF!,1,FALSE())),"?TYPE_IDENTIFIABLE","?REFERENTIAL"),"_")))))</f>
        <v> </v>
      </c>
      <c r="H2995" s="25" t="str">
        <f>IF(J2995&lt;&gt;1,"",IF(I2995="SBJ","CB","?"))</f>
        <v> </v>
      </c>
      <c r="I2995" s="26" t="str">
        <f>IF(OR(E2995="",E2995="!!!",F2995="NEW"),"",INDEX(B2994:B$2,-1+SUMPRODUCT(MAX(ROW(E2994:E$2)*(E2995=E2994:E$2)))))</f>
        <v> </v>
      </c>
      <c r="J2995" s="26" t="str">
        <f>IF(OR(E2995="",E2995="!!!",F2995="NEW"),"",COUNTBLANK(OFFSET(A$1,,,SUMPRODUCT(MAX(ROW(E$2:E2995)*(E2995=E$2:E2995)))))-COUNTBLANK(OFFSET(A$1,,,SUMPRODUCT(MAX(ROW(E$1:E2994)*(E2=E$1:E2994))))))</f>
        <v> </v>
      </c>
      <c r="K2995" s="26" t="str">
        <f>IF(OR(E2995="",E2995="!!!",F2995="NEW"),"",INDEX(J$1:J2994,SUMPRODUCT(MAX(ROW(E$1:E2994)*(E2995=E$1:E2994)))))</f>
        <v> </v>
      </c>
      <c r="L2995" s="27"/>
    </row>
    <row r="2996" spans="1:12">
      <c r="A2996" s="20" t="s">
        <v>1299</v>
      </c>
      <c r="E2996" s="22">
        <f>IF(D2996="?OLD","!!!","")</f>
        <v/>
      </c>
      <c r="F2996" s="23" t="str">
        <f>IF(OR(E2996="",E2996="!!!"),"",IF(NOT(ISNA(VLOOKUP(E2996,E$1:E2995,1,FALSE()))),"OLD",IF(AND(E2996&lt;&gt;"",E2996&lt;&gt;"!!!"),"NEW","")))</f>
        <v> </v>
      </c>
      <c r="G2996" s="24" t="str">
        <f>IF(OR(E2996="",E2996="!!!"),"",IF(OR(J2996=0,AND(J2996=1,K2996=1),AND(J2996=1,I2996="SBJ"),AND(J2996=1,I2996=0)),"?IN_FOCUS",IF(J2996&lt;=2,"?ACTIVATED",IF(J2996&lt;&gt;"","?FAMILIAR",IF(F2996="NEW",IF(ISNA(VLOOKUP(E2996,#REF!,1,FALSE())),"?TYPE_IDENTIFIABLE","?REFERENTIAL"),"_")))))</f>
        <v> </v>
      </c>
      <c r="H2996" s="25" t="str">
        <f>IF(J2996&lt;&gt;1,"",IF(I2996="SBJ","CB","?"))</f>
        <v> </v>
      </c>
      <c r="I2996" s="26" t="str">
        <f>IF(OR(E2996="",E2996="!!!",F2996="NEW"),"",INDEX(B2995:B$2,-1+SUMPRODUCT(MAX(ROW(E2995:E$2)*(E2996=E2995:E$2)))))</f>
        <v> </v>
      </c>
      <c r="J2996" s="26" t="str">
        <f>IF(OR(E2996="",E2996="!!!",F2996="NEW"),"",COUNTBLANK(OFFSET(A$1,,,SUMPRODUCT(MAX(ROW(E$2:E2996)*(E2996=E$2:E2996)))))-COUNTBLANK(OFFSET(A$1,,,SUMPRODUCT(MAX(ROW(E$1:E2995)*(E2=E$1:E2995))))))</f>
        <v> </v>
      </c>
      <c r="K2996" s="26" t="str">
        <f>IF(OR(E2996="",E2996="!!!",F2996="NEW"),"",INDEX(J$1:J2995,SUMPRODUCT(MAX(ROW(E$1:E2995)*(E2996=E$1:E2995)))))</f>
        <v> </v>
      </c>
      <c r="L2996" s="27"/>
    </row>
    <row r="2997" spans="1:12">
      <c r="A2997" s="20" t="s">
        <v>1920</v>
      </c>
      <c r="E2997" s="22">
        <f>IF(D2997="?OLD","!!!","")</f>
        <v/>
      </c>
      <c r="F2997" s="23" t="str">
        <f>IF(OR(E2997="",E2997="!!!"),"",IF(NOT(ISNA(VLOOKUP(E2997,E$1:E2996,1,FALSE()))),"OLD",IF(AND(E2997&lt;&gt;"",E2997&lt;&gt;"!!!"),"NEW","")))</f>
        <v> </v>
      </c>
      <c r="G2997" s="24" t="str">
        <f>IF(OR(E2997="",E2997="!!!"),"",IF(OR(J2997=0,AND(J2997=1,K2997=1),AND(J2997=1,I2997="SBJ"),AND(J2997=1,I2997=0)),"?IN_FOCUS",IF(J2997&lt;=2,"?ACTIVATED",IF(J2997&lt;&gt;"","?FAMILIAR",IF(F2997="NEW",IF(ISNA(VLOOKUP(E2997,#REF!,1,FALSE())),"?TYPE_IDENTIFIABLE","?REFERENTIAL"),"_")))))</f>
        <v> </v>
      </c>
      <c r="H2997" s="25" t="str">
        <f>IF(J2997&lt;&gt;1,"",IF(I2997="SBJ","CB","?"))</f>
        <v> </v>
      </c>
      <c r="I2997" s="26" t="str">
        <f>IF(OR(E2997="",E2997="!!!",F2997="NEW"),"",INDEX(B2996:B$2,-1+SUMPRODUCT(MAX(ROW(E2996:E$2)*(E2997=E2996:E$2)))))</f>
        <v> </v>
      </c>
      <c r="J2997" s="26" t="str">
        <f>IF(OR(E2997="",E2997="!!!",F2997="NEW"),"",COUNTBLANK(OFFSET(A$1,,,SUMPRODUCT(MAX(ROW(E$2:E2997)*(E2997=E$2:E2997)))))-COUNTBLANK(OFFSET(A$1,,,SUMPRODUCT(MAX(ROW(E$1:E2996)*(E2=E$1:E2996))))))</f>
        <v> </v>
      </c>
      <c r="K2997" s="26" t="str">
        <f>IF(OR(E2997="",E2997="!!!",F2997="NEW"),"",INDEX(J$1:J2996,SUMPRODUCT(MAX(ROW(E$1:E2996)*(E2997=E$1:E2996)))))</f>
        <v> </v>
      </c>
      <c r="L2997" s="27"/>
    </row>
    <row r="2998" spans="1:12">
      <c r="A2998" s="20" t="s">
        <v>1065</v>
      </c>
      <c r="E2998" s="22">
        <f>IF(D2998="?OLD","!!!","")</f>
        <v/>
      </c>
      <c r="F2998" s="23" t="str">
        <f>IF(OR(E2998="",E2998="!!!"),"",IF(NOT(ISNA(VLOOKUP(E2998,E$1:E2997,1,FALSE()))),"OLD",IF(AND(E2998&lt;&gt;"",E2998&lt;&gt;"!!!"),"NEW","")))</f>
        <v> </v>
      </c>
      <c r="G2998" s="24" t="str">
        <f>IF(OR(E2998="",E2998="!!!"),"",IF(OR(J2998=0,AND(J2998=1,K2998=1),AND(J2998=1,I2998="SBJ"),AND(J2998=1,I2998=0)),"?IN_FOCUS",IF(J2998&lt;=2,"?ACTIVATED",IF(J2998&lt;&gt;"","?FAMILIAR",IF(F2998="NEW",IF(ISNA(VLOOKUP(E2998,#REF!,1,FALSE())),"?TYPE_IDENTIFIABLE","?REFERENTIAL"),"_")))))</f>
        <v> </v>
      </c>
      <c r="H2998" s="25" t="str">
        <f>IF(J2998&lt;&gt;1,"",IF(I2998="SBJ","CB","?"))</f>
        <v> </v>
      </c>
      <c r="I2998" s="26" t="str">
        <f>IF(OR(E2998="",E2998="!!!",F2998="NEW"),"",INDEX(B2997:B$2,-1+SUMPRODUCT(MAX(ROW(E2997:E$2)*(E2998=E2997:E$2)))))</f>
        <v> </v>
      </c>
      <c r="J2998" s="26" t="str">
        <f>IF(OR(E2998="",E2998="!!!",F2998="NEW"),"",COUNTBLANK(OFFSET(A$1,,,SUMPRODUCT(MAX(ROW(E$2:E2998)*(E2998=E$2:E2998)))))-COUNTBLANK(OFFSET(A$1,,,SUMPRODUCT(MAX(ROW(E$1:E2997)*(E2=E$1:E2997))))))</f>
        <v> </v>
      </c>
      <c r="K2998" s="26" t="str">
        <f>IF(OR(E2998="",E2998="!!!",F2998="NEW"),"",INDEX(J$1:J2997,SUMPRODUCT(MAX(ROW(E$1:E2997)*(E2998=E$1:E2997)))))</f>
        <v> </v>
      </c>
      <c r="L2998" s="27"/>
    </row>
    <row r="2999" spans="1:12">
      <c r="A2999" s="20" t="s">
        <v>1347</v>
      </c>
      <c r="E2999" s="22">
        <f>IF(D2999="?OLD","!!!","")</f>
        <v/>
      </c>
      <c r="F2999" s="23" t="str">
        <f>IF(OR(E2999="",E2999="!!!"),"",IF(NOT(ISNA(VLOOKUP(E2999,E$1:E2998,1,FALSE()))),"OLD",IF(AND(E2999&lt;&gt;"",E2999&lt;&gt;"!!!"),"NEW","")))</f>
        <v> </v>
      </c>
      <c r="G2999" s="24" t="str">
        <f>IF(OR(E2999="",E2999="!!!"),"",IF(OR(J2999=0,AND(J2999=1,K2999=1),AND(J2999=1,I2999="SBJ"),AND(J2999=1,I2999=0)),"?IN_FOCUS",IF(J2999&lt;=2,"?ACTIVATED",IF(J2999&lt;&gt;"","?FAMILIAR",IF(F2999="NEW",IF(ISNA(VLOOKUP(E2999,#REF!,1,FALSE())),"?TYPE_IDENTIFIABLE","?REFERENTIAL"),"_")))))</f>
        <v> </v>
      </c>
      <c r="H2999" s="25" t="str">
        <f>IF(J2999&lt;&gt;1,"",IF(I2999="SBJ","CB","?"))</f>
        <v> </v>
      </c>
      <c r="I2999" s="26" t="str">
        <f>IF(OR(E2999="",E2999="!!!",F2999="NEW"),"",INDEX(B2998:B$2,-1+SUMPRODUCT(MAX(ROW(E2998:E$2)*(E2999=E2998:E$2)))))</f>
        <v> </v>
      </c>
      <c r="J2999" s="26" t="str">
        <f>IF(OR(E2999="",E2999="!!!",F2999="NEW"),"",COUNTBLANK(OFFSET(A$1,,,SUMPRODUCT(MAX(ROW(E$2:E2999)*(E2999=E$2:E2999)))))-COUNTBLANK(OFFSET(A$1,,,SUMPRODUCT(MAX(ROW(E$1:E2998)*(E2=E$1:E2998))))))</f>
        <v> </v>
      </c>
      <c r="K2999" s="26" t="str">
        <f>IF(OR(E2999="",E2999="!!!",F2999="NEW"),"",INDEX(J$1:J2998,SUMPRODUCT(MAX(ROW(E$1:E2998)*(E2999=E$1:E2998)))))</f>
        <v> </v>
      </c>
      <c r="L2999" s="27"/>
    </row>
    <row r="3000" spans="1:12">
      <c r="A3000" s="20" t="s">
        <v>1020</v>
      </c>
      <c r="E3000" s="22">
        <f>IF(D3000="?OLD","!!!","")</f>
        <v/>
      </c>
      <c r="F3000" s="23" t="str">
        <f>IF(OR(E3000="",E3000="!!!"),"",IF(NOT(ISNA(VLOOKUP(E3000,E$1:E2999,1,FALSE()))),"OLD",IF(AND(E3000&lt;&gt;"",E3000&lt;&gt;"!!!"),"NEW","")))</f>
        <v> </v>
      </c>
      <c r="G3000" s="24" t="str">
        <f>IF(OR(E3000="",E3000="!!!"),"",IF(OR(J3000=0,AND(J3000=1,K3000=1),AND(J3000=1,I3000="SBJ"),AND(J3000=1,I3000=0)),"?IN_FOCUS",IF(J3000&lt;=2,"?ACTIVATED",IF(J3000&lt;&gt;"","?FAMILIAR",IF(F3000="NEW",IF(ISNA(VLOOKUP(E3000,#REF!,1,FALSE())),"?TYPE_IDENTIFIABLE","?REFERENTIAL"),"_")))))</f>
        <v> </v>
      </c>
      <c r="H3000" s="25" t="str">
        <f>IF(J3000&lt;&gt;1,"",IF(I3000="SBJ","CB","?"))</f>
        <v> </v>
      </c>
      <c r="I3000" s="26" t="str">
        <f>IF(OR(E3000="",E3000="!!!",F3000="NEW"),"",INDEX(B2999:B$2,-1+SUMPRODUCT(MAX(ROW(E2999:E$2)*(E3000=E2999:E$2)))))</f>
        <v> </v>
      </c>
      <c r="J3000" s="26" t="str">
        <f>IF(OR(E3000="",E3000="!!!",F3000="NEW"),"",COUNTBLANK(OFFSET(A$1,,,SUMPRODUCT(MAX(ROW(E$2:E3000)*(E3000=E$2:E3000)))))-COUNTBLANK(OFFSET(A$1,,,SUMPRODUCT(MAX(ROW(E$1:E2999)*(E2=E$1:E2999))))))</f>
        <v> </v>
      </c>
      <c r="K3000" s="26" t="str">
        <f>IF(OR(E3000="",E3000="!!!",F3000="NEW"),"",INDEX(J$1:J2999,SUMPRODUCT(MAX(ROW(E$1:E2999)*(E3000=E$1:E2999)))))</f>
        <v> </v>
      </c>
      <c r="L3000" s="27"/>
    </row>
    <row r="3001" spans="1:12">
      <c r="A3001" s="20" t="s">
        <v>1535</v>
      </c>
      <c r="B3001" s="21" t="s">
        <v>1187</v>
      </c>
      <c r="C3001" s="21" t="s">
        <v>1086</v>
      </c>
      <c r="E3001" s="22">
        <f>IF(D3001="?OLD","!!!","")</f>
        <v/>
      </c>
      <c r="F3001" s="23" t="str">
        <f>IF(OR(E3001="",E3001="!!!"),"",IF(NOT(ISNA(VLOOKUP(E3001,E$1:E3000,1,FALSE()))),"OLD",IF(AND(E3001&lt;&gt;"",E3001&lt;&gt;"!!!"),"NEW","")))</f>
        <v> </v>
      </c>
      <c r="G3001" s="24" t="str">
        <f>IF(OR(E3001="",E3001="!!!"),"",IF(OR(J3001=0,AND(J3001=1,K3001=1),AND(J3001=1,I3001="SBJ"),AND(J3001=1,I3001=0)),"?IN_FOCUS",IF(J3001&lt;=2,"?ACTIVATED",IF(J3001&lt;&gt;"","?FAMILIAR",IF(F3001="NEW",IF(ISNA(VLOOKUP(E3001,#REF!,1,FALSE())),"?TYPE_IDENTIFIABLE","?REFERENTIAL"),"_")))))</f>
        <v> </v>
      </c>
      <c r="H3001" s="25" t="str">
        <f>IF(J3001&lt;&gt;1,"",IF(I3001="SBJ","CB","?"))</f>
        <v> </v>
      </c>
      <c r="I3001" s="26" t="str">
        <f>IF(OR(E3001="",E3001="!!!",F3001="NEW"),"",INDEX(B3000:B$2,-1+SUMPRODUCT(MAX(ROW(E3000:E$2)*(E3001=E3000:E$2)))))</f>
        <v> </v>
      </c>
      <c r="J3001" s="26" t="str">
        <f>IF(OR(E3001="",E3001="!!!",F3001="NEW"),"",COUNTBLANK(OFFSET(A$1,,,SUMPRODUCT(MAX(ROW(E$2:E3001)*(E3001=E$2:E3001)))))-COUNTBLANK(OFFSET(A$1,,,SUMPRODUCT(MAX(ROW(E$1:E3000)*(E2=E$1:E3000))))))</f>
        <v> </v>
      </c>
      <c r="K3001" s="26" t="str">
        <f>IF(OR(E3001="",E3001="!!!",F3001="NEW"),"",INDEX(J$1:J3000,SUMPRODUCT(MAX(ROW(E$1:E3000)*(E3001=E$1:E3000)))))</f>
        <v> </v>
      </c>
      <c r="L3001" s="27"/>
    </row>
    <row r="3002" spans="1:12">
      <c r="A3002" s="20" t="s">
        <v>1018</v>
      </c>
      <c r="E3002" s="22">
        <f>IF(D3002="?OLD","!!!","")</f>
        <v/>
      </c>
      <c r="F3002" s="23" t="str">
        <f>IF(OR(E3002="",E3002="!!!"),"",IF(NOT(ISNA(VLOOKUP(E3002,E$1:E3001,1,FALSE()))),"OLD",IF(AND(E3002&lt;&gt;"",E3002&lt;&gt;"!!!"),"NEW","")))</f>
        <v> </v>
      </c>
      <c r="G3002" s="24" t="str">
        <f>IF(OR(E3002="",E3002="!!!"),"",IF(OR(J3002=0,AND(J3002=1,K3002=1),AND(J3002=1,I3002="SBJ"),AND(J3002=1,I3002=0)),"?IN_FOCUS",IF(J3002&lt;=2,"?ACTIVATED",IF(J3002&lt;&gt;"","?FAMILIAR",IF(F3002="NEW",IF(ISNA(VLOOKUP(E3002,#REF!,1,FALSE())),"?TYPE_IDENTIFIABLE","?REFERENTIAL"),"_")))))</f>
        <v> </v>
      </c>
      <c r="H3002" s="25" t="str">
        <f>IF(J3002&lt;&gt;1,"",IF(I3002="SBJ","CB","?"))</f>
        <v> </v>
      </c>
      <c r="I3002" s="26" t="str">
        <f>IF(OR(E3002="",E3002="!!!",F3002="NEW"),"",INDEX(B3001:B$2,-1+SUMPRODUCT(MAX(ROW(E3001:E$2)*(E3002=E3001:E$2)))))</f>
        <v> </v>
      </c>
      <c r="J3002" s="26" t="str">
        <f>IF(OR(E3002="",E3002="!!!",F3002="NEW"),"",COUNTBLANK(OFFSET(A$1,,,SUMPRODUCT(MAX(ROW(E$2:E3002)*(E3002=E$2:E3002)))))-COUNTBLANK(OFFSET(A$1,,,SUMPRODUCT(MAX(ROW(E$1:E3001)*(E2=E$1:E3001))))))</f>
        <v> </v>
      </c>
      <c r="K3002" s="26" t="str">
        <f>IF(OR(E3002="",E3002="!!!",F3002="NEW"),"",INDEX(J$1:J3001,SUMPRODUCT(MAX(ROW(E$1:E3001)*(E3002=E$1:E3001)))))</f>
        <v> </v>
      </c>
      <c r="L3002" s="27"/>
    </row>
    <row r="3003" spans="1:12">
      <c r="A3003" s="20" t="s">
        <v>1020</v>
      </c>
      <c r="E3003" s="22">
        <f>IF(D3003="?OLD","!!!","")</f>
        <v/>
      </c>
      <c r="F3003" s="23" t="str">
        <f>IF(OR(E3003="",E3003="!!!"),"",IF(NOT(ISNA(VLOOKUP(E3003,E$1:E3002,1,FALSE()))),"OLD",IF(AND(E3003&lt;&gt;"",E3003&lt;&gt;"!!!"),"NEW","")))</f>
        <v> </v>
      </c>
      <c r="G3003" s="24" t="str">
        <f>IF(OR(E3003="",E3003="!!!"),"",IF(OR(J3003=0,AND(J3003=1,K3003=1),AND(J3003=1,I3003="SBJ"),AND(J3003=1,I3003=0)),"?IN_FOCUS",IF(J3003&lt;=2,"?ACTIVATED",IF(J3003&lt;&gt;"","?FAMILIAR",IF(F3003="NEW",IF(ISNA(VLOOKUP(E3003,#REF!,1,FALSE())),"?TYPE_IDENTIFIABLE","?REFERENTIAL"),"_")))))</f>
        <v> </v>
      </c>
      <c r="H3003" s="25" t="str">
        <f>IF(J3003&lt;&gt;1,"",IF(I3003="SBJ","CB","?"))</f>
        <v> </v>
      </c>
      <c r="I3003" s="26" t="str">
        <f>IF(OR(E3003="",E3003="!!!",F3003="NEW"),"",INDEX(B3002:B$2,-1+SUMPRODUCT(MAX(ROW(E3002:E$2)*(E3003=E3002:E$2)))))</f>
        <v> </v>
      </c>
      <c r="J3003" s="26" t="str">
        <f>IF(OR(E3003="",E3003="!!!",F3003="NEW"),"",COUNTBLANK(OFFSET(A$1,,,SUMPRODUCT(MAX(ROW(E$2:E3003)*(E3003=E$2:E3003)))))-COUNTBLANK(OFFSET(A$1,,,SUMPRODUCT(MAX(ROW(E$1:E3002)*(E2=E$1:E3002))))))</f>
        <v> </v>
      </c>
      <c r="K3003" s="26" t="str">
        <f>IF(OR(E3003="",E3003="!!!",F3003="NEW"),"",INDEX(J$1:J3002,SUMPRODUCT(MAX(ROW(E$1:E3002)*(E3003=E$1:E3002)))))</f>
        <v> </v>
      </c>
      <c r="L3003" s="27"/>
    </row>
    <row r="3004" spans="1:12">
      <c r="A3004" s="20" t="s">
        <v>1921</v>
      </c>
      <c r="E3004" s="22">
        <f>IF(D3004="?OLD","!!!","")</f>
        <v/>
      </c>
      <c r="F3004" s="23" t="str">
        <f>IF(OR(E3004="",E3004="!!!"),"",IF(NOT(ISNA(VLOOKUP(E3004,E$1:E3003,1,FALSE()))),"OLD",IF(AND(E3004&lt;&gt;"",E3004&lt;&gt;"!!!"),"NEW","")))</f>
        <v> </v>
      </c>
      <c r="G3004" s="24" t="str">
        <f>IF(OR(E3004="",E3004="!!!"),"",IF(OR(J3004=0,AND(J3004=1,K3004=1),AND(J3004=1,I3004="SBJ"),AND(J3004=1,I3004=0)),"?IN_FOCUS",IF(J3004&lt;=2,"?ACTIVATED",IF(J3004&lt;&gt;"","?FAMILIAR",IF(F3004="NEW",IF(ISNA(VLOOKUP(E3004,#REF!,1,FALSE())),"?TYPE_IDENTIFIABLE","?REFERENTIAL"),"_")))))</f>
        <v> </v>
      </c>
      <c r="H3004" s="25" t="str">
        <f>IF(J3004&lt;&gt;1,"",IF(I3004="SBJ","CB","?"))</f>
        <v> </v>
      </c>
      <c r="I3004" s="26" t="str">
        <f>IF(OR(E3004="",E3004="!!!",F3004="NEW"),"",INDEX(B3003:B$2,-1+SUMPRODUCT(MAX(ROW(E3003:E$2)*(E3004=E3003:E$2)))))</f>
        <v> </v>
      </c>
      <c r="J3004" s="26" t="str">
        <f>IF(OR(E3004="",E3004="!!!",F3004="NEW"),"",COUNTBLANK(OFFSET(A$1,,,SUMPRODUCT(MAX(ROW(E$2:E3004)*(E3004=E$2:E3004)))))-COUNTBLANK(OFFSET(A$1,,,SUMPRODUCT(MAX(ROW(E$1:E3003)*(E2=E$1:E3003))))))</f>
        <v> </v>
      </c>
      <c r="K3004" s="26" t="str">
        <f>IF(OR(E3004="",E3004="!!!",F3004="NEW"),"",INDEX(J$1:J3003,SUMPRODUCT(MAX(ROW(E$1:E3003)*(E3004=E$1:E3003)))))</f>
        <v> </v>
      </c>
      <c r="L3004" s="27"/>
    </row>
    <row r="3005" spans="1:12">
      <c r="A3005" s="20" t="s">
        <v>1419</v>
      </c>
      <c r="B3005" s="21" t="s">
        <v>1033</v>
      </c>
      <c r="C3005" s="21" t="s">
        <v>1013</v>
      </c>
      <c r="D3005" s="21" t="s">
        <v>1007</v>
      </c>
      <c r="E3005" s="22">
        <f>IF(D3005="?OLD","!!!","")</f>
        <v/>
      </c>
      <c r="F3005" s="23" t="str">
        <f>IF(OR(E3005="",E3005="!!!"),"",IF(NOT(ISNA(VLOOKUP(E3005,E$1:E3004,1,FALSE()))),"OLD",IF(AND(E3005&lt;&gt;"",E3005&lt;&gt;"!!!"),"NEW","")))</f>
        <v> </v>
      </c>
      <c r="G3005" s="24" t="str">
        <f>IF(OR(E3005="",E3005="!!!"),"",IF(OR(J3005=0,AND(J3005=1,K3005=1),AND(J3005=1,I3005="SBJ"),AND(J3005=1,I3005=0)),"?IN_FOCUS",IF(J3005&lt;=2,"?ACTIVATED",IF(J3005&lt;&gt;"","?FAMILIAR",IF(F3005="NEW",IF(ISNA(VLOOKUP(E3005,#REF!,1,FALSE())),"?TYPE_IDENTIFIABLE","?REFERENTIAL"),"_")))))</f>
        <v> </v>
      </c>
      <c r="H3005" s="25" t="str">
        <f>IF(J3005&lt;&gt;1,"",IF(I3005="SBJ","CB","?"))</f>
        <v> </v>
      </c>
      <c r="I3005" s="26" t="str">
        <f>IF(OR(E3005="",E3005="!!!",F3005="NEW"),"",INDEX(B3004:B$2,-1+SUMPRODUCT(MAX(ROW(E3004:E$2)*(E3005=E3004:E$2)))))</f>
        <v> </v>
      </c>
      <c r="J3005" s="26" t="str">
        <f>IF(OR(E3005="",E3005="!!!",F3005="NEW"),"",COUNTBLANK(OFFSET(A$1,,,SUMPRODUCT(MAX(ROW(E$2:E3005)*(E3005=E$2:E3005)))))-COUNTBLANK(OFFSET(A$1,,,SUMPRODUCT(MAX(ROW(E$1:E3004)*(E2=E$1:E3004))))))</f>
        <v> </v>
      </c>
      <c r="K3005" s="26" t="str">
        <f>IF(OR(E3005="",E3005="!!!",F3005="NEW"),"",INDEX(J$1:J3004,SUMPRODUCT(MAX(ROW(E$1:E3004)*(E3005=E$1:E3004)))))</f>
        <v> </v>
      </c>
      <c r="L3005" s="27"/>
    </row>
    <row r="3006" spans="1:12">
      <c r="A3006" s="20" t="s">
        <v>1014</v>
      </c>
      <c r="E3006" s="22">
        <f>IF(D3006="?OLD","!!!","")</f>
        <v/>
      </c>
      <c r="F3006" s="23" t="str">
        <f>IF(OR(E3006="",E3006="!!!"),"",IF(NOT(ISNA(VLOOKUP(E3006,E$1:E3005,1,FALSE()))),"OLD",IF(AND(E3006&lt;&gt;"",E3006&lt;&gt;"!!!"),"NEW","")))</f>
        <v> </v>
      </c>
      <c r="G3006" s="24" t="str">
        <f>IF(OR(E3006="",E3006="!!!"),"",IF(OR(J3006=0,AND(J3006=1,K3006=1),AND(J3006=1,I3006="SBJ"),AND(J3006=1,I3006=0)),"?IN_FOCUS",IF(J3006&lt;=2,"?ACTIVATED",IF(J3006&lt;&gt;"","?FAMILIAR",IF(F3006="NEW",IF(ISNA(VLOOKUP(E3006,#REF!,1,FALSE())),"?TYPE_IDENTIFIABLE","?REFERENTIAL"),"_")))))</f>
        <v> </v>
      </c>
      <c r="H3006" s="25" t="str">
        <f>IF(J3006&lt;&gt;1,"",IF(I3006="SBJ","CB","?"))</f>
        <v> </v>
      </c>
      <c r="I3006" s="26" t="str">
        <f>IF(OR(E3006="",E3006="!!!",F3006="NEW"),"",INDEX(B3005:B$2,-1+SUMPRODUCT(MAX(ROW(E3005:E$2)*(E3006=E3005:E$2)))))</f>
        <v> </v>
      </c>
      <c r="J3006" s="26" t="str">
        <f>IF(OR(E3006="",E3006="!!!",F3006="NEW"),"",COUNTBLANK(OFFSET(A$1,,,SUMPRODUCT(MAX(ROW(E$2:E3006)*(E3006=E$2:E3006)))))-COUNTBLANK(OFFSET(A$1,,,SUMPRODUCT(MAX(ROW(E$1:E3005)*(E2=E$1:E3005))))))</f>
        <v> </v>
      </c>
      <c r="K3006" s="26" t="str">
        <f>IF(OR(E3006="",E3006="!!!",F3006="NEW"),"",INDEX(J$1:J3005,SUMPRODUCT(MAX(ROW(E$1:E3005)*(E3006=E$1:E3005)))))</f>
        <v> </v>
      </c>
      <c r="L3006" s="27"/>
    </row>
    <row r="3007" spans="1:12">
      <c r="A3007" s="20" t="s">
        <v>102</v>
      </c>
      <c r="E3007" s="22">
        <f>IF(D3007="?OLD","!!!","")</f>
        <v/>
      </c>
      <c r="F3007" s="23" t="str">
        <f>IF(OR(E3007="",E3007="!!!"),"",IF(NOT(ISNA(VLOOKUP(E3007,E$1:E3006,1,FALSE()))),"OLD",IF(AND(E3007&lt;&gt;"",E3007&lt;&gt;"!!!"),"NEW","")))</f>
        <v> </v>
      </c>
      <c r="G3007" s="24" t="str">
        <f>IF(OR(E3007="",E3007="!!!"),"",IF(OR(J3007=0,AND(J3007=1,K3007=1),AND(J3007=1,I3007="SBJ"),AND(J3007=1,I3007=0)),"?IN_FOCUS",IF(J3007&lt;=2,"?ACTIVATED",IF(J3007&lt;&gt;"","?FAMILIAR",IF(F3007="NEW",IF(ISNA(VLOOKUP(E3007,#REF!,1,FALSE())),"?TYPE_IDENTIFIABLE","?REFERENTIAL"),"_")))))</f>
        <v> </v>
      </c>
      <c r="H3007" s="25" t="str">
        <f>IF(J3007&lt;&gt;1,"",IF(I3007="SBJ","CB","?"))</f>
        <v> </v>
      </c>
      <c r="I3007" s="26" t="str">
        <f>IF(OR(E3007="",E3007="!!!",F3007="NEW"),"",INDEX(B3006:B$2,-1+SUMPRODUCT(MAX(ROW(E3006:E$2)*(E3007=E3006:E$2)))))</f>
        <v> </v>
      </c>
      <c r="J3007" s="26" t="str">
        <f>IF(OR(E3007="",E3007="!!!",F3007="NEW"),"",COUNTBLANK(OFFSET(A$1,,,SUMPRODUCT(MAX(ROW(E$2:E3007)*(E3007=E$2:E3007)))))-COUNTBLANK(OFFSET(A$1,,,SUMPRODUCT(MAX(ROW(E$1:E3006)*(E2=E$1:E3006))))))</f>
        <v> </v>
      </c>
      <c r="K3007" s="26" t="str">
        <f>IF(OR(E3007="",E3007="!!!",F3007="NEW"),"",INDEX(J$1:J3006,SUMPRODUCT(MAX(ROW(E$1:E3006)*(E3007=E$1:E3006)))))</f>
        <v> </v>
      </c>
      <c r="L3007" s="27"/>
    </row>
    <row r="3008" spans="1:12">
      <c r="A3008" s="20" t="s">
        <v>1168</v>
      </c>
      <c r="B3008" s="21" t="s">
        <v>1035</v>
      </c>
      <c r="C3008" s="21" t="s">
        <v>1017</v>
      </c>
      <c r="D3008" s="21" t="s">
        <v>1007</v>
      </c>
      <c r="E3008" s="22">
        <f>IF(D3008="?OLD","!!!","")</f>
        <v/>
      </c>
      <c r="F3008" s="23" t="str">
        <f>IF(OR(E3008="",E3008="!!!"),"",IF(NOT(ISNA(VLOOKUP(E3008,E$1:E3007,1,FALSE()))),"OLD",IF(AND(E3008&lt;&gt;"",E3008&lt;&gt;"!!!"),"NEW","")))</f>
        <v> </v>
      </c>
      <c r="G3008" s="24" t="str">
        <f>IF(OR(E3008="",E3008="!!!"),"",IF(OR(J3008=0,AND(J3008=1,K3008=1),AND(J3008=1,I3008="SBJ"),AND(J3008=1,I3008=0)),"?IN_FOCUS",IF(J3008&lt;=2,"?ACTIVATED",IF(J3008&lt;&gt;"","?FAMILIAR",IF(F3008="NEW",IF(ISNA(VLOOKUP(E3008,#REF!,1,FALSE())),"?TYPE_IDENTIFIABLE","?REFERENTIAL"),"_")))))</f>
        <v> </v>
      </c>
      <c r="H3008" s="25" t="str">
        <f>IF(J3008&lt;&gt;1,"",IF(I3008="SBJ","CB","?"))</f>
        <v> </v>
      </c>
      <c r="I3008" s="26" t="str">
        <f>IF(OR(E3008="",E3008="!!!",F3008="NEW"),"",INDEX(B3007:B$2,-1+SUMPRODUCT(MAX(ROW(E3007:E$2)*(E3008=E3007:E$2)))))</f>
        <v> </v>
      </c>
      <c r="J3008" s="26" t="str">
        <f>IF(OR(E3008="",E3008="!!!",F3008="NEW"),"",COUNTBLANK(OFFSET(A$1,,,SUMPRODUCT(MAX(ROW(E$2:E3008)*(E3008=E$2:E3008)))))-COUNTBLANK(OFFSET(A$1,,,SUMPRODUCT(MAX(ROW(E$1:E3007)*(E2=E$1:E3007))))))</f>
        <v> </v>
      </c>
      <c r="K3008" s="26" t="str">
        <f>IF(OR(E3008="",E3008="!!!",F3008="NEW"),"",INDEX(J$1:J3007,SUMPRODUCT(MAX(ROW(E$1:E3007)*(E3008=E$1:E3007)))))</f>
        <v> </v>
      </c>
      <c r="L3008" s="27"/>
    </row>
    <row r="3009" spans="1:12">
      <c r="A3009" s="20" t="s">
        <v>1018</v>
      </c>
      <c r="E3009" s="22">
        <f>IF(D3009="?OLD","!!!","")</f>
        <v/>
      </c>
      <c r="F3009" s="23" t="str">
        <f>IF(OR(E3009="",E3009="!!!"),"",IF(NOT(ISNA(VLOOKUP(E3009,E$1:E3008,1,FALSE()))),"OLD",IF(AND(E3009&lt;&gt;"",E3009&lt;&gt;"!!!"),"NEW","")))</f>
        <v> </v>
      </c>
      <c r="G3009" s="24" t="str">
        <f>IF(OR(E3009="",E3009="!!!"),"",IF(OR(J3009=0,AND(J3009=1,K3009=1),AND(J3009=1,I3009="SBJ"),AND(J3009=1,I3009=0)),"?IN_FOCUS",IF(J3009&lt;=2,"?ACTIVATED",IF(J3009&lt;&gt;"","?FAMILIAR",IF(F3009="NEW",IF(ISNA(VLOOKUP(E3009,#REF!,1,FALSE())),"?TYPE_IDENTIFIABLE","?REFERENTIAL"),"_")))))</f>
        <v> </v>
      </c>
      <c r="H3009" s="25" t="str">
        <f>IF(J3009&lt;&gt;1,"",IF(I3009="SBJ","CB","?"))</f>
        <v> </v>
      </c>
      <c r="I3009" s="26" t="str">
        <f>IF(OR(E3009="",E3009="!!!",F3009="NEW"),"",INDEX(B3008:B$2,-1+SUMPRODUCT(MAX(ROW(E3008:E$2)*(E3009=E3008:E$2)))))</f>
        <v> </v>
      </c>
      <c r="J3009" s="26" t="str">
        <f>IF(OR(E3009="",E3009="!!!",F3009="NEW"),"",COUNTBLANK(OFFSET(A$1,,,SUMPRODUCT(MAX(ROW(E$2:E3009)*(E3009=E$2:E3009)))))-COUNTBLANK(OFFSET(A$1,,,SUMPRODUCT(MAX(ROW(E$1:E3008)*(E2=E$1:E3008))))))</f>
        <v> </v>
      </c>
      <c r="K3009" s="26" t="str">
        <f>IF(OR(E3009="",E3009="!!!",F3009="NEW"),"",INDEX(J$1:J3008,SUMPRODUCT(MAX(ROW(E$1:E3008)*(E3009=E$1:E3008)))))</f>
        <v> </v>
      </c>
      <c r="L3009" s="27"/>
    </row>
    <row r="3010" spans="1:12">
      <c r="A3010" s="20" t="s">
        <v>1295</v>
      </c>
      <c r="E3010" s="22">
        <f>IF(D3010="?OLD","!!!","")</f>
        <v/>
      </c>
      <c r="F3010" s="23" t="str">
        <f>IF(OR(E3010="",E3010="!!!"),"",IF(NOT(ISNA(VLOOKUP(E3010,E$1:E3009,1,FALSE()))),"OLD",IF(AND(E3010&lt;&gt;"",E3010&lt;&gt;"!!!"),"NEW","")))</f>
        <v> </v>
      </c>
      <c r="G3010" s="24" t="str">
        <f>IF(OR(E3010="",E3010="!!!"),"",IF(OR(J3010=0,AND(J3010=1,K3010=1),AND(J3010=1,I3010="SBJ"),AND(J3010=1,I3010=0)),"?IN_FOCUS",IF(J3010&lt;=2,"?ACTIVATED",IF(J3010&lt;&gt;"","?FAMILIAR",IF(F3010="NEW",IF(ISNA(VLOOKUP(E3010,#REF!,1,FALSE())),"?TYPE_IDENTIFIABLE","?REFERENTIAL"),"_")))))</f>
        <v> </v>
      </c>
      <c r="H3010" s="25" t="str">
        <f>IF(J3010&lt;&gt;1,"",IF(I3010="SBJ","CB","?"))</f>
        <v> </v>
      </c>
      <c r="I3010" s="26" t="str">
        <f>IF(OR(E3010="",E3010="!!!",F3010="NEW"),"",INDEX(B3009:B$2,-1+SUMPRODUCT(MAX(ROW(E3009:E$2)*(E3010=E3009:E$2)))))</f>
        <v> </v>
      </c>
      <c r="J3010" s="26" t="str">
        <f>IF(OR(E3010="",E3010="!!!",F3010="NEW"),"",COUNTBLANK(OFFSET(A$1,,,SUMPRODUCT(MAX(ROW(E$2:E3010)*(E3010=E$2:E3010)))))-COUNTBLANK(OFFSET(A$1,,,SUMPRODUCT(MAX(ROW(E$1:E3009)*(E2=E$1:E3009))))))</f>
        <v> </v>
      </c>
      <c r="K3010" s="26" t="str">
        <f>IF(OR(E3010="",E3010="!!!",F3010="NEW"),"",INDEX(J$1:J3009,SUMPRODUCT(MAX(ROW(E$1:E3009)*(E3010=E$1:E3009)))))</f>
        <v> </v>
      </c>
      <c r="L3010" s="27"/>
    </row>
    <row r="3011" spans="1:12">
      <c r="A3011" s="20" t="s">
        <v>1027</v>
      </c>
      <c r="E3011" s="22">
        <f>IF(D3011="?OLD","!!!","")</f>
        <v/>
      </c>
      <c r="F3011" s="23" t="str">
        <f>IF(OR(E3011="",E3011="!!!"),"",IF(NOT(ISNA(VLOOKUP(E3011,E$1:E3010,1,FALSE()))),"OLD",IF(AND(E3011&lt;&gt;"",E3011&lt;&gt;"!!!"),"NEW","")))</f>
        <v> </v>
      </c>
      <c r="G3011" s="24" t="str">
        <f>IF(OR(E3011="",E3011="!!!"),"",IF(OR(J3011=0,AND(J3011=1,K3011=1),AND(J3011=1,I3011="SBJ"),AND(J3011=1,I3011=0)),"?IN_FOCUS",IF(J3011&lt;=2,"?ACTIVATED",IF(J3011&lt;&gt;"","?FAMILIAR",IF(F3011="NEW",IF(ISNA(VLOOKUP(E3011,#REF!,1,FALSE())),"?TYPE_IDENTIFIABLE","?REFERENTIAL"),"_")))))</f>
        <v> </v>
      </c>
      <c r="H3011" s="25" t="str">
        <f>IF(J3011&lt;&gt;1,"",IF(I3011="SBJ","CB","?"))</f>
        <v> </v>
      </c>
      <c r="I3011" s="26" t="str">
        <f>IF(OR(E3011="",E3011="!!!",F3011="NEW"),"",INDEX(B3010:B$2,-1+SUMPRODUCT(MAX(ROW(E3010:E$2)*(E3011=E3010:E$2)))))</f>
        <v> </v>
      </c>
      <c r="J3011" s="26" t="str">
        <f>IF(OR(E3011="",E3011="!!!",F3011="NEW"),"",COUNTBLANK(OFFSET(A$1,,,SUMPRODUCT(MAX(ROW(E$2:E3011)*(E3011=E$2:E3011)))))-COUNTBLANK(OFFSET(A$1,,,SUMPRODUCT(MAX(ROW(E$1:E3010)*(E2=E$1:E3010))))))</f>
        <v> </v>
      </c>
      <c r="K3011" s="26" t="str">
        <f>IF(OR(E3011="",E3011="!!!",F3011="NEW"),"",INDEX(J$1:J3010,SUMPRODUCT(MAX(ROW(E$1:E3010)*(E3011=E$1:E3010)))))</f>
        <v> </v>
      </c>
      <c r="L3011" s="27"/>
    </row>
    <row r="3012" spans="1:12">
      <c r="A3012" s="20" t="s">
        <v>1602</v>
      </c>
      <c r="B3012" s="21" t="s">
        <v>1187</v>
      </c>
      <c r="C3012" s="21" t="s">
        <v>1013</v>
      </c>
      <c r="D3012" s="21" t="s">
        <v>1007</v>
      </c>
      <c r="E3012" s="22">
        <f>IF(D3012="?OLD","!!!","")</f>
        <v/>
      </c>
      <c r="F3012" s="23" t="str">
        <f>IF(OR(E3012="",E3012="!!!"),"",IF(NOT(ISNA(VLOOKUP(E3012,E$1:E3011,1,FALSE()))),"OLD",IF(AND(E3012&lt;&gt;"",E3012&lt;&gt;"!!!"),"NEW","")))</f>
        <v> </v>
      </c>
      <c r="G3012" s="24" t="str">
        <f>IF(OR(E3012="",E3012="!!!"),"",IF(OR(J3012=0,AND(J3012=1,K3012=1),AND(J3012=1,I3012="SBJ"),AND(J3012=1,I3012=0)),"?IN_FOCUS",IF(J3012&lt;=2,"?ACTIVATED",IF(J3012&lt;&gt;"","?FAMILIAR",IF(F3012="NEW",IF(ISNA(VLOOKUP(E3012,#REF!,1,FALSE())),"?TYPE_IDENTIFIABLE","?REFERENTIAL"),"_")))))</f>
        <v> </v>
      </c>
      <c r="H3012" s="25" t="str">
        <f>IF(J3012&lt;&gt;1,"",IF(I3012="SBJ","CB","?"))</f>
        <v> </v>
      </c>
      <c r="I3012" s="26" t="str">
        <f>IF(OR(E3012="",E3012="!!!",F3012="NEW"),"",INDEX(B3011:B$2,-1+SUMPRODUCT(MAX(ROW(E3011:E$2)*(E3012=E3011:E$2)))))</f>
        <v> </v>
      </c>
      <c r="J3012" s="26" t="str">
        <f>IF(OR(E3012="",E3012="!!!",F3012="NEW"),"",COUNTBLANK(OFFSET(A$1,,,SUMPRODUCT(MAX(ROW(E$2:E3012)*(E3012=E$2:E3012)))))-COUNTBLANK(OFFSET(A$1,,,SUMPRODUCT(MAX(ROW(E$1:E3011)*(E2=E$1:E3011))))))</f>
        <v> </v>
      </c>
      <c r="K3012" s="26" t="str">
        <f>IF(OR(E3012="",E3012="!!!",F3012="NEW"),"",INDEX(J$1:J3011,SUMPRODUCT(MAX(ROW(E$1:E3011)*(E3012=E$1:E3011)))))</f>
        <v> </v>
      </c>
      <c r="L3012" s="27"/>
    </row>
    <row r="3013" spans="1:12">
      <c r="A3013" s="20" t="s">
        <v>1922</v>
      </c>
      <c r="E3013" s="22">
        <f>IF(D3013="?OLD","!!!","")</f>
        <v/>
      </c>
      <c r="F3013" s="23" t="str">
        <f>IF(OR(E3013="",E3013="!!!"),"",IF(NOT(ISNA(VLOOKUP(E3013,E$1:E3012,1,FALSE()))),"OLD",IF(AND(E3013&lt;&gt;"",E3013&lt;&gt;"!!!"),"NEW","")))</f>
        <v> </v>
      </c>
      <c r="G3013" s="24" t="str">
        <f>IF(OR(E3013="",E3013="!!!"),"",IF(OR(J3013=0,AND(J3013=1,K3013=1),AND(J3013=1,I3013="SBJ"),AND(J3013=1,I3013=0)),"?IN_FOCUS",IF(J3013&lt;=2,"?ACTIVATED",IF(J3013&lt;&gt;"","?FAMILIAR",IF(F3013="NEW",IF(ISNA(VLOOKUP(E3013,#REF!,1,FALSE())),"?TYPE_IDENTIFIABLE","?REFERENTIAL"),"_")))))</f>
        <v> </v>
      </c>
      <c r="H3013" s="25" t="str">
        <f>IF(J3013&lt;&gt;1,"",IF(I3013="SBJ","CB","?"))</f>
        <v> </v>
      </c>
      <c r="I3013" s="26" t="str">
        <f>IF(OR(E3013="",E3013="!!!",F3013="NEW"),"",INDEX(B3012:B$2,-1+SUMPRODUCT(MAX(ROW(E3012:E$2)*(E3013=E3012:E$2)))))</f>
        <v> </v>
      </c>
      <c r="J3013" s="26" t="str">
        <f>IF(OR(E3013="",E3013="!!!",F3013="NEW"),"",COUNTBLANK(OFFSET(A$1,,,SUMPRODUCT(MAX(ROW(E$2:E3013)*(E3013=E$2:E3013)))))-COUNTBLANK(OFFSET(A$1,,,SUMPRODUCT(MAX(ROW(E$1:E3012)*(E2=E$1:E3012))))))</f>
        <v> </v>
      </c>
      <c r="K3013" s="26" t="str">
        <f>IF(OR(E3013="",E3013="!!!",F3013="NEW"),"",INDEX(J$1:J3012,SUMPRODUCT(MAX(ROW(E$1:E3012)*(E3013=E$1:E3012)))))</f>
        <v> </v>
      </c>
      <c r="L3013" s="27"/>
    </row>
    <row r="3014" spans="1:12">
      <c r="A3014" s="20" t="s">
        <v>1030</v>
      </c>
      <c r="E3014" s="22">
        <f>IF(D3014="?OLD","!!!","")</f>
        <v/>
      </c>
      <c r="F3014" s="23" t="str">
        <f>IF(OR(E3014="",E3014="!!!"),"",IF(NOT(ISNA(VLOOKUP(E3014,E$1:E3013,1,FALSE()))),"OLD",IF(AND(E3014&lt;&gt;"",E3014&lt;&gt;"!!!"),"NEW","")))</f>
        <v> </v>
      </c>
      <c r="G3014" s="24" t="str">
        <f>IF(OR(E3014="",E3014="!!!"),"",IF(OR(J3014=0,AND(J3014=1,K3014=1),AND(J3014=1,I3014="SBJ"),AND(J3014=1,I3014=0)),"?IN_FOCUS",IF(J3014&lt;=2,"?ACTIVATED",IF(J3014&lt;&gt;"","?FAMILIAR",IF(F3014="NEW",IF(ISNA(VLOOKUP(E3014,#REF!,1,FALSE())),"?TYPE_IDENTIFIABLE","?REFERENTIAL"),"_")))))</f>
        <v> </v>
      </c>
      <c r="H3014" s="25" t="str">
        <f>IF(J3014&lt;&gt;1,"",IF(I3014="SBJ","CB","?"))</f>
        <v> </v>
      </c>
      <c r="I3014" s="26" t="str">
        <f>IF(OR(E3014="",E3014="!!!",F3014="NEW"),"",INDEX(B3013:B$2,-1+SUMPRODUCT(MAX(ROW(E3013:E$2)*(E3014=E3013:E$2)))))</f>
        <v> </v>
      </c>
      <c r="J3014" s="26" t="str">
        <f>IF(OR(E3014="",E3014="!!!",F3014="NEW"),"",COUNTBLANK(OFFSET(A$1,,,SUMPRODUCT(MAX(ROW(E$2:E3014)*(E3014=E$2:E3014)))))-COUNTBLANK(OFFSET(A$1,,,SUMPRODUCT(MAX(ROW(E$1:E3013)*(E2=E$1:E3013))))))</f>
        <v> </v>
      </c>
      <c r="K3014" s="26" t="str">
        <f>IF(OR(E3014="",E3014="!!!",F3014="NEW"),"",INDEX(J$1:J3013,SUMPRODUCT(MAX(ROW(E$1:E3013)*(E3014=E$1:E3013)))))</f>
        <v> </v>
      </c>
      <c r="L3014" s="27"/>
    </row>
    <row r="3015" spans="1:12">
      <c r="A3015" s="20" t="s">
        <v>1923</v>
      </c>
      <c r="B3015" s="21" t="s">
        <v>1035</v>
      </c>
      <c r="C3015" s="21" t="s">
        <v>1048</v>
      </c>
      <c r="E3015" s="22">
        <f>IF(D3015="?OLD","!!!","")</f>
        <v/>
      </c>
      <c r="F3015" s="23" t="str">
        <f>IF(OR(E3015="",E3015="!!!"),"",IF(NOT(ISNA(VLOOKUP(E3015,E$1:E3014,1,FALSE()))),"OLD",IF(AND(E3015&lt;&gt;"",E3015&lt;&gt;"!!!"),"NEW","")))</f>
        <v> </v>
      </c>
      <c r="G3015" s="24" t="str">
        <f>IF(OR(E3015="",E3015="!!!"),"",IF(OR(J3015=0,AND(J3015=1,K3015=1),AND(J3015=1,I3015="SBJ"),AND(J3015=1,I3015=0)),"?IN_FOCUS",IF(J3015&lt;=2,"?ACTIVATED",IF(J3015&lt;&gt;"","?FAMILIAR",IF(F3015="NEW",IF(ISNA(VLOOKUP(E3015,#REF!,1,FALSE())),"?TYPE_IDENTIFIABLE","?REFERENTIAL"),"_")))))</f>
        <v> </v>
      </c>
      <c r="H3015" s="25" t="str">
        <f>IF(J3015&lt;&gt;1,"",IF(I3015="SBJ","CB","?"))</f>
        <v> </v>
      </c>
      <c r="I3015" s="26" t="str">
        <f>IF(OR(E3015="",E3015="!!!",F3015="NEW"),"",INDEX(B3014:B$2,-1+SUMPRODUCT(MAX(ROW(E3014:E$2)*(E3015=E3014:E$2)))))</f>
        <v> </v>
      </c>
      <c r="J3015" s="26" t="str">
        <f>IF(OR(E3015="",E3015="!!!",F3015="NEW"),"",COUNTBLANK(OFFSET(A$1,,,SUMPRODUCT(MAX(ROW(E$2:E3015)*(E3015=E$2:E3015)))))-COUNTBLANK(OFFSET(A$1,,,SUMPRODUCT(MAX(ROW(E$1:E3014)*(E2=E$1:E3014))))))</f>
        <v> </v>
      </c>
      <c r="K3015" s="26" t="str">
        <f>IF(OR(E3015="",E3015="!!!",F3015="NEW"),"",INDEX(J$1:J3014,SUMPRODUCT(MAX(ROW(E$1:E3014)*(E3015=E$1:E3014)))))</f>
        <v> </v>
      </c>
      <c r="L3015" s="27"/>
    </row>
    <row r="3016" spans="1:12">
      <c r="A3016" s="20" t="s">
        <v>56</v>
      </c>
      <c r="E3016" s="22">
        <f>IF(D3016="?OLD","!!!","")</f>
        <v/>
      </c>
      <c r="F3016" s="23" t="str">
        <f>IF(OR(E3016="",E3016="!!!"),"",IF(NOT(ISNA(VLOOKUP(E3016,E$1:E3015,1,FALSE()))),"OLD",IF(AND(E3016&lt;&gt;"",E3016&lt;&gt;"!!!"),"NEW","")))</f>
        <v> </v>
      </c>
      <c r="G3016" s="24" t="str">
        <f>IF(OR(E3016="",E3016="!!!"),"",IF(OR(J3016=0,AND(J3016=1,K3016=1),AND(J3016=1,I3016="SBJ"),AND(J3016=1,I3016=0)),"?IN_FOCUS",IF(J3016&lt;=2,"?ACTIVATED",IF(J3016&lt;&gt;"","?FAMILIAR",IF(F3016="NEW",IF(ISNA(VLOOKUP(E3016,#REF!,1,FALSE())),"?TYPE_IDENTIFIABLE","?REFERENTIAL"),"_")))))</f>
        <v> </v>
      </c>
      <c r="H3016" s="25" t="str">
        <f>IF(J3016&lt;&gt;1,"",IF(I3016="SBJ","CB","?"))</f>
        <v> </v>
      </c>
      <c r="I3016" s="26" t="str">
        <f>IF(OR(E3016="",E3016="!!!",F3016="NEW"),"",INDEX(B3015:B$2,-1+SUMPRODUCT(MAX(ROW(E3015:E$2)*(E3016=E3015:E$2)))))</f>
        <v> </v>
      </c>
      <c r="J3016" s="26" t="str">
        <f>IF(OR(E3016="",E3016="!!!",F3016="NEW"),"",COUNTBLANK(OFFSET(A$1,,,SUMPRODUCT(MAX(ROW(E$2:E3016)*(E3016=E$2:E3016)))))-COUNTBLANK(OFFSET(A$1,,,SUMPRODUCT(MAX(ROW(E$1:E3015)*(E2=E$1:E3015))))))</f>
        <v> </v>
      </c>
      <c r="K3016" s="26" t="str">
        <f>IF(OR(E3016="",E3016="!!!",F3016="NEW"),"",INDEX(J$1:J3015,SUMPRODUCT(MAX(ROW(E$1:E3015)*(E3016=E$1:E3015)))))</f>
        <v> </v>
      </c>
      <c r="L3016" s="27"/>
    </row>
    <row r="3017" spans="1:12">
      <c r="A3017" s="20" t="s">
        <v>1266</v>
      </c>
      <c r="E3017" s="22">
        <f>IF(D3017="?OLD","!!!","")</f>
        <v/>
      </c>
      <c r="F3017" s="23" t="str">
        <f>IF(OR(E3017="",E3017="!!!"),"",IF(NOT(ISNA(VLOOKUP(E3017,E$1:E3016,1,FALSE()))),"OLD",IF(AND(E3017&lt;&gt;"",E3017&lt;&gt;"!!!"),"NEW","")))</f>
        <v> </v>
      </c>
      <c r="G3017" s="24" t="str">
        <f>IF(OR(E3017="",E3017="!!!"),"",IF(OR(J3017=0,AND(J3017=1,K3017=1),AND(J3017=1,I3017="SBJ"),AND(J3017=1,I3017=0)),"?IN_FOCUS",IF(J3017&lt;=2,"?ACTIVATED",IF(J3017&lt;&gt;"","?FAMILIAR",IF(F3017="NEW",IF(ISNA(VLOOKUP(E3017,#REF!,1,FALSE())),"?TYPE_IDENTIFIABLE","?REFERENTIAL"),"_")))))</f>
        <v> </v>
      </c>
      <c r="H3017" s="25" t="str">
        <f>IF(J3017&lt;&gt;1,"",IF(I3017="SBJ","CB","?"))</f>
        <v> </v>
      </c>
      <c r="I3017" s="26" t="str">
        <f>IF(OR(E3017="",E3017="!!!",F3017="NEW"),"",INDEX(B3016:B$2,-1+SUMPRODUCT(MAX(ROW(E3016:E$2)*(E3017=E3016:E$2)))))</f>
        <v> </v>
      </c>
      <c r="J3017" s="26" t="str">
        <f>IF(OR(E3017="",E3017="!!!",F3017="NEW"),"",COUNTBLANK(OFFSET(A$1,,,SUMPRODUCT(MAX(ROW(E$2:E3017)*(E3017=E$2:E3017)))))-COUNTBLANK(OFFSET(A$1,,,SUMPRODUCT(MAX(ROW(E$1:E3016)*(E2=E$1:E3016))))))</f>
        <v> </v>
      </c>
      <c r="K3017" s="26" t="str">
        <f>IF(OR(E3017="",E3017="!!!",F3017="NEW"),"",INDEX(J$1:J3016,SUMPRODUCT(MAX(ROW(E$1:E3016)*(E3017=E$1:E3016)))))</f>
        <v> </v>
      </c>
      <c r="L3017" s="27"/>
    </row>
    <row r="3018" spans="1:12">
      <c r="A3018" s="20" t="s">
        <v>1837</v>
      </c>
      <c r="B3018" s="21" t="s">
        <v>1040</v>
      </c>
      <c r="C3018" s="21" t="s">
        <v>1048</v>
      </c>
      <c r="E3018" s="22">
        <f>IF(D3018="?OLD","!!!","")</f>
        <v/>
      </c>
      <c r="F3018" s="23" t="str">
        <f>IF(OR(E3018="",E3018="!!!"),"",IF(NOT(ISNA(VLOOKUP(E3018,E$1:E3017,1,FALSE()))),"OLD",IF(AND(E3018&lt;&gt;"",E3018&lt;&gt;"!!!"),"NEW","")))</f>
        <v> </v>
      </c>
      <c r="G3018" s="24" t="str">
        <f>IF(OR(E3018="",E3018="!!!"),"",IF(OR(J3018=0,AND(J3018=1,K3018=1),AND(J3018=1,I3018="SBJ"),AND(J3018=1,I3018=0)),"?IN_FOCUS",IF(J3018&lt;=2,"?ACTIVATED",IF(J3018&lt;&gt;"","?FAMILIAR",IF(F3018="NEW",IF(ISNA(VLOOKUP(E3018,#REF!,1,FALSE())),"?TYPE_IDENTIFIABLE","?REFERENTIAL"),"_")))))</f>
        <v> </v>
      </c>
      <c r="H3018" s="25" t="str">
        <f>IF(J3018&lt;&gt;1,"",IF(I3018="SBJ","CB","?"))</f>
        <v> </v>
      </c>
      <c r="I3018" s="26" t="str">
        <f>IF(OR(E3018="",E3018="!!!",F3018="NEW"),"",INDEX(B3017:B$2,-1+SUMPRODUCT(MAX(ROW(E3017:E$2)*(E3018=E3017:E$2)))))</f>
        <v> </v>
      </c>
      <c r="J3018" s="26" t="str">
        <f>IF(OR(E3018="",E3018="!!!",F3018="NEW"),"",COUNTBLANK(OFFSET(A$1,,,SUMPRODUCT(MAX(ROW(E$2:E3018)*(E3018=E$2:E3018)))))-COUNTBLANK(OFFSET(A$1,,,SUMPRODUCT(MAX(ROW(E$1:E3017)*(E2=E$1:E3017))))))</f>
        <v> </v>
      </c>
      <c r="K3018" s="26" t="str">
        <f>IF(OR(E3018="",E3018="!!!",F3018="NEW"),"",INDEX(J$1:J3017,SUMPRODUCT(MAX(ROW(E$1:E3017)*(E3018=E$1:E3017)))))</f>
        <v> </v>
      </c>
      <c r="L3018" s="27"/>
    </row>
    <row r="3019" spans="1:12">
      <c r="A3019" s="20" t="s">
        <v>1075</v>
      </c>
      <c r="E3019" s="22">
        <f>IF(D3019="?OLD","!!!","")</f>
        <v/>
      </c>
      <c r="F3019" s="23" t="str">
        <f>IF(OR(E3019="",E3019="!!!"),"",IF(NOT(ISNA(VLOOKUP(E3019,E$1:E3018,1,FALSE()))),"OLD",IF(AND(E3019&lt;&gt;"",E3019&lt;&gt;"!!!"),"NEW","")))</f>
        <v> </v>
      </c>
      <c r="G3019" s="24" t="str">
        <f>IF(OR(E3019="",E3019="!!!"),"",IF(OR(J3019=0,AND(J3019=1,K3019=1),AND(J3019=1,I3019="SBJ"),AND(J3019=1,I3019=0)),"?IN_FOCUS",IF(J3019&lt;=2,"?ACTIVATED",IF(J3019&lt;&gt;"","?FAMILIAR",IF(F3019="NEW",IF(ISNA(VLOOKUP(E3019,#REF!,1,FALSE())),"?TYPE_IDENTIFIABLE","?REFERENTIAL"),"_")))))</f>
        <v> </v>
      </c>
      <c r="H3019" s="25" t="str">
        <f>IF(J3019&lt;&gt;1,"",IF(I3019="SBJ","CB","?"))</f>
        <v> </v>
      </c>
      <c r="I3019" s="26" t="str">
        <f>IF(OR(E3019="",E3019="!!!",F3019="NEW"),"",INDEX(B3018:B$2,-1+SUMPRODUCT(MAX(ROW(E3018:E$2)*(E3019=E3018:E$2)))))</f>
        <v> </v>
      </c>
      <c r="J3019" s="26" t="str">
        <f>IF(OR(E3019="",E3019="!!!",F3019="NEW"),"",COUNTBLANK(OFFSET(A$1,,,SUMPRODUCT(MAX(ROW(E$2:E3019)*(E3019=E$2:E3019)))))-COUNTBLANK(OFFSET(A$1,,,SUMPRODUCT(MAX(ROW(E$1:E3018)*(E2=E$1:E3018))))))</f>
        <v> </v>
      </c>
      <c r="K3019" s="26" t="str">
        <f>IF(OR(E3019="",E3019="!!!",F3019="NEW"),"",INDEX(J$1:J3018,SUMPRODUCT(MAX(ROW(E$1:E3018)*(E3019=E$1:E3018)))))</f>
        <v> </v>
      </c>
      <c r="L3019" s="27"/>
    </row>
    <row r="3020" spans="1:12">
      <c r="A3020" s="20" t="s">
        <v>1324</v>
      </c>
      <c r="E3020" s="22">
        <f>IF(D3020="?OLD","!!!","")</f>
        <v/>
      </c>
      <c r="F3020" s="23" t="str">
        <f>IF(OR(E3020="",E3020="!!!"),"",IF(NOT(ISNA(VLOOKUP(E3020,E$1:E3019,1,FALSE()))),"OLD",IF(AND(E3020&lt;&gt;"",E3020&lt;&gt;"!!!"),"NEW","")))</f>
        <v> </v>
      </c>
      <c r="G3020" s="24" t="str">
        <f>IF(OR(E3020="",E3020="!!!"),"",IF(OR(J3020=0,AND(J3020=1,K3020=1),AND(J3020=1,I3020="SBJ"),AND(J3020=1,I3020=0)),"?IN_FOCUS",IF(J3020&lt;=2,"?ACTIVATED",IF(J3020&lt;&gt;"","?FAMILIAR",IF(F3020="NEW",IF(ISNA(VLOOKUP(E3020,#REF!,1,FALSE())),"?TYPE_IDENTIFIABLE","?REFERENTIAL"),"_")))))</f>
        <v> </v>
      </c>
      <c r="H3020" s="25" t="str">
        <f>IF(J3020&lt;&gt;1,"",IF(I3020="SBJ","CB","?"))</f>
        <v> </v>
      </c>
      <c r="I3020" s="26" t="str">
        <f>IF(OR(E3020="",E3020="!!!",F3020="NEW"),"",INDEX(B3019:B$2,-1+SUMPRODUCT(MAX(ROW(E3019:E$2)*(E3020=E3019:E$2)))))</f>
        <v> </v>
      </c>
      <c r="J3020" s="26" t="str">
        <f>IF(OR(E3020="",E3020="!!!",F3020="NEW"),"",COUNTBLANK(OFFSET(A$1,,,SUMPRODUCT(MAX(ROW(E$2:E3020)*(E3020=E$2:E3020)))))-COUNTBLANK(OFFSET(A$1,,,SUMPRODUCT(MAX(ROW(E$1:E3019)*(E2=E$1:E3019))))))</f>
        <v> </v>
      </c>
      <c r="K3020" s="26" t="str">
        <f>IF(OR(E3020="",E3020="!!!",F3020="NEW"),"",INDEX(J$1:J3019,SUMPRODUCT(MAX(ROW(E$1:E3019)*(E3020=E$1:E3019)))))</f>
        <v> </v>
      </c>
      <c r="L3020" s="27"/>
    </row>
    <row r="3021" spans="1:12">
      <c r="A3021" s="20" t="s">
        <v>1924</v>
      </c>
      <c r="B3021" s="21" t="s">
        <v>1130</v>
      </c>
      <c r="C3021" s="21" t="s">
        <v>1013</v>
      </c>
      <c r="D3021" s="21" t="s">
        <v>1007</v>
      </c>
      <c r="E3021" s="22">
        <f>IF(D3021="?OLD","!!!","")</f>
        <v/>
      </c>
      <c r="F3021" s="23" t="str">
        <f>IF(OR(E3021="",E3021="!!!"),"",IF(NOT(ISNA(VLOOKUP(E3021,E$1:E3020,1,FALSE()))),"OLD",IF(AND(E3021&lt;&gt;"",E3021&lt;&gt;"!!!"),"NEW","")))</f>
        <v> </v>
      </c>
      <c r="G3021" s="24" t="str">
        <f>IF(OR(E3021="",E3021="!!!"),"",IF(OR(J3021=0,AND(J3021=1,K3021=1),AND(J3021=1,I3021="SBJ"),AND(J3021=1,I3021=0)),"?IN_FOCUS",IF(J3021&lt;=2,"?ACTIVATED",IF(J3021&lt;&gt;"","?FAMILIAR",IF(F3021="NEW",IF(ISNA(VLOOKUP(E3021,#REF!,1,FALSE())),"?TYPE_IDENTIFIABLE","?REFERENTIAL"),"_")))))</f>
        <v> </v>
      </c>
      <c r="H3021" s="25" t="str">
        <f>IF(J3021&lt;&gt;1,"",IF(I3021="SBJ","CB","?"))</f>
        <v> </v>
      </c>
      <c r="I3021" s="26" t="str">
        <f>IF(OR(E3021="",E3021="!!!",F3021="NEW"),"",INDEX(B3020:B$2,-1+SUMPRODUCT(MAX(ROW(E3020:E$2)*(E3021=E3020:E$2)))))</f>
        <v> </v>
      </c>
      <c r="J3021" s="26" t="str">
        <f>IF(OR(E3021="",E3021="!!!",F3021="NEW"),"",COUNTBLANK(OFFSET(A$1,,,SUMPRODUCT(MAX(ROW(E$2:E3021)*(E3021=E$2:E3021)))))-COUNTBLANK(OFFSET(A$1,,,SUMPRODUCT(MAX(ROW(E$1:E3020)*(E2=E$1:E3020))))))</f>
        <v> </v>
      </c>
      <c r="K3021" s="26" t="str">
        <f>IF(OR(E3021="",E3021="!!!",F3021="NEW"),"",INDEX(J$1:J3020,SUMPRODUCT(MAX(ROW(E$1:E3020)*(E3021=E$1:E3020)))))</f>
        <v> </v>
      </c>
      <c r="L3021" s="27"/>
    </row>
    <row r="3022" spans="1:12">
      <c r="A3022" s="20" t="s">
        <v>1925</v>
      </c>
      <c r="E3022" s="22">
        <f>IF(D3022="?OLD","!!!","")</f>
        <v/>
      </c>
      <c r="F3022" s="23" t="str">
        <f>IF(OR(E3022="",E3022="!!!"),"",IF(NOT(ISNA(VLOOKUP(E3022,E$1:E3021,1,FALSE()))),"OLD",IF(AND(E3022&lt;&gt;"",E3022&lt;&gt;"!!!"),"NEW","")))</f>
        <v> </v>
      </c>
      <c r="G3022" s="24" t="str">
        <f>IF(OR(E3022="",E3022="!!!"),"",IF(OR(J3022=0,AND(J3022=1,K3022=1),AND(J3022=1,I3022="SBJ"),AND(J3022=1,I3022=0)),"?IN_FOCUS",IF(J3022&lt;=2,"?ACTIVATED",IF(J3022&lt;&gt;"","?FAMILIAR",IF(F3022="NEW",IF(ISNA(VLOOKUP(E3022,#REF!,1,FALSE())),"?TYPE_IDENTIFIABLE","?REFERENTIAL"),"_")))))</f>
        <v> </v>
      </c>
      <c r="H3022" s="25" t="str">
        <f>IF(J3022&lt;&gt;1,"",IF(I3022="SBJ","CB","?"))</f>
        <v> </v>
      </c>
      <c r="I3022" s="26" t="str">
        <f>IF(OR(E3022="",E3022="!!!",F3022="NEW"),"",INDEX(B3021:B$2,-1+SUMPRODUCT(MAX(ROW(E3021:E$2)*(E3022=E3021:E$2)))))</f>
        <v> </v>
      </c>
      <c r="J3022" s="26" t="str">
        <f>IF(OR(E3022="",E3022="!!!",F3022="NEW"),"",COUNTBLANK(OFFSET(A$1,,,SUMPRODUCT(MAX(ROW(E$2:E3022)*(E3022=E$2:E3022)))))-COUNTBLANK(OFFSET(A$1,,,SUMPRODUCT(MAX(ROW(E$1:E3021)*(E2=E$1:E3021))))))</f>
        <v> </v>
      </c>
      <c r="K3022" s="26" t="str">
        <f>IF(OR(E3022="",E3022="!!!",F3022="NEW"),"",INDEX(J$1:J3021,SUMPRODUCT(MAX(ROW(E$1:E3021)*(E3022=E$1:E3021)))))</f>
        <v> </v>
      </c>
      <c r="L3022" s="27"/>
    </row>
    <row r="3023" spans="1:12">
      <c r="A3023" s="20" t="s">
        <v>1926</v>
      </c>
      <c r="E3023" s="22">
        <f>IF(D3023="?OLD","!!!","")</f>
        <v/>
      </c>
      <c r="F3023" s="23" t="str">
        <f>IF(OR(E3023="",E3023="!!!"),"",IF(NOT(ISNA(VLOOKUP(E3023,E$1:E3022,1,FALSE()))),"OLD",IF(AND(E3023&lt;&gt;"",E3023&lt;&gt;"!!!"),"NEW","")))</f>
        <v> </v>
      </c>
      <c r="G3023" s="24" t="str">
        <f>IF(OR(E3023="",E3023="!!!"),"",IF(OR(J3023=0,AND(J3023=1,K3023=1),AND(J3023=1,I3023="SBJ"),AND(J3023=1,I3023=0)),"?IN_FOCUS",IF(J3023&lt;=2,"?ACTIVATED",IF(J3023&lt;&gt;"","?FAMILIAR",IF(F3023="NEW",IF(ISNA(VLOOKUP(E3023,#REF!,1,FALSE())),"?TYPE_IDENTIFIABLE","?REFERENTIAL"),"_")))))</f>
        <v> </v>
      </c>
      <c r="H3023" s="25" t="str">
        <f>IF(J3023&lt;&gt;1,"",IF(I3023="SBJ","CB","?"))</f>
        <v> </v>
      </c>
      <c r="I3023" s="26" t="str">
        <f>IF(OR(E3023="",E3023="!!!",F3023="NEW"),"",INDEX(B3022:B$2,-1+SUMPRODUCT(MAX(ROW(E3022:E$2)*(E3023=E3022:E$2)))))</f>
        <v> </v>
      </c>
      <c r="J3023" s="26" t="str">
        <f>IF(OR(E3023="",E3023="!!!",F3023="NEW"),"",COUNTBLANK(OFFSET(A$1,,,SUMPRODUCT(MAX(ROW(E$2:E3023)*(E3023=E$2:E3023)))))-COUNTBLANK(OFFSET(A$1,,,SUMPRODUCT(MAX(ROW(E$1:E3022)*(E2=E$1:E3022))))))</f>
        <v> </v>
      </c>
      <c r="K3023" s="26" t="str">
        <f>IF(OR(E3023="",E3023="!!!",F3023="NEW"),"",INDEX(J$1:J3022,SUMPRODUCT(MAX(ROW(E$1:E3022)*(E3023=E$1:E3022)))))</f>
        <v> </v>
      </c>
      <c r="L3023" s="27"/>
    </row>
    <row r="3024" spans="1:12">
      <c r="A3024" s="20" t="s">
        <v>1097</v>
      </c>
      <c r="E3024" s="22">
        <f>IF(D3024="?OLD","!!!","")</f>
        <v/>
      </c>
      <c r="F3024" s="23" t="str">
        <f>IF(OR(E3024="",E3024="!!!"),"",IF(NOT(ISNA(VLOOKUP(E3024,E$1:E3023,1,FALSE()))),"OLD",IF(AND(E3024&lt;&gt;"",E3024&lt;&gt;"!!!"),"NEW","")))</f>
        <v> </v>
      </c>
      <c r="G3024" s="24" t="str">
        <f>IF(OR(E3024="",E3024="!!!"),"",IF(OR(J3024=0,AND(J3024=1,K3024=1),AND(J3024=1,I3024="SBJ"),AND(J3024=1,I3024=0)),"?IN_FOCUS",IF(J3024&lt;=2,"?ACTIVATED",IF(J3024&lt;&gt;"","?FAMILIAR",IF(F3024="NEW",IF(ISNA(VLOOKUP(E3024,#REF!,1,FALSE())),"?TYPE_IDENTIFIABLE","?REFERENTIAL"),"_")))))</f>
        <v> </v>
      </c>
      <c r="H3024" s="25" t="str">
        <f>IF(J3024&lt;&gt;1,"",IF(I3024="SBJ","CB","?"))</f>
        <v> </v>
      </c>
      <c r="I3024" s="26" t="str">
        <f>IF(OR(E3024="",E3024="!!!",F3024="NEW"),"",INDEX(B3023:B$2,-1+SUMPRODUCT(MAX(ROW(E3023:E$2)*(E3024=E3023:E$2)))))</f>
        <v> </v>
      </c>
      <c r="J3024" s="26" t="str">
        <f>IF(OR(E3024="",E3024="!!!",F3024="NEW"),"",COUNTBLANK(OFFSET(A$1,,,SUMPRODUCT(MAX(ROW(E$2:E3024)*(E3024=E$2:E3024)))))-COUNTBLANK(OFFSET(A$1,,,SUMPRODUCT(MAX(ROW(E$1:E3023)*(E2=E$1:E3023))))))</f>
        <v> </v>
      </c>
      <c r="K3024" s="26" t="str">
        <f>IF(OR(E3024="",E3024="!!!",F3024="NEW"),"",INDEX(J$1:J3023,SUMPRODUCT(MAX(ROW(E$1:E3023)*(E3024=E$1:E3023)))))</f>
        <v> </v>
      </c>
      <c r="L3024" s="27"/>
    </row>
    <row r="3025" spans="1:12">
      <c r="A3025" s="20" t="s">
        <v>238</v>
      </c>
      <c r="E3025" s="22">
        <f>IF(D3025="?OLD","!!!","")</f>
        <v/>
      </c>
      <c r="F3025" s="23" t="str">
        <f>IF(OR(E3025="",E3025="!!!"),"",IF(NOT(ISNA(VLOOKUP(E3025,E$1:E3024,1,FALSE()))),"OLD",IF(AND(E3025&lt;&gt;"",E3025&lt;&gt;"!!!"),"NEW","")))</f>
        <v> </v>
      </c>
      <c r="G3025" s="24" t="str">
        <f>IF(OR(E3025="",E3025="!!!"),"",IF(OR(J3025=0,AND(J3025=1,K3025=1),AND(J3025=1,I3025="SBJ"),AND(J3025=1,I3025=0)),"?IN_FOCUS",IF(J3025&lt;=2,"?ACTIVATED",IF(J3025&lt;&gt;"","?FAMILIAR",IF(F3025="NEW",IF(ISNA(VLOOKUP(E3025,#REF!,1,FALSE())),"?TYPE_IDENTIFIABLE","?REFERENTIAL"),"_")))))</f>
        <v> </v>
      </c>
      <c r="H3025" s="25" t="str">
        <f>IF(J3025&lt;&gt;1,"",IF(I3025="SBJ","CB","?"))</f>
        <v> </v>
      </c>
      <c r="I3025" s="26" t="str">
        <f>IF(OR(E3025="",E3025="!!!",F3025="NEW"),"",INDEX(B3024:B$2,-1+SUMPRODUCT(MAX(ROW(E3024:E$2)*(E3025=E3024:E$2)))))</f>
        <v> </v>
      </c>
      <c r="J3025" s="26" t="str">
        <f>IF(OR(E3025="",E3025="!!!",F3025="NEW"),"",COUNTBLANK(OFFSET(A$1,,,SUMPRODUCT(MAX(ROW(E$2:E3025)*(E3025=E$2:E3025)))))-COUNTBLANK(OFFSET(A$1,,,SUMPRODUCT(MAX(ROW(E$1:E3024)*(E2=E$1:E3024))))))</f>
        <v> </v>
      </c>
      <c r="K3025" s="26" t="str">
        <f>IF(OR(E3025="",E3025="!!!",F3025="NEW"),"",INDEX(J$1:J3024,SUMPRODUCT(MAX(ROW(E$1:E3024)*(E3025=E$1:E3024)))))</f>
        <v> </v>
      </c>
      <c r="L3025" s="27"/>
    </row>
    <row r="3026" spans="1:12">
      <c r="A3026" s="20" t="s">
        <v>1927</v>
      </c>
      <c r="E3026" s="22">
        <f>IF(D3026="?OLD","!!!","")</f>
        <v/>
      </c>
      <c r="F3026" s="23" t="str">
        <f>IF(OR(E3026="",E3026="!!!"),"",IF(NOT(ISNA(VLOOKUP(E3026,E$1:E3025,1,FALSE()))),"OLD",IF(AND(E3026&lt;&gt;"",E3026&lt;&gt;"!!!"),"NEW","")))</f>
        <v> </v>
      </c>
      <c r="G3026" s="24" t="str">
        <f>IF(OR(E3026="",E3026="!!!"),"",IF(OR(J3026=0,AND(J3026=1,K3026=1),AND(J3026=1,I3026="SBJ"),AND(J3026=1,I3026=0)),"?IN_FOCUS",IF(J3026&lt;=2,"?ACTIVATED",IF(J3026&lt;&gt;"","?FAMILIAR",IF(F3026="NEW",IF(ISNA(VLOOKUP(E3026,#REF!,1,FALSE())),"?TYPE_IDENTIFIABLE","?REFERENTIAL"),"_")))))</f>
        <v> </v>
      </c>
      <c r="H3026" s="25" t="str">
        <f>IF(J3026&lt;&gt;1,"",IF(I3026="SBJ","CB","?"))</f>
        <v> </v>
      </c>
      <c r="I3026" s="26" t="str">
        <f>IF(OR(E3026="",E3026="!!!",F3026="NEW"),"",INDEX(B3025:B$2,-1+SUMPRODUCT(MAX(ROW(E3025:E$2)*(E3026=E3025:E$2)))))</f>
        <v> </v>
      </c>
      <c r="J3026" s="26" t="str">
        <f>IF(OR(E3026="",E3026="!!!",F3026="NEW"),"",COUNTBLANK(OFFSET(A$1,,,SUMPRODUCT(MAX(ROW(E$2:E3026)*(E3026=E$2:E3026)))))-COUNTBLANK(OFFSET(A$1,,,SUMPRODUCT(MAX(ROW(E$1:E3025)*(E2=E$1:E3025))))))</f>
        <v> </v>
      </c>
      <c r="K3026" s="26" t="str">
        <f>IF(OR(E3026="",E3026="!!!",F3026="NEW"),"",INDEX(J$1:J3025,SUMPRODUCT(MAX(ROW(E$1:E3025)*(E3026=E$1:E3025)))))</f>
        <v> </v>
      </c>
      <c r="L3026" s="27"/>
    </row>
    <row r="3027" spans="1:12">
      <c r="A3027" s="20" t="s">
        <v>1023</v>
      </c>
      <c r="E3027" s="22">
        <f>IF(D3027="?OLD","!!!","")</f>
        <v/>
      </c>
      <c r="F3027" s="23" t="str">
        <f>IF(OR(E3027="",E3027="!!!"),"",IF(NOT(ISNA(VLOOKUP(E3027,E$1:E3026,1,FALSE()))),"OLD",IF(AND(E3027&lt;&gt;"",E3027&lt;&gt;"!!!"),"NEW","")))</f>
        <v> </v>
      </c>
      <c r="G3027" s="24" t="str">
        <f>IF(OR(E3027="",E3027="!!!"),"",IF(OR(J3027=0,AND(J3027=1,K3027=1),AND(J3027=1,I3027="SBJ"),AND(J3027=1,I3027=0)),"?IN_FOCUS",IF(J3027&lt;=2,"?ACTIVATED",IF(J3027&lt;&gt;"","?FAMILIAR",IF(F3027="NEW",IF(ISNA(VLOOKUP(E3027,#REF!,1,FALSE())),"?TYPE_IDENTIFIABLE","?REFERENTIAL"),"_")))))</f>
        <v> </v>
      </c>
      <c r="H3027" s="25" t="str">
        <f>IF(J3027&lt;&gt;1,"",IF(I3027="SBJ","CB","?"))</f>
        <v> </v>
      </c>
      <c r="I3027" s="26" t="str">
        <f>IF(OR(E3027="",E3027="!!!",F3027="NEW"),"",INDEX(B3026:B$2,-1+SUMPRODUCT(MAX(ROW(E3026:E$2)*(E3027=E3026:E$2)))))</f>
        <v> </v>
      </c>
      <c r="J3027" s="26" t="str">
        <f>IF(OR(E3027="",E3027="!!!",F3027="NEW"),"",COUNTBLANK(OFFSET(A$1,,,SUMPRODUCT(MAX(ROW(E$2:E3027)*(E3027=E$2:E3027)))))-COUNTBLANK(OFFSET(A$1,,,SUMPRODUCT(MAX(ROW(E$1:E3026)*(E2=E$1:E3026))))))</f>
        <v> </v>
      </c>
      <c r="K3027" s="26" t="str">
        <f>IF(OR(E3027="",E3027="!!!",F3027="NEW"),"",INDEX(J$1:J3026,SUMPRODUCT(MAX(ROW(E$1:E3026)*(E3027=E$1:E3026)))))</f>
        <v> </v>
      </c>
      <c r="L3027" s="27"/>
    </row>
    <row r="3028" spans="1:12">
      <c r="A3028" s="20"/>
    </row>
    <row r="3029" spans="1:12">
      <c r="A3029" s="20" t="s">
        <v>1928</v>
      </c>
    </row>
    <row r="3030" spans="1:12">
      <c r="A3030" s="20" t="s">
        <v>1094</v>
      </c>
      <c r="E3030" s="22">
        <f>IF(D3030="?OLD","!!!","")</f>
        <v/>
      </c>
      <c r="F3030" s="23" t="str">
        <f>IF(OR(E3030="",E3030="!!!"),"",IF(NOT(ISNA(VLOOKUP(E3030,E$1:E3029,1,FALSE()))),"OLD",IF(AND(E3030&lt;&gt;"",E3030&lt;&gt;"!!!"),"NEW","")))</f>
        <v> </v>
      </c>
      <c r="G3030" s="24" t="str">
        <f>IF(OR(E3030="",E3030="!!!"),"",IF(OR(J3030=0,AND(J3030=1,K3030=1),AND(J3030=1,I3030="SBJ"),AND(J3030=1,I3030=0)),"?IN_FOCUS",IF(J3030&lt;=2,"?ACTIVATED",IF(J3030&lt;&gt;"","?FAMILIAR",IF(F3030="NEW",IF(ISNA(VLOOKUP(E3030,#REF!,1,FALSE())),"?TYPE_IDENTIFIABLE","?REFERENTIAL"),"_")))))</f>
        <v> </v>
      </c>
      <c r="H3030" s="25" t="str">
        <f>IF(J3030&lt;&gt;1,"",IF(I3030="SBJ","CB","?"))</f>
        <v> </v>
      </c>
      <c r="I3030" s="26" t="str">
        <f>IF(OR(E3030="",E3030="!!!",F3030="NEW"),"",INDEX(B3029:B$2,-1+SUMPRODUCT(MAX(ROW(E3029:E$2)*(E3030=E3029:E$2)))))</f>
        <v> </v>
      </c>
      <c r="J3030" s="26" t="str">
        <f>IF(OR(E3030="",E3030="!!!",F3030="NEW"),"",COUNTBLANK(OFFSET(A$1,,,SUMPRODUCT(MAX(ROW(E$2:E3030)*(E3030=E$2:E3030)))))-COUNTBLANK(OFFSET(A$1,,,SUMPRODUCT(MAX(ROW(E$1:E3029)*(E2=E$1:E3029))))))</f>
        <v> </v>
      </c>
      <c r="K3030" s="26" t="str">
        <f>IF(OR(E3030="",E3030="!!!",F3030="NEW"),"",INDEX(J$1:J3029,SUMPRODUCT(MAX(ROW(E$1:E3029)*(E3030=E$1:E3029)))))</f>
        <v> </v>
      </c>
      <c r="L3030" s="27"/>
    </row>
    <row r="3031" spans="1:12">
      <c r="A3031" s="20" t="s">
        <v>1009</v>
      </c>
      <c r="E3031" s="22">
        <f>IF(D3031="?OLD","!!!","")</f>
        <v/>
      </c>
      <c r="F3031" s="23" t="str">
        <f>IF(OR(E3031="",E3031="!!!"),"",IF(NOT(ISNA(VLOOKUP(E3031,E$1:E3030,1,FALSE()))),"OLD",IF(AND(E3031&lt;&gt;"",E3031&lt;&gt;"!!!"),"NEW","")))</f>
        <v> </v>
      </c>
      <c r="G3031" s="24" t="str">
        <f>IF(OR(E3031="",E3031="!!!"),"",IF(OR(J3031=0,AND(J3031=1,K3031=1),AND(J3031=1,I3031="SBJ"),AND(J3031=1,I3031=0)),"?IN_FOCUS",IF(J3031&lt;=2,"?ACTIVATED",IF(J3031&lt;&gt;"","?FAMILIAR",IF(F3031="NEW",IF(ISNA(VLOOKUP(E3031,#REF!,1,FALSE())),"?TYPE_IDENTIFIABLE","?REFERENTIAL"),"_")))))</f>
        <v> </v>
      </c>
      <c r="H3031" s="25" t="str">
        <f>IF(J3031&lt;&gt;1,"",IF(I3031="SBJ","CB","?"))</f>
        <v> </v>
      </c>
      <c r="I3031" s="26" t="str">
        <f>IF(OR(E3031="",E3031="!!!",F3031="NEW"),"",INDEX(B3030:B$2,-1+SUMPRODUCT(MAX(ROW(E3030:E$2)*(E3031=E3030:E$2)))))</f>
        <v> </v>
      </c>
      <c r="J3031" s="26" t="str">
        <f>IF(OR(E3031="",E3031="!!!",F3031="NEW"),"",COUNTBLANK(OFFSET(A$1,,,SUMPRODUCT(MAX(ROW(E$2:E3031)*(E3031=E$2:E3031)))))-COUNTBLANK(OFFSET(A$1,,,SUMPRODUCT(MAX(ROW(E$1:E3030)*(E2=E$1:E3030))))))</f>
        <v> </v>
      </c>
      <c r="K3031" s="26" t="str">
        <f>IF(OR(E3031="",E3031="!!!",F3031="NEW"),"",INDEX(J$1:J3030,SUMPRODUCT(MAX(ROW(E$1:E3030)*(E3031=E$1:E3030)))))</f>
        <v> </v>
      </c>
      <c r="L3031" s="27"/>
    </row>
    <row r="3032" spans="1:12">
      <c r="A3032" s="20" t="s">
        <v>1259</v>
      </c>
      <c r="E3032" s="22">
        <f>IF(D3032="?OLD","!!!","")</f>
        <v/>
      </c>
      <c r="F3032" s="23" t="str">
        <f>IF(OR(E3032="",E3032="!!!"),"",IF(NOT(ISNA(VLOOKUP(E3032,E$1:E3031,1,FALSE()))),"OLD",IF(AND(E3032&lt;&gt;"",E3032&lt;&gt;"!!!"),"NEW","")))</f>
        <v> </v>
      </c>
      <c r="G3032" s="24" t="str">
        <f>IF(OR(E3032="",E3032="!!!"),"",IF(OR(J3032=0,AND(J3032=1,K3032=1),AND(J3032=1,I3032="SBJ"),AND(J3032=1,I3032=0)),"?IN_FOCUS",IF(J3032&lt;=2,"?ACTIVATED",IF(J3032&lt;&gt;"","?FAMILIAR",IF(F3032="NEW",IF(ISNA(VLOOKUP(E3032,#REF!,1,FALSE())),"?TYPE_IDENTIFIABLE","?REFERENTIAL"),"_")))))</f>
        <v> </v>
      </c>
      <c r="H3032" s="25" t="str">
        <f>IF(J3032&lt;&gt;1,"",IF(I3032="SBJ","CB","?"))</f>
        <v> </v>
      </c>
      <c r="I3032" s="26" t="str">
        <f>IF(OR(E3032="",E3032="!!!",F3032="NEW"),"",INDEX(B3031:B$2,-1+SUMPRODUCT(MAX(ROW(E3031:E$2)*(E3032=E3031:E$2)))))</f>
        <v> </v>
      </c>
      <c r="J3032" s="26" t="str">
        <f>IF(OR(E3032="",E3032="!!!",F3032="NEW"),"",COUNTBLANK(OFFSET(A$1,,,SUMPRODUCT(MAX(ROW(E$2:E3032)*(E3032=E$2:E3032)))))-COUNTBLANK(OFFSET(A$1,,,SUMPRODUCT(MAX(ROW(E$1:E3031)*(E2=E$1:E3031))))))</f>
        <v> </v>
      </c>
      <c r="K3032" s="26" t="str">
        <f>IF(OR(E3032="",E3032="!!!",F3032="NEW"),"",INDEX(J$1:J3031,SUMPRODUCT(MAX(ROW(E$1:E3031)*(E3032=E$1:E3031)))))</f>
        <v> </v>
      </c>
      <c r="L3032" s="27"/>
    </row>
    <row r="3033" spans="1:12">
      <c r="A3033" s="20" t="s">
        <v>1172</v>
      </c>
      <c r="B3033" s="21" t="s">
        <v>1085</v>
      </c>
      <c r="C3033" s="21" t="s">
        <v>1013</v>
      </c>
      <c r="D3033" s="21" t="s">
        <v>1007</v>
      </c>
      <c r="E3033" s="22">
        <f>IF(D3033="?OLD","!!!","")</f>
        <v/>
      </c>
      <c r="F3033" s="23" t="str">
        <f>IF(OR(E3033="",E3033="!!!"),"",IF(NOT(ISNA(VLOOKUP(E3033,E$1:E3032,1,FALSE()))),"OLD",IF(AND(E3033&lt;&gt;"",E3033&lt;&gt;"!!!"),"NEW","")))</f>
        <v> </v>
      </c>
      <c r="G3033" s="24" t="str">
        <f>IF(OR(E3033="",E3033="!!!"),"",IF(OR(J3033=0,AND(J3033=1,K3033=1),AND(J3033=1,I3033="SBJ"),AND(J3033=1,I3033=0)),"?IN_FOCUS",IF(J3033&lt;=2,"?ACTIVATED",IF(J3033&lt;&gt;"","?FAMILIAR",IF(F3033="NEW",IF(ISNA(VLOOKUP(E3033,#REF!,1,FALSE())),"?TYPE_IDENTIFIABLE","?REFERENTIAL"),"_")))))</f>
        <v> </v>
      </c>
      <c r="H3033" s="25" t="str">
        <f>IF(J3033&lt;&gt;1,"",IF(I3033="SBJ","CB","?"))</f>
        <v> </v>
      </c>
      <c r="I3033" s="26" t="str">
        <f>IF(OR(E3033="",E3033="!!!",F3033="NEW"),"",INDEX(B3032:B$2,-1+SUMPRODUCT(MAX(ROW(E3032:E$2)*(E3033=E3032:E$2)))))</f>
        <v> </v>
      </c>
      <c r="J3033" s="26" t="str">
        <f>IF(OR(E3033="",E3033="!!!",F3033="NEW"),"",COUNTBLANK(OFFSET(A$1,,,SUMPRODUCT(MAX(ROW(E$2:E3033)*(E3033=E$2:E3033)))))-COUNTBLANK(OFFSET(A$1,,,SUMPRODUCT(MAX(ROW(E$1:E3032)*(E2=E$1:E3032))))))</f>
        <v> </v>
      </c>
      <c r="K3033" s="26" t="str">
        <f>IF(OR(E3033="",E3033="!!!",F3033="NEW"),"",INDEX(J$1:J3032,SUMPRODUCT(MAX(ROW(E$1:E3032)*(E3033=E$1:E3032)))))</f>
        <v> </v>
      </c>
      <c r="L3033" s="27"/>
    </row>
    <row r="3034" spans="1:12">
      <c r="A3034" s="20" t="s">
        <v>1929</v>
      </c>
      <c r="E3034" s="22">
        <f>IF(D3034="?OLD","!!!","")</f>
        <v/>
      </c>
      <c r="F3034" s="23" t="str">
        <f>IF(OR(E3034="",E3034="!!!"),"",IF(NOT(ISNA(VLOOKUP(E3034,E$1:E3033,1,FALSE()))),"OLD",IF(AND(E3034&lt;&gt;"",E3034&lt;&gt;"!!!"),"NEW","")))</f>
        <v> </v>
      </c>
      <c r="G3034" s="24" t="str">
        <f>IF(OR(E3034="",E3034="!!!"),"",IF(OR(J3034=0,AND(J3034=1,K3034=1),AND(J3034=1,I3034="SBJ"),AND(J3034=1,I3034=0)),"?IN_FOCUS",IF(J3034&lt;=2,"?ACTIVATED",IF(J3034&lt;&gt;"","?FAMILIAR",IF(F3034="NEW",IF(ISNA(VLOOKUP(E3034,#REF!,1,FALSE())),"?TYPE_IDENTIFIABLE","?REFERENTIAL"),"_")))))</f>
        <v> </v>
      </c>
      <c r="H3034" s="25" t="str">
        <f>IF(J3034&lt;&gt;1,"",IF(I3034="SBJ","CB","?"))</f>
        <v> </v>
      </c>
      <c r="I3034" s="26" t="str">
        <f>IF(OR(E3034="",E3034="!!!",F3034="NEW"),"",INDEX(B3033:B$2,-1+SUMPRODUCT(MAX(ROW(E3033:E$2)*(E3034=E3033:E$2)))))</f>
        <v> </v>
      </c>
      <c r="J3034" s="26" t="str">
        <f>IF(OR(E3034="",E3034="!!!",F3034="NEW"),"",COUNTBLANK(OFFSET(A$1,,,SUMPRODUCT(MAX(ROW(E$2:E3034)*(E3034=E$2:E3034)))))-COUNTBLANK(OFFSET(A$1,,,SUMPRODUCT(MAX(ROW(E$1:E3033)*(E2=E$1:E3033))))))</f>
        <v> </v>
      </c>
      <c r="K3034" s="26" t="str">
        <f>IF(OR(E3034="",E3034="!!!",F3034="NEW"),"",INDEX(J$1:J3033,SUMPRODUCT(MAX(ROW(E$1:E3033)*(E3034=E$1:E3033)))))</f>
        <v> </v>
      </c>
      <c r="L3034" s="27"/>
    </row>
    <row r="3035" spans="1:12">
      <c r="A3035" s="20" t="s">
        <v>1182</v>
      </c>
      <c r="E3035" s="22">
        <f>IF(D3035="?OLD","!!!","")</f>
        <v/>
      </c>
      <c r="F3035" s="23" t="str">
        <f>IF(OR(E3035="",E3035="!!!"),"",IF(NOT(ISNA(VLOOKUP(E3035,E$1:E3034,1,FALSE()))),"OLD",IF(AND(E3035&lt;&gt;"",E3035&lt;&gt;"!!!"),"NEW","")))</f>
        <v> </v>
      </c>
      <c r="G3035" s="24" t="str">
        <f>IF(OR(E3035="",E3035="!!!"),"",IF(OR(J3035=0,AND(J3035=1,K3035=1),AND(J3035=1,I3035="SBJ"),AND(J3035=1,I3035=0)),"?IN_FOCUS",IF(J3035&lt;=2,"?ACTIVATED",IF(J3035&lt;&gt;"","?FAMILIAR",IF(F3035="NEW",IF(ISNA(VLOOKUP(E3035,#REF!,1,FALSE())),"?TYPE_IDENTIFIABLE","?REFERENTIAL"),"_")))))</f>
        <v> </v>
      </c>
      <c r="H3035" s="25" t="str">
        <f>IF(J3035&lt;&gt;1,"",IF(I3035="SBJ","CB","?"))</f>
        <v> </v>
      </c>
      <c r="I3035" s="26" t="str">
        <f>IF(OR(E3035="",E3035="!!!",F3035="NEW"),"",INDEX(B3034:B$2,-1+SUMPRODUCT(MAX(ROW(E3034:E$2)*(E3035=E3034:E$2)))))</f>
        <v> </v>
      </c>
      <c r="J3035" s="26" t="str">
        <f>IF(OR(E3035="",E3035="!!!",F3035="NEW"),"",COUNTBLANK(OFFSET(A$1,,,SUMPRODUCT(MAX(ROW(E$2:E3035)*(E3035=E$2:E3035)))))-COUNTBLANK(OFFSET(A$1,,,SUMPRODUCT(MAX(ROW(E$1:E3034)*(E2=E$1:E3034))))))</f>
        <v> </v>
      </c>
      <c r="K3035" s="26" t="str">
        <f>IF(OR(E3035="",E3035="!!!",F3035="NEW"),"",INDEX(J$1:J3034,SUMPRODUCT(MAX(ROW(E$1:E3034)*(E3035=E$1:E3034)))))</f>
        <v> </v>
      </c>
      <c r="L3035" s="27"/>
    </row>
    <row r="3036" spans="1:12">
      <c r="A3036" s="20" t="s">
        <v>102</v>
      </c>
      <c r="B3036" s="21" t="s">
        <v>1022</v>
      </c>
      <c r="C3036" s="21" t="s">
        <v>1073</v>
      </c>
      <c r="D3036" s="21" t="s">
        <v>1007</v>
      </c>
      <c r="E3036" s="22">
        <f>IF(D3036="?OLD","!!!","")</f>
        <v/>
      </c>
      <c r="F3036" s="23" t="str">
        <f>IF(OR(E3036="",E3036="!!!"),"",IF(NOT(ISNA(VLOOKUP(E3036,E$1:E3035,1,FALSE()))),"OLD",IF(AND(E3036&lt;&gt;"",E3036&lt;&gt;"!!!"),"NEW","")))</f>
        <v> </v>
      </c>
      <c r="G3036" s="24" t="str">
        <f>IF(OR(E3036="",E3036="!!!"),"",IF(OR(J3036=0,AND(J3036=1,K3036=1),AND(J3036=1,I3036="SBJ"),AND(J3036=1,I3036=0)),"?IN_FOCUS",IF(J3036&lt;=2,"?ACTIVATED",IF(J3036&lt;&gt;"","?FAMILIAR",IF(F3036="NEW",IF(ISNA(VLOOKUP(E3036,#REF!,1,FALSE())),"?TYPE_IDENTIFIABLE","?REFERENTIAL"),"_")))))</f>
        <v> </v>
      </c>
      <c r="H3036" s="25" t="str">
        <f>IF(J3036&lt;&gt;1,"",IF(I3036="SBJ","CB","?"))</f>
        <v> </v>
      </c>
      <c r="I3036" s="26" t="str">
        <f>IF(OR(E3036="",E3036="!!!",F3036="NEW"),"",INDEX(B3035:B$2,-1+SUMPRODUCT(MAX(ROW(E3035:E$2)*(E3036=E3035:E$2)))))</f>
        <v> </v>
      </c>
      <c r="J3036" s="26" t="str">
        <f>IF(OR(E3036="",E3036="!!!",F3036="NEW"),"",COUNTBLANK(OFFSET(A$1,,,SUMPRODUCT(MAX(ROW(E$2:E3036)*(E3036=E$2:E3036)))))-COUNTBLANK(OFFSET(A$1,,,SUMPRODUCT(MAX(ROW(E$1:E3035)*(E2=E$1:E3035))))))</f>
        <v> </v>
      </c>
      <c r="K3036" s="26" t="str">
        <f>IF(OR(E3036="",E3036="!!!",F3036="NEW"),"",INDEX(J$1:J3035,SUMPRODUCT(MAX(ROW(E$1:E3035)*(E3036=E$1:E3035)))))</f>
        <v> </v>
      </c>
      <c r="L3036" s="27"/>
    </row>
    <row r="3037" spans="1:12">
      <c r="A3037" s="20" t="s">
        <v>1065</v>
      </c>
      <c r="B3037" s="21" t="s">
        <v>1064</v>
      </c>
      <c r="E3037" s="22">
        <f>IF(D3037="?OLD","!!!","")</f>
        <v/>
      </c>
      <c r="F3037" s="23" t="str">
        <f>IF(OR(E3037="",E3037="!!!"),"",IF(NOT(ISNA(VLOOKUP(E3037,E$1:E3036,1,FALSE()))),"OLD",IF(AND(E3037&lt;&gt;"",E3037&lt;&gt;"!!!"),"NEW","")))</f>
        <v> </v>
      </c>
      <c r="G3037" s="24" t="str">
        <f>IF(OR(E3037="",E3037="!!!"),"",IF(OR(J3037=0,AND(J3037=1,K3037=1),AND(J3037=1,I3037="SBJ"),AND(J3037=1,I3037=0)),"?IN_FOCUS",IF(J3037&lt;=2,"?ACTIVATED",IF(J3037&lt;&gt;"","?FAMILIAR",IF(F3037="NEW",IF(ISNA(VLOOKUP(E3037,#REF!,1,FALSE())),"?TYPE_IDENTIFIABLE","?REFERENTIAL"),"_")))))</f>
        <v> </v>
      </c>
      <c r="H3037" s="25" t="str">
        <f>IF(J3037&lt;&gt;1,"",IF(I3037="SBJ","CB","?"))</f>
        <v> </v>
      </c>
      <c r="I3037" s="26" t="str">
        <f>IF(OR(E3037="",E3037="!!!",F3037="NEW"),"",INDEX(B3036:B$2,-1+SUMPRODUCT(MAX(ROW(E3036:E$2)*(E3037=E3036:E$2)))))</f>
        <v> </v>
      </c>
      <c r="J3037" s="26" t="str">
        <f>IF(OR(E3037="",E3037="!!!",F3037="NEW"),"",COUNTBLANK(OFFSET(A$1,,,SUMPRODUCT(MAX(ROW(E$2:E3037)*(E3037=E$2:E3037)))))-COUNTBLANK(OFFSET(A$1,,,SUMPRODUCT(MAX(ROW(E$1:E3036)*(E2=E$1:E3036))))))</f>
        <v> </v>
      </c>
      <c r="K3037" s="26" t="str">
        <f>IF(OR(E3037="",E3037="!!!",F3037="NEW"),"",INDEX(J$1:J3036,SUMPRODUCT(MAX(ROW(E$1:E3036)*(E3037=E$1:E3036)))))</f>
        <v> </v>
      </c>
      <c r="L3037" s="27"/>
    </row>
    <row r="3038" spans="1:12">
      <c r="A3038" s="20" t="s">
        <v>885</v>
      </c>
      <c r="B3038" s="21" t="s">
        <v>1120</v>
      </c>
      <c r="C3038" s="21" t="s">
        <v>1082</v>
      </c>
      <c r="D3038" s="21" t="s">
        <v>1007</v>
      </c>
      <c r="E3038" s="22">
        <f>IF(D3038="?OLD","!!!","")</f>
        <v/>
      </c>
      <c r="F3038" s="23" t="str">
        <f>IF(OR(E3038="",E3038="!!!"),"",IF(NOT(ISNA(VLOOKUP(E3038,E$1:E3037,1,FALSE()))),"OLD",IF(AND(E3038&lt;&gt;"",E3038&lt;&gt;"!!!"),"NEW","")))</f>
        <v> </v>
      </c>
      <c r="G3038" s="24" t="str">
        <f>IF(OR(E3038="",E3038="!!!"),"",IF(OR(J3038=0,AND(J3038=1,K3038=1),AND(J3038=1,I3038="SBJ"),AND(J3038=1,I3038=0)),"?IN_FOCUS",IF(J3038&lt;=2,"?ACTIVATED",IF(J3038&lt;&gt;"","?FAMILIAR",IF(F3038="NEW",IF(ISNA(VLOOKUP(E3038,#REF!,1,FALSE())),"?TYPE_IDENTIFIABLE","?REFERENTIAL"),"_")))))</f>
        <v> </v>
      </c>
      <c r="H3038" s="25" t="str">
        <f>IF(J3038&lt;&gt;1,"",IF(I3038="SBJ","CB","?"))</f>
        <v> </v>
      </c>
      <c r="I3038" s="26" t="str">
        <f>IF(OR(E3038="",E3038="!!!",F3038="NEW"),"",INDEX(B3037:B$2,-1+SUMPRODUCT(MAX(ROW(E3037:E$2)*(E3038=E3037:E$2)))))</f>
        <v> </v>
      </c>
      <c r="J3038" s="26" t="str">
        <f>IF(OR(E3038="",E3038="!!!",F3038="NEW"),"",COUNTBLANK(OFFSET(A$1,,,SUMPRODUCT(MAX(ROW(E$2:E3038)*(E3038=E$2:E3038)))))-COUNTBLANK(OFFSET(A$1,,,SUMPRODUCT(MAX(ROW(E$1:E3037)*(E2=E$1:E3037))))))</f>
        <v> </v>
      </c>
      <c r="K3038" s="26" t="str">
        <f>IF(OR(E3038="",E3038="!!!",F3038="NEW"),"",INDEX(J$1:J3037,SUMPRODUCT(MAX(ROW(E$1:E3037)*(E3038=E$1:E3037)))))</f>
        <v> </v>
      </c>
      <c r="L3038" s="27"/>
    </row>
    <row r="3039" spans="1:12">
      <c r="A3039" s="20" t="s">
        <v>1930</v>
      </c>
      <c r="E3039" s="22">
        <f>IF(D3039="?OLD","!!!","")</f>
        <v/>
      </c>
      <c r="F3039" s="23" t="str">
        <f>IF(OR(E3039="",E3039="!!!"),"",IF(NOT(ISNA(VLOOKUP(E3039,E$1:E3038,1,FALSE()))),"OLD",IF(AND(E3039&lt;&gt;"",E3039&lt;&gt;"!!!"),"NEW","")))</f>
        <v> </v>
      </c>
      <c r="G3039" s="24" t="str">
        <f>IF(OR(E3039="",E3039="!!!"),"",IF(OR(J3039=0,AND(J3039=1,K3039=1),AND(J3039=1,I3039="SBJ"),AND(J3039=1,I3039=0)),"?IN_FOCUS",IF(J3039&lt;=2,"?ACTIVATED",IF(J3039&lt;&gt;"","?FAMILIAR",IF(F3039="NEW",IF(ISNA(VLOOKUP(E3039,#REF!,1,FALSE())),"?TYPE_IDENTIFIABLE","?REFERENTIAL"),"_")))))</f>
        <v> </v>
      </c>
      <c r="H3039" s="25" t="str">
        <f>IF(J3039&lt;&gt;1,"",IF(I3039="SBJ","CB","?"))</f>
        <v> </v>
      </c>
      <c r="I3039" s="26" t="str">
        <f>IF(OR(E3039="",E3039="!!!",F3039="NEW"),"",INDEX(B3038:B$2,-1+SUMPRODUCT(MAX(ROW(E3038:E$2)*(E3039=E3038:E$2)))))</f>
        <v> </v>
      </c>
      <c r="J3039" s="26" t="str">
        <f>IF(OR(E3039="",E3039="!!!",F3039="NEW"),"",COUNTBLANK(OFFSET(A$1,,,SUMPRODUCT(MAX(ROW(E$2:E3039)*(E3039=E$2:E3039)))))-COUNTBLANK(OFFSET(A$1,,,SUMPRODUCT(MAX(ROW(E$1:E3038)*(E2=E$1:E3038))))))</f>
        <v> </v>
      </c>
      <c r="K3039" s="26" t="str">
        <f>IF(OR(E3039="",E3039="!!!",F3039="NEW"),"",INDEX(J$1:J3038,SUMPRODUCT(MAX(ROW(E$1:E3038)*(E3039=E$1:E3038)))))</f>
        <v> </v>
      </c>
      <c r="L3039" s="27"/>
    </row>
    <row r="3040" spans="1:12">
      <c r="A3040" s="20" t="s">
        <v>1023</v>
      </c>
      <c r="E3040" s="22">
        <f>IF(D3040="?OLD","!!!","")</f>
        <v/>
      </c>
      <c r="F3040" s="23" t="str">
        <f>IF(OR(E3040="",E3040="!!!"),"",IF(NOT(ISNA(VLOOKUP(E3040,E$1:E3039,1,FALSE()))),"OLD",IF(AND(E3040&lt;&gt;"",E3040&lt;&gt;"!!!"),"NEW","")))</f>
        <v> </v>
      </c>
      <c r="G3040" s="24" t="str">
        <f>IF(OR(E3040="",E3040="!!!"),"",IF(OR(J3040=0,AND(J3040=1,K3040=1),AND(J3040=1,I3040="SBJ"),AND(J3040=1,I3040=0)),"?IN_FOCUS",IF(J3040&lt;=2,"?ACTIVATED",IF(J3040&lt;&gt;"","?FAMILIAR",IF(F3040="NEW",IF(ISNA(VLOOKUP(E3040,#REF!,1,FALSE())),"?TYPE_IDENTIFIABLE","?REFERENTIAL"),"_")))))</f>
        <v> </v>
      </c>
      <c r="H3040" s="25" t="str">
        <f>IF(J3040&lt;&gt;1,"",IF(I3040="SBJ","CB","?"))</f>
        <v> </v>
      </c>
      <c r="I3040" s="26" t="str">
        <f>IF(OR(E3040="",E3040="!!!",F3040="NEW"),"",INDEX(B3039:B$2,-1+SUMPRODUCT(MAX(ROW(E3039:E$2)*(E3040=E3039:E$2)))))</f>
        <v> </v>
      </c>
      <c r="J3040" s="26" t="str">
        <f>IF(OR(E3040="",E3040="!!!",F3040="NEW"),"",COUNTBLANK(OFFSET(A$1,,,SUMPRODUCT(MAX(ROW(E$2:E3040)*(E3040=E$2:E3040)))))-COUNTBLANK(OFFSET(A$1,,,SUMPRODUCT(MAX(ROW(E$1:E3039)*(E2=E$1:E3039))))))</f>
        <v> </v>
      </c>
      <c r="K3040" s="26" t="str">
        <f>IF(OR(E3040="",E3040="!!!",F3040="NEW"),"",INDEX(J$1:J3039,SUMPRODUCT(MAX(ROW(E$1:E3039)*(E3040=E$1:E3039)))))</f>
        <v> </v>
      </c>
      <c r="L3040" s="27"/>
    </row>
    <row r="3041" spans="1:12">
      <c r="A3041" s="20"/>
    </row>
    <row r="3042" spans="1:12">
      <c r="A3042" s="20" t="s">
        <v>1931</v>
      </c>
    </row>
    <row r="3043" spans="1:12">
      <c r="A3043" s="20" t="s">
        <v>1932</v>
      </c>
      <c r="E3043" s="22">
        <f>IF(D3043="?OLD","!!!","")</f>
        <v/>
      </c>
      <c r="F3043" s="23" t="str">
        <f>IF(OR(E3043="",E3043="!!!"),"",IF(NOT(ISNA(VLOOKUP(E3043,E$1:E3042,1,FALSE()))),"OLD",IF(AND(E3043&lt;&gt;"",E3043&lt;&gt;"!!!"),"NEW","")))</f>
        <v> </v>
      </c>
      <c r="G3043" s="24" t="str">
        <f>IF(OR(E3043="",E3043="!!!"),"",IF(OR(J3043=0,AND(J3043=1,K3043=1),AND(J3043=1,I3043="SBJ"),AND(J3043=1,I3043=0)),"?IN_FOCUS",IF(J3043&lt;=2,"?ACTIVATED",IF(J3043&lt;&gt;"","?FAMILIAR",IF(F3043="NEW",IF(ISNA(VLOOKUP(E3043,#REF!,1,FALSE())),"?TYPE_IDENTIFIABLE","?REFERENTIAL"),"_")))))</f>
        <v> </v>
      </c>
      <c r="H3043" s="25" t="str">
        <f>IF(J3043&lt;&gt;1,"",IF(I3043="SBJ","CB","?"))</f>
        <v> </v>
      </c>
      <c r="I3043" s="26" t="str">
        <f>IF(OR(E3043="",E3043="!!!",F3043="NEW"),"",INDEX(B3042:B$2,-1+SUMPRODUCT(MAX(ROW(E3042:E$2)*(E3043=E3042:E$2)))))</f>
        <v> </v>
      </c>
      <c r="J3043" s="26" t="str">
        <f>IF(OR(E3043="",E3043="!!!",F3043="NEW"),"",COUNTBLANK(OFFSET(A$1,,,SUMPRODUCT(MAX(ROW(E$2:E3043)*(E3043=E$2:E3043)))))-COUNTBLANK(OFFSET(A$1,,,SUMPRODUCT(MAX(ROW(E$1:E3042)*(E2=E$1:E3042))))))</f>
        <v> </v>
      </c>
      <c r="K3043" s="26" t="str">
        <f>IF(OR(E3043="",E3043="!!!",F3043="NEW"),"",INDEX(J$1:J3042,SUMPRODUCT(MAX(ROW(E$1:E3042)*(E3043=E$1:E3042)))))</f>
        <v> </v>
      </c>
      <c r="L3043" s="27"/>
    </row>
    <row r="3044" spans="1:12">
      <c r="A3044" s="20" t="s">
        <v>1933</v>
      </c>
      <c r="E3044" s="22">
        <f>IF(D3044="?OLD","!!!","")</f>
        <v/>
      </c>
      <c r="F3044" s="23" t="str">
        <f>IF(OR(E3044="",E3044="!!!"),"",IF(NOT(ISNA(VLOOKUP(E3044,E$1:E3043,1,FALSE()))),"OLD",IF(AND(E3044&lt;&gt;"",E3044&lt;&gt;"!!!"),"NEW","")))</f>
        <v> </v>
      </c>
      <c r="G3044" s="24" t="str">
        <f>IF(OR(E3044="",E3044="!!!"),"",IF(OR(J3044=0,AND(J3044=1,K3044=1),AND(J3044=1,I3044="SBJ"),AND(J3044=1,I3044=0)),"?IN_FOCUS",IF(J3044&lt;=2,"?ACTIVATED",IF(J3044&lt;&gt;"","?FAMILIAR",IF(F3044="NEW",IF(ISNA(VLOOKUP(E3044,#REF!,1,FALSE())),"?TYPE_IDENTIFIABLE","?REFERENTIAL"),"_")))))</f>
        <v> </v>
      </c>
      <c r="H3044" s="25" t="str">
        <f>IF(J3044&lt;&gt;1,"",IF(I3044="SBJ","CB","?"))</f>
        <v> </v>
      </c>
      <c r="I3044" s="26" t="str">
        <f>IF(OR(E3044="",E3044="!!!",F3044="NEW"),"",INDEX(B3043:B$2,-1+SUMPRODUCT(MAX(ROW(E3043:E$2)*(E3044=E3043:E$2)))))</f>
        <v> </v>
      </c>
      <c r="J3044" s="26" t="str">
        <f>IF(OR(E3044="",E3044="!!!",F3044="NEW"),"",COUNTBLANK(OFFSET(A$1,,,SUMPRODUCT(MAX(ROW(E$2:E3044)*(E3044=E$2:E3044)))))-COUNTBLANK(OFFSET(A$1,,,SUMPRODUCT(MAX(ROW(E$1:E3043)*(E2=E$1:E3043))))))</f>
        <v> </v>
      </c>
      <c r="K3044" s="26" t="str">
        <f>IF(OR(E3044="",E3044="!!!",F3044="NEW"),"",INDEX(J$1:J3043,SUMPRODUCT(MAX(ROW(E$1:E3043)*(E3044=E$1:E3043)))))</f>
        <v> </v>
      </c>
      <c r="L3044" s="27"/>
    </row>
    <row r="3045" spans="1:12">
      <c r="A3045" s="20" t="s">
        <v>1324</v>
      </c>
      <c r="E3045" s="22">
        <f>IF(D3045="?OLD","!!!","")</f>
        <v/>
      </c>
      <c r="F3045" s="23" t="str">
        <f>IF(OR(E3045="",E3045="!!!"),"",IF(NOT(ISNA(VLOOKUP(E3045,E$1:E3044,1,FALSE()))),"OLD",IF(AND(E3045&lt;&gt;"",E3045&lt;&gt;"!!!"),"NEW","")))</f>
        <v> </v>
      </c>
      <c r="G3045" s="24" t="str">
        <f>IF(OR(E3045="",E3045="!!!"),"",IF(OR(J3045=0,AND(J3045=1,K3045=1),AND(J3045=1,I3045="SBJ"),AND(J3045=1,I3045=0)),"?IN_FOCUS",IF(J3045&lt;=2,"?ACTIVATED",IF(J3045&lt;&gt;"","?FAMILIAR",IF(F3045="NEW",IF(ISNA(VLOOKUP(E3045,#REF!,1,FALSE())),"?TYPE_IDENTIFIABLE","?REFERENTIAL"),"_")))))</f>
        <v> </v>
      </c>
      <c r="H3045" s="25" t="str">
        <f>IF(J3045&lt;&gt;1,"",IF(I3045="SBJ","CB","?"))</f>
        <v> </v>
      </c>
      <c r="I3045" s="26" t="str">
        <f>IF(OR(E3045="",E3045="!!!",F3045="NEW"),"",INDEX(B3044:B$2,-1+SUMPRODUCT(MAX(ROW(E3044:E$2)*(E3045=E3044:E$2)))))</f>
        <v> </v>
      </c>
      <c r="J3045" s="26" t="str">
        <f>IF(OR(E3045="",E3045="!!!",F3045="NEW"),"",COUNTBLANK(OFFSET(A$1,,,SUMPRODUCT(MAX(ROW(E$2:E3045)*(E3045=E$2:E3045)))))-COUNTBLANK(OFFSET(A$1,,,SUMPRODUCT(MAX(ROW(E$1:E3044)*(E2=E$1:E3044))))))</f>
        <v> </v>
      </c>
      <c r="K3045" s="26" t="str">
        <f>IF(OR(E3045="",E3045="!!!",F3045="NEW"),"",INDEX(J$1:J3044,SUMPRODUCT(MAX(ROW(E$1:E3044)*(E3045=E$1:E3044)))))</f>
        <v> </v>
      </c>
      <c r="L3045" s="27"/>
    </row>
    <row r="3046" spans="1:12">
      <c r="A3046" s="20" t="s">
        <v>1934</v>
      </c>
      <c r="B3046" s="21" t="s">
        <v>1085</v>
      </c>
      <c r="C3046" s="21" t="s">
        <v>1013</v>
      </c>
      <c r="D3046" s="21" t="s">
        <v>1007</v>
      </c>
      <c r="E3046" s="22">
        <f>IF(D3046="?OLD","!!!","")</f>
        <v/>
      </c>
      <c r="F3046" s="23" t="str">
        <f>IF(OR(E3046="",E3046="!!!"),"",IF(NOT(ISNA(VLOOKUP(E3046,E$1:E3045,1,FALSE()))),"OLD",IF(AND(E3046&lt;&gt;"",E3046&lt;&gt;"!!!"),"NEW","")))</f>
        <v> </v>
      </c>
      <c r="G3046" s="24" t="str">
        <f>IF(OR(E3046="",E3046="!!!"),"",IF(OR(J3046=0,AND(J3046=1,K3046=1),AND(J3046=1,I3046="SBJ"),AND(J3046=1,I3046=0)),"?IN_FOCUS",IF(J3046&lt;=2,"?ACTIVATED",IF(J3046&lt;&gt;"","?FAMILIAR",IF(F3046="NEW",IF(ISNA(VLOOKUP(E3046,#REF!,1,FALSE())),"?TYPE_IDENTIFIABLE","?REFERENTIAL"),"_")))))</f>
        <v> </v>
      </c>
      <c r="H3046" s="25" t="str">
        <f>IF(J3046&lt;&gt;1,"",IF(I3046="SBJ","CB","?"))</f>
        <v> </v>
      </c>
      <c r="I3046" s="26" t="str">
        <f>IF(OR(E3046="",E3046="!!!",F3046="NEW"),"",INDEX(B3045:B$2,-1+SUMPRODUCT(MAX(ROW(E3045:E$2)*(E3046=E3045:E$2)))))</f>
        <v> </v>
      </c>
      <c r="J3046" s="26" t="str">
        <f>IF(OR(E3046="",E3046="!!!",F3046="NEW"),"",COUNTBLANK(OFFSET(A$1,,,SUMPRODUCT(MAX(ROW(E$2:E3046)*(E3046=E$2:E3046)))))-COUNTBLANK(OFFSET(A$1,,,SUMPRODUCT(MAX(ROW(E$1:E3045)*(E2=E$1:E3045))))))</f>
        <v> </v>
      </c>
      <c r="K3046" s="26" t="str">
        <f>IF(OR(E3046="",E3046="!!!",F3046="NEW"),"",INDEX(J$1:J3045,SUMPRODUCT(MAX(ROW(E$1:E3045)*(E3046=E$1:E3045)))))</f>
        <v> </v>
      </c>
      <c r="L3046" s="27"/>
    </row>
    <row r="3047" spans="1:12">
      <c r="A3047" s="20" t="s">
        <v>1014</v>
      </c>
      <c r="E3047" s="22">
        <f>IF(D3047="?OLD","!!!","")</f>
        <v/>
      </c>
      <c r="F3047" s="23" t="str">
        <f>IF(OR(E3047="",E3047="!!!"),"",IF(NOT(ISNA(VLOOKUP(E3047,E$1:E3046,1,FALSE()))),"OLD",IF(AND(E3047&lt;&gt;"",E3047&lt;&gt;"!!!"),"NEW","")))</f>
        <v> </v>
      </c>
      <c r="G3047" s="24" t="str">
        <f>IF(OR(E3047="",E3047="!!!"),"",IF(OR(J3047=0,AND(J3047=1,K3047=1),AND(J3047=1,I3047="SBJ"),AND(J3047=1,I3047=0)),"?IN_FOCUS",IF(J3047&lt;=2,"?ACTIVATED",IF(J3047&lt;&gt;"","?FAMILIAR",IF(F3047="NEW",IF(ISNA(VLOOKUP(E3047,#REF!,1,FALSE())),"?TYPE_IDENTIFIABLE","?REFERENTIAL"),"_")))))</f>
        <v> </v>
      </c>
      <c r="H3047" s="25" t="str">
        <f>IF(J3047&lt;&gt;1,"",IF(I3047="SBJ","CB","?"))</f>
        <v> </v>
      </c>
      <c r="I3047" s="26" t="str">
        <f>IF(OR(E3047="",E3047="!!!",F3047="NEW"),"",INDEX(B3046:B$2,-1+SUMPRODUCT(MAX(ROW(E3046:E$2)*(E3047=E3046:E$2)))))</f>
        <v> </v>
      </c>
      <c r="J3047" s="26" t="str">
        <f>IF(OR(E3047="",E3047="!!!",F3047="NEW"),"",COUNTBLANK(OFFSET(A$1,,,SUMPRODUCT(MAX(ROW(E$2:E3047)*(E3047=E$2:E3047)))))-COUNTBLANK(OFFSET(A$1,,,SUMPRODUCT(MAX(ROW(E$1:E3046)*(E2=E$1:E3046))))))</f>
        <v> </v>
      </c>
      <c r="K3047" s="26" t="str">
        <f>IF(OR(E3047="",E3047="!!!",F3047="NEW"),"",INDEX(J$1:J3046,SUMPRODUCT(MAX(ROW(E$1:E3046)*(E3047=E$1:E3046)))))</f>
        <v> </v>
      </c>
      <c r="L3047" s="27"/>
    </row>
    <row r="3048" spans="1:12">
      <c r="A3048" s="20" t="s">
        <v>1935</v>
      </c>
      <c r="B3048" s="21" t="s">
        <v>1022</v>
      </c>
      <c r="C3048" s="21" t="s">
        <v>1006</v>
      </c>
      <c r="D3048" s="21" t="s">
        <v>1007</v>
      </c>
      <c r="E3048" s="22">
        <f>IF(D3048="?OLD","!!!","")</f>
        <v/>
      </c>
      <c r="F3048" s="23" t="str">
        <f>IF(OR(E3048="",E3048="!!!"),"",IF(NOT(ISNA(VLOOKUP(E3048,E$1:E3047,1,FALSE()))),"OLD",IF(AND(E3048&lt;&gt;"",E3048&lt;&gt;"!!!"),"NEW","")))</f>
        <v> </v>
      </c>
      <c r="G3048" s="24" t="str">
        <f>IF(OR(E3048="",E3048="!!!"),"",IF(OR(J3048=0,AND(J3048=1,K3048=1),AND(J3048=1,I3048="SBJ"),AND(J3048=1,I3048=0)),"?IN_FOCUS",IF(J3048&lt;=2,"?ACTIVATED",IF(J3048&lt;&gt;"","?FAMILIAR",IF(F3048="NEW",IF(ISNA(VLOOKUP(E3048,#REF!,1,FALSE())),"?TYPE_IDENTIFIABLE","?REFERENTIAL"),"_")))))</f>
        <v> </v>
      </c>
      <c r="H3048" s="25" t="str">
        <f>IF(J3048&lt;&gt;1,"",IF(I3048="SBJ","CB","?"))</f>
        <v> </v>
      </c>
      <c r="I3048" s="26" t="str">
        <f>IF(OR(E3048="",E3048="!!!",F3048="NEW"),"",INDEX(B3047:B$2,-1+SUMPRODUCT(MAX(ROW(E3047:E$2)*(E3048=E3047:E$2)))))</f>
        <v> </v>
      </c>
      <c r="J3048" s="26" t="str">
        <f>IF(OR(E3048="",E3048="!!!",F3048="NEW"),"",COUNTBLANK(OFFSET(A$1,,,SUMPRODUCT(MAX(ROW(E$2:E3048)*(E3048=E$2:E3048)))))-COUNTBLANK(OFFSET(A$1,,,SUMPRODUCT(MAX(ROW(E$1:E3047)*(E2=E$1:E3047))))))</f>
        <v> </v>
      </c>
      <c r="K3048" s="26" t="str">
        <f>IF(OR(E3048="",E3048="!!!",F3048="NEW"),"",INDEX(J$1:J3047,SUMPRODUCT(MAX(ROW(E$1:E3047)*(E3048=E$1:E3047)))))</f>
        <v> </v>
      </c>
      <c r="L3048" s="27"/>
    </row>
    <row r="3049" spans="1:12">
      <c r="A3049" s="20" t="s">
        <v>1936</v>
      </c>
      <c r="B3049" s="21" t="s">
        <v>1033</v>
      </c>
      <c r="C3049" s="21" t="s">
        <v>1006</v>
      </c>
      <c r="D3049" s="21" t="s">
        <v>1007</v>
      </c>
      <c r="E3049" s="22">
        <f>IF(D3049="?OLD","!!!","")</f>
        <v/>
      </c>
      <c r="F3049" s="23" t="str">
        <f>IF(OR(E3049="",E3049="!!!"),"",IF(NOT(ISNA(VLOOKUP(E3049,E$1:E3048,1,FALSE()))),"OLD",IF(AND(E3049&lt;&gt;"",E3049&lt;&gt;"!!!"),"NEW","")))</f>
        <v> </v>
      </c>
      <c r="G3049" s="24" t="str">
        <f>IF(OR(E3049="",E3049="!!!"),"",IF(OR(J3049=0,AND(J3049=1,K3049=1),AND(J3049=1,I3049="SBJ"),AND(J3049=1,I3049=0)),"?IN_FOCUS",IF(J3049&lt;=2,"?ACTIVATED",IF(J3049&lt;&gt;"","?FAMILIAR",IF(F3049="NEW",IF(ISNA(VLOOKUP(E3049,#REF!,1,FALSE())),"?TYPE_IDENTIFIABLE","?REFERENTIAL"),"_")))))</f>
        <v> </v>
      </c>
      <c r="H3049" s="25" t="str">
        <f>IF(J3049&lt;&gt;1,"",IF(I3049="SBJ","CB","?"))</f>
        <v> </v>
      </c>
      <c r="I3049" s="26" t="str">
        <f>IF(OR(E3049="",E3049="!!!",F3049="NEW"),"",INDEX(B3048:B$2,-1+SUMPRODUCT(MAX(ROW(E3048:E$2)*(E3049=E3048:E$2)))))</f>
        <v> </v>
      </c>
      <c r="J3049" s="26" t="str">
        <f>IF(OR(E3049="",E3049="!!!",F3049="NEW"),"",COUNTBLANK(OFFSET(A$1,,,SUMPRODUCT(MAX(ROW(E$2:E3049)*(E3049=E$2:E3049)))))-COUNTBLANK(OFFSET(A$1,,,SUMPRODUCT(MAX(ROW(E$1:E3048)*(E2=E$1:E3048))))))</f>
        <v> </v>
      </c>
      <c r="K3049" s="26" t="str">
        <f>IF(OR(E3049="",E3049="!!!",F3049="NEW"),"",INDEX(J$1:J3048,SUMPRODUCT(MAX(ROW(E$1:E3048)*(E3049=E$1:E3048)))))</f>
        <v> </v>
      </c>
      <c r="L3049" s="27"/>
    </row>
    <row r="3050" spans="1:12">
      <c r="A3050" s="20" t="s">
        <v>1065</v>
      </c>
      <c r="B3050" s="21" t="s">
        <v>1154</v>
      </c>
      <c r="E3050" s="22">
        <f>IF(D3050="?OLD","!!!","")</f>
        <v/>
      </c>
      <c r="F3050" s="23" t="str">
        <f>IF(OR(E3050="",E3050="!!!"),"",IF(NOT(ISNA(VLOOKUP(E3050,E$1:E3049,1,FALSE()))),"OLD",IF(AND(E3050&lt;&gt;"",E3050&lt;&gt;"!!!"),"NEW","")))</f>
        <v> </v>
      </c>
      <c r="G3050" s="24" t="str">
        <f>IF(OR(E3050="",E3050="!!!"),"",IF(OR(J3050=0,AND(J3050=1,K3050=1),AND(J3050=1,I3050="SBJ"),AND(J3050=1,I3050=0)),"?IN_FOCUS",IF(J3050&lt;=2,"?ACTIVATED",IF(J3050&lt;&gt;"","?FAMILIAR",IF(F3050="NEW",IF(ISNA(VLOOKUP(E3050,#REF!,1,FALSE())),"?TYPE_IDENTIFIABLE","?REFERENTIAL"),"_")))))</f>
        <v> </v>
      </c>
      <c r="H3050" s="25" t="str">
        <f>IF(J3050&lt;&gt;1,"",IF(I3050="SBJ","CB","?"))</f>
        <v> </v>
      </c>
      <c r="I3050" s="26" t="str">
        <f>IF(OR(E3050="",E3050="!!!",F3050="NEW"),"",INDEX(B3049:B$2,-1+SUMPRODUCT(MAX(ROW(E3049:E$2)*(E3050=E3049:E$2)))))</f>
        <v> </v>
      </c>
      <c r="J3050" s="26" t="str">
        <f>IF(OR(E3050="",E3050="!!!",F3050="NEW"),"",COUNTBLANK(OFFSET(A$1,,,SUMPRODUCT(MAX(ROW(E$2:E3050)*(E3050=E$2:E3050)))))-COUNTBLANK(OFFSET(A$1,,,SUMPRODUCT(MAX(ROW(E$1:E3049)*(E2=E$1:E3049))))))</f>
        <v> </v>
      </c>
      <c r="K3050" s="26" t="str">
        <f>IF(OR(E3050="",E3050="!!!",F3050="NEW"),"",INDEX(J$1:J3049,SUMPRODUCT(MAX(ROW(E$1:E3049)*(E3050=E$1:E3049)))))</f>
        <v> </v>
      </c>
      <c r="L3050" s="27"/>
    </row>
    <row r="3051" spans="1:12">
      <c r="A3051" s="20" t="s">
        <v>1937</v>
      </c>
      <c r="E3051" s="22">
        <f>IF(D3051="?OLD","!!!","")</f>
        <v/>
      </c>
      <c r="F3051" s="23" t="str">
        <f>IF(OR(E3051="",E3051="!!!"),"",IF(NOT(ISNA(VLOOKUP(E3051,E$1:E3050,1,FALSE()))),"OLD",IF(AND(E3051&lt;&gt;"",E3051&lt;&gt;"!!!"),"NEW","")))</f>
        <v> </v>
      </c>
      <c r="G3051" s="24" t="str">
        <f>IF(OR(E3051="",E3051="!!!"),"",IF(OR(J3051=0,AND(J3051=1,K3051=1),AND(J3051=1,I3051="SBJ"),AND(J3051=1,I3051=0)),"?IN_FOCUS",IF(J3051&lt;=2,"?ACTIVATED",IF(J3051&lt;&gt;"","?FAMILIAR",IF(F3051="NEW",IF(ISNA(VLOOKUP(E3051,#REF!,1,FALSE())),"?TYPE_IDENTIFIABLE","?REFERENTIAL"),"_")))))</f>
        <v> </v>
      </c>
      <c r="H3051" s="25" t="str">
        <f>IF(J3051&lt;&gt;1,"",IF(I3051="SBJ","CB","?"))</f>
        <v> </v>
      </c>
      <c r="I3051" s="26" t="str">
        <f>IF(OR(E3051="",E3051="!!!",F3051="NEW"),"",INDEX(B3050:B$2,-1+SUMPRODUCT(MAX(ROW(E3050:E$2)*(E3051=E3050:E$2)))))</f>
        <v> </v>
      </c>
      <c r="J3051" s="26" t="str">
        <f>IF(OR(E3051="",E3051="!!!",F3051="NEW"),"",COUNTBLANK(OFFSET(A$1,,,SUMPRODUCT(MAX(ROW(E$2:E3051)*(E3051=E$2:E3051)))))-COUNTBLANK(OFFSET(A$1,,,SUMPRODUCT(MAX(ROW(E$1:E3050)*(E2=E$1:E3050))))))</f>
        <v> </v>
      </c>
      <c r="K3051" s="26" t="str">
        <f>IF(OR(E3051="",E3051="!!!",F3051="NEW"),"",INDEX(J$1:J3050,SUMPRODUCT(MAX(ROW(E$1:E3050)*(E3051=E$1:E3050)))))</f>
        <v> </v>
      </c>
      <c r="L3051" s="27"/>
    </row>
    <row r="3052" spans="1:12">
      <c r="A3052" s="20" t="s">
        <v>1065</v>
      </c>
      <c r="E3052" s="22">
        <f>IF(D3052="?OLD","!!!","")</f>
        <v/>
      </c>
      <c r="F3052" s="23" t="str">
        <f>IF(OR(E3052="",E3052="!!!"),"",IF(NOT(ISNA(VLOOKUP(E3052,E$1:E3051,1,FALSE()))),"OLD",IF(AND(E3052&lt;&gt;"",E3052&lt;&gt;"!!!"),"NEW","")))</f>
        <v> </v>
      </c>
      <c r="G3052" s="24" t="str">
        <f>IF(OR(E3052="",E3052="!!!"),"",IF(OR(J3052=0,AND(J3052=1,K3052=1),AND(J3052=1,I3052="SBJ"),AND(J3052=1,I3052=0)),"?IN_FOCUS",IF(J3052&lt;=2,"?ACTIVATED",IF(J3052&lt;&gt;"","?FAMILIAR",IF(F3052="NEW",IF(ISNA(VLOOKUP(E3052,#REF!,1,FALSE())),"?TYPE_IDENTIFIABLE","?REFERENTIAL"),"_")))))</f>
        <v> </v>
      </c>
      <c r="H3052" s="25" t="str">
        <f>IF(J3052&lt;&gt;1,"",IF(I3052="SBJ","CB","?"))</f>
        <v> </v>
      </c>
      <c r="I3052" s="26" t="str">
        <f>IF(OR(E3052="",E3052="!!!",F3052="NEW"),"",INDEX(B3051:B$2,-1+SUMPRODUCT(MAX(ROW(E3051:E$2)*(E3052=E3051:E$2)))))</f>
        <v> </v>
      </c>
      <c r="J3052" s="26" t="str">
        <f>IF(OR(E3052="",E3052="!!!",F3052="NEW"),"",COUNTBLANK(OFFSET(A$1,,,SUMPRODUCT(MAX(ROW(E$2:E3052)*(E3052=E$2:E3052)))))-COUNTBLANK(OFFSET(A$1,,,SUMPRODUCT(MAX(ROW(E$1:E3051)*(E2=E$1:E3051))))))</f>
        <v> </v>
      </c>
      <c r="K3052" s="26" t="str">
        <f>IF(OR(E3052="",E3052="!!!",F3052="NEW"),"",INDEX(J$1:J3051,SUMPRODUCT(MAX(ROW(E$1:E3051)*(E3052=E$1:E3051)))))</f>
        <v> </v>
      </c>
      <c r="L3052" s="27"/>
    </row>
    <row r="3053" spans="1:12">
      <c r="A3053" s="20" t="s">
        <v>1938</v>
      </c>
      <c r="B3053" s="21" t="s">
        <v>1120</v>
      </c>
      <c r="C3053" s="21" t="s">
        <v>1006</v>
      </c>
      <c r="D3053" s="21" t="s">
        <v>1007</v>
      </c>
      <c r="E3053" s="22">
        <f>IF(D3053="?OLD","!!!","")</f>
        <v/>
      </c>
      <c r="F3053" s="23" t="str">
        <f>IF(OR(E3053="",E3053="!!!"),"",IF(NOT(ISNA(VLOOKUP(E3053,E$1:E3052,1,FALSE()))),"OLD",IF(AND(E3053&lt;&gt;"",E3053&lt;&gt;"!!!"),"NEW","")))</f>
        <v> </v>
      </c>
      <c r="G3053" s="24" t="str">
        <f>IF(OR(E3053="",E3053="!!!"),"",IF(OR(J3053=0,AND(J3053=1,K3053=1),AND(J3053=1,I3053="SBJ"),AND(J3053=1,I3053=0)),"?IN_FOCUS",IF(J3053&lt;=2,"?ACTIVATED",IF(J3053&lt;&gt;"","?FAMILIAR",IF(F3053="NEW",IF(ISNA(VLOOKUP(E3053,#REF!,1,FALSE())),"?TYPE_IDENTIFIABLE","?REFERENTIAL"),"_")))))</f>
        <v> </v>
      </c>
      <c r="H3053" s="25" t="str">
        <f>IF(J3053&lt;&gt;1,"",IF(I3053="SBJ","CB","?"))</f>
        <v> </v>
      </c>
      <c r="I3053" s="26" t="str">
        <f>IF(OR(E3053="",E3053="!!!",F3053="NEW"),"",INDEX(B3052:B$2,-1+SUMPRODUCT(MAX(ROW(E3052:E$2)*(E3053=E3052:E$2)))))</f>
        <v> </v>
      </c>
      <c r="J3053" s="26" t="str">
        <f>IF(OR(E3053="",E3053="!!!",F3053="NEW"),"",COUNTBLANK(OFFSET(A$1,,,SUMPRODUCT(MAX(ROW(E$2:E3053)*(E3053=E$2:E3053)))))-COUNTBLANK(OFFSET(A$1,,,SUMPRODUCT(MAX(ROW(E$1:E3052)*(E2=E$1:E3052))))))</f>
        <v> </v>
      </c>
      <c r="K3053" s="26" t="str">
        <f>IF(OR(E3053="",E3053="!!!",F3053="NEW"),"",INDEX(J$1:J3052,SUMPRODUCT(MAX(ROW(E$1:E3052)*(E3053=E$1:E3052)))))</f>
        <v> </v>
      </c>
      <c r="L3053" s="27"/>
    </row>
    <row r="3054" spans="1:12">
      <c r="A3054" s="20" t="s">
        <v>1939</v>
      </c>
      <c r="B3054" s="21" t="s">
        <v>1130</v>
      </c>
      <c r="C3054" s="21" t="s">
        <v>1006</v>
      </c>
      <c r="D3054" s="21" t="s">
        <v>1007</v>
      </c>
      <c r="E3054" s="22">
        <f>IF(D3054="?OLD","!!!","")</f>
        <v/>
      </c>
      <c r="F3054" s="23" t="str">
        <f>IF(OR(E3054="",E3054="!!!"),"",IF(NOT(ISNA(VLOOKUP(E3054,E$1:E3053,1,FALSE()))),"OLD",IF(AND(E3054&lt;&gt;"",E3054&lt;&gt;"!!!"),"NEW","")))</f>
        <v> </v>
      </c>
      <c r="G3054" s="24" t="str">
        <f>IF(OR(E3054="",E3054="!!!"),"",IF(OR(J3054=0,AND(J3054=1,K3054=1),AND(J3054=1,I3054="SBJ"),AND(J3054=1,I3054=0)),"?IN_FOCUS",IF(J3054&lt;=2,"?ACTIVATED",IF(J3054&lt;&gt;"","?FAMILIAR",IF(F3054="NEW",IF(ISNA(VLOOKUP(E3054,#REF!,1,FALSE())),"?TYPE_IDENTIFIABLE","?REFERENTIAL"),"_")))))</f>
        <v> </v>
      </c>
      <c r="H3054" s="25" t="str">
        <f>IF(J3054&lt;&gt;1,"",IF(I3054="SBJ","CB","?"))</f>
        <v> </v>
      </c>
      <c r="I3054" s="26" t="str">
        <f>IF(OR(E3054="",E3054="!!!",F3054="NEW"),"",INDEX(B3053:B$2,-1+SUMPRODUCT(MAX(ROW(E3053:E$2)*(E3054=E3053:E$2)))))</f>
        <v> </v>
      </c>
      <c r="J3054" s="26" t="str">
        <f>IF(OR(E3054="",E3054="!!!",F3054="NEW"),"",COUNTBLANK(OFFSET(A$1,,,SUMPRODUCT(MAX(ROW(E$2:E3054)*(E3054=E$2:E3054)))))-COUNTBLANK(OFFSET(A$1,,,SUMPRODUCT(MAX(ROW(E$1:E3053)*(E2=E$1:E3053))))))</f>
        <v> </v>
      </c>
      <c r="K3054" s="26" t="str">
        <f>IF(OR(E3054="",E3054="!!!",F3054="NEW"),"",INDEX(J$1:J3053,SUMPRODUCT(MAX(ROW(E$1:E3053)*(E3054=E$1:E3053)))))</f>
        <v> </v>
      </c>
      <c r="L3054" s="27"/>
    </row>
    <row r="3055" spans="1:12">
      <c r="A3055" s="20" t="s">
        <v>1397</v>
      </c>
      <c r="E3055" s="22">
        <f>IF(D3055="?OLD","!!!","")</f>
        <v/>
      </c>
      <c r="F3055" s="23" t="str">
        <f>IF(OR(E3055="",E3055="!!!"),"",IF(NOT(ISNA(VLOOKUP(E3055,E$1:E3054,1,FALSE()))),"OLD",IF(AND(E3055&lt;&gt;"",E3055&lt;&gt;"!!!"),"NEW","")))</f>
        <v> </v>
      </c>
      <c r="G3055" s="24" t="str">
        <f>IF(OR(E3055="",E3055="!!!"),"",IF(OR(J3055=0,AND(J3055=1,K3055=1),AND(J3055=1,I3055="SBJ"),AND(J3055=1,I3055=0)),"?IN_FOCUS",IF(J3055&lt;=2,"?ACTIVATED",IF(J3055&lt;&gt;"","?FAMILIAR",IF(F3055="NEW",IF(ISNA(VLOOKUP(E3055,#REF!,1,FALSE())),"?TYPE_IDENTIFIABLE","?REFERENTIAL"),"_")))))</f>
        <v> </v>
      </c>
      <c r="H3055" s="25" t="str">
        <f>IF(J3055&lt;&gt;1,"",IF(I3055="SBJ","CB","?"))</f>
        <v> </v>
      </c>
      <c r="I3055" s="26" t="str">
        <f>IF(OR(E3055="",E3055="!!!",F3055="NEW"),"",INDEX(B3054:B$2,-1+SUMPRODUCT(MAX(ROW(E3054:E$2)*(E3055=E3054:E$2)))))</f>
        <v> </v>
      </c>
      <c r="J3055" s="26" t="str">
        <f>IF(OR(E3055="",E3055="!!!",F3055="NEW"),"",COUNTBLANK(OFFSET(A$1,,,SUMPRODUCT(MAX(ROW(E$2:E3055)*(E3055=E$2:E3055)))))-COUNTBLANK(OFFSET(A$1,,,SUMPRODUCT(MAX(ROW(E$1:E3054)*(E2=E$1:E3054))))))</f>
        <v> </v>
      </c>
      <c r="K3055" s="26" t="str">
        <f>IF(OR(E3055="",E3055="!!!",F3055="NEW"),"",INDEX(J$1:J3054,SUMPRODUCT(MAX(ROW(E$1:E3054)*(E3055=E$1:E3054)))))</f>
        <v> </v>
      </c>
      <c r="L3055" s="27"/>
    </row>
    <row r="3056" spans="1:12">
      <c r="A3056" s="20" t="s">
        <v>1324</v>
      </c>
      <c r="E3056" s="22">
        <f>IF(D3056="?OLD","!!!","")</f>
        <v/>
      </c>
      <c r="F3056" s="23" t="str">
        <f>IF(OR(E3056="",E3056="!!!"),"",IF(NOT(ISNA(VLOOKUP(E3056,E$1:E3055,1,FALSE()))),"OLD",IF(AND(E3056&lt;&gt;"",E3056&lt;&gt;"!!!"),"NEW","")))</f>
        <v> </v>
      </c>
      <c r="G3056" s="24" t="str">
        <f>IF(OR(E3056="",E3056="!!!"),"",IF(OR(J3056=0,AND(J3056=1,K3056=1),AND(J3056=1,I3056="SBJ"),AND(J3056=1,I3056=0)),"?IN_FOCUS",IF(J3056&lt;=2,"?ACTIVATED",IF(J3056&lt;&gt;"","?FAMILIAR",IF(F3056="NEW",IF(ISNA(VLOOKUP(E3056,#REF!,1,FALSE())),"?TYPE_IDENTIFIABLE","?REFERENTIAL"),"_")))))</f>
        <v> </v>
      </c>
      <c r="H3056" s="25" t="str">
        <f>IF(J3056&lt;&gt;1,"",IF(I3056="SBJ","CB","?"))</f>
        <v> </v>
      </c>
      <c r="I3056" s="26" t="str">
        <f>IF(OR(E3056="",E3056="!!!",F3056="NEW"),"",INDEX(B3055:B$2,-1+SUMPRODUCT(MAX(ROW(E3055:E$2)*(E3056=E3055:E$2)))))</f>
        <v> </v>
      </c>
      <c r="J3056" s="26" t="str">
        <f>IF(OR(E3056="",E3056="!!!",F3056="NEW"),"",COUNTBLANK(OFFSET(A$1,,,SUMPRODUCT(MAX(ROW(E$2:E3056)*(E3056=E$2:E3056)))))-COUNTBLANK(OFFSET(A$1,,,SUMPRODUCT(MAX(ROW(E$1:E3055)*(E2=E$1:E3055))))))</f>
        <v> </v>
      </c>
      <c r="K3056" s="26" t="str">
        <f>IF(OR(E3056="",E3056="!!!",F3056="NEW"),"",INDEX(J$1:J3055,SUMPRODUCT(MAX(ROW(E$1:E3055)*(E3056=E$1:E3055)))))</f>
        <v> </v>
      </c>
      <c r="L3056" s="27"/>
    </row>
    <row r="3057" spans="1:12">
      <c r="A3057" s="20" t="s">
        <v>1940</v>
      </c>
      <c r="B3057" s="21" t="s">
        <v>1033</v>
      </c>
      <c r="C3057" s="21" t="s">
        <v>1013</v>
      </c>
      <c r="D3057" s="21" t="s">
        <v>1007</v>
      </c>
      <c r="E3057" s="22">
        <f>IF(D3057="?OLD","!!!","")</f>
        <v/>
      </c>
      <c r="F3057" s="23" t="str">
        <f>IF(OR(E3057="",E3057="!!!"),"",IF(NOT(ISNA(VLOOKUP(E3057,E$1:E3056,1,FALSE()))),"OLD",IF(AND(E3057&lt;&gt;"",E3057&lt;&gt;"!!!"),"NEW","")))</f>
        <v> </v>
      </c>
      <c r="G3057" s="24" t="str">
        <f>IF(OR(E3057="",E3057="!!!"),"",IF(OR(J3057=0,AND(J3057=1,K3057=1),AND(J3057=1,I3057="SBJ"),AND(J3057=1,I3057=0)),"?IN_FOCUS",IF(J3057&lt;=2,"?ACTIVATED",IF(J3057&lt;&gt;"","?FAMILIAR",IF(F3057="NEW",IF(ISNA(VLOOKUP(E3057,#REF!,1,FALSE())),"?TYPE_IDENTIFIABLE","?REFERENTIAL"),"_")))))</f>
        <v> </v>
      </c>
      <c r="H3057" s="25" t="str">
        <f>IF(J3057&lt;&gt;1,"",IF(I3057="SBJ","CB","?"))</f>
        <v> </v>
      </c>
      <c r="I3057" s="26" t="str">
        <f>IF(OR(E3057="",E3057="!!!",F3057="NEW"),"",INDEX(B3056:B$2,-1+SUMPRODUCT(MAX(ROW(E3056:E$2)*(E3057=E3056:E$2)))))</f>
        <v> </v>
      </c>
      <c r="J3057" s="26" t="str">
        <f>IF(OR(E3057="",E3057="!!!",F3057="NEW"),"",COUNTBLANK(OFFSET(A$1,,,SUMPRODUCT(MAX(ROW(E$2:E3057)*(E3057=E$2:E3057)))))-COUNTBLANK(OFFSET(A$1,,,SUMPRODUCT(MAX(ROW(E$1:E3056)*(E2=E$1:E3056))))))</f>
        <v> </v>
      </c>
      <c r="K3057" s="26" t="str">
        <f>IF(OR(E3057="",E3057="!!!",F3057="NEW"),"",INDEX(J$1:J3056,SUMPRODUCT(MAX(ROW(E$1:E3056)*(E3057=E$1:E3056)))))</f>
        <v> </v>
      </c>
      <c r="L3057" s="27"/>
    </row>
    <row r="3058" spans="1:12">
      <c r="A3058" s="20" t="s">
        <v>1014</v>
      </c>
      <c r="E3058" s="22">
        <f>IF(D3058="?OLD","!!!","")</f>
        <v/>
      </c>
      <c r="F3058" s="23" t="str">
        <f>IF(OR(E3058="",E3058="!!!"),"",IF(NOT(ISNA(VLOOKUP(E3058,E$1:E3057,1,FALSE()))),"OLD",IF(AND(E3058&lt;&gt;"",E3058&lt;&gt;"!!!"),"NEW","")))</f>
        <v> </v>
      </c>
      <c r="G3058" s="24" t="str">
        <f>IF(OR(E3058="",E3058="!!!"),"",IF(OR(J3058=0,AND(J3058=1,K3058=1),AND(J3058=1,I3058="SBJ"),AND(J3058=1,I3058=0)),"?IN_FOCUS",IF(J3058&lt;=2,"?ACTIVATED",IF(J3058&lt;&gt;"","?FAMILIAR",IF(F3058="NEW",IF(ISNA(VLOOKUP(E3058,#REF!,1,FALSE())),"?TYPE_IDENTIFIABLE","?REFERENTIAL"),"_")))))</f>
        <v> </v>
      </c>
      <c r="H3058" s="25" t="str">
        <f>IF(J3058&lt;&gt;1,"",IF(I3058="SBJ","CB","?"))</f>
        <v> </v>
      </c>
      <c r="I3058" s="26" t="str">
        <f>IF(OR(E3058="",E3058="!!!",F3058="NEW"),"",INDEX(B3057:B$2,-1+SUMPRODUCT(MAX(ROW(E3057:E$2)*(E3058=E3057:E$2)))))</f>
        <v> </v>
      </c>
      <c r="J3058" s="26" t="str">
        <f>IF(OR(E3058="",E3058="!!!",F3058="NEW"),"",COUNTBLANK(OFFSET(A$1,,,SUMPRODUCT(MAX(ROW(E$2:E3058)*(E3058=E$2:E3058)))))-COUNTBLANK(OFFSET(A$1,,,SUMPRODUCT(MAX(ROW(E$1:E3057)*(E2=E$1:E3057))))))</f>
        <v> </v>
      </c>
      <c r="K3058" s="26" t="str">
        <f>IF(OR(E3058="",E3058="!!!",F3058="NEW"),"",INDEX(J$1:J3057,SUMPRODUCT(MAX(ROW(E$1:E3057)*(E3058=E$1:E3057)))))</f>
        <v> </v>
      </c>
      <c r="L3058" s="27"/>
    </row>
    <row r="3059" spans="1:12">
      <c r="A3059" s="20" t="s">
        <v>1941</v>
      </c>
      <c r="B3059" s="21" t="s">
        <v>1035</v>
      </c>
      <c r="C3059" s="21" t="s">
        <v>1048</v>
      </c>
      <c r="E3059" s="22">
        <f>IF(D3059="?OLD","!!!","")</f>
        <v/>
      </c>
      <c r="F3059" s="23" t="str">
        <f>IF(OR(E3059="",E3059="!!!"),"",IF(NOT(ISNA(VLOOKUP(E3059,E$1:E3058,1,FALSE()))),"OLD",IF(AND(E3059&lt;&gt;"",E3059&lt;&gt;"!!!"),"NEW","")))</f>
        <v> </v>
      </c>
      <c r="G3059" s="24" t="str">
        <f>IF(OR(E3059="",E3059="!!!"),"",IF(OR(J3059=0,AND(J3059=1,K3059=1),AND(J3059=1,I3059="SBJ"),AND(J3059=1,I3059=0)),"?IN_FOCUS",IF(J3059&lt;=2,"?ACTIVATED",IF(J3059&lt;&gt;"","?FAMILIAR",IF(F3059="NEW",IF(ISNA(VLOOKUP(E3059,#REF!,1,FALSE())),"?TYPE_IDENTIFIABLE","?REFERENTIAL"),"_")))))</f>
        <v> </v>
      </c>
      <c r="H3059" s="25" t="str">
        <f>IF(J3059&lt;&gt;1,"",IF(I3059="SBJ","CB","?"))</f>
        <v> </v>
      </c>
      <c r="I3059" s="26" t="str">
        <f>IF(OR(E3059="",E3059="!!!",F3059="NEW"),"",INDEX(B3058:B$2,-1+SUMPRODUCT(MAX(ROW(E3058:E$2)*(E3059=E3058:E$2)))))</f>
        <v> </v>
      </c>
      <c r="J3059" s="26" t="str">
        <f>IF(OR(E3059="",E3059="!!!",F3059="NEW"),"",COUNTBLANK(OFFSET(A$1,,,SUMPRODUCT(MAX(ROW(E$2:E3059)*(E3059=E$2:E3059)))))-COUNTBLANK(OFFSET(A$1,,,SUMPRODUCT(MAX(ROW(E$1:E3058)*(E2=E$1:E3058))))))</f>
        <v> </v>
      </c>
      <c r="K3059" s="26" t="str">
        <f>IF(OR(E3059="",E3059="!!!",F3059="NEW"),"",INDEX(J$1:J3058,SUMPRODUCT(MAX(ROW(E$1:E3058)*(E3059=E$1:E3058)))))</f>
        <v> </v>
      </c>
      <c r="L3059" s="27"/>
    </row>
    <row r="3060" spans="1:12">
      <c r="A3060" s="20" t="s">
        <v>56</v>
      </c>
      <c r="E3060" s="22">
        <f>IF(D3060="?OLD","!!!","")</f>
        <v/>
      </c>
      <c r="F3060" s="23" t="str">
        <f>IF(OR(E3060="",E3060="!!!"),"",IF(NOT(ISNA(VLOOKUP(E3060,E$1:E3059,1,FALSE()))),"OLD",IF(AND(E3060&lt;&gt;"",E3060&lt;&gt;"!!!"),"NEW","")))</f>
        <v> </v>
      </c>
      <c r="G3060" s="24" t="str">
        <f>IF(OR(E3060="",E3060="!!!"),"",IF(OR(J3060=0,AND(J3060=1,K3060=1),AND(J3060=1,I3060="SBJ"),AND(J3060=1,I3060=0)),"?IN_FOCUS",IF(J3060&lt;=2,"?ACTIVATED",IF(J3060&lt;&gt;"","?FAMILIAR",IF(F3060="NEW",IF(ISNA(VLOOKUP(E3060,#REF!,1,FALSE())),"?TYPE_IDENTIFIABLE","?REFERENTIAL"),"_")))))</f>
        <v> </v>
      </c>
      <c r="H3060" s="25" t="str">
        <f>IF(J3060&lt;&gt;1,"",IF(I3060="SBJ","CB","?"))</f>
        <v> </v>
      </c>
      <c r="I3060" s="26" t="str">
        <f>IF(OR(E3060="",E3060="!!!",F3060="NEW"),"",INDEX(B3059:B$2,-1+SUMPRODUCT(MAX(ROW(E3059:E$2)*(E3060=E3059:E$2)))))</f>
        <v> </v>
      </c>
      <c r="J3060" s="26" t="str">
        <f>IF(OR(E3060="",E3060="!!!",F3060="NEW"),"",COUNTBLANK(OFFSET(A$1,,,SUMPRODUCT(MAX(ROW(E$2:E3060)*(E3060=E$2:E3060)))))-COUNTBLANK(OFFSET(A$1,,,SUMPRODUCT(MAX(ROW(E$1:E3059)*(E2=E$1:E3059))))))</f>
        <v> </v>
      </c>
      <c r="K3060" s="26" t="str">
        <f>IF(OR(E3060="",E3060="!!!",F3060="NEW"),"",INDEX(J$1:J3059,SUMPRODUCT(MAX(ROW(E$1:E3059)*(E3060=E$1:E3059)))))</f>
        <v> </v>
      </c>
      <c r="L3060" s="27"/>
    </row>
    <row r="3061" spans="1:12">
      <c r="A3061" s="20" t="s">
        <v>1065</v>
      </c>
      <c r="E3061" s="22">
        <f>IF(D3061="?OLD","!!!","")</f>
        <v/>
      </c>
      <c r="F3061" s="23" t="str">
        <f>IF(OR(E3061="",E3061="!!!"),"",IF(NOT(ISNA(VLOOKUP(E3061,E$1:E3060,1,FALSE()))),"OLD",IF(AND(E3061&lt;&gt;"",E3061&lt;&gt;"!!!"),"NEW","")))</f>
        <v> </v>
      </c>
      <c r="G3061" s="24" t="str">
        <f>IF(OR(E3061="",E3061="!!!"),"",IF(OR(J3061=0,AND(J3061=1,K3061=1),AND(J3061=1,I3061="SBJ"),AND(J3061=1,I3061=0)),"?IN_FOCUS",IF(J3061&lt;=2,"?ACTIVATED",IF(J3061&lt;&gt;"","?FAMILIAR",IF(F3061="NEW",IF(ISNA(VLOOKUP(E3061,#REF!,1,FALSE())),"?TYPE_IDENTIFIABLE","?REFERENTIAL"),"_")))))</f>
        <v> </v>
      </c>
      <c r="H3061" s="25" t="str">
        <f>IF(J3061&lt;&gt;1,"",IF(I3061="SBJ","CB","?"))</f>
        <v> </v>
      </c>
      <c r="I3061" s="26" t="str">
        <f>IF(OR(E3061="",E3061="!!!",F3061="NEW"),"",INDEX(B3060:B$2,-1+SUMPRODUCT(MAX(ROW(E3060:E$2)*(E3061=E3060:E$2)))))</f>
        <v> </v>
      </c>
      <c r="J3061" s="26" t="str">
        <f>IF(OR(E3061="",E3061="!!!",F3061="NEW"),"",COUNTBLANK(OFFSET(A$1,,,SUMPRODUCT(MAX(ROW(E$2:E3061)*(E3061=E$2:E3061)))))-COUNTBLANK(OFFSET(A$1,,,SUMPRODUCT(MAX(ROW(E$1:E3060)*(E2=E$1:E3060))))))</f>
        <v> </v>
      </c>
      <c r="K3061" s="26" t="str">
        <f>IF(OR(E3061="",E3061="!!!",F3061="NEW"),"",INDEX(J$1:J3060,SUMPRODUCT(MAX(ROW(E$1:E3060)*(E3061=E$1:E3060)))))</f>
        <v> </v>
      </c>
      <c r="L3061" s="27"/>
    </row>
    <row r="3062" spans="1:12">
      <c r="A3062" s="20" t="s">
        <v>36</v>
      </c>
      <c r="B3062" s="21" t="s">
        <v>1263</v>
      </c>
      <c r="C3062" s="21" t="s">
        <v>1006</v>
      </c>
      <c r="D3062" s="21" t="s">
        <v>1007</v>
      </c>
      <c r="E3062" s="22">
        <f>IF(D3062="?OLD","!!!","")</f>
        <v/>
      </c>
      <c r="F3062" s="23" t="str">
        <f>IF(OR(E3062="",E3062="!!!"),"",IF(NOT(ISNA(VLOOKUP(E3062,E$1:E3061,1,FALSE()))),"OLD",IF(AND(E3062&lt;&gt;"",E3062&lt;&gt;"!!!"),"NEW","")))</f>
        <v> </v>
      </c>
      <c r="G3062" s="24" t="str">
        <f>IF(OR(E3062="",E3062="!!!"),"",IF(OR(J3062=0,AND(J3062=1,K3062=1),AND(J3062=1,I3062="SBJ"),AND(J3062=1,I3062=0)),"?IN_FOCUS",IF(J3062&lt;=2,"?ACTIVATED",IF(J3062&lt;&gt;"","?FAMILIAR",IF(F3062="NEW",IF(ISNA(VLOOKUP(E3062,#REF!,1,FALSE())),"?TYPE_IDENTIFIABLE","?REFERENTIAL"),"_")))))</f>
        <v> </v>
      </c>
      <c r="H3062" s="25" t="str">
        <f>IF(J3062&lt;&gt;1,"",IF(I3062="SBJ","CB","?"))</f>
        <v> </v>
      </c>
      <c r="I3062" s="26" t="str">
        <f>IF(OR(E3062="",E3062="!!!",F3062="NEW"),"",INDEX(B3061:B$2,-1+SUMPRODUCT(MAX(ROW(E3061:E$2)*(E3062=E3061:E$2)))))</f>
        <v> </v>
      </c>
      <c r="J3062" s="26" t="str">
        <f>IF(OR(E3062="",E3062="!!!",F3062="NEW"),"",COUNTBLANK(OFFSET(A$1,,,SUMPRODUCT(MAX(ROW(E$2:E3062)*(E3062=E$2:E3062)))))-COUNTBLANK(OFFSET(A$1,,,SUMPRODUCT(MAX(ROW(E$1:E3061)*(E2=E$1:E3061))))))</f>
        <v> </v>
      </c>
      <c r="K3062" s="26" t="str">
        <f>IF(OR(E3062="",E3062="!!!",F3062="NEW"),"",INDEX(J$1:J3061,SUMPRODUCT(MAX(ROW(E$1:E3061)*(E3062=E$1:E3061)))))</f>
        <v> </v>
      </c>
      <c r="L3062" s="27"/>
    </row>
    <row r="3063" spans="1:12">
      <c r="A3063" s="20" t="s">
        <v>1043</v>
      </c>
      <c r="B3063" s="21" t="s">
        <v>1040</v>
      </c>
      <c r="C3063" s="21" t="s">
        <v>1006</v>
      </c>
      <c r="D3063" s="21" t="s">
        <v>1007</v>
      </c>
      <c r="E3063" s="22">
        <f>IF(D3063="?OLD","!!!","")</f>
        <v/>
      </c>
      <c r="F3063" s="23" t="str">
        <f>IF(OR(E3063="",E3063="!!!"),"",IF(NOT(ISNA(VLOOKUP(E3063,E$1:E3062,1,FALSE()))),"OLD",IF(AND(E3063&lt;&gt;"",E3063&lt;&gt;"!!!"),"NEW","")))</f>
        <v> </v>
      </c>
      <c r="G3063" s="24" t="str">
        <f>IF(OR(E3063="",E3063="!!!"),"",IF(OR(J3063=0,AND(J3063=1,K3063=1),AND(J3063=1,I3063="SBJ"),AND(J3063=1,I3063=0)),"?IN_FOCUS",IF(J3063&lt;=2,"?ACTIVATED",IF(J3063&lt;&gt;"","?FAMILIAR",IF(F3063="NEW",IF(ISNA(VLOOKUP(E3063,#REF!,1,FALSE())),"?TYPE_IDENTIFIABLE","?REFERENTIAL"),"_")))))</f>
        <v> </v>
      </c>
      <c r="H3063" s="25" t="str">
        <f>IF(J3063&lt;&gt;1,"",IF(I3063="SBJ","CB","?"))</f>
        <v> </v>
      </c>
      <c r="I3063" s="26" t="str">
        <f>IF(OR(E3063="",E3063="!!!",F3063="NEW"),"",INDEX(B3062:B$2,-1+SUMPRODUCT(MAX(ROW(E3062:E$2)*(E3063=E3062:E$2)))))</f>
        <v> </v>
      </c>
      <c r="J3063" s="26" t="str">
        <f>IF(OR(E3063="",E3063="!!!",F3063="NEW"),"",COUNTBLANK(OFFSET(A$1,,,SUMPRODUCT(MAX(ROW(E$2:E3063)*(E3063=E$2:E3063)))))-COUNTBLANK(OFFSET(A$1,,,SUMPRODUCT(MAX(ROW(E$1:E3062)*(E2=E$1:E3062))))))</f>
        <v> </v>
      </c>
      <c r="K3063" s="26" t="str">
        <f>IF(OR(E3063="",E3063="!!!",F3063="NEW"),"",INDEX(J$1:J3062,SUMPRODUCT(MAX(ROW(E$1:E3062)*(E3063=E$1:E3062)))))</f>
        <v> </v>
      </c>
      <c r="L3063" s="27"/>
    </row>
    <row r="3064" spans="1:12">
      <c r="A3064" s="20" t="s">
        <v>1075</v>
      </c>
      <c r="E3064" s="22">
        <f>IF(D3064="?OLD","!!!","")</f>
        <v/>
      </c>
      <c r="F3064" s="23" t="str">
        <f>IF(OR(E3064="",E3064="!!!"),"",IF(NOT(ISNA(VLOOKUP(E3064,E$1:E3063,1,FALSE()))),"OLD",IF(AND(E3064&lt;&gt;"",E3064&lt;&gt;"!!!"),"NEW","")))</f>
        <v> </v>
      </c>
      <c r="G3064" s="24" t="str">
        <f>IF(OR(E3064="",E3064="!!!"),"",IF(OR(J3064=0,AND(J3064=1,K3064=1),AND(J3064=1,I3064="SBJ"),AND(J3064=1,I3064=0)),"?IN_FOCUS",IF(J3064&lt;=2,"?ACTIVATED",IF(J3064&lt;&gt;"","?FAMILIAR",IF(F3064="NEW",IF(ISNA(VLOOKUP(E3064,#REF!,1,FALSE())),"?TYPE_IDENTIFIABLE","?REFERENTIAL"),"_")))))</f>
        <v> </v>
      </c>
      <c r="H3064" s="25" t="str">
        <f>IF(J3064&lt;&gt;1,"",IF(I3064="SBJ","CB","?"))</f>
        <v> </v>
      </c>
      <c r="I3064" s="26" t="str">
        <f>IF(OR(E3064="",E3064="!!!",F3064="NEW"),"",INDEX(B3063:B$2,-1+SUMPRODUCT(MAX(ROW(E3063:E$2)*(E3064=E3063:E$2)))))</f>
        <v> </v>
      </c>
      <c r="J3064" s="26" t="str">
        <f>IF(OR(E3064="",E3064="!!!",F3064="NEW"),"",COUNTBLANK(OFFSET(A$1,,,SUMPRODUCT(MAX(ROW(E$2:E3064)*(E3064=E$2:E3064)))))-COUNTBLANK(OFFSET(A$1,,,SUMPRODUCT(MAX(ROW(E$1:E3063)*(E2=E$1:E3063))))))</f>
        <v> </v>
      </c>
      <c r="K3064" s="26" t="str">
        <f>IF(OR(E3064="",E3064="!!!",F3064="NEW"),"",INDEX(J$1:J3063,SUMPRODUCT(MAX(ROW(E$1:E3063)*(E3064=E$1:E3063)))))</f>
        <v> </v>
      </c>
      <c r="L3064" s="27"/>
    </row>
    <row r="3065" spans="1:12">
      <c r="A3065" s="20" t="s">
        <v>102</v>
      </c>
      <c r="E3065" s="22">
        <f>IF(D3065="?OLD","!!!","")</f>
        <v/>
      </c>
      <c r="F3065" s="23" t="str">
        <f>IF(OR(E3065="",E3065="!!!"),"",IF(NOT(ISNA(VLOOKUP(E3065,E$1:E3064,1,FALSE()))),"OLD",IF(AND(E3065&lt;&gt;"",E3065&lt;&gt;"!!!"),"NEW","")))</f>
        <v> </v>
      </c>
      <c r="G3065" s="24" t="str">
        <f>IF(OR(E3065="",E3065="!!!"),"",IF(OR(J3065=0,AND(J3065=1,K3065=1),AND(J3065=1,I3065="SBJ"),AND(J3065=1,I3065=0)),"?IN_FOCUS",IF(J3065&lt;=2,"?ACTIVATED",IF(J3065&lt;&gt;"","?FAMILIAR",IF(F3065="NEW",IF(ISNA(VLOOKUP(E3065,#REF!,1,FALSE())),"?TYPE_IDENTIFIABLE","?REFERENTIAL"),"_")))))</f>
        <v> </v>
      </c>
      <c r="H3065" s="25" t="str">
        <f>IF(J3065&lt;&gt;1,"",IF(I3065="SBJ","CB","?"))</f>
        <v> </v>
      </c>
      <c r="I3065" s="26" t="str">
        <f>IF(OR(E3065="",E3065="!!!",F3065="NEW"),"",INDEX(B3064:B$2,-1+SUMPRODUCT(MAX(ROW(E3064:E$2)*(E3065=E3064:E$2)))))</f>
        <v> </v>
      </c>
      <c r="J3065" s="26" t="str">
        <f>IF(OR(E3065="",E3065="!!!",F3065="NEW"),"",COUNTBLANK(OFFSET(A$1,,,SUMPRODUCT(MAX(ROW(E$2:E3065)*(E3065=E$2:E3065)))))-COUNTBLANK(OFFSET(A$1,,,SUMPRODUCT(MAX(ROW(E$1:E3064)*(E2=E$1:E3064))))))</f>
        <v> </v>
      </c>
      <c r="K3065" s="26" t="str">
        <f>IF(OR(E3065="",E3065="!!!",F3065="NEW"),"",INDEX(J$1:J3064,SUMPRODUCT(MAX(ROW(E$1:E3064)*(E3065=E$1:E3064)))))</f>
        <v> </v>
      </c>
      <c r="L3065" s="27"/>
    </row>
    <row r="3066" spans="1:12">
      <c r="A3066" s="20" t="s">
        <v>1942</v>
      </c>
      <c r="B3066" s="21" t="s">
        <v>1035</v>
      </c>
      <c r="C3066" s="21" t="s">
        <v>1017</v>
      </c>
      <c r="D3066" s="21" t="s">
        <v>1007</v>
      </c>
      <c r="E3066" s="22">
        <f>IF(D3066="?OLD","!!!","")</f>
        <v/>
      </c>
      <c r="F3066" s="23" t="str">
        <f>IF(OR(E3066="",E3066="!!!"),"",IF(NOT(ISNA(VLOOKUP(E3066,E$1:E3065,1,FALSE()))),"OLD",IF(AND(E3066&lt;&gt;"",E3066&lt;&gt;"!!!"),"NEW","")))</f>
        <v> </v>
      </c>
      <c r="G3066" s="24" t="str">
        <f>IF(OR(E3066="",E3066="!!!"),"",IF(OR(J3066=0,AND(J3066=1,K3066=1),AND(J3066=1,I3066="SBJ"),AND(J3066=1,I3066=0)),"?IN_FOCUS",IF(J3066&lt;=2,"?ACTIVATED",IF(J3066&lt;&gt;"","?FAMILIAR",IF(F3066="NEW",IF(ISNA(VLOOKUP(E3066,#REF!,1,FALSE())),"?TYPE_IDENTIFIABLE","?REFERENTIAL"),"_")))))</f>
        <v> </v>
      </c>
      <c r="H3066" s="25" t="str">
        <f>IF(J3066&lt;&gt;1,"",IF(I3066="SBJ","CB","?"))</f>
        <v> </v>
      </c>
      <c r="I3066" s="26" t="str">
        <f>IF(OR(E3066="",E3066="!!!",F3066="NEW"),"",INDEX(B3065:B$2,-1+SUMPRODUCT(MAX(ROW(E3065:E$2)*(E3066=E3065:E$2)))))</f>
        <v> </v>
      </c>
      <c r="J3066" s="26" t="str">
        <f>IF(OR(E3066="",E3066="!!!",F3066="NEW"),"",COUNTBLANK(OFFSET(A$1,,,SUMPRODUCT(MAX(ROW(E$2:E3066)*(E3066=E$2:E3066)))))-COUNTBLANK(OFFSET(A$1,,,SUMPRODUCT(MAX(ROW(E$1:E3065)*(E2=E$1:E3065))))))</f>
        <v> </v>
      </c>
      <c r="K3066" s="26" t="str">
        <f>IF(OR(E3066="",E3066="!!!",F3066="NEW"),"",INDEX(J$1:J3065,SUMPRODUCT(MAX(ROW(E$1:E3065)*(E3066=E$1:E3065)))))</f>
        <v> </v>
      </c>
      <c r="L3066" s="27"/>
    </row>
    <row r="3067" spans="1:12">
      <c r="A3067" s="20" t="s">
        <v>1065</v>
      </c>
      <c r="B3067" s="21" t="s">
        <v>1067</v>
      </c>
      <c r="E3067" s="22">
        <f>IF(D3067="?OLD","!!!","")</f>
        <v/>
      </c>
      <c r="F3067" s="23" t="str">
        <f>IF(OR(E3067="",E3067="!!!"),"",IF(NOT(ISNA(VLOOKUP(E3067,E$1:E3066,1,FALSE()))),"OLD",IF(AND(E3067&lt;&gt;"",E3067&lt;&gt;"!!!"),"NEW","")))</f>
        <v> </v>
      </c>
      <c r="G3067" s="24" t="str">
        <f>IF(OR(E3067="",E3067="!!!"),"",IF(OR(J3067=0,AND(J3067=1,K3067=1),AND(J3067=1,I3067="SBJ"),AND(J3067=1,I3067=0)),"?IN_FOCUS",IF(J3067&lt;=2,"?ACTIVATED",IF(J3067&lt;&gt;"","?FAMILIAR",IF(F3067="NEW",IF(ISNA(VLOOKUP(E3067,#REF!,1,FALSE())),"?TYPE_IDENTIFIABLE","?REFERENTIAL"),"_")))))</f>
        <v> </v>
      </c>
      <c r="H3067" s="25" t="str">
        <f>IF(J3067&lt;&gt;1,"",IF(I3067="SBJ","CB","?"))</f>
        <v> </v>
      </c>
      <c r="I3067" s="26" t="str">
        <f>IF(OR(E3067="",E3067="!!!",F3067="NEW"),"",INDEX(B3066:B$2,-1+SUMPRODUCT(MAX(ROW(E3066:E$2)*(E3067=E3066:E$2)))))</f>
        <v> </v>
      </c>
      <c r="J3067" s="26" t="str">
        <f>IF(OR(E3067="",E3067="!!!",F3067="NEW"),"",COUNTBLANK(OFFSET(A$1,,,SUMPRODUCT(MAX(ROW(E$2:E3067)*(E3067=E$2:E3067)))))-COUNTBLANK(OFFSET(A$1,,,SUMPRODUCT(MAX(ROW(E$1:E3066)*(E2=E$1:E3066))))))</f>
        <v> </v>
      </c>
      <c r="K3067" s="26" t="str">
        <f>IF(OR(E3067="",E3067="!!!",F3067="NEW"),"",INDEX(J$1:J3066,SUMPRODUCT(MAX(ROW(E$1:E3066)*(E3067=E$1:E3066)))))</f>
        <v> </v>
      </c>
      <c r="L3067" s="27"/>
    </row>
    <row r="3068" spans="1:12">
      <c r="A3068" s="20" t="s">
        <v>1943</v>
      </c>
      <c r="E3068" s="22">
        <f>IF(D3068="?OLD","!!!","")</f>
        <v/>
      </c>
      <c r="F3068" s="23" t="str">
        <f>IF(OR(E3068="",E3068="!!!"),"",IF(NOT(ISNA(VLOOKUP(E3068,E$1:E3067,1,FALSE()))),"OLD",IF(AND(E3068&lt;&gt;"",E3068&lt;&gt;"!!!"),"NEW","")))</f>
        <v> </v>
      </c>
      <c r="G3068" s="24" t="str">
        <f>IF(OR(E3068="",E3068="!!!"),"",IF(OR(J3068=0,AND(J3068=1,K3068=1),AND(J3068=1,I3068="SBJ"),AND(J3068=1,I3068=0)),"?IN_FOCUS",IF(J3068&lt;=2,"?ACTIVATED",IF(J3068&lt;&gt;"","?FAMILIAR",IF(F3068="NEW",IF(ISNA(VLOOKUP(E3068,#REF!,1,FALSE())),"?TYPE_IDENTIFIABLE","?REFERENTIAL"),"_")))))</f>
        <v> </v>
      </c>
      <c r="H3068" s="25" t="str">
        <f>IF(J3068&lt;&gt;1,"",IF(I3068="SBJ","CB","?"))</f>
        <v> </v>
      </c>
      <c r="I3068" s="26" t="str">
        <f>IF(OR(E3068="",E3068="!!!",F3068="NEW"),"",INDEX(B3067:B$2,-1+SUMPRODUCT(MAX(ROW(E3067:E$2)*(E3068=E3067:E$2)))))</f>
        <v> </v>
      </c>
      <c r="J3068" s="26" t="str">
        <f>IF(OR(E3068="",E3068="!!!",F3068="NEW"),"",COUNTBLANK(OFFSET(A$1,,,SUMPRODUCT(MAX(ROW(E$2:E3068)*(E3068=E$2:E3068)))))-COUNTBLANK(OFFSET(A$1,,,SUMPRODUCT(MAX(ROW(E$1:E3067)*(E2=E$1:E3067))))))</f>
        <v> </v>
      </c>
      <c r="K3068" s="26" t="str">
        <f>IF(OR(E3068="",E3068="!!!",F3068="NEW"),"",INDEX(J$1:J3067,SUMPRODUCT(MAX(ROW(E$1:E3067)*(E3068=E$1:E3067)))))</f>
        <v> </v>
      </c>
      <c r="L3068" s="27"/>
    </row>
    <row r="3069" spans="1:12">
      <c r="A3069" s="20" t="s">
        <v>1020</v>
      </c>
      <c r="E3069" s="22">
        <f>IF(D3069="?OLD","!!!","")</f>
        <v/>
      </c>
      <c r="F3069" s="23" t="str">
        <f>IF(OR(E3069="",E3069="!!!"),"",IF(NOT(ISNA(VLOOKUP(E3069,E$1:E3068,1,FALSE()))),"OLD",IF(AND(E3069&lt;&gt;"",E3069&lt;&gt;"!!!"),"NEW","")))</f>
        <v> </v>
      </c>
      <c r="G3069" s="24" t="str">
        <f>IF(OR(E3069="",E3069="!!!"),"",IF(OR(J3069=0,AND(J3069=1,K3069=1),AND(J3069=1,I3069="SBJ"),AND(J3069=1,I3069=0)),"?IN_FOCUS",IF(J3069&lt;=2,"?ACTIVATED",IF(J3069&lt;&gt;"","?FAMILIAR",IF(F3069="NEW",IF(ISNA(VLOOKUP(E3069,#REF!,1,FALSE())),"?TYPE_IDENTIFIABLE","?REFERENTIAL"),"_")))))</f>
        <v> </v>
      </c>
      <c r="H3069" s="25" t="str">
        <f>IF(J3069&lt;&gt;1,"",IF(I3069="SBJ","CB","?"))</f>
        <v> </v>
      </c>
      <c r="I3069" s="26" t="str">
        <f>IF(OR(E3069="",E3069="!!!",F3069="NEW"),"",INDEX(B3068:B$2,-1+SUMPRODUCT(MAX(ROW(E3068:E$2)*(E3069=E3068:E$2)))))</f>
        <v> </v>
      </c>
      <c r="J3069" s="26" t="str">
        <f>IF(OR(E3069="",E3069="!!!",F3069="NEW"),"",COUNTBLANK(OFFSET(A$1,,,SUMPRODUCT(MAX(ROW(E$2:E3069)*(E3069=E$2:E3069)))))-COUNTBLANK(OFFSET(A$1,,,SUMPRODUCT(MAX(ROW(E$1:E3068)*(E2=E$1:E3068))))))</f>
        <v> </v>
      </c>
      <c r="K3069" s="26" t="str">
        <f>IF(OR(E3069="",E3069="!!!",F3069="NEW"),"",INDEX(J$1:J3068,SUMPRODUCT(MAX(ROW(E$1:E3068)*(E3069=E$1:E3068)))))</f>
        <v> </v>
      </c>
      <c r="L3069" s="27"/>
    </row>
    <row r="3070" spans="1:12">
      <c r="A3070" s="20" t="s">
        <v>1944</v>
      </c>
      <c r="B3070" s="21" t="s">
        <v>1066</v>
      </c>
      <c r="C3070" s="21" t="s">
        <v>1013</v>
      </c>
      <c r="D3070" s="21" t="s">
        <v>1007</v>
      </c>
      <c r="E3070" s="22">
        <f>IF(D3070="?OLD","!!!","")</f>
        <v/>
      </c>
      <c r="F3070" s="23" t="str">
        <f>IF(OR(E3070="",E3070="!!!"),"",IF(NOT(ISNA(VLOOKUP(E3070,E$1:E3069,1,FALSE()))),"OLD",IF(AND(E3070&lt;&gt;"",E3070&lt;&gt;"!!!"),"NEW","")))</f>
        <v> </v>
      </c>
      <c r="G3070" s="24" t="str">
        <f>IF(OR(E3070="",E3070="!!!"),"",IF(OR(J3070=0,AND(J3070=1,K3070=1),AND(J3070=1,I3070="SBJ"),AND(J3070=1,I3070=0)),"?IN_FOCUS",IF(J3070&lt;=2,"?ACTIVATED",IF(J3070&lt;&gt;"","?FAMILIAR",IF(F3070="NEW",IF(ISNA(VLOOKUP(E3070,#REF!,1,FALSE())),"?TYPE_IDENTIFIABLE","?REFERENTIAL"),"_")))))</f>
        <v> </v>
      </c>
      <c r="H3070" s="25" t="str">
        <f>IF(J3070&lt;&gt;1,"",IF(I3070="SBJ","CB","?"))</f>
        <v> </v>
      </c>
      <c r="I3070" s="26" t="str">
        <f>IF(OR(E3070="",E3070="!!!",F3070="NEW"),"",INDEX(B3069:B$2,-1+SUMPRODUCT(MAX(ROW(E3069:E$2)*(E3070=E3069:E$2)))))</f>
        <v> </v>
      </c>
      <c r="J3070" s="26" t="str">
        <f>IF(OR(E3070="",E3070="!!!",F3070="NEW"),"",COUNTBLANK(OFFSET(A$1,,,SUMPRODUCT(MAX(ROW(E$2:E3070)*(E3070=E$2:E3070)))))-COUNTBLANK(OFFSET(A$1,,,SUMPRODUCT(MAX(ROW(E$1:E3069)*(E2=E$1:E3069))))))</f>
        <v> </v>
      </c>
      <c r="K3070" s="26" t="str">
        <f>IF(OR(E3070="",E3070="!!!",F3070="NEW"),"",INDEX(J$1:J3069,SUMPRODUCT(MAX(ROW(E$1:E3069)*(E3070=E$1:E3069)))))</f>
        <v> </v>
      </c>
      <c r="L3070" s="27"/>
    </row>
    <row r="3071" spans="1:12">
      <c r="A3071" s="20" t="s">
        <v>1014</v>
      </c>
      <c r="E3071" s="22">
        <f>IF(D3071="?OLD","!!!","")</f>
        <v/>
      </c>
      <c r="F3071" s="23" t="str">
        <f>IF(OR(E3071="",E3071="!!!"),"",IF(NOT(ISNA(VLOOKUP(E3071,E$1:E3070,1,FALSE()))),"OLD",IF(AND(E3071&lt;&gt;"",E3071&lt;&gt;"!!!"),"NEW","")))</f>
        <v> </v>
      </c>
      <c r="G3071" s="24" t="str">
        <f>IF(OR(E3071="",E3071="!!!"),"",IF(OR(J3071=0,AND(J3071=1,K3071=1),AND(J3071=1,I3071="SBJ"),AND(J3071=1,I3071=0)),"?IN_FOCUS",IF(J3071&lt;=2,"?ACTIVATED",IF(J3071&lt;&gt;"","?FAMILIAR",IF(F3071="NEW",IF(ISNA(VLOOKUP(E3071,#REF!,1,FALSE())),"?TYPE_IDENTIFIABLE","?REFERENTIAL"),"_")))))</f>
        <v> </v>
      </c>
      <c r="H3071" s="25" t="str">
        <f>IF(J3071&lt;&gt;1,"",IF(I3071="SBJ","CB","?"))</f>
        <v> </v>
      </c>
      <c r="I3071" s="26" t="str">
        <f>IF(OR(E3071="",E3071="!!!",F3071="NEW"),"",INDEX(B3070:B$2,-1+SUMPRODUCT(MAX(ROW(E3070:E$2)*(E3071=E3070:E$2)))))</f>
        <v> </v>
      </c>
      <c r="J3071" s="26" t="str">
        <f>IF(OR(E3071="",E3071="!!!",F3071="NEW"),"",COUNTBLANK(OFFSET(A$1,,,SUMPRODUCT(MAX(ROW(E$2:E3071)*(E3071=E$2:E3071)))))-COUNTBLANK(OFFSET(A$1,,,SUMPRODUCT(MAX(ROW(E$1:E3070)*(E2=E$1:E3070))))))</f>
        <v> </v>
      </c>
      <c r="K3071" s="26" t="str">
        <f>IF(OR(E3071="",E3071="!!!",F3071="NEW"),"",INDEX(J$1:J3070,SUMPRODUCT(MAX(ROW(E$1:E3070)*(E3071=E$1:E3070)))))</f>
        <v> </v>
      </c>
      <c r="L3071" s="27"/>
    </row>
    <row r="3072" spans="1:12">
      <c r="A3072" s="20" t="s">
        <v>102</v>
      </c>
      <c r="E3072" s="22">
        <f>IF(D3072="?OLD","!!!","")</f>
        <v/>
      </c>
      <c r="F3072" s="23" t="str">
        <f>IF(OR(E3072="",E3072="!!!"),"",IF(NOT(ISNA(VLOOKUP(E3072,E$1:E3071,1,FALSE()))),"OLD",IF(AND(E3072&lt;&gt;"",E3072&lt;&gt;"!!!"),"NEW","")))</f>
        <v> </v>
      </c>
      <c r="G3072" s="24" t="str">
        <f>IF(OR(E3072="",E3072="!!!"),"",IF(OR(J3072=0,AND(J3072=1,K3072=1),AND(J3072=1,I3072="SBJ"),AND(J3072=1,I3072=0)),"?IN_FOCUS",IF(J3072&lt;=2,"?ACTIVATED",IF(J3072&lt;&gt;"","?FAMILIAR",IF(F3072="NEW",IF(ISNA(VLOOKUP(E3072,#REF!,1,FALSE())),"?TYPE_IDENTIFIABLE","?REFERENTIAL"),"_")))))</f>
        <v> </v>
      </c>
      <c r="H3072" s="25" t="str">
        <f>IF(J3072&lt;&gt;1,"",IF(I3072="SBJ","CB","?"))</f>
        <v> </v>
      </c>
      <c r="I3072" s="26" t="str">
        <f>IF(OR(E3072="",E3072="!!!",F3072="NEW"),"",INDEX(B3071:B$2,-1+SUMPRODUCT(MAX(ROW(E3071:E$2)*(E3072=E3071:E$2)))))</f>
        <v> </v>
      </c>
      <c r="J3072" s="26" t="str">
        <f>IF(OR(E3072="",E3072="!!!",F3072="NEW"),"",COUNTBLANK(OFFSET(A$1,,,SUMPRODUCT(MAX(ROW(E$2:E3072)*(E3072=E$2:E3072)))))-COUNTBLANK(OFFSET(A$1,,,SUMPRODUCT(MAX(ROW(E$1:E3071)*(E2=E$1:E3071))))))</f>
        <v> </v>
      </c>
      <c r="K3072" s="26" t="str">
        <f>IF(OR(E3072="",E3072="!!!",F3072="NEW"),"",INDEX(J$1:J3071,SUMPRODUCT(MAX(ROW(E$1:E3071)*(E3072=E$1:E3071)))))</f>
        <v> </v>
      </c>
      <c r="L3072" s="27"/>
    </row>
    <row r="3073" spans="1:12">
      <c r="A3073" s="20" t="s">
        <v>1945</v>
      </c>
      <c r="B3073" s="21" t="s">
        <v>1042</v>
      </c>
      <c r="C3073" s="21" t="s">
        <v>1017</v>
      </c>
      <c r="D3073" s="21" t="s">
        <v>1007</v>
      </c>
      <c r="E3073" s="22">
        <f>IF(D3073="?OLD","!!!","")</f>
        <v/>
      </c>
      <c r="F3073" s="23" t="str">
        <f>IF(OR(E3073="",E3073="!!!"),"",IF(NOT(ISNA(VLOOKUP(E3073,E$1:E3072,1,FALSE()))),"OLD",IF(AND(E3073&lt;&gt;"",E3073&lt;&gt;"!!!"),"NEW","")))</f>
        <v> </v>
      </c>
      <c r="G3073" s="24" t="str">
        <f>IF(OR(E3073="",E3073="!!!"),"",IF(OR(J3073=0,AND(J3073=1,K3073=1),AND(J3073=1,I3073="SBJ"),AND(J3073=1,I3073=0)),"?IN_FOCUS",IF(J3073&lt;=2,"?ACTIVATED",IF(J3073&lt;&gt;"","?FAMILIAR",IF(F3073="NEW",IF(ISNA(VLOOKUP(E3073,#REF!,1,FALSE())),"?TYPE_IDENTIFIABLE","?REFERENTIAL"),"_")))))</f>
        <v> </v>
      </c>
      <c r="H3073" s="25" t="str">
        <f>IF(J3073&lt;&gt;1,"",IF(I3073="SBJ","CB","?"))</f>
        <v> </v>
      </c>
      <c r="I3073" s="26" t="str">
        <f>IF(OR(E3073="",E3073="!!!",F3073="NEW"),"",INDEX(B3072:B$2,-1+SUMPRODUCT(MAX(ROW(E3072:E$2)*(E3073=E3072:E$2)))))</f>
        <v> </v>
      </c>
      <c r="J3073" s="26" t="str">
        <f>IF(OR(E3073="",E3073="!!!",F3073="NEW"),"",COUNTBLANK(OFFSET(A$1,,,SUMPRODUCT(MAX(ROW(E$2:E3073)*(E3073=E$2:E3073)))))-COUNTBLANK(OFFSET(A$1,,,SUMPRODUCT(MAX(ROW(E$1:E3072)*(E2=E$1:E3072))))))</f>
        <v> </v>
      </c>
      <c r="K3073" s="26" t="str">
        <f>IF(OR(E3073="",E3073="!!!",F3073="NEW"),"",INDEX(J$1:J3072,SUMPRODUCT(MAX(ROW(E$1:E3072)*(E3073=E$1:E3072)))))</f>
        <v> </v>
      </c>
      <c r="L3073" s="27"/>
    </row>
    <row r="3074" spans="1:12">
      <c r="A3074" s="20" t="s">
        <v>1023</v>
      </c>
      <c r="E3074" s="22">
        <f>IF(D3074="?OLD","!!!","")</f>
        <v/>
      </c>
      <c r="F3074" s="23" t="str">
        <f>IF(OR(E3074="",E3074="!!!"),"",IF(NOT(ISNA(VLOOKUP(E3074,E$1:E3073,1,FALSE()))),"OLD",IF(AND(E3074&lt;&gt;"",E3074&lt;&gt;"!!!"),"NEW","")))</f>
        <v> </v>
      </c>
      <c r="G3074" s="24" t="str">
        <f>IF(OR(E3074="",E3074="!!!"),"",IF(OR(J3074=0,AND(J3074=1,K3074=1),AND(J3074=1,I3074="SBJ"),AND(J3074=1,I3074=0)),"?IN_FOCUS",IF(J3074&lt;=2,"?ACTIVATED",IF(J3074&lt;&gt;"","?FAMILIAR",IF(F3074="NEW",IF(ISNA(VLOOKUP(E3074,#REF!,1,FALSE())),"?TYPE_IDENTIFIABLE","?REFERENTIAL"),"_")))))</f>
        <v> </v>
      </c>
      <c r="H3074" s="25" t="str">
        <f>IF(J3074&lt;&gt;1,"",IF(I3074="SBJ","CB","?"))</f>
        <v> </v>
      </c>
      <c r="I3074" s="26" t="str">
        <f>IF(OR(E3074="",E3074="!!!",F3074="NEW"),"",INDEX(B3073:B$2,-1+SUMPRODUCT(MAX(ROW(E3073:E$2)*(E3074=E3073:E$2)))))</f>
        <v> </v>
      </c>
      <c r="J3074" s="26" t="str">
        <f>IF(OR(E3074="",E3074="!!!",F3074="NEW"),"",COUNTBLANK(OFFSET(A$1,,,SUMPRODUCT(MAX(ROW(E$2:E3074)*(E3074=E$2:E3074)))))-COUNTBLANK(OFFSET(A$1,,,SUMPRODUCT(MAX(ROW(E$1:E3073)*(E2=E$1:E3073))))))</f>
        <v> </v>
      </c>
      <c r="K3074" s="26" t="str">
        <f>IF(OR(E3074="",E3074="!!!",F3074="NEW"),"",INDEX(J$1:J3073,SUMPRODUCT(MAX(ROW(E$1:E3073)*(E3074=E$1:E3073)))))</f>
        <v> </v>
      </c>
      <c r="L3074" s="27"/>
    </row>
    <row r="3075" spans="1:12">
      <c r="A3075" s="20"/>
    </row>
    <row r="3076" spans="1:12">
      <c r="A3076" s="20" t="s">
        <v>1946</v>
      </c>
    </row>
    <row r="3077" spans="1:12">
      <c r="A3077" s="20" t="s">
        <v>1947</v>
      </c>
      <c r="B3077" s="21" t="s">
        <v>1050</v>
      </c>
      <c r="C3077" s="21" t="s">
        <v>1082</v>
      </c>
      <c r="D3077" s="21" t="s">
        <v>1007</v>
      </c>
      <c r="E3077" s="22">
        <f>IF(D3077="?OLD","!!!","")</f>
        <v/>
      </c>
      <c r="F3077" s="23" t="str">
        <f>IF(OR(E3077="",E3077="!!!"),"",IF(NOT(ISNA(VLOOKUP(E3077,E$1:E3076,1,FALSE()))),"OLD",IF(AND(E3077&lt;&gt;"",E3077&lt;&gt;"!!!"),"NEW","")))</f>
        <v> </v>
      </c>
      <c r="G3077" s="24" t="str">
        <f>IF(OR(E3077="",E3077="!!!"),"",IF(OR(J3077=0,AND(J3077=1,K3077=1),AND(J3077=1,I3077="SBJ"),AND(J3077=1,I3077=0)),"?IN_FOCUS",IF(J3077&lt;=2,"?ACTIVATED",IF(J3077&lt;&gt;"","?FAMILIAR",IF(F3077="NEW",IF(ISNA(VLOOKUP(E3077,#REF!,1,FALSE())),"?TYPE_IDENTIFIABLE","?REFERENTIAL"),"_")))))</f>
        <v> </v>
      </c>
      <c r="H3077" s="25" t="str">
        <f>IF(J3077&lt;&gt;1,"",IF(I3077="SBJ","CB","?"))</f>
        <v> </v>
      </c>
      <c r="I3077" s="26" t="str">
        <f>IF(OR(E3077="",E3077="!!!",F3077="NEW"),"",INDEX(B3076:B$2,-1+SUMPRODUCT(MAX(ROW(E3076:E$2)*(E3077=E3076:E$2)))))</f>
        <v> </v>
      </c>
      <c r="J3077" s="26" t="str">
        <f>IF(OR(E3077="",E3077="!!!",F3077="NEW"),"",COUNTBLANK(OFFSET(A$1,,,SUMPRODUCT(MAX(ROW(E$2:E3077)*(E3077=E$2:E3077)))))-COUNTBLANK(OFFSET(A$1,,,SUMPRODUCT(MAX(ROW(E$1:E3076)*(E2=E$1:E3076))))))</f>
        <v> </v>
      </c>
      <c r="K3077" s="26" t="str">
        <f>IF(OR(E3077="",E3077="!!!",F3077="NEW"),"",INDEX(J$1:J3076,SUMPRODUCT(MAX(ROW(E$1:E3076)*(E3077=E$1:E3076)))))</f>
        <v> </v>
      </c>
      <c r="L3077" s="27"/>
    </row>
    <row r="3078" spans="1:12">
      <c r="A3078" s="20" t="s">
        <v>1948</v>
      </c>
      <c r="E3078" s="22">
        <f>IF(D3078="?OLD","!!!","")</f>
        <v/>
      </c>
      <c r="F3078" s="23" t="str">
        <f>IF(OR(E3078="",E3078="!!!"),"",IF(NOT(ISNA(VLOOKUP(E3078,E$1:E3077,1,FALSE()))),"OLD",IF(AND(E3078&lt;&gt;"",E3078&lt;&gt;"!!!"),"NEW","")))</f>
        <v> </v>
      </c>
      <c r="G3078" s="24" t="str">
        <f>IF(OR(E3078="",E3078="!!!"),"",IF(OR(J3078=0,AND(J3078=1,K3078=1),AND(J3078=1,I3078="SBJ"),AND(J3078=1,I3078=0)),"?IN_FOCUS",IF(J3078&lt;=2,"?ACTIVATED",IF(J3078&lt;&gt;"","?FAMILIAR",IF(F3078="NEW",IF(ISNA(VLOOKUP(E3078,#REF!,1,FALSE())),"?TYPE_IDENTIFIABLE","?REFERENTIAL"),"_")))))</f>
        <v> </v>
      </c>
      <c r="H3078" s="25" t="str">
        <f>IF(J3078&lt;&gt;1,"",IF(I3078="SBJ","CB","?"))</f>
        <v> </v>
      </c>
      <c r="I3078" s="26" t="str">
        <f>IF(OR(E3078="",E3078="!!!",F3078="NEW"),"",INDEX(B3077:B$2,-1+SUMPRODUCT(MAX(ROW(E3077:E$2)*(E3078=E3077:E$2)))))</f>
        <v> </v>
      </c>
      <c r="J3078" s="26" t="str">
        <f>IF(OR(E3078="",E3078="!!!",F3078="NEW"),"",COUNTBLANK(OFFSET(A$1,,,SUMPRODUCT(MAX(ROW(E$2:E3078)*(E3078=E$2:E3078)))))-COUNTBLANK(OFFSET(A$1,,,SUMPRODUCT(MAX(ROW(E$1:E3077)*(E2=E$1:E3077))))))</f>
        <v> </v>
      </c>
      <c r="K3078" s="26" t="str">
        <f>IF(OR(E3078="",E3078="!!!",F3078="NEW"),"",INDEX(J$1:J3077,SUMPRODUCT(MAX(ROW(E$1:E3077)*(E3078=E$1:E3077)))))</f>
        <v> </v>
      </c>
      <c r="L3078" s="27"/>
    </row>
    <row r="3079" spans="1:12">
      <c r="A3079" s="20" t="s">
        <v>1065</v>
      </c>
      <c r="E3079" s="22">
        <f>IF(D3079="?OLD","!!!","")</f>
        <v/>
      </c>
      <c r="F3079" s="23" t="str">
        <f>IF(OR(E3079="",E3079="!!!"),"",IF(NOT(ISNA(VLOOKUP(E3079,E$1:E3078,1,FALSE()))),"OLD",IF(AND(E3079&lt;&gt;"",E3079&lt;&gt;"!!!"),"NEW","")))</f>
        <v> </v>
      </c>
      <c r="G3079" s="24" t="str">
        <f>IF(OR(E3079="",E3079="!!!"),"",IF(OR(J3079=0,AND(J3079=1,K3079=1),AND(J3079=1,I3079="SBJ"),AND(J3079=1,I3079=0)),"?IN_FOCUS",IF(J3079&lt;=2,"?ACTIVATED",IF(J3079&lt;&gt;"","?FAMILIAR",IF(F3079="NEW",IF(ISNA(VLOOKUP(E3079,#REF!,1,FALSE())),"?TYPE_IDENTIFIABLE","?REFERENTIAL"),"_")))))</f>
        <v> </v>
      </c>
      <c r="H3079" s="25" t="str">
        <f>IF(J3079&lt;&gt;1,"",IF(I3079="SBJ","CB","?"))</f>
        <v> </v>
      </c>
      <c r="I3079" s="26" t="str">
        <f>IF(OR(E3079="",E3079="!!!",F3079="NEW"),"",INDEX(B3078:B$2,-1+SUMPRODUCT(MAX(ROW(E3078:E$2)*(E3079=E3078:E$2)))))</f>
        <v> </v>
      </c>
      <c r="J3079" s="26" t="str">
        <f>IF(OR(E3079="",E3079="!!!",F3079="NEW"),"",COUNTBLANK(OFFSET(A$1,,,SUMPRODUCT(MAX(ROW(E$2:E3079)*(E3079=E$2:E3079)))))-COUNTBLANK(OFFSET(A$1,,,SUMPRODUCT(MAX(ROW(E$1:E3078)*(E2=E$1:E3078))))))</f>
        <v> </v>
      </c>
      <c r="K3079" s="26" t="str">
        <f>IF(OR(E3079="",E3079="!!!",F3079="NEW"),"",INDEX(J$1:J3078,SUMPRODUCT(MAX(ROW(E$1:E3078)*(E3079=E$1:E3078)))))</f>
        <v> </v>
      </c>
      <c r="L3079" s="27"/>
    </row>
    <row r="3080" spans="1:12">
      <c r="A3080" s="20" t="s">
        <v>885</v>
      </c>
      <c r="B3080" s="21" t="s">
        <v>1119</v>
      </c>
      <c r="C3080" s="21" t="s">
        <v>1082</v>
      </c>
      <c r="D3080" s="21" t="s">
        <v>1007</v>
      </c>
      <c r="E3080" s="22">
        <f>IF(D3080="?OLD","!!!","")</f>
        <v/>
      </c>
      <c r="F3080" s="23" t="str">
        <f>IF(OR(E3080="",E3080="!!!"),"",IF(NOT(ISNA(VLOOKUP(E3080,E$1:E3079,1,FALSE()))),"OLD",IF(AND(E3080&lt;&gt;"",E3080&lt;&gt;"!!!"),"NEW","")))</f>
        <v> </v>
      </c>
      <c r="G3080" s="24" t="str">
        <f>IF(OR(E3080="",E3080="!!!"),"",IF(OR(J3080=0,AND(J3080=1,K3080=1),AND(J3080=1,I3080="SBJ"),AND(J3080=1,I3080=0)),"?IN_FOCUS",IF(J3080&lt;=2,"?ACTIVATED",IF(J3080&lt;&gt;"","?FAMILIAR",IF(F3080="NEW",IF(ISNA(VLOOKUP(E3080,#REF!,1,FALSE())),"?TYPE_IDENTIFIABLE","?REFERENTIAL"),"_")))))</f>
        <v> </v>
      </c>
      <c r="H3080" s="25" t="str">
        <f>IF(J3080&lt;&gt;1,"",IF(I3080="SBJ","CB","?"))</f>
        <v> </v>
      </c>
      <c r="I3080" s="26" t="str">
        <f>IF(OR(E3080="",E3080="!!!",F3080="NEW"),"",INDEX(B3079:B$2,-1+SUMPRODUCT(MAX(ROW(E3079:E$2)*(E3080=E3079:E$2)))))</f>
        <v> </v>
      </c>
      <c r="J3080" s="26" t="str">
        <f>IF(OR(E3080="",E3080="!!!",F3080="NEW"),"",COUNTBLANK(OFFSET(A$1,,,SUMPRODUCT(MAX(ROW(E$2:E3080)*(E3080=E$2:E3080)))))-COUNTBLANK(OFFSET(A$1,,,SUMPRODUCT(MAX(ROW(E$1:E3079)*(E2=E$1:E3079))))))</f>
        <v> </v>
      </c>
      <c r="K3080" s="26" t="str">
        <f>IF(OR(E3080="",E3080="!!!",F3080="NEW"),"",INDEX(J$1:J3079,SUMPRODUCT(MAX(ROW(E$1:E3079)*(E3080=E$1:E3079)))))</f>
        <v> </v>
      </c>
      <c r="L3080" s="27"/>
    </row>
    <row r="3081" spans="1:12">
      <c r="A3081" s="20" t="s">
        <v>1949</v>
      </c>
      <c r="E3081" s="22">
        <f>IF(D3081="?OLD","!!!","")</f>
        <v/>
      </c>
      <c r="F3081" s="23" t="str">
        <f>IF(OR(E3081="",E3081="!!!"),"",IF(NOT(ISNA(VLOOKUP(E3081,E$1:E3080,1,FALSE()))),"OLD",IF(AND(E3081&lt;&gt;"",E3081&lt;&gt;"!!!"),"NEW","")))</f>
        <v> </v>
      </c>
      <c r="G3081" s="24" t="str">
        <f>IF(OR(E3081="",E3081="!!!"),"",IF(OR(J3081=0,AND(J3081=1,K3081=1),AND(J3081=1,I3081="SBJ"),AND(J3081=1,I3081=0)),"?IN_FOCUS",IF(J3081&lt;=2,"?ACTIVATED",IF(J3081&lt;&gt;"","?FAMILIAR",IF(F3081="NEW",IF(ISNA(VLOOKUP(E3081,#REF!,1,FALSE())),"?TYPE_IDENTIFIABLE","?REFERENTIAL"),"_")))))</f>
        <v> </v>
      </c>
      <c r="H3081" s="25" t="str">
        <f>IF(J3081&lt;&gt;1,"",IF(I3081="SBJ","CB","?"))</f>
        <v> </v>
      </c>
      <c r="I3081" s="26" t="str">
        <f>IF(OR(E3081="",E3081="!!!",F3081="NEW"),"",INDEX(B3080:B$2,-1+SUMPRODUCT(MAX(ROW(E3080:E$2)*(E3081=E3080:E$2)))))</f>
        <v> </v>
      </c>
      <c r="J3081" s="26" t="str">
        <f>IF(OR(E3081="",E3081="!!!",F3081="NEW"),"",COUNTBLANK(OFFSET(A$1,,,SUMPRODUCT(MAX(ROW(E$2:E3081)*(E3081=E$2:E3081)))))-COUNTBLANK(OFFSET(A$1,,,SUMPRODUCT(MAX(ROW(E$1:E3080)*(E2=E$1:E3080))))))</f>
        <v> </v>
      </c>
      <c r="K3081" s="26" t="str">
        <f>IF(OR(E3081="",E3081="!!!",F3081="NEW"),"",INDEX(J$1:J3080,SUMPRODUCT(MAX(ROW(E$1:E3080)*(E3081=E$1:E3080)))))</f>
        <v> </v>
      </c>
      <c r="L3081" s="27"/>
    </row>
    <row r="3082" spans="1:12">
      <c r="A3082" s="20" t="s">
        <v>1056</v>
      </c>
      <c r="B3082" s="21" t="s">
        <v>1029</v>
      </c>
      <c r="E3082" s="22">
        <f>IF(D3082="?OLD","!!!","")</f>
        <v/>
      </c>
      <c r="F3082" s="23" t="str">
        <f>IF(OR(E3082="",E3082="!!!"),"",IF(NOT(ISNA(VLOOKUP(E3082,E$1:E3081,1,FALSE()))),"OLD",IF(AND(E3082&lt;&gt;"",E3082&lt;&gt;"!!!"),"NEW","")))</f>
        <v> </v>
      </c>
      <c r="G3082" s="24" t="str">
        <f>IF(OR(E3082="",E3082="!!!"),"",IF(OR(J3082=0,AND(J3082=1,K3082=1),AND(J3082=1,I3082="SBJ"),AND(J3082=1,I3082=0)),"?IN_FOCUS",IF(J3082&lt;=2,"?ACTIVATED",IF(J3082&lt;&gt;"","?FAMILIAR",IF(F3082="NEW",IF(ISNA(VLOOKUP(E3082,#REF!,1,FALSE())),"?TYPE_IDENTIFIABLE","?REFERENTIAL"),"_")))))</f>
        <v> </v>
      </c>
      <c r="H3082" s="25" t="str">
        <f>IF(J3082&lt;&gt;1,"",IF(I3082="SBJ","CB","?"))</f>
        <v> </v>
      </c>
      <c r="I3082" s="26" t="str">
        <f>IF(OR(E3082="",E3082="!!!",F3082="NEW"),"",INDEX(B3081:B$2,-1+SUMPRODUCT(MAX(ROW(E3081:E$2)*(E3082=E3081:E$2)))))</f>
        <v> </v>
      </c>
      <c r="J3082" s="26" t="str">
        <f>IF(OR(E3082="",E3082="!!!",F3082="NEW"),"",COUNTBLANK(OFFSET(A$1,,,SUMPRODUCT(MAX(ROW(E$2:E3082)*(E3082=E$2:E3082)))))-COUNTBLANK(OFFSET(A$1,,,SUMPRODUCT(MAX(ROW(E$1:E3081)*(E2=E$1:E3081))))))</f>
        <v> </v>
      </c>
      <c r="K3082" s="26" t="str">
        <f>IF(OR(E3082="",E3082="!!!",F3082="NEW"),"",INDEX(J$1:J3081,SUMPRODUCT(MAX(ROW(E$1:E3081)*(E3082=E$1:E3081)))))</f>
        <v> </v>
      </c>
      <c r="L3082" s="27"/>
    </row>
    <row r="3083" spans="1:12">
      <c r="A3083" s="20" t="s">
        <v>1014</v>
      </c>
      <c r="E3083" s="22">
        <f>IF(D3083="?OLD","!!!","")</f>
        <v/>
      </c>
      <c r="F3083" s="23" t="str">
        <f>IF(OR(E3083="",E3083="!!!"),"",IF(NOT(ISNA(VLOOKUP(E3083,E$1:E3082,1,FALSE()))),"OLD",IF(AND(E3083&lt;&gt;"",E3083&lt;&gt;"!!!"),"NEW","")))</f>
        <v> </v>
      </c>
      <c r="G3083" s="24" t="str">
        <f>IF(OR(E3083="",E3083="!!!"),"",IF(OR(J3083=0,AND(J3083=1,K3083=1),AND(J3083=1,I3083="SBJ"),AND(J3083=1,I3083=0)),"?IN_FOCUS",IF(J3083&lt;=2,"?ACTIVATED",IF(J3083&lt;&gt;"","?FAMILIAR",IF(F3083="NEW",IF(ISNA(VLOOKUP(E3083,#REF!,1,FALSE())),"?TYPE_IDENTIFIABLE","?REFERENTIAL"),"_")))))</f>
        <v> </v>
      </c>
      <c r="H3083" s="25" t="str">
        <f>IF(J3083&lt;&gt;1,"",IF(I3083="SBJ","CB","?"))</f>
        <v> </v>
      </c>
      <c r="I3083" s="26" t="str">
        <f>IF(OR(E3083="",E3083="!!!",F3083="NEW"),"",INDEX(B3082:B$2,-1+SUMPRODUCT(MAX(ROW(E3082:E$2)*(E3083=E3082:E$2)))))</f>
        <v> </v>
      </c>
      <c r="J3083" s="26" t="str">
        <f>IF(OR(E3083="",E3083="!!!",F3083="NEW"),"",COUNTBLANK(OFFSET(A$1,,,SUMPRODUCT(MAX(ROW(E$2:E3083)*(E3083=E$2:E3083)))))-COUNTBLANK(OFFSET(A$1,,,SUMPRODUCT(MAX(ROW(E$1:E3082)*(E2=E$1:E3082))))))</f>
        <v> </v>
      </c>
      <c r="K3083" s="26" t="str">
        <f>IF(OR(E3083="",E3083="!!!",F3083="NEW"),"",INDEX(J$1:J3082,SUMPRODUCT(MAX(ROW(E$1:E3082)*(E3083=E$1:E3082)))))</f>
        <v> </v>
      </c>
      <c r="L3083" s="27"/>
    </row>
    <row r="3084" spans="1:12">
      <c r="A3084" s="20" t="s">
        <v>1015</v>
      </c>
      <c r="E3084" s="22">
        <f>IF(D3084="?OLD","!!!","")</f>
        <v/>
      </c>
      <c r="F3084" s="23" t="str">
        <f>IF(OR(E3084="",E3084="!!!"),"",IF(NOT(ISNA(VLOOKUP(E3084,E$1:E3083,1,FALSE()))),"OLD",IF(AND(E3084&lt;&gt;"",E3084&lt;&gt;"!!!"),"NEW","")))</f>
        <v> </v>
      </c>
      <c r="G3084" s="24" t="str">
        <f>IF(OR(E3084="",E3084="!!!"),"",IF(OR(J3084=0,AND(J3084=1,K3084=1),AND(J3084=1,I3084="SBJ"),AND(J3084=1,I3084=0)),"?IN_FOCUS",IF(J3084&lt;=2,"?ACTIVATED",IF(J3084&lt;&gt;"","?FAMILIAR",IF(F3084="NEW",IF(ISNA(VLOOKUP(E3084,#REF!,1,FALSE())),"?TYPE_IDENTIFIABLE","?REFERENTIAL"),"_")))))</f>
        <v> </v>
      </c>
      <c r="H3084" s="25" t="str">
        <f>IF(J3084&lt;&gt;1,"",IF(I3084="SBJ","CB","?"))</f>
        <v> </v>
      </c>
      <c r="I3084" s="26" t="str">
        <f>IF(OR(E3084="",E3084="!!!",F3084="NEW"),"",INDEX(B3083:B$2,-1+SUMPRODUCT(MAX(ROW(E3083:E$2)*(E3084=E3083:E$2)))))</f>
        <v> </v>
      </c>
      <c r="J3084" s="26" t="str">
        <f>IF(OR(E3084="",E3084="!!!",F3084="NEW"),"",COUNTBLANK(OFFSET(A$1,,,SUMPRODUCT(MAX(ROW(E$2:E3084)*(E3084=E$2:E3084)))))-COUNTBLANK(OFFSET(A$1,,,SUMPRODUCT(MAX(ROW(E$1:E3083)*(E2=E$1:E3083))))))</f>
        <v> </v>
      </c>
      <c r="K3084" s="26" t="str">
        <f>IF(OR(E3084="",E3084="!!!",F3084="NEW"),"",INDEX(J$1:J3083,SUMPRODUCT(MAX(ROW(E$1:E3083)*(E3084=E$1:E3083)))))</f>
        <v> </v>
      </c>
      <c r="L3084" s="27"/>
    </row>
    <row r="3085" spans="1:12">
      <c r="A3085" s="20" t="s">
        <v>1950</v>
      </c>
      <c r="E3085" s="22">
        <f>IF(D3085="?OLD","!!!","")</f>
        <v/>
      </c>
      <c r="F3085" s="23" t="str">
        <f>IF(OR(E3085="",E3085="!!!"),"",IF(NOT(ISNA(VLOOKUP(E3085,E$1:E3084,1,FALSE()))),"OLD",IF(AND(E3085&lt;&gt;"",E3085&lt;&gt;"!!!"),"NEW","")))</f>
        <v> </v>
      </c>
      <c r="G3085" s="24" t="str">
        <f>IF(OR(E3085="",E3085="!!!"),"",IF(OR(J3085=0,AND(J3085=1,K3085=1),AND(J3085=1,I3085="SBJ"),AND(J3085=1,I3085=0)),"?IN_FOCUS",IF(J3085&lt;=2,"?ACTIVATED",IF(J3085&lt;&gt;"","?FAMILIAR",IF(F3085="NEW",IF(ISNA(VLOOKUP(E3085,#REF!,1,FALSE())),"?TYPE_IDENTIFIABLE","?REFERENTIAL"),"_")))))</f>
        <v> </v>
      </c>
      <c r="H3085" s="25" t="str">
        <f>IF(J3085&lt;&gt;1,"",IF(I3085="SBJ","CB","?"))</f>
        <v> </v>
      </c>
      <c r="I3085" s="26" t="str">
        <f>IF(OR(E3085="",E3085="!!!",F3085="NEW"),"",INDEX(B3084:B$2,-1+SUMPRODUCT(MAX(ROW(E3084:E$2)*(E3085=E3084:E$2)))))</f>
        <v> </v>
      </c>
      <c r="J3085" s="26" t="str">
        <f>IF(OR(E3085="",E3085="!!!",F3085="NEW"),"",COUNTBLANK(OFFSET(A$1,,,SUMPRODUCT(MAX(ROW(E$2:E3085)*(E3085=E$2:E3085)))))-COUNTBLANK(OFFSET(A$1,,,SUMPRODUCT(MAX(ROW(E$1:E3084)*(E2=E$1:E3084))))))</f>
        <v> </v>
      </c>
      <c r="K3085" s="26" t="str">
        <f>IF(OR(E3085="",E3085="!!!",F3085="NEW"),"",INDEX(J$1:J3084,SUMPRODUCT(MAX(ROW(E$1:E3084)*(E3085=E$1:E3084)))))</f>
        <v> </v>
      </c>
      <c r="L3085" s="27"/>
    </row>
    <row r="3086" spans="1:12">
      <c r="A3086" s="20" t="s">
        <v>1951</v>
      </c>
      <c r="B3086" s="21" t="s">
        <v>1033</v>
      </c>
      <c r="C3086" s="21" t="s">
        <v>1013</v>
      </c>
      <c r="D3086" s="21" t="s">
        <v>1007</v>
      </c>
      <c r="E3086" s="22">
        <f>IF(D3086="?OLD","!!!","")</f>
        <v/>
      </c>
      <c r="F3086" s="23" t="str">
        <f>IF(OR(E3086="",E3086="!!!"),"",IF(NOT(ISNA(VLOOKUP(E3086,E$1:E3085,1,FALSE()))),"OLD",IF(AND(E3086&lt;&gt;"",E3086&lt;&gt;"!!!"),"NEW","")))</f>
        <v> </v>
      </c>
      <c r="G3086" s="24" t="str">
        <f>IF(OR(E3086="",E3086="!!!"),"",IF(OR(J3086=0,AND(J3086=1,K3086=1),AND(J3086=1,I3086="SBJ"),AND(J3086=1,I3086=0)),"?IN_FOCUS",IF(J3086&lt;=2,"?ACTIVATED",IF(J3086&lt;&gt;"","?FAMILIAR",IF(F3086="NEW",IF(ISNA(VLOOKUP(E3086,#REF!,1,FALSE())),"?TYPE_IDENTIFIABLE","?REFERENTIAL"),"_")))))</f>
        <v> </v>
      </c>
      <c r="H3086" s="25" t="str">
        <f>IF(J3086&lt;&gt;1,"",IF(I3086="SBJ","CB","?"))</f>
        <v> </v>
      </c>
      <c r="I3086" s="26" t="str">
        <f>IF(OR(E3086="",E3086="!!!",F3086="NEW"),"",INDEX(B3085:B$2,-1+SUMPRODUCT(MAX(ROW(E3085:E$2)*(E3086=E3085:E$2)))))</f>
        <v> </v>
      </c>
      <c r="J3086" s="26" t="str">
        <f>IF(OR(E3086="",E3086="!!!",F3086="NEW"),"",COUNTBLANK(OFFSET(A$1,,,SUMPRODUCT(MAX(ROW(E$2:E3086)*(E3086=E$2:E3086)))))-COUNTBLANK(OFFSET(A$1,,,SUMPRODUCT(MAX(ROW(E$1:E3085)*(E2=E$1:E3085))))))</f>
        <v> </v>
      </c>
      <c r="K3086" s="26" t="str">
        <f>IF(OR(E3086="",E3086="!!!",F3086="NEW"),"",INDEX(J$1:J3085,SUMPRODUCT(MAX(ROW(E$1:E3085)*(E3086=E$1:E3085)))))</f>
        <v> </v>
      </c>
      <c r="L3086" s="27"/>
    </row>
    <row r="3087" spans="1:12">
      <c r="A3087" s="20" t="s">
        <v>1014</v>
      </c>
      <c r="E3087" s="22">
        <f>IF(D3087="?OLD","!!!","")</f>
        <v/>
      </c>
      <c r="F3087" s="23" t="str">
        <f>IF(OR(E3087="",E3087="!!!"),"",IF(NOT(ISNA(VLOOKUP(E3087,E$1:E3086,1,FALSE()))),"OLD",IF(AND(E3087&lt;&gt;"",E3087&lt;&gt;"!!!"),"NEW","")))</f>
        <v> </v>
      </c>
      <c r="G3087" s="24" t="str">
        <f>IF(OR(E3087="",E3087="!!!"),"",IF(OR(J3087=0,AND(J3087=1,K3087=1),AND(J3087=1,I3087="SBJ"),AND(J3087=1,I3087=0)),"?IN_FOCUS",IF(J3087&lt;=2,"?ACTIVATED",IF(J3087&lt;&gt;"","?FAMILIAR",IF(F3087="NEW",IF(ISNA(VLOOKUP(E3087,#REF!,1,FALSE())),"?TYPE_IDENTIFIABLE","?REFERENTIAL"),"_")))))</f>
        <v> </v>
      </c>
      <c r="H3087" s="25" t="str">
        <f>IF(J3087&lt;&gt;1,"",IF(I3087="SBJ","CB","?"))</f>
        <v> </v>
      </c>
      <c r="I3087" s="26" t="str">
        <f>IF(OR(E3087="",E3087="!!!",F3087="NEW"),"",INDEX(B3086:B$2,-1+SUMPRODUCT(MAX(ROW(E3086:E$2)*(E3087=E3086:E$2)))))</f>
        <v> </v>
      </c>
      <c r="J3087" s="26" t="str">
        <f>IF(OR(E3087="",E3087="!!!",F3087="NEW"),"",COUNTBLANK(OFFSET(A$1,,,SUMPRODUCT(MAX(ROW(E$2:E3087)*(E3087=E$2:E3087)))))-COUNTBLANK(OFFSET(A$1,,,SUMPRODUCT(MAX(ROW(E$1:E3086)*(E2=E$1:E3086))))))</f>
        <v> </v>
      </c>
      <c r="K3087" s="26" t="str">
        <f>IF(OR(E3087="",E3087="!!!",F3087="NEW"),"",INDEX(J$1:J3086,SUMPRODUCT(MAX(ROW(E$1:E3086)*(E3087=E$1:E3086)))))</f>
        <v> </v>
      </c>
      <c r="L3087" s="27"/>
    </row>
    <row r="3088" spans="1:12">
      <c r="A3088" s="20" t="s">
        <v>1952</v>
      </c>
      <c r="B3088" s="21" t="s">
        <v>1035</v>
      </c>
      <c r="C3088" s="21" t="s">
        <v>1013</v>
      </c>
      <c r="D3088" s="21" t="s">
        <v>1007</v>
      </c>
      <c r="E3088" s="22">
        <f>IF(D3088="?OLD","!!!","")</f>
        <v/>
      </c>
      <c r="F3088" s="23" t="str">
        <f>IF(OR(E3088="",E3088="!!!"),"",IF(NOT(ISNA(VLOOKUP(E3088,E$1:E3087,1,FALSE()))),"OLD",IF(AND(E3088&lt;&gt;"",E3088&lt;&gt;"!!!"),"NEW","")))</f>
        <v> </v>
      </c>
      <c r="G3088" s="24" t="str">
        <f>IF(OR(E3088="",E3088="!!!"),"",IF(OR(J3088=0,AND(J3088=1,K3088=1),AND(J3088=1,I3088="SBJ"),AND(J3088=1,I3088=0)),"?IN_FOCUS",IF(J3088&lt;=2,"?ACTIVATED",IF(J3088&lt;&gt;"","?FAMILIAR",IF(F3088="NEW",IF(ISNA(VLOOKUP(E3088,#REF!,1,FALSE())),"?TYPE_IDENTIFIABLE","?REFERENTIAL"),"_")))))</f>
        <v> </v>
      </c>
      <c r="H3088" s="25" t="str">
        <f>IF(J3088&lt;&gt;1,"",IF(I3088="SBJ","CB","?"))</f>
        <v> </v>
      </c>
      <c r="I3088" s="26" t="str">
        <f>IF(OR(E3088="",E3088="!!!",F3088="NEW"),"",INDEX(B3087:B$2,-1+SUMPRODUCT(MAX(ROW(E3087:E$2)*(E3088=E3087:E$2)))))</f>
        <v> </v>
      </c>
      <c r="J3088" s="26" t="str">
        <f>IF(OR(E3088="",E3088="!!!",F3088="NEW"),"",COUNTBLANK(OFFSET(A$1,,,SUMPRODUCT(MAX(ROW(E$2:E3088)*(E3088=E$2:E3088)))))-COUNTBLANK(OFFSET(A$1,,,SUMPRODUCT(MAX(ROW(E$1:E3087)*(E2=E$1:E3087))))))</f>
        <v> </v>
      </c>
      <c r="K3088" s="26" t="str">
        <f>IF(OR(E3088="",E3088="!!!",F3088="NEW"),"",INDEX(J$1:J3087,SUMPRODUCT(MAX(ROW(E$1:E3087)*(E3088=E$1:E3087)))))</f>
        <v> </v>
      </c>
      <c r="L3088" s="27"/>
    </row>
    <row r="3089" spans="1:12">
      <c r="A3089" s="20" t="s">
        <v>1014</v>
      </c>
      <c r="E3089" s="22">
        <f>IF(D3089="?OLD","!!!","")</f>
        <v/>
      </c>
      <c r="F3089" s="23" t="str">
        <f>IF(OR(E3089="",E3089="!!!"),"",IF(NOT(ISNA(VLOOKUP(E3089,E$1:E3088,1,FALSE()))),"OLD",IF(AND(E3089&lt;&gt;"",E3089&lt;&gt;"!!!"),"NEW","")))</f>
        <v> </v>
      </c>
      <c r="G3089" s="24" t="str">
        <f>IF(OR(E3089="",E3089="!!!"),"",IF(OR(J3089=0,AND(J3089=1,K3089=1),AND(J3089=1,I3089="SBJ"),AND(J3089=1,I3089=0)),"?IN_FOCUS",IF(J3089&lt;=2,"?ACTIVATED",IF(J3089&lt;&gt;"","?FAMILIAR",IF(F3089="NEW",IF(ISNA(VLOOKUP(E3089,#REF!,1,FALSE())),"?TYPE_IDENTIFIABLE","?REFERENTIAL"),"_")))))</f>
        <v> </v>
      </c>
      <c r="H3089" s="25" t="str">
        <f>IF(J3089&lt;&gt;1,"",IF(I3089="SBJ","CB","?"))</f>
        <v> </v>
      </c>
      <c r="I3089" s="26" t="str">
        <f>IF(OR(E3089="",E3089="!!!",F3089="NEW"),"",INDEX(B3088:B$2,-1+SUMPRODUCT(MAX(ROW(E3088:E$2)*(E3089=E3088:E$2)))))</f>
        <v> </v>
      </c>
      <c r="J3089" s="26" t="str">
        <f>IF(OR(E3089="",E3089="!!!",F3089="NEW"),"",COUNTBLANK(OFFSET(A$1,,,SUMPRODUCT(MAX(ROW(E$2:E3089)*(E3089=E$2:E3089)))))-COUNTBLANK(OFFSET(A$1,,,SUMPRODUCT(MAX(ROW(E$1:E3088)*(E2=E$1:E3088))))))</f>
        <v> </v>
      </c>
      <c r="K3089" s="26" t="str">
        <f>IF(OR(E3089="",E3089="!!!",F3089="NEW"),"",INDEX(J$1:J3088,SUMPRODUCT(MAX(ROW(E$1:E3088)*(E3089=E$1:E3088)))))</f>
        <v> </v>
      </c>
      <c r="L3089" s="27"/>
    </row>
    <row r="3090" spans="1:12">
      <c r="A3090" s="20" t="s">
        <v>1020</v>
      </c>
      <c r="E3090" s="22">
        <f>IF(D3090="?OLD","!!!","")</f>
        <v/>
      </c>
      <c r="F3090" s="23" t="str">
        <f>IF(OR(E3090="",E3090="!!!"),"",IF(NOT(ISNA(VLOOKUP(E3090,E$1:E3089,1,FALSE()))),"OLD",IF(AND(E3090&lt;&gt;"",E3090&lt;&gt;"!!!"),"NEW","")))</f>
        <v> </v>
      </c>
      <c r="G3090" s="24" t="str">
        <f>IF(OR(E3090="",E3090="!!!"),"",IF(OR(J3090=0,AND(J3090=1,K3090=1),AND(J3090=1,I3090="SBJ"),AND(J3090=1,I3090=0)),"?IN_FOCUS",IF(J3090&lt;=2,"?ACTIVATED",IF(J3090&lt;&gt;"","?FAMILIAR",IF(F3090="NEW",IF(ISNA(VLOOKUP(E3090,#REF!,1,FALSE())),"?TYPE_IDENTIFIABLE","?REFERENTIAL"),"_")))))</f>
        <v> </v>
      </c>
      <c r="H3090" s="25" t="str">
        <f>IF(J3090&lt;&gt;1,"",IF(I3090="SBJ","CB","?"))</f>
        <v> </v>
      </c>
      <c r="I3090" s="26" t="str">
        <f>IF(OR(E3090="",E3090="!!!",F3090="NEW"),"",INDEX(B3089:B$2,-1+SUMPRODUCT(MAX(ROW(E3089:E$2)*(E3090=E3089:E$2)))))</f>
        <v> </v>
      </c>
      <c r="J3090" s="26" t="str">
        <f>IF(OR(E3090="",E3090="!!!",F3090="NEW"),"",COUNTBLANK(OFFSET(A$1,,,SUMPRODUCT(MAX(ROW(E$2:E3090)*(E3090=E$2:E3090)))))-COUNTBLANK(OFFSET(A$1,,,SUMPRODUCT(MAX(ROW(E$1:E3089)*(E2=E$1:E3089))))))</f>
        <v> </v>
      </c>
      <c r="K3090" s="26" t="str">
        <f>IF(OR(E3090="",E3090="!!!",F3090="NEW"),"",INDEX(J$1:J3089,SUMPRODUCT(MAX(ROW(E$1:E3089)*(E3090=E$1:E3089)))))</f>
        <v> </v>
      </c>
      <c r="L3090" s="27"/>
    </row>
    <row r="3091" spans="1:12">
      <c r="A3091" s="20" t="s">
        <v>1202</v>
      </c>
      <c r="B3091" s="21" t="s">
        <v>1130</v>
      </c>
      <c r="C3091" s="21" t="s">
        <v>1017</v>
      </c>
      <c r="D3091" s="21" t="s">
        <v>1007</v>
      </c>
      <c r="E3091" s="22">
        <f>IF(D3091="?OLD","!!!","")</f>
        <v/>
      </c>
      <c r="F3091" s="23" t="str">
        <f>IF(OR(E3091="",E3091="!!!"),"",IF(NOT(ISNA(VLOOKUP(E3091,E$1:E3090,1,FALSE()))),"OLD",IF(AND(E3091&lt;&gt;"",E3091&lt;&gt;"!!!"),"NEW","")))</f>
        <v> </v>
      </c>
      <c r="G3091" s="24" t="str">
        <f>IF(OR(E3091="",E3091="!!!"),"",IF(OR(J3091=0,AND(J3091=1,K3091=1),AND(J3091=1,I3091="SBJ"),AND(J3091=1,I3091=0)),"?IN_FOCUS",IF(J3091&lt;=2,"?ACTIVATED",IF(J3091&lt;&gt;"","?FAMILIAR",IF(F3091="NEW",IF(ISNA(VLOOKUP(E3091,#REF!,1,FALSE())),"?TYPE_IDENTIFIABLE","?REFERENTIAL"),"_")))))</f>
        <v> </v>
      </c>
      <c r="H3091" s="25" t="str">
        <f>IF(J3091&lt;&gt;1,"",IF(I3091="SBJ","CB","?"))</f>
        <v> </v>
      </c>
      <c r="I3091" s="26" t="str">
        <f>IF(OR(E3091="",E3091="!!!",F3091="NEW"),"",INDEX(B3090:B$2,-1+SUMPRODUCT(MAX(ROW(E3090:E$2)*(E3091=E3090:E$2)))))</f>
        <v> </v>
      </c>
      <c r="J3091" s="26" t="str">
        <f>IF(OR(E3091="",E3091="!!!",F3091="NEW"),"",COUNTBLANK(OFFSET(A$1,,,SUMPRODUCT(MAX(ROW(E$2:E3091)*(E3091=E$2:E3091)))))-COUNTBLANK(OFFSET(A$1,,,SUMPRODUCT(MAX(ROW(E$1:E3090)*(E2=E$1:E3090))))))</f>
        <v> </v>
      </c>
      <c r="K3091" s="26" t="str">
        <f>IF(OR(E3091="",E3091="!!!",F3091="NEW"),"",INDEX(J$1:J3090,SUMPRODUCT(MAX(ROW(E$1:E3090)*(E3091=E$1:E3090)))))</f>
        <v> </v>
      </c>
      <c r="L3091" s="27"/>
    </row>
    <row r="3092" spans="1:12">
      <c r="A3092" s="20" t="s">
        <v>1953</v>
      </c>
      <c r="E3092" s="22">
        <f>IF(D3092="?OLD","!!!","")</f>
        <v/>
      </c>
      <c r="F3092" s="23" t="str">
        <f>IF(OR(E3092="",E3092="!!!"),"",IF(NOT(ISNA(VLOOKUP(E3092,E$1:E3091,1,FALSE()))),"OLD",IF(AND(E3092&lt;&gt;"",E3092&lt;&gt;"!!!"),"NEW","")))</f>
        <v> </v>
      </c>
      <c r="G3092" s="24" t="str">
        <f>IF(OR(E3092="",E3092="!!!"),"",IF(OR(J3092=0,AND(J3092=1,K3092=1),AND(J3092=1,I3092="SBJ"),AND(J3092=1,I3092=0)),"?IN_FOCUS",IF(J3092&lt;=2,"?ACTIVATED",IF(J3092&lt;&gt;"","?FAMILIAR",IF(F3092="NEW",IF(ISNA(VLOOKUP(E3092,#REF!,1,FALSE())),"?TYPE_IDENTIFIABLE","?REFERENTIAL"),"_")))))</f>
        <v> </v>
      </c>
      <c r="H3092" s="25" t="str">
        <f>IF(J3092&lt;&gt;1,"",IF(I3092="SBJ","CB","?"))</f>
        <v> </v>
      </c>
      <c r="I3092" s="26" t="str">
        <f>IF(OR(E3092="",E3092="!!!",F3092="NEW"),"",INDEX(B3091:B$2,-1+SUMPRODUCT(MAX(ROW(E3091:E$2)*(E3092=E3091:E$2)))))</f>
        <v> </v>
      </c>
      <c r="J3092" s="26" t="str">
        <f>IF(OR(E3092="",E3092="!!!",F3092="NEW"),"",COUNTBLANK(OFFSET(A$1,,,SUMPRODUCT(MAX(ROW(E$2:E3092)*(E3092=E$2:E3092)))))-COUNTBLANK(OFFSET(A$1,,,SUMPRODUCT(MAX(ROW(E$1:E3091)*(E2=E$1:E3091))))))</f>
        <v> </v>
      </c>
      <c r="K3092" s="26" t="str">
        <f>IF(OR(E3092="",E3092="!!!",F3092="NEW"),"",INDEX(J$1:J3091,SUMPRODUCT(MAX(ROW(E$1:E3091)*(E3092=E$1:E3091)))))</f>
        <v> </v>
      </c>
      <c r="L3092" s="27"/>
    </row>
    <row r="3093" spans="1:12">
      <c r="A3093" s="20" t="s">
        <v>1023</v>
      </c>
      <c r="E3093" s="22">
        <f>IF(D3093="?OLD","!!!","")</f>
        <v/>
      </c>
      <c r="F3093" s="23" t="str">
        <f>IF(OR(E3093="",E3093="!!!"),"",IF(NOT(ISNA(VLOOKUP(E3093,E$1:E3092,1,FALSE()))),"OLD",IF(AND(E3093&lt;&gt;"",E3093&lt;&gt;"!!!"),"NEW","")))</f>
        <v> </v>
      </c>
      <c r="G3093" s="24" t="str">
        <f>IF(OR(E3093="",E3093="!!!"),"",IF(OR(J3093=0,AND(J3093=1,K3093=1),AND(J3093=1,I3093="SBJ"),AND(J3093=1,I3093=0)),"?IN_FOCUS",IF(J3093&lt;=2,"?ACTIVATED",IF(J3093&lt;&gt;"","?FAMILIAR",IF(F3093="NEW",IF(ISNA(VLOOKUP(E3093,#REF!,1,FALSE())),"?TYPE_IDENTIFIABLE","?REFERENTIAL"),"_")))))</f>
        <v> </v>
      </c>
      <c r="H3093" s="25" t="str">
        <f>IF(J3093&lt;&gt;1,"",IF(I3093="SBJ","CB","?"))</f>
        <v> </v>
      </c>
      <c r="I3093" s="26" t="str">
        <f>IF(OR(E3093="",E3093="!!!",F3093="NEW"),"",INDEX(B3092:B$2,-1+SUMPRODUCT(MAX(ROW(E3092:E$2)*(E3093=E3092:E$2)))))</f>
        <v> </v>
      </c>
      <c r="J3093" s="26" t="str">
        <f>IF(OR(E3093="",E3093="!!!",F3093="NEW"),"",COUNTBLANK(OFFSET(A$1,,,SUMPRODUCT(MAX(ROW(E$2:E3093)*(E3093=E$2:E3093)))))-COUNTBLANK(OFFSET(A$1,,,SUMPRODUCT(MAX(ROW(E$1:E3092)*(E2=E$1:E3092))))))</f>
        <v> </v>
      </c>
      <c r="K3093" s="26" t="str">
        <f>IF(OR(E3093="",E3093="!!!",F3093="NEW"),"",INDEX(J$1:J3092,SUMPRODUCT(MAX(ROW(E$1:E3092)*(E3093=E$1:E3092)))))</f>
        <v> </v>
      </c>
      <c r="L3093" s="27"/>
    </row>
    <row r="3094" spans="1:12">
      <c r="A3094" s="20"/>
    </row>
    <row r="3095" spans="1:12">
      <c r="A3095" s="20" t="s">
        <v>1954</v>
      </c>
    </row>
    <row r="3096" spans="1:12">
      <c r="A3096" s="20" t="s">
        <v>11</v>
      </c>
      <c r="B3096" s="21" t="s">
        <v>1005</v>
      </c>
      <c r="C3096" s="21" t="s">
        <v>1073</v>
      </c>
      <c r="D3096" s="21" t="s">
        <v>1007</v>
      </c>
      <c r="E3096" s="22">
        <f>IF(D3096="?OLD","!!!","")</f>
        <v/>
      </c>
      <c r="F3096" s="23" t="str">
        <f>IF(OR(E3096="",E3096="!!!"),"",IF(NOT(ISNA(VLOOKUP(E3096,E$1:E3095,1,FALSE()))),"OLD",IF(AND(E3096&lt;&gt;"",E3096&lt;&gt;"!!!"),"NEW","")))</f>
        <v> </v>
      </c>
      <c r="G3096" s="24" t="str">
        <f>IF(OR(E3096="",E3096="!!!"),"",IF(OR(J3096=0,AND(J3096=1,K3096=1),AND(J3096=1,I3096="SBJ"),AND(J3096=1,I3096=0)),"?IN_FOCUS",IF(J3096&lt;=2,"?ACTIVATED",IF(J3096&lt;&gt;"","?FAMILIAR",IF(F3096="NEW",IF(ISNA(VLOOKUP(E3096,#REF!,1,FALSE())),"?TYPE_IDENTIFIABLE","?REFERENTIAL"),"_")))))</f>
        <v> </v>
      </c>
      <c r="H3096" s="25" t="str">
        <f>IF(J3096&lt;&gt;1,"",IF(I3096="SBJ","CB","?"))</f>
        <v> </v>
      </c>
      <c r="I3096" s="26" t="str">
        <f>IF(OR(E3096="",E3096="!!!",F3096="NEW"),"",INDEX(B3095:B$2,-1+SUMPRODUCT(MAX(ROW(E3095:E$2)*(E3096=E3095:E$2)))))</f>
        <v> </v>
      </c>
      <c r="J3096" s="26" t="str">
        <f>IF(OR(E3096="",E3096="!!!",F3096="NEW"),"",COUNTBLANK(OFFSET(A$1,,,SUMPRODUCT(MAX(ROW(E$2:E3096)*(E3096=E$2:E3096)))))-COUNTBLANK(OFFSET(A$1,,,SUMPRODUCT(MAX(ROW(E$1:E3095)*(E2=E$1:E3095))))))</f>
        <v> </v>
      </c>
      <c r="K3096" s="26" t="str">
        <f>IF(OR(E3096="",E3096="!!!",F3096="NEW"),"",INDEX(J$1:J3095,SUMPRODUCT(MAX(ROW(E$1:E3095)*(E3096=E$1:E3095)))))</f>
        <v> </v>
      </c>
      <c r="L3096" s="27"/>
    </row>
    <row r="3097" spans="1:12">
      <c r="A3097" s="20" t="s">
        <v>1065</v>
      </c>
      <c r="B3097" s="21" t="s">
        <v>1119</v>
      </c>
      <c r="E3097" s="22">
        <f>IF(D3097="?OLD","!!!","")</f>
        <v/>
      </c>
      <c r="F3097" s="23" t="str">
        <f>IF(OR(E3097="",E3097="!!!"),"",IF(NOT(ISNA(VLOOKUP(E3097,E$1:E3096,1,FALSE()))),"OLD",IF(AND(E3097&lt;&gt;"",E3097&lt;&gt;"!!!"),"NEW","")))</f>
        <v> </v>
      </c>
      <c r="G3097" s="24" t="str">
        <f>IF(OR(E3097="",E3097="!!!"),"",IF(OR(J3097=0,AND(J3097=1,K3097=1),AND(J3097=1,I3097="SBJ"),AND(J3097=1,I3097=0)),"?IN_FOCUS",IF(J3097&lt;=2,"?ACTIVATED",IF(J3097&lt;&gt;"","?FAMILIAR",IF(F3097="NEW",IF(ISNA(VLOOKUP(E3097,#REF!,1,FALSE())),"?TYPE_IDENTIFIABLE","?REFERENTIAL"),"_")))))</f>
        <v> </v>
      </c>
      <c r="H3097" s="25" t="str">
        <f>IF(J3097&lt;&gt;1,"",IF(I3097="SBJ","CB","?"))</f>
        <v> </v>
      </c>
      <c r="I3097" s="26" t="str">
        <f>IF(OR(E3097="",E3097="!!!",F3097="NEW"),"",INDEX(B3096:B$2,-1+SUMPRODUCT(MAX(ROW(E3096:E$2)*(E3097=E3096:E$2)))))</f>
        <v> </v>
      </c>
      <c r="J3097" s="26" t="str">
        <f>IF(OR(E3097="",E3097="!!!",F3097="NEW"),"",COUNTBLANK(OFFSET(A$1,,,SUMPRODUCT(MAX(ROW(E$2:E3097)*(E3097=E$2:E3097)))))-COUNTBLANK(OFFSET(A$1,,,SUMPRODUCT(MAX(ROW(E$1:E3096)*(E2=E$1:E3096))))))</f>
        <v> </v>
      </c>
      <c r="K3097" s="26" t="str">
        <f>IF(OR(E3097="",E3097="!!!",F3097="NEW"),"",INDEX(J$1:J3096,SUMPRODUCT(MAX(ROW(E$1:E3096)*(E3097=E$1:E3096)))))</f>
        <v> </v>
      </c>
      <c r="L3097" s="27"/>
    </row>
    <row r="3098" spans="1:12">
      <c r="A3098" s="20" t="s">
        <v>1955</v>
      </c>
      <c r="E3098" s="22">
        <f>IF(D3098="?OLD","!!!","")</f>
        <v/>
      </c>
      <c r="F3098" s="23" t="str">
        <f>IF(OR(E3098="",E3098="!!!"),"",IF(NOT(ISNA(VLOOKUP(E3098,E$1:E3097,1,FALSE()))),"OLD",IF(AND(E3098&lt;&gt;"",E3098&lt;&gt;"!!!"),"NEW","")))</f>
        <v> </v>
      </c>
      <c r="G3098" s="24" t="str">
        <f>IF(OR(E3098="",E3098="!!!"),"",IF(OR(J3098=0,AND(J3098=1,K3098=1),AND(J3098=1,I3098="SBJ"),AND(J3098=1,I3098=0)),"?IN_FOCUS",IF(J3098&lt;=2,"?ACTIVATED",IF(J3098&lt;&gt;"","?FAMILIAR",IF(F3098="NEW",IF(ISNA(VLOOKUP(E3098,#REF!,1,FALSE())),"?TYPE_IDENTIFIABLE","?REFERENTIAL"),"_")))))</f>
        <v> </v>
      </c>
      <c r="H3098" s="25" t="str">
        <f>IF(J3098&lt;&gt;1,"",IF(I3098="SBJ","CB","?"))</f>
        <v> </v>
      </c>
      <c r="I3098" s="26" t="str">
        <f>IF(OR(E3098="",E3098="!!!",F3098="NEW"),"",INDEX(B3097:B$2,-1+SUMPRODUCT(MAX(ROW(E3097:E$2)*(E3098=E3097:E$2)))))</f>
        <v> </v>
      </c>
      <c r="J3098" s="26" t="str">
        <f>IF(OR(E3098="",E3098="!!!",F3098="NEW"),"",COUNTBLANK(OFFSET(A$1,,,SUMPRODUCT(MAX(ROW(E$2:E3098)*(E3098=E$2:E3098)))))-COUNTBLANK(OFFSET(A$1,,,SUMPRODUCT(MAX(ROW(E$1:E3097)*(E2=E$1:E3097))))))</f>
        <v> </v>
      </c>
      <c r="K3098" s="26" t="str">
        <f>IF(OR(E3098="",E3098="!!!",F3098="NEW"),"",INDEX(J$1:J3097,SUMPRODUCT(MAX(ROW(E$1:E3097)*(E3098=E$1:E3097)))))</f>
        <v> </v>
      </c>
      <c r="L3098" s="27"/>
    </row>
    <row r="3099" spans="1:12">
      <c r="A3099" s="20" t="s">
        <v>1020</v>
      </c>
      <c r="E3099" s="22">
        <f>IF(D3099="?OLD","!!!","")</f>
        <v/>
      </c>
      <c r="F3099" s="23" t="str">
        <f>IF(OR(E3099="",E3099="!!!"),"",IF(NOT(ISNA(VLOOKUP(E3099,E$1:E3098,1,FALSE()))),"OLD",IF(AND(E3099&lt;&gt;"",E3099&lt;&gt;"!!!"),"NEW","")))</f>
        <v> </v>
      </c>
      <c r="G3099" s="24" t="str">
        <f>IF(OR(E3099="",E3099="!!!"),"",IF(OR(J3099=0,AND(J3099=1,K3099=1),AND(J3099=1,I3099="SBJ"),AND(J3099=1,I3099=0)),"?IN_FOCUS",IF(J3099&lt;=2,"?ACTIVATED",IF(J3099&lt;&gt;"","?FAMILIAR",IF(F3099="NEW",IF(ISNA(VLOOKUP(E3099,#REF!,1,FALSE())),"?TYPE_IDENTIFIABLE","?REFERENTIAL"),"_")))))</f>
        <v> </v>
      </c>
      <c r="H3099" s="25" t="str">
        <f>IF(J3099&lt;&gt;1,"",IF(I3099="SBJ","CB","?"))</f>
        <v> </v>
      </c>
      <c r="I3099" s="26" t="str">
        <f>IF(OR(E3099="",E3099="!!!",F3099="NEW"),"",INDEX(B3098:B$2,-1+SUMPRODUCT(MAX(ROW(E3098:E$2)*(E3099=E3098:E$2)))))</f>
        <v> </v>
      </c>
      <c r="J3099" s="26" t="str">
        <f>IF(OR(E3099="",E3099="!!!",F3099="NEW"),"",COUNTBLANK(OFFSET(A$1,,,SUMPRODUCT(MAX(ROW(E$2:E3099)*(E3099=E$2:E3099)))))-COUNTBLANK(OFFSET(A$1,,,SUMPRODUCT(MAX(ROW(E$1:E3098)*(E2=E$1:E3098))))))</f>
        <v> </v>
      </c>
      <c r="K3099" s="26" t="str">
        <f>IF(OR(E3099="",E3099="!!!",F3099="NEW"),"",INDEX(J$1:J3098,SUMPRODUCT(MAX(ROW(E$1:E3098)*(E3099=E$1:E3098)))))</f>
        <v> </v>
      </c>
      <c r="L3099" s="27"/>
    </row>
    <row r="3100" spans="1:12">
      <c r="A3100" s="20" t="s">
        <v>1027</v>
      </c>
      <c r="E3100" s="22">
        <f>IF(D3100="?OLD","!!!","")</f>
        <v/>
      </c>
      <c r="F3100" s="23" t="str">
        <f>IF(OR(E3100="",E3100="!!!"),"",IF(NOT(ISNA(VLOOKUP(E3100,E$1:E3099,1,FALSE()))),"OLD",IF(AND(E3100&lt;&gt;"",E3100&lt;&gt;"!!!"),"NEW","")))</f>
        <v> </v>
      </c>
      <c r="G3100" s="24" t="str">
        <f>IF(OR(E3100="",E3100="!!!"),"",IF(OR(J3100=0,AND(J3100=1,K3100=1),AND(J3100=1,I3100="SBJ"),AND(J3100=1,I3100=0)),"?IN_FOCUS",IF(J3100&lt;=2,"?ACTIVATED",IF(J3100&lt;&gt;"","?FAMILIAR",IF(F3100="NEW",IF(ISNA(VLOOKUP(E3100,#REF!,1,FALSE())),"?TYPE_IDENTIFIABLE","?REFERENTIAL"),"_")))))</f>
        <v> </v>
      </c>
      <c r="H3100" s="25" t="str">
        <f>IF(J3100&lt;&gt;1,"",IF(I3100="SBJ","CB","?"))</f>
        <v> </v>
      </c>
      <c r="I3100" s="26" t="str">
        <f>IF(OR(E3100="",E3100="!!!",F3100="NEW"),"",INDEX(B3099:B$2,-1+SUMPRODUCT(MAX(ROW(E3099:E$2)*(E3100=E3099:E$2)))))</f>
        <v> </v>
      </c>
      <c r="J3100" s="26" t="str">
        <f>IF(OR(E3100="",E3100="!!!",F3100="NEW"),"",COUNTBLANK(OFFSET(A$1,,,SUMPRODUCT(MAX(ROW(E$2:E3100)*(E3100=E$2:E3100)))))-COUNTBLANK(OFFSET(A$1,,,SUMPRODUCT(MAX(ROW(E$1:E3099)*(E2=E$1:E3099))))))</f>
        <v> </v>
      </c>
      <c r="K3100" s="26" t="str">
        <f>IF(OR(E3100="",E3100="!!!",F3100="NEW"),"",INDEX(J$1:J3099,SUMPRODUCT(MAX(ROW(E$1:E3099)*(E3100=E$1:E3099)))))</f>
        <v> </v>
      </c>
      <c r="L3100" s="27"/>
    </row>
    <row r="3101" spans="1:12">
      <c r="A3101" s="20" t="s">
        <v>1172</v>
      </c>
      <c r="B3101" s="21" t="s">
        <v>1029</v>
      </c>
      <c r="C3101" s="21" t="s">
        <v>1017</v>
      </c>
      <c r="D3101" s="21" t="s">
        <v>1007</v>
      </c>
      <c r="E3101" s="22">
        <f>IF(D3101="?OLD","!!!","")</f>
        <v/>
      </c>
      <c r="F3101" s="23" t="str">
        <f>IF(OR(E3101="",E3101="!!!"),"",IF(NOT(ISNA(VLOOKUP(E3101,E$1:E3100,1,FALSE()))),"OLD",IF(AND(E3101&lt;&gt;"",E3101&lt;&gt;"!!!"),"NEW","")))</f>
        <v> </v>
      </c>
      <c r="G3101" s="24" t="str">
        <f>IF(OR(E3101="",E3101="!!!"),"",IF(OR(J3101=0,AND(J3101=1,K3101=1),AND(J3101=1,I3101="SBJ"),AND(J3101=1,I3101=0)),"?IN_FOCUS",IF(J3101&lt;=2,"?ACTIVATED",IF(J3101&lt;&gt;"","?FAMILIAR",IF(F3101="NEW",IF(ISNA(VLOOKUP(E3101,#REF!,1,FALSE())),"?TYPE_IDENTIFIABLE","?REFERENTIAL"),"_")))))</f>
        <v> </v>
      </c>
      <c r="H3101" s="25" t="str">
        <f>IF(J3101&lt;&gt;1,"",IF(I3101="SBJ","CB","?"))</f>
        <v> </v>
      </c>
      <c r="I3101" s="26" t="str">
        <f>IF(OR(E3101="",E3101="!!!",F3101="NEW"),"",INDEX(B3100:B$2,-1+SUMPRODUCT(MAX(ROW(E3100:E$2)*(E3101=E3100:E$2)))))</f>
        <v> </v>
      </c>
      <c r="J3101" s="26" t="str">
        <f>IF(OR(E3101="",E3101="!!!",F3101="NEW"),"",COUNTBLANK(OFFSET(A$1,,,SUMPRODUCT(MAX(ROW(E$2:E3101)*(E3101=E$2:E3101)))))-COUNTBLANK(OFFSET(A$1,,,SUMPRODUCT(MAX(ROW(E$1:E3100)*(E2=E$1:E3100))))))</f>
        <v> </v>
      </c>
      <c r="K3101" s="26" t="str">
        <f>IF(OR(E3101="",E3101="!!!",F3101="NEW"),"",INDEX(J$1:J3100,SUMPRODUCT(MAX(ROW(E$1:E3100)*(E3101=E$1:E3100)))))</f>
        <v> </v>
      </c>
      <c r="L3101" s="27"/>
    </row>
    <row r="3102" spans="1:12">
      <c r="A3102" s="20" t="s">
        <v>1065</v>
      </c>
      <c r="B3102" s="21" t="s">
        <v>1120</v>
      </c>
      <c r="E3102" s="22">
        <f>IF(D3102="?OLD","!!!","")</f>
        <v/>
      </c>
      <c r="F3102" s="23" t="str">
        <f>IF(OR(E3102="",E3102="!!!"),"",IF(NOT(ISNA(VLOOKUP(E3102,E$1:E3101,1,FALSE()))),"OLD",IF(AND(E3102&lt;&gt;"",E3102&lt;&gt;"!!!"),"NEW","")))</f>
        <v> </v>
      </c>
      <c r="G3102" s="24" t="str">
        <f>IF(OR(E3102="",E3102="!!!"),"",IF(OR(J3102=0,AND(J3102=1,K3102=1),AND(J3102=1,I3102="SBJ"),AND(J3102=1,I3102=0)),"?IN_FOCUS",IF(J3102&lt;=2,"?ACTIVATED",IF(J3102&lt;&gt;"","?FAMILIAR",IF(F3102="NEW",IF(ISNA(VLOOKUP(E3102,#REF!,1,FALSE())),"?TYPE_IDENTIFIABLE","?REFERENTIAL"),"_")))))</f>
        <v> </v>
      </c>
      <c r="H3102" s="25" t="str">
        <f>IF(J3102&lt;&gt;1,"",IF(I3102="SBJ","CB","?"))</f>
        <v> </v>
      </c>
      <c r="I3102" s="26" t="str">
        <f>IF(OR(E3102="",E3102="!!!",F3102="NEW"),"",INDEX(B3101:B$2,-1+SUMPRODUCT(MAX(ROW(E3101:E$2)*(E3102=E3101:E$2)))))</f>
        <v> </v>
      </c>
      <c r="J3102" s="26" t="str">
        <f>IF(OR(E3102="",E3102="!!!",F3102="NEW"),"",COUNTBLANK(OFFSET(A$1,,,SUMPRODUCT(MAX(ROW(E$2:E3102)*(E3102=E$2:E3102)))))-COUNTBLANK(OFFSET(A$1,,,SUMPRODUCT(MAX(ROW(E$1:E3101)*(E2=E$1:E3101))))))</f>
        <v> </v>
      </c>
      <c r="K3102" s="26" t="str">
        <f>IF(OR(E3102="",E3102="!!!",F3102="NEW"),"",INDEX(J$1:J3101,SUMPRODUCT(MAX(ROW(E$1:E3101)*(E3102=E$1:E3101)))))</f>
        <v> </v>
      </c>
      <c r="L3102" s="27"/>
    </row>
    <row r="3103" spans="1:12">
      <c r="A3103" s="20" t="s">
        <v>1772</v>
      </c>
      <c r="E3103" s="22">
        <f>IF(D3103="?OLD","!!!","")</f>
        <v/>
      </c>
      <c r="F3103" s="23" t="str">
        <f>IF(OR(E3103="",E3103="!!!"),"",IF(NOT(ISNA(VLOOKUP(E3103,E$1:E3102,1,FALSE()))),"OLD",IF(AND(E3103&lt;&gt;"",E3103&lt;&gt;"!!!"),"NEW","")))</f>
        <v> </v>
      </c>
      <c r="G3103" s="24" t="str">
        <f>IF(OR(E3103="",E3103="!!!"),"",IF(OR(J3103=0,AND(J3103=1,K3103=1),AND(J3103=1,I3103="SBJ"),AND(J3103=1,I3103=0)),"?IN_FOCUS",IF(J3103&lt;=2,"?ACTIVATED",IF(J3103&lt;&gt;"","?FAMILIAR",IF(F3103="NEW",IF(ISNA(VLOOKUP(E3103,#REF!,1,FALSE())),"?TYPE_IDENTIFIABLE","?REFERENTIAL"),"_")))))</f>
        <v> </v>
      </c>
      <c r="H3103" s="25" t="str">
        <f>IF(J3103&lt;&gt;1,"",IF(I3103="SBJ","CB","?"))</f>
        <v> </v>
      </c>
      <c r="I3103" s="26" t="str">
        <f>IF(OR(E3103="",E3103="!!!",F3103="NEW"),"",INDEX(B3102:B$2,-1+SUMPRODUCT(MAX(ROW(E3102:E$2)*(E3103=E3102:E$2)))))</f>
        <v> </v>
      </c>
      <c r="J3103" s="26" t="str">
        <f>IF(OR(E3103="",E3103="!!!",F3103="NEW"),"",COUNTBLANK(OFFSET(A$1,,,SUMPRODUCT(MAX(ROW(E$2:E3103)*(E3103=E$2:E3103)))))-COUNTBLANK(OFFSET(A$1,,,SUMPRODUCT(MAX(ROW(E$1:E3102)*(E2=E$1:E3102))))))</f>
        <v> </v>
      </c>
      <c r="K3103" s="26" t="str">
        <f>IF(OR(E3103="",E3103="!!!",F3103="NEW"),"",INDEX(J$1:J3102,SUMPRODUCT(MAX(ROW(E$1:E3102)*(E3103=E$1:E3102)))))</f>
        <v> </v>
      </c>
      <c r="L3103" s="27"/>
    </row>
    <row r="3104" spans="1:12">
      <c r="A3104" s="20" t="s">
        <v>1956</v>
      </c>
      <c r="E3104" s="22">
        <f>IF(D3104="?OLD","!!!","")</f>
        <v/>
      </c>
      <c r="F3104" s="23" t="str">
        <f>IF(OR(E3104="",E3104="!!!"),"",IF(NOT(ISNA(VLOOKUP(E3104,E$1:E3103,1,FALSE()))),"OLD",IF(AND(E3104&lt;&gt;"",E3104&lt;&gt;"!!!"),"NEW","")))</f>
        <v> </v>
      </c>
      <c r="G3104" s="24" t="str">
        <f>IF(OR(E3104="",E3104="!!!"),"",IF(OR(J3104=0,AND(J3104=1,K3104=1),AND(J3104=1,I3104="SBJ"),AND(J3104=1,I3104=0)),"?IN_FOCUS",IF(J3104&lt;=2,"?ACTIVATED",IF(J3104&lt;&gt;"","?FAMILIAR",IF(F3104="NEW",IF(ISNA(VLOOKUP(E3104,#REF!,1,FALSE())),"?TYPE_IDENTIFIABLE","?REFERENTIAL"),"_")))))</f>
        <v> </v>
      </c>
      <c r="H3104" s="25" t="str">
        <f>IF(J3104&lt;&gt;1,"",IF(I3104="SBJ","CB","?"))</f>
        <v> </v>
      </c>
      <c r="I3104" s="26" t="str">
        <f>IF(OR(E3104="",E3104="!!!",F3104="NEW"),"",INDEX(B3103:B$2,-1+SUMPRODUCT(MAX(ROW(E3103:E$2)*(E3104=E3103:E$2)))))</f>
        <v> </v>
      </c>
      <c r="J3104" s="26" t="str">
        <f>IF(OR(E3104="",E3104="!!!",F3104="NEW"),"",COUNTBLANK(OFFSET(A$1,,,SUMPRODUCT(MAX(ROW(E$2:E3104)*(E3104=E$2:E3104)))))-COUNTBLANK(OFFSET(A$1,,,SUMPRODUCT(MAX(ROW(E$1:E3103)*(E2=E$1:E3103))))))</f>
        <v> </v>
      </c>
      <c r="K3104" s="26" t="str">
        <f>IF(OR(E3104="",E3104="!!!",F3104="NEW"),"",INDEX(J$1:J3103,SUMPRODUCT(MAX(ROW(E$1:E3103)*(E3104=E$1:E3103)))))</f>
        <v> </v>
      </c>
      <c r="L3104" s="27"/>
    </row>
    <row r="3105" spans="1:12">
      <c r="A3105" s="20" t="s">
        <v>1077</v>
      </c>
      <c r="E3105" s="22">
        <f>IF(D3105="?OLD","!!!","")</f>
        <v/>
      </c>
      <c r="F3105" s="23" t="str">
        <f>IF(OR(E3105="",E3105="!!!"),"",IF(NOT(ISNA(VLOOKUP(E3105,E$1:E3104,1,FALSE()))),"OLD",IF(AND(E3105&lt;&gt;"",E3105&lt;&gt;"!!!"),"NEW","")))</f>
        <v> </v>
      </c>
      <c r="G3105" s="24" t="str">
        <f>IF(OR(E3105="",E3105="!!!"),"",IF(OR(J3105=0,AND(J3105=1,K3105=1),AND(J3105=1,I3105="SBJ"),AND(J3105=1,I3105=0)),"?IN_FOCUS",IF(J3105&lt;=2,"?ACTIVATED",IF(J3105&lt;&gt;"","?FAMILIAR",IF(F3105="NEW",IF(ISNA(VLOOKUP(E3105,#REF!,1,FALSE())),"?TYPE_IDENTIFIABLE","?REFERENTIAL"),"_")))))</f>
        <v> </v>
      </c>
      <c r="H3105" s="25" t="str">
        <f>IF(J3105&lt;&gt;1,"",IF(I3105="SBJ","CB","?"))</f>
        <v> </v>
      </c>
      <c r="I3105" s="26" t="str">
        <f>IF(OR(E3105="",E3105="!!!",F3105="NEW"),"",INDEX(B3104:B$2,-1+SUMPRODUCT(MAX(ROW(E3104:E$2)*(E3105=E3104:E$2)))))</f>
        <v> </v>
      </c>
      <c r="J3105" s="26" t="str">
        <f>IF(OR(E3105="",E3105="!!!",F3105="NEW"),"",COUNTBLANK(OFFSET(A$1,,,SUMPRODUCT(MAX(ROW(E$2:E3105)*(E3105=E$2:E3105)))))-COUNTBLANK(OFFSET(A$1,,,SUMPRODUCT(MAX(ROW(E$1:E3104)*(E2=E$1:E3104))))))</f>
        <v> </v>
      </c>
      <c r="K3105" s="26" t="str">
        <f>IF(OR(E3105="",E3105="!!!",F3105="NEW"),"",INDEX(J$1:J3104,SUMPRODUCT(MAX(ROW(E$1:E3104)*(E3105=E$1:E3104)))))</f>
        <v> </v>
      </c>
      <c r="L3105" s="27"/>
    </row>
    <row r="3106" spans="1:12">
      <c r="A3106" s="20"/>
    </row>
    <row r="3107" spans="1:12">
      <c r="A3107" s="20" t="s">
        <v>1957</v>
      </c>
    </row>
    <row r="3108" spans="1:12">
      <c r="A3108" s="20" t="s">
        <v>1118</v>
      </c>
      <c r="B3108" s="21" t="s">
        <v>1005</v>
      </c>
      <c r="C3108" s="21" t="s">
        <v>1048</v>
      </c>
      <c r="E3108" s="22">
        <f>IF(D3108="?OLD","!!!","")</f>
        <v/>
      </c>
      <c r="F3108" s="23" t="str">
        <f>IF(OR(E3108="",E3108="!!!"),"",IF(NOT(ISNA(VLOOKUP(E3108,E$1:E3107,1,FALSE()))),"OLD",IF(AND(E3108&lt;&gt;"",E3108&lt;&gt;"!!!"),"NEW","")))</f>
        <v> </v>
      </c>
      <c r="G3108" s="24" t="str">
        <f>IF(OR(E3108="",E3108="!!!"),"",IF(OR(J3108=0,AND(J3108=1,K3108=1),AND(J3108=1,I3108="SBJ"),AND(J3108=1,I3108=0)),"?IN_FOCUS",IF(J3108&lt;=2,"?ACTIVATED",IF(J3108&lt;&gt;"","?FAMILIAR",IF(F3108="NEW",IF(ISNA(VLOOKUP(E3108,#REF!,1,FALSE())),"?TYPE_IDENTIFIABLE","?REFERENTIAL"),"_")))))</f>
        <v> </v>
      </c>
      <c r="H3108" s="25" t="str">
        <f>IF(J3108&lt;&gt;1,"",IF(I3108="SBJ","CB","?"))</f>
        <v> </v>
      </c>
      <c r="I3108" s="26" t="str">
        <f>IF(OR(E3108="",E3108="!!!",F3108="NEW"),"",INDEX(B3107:B$2,-1+SUMPRODUCT(MAX(ROW(E3107:E$2)*(E3108=E3107:E$2)))))</f>
        <v> </v>
      </c>
      <c r="J3108" s="26" t="str">
        <f>IF(OR(E3108="",E3108="!!!",F3108="NEW"),"",COUNTBLANK(OFFSET(A$1,,,SUMPRODUCT(MAX(ROW(E$2:E3108)*(E3108=E$2:E3108)))))-COUNTBLANK(OFFSET(A$1,,,SUMPRODUCT(MAX(ROW(E$1:E3107)*(E2=E$1:E3107))))))</f>
        <v> </v>
      </c>
      <c r="K3108" s="26" t="str">
        <f>IF(OR(E3108="",E3108="!!!",F3108="NEW"),"",INDEX(J$1:J3107,SUMPRODUCT(MAX(ROW(E$1:E3107)*(E3108=E$1:E3107)))))</f>
        <v> </v>
      </c>
      <c r="L3108" s="27"/>
    </row>
    <row r="3109" spans="1:12">
      <c r="A3109" s="20" t="s">
        <v>1009</v>
      </c>
      <c r="E3109" s="22">
        <f>IF(D3109="?OLD","!!!","")</f>
        <v/>
      </c>
      <c r="F3109" s="23" t="str">
        <f>IF(OR(E3109="",E3109="!!!"),"",IF(NOT(ISNA(VLOOKUP(E3109,E$1:E3108,1,FALSE()))),"OLD",IF(AND(E3109&lt;&gt;"",E3109&lt;&gt;"!!!"),"NEW","")))</f>
        <v> </v>
      </c>
      <c r="G3109" s="24" t="str">
        <f>IF(OR(E3109="",E3109="!!!"),"",IF(OR(J3109=0,AND(J3109=1,K3109=1),AND(J3109=1,I3109="SBJ"),AND(J3109=1,I3109=0)),"?IN_FOCUS",IF(J3109&lt;=2,"?ACTIVATED",IF(J3109&lt;&gt;"","?FAMILIAR",IF(F3109="NEW",IF(ISNA(VLOOKUP(E3109,#REF!,1,FALSE())),"?TYPE_IDENTIFIABLE","?REFERENTIAL"),"_")))))</f>
        <v> </v>
      </c>
      <c r="H3109" s="25" t="str">
        <f>IF(J3109&lt;&gt;1,"",IF(I3109="SBJ","CB","?"))</f>
        <v> </v>
      </c>
      <c r="I3109" s="26" t="str">
        <f>IF(OR(E3109="",E3109="!!!",F3109="NEW"),"",INDEX(B3108:B$2,-1+SUMPRODUCT(MAX(ROW(E3108:E$2)*(E3109=E3108:E$2)))))</f>
        <v> </v>
      </c>
      <c r="J3109" s="26" t="str">
        <f>IF(OR(E3109="",E3109="!!!",F3109="NEW"),"",COUNTBLANK(OFFSET(A$1,,,SUMPRODUCT(MAX(ROW(E$2:E3109)*(E3109=E$2:E3109)))))-COUNTBLANK(OFFSET(A$1,,,SUMPRODUCT(MAX(ROW(E$1:E3108)*(E2=E$1:E3108))))))</f>
        <v> </v>
      </c>
      <c r="K3109" s="26" t="str">
        <f>IF(OR(E3109="",E3109="!!!",F3109="NEW"),"",INDEX(J$1:J3108,SUMPRODUCT(MAX(ROW(E$1:E3108)*(E3109=E$1:E3108)))))</f>
        <v> </v>
      </c>
      <c r="L3109" s="27"/>
    </row>
    <row r="3110" spans="1:12">
      <c r="A3110" s="20" t="s">
        <v>1935</v>
      </c>
      <c r="B3110" s="21" t="s">
        <v>1119</v>
      </c>
      <c r="C3110" s="21" t="s">
        <v>1006</v>
      </c>
      <c r="D3110" s="21" t="s">
        <v>1007</v>
      </c>
      <c r="E3110" s="22">
        <f>IF(D3110="?OLD","!!!","")</f>
        <v/>
      </c>
      <c r="F3110" s="23" t="str">
        <f>IF(OR(E3110="",E3110="!!!"),"",IF(NOT(ISNA(VLOOKUP(E3110,E$1:E3109,1,FALSE()))),"OLD",IF(AND(E3110&lt;&gt;"",E3110&lt;&gt;"!!!"),"NEW","")))</f>
        <v> </v>
      </c>
      <c r="G3110" s="24" t="str">
        <f>IF(OR(E3110="",E3110="!!!"),"",IF(OR(J3110=0,AND(J3110=1,K3110=1),AND(J3110=1,I3110="SBJ"),AND(J3110=1,I3110=0)),"?IN_FOCUS",IF(J3110&lt;=2,"?ACTIVATED",IF(J3110&lt;&gt;"","?FAMILIAR",IF(F3110="NEW",IF(ISNA(VLOOKUP(E3110,#REF!,1,FALSE())),"?TYPE_IDENTIFIABLE","?REFERENTIAL"),"_")))))</f>
        <v> </v>
      </c>
      <c r="H3110" s="25" t="str">
        <f>IF(J3110&lt;&gt;1,"",IF(I3110="SBJ","CB","?"))</f>
        <v> </v>
      </c>
      <c r="I3110" s="26" t="str">
        <f>IF(OR(E3110="",E3110="!!!",F3110="NEW"),"",INDEX(B3109:B$2,-1+SUMPRODUCT(MAX(ROW(E3109:E$2)*(E3110=E3109:E$2)))))</f>
        <v> </v>
      </c>
      <c r="J3110" s="26" t="str">
        <f>IF(OR(E3110="",E3110="!!!",F3110="NEW"),"",COUNTBLANK(OFFSET(A$1,,,SUMPRODUCT(MAX(ROW(E$2:E3110)*(E3110=E$2:E3110)))))-COUNTBLANK(OFFSET(A$1,,,SUMPRODUCT(MAX(ROW(E$1:E3109)*(E2=E$1:E3109))))))</f>
        <v> </v>
      </c>
      <c r="K3110" s="26" t="str">
        <f>IF(OR(E3110="",E3110="!!!",F3110="NEW"),"",INDEX(J$1:J3109,SUMPRODUCT(MAX(ROW(E$1:E3109)*(E3110=E$1:E3109)))))</f>
        <v> </v>
      </c>
      <c r="L3110" s="27"/>
    </row>
    <row r="3111" spans="1:12">
      <c r="A3111" s="20" t="s">
        <v>1936</v>
      </c>
      <c r="B3111" s="21" t="s">
        <v>1033</v>
      </c>
      <c r="C3111" s="21" t="s">
        <v>1006</v>
      </c>
      <c r="D3111" s="21" t="s">
        <v>1007</v>
      </c>
      <c r="E3111" s="22">
        <f>IF(D3111="?OLD","!!!","")</f>
        <v/>
      </c>
      <c r="F3111" s="23" t="str">
        <f>IF(OR(E3111="",E3111="!!!"),"",IF(NOT(ISNA(VLOOKUP(E3111,E$1:E3110,1,FALSE()))),"OLD",IF(AND(E3111&lt;&gt;"",E3111&lt;&gt;"!!!"),"NEW","")))</f>
        <v> </v>
      </c>
      <c r="G3111" s="24" t="str">
        <f>IF(OR(E3111="",E3111="!!!"),"",IF(OR(J3111=0,AND(J3111=1,K3111=1),AND(J3111=1,I3111="SBJ"),AND(J3111=1,I3111=0)),"?IN_FOCUS",IF(J3111&lt;=2,"?ACTIVATED",IF(J3111&lt;&gt;"","?FAMILIAR",IF(F3111="NEW",IF(ISNA(VLOOKUP(E3111,#REF!,1,FALSE())),"?TYPE_IDENTIFIABLE","?REFERENTIAL"),"_")))))</f>
        <v> </v>
      </c>
      <c r="H3111" s="25" t="str">
        <f>IF(J3111&lt;&gt;1,"",IF(I3111="SBJ","CB","?"))</f>
        <v> </v>
      </c>
      <c r="I3111" s="26" t="str">
        <f>IF(OR(E3111="",E3111="!!!",F3111="NEW"),"",INDEX(B3110:B$2,-1+SUMPRODUCT(MAX(ROW(E3110:E$2)*(E3111=E3110:E$2)))))</f>
        <v> </v>
      </c>
      <c r="J3111" s="26" t="str">
        <f>IF(OR(E3111="",E3111="!!!",F3111="NEW"),"",COUNTBLANK(OFFSET(A$1,,,SUMPRODUCT(MAX(ROW(E$2:E3111)*(E3111=E$2:E3111)))))-COUNTBLANK(OFFSET(A$1,,,SUMPRODUCT(MAX(ROW(E$1:E3110)*(E2=E$1:E3110))))))</f>
        <v> </v>
      </c>
      <c r="K3111" s="26" t="str">
        <f>IF(OR(E3111="",E3111="!!!",F3111="NEW"),"",INDEX(J$1:J3110,SUMPRODUCT(MAX(ROW(E$1:E3110)*(E3111=E$1:E3110)))))</f>
        <v> </v>
      </c>
      <c r="L3111" s="27"/>
    </row>
    <row r="3112" spans="1:12">
      <c r="A3112" s="20" t="s">
        <v>1075</v>
      </c>
      <c r="E3112" s="22">
        <f>IF(D3112="?OLD","!!!","")</f>
        <v/>
      </c>
      <c r="F3112" s="23" t="str">
        <f>IF(OR(E3112="",E3112="!!!"),"",IF(NOT(ISNA(VLOOKUP(E3112,E$1:E3111,1,FALSE()))),"OLD",IF(AND(E3112&lt;&gt;"",E3112&lt;&gt;"!!!"),"NEW","")))</f>
        <v> </v>
      </c>
      <c r="G3112" s="24" t="str">
        <f>IF(OR(E3112="",E3112="!!!"),"",IF(OR(J3112=0,AND(J3112=1,K3112=1),AND(J3112=1,I3112="SBJ"),AND(J3112=1,I3112=0)),"?IN_FOCUS",IF(J3112&lt;=2,"?ACTIVATED",IF(J3112&lt;&gt;"","?FAMILIAR",IF(F3112="NEW",IF(ISNA(VLOOKUP(E3112,#REF!,1,FALSE())),"?TYPE_IDENTIFIABLE","?REFERENTIAL"),"_")))))</f>
        <v> </v>
      </c>
      <c r="H3112" s="25" t="str">
        <f>IF(J3112&lt;&gt;1,"",IF(I3112="SBJ","CB","?"))</f>
        <v> </v>
      </c>
      <c r="I3112" s="26" t="str">
        <f>IF(OR(E3112="",E3112="!!!",F3112="NEW"),"",INDEX(B3111:B$2,-1+SUMPRODUCT(MAX(ROW(E3111:E$2)*(E3112=E3111:E$2)))))</f>
        <v> </v>
      </c>
      <c r="J3112" s="26" t="str">
        <f>IF(OR(E3112="",E3112="!!!",F3112="NEW"),"",COUNTBLANK(OFFSET(A$1,,,SUMPRODUCT(MAX(ROW(E$2:E3112)*(E3112=E$2:E3112)))))-COUNTBLANK(OFFSET(A$1,,,SUMPRODUCT(MAX(ROW(E$1:E3111)*(E2=E$1:E3111))))))</f>
        <v> </v>
      </c>
      <c r="K3112" s="26" t="str">
        <f>IF(OR(E3112="",E3112="!!!",F3112="NEW"),"",INDEX(J$1:J3111,SUMPRODUCT(MAX(ROW(E$1:E3111)*(E3112=E$1:E3111)))))</f>
        <v> </v>
      </c>
      <c r="L3112" s="27"/>
    </row>
    <row r="3113" spans="1:12">
      <c r="A3113" s="20" t="s">
        <v>1151</v>
      </c>
      <c r="E3113" s="22">
        <f>IF(D3113="?OLD","!!!","")</f>
        <v/>
      </c>
      <c r="F3113" s="23" t="str">
        <f>IF(OR(E3113="",E3113="!!!"),"",IF(NOT(ISNA(VLOOKUP(E3113,E$1:E3112,1,FALSE()))),"OLD",IF(AND(E3113&lt;&gt;"",E3113&lt;&gt;"!!!"),"NEW","")))</f>
        <v> </v>
      </c>
      <c r="G3113" s="24" t="str">
        <f>IF(OR(E3113="",E3113="!!!"),"",IF(OR(J3113=0,AND(J3113=1,K3113=1),AND(J3113=1,I3113="SBJ"),AND(J3113=1,I3113=0)),"?IN_FOCUS",IF(J3113&lt;=2,"?ACTIVATED",IF(J3113&lt;&gt;"","?FAMILIAR",IF(F3113="NEW",IF(ISNA(VLOOKUP(E3113,#REF!,1,FALSE())),"?TYPE_IDENTIFIABLE","?REFERENTIAL"),"_")))))</f>
        <v> </v>
      </c>
      <c r="H3113" s="25" t="str">
        <f>IF(J3113&lt;&gt;1,"",IF(I3113="SBJ","CB","?"))</f>
        <v> </v>
      </c>
      <c r="I3113" s="26" t="str">
        <f>IF(OR(E3113="",E3113="!!!",F3113="NEW"),"",INDEX(B3112:B$2,-1+SUMPRODUCT(MAX(ROW(E3112:E$2)*(E3113=E3112:E$2)))))</f>
        <v> </v>
      </c>
      <c r="J3113" s="26" t="str">
        <f>IF(OR(E3113="",E3113="!!!",F3113="NEW"),"",COUNTBLANK(OFFSET(A$1,,,SUMPRODUCT(MAX(ROW(E$2:E3113)*(E3113=E$2:E3113)))))-COUNTBLANK(OFFSET(A$1,,,SUMPRODUCT(MAX(ROW(E$1:E3112)*(E2=E$1:E3112))))))</f>
        <v> </v>
      </c>
      <c r="K3113" s="26" t="str">
        <f>IF(OR(E3113="",E3113="!!!",F3113="NEW"),"",INDEX(J$1:J3112,SUMPRODUCT(MAX(ROW(E$1:E3112)*(E3113=E$1:E3112)))))</f>
        <v> </v>
      </c>
      <c r="L3113" s="27"/>
    </row>
    <row r="3114" spans="1:12">
      <c r="A3114" s="20" t="s">
        <v>1056</v>
      </c>
      <c r="E3114" s="22">
        <f>IF(D3114="?OLD","!!!","")</f>
        <v/>
      </c>
      <c r="F3114" s="23" t="str">
        <f>IF(OR(E3114="",E3114="!!!"),"",IF(NOT(ISNA(VLOOKUP(E3114,E$1:E3113,1,FALSE()))),"OLD",IF(AND(E3114&lt;&gt;"",E3114&lt;&gt;"!!!"),"NEW","")))</f>
        <v> </v>
      </c>
      <c r="G3114" s="24" t="str">
        <f>IF(OR(E3114="",E3114="!!!"),"",IF(OR(J3114=0,AND(J3114=1,K3114=1),AND(J3114=1,I3114="SBJ"),AND(J3114=1,I3114=0)),"?IN_FOCUS",IF(J3114&lt;=2,"?ACTIVATED",IF(J3114&lt;&gt;"","?FAMILIAR",IF(F3114="NEW",IF(ISNA(VLOOKUP(E3114,#REF!,1,FALSE())),"?TYPE_IDENTIFIABLE","?REFERENTIAL"),"_")))))</f>
        <v> </v>
      </c>
      <c r="H3114" s="25" t="str">
        <f>IF(J3114&lt;&gt;1,"",IF(I3114="SBJ","CB","?"))</f>
        <v> </v>
      </c>
      <c r="I3114" s="26" t="str">
        <f>IF(OR(E3114="",E3114="!!!",F3114="NEW"),"",INDEX(B3113:B$2,-1+SUMPRODUCT(MAX(ROW(E3113:E$2)*(E3114=E3113:E$2)))))</f>
        <v> </v>
      </c>
      <c r="J3114" s="26" t="str">
        <f>IF(OR(E3114="",E3114="!!!",F3114="NEW"),"",COUNTBLANK(OFFSET(A$1,,,SUMPRODUCT(MAX(ROW(E$2:E3114)*(E3114=E$2:E3114)))))-COUNTBLANK(OFFSET(A$1,,,SUMPRODUCT(MAX(ROW(E$1:E3113)*(E2=E$1:E3113))))))</f>
        <v> </v>
      </c>
      <c r="K3114" s="26" t="str">
        <f>IF(OR(E3114="",E3114="!!!",F3114="NEW"),"",INDEX(J$1:J3113,SUMPRODUCT(MAX(ROW(E$1:E3113)*(E3114=E$1:E3113)))))</f>
        <v> </v>
      </c>
      <c r="L3114" s="27"/>
    </row>
    <row r="3115" spans="1:12">
      <c r="A3115" s="20" t="s">
        <v>1958</v>
      </c>
      <c r="B3115" s="21" t="s">
        <v>1005</v>
      </c>
      <c r="C3115" s="21" t="s">
        <v>1111</v>
      </c>
      <c r="E3115" s="22">
        <f>IF(D3115="?OLD","!!!","")</f>
        <v/>
      </c>
      <c r="F3115" s="23" t="str">
        <f>IF(OR(E3115="",E3115="!!!"),"",IF(NOT(ISNA(VLOOKUP(E3115,E$1:E3114,1,FALSE()))),"OLD",IF(AND(E3115&lt;&gt;"",E3115&lt;&gt;"!!!"),"NEW","")))</f>
        <v> </v>
      </c>
      <c r="G3115" s="24" t="str">
        <f>IF(OR(E3115="",E3115="!!!"),"",IF(OR(J3115=0,AND(J3115=1,K3115=1),AND(J3115=1,I3115="SBJ"),AND(J3115=1,I3115=0)),"?IN_FOCUS",IF(J3115&lt;=2,"?ACTIVATED",IF(J3115&lt;&gt;"","?FAMILIAR",IF(F3115="NEW",IF(ISNA(VLOOKUP(E3115,#REF!,1,FALSE())),"?TYPE_IDENTIFIABLE","?REFERENTIAL"),"_")))))</f>
        <v> </v>
      </c>
      <c r="H3115" s="25" t="str">
        <f>IF(J3115&lt;&gt;1,"",IF(I3115="SBJ","CB","?"))</f>
        <v> </v>
      </c>
      <c r="I3115" s="26" t="str">
        <f>IF(OR(E3115="",E3115="!!!",F3115="NEW"),"",INDEX(B3114:B$2,-1+SUMPRODUCT(MAX(ROW(E3114:E$2)*(E3115=E3114:E$2)))))</f>
        <v> </v>
      </c>
      <c r="J3115" s="26" t="str">
        <f>IF(OR(E3115="",E3115="!!!",F3115="NEW"),"",COUNTBLANK(OFFSET(A$1,,,SUMPRODUCT(MAX(ROW(E$2:E3115)*(E3115=E$2:E3115)))))-COUNTBLANK(OFFSET(A$1,,,SUMPRODUCT(MAX(ROW(E$1:E3114)*(E2=E$1:E3114))))))</f>
        <v> </v>
      </c>
      <c r="K3115" s="26" t="str">
        <f>IF(OR(E3115="",E3115="!!!",F3115="NEW"),"",INDEX(J$1:J3114,SUMPRODUCT(MAX(ROW(E$1:E3114)*(E3115=E$1:E3114)))))</f>
        <v> </v>
      </c>
      <c r="L3115" s="27"/>
    </row>
    <row r="3116" spans="1:12">
      <c r="A3116" s="20" t="s">
        <v>1023</v>
      </c>
      <c r="E3116" s="22">
        <f>IF(D3116="?OLD","!!!","")</f>
        <v/>
      </c>
      <c r="F3116" s="23" t="str">
        <f>IF(OR(E3116="",E3116="!!!"),"",IF(NOT(ISNA(VLOOKUP(E3116,E$1:E3115,1,FALSE()))),"OLD",IF(AND(E3116&lt;&gt;"",E3116&lt;&gt;"!!!"),"NEW","")))</f>
        <v> </v>
      </c>
      <c r="G3116" s="24" t="str">
        <f>IF(OR(E3116="",E3116="!!!"),"",IF(OR(J3116=0,AND(J3116=1,K3116=1),AND(J3116=1,I3116="SBJ"),AND(J3116=1,I3116=0)),"?IN_FOCUS",IF(J3116&lt;=2,"?ACTIVATED",IF(J3116&lt;&gt;"","?FAMILIAR",IF(F3116="NEW",IF(ISNA(VLOOKUP(E3116,#REF!,1,FALSE())),"?TYPE_IDENTIFIABLE","?REFERENTIAL"),"_")))))</f>
        <v> </v>
      </c>
      <c r="H3116" s="25" t="str">
        <f>IF(J3116&lt;&gt;1,"",IF(I3116="SBJ","CB","?"))</f>
        <v> </v>
      </c>
      <c r="I3116" s="26" t="str">
        <f>IF(OR(E3116="",E3116="!!!",F3116="NEW"),"",INDEX(B3115:B$2,-1+SUMPRODUCT(MAX(ROW(E3115:E$2)*(E3116=E3115:E$2)))))</f>
        <v> </v>
      </c>
      <c r="J3116" s="26" t="str">
        <f>IF(OR(E3116="",E3116="!!!",F3116="NEW"),"",COUNTBLANK(OFFSET(A$1,,,SUMPRODUCT(MAX(ROW(E$2:E3116)*(E3116=E$2:E3116)))))-COUNTBLANK(OFFSET(A$1,,,SUMPRODUCT(MAX(ROW(E$1:E3115)*(E2=E$1:E3115))))))</f>
        <v> </v>
      </c>
      <c r="K3116" s="26" t="str">
        <f>IF(OR(E3116="",E3116="!!!",F3116="NEW"),"",INDEX(J$1:J3115,SUMPRODUCT(MAX(ROW(E$1:E3115)*(E3116=E$1:E3115)))))</f>
        <v> </v>
      </c>
      <c r="L3116" s="27"/>
    </row>
    <row r="3117" spans="1:12">
      <c r="A3117" s="20"/>
    </row>
    <row r="3118" spans="1:12">
      <c r="A3118" s="20" t="s">
        <v>1959</v>
      </c>
    </row>
    <row r="3119" spans="1:12">
      <c r="A3119" s="20" t="s">
        <v>1960</v>
      </c>
      <c r="E3119" s="22">
        <f>IF(D3119="?OLD","!!!","")</f>
        <v/>
      </c>
      <c r="F3119" s="23" t="str">
        <f>IF(OR(E3119="",E3119="!!!"),"",IF(NOT(ISNA(VLOOKUP(E3119,E$1:E3118,1,FALSE()))),"OLD",IF(AND(E3119&lt;&gt;"",E3119&lt;&gt;"!!!"),"NEW","")))</f>
        <v> </v>
      </c>
      <c r="G3119" s="24" t="str">
        <f>IF(OR(E3119="",E3119="!!!"),"",IF(OR(J3119=0,AND(J3119=1,K3119=1),AND(J3119=1,I3119="SBJ"),AND(J3119=1,I3119=0)),"?IN_FOCUS",IF(J3119&lt;=2,"?ACTIVATED",IF(J3119&lt;&gt;"","?FAMILIAR",IF(F3119="NEW",IF(ISNA(VLOOKUP(E3119,#REF!,1,FALSE())),"?TYPE_IDENTIFIABLE","?REFERENTIAL"),"_")))))</f>
        <v> </v>
      </c>
      <c r="H3119" s="25" t="str">
        <f>IF(J3119&lt;&gt;1,"",IF(I3119="SBJ","CB","?"))</f>
        <v> </v>
      </c>
      <c r="I3119" s="26" t="str">
        <f>IF(OR(E3119="",E3119="!!!",F3119="NEW"),"",INDEX(B3118:B$2,-1+SUMPRODUCT(MAX(ROW(E3118:E$2)*(E3119=E3118:E$2)))))</f>
        <v> </v>
      </c>
      <c r="J3119" s="26" t="str">
        <f>IF(OR(E3119="",E3119="!!!",F3119="NEW"),"",COUNTBLANK(OFFSET(A$1,,,SUMPRODUCT(MAX(ROW(E$2:E3119)*(E3119=E$2:E3119)))))-COUNTBLANK(OFFSET(A$1,,,SUMPRODUCT(MAX(ROW(E$1:E3118)*(E2=E$1:E3118))))))</f>
        <v> </v>
      </c>
      <c r="K3119" s="26" t="str">
        <f>IF(OR(E3119="",E3119="!!!",F3119="NEW"),"",INDEX(J$1:J3118,SUMPRODUCT(MAX(ROW(E$1:E3118)*(E3119=E$1:E3118)))))</f>
        <v> </v>
      </c>
      <c r="L3119" s="27"/>
    </row>
    <row r="3120" spans="1:12">
      <c r="A3120" s="20" t="s">
        <v>1023</v>
      </c>
      <c r="E3120" s="22">
        <f>IF(D3120="?OLD","!!!","")</f>
        <v/>
      </c>
      <c r="F3120" s="23" t="str">
        <f>IF(OR(E3120="",E3120="!!!"),"",IF(NOT(ISNA(VLOOKUP(E3120,E$1:E3119,1,FALSE()))),"OLD",IF(AND(E3120&lt;&gt;"",E3120&lt;&gt;"!!!"),"NEW","")))</f>
        <v> </v>
      </c>
      <c r="G3120" s="24" t="str">
        <f>IF(OR(E3120="",E3120="!!!"),"",IF(OR(J3120=0,AND(J3120=1,K3120=1),AND(J3120=1,I3120="SBJ"),AND(J3120=1,I3120=0)),"?IN_FOCUS",IF(J3120&lt;=2,"?ACTIVATED",IF(J3120&lt;&gt;"","?FAMILIAR",IF(F3120="NEW",IF(ISNA(VLOOKUP(E3120,#REF!,1,FALSE())),"?TYPE_IDENTIFIABLE","?REFERENTIAL"),"_")))))</f>
        <v> </v>
      </c>
      <c r="H3120" s="25" t="str">
        <f>IF(J3120&lt;&gt;1,"",IF(I3120="SBJ","CB","?"))</f>
        <v> </v>
      </c>
      <c r="I3120" s="26" t="str">
        <f>IF(OR(E3120="",E3120="!!!",F3120="NEW"),"",INDEX(B3119:B$2,-1+SUMPRODUCT(MAX(ROW(E3119:E$2)*(E3120=E3119:E$2)))))</f>
        <v> </v>
      </c>
      <c r="J3120" s="26" t="str">
        <f>IF(OR(E3120="",E3120="!!!",F3120="NEW"),"",COUNTBLANK(OFFSET(A$1,,,SUMPRODUCT(MAX(ROW(E$2:E3120)*(E3120=E$2:E3120)))))-COUNTBLANK(OFFSET(A$1,,,SUMPRODUCT(MAX(ROW(E$1:E3119)*(E2=E$1:E3119))))))</f>
        <v> </v>
      </c>
      <c r="K3120" s="26" t="str">
        <f>IF(OR(E3120="",E3120="!!!",F3120="NEW"),"",INDEX(J$1:J3119,SUMPRODUCT(MAX(ROW(E$1:E3119)*(E3120=E$1:E3119)))))</f>
        <v> </v>
      </c>
      <c r="L3120" s="27"/>
    </row>
    <row r="3121" spans="1:12">
      <c r="A3121" s="20"/>
    </row>
    <row r="3122" spans="1:12">
      <c r="A3122" s="20" t="s">
        <v>1961</v>
      </c>
    </row>
    <row r="3123" spans="1:12">
      <c r="A3123" s="20" t="s">
        <v>1962</v>
      </c>
      <c r="E3123" s="22">
        <f>IF(D3123="?OLD","!!!","")</f>
        <v/>
      </c>
      <c r="F3123" s="23" t="str">
        <f>IF(OR(E3123="",E3123="!!!"),"",IF(NOT(ISNA(VLOOKUP(E3123,E$1:E3122,1,FALSE()))),"OLD",IF(AND(E3123&lt;&gt;"",E3123&lt;&gt;"!!!"),"NEW","")))</f>
        <v> </v>
      </c>
      <c r="G3123" s="24" t="str">
        <f>IF(OR(E3123="",E3123="!!!"),"",IF(OR(J3123=0,AND(J3123=1,K3123=1),AND(J3123=1,I3123="SBJ"),AND(J3123=1,I3123=0)),"?IN_FOCUS",IF(J3123&lt;=2,"?ACTIVATED",IF(J3123&lt;&gt;"","?FAMILIAR",IF(F3123="NEW",IF(ISNA(VLOOKUP(E3123,#REF!,1,FALSE())),"?TYPE_IDENTIFIABLE","?REFERENTIAL"),"_")))))</f>
        <v> </v>
      </c>
      <c r="H3123" s="25" t="str">
        <f>IF(J3123&lt;&gt;1,"",IF(I3123="SBJ","CB","?"))</f>
        <v> </v>
      </c>
      <c r="I3123" s="26" t="str">
        <f>IF(OR(E3123="",E3123="!!!",F3123="NEW"),"",INDEX(B3122:B$2,-1+SUMPRODUCT(MAX(ROW(E3122:E$2)*(E3123=E3122:E$2)))))</f>
        <v> </v>
      </c>
      <c r="J3123" s="26" t="str">
        <f>IF(OR(E3123="",E3123="!!!",F3123="NEW"),"",COUNTBLANK(OFFSET(A$1,,,SUMPRODUCT(MAX(ROW(E$2:E3123)*(E3123=E$2:E3123)))))-COUNTBLANK(OFFSET(A$1,,,SUMPRODUCT(MAX(ROW(E$1:E3122)*(E2=E$1:E3122))))))</f>
        <v> </v>
      </c>
      <c r="K3123" s="26" t="str">
        <f>IF(OR(E3123="",E3123="!!!",F3123="NEW"),"",INDEX(J$1:J3122,SUMPRODUCT(MAX(ROW(E$1:E3122)*(E3123=E$1:E3122)))))</f>
        <v> </v>
      </c>
      <c r="L3123" s="27"/>
    </row>
    <row r="3124" spans="1:12">
      <c r="A3124" s="20" t="s">
        <v>1140</v>
      </c>
      <c r="B3124" s="21" t="s">
        <v>1085</v>
      </c>
      <c r="C3124" s="21" t="s">
        <v>1073</v>
      </c>
      <c r="D3124" s="21" t="s">
        <v>1007</v>
      </c>
      <c r="E3124" s="22">
        <f>IF(D3124="?OLD","!!!","")</f>
        <v/>
      </c>
      <c r="F3124" s="23" t="str">
        <f>IF(OR(E3124="",E3124="!!!"),"",IF(NOT(ISNA(VLOOKUP(E3124,E$1:E3123,1,FALSE()))),"OLD",IF(AND(E3124&lt;&gt;"",E3124&lt;&gt;"!!!"),"NEW","")))</f>
        <v> </v>
      </c>
      <c r="G3124" s="24" t="str">
        <f>IF(OR(E3124="",E3124="!!!"),"",IF(OR(J3124=0,AND(J3124=1,K3124=1),AND(J3124=1,I3124="SBJ"),AND(J3124=1,I3124=0)),"?IN_FOCUS",IF(J3124&lt;=2,"?ACTIVATED",IF(J3124&lt;&gt;"","?FAMILIAR",IF(F3124="NEW",IF(ISNA(VLOOKUP(E3124,#REF!,1,FALSE())),"?TYPE_IDENTIFIABLE","?REFERENTIAL"),"_")))))</f>
        <v> </v>
      </c>
      <c r="H3124" s="25" t="str">
        <f>IF(J3124&lt;&gt;1,"",IF(I3124="SBJ","CB","?"))</f>
        <v> </v>
      </c>
      <c r="I3124" s="26" t="str">
        <f>IF(OR(E3124="",E3124="!!!",F3124="NEW"),"",INDEX(B3123:B$2,-1+SUMPRODUCT(MAX(ROW(E3123:E$2)*(E3124=E3123:E$2)))))</f>
        <v> </v>
      </c>
      <c r="J3124" s="26" t="str">
        <f>IF(OR(E3124="",E3124="!!!",F3124="NEW"),"",COUNTBLANK(OFFSET(A$1,,,SUMPRODUCT(MAX(ROW(E$2:E3124)*(E3124=E$2:E3124)))))-COUNTBLANK(OFFSET(A$1,,,SUMPRODUCT(MAX(ROW(E$1:E3123)*(E2=E$1:E3123))))))</f>
        <v> </v>
      </c>
      <c r="K3124" s="26" t="str">
        <f>IF(OR(E3124="",E3124="!!!",F3124="NEW"),"",INDEX(J$1:J3123,SUMPRODUCT(MAX(ROW(E$1:E3123)*(E3124=E$1:E3123)))))</f>
        <v> </v>
      </c>
      <c r="L3124" s="27"/>
    </row>
    <row r="3125" spans="1:12">
      <c r="A3125" s="20" t="s">
        <v>1963</v>
      </c>
      <c r="E3125" s="22">
        <f>IF(D3125="?OLD","!!!","")</f>
        <v/>
      </c>
      <c r="F3125" s="23" t="str">
        <f>IF(OR(E3125="",E3125="!!!"),"",IF(NOT(ISNA(VLOOKUP(E3125,E$1:E3124,1,FALSE()))),"OLD",IF(AND(E3125&lt;&gt;"",E3125&lt;&gt;"!!!"),"NEW","")))</f>
        <v> </v>
      </c>
      <c r="G3125" s="24" t="str">
        <f>IF(OR(E3125="",E3125="!!!"),"",IF(OR(J3125=0,AND(J3125=1,K3125=1),AND(J3125=1,I3125="SBJ"),AND(J3125=1,I3125=0)),"?IN_FOCUS",IF(J3125&lt;=2,"?ACTIVATED",IF(J3125&lt;&gt;"","?FAMILIAR",IF(F3125="NEW",IF(ISNA(VLOOKUP(E3125,#REF!,1,FALSE())),"?TYPE_IDENTIFIABLE","?REFERENTIAL"),"_")))))</f>
        <v> </v>
      </c>
      <c r="H3125" s="25" t="str">
        <f>IF(J3125&lt;&gt;1,"",IF(I3125="SBJ","CB","?"))</f>
        <v> </v>
      </c>
      <c r="I3125" s="26" t="str">
        <f>IF(OR(E3125="",E3125="!!!",F3125="NEW"),"",INDEX(B3124:B$2,-1+SUMPRODUCT(MAX(ROW(E3124:E$2)*(E3125=E3124:E$2)))))</f>
        <v> </v>
      </c>
      <c r="J3125" s="26" t="str">
        <f>IF(OR(E3125="",E3125="!!!",F3125="NEW"),"",COUNTBLANK(OFFSET(A$1,,,SUMPRODUCT(MAX(ROW(E$2:E3125)*(E3125=E$2:E3125)))))-COUNTBLANK(OFFSET(A$1,,,SUMPRODUCT(MAX(ROW(E$1:E3124)*(E2=E$1:E3124))))))</f>
        <v> </v>
      </c>
      <c r="K3125" s="26" t="str">
        <f>IF(OR(E3125="",E3125="!!!",F3125="NEW"),"",INDEX(J$1:J3124,SUMPRODUCT(MAX(ROW(E$1:E3124)*(E3125=E$1:E3124)))))</f>
        <v> </v>
      </c>
      <c r="L3125" s="27"/>
    </row>
    <row r="3126" spans="1:12">
      <c r="A3126" s="20" t="s">
        <v>1299</v>
      </c>
      <c r="E3126" s="22">
        <f>IF(D3126="?OLD","!!!","")</f>
        <v/>
      </c>
      <c r="F3126" s="23" t="str">
        <f>IF(OR(E3126="",E3126="!!!"),"",IF(NOT(ISNA(VLOOKUP(E3126,E$1:E3125,1,FALSE()))),"OLD",IF(AND(E3126&lt;&gt;"",E3126&lt;&gt;"!!!"),"NEW","")))</f>
        <v> </v>
      </c>
      <c r="G3126" s="24" t="str">
        <f>IF(OR(E3126="",E3126="!!!"),"",IF(OR(J3126=0,AND(J3126=1,K3126=1),AND(J3126=1,I3126="SBJ"),AND(J3126=1,I3126=0)),"?IN_FOCUS",IF(J3126&lt;=2,"?ACTIVATED",IF(J3126&lt;&gt;"","?FAMILIAR",IF(F3126="NEW",IF(ISNA(VLOOKUP(E3126,#REF!,1,FALSE())),"?TYPE_IDENTIFIABLE","?REFERENTIAL"),"_")))))</f>
        <v> </v>
      </c>
      <c r="H3126" s="25" t="str">
        <f>IF(J3126&lt;&gt;1,"",IF(I3126="SBJ","CB","?"))</f>
        <v> </v>
      </c>
      <c r="I3126" s="26" t="str">
        <f>IF(OR(E3126="",E3126="!!!",F3126="NEW"),"",INDEX(B3125:B$2,-1+SUMPRODUCT(MAX(ROW(E3125:E$2)*(E3126=E3125:E$2)))))</f>
        <v> </v>
      </c>
      <c r="J3126" s="26" t="str">
        <f>IF(OR(E3126="",E3126="!!!",F3126="NEW"),"",COUNTBLANK(OFFSET(A$1,,,SUMPRODUCT(MAX(ROW(E$2:E3126)*(E3126=E$2:E3126)))))-COUNTBLANK(OFFSET(A$1,,,SUMPRODUCT(MAX(ROW(E$1:E3125)*(E2=E$1:E3125))))))</f>
        <v> </v>
      </c>
      <c r="K3126" s="26" t="str">
        <f>IF(OR(E3126="",E3126="!!!",F3126="NEW"),"",INDEX(J$1:J3125,SUMPRODUCT(MAX(ROW(E$1:E3125)*(E3126=E$1:E3125)))))</f>
        <v> </v>
      </c>
      <c r="L3126" s="27"/>
    </row>
    <row r="3127" spans="1:12">
      <c r="A3127" s="20" t="s">
        <v>1018</v>
      </c>
      <c r="E3127" s="22">
        <f>IF(D3127="?OLD","!!!","")</f>
        <v/>
      </c>
      <c r="F3127" s="23" t="str">
        <f>IF(OR(E3127="",E3127="!!!"),"",IF(NOT(ISNA(VLOOKUP(E3127,E$1:E3126,1,FALSE()))),"OLD",IF(AND(E3127&lt;&gt;"",E3127&lt;&gt;"!!!"),"NEW","")))</f>
        <v> </v>
      </c>
      <c r="G3127" s="24" t="str">
        <f>IF(OR(E3127="",E3127="!!!"),"",IF(OR(J3127=0,AND(J3127=1,K3127=1),AND(J3127=1,I3127="SBJ"),AND(J3127=1,I3127=0)),"?IN_FOCUS",IF(J3127&lt;=2,"?ACTIVATED",IF(J3127&lt;&gt;"","?FAMILIAR",IF(F3127="NEW",IF(ISNA(VLOOKUP(E3127,#REF!,1,FALSE())),"?TYPE_IDENTIFIABLE","?REFERENTIAL"),"_")))))</f>
        <v> </v>
      </c>
      <c r="H3127" s="25" t="str">
        <f>IF(J3127&lt;&gt;1,"",IF(I3127="SBJ","CB","?"))</f>
        <v> </v>
      </c>
      <c r="I3127" s="26" t="str">
        <f>IF(OR(E3127="",E3127="!!!",F3127="NEW"),"",INDEX(B3126:B$2,-1+SUMPRODUCT(MAX(ROW(E3126:E$2)*(E3127=E3126:E$2)))))</f>
        <v> </v>
      </c>
      <c r="J3127" s="26" t="str">
        <f>IF(OR(E3127="",E3127="!!!",F3127="NEW"),"",COUNTBLANK(OFFSET(A$1,,,SUMPRODUCT(MAX(ROW(E$2:E3127)*(E3127=E$2:E3127)))))-COUNTBLANK(OFFSET(A$1,,,SUMPRODUCT(MAX(ROW(E$1:E3126)*(E2=E$1:E3126))))))</f>
        <v> </v>
      </c>
      <c r="K3127" s="26" t="str">
        <f>IF(OR(E3127="",E3127="!!!",F3127="NEW"),"",INDEX(J$1:J3126,SUMPRODUCT(MAX(ROW(E$1:E3126)*(E3127=E$1:E3126)))))</f>
        <v> </v>
      </c>
      <c r="L3127" s="27"/>
    </row>
    <row r="3128" spans="1:12">
      <c r="A3128" s="20" t="s">
        <v>1030</v>
      </c>
      <c r="E3128" s="22">
        <f>IF(D3128="?OLD","!!!","")</f>
        <v/>
      </c>
      <c r="F3128" s="23" t="str">
        <f>IF(OR(E3128="",E3128="!!!"),"",IF(NOT(ISNA(VLOOKUP(E3128,E$1:E3127,1,FALSE()))),"OLD",IF(AND(E3128&lt;&gt;"",E3128&lt;&gt;"!!!"),"NEW","")))</f>
        <v> </v>
      </c>
      <c r="G3128" s="24" t="str">
        <f>IF(OR(E3128="",E3128="!!!"),"",IF(OR(J3128=0,AND(J3128=1,K3128=1),AND(J3128=1,I3128="SBJ"),AND(J3128=1,I3128=0)),"?IN_FOCUS",IF(J3128&lt;=2,"?ACTIVATED",IF(J3128&lt;&gt;"","?FAMILIAR",IF(F3128="NEW",IF(ISNA(VLOOKUP(E3128,#REF!,1,FALSE())),"?TYPE_IDENTIFIABLE","?REFERENTIAL"),"_")))))</f>
        <v> </v>
      </c>
      <c r="H3128" s="25" t="str">
        <f>IF(J3128&lt;&gt;1,"",IF(I3128="SBJ","CB","?"))</f>
        <v> </v>
      </c>
      <c r="I3128" s="26" t="str">
        <f>IF(OR(E3128="",E3128="!!!",F3128="NEW"),"",INDEX(B3127:B$2,-1+SUMPRODUCT(MAX(ROW(E3127:E$2)*(E3128=E3127:E$2)))))</f>
        <v> </v>
      </c>
      <c r="J3128" s="26" t="str">
        <f>IF(OR(E3128="",E3128="!!!",F3128="NEW"),"",COUNTBLANK(OFFSET(A$1,,,SUMPRODUCT(MAX(ROW(E$2:E3128)*(E3128=E$2:E3128)))))-COUNTBLANK(OFFSET(A$1,,,SUMPRODUCT(MAX(ROW(E$1:E3127)*(E2=E$1:E3127))))))</f>
        <v> </v>
      </c>
      <c r="K3128" s="26" t="str">
        <f>IF(OR(E3128="",E3128="!!!",F3128="NEW"),"",INDEX(J$1:J3127,SUMPRODUCT(MAX(ROW(E$1:E3127)*(E3128=E$1:E3127)))))</f>
        <v> </v>
      </c>
      <c r="L3128" s="27"/>
    </row>
    <row r="3129" spans="1:12">
      <c r="A3129" s="20" t="s">
        <v>1020</v>
      </c>
      <c r="E3129" s="22">
        <f>IF(D3129="?OLD","!!!","")</f>
        <v/>
      </c>
      <c r="F3129" s="23" t="str">
        <f>IF(OR(E3129="",E3129="!!!"),"",IF(NOT(ISNA(VLOOKUP(E3129,E$1:E3128,1,FALSE()))),"OLD",IF(AND(E3129&lt;&gt;"",E3129&lt;&gt;"!!!"),"NEW","")))</f>
        <v> </v>
      </c>
      <c r="G3129" s="24" t="str">
        <f>IF(OR(E3129="",E3129="!!!"),"",IF(OR(J3129=0,AND(J3129=1,K3129=1),AND(J3129=1,I3129="SBJ"),AND(J3129=1,I3129=0)),"?IN_FOCUS",IF(J3129&lt;=2,"?ACTIVATED",IF(J3129&lt;&gt;"","?FAMILIAR",IF(F3129="NEW",IF(ISNA(VLOOKUP(E3129,#REF!,1,FALSE())),"?TYPE_IDENTIFIABLE","?REFERENTIAL"),"_")))))</f>
        <v> </v>
      </c>
      <c r="H3129" s="25" t="str">
        <f>IF(J3129&lt;&gt;1,"",IF(I3129="SBJ","CB","?"))</f>
        <v> </v>
      </c>
      <c r="I3129" s="26" t="str">
        <f>IF(OR(E3129="",E3129="!!!",F3129="NEW"),"",INDEX(B3128:B$2,-1+SUMPRODUCT(MAX(ROW(E3128:E$2)*(E3129=E3128:E$2)))))</f>
        <v> </v>
      </c>
      <c r="J3129" s="26" t="str">
        <f>IF(OR(E3129="",E3129="!!!",F3129="NEW"),"",COUNTBLANK(OFFSET(A$1,,,SUMPRODUCT(MAX(ROW(E$2:E3129)*(E3129=E$2:E3129)))))-COUNTBLANK(OFFSET(A$1,,,SUMPRODUCT(MAX(ROW(E$1:E3128)*(E2=E$1:E3128))))))</f>
        <v> </v>
      </c>
      <c r="K3129" s="26" t="str">
        <f>IF(OR(E3129="",E3129="!!!",F3129="NEW"),"",INDEX(J$1:J3128,SUMPRODUCT(MAX(ROW(E$1:E3128)*(E3129=E$1:E3128)))))</f>
        <v> </v>
      </c>
      <c r="L3129" s="27"/>
    </row>
    <row r="3130" spans="1:12">
      <c r="A3130" s="20" t="s">
        <v>1964</v>
      </c>
      <c r="B3130" s="21" t="s">
        <v>1154</v>
      </c>
      <c r="C3130" s="21" t="s">
        <v>1017</v>
      </c>
      <c r="D3130" s="21" t="s">
        <v>1007</v>
      </c>
      <c r="E3130" s="22">
        <f>IF(D3130="?OLD","!!!","")</f>
        <v/>
      </c>
      <c r="F3130" s="23" t="str">
        <f>IF(OR(E3130="",E3130="!!!"),"",IF(NOT(ISNA(VLOOKUP(E3130,E$1:E3129,1,FALSE()))),"OLD",IF(AND(E3130&lt;&gt;"",E3130&lt;&gt;"!!!"),"NEW","")))</f>
        <v> </v>
      </c>
      <c r="G3130" s="24" t="str">
        <f>IF(OR(E3130="",E3130="!!!"),"",IF(OR(J3130=0,AND(J3130=1,K3130=1),AND(J3130=1,I3130="SBJ"),AND(J3130=1,I3130=0)),"?IN_FOCUS",IF(J3130&lt;=2,"?ACTIVATED",IF(J3130&lt;&gt;"","?FAMILIAR",IF(F3130="NEW",IF(ISNA(VLOOKUP(E3130,#REF!,1,FALSE())),"?TYPE_IDENTIFIABLE","?REFERENTIAL"),"_")))))</f>
        <v> </v>
      </c>
      <c r="H3130" s="25" t="str">
        <f>IF(J3130&lt;&gt;1,"",IF(I3130="SBJ","CB","?"))</f>
        <v> </v>
      </c>
      <c r="I3130" s="26" t="str">
        <f>IF(OR(E3130="",E3130="!!!",F3130="NEW"),"",INDEX(B3129:B$2,-1+SUMPRODUCT(MAX(ROW(E3129:E$2)*(E3130=E3129:E$2)))))</f>
        <v> </v>
      </c>
      <c r="J3130" s="26" t="str">
        <f>IF(OR(E3130="",E3130="!!!",F3130="NEW"),"",COUNTBLANK(OFFSET(A$1,,,SUMPRODUCT(MAX(ROW(E$2:E3130)*(E3130=E$2:E3130)))))-COUNTBLANK(OFFSET(A$1,,,SUMPRODUCT(MAX(ROW(E$1:E3129)*(E2=E$1:E3129))))))</f>
        <v> </v>
      </c>
      <c r="K3130" s="26" t="str">
        <f>IF(OR(E3130="",E3130="!!!",F3130="NEW"),"",INDEX(J$1:J3129,SUMPRODUCT(MAX(ROW(E$1:E3129)*(E3130=E$1:E3129)))))</f>
        <v> </v>
      </c>
      <c r="L3130" s="27"/>
    </row>
    <row r="3131" spans="1:12">
      <c r="A3131" s="20" t="s">
        <v>1030</v>
      </c>
      <c r="E3131" s="22">
        <f>IF(D3131="?OLD","!!!","")</f>
        <v/>
      </c>
      <c r="F3131" s="23" t="str">
        <f>IF(OR(E3131="",E3131="!!!"),"",IF(NOT(ISNA(VLOOKUP(E3131,E$1:E3130,1,FALSE()))),"OLD",IF(AND(E3131&lt;&gt;"",E3131&lt;&gt;"!!!"),"NEW","")))</f>
        <v> </v>
      </c>
      <c r="G3131" s="24" t="str">
        <f>IF(OR(E3131="",E3131="!!!"),"",IF(OR(J3131=0,AND(J3131=1,K3131=1),AND(J3131=1,I3131="SBJ"),AND(J3131=1,I3131=0)),"?IN_FOCUS",IF(J3131&lt;=2,"?ACTIVATED",IF(J3131&lt;&gt;"","?FAMILIAR",IF(F3131="NEW",IF(ISNA(VLOOKUP(E3131,#REF!,1,FALSE())),"?TYPE_IDENTIFIABLE","?REFERENTIAL"),"_")))))</f>
        <v> </v>
      </c>
      <c r="H3131" s="25" t="str">
        <f>IF(J3131&lt;&gt;1,"",IF(I3131="SBJ","CB","?"))</f>
        <v> </v>
      </c>
      <c r="I3131" s="26" t="str">
        <f>IF(OR(E3131="",E3131="!!!",F3131="NEW"),"",INDEX(B3130:B$2,-1+SUMPRODUCT(MAX(ROW(E3130:E$2)*(E3131=E3130:E$2)))))</f>
        <v> </v>
      </c>
      <c r="J3131" s="26" t="str">
        <f>IF(OR(E3131="",E3131="!!!",F3131="NEW"),"",COUNTBLANK(OFFSET(A$1,,,SUMPRODUCT(MAX(ROW(E$2:E3131)*(E3131=E$2:E3131)))))-COUNTBLANK(OFFSET(A$1,,,SUMPRODUCT(MAX(ROW(E$1:E3130)*(E2=E$1:E3130))))))</f>
        <v> </v>
      </c>
      <c r="K3131" s="26" t="str">
        <f>IF(OR(E3131="",E3131="!!!",F3131="NEW"),"",INDEX(J$1:J3130,SUMPRODUCT(MAX(ROW(E$1:E3130)*(E3131=E$1:E3130)))))</f>
        <v> </v>
      </c>
      <c r="L3131" s="27"/>
    </row>
    <row r="3132" spans="1:12">
      <c r="A3132" s="20" t="s">
        <v>1065</v>
      </c>
      <c r="E3132" s="22">
        <f>IF(D3132="?OLD","!!!","")</f>
        <v/>
      </c>
      <c r="F3132" s="23" t="str">
        <f>IF(OR(E3132="",E3132="!!!"),"",IF(NOT(ISNA(VLOOKUP(E3132,E$1:E3131,1,FALSE()))),"OLD",IF(AND(E3132&lt;&gt;"",E3132&lt;&gt;"!!!"),"NEW","")))</f>
        <v> </v>
      </c>
      <c r="G3132" s="24" t="str">
        <f>IF(OR(E3132="",E3132="!!!"),"",IF(OR(J3132=0,AND(J3132=1,K3132=1),AND(J3132=1,I3132="SBJ"),AND(J3132=1,I3132=0)),"?IN_FOCUS",IF(J3132&lt;=2,"?ACTIVATED",IF(J3132&lt;&gt;"","?FAMILIAR",IF(F3132="NEW",IF(ISNA(VLOOKUP(E3132,#REF!,1,FALSE())),"?TYPE_IDENTIFIABLE","?REFERENTIAL"),"_")))))</f>
        <v> </v>
      </c>
      <c r="H3132" s="25" t="str">
        <f>IF(J3132&lt;&gt;1,"",IF(I3132="SBJ","CB","?"))</f>
        <v> </v>
      </c>
      <c r="I3132" s="26" t="str">
        <f>IF(OR(E3132="",E3132="!!!",F3132="NEW"),"",INDEX(B3131:B$2,-1+SUMPRODUCT(MAX(ROW(E3131:E$2)*(E3132=E3131:E$2)))))</f>
        <v> </v>
      </c>
      <c r="J3132" s="26" t="str">
        <f>IF(OR(E3132="",E3132="!!!",F3132="NEW"),"",COUNTBLANK(OFFSET(A$1,,,SUMPRODUCT(MAX(ROW(E$2:E3132)*(E3132=E$2:E3132)))))-COUNTBLANK(OFFSET(A$1,,,SUMPRODUCT(MAX(ROW(E$1:E3131)*(E2=E$1:E3131))))))</f>
        <v> </v>
      </c>
      <c r="K3132" s="26" t="str">
        <f>IF(OR(E3132="",E3132="!!!",F3132="NEW"),"",INDEX(J$1:J3131,SUMPRODUCT(MAX(ROW(E$1:E3131)*(E3132=E$1:E3131)))))</f>
        <v> </v>
      </c>
      <c r="L3132" s="27"/>
    </row>
    <row r="3133" spans="1:12">
      <c r="A3133" s="20" t="s">
        <v>1938</v>
      </c>
      <c r="B3133" s="21" t="s">
        <v>1067</v>
      </c>
      <c r="C3133" s="21" t="s">
        <v>1006</v>
      </c>
      <c r="D3133" s="21" t="s">
        <v>1007</v>
      </c>
      <c r="E3133" s="22">
        <f>IF(D3133="?OLD","!!!","")</f>
        <v/>
      </c>
      <c r="F3133" s="23" t="str">
        <f>IF(OR(E3133="",E3133="!!!"),"",IF(NOT(ISNA(VLOOKUP(E3133,E$1:E3132,1,FALSE()))),"OLD",IF(AND(E3133&lt;&gt;"",E3133&lt;&gt;"!!!"),"NEW","")))</f>
        <v> </v>
      </c>
      <c r="G3133" s="24" t="str">
        <f>IF(OR(E3133="",E3133="!!!"),"",IF(OR(J3133=0,AND(J3133=1,K3133=1),AND(J3133=1,I3133="SBJ"),AND(J3133=1,I3133=0)),"?IN_FOCUS",IF(J3133&lt;=2,"?ACTIVATED",IF(J3133&lt;&gt;"","?FAMILIAR",IF(F3133="NEW",IF(ISNA(VLOOKUP(E3133,#REF!,1,FALSE())),"?TYPE_IDENTIFIABLE","?REFERENTIAL"),"_")))))</f>
        <v> </v>
      </c>
      <c r="H3133" s="25" t="str">
        <f>IF(J3133&lt;&gt;1,"",IF(I3133="SBJ","CB","?"))</f>
        <v> </v>
      </c>
      <c r="I3133" s="26" t="str">
        <f>IF(OR(E3133="",E3133="!!!",F3133="NEW"),"",INDEX(B3132:B$2,-1+SUMPRODUCT(MAX(ROW(E3132:E$2)*(E3133=E3132:E$2)))))</f>
        <v> </v>
      </c>
      <c r="J3133" s="26" t="str">
        <f>IF(OR(E3133="",E3133="!!!",F3133="NEW"),"",COUNTBLANK(OFFSET(A$1,,,SUMPRODUCT(MAX(ROW(E$2:E3133)*(E3133=E$2:E3133)))))-COUNTBLANK(OFFSET(A$1,,,SUMPRODUCT(MAX(ROW(E$1:E3132)*(E2=E$1:E3132))))))</f>
        <v> </v>
      </c>
      <c r="K3133" s="26" t="str">
        <f>IF(OR(E3133="",E3133="!!!",F3133="NEW"),"",INDEX(J$1:J3132,SUMPRODUCT(MAX(ROW(E$1:E3132)*(E3133=E$1:E3132)))))</f>
        <v> </v>
      </c>
      <c r="L3133" s="27"/>
    </row>
    <row r="3134" spans="1:12">
      <c r="A3134" s="20" t="s">
        <v>1939</v>
      </c>
      <c r="B3134" s="21" t="s">
        <v>1042</v>
      </c>
      <c r="C3134" s="21" t="s">
        <v>1006</v>
      </c>
      <c r="D3134" s="21" t="s">
        <v>1007</v>
      </c>
      <c r="E3134" s="22">
        <f>IF(D3134="?OLD","!!!","")</f>
        <v/>
      </c>
      <c r="F3134" s="23" t="str">
        <f>IF(OR(E3134="",E3134="!!!"),"",IF(NOT(ISNA(VLOOKUP(E3134,E$1:E3133,1,FALSE()))),"OLD",IF(AND(E3134&lt;&gt;"",E3134&lt;&gt;"!!!"),"NEW","")))</f>
        <v> </v>
      </c>
      <c r="G3134" s="24" t="str">
        <f>IF(OR(E3134="",E3134="!!!"),"",IF(OR(J3134=0,AND(J3134=1,K3134=1),AND(J3134=1,I3134="SBJ"),AND(J3134=1,I3134=0)),"?IN_FOCUS",IF(J3134&lt;=2,"?ACTIVATED",IF(J3134&lt;&gt;"","?FAMILIAR",IF(F3134="NEW",IF(ISNA(VLOOKUP(E3134,#REF!,1,FALSE())),"?TYPE_IDENTIFIABLE","?REFERENTIAL"),"_")))))</f>
        <v> </v>
      </c>
      <c r="H3134" s="25" t="str">
        <f>IF(J3134&lt;&gt;1,"",IF(I3134="SBJ","CB","?"))</f>
        <v> </v>
      </c>
      <c r="I3134" s="26" t="str">
        <f>IF(OR(E3134="",E3134="!!!",F3134="NEW"),"",INDEX(B3133:B$2,-1+SUMPRODUCT(MAX(ROW(E3133:E$2)*(E3134=E3133:E$2)))))</f>
        <v> </v>
      </c>
      <c r="J3134" s="26" t="str">
        <f>IF(OR(E3134="",E3134="!!!",F3134="NEW"),"",COUNTBLANK(OFFSET(A$1,,,SUMPRODUCT(MAX(ROW(E$2:E3134)*(E3134=E$2:E3134)))))-COUNTBLANK(OFFSET(A$1,,,SUMPRODUCT(MAX(ROW(E$1:E3133)*(E2=E$1:E3133))))))</f>
        <v> </v>
      </c>
      <c r="K3134" s="26" t="str">
        <f>IF(OR(E3134="",E3134="!!!",F3134="NEW"),"",INDEX(J$1:J3133,SUMPRODUCT(MAX(ROW(E$1:E3133)*(E3134=E$1:E3133)))))</f>
        <v> </v>
      </c>
      <c r="L3134" s="27"/>
    </row>
    <row r="3135" spans="1:12">
      <c r="A3135" s="20" t="s">
        <v>1206</v>
      </c>
      <c r="E3135" s="22">
        <f>IF(D3135="?OLD","!!!","")</f>
        <v/>
      </c>
      <c r="F3135" s="23" t="str">
        <f>IF(OR(E3135="",E3135="!!!"),"",IF(NOT(ISNA(VLOOKUP(E3135,E$1:E3134,1,FALSE()))),"OLD",IF(AND(E3135&lt;&gt;"",E3135&lt;&gt;"!!!"),"NEW","")))</f>
        <v> </v>
      </c>
      <c r="G3135" s="24" t="str">
        <f>IF(OR(E3135="",E3135="!!!"),"",IF(OR(J3135=0,AND(J3135=1,K3135=1),AND(J3135=1,I3135="SBJ"),AND(J3135=1,I3135=0)),"?IN_FOCUS",IF(J3135&lt;=2,"?ACTIVATED",IF(J3135&lt;&gt;"","?FAMILIAR",IF(F3135="NEW",IF(ISNA(VLOOKUP(E3135,#REF!,1,FALSE())),"?TYPE_IDENTIFIABLE","?REFERENTIAL"),"_")))))</f>
        <v> </v>
      </c>
      <c r="H3135" s="25" t="str">
        <f>IF(J3135&lt;&gt;1,"",IF(I3135="SBJ","CB","?"))</f>
        <v> </v>
      </c>
      <c r="I3135" s="26" t="str">
        <f>IF(OR(E3135="",E3135="!!!",F3135="NEW"),"",INDEX(B3134:B$2,-1+SUMPRODUCT(MAX(ROW(E3134:E$2)*(E3135=E3134:E$2)))))</f>
        <v> </v>
      </c>
      <c r="J3135" s="26" t="str">
        <f>IF(OR(E3135="",E3135="!!!",F3135="NEW"),"",COUNTBLANK(OFFSET(A$1,,,SUMPRODUCT(MAX(ROW(E$2:E3135)*(E3135=E$2:E3135)))))-COUNTBLANK(OFFSET(A$1,,,SUMPRODUCT(MAX(ROW(E$1:E3134)*(E2=E$1:E3134))))))</f>
        <v> </v>
      </c>
      <c r="K3135" s="26" t="str">
        <f>IF(OR(E3135="",E3135="!!!",F3135="NEW"),"",INDEX(J$1:J3134,SUMPRODUCT(MAX(ROW(E$1:E3134)*(E3135=E$1:E3134)))))</f>
        <v> </v>
      </c>
      <c r="L3135" s="27"/>
    </row>
    <row r="3136" spans="1:12">
      <c r="A3136" s="20" t="s">
        <v>1020</v>
      </c>
      <c r="E3136" s="22">
        <f>IF(D3136="?OLD","!!!","")</f>
        <v/>
      </c>
      <c r="F3136" s="23" t="str">
        <f>IF(OR(E3136="",E3136="!!!"),"",IF(NOT(ISNA(VLOOKUP(E3136,E$1:E3135,1,FALSE()))),"OLD",IF(AND(E3136&lt;&gt;"",E3136&lt;&gt;"!!!"),"NEW","")))</f>
        <v> </v>
      </c>
      <c r="G3136" s="24" t="str">
        <f>IF(OR(E3136="",E3136="!!!"),"",IF(OR(J3136=0,AND(J3136=1,K3136=1),AND(J3136=1,I3136="SBJ"),AND(J3136=1,I3136=0)),"?IN_FOCUS",IF(J3136&lt;=2,"?ACTIVATED",IF(J3136&lt;&gt;"","?FAMILIAR",IF(F3136="NEW",IF(ISNA(VLOOKUP(E3136,#REF!,1,FALSE())),"?TYPE_IDENTIFIABLE","?REFERENTIAL"),"_")))))</f>
        <v> </v>
      </c>
      <c r="H3136" s="25" t="str">
        <f>IF(J3136&lt;&gt;1,"",IF(I3136="SBJ","CB","?"))</f>
        <v> </v>
      </c>
      <c r="I3136" s="26" t="str">
        <f>IF(OR(E3136="",E3136="!!!",F3136="NEW"),"",INDEX(B3135:B$2,-1+SUMPRODUCT(MAX(ROW(E3135:E$2)*(E3136=E3135:E$2)))))</f>
        <v> </v>
      </c>
      <c r="J3136" s="26" t="str">
        <f>IF(OR(E3136="",E3136="!!!",F3136="NEW"),"",COUNTBLANK(OFFSET(A$1,,,SUMPRODUCT(MAX(ROW(E$2:E3136)*(E3136=E$2:E3136)))))-COUNTBLANK(OFFSET(A$1,,,SUMPRODUCT(MAX(ROW(E$1:E3135)*(E2=E$1:E3135))))))</f>
        <v> </v>
      </c>
      <c r="K3136" s="26" t="str">
        <f>IF(OR(E3136="",E3136="!!!",F3136="NEW"),"",INDEX(J$1:J3135,SUMPRODUCT(MAX(ROW(E$1:E3135)*(E3136=E$1:E3135)))))</f>
        <v> </v>
      </c>
      <c r="L3136" s="27"/>
    </row>
    <row r="3137" spans="1:12">
      <c r="A3137" s="20" t="s">
        <v>110</v>
      </c>
      <c r="E3137" s="22">
        <f>IF(D3137="?OLD","!!!","")</f>
        <v/>
      </c>
      <c r="F3137" s="23" t="str">
        <f>IF(OR(E3137="",E3137="!!!"),"",IF(NOT(ISNA(VLOOKUP(E3137,E$1:E3136,1,FALSE()))),"OLD",IF(AND(E3137&lt;&gt;"",E3137&lt;&gt;"!!!"),"NEW","")))</f>
        <v> </v>
      </c>
      <c r="G3137" s="24" t="str">
        <f>IF(OR(E3137="",E3137="!!!"),"",IF(OR(J3137=0,AND(J3137=1,K3137=1),AND(J3137=1,I3137="SBJ"),AND(J3137=1,I3137=0)),"?IN_FOCUS",IF(J3137&lt;=2,"?ACTIVATED",IF(J3137&lt;&gt;"","?FAMILIAR",IF(F3137="NEW",IF(ISNA(VLOOKUP(E3137,#REF!,1,FALSE())),"?TYPE_IDENTIFIABLE","?REFERENTIAL"),"_")))))</f>
        <v> </v>
      </c>
      <c r="H3137" s="25" t="str">
        <f>IF(J3137&lt;&gt;1,"",IF(I3137="SBJ","CB","?"))</f>
        <v> </v>
      </c>
      <c r="I3137" s="26" t="str">
        <f>IF(OR(E3137="",E3137="!!!",F3137="NEW"),"",INDEX(B3136:B$2,-1+SUMPRODUCT(MAX(ROW(E3136:E$2)*(E3137=E3136:E$2)))))</f>
        <v> </v>
      </c>
      <c r="J3137" s="26" t="str">
        <f>IF(OR(E3137="",E3137="!!!",F3137="NEW"),"",COUNTBLANK(OFFSET(A$1,,,SUMPRODUCT(MAX(ROW(E$2:E3137)*(E3137=E$2:E3137)))))-COUNTBLANK(OFFSET(A$1,,,SUMPRODUCT(MAX(ROW(E$1:E3136)*(E2=E$1:E3136))))))</f>
        <v> </v>
      </c>
      <c r="K3137" s="26" t="str">
        <f>IF(OR(E3137="",E3137="!!!",F3137="NEW"),"",INDEX(J$1:J3136,SUMPRODUCT(MAX(ROW(E$1:E3136)*(E3137=E$1:E3136)))))</f>
        <v> </v>
      </c>
      <c r="L3137" s="27"/>
    </row>
    <row r="3138" spans="1:12">
      <c r="A3138" s="20" t="s">
        <v>1056</v>
      </c>
      <c r="B3138" s="21" t="s">
        <v>1066</v>
      </c>
      <c r="E3138" s="22">
        <f>IF(D3138="?OLD","!!!","")</f>
        <v/>
      </c>
      <c r="F3138" s="23" t="str">
        <f>IF(OR(E3138="",E3138="!!!"),"",IF(NOT(ISNA(VLOOKUP(E3138,E$1:E3137,1,FALSE()))),"OLD",IF(AND(E3138&lt;&gt;"",E3138&lt;&gt;"!!!"),"NEW","")))</f>
        <v> </v>
      </c>
      <c r="G3138" s="24" t="str">
        <f>IF(OR(E3138="",E3138="!!!"),"",IF(OR(J3138=0,AND(J3138=1,K3138=1),AND(J3138=1,I3138="SBJ"),AND(J3138=1,I3138=0)),"?IN_FOCUS",IF(J3138&lt;=2,"?ACTIVATED",IF(J3138&lt;&gt;"","?FAMILIAR",IF(F3138="NEW",IF(ISNA(VLOOKUP(E3138,#REF!,1,FALSE())),"?TYPE_IDENTIFIABLE","?REFERENTIAL"),"_")))))</f>
        <v> </v>
      </c>
      <c r="H3138" s="25" t="str">
        <f>IF(J3138&lt;&gt;1,"",IF(I3138="SBJ","CB","?"))</f>
        <v> </v>
      </c>
      <c r="I3138" s="26" t="str">
        <f>IF(OR(E3138="",E3138="!!!",F3138="NEW"),"",INDEX(B3137:B$2,-1+SUMPRODUCT(MAX(ROW(E3137:E$2)*(E3138=E3137:E$2)))))</f>
        <v> </v>
      </c>
      <c r="J3138" s="26" t="str">
        <f>IF(OR(E3138="",E3138="!!!",F3138="NEW"),"",COUNTBLANK(OFFSET(A$1,,,SUMPRODUCT(MAX(ROW(E$2:E3138)*(E3138=E$2:E3138)))))-COUNTBLANK(OFFSET(A$1,,,SUMPRODUCT(MAX(ROW(E$1:E3137)*(E2=E$1:E3137))))))</f>
        <v> </v>
      </c>
      <c r="K3138" s="26" t="str">
        <f>IF(OR(E3138="",E3138="!!!",F3138="NEW"),"",INDEX(J$1:J3137,SUMPRODUCT(MAX(ROW(E$1:E3137)*(E3138=E$1:E3137)))))</f>
        <v> </v>
      </c>
      <c r="L3138" s="27"/>
    </row>
    <row r="3139" spans="1:12">
      <c r="A3139" s="20" t="s">
        <v>1014</v>
      </c>
      <c r="E3139" s="22">
        <f>IF(D3139="?OLD","!!!","")</f>
        <v/>
      </c>
      <c r="F3139" s="23" t="str">
        <f>IF(OR(E3139="",E3139="!!!"),"",IF(NOT(ISNA(VLOOKUP(E3139,E$1:E3138,1,FALSE()))),"OLD",IF(AND(E3139&lt;&gt;"",E3139&lt;&gt;"!!!"),"NEW","")))</f>
        <v> </v>
      </c>
      <c r="G3139" s="24" t="str">
        <f>IF(OR(E3139="",E3139="!!!"),"",IF(OR(J3139=0,AND(J3139=1,K3139=1),AND(J3139=1,I3139="SBJ"),AND(J3139=1,I3139=0)),"?IN_FOCUS",IF(J3139&lt;=2,"?ACTIVATED",IF(J3139&lt;&gt;"","?FAMILIAR",IF(F3139="NEW",IF(ISNA(VLOOKUP(E3139,#REF!,1,FALSE())),"?TYPE_IDENTIFIABLE","?REFERENTIAL"),"_")))))</f>
        <v> </v>
      </c>
      <c r="H3139" s="25" t="str">
        <f>IF(J3139&lt;&gt;1,"",IF(I3139="SBJ","CB","?"))</f>
        <v> </v>
      </c>
      <c r="I3139" s="26" t="str">
        <f>IF(OR(E3139="",E3139="!!!",F3139="NEW"),"",INDEX(B3138:B$2,-1+SUMPRODUCT(MAX(ROW(E3138:E$2)*(E3139=E3138:E$2)))))</f>
        <v> </v>
      </c>
      <c r="J3139" s="26" t="str">
        <f>IF(OR(E3139="",E3139="!!!",F3139="NEW"),"",COUNTBLANK(OFFSET(A$1,,,SUMPRODUCT(MAX(ROW(E$2:E3139)*(E3139=E$2:E3139)))))-COUNTBLANK(OFFSET(A$1,,,SUMPRODUCT(MAX(ROW(E$1:E3138)*(E2=E$1:E3138))))))</f>
        <v> </v>
      </c>
      <c r="K3139" s="26" t="str">
        <f>IF(OR(E3139="",E3139="!!!",F3139="NEW"),"",INDEX(J$1:J3138,SUMPRODUCT(MAX(ROW(E$1:E3138)*(E3139=E$1:E3138)))))</f>
        <v> </v>
      </c>
      <c r="L3139" s="27"/>
    </row>
    <row r="3140" spans="1:12">
      <c r="A3140" s="20" t="s">
        <v>1015</v>
      </c>
      <c r="E3140" s="22">
        <f>IF(D3140="?OLD","!!!","")</f>
        <v/>
      </c>
      <c r="F3140" s="23" t="str">
        <f>IF(OR(E3140="",E3140="!!!"),"",IF(NOT(ISNA(VLOOKUP(E3140,E$1:E3139,1,FALSE()))),"OLD",IF(AND(E3140&lt;&gt;"",E3140&lt;&gt;"!!!"),"NEW","")))</f>
        <v> </v>
      </c>
      <c r="G3140" s="24" t="str">
        <f>IF(OR(E3140="",E3140="!!!"),"",IF(OR(J3140=0,AND(J3140=1,K3140=1),AND(J3140=1,I3140="SBJ"),AND(J3140=1,I3140=0)),"?IN_FOCUS",IF(J3140&lt;=2,"?ACTIVATED",IF(J3140&lt;&gt;"","?FAMILIAR",IF(F3140="NEW",IF(ISNA(VLOOKUP(E3140,#REF!,1,FALSE())),"?TYPE_IDENTIFIABLE","?REFERENTIAL"),"_")))))</f>
        <v> </v>
      </c>
      <c r="H3140" s="25" t="str">
        <f>IF(J3140&lt;&gt;1,"",IF(I3140="SBJ","CB","?"))</f>
        <v> </v>
      </c>
      <c r="I3140" s="26" t="str">
        <f>IF(OR(E3140="",E3140="!!!",F3140="NEW"),"",INDEX(B3139:B$2,-1+SUMPRODUCT(MAX(ROW(E3139:E$2)*(E3140=E3139:E$2)))))</f>
        <v> </v>
      </c>
      <c r="J3140" s="26" t="str">
        <f>IF(OR(E3140="",E3140="!!!",F3140="NEW"),"",COUNTBLANK(OFFSET(A$1,,,SUMPRODUCT(MAX(ROW(E$2:E3140)*(E3140=E$2:E3140)))))-COUNTBLANK(OFFSET(A$1,,,SUMPRODUCT(MAX(ROW(E$1:E3139)*(E2=E$1:E3139))))))</f>
        <v> </v>
      </c>
      <c r="K3140" s="26" t="str">
        <f>IF(OR(E3140="",E3140="!!!",F3140="NEW"),"",INDEX(J$1:J3139,SUMPRODUCT(MAX(ROW(E$1:E3139)*(E3140=E$1:E3139)))))</f>
        <v> </v>
      </c>
      <c r="L3140" s="27"/>
    </row>
    <row r="3141" spans="1:12">
      <c r="A3141" s="20" t="s">
        <v>1544</v>
      </c>
      <c r="B3141" s="21" t="s">
        <v>1044</v>
      </c>
      <c r="C3141" s="21" t="s">
        <v>1059</v>
      </c>
      <c r="D3141" s="21" t="s">
        <v>1007</v>
      </c>
      <c r="E3141" s="22">
        <f>IF(D3141="?OLD","!!!","")</f>
        <v/>
      </c>
      <c r="F3141" s="23" t="str">
        <f>IF(OR(E3141="",E3141="!!!"),"",IF(NOT(ISNA(VLOOKUP(E3141,E$1:E3140,1,FALSE()))),"OLD",IF(AND(E3141&lt;&gt;"",E3141&lt;&gt;"!!!"),"NEW","")))</f>
        <v> </v>
      </c>
      <c r="G3141" s="24" t="str">
        <f>IF(OR(E3141="",E3141="!!!"),"",IF(OR(J3141=0,AND(J3141=1,K3141=1),AND(J3141=1,I3141="SBJ"),AND(J3141=1,I3141=0)),"?IN_FOCUS",IF(J3141&lt;=2,"?ACTIVATED",IF(J3141&lt;&gt;"","?FAMILIAR",IF(F3141="NEW",IF(ISNA(VLOOKUP(E3141,#REF!,1,FALSE())),"?TYPE_IDENTIFIABLE","?REFERENTIAL"),"_")))))</f>
        <v> </v>
      </c>
      <c r="H3141" s="25" t="str">
        <f>IF(J3141&lt;&gt;1,"",IF(I3141="SBJ","CB","?"))</f>
        <v> </v>
      </c>
      <c r="I3141" s="26" t="str">
        <f>IF(OR(E3141="",E3141="!!!",F3141="NEW"),"",INDEX(B3140:B$2,-1+SUMPRODUCT(MAX(ROW(E3140:E$2)*(E3141=E3140:E$2)))))</f>
        <v> </v>
      </c>
      <c r="J3141" s="26" t="str">
        <f>IF(OR(E3141="",E3141="!!!",F3141="NEW"),"",COUNTBLANK(OFFSET(A$1,,,SUMPRODUCT(MAX(ROW(E$2:E3141)*(E3141=E$2:E3141)))))-COUNTBLANK(OFFSET(A$1,,,SUMPRODUCT(MAX(ROW(E$1:E3140)*(E2=E$1:E3140))))))</f>
        <v> </v>
      </c>
      <c r="K3141" s="26" t="str">
        <f>IF(OR(E3141="",E3141="!!!",F3141="NEW"),"",INDEX(J$1:J3140,SUMPRODUCT(MAX(ROW(E$1:E3140)*(E3141=E$1:E3140)))))</f>
        <v> </v>
      </c>
      <c r="L3141" s="27"/>
    </row>
    <row r="3142" spans="1:12">
      <c r="A3142" s="20" t="s">
        <v>1965</v>
      </c>
      <c r="E3142" s="22">
        <f>IF(D3142="?OLD","!!!","")</f>
        <v/>
      </c>
      <c r="F3142" s="23" t="str">
        <f>IF(OR(E3142="",E3142="!!!"),"",IF(NOT(ISNA(VLOOKUP(E3142,E$1:E3141,1,FALSE()))),"OLD",IF(AND(E3142&lt;&gt;"",E3142&lt;&gt;"!!!"),"NEW","")))</f>
        <v> </v>
      </c>
      <c r="G3142" s="24" t="str">
        <f>IF(OR(E3142="",E3142="!!!"),"",IF(OR(J3142=0,AND(J3142=1,K3142=1),AND(J3142=1,I3142="SBJ"),AND(J3142=1,I3142=0)),"?IN_FOCUS",IF(J3142&lt;=2,"?ACTIVATED",IF(J3142&lt;&gt;"","?FAMILIAR",IF(F3142="NEW",IF(ISNA(VLOOKUP(E3142,#REF!,1,FALSE())),"?TYPE_IDENTIFIABLE","?REFERENTIAL"),"_")))))</f>
        <v> </v>
      </c>
      <c r="H3142" s="25" t="str">
        <f>IF(J3142&lt;&gt;1,"",IF(I3142="SBJ","CB","?"))</f>
        <v> </v>
      </c>
      <c r="I3142" s="26" t="str">
        <f>IF(OR(E3142="",E3142="!!!",F3142="NEW"),"",INDEX(B3141:B$2,-1+SUMPRODUCT(MAX(ROW(E3141:E$2)*(E3142=E3141:E$2)))))</f>
        <v> </v>
      </c>
      <c r="J3142" s="26" t="str">
        <f>IF(OR(E3142="",E3142="!!!",F3142="NEW"),"",COUNTBLANK(OFFSET(A$1,,,SUMPRODUCT(MAX(ROW(E$2:E3142)*(E3142=E$2:E3142)))))-COUNTBLANK(OFFSET(A$1,,,SUMPRODUCT(MAX(ROW(E$1:E3141)*(E2=E$1:E3141))))))</f>
        <v> </v>
      </c>
      <c r="K3142" s="26" t="str">
        <f>IF(OR(E3142="",E3142="!!!",F3142="NEW"),"",INDEX(J$1:J3141,SUMPRODUCT(MAX(ROW(E$1:E3141)*(E3142=E$1:E3141)))))</f>
        <v> </v>
      </c>
      <c r="L3142" s="27"/>
    </row>
    <row r="3143" spans="1:12">
      <c r="A3143" s="20" t="s">
        <v>1966</v>
      </c>
      <c r="B3143" s="21" t="s">
        <v>1042</v>
      </c>
      <c r="C3143" s="21" t="s">
        <v>1017</v>
      </c>
      <c r="D3143" s="21" t="s">
        <v>1007</v>
      </c>
      <c r="E3143" s="22">
        <f>IF(D3143="?OLD","!!!","")</f>
        <v/>
      </c>
      <c r="F3143" s="23" t="str">
        <f>IF(OR(E3143="",E3143="!!!"),"",IF(NOT(ISNA(VLOOKUP(E3143,E$1:E3142,1,FALSE()))),"OLD",IF(AND(E3143&lt;&gt;"",E3143&lt;&gt;"!!!"),"NEW","")))</f>
        <v> </v>
      </c>
      <c r="G3143" s="24" t="str">
        <f>IF(OR(E3143="",E3143="!!!"),"",IF(OR(J3143=0,AND(J3143=1,K3143=1),AND(J3143=1,I3143="SBJ"),AND(J3143=1,I3143=0)),"?IN_FOCUS",IF(J3143&lt;=2,"?ACTIVATED",IF(J3143&lt;&gt;"","?FAMILIAR",IF(F3143="NEW",IF(ISNA(VLOOKUP(E3143,#REF!,1,FALSE())),"?TYPE_IDENTIFIABLE","?REFERENTIAL"),"_")))))</f>
        <v> </v>
      </c>
      <c r="H3143" s="25" t="str">
        <f>IF(J3143&lt;&gt;1,"",IF(I3143="SBJ","CB","?"))</f>
        <v> </v>
      </c>
      <c r="I3143" s="26" t="str">
        <f>IF(OR(E3143="",E3143="!!!",F3143="NEW"),"",INDEX(B3142:B$2,-1+SUMPRODUCT(MAX(ROW(E3142:E$2)*(E3143=E3142:E$2)))))</f>
        <v> </v>
      </c>
      <c r="J3143" s="26" t="str">
        <f>IF(OR(E3143="",E3143="!!!",F3143="NEW"),"",COUNTBLANK(OFFSET(A$1,,,SUMPRODUCT(MAX(ROW(E$2:E3143)*(E3143=E$2:E3143)))))-COUNTBLANK(OFFSET(A$1,,,SUMPRODUCT(MAX(ROW(E$1:E3142)*(E2=E$1:E3142))))))</f>
        <v> </v>
      </c>
      <c r="K3143" s="26" t="str">
        <f>IF(OR(E3143="",E3143="!!!",F3143="NEW"),"",INDEX(J$1:J3142,SUMPRODUCT(MAX(ROW(E$1:E3142)*(E3143=E$1:E3142)))))</f>
        <v> </v>
      </c>
      <c r="L3143" s="27"/>
    </row>
    <row r="3144" spans="1:12">
      <c r="A3144" s="20" t="s">
        <v>1018</v>
      </c>
      <c r="E3144" s="22">
        <f>IF(D3144="?OLD","!!!","")</f>
        <v/>
      </c>
      <c r="F3144" s="23" t="str">
        <f>IF(OR(E3144="",E3144="!!!"),"",IF(NOT(ISNA(VLOOKUP(E3144,E$1:E3143,1,FALSE()))),"OLD",IF(AND(E3144&lt;&gt;"",E3144&lt;&gt;"!!!"),"NEW","")))</f>
        <v> </v>
      </c>
      <c r="G3144" s="24" t="str">
        <f>IF(OR(E3144="",E3144="!!!"),"",IF(OR(J3144=0,AND(J3144=1,K3144=1),AND(J3144=1,I3144="SBJ"),AND(J3144=1,I3144=0)),"?IN_FOCUS",IF(J3144&lt;=2,"?ACTIVATED",IF(J3144&lt;&gt;"","?FAMILIAR",IF(F3144="NEW",IF(ISNA(VLOOKUP(E3144,#REF!,1,FALSE())),"?TYPE_IDENTIFIABLE","?REFERENTIAL"),"_")))))</f>
        <v> </v>
      </c>
      <c r="H3144" s="25" t="str">
        <f>IF(J3144&lt;&gt;1,"",IF(I3144="SBJ","CB","?"))</f>
        <v> </v>
      </c>
      <c r="I3144" s="26" t="str">
        <f>IF(OR(E3144="",E3144="!!!",F3144="NEW"),"",INDEX(B3143:B$2,-1+SUMPRODUCT(MAX(ROW(E3143:E$2)*(E3144=E3143:E$2)))))</f>
        <v> </v>
      </c>
      <c r="J3144" s="26" t="str">
        <f>IF(OR(E3144="",E3144="!!!",F3144="NEW"),"",COUNTBLANK(OFFSET(A$1,,,SUMPRODUCT(MAX(ROW(E$2:E3144)*(E3144=E$2:E3144)))))-COUNTBLANK(OFFSET(A$1,,,SUMPRODUCT(MAX(ROW(E$1:E3143)*(E2=E$1:E3143))))))</f>
        <v> </v>
      </c>
      <c r="K3144" s="26" t="str">
        <f>IF(OR(E3144="",E3144="!!!",F3144="NEW"),"",INDEX(J$1:J3143,SUMPRODUCT(MAX(ROW(E$1:E3143)*(E3144=E$1:E3143)))))</f>
        <v> </v>
      </c>
      <c r="L3144" s="27"/>
    </row>
    <row r="3145" spans="1:12">
      <c r="A3145" s="20" t="s">
        <v>1935</v>
      </c>
      <c r="B3145" s="21" t="s">
        <v>1044</v>
      </c>
      <c r="C3145" s="21" t="s">
        <v>1006</v>
      </c>
      <c r="D3145" s="21" t="s">
        <v>1007</v>
      </c>
      <c r="E3145" s="22">
        <f>IF(D3145="?OLD","!!!","")</f>
        <v/>
      </c>
      <c r="F3145" s="23" t="str">
        <f>IF(OR(E3145="",E3145="!!!"),"",IF(NOT(ISNA(VLOOKUP(E3145,E$1:E3144,1,FALSE()))),"OLD",IF(AND(E3145&lt;&gt;"",E3145&lt;&gt;"!!!"),"NEW","")))</f>
        <v> </v>
      </c>
      <c r="G3145" s="24" t="str">
        <f>IF(OR(E3145="",E3145="!!!"),"",IF(OR(J3145=0,AND(J3145=1,K3145=1),AND(J3145=1,I3145="SBJ"),AND(J3145=1,I3145=0)),"?IN_FOCUS",IF(J3145&lt;=2,"?ACTIVATED",IF(J3145&lt;&gt;"","?FAMILIAR",IF(F3145="NEW",IF(ISNA(VLOOKUP(E3145,#REF!,1,FALSE())),"?TYPE_IDENTIFIABLE","?REFERENTIAL"),"_")))))</f>
        <v> </v>
      </c>
      <c r="H3145" s="25" t="str">
        <f>IF(J3145&lt;&gt;1,"",IF(I3145="SBJ","CB","?"))</f>
        <v> </v>
      </c>
      <c r="I3145" s="26" t="str">
        <f>IF(OR(E3145="",E3145="!!!",F3145="NEW"),"",INDEX(B3144:B$2,-1+SUMPRODUCT(MAX(ROW(E3144:E$2)*(E3145=E3144:E$2)))))</f>
        <v> </v>
      </c>
      <c r="J3145" s="26" t="str">
        <f>IF(OR(E3145="",E3145="!!!",F3145="NEW"),"",COUNTBLANK(OFFSET(A$1,,,SUMPRODUCT(MAX(ROW(E$2:E3145)*(E3145=E$2:E3145)))))-COUNTBLANK(OFFSET(A$1,,,SUMPRODUCT(MAX(ROW(E$1:E3144)*(E2=E$1:E3144))))))</f>
        <v> </v>
      </c>
      <c r="K3145" s="26" t="str">
        <f>IF(OR(E3145="",E3145="!!!",F3145="NEW"),"",INDEX(J$1:J3144,SUMPRODUCT(MAX(ROW(E$1:E3144)*(E3145=E$1:E3144)))))</f>
        <v> </v>
      </c>
      <c r="L3145" s="27"/>
    </row>
    <row r="3146" spans="1:12">
      <c r="A3146" s="20" t="s">
        <v>1936</v>
      </c>
      <c r="B3146" s="21" t="s">
        <v>1215</v>
      </c>
      <c r="C3146" s="21" t="s">
        <v>1006</v>
      </c>
      <c r="D3146" s="21" t="s">
        <v>1007</v>
      </c>
      <c r="E3146" s="22">
        <f>IF(D3146="?OLD","!!!","")</f>
        <v/>
      </c>
      <c r="F3146" s="23" t="str">
        <f>IF(OR(E3146="",E3146="!!!"),"",IF(NOT(ISNA(VLOOKUP(E3146,E$1:E3145,1,FALSE()))),"OLD",IF(AND(E3146&lt;&gt;"",E3146&lt;&gt;"!!!"),"NEW","")))</f>
        <v> </v>
      </c>
      <c r="G3146" s="24" t="str">
        <f>IF(OR(E3146="",E3146="!!!"),"",IF(OR(J3146=0,AND(J3146=1,K3146=1),AND(J3146=1,I3146="SBJ"),AND(J3146=1,I3146=0)),"?IN_FOCUS",IF(J3146&lt;=2,"?ACTIVATED",IF(J3146&lt;&gt;"","?FAMILIAR",IF(F3146="NEW",IF(ISNA(VLOOKUP(E3146,#REF!,1,FALSE())),"?TYPE_IDENTIFIABLE","?REFERENTIAL"),"_")))))</f>
        <v> </v>
      </c>
      <c r="H3146" s="25" t="str">
        <f>IF(J3146&lt;&gt;1,"",IF(I3146="SBJ","CB","?"))</f>
        <v> </v>
      </c>
      <c r="I3146" s="26" t="str">
        <f>IF(OR(E3146="",E3146="!!!",F3146="NEW"),"",INDEX(B3145:B$2,-1+SUMPRODUCT(MAX(ROW(E3145:E$2)*(E3146=E3145:E$2)))))</f>
        <v> </v>
      </c>
      <c r="J3146" s="26" t="str">
        <f>IF(OR(E3146="",E3146="!!!",F3146="NEW"),"",COUNTBLANK(OFFSET(A$1,,,SUMPRODUCT(MAX(ROW(E$2:E3146)*(E3146=E$2:E3146)))))-COUNTBLANK(OFFSET(A$1,,,SUMPRODUCT(MAX(ROW(E$1:E3145)*(E2=E$1:E3145))))))</f>
        <v> </v>
      </c>
      <c r="K3146" s="26" t="str">
        <f>IF(OR(E3146="",E3146="!!!",F3146="NEW"),"",INDEX(J$1:J3145,SUMPRODUCT(MAX(ROW(E$1:E3145)*(E3146=E$1:E3145)))))</f>
        <v> </v>
      </c>
      <c r="L3146" s="27"/>
    </row>
    <row r="3147" spans="1:12">
      <c r="A3147" s="20" t="s">
        <v>1967</v>
      </c>
      <c r="E3147" s="22">
        <f>IF(D3147="?OLD","!!!","")</f>
        <v/>
      </c>
      <c r="F3147" s="23" t="str">
        <f>IF(OR(E3147="",E3147="!!!"),"",IF(NOT(ISNA(VLOOKUP(E3147,E$1:E3146,1,FALSE()))),"OLD",IF(AND(E3147&lt;&gt;"",E3147&lt;&gt;"!!!"),"NEW","")))</f>
        <v> </v>
      </c>
      <c r="G3147" s="24" t="str">
        <f>IF(OR(E3147="",E3147="!!!"),"",IF(OR(J3147=0,AND(J3147=1,K3147=1),AND(J3147=1,I3147="SBJ"),AND(J3147=1,I3147=0)),"?IN_FOCUS",IF(J3147&lt;=2,"?ACTIVATED",IF(J3147&lt;&gt;"","?FAMILIAR",IF(F3147="NEW",IF(ISNA(VLOOKUP(E3147,#REF!,1,FALSE())),"?TYPE_IDENTIFIABLE","?REFERENTIAL"),"_")))))</f>
        <v> </v>
      </c>
      <c r="H3147" s="25" t="str">
        <f>IF(J3147&lt;&gt;1,"",IF(I3147="SBJ","CB","?"))</f>
        <v> </v>
      </c>
      <c r="I3147" s="26" t="str">
        <f>IF(OR(E3147="",E3147="!!!",F3147="NEW"),"",INDEX(B3146:B$2,-1+SUMPRODUCT(MAX(ROW(E3146:E$2)*(E3147=E3146:E$2)))))</f>
        <v> </v>
      </c>
      <c r="J3147" s="26" t="str">
        <f>IF(OR(E3147="",E3147="!!!",F3147="NEW"),"",COUNTBLANK(OFFSET(A$1,,,SUMPRODUCT(MAX(ROW(E$2:E3147)*(E3147=E$2:E3147)))))-COUNTBLANK(OFFSET(A$1,,,SUMPRODUCT(MAX(ROW(E$1:E3146)*(E2=E$1:E3146))))))</f>
        <v> </v>
      </c>
      <c r="K3147" s="26" t="str">
        <f>IF(OR(E3147="",E3147="!!!",F3147="NEW"),"",INDEX(J$1:J3146,SUMPRODUCT(MAX(ROW(E$1:E3146)*(E3147=E$1:E3146)))))</f>
        <v> </v>
      </c>
      <c r="L3147" s="27"/>
    </row>
    <row r="3148" spans="1:12">
      <c r="A3148" s="20" t="s">
        <v>1065</v>
      </c>
      <c r="E3148" s="22">
        <f>IF(D3148="?OLD","!!!","")</f>
        <v/>
      </c>
      <c r="F3148" s="23" t="str">
        <f>IF(OR(E3148="",E3148="!!!"),"",IF(NOT(ISNA(VLOOKUP(E3148,E$1:E3147,1,FALSE()))),"OLD",IF(AND(E3148&lt;&gt;"",E3148&lt;&gt;"!!!"),"NEW","")))</f>
        <v> </v>
      </c>
      <c r="G3148" s="24" t="str">
        <f>IF(OR(E3148="",E3148="!!!"),"",IF(OR(J3148=0,AND(J3148=1,K3148=1),AND(J3148=1,I3148="SBJ"),AND(J3148=1,I3148=0)),"?IN_FOCUS",IF(J3148&lt;=2,"?ACTIVATED",IF(J3148&lt;&gt;"","?FAMILIAR",IF(F3148="NEW",IF(ISNA(VLOOKUP(E3148,#REF!,1,FALSE())),"?TYPE_IDENTIFIABLE","?REFERENTIAL"),"_")))))</f>
        <v> </v>
      </c>
      <c r="H3148" s="25" t="str">
        <f>IF(J3148&lt;&gt;1,"",IF(I3148="SBJ","CB","?"))</f>
        <v> </v>
      </c>
      <c r="I3148" s="26" t="str">
        <f>IF(OR(E3148="",E3148="!!!",F3148="NEW"),"",INDEX(B3147:B$2,-1+SUMPRODUCT(MAX(ROW(E3147:E$2)*(E3148=E3147:E$2)))))</f>
        <v> </v>
      </c>
      <c r="J3148" s="26" t="str">
        <f>IF(OR(E3148="",E3148="!!!",F3148="NEW"),"",COUNTBLANK(OFFSET(A$1,,,SUMPRODUCT(MAX(ROW(E$2:E3148)*(E3148=E$2:E3148)))))-COUNTBLANK(OFFSET(A$1,,,SUMPRODUCT(MAX(ROW(E$1:E3147)*(E2=E$1:E3147))))))</f>
        <v> </v>
      </c>
      <c r="K3148" s="26" t="str">
        <f>IF(OR(E3148="",E3148="!!!",F3148="NEW"),"",INDEX(J$1:J3147,SUMPRODUCT(MAX(ROW(E$1:E3147)*(E3148=E$1:E3147)))))</f>
        <v> </v>
      </c>
      <c r="L3148" s="27"/>
    </row>
    <row r="3149" spans="1:12">
      <c r="A3149" s="20" t="s">
        <v>1180</v>
      </c>
      <c r="B3149" s="21" t="s">
        <v>1968</v>
      </c>
      <c r="C3149" s="21" t="s">
        <v>1082</v>
      </c>
      <c r="D3149" s="21" t="s">
        <v>1007</v>
      </c>
      <c r="E3149" s="22">
        <f>IF(D3149="?OLD","!!!","")</f>
        <v/>
      </c>
      <c r="F3149" s="23" t="str">
        <f>IF(OR(E3149="",E3149="!!!"),"",IF(NOT(ISNA(VLOOKUP(E3149,E$1:E3148,1,FALSE()))),"OLD",IF(AND(E3149&lt;&gt;"",E3149&lt;&gt;"!!!"),"NEW","")))</f>
        <v> </v>
      </c>
      <c r="G3149" s="24" t="str">
        <f>IF(OR(E3149="",E3149="!!!"),"",IF(OR(J3149=0,AND(J3149=1,K3149=1),AND(J3149=1,I3149="SBJ"),AND(J3149=1,I3149=0)),"?IN_FOCUS",IF(J3149&lt;=2,"?ACTIVATED",IF(J3149&lt;&gt;"","?FAMILIAR",IF(F3149="NEW",IF(ISNA(VLOOKUP(E3149,#REF!,1,FALSE())),"?TYPE_IDENTIFIABLE","?REFERENTIAL"),"_")))))</f>
        <v> </v>
      </c>
      <c r="H3149" s="25" t="str">
        <f>IF(J3149&lt;&gt;1,"",IF(I3149="SBJ","CB","?"))</f>
        <v> </v>
      </c>
      <c r="I3149" s="26" t="str">
        <f>IF(OR(E3149="",E3149="!!!",F3149="NEW"),"",INDEX(B3148:B$2,-1+SUMPRODUCT(MAX(ROW(E3148:E$2)*(E3149=E3148:E$2)))))</f>
        <v> </v>
      </c>
      <c r="J3149" s="26" t="str">
        <f>IF(OR(E3149="",E3149="!!!",F3149="NEW"),"",COUNTBLANK(OFFSET(A$1,,,SUMPRODUCT(MAX(ROW(E$2:E3149)*(E3149=E$2:E3149)))))-COUNTBLANK(OFFSET(A$1,,,SUMPRODUCT(MAX(ROW(E$1:E3148)*(E2=E$1:E3148))))))</f>
        <v> </v>
      </c>
      <c r="K3149" s="26" t="str">
        <f>IF(OR(E3149="",E3149="!!!",F3149="NEW"),"",INDEX(J$1:J3148,SUMPRODUCT(MAX(ROW(E$1:E3148)*(E3149=E$1:E3148)))))</f>
        <v> </v>
      </c>
      <c r="L3149" s="27"/>
    </row>
    <row r="3150" spans="1:12">
      <c r="A3150" s="20" t="s">
        <v>1796</v>
      </c>
      <c r="E3150" s="22">
        <f>IF(D3150="?OLD","!!!","")</f>
        <v/>
      </c>
      <c r="F3150" s="23" t="str">
        <f>IF(OR(E3150="",E3150="!!!"),"",IF(NOT(ISNA(VLOOKUP(E3150,E$1:E3149,1,FALSE()))),"OLD",IF(AND(E3150&lt;&gt;"",E3150&lt;&gt;"!!!"),"NEW","")))</f>
        <v> </v>
      </c>
      <c r="G3150" s="24" t="str">
        <f>IF(OR(E3150="",E3150="!!!"),"",IF(OR(J3150=0,AND(J3150=1,K3150=1),AND(J3150=1,I3150="SBJ"),AND(J3150=1,I3150=0)),"?IN_FOCUS",IF(J3150&lt;=2,"?ACTIVATED",IF(J3150&lt;&gt;"","?FAMILIAR",IF(F3150="NEW",IF(ISNA(VLOOKUP(E3150,#REF!,1,FALSE())),"?TYPE_IDENTIFIABLE","?REFERENTIAL"),"_")))))</f>
        <v> </v>
      </c>
      <c r="H3150" s="25" t="str">
        <f>IF(J3150&lt;&gt;1,"",IF(I3150="SBJ","CB","?"))</f>
        <v> </v>
      </c>
      <c r="I3150" s="26" t="str">
        <f>IF(OR(E3150="",E3150="!!!",F3150="NEW"),"",INDEX(B3149:B$2,-1+SUMPRODUCT(MAX(ROW(E3149:E$2)*(E3150=E3149:E$2)))))</f>
        <v> </v>
      </c>
      <c r="J3150" s="26" t="str">
        <f>IF(OR(E3150="",E3150="!!!",F3150="NEW"),"",COUNTBLANK(OFFSET(A$1,,,SUMPRODUCT(MAX(ROW(E$2:E3150)*(E3150=E$2:E3150)))))-COUNTBLANK(OFFSET(A$1,,,SUMPRODUCT(MAX(ROW(E$1:E3149)*(E2=E$1:E3149))))))</f>
        <v> </v>
      </c>
      <c r="K3150" s="26" t="str">
        <f>IF(OR(E3150="",E3150="!!!",F3150="NEW"),"",INDEX(J$1:J3149,SUMPRODUCT(MAX(ROW(E$1:E3149)*(E3150=E$1:E3149)))))</f>
        <v> </v>
      </c>
      <c r="L3150" s="27"/>
    </row>
    <row r="3151" spans="1:12">
      <c r="A3151" s="20" t="s">
        <v>1969</v>
      </c>
      <c r="E3151" s="22">
        <f>IF(D3151="?OLD","!!!","")</f>
        <v/>
      </c>
      <c r="F3151" s="23" t="str">
        <f>IF(OR(E3151="",E3151="!!!"),"",IF(NOT(ISNA(VLOOKUP(E3151,E$1:E3150,1,FALSE()))),"OLD",IF(AND(E3151&lt;&gt;"",E3151&lt;&gt;"!!!"),"NEW","")))</f>
        <v> </v>
      </c>
      <c r="G3151" s="24" t="str">
        <f>IF(OR(E3151="",E3151="!!!"),"",IF(OR(J3151=0,AND(J3151=1,K3151=1),AND(J3151=1,I3151="SBJ"),AND(J3151=1,I3151=0)),"?IN_FOCUS",IF(J3151&lt;=2,"?ACTIVATED",IF(J3151&lt;&gt;"","?FAMILIAR",IF(F3151="NEW",IF(ISNA(VLOOKUP(E3151,#REF!,1,FALSE())),"?TYPE_IDENTIFIABLE","?REFERENTIAL"),"_")))))</f>
        <v> </v>
      </c>
      <c r="H3151" s="25" t="str">
        <f>IF(J3151&lt;&gt;1,"",IF(I3151="SBJ","CB","?"))</f>
        <v> </v>
      </c>
      <c r="I3151" s="26" t="str">
        <f>IF(OR(E3151="",E3151="!!!",F3151="NEW"),"",INDEX(B3150:B$2,-1+SUMPRODUCT(MAX(ROW(E3150:E$2)*(E3151=E3150:E$2)))))</f>
        <v> </v>
      </c>
      <c r="J3151" s="26" t="str">
        <f>IF(OR(E3151="",E3151="!!!",F3151="NEW"),"",COUNTBLANK(OFFSET(A$1,,,SUMPRODUCT(MAX(ROW(E$2:E3151)*(E3151=E$2:E3151)))))-COUNTBLANK(OFFSET(A$1,,,SUMPRODUCT(MAX(ROW(E$1:E3150)*(E2=E$1:E3150))))))</f>
        <v> </v>
      </c>
      <c r="K3151" s="26" t="str">
        <f>IF(OR(E3151="",E3151="!!!",F3151="NEW"),"",INDEX(J$1:J3150,SUMPRODUCT(MAX(ROW(E$1:E3150)*(E3151=E$1:E3150)))))</f>
        <v> </v>
      </c>
      <c r="L3151" s="27"/>
    </row>
    <row r="3152" spans="1:12">
      <c r="A3152" s="20" t="s">
        <v>1182</v>
      </c>
      <c r="E3152" s="22">
        <f>IF(D3152="?OLD","!!!","")</f>
        <v/>
      </c>
      <c r="F3152" s="23" t="str">
        <f>IF(OR(E3152="",E3152="!!!"),"",IF(NOT(ISNA(VLOOKUP(E3152,E$1:E3151,1,FALSE()))),"OLD",IF(AND(E3152&lt;&gt;"",E3152&lt;&gt;"!!!"),"NEW","")))</f>
        <v> </v>
      </c>
      <c r="G3152" s="24" t="str">
        <f>IF(OR(E3152="",E3152="!!!"),"",IF(OR(J3152=0,AND(J3152=1,K3152=1),AND(J3152=1,I3152="SBJ"),AND(J3152=1,I3152=0)),"?IN_FOCUS",IF(J3152&lt;=2,"?ACTIVATED",IF(J3152&lt;&gt;"","?FAMILIAR",IF(F3152="NEW",IF(ISNA(VLOOKUP(E3152,#REF!,1,FALSE())),"?TYPE_IDENTIFIABLE","?REFERENTIAL"),"_")))))</f>
        <v> </v>
      </c>
      <c r="H3152" s="25" t="str">
        <f>IF(J3152&lt;&gt;1,"",IF(I3152="SBJ","CB","?"))</f>
        <v> </v>
      </c>
      <c r="I3152" s="26" t="str">
        <f>IF(OR(E3152="",E3152="!!!",F3152="NEW"),"",INDEX(B3151:B$2,-1+SUMPRODUCT(MAX(ROW(E3151:E$2)*(E3152=E3151:E$2)))))</f>
        <v> </v>
      </c>
      <c r="J3152" s="26" t="str">
        <f>IF(OR(E3152="",E3152="!!!",F3152="NEW"),"",COUNTBLANK(OFFSET(A$1,,,SUMPRODUCT(MAX(ROW(E$2:E3152)*(E3152=E$2:E3152)))))-COUNTBLANK(OFFSET(A$1,,,SUMPRODUCT(MAX(ROW(E$1:E3151)*(E2=E$1:E3151))))))</f>
        <v> </v>
      </c>
      <c r="K3152" s="26" t="str">
        <f>IF(OR(E3152="",E3152="!!!",F3152="NEW"),"",INDEX(J$1:J3151,SUMPRODUCT(MAX(ROW(E$1:E3151)*(E3152=E$1:E3151)))))</f>
        <v> </v>
      </c>
      <c r="L3152" s="27"/>
    </row>
    <row r="3153" spans="1:12">
      <c r="A3153" s="20" t="s">
        <v>1015</v>
      </c>
      <c r="E3153" s="22">
        <f>IF(D3153="?OLD","!!!","")</f>
        <v/>
      </c>
      <c r="F3153" s="23" t="str">
        <f>IF(OR(E3153="",E3153="!!!"),"",IF(NOT(ISNA(VLOOKUP(E3153,E$1:E3152,1,FALSE()))),"OLD",IF(AND(E3153&lt;&gt;"",E3153&lt;&gt;"!!!"),"NEW","")))</f>
        <v> </v>
      </c>
      <c r="G3153" s="24" t="str">
        <f>IF(OR(E3153="",E3153="!!!"),"",IF(OR(J3153=0,AND(J3153=1,K3153=1),AND(J3153=1,I3153="SBJ"),AND(J3153=1,I3153=0)),"?IN_FOCUS",IF(J3153&lt;=2,"?ACTIVATED",IF(J3153&lt;&gt;"","?FAMILIAR",IF(F3153="NEW",IF(ISNA(VLOOKUP(E3153,#REF!,1,FALSE())),"?TYPE_IDENTIFIABLE","?REFERENTIAL"),"_")))))</f>
        <v> </v>
      </c>
      <c r="H3153" s="25" t="str">
        <f>IF(J3153&lt;&gt;1,"",IF(I3153="SBJ","CB","?"))</f>
        <v> </v>
      </c>
      <c r="I3153" s="26" t="str">
        <f>IF(OR(E3153="",E3153="!!!",F3153="NEW"),"",INDEX(B3152:B$2,-1+SUMPRODUCT(MAX(ROW(E3152:E$2)*(E3153=E3152:E$2)))))</f>
        <v> </v>
      </c>
      <c r="J3153" s="26" t="str">
        <f>IF(OR(E3153="",E3153="!!!",F3153="NEW"),"",COUNTBLANK(OFFSET(A$1,,,SUMPRODUCT(MAX(ROW(E$2:E3153)*(E3153=E$2:E3153)))))-COUNTBLANK(OFFSET(A$1,,,SUMPRODUCT(MAX(ROW(E$1:E3152)*(E2=E$1:E3152))))))</f>
        <v> </v>
      </c>
      <c r="K3153" s="26" t="str">
        <f>IF(OR(E3153="",E3153="!!!",F3153="NEW"),"",INDEX(J$1:J3152,SUMPRODUCT(MAX(ROW(E$1:E3152)*(E3153=E$1:E3152)))))</f>
        <v> </v>
      </c>
      <c r="L3153" s="27"/>
    </row>
    <row r="3154" spans="1:12">
      <c r="A3154" s="20" t="s">
        <v>1970</v>
      </c>
      <c r="B3154" s="21" t="s">
        <v>1789</v>
      </c>
      <c r="C3154" s="21" t="s">
        <v>1017</v>
      </c>
      <c r="D3154" s="21" t="s">
        <v>1007</v>
      </c>
      <c r="E3154" s="22">
        <f>IF(D3154="?OLD","!!!","")</f>
        <v/>
      </c>
      <c r="F3154" s="23" t="str">
        <f>IF(OR(E3154="",E3154="!!!"),"",IF(NOT(ISNA(VLOOKUP(E3154,E$1:E3153,1,FALSE()))),"OLD",IF(AND(E3154&lt;&gt;"",E3154&lt;&gt;"!!!"),"NEW","")))</f>
        <v> </v>
      </c>
      <c r="G3154" s="24" t="str">
        <f>IF(OR(E3154="",E3154="!!!"),"",IF(OR(J3154=0,AND(J3154=1,K3154=1),AND(J3154=1,I3154="SBJ"),AND(J3154=1,I3154=0)),"?IN_FOCUS",IF(J3154&lt;=2,"?ACTIVATED",IF(J3154&lt;&gt;"","?FAMILIAR",IF(F3154="NEW",IF(ISNA(VLOOKUP(E3154,#REF!,1,FALSE())),"?TYPE_IDENTIFIABLE","?REFERENTIAL"),"_")))))</f>
        <v> </v>
      </c>
      <c r="H3154" s="25" t="str">
        <f>IF(J3154&lt;&gt;1,"",IF(I3154="SBJ","CB","?"))</f>
        <v> </v>
      </c>
      <c r="I3154" s="26" t="str">
        <f>IF(OR(E3154="",E3154="!!!",F3154="NEW"),"",INDEX(B3153:B$2,-1+SUMPRODUCT(MAX(ROW(E3153:E$2)*(E3154=E3153:E$2)))))</f>
        <v> </v>
      </c>
      <c r="J3154" s="26" t="str">
        <f>IF(OR(E3154="",E3154="!!!",F3154="NEW"),"",COUNTBLANK(OFFSET(A$1,,,SUMPRODUCT(MAX(ROW(E$2:E3154)*(E3154=E$2:E3154)))))-COUNTBLANK(OFFSET(A$1,,,SUMPRODUCT(MAX(ROW(E$1:E3153)*(E2=E$1:E3153))))))</f>
        <v> </v>
      </c>
      <c r="K3154" s="26" t="str">
        <f>IF(OR(E3154="",E3154="!!!",F3154="NEW"),"",INDEX(J$1:J3153,SUMPRODUCT(MAX(ROW(E$1:E3153)*(E3154=E$1:E3153)))))</f>
        <v> </v>
      </c>
      <c r="L3154" s="27"/>
    </row>
    <row r="3155" spans="1:12">
      <c r="A3155" s="20" t="s">
        <v>1030</v>
      </c>
      <c r="E3155" s="22">
        <f>IF(D3155="?OLD","!!!","")</f>
        <v/>
      </c>
      <c r="F3155" s="23" t="str">
        <f>IF(OR(E3155="",E3155="!!!"),"",IF(NOT(ISNA(VLOOKUP(E3155,E$1:E3154,1,FALSE()))),"OLD",IF(AND(E3155&lt;&gt;"",E3155&lt;&gt;"!!!"),"NEW","")))</f>
        <v> </v>
      </c>
      <c r="G3155" s="24" t="str">
        <f>IF(OR(E3155="",E3155="!!!"),"",IF(OR(J3155=0,AND(J3155=1,K3155=1),AND(J3155=1,I3155="SBJ"),AND(J3155=1,I3155=0)),"?IN_FOCUS",IF(J3155&lt;=2,"?ACTIVATED",IF(J3155&lt;&gt;"","?FAMILIAR",IF(F3155="NEW",IF(ISNA(VLOOKUP(E3155,#REF!,1,FALSE())),"?TYPE_IDENTIFIABLE","?REFERENTIAL"),"_")))))</f>
        <v> </v>
      </c>
      <c r="H3155" s="25" t="str">
        <f>IF(J3155&lt;&gt;1,"",IF(I3155="SBJ","CB","?"))</f>
        <v> </v>
      </c>
      <c r="I3155" s="26" t="str">
        <f>IF(OR(E3155="",E3155="!!!",F3155="NEW"),"",INDEX(B3154:B$2,-1+SUMPRODUCT(MAX(ROW(E3154:E$2)*(E3155=E3154:E$2)))))</f>
        <v> </v>
      </c>
      <c r="J3155" s="26" t="str">
        <f>IF(OR(E3155="",E3155="!!!",F3155="NEW"),"",COUNTBLANK(OFFSET(A$1,,,SUMPRODUCT(MAX(ROW(E$2:E3155)*(E3155=E$2:E3155)))))-COUNTBLANK(OFFSET(A$1,,,SUMPRODUCT(MAX(ROW(E$1:E3154)*(E2=E$1:E3154))))))</f>
        <v> </v>
      </c>
      <c r="K3155" s="26" t="str">
        <f>IF(OR(E3155="",E3155="!!!",F3155="NEW"),"",INDEX(J$1:J3154,SUMPRODUCT(MAX(ROW(E$1:E3154)*(E3155=E$1:E3154)))))</f>
        <v> </v>
      </c>
      <c r="L3155" s="27"/>
    </row>
    <row r="3156" spans="1:12">
      <c r="A3156" s="20" t="s">
        <v>1433</v>
      </c>
      <c r="E3156" s="22">
        <f>IF(D3156="?OLD","!!!","")</f>
        <v/>
      </c>
      <c r="F3156" s="23" t="str">
        <f>IF(OR(E3156="",E3156="!!!"),"",IF(NOT(ISNA(VLOOKUP(E3156,E$1:E3155,1,FALSE()))),"OLD",IF(AND(E3156&lt;&gt;"",E3156&lt;&gt;"!!!"),"NEW","")))</f>
        <v> </v>
      </c>
      <c r="G3156" s="24" t="str">
        <f>IF(OR(E3156="",E3156="!!!"),"",IF(OR(J3156=0,AND(J3156=1,K3156=1),AND(J3156=1,I3156="SBJ"),AND(J3156=1,I3156=0)),"?IN_FOCUS",IF(J3156&lt;=2,"?ACTIVATED",IF(J3156&lt;&gt;"","?FAMILIAR",IF(F3156="NEW",IF(ISNA(VLOOKUP(E3156,#REF!,1,FALSE())),"?TYPE_IDENTIFIABLE","?REFERENTIAL"),"_")))))</f>
        <v> </v>
      </c>
      <c r="H3156" s="25" t="str">
        <f>IF(J3156&lt;&gt;1,"",IF(I3156="SBJ","CB","?"))</f>
        <v> </v>
      </c>
      <c r="I3156" s="26" t="str">
        <f>IF(OR(E3156="",E3156="!!!",F3156="NEW"),"",INDEX(B3155:B$2,-1+SUMPRODUCT(MAX(ROW(E3155:E$2)*(E3156=E3155:E$2)))))</f>
        <v> </v>
      </c>
      <c r="J3156" s="26" t="str">
        <f>IF(OR(E3156="",E3156="!!!",F3156="NEW"),"",COUNTBLANK(OFFSET(A$1,,,SUMPRODUCT(MAX(ROW(E$2:E3156)*(E3156=E$2:E3156)))))-COUNTBLANK(OFFSET(A$1,,,SUMPRODUCT(MAX(ROW(E$1:E3155)*(E2=E$1:E3155))))))</f>
        <v> </v>
      </c>
      <c r="K3156" s="26" t="str">
        <f>IF(OR(E3156="",E3156="!!!",F3156="NEW"),"",INDEX(J$1:J3155,SUMPRODUCT(MAX(ROW(E$1:E3155)*(E3156=E$1:E3155)))))</f>
        <v> </v>
      </c>
      <c r="L3156" s="27"/>
    </row>
    <row r="3157" spans="1:12">
      <c r="A3157" s="20" t="s">
        <v>102</v>
      </c>
      <c r="E3157" s="22">
        <f>IF(D3157="?OLD","!!!","")</f>
        <v/>
      </c>
      <c r="F3157" s="23" t="str">
        <f>IF(OR(E3157="",E3157="!!!"),"",IF(NOT(ISNA(VLOOKUP(E3157,E$1:E3156,1,FALSE()))),"OLD",IF(AND(E3157&lt;&gt;"",E3157&lt;&gt;"!!!"),"NEW","")))</f>
        <v> </v>
      </c>
      <c r="G3157" s="24" t="str">
        <f>IF(OR(E3157="",E3157="!!!"),"",IF(OR(J3157=0,AND(J3157=1,K3157=1),AND(J3157=1,I3157="SBJ"),AND(J3157=1,I3157=0)),"?IN_FOCUS",IF(J3157&lt;=2,"?ACTIVATED",IF(J3157&lt;&gt;"","?FAMILIAR",IF(F3157="NEW",IF(ISNA(VLOOKUP(E3157,#REF!,1,FALSE())),"?TYPE_IDENTIFIABLE","?REFERENTIAL"),"_")))))</f>
        <v> </v>
      </c>
      <c r="H3157" s="25" t="str">
        <f>IF(J3157&lt;&gt;1,"",IF(I3157="SBJ","CB","?"))</f>
        <v> </v>
      </c>
      <c r="I3157" s="26" t="str">
        <f>IF(OR(E3157="",E3157="!!!",F3157="NEW"),"",INDEX(B3156:B$2,-1+SUMPRODUCT(MAX(ROW(E3156:E$2)*(E3157=E3156:E$2)))))</f>
        <v> </v>
      </c>
      <c r="J3157" s="26" t="str">
        <f>IF(OR(E3157="",E3157="!!!",F3157="NEW"),"",COUNTBLANK(OFFSET(A$1,,,SUMPRODUCT(MAX(ROW(E$2:E3157)*(E3157=E$2:E3157)))))-COUNTBLANK(OFFSET(A$1,,,SUMPRODUCT(MAX(ROW(E$1:E3156)*(E2=E$1:E3156))))))</f>
        <v> </v>
      </c>
      <c r="K3157" s="26" t="str">
        <f>IF(OR(E3157="",E3157="!!!",F3157="NEW"),"",INDEX(J$1:J3156,SUMPRODUCT(MAX(ROW(E$1:E3156)*(E3157=E$1:E3156)))))</f>
        <v> </v>
      </c>
      <c r="L3157" s="27"/>
    </row>
    <row r="3158" spans="1:12">
      <c r="A3158" s="20" t="s">
        <v>1156</v>
      </c>
      <c r="B3158" s="21" t="s">
        <v>1540</v>
      </c>
      <c r="C3158" s="21" t="s">
        <v>1017</v>
      </c>
      <c r="D3158" s="21" t="s">
        <v>1007</v>
      </c>
      <c r="E3158" s="22">
        <f>IF(D3158="?OLD","!!!","")</f>
        <v/>
      </c>
      <c r="F3158" s="23" t="str">
        <f>IF(OR(E3158="",E3158="!!!"),"",IF(NOT(ISNA(VLOOKUP(E3158,E$1:E3157,1,FALSE()))),"OLD",IF(AND(E3158&lt;&gt;"",E3158&lt;&gt;"!!!"),"NEW","")))</f>
        <v> </v>
      </c>
      <c r="G3158" s="24" t="str">
        <f>IF(OR(E3158="",E3158="!!!"),"",IF(OR(J3158=0,AND(J3158=1,K3158=1),AND(J3158=1,I3158="SBJ"),AND(J3158=1,I3158=0)),"?IN_FOCUS",IF(J3158&lt;=2,"?ACTIVATED",IF(J3158&lt;&gt;"","?FAMILIAR",IF(F3158="NEW",IF(ISNA(VLOOKUP(E3158,#REF!,1,FALSE())),"?TYPE_IDENTIFIABLE","?REFERENTIAL"),"_")))))</f>
        <v> </v>
      </c>
      <c r="H3158" s="25" t="str">
        <f>IF(J3158&lt;&gt;1,"",IF(I3158="SBJ","CB","?"))</f>
        <v> </v>
      </c>
      <c r="I3158" s="26" t="str">
        <f>IF(OR(E3158="",E3158="!!!",F3158="NEW"),"",INDEX(B3157:B$2,-1+SUMPRODUCT(MAX(ROW(E3157:E$2)*(E3158=E3157:E$2)))))</f>
        <v> </v>
      </c>
      <c r="J3158" s="26" t="str">
        <f>IF(OR(E3158="",E3158="!!!",F3158="NEW"),"",COUNTBLANK(OFFSET(A$1,,,SUMPRODUCT(MAX(ROW(E$2:E3158)*(E3158=E$2:E3158)))))-COUNTBLANK(OFFSET(A$1,,,SUMPRODUCT(MAX(ROW(E$1:E3157)*(E2=E$1:E3157))))))</f>
        <v> </v>
      </c>
      <c r="K3158" s="26" t="str">
        <f>IF(OR(E3158="",E3158="!!!",F3158="NEW"),"",INDEX(J$1:J3157,SUMPRODUCT(MAX(ROW(E$1:E3157)*(E3158=E$1:E3157)))))</f>
        <v> </v>
      </c>
      <c r="L3158" s="27"/>
    </row>
    <row r="3159" spans="1:12">
      <c r="A3159" s="20" t="s">
        <v>1018</v>
      </c>
      <c r="E3159" s="22">
        <f>IF(D3159="?OLD","!!!","")</f>
        <v/>
      </c>
      <c r="F3159" s="23" t="str">
        <f>IF(OR(E3159="",E3159="!!!"),"",IF(NOT(ISNA(VLOOKUP(E3159,E$1:E3158,1,FALSE()))),"OLD",IF(AND(E3159&lt;&gt;"",E3159&lt;&gt;"!!!"),"NEW","")))</f>
        <v> </v>
      </c>
      <c r="G3159" s="24" t="str">
        <f>IF(OR(E3159="",E3159="!!!"),"",IF(OR(J3159=0,AND(J3159=1,K3159=1),AND(J3159=1,I3159="SBJ"),AND(J3159=1,I3159=0)),"?IN_FOCUS",IF(J3159&lt;=2,"?ACTIVATED",IF(J3159&lt;&gt;"","?FAMILIAR",IF(F3159="NEW",IF(ISNA(VLOOKUP(E3159,#REF!,1,FALSE())),"?TYPE_IDENTIFIABLE","?REFERENTIAL"),"_")))))</f>
        <v> </v>
      </c>
      <c r="H3159" s="25" t="str">
        <f>IF(J3159&lt;&gt;1,"",IF(I3159="SBJ","CB","?"))</f>
        <v> </v>
      </c>
      <c r="I3159" s="26" t="str">
        <f>IF(OR(E3159="",E3159="!!!",F3159="NEW"),"",INDEX(B3158:B$2,-1+SUMPRODUCT(MAX(ROW(E3158:E$2)*(E3159=E3158:E$2)))))</f>
        <v> </v>
      </c>
      <c r="J3159" s="26" t="str">
        <f>IF(OR(E3159="",E3159="!!!",F3159="NEW"),"",COUNTBLANK(OFFSET(A$1,,,SUMPRODUCT(MAX(ROW(E$2:E3159)*(E3159=E$2:E3159)))))-COUNTBLANK(OFFSET(A$1,,,SUMPRODUCT(MAX(ROW(E$1:E3158)*(E2=E$1:E3158))))))</f>
        <v> </v>
      </c>
      <c r="K3159" s="26" t="str">
        <f>IF(OR(E3159="",E3159="!!!",F3159="NEW"),"",INDEX(J$1:J3158,SUMPRODUCT(MAX(ROW(E$1:E3158)*(E3159=E$1:E3158)))))</f>
        <v> </v>
      </c>
      <c r="L3159" s="27"/>
    </row>
    <row r="3160" spans="1:12">
      <c r="A3160" s="20" t="s">
        <v>1065</v>
      </c>
      <c r="B3160" s="21" t="s">
        <v>1971</v>
      </c>
      <c r="E3160" s="22">
        <f>IF(D3160="?OLD","!!!","")</f>
        <v/>
      </c>
      <c r="F3160" s="23" t="str">
        <f>IF(OR(E3160="",E3160="!!!"),"",IF(NOT(ISNA(VLOOKUP(E3160,E$1:E3159,1,FALSE()))),"OLD",IF(AND(E3160&lt;&gt;"",E3160&lt;&gt;"!!!"),"NEW","")))</f>
        <v> </v>
      </c>
      <c r="G3160" s="24" t="str">
        <f>IF(OR(E3160="",E3160="!!!"),"",IF(OR(J3160=0,AND(J3160=1,K3160=1),AND(J3160=1,I3160="SBJ"),AND(J3160=1,I3160=0)),"?IN_FOCUS",IF(J3160&lt;=2,"?ACTIVATED",IF(J3160&lt;&gt;"","?FAMILIAR",IF(F3160="NEW",IF(ISNA(VLOOKUP(E3160,#REF!,1,FALSE())),"?TYPE_IDENTIFIABLE","?REFERENTIAL"),"_")))))</f>
        <v> </v>
      </c>
      <c r="H3160" s="25" t="str">
        <f>IF(J3160&lt;&gt;1,"",IF(I3160="SBJ","CB","?"))</f>
        <v> </v>
      </c>
      <c r="I3160" s="26" t="str">
        <f>IF(OR(E3160="",E3160="!!!",F3160="NEW"),"",INDEX(B3159:B$2,-1+SUMPRODUCT(MAX(ROW(E3159:E$2)*(E3160=E3159:E$2)))))</f>
        <v> </v>
      </c>
      <c r="J3160" s="26" t="str">
        <f>IF(OR(E3160="",E3160="!!!",F3160="NEW"),"",COUNTBLANK(OFFSET(A$1,,,SUMPRODUCT(MAX(ROW(E$2:E3160)*(E3160=E$2:E3160)))))-COUNTBLANK(OFFSET(A$1,,,SUMPRODUCT(MAX(ROW(E$1:E3159)*(E2=E$1:E3159))))))</f>
        <v> </v>
      </c>
      <c r="K3160" s="26" t="str">
        <f>IF(OR(E3160="",E3160="!!!",F3160="NEW"),"",INDEX(J$1:J3159,SUMPRODUCT(MAX(ROW(E$1:E3159)*(E3160=E$1:E3159)))))</f>
        <v> </v>
      </c>
      <c r="L3160" s="27"/>
    </row>
    <row r="3161" spans="1:12">
      <c r="A3161" s="20" t="s">
        <v>1015</v>
      </c>
      <c r="E3161" s="22">
        <f>IF(D3161="?OLD","!!!","")</f>
        <v/>
      </c>
      <c r="F3161" s="23" t="str">
        <f>IF(OR(E3161="",E3161="!!!"),"",IF(NOT(ISNA(VLOOKUP(E3161,E$1:E3160,1,FALSE()))),"OLD",IF(AND(E3161&lt;&gt;"",E3161&lt;&gt;"!!!"),"NEW","")))</f>
        <v> </v>
      </c>
      <c r="G3161" s="24" t="str">
        <f>IF(OR(E3161="",E3161="!!!"),"",IF(OR(J3161=0,AND(J3161=1,K3161=1),AND(J3161=1,I3161="SBJ"),AND(J3161=1,I3161=0)),"?IN_FOCUS",IF(J3161&lt;=2,"?ACTIVATED",IF(J3161&lt;&gt;"","?FAMILIAR",IF(F3161="NEW",IF(ISNA(VLOOKUP(E3161,#REF!,1,FALSE())),"?TYPE_IDENTIFIABLE","?REFERENTIAL"),"_")))))</f>
        <v> </v>
      </c>
      <c r="H3161" s="25" t="str">
        <f>IF(J3161&lt;&gt;1,"",IF(I3161="SBJ","CB","?"))</f>
        <v> </v>
      </c>
      <c r="I3161" s="26" t="str">
        <f>IF(OR(E3161="",E3161="!!!",F3161="NEW"),"",INDEX(B3160:B$2,-1+SUMPRODUCT(MAX(ROW(E3160:E$2)*(E3161=E3160:E$2)))))</f>
        <v> </v>
      </c>
      <c r="J3161" s="26" t="str">
        <f>IF(OR(E3161="",E3161="!!!",F3161="NEW"),"",COUNTBLANK(OFFSET(A$1,,,SUMPRODUCT(MAX(ROW(E$2:E3161)*(E3161=E$2:E3161)))))-COUNTBLANK(OFFSET(A$1,,,SUMPRODUCT(MAX(ROW(E$1:E3160)*(E2=E$1:E3160))))))</f>
        <v> </v>
      </c>
      <c r="K3161" s="26" t="str">
        <f>IF(OR(E3161="",E3161="!!!",F3161="NEW"),"",INDEX(J$1:J3160,SUMPRODUCT(MAX(ROW(E$1:E3160)*(E3161=E$1:E3160)))))</f>
        <v> </v>
      </c>
      <c r="L3161" s="27"/>
    </row>
    <row r="3162" spans="1:12">
      <c r="A3162" s="20" t="s">
        <v>1972</v>
      </c>
      <c r="B3162" s="21" t="s">
        <v>1973</v>
      </c>
      <c r="C3162" s="21" t="s">
        <v>1017</v>
      </c>
      <c r="D3162" s="21" t="s">
        <v>1007</v>
      </c>
      <c r="E3162" s="22">
        <f>IF(D3162="?OLD","!!!","")</f>
        <v/>
      </c>
      <c r="F3162" s="23" t="str">
        <f>IF(OR(E3162="",E3162="!!!"),"",IF(NOT(ISNA(VLOOKUP(E3162,E$1:E3161,1,FALSE()))),"OLD",IF(AND(E3162&lt;&gt;"",E3162&lt;&gt;"!!!"),"NEW","")))</f>
        <v> </v>
      </c>
      <c r="G3162" s="24" t="str">
        <f>IF(OR(E3162="",E3162="!!!"),"",IF(OR(J3162=0,AND(J3162=1,K3162=1),AND(J3162=1,I3162="SBJ"),AND(J3162=1,I3162=0)),"?IN_FOCUS",IF(J3162&lt;=2,"?ACTIVATED",IF(J3162&lt;&gt;"","?FAMILIAR",IF(F3162="NEW",IF(ISNA(VLOOKUP(E3162,#REF!,1,FALSE())),"?TYPE_IDENTIFIABLE","?REFERENTIAL"),"_")))))</f>
        <v> </v>
      </c>
      <c r="H3162" s="25" t="str">
        <f>IF(J3162&lt;&gt;1,"",IF(I3162="SBJ","CB","?"))</f>
        <v> </v>
      </c>
      <c r="I3162" s="26" t="str">
        <f>IF(OR(E3162="",E3162="!!!",F3162="NEW"),"",INDEX(B3161:B$2,-1+SUMPRODUCT(MAX(ROW(E3161:E$2)*(E3162=E3161:E$2)))))</f>
        <v> </v>
      </c>
      <c r="J3162" s="26" t="str">
        <f>IF(OR(E3162="",E3162="!!!",F3162="NEW"),"",COUNTBLANK(OFFSET(A$1,,,SUMPRODUCT(MAX(ROW(E$2:E3162)*(E3162=E$2:E3162)))))-COUNTBLANK(OFFSET(A$1,,,SUMPRODUCT(MAX(ROW(E$1:E3161)*(E2=E$1:E3161))))))</f>
        <v> </v>
      </c>
      <c r="K3162" s="26" t="str">
        <f>IF(OR(E3162="",E3162="!!!",F3162="NEW"),"",INDEX(J$1:J3161,SUMPRODUCT(MAX(ROW(E$1:E3161)*(E3162=E$1:E3161)))))</f>
        <v> </v>
      </c>
      <c r="L3162" s="27"/>
    </row>
    <row r="3163" spans="1:12">
      <c r="A3163" s="20" t="s">
        <v>1974</v>
      </c>
      <c r="E3163" s="22">
        <f>IF(D3163="?OLD","!!!","")</f>
        <v/>
      </c>
      <c r="F3163" s="23" t="str">
        <f>IF(OR(E3163="",E3163="!!!"),"",IF(NOT(ISNA(VLOOKUP(E3163,E$1:E3162,1,FALSE()))),"OLD",IF(AND(E3163&lt;&gt;"",E3163&lt;&gt;"!!!"),"NEW","")))</f>
        <v> </v>
      </c>
      <c r="G3163" s="24" t="str">
        <f>IF(OR(E3163="",E3163="!!!"),"",IF(OR(J3163=0,AND(J3163=1,K3163=1),AND(J3163=1,I3163="SBJ"),AND(J3163=1,I3163=0)),"?IN_FOCUS",IF(J3163&lt;=2,"?ACTIVATED",IF(J3163&lt;&gt;"","?FAMILIAR",IF(F3163="NEW",IF(ISNA(VLOOKUP(E3163,#REF!,1,FALSE())),"?TYPE_IDENTIFIABLE","?REFERENTIAL"),"_")))))</f>
        <v> </v>
      </c>
      <c r="H3163" s="25" t="str">
        <f>IF(J3163&lt;&gt;1,"",IF(I3163="SBJ","CB","?"))</f>
        <v> </v>
      </c>
      <c r="I3163" s="26" t="str">
        <f>IF(OR(E3163="",E3163="!!!",F3163="NEW"),"",INDEX(B3162:B$2,-1+SUMPRODUCT(MAX(ROW(E3162:E$2)*(E3163=E3162:E$2)))))</f>
        <v> </v>
      </c>
      <c r="J3163" s="26" t="str">
        <f>IF(OR(E3163="",E3163="!!!",F3163="NEW"),"",COUNTBLANK(OFFSET(A$1,,,SUMPRODUCT(MAX(ROW(E$2:E3163)*(E3163=E$2:E3163)))))-COUNTBLANK(OFFSET(A$1,,,SUMPRODUCT(MAX(ROW(E$1:E3162)*(E2=E$1:E3162))))))</f>
        <v> </v>
      </c>
      <c r="K3163" s="26" t="str">
        <f>IF(OR(E3163="",E3163="!!!",F3163="NEW"),"",INDEX(J$1:J3162,SUMPRODUCT(MAX(ROW(E$1:E3162)*(E3163=E$1:E3162)))))</f>
        <v> </v>
      </c>
      <c r="L3163" s="27"/>
    </row>
    <row r="3164" spans="1:12">
      <c r="A3164" s="20" t="s">
        <v>1880</v>
      </c>
      <c r="E3164" s="22">
        <f>IF(D3164="?OLD","!!!","")</f>
        <v/>
      </c>
      <c r="F3164" s="23" t="str">
        <f>IF(OR(E3164="",E3164="!!!"),"",IF(NOT(ISNA(VLOOKUP(E3164,E$1:E3163,1,FALSE()))),"OLD",IF(AND(E3164&lt;&gt;"",E3164&lt;&gt;"!!!"),"NEW","")))</f>
        <v> </v>
      </c>
      <c r="G3164" s="24" t="str">
        <f>IF(OR(E3164="",E3164="!!!"),"",IF(OR(J3164=0,AND(J3164=1,K3164=1),AND(J3164=1,I3164="SBJ"),AND(J3164=1,I3164=0)),"?IN_FOCUS",IF(J3164&lt;=2,"?ACTIVATED",IF(J3164&lt;&gt;"","?FAMILIAR",IF(F3164="NEW",IF(ISNA(VLOOKUP(E3164,#REF!,1,FALSE())),"?TYPE_IDENTIFIABLE","?REFERENTIAL"),"_")))))</f>
        <v> </v>
      </c>
      <c r="H3164" s="25" t="str">
        <f>IF(J3164&lt;&gt;1,"",IF(I3164="SBJ","CB","?"))</f>
        <v> </v>
      </c>
      <c r="I3164" s="26" t="str">
        <f>IF(OR(E3164="",E3164="!!!",F3164="NEW"),"",INDEX(B3163:B$2,-1+SUMPRODUCT(MAX(ROW(E3163:E$2)*(E3164=E3163:E$2)))))</f>
        <v> </v>
      </c>
      <c r="J3164" s="26" t="str">
        <f>IF(OR(E3164="",E3164="!!!",F3164="NEW"),"",COUNTBLANK(OFFSET(A$1,,,SUMPRODUCT(MAX(ROW(E$2:E3164)*(E3164=E$2:E3164)))))-COUNTBLANK(OFFSET(A$1,,,SUMPRODUCT(MAX(ROW(E$1:E3163)*(E2=E$1:E3163))))))</f>
        <v> </v>
      </c>
      <c r="K3164" s="26" t="str">
        <f>IF(OR(E3164="",E3164="!!!",F3164="NEW"),"",INDEX(J$1:J3163,SUMPRODUCT(MAX(ROW(E$1:E3163)*(E3164=E$1:E3163)))))</f>
        <v> </v>
      </c>
      <c r="L3164" s="27"/>
    </row>
    <row r="3165" spans="1:12">
      <c r="A3165" s="20" t="s">
        <v>1975</v>
      </c>
      <c r="B3165" s="21" t="s">
        <v>1971</v>
      </c>
      <c r="C3165" s="21" t="s">
        <v>1048</v>
      </c>
      <c r="E3165" s="22">
        <f>IF(D3165="?OLD","!!!","")</f>
        <v/>
      </c>
      <c r="F3165" s="23" t="str">
        <f>IF(OR(E3165="",E3165="!!!"),"",IF(NOT(ISNA(VLOOKUP(E3165,E$1:E3164,1,FALSE()))),"OLD",IF(AND(E3165&lt;&gt;"",E3165&lt;&gt;"!!!"),"NEW","")))</f>
        <v> </v>
      </c>
      <c r="G3165" s="24" t="str">
        <f>IF(OR(E3165="",E3165="!!!"),"",IF(OR(J3165=0,AND(J3165=1,K3165=1),AND(J3165=1,I3165="SBJ"),AND(J3165=1,I3165=0)),"?IN_FOCUS",IF(J3165&lt;=2,"?ACTIVATED",IF(J3165&lt;&gt;"","?FAMILIAR",IF(F3165="NEW",IF(ISNA(VLOOKUP(E3165,#REF!,1,FALSE())),"?TYPE_IDENTIFIABLE","?REFERENTIAL"),"_")))))</f>
        <v> </v>
      </c>
      <c r="H3165" s="25" t="str">
        <f>IF(J3165&lt;&gt;1,"",IF(I3165="SBJ","CB","?"))</f>
        <v> </v>
      </c>
      <c r="I3165" s="26" t="str">
        <f>IF(OR(E3165="",E3165="!!!",F3165="NEW"),"",INDEX(B3164:B$2,-1+SUMPRODUCT(MAX(ROW(E3164:E$2)*(E3165=E3164:E$2)))))</f>
        <v> </v>
      </c>
      <c r="J3165" s="26" t="str">
        <f>IF(OR(E3165="",E3165="!!!",F3165="NEW"),"",COUNTBLANK(OFFSET(A$1,,,SUMPRODUCT(MAX(ROW(E$2:E3165)*(E3165=E$2:E3165)))))-COUNTBLANK(OFFSET(A$1,,,SUMPRODUCT(MAX(ROW(E$1:E3164)*(E2=E$1:E3164))))))</f>
        <v> </v>
      </c>
      <c r="K3165" s="26" t="str">
        <f>IF(OR(E3165="",E3165="!!!",F3165="NEW"),"",INDEX(J$1:J3164,SUMPRODUCT(MAX(ROW(E$1:E3164)*(E3165=E$1:E3164)))))</f>
        <v> </v>
      </c>
      <c r="L3165" s="27"/>
    </row>
    <row r="3166" spans="1:12">
      <c r="A3166" s="20" t="s">
        <v>56</v>
      </c>
      <c r="E3166" s="22">
        <f>IF(D3166="?OLD","!!!","")</f>
        <v/>
      </c>
      <c r="F3166" s="23" t="str">
        <f>IF(OR(E3166="",E3166="!!!"),"",IF(NOT(ISNA(VLOOKUP(E3166,E$1:E3165,1,FALSE()))),"OLD",IF(AND(E3166&lt;&gt;"",E3166&lt;&gt;"!!!"),"NEW","")))</f>
        <v> </v>
      </c>
      <c r="G3166" s="24" t="str">
        <f>IF(OR(E3166="",E3166="!!!"),"",IF(OR(J3166=0,AND(J3166=1,K3166=1),AND(J3166=1,I3166="SBJ"),AND(J3166=1,I3166=0)),"?IN_FOCUS",IF(J3166&lt;=2,"?ACTIVATED",IF(J3166&lt;&gt;"","?FAMILIAR",IF(F3166="NEW",IF(ISNA(VLOOKUP(E3166,#REF!,1,FALSE())),"?TYPE_IDENTIFIABLE","?REFERENTIAL"),"_")))))</f>
        <v> </v>
      </c>
      <c r="H3166" s="25" t="str">
        <f>IF(J3166&lt;&gt;1,"",IF(I3166="SBJ","CB","?"))</f>
        <v> </v>
      </c>
      <c r="I3166" s="26" t="str">
        <f>IF(OR(E3166="",E3166="!!!",F3166="NEW"),"",INDEX(B3165:B$2,-1+SUMPRODUCT(MAX(ROW(E3165:E$2)*(E3166=E3165:E$2)))))</f>
        <v> </v>
      </c>
      <c r="J3166" s="26" t="str">
        <f>IF(OR(E3166="",E3166="!!!",F3166="NEW"),"",COUNTBLANK(OFFSET(A$1,,,SUMPRODUCT(MAX(ROW(E$2:E3166)*(E3166=E$2:E3166)))))-COUNTBLANK(OFFSET(A$1,,,SUMPRODUCT(MAX(ROW(E$1:E3165)*(E2=E$1:E3165))))))</f>
        <v> </v>
      </c>
      <c r="K3166" s="26" t="str">
        <f>IF(OR(E3166="",E3166="!!!",F3166="NEW"),"",INDEX(J$1:J3165,SUMPRODUCT(MAX(ROW(E$1:E3165)*(E3166=E$1:E3165)))))</f>
        <v> </v>
      </c>
      <c r="L3166" s="27"/>
    </row>
    <row r="3167" spans="1:12">
      <c r="A3167" s="20" t="s">
        <v>1015</v>
      </c>
      <c r="E3167" s="22">
        <f>IF(D3167="?OLD","!!!","")</f>
        <v/>
      </c>
      <c r="F3167" s="23" t="str">
        <f>IF(OR(E3167="",E3167="!!!"),"",IF(NOT(ISNA(VLOOKUP(E3167,E$1:E3166,1,FALSE()))),"OLD",IF(AND(E3167&lt;&gt;"",E3167&lt;&gt;"!!!"),"NEW","")))</f>
        <v> </v>
      </c>
      <c r="G3167" s="24" t="str">
        <f>IF(OR(E3167="",E3167="!!!"),"",IF(OR(J3167=0,AND(J3167=1,K3167=1),AND(J3167=1,I3167="SBJ"),AND(J3167=1,I3167=0)),"?IN_FOCUS",IF(J3167&lt;=2,"?ACTIVATED",IF(J3167&lt;&gt;"","?FAMILIAR",IF(F3167="NEW",IF(ISNA(VLOOKUP(E3167,#REF!,1,FALSE())),"?TYPE_IDENTIFIABLE","?REFERENTIAL"),"_")))))</f>
        <v> </v>
      </c>
      <c r="H3167" s="25" t="str">
        <f>IF(J3167&lt;&gt;1,"",IF(I3167="SBJ","CB","?"))</f>
        <v> </v>
      </c>
      <c r="I3167" s="26" t="str">
        <f>IF(OR(E3167="",E3167="!!!",F3167="NEW"),"",INDEX(B3166:B$2,-1+SUMPRODUCT(MAX(ROW(E3166:E$2)*(E3167=E3166:E$2)))))</f>
        <v> </v>
      </c>
      <c r="J3167" s="26" t="str">
        <f>IF(OR(E3167="",E3167="!!!",F3167="NEW"),"",COUNTBLANK(OFFSET(A$1,,,SUMPRODUCT(MAX(ROW(E$2:E3167)*(E3167=E$2:E3167)))))-COUNTBLANK(OFFSET(A$1,,,SUMPRODUCT(MAX(ROW(E$1:E3166)*(E2=E$1:E3166))))))</f>
        <v> </v>
      </c>
      <c r="K3167" s="26" t="str">
        <f>IF(OR(E3167="",E3167="!!!",F3167="NEW"),"",INDEX(J$1:J3166,SUMPRODUCT(MAX(ROW(E$1:E3166)*(E3167=E$1:E3166)))))</f>
        <v> </v>
      </c>
      <c r="L3167" s="27"/>
    </row>
    <row r="3168" spans="1:12">
      <c r="A3168" s="20" t="s">
        <v>1976</v>
      </c>
      <c r="B3168" s="21" t="s">
        <v>1793</v>
      </c>
      <c r="C3168" s="21" t="s">
        <v>1017</v>
      </c>
      <c r="D3168" s="21" t="s">
        <v>1007</v>
      </c>
      <c r="E3168" s="22">
        <f>IF(D3168="?OLD","!!!","")</f>
        <v/>
      </c>
      <c r="F3168" s="23" t="str">
        <f>IF(OR(E3168="",E3168="!!!"),"",IF(NOT(ISNA(VLOOKUP(E3168,E$1:E3167,1,FALSE()))),"OLD",IF(AND(E3168&lt;&gt;"",E3168&lt;&gt;"!!!"),"NEW","")))</f>
        <v> </v>
      </c>
      <c r="G3168" s="24" t="str">
        <f>IF(OR(E3168="",E3168="!!!"),"",IF(OR(J3168=0,AND(J3168=1,K3168=1),AND(J3168=1,I3168="SBJ"),AND(J3168=1,I3168=0)),"?IN_FOCUS",IF(J3168&lt;=2,"?ACTIVATED",IF(J3168&lt;&gt;"","?FAMILIAR",IF(F3168="NEW",IF(ISNA(VLOOKUP(E3168,#REF!,1,FALSE())),"?TYPE_IDENTIFIABLE","?REFERENTIAL"),"_")))))</f>
        <v> </v>
      </c>
      <c r="H3168" s="25" t="str">
        <f>IF(J3168&lt;&gt;1,"",IF(I3168="SBJ","CB","?"))</f>
        <v> </v>
      </c>
      <c r="I3168" s="26" t="str">
        <f>IF(OR(E3168="",E3168="!!!",F3168="NEW"),"",INDEX(B3167:B$2,-1+SUMPRODUCT(MAX(ROW(E3167:E$2)*(E3168=E3167:E$2)))))</f>
        <v> </v>
      </c>
      <c r="J3168" s="26" t="str">
        <f>IF(OR(E3168="",E3168="!!!",F3168="NEW"),"",COUNTBLANK(OFFSET(A$1,,,SUMPRODUCT(MAX(ROW(E$2:E3168)*(E3168=E$2:E3168)))))-COUNTBLANK(OFFSET(A$1,,,SUMPRODUCT(MAX(ROW(E$1:E3167)*(E2=E$1:E3167))))))</f>
        <v> </v>
      </c>
      <c r="K3168" s="26" t="str">
        <f>IF(OR(E3168="",E3168="!!!",F3168="NEW"),"",INDEX(J$1:J3167,SUMPRODUCT(MAX(ROW(E$1:E3167)*(E3168=E$1:E3167)))))</f>
        <v> </v>
      </c>
      <c r="L3168" s="27"/>
    </row>
    <row r="3169" spans="1:12">
      <c r="A3169" s="20" t="s">
        <v>1974</v>
      </c>
      <c r="E3169" s="22">
        <f>IF(D3169="?OLD","!!!","")</f>
        <v/>
      </c>
      <c r="F3169" s="23" t="str">
        <f>IF(OR(E3169="",E3169="!!!"),"",IF(NOT(ISNA(VLOOKUP(E3169,E$1:E3168,1,FALSE()))),"OLD",IF(AND(E3169&lt;&gt;"",E3169&lt;&gt;"!!!"),"NEW","")))</f>
        <v> </v>
      </c>
      <c r="G3169" s="24" t="str">
        <f>IF(OR(E3169="",E3169="!!!"),"",IF(OR(J3169=0,AND(J3169=1,K3169=1),AND(J3169=1,I3169="SBJ"),AND(J3169=1,I3169=0)),"?IN_FOCUS",IF(J3169&lt;=2,"?ACTIVATED",IF(J3169&lt;&gt;"","?FAMILIAR",IF(F3169="NEW",IF(ISNA(VLOOKUP(E3169,#REF!,1,FALSE())),"?TYPE_IDENTIFIABLE","?REFERENTIAL"),"_")))))</f>
        <v> </v>
      </c>
      <c r="H3169" s="25" t="str">
        <f>IF(J3169&lt;&gt;1,"",IF(I3169="SBJ","CB","?"))</f>
        <v> </v>
      </c>
      <c r="I3169" s="26" t="str">
        <f>IF(OR(E3169="",E3169="!!!",F3169="NEW"),"",INDEX(B3168:B$2,-1+SUMPRODUCT(MAX(ROW(E3168:E$2)*(E3169=E3168:E$2)))))</f>
        <v> </v>
      </c>
      <c r="J3169" s="26" t="str">
        <f>IF(OR(E3169="",E3169="!!!",F3169="NEW"),"",COUNTBLANK(OFFSET(A$1,,,SUMPRODUCT(MAX(ROW(E$2:E3169)*(E3169=E$2:E3169)))))-COUNTBLANK(OFFSET(A$1,,,SUMPRODUCT(MAX(ROW(E$1:E3168)*(E2=E$1:E3168))))))</f>
        <v> </v>
      </c>
      <c r="K3169" s="26" t="str">
        <f>IF(OR(E3169="",E3169="!!!",F3169="NEW"),"",INDEX(J$1:J3168,SUMPRODUCT(MAX(ROW(E$1:E3168)*(E3169=E$1:E3168)))))</f>
        <v> </v>
      </c>
      <c r="L3169" s="27"/>
    </row>
    <row r="3170" spans="1:12">
      <c r="A3170" s="20" t="s">
        <v>118</v>
      </c>
      <c r="E3170" s="22">
        <f>IF(D3170="?OLD","!!!","")</f>
        <v/>
      </c>
      <c r="F3170" s="23" t="str">
        <f>IF(OR(E3170="",E3170="!!!"),"",IF(NOT(ISNA(VLOOKUP(E3170,E$1:E3169,1,FALSE()))),"OLD",IF(AND(E3170&lt;&gt;"",E3170&lt;&gt;"!!!"),"NEW","")))</f>
        <v> </v>
      </c>
      <c r="G3170" s="24" t="str">
        <f>IF(OR(E3170="",E3170="!!!"),"",IF(OR(J3170=0,AND(J3170=1,K3170=1),AND(J3170=1,I3170="SBJ"),AND(J3170=1,I3170=0)),"?IN_FOCUS",IF(J3170&lt;=2,"?ACTIVATED",IF(J3170&lt;&gt;"","?FAMILIAR",IF(F3170="NEW",IF(ISNA(VLOOKUP(E3170,#REF!,1,FALSE())),"?TYPE_IDENTIFIABLE","?REFERENTIAL"),"_")))))</f>
        <v> </v>
      </c>
      <c r="H3170" s="25" t="str">
        <f>IF(J3170&lt;&gt;1,"",IF(I3170="SBJ","CB","?"))</f>
        <v> </v>
      </c>
      <c r="I3170" s="26" t="str">
        <f>IF(OR(E3170="",E3170="!!!",F3170="NEW"),"",INDEX(B3169:B$2,-1+SUMPRODUCT(MAX(ROW(E3169:E$2)*(E3170=E3169:E$2)))))</f>
        <v> </v>
      </c>
      <c r="J3170" s="26" t="str">
        <f>IF(OR(E3170="",E3170="!!!",F3170="NEW"),"",COUNTBLANK(OFFSET(A$1,,,SUMPRODUCT(MAX(ROW(E$2:E3170)*(E3170=E$2:E3170)))))-COUNTBLANK(OFFSET(A$1,,,SUMPRODUCT(MAX(ROW(E$1:E3169)*(E2=E$1:E3169))))))</f>
        <v> </v>
      </c>
      <c r="K3170" s="26" t="str">
        <f>IF(OR(E3170="",E3170="!!!",F3170="NEW"),"",INDEX(J$1:J3169,SUMPRODUCT(MAX(ROW(E$1:E3169)*(E3170=E$1:E3169)))))</f>
        <v> </v>
      </c>
      <c r="L3170" s="27"/>
    </row>
    <row r="3171" spans="1:12">
      <c r="A3171" s="20" t="s">
        <v>1020</v>
      </c>
      <c r="E3171" s="22">
        <f>IF(D3171="?OLD","!!!","")</f>
        <v/>
      </c>
      <c r="F3171" s="23" t="str">
        <f>IF(OR(E3171="",E3171="!!!"),"",IF(NOT(ISNA(VLOOKUP(E3171,E$1:E3170,1,FALSE()))),"OLD",IF(AND(E3171&lt;&gt;"",E3171&lt;&gt;"!!!"),"NEW","")))</f>
        <v> </v>
      </c>
      <c r="G3171" s="24" t="str">
        <f>IF(OR(E3171="",E3171="!!!"),"",IF(OR(J3171=0,AND(J3171=1,K3171=1),AND(J3171=1,I3171="SBJ"),AND(J3171=1,I3171=0)),"?IN_FOCUS",IF(J3171&lt;=2,"?ACTIVATED",IF(J3171&lt;&gt;"","?FAMILIAR",IF(F3171="NEW",IF(ISNA(VLOOKUP(E3171,#REF!,1,FALSE())),"?TYPE_IDENTIFIABLE","?REFERENTIAL"),"_")))))</f>
        <v> </v>
      </c>
      <c r="H3171" s="25" t="str">
        <f>IF(J3171&lt;&gt;1,"",IF(I3171="SBJ","CB","?"))</f>
        <v> </v>
      </c>
      <c r="I3171" s="26" t="str">
        <f>IF(OR(E3171="",E3171="!!!",F3171="NEW"),"",INDEX(B3170:B$2,-1+SUMPRODUCT(MAX(ROW(E3170:E$2)*(E3171=E3170:E$2)))))</f>
        <v> </v>
      </c>
      <c r="J3171" s="26" t="str">
        <f>IF(OR(E3171="",E3171="!!!",F3171="NEW"),"",COUNTBLANK(OFFSET(A$1,,,SUMPRODUCT(MAX(ROW(E$2:E3171)*(E3171=E$2:E3171)))))-COUNTBLANK(OFFSET(A$1,,,SUMPRODUCT(MAX(ROW(E$1:E3170)*(E2=E$1:E3170))))))</f>
        <v> </v>
      </c>
      <c r="K3171" s="26" t="str">
        <f>IF(OR(E3171="",E3171="!!!",F3171="NEW"),"",INDEX(J$1:J3170,SUMPRODUCT(MAX(ROW(E$1:E3170)*(E3171=E$1:E3170)))))</f>
        <v> </v>
      </c>
      <c r="L3171" s="27"/>
    </row>
    <row r="3172" spans="1:12">
      <c r="A3172" s="20" t="s">
        <v>1977</v>
      </c>
      <c r="E3172" s="22">
        <f>IF(D3172="?OLD","!!!","")</f>
        <v/>
      </c>
      <c r="F3172" s="23" t="str">
        <f>IF(OR(E3172="",E3172="!!!"),"",IF(NOT(ISNA(VLOOKUP(E3172,E$1:E3171,1,FALSE()))),"OLD",IF(AND(E3172&lt;&gt;"",E3172&lt;&gt;"!!!"),"NEW","")))</f>
        <v> </v>
      </c>
      <c r="G3172" s="24" t="str">
        <f>IF(OR(E3172="",E3172="!!!"),"",IF(OR(J3172=0,AND(J3172=1,K3172=1),AND(J3172=1,I3172="SBJ"),AND(J3172=1,I3172=0)),"?IN_FOCUS",IF(J3172&lt;=2,"?ACTIVATED",IF(J3172&lt;&gt;"","?FAMILIAR",IF(F3172="NEW",IF(ISNA(VLOOKUP(E3172,#REF!,1,FALSE())),"?TYPE_IDENTIFIABLE","?REFERENTIAL"),"_")))))</f>
        <v> </v>
      </c>
      <c r="H3172" s="25" t="str">
        <f>IF(J3172&lt;&gt;1,"",IF(I3172="SBJ","CB","?"))</f>
        <v> </v>
      </c>
      <c r="I3172" s="26" t="str">
        <f>IF(OR(E3172="",E3172="!!!",F3172="NEW"),"",INDEX(B3171:B$2,-1+SUMPRODUCT(MAX(ROW(E3171:E$2)*(E3172=E3171:E$2)))))</f>
        <v> </v>
      </c>
      <c r="J3172" s="26" t="str">
        <f>IF(OR(E3172="",E3172="!!!",F3172="NEW"),"",COUNTBLANK(OFFSET(A$1,,,SUMPRODUCT(MAX(ROW(E$2:E3172)*(E3172=E$2:E3172)))))-COUNTBLANK(OFFSET(A$1,,,SUMPRODUCT(MAX(ROW(E$1:E3171)*(E2=E$1:E3171))))))</f>
        <v> </v>
      </c>
      <c r="K3172" s="26" t="str">
        <f>IF(OR(E3172="",E3172="!!!",F3172="NEW"),"",INDEX(J$1:J3171,SUMPRODUCT(MAX(ROW(E$1:E3171)*(E3172=E$1:E3171)))))</f>
        <v> </v>
      </c>
      <c r="L3172" s="27"/>
    </row>
    <row r="3173" spans="1:12">
      <c r="A3173" s="20" t="s">
        <v>1018</v>
      </c>
      <c r="E3173" s="22">
        <f>IF(D3173="?OLD","!!!","")</f>
        <v/>
      </c>
      <c r="F3173" s="23" t="str">
        <f>IF(OR(E3173="",E3173="!!!"),"",IF(NOT(ISNA(VLOOKUP(E3173,E$1:E3172,1,FALSE()))),"OLD",IF(AND(E3173&lt;&gt;"",E3173&lt;&gt;"!!!"),"NEW","")))</f>
        <v> </v>
      </c>
      <c r="G3173" s="24" t="str">
        <f>IF(OR(E3173="",E3173="!!!"),"",IF(OR(J3173=0,AND(J3173=1,K3173=1),AND(J3173=1,I3173="SBJ"),AND(J3173=1,I3173=0)),"?IN_FOCUS",IF(J3173&lt;=2,"?ACTIVATED",IF(J3173&lt;&gt;"","?FAMILIAR",IF(F3173="NEW",IF(ISNA(VLOOKUP(E3173,#REF!,1,FALSE())),"?TYPE_IDENTIFIABLE","?REFERENTIAL"),"_")))))</f>
        <v> </v>
      </c>
      <c r="H3173" s="25" t="str">
        <f>IF(J3173&lt;&gt;1,"",IF(I3173="SBJ","CB","?"))</f>
        <v> </v>
      </c>
      <c r="I3173" s="26" t="str">
        <f>IF(OR(E3173="",E3173="!!!",F3173="NEW"),"",INDEX(B3172:B$2,-1+SUMPRODUCT(MAX(ROW(E3172:E$2)*(E3173=E3172:E$2)))))</f>
        <v> </v>
      </c>
      <c r="J3173" s="26" t="str">
        <f>IF(OR(E3173="",E3173="!!!",F3173="NEW"),"",COUNTBLANK(OFFSET(A$1,,,SUMPRODUCT(MAX(ROW(E$2:E3173)*(E3173=E$2:E3173)))))-COUNTBLANK(OFFSET(A$1,,,SUMPRODUCT(MAX(ROW(E$1:E3172)*(E2=E$1:E3172))))))</f>
        <v> </v>
      </c>
      <c r="K3173" s="26" t="str">
        <f>IF(OR(E3173="",E3173="!!!",F3173="NEW"),"",INDEX(J$1:J3172,SUMPRODUCT(MAX(ROW(E$1:E3172)*(E3173=E$1:E3172)))))</f>
        <v> </v>
      </c>
      <c r="L3173" s="27"/>
    </row>
    <row r="3174" spans="1:12">
      <c r="A3174" s="20" t="s">
        <v>56</v>
      </c>
      <c r="E3174" s="22">
        <f>IF(D3174="?OLD","!!!","")</f>
        <v/>
      </c>
      <c r="F3174" s="23" t="str">
        <f>IF(OR(E3174="",E3174="!!!"),"",IF(NOT(ISNA(VLOOKUP(E3174,E$1:E3173,1,FALSE()))),"OLD",IF(AND(E3174&lt;&gt;"",E3174&lt;&gt;"!!!"),"NEW","")))</f>
        <v> </v>
      </c>
      <c r="G3174" s="24" t="str">
        <f>IF(OR(E3174="",E3174="!!!"),"",IF(OR(J3174=0,AND(J3174=1,K3174=1),AND(J3174=1,I3174="SBJ"),AND(J3174=1,I3174=0)),"?IN_FOCUS",IF(J3174&lt;=2,"?ACTIVATED",IF(J3174&lt;&gt;"","?FAMILIAR",IF(F3174="NEW",IF(ISNA(VLOOKUP(E3174,#REF!,1,FALSE())),"?TYPE_IDENTIFIABLE","?REFERENTIAL"),"_")))))</f>
        <v> </v>
      </c>
      <c r="H3174" s="25" t="str">
        <f>IF(J3174&lt;&gt;1,"",IF(I3174="SBJ","CB","?"))</f>
        <v> </v>
      </c>
      <c r="I3174" s="26" t="str">
        <f>IF(OR(E3174="",E3174="!!!",F3174="NEW"),"",INDEX(B3173:B$2,-1+SUMPRODUCT(MAX(ROW(E3173:E$2)*(E3174=E3173:E$2)))))</f>
        <v> </v>
      </c>
      <c r="J3174" s="26" t="str">
        <f>IF(OR(E3174="",E3174="!!!",F3174="NEW"),"",COUNTBLANK(OFFSET(A$1,,,SUMPRODUCT(MAX(ROW(E$2:E3174)*(E3174=E$2:E3174)))))-COUNTBLANK(OFFSET(A$1,,,SUMPRODUCT(MAX(ROW(E$1:E3173)*(E2=E$1:E3173))))))</f>
        <v> </v>
      </c>
      <c r="K3174" s="26" t="str">
        <f>IF(OR(E3174="",E3174="!!!",F3174="NEW"),"",INDEX(J$1:J3173,SUMPRODUCT(MAX(ROW(E$1:E3173)*(E3174=E$1:E3173)))))</f>
        <v> </v>
      </c>
      <c r="L3174" s="27"/>
    </row>
    <row r="3175" spans="1:12">
      <c r="A3175" s="20" t="s">
        <v>1978</v>
      </c>
      <c r="E3175" s="22">
        <f>IF(D3175="?OLD","!!!","")</f>
        <v/>
      </c>
      <c r="F3175" s="23" t="str">
        <f>IF(OR(E3175="",E3175="!!!"),"",IF(NOT(ISNA(VLOOKUP(E3175,E$1:E3174,1,FALSE()))),"OLD",IF(AND(E3175&lt;&gt;"",E3175&lt;&gt;"!!!"),"NEW","")))</f>
        <v> </v>
      </c>
      <c r="G3175" s="24" t="str">
        <f>IF(OR(E3175="",E3175="!!!"),"",IF(OR(J3175=0,AND(J3175=1,K3175=1),AND(J3175=1,I3175="SBJ"),AND(J3175=1,I3175=0)),"?IN_FOCUS",IF(J3175&lt;=2,"?ACTIVATED",IF(J3175&lt;&gt;"","?FAMILIAR",IF(F3175="NEW",IF(ISNA(VLOOKUP(E3175,#REF!,1,FALSE())),"?TYPE_IDENTIFIABLE","?REFERENTIAL"),"_")))))</f>
        <v> </v>
      </c>
      <c r="H3175" s="25" t="str">
        <f>IF(J3175&lt;&gt;1,"",IF(I3175="SBJ","CB","?"))</f>
        <v> </v>
      </c>
      <c r="I3175" s="26" t="str">
        <f>IF(OR(E3175="",E3175="!!!",F3175="NEW"),"",INDEX(B3174:B$2,-1+SUMPRODUCT(MAX(ROW(E3174:E$2)*(E3175=E3174:E$2)))))</f>
        <v> </v>
      </c>
      <c r="J3175" s="26" t="str">
        <f>IF(OR(E3175="",E3175="!!!",F3175="NEW"),"",COUNTBLANK(OFFSET(A$1,,,SUMPRODUCT(MAX(ROW(E$2:E3175)*(E3175=E$2:E3175)))))-COUNTBLANK(OFFSET(A$1,,,SUMPRODUCT(MAX(ROW(E$1:E3174)*(E2=E$1:E3174))))))</f>
        <v> </v>
      </c>
      <c r="K3175" s="26" t="str">
        <f>IF(OR(E3175="",E3175="!!!",F3175="NEW"),"",INDEX(J$1:J3174,SUMPRODUCT(MAX(ROW(E$1:E3174)*(E3175=E$1:E3174)))))</f>
        <v> </v>
      </c>
      <c r="L3175" s="27"/>
    </row>
    <row r="3176" spans="1:12">
      <c r="A3176" s="20" t="s">
        <v>1979</v>
      </c>
      <c r="E3176" s="22">
        <f>IF(D3176="?OLD","!!!","")</f>
        <v/>
      </c>
      <c r="F3176" s="23" t="str">
        <f>IF(OR(E3176="",E3176="!!!"),"",IF(NOT(ISNA(VLOOKUP(E3176,E$1:E3175,1,FALSE()))),"OLD",IF(AND(E3176&lt;&gt;"",E3176&lt;&gt;"!!!"),"NEW","")))</f>
        <v> </v>
      </c>
      <c r="G3176" s="24" t="str">
        <f>IF(OR(E3176="",E3176="!!!"),"",IF(OR(J3176=0,AND(J3176=1,K3176=1),AND(J3176=1,I3176="SBJ"),AND(J3176=1,I3176=0)),"?IN_FOCUS",IF(J3176&lt;=2,"?ACTIVATED",IF(J3176&lt;&gt;"","?FAMILIAR",IF(F3176="NEW",IF(ISNA(VLOOKUP(E3176,#REF!,1,FALSE())),"?TYPE_IDENTIFIABLE","?REFERENTIAL"),"_")))))</f>
        <v> </v>
      </c>
      <c r="H3176" s="25" t="str">
        <f>IF(J3176&lt;&gt;1,"",IF(I3176="SBJ","CB","?"))</f>
        <v> </v>
      </c>
      <c r="I3176" s="26" t="str">
        <f>IF(OR(E3176="",E3176="!!!",F3176="NEW"),"",INDEX(B3175:B$2,-1+SUMPRODUCT(MAX(ROW(E3175:E$2)*(E3176=E3175:E$2)))))</f>
        <v> </v>
      </c>
      <c r="J3176" s="26" t="str">
        <f>IF(OR(E3176="",E3176="!!!",F3176="NEW"),"",COUNTBLANK(OFFSET(A$1,,,SUMPRODUCT(MAX(ROW(E$2:E3176)*(E3176=E$2:E3176)))))-COUNTBLANK(OFFSET(A$1,,,SUMPRODUCT(MAX(ROW(E$1:E3175)*(E2=E$1:E3175))))))</f>
        <v> </v>
      </c>
      <c r="K3176" s="26" t="str">
        <f>IF(OR(E3176="",E3176="!!!",F3176="NEW"),"",INDEX(J$1:J3175,SUMPRODUCT(MAX(ROW(E$1:E3175)*(E3176=E$1:E3175)))))</f>
        <v> </v>
      </c>
      <c r="L3176" s="27"/>
    </row>
    <row r="3177" spans="1:12">
      <c r="A3177" s="20" t="s">
        <v>1020</v>
      </c>
      <c r="E3177" s="22">
        <f>IF(D3177="?OLD","!!!","")</f>
        <v/>
      </c>
      <c r="F3177" s="23" t="str">
        <f>IF(OR(E3177="",E3177="!!!"),"",IF(NOT(ISNA(VLOOKUP(E3177,E$1:E3176,1,FALSE()))),"OLD",IF(AND(E3177&lt;&gt;"",E3177&lt;&gt;"!!!"),"NEW","")))</f>
        <v> </v>
      </c>
      <c r="G3177" s="24" t="str">
        <f>IF(OR(E3177="",E3177="!!!"),"",IF(OR(J3177=0,AND(J3177=1,K3177=1),AND(J3177=1,I3177="SBJ"),AND(J3177=1,I3177=0)),"?IN_FOCUS",IF(J3177&lt;=2,"?ACTIVATED",IF(J3177&lt;&gt;"","?FAMILIAR",IF(F3177="NEW",IF(ISNA(VLOOKUP(E3177,#REF!,1,FALSE())),"?TYPE_IDENTIFIABLE","?REFERENTIAL"),"_")))))</f>
        <v> </v>
      </c>
      <c r="H3177" s="25" t="str">
        <f>IF(J3177&lt;&gt;1,"",IF(I3177="SBJ","CB","?"))</f>
        <v> </v>
      </c>
      <c r="I3177" s="26" t="str">
        <f>IF(OR(E3177="",E3177="!!!",F3177="NEW"),"",INDEX(B3176:B$2,-1+SUMPRODUCT(MAX(ROW(E3176:E$2)*(E3177=E3176:E$2)))))</f>
        <v> </v>
      </c>
      <c r="J3177" s="26" t="str">
        <f>IF(OR(E3177="",E3177="!!!",F3177="NEW"),"",COUNTBLANK(OFFSET(A$1,,,SUMPRODUCT(MAX(ROW(E$2:E3177)*(E3177=E$2:E3177)))))-COUNTBLANK(OFFSET(A$1,,,SUMPRODUCT(MAX(ROW(E$1:E3176)*(E2=E$1:E3176))))))</f>
        <v> </v>
      </c>
      <c r="K3177" s="26" t="str">
        <f>IF(OR(E3177="",E3177="!!!",F3177="NEW"),"",INDEX(J$1:J3176,SUMPRODUCT(MAX(ROW(E$1:E3176)*(E3177=E$1:E3176)))))</f>
        <v> </v>
      </c>
      <c r="L3177" s="27"/>
    </row>
    <row r="3178" spans="1:12">
      <c r="A3178" s="20" t="s">
        <v>93</v>
      </c>
      <c r="E3178" s="22">
        <f>IF(D3178="?OLD","!!!","")</f>
        <v/>
      </c>
      <c r="F3178" s="23" t="str">
        <f>IF(OR(E3178="",E3178="!!!"),"",IF(NOT(ISNA(VLOOKUP(E3178,E$1:E3177,1,FALSE()))),"OLD",IF(AND(E3178&lt;&gt;"",E3178&lt;&gt;"!!!"),"NEW","")))</f>
        <v> </v>
      </c>
      <c r="G3178" s="24" t="str">
        <f>IF(OR(E3178="",E3178="!!!"),"",IF(OR(J3178=0,AND(J3178=1,K3178=1),AND(J3178=1,I3178="SBJ"),AND(J3178=1,I3178=0)),"?IN_FOCUS",IF(J3178&lt;=2,"?ACTIVATED",IF(J3178&lt;&gt;"","?FAMILIAR",IF(F3178="NEW",IF(ISNA(VLOOKUP(E3178,#REF!,1,FALSE())),"?TYPE_IDENTIFIABLE","?REFERENTIAL"),"_")))))</f>
        <v> </v>
      </c>
      <c r="H3178" s="25" t="str">
        <f>IF(J3178&lt;&gt;1,"",IF(I3178="SBJ","CB","?"))</f>
        <v> </v>
      </c>
      <c r="I3178" s="26" t="str">
        <f>IF(OR(E3178="",E3178="!!!",F3178="NEW"),"",INDEX(B3177:B$2,-1+SUMPRODUCT(MAX(ROW(E3177:E$2)*(E3178=E3177:E$2)))))</f>
        <v> </v>
      </c>
      <c r="J3178" s="26" t="str">
        <f>IF(OR(E3178="",E3178="!!!",F3178="NEW"),"",COUNTBLANK(OFFSET(A$1,,,SUMPRODUCT(MAX(ROW(E$2:E3178)*(E3178=E$2:E3178)))))-COUNTBLANK(OFFSET(A$1,,,SUMPRODUCT(MAX(ROW(E$1:E3177)*(E2=E$1:E3177))))))</f>
        <v> </v>
      </c>
      <c r="K3178" s="26" t="str">
        <f>IF(OR(E3178="",E3178="!!!",F3178="NEW"),"",INDEX(J$1:J3177,SUMPRODUCT(MAX(ROW(E$1:E3177)*(E3178=E$1:E3177)))))</f>
        <v> </v>
      </c>
      <c r="L3178" s="27"/>
    </row>
    <row r="3179" spans="1:12">
      <c r="A3179" s="20" t="s">
        <v>1065</v>
      </c>
      <c r="E3179" s="22">
        <f>IF(D3179="?OLD","!!!","")</f>
        <v/>
      </c>
      <c r="F3179" s="23" t="str">
        <f>IF(OR(E3179="",E3179="!!!"),"",IF(NOT(ISNA(VLOOKUP(E3179,E$1:E3178,1,FALSE()))),"OLD",IF(AND(E3179&lt;&gt;"",E3179&lt;&gt;"!!!"),"NEW","")))</f>
        <v> </v>
      </c>
      <c r="G3179" s="24" t="str">
        <f>IF(OR(E3179="",E3179="!!!"),"",IF(OR(J3179=0,AND(J3179=1,K3179=1),AND(J3179=1,I3179="SBJ"),AND(J3179=1,I3179=0)),"?IN_FOCUS",IF(J3179&lt;=2,"?ACTIVATED",IF(J3179&lt;&gt;"","?FAMILIAR",IF(F3179="NEW",IF(ISNA(VLOOKUP(E3179,#REF!,1,FALSE())),"?TYPE_IDENTIFIABLE","?REFERENTIAL"),"_")))))</f>
        <v> </v>
      </c>
      <c r="H3179" s="25" t="str">
        <f>IF(J3179&lt;&gt;1,"",IF(I3179="SBJ","CB","?"))</f>
        <v> </v>
      </c>
      <c r="I3179" s="26" t="str">
        <f>IF(OR(E3179="",E3179="!!!",F3179="NEW"),"",INDEX(B3178:B$2,-1+SUMPRODUCT(MAX(ROW(E3178:E$2)*(E3179=E3178:E$2)))))</f>
        <v> </v>
      </c>
      <c r="J3179" s="26" t="str">
        <f>IF(OR(E3179="",E3179="!!!",F3179="NEW"),"",COUNTBLANK(OFFSET(A$1,,,SUMPRODUCT(MAX(ROW(E$2:E3179)*(E3179=E$2:E3179)))))-COUNTBLANK(OFFSET(A$1,,,SUMPRODUCT(MAX(ROW(E$1:E3178)*(E2=E$1:E3178))))))</f>
        <v> </v>
      </c>
      <c r="K3179" s="26" t="str">
        <f>IF(OR(E3179="",E3179="!!!",F3179="NEW"),"",INDEX(J$1:J3178,SUMPRODUCT(MAX(ROW(E$1:E3178)*(E3179=E$1:E3178)))))</f>
        <v> </v>
      </c>
      <c r="L3179" s="27"/>
    </row>
    <row r="3180" spans="1:12">
      <c r="A3180" s="20" t="s">
        <v>1075</v>
      </c>
      <c r="E3180" s="22">
        <f>IF(D3180="?OLD","!!!","")</f>
        <v/>
      </c>
      <c r="F3180" s="23" t="str">
        <f>IF(OR(E3180="",E3180="!!!"),"",IF(NOT(ISNA(VLOOKUP(E3180,E$1:E3179,1,FALSE()))),"OLD",IF(AND(E3180&lt;&gt;"",E3180&lt;&gt;"!!!"),"NEW","")))</f>
        <v> </v>
      </c>
      <c r="G3180" s="24" t="str">
        <f>IF(OR(E3180="",E3180="!!!"),"",IF(OR(J3180=0,AND(J3180=1,K3180=1),AND(J3180=1,I3180="SBJ"),AND(J3180=1,I3180=0)),"?IN_FOCUS",IF(J3180&lt;=2,"?ACTIVATED",IF(J3180&lt;&gt;"","?FAMILIAR",IF(F3180="NEW",IF(ISNA(VLOOKUP(E3180,#REF!,1,FALSE())),"?TYPE_IDENTIFIABLE","?REFERENTIAL"),"_")))))</f>
        <v> </v>
      </c>
      <c r="H3180" s="25" t="str">
        <f>IF(J3180&lt;&gt;1,"",IF(I3180="SBJ","CB","?"))</f>
        <v> </v>
      </c>
      <c r="I3180" s="26" t="str">
        <f>IF(OR(E3180="",E3180="!!!",F3180="NEW"),"",INDEX(B3179:B$2,-1+SUMPRODUCT(MAX(ROW(E3179:E$2)*(E3180=E3179:E$2)))))</f>
        <v> </v>
      </c>
      <c r="J3180" s="26" t="str">
        <f>IF(OR(E3180="",E3180="!!!",F3180="NEW"),"",COUNTBLANK(OFFSET(A$1,,,SUMPRODUCT(MAX(ROW(E$2:E3180)*(E3180=E$2:E3180)))))-COUNTBLANK(OFFSET(A$1,,,SUMPRODUCT(MAX(ROW(E$1:E3179)*(E2=E$1:E3179))))))</f>
        <v> </v>
      </c>
      <c r="K3180" s="26" t="str">
        <f>IF(OR(E3180="",E3180="!!!",F3180="NEW"),"",INDEX(J$1:J3179,SUMPRODUCT(MAX(ROW(E$1:E3179)*(E3180=E$1:E3179)))))</f>
        <v> </v>
      </c>
      <c r="L3180" s="27"/>
    </row>
    <row r="3181" spans="1:12">
      <c r="A3181" s="20" t="s">
        <v>1199</v>
      </c>
      <c r="E3181" s="22">
        <f>IF(D3181="?OLD","!!!","")</f>
        <v/>
      </c>
      <c r="F3181" s="23" t="str">
        <f>IF(OR(E3181="",E3181="!!!"),"",IF(NOT(ISNA(VLOOKUP(E3181,E$1:E3180,1,FALSE()))),"OLD",IF(AND(E3181&lt;&gt;"",E3181&lt;&gt;"!!!"),"NEW","")))</f>
        <v> </v>
      </c>
      <c r="G3181" s="24" t="str">
        <f>IF(OR(E3181="",E3181="!!!"),"",IF(OR(J3181=0,AND(J3181=1,K3181=1),AND(J3181=1,I3181="SBJ"),AND(J3181=1,I3181=0)),"?IN_FOCUS",IF(J3181&lt;=2,"?ACTIVATED",IF(J3181&lt;&gt;"","?FAMILIAR",IF(F3181="NEW",IF(ISNA(VLOOKUP(E3181,#REF!,1,FALSE())),"?TYPE_IDENTIFIABLE","?REFERENTIAL"),"_")))))</f>
        <v> </v>
      </c>
      <c r="H3181" s="25" t="str">
        <f>IF(J3181&lt;&gt;1,"",IF(I3181="SBJ","CB","?"))</f>
        <v> </v>
      </c>
      <c r="I3181" s="26" t="str">
        <f>IF(OR(E3181="",E3181="!!!",F3181="NEW"),"",INDEX(B3180:B$2,-1+SUMPRODUCT(MAX(ROW(E3180:E$2)*(E3181=E3180:E$2)))))</f>
        <v> </v>
      </c>
      <c r="J3181" s="26" t="str">
        <f>IF(OR(E3181="",E3181="!!!",F3181="NEW"),"",COUNTBLANK(OFFSET(A$1,,,SUMPRODUCT(MAX(ROW(E$2:E3181)*(E3181=E$2:E3181)))))-COUNTBLANK(OFFSET(A$1,,,SUMPRODUCT(MAX(ROW(E$1:E3180)*(E2=E$1:E3180))))))</f>
        <v> </v>
      </c>
      <c r="K3181" s="26" t="str">
        <f>IF(OR(E3181="",E3181="!!!",F3181="NEW"),"",INDEX(J$1:J3180,SUMPRODUCT(MAX(ROW(E$1:E3180)*(E3181=E$1:E3180)))))</f>
        <v> </v>
      </c>
      <c r="L3181" s="27"/>
    </row>
    <row r="3182" spans="1:12">
      <c r="A3182" s="20" t="s">
        <v>1324</v>
      </c>
      <c r="E3182" s="22">
        <f>IF(D3182="?OLD","!!!","")</f>
        <v/>
      </c>
      <c r="F3182" s="23" t="str">
        <f>IF(OR(E3182="",E3182="!!!"),"",IF(NOT(ISNA(VLOOKUP(E3182,E$1:E3181,1,FALSE()))),"OLD",IF(AND(E3182&lt;&gt;"",E3182&lt;&gt;"!!!"),"NEW","")))</f>
        <v> </v>
      </c>
      <c r="G3182" s="24" t="str">
        <f>IF(OR(E3182="",E3182="!!!"),"",IF(OR(J3182=0,AND(J3182=1,K3182=1),AND(J3182=1,I3182="SBJ"),AND(J3182=1,I3182=0)),"?IN_FOCUS",IF(J3182&lt;=2,"?ACTIVATED",IF(J3182&lt;&gt;"","?FAMILIAR",IF(F3182="NEW",IF(ISNA(VLOOKUP(E3182,#REF!,1,FALSE())),"?TYPE_IDENTIFIABLE","?REFERENTIAL"),"_")))))</f>
        <v> </v>
      </c>
      <c r="H3182" s="25" t="str">
        <f>IF(J3182&lt;&gt;1,"",IF(I3182="SBJ","CB","?"))</f>
        <v> </v>
      </c>
      <c r="I3182" s="26" t="str">
        <f>IF(OR(E3182="",E3182="!!!",F3182="NEW"),"",INDEX(B3181:B$2,-1+SUMPRODUCT(MAX(ROW(E3181:E$2)*(E3182=E3181:E$2)))))</f>
        <v> </v>
      </c>
      <c r="J3182" s="26" t="str">
        <f>IF(OR(E3182="",E3182="!!!",F3182="NEW"),"",COUNTBLANK(OFFSET(A$1,,,SUMPRODUCT(MAX(ROW(E$2:E3182)*(E3182=E$2:E3182)))))-COUNTBLANK(OFFSET(A$1,,,SUMPRODUCT(MAX(ROW(E$1:E3181)*(E2=E$1:E3181))))))</f>
        <v> </v>
      </c>
      <c r="K3182" s="26" t="str">
        <f>IF(OR(E3182="",E3182="!!!",F3182="NEW"),"",INDEX(J$1:J3181,SUMPRODUCT(MAX(ROW(E$1:E3181)*(E3182=E$1:E3181)))))</f>
        <v> </v>
      </c>
      <c r="L3182" s="27"/>
    </row>
    <row r="3183" spans="1:12">
      <c r="A3183" s="20" t="s">
        <v>1940</v>
      </c>
      <c r="B3183" s="21" t="s">
        <v>1130</v>
      </c>
      <c r="C3183" s="21" t="s">
        <v>1013</v>
      </c>
      <c r="D3183" s="21" t="s">
        <v>1007</v>
      </c>
      <c r="E3183" s="22">
        <f>IF(D3183="?OLD","!!!","")</f>
        <v/>
      </c>
      <c r="F3183" s="23" t="str">
        <f>IF(OR(E3183="",E3183="!!!"),"",IF(NOT(ISNA(VLOOKUP(E3183,E$1:E3182,1,FALSE()))),"OLD",IF(AND(E3183&lt;&gt;"",E3183&lt;&gt;"!!!"),"NEW","")))</f>
        <v> </v>
      </c>
      <c r="G3183" s="24" t="str">
        <f>IF(OR(E3183="",E3183="!!!"),"",IF(OR(J3183=0,AND(J3183=1,K3183=1),AND(J3183=1,I3183="SBJ"),AND(J3183=1,I3183=0)),"?IN_FOCUS",IF(J3183&lt;=2,"?ACTIVATED",IF(J3183&lt;&gt;"","?FAMILIAR",IF(F3183="NEW",IF(ISNA(VLOOKUP(E3183,#REF!,1,FALSE())),"?TYPE_IDENTIFIABLE","?REFERENTIAL"),"_")))))</f>
        <v> </v>
      </c>
      <c r="H3183" s="25" t="str">
        <f>IF(J3183&lt;&gt;1,"",IF(I3183="SBJ","CB","?"))</f>
        <v> </v>
      </c>
      <c r="I3183" s="26" t="str">
        <f>IF(OR(E3183="",E3183="!!!",F3183="NEW"),"",INDEX(B3182:B$2,-1+SUMPRODUCT(MAX(ROW(E3182:E$2)*(E3183=E3182:E$2)))))</f>
        <v> </v>
      </c>
      <c r="J3183" s="26" t="str">
        <f>IF(OR(E3183="",E3183="!!!",F3183="NEW"),"",COUNTBLANK(OFFSET(A$1,,,SUMPRODUCT(MAX(ROW(E$2:E3183)*(E3183=E$2:E3183)))))-COUNTBLANK(OFFSET(A$1,,,SUMPRODUCT(MAX(ROW(E$1:E3182)*(E2=E$1:E3182))))))</f>
        <v> </v>
      </c>
      <c r="K3183" s="26" t="str">
        <f>IF(OR(E3183="",E3183="!!!",F3183="NEW"),"",INDEX(J$1:J3182,SUMPRODUCT(MAX(ROW(E$1:E3182)*(E3183=E$1:E3182)))))</f>
        <v> </v>
      </c>
      <c r="L3183" s="27"/>
    </row>
    <row r="3184" spans="1:12">
      <c r="A3184" s="20" t="s">
        <v>1014</v>
      </c>
      <c r="E3184" s="22">
        <f>IF(D3184="?OLD","!!!","")</f>
        <v/>
      </c>
      <c r="F3184" s="23" t="str">
        <f>IF(OR(E3184="",E3184="!!!"),"",IF(NOT(ISNA(VLOOKUP(E3184,E$1:E3183,1,FALSE()))),"OLD",IF(AND(E3184&lt;&gt;"",E3184&lt;&gt;"!!!"),"NEW","")))</f>
        <v> </v>
      </c>
      <c r="G3184" s="24" t="str">
        <f>IF(OR(E3184="",E3184="!!!"),"",IF(OR(J3184=0,AND(J3184=1,K3184=1),AND(J3184=1,I3184="SBJ"),AND(J3184=1,I3184=0)),"?IN_FOCUS",IF(J3184&lt;=2,"?ACTIVATED",IF(J3184&lt;&gt;"","?FAMILIAR",IF(F3184="NEW",IF(ISNA(VLOOKUP(E3184,#REF!,1,FALSE())),"?TYPE_IDENTIFIABLE","?REFERENTIAL"),"_")))))</f>
        <v> </v>
      </c>
      <c r="H3184" s="25" t="str">
        <f>IF(J3184&lt;&gt;1,"",IF(I3184="SBJ","CB","?"))</f>
        <v> </v>
      </c>
      <c r="I3184" s="26" t="str">
        <f>IF(OR(E3184="",E3184="!!!",F3184="NEW"),"",INDEX(B3183:B$2,-1+SUMPRODUCT(MAX(ROW(E3183:E$2)*(E3184=E3183:E$2)))))</f>
        <v> </v>
      </c>
      <c r="J3184" s="26" t="str">
        <f>IF(OR(E3184="",E3184="!!!",F3184="NEW"),"",COUNTBLANK(OFFSET(A$1,,,SUMPRODUCT(MAX(ROW(E$2:E3184)*(E3184=E$2:E3184)))))-COUNTBLANK(OFFSET(A$1,,,SUMPRODUCT(MAX(ROW(E$1:E3183)*(E2=E$1:E3183))))))</f>
        <v> </v>
      </c>
      <c r="K3184" s="26" t="str">
        <f>IF(OR(E3184="",E3184="!!!",F3184="NEW"),"",INDEX(J$1:J3183,SUMPRODUCT(MAX(ROW(E$1:E3183)*(E3184=E$1:E3183)))))</f>
        <v> </v>
      </c>
      <c r="L3184" s="27"/>
    </row>
    <row r="3185" spans="1:12">
      <c r="A3185" s="20" t="s">
        <v>1941</v>
      </c>
      <c r="B3185" s="21" t="s">
        <v>1040</v>
      </c>
      <c r="C3185" s="21" t="s">
        <v>1048</v>
      </c>
      <c r="E3185" s="22">
        <f>IF(D3185="?OLD","!!!","")</f>
        <v/>
      </c>
      <c r="F3185" s="23" t="str">
        <f>IF(OR(E3185="",E3185="!!!"),"",IF(NOT(ISNA(VLOOKUP(E3185,E$1:E3184,1,FALSE()))),"OLD",IF(AND(E3185&lt;&gt;"",E3185&lt;&gt;"!!!"),"NEW","")))</f>
        <v> </v>
      </c>
      <c r="G3185" s="24" t="str">
        <f>IF(OR(E3185="",E3185="!!!"),"",IF(OR(J3185=0,AND(J3185=1,K3185=1),AND(J3185=1,I3185="SBJ"),AND(J3185=1,I3185=0)),"?IN_FOCUS",IF(J3185&lt;=2,"?ACTIVATED",IF(J3185&lt;&gt;"","?FAMILIAR",IF(F3185="NEW",IF(ISNA(VLOOKUP(E3185,#REF!,1,FALSE())),"?TYPE_IDENTIFIABLE","?REFERENTIAL"),"_")))))</f>
        <v> </v>
      </c>
      <c r="H3185" s="25" t="str">
        <f>IF(J3185&lt;&gt;1,"",IF(I3185="SBJ","CB","?"))</f>
        <v> </v>
      </c>
      <c r="I3185" s="26" t="str">
        <f>IF(OR(E3185="",E3185="!!!",F3185="NEW"),"",INDEX(B3184:B$2,-1+SUMPRODUCT(MAX(ROW(E3184:E$2)*(E3185=E3184:E$2)))))</f>
        <v> </v>
      </c>
      <c r="J3185" s="26" t="str">
        <f>IF(OR(E3185="",E3185="!!!",F3185="NEW"),"",COUNTBLANK(OFFSET(A$1,,,SUMPRODUCT(MAX(ROW(E$2:E3185)*(E3185=E$2:E3185)))))-COUNTBLANK(OFFSET(A$1,,,SUMPRODUCT(MAX(ROW(E$1:E3184)*(E2=E$1:E3184))))))</f>
        <v> </v>
      </c>
      <c r="K3185" s="26" t="str">
        <f>IF(OR(E3185="",E3185="!!!",F3185="NEW"),"",INDEX(J$1:J3184,SUMPRODUCT(MAX(ROW(E$1:E3184)*(E3185=E$1:E3184)))))</f>
        <v> </v>
      </c>
      <c r="L3185" s="27"/>
    </row>
    <row r="3186" spans="1:12">
      <c r="A3186" s="20" t="s">
        <v>1090</v>
      </c>
      <c r="E3186" s="22">
        <f>IF(D3186="?OLD","!!!","")</f>
        <v/>
      </c>
      <c r="F3186" s="23" t="str">
        <f>IF(OR(E3186="",E3186="!!!"),"",IF(NOT(ISNA(VLOOKUP(E3186,E$1:E3185,1,FALSE()))),"OLD",IF(AND(E3186&lt;&gt;"",E3186&lt;&gt;"!!!"),"NEW","")))</f>
        <v> </v>
      </c>
      <c r="G3186" s="24" t="str">
        <f>IF(OR(E3186="",E3186="!!!"),"",IF(OR(J3186=0,AND(J3186=1,K3186=1),AND(J3186=1,I3186="SBJ"),AND(J3186=1,I3186=0)),"?IN_FOCUS",IF(J3186&lt;=2,"?ACTIVATED",IF(J3186&lt;&gt;"","?FAMILIAR",IF(F3186="NEW",IF(ISNA(VLOOKUP(E3186,#REF!,1,FALSE())),"?TYPE_IDENTIFIABLE","?REFERENTIAL"),"_")))))</f>
        <v> </v>
      </c>
      <c r="H3186" s="25" t="str">
        <f>IF(J3186&lt;&gt;1,"",IF(I3186="SBJ","CB","?"))</f>
        <v> </v>
      </c>
      <c r="I3186" s="26" t="str">
        <f>IF(OR(E3186="",E3186="!!!",F3186="NEW"),"",INDEX(B3185:B$2,-1+SUMPRODUCT(MAX(ROW(E3185:E$2)*(E3186=E3185:E$2)))))</f>
        <v> </v>
      </c>
      <c r="J3186" s="26" t="str">
        <f>IF(OR(E3186="",E3186="!!!",F3186="NEW"),"",COUNTBLANK(OFFSET(A$1,,,SUMPRODUCT(MAX(ROW(E$2:E3186)*(E3186=E$2:E3186)))))-COUNTBLANK(OFFSET(A$1,,,SUMPRODUCT(MAX(ROW(E$1:E3185)*(E2=E$1:E3185))))))</f>
        <v> </v>
      </c>
      <c r="K3186" s="26" t="str">
        <f>IF(OR(E3186="",E3186="!!!",F3186="NEW"),"",INDEX(J$1:J3185,SUMPRODUCT(MAX(ROW(E$1:E3185)*(E3186=E$1:E3185)))))</f>
        <v> </v>
      </c>
      <c r="L3186" s="27"/>
    </row>
    <row r="3187" spans="1:12">
      <c r="A3187" s="20"/>
    </row>
    <row r="3188" spans="1:12">
      <c r="A3188" s="20" t="s">
        <v>1980</v>
      </c>
    </row>
    <row r="3189" spans="1:12">
      <c r="A3189" s="20" t="s">
        <v>1981</v>
      </c>
      <c r="E3189" s="22">
        <f>IF(D3189="?OLD","!!!","")</f>
        <v/>
      </c>
      <c r="F3189" s="23" t="str">
        <f>IF(OR(E3189="",E3189="!!!"),"",IF(NOT(ISNA(VLOOKUP(E3189,E$1:E3188,1,FALSE()))),"OLD",IF(AND(E3189&lt;&gt;"",E3189&lt;&gt;"!!!"),"NEW","")))</f>
        <v> </v>
      </c>
      <c r="G3189" s="24" t="str">
        <f>IF(OR(E3189="",E3189="!!!"),"",IF(OR(J3189=0,AND(J3189=1,K3189=1),AND(J3189=1,I3189="SBJ"),AND(J3189=1,I3189=0)),"?IN_FOCUS",IF(J3189&lt;=2,"?ACTIVATED",IF(J3189&lt;&gt;"","?FAMILIAR",IF(F3189="NEW",IF(ISNA(VLOOKUP(E3189,#REF!,1,FALSE())),"?TYPE_IDENTIFIABLE","?REFERENTIAL"),"_")))))</f>
        <v> </v>
      </c>
      <c r="H3189" s="25" t="str">
        <f>IF(J3189&lt;&gt;1,"",IF(I3189="SBJ","CB","?"))</f>
        <v> </v>
      </c>
      <c r="I3189" s="26" t="str">
        <f>IF(OR(E3189="",E3189="!!!",F3189="NEW"),"",INDEX(B3188:B$2,-1+SUMPRODUCT(MAX(ROW(E3188:E$2)*(E3189=E3188:E$2)))))</f>
        <v> </v>
      </c>
      <c r="J3189" s="26" t="str">
        <f>IF(OR(E3189="",E3189="!!!",F3189="NEW"),"",COUNTBLANK(OFFSET(A$1,,,SUMPRODUCT(MAX(ROW(E$2:E3189)*(E3189=E$2:E3189)))))-COUNTBLANK(OFFSET(A$1,,,SUMPRODUCT(MAX(ROW(E$1:E3188)*(E2=E$1:E3188))))))</f>
        <v> </v>
      </c>
      <c r="K3189" s="26" t="str">
        <f>IF(OR(E3189="",E3189="!!!",F3189="NEW"),"",INDEX(J$1:J3188,SUMPRODUCT(MAX(ROW(E$1:E3188)*(E3189=E$1:E3188)))))</f>
        <v> </v>
      </c>
      <c r="L3189" s="27"/>
    </row>
    <row r="3190" spans="1:12">
      <c r="A3190" s="20" t="s">
        <v>1982</v>
      </c>
      <c r="E3190" s="22">
        <f>IF(D3190="?OLD","!!!","")</f>
        <v/>
      </c>
      <c r="F3190" s="23" t="str">
        <f>IF(OR(E3190="",E3190="!!!"),"",IF(NOT(ISNA(VLOOKUP(E3190,E$1:E3189,1,FALSE()))),"OLD",IF(AND(E3190&lt;&gt;"",E3190&lt;&gt;"!!!"),"NEW","")))</f>
        <v> </v>
      </c>
      <c r="G3190" s="24" t="str">
        <f>IF(OR(E3190="",E3190="!!!"),"",IF(OR(J3190=0,AND(J3190=1,K3190=1),AND(J3190=1,I3190="SBJ"),AND(J3190=1,I3190=0)),"?IN_FOCUS",IF(J3190&lt;=2,"?ACTIVATED",IF(J3190&lt;&gt;"","?FAMILIAR",IF(F3190="NEW",IF(ISNA(VLOOKUP(E3190,#REF!,1,FALSE())),"?TYPE_IDENTIFIABLE","?REFERENTIAL"),"_")))))</f>
        <v> </v>
      </c>
      <c r="H3190" s="25" t="str">
        <f>IF(J3190&lt;&gt;1,"",IF(I3190="SBJ","CB","?"))</f>
        <v> </v>
      </c>
      <c r="I3190" s="26" t="str">
        <f>IF(OR(E3190="",E3190="!!!",F3190="NEW"),"",INDEX(B3189:B$2,-1+SUMPRODUCT(MAX(ROW(E3189:E$2)*(E3190=E3189:E$2)))))</f>
        <v> </v>
      </c>
      <c r="J3190" s="26" t="str">
        <f>IF(OR(E3190="",E3190="!!!",F3190="NEW"),"",COUNTBLANK(OFFSET(A$1,,,SUMPRODUCT(MAX(ROW(E$2:E3190)*(E3190=E$2:E3190)))))-COUNTBLANK(OFFSET(A$1,,,SUMPRODUCT(MAX(ROW(E$1:E3189)*(E2=E$1:E3189))))))</f>
        <v> </v>
      </c>
      <c r="K3190" s="26" t="str">
        <f>IF(OR(E3190="",E3190="!!!",F3190="NEW"),"",INDEX(J$1:J3189,SUMPRODUCT(MAX(ROW(E$1:E3189)*(E3190=E$1:E3189)))))</f>
        <v> </v>
      </c>
      <c r="L3190" s="27"/>
    </row>
    <row r="3191" spans="1:12">
      <c r="A3191" s="20" t="s">
        <v>1255</v>
      </c>
      <c r="E3191" s="22">
        <f>IF(D3191="?OLD","!!!","")</f>
        <v/>
      </c>
      <c r="F3191" s="23" t="str">
        <f>IF(OR(E3191="",E3191="!!!"),"",IF(NOT(ISNA(VLOOKUP(E3191,E$1:E3190,1,FALSE()))),"OLD",IF(AND(E3191&lt;&gt;"",E3191&lt;&gt;"!!!"),"NEW","")))</f>
        <v> </v>
      </c>
      <c r="G3191" s="24" t="str">
        <f>IF(OR(E3191="",E3191="!!!"),"",IF(OR(J3191=0,AND(J3191=1,K3191=1),AND(J3191=1,I3191="SBJ"),AND(J3191=1,I3191=0)),"?IN_FOCUS",IF(J3191&lt;=2,"?ACTIVATED",IF(J3191&lt;&gt;"","?FAMILIAR",IF(F3191="NEW",IF(ISNA(VLOOKUP(E3191,#REF!,1,FALSE())),"?TYPE_IDENTIFIABLE","?REFERENTIAL"),"_")))))</f>
        <v> </v>
      </c>
      <c r="H3191" s="25" t="str">
        <f>IF(J3191&lt;&gt;1,"",IF(I3191="SBJ","CB","?"))</f>
        <v> </v>
      </c>
      <c r="I3191" s="26" t="str">
        <f>IF(OR(E3191="",E3191="!!!",F3191="NEW"),"",INDEX(B3190:B$2,-1+SUMPRODUCT(MAX(ROW(E3190:E$2)*(E3191=E3190:E$2)))))</f>
        <v> </v>
      </c>
      <c r="J3191" s="26" t="str">
        <f>IF(OR(E3191="",E3191="!!!",F3191="NEW"),"",COUNTBLANK(OFFSET(A$1,,,SUMPRODUCT(MAX(ROW(E$2:E3191)*(E3191=E$2:E3191)))))-COUNTBLANK(OFFSET(A$1,,,SUMPRODUCT(MAX(ROW(E$1:E3190)*(E2=E$1:E3190))))))</f>
        <v> </v>
      </c>
      <c r="K3191" s="26" t="str">
        <f>IF(OR(E3191="",E3191="!!!",F3191="NEW"),"",INDEX(J$1:J3190,SUMPRODUCT(MAX(ROW(E$1:E3190)*(E3191=E$1:E3190)))))</f>
        <v> </v>
      </c>
      <c r="L3191" s="27"/>
    </row>
    <row r="3192" spans="1:12">
      <c r="A3192" s="20" t="s">
        <v>1014</v>
      </c>
      <c r="E3192" s="22">
        <f>IF(D3192="?OLD","!!!","")</f>
        <v/>
      </c>
      <c r="F3192" s="23" t="str">
        <f>IF(OR(E3192="",E3192="!!!"),"",IF(NOT(ISNA(VLOOKUP(E3192,E$1:E3191,1,FALSE()))),"OLD",IF(AND(E3192&lt;&gt;"",E3192&lt;&gt;"!!!"),"NEW","")))</f>
        <v> </v>
      </c>
      <c r="G3192" s="24" t="str">
        <f>IF(OR(E3192="",E3192="!!!"),"",IF(OR(J3192=0,AND(J3192=1,K3192=1),AND(J3192=1,I3192="SBJ"),AND(J3192=1,I3192=0)),"?IN_FOCUS",IF(J3192&lt;=2,"?ACTIVATED",IF(J3192&lt;&gt;"","?FAMILIAR",IF(F3192="NEW",IF(ISNA(VLOOKUP(E3192,#REF!,1,FALSE())),"?TYPE_IDENTIFIABLE","?REFERENTIAL"),"_")))))</f>
        <v> </v>
      </c>
      <c r="H3192" s="25" t="str">
        <f>IF(J3192&lt;&gt;1,"",IF(I3192="SBJ","CB","?"))</f>
        <v> </v>
      </c>
      <c r="I3192" s="26" t="str">
        <f>IF(OR(E3192="",E3192="!!!",F3192="NEW"),"",INDEX(B3191:B$2,-1+SUMPRODUCT(MAX(ROW(E3191:E$2)*(E3192=E3191:E$2)))))</f>
        <v> </v>
      </c>
      <c r="J3192" s="26" t="str">
        <f>IF(OR(E3192="",E3192="!!!",F3192="NEW"),"",COUNTBLANK(OFFSET(A$1,,,SUMPRODUCT(MAX(ROW(E$2:E3192)*(E3192=E$2:E3192)))))-COUNTBLANK(OFFSET(A$1,,,SUMPRODUCT(MAX(ROW(E$1:E3191)*(E2=E$1:E3191))))))</f>
        <v> </v>
      </c>
      <c r="K3192" s="26" t="str">
        <f>IF(OR(E3192="",E3192="!!!",F3192="NEW"),"",INDEX(J$1:J3191,SUMPRODUCT(MAX(ROW(E$1:E3191)*(E3192=E$1:E3191)))))</f>
        <v> </v>
      </c>
      <c r="L3192" s="27"/>
    </row>
    <row r="3193" spans="1:12">
      <c r="A3193" s="20" t="s">
        <v>102</v>
      </c>
      <c r="E3193" s="22">
        <f>IF(D3193="?OLD","!!!","")</f>
        <v/>
      </c>
      <c r="F3193" s="23" t="str">
        <f>IF(OR(E3193="",E3193="!!!"),"",IF(NOT(ISNA(VLOOKUP(E3193,E$1:E3192,1,FALSE()))),"OLD",IF(AND(E3193&lt;&gt;"",E3193&lt;&gt;"!!!"),"NEW","")))</f>
        <v> </v>
      </c>
      <c r="G3193" s="24" t="str">
        <f>IF(OR(E3193="",E3193="!!!"),"",IF(OR(J3193=0,AND(J3193=1,K3193=1),AND(J3193=1,I3193="SBJ"),AND(J3193=1,I3193=0)),"?IN_FOCUS",IF(J3193&lt;=2,"?ACTIVATED",IF(J3193&lt;&gt;"","?FAMILIAR",IF(F3193="NEW",IF(ISNA(VLOOKUP(E3193,#REF!,1,FALSE())),"?TYPE_IDENTIFIABLE","?REFERENTIAL"),"_")))))</f>
        <v> </v>
      </c>
      <c r="H3193" s="25" t="str">
        <f>IF(J3193&lt;&gt;1,"",IF(I3193="SBJ","CB","?"))</f>
        <v> </v>
      </c>
      <c r="I3193" s="26" t="str">
        <f>IF(OR(E3193="",E3193="!!!",F3193="NEW"),"",INDEX(B3192:B$2,-1+SUMPRODUCT(MAX(ROW(E3192:E$2)*(E3193=E3192:E$2)))))</f>
        <v> </v>
      </c>
      <c r="J3193" s="26" t="str">
        <f>IF(OR(E3193="",E3193="!!!",F3193="NEW"),"",COUNTBLANK(OFFSET(A$1,,,SUMPRODUCT(MAX(ROW(E$2:E3193)*(E3193=E$2:E3193)))))-COUNTBLANK(OFFSET(A$1,,,SUMPRODUCT(MAX(ROW(E$1:E3192)*(E2=E$1:E3192))))))</f>
        <v> </v>
      </c>
      <c r="K3193" s="26" t="str">
        <f>IF(OR(E3193="",E3193="!!!",F3193="NEW"),"",INDEX(J$1:J3192,SUMPRODUCT(MAX(ROW(E$1:E3192)*(E3193=E$1:E3192)))))</f>
        <v> </v>
      </c>
      <c r="L3193" s="27"/>
    </row>
    <row r="3194" spans="1:12">
      <c r="A3194" s="20" t="s">
        <v>1116</v>
      </c>
      <c r="E3194" s="22">
        <f>IF(D3194="?OLD","!!!","")</f>
        <v/>
      </c>
      <c r="F3194" s="23" t="str">
        <f>IF(OR(E3194="",E3194="!!!"),"",IF(NOT(ISNA(VLOOKUP(E3194,E$1:E3193,1,FALSE()))),"OLD",IF(AND(E3194&lt;&gt;"",E3194&lt;&gt;"!!!"),"NEW","")))</f>
        <v> </v>
      </c>
      <c r="G3194" s="24" t="str">
        <f>IF(OR(E3194="",E3194="!!!"),"",IF(OR(J3194=0,AND(J3194=1,K3194=1),AND(J3194=1,I3194="SBJ"),AND(J3194=1,I3194=0)),"?IN_FOCUS",IF(J3194&lt;=2,"?ACTIVATED",IF(J3194&lt;&gt;"","?FAMILIAR",IF(F3194="NEW",IF(ISNA(VLOOKUP(E3194,#REF!,1,FALSE())),"?TYPE_IDENTIFIABLE","?REFERENTIAL"),"_")))))</f>
        <v> </v>
      </c>
      <c r="H3194" s="25" t="str">
        <f>IF(J3194&lt;&gt;1,"",IF(I3194="SBJ","CB","?"))</f>
        <v> </v>
      </c>
      <c r="I3194" s="26" t="str">
        <f>IF(OR(E3194="",E3194="!!!",F3194="NEW"),"",INDEX(B3193:B$2,-1+SUMPRODUCT(MAX(ROW(E3193:E$2)*(E3194=E3193:E$2)))))</f>
        <v> </v>
      </c>
      <c r="J3194" s="26" t="str">
        <f>IF(OR(E3194="",E3194="!!!",F3194="NEW"),"",COUNTBLANK(OFFSET(A$1,,,SUMPRODUCT(MAX(ROW(E$2:E3194)*(E3194=E$2:E3194)))))-COUNTBLANK(OFFSET(A$1,,,SUMPRODUCT(MAX(ROW(E$1:E3193)*(E2=E$1:E3193))))))</f>
        <v> </v>
      </c>
      <c r="K3194" s="26" t="str">
        <f>IF(OR(E3194="",E3194="!!!",F3194="NEW"),"",INDEX(J$1:J3193,SUMPRODUCT(MAX(ROW(E$1:E3193)*(E3194=E$1:E3193)))))</f>
        <v> </v>
      </c>
      <c r="L3194" s="27"/>
    </row>
    <row r="3195" spans="1:12">
      <c r="A3195" s="20" t="s">
        <v>1167</v>
      </c>
      <c r="B3195" s="21" t="s">
        <v>1029</v>
      </c>
      <c r="C3195" s="21" t="s">
        <v>1013</v>
      </c>
      <c r="D3195" s="21" t="s">
        <v>1007</v>
      </c>
      <c r="E3195" s="22">
        <f>IF(D3195="?OLD","!!!","")</f>
        <v/>
      </c>
      <c r="F3195" s="23" t="str">
        <f>IF(OR(E3195="",E3195="!!!"),"",IF(NOT(ISNA(VLOOKUP(E3195,E$1:E3194,1,FALSE()))),"OLD",IF(AND(E3195&lt;&gt;"",E3195&lt;&gt;"!!!"),"NEW","")))</f>
        <v> </v>
      </c>
      <c r="G3195" s="24" t="str">
        <f>IF(OR(E3195="",E3195="!!!"),"",IF(OR(J3195=0,AND(J3195=1,K3195=1),AND(J3195=1,I3195="SBJ"),AND(J3195=1,I3195=0)),"?IN_FOCUS",IF(J3195&lt;=2,"?ACTIVATED",IF(J3195&lt;&gt;"","?FAMILIAR",IF(F3195="NEW",IF(ISNA(VLOOKUP(E3195,#REF!,1,FALSE())),"?TYPE_IDENTIFIABLE","?REFERENTIAL"),"_")))))</f>
        <v> </v>
      </c>
      <c r="H3195" s="25" t="str">
        <f>IF(J3195&lt;&gt;1,"",IF(I3195="SBJ","CB","?"))</f>
        <v> </v>
      </c>
      <c r="I3195" s="26" t="str">
        <f>IF(OR(E3195="",E3195="!!!",F3195="NEW"),"",INDEX(B3194:B$2,-1+SUMPRODUCT(MAX(ROW(E3194:E$2)*(E3195=E3194:E$2)))))</f>
        <v> </v>
      </c>
      <c r="J3195" s="26" t="str">
        <f>IF(OR(E3195="",E3195="!!!",F3195="NEW"),"",COUNTBLANK(OFFSET(A$1,,,SUMPRODUCT(MAX(ROW(E$2:E3195)*(E3195=E$2:E3195)))))-COUNTBLANK(OFFSET(A$1,,,SUMPRODUCT(MAX(ROW(E$1:E3194)*(E2=E$1:E3194))))))</f>
        <v> </v>
      </c>
      <c r="K3195" s="26" t="str">
        <f>IF(OR(E3195="",E3195="!!!",F3195="NEW"),"",INDEX(J$1:J3194,SUMPRODUCT(MAX(ROW(E$1:E3194)*(E3195=E$1:E3194)))))</f>
        <v> </v>
      </c>
      <c r="L3195" s="27"/>
    </row>
    <row r="3196" spans="1:12">
      <c r="A3196" s="20" t="s">
        <v>1014</v>
      </c>
      <c r="E3196" s="22">
        <f>IF(D3196="?OLD","!!!","")</f>
        <v/>
      </c>
      <c r="F3196" s="23" t="str">
        <f>IF(OR(E3196="",E3196="!!!"),"",IF(NOT(ISNA(VLOOKUP(E3196,E$1:E3195,1,FALSE()))),"OLD",IF(AND(E3196&lt;&gt;"",E3196&lt;&gt;"!!!"),"NEW","")))</f>
        <v> </v>
      </c>
      <c r="G3196" s="24" t="str">
        <f>IF(OR(E3196="",E3196="!!!"),"",IF(OR(J3196=0,AND(J3196=1,K3196=1),AND(J3196=1,I3196="SBJ"),AND(J3196=1,I3196=0)),"?IN_FOCUS",IF(J3196&lt;=2,"?ACTIVATED",IF(J3196&lt;&gt;"","?FAMILIAR",IF(F3196="NEW",IF(ISNA(VLOOKUP(E3196,#REF!,1,FALSE())),"?TYPE_IDENTIFIABLE","?REFERENTIAL"),"_")))))</f>
        <v> </v>
      </c>
      <c r="H3196" s="25" t="str">
        <f>IF(J3196&lt;&gt;1,"",IF(I3196="SBJ","CB","?"))</f>
        <v> </v>
      </c>
      <c r="I3196" s="26" t="str">
        <f>IF(OR(E3196="",E3196="!!!",F3196="NEW"),"",INDEX(B3195:B$2,-1+SUMPRODUCT(MAX(ROW(E3195:E$2)*(E3196=E3195:E$2)))))</f>
        <v> </v>
      </c>
      <c r="J3196" s="26" t="str">
        <f>IF(OR(E3196="",E3196="!!!",F3196="NEW"),"",COUNTBLANK(OFFSET(A$1,,,SUMPRODUCT(MAX(ROW(E$2:E3196)*(E3196=E$2:E3196)))))-COUNTBLANK(OFFSET(A$1,,,SUMPRODUCT(MAX(ROW(E$1:E3195)*(E2=E$1:E3195))))))</f>
        <v> </v>
      </c>
      <c r="K3196" s="26" t="str">
        <f>IF(OR(E3196="",E3196="!!!",F3196="NEW"),"",INDEX(J$1:J3195,SUMPRODUCT(MAX(ROW(E$1:E3195)*(E3196=E$1:E3195)))))</f>
        <v> </v>
      </c>
      <c r="L3196" s="27"/>
    </row>
    <row r="3197" spans="1:12">
      <c r="A3197" s="20" t="s">
        <v>1983</v>
      </c>
      <c r="B3197" s="21" t="s">
        <v>1033</v>
      </c>
      <c r="C3197" s="21" t="s">
        <v>1013</v>
      </c>
      <c r="D3197" s="21" t="s">
        <v>1007</v>
      </c>
      <c r="E3197" s="22">
        <f>IF(D3197="?OLD","!!!","")</f>
        <v/>
      </c>
      <c r="F3197" s="23" t="str">
        <f>IF(OR(E3197="",E3197="!!!"),"",IF(NOT(ISNA(VLOOKUP(E3197,E$1:E3196,1,FALSE()))),"OLD",IF(AND(E3197&lt;&gt;"",E3197&lt;&gt;"!!!"),"NEW","")))</f>
        <v> </v>
      </c>
      <c r="G3197" s="24" t="str">
        <f>IF(OR(E3197="",E3197="!!!"),"",IF(OR(J3197=0,AND(J3197=1,K3197=1),AND(J3197=1,I3197="SBJ"),AND(J3197=1,I3197=0)),"?IN_FOCUS",IF(J3197&lt;=2,"?ACTIVATED",IF(J3197&lt;&gt;"","?FAMILIAR",IF(F3197="NEW",IF(ISNA(VLOOKUP(E3197,#REF!,1,FALSE())),"?TYPE_IDENTIFIABLE","?REFERENTIAL"),"_")))))</f>
        <v> </v>
      </c>
      <c r="H3197" s="25" t="str">
        <f>IF(J3197&lt;&gt;1,"",IF(I3197="SBJ","CB","?"))</f>
        <v> </v>
      </c>
      <c r="I3197" s="26" t="str">
        <f>IF(OR(E3197="",E3197="!!!",F3197="NEW"),"",INDEX(B3196:B$2,-1+SUMPRODUCT(MAX(ROW(E3196:E$2)*(E3197=E3196:E$2)))))</f>
        <v> </v>
      </c>
      <c r="J3197" s="26" t="str">
        <f>IF(OR(E3197="",E3197="!!!",F3197="NEW"),"",COUNTBLANK(OFFSET(A$1,,,SUMPRODUCT(MAX(ROW(E$2:E3197)*(E3197=E$2:E3197)))))-COUNTBLANK(OFFSET(A$1,,,SUMPRODUCT(MAX(ROW(E$1:E3196)*(E2=E$1:E3196))))))</f>
        <v> </v>
      </c>
      <c r="K3197" s="26" t="str">
        <f>IF(OR(E3197="",E3197="!!!",F3197="NEW"),"",INDEX(J$1:J3196,SUMPRODUCT(MAX(ROW(E$1:E3196)*(E3197=E$1:E3196)))))</f>
        <v> </v>
      </c>
      <c r="L3197" s="27"/>
    </row>
    <row r="3198" spans="1:12">
      <c r="A3198" s="20" t="s">
        <v>1984</v>
      </c>
      <c r="E3198" s="22">
        <f>IF(D3198="?OLD","!!!","")</f>
        <v/>
      </c>
      <c r="F3198" s="23" t="str">
        <f>IF(OR(E3198="",E3198="!!!"),"",IF(NOT(ISNA(VLOOKUP(E3198,E$1:E3197,1,FALSE()))),"OLD",IF(AND(E3198&lt;&gt;"",E3198&lt;&gt;"!!!"),"NEW","")))</f>
        <v> </v>
      </c>
      <c r="G3198" s="24" t="str">
        <f>IF(OR(E3198="",E3198="!!!"),"",IF(OR(J3198=0,AND(J3198=1,K3198=1),AND(J3198=1,I3198="SBJ"),AND(J3198=1,I3198=0)),"?IN_FOCUS",IF(J3198&lt;=2,"?ACTIVATED",IF(J3198&lt;&gt;"","?FAMILIAR",IF(F3198="NEW",IF(ISNA(VLOOKUP(E3198,#REF!,1,FALSE())),"?TYPE_IDENTIFIABLE","?REFERENTIAL"),"_")))))</f>
        <v> </v>
      </c>
      <c r="H3198" s="25" t="str">
        <f>IF(J3198&lt;&gt;1,"",IF(I3198="SBJ","CB","?"))</f>
        <v> </v>
      </c>
      <c r="I3198" s="26" t="str">
        <f>IF(OR(E3198="",E3198="!!!",F3198="NEW"),"",INDEX(B3197:B$2,-1+SUMPRODUCT(MAX(ROW(E3197:E$2)*(E3198=E3197:E$2)))))</f>
        <v> </v>
      </c>
      <c r="J3198" s="26" t="str">
        <f>IF(OR(E3198="",E3198="!!!",F3198="NEW"),"",COUNTBLANK(OFFSET(A$1,,,SUMPRODUCT(MAX(ROW(E$2:E3198)*(E3198=E$2:E3198)))))-COUNTBLANK(OFFSET(A$1,,,SUMPRODUCT(MAX(ROW(E$1:E3197)*(E2=E$1:E3197))))))</f>
        <v> </v>
      </c>
      <c r="K3198" s="26" t="str">
        <f>IF(OR(E3198="",E3198="!!!",F3198="NEW"),"",INDEX(J$1:J3197,SUMPRODUCT(MAX(ROW(E$1:E3197)*(E3198=E$1:E3197)))))</f>
        <v> </v>
      </c>
      <c r="L3198" s="27"/>
    </row>
    <row r="3199" spans="1:12">
      <c r="A3199" s="20" t="s">
        <v>1127</v>
      </c>
      <c r="E3199" s="22">
        <f>IF(D3199="?OLD","!!!","")</f>
        <v/>
      </c>
      <c r="F3199" s="23" t="str">
        <f>IF(OR(E3199="",E3199="!!!"),"",IF(NOT(ISNA(VLOOKUP(E3199,E$1:E3198,1,FALSE()))),"OLD",IF(AND(E3199&lt;&gt;"",E3199&lt;&gt;"!!!"),"NEW","")))</f>
        <v> </v>
      </c>
      <c r="G3199" s="24" t="str">
        <f>IF(OR(E3199="",E3199="!!!"),"",IF(OR(J3199=0,AND(J3199=1,K3199=1),AND(J3199=1,I3199="SBJ"),AND(J3199=1,I3199=0)),"?IN_FOCUS",IF(J3199&lt;=2,"?ACTIVATED",IF(J3199&lt;&gt;"","?FAMILIAR",IF(F3199="NEW",IF(ISNA(VLOOKUP(E3199,#REF!,1,FALSE())),"?TYPE_IDENTIFIABLE","?REFERENTIAL"),"_")))))</f>
        <v> </v>
      </c>
      <c r="H3199" s="25" t="str">
        <f>IF(J3199&lt;&gt;1,"",IF(I3199="SBJ","CB","?"))</f>
        <v> </v>
      </c>
      <c r="I3199" s="26" t="str">
        <f>IF(OR(E3199="",E3199="!!!",F3199="NEW"),"",INDEX(B3198:B$2,-1+SUMPRODUCT(MAX(ROW(E3198:E$2)*(E3199=E3198:E$2)))))</f>
        <v> </v>
      </c>
      <c r="J3199" s="26" t="str">
        <f>IF(OR(E3199="",E3199="!!!",F3199="NEW"),"",COUNTBLANK(OFFSET(A$1,,,SUMPRODUCT(MAX(ROW(E$2:E3199)*(E3199=E$2:E3199)))))-COUNTBLANK(OFFSET(A$1,,,SUMPRODUCT(MAX(ROW(E$1:E3198)*(E2=E$1:E3198))))))</f>
        <v> </v>
      </c>
      <c r="K3199" s="26" t="str">
        <f>IF(OR(E3199="",E3199="!!!",F3199="NEW"),"",INDEX(J$1:J3198,SUMPRODUCT(MAX(ROW(E$1:E3198)*(E3199=E$1:E3198)))))</f>
        <v> </v>
      </c>
      <c r="L3199" s="27"/>
    </row>
    <row r="3200" spans="1:12">
      <c r="A3200" s="20" t="s">
        <v>1015</v>
      </c>
      <c r="E3200" s="22">
        <f>IF(D3200="?OLD","!!!","")</f>
        <v/>
      </c>
      <c r="F3200" s="23" t="str">
        <f>IF(OR(E3200="",E3200="!!!"),"",IF(NOT(ISNA(VLOOKUP(E3200,E$1:E3199,1,FALSE()))),"OLD",IF(AND(E3200&lt;&gt;"",E3200&lt;&gt;"!!!"),"NEW","")))</f>
        <v> </v>
      </c>
      <c r="G3200" s="24" t="str">
        <f>IF(OR(E3200="",E3200="!!!"),"",IF(OR(J3200=0,AND(J3200=1,K3200=1),AND(J3200=1,I3200="SBJ"),AND(J3200=1,I3200=0)),"?IN_FOCUS",IF(J3200&lt;=2,"?ACTIVATED",IF(J3200&lt;&gt;"","?FAMILIAR",IF(F3200="NEW",IF(ISNA(VLOOKUP(E3200,#REF!,1,FALSE())),"?TYPE_IDENTIFIABLE","?REFERENTIAL"),"_")))))</f>
        <v> </v>
      </c>
      <c r="H3200" s="25" t="str">
        <f>IF(J3200&lt;&gt;1,"",IF(I3200="SBJ","CB","?"))</f>
        <v> </v>
      </c>
      <c r="I3200" s="26" t="str">
        <f>IF(OR(E3200="",E3200="!!!",F3200="NEW"),"",INDEX(B3199:B$2,-1+SUMPRODUCT(MAX(ROW(E3199:E$2)*(E3200=E3199:E$2)))))</f>
        <v> </v>
      </c>
      <c r="J3200" s="26" t="str">
        <f>IF(OR(E3200="",E3200="!!!",F3200="NEW"),"",COUNTBLANK(OFFSET(A$1,,,SUMPRODUCT(MAX(ROW(E$2:E3200)*(E3200=E$2:E3200)))))-COUNTBLANK(OFFSET(A$1,,,SUMPRODUCT(MAX(ROW(E$1:E3199)*(E2=E$1:E3199))))))</f>
        <v> </v>
      </c>
      <c r="K3200" s="26" t="str">
        <f>IF(OR(E3200="",E3200="!!!",F3200="NEW"),"",INDEX(J$1:J3199,SUMPRODUCT(MAX(ROW(E$1:E3199)*(E3200=E$1:E3199)))))</f>
        <v> </v>
      </c>
      <c r="L3200" s="27"/>
    </row>
    <row r="3201" spans="1:12">
      <c r="A3201" s="20" t="s">
        <v>1985</v>
      </c>
      <c r="B3201" s="21" t="s">
        <v>1035</v>
      </c>
      <c r="C3201" s="21" t="s">
        <v>1013</v>
      </c>
      <c r="D3201" s="21" t="s">
        <v>1007</v>
      </c>
      <c r="E3201" s="22">
        <f>IF(D3201="?OLD","!!!","")</f>
        <v/>
      </c>
      <c r="F3201" s="23" t="str">
        <f>IF(OR(E3201="",E3201="!!!"),"",IF(NOT(ISNA(VLOOKUP(E3201,E$1:E3200,1,FALSE()))),"OLD",IF(AND(E3201&lt;&gt;"",E3201&lt;&gt;"!!!"),"NEW","")))</f>
        <v> </v>
      </c>
      <c r="G3201" s="24" t="str">
        <f>IF(OR(E3201="",E3201="!!!"),"",IF(OR(J3201=0,AND(J3201=1,K3201=1),AND(J3201=1,I3201="SBJ"),AND(J3201=1,I3201=0)),"?IN_FOCUS",IF(J3201&lt;=2,"?ACTIVATED",IF(J3201&lt;&gt;"","?FAMILIAR",IF(F3201="NEW",IF(ISNA(VLOOKUP(E3201,#REF!,1,FALSE())),"?TYPE_IDENTIFIABLE","?REFERENTIAL"),"_")))))</f>
        <v> </v>
      </c>
      <c r="H3201" s="25" t="str">
        <f>IF(J3201&lt;&gt;1,"",IF(I3201="SBJ","CB","?"))</f>
        <v> </v>
      </c>
      <c r="I3201" s="26" t="str">
        <f>IF(OR(E3201="",E3201="!!!",F3201="NEW"),"",INDEX(B3200:B$2,-1+SUMPRODUCT(MAX(ROW(E3200:E$2)*(E3201=E3200:E$2)))))</f>
        <v> </v>
      </c>
      <c r="J3201" s="26" t="str">
        <f>IF(OR(E3201="",E3201="!!!",F3201="NEW"),"",COUNTBLANK(OFFSET(A$1,,,SUMPRODUCT(MAX(ROW(E$2:E3201)*(E3201=E$2:E3201)))))-COUNTBLANK(OFFSET(A$1,,,SUMPRODUCT(MAX(ROW(E$1:E3200)*(E2=E$1:E3200))))))</f>
        <v> </v>
      </c>
      <c r="K3201" s="26" t="str">
        <f>IF(OR(E3201="",E3201="!!!",F3201="NEW"),"",INDEX(J$1:J3200,SUMPRODUCT(MAX(ROW(E$1:E3200)*(E3201=E$1:E3200)))))</f>
        <v> </v>
      </c>
      <c r="L3201" s="27"/>
    </row>
    <row r="3202" spans="1:12">
      <c r="A3202" s="20" t="s">
        <v>1020</v>
      </c>
      <c r="E3202" s="22">
        <f>IF(D3202="?OLD","!!!","")</f>
        <v/>
      </c>
      <c r="F3202" s="23" t="str">
        <f>IF(OR(E3202="",E3202="!!!"),"",IF(NOT(ISNA(VLOOKUP(E3202,E$1:E3201,1,FALSE()))),"OLD",IF(AND(E3202&lt;&gt;"",E3202&lt;&gt;"!!!"),"NEW","")))</f>
        <v> </v>
      </c>
      <c r="G3202" s="24" t="str">
        <f>IF(OR(E3202="",E3202="!!!"),"",IF(OR(J3202=0,AND(J3202=1,K3202=1),AND(J3202=1,I3202="SBJ"),AND(J3202=1,I3202=0)),"?IN_FOCUS",IF(J3202&lt;=2,"?ACTIVATED",IF(J3202&lt;&gt;"","?FAMILIAR",IF(F3202="NEW",IF(ISNA(VLOOKUP(E3202,#REF!,1,FALSE())),"?TYPE_IDENTIFIABLE","?REFERENTIAL"),"_")))))</f>
        <v> </v>
      </c>
      <c r="H3202" s="25" t="str">
        <f>IF(J3202&lt;&gt;1,"",IF(I3202="SBJ","CB","?"))</f>
        <v> </v>
      </c>
      <c r="I3202" s="26" t="str">
        <f>IF(OR(E3202="",E3202="!!!",F3202="NEW"),"",INDEX(B3201:B$2,-1+SUMPRODUCT(MAX(ROW(E3201:E$2)*(E3202=E3201:E$2)))))</f>
        <v> </v>
      </c>
      <c r="J3202" s="26" t="str">
        <f>IF(OR(E3202="",E3202="!!!",F3202="NEW"),"",COUNTBLANK(OFFSET(A$1,,,SUMPRODUCT(MAX(ROW(E$2:E3202)*(E3202=E$2:E3202)))))-COUNTBLANK(OFFSET(A$1,,,SUMPRODUCT(MAX(ROW(E$1:E3201)*(E2=E$1:E3201))))))</f>
        <v> </v>
      </c>
      <c r="K3202" s="26" t="str">
        <f>IF(OR(E3202="",E3202="!!!",F3202="NEW"),"",INDEX(J$1:J3201,SUMPRODUCT(MAX(ROW(E$1:E3201)*(E3202=E$1:E3201)))))</f>
        <v> </v>
      </c>
      <c r="L3202" s="27"/>
    </row>
    <row r="3203" spans="1:12">
      <c r="A3203" s="20" t="s">
        <v>1020</v>
      </c>
      <c r="E3203" s="22">
        <f>IF(D3203="?OLD","!!!","")</f>
        <v/>
      </c>
      <c r="F3203" s="23" t="str">
        <f>IF(OR(E3203="",E3203="!!!"),"",IF(NOT(ISNA(VLOOKUP(E3203,E$1:E3202,1,FALSE()))),"OLD",IF(AND(E3203&lt;&gt;"",E3203&lt;&gt;"!!!"),"NEW","")))</f>
        <v> </v>
      </c>
      <c r="G3203" s="24" t="str">
        <f>IF(OR(E3203="",E3203="!!!"),"",IF(OR(J3203=0,AND(J3203=1,K3203=1),AND(J3203=1,I3203="SBJ"),AND(J3203=1,I3203=0)),"?IN_FOCUS",IF(J3203&lt;=2,"?ACTIVATED",IF(J3203&lt;&gt;"","?FAMILIAR",IF(F3203="NEW",IF(ISNA(VLOOKUP(E3203,#REF!,1,FALSE())),"?TYPE_IDENTIFIABLE","?REFERENTIAL"),"_")))))</f>
        <v> </v>
      </c>
      <c r="H3203" s="25" t="str">
        <f>IF(J3203&lt;&gt;1,"",IF(I3203="SBJ","CB","?"))</f>
        <v> </v>
      </c>
      <c r="I3203" s="26" t="str">
        <f>IF(OR(E3203="",E3203="!!!",F3203="NEW"),"",INDEX(B3202:B$2,-1+SUMPRODUCT(MAX(ROW(E3202:E$2)*(E3203=E3202:E$2)))))</f>
        <v> </v>
      </c>
      <c r="J3203" s="26" t="str">
        <f>IF(OR(E3203="",E3203="!!!",F3203="NEW"),"",COUNTBLANK(OFFSET(A$1,,,SUMPRODUCT(MAX(ROW(E$2:E3203)*(E3203=E$2:E3203)))))-COUNTBLANK(OFFSET(A$1,,,SUMPRODUCT(MAX(ROW(E$1:E3202)*(E2=E$1:E3202))))))</f>
        <v> </v>
      </c>
      <c r="K3203" s="26" t="str">
        <f>IF(OR(E3203="",E3203="!!!",F3203="NEW"),"",INDEX(J$1:J3202,SUMPRODUCT(MAX(ROW(E$1:E3202)*(E3203=E$1:E3202)))))</f>
        <v> </v>
      </c>
      <c r="L3203" s="27"/>
    </row>
    <row r="3204" spans="1:12">
      <c r="A3204" s="20" t="s">
        <v>1339</v>
      </c>
      <c r="B3204" s="21" t="s">
        <v>1130</v>
      </c>
      <c r="C3204" s="21" t="s">
        <v>1017</v>
      </c>
      <c r="D3204" s="21" t="s">
        <v>1007</v>
      </c>
      <c r="E3204" s="22">
        <f>IF(D3204="?OLD","!!!","")</f>
        <v/>
      </c>
      <c r="F3204" s="23" t="str">
        <f>IF(OR(E3204="",E3204="!!!"),"",IF(NOT(ISNA(VLOOKUP(E3204,E$1:E3203,1,FALSE()))),"OLD",IF(AND(E3204&lt;&gt;"",E3204&lt;&gt;"!!!"),"NEW","")))</f>
        <v> </v>
      </c>
      <c r="G3204" s="24" t="str">
        <f>IF(OR(E3204="",E3204="!!!"),"",IF(OR(J3204=0,AND(J3204=1,K3204=1),AND(J3204=1,I3204="SBJ"),AND(J3204=1,I3204=0)),"?IN_FOCUS",IF(J3204&lt;=2,"?ACTIVATED",IF(J3204&lt;&gt;"","?FAMILIAR",IF(F3204="NEW",IF(ISNA(VLOOKUP(E3204,#REF!,1,FALSE())),"?TYPE_IDENTIFIABLE","?REFERENTIAL"),"_")))))</f>
        <v> </v>
      </c>
      <c r="H3204" s="25" t="str">
        <f>IF(J3204&lt;&gt;1,"",IF(I3204="SBJ","CB","?"))</f>
        <v> </v>
      </c>
      <c r="I3204" s="26" t="str">
        <f>IF(OR(E3204="",E3204="!!!",F3204="NEW"),"",INDEX(B3203:B$2,-1+SUMPRODUCT(MAX(ROW(E3203:E$2)*(E3204=E3203:E$2)))))</f>
        <v> </v>
      </c>
      <c r="J3204" s="26" t="str">
        <f>IF(OR(E3204="",E3204="!!!",F3204="NEW"),"",COUNTBLANK(OFFSET(A$1,,,SUMPRODUCT(MAX(ROW(E$2:E3204)*(E3204=E$2:E3204)))))-COUNTBLANK(OFFSET(A$1,,,SUMPRODUCT(MAX(ROW(E$1:E3203)*(E2=E$1:E3203))))))</f>
        <v> </v>
      </c>
      <c r="K3204" s="26" t="str">
        <f>IF(OR(E3204="",E3204="!!!",F3204="NEW"),"",INDEX(J$1:J3203,SUMPRODUCT(MAX(ROW(E$1:E3203)*(E3204=E$1:E3203)))))</f>
        <v> </v>
      </c>
      <c r="L3204" s="27"/>
    </row>
    <row r="3205" spans="1:12">
      <c r="A3205" s="20" t="s">
        <v>1340</v>
      </c>
      <c r="E3205" s="22">
        <f>IF(D3205="?OLD","!!!","")</f>
        <v/>
      </c>
      <c r="F3205" s="23" t="str">
        <f>IF(OR(E3205="",E3205="!!!"),"",IF(NOT(ISNA(VLOOKUP(E3205,E$1:E3204,1,FALSE()))),"OLD",IF(AND(E3205&lt;&gt;"",E3205&lt;&gt;"!!!"),"NEW","")))</f>
        <v> </v>
      </c>
      <c r="G3205" s="24" t="str">
        <f>IF(OR(E3205="",E3205="!!!"),"",IF(OR(J3205=0,AND(J3205=1,K3205=1),AND(J3205=1,I3205="SBJ"),AND(J3205=1,I3205=0)),"?IN_FOCUS",IF(J3205&lt;=2,"?ACTIVATED",IF(J3205&lt;&gt;"","?FAMILIAR",IF(F3205="NEW",IF(ISNA(VLOOKUP(E3205,#REF!,1,FALSE())),"?TYPE_IDENTIFIABLE","?REFERENTIAL"),"_")))))</f>
        <v> </v>
      </c>
      <c r="H3205" s="25" t="str">
        <f>IF(J3205&lt;&gt;1,"",IF(I3205="SBJ","CB","?"))</f>
        <v> </v>
      </c>
      <c r="I3205" s="26" t="str">
        <f>IF(OR(E3205="",E3205="!!!",F3205="NEW"),"",INDEX(B3204:B$2,-1+SUMPRODUCT(MAX(ROW(E3204:E$2)*(E3205=E3204:E$2)))))</f>
        <v> </v>
      </c>
      <c r="J3205" s="26" t="str">
        <f>IF(OR(E3205="",E3205="!!!",F3205="NEW"),"",COUNTBLANK(OFFSET(A$1,,,SUMPRODUCT(MAX(ROW(E$2:E3205)*(E3205=E$2:E3205)))))-COUNTBLANK(OFFSET(A$1,,,SUMPRODUCT(MAX(ROW(E$1:E3204)*(E2=E$1:E3204))))))</f>
        <v> </v>
      </c>
      <c r="K3205" s="26" t="str">
        <f>IF(OR(E3205="",E3205="!!!",F3205="NEW"),"",INDEX(J$1:J3204,SUMPRODUCT(MAX(ROW(E$1:E3204)*(E3205=E$1:E3204)))))</f>
        <v> </v>
      </c>
      <c r="L3205" s="27"/>
    </row>
    <row r="3206" spans="1:12">
      <c r="A3206" s="20" t="s">
        <v>1986</v>
      </c>
      <c r="E3206" s="22">
        <f>IF(D3206="?OLD","!!!","")</f>
        <v/>
      </c>
      <c r="F3206" s="23" t="str">
        <f>IF(OR(E3206="",E3206="!!!"),"",IF(NOT(ISNA(VLOOKUP(E3206,E$1:E3205,1,FALSE()))),"OLD",IF(AND(E3206&lt;&gt;"",E3206&lt;&gt;"!!!"),"NEW","")))</f>
        <v> </v>
      </c>
      <c r="G3206" s="24" t="str">
        <f>IF(OR(E3206="",E3206="!!!"),"",IF(OR(J3206=0,AND(J3206=1,K3206=1),AND(J3206=1,I3206="SBJ"),AND(J3206=1,I3206=0)),"?IN_FOCUS",IF(J3206&lt;=2,"?ACTIVATED",IF(J3206&lt;&gt;"","?FAMILIAR",IF(F3206="NEW",IF(ISNA(VLOOKUP(E3206,#REF!,1,FALSE())),"?TYPE_IDENTIFIABLE","?REFERENTIAL"),"_")))))</f>
        <v> </v>
      </c>
      <c r="H3206" s="25" t="str">
        <f>IF(J3206&lt;&gt;1,"",IF(I3206="SBJ","CB","?"))</f>
        <v> </v>
      </c>
      <c r="I3206" s="26" t="str">
        <f>IF(OR(E3206="",E3206="!!!",F3206="NEW"),"",INDEX(B3205:B$2,-1+SUMPRODUCT(MAX(ROW(E3205:E$2)*(E3206=E3205:E$2)))))</f>
        <v> </v>
      </c>
      <c r="J3206" s="26" t="str">
        <f>IF(OR(E3206="",E3206="!!!",F3206="NEW"),"",COUNTBLANK(OFFSET(A$1,,,SUMPRODUCT(MAX(ROW(E$2:E3206)*(E3206=E$2:E3206)))))-COUNTBLANK(OFFSET(A$1,,,SUMPRODUCT(MAX(ROW(E$1:E3205)*(E2=E$1:E3205))))))</f>
        <v> </v>
      </c>
      <c r="K3206" s="26" t="str">
        <f>IF(OR(E3206="",E3206="!!!",F3206="NEW"),"",INDEX(J$1:J3205,SUMPRODUCT(MAX(ROW(E$1:E3205)*(E3206=E$1:E3205)))))</f>
        <v> </v>
      </c>
      <c r="L3206" s="27"/>
    </row>
    <row r="3207" spans="1:12">
      <c r="A3207" s="20" t="s">
        <v>1014</v>
      </c>
      <c r="E3207" s="22">
        <f>IF(D3207="?OLD","!!!","")</f>
        <v/>
      </c>
      <c r="F3207" s="23" t="str">
        <f>IF(OR(E3207="",E3207="!!!"),"",IF(NOT(ISNA(VLOOKUP(E3207,E$1:E3206,1,FALSE()))),"OLD",IF(AND(E3207&lt;&gt;"",E3207&lt;&gt;"!!!"),"NEW","")))</f>
        <v> </v>
      </c>
      <c r="G3207" s="24" t="str">
        <f>IF(OR(E3207="",E3207="!!!"),"",IF(OR(J3207=0,AND(J3207=1,K3207=1),AND(J3207=1,I3207="SBJ"),AND(J3207=1,I3207=0)),"?IN_FOCUS",IF(J3207&lt;=2,"?ACTIVATED",IF(J3207&lt;&gt;"","?FAMILIAR",IF(F3207="NEW",IF(ISNA(VLOOKUP(E3207,#REF!,1,FALSE())),"?TYPE_IDENTIFIABLE","?REFERENTIAL"),"_")))))</f>
        <v> </v>
      </c>
      <c r="H3207" s="25" t="str">
        <f>IF(J3207&lt;&gt;1,"",IF(I3207="SBJ","CB","?"))</f>
        <v> </v>
      </c>
      <c r="I3207" s="26" t="str">
        <f>IF(OR(E3207="",E3207="!!!",F3207="NEW"),"",INDEX(B3206:B$2,-1+SUMPRODUCT(MAX(ROW(E3206:E$2)*(E3207=E3206:E$2)))))</f>
        <v> </v>
      </c>
      <c r="J3207" s="26" t="str">
        <f>IF(OR(E3207="",E3207="!!!",F3207="NEW"),"",COUNTBLANK(OFFSET(A$1,,,SUMPRODUCT(MAX(ROW(E$2:E3207)*(E3207=E$2:E3207)))))-COUNTBLANK(OFFSET(A$1,,,SUMPRODUCT(MAX(ROW(E$1:E3206)*(E2=E$1:E3206))))))</f>
        <v> </v>
      </c>
      <c r="K3207" s="26" t="str">
        <f>IF(OR(E3207="",E3207="!!!",F3207="NEW"),"",INDEX(J$1:J3206,SUMPRODUCT(MAX(ROW(E$1:E3206)*(E3207=E$1:E3206)))))</f>
        <v> </v>
      </c>
      <c r="L3207" s="27"/>
    </row>
    <row r="3208" spans="1:12">
      <c r="A3208" s="20" t="s">
        <v>1435</v>
      </c>
      <c r="E3208" s="22">
        <f>IF(D3208="?OLD","!!!","")</f>
        <v/>
      </c>
      <c r="F3208" s="23" t="str">
        <f>IF(OR(E3208="",E3208="!!!"),"",IF(NOT(ISNA(VLOOKUP(E3208,E$1:E3207,1,FALSE()))),"OLD",IF(AND(E3208&lt;&gt;"",E3208&lt;&gt;"!!!"),"NEW","")))</f>
        <v> </v>
      </c>
      <c r="G3208" s="24" t="str">
        <f>IF(OR(E3208="",E3208="!!!"),"",IF(OR(J3208=0,AND(J3208=1,K3208=1),AND(J3208=1,I3208="SBJ"),AND(J3208=1,I3208=0)),"?IN_FOCUS",IF(J3208&lt;=2,"?ACTIVATED",IF(J3208&lt;&gt;"","?FAMILIAR",IF(F3208="NEW",IF(ISNA(VLOOKUP(E3208,#REF!,1,FALSE())),"?TYPE_IDENTIFIABLE","?REFERENTIAL"),"_")))))</f>
        <v> </v>
      </c>
      <c r="H3208" s="25" t="str">
        <f>IF(J3208&lt;&gt;1,"",IF(I3208="SBJ","CB","?"))</f>
        <v> </v>
      </c>
      <c r="I3208" s="26" t="str">
        <f>IF(OR(E3208="",E3208="!!!",F3208="NEW"),"",INDEX(B3207:B$2,-1+SUMPRODUCT(MAX(ROW(E3207:E$2)*(E3208=E3207:E$2)))))</f>
        <v> </v>
      </c>
      <c r="J3208" s="26" t="str">
        <f>IF(OR(E3208="",E3208="!!!",F3208="NEW"),"",COUNTBLANK(OFFSET(A$1,,,SUMPRODUCT(MAX(ROW(E$2:E3208)*(E3208=E$2:E3208)))))-COUNTBLANK(OFFSET(A$1,,,SUMPRODUCT(MAX(ROW(E$1:E3207)*(E2=E$1:E3207))))))</f>
        <v> </v>
      </c>
      <c r="K3208" s="26" t="str">
        <f>IF(OR(E3208="",E3208="!!!",F3208="NEW"),"",INDEX(J$1:J3207,SUMPRODUCT(MAX(ROW(E$1:E3207)*(E3208=E$1:E3207)))))</f>
        <v> </v>
      </c>
      <c r="L3208" s="27"/>
    </row>
    <row r="3209" spans="1:12">
      <c r="A3209" s="20" t="s">
        <v>1167</v>
      </c>
      <c r="B3209" s="21" t="s">
        <v>1066</v>
      </c>
      <c r="C3209" s="21" t="s">
        <v>1041</v>
      </c>
      <c r="D3209" s="21" t="s">
        <v>1007</v>
      </c>
      <c r="E3209" s="22">
        <f>IF(D3209="?OLD","!!!","")</f>
        <v/>
      </c>
      <c r="F3209" s="23" t="str">
        <f>IF(OR(E3209="",E3209="!!!"),"",IF(NOT(ISNA(VLOOKUP(E3209,E$1:E3208,1,FALSE()))),"OLD",IF(AND(E3209&lt;&gt;"",E3209&lt;&gt;"!!!"),"NEW","")))</f>
        <v> </v>
      </c>
      <c r="G3209" s="24" t="str">
        <f>IF(OR(E3209="",E3209="!!!"),"",IF(OR(J3209=0,AND(J3209=1,K3209=1),AND(J3209=1,I3209="SBJ"),AND(J3209=1,I3209=0)),"?IN_FOCUS",IF(J3209&lt;=2,"?ACTIVATED",IF(J3209&lt;&gt;"","?FAMILIAR",IF(F3209="NEW",IF(ISNA(VLOOKUP(E3209,#REF!,1,FALSE())),"?TYPE_IDENTIFIABLE","?REFERENTIAL"),"_")))))</f>
        <v> </v>
      </c>
      <c r="H3209" s="25" t="str">
        <f>IF(J3209&lt;&gt;1,"",IF(I3209="SBJ","CB","?"))</f>
        <v> </v>
      </c>
      <c r="I3209" s="26" t="str">
        <f>IF(OR(E3209="",E3209="!!!",F3209="NEW"),"",INDEX(B3208:B$2,-1+SUMPRODUCT(MAX(ROW(E3208:E$2)*(E3209=E3208:E$2)))))</f>
        <v> </v>
      </c>
      <c r="J3209" s="26" t="str">
        <f>IF(OR(E3209="",E3209="!!!",F3209="NEW"),"",COUNTBLANK(OFFSET(A$1,,,SUMPRODUCT(MAX(ROW(E$2:E3209)*(E3209=E$2:E3209)))))-COUNTBLANK(OFFSET(A$1,,,SUMPRODUCT(MAX(ROW(E$1:E3208)*(E2=E$1:E3208))))))</f>
        <v> </v>
      </c>
      <c r="K3209" s="26" t="str">
        <f>IF(OR(E3209="",E3209="!!!",F3209="NEW"),"",INDEX(J$1:J3208,SUMPRODUCT(MAX(ROW(E$1:E3208)*(E3209=E$1:E3208)))))</f>
        <v> </v>
      </c>
      <c r="L3209" s="27"/>
    </row>
    <row r="3210" spans="1:12">
      <c r="A3210" s="20" t="s">
        <v>1014</v>
      </c>
      <c r="E3210" s="22">
        <f>IF(D3210="?OLD","!!!","")</f>
        <v/>
      </c>
      <c r="F3210" s="23" t="str">
        <f>IF(OR(E3210="",E3210="!!!"),"",IF(NOT(ISNA(VLOOKUP(E3210,E$1:E3209,1,FALSE()))),"OLD",IF(AND(E3210&lt;&gt;"",E3210&lt;&gt;"!!!"),"NEW","")))</f>
        <v> </v>
      </c>
      <c r="G3210" s="24" t="str">
        <f>IF(OR(E3210="",E3210="!!!"),"",IF(OR(J3210=0,AND(J3210=1,K3210=1),AND(J3210=1,I3210="SBJ"),AND(J3210=1,I3210=0)),"?IN_FOCUS",IF(J3210&lt;=2,"?ACTIVATED",IF(J3210&lt;&gt;"","?FAMILIAR",IF(F3210="NEW",IF(ISNA(VLOOKUP(E3210,#REF!,1,FALSE())),"?TYPE_IDENTIFIABLE","?REFERENTIAL"),"_")))))</f>
        <v> </v>
      </c>
      <c r="H3210" s="25" t="str">
        <f>IF(J3210&lt;&gt;1,"",IF(I3210="SBJ","CB","?"))</f>
        <v> </v>
      </c>
      <c r="I3210" s="26" t="str">
        <f>IF(OR(E3210="",E3210="!!!",F3210="NEW"),"",INDEX(B3209:B$2,-1+SUMPRODUCT(MAX(ROW(E3209:E$2)*(E3210=E3209:E$2)))))</f>
        <v> </v>
      </c>
      <c r="J3210" s="26" t="str">
        <f>IF(OR(E3210="",E3210="!!!",F3210="NEW"),"",COUNTBLANK(OFFSET(A$1,,,SUMPRODUCT(MAX(ROW(E$2:E3210)*(E3210=E$2:E3210)))))-COUNTBLANK(OFFSET(A$1,,,SUMPRODUCT(MAX(ROW(E$1:E3209)*(E2=E$1:E3209))))))</f>
        <v> </v>
      </c>
      <c r="K3210" s="26" t="str">
        <f>IF(OR(E3210="",E3210="!!!",F3210="NEW"),"",INDEX(J$1:J3209,SUMPRODUCT(MAX(ROW(E$1:E3209)*(E3210=E$1:E3209)))))</f>
        <v> </v>
      </c>
      <c r="L3210" s="27"/>
    </row>
    <row r="3211" spans="1:12">
      <c r="A3211" s="20" t="s">
        <v>1784</v>
      </c>
      <c r="B3211" s="21" t="s">
        <v>1042</v>
      </c>
      <c r="C3211" s="21" t="s">
        <v>1048</v>
      </c>
      <c r="E3211" s="22">
        <f>IF(D3211="?OLD","!!!","")</f>
        <v/>
      </c>
      <c r="F3211" s="23" t="str">
        <f>IF(OR(E3211="",E3211="!!!"),"",IF(NOT(ISNA(VLOOKUP(E3211,E$1:E3210,1,FALSE()))),"OLD",IF(AND(E3211&lt;&gt;"",E3211&lt;&gt;"!!!"),"NEW","")))</f>
        <v> </v>
      </c>
      <c r="G3211" s="24" t="str">
        <f>IF(OR(E3211="",E3211="!!!"),"",IF(OR(J3211=0,AND(J3211=1,K3211=1),AND(J3211=1,I3211="SBJ"),AND(J3211=1,I3211=0)),"?IN_FOCUS",IF(J3211&lt;=2,"?ACTIVATED",IF(J3211&lt;&gt;"","?FAMILIAR",IF(F3211="NEW",IF(ISNA(VLOOKUP(E3211,#REF!,1,FALSE())),"?TYPE_IDENTIFIABLE","?REFERENTIAL"),"_")))))</f>
        <v> </v>
      </c>
      <c r="H3211" s="25" t="str">
        <f>IF(J3211&lt;&gt;1,"",IF(I3211="SBJ","CB","?"))</f>
        <v> </v>
      </c>
      <c r="I3211" s="26" t="str">
        <f>IF(OR(E3211="",E3211="!!!",F3211="NEW"),"",INDEX(B3210:B$2,-1+SUMPRODUCT(MAX(ROW(E3210:E$2)*(E3211=E3210:E$2)))))</f>
        <v> </v>
      </c>
      <c r="J3211" s="26" t="str">
        <f>IF(OR(E3211="",E3211="!!!",F3211="NEW"),"",COUNTBLANK(OFFSET(A$1,,,SUMPRODUCT(MAX(ROW(E$2:E3211)*(E3211=E$2:E3211)))))-COUNTBLANK(OFFSET(A$1,,,SUMPRODUCT(MAX(ROW(E$1:E3210)*(E2=E$1:E3210))))))</f>
        <v> </v>
      </c>
      <c r="K3211" s="26" t="str">
        <f>IF(OR(E3211="",E3211="!!!",F3211="NEW"),"",INDEX(J$1:J3210,SUMPRODUCT(MAX(ROW(E$1:E3210)*(E3211=E$1:E3210)))))</f>
        <v> </v>
      </c>
      <c r="L3211" s="27"/>
    </row>
    <row r="3212" spans="1:12">
      <c r="A3212" s="20" t="s">
        <v>1023</v>
      </c>
      <c r="E3212" s="22">
        <f>IF(D3212="?OLD","!!!","")</f>
        <v/>
      </c>
      <c r="F3212" s="23" t="str">
        <f>IF(OR(E3212="",E3212="!!!"),"",IF(NOT(ISNA(VLOOKUP(E3212,E$1:E3211,1,FALSE()))),"OLD",IF(AND(E3212&lt;&gt;"",E3212&lt;&gt;"!!!"),"NEW","")))</f>
        <v> </v>
      </c>
      <c r="G3212" s="24" t="str">
        <f>IF(OR(E3212="",E3212="!!!"),"",IF(OR(J3212=0,AND(J3212=1,K3212=1),AND(J3212=1,I3212="SBJ"),AND(J3212=1,I3212=0)),"?IN_FOCUS",IF(J3212&lt;=2,"?ACTIVATED",IF(J3212&lt;&gt;"","?FAMILIAR",IF(F3212="NEW",IF(ISNA(VLOOKUP(E3212,#REF!,1,FALSE())),"?TYPE_IDENTIFIABLE","?REFERENTIAL"),"_")))))</f>
        <v> </v>
      </c>
      <c r="H3212" s="25" t="str">
        <f>IF(J3212&lt;&gt;1,"",IF(I3212="SBJ","CB","?"))</f>
        <v> </v>
      </c>
      <c r="I3212" s="26" t="str">
        <f>IF(OR(E3212="",E3212="!!!",F3212="NEW"),"",INDEX(B3211:B$2,-1+SUMPRODUCT(MAX(ROW(E3211:E$2)*(E3212=E3211:E$2)))))</f>
        <v> </v>
      </c>
      <c r="J3212" s="26" t="str">
        <f>IF(OR(E3212="",E3212="!!!",F3212="NEW"),"",COUNTBLANK(OFFSET(A$1,,,SUMPRODUCT(MAX(ROW(E$2:E3212)*(E3212=E$2:E3212)))))-COUNTBLANK(OFFSET(A$1,,,SUMPRODUCT(MAX(ROW(E$1:E3211)*(E2=E$1:E3211))))))</f>
        <v> </v>
      </c>
      <c r="K3212" s="26" t="str">
        <f>IF(OR(E3212="",E3212="!!!",F3212="NEW"),"",INDEX(J$1:J3211,SUMPRODUCT(MAX(ROW(E$1:E3211)*(E3212=E$1:E3211)))))</f>
        <v> </v>
      </c>
      <c r="L3212" s="27"/>
    </row>
    <row r="3213" spans="1:12">
      <c r="A3213" s="20"/>
    </row>
    <row r="3214" spans="1:12">
      <c r="A3214" s="20" t="s">
        <v>1987</v>
      </c>
    </row>
    <row r="3215" spans="1:12">
      <c r="A3215" s="20" t="s">
        <v>1136</v>
      </c>
      <c r="E3215" s="22">
        <f>IF(D3215="?OLD","!!!","")</f>
        <v/>
      </c>
      <c r="F3215" s="23" t="str">
        <f>IF(OR(E3215="",E3215="!!!"),"",IF(NOT(ISNA(VLOOKUP(E3215,E$1:E3214,1,FALSE()))),"OLD",IF(AND(E3215&lt;&gt;"",E3215&lt;&gt;"!!!"),"NEW","")))</f>
        <v> </v>
      </c>
      <c r="G3215" s="24" t="str">
        <f>IF(OR(E3215="",E3215="!!!"),"",IF(OR(J3215=0,AND(J3215=1,K3215=1),AND(J3215=1,I3215="SBJ"),AND(J3215=1,I3215=0)),"?IN_FOCUS",IF(J3215&lt;=2,"?ACTIVATED",IF(J3215&lt;&gt;"","?FAMILIAR",IF(F3215="NEW",IF(ISNA(VLOOKUP(E3215,#REF!,1,FALSE())),"?TYPE_IDENTIFIABLE","?REFERENTIAL"),"_")))))</f>
        <v> </v>
      </c>
      <c r="H3215" s="25" t="str">
        <f>IF(J3215&lt;&gt;1,"",IF(I3215="SBJ","CB","?"))</f>
        <v> </v>
      </c>
      <c r="I3215" s="26" t="str">
        <f>IF(OR(E3215="",E3215="!!!",F3215="NEW"),"",INDEX(B3214:B$2,-1+SUMPRODUCT(MAX(ROW(E3214:E$2)*(E3215=E3214:E$2)))))</f>
        <v> </v>
      </c>
      <c r="J3215" s="26" t="str">
        <f>IF(OR(E3215="",E3215="!!!",F3215="NEW"),"",COUNTBLANK(OFFSET(A$1,,,SUMPRODUCT(MAX(ROW(E$2:E3215)*(E3215=E$2:E3215)))))-COUNTBLANK(OFFSET(A$1,,,SUMPRODUCT(MAX(ROW(E$1:E3214)*(E2=E$1:E3214))))))</f>
        <v> </v>
      </c>
      <c r="K3215" s="26" t="str">
        <f>IF(OR(E3215="",E3215="!!!",F3215="NEW"),"",INDEX(J$1:J3214,SUMPRODUCT(MAX(ROW(E$1:E3214)*(E3215=E$1:E3214)))))</f>
        <v> </v>
      </c>
      <c r="L3215" s="27"/>
    </row>
    <row r="3216" spans="1:12">
      <c r="A3216" s="20" t="s">
        <v>1583</v>
      </c>
      <c r="E3216" s="22">
        <f>IF(D3216="?OLD","!!!","")</f>
        <v/>
      </c>
      <c r="F3216" s="23" t="str">
        <f>IF(OR(E3216="",E3216="!!!"),"",IF(NOT(ISNA(VLOOKUP(E3216,E$1:E3215,1,FALSE()))),"OLD",IF(AND(E3216&lt;&gt;"",E3216&lt;&gt;"!!!"),"NEW","")))</f>
        <v> </v>
      </c>
      <c r="G3216" s="24" t="str">
        <f>IF(OR(E3216="",E3216="!!!"),"",IF(OR(J3216=0,AND(J3216=1,K3216=1),AND(J3216=1,I3216="SBJ"),AND(J3216=1,I3216=0)),"?IN_FOCUS",IF(J3216&lt;=2,"?ACTIVATED",IF(J3216&lt;&gt;"","?FAMILIAR",IF(F3216="NEW",IF(ISNA(VLOOKUP(E3216,#REF!,1,FALSE())),"?TYPE_IDENTIFIABLE","?REFERENTIAL"),"_")))))</f>
        <v> </v>
      </c>
      <c r="H3216" s="25" t="str">
        <f>IF(J3216&lt;&gt;1,"",IF(I3216="SBJ","CB","?"))</f>
        <v> </v>
      </c>
      <c r="I3216" s="26" t="str">
        <f>IF(OR(E3216="",E3216="!!!",F3216="NEW"),"",INDEX(B3215:B$2,-1+SUMPRODUCT(MAX(ROW(E3215:E$2)*(E3216=E3215:E$2)))))</f>
        <v> </v>
      </c>
      <c r="J3216" s="26" t="str">
        <f>IF(OR(E3216="",E3216="!!!",F3216="NEW"),"",COUNTBLANK(OFFSET(A$1,,,SUMPRODUCT(MAX(ROW(E$2:E3216)*(E3216=E$2:E3216)))))-COUNTBLANK(OFFSET(A$1,,,SUMPRODUCT(MAX(ROW(E$1:E3215)*(E2=E$1:E3215))))))</f>
        <v> </v>
      </c>
      <c r="K3216" s="26" t="str">
        <f>IF(OR(E3216="",E3216="!!!",F3216="NEW"),"",INDEX(J$1:J3215,SUMPRODUCT(MAX(ROW(E$1:E3215)*(E3216=E$1:E3215)))))</f>
        <v> </v>
      </c>
      <c r="L3216" s="27"/>
    </row>
    <row r="3217" spans="1:12">
      <c r="A3217" s="20" t="s">
        <v>440</v>
      </c>
      <c r="E3217" s="22">
        <f>IF(D3217="?OLD","!!!","")</f>
        <v/>
      </c>
      <c r="F3217" s="23" t="str">
        <f>IF(OR(E3217="",E3217="!!!"),"",IF(NOT(ISNA(VLOOKUP(E3217,E$1:E3216,1,FALSE()))),"OLD",IF(AND(E3217&lt;&gt;"",E3217&lt;&gt;"!!!"),"NEW","")))</f>
        <v> </v>
      </c>
      <c r="G3217" s="24" t="str">
        <f>IF(OR(E3217="",E3217="!!!"),"",IF(OR(J3217=0,AND(J3217=1,K3217=1),AND(J3217=1,I3217="SBJ"),AND(J3217=1,I3217=0)),"?IN_FOCUS",IF(J3217&lt;=2,"?ACTIVATED",IF(J3217&lt;&gt;"","?FAMILIAR",IF(F3217="NEW",IF(ISNA(VLOOKUP(E3217,#REF!,1,FALSE())),"?TYPE_IDENTIFIABLE","?REFERENTIAL"),"_")))))</f>
        <v> </v>
      </c>
      <c r="H3217" s="25" t="str">
        <f>IF(J3217&lt;&gt;1,"",IF(I3217="SBJ","CB","?"))</f>
        <v> </v>
      </c>
      <c r="I3217" s="26" t="str">
        <f>IF(OR(E3217="",E3217="!!!",F3217="NEW"),"",INDEX(B3216:B$2,-1+SUMPRODUCT(MAX(ROW(E3216:E$2)*(E3217=E3216:E$2)))))</f>
        <v> </v>
      </c>
      <c r="J3217" s="26" t="str">
        <f>IF(OR(E3217="",E3217="!!!",F3217="NEW"),"",COUNTBLANK(OFFSET(A$1,,,SUMPRODUCT(MAX(ROW(E$2:E3217)*(E3217=E$2:E3217)))))-COUNTBLANK(OFFSET(A$1,,,SUMPRODUCT(MAX(ROW(E$1:E3216)*(E2=E$1:E3216))))))</f>
        <v> </v>
      </c>
      <c r="K3217" s="26" t="str">
        <f>IF(OR(E3217="",E3217="!!!",F3217="NEW"),"",INDEX(J$1:J3216,SUMPRODUCT(MAX(ROW(E$1:E3216)*(E3217=E$1:E3216)))))</f>
        <v> </v>
      </c>
      <c r="L3217" s="27"/>
    </row>
    <row r="3218" spans="1:12">
      <c r="A3218" s="20" t="s">
        <v>1014</v>
      </c>
      <c r="E3218" s="22">
        <f>IF(D3218="?OLD","!!!","")</f>
        <v/>
      </c>
      <c r="F3218" s="23" t="str">
        <f>IF(OR(E3218="",E3218="!!!"),"",IF(NOT(ISNA(VLOOKUP(E3218,E$1:E3217,1,FALSE()))),"OLD",IF(AND(E3218&lt;&gt;"",E3218&lt;&gt;"!!!"),"NEW","")))</f>
        <v> </v>
      </c>
      <c r="G3218" s="24" t="str">
        <f>IF(OR(E3218="",E3218="!!!"),"",IF(OR(J3218=0,AND(J3218=1,K3218=1),AND(J3218=1,I3218="SBJ"),AND(J3218=1,I3218=0)),"?IN_FOCUS",IF(J3218&lt;=2,"?ACTIVATED",IF(J3218&lt;&gt;"","?FAMILIAR",IF(F3218="NEW",IF(ISNA(VLOOKUP(E3218,#REF!,1,FALSE())),"?TYPE_IDENTIFIABLE","?REFERENTIAL"),"_")))))</f>
        <v> </v>
      </c>
      <c r="H3218" s="25" t="str">
        <f>IF(J3218&lt;&gt;1,"",IF(I3218="SBJ","CB","?"))</f>
        <v> </v>
      </c>
      <c r="I3218" s="26" t="str">
        <f>IF(OR(E3218="",E3218="!!!",F3218="NEW"),"",INDEX(B3217:B$2,-1+SUMPRODUCT(MAX(ROW(E3217:E$2)*(E3218=E3217:E$2)))))</f>
        <v> </v>
      </c>
      <c r="J3218" s="26" t="str">
        <f>IF(OR(E3218="",E3218="!!!",F3218="NEW"),"",COUNTBLANK(OFFSET(A$1,,,SUMPRODUCT(MAX(ROW(E$2:E3218)*(E3218=E$2:E3218)))))-COUNTBLANK(OFFSET(A$1,,,SUMPRODUCT(MAX(ROW(E$1:E3217)*(E2=E$1:E3217))))))</f>
        <v> </v>
      </c>
      <c r="K3218" s="26" t="str">
        <f>IF(OR(E3218="",E3218="!!!",F3218="NEW"),"",INDEX(J$1:J3217,SUMPRODUCT(MAX(ROW(E$1:E3217)*(E3218=E$1:E3217)))))</f>
        <v> </v>
      </c>
      <c r="L3218" s="27"/>
    </row>
    <row r="3219" spans="1:12">
      <c r="A3219" s="20" t="s">
        <v>102</v>
      </c>
      <c r="E3219" s="22">
        <f>IF(D3219="?OLD","!!!","")</f>
        <v/>
      </c>
      <c r="F3219" s="23" t="str">
        <f>IF(OR(E3219="",E3219="!!!"),"",IF(NOT(ISNA(VLOOKUP(E3219,E$1:E3218,1,FALSE()))),"OLD",IF(AND(E3219&lt;&gt;"",E3219&lt;&gt;"!!!"),"NEW","")))</f>
        <v> </v>
      </c>
      <c r="G3219" s="24" t="str">
        <f>IF(OR(E3219="",E3219="!!!"),"",IF(OR(J3219=0,AND(J3219=1,K3219=1),AND(J3219=1,I3219="SBJ"),AND(J3219=1,I3219=0)),"?IN_FOCUS",IF(J3219&lt;=2,"?ACTIVATED",IF(J3219&lt;&gt;"","?FAMILIAR",IF(F3219="NEW",IF(ISNA(VLOOKUP(E3219,#REF!,1,FALSE())),"?TYPE_IDENTIFIABLE","?REFERENTIAL"),"_")))))</f>
        <v> </v>
      </c>
      <c r="H3219" s="25" t="str">
        <f>IF(J3219&lt;&gt;1,"",IF(I3219="SBJ","CB","?"))</f>
        <v> </v>
      </c>
      <c r="I3219" s="26" t="str">
        <f>IF(OR(E3219="",E3219="!!!",F3219="NEW"),"",INDEX(B3218:B$2,-1+SUMPRODUCT(MAX(ROW(E3218:E$2)*(E3219=E3218:E$2)))))</f>
        <v> </v>
      </c>
      <c r="J3219" s="26" t="str">
        <f>IF(OR(E3219="",E3219="!!!",F3219="NEW"),"",COUNTBLANK(OFFSET(A$1,,,SUMPRODUCT(MAX(ROW(E$2:E3219)*(E3219=E$2:E3219)))))-COUNTBLANK(OFFSET(A$1,,,SUMPRODUCT(MAX(ROW(E$1:E3218)*(E2=E$1:E3218))))))</f>
        <v> </v>
      </c>
      <c r="K3219" s="26" t="str">
        <f>IF(OR(E3219="",E3219="!!!",F3219="NEW"),"",INDEX(J$1:J3218,SUMPRODUCT(MAX(ROW(E$1:E3218)*(E3219=E$1:E3218)))))</f>
        <v> </v>
      </c>
      <c r="L3219" s="27"/>
    </row>
    <row r="3220" spans="1:12">
      <c r="A3220" s="20" t="s">
        <v>1988</v>
      </c>
      <c r="B3220" s="21" t="s">
        <v>1085</v>
      </c>
      <c r="C3220" s="21" t="s">
        <v>1017</v>
      </c>
      <c r="D3220" s="21" t="s">
        <v>1007</v>
      </c>
      <c r="E3220" s="22">
        <f>IF(D3220="?OLD","!!!","")</f>
        <v/>
      </c>
      <c r="F3220" s="23" t="str">
        <f>IF(OR(E3220="",E3220="!!!"),"",IF(NOT(ISNA(VLOOKUP(E3220,E$1:E3219,1,FALSE()))),"OLD",IF(AND(E3220&lt;&gt;"",E3220&lt;&gt;"!!!"),"NEW","")))</f>
        <v> </v>
      </c>
      <c r="G3220" s="24" t="str">
        <f>IF(OR(E3220="",E3220="!!!"),"",IF(OR(J3220=0,AND(J3220=1,K3220=1),AND(J3220=1,I3220="SBJ"),AND(J3220=1,I3220=0)),"?IN_FOCUS",IF(J3220&lt;=2,"?ACTIVATED",IF(J3220&lt;&gt;"","?FAMILIAR",IF(F3220="NEW",IF(ISNA(VLOOKUP(E3220,#REF!,1,FALSE())),"?TYPE_IDENTIFIABLE","?REFERENTIAL"),"_")))))</f>
        <v> </v>
      </c>
      <c r="H3220" s="25" t="str">
        <f>IF(J3220&lt;&gt;1,"",IF(I3220="SBJ","CB","?"))</f>
        <v> </v>
      </c>
      <c r="I3220" s="26" t="str">
        <f>IF(OR(E3220="",E3220="!!!",F3220="NEW"),"",INDEX(B3219:B$2,-1+SUMPRODUCT(MAX(ROW(E3219:E$2)*(E3220=E3219:E$2)))))</f>
        <v> </v>
      </c>
      <c r="J3220" s="26" t="str">
        <f>IF(OR(E3220="",E3220="!!!",F3220="NEW"),"",COUNTBLANK(OFFSET(A$1,,,SUMPRODUCT(MAX(ROW(E$2:E3220)*(E3220=E$2:E3220)))))-COUNTBLANK(OFFSET(A$1,,,SUMPRODUCT(MAX(ROW(E$1:E3219)*(E2=E$1:E3219))))))</f>
        <v> </v>
      </c>
      <c r="K3220" s="26" t="str">
        <f>IF(OR(E3220="",E3220="!!!",F3220="NEW"),"",INDEX(J$1:J3219,SUMPRODUCT(MAX(ROW(E$1:E3219)*(E3220=E$1:E3219)))))</f>
        <v> </v>
      </c>
      <c r="L3220" s="27"/>
    </row>
    <row r="3221" spans="1:12">
      <c r="A3221" s="20" t="s">
        <v>1065</v>
      </c>
      <c r="B3221" s="21" t="s">
        <v>1187</v>
      </c>
      <c r="E3221" s="22">
        <f>IF(D3221="?OLD","!!!","")</f>
        <v/>
      </c>
      <c r="F3221" s="23" t="str">
        <f>IF(OR(E3221="",E3221="!!!"),"",IF(NOT(ISNA(VLOOKUP(E3221,E$1:E3220,1,FALSE()))),"OLD",IF(AND(E3221&lt;&gt;"",E3221&lt;&gt;"!!!"),"NEW","")))</f>
        <v> </v>
      </c>
      <c r="G3221" s="24" t="str">
        <f>IF(OR(E3221="",E3221="!!!"),"",IF(OR(J3221=0,AND(J3221=1,K3221=1),AND(J3221=1,I3221="SBJ"),AND(J3221=1,I3221=0)),"?IN_FOCUS",IF(J3221&lt;=2,"?ACTIVATED",IF(J3221&lt;&gt;"","?FAMILIAR",IF(F3221="NEW",IF(ISNA(VLOOKUP(E3221,#REF!,1,FALSE())),"?TYPE_IDENTIFIABLE","?REFERENTIAL"),"_")))))</f>
        <v> </v>
      </c>
      <c r="H3221" s="25" t="str">
        <f>IF(J3221&lt;&gt;1,"",IF(I3221="SBJ","CB","?"))</f>
        <v> </v>
      </c>
      <c r="I3221" s="26" t="str">
        <f>IF(OR(E3221="",E3221="!!!",F3221="NEW"),"",INDEX(B3220:B$2,-1+SUMPRODUCT(MAX(ROW(E3220:E$2)*(E3221=E3220:E$2)))))</f>
        <v> </v>
      </c>
      <c r="J3221" s="26" t="str">
        <f>IF(OR(E3221="",E3221="!!!",F3221="NEW"),"",COUNTBLANK(OFFSET(A$1,,,SUMPRODUCT(MAX(ROW(E$2:E3221)*(E3221=E$2:E3221)))))-COUNTBLANK(OFFSET(A$1,,,SUMPRODUCT(MAX(ROW(E$1:E3220)*(E2=E$1:E3220))))))</f>
        <v> </v>
      </c>
      <c r="K3221" s="26" t="str">
        <f>IF(OR(E3221="",E3221="!!!",F3221="NEW"),"",INDEX(J$1:J3220,SUMPRODUCT(MAX(ROW(E$1:E3220)*(E3221=E$1:E3220)))))</f>
        <v> </v>
      </c>
      <c r="L3221" s="27"/>
    </row>
    <row r="3222" spans="1:12">
      <c r="A3222" s="20" t="s">
        <v>1279</v>
      </c>
      <c r="E3222" s="22">
        <f>IF(D3222="?OLD","!!!","")</f>
        <v/>
      </c>
      <c r="F3222" s="23" t="str">
        <f>IF(OR(E3222="",E3222="!!!"),"",IF(NOT(ISNA(VLOOKUP(E3222,E$1:E3221,1,FALSE()))),"OLD",IF(AND(E3222&lt;&gt;"",E3222&lt;&gt;"!!!"),"NEW","")))</f>
        <v> </v>
      </c>
      <c r="G3222" s="24" t="str">
        <f>IF(OR(E3222="",E3222="!!!"),"",IF(OR(J3222=0,AND(J3222=1,K3222=1),AND(J3222=1,I3222="SBJ"),AND(J3222=1,I3222=0)),"?IN_FOCUS",IF(J3222&lt;=2,"?ACTIVATED",IF(J3222&lt;&gt;"","?FAMILIAR",IF(F3222="NEW",IF(ISNA(VLOOKUP(E3222,#REF!,1,FALSE())),"?TYPE_IDENTIFIABLE","?REFERENTIAL"),"_")))))</f>
        <v> </v>
      </c>
      <c r="H3222" s="25" t="str">
        <f>IF(J3222&lt;&gt;1,"",IF(I3222="SBJ","CB","?"))</f>
        <v> </v>
      </c>
      <c r="I3222" s="26" t="str">
        <f>IF(OR(E3222="",E3222="!!!",F3222="NEW"),"",INDEX(B3221:B$2,-1+SUMPRODUCT(MAX(ROW(E3221:E$2)*(E3222=E3221:E$2)))))</f>
        <v> </v>
      </c>
      <c r="J3222" s="26" t="str">
        <f>IF(OR(E3222="",E3222="!!!",F3222="NEW"),"",COUNTBLANK(OFFSET(A$1,,,SUMPRODUCT(MAX(ROW(E$2:E3222)*(E3222=E$2:E3222)))))-COUNTBLANK(OFFSET(A$1,,,SUMPRODUCT(MAX(ROW(E$1:E3221)*(E2=E$1:E3221))))))</f>
        <v> </v>
      </c>
      <c r="K3222" s="26" t="str">
        <f>IF(OR(E3222="",E3222="!!!",F3222="NEW"),"",INDEX(J$1:J3221,SUMPRODUCT(MAX(ROW(E$1:E3221)*(E3222=E$1:E3221)))))</f>
        <v> </v>
      </c>
      <c r="L3222" s="27"/>
    </row>
    <row r="3223" spans="1:12">
      <c r="A3223" s="20" t="s">
        <v>1172</v>
      </c>
      <c r="B3223" s="21" t="s">
        <v>1154</v>
      </c>
      <c r="C3223" s="21" t="s">
        <v>1041</v>
      </c>
      <c r="D3223" s="21" t="s">
        <v>1007</v>
      </c>
      <c r="E3223" s="22">
        <f>IF(D3223="?OLD","!!!","")</f>
        <v/>
      </c>
      <c r="F3223" s="23" t="str">
        <f>IF(OR(E3223="",E3223="!!!"),"",IF(NOT(ISNA(VLOOKUP(E3223,E$1:E3222,1,FALSE()))),"OLD",IF(AND(E3223&lt;&gt;"",E3223&lt;&gt;"!!!"),"NEW","")))</f>
        <v> </v>
      </c>
      <c r="G3223" s="24" t="str">
        <f>IF(OR(E3223="",E3223="!!!"),"",IF(OR(J3223=0,AND(J3223=1,K3223=1),AND(J3223=1,I3223="SBJ"),AND(J3223=1,I3223=0)),"?IN_FOCUS",IF(J3223&lt;=2,"?ACTIVATED",IF(J3223&lt;&gt;"","?FAMILIAR",IF(F3223="NEW",IF(ISNA(VLOOKUP(E3223,#REF!,1,FALSE())),"?TYPE_IDENTIFIABLE","?REFERENTIAL"),"_")))))</f>
        <v> </v>
      </c>
      <c r="H3223" s="25" t="str">
        <f>IF(J3223&lt;&gt;1,"",IF(I3223="SBJ","CB","?"))</f>
        <v> </v>
      </c>
      <c r="I3223" s="26" t="str">
        <f>IF(OR(E3223="",E3223="!!!",F3223="NEW"),"",INDEX(B3222:B$2,-1+SUMPRODUCT(MAX(ROW(E3222:E$2)*(E3223=E3222:E$2)))))</f>
        <v> </v>
      </c>
      <c r="J3223" s="26" t="str">
        <f>IF(OR(E3223="",E3223="!!!",F3223="NEW"),"",COUNTBLANK(OFFSET(A$1,,,SUMPRODUCT(MAX(ROW(E$2:E3223)*(E3223=E$2:E3223)))))-COUNTBLANK(OFFSET(A$1,,,SUMPRODUCT(MAX(ROW(E$1:E3222)*(E2=E$1:E3222))))))</f>
        <v> </v>
      </c>
      <c r="K3223" s="26" t="str">
        <f>IF(OR(E3223="",E3223="!!!",F3223="NEW"),"",INDEX(J$1:J3222,SUMPRODUCT(MAX(ROW(E$1:E3222)*(E3223=E$1:E3222)))))</f>
        <v> </v>
      </c>
      <c r="L3223" s="27"/>
    </row>
    <row r="3224" spans="1:12">
      <c r="A3224" s="20" t="s">
        <v>1989</v>
      </c>
      <c r="E3224" s="22">
        <f>IF(D3224="?OLD","!!!","")</f>
        <v/>
      </c>
      <c r="F3224" s="23" t="str">
        <f>IF(OR(E3224="",E3224="!!!"),"",IF(NOT(ISNA(VLOOKUP(E3224,E$1:E3223,1,FALSE()))),"OLD",IF(AND(E3224&lt;&gt;"",E3224&lt;&gt;"!!!"),"NEW","")))</f>
        <v> </v>
      </c>
      <c r="G3224" s="24" t="str">
        <f>IF(OR(E3224="",E3224="!!!"),"",IF(OR(J3224=0,AND(J3224=1,K3224=1),AND(J3224=1,I3224="SBJ"),AND(J3224=1,I3224=0)),"?IN_FOCUS",IF(J3224&lt;=2,"?ACTIVATED",IF(J3224&lt;&gt;"","?FAMILIAR",IF(F3224="NEW",IF(ISNA(VLOOKUP(E3224,#REF!,1,FALSE())),"?TYPE_IDENTIFIABLE","?REFERENTIAL"),"_")))))</f>
        <v> </v>
      </c>
      <c r="H3224" s="25" t="str">
        <f>IF(J3224&lt;&gt;1,"",IF(I3224="SBJ","CB","?"))</f>
        <v> </v>
      </c>
      <c r="I3224" s="26" t="str">
        <f>IF(OR(E3224="",E3224="!!!",F3224="NEW"),"",INDEX(B3223:B$2,-1+SUMPRODUCT(MAX(ROW(E3223:E$2)*(E3224=E3223:E$2)))))</f>
        <v> </v>
      </c>
      <c r="J3224" s="26" t="str">
        <f>IF(OR(E3224="",E3224="!!!",F3224="NEW"),"",COUNTBLANK(OFFSET(A$1,,,SUMPRODUCT(MAX(ROW(E$2:E3224)*(E3224=E$2:E3224)))))-COUNTBLANK(OFFSET(A$1,,,SUMPRODUCT(MAX(ROW(E$1:E3223)*(E2=E$1:E3223))))))</f>
        <v> </v>
      </c>
      <c r="K3224" s="26" t="str">
        <f>IF(OR(E3224="",E3224="!!!",F3224="NEW"),"",INDEX(J$1:J3223,SUMPRODUCT(MAX(ROW(E$1:E3223)*(E3224=E$1:E3223)))))</f>
        <v> </v>
      </c>
      <c r="L3224" s="27"/>
    </row>
    <row r="3225" spans="1:12">
      <c r="A3225" s="20" t="s">
        <v>1116</v>
      </c>
      <c r="E3225" s="22">
        <f>IF(D3225="?OLD","!!!","")</f>
        <v/>
      </c>
      <c r="F3225" s="23" t="str">
        <f>IF(OR(E3225="",E3225="!!!"),"",IF(NOT(ISNA(VLOOKUP(E3225,E$1:E3224,1,FALSE()))),"OLD",IF(AND(E3225&lt;&gt;"",E3225&lt;&gt;"!!!"),"NEW","")))</f>
        <v> </v>
      </c>
      <c r="G3225" s="24" t="str">
        <f>IF(OR(E3225="",E3225="!!!"),"",IF(OR(J3225=0,AND(J3225=1,K3225=1),AND(J3225=1,I3225="SBJ"),AND(J3225=1,I3225=0)),"?IN_FOCUS",IF(J3225&lt;=2,"?ACTIVATED",IF(J3225&lt;&gt;"","?FAMILIAR",IF(F3225="NEW",IF(ISNA(VLOOKUP(E3225,#REF!,1,FALSE())),"?TYPE_IDENTIFIABLE","?REFERENTIAL"),"_")))))</f>
        <v> </v>
      </c>
      <c r="H3225" s="25" t="str">
        <f>IF(J3225&lt;&gt;1,"",IF(I3225="SBJ","CB","?"))</f>
        <v> </v>
      </c>
      <c r="I3225" s="26" t="str">
        <f>IF(OR(E3225="",E3225="!!!",F3225="NEW"),"",INDEX(B3224:B$2,-1+SUMPRODUCT(MAX(ROW(E3224:E$2)*(E3225=E3224:E$2)))))</f>
        <v> </v>
      </c>
      <c r="J3225" s="26" t="str">
        <f>IF(OR(E3225="",E3225="!!!",F3225="NEW"),"",COUNTBLANK(OFFSET(A$1,,,SUMPRODUCT(MAX(ROW(E$2:E3225)*(E3225=E$2:E3225)))))-COUNTBLANK(OFFSET(A$1,,,SUMPRODUCT(MAX(ROW(E$1:E3224)*(E2=E$1:E3224))))))</f>
        <v> </v>
      </c>
      <c r="K3225" s="26" t="str">
        <f>IF(OR(E3225="",E3225="!!!",F3225="NEW"),"",INDEX(J$1:J3224,SUMPRODUCT(MAX(ROW(E$1:E3224)*(E3225=E$1:E3224)))))</f>
        <v> </v>
      </c>
      <c r="L3225" s="27"/>
    </row>
    <row r="3226" spans="1:12">
      <c r="A3226" s="20" t="s">
        <v>1030</v>
      </c>
      <c r="E3226" s="22">
        <f>IF(D3226="?OLD","!!!","")</f>
        <v/>
      </c>
      <c r="F3226" s="23" t="str">
        <f>IF(OR(E3226="",E3226="!!!"),"",IF(NOT(ISNA(VLOOKUP(E3226,E$1:E3225,1,FALSE()))),"OLD",IF(AND(E3226&lt;&gt;"",E3226&lt;&gt;"!!!"),"NEW","")))</f>
        <v> </v>
      </c>
      <c r="G3226" s="24" t="str">
        <f>IF(OR(E3226="",E3226="!!!"),"",IF(OR(J3226=0,AND(J3226=1,K3226=1),AND(J3226=1,I3226="SBJ"),AND(J3226=1,I3226=0)),"?IN_FOCUS",IF(J3226&lt;=2,"?ACTIVATED",IF(J3226&lt;&gt;"","?FAMILIAR",IF(F3226="NEW",IF(ISNA(VLOOKUP(E3226,#REF!,1,FALSE())),"?TYPE_IDENTIFIABLE","?REFERENTIAL"),"_")))))</f>
        <v> </v>
      </c>
      <c r="H3226" s="25" t="str">
        <f>IF(J3226&lt;&gt;1,"",IF(I3226="SBJ","CB","?"))</f>
        <v> </v>
      </c>
      <c r="I3226" s="26" t="str">
        <f>IF(OR(E3226="",E3226="!!!",F3226="NEW"),"",INDEX(B3225:B$2,-1+SUMPRODUCT(MAX(ROW(E3225:E$2)*(E3226=E3225:E$2)))))</f>
        <v> </v>
      </c>
      <c r="J3226" s="26" t="str">
        <f>IF(OR(E3226="",E3226="!!!",F3226="NEW"),"",COUNTBLANK(OFFSET(A$1,,,SUMPRODUCT(MAX(ROW(E$2:E3226)*(E3226=E$2:E3226)))))-COUNTBLANK(OFFSET(A$1,,,SUMPRODUCT(MAX(ROW(E$1:E3225)*(E2=E$1:E3225))))))</f>
        <v> </v>
      </c>
      <c r="K3226" s="26" t="str">
        <f>IF(OR(E3226="",E3226="!!!",F3226="NEW"),"",INDEX(J$1:J3225,SUMPRODUCT(MAX(ROW(E$1:E3225)*(E3226=E$1:E3225)))))</f>
        <v> </v>
      </c>
      <c r="L3226" s="27"/>
    </row>
    <row r="3227" spans="1:12">
      <c r="A3227" s="20" t="s">
        <v>1140</v>
      </c>
      <c r="B3227" s="21" t="s">
        <v>1033</v>
      </c>
      <c r="C3227" s="21" t="s">
        <v>1073</v>
      </c>
      <c r="D3227" s="21" t="s">
        <v>1007</v>
      </c>
      <c r="E3227" s="22">
        <f>IF(D3227="?OLD","!!!","")</f>
        <v/>
      </c>
      <c r="F3227" s="23" t="str">
        <f>IF(OR(E3227="",E3227="!!!"),"",IF(NOT(ISNA(VLOOKUP(E3227,E$1:E3226,1,FALSE()))),"OLD",IF(AND(E3227&lt;&gt;"",E3227&lt;&gt;"!!!"),"NEW","")))</f>
        <v> </v>
      </c>
      <c r="G3227" s="24" t="str">
        <f>IF(OR(E3227="",E3227="!!!"),"",IF(OR(J3227=0,AND(J3227=1,K3227=1),AND(J3227=1,I3227="SBJ"),AND(J3227=1,I3227=0)),"?IN_FOCUS",IF(J3227&lt;=2,"?ACTIVATED",IF(J3227&lt;&gt;"","?FAMILIAR",IF(F3227="NEW",IF(ISNA(VLOOKUP(E3227,#REF!,1,FALSE())),"?TYPE_IDENTIFIABLE","?REFERENTIAL"),"_")))))</f>
        <v> </v>
      </c>
      <c r="H3227" s="25" t="str">
        <f>IF(J3227&lt;&gt;1,"",IF(I3227="SBJ","CB","?"))</f>
        <v> </v>
      </c>
      <c r="I3227" s="26" t="str">
        <f>IF(OR(E3227="",E3227="!!!",F3227="NEW"),"",INDEX(B3226:B$2,-1+SUMPRODUCT(MAX(ROW(E3226:E$2)*(E3227=E3226:E$2)))))</f>
        <v> </v>
      </c>
      <c r="J3227" s="26" t="str">
        <f>IF(OR(E3227="",E3227="!!!",F3227="NEW"),"",COUNTBLANK(OFFSET(A$1,,,SUMPRODUCT(MAX(ROW(E$2:E3227)*(E3227=E$2:E3227)))))-COUNTBLANK(OFFSET(A$1,,,SUMPRODUCT(MAX(ROW(E$1:E3226)*(E2=E$1:E3226))))))</f>
        <v> </v>
      </c>
      <c r="K3227" s="26" t="str">
        <f>IF(OR(E3227="",E3227="!!!",F3227="NEW"),"",INDEX(J$1:J3226,SUMPRODUCT(MAX(ROW(E$1:E3226)*(E3227=E$1:E3226)))))</f>
        <v> </v>
      </c>
      <c r="L3227" s="27"/>
    </row>
    <row r="3228" spans="1:12">
      <c r="A3228" s="20" t="s">
        <v>1023</v>
      </c>
      <c r="E3228" s="22">
        <f>IF(D3228="?OLD","!!!","")</f>
        <v/>
      </c>
      <c r="F3228" s="23" t="str">
        <f>IF(OR(E3228="",E3228="!!!"),"",IF(NOT(ISNA(VLOOKUP(E3228,E$1:E3227,1,FALSE()))),"OLD",IF(AND(E3228&lt;&gt;"",E3228&lt;&gt;"!!!"),"NEW","")))</f>
        <v> </v>
      </c>
      <c r="G3228" s="24" t="str">
        <f>IF(OR(E3228="",E3228="!!!"),"",IF(OR(J3228=0,AND(J3228=1,K3228=1),AND(J3228=1,I3228="SBJ"),AND(J3228=1,I3228=0)),"?IN_FOCUS",IF(J3228&lt;=2,"?ACTIVATED",IF(J3228&lt;&gt;"","?FAMILIAR",IF(F3228="NEW",IF(ISNA(VLOOKUP(E3228,#REF!,1,FALSE())),"?TYPE_IDENTIFIABLE","?REFERENTIAL"),"_")))))</f>
        <v> </v>
      </c>
      <c r="H3228" s="25" t="str">
        <f>IF(J3228&lt;&gt;1,"",IF(I3228="SBJ","CB","?"))</f>
        <v> </v>
      </c>
      <c r="I3228" s="26" t="str">
        <f>IF(OR(E3228="",E3228="!!!",F3228="NEW"),"",INDEX(B3227:B$2,-1+SUMPRODUCT(MAX(ROW(E3227:E$2)*(E3228=E3227:E$2)))))</f>
        <v> </v>
      </c>
      <c r="J3228" s="26" t="str">
        <f>IF(OR(E3228="",E3228="!!!",F3228="NEW"),"",COUNTBLANK(OFFSET(A$1,,,SUMPRODUCT(MAX(ROW(E$2:E3228)*(E3228=E$2:E3228)))))-COUNTBLANK(OFFSET(A$1,,,SUMPRODUCT(MAX(ROW(E$1:E3227)*(E2=E$1:E3227))))))</f>
        <v> </v>
      </c>
      <c r="K3228" s="26" t="str">
        <f>IF(OR(E3228="",E3228="!!!",F3228="NEW"),"",INDEX(J$1:J3227,SUMPRODUCT(MAX(ROW(E$1:E3227)*(E3228=E$1:E3227)))))</f>
        <v> </v>
      </c>
      <c r="L3228" s="27"/>
    </row>
    <row r="3229" spans="1:12">
      <c r="A3229" s="20"/>
    </row>
    <row r="3230" spans="1:12">
      <c r="A3230" s="20" t="s">
        <v>1990</v>
      </c>
    </row>
    <row r="3231" spans="1:12">
      <c r="A3231" s="20" t="s">
        <v>1991</v>
      </c>
      <c r="B3231" s="21" t="s">
        <v>1050</v>
      </c>
      <c r="C3231" s="21" t="s">
        <v>1082</v>
      </c>
      <c r="D3231" s="21" t="s">
        <v>1007</v>
      </c>
      <c r="E3231" s="22">
        <f>IF(D3231="?OLD","!!!","")</f>
        <v/>
      </c>
      <c r="F3231" s="23" t="str">
        <f>IF(OR(E3231="",E3231="!!!"),"",IF(NOT(ISNA(VLOOKUP(E3231,E$1:E3230,1,FALSE()))),"OLD",IF(AND(E3231&lt;&gt;"",E3231&lt;&gt;"!!!"),"NEW","")))</f>
        <v> </v>
      </c>
      <c r="G3231" s="24" t="str">
        <f>IF(OR(E3231="",E3231="!!!"),"",IF(OR(J3231=0,AND(J3231=1,K3231=1),AND(J3231=1,I3231="SBJ"),AND(J3231=1,I3231=0)),"?IN_FOCUS",IF(J3231&lt;=2,"?ACTIVATED",IF(J3231&lt;&gt;"","?FAMILIAR",IF(F3231="NEW",IF(ISNA(VLOOKUP(E3231,#REF!,1,FALSE())),"?TYPE_IDENTIFIABLE","?REFERENTIAL"),"_")))))</f>
        <v> </v>
      </c>
      <c r="H3231" s="25" t="str">
        <f>IF(J3231&lt;&gt;1,"",IF(I3231="SBJ","CB","?"))</f>
        <v> </v>
      </c>
      <c r="I3231" s="26" t="str">
        <f>IF(OR(E3231="",E3231="!!!",F3231="NEW"),"",INDEX(B3230:B$2,-1+SUMPRODUCT(MAX(ROW(E3230:E$2)*(E3231=E3230:E$2)))))</f>
        <v> </v>
      </c>
      <c r="J3231" s="26" t="str">
        <f>IF(OR(E3231="",E3231="!!!",F3231="NEW"),"",COUNTBLANK(OFFSET(A$1,,,SUMPRODUCT(MAX(ROW(E$2:E3231)*(E3231=E$2:E3231)))))-COUNTBLANK(OFFSET(A$1,,,SUMPRODUCT(MAX(ROW(E$1:E3230)*(E2=E$1:E3230))))))</f>
        <v> </v>
      </c>
      <c r="K3231" s="26" t="str">
        <f>IF(OR(E3231="",E3231="!!!",F3231="NEW"),"",INDEX(J$1:J3230,SUMPRODUCT(MAX(ROW(E$1:E3230)*(E3231=E$1:E3230)))))</f>
        <v> </v>
      </c>
      <c r="L3231" s="27"/>
    </row>
    <row r="3232" spans="1:12">
      <c r="A3232" s="20" t="s">
        <v>1992</v>
      </c>
      <c r="E3232" s="22">
        <f>IF(D3232="?OLD","!!!","")</f>
        <v/>
      </c>
      <c r="F3232" s="23" t="str">
        <f>IF(OR(E3232="",E3232="!!!"),"",IF(NOT(ISNA(VLOOKUP(E3232,E$1:E3231,1,FALSE()))),"OLD",IF(AND(E3232&lt;&gt;"",E3232&lt;&gt;"!!!"),"NEW","")))</f>
        <v> </v>
      </c>
      <c r="G3232" s="24" t="str">
        <f>IF(OR(E3232="",E3232="!!!"),"",IF(OR(J3232=0,AND(J3232=1,K3232=1),AND(J3232=1,I3232="SBJ"),AND(J3232=1,I3232=0)),"?IN_FOCUS",IF(J3232&lt;=2,"?ACTIVATED",IF(J3232&lt;&gt;"","?FAMILIAR",IF(F3232="NEW",IF(ISNA(VLOOKUP(E3232,#REF!,1,FALSE())),"?TYPE_IDENTIFIABLE","?REFERENTIAL"),"_")))))</f>
        <v> </v>
      </c>
      <c r="H3232" s="25" t="str">
        <f>IF(J3232&lt;&gt;1,"",IF(I3232="SBJ","CB","?"))</f>
        <v> </v>
      </c>
      <c r="I3232" s="26" t="str">
        <f>IF(OR(E3232="",E3232="!!!",F3232="NEW"),"",INDEX(B3231:B$2,-1+SUMPRODUCT(MAX(ROW(E3231:E$2)*(E3232=E3231:E$2)))))</f>
        <v> </v>
      </c>
      <c r="J3232" s="26" t="str">
        <f>IF(OR(E3232="",E3232="!!!",F3232="NEW"),"",COUNTBLANK(OFFSET(A$1,,,SUMPRODUCT(MAX(ROW(E$2:E3232)*(E3232=E$2:E3232)))))-COUNTBLANK(OFFSET(A$1,,,SUMPRODUCT(MAX(ROW(E$1:E3231)*(E2=E$1:E3231))))))</f>
        <v> </v>
      </c>
      <c r="K3232" s="26" t="str">
        <f>IF(OR(E3232="",E3232="!!!",F3232="NEW"),"",INDEX(J$1:J3231,SUMPRODUCT(MAX(ROW(E$1:E3231)*(E3232=E$1:E3231)))))</f>
        <v> </v>
      </c>
      <c r="L3232" s="27"/>
    </row>
    <row r="3233" spans="1:12">
      <c r="A3233" s="20" t="s">
        <v>1065</v>
      </c>
      <c r="E3233" s="22">
        <f>IF(D3233="?OLD","!!!","")</f>
        <v/>
      </c>
      <c r="F3233" s="23" t="str">
        <f>IF(OR(E3233="",E3233="!!!"),"",IF(NOT(ISNA(VLOOKUP(E3233,E$1:E3232,1,FALSE()))),"OLD",IF(AND(E3233&lt;&gt;"",E3233&lt;&gt;"!!!"),"NEW","")))</f>
        <v> </v>
      </c>
      <c r="G3233" s="24" t="str">
        <f>IF(OR(E3233="",E3233="!!!"),"",IF(OR(J3233=0,AND(J3233=1,K3233=1),AND(J3233=1,I3233="SBJ"),AND(J3233=1,I3233=0)),"?IN_FOCUS",IF(J3233&lt;=2,"?ACTIVATED",IF(J3233&lt;&gt;"","?FAMILIAR",IF(F3233="NEW",IF(ISNA(VLOOKUP(E3233,#REF!,1,FALSE())),"?TYPE_IDENTIFIABLE","?REFERENTIAL"),"_")))))</f>
        <v> </v>
      </c>
      <c r="H3233" s="25" t="str">
        <f>IF(J3233&lt;&gt;1,"",IF(I3233="SBJ","CB","?"))</f>
        <v> </v>
      </c>
      <c r="I3233" s="26" t="str">
        <f>IF(OR(E3233="",E3233="!!!",F3233="NEW"),"",INDEX(B3232:B$2,-1+SUMPRODUCT(MAX(ROW(E3232:E$2)*(E3233=E3232:E$2)))))</f>
        <v> </v>
      </c>
      <c r="J3233" s="26" t="str">
        <f>IF(OR(E3233="",E3233="!!!",F3233="NEW"),"",COUNTBLANK(OFFSET(A$1,,,SUMPRODUCT(MAX(ROW(E$2:E3233)*(E3233=E$2:E3233)))))-COUNTBLANK(OFFSET(A$1,,,SUMPRODUCT(MAX(ROW(E$1:E3232)*(E2=E$1:E3232))))))</f>
        <v> </v>
      </c>
      <c r="K3233" s="26" t="str">
        <f>IF(OR(E3233="",E3233="!!!",F3233="NEW"),"",INDEX(J$1:J3232,SUMPRODUCT(MAX(ROW(E$1:E3232)*(E3233=E$1:E3232)))))</f>
        <v> </v>
      </c>
      <c r="L3233" s="27"/>
    </row>
    <row r="3234" spans="1:12">
      <c r="A3234" s="20" t="s">
        <v>1463</v>
      </c>
      <c r="B3234" s="21" t="s">
        <v>1119</v>
      </c>
      <c r="C3234" s="21" t="s">
        <v>1082</v>
      </c>
      <c r="D3234" s="21" t="s">
        <v>1007</v>
      </c>
      <c r="E3234" s="22">
        <f>IF(D3234="?OLD","!!!","")</f>
        <v/>
      </c>
      <c r="F3234" s="23" t="str">
        <f>IF(OR(E3234="",E3234="!!!"),"",IF(NOT(ISNA(VLOOKUP(E3234,E$1:E3233,1,FALSE()))),"OLD",IF(AND(E3234&lt;&gt;"",E3234&lt;&gt;"!!!"),"NEW","")))</f>
        <v> </v>
      </c>
      <c r="G3234" s="24" t="str">
        <f>IF(OR(E3234="",E3234="!!!"),"",IF(OR(J3234=0,AND(J3234=1,K3234=1),AND(J3234=1,I3234="SBJ"),AND(J3234=1,I3234=0)),"?IN_FOCUS",IF(J3234&lt;=2,"?ACTIVATED",IF(J3234&lt;&gt;"","?FAMILIAR",IF(F3234="NEW",IF(ISNA(VLOOKUP(E3234,#REF!,1,FALSE())),"?TYPE_IDENTIFIABLE","?REFERENTIAL"),"_")))))</f>
        <v> </v>
      </c>
      <c r="H3234" s="25" t="str">
        <f>IF(J3234&lt;&gt;1,"",IF(I3234="SBJ","CB","?"))</f>
        <v> </v>
      </c>
      <c r="I3234" s="26" t="str">
        <f>IF(OR(E3234="",E3234="!!!",F3234="NEW"),"",INDEX(B3233:B$2,-1+SUMPRODUCT(MAX(ROW(E3233:E$2)*(E3234=E3233:E$2)))))</f>
        <v> </v>
      </c>
      <c r="J3234" s="26" t="str">
        <f>IF(OR(E3234="",E3234="!!!",F3234="NEW"),"",COUNTBLANK(OFFSET(A$1,,,SUMPRODUCT(MAX(ROW(E$2:E3234)*(E3234=E$2:E3234)))))-COUNTBLANK(OFFSET(A$1,,,SUMPRODUCT(MAX(ROW(E$1:E3233)*(E2=E$1:E3233))))))</f>
        <v> </v>
      </c>
      <c r="K3234" s="26" t="str">
        <f>IF(OR(E3234="",E3234="!!!",F3234="NEW"),"",INDEX(J$1:J3233,SUMPRODUCT(MAX(ROW(E$1:E3233)*(E3234=E$1:E3233)))))</f>
        <v> </v>
      </c>
      <c r="L3234" s="27"/>
    </row>
    <row r="3235" spans="1:12">
      <c r="A3235" s="20" t="s">
        <v>1520</v>
      </c>
      <c r="E3235" s="22">
        <f>IF(D3235="?OLD","!!!","")</f>
        <v/>
      </c>
      <c r="F3235" s="23" t="str">
        <f>IF(OR(E3235="",E3235="!!!"),"",IF(NOT(ISNA(VLOOKUP(E3235,E$1:E3234,1,FALSE()))),"OLD",IF(AND(E3235&lt;&gt;"",E3235&lt;&gt;"!!!"),"NEW","")))</f>
        <v> </v>
      </c>
      <c r="G3235" s="24" t="str">
        <f>IF(OR(E3235="",E3235="!!!"),"",IF(OR(J3235=0,AND(J3235=1,K3235=1),AND(J3235=1,I3235="SBJ"),AND(J3235=1,I3235=0)),"?IN_FOCUS",IF(J3235&lt;=2,"?ACTIVATED",IF(J3235&lt;&gt;"","?FAMILIAR",IF(F3235="NEW",IF(ISNA(VLOOKUP(E3235,#REF!,1,FALSE())),"?TYPE_IDENTIFIABLE","?REFERENTIAL"),"_")))))</f>
        <v> </v>
      </c>
      <c r="H3235" s="25" t="str">
        <f>IF(J3235&lt;&gt;1,"",IF(I3235="SBJ","CB","?"))</f>
        <v> </v>
      </c>
      <c r="I3235" s="26" t="str">
        <f>IF(OR(E3235="",E3235="!!!",F3235="NEW"),"",INDEX(B3234:B$2,-1+SUMPRODUCT(MAX(ROW(E3234:E$2)*(E3235=E3234:E$2)))))</f>
        <v> </v>
      </c>
      <c r="J3235" s="26" t="str">
        <f>IF(OR(E3235="",E3235="!!!",F3235="NEW"),"",COUNTBLANK(OFFSET(A$1,,,SUMPRODUCT(MAX(ROW(E$2:E3235)*(E3235=E$2:E3235)))))-COUNTBLANK(OFFSET(A$1,,,SUMPRODUCT(MAX(ROW(E$1:E3234)*(E2=E$1:E3234))))))</f>
        <v> </v>
      </c>
      <c r="K3235" s="26" t="str">
        <f>IF(OR(E3235="",E3235="!!!",F3235="NEW"),"",INDEX(J$1:J3234,SUMPRODUCT(MAX(ROW(E$1:E3234)*(E3235=E$1:E3234)))))</f>
        <v> </v>
      </c>
      <c r="L3235" s="27"/>
    </row>
    <row r="3236" spans="1:12">
      <c r="A3236" s="20" t="s">
        <v>1056</v>
      </c>
      <c r="E3236" s="22">
        <f>IF(D3236="?OLD","!!!","")</f>
        <v/>
      </c>
      <c r="F3236" s="23" t="str">
        <f>IF(OR(E3236="",E3236="!!!"),"",IF(NOT(ISNA(VLOOKUP(E3236,E$1:E3235,1,FALSE()))),"OLD",IF(AND(E3236&lt;&gt;"",E3236&lt;&gt;"!!!"),"NEW","")))</f>
        <v> </v>
      </c>
      <c r="G3236" s="24" t="str">
        <f>IF(OR(E3236="",E3236="!!!"),"",IF(OR(J3236=0,AND(J3236=1,K3236=1),AND(J3236=1,I3236="SBJ"),AND(J3236=1,I3236=0)),"?IN_FOCUS",IF(J3236&lt;=2,"?ACTIVATED",IF(J3236&lt;&gt;"","?FAMILIAR",IF(F3236="NEW",IF(ISNA(VLOOKUP(E3236,#REF!,1,FALSE())),"?TYPE_IDENTIFIABLE","?REFERENTIAL"),"_")))))</f>
        <v> </v>
      </c>
      <c r="H3236" s="25" t="str">
        <f>IF(J3236&lt;&gt;1,"",IF(I3236="SBJ","CB","?"))</f>
        <v> </v>
      </c>
      <c r="I3236" s="26" t="str">
        <f>IF(OR(E3236="",E3236="!!!",F3236="NEW"),"",INDEX(B3235:B$2,-1+SUMPRODUCT(MAX(ROW(E3235:E$2)*(E3236=E3235:E$2)))))</f>
        <v> </v>
      </c>
      <c r="J3236" s="26" t="str">
        <f>IF(OR(E3236="",E3236="!!!",F3236="NEW"),"",COUNTBLANK(OFFSET(A$1,,,SUMPRODUCT(MAX(ROW(E$2:E3236)*(E3236=E$2:E3236)))))-COUNTBLANK(OFFSET(A$1,,,SUMPRODUCT(MAX(ROW(E$1:E3235)*(E2=E$1:E3235))))))</f>
        <v> </v>
      </c>
      <c r="K3236" s="26" t="str">
        <f>IF(OR(E3236="",E3236="!!!",F3236="NEW"),"",INDEX(J$1:J3235,SUMPRODUCT(MAX(ROW(E$1:E3235)*(E3236=E$1:E3235)))))</f>
        <v> </v>
      </c>
      <c r="L3236" s="27"/>
    </row>
    <row r="3237" spans="1:12">
      <c r="A3237" s="20" t="s">
        <v>1426</v>
      </c>
      <c r="E3237" s="22">
        <f>IF(D3237="?OLD","!!!","")</f>
        <v/>
      </c>
      <c r="F3237" s="23" t="str">
        <f>IF(OR(E3237="",E3237="!!!"),"",IF(NOT(ISNA(VLOOKUP(E3237,E$1:E3236,1,FALSE()))),"OLD",IF(AND(E3237&lt;&gt;"",E3237&lt;&gt;"!!!"),"NEW","")))</f>
        <v> </v>
      </c>
      <c r="G3237" s="24" t="str">
        <f>IF(OR(E3237="",E3237="!!!"),"",IF(OR(J3237=0,AND(J3237=1,K3237=1),AND(J3237=1,I3237="SBJ"),AND(J3237=1,I3237=0)),"?IN_FOCUS",IF(J3237&lt;=2,"?ACTIVATED",IF(J3237&lt;&gt;"","?FAMILIAR",IF(F3237="NEW",IF(ISNA(VLOOKUP(E3237,#REF!,1,FALSE())),"?TYPE_IDENTIFIABLE","?REFERENTIAL"),"_")))))</f>
        <v> </v>
      </c>
      <c r="H3237" s="25" t="str">
        <f>IF(J3237&lt;&gt;1,"",IF(I3237="SBJ","CB","?"))</f>
        <v> </v>
      </c>
      <c r="I3237" s="26" t="str">
        <f>IF(OR(E3237="",E3237="!!!",F3237="NEW"),"",INDEX(B3236:B$2,-1+SUMPRODUCT(MAX(ROW(E3236:E$2)*(E3237=E3236:E$2)))))</f>
        <v> </v>
      </c>
      <c r="J3237" s="26" t="str">
        <f>IF(OR(E3237="",E3237="!!!",F3237="NEW"),"",COUNTBLANK(OFFSET(A$1,,,SUMPRODUCT(MAX(ROW(E$2:E3237)*(E3237=E$2:E3237)))))-COUNTBLANK(OFFSET(A$1,,,SUMPRODUCT(MAX(ROW(E$1:E3236)*(E2=E$1:E3236))))))</f>
        <v> </v>
      </c>
      <c r="K3237" s="26" t="str">
        <f>IF(OR(E3237="",E3237="!!!",F3237="NEW"),"",INDEX(J$1:J3236,SUMPRODUCT(MAX(ROW(E$1:E3236)*(E3237=E$1:E3236)))))</f>
        <v> </v>
      </c>
      <c r="L3237" s="27"/>
    </row>
    <row r="3238" spans="1:12">
      <c r="A3238" s="20" t="s">
        <v>1993</v>
      </c>
      <c r="B3238" s="21" t="s">
        <v>1029</v>
      </c>
      <c r="C3238" s="21" t="s">
        <v>1111</v>
      </c>
      <c r="E3238" s="22">
        <f>IF(D3238="?OLD","!!!","")</f>
        <v/>
      </c>
      <c r="F3238" s="23" t="str">
        <f>IF(OR(E3238="",E3238="!!!"),"",IF(NOT(ISNA(VLOOKUP(E3238,E$1:E3237,1,FALSE()))),"OLD",IF(AND(E3238&lt;&gt;"",E3238&lt;&gt;"!!!"),"NEW","")))</f>
        <v> </v>
      </c>
      <c r="G3238" s="24" t="str">
        <f>IF(OR(E3238="",E3238="!!!"),"",IF(OR(J3238=0,AND(J3238=1,K3238=1),AND(J3238=1,I3238="SBJ"),AND(J3238=1,I3238=0)),"?IN_FOCUS",IF(J3238&lt;=2,"?ACTIVATED",IF(J3238&lt;&gt;"","?FAMILIAR",IF(F3238="NEW",IF(ISNA(VLOOKUP(E3238,#REF!,1,FALSE())),"?TYPE_IDENTIFIABLE","?REFERENTIAL"),"_")))))</f>
        <v> </v>
      </c>
      <c r="H3238" s="25" t="str">
        <f>IF(J3238&lt;&gt;1,"",IF(I3238="SBJ","CB","?"))</f>
        <v> </v>
      </c>
      <c r="I3238" s="26" t="str">
        <f>IF(OR(E3238="",E3238="!!!",F3238="NEW"),"",INDEX(B3237:B$2,-1+SUMPRODUCT(MAX(ROW(E3237:E$2)*(E3238=E3237:E$2)))))</f>
        <v> </v>
      </c>
      <c r="J3238" s="26" t="str">
        <f>IF(OR(E3238="",E3238="!!!",F3238="NEW"),"",COUNTBLANK(OFFSET(A$1,,,SUMPRODUCT(MAX(ROW(E$2:E3238)*(E3238=E$2:E3238)))))-COUNTBLANK(OFFSET(A$1,,,SUMPRODUCT(MAX(ROW(E$1:E3237)*(E2=E$1:E3237))))))</f>
        <v> </v>
      </c>
      <c r="K3238" s="26" t="str">
        <f>IF(OR(E3238="",E3238="!!!",F3238="NEW"),"",INDEX(J$1:J3237,SUMPRODUCT(MAX(ROW(E$1:E3237)*(E3238=E$1:E3237)))))</f>
        <v> </v>
      </c>
      <c r="L3238" s="27"/>
    </row>
    <row r="3239" spans="1:12">
      <c r="A3239" s="20" t="s">
        <v>1994</v>
      </c>
      <c r="E3239" s="22">
        <f>IF(D3239="?OLD","!!!","")</f>
        <v/>
      </c>
      <c r="F3239" s="23" t="str">
        <f>IF(OR(E3239="",E3239="!!!"),"",IF(NOT(ISNA(VLOOKUP(E3239,E$1:E3238,1,FALSE()))),"OLD",IF(AND(E3239&lt;&gt;"",E3239&lt;&gt;"!!!"),"NEW","")))</f>
        <v> </v>
      </c>
      <c r="G3239" s="24" t="str">
        <f>IF(OR(E3239="",E3239="!!!"),"",IF(OR(J3239=0,AND(J3239=1,K3239=1),AND(J3239=1,I3239="SBJ"),AND(J3239=1,I3239=0)),"?IN_FOCUS",IF(J3239&lt;=2,"?ACTIVATED",IF(J3239&lt;&gt;"","?FAMILIAR",IF(F3239="NEW",IF(ISNA(VLOOKUP(E3239,#REF!,1,FALSE())),"?TYPE_IDENTIFIABLE","?REFERENTIAL"),"_")))))</f>
        <v> </v>
      </c>
      <c r="H3239" s="25" t="str">
        <f>IF(J3239&lt;&gt;1,"",IF(I3239="SBJ","CB","?"))</f>
        <v> </v>
      </c>
      <c r="I3239" s="26" t="str">
        <f>IF(OR(E3239="",E3239="!!!",F3239="NEW"),"",INDEX(B3238:B$2,-1+SUMPRODUCT(MAX(ROW(E3238:E$2)*(E3239=E3238:E$2)))))</f>
        <v> </v>
      </c>
      <c r="J3239" s="26" t="str">
        <f>IF(OR(E3239="",E3239="!!!",F3239="NEW"),"",COUNTBLANK(OFFSET(A$1,,,SUMPRODUCT(MAX(ROW(E$2:E3239)*(E3239=E$2:E3239)))))-COUNTBLANK(OFFSET(A$1,,,SUMPRODUCT(MAX(ROW(E$1:E3238)*(E2=E$1:E3238))))))</f>
        <v> </v>
      </c>
      <c r="K3239" s="26" t="str">
        <f>IF(OR(E3239="",E3239="!!!",F3239="NEW"),"",INDEX(J$1:J3238,SUMPRODUCT(MAX(ROW(E$1:E3238)*(E3239=E$1:E3238)))))</f>
        <v> </v>
      </c>
      <c r="L3239" s="27"/>
    </row>
    <row r="3240" spans="1:12">
      <c r="A3240" s="20" t="s">
        <v>1906</v>
      </c>
      <c r="E3240" s="22">
        <f>IF(D3240="?OLD","!!!","")</f>
        <v/>
      </c>
      <c r="F3240" s="23" t="str">
        <f>IF(OR(E3240="",E3240="!!!"),"",IF(NOT(ISNA(VLOOKUP(E3240,E$1:E3239,1,FALSE()))),"OLD",IF(AND(E3240&lt;&gt;"",E3240&lt;&gt;"!!!"),"NEW","")))</f>
        <v> </v>
      </c>
      <c r="G3240" s="24" t="str">
        <f>IF(OR(E3240="",E3240="!!!"),"",IF(OR(J3240=0,AND(J3240=1,K3240=1),AND(J3240=1,I3240="SBJ"),AND(J3240=1,I3240=0)),"?IN_FOCUS",IF(J3240&lt;=2,"?ACTIVATED",IF(J3240&lt;&gt;"","?FAMILIAR",IF(F3240="NEW",IF(ISNA(VLOOKUP(E3240,#REF!,1,FALSE())),"?TYPE_IDENTIFIABLE","?REFERENTIAL"),"_")))))</f>
        <v> </v>
      </c>
      <c r="H3240" s="25" t="str">
        <f>IF(J3240&lt;&gt;1,"",IF(I3240="SBJ","CB","?"))</f>
        <v> </v>
      </c>
      <c r="I3240" s="26" t="str">
        <f>IF(OR(E3240="",E3240="!!!",F3240="NEW"),"",INDEX(B3239:B$2,-1+SUMPRODUCT(MAX(ROW(E3239:E$2)*(E3240=E3239:E$2)))))</f>
        <v> </v>
      </c>
      <c r="J3240" s="26" t="str">
        <f>IF(OR(E3240="",E3240="!!!",F3240="NEW"),"",COUNTBLANK(OFFSET(A$1,,,SUMPRODUCT(MAX(ROW(E$2:E3240)*(E3240=E$2:E3240)))))-COUNTBLANK(OFFSET(A$1,,,SUMPRODUCT(MAX(ROW(E$1:E3239)*(E2=E$1:E3239))))))</f>
        <v> </v>
      </c>
      <c r="K3240" s="26" t="str">
        <f>IF(OR(E3240="",E3240="!!!",F3240="NEW"),"",INDEX(J$1:J3239,SUMPRODUCT(MAX(ROW(E$1:E3239)*(E3240=E$1:E3239)))))</f>
        <v> </v>
      </c>
      <c r="L3240" s="27"/>
    </row>
    <row r="3241" spans="1:12">
      <c r="A3241" s="20" t="s">
        <v>1020</v>
      </c>
      <c r="E3241" s="22">
        <f>IF(D3241="?OLD","!!!","")</f>
        <v/>
      </c>
      <c r="F3241" s="23" t="str">
        <f>IF(OR(E3241="",E3241="!!!"),"",IF(NOT(ISNA(VLOOKUP(E3241,E$1:E3240,1,FALSE()))),"OLD",IF(AND(E3241&lt;&gt;"",E3241&lt;&gt;"!!!"),"NEW","")))</f>
        <v> </v>
      </c>
      <c r="G3241" s="24" t="str">
        <f>IF(OR(E3241="",E3241="!!!"),"",IF(OR(J3241=0,AND(J3241=1,K3241=1),AND(J3241=1,I3241="SBJ"),AND(J3241=1,I3241=0)),"?IN_FOCUS",IF(J3241&lt;=2,"?ACTIVATED",IF(J3241&lt;&gt;"","?FAMILIAR",IF(F3241="NEW",IF(ISNA(VLOOKUP(E3241,#REF!,1,FALSE())),"?TYPE_IDENTIFIABLE","?REFERENTIAL"),"_")))))</f>
        <v> </v>
      </c>
      <c r="H3241" s="25" t="str">
        <f>IF(J3241&lt;&gt;1,"",IF(I3241="SBJ","CB","?"))</f>
        <v> </v>
      </c>
      <c r="I3241" s="26" t="str">
        <f>IF(OR(E3241="",E3241="!!!",F3241="NEW"),"",INDEX(B3240:B$2,-1+SUMPRODUCT(MAX(ROW(E3240:E$2)*(E3241=E3240:E$2)))))</f>
        <v> </v>
      </c>
      <c r="J3241" s="26" t="str">
        <f>IF(OR(E3241="",E3241="!!!",F3241="NEW"),"",COUNTBLANK(OFFSET(A$1,,,SUMPRODUCT(MAX(ROW(E$2:E3241)*(E3241=E$2:E3241)))))-COUNTBLANK(OFFSET(A$1,,,SUMPRODUCT(MAX(ROW(E$1:E3240)*(E2=E$1:E3240))))))</f>
        <v> </v>
      </c>
      <c r="K3241" s="26" t="str">
        <f>IF(OR(E3241="",E3241="!!!",F3241="NEW"),"",INDEX(J$1:J3240,SUMPRODUCT(MAX(ROW(E$1:E3240)*(E3241=E$1:E3240)))))</f>
        <v> </v>
      </c>
      <c r="L3241" s="27"/>
    </row>
    <row r="3242" spans="1:12">
      <c r="A3242" s="20" t="s">
        <v>1339</v>
      </c>
      <c r="B3242" s="21" t="s">
        <v>1035</v>
      </c>
      <c r="C3242" s="21" t="s">
        <v>1017</v>
      </c>
      <c r="D3242" s="21" t="s">
        <v>1007</v>
      </c>
      <c r="E3242" s="22">
        <f>IF(D3242="?OLD","!!!","")</f>
        <v/>
      </c>
      <c r="F3242" s="23" t="str">
        <f>IF(OR(E3242="",E3242="!!!"),"",IF(NOT(ISNA(VLOOKUP(E3242,E$1:E3241,1,FALSE()))),"OLD",IF(AND(E3242&lt;&gt;"",E3242&lt;&gt;"!!!"),"NEW","")))</f>
        <v> </v>
      </c>
      <c r="G3242" s="24" t="str">
        <f>IF(OR(E3242="",E3242="!!!"),"",IF(OR(J3242=0,AND(J3242=1,K3242=1),AND(J3242=1,I3242="SBJ"),AND(J3242=1,I3242=0)),"?IN_FOCUS",IF(J3242&lt;=2,"?ACTIVATED",IF(J3242&lt;&gt;"","?FAMILIAR",IF(F3242="NEW",IF(ISNA(VLOOKUP(E3242,#REF!,1,FALSE())),"?TYPE_IDENTIFIABLE","?REFERENTIAL"),"_")))))</f>
        <v> </v>
      </c>
      <c r="H3242" s="25" t="str">
        <f>IF(J3242&lt;&gt;1,"",IF(I3242="SBJ","CB","?"))</f>
        <v> </v>
      </c>
      <c r="I3242" s="26" t="str">
        <f>IF(OR(E3242="",E3242="!!!",F3242="NEW"),"",INDEX(B3241:B$2,-1+SUMPRODUCT(MAX(ROW(E3241:E$2)*(E3242=E3241:E$2)))))</f>
        <v> </v>
      </c>
      <c r="J3242" s="26" t="str">
        <f>IF(OR(E3242="",E3242="!!!",F3242="NEW"),"",COUNTBLANK(OFFSET(A$1,,,SUMPRODUCT(MAX(ROW(E$2:E3242)*(E3242=E$2:E3242)))))-COUNTBLANK(OFFSET(A$1,,,SUMPRODUCT(MAX(ROW(E$1:E3241)*(E2=E$1:E3241))))))</f>
        <v> </v>
      </c>
      <c r="K3242" s="26" t="str">
        <f>IF(OR(E3242="",E3242="!!!",F3242="NEW"),"",INDEX(J$1:J3241,SUMPRODUCT(MAX(ROW(E$1:E3241)*(E3242=E$1:E3241)))))</f>
        <v> </v>
      </c>
      <c r="L3242" s="27"/>
    </row>
    <row r="3243" spans="1:12">
      <c r="A3243" s="20" t="s">
        <v>1340</v>
      </c>
      <c r="E3243" s="22">
        <f>IF(D3243="?OLD","!!!","")</f>
        <v/>
      </c>
      <c r="F3243" s="23" t="str">
        <f>IF(OR(E3243="",E3243="!!!"),"",IF(NOT(ISNA(VLOOKUP(E3243,E$1:E3242,1,FALSE()))),"OLD",IF(AND(E3243&lt;&gt;"",E3243&lt;&gt;"!!!"),"NEW","")))</f>
        <v> </v>
      </c>
      <c r="G3243" s="24" t="str">
        <f>IF(OR(E3243="",E3243="!!!"),"",IF(OR(J3243=0,AND(J3243=1,K3243=1),AND(J3243=1,I3243="SBJ"),AND(J3243=1,I3243=0)),"?IN_FOCUS",IF(J3243&lt;=2,"?ACTIVATED",IF(J3243&lt;&gt;"","?FAMILIAR",IF(F3243="NEW",IF(ISNA(VLOOKUP(E3243,#REF!,1,FALSE())),"?TYPE_IDENTIFIABLE","?REFERENTIAL"),"_")))))</f>
        <v> </v>
      </c>
      <c r="H3243" s="25" t="str">
        <f>IF(J3243&lt;&gt;1,"",IF(I3243="SBJ","CB","?"))</f>
        <v> </v>
      </c>
      <c r="I3243" s="26" t="str">
        <f>IF(OR(E3243="",E3243="!!!",F3243="NEW"),"",INDEX(B3242:B$2,-1+SUMPRODUCT(MAX(ROW(E3242:E$2)*(E3243=E3242:E$2)))))</f>
        <v> </v>
      </c>
      <c r="J3243" s="26" t="str">
        <f>IF(OR(E3243="",E3243="!!!",F3243="NEW"),"",COUNTBLANK(OFFSET(A$1,,,SUMPRODUCT(MAX(ROW(E$2:E3243)*(E3243=E$2:E3243)))))-COUNTBLANK(OFFSET(A$1,,,SUMPRODUCT(MAX(ROW(E$1:E3242)*(E2=E$1:E3242))))))</f>
        <v> </v>
      </c>
      <c r="K3243" s="26" t="str">
        <f>IF(OR(E3243="",E3243="!!!",F3243="NEW"),"",INDEX(J$1:J3242,SUMPRODUCT(MAX(ROW(E$1:E3242)*(E3243=E$1:E3242)))))</f>
        <v> </v>
      </c>
      <c r="L3243" s="27"/>
    </row>
    <row r="3244" spans="1:12">
      <c r="A3244" s="20" t="s">
        <v>1023</v>
      </c>
      <c r="E3244" s="22">
        <f>IF(D3244="?OLD","!!!","")</f>
        <v/>
      </c>
      <c r="F3244" s="23" t="str">
        <f>IF(OR(E3244="",E3244="!!!"),"",IF(NOT(ISNA(VLOOKUP(E3244,E$1:E3243,1,FALSE()))),"OLD",IF(AND(E3244&lt;&gt;"",E3244&lt;&gt;"!!!"),"NEW","")))</f>
        <v> </v>
      </c>
      <c r="G3244" s="24" t="str">
        <f>IF(OR(E3244="",E3244="!!!"),"",IF(OR(J3244=0,AND(J3244=1,K3244=1),AND(J3244=1,I3244="SBJ"),AND(J3244=1,I3244=0)),"?IN_FOCUS",IF(J3244&lt;=2,"?ACTIVATED",IF(J3244&lt;&gt;"","?FAMILIAR",IF(F3244="NEW",IF(ISNA(VLOOKUP(E3244,#REF!,1,FALSE())),"?TYPE_IDENTIFIABLE","?REFERENTIAL"),"_")))))</f>
        <v> </v>
      </c>
      <c r="H3244" s="25" t="str">
        <f>IF(J3244&lt;&gt;1,"",IF(I3244="SBJ","CB","?"))</f>
        <v> </v>
      </c>
      <c r="I3244" s="26" t="str">
        <f>IF(OR(E3244="",E3244="!!!",F3244="NEW"),"",INDEX(B3243:B$2,-1+SUMPRODUCT(MAX(ROW(E3243:E$2)*(E3244=E3243:E$2)))))</f>
        <v> </v>
      </c>
      <c r="J3244" s="26" t="str">
        <f>IF(OR(E3244="",E3244="!!!",F3244="NEW"),"",COUNTBLANK(OFFSET(A$1,,,SUMPRODUCT(MAX(ROW(E$2:E3244)*(E3244=E$2:E3244)))))-COUNTBLANK(OFFSET(A$1,,,SUMPRODUCT(MAX(ROW(E$1:E3243)*(E2=E$1:E3243))))))</f>
        <v> </v>
      </c>
      <c r="K3244" s="26" t="str">
        <f>IF(OR(E3244="",E3244="!!!",F3244="NEW"),"",INDEX(J$1:J3243,SUMPRODUCT(MAX(ROW(E$1:E3243)*(E3244=E$1:E3243)))))</f>
        <v> </v>
      </c>
      <c r="L3244" s="27"/>
    </row>
    <row r="3245" spans="1:12">
      <c r="A3245" s="20"/>
    </row>
    <row r="3246" spans="1:12">
      <c r="A3246" s="20" t="s">
        <v>1995</v>
      </c>
    </row>
    <row r="3247" spans="1:12">
      <c r="A3247" s="20" t="s">
        <v>1879</v>
      </c>
      <c r="E3247" s="22">
        <f>IF(D3247="?OLD","!!!","")</f>
        <v/>
      </c>
      <c r="F3247" s="23" t="str">
        <f>IF(OR(E3247="",E3247="!!!"),"",IF(NOT(ISNA(VLOOKUP(E3247,E$1:E3246,1,FALSE()))),"OLD",IF(AND(E3247&lt;&gt;"",E3247&lt;&gt;"!!!"),"NEW","")))</f>
        <v> </v>
      </c>
      <c r="G3247" s="24" t="str">
        <f>IF(OR(E3247="",E3247="!!!"),"",IF(OR(J3247=0,AND(J3247=1,K3247=1),AND(J3247=1,I3247="SBJ"),AND(J3247=1,I3247=0)),"?IN_FOCUS",IF(J3247&lt;=2,"?ACTIVATED",IF(J3247&lt;&gt;"","?FAMILIAR",IF(F3247="NEW",IF(ISNA(VLOOKUP(E3247,#REF!,1,FALSE())),"?TYPE_IDENTIFIABLE","?REFERENTIAL"),"_")))))</f>
        <v> </v>
      </c>
      <c r="H3247" s="25" t="str">
        <f>IF(J3247&lt;&gt;1,"",IF(I3247="SBJ","CB","?"))</f>
        <v> </v>
      </c>
      <c r="I3247" s="26" t="str">
        <f>IF(OR(E3247="",E3247="!!!",F3247="NEW"),"",INDEX(B3246:B$2,-1+SUMPRODUCT(MAX(ROW(E3246:E$2)*(E3247=E3246:E$2)))))</f>
        <v> </v>
      </c>
      <c r="J3247" s="26" t="str">
        <f>IF(OR(E3247="",E3247="!!!",F3247="NEW"),"",COUNTBLANK(OFFSET(A$1,,,SUMPRODUCT(MAX(ROW(E$2:E3247)*(E3247=E$2:E3247)))))-COUNTBLANK(OFFSET(A$1,,,SUMPRODUCT(MAX(ROW(E$1:E3246)*(E2=E$1:E3246))))))</f>
        <v> </v>
      </c>
      <c r="K3247" s="26" t="str">
        <f>IF(OR(E3247="",E3247="!!!",F3247="NEW"),"",INDEX(J$1:J3246,SUMPRODUCT(MAX(ROW(E$1:E3246)*(E3247=E$1:E3246)))))</f>
        <v> </v>
      </c>
      <c r="L3247" s="27"/>
    </row>
    <row r="3248" spans="1:12">
      <c r="A3248" s="20" t="s">
        <v>1996</v>
      </c>
      <c r="B3248" s="21" t="s">
        <v>1050</v>
      </c>
      <c r="C3248" s="21" t="s">
        <v>1013</v>
      </c>
      <c r="D3248" s="21" t="s">
        <v>1007</v>
      </c>
      <c r="E3248" s="22">
        <f>IF(D3248="?OLD","!!!","")</f>
        <v/>
      </c>
      <c r="F3248" s="23" t="str">
        <f>IF(OR(E3248="",E3248="!!!"),"",IF(NOT(ISNA(VLOOKUP(E3248,E$1:E3247,1,FALSE()))),"OLD",IF(AND(E3248&lt;&gt;"",E3248&lt;&gt;"!!!"),"NEW","")))</f>
        <v> </v>
      </c>
      <c r="G3248" s="24" t="str">
        <f>IF(OR(E3248="",E3248="!!!"),"",IF(OR(J3248=0,AND(J3248=1,K3248=1),AND(J3248=1,I3248="SBJ"),AND(J3248=1,I3248=0)),"?IN_FOCUS",IF(J3248&lt;=2,"?ACTIVATED",IF(J3248&lt;&gt;"","?FAMILIAR",IF(F3248="NEW",IF(ISNA(VLOOKUP(E3248,#REF!,1,FALSE())),"?TYPE_IDENTIFIABLE","?REFERENTIAL"),"_")))))</f>
        <v> </v>
      </c>
      <c r="H3248" s="25" t="str">
        <f>IF(J3248&lt;&gt;1,"",IF(I3248="SBJ","CB","?"))</f>
        <v> </v>
      </c>
      <c r="I3248" s="26" t="str">
        <f>IF(OR(E3248="",E3248="!!!",F3248="NEW"),"",INDEX(B3247:B$2,-1+SUMPRODUCT(MAX(ROW(E3247:E$2)*(E3248=E3247:E$2)))))</f>
        <v> </v>
      </c>
      <c r="J3248" s="26" t="str">
        <f>IF(OR(E3248="",E3248="!!!",F3248="NEW"),"",COUNTBLANK(OFFSET(A$1,,,SUMPRODUCT(MAX(ROW(E$2:E3248)*(E3248=E$2:E3248)))))-COUNTBLANK(OFFSET(A$1,,,SUMPRODUCT(MAX(ROW(E$1:E3247)*(E2=E$1:E3247))))))</f>
        <v> </v>
      </c>
      <c r="K3248" s="26" t="str">
        <f>IF(OR(E3248="",E3248="!!!",F3248="NEW"),"",INDEX(J$1:J3247,SUMPRODUCT(MAX(ROW(E$1:E3247)*(E3248=E$1:E3247)))))</f>
        <v> </v>
      </c>
      <c r="L3248" s="27"/>
    </row>
    <row r="3249" spans="1:12">
      <c r="A3249" s="20" t="s">
        <v>1014</v>
      </c>
      <c r="E3249" s="22">
        <f>IF(D3249="?OLD","!!!","")</f>
        <v/>
      </c>
      <c r="F3249" s="23" t="str">
        <f>IF(OR(E3249="",E3249="!!!"),"",IF(NOT(ISNA(VLOOKUP(E3249,E$1:E3248,1,FALSE()))),"OLD",IF(AND(E3249&lt;&gt;"",E3249&lt;&gt;"!!!"),"NEW","")))</f>
        <v> </v>
      </c>
      <c r="G3249" s="24" t="str">
        <f>IF(OR(E3249="",E3249="!!!"),"",IF(OR(J3249=0,AND(J3249=1,K3249=1),AND(J3249=1,I3249="SBJ"),AND(J3249=1,I3249=0)),"?IN_FOCUS",IF(J3249&lt;=2,"?ACTIVATED",IF(J3249&lt;&gt;"","?FAMILIAR",IF(F3249="NEW",IF(ISNA(VLOOKUP(E3249,#REF!,1,FALSE())),"?TYPE_IDENTIFIABLE","?REFERENTIAL"),"_")))))</f>
        <v> </v>
      </c>
      <c r="H3249" s="25" t="str">
        <f>IF(J3249&lt;&gt;1,"",IF(I3249="SBJ","CB","?"))</f>
        <v> </v>
      </c>
      <c r="I3249" s="26" t="str">
        <f>IF(OR(E3249="",E3249="!!!",F3249="NEW"),"",INDEX(B3248:B$2,-1+SUMPRODUCT(MAX(ROW(E3248:E$2)*(E3249=E3248:E$2)))))</f>
        <v> </v>
      </c>
      <c r="J3249" s="26" t="str">
        <f>IF(OR(E3249="",E3249="!!!",F3249="NEW"),"",COUNTBLANK(OFFSET(A$1,,,SUMPRODUCT(MAX(ROW(E$2:E3249)*(E3249=E$2:E3249)))))-COUNTBLANK(OFFSET(A$1,,,SUMPRODUCT(MAX(ROW(E$1:E3248)*(E2=E$1:E3248))))))</f>
        <v> </v>
      </c>
      <c r="K3249" s="26" t="str">
        <f>IF(OR(E3249="",E3249="!!!",F3249="NEW"),"",INDEX(J$1:J3248,SUMPRODUCT(MAX(ROW(E$1:E3248)*(E3249=E$1:E3248)))))</f>
        <v> </v>
      </c>
      <c r="L3249" s="27"/>
    </row>
    <row r="3250" spans="1:12">
      <c r="A3250" s="20" t="s">
        <v>1172</v>
      </c>
      <c r="B3250" s="21" t="s">
        <v>1022</v>
      </c>
      <c r="C3250" s="21" t="s">
        <v>1013</v>
      </c>
      <c r="D3250" s="21" t="s">
        <v>1007</v>
      </c>
      <c r="E3250" s="22">
        <f>IF(D3250="?OLD","!!!","")</f>
        <v/>
      </c>
      <c r="F3250" s="23" t="str">
        <f>IF(OR(E3250="",E3250="!!!"),"",IF(NOT(ISNA(VLOOKUP(E3250,E$1:E3249,1,FALSE()))),"OLD",IF(AND(E3250&lt;&gt;"",E3250&lt;&gt;"!!!"),"NEW","")))</f>
        <v> </v>
      </c>
      <c r="G3250" s="24" t="str">
        <f>IF(OR(E3250="",E3250="!!!"),"",IF(OR(J3250=0,AND(J3250=1,K3250=1),AND(J3250=1,I3250="SBJ"),AND(J3250=1,I3250=0)),"?IN_FOCUS",IF(J3250&lt;=2,"?ACTIVATED",IF(J3250&lt;&gt;"","?FAMILIAR",IF(F3250="NEW",IF(ISNA(VLOOKUP(E3250,#REF!,1,FALSE())),"?TYPE_IDENTIFIABLE","?REFERENTIAL"),"_")))))</f>
        <v> </v>
      </c>
      <c r="H3250" s="25" t="str">
        <f>IF(J3250&lt;&gt;1,"",IF(I3250="SBJ","CB","?"))</f>
        <v> </v>
      </c>
      <c r="I3250" s="26" t="str">
        <f>IF(OR(E3250="",E3250="!!!",F3250="NEW"),"",INDEX(B3249:B$2,-1+SUMPRODUCT(MAX(ROW(E3249:E$2)*(E3250=E3249:E$2)))))</f>
        <v> </v>
      </c>
      <c r="J3250" s="26" t="str">
        <f>IF(OR(E3250="",E3250="!!!",F3250="NEW"),"",COUNTBLANK(OFFSET(A$1,,,SUMPRODUCT(MAX(ROW(E$2:E3250)*(E3250=E$2:E3250)))))-COUNTBLANK(OFFSET(A$1,,,SUMPRODUCT(MAX(ROW(E$1:E3249)*(E2=E$1:E3249))))))</f>
        <v> </v>
      </c>
      <c r="K3250" s="26" t="str">
        <f>IF(OR(E3250="",E3250="!!!",F3250="NEW"),"",INDEX(J$1:J3249,SUMPRODUCT(MAX(ROW(E$1:E3249)*(E3250=E$1:E3249)))))</f>
        <v> </v>
      </c>
      <c r="L3250" s="27"/>
    </row>
    <row r="3251" spans="1:12">
      <c r="A3251" s="20" t="s">
        <v>1132</v>
      </c>
      <c r="E3251" s="22">
        <f>IF(D3251="?OLD","!!!","")</f>
        <v/>
      </c>
      <c r="F3251" s="23" t="str">
        <f>IF(OR(E3251="",E3251="!!!"),"",IF(NOT(ISNA(VLOOKUP(E3251,E$1:E3250,1,FALSE()))),"OLD",IF(AND(E3251&lt;&gt;"",E3251&lt;&gt;"!!!"),"NEW","")))</f>
        <v> </v>
      </c>
      <c r="G3251" s="24" t="str">
        <f>IF(OR(E3251="",E3251="!!!"),"",IF(OR(J3251=0,AND(J3251=1,K3251=1),AND(J3251=1,I3251="SBJ"),AND(J3251=1,I3251=0)),"?IN_FOCUS",IF(J3251&lt;=2,"?ACTIVATED",IF(J3251&lt;&gt;"","?FAMILIAR",IF(F3251="NEW",IF(ISNA(VLOOKUP(E3251,#REF!,1,FALSE())),"?TYPE_IDENTIFIABLE","?REFERENTIAL"),"_")))))</f>
        <v> </v>
      </c>
      <c r="H3251" s="25" t="str">
        <f>IF(J3251&lt;&gt;1,"",IF(I3251="SBJ","CB","?"))</f>
        <v> </v>
      </c>
      <c r="I3251" s="26" t="str">
        <f>IF(OR(E3251="",E3251="!!!",F3251="NEW"),"",INDEX(B3250:B$2,-1+SUMPRODUCT(MAX(ROW(E3250:E$2)*(E3251=E3250:E$2)))))</f>
        <v> </v>
      </c>
      <c r="J3251" s="26" t="str">
        <f>IF(OR(E3251="",E3251="!!!",F3251="NEW"),"",COUNTBLANK(OFFSET(A$1,,,SUMPRODUCT(MAX(ROW(E$2:E3251)*(E3251=E$2:E3251)))))-COUNTBLANK(OFFSET(A$1,,,SUMPRODUCT(MAX(ROW(E$1:E3250)*(E2=E$1:E3250))))))</f>
        <v> </v>
      </c>
      <c r="K3251" s="26" t="str">
        <f>IF(OR(E3251="",E3251="!!!",F3251="NEW"),"",INDEX(J$1:J3250,SUMPRODUCT(MAX(ROW(E$1:E3250)*(E3251=E$1:E3250)))))</f>
        <v> </v>
      </c>
      <c r="L3251" s="27"/>
    </row>
    <row r="3252" spans="1:12">
      <c r="A3252" s="20" t="s">
        <v>1935</v>
      </c>
      <c r="B3252" s="21" t="s">
        <v>1033</v>
      </c>
      <c r="C3252" s="21" t="s">
        <v>1006</v>
      </c>
      <c r="D3252" s="21" t="s">
        <v>1007</v>
      </c>
      <c r="E3252" s="22">
        <f>IF(D3252="?OLD","!!!","")</f>
        <v/>
      </c>
      <c r="F3252" s="23" t="str">
        <f>IF(OR(E3252="",E3252="!!!"),"",IF(NOT(ISNA(VLOOKUP(E3252,E$1:E3251,1,FALSE()))),"OLD",IF(AND(E3252&lt;&gt;"",E3252&lt;&gt;"!!!"),"NEW","")))</f>
        <v> </v>
      </c>
      <c r="G3252" s="24" t="str">
        <f>IF(OR(E3252="",E3252="!!!"),"",IF(OR(J3252=0,AND(J3252=1,K3252=1),AND(J3252=1,I3252="SBJ"),AND(J3252=1,I3252=0)),"?IN_FOCUS",IF(J3252&lt;=2,"?ACTIVATED",IF(J3252&lt;&gt;"","?FAMILIAR",IF(F3252="NEW",IF(ISNA(VLOOKUP(E3252,#REF!,1,FALSE())),"?TYPE_IDENTIFIABLE","?REFERENTIAL"),"_")))))</f>
        <v> </v>
      </c>
      <c r="H3252" s="25" t="str">
        <f>IF(J3252&lt;&gt;1,"",IF(I3252="SBJ","CB","?"))</f>
        <v> </v>
      </c>
      <c r="I3252" s="26" t="str">
        <f>IF(OR(E3252="",E3252="!!!",F3252="NEW"),"",INDEX(B3251:B$2,-1+SUMPRODUCT(MAX(ROW(E3251:E$2)*(E3252=E3251:E$2)))))</f>
        <v> </v>
      </c>
      <c r="J3252" s="26" t="str">
        <f>IF(OR(E3252="",E3252="!!!",F3252="NEW"),"",COUNTBLANK(OFFSET(A$1,,,SUMPRODUCT(MAX(ROW(E$2:E3252)*(E3252=E$2:E3252)))))-COUNTBLANK(OFFSET(A$1,,,SUMPRODUCT(MAX(ROW(E$1:E3251)*(E2=E$1:E3251))))))</f>
        <v> </v>
      </c>
      <c r="K3252" s="26" t="str">
        <f>IF(OR(E3252="",E3252="!!!",F3252="NEW"),"",INDEX(J$1:J3251,SUMPRODUCT(MAX(ROW(E$1:E3251)*(E3252=E$1:E3251)))))</f>
        <v> </v>
      </c>
      <c r="L3252" s="27"/>
    </row>
    <row r="3253" spans="1:12">
      <c r="A3253" s="20" t="s">
        <v>1936</v>
      </c>
      <c r="B3253" s="21" t="s">
        <v>1035</v>
      </c>
      <c r="C3253" s="21" t="s">
        <v>1006</v>
      </c>
      <c r="D3253" s="21" t="s">
        <v>1007</v>
      </c>
      <c r="E3253" s="22">
        <f>IF(D3253="?OLD","!!!","")</f>
        <v/>
      </c>
      <c r="F3253" s="23" t="str">
        <f>IF(OR(E3253="",E3253="!!!"),"",IF(NOT(ISNA(VLOOKUP(E3253,E$1:E3252,1,FALSE()))),"OLD",IF(AND(E3253&lt;&gt;"",E3253&lt;&gt;"!!!"),"NEW","")))</f>
        <v> </v>
      </c>
      <c r="G3253" s="24" t="str">
        <f>IF(OR(E3253="",E3253="!!!"),"",IF(OR(J3253=0,AND(J3253=1,K3253=1),AND(J3253=1,I3253="SBJ"),AND(J3253=1,I3253=0)),"?IN_FOCUS",IF(J3253&lt;=2,"?ACTIVATED",IF(J3253&lt;&gt;"","?FAMILIAR",IF(F3253="NEW",IF(ISNA(VLOOKUP(E3253,#REF!,1,FALSE())),"?TYPE_IDENTIFIABLE","?REFERENTIAL"),"_")))))</f>
        <v> </v>
      </c>
      <c r="H3253" s="25" t="str">
        <f>IF(J3253&lt;&gt;1,"",IF(I3253="SBJ","CB","?"))</f>
        <v> </v>
      </c>
      <c r="I3253" s="26" t="str">
        <f>IF(OR(E3253="",E3253="!!!",F3253="NEW"),"",INDEX(B3252:B$2,-1+SUMPRODUCT(MAX(ROW(E3252:E$2)*(E3253=E3252:E$2)))))</f>
        <v> </v>
      </c>
      <c r="J3253" s="26" t="str">
        <f>IF(OR(E3253="",E3253="!!!",F3253="NEW"),"",COUNTBLANK(OFFSET(A$1,,,SUMPRODUCT(MAX(ROW(E$2:E3253)*(E3253=E$2:E3253)))))-COUNTBLANK(OFFSET(A$1,,,SUMPRODUCT(MAX(ROW(E$1:E3252)*(E2=E$1:E3252))))))</f>
        <v> </v>
      </c>
      <c r="K3253" s="26" t="str">
        <f>IF(OR(E3253="",E3253="!!!",F3253="NEW"),"",INDEX(J$1:J3252,SUMPRODUCT(MAX(ROW(E$1:E3252)*(E3253=E$1:E3252)))))</f>
        <v> </v>
      </c>
      <c r="L3253" s="27"/>
    </row>
    <row r="3254" spans="1:12">
      <c r="A3254" s="20" t="s">
        <v>1142</v>
      </c>
      <c r="E3254" s="22">
        <f>IF(D3254="?OLD","!!!","")</f>
        <v/>
      </c>
      <c r="F3254" s="23" t="str">
        <f>IF(OR(E3254="",E3254="!!!"),"",IF(NOT(ISNA(VLOOKUP(E3254,E$1:E3253,1,FALSE()))),"OLD",IF(AND(E3254&lt;&gt;"",E3254&lt;&gt;"!!!"),"NEW","")))</f>
        <v> </v>
      </c>
      <c r="G3254" s="24" t="str">
        <f>IF(OR(E3254="",E3254="!!!"),"",IF(OR(J3254=0,AND(J3254=1,K3254=1),AND(J3254=1,I3254="SBJ"),AND(J3254=1,I3254=0)),"?IN_FOCUS",IF(J3254&lt;=2,"?ACTIVATED",IF(J3254&lt;&gt;"","?FAMILIAR",IF(F3254="NEW",IF(ISNA(VLOOKUP(E3254,#REF!,1,FALSE())),"?TYPE_IDENTIFIABLE","?REFERENTIAL"),"_")))))</f>
        <v> </v>
      </c>
      <c r="H3254" s="25" t="str">
        <f>IF(J3254&lt;&gt;1,"",IF(I3254="SBJ","CB","?"))</f>
        <v> </v>
      </c>
      <c r="I3254" s="26" t="str">
        <f>IF(OR(E3254="",E3254="!!!",F3254="NEW"),"",INDEX(B3253:B$2,-1+SUMPRODUCT(MAX(ROW(E3253:E$2)*(E3254=E3253:E$2)))))</f>
        <v> </v>
      </c>
      <c r="J3254" s="26" t="str">
        <f>IF(OR(E3254="",E3254="!!!",F3254="NEW"),"",COUNTBLANK(OFFSET(A$1,,,SUMPRODUCT(MAX(ROW(E$2:E3254)*(E3254=E$2:E3254)))))-COUNTBLANK(OFFSET(A$1,,,SUMPRODUCT(MAX(ROW(E$1:E3253)*(E2=E$1:E3253))))))</f>
        <v> </v>
      </c>
      <c r="K3254" s="26" t="str">
        <f>IF(OR(E3254="",E3254="!!!",F3254="NEW"),"",INDEX(J$1:J3253,SUMPRODUCT(MAX(ROW(E$1:E3253)*(E3254=E$1:E3253)))))</f>
        <v> </v>
      </c>
      <c r="L3254" s="27"/>
    </row>
    <row r="3255" spans="1:12">
      <c r="A3255" s="20" t="s">
        <v>1997</v>
      </c>
      <c r="E3255" s="22">
        <f>IF(D3255="?OLD","!!!","")</f>
        <v/>
      </c>
      <c r="F3255" s="23" t="str">
        <f>IF(OR(E3255="",E3255="!!!"),"",IF(NOT(ISNA(VLOOKUP(E3255,E$1:E3254,1,FALSE()))),"OLD",IF(AND(E3255&lt;&gt;"",E3255&lt;&gt;"!!!"),"NEW","")))</f>
        <v> </v>
      </c>
      <c r="G3255" s="24" t="str">
        <f>IF(OR(E3255="",E3255="!!!"),"",IF(OR(J3255=0,AND(J3255=1,K3255=1),AND(J3255=1,I3255="SBJ"),AND(J3255=1,I3255=0)),"?IN_FOCUS",IF(J3255&lt;=2,"?ACTIVATED",IF(J3255&lt;&gt;"","?FAMILIAR",IF(F3255="NEW",IF(ISNA(VLOOKUP(E3255,#REF!,1,FALSE())),"?TYPE_IDENTIFIABLE","?REFERENTIAL"),"_")))))</f>
        <v> </v>
      </c>
      <c r="H3255" s="25" t="str">
        <f>IF(J3255&lt;&gt;1,"",IF(I3255="SBJ","CB","?"))</f>
        <v> </v>
      </c>
      <c r="I3255" s="26" t="str">
        <f>IF(OR(E3255="",E3255="!!!",F3255="NEW"),"",INDEX(B3254:B$2,-1+SUMPRODUCT(MAX(ROW(E3254:E$2)*(E3255=E3254:E$2)))))</f>
        <v> </v>
      </c>
      <c r="J3255" s="26" t="str">
        <f>IF(OR(E3255="",E3255="!!!",F3255="NEW"),"",COUNTBLANK(OFFSET(A$1,,,SUMPRODUCT(MAX(ROW(E$2:E3255)*(E3255=E$2:E3255)))))-COUNTBLANK(OFFSET(A$1,,,SUMPRODUCT(MAX(ROW(E$1:E3254)*(E2=E$1:E3254))))))</f>
        <v> </v>
      </c>
      <c r="K3255" s="26" t="str">
        <f>IF(OR(E3255="",E3255="!!!",F3255="NEW"),"",INDEX(J$1:J3254,SUMPRODUCT(MAX(ROW(E$1:E3254)*(E3255=E$1:E3254)))))</f>
        <v> </v>
      </c>
      <c r="L3255" s="27"/>
    </row>
    <row r="3256" spans="1:12">
      <c r="A3256" s="20" t="s">
        <v>1020</v>
      </c>
      <c r="E3256" s="22">
        <f>IF(D3256="?OLD","!!!","")</f>
        <v/>
      </c>
      <c r="F3256" s="23" t="str">
        <f>IF(OR(E3256="",E3256="!!!"),"",IF(NOT(ISNA(VLOOKUP(E3256,E$1:E3255,1,FALSE()))),"OLD",IF(AND(E3256&lt;&gt;"",E3256&lt;&gt;"!!!"),"NEW","")))</f>
        <v> </v>
      </c>
      <c r="G3256" s="24" t="str">
        <f>IF(OR(E3256="",E3256="!!!"),"",IF(OR(J3256=0,AND(J3256=1,K3256=1),AND(J3256=1,I3256="SBJ"),AND(J3256=1,I3256=0)),"?IN_FOCUS",IF(J3256&lt;=2,"?ACTIVATED",IF(J3256&lt;&gt;"","?FAMILIAR",IF(F3256="NEW",IF(ISNA(VLOOKUP(E3256,#REF!,1,FALSE())),"?TYPE_IDENTIFIABLE","?REFERENTIAL"),"_")))))</f>
        <v> </v>
      </c>
      <c r="H3256" s="25" t="str">
        <f>IF(J3256&lt;&gt;1,"",IF(I3256="SBJ","CB","?"))</f>
        <v> </v>
      </c>
      <c r="I3256" s="26" t="str">
        <f>IF(OR(E3256="",E3256="!!!",F3256="NEW"),"",INDEX(B3255:B$2,-1+SUMPRODUCT(MAX(ROW(E3255:E$2)*(E3256=E3255:E$2)))))</f>
        <v> </v>
      </c>
      <c r="J3256" s="26" t="str">
        <f>IF(OR(E3256="",E3256="!!!",F3256="NEW"),"",COUNTBLANK(OFFSET(A$1,,,SUMPRODUCT(MAX(ROW(E$2:E3256)*(E3256=E$2:E3256)))))-COUNTBLANK(OFFSET(A$1,,,SUMPRODUCT(MAX(ROW(E$1:E3255)*(E2=E$1:E3255))))))</f>
        <v> </v>
      </c>
      <c r="K3256" s="26" t="str">
        <f>IF(OR(E3256="",E3256="!!!",F3256="NEW"),"",INDEX(J$1:J3255,SUMPRODUCT(MAX(ROW(E$1:E3255)*(E3256=E$1:E3255)))))</f>
        <v> </v>
      </c>
      <c r="L3256" s="27"/>
    </row>
    <row r="3257" spans="1:12">
      <c r="A3257" s="20" t="s">
        <v>1998</v>
      </c>
      <c r="B3257" s="21" t="s">
        <v>1085</v>
      </c>
      <c r="C3257" s="21" t="s">
        <v>1017</v>
      </c>
      <c r="D3257" s="21" t="s">
        <v>1007</v>
      </c>
      <c r="E3257" s="22">
        <f>IF(D3257="?OLD","!!!","")</f>
        <v/>
      </c>
      <c r="F3257" s="23" t="str">
        <f>IF(OR(E3257="",E3257="!!!"),"",IF(NOT(ISNA(VLOOKUP(E3257,E$1:E3256,1,FALSE()))),"OLD",IF(AND(E3257&lt;&gt;"",E3257&lt;&gt;"!!!"),"NEW","")))</f>
        <v> </v>
      </c>
      <c r="G3257" s="24" t="str">
        <f>IF(OR(E3257="",E3257="!!!"),"",IF(OR(J3257=0,AND(J3257=1,K3257=1),AND(J3257=1,I3257="SBJ"),AND(J3257=1,I3257=0)),"?IN_FOCUS",IF(J3257&lt;=2,"?ACTIVATED",IF(J3257&lt;&gt;"","?FAMILIAR",IF(F3257="NEW",IF(ISNA(VLOOKUP(E3257,#REF!,1,FALSE())),"?TYPE_IDENTIFIABLE","?REFERENTIAL"),"_")))))</f>
        <v> </v>
      </c>
      <c r="H3257" s="25" t="str">
        <f>IF(J3257&lt;&gt;1,"",IF(I3257="SBJ","CB","?"))</f>
        <v> </v>
      </c>
      <c r="I3257" s="26" t="str">
        <f>IF(OR(E3257="",E3257="!!!",F3257="NEW"),"",INDEX(B3256:B$2,-1+SUMPRODUCT(MAX(ROW(E3256:E$2)*(E3257=E3256:E$2)))))</f>
        <v> </v>
      </c>
      <c r="J3257" s="26" t="str">
        <f>IF(OR(E3257="",E3257="!!!",F3257="NEW"),"",COUNTBLANK(OFFSET(A$1,,,SUMPRODUCT(MAX(ROW(E$2:E3257)*(E3257=E$2:E3257)))))-COUNTBLANK(OFFSET(A$1,,,SUMPRODUCT(MAX(ROW(E$1:E3256)*(E2=E$1:E3256))))))</f>
        <v> </v>
      </c>
      <c r="K3257" s="26" t="str">
        <f>IF(OR(E3257="",E3257="!!!",F3257="NEW"),"",INDEX(J$1:J3256,SUMPRODUCT(MAX(ROW(E$1:E3256)*(E3257=E$1:E3256)))))</f>
        <v> </v>
      </c>
      <c r="L3257" s="27"/>
    </row>
    <row r="3258" spans="1:12">
      <c r="A3258" s="20" t="s">
        <v>1286</v>
      </c>
      <c r="E3258" s="22">
        <f>IF(D3258="?OLD","!!!","")</f>
        <v/>
      </c>
      <c r="F3258" s="23" t="str">
        <f>IF(OR(E3258="",E3258="!!!"),"",IF(NOT(ISNA(VLOOKUP(E3258,E$1:E3257,1,FALSE()))),"OLD",IF(AND(E3258&lt;&gt;"",E3258&lt;&gt;"!!!"),"NEW","")))</f>
        <v> </v>
      </c>
      <c r="G3258" s="24" t="str">
        <f>IF(OR(E3258="",E3258="!!!"),"",IF(OR(J3258=0,AND(J3258=1,K3258=1),AND(J3258=1,I3258="SBJ"),AND(J3258=1,I3258=0)),"?IN_FOCUS",IF(J3258&lt;=2,"?ACTIVATED",IF(J3258&lt;&gt;"","?FAMILIAR",IF(F3258="NEW",IF(ISNA(VLOOKUP(E3258,#REF!,1,FALSE())),"?TYPE_IDENTIFIABLE","?REFERENTIAL"),"_")))))</f>
        <v> </v>
      </c>
      <c r="H3258" s="25" t="str">
        <f>IF(J3258&lt;&gt;1,"",IF(I3258="SBJ","CB","?"))</f>
        <v> </v>
      </c>
      <c r="I3258" s="26" t="str">
        <f>IF(OR(E3258="",E3258="!!!",F3258="NEW"),"",INDEX(B3257:B$2,-1+SUMPRODUCT(MAX(ROW(E3257:E$2)*(E3258=E3257:E$2)))))</f>
        <v> </v>
      </c>
      <c r="J3258" s="26" t="str">
        <f>IF(OR(E3258="",E3258="!!!",F3258="NEW"),"",COUNTBLANK(OFFSET(A$1,,,SUMPRODUCT(MAX(ROW(E$2:E3258)*(E3258=E$2:E3258)))))-COUNTBLANK(OFFSET(A$1,,,SUMPRODUCT(MAX(ROW(E$1:E3257)*(E2=E$1:E3257))))))</f>
        <v> </v>
      </c>
      <c r="K3258" s="26" t="str">
        <f>IF(OR(E3258="",E3258="!!!",F3258="NEW"),"",INDEX(J$1:J3257,SUMPRODUCT(MAX(ROW(E$1:E3257)*(E3258=E$1:E3257)))))</f>
        <v> </v>
      </c>
      <c r="L3258" s="27"/>
    </row>
    <row r="3259" spans="1:12">
      <c r="A3259" s="20" t="s">
        <v>1999</v>
      </c>
      <c r="E3259" s="22">
        <f>IF(D3259="?OLD","!!!","")</f>
        <v/>
      </c>
      <c r="F3259" s="23" t="str">
        <f>IF(OR(E3259="",E3259="!!!"),"",IF(NOT(ISNA(VLOOKUP(E3259,E$1:E3258,1,FALSE()))),"OLD",IF(AND(E3259&lt;&gt;"",E3259&lt;&gt;"!!!"),"NEW","")))</f>
        <v> </v>
      </c>
      <c r="G3259" s="24" t="str">
        <f>IF(OR(E3259="",E3259="!!!"),"",IF(OR(J3259=0,AND(J3259=1,K3259=1),AND(J3259=1,I3259="SBJ"),AND(J3259=1,I3259=0)),"?IN_FOCUS",IF(J3259&lt;=2,"?ACTIVATED",IF(J3259&lt;&gt;"","?FAMILIAR",IF(F3259="NEW",IF(ISNA(VLOOKUP(E3259,#REF!,1,FALSE())),"?TYPE_IDENTIFIABLE","?REFERENTIAL"),"_")))))</f>
        <v> </v>
      </c>
      <c r="H3259" s="25" t="str">
        <f>IF(J3259&lt;&gt;1,"",IF(I3259="SBJ","CB","?"))</f>
        <v> </v>
      </c>
      <c r="I3259" s="26" t="str">
        <f>IF(OR(E3259="",E3259="!!!",F3259="NEW"),"",INDEX(B3258:B$2,-1+SUMPRODUCT(MAX(ROW(E3258:E$2)*(E3259=E3258:E$2)))))</f>
        <v> </v>
      </c>
      <c r="J3259" s="26" t="str">
        <f>IF(OR(E3259="",E3259="!!!",F3259="NEW"),"",COUNTBLANK(OFFSET(A$1,,,SUMPRODUCT(MAX(ROW(E$2:E3259)*(E3259=E$2:E3259)))))-COUNTBLANK(OFFSET(A$1,,,SUMPRODUCT(MAX(ROW(E$1:E3258)*(E2=E$1:E3258))))))</f>
        <v> </v>
      </c>
      <c r="K3259" s="26" t="str">
        <f>IF(OR(E3259="",E3259="!!!",F3259="NEW"),"",INDEX(J$1:J3258,SUMPRODUCT(MAX(ROW(E$1:E3258)*(E3259=E$1:E3258)))))</f>
        <v> </v>
      </c>
      <c r="L3259" s="27"/>
    </row>
    <row r="3260" spans="1:12">
      <c r="A3260" s="20" t="s">
        <v>1023</v>
      </c>
      <c r="E3260" s="22">
        <f>IF(D3260="?OLD","!!!","")</f>
        <v/>
      </c>
      <c r="F3260" s="23" t="str">
        <f>IF(OR(E3260="",E3260="!!!"),"",IF(NOT(ISNA(VLOOKUP(E3260,E$1:E3259,1,FALSE()))),"OLD",IF(AND(E3260&lt;&gt;"",E3260&lt;&gt;"!!!"),"NEW","")))</f>
        <v> </v>
      </c>
      <c r="G3260" s="24" t="str">
        <f>IF(OR(E3260="",E3260="!!!"),"",IF(OR(J3260=0,AND(J3260=1,K3260=1),AND(J3260=1,I3260="SBJ"),AND(J3260=1,I3260=0)),"?IN_FOCUS",IF(J3260&lt;=2,"?ACTIVATED",IF(J3260&lt;&gt;"","?FAMILIAR",IF(F3260="NEW",IF(ISNA(VLOOKUP(E3260,#REF!,1,FALSE())),"?TYPE_IDENTIFIABLE","?REFERENTIAL"),"_")))))</f>
        <v> </v>
      </c>
      <c r="H3260" s="25" t="str">
        <f>IF(J3260&lt;&gt;1,"",IF(I3260="SBJ","CB","?"))</f>
        <v> </v>
      </c>
      <c r="I3260" s="26" t="str">
        <f>IF(OR(E3260="",E3260="!!!",F3260="NEW"),"",INDEX(B3259:B$2,-1+SUMPRODUCT(MAX(ROW(E3259:E$2)*(E3260=E3259:E$2)))))</f>
        <v> </v>
      </c>
      <c r="J3260" s="26" t="str">
        <f>IF(OR(E3260="",E3260="!!!",F3260="NEW"),"",COUNTBLANK(OFFSET(A$1,,,SUMPRODUCT(MAX(ROW(E$2:E3260)*(E3260=E$2:E3260)))))-COUNTBLANK(OFFSET(A$1,,,SUMPRODUCT(MAX(ROW(E$1:E3259)*(E2=E$1:E3259))))))</f>
        <v> </v>
      </c>
      <c r="K3260" s="26" t="str">
        <f>IF(OR(E3260="",E3260="!!!",F3260="NEW"),"",INDEX(J$1:J3259,SUMPRODUCT(MAX(ROW(E$1:E3259)*(E3260=E$1:E3259)))))</f>
        <v> </v>
      </c>
      <c r="L3260" s="27"/>
    </row>
    <row r="3261" spans="1:12">
      <c r="A3261" s="20"/>
    </row>
    <row r="3262" spans="1:12">
      <c r="A3262" s="20" t="s">
        <v>2000</v>
      </c>
    </row>
    <row r="3263" spans="1:12">
      <c r="A3263" s="20" t="s">
        <v>11</v>
      </c>
      <c r="E3263" s="22">
        <f>IF(D3263="?OLD","!!!","")</f>
        <v/>
      </c>
      <c r="F3263" s="23" t="str">
        <f>IF(OR(E3263="",E3263="!!!"),"",IF(NOT(ISNA(VLOOKUP(E3263,E$1:E3262,1,FALSE()))),"OLD",IF(AND(E3263&lt;&gt;"",E3263&lt;&gt;"!!!"),"NEW","")))</f>
        <v> </v>
      </c>
      <c r="G3263" s="24" t="str">
        <f>IF(OR(E3263="",E3263="!!!"),"",IF(OR(J3263=0,AND(J3263=1,K3263=1),AND(J3263=1,I3263="SBJ"),AND(J3263=1,I3263=0)),"?IN_FOCUS",IF(J3263&lt;=2,"?ACTIVATED",IF(J3263&lt;&gt;"","?FAMILIAR",IF(F3263="NEW",IF(ISNA(VLOOKUP(E3263,#REF!,1,FALSE())),"?TYPE_IDENTIFIABLE","?REFERENTIAL"),"_")))))</f>
        <v> </v>
      </c>
      <c r="H3263" s="25" t="str">
        <f>IF(J3263&lt;&gt;1,"",IF(I3263="SBJ","CB","?"))</f>
        <v> </v>
      </c>
      <c r="I3263" s="26" t="str">
        <f>IF(OR(E3263="",E3263="!!!",F3263="NEW"),"",INDEX(B3262:B$2,-1+SUMPRODUCT(MAX(ROW(E3262:E$2)*(E3263=E3262:E$2)))))</f>
        <v> </v>
      </c>
      <c r="J3263" s="26" t="str">
        <f>IF(OR(E3263="",E3263="!!!",F3263="NEW"),"",COUNTBLANK(OFFSET(A$1,,,SUMPRODUCT(MAX(ROW(E$2:E3263)*(E3263=E$2:E3263)))))-COUNTBLANK(OFFSET(A$1,,,SUMPRODUCT(MAX(ROW(E$1:E3262)*(E2=E$1:E3262))))))</f>
        <v> </v>
      </c>
      <c r="K3263" s="26" t="str">
        <f>IF(OR(E3263="",E3263="!!!",F3263="NEW"),"",INDEX(J$1:J3262,SUMPRODUCT(MAX(ROW(E$1:E3262)*(E3263=E$1:E3262)))))</f>
        <v> </v>
      </c>
      <c r="L3263" s="27"/>
    </row>
    <row r="3264" spans="1:12">
      <c r="A3264" s="20" t="s">
        <v>2001</v>
      </c>
      <c r="B3264" s="21" t="s">
        <v>1050</v>
      </c>
      <c r="C3264" s="21" t="s">
        <v>1017</v>
      </c>
      <c r="D3264" s="21" t="s">
        <v>1007</v>
      </c>
      <c r="E3264" s="22">
        <f>IF(D3264="?OLD","!!!","")</f>
        <v/>
      </c>
      <c r="F3264" s="23" t="str">
        <f>IF(OR(E3264="",E3264="!!!"),"",IF(NOT(ISNA(VLOOKUP(E3264,E$1:E3263,1,FALSE()))),"OLD",IF(AND(E3264&lt;&gt;"",E3264&lt;&gt;"!!!"),"NEW","")))</f>
        <v> </v>
      </c>
      <c r="G3264" s="24" t="str">
        <f>IF(OR(E3264="",E3264="!!!"),"",IF(OR(J3264=0,AND(J3264=1,K3264=1),AND(J3264=1,I3264="SBJ"),AND(J3264=1,I3264=0)),"?IN_FOCUS",IF(J3264&lt;=2,"?ACTIVATED",IF(J3264&lt;&gt;"","?FAMILIAR",IF(F3264="NEW",IF(ISNA(VLOOKUP(E3264,#REF!,1,FALSE())),"?TYPE_IDENTIFIABLE","?REFERENTIAL"),"_")))))</f>
        <v> </v>
      </c>
      <c r="H3264" s="25" t="str">
        <f>IF(J3264&lt;&gt;1,"",IF(I3264="SBJ","CB","?"))</f>
        <v> </v>
      </c>
      <c r="I3264" s="26" t="str">
        <f>IF(OR(E3264="",E3264="!!!",F3264="NEW"),"",INDEX(B3263:B$2,-1+SUMPRODUCT(MAX(ROW(E3263:E$2)*(E3264=E3263:E$2)))))</f>
        <v> </v>
      </c>
      <c r="J3264" s="26" t="str">
        <f>IF(OR(E3264="",E3264="!!!",F3264="NEW"),"",COUNTBLANK(OFFSET(A$1,,,SUMPRODUCT(MAX(ROW(E$2:E3264)*(E3264=E$2:E3264)))))-COUNTBLANK(OFFSET(A$1,,,SUMPRODUCT(MAX(ROW(E$1:E3263)*(E2=E$1:E3263))))))</f>
        <v> </v>
      </c>
      <c r="K3264" s="26" t="str">
        <f>IF(OR(E3264="",E3264="!!!",F3264="NEW"),"",INDEX(J$1:J3263,SUMPRODUCT(MAX(ROW(E$1:E3263)*(E3264=E$1:E3263)))))</f>
        <v> </v>
      </c>
      <c r="L3264" s="27"/>
    </row>
    <row r="3265" spans="1:12">
      <c r="A3265" s="20" t="s">
        <v>1267</v>
      </c>
      <c r="E3265" s="22">
        <f>IF(D3265="?OLD","!!!","")</f>
        <v/>
      </c>
      <c r="F3265" s="23" t="str">
        <f>IF(OR(E3265="",E3265="!!!"),"",IF(NOT(ISNA(VLOOKUP(E3265,E$1:E3264,1,FALSE()))),"OLD",IF(AND(E3265&lt;&gt;"",E3265&lt;&gt;"!!!"),"NEW","")))</f>
        <v> </v>
      </c>
      <c r="G3265" s="24" t="str">
        <f>IF(OR(E3265="",E3265="!!!"),"",IF(OR(J3265=0,AND(J3265=1,K3265=1),AND(J3265=1,I3265="SBJ"),AND(J3265=1,I3265=0)),"?IN_FOCUS",IF(J3265&lt;=2,"?ACTIVATED",IF(J3265&lt;&gt;"","?FAMILIAR",IF(F3265="NEW",IF(ISNA(VLOOKUP(E3265,#REF!,1,FALSE())),"?TYPE_IDENTIFIABLE","?REFERENTIAL"),"_")))))</f>
        <v> </v>
      </c>
      <c r="H3265" s="25" t="str">
        <f>IF(J3265&lt;&gt;1,"",IF(I3265="SBJ","CB","?"))</f>
        <v> </v>
      </c>
      <c r="I3265" s="26" t="str">
        <f>IF(OR(E3265="",E3265="!!!",F3265="NEW"),"",INDEX(B3264:B$2,-1+SUMPRODUCT(MAX(ROW(E3264:E$2)*(E3265=E3264:E$2)))))</f>
        <v> </v>
      </c>
      <c r="J3265" s="26" t="str">
        <f>IF(OR(E3265="",E3265="!!!",F3265="NEW"),"",COUNTBLANK(OFFSET(A$1,,,SUMPRODUCT(MAX(ROW(E$2:E3265)*(E3265=E$2:E3265)))))-COUNTBLANK(OFFSET(A$1,,,SUMPRODUCT(MAX(ROW(E$1:E3264)*(E2=E$1:E3264))))))</f>
        <v> </v>
      </c>
      <c r="K3265" s="26" t="str">
        <f>IF(OR(E3265="",E3265="!!!",F3265="NEW"),"",INDEX(J$1:J3264,SUMPRODUCT(MAX(ROW(E$1:E3264)*(E3265=E$1:E3264)))))</f>
        <v> </v>
      </c>
      <c r="L3265" s="27"/>
    </row>
    <row r="3266" spans="1:12">
      <c r="A3266" s="20" t="s">
        <v>1142</v>
      </c>
      <c r="E3266" s="22">
        <f>IF(D3266="?OLD","!!!","")</f>
        <v/>
      </c>
      <c r="F3266" s="23" t="str">
        <f>IF(OR(E3266="",E3266="!!!"),"",IF(NOT(ISNA(VLOOKUP(E3266,E$1:E3265,1,FALSE()))),"OLD",IF(AND(E3266&lt;&gt;"",E3266&lt;&gt;"!!!"),"NEW","")))</f>
        <v> </v>
      </c>
      <c r="G3266" s="24" t="str">
        <f>IF(OR(E3266="",E3266="!!!"),"",IF(OR(J3266=0,AND(J3266=1,K3266=1),AND(J3266=1,I3266="SBJ"),AND(J3266=1,I3266=0)),"?IN_FOCUS",IF(J3266&lt;=2,"?ACTIVATED",IF(J3266&lt;&gt;"","?FAMILIAR",IF(F3266="NEW",IF(ISNA(VLOOKUP(E3266,#REF!,1,FALSE())),"?TYPE_IDENTIFIABLE","?REFERENTIAL"),"_")))))</f>
        <v> </v>
      </c>
      <c r="H3266" s="25" t="str">
        <f>IF(J3266&lt;&gt;1,"",IF(I3266="SBJ","CB","?"))</f>
        <v> </v>
      </c>
      <c r="I3266" s="26" t="str">
        <f>IF(OR(E3266="",E3266="!!!",F3266="NEW"),"",INDEX(B3265:B$2,-1+SUMPRODUCT(MAX(ROW(E3265:E$2)*(E3266=E3265:E$2)))))</f>
        <v> </v>
      </c>
      <c r="J3266" s="26" t="str">
        <f>IF(OR(E3266="",E3266="!!!",F3266="NEW"),"",COUNTBLANK(OFFSET(A$1,,,SUMPRODUCT(MAX(ROW(E$2:E3266)*(E3266=E$2:E3266)))))-COUNTBLANK(OFFSET(A$1,,,SUMPRODUCT(MAX(ROW(E$1:E3265)*(E2=E$1:E3265))))))</f>
        <v> </v>
      </c>
      <c r="K3266" s="26" t="str">
        <f>IF(OR(E3266="",E3266="!!!",F3266="NEW"),"",INDEX(J$1:J3265,SUMPRODUCT(MAX(ROW(E$1:E3265)*(E3266=E$1:E3265)))))</f>
        <v> </v>
      </c>
      <c r="L3266" s="27"/>
    </row>
    <row r="3267" spans="1:12">
      <c r="A3267" s="20" t="s">
        <v>1075</v>
      </c>
      <c r="E3267" s="22">
        <f>IF(D3267="?OLD","!!!","")</f>
        <v/>
      </c>
      <c r="F3267" s="23" t="str">
        <f>IF(OR(E3267="",E3267="!!!"),"",IF(NOT(ISNA(VLOOKUP(E3267,E$1:E3266,1,FALSE()))),"OLD",IF(AND(E3267&lt;&gt;"",E3267&lt;&gt;"!!!"),"NEW","")))</f>
        <v> </v>
      </c>
      <c r="G3267" s="24" t="str">
        <f>IF(OR(E3267="",E3267="!!!"),"",IF(OR(J3267=0,AND(J3267=1,K3267=1),AND(J3267=1,I3267="SBJ"),AND(J3267=1,I3267=0)),"?IN_FOCUS",IF(J3267&lt;=2,"?ACTIVATED",IF(J3267&lt;&gt;"","?FAMILIAR",IF(F3267="NEW",IF(ISNA(VLOOKUP(E3267,#REF!,1,FALSE())),"?TYPE_IDENTIFIABLE","?REFERENTIAL"),"_")))))</f>
        <v> </v>
      </c>
      <c r="H3267" s="25" t="str">
        <f>IF(J3267&lt;&gt;1,"",IF(I3267="SBJ","CB","?"))</f>
        <v> </v>
      </c>
      <c r="I3267" s="26" t="str">
        <f>IF(OR(E3267="",E3267="!!!",F3267="NEW"),"",INDEX(B3266:B$2,-1+SUMPRODUCT(MAX(ROW(E3266:E$2)*(E3267=E3266:E$2)))))</f>
        <v> </v>
      </c>
      <c r="J3267" s="26" t="str">
        <f>IF(OR(E3267="",E3267="!!!",F3267="NEW"),"",COUNTBLANK(OFFSET(A$1,,,SUMPRODUCT(MAX(ROW(E$2:E3267)*(E3267=E$2:E3267)))))-COUNTBLANK(OFFSET(A$1,,,SUMPRODUCT(MAX(ROW(E$1:E3266)*(E2=E$1:E3266))))))</f>
        <v> </v>
      </c>
      <c r="K3267" s="26" t="str">
        <f>IF(OR(E3267="",E3267="!!!",F3267="NEW"),"",INDEX(J$1:J3266,SUMPRODUCT(MAX(ROW(E$1:E3266)*(E3267=E$1:E3266)))))</f>
        <v> </v>
      </c>
      <c r="L3267" s="27"/>
    </row>
    <row r="3268" spans="1:12">
      <c r="A3268" s="20" t="s">
        <v>2002</v>
      </c>
      <c r="E3268" s="22">
        <f>IF(D3268="?OLD","!!!","")</f>
        <v/>
      </c>
      <c r="F3268" s="23" t="str">
        <f>IF(OR(E3268="",E3268="!!!"),"",IF(NOT(ISNA(VLOOKUP(E3268,E$1:E3267,1,FALSE()))),"OLD",IF(AND(E3268&lt;&gt;"",E3268&lt;&gt;"!!!"),"NEW","")))</f>
        <v> </v>
      </c>
      <c r="G3268" s="24" t="str">
        <f>IF(OR(E3268="",E3268="!!!"),"",IF(OR(J3268=0,AND(J3268=1,K3268=1),AND(J3268=1,I3268="SBJ"),AND(J3268=1,I3268=0)),"?IN_FOCUS",IF(J3268&lt;=2,"?ACTIVATED",IF(J3268&lt;&gt;"","?FAMILIAR",IF(F3268="NEW",IF(ISNA(VLOOKUP(E3268,#REF!,1,FALSE())),"?TYPE_IDENTIFIABLE","?REFERENTIAL"),"_")))))</f>
        <v> </v>
      </c>
      <c r="H3268" s="25" t="str">
        <f>IF(J3268&lt;&gt;1,"",IF(I3268="SBJ","CB","?"))</f>
        <v> </v>
      </c>
      <c r="I3268" s="26" t="str">
        <f>IF(OR(E3268="",E3268="!!!",F3268="NEW"),"",INDEX(B3267:B$2,-1+SUMPRODUCT(MAX(ROW(E3267:E$2)*(E3268=E3267:E$2)))))</f>
        <v> </v>
      </c>
      <c r="J3268" s="26" t="str">
        <f>IF(OR(E3268="",E3268="!!!",F3268="NEW"),"",COUNTBLANK(OFFSET(A$1,,,SUMPRODUCT(MAX(ROW(E$2:E3268)*(E3268=E$2:E3268)))))-COUNTBLANK(OFFSET(A$1,,,SUMPRODUCT(MAX(ROW(E$1:E3267)*(E2=E$1:E3267))))))</f>
        <v> </v>
      </c>
      <c r="K3268" s="26" t="str">
        <f>IF(OR(E3268="",E3268="!!!",F3268="NEW"),"",INDEX(J$1:J3267,SUMPRODUCT(MAX(ROW(E$1:E3267)*(E3268=E$1:E3267)))))</f>
        <v> </v>
      </c>
      <c r="L3268" s="27"/>
    </row>
    <row r="3269" spans="1:12">
      <c r="A3269" s="20" t="s">
        <v>102</v>
      </c>
      <c r="E3269" s="22">
        <f>IF(D3269="?OLD","!!!","")</f>
        <v/>
      </c>
      <c r="F3269" s="23" t="str">
        <f>IF(OR(E3269="",E3269="!!!"),"",IF(NOT(ISNA(VLOOKUP(E3269,E$1:E3268,1,FALSE()))),"OLD",IF(AND(E3269&lt;&gt;"",E3269&lt;&gt;"!!!"),"NEW","")))</f>
        <v> </v>
      </c>
      <c r="G3269" s="24" t="str">
        <f>IF(OR(E3269="",E3269="!!!"),"",IF(OR(J3269=0,AND(J3269=1,K3269=1),AND(J3269=1,I3269="SBJ"),AND(J3269=1,I3269=0)),"?IN_FOCUS",IF(J3269&lt;=2,"?ACTIVATED",IF(J3269&lt;&gt;"","?FAMILIAR",IF(F3269="NEW",IF(ISNA(VLOOKUP(E3269,#REF!,1,FALSE())),"?TYPE_IDENTIFIABLE","?REFERENTIAL"),"_")))))</f>
        <v> </v>
      </c>
      <c r="H3269" s="25" t="str">
        <f>IF(J3269&lt;&gt;1,"",IF(I3269="SBJ","CB","?"))</f>
        <v> </v>
      </c>
      <c r="I3269" s="26" t="str">
        <f>IF(OR(E3269="",E3269="!!!",F3269="NEW"),"",INDEX(B3268:B$2,-1+SUMPRODUCT(MAX(ROW(E3268:E$2)*(E3269=E3268:E$2)))))</f>
        <v> </v>
      </c>
      <c r="J3269" s="26" t="str">
        <f>IF(OR(E3269="",E3269="!!!",F3269="NEW"),"",COUNTBLANK(OFFSET(A$1,,,SUMPRODUCT(MAX(ROW(E$2:E3269)*(E3269=E$2:E3269)))))-COUNTBLANK(OFFSET(A$1,,,SUMPRODUCT(MAX(ROW(E$1:E3268)*(E2=E$1:E3268))))))</f>
        <v> </v>
      </c>
      <c r="K3269" s="26" t="str">
        <f>IF(OR(E3269="",E3269="!!!",F3269="NEW"),"",INDEX(J$1:J3268,SUMPRODUCT(MAX(ROW(E$1:E3268)*(E3269=E$1:E3268)))))</f>
        <v> </v>
      </c>
      <c r="L3269" s="27"/>
    </row>
    <row r="3270" spans="1:12">
      <c r="A3270" s="20" t="s">
        <v>1116</v>
      </c>
      <c r="B3270" s="21" t="s">
        <v>1005</v>
      </c>
      <c r="C3270" s="21" t="s">
        <v>1073</v>
      </c>
      <c r="D3270" s="21" t="s">
        <v>1007</v>
      </c>
      <c r="E3270" s="22">
        <f>IF(D3270="?OLD","!!!","")</f>
        <v/>
      </c>
      <c r="F3270" s="23" t="str">
        <f>IF(OR(E3270="",E3270="!!!"),"",IF(NOT(ISNA(VLOOKUP(E3270,E$1:E3269,1,FALSE()))),"OLD",IF(AND(E3270&lt;&gt;"",E3270&lt;&gt;"!!!"),"NEW","")))</f>
        <v> </v>
      </c>
      <c r="G3270" s="24" t="str">
        <f>IF(OR(E3270="",E3270="!!!"),"",IF(OR(J3270=0,AND(J3270=1,K3270=1),AND(J3270=1,I3270="SBJ"),AND(J3270=1,I3270=0)),"?IN_FOCUS",IF(J3270&lt;=2,"?ACTIVATED",IF(J3270&lt;&gt;"","?FAMILIAR",IF(F3270="NEW",IF(ISNA(VLOOKUP(E3270,#REF!,1,FALSE())),"?TYPE_IDENTIFIABLE","?REFERENTIAL"),"_")))))</f>
        <v> </v>
      </c>
      <c r="H3270" s="25" t="str">
        <f>IF(J3270&lt;&gt;1,"",IF(I3270="SBJ","CB","?"))</f>
        <v> </v>
      </c>
      <c r="I3270" s="26" t="str">
        <f>IF(OR(E3270="",E3270="!!!",F3270="NEW"),"",INDEX(B3269:B$2,-1+SUMPRODUCT(MAX(ROW(E3269:E$2)*(E3270=E3269:E$2)))))</f>
        <v> </v>
      </c>
      <c r="J3270" s="26" t="str">
        <f>IF(OR(E3270="",E3270="!!!",F3270="NEW"),"",COUNTBLANK(OFFSET(A$1,,,SUMPRODUCT(MAX(ROW(E$2:E3270)*(E3270=E$2:E3270)))))-COUNTBLANK(OFFSET(A$1,,,SUMPRODUCT(MAX(ROW(E$1:E3269)*(E2=E$1:E3269))))))</f>
        <v> </v>
      </c>
      <c r="K3270" s="26" t="str">
        <f>IF(OR(E3270="",E3270="!!!",F3270="NEW"),"",INDEX(J$1:J3269,SUMPRODUCT(MAX(ROW(E$1:E3269)*(E3270=E$1:E3269)))))</f>
        <v> </v>
      </c>
      <c r="L3270" s="27"/>
    </row>
    <row r="3271" spans="1:12">
      <c r="A3271" s="20" t="s">
        <v>1065</v>
      </c>
      <c r="E3271" s="22">
        <f>IF(D3271="?OLD","!!!","")</f>
        <v/>
      </c>
      <c r="F3271" s="23" t="str">
        <f>IF(OR(E3271="",E3271="!!!"),"",IF(NOT(ISNA(VLOOKUP(E3271,E$1:E3270,1,FALSE()))),"OLD",IF(AND(E3271&lt;&gt;"",E3271&lt;&gt;"!!!"),"NEW","")))</f>
        <v> </v>
      </c>
      <c r="G3271" s="24" t="str">
        <f>IF(OR(E3271="",E3271="!!!"),"",IF(OR(J3271=0,AND(J3271=1,K3271=1),AND(J3271=1,I3271="SBJ"),AND(J3271=1,I3271=0)),"?IN_FOCUS",IF(J3271&lt;=2,"?ACTIVATED",IF(J3271&lt;&gt;"","?FAMILIAR",IF(F3271="NEW",IF(ISNA(VLOOKUP(E3271,#REF!,1,FALSE())),"?TYPE_IDENTIFIABLE","?REFERENTIAL"),"_")))))</f>
        <v> </v>
      </c>
      <c r="H3271" s="25" t="str">
        <f>IF(J3271&lt;&gt;1,"",IF(I3271="SBJ","CB","?"))</f>
        <v> </v>
      </c>
      <c r="I3271" s="26" t="str">
        <f>IF(OR(E3271="",E3271="!!!",F3271="NEW"),"",INDEX(B3270:B$2,-1+SUMPRODUCT(MAX(ROW(E3270:E$2)*(E3271=E3270:E$2)))))</f>
        <v> </v>
      </c>
      <c r="J3271" s="26" t="str">
        <f>IF(OR(E3271="",E3271="!!!",F3271="NEW"),"",COUNTBLANK(OFFSET(A$1,,,SUMPRODUCT(MAX(ROW(E$2:E3271)*(E3271=E$2:E3271)))))-COUNTBLANK(OFFSET(A$1,,,SUMPRODUCT(MAX(ROW(E$1:E3270)*(E2=E$1:E3270))))))</f>
        <v> </v>
      </c>
      <c r="K3271" s="26" t="str">
        <f>IF(OR(E3271="",E3271="!!!",F3271="NEW"),"",INDEX(J$1:J3270,SUMPRODUCT(MAX(ROW(E$1:E3270)*(E3271=E$1:E3270)))))</f>
        <v> </v>
      </c>
      <c r="L3271" s="27"/>
    </row>
    <row r="3272" spans="1:12">
      <c r="A3272" s="20" t="s">
        <v>102</v>
      </c>
      <c r="E3272" s="22">
        <f>IF(D3272="?OLD","!!!","")</f>
        <v/>
      </c>
      <c r="F3272" s="23" t="str">
        <f>IF(OR(E3272="",E3272="!!!"),"",IF(NOT(ISNA(VLOOKUP(E3272,E$1:E3271,1,FALSE()))),"OLD",IF(AND(E3272&lt;&gt;"",E3272&lt;&gt;"!!!"),"NEW","")))</f>
        <v> </v>
      </c>
      <c r="G3272" s="24" t="str">
        <f>IF(OR(E3272="",E3272="!!!"),"",IF(OR(J3272=0,AND(J3272=1,K3272=1),AND(J3272=1,I3272="SBJ"),AND(J3272=1,I3272=0)),"?IN_FOCUS",IF(J3272&lt;=2,"?ACTIVATED",IF(J3272&lt;&gt;"","?FAMILIAR",IF(F3272="NEW",IF(ISNA(VLOOKUP(E3272,#REF!,1,FALSE())),"?TYPE_IDENTIFIABLE","?REFERENTIAL"),"_")))))</f>
        <v> </v>
      </c>
      <c r="H3272" s="25" t="str">
        <f>IF(J3272&lt;&gt;1,"",IF(I3272="SBJ","CB","?"))</f>
        <v> </v>
      </c>
      <c r="I3272" s="26" t="str">
        <f>IF(OR(E3272="",E3272="!!!",F3272="NEW"),"",INDEX(B3271:B$2,-1+SUMPRODUCT(MAX(ROW(E3271:E$2)*(E3272=E3271:E$2)))))</f>
        <v> </v>
      </c>
      <c r="J3272" s="26" t="str">
        <f>IF(OR(E3272="",E3272="!!!",F3272="NEW"),"",COUNTBLANK(OFFSET(A$1,,,SUMPRODUCT(MAX(ROW(E$2:E3272)*(E3272=E$2:E3272)))))-COUNTBLANK(OFFSET(A$1,,,SUMPRODUCT(MAX(ROW(E$1:E3271)*(E2=E$1:E3271))))))</f>
        <v> </v>
      </c>
      <c r="K3272" s="26" t="str">
        <f>IF(OR(E3272="",E3272="!!!",F3272="NEW"),"",INDEX(J$1:J3271,SUMPRODUCT(MAX(ROW(E$1:E3271)*(E3272=E$1:E3271)))))</f>
        <v> </v>
      </c>
      <c r="L3272" s="27"/>
    </row>
    <row r="3273" spans="1:12">
      <c r="A3273" s="20" t="s">
        <v>2001</v>
      </c>
      <c r="B3273" s="21" t="s">
        <v>1005</v>
      </c>
      <c r="C3273" s="21" t="s">
        <v>1017</v>
      </c>
      <c r="D3273" s="21" t="s">
        <v>1007</v>
      </c>
      <c r="E3273" s="22">
        <f>IF(D3273="?OLD","!!!","")</f>
        <v/>
      </c>
      <c r="F3273" s="23" t="str">
        <f>IF(OR(E3273="",E3273="!!!"),"",IF(NOT(ISNA(VLOOKUP(E3273,E$1:E3272,1,FALSE()))),"OLD",IF(AND(E3273&lt;&gt;"",E3273&lt;&gt;"!!!"),"NEW","")))</f>
        <v> </v>
      </c>
      <c r="G3273" s="24" t="str">
        <f>IF(OR(E3273="",E3273="!!!"),"",IF(OR(J3273=0,AND(J3273=1,K3273=1),AND(J3273=1,I3273="SBJ"),AND(J3273=1,I3273=0)),"?IN_FOCUS",IF(J3273&lt;=2,"?ACTIVATED",IF(J3273&lt;&gt;"","?FAMILIAR",IF(F3273="NEW",IF(ISNA(VLOOKUP(E3273,#REF!,1,FALSE())),"?TYPE_IDENTIFIABLE","?REFERENTIAL"),"_")))))</f>
        <v> </v>
      </c>
      <c r="H3273" s="25" t="str">
        <f>IF(J3273&lt;&gt;1,"",IF(I3273="SBJ","CB","?"))</f>
        <v> </v>
      </c>
      <c r="I3273" s="26" t="str">
        <f>IF(OR(E3273="",E3273="!!!",F3273="NEW"),"",INDEX(B3272:B$2,-1+SUMPRODUCT(MAX(ROW(E3272:E$2)*(E3273=E3272:E$2)))))</f>
        <v> </v>
      </c>
      <c r="J3273" s="26" t="str">
        <f>IF(OR(E3273="",E3273="!!!",F3273="NEW"),"",COUNTBLANK(OFFSET(A$1,,,SUMPRODUCT(MAX(ROW(E$2:E3273)*(E3273=E$2:E3273)))))-COUNTBLANK(OFFSET(A$1,,,SUMPRODUCT(MAX(ROW(E$1:E3272)*(E2=E$1:E3272))))))</f>
        <v> </v>
      </c>
      <c r="K3273" s="26" t="str">
        <f>IF(OR(E3273="",E3273="!!!",F3273="NEW"),"",INDEX(J$1:J3272,SUMPRODUCT(MAX(ROW(E$1:E3272)*(E3273=E$1:E3272)))))</f>
        <v> </v>
      </c>
      <c r="L3273" s="27"/>
    </row>
    <row r="3274" spans="1:12">
      <c r="A3274" s="20" t="s">
        <v>1340</v>
      </c>
      <c r="E3274" s="22">
        <f>IF(D3274="?OLD","!!!","")</f>
        <v/>
      </c>
      <c r="F3274" s="23" t="str">
        <f>IF(OR(E3274="",E3274="!!!"),"",IF(NOT(ISNA(VLOOKUP(E3274,E$1:E3273,1,FALSE()))),"OLD",IF(AND(E3274&lt;&gt;"",E3274&lt;&gt;"!!!"),"NEW","")))</f>
        <v> </v>
      </c>
      <c r="G3274" s="24" t="str">
        <f>IF(OR(E3274="",E3274="!!!"),"",IF(OR(J3274=0,AND(J3274=1,K3274=1),AND(J3274=1,I3274="SBJ"),AND(J3274=1,I3274=0)),"?IN_FOCUS",IF(J3274&lt;=2,"?ACTIVATED",IF(J3274&lt;&gt;"","?FAMILIAR",IF(F3274="NEW",IF(ISNA(VLOOKUP(E3274,#REF!,1,FALSE())),"?TYPE_IDENTIFIABLE","?REFERENTIAL"),"_")))))</f>
        <v> </v>
      </c>
      <c r="H3274" s="25" t="str">
        <f>IF(J3274&lt;&gt;1,"",IF(I3274="SBJ","CB","?"))</f>
        <v> </v>
      </c>
      <c r="I3274" s="26" t="str">
        <f>IF(OR(E3274="",E3274="!!!",F3274="NEW"),"",INDEX(B3273:B$2,-1+SUMPRODUCT(MAX(ROW(E3273:E$2)*(E3274=E3273:E$2)))))</f>
        <v> </v>
      </c>
      <c r="J3274" s="26" t="str">
        <f>IF(OR(E3274="",E3274="!!!",F3274="NEW"),"",COUNTBLANK(OFFSET(A$1,,,SUMPRODUCT(MAX(ROW(E$2:E3274)*(E3274=E$2:E3274)))))-COUNTBLANK(OFFSET(A$1,,,SUMPRODUCT(MAX(ROW(E$1:E3273)*(E2=E$1:E3273))))))</f>
        <v> </v>
      </c>
      <c r="K3274" s="26" t="str">
        <f>IF(OR(E3274="",E3274="!!!",F3274="NEW"),"",INDEX(J$1:J3273,SUMPRODUCT(MAX(ROW(E$1:E3273)*(E3274=E$1:E3273)))))</f>
        <v> </v>
      </c>
      <c r="L3274" s="27"/>
    </row>
    <row r="3275" spans="1:12">
      <c r="A3275" s="20" t="s">
        <v>1023</v>
      </c>
      <c r="E3275" s="22">
        <f>IF(D3275="?OLD","!!!","")</f>
        <v/>
      </c>
      <c r="F3275" s="23" t="str">
        <f>IF(OR(E3275="",E3275="!!!"),"",IF(NOT(ISNA(VLOOKUP(E3275,E$1:E3274,1,FALSE()))),"OLD",IF(AND(E3275&lt;&gt;"",E3275&lt;&gt;"!!!"),"NEW","")))</f>
        <v> </v>
      </c>
      <c r="G3275" s="24" t="str">
        <f>IF(OR(E3275="",E3275="!!!"),"",IF(OR(J3275=0,AND(J3275=1,K3275=1),AND(J3275=1,I3275="SBJ"),AND(J3275=1,I3275=0)),"?IN_FOCUS",IF(J3275&lt;=2,"?ACTIVATED",IF(J3275&lt;&gt;"","?FAMILIAR",IF(F3275="NEW",IF(ISNA(VLOOKUP(E3275,#REF!,1,FALSE())),"?TYPE_IDENTIFIABLE","?REFERENTIAL"),"_")))))</f>
        <v> </v>
      </c>
      <c r="H3275" s="25" t="str">
        <f>IF(J3275&lt;&gt;1,"",IF(I3275="SBJ","CB","?"))</f>
        <v> </v>
      </c>
      <c r="I3275" s="26" t="str">
        <f>IF(OR(E3275="",E3275="!!!",F3275="NEW"),"",INDEX(B3274:B$2,-1+SUMPRODUCT(MAX(ROW(E3274:E$2)*(E3275=E3274:E$2)))))</f>
        <v> </v>
      </c>
      <c r="J3275" s="26" t="str">
        <f>IF(OR(E3275="",E3275="!!!",F3275="NEW"),"",COUNTBLANK(OFFSET(A$1,,,SUMPRODUCT(MAX(ROW(E$2:E3275)*(E3275=E$2:E3275)))))-COUNTBLANK(OFFSET(A$1,,,SUMPRODUCT(MAX(ROW(E$1:E3274)*(E2=E$1:E3274))))))</f>
        <v> </v>
      </c>
      <c r="K3275" s="26" t="str">
        <f>IF(OR(E3275="",E3275="!!!",F3275="NEW"),"",INDEX(J$1:J3274,SUMPRODUCT(MAX(ROW(E$1:E3274)*(E3275=E$1:E3274)))))</f>
        <v> </v>
      </c>
      <c r="L3275" s="27"/>
    </row>
    <row r="3276" spans="1:12">
      <c r="A3276" s="20"/>
    </row>
    <row r="3277" spans="1:12">
      <c r="A3277" s="20" t="s">
        <v>2003</v>
      </c>
    </row>
    <row r="3278" spans="1:12">
      <c r="A3278" s="20" t="s">
        <v>2004</v>
      </c>
      <c r="E3278" s="22">
        <f>IF(D3278="?OLD","!!!","")</f>
        <v/>
      </c>
      <c r="F3278" s="23" t="str">
        <f>IF(OR(E3278="",E3278="!!!"),"",IF(NOT(ISNA(VLOOKUP(E3278,E$1:E3277,1,FALSE()))),"OLD",IF(AND(E3278&lt;&gt;"",E3278&lt;&gt;"!!!"),"NEW","")))</f>
        <v> </v>
      </c>
      <c r="G3278" s="24" t="str">
        <f>IF(OR(E3278="",E3278="!!!"),"",IF(OR(J3278=0,AND(J3278=1,K3278=1),AND(J3278=1,I3278="SBJ"),AND(J3278=1,I3278=0)),"?IN_FOCUS",IF(J3278&lt;=2,"?ACTIVATED",IF(J3278&lt;&gt;"","?FAMILIAR",IF(F3278="NEW",IF(ISNA(VLOOKUP(E3278,#REF!,1,FALSE())),"?TYPE_IDENTIFIABLE","?REFERENTIAL"),"_")))))</f>
        <v> </v>
      </c>
      <c r="H3278" s="25" t="str">
        <f>IF(J3278&lt;&gt;1,"",IF(I3278="SBJ","CB","?"))</f>
        <v> </v>
      </c>
      <c r="I3278" s="26" t="str">
        <f>IF(OR(E3278="",E3278="!!!",F3278="NEW"),"",INDEX(B3277:B$2,-1+SUMPRODUCT(MAX(ROW(E3277:E$2)*(E3278=E3277:E$2)))))</f>
        <v> </v>
      </c>
      <c r="J3278" s="26" t="str">
        <f>IF(OR(E3278="",E3278="!!!",F3278="NEW"),"",COUNTBLANK(OFFSET(A$1,,,SUMPRODUCT(MAX(ROW(E$2:E3278)*(E3278=E$2:E3278)))))-COUNTBLANK(OFFSET(A$1,,,SUMPRODUCT(MAX(ROW(E$1:E3277)*(E2=E$1:E3277))))))</f>
        <v> </v>
      </c>
      <c r="K3278" s="26" t="str">
        <f>IF(OR(E3278="",E3278="!!!",F3278="NEW"),"",INDEX(J$1:J3277,SUMPRODUCT(MAX(ROW(E$1:E3277)*(E3278=E$1:E3277)))))</f>
        <v> </v>
      </c>
      <c r="L3278" s="27"/>
    </row>
    <row r="3279" spans="1:12">
      <c r="A3279" s="20" t="s">
        <v>1030</v>
      </c>
      <c r="E3279" s="22">
        <f>IF(D3279="?OLD","!!!","")</f>
        <v/>
      </c>
      <c r="F3279" s="23" t="str">
        <f>IF(OR(E3279="",E3279="!!!"),"",IF(NOT(ISNA(VLOOKUP(E3279,E$1:E3278,1,FALSE()))),"OLD",IF(AND(E3279&lt;&gt;"",E3279&lt;&gt;"!!!"),"NEW","")))</f>
        <v> </v>
      </c>
      <c r="G3279" s="24" t="str">
        <f>IF(OR(E3279="",E3279="!!!"),"",IF(OR(J3279=0,AND(J3279=1,K3279=1),AND(J3279=1,I3279="SBJ"),AND(J3279=1,I3279=0)),"?IN_FOCUS",IF(J3279&lt;=2,"?ACTIVATED",IF(J3279&lt;&gt;"","?FAMILIAR",IF(F3279="NEW",IF(ISNA(VLOOKUP(E3279,#REF!,1,FALSE())),"?TYPE_IDENTIFIABLE","?REFERENTIAL"),"_")))))</f>
        <v> </v>
      </c>
      <c r="H3279" s="25" t="str">
        <f>IF(J3279&lt;&gt;1,"",IF(I3279="SBJ","CB","?"))</f>
        <v> </v>
      </c>
      <c r="I3279" s="26" t="str">
        <f>IF(OR(E3279="",E3279="!!!",F3279="NEW"),"",INDEX(B3278:B$2,-1+SUMPRODUCT(MAX(ROW(E3278:E$2)*(E3279=E3278:E$2)))))</f>
        <v> </v>
      </c>
      <c r="J3279" s="26" t="str">
        <f>IF(OR(E3279="",E3279="!!!",F3279="NEW"),"",COUNTBLANK(OFFSET(A$1,,,SUMPRODUCT(MAX(ROW(E$2:E3279)*(E3279=E$2:E3279)))))-COUNTBLANK(OFFSET(A$1,,,SUMPRODUCT(MAX(ROW(E$1:E3278)*(E2=E$1:E3278))))))</f>
        <v> </v>
      </c>
      <c r="K3279" s="26" t="str">
        <f>IF(OR(E3279="",E3279="!!!",F3279="NEW"),"",INDEX(J$1:J3278,SUMPRODUCT(MAX(ROW(E$1:E3278)*(E3279=E$1:E3278)))))</f>
        <v> </v>
      </c>
      <c r="L3279" s="27"/>
    </row>
    <row r="3280" spans="1:12">
      <c r="A3280" s="20" t="s">
        <v>2005</v>
      </c>
      <c r="B3280" s="21" t="s">
        <v>1005</v>
      </c>
      <c r="C3280" s="21" t="s">
        <v>1048</v>
      </c>
      <c r="E3280" s="22">
        <f>IF(D3280="?OLD","!!!","")</f>
        <v/>
      </c>
      <c r="F3280" s="23" t="str">
        <f>IF(OR(E3280="",E3280="!!!"),"",IF(NOT(ISNA(VLOOKUP(E3280,E$1:E3279,1,FALSE()))),"OLD",IF(AND(E3280&lt;&gt;"",E3280&lt;&gt;"!!!"),"NEW","")))</f>
        <v> </v>
      </c>
      <c r="G3280" s="24" t="str">
        <f>IF(OR(E3280="",E3280="!!!"),"",IF(OR(J3280=0,AND(J3280=1,K3280=1),AND(J3280=1,I3280="SBJ"),AND(J3280=1,I3280=0)),"?IN_FOCUS",IF(J3280&lt;=2,"?ACTIVATED",IF(J3280&lt;&gt;"","?FAMILIAR",IF(F3280="NEW",IF(ISNA(VLOOKUP(E3280,#REF!,1,FALSE())),"?TYPE_IDENTIFIABLE","?REFERENTIAL"),"_")))))</f>
        <v> </v>
      </c>
      <c r="H3280" s="25" t="str">
        <f>IF(J3280&lt;&gt;1,"",IF(I3280="SBJ","CB","?"))</f>
        <v> </v>
      </c>
      <c r="I3280" s="26" t="str">
        <f>IF(OR(E3280="",E3280="!!!",F3280="NEW"),"",INDEX(B3279:B$2,-1+SUMPRODUCT(MAX(ROW(E3279:E$2)*(E3280=E3279:E$2)))))</f>
        <v> </v>
      </c>
      <c r="J3280" s="26" t="str">
        <f>IF(OR(E3280="",E3280="!!!",F3280="NEW"),"",COUNTBLANK(OFFSET(A$1,,,SUMPRODUCT(MAX(ROW(E$2:E3280)*(E3280=E$2:E3280)))))-COUNTBLANK(OFFSET(A$1,,,SUMPRODUCT(MAX(ROW(E$1:E3279)*(E2=E$1:E3279))))))</f>
        <v> </v>
      </c>
      <c r="K3280" s="26" t="str">
        <f>IF(OR(E3280="",E3280="!!!",F3280="NEW"),"",INDEX(J$1:J3279,SUMPRODUCT(MAX(ROW(E$1:E3279)*(E3280=E$1:E3279)))))</f>
        <v> </v>
      </c>
      <c r="L3280" s="27"/>
    </row>
    <row r="3281" spans="1:12">
      <c r="A3281" s="20" t="s">
        <v>1182</v>
      </c>
      <c r="E3281" s="22">
        <f>IF(D3281="?OLD","!!!","")</f>
        <v/>
      </c>
      <c r="F3281" s="23" t="str">
        <f>IF(OR(E3281="",E3281="!!!"),"",IF(NOT(ISNA(VLOOKUP(E3281,E$1:E3280,1,FALSE()))),"OLD",IF(AND(E3281&lt;&gt;"",E3281&lt;&gt;"!!!"),"NEW","")))</f>
        <v> </v>
      </c>
      <c r="G3281" s="24" t="str">
        <f>IF(OR(E3281="",E3281="!!!"),"",IF(OR(J3281=0,AND(J3281=1,K3281=1),AND(J3281=1,I3281="SBJ"),AND(J3281=1,I3281=0)),"?IN_FOCUS",IF(J3281&lt;=2,"?ACTIVATED",IF(J3281&lt;&gt;"","?FAMILIAR",IF(F3281="NEW",IF(ISNA(VLOOKUP(E3281,#REF!,1,FALSE())),"?TYPE_IDENTIFIABLE","?REFERENTIAL"),"_")))))</f>
        <v> </v>
      </c>
      <c r="H3281" s="25" t="str">
        <f>IF(J3281&lt;&gt;1,"",IF(I3281="SBJ","CB","?"))</f>
        <v> </v>
      </c>
      <c r="I3281" s="26" t="str">
        <f>IF(OR(E3281="",E3281="!!!",F3281="NEW"),"",INDEX(B3280:B$2,-1+SUMPRODUCT(MAX(ROW(E3280:E$2)*(E3281=E3280:E$2)))))</f>
        <v> </v>
      </c>
      <c r="J3281" s="26" t="str">
        <f>IF(OR(E3281="",E3281="!!!",F3281="NEW"),"",COUNTBLANK(OFFSET(A$1,,,SUMPRODUCT(MAX(ROW(E$2:E3281)*(E3281=E$2:E3281)))))-COUNTBLANK(OFFSET(A$1,,,SUMPRODUCT(MAX(ROW(E$1:E3280)*(E2=E$1:E3280))))))</f>
        <v> </v>
      </c>
      <c r="K3281" s="26" t="str">
        <f>IF(OR(E3281="",E3281="!!!",F3281="NEW"),"",INDEX(J$1:J3280,SUMPRODUCT(MAX(ROW(E$1:E3280)*(E3281=E$1:E3280)))))</f>
        <v> </v>
      </c>
      <c r="L3281" s="27"/>
    </row>
    <row r="3282" spans="1:12">
      <c r="A3282" s="20" t="s">
        <v>1172</v>
      </c>
      <c r="B3282" s="21" t="s">
        <v>1005</v>
      </c>
      <c r="C3282" s="21" t="s">
        <v>1013</v>
      </c>
      <c r="D3282" s="21" t="s">
        <v>1007</v>
      </c>
      <c r="E3282" s="22">
        <f>IF(D3282="?OLD","!!!","")</f>
        <v/>
      </c>
      <c r="F3282" s="23" t="str">
        <f>IF(OR(E3282="",E3282="!!!"),"",IF(NOT(ISNA(VLOOKUP(E3282,E$1:E3281,1,FALSE()))),"OLD",IF(AND(E3282&lt;&gt;"",E3282&lt;&gt;"!!!"),"NEW","")))</f>
        <v> </v>
      </c>
      <c r="G3282" s="24" t="str">
        <f>IF(OR(E3282="",E3282="!!!"),"",IF(OR(J3282=0,AND(J3282=1,K3282=1),AND(J3282=1,I3282="SBJ"),AND(J3282=1,I3282=0)),"?IN_FOCUS",IF(J3282&lt;=2,"?ACTIVATED",IF(J3282&lt;&gt;"","?FAMILIAR",IF(F3282="NEW",IF(ISNA(VLOOKUP(E3282,#REF!,1,FALSE())),"?TYPE_IDENTIFIABLE","?REFERENTIAL"),"_")))))</f>
        <v> </v>
      </c>
      <c r="H3282" s="25" t="str">
        <f>IF(J3282&lt;&gt;1,"",IF(I3282="SBJ","CB","?"))</f>
        <v> </v>
      </c>
      <c r="I3282" s="26" t="str">
        <f>IF(OR(E3282="",E3282="!!!",F3282="NEW"),"",INDEX(B3281:B$2,-1+SUMPRODUCT(MAX(ROW(E3281:E$2)*(E3282=E3281:E$2)))))</f>
        <v> </v>
      </c>
      <c r="J3282" s="26" t="str">
        <f>IF(OR(E3282="",E3282="!!!",F3282="NEW"),"",COUNTBLANK(OFFSET(A$1,,,SUMPRODUCT(MAX(ROW(E$2:E3282)*(E3282=E$2:E3282)))))-COUNTBLANK(OFFSET(A$1,,,SUMPRODUCT(MAX(ROW(E$1:E3281)*(E2=E$1:E3281))))))</f>
        <v> </v>
      </c>
      <c r="K3282" s="26" t="str">
        <f>IF(OR(E3282="",E3282="!!!",F3282="NEW"),"",INDEX(J$1:J3281,SUMPRODUCT(MAX(ROW(E$1:E3281)*(E3282=E$1:E3281)))))</f>
        <v> </v>
      </c>
      <c r="L3282" s="27"/>
    </row>
    <row r="3283" spans="1:12">
      <c r="A3283" s="20" t="s">
        <v>1065</v>
      </c>
      <c r="B3283" s="21" t="s">
        <v>1154</v>
      </c>
      <c r="E3283" s="22">
        <f>IF(D3283="?OLD","!!!","")</f>
        <v/>
      </c>
      <c r="F3283" s="23" t="str">
        <f>IF(OR(E3283="",E3283="!!!"),"",IF(NOT(ISNA(VLOOKUP(E3283,E$1:E3282,1,FALSE()))),"OLD",IF(AND(E3283&lt;&gt;"",E3283&lt;&gt;"!!!"),"NEW","")))</f>
        <v> </v>
      </c>
      <c r="G3283" s="24" t="str">
        <f>IF(OR(E3283="",E3283="!!!"),"",IF(OR(J3283=0,AND(J3283=1,K3283=1),AND(J3283=1,I3283="SBJ"),AND(J3283=1,I3283=0)),"?IN_FOCUS",IF(J3283&lt;=2,"?ACTIVATED",IF(J3283&lt;&gt;"","?FAMILIAR",IF(F3283="NEW",IF(ISNA(VLOOKUP(E3283,#REF!,1,FALSE())),"?TYPE_IDENTIFIABLE","?REFERENTIAL"),"_")))))</f>
        <v> </v>
      </c>
      <c r="H3283" s="25" t="str">
        <f>IF(J3283&lt;&gt;1,"",IF(I3283="SBJ","CB","?"))</f>
        <v> </v>
      </c>
      <c r="I3283" s="26" t="str">
        <f>IF(OR(E3283="",E3283="!!!",F3283="NEW"),"",INDEX(B3282:B$2,-1+SUMPRODUCT(MAX(ROW(E3282:E$2)*(E3283=E3282:E$2)))))</f>
        <v> </v>
      </c>
      <c r="J3283" s="26" t="str">
        <f>IF(OR(E3283="",E3283="!!!",F3283="NEW"),"",COUNTBLANK(OFFSET(A$1,,,SUMPRODUCT(MAX(ROW(E$2:E3283)*(E3283=E$2:E3283)))))-COUNTBLANK(OFFSET(A$1,,,SUMPRODUCT(MAX(ROW(E$1:E3282)*(E2=E$1:E3282))))))</f>
        <v> </v>
      </c>
      <c r="K3283" s="26" t="str">
        <f>IF(OR(E3283="",E3283="!!!",F3283="NEW"),"",INDEX(J$1:J3282,SUMPRODUCT(MAX(ROW(E$1:E3282)*(E3283=E$1:E3282)))))</f>
        <v> </v>
      </c>
      <c r="L3283" s="27"/>
    </row>
    <row r="3284" spans="1:12">
      <c r="A3284" s="20" t="s">
        <v>1142</v>
      </c>
      <c r="E3284" s="22">
        <f>IF(D3284="?OLD","!!!","")</f>
        <v/>
      </c>
      <c r="F3284" s="23" t="str">
        <f>IF(OR(E3284="",E3284="!!!"),"",IF(NOT(ISNA(VLOOKUP(E3284,E$1:E3283,1,FALSE()))),"OLD",IF(AND(E3284&lt;&gt;"",E3284&lt;&gt;"!!!"),"NEW","")))</f>
        <v> </v>
      </c>
      <c r="G3284" s="24" t="str">
        <f>IF(OR(E3284="",E3284="!!!"),"",IF(OR(J3284=0,AND(J3284=1,K3284=1),AND(J3284=1,I3284="SBJ"),AND(J3284=1,I3284=0)),"?IN_FOCUS",IF(J3284&lt;=2,"?ACTIVATED",IF(J3284&lt;&gt;"","?FAMILIAR",IF(F3284="NEW",IF(ISNA(VLOOKUP(E3284,#REF!,1,FALSE())),"?TYPE_IDENTIFIABLE","?REFERENTIAL"),"_")))))</f>
        <v> </v>
      </c>
      <c r="H3284" s="25" t="str">
        <f>IF(J3284&lt;&gt;1,"",IF(I3284="SBJ","CB","?"))</f>
        <v> </v>
      </c>
      <c r="I3284" s="26" t="str">
        <f>IF(OR(E3284="",E3284="!!!",F3284="NEW"),"",INDEX(B3283:B$2,-1+SUMPRODUCT(MAX(ROW(E3283:E$2)*(E3284=E3283:E$2)))))</f>
        <v> </v>
      </c>
      <c r="J3284" s="26" t="str">
        <f>IF(OR(E3284="",E3284="!!!",F3284="NEW"),"",COUNTBLANK(OFFSET(A$1,,,SUMPRODUCT(MAX(ROW(E$2:E3284)*(E3284=E$2:E3284)))))-COUNTBLANK(OFFSET(A$1,,,SUMPRODUCT(MAX(ROW(E$1:E3283)*(E2=E$1:E3283))))))</f>
        <v> </v>
      </c>
      <c r="K3284" s="26" t="str">
        <f>IF(OR(E3284="",E3284="!!!",F3284="NEW"),"",INDEX(J$1:J3283,SUMPRODUCT(MAX(ROW(E$1:E3283)*(E3284=E$1:E3283)))))</f>
        <v> </v>
      </c>
      <c r="L3284" s="27"/>
    </row>
    <row r="3285" spans="1:12">
      <c r="A3285" s="20" t="s">
        <v>1164</v>
      </c>
      <c r="E3285" s="22">
        <f>IF(D3285="?OLD","!!!","")</f>
        <v/>
      </c>
      <c r="F3285" s="23" t="str">
        <f>IF(OR(E3285="",E3285="!!!"),"",IF(NOT(ISNA(VLOOKUP(E3285,E$1:E3284,1,FALSE()))),"OLD",IF(AND(E3285&lt;&gt;"",E3285&lt;&gt;"!!!"),"NEW","")))</f>
        <v> </v>
      </c>
      <c r="G3285" s="24" t="str">
        <f>IF(OR(E3285="",E3285="!!!"),"",IF(OR(J3285=0,AND(J3285=1,K3285=1),AND(J3285=1,I3285="SBJ"),AND(J3285=1,I3285=0)),"?IN_FOCUS",IF(J3285&lt;=2,"?ACTIVATED",IF(J3285&lt;&gt;"","?FAMILIAR",IF(F3285="NEW",IF(ISNA(VLOOKUP(E3285,#REF!,1,FALSE())),"?TYPE_IDENTIFIABLE","?REFERENTIAL"),"_")))))</f>
        <v> </v>
      </c>
      <c r="H3285" s="25" t="str">
        <f>IF(J3285&lt;&gt;1,"",IF(I3285="SBJ","CB","?"))</f>
        <v> </v>
      </c>
      <c r="I3285" s="26" t="str">
        <f>IF(OR(E3285="",E3285="!!!",F3285="NEW"),"",INDEX(B3284:B$2,-1+SUMPRODUCT(MAX(ROW(E3284:E$2)*(E3285=E3284:E$2)))))</f>
        <v> </v>
      </c>
      <c r="J3285" s="26" t="str">
        <f>IF(OR(E3285="",E3285="!!!",F3285="NEW"),"",COUNTBLANK(OFFSET(A$1,,,SUMPRODUCT(MAX(ROW(E$2:E3285)*(E3285=E$2:E3285)))))-COUNTBLANK(OFFSET(A$1,,,SUMPRODUCT(MAX(ROW(E$1:E3284)*(E2=E$1:E3284))))))</f>
        <v> </v>
      </c>
      <c r="K3285" s="26" t="str">
        <f>IF(OR(E3285="",E3285="!!!",F3285="NEW"),"",INDEX(J$1:J3284,SUMPRODUCT(MAX(ROW(E$1:E3284)*(E3285=E$1:E3284)))))</f>
        <v> </v>
      </c>
      <c r="L3285" s="27"/>
    </row>
    <row r="3286" spans="1:12">
      <c r="A3286" s="20" t="s">
        <v>1269</v>
      </c>
      <c r="B3286" s="21" t="s">
        <v>1033</v>
      </c>
      <c r="C3286" s="21" t="s">
        <v>1059</v>
      </c>
      <c r="D3286" s="21" t="s">
        <v>1007</v>
      </c>
      <c r="E3286" s="22">
        <f>IF(D3286="?OLD","!!!","")</f>
        <v/>
      </c>
      <c r="F3286" s="23" t="str">
        <f>IF(OR(E3286="",E3286="!!!"),"",IF(NOT(ISNA(VLOOKUP(E3286,E$1:E3285,1,FALSE()))),"OLD",IF(AND(E3286&lt;&gt;"",E3286&lt;&gt;"!!!"),"NEW","")))</f>
        <v> </v>
      </c>
      <c r="G3286" s="24" t="str">
        <f>IF(OR(E3286="",E3286="!!!"),"",IF(OR(J3286=0,AND(J3286=1,K3286=1),AND(J3286=1,I3286="SBJ"),AND(J3286=1,I3286=0)),"?IN_FOCUS",IF(J3286&lt;=2,"?ACTIVATED",IF(J3286&lt;&gt;"","?FAMILIAR",IF(F3286="NEW",IF(ISNA(VLOOKUP(E3286,#REF!,1,FALSE())),"?TYPE_IDENTIFIABLE","?REFERENTIAL"),"_")))))</f>
        <v> </v>
      </c>
      <c r="H3286" s="25" t="str">
        <f>IF(J3286&lt;&gt;1,"",IF(I3286="SBJ","CB","?"))</f>
        <v> </v>
      </c>
      <c r="I3286" s="26" t="str">
        <f>IF(OR(E3286="",E3286="!!!",F3286="NEW"),"",INDEX(B3285:B$2,-1+SUMPRODUCT(MAX(ROW(E3285:E$2)*(E3286=E3285:E$2)))))</f>
        <v> </v>
      </c>
      <c r="J3286" s="26" t="str">
        <f>IF(OR(E3286="",E3286="!!!",F3286="NEW"),"",COUNTBLANK(OFFSET(A$1,,,SUMPRODUCT(MAX(ROW(E$2:E3286)*(E3286=E$2:E3286)))))-COUNTBLANK(OFFSET(A$1,,,SUMPRODUCT(MAX(ROW(E$1:E3285)*(E2=E$1:E3285))))))</f>
        <v> </v>
      </c>
      <c r="K3286" s="26" t="str">
        <f>IF(OR(E3286="",E3286="!!!",F3286="NEW"),"",INDEX(J$1:J3285,SUMPRODUCT(MAX(ROW(E$1:E3285)*(E3286=E$1:E3285)))))</f>
        <v> </v>
      </c>
      <c r="L3286" s="27"/>
    </row>
    <row r="3287" spans="1:12">
      <c r="A3287" s="20" t="s">
        <v>2006</v>
      </c>
      <c r="B3287" s="21" t="s">
        <v>1022</v>
      </c>
      <c r="C3287" s="21" t="s">
        <v>1013</v>
      </c>
      <c r="D3287" s="21" t="s">
        <v>1007</v>
      </c>
      <c r="E3287" s="22">
        <f>IF(D3287="?OLD","!!!","")</f>
        <v/>
      </c>
      <c r="F3287" s="23" t="str">
        <f>IF(OR(E3287="",E3287="!!!"),"",IF(NOT(ISNA(VLOOKUP(E3287,E$1:E3286,1,FALSE()))),"OLD",IF(AND(E3287&lt;&gt;"",E3287&lt;&gt;"!!!"),"NEW","")))</f>
        <v> </v>
      </c>
      <c r="G3287" s="24" t="str">
        <f>IF(OR(E3287="",E3287="!!!"),"",IF(OR(J3287=0,AND(J3287=1,K3287=1),AND(J3287=1,I3287="SBJ"),AND(J3287=1,I3287=0)),"?IN_FOCUS",IF(J3287&lt;=2,"?ACTIVATED",IF(J3287&lt;&gt;"","?FAMILIAR",IF(F3287="NEW",IF(ISNA(VLOOKUP(E3287,#REF!,1,FALSE())),"?TYPE_IDENTIFIABLE","?REFERENTIAL"),"_")))))</f>
        <v> </v>
      </c>
      <c r="H3287" s="25" t="str">
        <f>IF(J3287&lt;&gt;1,"",IF(I3287="SBJ","CB","?"))</f>
        <v> </v>
      </c>
      <c r="I3287" s="26" t="str">
        <f>IF(OR(E3287="",E3287="!!!",F3287="NEW"),"",INDEX(B3286:B$2,-1+SUMPRODUCT(MAX(ROW(E3286:E$2)*(E3287=E3286:E$2)))))</f>
        <v> </v>
      </c>
      <c r="J3287" s="26" t="str">
        <f>IF(OR(E3287="",E3287="!!!",F3287="NEW"),"",COUNTBLANK(OFFSET(A$1,,,SUMPRODUCT(MAX(ROW(E$2:E3287)*(E3287=E$2:E3287)))))-COUNTBLANK(OFFSET(A$1,,,SUMPRODUCT(MAX(ROW(E$1:E3286)*(E2=E$1:E3286))))))</f>
        <v> </v>
      </c>
      <c r="K3287" s="26" t="str">
        <f>IF(OR(E3287="",E3287="!!!",F3287="NEW"),"",INDEX(J$1:J3286,SUMPRODUCT(MAX(ROW(E$1:E3286)*(E3287=E$1:E3286)))))</f>
        <v> </v>
      </c>
      <c r="L3287" s="27"/>
    </row>
    <row r="3288" spans="1:12">
      <c r="A3288" s="20" t="s">
        <v>1030</v>
      </c>
      <c r="E3288" s="22">
        <f>IF(D3288="?OLD","!!!","")</f>
        <v/>
      </c>
      <c r="F3288" s="23" t="str">
        <f>IF(OR(E3288="",E3288="!!!"),"",IF(NOT(ISNA(VLOOKUP(E3288,E$1:E3287,1,FALSE()))),"OLD",IF(AND(E3288&lt;&gt;"",E3288&lt;&gt;"!!!"),"NEW","")))</f>
        <v> </v>
      </c>
      <c r="G3288" s="24" t="str">
        <f>IF(OR(E3288="",E3288="!!!"),"",IF(OR(J3288=0,AND(J3288=1,K3288=1),AND(J3288=1,I3288="SBJ"),AND(J3288=1,I3288=0)),"?IN_FOCUS",IF(J3288&lt;=2,"?ACTIVATED",IF(J3288&lt;&gt;"","?FAMILIAR",IF(F3288="NEW",IF(ISNA(VLOOKUP(E3288,#REF!,1,FALSE())),"?TYPE_IDENTIFIABLE","?REFERENTIAL"),"_")))))</f>
        <v> </v>
      </c>
      <c r="H3288" s="25" t="str">
        <f>IF(J3288&lt;&gt;1,"",IF(I3288="SBJ","CB","?"))</f>
        <v> </v>
      </c>
      <c r="I3288" s="26" t="str">
        <f>IF(OR(E3288="",E3288="!!!",F3288="NEW"),"",INDEX(B3287:B$2,-1+SUMPRODUCT(MAX(ROW(E3287:E$2)*(E3288=E3287:E$2)))))</f>
        <v> </v>
      </c>
      <c r="J3288" s="26" t="str">
        <f>IF(OR(E3288="",E3288="!!!",F3288="NEW"),"",COUNTBLANK(OFFSET(A$1,,,SUMPRODUCT(MAX(ROW(E$2:E3288)*(E3288=E$2:E3288)))))-COUNTBLANK(OFFSET(A$1,,,SUMPRODUCT(MAX(ROW(E$1:E3287)*(E2=E$1:E3287))))))</f>
        <v> </v>
      </c>
      <c r="K3288" s="26" t="str">
        <f>IF(OR(E3288="",E3288="!!!",F3288="NEW"),"",INDEX(J$1:J3287,SUMPRODUCT(MAX(ROW(E$1:E3287)*(E3288=E$1:E3287)))))</f>
        <v> </v>
      </c>
      <c r="L3288" s="27"/>
    </row>
    <row r="3289" spans="1:12">
      <c r="A3289" s="20" t="s">
        <v>2007</v>
      </c>
      <c r="B3289" s="21" t="s">
        <v>1033</v>
      </c>
      <c r="C3289" s="21" t="s">
        <v>1048</v>
      </c>
      <c r="E3289" s="22">
        <f>IF(D3289="?OLD","!!!","")</f>
        <v/>
      </c>
      <c r="F3289" s="23" t="str">
        <f>IF(OR(E3289="",E3289="!!!"),"",IF(NOT(ISNA(VLOOKUP(E3289,E$1:E3288,1,FALSE()))),"OLD",IF(AND(E3289&lt;&gt;"",E3289&lt;&gt;"!!!"),"NEW","")))</f>
        <v> </v>
      </c>
      <c r="G3289" s="24" t="str">
        <f>IF(OR(E3289="",E3289="!!!"),"",IF(OR(J3289=0,AND(J3289=1,K3289=1),AND(J3289=1,I3289="SBJ"),AND(J3289=1,I3289=0)),"?IN_FOCUS",IF(J3289&lt;=2,"?ACTIVATED",IF(J3289&lt;&gt;"","?FAMILIAR",IF(F3289="NEW",IF(ISNA(VLOOKUP(E3289,#REF!,1,FALSE())),"?TYPE_IDENTIFIABLE","?REFERENTIAL"),"_")))))</f>
        <v> </v>
      </c>
      <c r="H3289" s="25" t="str">
        <f>IF(J3289&lt;&gt;1,"",IF(I3289="SBJ","CB","?"))</f>
        <v> </v>
      </c>
      <c r="I3289" s="26" t="str">
        <f>IF(OR(E3289="",E3289="!!!",F3289="NEW"),"",INDEX(B3288:B$2,-1+SUMPRODUCT(MAX(ROW(E3288:E$2)*(E3289=E3288:E$2)))))</f>
        <v> </v>
      </c>
      <c r="J3289" s="26" t="str">
        <f>IF(OR(E3289="",E3289="!!!",F3289="NEW"),"",COUNTBLANK(OFFSET(A$1,,,SUMPRODUCT(MAX(ROW(E$2:E3289)*(E3289=E$2:E3289)))))-COUNTBLANK(OFFSET(A$1,,,SUMPRODUCT(MAX(ROW(E$1:E3288)*(E2=E$1:E3288))))))</f>
        <v> </v>
      </c>
      <c r="K3289" s="26" t="str">
        <f>IF(OR(E3289="",E3289="!!!",F3289="NEW"),"",INDEX(J$1:J3288,SUMPRODUCT(MAX(ROW(E$1:E3288)*(E3289=E$1:E3288)))))</f>
        <v> </v>
      </c>
      <c r="L3289" s="27"/>
    </row>
    <row r="3290" spans="1:12">
      <c r="A3290" s="20" t="s">
        <v>1065</v>
      </c>
      <c r="B3290" s="21" t="s">
        <v>1154</v>
      </c>
      <c r="E3290" s="22">
        <f>IF(D3290="?OLD","!!!","")</f>
        <v/>
      </c>
      <c r="F3290" s="23" t="str">
        <f>IF(OR(E3290="",E3290="!!!"),"",IF(NOT(ISNA(VLOOKUP(E3290,E$1:E3289,1,FALSE()))),"OLD",IF(AND(E3290&lt;&gt;"",E3290&lt;&gt;"!!!"),"NEW","")))</f>
        <v> </v>
      </c>
      <c r="G3290" s="24" t="str">
        <f>IF(OR(E3290="",E3290="!!!"),"",IF(OR(J3290=0,AND(J3290=1,K3290=1),AND(J3290=1,I3290="SBJ"),AND(J3290=1,I3290=0)),"?IN_FOCUS",IF(J3290&lt;=2,"?ACTIVATED",IF(J3290&lt;&gt;"","?FAMILIAR",IF(F3290="NEW",IF(ISNA(VLOOKUP(E3290,#REF!,1,FALSE())),"?TYPE_IDENTIFIABLE","?REFERENTIAL"),"_")))))</f>
        <v> </v>
      </c>
      <c r="H3290" s="25" t="str">
        <f>IF(J3290&lt;&gt;1,"",IF(I3290="SBJ","CB","?"))</f>
        <v> </v>
      </c>
      <c r="I3290" s="26" t="str">
        <f>IF(OR(E3290="",E3290="!!!",F3290="NEW"),"",INDEX(B3289:B$2,-1+SUMPRODUCT(MAX(ROW(E3289:E$2)*(E3290=E3289:E$2)))))</f>
        <v> </v>
      </c>
      <c r="J3290" s="26" t="str">
        <f>IF(OR(E3290="",E3290="!!!",F3290="NEW"),"",COUNTBLANK(OFFSET(A$1,,,SUMPRODUCT(MAX(ROW(E$2:E3290)*(E3290=E$2:E3290)))))-COUNTBLANK(OFFSET(A$1,,,SUMPRODUCT(MAX(ROW(E$1:E3289)*(E2=E$1:E3289))))))</f>
        <v> </v>
      </c>
      <c r="K3290" s="26" t="str">
        <f>IF(OR(E3290="",E3290="!!!",F3290="NEW"),"",INDEX(J$1:J3289,SUMPRODUCT(MAX(ROW(E$1:E3289)*(E3290=E$1:E3289)))))</f>
        <v> </v>
      </c>
      <c r="L3290" s="27"/>
    </row>
    <row r="3291" spans="1:12">
      <c r="A3291" s="20" t="s">
        <v>1142</v>
      </c>
      <c r="E3291" s="22">
        <f>IF(D3291="?OLD","!!!","")</f>
        <v/>
      </c>
      <c r="F3291" s="23" t="str">
        <f>IF(OR(E3291="",E3291="!!!"),"",IF(NOT(ISNA(VLOOKUP(E3291,E$1:E3290,1,FALSE()))),"OLD",IF(AND(E3291&lt;&gt;"",E3291&lt;&gt;"!!!"),"NEW","")))</f>
        <v> </v>
      </c>
      <c r="G3291" s="24" t="str">
        <f>IF(OR(E3291="",E3291="!!!"),"",IF(OR(J3291=0,AND(J3291=1,K3291=1),AND(J3291=1,I3291="SBJ"),AND(J3291=1,I3291=0)),"?IN_FOCUS",IF(J3291&lt;=2,"?ACTIVATED",IF(J3291&lt;&gt;"","?FAMILIAR",IF(F3291="NEW",IF(ISNA(VLOOKUP(E3291,#REF!,1,FALSE())),"?TYPE_IDENTIFIABLE","?REFERENTIAL"),"_")))))</f>
        <v> </v>
      </c>
      <c r="H3291" s="25" t="str">
        <f>IF(J3291&lt;&gt;1,"",IF(I3291="SBJ","CB","?"))</f>
        <v> </v>
      </c>
      <c r="I3291" s="26" t="str">
        <f>IF(OR(E3291="",E3291="!!!",F3291="NEW"),"",INDEX(B3290:B$2,-1+SUMPRODUCT(MAX(ROW(E3290:E$2)*(E3291=E3290:E$2)))))</f>
        <v> </v>
      </c>
      <c r="J3291" s="26" t="str">
        <f>IF(OR(E3291="",E3291="!!!",F3291="NEW"),"",COUNTBLANK(OFFSET(A$1,,,SUMPRODUCT(MAX(ROW(E$2:E3291)*(E3291=E$2:E3291)))))-COUNTBLANK(OFFSET(A$1,,,SUMPRODUCT(MAX(ROW(E$1:E3290)*(E2=E$1:E3290))))))</f>
        <v> </v>
      </c>
      <c r="K3291" s="26" t="str">
        <f>IF(OR(E3291="",E3291="!!!",F3291="NEW"),"",INDEX(J$1:J3290,SUMPRODUCT(MAX(ROW(E$1:E3290)*(E3291=E$1:E3290)))))</f>
        <v> </v>
      </c>
      <c r="L3291" s="27"/>
    </row>
    <row r="3292" spans="1:12">
      <c r="A3292" s="20" t="s">
        <v>1164</v>
      </c>
      <c r="E3292" s="22">
        <f>IF(D3292="?OLD","!!!","")</f>
        <v/>
      </c>
      <c r="F3292" s="23" t="str">
        <f>IF(OR(E3292="",E3292="!!!"),"",IF(NOT(ISNA(VLOOKUP(E3292,E$1:E3291,1,FALSE()))),"OLD",IF(AND(E3292&lt;&gt;"",E3292&lt;&gt;"!!!"),"NEW","")))</f>
        <v> </v>
      </c>
      <c r="G3292" s="24" t="str">
        <f>IF(OR(E3292="",E3292="!!!"),"",IF(OR(J3292=0,AND(J3292=1,K3292=1),AND(J3292=1,I3292="SBJ"),AND(J3292=1,I3292=0)),"?IN_FOCUS",IF(J3292&lt;=2,"?ACTIVATED",IF(J3292&lt;&gt;"","?FAMILIAR",IF(F3292="NEW",IF(ISNA(VLOOKUP(E3292,#REF!,1,FALSE())),"?TYPE_IDENTIFIABLE","?REFERENTIAL"),"_")))))</f>
        <v> </v>
      </c>
      <c r="H3292" s="25" t="str">
        <f>IF(J3292&lt;&gt;1,"",IF(I3292="SBJ","CB","?"))</f>
        <v> </v>
      </c>
      <c r="I3292" s="26" t="str">
        <f>IF(OR(E3292="",E3292="!!!",F3292="NEW"),"",INDEX(B3291:B$2,-1+SUMPRODUCT(MAX(ROW(E3291:E$2)*(E3292=E3291:E$2)))))</f>
        <v> </v>
      </c>
      <c r="J3292" s="26" t="str">
        <f>IF(OR(E3292="",E3292="!!!",F3292="NEW"),"",COUNTBLANK(OFFSET(A$1,,,SUMPRODUCT(MAX(ROW(E$2:E3292)*(E3292=E$2:E3292)))))-COUNTBLANK(OFFSET(A$1,,,SUMPRODUCT(MAX(ROW(E$1:E3291)*(E2=E$1:E3291))))))</f>
        <v> </v>
      </c>
      <c r="K3292" s="26" t="str">
        <f>IF(OR(E3292="",E3292="!!!",F3292="NEW"),"",INDEX(J$1:J3291,SUMPRODUCT(MAX(ROW(E$1:E3291)*(E3292=E$1:E3291)))))</f>
        <v> </v>
      </c>
      <c r="L3292" s="27"/>
    </row>
    <row r="3293" spans="1:12">
      <c r="A3293" s="20" t="s">
        <v>1324</v>
      </c>
      <c r="E3293" s="22">
        <f>IF(D3293="?OLD","!!!","")</f>
        <v/>
      </c>
      <c r="F3293" s="23" t="str">
        <f>IF(OR(E3293="",E3293="!!!"),"",IF(NOT(ISNA(VLOOKUP(E3293,E$1:E3292,1,FALSE()))),"OLD",IF(AND(E3293&lt;&gt;"",E3293&lt;&gt;"!!!"),"NEW","")))</f>
        <v> </v>
      </c>
      <c r="G3293" s="24" t="str">
        <f>IF(OR(E3293="",E3293="!!!"),"",IF(OR(J3293=0,AND(J3293=1,K3293=1),AND(J3293=1,I3293="SBJ"),AND(J3293=1,I3293=0)),"?IN_FOCUS",IF(J3293&lt;=2,"?ACTIVATED",IF(J3293&lt;&gt;"","?FAMILIAR",IF(F3293="NEW",IF(ISNA(VLOOKUP(E3293,#REF!,1,FALSE())),"?TYPE_IDENTIFIABLE","?REFERENTIAL"),"_")))))</f>
        <v> </v>
      </c>
      <c r="H3293" s="25" t="str">
        <f>IF(J3293&lt;&gt;1,"",IF(I3293="SBJ","CB","?"))</f>
        <v> </v>
      </c>
      <c r="I3293" s="26" t="str">
        <f>IF(OR(E3293="",E3293="!!!",F3293="NEW"),"",INDEX(B3292:B$2,-1+SUMPRODUCT(MAX(ROW(E3292:E$2)*(E3293=E3292:E$2)))))</f>
        <v> </v>
      </c>
      <c r="J3293" s="26" t="str">
        <f>IF(OR(E3293="",E3293="!!!",F3293="NEW"),"",COUNTBLANK(OFFSET(A$1,,,SUMPRODUCT(MAX(ROW(E$2:E3293)*(E3293=E$2:E3293)))))-COUNTBLANK(OFFSET(A$1,,,SUMPRODUCT(MAX(ROW(E$1:E3292)*(E2=E$1:E3292))))))</f>
        <v> </v>
      </c>
      <c r="K3293" s="26" t="str">
        <f>IF(OR(E3293="",E3293="!!!",F3293="NEW"),"",INDEX(J$1:J3292,SUMPRODUCT(MAX(ROW(E$1:E3292)*(E3293=E$1:E3292)))))</f>
        <v> </v>
      </c>
      <c r="L3293" s="27"/>
    </row>
    <row r="3294" spans="1:12">
      <c r="A3294" s="20" t="s">
        <v>2008</v>
      </c>
      <c r="B3294" s="21" t="s">
        <v>1022</v>
      </c>
      <c r="C3294" s="21" t="s">
        <v>1013</v>
      </c>
      <c r="D3294" s="21" t="s">
        <v>1007</v>
      </c>
      <c r="E3294" s="22">
        <f>IF(D3294="?OLD","!!!","")</f>
        <v/>
      </c>
      <c r="F3294" s="23" t="str">
        <f>IF(OR(E3294="",E3294="!!!"),"",IF(NOT(ISNA(VLOOKUP(E3294,E$1:E3293,1,FALSE()))),"OLD",IF(AND(E3294&lt;&gt;"",E3294&lt;&gt;"!!!"),"NEW","")))</f>
        <v> </v>
      </c>
      <c r="G3294" s="24" t="str">
        <f>IF(OR(E3294="",E3294="!!!"),"",IF(OR(J3294=0,AND(J3294=1,K3294=1),AND(J3294=1,I3294="SBJ"),AND(J3294=1,I3294=0)),"?IN_FOCUS",IF(J3294&lt;=2,"?ACTIVATED",IF(J3294&lt;&gt;"","?FAMILIAR",IF(F3294="NEW",IF(ISNA(VLOOKUP(E3294,#REF!,1,FALSE())),"?TYPE_IDENTIFIABLE","?REFERENTIAL"),"_")))))</f>
        <v> </v>
      </c>
      <c r="H3294" s="25" t="str">
        <f>IF(J3294&lt;&gt;1,"",IF(I3294="SBJ","CB","?"))</f>
        <v> </v>
      </c>
      <c r="I3294" s="26" t="str">
        <f>IF(OR(E3294="",E3294="!!!",F3294="NEW"),"",INDEX(B3293:B$2,-1+SUMPRODUCT(MAX(ROW(E3293:E$2)*(E3294=E3293:E$2)))))</f>
        <v> </v>
      </c>
      <c r="J3294" s="26" t="str">
        <f>IF(OR(E3294="",E3294="!!!",F3294="NEW"),"",COUNTBLANK(OFFSET(A$1,,,SUMPRODUCT(MAX(ROW(E$2:E3294)*(E3294=E$2:E3294)))))-COUNTBLANK(OFFSET(A$1,,,SUMPRODUCT(MAX(ROW(E$1:E3293)*(E2=E$1:E3293))))))</f>
        <v> </v>
      </c>
      <c r="K3294" s="26" t="str">
        <f>IF(OR(E3294="",E3294="!!!",F3294="NEW"),"",INDEX(J$1:J3293,SUMPRODUCT(MAX(ROW(E$1:E3293)*(E3294=E$1:E3293)))))</f>
        <v> </v>
      </c>
      <c r="L3294" s="27"/>
    </row>
    <row r="3295" spans="1:12">
      <c r="A3295" s="20" t="s">
        <v>1142</v>
      </c>
      <c r="E3295" s="22">
        <f>IF(D3295="?OLD","!!!","")</f>
        <v/>
      </c>
      <c r="F3295" s="23" t="str">
        <f>IF(OR(E3295="",E3295="!!!"),"",IF(NOT(ISNA(VLOOKUP(E3295,E$1:E3294,1,FALSE()))),"OLD",IF(AND(E3295&lt;&gt;"",E3295&lt;&gt;"!!!"),"NEW","")))</f>
        <v> </v>
      </c>
      <c r="G3295" s="24" t="str">
        <f>IF(OR(E3295="",E3295="!!!"),"",IF(OR(J3295=0,AND(J3295=1,K3295=1),AND(J3295=1,I3295="SBJ"),AND(J3295=1,I3295=0)),"?IN_FOCUS",IF(J3295&lt;=2,"?ACTIVATED",IF(J3295&lt;&gt;"","?FAMILIAR",IF(F3295="NEW",IF(ISNA(VLOOKUP(E3295,#REF!,1,FALSE())),"?TYPE_IDENTIFIABLE","?REFERENTIAL"),"_")))))</f>
        <v> </v>
      </c>
      <c r="H3295" s="25" t="str">
        <f>IF(J3295&lt;&gt;1,"",IF(I3295="SBJ","CB","?"))</f>
        <v> </v>
      </c>
      <c r="I3295" s="26" t="str">
        <f>IF(OR(E3295="",E3295="!!!",F3295="NEW"),"",INDEX(B3294:B$2,-1+SUMPRODUCT(MAX(ROW(E3294:E$2)*(E3295=E3294:E$2)))))</f>
        <v> </v>
      </c>
      <c r="J3295" s="26" t="str">
        <f>IF(OR(E3295="",E3295="!!!",F3295="NEW"),"",COUNTBLANK(OFFSET(A$1,,,SUMPRODUCT(MAX(ROW(E$2:E3295)*(E3295=E$2:E3295)))))-COUNTBLANK(OFFSET(A$1,,,SUMPRODUCT(MAX(ROW(E$1:E3294)*(E2=E$1:E3294))))))</f>
        <v> </v>
      </c>
      <c r="K3295" s="26" t="str">
        <f>IF(OR(E3295="",E3295="!!!",F3295="NEW"),"",INDEX(J$1:J3294,SUMPRODUCT(MAX(ROW(E$1:E3294)*(E3295=E$1:E3294)))))</f>
        <v> </v>
      </c>
      <c r="L3295" s="27"/>
    </row>
    <row r="3296" spans="1:12">
      <c r="A3296" s="20" t="s">
        <v>1030</v>
      </c>
      <c r="E3296" s="22">
        <f>IF(D3296="?OLD","!!!","")</f>
        <v/>
      </c>
      <c r="F3296" s="23" t="str">
        <f>IF(OR(E3296="",E3296="!!!"),"",IF(NOT(ISNA(VLOOKUP(E3296,E$1:E3295,1,FALSE()))),"OLD",IF(AND(E3296&lt;&gt;"",E3296&lt;&gt;"!!!"),"NEW","")))</f>
        <v> </v>
      </c>
      <c r="G3296" s="24" t="str">
        <f>IF(OR(E3296="",E3296="!!!"),"",IF(OR(J3296=0,AND(J3296=1,K3296=1),AND(J3296=1,I3296="SBJ"),AND(J3296=1,I3296=0)),"?IN_FOCUS",IF(J3296&lt;=2,"?ACTIVATED",IF(J3296&lt;&gt;"","?FAMILIAR",IF(F3296="NEW",IF(ISNA(VLOOKUP(E3296,#REF!,1,FALSE())),"?TYPE_IDENTIFIABLE","?REFERENTIAL"),"_")))))</f>
        <v> </v>
      </c>
      <c r="H3296" s="25" t="str">
        <f>IF(J3296&lt;&gt;1,"",IF(I3296="SBJ","CB","?"))</f>
        <v> </v>
      </c>
      <c r="I3296" s="26" t="str">
        <f>IF(OR(E3296="",E3296="!!!",F3296="NEW"),"",INDEX(B3295:B$2,-1+SUMPRODUCT(MAX(ROW(E3295:E$2)*(E3296=E3295:E$2)))))</f>
        <v> </v>
      </c>
      <c r="J3296" s="26" t="str">
        <f>IF(OR(E3296="",E3296="!!!",F3296="NEW"),"",COUNTBLANK(OFFSET(A$1,,,SUMPRODUCT(MAX(ROW(E$2:E3296)*(E3296=E$2:E3296)))))-COUNTBLANK(OFFSET(A$1,,,SUMPRODUCT(MAX(ROW(E$1:E3295)*(E2=E$1:E3295))))))</f>
        <v> </v>
      </c>
      <c r="K3296" s="26" t="str">
        <f>IF(OR(E3296="",E3296="!!!",F3296="NEW"),"",INDEX(J$1:J3295,SUMPRODUCT(MAX(ROW(E$1:E3295)*(E3296=E$1:E3295)))))</f>
        <v> </v>
      </c>
      <c r="L3296" s="27"/>
    </row>
    <row r="3297" spans="1:12">
      <c r="A3297" s="20" t="s">
        <v>1015</v>
      </c>
      <c r="E3297" s="22">
        <f>IF(D3297="?OLD","!!!","")</f>
        <v/>
      </c>
      <c r="F3297" s="23" t="str">
        <f>IF(OR(E3297="",E3297="!!!"),"",IF(NOT(ISNA(VLOOKUP(E3297,E$1:E3296,1,FALSE()))),"OLD",IF(AND(E3297&lt;&gt;"",E3297&lt;&gt;"!!!"),"NEW","")))</f>
        <v> </v>
      </c>
      <c r="G3297" s="24" t="str">
        <f>IF(OR(E3297="",E3297="!!!"),"",IF(OR(J3297=0,AND(J3297=1,K3297=1),AND(J3297=1,I3297="SBJ"),AND(J3297=1,I3297=0)),"?IN_FOCUS",IF(J3297&lt;=2,"?ACTIVATED",IF(J3297&lt;&gt;"","?FAMILIAR",IF(F3297="NEW",IF(ISNA(VLOOKUP(E3297,#REF!,1,FALSE())),"?TYPE_IDENTIFIABLE","?REFERENTIAL"),"_")))))</f>
        <v> </v>
      </c>
      <c r="H3297" s="25" t="str">
        <f>IF(J3297&lt;&gt;1,"",IF(I3297="SBJ","CB","?"))</f>
        <v> </v>
      </c>
      <c r="I3297" s="26" t="str">
        <f>IF(OR(E3297="",E3297="!!!",F3297="NEW"),"",INDEX(B3296:B$2,-1+SUMPRODUCT(MAX(ROW(E3296:E$2)*(E3297=E3296:E$2)))))</f>
        <v> </v>
      </c>
      <c r="J3297" s="26" t="str">
        <f>IF(OR(E3297="",E3297="!!!",F3297="NEW"),"",COUNTBLANK(OFFSET(A$1,,,SUMPRODUCT(MAX(ROW(E$2:E3297)*(E3297=E$2:E3297)))))-COUNTBLANK(OFFSET(A$1,,,SUMPRODUCT(MAX(ROW(E$1:E3296)*(E2=E$1:E3296))))))</f>
        <v> </v>
      </c>
      <c r="K3297" s="26" t="str">
        <f>IF(OR(E3297="",E3297="!!!",F3297="NEW"),"",INDEX(J$1:J3296,SUMPRODUCT(MAX(ROW(E$1:E3296)*(E3297=E$1:E3296)))))</f>
        <v> </v>
      </c>
      <c r="L3297" s="27"/>
    </row>
    <row r="3298" spans="1:12">
      <c r="A3298" s="20" t="s">
        <v>2009</v>
      </c>
      <c r="B3298" s="21" t="s">
        <v>1033</v>
      </c>
      <c r="C3298" s="21" t="s">
        <v>1017</v>
      </c>
      <c r="D3298" s="21" t="s">
        <v>1007</v>
      </c>
      <c r="E3298" s="22">
        <f>IF(D3298="?OLD","!!!","")</f>
        <v/>
      </c>
      <c r="F3298" s="23" t="str">
        <f>IF(OR(E3298="",E3298="!!!"),"",IF(NOT(ISNA(VLOOKUP(E3298,E$1:E3297,1,FALSE()))),"OLD",IF(AND(E3298&lt;&gt;"",E3298&lt;&gt;"!!!"),"NEW","")))</f>
        <v> </v>
      </c>
      <c r="G3298" s="24" t="str">
        <f>IF(OR(E3298="",E3298="!!!"),"",IF(OR(J3298=0,AND(J3298=1,K3298=1),AND(J3298=1,I3298="SBJ"),AND(J3298=1,I3298=0)),"?IN_FOCUS",IF(J3298&lt;=2,"?ACTIVATED",IF(J3298&lt;&gt;"","?FAMILIAR",IF(F3298="NEW",IF(ISNA(VLOOKUP(E3298,#REF!,1,FALSE())),"?TYPE_IDENTIFIABLE","?REFERENTIAL"),"_")))))</f>
        <v> </v>
      </c>
      <c r="H3298" s="25" t="str">
        <f>IF(J3298&lt;&gt;1,"",IF(I3298="SBJ","CB","?"))</f>
        <v> </v>
      </c>
      <c r="I3298" s="26" t="str">
        <f>IF(OR(E3298="",E3298="!!!",F3298="NEW"),"",INDEX(B3297:B$2,-1+SUMPRODUCT(MAX(ROW(E3297:E$2)*(E3298=E3297:E$2)))))</f>
        <v> </v>
      </c>
      <c r="J3298" s="26" t="str">
        <f>IF(OR(E3298="",E3298="!!!",F3298="NEW"),"",COUNTBLANK(OFFSET(A$1,,,SUMPRODUCT(MAX(ROW(E$2:E3298)*(E3298=E$2:E3298)))))-COUNTBLANK(OFFSET(A$1,,,SUMPRODUCT(MAX(ROW(E$1:E3297)*(E2=E$1:E3297))))))</f>
        <v> </v>
      </c>
      <c r="K3298" s="26" t="str">
        <f>IF(OR(E3298="",E3298="!!!",F3298="NEW"),"",INDEX(J$1:J3297,SUMPRODUCT(MAX(ROW(E$1:E3297)*(E3298=E$1:E3297)))))</f>
        <v> </v>
      </c>
      <c r="L3298" s="27"/>
    </row>
    <row r="3299" spans="1:12">
      <c r="A3299" s="20" t="s">
        <v>1286</v>
      </c>
      <c r="E3299" s="22">
        <f>IF(D3299="?OLD","!!!","")</f>
        <v/>
      </c>
      <c r="F3299" s="23" t="str">
        <f>IF(OR(E3299="",E3299="!!!"),"",IF(NOT(ISNA(VLOOKUP(E3299,E$1:E3298,1,FALSE()))),"OLD",IF(AND(E3299&lt;&gt;"",E3299&lt;&gt;"!!!"),"NEW","")))</f>
        <v> </v>
      </c>
      <c r="G3299" s="24" t="str">
        <f>IF(OR(E3299="",E3299="!!!"),"",IF(OR(J3299=0,AND(J3299=1,K3299=1),AND(J3299=1,I3299="SBJ"),AND(J3299=1,I3299=0)),"?IN_FOCUS",IF(J3299&lt;=2,"?ACTIVATED",IF(J3299&lt;&gt;"","?FAMILIAR",IF(F3299="NEW",IF(ISNA(VLOOKUP(E3299,#REF!,1,FALSE())),"?TYPE_IDENTIFIABLE","?REFERENTIAL"),"_")))))</f>
        <v> </v>
      </c>
      <c r="H3299" s="25" t="str">
        <f>IF(J3299&lt;&gt;1,"",IF(I3299="SBJ","CB","?"))</f>
        <v> </v>
      </c>
      <c r="I3299" s="26" t="str">
        <f>IF(OR(E3299="",E3299="!!!",F3299="NEW"),"",INDEX(B3298:B$2,-1+SUMPRODUCT(MAX(ROW(E3298:E$2)*(E3299=E3298:E$2)))))</f>
        <v> </v>
      </c>
      <c r="J3299" s="26" t="str">
        <f>IF(OR(E3299="",E3299="!!!",F3299="NEW"),"",COUNTBLANK(OFFSET(A$1,,,SUMPRODUCT(MAX(ROW(E$2:E3299)*(E3299=E$2:E3299)))))-COUNTBLANK(OFFSET(A$1,,,SUMPRODUCT(MAX(ROW(E$1:E3298)*(E2=E$1:E3298))))))</f>
        <v> </v>
      </c>
      <c r="K3299" s="26" t="str">
        <f>IF(OR(E3299="",E3299="!!!",F3299="NEW"),"",INDEX(J$1:J3298,SUMPRODUCT(MAX(ROW(E$1:E3298)*(E3299=E$1:E3298)))))</f>
        <v> </v>
      </c>
      <c r="L3299" s="27"/>
    </row>
    <row r="3300" spans="1:12">
      <c r="A3300" s="20" t="s">
        <v>2010</v>
      </c>
      <c r="E3300" s="22">
        <f>IF(D3300="?OLD","!!!","")</f>
        <v/>
      </c>
      <c r="F3300" s="23" t="str">
        <f>IF(OR(E3300="",E3300="!!!"),"",IF(NOT(ISNA(VLOOKUP(E3300,E$1:E3299,1,FALSE()))),"OLD",IF(AND(E3300&lt;&gt;"",E3300&lt;&gt;"!!!"),"NEW","")))</f>
        <v> </v>
      </c>
      <c r="G3300" s="24" t="str">
        <f>IF(OR(E3300="",E3300="!!!"),"",IF(OR(J3300=0,AND(J3300=1,K3300=1),AND(J3300=1,I3300="SBJ"),AND(J3300=1,I3300=0)),"?IN_FOCUS",IF(J3300&lt;=2,"?ACTIVATED",IF(J3300&lt;&gt;"","?FAMILIAR",IF(F3300="NEW",IF(ISNA(VLOOKUP(E3300,#REF!,1,FALSE())),"?TYPE_IDENTIFIABLE","?REFERENTIAL"),"_")))))</f>
        <v> </v>
      </c>
      <c r="H3300" s="25" t="str">
        <f>IF(J3300&lt;&gt;1,"",IF(I3300="SBJ","CB","?"))</f>
        <v> </v>
      </c>
      <c r="I3300" s="26" t="str">
        <f>IF(OR(E3300="",E3300="!!!",F3300="NEW"),"",INDEX(B3299:B$2,-1+SUMPRODUCT(MAX(ROW(E3299:E$2)*(E3300=E3299:E$2)))))</f>
        <v> </v>
      </c>
      <c r="J3300" s="26" t="str">
        <f>IF(OR(E3300="",E3300="!!!",F3300="NEW"),"",COUNTBLANK(OFFSET(A$1,,,SUMPRODUCT(MAX(ROW(E$2:E3300)*(E3300=E$2:E3300)))))-COUNTBLANK(OFFSET(A$1,,,SUMPRODUCT(MAX(ROW(E$1:E3299)*(E2=E$1:E3299))))))</f>
        <v> </v>
      </c>
      <c r="K3300" s="26" t="str">
        <f>IF(OR(E3300="",E3300="!!!",F3300="NEW"),"",INDEX(J$1:J3299,SUMPRODUCT(MAX(ROW(E$1:E3299)*(E3300=E$1:E3299)))))</f>
        <v> </v>
      </c>
      <c r="L3300" s="27"/>
    </row>
    <row r="3301" spans="1:12">
      <c r="A3301" s="20" t="s">
        <v>1018</v>
      </c>
      <c r="E3301" s="22">
        <f>IF(D3301="?OLD","!!!","")</f>
        <v/>
      </c>
      <c r="F3301" s="23" t="str">
        <f>IF(OR(E3301="",E3301="!!!"),"",IF(NOT(ISNA(VLOOKUP(E3301,E$1:E3300,1,FALSE()))),"OLD",IF(AND(E3301&lt;&gt;"",E3301&lt;&gt;"!!!"),"NEW","")))</f>
        <v> </v>
      </c>
      <c r="G3301" s="24" t="str">
        <f>IF(OR(E3301="",E3301="!!!"),"",IF(OR(J3301=0,AND(J3301=1,K3301=1),AND(J3301=1,I3301="SBJ"),AND(J3301=1,I3301=0)),"?IN_FOCUS",IF(J3301&lt;=2,"?ACTIVATED",IF(J3301&lt;&gt;"","?FAMILIAR",IF(F3301="NEW",IF(ISNA(VLOOKUP(E3301,#REF!,1,FALSE())),"?TYPE_IDENTIFIABLE","?REFERENTIAL"),"_")))))</f>
        <v> </v>
      </c>
      <c r="H3301" s="25" t="str">
        <f>IF(J3301&lt;&gt;1,"",IF(I3301="SBJ","CB","?"))</f>
        <v> </v>
      </c>
      <c r="I3301" s="26" t="str">
        <f>IF(OR(E3301="",E3301="!!!",F3301="NEW"),"",INDEX(B3300:B$2,-1+SUMPRODUCT(MAX(ROW(E3300:E$2)*(E3301=E3300:E$2)))))</f>
        <v> </v>
      </c>
      <c r="J3301" s="26" t="str">
        <f>IF(OR(E3301="",E3301="!!!",F3301="NEW"),"",COUNTBLANK(OFFSET(A$1,,,SUMPRODUCT(MAX(ROW(E$2:E3301)*(E3301=E$2:E3301)))))-COUNTBLANK(OFFSET(A$1,,,SUMPRODUCT(MAX(ROW(E$1:E3300)*(E2=E$1:E3300))))))</f>
        <v> </v>
      </c>
      <c r="K3301" s="26" t="str">
        <f>IF(OR(E3301="",E3301="!!!",F3301="NEW"),"",INDEX(J$1:J3300,SUMPRODUCT(MAX(ROW(E$1:E3300)*(E3301=E$1:E3300)))))</f>
        <v> </v>
      </c>
      <c r="L3301" s="27"/>
    </row>
    <row r="3302" spans="1:12">
      <c r="A3302" s="20" t="s">
        <v>56</v>
      </c>
      <c r="E3302" s="22">
        <f>IF(D3302="?OLD","!!!","")</f>
        <v/>
      </c>
      <c r="F3302" s="23" t="str">
        <f>IF(OR(E3302="",E3302="!!!"),"",IF(NOT(ISNA(VLOOKUP(E3302,E$1:E3301,1,FALSE()))),"OLD",IF(AND(E3302&lt;&gt;"",E3302&lt;&gt;"!!!"),"NEW","")))</f>
        <v> </v>
      </c>
      <c r="G3302" s="24" t="str">
        <f>IF(OR(E3302="",E3302="!!!"),"",IF(OR(J3302=0,AND(J3302=1,K3302=1),AND(J3302=1,I3302="SBJ"),AND(J3302=1,I3302=0)),"?IN_FOCUS",IF(J3302&lt;=2,"?ACTIVATED",IF(J3302&lt;&gt;"","?FAMILIAR",IF(F3302="NEW",IF(ISNA(VLOOKUP(E3302,#REF!,1,FALSE())),"?TYPE_IDENTIFIABLE","?REFERENTIAL"),"_")))))</f>
        <v> </v>
      </c>
      <c r="H3302" s="25" t="str">
        <f>IF(J3302&lt;&gt;1,"",IF(I3302="SBJ","CB","?"))</f>
        <v> </v>
      </c>
      <c r="I3302" s="26" t="str">
        <f>IF(OR(E3302="",E3302="!!!",F3302="NEW"),"",INDEX(B3301:B$2,-1+SUMPRODUCT(MAX(ROW(E3301:E$2)*(E3302=E3301:E$2)))))</f>
        <v> </v>
      </c>
      <c r="J3302" s="26" t="str">
        <f>IF(OR(E3302="",E3302="!!!",F3302="NEW"),"",COUNTBLANK(OFFSET(A$1,,,SUMPRODUCT(MAX(ROW(E$2:E3302)*(E3302=E$2:E3302)))))-COUNTBLANK(OFFSET(A$1,,,SUMPRODUCT(MAX(ROW(E$1:E3301)*(E2=E$1:E3301))))))</f>
        <v> </v>
      </c>
      <c r="K3302" s="26" t="str">
        <f>IF(OR(E3302="",E3302="!!!",F3302="NEW"),"",INDEX(J$1:J3301,SUMPRODUCT(MAX(ROW(E$1:E3301)*(E3302=E$1:E3301)))))</f>
        <v> </v>
      </c>
      <c r="L3302" s="27"/>
    </row>
    <row r="3303" spans="1:12">
      <c r="A3303" s="20" t="s">
        <v>1140</v>
      </c>
      <c r="B3303" s="21" t="s">
        <v>1005</v>
      </c>
      <c r="C3303" s="21" t="s">
        <v>1073</v>
      </c>
      <c r="D3303" s="21" t="s">
        <v>1007</v>
      </c>
      <c r="E3303" s="22">
        <f>IF(D3303="?OLD","!!!","")</f>
        <v/>
      </c>
      <c r="F3303" s="23" t="str">
        <f>IF(OR(E3303="",E3303="!!!"),"",IF(NOT(ISNA(VLOOKUP(E3303,E$1:E3302,1,FALSE()))),"OLD",IF(AND(E3303&lt;&gt;"",E3303&lt;&gt;"!!!"),"NEW","")))</f>
        <v> </v>
      </c>
      <c r="G3303" s="24" t="str">
        <f>IF(OR(E3303="",E3303="!!!"),"",IF(OR(J3303=0,AND(J3303=1,K3303=1),AND(J3303=1,I3303="SBJ"),AND(J3303=1,I3303=0)),"?IN_FOCUS",IF(J3303&lt;=2,"?ACTIVATED",IF(J3303&lt;&gt;"","?FAMILIAR",IF(F3303="NEW",IF(ISNA(VLOOKUP(E3303,#REF!,1,FALSE())),"?TYPE_IDENTIFIABLE","?REFERENTIAL"),"_")))))</f>
        <v> </v>
      </c>
      <c r="H3303" s="25" t="str">
        <f>IF(J3303&lt;&gt;1,"",IF(I3303="SBJ","CB","?"))</f>
        <v> </v>
      </c>
      <c r="I3303" s="26" t="str">
        <f>IF(OR(E3303="",E3303="!!!",F3303="NEW"),"",INDEX(B3302:B$2,-1+SUMPRODUCT(MAX(ROW(E3302:E$2)*(E3303=E3302:E$2)))))</f>
        <v> </v>
      </c>
      <c r="J3303" s="26" t="str">
        <f>IF(OR(E3303="",E3303="!!!",F3303="NEW"),"",COUNTBLANK(OFFSET(A$1,,,SUMPRODUCT(MAX(ROW(E$2:E3303)*(E3303=E$2:E3303)))))-COUNTBLANK(OFFSET(A$1,,,SUMPRODUCT(MAX(ROW(E$1:E3302)*(E2=E$1:E3302))))))</f>
        <v> </v>
      </c>
      <c r="K3303" s="26" t="str">
        <f>IF(OR(E3303="",E3303="!!!",F3303="NEW"),"",INDEX(J$1:J3302,SUMPRODUCT(MAX(ROW(E$1:E3302)*(E3303=E$1:E3302)))))</f>
        <v> </v>
      </c>
      <c r="L3303" s="27"/>
    </row>
    <row r="3304" spans="1:12">
      <c r="A3304" s="20" t="s">
        <v>2011</v>
      </c>
      <c r="E3304" s="22">
        <f>IF(D3304="?OLD","!!!","")</f>
        <v/>
      </c>
      <c r="F3304" s="23" t="str">
        <f>IF(OR(E3304="",E3304="!!!"),"",IF(NOT(ISNA(VLOOKUP(E3304,E$1:E3303,1,FALSE()))),"OLD",IF(AND(E3304&lt;&gt;"",E3304&lt;&gt;"!!!"),"NEW","")))</f>
        <v> </v>
      </c>
      <c r="G3304" s="24" t="str">
        <f>IF(OR(E3304="",E3304="!!!"),"",IF(OR(J3304=0,AND(J3304=1,K3304=1),AND(J3304=1,I3304="SBJ"),AND(J3304=1,I3304=0)),"?IN_FOCUS",IF(J3304&lt;=2,"?ACTIVATED",IF(J3304&lt;&gt;"","?FAMILIAR",IF(F3304="NEW",IF(ISNA(VLOOKUP(E3304,#REF!,1,FALSE())),"?TYPE_IDENTIFIABLE","?REFERENTIAL"),"_")))))</f>
        <v> </v>
      </c>
      <c r="H3304" s="25" t="str">
        <f>IF(J3304&lt;&gt;1,"",IF(I3304="SBJ","CB","?"))</f>
        <v> </v>
      </c>
      <c r="I3304" s="26" t="str">
        <f>IF(OR(E3304="",E3304="!!!",F3304="NEW"),"",INDEX(B3303:B$2,-1+SUMPRODUCT(MAX(ROW(E3303:E$2)*(E3304=E3303:E$2)))))</f>
        <v> </v>
      </c>
      <c r="J3304" s="26" t="str">
        <f>IF(OR(E3304="",E3304="!!!",F3304="NEW"),"",COUNTBLANK(OFFSET(A$1,,,SUMPRODUCT(MAX(ROW(E$2:E3304)*(E3304=E$2:E3304)))))-COUNTBLANK(OFFSET(A$1,,,SUMPRODUCT(MAX(ROW(E$1:E3303)*(E2=E$1:E3303))))))</f>
        <v> </v>
      </c>
      <c r="K3304" s="26" t="str">
        <f>IF(OR(E3304="",E3304="!!!",F3304="NEW"),"",INDEX(J$1:J3303,SUMPRODUCT(MAX(ROW(E$1:E3303)*(E3304=E$1:E3303)))))</f>
        <v> </v>
      </c>
      <c r="L3304" s="27"/>
    </row>
    <row r="3305" spans="1:12">
      <c r="A3305" s="20" t="s">
        <v>1114</v>
      </c>
      <c r="E3305" s="22">
        <f>IF(D3305="?OLD","!!!","")</f>
        <v/>
      </c>
      <c r="F3305" s="23" t="str">
        <f>IF(OR(E3305="",E3305="!!!"),"",IF(NOT(ISNA(VLOOKUP(E3305,E$1:E3304,1,FALSE()))),"OLD",IF(AND(E3305&lt;&gt;"",E3305&lt;&gt;"!!!"),"NEW","")))</f>
        <v> </v>
      </c>
      <c r="G3305" s="24" t="str">
        <f>IF(OR(E3305="",E3305="!!!"),"",IF(OR(J3305=0,AND(J3305=1,K3305=1),AND(J3305=1,I3305="SBJ"),AND(J3305=1,I3305=0)),"?IN_FOCUS",IF(J3305&lt;=2,"?ACTIVATED",IF(J3305&lt;&gt;"","?FAMILIAR",IF(F3305="NEW",IF(ISNA(VLOOKUP(E3305,#REF!,1,FALSE())),"?TYPE_IDENTIFIABLE","?REFERENTIAL"),"_")))))</f>
        <v> </v>
      </c>
      <c r="H3305" s="25" t="str">
        <f>IF(J3305&lt;&gt;1,"",IF(I3305="SBJ","CB","?"))</f>
        <v> </v>
      </c>
      <c r="I3305" s="26" t="str">
        <f>IF(OR(E3305="",E3305="!!!",F3305="NEW"),"",INDEX(B3304:B$2,-1+SUMPRODUCT(MAX(ROW(E3304:E$2)*(E3305=E3304:E$2)))))</f>
        <v> </v>
      </c>
      <c r="J3305" s="26" t="str">
        <f>IF(OR(E3305="",E3305="!!!",F3305="NEW"),"",COUNTBLANK(OFFSET(A$1,,,SUMPRODUCT(MAX(ROW(E$2:E3305)*(E3305=E$2:E3305)))))-COUNTBLANK(OFFSET(A$1,,,SUMPRODUCT(MAX(ROW(E$1:E3304)*(E2=E$1:E3304))))))</f>
        <v> </v>
      </c>
      <c r="K3305" s="26" t="str">
        <f>IF(OR(E3305="",E3305="!!!",F3305="NEW"),"",INDEX(J$1:J3304,SUMPRODUCT(MAX(ROW(E$1:E3304)*(E3305=E$1:E3304)))))</f>
        <v> </v>
      </c>
      <c r="L3305" s="27"/>
    </row>
    <row r="3306" spans="1:12">
      <c r="A3306" s="20" t="s">
        <v>2012</v>
      </c>
      <c r="E3306" s="22">
        <f>IF(D3306="?OLD","!!!","")</f>
        <v/>
      </c>
      <c r="F3306" s="23" t="str">
        <f>IF(OR(E3306="",E3306="!!!"),"",IF(NOT(ISNA(VLOOKUP(E3306,E$1:E3305,1,FALSE()))),"OLD",IF(AND(E3306&lt;&gt;"",E3306&lt;&gt;"!!!"),"NEW","")))</f>
        <v> </v>
      </c>
      <c r="G3306" s="24" t="str">
        <f>IF(OR(E3306="",E3306="!!!"),"",IF(OR(J3306=0,AND(J3306=1,K3306=1),AND(J3306=1,I3306="SBJ"),AND(J3306=1,I3306=0)),"?IN_FOCUS",IF(J3306&lt;=2,"?ACTIVATED",IF(J3306&lt;&gt;"","?FAMILIAR",IF(F3306="NEW",IF(ISNA(VLOOKUP(E3306,#REF!,1,FALSE())),"?TYPE_IDENTIFIABLE","?REFERENTIAL"),"_")))))</f>
        <v> </v>
      </c>
      <c r="H3306" s="25" t="str">
        <f>IF(J3306&lt;&gt;1,"",IF(I3306="SBJ","CB","?"))</f>
        <v> </v>
      </c>
      <c r="I3306" s="26" t="str">
        <f>IF(OR(E3306="",E3306="!!!",F3306="NEW"),"",INDEX(B3305:B$2,-1+SUMPRODUCT(MAX(ROW(E3305:E$2)*(E3306=E3305:E$2)))))</f>
        <v> </v>
      </c>
      <c r="J3306" s="26" t="str">
        <f>IF(OR(E3306="",E3306="!!!",F3306="NEW"),"",COUNTBLANK(OFFSET(A$1,,,SUMPRODUCT(MAX(ROW(E$2:E3306)*(E3306=E$2:E3306)))))-COUNTBLANK(OFFSET(A$1,,,SUMPRODUCT(MAX(ROW(E$1:E3305)*(E2=E$1:E3305))))))</f>
        <v> </v>
      </c>
      <c r="K3306" s="26" t="str">
        <f>IF(OR(E3306="",E3306="!!!",F3306="NEW"),"",INDEX(J$1:J3305,SUMPRODUCT(MAX(ROW(E$1:E3305)*(E3306=E$1:E3305)))))</f>
        <v> </v>
      </c>
      <c r="L3306" s="27"/>
    </row>
    <row r="3307" spans="1:12">
      <c r="A3307" s="20" t="s">
        <v>1020</v>
      </c>
      <c r="E3307" s="22">
        <f>IF(D3307="?OLD","!!!","")</f>
        <v/>
      </c>
      <c r="F3307" s="23" t="str">
        <f>IF(OR(E3307="",E3307="!!!"),"",IF(NOT(ISNA(VLOOKUP(E3307,E$1:E3306,1,FALSE()))),"OLD",IF(AND(E3307&lt;&gt;"",E3307&lt;&gt;"!!!"),"NEW","")))</f>
        <v> </v>
      </c>
      <c r="G3307" s="24" t="str">
        <f>IF(OR(E3307="",E3307="!!!"),"",IF(OR(J3307=0,AND(J3307=1,K3307=1),AND(J3307=1,I3307="SBJ"),AND(J3307=1,I3307=0)),"?IN_FOCUS",IF(J3307&lt;=2,"?ACTIVATED",IF(J3307&lt;&gt;"","?FAMILIAR",IF(F3307="NEW",IF(ISNA(VLOOKUP(E3307,#REF!,1,FALSE())),"?TYPE_IDENTIFIABLE","?REFERENTIAL"),"_")))))</f>
        <v> </v>
      </c>
      <c r="H3307" s="25" t="str">
        <f>IF(J3307&lt;&gt;1,"",IF(I3307="SBJ","CB","?"))</f>
        <v> </v>
      </c>
      <c r="I3307" s="26" t="str">
        <f>IF(OR(E3307="",E3307="!!!",F3307="NEW"),"",INDEX(B3306:B$2,-1+SUMPRODUCT(MAX(ROW(E3306:E$2)*(E3307=E3306:E$2)))))</f>
        <v> </v>
      </c>
      <c r="J3307" s="26" t="str">
        <f>IF(OR(E3307="",E3307="!!!",F3307="NEW"),"",COUNTBLANK(OFFSET(A$1,,,SUMPRODUCT(MAX(ROW(E$2:E3307)*(E3307=E$2:E3307)))))-COUNTBLANK(OFFSET(A$1,,,SUMPRODUCT(MAX(ROW(E$1:E3306)*(E2=E$1:E3306))))))</f>
        <v> </v>
      </c>
      <c r="K3307" s="26" t="str">
        <f>IF(OR(E3307="",E3307="!!!",F3307="NEW"),"",INDEX(J$1:J3306,SUMPRODUCT(MAX(ROW(E$1:E3306)*(E3307=E$1:E3306)))))</f>
        <v> </v>
      </c>
      <c r="L3307" s="27"/>
    </row>
    <row r="3308" spans="1:12">
      <c r="A3308" s="20" t="s">
        <v>102</v>
      </c>
      <c r="E3308" s="22">
        <f>IF(D3308="?OLD","!!!","")</f>
        <v/>
      </c>
      <c r="F3308" s="23" t="str">
        <f>IF(OR(E3308="",E3308="!!!"),"",IF(NOT(ISNA(VLOOKUP(E3308,E$1:E3307,1,FALSE()))),"OLD",IF(AND(E3308&lt;&gt;"",E3308&lt;&gt;"!!!"),"NEW","")))</f>
        <v> </v>
      </c>
      <c r="G3308" s="24" t="str">
        <f>IF(OR(E3308="",E3308="!!!"),"",IF(OR(J3308=0,AND(J3308=1,K3308=1),AND(J3308=1,I3308="SBJ"),AND(J3308=1,I3308=0)),"?IN_FOCUS",IF(J3308&lt;=2,"?ACTIVATED",IF(J3308&lt;&gt;"","?FAMILIAR",IF(F3308="NEW",IF(ISNA(VLOOKUP(E3308,#REF!,1,FALSE())),"?TYPE_IDENTIFIABLE","?REFERENTIAL"),"_")))))</f>
        <v> </v>
      </c>
      <c r="H3308" s="25" t="str">
        <f>IF(J3308&lt;&gt;1,"",IF(I3308="SBJ","CB","?"))</f>
        <v> </v>
      </c>
      <c r="I3308" s="26" t="str">
        <f>IF(OR(E3308="",E3308="!!!",F3308="NEW"),"",INDEX(B3307:B$2,-1+SUMPRODUCT(MAX(ROW(E3307:E$2)*(E3308=E3307:E$2)))))</f>
        <v> </v>
      </c>
      <c r="J3308" s="26" t="str">
        <f>IF(OR(E3308="",E3308="!!!",F3308="NEW"),"",COUNTBLANK(OFFSET(A$1,,,SUMPRODUCT(MAX(ROW(E$2:E3308)*(E3308=E$2:E3308)))))-COUNTBLANK(OFFSET(A$1,,,SUMPRODUCT(MAX(ROW(E$1:E3307)*(E2=E$1:E3307))))))</f>
        <v> </v>
      </c>
      <c r="K3308" s="26" t="str">
        <f>IF(OR(E3308="",E3308="!!!",F3308="NEW"),"",INDEX(J$1:J3307,SUMPRODUCT(MAX(ROW(E$1:E3307)*(E3308=E$1:E3307)))))</f>
        <v> </v>
      </c>
      <c r="L3308" s="27"/>
    </row>
    <row r="3309" spans="1:12">
      <c r="A3309" s="20" t="s">
        <v>2013</v>
      </c>
      <c r="B3309" s="21" t="s">
        <v>1029</v>
      </c>
      <c r="C3309" s="21" t="s">
        <v>1006</v>
      </c>
      <c r="D3309" s="21" t="s">
        <v>1007</v>
      </c>
      <c r="E3309" s="22">
        <f>IF(D3309="?OLD","!!!","")</f>
        <v/>
      </c>
      <c r="F3309" s="23" t="str">
        <f>IF(OR(E3309="",E3309="!!!"),"",IF(NOT(ISNA(VLOOKUP(E3309,E$1:E3308,1,FALSE()))),"OLD",IF(AND(E3309&lt;&gt;"",E3309&lt;&gt;"!!!"),"NEW","")))</f>
        <v> </v>
      </c>
      <c r="G3309" s="24" t="str">
        <f>IF(OR(E3309="",E3309="!!!"),"",IF(OR(J3309=0,AND(J3309=1,K3309=1),AND(J3309=1,I3309="SBJ"),AND(J3309=1,I3309=0)),"?IN_FOCUS",IF(J3309&lt;=2,"?ACTIVATED",IF(J3309&lt;&gt;"","?FAMILIAR",IF(F3309="NEW",IF(ISNA(VLOOKUP(E3309,#REF!,1,FALSE())),"?TYPE_IDENTIFIABLE","?REFERENTIAL"),"_")))))</f>
        <v> </v>
      </c>
      <c r="H3309" s="25" t="str">
        <f>IF(J3309&lt;&gt;1,"",IF(I3309="SBJ","CB","?"))</f>
        <v> </v>
      </c>
      <c r="I3309" s="26" t="str">
        <f>IF(OR(E3309="",E3309="!!!",F3309="NEW"),"",INDEX(B3308:B$2,-1+SUMPRODUCT(MAX(ROW(E3308:E$2)*(E3309=E3308:E$2)))))</f>
        <v> </v>
      </c>
      <c r="J3309" s="26" t="str">
        <f>IF(OR(E3309="",E3309="!!!",F3309="NEW"),"",COUNTBLANK(OFFSET(A$1,,,SUMPRODUCT(MAX(ROW(E$2:E3309)*(E3309=E$2:E3309)))))-COUNTBLANK(OFFSET(A$1,,,SUMPRODUCT(MAX(ROW(E$1:E3308)*(E2=E$1:E3308))))))</f>
        <v> </v>
      </c>
      <c r="K3309" s="26" t="str">
        <f>IF(OR(E3309="",E3309="!!!",F3309="NEW"),"",INDEX(J$1:J3308,SUMPRODUCT(MAX(ROW(E$1:E3308)*(E3309=E$1:E3308)))))</f>
        <v> </v>
      </c>
      <c r="L3309" s="27"/>
    </row>
    <row r="3310" spans="1:12">
      <c r="A3310" s="20" t="s">
        <v>1132</v>
      </c>
      <c r="E3310" s="22">
        <f>IF(D3310="?OLD","!!!","")</f>
        <v/>
      </c>
      <c r="F3310" s="23" t="str">
        <f>IF(OR(E3310="",E3310="!!!"),"",IF(NOT(ISNA(VLOOKUP(E3310,E$1:E3309,1,FALSE()))),"OLD",IF(AND(E3310&lt;&gt;"",E3310&lt;&gt;"!!!"),"NEW","")))</f>
        <v> </v>
      </c>
      <c r="G3310" s="24" t="str">
        <f>IF(OR(E3310="",E3310="!!!"),"",IF(OR(J3310=0,AND(J3310=1,K3310=1),AND(J3310=1,I3310="SBJ"),AND(J3310=1,I3310=0)),"?IN_FOCUS",IF(J3310&lt;=2,"?ACTIVATED",IF(J3310&lt;&gt;"","?FAMILIAR",IF(F3310="NEW",IF(ISNA(VLOOKUP(E3310,#REF!,1,FALSE())),"?TYPE_IDENTIFIABLE","?REFERENTIAL"),"_")))))</f>
        <v> </v>
      </c>
      <c r="H3310" s="25" t="str">
        <f>IF(J3310&lt;&gt;1,"",IF(I3310="SBJ","CB","?"))</f>
        <v> </v>
      </c>
      <c r="I3310" s="26" t="str">
        <f>IF(OR(E3310="",E3310="!!!",F3310="NEW"),"",INDEX(B3309:B$2,-1+SUMPRODUCT(MAX(ROW(E3309:E$2)*(E3310=E3309:E$2)))))</f>
        <v> </v>
      </c>
      <c r="J3310" s="26" t="str">
        <f>IF(OR(E3310="",E3310="!!!",F3310="NEW"),"",COUNTBLANK(OFFSET(A$1,,,SUMPRODUCT(MAX(ROW(E$2:E3310)*(E3310=E$2:E3310)))))-COUNTBLANK(OFFSET(A$1,,,SUMPRODUCT(MAX(ROW(E$1:E3309)*(E2=E$1:E3309))))))</f>
        <v> </v>
      </c>
      <c r="K3310" s="26" t="str">
        <f>IF(OR(E3310="",E3310="!!!",F3310="NEW"),"",INDEX(J$1:J3309,SUMPRODUCT(MAX(ROW(E$1:E3309)*(E3310=E$1:E3309)))))</f>
        <v> </v>
      </c>
      <c r="L3310" s="27"/>
    </row>
    <row r="3311" spans="1:12">
      <c r="A3311" s="20" t="s">
        <v>1020</v>
      </c>
      <c r="E3311" s="22">
        <f>IF(D3311="?OLD","!!!","")</f>
        <v/>
      </c>
      <c r="F3311" s="23" t="str">
        <f>IF(OR(E3311="",E3311="!!!"),"",IF(NOT(ISNA(VLOOKUP(E3311,E$1:E3310,1,FALSE()))),"OLD",IF(AND(E3311&lt;&gt;"",E3311&lt;&gt;"!!!"),"NEW","")))</f>
        <v> </v>
      </c>
      <c r="G3311" s="24" t="str">
        <f>IF(OR(E3311="",E3311="!!!"),"",IF(OR(J3311=0,AND(J3311=1,K3311=1),AND(J3311=1,I3311="SBJ"),AND(J3311=1,I3311=0)),"?IN_FOCUS",IF(J3311&lt;=2,"?ACTIVATED",IF(J3311&lt;&gt;"","?FAMILIAR",IF(F3311="NEW",IF(ISNA(VLOOKUP(E3311,#REF!,1,FALSE())),"?TYPE_IDENTIFIABLE","?REFERENTIAL"),"_")))))</f>
        <v> </v>
      </c>
      <c r="H3311" s="25" t="str">
        <f>IF(J3311&lt;&gt;1,"",IF(I3311="SBJ","CB","?"))</f>
        <v> </v>
      </c>
      <c r="I3311" s="26" t="str">
        <f>IF(OR(E3311="",E3311="!!!",F3311="NEW"),"",INDEX(B3310:B$2,-1+SUMPRODUCT(MAX(ROW(E3310:E$2)*(E3311=E3310:E$2)))))</f>
        <v> </v>
      </c>
      <c r="J3311" s="26" t="str">
        <f>IF(OR(E3311="",E3311="!!!",F3311="NEW"),"",COUNTBLANK(OFFSET(A$1,,,SUMPRODUCT(MAX(ROW(E$2:E3311)*(E3311=E$2:E3311)))))-COUNTBLANK(OFFSET(A$1,,,SUMPRODUCT(MAX(ROW(E$1:E3310)*(E2=E$1:E3310))))))</f>
        <v> </v>
      </c>
      <c r="K3311" s="26" t="str">
        <f>IF(OR(E3311="",E3311="!!!",F3311="NEW"),"",INDEX(J$1:J3310,SUMPRODUCT(MAX(ROW(E$1:E3310)*(E3311=E$1:E3310)))))</f>
        <v> </v>
      </c>
      <c r="L3311" s="27"/>
    </row>
    <row r="3312" spans="1:12">
      <c r="A3312" s="20" t="s">
        <v>1020</v>
      </c>
      <c r="E3312" s="22">
        <f>IF(D3312="?OLD","!!!","")</f>
        <v/>
      </c>
      <c r="F3312" s="23" t="str">
        <f>IF(OR(E3312="",E3312="!!!"),"",IF(NOT(ISNA(VLOOKUP(E3312,E$1:E3311,1,FALSE()))),"OLD",IF(AND(E3312&lt;&gt;"",E3312&lt;&gt;"!!!"),"NEW","")))</f>
        <v> </v>
      </c>
      <c r="G3312" s="24" t="str">
        <f>IF(OR(E3312="",E3312="!!!"),"",IF(OR(J3312=0,AND(J3312=1,K3312=1),AND(J3312=1,I3312="SBJ"),AND(J3312=1,I3312=0)),"?IN_FOCUS",IF(J3312&lt;=2,"?ACTIVATED",IF(J3312&lt;&gt;"","?FAMILIAR",IF(F3312="NEW",IF(ISNA(VLOOKUP(E3312,#REF!,1,FALSE())),"?TYPE_IDENTIFIABLE","?REFERENTIAL"),"_")))))</f>
        <v> </v>
      </c>
      <c r="H3312" s="25" t="str">
        <f>IF(J3312&lt;&gt;1,"",IF(I3312="SBJ","CB","?"))</f>
        <v> </v>
      </c>
      <c r="I3312" s="26" t="str">
        <f>IF(OR(E3312="",E3312="!!!",F3312="NEW"),"",INDEX(B3311:B$2,-1+SUMPRODUCT(MAX(ROW(E3311:E$2)*(E3312=E3311:E$2)))))</f>
        <v> </v>
      </c>
      <c r="J3312" s="26" t="str">
        <f>IF(OR(E3312="",E3312="!!!",F3312="NEW"),"",COUNTBLANK(OFFSET(A$1,,,SUMPRODUCT(MAX(ROW(E$2:E3312)*(E3312=E$2:E3312)))))-COUNTBLANK(OFFSET(A$1,,,SUMPRODUCT(MAX(ROW(E$1:E3311)*(E2=E$1:E3311))))))</f>
        <v> </v>
      </c>
      <c r="K3312" s="26" t="str">
        <f>IF(OR(E3312="",E3312="!!!",F3312="NEW"),"",INDEX(J$1:J3311,SUMPRODUCT(MAX(ROW(E$1:E3311)*(E3312=E$1:E3311)))))</f>
        <v> </v>
      </c>
      <c r="L3312" s="27"/>
    </row>
    <row r="3313" spans="1:12">
      <c r="A3313" s="20" t="s">
        <v>1021</v>
      </c>
      <c r="B3313" s="21" t="s">
        <v>1022</v>
      </c>
      <c r="C3313" s="21" t="s">
        <v>1006</v>
      </c>
      <c r="D3313" s="21" t="s">
        <v>1007</v>
      </c>
      <c r="E3313" s="22">
        <f>IF(D3313="?OLD","!!!","")</f>
        <v/>
      </c>
      <c r="F3313" s="23" t="str">
        <f>IF(OR(E3313="",E3313="!!!"),"",IF(NOT(ISNA(VLOOKUP(E3313,E$1:E3312,1,FALSE()))),"OLD",IF(AND(E3313&lt;&gt;"",E3313&lt;&gt;"!!!"),"NEW","")))</f>
        <v> </v>
      </c>
      <c r="G3313" s="24" t="str">
        <f>IF(OR(E3313="",E3313="!!!"),"",IF(OR(J3313=0,AND(J3313=1,K3313=1),AND(J3313=1,I3313="SBJ"),AND(J3313=1,I3313=0)),"?IN_FOCUS",IF(J3313&lt;=2,"?ACTIVATED",IF(J3313&lt;&gt;"","?FAMILIAR",IF(F3313="NEW",IF(ISNA(VLOOKUP(E3313,#REF!,1,FALSE())),"?TYPE_IDENTIFIABLE","?REFERENTIAL"),"_")))))</f>
        <v> </v>
      </c>
      <c r="H3313" s="25" t="str">
        <f>IF(J3313&lt;&gt;1,"",IF(I3313="SBJ","CB","?"))</f>
        <v> </v>
      </c>
      <c r="I3313" s="26" t="str">
        <f>IF(OR(E3313="",E3313="!!!",F3313="NEW"),"",INDEX(B3312:B$2,-1+SUMPRODUCT(MAX(ROW(E3312:E$2)*(E3313=E3312:E$2)))))</f>
        <v> </v>
      </c>
      <c r="J3313" s="26" t="str">
        <f>IF(OR(E3313="",E3313="!!!",F3313="NEW"),"",COUNTBLANK(OFFSET(A$1,,,SUMPRODUCT(MAX(ROW(E$2:E3313)*(E3313=E$2:E3313)))))-COUNTBLANK(OFFSET(A$1,,,SUMPRODUCT(MAX(ROW(E$1:E3312)*(E2=E$1:E3312))))))</f>
        <v> </v>
      </c>
      <c r="K3313" s="26" t="str">
        <f>IF(OR(E3313="",E3313="!!!",F3313="NEW"),"",INDEX(J$1:J3312,SUMPRODUCT(MAX(ROW(E$1:E3312)*(E3313=E$1:E3312)))))</f>
        <v> </v>
      </c>
      <c r="L3313" s="27"/>
    </row>
    <row r="3314" spans="1:12">
      <c r="A3314" s="20" t="s">
        <v>1023</v>
      </c>
      <c r="E3314" s="22">
        <f>IF(D3314="?OLD","!!!","")</f>
        <v/>
      </c>
      <c r="F3314" s="23" t="str">
        <f>IF(OR(E3314="",E3314="!!!"),"",IF(NOT(ISNA(VLOOKUP(E3314,E$1:E3313,1,FALSE()))),"OLD",IF(AND(E3314&lt;&gt;"",E3314&lt;&gt;"!!!"),"NEW","")))</f>
        <v> </v>
      </c>
      <c r="G3314" s="24" t="str">
        <f>IF(OR(E3314="",E3314="!!!"),"",IF(OR(J3314=0,AND(J3314=1,K3314=1),AND(J3314=1,I3314="SBJ"),AND(J3314=1,I3314=0)),"?IN_FOCUS",IF(J3314&lt;=2,"?ACTIVATED",IF(J3314&lt;&gt;"","?FAMILIAR",IF(F3314="NEW",IF(ISNA(VLOOKUP(E3314,#REF!,1,FALSE())),"?TYPE_IDENTIFIABLE","?REFERENTIAL"),"_")))))</f>
        <v> </v>
      </c>
      <c r="H3314" s="25" t="str">
        <f>IF(J3314&lt;&gt;1,"",IF(I3314="SBJ","CB","?"))</f>
        <v> </v>
      </c>
      <c r="I3314" s="26" t="str">
        <f>IF(OR(E3314="",E3314="!!!",F3314="NEW"),"",INDEX(B3313:B$2,-1+SUMPRODUCT(MAX(ROW(E3313:E$2)*(E3314=E3313:E$2)))))</f>
        <v> </v>
      </c>
      <c r="J3314" s="26" t="str">
        <f>IF(OR(E3314="",E3314="!!!",F3314="NEW"),"",COUNTBLANK(OFFSET(A$1,,,SUMPRODUCT(MAX(ROW(E$2:E3314)*(E3314=E$2:E3314)))))-COUNTBLANK(OFFSET(A$1,,,SUMPRODUCT(MAX(ROW(E$1:E3313)*(E2=E$1:E3313))))))</f>
        <v> </v>
      </c>
      <c r="K3314" s="26" t="str">
        <f>IF(OR(E3314="",E3314="!!!",F3314="NEW"),"",INDEX(J$1:J3313,SUMPRODUCT(MAX(ROW(E$1:E3313)*(E3314=E$1:E3313)))))</f>
        <v> </v>
      </c>
      <c r="L3314" s="27"/>
    </row>
    <row r="3315" spans="1:12">
      <c r="A3315" s="20"/>
    </row>
    <row r="3316" spans="1:12">
      <c r="A3316" s="20" t="s">
        <v>2014</v>
      </c>
    </row>
    <row r="3317" spans="1:12">
      <c r="A3317" s="20" t="s">
        <v>1400</v>
      </c>
      <c r="E3317" s="22">
        <f>IF(D3317="?OLD","!!!","")</f>
        <v/>
      </c>
      <c r="F3317" s="23" t="str">
        <f>IF(OR(E3317="",E3317="!!!"),"",IF(NOT(ISNA(VLOOKUP(E3317,E$1:E3316,1,FALSE()))),"OLD",IF(AND(E3317&lt;&gt;"",E3317&lt;&gt;"!!!"),"NEW","")))</f>
        <v> </v>
      </c>
      <c r="G3317" s="24" t="str">
        <f>IF(OR(E3317="",E3317="!!!"),"",IF(OR(J3317=0,AND(J3317=1,K3317=1),AND(J3317=1,I3317="SBJ"),AND(J3317=1,I3317=0)),"?IN_FOCUS",IF(J3317&lt;=2,"?ACTIVATED",IF(J3317&lt;&gt;"","?FAMILIAR",IF(F3317="NEW",IF(ISNA(VLOOKUP(E3317,#REF!,1,FALSE())),"?TYPE_IDENTIFIABLE","?REFERENTIAL"),"_")))))</f>
        <v> </v>
      </c>
      <c r="H3317" s="25" t="str">
        <f>IF(J3317&lt;&gt;1,"",IF(I3317="SBJ","CB","?"))</f>
        <v> </v>
      </c>
      <c r="I3317" s="26" t="str">
        <f>IF(OR(E3317="",E3317="!!!",F3317="NEW"),"",INDEX(B3316:B$2,-1+SUMPRODUCT(MAX(ROW(E3316:E$2)*(E3317=E3316:E$2)))))</f>
        <v> </v>
      </c>
      <c r="J3317" s="26" t="str">
        <f>IF(OR(E3317="",E3317="!!!",F3317="NEW"),"",COUNTBLANK(OFFSET(A$1,,,SUMPRODUCT(MAX(ROW(E$2:E3317)*(E3317=E$2:E3317)))))-COUNTBLANK(OFFSET(A$1,,,SUMPRODUCT(MAX(ROW(E$1:E3316)*(E2=E$1:E3316))))))</f>
        <v> </v>
      </c>
      <c r="K3317" s="26" t="str">
        <f>IF(OR(E3317="",E3317="!!!",F3317="NEW"),"",INDEX(J$1:J3316,SUMPRODUCT(MAX(ROW(E$1:E3316)*(E3317=E$1:E3316)))))</f>
        <v> </v>
      </c>
      <c r="L3317" s="27"/>
    </row>
    <row r="3318" spans="1:12">
      <c r="A3318" s="20" t="s">
        <v>1021</v>
      </c>
      <c r="B3318" s="21" t="s">
        <v>1050</v>
      </c>
      <c r="C3318" s="21" t="s">
        <v>1006</v>
      </c>
      <c r="D3318" s="21" t="s">
        <v>1007</v>
      </c>
      <c r="E3318" s="22">
        <f>IF(D3318="?OLD","!!!","")</f>
        <v/>
      </c>
      <c r="F3318" s="23" t="str">
        <f>IF(OR(E3318="",E3318="!!!"),"",IF(NOT(ISNA(VLOOKUP(E3318,E$1:E3317,1,FALSE()))),"OLD",IF(AND(E3318&lt;&gt;"",E3318&lt;&gt;"!!!"),"NEW","")))</f>
        <v> </v>
      </c>
      <c r="G3318" s="24" t="str">
        <f>IF(OR(E3318="",E3318="!!!"),"",IF(OR(J3318=0,AND(J3318=1,K3318=1),AND(J3318=1,I3318="SBJ"),AND(J3318=1,I3318=0)),"?IN_FOCUS",IF(J3318&lt;=2,"?ACTIVATED",IF(J3318&lt;&gt;"","?FAMILIAR",IF(F3318="NEW",IF(ISNA(VLOOKUP(E3318,#REF!,1,FALSE())),"?TYPE_IDENTIFIABLE","?REFERENTIAL"),"_")))))</f>
        <v> </v>
      </c>
      <c r="H3318" s="25" t="str">
        <f>IF(J3318&lt;&gt;1,"",IF(I3318="SBJ","CB","?"))</f>
        <v> </v>
      </c>
      <c r="I3318" s="26" t="str">
        <f>IF(OR(E3318="",E3318="!!!",F3318="NEW"),"",INDEX(B3317:B$2,-1+SUMPRODUCT(MAX(ROW(E3317:E$2)*(E3318=E3317:E$2)))))</f>
        <v> </v>
      </c>
      <c r="J3318" s="26" t="str">
        <f>IF(OR(E3318="",E3318="!!!",F3318="NEW"),"",COUNTBLANK(OFFSET(A$1,,,SUMPRODUCT(MAX(ROW(E$2:E3318)*(E3318=E$2:E3318)))))-COUNTBLANK(OFFSET(A$1,,,SUMPRODUCT(MAX(ROW(E$1:E3317)*(E2=E$1:E3317))))))</f>
        <v> </v>
      </c>
      <c r="K3318" s="26" t="str">
        <f>IF(OR(E3318="",E3318="!!!",F3318="NEW"),"",INDEX(J$1:J3317,SUMPRODUCT(MAX(ROW(E$1:E3317)*(E3318=E$1:E3317)))))</f>
        <v> </v>
      </c>
      <c r="L3318" s="27"/>
    </row>
    <row r="3319" spans="1:12">
      <c r="A3319" s="20" t="s">
        <v>1142</v>
      </c>
      <c r="E3319" s="22">
        <f>IF(D3319="?OLD","!!!","")</f>
        <v/>
      </c>
      <c r="F3319" s="23" t="str">
        <f>IF(OR(E3319="",E3319="!!!"),"",IF(NOT(ISNA(VLOOKUP(E3319,E$1:E3318,1,FALSE()))),"OLD",IF(AND(E3319&lt;&gt;"",E3319&lt;&gt;"!!!"),"NEW","")))</f>
        <v> </v>
      </c>
      <c r="G3319" s="24" t="str">
        <f>IF(OR(E3319="",E3319="!!!"),"",IF(OR(J3319=0,AND(J3319=1,K3319=1),AND(J3319=1,I3319="SBJ"),AND(J3319=1,I3319=0)),"?IN_FOCUS",IF(J3319&lt;=2,"?ACTIVATED",IF(J3319&lt;&gt;"","?FAMILIAR",IF(F3319="NEW",IF(ISNA(VLOOKUP(E3319,#REF!,1,FALSE())),"?TYPE_IDENTIFIABLE","?REFERENTIAL"),"_")))))</f>
        <v> </v>
      </c>
      <c r="H3319" s="25" t="str">
        <f>IF(J3319&lt;&gt;1,"",IF(I3319="SBJ","CB","?"))</f>
        <v> </v>
      </c>
      <c r="I3319" s="26" t="str">
        <f>IF(OR(E3319="",E3319="!!!",F3319="NEW"),"",INDEX(B3318:B$2,-1+SUMPRODUCT(MAX(ROW(E3318:E$2)*(E3319=E3318:E$2)))))</f>
        <v> </v>
      </c>
      <c r="J3319" s="26" t="str">
        <f>IF(OR(E3319="",E3319="!!!",F3319="NEW"),"",COUNTBLANK(OFFSET(A$1,,,SUMPRODUCT(MAX(ROW(E$2:E3319)*(E3319=E$2:E3319)))))-COUNTBLANK(OFFSET(A$1,,,SUMPRODUCT(MAX(ROW(E$1:E3318)*(E2=E$1:E3318))))))</f>
        <v> </v>
      </c>
      <c r="K3319" s="26" t="str">
        <f>IF(OR(E3319="",E3319="!!!",F3319="NEW"),"",INDEX(J$1:J3318,SUMPRODUCT(MAX(ROW(E$1:E3318)*(E3319=E$1:E3318)))))</f>
        <v> </v>
      </c>
      <c r="L3319" s="27"/>
    </row>
    <row r="3320" spans="1:12">
      <c r="A3320" s="20" t="s">
        <v>1075</v>
      </c>
      <c r="E3320" s="22">
        <f>IF(D3320="?OLD","!!!","")</f>
        <v/>
      </c>
      <c r="F3320" s="23" t="str">
        <f>IF(OR(E3320="",E3320="!!!"),"",IF(NOT(ISNA(VLOOKUP(E3320,E$1:E3319,1,FALSE()))),"OLD",IF(AND(E3320&lt;&gt;"",E3320&lt;&gt;"!!!"),"NEW","")))</f>
        <v> </v>
      </c>
      <c r="G3320" s="24" t="str">
        <f>IF(OR(E3320="",E3320="!!!"),"",IF(OR(J3320=0,AND(J3320=1,K3320=1),AND(J3320=1,I3320="SBJ"),AND(J3320=1,I3320=0)),"?IN_FOCUS",IF(J3320&lt;=2,"?ACTIVATED",IF(J3320&lt;&gt;"","?FAMILIAR",IF(F3320="NEW",IF(ISNA(VLOOKUP(E3320,#REF!,1,FALSE())),"?TYPE_IDENTIFIABLE","?REFERENTIAL"),"_")))))</f>
        <v> </v>
      </c>
      <c r="H3320" s="25" t="str">
        <f>IF(J3320&lt;&gt;1,"",IF(I3320="SBJ","CB","?"))</f>
        <v> </v>
      </c>
      <c r="I3320" s="26" t="str">
        <f>IF(OR(E3320="",E3320="!!!",F3320="NEW"),"",INDEX(B3319:B$2,-1+SUMPRODUCT(MAX(ROW(E3319:E$2)*(E3320=E3319:E$2)))))</f>
        <v> </v>
      </c>
      <c r="J3320" s="26" t="str">
        <f>IF(OR(E3320="",E3320="!!!",F3320="NEW"),"",COUNTBLANK(OFFSET(A$1,,,SUMPRODUCT(MAX(ROW(E$2:E3320)*(E3320=E$2:E3320)))))-COUNTBLANK(OFFSET(A$1,,,SUMPRODUCT(MAX(ROW(E$1:E3319)*(E2=E$1:E3319))))))</f>
        <v> </v>
      </c>
      <c r="K3320" s="26" t="str">
        <f>IF(OR(E3320="",E3320="!!!",F3320="NEW"),"",INDEX(J$1:J3319,SUMPRODUCT(MAX(ROW(E$1:E3319)*(E3320=E$1:E3319)))))</f>
        <v> </v>
      </c>
      <c r="L3320" s="27"/>
    </row>
    <row r="3321" spans="1:12">
      <c r="A3321" s="20" t="s">
        <v>102</v>
      </c>
      <c r="E3321" s="22">
        <f>IF(D3321="?OLD","!!!","")</f>
        <v/>
      </c>
      <c r="F3321" s="23" t="str">
        <f>IF(OR(E3321="",E3321="!!!"),"",IF(NOT(ISNA(VLOOKUP(E3321,E$1:E3320,1,FALSE()))),"OLD",IF(AND(E3321&lt;&gt;"",E3321&lt;&gt;"!!!"),"NEW","")))</f>
        <v> </v>
      </c>
      <c r="G3321" s="24" t="str">
        <f>IF(OR(E3321="",E3321="!!!"),"",IF(OR(J3321=0,AND(J3321=1,K3321=1),AND(J3321=1,I3321="SBJ"),AND(J3321=1,I3321=0)),"?IN_FOCUS",IF(J3321&lt;=2,"?ACTIVATED",IF(J3321&lt;&gt;"","?FAMILIAR",IF(F3321="NEW",IF(ISNA(VLOOKUP(E3321,#REF!,1,FALSE())),"?TYPE_IDENTIFIABLE","?REFERENTIAL"),"_")))))</f>
        <v> </v>
      </c>
      <c r="H3321" s="25" t="str">
        <f>IF(J3321&lt;&gt;1,"",IF(I3321="SBJ","CB","?"))</f>
        <v> </v>
      </c>
      <c r="I3321" s="26" t="str">
        <f>IF(OR(E3321="",E3321="!!!",F3321="NEW"),"",INDEX(B3320:B$2,-1+SUMPRODUCT(MAX(ROW(E3320:E$2)*(E3321=E3320:E$2)))))</f>
        <v> </v>
      </c>
      <c r="J3321" s="26" t="str">
        <f>IF(OR(E3321="",E3321="!!!",F3321="NEW"),"",COUNTBLANK(OFFSET(A$1,,,SUMPRODUCT(MAX(ROW(E$2:E3321)*(E3321=E$2:E3321)))))-COUNTBLANK(OFFSET(A$1,,,SUMPRODUCT(MAX(ROW(E$1:E3320)*(E2=E$1:E3320))))))</f>
        <v> </v>
      </c>
      <c r="K3321" s="26" t="str">
        <f>IF(OR(E3321="",E3321="!!!",F3321="NEW"),"",INDEX(J$1:J3320,SUMPRODUCT(MAX(ROW(E$1:E3320)*(E3321=E$1:E3320)))))</f>
        <v> </v>
      </c>
      <c r="L3321" s="27"/>
    </row>
    <row r="3322" spans="1:12">
      <c r="A3322" s="20" t="s">
        <v>2015</v>
      </c>
      <c r="B3322" s="21" t="s">
        <v>1005</v>
      </c>
      <c r="C3322" s="21" t="s">
        <v>1017</v>
      </c>
      <c r="D3322" s="21" t="s">
        <v>1007</v>
      </c>
      <c r="E3322" s="22">
        <f>IF(D3322="?OLD","!!!","")</f>
        <v/>
      </c>
      <c r="F3322" s="23" t="str">
        <f>IF(OR(E3322="",E3322="!!!"),"",IF(NOT(ISNA(VLOOKUP(E3322,E$1:E3321,1,FALSE()))),"OLD",IF(AND(E3322&lt;&gt;"",E3322&lt;&gt;"!!!"),"NEW","")))</f>
        <v> </v>
      </c>
      <c r="G3322" s="24" t="str">
        <f>IF(OR(E3322="",E3322="!!!"),"",IF(OR(J3322=0,AND(J3322=1,K3322=1),AND(J3322=1,I3322="SBJ"),AND(J3322=1,I3322=0)),"?IN_FOCUS",IF(J3322&lt;=2,"?ACTIVATED",IF(J3322&lt;&gt;"","?FAMILIAR",IF(F3322="NEW",IF(ISNA(VLOOKUP(E3322,#REF!,1,FALSE())),"?TYPE_IDENTIFIABLE","?REFERENTIAL"),"_")))))</f>
        <v> </v>
      </c>
      <c r="H3322" s="25" t="str">
        <f>IF(J3322&lt;&gt;1,"",IF(I3322="SBJ","CB","?"))</f>
        <v> </v>
      </c>
      <c r="I3322" s="26" t="str">
        <f>IF(OR(E3322="",E3322="!!!",F3322="NEW"),"",INDEX(B3321:B$2,-1+SUMPRODUCT(MAX(ROW(E3321:E$2)*(E3322=E3321:E$2)))))</f>
        <v> </v>
      </c>
      <c r="J3322" s="26" t="str">
        <f>IF(OR(E3322="",E3322="!!!",F3322="NEW"),"",COUNTBLANK(OFFSET(A$1,,,SUMPRODUCT(MAX(ROW(E$2:E3322)*(E3322=E$2:E3322)))))-COUNTBLANK(OFFSET(A$1,,,SUMPRODUCT(MAX(ROW(E$1:E3321)*(E2=E$1:E3321))))))</f>
        <v> </v>
      </c>
      <c r="K3322" s="26" t="str">
        <f>IF(OR(E3322="",E3322="!!!",F3322="NEW"),"",INDEX(J$1:J3321,SUMPRODUCT(MAX(ROW(E$1:E3321)*(E3322=E$1:E3321)))))</f>
        <v> </v>
      </c>
      <c r="L3322" s="27"/>
    </row>
    <row r="3323" spans="1:12">
      <c r="A3323" s="20" t="s">
        <v>1023</v>
      </c>
      <c r="E3323" s="22">
        <f>IF(D3323="?OLD","!!!","")</f>
        <v/>
      </c>
      <c r="F3323" s="23" t="str">
        <f>IF(OR(E3323="",E3323="!!!"),"",IF(NOT(ISNA(VLOOKUP(E3323,E$1:E3322,1,FALSE()))),"OLD",IF(AND(E3323&lt;&gt;"",E3323&lt;&gt;"!!!"),"NEW","")))</f>
        <v> </v>
      </c>
      <c r="G3323" s="24" t="str">
        <f>IF(OR(E3323="",E3323="!!!"),"",IF(OR(J3323=0,AND(J3323=1,K3323=1),AND(J3323=1,I3323="SBJ"),AND(J3323=1,I3323=0)),"?IN_FOCUS",IF(J3323&lt;=2,"?ACTIVATED",IF(J3323&lt;&gt;"","?FAMILIAR",IF(F3323="NEW",IF(ISNA(VLOOKUP(E3323,#REF!,1,FALSE())),"?TYPE_IDENTIFIABLE","?REFERENTIAL"),"_")))))</f>
        <v> </v>
      </c>
      <c r="H3323" s="25" t="str">
        <f>IF(J3323&lt;&gt;1,"",IF(I3323="SBJ","CB","?"))</f>
        <v> </v>
      </c>
      <c r="I3323" s="26" t="str">
        <f>IF(OR(E3323="",E3323="!!!",F3323="NEW"),"",INDEX(B3322:B$2,-1+SUMPRODUCT(MAX(ROW(E3322:E$2)*(E3323=E3322:E$2)))))</f>
        <v> </v>
      </c>
      <c r="J3323" s="26" t="str">
        <f>IF(OR(E3323="",E3323="!!!",F3323="NEW"),"",COUNTBLANK(OFFSET(A$1,,,SUMPRODUCT(MAX(ROW(E$2:E3323)*(E3323=E$2:E3323)))))-COUNTBLANK(OFFSET(A$1,,,SUMPRODUCT(MAX(ROW(E$1:E3322)*(E2=E$1:E3322))))))</f>
        <v> </v>
      </c>
      <c r="K3323" s="26" t="str">
        <f>IF(OR(E3323="",E3323="!!!",F3323="NEW"),"",INDEX(J$1:J3322,SUMPRODUCT(MAX(ROW(E$1:E3322)*(E3323=E$1:E3322)))))</f>
        <v> </v>
      </c>
      <c r="L3323" s="27"/>
    </row>
    <row r="3324" spans="1:12">
      <c r="A3324" s="20"/>
    </row>
    <row r="3325" spans="1:12">
      <c r="A3325" s="20" t="s">
        <v>2016</v>
      </c>
    </row>
    <row r="3326" spans="1:12">
      <c r="A3326" s="20" t="s">
        <v>1400</v>
      </c>
      <c r="E3326" s="22">
        <f>IF(D3326="?OLD","!!!","")</f>
        <v/>
      </c>
      <c r="F3326" s="23" t="str">
        <f>IF(OR(E3326="",E3326="!!!"),"",IF(NOT(ISNA(VLOOKUP(E3326,E$1:E3325,1,FALSE()))),"OLD",IF(AND(E3326&lt;&gt;"",E3326&lt;&gt;"!!!"),"NEW","")))</f>
        <v> </v>
      </c>
      <c r="G3326" s="24" t="str">
        <f>IF(OR(E3326="",E3326="!!!"),"",IF(OR(J3326=0,AND(J3326=1,K3326=1),AND(J3326=1,I3326="SBJ"),AND(J3326=1,I3326=0)),"?IN_FOCUS",IF(J3326&lt;=2,"?ACTIVATED",IF(J3326&lt;&gt;"","?FAMILIAR",IF(F3326="NEW",IF(ISNA(VLOOKUP(E3326,#REF!,1,FALSE())),"?TYPE_IDENTIFIABLE","?REFERENTIAL"),"_")))))</f>
        <v> </v>
      </c>
      <c r="H3326" s="25" t="str">
        <f>IF(J3326&lt;&gt;1,"",IF(I3326="SBJ","CB","?"))</f>
        <v> </v>
      </c>
      <c r="I3326" s="26" t="str">
        <f>IF(OR(E3326="",E3326="!!!",F3326="NEW"),"",INDEX(B3325:B$2,-1+SUMPRODUCT(MAX(ROW(E3325:E$2)*(E3326=E3325:E$2)))))</f>
        <v> </v>
      </c>
      <c r="J3326" s="26" t="str">
        <f>IF(OR(E3326="",E3326="!!!",F3326="NEW"),"",COUNTBLANK(OFFSET(A$1,,,SUMPRODUCT(MAX(ROW(E$2:E3326)*(E3326=E$2:E3326)))))-COUNTBLANK(OFFSET(A$1,,,SUMPRODUCT(MAX(ROW(E$1:E3325)*(E2=E$1:E3325))))))</f>
        <v> </v>
      </c>
      <c r="K3326" s="26" t="str">
        <f>IF(OR(E3326="",E3326="!!!",F3326="NEW"),"",INDEX(J$1:J3325,SUMPRODUCT(MAX(ROW(E$1:E3325)*(E3326=E$1:E3325)))))</f>
        <v> </v>
      </c>
      <c r="L3326" s="27"/>
    </row>
    <row r="3327" spans="1:12">
      <c r="A3327" s="20" t="s">
        <v>1873</v>
      </c>
      <c r="B3327" s="21" t="s">
        <v>1022</v>
      </c>
      <c r="C3327" s="21" t="s">
        <v>1059</v>
      </c>
      <c r="D3327" s="21" t="s">
        <v>1007</v>
      </c>
      <c r="E3327" s="22">
        <f>IF(D3327="?OLD","!!!","")</f>
        <v/>
      </c>
      <c r="F3327" s="23" t="str">
        <f>IF(OR(E3327="",E3327="!!!"),"",IF(NOT(ISNA(VLOOKUP(E3327,E$1:E3326,1,FALSE()))),"OLD",IF(AND(E3327&lt;&gt;"",E3327&lt;&gt;"!!!"),"NEW","")))</f>
        <v> </v>
      </c>
      <c r="G3327" s="24" t="str">
        <f>IF(OR(E3327="",E3327="!!!"),"",IF(OR(J3327=0,AND(J3327=1,K3327=1),AND(J3327=1,I3327="SBJ"),AND(J3327=1,I3327=0)),"?IN_FOCUS",IF(J3327&lt;=2,"?ACTIVATED",IF(J3327&lt;&gt;"","?FAMILIAR",IF(F3327="NEW",IF(ISNA(VLOOKUP(E3327,#REF!,1,FALSE())),"?TYPE_IDENTIFIABLE","?REFERENTIAL"),"_")))))</f>
        <v> </v>
      </c>
      <c r="H3327" s="25" t="str">
        <f>IF(J3327&lt;&gt;1,"",IF(I3327="SBJ","CB","?"))</f>
        <v> </v>
      </c>
      <c r="I3327" s="26" t="str">
        <f>IF(OR(E3327="",E3327="!!!",F3327="NEW"),"",INDEX(B3326:B$2,-1+SUMPRODUCT(MAX(ROW(E3326:E$2)*(E3327=E3326:E$2)))))</f>
        <v> </v>
      </c>
      <c r="J3327" s="26" t="str">
        <f>IF(OR(E3327="",E3327="!!!",F3327="NEW"),"",COUNTBLANK(OFFSET(A$1,,,SUMPRODUCT(MAX(ROW(E$2:E3327)*(E3327=E$2:E3327)))))-COUNTBLANK(OFFSET(A$1,,,SUMPRODUCT(MAX(ROW(E$1:E3326)*(E2=E$1:E3326))))))</f>
        <v> </v>
      </c>
      <c r="K3327" s="26" t="str">
        <f>IF(OR(E3327="",E3327="!!!",F3327="NEW"),"",INDEX(J$1:J3326,SUMPRODUCT(MAX(ROW(E$1:E3326)*(E3327=E$1:E3326)))))</f>
        <v> </v>
      </c>
      <c r="L3327" s="27"/>
    </row>
    <row r="3328" spans="1:12">
      <c r="A3328" s="20" t="s">
        <v>2017</v>
      </c>
      <c r="B3328" s="21" t="s">
        <v>1050</v>
      </c>
      <c r="C3328" s="21" t="s">
        <v>1017</v>
      </c>
      <c r="D3328" s="21" t="s">
        <v>1007</v>
      </c>
      <c r="E3328" s="22">
        <f>IF(D3328="?OLD","!!!","")</f>
        <v/>
      </c>
      <c r="F3328" s="23" t="str">
        <f>IF(OR(E3328="",E3328="!!!"),"",IF(NOT(ISNA(VLOOKUP(E3328,E$1:E3327,1,FALSE()))),"OLD",IF(AND(E3328&lt;&gt;"",E3328&lt;&gt;"!!!"),"NEW","")))</f>
        <v> </v>
      </c>
      <c r="G3328" s="24" t="str">
        <f>IF(OR(E3328="",E3328="!!!"),"",IF(OR(J3328=0,AND(J3328=1,K3328=1),AND(J3328=1,I3328="SBJ"),AND(J3328=1,I3328=0)),"?IN_FOCUS",IF(J3328&lt;=2,"?ACTIVATED",IF(J3328&lt;&gt;"","?FAMILIAR",IF(F3328="NEW",IF(ISNA(VLOOKUP(E3328,#REF!,1,FALSE())),"?TYPE_IDENTIFIABLE","?REFERENTIAL"),"_")))))</f>
        <v> </v>
      </c>
      <c r="H3328" s="25" t="str">
        <f>IF(J3328&lt;&gt;1,"",IF(I3328="SBJ","CB","?"))</f>
        <v> </v>
      </c>
      <c r="I3328" s="26" t="str">
        <f>IF(OR(E3328="",E3328="!!!",F3328="NEW"),"",INDEX(B3327:B$2,-1+SUMPRODUCT(MAX(ROW(E3327:E$2)*(E3328=E3327:E$2)))))</f>
        <v> </v>
      </c>
      <c r="J3328" s="26" t="str">
        <f>IF(OR(E3328="",E3328="!!!",F3328="NEW"),"",COUNTBLANK(OFFSET(A$1,,,SUMPRODUCT(MAX(ROW(E$2:E3328)*(E3328=E$2:E3328)))))-COUNTBLANK(OFFSET(A$1,,,SUMPRODUCT(MAX(ROW(E$1:E3327)*(E2=E$1:E3327))))))</f>
        <v> </v>
      </c>
      <c r="K3328" s="26" t="str">
        <f>IF(OR(E3328="",E3328="!!!",F3328="NEW"),"",INDEX(J$1:J3327,SUMPRODUCT(MAX(ROW(E$1:E3327)*(E3328=E$1:E3327)))))</f>
        <v> </v>
      </c>
      <c r="L3328" s="27"/>
    </row>
    <row r="3329" spans="1:12">
      <c r="A3329" s="20" t="s">
        <v>1142</v>
      </c>
      <c r="E3329" s="22">
        <f>IF(D3329="?OLD","!!!","")</f>
        <v/>
      </c>
      <c r="F3329" s="23" t="str">
        <f>IF(OR(E3329="",E3329="!!!"),"",IF(NOT(ISNA(VLOOKUP(E3329,E$1:E3328,1,FALSE()))),"OLD",IF(AND(E3329&lt;&gt;"",E3329&lt;&gt;"!!!"),"NEW","")))</f>
        <v> </v>
      </c>
      <c r="G3329" s="24" t="str">
        <f>IF(OR(E3329="",E3329="!!!"),"",IF(OR(J3329=0,AND(J3329=1,K3329=1),AND(J3329=1,I3329="SBJ"),AND(J3329=1,I3329=0)),"?IN_FOCUS",IF(J3329&lt;=2,"?ACTIVATED",IF(J3329&lt;&gt;"","?FAMILIAR",IF(F3329="NEW",IF(ISNA(VLOOKUP(E3329,#REF!,1,FALSE())),"?TYPE_IDENTIFIABLE","?REFERENTIAL"),"_")))))</f>
        <v> </v>
      </c>
      <c r="H3329" s="25" t="str">
        <f>IF(J3329&lt;&gt;1,"",IF(I3329="SBJ","CB","?"))</f>
        <v> </v>
      </c>
      <c r="I3329" s="26" t="str">
        <f>IF(OR(E3329="",E3329="!!!",F3329="NEW"),"",INDEX(B3328:B$2,-1+SUMPRODUCT(MAX(ROW(E3328:E$2)*(E3329=E3328:E$2)))))</f>
        <v> </v>
      </c>
      <c r="J3329" s="26" t="str">
        <f>IF(OR(E3329="",E3329="!!!",F3329="NEW"),"",COUNTBLANK(OFFSET(A$1,,,SUMPRODUCT(MAX(ROW(E$2:E3329)*(E3329=E$2:E3329)))))-COUNTBLANK(OFFSET(A$1,,,SUMPRODUCT(MAX(ROW(E$1:E3328)*(E2=E$1:E3328))))))</f>
        <v> </v>
      </c>
      <c r="K3329" s="26" t="str">
        <f>IF(OR(E3329="",E3329="!!!",F3329="NEW"),"",INDEX(J$1:J3328,SUMPRODUCT(MAX(ROW(E$1:E3328)*(E3329=E$1:E3328)))))</f>
        <v> </v>
      </c>
      <c r="L3329" s="27"/>
    </row>
    <row r="3330" spans="1:12">
      <c r="A3330" s="20" t="s">
        <v>1075</v>
      </c>
      <c r="E3330" s="22">
        <f>IF(D3330="?OLD","!!!","")</f>
        <v/>
      </c>
      <c r="F3330" s="23" t="str">
        <f>IF(OR(E3330="",E3330="!!!"),"",IF(NOT(ISNA(VLOOKUP(E3330,E$1:E3329,1,FALSE()))),"OLD",IF(AND(E3330&lt;&gt;"",E3330&lt;&gt;"!!!"),"NEW","")))</f>
        <v> </v>
      </c>
      <c r="G3330" s="24" t="str">
        <f>IF(OR(E3330="",E3330="!!!"),"",IF(OR(J3330=0,AND(J3330=1,K3330=1),AND(J3330=1,I3330="SBJ"),AND(J3330=1,I3330=0)),"?IN_FOCUS",IF(J3330&lt;=2,"?ACTIVATED",IF(J3330&lt;&gt;"","?FAMILIAR",IF(F3330="NEW",IF(ISNA(VLOOKUP(E3330,#REF!,1,FALSE())),"?TYPE_IDENTIFIABLE","?REFERENTIAL"),"_")))))</f>
        <v> </v>
      </c>
      <c r="H3330" s="25" t="str">
        <f>IF(J3330&lt;&gt;1,"",IF(I3330="SBJ","CB","?"))</f>
        <v> </v>
      </c>
      <c r="I3330" s="26" t="str">
        <f>IF(OR(E3330="",E3330="!!!",F3330="NEW"),"",INDEX(B3329:B$2,-1+SUMPRODUCT(MAX(ROW(E3329:E$2)*(E3330=E3329:E$2)))))</f>
        <v> </v>
      </c>
      <c r="J3330" s="26" t="str">
        <f>IF(OR(E3330="",E3330="!!!",F3330="NEW"),"",COUNTBLANK(OFFSET(A$1,,,SUMPRODUCT(MAX(ROW(E$2:E3330)*(E3330=E$2:E3330)))))-COUNTBLANK(OFFSET(A$1,,,SUMPRODUCT(MAX(ROW(E$1:E3329)*(E2=E$1:E3329))))))</f>
        <v> </v>
      </c>
      <c r="K3330" s="26" t="str">
        <f>IF(OR(E3330="",E3330="!!!",F3330="NEW"),"",INDEX(J$1:J3329,SUMPRODUCT(MAX(ROW(E$1:E3329)*(E3330=E$1:E3329)))))</f>
        <v> </v>
      </c>
      <c r="L3330" s="27"/>
    </row>
    <row r="3331" spans="1:12">
      <c r="A3331" s="20" t="s">
        <v>102</v>
      </c>
      <c r="E3331" s="22">
        <f>IF(D3331="?OLD","!!!","")</f>
        <v/>
      </c>
      <c r="F3331" s="23" t="str">
        <f>IF(OR(E3331="",E3331="!!!"),"",IF(NOT(ISNA(VLOOKUP(E3331,E$1:E3330,1,FALSE()))),"OLD",IF(AND(E3331&lt;&gt;"",E3331&lt;&gt;"!!!"),"NEW","")))</f>
        <v> </v>
      </c>
      <c r="G3331" s="24" t="str">
        <f>IF(OR(E3331="",E3331="!!!"),"",IF(OR(J3331=0,AND(J3331=1,K3331=1),AND(J3331=1,I3331="SBJ"),AND(J3331=1,I3331=0)),"?IN_FOCUS",IF(J3331&lt;=2,"?ACTIVATED",IF(J3331&lt;&gt;"","?FAMILIAR",IF(F3331="NEW",IF(ISNA(VLOOKUP(E3331,#REF!,1,FALSE())),"?TYPE_IDENTIFIABLE","?REFERENTIAL"),"_")))))</f>
        <v> </v>
      </c>
      <c r="H3331" s="25" t="str">
        <f>IF(J3331&lt;&gt;1,"",IF(I3331="SBJ","CB","?"))</f>
        <v> </v>
      </c>
      <c r="I3331" s="26" t="str">
        <f>IF(OR(E3331="",E3331="!!!",F3331="NEW"),"",INDEX(B3330:B$2,-1+SUMPRODUCT(MAX(ROW(E3330:E$2)*(E3331=E3330:E$2)))))</f>
        <v> </v>
      </c>
      <c r="J3331" s="26" t="str">
        <f>IF(OR(E3331="",E3331="!!!",F3331="NEW"),"",COUNTBLANK(OFFSET(A$1,,,SUMPRODUCT(MAX(ROW(E$2:E3331)*(E3331=E$2:E3331)))))-COUNTBLANK(OFFSET(A$1,,,SUMPRODUCT(MAX(ROW(E$1:E3330)*(E2=E$1:E3330))))))</f>
        <v> </v>
      </c>
      <c r="K3331" s="26" t="str">
        <f>IF(OR(E3331="",E3331="!!!",F3331="NEW"),"",INDEX(J$1:J3330,SUMPRODUCT(MAX(ROW(E$1:E3330)*(E3331=E$1:E3330)))))</f>
        <v> </v>
      </c>
      <c r="L3331" s="27"/>
    </row>
    <row r="3332" spans="1:12">
      <c r="A3332" s="20" t="s">
        <v>2015</v>
      </c>
      <c r="B3332" s="21" t="s">
        <v>1005</v>
      </c>
      <c r="C3332" s="21" t="s">
        <v>1017</v>
      </c>
      <c r="D3332" s="21" t="s">
        <v>1007</v>
      </c>
      <c r="E3332" s="22">
        <f>IF(D3332="?OLD","!!!","")</f>
        <v/>
      </c>
      <c r="F3332" s="23" t="str">
        <f>IF(OR(E3332="",E3332="!!!"),"",IF(NOT(ISNA(VLOOKUP(E3332,E$1:E3331,1,FALSE()))),"OLD",IF(AND(E3332&lt;&gt;"",E3332&lt;&gt;"!!!"),"NEW","")))</f>
        <v> </v>
      </c>
      <c r="G3332" s="24" t="str">
        <f>IF(OR(E3332="",E3332="!!!"),"",IF(OR(J3332=0,AND(J3332=1,K3332=1),AND(J3332=1,I3332="SBJ"),AND(J3332=1,I3332=0)),"?IN_FOCUS",IF(J3332&lt;=2,"?ACTIVATED",IF(J3332&lt;&gt;"","?FAMILIAR",IF(F3332="NEW",IF(ISNA(VLOOKUP(E3332,#REF!,1,FALSE())),"?TYPE_IDENTIFIABLE","?REFERENTIAL"),"_")))))</f>
        <v> </v>
      </c>
      <c r="H3332" s="25" t="str">
        <f>IF(J3332&lt;&gt;1,"",IF(I3332="SBJ","CB","?"))</f>
        <v> </v>
      </c>
      <c r="I3332" s="26" t="str">
        <f>IF(OR(E3332="",E3332="!!!",F3332="NEW"),"",INDEX(B3331:B$2,-1+SUMPRODUCT(MAX(ROW(E3331:E$2)*(E3332=E3331:E$2)))))</f>
        <v> </v>
      </c>
      <c r="J3332" s="26" t="str">
        <f>IF(OR(E3332="",E3332="!!!",F3332="NEW"),"",COUNTBLANK(OFFSET(A$1,,,SUMPRODUCT(MAX(ROW(E$2:E3332)*(E3332=E$2:E3332)))))-COUNTBLANK(OFFSET(A$1,,,SUMPRODUCT(MAX(ROW(E$1:E3331)*(E2=E$1:E3331))))))</f>
        <v> </v>
      </c>
      <c r="K3332" s="26" t="str">
        <f>IF(OR(E3332="",E3332="!!!",F3332="NEW"),"",INDEX(J$1:J3331,SUMPRODUCT(MAX(ROW(E$1:E3331)*(E3332=E$1:E3331)))))</f>
        <v> </v>
      </c>
      <c r="L3332" s="27"/>
    </row>
    <row r="3333" spans="1:12">
      <c r="A3333" s="20" t="s">
        <v>1023</v>
      </c>
      <c r="E3333" s="22">
        <f>IF(D3333="?OLD","!!!","")</f>
        <v/>
      </c>
      <c r="F3333" s="23" t="str">
        <f>IF(OR(E3333="",E3333="!!!"),"",IF(NOT(ISNA(VLOOKUP(E3333,E$1:E3332,1,FALSE()))),"OLD",IF(AND(E3333&lt;&gt;"",E3333&lt;&gt;"!!!"),"NEW","")))</f>
        <v> </v>
      </c>
      <c r="G3333" s="24" t="str">
        <f>IF(OR(E3333="",E3333="!!!"),"",IF(OR(J3333=0,AND(J3333=1,K3333=1),AND(J3333=1,I3333="SBJ"),AND(J3333=1,I3333=0)),"?IN_FOCUS",IF(J3333&lt;=2,"?ACTIVATED",IF(J3333&lt;&gt;"","?FAMILIAR",IF(F3333="NEW",IF(ISNA(VLOOKUP(E3333,#REF!,1,FALSE())),"?TYPE_IDENTIFIABLE","?REFERENTIAL"),"_")))))</f>
        <v> </v>
      </c>
      <c r="H3333" s="25" t="str">
        <f>IF(J3333&lt;&gt;1,"",IF(I3333="SBJ","CB","?"))</f>
        <v> </v>
      </c>
      <c r="I3333" s="26" t="str">
        <f>IF(OR(E3333="",E3333="!!!",F3333="NEW"),"",INDEX(B3332:B$2,-1+SUMPRODUCT(MAX(ROW(E3332:E$2)*(E3333=E3332:E$2)))))</f>
        <v> </v>
      </c>
      <c r="J3333" s="26" t="str">
        <f>IF(OR(E3333="",E3333="!!!",F3333="NEW"),"",COUNTBLANK(OFFSET(A$1,,,SUMPRODUCT(MAX(ROW(E$2:E3333)*(E3333=E$2:E3333)))))-COUNTBLANK(OFFSET(A$1,,,SUMPRODUCT(MAX(ROW(E$1:E3332)*(E2=E$1:E3332))))))</f>
        <v> </v>
      </c>
      <c r="K3333" s="26" t="str">
        <f>IF(OR(E3333="",E3333="!!!",F3333="NEW"),"",INDEX(J$1:J3332,SUMPRODUCT(MAX(ROW(E$1:E3332)*(E3333=E$1:E3332)))))</f>
        <v> </v>
      </c>
      <c r="L3333" s="27"/>
    </row>
    <row r="3334" spans="1:12">
      <c r="A3334" s="20"/>
    </row>
    <row r="3335" spans="1:12">
      <c r="A3335" s="20" t="s">
        <v>2018</v>
      </c>
    </row>
    <row r="3336" spans="1:12">
      <c r="A3336" s="20" t="s">
        <v>11</v>
      </c>
      <c r="E3336" s="22">
        <f>IF(D3336="?OLD","!!!","")</f>
        <v/>
      </c>
      <c r="F3336" s="23" t="str">
        <f>IF(OR(E3336="",E3336="!!!"),"",IF(NOT(ISNA(VLOOKUP(E3336,E$1:E3335,1,FALSE()))),"OLD",IF(AND(E3336&lt;&gt;"",E3336&lt;&gt;"!!!"),"NEW","")))</f>
        <v> </v>
      </c>
      <c r="G3336" s="24" t="str">
        <f>IF(OR(E3336="",E3336="!!!"),"",IF(OR(J3336=0,AND(J3336=1,K3336=1),AND(J3336=1,I3336="SBJ"),AND(J3336=1,I3336=0)),"?IN_FOCUS",IF(J3336&lt;=2,"?ACTIVATED",IF(J3336&lt;&gt;"","?FAMILIAR",IF(F3336="NEW",IF(ISNA(VLOOKUP(E3336,#REF!,1,FALSE())),"?TYPE_IDENTIFIABLE","?REFERENTIAL"),"_")))))</f>
        <v> </v>
      </c>
      <c r="H3336" s="25" t="str">
        <f>IF(J3336&lt;&gt;1,"",IF(I3336="SBJ","CB","?"))</f>
        <v> </v>
      </c>
      <c r="I3336" s="26" t="str">
        <f>IF(OR(E3336="",E3336="!!!",F3336="NEW"),"",INDEX(B3335:B$2,-1+SUMPRODUCT(MAX(ROW(E3335:E$2)*(E3336=E3335:E$2)))))</f>
        <v> </v>
      </c>
      <c r="J3336" s="26" t="str">
        <f>IF(OR(E3336="",E3336="!!!",F3336="NEW"),"",COUNTBLANK(OFFSET(A$1,,,SUMPRODUCT(MAX(ROW(E$2:E3336)*(E3336=E$2:E3336)))))-COUNTBLANK(OFFSET(A$1,,,SUMPRODUCT(MAX(ROW(E$1:E3335)*(E2=E$1:E3335))))))</f>
        <v> </v>
      </c>
      <c r="K3336" s="26" t="str">
        <f>IF(OR(E3336="",E3336="!!!",F3336="NEW"),"",INDEX(J$1:J3335,SUMPRODUCT(MAX(ROW(E$1:E3335)*(E3336=E$1:E3335)))))</f>
        <v> </v>
      </c>
      <c r="L3336" s="27"/>
    </row>
    <row r="3337" spans="1:12">
      <c r="A3337" s="20" t="s">
        <v>1156</v>
      </c>
      <c r="B3337" s="21" t="s">
        <v>1050</v>
      </c>
      <c r="C3337" s="21" t="s">
        <v>1017</v>
      </c>
      <c r="D3337" s="21" t="s">
        <v>1007</v>
      </c>
      <c r="E3337" s="22">
        <f>IF(D3337="?OLD","!!!","")</f>
        <v/>
      </c>
      <c r="F3337" s="23" t="str">
        <f>IF(OR(E3337="",E3337="!!!"),"",IF(NOT(ISNA(VLOOKUP(E3337,E$1:E3336,1,FALSE()))),"OLD",IF(AND(E3337&lt;&gt;"",E3337&lt;&gt;"!!!"),"NEW","")))</f>
        <v> </v>
      </c>
      <c r="G3337" s="24" t="str">
        <f>IF(OR(E3337="",E3337="!!!"),"",IF(OR(J3337=0,AND(J3337=1,K3337=1),AND(J3337=1,I3337="SBJ"),AND(J3337=1,I3337=0)),"?IN_FOCUS",IF(J3337&lt;=2,"?ACTIVATED",IF(J3337&lt;&gt;"","?FAMILIAR",IF(F3337="NEW",IF(ISNA(VLOOKUP(E3337,#REF!,1,FALSE())),"?TYPE_IDENTIFIABLE","?REFERENTIAL"),"_")))))</f>
        <v> </v>
      </c>
      <c r="H3337" s="25" t="str">
        <f>IF(J3337&lt;&gt;1,"",IF(I3337="SBJ","CB","?"))</f>
        <v> </v>
      </c>
      <c r="I3337" s="26" t="str">
        <f>IF(OR(E3337="",E3337="!!!",F3337="NEW"),"",INDEX(B3336:B$2,-1+SUMPRODUCT(MAX(ROW(E3336:E$2)*(E3337=E3336:E$2)))))</f>
        <v> </v>
      </c>
      <c r="J3337" s="26" t="str">
        <f>IF(OR(E3337="",E3337="!!!",F3337="NEW"),"",COUNTBLANK(OFFSET(A$1,,,SUMPRODUCT(MAX(ROW(E$2:E3337)*(E3337=E$2:E3337)))))-COUNTBLANK(OFFSET(A$1,,,SUMPRODUCT(MAX(ROW(E$1:E3336)*(E2=E$1:E3336))))))</f>
        <v> </v>
      </c>
      <c r="K3337" s="26" t="str">
        <f>IF(OR(E3337="",E3337="!!!",F3337="NEW"),"",INDEX(J$1:J3336,SUMPRODUCT(MAX(ROW(E$1:E3336)*(E3337=E$1:E3336)))))</f>
        <v> </v>
      </c>
      <c r="L3337" s="27"/>
    </row>
    <row r="3338" spans="1:12">
      <c r="A3338" s="20" t="s">
        <v>1453</v>
      </c>
      <c r="E3338" s="22">
        <f>IF(D3338="?OLD","!!!","")</f>
        <v/>
      </c>
      <c r="F3338" s="23" t="str">
        <f>IF(OR(E3338="",E3338="!!!"),"",IF(NOT(ISNA(VLOOKUP(E3338,E$1:E3337,1,FALSE()))),"OLD",IF(AND(E3338&lt;&gt;"",E3338&lt;&gt;"!!!"),"NEW","")))</f>
        <v> </v>
      </c>
      <c r="G3338" s="24" t="str">
        <f>IF(OR(E3338="",E3338="!!!"),"",IF(OR(J3338=0,AND(J3338=1,K3338=1),AND(J3338=1,I3338="SBJ"),AND(J3338=1,I3338=0)),"?IN_FOCUS",IF(J3338&lt;=2,"?ACTIVATED",IF(J3338&lt;&gt;"","?FAMILIAR",IF(F3338="NEW",IF(ISNA(VLOOKUP(E3338,#REF!,1,FALSE())),"?TYPE_IDENTIFIABLE","?REFERENTIAL"),"_")))))</f>
        <v> </v>
      </c>
      <c r="H3338" s="25" t="str">
        <f>IF(J3338&lt;&gt;1,"",IF(I3338="SBJ","CB","?"))</f>
        <v> </v>
      </c>
      <c r="I3338" s="26" t="str">
        <f>IF(OR(E3338="",E3338="!!!",F3338="NEW"),"",INDEX(B3337:B$2,-1+SUMPRODUCT(MAX(ROW(E3337:E$2)*(E3338=E3337:E$2)))))</f>
        <v> </v>
      </c>
      <c r="J3338" s="26" t="str">
        <f>IF(OR(E3338="",E3338="!!!",F3338="NEW"),"",COUNTBLANK(OFFSET(A$1,,,SUMPRODUCT(MAX(ROW(E$2:E3338)*(E3338=E$2:E3338)))))-COUNTBLANK(OFFSET(A$1,,,SUMPRODUCT(MAX(ROW(E$1:E3337)*(E2=E$1:E3337))))))</f>
        <v> </v>
      </c>
      <c r="K3338" s="26" t="str">
        <f>IF(OR(E3338="",E3338="!!!",F3338="NEW"),"",INDEX(J$1:J3337,SUMPRODUCT(MAX(ROW(E$1:E3337)*(E3338=E$1:E3337)))))</f>
        <v> </v>
      </c>
      <c r="L3338" s="27"/>
    </row>
    <row r="3339" spans="1:12">
      <c r="A3339" s="20" t="s">
        <v>1194</v>
      </c>
      <c r="E3339" s="22">
        <f>IF(D3339="?OLD","!!!","")</f>
        <v/>
      </c>
      <c r="F3339" s="23" t="str">
        <f>IF(OR(E3339="",E3339="!!!"),"",IF(NOT(ISNA(VLOOKUP(E3339,E$1:E3338,1,FALSE()))),"OLD",IF(AND(E3339&lt;&gt;"",E3339&lt;&gt;"!!!"),"NEW","")))</f>
        <v> </v>
      </c>
      <c r="G3339" s="24" t="str">
        <f>IF(OR(E3339="",E3339="!!!"),"",IF(OR(J3339=0,AND(J3339=1,K3339=1),AND(J3339=1,I3339="SBJ"),AND(J3339=1,I3339=0)),"?IN_FOCUS",IF(J3339&lt;=2,"?ACTIVATED",IF(J3339&lt;&gt;"","?FAMILIAR",IF(F3339="NEW",IF(ISNA(VLOOKUP(E3339,#REF!,1,FALSE())),"?TYPE_IDENTIFIABLE","?REFERENTIAL"),"_")))))</f>
        <v> </v>
      </c>
      <c r="H3339" s="25" t="str">
        <f>IF(J3339&lt;&gt;1,"",IF(I3339="SBJ","CB","?"))</f>
        <v> </v>
      </c>
      <c r="I3339" s="26" t="str">
        <f>IF(OR(E3339="",E3339="!!!",F3339="NEW"),"",INDEX(B3338:B$2,-1+SUMPRODUCT(MAX(ROW(E3338:E$2)*(E3339=E3338:E$2)))))</f>
        <v> </v>
      </c>
      <c r="J3339" s="26" t="str">
        <f>IF(OR(E3339="",E3339="!!!",F3339="NEW"),"",COUNTBLANK(OFFSET(A$1,,,SUMPRODUCT(MAX(ROW(E$2:E3339)*(E3339=E$2:E3339)))))-COUNTBLANK(OFFSET(A$1,,,SUMPRODUCT(MAX(ROW(E$1:E3338)*(E2=E$1:E3338))))))</f>
        <v> </v>
      </c>
      <c r="K3339" s="26" t="str">
        <f>IF(OR(E3339="",E3339="!!!",F3339="NEW"),"",INDEX(J$1:J3338,SUMPRODUCT(MAX(ROW(E$1:E3338)*(E3339=E$1:E3338)))))</f>
        <v> </v>
      </c>
      <c r="L3339" s="27"/>
    </row>
    <row r="3340" spans="1:12">
      <c r="A3340" s="20" t="s">
        <v>1018</v>
      </c>
      <c r="E3340" s="22">
        <f>IF(D3340="?OLD","!!!","")</f>
        <v/>
      </c>
      <c r="F3340" s="23" t="str">
        <f>IF(OR(E3340="",E3340="!!!"),"",IF(NOT(ISNA(VLOOKUP(E3340,E$1:E3339,1,FALSE()))),"OLD",IF(AND(E3340&lt;&gt;"",E3340&lt;&gt;"!!!"),"NEW","")))</f>
        <v> </v>
      </c>
      <c r="G3340" s="24" t="str">
        <f>IF(OR(E3340="",E3340="!!!"),"",IF(OR(J3340=0,AND(J3340=1,K3340=1),AND(J3340=1,I3340="SBJ"),AND(J3340=1,I3340=0)),"?IN_FOCUS",IF(J3340&lt;=2,"?ACTIVATED",IF(J3340&lt;&gt;"","?FAMILIAR",IF(F3340="NEW",IF(ISNA(VLOOKUP(E3340,#REF!,1,FALSE())),"?TYPE_IDENTIFIABLE","?REFERENTIAL"),"_")))))</f>
        <v> </v>
      </c>
      <c r="H3340" s="25" t="str">
        <f>IF(J3340&lt;&gt;1,"",IF(I3340="SBJ","CB","?"))</f>
        <v> </v>
      </c>
      <c r="I3340" s="26" t="str">
        <f>IF(OR(E3340="",E3340="!!!",F3340="NEW"),"",INDEX(B3339:B$2,-1+SUMPRODUCT(MAX(ROW(E3339:E$2)*(E3340=E3339:E$2)))))</f>
        <v> </v>
      </c>
      <c r="J3340" s="26" t="str">
        <f>IF(OR(E3340="",E3340="!!!",F3340="NEW"),"",COUNTBLANK(OFFSET(A$1,,,SUMPRODUCT(MAX(ROW(E$2:E3340)*(E3340=E$2:E3340)))))-COUNTBLANK(OFFSET(A$1,,,SUMPRODUCT(MAX(ROW(E$1:E3339)*(E2=E$1:E3339))))))</f>
        <v> </v>
      </c>
      <c r="K3340" s="26" t="str">
        <f>IF(OR(E3340="",E3340="!!!",F3340="NEW"),"",INDEX(J$1:J3339,SUMPRODUCT(MAX(ROW(E$1:E3339)*(E3340=E$1:E3339)))))</f>
        <v> </v>
      </c>
      <c r="L3340" s="27"/>
    </row>
    <row r="3341" spans="1:12">
      <c r="A3341" s="20" t="s">
        <v>102</v>
      </c>
      <c r="E3341" s="22">
        <f>IF(D3341="?OLD","!!!","")</f>
        <v/>
      </c>
      <c r="F3341" s="23" t="str">
        <f>IF(OR(E3341="",E3341="!!!"),"",IF(NOT(ISNA(VLOOKUP(E3341,E$1:E3340,1,FALSE()))),"OLD",IF(AND(E3341&lt;&gt;"",E3341&lt;&gt;"!!!"),"NEW","")))</f>
        <v> </v>
      </c>
      <c r="G3341" s="24" t="str">
        <f>IF(OR(E3341="",E3341="!!!"),"",IF(OR(J3341=0,AND(J3341=1,K3341=1),AND(J3341=1,I3341="SBJ"),AND(J3341=1,I3341=0)),"?IN_FOCUS",IF(J3341&lt;=2,"?ACTIVATED",IF(J3341&lt;&gt;"","?FAMILIAR",IF(F3341="NEW",IF(ISNA(VLOOKUP(E3341,#REF!,1,FALSE())),"?TYPE_IDENTIFIABLE","?REFERENTIAL"),"_")))))</f>
        <v> </v>
      </c>
      <c r="H3341" s="25" t="str">
        <f>IF(J3341&lt;&gt;1,"",IF(I3341="SBJ","CB","?"))</f>
        <v> </v>
      </c>
      <c r="I3341" s="26" t="str">
        <f>IF(OR(E3341="",E3341="!!!",F3341="NEW"),"",INDEX(B3340:B$2,-1+SUMPRODUCT(MAX(ROW(E3340:E$2)*(E3341=E3340:E$2)))))</f>
        <v> </v>
      </c>
      <c r="J3341" s="26" t="str">
        <f>IF(OR(E3341="",E3341="!!!",F3341="NEW"),"",COUNTBLANK(OFFSET(A$1,,,SUMPRODUCT(MAX(ROW(E$2:E3341)*(E3341=E$2:E3341)))))-COUNTBLANK(OFFSET(A$1,,,SUMPRODUCT(MAX(ROW(E$1:E3340)*(E2=E$1:E3340))))))</f>
        <v> </v>
      </c>
      <c r="K3341" s="26" t="str">
        <f>IF(OR(E3341="",E3341="!!!",F3341="NEW"),"",INDEX(J$1:J3340,SUMPRODUCT(MAX(ROW(E$1:E3340)*(E3341=E$1:E3340)))))</f>
        <v> </v>
      </c>
      <c r="L3341" s="27"/>
    </row>
    <row r="3342" spans="1:12">
      <c r="A3342" s="20" t="s">
        <v>1156</v>
      </c>
      <c r="B3342" s="21" t="s">
        <v>1022</v>
      </c>
      <c r="C3342" s="21" t="s">
        <v>1017</v>
      </c>
      <c r="D3342" s="21" t="s">
        <v>1007</v>
      </c>
      <c r="E3342" s="22">
        <f>IF(D3342="?OLD","!!!","")</f>
        <v/>
      </c>
      <c r="F3342" s="23" t="str">
        <f>IF(OR(E3342="",E3342="!!!"),"",IF(NOT(ISNA(VLOOKUP(E3342,E$1:E3341,1,FALSE()))),"OLD",IF(AND(E3342&lt;&gt;"",E3342&lt;&gt;"!!!"),"NEW","")))</f>
        <v> </v>
      </c>
      <c r="G3342" s="24" t="str">
        <f>IF(OR(E3342="",E3342="!!!"),"",IF(OR(J3342=0,AND(J3342=1,K3342=1),AND(J3342=1,I3342="SBJ"),AND(J3342=1,I3342=0)),"?IN_FOCUS",IF(J3342&lt;=2,"?ACTIVATED",IF(J3342&lt;&gt;"","?FAMILIAR",IF(F3342="NEW",IF(ISNA(VLOOKUP(E3342,#REF!,1,FALSE())),"?TYPE_IDENTIFIABLE","?REFERENTIAL"),"_")))))</f>
        <v> </v>
      </c>
      <c r="H3342" s="25" t="str">
        <f>IF(J3342&lt;&gt;1,"",IF(I3342="SBJ","CB","?"))</f>
        <v> </v>
      </c>
      <c r="I3342" s="26" t="str">
        <f>IF(OR(E3342="",E3342="!!!",F3342="NEW"),"",INDEX(B3341:B$2,-1+SUMPRODUCT(MAX(ROW(E3341:E$2)*(E3342=E3341:E$2)))))</f>
        <v> </v>
      </c>
      <c r="J3342" s="26" t="str">
        <f>IF(OR(E3342="",E3342="!!!",F3342="NEW"),"",COUNTBLANK(OFFSET(A$1,,,SUMPRODUCT(MAX(ROW(E$2:E3342)*(E3342=E$2:E3342)))))-COUNTBLANK(OFFSET(A$1,,,SUMPRODUCT(MAX(ROW(E$1:E3341)*(E2=E$1:E3341))))))</f>
        <v> </v>
      </c>
      <c r="K3342" s="26" t="str">
        <f>IF(OR(E3342="",E3342="!!!",F3342="NEW"),"",INDEX(J$1:J3341,SUMPRODUCT(MAX(ROW(E$1:E3341)*(E3342=E$1:E3341)))))</f>
        <v> </v>
      </c>
      <c r="L3342" s="27"/>
    </row>
    <row r="3343" spans="1:12">
      <c r="A3343" s="20" t="s">
        <v>1453</v>
      </c>
      <c r="E3343" s="22">
        <f>IF(D3343="?OLD","!!!","")</f>
        <v/>
      </c>
      <c r="F3343" s="23" t="str">
        <f>IF(OR(E3343="",E3343="!!!"),"",IF(NOT(ISNA(VLOOKUP(E3343,E$1:E3342,1,FALSE()))),"OLD",IF(AND(E3343&lt;&gt;"",E3343&lt;&gt;"!!!"),"NEW","")))</f>
        <v> </v>
      </c>
      <c r="G3343" s="24" t="str">
        <f>IF(OR(E3343="",E3343="!!!"),"",IF(OR(J3343=0,AND(J3343=1,K3343=1),AND(J3343=1,I3343="SBJ"),AND(J3343=1,I3343=0)),"?IN_FOCUS",IF(J3343&lt;=2,"?ACTIVATED",IF(J3343&lt;&gt;"","?FAMILIAR",IF(F3343="NEW",IF(ISNA(VLOOKUP(E3343,#REF!,1,FALSE())),"?TYPE_IDENTIFIABLE","?REFERENTIAL"),"_")))))</f>
        <v> </v>
      </c>
      <c r="H3343" s="25" t="str">
        <f>IF(J3343&lt;&gt;1,"",IF(I3343="SBJ","CB","?"))</f>
        <v> </v>
      </c>
      <c r="I3343" s="26" t="str">
        <f>IF(OR(E3343="",E3343="!!!",F3343="NEW"),"",INDEX(B3342:B$2,-1+SUMPRODUCT(MAX(ROW(E3342:E$2)*(E3343=E3342:E$2)))))</f>
        <v> </v>
      </c>
      <c r="J3343" s="26" t="str">
        <f>IF(OR(E3343="",E3343="!!!",F3343="NEW"),"",COUNTBLANK(OFFSET(A$1,,,SUMPRODUCT(MAX(ROW(E$2:E3343)*(E3343=E$2:E3343)))))-COUNTBLANK(OFFSET(A$1,,,SUMPRODUCT(MAX(ROW(E$1:E3342)*(E2=E$1:E3342))))))</f>
        <v> </v>
      </c>
      <c r="K3343" s="26" t="str">
        <f>IF(OR(E3343="",E3343="!!!",F3343="NEW"),"",INDEX(J$1:J3342,SUMPRODUCT(MAX(ROW(E$1:E3342)*(E3343=E$1:E3342)))))</f>
        <v> </v>
      </c>
      <c r="L3343" s="27"/>
    </row>
    <row r="3344" spans="1:12">
      <c r="A3344" s="20" t="s">
        <v>2019</v>
      </c>
      <c r="E3344" s="22">
        <f>IF(D3344="?OLD","!!!","")</f>
        <v/>
      </c>
      <c r="F3344" s="23" t="str">
        <f>IF(OR(E3344="",E3344="!!!"),"",IF(NOT(ISNA(VLOOKUP(E3344,E$1:E3343,1,FALSE()))),"OLD",IF(AND(E3344&lt;&gt;"",E3344&lt;&gt;"!!!"),"NEW","")))</f>
        <v> </v>
      </c>
      <c r="G3344" s="24" t="str">
        <f>IF(OR(E3344="",E3344="!!!"),"",IF(OR(J3344=0,AND(J3344=1,K3344=1),AND(J3344=1,I3344="SBJ"),AND(J3344=1,I3344=0)),"?IN_FOCUS",IF(J3344&lt;=2,"?ACTIVATED",IF(J3344&lt;&gt;"","?FAMILIAR",IF(F3344="NEW",IF(ISNA(VLOOKUP(E3344,#REF!,1,FALSE())),"?TYPE_IDENTIFIABLE","?REFERENTIAL"),"_")))))</f>
        <v> </v>
      </c>
      <c r="H3344" s="25" t="str">
        <f>IF(J3344&lt;&gt;1,"",IF(I3344="SBJ","CB","?"))</f>
        <v> </v>
      </c>
      <c r="I3344" s="26" t="str">
        <f>IF(OR(E3344="",E3344="!!!",F3344="NEW"),"",INDEX(B3343:B$2,-1+SUMPRODUCT(MAX(ROW(E3343:E$2)*(E3344=E3343:E$2)))))</f>
        <v> </v>
      </c>
      <c r="J3344" s="26" t="str">
        <f>IF(OR(E3344="",E3344="!!!",F3344="NEW"),"",COUNTBLANK(OFFSET(A$1,,,SUMPRODUCT(MAX(ROW(E$2:E3344)*(E3344=E$2:E3344)))))-COUNTBLANK(OFFSET(A$1,,,SUMPRODUCT(MAX(ROW(E$1:E3343)*(E2=E$1:E3343))))))</f>
        <v> </v>
      </c>
      <c r="K3344" s="26" t="str">
        <f>IF(OR(E3344="",E3344="!!!",F3344="NEW"),"",INDEX(J$1:J3343,SUMPRODUCT(MAX(ROW(E$1:E3343)*(E3344=E$1:E3343)))))</f>
        <v> </v>
      </c>
      <c r="L3344" s="27"/>
    </row>
    <row r="3345" spans="1:12">
      <c r="A3345" s="20" t="s">
        <v>1018</v>
      </c>
      <c r="E3345" s="22">
        <f>IF(D3345="?OLD","!!!","")</f>
        <v/>
      </c>
      <c r="F3345" s="23" t="str">
        <f>IF(OR(E3345="",E3345="!!!"),"",IF(NOT(ISNA(VLOOKUP(E3345,E$1:E3344,1,FALSE()))),"OLD",IF(AND(E3345&lt;&gt;"",E3345&lt;&gt;"!!!"),"NEW","")))</f>
        <v> </v>
      </c>
      <c r="G3345" s="24" t="str">
        <f>IF(OR(E3345="",E3345="!!!"),"",IF(OR(J3345=0,AND(J3345=1,K3345=1),AND(J3345=1,I3345="SBJ"),AND(J3345=1,I3345=0)),"?IN_FOCUS",IF(J3345&lt;=2,"?ACTIVATED",IF(J3345&lt;&gt;"","?FAMILIAR",IF(F3345="NEW",IF(ISNA(VLOOKUP(E3345,#REF!,1,FALSE())),"?TYPE_IDENTIFIABLE","?REFERENTIAL"),"_")))))</f>
        <v> </v>
      </c>
      <c r="H3345" s="25" t="str">
        <f>IF(J3345&lt;&gt;1,"",IF(I3345="SBJ","CB","?"))</f>
        <v> </v>
      </c>
      <c r="I3345" s="26" t="str">
        <f>IF(OR(E3345="",E3345="!!!",F3345="NEW"),"",INDEX(B3344:B$2,-1+SUMPRODUCT(MAX(ROW(E3344:E$2)*(E3345=E3344:E$2)))))</f>
        <v> </v>
      </c>
      <c r="J3345" s="26" t="str">
        <f>IF(OR(E3345="",E3345="!!!",F3345="NEW"),"",COUNTBLANK(OFFSET(A$1,,,SUMPRODUCT(MAX(ROW(E$2:E3345)*(E3345=E$2:E3345)))))-COUNTBLANK(OFFSET(A$1,,,SUMPRODUCT(MAX(ROW(E$1:E3344)*(E2=E$1:E3344))))))</f>
        <v> </v>
      </c>
      <c r="K3345" s="26" t="str">
        <f>IF(OR(E3345="",E3345="!!!",F3345="NEW"),"",INDEX(J$1:J3344,SUMPRODUCT(MAX(ROW(E$1:E3344)*(E3345=E$1:E3344)))))</f>
        <v> </v>
      </c>
      <c r="L3345" s="27"/>
    </row>
    <row r="3346" spans="1:12">
      <c r="A3346" s="20" t="s">
        <v>56</v>
      </c>
      <c r="E3346" s="22">
        <f>IF(D3346="?OLD","!!!","")</f>
        <v/>
      </c>
      <c r="F3346" s="23" t="str">
        <f>IF(OR(E3346="",E3346="!!!"),"",IF(NOT(ISNA(VLOOKUP(E3346,E$1:E3345,1,FALSE()))),"OLD",IF(AND(E3346&lt;&gt;"",E3346&lt;&gt;"!!!"),"NEW","")))</f>
        <v> </v>
      </c>
      <c r="G3346" s="24" t="str">
        <f>IF(OR(E3346="",E3346="!!!"),"",IF(OR(J3346=0,AND(J3346=1,K3346=1),AND(J3346=1,I3346="SBJ"),AND(J3346=1,I3346=0)),"?IN_FOCUS",IF(J3346&lt;=2,"?ACTIVATED",IF(J3346&lt;&gt;"","?FAMILIAR",IF(F3346="NEW",IF(ISNA(VLOOKUP(E3346,#REF!,1,FALSE())),"?TYPE_IDENTIFIABLE","?REFERENTIAL"),"_")))))</f>
        <v> </v>
      </c>
      <c r="H3346" s="25" t="str">
        <f>IF(J3346&lt;&gt;1,"",IF(I3346="SBJ","CB","?"))</f>
        <v> </v>
      </c>
      <c r="I3346" s="26" t="str">
        <f>IF(OR(E3346="",E3346="!!!",F3346="NEW"),"",INDEX(B3345:B$2,-1+SUMPRODUCT(MAX(ROW(E3345:E$2)*(E3346=E3345:E$2)))))</f>
        <v> </v>
      </c>
      <c r="J3346" s="26" t="str">
        <f>IF(OR(E3346="",E3346="!!!",F3346="NEW"),"",COUNTBLANK(OFFSET(A$1,,,SUMPRODUCT(MAX(ROW(E$2:E3346)*(E3346=E$2:E3346)))))-COUNTBLANK(OFFSET(A$1,,,SUMPRODUCT(MAX(ROW(E$1:E3345)*(E2=E$1:E3345))))))</f>
        <v> </v>
      </c>
      <c r="K3346" s="26" t="str">
        <f>IF(OR(E3346="",E3346="!!!",F3346="NEW"),"",INDEX(J$1:J3345,SUMPRODUCT(MAX(ROW(E$1:E3345)*(E3346=E$1:E3345)))))</f>
        <v> </v>
      </c>
      <c r="L3346" s="27"/>
    </row>
    <row r="3347" spans="1:12">
      <c r="A3347" s="20" t="s">
        <v>1921</v>
      </c>
      <c r="E3347" s="22">
        <f>IF(D3347="?OLD","!!!","")</f>
        <v/>
      </c>
      <c r="F3347" s="23" t="str">
        <f>IF(OR(E3347="",E3347="!!!"),"",IF(NOT(ISNA(VLOOKUP(E3347,E$1:E3346,1,FALSE()))),"OLD",IF(AND(E3347&lt;&gt;"",E3347&lt;&gt;"!!!"),"NEW","")))</f>
        <v> </v>
      </c>
      <c r="G3347" s="24" t="str">
        <f>IF(OR(E3347="",E3347="!!!"),"",IF(OR(J3347=0,AND(J3347=1,K3347=1),AND(J3347=1,I3347="SBJ"),AND(J3347=1,I3347=0)),"?IN_FOCUS",IF(J3347&lt;=2,"?ACTIVATED",IF(J3347&lt;&gt;"","?FAMILIAR",IF(F3347="NEW",IF(ISNA(VLOOKUP(E3347,#REF!,1,FALSE())),"?TYPE_IDENTIFIABLE","?REFERENTIAL"),"_")))))</f>
        <v> </v>
      </c>
      <c r="H3347" s="25" t="str">
        <f>IF(J3347&lt;&gt;1,"",IF(I3347="SBJ","CB","?"))</f>
        <v> </v>
      </c>
      <c r="I3347" s="26" t="str">
        <f>IF(OR(E3347="",E3347="!!!",F3347="NEW"),"",INDEX(B3346:B$2,-1+SUMPRODUCT(MAX(ROW(E3346:E$2)*(E3347=E3346:E$2)))))</f>
        <v> </v>
      </c>
      <c r="J3347" s="26" t="str">
        <f>IF(OR(E3347="",E3347="!!!",F3347="NEW"),"",COUNTBLANK(OFFSET(A$1,,,SUMPRODUCT(MAX(ROW(E$2:E3347)*(E3347=E$2:E3347)))))-COUNTBLANK(OFFSET(A$1,,,SUMPRODUCT(MAX(ROW(E$1:E3346)*(E2=E$1:E3346))))))</f>
        <v> </v>
      </c>
      <c r="K3347" s="26" t="str">
        <f>IF(OR(E3347="",E3347="!!!",F3347="NEW"),"",INDEX(J$1:J3346,SUMPRODUCT(MAX(ROW(E$1:E3346)*(E3347=E$1:E3346)))))</f>
        <v> </v>
      </c>
      <c r="L3347" s="27"/>
    </row>
    <row r="3348" spans="1:12">
      <c r="A3348" s="20" t="s">
        <v>1683</v>
      </c>
      <c r="E3348" s="22">
        <f>IF(D3348="?OLD","!!!","")</f>
        <v/>
      </c>
      <c r="F3348" s="23" t="str">
        <f>IF(OR(E3348="",E3348="!!!"),"",IF(NOT(ISNA(VLOOKUP(E3348,E$1:E3347,1,FALSE()))),"OLD",IF(AND(E3348&lt;&gt;"",E3348&lt;&gt;"!!!"),"NEW","")))</f>
        <v> </v>
      </c>
      <c r="G3348" s="24" t="str">
        <f>IF(OR(E3348="",E3348="!!!"),"",IF(OR(J3348=0,AND(J3348=1,K3348=1),AND(J3348=1,I3348="SBJ"),AND(J3348=1,I3348=0)),"?IN_FOCUS",IF(J3348&lt;=2,"?ACTIVATED",IF(J3348&lt;&gt;"","?FAMILIAR",IF(F3348="NEW",IF(ISNA(VLOOKUP(E3348,#REF!,1,FALSE())),"?TYPE_IDENTIFIABLE","?REFERENTIAL"),"_")))))</f>
        <v> </v>
      </c>
      <c r="H3348" s="25" t="str">
        <f>IF(J3348&lt;&gt;1,"",IF(I3348="SBJ","CB","?"))</f>
        <v> </v>
      </c>
      <c r="I3348" s="26" t="str">
        <f>IF(OR(E3348="",E3348="!!!",F3348="NEW"),"",INDEX(B3347:B$2,-1+SUMPRODUCT(MAX(ROW(E3347:E$2)*(E3348=E3347:E$2)))))</f>
        <v> </v>
      </c>
      <c r="J3348" s="26" t="str">
        <f>IF(OR(E3348="",E3348="!!!",F3348="NEW"),"",COUNTBLANK(OFFSET(A$1,,,SUMPRODUCT(MAX(ROW(E$2:E3348)*(E3348=E$2:E3348)))))-COUNTBLANK(OFFSET(A$1,,,SUMPRODUCT(MAX(ROW(E$1:E3347)*(E2=E$1:E3347))))))</f>
        <v> </v>
      </c>
      <c r="K3348" s="26" t="str">
        <f>IF(OR(E3348="",E3348="!!!",F3348="NEW"),"",INDEX(J$1:J3347,SUMPRODUCT(MAX(ROW(E$1:E3347)*(E3348=E$1:E3347)))))</f>
        <v> </v>
      </c>
      <c r="L3348" s="27"/>
    </row>
    <row r="3349" spans="1:12">
      <c r="A3349" s="20" t="s">
        <v>227</v>
      </c>
      <c r="B3349" s="21" t="s">
        <v>1154</v>
      </c>
      <c r="C3349" s="21" t="s">
        <v>1013</v>
      </c>
      <c r="D3349" s="21" t="s">
        <v>1007</v>
      </c>
      <c r="E3349" s="22">
        <f>IF(D3349="?OLD","!!!","")</f>
        <v/>
      </c>
      <c r="F3349" s="23" t="str">
        <f>IF(OR(E3349="",E3349="!!!"),"",IF(NOT(ISNA(VLOOKUP(E3349,E$1:E3348,1,FALSE()))),"OLD",IF(AND(E3349&lt;&gt;"",E3349&lt;&gt;"!!!"),"NEW","")))</f>
        <v> </v>
      </c>
      <c r="G3349" s="24" t="str">
        <f>IF(OR(E3349="",E3349="!!!"),"",IF(OR(J3349=0,AND(J3349=1,K3349=1),AND(J3349=1,I3349="SBJ"),AND(J3349=1,I3349=0)),"?IN_FOCUS",IF(J3349&lt;=2,"?ACTIVATED",IF(J3349&lt;&gt;"","?FAMILIAR",IF(F3349="NEW",IF(ISNA(VLOOKUP(E3349,#REF!,1,FALSE())),"?TYPE_IDENTIFIABLE","?REFERENTIAL"),"_")))))</f>
        <v> </v>
      </c>
      <c r="H3349" s="25" t="str">
        <f>IF(J3349&lt;&gt;1,"",IF(I3349="SBJ","CB","?"))</f>
        <v> </v>
      </c>
      <c r="I3349" s="26" t="str">
        <f>IF(OR(E3349="",E3349="!!!",F3349="NEW"),"",INDEX(B3348:B$2,-1+SUMPRODUCT(MAX(ROW(E3348:E$2)*(E3349=E3348:E$2)))))</f>
        <v> </v>
      </c>
      <c r="J3349" s="26" t="str">
        <f>IF(OR(E3349="",E3349="!!!",F3349="NEW"),"",COUNTBLANK(OFFSET(A$1,,,SUMPRODUCT(MAX(ROW(E$2:E3349)*(E3349=E$2:E3349)))))-COUNTBLANK(OFFSET(A$1,,,SUMPRODUCT(MAX(ROW(E$1:E3348)*(E2=E$1:E3348))))))</f>
        <v> </v>
      </c>
      <c r="K3349" s="26" t="str">
        <f>IF(OR(E3349="",E3349="!!!",F3349="NEW"),"",INDEX(J$1:J3348,SUMPRODUCT(MAX(ROW(E$1:E3348)*(E3349=E$1:E3348)))))</f>
        <v> </v>
      </c>
      <c r="L3349" s="27"/>
    </row>
    <row r="3350" spans="1:12">
      <c r="A3350" s="20" t="s">
        <v>1030</v>
      </c>
      <c r="E3350" s="22">
        <f>IF(D3350="?OLD","!!!","")</f>
        <v/>
      </c>
      <c r="F3350" s="23" t="str">
        <f>IF(OR(E3350="",E3350="!!!"),"",IF(NOT(ISNA(VLOOKUP(E3350,E$1:E3349,1,FALSE()))),"OLD",IF(AND(E3350&lt;&gt;"",E3350&lt;&gt;"!!!"),"NEW","")))</f>
        <v> </v>
      </c>
      <c r="G3350" s="24" t="str">
        <f>IF(OR(E3350="",E3350="!!!"),"",IF(OR(J3350=0,AND(J3350=1,K3350=1),AND(J3350=1,I3350="SBJ"),AND(J3350=1,I3350=0)),"?IN_FOCUS",IF(J3350&lt;=2,"?ACTIVATED",IF(J3350&lt;&gt;"","?FAMILIAR",IF(F3350="NEW",IF(ISNA(VLOOKUP(E3350,#REF!,1,FALSE())),"?TYPE_IDENTIFIABLE","?REFERENTIAL"),"_")))))</f>
        <v> </v>
      </c>
      <c r="H3350" s="25" t="str">
        <f>IF(J3350&lt;&gt;1,"",IF(I3350="SBJ","CB","?"))</f>
        <v> </v>
      </c>
      <c r="I3350" s="26" t="str">
        <f>IF(OR(E3350="",E3350="!!!",F3350="NEW"),"",INDEX(B3349:B$2,-1+SUMPRODUCT(MAX(ROW(E3349:E$2)*(E3350=E3349:E$2)))))</f>
        <v> </v>
      </c>
      <c r="J3350" s="26" t="str">
        <f>IF(OR(E3350="",E3350="!!!",F3350="NEW"),"",COUNTBLANK(OFFSET(A$1,,,SUMPRODUCT(MAX(ROW(E$2:E3350)*(E3350=E$2:E3350)))))-COUNTBLANK(OFFSET(A$1,,,SUMPRODUCT(MAX(ROW(E$1:E3349)*(E2=E$1:E3349))))))</f>
        <v> </v>
      </c>
      <c r="K3350" s="26" t="str">
        <f>IF(OR(E3350="",E3350="!!!",F3350="NEW"),"",INDEX(J$1:J3349,SUMPRODUCT(MAX(ROW(E$1:E3349)*(E3350=E$1:E3349)))))</f>
        <v> </v>
      </c>
      <c r="L3350" s="27"/>
    </row>
    <row r="3351" spans="1:12">
      <c r="A3351" s="20" t="s">
        <v>102</v>
      </c>
      <c r="E3351" s="22">
        <f>IF(D3351="?OLD","!!!","")</f>
        <v/>
      </c>
      <c r="F3351" s="23" t="str">
        <f>IF(OR(E3351="",E3351="!!!"),"",IF(NOT(ISNA(VLOOKUP(E3351,E$1:E3350,1,FALSE()))),"OLD",IF(AND(E3351&lt;&gt;"",E3351&lt;&gt;"!!!"),"NEW","")))</f>
        <v> </v>
      </c>
      <c r="G3351" s="24" t="str">
        <f>IF(OR(E3351="",E3351="!!!"),"",IF(OR(J3351=0,AND(J3351=1,K3351=1),AND(J3351=1,I3351="SBJ"),AND(J3351=1,I3351=0)),"?IN_FOCUS",IF(J3351&lt;=2,"?ACTIVATED",IF(J3351&lt;&gt;"","?FAMILIAR",IF(F3351="NEW",IF(ISNA(VLOOKUP(E3351,#REF!,1,FALSE())),"?TYPE_IDENTIFIABLE","?REFERENTIAL"),"_")))))</f>
        <v> </v>
      </c>
      <c r="H3351" s="25" t="str">
        <f>IF(J3351&lt;&gt;1,"",IF(I3351="SBJ","CB","?"))</f>
        <v> </v>
      </c>
      <c r="I3351" s="26" t="str">
        <f>IF(OR(E3351="",E3351="!!!",F3351="NEW"),"",INDEX(B3350:B$2,-1+SUMPRODUCT(MAX(ROW(E3350:E$2)*(E3351=E3350:E$2)))))</f>
        <v> </v>
      </c>
      <c r="J3351" s="26" t="str">
        <f>IF(OR(E3351="",E3351="!!!",F3351="NEW"),"",COUNTBLANK(OFFSET(A$1,,,SUMPRODUCT(MAX(ROW(E$2:E3351)*(E3351=E$2:E3351)))))-COUNTBLANK(OFFSET(A$1,,,SUMPRODUCT(MAX(ROW(E$1:E3350)*(E2=E$1:E3350))))))</f>
        <v> </v>
      </c>
      <c r="K3351" s="26" t="str">
        <f>IF(OR(E3351="",E3351="!!!",F3351="NEW"),"",INDEX(J$1:J3350,SUMPRODUCT(MAX(ROW(E$1:E3350)*(E3351=E$1:E3350)))))</f>
        <v> </v>
      </c>
      <c r="L3351" s="27"/>
    </row>
    <row r="3352" spans="1:12">
      <c r="A3352" s="20" t="s">
        <v>1156</v>
      </c>
      <c r="B3352" s="21" t="s">
        <v>1035</v>
      </c>
      <c r="C3352" s="21" t="s">
        <v>1017</v>
      </c>
      <c r="D3352" s="21" t="s">
        <v>1007</v>
      </c>
      <c r="E3352" s="22">
        <f>IF(D3352="?OLD","!!!","")</f>
        <v/>
      </c>
      <c r="F3352" s="23" t="str">
        <f>IF(OR(E3352="",E3352="!!!"),"",IF(NOT(ISNA(VLOOKUP(E3352,E$1:E3351,1,FALSE()))),"OLD",IF(AND(E3352&lt;&gt;"",E3352&lt;&gt;"!!!"),"NEW","")))</f>
        <v> </v>
      </c>
      <c r="G3352" s="24" t="str">
        <f>IF(OR(E3352="",E3352="!!!"),"",IF(OR(J3352=0,AND(J3352=1,K3352=1),AND(J3352=1,I3352="SBJ"),AND(J3352=1,I3352=0)),"?IN_FOCUS",IF(J3352&lt;=2,"?ACTIVATED",IF(J3352&lt;&gt;"","?FAMILIAR",IF(F3352="NEW",IF(ISNA(VLOOKUP(E3352,#REF!,1,FALSE())),"?TYPE_IDENTIFIABLE","?REFERENTIAL"),"_")))))</f>
        <v> </v>
      </c>
      <c r="H3352" s="25" t="str">
        <f>IF(J3352&lt;&gt;1,"",IF(I3352="SBJ","CB","?"))</f>
        <v> </v>
      </c>
      <c r="I3352" s="26" t="str">
        <f>IF(OR(E3352="",E3352="!!!",F3352="NEW"),"",INDEX(B3351:B$2,-1+SUMPRODUCT(MAX(ROW(E3351:E$2)*(E3352=E3351:E$2)))))</f>
        <v> </v>
      </c>
      <c r="J3352" s="26" t="str">
        <f>IF(OR(E3352="",E3352="!!!",F3352="NEW"),"",COUNTBLANK(OFFSET(A$1,,,SUMPRODUCT(MAX(ROW(E$2:E3352)*(E3352=E$2:E3352)))))-COUNTBLANK(OFFSET(A$1,,,SUMPRODUCT(MAX(ROW(E$1:E3351)*(E2=E$1:E3351))))))</f>
        <v> </v>
      </c>
      <c r="K3352" s="26" t="str">
        <f>IF(OR(E3352="",E3352="!!!",F3352="NEW"),"",INDEX(J$1:J3351,SUMPRODUCT(MAX(ROW(E$1:E3351)*(E3352=E$1:E3351)))))</f>
        <v> </v>
      </c>
      <c r="L3352" s="27"/>
    </row>
    <row r="3353" spans="1:12">
      <c r="A3353" s="20" t="s">
        <v>2020</v>
      </c>
      <c r="E3353" s="22">
        <f>IF(D3353="?OLD","!!!","")</f>
        <v/>
      </c>
      <c r="F3353" s="23" t="str">
        <f>IF(OR(E3353="",E3353="!!!"),"",IF(NOT(ISNA(VLOOKUP(E3353,E$1:E3352,1,FALSE()))),"OLD",IF(AND(E3353&lt;&gt;"",E3353&lt;&gt;"!!!"),"NEW","")))</f>
        <v> </v>
      </c>
      <c r="G3353" s="24" t="str">
        <f>IF(OR(E3353="",E3353="!!!"),"",IF(OR(J3353=0,AND(J3353=1,K3353=1),AND(J3353=1,I3353="SBJ"),AND(J3353=1,I3353=0)),"?IN_FOCUS",IF(J3353&lt;=2,"?ACTIVATED",IF(J3353&lt;&gt;"","?FAMILIAR",IF(F3353="NEW",IF(ISNA(VLOOKUP(E3353,#REF!,1,FALSE())),"?TYPE_IDENTIFIABLE","?REFERENTIAL"),"_")))))</f>
        <v> </v>
      </c>
      <c r="H3353" s="25" t="str">
        <f>IF(J3353&lt;&gt;1,"",IF(I3353="SBJ","CB","?"))</f>
        <v> </v>
      </c>
      <c r="I3353" s="26" t="str">
        <f>IF(OR(E3353="",E3353="!!!",F3353="NEW"),"",INDEX(B3352:B$2,-1+SUMPRODUCT(MAX(ROW(E3352:E$2)*(E3353=E3352:E$2)))))</f>
        <v> </v>
      </c>
      <c r="J3353" s="26" t="str">
        <f>IF(OR(E3353="",E3353="!!!",F3353="NEW"),"",COUNTBLANK(OFFSET(A$1,,,SUMPRODUCT(MAX(ROW(E$2:E3353)*(E3353=E$2:E3353)))))-COUNTBLANK(OFFSET(A$1,,,SUMPRODUCT(MAX(ROW(E$1:E3352)*(E2=E$1:E3352))))))</f>
        <v> </v>
      </c>
      <c r="K3353" s="26" t="str">
        <f>IF(OR(E3353="",E3353="!!!",F3353="NEW"),"",INDEX(J$1:J3352,SUMPRODUCT(MAX(ROW(E$1:E3352)*(E3353=E$1:E3352)))))</f>
        <v> </v>
      </c>
      <c r="L3353" s="27"/>
    </row>
    <row r="3354" spans="1:12">
      <c r="A3354" s="20" t="s">
        <v>1410</v>
      </c>
      <c r="B3354" s="21" t="s">
        <v>1187</v>
      </c>
      <c r="C3354" s="21" t="s">
        <v>1013</v>
      </c>
      <c r="D3354" s="21" t="s">
        <v>1007</v>
      </c>
      <c r="E3354" s="22">
        <f>IF(D3354="?OLD","!!!","")</f>
        <v/>
      </c>
      <c r="F3354" s="23" t="str">
        <f>IF(OR(E3354="",E3354="!!!"),"",IF(NOT(ISNA(VLOOKUP(E3354,E$1:E3353,1,FALSE()))),"OLD",IF(AND(E3354&lt;&gt;"",E3354&lt;&gt;"!!!"),"NEW","")))</f>
        <v> </v>
      </c>
      <c r="G3354" s="24" t="str">
        <f>IF(OR(E3354="",E3354="!!!"),"",IF(OR(J3354=0,AND(J3354=1,K3354=1),AND(J3354=1,I3354="SBJ"),AND(J3354=1,I3354=0)),"?IN_FOCUS",IF(J3354&lt;=2,"?ACTIVATED",IF(J3354&lt;&gt;"","?FAMILIAR",IF(F3354="NEW",IF(ISNA(VLOOKUP(E3354,#REF!,1,FALSE())),"?TYPE_IDENTIFIABLE","?REFERENTIAL"),"_")))))</f>
        <v> </v>
      </c>
      <c r="H3354" s="25" t="str">
        <f>IF(J3354&lt;&gt;1,"",IF(I3354="SBJ","CB","?"))</f>
        <v> </v>
      </c>
      <c r="I3354" s="26" t="str">
        <f>IF(OR(E3354="",E3354="!!!",F3354="NEW"),"",INDEX(B3353:B$2,-1+SUMPRODUCT(MAX(ROW(E3353:E$2)*(E3354=E3353:E$2)))))</f>
        <v> </v>
      </c>
      <c r="J3354" s="26" t="str">
        <f>IF(OR(E3354="",E3354="!!!",F3354="NEW"),"",COUNTBLANK(OFFSET(A$1,,,SUMPRODUCT(MAX(ROW(E$2:E3354)*(E3354=E$2:E3354)))))-COUNTBLANK(OFFSET(A$1,,,SUMPRODUCT(MAX(ROW(E$1:E3353)*(E2=E$1:E3353))))))</f>
        <v> </v>
      </c>
      <c r="K3354" s="26" t="str">
        <f>IF(OR(E3354="",E3354="!!!",F3354="NEW"),"",INDEX(J$1:J3353,SUMPRODUCT(MAX(ROW(E$1:E3353)*(E3354=E$1:E3353)))))</f>
        <v> </v>
      </c>
      <c r="L3354" s="27"/>
    </row>
    <row r="3355" spans="1:12">
      <c r="A3355" s="20" t="s">
        <v>1014</v>
      </c>
      <c r="E3355" s="22">
        <f>IF(D3355="?OLD","!!!","")</f>
        <v/>
      </c>
      <c r="F3355" s="23" t="str">
        <f>IF(OR(E3355="",E3355="!!!"),"",IF(NOT(ISNA(VLOOKUP(E3355,E$1:E3354,1,FALSE()))),"OLD",IF(AND(E3355&lt;&gt;"",E3355&lt;&gt;"!!!"),"NEW","")))</f>
        <v> </v>
      </c>
      <c r="G3355" s="24" t="str">
        <f>IF(OR(E3355="",E3355="!!!"),"",IF(OR(J3355=0,AND(J3355=1,K3355=1),AND(J3355=1,I3355="SBJ"),AND(J3355=1,I3355=0)),"?IN_FOCUS",IF(J3355&lt;=2,"?ACTIVATED",IF(J3355&lt;&gt;"","?FAMILIAR",IF(F3355="NEW",IF(ISNA(VLOOKUP(E3355,#REF!,1,FALSE())),"?TYPE_IDENTIFIABLE","?REFERENTIAL"),"_")))))</f>
        <v> </v>
      </c>
      <c r="H3355" s="25" t="str">
        <f>IF(J3355&lt;&gt;1,"",IF(I3355="SBJ","CB","?"))</f>
        <v> </v>
      </c>
      <c r="I3355" s="26" t="str">
        <f>IF(OR(E3355="",E3355="!!!",F3355="NEW"),"",INDEX(B3354:B$2,-1+SUMPRODUCT(MAX(ROW(E3354:E$2)*(E3355=E3354:E$2)))))</f>
        <v> </v>
      </c>
      <c r="J3355" s="26" t="str">
        <f>IF(OR(E3355="",E3355="!!!",F3355="NEW"),"",COUNTBLANK(OFFSET(A$1,,,SUMPRODUCT(MAX(ROW(E$2:E3355)*(E3355=E$2:E3355)))))-COUNTBLANK(OFFSET(A$1,,,SUMPRODUCT(MAX(ROW(E$1:E3354)*(E2=E$1:E3354))))))</f>
        <v> </v>
      </c>
      <c r="K3355" s="26" t="str">
        <f>IF(OR(E3355="",E3355="!!!",F3355="NEW"),"",INDEX(J$1:J3354,SUMPRODUCT(MAX(ROW(E$1:E3354)*(E3355=E$1:E3354)))))</f>
        <v> </v>
      </c>
      <c r="L3355" s="27"/>
    </row>
    <row r="3356" spans="1:12">
      <c r="A3356" s="20" t="s">
        <v>1020</v>
      </c>
      <c r="E3356" s="22">
        <f>IF(D3356="?OLD","!!!","")</f>
        <v/>
      </c>
      <c r="F3356" s="23" t="str">
        <f>IF(OR(E3356="",E3356="!!!"),"",IF(NOT(ISNA(VLOOKUP(E3356,E$1:E3355,1,FALSE()))),"OLD",IF(AND(E3356&lt;&gt;"",E3356&lt;&gt;"!!!"),"NEW","")))</f>
        <v> </v>
      </c>
      <c r="G3356" s="24" t="str">
        <f>IF(OR(E3356="",E3356="!!!"),"",IF(OR(J3356=0,AND(J3356=1,K3356=1),AND(J3356=1,I3356="SBJ"),AND(J3356=1,I3356=0)),"?IN_FOCUS",IF(J3356&lt;=2,"?ACTIVATED",IF(J3356&lt;&gt;"","?FAMILIAR",IF(F3356="NEW",IF(ISNA(VLOOKUP(E3356,#REF!,1,FALSE())),"?TYPE_IDENTIFIABLE","?REFERENTIAL"),"_")))))</f>
        <v> </v>
      </c>
      <c r="H3356" s="25" t="str">
        <f>IF(J3356&lt;&gt;1,"",IF(I3356="SBJ","CB","?"))</f>
        <v> </v>
      </c>
      <c r="I3356" s="26" t="str">
        <f>IF(OR(E3356="",E3356="!!!",F3356="NEW"),"",INDEX(B3355:B$2,-1+SUMPRODUCT(MAX(ROW(E3355:E$2)*(E3356=E3355:E$2)))))</f>
        <v> </v>
      </c>
      <c r="J3356" s="26" t="str">
        <f>IF(OR(E3356="",E3356="!!!",F3356="NEW"),"",COUNTBLANK(OFFSET(A$1,,,SUMPRODUCT(MAX(ROW(E$2:E3356)*(E3356=E$2:E3356)))))-COUNTBLANK(OFFSET(A$1,,,SUMPRODUCT(MAX(ROW(E$1:E3355)*(E2=E$1:E3355))))))</f>
        <v> </v>
      </c>
      <c r="K3356" s="26" t="str">
        <f>IF(OR(E3356="",E3356="!!!",F3356="NEW"),"",INDEX(J$1:J3355,SUMPRODUCT(MAX(ROW(E$1:E3355)*(E3356=E$1:E3355)))))</f>
        <v> </v>
      </c>
      <c r="L3356" s="27"/>
    </row>
    <row r="3357" spans="1:12">
      <c r="A3357" s="20" t="s">
        <v>1873</v>
      </c>
      <c r="B3357" s="21" t="s">
        <v>1130</v>
      </c>
      <c r="C3357" s="21" t="s">
        <v>1059</v>
      </c>
      <c r="D3357" s="21" t="s">
        <v>1007</v>
      </c>
      <c r="E3357" s="22">
        <f>IF(D3357="?OLD","!!!","")</f>
        <v/>
      </c>
      <c r="F3357" s="23" t="str">
        <f>IF(OR(E3357="",E3357="!!!"),"",IF(NOT(ISNA(VLOOKUP(E3357,E$1:E3356,1,FALSE()))),"OLD",IF(AND(E3357&lt;&gt;"",E3357&lt;&gt;"!!!"),"NEW","")))</f>
        <v> </v>
      </c>
      <c r="G3357" s="24" t="str">
        <f>IF(OR(E3357="",E3357="!!!"),"",IF(OR(J3357=0,AND(J3357=1,K3357=1),AND(J3357=1,I3357="SBJ"),AND(J3357=1,I3357=0)),"?IN_FOCUS",IF(J3357&lt;=2,"?ACTIVATED",IF(J3357&lt;&gt;"","?FAMILIAR",IF(F3357="NEW",IF(ISNA(VLOOKUP(E3357,#REF!,1,FALSE())),"?TYPE_IDENTIFIABLE","?REFERENTIAL"),"_")))))</f>
        <v> </v>
      </c>
      <c r="H3357" s="25" t="str">
        <f>IF(J3357&lt;&gt;1,"",IF(I3357="SBJ","CB","?"))</f>
        <v> </v>
      </c>
      <c r="I3357" s="26" t="str">
        <f>IF(OR(E3357="",E3357="!!!",F3357="NEW"),"",INDEX(B3356:B$2,-1+SUMPRODUCT(MAX(ROW(E3356:E$2)*(E3357=E3356:E$2)))))</f>
        <v> </v>
      </c>
      <c r="J3357" s="26" t="str">
        <f>IF(OR(E3357="",E3357="!!!",F3357="NEW"),"",COUNTBLANK(OFFSET(A$1,,,SUMPRODUCT(MAX(ROW(E$2:E3357)*(E3357=E$2:E3357)))))-COUNTBLANK(OFFSET(A$1,,,SUMPRODUCT(MAX(ROW(E$1:E3356)*(E2=E$1:E3356))))))</f>
        <v> </v>
      </c>
      <c r="K3357" s="26" t="str">
        <f>IF(OR(E3357="",E3357="!!!",F3357="NEW"),"",INDEX(J$1:J3356,SUMPRODUCT(MAX(ROW(E$1:E3356)*(E3357=E$1:E3356)))))</f>
        <v> </v>
      </c>
      <c r="L3357" s="27"/>
    </row>
    <row r="3358" spans="1:12">
      <c r="A3358" s="20" t="s">
        <v>2021</v>
      </c>
      <c r="B3358" s="21" t="s">
        <v>1035</v>
      </c>
      <c r="C3358" s="21" t="s">
        <v>1017</v>
      </c>
      <c r="D3358" s="21" t="s">
        <v>1007</v>
      </c>
      <c r="E3358" s="22">
        <f>IF(D3358="?OLD","!!!","")</f>
        <v/>
      </c>
      <c r="F3358" s="23" t="str">
        <f>IF(OR(E3358="",E3358="!!!"),"",IF(NOT(ISNA(VLOOKUP(E3358,E$1:E3357,1,FALSE()))),"OLD",IF(AND(E3358&lt;&gt;"",E3358&lt;&gt;"!!!"),"NEW","")))</f>
        <v> </v>
      </c>
      <c r="G3358" s="24" t="str">
        <f>IF(OR(E3358="",E3358="!!!"),"",IF(OR(J3358=0,AND(J3358=1,K3358=1),AND(J3358=1,I3358="SBJ"),AND(J3358=1,I3358=0)),"?IN_FOCUS",IF(J3358&lt;=2,"?ACTIVATED",IF(J3358&lt;&gt;"","?FAMILIAR",IF(F3358="NEW",IF(ISNA(VLOOKUP(E3358,#REF!,1,FALSE())),"?TYPE_IDENTIFIABLE","?REFERENTIAL"),"_")))))</f>
        <v> </v>
      </c>
      <c r="H3358" s="25" t="str">
        <f>IF(J3358&lt;&gt;1,"",IF(I3358="SBJ","CB","?"))</f>
        <v> </v>
      </c>
      <c r="I3358" s="26" t="str">
        <f>IF(OR(E3358="",E3358="!!!",F3358="NEW"),"",INDEX(B3357:B$2,-1+SUMPRODUCT(MAX(ROW(E3357:E$2)*(E3358=E3357:E$2)))))</f>
        <v> </v>
      </c>
      <c r="J3358" s="26" t="str">
        <f>IF(OR(E3358="",E3358="!!!",F3358="NEW"),"",COUNTBLANK(OFFSET(A$1,,,SUMPRODUCT(MAX(ROW(E$2:E3358)*(E3358=E$2:E3358)))))-COUNTBLANK(OFFSET(A$1,,,SUMPRODUCT(MAX(ROW(E$1:E3357)*(E2=E$1:E3357))))))</f>
        <v> </v>
      </c>
      <c r="K3358" s="26" t="str">
        <f>IF(OR(E3358="",E3358="!!!",F3358="NEW"),"",INDEX(J$1:J3357,SUMPRODUCT(MAX(ROW(E$1:E3357)*(E3358=E$1:E3357)))))</f>
        <v> </v>
      </c>
      <c r="L3358" s="27"/>
    </row>
    <row r="3359" spans="1:12">
      <c r="A3359" s="20" t="s">
        <v>1018</v>
      </c>
      <c r="E3359" s="22">
        <f>IF(D3359="?OLD","!!!","")</f>
        <v/>
      </c>
      <c r="F3359" s="23" t="str">
        <f>IF(OR(E3359="",E3359="!!!"),"",IF(NOT(ISNA(VLOOKUP(E3359,E$1:E3358,1,FALSE()))),"OLD",IF(AND(E3359&lt;&gt;"",E3359&lt;&gt;"!!!"),"NEW","")))</f>
        <v> </v>
      </c>
      <c r="G3359" s="24" t="str">
        <f>IF(OR(E3359="",E3359="!!!"),"",IF(OR(J3359=0,AND(J3359=1,K3359=1),AND(J3359=1,I3359="SBJ"),AND(J3359=1,I3359=0)),"?IN_FOCUS",IF(J3359&lt;=2,"?ACTIVATED",IF(J3359&lt;&gt;"","?FAMILIAR",IF(F3359="NEW",IF(ISNA(VLOOKUP(E3359,#REF!,1,FALSE())),"?TYPE_IDENTIFIABLE","?REFERENTIAL"),"_")))))</f>
        <v> </v>
      </c>
      <c r="H3359" s="25" t="str">
        <f>IF(J3359&lt;&gt;1,"",IF(I3359="SBJ","CB","?"))</f>
        <v> </v>
      </c>
      <c r="I3359" s="26" t="str">
        <f>IF(OR(E3359="",E3359="!!!",F3359="NEW"),"",INDEX(B3358:B$2,-1+SUMPRODUCT(MAX(ROW(E3358:E$2)*(E3359=E3358:E$2)))))</f>
        <v> </v>
      </c>
      <c r="J3359" s="26" t="str">
        <f>IF(OR(E3359="",E3359="!!!",F3359="NEW"),"",COUNTBLANK(OFFSET(A$1,,,SUMPRODUCT(MAX(ROW(E$2:E3359)*(E3359=E$2:E3359)))))-COUNTBLANK(OFFSET(A$1,,,SUMPRODUCT(MAX(ROW(E$1:E3358)*(E2=E$1:E3358))))))</f>
        <v> </v>
      </c>
      <c r="K3359" s="26" t="str">
        <f>IF(OR(E3359="",E3359="!!!",F3359="NEW"),"",INDEX(J$1:J3358,SUMPRODUCT(MAX(ROW(E$1:E3358)*(E3359=E$1:E3358)))))</f>
        <v> </v>
      </c>
      <c r="L3359" s="27"/>
    </row>
    <row r="3360" spans="1:12">
      <c r="A3360" s="20" t="s">
        <v>2020</v>
      </c>
      <c r="E3360" s="22">
        <f>IF(D3360="?OLD","!!!","")</f>
        <v/>
      </c>
      <c r="F3360" s="23" t="str">
        <f>IF(OR(E3360="",E3360="!!!"),"",IF(NOT(ISNA(VLOOKUP(E3360,E$1:E3359,1,FALSE()))),"OLD",IF(AND(E3360&lt;&gt;"",E3360&lt;&gt;"!!!"),"NEW","")))</f>
        <v> </v>
      </c>
      <c r="G3360" s="24" t="str">
        <f>IF(OR(E3360="",E3360="!!!"),"",IF(OR(J3360=0,AND(J3360=1,K3360=1),AND(J3360=1,I3360="SBJ"),AND(J3360=1,I3360=0)),"?IN_FOCUS",IF(J3360&lt;=2,"?ACTIVATED",IF(J3360&lt;&gt;"","?FAMILIAR",IF(F3360="NEW",IF(ISNA(VLOOKUP(E3360,#REF!,1,FALSE())),"?TYPE_IDENTIFIABLE","?REFERENTIAL"),"_")))))</f>
        <v> </v>
      </c>
      <c r="H3360" s="25" t="str">
        <f>IF(J3360&lt;&gt;1,"",IF(I3360="SBJ","CB","?"))</f>
        <v> </v>
      </c>
      <c r="I3360" s="26" t="str">
        <f>IF(OR(E3360="",E3360="!!!",F3360="NEW"),"",INDEX(B3359:B$2,-1+SUMPRODUCT(MAX(ROW(E3359:E$2)*(E3360=E3359:E$2)))))</f>
        <v> </v>
      </c>
      <c r="J3360" s="26" t="str">
        <f>IF(OR(E3360="",E3360="!!!",F3360="NEW"),"",COUNTBLANK(OFFSET(A$1,,,SUMPRODUCT(MAX(ROW(E$2:E3360)*(E3360=E$2:E3360)))))-COUNTBLANK(OFFSET(A$1,,,SUMPRODUCT(MAX(ROW(E$1:E3359)*(E2=E$1:E3359))))))</f>
        <v> </v>
      </c>
      <c r="K3360" s="26" t="str">
        <f>IF(OR(E3360="",E3360="!!!",F3360="NEW"),"",INDEX(J$1:J3359,SUMPRODUCT(MAX(ROW(E$1:E3359)*(E3360=E$1:E3359)))))</f>
        <v> </v>
      </c>
      <c r="L3360" s="27"/>
    </row>
    <row r="3361" spans="1:12">
      <c r="A3361" s="20" t="s">
        <v>1410</v>
      </c>
      <c r="B3361" s="21" t="s">
        <v>1085</v>
      </c>
      <c r="C3361" s="21" t="s">
        <v>1013</v>
      </c>
      <c r="D3361" s="21" t="s">
        <v>1007</v>
      </c>
      <c r="E3361" s="22">
        <f>IF(D3361="?OLD","!!!","")</f>
        <v/>
      </c>
      <c r="F3361" s="23" t="str">
        <f>IF(OR(E3361="",E3361="!!!"),"",IF(NOT(ISNA(VLOOKUP(E3361,E$1:E3360,1,FALSE()))),"OLD",IF(AND(E3361&lt;&gt;"",E3361&lt;&gt;"!!!"),"NEW","")))</f>
        <v> </v>
      </c>
      <c r="G3361" s="24" t="str">
        <f>IF(OR(E3361="",E3361="!!!"),"",IF(OR(J3361=0,AND(J3361=1,K3361=1),AND(J3361=1,I3361="SBJ"),AND(J3361=1,I3361=0)),"?IN_FOCUS",IF(J3361&lt;=2,"?ACTIVATED",IF(J3361&lt;&gt;"","?FAMILIAR",IF(F3361="NEW",IF(ISNA(VLOOKUP(E3361,#REF!,1,FALSE())),"?TYPE_IDENTIFIABLE","?REFERENTIAL"),"_")))))</f>
        <v> </v>
      </c>
      <c r="H3361" s="25" t="str">
        <f>IF(J3361&lt;&gt;1,"",IF(I3361="SBJ","CB","?"))</f>
        <v> </v>
      </c>
      <c r="I3361" s="26" t="str">
        <f>IF(OR(E3361="",E3361="!!!",F3361="NEW"),"",INDEX(B3360:B$2,-1+SUMPRODUCT(MAX(ROW(E3360:E$2)*(E3361=E3360:E$2)))))</f>
        <v> </v>
      </c>
      <c r="J3361" s="26" t="str">
        <f>IF(OR(E3361="",E3361="!!!",F3361="NEW"),"",COUNTBLANK(OFFSET(A$1,,,SUMPRODUCT(MAX(ROW(E$2:E3361)*(E3361=E$2:E3361)))))-COUNTBLANK(OFFSET(A$1,,,SUMPRODUCT(MAX(ROW(E$1:E3360)*(E2=E$1:E3360))))))</f>
        <v> </v>
      </c>
      <c r="K3361" s="26" t="str">
        <f>IF(OR(E3361="",E3361="!!!",F3361="NEW"),"",INDEX(J$1:J3360,SUMPRODUCT(MAX(ROW(E$1:E3360)*(E3361=E$1:E3360)))))</f>
        <v> </v>
      </c>
      <c r="L3361" s="27"/>
    </row>
    <row r="3362" spans="1:12">
      <c r="A3362" s="20" t="s">
        <v>1014</v>
      </c>
      <c r="E3362" s="22">
        <f>IF(D3362="?OLD","!!!","")</f>
        <v/>
      </c>
      <c r="F3362" s="23" t="str">
        <f>IF(OR(E3362="",E3362="!!!"),"",IF(NOT(ISNA(VLOOKUP(E3362,E$1:E3361,1,FALSE()))),"OLD",IF(AND(E3362&lt;&gt;"",E3362&lt;&gt;"!!!"),"NEW","")))</f>
        <v> </v>
      </c>
      <c r="G3362" s="24" t="str">
        <f>IF(OR(E3362="",E3362="!!!"),"",IF(OR(J3362=0,AND(J3362=1,K3362=1),AND(J3362=1,I3362="SBJ"),AND(J3362=1,I3362=0)),"?IN_FOCUS",IF(J3362&lt;=2,"?ACTIVATED",IF(J3362&lt;&gt;"","?FAMILIAR",IF(F3362="NEW",IF(ISNA(VLOOKUP(E3362,#REF!,1,FALSE())),"?TYPE_IDENTIFIABLE","?REFERENTIAL"),"_")))))</f>
        <v> </v>
      </c>
      <c r="H3362" s="25" t="str">
        <f>IF(J3362&lt;&gt;1,"",IF(I3362="SBJ","CB","?"))</f>
        <v> </v>
      </c>
      <c r="I3362" s="26" t="str">
        <f>IF(OR(E3362="",E3362="!!!",F3362="NEW"),"",INDEX(B3361:B$2,-1+SUMPRODUCT(MAX(ROW(E3361:E$2)*(E3362=E3361:E$2)))))</f>
        <v> </v>
      </c>
      <c r="J3362" s="26" t="str">
        <f>IF(OR(E3362="",E3362="!!!",F3362="NEW"),"",COUNTBLANK(OFFSET(A$1,,,SUMPRODUCT(MAX(ROW(E$2:E3362)*(E3362=E$2:E3362)))))-COUNTBLANK(OFFSET(A$1,,,SUMPRODUCT(MAX(ROW(E$1:E3361)*(E2=E$1:E3361))))))</f>
        <v> </v>
      </c>
      <c r="K3362" s="26" t="str">
        <f>IF(OR(E3362="",E3362="!!!",F3362="NEW"),"",INDEX(J$1:J3361,SUMPRODUCT(MAX(ROW(E$1:E3361)*(E3362=E$1:E3361)))))</f>
        <v> </v>
      </c>
      <c r="L3362" s="27"/>
    </row>
    <row r="3363" spans="1:12">
      <c r="A3363" s="20" t="s">
        <v>102</v>
      </c>
      <c r="E3363" s="22">
        <f>IF(D3363="?OLD","!!!","")</f>
        <v/>
      </c>
      <c r="F3363" s="23" t="str">
        <f>IF(OR(E3363="",E3363="!!!"),"",IF(NOT(ISNA(VLOOKUP(E3363,E$1:E3362,1,FALSE()))),"OLD",IF(AND(E3363&lt;&gt;"",E3363&lt;&gt;"!!!"),"NEW","")))</f>
        <v> </v>
      </c>
      <c r="G3363" s="24" t="str">
        <f>IF(OR(E3363="",E3363="!!!"),"",IF(OR(J3363=0,AND(J3363=1,K3363=1),AND(J3363=1,I3363="SBJ"),AND(J3363=1,I3363=0)),"?IN_FOCUS",IF(J3363&lt;=2,"?ACTIVATED",IF(J3363&lt;&gt;"","?FAMILIAR",IF(F3363="NEW",IF(ISNA(VLOOKUP(E3363,#REF!,1,FALSE())),"?TYPE_IDENTIFIABLE","?REFERENTIAL"),"_")))))</f>
        <v> </v>
      </c>
      <c r="H3363" s="25" t="str">
        <f>IF(J3363&lt;&gt;1,"",IF(I3363="SBJ","CB","?"))</f>
        <v> </v>
      </c>
      <c r="I3363" s="26" t="str">
        <f>IF(OR(E3363="",E3363="!!!",F3363="NEW"),"",INDEX(B3362:B$2,-1+SUMPRODUCT(MAX(ROW(E3362:E$2)*(E3363=E3362:E$2)))))</f>
        <v> </v>
      </c>
      <c r="J3363" s="26" t="str">
        <f>IF(OR(E3363="",E3363="!!!",F3363="NEW"),"",COUNTBLANK(OFFSET(A$1,,,SUMPRODUCT(MAX(ROW(E$2:E3363)*(E3363=E$2:E3363)))))-COUNTBLANK(OFFSET(A$1,,,SUMPRODUCT(MAX(ROW(E$1:E3362)*(E2=E$1:E3362))))))</f>
        <v> </v>
      </c>
      <c r="K3363" s="26" t="str">
        <f>IF(OR(E3363="",E3363="!!!",F3363="NEW"),"",INDEX(J$1:J3362,SUMPRODUCT(MAX(ROW(E$1:E3362)*(E3363=E$1:E3362)))))</f>
        <v> </v>
      </c>
      <c r="L3363" s="27"/>
    </row>
    <row r="3364" spans="1:12">
      <c r="A3364" s="20" t="s">
        <v>1902</v>
      </c>
      <c r="B3364" s="21" t="s">
        <v>1033</v>
      </c>
      <c r="C3364" s="21" t="s">
        <v>1059</v>
      </c>
      <c r="D3364" s="21" t="s">
        <v>1007</v>
      </c>
      <c r="E3364" s="22">
        <f>IF(D3364="?OLD","!!!","")</f>
        <v/>
      </c>
      <c r="F3364" s="23" t="str">
        <f>IF(OR(E3364="",E3364="!!!"),"",IF(NOT(ISNA(VLOOKUP(E3364,E$1:E3363,1,FALSE()))),"OLD",IF(AND(E3364&lt;&gt;"",E3364&lt;&gt;"!!!"),"NEW","")))</f>
        <v> </v>
      </c>
      <c r="G3364" s="24" t="str">
        <f>IF(OR(E3364="",E3364="!!!"),"",IF(OR(J3364=0,AND(J3364=1,K3364=1),AND(J3364=1,I3364="SBJ"),AND(J3364=1,I3364=0)),"?IN_FOCUS",IF(J3364&lt;=2,"?ACTIVATED",IF(J3364&lt;&gt;"","?FAMILIAR",IF(F3364="NEW",IF(ISNA(VLOOKUP(E3364,#REF!,1,FALSE())),"?TYPE_IDENTIFIABLE","?REFERENTIAL"),"_")))))</f>
        <v> </v>
      </c>
      <c r="H3364" s="25" t="str">
        <f>IF(J3364&lt;&gt;1,"",IF(I3364="SBJ","CB","?"))</f>
        <v> </v>
      </c>
      <c r="I3364" s="26" t="str">
        <f>IF(OR(E3364="",E3364="!!!",F3364="NEW"),"",INDEX(B3363:B$2,-1+SUMPRODUCT(MAX(ROW(E3363:E$2)*(E3364=E3363:E$2)))))</f>
        <v> </v>
      </c>
      <c r="J3364" s="26" t="str">
        <f>IF(OR(E3364="",E3364="!!!",F3364="NEW"),"",COUNTBLANK(OFFSET(A$1,,,SUMPRODUCT(MAX(ROW(E$2:E3364)*(E3364=E$2:E3364)))))-COUNTBLANK(OFFSET(A$1,,,SUMPRODUCT(MAX(ROW(E$1:E3363)*(E2=E$1:E3363))))))</f>
        <v> </v>
      </c>
      <c r="K3364" s="26" t="str">
        <f>IF(OR(E3364="",E3364="!!!",F3364="NEW"),"",INDEX(J$1:J3363,SUMPRODUCT(MAX(ROW(E$1:E3363)*(E3364=E$1:E3363)))))</f>
        <v> </v>
      </c>
      <c r="L3364" s="27"/>
    </row>
    <row r="3365" spans="1:12">
      <c r="A3365" s="20" t="s">
        <v>1156</v>
      </c>
      <c r="B3365" s="21" t="s">
        <v>1022</v>
      </c>
      <c r="C3365" s="21" t="s">
        <v>1017</v>
      </c>
      <c r="D3365" s="21" t="s">
        <v>1007</v>
      </c>
      <c r="E3365" s="22">
        <f>IF(D3365="?OLD","!!!","")</f>
        <v/>
      </c>
      <c r="F3365" s="23" t="str">
        <f>IF(OR(E3365="",E3365="!!!"),"",IF(NOT(ISNA(VLOOKUP(E3365,E$1:E3364,1,FALSE()))),"OLD",IF(AND(E3365&lt;&gt;"",E3365&lt;&gt;"!!!"),"NEW","")))</f>
        <v> </v>
      </c>
      <c r="G3365" s="24" t="str">
        <f>IF(OR(E3365="",E3365="!!!"),"",IF(OR(J3365=0,AND(J3365=1,K3365=1),AND(J3365=1,I3365="SBJ"),AND(J3365=1,I3365=0)),"?IN_FOCUS",IF(J3365&lt;=2,"?ACTIVATED",IF(J3365&lt;&gt;"","?FAMILIAR",IF(F3365="NEW",IF(ISNA(VLOOKUP(E3365,#REF!,1,FALSE())),"?TYPE_IDENTIFIABLE","?REFERENTIAL"),"_")))))</f>
        <v> </v>
      </c>
      <c r="H3365" s="25" t="str">
        <f>IF(J3365&lt;&gt;1,"",IF(I3365="SBJ","CB","?"))</f>
        <v> </v>
      </c>
      <c r="I3365" s="26" t="str">
        <f>IF(OR(E3365="",E3365="!!!",F3365="NEW"),"",INDEX(B3364:B$2,-1+SUMPRODUCT(MAX(ROW(E3364:E$2)*(E3365=E3364:E$2)))))</f>
        <v> </v>
      </c>
      <c r="J3365" s="26" t="str">
        <f>IF(OR(E3365="",E3365="!!!",F3365="NEW"),"",COUNTBLANK(OFFSET(A$1,,,SUMPRODUCT(MAX(ROW(E$2:E3365)*(E3365=E$2:E3365)))))-COUNTBLANK(OFFSET(A$1,,,SUMPRODUCT(MAX(ROW(E$1:E3364)*(E2=E$1:E3364))))))</f>
        <v> </v>
      </c>
      <c r="K3365" s="26" t="str">
        <f>IF(OR(E3365="",E3365="!!!",F3365="NEW"),"",INDEX(J$1:J3364,SUMPRODUCT(MAX(ROW(E$1:E3364)*(E3365=E$1:E3364)))))</f>
        <v> </v>
      </c>
      <c r="L3365" s="27"/>
    </row>
    <row r="3366" spans="1:12">
      <c r="A3366" s="20" t="s">
        <v>2022</v>
      </c>
      <c r="E3366" s="22">
        <f>IF(D3366="?OLD","!!!","")</f>
        <v/>
      </c>
      <c r="F3366" s="23" t="str">
        <f>IF(OR(E3366="",E3366="!!!"),"",IF(NOT(ISNA(VLOOKUP(E3366,E$1:E3365,1,FALSE()))),"OLD",IF(AND(E3366&lt;&gt;"",E3366&lt;&gt;"!!!"),"NEW","")))</f>
        <v> </v>
      </c>
      <c r="G3366" s="24" t="str">
        <f>IF(OR(E3366="",E3366="!!!"),"",IF(OR(J3366=0,AND(J3366=1,K3366=1),AND(J3366=1,I3366="SBJ"),AND(J3366=1,I3366=0)),"?IN_FOCUS",IF(J3366&lt;=2,"?ACTIVATED",IF(J3366&lt;&gt;"","?FAMILIAR",IF(F3366="NEW",IF(ISNA(VLOOKUP(E3366,#REF!,1,FALSE())),"?TYPE_IDENTIFIABLE","?REFERENTIAL"),"_")))))</f>
        <v> </v>
      </c>
      <c r="H3366" s="25" t="str">
        <f>IF(J3366&lt;&gt;1,"",IF(I3366="SBJ","CB","?"))</f>
        <v> </v>
      </c>
      <c r="I3366" s="26" t="str">
        <f>IF(OR(E3366="",E3366="!!!",F3366="NEW"),"",INDEX(B3365:B$2,-1+SUMPRODUCT(MAX(ROW(E3365:E$2)*(E3366=E3365:E$2)))))</f>
        <v> </v>
      </c>
      <c r="J3366" s="26" t="str">
        <f>IF(OR(E3366="",E3366="!!!",F3366="NEW"),"",COUNTBLANK(OFFSET(A$1,,,SUMPRODUCT(MAX(ROW(E$2:E3366)*(E3366=E$2:E3366)))))-COUNTBLANK(OFFSET(A$1,,,SUMPRODUCT(MAX(ROW(E$1:E3365)*(E2=E$1:E3365))))))</f>
        <v> </v>
      </c>
      <c r="K3366" s="26" t="str">
        <f>IF(OR(E3366="",E3366="!!!",F3366="NEW"),"",INDEX(J$1:J3365,SUMPRODUCT(MAX(ROW(E$1:E3365)*(E3366=E$1:E3365)))))</f>
        <v> </v>
      </c>
      <c r="L3366" s="27"/>
    </row>
    <row r="3367" spans="1:12">
      <c r="A3367" s="20" t="s">
        <v>1023</v>
      </c>
      <c r="E3367" s="22">
        <f>IF(D3367="?OLD","!!!","")</f>
        <v/>
      </c>
      <c r="F3367" s="23" t="str">
        <f>IF(OR(E3367="",E3367="!!!"),"",IF(NOT(ISNA(VLOOKUP(E3367,E$1:E3366,1,FALSE()))),"OLD",IF(AND(E3367&lt;&gt;"",E3367&lt;&gt;"!!!"),"NEW","")))</f>
        <v> </v>
      </c>
      <c r="G3367" s="24" t="str">
        <f>IF(OR(E3367="",E3367="!!!"),"",IF(OR(J3367=0,AND(J3367=1,K3367=1),AND(J3367=1,I3367="SBJ"),AND(J3367=1,I3367=0)),"?IN_FOCUS",IF(J3367&lt;=2,"?ACTIVATED",IF(J3367&lt;&gt;"","?FAMILIAR",IF(F3367="NEW",IF(ISNA(VLOOKUP(E3367,#REF!,1,FALSE())),"?TYPE_IDENTIFIABLE","?REFERENTIAL"),"_")))))</f>
        <v> </v>
      </c>
      <c r="H3367" s="25" t="str">
        <f>IF(J3367&lt;&gt;1,"",IF(I3367="SBJ","CB","?"))</f>
        <v> </v>
      </c>
      <c r="I3367" s="26" t="str">
        <f>IF(OR(E3367="",E3367="!!!",F3367="NEW"),"",INDEX(B3366:B$2,-1+SUMPRODUCT(MAX(ROW(E3366:E$2)*(E3367=E3366:E$2)))))</f>
        <v> </v>
      </c>
      <c r="J3367" s="26" t="str">
        <f>IF(OR(E3367="",E3367="!!!",F3367="NEW"),"",COUNTBLANK(OFFSET(A$1,,,SUMPRODUCT(MAX(ROW(E$2:E3367)*(E3367=E$2:E3367)))))-COUNTBLANK(OFFSET(A$1,,,SUMPRODUCT(MAX(ROW(E$1:E3366)*(E2=E$1:E3366))))))</f>
        <v> </v>
      </c>
      <c r="K3367" s="26" t="str">
        <f>IF(OR(E3367="",E3367="!!!",F3367="NEW"),"",INDEX(J$1:J3366,SUMPRODUCT(MAX(ROW(E$1:E3366)*(E3367=E$1:E3366)))))</f>
        <v> </v>
      </c>
      <c r="L3367" s="27"/>
    </row>
    <row r="3368" spans="1:12">
      <c r="A3368" s="20"/>
    </row>
    <row r="3369" spans="1:12">
      <c r="A3369" s="20" t="s">
        <v>2023</v>
      </c>
    </row>
    <row r="3370" spans="1:12">
      <c r="A3370" s="20" t="s">
        <v>2024</v>
      </c>
      <c r="E3370" s="22">
        <f>IF(D3370="?OLD","!!!","")</f>
        <v/>
      </c>
      <c r="F3370" s="23" t="str">
        <f>IF(OR(E3370="",E3370="!!!"),"",IF(NOT(ISNA(VLOOKUP(E3370,E$1:E3369,1,FALSE()))),"OLD",IF(AND(E3370&lt;&gt;"",E3370&lt;&gt;"!!!"),"NEW","")))</f>
        <v> </v>
      </c>
      <c r="G3370" s="24" t="str">
        <f>IF(OR(E3370="",E3370="!!!"),"",IF(OR(J3370=0,AND(J3370=1,K3370=1),AND(J3370=1,I3370="SBJ"),AND(J3370=1,I3370=0)),"?IN_FOCUS",IF(J3370&lt;=2,"?ACTIVATED",IF(J3370&lt;&gt;"","?FAMILIAR",IF(F3370="NEW",IF(ISNA(VLOOKUP(E3370,#REF!,1,FALSE())),"?TYPE_IDENTIFIABLE","?REFERENTIAL"),"_")))))</f>
        <v> </v>
      </c>
      <c r="H3370" s="25" t="str">
        <f>IF(J3370&lt;&gt;1,"",IF(I3370="SBJ","CB","?"))</f>
        <v> </v>
      </c>
      <c r="I3370" s="26" t="str">
        <f>IF(OR(E3370="",E3370="!!!",F3370="NEW"),"",INDEX(B3369:B$2,-1+SUMPRODUCT(MAX(ROW(E3369:E$2)*(E3370=E3369:E$2)))))</f>
        <v> </v>
      </c>
      <c r="J3370" s="26" t="str">
        <f>IF(OR(E3370="",E3370="!!!",F3370="NEW"),"",COUNTBLANK(OFFSET(A$1,,,SUMPRODUCT(MAX(ROW(E$2:E3370)*(E3370=E$2:E3370)))))-COUNTBLANK(OFFSET(A$1,,,SUMPRODUCT(MAX(ROW(E$1:E3369)*(E2=E$1:E3369))))))</f>
        <v> </v>
      </c>
      <c r="K3370" s="26" t="str">
        <f>IF(OR(E3370="",E3370="!!!",F3370="NEW"),"",INDEX(J$1:J3369,SUMPRODUCT(MAX(ROW(E$1:E3369)*(E3370=E$1:E3369)))))</f>
        <v> </v>
      </c>
      <c r="L3370" s="27"/>
    </row>
    <row r="3371" spans="1:12">
      <c r="A3371" s="20" t="s">
        <v>2025</v>
      </c>
      <c r="B3371" s="21" t="s">
        <v>1085</v>
      </c>
      <c r="C3371" s="21" t="s">
        <v>1013</v>
      </c>
      <c r="D3371" s="21" t="s">
        <v>1007</v>
      </c>
      <c r="E3371" s="22">
        <f>IF(D3371="?OLD","!!!","")</f>
        <v/>
      </c>
      <c r="F3371" s="23" t="str">
        <f>IF(OR(E3371="",E3371="!!!"),"",IF(NOT(ISNA(VLOOKUP(E3371,E$1:E3370,1,FALSE()))),"OLD",IF(AND(E3371&lt;&gt;"",E3371&lt;&gt;"!!!"),"NEW","")))</f>
        <v> </v>
      </c>
      <c r="G3371" s="24" t="str">
        <f>IF(OR(E3371="",E3371="!!!"),"",IF(OR(J3371=0,AND(J3371=1,K3371=1),AND(J3371=1,I3371="SBJ"),AND(J3371=1,I3371=0)),"?IN_FOCUS",IF(J3371&lt;=2,"?ACTIVATED",IF(J3371&lt;&gt;"","?FAMILIAR",IF(F3371="NEW",IF(ISNA(VLOOKUP(E3371,#REF!,1,FALSE())),"?TYPE_IDENTIFIABLE","?REFERENTIAL"),"_")))))</f>
        <v> </v>
      </c>
      <c r="H3371" s="25" t="str">
        <f>IF(J3371&lt;&gt;1,"",IF(I3371="SBJ","CB","?"))</f>
        <v> </v>
      </c>
      <c r="I3371" s="26" t="str">
        <f>IF(OR(E3371="",E3371="!!!",F3371="NEW"),"",INDEX(B3370:B$2,-1+SUMPRODUCT(MAX(ROW(E3370:E$2)*(E3371=E3370:E$2)))))</f>
        <v> </v>
      </c>
      <c r="J3371" s="26" t="str">
        <f>IF(OR(E3371="",E3371="!!!",F3371="NEW"),"",COUNTBLANK(OFFSET(A$1,,,SUMPRODUCT(MAX(ROW(E$2:E3371)*(E3371=E$2:E3371)))))-COUNTBLANK(OFFSET(A$1,,,SUMPRODUCT(MAX(ROW(E$1:E3370)*(E2=E$1:E3370))))))</f>
        <v> </v>
      </c>
      <c r="K3371" s="26" t="str">
        <f>IF(OR(E3371="",E3371="!!!",F3371="NEW"),"",INDEX(J$1:J3370,SUMPRODUCT(MAX(ROW(E$1:E3370)*(E3371=E$1:E3370)))))</f>
        <v> </v>
      </c>
      <c r="L3371" s="27"/>
    </row>
    <row r="3372" spans="1:12">
      <c r="A3372" s="20" t="s">
        <v>1014</v>
      </c>
      <c r="E3372" s="22">
        <f>IF(D3372="?OLD","!!!","")</f>
        <v/>
      </c>
      <c r="F3372" s="23" t="str">
        <f>IF(OR(E3372="",E3372="!!!"),"",IF(NOT(ISNA(VLOOKUP(E3372,E$1:E3371,1,FALSE()))),"OLD",IF(AND(E3372&lt;&gt;"",E3372&lt;&gt;"!!!"),"NEW","")))</f>
        <v> </v>
      </c>
      <c r="G3372" s="24" t="str">
        <f>IF(OR(E3372="",E3372="!!!"),"",IF(OR(J3372=0,AND(J3372=1,K3372=1),AND(J3372=1,I3372="SBJ"),AND(J3372=1,I3372=0)),"?IN_FOCUS",IF(J3372&lt;=2,"?ACTIVATED",IF(J3372&lt;&gt;"","?FAMILIAR",IF(F3372="NEW",IF(ISNA(VLOOKUP(E3372,#REF!,1,FALSE())),"?TYPE_IDENTIFIABLE","?REFERENTIAL"),"_")))))</f>
        <v> </v>
      </c>
      <c r="H3372" s="25" t="str">
        <f>IF(J3372&lt;&gt;1,"",IF(I3372="SBJ","CB","?"))</f>
        <v> </v>
      </c>
      <c r="I3372" s="26" t="str">
        <f>IF(OR(E3372="",E3372="!!!",F3372="NEW"),"",INDEX(B3371:B$2,-1+SUMPRODUCT(MAX(ROW(E3371:E$2)*(E3372=E3371:E$2)))))</f>
        <v> </v>
      </c>
      <c r="J3372" s="26" t="str">
        <f>IF(OR(E3372="",E3372="!!!",F3372="NEW"),"",COUNTBLANK(OFFSET(A$1,,,SUMPRODUCT(MAX(ROW(E$2:E3372)*(E3372=E$2:E3372)))))-COUNTBLANK(OFFSET(A$1,,,SUMPRODUCT(MAX(ROW(E$1:E3371)*(E2=E$1:E3371))))))</f>
        <v> </v>
      </c>
      <c r="K3372" s="26" t="str">
        <f>IF(OR(E3372="",E3372="!!!",F3372="NEW"),"",INDEX(J$1:J3371,SUMPRODUCT(MAX(ROW(E$1:E3371)*(E3372=E$1:E3371)))))</f>
        <v> </v>
      </c>
      <c r="L3372" s="27"/>
    </row>
    <row r="3373" spans="1:12">
      <c r="A3373" s="20" t="s">
        <v>2026</v>
      </c>
      <c r="B3373" s="21" t="s">
        <v>1022</v>
      </c>
      <c r="C3373" s="21" t="s">
        <v>1048</v>
      </c>
      <c r="E3373" s="22">
        <f>IF(D3373="?OLD","!!!","")</f>
        <v/>
      </c>
      <c r="F3373" s="23" t="str">
        <f>IF(OR(E3373="",E3373="!!!"),"",IF(NOT(ISNA(VLOOKUP(E3373,E$1:E3372,1,FALSE()))),"OLD",IF(AND(E3373&lt;&gt;"",E3373&lt;&gt;"!!!"),"NEW","")))</f>
        <v> </v>
      </c>
      <c r="G3373" s="24" t="str">
        <f>IF(OR(E3373="",E3373="!!!"),"",IF(OR(J3373=0,AND(J3373=1,K3373=1),AND(J3373=1,I3373="SBJ"),AND(J3373=1,I3373=0)),"?IN_FOCUS",IF(J3373&lt;=2,"?ACTIVATED",IF(J3373&lt;&gt;"","?FAMILIAR",IF(F3373="NEW",IF(ISNA(VLOOKUP(E3373,#REF!,1,FALSE())),"?TYPE_IDENTIFIABLE","?REFERENTIAL"),"_")))))</f>
        <v> </v>
      </c>
      <c r="H3373" s="25" t="str">
        <f>IF(J3373&lt;&gt;1,"",IF(I3373="SBJ","CB","?"))</f>
        <v> </v>
      </c>
      <c r="I3373" s="26" t="str">
        <f>IF(OR(E3373="",E3373="!!!",F3373="NEW"),"",INDEX(B3372:B$2,-1+SUMPRODUCT(MAX(ROW(E3372:E$2)*(E3373=E3372:E$2)))))</f>
        <v> </v>
      </c>
      <c r="J3373" s="26" t="str">
        <f>IF(OR(E3373="",E3373="!!!",F3373="NEW"),"",COUNTBLANK(OFFSET(A$1,,,SUMPRODUCT(MAX(ROW(E$2:E3373)*(E3373=E$2:E3373)))))-COUNTBLANK(OFFSET(A$1,,,SUMPRODUCT(MAX(ROW(E$1:E3372)*(E2=E$1:E3372))))))</f>
        <v> </v>
      </c>
      <c r="K3373" s="26" t="str">
        <f>IF(OR(E3373="",E3373="!!!",F3373="NEW"),"",INDEX(J$1:J3372,SUMPRODUCT(MAX(ROW(E$1:E3372)*(E3373=E$1:E3372)))))</f>
        <v> </v>
      </c>
      <c r="L3373" s="27"/>
    </row>
    <row r="3374" spans="1:12">
      <c r="A3374" s="20" t="s">
        <v>1065</v>
      </c>
      <c r="B3374" s="21" t="s">
        <v>1120</v>
      </c>
      <c r="E3374" s="22">
        <f>IF(D3374="?OLD","!!!","")</f>
        <v/>
      </c>
      <c r="F3374" s="23" t="str">
        <f>IF(OR(E3374="",E3374="!!!"),"",IF(NOT(ISNA(VLOOKUP(E3374,E$1:E3373,1,FALSE()))),"OLD",IF(AND(E3374&lt;&gt;"",E3374&lt;&gt;"!!!"),"NEW","")))</f>
        <v> </v>
      </c>
      <c r="G3374" s="24" t="str">
        <f>IF(OR(E3374="",E3374="!!!"),"",IF(OR(J3374=0,AND(J3374=1,K3374=1),AND(J3374=1,I3374="SBJ"),AND(J3374=1,I3374=0)),"?IN_FOCUS",IF(J3374&lt;=2,"?ACTIVATED",IF(J3374&lt;&gt;"","?FAMILIAR",IF(F3374="NEW",IF(ISNA(VLOOKUP(E3374,#REF!,1,FALSE())),"?TYPE_IDENTIFIABLE","?REFERENTIAL"),"_")))))</f>
        <v> </v>
      </c>
      <c r="H3374" s="25" t="str">
        <f>IF(J3374&lt;&gt;1,"",IF(I3374="SBJ","CB","?"))</f>
        <v> </v>
      </c>
      <c r="I3374" s="26" t="str">
        <f>IF(OR(E3374="",E3374="!!!",F3374="NEW"),"",INDEX(B3373:B$2,-1+SUMPRODUCT(MAX(ROW(E3373:E$2)*(E3374=E3373:E$2)))))</f>
        <v> </v>
      </c>
      <c r="J3374" s="26" t="str">
        <f>IF(OR(E3374="",E3374="!!!",F3374="NEW"),"",COUNTBLANK(OFFSET(A$1,,,SUMPRODUCT(MAX(ROW(E$2:E3374)*(E3374=E$2:E3374)))))-COUNTBLANK(OFFSET(A$1,,,SUMPRODUCT(MAX(ROW(E$1:E3373)*(E2=E$1:E3373))))))</f>
        <v> </v>
      </c>
      <c r="K3374" s="26" t="str">
        <f>IF(OR(E3374="",E3374="!!!",F3374="NEW"),"",INDEX(J$1:J3373,SUMPRODUCT(MAX(ROW(E$1:E3373)*(E3374=E$1:E3373)))))</f>
        <v> </v>
      </c>
      <c r="L3374" s="27"/>
    </row>
    <row r="3375" spans="1:12">
      <c r="A3375" s="20" t="s">
        <v>1030</v>
      </c>
      <c r="E3375" s="22">
        <f>IF(D3375="?OLD","!!!","")</f>
        <v/>
      </c>
      <c r="F3375" s="23" t="str">
        <f>IF(OR(E3375="",E3375="!!!"),"",IF(NOT(ISNA(VLOOKUP(E3375,E$1:E3374,1,FALSE()))),"OLD",IF(AND(E3375&lt;&gt;"",E3375&lt;&gt;"!!!"),"NEW","")))</f>
        <v> </v>
      </c>
      <c r="G3375" s="24" t="str">
        <f>IF(OR(E3375="",E3375="!!!"),"",IF(OR(J3375=0,AND(J3375=1,K3375=1),AND(J3375=1,I3375="SBJ"),AND(J3375=1,I3375=0)),"?IN_FOCUS",IF(J3375&lt;=2,"?ACTIVATED",IF(J3375&lt;&gt;"","?FAMILIAR",IF(F3375="NEW",IF(ISNA(VLOOKUP(E3375,#REF!,1,FALSE())),"?TYPE_IDENTIFIABLE","?REFERENTIAL"),"_")))))</f>
        <v> </v>
      </c>
      <c r="H3375" s="25" t="str">
        <f>IF(J3375&lt;&gt;1,"",IF(I3375="SBJ","CB","?"))</f>
        <v> </v>
      </c>
      <c r="I3375" s="26" t="str">
        <f>IF(OR(E3375="",E3375="!!!",F3375="NEW"),"",INDEX(B3374:B$2,-1+SUMPRODUCT(MAX(ROW(E3374:E$2)*(E3375=E3374:E$2)))))</f>
        <v> </v>
      </c>
      <c r="J3375" s="26" t="str">
        <f>IF(OR(E3375="",E3375="!!!",F3375="NEW"),"",COUNTBLANK(OFFSET(A$1,,,SUMPRODUCT(MAX(ROW(E$2:E3375)*(E3375=E$2:E3375)))))-COUNTBLANK(OFFSET(A$1,,,SUMPRODUCT(MAX(ROW(E$1:E3374)*(E2=E$1:E3374))))))</f>
        <v> </v>
      </c>
      <c r="K3375" s="26" t="str">
        <f>IF(OR(E3375="",E3375="!!!",F3375="NEW"),"",INDEX(J$1:J3374,SUMPRODUCT(MAX(ROW(E$1:E3374)*(E3375=E$1:E3374)))))</f>
        <v> </v>
      </c>
      <c r="L3375" s="27"/>
    </row>
    <row r="3376" spans="1:12">
      <c r="A3376" s="20" t="s">
        <v>1015</v>
      </c>
      <c r="B3376" s="21" t="s">
        <v>1035</v>
      </c>
      <c r="C3376" s="21" t="s">
        <v>1082</v>
      </c>
      <c r="D3376" s="21" t="s">
        <v>1007</v>
      </c>
      <c r="E3376" s="22">
        <f>IF(D3376="?OLD","!!!","")</f>
        <v/>
      </c>
      <c r="F3376" s="23" t="str">
        <f>IF(OR(E3376="",E3376="!!!"),"",IF(NOT(ISNA(VLOOKUP(E3376,E$1:E3375,1,FALSE()))),"OLD",IF(AND(E3376&lt;&gt;"",E3376&lt;&gt;"!!!"),"NEW","")))</f>
        <v> </v>
      </c>
      <c r="G3376" s="24" t="str">
        <f>IF(OR(E3376="",E3376="!!!"),"",IF(OR(J3376=0,AND(J3376=1,K3376=1),AND(J3376=1,I3376="SBJ"),AND(J3376=1,I3376=0)),"?IN_FOCUS",IF(J3376&lt;=2,"?ACTIVATED",IF(J3376&lt;&gt;"","?FAMILIAR",IF(F3376="NEW",IF(ISNA(VLOOKUP(E3376,#REF!,1,FALSE())),"?TYPE_IDENTIFIABLE","?REFERENTIAL"),"_")))))</f>
        <v> </v>
      </c>
      <c r="H3376" s="25" t="str">
        <f>IF(J3376&lt;&gt;1,"",IF(I3376="SBJ","CB","?"))</f>
        <v> </v>
      </c>
      <c r="I3376" s="26" t="str">
        <f>IF(OR(E3376="",E3376="!!!",F3376="NEW"),"",INDEX(B3375:B$2,-1+SUMPRODUCT(MAX(ROW(E3375:E$2)*(E3376=E3375:E$2)))))</f>
        <v> </v>
      </c>
      <c r="J3376" s="26" t="str">
        <f>IF(OR(E3376="",E3376="!!!",F3376="NEW"),"",COUNTBLANK(OFFSET(A$1,,,SUMPRODUCT(MAX(ROW(E$2:E3376)*(E3376=E$2:E3376)))))-COUNTBLANK(OFFSET(A$1,,,SUMPRODUCT(MAX(ROW(E$1:E3375)*(E2=E$1:E3375))))))</f>
        <v> </v>
      </c>
      <c r="K3376" s="26" t="str">
        <f>IF(OR(E3376="",E3376="!!!",F3376="NEW"),"",INDEX(J$1:J3375,SUMPRODUCT(MAX(ROW(E$1:E3375)*(E3376=E$1:E3375)))))</f>
        <v> </v>
      </c>
      <c r="L3376" s="27"/>
    </row>
    <row r="3377" spans="1:12">
      <c r="A3377" s="20" t="s">
        <v>2027</v>
      </c>
      <c r="E3377" s="22">
        <f>IF(D3377="?OLD","!!!","")</f>
        <v/>
      </c>
      <c r="F3377" s="23" t="str">
        <f>IF(OR(E3377="",E3377="!!!"),"",IF(NOT(ISNA(VLOOKUP(E3377,E$1:E3376,1,FALSE()))),"OLD",IF(AND(E3377&lt;&gt;"",E3377&lt;&gt;"!!!"),"NEW","")))</f>
        <v> </v>
      </c>
      <c r="G3377" s="24" t="str">
        <f>IF(OR(E3377="",E3377="!!!"),"",IF(OR(J3377=0,AND(J3377=1,K3377=1),AND(J3377=1,I3377="SBJ"),AND(J3377=1,I3377=0)),"?IN_FOCUS",IF(J3377&lt;=2,"?ACTIVATED",IF(J3377&lt;&gt;"","?FAMILIAR",IF(F3377="NEW",IF(ISNA(VLOOKUP(E3377,#REF!,1,FALSE())),"?TYPE_IDENTIFIABLE","?REFERENTIAL"),"_")))))</f>
        <v> </v>
      </c>
      <c r="H3377" s="25" t="str">
        <f>IF(J3377&lt;&gt;1,"",IF(I3377="SBJ","CB","?"))</f>
        <v> </v>
      </c>
      <c r="I3377" s="26" t="str">
        <f>IF(OR(E3377="",E3377="!!!",F3377="NEW"),"",INDEX(B3376:B$2,-1+SUMPRODUCT(MAX(ROW(E3376:E$2)*(E3377=E3376:E$2)))))</f>
        <v> </v>
      </c>
      <c r="J3377" s="26" t="str">
        <f>IF(OR(E3377="",E3377="!!!",F3377="NEW"),"",COUNTBLANK(OFFSET(A$1,,,SUMPRODUCT(MAX(ROW(E$2:E3377)*(E3377=E$2:E3377)))))-COUNTBLANK(OFFSET(A$1,,,SUMPRODUCT(MAX(ROW(E$1:E3376)*(E2=E$1:E3376))))))</f>
        <v> </v>
      </c>
      <c r="K3377" s="26" t="str">
        <f>IF(OR(E3377="",E3377="!!!",F3377="NEW"),"",INDEX(J$1:J3376,SUMPRODUCT(MAX(ROW(E$1:E3376)*(E3377=E$1:E3376)))))</f>
        <v> </v>
      </c>
      <c r="L3377" s="27"/>
    </row>
    <row r="3378" spans="1:12">
      <c r="A3378" s="20" t="s">
        <v>1023</v>
      </c>
      <c r="E3378" s="22">
        <f>IF(D3378="?OLD","!!!","")</f>
        <v/>
      </c>
      <c r="F3378" s="23" t="str">
        <f>IF(OR(E3378="",E3378="!!!"),"",IF(NOT(ISNA(VLOOKUP(E3378,E$1:E3377,1,FALSE()))),"OLD",IF(AND(E3378&lt;&gt;"",E3378&lt;&gt;"!!!"),"NEW","")))</f>
        <v> </v>
      </c>
      <c r="G3378" s="24" t="str">
        <f>IF(OR(E3378="",E3378="!!!"),"",IF(OR(J3378=0,AND(J3378=1,K3378=1),AND(J3378=1,I3378="SBJ"),AND(J3378=1,I3378=0)),"?IN_FOCUS",IF(J3378&lt;=2,"?ACTIVATED",IF(J3378&lt;&gt;"","?FAMILIAR",IF(F3378="NEW",IF(ISNA(VLOOKUP(E3378,#REF!,1,FALSE())),"?TYPE_IDENTIFIABLE","?REFERENTIAL"),"_")))))</f>
        <v> </v>
      </c>
      <c r="H3378" s="25" t="str">
        <f>IF(J3378&lt;&gt;1,"",IF(I3378="SBJ","CB","?"))</f>
        <v> </v>
      </c>
      <c r="I3378" s="26" t="str">
        <f>IF(OR(E3378="",E3378="!!!",F3378="NEW"),"",INDEX(B3377:B$2,-1+SUMPRODUCT(MAX(ROW(E3377:E$2)*(E3378=E3377:E$2)))))</f>
        <v> </v>
      </c>
      <c r="J3378" s="26" t="str">
        <f>IF(OR(E3378="",E3378="!!!",F3378="NEW"),"",COUNTBLANK(OFFSET(A$1,,,SUMPRODUCT(MAX(ROW(E$2:E3378)*(E3378=E$2:E3378)))))-COUNTBLANK(OFFSET(A$1,,,SUMPRODUCT(MAX(ROW(E$1:E3377)*(E2=E$1:E3377))))))</f>
        <v> </v>
      </c>
      <c r="K3378" s="26" t="str">
        <f>IF(OR(E3378="",E3378="!!!",F3378="NEW"),"",INDEX(J$1:J3377,SUMPRODUCT(MAX(ROW(E$1:E3377)*(E3378=E$1:E3377)))))</f>
        <v> </v>
      </c>
      <c r="L3378" s="27"/>
    </row>
    <row r="3379" spans="1:12">
      <c r="A3379" s="20"/>
    </row>
    <row r="3380" spans="1:12">
      <c r="A3380" s="20" t="s">
        <v>2028</v>
      </c>
    </row>
    <row r="3381" spans="1:12">
      <c r="A3381" s="20" t="s">
        <v>1153</v>
      </c>
      <c r="E3381" s="22">
        <f>IF(D3381="?OLD","!!!","")</f>
        <v/>
      </c>
      <c r="F3381" s="23" t="str">
        <f>IF(OR(E3381="",E3381="!!!"),"",IF(NOT(ISNA(VLOOKUP(E3381,E$1:E3380,1,FALSE()))),"OLD",IF(AND(E3381&lt;&gt;"",E3381&lt;&gt;"!!!"),"NEW","")))</f>
        <v> </v>
      </c>
      <c r="G3381" s="24" t="str">
        <f>IF(OR(E3381="",E3381="!!!"),"",IF(OR(J3381=0,AND(J3381=1,K3381=1),AND(J3381=1,I3381="SBJ"),AND(J3381=1,I3381=0)),"?IN_FOCUS",IF(J3381&lt;=2,"?ACTIVATED",IF(J3381&lt;&gt;"","?FAMILIAR",IF(F3381="NEW",IF(ISNA(VLOOKUP(E3381,#REF!,1,FALSE())),"?TYPE_IDENTIFIABLE","?REFERENTIAL"),"_")))))</f>
        <v> </v>
      </c>
      <c r="H3381" s="25" t="str">
        <f>IF(J3381&lt;&gt;1,"",IF(I3381="SBJ","CB","?"))</f>
        <v> </v>
      </c>
      <c r="I3381" s="26" t="str">
        <f>IF(OR(E3381="",E3381="!!!",F3381="NEW"),"",INDEX(B3380:B$2,-1+SUMPRODUCT(MAX(ROW(E3380:E$2)*(E3381=E3380:E$2)))))</f>
        <v> </v>
      </c>
      <c r="J3381" s="26" t="str">
        <f>IF(OR(E3381="",E3381="!!!",F3381="NEW"),"",COUNTBLANK(OFFSET(A$1,,,SUMPRODUCT(MAX(ROW(E$2:E3381)*(E3381=E$2:E3381)))))-COUNTBLANK(OFFSET(A$1,,,SUMPRODUCT(MAX(ROW(E$1:E3380)*(E2=E$1:E3380))))))</f>
        <v> </v>
      </c>
      <c r="K3381" s="26" t="str">
        <f>IF(OR(E3381="",E3381="!!!",F3381="NEW"),"",INDEX(J$1:J3380,SUMPRODUCT(MAX(ROW(E$1:E3380)*(E3381=E$1:E3380)))))</f>
        <v> </v>
      </c>
      <c r="L3381" s="27"/>
    </row>
    <row r="3382" spans="1:12">
      <c r="A3382" s="20" t="s">
        <v>1669</v>
      </c>
      <c r="B3382" s="21" t="s">
        <v>1050</v>
      </c>
      <c r="C3382" s="21" t="s">
        <v>1082</v>
      </c>
      <c r="D3382" s="21" t="s">
        <v>1007</v>
      </c>
      <c r="E3382" s="22">
        <f>IF(D3382="?OLD","!!!","")</f>
        <v/>
      </c>
      <c r="F3382" s="23" t="str">
        <f>IF(OR(E3382="",E3382="!!!"),"",IF(NOT(ISNA(VLOOKUP(E3382,E$1:E3381,1,FALSE()))),"OLD",IF(AND(E3382&lt;&gt;"",E3382&lt;&gt;"!!!"),"NEW","")))</f>
        <v> </v>
      </c>
      <c r="G3382" s="24" t="str">
        <f>IF(OR(E3382="",E3382="!!!"),"",IF(OR(J3382=0,AND(J3382=1,K3382=1),AND(J3382=1,I3382="SBJ"),AND(J3382=1,I3382=0)),"?IN_FOCUS",IF(J3382&lt;=2,"?ACTIVATED",IF(J3382&lt;&gt;"","?FAMILIAR",IF(F3382="NEW",IF(ISNA(VLOOKUP(E3382,#REF!,1,FALSE())),"?TYPE_IDENTIFIABLE","?REFERENTIAL"),"_")))))</f>
        <v> </v>
      </c>
      <c r="H3382" s="25" t="str">
        <f>IF(J3382&lt;&gt;1,"",IF(I3382="SBJ","CB","?"))</f>
        <v> </v>
      </c>
      <c r="I3382" s="26" t="str">
        <f>IF(OR(E3382="",E3382="!!!",F3382="NEW"),"",INDEX(B3381:B$2,-1+SUMPRODUCT(MAX(ROW(E3381:E$2)*(E3382=E3381:E$2)))))</f>
        <v> </v>
      </c>
      <c r="J3382" s="26" t="str">
        <f>IF(OR(E3382="",E3382="!!!",F3382="NEW"),"",COUNTBLANK(OFFSET(A$1,,,SUMPRODUCT(MAX(ROW(E$2:E3382)*(E3382=E$2:E3382)))))-COUNTBLANK(OFFSET(A$1,,,SUMPRODUCT(MAX(ROW(E$1:E3381)*(E2=E$1:E3381))))))</f>
        <v> </v>
      </c>
      <c r="K3382" s="26" t="str">
        <f>IF(OR(E3382="",E3382="!!!",F3382="NEW"),"",INDEX(J$1:J3381,SUMPRODUCT(MAX(ROW(E$1:E3381)*(E3382=E$1:E3381)))))</f>
        <v> </v>
      </c>
      <c r="L3382" s="27"/>
    </row>
    <row r="3383" spans="1:12">
      <c r="A3383" s="20" t="s">
        <v>2029</v>
      </c>
      <c r="E3383" s="22">
        <f>IF(D3383="?OLD","!!!","")</f>
        <v/>
      </c>
      <c r="F3383" s="23" t="str">
        <f>IF(OR(E3383="",E3383="!!!"),"",IF(NOT(ISNA(VLOOKUP(E3383,E$1:E3382,1,FALSE()))),"OLD",IF(AND(E3383&lt;&gt;"",E3383&lt;&gt;"!!!"),"NEW","")))</f>
        <v> </v>
      </c>
      <c r="G3383" s="24" t="str">
        <f>IF(OR(E3383="",E3383="!!!"),"",IF(OR(J3383=0,AND(J3383=1,K3383=1),AND(J3383=1,I3383="SBJ"),AND(J3383=1,I3383=0)),"?IN_FOCUS",IF(J3383&lt;=2,"?ACTIVATED",IF(J3383&lt;&gt;"","?FAMILIAR",IF(F3383="NEW",IF(ISNA(VLOOKUP(E3383,#REF!,1,FALSE())),"?TYPE_IDENTIFIABLE","?REFERENTIAL"),"_")))))</f>
        <v> </v>
      </c>
      <c r="H3383" s="25" t="str">
        <f>IF(J3383&lt;&gt;1,"",IF(I3383="SBJ","CB","?"))</f>
        <v> </v>
      </c>
      <c r="I3383" s="26" t="str">
        <f>IF(OR(E3383="",E3383="!!!",F3383="NEW"),"",INDEX(B3382:B$2,-1+SUMPRODUCT(MAX(ROW(E3382:E$2)*(E3383=E3382:E$2)))))</f>
        <v> </v>
      </c>
      <c r="J3383" s="26" t="str">
        <f>IF(OR(E3383="",E3383="!!!",F3383="NEW"),"",COUNTBLANK(OFFSET(A$1,,,SUMPRODUCT(MAX(ROW(E$2:E3383)*(E3383=E$2:E3383)))))-COUNTBLANK(OFFSET(A$1,,,SUMPRODUCT(MAX(ROW(E$1:E3382)*(E2=E$1:E3382))))))</f>
        <v> </v>
      </c>
      <c r="K3383" s="26" t="str">
        <f>IF(OR(E3383="",E3383="!!!",F3383="NEW"),"",INDEX(J$1:J3382,SUMPRODUCT(MAX(ROW(E$1:E3382)*(E3383=E$1:E3382)))))</f>
        <v> </v>
      </c>
      <c r="L3383" s="27"/>
    </row>
    <row r="3384" spans="1:12">
      <c r="A3384" s="20" t="s">
        <v>1273</v>
      </c>
      <c r="E3384" s="22">
        <f>IF(D3384="?OLD","!!!","")</f>
        <v/>
      </c>
      <c r="F3384" s="23" t="str">
        <f>IF(OR(E3384="",E3384="!!!"),"",IF(NOT(ISNA(VLOOKUP(E3384,E$1:E3383,1,FALSE()))),"OLD",IF(AND(E3384&lt;&gt;"",E3384&lt;&gt;"!!!"),"NEW","")))</f>
        <v> </v>
      </c>
      <c r="G3384" s="24" t="str">
        <f>IF(OR(E3384="",E3384="!!!"),"",IF(OR(J3384=0,AND(J3384=1,K3384=1),AND(J3384=1,I3384="SBJ"),AND(J3384=1,I3384=0)),"?IN_FOCUS",IF(J3384&lt;=2,"?ACTIVATED",IF(J3384&lt;&gt;"","?FAMILIAR",IF(F3384="NEW",IF(ISNA(VLOOKUP(E3384,#REF!,1,FALSE())),"?TYPE_IDENTIFIABLE","?REFERENTIAL"),"_")))))</f>
        <v> </v>
      </c>
      <c r="H3384" s="25" t="str">
        <f>IF(J3384&lt;&gt;1,"",IF(I3384="SBJ","CB","?"))</f>
        <v> </v>
      </c>
      <c r="I3384" s="26" t="str">
        <f>IF(OR(E3384="",E3384="!!!",F3384="NEW"),"",INDEX(B3383:B$2,-1+SUMPRODUCT(MAX(ROW(E3383:E$2)*(E3384=E3383:E$2)))))</f>
        <v> </v>
      </c>
      <c r="J3384" s="26" t="str">
        <f>IF(OR(E3384="",E3384="!!!",F3384="NEW"),"",COUNTBLANK(OFFSET(A$1,,,SUMPRODUCT(MAX(ROW(E$2:E3384)*(E3384=E$2:E3384)))))-COUNTBLANK(OFFSET(A$1,,,SUMPRODUCT(MAX(ROW(E$1:E3383)*(E2=E$1:E3383))))))</f>
        <v> </v>
      </c>
      <c r="K3384" s="26" t="str">
        <f>IF(OR(E3384="",E3384="!!!",F3384="NEW"),"",INDEX(J$1:J3383,SUMPRODUCT(MAX(ROW(E$1:E3383)*(E3384=E$1:E3383)))))</f>
        <v> </v>
      </c>
      <c r="L3384" s="27"/>
    </row>
    <row r="3385" spans="1:12">
      <c r="A3385" s="20" t="s">
        <v>2025</v>
      </c>
      <c r="B3385" s="21" t="s">
        <v>1085</v>
      </c>
      <c r="C3385" s="21" t="s">
        <v>1041</v>
      </c>
      <c r="D3385" s="21" t="s">
        <v>1007</v>
      </c>
      <c r="E3385" s="22">
        <f>IF(D3385="?OLD","!!!","")</f>
        <v/>
      </c>
      <c r="F3385" s="23" t="str">
        <f>IF(OR(E3385="",E3385="!!!"),"",IF(NOT(ISNA(VLOOKUP(E3385,E$1:E3384,1,FALSE()))),"OLD",IF(AND(E3385&lt;&gt;"",E3385&lt;&gt;"!!!"),"NEW","")))</f>
        <v> </v>
      </c>
      <c r="G3385" s="24" t="str">
        <f>IF(OR(E3385="",E3385="!!!"),"",IF(OR(J3385=0,AND(J3385=1,K3385=1),AND(J3385=1,I3385="SBJ"),AND(J3385=1,I3385=0)),"?IN_FOCUS",IF(J3385&lt;=2,"?ACTIVATED",IF(J3385&lt;&gt;"","?FAMILIAR",IF(F3385="NEW",IF(ISNA(VLOOKUP(E3385,#REF!,1,FALSE())),"?TYPE_IDENTIFIABLE","?REFERENTIAL"),"_")))))</f>
        <v> </v>
      </c>
      <c r="H3385" s="25" t="str">
        <f>IF(J3385&lt;&gt;1,"",IF(I3385="SBJ","CB","?"))</f>
        <v> </v>
      </c>
      <c r="I3385" s="26" t="str">
        <f>IF(OR(E3385="",E3385="!!!",F3385="NEW"),"",INDEX(B3384:B$2,-1+SUMPRODUCT(MAX(ROW(E3384:E$2)*(E3385=E3384:E$2)))))</f>
        <v> </v>
      </c>
      <c r="J3385" s="26" t="str">
        <f>IF(OR(E3385="",E3385="!!!",F3385="NEW"),"",COUNTBLANK(OFFSET(A$1,,,SUMPRODUCT(MAX(ROW(E$2:E3385)*(E3385=E$2:E3385)))))-COUNTBLANK(OFFSET(A$1,,,SUMPRODUCT(MAX(ROW(E$1:E3384)*(E2=E$1:E3384))))))</f>
        <v> </v>
      </c>
      <c r="K3385" s="26" t="str">
        <f>IF(OR(E3385="",E3385="!!!",F3385="NEW"),"",INDEX(J$1:J3384,SUMPRODUCT(MAX(ROW(E$1:E3384)*(E3385=E$1:E3384)))))</f>
        <v> </v>
      </c>
      <c r="L3385" s="27"/>
    </row>
    <row r="3386" spans="1:12">
      <c r="A3386" s="20" t="s">
        <v>2030</v>
      </c>
      <c r="E3386" s="22">
        <f>IF(D3386="?OLD","!!!","")</f>
        <v/>
      </c>
      <c r="F3386" s="23" t="str">
        <f>IF(OR(E3386="",E3386="!!!"),"",IF(NOT(ISNA(VLOOKUP(E3386,E$1:E3385,1,FALSE()))),"OLD",IF(AND(E3386&lt;&gt;"",E3386&lt;&gt;"!!!"),"NEW","")))</f>
        <v> </v>
      </c>
      <c r="G3386" s="24" t="str">
        <f>IF(OR(E3386="",E3386="!!!"),"",IF(OR(J3386=0,AND(J3386=1,K3386=1),AND(J3386=1,I3386="SBJ"),AND(J3386=1,I3386=0)),"?IN_FOCUS",IF(J3386&lt;=2,"?ACTIVATED",IF(J3386&lt;&gt;"","?FAMILIAR",IF(F3386="NEW",IF(ISNA(VLOOKUP(E3386,#REF!,1,FALSE())),"?TYPE_IDENTIFIABLE","?REFERENTIAL"),"_")))))</f>
        <v> </v>
      </c>
      <c r="H3386" s="25" t="str">
        <f>IF(J3386&lt;&gt;1,"",IF(I3386="SBJ","CB","?"))</f>
        <v> </v>
      </c>
      <c r="I3386" s="26" t="str">
        <f>IF(OR(E3386="",E3386="!!!",F3386="NEW"),"",INDEX(B3385:B$2,-1+SUMPRODUCT(MAX(ROW(E3385:E$2)*(E3386=E3385:E$2)))))</f>
        <v> </v>
      </c>
      <c r="J3386" s="26" t="str">
        <f>IF(OR(E3386="",E3386="!!!",F3386="NEW"),"",COUNTBLANK(OFFSET(A$1,,,SUMPRODUCT(MAX(ROW(E$2:E3386)*(E3386=E$2:E3386)))))-COUNTBLANK(OFFSET(A$1,,,SUMPRODUCT(MAX(ROW(E$1:E3385)*(E2=E$1:E3385))))))</f>
        <v> </v>
      </c>
      <c r="K3386" s="26" t="str">
        <f>IF(OR(E3386="",E3386="!!!",F3386="NEW"),"",INDEX(J$1:J3385,SUMPRODUCT(MAX(ROW(E$1:E3385)*(E3386=E$1:E3385)))))</f>
        <v> </v>
      </c>
      <c r="L3386" s="27"/>
    </row>
    <row r="3387" spans="1:12">
      <c r="A3387" s="20" t="s">
        <v>1027</v>
      </c>
      <c r="E3387" s="22">
        <f>IF(D3387="?OLD","!!!","")</f>
        <v/>
      </c>
      <c r="F3387" s="23" t="str">
        <f>IF(OR(E3387="",E3387="!!!"),"",IF(NOT(ISNA(VLOOKUP(E3387,E$1:E3386,1,FALSE()))),"OLD",IF(AND(E3387&lt;&gt;"",E3387&lt;&gt;"!!!"),"NEW","")))</f>
        <v> </v>
      </c>
      <c r="G3387" s="24" t="str">
        <f>IF(OR(E3387="",E3387="!!!"),"",IF(OR(J3387=0,AND(J3387=1,K3387=1),AND(J3387=1,I3387="SBJ"),AND(J3387=1,I3387=0)),"?IN_FOCUS",IF(J3387&lt;=2,"?ACTIVATED",IF(J3387&lt;&gt;"","?FAMILIAR",IF(F3387="NEW",IF(ISNA(VLOOKUP(E3387,#REF!,1,FALSE())),"?TYPE_IDENTIFIABLE","?REFERENTIAL"),"_")))))</f>
        <v> </v>
      </c>
      <c r="H3387" s="25" t="str">
        <f>IF(J3387&lt;&gt;1,"",IF(I3387="SBJ","CB","?"))</f>
        <v> </v>
      </c>
      <c r="I3387" s="26" t="str">
        <f>IF(OR(E3387="",E3387="!!!",F3387="NEW"),"",INDEX(B3386:B$2,-1+SUMPRODUCT(MAX(ROW(E3386:E$2)*(E3387=E3386:E$2)))))</f>
        <v> </v>
      </c>
      <c r="J3387" s="26" t="str">
        <f>IF(OR(E3387="",E3387="!!!",F3387="NEW"),"",COUNTBLANK(OFFSET(A$1,,,SUMPRODUCT(MAX(ROW(E$2:E3387)*(E3387=E$2:E3387)))))-COUNTBLANK(OFFSET(A$1,,,SUMPRODUCT(MAX(ROW(E$1:E3386)*(E2=E$1:E3386))))))</f>
        <v> </v>
      </c>
      <c r="K3387" s="26" t="str">
        <f>IF(OR(E3387="",E3387="!!!",F3387="NEW"),"",INDEX(J$1:J3386,SUMPRODUCT(MAX(ROW(E$1:E3386)*(E3387=E$1:E3386)))))</f>
        <v> </v>
      </c>
      <c r="L3387" s="27"/>
    </row>
    <row r="3388" spans="1:12">
      <c r="A3388" s="20" t="s">
        <v>2031</v>
      </c>
      <c r="B3388" s="21" t="s">
        <v>1029</v>
      </c>
      <c r="C3388" s="21" t="s">
        <v>1017</v>
      </c>
      <c r="D3388" s="21" t="s">
        <v>1007</v>
      </c>
      <c r="E3388" s="22">
        <f>IF(D3388="?OLD","!!!","")</f>
        <v/>
      </c>
      <c r="F3388" s="23" t="str">
        <f>IF(OR(E3388="",E3388="!!!"),"",IF(NOT(ISNA(VLOOKUP(E3388,E$1:E3387,1,FALSE()))),"OLD",IF(AND(E3388&lt;&gt;"",E3388&lt;&gt;"!!!"),"NEW","")))</f>
        <v> </v>
      </c>
      <c r="G3388" s="24" t="str">
        <f>IF(OR(E3388="",E3388="!!!"),"",IF(OR(J3388=0,AND(J3388=1,K3388=1),AND(J3388=1,I3388="SBJ"),AND(J3388=1,I3388=0)),"?IN_FOCUS",IF(J3388&lt;=2,"?ACTIVATED",IF(J3388&lt;&gt;"","?FAMILIAR",IF(F3388="NEW",IF(ISNA(VLOOKUP(E3388,#REF!,1,FALSE())),"?TYPE_IDENTIFIABLE","?REFERENTIAL"),"_")))))</f>
        <v> </v>
      </c>
      <c r="H3388" s="25" t="str">
        <f>IF(J3388&lt;&gt;1,"",IF(I3388="SBJ","CB","?"))</f>
        <v> </v>
      </c>
      <c r="I3388" s="26" t="str">
        <f>IF(OR(E3388="",E3388="!!!",F3388="NEW"),"",INDEX(B3387:B$2,-1+SUMPRODUCT(MAX(ROW(E3387:E$2)*(E3388=E3387:E$2)))))</f>
        <v> </v>
      </c>
      <c r="J3388" s="26" t="str">
        <f>IF(OR(E3388="",E3388="!!!",F3388="NEW"),"",COUNTBLANK(OFFSET(A$1,,,SUMPRODUCT(MAX(ROW(E$2:E3388)*(E3388=E$2:E3388)))))-COUNTBLANK(OFFSET(A$1,,,SUMPRODUCT(MAX(ROW(E$1:E3387)*(E2=E$1:E3387))))))</f>
        <v> </v>
      </c>
      <c r="K3388" s="26" t="str">
        <f>IF(OR(E3388="",E3388="!!!",F3388="NEW"),"",INDEX(J$1:J3387,SUMPRODUCT(MAX(ROW(E$1:E3387)*(E3388=E$1:E3387)))))</f>
        <v> </v>
      </c>
      <c r="L3388" s="27"/>
    </row>
    <row r="3389" spans="1:12">
      <c r="A3389" s="20" t="s">
        <v>1018</v>
      </c>
      <c r="E3389" s="22">
        <f>IF(D3389="?OLD","!!!","")</f>
        <v/>
      </c>
      <c r="F3389" s="23" t="str">
        <f>IF(OR(E3389="",E3389="!!!"),"",IF(NOT(ISNA(VLOOKUP(E3389,E$1:E3388,1,FALSE()))),"OLD",IF(AND(E3389&lt;&gt;"",E3389&lt;&gt;"!!!"),"NEW","")))</f>
        <v> </v>
      </c>
      <c r="G3389" s="24" t="str">
        <f>IF(OR(E3389="",E3389="!!!"),"",IF(OR(J3389=0,AND(J3389=1,K3389=1),AND(J3389=1,I3389="SBJ"),AND(J3389=1,I3389=0)),"?IN_FOCUS",IF(J3389&lt;=2,"?ACTIVATED",IF(J3389&lt;&gt;"","?FAMILIAR",IF(F3389="NEW",IF(ISNA(VLOOKUP(E3389,#REF!,1,FALSE())),"?TYPE_IDENTIFIABLE","?REFERENTIAL"),"_")))))</f>
        <v> </v>
      </c>
      <c r="H3389" s="25" t="str">
        <f>IF(J3389&lt;&gt;1,"",IF(I3389="SBJ","CB","?"))</f>
        <v> </v>
      </c>
      <c r="I3389" s="26" t="str">
        <f>IF(OR(E3389="",E3389="!!!",F3389="NEW"),"",INDEX(B3388:B$2,-1+SUMPRODUCT(MAX(ROW(E3388:E$2)*(E3389=E3388:E$2)))))</f>
        <v> </v>
      </c>
      <c r="J3389" s="26" t="str">
        <f>IF(OR(E3389="",E3389="!!!",F3389="NEW"),"",COUNTBLANK(OFFSET(A$1,,,SUMPRODUCT(MAX(ROW(E$2:E3389)*(E3389=E$2:E3389)))))-COUNTBLANK(OFFSET(A$1,,,SUMPRODUCT(MAX(ROW(E$1:E3388)*(E2=E$1:E3388))))))</f>
        <v> </v>
      </c>
      <c r="K3389" s="26" t="str">
        <f>IF(OR(E3389="",E3389="!!!",F3389="NEW"),"",INDEX(J$1:J3388,SUMPRODUCT(MAX(ROW(E$1:E3388)*(E3389=E$1:E3388)))))</f>
        <v> </v>
      </c>
      <c r="L3389" s="27"/>
    </row>
    <row r="3390" spans="1:12">
      <c r="A3390" s="20" t="s">
        <v>1020</v>
      </c>
      <c r="E3390" s="22">
        <f>IF(D3390="?OLD","!!!","")</f>
        <v/>
      </c>
      <c r="F3390" s="23" t="str">
        <f>IF(OR(E3390="",E3390="!!!"),"",IF(NOT(ISNA(VLOOKUP(E3390,E$1:E3389,1,FALSE()))),"OLD",IF(AND(E3390&lt;&gt;"",E3390&lt;&gt;"!!!"),"NEW","")))</f>
        <v> </v>
      </c>
      <c r="G3390" s="24" t="str">
        <f>IF(OR(E3390="",E3390="!!!"),"",IF(OR(J3390=0,AND(J3390=1,K3390=1),AND(J3390=1,I3390="SBJ"),AND(J3390=1,I3390=0)),"?IN_FOCUS",IF(J3390&lt;=2,"?ACTIVATED",IF(J3390&lt;&gt;"","?FAMILIAR",IF(F3390="NEW",IF(ISNA(VLOOKUP(E3390,#REF!,1,FALSE())),"?TYPE_IDENTIFIABLE","?REFERENTIAL"),"_")))))</f>
        <v> </v>
      </c>
      <c r="H3390" s="25" t="str">
        <f>IF(J3390&lt;&gt;1,"",IF(I3390="SBJ","CB","?"))</f>
        <v> </v>
      </c>
      <c r="I3390" s="26" t="str">
        <f>IF(OR(E3390="",E3390="!!!",F3390="NEW"),"",INDEX(B3389:B$2,-1+SUMPRODUCT(MAX(ROW(E3389:E$2)*(E3390=E3389:E$2)))))</f>
        <v> </v>
      </c>
      <c r="J3390" s="26" t="str">
        <f>IF(OR(E3390="",E3390="!!!",F3390="NEW"),"",COUNTBLANK(OFFSET(A$1,,,SUMPRODUCT(MAX(ROW(E$2:E3390)*(E3390=E$2:E3390)))))-COUNTBLANK(OFFSET(A$1,,,SUMPRODUCT(MAX(ROW(E$1:E3389)*(E2=E$1:E3389))))))</f>
        <v> </v>
      </c>
      <c r="K3390" s="26" t="str">
        <f>IF(OR(E3390="",E3390="!!!",F3390="NEW"),"",INDEX(J$1:J3389,SUMPRODUCT(MAX(ROW(E$1:E3389)*(E3390=E$1:E3389)))))</f>
        <v> </v>
      </c>
      <c r="L3390" s="27"/>
    </row>
    <row r="3391" spans="1:12">
      <c r="A3391" s="20" t="s">
        <v>1339</v>
      </c>
      <c r="B3391" s="21" t="s">
        <v>1033</v>
      </c>
      <c r="C3391" s="21" t="s">
        <v>1017</v>
      </c>
      <c r="D3391" s="21" t="s">
        <v>1007</v>
      </c>
      <c r="E3391" s="22">
        <f>IF(D3391="?OLD","!!!","")</f>
        <v/>
      </c>
      <c r="F3391" s="23" t="str">
        <f>IF(OR(E3391="",E3391="!!!"),"",IF(NOT(ISNA(VLOOKUP(E3391,E$1:E3390,1,FALSE()))),"OLD",IF(AND(E3391&lt;&gt;"",E3391&lt;&gt;"!!!"),"NEW","")))</f>
        <v> </v>
      </c>
      <c r="G3391" s="24" t="str">
        <f>IF(OR(E3391="",E3391="!!!"),"",IF(OR(J3391=0,AND(J3391=1,K3391=1),AND(J3391=1,I3391="SBJ"),AND(J3391=1,I3391=0)),"?IN_FOCUS",IF(J3391&lt;=2,"?ACTIVATED",IF(J3391&lt;&gt;"","?FAMILIAR",IF(F3391="NEW",IF(ISNA(VLOOKUP(E3391,#REF!,1,FALSE())),"?TYPE_IDENTIFIABLE","?REFERENTIAL"),"_")))))</f>
        <v> </v>
      </c>
      <c r="H3391" s="25" t="str">
        <f>IF(J3391&lt;&gt;1,"",IF(I3391="SBJ","CB","?"))</f>
        <v> </v>
      </c>
      <c r="I3391" s="26" t="str">
        <f>IF(OR(E3391="",E3391="!!!",F3391="NEW"),"",INDEX(B3390:B$2,-1+SUMPRODUCT(MAX(ROW(E3390:E$2)*(E3391=E3390:E$2)))))</f>
        <v> </v>
      </c>
      <c r="J3391" s="26" t="str">
        <f>IF(OR(E3391="",E3391="!!!",F3391="NEW"),"",COUNTBLANK(OFFSET(A$1,,,SUMPRODUCT(MAX(ROW(E$2:E3391)*(E3391=E$2:E3391)))))-COUNTBLANK(OFFSET(A$1,,,SUMPRODUCT(MAX(ROW(E$1:E3390)*(E2=E$1:E3390))))))</f>
        <v> </v>
      </c>
      <c r="K3391" s="26" t="str">
        <f>IF(OR(E3391="",E3391="!!!",F3391="NEW"),"",INDEX(J$1:J3390,SUMPRODUCT(MAX(ROW(E$1:E3390)*(E3391=E$1:E3390)))))</f>
        <v> </v>
      </c>
      <c r="L3391" s="27"/>
    </row>
    <row r="3392" spans="1:12">
      <c r="A3392" s="20" t="s">
        <v>1018</v>
      </c>
      <c r="E3392" s="22">
        <f>IF(D3392="?OLD","!!!","")</f>
        <v/>
      </c>
      <c r="F3392" s="23" t="str">
        <f>IF(OR(E3392="",E3392="!!!"),"",IF(NOT(ISNA(VLOOKUP(E3392,E$1:E3391,1,FALSE()))),"OLD",IF(AND(E3392&lt;&gt;"",E3392&lt;&gt;"!!!"),"NEW","")))</f>
        <v> </v>
      </c>
      <c r="G3392" s="24" t="str">
        <f>IF(OR(E3392="",E3392="!!!"),"",IF(OR(J3392=0,AND(J3392=1,K3392=1),AND(J3392=1,I3392="SBJ"),AND(J3392=1,I3392=0)),"?IN_FOCUS",IF(J3392&lt;=2,"?ACTIVATED",IF(J3392&lt;&gt;"","?FAMILIAR",IF(F3392="NEW",IF(ISNA(VLOOKUP(E3392,#REF!,1,FALSE())),"?TYPE_IDENTIFIABLE","?REFERENTIAL"),"_")))))</f>
        <v> </v>
      </c>
      <c r="H3392" s="25" t="str">
        <f>IF(J3392&lt;&gt;1,"",IF(I3392="SBJ","CB","?"))</f>
        <v> </v>
      </c>
      <c r="I3392" s="26" t="str">
        <f>IF(OR(E3392="",E3392="!!!",F3392="NEW"),"",INDEX(B3391:B$2,-1+SUMPRODUCT(MAX(ROW(E3391:E$2)*(E3392=E3391:E$2)))))</f>
        <v> </v>
      </c>
      <c r="J3392" s="26" t="str">
        <f>IF(OR(E3392="",E3392="!!!",F3392="NEW"),"",COUNTBLANK(OFFSET(A$1,,,SUMPRODUCT(MAX(ROW(E$2:E3392)*(E3392=E$2:E3392)))))-COUNTBLANK(OFFSET(A$1,,,SUMPRODUCT(MAX(ROW(E$1:E3391)*(E2=E$1:E3391))))))</f>
        <v> </v>
      </c>
      <c r="K3392" s="26" t="str">
        <f>IF(OR(E3392="",E3392="!!!",F3392="NEW"),"",INDEX(J$1:J3391,SUMPRODUCT(MAX(ROW(E$1:E3391)*(E3392=E$1:E3391)))))</f>
        <v> </v>
      </c>
      <c r="L3392" s="27"/>
    </row>
    <row r="3393" spans="1:12">
      <c r="A3393" s="20" t="s">
        <v>56</v>
      </c>
      <c r="E3393" s="22">
        <f>IF(D3393="?OLD","!!!","")</f>
        <v/>
      </c>
      <c r="F3393" s="23" t="str">
        <f>IF(OR(E3393="",E3393="!!!"),"",IF(NOT(ISNA(VLOOKUP(E3393,E$1:E3392,1,FALSE()))),"OLD",IF(AND(E3393&lt;&gt;"",E3393&lt;&gt;"!!!"),"NEW","")))</f>
        <v> </v>
      </c>
      <c r="G3393" s="24" t="str">
        <f>IF(OR(E3393="",E3393="!!!"),"",IF(OR(J3393=0,AND(J3393=1,K3393=1),AND(J3393=1,I3393="SBJ"),AND(J3393=1,I3393=0)),"?IN_FOCUS",IF(J3393&lt;=2,"?ACTIVATED",IF(J3393&lt;&gt;"","?FAMILIAR",IF(F3393="NEW",IF(ISNA(VLOOKUP(E3393,#REF!,1,FALSE())),"?TYPE_IDENTIFIABLE","?REFERENTIAL"),"_")))))</f>
        <v> </v>
      </c>
      <c r="H3393" s="25" t="str">
        <f>IF(J3393&lt;&gt;1,"",IF(I3393="SBJ","CB","?"))</f>
        <v> </v>
      </c>
      <c r="I3393" s="26" t="str">
        <f>IF(OR(E3393="",E3393="!!!",F3393="NEW"),"",INDEX(B3392:B$2,-1+SUMPRODUCT(MAX(ROW(E3392:E$2)*(E3393=E3392:E$2)))))</f>
        <v> </v>
      </c>
      <c r="J3393" s="26" t="str">
        <f>IF(OR(E3393="",E3393="!!!",F3393="NEW"),"",COUNTBLANK(OFFSET(A$1,,,SUMPRODUCT(MAX(ROW(E$2:E3393)*(E3393=E$2:E3393)))))-COUNTBLANK(OFFSET(A$1,,,SUMPRODUCT(MAX(ROW(E$1:E3392)*(E2=E$1:E3392))))))</f>
        <v> </v>
      </c>
      <c r="K3393" s="26" t="str">
        <f>IF(OR(E3393="",E3393="!!!",F3393="NEW"),"",INDEX(J$1:J3392,SUMPRODUCT(MAX(ROW(E$1:E3392)*(E3393=E$1:E3392)))))</f>
        <v> </v>
      </c>
      <c r="L3393" s="27"/>
    </row>
    <row r="3394" spans="1:12">
      <c r="A3394" s="20" t="s">
        <v>1027</v>
      </c>
      <c r="E3394" s="22">
        <f>IF(D3394="?OLD","!!!","")</f>
        <v/>
      </c>
      <c r="F3394" s="23" t="str">
        <f>IF(OR(E3394="",E3394="!!!"),"",IF(NOT(ISNA(VLOOKUP(E3394,E$1:E3393,1,FALSE()))),"OLD",IF(AND(E3394&lt;&gt;"",E3394&lt;&gt;"!!!"),"NEW","")))</f>
        <v> </v>
      </c>
      <c r="G3394" s="24" t="str">
        <f>IF(OR(E3394="",E3394="!!!"),"",IF(OR(J3394=0,AND(J3394=1,K3394=1),AND(J3394=1,I3394="SBJ"),AND(J3394=1,I3394=0)),"?IN_FOCUS",IF(J3394&lt;=2,"?ACTIVATED",IF(J3394&lt;&gt;"","?FAMILIAR",IF(F3394="NEW",IF(ISNA(VLOOKUP(E3394,#REF!,1,FALSE())),"?TYPE_IDENTIFIABLE","?REFERENTIAL"),"_")))))</f>
        <v> </v>
      </c>
      <c r="H3394" s="25" t="str">
        <f>IF(J3394&lt;&gt;1,"",IF(I3394="SBJ","CB","?"))</f>
        <v> </v>
      </c>
      <c r="I3394" s="26" t="str">
        <f>IF(OR(E3394="",E3394="!!!",F3394="NEW"),"",INDEX(B3393:B$2,-1+SUMPRODUCT(MAX(ROW(E3393:E$2)*(E3394=E3393:E$2)))))</f>
        <v> </v>
      </c>
      <c r="J3394" s="26" t="str">
        <f>IF(OR(E3394="",E3394="!!!",F3394="NEW"),"",COUNTBLANK(OFFSET(A$1,,,SUMPRODUCT(MAX(ROW(E$2:E3394)*(E3394=E$2:E3394)))))-COUNTBLANK(OFFSET(A$1,,,SUMPRODUCT(MAX(ROW(E$1:E3393)*(E2=E$1:E3393))))))</f>
        <v> </v>
      </c>
      <c r="K3394" s="26" t="str">
        <f>IF(OR(E3394="",E3394="!!!",F3394="NEW"),"",INDEX(J$1:J3393,SUMPRODUCT(MAX(ROW(E$1:E3393)*(E3394=E$1:E3393)))))</f>
        <v> </v>
      </c>
      <c r="L3394" s="27"/>
    </row>
    <row r="3395" spans="1:12">
      <c r="A3395" s="20" t="s">
        <v>2032</v>
      </c>
      <c r="B3395" s="21" t="s">
        <v>1022</v>
      </c>
      <c r="C3395" s="21" t="s">
        <v>1013</v>
      </c>
      <c r="D3395" s="21" t="s">
        <v>1007</v>
      </c>
      <c r="E3395" s="22">
        <f>IF(D3395="?OLD","!!!","")</f>
        <v/>
      </c>
      <c r="F3395" s="23" t="str">
        <f>IF(OR(E3395="",E3395="!!!"),"",IF(NOT(ISNA(VLOOKUP(E3395,E$1:E3394,1,FALSE()))),"OLD",IF(AND(E3395&lt;&gt;"",E3395&lt;&gt;"!!!"),"NEW","")))</f>
        <v> </v>
      </c>
      <c r="G3395" s="24" t="str">
        <f>IF(OR(E3395="",E3395="!!!"),"",IF(OR(J3395=0,AND(J3395=1,K3395=1),AND(J3395=1,I3395="SBJ"),AND(J3395=1,I3395=0)),"?IN_FOCUS",IF(J3395&lt;=2,"?ACTIVATED",IF(J3395&lt;&gt;"","?FAMILIAR",IF(F3395="NEW",IF(ISNA(VLOOKUP(E3395,#REF!,1,FALSE())),"?TYPE_IDENTIFIABLE","?REFERENTIAL"),"_")))))</f>
        <v> </v>
      </c>
      <c r="H3395" s="25" t="str">
        <f>IF(J3395&lt;&gt;1,"",IF(I3395="SBJ","CB","?"))</f>
        <v> </v>
      </c>
      <c r="I3395" s="26" t="str">
        <f>IF(OR(E3395="",E3395="!!!",F3395="NEW"),"",INDEX(B3394:B$2,-1+SUMPRODUCT(MAX(ROW(E3394:E$2)*(E3395=E3394:E$2)))))</f>
        <v> </v>
      </c>
      <c r="J3395" s="26" t="str">
        <f>IF(OR(E3395="",E3395="!!!",F3395="NEW"),"",COUNTBLANK(OFFSET(A$1,,,SUMPRODUCT(MAX(ROW(E$2:E3395)*(E3395=E$2:E3395)))))-COUNTBLANK(OFFSET(A$1,,,SUMPRODUCT(MAX(ROW(E$1:E3394)*(E2=E$1:E3394))))))</f>
        <v> </v>
      </c>
      <c r="K3395" s="26" t="str">
        <f>IF(OR(E3395="",E3395="!!!",F3395="NEW"),"",INDEX(J$1:J3394,SUMPRODUCT(MAX(ROW(E$1:E3394)*(E3395=E$1:E3394)))))</f>
        <v> </v>
      </c>
      <c r="L3395" s="27"/>
    </row>
    <row r="3396" spans="1:12">
      <c r="A3396" s="20" t="s">
        <v>1014</v>
      </c>
      <c r="E3396" s="22">
        <f>IF(D3396="?OLD","!!!","")</f>
        <v/>
      </c>
      <c r="F3396" s="23" t="str">
        <f>IF(OR(E3396="",E3396="!!!"),"",IF(NOT(ISNA(VLOOKUP(E3396,E$1:E3395,1,FALSE()))),"OLD",IF(AND(E3396&lt;&gt;"",E3396&lt;&gt;"!!!"),"NEW","")))</f>
        <v> </v>
      </c>
      <c r="G3396" s="24" t="str">
        <f>IF(OR(E3396="",E3396="!!!"),"",IF(OR(J3396=0,AND(J3396=1,K3396=1),AND(J3396=1,I3396="SBJ"),AND(J3396=1,I3396=0)),"?IN_FOCUS",IF(J3396&lt;=2,"?ACTIVATED",IF(J3396&lt;&gt;"","?FAMILIAR",IF(F3396="NEW",IF(ISNA(VLOOKUP(E3396,#REF!,1,FALSE())),"?TYPE_IDENTIFIABLE","?REFERENTIAL"),"_")))))</f>
        <v> </v>
      </c>
      <c r="H3396" s="25" t="str">
        <f>IF(J3396&lt;&gt;1,"",IF(I3396="SBJ","CB","?"))</f>
        <v> </v>
      </c>
      <c r="I3396" s="26" t="str">
        <f>IF(OR(E3396="",E3396="!!!",F3396="NEW"),"",INDEX(B3395:B$2,-1+SUMPRODUCT(MAX(ROW(E3395:E$2)*(E3396=E3395:E$2)))))</f>
        <v> </v>
      </c>
      <c r="J3396" s="26" t="str">
        <f>IF(OR(E3396="",E3396="!!!",F3396="NEW"),"",COUNTBLANK(OFFSET(A$1,,,SUMPRODUCT(MAX(ROW(E$2:E3396)*(E3396=E$2:E3396)))))-COUNTBLANK(OFFSET(A$1,,,SUMPRODUCT(MAX(ROW(E$1:E3395)*(E2=E$1:E3395))))))</f>
        <v> </v>
      </c>
      <c r="K3396" s="26" t="str">
        <f>IF(OR(E3396="",E3396="!!!",F3396="NEW"),"",INDEX(J$1:J3395,SUMPRODUCT(MAX(ROW(E$1:E3395)*(E3396=E$1:E3395)))))</f>
        <v> </v>
      </c>
      <c r="L3396" s="27"/>
    </row>
    <row r="3397" spans="1:12">
      <c r="A3397" s="20" t="s">
        <v>2033</v>
      </c>
      <c r="B3397" s="21" t="s">
        <v>1033</v>
      </c>
      <c r="C3397" s="21" t="s">
        <v>1048</v>
      </c>
      <c r="E3397" s="22">
        <f>IF(D3397="?OLD","!!!","")</f>
        <v/>
      </c>
      <c r="F3397" s="23" t="str">
        <f>IF(OR(E3397="",E3397="!!!"),"",IF(NOT(ISNA(VLOOKUP(E3397,E$1:E3396,1,FALSE()))),"OLD",IF(AND(E3397&lt;&gt;"",E3397&lt;&gt;"!!!"),"NEW","")))</f>
        <v> </v>
      </c>
      <c r="G3397" s="24" t="str">
        <f>IF(OR(E3397="",E3397="!!!"),"",IF(OR(J3397=0,AND(J3397=1,K3397=1),AND(J3397=1,I3397="SBJ"),AND(J3397=1,I3397=0)),"?IN_FOCUS",IF(J3397&lt;=2,"?ACTIVATED",IF(J3397&lt;&gt;"","?FAMILIAR",IF(F3397="NEW",IF(ISNA(VLOOKUP(E3397,#REF!,1,FALSE())),"?TYPE_IDENTIFIABLE","?REFERENTIAL"),"_")))))</f>
        <v> </v>
      </c>
      <c r="H3397" s="25" t="str">
        <f>IF(J3397&lt;&gt;1,"",IF(I3397="SBJ","CB","?"))</f>
        <v> </v>
      </c>
      <c r="I3397" s="26" t="str">
        <f>IF(OR(E3397="",E3397="!!!",F3397="NEW"),"",INDEX(B3396:B$2,-1+SUMPRODUCT(MAX(ROW(E3396:E$2)*(E3397=E3396:E$2)))))</f>
        <v> </v>
      </c>
      <c r="J3397" s="26" t="str">
        <f>IF(OR(E3397="",E3397="!!!",F3397="NEW"),"",COUNTBLANK(OFFSET(A$1,,,SUMPRODUCT(MAX(ROW(E$2:E3397)*(E3397=E$2:E3397)))))-COUNTBLANK(OFFSET(A$1,,,SUMPRODUCT(MAX(ROW(E$1:E3396)*(E2=E$1:E3396))))))</f>
        <v> </v>
      </c>
      <c r="K3397" s="26" t="str">
        <f>IF(OR(E3397="",E3397="!!!",F3397="NEW"),"",INDEX(J$1:J3396,SUMPRODUCT(MAX(ROW(E$1:E3396)*(E3397=E$1:E3396)))))</f>
        <v> </v>
      </c>
      <c r="L3397" s="27"/>
    </row>
    <row r="3398" spans="1:12">
      <c r="A3398" s="20" t="s">
        <v>1018</v>
      </c>
      <c r="E3398" s="22">
        <f>IF(D3398="?OLD","!!!","")</f>
        <v/>
      </c>
      <c r="F3398" s="23" t="str">
        <f>IF(OR(E3398="",E3398="!!!"),"",IF(NOT(ISNA(VLOOKUP(E3398,E$1:E3397,1,FALSE()))),"OLD",IF(AND(E3398&lt;&gt;"",E3398&lt;&gt;"!!!"),"NEW","")))</f>
        <v> </v>
      </c>
      <c r="G3398" s="24" t="str">
        <f>IF(OR(E3398="",E3398="!!!"),"",IF(OR(J3398=0,AND(J3398=1,K3398=1),AND(J3398=1,I3398="SBJ"),AND(J3398=1,I3398=0)),"?IN_FOCUS",IF(J3398&lt;=2,"?ACTIVATED",IF(J3398&lt;&gt;"","?FAMILIAR",IF(F3398="NEW",IF(ISNA(VLOOKUP(E3398,#REF!,1,FALSE())),"?TYPE_IDENTIFIABLE","?REFERENTIAL"),"_")))))</f>
        <v> </v>
      </c>
      <c r="H3398" s="25" t="str">
        <f>IF(J3398&lt;&gt;1,"",IF(I3398="SBJ","CB","?"))</f>
        <v> </v>
      </c>
      <c r="I3398" s="26" t="str">
        <f>IF(OR(E3398="",E3398="!!!",F3398="NEW"),"",INDEX(B3397:B$2,-1+SUMPRODUCT(MAX(ROW(E3397:E$2)*(E3398=E3397:E$2)))))</f>
        <v> </v>
      </c>
      <c r="J3398" s="26" t="str">
        <f>IF(OR(E3398="",E3398="!!!",F3398="NEW"),"",COUNTBLANK(OFFSET(A$1,,,SUMPRODUCT(MAX(ROW(E$2:E3398)*(E3398=E$2:E3398)))))-COUNTBLANK(OFFSET(A$1,,,SUMPRODUCT(MAX(ROW(E$1:E3397)*(E2=E$1:E3397))))))</f>
        <v> </v>
      </c>
      <c r="K3398" s="26" t="str">
        <f>IF(OR(E3398="",E3398="!!!",F3398="NEW"),"",INDEX(J$1:J3397,SUMPRODUCT(MAX(ROW(E$1:E3397)*(E3398=E$1:E3397)))))</f>
        <v> </v>
      </c>
      <c r="L3398" s="27"/>
    </row>
    <row r="3399" spans="1:12">
      <c r="A3399" s="20" t="s">
        <v>1065</v>
      </c>
      <c r="B3399" s="21" t="s">
        <v>1263</v>
      </c>
      <c r="E3399" s="22">
        <f>IF(D3399="?OLD","!!!","")</f>
        <v/>
      </c>
      <c r="F3399" s="23" t="str">
        <f>IF(OR(E3399="",E3399="!!!"),"",IF(NOT(ISNA(VLOOKUP(E3399,E$1:E3398,1,FALSE()))),"OLD",IF(AND(E3399&lt;&gt;"",E3399&lt;&gt;"!!!"),"NEW","")))</f>
        <v> </v>
      </c>
      <c r="G3399" s="24" t="str">
        <f>IF(OR(E3399="",E3399="!!!"),"",IF(OR(J3399=0,AND(J3399=1,K3399=1),AND(J3399=1,I3399="SBJ"),AND(J3399=1,I3399=0)),"?IN_FOCUS",IF(J3399&lt;=2,"?ACTIVATED",IF(J3399&lt;&gt;"","?FAMILIAR",IF(F3399="NEW",IF(ISNA(VLOOKUP(E3399,#REF!,1,FALSE())),"?TYPE_IDENTIFIABLE","?REFERENTIAL"),"_")))))</f>
        <v> </v>
      </c>
      <c r="H3399" s="25" t="str">
        <f>IF(J3399&lt;&gt;1,"",IF(I3399="SBJ","CB","?"))</f>
        <v> </v>
      </c>
      <c r="I3399" s="26" t="str">
        <f>IF(OR(E3399="",E3399="!!!",F3399="NEW"),"",INDEX(B3398:B$2,-1+SUMPRODUCT(MAX(ROW(E3398:E$2)*(E3399=E3398:E$2)))))</f>
        <v> </v>
      </c>
      <c r="J3399" s="26" t="str">
        <f>IF(OR(E3399="",E3399="!!!",F3399="NEW"),"",COUNTBLANK(OFFSET(A$1,,,SUMPRODUCT(MAX(ROW(E$2:E3399)*(E3399=E$2:E3399)))))-COUNTBLANK(OFFSET(A$1,,,SUMPRODUCT(MAX(ROW(E$1:E3398)*(E2=E$1:E3398))))))</f>
        <v> </v>
      </c>
      <c r="K3399" s="26" t="str">
        <f>IF(OR(E3399="",E3399="!!!",F3399="NEW"),"",INDEX(J$1:J3398,SUMPRODUCT(MAX(ROW(E$1:E3398)*(E3399=E$1:E3398)))))</f>
        <v> </v>
      </c>
      <c r="L3399" s="27"/>
    </row>
    <row r="3400" spans="1:12">
      <c r="A3400" s="20" t="s">
        <v>1027</v>
      </c>
      <c r="E3400" s="22">
        <f>IF(D3400="?OLD","!!!","")</f>
        <v/>
      </c>
      <c r="F3400" s="23" t="str">
        <f>IF(OR(E3400="",E3400="!!!"),"",IF(NOT(ISNA(VLOOKUP(E3400,E$1:E3399,1,FALSE()))),"OLD",IF(AND(E3400&lt;&gt;"",E3400&lt;&gt;"!!!"),"NEW","")))</f>
        <v> </v>
      </c>
      <c r="G3400" s="24" t="str">
        <f>IF(OR(E3400="",E3400="!!!"),"",IF(OR(J3400=0,AND(J3400=1,K3400=1),AND(J3400=1,I3400="SBJ"),AND(J3400=1,I3400=0)),"?IN_FOCUS",IF(J3400&lt;=2,"?ACTIVATED",IF(J3400&lt;&gt;"","?FAMILIAR",IF(F3400="NEW",IF(ISNA(VLOOKUP(E3400,#REF!,1,FALSE())),"?TYPE_IDENTIFIABLE","?REFERENTIAL"),"_")))))</f>
        <v> </v>
      </c>
      <c r="H3400" s="25" t="str">
        <f>IF(J3400&lt;&gt;1,"",IF(I3400="SBJ","CB","?"))</f>
        <v> </v>
      </c>
      <c r="I3400" s="26" t="str">
        <f>IF(OR(E3400="",E3400="!!!",F3400="NEW"),"",INDEX(B3399:B$2,-1+SUMPRODUCT(MAX(ROW(E3399:E$2)*(E3400=E3399:E$2)))))</f>
        <v> </v>
      </c>
      <c r="J3400" s="26" t="str">
        <f>IF(OR(E3400="",E3400="!!!",F3400="NEW"),"",COUNTBLANK(OFFSET(A$1,,,SUMPRODUCT(MAX(ROW(E$2:E3400)*(E3400=E$2:E3400)))))-COUNTBLANK(OFFSET(A$1,,,SUMPRODUCT(MAX(ROW(E$1:E3399)*(E2=E$1:E3399))))))</f>
        <v> </v>
      </c>
      <c r="K3400" s="26" t="str">
        <f>IF(OR(E3400="",E3400="!!!",F3400="NEW"),"",INDEX(J$1:J3399,SUMPRODUCT(MAX(ROW(E$1:E3399)*(E3400=E$1:E3399)))))</f>
        <v> </v>
      </c>
      <c r="L3400" s="27"/>
    </row>
    <row r="3401" spans="1:12">
      <c r="A3401" s="20" t="s">
        <v>2034</v>
      </c>
      <c r="B3401" s="21" t="s">
        <v>1263</v>
      </c>
      <c r="C3401" s="21" t="s">
        <v>1017</v>
      </c>
      <c r="D3401" s="21" t="s">
        <v>1007</v>
      </c>
      <c r="E3401" s="22">
        <f>IF(D3401="?OLD","!!!","")</f>
        <v/>
      </c>
      <c r="F3401" s="23" t="str">
        <f>IF(OR(E3401="",E3401="!!!"),"",IF(NOT(ISNA(VLOOKUP(E3401,E$1:E3400,1,FALSE()))),"OLD",IF(AND(E3401&lt;&gt;"",E3401&lt;&gt;"!!!"),"NEW","")))</f>
        <v> </v>
      </c>
      <c r="G3401" s="24" t="str">
        <f>IF(OR(E3401="",E3401="!!!"),"",IF(OR(J3401=0,AND(J3401=1,K3401=1),AND(J3401=1,I3401="SBJ"),AND(J3401=1,I3401=0)),"?IN_FOCUS",IF(J3401&lt;=2,"?ACTIVATED",IF(J3401&lt;&gt;"","?FAMILIAR",IF(F3401="NEW",IF(ISNA(VLOOKUP(E3401,#REF!,1,FALSE())),"?TYPE_IDENTIFIABLE","?REFERENTIAL"),"_")))))</f>
        <v> </v>
      </c>
      <c r="H3401" s="25" t="str">
        <f>IF(J3401&lt;&gt;1,"",IF(I3401="SBJ","CB","?"))</f>
        <v> </v>
      </c>
      <c r="I3401" s="26" t="str">
        <f>IF(OR(E3401="",E3401="!!!",F3401="NEW"),"",INDEX(B3400:B$2,-1+SUMPRODUCT(MAX(ROW(E3400:E$2)*(E3401=E3400:E$2)))))</f>
        <v> </v>
      </c>
      <c r="J3401" s="26" t="str">
        <f>IF(OR(E3401="",E3401="!!!",F3401="NEW"),"",COUNTBLANK(OFFSET(A$1,,,SUMPRODUCT(MAX(ROW(E$2:E3401)*(E3401=E$2:E3401)))))-COUNTBLANK(OFFSET(A$1,,,SUMPRODUCT(MAX(ROW(E$1:E3400)*(E2=E$1:E3400))))))</f>
        <v> </v>
      </c>
      <c r="K3401" s="26" t="str">
        <f>IF(OR(E3401="",E3401="!!!",F3401="NEW"),"",INDEX(J$1:J3400,SUMPRODUCT(MAX(ROW(E$1:E3400)*(E3401=E$1:E3400)))))</f>
        <v> </v>
      </c>
      <c r="L3401" s="27"/>
    </row>
    <row r="3402" spans="1:12">
      <c r="A3402" s="20" t="s">
        <v>56</v>
      </c>
      <c r="E3402" s="22">
        <f>IF(D3402="?OLD","!!!","")</f>
        <v/>
      </c>
      <c r="F3402" s="23" t="str">
        <f>IF(OR(E3402="",E3402="!!!"),"",IF(NOT(ISNA(VLOOKUP(E3402,E$1:E3401,1,FALSE()))),"OLD",IF(AND(E3402&lt;&gt;"",E3402&lt;&gt;"!!!"),"NEW","")))</f>
        <v> </v>
      </c>
      <c r="G3402" s="24" t="str">
        <f>IF(OR(E3402="",E3402="!!!"),"",IF(OR(J3402=0,AND(J3402=1,K3402=1),AND(J3402=1,I3402="SBJ"),AND(J3402=1,I3402=0)),"?IN_FOCUS",IF(J3402&lt;=2,"?ACTIVATED",IF(J3402&lt;&gt;"","?FAMILIAR",IF(F3402="NEW",IF(ISNA(VLOOKUP(E3402,#REF!,1,FALSE())),"?TYPE_IDENTIFIABLE","?REFERENTIAL"),"_")))))</f>
        <v> </v>
      </c>
      <c r="H3402" s="25" t="str">
        <f>IF(J3402&lt;&gt;1,"",IF(I3402="SBJ","CB","?"))</f>
        <v> </v>
      </c>
      <c r="I3402" s="26" t="str">
        <f>IF(OR(E3402="",E3402="!!!",F3402="NEW"),"",INDEX(B3401:B$2,-1+SUMPRODUCT(MAX(ROW(E3401:E$2)*(E3402=E3401:E$2)))))</f>
        <v> </v>
      </c>
      <c r="J3402" s="26" t="str">
        <f>IF(OR(E3402="",E3402="!!!",F3402="NEW"),"",COUNTBLANK(OFFSET(A$1,,,SUMPRODUCT(MAX(ROW(E$2:E3402)*(E3402=E$2:E3402)))))-COUNTBLANK(OFFSET(A$1,,,SUMPRODUCT(MAX(ROW(E$1:E3401)*(E2=E$1:E3401))))))</f>
        <v> </v>
      </c>
      <c r="K3402" s="26" t="str">
        <f>IF(OR(E3402="",E3402="!!!",F3402="NEW"),"",INDEX(J$1:J3401,SUMPRODUCT(MAX(ROW(E$1:E3401)*(E3402=E$1:E3401)))))</f>
        <v> </v>
      </c>
      <c r="L3402" s="27"/>
    </row>
    <row r="3403" spans="1:12">
      <c r="A3403" s="20" t="s">
        <v>1015</v>
      </c>
      <c r="E3403" s="22">
        <f>IF(D3403="?OLD","!!!","")</f>
        <v/>
      </c>
      <c r="F3403" s="23" t="str">
        <f>IF(OR(E3403="",E3403="!!!"),"",IF(NOT(ISNA(VLOOKUP(E3403,E$1:E3402,1,FALSE()))),"OLD",IF(AND(E3403&lt;&gt;"",E3403&lt;&gt;"!!!"),"NEW","")))</f>
        <v> </v>
      </c>
      <c r="G3403" s="24" t="str">
        <f>IF(OR(E3403="",E3403="!!!"),"",IF(OR(J3403=0,AND(J3403=1,K3403=1),AND(J3403=1,I3403="SBJ"),AND(J3403=1,I3403=0)),"?IN_FOCUS",IF(J3403&lt;=2,"?ACTIVATED",IF(J3403&lt;&gt;"","?FAMILIAR",IF(F3403="NEW",IF(ISNA(VLOOKUP(E3403,#REF!,1,FALSE())),"?TYPE_IDENTIFIABLE","?REFERENTIAL"),"_")))))</f>
        <v> </v>
      </c>
      <c r="H3403" s="25" t="str">
        <f>IF(J3403&lt;&gt;1,"",IF(I3403="SBJ","CB","?"))</f>
        <v> </v>
      </c>
      <c r="I3403" s="26" t="str">
        <f>IF(OR(E3403="",E3403="!!!",F3403="NEW"),"",INDEX(B3402:B$2,-1+SUMPRODUCT(MAX(ROW(E3402:E$2)*(E3403=E3402:E$2)))))</f>
        <v> </v>
      </c>
      <c r="J3403" s="26" t="str">
        <f>IF(OR(E3403="",E3403="!!!",F3403="NEW"),"",COUNTBLANK(OFFSET(A$1,,,SUMPRODUCT(MAX(ROW(E$2:E3403)*(E3403=E$2:E3403)))))-COUNTBLANK(OFFSET(A$1,,,SUMPRODUCT(MAX(ROW(E$1:E3402)*(E2=E$1:E3402))))))</f>
        <v> </v>
      </c>
      <c r="K3403" s="26" t="str">
        <f>IF(OR(E3403="",E3403="!!!",F3403="NEW"),"",INDEX(J$1:J3402,SUMPRODUCT(MAX(ROW(E$1:E3402)*(E3403=E$1:E3402)))))</f>
        <v> </v>
      </c>
      <c r="L3403" s="27"/>
    </row>
    <row r="3404" spans="1:12">
      <c r="A3404" s="20" t="s">
        <v>1016</v>
      </c>
      <c r="B3404" s="21" t="s">
        <v>1040</v>
      </c>
      <c r="C3404" s="21" t="s">
        <v>1013</v>
      </c>
      <c r="D3404" s="21" t="s">
        <v>1007</v>
      </c>
      <c r="E3404" s="22">
        <f>IF(D3404="?OLD","!!!","")</f>
        <v/>
      </c>
      <c r="F3404" s="23" t="str">
        <f>IF(OR(E3404="",E3404="!!!"),"",IF(NOT(ISNA(VLOOKUP(E3404,E$1:E3403,1,FALSE()))),"OLD",IF(AND(E3404&lt;&gt;"",E3404&lt;&gt;"!!!"),"NEW","")))</f>
        <v> </v>
      </c>
      <c r="G3404" s="24" t="str">
        <f>IF(OR(E3404="",E3404="!!!"),"",IF(OR(J3404=0,AND(J3404=1,K3404=1),AND(J3404=1,I3404="SBJ"),AND(J3404=1,I3404=0)),"?IN_FOCUS",IF(J3404&lt;=2,"?ACTIVATED",IF(J3404&lt;&gt;"","?FAMILIAR",IF(F3404="NEW",IF(ISNA(VLOOKUP(E3404,#REF!,1,FALSE())),"?TYPE_IDENTIFIABLE","?REFERENTIAL"),"_")))))</f>
        <v> </v>
      </c>
      <c r="H3404" s="25" t="str">
        <f>IF(J3404&lt;&gt;1,"",IF(I3404="SBJ","CB","?"))</f>
        <v> </v>
      </c>
      <c r="I3404" s="26" t="str">
        <f>IF(OR(E3404="",E3404="!!!",F3404="NEW"),"",INDEX(B3403:B$2,-1+SUMPRODUCT(MAX(ROW(E3403:E$2)*(E3404=E3403:E$2)))))</f>
        <v> </v>
      </c>
      <c r="J3404" s="26" t="str">
        <f>IF(OR(E3404="",E3404="!!!",F3404="NEW"),"",COUNTBLANK(OFFSET(A$1,,,SUMPRODUCT(MAX(ROW(E$2:E3404)*(E3404=E$2:E3404)))))-COUNTBLANK(OFFSET(A$1,,,SUMPRODUCT(MAX(ROW(E$1:E3403)*(E2=E$1:E3403))))))</f>
        <v> </v>
      </c>
      <c r="K3404" s="26" t="str">
        <f>IF(OR(E3404="",E3404="!!!",F3404="NEW"),"",INDEX(J$1:J3403,SUMPRODUCT(MAX(ROW(E$1:E3403)*(E3404=E$1:E3403)))))</f>
        <v> </v>
      </c>
      <c r="L3404" s="27"/>
    </row>
    <row r="3405" spans="1:12">
      <c r="A3405" s="20" t="s">
        <v>1014</v>
      </c>
      <c r="E3405" s="22">
        <f>IF(D3405="?OLD","!!!","")</f>
        <v/>
      </c>
      <c r="F3405" s="23" t="str">
        <f>IF(OR(E3405="",E3405="!!!"),"",IF(NOT(ISNA(VLOOKUP(E3405,E$1:E3404,1,FALSE()))),"OLD",IF(AND(E3405&lt;&gt;"",E3405&lt;&gt;"!!!"),"NEW","")))</f>
        <v> </v>
      </c>
      <c r="G3405" s="24" t="str">
        <f>IF(OR(E3405="",E3405="!!!"),"",IF(OR(J3405=0,AND(J3405=1,K3405=1),AND(J3405=1,I3405="SBJ"),AND(J3405=1,I3405=0)),"?IN_FOCUS",IF(J3405&lt;=2,"?ACTIVATED",IF(J3405&lt;&gt;"","?FAMILIAR",IF(F3405="NEW",IF(ISNA(VLOOKUP(E3405,#REF!,1,FALSE())),"?TYPE_IDENTIFIABLE","?REFERENTIAL"),"_")))))</f>
        <v> </v>
      </c>
      <c r="H3405" s="25" t="str">
        <f>IF(J3405&lt;&gt;1,"",IF(I3405="SBJ","CB","?"))</f>
        <v> </v>
      </c>
      <c r="I3405" s="26" t="str">
        <f>IF(OR(E3405="",E3405="!!!",F3405="NEW"),"",INDEX(B3404:B$2,-1+SUMPRODUCT(MAX(ROW(E3404:E$2)*(E3405=E3404:E$2)))))</f>
        <v> </v>
      </c>
      <c r="J3405" s="26" t="str">
        <f>IF(OR(E3405="",E3405="!!!",F3405="NEW"),"",COUNTBLANK(OFFSET(A$1,,,SUMPRODUCT(MAX(ROW(E$2:E3405)*(E3405=E$2:E3405)))))-COUNTBLANK(OFFSET(A$1,,,SUMPRODUCT(MAX(ROW(E$1:E3404)*(E2=E$1:E3404))))))</f>
        <v> </v>
      </c>
      <c r="K3405" s="26" t="str">
        <f>IF(OR(E3405="",E3405="!!!",F3405="NEW"),"",INDEX(J$1:J3404,SUMPRODUCT(MAX(ROW(E$1:E3404)*(E3405=E$1:E3404)))))</f>
        <v> </v>
      </c>
      <c r="L3405" s="27"/>
    </row>
    <row r="3406" spans="1:12">
      <c r="A3406" s="20" t="s">
        <v>102</v>
      </c>
      <c r="E3406" s="22">
        <f>IF(D3406="?OLD","!!!","")</f>
        <v/>
      </c>
      <c r="F3406" s="23" t="str">
        <f>IF(OR(E3406="",E3406="!!!"),"",IF(NOT(ISNA(VLOOKUP(E3406,E$1:E3405,1,FALSE()))),"OLD",IF(AND(E3406&lt;&gt;"",E3406&lt;&gt;"!!!"),"NEW","")))</f>
        <v> </v>
      </c>
      <c r="G3406" s="24" t="str">
        <f>IF(OR(E3406="",E3406="!!!"),"",IF(OR(J3406=0,AND(J3406=1,K3406=1),AND(J3406=1,I3406="SBJ"),AND(J3406=1,I3406=0)),"?IN_FOCUS",IF(J3406&lt;=2,"?ACTIVATED",IF(J3406&lt;&gt;"","?FAMILIAR",IF(F3406="NEW",IF(ISNA(VLOOKUP(E3406,#REF!,1,FALSE())),"?TYPE_IDENTIFIABLE","?REFERENTIAL"),"_")))))</f>
        <v> </v>
      </c>
      <c r="H3406" s="25" t="str">
        <f>IF(J3406&lt;&gt;1,"",IF(I3406="SBJ","CB","?"))</f>
        <v> </v>
      </c>
      <c r="I3406" s="26" t="str">
        <f>IF(OR(E3406="",E3406="!!!",F3406="NEW"),"",INDEX(B3405:B$2,-1+SUMPRODUCT(MAX(ROW(E3405:E$2)*(E3406=E3405:E$2)))))</f>
        <v> </v>
      </c>
      <c r="J3406" s="26" t="str">
        <f>IF(OR(E3406="",E3406="!!!",F3406="NEW"),"",COUNTBLANK(OFFSET(A$1,,,SUMPRODUCT(MAX(ROW(E$2:E3406)*(E3406=E$2:E3406)))))-COUNTBLANK(OFFSET(A$1,,,SUMPRODUCT(MAX(ROW(E$1:E3405)*(E2=E$1:E3405))))))</f>
        <v> </v>
      </c>
      <c r="K3406" s="26" t="str">
        <f>IF(OR(E3406="",E3406="!!!",F3406="NEW"),"",INDEX(J$1:J3405,SUMPRODUCT(MAX(ROW(E$1:E3405)*(E3406=E$1:E3405)))))</f>
        <v> </v>
      </c>
      <c r="L3406" s="27"/>
    </row>
    <row r="3407" spans="1:12">
      <c r="A3407" s="20" t="s">
        <v>1156</v>
      </c>
      <c r="B3407" s="21" t="s">
        <v>1042</v>
      </c>
      <c r="C3407" s="21" t="s">
        <v>1017</v>
      </c>
      <c r="D3407" s="21" t="s">
        <v>1007</v>
      </c>
      <c r="E3407" s="22">
        <f>IF(D3407="?OLD","!!!","")</f>
        <v/>
      </c>
      <c r="F3407" s="23" t="str">
        <f>IF(OR(E3407="",E3407="!!!"),"",IF(NOT(ISNA(VLOOKUP(E3407,E$1:E3406,1,FALSE()))),"OLD",IF(AND(E3407&lt;&gt;"",E3407&lt;&gt;"!!!"),"NEW","")))</f>
        <v> </v>
      </c>
      <c r="G3407" s="24" t="str">
        <f>IF(OR(E3407="",E3407="!!!"),"",IF(OR(J3407=0,AND(J3407=1,K3407=1),AND(J3407=1,I3407="SBJ"),AND(J3407=1,I3407=0)),"?IN_FOCUS",IF(J3407&lt;=2,"?ACTIVATED",IF(J3407&lt;&gt;"","?FAMILIAR",IF(F3407="NEW",IF(ISNA(VLOOKUP(E3407,#REF!,1,FALSE())),"?TYPE_IDENTIFIABLE","?REFERENTIAL"),"_")))))</f>
        <v> </v>
      </c>
      <c r="H3407" s="25" t="str">
        <f>IF(J3407&lt;&gt;1,"",IF(I3407="SBJ","CB","?"))</f>
        <v> </v>
      </c>
      <c r="I3407" s="26" t="str">
        <f>IF(OR(E3407="",E3407="!!!",F3407="NEW"),"",INDEX(B3406:B$2,-1+SUMPRODUCT(MAX(ROW(E3406:E$2)*(E3407=E3406:E$2)))))</f>
        <v> </v>
      </c>
      <c r="J3407" s="26" t="str">
        <f>IF(OR(E3407="",E3407="!!!",F3407="NEW"),"",COUNTBLANK(OFFSET(A$1,,,SUMPRODUCT(MAX(ROW(E$2:E3407)*(E3407=E$2:E3407)))))-COUNTBLANK(OFFSET(A$1,,,SUMPRODUCT(MAX(ROW(E$1:E3406)*(E2=E$1:E3406))))))</f>
        <v> </v>
      </c>
      <c r="K3407" s="26" t="str">
        <f>IF(OR(E3407="",E3407="!!!",F3407="NEW"),"",INDEX(J$1:J3406,SUMPRODUCT(MAX(ROW(E$1:E3406)*(E3407=E$1:E3406)))))</f>
        <v> </v>
      </c>
      <c r="L3407" s="27"/>
    </row>
    <row r="3408" spans="1:12">
      <c r="A3408" s="20" t="s">
        <v>2035</v>
      </c>
      <c r="E3408" s="22">
        <f>IF(D3408="?OLD","!!!","")</f>
        <v/>
      </c>
      <c r="F3408" s="23" t="str">
        <f>IF(OR(E3408="",E3408="!!!"),"",IF(NOT(ISNA(VLOOKUP(E3408,E$1:E3407,1,FALSE()))),"OLD",IF(AND(E3408&lt;&gt;"",E3408&lt;&gt;"!!!"),"NEW","")))</f>
        <v> </v>
      </c>
      <c r="G3408" s="24" t="str">
        <f>IF(OR(E3408="",E3408="!!!"),"",IF(OR(J3408=0,AND(J3408=1,K3408=1),AND(J3408=1,I3408="SBJ"),AND(J3408=1,I3408=0)),"?IN_FOCUS",IF(J3408&lt;=2,"?ACTIVATED",IF(J3408&lt;&gt;"","?FAMILIAR",IF(F3408="NEW",IF(ISNA(VLOOKUP(E3408,#REF!,1,FALSE())),"?TYPE_IDENTIFIABLE","?REFERENTIAL"),"_")))))</f>
        <v> </v>
      </c>
      <c r="H3408" s="25" t="str">
        <f>IF(J3408&lt;&gt;1,"",IF(I3408="SBJ","CB","?"))</f>
        <v> </v>
      </c>
      <c r="I3408" s="26" t="str">
        <f>IF(OR(E3408="",E3408="!!!",F3408="NEW"),"",INDEX(B3407:B$2,-1+SUMPRODUCT(MAX(ROW(E3407:E$2)*(E3408=E3407:E$2)))))</f>
        <v> </v>
      </c>
      <c r="J3408" s="26" t="str">
        <f>IF(OR(E3408="",E3408="!!!",F3408="NEW"),"",COUNTBLANK(OFFSET(A$1,,,SUMPRODUCT(MAX(ROW(E$2:E3408)*(E3408=E$2:E3408)))))-COUNTBLANK(OFFSET(A$1,,,SUMPRODUCT(MAX(ROW(E$1:E3407)*(E2=E$1:E3407))))))</f>
        <v> </v>
      </c>
      <c r="K3408" s="26" t="str">
        <f>IF(OR(E3408="",E3408="!!!",F3408="NEW"),"",INDEX(J$1:J3407,SUMPRODUCT(MAX(ROW(E$1:E3407)*(E3408=E$1:E3407)))))</f>
        <v> </v>
      </c>
      <c r="L3408" s="27"/>
    </row>
    <row r="3409" spans="1:12">
      <c r="A3409" s="20" t="s">
        <v>2036</v>
      </c>
      <c r="E3409" s="22">
        <f>IF(D3409="?OLD","!!!","")</f>
        <v/>
      </c>
      <c r="F3409" s="23" t="str">
        <f>IF(OR(E3409="",E3409="!!!"),"",IF(NOT(ISNA(VLOOKUP(E3409,E$1:E3408,1,FALSE()))),"OLD",IF(AND(E3409&lt;&gt;"",E3409&lt;&gt;"!!!"),"NEW","")))</f>
        <v> </v>
      </c>
      <c r="G3409" s="24" t="str">
        <f>IF(OR(E3409="",E3409="!!!"),"",IF(OR(J3409=0,AND(J3409=1,K3409=1),AND(J3409=1,I3409="SBJ"),AND(J3409=1,I3409=0)),"?IN_FOCUS",IF(J3409&lt;=2,"?ACTIVATED",IF(J3409&lt;&gt;"","?FAMILIAR",IF(F3409="NEW",IF(ISNA(VLOOKUP(E3409,#REF!,1,FALSE())),"?TYPE_IDENTIFIABLE","?REFERENTIAL"),"_")))))</f>
        <v> </v>
      </c>
      <c r="H3409" s="25" t="str">
        <f>IF(J3409&lt;&gt;1,"",IF(I3409="SBJ","CB","?"))</f>
        <v> </v>
      </c>
      <c r="I3409" s="26" t="str">
        <f>IF(OR(E3409="",E3409="!!!",F3409="NEW"),"",INDEX(B3408:B$2,-1+SUMPRODUCT(MAX(ROW(E3408:E$2)*(E3409=E3408:E$2)))))</f>
        <v> </v>
      </c>
      <c r="J3409" s="26" t="str">
        <f>IF(OR(E3409="",E3409="!!!",F3409="NEW"),"",COUNTBLANK(OFFSET(A$1,,,SUMPRODUCT(MAX(ROW(E$2:E3409)*(E3409=E$2:E3409)))))-COUNTBLANK(OFFSET(A$1,,,SUMPRODUCT(MAX(ROW(E$1:E3408)*(E2=E$1:E3408))))))</f>
        <v> </v>
      </c>
      <c r="K3409" s="26" t="str">
        <f>IF(OR(E3409="",E3409="!!!",F3409="NEW"),"",INDEX(J$1:J3408,SUMPRODUCT(MAX(ROW(E$1:E3408)*(E3409=E$1:E3408)))))</f>
        <v> </v>
      </c>
      <c r="L3409" s="27"/>
    </row>
    <row r="3410" spans="1:12">
      <c r="A3410" s="20" t="s">
        <v>1065</v>
      </c>
      <c r="E3410" s="22">
        <f>IF(D3410="?OLD","!!!","")</f>
        <v/>
      </c>
      <c r="F3410" s="23" t="str">
        <f>IF(OR(E3410="",E3410="!!!"),"",IF(NOT(ISNA(VLOOKUP(E3410,E$1:E3409,1,FALSE()))),"OLD",IF(AND(E3410&lt;&gt;"",E3410&lt;&gt;"!!!"),"NEW","")))</f>
        <v> </v>
      </c>
      <c r="G3410" s="24" t="str">
        <f>IF(OR(E3410="",E3410="!!!"),"",IF(OR(J3410=0,AND(J3410=1,K3410=1),AND(J3410=1,I3410="SBJ"),AND(J3410=1,I3410=0)),"?IN_FOCUS",IF(J3410&lt;=2,"?ACTIVATED",IF(J3410&lt;&gt;"","?FAMILIAR",IF(F3410="NEW",IF(ISNA(VLOOKUP(E3410,#REF!,1,FALSE())),"?TYPE_IDENTIFIABLE","?REFERENTIAL"),"_")))))</f>
        <v> </v>
      </c>
      <c r="H3410" s="25" t="str">
        <f>IF(J3410&lt;&gt;1,"",IF(I3410="SBJ","CB","?"))</f>
        <v> </v>
      </c>
      <c r="I3410" s="26" t="str">
        <f>IF(OR(E3410="",E3410="!!!",F3410="NEW"),"",INDEX(B3409:B$2,-1+SUMPRODUCT(MAX(ROW(E3409:E$2)*(E3410=E3409:E$2)))))</f>
        <v> </v>
      </c>
      <c r="J3410" s="26" t="str">
        <f>IF(OR(E3410="",E3410="!!!",F3410="NEW"),"",COUNTBLANK(OFFSET(A$1,,,SUMPRODUCT(MAX(ROW(E$2:E3410)*(E3410=E$2:E3410)))))-COUNTBLANK(OFFSET(A$1,,,SUMPRODUCT(MAX(ROW(E$1:E3409)*(E2=E$1:E3409))))))</f>
        <v> </v>
      </c>
      <c r="K3410" s="26" t="str">
        <f>IF(OR(E3410="",E3410="!!!",F3410="NEW"),"",INDEX(J$1:J3409,SUMPRODUCT(MAX(ROW(E$1:E3409)*(E3410=E$1:E3409)))))</f>
        <v> </v>
      </c>
      <c r="L3410" s="27"/>
    </row>
    <row r="3411" spans="1:12">
      <c r="A3411" s="20" t="s">
        <v>1669</v>
      </c>
      <c r="B3411" s="21" t="s">
        <v>1067</v>
      </c>
      <c r="C3411" s="21" t="s">
        <v>1082</v>
      </c>
      <c r="D3411" s="21" t="s">
        <v>1007</v>
      </c>
      <c r="E3411" s="22">
        <f>IF(D3411="?OLD","!!!","")</f>
        <v/>
      </c>
      <c r="F3411" s="23" t="str">
        <f>IF(OR(E3411="",E3411="!!!"),"",IF(NOT(ISNA(VLOOKUP(E3411,E$1:E3410,1,FALSE()))),"OLD",IF(AND(E3411&lt;&gt;"",E3411&lt;&gt;"!!!"),"NEW","")))</f>
        <v> </v>
      </c>
      <c r="G3411" s="24" t="str">
        <f>IF(OR(E3411="",E3411="!!!"),"",IF(OR(J3411=0,AND(J3411=1,K3411=1),AND(J3411=1,I3411="SBJ"),AND(J3411=1,I3411=0)),"?IN_FOCUS",IF(J3411&lt;=2,"?ACTIVATED",IF(J3411&lt;&gt;"","?FAMILIAR",IF(F3411="NEW",IF(ISNA(VLOOKUP(E3411,#REF!,1,FALSE())),"?TYPE_IDENTIFIABLE","?REFERENTIAL"),"_")))))</f>
        <v> </v>
      </c>
      <c r="H3411" s="25" t="str">
        <f>IF(J3411&lt;&gt;1,"",IF(I3411="SBJ","CB","?"))</f>
        <v> </v>
      </c>
      <c r="I3411" s="26" t="str">
        <f>IF(OR(E3411="",E3411="!!!",F3411="NEW"),"",INDEX(B3410:B$2,-1+SUMPRODUCT(MAX(ROW(E3410:E$2)*(E3411=E3410:E$2)))))</f>
        <v> </v>
      </c>
      <c r="J3411" s="26" t="str">
        <f>IF(OR(E3411="",E3411="!!!",F3411="NEW"),"",COUNTBLANK(OFFSET(A$1,,,SUMPRODUCT(MAX(ROW(E$2:E3411)*(E3411=E$2:E3411)))))-COUNTBLANK(OFFSET(A$1,,,SUMPRODUCT(MAX(ROW(E$1:E3410)*(E2=E$1:E3410))))))</f>
        <v> </v>
      </c>
      <c r="K3411" s="26" t="str">
        <f>IF(OR(E3411="",E3411="!!!",F3411="NEW"),"",INDEX(J$1:J3410,SUMPRODUCT(MAX(ROW(E$1:E3410)*(E3411=E$1:E3410)))))</f>
        <v> </v>
      </c>
      <c r="L3411" s="27"/>
    </row>
    <row r="3412" spans="1:12">
      <c r="A3412" s="20" t="s">
        <v>2037</v>
      </c>
      <c r="E3412" s="22">
        <f>IF(D3412="?OLD","!!!","")</f>
        <v/>
      </c>
      <c r="F3412" s="23" t="str">
        <f>IF(OR(E3412="",E3412="!!!"),"",IF(NOT(ISNA(VLOOKUP(E3412,E$1:E3411,1,FALSE()))),"OLD",IF(AND(E3412&lt;&gt;"",E3412&lt;&gt;"!!!"),"NEW","")))</f>
        <v> </v>
      </c>
      <c r="G3412" s="24" t="str">
        <f>IF(OR(E3412="",E3412="!!!"),"",IF(OR(J3412=0,AND(J3412=1,K3412=1),AND(J3412=1,I3412="SBJ"),AND(J3412=1,I3412=0)),"?IN_FOCUS",IF(J3412&lt;=2,"?ACTIVATED",IF(J3412&lt;&gt;"","?FAMILIAR",IF(F3412="NEW",IF(ISNA(VLOOKUP(E3412,#REF!,1,FALSE())),"?TYPE_IDENTIFIABLE","?REFERENTIAL"),"_")))))</f>
        <v> </v>
      </c>
      <c r="H3412" s="25" t="str">
        <f>IF(J3412&lt;&gt;1,"",IF(I3412="SBJ","CB","?"))</f>
        <v> </v>
      </c>
      <c r="I3412" s="26" t="str">
        <f>IF(OR(E3412="",E3412="!!!",F3412="NEW"),"",INDEX(B3411:B$2,-1+SUMPRODUCT(MAX(ROW(E3411:E$2)*(E3412=E3411:E$2)))))</f>
        <v> </v>
      </c>
      <c r="J3412" s="26" t="str">
        <f>IF(OR(E3412="",E3412="!!!",F3412="NEW"),"",COUNTBLANK(OFFSET(A$1,,,SUMPRODUCT(MAX(ROW(E$2:E3412)*(E3412=E$2:E3412)))))-COUNTBLANK(OFFSET(A$1,,,SUMPRODUCT(MAX(ROW(E$1:E3411)*(E2=E$1:E3411))))))</f>
        <v> </v>
      </c>
      <c r="K3412" s="26" t="str">
        <f>IF(OR(E3412="",E3412="!!!",F3412="NEW"),"",INDEX(J$1:J3411,SUMPRODUCT(MAX(ROW(E$1:E3411)*(E3412=E$1:E3411)))))</f>
        <v> </v>
      </c>
      <c r="L3412" s="27"/>
    </row>
    <row r="3413" spans="1:12">
      <c r="A3413" s="20" t="s">
        <v>1107</v>
      </c>
      <c r="E3413" s="22">
        <f>IF(D3413="?OLD","!!!","")</f>
        <v/>
      </c>
      <c r="F3413" s="23" t="str">
        <f>IF(OR(E3413="",E3413="!!!"),"",IF(NOT(ISNA(VLOOKUP(E3413,E$1:E3412,1,FALSE()))),"OLD",IF(AND(E3413&lt;&gt;"",E3413&lt;&gt;"!!!"),"NEW","")))</f>
        <v> </v>
      </c>
      <c r="G3413" s="24" t="str">
        <f>IF(OR(E3413="",E3413="!!!"),"",IF(OR(J3413=0,AND(J3413=1,K3413=1),AND(J3413=1,I3413="SBJ"),AND(J3413=1,I3413=0)),"?IN_FOCUS",IF(J3413&lt;=2,"?ACTIVATED",IF(J3413&lt;&gt;"","?FAMILIAR",IF(F3413="NEW",IF(ISNA(VLOOKUP(E3413,#REF!,1,FALSE())),"?TYPE_IDENTIFIABLE","?REFERENTIAL"),"_")))))</f>
        <v> </v>
      </c>
      <c r="H3413" s="25" t="str">
        <f>IF(J3413&lt;&gt;1,"",IF(I3413="SBJ","CB","?"))</f>
        <v> </v>
      </c>
      <c r="I3413" s="26" t="str">
        <f>IF(OR(E3413="",E3413="!!!",F3413="NEW"),"",INDEX(B3412:B$2,-1+SUMPRODUCT(MAX(ROW(E3412:E$2)*(E3413=E3412:E$2)))))</f>
        <v> </v>
      </c>
      <c r="J3413" s="26" t="str">
        <f>IF(OR(E3413="",E3413="!!!",F3413="NEW"),"",COUNTBLANK(OFFSET(A$1,,,SUMPRODUCT(MAX(ROW(E$2:E3413)*(E3413=E$2:E3413)))))-COUNTBLANK(OFFSET(A$1,,,SUMPRODUCT(MAX(ROW(E$1:E3412)*(E2=E$1:E3412))))))</f>
        <v> </v>
      </c>
      <c r="K3413" s="26" t="str">
        <f>IF(OR(E3413="",E3413="!!!",F3413="NEW"),"",INDEX(J$1:J3412,SUMPRODUCT(MAX(ROW(E$1:E3412)*(E3413=E$1:E3412)))))</f>
        <v> </v>
      </c>
      <c r="L3413" s="27"/>
    </row>
    <row r="3414" spans="1:12">
      <c r="A3414" s="20"/>
    </row>
    <row r="3415" spans="1:12">
      <c r="A3415" s="20" t="s">
        <v>2038</v>
      </c>
    </row>
    <row r="3416" spans="1:12">
      <c r="A3416" s="20" t="s">
        <v>1094</v>
      </c>
      <c r="E3416" s="22">
        <f>IF(D3416="?OLD","!!!","")</f>
        <v/>
      </c>
      <c r="F3416" s="23" t="str">
        <f>IF(OR(E3416="",E3416="!!!"),"",IF(NOT(ISNA(VLOOKUP(E3416,E$1:E3415,1,FALSE()))),"OLD",IF(AND(E3416&lt;&gt;"",E3416&lt;&gt;"!!!"),"NEW","")))</f>
        <v> </v>
      </c>
      <c r="G3416" s="24" t="str">
        <f>IF(OR(E3416="",E3416="!!!"),"",IF(OR(J3416=0,AND(J3416=1,K3416=1),AND(J3416=1,I3416="SBJ"),AND(J3416=1,I3416=0)),"?IN_FOCUS",IF(J3416&lt;=2,"?ACTIVATED",IF(J3416&lt;&gt;"","?FAMILIAR",IF(F3416="NEW",IF(ISNA(VLOOKUP(E3416,#REF!,1,FALSE())),"?TYPE_IDENTIFIABLE","?REFERENTIAL"),"_")))))</f>
        <v> </v>
      </c>
      <c r="H3416" s="25" t="str">
        <f>IF(J3416&lt;&gt;1,"",IF(I3416="SBJ","CB","?"))</f>
        <v> </v>
      </c>
      <c r="I3416" s="26" t="str">
        <f>IF(OR(E3416="",E3416="!!!",F3416="NEW"),"",INDEX(B3415:B$2,-1+SUMPRODUCT(MAX(ROW(E3415:E$2)*(E3416=E3415:E$2)))))</f>
        <v> </v>
      </c>
      <c r="J3416" s="26" t="str">
        <f>IF(OR(E3416="",E3416="!!!",F3416="NEW"),"",COUNTBLANK(OFFSET(A$1,,,SUMPRODUCT(MAX(ROW(E$2:E3416)*(E3416=E$2:E3416)))))-COUNTBLANK(OFFSET(A$1,,,SUMPRODUCT(MAX(ROW(E$1:E3415)*(E2=E$1:E3415))))))</f>
        <v> </v>
      </c>
      <c r="K3416" s="26" t="str">
        <f>IF(OR(E3416="",E3416="!!!",F3416="NEW"),"",INDEX(J$1:J3415,SUMPRODUCT(MAX(ROW(E$1:E3415)*(E3416=E$1:E3415)))))</f>
        <v> </v>
      </c>
      <c r="L3416" s="27"/>
    </row>
    <row r="3417" spans="1:12">
      <c r="A3417" s="20" t="s">
        <v>1009</v>
      </c>
      <c r="E3417" s="22">
        <f>IF(D3417="?OLD","!!!","")</f>
        <v/>
      </c>
      <c r="F3417" s="23" t="str">
        <f>IF(OR(E3417="",E3417="!!!"),"",IF(NOT(ISNA(VLOOKUP(E3417,E$1:E3416,1,FALSE()))),"OLD",IF(AND(E3417&lt;&gt;"",E3417&lt;&gt;"!!!"),"NEW","")))</f>
        <v> </v>
      </c>
      <c r="G3417" s="24" t="str">
        <f>IF(OR(E3417="",E3417="!!!"),"",IF(OR(J3417=0,AND(J3417=1,K3417=1),AND(J3417=1,I3417="SBJ"),AND(J3417=1,I3417=0)),"?IN_FOCUS",IF(J3417&lt;=2,"?ACTIVATED",IF(J3417&lt;&gt;"","?FAMILIAR",IF(F3417="NEW",IF(ISNA(VLOOKUP(E3417,#REF!,1,FALSE())),"?TYPE_IDENTIFIABLE","?REFERENTIAL"),"_")))))</f>
        <v> </v>
      </c>
      <c r="H3417" s="25" t="str">
        <f>IF(J3417&lt;&gt;1,"",IF(I3417="SBJ","CB","?"))</f>
        <v> </v>
      </c>
      <c r="I3417" s="26" t="str">
        <f>IF(OR(E3417="",E3417="!!!",F3417="NEW"),"",INDEX(B3416:B$2,-1+SUMPRODUCT(MAX(ROW(E3416:E$2)*(E3417=E3416:E$2)))))</f>
        <v> </v>
      </c>
      <c r="J3417" s="26" t="str">
        <f>IF(OR(E3417="",E3417="!!!",F3417="NEW"),"",COUNTBLANK(OFFSET(A$1,,,SUMPRODUCT(MAX(ROW(E$2:E3417)*(E3417=E$2:E3417)))))-COUNTBLANK(OFFSET(A$1,,,SUMPRODUCT(MAX(ROW(E$1:E3416)*(E2=E$1:E3416))))))</f>
        <v> </v>
      </c>
      <c r="K3417" s="26" t="str">
        <f>IF(OR(E3417="",E3417="!!!",F3417="NEW"),"",INDEX(J$1:J3416,SUMPRODUCT(MAX(ROW(E$1:E3416)*(E3417=E$1:E3416)))))</f>
        <v> </v>
      </c>
      <c r="L3417" s="27"/>
    </row>
    <row r="3418" spans="1:12">
      <c r="A3418" s="20"/>
    </row>
    <row r="3419" spans="1:12">
      <c r="A3419" s="20" t="s">
        <v>1184</v>
      </c>
      <c r="E3419" s="22">
        <f>IF(D3419="?OLD","!!!","")</f>
        <v/>
      </c>
      <c r="F3419" s="23" t="str">
        <f>IF(OR(E3419="",E3419="!!!"),"",IF(NOT(ISNA(VLOOKUP(E3419,E$1:E3418,1,FALSE()))),"OLD",IF(AND(E3419&lt;&gt;"",E3419&lt;&gt;"!!!"),"NEW","")))</f>
        <v> </v>
      </c>
      <c r="G3419" s="24" t="str">
        <f>IF(OR(E3419="",E3419="!!!"),"",IF(OR(J3419=0,AND(J3419=1,K3419=1),AND(J3419=1,I3419="SBJ"),AND(J3419=1,I3419=0)),"?IN_FOCUS",IF(J3419&lt;=2,"?ACTIVATED",IF(J3419&lt;&gt;"","?FAMILIAR",IF(F3419="NEW",IF(ISNA(VLOOKUP(E3419,#REF!,1,FALSE())),"?TYPE_IDENTIFIABLE","?REFERENTIAL"),"_")))))</f>
        <v> </v>
      </c>
      <c r="H3419" s="25" t="str">
        <f>IF(J3419&lt;&gt;1,"",IF(I3419="SBJ","CB","?"))</f>
        <v> </v>
      </c>
      <c r="I3419" s="26" t="str">
        <f>IF(OR(E3419="",E3419="!!!",F3419="NEW"),"",INDEX(B3418:B$2,-1+SUMPRODUCT(MAX(ROW(E3418:E$2)*(E3419=E3418:E$2)))))</f>
        <v> </v>
      </c>
      <c r="J3419" s="26" t="str">
        <f>IF(OR(E3419="",E3419="!!!",F3419="NEW"),"",COUNTBLANK(OFFSET(A$1,,,SUMPRODUCT(MAX(ROW(E$2:E3419)*(E3419=E$2:E3419)))))-COUNTBLANK(OFFSET(A$1,,,SUMPRODUCT(MAX(ROW(E$1:E3418)*(E2=E$1:E3418))))))</f>
        <v> </v>
      </c>
      <c r="K3419" s="26" t="str">
        <f>IF(OR(E3419="",E3419="!!!",F3419="NEW"),"",INDEX(J$1:J3418,SUMPRODUCT(MAX(ROW(E$1:E3418)*(E3419=E$1:E3418)))))</f>
        <v> </v>
      </c>
      <c r="L3419" s="27"/>
    </row>
    <row r="3420" spans="1:12">
      <c r="A3420" s="20" t="s">
        <v>2039</v>
      </c>
    </row>
    <row r="3421" spans="1:12">
      <c r="A3421" s="20" t="s">
        <v>1136</v>
      </c>
      <c r="E3421" s="22">
        <f>IF(D3421="?OLD","!!!","")</f>
        <v/>
      </c>
      <c r="F3421" s="23" t="str">
        <f>IF(OR(E3421="",E3421="!!!"),"",IF(NOT(ISNA(VLOOKUP(E3421,E$1:E3420,1,FALSE()))),"OLD",IF(AND(E3421&lt;&gt;"",E3421&lt;&gt;"!!!"),"NEW","")))</f>
        <v> </v>
      </c>
      <c r="G3421" s="24" t="str">
        <f>IF(OR(E3421="",E3421="!!!"),"",IF(OR(J3421=0,AND(J3421=1,K3421=1),AND(J3421=1,I3421="SBJ"),AND(J3421=1,I3421=0)),"?IN_FOCUS",IF(J3421&lt;=2,"?ACTIVATED",IF(J3421&lt;&gt;"","?FAMILIAR",IF(F3421="NEW",IF(ISNA(VLOOKUP(E3421,#REF!,1,FALSE())),"?TYPE_IDENTIFIABLE","?REFERENTIAL"),"_")))))</f>
        <v> </v>
      </c>
      <c r="H3421" s="25" t="str">
        <f>IF(J3421&lt;&gt;1,"",IF(I3421="SBJ","CB","?"))</f>
        <v> </v>
      </c>
      <c r="I3421" s="26" t="str">
        <f>IF(OR(E3421="",E3421="!!!",F3421="NEW"),"",INDEX(B3420:B$2,-1+SUMPRODUCT(MAX(ROW(E3420:E$2)*(E3421=E3420:E$2)))))</f>
        <v> </v>
      </c>
      <c r="J3421" s="26" t="str">
        <f>IF(OR(E3421="",E3421="!!!",F3421="NEW"),"",COUNTBLANK(OFFSET(A$1,,,SUMPRODUCT(MAX(ROW(E$2:E3421)*(E3421=E$2:E3421)))))-COUNTBLANK(OFFSET(A$1,,,SUMPRODUCT(MAX(ROW(E$1:E3420)*(E2=E$1:E3420))))))</f>
        <v> </v>
      </c>
      <c r="K3421" s="26" t="str">
        <f>IF(OR(E3421="",E3421="!!!",F3421="NEW"),"",INDEX(J$1:J3420,SUMPRODUCT(MAX(ROW(E$1:E3420)*(E3421=E$1:E3420)))))</f>
        <v> </v>
      </c>
      <c r="L3421" s="27"/>
    </row>
    <row r="3422" spans="1:12">
      <c r="A3422" s="20" t="s">
        <v>2040</v>
      </c>
      <c r="E3422" s="22">
        <f>IF(D3422="?OLD","!!!","")</f>
        <v/>
      </c>
      <c r="F3422" s="23" t="str">
        <f>IF(OR(E3422="",E3422="!!!"),"",IF(NOT(ISNA(VLOOKUP(E3422,E$1:E3421,1,FALSE()))),"OLD",IF(AND(E3422&lt;&gt;"",E3422&lt;&gt;"!!!"),"NEW","")))</f>
        <v> </v>
      </c>
      <c r="G3422" s="24" t="str">
        <f>IF(OR(E3422="",E3422="!!!"),"",IF(OR(J3422=0,AND(J3422=1,K3422=1),AND(J3422=1,I3422="SBJ"),AND(J3422=1,I3422=0)),"?IN_FOCUS",IF(J3422&lt;=2,"?ACTIVATED",IF(J3422&lt;&gt;"","?FAMILIAR",IF(F3422="NEW",IF(ISNA(VLOOKUP(E3422,#REF!,1,FALSE())),"?TYPE_IDENTIFIABLE","?REFERENTIAL"),"_")))))</f>
        <v> </v>
      </c>
      <c r="H3422" s="25" t="str">
        <f>IF(J3422&lt;&gt;1,"",IF(I3422="SBJ","CB","?"))</f>
        <v> </v>
      </c>
      <c r="I3422" s="26" t="str">
        <f>IF(OR(E3422="",E3422="!!!",F3422="NEW"),"",INDEX(B3421:B$2,-1+SUMPRODUCT(MAX(ROW(E3421:E$2)*(E3422=E3421:E$2)))))</f>
        <v> </v>
      </c>
      <c r="J3422" s="26" t="str">
        <f>IF(OR(E3422="",E3422="!!!",F3422="NEW"),"",COUNTBLANK(OFFSET(A$1,,,SUMPRODUCT(MAX(ROW(E$2:E3422)*(E3422=E$2:E3422)))))-COUNTBLANK(OFFSET(A$1,,,SUMPRODUCT(MAX(ROW(E$1:E3421)*(E2=E$1:E3421))))))</f>
        <v> </v>
      </c>
      <c r="K3422" s="26" t="str">
        <f>IF(OR(E3422="",E3422="!!!",F3422="NEW"),"",INDEX(J$1:J3421,SUMPRODUCT(MAX(ROW(E$1:E3421)*(E3422=E$1:E3421)))))</f>
        <v> </v>
      </c>
      <c r="L3422" s="27"/>
    </row>
    <row r="3423" spans="1:12">
      <c r="A3423" s="20" t="s">
        <v>1114</v>
      </c>
      <c r="B3423" s="21" t="s">
        <v>1050</v>
      </c>
      <c r="C3423" s="21" t="s">
        <v>1082</v>
      </c>
      <c r="D3423" s="21" t="s">
        <v>1007</v>
      </c>
      <c r="E3423" s="22">
        <f>IF(D3423="?OLD","!!!","")</f>
        <v/>
      </c>
      <c r="F3423" s="23" t="str">
        <f>IF(OR(E3423="",E3423="!!!"),"",IF(NOT(ISNA(VLOOKUP(E3423,E$1:E3422,1,FALSE()))),"OLD",IF(AND(E3423&lt;&gt;"",E3423&lt;&gt;"!!!"),"NEW","")))</f>
        <v> </v>
      </c>
      <c r="G3423" s="24" t="str">
        <f>IF(OR(E3423="",E3423="!!!"),"",IF(OR(J3423=0,AND(J3423=1,K3423=1),AND(J3423=1,I3423="SBJ"),AND(J3423=1,I3423=0)),"?IN_FOCUS",IF(J3423&lt;=2,"?ACTIVATED",IF(J3423&lt;&gt;"","?FAMILIAR",IF(F3423="NEW",IF(ISNA(VLOOKUP(E3423,#REF!,1,FALSE())),"?TYPE_IDENTIFIABLE","?REFERENTIAL"),"_")))))</f>
        <v> </v>
      </c>
      <c r="H3423" s="25" t="str">
        <f>IF(J3423&lt;&gt;1,"",IF(I3423="SBJ","CB","?"))</f>
        <v> </v>
      </c>
      <c r="I3423" s="26" t="str">
        <f>IF(OR(E3423="",E3423="!!!",F3423="NEW"),"",INDEX(B3422:B$2,-1+SUMPRODUCT(MAX(ROW(E3422:E$2)*(E3423=E3422:E$2)))))</f>
        <v> </v>
      </c>
      <c r="J3423" s="26" t="str">
        <f>IF(OR(E3423="",E3423="!!!",F3423="NEW"),"",COUNTBLANK(OFFSET(A$1,,,SUMPRODUCT(MAX(ROW(E$2:E3423)*(E3423=E$2:E3423)))))-COUNTBLANK(OFFSET(A$1,,,SUMPRODUCT(MAX(ROW(E$1:E3422)*(E2=E$1:E3422))))))</f>
        <v> </v>
      </c>
      <c r="K3423" s="26" t="str">
        <f>IF(OR(E3423="",E3423="!!!",F3423="NEW"),"",INDEX(J$1:J3422,SUMPRODUCT(MAX(ROW(E$1:E3422)*(E3423=E$1:E3422)))))</f>
        <v> </v>
      </c>
      <c r="L3423" s="27"/>
    </row>
    <row r="3424" spans="1:12">
      <c r="A3424" s="20" t="s">
        <v>1065</v>
      </c>
      <c r="E3424" s="22">
        <f>IF(D3424="?OLD","!!!","")</f>
        <v/>
      </c>
      <c r="F3424" s="23" t="str">
        <f>IF(OR(E3424="",E3424="!!!"),"",IF(NOT(ISNA(VLOOKUP(E3424,E$1:E3423,1,FALSE()))),"OLD",IF(AND(E3424&lt;&gt;"",E3424&lt;&gt;"!!!"),"NEW","")))</f>
        <v> </v>
      </c>
      <c r="G3424" s="24" t="str">
        <f>IF(OR(E3424="",E3424="!!!"),"",IF(OR(J3424=0,AND(J3424=1,K3424=1),AND(J3424=1,I3424="SBJ"),AND(J3424=1,I3424=0)),"?IN_FOCUS",IF(J3424&lt;=2,"?ACTIVATED",IF(J3424&lt;&gt;"","?FAMILIAR",IF(F3424="NEW",IF(ISNA(VLOOKUP(E3424,#REF!,1,FALSE())),"?TYPE_IDENTIFIABLE","?REFERENTIAL"),"_")))))</f>
        <v> </v>
      </c>
      <c r="H3424" s="25" t="str">
        <f>IF(J3424&lt;&gt;1,"",IF(I3424="SBJ","CB","?"))</f>
        <v> </v>
      </c>
      <c r="I3424" s="26" t="str">
        <f>IF(OR(E3424="",E3424="!!!",F3424="NEW"),"",INDEX(B3423:B$2,-1+SUMPRODUCT(MAX(ROW(E3423:E$2)*(E3424=E3423:E$2)))))</f>
        <v> </v>
      </c>
      <c r="J3424" s="26" t="str">
        <f>IF(OR(E3424="",E3424="!!!",F3424="NEW"),"",COUNTBLANK(OFFSET(A$1,,,SUMPRODUCT(MAX(ROW(E$2:E3424)*(E3424=E$2:E3424)))))-COUNTBLANK(OFFSET(A$1,,,SUMPRODUCT(MAX(ROW(E$1:E3423)*(E2=E$1:E3423))))))</f>
        <v> </v>
      </c>
      <c r="K3424" s="26" t="str">
        <f>IF(OR(E3424="",E3424="!!!",F3424="NEW"),"",INDEX(J$1:J3423,SUMPRODUCT(MAX(ROW(E$1:E3423)*(E3424=E$1:E3423)))))</f>
        <v> </v>
      </c>
      <c r="L3424" s="27"/>
    </row>
    <row r="3425" spans="1:12">
      <c r="A3425" s="20" t="s">
        <v>885</v>
      </c>
      <c r="B3425" s="21" t="s">
        <v>1119</v>
      </c>
      <c r="C3425" s="21" t="s">
        <v>1082</v>
      </c>
      <c r="D3425" s="21" t="s">
        <v>1007</v>
      </c>
      <c r="E3425" s="22">
        <f>IF(D3425="?OLD","!!!","")</f>
        <v/>
      </c>
      <c r="F3425" s="23" t="str">
        <f>IF(OR(E3425="",E3425="!!!"),"",IF(NOT(ISNA(VLOOKUP(E3425,E$1:E3424,1,FALSE()))),"OLD",IF(AND(E3425&lt;&gt;"",E3425&lt;&gt;"!!!"),"NEW","")))</f>
        <v> </v>
      </c>
      <c r="G3425" s="24" t="str">
        <f>IF(OR(E3425="",E3425="!!!"),"",IF(OR(J3425=0,AND(J3425=1,K3425=1),AND(J3425=1,I3425="SBJ"),AND(J3425=1,I3425=0)),"?IN_FOCUS",IF(J3425&lt;=2,"?ACTIVATED",IF(J3425&lt;&gt;"","?FAMILIAR",IF(F3425="NEW",IF(ISNA(VLOOKUP(E3425,#REF!,1,FALSE())),"?TYPE_IDENTIFIABLE","?REFERENTIAL"),"_")))))</f>
        <v> </v>
      </c>
      <c r="H3425" s="25" t="str">
        <f>IF(J3425&lt;&gt;1,"",IF(I3425="SBJ","CB","?"))</f>
        <v> </v>
      </c>
      <c r="I3425" s="26" t="str">
        <f>IF(OR(E3425="",E3425="!!!",F3425="NEW"),"",INDEX(B3424:B$2,-1+SUMPRODUCT(MAX(ROW(E3424:E$2)*(E3425=E3424:E$2)))))</f>
        <v> </v>
      </c>
      <c r="J3425" s="26" t="str">
        <f>IF(OR(E3425="",E3425="!!!",F3425="NEW"),"",COUNTBLANK(OFFSET(A$1,,,SUMPRODUCT(MAX(ROW(E$2:E3425)*(E3425=E$2:E3425)))))-COUNTBLANK(OFFSET(A$1,,,SUMPRODUCT(MAX(ROW(E$1:E3424)*(E2=E$1:E3424))))))</f>
        <v> </v>
      </c>
      <c r="K3425" s="26" t="str">
        <f>IF(OR(E3425="",E3425="!!!",F3425="NEW"),"",INDEX(J$1:J3424,SUMPRODUCT(MAX(ROW(E$1:E3424)*(E3425=E$1:E3424)))))</f>
        <v> </v>
      </c>
      <c r="L3425" s="27"/>
    </row>
    <row r="3426" spans="1:12">
      <c r="A3426" s="20" t="s">
        <v>2041</v>
      </c>
      <c r="E3426" s="22">
        <f>IF(D3426="?OLD","!!!","")</f>
        <v/>
      </c>
      <c r="F3426" s="23" t="str">
        <f>IF(OR(E3426="",E3426="!!!"),"",IF(NOT(ISNA(VLOOKUP(E3426,E$1:E3425,1,FALSE()))),"OLD",IF(AND(E3426&lt;&gt;"",E3426&lt;&gt;"!!!"),"NEW","")))</f>
        <v> </v>
      </c>
      <c r="G3426" s="24" t="str">
        <f>IF(OR(E3426="",E3426="!!!"),"",IF(OR(J3426=0,AND(J3426=1,K3426=1),AND(J3426=1,I3426="SBJ"),AND(J3426=1,I3426=0)),"?IN_FOCUS",IF(J3426&lt;=2,"?ACTIVATED",IF(J3426&lt;&gt;"","?FAMILIAR",IF(F3426="NEW",IF(ISNA(VLOOKUP(E3426,#REF!,1,FALSE())),"?TYPE_IDENTIFIABLE","?REFERENTIAL"),"_")))))</f>
        <v> </v>
      </c>
      <c r="H3426" s="25" t="str">
        <f>IF(J3426&lt;&gt;1,"",IF(I3426="SBJ","CB","?"))</f>
        <v> </v>
      </c>
      <c r="I3426" s="26" t="str">
        <f>IF(OR(E3426="",E3426="!!!",F3426="NEW"),"",INDEX(B3425:B$2,-1+SUMPRODUCT(MAX(ROW(E3425:E$2)*(E3426=E3425:E$2)))))</f>
        <v> </v>
      </c>
      <c r="J3426" s="26" t="str">
        <f>IF(OR(E3426="",E3426="!!!",F3426="NEW"),"",COUNTBLANK(OFFSET(A$1,,,SUMPRODUCT(MAX(ROW(E$2:E3426)*(E3426=E$2:E3426)))))-COUNTBLANK(OFFSET(A$1,,,SUMPRODUCT(MAX(ROW(E$1:E3425)*(E2=E$1:E3425))))))</f>
        <v> </v>
      </c>
      <c r="K3426" s="26" t="str">
        <f>IF(OR(E3426="",E3426="!!!",F3426="NEW"),"",INDEX(J$1:J3425,SUMPRODUCT(MAX(ROW(E$1:E3425)*(E3426=E$1:E3425)))))</f>
        <v> </v>
      </c>
      <c r="L3426" s="27"/>
    </row>
    <row r="3427" spans="1:12">
      <c r="A3427" s="20" t="s">
        <v>1189</v>
      </c>
      <c r="E3427" s="22">
        <f>IF(D3427="?OLD","!!!","")</f>
        <v/>
      </c>
      <c r="F3427" s="23" t="str">
        <f>IF(OR(E3427="",E3427="!!!"),"",IF(NOT(ISNA(VLOOKUP(E3427,E$1:E3426,1,FALSE()))),"OLD",IF(AND(E3427&lt;&gt;"",E3427&lt;&gt;"!!!"),"NEW","")))</f>
        <v> </v>
      </c>
      <c r="G3427" s="24" t="str">
        <f>IF(OR(E3427="",E3427="!!!"),"",IF(OR(J3427=0,AND(J3427=1,K3427=1),AND(J3427=1,I3427="SBJ"),AND(J3427=1,I3427=0)),"?IN_FOCUS",IF(J3427&lt;=2,"?ACTIVATED",IF(J3427&lt;&gt;"","?FAMILIAR",IF(F3427="NEW",IF(ISNA(VLOOKUP(E3427,#REF!,1,FALSE())),"?TYPE_IDENTIFIABLE","?REFERENTIAL"),"_")))))</f>
        <v> </v>
      </c>
      <c r="H3427" s="25" t="str">
        <f>IF(J3427&lt;&gt;1,"",IF(I3427="SBJ","CB","?"))</f>
        <v> </v>
      </c>
      <c r="I3427" s="26" t="str">
        <f>IF(OR(E3427="",E3427="!!!",F3427="NEW"),"",INDEX(B3426:B$2,-1+SUMPRODUCT(MAX(ROW(E3426:E$2)*(E3427=E3426:E$2)))))</f>
        <v> </v>
      </c>
      <c r="J3427" s="26" t="str">
        <f>IF(OR(E3427="",E3427="!!!",F3427="NEW"),"",COUNTBLANK(OFFSET(A$1,,,SUMPRODUCT(MAX(ROW(E$2:E3427)*(E3427=E$2:E3427)))))-COUNTBLANK(OFFSET(A$1,,,SUMPRODUCT(MAX(ROW(E$1:E3426)*(E2=E$1:E3426))))))</f>
        <v> </v>
      </c>
      <c r="K3427" s="26" t="str">
        <f>IF(OR(E3427="",E3427="!!!",F3427="NEW"),"",INDEX(J$1:J3426,SUMPRODUCT(MAX(ROW(E$1:E3426)*(E3427=E$1:E3426)))))</f>
        <v> </v>
      </c>
      <c r="L3427" s="27"/>
    </row>
    <row r="3428" spans="1:12">
      <c r="A3428" s="20" t="s">
        <v>2042</v>
      </c>
      <c r="B3428" s="21" t="s">
        <v>1029</v>
      </c>
      <c r="E3428" s="22">
        <f>IF(D3428="?OLD","!!!","")</f>
        <v/>
      </c>
      <c r="F3428" s="23" t="str">
        <f>IF(OR(E3428="",E3428="!!!"),"",IF(NOT(ISNA(VLOOKUP(E3428,E$1:E3427,1,FALSE()))),"OLD",IF(AND(E3428&lt;&gt;"",E3428&lt;&gt;"!!!"),"NEW","")))</f>
        <v> </v>
      </c>
      <c r="G3428" s="24" t="str">
        <f>IF(OR(E3428="",E3428="!!!"),"",IF(OR(J3428=0,AND(J3428=1,K3428=1),AND(J3428=1,I3428="SBJ"),AND(J3428=1,I3428=0)),"?IN_FOCUS",IF(J3428&lt;=2,"?ACTIVATED",IF(J3428&lt;&gt;"","?FAMILIAR",IF(F3428="NEW",IF(ISNA(VLOOKUP(E3428,#REF!,1,FALSE())),"?TYPE_IDENTIFIABLE","?REFERENTIAL"),"_")))))</f>
        <v> </v>
      </c>
      <c r="H3428" s="25" t="str">
        <f>IF(J3428&lt;&gt;1,"",IF(I3428="SBJ","CB","?"))</f>
        <v> </v>
      </c>
      <c r="I3428" s="26" t="str">
        <f>IF(OR(E3428="",E3428="!!!",F3428="NEW"),"",INDEX(B3427:B$2,-1+SUMPRODUCT(MAX(ROW(E3427:E$2)*(E3428=E3427:E$2)))))</f>
        <v> </v>
      </c>
      <c r="J3428" s="26" t="str">
        <f>IF(OR(E3428="",E3428="!!!",F3428="NEW"),"",COUNTBLANK(OFFSET(A$1,,,SUMPRODUCT(MAX(ROW(E$2:E3428)*(E3428=E$2:E3428)))))-COUNTBLANK(OFFSET(A$1,,,SUMPRODUCT(MAX(ROW(E$1:E3427)*(E2=E$1:E3427))))))</f>
        <v> </v>
      </c>
      <c r="K3428" s="26" t="str">
        <f>IF(OR(E3428="",E3428="!!!",F3428="NEW"),"",INDEX(J$1:J3427,SUMPRODUCT(MAX(ROW(E$1:E3427)*(E3428=E$1:E3427)))))</f>
        <v> </v>
      </c>
      <c r="L3428" s="27"/>
    </row>
    <row r="3429" spans="1:12">
      <c r="A3429" s="20" t="s">
        <v>2043</v>
      </c>
      <c r="E3429" s="22">
        <f>IF(D3429="?OLD","!!!","")</f>
        <v/>
      </c>
      <c r="F3429" s="23" t="str">
        <f>IF(OR(E3429="",E3429="!!!"),"",IF(NOT(ISNA(VLOOKUP(E3429,E$1:E3428,1,FALSE()))),"OLD",IF(AND(E3429&lt;&gt;"",E3429&lt;&gt;"!!!"),"NEW","")))</f>
        <v> </v>
      </c>
      <c r="G3429" s="24" t="str">
        <f>IF(OR(E3429="",E3429="!!!"),"",IF(OR(J3429=0,AND(J3429=1,K3429=1),AND(J3429=1,I3429="SBJ"),AND(J3429=1,I3429=0)),"?IN_FOCUS",IF(J3429&lt;=2,"?ACTIVATED",IF(J3429&lt;&gt;"","?FAMILIAR",IF(F3429="NEW",IF(ISNA(VLOOKUP(E3429,#REF!,1,FALSE())),"?TYPE_IDENTIFIABLE","?REFERENTIAL"),"_")))))</f>
        <v> </v>
      </c>
      <c r="H3429" s="25" t="str">
        <f>IF(J3429&lt;&gt;1,"",IF(I3429="SBJ","CB","?"))</f>
        <v> </v>
      </c>
      <c r="I3429" s="26" t="str">
        <f>IF(OR(E3429="",E3429="!!!",F3429="NEW"),"",INDEX(B3428:B$2,-1+SUMPRODUCT(MAX(ROW(E3428:E$2)*(E3429=E3428:E$2)))))</f>
        <v> </v>
      </c>
      <c r="J3429" s="26" t="str">
        <f>IF(OR(E3429="",E3429="!!!",F3429="NEW"),"",COUNTBLANK(OFFSET(A$1,,,SUMPRODUCT(MAX(ROW(E$2:E3429)*(E3429=E$2:E3429)))))-COUNTBLANK(OFFSET(A$1,,,SUMPRODUCT(MAX(ROW(E$1:E3428)*(E2=E$1:E3428))))))</f>
        <v> </v>
      </c>
      <c r="K3429" s="26" t="str">
        <f>IF(OR(E3429="",E3429="!!!",F3429="NEW"),"",INDEX(J$1:J3428,SUMPRODUCT(MAX(ROW(E$1:E3428)*(E3429=E$1:E3428)))))</f>
        <v> </v>
      </c>
      <c r="L3429" s="27"/>
    </row>
    <row r="3430" spans="1:12">
      <c r="A3430" s="20" t="s">
        <v>1014</v>
      </c>
      <c r="E3430" s="22">
        <f>IF(D3430="?OLD","!!!","")</f>
        <v/>
      </c>
      <c r="F3430" s="23" t="str">
        <f>IF(OR(E3430="",E3430="!!!"),"",IF(NOT(ISNA(VLOOKUP(E3430,E$1:E3429,1,FALSE()))),"OLD",IF(AND(E3430&lt;&gt;"",E3430&lt;&gt;"!!!"),"NEW","")))</f>
        <v> </v>
      </c>
      <c r="G3430" s="24" t="str">
        <f>IF(OR(E3430="",E3430="!!!"),"",IF(OR(J3430=0,AND(J3430=1,K3430=1),AND(J3430=1,I3430="SBJ"),AND(J3430=1,I3430=0)),"?IN_FOCUS",IF(J3430&lt;=2,"?ACTIVATED",IF(J3430&lt;&gt;"","?FAMILIAR",IF(F3430="NEW",IF(ISNA(VLOOKUP(E3430,#REF!,1,FALSE())),"?TYPE_IDENTIFIABLE","?REFERENTIAL"),"_")))))</f>
        <v> </v>
      </c>
      <c r="H3430" s="25" t="str">
        <f>IF(J3430&lt;&gt;1,"",IF(I3430="SBJ","CB","?"))</f>
        <v> </v>
      </c>
      <c r="I3430" s="26" t="str">
        <f>IF(OR(E3430="",E3430="!!!",F3430="NEW"),"",INDEX(B3429:B$2,-1+SUMPRODUCT(MAX(ROW(E3429:E$2)*(E3430=E3429:E$2)))))</f>
        <v> </v>
      </c>
      <c r="J3430" s="26" t="str">
        <f>IF(OR(E3430="",E3430="!!!",F3430="NEW"),"",COUNTBLANK(OFFSET(A$1,,,SUMPRODUCT(MAX(ROW(E$2:E3430)*(E3430=E$2:E3430)))))-COUNTBLANK(OFFSET(A$1,,,SUMPRODUCT(MAX(ROW(E$1:E3429)*(E2=E$1:E3429))))))</f>
        <v> </v>
      </c>
      <c r="K3430" s="26" t="str">
        <f>IF(OR(E3430="",E3430="!!!",F3430="NEW"),"",INDEX(J$1:J3429,SUMPRODUCT(MAX(ROW(E$1:E3429)*(E3430=E$1:E3429)))))</f>
        <v> </v>
      </c>
      <c r="L3430" s="27"/>
    </row>
    <row r="3431" spans="1:12">
      <c r="A3431" s="20" t="s">
        <v>1228</v>
      </c>
      <c r="B3431" s="21" t="s">
        <v>1033</v>
      </c>
      <c r="C3431" s="21" t="s">
        <v>1048</v>
      </c>
      <c r="E3431" s="22">
        <f>IF(D3431="?OLD","!!!","")</f>
        <v/>
      </c>
      <c r="F3431" s="23" t="str">
        <f>IF(OR(E3431="",E3431="!!!"),"",IF(NOT(ISNA(VLOOKUP(E3431,E$1:E3430,1,FALSE()))),"OLD",IF(AND(E3431&lt;&gt;"",E3431&lt;&gt;"!!!"),"NEW","")))</f>
        <v> </v>
      </c>
      <c r="G3431" s="24" t="str">
        <f>IF(OR(E3431="",E3431="!!!"),"",IF(OR(J3431=0,AND(J3431=1,K3431=1),AND(J3431=1,I3431="SBJ"),AND(J3431=1,I3431=0)),"?IN_FOCUS",IF(J3431&lt;=2,"?ACTIVATED",IF(J3431&lt;&gt;"","?FAMILIAR",IF(F3431="NEW",IF(ISNA(VLOOKUP(E3431,#REF!,1,FALSE())),"?TYPE_IDENTIFIABLE","?REFERENTIAL"),"_")))))</f>
        <v> </v>
      </c>
      <c r="H3431" s="25" t="str">
        <f>IF(J3431&lt;&gt;1,"",IF(I3431="SBJ","CB","?"))</f>
        <v> </v>
      </c>
      <c r="I3431" s="26" t="str">
        <f>IF(OR(E3431="",E3431="!!!",F3431="NEW"),"",INDEX(B3430:B$2,-1+SUMPRODUCT(MAX(ROW(E3430:E$2)*(E3431=E3430:E$2)))))</f>
        <v> </v>
      </c>
      <c r="J3431" s="26" t="str">
        <f>IF(OR(E3431="",E3431="!!!",F3431="NEW"),"",COUNTBLANK(OFFSET(A$1,,,SUMPRODUCT(MAX(ROW(E$2:E3431)*(E3431=E$2:E3431)))))-COUNTBLANK(OFFSET(A$1,,,SUMPRODUCT(MAX(ROW(E$1:E3430)*(E2=E$1:E3430))))))</f>
        <v> </v>
      </c>
      <c r="K3431" s="26" t="str">
        <f>IF(OR(E3431="",E3431="!!!",F3431="NEW"),"",INDEX(J$1:J3430,SUMPRODUCT(MAX(ROW(E$1:E3430)*(E3431=E$1:E3430)))))</f>
        <v> </v>
      </c>
      <c r="L3431" s="27"/>
    </row>
    <row r="3432" spans="1:12">
      <c r="A3432" s="20" t="s">
        <v>1023</v>
      </c>
      <c r="E3432" s="22">
        <f>IF(D3432="?OLD","!!!","")</f>
        <v/>
      </c>
      <c r="F3432" s="23" t="str">
        <f>IF(OR(E3432="",E3432="!!!"),"",IF(NOT(ISNA(VLOOKUP(E3432,E$1:E3431,1,FALSE()))),"OLD",IF(AND(E3432&lt;&gt;"",E3432&lt;&gt;"!!!"),"NEW","")))</f>
        <v> </v>
      </c>
      <c r="G3432" s="24" t="str">
        <f>IF(OR(E3432="",E3432="!!!"),"",IF(OR(J3432=0,AND(J3432=1,K3432=1),AND(J3432=1,I3432="SBJ"),AND(J3432=1,I3432=0)),"?IN_FOCUS",IF(J3432&lt;=2,"?ACTIVATED",IF(J3432&lt;&gt;"","?FAMILIAR",IF(F3432="NEW",IF(ISNA(VLOOKUP(E3432,#REF!,1,FALSE())),"?TYPE_IDENTIFIABLE","?REFERENTIAL"),"_")))))</f>
        <v> </v>
      </c>
      <c r="H3432" s="25" t="str">
        <f>IF(J3432&lt;&gt;1,"",IF(I3432="SBJ","CB","?"))</f>
        <v> </v>
      </c>
      <c r="I3432" s="26" t="str">
        <f>IF(OR(E3432="",E3432="!!!",F3432="NEW"),"",INDEX(B3431:B$2,-1+SUMPRODUCT(MAX(ROW(E3431:E$2)*(E3432=E3431:E$2)))))</f>
        <v> </v>
      </c>
      <c r="J3432" s="26" t="str">
        <f>IF(OR(E3432="",E3432="!!!",F3432="NEW"),"",COUNTBLANK(OFFSET(A$1,,,SUMPRODUCT(MAX(ROW(E$2:E3432)*(E3432=E$2:E3432)))))-COUNTBLANK(OFFSET(A$1,,,SUMPRODUCT(MAX(ROW(E$1:E3431)*(E2=E$1:E3431))))))</f>
        <v> </v>
      </c>
      <c r="K3432" s="26" t="str">
        <f>IF(OR(E3432="",E3432="!!!",F3432="NEW"),"",INDEX(J$1:J3431,SUMPRODUCT(MAX(ROW(E$1:E3431)*(E3432=E$1:E3431)))))</f>
        <v> </v>
      </c>
      <c r="L3432" s="27"/>
    </row>
    <row r="3433" spans="1:12">
      <c r="A3433" s="20"/>
    </row>
    <row r="3434" spans="1:12">
      <c r="A3434" s="20" t="s">
        <v>2044</v>
      </c>
    </row>
    <row r="3435" spans="1:12">
      <c r="A3435" s="20" t="s">
        <v>2045</v>
      </c>
      <c r="E3435" s="22">
        <f>IF(D3435="?OLD","!!!","")</f>
        <v/>
      </c>
      <c r="F3435" s="23" t="str">
        <f>IF(OR(E3435="",E3435="!!!"),"",IF(NOT(ISNA(VLOOKUP(E3435,E$1:E3434,1,FALSE()))),"OLD",IF(AND(E3435&lt;&gt;"",E3435&lt;&gt;"!!!"),"NEW","")))</f>
        <v> </v>
      </c>
      <c r="G3435" s="24" t="str">
        <f>IF(OR(E3435="",E3435="!!!"),"",IF(OR(J3435=0,AND(J3435=1,K3435=1),AND(J3435=1,I3435="SBJ"),AND(J3435=1,I3435=0)),"?IN_FOCUS",IF(J3435&lt;=2,"?ACTIVATED",IF(J3435&lt;&gt;"","?FAMILIAR",IF(F3435="NEW",IF(ISNA(VLOOKUP(E3435,#REF!,1,FALSE())),"?TYPE_IDENTIFIABLE","?REFERENTIAL"),"_")))))</f>
        <v> </v>
      </c>
      <c r="H3435" s="25" t="str">
        <f>IF(J3435&lt;&gt;1,"",IF(I3435="SBJ","CB","?"))</f>
        <v> </v>
      </c>
      <c r="I3435" s="26" t="str">
        <f>IF(OR(E3435="",E3435="!!!",F3435="NEW"),"",INDEX(B3434:B$2,-1+SUMPRODUCT(MAX(ROW(E3434:E$2)*(E3435=E3434:E$2)))))</f>
        <v> </v>
      </c>
      <c r="J3435" s="26" t="str">
        <f>IF(OR(E3435="",E3435="!!!",F3435="NEW"),"",COUNTBLANK(OFFSET(A$1,,,SUMPRODUCT(MAX(ROW(E$2:E3435)*(E3435=E$2:E3435)))))-COUNTBLANK(OFFSET(A$1,,,SUMPRODUCT(MAX(ROW(E$1:E3434)*(E2=E$1:E3434))))))</f>
        <v> </v>
      </c>
      <c r="K3435" s="26" t="str">
        <f>IF(OR(E3435="",E3435="!!!",F3435="NEW"),"",INDEX(J$1:J3434,SUMPRODUCT(MAX(ROW(E$1:E3434)*(E3435=E$1:E3434)))))</f>
        <v> </v>
      </c>
      <c r="L3435" s="27"/>
    </row>
    <row r="3436" spans="1:12">
      <c r="A3436" s="20" t="s">
        <v>1065</v>
      </c>
      <c r="E3436" s="22">
        <f>IF(D3436="?OLD","!!!","")</f>
        <v/>
      </c>
      <c r="F3436" s="23" t="str">
        <f>IF(OR(E3436="",E3436="!!!"),"",IF(NOT(ISNA(VLOOKUP(E3436,E$1:E3435,1,FALSE()))),"OLD",IF(AND(E3436&lt;&gt;"",E3436&lt;&gt;"!!!"),"NEW","")))</f>
        <v> </v>
      </c>
      <c r="G3436" s="24" t="str">
        <f>IF(OR(E3436="",E3436="!!!"),"",IF(OR(J3436=0,AND(J3436=1,K3436=1),AND(J3436=1,I3436="SBJ"),AND(J3436=1,I3436=0)),"?IN_FOCUS",IF(J3436&lt;=2,"?ACTIVATED",IF(J3436&lt;&gt;"","?FAMILIAR",IF(F3436="NEW",IF(ISNA(VLOOKUP(E3436,#REF!,1,FALSE())),"?TYPE_IDENTIFIABLE","?REFERENTIAL"),"_")))))</f>
        <v> </v>
      </c>
      <c r="H3436" s="25" t="str">
        <f>IF(J3436&lt;&gt;1,"",IF(I3436="SBJ","CB","?"))</f>
        <v> </v>
      </c>
      <c r="I3436" s="26" t="str">
        <f>IF(OR(E3436="",E3436="!!!",F3436="NEW"),"",INDEX(B3435:B$2,-1+SUMPRODUCT(MAX(ROW(E3435:E$2)*(E3436=E3435:E$2)))))</f>
        <v> </v>
      </c>
      <c r="J3436" s="26" t="str">
        <f>IF(OR(E3436="",E3436="!!!",F3436="NEW"),"",COUNTBLANK(OFFSET(A$1,,,SUMPRODUCT(MAX(ROW(E$2:E3436)*(E3436=E$2:E3436)))))-COUNTBLANK(OFFSET(A$1,,,SUMPRODUCT(MAX(ROW(E$1:E3435)*(E2=E$1:E3435))))))</f>
        <v> </v>
      </c>
      <c r="K3436" s="26" t="str">
        <f>IF(OR(E3436="",E3436="!!!",F3436="NEW"),"",INDEX(J$1:J3435,SUMPRODUCT(MAX(ROW(E$1:E3435)*(E3436=E$1:E3435)))))</f>
        <v> </v>
      </c>
      <c r="L3436" s="27"/>
    </row>
    <row r="3437" spans="1:12">
      <c r="A3437" s="20" t="s">
        <v>1199</v>
      </c>
      <c r="E3437" s="22">
        <f>IF(D3437="?OLD","!!!","")</f>
        <v/>
      </c>
      <c r="F3437" s="23" t="str">
        <f>IF(OR(E3437="",E3437="!!!"),"",IF(NOT(ISNA(VLOOKUP(E3437,E$1:E3436,1,FALSE()))),"OLD",IF(AND(E3437&lt;&gt;"",E3437&lt;&gt;"!!!"),"NEW","")))</f>
        <v> </v>
      </c>
      <c r="G3437" s="24" t="str">
        <f>IF(OR(E3437="",E3437="!!!"),"",IF(OR(J3437=0,AND(J3437=1,K3437=1),AND(J3437=1,I3437="SBJ"),AND(J3437=1,I3437=0)),"?IN_FOCUS",IF(J3437&lt;=2,"?ACTIVATED",IF(J3437&lt;&gt;"","?FAMILIAR",IF(F3437="NEW",IF(ISNA(VLOOKUP(E3437,#REF!,1,FALSE())),"?TYPE_IDENTIFIABLE","?REFERENTIAL"),"_")))))</f>
        <v> </v>
      </c>
      <c r="H3437" s="25" t="str">
        <f>IF(J3437&lt;&gt;1,"",IF(I3437="SBJ","CB","?"))</f>
        <v> </v>
      </c>
      <c r="I3437" s="26" t="str">
        <f>IF(OR(E3437="",E3437="!!!",F3437="NEW"),"",INDEX(B3436:B$2,-1+SUMPRODUCT(MAX(ROW(E3436:E$2)*(E3437=E3436:E$2)))))</f>
        <v> </v>
      </c>
      <c r="J3437" s="26" t="str">
        <f>IF(OR(E3437="",E3437="!!!",F3437="NEW"),"",COUNTBLANK(OFFSET(A$1,,,SUMPRODUCT(MAX(ROW(E$2:E3437)*(E3437=E$2:E3437)))))-COUNTBLANK(OFFSET(A$1,,,SUMPRODUCT(MAX(ROW(E$1:E3436)*(E2=E$1:E3436))))))</f>
        <v> </v>
      </c>
      <c r="K3437" s="26" t="str">
        <f>IF(OR(E3437="",E3437="!!!",F3437="NEW"),"",INDEX(J$1:J3436,SUMPRODUCT(MAX(ROW(E$1:E3436)*(E3437=E$1:E3436)))))</f>
        <v> </v>
      </c>
      <c r="L3437" s="27"/>
    </row>
    <row r="3438" spans="1:12">
      <c r="A3438" s="20" t="s">
        <v>1459</v>
      </c>
      <c r="E3438" s="22">
        <f>IF(D3438="?OLD","!!!","")</f>
        <v/>
      </c>
      <c r="F3438" s="23" t="str">
        <f>IF(OR(E3438="",E3438="!!!"),"",IF(NOT(ISNA(VLOOKUP(E3438,E$1:E3437,1,FALSE()))),"OLD",IF(AND(E3438&lt;&gt;"",E3438&lt;&gt;"!!!"),"NEW","")))</f>
        <v> </v>
      </c>
      <c r="G3438" s="24" t="str">
        <f>IF(OR(E3438="",E3438="!!!"),"",IF(OR(J3438=0,AND(J3438=1,K3438=1),AND(J3438=1,I3438="SBJ"),AND(J3438=1,I3438=0)),"?IN_FOCUS",IF(J3438&lt;=2,"?ACTIVATED",IF(J3438&lt;&gt;"","?FAMILIAR",IF(F3438="NEW",IF(ISNA(VLOOKUP(E3438,#REF!,1,FALSE())),"?TYPE_IDENTIFIABLE","?REFERENTIAL"),"_")))))</f>
        <v> </v>
      </c>
      <c r="H3438" s="25" t="str">
        <f>IF(J3438&lt;&gt;1,"",IF(I3438="SBJ","CB","?"))</f>
        <v> </v>
      </c>
      <c r="I3438" s="26" t="str">
        <f>IF(OR(E3438="",E3438="!!!",F3438="NEW"),"",INDEX(B3437:B$2,-1+SUMPRODUCT(MAX(ROW(E3437:E$2)*(E3438=E3437:E$2)))))</f>
        <v> </v>
      </c>
      <c r="J3438" s="26" t="str">
        <f>IF(OR(E3438="",E3438="!!!",F3438="NEW"),"",COUNTBLANK(OFFSET(A$1,,,SUMPRODUCT(MAX(ROW(E$2:E3438)*(E3438=E$2:E3438)))))-COUNTBLANK(OFFSET(A$1,,,SUMPRODUCT(MAX(ROW(E$1:E3437)*(E2=E$1:E3437))))))</f>
        <v> </v>
      </c>
      <c r="K3438" s="26" t="str">
        <f>IF(OR(E3438="",E3438="!!!",F3438="NEW"),"",INDEX(J$1:J3437,SUMPRODUCT(MAX(ROW(E$1:E3437)*(E3438=E$1:E3437)))))</f>
        <v> </v>
      </c>
      <c r="L3438" s="27"/>
    </row>
    <row r="3439" spans="1:12">
      <c r="A3439" s="20" t="s">
        <v>2046</v>
      </c>
      <c r="B3439" s="21" t="s">
        <v>1119</v>
      </c>
      <c r="C3439" s="21" t="s">
        <v>1013</v>
      </c>
      <c r="D3439" s="21" t="s">
        <v>1007</v>
      </c>
      <c r="E3439" s="22">
        <f>IF(D3439="?OLD","!!!","")</f>
        <v/>
      </c>
      <c r="F3439" s="23" t="str">
        <f>IF(OR(E3439="",E3439="!!!"),"",IF(NOT(ISNA(VLOOKUP(E3439,E$1:E3438,1,FALSE()))),"OLD",IF(AND(E3439&lt;&gt;"",E3439&lt;&gt;"!!!"),"NEW","")))</f>
        <v> </v>
      </c>
      <c r="G3439" s="24" t="str">
        <f>IF(OR(E3439="",E3439="!!!"),"",IF(OR(J3439=0,AND(J3439=1,K3439=1),AND(J3439=1,I3439="SBJ"),AND(J3439=1,I3439=0)),"?IN_FOCUS",IF(J3439&lt;=2,"?ACTIVATED",IF(J3439&lt;&gt;"","?FAMILIAR",IF(F3439="NEW",IF(ISNA(VLOOKUP(E3439,#REF!,1,FALSE())),"?TYPE_IDENTIFIABLE","?REFERENTIAL"),"_")))))</f>
        <v> </v>
      </c>
      <c r="H3439" s="25" t="str">
        <f>IF(J3439&lt;&gt;1,"",IF(I3439="SBJ","CB","?"))</f>
        <v> </v>
      </c>
      <c r="I3439" s="26" t="str">
        <f>IF(OR(E3439="",E3439="!!!",F3439="NEW"),"",INDEX(B3438:B$2,-1+SUMPRODUCT(MAX(ROW(E3438:E$2)*(E3439=E3438:E$2)))))</f>
        <v> </v>
      </c>
      <c r="J3439" s="26" t="str">
        <f>IF(OR(E3439="",E3439="!!!",F3439="NEW"),"",COUNTBLANK(OFFSET(A$1,,,SUMPRODUCT(MAX(ROW(E$2:E3439)*(E3439=E$2:E3439)))))-COUNTBLANK(OFFSET(A$1,,,SUMPRODUCT(MAX(ROW(E$1:E3438)*(E2=E$1:E3438))))))</f>
        <v> </v>
      </c>
      <c r="K3439" s="26" t="str">
        <f>IF(OR(E3439="",E3439="!!!",F3439="NEW"),"",INDEX(J$1:J3438,SUMPRODUCT(MAX(ROW(E$1:E3438)*(E3439=E$1:E3438)))))</f>
        <v> </v>
      </c>
      <c r="L3439" s="27"/>
    </row>
    <row r="3440" spans="1:12">
      <c r="A3440" s="20" t="s">
        <v>1014</v>
      </c>
      <c r="E3440" s="22">
        <f>IF(D3440="?OLD","!!!","")</f>
        <v/>
      </c>
      <c r="F3440" s="23" t="str">
        <f>IF(OR(E3440="",E3440="!!!"),"",IF(NOT(ISNA(VLOOKUP(E3440,E$1:E3439,1,FALSE()))),"OLD",IF(AND(E3440&lt;&gt;"",E3440&lt;&gt;"!!!"),"NEW","")))</f>
        <v> </v>
      </c>
      <c r="G3440" s="24" t="str">
        <f>IF(OR(E3440="",E3440="!!!"),"",IF(OR(J3440=0,AND(J3440=1,K3440=1),AND(J3440=1,I3440="SBJ"),AND(J3440=1,I3440=0)),"?IN_FOCUS",IF(J3440&lt;=2,"?ACTIVATED",IF(J3440&lt;&gt;"","?FAMILIAR",IF(F3440="NEW",IF(ISNA(VLOOKUP(E3440,#REF!,1,FALSE())),"?TYPE_IDENTIFIABLE","?REFERENTIAL"),"_")))))</f>
        <v> </v>
      </c>
      <c r="H3440" s="25" t="str">
        <f>IF(J3440&lt;&gt;1,"",IF(I3440="SBJ","CB","?"))</f>
        <v> </v>
      </c>
      <c r="I3440" s="26" t="str">
        <f>IF(OR(E3440="",E3440="!!!",F3440="NEW"),"",INDEX(B3439:B$2,-1+SUMPRODUCT(MAX(ROW(E3439:E$2)*(E3440=E3439:E$2)))))</f>
        <v> </v>
      </c>
      <c r="J3440" s="26" t="str">
        <f>IF(OR(E3440="",E3440="!!!",F3440="NEW"),"",COUNTBLANK(OFFSET(A$1,,,SUMPRODUCT(MAX(ROW(E$2:E3440)*(E3440=E$2:E3440)))))-COUNTBLANK(OFFSET(A$1,,,SUMPRODUCT(MAX(ROW(E$1:E3439)*(E2=E$1:E3439))))))</f>
        <v> </v>
      </c>
      <c r="K3440" s="26" t="str">
        <f>IF(OR(E3440="",E3440="!!!",F3440="NEW"),"",INDEX(J$1:J3439,SUMPRODUCT(MAX(ROW(E$1:E3439)*(E3440=E$1:E3439)))))</f>
        <v> </v>
      </c>
      <c r="L3440" s="27"/>
    </row>
    <row r="3441" spans="1:12">
      <c r="A3441" s="20" t="s">
        <v>1224</v>
      </c>
      <c r="B3441" s="21" t="s">
        <v>1033</v>
      </c>
      <c r="C3441" s="21" t="s">
        <v>1082</v>
      </c>
      <c r="D3441" s="21" t="s">
        <v>1007</v>
      </c>
      <c r="E3441" s="22">
        <f>IF(D3441="?OLD","!!!","")</f>
        <v/>
      </c>
      <c r="F3441" s="23" t="str">
        <f>IF(OR(E3441="",E3441="!!!"),"",IF(NOT(ISNA(VLOOKUP(E3441,E$1:E3440,1,FALSE()))),"OLD",IF(AND(E3441&lt;&gt;"",E3441&lt;&gt;"!!!"),"NEW","")))</f>
        <v> </v>
      </c>
      <c r="G3441" s="24" t="str">
        <f>IF(OR(E3441="",E3441="!!!"),"",IF(OR(J3441=0,AND(J3441=1,K3441=1),AND(J3441=1,I3441="SBJ"),AND(J3441=1,I3441=0)),"?IN_FOCUS",IF(J3441&lt;=2,"?ACTIVATED",IF(J3441&lt;&gt;"","?FAMILIAR",IF(F3441="NEW",IF(ISNA(VLOOKUP(E3441,#REF!,1,FALSE())),"?TYPE_IDENTIFIABLE","?REFERENTIAL"),"_")))))</f>
        <v> </v>
      </c>
      <c r="H3441" s="25" t="str">
        <f>IF(J3441&lt;&gt;1,"",IF(I3441="SBJ","CB","?"))</f>
        <v> </v>
      </c>
      <c r="I3441" s="26" t="str">
        <f>IF(OR(E3441="",E3441="!!!",F3441="NEW"),"",INDEX(B3440:B$2,-1+SUMPRODUCT(MAX(ROW(E3440:E$2)*(E3441=E3440:E$2)))))</f>
        <v> </v>
      </c>
      <c r="J3441" s="26" t="str">
        <f>IF(OR(E3441="",E3441="!!!",F3441="NEW"),"",COUNTBLANK(OFFSET(A$1,,,SUMPRODUCT(MAX(ROW(E$2:E3441)*(E3441=E$2:E3441)))))-COUNTBLANK(OFFSET(A$1,,,SUMPRODUCT(MAX(ROW(E$1:E3440)*(E2=E$1:E3440))))))</f>
        <v> </v>
      </c>
      <c r="K3441" s="26" t="str">
        <f>IF(OR(E3441="",E3441="!!!",F3441="NEW"),"",INDEX(J$1:J3440,SUMPRODUCT(MAX(ROW(E$1:E3440)*(E3441=E$1:E3440)))))</f>
        <v> </v>
      </c>
      <c r="L3441" s="27"/>
    </row>
    <row r="3442" spans="1:12">
      <c r="A3442" s="20" t="s">
        <v>1361</v>
      </c>
      <c r="E3442" s="22">
        <f>IF(D3442="?OLD","!!!","")</f>
        <v/>
      </c>
      <c r="F3442" s="23" t="str">
        <f>IF(OR(E3442="",E3442="!!!"),"",IF(NOT(ISNA(VLOOKUP(E3442,E$1:E3441,1,FALSE()))),"OLD",IF(AND(E3442&lt;&gt;"",E3442&lt;&gt;"!!!"),"NEW","")))</f>
        <v> </v>
      </c>
      <c r="G3442" s="24" t="str">
        <f>IF(OR(E3442="",E3442="!!!"),"",IF(OR(J3442=0,AND(J3442=1,K3442=1),AND(J3442=1,I3442="SBJ"),AND(J3442=1,I3442=0)),"?IN_FOCUS",IF(J3442&lt;=2,"?ACTIVATED",IF(J3442&lt;&gt;"","?FAMILIAR",IF(F3442="NEW",IF(ISNA(VLOOKUP(E3442,#REF!,1,FALSE())),"?TYPE_IDENTIFIABLE","?REFERENTIAL"),"_")))))</f>
        <v> </v>
      </c>
      <c r="H3442" s="25" t="str">
        <f>IF(J3442&lt;&gt;1,"",IF(I3442="SBJ","CB","?"))</f>
        <v> </v>
      </c>
      <c r="I3442" s="26" t="str">
        <f>IF(OR(E3442="",E3442="!!!",F3442="NEW"),"",INDEX(B3441:B$2,-1+SUMPRODUCT(MAX(ROW(E3441:E$2)*(E3442=E3441:E$2)))))</f>
        <v> </v>
      </c>
      <c r="J3442" s="26" t="str">
        <f>IF(OR(E3442="",E3442="!!!",F3442="NEW"),"",COUNTBLANK(OFFSET(A$1,,,SUMPRODUCT(MAX(ROW(E$2:E3442)*(E3442=E$2:E3442)))))-COUNTBLANK(OFFSET(A$1,,,SUMPRODUCT(MAX(ROW(E$1:E3441)*(E2=E$1:E3441))))))</f>
        <v> </v>
      </c>
      <c r="K3442" s="26" t="str">
        <f>IF(OR(E3442="",E3442="!!!",F3442="NEW"),"",INDEX(J$1:J3441,SUMPRODUCT(MAX(ROW(E$1:E3441)*(E3442=E$1:E3441)))))</f>
        <v> </v>
      </c>
      <c r="L3442" s="27"/>
    </row>
    <row r="3443" spans="1:12">
      <c r="A3443" s="20" t="s">
        <v>2047</v>
      </c>
      <c r="E3443" s="22">
        <f>IF(D3443="?OLD","!!!","")</f>
        <v/>
      </c>
      <c r="F3443" s="23" t="str">
        <f>IF(OR(E3443="",E3443="!!!"),"",IF(NOT(ISNA(VLOOKUP(E3443,E$1:E3442,1,FALSE()))),"OLD",IF(AND(E3443&lt;&gt;"",E3443&lt;&gt;"!!!"),"NEW","")))</f>
        <v> </v>
      </c>
      <c r="G3443" s="24" t="str">
        <f>IF(OR(E3443="",E3443="!!!"),"",IF(OR(J3443=0,AND(J3443=1,K3443=1),AND(J3443=1,I3443="SBJ"),AND(J3443=1,I3443=0)),"?IN_FOCUS",IF(J3443&lt;=2,"?ACTIVATED",IF(J3443&lt;&gt;"","?FAMILIAR",IF(F3443="NEW",IF(ISNA(VLOOKUP(E3443,#REF!,1,FALSE())),"?TYPE_IDENTIFIABLE","?REFERENTIAL"),"_")))))</f>
        <v> </v>
      </c>
      <c r="H3443" s="25" t="str">
        <f>IF(J3443&lt;&gt;1,"",IF(I3443="SBJ","CB","?"))</f>
        <v> </v>
      </c>
      <c r="I3443" s="26" t="str">
        <f>IF(OR(E3443="",E3443="!!!",F3443="NEW"),"",INDEX(B3442:B$2,-1+SUMPRODUCT(MAX(ROW(E3442:E$2)*(E3443=E3442:E$2)))))</f>
        <v> </v>
      </c>
      <c r="J3443" s="26" t="str">
        <f>IF(OR(E3443="",E3443="!!!",F3443="NEW"),"",COUNTBLANK(OFFSET(A$1,,,SUMPRODUCT(MAX(ROW(E$2:E3443)*(E3443=E$2:E3443)))))-COUNTBLANK(OFFSET(A$1,,,SUMPRODUCT(MAX(ROW(E$1:E3442)*(E2=E$1:E3442))))))</f>
        <v> </v>
      </c>
      <c r="K3443" s="26" t="str">
        <f>IF(OR(E3443="",E3443="!!!",F3443="NEW"),"",INDEX(J$1:J3442,SUMPRODUCT(MAX(ROW(E$1:E3442)*(E3443=E$1:E3442)))))</f>
        <v> </v>
      </c>
      <c r="L3443" s="27"/>
    </row>
    <row r="3444" spans="1:12">
      <c r="A3444" s="20" t="s">
        <v>1020</v>
      </c>
      <c r="E3444" s="22">
        <f>IF(D3444="?OLD","!!!","")</f>
        <v/>
      </c>
      <c r="F3444" s="23" t="str">
        <f>IF(OR(E3444="",E3444="!!!"),"",IF(NOT(ISNA(VLOOKUP(E3444,E$1:E3443,1,FALSE()))),"OLD",IF(AND(E3444&lt;&gt;"",E3444&lt;&gt;"!!!"),"NEW","")))</f>
        <v> </v>
      </c>
      <c r="G3444" s="24" t="str">
        <f>IF(OR(E3444="",E3444="!!!"),"",IF(OR(J3444=0,AND(J3444=1,K3444=1),AND(J3444=1,I3444="SBJ"),AND(J3444=1,I3444=0)),"?IN_FOCUS",IF(J3444&lt;=2,"?ACTIVATED",IF(J3444&lt;&gt;"","?FAMILIAR",IF(F3444="NEW",IF(ISNA(VLOOKUP(E3444,#REF!,1,FALSE())),"?TYPE_IDENTIFIABLE","?REFERENTIAL"),"_")))))</f>
        <v> </v>
      </c>
      <c r="H3444" s="25" t="str">
        <f>IF(J3444&lt;&gt;1,"",IF(I3444="SBJ","CB","?"))</f>
        <v> </v>
      </c>
      <c r="I3444" s="26" t="str">
        <f>IF(OR(E3444="",E3444="!!!",F3444="NEW"),"",INDEX(B3443:B$2,-1+SUMPRODUCT(MAX(ROW(E3443:E$2)*(E3444=E3443:E$2)))))</f>
        <v> </v>
      </c>
      <c r="J3444" s="26" t="str">
        <f>IF(OR(E3444="",E3444="!!!",F3444="NEW"),"",COUNTBLANK(OFFSET(A$1,,,SUMPRODUCT(MAX(ROW(E$2:E3444)*(E3444=E$2:E3444)))))-COUNTBLANK(OFFSET(A$1,,,SUMPRODUCT(MAX(ROW(E$1:E3443)*(E2=E$1:E3443))))))</f>
        <v> </v>
      </c>
      <c r="K3444" s="26" t="str">
        <f>IF(OR(E3444="",E3444="!!!",F3444="NEW"),"",INDEX(J$1:J3443,SUMPRODUCT(MAX(ROW(E$1:E3443)*(E3444=E$1:E3443)))))</f>
        <v> </v>
      </c>
      <c r="L3444" s="27"/>
    </row>
    <row r="3445" spans="1:12">
      <c r="A3445" s="20" t="s">
        <v>1231</v>
      </c>
      <c r="B3445" s="21" t="s">
        <v>1029</v>
      </c>
      <c r="C3445" s="21" t="s">
        <v>1048</v>
      </c>
      <c r="E3445" s="22">
        <f>IF(D3445="?OLD","!!!","")</f>
        <v/>
      </c>
      <c r="F3445" s="23" t="str">
        <f>IF(OR(E3445="",E3445="!!!"),"",IF(NOT(ISNA(VLOOKUP(E3445,E$1:E3444,1,FALSE()))),"OLD",IF(AND(E3445&lt;&gt;"",E3445&lt;&gt;"!!!"),"NEW","")))</f>
        <v> </v>
      </c>
      <c r="G3445" s="24" t="str">
        <f>IF(OR(E3445="",E3445="!!!"),"",IF(OR(J3445=0,AND(J3445=1,K3445=1),AND(J3445=1,I3445="SBJ"),AND(J3445=1,I3445=0)),"?IN_FOCUS",IF(J3445&lt;=2,"?ACTIVATED",IF(J3445&lt;&gt;"","?FAMILIAR",IF(F3445="NEW",IF(ISNA(VLOOKUP(E3445,#REF!,1,FALSE())),"?TYPE_IDENTIFIABLE","?REFERENTIAL"),"_")))))</f>
        <v> </v>
      </c>
      <c r="H3445" s="25" t="str">
        <f>IF(J3445&lt;&gt;1,"",IF(I3445="SBJ","CB","?"))</f>
        <v> </v>
      </c>
      <c r="I3445" s="26" t="str">
        <f>IF(OR(E3445="",E3445="!!!",F3445="NEW"),"",INDEX(B3444:B$2,-1+SUMPRODUCT(MAX(ROW(E3444:E$2)*(E3445=E3444:E$2)))))</f>
        <v> </v>
      </c>
      <c r="J3445" s="26" t="str">
        <f>IF(OR(E3445="",E3445="!!!",F3445="NEW"),"",COUNTBLANK(OFFSET(A$1,,,SUMPRODUCT(MAX(ROW(E$2:E3445)*(E3445=E$2:E3445)))))-COUNTBLANK(OFFSET(A$1,,,SUMPRODUCT(MAX(ROW(E$1:E3444)*(E2=E$1:E3444))))))</f>
        <v> </v>
      </c>
      <c r="K3445" s="26" t="str">
        <f>IF(OR(E3445="",E3445="!!!",F3445="NEW"),"",INDEX(J$1:J3444,SUMPRODUCT(MAX(ROW(E$1:E3444)*(E3445=E$1:E3444)))))</f>
        <v> </v>
      </c>
      <c r="L3445" s="27"/>
    </row>
    <row r="3446" spans="1:12">
      <c r="A3446" s="20" t="s">
        <v>1694</v>
      </c>
      <c r="E3446" s="22">
        <f>IF(D3446="?OLD","!!!","")</f>
        <v/>
      </c>
      <c r="F3446" s="23" t="str">
        <f>IF(OR(E3446="",E3446="!!!"),"",IF(NOT(ISNA(VLOOKUP(E3446,E$1:E3445,1,FALSE()))),"OLD",IF(AND(E3446&lt;&gt;"",E3446&lt;&gt;"!!!"),"NEW","")))</f>
        <v> </v>
      </c>
      <c r="G3446" s="24" t="str">
        <f>IF(OR(E3446="",E3446="!!!"),"",IF(OR(J3446=0,AND(J3446=1,K3446=1),AND(J3446=1,I3446="SBJ"),AND(J3446=1,I3446=0)),"?IN_FOCUS",IF(J3446&lt;=2,"?ACTIVATED",IF(J3446&lt;&gt;"","?FAMILIAR",IF(F3446="NEW",IF(ISNA(VLOOKUP(E3446,#REF!,1,FALSE())),"?TYPE_IDENTIFIABLE","?REFERENTIAL"),"_")))))</f>
        <v> </v>
      </c>
      <c r="H3446" s="25" t="str">
        <f>IF(J3446&lt;&gt;1,"",IF(I3446="SBJ","CB","?"))</f>
        <v> </v>
      </c>
      <c r="I3446" s="26" t="str">
        <f>IF(OR(E3446="",E3446="!!!",F3446="NEW"),"",INDEX(B3445:B$2,-1+SUMPRODUCT(MAX(ROW(E3445:E$2)*(E3446=E3445:E$2)))))</f>
        <v> </v>
      </c>
      <c r="J3446" s="26" t="str">
        <f>IF(OR(E3446="",E3446="!!!",F3446="NEW"),"",COUNTBLANK(OFFSET(A$1,,,SUMPRODUCT(MAX(ROW(E$2:E3446)*(E3446=E$2:E3446)))))-COUNTBLANK(OFFSET(A$1,,,SUMPRODUCT(MAX(ROW(E$1:E3445)*(E2=E$1:E3445))))))</f>
        <v> </v>
      </c>
      <c r="K3446" s="26" t="str">
        <f>IF(OR(E3446="",E3446="!!!",F3446="NEW"),"",INDEX(J$1:J3445,SUMPRODUCT(MAX(ROW(E$1:E3445)*(E3446=E$1:E3445)))))</f>
        <v> </v>
      </c>
      <c r="L3446" s="27"/>
    </row>
    <row r="3447" spans="1:12">
      <c r="A3447" s="20" t="s">
        <v>1978</v>
      </c>
      <c r="E3447" s="22">
        <f>IF(D3447="?OLD","!!!","")</f>
        <v/>
      </c>
      <c r="F3447" s="23" t="str">
        <f>IF(OR(E3447="",E3447="!!!"),"",IF(NOT(ISNA(VLOOKUP(E3447,E$1:E3446,1,FALSE()))),"OLD",IF(AND(E3447&lt;&gt;"",E3447&lt;&gt;"!!!"),"NEW","")))</f>
        <v> </v>
      </c>
      <c r="G3447" s="24" t="str">
        <f>IF(OR(E3447="",E3447="!!!"),"",IF(OR(J3447=0,AND(J3447=1,K3447=1),AND(J3447=1,I3447="SBJ"),AND(J3447=1,I3447=0)),"?IN_FOCUS",IF(J3447&lt;=2,"?ACTIVATED",IF(J3447&lt;&gt;"","?FAMILIAR",IF(F3447="NEW",IF(ISNA(VLOOKUP(E3447,#REF!,1,FALSE())),"?TYPE_IDENTIFIABLE","?REFERENTIAL"),"_")))))</f>
        <v> </v>
      </c>
      <c r="H3447" s="25" t="str">
        <f>IF(J3447&lt;&gt;1,"",IF(I3447="SBJ","CB","?"))</f>
        <v> </v>
      </c>
      <c r="I3447" s="26" t="str">
        <f>IF(OR(E3447="",E3447="!!!",F3447="NEW"),"",INDEX(B3446:B$2,-1+SUMPRODUCT(MAX(ROW(E3446:E$2)*(E3447=E3446:E$2)))))</f>
        <v> </v>
      </c>
      <c r="J3447" s="26" t="str">
        <f>IF(OR(E3447="",E3447="!!!",F3447="NEW"),"",COUNTBLANK(OFFSET(A$1,,,SUMPRODUCT(MAX(ROW(E$2:E3447)*(E3447=E$2:E3447)))))-COUNTBLANK(OFFSET(A$1,,,SUMPRODUCT(MAX(ROW(E$1:E3446)*(E2=E$1:E3446))))))</f>
        <v> </v>
      </c>
      <c r="K3447" s="26" t="str">
        <f>IF(OR(E3447="",E3447="!!!",F3447="NEW"),"",INDEX(J$1:J3446,SUMPRODUCT(MAX(ROW(E$1:E3446)*(E3447=E$1:E3446)))))</f>
        <v> </v>
      </c>
      <c r="L3447" s="27"/>
    </row>
    <row r="3448" spans="1:12">
      <c r="A3448" s="20" t="s">
        <v>1023</v>
      </c>
      <c r="E3448" s="22">
        <f>IF(D3448="?OLD","!!!","")</f>
        <v/>
      </c>
      <c r="F3448" s="23" t="str">
        <f>IF(OR(E3448="",E3448="!!!"),"",IF(NOT(ISNA(VLOOKUP(E3448,E$1:E3447,1,FALSE()))),"OLD",IF(AND(E3448&lt;&gt;"",E3448&lt;&gt;"!!!"),"NEW","")))</f>
        <v> </v>
      </c>
      <c r="G3448" s="24" t="str">
        <f>IF(OR(E3448="",E3448="!!!"),"",IF(OR(J3448=0,AND(J3448=1,K3448=1),AND(J3448=1,I3448="SBJ"),AND(J3448=1,I3448=0)),"?IN_FOCUS",IF(J3448&lt;=2,"?ACTIVATED",IF(J3448&lt;&gt;"","?FAMILIAR",IF(F3448="NEW",IF(ISNA(VLOOKUP(E3448,#REF!,1,FALSE())),"?TYPE_IDENTIFIABLE","?REFERENTIAL"),"_")))))</f>
        <v> </v>
      </c>
      <c r="H3448" s="25" t="str">
        <f>IF(J3448&lt;&gt;1,"",IF(I3448="SBJ","CB","?"))</f>
        <v> </v>
      </c>
      <c r="I3448" s="26" t="str">
        <f>IF(OR(E3448="",E3448="!!!",F3448="NEW"),"",INDEX(B3447:B$2,-1+SUMPRODUCT(MAX(ROW(E3447:E$2)*(E3448=E3447:E$2)))))</f>
        <v> </v>
      </c>
      <c r="J3448" s="26" t="str">
        <f>IF(OR(E3448="",E3448="!!!",F3448="NEW"),"",COUNTBLANK(OFFSET(A$1,,,SUMPRODUCT(MAX(ROW(E$2:E3448)*(E3448=E$2:E3448)))))-COUNTBLANK(OFFSET(A$1,,,SUMPRODUCT(MAX(ROW(E$1:E3447)*(E2=E$1:E3447))))))</f>
        <v> </v>
      </c>
      <c r="K3448" s="26" t="str">
        <f>IF(OR(E3448="",E3448="!!!",F3448="NEW"),"",INDEX(J$1:J3447,SUMPRODUCT(MAX(ROW(E$1:E3447)*(E3448=E$1:E3447)))))</f>
        <v> </v>
      </c>
      <c r="L3448" s="27"/>
    </row>
    <row r="3449" spans="1:12">
      <c r="A3449" s="20"/>
    </row>
    <row r="3450" spans="1:12">
      <c r="A3450" s="20" t="s">
        <v>2048</v>
      </c>
    </row>
    <row r="3451" spans="1:12">
      <c r="A3451" s="20" t="s">
        <v>1259</v>
      </c>
      <c r="E3451" s="22">
        <f>IF(D3451="?OLD","!!!","")</f>
        <v/>
      </c>
      <c r="F3451" s="23" t="str">
        <f>IF(OR(E3451="",E3451="!!!"),"",IF(NOT(ISNA(VLOOKUP(E3451,E$1:E3450,1,FALSE()))),"OLD",IF(AND(E3451&lt;&gt;"",E3451&lt;&gt;"!!!"),"NEW","")))</f>
        <v> </v>
      </c>
      <c r="G3451" s="24" t="str">
        <f>IF(OR(E3451="",E3451="!!!"),"",IF(OR(J3451=0,AND(J3451=1,K3451=1),AND(J3451=1,I3451="SBJ"),AND(J3451=1,I3451=0)),"?IN_FOCUS",IF(J3451&lt;=2,"?ACTIVATED",IF(J3451&lt;&gt;"","?FAMILIAR",IF(F3451="NEW",IF(ISNA(VLOOKUP(E3451,#REF!,1,FALSE())),"?TYPE_IDENTIFIABLE","?REFERENTIAL"),"_")))))</f>
        <v> </v>
      </c>
      <c r="H3451" s="25" t="str">
        <f>IF(J3451&lt;&gt;1,"",IF(I3451="SBJ","CB","?"))</f>
        <v> </v>
      </c>
      <c r="I3451" s="26" t="str">
        <f>IF(OR(E3451="",E3451="!!!",F3451="NEW"),"",INDEX(B3450:B$2,-1+SUMPRODUCT(MAX(ROW(E3450:E$2)*(E3451=E3450:E$2)))))</f>
        <v> </v>
      </c>
      <c r="J3451" s="26" t="str">
        <f>IF(OR(E3451="",E3451="!!!",F3451="NEW"),"",COUNTBLANK(OFFSET(A$1,,,SUMPRODUCT(MAX(ROW(E$2:E3451)*(E3451=E$2:E3451)))))-COUNTBLANK(OFFSET(A$1,,,SUMPRODUCT(MAX(ROW(E$1:E3450)*(E2=E$1:E3450))))))</f>
        <v> </v>
      </c>
      <c r="K3451" s="26" t="str">
        <f>IF(OR(E3451="",E3451="!!!",F3451="NEW"),"",INDEX(J$1:J3450,SUMPRODUCT(MAX(ROW(E$1:E3450)*(E3451=E$1:E3450)))))</f>
        <v> </v>
      </c>
      <c r="L3451" s="27"/>
    </row>
    <row r="3452" spans="1:12">
      <c r="A3452" s="20" t="s">
        <v>1286</v>
      </c>
      <c r="E3452" s="22">
        <f>IF(D3452="?OLD","!!!","")</f>
        <v/>
      </c>
      <c r="F3452" s="23" t="str">
        <f>IF(OR(E3452="",E3452="!!!"),"",IF(NOT(ISNA(VLOOKUP(E3452,E$1:E3451,1,FALSE()))),"OLD",IF(AND(E3452&lt;&gt;"",E3452&lt;&gt;"!!!"),"NEW","")))</f>
        <v> </v>
      </c>
      <c r="G3452" s="24" t="str">
        <f>IF(OR(E3452="",E3452="!!!"),"",IF(OR(J3452=0,AND(J3452=1,K3452=1),AND(J3452=1,I3452="SBJ"),AND(J3452=1,I3452=0)),"?IN_FOCUS",IF(J3452&lt;=2,"?ACTIVATED",IF(J3452&lt;&gt;"","?FAMILIAR",IF(F3452="NEW",IF(ISNA(VLOOKUP(E3452,#REF!,1,FALSE())),"?TYPE_IDENTIFIABLE","?REFERENTIAL"),"_")))))</f>
        <v> </v>
      </c>
      <c r="H3452" s="25" t="str">
        <f>IF(J3452&lt;&gt;1,"",IF(I3452="SBJ","CB","?"))</f>
        <v> </v>
      </c>
      <c r="I3452" s="26" t="str">
        <f>IF(OR(E3452="",E3452="!!!",F3452="NEW"),"",INDEX(B3451:B$2,-1+SUMPRODUCT(MAX(ROW(E3451:E$2)*(E3452=E3451:E$2)))))</f>
        <v> </v>
      </c>
      <c r="J3452" s="26" t="str">
        <f>IF(OR(E3452="",E3452="!!!",F3452="NEW"),"",COUNTBLANK(OFFSET(A$1,,,SUMPRODUCT(MAX(ROW(E$2:E3452)*(E3452=E$2:E3452)))))-COUNTBLANK(OFFSET(A$1,,,SUMPRODUCT(MAX(ROW(E$1:E3451)*(E2=E$1:E3451))))))</f>
        <v> </v>
      </c>
      <c r="K3452" s="26" t="str">
        <f>IF(OR(E3452="",E3452="!!!",F3452="NEW"),"",INDEX(J$1:J3451,SUMPRODUCT(MAX(ROW(E$1:E3451)*(E3452=E$1:E3451)))))</f>
        <v> </v>
      </c>
      <c r="L3452" s="27"/>
    </row>
    <row r="3453" spans="1:12">
      <c r="A3453" s="20" t="s">
        <v>1039</v>
      </c>
      <c r="B3453" s="21" t="s">
        <v>1085</v>
      </c>
      <c r="C3453" s="21" t="s">
        <v>1103</v>
      </c>
      <c r="E3453" s="22">
        <f>IF(D3453="?OLD","!!!","")</f>
        <v/>
      </c>
      <c r="F3453" s="23" t="str">
        <f>IF(OR(E3453="",E3453="!!!"),"",IF(NOT(ISNA(VLOOKUP(E3453,E$1:E3452,1,FALSE()))),"OLD",IF(AND(E3453&lt;&gt;"",E3453&lt;&gt;"!!!"),"NEW","")))</f>
        <v> </v>
      </c>
      <c r="G3453" s="24" t="str">
        <f>IF(OR(E3453="",E3453="!!!"),"",IF(OR(J3453=0,AND(J3453=1,K3453=1),AND(J3453=1,I3453="SBJ"),AND(J3453=1,I3453=0)),"?IN_FOCUS",IF(J3453&lt;=2,"?ACTIVATED",IF(J3453&lt;&gt;"","?FAMILIAR",IF(F3453="NEW",IF(ISNA(VLOOKUP(E3453,#REF!,1,FALSE())),"?TYPE_IDENTIFIABLE","?REFERENTIAL"),"_")))))</f>
        <v> </v>
      </c>
      <c r="H3453" s="25" t="str">
        <f>IF(J3453&lt;&gt;1,"",IF(I3453="SBJ","CB","?"))</f>
        <v> </v>
      </c>
      <c r="I3453" s="26" t="str">
        <f>IF(OR(E3453="",E3453="!!!",F3453="NEW"),"",INDEX(B3452:B$2,-1+SUMPRODUCT(MAX(ROW(E3452:E$2)*(E3453=E3452:E$2)))))</f>
        <v> </v>
      </c>
      <c r="J3453" s="26" t="str">
        <f>IF(OR(E3453="",E3453="!!!",F3453="NEW"),"",COUNTBLANK(OFFSET(A$1,,,SUMPRODUCT(MAX(ROW(E$2:E3453)*(E3453=E$2:E3453)))))-COUNTBLANK(OFFSET(A$1,,,SUMPRODUCT(MAX(ROW(E$1:E3452)*(E2=E$1:E3452))))))</f>
        <v> </v>
      </c>
      <c r="K3453" s="26" t="str">
        <f>IF(OR(E3453="",E3453="!!!",F3453="NEW"),"",INDEX(J$1:J3452,SUMPRODUCT(MAX(ROW(E$1:E3452)*(E3453=E$1:E3452)))))</f>
        <v> </v>
      </c>
      <c r="L3453" s="27"/>
    </row>
    <row r="3454" spans="1:12">
      <c r="A3454" s="20" t="s">
        <v>1097</v>
      </c>
      <c r="E3454" s="22">
        <f>IF(D3454="?OLD","!!!","")</f>
        <v/>
      </c>
      <c r="F3454" s="23" t="str">
        <f>IF(OR(E3454="",E3454="!!!"),"",IF(NOT(ISNA(VLOOKUP(E3454,E$1:E3453,1,FALSE()))),"OLD",IF(AND(E3454&lt;&gt;"",E3454&lt;&gt;"!!!"),"NEW","")))</f>
        <v> </v>
      </c>
      <c r="G3454" s="24" t="str">
        <f>IF(OR(E3454="",E3454="!!!"),"",IF(OR(J3454=0,AND(J3454=1,K3454=1),AND(J3454=1,I3454="SBJ"),AND(J3454=1,I3454=0)),"?IN_FOCUS",IF(J3454&lt;=2,"?ACTIVATED",IF(J3454&lt;&gt;"","?FAMILIAR",IF(F3454="NEW",IF(ISNA(VLOOKUP(E3454,#REF!,1,FALSE())),"?TYPE_IDENTIFIABLE","?REFERENTIAL"),"_")))))</f>
        <v> </v>
      </c>
      <c r="H3454" s="25" t="str">
        <f>IF(J3454&lt;&gt;1,"",IF(I3454="SBJ","CB","?"))</f>
        <v> </v>
      </c>
      <c r="I3454" s="26" t="str">
        <f>IF(OR(E3454="",E3454="!!!",F3454="NEW"),"",INDEX(B3453:B$2,-1+SUMPRODUCT(MAX(ROW(E3453:E$2)*(E3454=E3453:E$2)))))</f>
        <v> </v>
      </c>
      <c r="J3454" s="26" t="str">
        <f>IF(OR(E3454="",E3454="!!!",F3454="NEW"),"",COUNTBLANK(OFFSET(A$1,,,SUMPRODUCT(MAX(ROW(E$2:E3454)*(E3454=E$2:E3454)))))-COUNTBLANK(OFFSET(A$1,,,SUMPRODUCT(MAX(ROW(E$1:E3453)*(E2=E$1:E3453))))))</f>
        <v> </v>
      </c>
      <c r="K3454" s="26" t="str">
        <f>IF(OR(E3454="",E3454="!!!",F3454="NEW"),"",INDEX(J$1:J3453,SUMPRODUCT(MAX(ROW(E$1:E3453)*(E3454=E$1:E3453)))))</f>
        <v> </v>
      </c>
      <c r="L3454" s="27"/>
    </row>
    <row r="3455" spans="1:12">
      <c r="A3455" s="20" t="s">
        <v>893</v>
      </c>
      <c r="E3455" s="22">
        <f>IF(D3455="?OLD","!!!","")</f>
        <v/>
      </c>
      <c r="F3455" s="23" t="str">
        <f>IF(OR(E3455="",E3455="!!!"),"",IF(NOT(ISNA(VLOOKUP(E3455,E$1:E3454,1,FALSE()))),"OLD",IF(AND(E3455&lt;&gt;"",E3455&lt;&gt;"!!!"),"NEW","")))</f>
        <v> </v>
      </c>
      <c r="G3455" s="24" t="str">
        <f>IF(OR(E3455="",E3455="!!!"),"",IF(OR(J3455=0,AND(J3455=1,K3455=1),AND(J3455=1,I3455="SBJ"),AND(J3455=1,I3455=0)),"?IN_FOCUS",IF(J3455&lt;=2,"?ACTIVATED",IF(J3455&lt;&gt;"","?FAMILIAR",IF(F3455="NEW",IF(ISNA(VLOOKUP(E3455,#REF!,1,FALSE())),"?TYPE_IDENTIFIABLE","?REFERENTIAL"),"_")))))</f>
        <v> </v>
      </c>
      <c r="H3455" s="25" t="str">
        <f>IF(J3455&lt;&gt;1,"",IF(I3455="SBJ","CB","?"))</f>
        <v> </v>
      </c>
      <c r="I3455" s="26" t="str">
        <f>IF(OR(E3455="",E3455="!!!",F3455="NEW"),"",INDEX(B3454:B$2,-1+SUMPRODUCT(MAX(ROW(E3454:E$2)*(E3455=E3454:E$2)))))</f>
        <v> </v>
      </c>
      <c r="J3455" s="26" t="str">
        <f>IF(OR(E3455="",E3455="!!!",F3455="NEW"),"",COUNTBLANK(OFFSET(A$1,,,SUMPRODUCT(MAX(ROW(E$2:E3455)*(E3455=E$2:E3455)))))-COUNTBLANK(OFFSET(A$1,,,SUMPRODUCT(MAX(ROW(E$1:E3454)*(E2=E$1:E3454))))))</f>
        <v> </v>
      </c>
      <c r="K3455" s="26" t="str">
        <f>IF(OR(E3455="",E3455="!!!",F3455="NEW"),"",INDEX(J$1:J3454,SUMPRODUCT(MAX(ROW(E$1:E3454)*(E3455=E$1:E3454)))))</f>
        <v> </v>
      </c>
      <c r="L3455" s="27"/>
    </row>
    <row r="3456" spans="1:12">
      <c r="A3456" s="20" t="s">
        <v>1077</v>
      </c>
      <c r="E3456" s="22">
        <f>IF(D3456="?OLD","!!!","")</f>
        <v/>
      </c>
      <c r="F3456" s="23" t="str">
        <f>IF(OR(E3456="",E3456="!!!"),"",IF(NOT(ISNA(VLOOKUP(E3456,E$1:E3455,1,FALSE()))),"OLD",IF(AND(E3456&lt;&gt;"",E3456&lt;&gt;"!!!"),"NEW","")))</f>
        <v> </v>
      </c>
      <c r="G3456" s="24" t="str">
        <f>IF(OR(E3456="",E3456="!!!"),"",IF(OR(J3456=0,AND(J3456=1,K3456=1),AND(J3456=1,I3456="SBJ"),AND(J3456=1,I3456=0)),"?IN_FOCUS",IF(J3456&lt;=2,"?ACTIVATED",IF(J3456&lt;&gt;"","?FAMILIAR",IF(F3456="NEW",IF(ISNA(VLOOKUP(E3456,#REF!,1,FALSE())),"?TYPE_IDENTIFIABLE","?REFERENTIAL"),"_")))))</f>
        <v> </v>
      </c>
      <c r="H3456" s="25" t="str">
        <f>IF(J3456&lt;&gt;1,"",IF(I3456="SBJ","CB","?"))</f>
        <v> </v>
      </c>
      <c r="I3456" s="26" t="str">
        <f>IF(OR(E3456="",E3456="!!!",F3456="NEW"),"",INDEX(B3455:B$2,-1+SUMPRODUCT(MAX(ROW(E3455:E$2)*(E3456=E3455:E$2)))))</f>
        <v> </v>
      </c>
      <c r="J3456" s="26" t="str">
        <f>IF(OR(E3456="",E3456="!!!",F3456="NEW"),"",COUNTBLANK(OFFSET(A$1,,,SUMPRODUCT(MAX(ROW(E$2:E3456)*(E3456=E$2:E3456)))))-COUNTBLANK(OFFSET(A$1,,,SUMPRODUCT(MAX(ROW(E$1:E3455)*(E2=E$1:E3455))))))</f>
        <v> </v>
      </c>
      <c r="K3456" s="26" t="str">
        <f>IF(OR(E3456="",E3456="!!!",F3456="NEW"),"",INDEX(J$1:J3455,SUMPRODUCT(MAX(ROW(E$1:E3455)*(E3456=E$1:E3455)))))</f>
        <v> </v>
      </c>
      <c r="L3456" s="27"/>
    </row>
    <row r="3457" spans="1:12">
      <c r="A3457" s="20"/>
    </row>
    <row r="3458" spans="1:12">
      <c r="A3458" s="20" t="s">
        <v>2049</v>
      </c>
    </row>
    <row r="3459" spans="1:12">
      <c r="A3459" s="20" t="s">
        <v>1118</v>
      </c>
      <c r="B3459" s="21" t="s">
        <v>1005</v>
      </c>
      <c r="C3459" s="21" t="s">
        <v>1048</v>
      </c>
      <c r="E3459" s="22">
        <f>IF(D3459="?OLD","!!!","")</f>
        <v/>
      </c>
      <c r="F3459" s="23" t="str">
        <f>IF(OR(E3459="",E3459="!!!"),"",IF(NOT(ISNA(VLOOKUP(E3459,E$1:E3458,1,FALSE()))),"OLD",IF(AND(E3459&lt;&gt;"",E3459&lt;&gt;"!!!"),"NEW","")))</f>
        <v> </v>
      </c>
      <c r="G3459" s="24" t="str">
        <f>IF(OR(E3459="",E3459="!!!"),"",IF(OR(J3459=0,AND(J3459=1,K3459=1),AND(J3459=1,I3459="SBJ"),AND(J3459=1,I3459=0)),"?IN_FOCUS",IF(J3459&lt;=2,"?ACTIVATED",IF(J3459&lt;&gt;"","?FAMILIAR",IF(F3459="NEW",IF(ISNA(VLOOKUP(E3459,#REF!,1,FALSE())),"?TYPE_IDENTIFIABLE","?REFERENTIAL"),"_")))))</f>
        <v> </v>
      </c>
      <c r="H3459" s="25" t="str">
        <f>IF(J3459&lt;&gt;1,"",IF(I3459="SBJ","CB","?"))</f>
        <v> </v>
      </c>
      <c r="I3459" s="26" t="str">
        <f>IF(OR(E3459="",E3459="!!!",F3459="NEW"),"",INDEX(B3458:B$2,-1+SUMPRODUCT(MAX(ROW(E3458:E$2)*(E3459=E3458:E$2)))))</f>
        <v> </v>
      </c>
      <c r="J3459" s="26" t="str">
        <f>IF(OR(E3459="",E3459="!!!",F3459="NEW"),"",COUNTBLANK(OFFSET(A$1,,,SUMPRODUCT(MAX(ROW(E$2:E3459)*(E3459=E$2:E3459)))))-COUNTBLANK(OFFSET(A$1,,,SUMPRODUCT(MAX(ROW(E$1:E3458)*(E2=E$1:E3458))))))</f>
        <v> </v>
      </c>
      <c r="K3459" s="26" t="str">
        <f>IF(OR(E3459="",E3459="!!!",F3459="NEW"),"",INDEX(J$1:J3458,SUMPRODUCT(MAX(ROW(E$1:E3458)*(E3459=E$1:E3458)))))</f>
        <v> </v>
      </c>
      <c r="L3459" s="27"/>
    </row>
    <row r="3460" spans="1:12">
      <c r="A3460" s="20" t="s">
        <v>1009</v>
      </c>
      <c r="E3460" s="22">
        <f>IF(D3460="?OLD","!!!","")</f>
        <v/>
      </c>
      <c r="F3460" s="23" t="str">
        <f>IF(OR(E3460="",E3460="!!!"),"",IF(NOT(ISNA(VLOOKUP(E3460,E$1:E3459,1,FALSE()))),"OLD",IF(AND(E3460&lt;&gt;"",E3460&lt;&gt;"!!!"),"NEW","")))</f>
        <v> </v>
      </c>
      <c r="G3460" s="24" t="str">
        <f>IF(OR(E3460="",E3460="!!!"),"",IF(OR(J3460=0,AND(J3460=1,K3460=1),AND(J3460=1,I3460="SBJ"),AND(J3460=1,I3460=0)),"?IN_FOCUS",IF(J3460&lt;=2,"?ACTIVATED",IF(J3460&lt;&gt;"","?FAMILIAR",IF(F3460="NEW",IF(ISNA(VLOOKUP(E3460,#REF!,1,FALSE())),"?TYPE_IDENTIFIABLE","?REFERENTIAL"),"_")))))</f>
        <v> </v>
      </c>
      <c r="H3460" s="25" t="str">
        <f>IF(J3460&lt;&gt;1,"",IF(I3460="SBJ","CB","?"))</f>
        <v> </v>
      </c>
      <c r="I3460" s="26" t="str">
        <f>IF(OR(E3460="",E3460="!!!",F3460="NEW"),"",INDEX(B3459:B$2,-1+SUMPRODUCT(MAX(ROW(E3459:E$2)*(E3460=E3459:E$2)))))</f>
        <v> </v>
      </c>
      <c r="J3460" s="26" t="str">
        <f>IF(OR(E3460="",E3460="!!!",F3460="NEW"),"",COUNTBLANK(OFFSET(A$1,,,SUMPRODUCT(MAX(ROW(E$2:E3460)*(E3460=E$2:E3460)))))-COUNTBLANK(OFFSET(A$1,,,SUMPRODUCT(MAX(ROW(E$1:E3459)*(E2=E$1:E3459))))))</f>
        <v> </v>
      </c>
      <c r="K3460" s="26" t="str">
        <f>IF(OR(E3460="",E3460="!!!",F3460="NEW"),"",INDEX(J$1:J3459,SUMPRODUCT(MAX(ROW(E$1:E3459)*(E3460=E$1:E3459)))))</f>
        <v> </v>
      </c>
      <c r="L3460" s="27"/>
    </row>
    <row r="3461" spans="1:12">
      <c r="A3461" s="20" t="s">
        <v>2050</v>
      </c>
      <c r="E3461" s="22">
        <f>IF(D3461="?OLD","!!!","")</f>
        <v/>
      </c>
      <c r="F3461" s="23" t="str">
        <f>IF(OR(E3461="",E3461="!!!"),"",IF(NOT(ISNA(VLOOKUP(E3461,E$1:E3460,1,FALSE()))),"OLD",IF(AND(E3461&lt;&gt;"",E3461&lt;&gt;"!!!"),"NEW","")))</f>
        <v> </v>
      </c>
      <c r="G3461" s="24" t="str">
        <f>IF(OR(E3461="",E3461="!!!"),"",IF(OR(J3461=0,AND(J3461=1,K3461=1),AND(J3461=1,I3461="SBJ"),AND(J3461=1,I3461=0)),"?IN_FOCUS",IF(J3461&lt;=2,"?ACTIVATED",IF(J3461&lt;&gt;"","?FAMILIAR",IF(F3461="NEW",IF(ISNA(VLOOKUP(E3461,#REF!,1,FALSE())),"?TYPE_IDENTIFIABLE","?REFERENTIAL"),"_")))))</f>
        <v> </v>
      </c>
      <c r="H3461" s="25" t="str">
        <f>IF(J3461&lt;&gt;1,"",IF(I3461="SBJ","CB","?"))</f>
        <v> </v>
      </c>
      <c r="I3461" s="26" t="str">
        <f>IF(OR(E3461="",E3461="!!!",F3461="NEW"),"",INDEX(B3460:B$2,-1+SUMPRODUCT(MAX(ROW(E3460:E$2)*(E3461=E3460:E$2)))))</f>
        <v> </v>
      </c>
      <c r="J3461" s="26" t="str">
        <f>IF(OR(E3461="",E3461="!!!",F3461="NEW"),"",COUNTBLANK(OFFSET(A$1,,,SUMPRODUCT(MAX(ROW(E$2:E3461)*(E3461=E$2:E3461)))))-COUNTBLANK(OFFSET(A$1,,,SUMPRODUCT(MAX(ROW(E$1:E3460)*(E2=E$1:E3460))))))</f>
        <v> </v>
      </c>
      <c r="K3461" s="26" t="str">
        <f>IF(OR(E3461="",E3461="!!!",F3461="NEW"),"",INDEX(J$1:J3460,SUMPRODUCT(MAX(ROW(E$1:E3460)*(E3461=E$1:E3460)))))</f>
        <v> </v>
      </c>
      <c r="L3461" s="27"/>
    </row>
    <row r="3462" spans="1:12">
      <c r="A3462" s="20" t="s">
        <v>1018</v>
      </c>
      <c r="E3462" s="22">
        <f>IF(D3462="?OLD","!!!","")</f>
        <v/>
      </c>
      <c r="F3462" s="23" t="str">
        <f>IF(OR(E3462="",E3462="!!!"),"",IF(NOT(ISNA(VLOOKUP(E3462,E$1:E3461,1,FALSE()))),"OLD",IF(AND(E3462&lt;&gt;"",E3462&lt;&gt;"!!!"),"NEW","")))</f>
        <v> </v>
      </c>
      <c r="G3462" s="24" t="str">
        <f>IF(OR(E3462="",E3462="!!!"),"",IF(OR(J3462=0,AND(J3462=1,K3462=1),AND(J3462=1,I3462="SBJ"),AND(J3462=1,I3462=0)),"?IN_FOCUS",IF(J3462&lt;=2,"?ACTIVATED",IF(J3462&lt;&gt;"","?FAMILIAR",IF(F3462="NEW",IF(ISNA(VLOOKUP(E3462,#REF!,1,FALSE())),"?TYPE_IDENTIFIABLE","?REFERENTIAL"),"_")))))</f>
        <v> </v>
      </c>
      <c r="H3462" s="25" t="str">
        <f>IF(J3462&lt;&gt;1,"",IF(I3462="SBJ","CB","?"))</f>
        <v> </v>
      </c>
      <c r="I3462" s="26" t="str">
        <f>IF(OR(E3462="",E3462="!!!",F3462="NEW"),"",INDEX(B3461:B$2,-1+SUMPRODUCT(MAX(ROW(E3461:E$2)*(E3462=E3461:E$2)))))</f>
        <v> </v>
      </c>
      <c r="J3462" s="26" t="str">
        <f>IF(OR(E3462="",E3462="!!!",F3462="NEW"),"",COUNTBLANK(OFFSET(A$1,,,SUMPRODUCT(MAX(ROW(E$2:E3462)*(E3462=E$2:E3462)))))-COUNTBLANK(OFFSET(A$1,,,SUMPRODUCT(MAX(ROW(E$1:E3461)*(E2=E$1:E3461))))))</f>
        <v> </v>
      </c>
      <c r="K3462" s="26" t="str">
        <f>IF(OR(E3462="",E3462="!!!",F3462="NEW"),"",INDEX(J$1:J3461,SUMPRODUCT(MAX(ROW(E$1:E3461)*(E3462=E$1:E3461)))))</f>
        <v> </v>
      </c>
      <c r="L3462" s="27"/>
    </row>
    <row r="3463" spans="1:12">
      <c r="A3463" s="20" t="s">
        <v>2051</v>
      </c>
      <c r="E3463" s="22">
        <f>IF(D3463="?OLD","!!!","")</f>
        <v/>
      </c>
      <c r="F3463" s="23" t="str">
        <f>IF(OR(E3463="",E3463="!!!"),"",IF(NOT(ISNA(VLOOKUP(E3463,E$1:E3462,1,FALSE()))),"OLD",IF(AND(E3463&lt;&gt;"",E3463&lt;&gt;"!!!"),"NEW","")))</f>
        <v> </v>
      </c>
      <c r="G3463" s="24" t="str">
        <f>IF(OR(E3463="",E3463="!!!"),"",IF(OR(J3463=0,AND(J3463=1,K3463=1),AND(J3463=1,I3463="SBJ"),AND(J3463=1,I3463=0)),"?IN_FOCUS",IF(J3463&lt;=2,"?ACTIVATED",IF(J3463&lt;&gt;"","?FAMILIAR",IF(F3463="NEW",IF(ISNA(VLOOKUP(E3463,#REF!,1,FALSE())),"?TYPE_IDENTIFIABLE","?REFERENTIAL"),"_")))))</f>
        <v> </v>
      </c>
      <c r="H3463" s="25" t="str">
        <f>IF(J3463&lt;&gt;1,"",IF(I3463="SBJ","CB","?"))</f>
        <v> </v>
      </c>
      <c r="I3463" s="26" t="str">
        <f>IF(OR(E3463="",E3463="!!!",F3463="NEW"),"",INDEX(B3462:B$2,-1+SUMPRODUCT(MAX(ROW(E3462:E$2)*(E3463=E3462:E$2)))))</f>
        <v> </v>
      </c>
      <c r="J3463" s="26" t="str">
        <f>IF(OR(E3463="",E3463="!!!",F3463="NEW"),"",COUNTBLANK(OFFSET(A$1,,,SUMPRODUCT(MAX(ROW(E$2:E3463)*(E3463=E$2:E3463)))))-COUNTBLANK(OFFSET(A$1,,,SUMPRODUCT(MAX(ROW(E$1:E3462)*(E2=E$1:E3462))))))</f>
        <v> </v>
      </c>
      <c r="K3463" s="26" t="str">
        <f>IF(OR(E3463="",E3463="!!!",F3463="NEW"),"",INDEX(J$1:J3462,SUMPRODUCT(MAX(ROW(E$1:E3462)*(E3463=E$1:E3462)))))</f>
        <v> </v>
      </c>
      <c r="L3463" s="27"/>
    </row>
    <row r="3464" spans="1:12">
      <c r="A3464" s="20" t="s">
        <v>1286</v>
      </c>
      <c r="E3464" s="22">
        <f>IF(D3464="?OLD","!!!","")</f>
        <v/>
      </c>
      <c r="F3464" s="23" t="str">
        <f>IF(OR(E3464="",E3464="!!!"),"",IF(NOT(ISNA(VLOOKUP(E3464,E$1:E3463,1,FALSE()))),"OLD",IF(AND(E3464&lt;&gt;"",E3464&lt;&gt;"!!!"),"NEW","")))</f>
        <v> </v>
      </c>
      <c r="G3464" s="24" t="str">
        <f>IF(OR(E3464="",E3464="!!!"),"",IF(OR(J3464=0,AND(J3464=1,K3464=1),AND(J3464=1,I3464="SBJ"),AND(J3464=1,I3464=0)),"?IN_FOCUS",IF(J3464&lt;=2,"?ACTIVATED",IF(J3464&lt;&gt;"","?FAMILIAR",IF(F3464="NEW",IF(ISNA(VLOOKUP(E3464,#REF!,1,FALSE())),"?TYPE_IDENTIFIABLE","?REFERENTIAL"),"_")))))</f>
        <v> </v>
      </c>
      <c r="H3464" s="25" t="str">
        <f>IF(J3464&lt;&gt;1,"",IF(I3464="SBJ","CB","?"))</f>
        <v> </v>
      </c>
      <c r="I3464" s="26" t="str">
        <f>IF(OR(E3464="",E3464="!!!",F3464="NEW"),"",INDEX(B3463:B$2,-1+SUMPRODUCT(MAX(ROW(E3463:E$2)*(E3464=E3463:E$2)))))</f>
        <v> </v>
      </c>
      <c r="J3464" s="26" t="str">
        <f>IF(OR(E3464="",E3464="!!!",F3464="NEW"),"",COUNTBLANK(OFFSET(A$1,,,SUMPRODUCT(MAX(ROW(E$2:E3464)*(E3464=E$2:E3464)))))-COUNTBLANK(OFFSET(A$1,,,SUMPRODUCT(MAX(ROW(E$1:E3463)*(E2=E$1:E3463))))))</f>
        <v> </v>
      </c>
      <c r="K3464" s="26" t="str">
        <f>IF(OR(E3464="",E3464="!!!",F3464="NEW"),"",INDEX(J$1:J3463,SUMPRODUCT(MAX(ROW(E$1:E3463)*(E3464=E$1:E3463)))))</f>
        <v> </v>
      </c>
      <c r="L3464" s="27"/>
    </row>
    <row r="3465" spans="1:12">
      <c r="A3465" s="20" t="s">
        <v>1243</v>
      </c>
      <c r="B3465" s="21" t="s">
        <v>1119</v>
      </c>
      <c r="C3465" s="21" t="s">
        <v>1103</v>
      </c>
      <c r="E3465" s="22">
        <f>IF(D3465="?OLD","!!!","")</f>
        <v/>
      </c>
      <c r="F3465" s="23" t="str">
        <f>IF(OR(E3465="",E3465="!!!"),"",IF(NOT(ISNA(VLOOKUP(E3465,E$1:E3464,1,FALSE()))),"OLD",IF(AND(E3465&lt;&gt;"",E3465&lt;&gt;"!!!"),"NEW","")))</f>
        <v> </v>
      </c>
      <c r="G3465" s="24" t="str">
        <f>IF(OR(E3465="",E3465="!!!"),"",IF(OR(J3465=0,AND(J3465=1,K3465=1),AND(J3465=1,I3465="SBJ"),AND(J3465=1,I3465=0)),"?IN_FOCUS",IF(J3465&lt;=2,"?ACTIVATED",IF(J3465&lt;&gt;"","?FAMILIAR",IF(F3465="NEW",IF(ISNA(VLOOKUP(E3465,#REF!,1,FALSE())),"?TYPE_IDENTIFIABLE","?REFERENTIAL"),"_")))))</f>
        <v> </v>
      </c>
      <c r="H3465" s="25" t="str">
        <f>IF(J3465&lt;&gt;1,"",IF(I3465="SBJ","CB","?"))</f>
        <v> </v>
      </c>
      <c r="I3465" s="26" t="str">
        <f>IF(OR(E3465="",E3465="!!!",F3465="NEW"),"",INDEX(B3464:B$2,-1+SUMPRODUCT(MAX(ROW(E3464:E$2)*(E3465=E3464:E$2)))))</f>
        <v> </v>
      </c>
      <c r="J3465" s="26" t="str">
        <f>IF(OR(E3465="",E3465="!!!",F3465="NEW"),"",COUNTBLANK(OFFSET(A$1,,,SUMPRODUCT(MAX(ROW(E$2:E3465)*(E3465=E$2:E3465)))))-COUNTBLANK(OFFSET(A$1,,,SUMPRODUCT(MAX(ROW(E$1:E3464)*(E2=E$1:E3464))))))</f>
        <v> </v>
      </c>
      <c r="K3465" s="26" t="str">
        <f>IF(OR(E3465="",E3465="!!!",F3465="NEW"),"",INDEX(J$1:J3464,SUMPRODUCT(MAX(ROW(E$1:E3464)*(E3465=E$1:E3464)))))</f>
        <v> </v>
      </c>
      <c r="L3465" s="27"/>
    </row>
    <row r="3466" spans="1:12">
      <c r="A3466" s="20" t="s">
        <v>1097</v>
      </c>
      <c r="E3466" s="22">
        <f>IF(D3466="?OLD","!!!","")</f>
        <v/>
      </c>
      <c r="F3466" s="23" t="str">
        <f>IF(OR(E3466="",E3466="!!!"),"",IF(NOT(ISNA(VLOOKUP(E3466,E$1:E3465,1,FALSE()))),"OLD",IF(AND(E3466&lt;&gt;"",E3466&lt;&gt;"!!!"),"NEW","")))</f>
        <v> </v>
      </c>
      <c r="G3466" s="24" t="str">
        <f>IF(OR(E3466="",E3466="!!!"),"",IF(OR(J3466=0,AND(J3466=1,K3466=1),AND(J3466=1,I3466="SBJ"),AND(J3466=1,I3466=0)),"?IN_FOCUS",IF(J3466&lt;=2,"?ACTIVATED",IF(J3466&lt;&gt;"","?FAMILIAR",IF(F3466="NEW",IF(ISNA(VLOOKUP(E3466,#REF!,1,FALSE())),"?TYPE_IDENTIFIABLE","?REFERENTIAL"),"_")))))</f>
        <v> </v>
      </c>
      <c r="H3466" s="25" t="str">
        <f>IF(J3466&lt;&gt;1,"",IF(I3466="SBJ","CB","?"))</f>
        <v> </v>
      </c>
      <c r="I3466" s="26" t="str">
        <f>IF(OR(E3466="",E3466="!!!",F3466="NEW"),"",INDEX(B3465:B$2,-1+SUMPRODUCT(MAX(ROW(E3465:E$2)*(E3466=E3465:E$2)))))</f>
        <v> </v>
      </c>
      <c r="J3466" s="26" t="str">
        <f>IF(OR(E3466="",E3466="!!!",F3466="NEW"),"",COUNTBLANK(OFFSET(A$1,,,SUMPRODUCT(MAX(ROW(E$2:E3466)*(E3466=E$2:E3466)))))-COUNTBLANK(OFFSET(A$1,,,SUMPRODUCT(MAX(ROW(E$1:E3465)*(E2=E$1:E3465))))))</f>
        <v> </v>
      </c>
      <c r="K3466" s="26" t="str">
        <f>IF(OR(E3466="",E3466="!!!",F3466="NEW"),"",INDEX(J$1:J3465,SUMPRODUCT(MAX(ROW(E$1:E3465)*(E3466=E$1:E3465)))))</f>
        <v> </v>
      </c>
      <c r="L3466" s="27"/>
    </row>
    <row r="3467" spans="1:12">
      <c r="A3467" s="20" t="s">
        <v>893</v>
      </c>
      <c r="E3467" s="22">
        <f>IF(D3467="?OLD","!!!","")</f>
        <v/>
      </c>
      <c r="F3467" s="23" t="str">
        <f>IF(OR(E3467="",E3467="!!!"),"",IF(NOT(ISNA(VLOOKUP(E3467,E$1:E3466,1,FALSE()))),"OLD",IF(AND(E3467&lt;&gt;"",E3467&lt;&gt;"!!!"),"NEW","")))</f>
        <v> </v>
      </c>
      <c r="G3467" s="24" t="str">
        <f>IF(OR(E3467="",E3467="!!!"),"",IF(OR(J3467=0,AND(J3467=1,K3467=1),AND(J3467=1,I3467="SBJ"),AND(J3467=1,I3467=0)),"?IN_FOCUS",IF(J3467&lt;=2,"?ACTIVATED",IF(J3467&lt;&gt;"","?FAMILIAR",IF(F3467="NEW",IF(ISNA(VLOOKUP(E3467,#REF!,1,FALSE())),"?TYPE_IDENTIFIABLE","?REFERENTIAL"),"_")))))</f>
        <v> </v>
      </c>
      <c r="H3467" s="25" t="str">
        <f>IF(J3467&lt;&gt;1,"",IF(I3467="SBJ","CB","?"))</f>
        <v> </v>
      </c>
      <c r="I3467" s="26" t="str">
        <f>IF(OR(E3467="",E3467="!!!",F3467="NEW"),"",INDEX(B3466:B$2,-1+SUMPRODUCT(MAX(ROW(E3466:E$2)*(E3467=E3466:E$2)))))</f>
        <v> </v>
      </c>
      <c r="J3467" s="26" t="str">
        <f>IF(OR(E3467="",E3467="!!!",F3467="NEW"),"",COUNTBLANK(OFFSET(A$1,,,SUMPRODUCT(MAX(ROW(E$2:E3467)*(E3467=E$2:E3467)))))-COUNTBLANK(OFFSET(A$1,,,SUMPRODUCT(MAX(ROW(E$1:E3466)*(E2=E$1:E3466))))))</f>
        <v> </v>
      </c>
      <c r="K3467" s="26" t="str">
        <f>IF(OR(E3467="",E3467="!!!",F3467="NEW"),"",INDEX(J$1:J3466,SUMPRODUCT(MAX(ROW(E$1:E3466)*(E3467=E$1:E3466)))))</f>
        <v> </v>
      </c>
      <c r="L3467" s="27"/>
    </row>
    <row r="3468" spans="1:12">
      <c r="A3468" s="20" t="s">
        <v>1023</v>
      </c>
      <c r="E3468" s="22">
        <f>IF(D3468="?OLD","!!!","")</f>
        <v/>
      </c>
      <c r="F3468" s="23" t="str">
        <f>IF(OR(E3468="",E3468="!!!"),"",IF(NOT(ISNA(VLOOKUP(E3468,E$1:E3467,1,FALSE()))),"OLD",IF(AND(E3468&lt;&gt;"",E3468&lt;&gt;"!!!"),"NEW","")))</f>
        <v> </v>
      </c>
      <c r="G3468" s="24" t="str">
        <f>IF(OR(E3468="",E3468="!!!"),"",IF(OR(J3468=0,AND(J3468=1,K3468=1),AND(J3468=1,I3468="SBJ"),AND(J3468=1,I3468=0)),"?IN_FOCUS",IF(J3468&lt;=2,"?ACTIVATED",IF(J3468&lt;&gt;"","?FAMILIAR",IF(F3468="NEW",IF(ISNA(VLOOKUP(E3468,#REF!,1,FALSE())),"?TYPE_IDENTIFIABLE","?REFERENTIAL"),"_")))))</f>
        <v> </v>
      </c>
      <c r="H3468" s="25" t="str">
        <f>IF(J3468&lt;&gt;1,"",IF(I3468="SBJ","CB","?"))</f>
        <v> </v>
      </c>
      <c r="I3468" s="26" t="str">
        <f>IF(OR(E3468="",E3468="!!!",F3468="NEW"),"",INDEX(B3467:B$2,-1+SUMPRODUCT(MAX(ROW(E3467:E$2)*(E3468=E3467:E$2)))))</f>
        <v> </v>
      </c>
      <c r="J3468" s="26" t="str">
        <f>IF(OR(E3468="",E3468="!!!",F3468="NEW"),"",COUNTBLANK(OFFSET(A$1,,,SUMPRODUCT(MAX(ROW(E$2:E3468)*(E3468=E$2:E3468)))))-COUNTBLANK(OFFSET(A$1,,,SUMPRODUCT(MAX(ROW(E$1:E3467)*(E2=E$1:E3467))))))</f>
        <v> </v>
      </c>
      <c r="K3468" s="26" t="str">
        <f>IF(OR(E3468="",E3468="!!!",F3468="NEW"),"",INDEX(J$1:J3467,SUMPRODUCT(MAX(ROW(E$1:E3467)*(E3468=E$1:E3467)))))</f>
        <v> </v>
      </c>
      <c r="L3468" s="27"/>
    </row>
    <row r="3469" spans="1:12">
      <c r="A3469" s="20"/>
    </row>
    <row r="3470" spans="1:12">
      <c r="A3470" s="20" t="s">
        <v>2052</v>
      </c>
    </row>
    <row r="3471" spans="1:12">
      <c r="A3471" s="20" t="s">
        <v>1136</v>
      </c>
      <c r="E3471" s="22">
        <f>IF(D3471="?OLD","!!!","")</f>
        <v/>
      </c>
      <c r="F3471" s="23" t="str">
        <f>IF(OR(E3471="",E3471="!!!"),"",IF(NOT(ISNA(VLOOKUP(E3471,E$1:E3470,1,FALSE()))),"OLD",IF(AND(E3471&lt;&gt;"",E3471&lt;&gt;"!!!"),"NEW","")))</f>
        <v> </v>
      </c>
      <c r="G3471" s="24" t="str">
        <f>IF(OR(E3471="",E3471="!!!"),"",IF(OR(J3471=0,AND(J3471=1,K3471=1),AND(J3471=1,I3471="SBJ"),AND(J3471=1,I3471=0)),"?IN_FOCUS",IF(J3471&lt;=2,"?ACTIVATED",IF(J3471&lt;&gt;"","?FAMILIAR",IF(F3471="NEW",IF(ISNA(VLOOKUP(E3471,#REF!,1,FALSE())),"?TYPE_IDENTIFIABLE","?REFERENTIAL"),"_")))))</f>
        <v> </v>
      </c>
      <c r="H3471" s="25" t="str">
        <f>IF(J3471&lt;&gt;1,"",IF(I3471="SBJ","CB","?"))</f>
        <v> </v>
      </c>
      <c r="I3471" s="26" t="str">
        <f>IF(OR(E3471="",E3471="!!!",F3471="NEW"),"",INDEX(B3470:B$2,-1+SUMPRODUCT(MAX(ROW(E3470:E$2)*(E3471=E3470:E$2)))))</f>
        <v> </v>
      </c>
      <c r="J3471" s="26" t="str">
        <f>IF(OR(E3471="",E3471="!!!",F3471="NEW"),"",COUNTBLANK(OFFSET(A$1,,,SUMPRODUCT(MAX(ROW(E$2:E3471)*(E3471=E$2:E3471)))))-COUNTBLANK(OFFSET(A$1,,,SUMPRODUCT(MAX(ROW(E$1:E3470)*(E2=E$1:E3470))))))</f>
        <v> </v>
      </c>
      <c r="K3471" s="26" t="str">
        <f>IF(OR(E3471="",E3471="!!!",F3471="NEW"),"",INDEX(J$1:J3470,SUMPRODUCT(MAX(ROW(E$1:E3470)*(E3471=E$1:E3470)))))</f>
        <v> </v>
      </c>
      <c r="L3471" s="27"/>
    </row>
    <row r="3472" spans="1:12">
      <c r="A3472" s="20" t="s">
        <v>1138</v>
      </c>
      <c r="B3472" s="21" t="s">
        <v>1050</v>
      </c>
      <c r="C3472" s="21" t="s">
        <v>1082</v>
      </c>
      <c r="D3472" s="21" t="s">
        <v>1007</v>
      </c>
      <c r="E3472" s="22">
        <f>IF(D3472="?OLD","!!!","")</f>
        <v/>
      </c>
      <c r="F3472" s="23" t="str">
        <f>IF(OR(E3472="",E3472="!!!"),"",IF(NOT(ISNA(VLOOKUP(E3472,E$1:E3471,1,FALSE()))),"OLD",IF(AND(E3472&lt;&gt;"",E3472&lt;&gt;"!!!"),"NEW","")))</f>
        <v> </v>
      </c>
      <c r="G3472" s="24" t="str">
        <f>IF(OR(E3472="",E3472="!!!"),"",IF(OR(J3472=0,AND(J3472=1,K3472=1),AND(J3472=1,I3472="SBJ"),AND(J3472=1,I3472=0)),"?IN_FOCUS",IF(J3472&lt;=2,"?ACTIVATED",IF(J3472&lt;&gt;"","?FAMILIAR",IF(F3472="NEW",IF(ISNA(VLOOKUP(E3472,#REF!,1,FALSE())),"?TYPE_IDENTIFIABLE","?REFERENTIAL"),"_")))))</f>
        <v> </v>
      </c>
      <c r="H3472" s="25" t="str">
        <f>IF(J3472&lt;&gt;1,"",IF(I3472="SBJ","CB","?"))</f>
        <v> </v>
      </c>
      <c r="I3472" s="26" t="str">
        <f>IF(OR(E3472="",E3472="!!!",F3472="NEW"),"",INDEX(B3471:B$2,-1+SUMPRODUCT(MAX(ROW(E3471:E$2)*(E3472=E3471:E$2)))))</f>
        <v> </v>
      </c>
      <c r="J3472" s="26" t="str">
        <f>IF(OR(E3472="",E3472="!!!",F3472="NEW"),"",COUNTBLANK(OFFSET(A$1,,,SUMPRODUCT(MAX(ROW(E$2:E3472)*(E3472=E$2:E3472)))))-COUNTBLANK(OFFSET(A$1,,,SUMPRODUCT(MAX(ROW(E$1:E3471)*(E2=E$1:E3471))))))</f>
        <v> </v>
      </c>
      <c r="K3472" s="26" t="str">
        <f>IF(OR(E3472="",E3472="!!!",F3472="NEW"),"",INDEX(J$1:J3471,SUMPRODUCT(MAX(ROW(E$1:E3471)*(E3472=E$1:E3471)))))</f>
        <v> </v>
      </c>
      <c r="L3472" s="27"/>
    </row>
    <row r="3473" spans="1:12">
      <c r="A3473" s="20" t="s">
        <v>1139</v>
      </c>
      <c r="E3473" s="22">
        <f>IF(D3473="?OLD","!!!","")</f>
        <v/>
      </c>
      <c r="F3473" s="23" t="str">
        <f>IF(OR(E3473="",E3473="!!!"),"",IF(NOT(ISNA(VLOOKUP(E3473,E$1:E3472,1,FALSE()))),"OLD",IF(AND(E3473&lt;&gt;"",E3473&lt;&gt;"!!!"),"NEW","")))</f>
        <v> </v>
      </c>
      <c r="G3473" s="24" t="str">
        <f>IF(OR(E3473="",E3473="!!!"),"",IF(OR(J3473=0,AND(J3473=1,K3473=1),AND(J3473=1,I3473="SBJ"),AND(J3473=1,I3473=0)),"?IN_FOCUS",IF(J3473&lt;=2,"?ACTIVATED",IF(J3473&lt;&gt;"","?FAMILIAR",IF(F3473="NEW",IF(ISNA(VLOOKUP(E3473,#REF!,1,FALSE())),"?TYPE_IDENTIFIABLE","?REFERENTIAL"),"_")))))</f>
        <v> </v>
      </c>
      <c r="H3473" s="25" t="str">
        <f>IF(J3473&lt;&gt;1,"",IF(I3473="SBJ","CB","?"))</f>
        <v> </v>
      </c>
      <c r="I3473" s="26" t="str">
        <f>IF(OR(E3473="",E3473="!!!",F3473="NEW"),"",INDEX(B3472:B$2,-1+SUMPRODUCT(MAX(ROW(E3472:E$2)*(E3473=E3472:E$2)))))</f>
        <v> </v>
      </c>
      <c r="J3473" s="26" t="str">
        <f>IF(OR(E3473="",E3473="!!!",F3473="NEW"),"",COUNTBLANK(OFFSET(A$1,,,SUMPRODUCT(MAX(ROW(E$2:E3473)*(E3473=E$2:E3473)))))-COUNTBLANK(OFFSET(A$1,,,SUMPRODUCT(MAX(ROW(E$1:E3472)*(E2=E$1:E3472))))))</f>
        <v> </v>
      </c>
      <c r="K3473" s="26" t="str">
        <f>IF(OR(E3473="",E3473="!!!",F3473="NEW"),"",INDEX(J$1:J3472,SUMPRODUCT(MAX(ROW(E$1:E3472)*(E3473=E$1:E3472)))))</f>
        <v> </v>
      </c>
      <c r="L3473" s="27"/>
    </row>
    <row r="3474" spans="1:12">
      <c r="A3474" s="20" t="s">
        <v>1065</v>
      </c>
      <c r="E3474" s="22">
        <f>IF(D3474="?OLD","!!!","")</f>
        <v/>
      </c>
      <c r="F3474" s="23" t="str">
        <f>IF(OR(E3474="",E3474="!!!"),"",IF(NOT(ISNA(VLOOKUP(E3474,E$1:E3473,1,FALSE()))),"OLD",IF(AND(E3474&lt;&gt;"",E3474&lt;&gt;"!!!"),"NEW","")))</f>
        <v> </v>
      </c>
      <c r="G3474" s="24" t="str">
        <f>IF(OR(E3474="",E3474="!!!"),"",IF(OR(J3474=0,AND(J3474=1,K3474=1),AND(J3474=1,I3474="SBJ"),AND(J3474=1,I3474=0)),"?IN_FOCUS",IF(J3474&lt;=2,"?ACTIVATED",IF(J3474&lt;&gt;"","?FAMILIAR",IF(F3474="NEW",IF(ISNA(VLOOKUP(E3474,#REF!,1,FALSE())),"?TYPE_IDENTIFIABLE","?REFERENTIAL"),"_")))))</f>
        <v> </v>
      </c>
      <c r="H3474" s="25" t="str">
        <f>IF(J3474&lt;&gt;1,"",IF(I3474="SBJ","CB","?"))</f>
        <v> </v>
      </c>
      <c r="I3474" s="26" t="str">
        <f>IF(OR(E3474="",E3474="!!!",F3474="NEW"),"",INDEX(B3473:B$2,-1+SUMPRODUCT(MAX(ROW(E3473:E$2)*(E3474=E3473:E$2)))))</f>
        <v> </v>
      </c>
      <c r="J3474" s="26" t="str">
        <f>IF(OR(E3474="",E3474="!!!",F3474="NEW"),"",COUNTBLANK(OFFSET(A$1,,,SUMPRODUCT(MAX(ROW(E$2:E3474)*(E3474=E$2:E3474)))))-COUNTBLANK(OFFSET(A$1,,,SUMPRODUCT(MAX(ROW(E$1:E3473)*(E2=E$1:E3473))))))</f>
        <v> </v>
      </c>
      <c r="K3474" s="26" t="str">
        <f>IF(OR(E3474="",E3474="!!!",F3474="NEW"),"",INDEX(J$1:J3473,SUMPRODUCT(MAX(ROW(E$1:E3473)*(E3474=E$1:E3473)))))</f>
        <v> </v>
      </c>
      <c r="L3474" s="27"/>
    </row>
    <row r="3475" spans="1:12">
      <c r="A3475" s="20" t="s">
        <v>1142</v>
      </c>
      <c r="E3475" s="22">
        <f>IF(D3475="?OLD","!!!","")</f>
        <v/>
      </c>
      <c r="F3475" s="23" t="str">
        <f>IF(OR(E3475="",E3475="!!!"),"",IF(NOT(ISNA(VLOOKUP(E3475,E$1:E3474,1,FALSE()))),"OLD",IF(AND(E3475&lt;&gt;"",E3475&lt;&gt;"!!!"),"NEW","")))</f>
        <v> </v>
      </c>
      <c r="G3475" s="24" t="str">
        <f>IF(OR(E3475="",E3475="!!!"),"",IF(OR(J3475=0,AND(J3475=1,K3475=1),AND(J3475=1,I3475="SBJ"),AND(J3475=1,I3475=0)),"?IN_FOCUS",IF(J3475&lt;=2,"?ACTIVATED",IF(J3475&lt;&gt;"","?FAMILIAR",IF(F3475="NEW",IF(ISNA(VLOOKUP(E3475,#REF!,1,FALSE())),"?TYPE_IDENTIFIABLE","?REFERENTIAL"),"_")))))</f>
        <v> </v>
      </c>
      <c r="H3475" s="25" t="str">
        <f>IF(J3475&lt;&gt;1,"",IF(I3475="SBJ","CB","?"))</f>
        <v> </v>
      </c>
      <c r="I3475" s="26" t="str">
        <f>IF(OR(E3475="",E3475="!!!",F3475="NEW"),"",INDEX(B3474:B$2,-1+SUMPRODUCT(MAX(ROW(E3474:E$2)*(E3475=E3474:E$2)))))</f>
        <v> </v>
      </c>
      <c r="J3475" s="26" t="str">
        <f>IF(OR(E3475="",E3475="!!!",F3475="NEW"),"",COUNTBLANK(OFFSET(A$1,,,SUMPRODUCT(MAX(ROW(E$2:E3475)*(E3475=E$2:E3475)))))-COUNTBLANK(OFFSET(A$1,,,SUMPRODUCT(MAX(ROW(E$1:E3474)*(E2=E$1:E3474))))))</f>
        <v> </v>
      </c>
      <c r="K3475" s="26" t="str">
        <f>IF(OR(E3475="",E3475="!!!",F3475="NEW"),"",INDEX(J$1:J3474,SUMPRODUCT(MAX(ROW(E$1:E3474)*(E3475=E$1:E3474)))))</f>
        <v> </v>
      </c>
      <c r="L3475" s="27"/>
    </row>
    <row r="3476" spans="1:12">
      <c r="A3476" s="20" t="s">
        <v>1203</v>
      </c>
      <c r="E3476" s="22">
        <f>IF(D3476="?OLD","!!!","")</f>
        <v/>
      </c>
      <c r="F3476" s="23" t="str">
        <f>IF(OR(E3476="",E3476="!!!"),"",IF(NOT(ISNA(VLOOKUP(E3476,E$1:E3475,1,FALSE()))),"OLD",IF(AND(E3476&lt;&gt;"",E3476&lt;&gt;"!!!"),"NEW","")))</f>
        <v> </v>
      </c>
      <c r="G3476" s="24" t="str">
        <f>IF(OR(E3476="",E3476="!!!"),"",IF(OR(J3476=0,AND(J3476=1,K3476=1),AND(J3476=1,I3476="SBJ"),AND(J3476=1,I3476=0)),"?IN_FOCUS",IF(J3476&lt;=2,"?ACTIVATED",IF(J3476&lt;&gt;"","?FAMILIAR",IF(F3476="NEW",IF(ISNA(VLOOKUP(E3476,#REF!,1,FALSE())),"?TYPE_IDENTIFIABLE","?REFERENTIAL"),"_")))))</f>
        <v> </v>
      </c>
      <c r="H3476" s="25" t="str">
        <f>IF(J3476&lt;&gt;1,"",IF(I3476="SBJ","CB","?"))</f>
        <v> </v>
      </c>
      <c r="I3476" s="26" t="str">
        <f>IF(OR(E3476="",E3476="!!!",F3476="NEW"),"",INDEX(B3475:B$2,-1+SUMPRODUCT(MAX(ROW(E3475:E$2)*(E3476=E3475:E$2)))))</f>
        <v> </v>
      </c>
      <c r="J3476" s="26" t="str">
        <f>IF(OR(E3476="",E3476="!!!",F3476="NEW"),"",COUNTBLANK(OFFSET(A$1,,,SUMPRODUCT(MAX(ROW(E$2:E3476)*(E3476=E$2:E3476)))))-COUNTBLANK(OFFSET(A$1,,,SUMPRODUCT(MAX(ROW(E$1:E3475)*(E2=E$1:E3475))))))</f>
        <v> </v>
      </c>
      <c r="K3476" s="26" t="str">
        <f>IF(OR(E3476="",E3476="!!!",F3476="NEW"),"",INDEX(J$1:J3475,SUMPRODUCT(MAX(ROW(E$1:E3475)*(E3476=E$1:E3475)))))</f>
        <v> </v>
      </c>
      <c r="L3476" s="27"/>
    </row>
    <row r="3477" spans="1:12">
      <c r="A3477" s="20" t="s">
        <v>2053</v>
      </c>
      <c r="E3477" s="22">
        <f>IF(D3477="?OLD","!!!","")</f>
        <v/>
      </c>
      <c r="F3477" s="23" t="str">
        <f>IF(OR(E3477="",E3477="!!!"),"",IF(NOT(ISNA(VLOOKUP(E3477,E$1:E3476,1,FALSE()))),"OLD",IF(AND(E3477&lt;&gt;"",E3477&lt;&gt;"!!!"),"NEW","")))</f>
        <v> </v>
      </c>
      <c r="G3477" s="24" t="str">
        <f>IF(OR(E3477="",E3477="!!!"),"",IF(OR(J3477=0,AND(J3477=1,K3477=1),AND(J3477=1,I3477="SBJ"),AND(J3477=1,I3477=0)),"?IN_FOCUS",IF(J3477&lt;=2,"?ACTIVATED",IF(J3477&lt;&gt;"","?FAMILIAR",IF(F3477="NEW",IF(ISNA(VLOOKUP(E3477,#REF!,1,FALSE())),"?TYPE_IDENTIFIABLE","?REFERENTIAL"),"_")))))</f>
        <v> </v>
      </c>
      <c r="H3477" s="25" t="str">
        <f>IF(J3477&lt;&gt;1,"",IF(I3477="SBJ","CB","?"))</f>
        <v> </v>
      </c>
      <c r="I3477" s="26" t="str">
        <f>IF(OR(E3477="",E3477="!!!",F3477="NEW"),"",INDEX(B3476:B$2,-1+SUMPRODUCT(MAX(ROW(E3476:E$2)*(E3477=E3476:E$2)))))</f>
        <v> </v>
      </c>
      <c r="J3477" s="26" t="str">
        <f>IF(OR(E3477="",E3477="!!!",F3477="NEW"),"",COUNTBLANK(OFFSET(A$1,,,SUMPRODUCT(MAX(ROW(E$2:E3477)*(E3477=E$2:E3477)))))-COUNTBLANK(OFFSET(A$1,,,SUMPRODUCT(MAX(ROW(E$1:E3476)*(E2=E$1:E3476))))))</f>
        <v> </v>
      </c>
      <c r="K3477" s="26" t="str">
        <f>IF(OR(E3477="",E3477="!!!",F3477="NEW"),"",INDEX(J$1:J3476,SUMPRODUCT(MAX(ROW(E$1:E3476)*(E3477=E$1:E3476)))))</f>
        <v> </v>
      </c>
      <c r="L3477" s="27"/>
    </row>
    <row r="3478" spans="1:12">
      <c r="A3478" s="20" t="s">
        <v>1144</v>
      </c>
      <c r="B3478" s="21" t="s">
        <v>1029</v>
      </c>
      <c r="C3478" s="21" t="s">
        <v>1205</v>
      </c>
      <c r="E3478" s="22">
        <f>IF(D3478="?OLD","!!!","")</f>
        <v/>
      </c>
      <c r="F3478" s="23" t="str">
        <f>IF(OR(E3478="",E3478="!!!"),"",IF(NOT(ISNA(VLOOKUP(E3478,E$1:E3477,1,FALSE()))),"OLD",IF(AND(E3478&lt;&gt;"",E3478&lt;&gt;"!!!"),"NEW","")))</f>
        <v> </v>
      </c>
      <c r="G3478" s="24" t="str">
        <f>IF(OR(E3478="",E3478="!!!"),"",IF(OR(J3478=0,AND(J3478=1,K3478=1),AND(J3478=1,I3478="SBJ"),AND(J3478=1,I3478=0)),"?IN_FOCUS",IF(J3478&lt;=2,"?ACTIVATED",IF(J3478&lt;&gt;"","?FAMILIAR",IF(F3478="NEW",IF(ISNA(VLOOKUP(E3478,#REF!,1,FALSE())),"?TYPE_IDENTIFIABLE","?REFERENTIAL"),"_")))))</f>
        <v> </v>
      </c>
      <c r="H3478" s="25" t="str">
        <f>IF(J3478&lt;&gt;1,"",IF(I3478="SBJ","CB","?"))</f>
        <v> </v>
      </c>
      <c r="I3478" s="26" t="str">
        <f>IF(OR(E3478="",E3478="!!!",F3478="NEW"),"",INDEX(B3477:B$2,-1+SUMPRODUCT(MAX(ROW(E3477:E$2)*(E3478=E3477:E$2)))))</f>
        <v> </v>
      </c>
      <c r="J3478" s="26" t="str">
        <f>IF(OR(E3478="",E3478="!!!",F3478="NEW"),"",COUNTBLANK(OFFSET(A$1,,,SUMPRODUCT(MAX(ROW(E$2:E3478)*(E3478=E$2:E3478)))))-COUNTBLANK(OFFSET(A$1,,,SUMPRODUCT(MAX(ROW(E$1:E3477)*(E2=E$1:E3477))))))</f>
        <v> </v>
      </c>
      <c r="K3478" s="26" t="str">
        <f>IF(OR(E3478="",E3478="!!!",F3478="NEW"),"",INDEX(J$1:J3477,SUMPRODUCT(MAX(ROW(E$1:E3477)*(E3478=E$1:E3477)))))</f>
        <v> </v>
      </c>
      <c r="L3478" s="27"/>
    </row>
    <row r="3479" spans="1:12">
      <c r="A3479" s="20" t="s">
        <v>1286</v>
      </c>
      <c r="E3479" s="22">
        <f>IF(D3479="?OLD","!!!","")</f>
        <v/>
      </c>
      <c r="F3479" s="23" t="str">
        <f>IF(OR(E3479="",E3479="!!!"),"",IF(NOT(ISNA(VLOOKUP(E3479,E$1:E3478,1,FALSE()))),"OLD",IF(AND(E3479&lt;&gt;"",E3479&lt;&gt;"!!!"),"NEW","")))</f>
        <v> </v>
      </c>
      <c r="G3479" s="24" t="str">
        <f>IF(OR(E3479="",E3479="!!!"),"",IF(OR(J3479=0,AND(J3479=1,K3479=1),AND(J3479=1,I3479="SBJ"),AND(J3479=1,I3479=0)),"?IN_FOCUS",IF(J3479&lt;=2,"?ACTIVATED",IF(J3479&lt;&gt;"","?FAMILIAR",IF(F3479="NEW",IF(ISNA(VLOOKUP(E3479,#REF!,1,FALSE())),"?TYPE_IDENTIFIABLE","?REFERENTIAL"),"_")))))</f>
        <v> </v>
      </c>
      <c r="H3479" s="25" t="str">
        <f>IF(J3479&lt;&gt;1,"",IF(I3479="SBJ","CB","?"))</f>
        <v> </v>
      </c>
      <c r="I3479" s="26" t="str">
        <f>IF(OR(E3479="",E3479="!!!",F3479="NEW"),"",INDEX(B3478:B$2,-1+SUMPRODUCT(MAX(ROW(E3478:E$2)*(E3479=E3478:E$2)))))</f>
        <v> </v>
      </c>
      <c r="J3479" s="26" t="str">
        <f>IF(OR(E3479="",E3479="!!!",F3479="NEW"),"",COUNTBLANK(OFFSET(A$1,,,SUMPRODUCT(MAX(ROW(E$2:E3479)*(E3479=E$2:E3479)))))-COUNTBLANK(OFFSET(A$1,,,SUMPRODUCT(MAX(ROW(E$1:E3478)*(E2=E$1:E3478))))))</f>
        <v> </v>
      </c>
      <c r="K3479" s="26" t="str">
        <f>IF(OR(E3479="",E3479="!!!",F3479="NEW"),"",INDEX(J$1:J3478,SUMPRODUCT(MAX(ROW(E$1:E3478)*(E3479=E$1:E3478)))))</f>
        <v> </v>
      </c>
      <c r="L3479" s="27"/>
    </row>
    <row r="3480" spans="1:12">
      <c r="A3480" s="20" t="s">
        <v>1576</v>
      </c>
      <c r="E3480" s="22">
        <f>IF(D3480="?OLD","!!!","")</f>
        <v/>
      </c>
      <c r="F3480" s="23" t="str">
        <f>IF(OR(E3480="",E3480="!!!"),"",IF(NOT(ISNA(VLOOKUP(E3480,E$1:E3479,1,FALSE()))),"OLD",IF(AND(E3480&lt;&gt;"",E3480&lt;&gt;"!!!"),"NEW","")))</f>
        <v> </v>
      </c>
      <c r="G3480" s="24" t="str">
        <f>IF(OR(E3480="",E3480="!!!"),"",IF(OR(J3480=0,AND(J3480=1,K3480=1),AND(J3480=1,I3480="SBJ"),AND(J3480=1,I3480=0)),"?IN_FOCUS",IF(J3480&lt;=2,"?ACTIVATED",IF(J3480&lt;&gt;"","?FAMILIAR",IF(F3480="NEW",IF(ISNA(VLOOKUP(E3480,#REF!,1,FALSE())),"?TYPE_IDENTIFIABLE","?REFERENTIAL"),"_")))))</f>
        <v> </v>
      </c>
      <c r="H3480" s="25" t="str">
        <f>IF(J3480&lt;&gt;1,"",IF(I3480="SBJ","CB","?"))</f>
        <v> </v>
      </c>
      <c r="I3480" s="26" t="str">
        <f>IF(OR(E3480="",E3480="!!!",F3480="NEW"),"",INDEX(B3479:B$2,-1+SUMPRODUCT(MAX(ROW(E3479:E$2)*(E3480=E3479:E$2)))))</f>
        <v> </v>
      </c>
      <c r="J3480" s="26" t="str">
        <f>IF(OR(E3480="",E3480="!!!",F3480="NEW"),"",COUNTBLANK(OFFSET(A$1,,,SUMPRODUCT(MAX(ROW(E$2:E3480)*(E3480=E$2:E3480)))))-COUNTBLANK(OFFSET(A$1,,,SUMPRODUCT(MAX(ROW(E$1:E3479)*(E2=E$1:E3479))))))</f>
        <v> </v>
      </c>
      <c r="K3480" s="26" t="str">
        <f>IF(OR(E3480="",E3480="!!!",F3480="NEW"),"",INDEX(J$1:J3479,SUMPRODUCT(MAX(ROW(E$1:E3479)*(E3480=E$1:E3479)))))</f>
        <v> </v>
      </c>
      <c r="L3480" s="27"/>
    </row>
    <row r="3481" spans="1:12">
      <c r="A3481" s="20" t="s">
        <v>1065</v>
      </c>
      <c r="E3481" s="22">
        <f>IF(D3481="?OLD","!!!","")</f>
        <v/>
      </c>
      <c r="F3481" s="23" t="str">
        <f>IF(OR(E3481="",E3481="!!!"),"",IF(NOT(ISNA(VLOOKUP(E3481,E$1:E3480,1,FALSE()))),"OLD",IF(AND(E3481&lt;&gt;"",E3481&lt;&gt;"!!!"),"NEW","")))</f>
        <v> </v>
      </c>
      <c r="G3481" s="24" t="str">
        <f>IF(OR(E3481="",E3481="!!!"),"",IF(OR(J3481=0,AND(J3481=1,K3481=1),AND(J3481=1,I3481="SBJ"),AND(J3481=1,I3481=0)),"?IN_FOCUS",IF(J3481&lt;=2,"?ACTIVATED",IF(J3481&lt;&gt;"","?FAMILIAR",IF(F3481="NEW",IF(ISNA(VLOOKUP(E3481,#REF!,1,FALSE())),"?TYPE_IDENTIFIABLE","?REFERENTIAL"),"_")))))</f>
        <v> </v>
      </c>
      <c r="H3481" s="25" t="str">
        <f>IF(J3481&lt;&gt;1,"",IF(I3481="SBJ","CB","?"))</f>
        <v> </v>
      </c>
      <c r="I3481" s="26" t="str">
        <f>IF(OR(E3481="",E3481="!!!",F3481="NEW"),"",INDEX(B3480:B$2,-1+SUMPRODUCT(MAX(ROW(E3480:E$2)*(E3481=E3480:E$2)))))</f>
        <v> </v>
      </c>
      <c r="J3481" s="26" t="str">
        <f>IF(OR(E3481="",E3481="!!!",F3481="NEW"),"",COUNTBLANK(OFFSET(A$1,,,SUMPRODUCT(MAX(ROW(E$2:E3481)*(E3481=E$2:E3481)))))-COUNTBLANK(OFFSET(A$1,,,SUMPRODUCT(MAX(ROW(E$1:E3480)*(E2=E$1:E3480))))))</f>
        <v> </v>
      </c>
      <c r="K3481" s="26" t="str">
        <f>IF(OR(E3481="",E3481="!!!",F3481="NEW"),"",INDEX(J$1:J3480,SUMPRODUCT(MAX(ROW(E$1:E3480)*(E3481=E$1:E3480)))))</f>
        <v> </v>
      </c>
      <c r="L3481" s="27"/>
    </row>
    <row r="3482" spans="1:12">
      <c r="A3482" s="20" t="s">
        <v>2054</v>
      </c>
      <c r="E3482" s="22">
        <f>IF(D3482="?OLD","!!!","")</f>
        <v/>
      </c>
      <c r="F3482" s="23" t="str">
        <f>IF(OR(E3482="",E3482="!!!"),"",IF(NOT(ISNA(VLOOKUP(E3482,E$1:E3481,1,FALSE()))),"OLD",IF(AND(E3482&lt;&gt;"",E3482&lt;&gt;"!!!"),"NEW","")))</f>
        <v> </v>
      </c>
      <c r="G3482" s="24" t="str">
        <f>IF(OR(E3482="",E3482="!!!"),"",IF(OR(J3482=0,AND(J3482=1,K3482=1),AND(J3482=1,I3482="SBJ"),AND(J3482=1,I3482=0)),"?IN_FOCUS",IF(J3482&lt;=2,"?ACTIVATED",IF(J3482&lt;&gt;"","?FAMILIAR",IF(F3482="NEW",IF(ISNA(VLOOKUP(E3482,#REF!,1,FALSE())),"?TYPE_IDENTIFIABLE","?REFERENTIAL"),"_")))))</f>
        <v> </v>
      </c>
      <c r="H3482" s="25" t="str">
        <f>IF(J3482&lt;&gt;1,"",IF(I3482="SBJ","CB","?"))</f>
        <v> </v>
      </c>
      <c r="I3482" s="26" t="str">
        <f>IF(OR(E3482="",E3482="!!!",F3482="NEW"),"",INDEX(B3481:B$2,-1+SUMPRODUCT(MAX(ROW(E3481:E$2)*(E3482=E3481:E$2)))))</f>
        <v> </v>
      </c>
      <c r="J3482" s="26" t="str">
        <f>IF(OR(E3482="",E3482="!!!",F3482="NEW"),"",COUNTBLANK(OFFSET(A$1,,,SUMPRODUCT(MAX(ROW(E$2:E3482)*(E3482=E$2:E3482)))))-COUNTBLANK(OFFSET(A$1,,,SUMPRODUCT(MAX(ROW(E$1:E3481)*(E2=E$1:E3481))))))</f>
        <v> </v>
      </c>
      <c r="K3482" s="26" t="str">
        <f>IF(OR(E3482="",E3482="!!!",F3482="NEW"),"",INDEX(J$1:J3481,SUMPRODUCT(MAX(ROW(E$1:E3481)*(E3482=E$1:E3481)))))</f>
        <v> </v>
      </c>
      <c r="L3482" s="27"/>
    </row>
    <row r="3483" spans="1:12">
      <c r="A3483" s="20" t="s">
        <v>1693</v>
      </c>
      <c r="E3483" s="22">
        <f>IF(D3483="?OLD","!!!","")</f>
        <v/>
      </c>
      <c r="F3483" s="23" t="str">
        <f>IF(OR(E3483="",E3483="!!!"),"",IF(NOT(ISNA(VLOOKUP(E3483,E$1:E3482,1,FALSE()))),"OLD",IF(AND(E3483&lt;&gt;"",E3483&lt;&gt;"!!!"),"NEW","")))</f>
        <v> </v>
      </c>
      <c r="G3483" s="24" t="str">
        <f>IF(OR(E3483="",E3483="!!!"),"",IF(OR(J3483=0,AND(J3483=1,K3483=1),AND(J3483=1,I3483="SBJ"),AND(J3483=1,I3483=0)),"?IN_FOCUS",IF(J3483&lt;=2,"?ACTIVATED",IF(J3483&lt;&gt;"","?FAMILIAR",IF(F3483="NEW",IF(ISNA(VLOOKUP(E3483,#REF!,1,FALSE())),"?TYPE_IDENTIFIABLE","?REFERENTIAL"),"_")))))</f>
        <v> </v>
      </c>
      <c r="H3483" s="25" t="str">
        <f>IF(J3483&lt;&gt;1,"",IF(I3483="SBJ","CB","?"))</f>
        <v> </v>
      </c>
      <c r="I3483" s="26" t="str">
        <f>IF(OR(E3483="",E3483="!!!",F3483="NEW"),"",INDEX(B3482:B$2,-1+SUMPRODUCT(MAX(ROW(E3482:E$2)*(E3483=E3482:E$2)))))</f>
        <v> </v>
      </c>
      <c r="J3483" s="26" t="str">
        <f>IF(OR(E3483="",E3483="!!!",F3483="NEW"),"",COUNTBLANK(OFFSET(A$1,,,SUMPRODUCT(MAX(ROW(E$2:E3483)*(E3483=E$2:E3483)))))-COUNTBLANK(OFFSET(A$1,,,SUMPRODUCT(MAX(ROW(E$1:E3482)*(E2=E$1:E3482))))))</f>
        <v> </v>
      </c>
      <c r="K3483" s="26" t="str">
        <f>IF(OR(E3483="",E3483="!!!",F3483="NEW"),"",INDEX(J$1:J3482,SUMPRODUCT(MAX(ROW(E$1:E3482)*(E3483=E$1:E3482)))))</f>
        <v> </v>
      </c>
      <c r="L3483" s="27"/>
    </row>
    <row r="3484" spans="1:12">
      <c r="A3484" s="20" t="s">
        <v>1020</v>
      </c>
      <c r="E3484" s="22">
        <f>IF(D3484="?OLD","!!!","")</f>
        <v/>
      </c>
      <c r="F3484" s="23" t="str">
        <f>IF(OR(E3484="",E3484="!!!"),"",IF(NOT(ISNA(VLOOKUP(E3484,E$1:E3483,1,FALSE()))),"OLD",IF(AND(E3484&lt;&gt;"",E3484&lt;&gt;"!!!"),"NEW","")))</f>
        <v> </v>
      </c>
      <c r="G3484" s="24" t="str">
        <f>IF(OR(E3484="",E3484="!!!"),"",IF(OR(J3484=0,AND(J3484=1,K3484=1),AND(J3484=1,I3484="SBJ"),AND(J3484=1,I3484=0)),"?IN_FOCUS",IF(J3484&lt;=2,"?ACTIVATED",IF(J3484&lt;&gt;"","?FAMILIAR",IF(F3484="NEW",IF(ISNA(VLOOKUP(E3484,#REF!,1,FALSE())),"?TYPE_IDENTIFIABLE","?REFERENTIAL"),"_")))))</f>
        <v> </v>
      </c>
      <c r="H3484" s="25" t="str">
        <f>IF(J3484&lt;&gt;1,"",IF(I3484="SBJ","CB","?"))</f>
        <v> </v>
      </c>
      <c r="I3484" s="26" t="str">
        <f>IF(OR(E3484="",E3484="!!!",F3484="NEW"),"",INDEX(B3483:B$2,-1+SUMPRODUCT(MAX(ROW(E3483:E$2)*(E3484=E3483:E$2)))))</f>
        <v> </v>
      </c>
      <c r="J3484" s="26" t="str">
        <f>IF(OR(E3484="",E3484="!!!",F3484="NEW"),"",COUNTBLANK(OFFSET(A$1,,,SUMPRODUCT(MAX(ROW(E$2:E3484)*(E3484=E$2:E3484)))))-COUNTBLANK(OFFSET(A$1,,,SUMPRODUCT(MAX(ROW(E$1:E3483)*(E2=E$1:E3483))))))</f>
        <v> </v>
      </c>
      <c r="K3484" s="26" t="str">
        <f>IF(OR(E3484="",E3484="!!!",F3484="NEW"),"",INDEX(J$1:J3483,SUMPRODUCT(MAX(ROW(E$1:E3483)*(E3484=E$1:E3483)))))</f>
        <v> </v>
      </c>
      <c r="L3484" s="27"/>
    </row>
    <row r="3485" spans="1:12">
      <c r="A3485" s="20" t="s">
        <v>893</v>
      </c>
      <c r="E3485" s="22">
        <f>IF(D3485="?OLD","!!!","")</f>
        <v/>
      </c>
      <c r="F3485" s="23" t="str">
        <f>IF(OR(E3485="",E3485="!!!"),"",IF(NOT(ISNA(VLOOKUP(E3485,E$1:E3484,1,FALSE()))),"OLD",IF(AND(E3485&lt;&gt;"",E3485&lt;&gt;"!!!"),"NEW","")))</f>
        <v> </v>
      </c>
      <c r="G3485" s="24" t="str">
        <f>IF(OR(E3485="",E3485="!!!"),"",IF(OR(J3485=0,AND(J3485=1,K3485=1),AND(J3485=1,I3485="SBJ"),AND(J3485=1,I3485=0)),"?IN_FOCUS",IF(J3485&lt;=2,"?ACTIVATED",IF(J3485&lt;&gt;"","?FAMILIAR",IF(F3485="NEW",IF(ISNA(VLOOKUP(E3485,#REF!,1,FALSE())),"?TYPE_IDENTIFIABLE","?REFERENTIAL"),"_")))))</f>
        <v> </v>
      </c>
      <c r="H3485" s="25" t="str">
        <f>IF(J3485&lt;&gt;1,"",IF(I3485="SBJ","CB","?"))</f>
        <v> </v>
      </c>
      <c r="I3485" s="26" t="str">
        <f>IF(OR(E3485="",E3485="!!!",F3485="NEW"),"",INDEX(B3484:B$2,-1+SUMPRODUCT(MAX(ROW(E3484:E$2)*(E3485=E3484:E$2)))))</f>
        <v> </v>
      </c>
      <c r="J3485" s="26" t="str">
        <f>IF(OR(E3485="",E3485="!!!",F3485="NEW"),"",COUNTBLANK(OFFSET(A$1,,,SUMPRODUCT(MAX(ROW(E$2:E3485)*(E3485=E$2:E3485)))))-COUNTBLANK(OFFSET(A$1,,,SUMPRODUCT(MAX(ROW(E$1:E3484)*(E2=E$1:E3484))))))</f>
        <v> </v>
      </c>
      <c r="K3485" s="26" t="str">
        <f>IF(OR(E3485="",E3485="!!!",F3485="NEW"),"",INDEX(J$1:J3484,SUMPRODUCT(MAX(ROW(E$1:E3484)*(E3485=E$1:E3484)))))</f>
        <v> </v>
      </c>
      <c r="L3485" s="27"/>
    </row>
    <row r="3486" spans="1:12">
      <c r="A3486" s="20" t="s">
        <v>1023</v>
      </c>
      <c r="E3486" s="22">
        <f>IF(D3486="?OLD","!!!","")</f>
        <v/>
      </c>
      <c r="F3486" s="23" t="str">
        <f>IF(OR(E3486="",E3486="!!!"),"",IF(NOT(ISNA(VLOOKUP(E3486,E$1:E3485,1,FALSE()))),"OLD",IF(AND(E3486&lt;&gt;"",E3486&lt;&gt;"!!!"),"NEW","")))</f>
        <v> </v>
      </c>
      <c r="G3486" s="24" t="str">
        <f>IF(OR(E3486="",E3486="!!!"),"",IF(OR(J3486=0,AND(J3486=1,K3486=1),AND(J3486=1,I3486="SBJ"),AND(J3486=1,I3486=0)),"?IN_FOCUS",IF(J3486&lt;=2,"?ACTIVATED",IF(J3486&lt;&gt;"","?FAMILIAR",IF(F3486="NEW",IF(ISNA(VLOOKUP(E3486,#REF!,1,FALSE())),"?TYPE_IDENTIFIABLE","?REFERENTIAL"),"_")))))</f>
        <v> </v>
      </c>
      <c r="H3486" s="25" t="str">
        <f>IF(J3486&lt;&gt;1,"",IF(I3486="SBJ","CB","?"))</f>
        <v> </v>
      </c>
      <c r="I3486" s="26" t="str">
        <f>IF(OR(E3486="",E3486="!!!",F3486="NEW"),"",INDEX(B3485:B$2,-1+SUMPRODUCT(MAX(ROW(E3485:E$2)*(E3486=E3485:E$2)))))</f>
        <v> </v>
      </c>
      <c r="J3486" s="26" t="str">
        <f>IF(OR(E3486="",E3486="!!!",F3486="NEW"),"",COUNTBLANK(OFFSET(A$1,,,SUMPRODUCT(MAX(ROW(E$2:E3486)*(E3486=E$2:E3486)))))-COUNTBLANK(OFFSET(A$1,,,SUMPRODUCT(MAX(ROW(E$1:E3485)*(E2=E$1:E3485))))))</f>
        <v> </v>
      </c>
      <c r="K3486" s="26" t="str">
        <f>IF(OR(E3486="",E3486="!!!",F3486="NEW"),"",INDEX(J$1:J3485,SUMPRODUCT(MAX(ROW(E$1:E3485)*(E3486=E$1:E3485)))))</f>
        <v> </v>
      </c>
      <c r="L3486" s="27"/>
    </row>
    <row r="3487" spans="1:12">
      <c r="A3487" s="20"/>
    </row>
    <row r="3488" spans="1:12">
      <c r="A3488" s="20" t="s">
        <v>2055</v>
      </c>
    </row>
    <row r="3489" spans="1:12">
      <c r="A3489" s="20" t="s">
        <v>1094</v>
      </c>
      <c r="E3489" s="22">
        <f>IF(D3489="?OLD","!!!","")</f>
        <v/>
      </c>
      <c r="F3489" s="23" t="str">
        <f>IF(OR(E3489="",E3489="!!!"),"",IF(NOT(ISNA(VLOOKUP(E3489,E$1:E3488,1,FALSE()))),"OLD",IF(AND(E3489&lt;&gt;"",E3489&lt;&gt;"!!!"),"NEW","")))</f>
        <v> </v>
      </c>
      <c r="G3489" s="24" t="str">
        <f>IF(OR(E3489="",E3489="!!!"),"",IF(OR(J3489=0,AND(J3489=1,K3489=1),AND(J3489=1,I3489="SBJ"),AND(J3489=1,I3489=0)),"?IN_FOCUS",IF(J3489&lt;=2,"?ACTIVATED",IF(J3489&lt;&gt;"","?FAMILIAR",IF(F3489="NEW",IF(ISNA(VLOOKUP(E3489,#REF!,1,FALSE())),"?TYPE_IDENTIFIABLE","?REFERENTIAL"),"_")))))</f>
        <v> </v>
      </c>
      <c r="H3489" s="25" t="str">
        <f>IF(J3489&lt;&gt;1,"",IF(I3489="SBJ","CB","?"))</f>
        <v> </v>
      </c>
      <c r="I3489" s="26" t="str">
        <f>IF(OR(E3489="",E3489="!!!",F3489="NEW"),"",INDEX(B3488:B$2,-1+SUMPRODUCT(MAX(ROW(E3488:E$2)*(E3489=E3488:E$2)))))</f>
        <v> </v>
      </c>
      <c r="J3489" s="26" t="str">
        <f>IF(OR(E3489="",E3489="!!!",F3489="NEW"),"",COUNTBLANK(OFFSET(A$1,,,SUMPRODUCT(MAX(ROW(E$2:E3489)*(E3489=E$2:E3489)))))-COUNTBLANK(OFFSET(A$1,,,SUMPRODUCT(MAX(ROW(E$1:E3488)*(E2=E$1:E3488))))))</f>
        <v> </v>
      </c>
      <c r="K3489" s="26" t="str">
        <f>IF(OR(E3489="",E3489="!!!",F3489="NEW"),"",INDEX(J$1:J3488,SUMPRODUCT(MAX(ROW(E$1:E3488)*(E3489=E$1:E3488)))))</f>
        <v> </v>
      </c>
      <c r="L3489" s="27"/>
    </row>
    <row r="3490" spans="1:12">
      <c r="A3490" s="20" t="s">
        <v>1009</v>
      </c>
      <c r="E3490" s="22">
        <f>IF(D3490="?OLD","!!!","")</f>
        <v/>
      </c>
      <c r="F3490" s="23" t="str">
        <f>IF(OR(E3490="",E3490="!!!"),"",IF(NOT(ISNA(VLOOKUP(E3490,E$1:E3489,1,FALSE()))),"OLD",IF(AND(E3490&lt;&gt;"",E3490&lt;&gt;"!!!"),"NEW","")))</f>
        <v> </v>
      </c>
      <c r="G3490" s="24" t="str">
        <f>IF(OR(E3490="",E3490="!!!"),"",IF(OR(J3490=0,AND(J3490=1,K3490=1),AND(J3490=1,I3490="SBJ"),AND(J3490=1,I3490=0)),"?IN_FOCUS",IF(J3490&lt;=2,"?ACTIVATED",IF(J3490&lt;&gt;"","?FAMILIAR",IF(F3490="NEW",IF(ISNA(VLOOKUP(E3490,#REF!,1,FALSE())),"?TYPE_IDENTIFIABLE","?REFERENTIAL"),"_")))))</f>
        <v> </v>
      </c>
      <c r="H3490" s="25" t="str">
        <f>IF(J3490&lt;&gt;1,"",IF(I3490="SBJ","CB","?"))</f>
        <v> </v>
      </c>
      <c r="I3490" s="26" t="str">
        <f>IF(OR(E3490="",E3490="!!!",F3490="NEW"),"",INDEX(B3489:B$2,-1+SUMPRODUCT(MAX(ROW(E3489:E$2)*(E3490=E3489:E$2)))))</f>
        <v> </v>
      </c>
      <c r="J3490" s="26" t="str">
        <f>IF(OR(E3490="",E3490="!!!",F3490="NEW"),"",COUNTBLANK(OFFSET(A$1,,,SUMPRODUCT(MAX(ROW(E$2:E3490)*(E3490=E$2:E3490)))))-COUNTBLANK(OFFSET(A$1,,,SUMPRODUCT(MAX(ROW(E$1:E3489)*(E2=E$1:E3489))))))</f>
        <v> </v>
      </c>
      <c r="K3490" s="26" t="str">
        <f>IF(OR(E3490="",E3490="!!!",F3490="NEW"),"",INDEX(J$1:J3489,SUMPRODUCT(MAX(ROW(E$1:E3489)*(E3490=E$1:E3489)))))</f>
        <v> </v>
      </c>
      <c r="L3490" s="27"/>
    </row>
    <row r="3491" spans="1:12">
      <c r="A3491" s="20" t="s">
        <v>2056</v>
      </c>
      <c r="E3491" s="22">
        <f>IF(D3491="?OLD","!!!","")</f>
        <v/>
      </c>
      <c r="F3491" s="23" t="str">
        <f>IF(OR(E3491="",E3491="!!!"),"",IF(NOT(ISNA(VLOOKUP(E3491,E$1:E3490,1,FALSE()))),"OLD",IF(AND(E3491&lt;&gt;"",E3491&lt;&gt;"!!!"),"NEW","")))</f>
        <v> </v>
      </c>
      <c r="G3491" s="24" t="str">
        <f>IF(OR(E3491="",E3491="!!!"),"",IF(OR(J3491=0,AND(J3491=1,K3491=1),AND(J3491=1,I3491="SBJ"),AND(J3491=1,I3491=0)),"?IN_FOCUS",IF(J3491&lt;=2,"?ACTIVATED",IF(J3491&lt;&gt;"","?FAMILIAR",IF(F3491="NEW",IF(ISNA(VLOOKUP(E3491,#REF!,1,FALSE())),"?TYPE_IDENTIFIABLE","?REFERENTIAL"),"_")))))</f>
        <v> </v>
      </c>
      <c r="H3491" s="25" t="str">
        <f>IF(J3491&lt;&gt;1,"",IF(I3491="SBJ","CB","?"))</f>
        <v> </v>
      </c>
      <c r="I3491" s="26" t="str">
        <f>IF(OR(E3491="",E3491="!!!",F3491="NEW"),"",INDEX(B3490:B$2,-1+SUMPRODUCT(MAX(ROW(E3490:E$2)*(E3491=E3490:E$2)))))</f>
        <v> </v>
      </c>
      <c r="J3491" s="26" t="str">
        <f>IF(OR(E3491="",E3491="!!!",F3491="NEW"),"",COUNTBLANK(OFFSET(A$1,,,SUMPRODUCT(MAX(ROW(E$2:E3491)*(E3491=E$2:E3491)))))-COUNTBLANK(OFFSET(A$1,,,SUMPRODUCT(MAX(ROW(E$1:E3490)*(E2=E$1:E3490))))))</f>
        <v> </v>
      </c>
      <c r="K3491" s="26" t="str">
        <f>IF(OR(E3491="",E3491="!!!",F3491="NEW"),"",INDEX(J$1:J3490,SUMPRODUCT(MAX(ROW(E$1:E3490)*(E3491=E$1:E3490)))))</f>
        <v> </v>
      </c>
      <c r="L3491" s="27"/>
    </row>
    <row r="3492" spans="1:12">
      <c r="A3492" s="20" t="s">
        <v>2057</v>
      </c>
      <c r="E3492" s="22">
        <f>IF(D3492="?OLD","!!!","")</f>
        <v/>
      </c>
      <c r="F3492" s="23" t="str">
        <f>IF(OR(E3492="",E3492="!!!"),"",IF(NOT(ISNA(VLOOKUP(E3492,E$1:E3491,1,FALSE()))),"OLD",IF(AND(E3492&lt;&gt;"",E3492&lt;&gt;"!!!"),"NEW","")))</f>
        <v> </v>
      </c>
      <c r="G3492" s="24" t="str">
        <f>IF(OR(E3492="",E3492="!!!"),"",IF(OR(J3492=0,AND(J3492=1,K3492=1),AND(J3492=1,I3492="SBJ"),AND(J3492=1,I3492=0)),"?IN_FOCUS",IF(J3492&lt;=2,"?ACTIVATED",IF(J3492&lt;&gt;"","?FAMILIAR",IF(F3492="NEW",IF(ISNA(VLOOKUP(E3492,#REF!,1,FALSE())),"?TYPE_IDENTIFIABLE","?REFERENTIAL"),"_")))))</f>
        <v> </v>
      </c>
      <c r="H3492" s="25" t="str">
        <f>IF(J3492&lt;&gt;1,"",IF(I3492="SBJ","CB","?"))</f>
        <v> </v>
      </c>
      <c r="I3492" s="26" t="str">
        <f>IF(OR(E3492="",E3492="!!!",F3492="NEW"),"",INDEX(B3491:B$2,-1+SUMPRODUCT(MAX(ROW(E3491:E$2)*(E3492=E3491:E$2)))))</f>
        <v> </v>
      </c>
      <c r="J3492" s="26" t="str">
        <f>IF(OR(E3492="",E3492="!!!",F3492="NEW"),"",COUNTBLANK(OFFSET(A$1,,,SUMPRODUCT(MAX(ROW(E$2:E3492)*(E3492=E$2:E3492)))))-COUNTBLANK(OFFSET(A$1,,,SUMPRODUCT(MAX(ROW(E$1:E3491)*(E2=E$1:E3491))))))</f>
        <v> </v>
      </c>
      <c r="K3492" s="26" t="str">
        <f>IF(OR(E3492="",E3492="!!!",F3492="NEW"),"",INDEX(J$1:J3491,SUMPRODUCT(MAX(ROW(E$1:E3491)*(E3492=E$1:E3491)))))</f>
        <v> </v>
      </c>
      <c r="L3492" s="27"/>
    </row>
    <row r="3493" spans="1:12">
      <c r="A3493" s="20" t="s">
        <v>1018</v>
      </c>
      <c r="E3493" s="22">
        <f>IF(D3493="?OLD","!!!","")</f>
        <v/>
      </c>
      <c r="F3493" s="23" t="str">
        <f>IF(OR(E3493="",E3493="!!!"),"",IF(NOT(ISNA(VLOOKUP(E3493,E$1:E3492,1,FALSE()))),"OLD",IF(AND(E3493&lt;&gt;"",E3493&lt;&gt;"!!!"),"NEW","")))</f>
        <v> </v>
      </c>
      <c r="G3493" s="24" t="str">
        <f>IF(OR(E3493="",E3493="!!!"),"",IF(OR(J3493=0,AND(J3493=1,K3493=1),AND(J3493=1,I3493="SBJ"),AND(J3493=1,I3493=0)),"?IN_FOCUS",IF(J3493&lt;=2,"?ACTIVATED",IF(J3493&lt;&gt;"","?FAMILIAR",IF(F3493="NEW",IF(ISNA(VLOOKUP(E3493,#REF!,1,FALSE())),"?TYPE_IDENTIFIABLE","?REFERENTIAL"),"_")))))</f>
        <v> </v>
      </c>
      <c r="H3493" s="25" t="str">
        <f>IF(J3493&lt;&gt;1,"",IF(I3493="SBJ","CB","?"))</f>
        <v> </v>
      </c>
      <c r="I3493" s="26" t="str">
        <f>IF(OR(E3493="",E3493="!!!",F3493="NEW"),"",INDEX(B3492:B$2,-1+SUMPRODUCT(MAX(ROW(E3492:E$2)*(E3493=E3492:E$2)))))</f>
        <v> </v>
      </c>
      <c r="J3493" s="26" t="str">
        <f>IF(OR(E3493="",E3493="!!!",F3493="NEW"),"",COUNTBLANK(OFFSET(A$1,,,SUMPRODUCT(MAX(ROW(E$2:E3493)*(E3493=E$2:E3493)))))-COUNTBLANK(OFFSET(A$1,,,SUMPRODUCT(MAX(ROW(E$1:E3492)*(E2=E$1:E3492))))))</f>
        <v> </v>
      </c>
      <c r="K3493" s="26" t="str">
        <f>IF(OR(E3493="",E3493="!!!",F3493="NEW"),"",INDEX(J$1:J3492,SUMPRODUCT(MAX(ROW(E$1:E3492)*(E3493=E$1:E3492)))))</f>
        <v> </v>
      </c>
      <c r="L3493" s="27"/>
    </row>
    <row r="3494" spans="1:12">
      <c r="A3494" s="20" t="s">
        <v>1299</v>
      </c>
      <c r="E3494" s="22">
        <f>IF(D3494="?OLD","!!!","")</f>
        <v/>
      </c>
      <c r="F3494" s="23" t="str">
        <f>IF(OR(E3494="",E3494="!!!"),"",IF(NOT(ISNA(VLOOKUP(E3494,E$1:E3493,1,FALSE()))),"OLD",IF(AND(E3494&lt;&gt;"",E3494&lt;&gt;"!!!"),"NEW","")))</f>
        <v> </v>
      </c>
      <c r="G3494" s="24" t="str">
        <f>IF(OR(E3494="",E3494="!!!"),"",IF(OR(J3494=0,AND(J3494=1,K3494=1),AND(J3494=1,I3494="SBJ"),AND(J3494=1,I3494=0)),"?IN_FOCUS",IF(J3494&lt;=2,"?ACTIVATED",IF(J3494&lt;&gt;"","?FAMILIAR",IF(F3494="NEW",IF(ISNA(VLOOKUP(E3494,#REF!,1,FALSE())),"?TYPE_IDENTIFIABLE","?REFERENTIAL"),"_")))))</f>
        <v> </v>
      </c>
      <c r="H3494" s="25" t="str">
        <f>IF(J3494&lt;&gt;1,"",IF(I3494="SBJ","CB","?"))</f>
        <v> </v>
      </c>
      <c r="I3494" s="26" t="str">
        <f>IF(OR(E3494="",E3494="!!!",F3494="NEW"),"",INDEX(B3493:B$2,-1+SUMPRODUCT(MAX(ROW(E3493:E$2)*(E3494=E3493:E$2)))))</f>
        <v> </v>
      </c>
      <c r="J3494" s="26" t="str">
        <f>IF(OR(E3494="",E3494="!!!",F3494="NEW"),"",COUNTBLANK(OFFSET(A$1,,,SUMPRODUCT(MAX(ROW(E$2:E3494)*(E3494=E$2:E3494)))))-COUNTBLANK(OFFSET(A$1,,,SUMPRODUCT(MAX(ROW(E$1:E3493)*(E2=E$1:E3493))))))</f>
        <v> </v>
      </c>
      <c r="K3494" s="26" t="str">
        <f>IF(OR(E3494="",E3494="!!!",F3494="NEW"),"",INDEX(J$1:J3493,SUMPRODUCT(MAX(ROW(E$1:E3493)*(E3494=E$1:E3493)))))</f>
        <v> </v>
      </c>
      <c r="L3494" s="27"/>
    </row>
    <row r="3495" spans="1:12">
      <c r="A3495" s="20" t="s">
        <v>2058</v>
      </c>
      <c r="E3495" s="22">
        <f>IF(D3495="?OLD","!!!","")</f>
        <v/>
      </c>
      <c r="F3495" s="23" t="str">
        <f>IF(OR(E3495="",E3495="!!!"),"",IF(NOT(ISNA(VLOOKUP(E3495,E$1:E3494,1,FALSE()))),"OLD",IF(AND(E3495&lt;&gt;"",E3495&lt;&gt;"!!!"),"NEW","")))</f>
        <v> </v>
      </c>
      <c r="G3495" s="24" t="str">
        <f>IF(OR(E3495="",E3495="!!!"),"",IF(OR(J3495=0,AND(J3495=1,K3495=1),AND(J3495=1,I3495="SBJ"),AND(J3495=1,I3495=0)),"?IN_FOCUS",IF(J3495&lt;=2,"?ACTIVATED",IF(J3495&lt;&gt;"","?FAMILIAR",IF(F3495="NEW",IF(ISNA(VLOOKUP(E3495,#REF!,1,FALSE())),"?TYPE_IDENTIFIABLE","?REFERENTIAL"),"_")))))</f>
        <v> </v>
      </c>
      <c r="H3495" s="25" t="str">
        <f>IF(J3495&lt;&gt;1,"",IF(I3495="SBJ","CB","?"))</f>
        <v> </v>
      </c>
      <c r="I3495" s="26" t="str">
        <f>IF(OR(E3495="",E3495="!!!",F3495="NEW"),"",INDEX(B3494:B$2,-1+SUMPRODUCT(MAX(ROW(E3494:E$2)*(E3495=E3494:E$2)))))</f>
        <v> </v>
      </c>
      <c r="J3495" s="26" t="str">
        <f>IF(OR(E3495="",E3495="!!!",F3495="NEW"),"",COUNTBLANK(OFFSET(A$1,,,SUMPRODUCT(MAX(ROW(E$2:E3495)*(E3495=E$2:E3495)))))-COUNTBLANK(OFFSET(A$1,,,SUMPRODUCT(MAX(ROW(E$1:E3494)*(E2=E$1:E3494))))))</f>
        <v> </v>
      </c>
      <c r="K3495" s="26" t="str">
        <f>IF(OR(E3495="",E3495="!!!",F3495="NEW"),"",INDEX(J$1:J3494,SUMPRODUCT(MAX(ROW(E$1:E3494)*(E3495=E$1:E3494)))))</f>
        <v> </v>
      </c>
      <c r="L3495" s="27"/>
    </row>
    <row r="3496" spans="1:12">
      <c r="A3496" s="20" t="s">
        <v>110</v>
      </c>
      <c r="E3496" s="22">
        <f>IF(D3496="?OLD","!!!","")</f>
        <v/>
      </c>
      <c r="F3496" s="23" t="str">
        <f>IF(OR(E3496="",E3496="!!!"),"",IF(NOT(ISNA(VLOOKUP(E3496,E$1:E3495,1,FALSE()))),"OLD",IF(AND(E3496&lt;&gt;"",E3496&lt;&gt;"!!!"),"NEW","")))</f>
        <v> </v>
      </c>
      <c r="G3496" s="24" t="str">
        <f>IF(OR(E3496="",E3496="!!!"),"",IF(OR(J3496=0,AND(J3496=1,K3496=1),AND(J3496=1,I3496="SBJ"),AND(J3496=1,I3496=0)),"?IN_FOCUS",IF(J3496&lt;=2,"?ACTIVATED",IF(J3496&lt;&gt;"","?FAMILIAR",IF(F3496="NEW",IF(ISNA(VLOOKUP(E3496,#REF!,1,FALSE())),"?TYPE_IDENTIFIABLE","?REFERENTIAL"),"_")))))</f>
        <v> </v>
      </c>
      <c r="H3496" s="25" t="str">
        <f>IF(J3496&lt;&gt;1,"",IF(I3496="SBJ","CB","?"))</f>
        <v> </v>
      </c>
      <c r="I3496" s="26" t="str">
        <f>IF(OR(E3496="",E3496="!!!",F3496="NEW"),"",INDEX(B3495:B$2,-1+SUMPRODUCT(MAX(ROW(E3495:E$2)*(E3496=E3495:E$2)))))</f>
        <v> </v>
      </c>
      <c r="J3496" s="26" t="str">
        <f>IF(OR(E3496="",E3496="!!!",F3496="NEW"),"",COUNTBLANK(OFFSET(A$1,,,SUMPRODUCT(MAX(ROW(E$2:E3496)*(E3496=E$2:E3496)))))-COUNTBLANK(OFFSET(A$1,,,SUMPRODUCT(MAX(ROW(E$1:E3495)*(E2=E$1:E3495))))))</f>
        <v> </v>
      </c>
      <c r="K3496" s="26" t="str">
        <f>IF(OR(E3496="",E3496="!!!",F3496="NEW"),"",INDEX(J$1:J3495,SUMPRODUCT(MAX(ROW(E$1:E3495)*(E3496=E$1:E3495)))))</f>
        <v> </v>
      </c>
      <c r="L3496" s="27"/>
    </row>
    <row r="3497" spans="1:12">
      <c r="A3497" s="20" t="s">
        <v>1100</v>
      </c>
      <c r="B3497" s="21" t="s">
        <v>1064</v>
      </c>
      <c r="C3497" s="21" t="s">
        <v>1082</v>
      </c>
      <c r="D3497" s="21" t="s">
        <v>1007</v>
      </c>
      <c r="E3497" s="22">
        <f>IF(D3497="?OLD","!!!","")</f>
        <v/>
      </c>
      <c r="F3497" s="23" t="str">
        <f>IF(OR(E3497="",E3497="!!!"),"",IF(NOT(ISNA(VLOOKUP(E3497,E$1:E3496,1,FALSE()))),"OLD",IF(AND(E3497&lt;&gt;"",E3497&lt;&gt;"!!!"),"NEW","")))</f>
        <v> </v>
      </c>
      <c r="G3497" s="24" t="str">
        <f>IF(OR(E3497="",E3497="!!!"),"",IF(OR(J3497=0,AND(J3497=1,K3497=1),AND(J3497=1,I3497="SBJ"),AND(J3497=1,I3497=0)),"?IN_FOCUS",IF(J3497&lt;=2,"?ACTIVATED",IF(J3497&lt;&gt;"","?FAMILIAR",IF(F3497="NEW",IF(ISNA(VLOOKUP(E3497,#REF!,1,FALSE())),"?TYPE_IDENTIFIABLE","?REFERENTIAL"),"_")))))</f>
        <v> </v>
      </c>
      <c r="H3497" s="25" t="str">
        <f>IF(J3497&lt;&gt;1,"",IF(I3497="SBJ","CB","?"))</f>
        <v> </v>
      </c>
      <c r="I3497" s="26" t="str">
        <f>IF(OR(E3497="",E3497="!!!",F3497="NEW"),"",INDEX(B3496:B$2,-1+SUMPRODUCT(MAX(ROW(E3496:E$2)*(E3497=E3496:E$2)))))</f>
        <v> </v>
      </c>
      <c r="J3497" s="26" t="str">
        <f>IF(OR(E3497="",E3497="!!!",F3497="NEW"),"",COUNTBLANK(OFFSET(A$1,,,SUMPRODUCT(MAX(ROW(E$2:E3497)*(E3497=E$2:E3497)))))-COUNTBLANK(OFFSET(A$1,,,SUMPRODUCT(MAX(ROW(E$1:E3496)*(E2=E$1:E3496))))))</f>
        <v> </v>
      </c>
      <c r="K3497" s="26" t="str">
        <f>IF(OR(E3497="",E3497="!!!",F3497="NEW"),"",INDEX(J$1:J3496,SUMPRODUCT(MAX(ROW(E$1:E3496)*(E3497=E$1:E3496)))))</f>
        <v> </v>
      </c>
      <c r="L3497" s="27"/>
    </row>
    <row r="3498" spans="1:12">
      <c r="A3498" s="20" t="s">
        <v>1324</v>
      </c>
      <c r="E3498" s="22">
        <f>IF(D3498="?OLD","!!!","")</f>
        <v/>
      </c>
      <c r="F3498" s="23" t="str">
        <f>IF(OR(E3498="",E3498="!!!"),"",IF(NOT(ISNA(VLOOKUP(E3498,E$1:E3497,1,FALSE()))),"OLD",IF(AND(E3498&lt;&gt;"",E3498&lt;&gt;"!!!"),"NEW","")))</f>
        <v> </v>
      </c>
      <c r="G3498" s="24" t="str">
        <f>IF(OR(E3498="",E3498="!!!"),"",IF(OR(J3498=0,AND(J3498=1,K3498=1),AND(J3498=1,I3498="SBJ"),AND(J3498=1,I3498=0)),"?IN_FOCUS",IF(J3498&lt;=2,"?ACTIVATED",IF(J3498&lt;&gt;"","?FAMILIAR",IF(F3498="NEW",IF(ISNA(VLOOKUP(E3498,#REF!,1,FALSE())),"?TYPE_IDENTIFIABLE","?REFERENTIAL"),"_")))))</f>
        <v> </v>
      </c>
      <c r="H3498" s="25" t="str">
        <f>IF(J3498&lt;&gt;1,"",IF(I3498="SBJ","CB","?"))</f>
        <v> </v>
      </c>
      <c r="I3498" s="26" t="str">
        <f>IF(OR(E3498="",E3498="!!!",F3498="NEW"),"",INDEX(B3497:B$2,-1+SUMPRODUCT(MAX(ROW(E3497:E$2)*(E3498=E3497:E$2)))))</f>
        <v> </v>
      </c>
      <c r="J3498" s="26" t="str">
        <f>IF(OR(E3498="",E3498="!!!",F3498="NEW"),"",COUNTBLANK(OFFSET(A$1,,,SUMPRODUCT(MAX(ROW(E$2:E3498)*(E3498=E$2:E3498)))))-COUNTBLANK(OFFSET(A$1,,,SUMPRODUCT(MAX(ROW(E$1:E3497)*(E2=E$1:E3497))))))</f>
        <v> </v>
      </c>
      <c r="K3498" s="26" t="str">
        <f>IF(OR(E3498="",E3498="!!!",F3498="NEW"),"",INDEX(J$1:J3497,SUMPRODUCT(MAX(ROW(E$1:E3497)*(E3498=E$1:E3497)))))</f>
        <v> </v>
      </c>
      <c r="L3498" s="27"/>
    </row>
    <row r="3499" spans="1:12">
      <c r="A3499" s="20" t="s">
        <v>2059</v>
      </c>
      <c r="B3499" s="21" t="s">
        <v>1064</v>
      </c>
      <c r="C3499" s="21" t="s">
        <v>1013</v>
      </c>
      <c r="D3499" s="21" t="s">
        <v>1007</v>
      </c>
      <c r="E3499" s="22">
        <f>IF(D3499="?OLD","!!!","")</f>
        <v/>
      </c>
      <c r="F3499" s="23" t="str">
        <f>IF(OR(E3499="",E3499="!!!"),"",IF(NOT(ISNA(VLOOKUP(E3499,E$1:E3498,1,FALSE()))),"OLD",IF(AND(E3499&lt;&gt;"",E3499&lt;&gt;"!!!"),"NEW","")))</f>
        <v> </v>
      </c>
      <c r="G3499" s="24" t="str">
        <f>IF(OR(E3499="",E3499="!!!"),"",IF(OR(J3499=0,AND(J3499=1,K3499=1),AND(J3499=1,I3499="SBJ"),AND(J3499=1,I3499=0)),"?IN_FOCUS",IF(J3499&lt;=2,"?ACTIVATED",IF(J3499&lt;&gt;"","?FAMILIAR",IF(F3499="NEW",IF(ISNA(VLOOKUP(E3499,#REF!,1,FALSE())),"?TYPE_IDENTIFIABLE","?REFERENTIAL"),"_")))))</f>
        <v> </v>
      </c>
      <c r="H3499" s="25" t="str">
        <f>IF(J3499&lt;&gt;1,"",IF(I3499="SBJ","CB","?"))</f>
        <v> </v>
      </c>
      <c r="I3499" s="26" t="str">
        <f>IF(OR(E3499="",E3499="!!!",F3499="NEW"),"",INDEX(B3498:B$2,-1+SUMPRODUCT(MAX(ROW(E3498:E$2)*(E3499=E3498:E$2)))))</f>
        <v> </v>
      </c>
      <c r="J3499" s="26" t="str">
        <f>IF(OR(E3499="",E3499="!!!",F3499="NEW"),"",COUNTBLANK(OFFSET(A$1,,,SUMPRODUCT(MAX(ROW(E$2:E3499)*(E3499=E$2:E3499)))))-COUNTBLANK(OFFSET(A$1,,,SUMPRODUCT(MAX(ROW(E$1:E3498)*(E2=E$1:E3498))))))</f>
        <v> </v>
      </c>
      <c r="K3499" s="26" t="str">
        <f>IF(OR(E3499="",E3499="!!!",F3499="NEW"),"",INDEX(J$1:J3498,SUMPRODUCT(MAX(ROW(E$1:E3498)*(E3499=E$1:E3498)))))</f>
        <v> </v>
      </c>
      <c r="L3499" s="27"/>
    </row>
    <row r="3500" spans="1:12">
      <c r="A3500" s="20" t="s">
        <v>1127</v>
      </c>
      <c r="E3500" s="22">
        <f>IF(D3500="?OLD","!!!","")</f>
        <v/>
      </c>
      <c r="F3500" s="23" t="str">
        <f>IF(OR(E3500="",E3500="!!!"),"",IF(NOT(ISNA(VLOOKUP(E3500,E$1:E3499,1,FALSE()))),"OLD",IF(AND(E3500&lt;&gt;"",E3500&lt;&gt;"!!!"),"NEW","")))</f>
        <v> </v>
      </c>
      <c r="G3500" s="24" t="str">
        <f>IF(OR(E3500="",E3500="!!!"),"",IF(OR(J3500=0,AND(J3500=1,K3500=1),AND(J3500=1,I3500="SBJ"),AND(J3500=1,I3500=0)),"?IN_FOCUS",IF(J3500&lt;=2,"?ACTIVATED",IF(J3500&lt;&gt;"","?FAMILIAR",IF(F3500="NEW",IF(ISNA(VLOOKUP(E3500,#REF!,1,FALSE())),"?TYPE_IDENTIFIABLE","?REFERENTIAL"),"_")))))</f>
        <v> </v>
      </c>
      <c r="H3500" s="25" t="str">
        <f>IF(J3500&lt;&gt;1,"",IF(I3500="SBJ","CB","?"))</f>
        <v> </v>
      </c>
      <c r="I3500" s="26" t="str">
        <f>IF(OR(E3500="",E3500="!!!",F3500="NEW"),"",INDEX(B3499:B$2,-1+SUMPRODUCT(MAX(ROW(E3499:E$2)*(E3500=E3499:E$2)))))</f>
        <v> </v>
      </c>
      <c r="J3500" s="26" t="str">
        <f>IF(OR(E3500="",E3500="!!!",F3500="NEW"),"",COUNTBLANK(OFFSET(A$1,,,SUMPRODUCT(MAX(ROW(E$2:E3500)*(E3500=E$2:E3500)))))-COUNTBLANK(OFFSET(A$1,,,SUMPRODUCT(MAX(ROW(E$1:E3499)*(E2=E$1:E3499))))))</f>
        <v> </v>
      </c>
      <c r="K3500" s="26" t="str">
        <f>IF(OR(E3500="",E3500="!!!",F3500="NEW"),"",INDEX(J$1:J3499,SUMPRODUCT(MAX(ROW(E$1:E3499)*(E3500=E$1:E3499)))))</f>
        <v> </v>
      </c>
      <c r="L3500" s="27"/>
    </row>
    <row r="3501" spans="1:12">
      <c r="A3501" s="20" t="s">
        <v>1569</v>
      </c>
      <c r="E3501" s="22">
        <f>IF(D3501="?OLD","!!!","")</f>
        <v/>
      </c>
      <c r="F3501" s="23" t="str">
        <f>IF(OR(E3501="",E3501="!!!"),"",IF(NOT(ISNA(VLOOKUP(E3501,E$1:E3500,1,FALSE()))),"OLD",IF(AND(E3501&lt;&gt;"",E3501&lt;&gt;"!!!"),"NEW","")))</f>
        <v> </v>
      </c>
      <c r="G3501" s="24" t="str">
        <f>IF(OR(E3501="",E3501="!!!"),"",IF(OR(J3501=0,AND(J3501=1,K3501=1),AND(J3501=1,I3501="SBJ"),AND(J3501=1,I3501=0)),"?IN_FOCUS",IF(J3501&lt;=2,"?ACTIVATED",IF(J3501&lt;&gt;"","?FAMILIAR",IF(F3501="NEW",IF(ISNA(VLOOKUP(E3501,#REF!,1,FALSE())),"?TYPE_IDENTIFIABLE","?REFERENTIAL"),"_")))))</f>
        <v> </v>
      </c>
      <c r="H3501" s="25" t="str">
        <f>IF(J3501&lt;&gt;1,"",IF(I3501="SBJ","CB","?"))</f>
        <v> </v>
      </c>
      <c r="I3501" s="26" t="str">
        <f>IF(OR(E3501="",E3501="!!!",F3501="NEW"),"",INDEX(B3500:B$2,-1+SUMPRODUCT(MAX(ROW(E3500:E$2)*(E3501=E3500:E$2)))))</f>
        <v> </v>
      </c>
      <c r="J3501" s="26" t="str">
        <f>IF(OR(E3501="",E3501="!!!",F3501="NEW"),"",COUNTBLANK(OFFSET(A$1,,,SUMPRODUCT(MAX(ROW(E$2:E3501)*(E3501=E$2:E3501)))))-COUNTBLANK(OFFSET(A$1,,,SUMPRODUCT(MAX(ROW(E$1:E3500)*(E2=E$1:E3500))))))</f>
        <v> </v>
      </c>
      <c r="K3501" s="26" t="str">
        <f>IF(OR(E3501="",E3501="!!!",F3501="NEW"),"",INDEX(J$1:J3500,SUMPRODUCT(MAX(ROW(E$1:E3500)*(E3501=E$1:E3500)))))</f>
        <v> </v>
      </c>
      <c r="L3501" s="27"/>
    </row>
    <row r="3502" spans="1:12">
      <c r="A3502" s="20" t="s">
        <v>2060</v>
      </c>
      <c r="B3502" s="21" t="s">
        <v>1130</v>
      </c>
      <c r="C3502" s="21" t="s">
        <v>1041</v>
      </c>
      <c r="D3502" s="21" t="s">
        <v>1007</v>
      </c>
      <c r="E3502" s="22">
        <f>IF(D3502="?OLD","!!!","")</f>
        <v/>
      </c>
      <c r="F3502" s="23" t="str">
        <f>IF(OR(E3502="",E3502="!!!"),"",IF(NOT(ISNA(VLOOKUP(E3502,E$1:E3501,1,FALSE()))),"OLD",IF(AND(E3502&lt;&gt;"",E3502&lt;&gt;"!!!"),"NEW","")))</f>
        <v> </v>
      </c>
      <c r="G3502" s="24" t="str">
        <f>IF(OR(E3502="",E3502="!!!"),"",IF(OR(J3502=0,AND(J3502=1,K3502=1),AND(J3502=1,I3502="SBJ"),AND(J3502=1,I3502=0)),"?IN_FOCUS",IF(J3502&lt;=2,"?ACTIVATED",IF(J3502&lt;&gt;"","?FAMILIAR",IF(F3502="NEW",IF(ISNA(VLOOKUP(E3502,#REF!,1,FALSE())),"?TYPE_IDENTIFIABLE","?REFERENTIAL"),"_")))))</f>
        <v> </v>
      </c>
      <c r="H3502" s="25" t="str">
        <f>IF(J3502&lt;&gt;1,"",IF(I3502="SBJ","CB","?"))</f>
        <v> </v>
      </c>
      <c r="I3502" s="26" t="str">
        <f>IF(OR(E3502="",E3502="!!!",F3502="NEW"),"",INDEX(B3501:B$2,-1+SUMPRODUCT(MAX(ROW(E3501:E$2)*(E3502=E3501:E$2)))))</f>
        <v> </v>
      </c>
      <c r="J3502" s="26" t="str">
        <f>IF(OR(E3502="",E3502="!!!",F3502="NEW"),"",COUNTBLANK(OFFSET(A$1,,,SUMPRODUCT(MAX(ROW(E$2:E3502)*(E3502=E$2:E3502)))))-COUNTBLANK(OFFSET(A$1,,,SUMPRODUCT(MAX(ROW(E$1:E3501)*(E2=E$1:E3501))))))</f>
        <v> </v>
      </c>
      <c r="K3502" s="26" t="str">
        <f>IF(OR(E3502="",E3502="!!!",F3502="NEW"),"",INDEX(J$1:J3501,SUMPRODUCT(MAX(ROW(E$1:E3501)*(E3502=E$1:E3501)))))</f>
        <v> </v>
      </c>
      <c r="L3502" s="27"/>
    </row>
    <row r="3503" spans="1:12">
      <c r="A3503" s="20" t="s">
        <v>1030</v>
      </c>
      <c r="E3503" s="22">
        <f>IF(D3503="?OLD","!!!","")</f>
        <v/>
      </c>
      <c r="F3503" s="23" t="str">
        <f>IF(OR(E3503="",E3503="!!!"),"",IF(NOT(ISNA(VLOOKUP(E3503,E$1:E3502,1,FALSE()))),"OLD",IF(AND(E3503&lt;&gt;"",E3503&lt;&gt;"!!!"),"NEW","")))</f>
        <v> </v>
      </c>
      <c r="G3503" s="24" t="str">
        <f>IF(OR(E3503="",E3503="!!!"),"",IF(OR(J3503=0,AND(J3503=1,K3503=1),AND(J3503=1,I3503="SBJ"),AND(J3503=1,I3503=0)),"?IN_FOCUS",IF(J3503&lt;=2,"?ACTIVATED",IF(J3503&lt;&gt;"","?FAMILIAR",IF(F3503="NEW",IF(ISNA(VLOOKUP(E3503,#REF!,1,FALSE())),"?TYPE_IDENTIFIABLE","?REFERENTIAL"),"_")))))</f>
        <v> </v>
      </c>
      <c r="H3503" s="25" t="str">
        <f>IF(J3503&lt;&gt;1,"",IF(I3503="SBJ","CB","?"))</f>
        <v> </v>
      </c>
      <c r="I3503" s="26" t="str">
        <f>IF(OR(E3503="",E3503="!!!",F3503="NEW"),"",INDEX(B3502:B$2,-1+SUMPRODUCT(MAX(ROW(E3502:E$2)*(E3503=E3502:E$2)))))</f>
        <v> </v>
      </c>
      <c r="J3503" s="26" t="str">
        <f>IF(OR(E3503="",E3503="!!!",F3503="NEW"),"",COUNTBLANK(OFFSET(A$1,,,SUMPRODUCT(MAX(ROW(E$2:E3503)*(E3503=E$2:E3503)))))-COUNTBLANK(OFFSET(A$1,,,SUMPRODUCT(MAX(ROW(E$1:E3502)*(E2=E$1:E3502))))))</f>
        <v> </v>
      </c>
      <c r="K3503" s="26" t="str">
        <f>IF(OR(E3503="",E3503="!!!",F3503="NEW"),"",INDEX(J$1:J3502,SUMPRODUCT(MAX(ROW(E$1:E3502)*(E3503=E$1:E3502)))))</f>
        <v> </v>
      </c>
      <c r="L3503" s="27"/>
    </row>
    <row r="3504" spans="1:12">
      <c r="A3504" s="20" t="s">
        <v>2061</v>
      </c>
      <c r="B3504" s="21" t="s">
        <v>1035</v>
      </c>
      <c r="C3504" s="21" t="s">
        <v>1048</v>
      </c>
      <c r="E3504" s="22">
        <f>IF(D3504="?OLD","!!!","")</f>
        <v/>
      </c>
      <c r="F3504" s="23" t="str">
        <f>IF(OR(E3504="",E3504="!!!"),"",IF(NOT(ISNA(VLOOKUP(E3504,E$1:E3503,1,FALSE()))),"OLD",IF(AND(E3504&lt;&gt;"",E3504&lt;&gt;"!!!"),"NEW","")))</f>
        <v> </v>
      </c>
      <c r="G3504" s="24" t="str">
        <f>IF(OR(E3504="",E3504="!!!"),"",IF(OR(J3504=0,AND(J3504=1,K3504=1),AND(J3504=1,I3504="SBJ"),AND(J3504=1,I3504=0)),"?IN_FOCUS",IF(J3504&lt;=2,"?ACTIVATED",IF(J3504&lt;&gt;"","?FAMILIAR",IF(F3504="NEW",IF(ISNA(VLOOKUP(E3504,#REF!,1,FALSE())),"?TYPE_IDENTIFIABLE","?REFERENTIAL"),"_")))))</f>
        <v> </v>
      </c>
      <c r="H3504" s="25" t="str">
        <f>IF(J3504&lt;&gt;1,"",IF(I3504="SBJ","CB","?"))</f>
        <v> </v>
      </c>
      <c r="I3504" s="26" t="str">
        <f>IF(OR(E3504="",E3504="!!!",F3504="NEW"),"",INDEX(B3503:B$2,-1+SUMPRODUCT(MAX(ROW(E3503:E$2)*(E3504=E3503:E$2)))))</f>
        <v> </v>
      </c>
      <c r="J3504" s="26" t="str">
        <f>IF(OR(E3504="",E3504="!!!",F3504="NEW"),"",COUNTBLANK(OFFSET(A$1,,,SUMPRODUCT(MAX(ROW(E$2:E3504)*(E3504=E$2:E3504)))))-COUNTBLANK(OFFSET(A$1,,,SUMPRODUCT(MAX(ROW(E$1:E3503)*(E2=E$1:E3503))))))</f>
        <v> </v>
      </c>
      <c r="K3504" s="26" t="str">
        <f>IF(OR(E3504="",E3504="!!!",F3504="NEW"),"",INDEX(J$1:J3503,SUMPRODUCT(MAX(ROW(E$1:E3503)*(E3504=E$1:E3503)))))</f>
        <v> </v>
      </c>
      <c r="L3504" s="27"/>
    </row>
    <row r="3505" spans="1:12">
      <c r="A3505" s="20" t="s">
        <v>1023</v>
      </c>
      <c r="E3505" s="22">
        <f>IF(D3505="?OLD","!!!","")</f>
        <v/>
      </c>
      <c r="F3505" s="23" t="str">
        <f>IF(OR(E3505="",E3505="!!!"),"",IF(NOT(ISNA(VLOOKUP(E3505,E$1:E3504,1,FALSE()))),"OLD",IF(AND(E3505&lt;&gt;"",E3505&lt;&gt;"!!!"),"NEW","")))</f>
        <v> </v>
      </c>
      <c r="G3505" s="24" t="str">
        <f>IF(OR(E3505="",E3505="!!!"),"",IF(OR(J3505=0,AND(J3505=1,K3505=1),AND(J3505=1,I3505="SBJ"),AND(J3505=1,I3505=0)),"?IN_FOCUS",IF(J3505&lt;=2,"?ACTIVATED",IF(J3505&lt;&gt;"","?FAMILIAR",IF(F3505="NEW",IF(ISNA(VLOOKUP(E3505,#REF!,1,FALSE())),"?TYPE_IDENTIFIABLE","?REFERENTIAL"),"_")))))</f>
        <v> </v>
      </c>
      <c r="H3505" s="25" t="str">
        <f>IF(J3505&lt;&gt;1,"",IF(I3505="SBJ","CB","?"))</f>
        <v> </v>
      </c>
      <c r="I3505" s="26" t="str">
        <f>IF(OR(E3505="",E3505="!!!",F3505="NEW"),"",INDEX(B3504:B$2,-1+SUMPRODUCT(MAX(ROW(E3504:E$2)*(E3505=E3504:E$2)))))</f>
        <v> </v>
      </c>
      <c r="J3505" s="26" t="str">
        <f>IF(OR(E3505="",E3505="!!!",F3505="NEW"),"",COUNTBLANK(OFFSET(A$1,,,SUMPRODUCT(MAX(ROW(E$2:E3505)*(E3505=E$2:E3505)))))-COUNTBLANK(OFFSET(A$1,,,SUMPRODUCT(MAX(ROW(E$1:E3504)*(E2=E$1:E3504))))))</f>
        <v> </v>
      </c>
      <c r="K3505" s="26" t="str">
        <f>IF(OR(E3505="",E3505="!!!",F3505="NEW"),"",INDEX(J$1:J3504,SUMPRODUCT(MAX(ROW(E$1:E3504)*(E3505=E$1:E3504)))))</f>
        <v> </v>
      </c>
      <c r="L3505" s="27"/>
    </row>
    <row r="3506" spans="1:12">
      <c r="A3506" s="20"/>
    </row>
    <row r="3507" spans="1:12">
      <c r="A3507" s="20" t="s">
        <v>2062</v>
      </c>
    </row>
    <row r="3508" spans="1:12">
      <c r="A3508" s="20" t="s">
        <v>2056</v>
      </c>
      <c r="E3508" s="22">
        <f>IF(D3508="?OLD","!!!","")</f>
        <v/>
      </c>
      <c r="F3508" s="23" t="str">
        <f>IF(OR(E3508="",E3508="!!!"),"",IF(NOT(ISNA(VLOOKUP(E3508,E$1:E3507,1,FALSE()))),"OLD",IF(AND(E3508&lt;&gt;"",E3508&lt;&gt;"!!!"),"NEW","")))</f>
        <v> </v>
      </c>
      <c r="G3508" s="24" t="str">
        <f>IF(OR(E3508="",E3508="!!!"),"",IF(OR(J3508=0,AND(J3508=1,K3508=1),AND(J3508=1,I3508="SBJ"),AND(J3508=1,I3508=0)),"?IN_FOCUS",IF(J3508&lt;=2,"?ACTIVATED",IF(J3508&lt;&gt;"","?FAMILIAR",IF(F3508="NEW",IF(ISNA(VLOOKUP(E3508,#REF!,1,FALSE())),"?TYPE_IDENTIFIABLE","?REFERENTIAL"),"_")))))</f>
        <v> </v>
      </c>
      <c r="H3508" s="25" t="str">
        <f>IF(J3508&lt;&gt;1,"",IF(I3508="SBJ","CB","?"))</f>
        <v> </v>
      </c>
      <c r="I3508" s="26" t="str">
        <f>IF(OR(E3508="",E3508="!!!",F3508="NEW"),"",INDEX(B3507:B$2,-1+SUMPRODUCT(MAX(ROW(E3507:E$2)*(E3508=E3507:E$2)))))</f>
        <v> </v>
      </c>
      <c r="J3508" s="26" t="str">
        <f>IF(OR(E3508="",E3508="!!!",F3508="NEW"),"",COUNTBLANK(OFFSET(A$1,,,SUMPRODUCT(MAX(ROW(E$2:E3508)*(E3508=E$2:E3508)))))-COUNTBLANK(OFFSET(A$1,,,SUMPRODUCT(MAX(ROW(E$1:E3507)*(E2=E$1:E3507))))))</f>
        <v> </v>
      </c>
      <c r="K3508" s="26" t="str">
        <f>IF(OR(E3508="",E3508="!!!",F3508="NEW"),"",INDEX(J$1:J3507,SUMPRODUCT(MAX(ROW(E$1:E3507)*(E3508=E$1:E3507)))))</f>
        <v> </v>
      </c>
      <c r="L3508" s="27"/>
    </row>
    <row r="3509" spans="1:12">
      <c r="A3509" s="20" t="s">
        <v>2057</v>
      </c>
      <c r="E3509" s="22">
        <f>IF(D3509="?OLD","!!!","")</f>
        <v/>
      </c>
      <c r="F3509" s="23" t="str">
        <f>IF(OR(E3509="",E3509="!!!"),"",IF(NOT(ISNA(VLOOKUP(E3509,E$1:E3508,1,FALSE()))),"OLD",IF(AND(E3509&lt;&gt;"",E3509&lt;&gt;"!!!"),"NEW","")))</f>
        <v> </v>
      </c>
      <c r="G3509" s="24" t="str">
        <f>IF(OR(E3509="",E3509="!!!"),"",IF(OR(J3509=0,AND(J3509=1,K3509=1),AND(J3509=1,I3509="SBJ"),AND(J3509=1,I3509=0)),"?IN_FOCUS",IF(J3509&lt;=2,"?ACTIVATED",IF(J3509&lt;&gt;"","?FAMILIAR",IF(F3509="NEW",IF(ISNA(VLOOKUP(E3509,#REF!,1,FALSE())),"?TYPE_IDENTIFIABLE","?REFERENTIAL"),"_")))))</f>
        <v> </v>
      </c>
      <c r="H3509" s="25" t="str">
        <f>IF(J3509&lt;&gt;1,"",IF(I3509="SBJ","CB","?"))</f>
        <v> </v>
      </c>
      <c r="I3509" s="26" t="str">
        <f>IF(OR(E3509="",E3509="!!!",F3509="NEW"),"",INDEX(B3508:B$2,-1+SUMPRODUCT(MAX(ROW(E3508:E$2)*(E3509=E3508:E$2)))))</f>
        <v> </v>
      </c>
      <c r="J3509" s="26" t="str">
        <f>IF(OR(E3509="",E3509="!!!",F3509="NEW"),"",COUNTBLANK(OFFSET(A$1,,,SUMPRODUCT(MAX(ROW(E$2:E3509)*(E3509=E$2:E3509)))))-COUNTBLANK(OFFSET(A$1,,,SUMPRODUCT(MAX(ROW(E$1:E3508)*(E2=E$1:E3508))))))</f>
        <v> </v>
      </c>
      <c r="K3509" s="26" t="str">
        <f>IF(OR(E3509="",E3509="!!!",F3509="NEW"),"",INDEX(J$1:J3508,SUMPRODUCT(MAX(ROW(E$1:E3508)*(E3509=E$1:E3508)))))</f>
        <v> </v>
      </c>
      <c r="L3509" s="27"/>
    </row>
    <row r="3510" spans="1:12">
      <c r="A3510" s="20" t="s">
        <v>56</v>
      </c>
      <c r="E3510" s="22">
        <f>IF(D3510="?OLD","!!!","")</f>
        <v/>
      </c>
      <c r="F3510" s="23" t="str">
        <f>IF(OR(E3510="",E3510="!!!"),"",IF(NOT(ISNA(VLOOKUP(E3510,E$1:E3509,1,FALSE()))),"OLD",IF(AND(E3510&lt;&gt;"",E3510&lt;&gt;"!!!"),"NEW","")))</f>
        <v> </v>
      </c>
      <c r="G3510" s="24" t="str">
        <f>IF(OR(E3510="",E3510="!!!"),"",IF(OR(J3510=0,AND(J3510=1,K3510=1),AND(J3510=1,I3510="SBJ"),AND(J3510=1,I3510=0)),"?IN_FOCUS",IF(J3510&lt;=2,"?ACTIVATED",IF(J3510&lt;&gt;"","?FAMILIAR",IF(F3510="NEW",IF(ISNA(VLOOKUP(E3510,#REF!,1,FALSE())),"?TYPE_IDENTIFIABLE","?REFERENTIAL"),"_")))))</f>
        <v> </v>
      </c>
      <c r="H3510" s="25" t="str">
        <f>IF(J3510&lt;&gt;1,"",IF(I3510="SBJ","CB","?"))</f>
        <v> </v>
      </c>
      <c r="I3510" s="26" t="str">
        <f>IF(OR(E3510="",E3510="!!!",F3510="NEW"),"",INDEX(B3509:B$2,-1+SUMPRODUCT(MAX(ROW(E3509:E$2)*(E3510=E3509:E$2)))))</f>
        <v> </v>
      </c>
      <c r="J3510" s="26" t="str">
        <f>IF(OR(E3510="",E3510="!!!",F3510="NEW"),"",COUNTBLANK(OFFSET(A$1,,,SUMPRODUCT(MAX(ROW(E$2:E3510)*(E3510=E$2:E3510)))))-COUNTBLANK(OFFSET(A$1,,,SUMPRODUCT(MAX(ROW(E$1:E3509)*(E2=E$1:E3509))))))</f>
        <v> </v>
      </c>
      <c r="K3510" s="26" t="str">
        <f>IF(OR(E3510="",E3510="!!!",F3510="NEW"),"",INDEX(J$1:J3509,SUMPRODUCT(MAX(ROW(E$1:E3509)*(E3510=E$1:E3509)))))</f>
        <v> </v>
      </c>
      <c r="L3510" s="27"/>
    </row>
    <row r="3511" spans="1:12">
      <c r="A3511" s="20" t="s">
        <v>2063</v>
      </c>
      <c r="E3511" s="22">
        <f>IF(D3511="?OLD","!!!","")</f>
        <v/>
      </c>
      <c r="F3511" s="23" t="str">
        <f>IF(OR(E3511="",E3511="!!!"),"",IF(NOT(ISNA(VLOOKUP(E3511,E$1:E3510,1,FALSE()))),"OLD",IF(AND(E3511&lt;&gt;"",E3511&lt;&gt;"!!!"),"NEW","")))</f>
        <v> </v>
      </c>
      <c r="G3511" s="24" t="str">
        <f>IF(OR(E3511="",E3511="!!!"),"",IF(OR(J3511=0,AND(J3511=1,K3511=1),AND(J3511=1,I3511="SBJ"),AND(J3511=1,I3511=0)),"?IN_FOCUS",IF(J3511&lt;=2,"?ACTIVATED",IF(J3511&lt;&gt;"","?FAMILIAR",IF(F3511="NEW",IF(ISNA(VLOOKUP(E3511,#REF!,1,FALSE())),"?TYPE_IDENTIFIABLE","?REFERENTIAL"),"_")))))</f>
        <v> </v>
      </c>
      <c r="H3511" s="25" t="str">
        <f>IF(J3511&lt;&gt;1,"",IF(I3511="SBJ","CB","?"))</f>
        <v> </v>
      </c>
      <c r="I3511" s="26" t="str">
        <f>IF(OR(E3511="",E3511="!!!",F3511="NEW"),"",INDEX(B3510:B$2,-1+SUMPRODUCT(MAX(ROW(E3510:E$2)*(E3511=E3510:E$2)))))</f>
        <v> </v>
      </c>
      <c r="J3511" s="26" t="str">
        <f>IF(OR(E3511="",E3511="!!!",F3511="NEW"),"",COUNTBLANK(OFFSET(A$1,,,SUMPRODUCT(MAX(ROW(E$2:E3511)*(E3511=E$2:E3511)))))-COUNTBLANK(OFFSET(A$1,,,SUMPRODUCT(MAX(ROW(E$1:E3510)*(E2=E$1:E3510))))))</f>
        <v> </v>
      </c>
      <c r="K3511" s="26" t="str">
        <f>IF(OR(E3511="",E3511="!!!",F3511="NEW"),"",INDEX(J$1:J3510,SUMPRODUCT(MAX(ROW(E$1:E3510)*(E3511=E$1:E3510)))))</f>
        <v> </v>
      </c>
      <c r="L3511" s="27"/>
    </row>
    <row r="3512" spans="1:12">
      <c r="A3512" s="20" t="s">
        <v>1324</v>
      </c>
      <c r="E3512" s="22">
        <f>IF(D3512="?OLD","!!!","")</f>
        <v/>
      </c>
      <c r="F3512" s="23" t="str">
        <f>IF(OR(E3512="",E3512="!!!"),"",IF(NOT(ISNA(VLOOKUP(E3512,E$1:E3511,1,FALSE()))),"OLD",IF(AND(E3512&lt;&gt;"",E3512&lt;&gt;"!!!"),"NEW","")))</f>
        <v> </v>
      </c>
      <c r="G3512" s="24" t="str">
        <f>IF(OR(E3512="",E3512="!!!"),"",IF(OR(J3512=0,AND(J3512=1,K3512=1),AND(J3512=1,I3512="SBJ"),AND(J3512=1,I3512=0)),"?IN_FOCUS",IF(J3512&lt;=2,"?ACTIVATED",IF(J3512&lt;&gt;"","?FAMILIAR",IF(F3512="NEW",IF(ISNA(VLOOKUP(E3512,#REF!,1,FALSE())),"?TYPE_IDENTIFIABLE","?REFERENTIAL"),"_")))))</f>
        <v> </v>
      </c>
      <c r="H3512" s="25" t="str">
        <f>IF(J3512&lt;&gt;1,"",IF(I3512="SBJ","CB","?"))</f>
        <v> </v>
      </c>
      <c r="I3512" s="26" t="str">
        <f>IF(OR(E3512="",E3512="!!!",F3512="NEW"),"",INDEX(B3511:B$2,-1+SUMPRODUCT(MAX(ROW(E3511:E$2)*(E3512=E3511:E$2)))))</f>
        <v> </v>
      </c>
      <c r="J3512" s="26" t="str">
        <f>IF(OR(E3512="",E3512="!!!",F3512="NEW"),"",COUNTBLANK(OFFSET(A$1,,,SUMPRODUCT(MAX(ROW(E$2:E3512)*(E3512=E$2:E3512)))))-COUNTBLANK(OFFSET(A$1,,,SUMPRODUCT(MAX(ROW(E$1:E3511)*(E2=E$1:E3511))))))</f>
        <v> </v>
      </c>
      <c r="K3512" s="26" t="str">
        <f>IF(OR(E3512="",E3512="!!!",F3512="NEW"),"",INDEX(J$1:J3511,SUMPRODUCT(MAX(ROW(E$1:E3511)*(E3512=E$1:E3511)))))</f>
        <v> </v>
      </c>
      <c r="L3512" s="27"/>
    </row>
    <row r="3513" spans="1:12">
      <c r="A3513" s="20" t="s">
        <v>2064</v>
      </c>
      <c r="B3513" s="21" t="s">
        <v>1029</v>
      </c>
      <c r="C3513" s="21" t="s">
        <v>1111</v>
      </c>
      <c r="E3513" s="22">
        <f>IF(D3513="?OLD","!!!","")</f>
        <v/>
      </c>
      <c r="F3513" s="23" t="str">
        <f>IF(OR(E3513="",E3513="!!!"),"",IF(NOT(ISNA(VLOOKUP(E3513,E$1:E3512,1,FALSE()))),"OLD",IF(AND(E3513&lt;&gt;"",E3513&lt;&gt;"!!!"),"NEW","")))</f>
        <v> </v>
      </c>
      <c r="G3513" s="24" t="str">
        <f>IF(OR(E3513="",E3513="!!!"),"",IF(OR(J3513=0,AND(J3513=1,K3513=1),AND(J3513=1,I3513="SBJ"),AND(J3513=1,I3513=0)),"?IN_FOCUS",IF(J3513&lt;=2,"?ACTIVATED",IF(J3513&lt;&gt;"","?FAMILIAR",IF(F3513="NEW",IF(ISNA(VLOOKUP(E3513,#REF!,1,FALSE())),"?TYPE_IDENTIFIABLE","?REFERENTIAL"),"_")))))</f>
        <v> </v>
      </c>
      <c r="H3513" s="25" t="str">
        <f>IF(J3513&lt;&gt;1,"",IF(I3513="SBJ","CB","?"))</f>
        <v> </v>
      </c>
      <c r="I3513" s="26" t="str">
        <f>IF(OR(E3513="",E3513="!!!",F3513="NEW"),"",INDEX(B3512:B$2,-1+SUMPRODUCT(MAX(ROW(E3512:E$2)*(E3513=E3512:E$2)))))</f>
        <v> </v>
      </c>
      <c r="J3513" s="26" t="str">
        <f>IF(OR(E3513="",E3513="!!!",F3513="NEW"),"",COUNTBLANK(OFFSET(A$1,,,SUMPRODUCT(MAX(ROW(E$2:E3513)*(E3513=E$2:E3513)))))-COUNTBLANK(OFFSET(A$1,,,SUMPRODUCT(MAX(ROW(E$1:E3512)*(E2=E$1:E3512))))))</f>
        <v> </v>
      </c>
      <c r="K3513" s="26" t="str">
        <f>IF(OR(E3513="",E3513="!!!",F3513="NEW"),"",INDEX(J$1:J3512,SUMPRODUCT(MAX(ROW(E$1:E3512)*(E3513=E$1:E3512)))))</f>
        <v> </v>
      </c>
      <c r="L3513" s="27"/>
    </row>
    <row r="3514" spans="1:12">
      <c r="A3514" s="20" t="s">
        <v>1030</v>
      </c>
      <c r="E3514" s="22">
        <f>IF(D3514="?OLD","!!!","")</f>
        <v/>
      </c>
      <c r="F3514" s="23" t="str">
        <f>IF(OR(E3514="",E3514="!!!"),"",IF(NOT(ISNA(VLOOKUP(E3514,E$1:E3513,1,FALSE()))),"OLD",IF(AND(E3514&lt;&gt;"",E3514&lt;&gt;"!!!"),"NEW","")))</f>
        <v> </v>
      </c>
      <c r="G3514" s="24" t="str">
        <f>IF(OR(E3514="",E3514="!!!"),"",IF(OR(J3514=0,AND(J3514=1,K3514=1),AND(J3514=1,I3514="SBJ"),AND(J3514=1,I3514=0)),"?IN_FOCUS",IF(J3514&lt;=2,"?ACTIVATED",IF(J3514&lt;&gt;"","?FAMILIAR",IF(F3514="NEW",IF(ISNA(VLOOKUP(E3514,#REF!,1,FALSE())),"?TYPE_IDENTIFIABLE","?REFERENTIAL"),"_")))))</f>
        <v> </v>
      </c>
      <c r="H3514" s="25" t="str">
        <f>IF(J3514&lt;&gt;1,"",IF(I3514="SBJ","CB","?"))</f>
        <v> </v>
      </c>
      <c r="I3514" s="26" t="str">
        <f>IF(OR(E3514="",E3514="!!!",F3514="NEW"),"",INDEX(B3513:B$2,-1+SUMPRODUCT(MAX(ROW(E3513:E$2)*(E3514=E3513:E$2)))))</f>
        <v> </v>
      </c>
      <c r="J3514" s="26" t="str">
        <f>IF(OR(E3514="",E3514="!!!",F3514="NEW"),"",COUNTBLANK(OFFSET(A$1,,,SUMPRODUCT(MAX(ROW(E$2:E3514)*(E3514=E$2:E3514)))))-COUNTBLANK(OFFSET(A$1,,,SUMPRODUCT(MAX(ROW(E$1:E3513)*(E2=E$1:E3513))))))</f>
        <v> </v>
      </c>
      <c r="K3514" s="26" t="str">
        <f>IF(OR(E3514="",E3514="!!!",F3514="NEW"),"",INDEX(J$1:J3513,SUMPRODUCT(MAX(ROW(E$1:E3513)*(E3514=E$1:E3513)))))</f>
        <v> </v>
      </c>
      <c r="L3514" s="27"/>
    </row>
    <row r="3515" spans="1:12">
      <c r="A3515" s="20" t="s">
        <v>1284</v>
      </c>
      <c r="B3515" s="21" t="s">
        <v>1022</v>
      </c>
      <c r="C3515" s="21" t="s">
        <v>1073</v>
      </c>
      <c r="D3515" s="21" t="s">
        <v>1007</v>
      </c>
      <c r="E3515" s="22">
        <f>IF(D3515="?OLD","!!!","")</f>
        <v/>
      </c>
      <c r="F3515" s="23" t="str">
        <f>IF(OR(E3515="",E3515="!!!"),"",IF(NOT(ISNA(VLOOKUP(E3515,E$1:E3514,1,FALSE()))),"OLD",IF(AND(E3515&lt;&gt;"",E3515&lt;&gt;"!!!"),"NEW","")))</f>
        <v> </v>
      </c>
      <c r="G3515" s="24" t="str">
        <f>IF(OR(E3515="",E3515="!!!"),"",IF(OR(J3515=0,AND(J3515=1,K3515=1),AND(J3515=1,I3515="SBJ"),AND(J3515=1,I3515=0)),"?IN_FOCUS",IF(J3515&lt;=2,"?ACTIVATED",IF(J3515&lt;&gt;"","?FAMILIAR",IF(F3515="NEW",IF(ISNA(VLOOKUP(E3515,#REF!,1,FALSE())),"?TYPE_IDENTIFIABLE","?REFERENTIAL"),"_")))))</f>
        <v> </v>
      </c>
      <c r="H3515" s="25" t="str">
        <f>IF(J3515&lt;&gt;1,"",IF(I3515="SBJ","CB","?"))</f>
        <v> </v>
      </c>
      <c r="I3515" s="26" t="str">
        <f>IF(OR(E3515="",E3515="!!!",F3515="NEW"),"",INDEX(B3514:B$2,-1+SUMPRODUCT(MAX(ROW(E3514:E$2)*(E3515=E3514:E$2)))))</f>
        <v> </v>
      </c>
      <c r="J3515" s="26" t="str">
        <f>IF(OR(E3515="",E3515="!!!",F3515="NEW"),"",COUNTBLANK(OFFSET(A$1,,,SUMPRODUCT(MAX(ROW(E$2:E3515)*(E3515=E$2:E3515)))))-COUNTBLANK(OFFSET(A$1,,,SUMPRODUCT(MAX(ROW(E$1:E3514)*(E2=E$1:E3514))))))</f>
        <v> </v>
      </c>
      <c r="K3515" s="26" t="str">
        <f>IF(OR(E3515="",E3515="!!!",F3515="NEW"),"",INDEX(J$1:J3514,SUMPRODUCT(MAX(ROW(E$1:E3514)*(E3515=E$1:E3514)))))</f>
        <v> </v>
      </c>
      <c r="L3515" s="27"/>
    </row>
    <row r="3516" spans="1:12">
      <c r="A3516" s="20" t="s">
        <v>1023</v>
      </c>
      <c r="E3516" s="22">
        <f>IF(D3516="?OLD","!!!","")</f>
        <v/>
      </c>
      <c r="F3516" s="23" t="str">
        <f>IF(OR(E3516="",E3516="!!!"),"",IF(NOT(ISNA(VLOOKUP(E3516,E$1:E3515,1,FALSE()))),"OLD",IF(AND(E3516&lt;&gt;"",E3516&lt;&gt;"!!!"),"NEW","")))</f>
        <v> </v>
      </c>
      <c r="G3516" s="24" t="str">
        <f>IF(OR(E3516="",E3516="!!!"),"",IF(OR(J3516=0,AND(J3516=1,K3516=1),AND(J3516=1,I3516="SBJ"),AND(J3516=1,I3516=0)),"?IN_FOCUS",IF(J3516&lt;=2,"?ACTIVATED",IF(J3516&lt;&gt;"","?FAMILIAR",IF(F3516="NEW",IF(ISNA(VLOOKUP(E3516,#REF!,1,FALSE())),"?TYPE_IDENTIFIABLE","?REFERENTIAL"),"_")))))</f>
        <v> </v>
      </c>
      <c r="H3516" s="25" t="str">
        <f>IF(J3516&lt;&gt;1,"",IF(I3516="SBJ","CB","?"))</f>
        <v> </v>
      </c>
      <c r="I3516" s="26" t="str">
        <f>IF(OR(E3516="",E3516="!!!",F3516="NEW"),"",INDEX(B3515:B$2,-1+SUMPRODUCT(MAX(ROW(E3515:E$2)*(E3516=E3515:E$2)))))</f>
        <v> </v>
      </c>
      <c r="J3516" s="26" t="str">
        <f>IF(OR(E3516="",E3516="!!!",F3516="NEW"),"",COUNTBLANK(OFFSET(A$1,,,SUMPRODUCT(MAX(ROW(E$2:E3516)*(E3516=E$2:E3516)))))-COUNTBLANK(OFFSET(A$1,,,SUMPRODUCT(MAX(ROW(E$1:E3515)*(E2=E$1:E3515))))))</f>
        <v> </v>
      </c>
      <c r="K3516" s="26" t="str">
        <f>IF(OR(E3516="",E3516="!!!",F3516="NEW"),"",INDEX(J$1:J3515,SUMPRODUCT(MAX(ROW(E$1:E3515)*(E3516=E$1:E3515)))))</f>
        <v> </v>
      </c>
      <c r="L3516" s="27"/>
    </row>
    <row r="3517" spans="1:12">
      <c r="A3517" s="20"/>
    </row>
    <row r="3518" spans="1:12">
      <c r="A3518" s="20" t="s">
        <v>2065</v>
      </c>
    </row>
    <row r="3519" spans="1:12">
      <c r="A3519" s="20" t="s">
        <v>1753</v>
      </c>
      <c r="B3519" s="21" t="s">
        <v>1050</v>
      </c>
      <c r="C3519" s="21" t="s">
        <v>1073</v>
      </c>
      <c r="D3519" s="21" t="s">
        <v>1007</v>
      </c>
      <c r="E3519" s="22">
        <f>IF(D3519="?OLD","!!!","")</f>
        <v/>
      </c>
      <c r="F3519" s="23" t="str">
        <f>IF(OR(E3519="",E3519="!!!"),"",IF(NOT(ISNA(VLOOKUP(E3519,E$1:E3518,1,FALSE()))),"OLD",IF(AND(E3519&lt;&gt;"",E3519&lt;&gt;"!!!"),"NEW","")))</f>
        <v> </v>
      </c>
      <c r="G3519" s="24" t="str">
        <f>IF(OR(E3519="",E3519="!!!"),"",IF(OR(J3519=0,AND(J3519=1,K3519=1),AND(J3519=1,I3519="SBJ"),AND(J3519=1,I3519=0)),"?IN_FOCUS",IF(J3519&lt;=2,"?ACTIVATED",IF(J3519&lt;&gt;"","?FAMILIAR",IF(F3519="NEW",IF(ISNA(VLOOKUP(E3519,#REF!,1,FALSE())),"?TYPE_IDENTIFIABLE","?REFERENTIAL"),"_")))))</f>
        <v> </v>
      </c>
      <c r="H3519" s="25" t="str">
        <f>IF(J3519&lt;&gt;1,"",IF(I3519="SBJ","CB","?"))</f>
        <v> </v>
      </c>
      <c r="I3519" s="26" t="str">
        <f>IF(OR(E3519="",E3519="!!!",F3519="NEW"),"",INDEX(B3518:B$2,-1+SUMPRODUCT(MAX(ROW(E3518:E$2)*(E3519=E3518:E$2)))))</f>
        <v> </v>
      </c>
      <c r="J3519" s="26" t="str">
        <f>IF(OR(E3519="",E3519="!!!",F3519="NEW"),"",COUNTBLANK(OFFSET(A$1,,,SUMPRODUCT(MAX(ROW(E$2:E3519)*(E3519=E$2:E3519)))))-COUNTBLANK(OFFSET(A$1,,,SUMPRODUCT(MAX(ROW(E$1:E3518)*(E2=E$1:E3518))))))</f>
        <v> </v>
      </c>
      <c r="K3519" s="26" t="str">
        <f>IF(OR(E3519="",E3519="!!!",F3519="NEW"),"",INDEX(J$1:J3518,SUMPRODUCT(MAX(ROW(E$1:E3518)*(E3519=E$1:E3518)))))</f>
        <v> </v>
      </c>
      <c r="L3519" s="27"/>
    </row>
    <row r="3520" spans="1:12">
      <c r="A3520" s="20" t="s">
        <v>1075</v>
      </c>
      <c r="E3520" s="22">
        <f>IF(D3520="?OLD","!!!","")</f>
        <v/>
      </c>
      <c r="F3520" s="23" t="str">
        <f>IF(OR(E3520="",E3520="!!!"),"",IF(NOT(ISNA(VLOOKUP(E3520,E$1:E3519,1,FALSE()))),"OLD",IF(AND(E3520&lt;&gt;"",E3520&lt;&gt;"!!!"),"NEW","")))</f>
        <v> </v>
      </c>
      <c r="G3520" s="24" t="str">
        <f>IF(OR(E3520="",E3520="!!!"),"",IF(OR(J3520=0,AND(J3520=1,K3520=1),AND(J3520=1,I3520="SBJ"),AND(J3520=1,I3520=0)),"?IN_FOCUS",IF(J3520&lt;=2,"?ACTIVATED",IF(J3520&lt;&gt;"","?FAMILIAR",IF(F3520="NEW",IF(ISNA(VLOOKUP(E3520,#REF!,1,FALSE())),"?TYPE_IDENTIFIABLE","?REFERENTIAL"),"_")))))</f>
        <v> </v>
      </c>
      <c r="H3520" s="25" t="str">
        <f>IF(J3520&lt;&gt;1,"",IF(I3520="SBJ","CB","?"))</f>
        <v> </v>
      </c>
      <c r="I3520" s="26" t="str">
        <f>IF(OR(E3520="",E3520="!!!",F3520="NEW"),"",INDEX(B3519:B$2,-1+SUMPRODUCT(MAX(ROW(E3519:E$2)*(E3520=E3519:E$2)))))</f>
        <v> </v>
      </c>
      <c r="J3520" s="26" t="str">
        <f>IF(OR(E3520="",E3520="!!!",F3520="NEW"),"",COUNTBLANK(OFFSET(A$1,,,SUMPRODUCT(MAX(ROW(E$2:E3520)*(E3520=E$2:E3520)))))-COUNTBLANK(OFFSET(A$1,,,SUMPRODUCT(MAX(ROW(E$1:E3519)*(E2=E$1:E3519))))))</f>
        <v> </v>
      </c>
      <c r="K3520" s="26" t="str">
        <f>IF(OR(E3520="",E3520="!!!",F3520="NEW"),"",INDEX(J$1:J3519,SUMPRODUCT(MAX(ROW(E$1:E3519)*(E3520=E$1:E3519)))))</f>
        <v> </v>
      </c>
      <c r="L3520" s="27"/>
    </row>
    <row r="3521" spans="1:12">
      <c r="A3521" s="20" t="s">
        <v>1020</v>
      </c>
      <c r="E3521" s="22">
        <f>IF(D3521="?OLD","!!!","")</f>
        <v/>
      </c>
      <c r="F3521" s="23" t="str">
        <f>IF(OR(E3521="",E3521="!!!"),"",IF(NOT(ISNA(VLOOKUP(E3521,E$1:E3520,1,FALSE()))),"OLD",IF(AND(E3521&lt;&gt;"",E3521&lt;&gt;"!!!"),"NEW","")))</f>
        <v> </v>
      </c>
      <c r="G3521" s="24" t="str">
        <f>IF(OR(E3521="",E3521="!!!"),"",IF(OR(J3521=0,AND(J3521=1,K3521=1),AND(J3521=1,I3521="SBJ"),AND(J3521=1,I3521=0)),"?IN_FOCUS",IF(J3521&lt;=2,"?ACTIVATED",IF(J3521&lt;&gt;"","?FAMILIAR",IF(F3521="NEW",IF(ISNA(VLOOKUP(E3521,#REF!,1,FALSE())),"?TYPE_IDENTIFIABLE","?REFERENTIAL"),"_")))))</f>
        <v> </v>
      </c>
      <c r="H3521" s="25" t="str">
        <f>IF(J3521&lt;&gt;1,"",IF(I3521="SBJ","CB","?"))</f>
        <v> </v>
      </c>
      <c r="I3521" s="26" t="str">
        <f>IF(OR(E3521="",E3521="!!!",F3521="NEW"),"",INDEX(B3520:B$2,-1+SUMPRODUCT(MAX(ROW(E3520:E$2)*(E3521=E3520:E$2)))))</f>
        <v> </v>
      </c>
      <c r="J3521" s="26" t="str">
        <f>IF(OR(E3521="",E3521="!!!",F3521="NEW"),"",COUNTBLANK(OFFSET(A$1,,,SUMPRODUCT(MAX(ROW(E$2:E3521)*(E3521=E$2:E3521)))))-COUNTBLANK(OFFSET(A$1,,,SUMPRODUCT(MAX(ROW(E$1:E3520)*(E2=E$1:E3520))))))</f>
        <v> </v>
      </c>
      <c r="K3521" s="26" t="str">
        <f>IF(OR(E3521="",E3521="!!!",F3521="NEW"),"",INDEX(J$1:J3520,SUMPRODUCT(MAX(ROW(E$1:E3520)*(E3521=E$1:E3520)))))</f>
        <v> </v>
      </c>
      <c r="L3521" s="27"/>
    </row>
    <row r="3522" spans="1:12">
      <c r="A3522" s="20" t="s">
        <v>1768</v>
      </c>
      <c r="B3522" s="21" t="s">
        <v>1005</v>
      </c>
      <c r="C3522" s="21" t="s">
        <v>1013</v>
      </c>
      <c r="D3522" s="21" t="s">
        <v>1007</v>
      </c>
      <c r="E3522" s="22">
        <f>IF(D3522="?OLD","!!!","")</f>
        <v/>
      </c>
      <c r="F3522" s="23" t="str">
        <f>IF(OR(E3522="",E3522="!!!"),"",IF(NOT(ISNA(VLOOKUP(E3522,E$1:E3521,1,FALSE()))),"OLD",IF(AND(E3522&lt;&gt;"",E3522&lt;&gt;"!!!"),"NEW","")))</f>
        <v> </v>
      </c>
      <c r="G3522" s="24" t="str">
        <f>IF(OR(E3522="",E3522="!!!"),"",IF(OR(J3522=0,AND(J3522=1,K3522=1),AND(J3522=1,I3522="SBJ"),AND(J3522=1,I3522=0)),"?IN_FOCUS",IF(J3522&lt;=2,"?ACTIVATED",IF(J3522&lt;&gt;"","?FAMILIAR",IF(F3522="NEW",IF(ISNA(VLOOKUP(E3522,#REF!,1,FALSE())),"?TYPE_IDENTIFIABLE","?REFERENTIAL"),"_")))))</f>
        <v> </v>
      </c>
      <c r="H3522" s="25" t="str">
        <f>IF(J3522&lt;&gt;1,"",IF(I3522="SBJ","CB","?"))</f>
        <v> </v>
      </c>
      <c r="I3522" s="26" t="str">
        <f>IF(OR(E3522="",E3522="!!!",F3522="NEW"),"",INDEX(B3521:B$2,-1+SUMPRODUCT(MAX(ROW(E3521:E$2)*(E3522=E3521:E$2)))))</f>
        <v> </v>
      </c>
      <c r="J3522" s="26" t="str">
        <f>IF(OR(E3522="",E3522="!!!",F3522="NEW"),"",COUNTBLANK(OFFSET(A$1,,,SUMPRODUCT(MAX(ROW(E$2:E3522)*(E3522=E$2:E3522)))))-COUNTBLANK(OFFSET(A$1,,,SUMPRODUCT(MAX(ROW(E$1:E3521)*(E2=E$1:E3521))))))</f>
        <v> </v>
      </c>
      <c r="K3522" s="26" t="str">
        <f>IF(OR(E3522="",E3522="!!!",F3522="NEW"),"",INDEX(J$1:J3521,SUMPRODUCT(MAX(ROW(E$1:E3521)*(E3522=E$1:E3521)))))</f>
        <v> </v>
      </c>
      <c r="L3522" s="27"/>
    </row>
    <row r="3523" spans="1:12">
      <c r="A3523" s="20" t="s">
        <v>1065</v>
      </c>
      <c r="B3523" s="21" t="s">
        <v>1119</v>
      </c>
      <c r="E3523" s="22">
        <f>IF(D3523="?OLD","!!!","")</f>
        <v/>
      </c>
      <c r="F3523" s="23" t="str">
        <f>IF(OR(E3523="",E3523="!!!"),"",IF(NOT(ISNA(VLOOKUP(E3523,E$1:E3522,1,FALSE()))),"OLD",IF(AND(E3523&lt;&gt;"",E3523&lt;&gt;"!!!"),"NEW","")))</f>
        <v> </v>
      </c>
      <c r="G3523" s="24" t="str">
        <f>IF(OR(E3523="",E3523="!!!"),"",IF(OR(J3523=0,AND(J3523=1,K3523=1),AND(J3523=1,I3523="SBJ"),AND(J3523=1,I3523=0)),"?IN_FOCUS",IF(J3523&lt;=2,"?ACTIVATED",IF(J3523&lt;&gt;"","?FAMILIAR",IF(F3523="NEW",IF(ISNA(VLOOKUP(E3523,#REF!,1,FALSE())),"?TYPE_IDENTIFIABLE","?REFERENTIAL"),"_")))))</f>
        <v> </v>
      </c>
      <c r="H3523" s="25" t="str">
        <f>IF(J3523&lt;&gt;1,"",IF(I3523="SBJ","CB","?"))</f>
        <v> </v>
      </c>
      <c r="I3523" s="26" t="str">
        <f>IF(OR(E3523="",E3523="!!!",F3523="NEW"),"",INDEX(B3522:B$2,-1+SUMPRODUCT(MAX(ROW(E3522:E$2)*(E3523=E3522:E$2)))))</f>
        <v> </v>
      </c>
      <c r="J3523" s="26" t="str">
        <f>IF(OR(E3523="",E3523="!!!",F3523="NEW"),"",COUNTBLANK(OFFSET(A$1,,,SUMPRODUCT(MAX(ROW(E$2:E3523)*(E3523=E$2:E3523)))))-COUNTBLANK(OFFSET(A$1,,,SUMPRODUCT(MAX(ROW(E$1:E3522)*(E2=E$1:E3522))))))</f>
        <v> </v>
      </c>
      <c r="K3523" s="26" t="str">
        <f>IF(OR(E3523="",E3523="!!!",F3523="NEW"),"",INDEX(J$1:J3522,SUMPRODUCT(MAX(ROW(E$1:E3522)*(E3523=E$1:E3522)))))</f>
        <v> </v>
      </c>
      <c r="L3523" s="27"/>
    </row>
    <row r="3524" spans="1:12">
      <c r="A3524" s="20" t="s">
        <v>1018</v>
      </c>
      <c r="E3524" s="22">
        <f>IF(D3524="?OLD","!!!","")</f>
        <v/>
      </c>
      <c r="F3524" s="23" t="str">
        <f>IF(OR(E3524="",E3524="!!!"),"",IF(NOT(ISNA(VLOOKUP(E3524,E$1:E3523,1,FALSE()))),"OLD",IF(AND(E3524&lt;&gt;"",E3524&lt;&gt;"!!!"),"NEW","")))</f>
        <v> </v>
      </c>
      <c r="G3524" s="24" t="str">
        <f>IF(OR(E3524="",E3524="!!!"),"",IF(OR(J3524=0,AND(J3524=1,K3524=1),AND(J3524=1,I3524="SBJ"),AND(J3524=1,I3524=0)),"?IN_FOCUS",IF(J3524&lt;=2,"?ACTIVATED",IF(J3524&lt;&gt;"","?FAMILIAR",IF(F3524="NEW",IF(ISNA(VLOOKUP(E3524,#REF!,1,FALSE())),"?TYPE_IDENTIFIABLE","?REFERENTIAL"),"_")))))</f>
        <v> </v>
      </c>
      <c r="H3524" s="25" t="str">
        <f>IF(J3524&lt;&gt;1,"",IF(I3524="SBJ","CB","?"))</f>
        <v> </v>
      </c>
      <c r="I3524" s="26" t="str">
        <f>IF(OR(E3524="",E3524="!!!",F3524="NEW"),"",INDEX(B3523:B$2,-1+SUMPRODUCT(MAX(ROW(E3523:E$2)*(E3524=E3523:E$2)))))</f>
        <v> </v>
      </c>
      <c r="J3524" s="26" t="str">
        <f>IF(OR(E3524="",E3524="!!!",F3524="NEW"),"",COUNTBLANK(OFFSET(A$1,,,SUMPRODUCT(MAX(ROW(E$2:E3524)*(E3524=E$2:E3524)))))-COUNTBLANK(OFFSET(A$1,,,SUMPRODUCT(MAX(ROW(E$1:E3523)*(E2=E$1:E3523))))))</f>
        <v> </v>
      </c>
      <c r="K3524" s="26" t="str">
        <f>IF(OR(E3524="",E3524="!!!",F3524="NEW"),"",INDEX(J$1:J3523,SUMPRODUCT(MAX(ROW(E$1:E3523)*(E3524=E$1:E3523)))))</f>
        <v> </v>
      </c>
      <c r="L3524" s="27"/>
    </row>
    <row r="3525" spans="1:12">
      <c r="A3525" s="20" t="s">
        <v>1612</v>
      </c>
      <c r="E3525" s="22">
        <f>IF(D3525="?OLD","!!!","")</f>
        <v/>
      </c>
      <c r="F3525" s="23" t="str">
        <f>IF(OR(E3525="",E3525="!!!"),"",IF(NOT(ISNA(VLOOKUP(E3525,E$1:E3524,1,FALSE()))),"OLD",IF(AND(E3525&lt;&gt;"",E3525&lt;&gt;"!!!"),"NEW","")))</f>
        <v> </v>
      </c>
      <c r="G3525" s="24" t="str">
        <f>IF(OR(E3525="",E3525="!!!"),"",IF(OR(J3525=0,AND(J3525=1,K3525=1),AND(J3525=1,I3525="SBJ"),AND(J3525=1,I3525=0)),"?IN_FOCUS",IF(J3525&lt;=2,"?ACTIVATED",IF(J3525&lt;&gt;"","?FAMILIAR",IF(F3525="NEW",IF(ISNA(VLOOKUP(E3525,#REF!,1,FALSE())),"?TYPE_IDENTIFIABLE","?REFERENTIAL"),"_")))))</f>
        <v> </v>
      </c>
      <c r="H3525" s="25" t="str">
        <f>IF(J3525&lt;&gt;1,"",IF(I3525="SBJ","CB","?"))</f>
        <v> </v>
      </c>
      <c r="I3525" s="26" t="str">
        <f>IF(OR(E3525="",E3525="!!!",F3525="NEW"),"",INDEX(B3524:B$2,-1+SUMPRODUCT(MAX(ROW(E3524:E$2)*(E3525=E3524:E$2)))))</f>
        <v> </v>
      </c>
      <c r="J3525" s="26" t="str">
        <f>IF(OR(E3525="",E3525="!!!",F3525="NEW"),"",COUNTBLANK(OFFSET(A$1,,,SUMPRODUCT(MAX(ROW(E$2:E3525)*(E3525=E$2:E3525)))))-COUNTBLANK(OFFSET(A$1,,,SUMPRODUCT(MAX(ROW(E$1:E3524)*(E2=E$1:E3524))))))</f>
        <v> </v>
      </c>
      <c r="K3525" s="26" t="str">
        <f>IF(OR(E3525="",E3525="!!!",F3525="NEW"),"",INDEX(J$1:J3524,SUMPRODUCT(MAX(ROW(E$1:E3524)*(E3525=E$1:E3524)))))</f>
        <v> </v>
      </c>
      <c r="L3525" s="27"/>
    </row>
    <row r="3526" spans="1:12">
      <c r="A3526" s="20" t="s">
        <v>1139</v>
      </c>
      <c r="B3526" s="21" t="s">
        <v>1022</v>
      </c>
      <c r="C3526" s="21" t="s">
        <v>1013</v>
      </c>
      <c r="D3526" s="21" t="s">
        <v>1007</v>
      </c>
      <c r="E3526" s="22">
        <f>IF(D3526="?OLD","!!!","")</f>
        <v/>
      </c>
      <c r="F3526" s="23" t="str">
        <f>IF(OR(E3526="",E3526="!!!"),"",IF(NOT(ISNA(VLOOKUP(E3526,E$1:E3525,1,FALSE()))),"OLD",IF(AND(E3526&lt;&gt;"",E3526&lt;&gt;"!!!"),"NEW","")))</f>
        <v> </v>
      </c>
      <c r="G3526" s="24" t="str">
        <f>IF(OR(E3526="",E3526="!!!"),"",IF(OR(J3526=0,AND(J3526=1,K3526=1),AND(J3526=1,I3526="SBJ"),AND(J3526=1,I3526=0)),"?IN_FOCUS",IF(J3526&lt;=2,"?ACTIVATED",IF(J3526&lt;&gt;"","?FAMILIAR",IF(F3526="NEW",IF(ISNA(VLOOKUP(E3526,#REF!,1,FALSE())),"?TYPE_IDENTIFIABLE","?REFERENTIAL"),"_")))))</f>
        <v> </v>
      </c>
      <c r="H3526" s="25" t="str">
        <f>IF(J3526&lt;&gt;1,"",IF(I3526="SBJ","CB","?"))</f>
        <v> </v>
      </c>
      <c r="I3526" s="26" t="str">
        <f>IF(OR(E3526="",E3526="!!!",F3526="NEW"),"",INDEX(B3525:B$2,-1+SUMPRODUCT(MAX(ROW(E3525:E$2)*(E3526=E3525:E$2)))))</f>
        <v> </v>
      </c>
      <c r="J3526" s="26" t="str">
        <f>IF(OR(E3526="",E3526="!!!",F3526="NEW"),"",COUNTBLANK(OFFSET(A$1,,,SUMPRODUCT(MAX(ROW(E$2:E3526)*(E3526=E$2:E3526)))))-COUNTBLANK(OFFSET(A$1,,,SUMPRODUCT(MAX(ROW(E$1:E3525)*(E2=E$1:E3525))))))</f>
        <v> </v>
      </c>
      <c r="K3526" s="26" t="str">
        <f>IF(OR(E3526="",E3526="!!!",F3526="NEW"),"",INDEX(J$1:J3525,SUMPRODUCT(MAX(ROW(E$1:E3525)*(E3526=E$1:E3525)))))</f>
        <v> </v>
      </c>
      <c r="L3526" s="27"/>
    </row>
    <row r="3527" spans="1:12">
      <c r="A3527" s="20" t="s">
        <v>1018</v>
      </c>
      <c r="E3527" s="22">
        <f>IF(D3527="?OLD","!!!","")</f>
        <v/>
      </c>
      <c r="F3527" s="23" t="str">
        <f>IF(OR(E3527="",E3527="!!!"),"",IF(NOT(ISNA(VLOOKUP(E3527,E$1:E3526,1,FALSE()))),"OLD",IF(AND(E3527&lt;&gt;"",E3527&lt;&gt;"!!!"),"NEW","")))</f>
        <v> </v>
      </c>
      <c r="G3527" s="24" t="str">
        <f>IF(OR(E3527="",E3527="!!!"),"",IF(OR(J3527=0,AND(J3527=1,K3527=1),AND(J3527=1,I3527="SBJ"),AND(J3527=1,I3527=0)),"?IN_FOCUS",IF(J3527&lt;=2,"?ACTIVATED",IF(J3527&lt;&gt;"","?FAMILIAR",IF(F3527="NEW",IF(ISNA(VLOOKUP(E3527,#REF!,1,FALSE())),"?TYPE_IDENTIFIABLE","?REFERENTIAL"),"_")))))</f>
        <v> </v>
      </c>
      <c r="H3527" s="25" t="str">
        <f>IF(J3527&lt;&gt;1,"",IF(I3527="SBJ","CB","?"))</f>
        <v> </v>
      </c>
      <c r="I3527" s="26" t="str">
        <f>IF(OR(E3527="",E3527="!!!",F3527="NEW"),"",INDEX(B3526:B$2,-1+SUMPRODUCT(MAX(ROW(E3526:E$2)*(E3527=E3526:E$2)))))</f>
        <v> </v>
      </c>
      <c r="J3527" s="26" t="str">
        <f>IF(OR(E3527="",E3527="!!!",F3527="NEW"),"",COUNTBLANK(OFFSET(A$1,,,SUMPRODUCT(MAX(ROW(E$2:E3527)*(E3527=E$2:E3527)))))-COUNTBLANK(OFFSET(A$1,,,SUMPRODUCT(MAX(ROW(E$1:E3526)*(E2=E$1:E3526))))))</f>
        <v> </v>
      </c>
      <c r="K3527" s="26" t="str">
        <f>IF(OR(E3527="",E3527="!!!",F3527="NEW"),"",INDEX(J$1:J3526,SUMPRODUCT(MAX(ROW(E$1:E3526)*(E3527=E$1:E3526)))))</f>
        <v> </v>
      </c>
      <c r="L3527" s="27"/>
    </row>
    <row r="3528" spans="1:12">
      <c r="A3528" s="20" t="s">
        <v>1097</v>
      </c>
      <c r="E3528" s="22">
        <f>IF(D3528="?OLD","!!!","")</f>
        <v/>
      </c>
      <c r="F3528" s="23" t="str">
        <f>IF(OR(E3528="",E3528="!!!"),"",IF(NOT(ISNA(VLOOKUP(E3528,E$1:E3527,1,FALSE()))),"OLD",IF(AND(E3528&lt;&gt;"",E3528&lt;&gt;"!!!"),"NEW","")))</f>
        <v> </v>
      </c>
      <c r="G3528" s="24" t="str">
        <f>IF(OR(E3528="",E3528="!!!"),"",IF(OR(J3528=0,AND(J3528=1,K3528=1),AND(J3528=1,I3528="SBJ"),AND(J3528=1,I3528=0)),"?IN_FOCUS",IF(J3528&lt;=2,"?ACTIVATED",IF(J3528&lt;&gt;"","?FAMILIAR",IF(F3528="NEW",IF(ISNA(VLOOKUP(E3528,#REF!,1,FALSE())),"?TYPE_IDENTIFIABLE","?REFERENTIAL"),"_")))))</f>
        <v> </v>
      </c>
      <c r="H3528" s="25" t="str">
        <f>IF(J3528&lt;&gt;1,"",IF(I3528="SBJ","CB","?"))</f>
        <v> </v>
      </c>
      <c r="I3528" s="26" t="str">
        <f>IF(OR(E3528="",E3528="!!!",F3528="NEW"),"",INDEX(B3527:B$2,-1+SUMPRODUCT(MAX(ROW(E3527:E$2)*(E3528=E3527:E$2)))))</f>
        <v> </v>
      </c>
      <c r="J3528" s="26" t="str">
        <f>IF(OR(E3528="",E3528="!!!",F3528="NEW"),"",COUNTBLANK(OFFSET(A$1,,,SUMPRODUCT(MAX(ROW(E$2:E3528)*(E3528=E$2:E3528)))))-COUNTBLANK(OFFSET(A$1,,,SUMPRODUCT(MAX(ROW(E$1:E3527)*(E2=E$1:E3527))))))</f>
        <v> </v>
      </c>
      <c r="K3528" s="26" t="str">
        <f>IF(OR(E3528="",E3528="!!!",F3528="NEW"),"",INDEX(J$1:J3527,SUMPRODUCT(MAX(ROW(E$1:E3527)*(E3528=E$1:E3527)))))</f>
        <v> </v>
      </c>
      <c r="L3528" s="27"/>
    </row>
    <row r="3529" spans="1:12">
      <c r="A3529" s="20" t="s">
        <v>1020</v>
      </c>
      <c r="E3529" s="22">
        <f>IF(D3529="?OLD","!!!","")</f>
        <v/>
      </c>
      <c r="F3529" s="23" t="str">
        <f>IF(OR(E3529="",E3529="!!!"),"",IF(NOT(ISNA(VLOOKUP(E3529,E$1:E3528,1,FALSE()))),"OLD",IF(AND(E3529&lt;&gt;"",E3529&lt;&gt;"!!!"),"NEW","")))</f>
        <v> </v>
      </c>
      <c r="G3529" s="24" t="str">
        <f>IF(OR(E3529="",E3529="!!!"),"",IF(OR(J3529=0,AND(J3529=1,K3529=1),AND(J3529=1,I3529="SBJ"),AND(J3529=1,I3529=0)),"?IN_FOCUS",IF(J3529&lt;=2,"?ACTIVATED",IF(J3529&lt;&gt;"","?FAMILIAR",IF(F3529="NEW",IF(ISNA(VLOOKUP(E3529,#REF!,1,FALSE())),"?TYPE_IDENTIFIABLE","?REFERENTIAL"),"_")))))</f>
        <v> </v>
      </c>
      <c r="H3529" s="25" t="str">
        <f>IF(J3529&lt;&gt;1,"",IF(I3529="SBJ","CB","?"))</f>
        <v> </v>
      </c>
      <c r="I3529" s="26" t="str">
        <f>IF(OR(E3529="",E3529="!!!",F3529="NEW"),"",INDEX(B3528:B$2,-1+SUMPRODUCT(MAX(ROW(E3528:E$2)*(E3529=E3528:E$2)))))</f>
        <v> </v>
      </c>
      <c r="J3529" s="26" t="str">
        <f>IF(OR(E3529="",E3529="!!!",F3529="NEW"),"",COUNTBLANK(OFFSET(A$1,,,SUMPRODUCT(MAX(ROW(E$2:E3529)*(E3529=E$2:E3529)))))-COUNTBLANK(OFFSET(A$1,,,SUMPRODUCT(MAX(ROW(E$1:E3528)*(E2=E$1:E3528))))))</f>
        <v> </v>
      </c>
      <c r="K3529" s="26" t="str">
        <f>IF(OR(E3529="",E3529="!!!",F3529="NEW"),"",INDEX(J$1:J3528,SUMPRODUCT(MAX(ROW(E$1:E3528)*(E3529=E$1:E3528)))))</f>
        <v> </v>
      </c>
      <c r="L3529" s="27"/>
    </row>
    <row r="3530" spans="1:12">
      <c r="A3530" s="20" t="s">
        <v>2066</v>
      </c>
      <c r="B3530" s="21" t="s">
        <v>1033</v>
      </c>
      <c r="C3530" s="21" t="s">
        <v>1013</v>
      </c>
      <c r="D3530" s="21" t="s">
        <v>1007</v>
      </c>
      <c r="E3530" s="22">
        <f>IF(D3530="?OLD","!!!","")</f>
        <v/>
      </c>
      <c r="F3530" s="23" t="str">
        <f>IF(OR(E3530="",E3530="!!!"),"",IF(NOT(ISNA(VLOOKUP(E3530,E$1:E3529,1,FALSE()))),"OLD",IF(AND(E3530&lt;&gt;"",E3530&lt;&gt;"!!!"),"NEW","")))</f>
        <v> </v>
      </c>
      <c r="G3530" s="24" t="str">
        <f>IF(OR(E3530="",E3530="!!!"),"",IF(OR(J3530=0,AND(J3530=1,K3530=1),AND(J3530=1,I3530="SBJ"),AND(J3530=1,I3530=0)),"?IN_FOCUS",IF(J3530&lt;=2,"?ACTIVATED",IF(J3530&lt;&gt;"","?FAMILIAR",IF(F3530="NEW",IF(ISNA(VLOOKUP(E3530,#REF!,1,FALSE())),"?TYPE_IDENTIFIABLE","?REFERENTIAL"),"_")))))</f>
        <v> </v>
      </c>
      <c r="H3530" s="25" t="str">
        <f>IF(J3530&lt;&gt;1,"",IF(I3530="SBJ","CB","?"))</f>
        <v> </v>
      </c>
      <c r="I3530" s="26" t="str">
        <f>IF(OR(E3530="",E3530="!!!",F3530="NEW"),"",INDEX(B3529:B$2,-1+SUMPRODUCT(MAX(ROW(E3529:E$2)*(E3530=E3529:E$2)))))</f>
        <v> </v>
      </c>
      <c r="J3530" s="26" t="str">
        <f>IF(OR(E3530="",E3530="!!!",F3530="NEW"),"",COUNTBLANK(OFFSET(A$1,,,SUMPRODUCT(MAX(ROW(E$2:E3530)*(E3530=E$2:E3530)))))-COUNTBLANK(OFFSET(A$1,,,SUMPRODUCT(MAX(ROW(E$1:E3529)*(E2=E$1:E3529))))))</f>
        <v> </v>
      </c>
      <c r="K3530" s="26" t="str">
        <f>IF(OR(E3530="",E3530="!!!",F3530="NEW"),"",INDEX(J$1:J3529,SUMPRODUCT(MAX(ROW(E$1:E3529)*(E3530=E$1:E3529)))))</f>
        <v> </v>
      </c>
      <c r="L3530" s="27"/>
    </row>
    <row r="3531" spans="1:12">
      <c r="A3531" s="20" t="s">
        <v>1014</v>
      </c>
      <c r="E3531" s="22">
        <f>IF(D3531="?OLD","!!!","")</f>
        <v/>
      </c>
      <c r="F3531" s="23" t="str">
        <f>IF(OR(E3531="",E3531="!!!"),"",IF(NOT(ISNA(VLOOKUP(E3531,E$1:E3530,1,FALSE()))),"OLD",IF(AND(E3531&lt;&gt;"",E3531&lt;&gt;"!!!"),"NEW","")))</f>
        <v> </v>
      </c>
      <c r="G3531" s="24" t="str">
        <f>IF(OR(E3531="",E3531="!!!"),"",IF(OR(J3531=0,AND(J3531=1,K3531=1),AND(J3531=1,I3531="SBJ"),AND(J3531=1,I3531=0)),"?IN_FOCUS",IF(J3531&lt;=2,"?ACTIVATED",IF(J3531&lt;&gt;"","?FAMILIAR",IF(F3531="NEW",IF(ISNA(VLOOKUP(E3531,#REF!,1,FALSE())),"?TYPE_IDENTIFIABLE","?REFERENTIAL"),"_")))))</f>
        <v> </v>
      </c>
      <c r="H3531" s="25" t="str">
        <f>IF(J3531&lt;&gt;1,"",IF(I3531="SBJ","CB","?"))</f>
        <v> </v>
      </c>
      <c r="I3531" s="26" t="str">
        <f>IF(OR(E3531="",E3531="!!!",F3531="NEW"),"",INDEX(B3530:B$2,-1+SUMPRODUCT(MAX(ROW(E3530:E$2)*(E3531=E3530:E$2)))))</f>
        <v> </v>
      </c>
      <c r="J3531" s="26" t="str">
        <f>IF(OR(E3531="",E3531="!!!",F3531="NEW"),"",COUNTBLANK(OFFSET(A$1,,,SUMPRODUCT(MAX(ROW(E$2:E3531)*(E3531=E$2:E3531)))))-COUNTBLANK(OFFSET(A$1,,,SUMPRODUCT(MAX(ROW(E$1:E3530)*(E2=E$1:E3530))))))</f>
        <v> </v>
      </c>
      <c r="K3531" s="26" t="str">
        <f>IF(OR(E3531="",E3531="!!!",F3531="NEW"),"",INDEX(J$1:J3530,SUMPRODUCT(MAX(ROW(E$1:E3530)*(E3531=E$1:E3530)))))</f>
        <v> </v>
      </c>
      <c r="L3531" s="27"/>
    </row>
    <row r="3532" spans="1:12">
      <c r="A3532" s="20" t="s">
        <v>1015</v>
      </c>
      <c r="E3532" s="22">
        <f>IF(D3532="?OLD","!!!","")</f>
        <v/>
      </c>
      <c r="F3532" s="23" t="str">
        <f>IF(OR(E3532="",E3532="!!!"),"",IF(NOT(ISNA(VLOOKUP(E3532,E$1:E3531,1,FALSE()))),"OLD",IF(AND(E3532&lt;&gt;"",E3532&lt;&gt;"!!!"),"NEW","")))</f>
        <v> </v>
      </c>
      <c r="G3532" s="24" t="str">
        <f>IF(OR(E3532="",E3532="!!!"),"",IF(OR(J3532=0,AND(J3532=1,K3532=1),AND(J3532=1,I3532="SBJ"),AND(J3532=1,I3532=0)),"?IN_FOCUS",IF(J3532&lt;=2,"?ACTIVATED",IF(J3532&lt;&gt;"","?FAMILIAR",IF(F3532="NEW",IF(ISNA(VLOOKUP(E3532,#REF!,1,FALSE())),"?TYPE_IDENTIFIABLE","?REFERENTIAL"),"_")))))</f>
        <v> </v>
      </c>
      <c r="H3532" s="25" t="str">
        <f>IF(J3532&lt;&gt;1,"",IF(I3532="SBJ","CB","?"))</f>
        <v> </v>
      </c>
      <c r="I3532" s="26" t="str">
        <f>IF(OR(E3532="",E3532="!!!",F3532="NEW"),"",INDEX(B3531:B$2,-1+SUMPRODUCT(MAX(ROW(E3531:E$2)*(E3532=E3531:E$2)))))</f>
        <v> </v>
      </c>
      <c r="J3532" s="26" t="str">
        <f>IF(OR(E3532="",E3532="!!!",F3532="NEW"),"",COUNTBLANK(OFFSET(A$1,,,SUMPRODUCT(MAX(ROW(E$2:E3532)*(E3532=E$2:E3532)))))-COUNTBLANK(OFFSET(A$1,,,SUMPRODUCT(MAX(ROW(E$1:E3531)*(E2=E$1:E3531))))))</f>
        <v> </v>
      </c>
      <c r="K3532" s="26" t="str">
        <f>IF(OR(E3532="",E3532="!!!",F3532="NEW"),"",INDEX(J$1:J3531,SUMPRODUCT(MAX(ROW(E$1:E3531)*(E3532=E$1:E3531)))))</f>
        <v> </v>
      </c>
      <c r="L3532" s="27"/>
    </row>
    <row r="3533" spans="1:12">
      <c r="A3533" s="20" t="s">
        <v>2067</v>
      </c>
      <c r="B3533" s="21" t="s">
        <v>1035</v>
      </c>
      <c r="C3533" s="21" t="s">
        <v>1017</v>
      </c>
      <c r="D3533" s="21" t="s">
        <v>1007</v>
      </c>
      <c r="E3533" s="22">
        <f>IF(D3533="?OLD","!!!","")</f>
        <v/>
      </c>
      <c r="F3533" s="23" t="str">
        <f>IF(OR(E3533="",E3533="!!!"),"",IF(NOT(ISNA(VLOOKUP(E3533,E$1:E3532,1,FALSE()))),"OLD",IF(AND(E3533&lt;&gt;"",E3533&lt;&gt;"!!!"),"NEW","")))</f>
        <v> </v>
      </c>
      <c r="G3533" s="24" t="str">
        <f>IF(OR(E3533="",E3533="!!!"),"",IF(OR(J3533=0,AND(J3533=1,K3533=1),AND(J3533=1,I3533="SBJ"),AND(J3533=1,I3533=0)),"?IN_FOCUS",IF(J3533&lt;=2,"?ACTIVATED",IF(J3533&lt;&gt;"","?FAMILIAR",IF(F3533="NEW",IF(ISNA(VLOOKUP(E3533,#REF!,1,FALSE())),"?TYPE_IDENTIFIABLE","?REFERENTIAL"),"_")))))</f>
        <v> </v>
      </c>
      <c r="H3533" s="25" t="str">
        <f>IF(J3533&lt;&gt;1,"",IF(I3533="SBJ","CB","?"))</f>
        <v> </v>
      </c>
      <c r="I3533" s="26" t="str">
        <f>IF(OR(E3533="",E3533="!!!",F3533="NEW"),"",INDEX(B3532:B$2,-1+SUMPRODUCT(MAX(ROW(E3532:E$2)*(E3533=E3532:E$2)))))</f>
        <v> </v>
      </c>
      <c r="J3533" s="26" t="str">
        <f>IF(OR(E3533="",E3533="!!!",F3533="NEW"),"",COUNTBLANK(OFFSET(A$1,,,SUMPRODUCT(MAX(ROW(E$2:E3533)*(E3533=E$2:E3533)))))-COUNTBLANK(OFFSET(A$1,,,SUMPRODUCT(MAX(ROW(E$1:E3532)*(E2=E$1:E3532))))))</f>
        <v> </v>
      </c>
      <c r="K3533" s="26" t="str">
        <f>IF(OR(E3533="",E3533="!!!",F3533="NEW"),"",INDEX(J$1:J3532,SUMPRODUCT(MAX(ROW(E$1:E3532)*(E3533=E$1:E3532)))))</f>
        <v> </v>
      </c>
      <c r="L3533" s="27"/>
    </row>
    <row r="3534" spans="1:12">
      <c r="A3534" s="20" t="s">
        <v>1030</v>
      </c>
      <c r="E3534" s="22">
        <f>IF(D3534="?OLD","!!!","")</f>
        <v/>
      </c>
      <c r="F3534" s="23" t="str">
        <f>IF(OR(E3534="",E3534="!!!"),"",IF(NOT(ISNA(VLOOKUP(E3534,E$1:E3533,1,FALSE()))),"OLD",IF(AND(E3534&lt;&gt;"",E3534&lt;&gt;"!!!"),"NEW","")))</f>
        <v> </v>
      </c>
      <c r="G3534" s="24" t="str">
        <f>IF(OR(E3534="",E3534="!!!"),"",IF(OR(J3534=0,AND(J3534=1,K3534=1),AND(J3534=1,I3534="SBJ"),AND(J3534=1,I3534=0)),"?IN_FOCUS",IF(J3534&lt;=2,"?ACTIVATED",IF(J3534&lt;&gt;"","?FAMILIAR",IF(F3534="NEW",IF(ISNA(VLOOKUP(E3534,#REF!,1,FALSE())),"?TYPE_IDENTIFIABLE","?REFERENTIAL"),"_")))))</f>
        <v> </v>
      </c>
      <c r="H3534" s="25" t="str">
        <f>IF(J3534&lt;&gt;1,"",IF(I3534="SBJ","CB","?"))</f>
        <v> </v>
      </c>
      <c r="I3534" s="26" t="str">
        <f>IF(OR(E3534="",E3534="!!!",F3534="NEW"),"",INDEX(B3533:B$2,-1+SUMPRODUCT(MAX(ROW(E3533:E$2)*(E3534=E3533:E$2)))))</f>
        <v> </v>
      </c>
      <c r="J3534" s="26" t="str">
        <f>IF(OR(E3534="",E3534="!!!",F3534="NEW"),"",COUNTBLANK(OFFSET(A$1,,,SUMPRODUCT(MAX(ROW(E$2:E3534)*(E3534=E$2:E3534)))))-COUNTBLANK(OFFSET(A$1,,,SUMPRODUCT(MAX(ROW(E$1:E3533)*(E2=E$1:E3533))))))</f>
        <v> </v>
      </c>
      <c r="K3534" s="26" t="str">
        <f>IF(OR(E3534="",E3534="!!!",F3534="NEW"),"",INDEX(J$1:J3533,SUMPRODUCT(MAX(ROW(E$1:E3533)*(E3534=E$1:E3533)))))</f>
        <v> </v>
      </c>
      <c r="L3534" s="27"/>
    </row>
    <row r="3535" spans="1:12">
      <c r="A3535" s="20" t="s">
        <v>1569</v>
      </c>
      <c r="E3535" s="22">
        <f>IF(D3535="?OLD","!!!","")</f>
        <v/>
      </c>
      <c r="F3535" s="23" t="str">
        <f>IF(OR(E3535="",E3535="!!!"),"",IF(NOT(ISNA(VLOOKUP(E3535,E$1:E3534,1,FALSE()))),"OLD",IF(AND(E3535&lt;&gt;"",E3535&lt;&gt;"!!!"),"NEW","")))</f>
        <v> </v>
      </c>
      <c r="G3535" s="24" t="str">
        <f>IF(OR(E3535="",E3535="!!!"),"",IF(OR(J3535=0,AND(J3535=1,K3535=1),AND(J3535=1,I3535="SBJ"),AND(J3535=1,I3535=0)),"?IN_FOCUS",IF(J3535&lt;=2,"?ACTIVATED",IF(J3535&lt;&gt;"","?FAMILIAR",IF(F3535="NEW",IF(ISNA(VLOOKUP(E3535,#REF!,1,FALSE())),"?TYPE_IDENTIFIABLE","?REFERENTIAL"),"_")))))</f>
        <v> </v>
      </c>
      <c r="H3535" s="25" t="str">
        <f>IF(J3535&lt;&gt;1,"",IF(I3535="SBJ","CB","?"))</f>
        <v> </v>
      </c>
      <c r="I3535" s="26" t="str">
        <f>IF(OR(E3535="",E3535="!!!",F3535="NEW"),"",INDEX(B3534:B$2,-1+SUMPRODUCT(MAX(ROW(E3534:E$2)*(E3535=E3534:E$2)))))</f>
        <v> </v>
      </c>
      <c r="J3535" s="26" t="str">
        <f>IF(OR(E3535="",E3535="!!!",F3535="NEW"),"",COUNTBLANK(OFFSET(A$1,,,SUMPRODUCT(MAX(ROW(E$2:E3535)*(E3535=E$2:E3535)))))-COUNTBLANK(OFFSET(A$1,,,SUMPRODUCT(MAX(ROW(E$1:E3534)*(E2=E$1:E3534))))))</f>
        <v> </v>
      </c>
      <c r="K3535" s="26" t="str">
        <f>IF(OR(E3535="",E3535="!!!",F3535="NEW"),"",INDEX(J$1:J3534,SUMPRODUCT(MAX(ROW(E$1:E3534)*(E3535=E$1:E3534)))))</f>
        <v> </v>
      </c>
      <c r="L3535" s="27"/>
    </row>
    <row r="3536" spans="1:12">
      <c r="A3536" s="20" t="s">
        <v>1551</v>
      </c>
      <c r="B3536" s="21" t="s">
        <v>1035</v>
      </c>
      <c r="C3536" s="21" t="s">
        <v>1041</v>
      </c>
      <c r="D3536" s="21" t="s">
        <v>1007</v>
      </c>
      <c r="E3536" s="22">
        <f>IF(D3536="?OLD","!!!","")</f>
        <v/>
      </c>
      <c r="F3536" s="23" t="str">
        <f>IF(OR(E3536="",E3536="!!!"),"",IF(NOT(ISNA(VLOOKUP(E3536,E$1:E3535,1,FALSE()))),"OLD",IF(AND(E3536&lt;&gt;"",E3536&lt;&gt;"!!!"),"NEW","")))</f>
        <v> </v>
      </c>
      <c r="G3536" s="24" t="str">
        <f>IF(OR(E3536="",E3536="!!!"),"",IF(OR(J3536=0,AND(J3536=1,K3536=1),AND(J3536=1,I3536="SBJ"),AND(J3536=1,I3536=0)),"?IN_FOCUS",IF(J3536&lt;=2,"?ACTIVATED",IF(J3536&lt;&gt;"","?FAMILIAR",IF(F3536="NEW",IF(ISNA(VLOOKUP(E3536,#REF!,1,FALSE())),"?TYPE_IDENTIFIABLE","?REFERENTIAL"),"_")))))</f>
        <v> </v>
      </c>
      <c r="H3536" s="25" t="str">
        <f>IF(J3536&lt;&gt;1,"",IF(I3536="SBJ","CB","?"))</f>
        <v> </v>
      </c>
      <c r="I3536" s="26" t="str">
        <f>IF(OR(E3536="",E3536="!!!",F3536="NEW"),"",INDEX(B3535:B$2,-1+SUMPRODUCT(MAX(ROW(E3535:E$2)*(E3536=E3535:E$2)))))</f>
        <v> </v>
      </c>
      <c r="J3536" s="26" t="str">
        <f>IF(OR(E3536="",E3536="!!!",F3536="NEW"),"",COUNTBLANK(OFFSET(A$1,,,SUMPRODUCT(MAX(ROW(E$2:E3536)*(E3536=E$2:E3536)))))-COUNTBLANK(OFFSET(A$1,,,SUMPRODUCT(MAX(ROW(E$1:E3535)*(E2=E$1:E3535))))))</f>
        <v> </v>
      </c>
      <c r="K3536" s="26" t="str">
        <f>IF(OR(E3536="",E3536="!!!",F3536="NEW"),"",INDEX(J$1:J3535,SUMPRODUCT(MAX(ROW(E$1:E3535)*(E3536=E$1:E3535)))))</f>
        <v> </v>
      </c>
      <c r="L3536" s="27"/>
    </row>
    <row r="3537" spans="1:12">
      <c r="A3537" s="20" t="s">
        <v>1075</v>
      </c>
      <c r="E3537" s="22">
        <f>IF(D3537="?OLD","!!!","")</f>
        <v/>
      </c>
      <c r="F3537" s="23" t="str">
        <f>IF(OR(E3537="",E3537="!!!"),"",IF(NOT(ISNA(VLOOKUP(E3537,E$1:E3536,1,FALSE()))),"OLD",IF(AND(E3537&lt;&gt;"",E3537&lt;&gt;"!!!"),"NEW","")))</f>
        <v> </v>
      </c>
      <c r="G3537" s="24" t="str">
        <f>IF(OR(E3537="",E3537="!!!"),"",IF(OR(J3537=0,AND(J3537=1,K3537=1),AND(J3537=1,I3537="SBJ"),AND(J3537=1,I3537=0)),"?IN_FOCUS",IF(J3537&lt;=2,"?ACTIVATED",IF(J3537&lt;&gt;"","?FAMILIAR",IF(F3537="NEW",IF(ISNA(VLOOKUP(E3537,#REF!,1,FALSE())),"?TYPE_IDENTIFIABLE","?REFERENTIAL"),"_")))))</f>
        <v> </v>
      </c>
      <c r="H3537" s="25" t="str">
        <f>IF(J3537&lt;&gt;1,"",IF(I3537="SBJ","CB","?"))</f>
        <v> </v>
      </c>
      <c r="I3537" s="26" t="str">
        <f>IF(OR(E3537="",E3537="!!!",F3537="NEW"),"",INDEX(B3536:B$2,-1+SUMPRODUCT(MAX(ROW(E3536:E$2)*(E3537=E3536:E$2)))))</f>
        <v> </v>
      </c>
      <c r="J3537" s="26" t="str">
        <f>IF(OR(E3537="",E3537="!!!",F3537="NEW"),"",COUNTBLANK(OFFSET(A$1,,,SUMPRODUCT(MAX(ROW(E$2:E3537)*(E3537=E$2:E3537)))))-COUNTBLANK(OFFSET(A$1,,,SUMPRODUCT(MAX(ROW(E$1:E3536)*(E2=E$1:E3536))))))</f>
        <v> </v>
      </c>
      <c r="K3537" s="26" t="str">
        <f>IF(OR(E3537="",E3537="!!!",F3537="NEW"),"",INDEX(J$1:J3536,SUMPRODUCT(MAX(ROW(E$1:E3536)*(E3537=E$1:E3536)))))</f>
        <v> </v>
      </c>
      <c r="L3537" s="27"/>
    </row>
    <row r="3538" spans="1:12">
      <c r="A3538" s="20" t="s">
        <v>1020</v>
      </c>
      <c r="E3538" s="22">
        <f>IF(D3538="?OLD","!!!","")</f>
        <v/>
      </c>
      <c r="F3538" s="23" t="str">
        <f>IF(OR(E3538="",E3538="!!!"),"",IF(NOT(ISNA(VLOOKUP(E3538,E$1:E3537,1,FALSE()))),"OLD",IF(AND(E3538&lt;&gt;"",E3538&lt;&gt;"!!!"),"NEW","")))</f>
        <v> </v>
      </c>
      <c r="G3538" s="24" t="str">
        <f>IF(OR(E3538="",E3538="!!!"),"",IF(OR(J3538=0,AND(J3538=1,K3538=1),AND(J3538=1,I3538="SBJ"),AND(J3538=1,I3538=0)),"?IN_FOCUS",IF(J3538&lt;=2,"?ACTIVATED",IF(J3538&lt;&gt;"","?FAMILIAR",IF(F3538="NEW",IF(ISNA(VLOOKUP(E3538,#REF!,1,FALSE())),"?TYPE_IDENTIFIABLE","?REFERENTIAL"),"_")))))</f>
        <v> </v>
      </c>
      <c r="H3538" s="25" t="str">
        <f>IF(J3538&lt;&gt;1,"",IF(I3538="SBJ","CB","?"))</f>
        <v> </v>
      </c>
      <c r="I3538" s="26" t="str">
        <f>IF(OR(E3538="",E3538="!!!",F3538="NEW"),"",INDEX(B3537:B$2,-1+SUMPRODUCT(MAX(ROW(E3537:E$2)*(E3538=E3537:E$2)))))</f>
        <v> </v>
      </c>
      <c r="J3538" s="26" t="str">
        <f>IF(OR(E3538="",E3538="!!!",F3538="NEW"),"",COUNTBLANK(OFFSET(A$1,,,SUMPRODUCT(MAX(ROW(E$2:E3538)*(E3538=E$2:E3538)))))-COUNTBLANK(OFFSET(A$1,,,SUMPRODUCT(MAX(ROW(E$1:E3537)*(E2=E$1:E3537))))))</f>
        <v> </v>
      </c>
      <c r="K3538" s="26" t="str">
        <f>IF(OR(E3538="",E3538="!!!",F3538="NEW"),"",INDEX(J$1:J3537,SUMPRODUCT(MAX(ROW(E$1:E3537)*(E3538=E$1:E3537)))))</f>
        <v> </v>
      </c>
      <c r="L3538" s="27"/>
    </row>
    <row r="3539" spans="1:12">
      <c r="A3539" s="20" t="s">
        <v>193</v>
      </c>
      <c r="B3539" s="21" t="s">
        <v>1005</v>
      </c>
      <c r="C3539" s="21" t="s">
        <v>1013</v>
      </c>
      <c r="D3539" s="21" t="s">
        <v>1007</v>
      </c>
      <c r="E3539" s="22">
        <f>IF(D3539="?OLD","!!!","")</f>
        <v/>
      </c>
      <c r="F3539" s="23" t="str">
        <f>IF(OR(E3539="",E3539="!!!"),"",IF(NOT(ISNA(VLOOKUP(E3539,E$1:E3538,1,FALSE()))),"OLD",IF(AND(E3539&lt;&gt;"",E3539&lt;&gt;"!!!"),"NEW","")))</f>
        <v> </v>
      </c>
      <c r="G3539" s="24" t="str">
        <f>IF(OR(E3539="",E3539="!!!"),"",IF(OR(J3539=0,AND(J3539=1,K3539=1),AND(J3539=1,I3539="SBJ"),AND(J3539=1,I3539=0)),"?IN_FOCUS",IF(J3539&lt;=2,"?ACTIVATED",IF(J3539&lt;&gt;"","?FAMILIAR",IF(F3539="NEW",IF(ISNA(VLOOKUP(E3539,#REF!,1,FALSE())),"?TYPE_IDENTIFIABLE","?REFERENTIAL"),"_")))))</f>
        <v> </v>
      </c>
      <c r="H3539" s="25" t="str">
        <f>IF(J3539&lt;&gt;1,"",IF(I3539="SBJ","CB","?"))</f>
        <v> </v>
      </c>
      <c r="I3539" s="26" t="str">
        <f>IF(OR(E3539="",E3539="!!!",F3539="NEW"),"",INDEX(B3538:B$2,-1+SUMPRODUCT(MAX(ROW(E3538:E$2)*(E3539=E3538:E$2)))))</f>
        <v> </v>
      </c>
      <c r="J3539" s="26" t="str">
        <f>IF(OR(E3539="",E3539="!!!",F3539="NEW"),"",COUNTBLANK(OFFSET(A$1,,,SUMPRODUCT(MAX(ROW(E$2:E3539)*(E3539=E$2:E3539)))))-COUNTBLANK(OFFSET(A$1,,,SUMPRODUCT(MAX(ROW(E$1:E3538)*(E2=E$1:E3538))))))</f>
        <v> </v>
      </c>
      <c r="K3539" s="26" t="str">
        <f>IF(OR(E3539="",E3539="!!!",F3539="NEW"),"",INDEX(J$1:J3538,SUMPRODUCT(MAX(ROW(E$1:E3538)*(E3539=E$1:E3538)))))</f>
        <v> </v>
      </c>
      <c r="L3539" s="27"/>
    </row>
    <row r="3540" spans="1:12">
      <c r="A3540" s="20" t="s">
        <v>1286</v>
      </c>
      <c r="E3540" s="22">
        <f>IF(D3540="?OLD","!!!","")</f>
        <v/>
      </c>
      <c r="F3540" s="23" t="str">
        <f>IF(OR(E3540="",E3540="!!!"),"",IF(NOT(ISNA(VLOOKUP(E3540,E$1:E3539,1,FALSE()))),"OLD",IF(AND(E3540&lt;&gt;"",E3540&lt;&gt;"!!!"),"NEW","")))</f>
        <v> </v>
      </c>
      <c r="G3540" s="24" t="str">
        <f>IF(OR(E3540="",E3540="!!!"),"",IF(OR(J3540=0,AND(J3540=1,K3540=1),AND(J3540=1,I3540="SBJ"),AND(J3540=1,I3540=0)),"?IN_FOCUS",IF(J3540&lt;=2,"?ACTIVATED",IF(J3540&lt;&gt;"","?FAMILIAR",IF(F3540="NEW",IF(ISNA(VLOOKUP(E3540,#REF!,1,FALSE())),"?TYPE_IDENTIFIABLE","?REFERENTIAL"),"_")))))</f>
        <v> </v>
      </c>
      <c r="H3540" s="25" t="str">
        <f>IF(J3540&lt;&gt;1,"",IF(I3540="SBJ","CB","?"))</f>
        <v> </v>
      </c>
      <c r="I3540" s="26" t="str">
        <f>IF(OR(E3540="",E3540="!!!",F3540="NEW"),"",INDEX(B3539:B$2,-1+SUMPRODUCT(MAX(ROW(E3539:E$2)*(E3540=E3539:E$2)))))</f>
        <v> </v>
      </c>
      <c r="J3540" s="26" t="str">
        <f>IF(OR(E3540="",E3540="!!!",F3540="NEW"),"",COUNTBLANK(OFFSET(A$1,,,SUMPRODUCT(MAX(ROW(E$2:E3540)*(E3540=E$2:E3540)))))-COUNTBLANK(OFFSET(A$1,,,SUMPRODUCT(MAX(ROW(E$1:E3539)*(E2=E$1:E3539))))))</f>
        <v> </v>
      </c>
      <c r="K3540" s="26" t="str">
        <f>IF(OR(E3540="",E3540="!!!",F3540="NEW"),"",INDEX(J$1:J3539,SUMPRODUCT(MAX(ROW(E$1:E3539)*(E3540=E$1:E3539)))))</f>
        <v> </v>
      </c>
      <c r="L3540" s="27"/>
    </row>
    <row r="3541" spans="1:12">
      <c r="A3541" s="20" t="s">
        <v>2068</v>
      </c>
      <c r="E3541" s="22">
        <f>IF(D3541="?OLD","!!!","")</f>
        <v/>
      </c>
      <c r="F3541" s="23" t="str">
        <f>IF(OR(E3541="",E3541="!!!"),"",IF(NOT(ISNA(VLOOKUP(E3541,E$1:E3540,1,FALSE()))),"OLD",IF(AND(E3541&lt;&gt;"",E3541&lt;&gt;"!!!"),"NEW","")))</f>
        <v> </v>
      </c>
      <c r="G3541" s="24" t="str">
        <f>IF(OR(E3541="",E3541="!!!"),"",IF(OR(J3541=0,AND(J3541=1,K3541=1),AND(J3541=1,I3541="SBJ"),AND(J3541=1,I3541=0)),"?IN_FOCUS",IF(J3541&lt;=2,"?ACTIVATED",IF(J3541&lt;&gt;"","?FAMILIAR",IF(F3541="NEW",IF(ISNA(VLOOKUP(E3541,#REF!,1,FALSE())),"?TYPE_IDENTIFIABLE","?REFERENTIAL"),"_")))))</f>
        <v> </v>
      </c>
      <c r="H3541" s="25" t="str">
        <f>IF(J3541&lt;&gt;1,"",IF(I3541="SBJ","CB","?"))</f>
        <v> </v>
      </c>
      <c r="I3541" s="26" t="str">
        <f>IF(OR(E3541="",E3541="!!!",F3541="NEW"),"",INDEX(B3540:B$2,-1+SUMPRODUCT(MAX(ROW(E3540:E$2)*(E3541=E3540:E$2)))))</f>
        <v> </v>
      </c>
      <c r="J3541" s="26" t="str">
        <f>IF(OR(E3541="",E3541="!!!",F3541="NEW"),"",COUNTBLANK(OFFSET(A$1,,,SUMPRODUCT(MAX(ROW(E$2:E3541)*(E3541=E$2:E3541)))))-COUNTBLANK(OFFSET(A$1,,,SUMPRODUCT(MAX(ROW(E$1:E3540)*(E2=E$1:E3540))))))</f>
        <v> </v>
      </c>
      <c r="K3541" s="26" t="str">
        <f>IF(OR(E3541="",E3541="!!!",F3541="NEW"),"",INDEX(J$1:J3540,SUMPRODUCT(MAX(ROW(E$1:E3540)*(E3541=E$1:E3540)))))</f>
        <v> </v>
      </c>
      <c r="L3541" s="27"/>
    </row>
    <row r="3542" spans="1:12">
      <c r="A3542" s="20" t="s">
        <v>1065</v>
      </c>
      <c r="E3542" s="22">
        <f>IF(D3542="?OLD","!!!","")</f>
        <v/>
      </c>
      <c r="F3542" s="23" t="str">
        <f>IF(OR(E3542="",E3542="!!!"),"",IF(NOT(ISNA(VLOOKUP(E3542,E$1:E3541,1,FALSE()))),"OLD",IF(AND(E3542&lt;&gt;"",E3542&lt;&gt;"!!!"),"NEW","")))</f>
        <v> </v>
      </c>
      <c r="G3542" s="24" t="str">
        <f>IF(OR(E3542="",E3542="!!!"),"",IF(OR(J3542=0,AND(J3542=1,K3542=1),AND(J3542=1,I3542="SBJ"),AND(J3542=1,I3542=0)),"?IN_FOCUS",IF(J3542&lt;=2,"?ACTIVATED",IF(J3542&lt;&gt;"","?FAMILIAR",IF(F3542="NEW",IF(ISNA(VLOOKUP(E3542,#REF!,1,FALSE())),"?TYPE_IDENTIFIABLE","?REFERENTIAL"),"_")))))</f>
        <v> </v>
      </c>
      <c r="H3542" s="25" t="str">
        <f>IF(J3542&lt;&gt;1,"",IF(I3542="SBJ","CB","?"))</f>
        <v> </v>
      </c>
      <c r="I3542" s="26" t="str">
        <f>IF(OR(E3542="",E3542="!!!",F3542="NEW"),"",INDEX(B3541:B$2,-1+SUMPRODUCT(MAX(ROW(E3541:E$2)*(E3542=E3541:E$2)))))</f>
        <v> </v>
      </c>
      <c r="J3542" s="26" t="str">
        <f>IF(OR(E3542="",E3542="!!!",F3542="NEW"),"",COUNTBLANK(OFFSET(A$1,,,SUMPRODUCT(MAX(ROW(E$2:E3542)*(E3542=E$2:E3542)))))-COUNTBLANK(OFFSET(A$1,,,SUMPRODUCT(MAX(ROW(E$1:E3541)*(E2=E$1:E3541))))))</f>
        <v> </v>
      </c>
      <c r="K3542" s="26" t="str">
        <f>IF(OR(E3542="",E3542="!!!",F3542="NEW"),"",INDEX(J$1:J3541,SUMPRODUCT(MAX(ROW(E$1:E3541)*(E3542=E$1:E3541)))))</f>
        <v> </v>
      </c>
      <c r="L3542" s="27"/>
    </row>
    <row r="3543" spans="1:12">
      <c r="A3543" s="20" t="s">
        <v>1224</v>
      </c>
      <c r="B3543" s="21" t="s">
        <v>1154</v>
      </c>
      <c r="C3543" s="21" t="s">
        <v>1082</v>
      </c>
      <c r="D3543" s="21" t="s">
        <v>1007</v>
      </c>
      <c r="E3543" s="22">
        <f>IF(D3543="?OLD","!!!","")</f>
        <v/>
      </c>
      <c r="F3543" s="23" t="str">
        <f>IF(OR(E3543="",E3543="!!!"),"",IF(NOT(ISNA(VLOOKUP(E3543,E$1:E3542,1,FALSE()))),"OLD",IF(AND(E3543&lt;&gt;"",E3543&lt;&gt;"!!!"),"NEW","")))</f>
        <v> </v>
      </c>
      <c r="G3543" s="24" t="str">
        <f>IF(OR(E3543="",E3543="!!!"),"",IF(OR(J3543=0,AND(J3543=1,K3543=1),AND(J3543=1,I3543="SBJ"),AND(J3543=1,I3543=0)),"?IN_FOCUS",IF(J3543&lt;=2,"?ACTIVATED",IF(J3543&lt;&gt;"","?FAMILIAR",IF(F3543="NEW",IF(ISNA(VLOOKUP(E3543,#REF!,1,FALSE())),"?TYPE_IDENTIFIABLE","?REFERENTIAL"),"_")))))</f>
        <v> </v>
      </c>
      <c r="H3543" s="25" t="str">
        <f>IF(J3543&lt;&gt;1,"",IF(I3543="SBJ","CB","?"))</f>
        <v> </v>
      </c>
      <c r="I3543" s="26" t="str">
        <f>IF(OR(E3543="",E3543="!!!",F3543="NEW"),"",INDEX(B3542:B$2,-1+SUMPRODUCT(MAX(ROW(E3542:E$2)*(E3543=E3542:E$2)))))</f>
        <v> </v>
      </c>
      <c r="J3543" s="26" t="str">
        <f>IF(OR(E3543="",E3543="!!!",F3543="NEW"),"",COUNTBLANK(OFFSET(A$1,,,SUMPRODUCT(MAX(ROW(E$2:E3543)*(E3543=E$2:E3543)))))-COUNTBLANK(OFFSET(A$1,,,SUMPRODUCT(MAX(ROW(E$1:E3542)*(E2=E$1:E3542))))))</f>
        <v> </v>
      </c>
      <c r="K3543" s="26" t="str">
        <f>IF(OR(E3543="",E3543="!!!",F3543="NEW"),"",INDEX(J$1:J3542,SUMPRODUCT(MAX(ROW(E$1:E3542)*(E3543=E$1:E3542)))))</f>
        <v> </v>
      </c>
      <c r="L3543" s="27"/>
    </row>
    <row r="3544" spans="1:12">
      <c r="A3544" s="20" t="s">
        <v>1739</v>
      </c>
      <c r="E3544" s="22">
        <f>IF(D3544="?OLD","!!!","")</f>
        <v/>
      </c>
      <c r="F3544" s="23" t="str">
        <f>IF(OR(E3544="",E3544="!!!"),"",IF(NOT(ISNA(VLOOKUP(E3544,E$1:E3543,1,FALSE()))),"OLD",IF(AND(E3544&lt;&gt;"",E3544&lt;&gt;"!!!"),"NEW","")))</f>
        <v> </v>
      </c>
      <c r="G3544" s="24" t="str">
        <f>IF(OR(E3544="",E3544="!!!"),"",IF(OR(J3544=0,AND(J3544=1,K3544=1),AND(J3544=1,I3544="SBJ"),AND(J3544=1,I3544=0)),"?IN_FOCUS",IF(J3544&lt;=2,"?ACTIVATED",IF(J3544&lt;&gt;"","?FAMILIAR",IF(F3544="NEW",IF(ISNA(VLOOKUP(E3544,#REF!,1,FALSE())),"?TYPE_IDENTIFIABLE","?REFERENTIAL"),"_")))))</f>
        <v> </v>
      </c>
      <c r="H3544" s="25" t="str">
        <f>IF(J3544&lt;&gt;1,"",IF(I3544="SBJ","CB","?"))</f>
        <v> </v>
      </c>
      <c r="I3544" s="26" t="str">
        <f>IF(OR(E3544="",E3544="!!!",F3544="NEW"),"",INDEX(B3543:B$2,-1+SUMPRODUCT(MAX(ROW(E3543:E$2)*(E3544=E3543:E$2)))))</f>
        <v> </v>
      </c>
      <c r="J3544" s="26" t="str">
        <f>IF(OR(E3544="",E3544="!!!",F3544="NEW"),"",COUNTBLANK(OFFSET(A$1,,,SUMPRODUCT(MAX(ROW(E$2:E3544)*(E3544=E$2:E3544)))))-COUNTBLANK(OFFSET(A$1,,,SUMPRODUCT(MAX(ROW(E$1:E3543)*(E2=E$1:E3543))))))</f>
        <v> </v>
      </c>
      <c r="K3544" s="26" t="str">
        <f>IF(OR(E3544="",E3544="!!!",F3544="NEW"),"",INDEX(J$1:J3543,SUMPRODUCT(MAX(ROW(E$1:E3543)*(E3544=E$1:E3543)))))</f>
        <v> </v>
      </c>
      <c r="L3544" s="27"/>
    </row>
    <row r="3545" spans="1:12">
      <c r="A3545" s="20" t="s">
        <v>2069</v>
      </c>
      <c r="E3545" s="22">
        <f>IF(D3545="?OLD","!!!","")</f>
        <v/>
      </c>
      <c r="F3545" s="23" t="str">
        <f>IF(OR(E3545="",E3545="!!!"),"",IF(NOT(ISNA(VLOOKUP(E3545,E$1:E3544,1,FALSE()))),"OLD",IF(AND(E3545&lt;&gt;"",E3545&lt;&gt;"!!!"),"NEW","")))</f>
        <v> </v>
      </c>
      <c r="G3545" s="24" t="str">
        <f>IF(OR(E3545="",E3545="!!!"),"",IF(OR(J3545=0,AND(J3545=1,K3545=1),AND(J3545=1,I3545="SBJ"),AND(J3545=1,I3545=0)),"?IN_FOCUS",IF(J3545&lt;=2,"?ACTIVATED",IF(J3545&lt;&gt;"","?FAMILIAR",IF(F3545="NEW",IF(ISNA(VLOOKUP(E3545,#REF!,1,FALSE())),"?TYPE_IDENTIFIABLE","?REFERENTIAL"),"_")))))</f>
        <v> </v>
      </c>
      <c r="H3545" s="25" t="str">
        <f>IF(J3545&lt;&gt;1,"",IF(I3545="SBJ","CB","?"))</f>
        <v> </v>
      </c>
      <c r="I3545" s="26" t="str">
        <f>IF(OR(E3545="",E3545="!!!",F3545="NEW"),"",INDEX(B3544:B$2,-1+SUMPRODUCT(MAX(ROW(E3544:E$2)*(E3545=E3544:E$2)))))</f>
        <v> </v>
      </c>
      <c r="J3545" s="26" t="str">
        <f>IF(OR(E3545="",E3545="!!!",F3545="NEW"),"",COUNTBLANK(OFFSET(A$1,,,SUMPRODUCT(MAX(ROW(E$2:E3545)*(E3545=E$2:E3545)))))-COUNTBLANK(OFFSET(A$1,,,SUMPRODUCT(MAX(ROW(E$1:E3544)*(E2=E$1:E3544))))))</f>
        <v> </v>
      </c>
      <c r="K3545" s="26" t="str">
        <f>IF(OR(E3545="",E3545="!!!",F3545="NEW"),"",INDEX(J$1:J3544,SUMPRODUCT(MAX(ROW(E$1:E3544)*(E3545=E$1:E3544)))))</f>
        <v> </v>
      </c>
      <c r="L3545" s="27"/>
    </row>
    <row r="3546" spans="1:12">
      <c r="A3546" s="20" t="s">
        <v>1030</v>
      </c>
      <c r="E3546" s="22">
        <f>IF(D3546="?OLD","!!!","")</f>
        <v/>
      </c>
      <c r="F3546" s="23" t="str">
        <f>IF(OR(E3546="",E3546="!!!"),"",IF(NOT(ISNA(VLOOKUP(E3546,E$1:E3545,1,FALSE()))),"OLD",IF(AND(E3546&lt;&gt;"",E3546&lt;&gt;"!!!"),"NEW","")))</f>
        <v> </v>
      </c>
      <c r="G3546" s="24" t="str">
        <f>IF(OR(E3546="",E3546="!!!"),"",IF(OR(J3546=0,AND(J3546=1,K3546=1),AND(J3546=1,I3546="SBJ"),AND(J3546=1,I3546=0)),"?IN_FOCUS",IF(J3546&lt;=2,"?ACTIVATED",IF(J3546&lt;&gt;"","?FAMILIAR",IF(F3546="NEW",IF(ISNA(VLOOKUP(E3546,#REF!,1,FALSE())),"?TYPE_IDENTIFIABLE","?REFERENTIAL"),"_")))))</f>
        <v> </v>
      </c>
      <c r="H3546" s="25" t="str">
        <f>IF(J3546&lt;&gt;1,"",IF(I3546="SBJ","CB","?"))</f>
        <v> </v>
      </c>
      <c r="I3546" s="26" t="str">
        <f>IF(OR(E3546="",E3546="!!!",F3546="NEW"),"",INDEX(B3545:B$2,-1+SUMPRODUCT(MAX(ROW(E3545:E$2)*(E3546=E3545:E$2)))))</f>
        <v> </v>
      </c>
      <c r="J3546" s="26" t="str">
        <f>IF(OR(E3546="",E3546="!!!",F3546="NEW"),"",COUNTBLANK(OFFSET(A$1,,,SUMPRODUCT(MAX(ROW(E$2:E3546)*(E3546=E$2:E3546)))))-COUNTBLANK(OFFSET(A$1,,,SUMPRODUCT(MAX(ROW(E$1:E3545)*(E2=E$1:E3545))))))</f>
        <v> </v>
      </c>
      <c r="K3546" s="26" t="str">
        <f>IF(OR(E3546="",E3546="!!!",F3546="NEW"),"",INDEX(J$1:J3545,SUMPRODUCT(MAX(ROW(E$1:E3545)*(E3546=E$1:E3545)))))</f>
        <v> </v>
      </c>
      <c r="L3546" s="27"/>
    </row>
    <row r="3547" spans="1:12">
      <c r="A3547" s="20" t="s">
        <v>1015</v>
      </c>
      <c r="E3547" s="22">
        <f>IF(D3547="?OLD","!!!","")</f>
        <v/>
      </c>
      <c r="F3547" s="23" t="str">
        <f>IF(OR(E3547="",E3547="!!!"),"",IF(NOT(ISNA(VLOOKUP(E3547,E$1:E3546,1,FALSE()))),"OLD",IF(AND(E3547&lt;&gt;"",E3547&lt;&gt;"!!!"),"NEW","")))</f>
        <v> </v>
      </c>
      <c r="G3547" s="24" t="str">
        <f>IF(OR(E3547="",E3547="!!!"),"",IF(OR(J3547=0,AND(J3547=1,K3547=1),AND(J3547=1,I3547="SBJ"),AND(J3547=1,I3547=0)),"?IN_FOCUS",IF(J3547&lt;=2,"?ACTIVATED",IF(J3547&lt;&gt;"","?FAMILIAR",IF(F3547="NEW",IF(ISNA(VLOOKUP(E3547,#REF!,1,FALSE())),"?TYPE_IDENTIFIABLE","?REFERENTIAL"),"_")))))</f>
        <v> </v>
      </c>
      <c r="H3547" s="25" t="str">
        <f>IF(J3547&lt;&gt;1,"",IF(I3547="SBJ","CB","?"))</f>
        <v> </v>
      </c>
      <c r="I3547" s="26" t="str">
        <f>IF(OR(E3547="",E3547="!!!",F3547="NEW"),"",INDEX(B3546:B$2,-1+SUMPRODUCT(MAX(ROW(E3546:E$2)*(E3547=E3546:E$2)))))</f>
        <v> </v>
      </c>
      <c r="J3547" s="26" t="str">
        <f>IF(OR(E3547="",E3547="!!!",F3547="NEW"),"",COUNTBLANK(OFFSET(A$1,,,SUMPRODUCT(MAX(ROW(E$2:E3547)*(E3547=E$2:E3547)))))-COUNTBLANK(OFFSET(A$1,,,SUMPRODUCT(MAX(ROW(E$1:E3546)*(E2=E$1:E3546))))))</f>
        <v> </v>
      </c>
      <c r="K3547" s="26" t="str">
        <f>IF(OR(E3547="",E3547="!!!",F3547="NEW"),"",INDEX(J$1:J3546,SUMPRODUCT(MAX(ROW(E$1:E3546)*(E3547=E$1:E3546)))))</f>
        <v> </v>
      </c>
      <c r="L3547" s="27"/>
    </row>
    <row r="3548" spans="1:12">
      <c r="A3548" s="20" t="s">
        <v>1104</v>
      </c>
      <c r="E3548" s="22">
        <f>IF(D3548="?OLD","!!!","")</f>
        <v/>
      </c>
      <c r="F3548" s="23" t="str">
        <f>IF(OR(E3548="",E3548="!!!"),"",IF(NOT(ISNA(VLOOKUP(E3548,E$1:E3547,1,FALSE()))),"OLD",IF(AND(E3548&lt;&gt;"",E3548&lt;&gt;"!!!"),"NEW","")))</f>
        <v> </v>
      </c>
      <c r="G3548" s="24" t="str">
        <f>IF(OR(E3548="",E3548="!!!"),"",IF(OR(J3548=0,AND(J3548=1,K3548=1),AND(J3548=1,I3548="SBJ"),AND(J3548=1,I3548=0)),"?IN_FOCUS",IF(J3548&lt;=2,"?ACTIVATED",IF(J3548&lt;&gt;"","?FAMILIAR",IF(F3548="NEW",IF(ISNA(VLOOKUP(E3548,#REF!,1,FALSE())),"?TYPE_IDENTIFIABLE","?REFERENTIAL"),"_")))))</f>
        <v> </v>
      </c>
      <c r="H3548" s="25" t="str">
        <f>IF(J3548&lt;&gt;1,"",IF(I3548="SBJ","CB","?"))</f>
        <v> </v>
      </c>
      <c r="I3548" s="26" t="str">
        <f>IF(OR(E3548="",E3548="!!!",F3548="NEW"),"",INDEX(B3547:B$2,-1+SUMPRODUCT(MAX(ROW(E3547:E$2)*(E3548=E3547:E$2)))))</f>
        <v> </v>
      </c>
      <c r="J3548" s="26" t="str">
        <f>IF(OR(E3548="",E3548="!!!",F3548="NEW"),"",COUNTBLANK(OFFSET(A$1,,,SUMPRODUCT(MAX(ROW(E$2:E3548)*(E3548=E$2:E3548)))))-COUNTBLANK(OFFSET(A$1,,,SUMPRODUCT(MAX(ROW(E$1:E3547)*(E2=E$1:E3547))))))</f>
        <v> </v>
      </c>
      <c r="K3548" s="26" t="str">
        <f>IF(OR(E3548="",E3548="!!!",F3548="NEW"),"",INDEX(J$1:J3547,SUMPRODUCT(MAX(ROW(E$1:E3547)*(E3548=E$1:E3547)))))</f>
        <v> </v>
      </c>
      <c r="L3548" s="27"/>
    </row>
    <row r="3549" spans="1:12">
      <c r="A3549" s="20" t="s">
        <v>1105</v>
      </c>
      <c r="B3549" s="21" t="s">
        <v>1033</v>
      </c>
      <c r="C3549" s="21" t="s">
        <v>1017</v>
      </c>
      <c r="D3549" s="21" t="s">
        <v>1007</v>
      </c>
      <c r="E3549" s="22">
        <f>IF(D3549="?OLD","!!!","")</f>
        <v/>
      </c>
      <c r="F3549" s="23" t="str">
        <f>IF(OR(E3549="",E3549="!!!"),"",IF(NOT(ISNA(VLOOKUP(E3549,E$1:E3548,1,FALSE()))),"OLD",IF(AND(E3549&lt;&gt;"",E3549&lt;&gt;"!!!"),"NEW","")))</f>
        <v> </v>
      </c>
      <c r="G3549" s="24" t="str">
        <f>IF(OR(E3549="",E3549="!!!"),"",IF(OR(J3549=0,AND(J3549=1,K3549=1),AND(J3549=1,I3549="SBJ"),AND(J3549=1,I3549=0)),"?IN_FOCUS",IF(J3549&lt;=2,"?ACTIVATED",IF(J3549&lt;&gt;"","?FAMILIAR",IF(F3549="NEW",IF(ISNA(VLOOKUP(E3549,#REF!,1,FALSE())),"?TYPE_IDENTIFIABLE","?REFERENTIAL"),"_")))))</f>
        <v> </v>
      </c>
      <c r="H3549" s="25" t="str">
        <f>IF(J3549&lt;&gt;1,"",IF(I3549="SBJ","CB","?"))</f>
        <v> </v>
      </c>
      <c r="I3549" s="26" t="str">
        <f>IF(OR(E3549="",E3549="!!!",F3549="NEW"),"",INDEX(B3548:B$2,-1+SUMPRODUCT(MAX(ROW(E3548:E$2)*(E3549=E3548:E$2)))))</f>
        <v> </v>
      </c>
      <c r="J3549" s="26" t="str">
        <f>IF(OR(E3549="",E3549="!!!",F3549="NEW"),"",COUNTBLANK(OFFSET(A$1,,,SUMPRODUCT(MAX(ROW(E$2:E3549)*(E3549=E$2:E3549)))))-COUNTBLANK(OFFSET(A$1,,,SUMPRODUCT(MAX(ROW(E$1:E3548)*(E2=E$1:E3548))))))</f>
        <v> </v>
      </c>
      <c r="K3549" s="26" t="str">
        <f>IF(OR(E3549="",E3549="!!!",F3549="NEW"),"",INDEX(J$1:J3548,SUMPRODUCT(MAX(ROW(E$1:E3548)*(E3549=E$1:E3548)))))</f>
        <v> </v>
      </c>
      <c r="L3549" s="27"/>
    </row>
    <row r="3550" spans="1:12">
      <c r="A3550" s="20" t="s">
        <v>1023</v>
      </c>
      <c r="E3550" s="22">
        <f>IF(D3550="?OLD","!!!","")</f>
        <v/>
      </c>
      <c r="F3550" s="23" t="str">
        <f>IF(OR(E3550="",E3550="!!!"),"",IF(NOT(ISNA(VLOOKUP(E3550,E$1:E3549,1,FALSE()))),"OLD",IF(AND(E3550&lt;&gt;"",E3550&lt;&gt;"!!!"),"NEW","")))</f>
        <v> </v>
      </c>
      <c r="G3550" s="24" t="str">
        <f>IF(OR(E3550="",E3550="!!!"),"",IF(OR(J3550=0,AND(J3550=1,K3550=1),AND(J3550=1,I3550="SBJ"),AND(J3550=1,I3550=0)),"?IN_FOCUS",IF(J3550&lt;=2,"?ACTIVATED",IF(J3550&lt;&gt;"","?FAMILIAR",IF(F3550="NEW",IF(ISNA(VLOOKUP(E3550,#REF!,1,FALSE())),"?TYPE_IDENTIFIABLE","?REFERENTIAL"),"_")))))</f>
        <v> </v>
      </c>
      <c r="H3550" s="25" t="str">
        <f>IF(J3550&lt;&gt;1,"",IF(I3550="SBJ","CB","?"))</f>
        <v> </v>
      </c>
      <c r="I3550" s="26" t="str">
        <f>IF(OR(E3550="",E3550="!!!",F3550="NEW"),"",INDEX(B3549:B$2,-1+SUMPRODUCT(MAX(ROW(E3549:E$2)*(E3550=E3549:E$2)))))</f>
        <v> </v>
      </c>
      <c r="J3550" s="26" t="str">
        <f>IF(OR(E3550="",E3550="!!!",F3550="NEW"),"",COUNTBLANK(OFFSET(A$1,,,SUMPRODUCT(MAX(ROW(E$2:E3550)*(E3550=E$2:E3550)))))-COUNTBLANK(OFFSET(A$1,,,SUMPRODUCT(MAX(ROW(E$1:E3549)*(E2=E$1:E3549))))))</f>
        <v> </v>
      </c>
      <c r="K3550" s="26" t="str">
        <f>IF(OR(E3550="",E3550="!!!",F3550="NEW"),"",INDEX(J$1:J3549,SUMPRODUCT(MAX(ROW(E$1:E3549)*(E3550=E$1:E3549)))))</f>
        <v> </v>
      </c>
      <c r="L3550" s="27"/>
    </row>
    <row r="3551" spans="1:12">
      <c r="A3551" s="20"/>
    </row>
    <row r="3552" spans="1:12">
      <c r="A3552" s="20" t="s">
        <v>2070</v>
      </c>
    </row>
    <row r="3553" spans="1:12">
      <c r="A3553" s="20" t="s">
        <v>1449</v>
      </c>
      <c r="E3553" s="22">
        <f>IF(D3553="?OLD","!!!","")</f>
        <v/>
      </c>
      <c r="F3553" s="23" t="str">
        <f>IF(OR(E3553="",E3553="!!!"),"",IF(NOT(ISNA(VLOOKUP(E3553,E$1:E3552,1,FALSE()))),"OLD",IF(AND(E3553&lt;&gt;"",E3553&lt;&gt;"!!!"),"NEW","")))</f>
        <v> </v>
      </c>
      <c r="G3553" s="24" t="str">
        <f>IF(OR(E3553="",E3553="!!!"),"",IF(OR(J3553=0,AND(J3553=1,K3553=1),AND(J3553=1,I3553="SBJ"),AND(J3553=1,I3553=0)),"?IN_FOCUS",IF(J3553&lt;=2,"?ACTIVATED",IF(J3553&lt;&gt;"","?FAMILIAR",IF(F3553="NEW",IF(ISNA(VLOOKUP(E3553,#REF!,1,FALSE())),"?TYPE_IDENTIFIABLE","?REFERENTIAL"),"_")))))</f>
        <v> </v>
      </c>
      <c r="H3553" s="25" t="str">
        <f>IF(J3553&lt;&gt;1,"",IF(I3553="SBJ","CB","?"))</f>
        <v> </v>
      </c>
      <c r="I3553" s="26" t="str">
        <f>IF(OR(E3553="",E3553="!!!",F3553="NEW"),"",INDEX(B3552:B$2,-1+SUMPRODUCT(MAX(ROW(E3552:E$2)*(E3553=E3552:E$2)))))</f>
        <v> </v>
      </c>
      <c r="J3553" s="26" t="str">
        <f>IF(OR(E3553="",E3553="!!!",F3553="NEW"),"",COUNTBLANK(OFFSET(A$1,,,SUMPRODUCT(MAX(ROW(E$2:E3553)*(E3553=E$2:E3553)))))-COUNTBLANK(OFFSET(A$1,,,SUMPRODUCT(MAX(ROW(E$1:E3552)*(E2=E$1:E3552))))))</f>
        <v> </v>
      </c>
      <c r="K3553" s="26" t="str">
        <f>IF(OR(E3553="",E3553="!!!",F3553="NEW"),"",INDEX(J$1:J3552,SUMPRODUCT(MAX(ROW(E$1:E3552)*(E3553=E$1:E3552)))))</f>
        <v> </v>
      </c>
      <c r="L3553" s="27"/>
    </row>
    <row r="3554" spans="1:12">
      <c r="A3554" s="20" t="s">
        <v>1127</v>
      </c>
      <c r="E3554" s="22">
        <f>IF(D3554="?OLD","!!!","")</f>
        <v/>
      </c>
      <c r="F3554" s="23" t="str">
        <f>IF(OR(E3554="",E3554="!!!"),"",IF(NOT(ISNA(VLOOKUP(E3554,E$1:E3553,1,FALSE()))),"OLD",IF(AND(E3554&lt;&gt;"",E3554&lt;&gt;"!!!"),"NEW","")))</f>
        <v> </v>
      </c>
      <c r="G3554" s="24" t="str">
        <f>IF(OR(E3554="",E3554="!!!"),"",IF(OR(J3554=0,AND(J3554=1,K3554=1),AND(J3554=1,I3554="SBJ"),AND(J3554=1,I3554=0)),"?IN_FOCUS",IF(J3554&lt;=2,"?ACTIVATED",IF(J3554&lt;&gt;"","?FAMILIAR",IF(F3554="NEW",IF(ISNA(VLOOKUP(E3554,#REF!,1,FALSE())),"?TYPE_IDENTIFIABLE","?REFERENTIAL"),"_")))))</f>
        <v> </v>
      </c>
      <c r="H3554" s="25" t="str">
        <f>IF(J3554&lt;&gt;1,"",IF(I3554="SBJ","CB","?"))</f>
        <v> </v>
      </c>
      <c r="I3554" s="26" t="str">
        <f>IF(OR(E3554="",E3554="!!!",F3554="NEW"),"",INDEX(B3553:B$2,-1+SUMPRODUCT(MAX(ROW(E3553:E$2)*(E3554=E3553:E$2)))))</f>
        <v> </v>
      </c>
      <c r="J3554" s="26" t="str">
        <f>IF(OR(E3554="",E3554="!!!",F3554="NEW"),"",COUNTBLANK(OFFSET(A$1,,,SUMPRODUCT(MAX(ROW(E$2:E3554)*(E3554=E$2:E3554)))))-COUNTBLANK(OFFSET(A$1,,,SUMPRODUCT(MAX(ROW(E$1:E3553)*(E2=E$1:E3553))))))</f>
        <v> </v>
      </c>
      <c r="K3554" s="26" t="str">
        <f>IF(OR(E3554="",E3554="!!!",F3554="NEW"),"",INDEX(J$1:J3553,SUMPRODUCT(MAX(ROW(E$1:E3553)*(E3554=E$1:E3553)))))</f>
        <v> </v>
      </c>
      <c r="L3554" s="27"/>
    </row>
    <row r="3555" spans="1:12">
      <c r="A3555" s="20" t="s">
        <v>1056</v>
      </c>
      <c r="E3555" s="22">
        <f>IF(D3555="?OLD","!!!","")</f>
        <v/>
      </c>
      <c r="F3555" s="23" t="str">
        <f>IF(OR(E3555="",E3555="!!!"),"",IF(NOT(ISNA(VLOOKUP(E3555,E$1:E3554,1,FALSE()))),"OLD",IF(AND(E3555&lt;&gt;"",E3555&lt;&gt;"!!!"),"NEW","")))</f>
        <v> </v>
      </c>
      <c r="G3555" s="24" t="str">
        <f>IF(OR(E3555="",E3555="!!!"),"",IF(OR(J3555=0,AND(J3555=1,K3555=1),AND(J3555=1,I3555="SBJ"),AND(J3555=1,I3555=0)),"?IN_FOCUS",IF(J3555&lt;=2,"?ACTIVATED",IF(J3555&lt;&gt;"","?FAMILIAR",IF(F3555="NEW",IF(ISNA(VLOOKUP(E3555,#REF!,1,FALSE())),"?TYPE_IDENTIFIABLE","?REFERENTIAL"),"_")))))</f>
        <v> </v>
      </c>
      <c r="H3555" s="25" t="str">
        <f>IF(J3555&lt;&gt;1,"",IF(I3555="SBJ","CB","?"))</f>
        <v> </v>
      </c>
      <c r="I3555" s="26" t="str">
        <f>IF(OR(E3555="",E3555="!!!",F3555="NEW"),"",INDEX(B3554:B$2,-1+SUMPRODUCT(MAX(ROW(E3554:E$2)*(E3555=E3554:E$2)))))</f>
        <v> </v>
      </c>
      <c r="J3555" s="26" t="str">
        <f>IF(OR(E3555="",E3555="!!!",F3555="NEW"),"",COUNTBLANK(OFFSET(A$1,,,SUMPRODUCT(MAX(ROW(E$2:E3555)*(E3555=E$2:E3555)))))-COUNTBLANK(OFFSET(A$1,,,SUMPRODUCT(MAX(ROW(E$1:E3554)*(E2=E$1:E3554))))))</f>
        <v> </v>
      </c>
      <c r="K3555" s="26" t="str">
        <f>IF(OR(E3555="",E3555="!!!",F3555="NEW"),"",INDEX(J$1:J3554,SUMPRODUCT(MAX(ROW(E$1:E3554)*(E3555=E$1:E3554)))))</f>
        <v> </v>
      </c>
      <c r="L3555" s="27"/>
    </row>
    <row r="3556" spans="1:12">
      <c r="A3556" s="20" t="s">
        <v>1391</v>
      </c>
      <c r="B3556" s="21" t="s">
        <v>1005</v>
      </c>
      <c r="C3556" s="21" t="s">
        <v>1111</v>
      </c>
      <c r="E3556" s="22">
        <f>IF(D3556="?OLD","!!!","")</f>
        <v/>
      </c>
      <c r="F3556" s="23" t="str">
        <f>IF(OR(E3556="",E3556="!!!"),"",IF(NOT(ISNA(VLOOKUP(E3556,E$1:E3555,1,FALSE()))),"OLD",IF(AND(E3556&lt;&gt;"",E3556&lt;&gt;"!!!"),"NEW","")))</f>
        <v> </v>
      </c>
      <c r="G3556" s="24" t="str">
        <f>IF(OR(E3556="",E3556="!!!"),"",IF(OR(J3556=0,AND(J3556=1,K3556=1),AND(J3556=1,I3556="SBJ"),AND(J3556=1,I3556=0)),"?IN_FOCUS",IF(J3556&lt;=2,"?ACTIVATED",IF(J3556&lt;&gt;"","?FAMILIAR",IF(F3556="NEW",IF(ISNA(VLOOKUP(E3556,#REF!,1,FALSE())),"?TYPE_IDENTIFIABLE","?REFERENTIAL"),"_")))))</f>
        <v> </v>
      </c>
      <c r="H3556" s="25" t="str">
        <f>IF(J3556&lt;&gt;1,"",IF(I3556="SBJ","CB","?"))</f>
        <v> </v>
      </c>
      <c r="I3556" s="26" t="str">
        <f>IF(OR(E3556="",E3556="!!!",F3556="NEW"),"",INDEX(B3555:B$2,-1+SUMPRODUCT(MAX(ROW(E3555:E$2)*(E3556=E3555:E$2)))))</f>
        <v> </v>
      </c>
      <c r="J3556" s="26" t="str">
        <f>IF(OR(E3556="",E3556="!!!",F3556="NEW"),"",COUNTBLANK(OFFSET(A$1,,,SUMPRODUCT(MAX(ROW(E$2:E3556)*(E3556=E$2:E3556)))))-COUNTBLANK(OFFSET(A$1,,,SUMPRODUCT(MAX(ROW(E$1:E3555)*(E2=E$1:E3555))))))</f>
        <v> </v>
      </c>
      <c r="K3556" s="26" t="str">
        <f>IF(OR(E3556="",E3556="!!!",F3556="NEW"),"",INDEX(J$1:J3555,SUMPRODUCT(MAX(ROW(E$1:E3555)*(E3556=E$1:E3555)))))</f>
        <v> </v>
      </c>
      <c r="L3556" s="27"/>
    </row>
    <row r="3557" spans="1:12">
      <c r="A3557" s="20" t="s">
        <v>1101</v>
      </c>
      <c r="E3557" s="22">
        <f>IF(D3557="?OLD","!!!","")</f>
        <v/>
      </c>
      <c r="F3557" s="23" t="str">
        <f>IF(OR(E3557="",E3557="!!!"),"",IF(NOT(ISNA(VLOOKUP(E3557,E$1:E3556,1,FALSE()))),"OLD",IF(AND(E3557&lt;&gt;"",E3557&lt;&gt;"!!!"),"NEW","")))</f>
        <v> </v>
      </c>
      <c r="G3557" s="24" t="str">
        <f>IF(OR(E3557="",E3557="!!!"),"",IF(OR(J3557=0,AND(J3557=1,K3557=1),AND(J3557=1,I3557="SBJ"),AND(J3557=1,I3557=0)),"?IN_FOCUS",IF(J3557&lt;=2,"?ACTIVATED",IF(J3557&lt;&gt;"","?FAMILIAR",IF(F3557="NEW",IF(ISNA(VLOOKUP(E3557,#REF!,1,FALSE())),"?TYPE_IDENTIFIABLE","?REFERENTIAL"),"_")))))</f>
        <v> </v>
      </c>
      <c r="H3557" s="25" t="str">
        <f>IF(J3557&lt;&gt;1,"",IF(I3557="SBJ","CB","?"))</f>
        <v> </v>
      </c>
      <c r="I3557" s="26" t="str">
        <f>IF(OR(E3557="",E3557="!!!",F3557="NEW"),"",INDEX(B3556:B$2,-1+SUMPRODUCT(MAX(ROW(E3556:E$2)*(E3557=E3556:E$2)))))</f>
        <v> </v>
      </c>
      <c r="J3557" s="26" t="str">
        <f>IF(OR(E3557="",E3557="!!!",F3557="NEW"),"",COUNTBLANK(OFFSET(A$1,,,SUMPRODUCT(MAX(ROW(E$2:E3557)*(E3557=E$2:E3557)))))-COUNTBLANK(OFFSET(A$1,,,SUMPRODUCT(MAX(ROW(E$1:E3556)*(E2=E$1:E3556))))))</f>
        <v> </v>
      </c>
      <c r="K3557" s="26" t="str">
        <f>IF(OR(E3557="",E3557="!!!",F3557="NEW"),"",INDEX(J$1:J3556,SUMPRODUCT(MAX(ROW(E$1:E3556)*(E3557=E$1:E3556)))))</f>
        <v> </v>
      </c>
      <c r="L3557" s="27"/>
    </row>
    <row r="3558" spans="1:12">
      <c r="A3558" s="20" t="s">
        <v>2071</v>
      </c>
      <c r="B3558" s="21" t="s">
        <v>1005</v>
      </c>
      <c r="C3558" s="21" t="s">
        <v>1006</v>
      </c>
      <c r="D3558" s="21" t="s">
        <v>1007</v>
      </c>
      <c r="E3558" s="22">
        <f>IF(D3558="?OLD","!!!","")</f>
        <v/>
      </c>
      <c r="F3558" s="23" t="str">
        <f>IF(OR(E3558="",E3558="!!!"),"",IF(NOT(ISNA(VLOOKUP(E3558,E$1:E3557,1,FALSE()))),"OLD",IF(AND(E3558&lt;&gt;"",E3558&lt;&gt;"!!!"),"NEW","")))</f>
        <v> </v>
      </c>
      <c r="G3558" s="24" t="str">
        <f>IF(OR(E3558="",E3558="!!!"),"",IF(OR(J3558=0,AND(J3558=1,K3558=1),AND(J3558=1,I3558="SBJ"),AND(J3558=1,I3558=0)),"?IN_FOCUS",IF(J3558&lt;=2,"?ACTIVATED",IF(J3558&lt;&gt;"","?FAMILIAR",IF(F3558="NEW",IF(ISNA(VLOOKUP(E3558,#REF!,1,FALSE())),"?TYPE_IDENTIFIABLE","?REFERENTIAL"),"_")))))</f>
        <v> </v>
      </c>
      <c r="H3558" s="25" t="str">
        <f>IF(J3558&lt;&gt;1,"",IF(I3558="SBJ","CB","?"))</f>
        <v> </v>
      </c>
      <c r="I3558" s="26" t="str">
        <f>IF(OR(E3558="",E3558="!!!",F3558="NEW"),"",INDEX(B3557:B$2,-1+SUMPRODUCT(MAX(ROW(E3557:E$2)*(E3558=E3557:E$2)))))</f>
        <v> </v>
      </c>
      <c r="J3558" s="26" t="str">
        <f>IF(OR(E3558="",E3558="!!!",F3558="NEW"),"",COUNTBLANK(OFFSET(A$1,,,SUMPRODUCT(MAX(ROW(E$2:E3558)*(E3558=E$2:E3558)))))-COUNTBLANK(OFFSET(A$1,,,SUMPRODUCT(MAX(ROW(E$1:E3557)*(E2=E$1:E3557))))))</f>
        <v> </v>
      </c>
      <c r="K3558" s="26" t="str">
        <f>IF(OR(E3558="",E3558="!!!",F3558="NEW"),"",INDEX(J$1:J3557,SUMPRODUCT(MAX(ROW(E$1:E3557)*(E3558=E$1:E3557)))))</f>
        <v> </v>
      </c>
      <c r="L3558" s="27"/>
    </row>
    <row r="3559" spans="1:12">
      <c r="A3559" s="20" t="s">
        <v>1023</v>
      </c>
      <c r="E3559" s="22">
        <f>IF(D3559="?OLD","!!!","")</f>
        <v/>
      </c>
      <c r="F3559" s="23" t="str">
        <f>IF(OR(E3559="",E3559="!!!"),"",IF(NOT(ISNA(VLOOKUP(E3559,E$1:E3558,1,FALSE()))),"OLD",IF(AND(E3559&lt;&gt;"",E3559&lt;&gt;"!!!"),"NEW","")))</f>
        <v> </v>
      </c>
      <c r="G3559" s="24" t="str">
        <f>IF(OR(E3559="",E3559="!!!"),"",IF(OR(J3559=0,AND(J3559=1,K3559=1),AND(J3559=1,I3559="SBJ"),AND(J3559=1,I3559=0)),"?IN_FOCUS",IF(J3559&lt;=2,"?ACTIVATED",IF(J3559&lt;&gt;"","?FAMILIAR",IF(F3559="NEW",IF(ISNA(VLOOKUP(E3559,#REF!,1,FALSE())),"?TYPE_IDENTIFIABLE","?REFERENTIAL"),"_")))))</f>
        <v> </v>
      </c>
      <c r="H3559" s="25" t="str">
        <f>IF(J3559&lt;&gt;1,"",IF(I3559="SBJ","CB","?"))</f>
        <v> </v>
      </c>
      <c r="I3559" s="26" t="str">
        <f>IF(OR(E3559="",E3559="!!!",F3559="NEW"),"",INDEX(B3558:B$2,-1+SUMPRODUCT(MAX(ROW(E3558:E$2)*(E3559=E3558:E$2)))))</f>
        <v> </v>
      </c>
      <c r="J3559" s="26" t="str">
        <f>IF(OR(E3559="",E3559="!!!",F3559="NEW"),"",COUNTBLANK(OFFSET(A$1,,,SUMPRODUCT(MAX(ROW(E$2:E3559)*(E3559=E$2:E3559)))))-COUNTBLANK(OFFSET(A$1,,,SUMPRODUCT(MAX(ROW(E$1:E3558)*(E2=E$1:E3558))))))</f>
        <v> </v>
      </c>
      <c r="K3559" s="26" t="str">
        <f>IF(OR(E3559="",E3559="!!!",F3559="NEW"),"",INDEX(J$1:J3558,SUMPRODUCT(MAX(ROW(E$1:E3558)*(E3559=E$1:E3558)))))</f>
        <v> </v>
      </c>
      <c r="L3559" s="27"/>
    </row>
    <row r="3560" spans="1:12">
      <c r="A3560" s="20"/>
    </row>
    <row r="3561" spans="1:12">
      <c r="A3561" s="20" t="s">
        <v>2072</v>
      </c>
    </row>
    <row r="3562" spans="1:12">
      <c r="A3562" s="20" t="s">
        <v>2073</v>
      </c>
      <c r="E3562" s="22">
        <f>IF(D3562="?OLD","!!!","")</f>
        <v/>
      </c>
      <c r="F3562" s="23" t="str">
        <f>IF(OR(E3562="",E3562="!!!"),"",IF(NOT(ISNA(VLOOKUP(E3562,E$1:E3561,1,FALSE()))),"OLD",IF(AND(E3562&lt;&gt;"",E3562&lt;&gt;"!!!"),"NEW","")))</f>
        <v> </v>
      </c>
      <c r="G3562" s="24" t="str">
        <f>IF(OR(E3562="",E3562="!!!"),"",IF(OR(J3562=0,AND(J3562=1,K3562=1),AND(J3562=1,I3562="SBJ"),AND(J3562=1,I3562=0)),"?IN_FOCUS",IF(J3562&lt;=2,"?ACTIVATED",IF(J3562&lt;&gt;"","?FAMILIAR",IF(F3562="NEW",IF(ISNA(VLOOKUP(E3562,#REF!,1,FALSE())),"?TYPE_IDENTIFIABLE","?REFERENTIAL"),"_")))))</f>
        <v> </v>
      </c>
      <c r="H3562" s="25" t="str">
        <f>IF(J3562&lt;&gt;1,"",IF(I3562="SBJ","CB","?"))</f>
        <v> </v>
      </c>
      <c r="I3562" s="26" t="str">
        <f>IF(OR(E3562="",E3562="!!!",F3562="NEW"),"",INDEX(B3561:B$2,-1+SUMPRODUCT(MAX(ROW(E3561:E$2)*(E3562=E3561:E$2)))))</f>
        <v> </v>
      </c>
      <c r="J3562" s="26" t="str">
        <f>IF(OR(E3562="",E3562="!!!",F3562="NEW"),"",COUNTBLANK(OFFSET(A$1,,,SUMPRODUCT(MAX(ROW(E$2:E3562)*(E3562=E$2:E3562)))))-COUNTBLANK(OFFSET(A$1,,,SUMPRODUCT(MAX(ROW(E$1:E3561)*(E2=E$1:E3561))))))</f>
        <v> </v>
      </c>
      <c r="K3562" s="26" t="str">
        <f>IF(OR(E3562="",E3562="!!!",F3562="NEW"),"",INDEX(J$1:J3561,SUMPRODUCT(MAX(ROW(E$1:E3561)*(E3562=E$1:E3561)))))</f>
        <v> </v>
      </c>
      <c r="L3562" s="27"/>
    </row>
    <row r="3563" spans="1:12">
      <c r="A3563" s="20" t="s">
        <v>2074</v>
      </c>
      <c r="E3563" s="22">
        <f>IF(D3563="?OLD","!!!","")</f>
        <v/>
      </c>
      <c r="F3563" s="23" t="str">
        <f>IF(OR(E3563="",E3563="!!!"),"",IF(NOT(ISNA(VLOOKUP(E3563,E$1:E3562,1,FALSE()))),"OLD",IF(AND(E3563&lt;&gt;"",E3563&lt;&gt;"!!!"),"NEW","")))</f>
        <v> </v>
      </c>
      <c r="G3563" s="24" t="str">
        <f>IF(OR(E3563="",E3563="!!!"),"",IF(OR(J3563=0,AND(J3563=1,K3563=1),AND(J3563=1,I3563="SBJ"),AND(J3563=1,I3563=0)),"?IN_FOCUS",IF(J3563&lt;=2,"?ACTIVATED",IF(J3563&lt;&gt;"","?FAMILIAR",IF(F3563="NEW",IF(ISNA(VLOOKUP(E3563,#REF!,1,FALSE())),"?TYPE_IDENTIFIABLE","?REFERENTIAL"),"_")))))</f>
        <v> </v>
      </c>
      <c r="H3563" s="25" t="str">
        <f>IF(J3563&lt;&gt;1,"",IF(I3563="SBJ","CB","?"))</f>
        <v> </v>
      </c>
      <c r="I3563" s="26" t="str">
        <f>IF(OR(E3563="",E3563="!!!",F3563="NEW"),"",INDEX(B3562:B$2,-1+SUMPRODUCT(MAX(ROW(E3562:E$2)*(E3563=E3562:E$2)))))</f>
        <v> </v>
      </c>
      <c r="J3563" s="26" t="str">
        <f>IF(OR(E3563="",E3563="!!!",F3563="NEW"),"",COUNTBLANK(OFFSET(A$1,,,SUMPRODUCT(MAX(ROW(E$2:E3563)*(E3563=E$2:E3563)))))-COUNTBLANK(OFFSET(A$1,,,SUMPRODUCT(MAX(ROW(E$1:E3562)*(E2=E$1:E3562))))))</f>
        <v> </v>
      </c>
      <c r="K3563" s="26" t="str">
        <f>IF(OR(E3563="",E3563="!!!",F3563="NEW"),"",INDEX(J$1:J3562,SUMPRODUCT(MAX(ROW(E$1:E3562)*(E3563=E$1:E3562)))))</f>
        <v> </v>
      </c>
      <c r="L3563" s="27"/>
    </row>
    <row r="3564" spans="1:12">
      <c r="A3564" s="20" t="s">
        <v>1014</v>
      </c>
      <c r="E3564" s="22">
        <f>IF(D3564="?OLD","!!!","")</f>
        <v/>
      </c>
      <c r="F3564" s="23" t="str">
        <f>IF(OR(E3564="",E3564="!!!"),"",IF(NOT(ISNA(VLOOKUP(E3564,E$1:E3563,1,FALSE()))),"OLD",IF(AND(E3564&lt;&gt;"",E3564&lt;&gt;"!!!"),"NEW","")))</f>
        <v> </v>
      </c>
      <c r="G3564" s="24" t="str">
        <f>IF(OR(E3564="",E3564="!!!"),"",IF(OR(J3564=0,AND(J3564=1,K3564=1),AND(J3564=1,I3564="SBJ"),AND(J3564=1,I3564=0)),"?IN_FOCUS",IF(J3564&lt;=2,"?ACTIVATED",IF(J3564&lt;&gt;"","?FAMILIAR",IF(F3564="NEW",IF(ISNA(VLOOKUP(E3564,#REF!,1,FALSE())),"?TYPE_IDENTIFIABLE","?REFERENTIAL"),"_")))))</f>
        <v> </v>
      </c>
      <c r="H3564" s="25" t="str">
        <f>IF(J3564&lt;&gt;1,"",IF(I3564="SBJ","CB","?"))</f>
        <v> </v>
      </c>
      <c r="I3564" s="26" t="str">
        <f>IF(OR(E3564="",E3564="!!!",F3564="NEW"),"",INDEX(B3563:B$2,-1+SUMPRODUCT(MAX(ROW(E3563:E$2)*(E3564=E3563:E$2)))))</f>
        <v> </v>
      </c>
      <c r="J3564" s="26" t="str">
        <f>IF(OR(E3564="",E3564="!!!",F3564="NEW"),"",COUNTBLANK(OFFSET(A$1,,,SUMPRODUCT(MAX(ROW(E$2:E3564)*(E3564=E$2:E3564)))))-COUNTBLANK(OFFSET(A$1,,,SUMPRODUCT(MAX(ROW(E$1:E3563)*(E2=E$1:E3563))))))</f>
        <v> </v>
      </c>
      <c r="K3564" s="26" t="str">
        <f>IF(OR(E3564="",E3564="!!!",F3564="NEW"),"",INDEX(J$1:J3563,SUMPRODUCT(MAX(ROW(E$1:E3563)*(E3564=E$1:E3563)))))</f>
        <v> </v>
      </c>
      <c r="L3564" s="27"/>
    </row>
    <row r="3565" spans="1:12">
      <c r="A3565" s="20" t="s">
        <v>102</v>
      </c>
      <c r="B3565" s="21" t="s">
        <v>1029</v>
      </c>
      <c r="C3565" s="21" t="s">
        <v>1073</v>
      </c>
      <c r="D3565" s="21" t="s">
        <v>1007</v>
      </c>
      <c r="E3565" s="22">
        <f>IF(D3565="?OLD","!!!","")</f>
        <v/>
      </c>
      <c r="F3565" s="23" t="str">
        <f>IF(OR(E3565="",E3565="!!!"),"",IF(NOT(ISNA(VLOOKUP(E3565,E$1:E3564,1,FALSE()))),"OLD",IF(AND(E3565&lt;&gt;"",E3565&lt;&gt;"!!!"),"NEW","")))</f>
        <v> </v>
      </c>
      <c r="G3565" s="24" t="str">
        <f>IF(OR(E3565="",E3565="!!!"),"",IF(OR(J3565=0,AND(J3565=1,K3565=1),AND(J3565=1,I3565="SBJ"),AND(J3565=1,I3565=0)),"?IN_FOCUS",IF(J3565&lt;=2,"?ACTIVATED",IF(J3565&lt;&gt;"","?FAMILIAR",IF(F3565="NEW",IF(ISNA(VLOOKUP(E3565,#REF!,1,FALSE())),"?TYPE_IDENTIFIABLE","?REFERENTIAL"),"_")))))</f>
        <v> </v>
      </c>
      <c r="H3565" s="25" t="str">
        <f>IF(J3565&lt;&gt;1,"",IF(I3565="SBJ","CB","?"))</f>
        <v> </v>
      </c>
      <c r="I3565" s="26" t="str">
        <f>IF(OR(E3565="",E3565="!!!",F3565="NEW"),"",INDEX(B3564:B$2,-1+SUMPRODUCT(MAX(ROW(E3564:E$2)*(E3565=E3564:E$2)))))</f>
        <v> </v>
      </c>
      <c r="J3565" s="26" t="str">
        <f>IF(OR(E3565="",E3565="!!!",F3565="NEW"),"",COUNTBLANK(OFFSET(A$1,,,SUMPRODUCT(MAX(ROW(E$2:E3565)*(E3565=E$2:E3565)))))-COUNTBLANK(OFFSET(A$1,,,SUMPRODUCT(MAX(ROW(E$1:E3564)*(E2=E$1:E3564))))))</f>
        <v> </v>
      </c>
      <c r="K3565" s="26" t="str">
        <f>IF(OR(E3565="",E3565="!!!",F3565="NEW"),"",INDEX(J$1:J3564,SUMPRODUCT(MAX(ROW(E$1:E3564)*(E3565=E$1:E3564)))))</f>
        <v> </v>
      </c>
      <c r="L3565" s="27"/>
    </row>
    <row r="3566" spans="1:12">
      <c r="A3566" s="20" t="s">
        <v>1065</v>
      </c>
      <c r="B3566" s="21" t="s">
        <v>1120</v>
      </c>
      <c r="E3566" s="22">
        <f>IF(D3566="?OLD","!!!","")</f>
        <v/>
      </c>
      <c r="F3566" s="23" t="str">
        <f>IF(OR(E3566="",E3566="!!!"),"",IF(NOT(ISNA(VLOOKUP(E3566,E$1:E3565,1,FALSE()))),"OLD",IF(AND(E3566&lt;&gt;"",E3566&lt;&gt;"!!!"),"NEW","")))</f>
        <v> </v>
      </c>
      <c r="G3566" s="24" t="str">
        <f>IF(OR(E3566="",E3566="!!!"),"",IF(OR(J3566=0,AND(J3566=1,K3566=1),AND(J3566=1,I3566="SBJ"),AND(J3566=1,I3566=0)),"?IN_FOCUS",IF(J3566&lt;=2,"?ACTIVATED",IF(J3566&lt;&gt;"","?FAMILIAR",IF(F3566="NEW",IF(ISNA(VLOOKUP(E3566,#REF!,1,FALSE())),"?TYPE_IDENTIFIABLE","?REFERENTIAL"),"_")))))</f>
        <v> </v>
      </c>
      <c r="H3566" s="25" t="str">
        <f>IF(J3566&lt;&gt;1,"",IF(I3566="SBJ","CB","?"))</f>
        <v> </v>
      </c>
      <c r="I3566" s="26" t="str">
        <f>IF(OR(E3566="",E3566="!!!",F3566="NEW"),"",INDEX(B3565:B$2,-1+SUMPRODUCT(MAX(ROW(E3565:E$2)*(E3566=E3565:E$2)))))</f>
        <v> </v>
      </c>
      <c r="J3566" s="26" t="str">
        <f>IF(OR(E3566="",E3566="!!!",F3566="NEW"),"",COUNTBLANK(OFFSET(A$1,,,SUMPRODUCT(MAX(ROW(E$2:E3566)*(E3566=E$2:E3566)))))-COUNTBLANK(OFFSET(A$1,,,SUMPRODUCT(MAX(ROW(E$1:E3565)*(E2=E$1:E3565))))))</f>
        <v> </v>
      </c>
      <c r="K3566" s="26" t="str">
        <f>IF(OR(E3566="",E3566="!!!",F3566="NEW"),"",INDEX(J$1:J3565,SUMPRODUCT(MAX(ROW(E$1:E3565)*(E3566=E$1:E3565)))))</f>
        <v> </v>
      </c>
      <c r="L3566" s="27"/>
    </row>
    <row r="3567" spans="1:12">
      <c r="A3567" s="20" t="s">
        <v>1114</v>
      </c>
      <c r="E3567" s="22">
        <f>IF(D3567="?OLD","!!!","")</f>
        <v/>
      </c>
      <c r="F3567" s="23" t="str">
        <f>IF(OR(E3567="",E3567="!!!"),"",IF(NOT(ISNA(VLOOKUP(E3567,E$1:E3566,1,FALSE()))),"OLD",IF(AND(E3567&lt;&gt;"",E3567&lt;&gt;"!!!"),"NEW","")))</f>
        <v> </v>
      </c>
      <c r="G3567" s="24" t="str">
        <f>IF(OR(E3567="",E3567="!!!"),"",IF(OR(J3567=0,AND(J3567=1,K3567=1),AND(J3567=1,I3567="SBJ"),AND(J3567=1,I3567=0)),"?IN_FOCUS",IF(J3567&lt;=2,"?ACTIVATED",IF(J3567&lt;&gt;"","?FAMILIAR",IF(F3567="NEW",IF(ISNA(VLOOKUP(E3567,#REF!,1,FALSE())),"?TYPE_IDENTIFIABLE","?REFERENTIAL"),"_")))))</f>
        <v> </v>
      </c>
      <c r="H3567" s="25" t="str">
        <f>IF(J3567&lt;&gt;1,"",IF(I3567="SBJ","CB","?"))</f>
        <v> </v>
      </c>
      <c r="I3567" s="26" t="str">
        <f>IF(OR(E3567="",E3567="!!!",F3567="NEW"),"",INDEX(B3566:B$2,-1+SUMPRODUCT(MAX(ROW(E3566:E$2)*(E3567=E3566:E$2)))))</f>
        <v> </v>
      </c>
      <c r="J3567" s="26" t="str">
        <f>IF(OR(E3567="",E3567="!!!",F3567="NEW"),"",COUNTBLANK(OFFSET(A$1,,,SUMPRODUCT(MAX(ROW(E$2:E3567)*(E3567=E$2:E3567)))))-COUNTBLANK(OFFSET(A$1,,,SUMPRODUCT(MAX(ROW(E$1:E3566)*(E2=E$1:E3566))))))</f>
        <v> </v>
      </c>
      <c r="K3567" s="26" t="str">
        <f>IF(OR(E3567="",E3567="!!!",F3567="NEW"),"",INDEX(J$1:J3566,SUMPRODUCT(MAX(ROW(E$1:E3566)*(E3567=E$1:E3566)))))</f>
        <v> </v>
      </c>
      <c r="L3567" s="27"/>
    </row>
    <row r="3568" spans="1:12">
      <c r="A3568" s="20" t="s">
        <v>2075</v>
      </c>
      <c r="E3568" s="22">
        <f>IF(D3568="?OLD","!!!","")</f>
        <v/>
      </c>
      <c r="F3568" s="23" t="str">
        <f>IF(OR(E3568="",E3568="!!!"),"",IF(NOT(ISNA(VLOOKUP(E3568,E$1:E3567,1,FALSE()))),"OLD",IF(AND(E3568&lt;&gt;"",E3568&lt;&gt;"!!!"),"NEW","")))</f>
        <v> </v>
      </c>
      <c r="G3568" s="24" t="str">
        <f>IF(OR(E3568="",E3568="!!!"),"",IF(OR(J3568=0,AND(J3568=1,K3568=1),AND(J3568=1,I3568="SBJ"),AND(J3568=1,I3568=0)),"?IN_FOCUS",IF(J3568&lt;=2,"?ACTIVATED",IF(J3568&lt;&gt;"","?FAMILIAR",IF(F3568="NEW",IF(ISNA(VLOOKUP(E3568,#REF!,1,FALSE())),"?TYPE_IDENTIFIABLE","?REFERENTIAL"),"_")))))</f>
        <v> </v>
      </c>
      <c r="H3568" s="25" t="str">
        <f>IF(J3568&lt;&gt;1,"",IF(I3568="SBJ","CB","?"))</f>
        <v> </v>
      </c>
      <c r="I3568" s="26" t="str">
        <f>IF(OR(E3568="",E3568="!!!",F3568="NEW"),"",INDEX(B3567:B$2,-1+SUMPRODUCT(MAX(ROW(E3567:E$2)*(E3568=E3567:E$2)))))</f>
        <v> </v>
      </c>
      <c r="J3568" s="26" t="str">
        <f>IF(OR(E3568="",E3568="!!!",F3568="NEW"),"",COUNTBLANK(OFFSET(A$1,,,SUMPRODUCT(MAX(ROW(E$2:E3568)*(E3568=E$2:E3568)))))-COUNTBLANK(OFFSET(A$1,,,SUMPRODUCT(MAX(ROW(E$1:E3567)*(E2=E$1:E3567))))))</f>
        <v> </v>
      </c>
      <c r="K3568" s="26" t="str">
        <f>IF(OR(E3568="",E3568="!!!",F3568="NEW"),"",INDEX(J$1:J3567,SUMPRODUCT(MAX(ROW(E$1:E3567)*(E3568=E$1:E3567)))))</f>
        <v> </v>
      </c>
      <c r="L3568" s="27"/>
    </row>
    <row r="3569" spans="1:12">
      <c r="A3569" s="20" t="s">
        <v>1077</v>
      </c>
      <c r="E3569" s="22">
        <f>IF(D3569="?OLD","!!!","")</f>
        <v/>
      </c>
      <c r="F3569" s="23" t="str">
        <f>IF(OR(E3569="",E3569="!!!"),"",IF(NOT(ISNA(VLOOKUP(E3569,E$1:E3568,1,FALSE()))),"OLD",IF(AND(E3569&lt;&gt;"",E3569&lt;&gt;"!!!"),"NEW","")))</f>
        <v> </v>
      </c>
      <c r="G3569" s="24" t="str">
        <f>IF(OR(E3569="",E3569="!!!"),"",IF(OR(J3569=0,AND(J3569=1,K3569=1),AND(J3569=1,I3569="SBJ"),AND(J3569=1,I3569=0)),"?IN_FOCUS",IF(J3569&lt;=2,"?ACTIVATED",IF(J3569&lt;&gt;"","?FAMILIAR",IF(F3569="NEW",IF(ISNA(VLOOKUP(E3569,#REF!,1,FALSE())),"?TYPE_IDENTIFIABLE","?REFERENTIAL"),"_")))))</f>
        <v> </v>
      </c>
      <c r="H3569" s="25" t="str">
        <f>IF(J3569&lt;&gt;1,"",IF(I3569="SBJ","CB","?"))</f>
        <v> </v>
      </c>
      <c r="I3569" s="26" t="str">
        <f>IF(OR(E3569="",E3569="!!!",F3569="NEW"),"",INDEX(B3568:B$2,-1+SUMPRODUCT(MAX(ROW(E3568:E$2)*(E3569=E3568:E$2)))))</f>
        <v> </v>
      </c>
      <c r="J3569" s="26" t="str">
        <f>IF(OR(E3569="",E3569="!!!",F3569="NEW"),"",COUNTBLANK(OFFSET(A$1,,,SUMPRODUCT(MAX(ROW(E$2:E3569)*(E3569=E$2:E3569)))))-COUNTBLANK(OFFSET(A$1,,,SUMPRODUCT(MAX(ROW(E$1:E3568)*(E2=E$1:E3568))))))</f>
        <v> </v>
      </c>
      <c r="K3569" s="26" t="str">
        <f>IF(OR(E3569="",E3569="!!!",F3569="NEW"),"",INDEX(J$1:J3568,SUMPRODUCT(MAX(ROW(E$1:E3568)*(E3569=E$1:E3568)))))</f>
        <v> </v>
      </c>
      <c r="L3569" s="27"/>
    </row>
    <row r="3570" spans="1:12">
      <c r="A3570" s="20"/>
    </row>
    <row r="3571" spans="1:12">
      <c r="A3571" s="20" t="s">
        <v>1184</v>
      </c>
      <c r="E3571" s="22">
        <f>IF(D3571="?OLD","!!!","")</f>
        <v/>
      </c>
      <c r="F3571" s="23" t="str">
        <f>IF(OR(E3571="",E3571="!!!"),"",IF(NOT(ISNA(VLOOKUP(E3571,E$1:E3570,1,FALSE()))),"OLD",IF(AND(E3571&lt;&gt;"",E3571&lt;&gt;"!!!"),"NEW","")))</f>
        <v> </v>
      </c>
      <c r="G3571" s="24" t="str">
        <f>IF(OR(E3571="",E3571="!!!"),"",IF(OR(J3571=0,AND(J3571=1,K3571=1),AND(J3571=1,I3571="SBJ"),AND(J3571=1,I3571=0)),"?IN_FOCUS",IF(J3571&lt;=2,"?ACTIVATED",IF(J3571&lt;&gt;"","?FAMILIAR",IF(F3571="NEW",IF(ISNA(VLOOKUP(E3571,#REF!,1,FALSE())),"?TYPE_IDENTIFIABLE","?REFERENTIAL"),"_")))))</f>
        <v> </v>
      </c>
      <c r="H3571" s="25" t="str">
        <f>IF(J3571&lt;&gt;1,"",IF(I3571="SBJ","CB","?"))</f>
        <v> </v>
      </c>
      <c r="I3571" s="26" t="str">
        <f>IF(OR(E3571="",E3571="!!!",F3571="NEW"),"",INDEX(B3570:B$2,-1+SUMPRODUCT(MAX(ROW(E3570:E$2)*(E3571=E3570:E$2)))))</f>
        <v> </v>
      </c>
      <c r="J3571" s="26" t="str">
        <f>IF(OR(E3571="",E3571="!!!",F3571="NEW"),"",COUNTBLANK(OFFSET(A$1,,,SUMPRODUCT(MAX(ROW(E$2:E3571)*(E3571=E$2:E3571)))))-COUNTBLANK(OFFSET(A$1,,,SUMPRODUCT(MAX(ROW(E$1:E3570)*(E2=E$1:E3570))))))</f>
        <v> </v>
      </c>
      <c r="K3571" s="26" t="str">
        <f>IF(OR(E3571="",E3571="!!!",F3571="NEW"),"",INDEX(J$1:J3570,SUMPRODUCT(MAX(ROW(E$1:E3570)*(E3571=E$1:E3570)))))</f>
        <v> </v>
      </c>
      <c r="L3571" s="27"/>
    </row>
    <row r="3572" spans="1:12">
      <c r="A3572" s="20" t="s">
        <v>2076</v>
      </c>
    </row>
    <row r="3573" spans="1:12">
      <c r="A3573" s="20" t="s">
        <v>1118</v>
      </c>
      <c r="B3573" s="21" t="s">
        <v>1005</v>
      </c>
      <c r="C3573" s="21" t="s">
        <v>1048</v>
      </c>
      <c r="E3573" s="22">
        <f>IF(D3573="?OLD","!!!","")</f>
        <v/>
      </c>
      <c r="F3573" s="23" t="str">
        <f>IF(OR(E3573="",E3573="!!!"),"",IF(NOT(ISNA(VLOOKUP(E3573,E$1:E3572,1,FALSE()))),"OLD",IF(AND(E3573&lt;&gt;"",E3573&lt;&gt;"!!!"),"NEW","")))</f>
        <v> </v>
      </c>
      <c r="G3573" s="24" t="str">
        <f>IF(OR(E3573="",E3573="!!!"),"",IF(OR(J3573=0,AND(J3573=1,K3573=1),AND(J3573=1,I3573="SBJ"),AND(J3573=1,I3573=0)),"?IN_FOCUS",IF(J3573&lt;=2,"?ACTIVATED",IF(J3573&lt;&gt;"","?FAMILIAR",IF(F3573="NEW",IF(ISNA(VLOOKUP(E3573,#REF!,1,FALSE())),"?TYPE_IDENTIFIABLE","?REFERENTIAL"),"_")))))</f>
        <v> </v>
      </c>
      <c r="H3573" s="25" t="str">
        <f>IF(J3573&lt;&gt;1,"",IF(I3573="SBJ","CB","?"))</f>
        <v> </v>
      </c>
      <c r="I3573" s="26" t="str">
        <f>IF(OR(E3573="",E3573="!!!",F3573="NEW"),"",INDEX(B3572:B$2,-1+SUMPRODUCT(MAX(ROW(E3572:E$2)*(E3573=E3572:E$2)))))</f>
        <v> </v>
      </c>
      <c r="J3573" s="26" t="str">
        <f>IF(OR(E3573="",E3573="!!!",F3573="NEW"),"",COUNTBLANK(OFFSET(A$1,,,SUMPRODUCT(MAX(ROW(E$2:E3573)*(E3573=E$2:E3573)))))-COUNTBLANK(OFFSET(A$1,,,SUMPRODUCT(MAX(ROW(E$1:E3572)*(E2=E$1:E3572))))))</f>
        <v> </v>
      </c>
      <c r="K3573" s="26" t="str">
        <f>IF(OR(E3573="",E3573="!!!",F3573="NEW"),"",INDEX(J$1:J3572,SUMPRODUCT(MAX(ROW(E$1:E3572)*(E3573=E$1:E3572)))))</f>
        <v> </v>
      </c>
      <c r="L3573" s="27"/>
    </row>
    <row r="3574" spans="1:12">
      <c r="A3574" s="20" t="s">
        <v>1009</v>
      </c>
      <c r="E3574" s="22">
        <f>IF(D3574="?OLD","!!!","")</f>
        <v/>
      </c>
      <c r="F3574" s="23" t="str">
        <f>IF(OR(E3574="",E3574="!!!"),"",IF(NOT(ISNA(VLOOKUP(E3574,E$1:E3573,1,FALSE()))),"OLD",IF(AND(E3574&lt;&gt;"",E3574&lt;&gt;"!!!"),"NEW","")))</f>
        <v> </v>
      </c>
      <c r="G3574" s="24" t="str">
        <f>IF(OR(E3574="",E3574="!!!"),"",IF(OR(J3574=0,AND(J3574=1,K3574=1),AND(J3574=1,I3574="SBJ"),AND(J3574=1,I3574=0)),"?IN_FOCUS",IF(J3574&lt;=2,"?ACTIVATED",IF(J3574&lt;&gt;"","?FAMILIAR",IF(F3574="NEW",IF(ISNA(VLOOKUP(E3574,#REF!,1,FALSE())),"?TYPE_IDENTIFIABLE","?REFERENTIAL"),"_")))))</f>
        <v> </v>
      </c>
      <c r="H3574" s="25" t="str">
        <f>IF(J3574&lt;&gt;1,"",IF(I3574="SBJ","CB","?"))</f>
        <v> </v>
      </c>
      <c r="I3574" s="26" t="str">
        <f>IF(OR(E3574="",E3574="!!!",F3574="NEW"),"",INDEX(B3573:B$2,-1+SUMPRODUCT(MAX(ROW(E3573:E$2)*(E3574=E3573:E$2)))))</f>
        <v> </v>
      </c>
      <c r="J3574" s="26" t="str">
        <f>IF(OR(E3574="",E3574="!!!",F3574="NEW"),"",COUNTBLANK(OFFSET(A$1,,,SUMPRODUCT(MAX(ROW(E$2:E3574)*(E3574=E$2:E3574)))))-COUNTBLANK(OFFSET(A$1,,,SUMPRODUCT(MAX(ROW(E$1:E3573)*(E2=E$1:E3573))))))</f>
        <v> </v>
      </c>
      <c r="K3574" s="26" t="str">
        <f>IF(OR(E3574="",E3574="!!!",F3574="NEW"),"",INDEX(J$1:J3573,SUMPRODUCT(MAX(ROW(E$1:E3573)*(E3574=E$1:E3573)))))</f>
        <v> </v>
      </c>
      <c r="L3574" s="27"/>
    </row>
    <row r="3575" spans="1:12">
      <c r="A3575" s="20" t="s">
        <v>11</v>
      </c>
      <c r="E3575" s="22">
        <f>IF(D3575="?OLD","!!!","")</f>
        <v/>
      </c>
      <c r="F3575" s="23" t="str">
        <f>IF(OR(E3575="",E3575="!!!"),"",IF(NOT(ISNA(VLOOKUP(E3575,E$1:E3574,1,FALSE()))),"OLD",IF(AND(E3575&lt;&gt;"",E3575&lt;&gt;"!!!"),"NEW","")))</f>
        <v> </v>
      </c>
      <c r="G3575" s="24" t="str">
        <f>IF(OR(E3575="",E3575="!!!"),"",IF(OR(J3575=0,AND(J3575=1,K3575=1),AND(J3575=1,I3575="SBJ"),AND(J3575=1,I3575=0)),"?IN_FOCUS",IF(J3575&lt;=2,"?ACTIVATED",IF(J3575&lt;&gt;"","?FAMILIAR",IF(F3575="NEW",IF(ISNA(VLOOKUP(E3575,#REF!,1,FALSE())),"?TYPE_IDENTIFIABLE","?REFERENTIAL"),"_")))))</f>
        <v> </v>
      </c>
      <c r="H3575" s="25" t="str">
        <f>IF(J3575&lt;&gt;1,"",IF(I3575="SBJ","CB","?"))</f>
        <v> </v>
      </c>
      <c r="I3575" s="26" t="str">
        <f>IF(OR(E3575="",E3575="!!!",F3575="NEW"),"",INDEX(B3574:B$2,-1+SUMPRODUCT(MAX(ROW(E3574:E$2)*(E3575=E3574:E$2)))))</f>
        <v> </v>
      </c>
      <c r="J3575" s="26" t="str">
        <f>IF(OR(E3575="",E3575="!!!",F3575="NEW"),"",COUNTBLANK(OFFSET(A$1,,,SUMPRODUCT(MAX(ROW(E$2:E3575)*(E3575=E$2:E3575)))))-COUNTBLANK(OFFSET(A$1,,,SUMPRODUCT(MAX(ROW(E$1:E3574)*(E2=E$1:E3574))))))</f>
        <v> </v>
      </c>
      <c r="K3575" s="26" t="str">
        <f>IF(OR(E3575="",E3575="!!!",F3575="NEW"),"",INDEX(J$1:J3574,SUMPRODUCT(MAX(ROW(E$1:E3574)*(E3575=E$1:E3574)))))</f>
        <v> </v>
      </c>
      <c r="L3575" s="27"/>
    </row>
    <row r="3576" spans="1:12">
      <c r="A3576" s="20" t="s">
        <v>1189</v>
      </c>
      <c r="E3576" s="22">
        <f>IF(D3576="?OLD","!!!","")</f>
        <v/>
      </c>
      <c r="F3576" s="23" t="str">
        <f>IF(OR(E3576="",E3576="!!!"),"",IF(NOT(ISNA(VLOOKUP(E3576,E$1:E3575,1,FALSE()))),"OLD",IF(AND(E3576&lt;&gt;"",E3576&lt;&gt;"!!!"),"NEW","")))</f>
        <v> </v>
      </c>
      <c r="G3576" s="24" t="str">
        <f>IF(OR(E3576="",E3576="!!!"),"",IF(OR(J3576=0,AND(J3576=1,K3576=1),AND(J3576=1,I3576="SBJ"),AND(J3576=1,I3576=0)),"?IN_FOCUS",IF(J3576&lt;=2,"?ACTIVATED",IF(J3576&lt;&gt;"","?FAMILIAR",IF(F3576="NEW",IF(ISNA(VLOOKUP(E3576,#REF!,1,FALSE())),"?TYPE_IDENTIFIABLE","?REFERENTIAL"),"_")))))</f>
        <v> </v>
      </c>
      <c r="H3576" s="25" t="str">
        <f>IF(J3576&lt;&gt;1,"",IF(I3576="SBJ","CB","?"))</f>
        <v> </v>
      </c>
      <c r="I3576" s="26" t="str">
        <f>IF(OR(E3576="",E3576="!!!",F3576="NEW"),"",INDEX(B3575:B$2,-1+SUMPRODUCT(MAX(ROW(E3575:E$2)*(E3576=E3575:E$2)))))</f>
        <v> </v>
      </c>
      <c r="J3576" s="26" t="str">
        <f>IF(OR(E3576="",E3576="!!!",F3576="NEW"),"",COUNTBLANK(OFFSET(A$1,,,SUMPRODUCT(MAX(ROW(E$2:E3576)*(E3576=E$2:E3576)))))-COUNTBLANK(OFFSET(A$1,,,SUMPRODUCT(MAX(ROW(E$1:E3575)*(E2=E$1:E3575))))))</f>
        <v> </v>
      </c>
      <c r="K3576" s="26" t="str">
        <f>IF(OR(E3576="",E3576="!!!",F3576="NEW"),"",INDEX(J$1:J3575,SUMPRODUCT(MAX(ROW(E$1:E3575)*(E3576=E$1:E3575)))))</f>
        <v> </v>
      </c>
      <c r="L3576" s="27"/>
    </row>
    <row r="3577" spans="1:12">
      <c r="A3577" s="20" t="s">
        <v>2071</v>
      </c>
      <c r="B3577" s="21" t="s">
        <v>1119</v>
      </c>
      <c r="C3577" s="21" t="s">
        <v>1006</v>
      </c>
      <c r="D3577" s="21" t="s">
        <v>1007</v>
      </c>
      <c r="E3577" s="22">
        <f>IF(D3577="?OLD","!!!","")</f>
        <v/>
      </c>
      <c r="F3577" s="23" t="str">
        <f>IF(OR(E3577="",E3577="!!!"),"",IF(NOT(ISNA(VLOOKUP(E3577,E$1:E3576,1,FALSE()))),"OLD",IF(AND(E3577&lt;&gt;"",E3577&lt;&gt;"!!!"),"NEW","")))</f>
        <v> </v>
      </c>
      <c r="G3577" s="24" t="str">
        <f>IF(OR(E3577="",E3577="!!!"),"",IF(OR(J3577=0,AND(J3577=1,K3577=1),AND(J3577=1,I3577="SBJ"),AND(J3577=1,I3577=0)),"?IN_FOCUS",IF(J3577&lt;=2,"?ACTIVATED",IF(J3577&lt;&gt;"","?FAMILIAR",IF(F3577="NEW",IF(ISNA(VLOOKUP(E3577,#REF!,1,FALSE())),"?TYPE_IDENTIFIABLE","?REFERENTIAL"),"_")))))</f>
        <v> </v>
      </c>
      <c r="H3577" s="25" t="str">
        <f>IF(J3577&lt;&gt;1,"",IF(I3577="SBJ","CB","?"))</f>
        <v> </v>
      </c>
      <c r="I3577" s="26" t="str">
        <f>IF(OR(E3577="",E3577="!!!",F3577="NEW"),"",INDEX(B3576:B$2,-1+SUMPRODUCT(MAX(ROW(E3576:E$2)*(E3577=E3576:E$2)))))</f>
        <v> </v>
      </c>
      <c r="J3577" s="26" t="str">
        <f>IF(OR(E3577="",E3577="!!!",F3577="NEW"),"",COUNTBLANK(OFFSET(A$1,,,SUMPRODUCT(MAX(ROW(E$2:E3577)*(E3577=E$2:E3577)))))-COUNTBLANK(OFFSET(A$1,,,SUMPRODUCT(MAX(ROW(E$1:E3576)*(E2=E$1:E3576))))))</f>
        <v> </v>
      </c>
      <c r="K3577" s="26" t="str">
        <f>IF(OR(E3577="",E3577="!!!",F3577="NEW"),"",INDEX(J$1:J3576,SUMPRODUCT(MAX(ROW(E$1:E3576)*(E3577=E$1:E3576)))))</f>
        <v> </v>
      </c>
      <c r="L3577" s="27"/>
    </row>
    <row r="3578" spans="1:12">
      <c r="A3578" s="20" t="s">
        <v>1189</v>
      </c>
      <c r="E3578" s="22">
        <f>IF(D3578="?OLD","!!!","")</f>
        <v/>
      </c>
      <c r="F3578" s="23" t="str">
        <f>IF(OR(E3578="",E3578="!!!"),"",IF(NOT(ISNA(VLOOKUP(E3578,E$1:E3577,1,FALSE()))),"OLD",IF(AND(E3578&lt;&gt;"",E3578&lt;&gt;"!!!"),"NEW","")))</f>
        <v> </v>
      </c>
      <c r="G3578" s="24" t="str">
        <f>IF(OR(E3578="",E3578="!!!"),"",IF(OR(J3578=0,AND(J3578=1,K3578=1),AND(J3578=1,I3578="SBJ"),AND(J3578=1,I3578=0)),"?IN_FOCUS",IF(J3578&lt;=2,"?ACTIVATED",IF(J3578&lt;&gt;"","?FAMILIAR",IF(F3578="NEW",IF(ISNA(VLOOKUP(E3578,#REF!,1,FALSE())),"?TYPE_IDENTIFIABLE","?REFERENTIAL"),"_")))))</f>
        <v> </v>
      </c>
      <c r="H3578" s="25" t="str">
        <f>IF(J3578&lt;&gt;1,"",IF(I3578="SBJ","CB","?"))</f>
        <v> </v>
      </c>
      <c r="I3578" s="26" t="str">
        <f>IF(OR(E3578="",E3578="!!!",F3578="NEW"),"",INDEX(B3577:B$2,-1+SUMPRODUCT(MAX(ROW(E3577:E$2)*(E3578=E3577:E$2)))))</f>
        <v> </v>
      </c>
      <c r="J3578" s="26" t="str">
        <f>IF(OR(E3578="",E3578="!!!",F3578="NEW"),"",COUNTBLANK(OFFSET(A$1,,,SUMPRODUCT(MAX(ROW(E$2:E3578)*(E3578=E$2:E3578)))))-COUNTBLANK(OFFSET(A$1,,,SUMPRODUCT(MAX(ROW(E$1:E3577)*(E2=E$1:E3577))))))</f>
        <v> </v>
      </c>
      <c r="K3578" s="26" t="str">
        <f>IF(OR(E3578="",E3578="!!!",F3578="NEW"),"",INDEX(J$1:J3577,SUMPRODUCT(MAX(ROW(E$1:E3577)*(E3578=E$1:E3577)))))</f>
        <v> </v>
      </c>
      <c r="L3578" s="27"/>
    </row>
    <row r="3579" spans="1:12">
      <c r="A3579" s="20" t="s">
        <v>56</v>
      </c>
      <c r="E3579" s="22">
        <f>IF(D3579="?OLD","!!!","")</f>
        <v/>
      </c>
      <c r="F3579" s="23" t="str">
        <f>IF(OR(E3579="",E3579="!!!"),"",IF(NOT(ISNA(VLOOKUP(E3579,E$1:E3578,1,FALSE()))),"OLD",IF(AND(E3579&lt;&gt;"",E3579&lt;&gt;"!!!"),"NEW","")))</f>
        <v> </v>
      </c>
      <c r="G3579" s="24" t="str">
        <f>IF(OR(E3579="",E3579="!!!"),"",IF(OR(J3579=0,AND(J3579=1,K3579=1),AND(J3579=1,I3579="SBJ"),AND(J3579=1,I3579=0)),"?IN_FOCUS",IF(J3579&lt;=2,"?ACTIVATED",IF(J3579&lt;&gt;"","?FAMILIAR",IF(F3579="NEW",IF(ISNA(VLOOKUP(E3579,#REF!,1,FALSE())),"?TYPE_IDENTIFIABLE","?REFERENTIAL"),"_")))))</f>
        <v> </v>
      </c>
      <c r="H3579" s="25" t="str">
        <f>IF(J3579&lt;&gt;1,"",IF(I3579="SBJ","CB","?"))</f>
        <v> </v>
      </c>
      <c r="I3579" s="26" t="str">
        <f>IF(OR(E3579="",E3579="!!!",F3579="NEW"),"",INDEX(B3578:B$2,-1+SUMPRODUCT(MAX(ROW(E3578:E$2)*(E3579=E3578:E$2)))))</f>
        <v> </v>
      </c>
      <c r="J3579" s="26" t="str">
        <f>IF(OR(E3579="",E3579="!!!",F3579="NEW"),"",COUNTBLANK(OFFSET(A$1,,,SUMPRODUCT(MAX(ROW(E$2:E3579)*(E3579=E$2:E3579)))))-COUNTBLANK(OFFSET(A$1,,,SUMPRODUCT(MAX(ROW(E$1:E3578)*(E2=E$1:E3578))))))</f>
        <v> </v>
      </c>
      <c r="K3579" s="26" t="str">
        <f>IF(OR(E3579="",E3579="!!!",F3579="NEW"),"",INDEX(J$1:J3578,SUMPRODUCT(MAX(ROW(E$1:E3578)*(E3579=E$1:E3578)))))</f>
        <v> </v>
      </c>
      <c r="L3579" s="27"/>
    </row>
    <row r="3580" spans="1:12">
      <c r="A3580" s="20" t="s">
        <v>1436</v>
      </c>
      <c r="E3580" s="22">
        <f>IF(D3580="?OLD","!!!","")</f>
        <v/>
      </c>
      <c r="F3580" s="23" t="str">
        <f>IF(OR(E3580="",E3580="!!!"),"",IF(NOT(ISNA(VLOOKUP(E3580,E$1:E3579,1,FALSE()))),"OLD",IF(AND(E3580&lt;&gt;"",E3580&lt;&gt;"!!!"),"NEW","")))</f>
        <v> </v>
      </c>
      <c r="G3580" s="24" t="str">
        <f>IF(OR(E3580="",E3580="!!!"),"",IF(OR(J3580=0,AND(J3580=1,K3580=1),AND(J3580=1,I3580="SBJ"),AND(J3580=1,I3580=0)),"?IN_FOCUS",IF(J3580&lt;=2,"?ACTIVATED",IF(J3580&lt;&gt;"","?FAMILIAR",IF(F3580="NEW",IF(ISNA(VLOOKUP(E3580,#REF!,1,FALSE())),"?TYPE_IDENTIFIABLE","?REFERENTIAL"),"_")))))</f>
        <v> </v>
      </c>
      <c r="H3580" s="25" t="str">
        <f>IF(J3580&lt;&gt;1,"",IF(I3580="SBJ","CB","?"))</f>
        <v> </v>
      </c>
      <c r="I3580" s="26" t="str">
        <f>IF(OR(E3580="",E3580="!!!",F3580="NEW"),"",INDEX(B3579:B$2,-1+SUMPRODUCT(MAX(ROW(E3579:E$2)*(E3580=E3579:E$2)))))</f>
        <v> </v>
      </c>
      <c r="J3580" s="26" t="str">
        <f>IF(OR(E3580="",E3580="!!!",F3580="NEW"),"",COUNTBLANK(OFFSET(A$1,,,SUMPRODUCT(MAX(ROW(E$2:E3580)*(E3580=E$2:E3580)))))-COUNTBLANK(OFFSET(A$1,,,SUMPRODUCT(MAX(ROW(E$1:E3579)*(E2=E$1:E3579))))))</f>
        <v> </v>
      </c>
      <c r="K3580" s="26" t="str">
        <f>IF(OR(E3580="",E3580="!!!",F3580="NEW"),"",INDEX(J$1:J3579,SUMPRODUCT(MAX(ROW(E$1:E3579)*(E3580=E$1:E3579)))))</f>
        <v> </v>
      </c>
      <c r="L3580" s="27"/>
    </row>
    <row r="3581" spans="1:12">
      <c r="A3581" s="20" t="s">
        <v>1286</v>
      </c>
      <c r="E3581" s="22">
        <f>IF(D3581="?OLD","!!!","")</f>
        <v/>
      </c>
      <c r="F3581" s="23" t="str">
        <f>IF(OR(E3581="",E3581="!!!"),"",IF(NOT(ISNA(VLOOKUP(E3581,E$1:E3580,1,FALSE()))),"OLD",IF(AND(E3581&lt;&gt;"",E3581&lt;&gt;"!!!"),"NEW","")))</f>
        <v> </v>
      </c>
      <c r="G3581" s="24" t="str">
        <f>IF(OR(E3581="",E3581="!!!"),"",IF(OR(J3581=0,AND(J3581=1,K3581=1),AND(J3581=1,I3581="SBJ"),AND(J3581=1,I3581=0)),"?IN_FOCUS",IF(J3581&lt;=2,"?ACTIVATED",IF(J3581&lt;&gt;"","?FAMILIAR",IF(F3581="NEW",IF(ISNA(VLOOKUP(E3581,#REF!,1,FALSE())),"?TYPE_IDENTIFIABLE","?REFERENTIAL"),"_")))))</f>
        <v> </v>
      </c>
      <c r="H3581" s="25" t="str">
        <f>IF(J3581&lt;&gt;1,"",IF(I3581="SBJ","CB","?"))</f>
        <v> </v>
      </c>
      <c r="I3581" s="26" t="str">
        <f>IF(OR(E3581="",E3581="!!!",F3581="NEW"),"",INDEX(B3580:B$2,-1+SUMPRODUCT(MAX(ROW(E3580:E$2)*(E3581=E3580:E$2)))))</f>
        <v> </v>
      </c>
      <c r="J3581" s="26" t="str">
        <f>IF(OR(E3581="",E3581="!!!",F3581="NEW"),"",COUNTBLANK(OFFSET(A$1,,,SUMPRODUCT(MAX(ROW(E$2:E3581)*(E3581=E$2:E3581)))))-COUNTBLANK(OFFSET(A$1,,,SUMPRODUCT(MAX(ROW(E$1:E3580)*(E2=E$1:E3580))))))</f>
        <v> </v>
      </c>
      <c r="K3581" s="26" t="str">
        <f>IF(OR(E3581="",E3581="!!!",F3581="NEW"),"",INDEX(J$1:J3580,SUMPRODUCT(MAX(ROW(E$1:E3580)*(E3581=E$1:E3580)))))</f>
        <v> </v>
      </c>
      <c r="L3581" s="27"/>
    </row>
    <row r="3582" spans="1:12">
      <c r="A3582" s="20" t="s">
        <v>1324</v>
      </c>
      <c r="E3582" s="22">
        <f>IF(D3582="?OLD","!!!","")</f>
        <v/>
      </c>
      <c r="F3582" s="23" t="str">
        <f>IF(OR(E3582="",E3582="!!!"),"",IF(NOT(ISNA(VLOOKUP(E3582,E$1:E3581,1,FALSE()))),"OLD",IF(AND(E3582&lt;&gt;"",E3582&lt;&gt;"!!!"),"NEW","")))</f>
        <v> </v>
      </c>
      <c r="G3582" s="24" t="str">
        <f>IF(OR(E3582="",E3582="!!!"),"",IF(OR(J3582=0,AND(J3582=1,K3582=1),AND(J3582=1,I3582="SBJ"),AND(J3582=1,I3582=0)),"?IN_FOCUS",IF(J3582&lt;=2,"?ACTIVATED",IF(J3582&lt;&gt;"","?FAMILIAR",IF(F3582="NEW",IF(ISNA(VLOOKUP(E3582,#REF!,1,FALSE())),"?TYPE_IDENTIFIABLE","?REFERENTIAL"),"_")))))</f>
        <v> </v>
      </c>
      <c r="H3582" s="25" t="str">
        <f>IF(J3582&lt;&gt;1,"",IF(I3582="SBJ","CB","?"))</f>
        <v> </v>
      </c>
      <c r="I3582" s="26" t="str">
        <f>IF(OR(E3582="",E3582="!!!",F3582="NEW"),"",INDEX(B3581:B$2,-1+SUMPRODUCT(MAX(ROW(E3581:E$2)*(E3582=E3581:E$2)))))</f>
        <v> </v>
      </c>
      <c r="J3582" s="26" t="str">
        <f>IF(OR(E3582="",E3582="!!!",F3582="NEW"),"",COUNTBLANK(OFFSET(A$1,,,SUMPRODUCT(MAX(ROW(E$2:E3582)*(E3582=E$2:E3582)))))-COUNTBLANK(OFFSET(A$1,,,SUMPRODUCT(MAX(ROW(E$1:E3581)*(E2=E$1:E3581))))))</f>
        <v> </v>
      </c>
      <c r="K3582" s="26" t="str">
        <f>IF(OR(E3582="",E3582="!!!",F3582="NEW"),"",INDEX(J$1:J3581,SUMPRODUCT(MAX(ROW(E$1:E3581)*(E3582=E$1:E3581)))))</f>
        <v> </v>
      </c>
      <c r="L3582" s="27"/>
    </row>
    <row r="3583" spans="1:12">
      <c r="A3583" s="20" t="s">
        <v>1346</v>
      </c>
      <c r="B3583" s="21" t="s">
        <v>1040</v>
      </c>
      <c r="C3583" s="21" t="s">
        <v>1048</v>
      </c>
      <c r="E3583" s="22">
        <f>IF(D3583="?OLD","!!!","")</f>
        <v/>
      </c>
      <c r="F3583" s="23" t="str">
        <f>IF(OR(E3583="",E3583="!!!"),"",IF(NOT(ISNA(VLOOKUP(E3583,E$1:E3582,1,FALSE()))),"OLD",IF(AND(E3583&lt;&gt;"",E3583&lt;&gt;"!!!"),"NEW","")))</f>
        <v> </v>
      </c>
      <c r="G3583" s="24" t="str">
        <f>IF(OR(E3583="",E3583="!!!"),"",IF(OR(J3583=0,AND(J3583=1,K3583=1),AND(J3583=1,I3583="SBJ"),AND(J3583=1,I3583=0)),"?IN_FOCUS",IF(J3583&lt;=2,"?ACTIVATED",IF(J3583&lt;&gt;"","?FAMILIAR",IF(F3583="NEW",IF(ISNA(VLOOKUP(E3583,#REF!,1,FALSE())),"?TYPE_IDENTIFIABLE","?REFERENTIAL"),"_")))))</f>
        <v> </v>
      </c>
      <c r="H3583" s="25" t="str">
        <f>IF(J3583&lt;&gt;1,"",IF(I3583="SBJ","CB","?"))</f>
        <v> </v>
      </c>
      <c r="I3583" s="26" t="str">
        <f>IF(OR(E3583="",E3583="!!!",F3583="NEW"),"",INDEX(B3582:B$2,-1+SUMPRODUCT(MAX(ROW(E3582:E$2)*(E3583=E3582:E$2)))))</f>
        <v> </v>
      </c>
      <c r="J3583" s="26" t="str">
        <f>IF(OR(E3583="",E3583="!!!",F3583="NEW"),"",COUNTBLANK(OFFSET(A$1,,,SUMPRODUCT(MAX(ROW(E$2:E3583)*(E3583=E$2:E3583)))))-COUNTBLANK(OFFSET(A$1,,,SUMPRODUCT(MAX(ROW(E$1:E3582)*(E2=E$1:E3582))))))</f>
        <v> </v>
      </c>
      <c r="K3583" s="26" t="str">
        <f>IF(OR(E3583="",E3583="!!!",F3583="NEW"),"",INDEX(J$1:J3582,SUMPRODUCT(MAX(ROW(E$1:E3582)*(E3583=E$1:E3582)))))</f>
        <v> </v>
      </c>
      <c r="L3583" s="27"/>
    </row>
    <row r="3584" spans="1:12">
      <c r="A3584" s="20" t="s">
        <v>1018</v>
      </c>
      <c r="E3584" s="22">
        <f>IF(D3584="?OLD","!!!","")</f>
        <v/>
      </c>
      <c r="F3584" s="23" t="str">
        <f>IF(OR(E3584="",E3584="!!!"),"",IF(NOT(ISNA(VLOOKUP(E3584,E$1:E3583,1,FALSE()))),"OLD",IF(AND(E3584&lt;&gt;"",E3584&lt;&gt;"!!!"),"NEW","")))</f>
        <v> </v>
      </c>
      <c r="G3584" s="24" t="str">
        <f>IF(OR(E3584="",E3584="!!!"),"",IF(OR(J3584=0,AND(J3584=1,K3584=1),AND(J3584=1,I3584="SBJ"),AND(J3584=1,I3584=0)),"?IN_FOCUS",IF(J3584&lt;=2,"?ACTIVATED",IF(J3584&lt;&gt;"","?FAMILIAR",IF(F3584="NEW",IF(ISNA(VLOOKUP(E3584,#REF!,1,FALSE())),"?TYPE_IDENTIFIABLE","?REFERENTIAL"),"_")))))</f>
        <v> </v>
      </c>
      <c r="H3584" s="25" t="str">
        <f>IF(J3584&lt;&gt;1,"",IF(I3584="SBJ","CB","?"))</f>
        <v> </v>
      </c>
      <c r="I3584" s="26" t="str">
        <f>IF(OR(E3584="",E3584="!!!",F3584="NEW"),"",INDEX(B3583:B$2,-1+SUMPRODUCT(MAX(ROW(E3583:E$2)*(E3584=E3583:E$2)))))</f>
        <v> </v>
      </c>
      <c r="J3584" s="26" t="str">
        <f>IF(OR(E3584="",E3584="!!!",F3584="NEW"),"",COUNTBLANK(OFFSET(A$1,,,SUMPRODUCT(MAX(ROW(E$2:E3584)*(E3584=E$2:E3584)))))-COUNTBLANK(OFFSET(A$1,,,SUMPRODUCT(MAX(ROW(E$1:E3583)*(E2=E$1:E3583))))))</f>
        <v> </v>
      </c>
      <c r="K3584" s="26" t="str">
        <f>IF(OR(E3584="",E3584="!!!",F3584="NEW"),"",INDEX(J$1:J3583,SUMPRODUCT(MAX(ROW(E$1:E3583)*(E3584=E$1:E3583)))))</f>
        <v> </v>
      </c>
      <c r="L3584" s="27"/>
    </row>
    <row r="3585" spans="1:12">
      <c r="A3585" s="20" t="s">
        <v>1178</v>
      </c>
      <c r="E3585" s="22">
        <f>IF(D3585="?OLD","!!!","")</f>
        <v/>
      </c>
      <c r="F3585" s="23" t="str">
        <f>IF(OR(E3585="",E3585="!!!"),"",IF(NOT(ISNA(VLOOKUP(E3585,E$1:E3584,1,FALSE()))),"OLD",IF(AND(E3585&lt;&gt;"",E3585&lt;&gt;"!!!"),"NEW","")))</f>
        <v> </v>
      </c>
      <c r="G3585" s="24" t="str">
        <f>IF(OR(E3585="",E3585="!!!"),"",IF(OR(J3585=0,AND(J3585=1,K3585=1),AND(J3585=1,I3585="SBJ"),AND(J3585=1,I3585=0)),"?IN_FOCUS",IF(J3585&lt;=2,"?ACTIVATED",IF(J3585&lt;&gt;"","?FAMILIAR",IF(F3585="NEW",IF(ISNA(VLOOKUP(E3585,#REF!,1,FALSE())),"?TYPE_IDENTIFIABLE","?REFERENTIAL"),"_")))))</f>
        <v> </v>
      </c>
      <c r="H3585" s="25" t="str">
        <f>IF(J3585&lt;&gt;1,"",IF(I3585="SBJ","CB","?"))</f>
        <v> </v>
      </c>
      <c r="I3585" s="26" t="str">
        <f>IF(OR(E3585="",E3585="!!!",F3585="NEW"),"",INDEX(B3584:B$2,-1+SUMPRODUCT(MAX(ROW(E3584:E$2)*(E3585=E3584:E$2)))))</f>
        <v> </v>
      </c>
      <c r="J3585" s="26" t="str">
        <f>IF(OR(E3585="",E3585="!!!",F3585="NEW"),"",COUNTBLANK(OFFSET(A$1,,,SUMPRODUCT(MAX(ROW(E$2:E3585)*(E3585=E$2:E3585)))))-COUNTBLANK(OFFSET(A$1,,,SUMPRODUCT(MAX(ROW(E$1:E3584)*(E2=E$1:E3584))))))</f>
        <v> </v>
      </c>
      <c r="K3585" s="26" t="str">
        <f>IF(OR(E3585="",E3585="!!!",F3585="NEW"),"",INDEX(J$1:J3584,SUMPRODUCT(MAX(ROW(E$1:E3584)*(E3585=E$1:E3584)))))</f>
        <v> </v>
      </c>
      <c r="L3585" s="27"/>
    </row>
    <row r="3586" spans="1:12">
      <c r="A3586" s="20" t="s">
        <v>1065</v>
      </c>
      <c r="E3586" s="22">
        <f>IF(D3586="?OLD","!!!","")</f>
        <v/>
      </c>
      <c r="F3586" s="23" t="str">
        <f>IF(OR(E3586="",E3586="!!!"),"",IF(NOT(ISNA(VLOOKUP(E3586,E$1:E3585,1,FALSE()))),"OLD",IF(AND(E3586&lt;&gt;"",E3586&lt;&gt;"!!!"),"NEW","")))</f>
        <v> </v>
      </c>
      <c r="G3586" s="24" t="str">
        <f>IF(OR(E3586="",E3586="!!!"),"",IF(OR(J3586=0,AND(J3586=1,K3586=1),AND(J3586=1,I3586="SBJ"),AND(J3586=1,I3586=0)),"?IN_FOCUS",IF(J3586&lt;=2,"?ACTIVATED",IF(J3586&lt;&gt;"","?FAMILIAR",IF(F3586="NEW",IF(ISNA(VLOOKUP(E3586,#REF!,1,FALSE())),"?TYPE_IDENTIFIABLE","?REFERENTIAL"),"_")))))</f>
        <v> </v>
      </c>
      <c r="H3586" s="25" t="str">
        <f>IF(J3586&lt;&gt;1,"",IF(I3586="SBJ","CB","?"))</f>
        <v> </v>
      </c>
      <c r="I3586" s="26" t="str">
        <f>IF(OR(E3586="",E3586="!!!",F3586="NEW"),"",INDEX(B3585:B$2,-1+SUMPRODUCT(MAX(ROW(E3585:E$2)*(E3586=E3585:E$2)))))</f>
        <v> </v>
      </c>
      <c r="J3586" s="26" t="str">
        <f>IF(OR(E3586="",E3586="!!!",F3586="NEW"),"",COUNTBLANK(OFFSET(A$1,,,SUMPRODUCT(MAX(ROW(E$2:E3586)*(E3586=E$2:E3586)))))-COUNTBLANK(OFFSET(A$1,,,SUMPRODUCT(MAX(ROW(E$1:E3585)*(E2=E$1:E3585))))))</f>
        <v> </v>
      </c>
      <c r="K3586" s="26" t="str">
        <f>IF(OR(E3586="",E3586="!!!",F3586="NEW"),"",INDEX(J$1:J3585,SUMPRODUCT(MAX(ROW(E$1:E3585)*(E3586=E$1:E3585)))))</f>
        <v> </v>
      </c>
      <c r="L3586" s="27"/>
    </row>
    <row r="3587" spans="1:12">
      <c r="A3587" s="20" t="s">
        <v>2077</v>
      </c>
      <c r="E3587" s="22">
        <f>IF(D3587="?OLD","!!!","")</f>
        <v/>
      </c>
      <c r="F3587" s="23" t="str">
        <f>IF(OR(E3587="",E3587="!!!"),"",IF(NOT(ISNA(VLOOKUP(E3587,E$1:E3586,1,FALSE()))),"OLD",IF(AND(E3587&lt;&gt;"",E3587&lt;&gt;"!!!"),"NEW","")))</f>
        <v> </v>
      </c>
      <c r="G3587" s="24" t="str">
        <f>IF(OR(E3587="",E3587="!!!"),"",IF(OR(J3587=0,AND(J3587=1,K3587=1),AND(J3587=1,I3587="SBJ"),AND(J3587=1,I3587=0)),"?IN_FOCUS",IF(J3587&lt;=2,"?ACTIVATED",IF(J3587&lt;&gt;"","?FAMILIAR",IF(F3587="NEW",IF(ISNA(VLOOKUP(E3587,#REF!,1,FALSE())),"?TYPE_IDENTIFIABLE","?REFERENTIAL"),"_")))))</f>
        <v> </v>
      </c>
      <c r="H3587" s="25" t="str">
        <f>IF(J3587&lt;&gt;1,"",IF(I3587="SBJ","CB","?"))</f>
        <v> </v>
      </c>
      <c r="I3587" s="26" t="str">
        <f>IF(OR(E3587="",E3587="!!!",F3587="NEW"),"",INDEX(B3586:B$2,-1+SUMPRODUCT(MAX(ROW(E3586:E$2)*(E3587=E3586:E$2)))))</f>
        <v> </v>
      </c>
      <c r="J3587" s="26" t="str">
        <f>IF(OR(E3587="",E3587="!!!",F3587="NEW"),"",COUNTBLANK(OFFSET(A$1,,,SUMPRODUCT(MAX(ROW(E$2:E3587)*(E3587=E$2:E3587)))))-COUNTBLANK(OFFSET(A$1,,,SUMPRODUCT(MAX(ROW(E$1:E3586)*(E2=E$1:E3586))))))</f>
        <v> </v>
      </c>
      <c r="K3587" s="26" t="str">
        <f>IF(OR(E3587="",E3587="!!!",F3587="NEW"),"",INDEX(J$1:J3586,SUMPRODUCT(MAX(ROW(E$1:E3586)*(E3587=E$1:E3586)))))</f>
        <v> </v>
      </c>
      <c r="L3587" s="27"/>
    </row>
    <row r="3588" spans="1:12">
      <c r="A3588" s="20" t="s">
        <v>1020</v>
      </c>
      <c r="E3588" s="22">
        <f>IF(D3588="?OLD","!!!","")</f>
        <v/>
      </c>
      <c r="F3588" s="23" t="str">
        <f>IF(OR(E3588="",E3588="!!!"),"",IF(NOT(ISNA(VLOOKUP(E3588,E$1:E3587,1,FALSE()))),"OLD",IF(AND(E3588&lt;&gt;"",E3588&lt;&gt;"!!!"),"NEW","")))</f>
        <v> </v>
      </c>
      <c r="G3588" s="24" t="str">
        <f>IF(OR(E3588="",E3588="!!!"),"",IF(OR(J3588=0,AND(J3588=1,K3588=1),AND(J3588=1,I3588="SBJ"),AND(J3588=1,I3588=0)),"?IN_FOCUS",IF(J3588&lt;=2,"?ACTIVATED",IF(J3588&lt;&gt;"","?FAMILIAR",IF(F3588="NEW",IF(ISNA(VLOOKUP(E3588,#REF!,1,FALSE())),"?TYPE_IDENTIFIABLE","?REFERENTIAL"),"_")))))</f>
        <v> </v>
      </c>
      <c r="H3588" s="25" t="str">
        <f>IF(J3588&lt;&gt;1,"",IF(I3588="SBJ","CB","?"))</f>
        <v> </v>
      </c>
      <c r="I3588" s="26" t="str">
        <f>IF(OR(E3588="",E3588="!!!",F3588="NEW"),"",INDEX(B3587:B$2,-1+SUMPRODUCT(MAX(ROW(E3587:E$2)*(E3588=E3587:E$2)))))</f>
        <v> </v>
      </c>
      <c r="J3588" s="26" t="str">
        <f>IF(OR(E3588="",E3588="!!!",F3588="NEW"),"",COUNTBLANK(OFFSET(A$1,,,SUMPRODUCT(MAX(ROW(E$2:E3588)*(E3588=E$2:E3588)))))-COUNTBLANK(OFFSET(A$1,,,SUMPRODUCT(MAX(ROW(E$1:E3587)*(E2=E$1:E3587))))))</f>
        <v> </v>
      </c>
      <c r="K3588" s="26" t="str">
        <f>IF(OR(E3588="",E3588="!!!",F3588="NEW"),"",INDEX(J$1:J3587,SUMPRODUCT(MAX(ROW(E$1:E3587)*(E3588=E$1:E3587)))))</f>
        <v> </v>
      </c>
      <c r="L3588" s="27"/>
    </row>
    <row r="3589" spans="1:12">
      <c r="A3589" s="20" t="s">
        <v>1020</v>
      </c>
      <c r="E3589" s="22">
        <f>IF(D3589="?OLD","!!!","")</f>
        <v/>
      </c>
      <c r="F3589" s="23" t="str">
        <f>IF(OR(E3589="",E3589="!!!"),"",IF(NOT(ISNA(VLOOKUP(E3589,E$1:E3588,1,FALSE()))),"OLD",IF(AND(E3589&lt;&gt;"",E3589&lt;&gt;"!!!"),"NEW","")))</f>
        <v> </v>
      </c>
      <c r="G3589" s="24" t="str">
        <f>IF(OR(E3589="",E3589="!!!"),"",IF(OR(J3589=0,AND(J3589=1,K3589=1),AND(J3589=1,I3589="SBJ"),AND(J3589=1,I3589=0)),"?IN_FOCUS",IF(J3589&lt;=2,"?ACTIVATED",IF(J3589&lt;&gt;"","?FAMILIAR",IF(F3589="NEW",IF(ISNA(VLOOKUP(E3589,#REF!,1,FALSE())),"?TYPE_IDENTIFIABLE","?REFERENTIAL"),"_")))))</f>
        <v> </v>
      </c>
      <c r="H3589" s="25" t="str">
        <f>IF(J3589&lt;&gt;1,"",IF(I3589="SBJ","CB","?"))</f>
        <v> </v>
      </c>
      <c r="I3589" s="26" t="str">
        <f>IF(OR(E3589="",E3589="!!!",F3589="NEW"),"",INDEX(B3588:B$2,-1+SUMPRODUCT(MAX(ROW(E3588:E$2)*(E3589=E3588:E$2)))))</f>
        <v> </v>
      </c>
      <c r="J3589" s="26" t="str">
        <f>IF(OR(E3589="",E3589="!!!",F3589="NEW"),"",COUNTBLANK(OFFSET(A$1,,,SUMPRODUCT(MAX(ROW(E$2:E3589)*(E3589=E$2:E3589)))))-COUNTBLANK(OFFSET(A$1,,,SUMPRODUCT(MAX(ROW(E$1:E3588)*(E2=E$1:E3588))))))</f>
        <v> </v>
      </c>
      <c r="K3589" s="26" t="str">
        <f>IF(OR(E3589="",E3589="!!!",F3589="NEW"),"",INDEX(J$1:J3588,SUMPRODUCT(MAX(ROW(E$1:E3588)*(E3589=E$1:E3588)))))</f>
        <v> </v>
      </c>
      <c r="L3589" s="27"/>
    </row>
    <row r="3590" spans="1:12">
      <c r="A3590" s="20" t="s">
        <v>1211</v>
      </c>
      <c r="B3590" s="21" t="s">
        <v>1134</v>
      </c>
      <c r="C3590" s="21" t="s">
        <v>1006</v>
      </c>
      <c r="D3590" s="21" t="s">
        <v>1007</v>
      </c>
      <c r="E3590" s="22">
        <f>IF(D3590="?OLD","!!!","")</f>
        <v/>
      </c>
      <c r="F3590" s="23" t="str">
        <f>IF(OR(E3590="",E3590="!!!"),"",IF(NOT(ISNA(VLOOKUP(E3590,E$1:E3589,1,FALSE()))),"OLD",IF(AND(E3590&lt;&gt;"",E3590&lt;&gt;"!!!"),"NEW","")))</f>
        <v> </v>
      </c>
      <c r="G3590" s="24" t="str">
        <f>IF(OR(E3590="",E3590="!!!"),"",IF(OR(J3590=0,AND(J3590=1,K3590=1),AND(J3590=1,I3590="SBJ"),AND(J3590=1,I3590=0)),"?IN_FOCUS",IF(J3590&lt;=2,"?ACTIVATED",IF(J3590&lt;&gt;"","?FAMILIAR",IF(F3590="NEW",IF(ISNA(VLOOKUP(E3590,#REF!,1,FALSE())),"?TYPE_IDENTIFIABLE","?REFERENTIAL"),"_")))))</f>
        <v> </v>
      </c>
      <c r="H3590" s="25" t="str">
        <f>IF(J3590&lt;&gt;1,"",IF(I3590="SBJ","CB","?"))</f>
        <v> </v>
      </c>
      <c r="I3590" s="26" t="str">
        <f>IF(OR(E3590="",E3590="!!!",F3590="NEW"),"",INDEX(B3589:B$2,-1+SUMPRODUCT(MAX(ROW(E3589:E$2)*(E3590=E3589:E$2)))))</f>
        <v> </v>
      </c>
      <c r="J3590" s="26" t="str">
        <f>IF(OR(E3590="",E3590="!!!",F3590="NEW"),"",COUNTBLANK(OFFSET(A$1,,,SUMPRODUCT(MAX(ROW(E$2:E3590)*(E3590=E$2:E3590)))))-COUNTBLANK(OFFSET(A$1,,,SUMPRODUCT(MAX(ROW(E$1:E3589)*(E2=E$1:E3589))))))</f>
        <v> </v>
      </c>
      <c r="K3590" s="26" t="str">
        <f>IF(OR(E3590="",E3590="!!!",F3590="NEW"),"",INDEX(J$1:J3589,SUMPRODUCT(MAX(ROW(E$1:E3589)*(E3590=E$1:E3589)))))</f>
        <v> </v>
      </c>
      <c r="L3590" s="27"/>
    </row>
    <row r="3591" spans="1:12">
      <c r="A3591" s="20" t="s">
        <v>1020</v>
      </c>
      <c r="E3591" s="22">
        <f>IF(D3591="?OLD","!!!","")</f>
        <v/>
      </c>
      <c r="F3591" s="23" t="str">
        <f>IF(OR(E3591="",E3591="!!!"),"",IF(NOT(ISNA(VLOOKUP(E3591,E$1:E3590,1,FALSE()))),"OLD",IF(AND(E3591&lt;&gt;"",E3591&lt;&gt;"!!!"),"NEW","")))</f>
        <v> </v>
      </c>
      <c r="G3591" s="24" t="str">
        <f>IF(OR(E3591="",E3591="!!!"),"",IF(OR(J3591=0,AND(J3591=1,K3591=1),AND(J3591=1,I3591="SBJ"),AND(J3591=1,I3591=0)),"?IN_FOCUS",IF(J3591&lt;=2,"?ACTIVATED",IF(J3591&lt;&gt;"","?FAMILIAR",IF(F3591="NEW",IF(ISNA(VLOOKUP(E3591,#REF!,1,FALSE())),"?TYPE_IDENTIFIABLE","?REFERENTIAL"),"_")))))</f>
        <v> </v>
      </c>
      <c r="H3591" s="25" t="str">
        <f>IF(J3591&lt;&gt;1,"",IF(I3591="SBJ","CB","?"))</f>
        <v> </v>
      </c>
      <c r="I3591" s="26" t="str">
        <f>IF(OR(E3591="",E3591="!!!",F3591="NEW"),"",INDEX(B3590:B$2,-1+SUMPRODUCT(MAX(ROW(E3590:E$2)*(E3591=E3590:E$2)))))</f>
        <v> </v>
      </c>
      <c r="J3591" s="26" t="str">
        <f>IF(OR(E3591="",E3591="!!!",F3591="NEW"),"",COUNTBLANK(OFFSET(A$1,,,SUMPRODUCT(MAX(ROW(E$2:E3591)*(E3591=E$2:E3591)))))-COUNTBLANK(OFFSET(A$1,,,SUMPRODUCT(MAX(ROW(E$1:E3590)*(E2=E$1:E3590))))))</f>
        <v> </v>
      </c>
      <c r="K3591" s="26" t="str">
        <f>IF(OR(E3591="",E3591="!!!",F3591="NEW"),"",INDEX(J$1:J3590,SUMPRODUCT(MAX(ROW(E$1:E3590)*(E3591=E$1:E3590)))))</f>
        <v> </v>
      </c>
      <c r="L3591" s="27"/>
    </row>
    <row r="3592" spans="1:12">
      <c r="A3592" s="20" t="s">
        <v>2078</v>
      </c>
      <c r="B3592" s="21" t="s">
        <v>1040</v>
      </c>
      <c r="C3592" s="21" t="s">
        <v>1059</v>
      </c>
      <c r="D3592" s="21" t="s">
        <v>1007</v>
      </c>
      <c r="E3592" s="22">
        <f>IF(D3592="?OLD","!!!","")</f>
        <v/>
      </c>
      <c r="F3592" s="23" t="str">
        <f>IF(OR(E3592="",E3592="!!!"),"",IF(NOT(ISNA(VLOOKUP(E3592,E$1:E3591,1,FALSE()))),"OLD",IF(AND(E3592&lt;&gt;"",E3592&lt;&gt;"!!!"),"NEW","")))</f>
        <v> </v>
      </c>
      <c r="G3592" s="24" t="str">
        <f>IF(OR(E3592="",E3592="!!!"),"",IF(OR(J3592=0,AND(J3592=1,K3592=1),AND(J3592=1,I3592="SBJ"),AND(J3592=1,I3592=0)),"?IN_FOCUS",IF(J3592&lt;=2,"?ACTIVATED",IF(J3592&lt;&gt;"","?FAMILIAR",IF(F3592="NEW",IF(ISNA(VLOOKUP(E3592,#REF!,1,FALSE())),"?TYPE_IDENTIFIABLE","?REFERENTIAL"),"_")))))</f>
        <v> </v>
      </c>
      <c r="H3592" s="25" t="str">
        <f>IF(J3592&lt;&gt;1,"",IF(I3592="SBJ","CB","?"))</f>
        <v> </v>
      </c>
      <c r="I3592" s="26" t="str">
        <f>IF(OR(E3592="",E3592="!!!",F3592="NEW"),"",INDEX(B3591:B$2,-1+SUMPRODUCT(MAX(ROW(E3591:E$2)*(E3592=E3591:E$2)))))</f>
        <v> </v>
      </c>
      <c r="J3592" s="26" t="str">
        <f>IF(OR(E3592="",E3592="!!!",F3592="NEW"),"",COUNTBLANK(OFFSET(A$1,,,SUMPRODUCT(MAX(ROW(E$2:E3592)*(E3592=E$2:E3592)))))-COUNTBLANK(OFFSET(A$1,,,SUMPRODUCT(MAX(ROW(E$1:E3591)*(E2=E$1:E3591))))))</f>
        <v> </v>
      </c>
      <c r="K3592" s="26" t="str">
        <f>IF(OR(E3592="",E3592="!!!",F3592="NEW"),"",INDEX(J$1:J3591,SUMPRODUCT(MAX(ROW(E$1:E3591)*(E3592=E$1:E3591)))))</f>
        <v> </v>
      </c>
      <c r="L3592" s="27"/>
    </row>
    <row r="3593" spans="1:12">
      <c r="A3593" s="20" t="s">
        <v>2079</v>
      </c>
      <c r="B3593" s="21" t="s">
        <v>1263</v>
      </c>
      <c r="C3593" s="21" t="s">
        <v>1017</v>
      </c>
      <c r="D3593" s="21" t="s">
        <v>1007</v>
      </c>
      <c r="E3593" s="22">
        <f>IF(D3593="?OLD","!!!","")</f>
        <v/>
      </c>
      <c r="F3593" s="23" t="str">
        <f>IF(OR(E3593="",E3593="!!!"),"",IF(NOT(ISNA(VLOOKUP(E3593,E$1:E3592,1,FALSE()))),"OLD",IF(AND(E3593&lt;&gt;"",E3593&lt;&gt;"!!!"),"NEW","")))</f>
        <v> </v>
      </c>
      <c r="G3593" s="24" t="str">
        <f>IF(OR(E3593="",E3593="!!!"),"",IF(OR(J3593=0,AND(J3593=1,K3593=1),AND(J3593=1,I3593="SBJ"),AND(J3593=1,I3593=0)),"?IN_FOCUS",IF(J3593&lt;=2,"?ACTIVATED",IF(J3593&lt;&gt;"","?FAMILIAR",IF(F3593="NEW",IF(ISNA(VLOOKUP(E3593,#REF!,1,FALSE())),"?TYPE_IDENTIFIABLE","?REFERENTIAL"),"_")))))</f>
        <v> </v>
      </c>
      <c r="H3593" s="25" t="str">
        <f>IF(J3593&lt;&gt;1,"",IF(I3593="SBJ","CB","?"))</f>
        <v> </v>
      </c>
      <c r="I3593" s="26" t="str">
        <f>IF(OR(E3593="",E3593="!!!",F3593="NEW"),"",INDEX(B3592:B$2,-1+SUMPRODUCT(MAX(ROW(E3592:E$2)*(E3593=E3592:E$2)))))</f>
        <v> </v>
      </c>
      <c r="J3593" s="26" t="str">
        <f>IF(OR(E3593="",E3593="!!!",F3593="NEW"),"",COUNTBLANK(OFFSET(A$1,,,SUMPRODUCT(MAX(ROW(E$2:E3593)*(E3593=E$2:E3593)))))-COUNTBLANK(OFFSET(A$1,,,SUMPRODUCT(MAX(ROW(E$1:E3592)*(E2=E$1:E3592))))))</f>
        <v> </v>
      </c>
      <c r="K3593" s="26" t="str">
        <f>IF(OR(E3593="",E3593="!!!",F3593="NEW"),"",INDEX(J$1:J3592,SUMPRODUCT(MAX(ROW(E$1:E3592)*(E3593=E$1:E3592)))))</f>
        <v> </v>
      </c>
      <c r="L3593" s="27"/>
    </row>
    <row r="3594" spans="1:12">
      <c r="A3594" s="20" t="s">
        <v>1436</v>
      </c>
      <c r="E3594" s="22">
        <f>IF(D3594="?OLD","!!!","")</f>
        <v/>
      </c>
      <c r="F3594" s="23" t="str">
        <f>IF(OR(E3594="",E3594="!!!"),"",IF(NOT(ISNA(VLOOKUP(E3594,E$1:E3593,1,FALSE()))),"OLD",IF(AND(E3594&lt;&gt;"",E3594&lt;&gt;"!!!"),"NEW","")))</f>
        <v> </v>
      </c>
      <c r="G3594" s="24" t="str">
        <f>IF(OR(E3594="",E3594="!!!"),"",IF(OR(J3594=0,AND(J3594=1,K3594=1),AND(J3594=1,I3594="SBJ"),AND(J3594=1,I3594=0)),"?IN_FOCUS",IF(J3594&lt;=2,"?ACTIVATED",IF(J3594&lt;&gt;"","?FAMILIAR",IF(F3594="NEW",IF(ISNA(VLOOKUP(E3594,#REF!,1,FALSE())),"?TYPE_IDENTIFIABLE","?REFERENTIAL"),"_")))))</f>
        <v> </v>
      </c>
      <c r="H3594" s="25" t="str">
        <f>IF(J3594&lt;&gt;1,"",IF(I3594="SBJ","CB","?"))</f>
        <v> </v>
      </c>
      <c r="I3594" s="26" t="str">
        <f>IF(OR(E3594="",E3594="!!!",F3594="NEW"),"",INDEX(B3593:B$2,-1+SUMPRODUCT(MAX(ROW(E3593:E$2)*(E3594=E3593:E$2)))))</f>
        <v> </v>
      </c>
      <c r="J3594" s="26" t="str">
        <f>IF(OR(E3594="",E3594="!!!",F3594="NEW"),"",COUNTBLANK(OFFSET(A$1,,,SUMPRODUCT(MAX(ROW(E$2:E3594)*(E3594=E$2:E3594)))))-COUNTBLANK(OFFSET(A$1,,,SUMPRODUCT(MAX(ROW(E$1:E3593)*(E2=E$1:E3593))))))</f>
        <v> </v>
      </c>
      <c r="K3594" s="26" t="str">
        <f>IF(OR(E3594="",E3594="!!!",F3594="NEW"),"",INDEX(J$1:J3593,SUMPRODUCT(MAX(ROW(E$1:E3593)*(E3594=E$1:E3593)))))</f>
        <v> </v>
      </c>
      <c r="L3594" s="27"/>
    </row>
    <row r="3595" spans="1:12">
      <c r="A3595" s="20" t="s">
        <v>1075</v>
      </c>
      <c r="E3595" s="22">
        <f>IF(D3595="?OLD","!!!","")</f>
        <v/>
      </c>
      <c r="F3595" s="23" t="str">
        <f>IF(OR(E3595="",E3595="!!!"),"",IF(NOT(ISNA(VLOOKUP(E3595,E$1:E3594,1,FALSE()))),"OLD",IF(AND(E3595&lt;&gt;"",E3595&lt;&gt;"!!!"),"NEW","")))</f>
        <v> </v>
      </c>
      <c r="G3595" s="24" t="str">
        <f>IF(OR(E3595="",E3595="!!!"),"",IF(OR(J3595=0,AND(J3595=1,K3595=1),AND(J3595=1,I3595="SBJ"),AND(J3595=1,I3595=0)),"?IN_FOCUS",IF(J3595&lt;=2,"?ACTIVATED",IF(J3595&lt;&gt;"","?FAMILIAR",IF(F3595="NEW",IF(ISNA(VLOOKUP(E3595,#REF!,1,FALSE())),"?TYPE_IDENTIFIABLE","?REFERENTIAL"),"_")))))</f>
        <v> </v>
      </c>
      <c r="H3595" s="25" t="str">
        <f>IF(J3595&lt;&gt;1,"",IF(I3595="SBJ","CB","?"))</f>
        <v> </v>
      </c>
      <c r="I3595" s="26" t="str">
        <f>IF(OR(E3595="",E3595="!!!",F3595="NEW"),"",INDEX(B3594:B$2,-1+SUMPRODUCT(MAX(ROW(E3594:E$2)*(E3595=E3594:E$2)))))</f>
        <v> </v>
      </c>
      <c r="J3595" s="26" t="str">
        <f>IF(OR(E3595="",E3595="!!!",F3595="NEW"),"",COUNTBLANK(OFFSET(A$1,,,SUMPRODUCT(MAX(ROW(E$2:E3595)*(E3595=E$2:E3595)))))-COUNTBLANK(OFFSET(A$1,,,SUMPRODUCT(MAX(ROW(E$1:E3594)*(E2=E$1:E3594))))))</f>
        <v> </v>
      </c>
      <c r="K3595" s="26" t="str">
        <f>IF(OR(E3595="",E3595="!!!",F3595="NEW"),"",INDEX(J$1:J3594,SUMPRODUCT(MAX(ROW(E$1:E3594)*(E3595=E$1:E3594)))))</f>
        <v> </v>
      </c>
      <c r="L3595" s="27"/>
    </row>
    <row r="3596" spans="1:12">
      <c r="A3596" s="20" t="s">
        <v>1056</v>
      </c>
      <c r="E3596" s="22">
        <f>IF(D3596="?OLD","!!!","")</f>
        <v/>
      </c>
      <c r="F3596" s="23" t="str">
        <f>IF(OR(E3596="",E3596="!!!"),"",IF(NOT(ISNA(VLOOKUP(E3596,E$1:E3595,1,FALSE()))),"OLD",IF(AND(E3596&lt;&gt;"",E3596&lt;&gt;"!!!"),"NEW","")))</f>
        <v> </v>
      </c>
      <c r="G3596" s="24" t="str">
        <f>IF(OR(E3596="",E3596="!!!"),"",IF(OR(J3596=0,AND(J3596=1,K3596=1),AND(J3596=1,I3596="SBJ"),AND(J3596=1,I3596=0)),"?IN_FOCUS",IF(J3596&lt;=2,"?ACTIVATED",IF(J3596&lt;&gt;"","?FAMILIAR",IF(F3596="NEW",IF(ISNA(VLOOKUP(E3596,#REF!,1,FALSE())),"?TYPE_IDENTIFIABLE","?REFERENTIAL"),"_")))))</f>
        <v> </v>
      </c>
      <c r="H3596" s="25" t="str">
        <f>IF(J3596&lt;&gt;1,"",IF(I3596="SBJ","CB","?"))</f>
        <v> </v>
      </c>
      <c r="I3596" s="26" t="str">
        <f>IF(OR(E3596="",E3596="!!!",F3596="NEW"),"",INDEX(B3595:B$2,-1+SUMPRODUCT(MAX(ROW(E3595:E$2)*(E3596=E3595:E$2)))))</f>
        <v> </v>
      </c>
      <c r="J3596" s="26" t="str">
        <f>IF(OR(E3596="",E3596="!!!",F3596="NEW"),"",COUNTBLANK(OFFSET(A$1,,,SUMPRODUCT(MAX(ROW(E$2:E3596)*(E3596=E$2:E3596)))))-COUNTBLANK(OFFSET(A$1,,,SUMPRODUCT(MAX(ROW(E$1:E3595)*(E2=E$1:E3595))))))</f>
        <v> </v>
      </c>
      <c r="K3596" s="26" t="str">
        <f>IF(OR(E3596="",E3596="!!!",F3596="NEW"),"",INDEX(J$1:J3595,SUMPRODUCT(MAX(ROW(E$1:E3595)*(E3596=E$1:E3595)))))</f>
        <v> </v>
      </c>
      <c r="L3596" s="27"/>
    </row>
    <row r="3597" spans="1:12">
      <c r="A3597" s="20" t="s">
        <v>1391</v>
      </c>
      <c r="B3597" s="21" t="s">
        <v>1005</v>
      </c>
      <c r="C3597" s="21" t="s">
        <v>1111</v>
      </c>
      <c r="E3597" s="22">
        <f>IF(D3597="?OLD","!!!","")</f>
        <v/>
      </c>
      <c r="F3597" s="23" t="str">
        <f>IF(OR(E3597="",E3597="!!!"),"",IF(NOT(ISNA(VLOOKUP(E3597,E$1:E3596,1,FALSE()))),"OLD",IF(AND(E3597&lt;&gt;"",E3597&lt;&gt;"!!!"),"NEW","")))</f>
        <v> </v>
      </c>
      <c r="G3597" s="24" t="str">
        <f>IF(OR(E3597="",E3597="!!!"),"",IF(OR(J3597=0,AND(J3597=1,K3597=1),AND(J3597=1,I3597="SBJ"),AND(J3597=1,I3597=0)),"?IN_FOCUS",IF(J3597&lt;=2,"?ACTIVATED",IF(J3597&lt;&gt;"","?FAMILIAR",IF(F3597="NEW",IF(ISNA(VLOOKUP(E3597,#REF!,1,FALSE())),"?TYPE_IDENTIFIABLE","?REFERENTIAL"),"_")))))</f>
        <v> </v>
      </c>
      <c r="H3597" s="25" t="str">
        <f>IF(J3597&lt;&gt;1,"",IF(I3597="SBJ","CB","?"))</f>
        <v> </v>
      </c>
      <c r="I3597" s="26" t="str">
        <f>IF(OR(E3597="",E3597="!!!",F3597="NEW"),"",INDEX(B3596:B$2,-1+SUMPRODUCT(MAX(ROW(E3596:E$2)*(E3597=E3596:E$2)))))</f>
        <v> </v>
      </c>
      <c r="J3597" s="26" t="str">
        <f>IF(OR(E3597="",E3597="!!!",F3597="NEW"),"",COUNTBLANK(OFFSET(A$1,,,SUMPRODUCT(MAX(ROW(E$2:E3597)*(E3597=E$2:E3597)))))-COUNTBLANK(OFFSET(A$1,,,SUMPRODUCT(MAX(ROW(E$1:E3596)*(E2=E$1:E3596))))))</f>
        <v> </v>
      </c>
      <c r="K3597" s="26" t="str">
        <f>IF(OR(E3597="",E3597="!!!",F3597="NEW"),"",INDEX(J$1:J3596,SUMPRODUCT(MAX(ROW(E$1:E3596)*(E3597=E$1:E3596)))))</f>
        <v> </v>
      </c>
      <c r="L3597" s="27"/>
    </row>
    <row r="3598" spans="1:12">
      <c r="A3598" s="20" t="s">
        <v>2080</v>
      </c>
      <c r="E3598" s="22">
        <f>IF(D3598="?OLD","!!!","")</f>
        <v/>
      </c>
      <c r="F3598" s="23" t="str">
        <f>IF(OR(E3598="",E3598="!!!"),"",IF(NOT(ISNA(VLOOKUP(E3598,E$1:E3597,1,FALSE()))),"OLD",IF(AND(E3598&lt;&gt;"",E3598&lt;&gt;"!!!"),"NEW","")))</f>
        <v> </v>
      </c>
      <c r="G3598" s="24" t="str">
        <f>IF(OR(E3598="",E3598="!!!"),"",IF(OR(J3598=0,AND(J3598=1,K3598=1),AND(J3598=1,I3598="SBJ"),AND(J3598=1,I3598=0)),"?IN_FOCUS",IF(J3598&lt;=2,"?ACTIVATED",IF(J3598&lt;&gt;"","?FAMILIAR",IF(F3598="NEW",IF(ISNA(VLOOKUP(E3598,#REF!,1,FALSE())),"?TYPE_IDENTIFIABLE","?REFERENTIAL"),"_")))))</f>
        <v> </v>
      </c>
      <c r="H3598" s="25" t="str">
        <f>IF(J3598&lt;&gt;1,"",IF(I3598="SBJ","CB","?"))</f>
        <v> </v>
      </c>
      <c r="I3598" s="26" t="str">
        <f>IF(OR(E3598="",E3598="!!!",F3598="NEW"),"",INDEX(B3597:B$2,-1+SUMPRODUCT(MAX(ROW(E3597:E$2)*(E3598=E3597:E$2)))))</f>
        <v> </v>
      </c>
      <c r="J3598" s="26" t="str">
        <f>IF(OR(E3598="",E3598="!!!",F3598="NEW"),"",COUNTBLANK(OFFSET(A$1,,,SUMPRODUCT(MAX(ROW(E$2:E3598)*(E3598=E$2:E3598)))))-COUNTBLANK(OFFSET(A$1,,,SUMPRODUCT(MAX(ROW(E$1:E3597)*(E2=E$1:E3597))))))</f>
        <v> </v>
      </c>
      <c r="K3598" s="26" t="str">
        <f>IF(OR(E3598="",E3598="!!!",F3598="NEW"),"",INDEX(J$1:J3597,SUMPRODUCT(MAX(ROW(E$1:E3597)*(E3598=E$1:E3597)))))</f>
        <v> </v>
      </c>
      <c r="L3598" s="27"/>
    </row>
    <row r="3599" spans="1:12">
      <c r="A3599" s="20" t="s">
        <v>1703</v>
      </c>
      <c r="B3599" s="21" t="s">
        <v>1154</v>
      </c>
      <c r="C3599" s="21" t="s">
        <v>1103</v>
      </c>
      <c r="E3599" s="22">
        <f>IF(D3599="?OLD","!!!","")</f>
        <v/>
      </c>
      <c r="F3599" s="23" t="str">
        <f>IF(OR(E3599="",E3599="!!!"),"",IF(NOT(ISNA(VLOOKUP(E3599,E$1:E3598,1,FALSE()))),"OLD",IF(AND(E3599&lt;&gt;"",E3599&lt;&gt;"!!!"),"NEW","")))</f>
        <v> </v>
      </c>
      <c r="G3599" s="24" t="str">
        <f>IF(OR(E3599="",E3599="!!!"),"",IF(OR(J3599=0,AND(J3599=1,K3599=1),AND(J3599=1,I3599="SBJ"),AND(J3599=1,I3599=0)),"?IN_FOCUS",IF(J3599&lt;=2,"?ACTIVATED",IF(J3599&lt;&gt;"","?FAMILIAR",IF(F3599="NEW",IF(ISNA(VLOOKUP(E3599,#REF!,1,FALSE())),"?TYPE_IDENTIFIABLE","?REFERENTIAL"),"_")))))</f>
        <v> </v>
      </c>
      <c r="H3599" s="25" t="str">
        <f>IF(J3599&lt;&gt;1,"",IF(I3599="SBJ","CB","?"))</f>
        <v> </v>
      </c>
      <c r="I3599" s="26" t="str">
        <f>IF(OR(E3599="",E3599="!!!",F3599="NEW"),"",INDEX(B3598:B$2,-1+SUMPRODUCT(MAX(ROW(E3598:E$2)*(E3599=E3598:E$2)))))</f>
        <v> </v>
      </c>
      <c r="J3599" s="26" t="str">
        <f>IF(OR(E3599="",E3599="!!!",F3599="NEW"),"",COUNTBLANK(OFFSET(A$1,,,SUMPRODUCT(MAX(ROW(E$2:E3599)*(E3599=E$2:E3599)))))-COUNTBLANK(OFFSET(A$1,,,SUMPRODUCT(MAX(ROW(E$1:E3598)*(E2=E$1:E3598))))))</f>
        <v> </v>
      </c>
      <c r="K3599" s="26" t="str">
        <f>IF(OR(E3599="",E3599="!!!",F3599="NEW"),"",INDEX(J$1:J3598,SUMPRODUCT(MAX(ROW(E$1:E3598)*(E3599=E$1:E3598)))))</f>
        <v> </v>
      </c>
      <c r="L3599" s="27"/>
    </row>
    <row r="3600" spans="1:12">
      <c r="A3600" s="20" t="s">
        <v>2081</v>
      </c>
      <c r="E3600" s="22">
        <f>IF(D3600="?OLD","!!!","")</f>
        <v/>
      </c>
      <c r="F3600" s="23" t="str">
        <f>IF(OR(E3600="",E3600="!!!"),"",IF(NOT(ISNA(VLOOKUP(E3600,E$1:E3599,1,FALSE()))),"OLD",IF(AND(E3600&lt;&gt;"",E3600&lt;&gt;"!!!"),"NEW","")))</f>
        <v> </v>
      </c>
      <c r="G3600" s="24" t="str">
        <f>IF(OR(E3600="",E3600="!!!"),"",IF(OR(J3600=0,AND(J3600=1,K3600=1),AND(J3600=1,I3600="SBJ"),AND(J3600=1,I3600=0)),"?IN_FOCUS",IF(J3600&lt;=2,"?ACTIVATED",IF(J3600&lt;&gt;"","?FAMILIAR",IF(F3600="NEW",IF(ISNA(VLOOKUP(E3600,#REF!,1,FALSE())),"?TYPE_IDENTIFIABLE","?REFERENTIAL"),"_")))))</f>
        <v> </v>
      </c>
      <c r="H3600" s="25" t="str">
        <f>IF(J3600&lt;&gt;1,"",IF(I3600="SBJ","CB","?"))</f>
        <v> </v>
      </c>
      <c r="I3600" s="26" t="str">
        <f>IF(OR(E3600="",E3600="!!!",F3600="NEW"),"",INDEX(B3599:B$2,-1+SUMPRODUCT(MAX(ROW(E3599:E$2)*(E3600=E3599:E$2)))))</f>
        <v> </v>
      </c>
      <c r="J3600" s="26" t="str">
        <f>IF(OR(E3600="",E3600="!!!",F3600="NEW"),"",COUNTBLANK(OFFSET(A$1,,,SUMPRODUCT(MAX(ROW(E$2:E3600)*(E3600=E$2:E3600)))))-COUNTBLANK(OFFSET(A$1,,,SUMPRODUCT(MAX(ROW(E$1:E3599)*(E2=E$1:E3599))))))</f>
        <v> </v>
      </c>
      <c r="K3600" s="26" t="str">
        <f>IF(OR(E3600="",E3600="!!!",F3600="NEW"),"",INDEX(J$1:J3599,SUMPRODUCT(MAX(ROW(E$1:E3599)*(E3600=E$1:E3599)))))</f>
        <v> </v>
      </c>
      <c r="L3600" s="27"/>
    </row>
    <row r="3601" spans="1:12">
      <c r="A3601" s="20" t="s">
        <v>1020</v>
      </c>
      <c r="E3601" s="22">
        <f>IF(D3601="?OLD","!!!","")</f>
        <v/>
      </c>
      <c r="F3601" s="23" t="str">
        <f>IF(OR(E3601="",E3601="!!!"),"",IF(NOT(ISNA(VLOOKUP(E3601,E$1:E3600,1,FALSE()))),"OLD",IF(AND(E3601&lt;&gt;"",E3601&lt;&gt;"!!!"),"NEW","")))</f>
        <v> </v>
      </c>
      <c r="G3601" s="24" t="str">
        <f>IF(OR(E3601="",E3601="!!!"),"",IF(OR(J3601=0,AND(J3601=1,K3601=1),AND(J3601=1,I3601="SBJ"),AND(J3601=1,I3601=0)),"?IN_FOCUS",IF(J3601&lt;=2,"?ACTIVATED",IF(J3601&lt;&gt;"","?FAMILIAR",IF(F3601="NEW",IF(ISNA(VLOOKUP(E3601,#REF!,1,FALSE())),"?TYPE_IDENTIFIABLE","?REFERENTIAL"),"_")))))</f>
        <v> </v>
      </c>
      <c r="H3601" s="25" t="str">
        <f>IF(J3601&lt;&gt;1,"",IF(I3601="SBJ","CB","?"))</f>
        <v> </v>
      </c>
      <c r="I3601" s="26" t="str">
        <f>IF(OR(E3601="",E3601="!!!",F3601="NEW"),"",INDEX(B3600:B$2,-1+SUMPRODUCT(MAX(ROW(E3600:E$2)*(E3601=E3600:E$2)))))</f>
        <v> </v>
      </c>
      <c r="J3601" s="26" t="str">
        <f>IF(OR(E3601="",E3601="!!!",F3601="NEW"),"",COUNTBLANK(OFFSET(A$1,,,SUMPRODUCT(MAX(ROW(E$2:E3601)*(E3601=E$2:E3601)))))-COUNTBLANK(OFFSET(A$1,,,SUMPRODUCT(MAX(ROW(E$1:E3600)*(E2=E$1:E3600))))))</f>
        <v> </v>
      </c>
      <c r="K3601" s="26" t="str">
        <f>IF(OR(E3601="",E3601="!!!",F3601="NEW"),"",INDEX(J$1:J3600,SUMPRODUCT(MAX(ROW(E$1:E3600)*(E3601=E$1:E3600)))))</f>
        <v> </v>
      </c>
      <c r="L3601" s="27"/>
    </row>
    <row r="3602" spans="1:12">
      <c r="A3602" s="20" t="s">
        <v>1324</v>
      </c>
      <c r="E3602" s="22">
        <f>IF(D3602="?OLD","!!!","")</f>
        <v/>
      </c>
      <c r="F3602" s="23" t="str">
        <f>IF(OR(E3602="",E3602="!!!"),"",IF(NOT(ISNA(VLOOKUP(E3602,E$1:E3601,1,FALSE()))),"OLD",IF(AND(E3602&lt;&gt;"",E3602&lt;&gt;"!!!"),"NEW","")))</f>
        <v> </v>
      </c>
      <c r="G3602" s="24" t="str">
        <f>IF(OR(E3602="",E3602="!!!"),"",IF(OR(J3602=0,AND(J3602=1,K3602=1),AND(J3602=1,I3602="SBJ"),AND(J3602=1,I3602=0)),"?IN_FOCUS",IF(J3602&lt;=2,"?ACTIVATED",IF(J3602&lt;&gt;"","?FAMILIAR",IF(F3602="NEW",IF(ISNA(VLOOKUP(E3602,#REF!,1,FALSE())),"?TYPE_IDENTIFIABLE","?REFERENTIAL"),"_")))))</f>
        <v> </v>
      </c>
      <c r="H3602" s="25" t="str">
        <f>IF(J3602&lt;&gt;1,"",IF(I3602="SBJ","CB","?"))</f>
        <v> </v>
      </c>
      <c r="I3602" s="26" t="str">
        <f>IF(OR(E3602="",E3602="!!!",F3602="NEW"),"",INDEX(B3601:B$2,-1+SUMPRODUCT(MAX(ROW(E3601:E$2)*(E3602=E3601:E$2)))))</f>
        <v> </v>
      </c>
      <c r="J3602" s="26" t="str">
        <f>IF(OR(E3602="",E3602="!!!",F3602="NEW"),"",COUNTBLANK(OFFSET(A$1,,,SUMPRODUCT(MAX(ROW(E$2:E3602)*(E3602=E$2:E3602)))))-COUNTBLANK(OFFSET(A$1,,,SUMPRODUCT(MAX(ROW(E$1:E3601)*(E2=E$1:E3601))))))</f>
        <v> </v>
      </c>
      <c r="K3602" s="26" t="str">
        <f>IF(OR(E3602="",E3602="!!!",F3602="NEW"),"",INDEX(J$1:J3601,SUMPRODUCT(MAX(ROW(E$1:E3601)*(E3602=E$1:E3601)))))</f>
        <v> </v>
      </c>
      <c r="L3602" s="27"/>
    </row>
    <row r="3603" spans="1:12">
      <c r="A3603" s="20" t="s">
        <v>2082</v>
      </c>
      <c r="B3603" s="21" t="s">
        <v>1187</v>
      </c>
      <c r="C3603" s="21" t="s">
        <v>1013</v>
      </c>
      <c r="D3603" s="21" t="s">
        <v>1007</v>
      </c>
      <c r="E3603" s="22">
        <f>IF(D3603="?OLD","!!!","")</f>
        <v/>
      </c>
      <c r="F3603" s="23" t="str">
        <f>IF(OR(E3603="",E3603="!!!"),"",IF(NOT(ISNA(VLOOKUP(E3603,E$1:E3602,1,FALSE()))),"OLD",IF(AND(E3603&lt;&gt;"",E3603&lt;&gt;"!!!"),"NEW","")))</f>
        <v> </v>
      </c>
      <c r="G3603" s="24" t="str">
        <f>IF(OR(E3603="",E3603="!!!"),"",IF(OR(J3603=0,AND(J3603=1,K3603=1),AND(J3603=1,I3603="SBJ"),AND(J3603=1,I3603=0)),"?IN_FOCUS",IF(J3603&lt;=2,"?ACTIVATED",IF(J3603&lt;&gt;"","?FAMILIAR",IF(F3603="NEW",IF(ISNA(VLOOKUP(E3603,#REF!,1,FALSE())),"?TYPE_IDENTIFIABLE","?REFERENTIAL"),"_")))))</f>
        <v> </v>
      </c>
      <c r="H3603" s="25" t="str">
        <f>IF(J3603&lt;&gt;1,"",IF(I3603="SBJ","CB","?"))</f>
        <v> </v>
      </c>
      <c r="I3603" s="26" t="str">
        <f>IF(OR(E3603="",E3603="!!!",F3603="NEW"),"",INDEX(B3602:B$2,-1+SUMPRODUCT(MAX(ROW(E3602:E$2)*(E3603=E3602:E$2)))))</f>
        <v> </v>
      </c>
      <c r="J3603" s="26" t="str">
        <f>IF(OR(E3603="",E3603="!!!",F3603="NEW"),"",COUNTBLANK(OFFSET(A$1,,,SUMPRODUCT(MAX(ROW(E$2:E3603)*(E3603=E$2:E3603)))))-COUNTBLANK(OFFSET(A$1,,,SUMPRODUCT(MAX(ROW(E$1:E3602)*(E2=E$1:E3602))))))</f>
        <v> </v>
      </c>
      <c r="K3603" s="26" t="str">
        <f>IF(OR(E3603="",E3603="!!!",F3603="NEW"),"",INDEX(J$1:J3602,SUMPRODUCT(MAX(ROW(E$1:E3602)*(E3603=E$1:E3602)))))</f>
        <v> </v>
      </c>
      <c r="L3603" s="27"/>
    </row>
    <row r="3604" spans="1:12">
      <c r="A3604" s="20" t="s">
        <v>1014</v>
      </c>
      <c r="E3604" s="22">
        <f>IF(D3604="?OLD","!!!","")</f>
        <v/>
      </c>
      <c r="F3604" s="23" t="str">
        <f>IF(OR(E3604="",E3604="!!!"),"",IF(NOT(ISNA(VLOOKUP(E3604,E$1:E3603,1,FALSE()))),"OLD",IF(AND(E3604&lt;&gt;"",E3604&lt;&gt;"!!!"),"NEW","")))</f>
        <v> </v>
      </c>
      <c r="G3604" s="24" t="str">
        <f>IF(OR(E3604="",E3604="!!!"),"",IF(OR(J3604=0,AND(J3604=1,K3604=1),AND(J3604=1,I3604="SBJ"),AND(J3604=1,I3604=0)),"?IN_FOCUS",IF(J3604&lt;=2,"?ACTIVATED",IF(J3604&lt;&gt;"","?FAMILIAR",IF(F3604="NEW",IF(ISNA(VLOOKUP(E3604,#REF!,1,FALSE())),"?TYPE_IDENTIFIABLE","?REFERENTIAL"),"_")))))</f>
        <v> </v>
      </c>
      <c r="H3604" s="25" t="str">
        <f>IF(J3604&lt;&gt;1,"",IF(I3604="SBJ","CB","?"))</f>
        <v> </v>
      </c>
      <c r="I3604" s="26" t="str">
        <f>IF(OR(E3604="",E3604="!!!",F3604="NEW"),"",INDEX(B3603:B$2,-1+SUMPRODUCT(MAX(ROW(E3603:E$2)*(E3604=E3603:E$2)))))</f>
        <v> </v>
      </c>
      <c r="J3604" s="26" t="str">
        <f>IF(OR(E3604="",E3604="!!!",F3604="NEW"),"",COUNTBLANK(OFFSET(A$1,,,SUMPRODUCT(MAX(ROW(E$2:E3604)*(E3604=E$2:E3604)))))-COUNTBLANK(OFFSET(A$1,,,SUMPRODUCT(MAX(ROW(E$1:E3603)*(E2=E$1:E3603))))))</f>
        <v> </v>
      </c>
      <c r="K3604" s="26" t="str">
        <f>IF(OR(E3604="",E3604="!!!",F3604="NEW"),"",INDEX(J$1:J3603,SUMPRODUCT(MAX(ROW(E$1:E3603)*(E3604=E$1:E3603)))))</f>
        <v> </v>
      </c>
      <c r="L3604" s="27"/>
    </row>
    <row r="3605" spans="1:12">
      <c r="A3605" s="20" t="s">
        <v>1020</v>
      </c>
      <c r="E3605" s="22">
        <f>IF(D3605="?OLD","!!!","")</f>
        <v/>
      </c>
      <c r="F3605" s="23" t="str">
        <f>IF(OR(E3605="",E3605="!!!"),"",IF(NOT(ISNA(VLOOKUP(E3605,E$1:E3604,1,FALSE()))),"OLD",IF(AND(E3605&lt;&gt;"",E3605&lt;&gt;"!!!"),"NEW","")))</f>
        <v> </v>
      </c>
      <c r="G3605" s="24" t="str">
        <f>IF(OR(E3605="",E3605="!!!"),"",IF(OR(J3605=0,AND(J3605=1,K3605=1),AND(J3605=1,I3605="SBJ"),AND(J3605=1,I3605=0)),"?IN_FOCUS",IF(J3605&lt;=2,"?ACTIVATED",IF(J3605&lt;&gt;"","?FAMILIAR",IF(F3605="NEW",IF(ISNA(VLOOKUP(E3605,#REF!,1,FALSE())),"?TYPE_IDENTIFIABLE","?REFERENTIAL"),"_")))))</f>
        <v> </v>
      </c>
      <c r="H3605" s="25" t="str">
        <f>IF(J3605&lt;&gt;1,"",IF(I3605="SBJ","CB","?"))</f>
        <v> </v>
      </c>
      <c r="I3605" s="26" t="str">
        <f>IF(OR(E3605="",E3605="!!!",F3605="NEW"),"",INDEX(B3604:B$2,-1+SUMPRODUCT(MAX(ROW(E3604:E$2)*(E3605=E3604:E$2)))))</f>
        <v> </v>
      </c>
      <c r="J3605" s="26" t="str">
        <f>IF(OR(E3605="",E3605="!!!",F3605="NEW"),"",COUNTBLANK(OFFSET(A$1,,,SUMPRODUCT(MAX(ROW(E$2:E3605)*(E3605=E$2:E3605)))))-COUNTBLANK(OFFSET(A$1,,,SUMPRODUCT(MAX(ROW(E$1:E3604)*(E2=E$1:E3604))))))</f>
        <v> </v>
      </c>
      <c r="K3605" s="26" t="str">
        <f>IF(OR(E3605="",E3605="!!!",F3605="NEW"),"",INDEX(J$1:J3604,SUMPRODUCT(MAX(ROW(E$1:E3604)*(E3605=E$1:E3604)))))</f>
        <v> </v>
      </c>
      <c r="L3605" s="27"/>
    </row>
    <row r="3606" spans="1:12">
      <c r="A3606" s="20" t="s">
        <v>2083</v>
      </c>
      <c r="B3606" s="21" t="s">
        <v>1035</v>
      </c>
      <c r="C3606" s="21" t="s">
        <v>1006</v>
      </c>
      <c r="D3606" s="21" t="s">
        <v>1007</v>
      </c>
      <c r="E3606" s="22">
        <f>IF(D3606="?OLD","!!!","")</f>
        <v/>
      </c>
      <c r="F3606" s="23" t="str">
        <f>IF(OR(E3606="",E3606="!!!"),"",IF(NOT(ISNA(VLOOKUP(E3606,E$1:E3605,1,FALSE()))),"OLD",IF(AND(E3606&lt;&gt;"",E3606&lt;&gt;"!!!"),"NEW","")))</f>
        <v> </v>
      </c>
      <c r="G3606" s="24" t="str">
        <f>IF(OR(E3606="",E3606="!!!"),"",IF(OR(J3606=0,AND(J3606=1,K3606=1),AND(J3606=1,I3606="SBJ"),AND(J3606=1,I3606=0)),"?IN_FOCUS",IF(J3606&lt;=2,"?ACTIVATED",IF(J3606&lt;&gt;"","?FAMILIAR",IF(F3606="NEW",IF(ISNA(VLOOKUP(E3606,#REF!,1,FALSE())),"?TYPE_IDENTIFIABLE","?REFERENTIAL"),"_")))))</f>
        <v> </v>
      </c>
      <c r="H3606" s="25" t="str">
        <f>IF(J3606&lt;&gt;1,"",IF(I3606="SBJ","CB","?"))</f>
        <v> </v>
      </c>
      <c r="I3606" s="26" t="str">
        <f>IF(OR(E3606="",E3606="!!!",F3606="NEW"),"",INDEX(B3605:B$2,-1+SUMPRODUCT(MAX(ROW(E3605:E$2)*(E3606=E3605:E$2)))))</f>
        <v> </v>
      </c>
      <c r="J3606" s="26" t="str">
        <f>IF(OR(E3606="",E3606="!!!",F3606="NEW"),"",COUNTBLANK(OFFSET(A$1,,,SUMPRODUCT(MAX(ROW(E$2:E3606)*(E3606=E$2:E3606)))))-COUNTBLANK(OFFSET(A$1,,,SUMPRODUCT(MAX(ROW(E$1:E3605)*(E2=E$1:E3605))))))</f>
        <v> </v>
      </c>
      <c r="K3606" s="26" t="str">
        <f>IF(OR(E3606="",E3606="!!!",F3606="NEW"),"",INDEX(J$1:J3605,SUMPRODUCT(MAX(ROW(E$1:E3605)*(E3606=E$1:E3605)))))</f>
        <v> </v>
      </c>
      <c r="L3606" s="27"/>
    </row>
    <row r="3607" spans="1:12">
      <c r="A3607" s="20" t="s">
        <v>2084</v>
      </c>
      <c r="B3607" s="21" t="s">
        <v>1130</v>
      </c>
      <c r="C3607" s="21" t="s">
        <v>1006</v>
      </c>
      <c r="D3607" s="21" t="s">
        <v>1007</v>
      </c>
      <c r="E3607" s="22">
        <f>IF(D3607="?OLD","!!!","")</f>
        <v/>
      </c>
      <c r="F3607" s="23" t="str">
        <f>IF(OR(E3607="",E3607="!!!"),"",IF(NOT(ISNA(VLOOKUP(E3607,E$1:E3606,1,FALSE()))),"OLD",IF(AND(E3607&lt;&gt;"",E3607&lt;&gt;"!!!"),"NEW","")))</f>
        <v> </v>
      </c>
      <c r="G3607" s="24" t="str">
        <f>IF(OR(E3607="",E3607="!!!"),"",IF(OR(J3607=0,AND(J3607=1,K3607=1),AND(J3607=1,I3607="SBJ"),AND(J3607=1,I3607=0)),"?IN_FOCUS",IF(J3607&lt;=2,"?ACTIVATED",IF(J3607&lt;&gt;"","?FAMILIAR",IF(F3607="NEW",IF(ISNA(VLOOKUP(E3607,#REF!,1,FALSE())),"?TYPE_IDENTIFIABLE","?REFERENTIAL"),"_")))))</f>
        <v> </v>
      </c>
      <c r="H3607" s="25" t="str">
        <f>IF(J3607&lt;&gt;1,"",IF(I3607="SBJ","CB","?"))</f>
        <v> </v>
      </c>
      <c r="I3607" s="26" t="str">
        <f>IF(OR(E3607="",E3607="!!!",F3607="NEW"),"",INDEX(B3606:B$2,-1+SUMPRODUCT(MAX(ROW(E3606:E$2)*(E3607=E3606:E$2)))))</f>
        <v> </v>
      </c>
      <c r="J3607" s="26" t="str">
        <f>IF(OR(E3607="",E3607="!!!",F3607="NEW"),"",COUNTBLANK(OFFSET(A$1,,,SUMPRODUCT(MAX(ROW(E$2:E3607)*(E3607=E$2:E3607)))))-COUNTBLANK(OFFSET(A$1,,,SUMPRODUCT(MAX(ROW(E$1:E3606)*(E2=E$1:E3606))))))</f>
        <v> </v>
      </c>
      <c r="K3607" s="26" t="str">
        <f>IF(OR(E3607="",E3607="!!!",F3607="NEW"),"",INDEX(J$1:J3606,SUMPRODUCT(MAX(ROW(E$1:E3606)*(E3607=E$1:E3606)))))</f>
        <v> </v>
      </c>
      <c r="L3607" s="27"/>
    </row>
    <row r="3608" spans="1:12">
      <c r="A3608" s="20" t="s">
        <v>1023</v>
      </c>
      <c r="E3608" s="22">
        <f>IF(D3608="?OLD","!!!","")</f>
        <v/>
      </c>
      <c r="F3608" s="23" t="str">
        <f>IF(OR(E3608="",E3608="!!!"),"",IF(NOT(ISNA(VLOOKUP(E3608,E$1:E3607,1,FALSE()))),"OLD",IF(AND(E3608&lt;&gt;"",E3608&lt;&gt;"!!!"),"NEW","")))</f>
        <v> </v>
      </c>
      <c r="G3608" s="24" t="str">
        <f>IF(OR(E3608="",E3608="!!!"),"",IF(OR(J3608=0,AND(J3608=1,K3608=1),AND(J3608=1,I3608="SBJ"),AND(J3608=1,I3608=0)),"?IN_FOCUS",IF(J3608&lt;=2,"?ACTIVATED",IF(J3608&lt;&gt;"","?FAMILIAR",IF(F3608="NEW",IF(ISNA(VLOOKUP(E3608,#REF!,1,FALSE())),"?TYPE_IDENTIFIABLE","?REFERENTIAL"),"_")))))</f>
        <v> </v>
      </c>
      <c r="H3608" s="25" t="str">
        <f>IF(J3608&lt;&gt;1,"",IF(I3608="SBJ","CB","?"))</f>
        <v> </v>
      </c>
      <c r="I3608" s="26" t="str">
        <f>IF(OR(E3608="",E3608="!!!",F3608="NEW"),"",INDEX(B3607:B$2,-1+SUMPRODUCT(MAX(ROW(E3607:E$2)*(E3608=E3607:E$2)))))</f>
        <v> </v>
      </c>
      <c r="J3608" s="26" t="str">
        <f>IF(OR(E3608="",E3608="!!!",F3608="NEW"),"",COUNTBLANK(OFFSET(A$1,,,SUMPRODUCT(MAX(ROW(E$2:E3608)*(E3608=E$2:E3608)))))-COUNTBLANK(OFFSET(A$1,,,SUMPRODUCT(MAX(ROW(E$1:E3607)*(E2=E$1:E3607))))))</f>
        <v> </v>
      </c>
      <c r="K3608" s="26" t="str">
        <f>IF(OR(E3608="",E3608="!!!",F3608="NEW"),"",INDEX(J$1:J3607,SUMPRODUCT(MAX(ROW(E$1:E3607)*(E3608=E$1:E3607)))))</f>
        <v> </v>
      </c>
      <c r="L3608" s="27"/>
    </row>
    <row r="3609" spans="1:12">
      <c r="A3609" s="20"/>
    </row>
    <row r="3610" spans="1:12">
      <c r="A3610" s="20" t="s">
        <v>2085</v>
      </c>
    </row>
    <row r="3611" spans="1:12">
      <c r="A3611" s="20" t="s">
        <v>1400</v>
      </c>
      <c r="E3611" s="22">
        <f>IF(D3611="?OLD","!!!","")</f>
        <v/>
      </c>
      <c r="F3611" s="23" t="str">
        <f>IF(OR(E3611="",E3611="!!!"),"",IF(NOT(ISNA(VLOOKUP(E3611,E$1:E3610,1,FALSE()))),"OLD",IF(AND(E3611&lt;&gt;"",E3611&lt;&gt;"!!!"),"NEW","")))</f>
        <v> </v>
      </c>
      <c r="G3611" s="24" t="str">
        <f>IF(OR(E3611="",E3611="!!!"),"",IF(OR(J3611=0,AND(J3611=1,K3611=1),AND(J3611=1,I3611="SBJ"),AND(J3611=1,I3611=0)),"?IN_FOCUS",IF(J3611&lt;=2,"?ACTIVATED",IF(J3611&lt;&gt;"","?FAMILIAR",IF(F3611="NEW",IF(ISNA(VLOOKUP(E3611,#REF!,1,FALSE())),"?TYPE_IDENTIFIABLE","?REFERENTIAL"),"_")))))</f>
        <v> </v>
      </c>
      <c r="H3611" s="25" t="str">
        <f>IF(J3611&lt;&gt;1,"",IF(I3611="SBJ","CB","?"))</f>
        <v> </v>
      </c>
      <c r="I3611" s="26" t="str">
        <f>IF(OR(E3611="",E3611="!!!",F3611="NEW"),"",INDEX(B3610:B$2,-1+SUMPRODUCT(MAX(ROW(E3610:E$2)*(E3611=E3610:E$2)))))</f>
        <v> </v>
      </c>
      <c r="J3611" s="26" t="str">
        <f>IF(OR(E3611="",E3611="!!!",F3611="NEW"),"",COUNTBLANK(OFFSET(A$1,,,SUMPRODUCT(MAX(ROW(E$2:E3611)*(E3611=E$2:E3611)))))-COUNTBLANK(OFFSET(A$1,,,SUMPRODUCT(MAX(ROW(E$1:E3610)*(E2=E$1:E3610))))))</f>
        <v> </v>
      </c>
      <c r="K3611" s="26" t="str">
        <f>IF(OR(E3611="",E3611="!!!",F3611="NEW"),"",INDEX(J$1:J3610,SUMPRODUCT(MAX(ROW(E$1:E3610)*(E3611=E$1:E3610)))))</f>
        <v> </v>
      </c>
      <c r="L3611" s="27"/>
    </row>
    <row r="3612" spans="1:12">
      <c r="A3612" s="20" t="s">
        <v>2086</v>
      </c>
      <c r="B3612" s="21" t="s">
        <v>1050</v>
      </c>
      <c r="C3612" s="21" t="s">
        <v>1017</v>
      </c>
      <c r="D3612" s="21" t="s">
        <v>1007</v>
      </c>
      <c r="E3612" s="22">
        <f>IF(D3612="?OLD","!!!","")</f>
        <v/>
      </c>
      <c r="F3612" s="23" t="str">
        <f>IF(OR(E3612="",E3612="!!!"),"",IF(NOT(ISNA(VLOOKUP(E3612,E$1:E3611,1,FALSE()))),"OLD",IF(AND(E3612&lt;&gt;"",E3612&lt;&gt;"!!!"),"NEW","")))</f>
        <v> </v>
      </c>
      <c r="G3612" s="24" t="str">
        <f>IF(OR(E3612="",E3612="!!!"),"",IF(OR(J3612=0,AND(J3612=1,K3612=1),AND(J3612=1,I3612="SBJ"),AND(J3612=1,I3612=0)),"?IN_FOCUS",IF(J3612&lt;=2,"?ACTIVATED",IF(J3612&lt;&gt;"","?FAMILIAR",IF(F3612="NEW",IF(ISNA(VLOOKUP(E3612,#REF!,1,FALSE())),"?TYPE_IDENTIFIABLE","?REFERENTIAL"),"_")))))</f>
        <v> </v>
      </c>
      <c r="H3612" s="25" t="str">
        <f>IF(J3612&lt;&gt;1,"",IF(I3612="SBJ","CB","?"))</f>
        <v> </v>
      </c>
      <c r="I3612" s="26" t="str">
        <f>IF(OR(E3612="",E3612="!!!",F3612="NEW"),"",INDEX(B3611:B$2,-1+SUMPRODUCT(MAX(ROW(E3611:E$2)*(E3612=E3611:E$2)))))</f>
        <v> </v>
      </c>
      <c r="J3612" s="26" t="str">
        <f>IF(OR(E3612="",E3612="!!!",F3612="NEW"),"",COUNTBLANK(OFFSET(A$1,,,SUMPRODUCT(MAX(ROW(E$2:E3612)*(E3612=E$2:E3612)))))-COUNTBLANK(OFFSET(A$1,,,SUMPRODUCT(MAX(ROW(E$1:E3611)*(E2=E$1:E3611))))))</f>
        <v> </v>
      </c>
      <c r="K3612" s="26" t="str">
        <f>IF(OR(E3612="",E3612="!!!",F3612="NEW"),"",INDEX(J$1:J3611,SUMPRODUCT(MAX(ROW(E$1:E3611)*(E3612=E$1:E3611)))))</f>
        <v> </v>
      </c>
      <c r="L3612" s="27"/>
    </row>
    <row r="3613" spans="1:12">
      <c r="A3613" s="20" t="s">
        <v>2087</v>
      </c>
      <c r="E3613" s="22">
        <f>IF(D3613="?OLD","!!!","")</f>
        <v/>
      </c>
      <c r="F3613" s="23" t="str">
        <f>IF(OR(E3613="",E3613="!!!"),"",IF(NOT(ISNA(VLOOKUP(E3613,E$1:E3612,1,FALSE()))),"OLD",IF(AND(E3613&lt;&gt;"",E3613&lt;&gt;"!!!"),"NEW","")))</f>
        <v> </v>
      </c>
      <c r="G3613" s="24" t="str">
        <f>IF(OR(E3613="",E3613="!!!"),"",IF(OR(J3613=0,AND(J3613=1,K3613=1),AND(J3613=1,I3613="SBJ"),AND(J3613=1,I3613=0)),"?IN_FOCUS",IF(J3613&lt;=2,"?ACTIVATED",IF(J3613&lt;&gt;"","?FAMILIAR",IF(F3613="NEW",IF(ISNA(VLOOKUP(E3613,#REF!,1,FALSE())),"?TYPE_IDENTIFIABLE","?REFERENTIAL"),"_")))))</f>
        <v> </v>
      </c>
      <c r="H3613" s="25" t="str">
        <f>IF(J3613&lt;&gt;1,"",IF(I3613="SBJ","CB","?"))</f>
        <v> </v>
      </c>
      <c r="I3613" s="26" t="str">
        <f>IF(OR(E3613="",E3613="!!!",F3613="NEW"),"",INDEX(B3612:B$2,-1+SUMPRODUCT(MAX(ROW(E3612:E$2)*(E3613=E3612:E$2)))))</f>
        <v> </v>
      </c>
      <c r="J3613" s="26" t="str">
        <f>IF(OR(E3613="",E3613="!!!",F3613="NEW"),"",COUNTBLANK(OFFSET(A$1,,,SUMPRODUCT(MAX(ROW(E$2:E3613)*(E3613=E$2:E3613)))))-COUNTBLANK(OFFSET(A$1,,,SUMPRODUCT(MAX(ROW(E$1:E3612)*(E2=E$1:E3612))))))</f>
        <v> </v>
      </c>
      <c r="K3613" s="26" t="str">
        <f>IF(OR(E3613="",E3613="!!!",F3613="NEW"),"",INDEX(J$1:J3612,SUMPRODUCT(MAX(ROW(E$1:E3612)*(E3613=E$1:E3612)))))</f>
        <v> </v>
      </c>
      <c r="L3613" s="27"/>
    </row>
    <row r="3614" spans="1:12">
      <c r="A3614" s="20" t="s">
        <v>2088</v>
      </c>
      <c r="E3614" s="22">
        <f>IF(D3614="?OLD","!!!","")</f>
        <v/>
      </c>
      <c r="F3614" s="23" t="str">
        <f>IF(OR(E3614="",E3614="!!!"),"",IF(NOT(ISNA(VLOOKUP(E3614,E$1:E3613,1,FALSE()))),"OLD",IF(AND(E3614&lt;&gt;"",E3614&lt;&gt;"!!!"),"NEW","")))</f>
        <v> </v>
      </c>
      <c r="G3614" s="24" t="str">
        <f>IF(OR(E3614="",E3614="!!!"),"",IF(OR(J3614=0,AND(J3614=1,K3614=1),AND(J3614=1,I3614="SBJ"),AND(J3614=1,I3614=0)),"?IN_FOCUS",IF(J3614&lt;=2,"?ACTIVATED",IF(J3614&lt;&gt;"","?FAMILIAR",IF(F3614="NEW",IF(ISNA(VLOOKUP(E3614,#REF!,1,FALSE())),"?TYPE_IDENTIFIABLE","?REFERENTIAL"),"_")))))</f>
        <v> </v>
      </c>
      <c r="H3614" s="25" t="str">
        <f>IF(J3614&lt;&gt;1,"",IF(I3614="SBJ","CB","?"))</f>
        <v> </v>
      </c>
      <c r="I3614" s="26" t="str">
        <f>IF(OR(E3614="",E3614="!!!",F3614="NEW"),"",INDEX(B3613:B$2,-1+SUMPRODUCT(MAX(ROW(E3613:E$2)*(E3614=E3613:E$2)))))</f>
        <v> </v>
      </c>
      <c r="J3614" s="26" t="str">
        <f>IF(OR(E3614="",E3614="!!!",F3614="NEW"),"",COUNTBLANK(OFFSET(A$1,,,SUMPRODUCT(MAX(ROW(E$2:E3614)*(E3614=E$2:E3614)))))-COUNTBLANK(OFFSET(A$1,,,SUMPRODUCT(MAX(ROW(E$1:E3613)*(E2=E$1:E3613))))))</f>
        <v> </v>
      </c>
      <c r="K3614" s="26" t="str">
        <f>IF(OR(E3614="",E3614="!!!",F3614="NEW"),"",INDEX(J$1:J3613,SUMPRODUCT(MAX(ROW(E$1:E3613)*(E3614=E$1:E3613)))))</f>
        <v> </v>
      </c>
      <c r="L3614" s="27"/>
    </row>
    <row r="3615" spans="1:12">
      <c r="A3615" s="20" t="s">
        <v>1114</v>
      </c>
      <c r="B3615" s="21" t="s">
        <v>1085</v>
      </c>
      <c r="C3615" s="21" t="s">
        <v>1082</v>
      </c>
      <c r="D3615" s="21" t="s">
        <v>1007</v>
      </c>
      <c r="E3615" s="22">
        <f>IF(D3615="?OLD","!!!","")</f>
        <v/>
      </c>
      <c r="F3615" s="23" t="str">
        <f>IF(OR(E3615="",E3615="!!!"),"",IF(NOT(ISNA(VLOOKUP(E3615,E$1:E3614,1,FALSE()))),"OLD",IF(AND(E3615&lt;&gt;"",E3615&lt;&gt;"!!!"),"NEW","")))</f>
        <v> </v>
      </c>
      <c r="G3615" s="24" t="str">
        <f>IF(OR(E3615="",E3615="!!!"),"",IF(OR(J3615=0,AND(J3615=1,K3615=1),AND(J3615=1,I3615="SBJ"),AND(J3615=1,I3615=0)),"?IN_FOCUS",IF(J3615&lt;=2,"?ACTIVATED",IF(J3615&lt;&gt;"","?FAMILIAR",IF(F3615="NEW",IF(ISNA(VLOOKUP(E3615,#REF!,1,FALSE())),"?TYPE_IDENTIFIABLE","?REFERENTIAL"),"_")))))</f>
        <v> </v>
      </c>
      <c r="H3615" s="25" t="str">
        <f>IF(J3615&lt;&gt;1,"",IF(I3615="SBJ","CB","?"))</f>
        <v> </v>
      </c>
      <c r="I3615" s="26" t="str">
        <f>IF(OR(E3615="",E3615="!!!",F3615="NEW"),"",INDEX(B3614:B$2,-1+SUMPRODUCT(MAX(ROW(E3614:E$2)*(E3615=E3614:E$2)))))</f>
        <v> </v>
      </c>
      <c r="J3615" s="26" t="str">
        <f>IF(OR(E3615="",E3615="!!!",F3615="NEW"),"",COUNTBLANK(OFFSET(A$1,,,SUMPRODUCT(MAX(ROW(E$2:E3615)*(E3615=E$2:E3615)))))-COUNTBLANK(OFFSET(A$1,,,SUMPRODUCT(MAX(ROW(E$1:E3614)*(E2=E$1:E3614))))))</f>
        <v> </v>
      </c>
      <c r="K3615" s="26" t="str">
        <f>IF(OR(E3615="",E3615="!!!",F3615="NEW"),"",INDEX(J$1:J3614,SUMPRODUCT(MAX(ROW(E$1:E3614)*(E3615=E$1:E3614)))))</f>
        <v> </v>
      </c>
      <c r="L3615" s="27"/>
    </row>
    <row r="3616" spans="1:12">
      <c r="A3616" s="20" t="s">
        <v>2089</v>
      </c>
      <c r="B3616" s="21" t="s">
        <v>1005</v>
      </c>
      <c r="C3616" s="21" t="s">
        <v>1006</v>
      </c>
      <c r="D3616" s="21" t="s">
        <v>1007</v>
      </c>
      <c r="E3616" s="22">
        <f>IF(D3616="?OLD","!!!","")</f>
        <v/>
      </c>
      <c r="F3616" s="23" t="str">
        <f>IF(OR(E3616="",E3616="!!!"),"",IF(NOT(ISNA(VLOOKUP(E3616,E$1:E3615,1,FALSE()))),"OLD",IF(AND(E3616&lt;&gt;"",E3616&lt;&gt;"!!!"),"NEW","")))</f>
        <v> </v>
      </c>
      <c r="G3616" s="24" t="str">
        <f>IF(OR(E3616="",E3616="!!!"),"",IF(OR(J3616=0,AND(J3616=1,K3616=1),AND(J3616=1,I3616="SBJ"),AND(J3616=1,I3616=0)),"?IN_FOCUS",IF(J3616&lt;=2,"?ACTIVATED",IF(J3616&lt;&gt;"","?FAMILIAR",IF(F3616="NEW",IF(ISNA(VLOOKUP(E3616,#REF!,1,FALSE())),"?TYPE_IDENTIFIABLE","?REFERENTIAL"),"_")))))</f>
        <v> </v>
      </c>
      <c r="H3616" s="25" t="str">
        <f>IF(J3616&lt;&gt;1,"",IF(I3616="SBJ","CB","?"))</f>
        <v> </v>
      </c>
      <c r="I3616" s="26" t="str">
        <f>IF(OR(E3616="",E3616="!!!",F3616="NEW"),"",INDEX(B3615:B$2,-1+SUMPRODUCT(MAX(ROW(E3615:E$2)*(E3616=E3615:E$2)))))</f>
        <v> </v>
      </c>
      <c r="J3616" s="26" t="str">
        <f>IF(OR(E3616="",E3616="!!!",F3616="NEW"),"",COUNTBLANK(OFFSET(A$1,,,SUMPRODUCT(MAX(ROW(E$2:E3616)*(E3616=E$2:E3616)))))-COUNTBLANK(OFFSET(A$1,,,SUMPRODUCT(MAX(ROW(E$1:E3615)*(E2=E$1:E3615))))))</f>
        <v> </v>
      </c>
      <c r="K3616" s="26" t="str">
        <f>IF(OR(E3616="",E3616="!!!",F3616="NEW"),"",INDEX(J$1:J3615,SUMPRODUCT(MAX(ROW(E$1:E3615)*(E3616=E$1:E3615)))))</f>
        <v> </v>
      </c>
      <c r="L3616" s="27"/>
    </row>
    <row r="3617" spans="1:12">
      <c r="A3617" s="20" t="s">
        <v>1018</v>
      </c>
      <c r="E3617" s="22">
        <f>IF(D3617="?OLD","!!!","")</f>
        <v/>
      </c>
      <c r="F3617" s="23" t="str">
        <f>IF(OR(E3617="",E3617="!!!"),"",IF(NOT(ISNA(VLOOKUP(E3617,E$1:E3616,1,FALSE()))),"OLD",IF(AND(E3617&lt;&gt;"",E3617&lt;&gt;"!!!"),"NEW","")))</f>
        <v> </v>
      </c>
      <c r="G3617" s="24" t="str">
        <f>IF(OR(E3617="",E3617="!!!"),"",IF(OR(J3617=0,AND(J3617=1,K3617=1),AND(J3617=1,I3617="SBJ"),AND(J3617=1,I3617=0)),"?IN_FOCUS",IF(J3617&lt;=2,"?ACTIVATED",IF(J3617&lt;&gt;"","?FAMILIAR",IF(F3617="NEW",IF(ISNA(VLOOKUP(E3617,#REF!,1,FALSE())),"?TYPE_IDENTIFIABLE","?REFERENTIAL"),"_")))))</f>
        <v> </v>
      </c>
      <c r="H3617" s="25" t="str">
        <f>IF(J3617&lt;&gt;1,"",IF(I3617="SBJ","CB","?"))</f>
        <v> </v>
      </c>
      <c r="I3617" s="26" t="str">
        <f>IF(OR(E3617="",E3617="!!!",F3617="NEW"),"",INDEX(B3616:B$2,-1+SUMPRODUCT(MAX(ROW(E3616:E$2)*(E3617=E3616:E$2)))))</f>
        <v> </v>
      </c>
      <c r="J3617" s="26" t="str">
        <f>IF(OR(E3617="",E3617="!!!",F3617="NEW"),"",COUNTBLANK(OFFSET(A$1,,,SUMPRODUCT(MAX(ROW(E$2:E3617)*(E3617=E$2:E3617)))))-COUNTBLANK(OFFSET(A$1,,,SUMPRODUCT(MAX(ROW(E$1:E3616)*(E2=E$1:E3616))))))</f>
        <v> </v>
      </c>
      <c r="K3617" s="26" t="str">
        <f>IF(OR(E3617="",E3617="!!!",F3617="NEW"),"",INDEX(J$1:J3616,SUMPRODUCT(MAX(ROW(E$1:E3616)*(E3617=E$1:E3616)))))</f>
        <v> </v>
      </c>
      <c r="L3617" s="27"/>
    </row>
    <row r="3618" spans="1:12">
      <c r="A3618" s="20" t="s">
        <v>1324</v>
      </c>
      <c r="E3618" s="22">
        <f>IF(D3618="?OLD","!!!","")</f>
        <v/>
      </c>
      <c r="F3618" s="23" t="str">
        <f>IF(OR(E3618="",E3618="!!!"),"",IF(NOT(ISNA(VLOOKUP(E3618,E$1:E3617,1,FALSE()))),"OLD",IF(AND(E3618&lt;&gt;"",E3618&lt;&gt;"!!!"),"NEW","")))</f>
        <v> </v>
      </c>
      <c r="G3618" s="24" t="str">
        <f>IF(OR(E3618="",E3618="!!!"),"",IF(OR(J3618=0,AND(J3618=1,K3618=1),AND(J3618=1,I3618="SBJ"),AND(J3618=1,I3618=0)),"?IN_FOCUS",IF(J3618&lt;=2,"?ACTIVATED",IF(J3618&lt;&gt;"","?FAMILIAR",IF(F3618="NEW",IF(ISNA(VLOOKUP(E3618,#REF!,1,FALSE())),"?TYPE_IDENTIFIABLE","?REFERENTIAL"),"_")))))</f>
        <v> </v>
      </c>
      <c r="H3618" s="25" t="str">
        <f>IF(J3618&lt;&gt;1,"",IF(I3618="SBJ","CB","?"))</f>
        <v> </v>
      </c>
      <c r="I3618" s="26" t="str">
        <f>IF(OR(E3618="",E3618="!!!",F3618="NEW"),"",INDEX(B3617:B$2,-1+SUMPRODUCT(MAX(ROW(E3617:E$2)*(E3618=E3617:E$2)))))</f>
        <v> </v>
      </c>
      <c r="J3618" s="26" t="str">
        <f>IF(OR(E3618="",E3618="!!!",F3618="NEW"),"",COUNTBLANK(OFFSET(A$1,,,SUMPRODUCT(MAX(ROW(E$2:E3618)*(E3618=E$2:E3618)))))-COUNTBLANK(OFFSET(A$1,,,SUMPRODUCT(MAX(ROW(E$1:E3617)*(E2=E$1:E3617))))))</f>
        <v> </v>
      </c>
      <c r="K3618" s="26" t="str">
        <f>IF(OR(E3618="",E3618="!!!",F3618="NEW"),"",INDEX(J$1:J3617,SUMPRODUCT(MAX(ROW(E$1:E3617)*(E3618=E$1:E3617)))))</f>
        <v> </v>
      </c>
      <c r="L3618" s="27"/>
    </row>
    <row r="3619" spans="1:12">
      <c r="A3619" s="20" t="s">
        <v>2082</v>
      </c>
      <c r="B3619" s="21" t="s">
        <v>1022</v>
      </c>
      <c r="C3619" s="21" t="s">
        <v>1013</v>
      </c>
      <c r="D3619" s="21" t="s">
        <v>1007</v>
      </c>
      <c r="E3619" s="22">
        <f>IF(D3619="?OLD","!!!","")</f>
        <v/>
      </c>
      <c r="F3619" s="23" t="str">
        <f>IF(OR(E3619="",E3619="!!!"),"",IF(NOT(ISNA(VLOOKUP(E3619,E$1:E3618,1,FALSE()))),"OLD",IF(AND(E3619&lt;&gt;"",E3619&lt;&gt;"!!!"),"NEW","")))</f>
        <v> </v>
      </c>
      <c r="G3619" s="24" t="str">
        <f>IF(OR(E3619="",E3619="!!!"),"",IF(OR(J3619=0,AND(J3619=1,K3619=1),AND(J3619=1,I3619="SBJ"),AND(J3619=1,I3619=0)),"?IN_FOCUS",IF(J3619&lt;=2,"?ACTIVATED",IF(J3619&lt;&gt;"","?FAMILIAR",IF(F3619="NEW",IF(ISNA(VLOOKUP(E3619,#REF!,1,FALSE())),"?TYPE_IDENTIFIABLE","?REFERENTIAL"),"_")))))</f>
        <v> </v>
      </c>
      <c r="H3619" s="25" t="str">
        <f>IF(J3619&lt;&gt;1,"",IF(I3619="SBJ","CB","?"))</f>
        <v> </v>
      </c>
      <c r="I3619" s="26" t="str">
        <f>IF(OR(E3619="",E3619="!!!",F3619="NEW"),"",INDEX(B3618:B$2,-1+SUMPRODUCT(MAX(ROW(E3618:E$2)*(E3619=E3618:E$2)))))</f>
        <v> </v>
      </c>
      <c r="J3619" s="26" t="str">
        <f>IF(OR(E3619="",E3619="!!!",F3619="NEW"),"",COUNTBLANK(OFFSET(A$1,,,SUMPRODUCT(MAX(ROW(E$2:E3619)*(E3619=E$2:E3619)))))-COUNTBLANK(OFFSET(A$1,,,SUMPRODUCT(MAX(ROW(E$1:E3618)*(E2=E$1:E3618))))))</f>
        <v> </v>
      </c>
      <c r="K3619" s="26" t="str">
        <f>IF(OR(E3619="",E3619="!!!",F3619="NEW"),"",INDEX(J$1:J3618,SUMPRODUCT(MAX(ROW(E$1:E3618)*(E3619=E$1:E3618)))))</f>
        <v> </v>
      </c>
      <c r="L3619" s="27"/>
    </row>
    <row r="3620" spans="1:12">
      <c r="A3620" s="20" t="s">
        <v>1014</v>
      </c>
      <c r="E3620" s="22">
        <f>IF(D3620="?OLD","!!!","")</f>
        <v/>
      </c>
      <c r="F3620" s="23" t="str">
        <f>IF(OR(E3620="",E3620="!!!"),"",IF(NOT(ISNA(VLOOKUP(E3620,E$1:E3619,1,FALSE()))),"OLD",IF(AND(E3620&lt;&gt;"",E3620&lt;&gt;"!!!"),"NEW","")))</f>
        <v> </v>
      </c>
      <c r="G3620" s="24" t="str">
        <f>IF(OR(E3620="",E3620="!!!"),"",IF(OR(J3620=0,AND(J3620=1,K3620=1),AND(J3620=1,I3620="SBJ"),AND(J3620=1,I3620=0)),"?IN_FOCUS",IF(J3620&lt;=2,"?ACTIVATED",IF(J3620&lt;&gt;"","?FAMILIAR",IF(F3620="NEW",IF(ISNA(VLOOKUP(E3620,#REF!,1,FALSE())),"?TYPE_IDENTIFIABLE","?REFERENTIAL"),"_")))))</f>
        <v> </v>
      </c>
      <c r="H3620" s="25" t="str">
        <f>IF(J3620&lt;&gt;1,"",IF(I3620="SBJ","CB","?"))</f>
        <v> </v>
      </c>
      <c r="I3620" s="26" t="str">
        <f>IF(OR(E3620="",E3620="!!!",F3620="NEW"),"",INDEX(B3619:B$2,-1+SUMPRODUCT(MAX(ROW(E3619:E$2)*(E3620=E3619:E$2)))))</f>
        <v> </v>
      </c>
      <c r="J3620" s="26" t="str">
        <f>IF(OR(E3620="",E3620="!!!",F3620="NEW"),"",COUNTBLANK(OFFSET(A$1,,,SUMPRODUCT(MAX(ROW(E$2:E3620)*(E3620=E$2:E3620)))))-COUNTBLANK(OFFSET(A$1,,,SUMPRODUCT(MAX(ROW(E$1:E3619)*(E2=E$1:E3619))))))</f>
        <v> </v>
      </c>
      <c r="K3620" s="26" t="str">
        <f>IF(OR(E3620="",E3620="!!!",F3620="NEW"),"",INDEX(J$1:J3619,SUMPRODUCT(MAX(ROW(E$1:E3619)*(E3620=E$1:E3619)))))</f>
        <v> </v>
      </c>
      <c r="L3620" s="27"/>
    </row>
    <row r="3621" spans="1:12">
      <c r="A3621" s="20" t="s">
        <v>1020</v>
      </c>
      <c r="E3621" s="22">
        <f>IF(D3621="?OLD","!!!","")</f>
        <v/>
      </c>
      <c r="F3621" s="23" t="str">
        <f>IF(OR(E3621="",E3621="!!!"),"",IF(NOT(ISNA(VLOOKUP(E3621,E$1:E3620,1,FALSE()))),"OLD",IF(AND(E3621&lt;&gt;"",E3621&lt;&gt;"!!!"),"NEW","")))</f>
        <v> </v>
      </c>
      <c r="G3621" s="24" t="str">
        <f>IF(OR(E3621="",E3621="!!!"),"",IF(OR(J3621=0,AND(J3621=1,K3621=1),AND(J3621=1,I3621="SBJ"),AND(J3621=1,I3621=0)),"?IN_FOCUS",IF(J3621&lt;=2,"?ACTIVATED",IF(J3621&lt;&gt;"","?FAMILIAR",IF(F3621="NEW",IF(ISNA(VLOOKUP(E3621,#REF!,1,FALSE())),"?TYPE_IDENTIFIABLE","?REFERENTIAL"),"_")))))</f>
        <v> </v>
      </c>
      <c r="H3621" s="25" t="str">
        <f>IF(J3621&lt;&gt;1,"",IF(I3621="SBJ","CB","?"))</f>
        <v> </v>
      </c>
      <c r="I3621" s="26" t="str">
        <f>IF(OR(E3621="",E3621="!!!",F3621="NEW"),"",INDEX(B3620:B$2,-1+SUMPRODUCT(MAX(ROW(E3620:E$2)*(E3621=E3620:E$2)))))</f>
        <v> </v>
      </c>
      <c r="J3621" s="26" t="str">
        <f>IF(OR(E3621="",E3621="!!!",F3621="NEW"),"",COUNTBLANK(OFFSET(A$1,,,SUMPRODUCT(MAX(ROW(E$2:E3621)*(E3621=E$2:E3621)))))-COUNTBLANK(OFFSET(A$1,,,SUMPRODUCT(MAX(ROW(E$1:E3620)*(E2=E$1:E3620))))))</f>
        <v> </v>
      </c>
      <c r="K3621" s="26" t="str">
        <f>IF(OR(E3621="",E3621="!!!",F3621="NEW"),"",INDEX(J$1:J3620,SUMPRODUCT(MAX(ROW(E$1:E3620)*(E3621=E$1:E3620)))))</f>
        <v> </v>
      </c>
      <c r="L3621" s="27"/>
    </row>
    <row r="3622" spans="1:12">
      <c r="A3622" s="20" t="s">
        <v>2005</v>
      </c>
      <c r="B3622" s="21" t="s">
        <v>1033</v>
      </c>
      <c r="C3622" s="21" t="s">
        <v>1017</v>
      </c>
      <c r="D3622" s="21" t="s">
        <v>1007</v>
      </c>
      <c r="E3622" s="22">
        <f>IF(D3622="?OLD","!!!","")</f>
        <v/>
      </c>
      <c r="F3622" s="23" t="str">
        <f>IF(OR(E3622="",E3622="!!!"),"",IF(NOT(ISNA(VLOOKUP(E3622,E$1:E3621,1,FALSE()))),"OLD",IF(AND(E3622&lt;&gt;"",E3622&lt;&gt;"!!!"),"NEW","")))</f>
        <v> </v>
      </c>
      <c r="G3622" s="24" t="str">
        <f>IF(OR(E3622="",E3622="!!!"),"",IF(OR(J3622=0,AND(J3622=1,K3622=1),AND(J3622=1,I3622="SBJ"),AND(J3622=1,I3622=0)),"?IN_FOCUS",IF(J3622&lt;=2,"?ACTIVATED",IF(J3622&lt;&gt;"","?FAMILIAR",IF(F3622="NEW",IF(ISNA(VLOOKUP(E3622,#REF!,1,FALSE())),"?TYPE_IDENTIFIABLE","?REFERENTIAL"),"_")))))</f>
        <v> </v>
      </c>
      <c r="H3622" s="25" t="str">
        <f>IF(J3622&lt;&gt;1,"",IF(I3622="SBJ","CB","?"))</f>
        <v> </v>
      </c>
      <c r="I3622" s="26" t="str">
        <f>IF(OR(E3622="",E3622="!!!",F3622="NEW"),"",INDEX(B3621:B$2,-1+SUMPRODUCT(MAX(ROW(E3621:E$2)*(E3622=E3621:E$2)))))</f>
        <v> </v>
      </c>
      <c r="J3622" s="26" t="str">
        <f>IF(OR(E3622="",E3622="!!!",F3622="NEW"),"",COUNTBLANK(OFFSET(A$1,,,SUMPRODUCT(MAX(ROW(E$2:E3622)*(E3622=E$2:E3622)))))-COUNTBLANK(OFFSET(A$1,,,SUMPRODUCT(MAX(ROW(E$1:E3621)*(E2=E$1:E3621))))))</f>
        <v> </v>
      </c>
      <c r="K3622" s="26" t="str">
        <f>IF(OR(E3622="",E3622="!!!",F3622="NEW"),"",INDEX(J$1:J3621,SUMPRODUCT(MAX(ROW(E$1:E3621)*(E3622=E$1:E3621)))))</f>
        <v> </v>
      </c>
      <c r="L3622" s="27"/>
    </row>
    <row r="3623" spans="1:12">
      <c r="A3623" s="20" t="s">
        <v>2090</v>
      </c>
      <c r="E3623" s="22">
        <f>IF(D3623="?OLD","!!!","")</f>
        <v/>
      </c>
      <c r="F3623" s="23" t="str">
        <f>IF(OR(E3623="",E3623="!!!"),"",IF(NOT(ISNA(VLOOKUP(E3623,E$1:E3622,1,FALSE()))),"OLD",IF(AND(E3623&lt;&gt;"",E3623&lt;&gt;"!!!"),"NEW","")))</f>
        <v> </v>
      </c>
      <c r="G3623" s="24" t="str">
        <f>IF(OR(E3623="",E3623="!!!"),"",IF(OR(J3623=0,AND(J3623=1,K3623=1),AND(J3623=1,I3623="SBJ"),AND(J3623=1,I3623=0)),"?IN_FOCUS",IF(J3623&lt;=2,"?ACTIVATED",IF(J3623&lt;&gt;"","?FAMILIAR",IF(F3623="NEW",IF(ISNA(VLOOKUP(E3623,#REF!,1,FALSE())),"?TYPE_IDENTIFIABLE","?REFERENTIAL"),"_")))))</f>
        <v> </v>
      </c>
      <c r="H3623" s="25" t="str">
        <f>IF(J3623&lt;&gt;1,"",IF(I3623="SBJ","CB","?"))</f>
        <v> </v>
      </c>
      <c r="I3623" s="26" t="str">
        <f>IF(OR(E3623="",E3623="!!!",F3623="NEW"),"",INDEX(B3622:B$2,-1+SUMPRODUCT(MAX(ROW(E3622:E$2)*(E3623=E3622:E$2)))))</f>
        <v> </v>
      </c>
      <c r="J3623" s="26" t="str">
        <f>IF(OR(E3623="",E3623="!!!",F3623="NEW"),"",COUNTBLANK(OFFSET(A$1,,,SUMPRODUCT(MAX(ROW(E$2:E3623)*(E3623=E$2:E3623)))))-COUNTBLANK(OFFSET(A$1,,,SUMPRODUCT(MAX(ROW(E$1:E3622)*(E2=E$1:E3622))))))</f>
        <v> </v>
      </c>
      <c r="K3623" s="26" t="str">
        <f>IF(OR(E3623="",E3623="!!!",F3623="NEW"),"",INDEX(J$1:J3622,SUMPRODUCT(MAX(ROW(E$1:E3622)*(E3623=E$1:E3622)))))</f>
        <v> </v>
      </c>
      <c r="L3623" s="27"/>
    </row>
    <row r="3624" spans="1:12">
      <c r="A3624" s="20" t="s">
        <v>1030</v>
      </c>
      <c r="E3624" s="22">
        <f>IF(D3624="?OLD","!!!","")</f>
        <v/>
      </c>
      <c r="F3624" s="23" t="str">
        <f>IF(OR(E3624="",E3624="!!!"),"",IF(NOT(ISNA(VLOOKUP(E3624,E$1:E3623,1,FALSE()))),"OLD",IF(AND(E3624&lt;&gt;"",E3624&lt;&gt;"!!!"),"NEW","")))</f>
        <v> </v>
      </c>
      <c r="G3624" s="24" t="str">
        <f>IF(OR(E3624="",E3624="!!!"),"",IF(OR(J3624=0,AND(J3624=1,K3624=1),AND(J3624=1,I3624="SBJ"),AND(J3624=1,I3624=0)),"?IN_FOCUS",IF(J3624&lt;=2,"?ACTIVATED",IF(J3624&lt;&gt;"","?FAMILIAR",IF(F3624="NEW",IF(ISNA(VLOOKUP(E3624,#REF!,1,FALSE())),"?TYPE_IDENTIFIABLE","?REFERENTIAL"),"_")))))</f>
        <v> </v>
      </c>
      <c r="H3624" s="25" t="str">
        <f>IF(J3624&lt;&gt;1,"",IF(I3624="SBJ","CB","?"))</f>
        <v> </v>
      </c>
      <c r="I3624" s="26" t="str">
        <f>IF(OR(E3624="",E3624="!!!",F3624="NEW"),"",INDEX(B3623:B$2,-1+SUMPRODUCT(MAX(ROW(E3623:E$2)*(E3624=E3623:E$2)))))</f>
        <v> </v>
      </c>
      <c r="J3624" s="26" t="str">
        <f>IF(OR(E3624="",E3624="!!!",F3624="NEW"),"",COUNTBLANK(OFFSET(A$1,,,SUMPRODUCT(MAX(ROW(E$2:E3624)*(E3624=E$2:E3624)))))-COUNTBLANK(OFFSET(A$1,,,SUMPRODUCT(MAX(ROW(E$1:E3623)*(E2=E$1:E3623))))))</f>
        <v> </v>
      </c>
      <c r="K3624" s="26" t="str">
        <f>IF(OR(E3624="",E3624="!!!",F3624="NEW"),"",INDEX(J$1:J3623,SUMPRODUCT(MAX(ROW(E$1:E3623)*(E3624=E$1:E3623)))))</f>
        <v> </v>
      </c>
      <c r="L3624" s="27"/>
    </row>
    <row r="3625" spans="1:12">
      <c r="A3625" s="20" t="s">
        <v>102</v>
      </c>
      <c r="E3625" s="22">
        <f>IF(D3625="?OLD","!!!","")</f>
        <v/>
      </c>
      <c r="F3625" s="23" t="str">
        <f>IF(OR(E3625="",E3625="!!!"),"",IF(NOT(ISNA(VLOOKUP(E3625,E$1:E3624,1,FALSE()))),"OLD",IF(AND(E3625&lt;&gt;"",E3625&lt;&gt;"!!!"),"NEW","")))</f>
        <v> </v>
      </c>
      <c r="G3625" s="24" t="str">
        <f>IF(OR(E3625="",E3625="!!!"),"",IF(OR(J3625=0,AND(J3625=1,K3625=1),AND(J3625=1,I3625="SBJ"),AND(J3625=1,I3625=0)),"?IN_FOCUS",IF(J3625&lt;=2,"?ACTIVATED",IF(J3625&lt;&gt;"","?FAMILIAR",IF(F3625="NEW",IF(ISNA(VLOOKUP(E3625,#REF!,1,FALSE())),"?TYPE_IDENTIFIABLE","?REFERENTIAL"),"_")))))</f>
        <v> </v>
      </c>
      <c r="H3625" s="25" t="str">
        <f>IF(J3625&lt;&gt;1,"",IF(I3625="SBJ","CB","?"))</f>
        <v> </v>
      </c>
      <c r="I3625" s="26" t="str">
        <f>IF(OR(E3625="",E3625="!!!",F3625="NEW"),"",INDEX(B3624:B$2,-1+SUMPRODUCT(MAX(ROW(E3624:E$2)*(E3625=E3624:E$2)))))</f>
        <v> </v>
      </c>
      <c r="J3625" s="26" t="str">
        <f>IF(OR(E3625="",E3625="!!!",F3625="NEW"),"",COUNTBLANK(OFFSET(A$1,,,SUMPRODUCT(MAX(ROW(E$2:E3625)*(E3625=E$2:E3625)))))-COUNTBLANK(OFFSET(A$1,,,SUMPRODUCT(MAX(ROW(E$1:E3624)*(E2=E$1:E3624))))))</f>
        <v> </v>
      </c>
      <c r="K3625" s="26" t="str">
        <f>IF(OR(E3625="",E3625="!!!",F3625="NEW"),"",INDEX(J$1:J3624,SUMPRODUCT(MAX(ROW(E$1:E3624)*(E3625=E$1:E3624)))))</f>
        <v> </v>
      </c>
      <c r="L3625" s="27"/>
    </row>
    <row r="3626" spans="1:12">
      <c r="A3626" s="20" t="s">
        <v>2091</v>
      </c>
      <c r="B3626" s="21" t="s">
        <v>1033</v>
      </c>
      <c r="C3626" s="21" t="s">
        <v>1006</v>
      </c>
      <c r="D3626" s="21" t="s">
        <v>1007</v>
      </c>
      <c r="E3626" s="22">
        <f>IF(D3626="?OLD","!!!","")</f>
        <v/>
      </c>
      <c r="F3626" s="23" t="str">
        <f>IF(OR(E3626="",E3626="!!!"),"",IF(NOT(ISNA(VLOOKUP(E3626,E$1:E3625,1,FALSE()))),"OLD",IF(AND(E3626&lt;&gt;"",E3626&lt;&gt;"!!!"),"NEW","")))</f>
        <v> </v>
      </c>
      <c r="G3626" s="24" t="str">
        <f>IF(OR(E3626="",E3626="!!!"),"",IF(OR(J3626=0,AND(J3626=1,K3626=1),AND(J3626=1,I3626="SBJ"),AND(J3626=1,I3626=0)),"?IN_FOCUS",IF(J3626&lt;=2,"?ACTIVATED",IF(J3626&lt;&gt;"","?FAMILIAR",IF(F3626="NEW",IF(ISNA(VLOOKUP(E3626,#REF!,1,FALSE())),"?TYPE_IDENTIFIABLE","?REFERENTIAL"),"_")))))</f>
        <v> </v>
      </c>
      <c r="H3626" s="25" t="str">
        <f>IF(J3626&lt;&gt;1,"",IF(I3626="SBJ","CB","?"))</f>
        <v> </v>
      </c>
      <c r="I3626" s="26" t="str">
        <f>IF(OR(E3626="",E3626="!!!",F3626="NEW"),"",INDEX(B3625:B$2,-1+SUMPRODUCT(MAX(ROW(E3625:E$2)*(E3626=E3625:E$2)))))</f>
        <v> </v>
      </c>
      <c r="J3626" s="26" t="str">
        <f>IF(OR(E3626="",E3626="!!!",F3626="NEW"),"",COUNTBLANK(OFFSET(A$1,,,SUMPRODUCT(MAX(ROW(E$2:E3626)*(E3626=E$2:E3626)))))-COUNTBLANK(OFFSET(A$1,,,SUMPRODUCT(MAX(ROW(E$1:E3625)*(E2=E$1:E3625))))))</f>
        <v> </v>
      </c>
      <c r="K3626" s="26" t="str">
        <f>IF(OR(E3626="",E3626="!!!",F3626="NEW"),"",INDEX(J$1:J3625,SUMPRODUCT(MAX(ROW(E$1:E3625)*(E3626=E$1:E3625)))))</f>
        <v> </v>
      </c>
      <c r="L3626" s="27"/>
    </row>
    <row r="3627" spans="1:12">
      <c r="A3627" s="20" t="s">
        <v>2092</v>
      </c>
      <c r="B3627" s="21" t="s">
        <v>1035</v>
      </c>
      <c r="C3627" s="21" t="s">
        <v>1006</v>
      </c>
      <c r="D3627" s="21" t="s">
        <v>1007</v>
      </c>
      <c r="E3627" s="22">
        <f>IF(D3627="?OLD","!!!","")</f>
        <v/>
      </c>
      <c r="F3627" s="23" t="str">
        <f>IF(OR(E3627="",E3627="!!!"),"",IF(NOT(ISNA(VLOOKUP(E3627,E$1:E3626,1,FALSE()))),"OLD",IF(AND(E3627&lt;&gt;"",E3627&lt;&gt;"!!!"),"NEW","")))</f>
        <v> </v>
      </c>
      <c r="G3627" s="24" t="str">
        <f>IF(OR(E3627="",E3627="!!!"),"",IF(OR(J3627=0,AND(J3627=1,K3627=1),AND(J3627=1,I3627="SBJ"),AND(J3627=1,I3627=0)),"?IN_FOCUS",IF(J3627&lt;=2,"?ACTIVATED",IF(J3627&lt;&gt;"","?FAMILIAR",IF(F3627="NEW",IF(ISNA(VLOOKUP(E3627,#REF!,1,FALSE())),"?TYPE_IDENTIFIABLE","?REFERENTIAL"),"_")))))</f>
        <v> </v>
      </c>
      <c r="H3627" s="25" t="str">
        <f>IF(J3627&lt;&gt;1,"",IF(I3627="SBJ","CB","?"))</f>
        <v> </v>
      </c>
      <c r="I3627" s="26" t="str">
        <f>IF(OR(E3627="",E3627="!!!",F3627="NEW"),"",INDEX(B3626:B$2,-1+SUMPRODUCT(MAX(ROW(E3626:E$2)*(E3627=E3626:E$2)))))</f>
        <v> </v>
      </c>
      <c r="J3627" s="26" t="str">
        <f>IF(OR(E3627="",E3627="!!!",F3627="NEW"),"",COUNTBLANK(OFFSET(A$1,,,SUMPRODUCT(MAX(ROW(E$2:E3627)*(E3627=E$2:E3627)))))-COUNTBLANK(OFFSET(A$1,,,SUMPRODUCT(MAX(ROW(E$1:E3626)*(E2=E$1:E3626))))))</f>
        <v> </v>
      </c>
      <c r="K3627" s="26" t="str">
        <f>IF(OR(E3627="",E3627="!!!",F3627="NEW"),"",INDEX(J$1:J3626,SUMPRODUCT(MAX(ROW(E$1:E3626)*(E3627=E$1:E3626)))))</f>
        <v> </v>
      </c>
      <c r="L3627" s="27"/>
    </row>
    <row r="3628" spans="1:12">
      <c r="A3628" s="20" t="s">
        <v>1023</v>
      </c>
      <c r="E3628" s="22">
        <f>IF(D3628="?OLD","!!!","")</f>
        <v/>
      </c>
      <c r="F3628" s="23" t="str">
        <f>IF(OR(E3628="",E3628="!!!"),"",IF(NOT(ISNA(VLOOKUP(E3628,E$1:E3627,1,FALSE()))),"OLD",IF(AND(E3628&lt;&gt;"",E3628&lt;&gt;"!!!"),"NEW","")))</f>
        <v> </v>
      </c>
      <c r="G3628" s="24" t="str">
        <f>IF(OR(E3628="",E3628="!!!"),"",IF(OR(J3628=0,AND(J3628=1,K3628=1),AND(J3628=1,I3628="SBJ"),AND(J3628=1,I3628=0)),"?IN_FOCUS",IF(J3628&lt;=2,"?ACTIVATED",IF(J3628&lt;&gt;"","?FAMILIAR",IF(F3628="NEW",IF(ISNA(VLOOKUP(E3628,#REF!,1,FALSE())),"?TYPE_IDENTIFIABLE","?REFERENTIAL"),"_")))))</f>
        <v> </v>
      </c>
      <c r="H3628" s="25" t="str">
        <f>IF(J3628&lt;&gt;1,"",IF(I3628="SBJ","CB","?"))</f>
        <v> </v>
      </c>
      <c r="I3628" s="26" t="str">
        <f>IF(OR(E3628="",E3628="!!!",F3628="NEW"),"",INDEX(B3627:B$2,-1+SUMPRODUCT(MAX(ROW(E3627:E$2)*(E3628=E3627:E$2)))))</f>
        <v> </v>
      </c>
      <c r="J3628" s="26" t="str">
        <f>IF(OR(E3628="",E3628="!!!",F3628="NEW"),"",COUNTBLANK(OFFSET(A$1,,,SUMPRODUCT(MAX(ROW(E$2:E3628)*(E3628=E$2:E3628)))))-COUNTBLANK(OFFSET(A$1,,,SUMPRODUCT(MAX(ROW(E$1:E3627)*(E2=E$1:E3627))))))</f>
        <v> </v>
      </c>
      <c r="K3628" s="26" t="str">
        <f>IF(OR(E3628="",E3628="!!!",F3628="NEW"),"",INDEX(J$1:J3627,SUMPRODUCT(MAX(ROW(E$1:E3627)*(E3628=E$1:E3627)))))</f>
        <v> </v>
      </c>
      <c r="L3628" s="27"/>
    </row>
    <row r="3629" spans="1:12">
      <c r="A3629" s="20"/>
    </row>
    <row r="3630" spans="1:12">
      <c r="A3630" s="20" t="s">
        <v>2093</v>
      </c>
    </row>
    <row r="3631" spans="1:12">
      <c r="A3631" s="20" t="s">
        <v>2094</v>
      </c>
      <c r="E3631" s="22">
        <f>IF(D3631="?OLD","!!!","")</f>
        <v/>
      </c>
      <c r="F3631" s="23" t="str">
        <f>IF(OR(E3631="",E3631="!!!"),"",IF(NOT(ISNA(VLOOKUP(E3631,E$1:E3630,1,FALSE()))),"OLD",IF(AND(E3631&lt;&gt;"",E3631&lt;&gt;"!!!"),"NEW","")))</f>
        <v> </v>
      </c>
      <c r="G3631" s="24" t="str">
        <f>IF(OR(E3631="",E3631="!!!"),"",IF(OR(J3631=0,AND(J3631=1,K3631=1),AND(J3631=1,I3631="SBJ"),AND(J3631=1,I3631=0)),"?IN_FOCUS",IF(J3631&lt;=2,"?ACTIVATED",IF(J3631&lt;&gt;"","?FAMILIAR",IF(F3631="NEW",IF(ISNA(VLOOKUP(E3631,#REF!,1,FALSE())),"?TYPE_IDENTIFIABLE","?REFERENTIAL"),"_")))))</f>
        <v> </v>
      </c>
      <c r="H3631" s="25" t="str">
        <f>IF(J3631&lt;&gt;1,"",IF(I3631="SBJ","CB","?"))</f>
        <v> </v>
      </c>
      <c r="I3631" s="26" t="str">
        <f>IF(OR(E3631="",E3631="!!!",F3631="NEW"),"",INDEX(B3630:B$2,-1+SUMPRODUCT(MAX(ROW(E3630:E$2)*(E3631=E3630:E$2)))))</f>
        <v> </v>
      </c>
      <c r="J3631" s="26" t="str">
        <f>IF(OR(E3631="",E3631="!!!",F3631="NEW"),"",COUNTBLANK(OFFSET(A$1,,,SUMPRODUCT(MAX(ROW(E$2:E3631)*(E3631=E$2:E3631)))))-COUNTBLANK(OFFSET(A$1,,,SUMPRODUCT(MAX(ROW(E$1:E3630)*(E2=E$1:E3630))))))</f>
        <v> </v>
      </c>
      <c r="K3631" s="26" t="str">
        <f>IF(OR(E3631="",E3631="!!!",F3631="NEW"),"",INDEX(J$1:J3630,SUMPRODUCT(MAX(ROW(E$1:E3630)*(E3631=E$1:E3630)))))</f>
        <v> </v>
      </c>
      <c r="L3631" s="27"/>
    </row>
    <row r="3632" spans="1:12">
      <c r="A3632" s="20" t="s">
        <v>1065</v>
      </c>
      <c r="E3632" s="22">
        <f>IF(D3632="?OLD","!!!","")</f>
        <v/>
      </c>
      <c r="F3632" s="23" t="str">
        <f>IF(OR(E3632="",E3632="!!!"),"",IF(NOT(ISNA(VLOOKUP(E3632,E$1:E3631,1,FALSE()))),"OLD",IF(AND(E3632&lt;&gt;"",E3632&lt;&gt;"!!!"),"NEW","")))</f>
        <v> </v>
      </c>
      <c r="G3632" s="24" t="str">
        <f>IF(OR(E3632="",E3632="!!!"),"",IF(OR(J3632=0,AND(J3632=1,K3632=1),AND(J3632=1,I3632="SBJ"),AND(J3632=1,I3632=0)),"?IN_FOCUS",IF(J3632&lt;=2,"?ACTIVATED",IF(J3632&lt;&gt;"","?FAMILIAR",IF(F3632="NEW",IF(ISNA(VLOOKUP(E3632,#REF!,1,FALSE())),"?TYPE_IDENTIFIABLE","?REFERENTIAL"),"_")))))</f>
        <v> </v>
      </c>
      <c r="H3632" s="25" t="str">
        <f>IF(J3632&lt;&gt;1,"",IF(I3632="SBJ","CB","?"))</f>
        <v> </v>
      </c>
      <c r="I3632" s="26" t="str">
        <f>IF(OR(E3632="",E3632="!!!",F3632="NEW"),"",INDEX(B3631:B$2,-1+SUMPRODUCT(MAX(ROW(E3631:E$2)*(E3632=E3631:E$2)))))</f>
        <v> </v>
      </c>
      <c r="J3632" s="26" t="str">
        <f>IF(OR(E3632="",E3632="!!!",F3632="NEW"),"",COUNTBLANK(OFFSET(A$1,,,SUMPRODUCT(MAX(ROW(E$2:E3632)*(E3632=E$2:E3632)))))-COUNTBLANK(OFFSET(A$1,,,SUMPRODUCT(MAX(ROW(E$1:E3631)*(E2=E$1:E3631))))))</f>
        <v> </v>
      </c>
      <c r="K3632" s="26" t="str">
        <f>IF(OR(E3632="",E3632="!!!",F3632="NEW"),"",INDEX(J$1:J3631,SUMPRODUCT(MAX(ROW(E$1:E3631)*(E3632=E$1:E3631)))))</f>
        <v> </v>
      </c>
      <c r="L3632" s="27"/>
    </row>
    <row r="3633" spans="1:12">
      <c r="A3633" s="20" t="s">
        <v>1100</v>
      </c>
      <c r="B3633" s="21" t="s">
        <v>1029</v>
      </c>
      <c r="C3633" s="21" t="s">
        <v>1082</v>
      </c>
      <c r="D3633" s="21" t="s">
        <v>1007</v>
      </c>
      <c r="E3633" s="22">
        <f>IF(D3633="?OLD","!!!","")</f>
        <v/>
      </c>
      <c r="F3633" s="23" t="str">
        <f>IF(OR(E3633="",E3633="!!!"),"",IF(NOT(ISNA(VLOOKUP(E3633,E$1:E3632,1,FALSE()))),"OLD",IF(AND(E3633&lt;&gt;"",E3633&lt;&gt;"!!!"),"NEW","")))</f>
        <v> </v>
      </c>
      <c r="G3633" s="24" t="str">
        <f>IF(OR(E3633="",E3633="!!!"),"",IF(OR(J3633=0,AND(J3633=1,K3633=1),AND(J3633=1,I3633="SBJ"),AND(J3633=1,I3633=0)),"?IN_FOCUS",IF(J3633&lt;=2,"?ACTIVATED",IF(J3633&lt;&gt;"","?FAMILIAR",IF(F3633="NEW",IF(ISNA(VLOOKUP(E3633,#REF!,1,FALSE())),"?TYPE_IDENTIFIABLE","?REFERENTIAL"),"_")))))</f>
        <v> </v>
      </c>
      <c r="H3633" s="25" t="str">
        <f>IF(J3633&lt;&gt;1,"",IF(I3633="SBJ","CB","?"))</f>
        <v> </v>
      </c>
      <c r="I3633" s="26" t="str">
        <f>IF(OR(E3633="",E3633="!!!",F3633="NEW"),"",INDEX(B3632:B$2,-1+SUMPRODUCT(MAX(ROW(E3632:E$2)*(E3633=E3632:E$2)))))</f>
        <v> </v>
      </c>
      <c r="J3633" s="26" t="str">
        <f>IF(OR(E3633="",E3633="!!!",F3633="NEW"),"",COUNTBLANK(OFFSET(A$1,,,SUMPRODUCT(MAX(ROW(E$2:E3633)*(E3633=E$2:E3633)))))-COUNTBLANK(OFFSET(A$1,,,SUMPRODUCT(MAX(ROW(E$1:E3632)*(E2=E$1:E3632))))))</f>
        <v> </v>
      </c>
      <c r="K3633" s="26" t="str">
        <f>IF(OR(E3633="",E3633="!!!",F3633="NEW"),"",INDEX(J$1:J3632,SUMPRODUCT(MAX(ROW(E$1:E3632)*(E3633=E$1:E3632)))))</f>
        <v> </v>
      </c>
      <c r="L3633" s="27"/>
    </row>
    <row r="3634" spans="1:12">
      <c r="A3634" s="20" t="s">
        <v>2095</v>
      </c>
      <c r="E3634" s="22">
        <f>IF(D3634="?OLD","!!!","")</f>
        <v/>
      </c>
      <c r="F3634" s="23" t="str">
        <f>IF(OR(E3634="",E3634="!!!"),"",IF(NOT(ISNA(VLOOKUP(E3634,E$1:E3633,1,FALSE()))),"OLD",IF(AND(E3634&lt;&gt;"",E3634&lt;&gt;"!!!"),"NEW","")))</f>
        <v> </v>
      </c>
      <c r="G3634" s="24" t="str">
        <f>IF(OR(E3634="",E3634="!!!"),"",IF(OR(J3634=0,AND(J3634=1,K3634=1),AND(J3634=1,I3634="SBJ"),AND(J3634=1,I3634=0)),"?IN_FOCUS",IF(J3634&lt;=2,"?ACTIVATED",IF(J3634&lt;&gt;"","?FAMILIAR",IF(F3634="NEW",IF(ISNA(VLOOKUP(E3634,#REF!,1,FALSE())),"?TYPE_IDENTIFIABLE","?REFERENTIAL"),"_")))))</f>
        <v> </v>
      </c>
      <c r="H3634" s="25" t="str">
        <f>IF(J3634&lt;&gt;1,"",IF(I3634="SBJ","CB","?"))</f>
        <v> </v>
      </c>
      <c r="I3634" s="26" t="str">
        <f>IF(OR(E3634="",E3634="!!!",F3634="NEW"),"",INDEX(B3633:B$2,-1+SUMPRODUCT(MAX(ROW(E3633:E$2)*(E3634=E3633:E$2)))))</f>
        <v> </v>
      </c>
      <c r="J3634" s="26" t="str">
        <f>IF(OR(E3634="",E3634="!!!",F3634="NEW"),"",COUNTBLANK(OFFSET(A$1,,,SUMPRODUCT(MAX(ROW(E$2:E3634)*(E3634=E$2:E3634)))))-COUNTBLANK(OFFSET(A$1,,,SUMPRODUCT(MAX(ROW(E$1:E3633)*(E2=E$1:E3633))))))</f>
        <v> </v>
      </c>
      <c r="K3634" s="26" t="str">
        <f>IF(OR(E3634="",E3634="!!!",F3634="NEW"),"",INDEX(J$1:J3633,SUMPRODUCT(MAX(ROW(E$1:E3633)*(E3634=E$1:E3633)))))</f>
        <v> </v>
      </c>
      <c r="L3634" s="27"/>
    </row>
    <row r="3635" spans="1:12">
      <c r="A3635" s="20" t="s">
        <v>1435</v>
      </c>
      <c r="E3635" s="22">
        <f>IF(D3635="?OLD","!!!","")</f>
        <v/>
      </c>
      <c r="F3635" s="23" t="str">
        <f>IF(OR(E3635="",E3635="!!!"),"",IF(NOT(ISNA(VLOOKUP(E3635,E$1:E3634,1,FALSE()))),"OLD",IF(AND(E3635&lt;&gt;"",E3635&lt;&gt;"!!!"),"NEW","")))</f>
        <v> </v>
      </c>
      <c r="G3635" s="24" t="str">
        <f>IF(OR(E3635="",E3635="!!!"),"",IF(OR(J3635=0,AND(J3635=1,K3635=1),AND(J3635=1,I3635="SBJ"),AND(J3635=1,I3635=0)),"?IN_FOCUS",IF(J3635&lt;=2,"?ACTIVATED",IF(J3635&lt;&gt;"","?FAMILIAR",IF(F3635="NEW",IF(ISNA(VLOOKUP(E3635,#REF!,1,FALSE())),"?TYPE_IDENTIFIABLE","?REFERENTIAL"),"_")))))</f>
        <v> </v>
      </c>
      <c r="H3635" s="25" t="str">
        <f>IF(J3635&lt;&gt;1,"",IF(I3635="SBJ","CB","?"))</f>
        <v> </v>
      </c>
      <c r="I3635" s="26" t="str">
        <f>IF(OR(E3635="",E3635="!!!",F3635="NEW"),"",INDEX(B3634:B$2,-1+SUMPRODUCT(MAX(ROW(E3634:E$2)*(E3635=E3634:E$2)))))</f>
        <v> </v>
      </c>
      <c r="J3635" s="26" t="str">
        <f>IF(OR(E3635="",E3635="!!!",F3635="NEW"),"",COUNTBLANK(OFFSET(A$1,,,SUMPRODUCT(MAX(ROW(E$2:E3635)*(E3635=E$2:E3635)))))-COUNTBLANK(OFFSET(A$1,,,SUMPRODUCT(MAX(ROW(E$1:E3634)*(E2=E$1:E3634))))))</f>
        <v> </v>
      </c>
      <c r="K3635" s="26" t="str">
        <f>IF(OR(E3635="",E3635="!!!",F3635="NEW"),"",INDEX(J$1:J3634,SUMPRODUCT(MAX(ROW(E$1:E3634)*(E3635=E$1:E3634)))))</f>
        <v> </v>
      </c>
      <c r="L3635" s="27"/>
    </row>
    <row r="3636" spans="1:12">
      <c r="A3636" s="20" t="s">
        <v>1703</v>
      </c>
      <c r="B3636" s="21" t="s">
        <v>1029</v>
      </c>
      <c r="C3636" s="21" t="s">
        <v>1041</v>
      </c>
      <c r="D3636" s="21" t="s">
        <v>1007</v>
      </c>
      <c r="E3636" s="22">
        <f>IF(D3636="?OLD","!!!","")</f>
        <v/>
      </c>
      <c r="F3636" s="23" t="str">
        <f>IF(OR(E3636="",E3636="!!!"),"",IF(NOT(ISNA(VLOOKUP(E3636,E$1:E3635,1,FALSE()))),"OLD",IF(AND(E3636&lt;&gt;"",E3636&lt;&gt;"!!!"),"NEW","")))</f>
        <v> </v>
      </c>
      <c r="G3636" s="24" t="str">
        <f>IF(OR(E3636="",E3636="!!!"),"",IF(OR(J3636=0,AND(J3636=1,K3636=1),AND(J3636=1,I3636="SBJ"),AND(J3636=1,I3636=0)),"?IN_FOCUS",IF(J3636&lt;=2,"?ACTIVATED",IF(J3636&lt;&gt;"","?FAMILIAR",IF(F3636="NEW",IF(ISNA(VLOOKUP(E3636,#REF!,1,FALSE())),"?TYPE_IDENTIFIABLE","?REFERENTIAL"),"_")))))</f>
        <v> </v>
      </c>
      <c r="H3636" s="25" t="str">
        <f>IF(J3636&lt;&gt;1,"",IF(I3636="SBJ","CB","?"))</f>
        <v> </v>
      </c>
      <c r="I3636" s="26" t="str">
        <f>IF(OR(E3636="",E3636="!!!",F3636="NEW"),"",INDEX(B3635:B$2,-1+SUMPRODUCT(MAX(ROW(E3635:E$2)*(E3636=E3635:E$2)))))</f>
        <v> </v>
      </c>
      <c r="J3636" s="26" t="str">
        <f>IF(OR(E3636="",E3636="!!!",F3636="NEW"),"",COUNTBLANK(OFFSET(A$1,,,SUMPRODUCT(MAX(ROW(E$2:E3636)*(E3636=E$2:E3636)))))-COUNTBLANK(OFFSET(A$1,,,SUMPRODUCT(MAX(ROW(E$1:E3635)*(E2=E$1:E3635))))))</f>
        <v> </v>
      </c>
      <c r="K3636" s="26" t="str">
        <f>IF(OR(E3636="",E3636="!!!",F3636="NEW"),"",INDEX(J$1:J3635,SUMPRODUCT(MAX(ROW(E$1:E3635)*(E3636=E$1:E3635)))))</f>
        <v> </v>
      </c>
      <c r="L3636" s="27"/>
    </row>
    <row r="3637" spans="1:12">
      <c r="A3637" s="20" t="s">
        <v>1299</v>
      </c>
      <c r="E3637" s="22">
        <f>IF(D3637="?OLD","!!!","")</f>
        <v/>
      </c>
      <c r="F3637" s="23" t="str">
        <f>IF(OR(E3637="",E3637="!!!"),"",IF(NOT(ISNA(VLOOKUP(E3637,E$1:E3636,1,FALSE()))),"OLD",IF(AND(E3637&lt;&gt;"",E3637&lt;&gt;"!!!"),"NEW","")))</f>
        <v> </v>
      </c>
      <c r="G3637" s="24" t="str">
        <f>IF(OR(E3637="",E3637="!!!"),"",IF(OR(J3637=0,AND(J3637=1,K3637=1),AND(J3637=1,I3637="SBJ"),AND(J3637=1,I3637=0)),"?IN_FOCUS",IF(J3637&lt;=2,"?ACTIVATED",IF(J3637&lt;&gt;"","?FAMILIAR",IF(F3637="NEW",IF(ISNA(VLOOKUP(E3637,#REF!,1,FALSE())),"?TYPE_IDENTIFIABLE","?REFERENTIAL"),"_")))))</f>
        <v> </v>
      </c>
      <c r="H3637" s="25" t="str">
        <f>IF(J3637&lt;&gt;1,"",IF(I3637="SBJ","CB","?"))</f>
        <v> </v>
      </c>
      <c r="I3637" s="26" t="str">
        <f>IF(OR(E3637="",E3637="!!!",F3637="NEW"),"",INDEX(B3636:B$2,-1+SUMPRODUCT(MAX(ROW(E3636:E$2)*(E3637=E3636:E$2)))))</f>
        <v> </v>
      </c>
      <c r="J3637" s="26" t="str">
        <f>IF(OR(E3637="",E3637="!!!",F3637="NEW"),"",COUNTBLANK(OFFSET(A$1,,,SUMPRODUCT(MAX(ROW(E$2:E3637)*(E3637=E$2:E3637)))))-COUNTBLANK(OFFSET(A$1,,,SUMPRODUCT(MAX(ROW(E$1:E3636)*(E2=E$1:E3636))))))</f>
        <v> </v>
      </c>
      <c r="K3637" s="26" t="str">
        <f>IF(OR(E3637="",E3637="!!!",F3637="NEW"),"",INDEX(J$1:J3636,SUMPRODUCT(MAX(ROW(E$1:E3636)*(E3637=E$1:E3636)))))</f>
        <v> </v>
      </c>
      <c r="L3637" s="27"/>
    </row>
    <row r="3638" spans="1:12">
      <c r="A3638" s="20" t="s">
        <v>1124</v>
      </c>
      <c r="E3638" s="22">
        <f>IF(D3638="?OLD","!!!","")</f>
        <v/>
      </c>
      <c r="F3638" s="23" t="str">
        <f>IF(OR(E3638="",E3638="!!!"),"",IF(NOT(ISNA(VLOOKUP(E3638,E$1:E3637,1,FALSE()))),"OLD",IF(AND(E3638&lt;&gt;"",E3638&lt;&gt;"!!!"),"NEW","")))</f>
        <v> </v>
      </c>
      <c r="G3638" s="24" t="str">
        <f>IF(OR(E3638="",E3638="!!!"),"",IF(OR(J3638=0,AND(J3638=1,K3638=1),AND(J3638=1,I3638="SBJ"),AND(J3638=1,I3638=0)),"?IN_FOCUS",IF(J3638&lt;=2,"?ACTIVATED",IF(J3638&lt;&gt;"","?FAMILIAR",IF(F3638="NEW",IF(ISNA(VLOOKUP(E3638,#REF!,1,FALSE())),"?TYPE_IDENTIFIABLE","?REFERENTIAL"),"_")))))</f>
        <v> </v>
      </c>
      <c r="H3638" s="25" t="str">
        <f>IF(J3638&lt;&gt;1,"",IF(I3638="SBJ","CB","?"))</f>
        <v> </v>
      </c>
      <c r="I3638" s="26" t="str">
        <f>IF(OR(E3638="",E3638="!!!",F3638="NEW"),"",INDEX(B3637:B$2,-1+SUMPRODUCT(MAX(ROW(E3637:E$2)*(E3638=E3637:E$2)))))</f>
        <v> </v>
      </c>
      <c r="J3638" s="26" t="str">
        <f>IF(OR(E3638="",E3638="!!!",F3638="NEW"),"",COUNTBLANK(OFFSET(A$1,,,SUMPRODUCT(MAX(ROW(E$2:E3638)*(E3638=E$2:E3638)))))-COUNTBLANK(OFFSET(A$1,,,SUMPRODUCT(MAX(ROW(E$1:E3637)*(E2=E$1:E3637))))))</f>
        <v> </v>
      </c>
      <c r="K3638" s="26" t="str">
        <f>IF(OR(E3638="",E3638="!!!",F3638="NEW"),"",INDEX(J$1:J3637,SUMPRODUCT(MAX(ROW(E$1:E3637)*(E3638=E$1:E3637)))))</f>
        <v> </v>
      </c>
      <c r="L3638" s="27"/>
    </row>
    <row r="3639" spans="1:12">
      <c r="A3639" s="20" t="s">
        <v>1132</v>
      </c>
      <c r="E3639" s="22">
        <f>IF(D3639="?OLD","!!!","")</f>
        <v/>
      </c>
      <c r="F3639" s="23" t="str">
        <f>IF(OR(E3639="",E3639="!!!"),"",IF(NOT(ISNA(VLOOKUP(E3639,E$1:E3638,1,FALSE()))),"OLD",IF(AND(E3639&lt;&gt;"",E3639&lt;&gt;"!!!"),"NEW","")))</f>
        <v> </v>
      </c>
      <c r="G3639" s="24" t="str">
        <f>IF(OR(E3639="",E3639="!!!"),"",IF(OR(J3639=0,AND(J3639=1,K3639=1),AND(J3639=1,I3639="SBJ"),AND(J3639=1,I3639=0)),"?IN_FOCUS",IF(J3639&lt;=2,"?ACTIVATED",IF(J3639&lt;&gt;"","?FAMILIAR",IF(F3639="NEW",IF(ISNA(VLOOKUP(E3639,#REF!,1,FALSE())),"?TYPE_IDENTIFIABLE","?REFERENTIAL"),"_")))))</f>
        <v> </v>
      </c>
      <c r="H3639" s="25" t="str">
        <f>IF(J3639&lt;&gt;1,"",IF(I3639="SBJ","CB","?"))</f>
        <v> </v>
      </c>
      <c r="I3639" s="26" t="str">
        <f>IF(OR(E3639="",E3639="!!!",F3639="NEW"),"",INDEX(B3638:B$2,-1+SUMPRODUCT(MAX(ROW(E3638:E$2)*(E3639=E3638:E$2)))))</f>
        <v> </v>
      </c>
      <c r="J3639" s="26" t="str">
        <f>IF(OR(E3639="",E3639="!!!",F3639="NEW"),"",COUNTBLANK(OFFSET(A$1,,,SUMPRODUCT(MAX(ROW(E$2:E3639)*(E3639=E$2:E3639)))))-COUNTBLANK(OFFSET(A$1,,,SUMPRODUCT(MAX(ROW(E$1:E3638)*(E2=E$1:E3638))))))</f>
        <v> </v>
      </c>
      <c r="K3639" s="26" t="str">
        <f>IF(OR(E3639="",E3639="!!!",F3639="NEW"),"",INDEX(J$1:J3638,SUMPRODUCT(MAX(ROW(E$1:E3638)*(E3639=E$1:E3638)))))</f>
        <v> </v>
      </c>
      <c r="L3639" s="27"/>
    </row>
    <row r="3640" spans="1:12">
      <c r="A3640" s="20" t="s">
        <v>2096</v>
      </c>
      <c r="B3640" s="21" t="s">
        <v>1033</v>
      </c>
      <c r="C3640" s="21" t="s">
        <v>1048</v>
      </c>
      <c r="E3640" s="22">
        <f>IF(D3640="?OLD","!!!","")</f>
        <v/>
      </c>
      <c r="F3640" s="23" t="str">
        <f>IF(OR(E3640="",E3640="!!!"),"",IF(NOT(ISNA(VLOOKUP(E3640,E$1:E3639,1,FALSE()))),"OLD",IF(AND(E3640&lt;&gt;"",E3640&lt;&gt;"!!!"),"NEW","")))</f>
        <v> </v>
      </c>
      <c r="G3640" s="24" t="str">
        <f>IF(OR(E3640="",E3640="!!!"),"",IF(OR(J3640=0,AND(J3640=1,K3640=1),AND(J3640=1,I3640="SBJ"),AND(J3640=1,I3640=0)),"?IN_FOCUS",IF(J3640&lt;=2,"?ACTIVATED",IF(J3640&lt;&gt;"","?FAMILIAR",IF(F3640="NEW",IF(ISNA(VLOOKUP(E3640,#REF!,1,FALSE())),"?TYPE_IDENTIFIABLE","?REFERENTIAL"),"_")))))</f>
        <v> </v>
      </c>
      <c r="H3640" s="25" t="str">
        <f>IF(J3640&lt;&gt;1,"",IF(I3640="SBJ","CB","?"))</f>
        <v> </v>
      </c>
      <c r="I3640" s="26" t="str">
        <f>IF(OR(E3640="",E3640="!!!",F3640="NEW"),"",INDEX(B3639:B$2,-1+SUMPRODUCT(MAX(ROW(E3639:E$2)*(E3640=E3639:E$2)))))</f>
        <v> </v>
      </c>
      <c r="J3640" s="26" t="str">
        <f>IF(OR(E3640="",E3640="!!!",F3640="NEW"),"",COUNTBLANK(OFFSET(A$1,,,SUMPRODUCT(MAX(ROW(E$2:E3640)*(E3640=E$2:E3640)))))-COUNTBLANK(OFFSET(A$1,,,SUMPRODUCT(MAX(ROW(E$1:E3639)*(E2=E$1:E3639))))))</f>
        <v> </v>
      </c>
      <c r="K3640" s="26" t="str">
        <f>IF(OR(E3640="",E3640="!!!",F3640="NEW"),"",INDEX(J$1:J3639,SUMPRODUCT(MAX(ROW(E$1:E3639)*(E3640=E$1:E3639)))))</f>
        <v> </v>
      </c>
      <c r="L3640" s="27"/>
    </row>
    <row r="3641" spans="1:12">
      <c r="A3641" s="20" t="s">
        <v>1020</v>
      </c>
      <c r="E3641" s="22">
        <f>IF(D3641="?OLD","!!!","")</f>
        <v/>
      </c>
      <c r="F3641" s="23" t="str">
        <f>IF(OR(E3641="",E3641="!!!"),"",IF(NOT(ISNA(VLOOKUP(E3641,E$1:E3640,1,FALSE()))),"OLD",IF(AND(E3641&lt;&gt;"",E3641&lt;&gt;"!!!"),"NEW","")))</f>
        <v> </v>
      </c>
      <c r="G3641" s="24" t="str">
        <f>IF(OR(E3641="",E3641="!!!"),"",IF(OR(J3641=0,AND(J3641=1,K3641=1),AND(J3641=1,I3641="SBJ"),AND(J3641=1,I3641=0)),"?IN_FOCUS",IF(J3641&lt;=2,"?ACTIVATED",IF(J3641&lt;&gt;"","?FAMILIAR",IF(F3641="NEW",IF(ISNA(VLOOKUP(E3641,#REF!,1,FALSE())),"?TYPE_IDENTIFIABLE","?REFERENTIAL"),"_")))))</f>
        <v> </v>
      </c>
      <c r="H3641" s="25" t="str">
        <f>IF(J3641&lt;&gt;1,"",IF(I3641="SBJ","CB","?"))</f>
        <v> </v>
      </c>
      <c r="I3641" s="26" t="str">
        <f>IF(OR(E3641="",E3641="!!!",F3641="NEW"),"",INDEX(B3640:B$2,-1+SUMPRODUCT(MAX(ROW(E3640:E$2)*(E3641=E3640:E$2)))))</f>
        <v> </v>
      </c>
      <c r="J3641" s="26" t="str">
        <f>IF(OR(E3641="",E3641="!!!",F3641="NEW"),"",COUNTBLANK(OFFSET(A$1,,,SUMPRODUCT(MAX(ROW(E$2:E3641)*(E3641=E$2:E3641)))))-COUNTBLANK(OFFSET(A$1,,,SUMPRODUCT(MAX(ROW(E$1:E3640)*(E2=E$1:E3640))))))</f>
        <v> </v>
      </c>
      <c r="K3641" s="26" t="str">
        <f>IF(OR(E3641="",E3641="!!!",F3641="NEW"),"",INDEX(J$1:J3640,SUMPRODUCT(MAX(ROW(E$1:E3640)*(E3641=E$1:E3640)))))</f>
        <v> </v>
      </c>
      <c r="L3641" s="27"/>
    </row>
    <row r="3642" spans="1:12">
      <c r="A3642" s="20" t="s">
        <v>1873</v>
      </c>
      <c r="B3642" s="21" t="s">
        <v>1035</v>
      </c>
      <c r="C3642" s="21" t="s">
        <v>1059</v>
      </c>
      <c r="D3642" s="21" t="s">
        <v>1007</v>
      </c>
      <c r="E3642" s="22">
        <f>IF(D3642="?OLD","!!!","")</f>
        <v/>
      </c>
      <c r="F3642" s="23" t="str">
        <f>IF(OR(E3642="",E3642="!!!"),"",IF(NOT(ISNA(VLOOKUP(E3642,E$1:E3641,1,FALSE()))),"OLD",IF(AND(E3642&lt;&gt;"",E3642&lt;&gt;"!!!"),"NEW","")))</f>
        <v> </v>
      </c>
      <c r="G3642" s="24" t="str">
        <f>IF(OR(E3642="",E3642="!!!"),"",IF(OR(J3642=0,AND(J3642=1,K3642=1),AND(J3642=1,I3642="SBJ"),AND(J3642=1,I3642=0)),"?IN_FOCUS",IF(J3642&lt;=2,"?ACTIVATED",IF(J3642&lt;&gt;"","?FAMILIAR",IF(F3642="NEW",IF(ISNA(VLOOKUP(E3642,#REF!,1,FALSE())),"?TYPE_IDENTIFIABLE","?REFERENTIAL"),"_")))))</f>
        <v> </v>
      </c>
      <c r="H3642" s="25" t="str">
        <f>IF(J3642&lt;&gt;1,"",IF(I3642="SBJ","CB","?"))</f>
        <v> </v>
      </c>
      <c r="I3642" s="26" t="str">
        <f>IF(OR(E3642="",E3642="!!!",F3642="NEW"),"",INDEX(B3641:B$2,-1+SUMPRODUCT(MAX(ROW(E3641:E$2)*(E3642=E3641:E$2)))))</f>
        <v> </v>
      </c>
      <c r="J3642" s="26" t="str">
        <f>IF(OR(E3642="",E3642="!!!",F3642="NEW"),"",COUNTBLANK(OFFSET(A$1,,,SUMPRODUCT(MAX(ROW(E$2:E3642)*(E3642=E$2:E3642)))))-COUNTBLANK(OFFSET(A$1,,,SUMPRODUCT(MAX(ROW(E$1:E3641)*(E2=E$1:E3641))))))</f>
        <v> </v>
      </c>
      <c r="K3642" s="26" t="str">
        <f>IF(OR(E3642="",E3642="!!!",F3642="NEW"),"",INDEX(J$1:J3641,SUMPRODUCT(MAX(ROW(E$1:E3641)*(E3642=E$1:E3641)))))</f>
        <v> </v>
      </c>
      <c r="L3642" s="27"/>
    </row>
    <row r="3643" spans="1:12">
      <c r="A3643" s="20" t="s">
        <v>1605</v>
      </c>
      <c r="E3643" s="22">
        <f>IF(D3643="?OLD","!!!","")</f>
        <v/>
      </c>
      <c r="F3643" s="23" t="str">
        <f>IF(OR(E3643="",E3643="!!!"),"",IF(NOT(ISNA(VLOOKUP(E3643,E$1:E3642,1,FALSE()))),"OLD",IF(AND(E3643&lt;&gt;"",E3643&lt;&gt;"!!!"),"NEW","")))</f>
        <v> </v>
      </c>
      <c r="G3643" s="24" t="str">
        <f>IF(OR(E3643="",E3643="!!!"),"",IF(OR(J3643=0,AND(J3643=1,K3643=1),AND(J3643=1,I3643="SBJ"),AND(J3643=1,I3643=0)),"?IN_FOCUS",IF(J3643&lt;=2,"?ACTIVATED",IF(J3643&lt;&gt;"","?FAMILIAR",IF(F3643="NEW",IF(ISNA(VLOOKUP(E3643,#REF!,1,FALSE())),"?TYPE_IDENTIFIABLE","?REFERENTIAL"),"_")))))</f>
        <v> </v>
      </c>
      <c r="H3643" s="25" t="str">
        <f>IF(J3643&lt;&gt;1,"",IF(I3643="SBJ","CB","?"))</f>
        <v> </v>
      </c>
      <c r="I3643" s="26" t="str">
        <f>IF(OR(E3643="",E3643="!!!",F3643="NEW"),"",INDEX(B3642:B$2,-1+SUMPRODUCT(MAX(ROW(E3642:E$2)*(E3643=E3642:E$2)))))</f>
        <v> </v>
      </c>
      <c r="J3643" s="26" t="str">
        <f>IF(OR(E3643="",E3643="!!!",F3643="NEW"),"",COUNTBLANK(OFFSET(A$1,,,SUMPRODUCT(MAX(ROW(E$2:E3643)*(E3643=E$2:E3643)))))-COUNTBLANK(OFFSET(A$1,,,SUMPRODUCT(MAX(ROW(E$1:E3642)*(E2=E$1:E3642))))))</f>
        <v> </v>
      </c>
      <c r="K3643" s="26" t="str">
        <f>IF(OR(E3643="",E3643="!!!",F3643="NEW"),"",INDEX(J$1:J3642,SUMPRODUCT(MAX(ROW(E$1:E3642)*(E3643=E$1:E3642)))))</f>
        <v> </v>
      </c>
      <c r="L3643" s="27"/>
    </row>
    <row r="3644" spans="1:12">
      <c r="A3644" s="20" t="s">
        <v>2097</v>
      </c>
      <c r="B3644" s="21" t="s">
        <v>1187</v>
      </c>
      <c r="C3644" s="21" t="s">
        <v>1017</v>
      </c>
      <c r="D3644" s="21" t="s">
        <v>1007</v>
      </c>
      <c r="E3644" s="22">
        <f>IF(D3644="?OLD","!!!","")</f>
        <v/>
      </c>
      <c r="F3644" s="23" t="str">
        <f>IF(OR(E3644="",E3644="!!!"),"",IF(NOT(ISNA(VLOOKUP(E3644,E$1:E3643,1,FALSE()))),"OLD",IF(AND(E3644&lt;&gt;"",E3644&lt;&gt;"!!!"),"NEW","")))</f>
        <v> </v>
      </c>
      <c r="G3644" s="24" t="str">
        <f>IF(OR(E3644="",E3644="!!!"),"",IF(OR(J3644=0,AND(J3644=1,K3644=1),AND(J3644=1,I3644="SBJ"),AND(J3644=1,I3644=0)),"?IN_FOCUS",IF(J3644&lt;=2,"?ACTIVATED",IF(J3644&lt;&gt;"","?FAMILIAR",IF(F3644="NEW",IF(ISNA(VLOOKUP(E3644,#REF!,1,FALSE())),"?TYPE_IDENTIFIABLE","?REFERENTIAL"),"_")))))</f>
        <v> </v>
      </c>
      <c r="H3644" s="25" t="str">
        <f>IF(J3644&lt;&gt;1,"",IF(I3644="SBJ","CB","?"))</f>
        <v> </v>
      </c>
      <c r="I3644" s="26" t="str">
        <f>IF(OR(E3644="",E3644="!!!",F3644="NEW"),"",INDEX(B3643:B$2,-1+SUMPRODUCT(MAX(ROW(E3643:E$2)*(E3644=E3643:E$2)))))</f>
        <v> </v>
      </c>
      <c r="J3644" s="26" t="str">
        <f>IF(OR(E3644="",E3644="!!!",F3644="NEW"),"",COUNTBLANK(OFFSET(A$1,,,SUMPRODUCT(MAX(ROW(E$2:E3644)*(E3644=E$2:E3644)))))-COUNTBLANK(OFFSET(A$1,,,SUMPRODUCT(MAX(ROW(E$1:E3643)*(E2=E$1:E3643))))))</f>
        <v> </v>
      </c>
      <c r="K3644" s="26" t="str">
        <f>IF(OR(E3644="",E3644="!!!",F3644="NEW"),"",INDEX(J$1:J3643,SUMPRODUCT(MAX(ROW(E$1:E3643)*(E3644=E$1:E3643)))))</f>
        <v> </v>
      </c>
      <c r="L3644" s="27"/>
    </row>
    <row r="3645" spans="1:12">
      <c r="A3645" s="20" t="s">
        <v>1023</v>
      </c>
      <c r="E3645" s="22">
        <f>IF(D3645="?OLD","!!!","")</f>
        <v/>
      </c>
      <c r="F3645" s="23" t="str">
        <f>IF(OR(E3645="",E3645="!!!"),"",IF(NOT(ISNA(VLOOKUP(E3645,E$1:E3644,1,FALSE()))),"OLD",IF(AND(E3645&lt;&gt;"",E3645&lt;&gt;"!!!"),"NEW","")))</f>
        <v> </v>
      </c>
      <c r="G3645" s="24" t="str">
        <f>IF(OR(E3645="",E3645="!!!"),"",IF(OR(J3645=0,AND(J3645=1,K3645=1),AND(J3645=1,I3645="SBJ"),AND(J3645=1,I3645=0)),"?IN_FOCUS",IF(J3645&lt;=2,"?ACTIVATED",IF(J3645&lt;&gt;"","?FAMILIAR",IF(F3645="NEW",IF(ISNA(VLOOKUP(E3645,#REF!,1,FALSE())),"?TYPE_IDENTIFIABLE","?REFERENTIAL"),"_")))))</f>
        <v> </v>
      </c>
      <c r="H3645" s="25" t="str">
        <f>IF(J3645&lt;&gt;1,"",IF(I3645="SBJ","CB","?"))</f>
        <v> </v>
      </c>
      <c r="I3645" s="26" t="str">
        <f>IF(OR(E3645="",E3645="!!!",F3645="NEW"),"",INDEX(B3644:B$2,-1+SUMPRODUCT(MAX(ROW(E3644:E$2)*(E3645=E3644:E$2)))))</f>
        <v> </v>
      </c>
      <c r="J3645" s="26" t="str">
        <f>IF(OR(E3645="",E3645="!!!",F3645="NEW"),"",COUNTBLANK(OFFSET(A$1,,,SUMPRODUCT(MAX(ROW(E$2:E3645)*(E3645=E$2:E3645)))))-COUNTBLANK(OFFSET(A$1,,,SUMPRODUCT(MAX(ROW(E$1:E3644)*(E2=E$1:E3644))))))</f>
        <v> </v>
      </c>
      <c r="K3645" s="26" t="str">
        <f>IF(OR(E3645="",E3645="!!!",F3645="NEW"),"",INDEX(J$1:J3644,SUMPRODUCT(MAX(ROW(E$1:E3644)*(E3645=E$1:E3644)))))</f>
        <v> </v>
      </c>
      <c r="L3645" s="27"/>
    </row>
    <row r="3646" spans="1:12">
      <c r="A3646" s="20"/>
    </row>
    <row r="3647" spans="1:12">
      <c r="A3647" s="20" t="s">
        <v>2098</v>
      </c>
    </row>
    <row r="3648" spans="1:12">
      <c r="A3648" s="20" t="s">
        <v>2099</v>
      </c>
      <c r="E3648" s="22">
        <f>IF(D3648="?OLD","!!!","")</f>
        <v/>
      </c>
      <c r="F3648" s="23" t="str">
        <f>IF(OR(E3648="",E3648="!!!"),"",IF(NOT(ISNA(VLOOKUP(E3648,E$1:E3647,1,FALSE()))),"OLD",IF(AND(E3648&lt;&gt;"",E3648&lt;&gt;"!!!"),"NEW","")))</f>
        <v> </v>
      </c>
      <c r="G3648" s="24" t="str">
        <f>IF(OR(E3648="",E3648="!!!"),"",IF(OR(J3648=0,AND(J3648=1,K3648=1),AND(J3648=1,I3648="SBJ"),AND(J3648=1,I3648=0)),"?IN_FOCUS",IF(J3648&lt;=2,"?ACTIVATED",IF(J3648&lt;&gt;"","?FAMILIAR",IF(F3648="NEW",IF(ISNA(VLOOKUP(E3648,#REF!,1,FALSE())),"?TYPE_IDENTIFIABLE","?REFERENTIAL"),"_")))))</f>
        <v> </v>
      </c>
      <c r="H3648" s="25" t="str">
        <f>IF(J3648&lt;&gt;1,"",IF(I3648="SBJ","CB","?"))</f>
        <v> </v>
      </c>
      <c r="I3648" s="26" t="str">
        <f>IF(OR(E3648="",E3648="!!!",F3648="NEW"),"",INDEX(B3647:B$2,-1+SUMPRODUCT(MAX(ROW(E3647:E$2)*(E3648=E3647:E$2)))))</f>
        <v> </v>
      </c>
      <c r="J3648" s="26" t="str">
        <f>IF(OR(E3648="",E3648="!!!",F3648="NEW"),"",COUNTBLANK(OFFSET(A$1,,,SUMPRODUCT(MAX(ROW(E$2:E3648)*(E3648=E$2:E3648)))))-COUNTBLANK(OFFSET(A$1,,,SUMPRODUCT(MAX(ROW(E$1:E3647)*(E2=E$1:E3647))))))</f>
        <v> </v>
      </c>
      <c r="K3648" s="26" t="str">
        <f>IF(OR(E3648="",E3648="!!!",F3648="NEW"),"",INDEX(J$1:J3647,SUMPRODUCT(MAX(ROW(E$1:E3647)*(E3648=E$1:E3647)))))</f>
        <v> </v>
      </c>
      <c r="L3648" s="27"/>
    </row>
    <row r="3649" spans="1:12">
      <c r="A3649" s="20" t="s">
        <v>1274</v>
      </c>
      <c r="B3649" s="21" t="s">
        <v>1005</v>
      </c>
      <c r="C3649" s="21" t="s">
        <v>1048</v>
      </c>
      <c r="E3649" s="22">
        <f>IF(D3649="?OLD","!!!","")</f>
        <v/>
      </c>
      <c r="F3649" s="23" t="str">
        <f>IF(OR(E3649="",E3649="!!!"),"",IF(NOT(ISNA(VLOOKUP(E3649,E$1:E3648,1,FALSE()))),"OLD",IF(AND(E3649&lt;&gt;"",E3649&lt;&gt;"!!!"),"NEW","")))</f>
        <v> </v>
      </c>
      <c r="G3649" s="24" t="str">
        <f>IF(OR(E3649="",E3649="!!!"),"",IF(OR(J3649=0,AND(J3649=1,K3649=1),AND(J3649=1,I3649="SBJ"),AND(J3649=1,I3649=0)),"?IN_FOCUS",IF(J3649&lt;=2,"?ACTIVATED",IF(J3649&lt;&gt;"","?FAMILIAR",IF(F3649="NEW",IF(ISNA(VLOOKUP(E3649,#REF!,1,FALSE())),"?TYPE_IDENTIFIABLE","?REFERENTIAL"),"_")))))</f>
        <v> </v>
      </c>
      <c r="H3649" s="25" t="str">
        <f>IF(J3649&lt;&gt;1,"",IF(I3649="SBJ","CB","?"))</f>
        <v> </v>
      </c>
      <c r="I3649" s="26" t="str">
        <f>IF(OR(E3649="",E3649="!!!",F3649="NEW"),"",INDEX(B3648:B$2,-1+SUMPRODUCT(MAX(ROW(E3648:E$2)*(E3649=E3648:E$2)))))</f>
        <v> </v>
      </c>
      <c r="J3649" s="26" t="str">
        <f>IF(OR(E3649="",E3649="!!!",F3649="NEW"),"",COUNTBLANK(OFFSET(A$1,,,SUMPRODUCT(MAX(ROW(E$2:E3649)*(E3649=E$2:E3649)))))-COUNTBLANK(OFFSET(A$1,,,SUMPRODUCT(MAX(ROW(E$1:E3648)*(E2=E$1:E3648))))))</f>
        <v> </v>
      </c>
      <c r="K3649" s="26" t="str">
        <f>IF(OR(E3649="",E3649="!!!",F3649="NEW"),"",INDEX(J$1:J3648,SUMPRODUCT(MAX(ROW(E$1:E3648)*(E3649=E$1:E3648)))))</f>
        <v> </v>
      </c>
      <c r="L3649" s="27"/>
    </row>
    <row r="3650" spans="1:12">
      <c r="A3650" s="20" t="s">
        <v>1450</v>
      </c>
      <c r="E3650" s="22">
        <f>IF(D3650="?OLD","!!!","")</f>
        <v/>
      </c>
      <c r="F3650" s="23" t="str">
        <f>IF(OR(E3650="",E3650="!!!"),"",IF(NOT(ISNA(VLOOKUP(E3650,E$1:E3649,1,FALSE()))),"OLD",IF(AND(E3650&lt;&gt;"",E3650&lt;&gt;"!!!"),"NEW","")))</f>
        <v> </v>
      </c>
      <c r="G3650" s="24" t="str">
        <f>IF(OR(E3650="",E3650="!!!"),"",IF(OR(J3650=0,AND(J3650=1,K3650=1),AND(J3650=1,I3650="SBJ"),AND(J3650=1,I3650=0)),"?IN_FOCUS",IF(J3650&lt;=2,"?ACTIVATED",IF(J3650&lt;&gt;"","?FAMILIAR",IF(F3650="NEW",IF(ISNA(VLOOKUP(E3650,#REF!,1,FALSE())),"?TYPE_IDENTIFIABLE","?REFERENTIAL"),"_")))))</f>
        <v> </v>
      </c>
      <c r="H3650" s="25" t="str">
        <f>IF(J3650&lt;&gt;1,"",IF(I3650="SBJ","CB","?"))</f>
        <v> </v>
      </c>
      <c r="I3650" s="26" t="str">
        <f>IF(OR(E3650="",E3650="!!!",F3650="NEW"),"",INDEX(B3649:B$2,-1+SUMPRODUCT(MAX(ROW(E3649:E$2)*(E3650=E3649:E$2)))))</f>
        <v> </v>
      </c>
      <c r="J3650" s="26" t="str">
        <f>IF(OR(E3650="",E3650="!!!",F3650="NEW"),"",COUNTBLANK(OFFSET(A$1,,,SUMPRODUCT(MAX(ROW(E$2:E3650)*(E3650=E$2:E3650)))))-COUNTBLANK(OFFSET(A$1,,,SUMPRODUCT(MAX(ROW(E$1:E3649)*(E2=E$1:E3649))))))</f>
        <v> </v>
      </c>
      <c r="K3650" s="26" t="str">
        <f>IF(OR(E3650="",E3650="!!!",F3650="NEW"),"",INDEX(J$1:J3649,SUMPRODUCT(MAX(ROW(E$1:E3649)*(E3650=E$1:E3649)))))</f>
        <v> </v>
      </c>
      <c r="L3650" s="27"/>
    </row>
    <row r="3651" spans="1:12">
      <c r="A3651" s="20" t="s">
        <v>1014</v>
      </c>
      <c r="E3651" s="22">
        <f>IF(D3651="?OLD","!!!","")</f>
        <v/>
      </c>
      <c r="F3651" s="23" t="str">
        <f>IF(OR(E3651="",E3651="!!!"),"",IF(NOT(ISNA(VLOOKUP(E3651,E$1:E3650,1,FALSE()))),"OLD",IF(AND(E3651&lt;&gt;"",E3651&lt;&gt;"!!!"),"NEW","")))</f>
        <v> </v>
      </c>
      <c r="G3651" s="24" t="str">
        <f>IF(OR(E3651="",E3651="!!!"),"",IF(OR(J3651=0,AND(J3651=1,K3651=1),AND(J3651=1,I3651="SBJ"),AND(J3651=1,I3651=0)),"?IN_FOCUS",IF(J3651&lt;=2,"?ACTIVATED",IF(J3651&lt;&gt;"","?FAMILIAR",IF(F3651="NEW",IF(ISNA(VLOOKUP(E3651,#REF!,1,FALSE())),"?TYPE_IDENTIFIABLE","?REFERENTIAL"),"_")))))</f>
        <v> </v>
      </c>
      <c r="H3651" s="25" t="str">
        <f>IF(J3651&lt;&gt;1,"",IF(I3651="SBJ","CB","?"))</f>
        <v> </v>
      </c>
      <c r="I3651" s="26" t="str">
        <f>IF(OR(E3651="",E3651="!!!",F3651="NEW"),"",INDEX(B3650:B$2,-1+SUMPRODUCT(MAX(ROW(E3650:E$2)*(E3651=E3650:E$2)))))</f>
        <v> </v>
      </c>
      <c r="J3651" s="26" t="str">
        <f>IF(OR(E3651="",E3651="!!!",F3651="NEW"),"",COUNTBLANK(OFFSET(A$1,,,SUMPRODUCT(MAX(ROW(E$2:E3651)*(E3651=E$2:E3651)))))-COUNTBLANK(OFFSET(A$1,,,SUMPRODUCT(MAX(ROW(E$1:E3650)*(E2=E$1:E3650))))))</f>
        <v> </v>
      </c>
      <c r="K3651" s="26" t="str">
        <f>IF(OR(E3651="",E3651="!!!",F3651="NEW"),"",INDEX(J$1:J3650,SUMPRODUCT(MAX(ROW(E$1:E3650)*(E3651=E$1:E3650)))))</f>
        <v> </v>
      </c>
      <c r="L3651" s="27"/>
    </row>
    <row r="3652" spans="1:12">
      <c r="A3652" s="20" t="s">
        <v>1015</v>
      </c>
      <c r="E3652" s="22">
        <f>IF(D3652="?OLD","!!!","")</f>
        <v/>
      </c>
      <c r="F3652" s="23" t="str">
        <f>IF(OR(E3652="",E3652="!!!"),"",IF(NOT(ISNA(VLOOKUP(E3652,E$1:E3651,1,FALSE()))),"OLD",IF(AND(E3652&lt;&gt;"",E3652&lt;&gt;"!!!"),"NEW","")))</f>
        <v> </v>
      </c>
      <c r="G3652" s="24" t="str">
        <f>IF(OR(E3652="",E3652="!!!"),"",IF(OR(J3652=0,AND(J3652=1,K3652=1),AND(J3652=1,I3652="SBJ"),AND(J3652=1,I3652=0)),"?IN_FOCUS",IF(J3652&lt;=2,"?ACTIVATED",IF(J3652&lt;&gt;"","?FAMILIAR",IF(F3652="NEW",IF(ISNA(VLOOKUP(E3652,#REF!,1,FALSE())),"?TYPE_IDENTIFIABLE","?REFERENTIAL"),"_")))))</f>
        <v> </v>
      </c>
      <c r="H3652" s="25" t="str">
        <f>IF(J3652&lt;&gt;1,"",IF(I3652="SBJ","CB","?"))</f>
        <v> </v>
      </c>
      <c r="I3652" s="26" t="str">
        <f>IF(OR(E3652="",E3652="!!!",F3652="NEW"),"",INDEX(B3651:B$2,-1+SUMPRODUCT(MAX(ROW(E3651:E$2)*(E3652=E3651:E$2)))))</f>
        <v> </v>
      </c>
      <c r="J3652" s="26" t="str">
        <f>IF(OR(E3652="",E3652="!!!",F3652="NEW"),"",COUNTBLANK(OFFSET(A$1,,,SUMPRODUCT(MAX(ROW(E$2:E3652)*(E3652=E$2:E3652)))))-COUNTBLANK(OFFSET(A$1,,,SUMPRODUCT(MAX(ROW(E$1:E3651)*(E2=E$1:E3651))))))</f>
        <v> </v>
      </c>
      <c r="K3652" s="26" t="str">
        <f>IF(OR(E3652="",E3652="!!!",F3652="NEW"),"",INDEX(J$1:J3651,SUMPRODUCT(MAX(ROW(E$1:E3651)*(E3652=E$1:E3651)))))</f>
        <v> </v>
      </c>
      <c r="L3652" s="27"/>
    </row>
    <row r="3653" spans="1:12">
      <c r="A3653" s="20" t="s">
        <v>2100</v>
      </c>
      <c r="B3653" s="21" t="s">
        <v>1187</v>
      </c>
      <c r="E3653" s="22">
        <f>IF(D3653="?OLD","!!!","")</f>
        <v/>
      </c>
      <c r="F3653" s="23" t="str">
        <f>IF(OR(E3653="",E3653="!!!"),"",IF(NOT(ISNA(VLOOKUP(E3653,E$1:E3652,1,FALSE()))),"OLD",IF(AND(E3653&lt;&gt;"",E3653&lt;&gt;"!!!"),"NEW","")))</f>
        <v> </v>
      </c>
      <c r="G3653" s="24" t="str">
        <f>IF(OR(E3653="",E3653="!!!"),"",IF(OR(J3653=0,AND(J3653=1,K3653=1),AND(J3653=1,I3653="SBJ"),AND(J3653=1,I3653=0)),"?IN_FOCUS",IF(J3653&lt;=2,"?ACTIVATED",IF(J3653&lt;&gt;"","?FAMILIAR",IF(F3653="NEW",IF(ISNA(VLOOKUP(E3653,#REF!,1,FALSE())),"?TYPE_IDENTIFIABLE","?REFERENTIAL"),"_")))))</f>
        <v> </v>
      </c>
      <c r="H3653" s="25" t="str">
        <f>IF(J3653&lt;&gt;1,"",IF(I3653="SBJ","CB","?"))</f>
        <v> </v>
      </c>
      <c r="I3653" s="26" t="str">
        <f>IF(OR(E3653="",E3653="!!!",F3653="NEW"),"",INDEX(B3652:B$2,-1+SUMPRODUCT(MAX(ROW(E3652:E$2)*(E3653=E3652:E$2)))))</f>
        <v> </v>
      </c>
      <c r="J3653" s="26" t="str">
        <f>IF(OR(E3653="",E3653="!!!",F3653="NEW"),"",COUNTBLANK(OFFSET(A$1,,,SUMPRODUCT(MAX(ROW(E$2:E3653)*(E3653=E$2:E3653)))))-COUNTBLANK(OFFSET(A$1,,,SUMPRODUCT(MAX(ROW(E$1:E3652)*(E2=E$1:E3652))))))</f>
        <v> </v>
      </c>
      <c r="K3653" s="26" t="str">
        <f>IF(OR(E3653="",E3653="!!!",F3653="NEW"),"",INDEX(J$1:J3652,SUMPRODUCT(MAX(ROW(E$1:E3652)*(E3653=E$1:E3652)))))</f>
        <v> </v>
      </c>
      <c r="L3653" s="27"/>
    </row>
    <row r="3654" spans="1:12">
      <c r="A3654" s="20" t="s">
        <v>1020</v>
      </c>
      <c r="E3654" s="22">
        <f>IF(D3654="?OLD","!!!","")</f>
        <v/>
      </c>
      <c r="F3654" s="23" t="str">
        <f>IF(OR(E3654="",E3654="!!!"),"",IF(NOT(ISNA(VLOOKUP(E3654,E$1:E3653,1,FALSE()))),"OLD",IF(AND(E3654&lt;&gt;"",E3654&lt;&gt;"!!!"),"NEW","")))</f>
        <v> </v>
      </c>
      <c r="G3654" s="24" t="str">
        <f>IF(OR(E3654="",E3654="!!!"),"",IF(OR(J3654=0,AND(J3654=1,K3654=1),AND(J3654=1,I3654="SBJ"),AND(J3654=1,I3654=0)),"?IN_FOCUS",IF(J3654&lt;=2,"?ACTIVATED",IF(J3654&lt;&gt;"","?FAMILIAR",IF(F3654="NEW",IF(ISNA(VLOOKUP(E3654,#REF!,1,FALSE())),"?TYPE_IDENTIFIABLE","?REFERENTIAL"),"_")))))</f>
        <v> </v>
      </c>
      <c r="H3654" s="25" t="str">
        <f>IF(J3654&lt;&gt;1,"",IF(I3654="SBJ","CB","?"))</f>
        <v> </v>
      </c>
      <c r="I3654" s="26" t="str">
        <f>IF(OR(E3654="",E3654="!!!",F3654="NEW"),"",INDEX(B3653:B$2,-1+SUMPRODUCT(MAX(ROW(E3653:E$2)*(E3654=E3653:E$2)))))</f>
        <v> </v>
      </c>
      <c r="J3654" s="26" t="str">
        <f>IF(OR(E3654="",E3654="!!!",F3654="NEW"),"",COUNTBLANK(OFFSET(A$1,,,SUMPRODUCT(MAX(ROW(E$2:E3654)*(E3654=E$2:E3654)))))-COUNTBLANK(OFFSET(A$1,,,SUMPRODUCT(MAX(ROW(E$1:E3653)*(E2=E$1:E3653))))))</f>
        <v> </v>
      </c>
      <c r="K3654" s="26" t="str">
        <f>IF(OR(E3654="",E3654="!!!",F3654="NEW"),"",INDEX(J$1:J3653,SUMPRODUCT(MAX(ROW(E$1:E3653)*(E3654=E$1:E3653)))))</f>
        <v> </v>
      </c>
      <c r="L3654" s="27"/>
    </row>
    <row r="3655" spans="1:12">
      <c r="A3655" s="20" t="s">
        <v>1211</v>
      </c>
      <c r="B3655" s="21" t="s">
        <v>1154</v>
      </c>
      <c r="C3655" s="21" t="s">
        <v>1006</v>
      </c>
      <c r="D3655" s="21" t="s">
        <v>1007</v>
      </c>
      <c r="E3655" s="22">
        <f>IF(D3655="?OLD","!!!","")</f>
        <v/>
      </c>
      <c r="F3655" s="23" t="str">
        <f>IF(OR(E3655="",E3655="!!!"),"",IF(NOT(ISNA(VLOOKUP(E3655,E$1:E3654,1,FALSE()))),"OLD",IF(AND(E3655&lt;&gt;"",E3655&lt;&gt;"!!!"),"NEW","")))</f>
        <v> </v>
      </c>
      <c r="G3655" s="24" t="str">
        <f>IF(OR(E3655="",E3655="!!!"),"",IF(OR(J3655=0,AND(J3655=1,K3655=1),AND(J3655=1,I3655="SBJ"),AND(J3655=1,I3655=0)),"?IN_FOCUS",IF(J3655&lt;=2,"?ACTIVATED",IF(J3655&lt;&gt;"","?FAMILIAR",IF(F3655="NEW",IF(ISNA(VLOOKUP(E3655,#REF!,1,FALSE())),"?TYPE_IDENTIFIABLE","?REFERENTIAL"),"_")))))</f>
        <v> </v>
      </c>
      <c r="H3655" s="25" t="str">
        <f>IF(J3655&lt;&gt;1,"",IF(I3655="SBJ","CB","?"))</f>
        <v> </v>
      </c>
      <c r="I3655" s="26" t="str">
        <f>IF(OR(E3655="",E3655="!!!",F3655="NEW"),"",INDEX(B3654:B$2,-1+SUMPRODUCT(MAX(ROW(E3654:E$2)*(E3655=E3654:E$2)))))</f>
        <v> </v>
      </c>
      <c r="J3655" s="26" t="str">
        <f>IF(OR(E3655="",E3655="!!!",F3655="NEW"),"",COUNTBLANK(OFFSET(A$1,,,SUMPRODUCT(MAX(ROW(E$2:E3655)*(E3655=E$2:E3655)))))-COUNTBLANK(OFFSET(A$1,,,SUMPRODUCT(MAX(ROW(E$1:E3654)*(E2=E$1:E3654))))))</f>
        <v> </v>
      </c>
      <c r="K3655" s="26" t="str">
        <f>IF(OR(E3655="",E3655="!!!",F3655="NEW"),"",INDEX(J$1:J3654,SUMPRODUCT(MAX(ROW(E$1:E3654)*(E3655=E$1:E3654)))))</f>
        <v> </v>
      </c>
      <c r="L3655" s="27"/>
    </row>
    <row r="3656" spans="1:12">
      <c r="A3656" s="20" t="s">
        <v>2101</v>
      </c>
      <c r="E3656" s="22">
        <f>IF(D3656="?OLD","!!!","")</f>
        <v/>
      </c>
      <c r="F3656" s="23" t="str">
        <f>IF(OR(E3656="",E3656="!!!"),"",IF(NOT(ISNA(VLOOKUP(E3656,E$1:E3655,1,FALSE()))),"OLD",IF(AND(E3656&lt;&gt;"",E3656&lt;&gt;"!!!"),"NEW","")))</f>
        <v> </v>
      </c>
      <c r="G3656" s="24" t="str">
        <f>IF(OR(E3656="",E3656="!!!"),"",IF(OR(J3656=0,AND(J3656=1,K3656=1),AND(J3656=1,I3656="SBJ"),AND(J3656=1,I3656=0)),"?IN_FOCUS",IF(J3656&lt;=2,"?ACTIVATED",IF(J3656&lt;&gt;"","?FAMILIAR",IF(F3656="NEW",IF(ISNA(VLOOKUP(E3656,#REF!,1,FALSE())),"?TYPE_IDENTIFIABLE","?REFERENTIAL"),"_")))))</f>
        <v> </v>
      </c>
      <c r="H3656" s="25" t="str">
        <f>IF(J3656&lt;&gt;1,"",IF(I3656="SBJ","CB","?"))</f>
        <v> </v>
      </c>
      <c r="I3656" s="26" t="str">
        <f>IF(OR(E3656="",E3656="!!!",F3656="NEW"),"",INDEX(B3655:B$2,-1+SUMPRODUCT(MAX(ROW(E3655:E$2)*(E3656=E3655:E$2)))))</f>
        <v> </v>
      </c>
      <c r="J3656" s="26" t="str">
        <f>IF(OR(E3656="",E3656="!!!",F3656="NEW"),"",COUNTBLANK(OFFSET(A$1,,,SUMPRODUCT(MAX(ROW(E$2:E3656)*(E3656=E$2:E3656)))))-COUNTBLANK(OFFSET(A$1,,,SUMPRODUCT(MAX(ROW(E$1:E3655)*(E2=E$1:E3655))))))</f>
        <v> </v>
      </c>
      <c r="K3656" s="26" t="str">
        <f>IF(OR(E3656="",E3656="!!!",F3656="NEW"),"",INDEX(J$1:J3655,SUMPRODUCT(MAX(ROW(E$1:E3655)*(E3656=E$1:E3655)))))</f>
        <v> </v>
      </c>
      <c r="L3656" s="27"/>
    </row>
    <row r="3657" spans="1:12">
      <c r="A3657" s="20" t="s">
        <v>2102</v>
      </c>
      <c r="E3657" s="22">
        <f>IF(D3657="?OLD","!!!","")</f>
        <v/>
      </c>
      <c r="F3657" s="23" t="str">
        <f>IF(OR(E3657="",E3657="!!!"),"",IF(NOT(ISNA(VLOOKUP(E3657,E$1:E3656,1,FALSE()))),"OLD",IF(AND(E3657&lt;&gt;"",E3657&lt;&gt;"!!!"),"NEW","")))</f>
        <v> </v>
      </c>
      <c r="G3657" s="24" t="str">
        <f>IF(OR(E3657="",E3657="!!!"),"",IF(OR(J3657=0,AND(J3657=1,K3657=1),AND(J3657=1,I3657="SBJ"),AND(J3657=1,I3657=0)),"?IN_FOCUS",IF(J3657&lt;=2,"?ACTIVATED",IF(J3657&lt;&gt;"","?FAMILIAR",IF(F3657="NEW",IF(ISNA(VLOOKUP(E3657,#REF!,1,FALSE())),"?TYPE_IDENTIFIABLE","?REFERENTIAL"),"_")))))</f>
        <v> </v>
      </c>
      <c r="H3657" s="25" t="str">
        <f>IF(J3657&lt;&gt;1,"",IF(I3657="SBJ","CB","?"))</f>
        <v> </v>
      </c>
      <c r="I3657" s="26" t="str">
        <f>IF(OR(E3657="",E3657="!!!",F3657="NEW"),"",INDEX(B3656:B$2,-1+SUMPRODUCT(MAX(ROW(E3656:E$2)*(E3657=E3656:E$2)))))</f>
        <v> </v>
      </c>
      <c r="J3657" s="26" t="str">
        <f>IF(OR(E3657="",E3657="!!!",F3657="NEW"),"",COUNTBLANK(OFFSET(A$1,,,SUMPRODUCT(MAX(ROW(E$2:E3657)*(E3657=E$2:E3657)))))-COUNTBLANK(OFFSET(A$1,,,SUMPRODUCT(MAX(ROW(E$1:E3656)*(E2=E$1:E3656))))))</f>
        <v> </v>
      </c>
      <c r="K3657" s="26" t="str">
        <f>IF(OR(E3657="",E3657="!!!",F3657="NEW"),"",INDEX(J$1:J3656,SUMPRODUCT(MAX(ROW(E$1:E3656)*(E3657=E$1:E3656)))))</f>
        <v> </v>
      </c>
      <c r="L3657" s="27"/>
    </row>
    <row r="3658" spans="1:12">
      <c r="A3658" s="20" t="s">
        <v>1015</v>
      </c>
      <c r="E3658" s="22">
        <f>IF(D3658="?OLD","!!!","")</f>
        <v/>
      </c>
      <c r="F3658" s="23" t="str">
        <f>IF(OR(E3658="",E3658="!!!"),"",IF(NOT(ISNA(VLOOKUP(E3658,E$1:E3657,1,FALSE()))),"OLD",IF(AND(E3658&lt;&gt;"",E3658&lt;&gt;"!!!"),"NEW","")))</f>
        <v> </v>
      </c>
      <c r="G3658" s="24" t="str">
        <f>IF(OR(E3658="",E3658="!!!"),"",IF(OR(J3658=0,AND(J3658=1,K3658=1),AND(J3658=1,I3658="SBJ"),AND(J3658=1,I3658=0)),"?IN_FOCUS",IF(J3658&lt;=2,"?ACTIVATED",IF(J3658&lt;&gt;"","?FAMILIAR",IF(F3658="NEW",IF(ISNA(VLOOKUP(E3658,#REF!,1,FALSE())),"?TYPE_IDENTIFIABLE","?REFERENTIAL"),"_")))))</f>
        <v> </v>
      </c>
      <c r="H3658" s="25" t="str">
        <f>IF(J3658&lt;&gt;1,"",IF(I3658="SBJ","CB","?"))</f>
        <v> </v>
      </c>
      <c r="I3658" s="26" t="str">
        <f>IF(OR(E3658="",E3658="!!!",F3658="NEW"),"",INDEX(B3657:B$2,-1+SUMPRODUCT(MAX(ROW(E3657:E$2)*(E3658=E3657:E$2)))))</f>
        <v> </v>
      </c>
      <c r="J3658" s="26" t="str">
        <f>IF(OR(E3658="",E3658="!!!",F3658="NEW"),"",COUNTBLANK(OFFSET(A$1,,,SUMPRODUCT(MAX(ROW(E$2:E3658)*(E3658=E$2:E3658)))))-COUNTBLANK(OFFSET(A$1,,,SUMPRODUCT(MAX(ROW(E$1:E3657)*(E2=E$1:E3657))))))</f>
        <v> </v>
      </c>
      <c r="K3658" s="26" t="str">
        <f>IF(OR(E3658="",E3658="!!!",F3658="NEW"),"",INDEX(J$1:J3657,SUMPRODUCT(MAX(ROW(E$1:E3657)*(E3658=E$1:E3657)))))</f>
        <v> </v>
      </c>
      <c r="L3658" s="27"/>
    </row>
    <row r="3659" spans="1:12">
      <c r="A3659" s="20" t="s">
        <v>2103</v>
      </c>
      <c r="B3659" s="21" t="s">
        <v>1022</v>
      </c>
      <c r="C3659" s="21" t="s">
        <v>1017</v>
      </c>
      <c r="D3659" s="21" t="s">
        <v>1007</v>
      </c>
      <c r="E3659" s="22">
        <f>IF(D3659="?OLD","!!!","")</f>
        <v/>
      </c>
      <c r="F3659" s="23" t="str">
        <f>IF(OR(E3659="",E3659="!!!"),"",IF(NOT(ISNA(VLOOKUP(E3659,E$1:E3658,1,FALSE()))),"OLD",IF(AND(E3659&lt;&gt;"",E3659&lt;&gt;"!!!"),"NEW","")))</f>
        <v> </v>
      </c>
      <c r="G3659" s="24" t="str">
        <f>IF(OR(E3659="",E3659="!!!"),"",IF(OR(J3659=0,AND(J3659=1,K3659=1),AND(J3659=1,I3659="SBJ"),AND(J3659=1,I3659=0)),"?IN_FOCUS",IF(J3659&lt;=2,"?ACTIVATED",IF(J3659&lt;&gt;"","?FAMILIAR",IF(F3659="NEW",IF(ISNA(VLOOKUP(E3659,#REF!,1,FALSE())),"?TYPE_IDENTIFIABLE","?REFERENTIAL"),"_")))))</f>
        <v> </v>
      </c>
      <c r="H3659" s="25" t="str">
        <f>IF(J3659&lt;&gt;1,"",IF(I3659="SBJ","CB","?"))</f>
        <v> </v>
      </c>
      <c r="I3659" s="26" t="str">
        <f>IF(OR(E3659="",E3659="!!!",F3659="NEW"),"",INDEX(B3658:B$2,-1+SUMPRODUCT(MAX(ROW(E3658:E$2)*(E3659=E3658:E$2)))))</f>
        <v> </v>
      </c>
      <c r="J3659" s="26" t="str">
        <f>IF(OR(E3659="",E3659="!!!",F3659="NEW"),"",COUNTBLANK(OFFSET(A$1,,,SUMPRODUCT(MAX(ROW(E$2:E3659)*(E3659=E$2:E3659)))))-COUNTBLANK(OFFSET(A$1,,,SUMPRODUCT(MAX(ROW(E$1:E3658)*(E2=E$1:E3658))))))</f>
        <v> </v>
      </c>
      <c r="K3659" s="26" t="str">
        <f>IF(OR(E3659="",E3659="!!!",F3659="NEW"),"",INDEX(J$1:J3658,SUMPRODUCT(MAX(ROW(E$1:E3658)*(E3659=E$1:E3658)))))</f>
        <v> </v>
      </c>
      <c r="L3659" s="27"/>
    </row>
    <row r="3660" spans="1:12">
      <c r="A3660" s="20" t="s">
        <v>2104</v>
      </c>
      <c r="E3660" s="22">
        <f>IF(D3660="?OLD","!!!","")</f>
        <v/>
      </c>
      <c r="F3660" s="23" t="str">
        <f>IF(OR(E3660="",E3660="!!!"),"",IF(NOT(ISNA(VLOOKUP(E3660,E$1:E3659,1,FALSE()))),"OLD",IF(AND(E3660&lt;&gt;"",E3660&lt;&gt;"!!!"),"NEW","")))</f>
        <v> </v>
      </c>
      <c r="G3660" s="24" t="str">
        <f>IF(OR(E3660="",E3660="!!!"),"",IF(OR(J3660=0,AND(J3660=1,K3660=1),AND(J3660=1,I3660="SBJ"),AND(J3660=1,I3660=0)),"?IN_FOCUS",IF(J3660&lt;=2,"?ACTIVATED",IF(J3660&lt;&gt;"","?FAMILIAR",IF(F3660="NEW",IF(ISNA(VLOOKUP(E3660,#REF!,1,FALSE())),"?TYPE_IDENTIFIABLE","?REFERENTIAL"),"_")))))</f>
        <v> </v>
      </c>
      <c r="H3660" s="25" t="str">
        <f>IF(J3660&lt;&gt;1,"",IF(I3660="SBJ","CB","?"))</f>
        <v> </v>
      </c>
      <c r="I3660" s="26" t="str">
        <f>IF(OR(E3660="",E3660="!!!",F3660="NEW"),"",INDEX(B3659:B$2,-1+SUMPRODUCT(MAX(ROW(E3659:E$2)*(E3660=E3659:E$2)))))</f>
        <v> </v>
      </c>
      <c r="J3660" s="26" t="str">
        <f>IF(OR(E3660="",E3660="!!!",F3660="NEW"),"",COUNTBLANK(OFFSET(A$1,,,SUMPRODUCT(MAX(ROW(E$2:E3660)*(E3660=E$2:E3660)))))-COUNTBLANK(OFFSET(A$1,,,SUMPRODUCT(MAX(ROW(E$1:E3659)*(E2=E$1:E3659))))))</f>
        <v> </v>
      </c>
      <c r="K3660" s="26" t="str">
        <f>IF(OR(E3660="",E3660="!!!",F3660="NEW"),"",INDEX(J$1:J3659,SUMPRODUCT(MAX(ROW(E$1:E3659)*(E3660=E$1:E3659)))))</f>
        <v> </v>
      </c>
      <c r="L3660" s="27"/>
    </row>
    <row r="3661" spans="1:12">
      <c r="A3661" s="20" t="s">
        <v>1023</v>
      </c>
      <c r="E3661" s="22">
        <f>IF(D3661="?OLD","!!!","")</f>
        <v/>
      </c>
      <c r="F3661" s="23" t="str">
        <f>IF(OR(E3661="",E3661="!!!"),"",IF(NOT(ISNA(VLOOKUP(E3661,E$1:E3660,1,FALSE()))),"OLD",IF(AND(E3661&lt;&gt;"",E3661&lt;&gt;"!!!"),"NEW","")))</f>
        <v> </v>
      </c>
      <c r="G3661" s="24" t="str">
        <f>IF(OR(E3661="",E3661="!!!"),"",IF(OR(J3661=0,AND(J3661=1,K3661=1),AND(J3661=1,I3661="SBJ"),AND(J3661=1,I3661=0)),"?IN_FOCUS",IF(J3661&lt;=2,"?ACTIVATED",IF(J3661&lt;&gt;"","?FAMILIAR",IF(F3661="NEW",IF(ISNA(VLOOKUP(E3661,#REF!,1,FALSE())),"?TYPE_IDENTIFIABLE","?REFERENTIAL"),"_")))))</f>
        <v> </v>
      </c>
      <c r="H3661" s="25" t="str">
        <f>IF(J3661&lt;&gt;1,"",IF(I3661="SBJ","CB","?"))</f>
        <v> </v>
      </c>
      <c r="I3661" s="26" t="str">
        <f>IF(OR(E3661="",E3661="!!!",F3661="NEW"),"",INDEX(B3660:B$2,-1+SUMPRODUCT(MAX(ROW(E3660:E$2)*(E3661=E3660:E$2)))))</f>
        <v> </v>
      </c>
      <c r="J3661" s="26" t="str">
        <f>IF(OR(E3661="",E3661="!!!",F3661="NEW"),"",COUNTBLANK(OFFSET(A$1,,,SUMPRODUCT(MAX(ROW(E$2:E3661)*(E3661=E$2:E3661)))))-COUNTBLANK(OFFSET(A$1,,,SUMPRODUCT(MAX(ROW(E$1:E3660)*(E2=E$1:E3660))))))</f>
        <v> </v>
      </c>
      <c r="K3661" s="26" t="str">
        <f>IF(OR(E3661="",E3661="!!!",F3661="NEW"),"",INDEX(J$1:J3660,SUMPRODUCT(MAX(ROW(E$1:E3660)*(E3661=E$1:E3660)))))</f>
        <v> </v>
      </c>
      <c r="L3661" s="27"/>
    </row>
    <row r="3662" spans="1:12">
      <c r="A3662" s="20"/>
    </row>
    <row r="3663" spans="1:12">
      <c r="A3663" s="20" t="s">
        <v>2105</v>
      </c>
    </row>
    <row r="3664" spans="1:12">
      <c r="A3664" s="20" t="s">
        <v>2106</v>
      </c>
      <c r="E3664" s="22">
        <f>IF(D3664="?OLD","!!!","")</f>
        <v/>
      </c>
      <c r="F3664" s="23" t="str">
        <f>IF(OR(E3664="",E3664="!!!"),"",IF(NOT(ISNA(VLOOKUP(E3664,E$1:E3663,1,FALSE()))),"OLD",IF(AND(E3664&lt;&gt;"",E3664&lt;&gt;"!!!"),"NEW","")))</f>
        <v> </v>
      </c>
      <c r="G3664" s="24" t="str">
        <f>IF(OR(E3664="",E3664="!!!"),"",IF(OR(J3664=0,AND(J3664=1,K3664=1),AND(J3664=1,I3664="SBJ"),AND(J3664=1,I3664=0)),"?IN_FOCUS",IF(J3664&lt;=2,"?ACTIVATED",IF(J3664&lt;&gt;"","?FAMILIAR",IF(F3664="NEW",IF(ISNA(VLOOKUP(E3664,#REF!,1,FALSE())),"?TYPE_IDENTIFIABLE","?REFERENTIAL"),"_")))))</f>
        <v> </v>
      </c>
      <c r="H3664" s="25" t="str">
        <f>IF(J3664&lt;&gt;1,"",IF(I3664="SBJ","CB","?"))</f>
        <v> </v>
      </c>
      <c r="I3664" s="26" t="str">
        <f>IF(OR(E3664="",E3664="!!!",F3664="NEW"),"",INDEX(B3663:B$2,-1+SUMPRODUCT(MAX(ROW(E3663:E$2)*(E3664=E3663:E$2)))))</f>
        <v> </v>
      </c>
      <c r="J3664" s="26" t="str">
        <f>IF(OR(E3664="",E3664="!!!",F3664="NEW"),"",COUNTBLANK(OFFSET(A$1,,,SUMPRODUCT(MAX(ROW(E$2:E3664)*(E3664=E$2:E3664)))))-COUNTBLANK(OFFSET(A$1,,,SUMPRODUCT(MAX(ROW(E$1:E3663)*(E2=E$1:E3663))))))</f>
        <v> </v>
      </c>
      <c r="K3664" s="26" t="str">
        <f>IF(OR(E3664="",E3664="!!!",F3664="NEW"),"",INDEX(J$1:J3663,SUMPRODUCT(MAX(ROW(E$1:E3663)*(E3664=E$1:E3663)))))</f>
        <v> </v>
      </c>
      <c r="L3664" s="27"/>
    </row>
    <row r="3665" spans="1:12">
      <c r="A3665" s="20" t="s">
        <v>1020</v>
      </c>
      <c r="E3665" s="22">
        <f>IF(D3665="?OLD","!!!","")</f>
        <v/>
      </c>
      <c r="F3665" s="23" t="str">
        <f>IF(OR(E3665="",E3665="!!!"),"",IF(NOT(ISNA(VLOOKUP(E3665,E$1:E3664,1,FALSE()))),"OLD",IF(AND(E3665&lt;&gt;"",E3665&lt;&gt;"!!!"),"NEW","")))</f>
        <v> </v>
      </c>
      <c r="G3665" s="24" t="str">
        <f>IF(OR(E3665="",E3665="!!!"),"",IF(OR(J3665=0,AND(J3665=1,K3665=1),AND(J3665=1,I3665="SBJ"),AND(J3665=1,I3665=0)),"?IN_FOCUS",IF(J3665&lt;=2,"?ACTIVATED",IF(J3665&lt;&gt;"","?FAMILIAR",IF(F3665="NEW",IF(ISNA(VLOOKUP(E3665,#REF!,1,FALSE())),"?TYPE_IDENTIFIABLE","?REFERENTIAL"),"_")))))</f>
        <v> </v>
      </c>
      <c r="H3665" s="25" t="str">
        <f>IF(J3665&lt;&gt;1,"",IF(I3665="SBJ","CB","?"))</f>
        <v> </v>
      </c>
      <c r="I3665" s="26" t="str">
        <f>IF(OR(E3665="",E3665="!!!",F3665="NEW"),"",INDEX(B3664:B$2,-1+SUMPRODUCT(MAX(ROW(E3664:E$2)*(E3665=E3664:E$2)))))</f>
        <v> </v>
      </c>
      <c r="J3665" s="26" t="str">
        <f>IF(OR(E3665="",E3665="!!!",F3665="NEW"),"",COUNTBLANK(OFFSET(A$1,,,SUMPRODUCT(MAX(ROW(E$2:E3665)*(E3665=E$2:E3665)))))-COUNTBLANK(OFFSET(A$1,,,SUMPRODUCT(MAX(ROW(E$1:E3664)*(E2=E$1:E3664))))))</f>
        <v> </v>
      </c>
      <c r="K3665" s="26" t="str">
        <f>IF(OR(E3665="",E3665="!!!",F3665="NEW"),"",INDEX(J$1:J3664,SUMPRODUCT(MAX(ROW(E$1:E3664)*(E3665=E$1:E3664)))))</f>
        <v> </v>
      </c>
      <c r="L3665" s="27"/>
    </row>
    <row r="3666" spans="1:12">
      <c r="A3666" s="20" t="s">
        <v>1015</v>
      </c>
      <c r="E3666" s="22">
        <f>IF(D3666="?OLD","!!!","")</f>
        <v/>
      </c>
      <c r="F3666" s="23" t="str">
        <f>IF(OR(E3666="",E3666="!!!"),"",IF(NOT(ISNA(VLOOKUP(E3666,E$1:E3665,1,FALSE()))),"OLD",IF(AND(E3666&lt;&gt;"",E3666&lt;&gt;"!!!"),"NEW","")))</f>
        <v> </v>
      </c>
      <c r="G3666" s="24" t="str">
        <f>IF(OR(E3666="",E3666="!!!"),"",IF(OR(J3666=0,AND(J3666=1,K3666=1),AND(J3666=1,I3666="SBJ"),AND(J3666=1,I3666=0)),"?IN_FOCUS",IF(J3666&lt;=2,"?ACTIVATED",IF(J3666&lt;&gt;"","?FAMILIAR",IF(F3666="NEW",IF(ISNA(VLOOKUP(E3666,#REF!,1,FALSE())),"?TYPE_IDENTIFIABLE","?REFERENTIAL"),"_")))))</f>
        <v> </v>
      </c>
      <c r="H3666" s="25" t="str">
        <f>IF(J3666&lt;&gt;1,"",IF(I3666="SBJ","CB","?"))</f>
        <v> </v>
      </c>
      <c r="I3666" s="26" t="str">
        <f>IF(OR(E3666="",E3666="!!!",F3666="NEW"),"",INDEX(B3665:B$2,-1+SUMPRODUCT(MAX(ROW(E3665:E$2)*(E3666=E3665:E$2)))))</f>
        <v> </v>
      </c>
      <c r="J3666" s="26" t="str">
        <f>IF(OR(E3666="",E3666="!!!",F3666="NEW"),"",COUNTBLANK(OFFSET(A$1,,,SUMPRODUCT(MAX(ROW(E$2:E3666)*(E3666=E$2:E3666)))))-COUNTBLANK(OFFSET(A$1,,,SUMPRODUCT(MAX(ROW(E$1:E3665)*(E2=E$1:E3665))))))</f>
        <v> </v>
      </c>
      <c r="K3666" s="26" t="str">
        <f>IF(OR(E3666="",E3666="!!!",F3666="NEW"),"",INDEX(J$1:J3665,SUMPRODUCT(MAX(ROW(E$1:E3665)*(E3666=E$1:E3665)))))</f>
        <v> </v>
      </c>
      <c r="L3666" s="27"/>
    </row>
    <row r="3667" spans="1:12">
      <c r="A3667" s="20" t="s">
        <v>2103</v>
      </c>
      <c r="B3667" s="21" t="s">
        <v>1085</v>
      </c>
      <c r="C3667" s="21" t="s">
        <v>1017</v>
      </c>
      <c r="D3667" s="21" t="s">
        <v>1007</v>
      </c>
      <c r="E3667" s="22">
        <f>IF(D3667="?OLD","!!!","")</f>
        <v/>
      </c>
      <c r="F3667" s="23" t="str">
        <f>IF(OR(E3667="",E3667="!!!"),"",IF(NOT(ISNA(VLOOKUP(E3667,E$1:E3666,1,FALSE()))),"OLD",IF(AND(E3667&lt;&gt;"",E3667&lt;&gt;"!!!"),"NEW","")))</f>
        <v> </v>
      </c>
      <c r="G3667" s="24" t="str">
        <f>IF(OR(E3667="",E3667="!!!"),"",IF(OR(J3667=0,AND(J3667=1,K3667=1),AND(J3667=1,I3667="SBJ"),AND(J3667=1,I3667=0)),"?IN_FOCUS",IF(J3667&lt;=2,"?ACTIVATED",IF(J3667&lt;&gt;"","?FAMILIAR",IF(F3667="NEW",IF(ISNA(VLOOKUP(E3667,#REF!,1,FALSE())),"?TYPE_IDENTIFIABLE","?REFERENTIAL"),"_")))))</f>
        <v> </v>
      </c>
      <c r="H3667" s="25" t="str">
        <f>IF(J3667&lt;&gt;1,"",IF(I3667="SBJ","CB","?"))</f>
        <v> </v>
      </c>
      <c r="I3667" s="26" t="str">
        <f>IF(OR(E3667="",E3667="!!!",F3667="NEW"),"",INDEX(B3666:B$2,-1+SUMPRODUCT(MAX(ROW(E3666:E$2)*(E3667=E3666:E$2)))))</f>
        <v> </v>
      </c>
      <c r="J3667" s="26" t="str">
        <f>IF(OR(E3667="",E3667="!!!",F3667="NEW"),"",COUNTBLANK(OFFSET(A$1,,,SUMPRODUCT(MAX(ROW(E$2:E3667)*(E3667=E$2:E3667)))))-COUNTBLANK(OFFSET(A$1,,,SUMPRODUCT(MAX(ROW(E$1:E3666)*(E2=E$1:E3666))))))</f>
        <v> </v>
      </c>
      <c r="K3667" s="26" t="str">
        <f>IF(OR(E3667="",E3667="!!!",F3667="NEW"),"",INDEX(J$1:J3666,SUMPRODUCT(MAX(ROW(E$1:E3666)*(E3667=E$1:E3666)))))</f>
        <v> </v>
      </c>
      <c r="L3667" s="27"/>
    </row>
    <row r="3668" spans="1:12">
      <c r="A3668" s="20" t="s">
        <v>2104</v>
      </c>
      <c r="E3668" s="22">
        <f>IF(D3668="?OLD","!!!","")</f>
        <v/>
      </c>
      <c r="F3668" s="23" t="str">
        <f>IF(OR(E3668="",E3668="!!!"),"",IF(NOT(ISNA(VLOOKUP(E3668,E$1:E3667,1,FALSE()))),"OLD",IF(AND(E3668&lt;&gt;"",E3668&lt;&gt;"!!!"),"NEW","")))</f>
        <v> </v>
      </c>
      <c r="G3668" s="24" t="str">
        <f>IF(OR(E3668="",E3668="!!!"),"",IF(OR(J3668=0,AND(J3668=1,K3668=1),AND(J3668=1,I3668="SBJ"),AND(J3668=1,I3668=0)),"?IN_FOCUS",IF(J3668&lt;=2,"?ACTIVATED",IF(J3668&lt;&gt;"","?FAMILIAR",IF(F3668="NEW",IF(ISNA(VLOOKUP(E3668,#REF!,1,FALSE())),"?TYPE_IDENTIFIABLE","?REFERENTIAL"),"_")))))</f>
        <v> </v>
      </c>
      <c r="H3668" s="25" t="str">
        <f>IF(J3668&lt;&gt;1,"",IF(I3668="SBJ","CB","?"))</f>
        <v> </v>
      </c>
      <c r="I3668" s="26" t="str">
        <f>IF(OR(E3668="",E3668="!!!",F3668="NEW"),"",INDEX(B3667:B$2,-1+SUMPRODUCT(MAX(ROW(E3667:E$2)*(E3668=E3667:E$2)))))</f>
        <v> </v>
      </c>
      <c r="J3668" s="26" t="str">
        <f>IF(OR(E3668="",E3668="!!!",F3668="NEW"),"",COUNTBLANK(OFFSET(A$1,,,SUMPRODUCT(MAX(ROW(E$2:E3668)*(E3668=E$2:E3668)))))-COUNTBLANK(OFFSET(A$1,,,SUMPRODUCT(MAX(ROW(E$1:E3667)*(E2=E$1:E3667))))))</f>
        <v> </v>
      </c>
      <c r="K3668" s="26" t="str">
        <f>IF(OR(E3668="",E3668="!!!",F3668="NEW"),"",INDEX(J$1:J3667,SUMPRODUCT(MAX(ROW(E$1:E3667)*(E3668=E$1:E3667)))))</f>
        <v> </v>
      </c>
      <c r="L3668" s="27"/>
    </row>
    <row r="3669" spans="1:12">
      <c r="A3669" s="20" t="s">
        <v>1065</v>
      </c>
      <c r="B3669" s="21" t="s">
        <v>1154</v>
      </c>
      <c r="E3669" s="22">
        <f>IF(D3669="?OLD","!!!","")</f>
        <v/>
      </c>
      <c r="F3669" s="23" t="str">
        <f>IF(OR(E3669="",E3669="!!!"),"",IF(NOT(ISNA(VLOOKUP(E3669,E$1:E3668,1,FALSE()))),"OLD",IF(AND(E3669&lt;&gt;"",E3669&lt;&gt;"!!!"),"NEW","")))</f>
        <v> </v>
      </c>
      <c r="G3669" s="24" t="str">
        <f>IF(OR(E3669="",E3669="!!!"),"",IF(OR(J3669=0,AND(J3669=1,K3669=1),AND(J3669=1,I3669="SBJ"),AND(J3669=1,I3669=0)),"?IN_FOCUS",IF(J3669&lt;=2,"?ACTIVATED",IF(J3669&lt;&gt;"","?FAMILIAR",IF(F3669="NEW",IF(ISNA(VLOOKUP(E3669,#REF!,1,FALSE())),"?TYPE_IDENTIFIABLE","?REFERENTIAL"),"_")))))</f>
        <v> </v>
      </c>
      <c r="H3669" s="25" t="str">
        <f>IF(J3669&lt;&gt;1,"",IF(I3669="SBJ","CB","?"))</f>
        <v> </v>
      </c>
      <c r="I3669" s="26" t="str">
        <f>IF(OR(E3669="",E3669="!!!",F3669="NEW"),"",INDEX(B3668:B$2,-1+SUMPRODUCT(MAX(ROW(E3668:E$2)*(E3669=E3668:E$2)))))</f>
        <v> </v>
      </c>
      <c r="J3669" s="26" t="str">
        <f>IF(OR(E3669="",E3669="!!!",F3669="NEW"),"",COUNTBLANK(OFFSET(A$1,,,SUMPRODUCT(MAX(ROW(E$2:E3669)*(E3669=E$2:E3669)))))-COUNTBLANK(OFFSET(A$1,,,SUMPRODUCT(MAX(ROW(E$1:E3668)*(E2=E$1:E3668))))))</f>
        <v> </v>
      </c>
      <c r="K3669" s="26" t="str">
        <f>IF(OR(E3669="",E3669="!!!",F3669="NEW"),"",INDEX(J$1:J3668,SUMPRODUCT(MAX(ROW(E$1:E3668)*(E3669=E$1:E3668)))))</f>
        <v> </v>
      </c>
      <c r="L3669" s="27"/>
    </row>
    <row r="3670" spans="1:12">
      <c r="A3670" s="20" t="s">
        <v>1164</v>
      </c>
      <c r="E3670" s="22">
        <f>IF(D3670="?OLD","!!!","")</f>
        <v/>
      </c>
      <c r="F3670" s="23" t="str">
        <f>IF(OR(E3670="",E3670="!!!"),"",IF(NOT(ISNA(VLOOKUP(E3670,E$1:E3669,1,FALSE()))),"OLD",IF(AND(E3670&lt;&gt;"",E3670&lt;&gt;"!!!"),"NEW","")))</f>
        <v> </v>
      </c>
      <c r="G3670" s="24" t="str">
        <f>IF(OR(E3670="",E3670="!!!"),"",IF(OR(J3670=0,AND(J3670=1,K3670=1),AND(J3670=1,I3670="SBJ"),AND(J3670=1,I3670=0)),"?IN_FOCUS",IF(J3670&lt;=2,"?ACTIVATED",IF(J3670&lt;&gt;"","?FAMILIAR",IF(F3670="NEW",IF(ISNA(VLOOKUP(E3670,#REF!,1,FALSE())),"?TYPE_IDENTIFIABLE","?REFERENTIAL"),"_")))))</f>
        <v> </v>
      </c>
      <c r="H3670" s="25" t="str">
        <f>IF(J3670&lt;&gt;1,"",IF(I3670="SBJ","CB","?"))</f>
        <v> </v>
      </c>
      <c r="I3670" s="26" t="str">
        <f>IF(OR(E3670="",E3670="!!!",F3670="NEW"),"",INDEX(B3669:B$2,-1+SUMPRODUCT(MAX(ROW(E3669:E$2)*(E3670=E3669:E$2)))))</f>
        <v> </v>
      </c>
      <c r="J3670" s="26" t="str">
        <f>IF(OR(E3670="",E3670="!!!",F3670="NEW"),"",COUNTBLANK(OFFSET(A$1,,,SUMPRODUCT(MAX(ROW(E$2:E3670)*(E3670=E$2:E3670)))))-COUNTBLANK(OFFSET(A$1,,,SUMPRODUCT(MAX(ROW(E$1:E3669)*(E2=E$1:E3669))))))</f>
        <v> </v>
      </c>
      <c r="K3670" s="26" t="str">
        <f>IF(OR(E3670="",E3670="!!!",F3670="NEW"),"",INDEX(J$1:J3669,SUMPRODUCT(MAX(ROW(E$1:E3669)*(E3670=E$1:E3669)))))</f>
        <v> </v>
      </c>
      <c r="L3670" s="27"/>
    </row>
    <row r="3671" spans="1:12">
      <c r="A3671" s="20" t="s">
        <v>2107</v>
      </c>
      <c r="B3671" s="21" t="s">
        <v>1022</v>
      </c>
      <c r="C3671" s="21" t="s">
        <v>1048</v>
      </c>
      <c r="E3671" s="22">
        <f>IF(D3671="?OLD","!!!","")</f>
        <v/>
      </c>
      <c r="F3671" s="23" t="str">
        <f>IF(OR(E3671="",E3671="!!!"),"",IF(NOT(ISNA(VLOOKUP(E3671,E$1:E3670,1,FALSE()))),"OLD",IF(AND(E3671&lt;&gt;"",E3671&lt;&gt;"!!!"),"NEW","")))</f>
        <v> </v>
      </c>
      <c r="G3671" s="24" t="str">
        <f>IF(OR(E3671="",E3671="!!!"),"",IF(OR(J3671=0,AND(J3671=1,K3671=1),AND(J3671=1,I3671="SBJ"),AND(J3671=1,I3671=0)),"?IN_FOCUS",IF(J3671&lt;=2,"?ACTIVATED",IF(J3671&lt;&gt;"","?FAMILIAR",IF(F3671="NEW",IF(ISNA(VLOOKUP(E3671,#REF!,1,FALSE())),"?TYPE_IDENTIFIABLE","?REFERENTIAL"),"_")))))</f>
        <v> </v>
      </c>
      <c r="H3671" s="25" t="str">
        <f>IF(J3671&lt;&gt;1,"",IF(I3671="SBJ","CB","?"))</f>
        <v> </v>
      </c>
      <c r="I3671" s="26" t="str">
        <f>IF(OR(E3671="",E3671="!!!",F3671="NEW"),"",INDEX(B3670:B$2,-1+SUMPRODUCT(MAX(ROW(E3670:E$2)*(E3671=E3670:E$2)))))</f>
        <v> </v>
      </c>
      <c r="J3671" s="26" t="str">
        <f>IF(OR(E3671="",E3671="!!!",F3671="NEW"),"",COUNTBLANK(OFFSET(A$1,,,SUMPRODUCT(MAX(ROW(E$2:E3671)*(E3671=E$2:E3671)))))-COUNTBLANK(OFFSET(A$1,,,SUMPRODUCT(MAX(ROW(E$1:E3670)*(E2=E$1:E3670))))))</f>
        <v> </v>
      </c>
      <c r="K3671" s="26" t="str">
        <f>IF(OR(E3671="",E3671="!!!",F3671="NEW"),"",INDEX(J$1:J3670,SUMPRODUCT(MAX(ROW(E$1:E3670)*(E3671=E$1:E3670)))))</f>
        <v> </v>
      </c>
      <c r="L3671" s="27"/>
    </row>
    <row r="3672" spans="1:12">
      <c r="A3672" s="20" t="s">
        <v>2010</v>
      </c>
      <c r="E3672" s="22">
        <f>IF(D3672="?OLD","!!!","")</f>
        <v/>
      </c>
      <c r="F3672" s="23" t="str">
        <f>IF(OR(E3672="",E3672="!!!"),"",IF(NOT(ISNA(VLOOKUP(E3672,E$1:E3671,1,FALSE()))),"OLD",IF(AND(E3672&lt;&gt;"",E3672&lt;&gt;"!!!"),"NEW","")))</f>
        <v> </v>
      </c>
      <c r="G3672" s="24" t="str">
        <f>IF(OR(E3672="",E3672="!!!"),"",IF(OR(J3672=0,AND(J3672=1,K3672=1),AND(J3672=1,I3672="SBJ"),AND(J3672=1,I3672=0)),"?IN_FOCUS",IF(J3672&lt;=2,"?ACTIVATED",IF(J3672&lt;&gt;"","?FAMILIAR",IF(F3672="NEW",IF(ISNA(VLOOKUP(E3672,#REF!,1,FALSE())),"?TYPE_IDENTIFIABLE","?REFERENTIAL"),"_")))))</f>
        <v> </v>
      </c>
      <c r="H3672" s="25" t="str">
        <f>IF(J3672&lt;&gt;1,"",IF(I3672="SBJ","CB","?"))</f>
        <v> </v>
      </c>
      <c r="I3672" s="26" t="str">
        <f>IF(OR(E3672="",E3672="!!!",F3672="NEW"),"",INDEX(B3671:B$2,-1+SUMPRODUCT(MAX(ROW(E3671:E$2)*(E3672=E3671:E$2)))))</f>
        <v> </v>
      </c>
      <c r="J3672" s="26" t="str">
        <f>IF(OR(E3672="",E3672="!!!",F3672="NEW"),"",COUNTBLANK(OFFSET(A$1,,,SUMPRODUCT(MAX(ROW(E$2:E3672)*(E3672=E$2:E3672)))))-COUNTBLANK(OFFSET(A$1,,,SUMPRODUCT(MAX(ROW(E$1:E3671)*(E2=E$1:E3671))))))</f>
        <v> </v>
      </c>
      <c r="K3672" s="26" t="str">
        <f>IF(OR(E3672="",E3672="!!!",F3672="NEW"),"",INDEX(J$1:J3671,SUMPRODUCT(MAX(ROW(E$1:E3671)*(E3672=E$1:E3671)))))</f>
        <v> </v>
      </c>
      <c r="L3672" s="27"/>
    </row>
    <row r="3673" spans="1:12">
      <c r="A3673" s="20" t="s">
        <v>1023</v>
      </c>
      <c r="E3673" s="22">
        <f>IF(D3673="?OLD","!!!","")</f>
        <v/>
      </c>
      <c r="F3673" s="23" t="str">
        <f>IF(OR(E3673="",E3673="!!!"),"",IF(NOT(ISNA(VLOOKUP(E3673,E$1:E3672,1,FALSE()))),"OLD",IF(AND(E3673&lt;&gt;"",E3673&lt;&gt;"!!!"),"NEW","")))</f>
        <v> </v>
      </c>
      <c r="G3673" s="24" t="str">
        <f>IF(OR(E3673="",E3673="!!!"),"",IF(OR(J3673=0,AND(J3673=1,K3673=1),AND(J3673=1,I3673="SBJ"),AND(J3673=1,I3673=0)),"?IN_FOCUS",IF(J3673&lt;=2,"?ACTIVATED",IF(J3673&lt;&gt;"","?FAMILIAR",IF(F3673="NEW",IF(ISNA(VLOOKUP(E3673,#REF!,1,FALSE())),"?TYPE_IDENTIFIABLE","?REFERENTIAL"),"_")))))</f>
        <v> </v>
      </c>
      <c r="H3673" s="25" t="str">
        <f>IF(J3673&lt;&gt;1,"",IF(I3673="SBJ","CB","?"))</f>
        <v> </v>
      </c>
      <c r="I3673" s="26" t="str">
        <f>IF(OR(E3673="",E3673="!!!",F3673="NEW"),"",INDEX(B3672:B$2,-1+SUMPRODUCT(MAX(ROW(E3672:E$2)*(E3673=E3672:E$2)))))</f>
        <v> </v>
      </c>
      <c r="J3673" s="26" t="str">
        <f>IF(OR(E3673="",E3673="!!!",F3673="NEW"),"",COUNTBLANK(OFFSET(A$1,,,SUMPRODUCT(MAX(ROW(E$2:E3673)*(E3673=E$2:E3673)))))-COUNTBLANK(OFFSET(A$1,,,SUMPRODUCT(MAX(ROW(E$1:E3672)*(E2=E$1:E3672))))))</f>
        <v> </v>
      </c>
      <c r="K3673" s="26" t="str">
        <f>IF(OR(E3673="",E3673="!!!",F3673="NEW"),"",INDEX(J$1:J3672,SUMPRODUCT(MAX(ROW(E$1:E3672)*(E3673=E$1:E3672)))))</f>
        <v> </v>
      </c>
      <c r="L3673" s="27"/>
    </row>
    <row r="3674" spans="1:12">
      <c r="A3674" s="20"/>
    </row>
    <row r="3675" spans="1:12">
      <c r="A3675" s="20" t="s">
        <v>2108</v>
      </c>
    </row>
    <row r="3676" spans="1:12">
      <c r="A3676" s="20" t="s">
        <v>2106</v>
      </c>
      <c r="E3676" s="22">
        <f>IF(D3676="?OLD","!!!","")</f>
        <v/>
      </c>
      <c r="F3676" s="23" t="str">
        <f>IF(OR(E3676="",E3676="!!!"),"",IF(NOT(ISNA(VLOOKUP(E3676,E$1:E3675,1,FALSE()))),"OLD",IF(AND(E3676&lt;&gt;"",E3676&lt;&gt;"!!!"),"NEW","")))</f>
        <v> </v>
      </c>
      <c r="G3676" s="24" t="str">
        <f>IF(OR(E3676="",E3676="!!!"),"",IF(OR(J3676=0,AND(J3676=1,K3676=1),AND(J3676=1,I3676="SBJ"),AND(J3676=1,I3676=0)),"?IN_FOCUS",IF(J3676&lt;=2,"?ACTIVATED",IF(J3676&lt;&gt;"","?FAMILIAR",IF(F3676="NEW",IF(ISNA(VLOOKUP(E3676,#REF!,1,FALSE())),"?TYPE_IDENTIFIABLE","?REFERENTIAL"),"_")))))</f>
        <v> </v>
      </c>
      <c r="H3676" s="25" t="str">
        <f>IF(J3676&lt;&gt;1,"",IF(I3676="SBJ","CB","?"))</f>
        <v> </v>
      </c>
      <c r="I3676" s="26" t="str">
        <f>IF(OR(E3676="",E3676="!!!",F3676="NEW"),"",INDEX(B3675:B$2,-1+SUMPRODUCT(MAX(ROW(E3675:E$2)*(E3676=E3675:E$2)))))</f>
        <v> </v>
      </c>
      <c r="J3676" s="26" t="str">
        <f>IF(OR(E3676="",E3676="!!!",F3676="NEW"),"",COUNTBLANK(OFFSET(A$1,,,SUMPRODUCT(MAX(ROW(E$2:E3676)*(E3676=E$2:E3676)))))-COUNTBLANK(OFFSET(A$1,,,SUMPRODUCT(MAX(ROW(E$1:E3675)*(E2=E$1:E3675))))))</f>
        <v> </v>
      </c>
      <c r="K3676" s="26" t="str">
        <f>IF(OR(E3676="",E3676="!!!",F3676="NEW"),"",INDEX(J$1:J3675,SUMPRODUCT(MAX(ROW(E$1:E3675)*(E3676=E$1:E3675)))))</f>
        <v> </v>
      </c>
      <c r="L3676" s="27"/>
    </row>
    <row r="3677" spans="1:12">
      <c r="A3677" s="20" t="s">
        <v>1065</v>
      </c>
      <c r="E3677" s="22">
        <f>IF(D3677="?OLD","!!!","")</f>
        <v/>
      </c>
      <c r="F3677" s="23" t="str">
        <f>IF(OR(E3677="",E3677="!!!"),"",IF(NOT(ISNA(VLOOKUP(E3677,E$1:E3676,1,FALSE()))),"OLD",IF(AND(E3677&lt;&gt;"",E3677&lt;&gt;"!!!"),"NEW","")))</f>
        <v> </v>
      </c>
      <c r="G3677" s="24" t="str">
        <f>IF(OR(E3677="",E3677="!!!"),"",IF(OR(J3677=0,AND(J3677=1,K3677=1),AND(J3677=1,I3677="SBJ"),AND(J3677=1,I3677=0)),"?IN_FOCUS",IF(J3677&lt;=2,"?ACTIVATED",IF(J3677&lt;&gt;"","?FAMILIAR",IF(F3677="NEW",IF(ISNA(VLOOKUP(E3677,#REF!,1,FALSE())),"?TYPE_IDENTIFIABLE","?REFERENTIAL"),"_")))))</f>
        <v> </v>
      </c>
      <c r="H3677" s="25" t="str">
        <f>IF(J3677&lt;&gt;1,"",IF(I3677="SBJ","CB","?"))</f>
        <v> </v>
      </c>
      <c r="I3677" s="26" t="str">
        <f>IF(OR(E3677="",E3677="!!!",F3677="NEW"),"",INDEX(B3676:B$2,-1+SUMPRODUCT(MAX(ROW(E3676:E$2)*(E3677=E3676:E$2)))))</f>
        <v> </v>
      </c>
      <c r="J3677" s="26" t="str">
        <f>IF(OR(E3677="",E3677="!!!",F3677="NEW"),"",COUNTBLANK(OFFSET(A$1,,,SUMPRODUCT(MAX(ROW(E$2:E3677)*(E3677=E$2:E3677)))))-COUNTBLANK(OFFSET(A$1,,,SUMPRODUCT(MAX(ROW(E$1:E3676)*(E2=E$1:E3676))))))</f>
        <v> </v>
      </c>
      <c r="K3677" s="26" t="str">
        <f>IF(OR(E3677="",E3677="!!!",F3677="NEW"),"",INDEX(J$1:J3676,SUMPRODUCT(MAX(ROW(E$1:E3676)*(E3677=E$1:E3676)))))</f>
        <v> </v>
      </c>
      <c r="L3677" s="27"/>
    </row>
    <row r="3678" spans="1:12">
      <c r="A3678" s="20" t="s">
        <v>1075</v>
      </c>
      <c r="E3678" s="22">
        <f>IF(D3678="?OLD","!!!","")</f>
        <v/>
      </c>
      <c r="F3678" s="23" t="str">
        <f>IF(OR(E3678="",E3678="!!!"),"",IF(NOT(ISNA(VLOOKUP(E3678,E$1:E3677,1,FALSE()))),"OLD",IF(AND(E3678&lt;&gt;"",E3678&lt;&gt;"!!!"),"NEW","")))</f>
        <v> </v>
      </c>
      <c r="G3678" s="24" t="str">
        <f>IF(OR(E3678="",E3678="!!!"),"",IF(OR(J3678=0,AND(J3678=1,K3678=1),AND(J3678=1,I3678="SBJ"),AND(J3678=1,I3678=0)),"?IN_FOCUS",IF(J3678&lt;=2,"?ACTIVATED",IF(J3678&lt;&gt;"","?FAMILIAR",IF(F3678="NEW",IF(ISNA(VLOOKUP(E3678,#REF!,1,FALSE())),"?TYPE_IDENTIFIABLE","?REFERENTIAL"),"_")))))</f>
        <v> </v>
      </c>
      <c r="H3678" s="25" t="str">
        <f>IF(J3678&lt;&gt;1,"",IF(I3678="SBJ","CB","?"))</f>
        <v> </v>
      </c>
      <c r="I3678" s="26" t="str">
        <f>IF(OR(E3678="",E3678="!!!",F3678="NEW"),"",INDEX(B3677:B$2,-1+SUMPRODUCT(MAX(ROW(E3677:E$2)*(E3678=E3677:E$2)))))</f>
        <v> </v>
      </c>
      <c r="J3678" s="26" t="str">
        <f>IF(OR(E3678="",E3678="!!!",F3678="NEW"),"",COUNTBLANK(OFFSET(A$1,,,SUMPRODUCT(MAX(ROW(E$2:E3678)*(E3678=E$2:E3678)))))-COUNTBLANK(OFFSET(A$1,,,SUMPRODUCT(MAX(ROW(E$1:E3677)*(E2=E$1:E3677))))))</f>
        <v> </v>
      </c>
      <c r="K3678" s="26" t="str">
        <f>IF(OR(E3678="",E3678="!!!",F3678="NEW"),"",INDEX(J$1:J3677,SUMPRODUCT(MAX(ROW(E$1:E3677)*(E3678=E$1:E3677)))))</f>
        <v> </v>
      </c>
      <c r="L3678" s="27"/>
    </row>
    <row r="3679" spans="1:12">
      <c r="A3679" s="20" t="s">
        <v>1250</v>
      </c>
      <c r="E3679" s="22">
        <f>IF(D3679="?OLD","!!!","")</f>
        <v/>
      </c>
      <c r="F3679" s="23" t="str">
        <f>IF(OR(E3679="",E3679="!!!"),"",IF(NOT(ISNA(VLOOKUP(E3679,E$1:E3678,1,FALSE()))),"OLD",IF(AND(E3679&lt;&gt;"",E3679&lt;&gt;"!!!"),"NEW","")))</f>
        <v> </v>
      </c>
      <c r="G3679" s="24" t="str">
        <f>IF(OR(E3679="",E3679="!!!"),"",IF(OR(J3679=0,AND(J3679=1,K3679=1),AND(J3679=1,I3679="SBJ"),AND(J3679=1,I3679=0)),"?IN_FOCUS",IF(J3679&lt;=2,"?ACTIVATED",IF(J3679&lt;&gt;"","?FAMILIAR",IF(F3679="NEW",IF(ISNA(VLOOKUP(E3679,#REF!,1,FALSE())),"?TYPE_IDENTIFIABLE","?REFERENTIAL"),"_")))))</f>
        <v> </v>
      </c>
      <c r="H3679" s="25" t="str">
        <f>IF(J3679&lt;&gt;1,"",IF(I3679="SBJ","CB","?"))</f>
        <v> </v>
      </c>
      <c r="I3679" s="26" t="str">
        <f>IF(OR(E3679="",E3679="!!!",F3679="NEW"),"",INDEX(B3678:B$2,-1+SUMPRODUCT(MAX(ROW(E3678:E$2)*(E3679=E3678:E$2)))))</f>
        <v> </v>
      </c>
      <c r="J3679" s="26" t="str">
        <f>IF(OR(E3679="",E3679="!!!",F3679="NEW"),"",COUNTBLANK(OFFSET(A$1,,,SUMPRODUCT(MAX(ROW(E$2:E3679)*(E3679=E$2:E3679)))))-COUNTBLANK(OFFSET(A$1,,,SUMPRODUCT(MAX(ROW(E$1:E3678)*(E2=E$1:E3678))))))</f>
        <v> </v>
      </c>
      <c r="K3679" s="26" t="str">
        <f>IF(OR(E3679="",E3679="!!!",F3679="NEW"),"",INDEX(J$1:J3678,SUMPRODUCT(MAX(ROW(E$1:E3678)*(E3679=E$1:E3678)))))</f>
        <v> </v>
      </c>
      <c r="L3679" s="27"/>
    </row>
    <row r="3680" spans="1:12">
      <c r="A3680" s="20" t="s">
        <v>1209</v>
      </c>
      <c r="E3680" s="22">
        <f>IF(D3680="?OLD","!!!","")</f>
        <v/>
      </c>
      <c r="F3680" s="23" t="str">
        <f>IF(OR(E3680="",E3680="!!!"),"",IF(NOT(ISNA(VLOOKUP(E3680,E$1:E3679,1,FALSE()))),"OLD",IF(AND(E3680&lt;&gt;"",E3680&lt;&gt;"!!!"),"NEW","")))</f>
        <v> </v>
      </c>
      <c r="G3680" s="24" t="str">
        <f>IF(OR(E3680="",E3680="!!!"),"",IF(OR(J3680=0,AND(J3680=1,K3680=1),AND(J3680=1,I3680="SBJ"),AND(J3680=1,I3680=0)),"?IN_FOCUS",IF(J3680&lt;=2,"?ACTIVATED",IF(J3680&lt;&gt;"","?FAMILIAR",IF(F3680="NEW",IF(ISNA(VLOOKUP(E3680,#REF!,1,FALSE())),"?TYPE_IDENTIFIABLE","?REFERENTIAL"),"_")))))</f>
        <v> </v>
      </c>
      <c r="H3680" s="25" t="str">
        <f>IF(J3680&lt;&gt;1,"",IF(I3680="SBJ","CB","?"))</f>
        <v> </v>
      </c>
      <c r="I3680" s="26" t="str">
        <f>IF(OR(E3680="",E3680="!!!",F3680="NEW"),"",INDEX(B3679:B$2,-1+SUMPRODUCT(MAX(ROW(E3679:E$2)*(E3680=E3679:E$2)))))</f>
        <v> </v>
      </c>
      <c r="J3680" s="26" t="str">
        <f>IF(OR(E3680="",E3680="!!!",F3680="NEW"),"",COUNTBLANK(OFFSET(A$1,,,SUMPRODUCT(MAX(ROW(E$2:E3680)*(E3680=E$2:E3680)))))-COUNTBLANK(OFFSET(A$1,,,SUMPRODUCT(MAX(ROW(E$1:E3679)*(E2=E$1:E3679))))))</f>
        <v> </v>
      </c>
      <c r="K3680" s="26" t="str">
        <f>IF(OR(E3680="",E3680="!!!",F3680="NEW"),"",INDEX(J$1:J3679,SUMPRODUCT(MAX(ROW(E$1:E3679)*(E3680=E$1:E3679)))))</f>
        <v> </v>
      </c>
      <c r="L3680" s="27"/>
    </row>
    <row r="3681" spans="1:12">
      <c r="A3681" s="20" t="s">
        <v>1030</v>
      </c>
      <c r="E3681" s="22">
        <f>IF(D3681="?OLD","!!!","")</f>
        <v/>
      </c>
      <c r="F3681" s="23" t="str">
        <f>IF(OR(E3681="",E3681="!!!"),"",IF(NOT(ISNA(VLOOKUP(E3681,E$1:E3680,1,FALSE()))),"OLD",IF(AND(E3681&lt;&gt;"",E3681&lt;&gt;"!!!"),"NEW","")))</f>
        <v> </v>
      </c>
      <c r="G3681" s="24" t="str">
        <f>IF(OR(E3681="",E3681="!!!"),"",IF(OR(J3681=0,AND(J3681=1,K3681=1),AND(J3681=1,I3681="SBJ"),AND(J3681=1,I3681=0)),"?IN_FOCUS",IF(J3681&lt;=2,"?ACTIVATED",IF(J3681&lt;&gt;"","?FAMILIAR",IF(F3681="NEW",IF(ISNA(VLOOKUP(E3681,#REF!,1,FALSE())),"?TYPE_IDENTIFIABLE","?REFERENTIAL"),"_")))))</f>
        <v> </v>
      </c>
      <c r="H3681" s="25" t="str">
        <f>IF(J3681&lt;&gt;1,"",IF(I3681="SBJ","CB","?"))</f>
        <v> </v>
      </c>
      <c r="I3681" s="26" t="str">
        <f>IF(OR(E3681="",E3681="!!!",F3681="NEW"),"",INDEX(B3680:B$2,-1+SUMPRODUCT(MAX(ROW(E3680:E$2)*(E3681=E3680:E$2)))))</f>
        <v> </v>
      </c>
      <c r="J3681" s="26" t="str">
        <f>IF(OR(E3681="",E3681="!!!",F3681="NEW"),"",COUNTBLANK(OFFSET(A$1,,,SUMPRODUCT(MAX(ROW(E$2:E3681)*(E3681=E$2:E3681)))))-COUNTBLANK(OFFSET(A$1,,,SUMPRODUCT(MAX(ROW(E$1:E3680)*(E2=E$1:E3680))))))</f>
        <v> </v>
      </c>
      <c r="K3681" s="26" t="str">
        <f>IF(OR(E3681="",E3681="!!!",F3681="NEW"),"",INDEX(J$1:J3680,SUMPRODUCT(MAX(ROW(E$1:E3680)*(E3681=E$1:E3680)))))</f>
        <v> </v>
      </c>
      <c r="L3681" s="27"/>
    </row>
    <row r="3682" spans="1:12">
      <c r="A3682" s="20" t="s">
        <v>1331</v>
      </c>
      <c r="B3682" s="21" t="s">
        <v>1033</v>
      </c>
      <c r="C3682" s="21" t="s">
        <v>1048</v>
      </c>
      <c r="E3682" s="22">
        <f>IF(D3682="?OLD","!!!","")</f>
        <v/>
      </c>
      <c r="F3682" s="23" t="str">
        <f>IF(OR(E3682="",E3682="!!!"),"",IF(NOT(ISNA(VLOOKUP(E3682,E$1:E3681,1,FALSE()))),"OLD",IF(AND(E3682&lt;&gt;"",E3682&lt;&gt;"!!!"),"NEW","")))</f>
        <v> </v>
      </c>
      <c r="G3682" s="24" t="str">
        <f>IF(OR(E3682="",E3682="!!!"),"",IF(OR(J3682=0,AND(J3682=1,K3682=1),AND(J3682=1,I3682="SBJ"),AND(J3682=1,I3682=0)),"?IN_FOCUS",IF(J3682&lt;=2,"?ACTIVATED",IF(J3682&lt;&gt;"","?FAMILIAR",IF(F3682="NEW",IF(ISNA(VLOOKUP(E3682,#REF!,1,FALSE())),"?TYPE_IDENTIFIABLE","?REFERENTIAL"),"_")))))</f>
        <v> </v>
      </c>
      <c r="H3682" s="25" t="str">
        <f>IF(J3682&lt;&gt;1,"",IF(I3682="SBJ","CB","?"))</f>
        <v> </v>
      </c>
      <c r="I3682" s="26" t="str">
        <f>IF(OR(E3682="",E3682="!!!",F3682="NEW"),"",INDEX(B3681:B$2,-1+SUMPRODUCT(MAX(ROW(E3681:E$2)*(E3682=E3681:E$2)))))</f>
        <v> </v>
      </c>
      <c r="J3682" s="26" t="str">
        <f>IF(OR(E3682="",E3682="!!!",F3682="NEW"),"",COUNTBLANK(OFFSET(A$1,,,SUMPRODUCT(MAX(ROW(E$2:E3682)*(E3682=E$2:E3682)))))-COUNTBLANK(OFFSET(A$1,,,SUMPRODUCT(MAX(ROW(E$1:E3681)*(E2=E$1:E3681))))))</f>
        <v> </v>
      </c>
      <c r="K3682" s="26" t="str">
        <f>IF(OR(E3682="",E3682="!!!",F3682="NEW"),"",INDEX(J$1:J3681,SUMPRODUCT(MAX(ROW(E$1:E3681)*(E3682=E$1:E3681)))))</f>
        <v> </v>
      </c>
      <c r="L3682" s="27"/>
    </row>
    <row r="3683" spans="1:12">
      <c r="A3683" s="20" t="s">
        <v>1097</v>
      </c>
      <c r="E3683" s="22">
        <f>IF(D3683="?OLD","!!!","")</f>
        <v/>
      </c>
      <c r="F3683" s="23" t="str">
        <f>IF(OR(E3683="",E3683="!!!"),"",IF(NOT(ISNA(VLOOKUP(E3683,E$1:E3682,1,FALSE()))),"OLD",IF(AND(E3683&lt;&gt;"",E3683&lt;&gt;"!!!"),"NEW","")))</f>
        <v> </v>
      </c>
      <c r="G3683" s="24" t="str">
        <f>IF(OR(E3683="",E3683="!!!"),"",IF(OR(J3683=0,AND(J3683=1,K3683=1),AND(J3683=1,I3683="SBJ"),AND(J3683=1,I3683=0)),"?IN_FOCUS",IF(J3683&lt;=2,"?ACTIVATED",IF(J3683&lt;&gt;"","?FAMILIAR",IF(F3683="NEW",IF(ISNA(VLOOKUP(E3683,#REF!,1,FALSE())),"?TYPE_IDENTIFIABLE","?REFERENTIAL"),"_")))))</f>
        <v> </v>
      </c>
      <c r="H3683" s="25" t="str">
        <f>IF(J3683&lt;&gt;1,"",IF(I3683="SBJ","CB","?"))</f>
        <v> </v>
      </c>
      <c r="I3683" s="26" t="str">
        <f>IF(OR(E3683="",E3683="!!!",F3683="NEW"),"",INDEX(B3682:B$2,-1+SUMPRODUCT(MAX(ROW(E3682:E$2)*(E3683=E3682:E$2)))))</f>
        <v> </v>
      </c>
      <c r="J3683" s="26" t="str">
        <f>IF(OR(E3683="",E3683="!!!",F3683="NEW"),"",COUNTBLANK(OFFSET(A$1,,,SUMPRODUCT(MAX(ROW(E$2:E3683)*(E3683=E$2:E3683)))))-COUNTBLANK(OFFSET(A$1,,,SUMPRODUCT(MAX(ROW(E$1:E3682)*(E2=E$1:E3682))))))</f>
        <v> </v>
      </c>
      <c r="K3683" s="26" t="str">
        <f>IF(OR(E3683="",E3683="!!!",F3683="NEW"),"",INDEX(J$1:J3682,SUMPRODUCT(MAX(ROW(E$1:E3682)*(E3683=E$1:E3682)))))</f>
        <v> </v>
      </c>
      <c r="L3683" s="27"/>
    </row>
    <row r="3684" spans="1:12">
      <c r="A3684" s="20" t="s">
        <v>1642</v>
      </c>
      <c r="E3684" s="22">
        <f>IF(D3684="?OLD","!!!","")</f>
        <v/>
      </c>
      <c r="F3684" s="23" t="str">
        <f>IF(OR(E3684="",E3684="!!!"),"",IF(NOT(ISNA(VLOOKUP(E3684,E$1:E3683,1,FALSE()))),"OLD",IF(AND(E3684&lt;&gt;"",E3684&lt;&gt;"!!!"),"NEW","")))</f>
        <v> </v>
      </c>
      <c r="G3684" s="24" t="str">
        <f>IF(OR(E3684="",E3684="!!!"),"",IF(OR(J3684=0,AND(J3684=1,K3684=1),AND(J3684=1,I3684="SBJ"),AND(J3684=1,I3684=0)),"?IN_FOCUS",IF(J3684&lt;=2,"?ACTIVATED",IF(J3684&lt;&gt;"","?FAMILIAR",IF(F3684="NEW",IF(ISNA(VLOOKUP(E3684,#REF!,1,FALSE())),"?TYPE_IDENTIFIABLE","?REFERENTIAL"),"_")))))</f>
        <v> </v>
      </c>
      <c r="H3684" s="25" t="str">
        <f>IF(J3684&lt;&gt;1,"",IF(I3684="SBJ","CB","?"))</f>
        <v> </v>
      </c>
      <c r="I3684" s="26" t="str">
        <f>IF(OR(E3684="",E3684="!!!",F3684="NEW"),"",INDEX(B3683:B$2,-1+SUMPRODUCT(MAX(ROW(E3683:E$2)*(E3684=E3683:E$2)))))</f>
        <v> </v>
      </c>
      <c r="J3684" s="26" t="str">
        <f>IF(OR(E3684="",E3684="!!!",F3684="NEW"),"",COUNTBLANK(OFFSET(A$1,,,SUMPRODUCT(MAX(ROW(E$2:E3684)*(E3684=E$2:E3684)))))-COUNTBLANK(OFFSET(A$1,,,SUMPRODUCT(MAX(ROW(E$1:E3683)*(E2=E$1:E3683))))))</f>
        <v> </v>
      </c>
      <c r="K3684" s="26" t="str">
        <f>IF(OR(E3684="",E3684="!!!",F3684="NEW"),"",INDEX(J$1:J3683,SUMPRODUCT(MAX(ROW(E$1:E3683)*(E3684=E$1:E3683)))))</f>
        <v> </v>
      </c>
      <c r="L3684" s="27"/>
    </row>
    <row r="3685" spans="1:12">
      <c r="A3685" s="20" t="s">
        <v>1015</v>
      </c>
      <c r="E3685" s="22">
        <f>IF(D3685="?OLD","!!!","")</f>
        <v/>
      </c>
      <c r="F3685" s="23" t="str">
        <f>IF(OR(E3685="",E3685="!!!"),"",IF(NOT(ISNA(VLOOKUP(E3685,E$1:E3684,1,FALSE()))),"OLD",IF(AND(E3685&lt;&gt;"",E3685&lt;&gt;"!!!"),"NEW","")))</f>
        <v> </v>
      </c>
      <c r="G3685" s="24" t="str">
        <f>IF(OR(E3685="",E3685="!!!"),"",IF(OR(J3685=0,AND(J3685=1,K3685=1),AND(J3685=1,I3685="SBJ"),AND(J3685=1,I3685=0)),"?IN_FOCUS",IF(J3685&lt;=2,"?ACTIVATED",IF(J3685&lt;&gt;"","?FAMILIAR",IF(F3685="NEW",IF(ISNA(VLOOKUP(E3685,#REF!,1,FALSE())),"?TYPE_IDENTIFIABLE","?REFERENTIAL"),"_")))))</f>
        <v> </v>
      </c>
      <c r="H3685" s="25" t="str">
        <f>IF(J3685&lt;&gt;1,"",IF(I3685="SBJ","CB","?"))</f>
        <v> </v>
      </c>
      <c r="I3685" s="26" t="str">
        <f>IF(OR(E3685="",E3685="!!!",F3685="NEW"),"",INDEX(B3684:B$2,-1+SUMPRODUCT(MAX(ROW(E3684:E$2)*(E3685=E3684:E$2)))))</f>
        <v> </v>
      </c>
      <c r="J3685" s="26" t="str">
        <f>IF(OR(E3685="",E3685="!!!",F3685="NEW"),"",COUNTBLANK(OFFSET(A$1,,,SUMPRODUCT(MAX(ROW(E$2:E3685)*(E3685=E$2:E3685)))))-COUNTBLANK(OFFSET(A$1,,,SUMPRODUCT(MAX(ROW(E$1:E3684)*(E2=E$1:E3684))))))</f>
        <v> </v>
      </c>
      <c r="K3685" s="26" t="str">
        <f>IF(OR(E3685="",E3685="!!!",F3685="NEW"),"",INDEX(J$1:J3684,SUMPRODUCT(MAX(ROW(E$1:E3684)*(E3685=E$1:E3684)))))</f>
        <v> </v>
      </c>
      <c r="L3685" s="27"/>
    </row>
    <row r="3686" spans="1:12">
      <c r="A3686" s="20" t="s">
        <v>1221</v>
      </c>
      <c r="B3686" s="21" t="s">
        <v>1064</v>
      </c>
      <c r="C3686" s="21" t="s">
        <v>1017</v>
      </c>
      <c r="D3686" s="21" t="s">
        <v>1007</v>
      </c>
      <c r="E3686" s="22">
        <f>IF(D3686="?OLD","!!!","")</f>
        <v/>
      </c>
      <c r="F3686" s="23" t="str">
        <f>IF(OR(E3686="",E3686="!!!"),"",IF(NOT(ISNA(VLOOKUP(E3686,E$1:E3685,1,FALSE()))),"OLD",IF(AND(E3686&lt;&gt;"",E3686&lt;&gt;"!!!"),"NEW","")))</f>
        <v> </v>
      </c>
      <c r="G3686" s="24" t="str">
        <f>IF(OR(E3686="",E3686="!!!"),"",IF(OR(J3686=0,AND(J3686=1,K3686=1),AND(J3686=1,I3686="SBJ"),AND(J3686=1,I3686=0)),"?IN_FOCUS",IF(J3686&lt;=2,"?ACTIVATED",IF(J3686&lt;&gt;"","?FAMILIAR",IF(F3686="NEW",IF(ISNA(VLOOKUP(E3686,#REF!,1,FALSE())),"?TYPE_IDENTIFIABLE","?REFERENTIAL"),"_")))))</f>
        <v> </v>
      </c>
      <c r="H3686" s="25" t="str">
        <f>IF(J3686&lt;&gt;1,"",IF(I3686="SBJ","CB","?"))</f>
        <v> </v>
      </c>
      <c r="I3686" s="26" t="str">
        <f>IF(OR(E3686="",E3686="!!!",F3686="NEW"),"",INDEX(B3685:B$2,-1+SUMPRODUCT(MAX(ROW(E3685:E$2)*(E3686=E3685:E$2)))))</f>
        <v> </v>
      </c>
      <c r="J3686" s="26" t="str">
        <f>IF(OR(E3686="",E3686="!!!",F3686="NEW"),"",COUNTBLANK(OFFSET(A$1,,,SUMPRODUCT(MAX(ROW(E$2:E3686)*(E3686=E$2:E3686)))))-COUNTBLANK(OFFSET(A$1,,,SUMPRODUCT(MAX(ROW(E$1:E3685)*(E2=E$1:E3685))))))</f>
        <v> </v>
      </c>
      <c r="K3686" s="26" t="str">
        <f>IF(OR(E3686="",E3686="!!!",F3686="NEW"),"",INDEX(J$1:J3685,SUMPRODUCT(MAX(ROW(E$1:E3685)*(E3686=E$1:E3685)))))</f>
        <v> </v>
      </c>
      <c r="L3686" s="27"/>
    </row>
    <row r="3687" spans="1:12">
      <c r="A3687" s="20" t="s">
        <v>1018</v>
      </c>
      <c r="E3687" s="22">
        <f>IF(D3687="?OLD","!!!","")</f>
        <v/>
      </c>
      <c r="F3687" s="23" t="str">
        <f>IF(OR(E3687="",E3687="!!!"),"",IF(NOT(ISNA(VLOOKUP(E3687,E$1:E3686,1,FALSE()))),"OLD",IF(AND(E3687&lt;&gt;"",E3687&lt;&gt;"!!!"),"NEW","")))</f>
        <v> </v>
      </c>
      <c r="G3687" s="24" t="str">
        <f>IF(OR(E3687="",E3687="!!!"),"",IF(OR(J3687=0,AND(J3687=1,K3687=1),AND(J3687=1,I3687="SBJ"),AND(J3687=1,I3687=0)),"?IN_FOCUS",IF(J3687&lt;=2,"?ACTIVATED",IF(J3687&lt;&gt;"","?FAMILIAR",IF(F3687="NEW",IF(ISNA(VLOOKUP(E3687,#REF!,1,FALSE())),"?TYPE_IDENTIFIABLE","?REFERENTIAL"),"_")))))</f>
        <v> </v>
      </c>
      <c r="H3687" s="25" t="str">
        <f>IF(J3687&lt;&gt;1,"",IF(I3687="SBJ","CB","?"))</f>
        <v> </v>
      </c>
      <c r="I3687" s="26" t="str">
        <f>IF(OR(E3687="",E3687="!!!",F3687="NEW"),"",INDEX(B3686:B$2,-1+SUMPRODUCT(MAX(ROW(E3686:E$2)*(E3687=E3686:E$2)))))</f>
        <v> </v>
      </c>
      <c r="J3687" s="26" t="str">
        <f>IF(OR(E3687="",E3687="!!!",F3687="NEW"),"",COUNTBLANK(OFFSET(A$1,,,SUMPRODUCT(MAX(ROW(E$2:E3687)*(E3687=E$2:E3687)))))-COUNTBLANK(OFFSET(A$1,,,SUMPRODUCT(MAX(ROW(E$1:E3686)*(E2=E$1:E3686))))))</f>
        <v> </v>
      </c>
      <c r="K3687" s="26" t="str">
        <f>IF(OR(E3687="",E3687="!!!",F3687="NEW"),"",INDEX(J$1:J3686,SUMPRODUCT(MAX(ROW(E$1:E3686)*(E3687=E$1:E3686)))))</f>
        <v> </v>
      </c>
      <c r="L3687" s="27"/>
    </row>
    <row r="3688" spans="1:12">
      <c r="A3688" s="20" t="s">
        <v>1330</v>
      </c>
      <c r="E3688" s="22">
        <f>IF(D3688="?OLD","!!!","")</f>
        <v/>
      </c>
      <c r="F3688" s="23" t="str">
        <f>IF(OR(E3688="",E3688="!!!"),"",IF(NOT(ISNA(VLOOKUP(E3688,E$1:E3687,1,FALSE()))),"OLD",IF(AND(E3688&lt;&gt;"",E3688&lt;&gt;"!!!"),"NEW","")))</f>
        <v> </v>
      </c>
      <c r="G3688" s="24" t="str">
        <f>IF(OR(E3688="",E3688="!!!"),"",IF(OR(J3688=0,AND(J3688=1,K3688=1),AND(J3688=1,I3688="SBJ"),AND(J3688=1,I3688=0)),"?IN_FOCUS",IF(J3688&lt;=2,"?ACTIVATED",IF(J3688&lt;&gt;"","?FAMILIAR",IF(F3688="NEW",IF(ISNA(VLOOKUP(E3688,#REF!,1,FALSE())),"?TYPE_IDENTIFIABLE","?REFERENTIAL"),"_")))))</f>
        <v> </v>
      </c>
      <c r="H3688" s="25" t="str">
        <f>IF(J3688&lt;&gt;1,"",IF(I3688="SBJ","CB","?"))</f>
        <v> </v>
      </c>
      <c r="I3688" s="26" t="str">
        <f>IF(OR(E3688="",E3688="!!!",F3688="NEW"),"",INDEX(B3687:B$2,-1+SUMPRODUCT(MAX(ROW(E3687:E$2)*(E3688=E3687:E$2)))))</f>
        <v> </v>
      </c>
      <c r="J3688" s="26" t="str">
        <f>IF(OR(E3688="",E3688="!!!",F3688="NEW"),"",COUNTBLANK(OFFSET(A$1,,,SUMPRODUCT(MAX(ROW(E$2:E3688)*(E3688=E$2:E3688)))))-COUNTBLANK(OFFSET(A$1,,,SUMPRODUCT(MAX(ROW(E$1:E3687)*(E2=E$1:E3687))))))</f>
        <v> </v>
      </c>
      <c r="K3688" s="26" t="str">
        <f>IF(OR(E3688="",E3688="!!!",F3688="NEW"),"",INDEX(J$1:J3687,SUMPRODUCT(MAX(ROW(E$1:E3687)*(E3688=E$1:E3687)))))</f>
        <v> </v>
      </c>
      <c r="L3688" s="27"/>
    </row>
    <row r="3689" spans="1:12">
      <c r="A3689" s="20" t="s">
        <v>1018</v>
      </c>
      <c r="E3689" s="22">
        <f>IF(D3689="?OLD","!!!","")</f>
        <v/>
      </c>
      <c r="F3689" s="23" t="str">
        <f>IF(OR(E3689="",E3689="!!!"),"",IF(NOT(ISNA(VLOOKUP(E3689,E$1:E3688,1,FALSE()))),"OLD",IF(AND(E3689&lt;&gt;"",E3689&lt;&gt;"!!!"),"NEW","")))</f>
        <v> </v>
      </c>
      <c r="G3689" s="24" t="str">
        <f>IF(OR(E3689="",E3689="!!!"),"",IF(OR(J3689=0,AND(J3689=1,K3689=1),AND(J3689=1,I3689="SBJ"),AND(J3689=1,I3689=0)),"?IN_FOCUS",IF(J3689&lt;=2,"?ACTIVATED",IF(J3689&lt;&gt;"","?FAMILIAR",IF(F3689="NEW",IF(ISNA(VLOOKUP(E3689,#REF!,1,FALSE())),"?TYPE_IDENTIFIABLE","?REFERENTIAL"),"_")))))</f>
        <v> </v>
      </c>
      <c r="H3689" s="25" t="str">
        <f>IF(J3689&lt;&gt;1,"",IF(I3689="SBJ","CB","?"))</f>
        <v> </v>
      </c>
      <c r="I3689" s="26" t="str">
        <f>IF(OR(E3689="",E3689="!!!",F3689="NEW"),"",INDEX(B3688:B$2,-1+SUMPRODUCT(MAX(ROW(E3688:E$2)*(E3689=E3688:E$2)))))</f>
        <v> </v>
      </c>
      <c r="J3689" s="26" t="str">
        <f>IF(OR(E3689="",E3689="!!!",F3689="NEW"),"",COUNTBLANK(OFFSET(A$1,,,SUMPRODUCT(MAX(ROW(E$2:E3689)*(E3689=E$2:E3689)))))-COUNTBLANK(OFFSET(A$1,,,SUMPRODUCT(MAX(ROW(E$1:E3688)*(E2=E$1:E3688))))))</f>
        <v> </v>
      </c>
      <c r="K3689" s="26" t="str">
        <f>IF(OR(E3689="",E3689="!!!",F3689="NEW"),"",INDEX(J$1:J3688,SUMPRODUCT(MAX(ROW(E$1:E3688)*(E3689=E$1:E3688)))))</f>
        <v> </v>
      </c>
      <c r="L3689" s="27"/>
    </row>
    <row r="3690" spans="1:12">
      <c r="A3690" s="20" t="s">
        <v>1030</v>
      </c>
      <c r="E3690" s="22">
        <f>IF(D3690="?OLD","!!!","")</f>
        <v/>
      </c>
      <c r="F3690" s="23" t="str">
        <f>IF(OR(E3690="",E3690="!!!"),"",IF(NOT(ISNA(VLOOKUP(E3690,E$1:E3689,1,FALSE()))),"OLD",IF(AND(E3690&lt;&gt;"",E3690&lt;&gt;"!!!"),"NEW","")))</f>
        <v> </v>
      </c>
      <c r="G3690" s="24" t="str">
        <f>IF(OR(E3690="",E3690="!!!"),"",IF(OR(J3690=0,AND(J3690=1,K3690=1),AND(J3690=1,I3690="SBJ"),AND(J3690=1,I3690=0)),"?IN_FOCUS",IF(J3690&lt;=2,"?ACTIVATED",IF(J3690&lt;&gt;"","?FAMILIAR",IF(F3690="NEW",IF(ISNA(VLOOKUP(E3690,#REF!,1,FALSE())),"?TYPE_IDENTIFIABLE","?REFERENTIAL"),"_")))))</f>
        <v> </v>
      </c>
      <c r="H3690" s="25" t="str">
        <f>IF(J3690&lt;&gt;1,"",IF(I3690="SBJ","CB","?"))</f>
        <v> </v>
      </c>
      <c r="I3690" s="26" t="str">
        <f>IF(OR(E3690="",E3690="!!!",F3690="NEW"),"",INDEX(B3689:B$2,-1+SUMPRODUCT(MAX(ROW(E3689:E$2)*(E3690=E3689:E$2)))))</f>
        <v> </v>
      </c>
      <c r="J3690" s="26" t="str">
        <f>IF(OR(E3690="",E3690="!!!",F3690="NEW"),"",COUNTBLANK(OFFSET(A$1,,,SUMPRODUCT(MAX(ROW(E$2:E3690)*(E3690=E$2:E3690)))))-COUNTBLANK(OFFSET(A$1,,,SUMPRODUCT(MAX(ROW(E$1:E3689)*(E2=E$1:E3689))))))</f>
        <v> </v>
      </c>
      <c r="K3690" s="26" t="str">
        <f>IF(OR(E3690="",E3690="!!!",F3690="NEW"),"",INDEX(J$1:J3689,SUMPRODUCT(MAX(ROW(E$1:E3689)*(E3690=E$1:E3689)))))</f>
        <v> </v>
      </c>
      <c r="L3690" s="27"/>
    </row>
    <row r="3691" spans="1:12">
      <c r="A3691" s="20" t="s">
        <v>1020</v>
      </c>
      <c r="E3691" s="22">
        <f>IF(D3691="?OLD","!!!","")</f>
        <v/>
      </c>
      <c r="F3691" s="23" t="str">
        <f>IF(OR(E3691="",E3691="!!!"),"",IF(NOT(ISNA(VLOOKUP(E3691,E$1:E3690,1,FALSE()))),"OLD",IF(AND(E3691&lt;&gt;"",E3691&lt;&gt;"!!!"),"NEW","")))</f>
        <v> </v>
      </c>
      <c r="G3691" s="24" t="str">
        <f>IF(OR(E3691="",E3691="!!!"),"",IF(OR(J3691=0,AND(J3691=1,K3691=1),AND(J3691=1,I3691="SBJ"),AND(J3691=1,I3691=0)),"?IN_FOCUS",IF(J3691&lt;=2,"?ACTIVATED",IF(J3691&lt;&gt;"","?FAMILIAR",IF(F3691="NEW",IF(ISNA(VLOOKUP(E3691,#REF!,1,FALSE())),"?TYPE_IDENTIFIABLE","?REFERENTIAL"),"_")))))</f>
        <v> </v>
      </c>
      <c r="H3691" s="25" t="str">
        <f>IF(J3691&lt;&gt;1,"",IF(I3691="SBJ","CB","?"))</f>
        <v> </v>
      </c>
      <c r="I3691" s="26" t="str">
        <f>IF(OR(E3691="",E3691="!!!",F3691="NEW"),"",INDEX(B3690:B$2,-1+SUMPRODUCT(MAX(ROW(E3690:E$2)*(E3691=E3690:E$2)))))</f>
        <v> </v>
      </c>
      <c r="J3691" s="26" t="str">
        <f>IF(OR(E3691="",E3691="!!!",F3691="NEW"),"",COUNTBLANK(OFFSET(A$1,,,SUMPRODUCT(MAX(ROW(E$2:E3691)*(E3691=E$2:E3691)))))-COUNTBLANK(OFFSET(A$1,,,SUMPRODUCT(MAX(ROW(E$1:E3690)*(E2=E$1:E3690))))))</f>
        <v> </v>
      </c>
      <c r="K3691" s="26" t="str">
        <f>IF(OR(E3691="",E3691="!!!",F3691="NEW"),"",INDEX(J$1:J3690,SUMPRODUCT(MAX(ROW(E$1:E3690)*(E3691=E$1:E3690)))))</f>
        <v> </v>
      </c>
      <c r="L3691" s="27"/>
    </row>
    <row r="3692" spans="1:12">
      <c r="A3692" s="20" t="s">
        <v>2109</v>
      </c>
      <c r="B3692" s="21" t="s">
        <v>1067</v>
      </c>
      <c r="C3692" s="21" t="s">
        <v>1017</v>
      </c>
      <c r="D3692" s="21" t="s">
        <v>1007</v>
      </c>
      <c r="E3692" s="22">
        <f>IF(D3692="?OLD","!!!","")</f>
        <v/>
      </c>
      <c r="F3692" s="23" t="str">
        <f>IF(OR(E3692="",E3692="!!!"),"",IF(NOT(ISNA(VLOOKUP(E3692,E$1:E3691,1,FALSE()))),"OLD",IF(AND(E3692&lt;&gt;"",E3692&lt;&gt;"!!!"),"NEW","")))</f>
        <v> </v>
      </c>
      <c r="G3692" s="24" t="str">
        <f>IF(OR(E3692="",E3692="!!!"),"",IF(OR(J3692=0,AND(J3692=1,K3692=1),AND(J3692=1,I3692="SBJ"),AND(J3692=1,I3692=0)),"?IN_FOCUS",IF(J3692&lt;=2,"?ACTIVATED",IF(J3692&lt;&gt;"","?FAMILIAR",IF(F3692="NEW",IF(ISNA(VLOOKUP(E3692,#REF!,1,FALSE())),"?TYPE_IDENTIFIABLE","?REFERENTIAL"),"_")))))</f>
        <v> </v>
      </c>
      <c r="H3692" s="25" t="str">
        <f>IF(J3692&lt;&gt;1,"",IF(I3692="SBJ","CB","?"))</f>
        <v> </v>
      </c>
      <c r="I3692" s="26" t="str">
        <f>IF(OR(E3692="",E3692="!!!",F3692="NEW"),"",INDEX(B3691:B$2,-1+SUMPRODUCT(MAX(ROW(E3691:E$2)*(E3692=E3691:E$2)))))</f>
        <v> </v>
      </c>
      <c r="J3692" s="26" t="str">
        <f>IF(OR(E3692="",E3692="!!!",F3692="NEW"),"",COUNTBLANK(OFFSET(A$1,,,SUMPRODUCT(MAX(ROW(E$2:E3692)*(E3692=E$2:E3692)))))-COUNTBLANK(OFFSET(A$1,,,SUMPRODUCT(MAX(ROW(E$1:E3691)*(E2=E$1:E3691))))))</f>
        <v> </v>
      </c>
      <c r="K3692" s="26" t="str">
        <f>IF(OR(E3692="",E3692="!!!",F3692="NEW"),"",INDEX(J$1:J3691,SUMPRODUCT(MAX(ROW(E$1:E3691)*(E3692=E$1:E3691)))))</f>
        <v> </v>
      </c>
      <c r="L3692" s="27"/>
    </row>
    <row r="3693" spans="1:12">
      <c r="A3693" s="20" t="s">
        <v>1018</v>
      </c>
      <c r="E3693" s="22">
        <f>IF(D3693="?OLD","!!!","")</f>
        <v/>
      </c>
      <c r="F3693" s="23" t="str">
        <f>IF(OR(E3693="",E3693="!!!"),"",IF(NOT(ISNA(VLOOKUP(E3693,E$1:E3692,1,FALSE()))),"OLD",IF(AND(E3693&lt;&gt;"",E3693&lt;&gt;"!!!"),"NEW","")))</f>
        <v> </v>
      </c>
      <c r="G3693" s="24" t="str">
        <f>IF(OR(E3693="",E3693="!!!"),"",IF(OR(J3693=0,AND(J3693=1,K3693=1),AND(J3693=1,I3693="SBJ"),AND(J3693=1,I3693=0)),"?IN_FOCUS",IF(J3693&lt;=2,"?ACTIVATED",IF(J3693&lt;&gt;"","?FAMILIAR",IF(F3693="NEW",IF(ISNA(VLOOKUP(E3693,#REF!,1,FALSE())),"?TYPE_IDENTIFIABLE","?REFERENTIAL"),"_")))))</f>
        <v> </v>
      </c>
      <c r="H3693" s="25" t="str">
        <f>IF(J3693&lt;&gt;1,"",IF(I3693="SBJ","CB","?"))</f>
        <v> </v>
      </c>
      <c r="I3693" s="26" t="str">
        <f>IF(OR(E3693="",E3693="!!!",F3693="NEW"),"",INDEX(B3692:B$2,-1+SUMPRODUCT(MAX(ROW(E3692:E$2)*(E3693=E3692:E$2)))))</f>
        <v> </v>
      </c>
      <c r="J3693" s="26" t="str">
        <f>IF(OR(E3693="",E3693="!!!",F3693="NEW"),"",COUNTBLANK(OFFSET(A$1,,,SUMPRODUCT(MAX(ROW(E$2:E3693)*(E3693=E$2:E3693)))))-COUNTBLANK(OFFSET(A$1,,,SUMPRODUCT(MAX(ROW(E$1:E3692)*(E2=E$1:E3692))))))</f>
        <v> </v>
      </c>
      <c r="K3693" s="26" t="str">
        <f>IF(OR(E3693="",E3693="!!!",F3693="NEW"),"",INDEX(J$1:J3692,SUMPRODUCT(MAX(ROW(E$1:E3692)*(E3693=E$1:E3692)))))</f>
        <v> </v>
      </c>
      <c r="L3693" s="27"/>
    </row>
    <row r="3694" spans="1:12">
      <c r="A3694" s="20" t="s">
        <v>1387</v>
      </c>
      <c r="E3694" s="22">
        <f>IF(D3694="?OLD","!!!","")</f>
        <v/>
      </c>
      <c r="F3694" s="23" t="str">
        <f>IF(OR(E3694="",E3694="!!!"),"",IF(NOT(ISNA(VLOOKUP(E3694,E$1:E3693,1,FALSE()))),"OLD",IF(AND(E3694&lt;&gt;"",E3694&lt;&gt;"!!!"),"NEW","")))</f>
        <v> </v>
      </c>
      <c r="G3694" s="24" t="str">
        <f>IF(OR(E3694="",E3694="!!!"),"",IF(OR(J3694=0,AND(J3694=1,K3694=1),AND(J3694=1,I3694="SBJ"),AND(J3694=1,I3694=0)),"?IN_FOCUS",IF(J3694&lt;=2,"?ACTIVATED",IF(J3694&lt;&gt;"","?FAMILIAR",IF(F3694="NEW",IF(ISNA(VLOOKUP(E3694,#REF!,1,FALSE())),"?TYPE_IDENTIFIABLE","?REFERENTIAL"),"_")))))</f>
        <v> </v>
      </c>
      <c r="H3694" s="25" t="str">
        <f>IF(J3694&lt;&gt;1,"",IF(I3694="SBJ","CB","?"))</f>
        <v> </v>
      </c>
      <c r="I3694" s="26" t="str">
        <f>IF(OR(E3694="",E3694="!!!",F3694="NEW"),"",INDEX(B3693:B$2,-1+SUMPRODUCT(MAX(ROW(E3693:E$2)*(E3694=E3693:E$2)))))</f>
        <v> </v>
      </c>
      <c r="J3694" s="26" t="str">
        <f>IF(OR(E3694="",E3694="!!!",F3694="NEW"),"",COUNTBLANK(OFFSET(A$1,,,SUMPRODUCT(MAX(ROW(E$2:E3694)*(E3694=E$2:E3694)))))-COUNTBLANK(OFFSET(A$1,,,SUMPRODUCT(MAX(ROW(E$1:E3693)*(E2=E$1:E3693))))))</f>
        <v> </v>
      </c>
      <c r="K3694" s="26" t="str">
        <f>IF(OR(E3694="",E3694="!!!",F3694="NEW"),"",INDEX(J$1:J3693,SUMPRODUCT(MAX(ROW(E$1:E3693)*(E3694=E$1:E3693)))))</f>
        <v> </v>
      </c>
      <c r="L3694" s="27"/>
    </row>
    <row r="3695" spans="1:12">
      <c r="A3695" s="20" t="s">
        <v>1020</v>
      </c>
      <c r="E3695" s="22">
        <f>IF(D3695="?OLD","!!!","")</f>
        <v/>
      </c>
      <c r="F3695" s="23" t="str">
        <f>IF(OR(E3695="",E3695="!!!"),"",IF(NOT(ISNA(VLOOKUP(E3695,E$1:E3694,1,FALSE()))),"OLD",IF(AND(E3695&lt;&gt;"",E3695&lt;&gt;"!!!"),"NEW","")))</f>
        <v> </v>
      </c>
      <c r="G3695" s="24" t="str">
        <f>IF(OR(E3695="",E3695="!!!"),"",IF(OR(J3695=0,AND(J3695=1,K3695=1),AND(J3695=1,I3695="SBJ"),AND(J3695=1,I3695=0)),"?IN_FOCUS",IF(J3695&lt;=2,"?ACTIVATED",IF(J3695&lt;&gt;"","?FAMILIAR",IF(F3695="NEW",IF(ISNA(VLOOKUP(E3695,#REF!,1,FALSE())),"?TYPE_IDENTIFIABLE","?REFERENTIAL"),"_")))))</f>
        <v> </v>
      </c>
      <c r="H3695" s="25" t="str">
        <f>IF(J3695&lt;&gt;1,"",IF(I3695="SBJ","CB","?"))</f>
        <v> </v>
      </c>
      <c r="I3695" s="26" t="str">
        <f>IF(OR(E3695="",E3695="!!!",F3695="NEW"),"",INDEX(B3694:B$2,-1+SUMPRODUCT(MAX(ROW(E3694:E$2)*(E3695=E3694:E$2)))))</f>
        <v> </v>
      </c>
      <c r="J3695" s="26" t="str">
        <f>IF(OR(E3695="",E3695="!!!",F3695="NEW"),"",COUNTBLANK(OFFSET(A$1,,,SUMPRODUCT(MAX(ROW(E$2:E3695)*(E3695=E$2:E3695)))))-COUNTBLANK(OFFSET(A$1,,,SUMPRODUCT(MAX(ROW(E$1:E3694)*(E2=E$1:E3694))))))</f>
        <v> </v>
      </c>
      <c r="K3695" s="26" t="str">
        <f>IF(OR(E3695="",E3695="!!!",F3695="NEW"),"",INDEX(J$1:J3694,SUMPRODUCT(MAX(ROW(E$1:E3694)*(E3695=E$1:E3694)))))</f>
        <v> </v>
      </c>
      <c r="L3695" s="27"/>
    </row>
    <row r="3696" spans="1:12">
      <c r="A3696" s="20" t="s">
        <v>1026</v>
      </c>
      <c r="E3696" s="22">
        <f>IF(D3696="?OLD","!!!","")</f>
        <v/>
      </c>
      <c r="F3696" s="23" t="str">
        <f>IF(OR(E3696="",E3696="!!!"),"",IF(NOT(ISNA(VLOOKUP(E3696,E$1:E3695,1,FALSE()))),"OLD",IF(AND(E3696&lt;&gt;"",E3696&lt;&gt;"!!!"),"NEW","")))</f>
        <v> </v>
      </c>
      <c r="G3696" s="24" t="str">
        <f>IF(OR(E3696="",E3696="!!!"),"",IF(OR(J3696=0,AND(J3696=1,K3696=1),AND(J3696=1,I3696="SBJ"),AND(J3696=1,I3696=0)),"?IN_FOCUS",IF(J3696&lt;=2,"?ACTIVATED",IF(J3696&lt;&gt;"","?FAMILIAR",IF(F3696="NEW",IF(ISNA(VLOOKUP(E3696,#REF!,1,FALSE())),"?TYPE_IDENTIFIABLE","?REFERENTIAL"),"_")))))</f>
        <v> </v>
      </c>
      <c r="H3696" s="25" t="str">
        <f>IF(J3696&lt;&gt;1,"",IF(I3696="SBJ","CB","?"))</f>
        <v> </v>
      </c>
      <c r="I3696" s="26" t="str">
        <f>IF(OR(E3696="",E3696="!!!",F3696="NEW"),"",INDEX(B3695:B$2,-1+SUMPRODUCT(MAX(ROW(E3695:E$2)*(E3696=E3695:E$2)))))</f>
        <v> </v>
      </c>
      <c r="J3696" s="26" t="str">
        <f>IF(OR(E3696="",E3696="!!!",F3696="NEW"),"",COUNTBLANK(OFFSET(A$1,,,SUMPRODUCT(MAX(ROW(E$2:E3696)*(E3696=E$2:E3696)))))-COUNTBLANK(OFFSET(A$1,,,SUMPRODUCT(MAX(ROW(E$1:E3695)*(E2=E$1:E3695))))))</f>
        <v> </v>
      </c>
      <c r="K3696" s="26" t="str">
        <f>IF(OR(E3696="",E3696="!!!",F3696="NEW"),"",INDEX(J$1:J3695,SUMPRODUCT(MAX(ROW(E$1:E3695)*(E3696=E$1:E3695)))))</f>
        <v> </v>
      </c>
      <c r="L3696" s="27"/>
    </row>
    <row r="3697" spans="1:12">
      <c r="A3697" s="20" t="s">
        <v>1056</v>
      </c>
      <c r="E3697" s="22">
        <f>IF(D3697="?OLD","!!!","")</f>
        <v/>
      </c>
      <c r="F3697" s="23" t="str">
        <f>IF(OR(E3697="",E3697="!!!"),"",IF(NOT(ISNA(VLOOKUP(E3697,E$1:E3696,1,FALSE()))),"OLD",IF(AND(E3697&lt;&gt;"",E3697&lt;&gt;"!!!"),"NEW","")))</f>
        <v> </v>
      </c>
      <c r="G3697" s="24" t="str">
        <f>IF(OR(E3697="",E3697="!!!"),"",IF(OR(J3697=0,AND(J3697=1,K3697=1),AND(J3697=1,I3697="SBJ"),AND(J3697=1,I3697=0)),"?IN_FOCUS",IF(J3697&lt;=2,"?ACTIVATED",IF(J3697&lt;&gt;"","?FAMILIAR",IF(F3697="NEW",IF(ISNA(VLOOKUP(E3697,#REF!,1,FALSE())),"?TYPE_IDENTIFIABLE","?REFERENTIAL"),"_")))))</f>
        <v> </v>
      </c>
      <c r="H3697" s="25" t="str">
        <f>IF(J3697&lt;&gt;1,"",IF(I3697="SBJ","CB","?"))</f>
        <v> </v>
      </c>
      <c r="I3697" s="26" t="str">
        <f>IF(OR(E3697="",E3697="!!!",F3697="NEW"),"",INDEX(B3696:B$2,-1+SUMPRODUCT(MAX(ROW(E3696:E$2)*(E3697=E3696:E$2)))))</f>
        <v> </v>
      </c>
      <c r="J3697" s="26" t="str">
        <f>IF(OR(E3697="",E3697="!!!",F3697="NEW"),"",COUNTBLANK(OFFSET(A$1,,,SUMPRODUCT(MAX(ROW(E$2:E3697)*(E3697=E$2:E3697)))))-COUNTBLANK(OFFSET(A$1,,,SUMPRODUCT(MAX(ROW(E$1:E3696)*(E2=E$1:E3696))))))</f>
        <v> </v>
      </c>
      <c r="K3697" s="26" t="str">
        <f>IF(OR(E3697="",E3697="!!!",F3697="NEW"),"",INDEX(J$1:J3696,SUMPRODUCT(MAX(ROW(E$1:E3696)*(E3697=E$1:E3696)))))</f>
        <v> </v>
      </c>
      <c r="L3697" s="27"/>
    </row>
    <row r="3698" spans="1:12">
      <c r="A3698" s="20" t="s">
        <v>2110</v>
      </c>
      <c r="E3698" s="22">
        <f>IF(D3698="?OLD","!!!","")</f>
        <v/>
      </c>
      <c r="F3698" s="23" t="str">
        <f>IF(OR(E3698="",E3698="!!!"),"",IF(NOT(ISNA(VLOOKUP(E3698,E$1:E3697,1,FALSE()))),"OLD",IF(AND(E3698&lt;&gt;"",E3698&lt;&gt;"!!!"),"NEW","")))</f>
        <v> </v>
      </c>
      <c r="G3698" s="24" t="str">
        <f>IF(OR(E3698="",E3698="!!!"),"",IF(OR(J3698=0,AND(J3698=1,K3698=1),AND(J3698=1,I3698="SBJ"),AND(J3698=1,I3698=0)),"?IN_FOCUS",IF(J3698&lt;=2,"?ACTIVATED",IF(J3698&lt;&gt;"","?FAMILIAR",IF(F3698="NEW",IF(ISNA(VLOOKUP(E3698,#REF!,1,FALSE())),"?TYPE_IDENTIFIABLE","?REFERENTIAL"),"_")))))</f>
        <v> </v>
      </c>
      <c r="H3698" s="25" t="str">
        <f>IF(J3698&lt;&gt;1,"",IF(I3698="SBJ","CB","?"))</f>
        <v> </v>
      </c>
      <c r="I3698" s="26" t="str">
        <f>IF(OR(E3698="",E3698="!!!",F3698="NEW"),"",INDEX(B3697:B$2,-1+SUMPRODUCT(MAX(ROW(E3697:E$2)*(E3698=E3697:E$2)))))</f>
        <v> </v>
      </c>
      <c r="J3698" s="26" t="str">
        <f>IF(OR(E3698="",E3698="!!!",F3698="NEW"),"",COUNTBLANK(OFFSET(A$1,,,SUMPRODUCT(MAX(ROW(E$2:E3698)*(E3698=E$2:E3698)))))-COUNTBLANK(OFFSET(A$1,,,SUMPRODUCT(MAX(ROW(E$1:E3697)*(E2=E$1:E3697))))))</f>
        <v> </v>
      </c>
      <c r="K3698" s="26" t="str">
        <f>IF(OR(E3698="",E3698="!!!",F3698="NEW"),"",INDEX(J$1:J3697,SUMPRODUCT(MAX(ROW(E$1:E3697)*(E3698=E$1:E3697)))))</f>
        <v> </v>
      </c>
      <c r="L3698" s="27"/>
    </row>
    <row r="3699" spans="1:12">
      <c r="A3699" s="20" t="s">
        <v>2111</v>
      </c>
      <c r="B3699" s="21" t="s">
        <v>1066</v>
      </c>
      <c r="C3699" s="21" t="s">
        <v>1013</v>
      </c>
      <c r="D3699" s="21" t="s">
        <v>1007</v>
      </c>
      <c r="E3699" s="22">
        <f>IF(D3699="?OLD","!!!","")</f>
        <v/>
      </c>
      <c r="F3699" s="23" t="str">
        <f>IF(OR(E3699="",E3699="!!!"),"",IF(NOT(ISNA(VLOOKUP(E3699,E$1:E3698,1,FALSE()))),"OLD",IF(AND(E3699&lt;&gt;"",E3699&lt;&gt;"!!!"),"NEW","")))</f>
        <v> </v>
      </c>
      <c r="G3699" s="24" t="str">
        <f>IF(OR(E3699="",E3699="!!!"),"",IF(OR(J3699=0,AND(J3699=1,K3699=1),AND(J3699=1,I3699="SBJ"),AND(J3699=1,I3699=0)),"?IN_FOCUS",IF(J3699&lt;=2,"?ACTIVATED",IF(J3699&lt;&gt;"","?FAMILIAR",IF(F3699="NEW",IF(ISNA(VLOOKUP(E3699,#REF!,1,FALSE())),"?TYPE_IDENTIFIABLE","?REFERENTIAL"),"_")))))</f>
        <v> </v>
      </c>
      <c r="H3699" s="25" t="str">
        <f>IF(J3699&lt;&gt;1,"",IF(I3699="SBJ","CB","?"))</f>
        <v> </v>
      </c>
      <c r="I3699" s="26" t="str">
        <f>IF(OR(E3699="",E3699="!!!",F3699="NEW"),"",INDEX(B3698:B$2,-1+SUMPRODUCT(MAX(ROW(E3698:E$2)*(E3699=E3698:E$2)))))</f>
        <v> </v>
      </c>
      <c r="J3699" s="26" t="str">
        <f>IF(OR(E3699="",E3699="!!!",F3699="NEW"),"",COUNTBLANK(OFFSET(A$1,,,SUMPRODUCT(MAX(ROW(E$2:E3699)*(E3699=E$2:E3699)))))-COUNTBLANK(OFFSET(A$1,,,SUMPRODUCT(MAX(ROW(E$1:E3698)*(E2=E$1:E3698))))))</f>
        <v> </v>
      </c>
      <c r="K3699" s="26" t="str">
        <f>IF(OR(E3699="",E3699="!!!",F3699="NEW"),"",INDEX(J$1:J3698,SUMPRODUCT(MAX(ROW(E$1:E3698)*(E3699=E$1:E3698)))))</f>
        <v> </v>
      </c>
      <c r="L3699" s="27"/>
    </row>
    <row r="3700" spans="1:12">
      <c r="A3700" s="20" t="s">
        <v>1020</v>
      </c>
      <c r="E3700" s="22">
        <f>IF(D3700="?OLD","!!!","")</f>
        <v/>
      </c>
      <c r="F3700" s="23" t="str">
        <f>IF(OR(E3700="",E3700="!!!"),"",IF(NOT(ISNA(VLOOKUP(E3700,E$1:E3699,1,FALSE()))),"OLD",IF(AND(E3700&lt;&gt;"",E3700&lt;&gt;"!!!"),"NEW","")))</f>
        <v> </v>
      </c>
      <c r="G3700" s="24" t="str">
        <f>IF(OR(E3700="",E3700="!!!"),"",IF(OR(J3700=0,AND(J3700=1,K3700=1),AND(J3700=1,I3700="SBJ"),AND(J3700=1,I3700=0)),"?IN_FOCUS",IF(J3700&lt;=2,"?ACTIVATED",IF(J3700&lt;&gt;"","?FAMILIAR",IF(F3700="NEW",IF(ISNA(VLOOKUP(E3700,#REF!,1,FALSE())),"?TYPE_IDENTIFIABLE","?REFERENTIAL"),"_")))))</f>
        <v> </v>
      </c>
      <c r="H3700" s="25" t="str">
        <f>IF(J3700&lt;&gt;1,"",IF(I3700="SBJ","CB","?"))</f>
        <v> </v>
      </c>
      <c r="I3700" s="26" t="str">
        <f>IF(OR(E3700="",E3700="!!!",F3700="NEW"),"",INDEX(B3699:B$2,-1+SUMPRODUCT(MAX(ROW(E3699:E$2)*(E3700=E3699:E$2)))))</f>
        <v> </v>
      </c>
      <c r="J3700" s="26" t="str">
        <f>IF(OR(E3700="",E3700="!!!",F3700="NEW"),"",COUNTBLANK(OFFSET(A$1,,,SUMPRODUCT(MAX(ROW(E$2:E3700)*(E3700=E$2:E3700)))))-COUNTBLANK(OFFSET(A$1,,,SUMPRODUCT(MAX(ROW(E$1:E3699)*(E2=E$1:E3699))))))</f>
        <v> </v>
      </c>
      <c r="K3700" s="26" t="str">
        <f>IF(OR(E3700="",E3700="!!!",F3700="NEW"),"",INDEX(J$1:J3699,SUMPRODUCT(MAX(ROW(E$1:E3699)*(E3700=E$1:E3699)))))</f>
        <v> </v>
      </c>
      <c r="L3700" s="27"/>
    </row>
    <row r="3701" spans="1:12">
      <c r="A3701" s="20" t="s">
        <v>1279</v>
      </c>
      <c r="E3701" s="22">
        <f>IF(D3701="?OLD","!!!","")</f>
        <v/>
      </c>
      <c r="F3701" s="23" t="str">
        <f>IF(OR(E3701="",E3701="!!!"),"",IF(NOT(ISNA(VLOOKUP(E3701,E$1:E3700,1,FALSE()))),"OLD",IF(AND(E3701&lt;&gt;"",E3701&lt;&gt;"!!!"),"NEW","")))</f>
        <v> </v>
      </c>
      <c r="G3701" s="24" t="str">
        <f>IF(OR(E3701="",E3701="!!!"),"",IF(OR(J3701=0,AND(J3701=1,K3701=1),AND(J3701=1,I3701="SBJ"),AND(J3701=1,I3701=0)),"?IN_FOCUS",IF(J3701&lt;=2,"?ACTIVATED",IF(J3701&lt;&gt;"","?FAMILIAR",IF(F3701="NEW",IF(ISNA(VLOOKUP(E3701,#REF!,1,FALSE())),"?TYPE_IDENTIFIABLE","?REFERENTIAL"),"_")))))</f>
        <v> </v>
      </c>
      <c r="H3701" s="25" t="str">
        <f>IF(J3701&lt;&gt;1,"",IF(I3701="SBJ","CB","?"))</f>
        <v> </v>
      </c>
      <c r="I3701" s="26" t="str">
        <f>IF(OR(E3701="",E3701="!!!",F3701="NEW"),"",INDEX(B3700:B$2,-1+SUMPRODUCT(MAX(ROW(E3700:E$2)*(E3701=E3700:E$2)))))</f>
        <v> </v>
      </c>
      <c r="J3701" s="26" t="str">
        <f>IF(OR(E3701="",E3701="!!!",F3701="NEW"),"",COUNTBLANK(OFFSET(A$1,,,SUMPRODUCT(MAX(ROW(E$2:E3701)*(E3701=E$2:E3701)))))-COUNTBLANK(OFFSET(A$1,,,SUMPRODUCT(MAX(ROW(E$1:E3700)*(E2=E$1:E3700))))))</f>
        <v> </v>
      </c>
      <c r="K3701" s="26" t="str">
        <f>IF(OR(E3701="",E3701="!!!",F3701="NEW"),"",INDEX(J$1:J3700,SUMPRODUCT(MAX(ROW(E$1:E3700)*(E3701=E$1:E3700)))))</f>
        <v> </v>
      </c>
      <c r="L3701" s="27"/>
    </row>
    <row r="3702" spans="1:12">
      <c r="A3702" s="20" t="s">
        <v>1460</v>
      </c>
      <c r="B3702" s="21" t="s">
        <v>1042</v>
      </c>
      <c r="C3702" s="21" t="s">
        <v>1041</v>
      </c>
      <c r="D3702" s="21" t="s">
        <v>1007</v>
      </c>
      <c r="E3702" s="22">
        <f>IF(D3702="?OLD","!!!","")</f>
        <v/>
      </c>
      <c r="F3702" s="23" t="str">
        <f>IF(OR(E3702="",E3702="!!!"),"",IF(NOT(ISNA(VLOOKUP(E3702,E$1:E3701,1,FALSE()))),"OLD",IF(AND(E3702&lt;&gt;"",E3702&lt;&gt;"!!!"),"NEW","")))</f>
        <v> </v>
      </c>
      <c r="G3702" s="24" t="str">
        <f>IF(OR(E3702="",E3702="!!!"),"",IF(OR(J3702=0,AND(J3702=1,K3702=1),AND(J3702=1,I3702="SBJ"),AND(J3702=1,I3702=0)),"?IN_FOCUS",IF(J3702&lt;=2,"?ACTIVATED",IF(J3702&lt;&gt;"","?FAMILIAR",IF(F3702="NEW",IF(ISNA(VLOOKUP(E3702,#REF!,1,FALSE())),"?TYPE_IDENTIFIABLE","?REFERENTIAL"),"_")))))</f>
        <v> </v>
      </c>
      <c r="H3702" s="25" t="str">
        <f>IF(J3702&lt;&gt;1,"",IF(I3702="SBJ","CB","?"))</f>
        <v> </v>
      </c>
      <c r="I3702" s="26" t="str">
        <f>IF(OR(E3702="",E3702="!!!",F3702="NEW"),"",INDEX(B3701:B$2,-1+SUMPRODUCT(MAX(ROW(E3701:E$2)*(E3702=E3701:E$2)))))</f>
        <v> </v>
      </c>
      <c r="J3702" s="26" t="str">
        <f>IF(OR(E3702="",E3702="!!!",F3702="NEW"),"",COUNTBLANK(OFFSET(A$1,,,SUMPRODUCT(MAX(ROW(E$2:E3702)*(E3702=E$2:E3702)))))-COUNTBLANK(OFFSET(A$1,,,SUMPRODUCT(MAX(ROW(E$1:E3701)*(E2=E$1:E3701))))))</f>
        <v> </v>
      </c>
      <c r="K3702" s="26" t="str">
        <f>IF(OR(E3702="",E3702="!!!",F3702="NEW"),"",INDEX(J$1:J3701,SUMPRODUCT(MAX(ROW(E$1:E3701)*(E3702=E$1:E3701)))))</f>
        <v> </v>
      </c>
      <c r="L3702" s="27"/>
    </row>
    <row r="3703" spans="1:12">
      <c r="A3703" s="20" t="s">
        <v>1018</v>
      </c>
      <c r="E3703" s="22">
        <f>IF(D3703="?OLD","!!!","")</f>
        <v/>
      </c>
      <c r="F3703" s="23" t="str">
        <f>IF(OR(E3703="",E3703="!!!"),"",IF(NOT(ISNA(VLOOKUP(E3703,E$1:E3702,1,FALSE()))),"OLD",IF(AND(E3703&lt;&gt;"",E3703&lt;&gt;"!!!"),"NEW","")))</f>
        <v> </v>
      </c>
      <c r="G3703" s="24" t="str">
        <f>IF(OR(E3703="",E3703="!!!"),"",IF(OR(J3703=0,AND(J3703=1,K3703=1),AND(J3703=1,I3703="SBJ"),AND(J3703=1,I3703=0)),"?IN_FOCUS",IF(J3703&lt;=2,"?ACTIVATED",IF(J3703&lt;&gt;"","?FAMILIAR",IF(F3703="NEW",IF(ISNA(VLOOKUP(E3703,#REF!,1,FALSE())),"?TYPE_IDENTIFIABLE","?REFERENTIAL"),"_")))))</f>
        <v> </v>
      </c>
      <c r="H3703" s="25" t="str">
        <f>IF(J3703&lt;&gt;1,"",IF(I3703="SBJ","CB","?"))</f>
        <v> </v>
      </c>
      <c r="I3703" s="26" t="str">
        <f>IF(OR(E3703="",E3703="!!!",F3703="NEW"),"",INDEX(B3702:B$2,-1+SUMPRODUCT(MAX(ROW(E3702:E$2)*(E3703=E3702:E$2)))))</f>
        <v> </v>
      </c>
      <c r="J3703" s="26" t="str">
        <f>IF(OR(E3703="",E3703="!!!",F3703="NEW"),"",COUNTBLANK(OFFSET(A$1,,,SUMPRODUCT(MAX(ROW(E$2:E3703)*(E3703=E$2:E3703)))))-COUNTBLANK(OFFSET(A$1,,,SUMPRODUCT(MAX(ROW(E$1:E3702)*(E2=E$1:E3702))))))</f>
        <v> </v>
      </c>
      <c r="K3703" s="26" t="str">
        <f>IF(OR(E3703="",E3703="!!!",F3703="NEW"),"",INDEX(J$1:J3702,SUMPRODUCT(MAX(ROW(E$1:E3702)*(E3703=E$1:E3702)))))</f>
        <v> </v>
      </c>
      <c r="L3703" s="27"/>
    </row>
    <row r="3704" spans="1:12">
      <c r="A3704" s="20" t="s">
        <v>102</v>
      </c>
      <c r="B3704" s="21" t="s">
        <v>1033</v>
      </c>
      <c r="C3704" s="21" t="s">
        <v>1073</v>
      </c>
      <c r="D3704" s="21" t="s">
        <v>1007</v>
      </c>
      <c r="E3704" s="22">
        <f>IF(D3704="?OLD","!!!","")</f>
        <v/>
      </c>
      <c r="F3704" s="23" t="str">
        <f>IF(OR(E3704="",E3704="!!!"),"",IF(NOT(ISNA(VLOOKUP(E3704,E$1:E3703,1,FALSE()))),"OLD",IF(AND(E3704&lt;&gt;"",E3704&lt;&gt;"!!!"),"NEW","")))</f>
        <v> </v>
      </c>
      <c r="G3704" s="24" t="str">
        <f>IF(OR(E3704="",E3704="!!!"),"",IF(OR(J3704=0,AND(J3704=1,K3704=1),AND(J3704=1,I3704="SBJ"),AND(J3704=1,I3704=0)),"?IN_FOCUS",IF(J3704&lt;=2,"?ACTIVATED",IF(J3704&lt;&gt;"","?FAMILIAR",IF(F3704="NEW",IF(ISNA(VLOOKUP(E3704,#REF!,1,FALSE())),"?TYPE_IDENTIFIABLE","?REFERENTIAL"),"_")))))</f>
        <v> </v>
      </c>
      <c r="H3704" s="25" t="str">
        <f>IF(J3704&lt;&gt;1,"",IF(I3704="SBJ","CB","?"))</f>
        <v> </v>
      </c>
      <c r="I3704" s="26" t="str">
        <f>IF(OR(E3704="",E3704="!!!",F3704="NEW"),"",INDEX(B3703:B$2,-1+SUMPRODUCT(MAX(ROW(E3703:E$2)*(E3704=E3703:E$2)))))</f>
        <v> </v>
      </c>
      <c r="J3704" s="26" t="str">
        <f>IF(OR(E3704="",E3704="!!!",F3704="NEW"),"",COUNTBLANK(OFFSET(A$1,,,SUMPRODUCT(MAX(ROW(E$2:E3704)*(E3704=E$2:E3704)))))-COUNTBLANK(OFFSET(A$1,,,SUMPRODUCT(MAX(ROW(E$1:E3703)*(E2=E$1:E3703))))))</f>
        <v> </v>
      </c>
      <c r="K3704" s="26" t="str">
        <f>IF(OR(E3704="",E3704="!!!",F3704="NEW"),"",INDEX(J$1:J3703,SUMPRODUCT(MAX(ROW(E$1:E3703)*(E3704=E$1:E3703)))))</f>
        <v> </v>
      </c>
      <c r="L3704" s="27"/>
    </row>
    <row r="3705" spans="1:12">
      <c r="A3705" s="20" t="s">
        <v>1065</v>
      </c>
      <c r="B3705" s="21" t="s">
        <v>1263</v>
      </c>
      <c r="E3705" s="22">
        <f>IF(D3705="?OLD","!!!","")</f>
        <v/>
      </c>
      <c r="F3705" s="23" t="str">
        <f>IF(OR(E3705="",E3705="!!!"),"",IF(NOT(ISNA(VLOOKUP(E3705,E$1:E3704,1,FALSE()))),"OLD",IF(AND(E3705&lt;&gt;"",E3705&lt;&gt;"!!!"),"NEW","")))</f>
        <v> </v>
      </c>
      <c r="G3705" s="24" t="str">
        <f>IF(OR(E3705="",E3705="!!!"),"",IF(OR(J3705=0,AND(J3705=1,K3705=1),AND(J3705=1,I3705="SBJ"),AND(J3705=1,I3705=0)),"?IN_FOCUS",IF(J3705&lt;=2,"?ACTIVATED",IF(J3705&lt;&gt;"","?FAMILIAR",IF(F3705="NEW",IF(ISNA(VLOOKUP(E3705,#REF!,1,FALSE())),"?TYPE_IDENTIFIABLE","?REFERENTIAL"),"_")))))</f>
        <v> </v>
      </c>
      <c r="H3705" s="25" t="str">
        <f>IF(J3705&lt;&gt;1,"",IF(I3705="SBJ","CB","?"))</f>
        <v> </v>
      </c>
      <c r="I3705" s="26" t="str">
        <f>IF(OR(E3705="",E3705="!!!",F3705="NEW"),"",INDEX(B3704:B$2,-1+SUMPRODUCT(MAX(ROW(E3704:E$2)*(E3705=E3704:E$2)))))</f>
        <v> </v>
      </c>
      <c r="J3705" s="26" t="str">
        <f>IF(OR(E3705="",E3705="!!!",F3705="NEW"),"",COUNTBLANK(OFFSET(A$1,,,SUMPRODUCT(MAX(ROW(E$2:E3705)*(E3705=E$2:E3705)))))-COUNTBLANK(OFFSET(A$1,,,SUMPRODUCT(MAX(ROW(E$1:E3704)*(E2=E$1:E3704))))))</f>
        <v> </v>
      </c>
      <c r="K3705" s="26" t="str">
        <f>IF(OR(E3705="",E3705="!!!",F3705="NEW"),"",INDEX(J$1:J3704,SUMPRODUCT(MAX(ROW(E$1:E3704)*(E3705=E$1:E3704)))))</f>
        <v> </v>
      </c>
      <c r="L3705" s="27"/>
    </row>
    <row r="3706" spans="1:12">
      <c r="A3706" s="20" t="s">
        <v>1839</v>
      </c>
      <c r="E3706" s="22">
        <f>IF(D3706="?OLD","!!!","")</f>
        <v/>
      </c>
      <c r="F3706" s="23" t="str">
        <f>IF(OR(E3706="",E3706="!!!"),"",IF(NOT(ISNA(VLOOKUP(E3706,E$1:E3705,1,FALSE()))),"OLD",IF(AND(E3706&lt;&gt;"",E3706&lt;&gt;"!!!"),"NEW","")))</f>
        <v> </v>
      </c>
      <c r="G3706" s="24" t="str">
        <f>IF(OR(E3706="",E3706="!!!"),"",IF(OR(J3706=0,AND(J3706=1,K3706=1),AND(J3706=1,I3706="SBJ"),AND(J3706=1,I3706=0)),"?IN_FOCUS",IF(J3706&lt;=2,"?ACTIVATED",IF(J3706&lt;&gt;"","?FAMILIAR",IF(F3706="NEW",IF(ISNA(VLOOKUP(E3706,#REF!,1,FALSE())),"?TYPE_IDENTIFIABLE","?REFERENTIAL"),"_")))))</f>
        <v> </v>
      </c>
      <c r="H3706" s="25" t="str">
        <f>IF(J3706&lt;&gt;1,"",IF(I3706="SBJ","CB","?"))</f>
        <v> </v>
      </c>
      <c r="I3706" s="26" t="str">
        <f>IF(OR(E3706="",E3706="!!!",F3706="NEW"),"",INDEX(B3705:B$2,-1+SUMPRODUCT(MAX(ROW(E3705:E$2)*(E3706=E3705:E$2)))))</f>
        <v> </v>
      </c>
      <c r="J3706" s="26" t="str">
        <f>IF(OR(E3706="",E3706="!!!",F3706="NEW"),"",COUNTBLANK(OFFSET(A$1,,,SUMPRODUCT(MAX(ROW(E$2:E3706)*(E3706=E$2:E3706)))))-COUNTBLANK(OFFSET(A$1,,,SUMPRODUCT(MAX(ROW(E$1:E3705)*(E2=E$1:E3705))))))</f>
        <v> </v>
      </c>
      <c r="K3706" s="26" t="str">
        <f>IF(OR(E3706="",E3706="!!!",F3706="NEW"),"",INDEX(J$1:J3705,SUMPRODUCT(MAX(ROW(E$1:E3705)*(E3706=E$1:E3705)))))</f>
        <v> </v>
      </c>
      <c r="L3706" s="27"/>
    </row>
    <row r="3707" spans="1:12">
      <c r="A3707" s="20" t="s">
        <v>1182</v>
      </c>
      <c r="E3707" s="22">
        <f>IF(D3707="?OLD","!!!","")</f>
        <v/>
      </c>
      <c r="F3707" s="23" t="str">
        <f>IF(OR(E3707="",E3707="!!!"),"",IF(NOT(ISNA(VLOOKUP(E3707,E$1:E3706,1,FALSE()))),"OLD",IF(AND(E3707&lt;&gt;"",E3707&lt;&gt;"!!!"),"NEW","")))</f>
        <v> </v>
      </c>
      <c r="G3707" s="24" t="str">
        <f>IF(OR(E3707="",E3707="!!!"),"",IF(OR(J3707=0,AND(J3707=1,K3707=1),AND(J3707=1,I3707="SBJ"),AND(J3707=1,I3707=0)),"?IN_FOCUS",IF(J3707&lt;=2,"?ACTIVATED",IF(J3707&lt;&gt;"","?FAMILIAR",IF(F3707="NEW",IF(ISNA(VLOOKUP(E3707,#REF!,1,FALSE())),"?TYPE_IDENTIFIABLE","?REFERENTIAL"),"_")))))</f>
        <v> </v>
      </c>
      <c r="H3707" s="25" t="str">
        <f>IF(J3707&lt;&gt;1,"",IF(I3707="SBJ","CB","?"))</f>
        <v> </v>
      </c>
      <c r="I3707" s="26" t="str">
        <f>IF(OR(E3707="",E3707="!!!",F3707="NEW"),"",INDEX(B3706:B$2,-1+SUMPRODUCT(MAX(ROW(E3706:E$2)*(E3707=E3706:E$2)))))</f>
        <v> </v>
      </c>
      <c r="J3707" s="26" t="str">
        <f>IF(OR(E3707="",E3707="!!!",F3707="NEW"),"",COUNTBLANK(OFFSET(A$1,,,SUMPRODUCT(MAX(ROW(E$2:E3707)*(E3707=E$2:E3707)))))-COUNTBLANK(OFFSET(A$1,,,SUMPRODUCT(MAX(ROW(E$1:E3706)*(E2=E$1:E3706))))))</f>
        <v> </v>
      </c>
      <c r="K3707" s="26" t="str">
        <f>IF(OR(E3707="",E3707="!!!",F3707="NEW"),"",INDEX(J$1:J3706,SUMPRODUCT(MAX(ROW(E$1:E3706)*(E3707=E$1:E3706)))))</f>
        <v> </v>
      </c>
      <c r="L3707" s="27"/>
    </row>
    <row r="3708" spans="1:12">
      <c r="A3708" s="20" t="s">
        <v>1065</v>
      </c>
      <c r="E3708" s="22">
        <f>IF(D3708="?OLD","!!!","")</f>
        <v/>
      </c>
      <c r="F3708" s="23" t="str">
        <f>IF(OR(E3708="",E3708="!!!"),"",IF(NOT(ISNA(VLOOKUP(E3708,E$1:E3707,1,FALSE()))),"OLD",IF(AND(E3708&lt;&gt;"",E3708&lt;&gt;"!!!"),"NEW","")))</f>
        <v> </v>
      </c>
      <c r="G3708" s="24" t="str">
        <f>IF(OR(E3708="",E3708="!!!"),"",IF(OR(J3708=0,AND(J3708=1,K3708=1),AND(J3708=1,I3708="SBJ"),AND(J3708=1,I3708=0)),"?IN_FOCUS",IF(J3708&lt;=2,"?ACTIVATED",IF(J3708&lt;&gt;"","?FAMILIAR",IF(F3708="NEW",IF(ISNA(VLOOKUP(E3708,#REF!,1,FALSE())),"?TYPE_IDENTIFIABLE","?REFERENTIAL"),"_")))))</f>
        <v> </v>
      </c>
      <c r="H3708" s="25" t="str">
        <f>IF(J3708&lt;&gt;1,"",IF(I3708="SBJ","CB","?"))</f>
        <v> </v>
      </c>
      <c r="I3708" s="26" t="str">
        <f>IF(OR(E3708="",E3708="!!!",F3708="NEW"),"",INDEX(B3707:B$2,-1+SUMPRODUCT(MAX(ROW(E3707:E$2)*(E3708=E3707:E$2)))))</f>
        <v> </v>
      </c>
      <c r="J3708" s="26" t="str">
        <f>IF(OR(E3708="",E3708="!!!",F3708="NEW"),"",COUNTBLANK(OFFSET(A$1,,,SUMPRODUCT(MAX(ROW(E$2:E3708)*(E3708=E$2:E3708)))))-COUNTBLANK(OFFSET(A$1,,,SUMPRODUCT(MAX(ROW(E$1:E3707)*(E2=E$1:E3707))))))</f>
        <v> </v>
      </c>
      <c r="K3708" s="26" t="str">
        <f>IF(OR(E3708="",E3708="!!!",F3708="NEW"),"",INDEX(J$1:J3707,SUMPRODUCT(MAX(ROW(E$1:E3707)*(E3708=E$1:E3707)))))</f>
        <v> </v>
      </c>
      <c r="L3708" s="27"/>
    </row>
    <row r="3709" spans="1:12">
      <c r="A3709" s="20" t="s">
        <v>1463</v>
      </c>
      <c r="B3709" s="21" t="s">
        <v>1067</v>
      </c>
      <c r="C3709" s="21" t="s">
        <v>1082</v>
      </c>
      <c r="D3709" s="21" t="s">
        <v>1007</v>
      </c>
      <c r="E3709" s="22">
        <f>IF(D3709="?OLD","!!!","")</f>
        <v/>
      </c>
      <c r="F3709" s="23" t="str">
        <f>IF(OR(E3709="",E3709="!!!"),"",IF(NOT(ISNA(VLOOKUP(E3709,E$1:E3708,1,FALSE()))),"OLD",IF(AND(E3709&lt;&gt;"",E3709&lt;&gt;"!!!"),"NEW","")))</f>
        <v> </v>
      </c>
      <c r="G3709" s="24" t="str">
        <f>IF(OR(E3709="",E3709="!!!"),"",IF(OR(J3709=0,AND(J3709=1,K3709=1),AND(J3709=1,I3709="SBJ"),AND(J3709=1,I3709=0)),"?IN_FOCUS",IF(J3709&lt;=2,"?ACTIVATED",IF(J3709&lt;&gt;"","?FAMILIAR",IF(F3709="NEW",IF(ISNA(VLOOKUP(E3709,#REF!,1,FALSE())),"?TYPE_IDENTIFIABLE","?REFERENTIAL"),"_")))))</f>
        <v> </v>
      </c>
      <c r="H3709" s="25" t="str">
        <f>IF(J3709&lt;&gt;1,"",IF(I3709="SBJ","CB","?"))</f>
        <v> </v>
      </c>
      <c r="I3709" s="26" t="str">
        <f>IF(OR(E3709="",E3709="!!!",F3709="NEW"),"",INDEX(B3708:B$2,-1+SUMPRODUCT(MAX(ROW(E3708:E$2)*(E3709=E3708:E$2)))))</f>
        <v> </v>
      </c>
      <c r="J3709" s="26" t="str">
        <f>IF(OR(E3709="",E3709="!!!",F3709="NEW"),"",COUNTBLANK(OFFSET(A$1,,,SUMPRODUCT(MAX(ROW(E$2:E3709)*(E3709=E$2:E3709)))))-COUNTBLANK(OFFSET(A$1,,,SUMPRODUCT(MAX(ROW(E$1:E3708)*(E2=E$1:E3708))))))</f>
        <v> </v>
      </c>
      <c r="K3709" s="26" t="str">
        <f>IF(OR(E3709="",E3709="!!!",F3709="NEW"),"",INDEX(J$1:J3708,SUMPRODUCT(MAX(ROW(E$1:E3708)*(E3709=E$1:E3708)))))</f>
        <v> </v>
      </c>
      <c r="L3709" s="27"/>
    </row>
    <row r="3710" spans="1:12">
      <c r="A3710" s="20" t="s">
        <v>2112</v>
      </c>
      <c r="E3710" s="22">
        <f>IF(D3710="?OLD","!!!","")</f>
        <v/>
      </c>
      <c r="F3710" s="23" t="str">
        <f>IF(OR(E3710="",E3710="!!!"),"",IF(NOT(ISNA(VLOOKUP(E3710,E$1:E3709,1,FALSE()))),"OLD",IF(AND(E3710&lt;&gt;"",E3710&lt;&gt;"!!!"),"NEW","")))</f>
        <v> </v>
      </c>
      <c r="G3710" s="24" t="str">
        <f>IF(OR(E3710="",E3710="!!!"),"",IF(OR(J3710=0,AND(J3710=1,K3710=1),AND(J3710=1,I3710="SBJ"),AND(J3710=1,I3710=0)),"?IN_FOCUS",IF(J3710&lt;=2,"?ACTIVATED",IF(J3710&lt;&gt;"","?FAMILIAR",IF(F3710="NEW",IF(ISNA(VLOOKUP(E3710,#REF!,1,FALSE())),"?TYPE_IDENTIFIABLE","?REFERENTIAL"),"_")))))</f>
        <v> </v>
      </c>
      <c r="H3710" s="25" t="str">
        <f>IF(J3710&lt;&gt;1,"",IF(I3710="SBJ","CB","?"))</f>
        <v> </v>
      </c>
      <c r="I3710" s="26" t="str">
        <f>IF(OR(E3710="",E3710="!!!",F3710="NEW"),"",INDEX(B3709:B$2,-1+SUMPRODUCT(MAX(ROW(E3709:E$2)*(E3710=E3709:E$2)))))</f>
        <v> </v>
      </c>
      <c r="J3710" s="26" t="str">
        <f>IF(OR(E3710="",E3710="!!!",F3710="NEW"),"",COUNTBLANK(OFFSET(A$1,,,SUMPRODUCT(MAX(ROW(E$2:E3710)*(E3710=E$2:E3710)))))-COUNTBLANK(OFFSET(A$1,,,SUMPRODUCT(MAX(ROW(E$1:E3709)*(E2=E$1:E3709))))))</f>
        <v> </v>
      </c>
      <c r="K3710" s="26" t="str">
        <f>IF(OR(E3710="",E3710="!!!",F3710="NEW"),"",INDEX(J$1:J3709,SUMPRODUCT(MAX(ROW(E$1:E3709)*(E3710=E$1:E3709)))))</f>
        <v> </v>
      </c>
      <c r="L3710" s="27"/>
    </row>
    <row r="3711" spans="1:12">
      <c r="A3711" s="20" t="s">
        <v>1020</v>
      </c>
      <c r="E3711" s="22">
        <f>IF(D3711="?OLD","!!!","")</f>
        <v/>
      </c>
      <c r="F3711" s="23" t="str">
        <f>IF(OR(E3711="",E3711="!!!"),"",IF(NOT(ISNA(VLOOKUP(E3711,E$1:E3710,1,FALSE()))),"OLD",IF(AND(E3711&lt;&gt;"",E3711&lt;&gt;"!!!"),"NEW","")))</f>
        <v> </v>
      </c>
      <c r="G3711" s="24" t="str">
        <f>IF(OR(E3711="",E3711="!!!"),"",IF(OR(J3711=0,AND(J3711=1,K3711=1),AND(J3711=1,I3711="SBJ"),AND(J3711=1,I3711=0)),"?IN_FOCUS",IF(J3711&lt;=2,"?ACTIVATED",IF(J3711&lt;&gt;"","?FAMILIAR",IF(F3711="NEW",IF(ISNA(VLOOKUP(E3711,#REF!,1,FALSE())),"?TYPE_IDENTIFIABLE","?REFERENTIAL"),"_")))))</f>
        <v> </v>
      </c>
      <c r="H3711" s="25" t="str">
        <f>IF(J3711&lt;&gt;1,"",IF(I3711="SBJ","CB","?"))</f>
        <v> </v>
      </c>
      <c r="I3711" s="26" t="str">
        <f>IF(OR(E3711="",E3711="!!!",F3711="NEW"),"",INDEX(B3710:B$2,-1+SUMPRODUCT(MAX(ROW(E3710:E$2)*(E3711=E3710:E$2)))))</f>
        <v> </v>
      </c>
      <c r="J3711" s="26" t="str">
        <f>IF(OR(E3711="",E3711="!!!",F3711="NEW"),"",COUNTBLANK(OFFSET(A$1,,,SUMPRODUCT(MAX(ROW(E$2:E3711)*(E3711=E$2:E3711)))))-COUNTBLANK(OFFSET(A$1,,,SUMPRODUCT(MAX(ROW(E$1:E3710)*(E2=E$1:E3710))))))</f>
        <v> </v>
      </c>
      <c r="K3711" s="26" t="str">
        <f>IF(OR(E3711="",E3711="!!!",F3711="NEW"),"",INDEX(J$1:J3710,SUMPRODUCT(MAX(ROW(E$1:E3710)*(E3711=E$1:E3710)))))</f>
        <v> </v>
      </c>
      <c r="L3711" s="27"/>
    </row>
    <row r="3712" spans="1:12">
      <c r="A3712" s="20" t="s">
        <v>1339</v>
      </c>
      <c r="B3712" s="21" t="s">
        <v>1066</v>
      </c>
      <c r="C3712" s="21" t="s">
        <v>1013</v>
      </c>
      <c r="D3712" s="21" t="s">
        <v>1007</v>
      </c>
      <c r="E3712" s="22">
        <f>IF(D3712="?OLD","!!!","")</f>
        <v/>
      </c>
      <c r="F3712" s="23" t="str">
        <f>IF(OR(E3712="",E3712="!!!"),"",IF(NOT(ISNA(VLOOKUP(E3712,E$1:E3711,1,FALSE()))),"OLD",IF(AND(E3712&lt;&gt;"",E3712&lt;&gt;"!!!"),"NEW","")))</f>
        <v> </v>
      </c>
      <c r="G3712" s="24" t="str">
        <f>IF(OR(E3712="",E3712="!!!"),"",IF(OR(J3712=0,AND(J3712=1,K3712=1),AND(J3712=1,I3712="SBJ"),AND(J3712=1,I3712=0)),"?IN_FOCUS",IF(J3712&lt;=2,"?ACTIVATED",IF(J3712&lt;&gt;"","?FAMILIAR",IF(F3712="NEW",IF(ISNA(VLOOKUP(E3712,#REF!,1,FALSE())),"?TYPE_IDENTIFIABLE","?REFERENTIAL"),"_")))))</f>
        <v> </v>
      </c>
      <c r="H3712" s="25" t="str">
        <f>IF(J3712&lt;&gt;1,"",IF(I3712="SBJ","CB","?"))</f>
        <v> </v>
      </c>
      <c r="I3712" s="26" t="str">
        <f>IF(OR(E3712="",E3712="!!!",F3712="NEW"),"",INDEX(B3711:B$2,-1+SUMPRODUCT(MAX(ROW(E3711:E$2)*(E3712=E3711:E$2)))))</f>
        <v> </v>
      </c>
      <c r="J3712" s="26" t="str">
        <f>IF(OR(E3712="",E3712="!!!",F3712="NEW"),"",COUNTBLANK(OFFSET(A$1,,,SUMPRODUCT(MAX(ROW(E$2:E3712)*(E3712=E$2:E3712)))))-COUNTBLANK(OFFSET(A$1,,,SUMPRODUCT(MAX(ROW(E$1:E3711)*(E2=E$1:E3711))))))</f>
        <v> </v>
      </c>
      <c r="K3712" s="26" t="str">
        <f>IF(OR(E3712="",E3712="!!!",F3712="NEW"),"",INDEX(J$1:J3711,SUMPRODUCT(MAX(ROW(E$1:E3711)*(E3712=E$1:E3711)))))</f>
        <v> </v>
      </c>
      <c r="L3712" s="27"/>
    </row>
    <row r="3713" spans="1:12">
      <c r="A3713" s="20" t="s">
        <v>1014</v>
      </c>
      <c r="E3713" s="22">
        <f>IF(D3713="?OLD","!!!","")</f>
        <v/>
      </c>
      <c r="F3713" s="23" t="str">
        <f>IF(OR(E3713="",E3713="!!!"),"",IF(NOT(ISNA(VLOOKUP(E3713,E$1:E3712,1,FALSE()))),"OLD",IF(AND(E3713&lt;&gt;"",E3713&lt;&gt;"!!!"),"NEW","")))</f>
        <v> </v>
      </c>
      <c r="G3713" s="24" t="str">
        <f>IF(OR(E3713="",E3713="!!!"),"",IF(OR(J3713=0,AND(J3713=1,K3713=1),AND(J3713=1,I3713="SBJ"),AND(J3713=1,I3713=0)),"?IN_FOCUS",IF(J3713&lt;=2,"?ACTIVATED",IF(J3713&lt;&gt;"","?FAMILIAR",IF(F3713="NEW",IF(ISNA(VLOOKUP(E3713,#REF!,1,FALSE())),"?TYPE_IDENTIFIABLE","?REFERENTIAL"),"_")))))</f>
        <v> </v>
      </c>
      <c r="H3713" s="25" t="str">
        <f>IF(J3713&lt;&gt;1,"",IF(I3713="SBJ","CB","?"))</f>
        <v> </v>
      </c>
      <c r="I3713" s="26" t="str">
        <f>IF(OR(E3713="",E3713="!!!",F3713="NEW"),"",INDEX(B3712:B$2,-1+SUMPRODUCT(MAX(ROW(E3712:E$2)*(E3713=E3712:E$2)))))</f>
        <v> </v>
      </c>
      <c r="J3713" s="26" t="str">
        <f>IF(OR(E3713="",E3713="!!!",F3713="NEW"),"",COUNTBLANK(OFFSET(A$1,,,SUMPRODUCT(MAX(ROW(E$2:E3713)*(E3713=E$2:E3713)))))-COUNTBLANK(OFFSET(A$1,,,SUMPRODUCT(MAX(ROW(E$1:E3712)*(E2=E$1:E3712))))))</f>
        <v> </v>
      </c>
      <c r="K3713" s="26" t="str">
        <f>IF(OR(E3713="",E3713="!!!",F3713="NEW"),"",INDEX(J$1:J3712,SUMPRODUCT(MAX(ROW(E$1:E3712)*(E3713=E$1:E3712)))))</f>
        <v> </v>
      </c>
      <c r="L3713" s="27"/>
    </row>
    <row r="3714" spans="1:12">
      <c r="A3714" s="20" t="s">
        <v>1015</v>
      </c>
      <c r="E3714" s="22">
        <f>IF(D3714="?OLD","!!!","")</f>
        <v/>
      </c>
      <c r="F3714" s="23" t="str">
        <f>IF(OR(E3714="",E3714="!!!"),"",IF(NOT(ISNA(VLOOKUP(E3714,E$1:E3713,1,FALSE()))),"OLD",IF(AND(E3714&lt;&gt;"",E3714&lt;&gt;"!!!"),"NEW","")))</f>
        <v> </v>
      </c>
      <c r="G3714" s="24" t="str">
        <f>IF(OR(E3714="",E3714="!!!"),"",IF(OR(J3714=0,AND(J3714=1,K3714=1),AND(J3714=1,I3714="SBJ"),AND(J3714=1,I3714=0)),"?IN_FOCUS",IF(J3714&lt;=2,"?ACTIVATED",IF(J3714&lt;&gt;"","?FAMILIAR",IF(F3714="NEW",IF(ISNA(VLOOKUP(E3714,#REF!,1,FALSE())),"?TYPE_IDENTIFIABLE","?REFERENTIAL"),"_")))))</f>
        <v> </v>
      </c>
      <c r="H3714" s="25" t="str">
        <f>IF(J3714&lt;&gt;1,"",IF(I3714="SBJ","CB","?"))</f>
        <v> </v>
      </c>
      <c r="I3714" s="26" t="str">
        <f>IF(OR(E3714="",E3714="!!!",F3714="NEW"),"",INDEX(B3713:B$2,-1+SUMPRODUCT(MAX(ROW(E3713:E$2)*(E3714=E3713:E$2)))))</f>
        <v> </v>
      </c>
      <c r="J3714" s="26" t="str">
        <f>IF(OR(E3714="",E3714="!!!",F3714="NEW"),"",COUNTBLANK(OFFSET(A$1,,,SUMPRODUCT(MAX(ROW(E$2:E3714)*(E3714=E$2:E3714)))))-COUNTBLANK(OFFSET(A$1,,,SUMPRODUCT(MAX(ROW(E$1:E3713)*(E2=E$1:E3713))))))</f>
        <v> </v>
      </c>
      <c r="K3714" s="26" t="str">
        <f>IF(OR(E3714="",E3714="!!!",F3714="NEW"),"",INDEX(J$1:J3713,SUMPRODUCT(MAX(ROW(E$1:E3713)*(E3714=E$1:E3713)))))</f>
        <v> </v>
      </c>
      <c r="L3714" s="27"/>
    </row>
    <row r="3715" spans="1:12">
      <c r="A3715" s="20" t="s">
        <v>1544</v>
      </c>
      <c r="B3715" s="21" t="s">
        <v>1044</v>
      </c>
      <c r="C3715" s="21" t="s">
        <v>1059</v>
      </c>
      <c r="D3715" s="21" t="s">
        <v>1007</v>
      </c>
      <c r="E3715" s="22">
        <f>IF(D3715="?OLD","!!!","")</f>
        <v/>
      </c>
      <c r="F3715" s="23" t="str">
        <f>IF(OR(E3715="",E3715="!!!"),"",IF(NOT(ISNA(VLOOKUP(E3715,E$1:E3714,1,FALSE()))),"OLD",IF(AND(E3715&lt;&gt;"",E3715&lt;&gt;"!!!"),"NEW","")))</f>
        <v> </v>
      </c>
      <c r="G3715" s="24" t="str">
        <f>IF(OR(E3715="",E3715="!!!"),"",IF(OR(J3715=0,AND(J3715=1,K3715=1),AND(J3715=1,I3715="SBJ"),AND(J3715=1,I3715=0)),"?IN_FOCUS",IF(J3715&lt;=2,"?ACTIVATED",IF(J3715&lt;&gt;"","?FAMILIAR",IF(F3715="NEW",IF(ISNA(VLOOKUP(E3715,#REF!,1,FALSE())),"?TYPE_IDENTIFIABLE","?REFERENTIAL"),"_")))))</f>
        <v> </v>
      </c>
      <c r="H3715" s="25" t="str">
        <f>IF(J3715&lt;&gt;1,"",IF(I3715="SBJ","CB","?"))</f>
        <v> </v>
      </c>
      <c r="I3715" s="26" t="str">
        <f>IF(OR(E3715="",E3715="!!!",F3715="NEW"),"",INDEX(B3714:B$2,-1+SUMPRODUCT(MAX(ROW(E3714:E$2)*(E3715=E3714:E$2)))))</f>
        <v> </v>
      </c>
      <c r="J3715" s="26" t="str">
        <f>IF(OR(E3715="",E3715="!!!",F3715="NEW"),"",COUNTBLANK(OFFSET(A$1,,,SUMPRODUCT(MAX(ROW(E$2:E3715)*(E3715=E$2:E3715)))))-COUNTBLANK(OFFSET(A$1,,,SUMPRODUCT(MAX(ROW(E$1:E3714)*(E2=E$1:E3714))))))</f>
        <v> </v>
      </c>
      <c r="K3715" s="26" t="str">
        <f>IF(OR(E3715="",E3715="!!!",F3715="NEW"),"",INDEX(J$1:J3714,SUMPRODUCT(MAX(ROW(E$1:E3714)*(E3715=E$1:E3714)))))</f>
        <v> </v>
      </c>
      <c r="L3715" s="27"/>
    </row>
    <row r="3716" spans="1:12">
      <c r="A3716" s="20" t="s">
        <v>1655</v>
      </c>
      <c r="B3716" s="21" t="s">
        <v>1042</v>
      </c>
      <c r="C3716" s="21" t="s">
        <v>1017</v>
      </c>
      <c r="D3716" s="21" t="s">
        <v>1007</v>
      </c>
      <c r="E3716" s="22">
        <f>IF(D3716="?OLD","!!!","")</f>
        <v/>
      </c>
      <c r="F3716" s="23" t="str">
        <f>IF(OR(E3716="",E3716="!!!"),"",IF(NOT(ISNA(VLOOKUP(E3716,E$1:E3715,1,FALSE()))),"OLD",IF(AND(E3716&lt;&gt;"",E3716&lt;&gt;"!!!"),"NEW","")))</f>
        <v> </v>
      </c>
      <c r="G3716" s="24" t="str">
        <f>IF(OR(E3716="",E3716="!!!"),"",IF(OR(J3716=0,AND(J3716=1,K3716=1),AND(J3716=1,I3716="SBJ"),AND(J3716=1,I3716=0)),"?IN_FOCUS",IF(J3716&lt;=2,"?ACTIVATED",IF(J3716&lt;&gt;"","?FAMILIAR",IF(F3716="NEW",IF(ISNA(VLOOKUP(E3716,#REF!,1,FALSE())),"?TYPE_IDENTIFIABLE","?REFERENTIAL"),"_")))))</f>
        <v> </v>
      </c>
      <c r="H3716" s="25" t="str">
        <f>IF(J3716&lt;&gt;1,"",IF(I3716="SBJ","CB","?"))</f>
        <v> </v>
      </c>
      <c r="I3716" s="26" t="str">
        <f>IF(OR(E3716="",E3716="!!!",F3716="NEW"),"",INDEX(B3715:B$2,-1+SUMPRODUCT(MAX(ROW(E3715:E$2)*(E3716=E3715:E$2)))))</f>
        <v> </v>
      </c>
      <c r="J3716" s="26" t="str">
        <f>IF(OR(E3716="",E3716="!!!",F3716="NEW"),"",COUNTBLANK(OFFSET(A$1,,,SUMPRODUCT(MAX(ROW(E$2:E3716)*(E3716=E$2:E3716)))))-COUNTBLANK(OFFSET(A$1,,,SUMPRODUCT(MAX(ROW(E$1:E3715)*(E2=E$1:E3715))))))</f>
        <v> </v>
      </c>
      <c r="K3716" s="26" t="str">
        <f>IF(OR(E3716="",E3716="!!!",F3716="NEW"),"",INDEX(J$1:J3715,SUMPRODUCT(MAX(ROW(E$1:E3715)*(E3716=E$1:E3715)))))</f>
        <v> </v>
      </c>
      <c r="L3716" s="27"/>
    </row>
    <row r="3717" spans="1:12">
      <c r="A3717" s="20" t="s">
        <v>1023</v>
      </c>
      <c r="E3717" s="22">
        <f>IF(D3717="?OLD","!!!","")</f>
        <v/>
      </c>
      <c r="F3717" s="23" t="str">
        <f>IF(OR(E3717="",E3717="!!!"),"",IF(NOT(ISNA(VLOOKUP(E3717,E$1:E3716,1,FALSE()))),"OLD",IF(AND(E3717&lt;&gt;"",E3717&lt;&gt;"!!!"),"NEW","")))</f>
        <v> </v>
      </c>
      <c r="G3717" s="24" t="str">
        <f>IF(OR(E3717="",E3717="!!!"),"",IF(OR(J3717=0,AND(J3717=1,K3717=1),AND(J3717=1,I3717="SBJ"),AND(J3717=1,I3717=0)),"?IN_FOCUS",IF(J3717&lt;=2,"?ACTIVATED",IF(J3717&lt;&gt;"","?FAMILIAR",IF(F3717="NEW",IF(ISNA(VLOOKUP(E3717,#REF!,1,FALSE())),"?TYPE_IDENTIFIABLE","?REFERENTIAL"),"_")))))</f>
        <v> </v>
      </c>
      <c r="H3717" s="25" t="str">
        <f>IF(J3717&lt;&gt;1,"",IF(I3717="SBJ","CB","?"))</f>
        <v> </v>
      </c>
      <c r="I3717" s="26" t="str">
        <f>IF(OR(E3717="",E3717="!!!",F3717="NEW"),"",INDEX(B3716:B$2,-1+SUMPRODUCT(MAX(ROW(E3716:E$2)*(E3717=E3716:E$2)))))</f>
        <v> </v>
      </c>
      <c r="J3717" s="26" t="str">
        <f>IF(OR(E3717="",E3717="!!!",F3717="NEW"),"",COUNTBLANK(OFFSET(A$1,,,SUMPRODUCT(MAX(ROW(E$2:E3717)*(E3717=E$2:E3717)))))-COUNTBLANK(OFFSET(A$1,,,SUMPRODUCT(MAX(ROW(E$1:E3716)*(E2=E$1:E3716))))))</f>
        <v> </v>
      </c>
      <c r="K3717" s="26" t="str">
        <f>IF(OR(E3717="",E3717="!!!",F3717="NEW"),"",INDEX(J$1:J3716,SUMPRODUCT(MAX(ROW(E$1:E3716)*(E3717=E$1:E3716)))))</f>
        <v> </v>
      </c>
      <c r="L3717" s="27"/>
    </row>
    <row r="3718" spans="1:12">
      <c r="A3718" s="20"/>
    </row>
    <row r="3719" spans="1:12">
      <c r="A3719" s="20" t="s">
        <v>2113</v>
      </c>
    </row>
    <row r="3720" spans="1:12">
      <c r="A3720" s="20" t="s">
        <v>2114</v>
      </c>
      <c r="E3720" s="22">
        <f>IF(D3720="?OLD","!!!","")</f>
        <v/>
      </c>
      <c r="F3720" s="23" t="str">
        <f>IF(OR(E3720="",E3720="!!!"),"",IF(NOT(ISNA(VLOOKUP(E3720,E$1:E3719,1,FALSE()))),"OLD",IF(AND(E3720&lt;&gt;"",E3720&lt;&gt;"!!!"),"NEW","")))</f>
        <v> </v>
      </c>
      <c r="G3720" s="24" t="str">
        <f>IF(OR(E3720="",E3720="!!!"),"",IF(OR(J3720=0,AND(J3720=1,K3720=1),AND(J3720=1,I3720="SBJ"),AND(J3720=1,I3720=0)),"?IN_FOCUS",IF(J3720&lt;=2,"?ACTIVATED",IF(J3720&lt;&gt;"","?FAMILIAR",IF(F3720="NEW",IF(ISNA(VLOOKUP(E3720,#REF!,1,FALSE())),"?TYPE_IDENTIFIABLE","?REFERENTIAL"),"_")))))</f>
        <v> </v>
      </c>
      <c r="H3720" s="25" t="str">
        <f>IF(J3720&lt;&gt;1,"",IF(I3720="SBJ","CB","?"))</f>
        <v> </v>
      </c>
      <c r="I3720" s="26" t="str">
        <f>IF(OR(E3720="",E3720="!!!",F3720="NEW"),"",INDEX(B3719:B$2,-1+SUMPRODUCT(MAX(ROW(E3719:E$2)*(E3720=E3719:E$2)))))</f>
        <v> </v>
      </c>
      <c r="J3720" s="26" t="str">
        <f>IF(OR(E3720="",E3720="!!!",F3720="NEW"),"",COUNTBLANK(OFFSET(A$1,,,SUMPRODUCT(MAX(ROW(E$2:E3720)*(E3720=E$2:E3720)))))-COUNTBLANK(OFFSET(A$1,,,SUMPRODUCT(MAX(ROW(E$1:E3719)*(E2=E$1:E3719))))))</f>
        <v> </v>
      </c>
      <c r="K3720" s="26" t="str">
        <f>IF(OR(E3720="",E3720="!!!",F3720="NEW"),"",INDEX(J$1:J3719,SUMPRODUCT(MAX(ROW(E$1:E3719)*(E3720=E$1:E3719)))))</f>
        <v> </v>
      </c>
      <c r="L3720" s="27"/>
    </row>
    <row r="3721" spans="1:12">
      <c r="A3721" s="20" t="s">
        <v>1020</v>
      </c>
      <c r="E3721" s="22">
        <f>IF(D3721="?OLD","!!!","")</f>
        <v/>
      </c>
      <c r="F3721" s="23" t="str">
        <f>IF(OR(E3721="",E3721="!!!"),"",IF(NOT(ISNA(VLOOKUP(E3721,E$1:E3720,1,FALSE()))),"OLD",IF(AND(E3721&lt;&gt;"",E3721&lt;&gt;"!!!"),"NEW","")))</f>
        <v> </v>
      </c>
      <c r="G3721" s="24" t="str">
        <f>IF(OR(E3721="",E3721="!!!"),"",IF(OR(J3721=0,AND(J3721=1,K3721=1),AND(J3721=1,I3721="SBJ"),AND(J3721=1,I3721=0)),"?IN_FOCUS",IF(J3721&lt;=2,"?ACTIVATED",IF(J3721&lt;&gt;"","?FAMILIAR",IF(F3721="NEW",IF(ISNA(VLOOKUP(E3721,#REF!,1,FALSE())),"?TYPE_IDENTIFIABLE","?REFERENTIAL"),"_")))))</f>
        <v> </v>
      </c>
      <c r="H3721" s="25" t="str">
        <f>IF(J3721&lt;&gt;1,"",IF(I3721="SBJ","CB","?"))</f>
        <v> </v>
      </c>
      <c r="I3721" s="26" t="str">
        <f>IF(OR(E3721="",E3721="!!!",F3721="NEW"),"",INDEX(B3720:B$2,-1+SUMPRODUCT(MAX(ROW(E3720:E$2)*(E3721=E3720:E$2)))))</f>
        <v> </v>
      </c>
      <c r="J3721" s="26" t="str">
        <f>IF(OR(E3721="",E3721="!!!",F3721="NEW"),"",COUNTBLANK(OFFSET(A$1,,,SUMPRODUCT(MAX(ROW(E$2:E3721)*(E3721=E$2:E3721)))))-COUNTBLANK(OFFSET(A$1,,,SUMPRODUCT(MAX(ROW(E$1:E3720)*(E2=E$1:E3720))))))</f>
        <v> </v>
      </c>
      <c r="K3721" s="26" t="str">
        <f>IF(OR(E3721="",E3721="!!!",F3721="NEW"),"",INDEX(J$1:J3720,SUMPRODUCT(MAX(ROW(E$1:E3720)*(E3721=E$1:E3720)))))</f>
        <v> </v>
      </c>
      <c r="L3721" s="27"/>
    </row>
    <row r="3722" spans="1:12">
      <c r="A3722" s="20" t="s">
        <v>2115</v>
      </c>
      <c r="E3722" s="22">
        <f>IF(D3722="?OLD","!!!","")</f>
        <v/>
      </c>
      <c r="F3722" s="23" t="str">
        <f>IF(OR(E3722="",E3722="!!!"),"",IF(NOT(ISNA(VLOOKUP(E3722,E$1:E3721,1,FALSE()))),"OLD",IF(AND(E3722&lt;&gt;"",E3722&lt;&gt;"!!!"),"NEW","")))</f>
        <v> </v>
      </c>
      <c r="G3722" s="24" t="str">
        <f>IF(OR(E3722="",E3722="!!!"),"",IF(OR(J3722=0,AND(J3722=1,K3722=1),AND(J3722=1,I3722="SBJ"),AND(J3722=1,I3722=0)),"?IN_FOCUS",IF(J3722&lt;=2,"?ACTIVATED",IF(J3722&lt;&gt;"","?FAMILIAR",IF(F3722="NEW",IF(ISNA(VLOOKUP(E3722,#REF!,1,FALSE())),"?TYPE_IDENTIFIABLE","?REFERENTIAL"),"_")))))</f>
        <v> </v>
      </c>
      <c r="H3722" s="25" t="str">
        <f>IF(J3722&lt;&gt;1,"",IF(I3722="SBJ","CB","?"))</f>
        <v> </v>
      </c>
      <c r="I3722" s="26" t="str">
        <f>IF(OR(E3722="",E3722="!!!",F3722="NEW"),"",INDEX(B3721:B$2,-1+SUMPRODUCT(MAX(ROW(E3721:E$2)*(E3722=E3721:E$2)))))</f>
        <v> </v>
      </c>
      <c r="J3722" s="26" t="str">
        <f>IF(OR(E3722="",E3722="!!!",F3722="NEW"),"",COUNTBLANK(OFFSET(A$1,,,SUMPRODUCT(MAX(ROW(E$2:E3722)*(E3722=E$2:E3722)))))-COUNTBLANK(OFFSET(A$1,,,SUMPRODUCT(MAX(ROW(E$1:E3721)*(E2=E$1:E3721))))))</f>
        <v> </v>
      </c>
      <c r="K3722" s="26" t="str">
        <f>IF(OR(E3722="",E3722="!!!",F3722="NEW"),"",INDEX(J$1:J3721,SUMPRODUCT(MAX(ROW(E$1:E3721)*(E3722=E$1:E3721)))))</f>
        <v> </v>
      </c>
      <c r="L3722" s="27"/>
    </row>
    <row r="3723" spans="1:12">
      <c r="A3723" s="20" t="s">
        <v>1030</v>
      </c>
      <c r="E3723" s="22">
        <f>IF(D3723="?OLD","!!!","")</f>
        <v/>
      </c>
      <c r="F3723" s="23" t="str">
        <f>IF(OR(E3723="",E3723="!!!"),"",IF(NOT(ISNA(VLOOKUP(E3723,E$1:E3722,1,FALSE()))),"OLD",IF(AND(E3723&lt;&gt;"",E3723&lt;&gt;"!!!"),"NEW","")))</f>
        <v> </v>
      </c>
      <c r="G3723" s="24" t="str">
        <f>IF(OR(E3723="",E3723="!!!"),"",IF(OR(J3723=0,AND(J3723=1,K3723=1),AND(J3723=1,I3723="SBJ"),AND(J3723=1,I3723=0)),"?IN_FOCUS",IF(J3723&lt;=2,"?ACTIVATED",IF(J3723&lt;&gt;"","?FAMILIAR",IF(F3723="NEW",IF(ISNA(VLOOKUP(E3723,#REF!,1,FALSE())),"?TYPE_IDENTIFIABLE","?REFERENTIAL"),"_")))))</f>
        <v> </v>
      </c>
      <c r="H3723" s="25" t="str">
        <f>IF(J3723&lt;&gt;1,"",IF(I3723="SBJ","CB","?"))</f>
        <v> </v>
      </c>
      <c r="I3723" s="26" t="str">
        <f>IF(OR(E3723="",E3723="!!!",F3723="NEW"),"",INDEX(B3722:B$2,-1+SUMPRODUCT(MAX(ROW(E3722:E$2)*(E3723=E3722:E$2)))))</f>
        <v> </v>
      </c>
      <c r="J3723" s="26" t="str">
        <f>IF(OR(E3723="",E3723="!!!",F3723="NEW"),"",COUNTBLANK(OFFSET(A$1,,,SUMPRODUCT(MAX(ROW(E$2:E3723)*(E3723=E$2:E3723)))))-COUNTBLANK(OFFSET(A$1,,,SUMPRODUCT(MAX(ROW(E$1:E3722)*(E2=E$1:E3722))))))</f>
        <v> </v>
      </c>
      <c r="K3723" s="26" t="str">
        <f>IF(OR(E3723="",E3723="!!!",F3723="NEW"),"",INDEX(J$1:J3722,SUMPRODUCT(MAX(ROW(E$1:E3722)*(E3723=E$1:E3722)))))</f>
        <v> </v>
      </c>
      <c r="L3723" s="27"/>
    </row>
    <row r="3724" spans="1:12">
      <c r="A3724" s="20" t="s">
        <v>1015</v>
      </c>
      <c r="E3724" s="22">
        <f>IF(D3724="?OLD","!!!","")</f>
        <v/>
      </c>
      <c r="F3724" s="23" t="str">
        <f>IF(OR(E3724="",E3724="!!!"),"",IF(NOT(ISNA(VLOOKUP(E3724,E$1:E3723,1,FALSE()))),"OLD",IF(AND(E3724&lt;&gt;"",E3724&lt;&gt;"!!!"),"NEW","")))</f>
        <v> </v>
      </c>
      <c r="G3724" s="24" t="str">
        <f>IF(OR(E3724="",E3724="!!!"),"",IF(OR(J3724=0,AND(J3724=1,K3724=1),AND(J3724=1,I3724="SBJ"),AND(J3724=1,I3724=0)),"?IN_FOCUS",IF(J3724&lt;=2,"?ACTIVATED",IF(J3724&lt;&gt;"","?FAMILIAR",IF(F3724="NEW",IF(ISNA(VLOOKUP(E3724,#REF!,1,FALSE())),"?TYPE_IDENTIFIABLE","?REFERENTIAL"),"_")))))</f>
        <v> </v>
      </c>
      <c r="H3724" s="25" t="str">
        <f>IF(J3724&lt;&gt;1,"",IF(I3724="SBJ","CB","?"))</f>
        <v> </v>
      </c>
      <c r="I3724" s="26" t="str">
        <f>IF(OR(E3724="",E3724="!!!",F3724="NEW"),"",INDEX(B3723:B$2,-1+SUMPRODUCT(MAX(ROW(E3723:E$2)*(E3724=E3723:E$2)))))</f>
        <v> </v>
      </c>
      <c r="J3724" s="26" t="str">
        <f>IF(OR(E3724="",E3724="!!!",F3724="NEW"),"",COUNTBLANK(OFFSET(A$1,,,SUMPRODUCT(MAX(ROW(E$2:E3724)*(E3724=E$2:E3724)))))-COUNTBLANK(OFFSET(A$1,,,SUMPRODUCT(MAX(ROW(E$1:E3723)*(E2=E$1:E3723))))))</f>
        <v> </v>
      </c>
      <c r="K3724" s="26" t="str">
        <f>IF(OR(E3724="",E3724="!!!",F3724="NEW"),"",INDEX(J$1:J3723,SUMPRODUCT(MAX(ROW(E$1:E3723)*(E3724=E$1:E3723)))))</f>
        <v> </v>
      </c>
      <c r="L3724" s="27"/>
    </row>
    <row r="3725" spans="1:12">
      <c r="A3725" s="20" t="s">
        <v>1555</v>
      </c>
      <c r="B3725" s="21" t="s">
        <v>1022</v>
      </c>
      <c r="C3725" s="21" t="s">
        <v>1017</v>
      </c>
      <c r="D3725" s="21" t="s">
        <v>1007</v>
      </c>
      <c r="E3725" s="22">
        <f>IF(D3725="?OLD","!!!","")</f>
        <v/>
      </c>
      <c r="F3725" s="23" t="str">
        <f>IF(OR(E3725="",E3725="!!!"),"",IF(NOT(ISNA(VLOOKUP(E3725,E$1:E3724,1,FALSE()))),"OLD",IF(AND(E3725&lt;&gt;"",E3725&lt;&gt;"!!!"),"NEW","")))</f>
        <v> </v>
      </c>
      <c r="G3725" s="24" t="str">
        <f>IF(OR(E3725="",E3725="!!!"),"",IF(OR(J3725=0,AND(J3725=1,K3725=1),AND(J3725=1,I3725="SBJ"),AND(J3725=1,I3725=0)),"?IN_FOCUS",IF(J3725&lt;=2,"?ACTIVATED",IF(J3725&lt;&gt;"","?FAMILIAR",IF(F3725="NEW",IF(ISNA(VLOOKUP(E3725,#REF!,1,FALSE())),"?TYPE_IDENTIFIABLE","?REFERENTIAL"),"_")))))</f>
        <v> </v>
      </c>
      <c r="H3725" s="25" t="str">
        <f>IF(J3725&lt;&gt;1,"",IF(I3725="SBJ","CB","?"))</f>
        <v> </v>
      </c>
      <c r="I3725" s="26" t="str">
        <f>IF(OR(E3725="",E3725="!!!",F3725="NEW"),"",INDEX(B3724:B$2,-1+SUMPRODUCT(MAX(ROW(E3724:E$2)*(E3725=E3724:E$2)))))</f>
        <v> </v>
      </c>
      <c r="J3725" s="26" t="str">
        <f>IF(OR(E3725="",E3725="!!!",F3725="NEW"),"",COUNTBLANK(OFFSET(A$1,,,SUMPRODUCT(MAX(ROW(E$2:E3725)*(E3725=E$2:E3725)))))-COUNTBLANK(OFFSET(A$1,,,SUMPRODUCT(MAX(ROW(E$1:E3724)*(E2=E$1:E3724))))))</f>
        <v> </v>
      </c>
      <c r="K3725" s="26" t="str">
        <f>IF(OR(E3725="",E3725="!!!",F3725="NEW"),"",INDEX(J$1:J3724,SUMPRODUCT(MAX(ROW(E$1:E3724)*(E3725=E$1:E3724)))))</f>
        <v> </v>
      </c>
      <c r="L3725" s="27"/>
    </row>
    <row r="3726" spans="1:12">
      <c r="A3726" s="20" t="s">
        <v>1063</v>
      </c>
      <c r="B3726" s="21" t="s">
        <v>1033</v>
      </c>
      <c r="C3726" s="21" t="s">
        <v>1048</v>
      </c>
      <c r="E3726" s="22">
        <f>IF(D3726="?OLD","!!!","")</f>
        <v/>
      </c>
      <c r="F3726" s="23" t="str">
        <f>IF(OR(E3726="",E3726="!!!"),"",IF(NOT(ISNA(VLOOKUP(E3726,E$1:E3725,1,FALSE()))),"OLD",IF(AND(E3726&lt;&gt;"",E3726&lt;&gt;"!!!"),"NEW","")))</f>
        <v> </v>
      </c>
      <c r="G3726" s="24" t="str">
        <f>IF(OR(E3726="",E3726="!!!"),"",IF(OR(J3726=0,AND(J3726=1,K3726=1),AND(J3726=1,I3726="SBJ"),AND(J3726=1,I3726=0)),"?IN_FOCUS",IF(J3726&lt;=2,"?ACTIVATED",IF(J3726&lt;&gt;"","?FAMILIAR",IF(F3726="NEW",IF(ISNA(VLOOKUP(E3726,#REF!,1,FALSE())),"?TYPE_IDENTIFIABLE","?REFERENTIAL"),"_")))))</f>
        <v> </v>
      </c>
      <c r="H3726" s="25" t="str">
        <f>IF(J3726&lt;&gt;1,"",IF(I3726="SBJ","CB","?"))</f>
        <v> </v>
      </c>
      <c r="I3726" s="26" t="str">
        <f>IF(OR(E3726="",E3726="!!!",F3726="NEW"),"",INDEX(B3725:B$2,-1+SUMPRODUCT(MAX(ROW(E3725:E$2)*(E3726=E3725:E$2)))))</f>
        <v> </v>
      </c>
      <c r="J3726" s="26" t="str">
        <f>IF(OR(E3726="",E3726="!!!",F3726="NEW"),"",COUNTBLANK(OFFSET(A$1,,,SUMPRODUCT(MAX(ROW(E$2:E3726)*(E3726=E$2:E3726)))))-COUNTBLANK(OFFSET(A$1,,,SUMPRODUCT(MAX(ROW(E$1:E3725)*(E2=E$1:E3725))))))</f>
        <v> </v>
      </c>
      <c r="K3726" s="26" t="str">
        <f>IF(OR(E3726="",E3726="!!!",F3726="NEW"),"",INDEX(J$1:J3725,SUMPRODUCT(MAX(ROW(E$1:E3725)*(E3726=E$1:E3725)))))</f>
        <v> </v>
      </c>
      <c r="L3726" s="27"/>
    </row>
    <row r="3727" spans="1:12">
      <c r="A3727" s="20" t="s">
        <v>1065</v>
      </c>
      <c r="B3727" s="21" t="s">
        <v>1263</v>
      </c>
      <c r="E3727" s="22">
        <f>IF(D3727="?OLD","!!!","")</f>
        <v/>
      </c>
      <c r="F3727" s="23" t="str">
        <f>IF(OR(E3727="",E3727="!!!"),"",IF(NOT(ISNA(VLOOKUP(E3727,E$1:E3726,1,FALSE()))),"OLD",IF(AND(E3727&lt;&gt;"",E3727&lt;&gt;"!!!"),"NEW","")))</f>
        <v> </v>
      </c>
      <c r="G3727" s="24" t="str">
        <f>IF(OR(E3727="",E3727="!!!"),"",IF(OR(J3727=0,AND(J3727=1,K3727=1),AND(J3727=1,I3727="SBJ"),AND(J3727=1,I3727=0)),"?IN_FOCUS",IF(J3727&lt;=2,"?ACTIVATED",IF(J3727&lt;&gt;"","?FAMILIAR",IF(F3727="NEW",IF(ISNA(VLOOKUP(E3727,#REF!,1,FALSE())),"?TYPE_IDENTIFIABLE","?REFERENTIAL"),"_")))))</f>
        <v> </v>
      </c>
      <c r="H3727" s="25" t="str">
        <f>IF(J3727&lt;&gt;1,"",IF(I3727="SBJ","CB","?"))</f>
        <v> </v>
      </c>
      <c r="I3727" s="26" t="str">
        <f>IF(OR(E3727="",E3727="!!!",F3727="NEW"),"",INDEX(B3726:B$2,-1+SUMPRODUCT(MAX(ROW(E3726:E$2)*(E3727=E3726:E$2)))))</f>
        <v> </v>
      </c>
      <c r="J3727" s="26" t="str">
        <f>IF(OR(E3727="",E3727="!!!",F3727="NEW"),"",COUNTBLANK(OFFSET(A$1,,,SUMPRODUCT(MAX(ROW(E$2:E3727)*(E3727=E$2:E3727)))))-COUNTBLANK(OFFSET(A$1,,,SUMPRODUCT(MAX(ROW(E$1:E3726)*(E2=E$1:E3726))))))</f>
        <v> </v>
      </c>
      <c r="K3727" s="26" t="str">
        <f>IF(OR(E3727="",E3727="!!!",F3727="NEW"),"",INDEX(J$1:J3726,SUMPRODUCT(MAX(ROW(E$1:E3726)*(E3727=E$1:E3726)))))</f>
        <v> </v>
      </c>
      <c r="L3727" s="27"/>
    </row>
    <row r="3728" spans="1:12">
      <c r="A3728" s="20" t="s">
        <v>1142</v>
      </c>
      <c r="E3728" s="22">
        <f>IF(D3728="?OLD","!!!","")</f>
        <v/>
      </c>
      <c r="F3728" s="23" t="str">
        <f>IF(OR(E3728="",E3728="!!!"),"",IF(NOT(ISNA(VLOOKUP(E3728,E$1:E3727,1,FALSE()))),"OLD",IF(AND(E3728&lt;&gt;"",E3728&lt;&gt;"!!!"),"NEW","")))</f>
        <v> </v>
      </c>
      <c r="G3728" s="24" t="str">
        <f>IF(OR(E3728="",E3728="!!!"),"",IF(OR(J3728=0,AND(J3728=1,K3728=1),AND(J3728=1,I3728="SBJ"),AND(J3728=1,I3728=0)),"?IN_FOCUS",IF(J3728&lt;=2,"?ACTIVATED",IF(J3728&lt;&gt;"","?FAMILIAR",IF(F3728="NEW",IF(ISNA(VLOOKUP(E3728,#REF!,1,FALSE())),"?TYPE_IDENTIFIABLE","?REFERENTIAL"),"_")))))</f>
        <v> </v>
      </c>
      <c r="H3728" s="25" t="str">
        <f>IF(J3728&lt;&gt;1,"",IF(I3728="SBJ","CB","?"))</f>
        <v> </v>
      </c>
      <c r="I3728" s="26" t="str">
        <f>IF(OR(E3728="",E3728="!!!",F3728="NEW"),"",INDEX(B3727:B$2,-1+SUMPRODUCT(MAX(ROW(E3727:E$2)*(E3728=E3727:E$2)))))</f>
        <v> </v>
      </c>
      <c r="J3728" s="26" t="str">
        <f>IF(OR(E3728="",E3728="!!!",F3728="NEW"),"",COUNTBLANK(OFFSET(A$1,,,SUMPRODUCT(MAX(ROW(E$2:E3728)*(E3728=E$2:E3728)))))-COUNTBLANK(OFFSET(A$1,,,SUMPRODUCT(MAX(ROW(E$1:E3727)*(E2=E$1:E3727))))))</f>
        <v> </v>
      </c>
      <c r="K3728" s="26" t="str">
        <f>IF(OR(E3728="",E3728="!!!",F3728="NEW"),"",INDEX(J$1:J3727,SUMPRODUCT(MAX(ROW(E$1:E3727)*(E3728=E$1:E3727)))))</f>
        <v> </v>
      </c>
      <c r="L3728" s="27"/>
    </row>
    <row r="3729" spans="1:12">
      <c r="A3729" s="20" t="s">
        <v>1075</v>
      </c>
      <c r="E3729" s="22">
        <f>IF(D3729="?OLD","!!!","")</f>
        <v/>
      </c>
      <c r="F3729" s="23" t="str">
        <f>IF(OR(E3729="",E3729="!!!"),"",IF(NOT(ISNA(VLOOKUP(E3729,E$1:E3728,1,FALSE()))),"OLD",IF(AND(E3729&lt;&gt;"",E3729&lt;&gt;"!!!"),"NEW","")))</f>
        <v> </v>
      </c>
      <c r="G3729" s="24" t="str">
        <f>IF(OR(E3729="",E3729="!!!"),"",IF(OR(J3729=0,AND(J3729=1,K3729=1),AND(J3729=1,I3729="SBJ"),AND(J3729=1,I3729=0)),"?IN_FOCUS",IF(J3729&lt;=2,"?ACTIVATED",IF(J3729&lt;&gt;"","?FAMILIAR",IF(F3729="NEW",IF(ISNA(VLOOKUP(E3729,#REF!,1,FALSE())),"?TYPE_IDENTIFIABLE","?REFERENTIAL"),"_")))))</f>
        <v> </v>
      </c>
      <c r="H3729" s="25" t="str">
        <f>IF(J3729&lt;&gt;1,"",IF(I3729="SBJ","CB","?"))</f>
        <v> </v>
      </c>
      <c r="I3729" s="26" t="str">
        <f>IF(OR(E3729="",E3729="!!!",F3729="NEW"),"",INDEX(B3728:B$2,-1+SUMPRODUCT(MAX(ROW(E3728:E$2)*(E3729=E3728:E$2)))))</f>
        <v> </v>
      </c>
      <c r="J3729" s="26" t="str">
        <f>IF(OR(E3729="",E3729="!!!",F3729="NEW"),"",COUNTBLANK(OFFSET(A$1,,,SUMPRODUCT(MAX(ROW(E$2:E3729)*(E3729=E$2:E3729)))))-COUNTBLANK(OFFSET(A$1,,,SUMPRODUCT(MAX(ROW(E$1:E3728)*(E2=E$1:E3728))))))</f>
        <v> </v>
      </c>
      <c r="K3729" s="26" t="str">
        <f>IF(OR(E3729="",E3729="!!!",F3729="NEW"),"",INDEX(J$1:J3728,SUMPRODUCT(MAX(ROW(E$1:E3728)*(E3729=E$1:E3728)))))</f>
        <v> </v>
      </c>
      <c r="L3729" s="27"/>
    </row>
    <row r="3730" spans="1:12">
      <c r="A3730" s="20" t="s">
        <v>1199</v>
      </c>
      <c r="E3730" s="22">
        <f>IF(D3730="?OLD","!!!","")</f>
        <v/>
      </c>
      <c r="F3730" s="23" t="str">
        <f>IF(OR(E3730="",E3730="!!!"),"",IF(NOT(ISNA(VLOOKUP(E3730,E$1:E3729,1,FALSE()))),"OLD",IF(AND(E3730&lt;&gt;"",E3730&lt;&gt;"!!!"),"NEW","")))</f>
        <v> </v>
      </c>
      <c r="G3730" s="24" t="str">
        <f>IF(OR(E3730="",E3730="!!!"),"",IF(OR(J3730=0,AND(J3730=1,K3730=1),AND(J3730=1,I3730="SBJ"),AND(J3730=1,I3730=0)),"?IN_FOCUS",IF(J3730&lt;=2,"?ACTIVATED",IF(J3730&lt;&gt;"","?FAMILIAR",IF(F3730="NEW",IF(ISNA(VLOOKUP(E3730,#REF!,1,FALSE())),"?TYPE_IDENTIFIABLE","?REFERENTIAL"),"_")))))</f>
        <v> </v>
      </c>
      <c r="H3730" s="25" t="str">
        <f>IF(J3730&lt;&gt;1,"",IF(I3730="SBJ","CB","?"))</f>
        <v> </v>
      </c>
      <c r="I3730" s="26" t="str">
        <f>IF(OR(E3730="",E3730="!!!",F3730="NEW"),"",INDEX(B3729:B$2,-1+SUMPRODUCT(MAX(ROW(E3729:E$2)*(E3730=E3729:E$2)))))</f>
        <v> </v>
      </c>
      <c r="J3730" s="26" t="str">
        <f>IF(OR(E3730="",E3730="!!!",F3730="NEW"),"",COUNTBLANK(OFFSET(A$1,,,SUMPRODUCT(MAX(ROW(E$2:E3730)*(E3730=E$2:E3730)))))-COUNTBLANK(OFFSET(A$1,,,SUMPRODUCT(MAX(ROW(E$1:E3729)*(E2=E$1:E3729))))))</f>
        <v> </v>
      </c>
      <c r="K3730" s="26" t="str">
        <f>IF(OR(E3730="",E3730="!!!",F3730="NEW"),"",INDEX(J$1:J3729,SUMPRODUCT(MAX(ROW(E$1:E3729)*(E3730=E$1:E3729)))))</f>
        <v> </v>
      </c>
      <c r="L3730" s="27"/>
    </row>
    <row r="3731" spans="1:12">
      <c r="A3731" s="20" t="s">
        <v>1020</v>
      </c>
      <c r="E3731" s="22">
        <f>IF(D3731="?OLD","!!!","")</f>
        <v/>
      </c>
      <c r="F3731" s="23" t="str">
        <f>IF(OR(E3731="",E3731="!!!"),"",IF(NOT(ISNA(VLOOKUP(E3731,E$1:E3730,1,FALSE()))),"OLD",IF(AND(E3731&lt;&gt;"",E3731&lt;&gt;"!!!"),"NEW","")))</f>
        <v> </v>
      </c>
      <c r="G3731" s="24" t="str">
        <f>IF(OR(E3731="",E3731="!!!"),"",IF(OR(J3731=0,AND(J3731=1,K3731=1),AND(J3731=1,I3731="SBJ"),AND(J3731=1,I3731=0)),"?IN_FOCUS",IF(J3731&lt;=2,"?ACTIVATED",IF(J3731&lt;&gt;"","?FAMILIAR",IF(F3731="NEW",IF(ISNA(VLOOKUP(E3731,#REF!,1,FALSE())),"?TYPE_IDENTIFIABLE","?REFERENTIAL"),"_")))))</f>
        <v> </v>
      </c>
      <c r="H3731" s="25" t="str">
        <f>IF(J3731&lt;&gt;1,"",IF(I3731="SBJ","CB","?"))</f>
        <v> </v>
      </c>
      <c r="I3731" s="26" t="str">
        <f>IF(OR(E3731="",E3731="!!!",F3731="NEW"),"",INDEX(B3730:B$2,-1+SUMPRODUCT(MAX(ROW(E3730:E$2)*(E3731=E3730:E$2)))))</f>
        <v> </v>
      </c>
      <c r="J3731" s="26" t="str">
        <f>IF(OR(E3731="",E3731="!!!",F3731="NEW"),"",COUNTBLANK(OFFSET(A$1,,,SUMPRODUCT(MAX(ROW(E$2:E3731)*(E3731=E$2:E3731)))))-COUNTBLANK(OFFSET(A$1,,,SUMPRODUCT(MAX(ROW(E$1:E3730)*(E2=E$1:E3730))))))</f>
        <v> </v>
      </c>
      <c r="K3731" s="26" t="str">
        <f>IF(OR(E3731="",E3731="!!!",F3731="NEW"),"",INDEX(J$1:J3730,SUMPRODUCT(MAX(ROW(E$1:E3730)*(E3731=E$1:E3730)))))</f>
        <v> </v>
      </c>
      <c r="L3731" s="27"/>
    </row>
    <row r="3732" spans="1:12">
      <c r="A3732" s="20" t="s">
        <v>1211</v>
      </c>
      <c r="B3732" s="21" t="s">
        <v>1035</v>
      </c>
      <c r="C3732" s="21" t="s">
        <v>1017</v>
      </c>
      <c r="D3732" s="21" t="s">
        <v>1007</v>
      </c>
      <c r="E3732" s="22">
        <f>IF(D3732="?OLD","!!!","")</f>
        <v/>
      </c>
      <c r="F3732" s="23" t="str">
        <f>IF(OR(E3732="",E3732="!!!"),"",IF(NOT(ISNA(VLOOKUP(E3732,E$1:E3731,1,FALSE()))),"OLD",IF(AND(E3732&lt;&gt;"",E3732&lt;&gt;"!!!"),"NEW","")))</f>
        <v> </v>
      </c>
      <c r="G3732" s="24" t="str">
        <f>IF(OR(E3732="",E3732="!!!"),"",IF(OR(J3732=0,AND(J3732=1,K3732=1),AND(J3732=1,I3732="SBJ"),AND(J3732=1,I3732=0)),"?IN_FOCUS",IF(J3732&lt;=2,"?ACTIVATED",IF(J3732&lt;&gt;"","?FAMILIAR",IF(F3732="NEW",IF(ISNA(VLOOKUP(E3732,#REF!,1,FALSE())),"?TYPE_IDENTIFIABLE","?REFERENTIAL"),"_")))))</f>
        <v> </v>
      </c>
      <c r="H3732" s="25" t="str">
        <f>IF(J3732&lt;&gt;1,"",IF(I3732="SBJ","CB","?"))</f>
        <v> </v>
      </c>
      <c r="I3732" s="26" t="str">
        <f>IF(OR(E3732="",E3732="!!!",F3732="NEW"),"",INDEX(B3731:B$2,-1+SUMPRODUCT(MAX(ROW(E3731:E$2)*(E3732=E3731:E$2)))))</f>
        <v> </v>
      </c>
      <c r="J3732" s="26" t="str">
        <f>IF(OR(E3732="",E3732="!!!",F3732="NEW"),"",COUNTBLANK(OFFSET(A$1,,,SUMPRODUCT(MAX(ROW(E$2:E3732)*(E3732=E$2:E3732)))))-COUNTBLANK(OFFSET(A$1,,,SUMPRODUCT(MAX(ROW(E$1:E3731)*(E2=E$1:E3731))))))</f>
        <v> </v>
      </c>
      <c r="K3732" s="26" t="str">
        <f>IF(OR(E3732="",E3732="!!!",F3732="NEW"),"",INDEX(J$1:J3731,SUMPRODUCT(MAX(ROW(E$1:E3731)*(E3732=E$1:E3731)))))</f>
        <v> </v>
      </c>
      <c r="L3732" s="27"/>
    </row>
    <row r="3733" spans="1:12">
      <c r="A3733" s="20" t="s">
        <v>1065</v>
      </c>
      <c r="B3733" s="21" t="s">
        <v>1251</v>
      </c>
      <c r="E3733" s="22">
        <f>IF(D3733="?OLD","!!!","")</f>
        <v/>
      </c>
      <c r="F3733" s="23" t="str">
        <f>IF(OR(E3733="",E3733="!!!"),"",IF(NOT(ISNA(VLOOKUP(E3733,E$1:E3732,1,FALSE()))),"OLD",IF(AND(E3733&lt;&gt;"",E3733&lt;&gt;"!!!"),"NEW","")))</f>
        <v> </v>
      </c>
      <c r="G3733" s="24" t="str">
        <f>IF(OR(E3733="",E3733="!!!"),"",IF(OR(J3733=0,AND(J3733=1,K3733=1),AND(J3733=1,I3733="SBJ"),AND(J3733=1,I3733=0)),"?IN_FOCUS",IF(J3733&lt;=2,"?ACTIVATED",IF(J3733&lt;&gt;"","?FAMILIAR",IF(F3733="NEW",IF(ISNA(VLOOKUP(E3733,#REF!,1,FALSE())),"?TYPE_IDENTIFIABLE","?REFERENTIAL"),"_")))))</f>
        <v> </v>
      </c>
      <c r="H3733" s="25" t="str">
        <f>IF(J3733&lt;&gt;1,"",IF(I3733="SBJ","CB","?"))</f>
        <v> </v>
      </c>
      <c r="I3733" s="26" t="str">
        <f>IF(OR(E3733="",E3733="!!!",F3733="NEW"),"",INDEX(B3732:B$2,-1+SUMPRODUCT(MAX(ROW(E3732:E$2)*(E3733=E3732:E$2)))))</f>
        <v> </v>
      </c>
      <c r="J3733" s="26" t="str">
        <f>IF(OR(E3733="",E3733="!!!",F3733="NEW"),"",COUNTBLANK(OFFSET(A$1,,,SUMPRODUCT(MAX(ROW(E$2:E3733)*(E3733=E$2:E3733)))))-COUNTBLANK(OFFSET(A$1,,,SUMPRODUCT(MAX(ROW(E$1:E3732)*(E2=E$1:E3732))))))</f>
        <v> </v>
      </c>
      <c r="K3733" s="26" t="str">
        <f>IF(OR(E3733="",E3733="!!!",F3733="NEW"),"",INDEX(J$1:J3732,SUMPRODUCT(MAX(ROW(E$1:E3732)*(E3733=E$1:E3732)))))</f>
        <v> </v>
      </c>
      <c r="L3733" s="27"/>
    </row>
    <row r="3734" spans="1:12">
      <c r="A3734" s="20" t="s">
        <v>1061</v>
      </c>
      <c r="E3734" s="22">
        <f>IF(D3734="?OLD","!!!","")</f>
        <v/>
      </c>
      <c r="F3734" s="23" t="str">
        <f>IF(OR(E3734="",E3734="!!!"),"",IF(NOT(ISNA(VLOOKUP(E3734,E$1:E3733,1,FALSE()))),"OLD",IF(AND(E3734&lt;&gt;"",E3734&lt;&gt;"!!!"),"NEW","")))</f>
        <v> </v>
      </c>
      <c r="G3734" s="24" t="str">
        <f>IF(OR(E3734="",E3734="!!!"),"",IF(OR(J3734=0,AND(J3734=1,K3734=1),AND(J3734=1,I3734="SBJ"),AND(J3734=1,I3734=0)),"?IN_FOCUS",IF(J3734&lt;=2,"?ACTIVATED",IF(J3734&lt;&gt;"","?FAMILIAR",IF(F3734="NEW",IF(ISNA(VLOOKUP(E3734,#REF!,1,FALSE())),"?TYPE_IDENTIFIABLE","?REFERENTIAL"),"_")))))</f>
        <v> </v>
      </c>
      <c r="H3734" s="25" t="str">
        <f>IF(J3734&lt;&gt;1,"",IF(I3734="SBJ","CB","?"))</f>
        <v> </v>
      </c>
      <c r="I3734" s="26" t="str">
        <f>IF(OR(E3734="",E3734="!!!",F3734="NEW"),"",INDEX(B3733:B$2,-1+SUMPRODUCT(MAX(ROW(E3733:E$2)*(E3734=E3733:E$2)))))</f>
        <v> </v>
      </c>
      <c r="J3734" s="26" t="str">
        <f>IF(OR(E3734="",E3734="!!!",F3734="NEW"),"",COUNTBLANK(OFFSET(A$1,,,SUMPRODUCT(MAX(ROW(E$2:E3734)*(E3734=E$2:E3734)))))-COUNTBLANK(OFFSET(A$1,,,SUMPRODUCT(MAX(ROW(E$1:E3733)*(E2=E$1:E3733))))))</f>
        <v> </v>
      </c>
      <c r="K3734" s="26" t="str">
        <f>IF(OR(E3734="",E3734="!!!",F3734="NEW"),"",INDEX(J$1:J3733,SUMPRODUCT(MAX(ROW(E$1:E3733)*(E3734=E$1:E3733)))))</f>
        <v> </v>
      </c>
      <c r="L3734" s="27"/>
    </row>
    <row r="3735" spans="1:12">
      <c r="A3735" s="20" t="s">
        <v>2116</v>
      </c>
      <c r="E3735" s="22">
        <f>IF(D3735="?OLD","!!!","")</f>
        <v/>
      </c>
      <c r="F3735" s="23" t="str">
        <f>IF(OR(E3735="",E3735="!!!"),"",IF(NOT(ISNA(VLOOKUP(E3735,E$1:E3734,1,FALSE()))),"OLD",IF(AND(E3735&lt;&gt;"",E3735&lt;&gt;"!!!"),"NEW","")))</f>
        <v> </v>
      </c>
      <c r="G3735" s="24" t="str">
        <f>IF(OR(E3735="",E3735="!!!"),"",IF(OR(J3735=0,AND(J3735=1,K3735=1),AND(J3735=1,I3735="SBJ"),AND(J3735=1,I3735=0)),"?IN_FOCUS",IF(J3735&lt;=2,"?ACTIVATED",IF(J3735&lt;&gt;"","?FAMILIAR",IF(F3735="NEW",IF(ISNA(VLOOKUP(E3735,#REF!,1,FALSE())),"?TYPE_IDENTIFIABLE","?REFERENTIAL"),"_")))))</f>
        <v> </v>
      </c>
      <c r="H3735" s="25" t="str">
        <f>IF(J3735&lt;&gt;1,"",IF(I3735="SBJ","CB","?"))</f>
        <v> </v>
      </c>
      <c r="I3735" s="26" t="str">
        <f>IF(OR(E3735="",E3735="!!!",F3735="NEW"),"",INDEX(B3734:B$2,-1+SUMPRODUCT(MAX(ROW(E3734:E$2)*(E3735=E3734:E$2)))))</f>
        <v> </v>
      </c>
      <c r="J3735" s="26" t="str">
        <f>IF(OR(E3735="",E3735="!!!",F3735="NEW"),"",COUNTBLANK(OFFSET(A$1,,,SUMPRODUCT(MAX(ROW(E$2:E3735)*(E3735=E$2:E3735)))))-COUNTBLANK(OFFSET(A$1,,,SUMPRODUCT(MAX(ROW(E$1:E3734)*(E2=E$1:E3734))))))</f>
        <v> </v>
      </c>
      <c r="K3735" s="26" t="str">
        <f>IF(OR(E3735="",E3735="!!!",F3735="NEW"),"",INDEX(J$1:J3734,SUMPRODUCT(MAX(ROW(E$1:E3734)*(E3735=E$1:E3734)))))</f>
        <v> </v>
      </c>
      <c r="L3735" s="27"/>
    </row>
    <row r="3736" spans="1:12">
      <c r="A3736" s="20" t="s">
        <v>1330</v>
      </c>
      <c r="E3736" s="22">
        <f>IF(D3736="?OLD","!!!","")</f>
        <v/>
      </c>
      <c r="F3736" s="23" t="str">
        <f>IF(OR(E3736="",E3736="!!!"),"",IF(NOT(ISNA(VLOOKUP(E3736,E$1:E3735,1,FALSE()))),"OLD",IF(AND(E3736&lt;&gt;"",E3736&lt;&gt;"!!!"),"NEW","")))</f>
        <v> </v>
      </c>
      <c r="G3736" s="24" t="str">
        <f>IF(OR(E3736="",E3736="!!!"),"",IF(OR(J3736=0,AND(J3736=1,K3736=1),AND(J3736=1,I3736="SBJ"),AND(J3736=1,I3736=0)),"?IN_FOCUS",IF(J3736&lt;=2,"?ACTIVATED",IF(J3736&lt;&gt;"","?FAMILIAR",IF(F3736="NEW",IF(ISNA(VLOOKUP(E3736,#REF!,1,FALSE())),"?TYPE_IDENTIFIABLE","?REFERENTIAL"),"_")))))</f>
        <v> </v>
      </c>
      <c r="H3736" s="25" t="str">
        <f>IF(J3736&lt;&gt;1,"",IF(I3736="SBJ","CB","?"))</f>
        <v> </v>
      </c>
      <c r="I3736" s="26" t="str">
        <f>IF(OR(E3736="",E3736="!!!",F3736="NEW"),"",INDEX(B3735:B$2,-1+SUMPRODUCT(MAX(ROW(E3735:E$2)*(E3736=E3735:E$2)))))</f>
        <v> </v>
      </c>
      <c r="J3736" s="26" t="str">
        <f>IF(OR(E3736="",E3736="!!!",F3736="NEW"),"",COUNTBLANK(OFFSET(A$1,,,SUMPRODUCT(MAX(ROW(E$2:E3736)*(E3736=E$2:E3736)))))-COUNTBLANK(OFFSET(A$1,,,SUMPRODUCT(MAX(ROW(E$1:E3735)*(E2=E$1:E3735))))))</f>
        <v> </v>
      </c>
      <c r="K3736" s="26" t="str">
        <f>IF(OR(E3736="",E3736="!!!",F3736="NEW"),"",INDEX(J$1:J3735,SUMPRODUCT(MAX(ROW(E$1:E3735)*(E3736=E$1:E3735)))))</f>
        <v> </v>
      </c>
      <c r="L3736" s="27"/>
    </row>
    <row r="3737" spans="1:12">
      <c r="A3737" s="20" t="s">
        <v>1921</v>
      </c>
      <c r="B3737" s="21" t="s">
        <v>1253</v>
      </c>
      <c r="E3737" s="22">
        <f>IF(D3737="?OLD","!!!","")</f>
        <v/>
      </c>
      <c r="F3737" s="23" t="str">
        <f>IF(OR(E3737="",E3737="!!!"),"",IF(NOT(ISNA(VLOOKUP(E3737,E$1:E3736,1,FALSE()))),"OLD",IF(AND(E3737&lt;&gt;"",E3737&lt;&gt;"!!!"),"NEW","")))</f>
        <v> </v>
      </c>
      <c r="G3737" s="24" t="str">
        <f>IF(OR(E3737="",E3737="!!!"),"",IF(OR(J3737=0,AND(J3737=1,K3737=1),AND(J3737=1,I3737="SBJ"),AND(J3737=1,I3737=0)),"?IN_FOCUS",IF(J3737&lt;=2,"?ACTIVATED",IF(J3737&lt;&gt;"","?FAMILIAR",IF(F3737="NEW",IF(ISNA(VLOOKUP(E3737,#REF!,1,FALSE())),"?TYPE_IDENTIFIABLE","?REFERENTIAL"),"_")))))</f>
        <v> </v>
      </c>
      <c r="H3737" s="25" t="str">
        <f>IF(J3737&lt;&gt;1,"",IF(I3737="SBJ","CB","?"))</f>
        <v> </v>
      </c>
      <c r="I3737" s="26" t="str">
        <f>IF(OR(E3737="",E3737="!!!",F3737="NEW"),"",INDEX(B3736:B$2,-1+SUMPRODUCT(MAX(ROW(E3736:E$2)*(E3737=E3736:E$2)))))</f>
        <v> </v>
      </c>
      <c r="J3737" s="26" t="str">
        <f>IF(OR(E3737="",E3737="!!!",F3737="NEW"),"",COUNTBLANK(OFFSET(A$1,,,SUMPRODUCT(MAX(ROW(E$2:E3737)*(E3737=E$2:E3737)))))-COUNTBLANK(OFFSET(A$1,,,SUMPRODUCT(MAX(ROW(E$1:E3736)*(E2=E$1:E3736))))))</f>
        <v> </v>
      </c>
      <c r="K3737" s="26" t="str">
        <f>IF(OR(E3737="",E3737="!!!",F3737="NEW"),"",INDEX(J$1:J3736,SUMPRODUCT(MAX(ROW(E$1:E3736)*(E3737=E$1:E3736)))))</f>
        <v> </v>
      </c>
      <c r="L3737" s="27"/>
    </row>
    <row r="3738" spans="1:12">
      <c r="A3738" s="20" t="s">
        <v>1056</v>
      </c>
      <c r="E3738" s="22">
        <f>IF(D3738="?OLD","!!!","")</f>
        <v/>
      </c>
      <c r="F3738" s="23" t="str">
        <f>IF(OR(E3738="",E3738="!!!"),"",IF(NOT(ISNA(VLOOKUP(E3738,E$1:E3737,1,FALSE()))),"OLD",IF(AND(E3738&lt;&gt;"",E3738&lt;&gt;"!!!"),"NEW","")))</f>
        <v> </v>
      </c>
      <c r="G3738" s="24" t="str">
        <f>IF(OR(E3738="",E3738="!!!"),"",IF(OR(J3738=0,AND(J3738=1,K3738=1),AND(J3738=1,I3738="SBJ"),AND(J3738=1,I3738=0)),"?IN_FOCUS",IF(J3738&lt;=2,"?ACTIVATED",IF(J3738&lt;&gt;"","?FAMILIAR",IF(F3738="NEW",IF(ISNA(VLOOKUP(E3738,#REF!,1,FALSE())),"?TYPE_IDENTIFIABLE","?REFERENTIAL"),"_")))))</f>
        <v> </v>
      </c>
      <c r="H3738" s="25" t="str">
        <f>IF(J3738&lt;&gt;1,"",IF(I3738="SBJ","CB","?"))</f>
        <v> </v>
      </c>
      <c r="I3738" s="26" t="str">
        <f>IF(OR(E3738="",E3738="!!!",F3738="NEW"),"",INDEX(B3737:B$2,-1+SUMPRODUCT(MAX(ROW(E3737:E$2)*(E3738=E3737:E$2)))))</f>
        <v> </v>
      </c>
      <c r="J3738" s="26" t="str">
        <f>IF(OR(E3738="",E3738="!!!",F3738="NEW"),"",COUNTBLANK(OFFSET(A$1,,,SUMPRODUCT(MAX(ROW(E$2:E3738)*(E3738=E$2:E3738)))))-COUNTBLANK(OFFSET(A$1,,,SUMPRODUCT(MAX(ROW(E$1:E3737)*(E2=E$1:E3737))))))</f>
        <v> </v>
      </c>
      <c r="K3738" s="26" t="str">
        <f>IF(OR(E3738="",E3738="!!!",F3738="NEW"),"",INDEX(J$1:J3737,SUMPRODUCT(MAX(ROW(E$1:E3737)*(E3738=E$1:E3737)))))</f>
        <v> </v>
      </c>
      <c r="L3738" s="27"/>
    </row>
    <row r="3739" spans="1:12">
      <c r="A3739" s="20" t="s">
        <v>1065</v>
      </c>
      <c r="B3739" s="21" t="s">
        <v>1489</v>
      </c>
      <c r="E3739" s="22">
        <f>IF(D3739="?OLD","!!!","")</f>
        <v/>
      </c>
      <c r="F3739" s="23" t="str">
        <f>IF(OR(E3739="",E3739="!!!"),"",IF(NOT(ISNA(VLOOKUP(E3739,E$1:E3738,1,FALSE()))),"OLD",IF(AND(E3739&lt;&gt;"",E3739&lt;&gt;"!!!"),"NEW","")))</f>
        <v> </v>
      </c>
      <c r="G3739" s="24" t="str">
        <f>IF(OR(E3739="",E3739="!!!"),"",IF(OR(J3739=0,AND(J3739=1,K3739=1),AND(J3739=1,I3739="SBJ"),AND(J3739=1,I3739=0)),"?IN_FOCUS",IF(J3739&lt;=2,"?ACTIVATED",IF(J3739&lt;&gt;"","?FAMILIAR",IF(F3739="NEW",IF(ISNA(VLOOKUP(E3739,#REF!,1,FALSE())),"?TYPE_IDENTIFIABLE","?REFERENTIAL"),"_")))))</f>
        <v> </v>
      </c>
      <c r="H3739" s="25" t="str">
        <f>IF(J3739&lt;&gt;1,"",IF(I3739="SBJ","CB","?"))</f>
        <v> </v>
      </c>
      <c r="I3739" s="26" t="str">
        <f>IF(OR(E3739="",E3739="!!!",F3739="NEW"),"",INDEX(B3738:B$2,-1+SUMPRODUCT(MAX(ROW(E3738:E$2)*(E3739=E3738:E$2)))))</f>
        <v> </v>
      </c>
      <c r="J3739" s="26" t="str">
        <f>IF(OR(E3739="",E3739="!!!",F3739="NEW"),"",COUNTBLANK(OFFSET(A$1,,,SUMPRODUCT(MAX(ROW(E$2:E3739)*(E3739=E$2:E3739)))))-COUNTBLANK(OFFSET(A$1,,,SUMPRODUCT(MAX(ROW(E$1:E3738)*(E2=E$1:E3738))))))</f>
        <v> </v>
      </c>
      <c r="K3739" s="26" t="str">
        <f>IF(OR(E3739="",E3739="!!!",F3739="NEW"),"",INDEX(J$1:J3738,SUMPRODUCT(MAX(ROW(E$1:E3738)*(E3739=E$1:E3738)))))</f>
        <v> </v>
      </c>
      <c r="L3739" s="27"/>
    </row>
    <row r="3740" spans="1:12">
      <c r="A3740" s="20" t="s">
        <v>2117</v>
      </c>
      <c r="E3740" s="22">
        <f>IF(D3740="?OLD","!!!","")</f>
        <v/>
      </c>
      <c r="F3740" s="23" t="str">
        <f>IF(OR(E3740="",E3740="!!!"),"",IF(NOT(ISNA(VLOOKUP(E3740,E$1:E3739,1,FALSE()))),"OLD",IF(AND(E3740&lt;&gt;"",E3740&lt;&gt;"!!!"),"NEW","")))</f>
        <v> </v>
      </c>
      <c r="G3740" s="24" t="str">
        <f>IF(OR(E3740="",E3740="!!!"),"",IF(OR(J3740=0,AND(J3740=1,K3740=1),AND(J3740=1,I3740="SBJ"),AND(J3740=1,I3740=0)),"?IN_FOCUS",IF(J3740&lt;=2,"?ACTIVATED",IF(J3740&lt;&gt;"","?FAMILIAR",IF(F3740="NEW",IF(ISNA(VLOOKUP(E3740,#REF!,1,FALSE())),"?TYPE_IDENTIFIABLE","?REFERENTIAL"),"_")))))</f>
        <v> </v>
      </c>
      <c r="H3740" s="25" t="str">
        <f>IF(J3740&lt;&gt;1,"",IF(I3740="SBJ","CB","?"))</f>
        <v> </v>
      </c>
      <c r="I3740" s="26" t="str">
        <f>IF(OR(E3740="",E3740="!!!",F3740="NEW"),"",INDEX(B3739:B$2,-1+SUMPRODUCT(MAX(ROW(E3739:E$2)*(E3740=E3739:E$2)))))</f>
        <v> </v>
      </c>
      <c r="J3740" s="26" t="str">
        <f>IF(OR(E3740="",E3740="!!!",F3740="NEW"),"",COUNTBLANK(OFFSET(A$1,,,SUMPRODUCT(MAX(ROW(E$2:E3740)*(E3740=E$2:E3740)))))-COUNTBLANK(OFFSET(A$1,,,SUMPRODUCT(MAX(ROW(E$1:E3739)*(E2=E$1:E3739))))))</f>
        <v> </v>
      </c>
      <c r="K3740" s="26" t="str">
        <f>IF(OR(E3740="",E3740="!!!",F3740="NEW"),"",INDEX(J$1:J3739,SUMPRODUCT(MAX(ROW(E$1:E3739)*(E3740=E$1:E3739)))))</f>
        <v> </v>
      </c>
      <c r="L3740" s="27"/>
    </row>
    <row r="3741" spans="1:12">
      <c r="A3741" s="20" t="s">
        <v>1183</v>
      </c>
      <c r="B3741" s="21" t="s">
        <v>1440</v>
      </c>
      <c r="C3741" s="21" t="s">
        <v>1048</v>
      </c>
      <c r="E3741" s="22">
        <f>IF(D3741="?OLD","!!!","")</f>
        <v/>
      </c>
      <c r="F3741" s="23" t="str">
        <f>IF(OR(E3741="",E3741="!!!"),"",IF(NOT(ISNA(VLOOKUP(E3741,E$1:E3740,1,FALSE()))),"OLD",IF(AND(E3741&lt;&gt;"",E3741&lt;&gt;"!!!"),"NEW","")))</f>
        <v> </v>
      </c>
      <c r="G3741" s="24" t="str">
        <f>IF(OR(E3741="",E3741="!!!"),"",IF(OR(J3741=0,AND(J3741=1,K3741=1),AND(J3741=1,I3741="SBJ"),AND(J3741=1,I3741=0)),"?IN_FOCUS",IF(J3741&lt;=2,"?ACTIVATED",IF(J3741&lt;&gt;"","?FAMILIAR",IF(F3741="NEW",IF(ISNA(VLOOKUP(E3741,#REF!,1,FALSE())),"?TYPE_IDENTIFIABLE","?REFERENTIAL"),"_")))))</f>
        <v> </v>
      </c>
      <c r="H3741" s="25" t="str">
        <f>IF(J3741&lt;&gt;1,"",IF(I3741="SBJ","CB","?"))</f>
        <v> </v>
      </c>
      <c r="I3741" s="26" t="str">
        <f>IF(OR(E3741="",E3741="!!!",F3741="NEW"),"",INDEX(B3740:B$2,-1+SUMPRODUCT(MAX(ROW(E3740:E$2)*(E3741=E3740:E$2)))))</f>
        <v> </v>
      </c>
      <c r="J3741" s="26" t="str">
        <f>IF(OR(E3741="",E3741="!!!",F3741="NEW"),"",COUNTBLANK(OFFSET(A$1,,,SUMPRODUCT(MAX(ROW(E$2:E3741)*(E3741=E$2:E3741)))))-COUNTBLANK(OFFSET(A$1,,,SUMPRODUCT(MAX(ROW(E$1:E3740)*(E2=E$1:E3740))))))</f>
        <v> </v>
      </c>
      <c r="K3741" s="26" t="str">
        <f>IF(OR(E3741="",E3741="!!!",F3741="NEW"),"",INDEX(J$1:J3740,SUMPRODUCT(MAX(ROW(E$1:E3740)*(E3741=E$1:E3740)))))</f>
        <v> </v>
      </c>
      <c r="L3741" s="27"/>
    </row>
    <row r="3742" spans="1:12">
      <c r="A3742" s="20" t="s">
        <v>56</v>
      </c>
      <c r="E3742" s="22">
        <f>IF(D3742="?OLD","!!!","")</f>
        <v/>
      </c>
      <c r="F3742" s="23" t="str">
        <f>IF(OR(E3742="",E3742="!!!"),"",IF(NOT(ISNA(VLOOKUP(E3742,E$1:E3741,1,FALSE()))),"OLD",IF(AND(E3742&lt;&gt;"",E3742&lt;&gt;"!!!"),"NEW","")))</f>
        <v> </v>
      </c>
      <c r="G3742" s="24" t="str">
        <f>IF(OR(E3742="",E3742="!!!"),"",IF(OR(J3742=0,AND(J3742=1,K3742=1),AND(J3742=1,I3742="SBJ"),AND(J3742=1,I3742=0)),"?IN_FOCUS",IF(J3742&lt;=2,"?ACTIVATED",IF(J3742&lt;&gt;"","?FAMILIAR",IF(F3742="NEW",IF(ISNA(VLOOKUP(E3742,#REF!,1,FALSE())),"?TYPE_IDENTIFIABLE","?REFERENTIAL"),"_")))))</f>
        <v> </v>
      </c>
      <c r="H3742" s="25" t="str">
        <f>IF(J3742&lt;&gt;1,"",IF(I3742="SBJ","CB","?"))</f>
        <v> </v>
      </c>
      <c r="I3742" s="26" t="str">
        <f>IF(OR(E3742="",E3742="!!!",F3742="NEW"),"",INDEX(B3741:B$2,-1+SUMPRODUCT(MAX(ROW(E3741:E$2)*(E3742=E3741:E$2)))))</f>
        <v> </v>
      </c>
      <c r="J3742" s="26" t="str">
        <f>IF(OR(E3742="",E3742="!!!",F3742="NEW"),"",COUNTBLANK(OFFSET(A$1,,,SUMPRODUCT(MAX(ROW(E$2:E3742)*(E3742=E$2:E3742)))))-COUNTBLANK(OFFSET(A$1,,,SUMPRODUCT(MAX(ROW(E$1:E3741)*(E2=E$1:E3741))))))</f>
        <v> </v>
      </c>
      <c r="K3742" s="26" t="str">
        <f>IF(OR(E3742="",E3742="!!!",F3742="NEW"),"",INDEX(J$1:J3741,SUMPRODUCT(MAX(ROW(E$1:E3741)*(E3742=E$1:E3741)))))</f>
        <v> </v>
      </c>
      <c r="L3742" s="27"/>
    </row>
    <row r="3743" spans="1:12">
      <c r="A3743" s="20" t="s">
        <v>2118</v>
      </c>
      <c r="B3743" s="21" t="s">
        <v>1217</v>
      </c>
      <c r="C3743" s="21" t="s">
        <v>1048</v>
      </c>
      <c r="E3743" s="22">
        <f>IF(D3743="?OLD","!!!","")</f>
        <v/>
      </c>
      <c r="F3743" s="23" t="str">
        <f>IF(OR(E3743="",E3743="!!!"),"",IF(NOT(ISNA(VLOOKUP(E3743,E$1:E3742,1,FALSE()))),"OLD",IF(AND(E3743&lt;&gt;"",E3743&lt;&gt;"!!!"),"NEW","")))</f>
        <v> </v>
      </c>
      <c r="G3743" s="24" t="str">
        <f>IF(OR(E3743="",E3743="!!!"),"",IF(OR(J3743=0,AND(J3743=1,K3743=1),AND(J3743=1,I3743="SBJ"),AND(J3743=1,I3743=0)),"?IN_FOCUS",IF(J3743&lt;=2,"?ACTIVATED",IF(J3743&lt;&gt;"","?FAMILIAR",IF(F3743="NEW",IF(ISNA(VLOOKUP(E3743,#REF!,1,FALSE())),"?TYPE_IDENTIFIABLE","?REFERENTIAL"),"_")))))</f>
        <v> </v>
      </c>
      <c r="H3743" s="25" t="str">
        <f>IF(J3743&lt;&gt;1,"",IF(I3743="SBJ","CB","?"))</f>
        <v> </v>
      </c>
      <c r="I3743" s="26" t="str">
        <f>IF(OR(E3743="",E3743="!!!",F3743="NEW"),"",INDEX(B3742:B$2,-1+SUMPRODUCT(MAX(ROW(E3742:E$2)*(E3743=E3742:E$2)))))</f>
        <v> </v>
      </c>
      <c r="J3743" s="26" t="str">
        <f>IF(OR(E3743="",E3743="!!!",F3743="NEW"),"",COUNTBLANK(OFFSET(A$1,,,SUMPRODUCT(MAX(ROW(E$2:E3743)*(E3743=E$2:E3743)))))-COUNTBLANK(OFFSET(A$1,,,SUMPRODUCT(MAX(ROW(E$1:E3742)*(E2=E$1:E3742))))))</f>
        <v> </v>
      </c>
      <c r="K3743" s="26" t="str">
        <f>IF(OR(E3743="",E3743="!!!",F3743="NEW"),"",INDEX(J$1:J3742,SUMPRODUCT(MAX(ROW(E$1:E3742)*(E3743=E$1:E3742)))))</f>
        <v> </v>
      </c>
      <c r="L3743" s="27"/>
    </row>
    <row r="3744" spans="1:12">
      <c r="A3744" s="20" t="s">
        <v>1097</v>
      </c>
      <c r="E3744" s="22">
        <f>IF(D3744="?OLD","!!!","")</f>
        <v/>
      </c>
      <c r="F3744" s="23" t="str">
        <f>IF(OR(E3744="",E3744="!!!"),"",IF(NOT(ISNA(VLOOKUP(E3744,E$1:E3743,1,FALSE()))),"OLD",IF(AND(E3744&lt;&gt;"",E3744&lt;&gt;"!!!"),"NEW","")))</f>
        <v> </v>
      </c>
      <c r="G3744" s="24" t="str">
        <f>IF(OR(E3744="",E3744="!!!"),"",IF(OR(J3744=0,AND(J3744=1,K3744=1),AND(J3744=1,I3744="SBJ"),AND(J3744=1,I3744=0)),"?IN_FOCUS",IF(J3744&lt;=2,"?ACTIVATED",IF(J3744&lt;&gt;"","?FAMILIAR",IF(F3744="NEW",IF(ISNA(VLOOKUP(E3744,#REF!,1,FALSE())),"?TYPE_IDENTIFIABLE","?REFERENTIAL"),"_")))))</f>
        <v> </v>
      </c>
      <c r="H3744" s="25" t="str">
        <f>IF(J3744&lt;&gt;1,"",IF(I3744="SBJ","CB","?"))</f>
        <v> </v>
      </c>
      <c r="I3744" s="26" t="str">
        <f>IF(OR(E3744="",E3744="!!!",F3744="NEW"),"",INDEX(B3743:B$2,-1+SUMPRODUCT(MAX(ROW(E3743:E$2)*(E3744=E3743:E$2)))))</f>
        <v> </v>
      </c>
      <c r="J3744" s="26" t="str">
        <f>IF(OR(E3744="",E3744="!!!",F3744="NEW"),"",COUNTBLANK(OFFSET(A$1,,,SUMPRODUCT(MAX(ROW(E$2:E3744)*(E3744=E$2:E3744)))))-COUNTBLANK(OFFSET(A$1,,,SUMPRODUCT(MAX(ROW(E$1:E3743)*(E2=E$1:E3743))))))</f>
        <v> </v>
      </c>
      <c r="K3744" s="26" t="str">
        <f>IF(OR(E3744="",E3744="!!!",F3744="NEW"),"",INDEX(J$1:J3743,SUMPRODUCT(MAX(ROW(E$1:E3743)*(E3744=E$1:E3743)))))</f>
        <v> </v>
      </c>
      <c r="L3744" s="27"/>
    </row>
    <row r="3745" spans="1:12">
      <c r="A3745" s="20" t="s">
        <v>1766</v>
      </c>
      <c r="E3745" s="22">
        <f>IF(D3745="?OLD","!!!","")</f>
        <v/>
      </c>
      <c r="F3745" s="23" t="str">
        <f>IF(OR(E3745="",E3745="!!!"),"",IF(NOT(ISNA(VLOOKUP(E3745,E$1:E3744,1,FALSE()))),"OLD",IF(AND(E3745&lt;&gt;"",E3745&lt;&gt;"!!!"),"NEW","")))</f>
        <v> </v>
      </c>
      <c r="G3745" s="24" t="str">
        <f>IF(OR(E3745="",E3745="!!!"),"",IF(OR(J3745=0,AND(J3745=1,K3745=1),AND(J3745=1,I3745="SBJ"),AND(J3745=1,I3745=0)),"?IN_FOCUS",IF(J3745&lt;=2,"?ACTIVATED",IF(J3745&lt;&gt;"","?FAMILIAR",IF(F3745="NEW",IF(ISNA(VLOOKUP(E3745,#REF!,1,FALSE())),"?TYPE_IDENTIFIABLE","?REFERENTIAL"),"_")))))</f>
        <v> </v>
      </c>
      <c r="H3745" s="25" t="str">
        <f>IF(J3745&lt;&gt;1,"",IF(I3745="SBJ","CB","?"))</f>
        <v> </v>
      </c>
      <c r="I3745" s="26" t="str">
        <f>IF(OR(E3745="",E3745="!!!",F3745="NEW"),"",INDEX(B3744:B$2,-1+SUMPRODUCT(MAX(ROW(E3744:E$2)*(E3745=E3744:E$2)))))</f>
        <v> </v>
      </c>
      <c r="J3745" s="26" t="str">
        <f>IF(OR(E3745="",E3745="!!!",F3745="NEW"),"",COUNTBLANK(OFFSET(A$1,,,SUMPRODUCT(MAX(ROW(E$2:E3745)*(E3745=E$2:E3745)))))-COUNTBLANK(OFFSET(A$1,,,SUMPRODUCT(MAX(ROW(E$1:E3744)*(E2=E$1:E3744))))))</f>
        <v> </v>
      </c>
      <c r="K3745" s="26" t="str">
        <f>IF(OR(E3745="",E3745="!!!",F3745="NEW"),"",INDEX(J$1:J3744,SUMPRODUCT(MAX(ROW(E$1:E3744)*(E3745=E$1:E3744)))))</f>
        <v> </v>
      </c>
      <c r="L3745" s="27"/>
    </row>
    <row r="3746" spans="1:12">
      <c r="A3746" s="20" t="s">
        <v>56</v>
      </c>
      <c r="E3746" s="22">
        <f>IF(D3746="?OLD","!!!","")</f>
        <v/>
      </c>
      <c r="F3746" s="23" t="str">
        <f>IF(OR(E3746="",E3746="!!!"),"",IF(NOT(ISNA(VLOOKUP(E3746,E$1:E3745,1,FALSE()))),"OLD",IF(AND(E3746&lt;&gt;"",E3746&lt;&gt;"!!!"),"NEW","")))</f>
        <v> </v>
      </c>
      <c r="G3746" s="24" t="str">
        <f>IF(OR(E3746="",E3746="!!!"),"",IF(OR(J3746=0,AND(J3746=1,K3746=1),AND(J3746=1,I3746="SBJ"),AND(J3746=1,I3746=0)),"?IN_FOCUS",IF(J3746&lt;=2,"?ACTIVATED",IF(J3746&lt;&gt;"","?FAMILIAR",IF(F3746="NEW",IF(ISNA(VLOOKUP(E3746,#REF!,1,FALSE())),"?TYPE_IDENTIFIABLE","?REFERENTIAL"),"_")))))</f>
        <v> </v>
      </c>
      <c r="H3746" s="25" t="str">
        <f>IF(J3746&lt;&gt;1,"",IF(I3746="SBJ","CB","?"))</f>
        <v> </v>
      </c>
      <c r="I3746" s="26" t="str">
        <f>IF(OR(E3746="",E3746="!!!",F3746="NEW"),"",INDEX(B3745:B$2,-1+SUMPRODUCT(MAX(ROW(E3745:E$2)*(E3746=E3745:E$2)))))</f>
        <v> </v>
      </c>
      <c r="J3746" s="26" t="str">
        <f>IF(OR(E3746="",E3746="!!!",F3746="NEW"),"",COUNTBLANK(OFFSET(A$1,,,SUMPRODUCT(MAX(ROW(E$2:E3746)*(E3746=E$2:E3746)))))-COUNTBLANK(OFFSET(A$1,,,SUMPRODUCT(MAX(ROW(E$1:E3745)*(E2=E$1:E3745))))))</f>
        <v> </v>
      </c>
      <c r="K3746" s="26" t="str">
        <f>IF(OR(E3746="",E3746="!!!",F3746="NEW"),"",INDEX(J$1:J3745,SUMPRODUCT(MAX(ROW(E$1:E3745)*(E3746=E$1:E3745)))))</f>
        <v> </v>
      </c>
      <c r="L3746" s="27"/>
    </row>
    <row r="3747" spans="1:12">
      <c r="A3747" s="20" t="s">
        <v>2119</v>
      </c>
      <c r="E3747" s="22">
        <f>IF(D3747="?OLD","!!!","")</f>
        <v/>
      </c>
      <c r="F3747" s="23" t="str">
        <f>IF(OR(E3747="",E3747="!!!"),"",IF(NOT(ISNA(VLOOKUP(E3747,E$1:E3746,1,FALSE()))),"OLD",IF(AND(E3747&lt;&gt;"",E3747&lt;&gt;"!!!"),"NEW","")))</f>
        <v> </v>
      </c>
      <c r="G3747" s="24" t="str">
        <f>IF(OR(E3747="",E3747="!!!"),"",IF(OR(J3747=0,AND(J3747=1,K3747=1),AND(J3747=1,I3747="SBJ"),AND(J3747=1,I3747=0)),"?IN_FOCUS",IF(J3747&lt;=2,"?ACTIVATED",IF(J3747&lt;&gt;"","?FAMILIAR",IF(F3747="NEW",IF(ISNA(VLOOKUP(E3747,#REF!,1,FALSE())),"?TYPE_IDENTIFIABLE","?REFERENTIAL"),"_")))))</f>
        <v> </v>
      </c>
      <c r="H3747" s="25" t="str">
        <f>IF(J3747&lt;&gt;1,"",IF(I3747="SBJ","CB","?"))</f>
        <v> </v>
      </c>
      <c r="I3747" s="26" t="str">
        <f>IF(OR(E3747="",E3747="!!!",F3747="NEW"),"",INDEX(B3746:B$2,-1+SUMPRODUCT(MAX(ROW(E3746:E$2)*(E3747=E3746:E$2)))))</f>
        <v> </v>
      </c>
      <c r="J3747" s="26" t="str">
        <f>IF(OR(E3747="",E3747="!!!",F3747="NEW"),"",COUNTBLANK(OFFSET(A$1,,,SUMPRODUCT(MAX(ROW(E$2:E3747)*(E3747=E$2:E3747)))))-COUNTBLANK(OFFSET(A$1,,,SUMPRODUCT(MAX(ROW(E$1:E3746)*(E2=E$1:E3746))))))</f>
        <v> </v>
      </c>
      <c r="K3747" s="26" t="str">
        <f>IF(OR(E3747="",E3747="!!!",F3747="NEW"),"",INDEX(J$1:J3746,SUMPRODUCT(MAX(ROW(E$1:E3746)*(E3747=E$1:E3746)))))</f>
        <v> </v>
      </c>
      <c r="L3747" s="27"/>
    </row>
    <row r="3748" spans="1:12">
      <c r="A3748" s="20" t="s">
        <v>56</v>
      </c>
      <c r="E3748" s="22">
        <f>IF(D3748="?OLD","!!!","")</f>
        <v/>
      </c>
      <c r="F3748" s="23" t="str">
        <f>IF(OR(E3748="",E3748="!!!"),"",IF(NOT(ISNA(VLOOKUP(E3748,E$1:E3747,1,FALSE()))),"OLD",IF(AND(E3748&lt;&gt;"",E3748&lt;&gt;"!!!"),"NEW","")))</f>
        <v> </v>
      </c>
      <c r="G3748" s="24" t="str">
        <f>IF(OR(E3748="",E3748="!!!"),"",IF(OR(J3748=0,AND(J3748=1,K3748=1),AND(J3748=1,I3748="SBJ"),AND(J3748=1,I3748=0)),"?IN_FOCUS",IF(J3748&lt;=2,"?ACTIVATED",IF(J3748&lt;&gt;"","?FAMILIAR",IF(F3748="NEW",IF(ISNA(VLOOKUP(E3748,#REF!,1,FALSE())),"?TYPE_IDENTIFIABLE","?REFERENTIAL"),"_")))))</f>
        <v> </v>
      </c>
      <c r="H3748" s="25" t="str">
        <f>IF(J3748&lt;&gt;1,"",IF(I3748="SBJ","CB","?"))</f>
        <v> </v>
      </c>
      <c r="I3748" s="26" t="str">
        <f>IF(OR(E3748="",E3748="!!!",F3748="NEW"),"",INDEX(B3747:B$2,-1+SUMPRODUCT(MAX(ROW(E3747:E$2)*(E3748=E3747:E$2)))))</f>
        <v> </v>
      </c>
      <c r="J3748" s="26" t="str">
        <f>IF(OR(E3748="",E3748="!!!",F3748="NEW"),"",COUNTBLANK(OFFSET(A$1,,,SUMPRODUCT(MAX(ROW(E$2:E3748)*(E3748=E$2:E3748)))))-COUNTBLANK(OFFSET(A$1,,,SUMPRODUCT(MAX(ROW(E$1:E3747)*(E2=E$1:E3747))))))</f>
        <v> </v>
      </c>
      <c r="K3748" s="26" t="str">
        <f>IF(OR(E3748="",E3748="!!!",F3748="NEW"),"",INDEX(J$1:J3747,SUMPRODUCT(MAX(ROW(E$1:E3747)*(E3748=E$1:E3747)))))</f>
        <v> </v>
      </c>
      <c r="L3748" s="27"/>
    </row>
    <row r="3749" spans="1:12">
      <c r="A3749" s="20" t="s">
        <v>1830</v>
      </c>
      <c r="E3749" s="22">
        <f>IF(D3749="?OLD","!!!","")</f>
        <v/>
      </c>
      <c r="F3749" s="23" t="str">
        <f>IF(OR(E3749="",E3749="!!!"),"",IF(NOT(ISNA(VLOOKUP(E3749,E$1:E3748,1,FALSE()))),"OLD",IF(AND(E3749&lt;&gt;"",E3749&lt;&gt;"!!!"),"NEW","")))</f>
        <v> </v>
      </c>
      <c r="G3749" s="24" t="str">
        <f>IF(OR(E3749="",E3749="!!!"),"",IF(OR(J3749=0,AND(J3749=1,K3749=1),AND(J3749=1,I3749="SBJ"),AND(J3749=1,I3749=0)),"?IN_FOCUS",IF(J3749&lt;=2,"?ACTIVATED",IF(J3749&lt;&gt;"","?FAMILIAR",IF(F3749="NEW",IF(ISNA(VLOOKUP(E3749,#REF!,1,FALSE())),"?TYPE_IDENTIFIABLE","?REFERENTIAL"),"_")))))</f>
        <v> </v>
      </c>
      <c r="H3749" s="25" t="str">
        <f>IF(J3749&lt;&gt;1,"",IF(I3749="SBJ","CB","?"))</f>
        <v> </v>
      </c>
      <c r="I3749" s="26" t="str">
        <f>IF(OR(E3749="",E3749="!!!",F3749="NEW"),"",INDEX(B3748:B$2,-1+SUMPRODUCT(MAX(ROW(E3748:E$2)*(E3749=E3748:E$2)))))</f>
        <v> </v>
      </c>
      <c r="J3749" s="26" t="str">
        <f>IF(OR(E3749="",E3749="!!!",F3749="NEW"),"",COUNTBLANK(OFFSET(A$1,,,SUMPRODUCT(MAX(ROW(E$2:E3749)*(E3749=E$2:E3749)))))-COUNTBLANK(OFFSET(A$1,,,SUMPRODUCT(MAX(ROW(E$1:E3748)*(E2=E$1:E3748))))))</f>
        <v> </v>
      </c>
      <c r="K3749" s="26" t="str">
        <f>IF(OR(E3749="",E3749="!!!",F3749="NEW"),"",INDEX(J$1:J3748,SUMPRODUCT(MAX(ROW(E$1:E3748)*(E3749=E$1:E3748)))))</f>
        <v> </v>
      </c>
      <c r="L3749" s="27"/>
    </row>
    <row r="3750" spans="1:12">
      <c r="A3750" s="20" t="s">
        <v>1061</v>
      </c>
      <c r="E3750" s="22">
        <f>IF(D3750="?OLD","!!!","")</f>
        <v/>
      </c>
      <c r="F3750" s="23" t="str">
        <f>IF(OR(E3750="",E3750="!!!"),"",IF(NOT(ISNA(VLOOKUP(E3750,E$1:E3749,1,FALSE()))),"OLD",IF(AND(E3750&lt;&gt;"",E3750&lt;&gt;"!!!"),"NEW","")))</f>
        <v> </v>
      </c>
      <c r="G3750" s="24" t="str">
        <f>IF(OR(E3750="",E3750="!!!"),"",IF(OR(J3750=0,AND(J3750=1,K3750=1),AND(J3750=1,I3750="SBJ"),AND(J3750=1,I3750=0)),"?IN_FOCUS",IF(J3750&lt;=2,"?ACTIVATED",IF(J3750&lt;&gt;"","?FAMILIAR",IF(F3750="NEW",IF(ISNA(VLOOKUP(E3750,#REF!,1,FALSE())),"?TYPE_IDENTIFIABLE","?REFERENTIAL"),"_")))))</f>
        <v> </v>
      </c>
      <c r="H3750" s="25" t="str">
        <f>IF(J3750&lt;&gt;1,"",IF(I3750="SBJ","CB","?"))</f>
        <v> </v>
      </c>
      <c r="I3750" s="26" t="str">
        <f>IF(OR(E3750="",E3750="!!!",F3750="NEW"),"",INDEX(B3749:B$2,-1+SUMPRODUCT(MAX(ROW(E3749:E$2)*(E3750=E3749:E$2)))))</f>
        <v> </v>
      </c>
      <c r="J3750" s="26" t="str">
        <f>IF(OR(E3750="",E3750="!!!",F3750="NEW"),"",COUNTBLANK(OFFSET(A$1,,,SUMPRODUCT(MAX(ROW(E$2:E3750)*(E3750=E$2:E3750)))))-COUNTBLANK(OFFSET(A$1,,,SUMPRODUCT(MAX(ROW(E$1:E3749)*(E2=E$1:E3749))))))</f>
        <v> </v>
      </c>
      <c r="K3750" s="26" t="str">
        <f>IF(OR(E3750="",E3750="!!!",F3750="NEW"),"",INDEX(J$1:J3749,SUMPRODUCT(MAX(ROW(E$1:E3749)*(E3750=E$1:E3749)))))</f>
        <v> </v>
      </c>
      <c r="L3750" s="27"/>
    </row>
    <row r="3751" spans="1:12">
      <c r="A3751" s="20" t="s">
        <v>86</v>
      </c>
      <c r="E3751" s="22">
        <f>IF(D3751="?OLD","!!!","")</f>
        <v/>
      </c>
      <c r="F3751" s="23" t="str">
        <f>IF(OR(E3751="",E3751="!!!"),"",IF(NOT(ISNA(VLOOKUP(E3751,E$1:E3750,1,FALSE()))),"OLD",IF(AND(E3751&lt;&gt;"",E3751&lt;&gt;"!!!"),"NEW","")))</f>
        <v> </v>
      </c>
      <c r="G3751" s="24" t="str">
        <f>IF(OR(E3751="",E3751="!!!"),"",IF(OR(J3751=0,AND(J3751=1,K3751=1),AND(J3751=1,I3751="SBJ"),AND(J3751=1,I3751=0)),"?IN_FOCUS",IF(J3751&lt;=2,"?ACTIVATED",IF(J3751&lt;&gt;"","?FAMILIAR",IF(F3751="NEW",IF(ISNA(VLOOKUP(E3751,#REF!,1,FALSE())),"?TYPE_IDENTIFIABLE","?REFERENTIAL"),"_")))))</f>
        <v> </v>
      </c>
      <c r="H3751" s="25" t="str">
        <f>IF(J3751&lt;&gt;1,"",IF(I3751="SBJ","CB","?"))</f>
        <v> </v>
      </c>
      <c r="I3751" s="26" t="str">
        <f>IF(OR(E3751="",E3751="!!!",F3751="NEW"),"",INDEX(B3750:B$2,-1+SUMPRODUCT(MAX(ROW(E3750:E$2)*(E3751=E3750:E$2)))))</f>
        <v> </v>
      </c>
      <c r="J3751" s="26" t="str">
        <f>IF(OR(E3751="",E3751="!!!",F3751="NEW"),"",COUNTBLANK(OFFSET(A$1,,,SUMPRODUCT(MAX(ROW(E$2:E3751)*(E3751=E$2:E3751)))))-COUNTBLANK(OFFSET(A$1,,,SUMPRODUCT(MAX(ROW(E$1:E3750)*(E2=E$1:E3750))))))</f>
        <v> </v>
      </c>
      <c r="K3751" s="26" t="str">
        <f>IF(OR(E3751="",E3751="!!!",F3751="NEW"),"",INDEX(J$1:J3750,SUMPRODUCT(MAX(ROW(E$1:E3750)*(E3751=E$1:E3750)))))</f>
        <v> </v>
      </c>
      <c r="L3751" s="27"/>
    </row>
    <row r="3752" spans="1:12">
      <c r="A3752" s="20" t="s">
        <v>1097</v>
      </c>
      <c r="E3752" s="22">
        <f>IF(D3752="?OLD","!!!","")</f>
        <v/>
      </c>
      <c r="F3752" s="23" t="str">
        <f>IF(OR(E3752="",E3752="!!!"),"",IF(NOT(ISNA(VLOOKUP(E3752,E$1:E3751,1,FALSE()))),"OLD",IF(AND(E3752&lt;&gt;"",E3752&lt;&gt;"!!!"),"NEW","")))</f>
        <v> </v>
      </c>
      <c r="G3752" s="24" t="str">
        <f>IF(OR(E3752="",E3752="!!!"),"",IF(OR(J3752=0,AND(J3752=1,K3752=1),AND(J3752=1,I3752="SBJ"),AND(J3752=1,I3752=0)),"?IN_FOCUS",IF(J3752&lt;=2,"?ACTIVATED",IF(J3752&lt;&gt;"","?FAMILIAR",IF(F3752="NEW",IF(ISNA(VLOOKUP(E3752,#REF!,1,FALSE())),"?TYPE_IDENTIFIABLE","?REFERENTIAL"),"_")))))</f>
        <v> </v>
      </c>
      <c r="H3752" s="25" t="str">
        <f>IF(J3752&lt;&gt;1,"",IF(I3752="SBJ","CB","?"))</f>
        <v> </v>
      </c>
      <c r="I3752" s="26" t="str">
        <f>IF(OR(E3752="",E3752="!!!",F3752="NEW"),"",INDEX(B3751:B$2,-1+SUMPRODUCT(MAX(ROW(E3751:E$2)*(E3752=E3751:E$2)))))</f>
        <v> </v>
      </c>
      <c r="J3752" s="26" t="str">
        <f>IF(OR(E3752="",E3752="!!!",F3752="NEW"),"",COUNTBLANK(OFFSET(A$1,,,SUMPRODUCT(MAX(ROW(E$2:E3752)*(E3752=E$2:E3752)))))-COUNTBLANK(OFFSET(A$1,,,SUMPRODUCT(MAX(ROW(E$1:E3751)*(E2=E$1:E3751))))))</f>
        <v> </v>
      </c>
      <c r="K3752" s="26" t="str">
        <f>IF(OR(E3752="",E3752="!!!",F3752="NEW"),"",INDEX(J$1:J3751,SUMPRODUCT(MAX(ROW(E$1:E3751)*(E3752=E$1:E3751)))))</f>
        <v> </v>
      </c>
      <c r="L3752" s="27"/>
    </row>
    <row r="3753" spans="1:12">
      <c r="A3753" s="20" t="s">
        <v>456</v>
      </c>
      <c r="E3753" s="22">
        <f>IF(D3753="?OLD","!!!","")</f>
        <v/>
      </c>
      <c r="F3753" s="23" t="str">
        <f>IF(OR(E3753="",E3753="!!!"),"",IF(NOT(ISNA(VLOOKUP(E3753,E$1:E3752,1,FALSE()))),"OLD",IF(AND(E3753&lt;&gt;"",E3753&lt;&gt;"!!!"),"NEW","")))</f>
        <v> </v>
      </c>
      <c r="G3753" s="24" t="str">
        <f>IF(OR(E3753="",E3753="!!!"),"",IF(OR(J3753=0,AND(J3753=1,K3753=1),AND(J3753=1,I3753="SBJ"),AND(J3753=1,I3753=0)),"?IN_FOCUS",IF(J3753&lt;=2,"?ACTIVATED",IF(J3753&lt;&gt;"","?FAMILIAR",IF(F3753="NEW",IF(ISNA(VLOOKUP(E3753,#REF!,1,FALSE())),"?TYPE_IDENTIFIABLE","?REFERENTIAL"),"_")))))</f>
        <v> </v>
      </c>
      <c r="H3753" s="25" t="str">
        <f>IF(J3753&lt;&gt;1,"",IF(I3753="SBJ","CB","?"))</f>
        <v> </v>
      </c>
      <c r="I3753" s="26" t="str">
        <f>IF(OR(E3753="",E3753="!!!",F3753="NEW"),"",INDEX(B3752:B$2,-1+SUMPRODUCT(MAX(ROW(E3752:E$2)*(E3753=E3752:E$2)))))</f>
        <v> </v>
      </c>
      <c r="J3753" s="26" t="str">
        <f>IF(OR(E3753="",E3753="!!!",F3753="NEW"),"",COUNTBLANK(OFFSET(A$1,,,SUMPRODUCT(MAX(ROW(E$2:E3753)*(E3753=E$2:E3753)))))-COUNTBLANK(OFFSET(A$1,,,SUMPRODUCT(MAX(ROW(E$1:E3752)*(E2=E$1:E3752))))))</f>
        <v> </v>
      </c>
      <c r="K3753" s="26" t="str">
        <f>IF(OR(E3753="",E3753="!!!",F3753="NEW"),"",INDEX(J$1:J3752,SUMPRODUCT(MAX(ROW(E$1:E3752)*(E3753=E$1:E3752)))))</f>
        <v> </v>
      </c>
      <c r="L3753" s="27"/>
    </row>
    <row r="3754" spans="1:12">
      <c r="A3754" s="20" t="s">
        <v>1030</v>
      </c>
      <c r="E3754" s="22">
        <f>IF(D3754="?OLD","!!!","")</f>
        <v/>
      </c>
      <c r="F3754" s="23" t="str">
        <f>IF(OR(E3754="",E3754="!!!"),"",IF(NOT(ISNA(VLOOKUP(E3754,E$1:E3753,1,FALSE()))),"OLD",IF(AND(E3754&lt;&gt;"",E3754&lt;&gt;"!!!"),"NEW","")))</f>
        <v> </v>
      </c>
      <c r="G3754" s="24" t="str">
        <f>IF(OR(E3754="",E3754="!!!"),"",IF(OR(J3754=0,AND(J3754=1,K3754=1),AND(J3754=1,I3754="SBJ"),AND(J3754=1,I3754=0)),"?IN_FOCUS",IF(J3754&lt;=2,"?ACTIVATED",IF(J3754&lt;&gt;"","?FAMILIAR",IF(F3754="NEW",IF(ISNA(VLOOKUP(E3754,#REF!,1,FALSE())),"?TYPE_IDENTIFIABLE","?REFERENTIAL"),"_")))))</f>
        <v> </v>
      </c>
      <c r="H3754" s="25" t="str">
        <f>IF(J3754&lt;&gt;1,"",IF(I3754="SBJ","CB","?"))</f>
        <v> </v>
      </c>
      <c r="I3754" s="26" t="str">
        <f>IF(OR(E3754="",E3754="!!!",F3754="NEW"),"",INDEX(B3753:B$2,-1+SUMPRODUCT(MAX(ROW(E3753:E$2)*(E3754=E3753:E$2)))))</f>
        <v> </v>
      </c>
      <c r="J3754" s="26" t="str">
        <f>IF(OR(E3754="",E3754="!!!",F3754="NEW"),"",COUNTBLANK(OFFSET(A$1,,,SUMPRODUCT(MAX(ROW(E$2:E3754)*(E3754=E$2:E3754)))))-COUNTBLANK(OFFSET(A$1,,,SUMPRODUCT(MAX(ROW(E$1:E3753)*(E2=E$1:E3753))))))</f>
        <v> </v>
      </c>
      <c r="K3754" s="26" t="str">
        <f>IF(OR(E3754="",E3754="!!!",F3754="NEW"),"",INDEX(J$1:J3753,SUMPRODUCT(MAX(ROW(E$1:E3753)*(E3754=E$1:E3753)))))</f>
        <v> </v>
      </c>
      <c r="L3754" s="27"/>
    </row>
    <row r="3755" spans="1:12">
      <c r="A3755" s="20" t="s">
        <v>102</v>
      </c>
      <c r="E3755" s="22">
        <f>IF(D3755="?OLD","!!!","")</f>
        <v/>
      </c>
      <c r="F3755" s="23" t="str">
        <f>IF(OR(E3755="",E3755="!!!"),"",IF(NOT(ISNA(VLOOKUP(E3755,E$1:E3754,1,FALSE()))),"OLD",IF(AND(E3755&lt;&gt;"",E3755&lt;&gt;"!!!"),"NEW","")))</f>
        <v> </v>
      </c>
      <c r="G3755" s="24" t="str">
        <f>IF(OR(E3755="",E3755="!!!"),"",IF(OR(J3755=0,AND(J3755=1,K3755=1),AND(J3755=1,I3755="SBJ"),AND(J3755=1,I3755=0)),"?IN_FOCUS",IF(J3755&lt;=2,"?ACTIVATED",IF(J3755&lt;&gt;"","?FAMILIAR",IF(F3755="NEW",IF(ISNA(VLOOKUP(E3755,#REF!,1,FALSE())),"?TYPE_IDENTIFIABLE","?REFERENTIAL"),"_")))))</f>
        <v> </v>
      </c>
      <c r="H3755" s="25" t="str">
        <f>IF(J3755&lt;&gt;1,"",IF(I3755="SBJ","CB","?"))</f>
        <v> </v>
      </c>
      <c r="I3755" s="26" t="str">
        <f>IF(OR(E3755="",E3755="!!!",F3755="NEW"),"",INDEX(B3754:B$2,-1+SUMPRODUCT(MAX(ROW(E3754:E$2)*(E3755=E3754:E$2)))))</f>
        <v> </v>
      </c>
      <c r="J3755" s="26" t="str">
        <f>IF(OR(E3755="",E3755="!!!",F3755="NEW"),"",COUNTBLANK(OFFSET(A$1,,,SUMPRODUCT(MAX(ROW(E$2:E3755)*(E3755=E$2:E3755)))))-COUNTBLANK(OFFSET(A$1,,,SUMPRODUCT(MAX(ROW(E$1:E3754)*(E2=E$1:E3754))))))</f>
        <v> </v>
      </c>
      <c r="K3755" s="26" t="str">
        <f>IF(OR(E3755="",E3755="!!!",F3755="NEW"),"",INDEX(J$1:J3754,SUMPRODUCT(MAX(ROW(E$1:E3754)*(E3755=E$1:E3754)))))</f>
        <v> </v>
      </c>
      <c r="L3755" s="27"/>
    </row>
    <row r="3756" spans="1:12">
      <c r="A3756" s="20" t="s">
        <v>1156</v>
      </c>
      <c r="B3756" s="21" t="s">
        <v>1792</v>
      </c>
      <c r="C3756" s="21" t="s">
        <v>1013</v>
      </c>
      <c r="D3756" s="21" t="s">
        <v>1007</v>
      </c>
      <c r="E3756" s="22">
        <f>IF(D3756="?OLD","!!!","")</f>
        <v/>
      </c>
      <c r="F3756" s="23" t="str">
        <f>IF(OR(E3756="",E3756="!!!"),"",IF(NOT(ISNA(VLOOKUP(E3756,E$1:E3755,1,FALSE()))),"OLD",IF(AND(E3756&lt;&gt;"",E3756&lt;&gt;"!!!"),"NEW","")))</f>
        <v> </v>
      </c>
      <c r="G3756" s="24" t="str">
        <f>IF(OR(E3756="",E3756="!!!"),"",IF(OR(J3756=0,AND(J3756=1,K3756=1),AND(J3756=1,I3756="SBJ"),AND(J3756=1,I3756=0)),"?IN_FOCUS",IF(J3756&lt;=2,"?ACTIVATED",IF(J3756&lt;&gt;"","?FAMILIAR",IF(F3756="NEW",IF(ISNA(VLOOKUP(E3756,#REF!,1,FALSE())),"?TYPE_IDENTIFIABLE","?REFERENTIAL"),"_")))))</f>
        <v> </v>
      </c>
      <c r="H3756" s="25" t="str">
        <f>IF(J3756&lt;&gt;1,"",IF(I3756="SBJ","CB","?"))</f>
        <v> </v>
      </c>
      <c r="I3756" s="26" t="str">
        <f>IF(OR(E3756="",E3756="!!!",F3756="NEW"),"",INDEX(B3755:B$2,-1+SUMPRODUCT(MAX(ROW(E3755:E$2)*(E3756=E3755:E$2)))))</f>
        <v> </v>
      </c>
      <c r="J3756" s="26" t="str">
        <f>IF(OR(E3756="",E3756="!!!",F3756="NEW"),"",COUNTBLANK(OFFSET(A$1,,,SUMPRODUCT(MAX(ROW(E$2:E3756)*(E3756=E$2:E3756)))))-COUNTBLANK(OFFSET(A$1,,,SUMPRODUCT(MAX(ROW(E$1:E3755)*(E2=E$1:E3755))))))</f>
        <v> </v>
      </c>
      <c r="K3756" s="26" t="str">
        <f>IF(OR(E3756="",E3756="!!!",F3756="NEW"),"",INDEX(J$1:J3755,SUMPRODUCT(MAX(ROW(E$1:E3755)*(E3756=E$1:E3755)))))</f>
        <v> </v>
      </c>
      <c r="L3756" s="27"/>
    </row>
    <row r="3757" spans="1:12">
      <c r="A3757" s="20" t="s">
        <v>1014</v>
      </c>
      <c r="E3757" s="22">
        <f>IF(D3757="?OLD","!!!","")</f>
        <v/>
      </c>
      <c r="F3757" s="23" t="str">
        <f>IF(OR(E3757="",E3757="!!!"),"",IF(NOT(ISNA(VLOOKUP(E3757,E$1:E3756,1,FALSE()))),"OLD",IF(AND(E3757&lt;&gt;"",E3757&lt;&gt;"!!!"),"NEW","")))</f>
        <v> </v>
      </c>
      <c r="G3757" s="24" t="str">
        <f>IF(OR(E3757="",E3757="!!!"),"",IF(OR(J3757=0,AND(J3757=1,K3757=1),AND(J3757=1,I3757="SBJ"),AND(J3757=1,I3757=0)),"?IN_FOCUS",IF(J3757&lt;=2,"?ACTIVATED",IF(J3757&lt;&gt;"","?FAMILIAR",IF(F3757="NEW",IF(ISNA(VLOOKUP(E3757,#REF!,1,FALSE())),"?TYPE_IDENTIFIABLE","?REFERENTIAL"),"_")))))</f>
        <v> </v>
      </c>
      <c r="H3757" s="25" t="str">
        <f>IF(J3757&lt;&gt;1,"",IF(I3757="SBJ","CB","?"))</f>
        <v> </v>
      </c>
      <c r="I3757" s="26" t="str">
        <f>IF(OR(E3757="",E3757="!!!",F3757="NEW"),"",INDEX(B3756:B$2,-1+SUMPRODUCT(MAX(ROW(E3756:E$2)*(E3757=E3756:E$2)))))</f>
        <v> </v>
      </c>
      <c r="J3757" s="26" t="str">
        <f>IF(OR(E3757="",E3757="!!!",F3757="NEW"),"",COUNTBLANK(OFFSET(A$1,,,SUMPRODUCT(MAX(ROW(E$2:E3757)*(E3757=E$2:E3757)))))-COUNTBLANK(OFFSET(A$1,,,SUMPRODUCT(MAX(ROW(E$1:E3756)*(E2=E$1:E3756))))))</f>
        <v> </v>
      </c>
      <c r="K3757" s="26" t="str">
        <f>IF(OR(E3757="",E3757="!!!",F3757="NEW"),"",INDEX(J$1:J3756,SUMPRODUCT(MAX(ROW(E$1:E3756)*(E3757=E$1:E3756)))))</f>
        <v> </v>
      </c>
      <c r="L3757" s="27"/>
    </row>
    <row r="3758" spans="1:12">
      <c r="A3758" s="20" t="s">
        <v>1027</v>
      </c>
      <c r="E3758" s="22">
        <f>IF(D3758="?OLD","!!!","")</f>
        <v/>
      </c>
      <c r="F3758" s="23" t="str">
        <f>IF(OR(E3758="",E3758="!!!"),"",IF(NOT(ISNA(VLOOKUP(E3758,E$1:E3757,1,FALSE()))),"OLD",IF(AND(E3758&lt;&gt;"",E3758&lt;&gt;"!!!"),"NEW","")))</f>
        <v> </v>
      </c>
      <c r="G3758" s="24" t="str">
        <f>IF(OR(E3758="",E3758="!!!"),"",IF(OR(J3758=0,AND(J3758=1,K3758=1),AND(J3758=1,I3758="SBJ"),AND(J3758=1,I3758=0)),"?IN_FOCUS",IF(J3758&lt;=2,"?ACTIVATED",IF(J3758&lt;&gt;"","?FAMILIAR",IF(F3758="NEW",IF(ISNA(VLOOKUP(E3758,#REF!,1,FALSE())),"?TYPE_IDENTIFIABLE","?REFERENTIAL"),"_")))))</f>
        <v> </v>
      </c>
      <c r="H3758" s="25" t="str">
        <f>IF(J3758&lt;&gt;1,"",IF(I3758="SBJ","CB","?"))</f>
        <v> </v>
      </c>
      <c r="I3758" s="26" t="str">
        <f>IF(OR(E3758="",E3758="!!!",F3758="NEW"),"",INDEX(B3757:B$2,-1+SUMPRODUCT(MAX(ROW(E3757:E$2)*(E3758=E3757:E$2)))))</f>
        <v> </v>
      </c>
      <c r="J3758" s="26" t="str">
        <f>IF(OR(E3758="",E3758="!!!",F3758="NEW"),"",COUNTBLANK(OFFSET(A$1,,,SUMPRODUCT(MAX(ROW(E$2:E3758)*(E3758=E$2:E3758)))))-COUNTBLANK(OFFSET(A$1,,,SUMPRODUCT(MAX(ROW(E$1:E3757)*(E2=E$1:E3757))))))</f>
        <v> </v>
      </c>
      <c r="K3758" s="26" t="str">
        <f>IF(OR(E3758="",E3758="!!!",F3758="NEW"),"",INDEX(J$1:J3757,SUMPRODUCT(MAX(ROW(E$1:E3757)*(E3758=E$1:E3757)))))</f>
        <v> </v>
      </c>
      <c r="L3758" s="27"/>
    </row>
    <row r="3759" spans="1:12">
      <c r="A3759" s="20" t="s">
        <v>1602</v>
      </c>
      <c r="B3759" s="21" t="s">
        <v>1793</v>
      </c>
      <c r="C3759" s="21" t="s">
        <v>1017</v>
      </c>
      <c r="D3759" s="21" t="s">
        <v>1007</v>
      </c>
      <c r="E3759" s="22">
        <f>IF(D3759="?OLD","!!!","")</f>
        <v/>
      </c>
      <c r="F3759" s="23" t="str">
        <f>IF(OR(E3759="",E3759="!!!"),"",IF(NOT(ISNA(VLOOKUP(E3759,E$1:E3758,1,FALSE()))),"OLD",IF(AND(E3759&lt;&gt;"",E3759&lt;&gt;"!!!"),"NEW","")))</f>
        <v> </v>
      </c>
      <c r="G3759" s="24" t="str">
        <f>IF(OR(E3759="",E3759="!!!"),"",IF(OR(J3759=0,AND(J3759=1,K3759=1),AND(J3759=1,I3759="SBJ"),AND(J3759=1,I3759=0)),"?IN_FOCUS",IF(J3759&lt;=2,"?ACTIVATED",IF(J3759&lt;&gt;"","?FAMILIAR",IF(F3759="NEW",IF(ISNA(VLOOKUP(E3759,#REF!,1,FALSE())),"?TYPE_IDENTIFIABLE","?REFERENTIAL"),"_")))))</f>
        <v> </v>
      </c>
      <c r="H3759" s="25" t="str">
        <f>IF(J3759&lt;&gt;1,"",IF(I3759="SBJ","CB","?"))</f>
        <v> </v>
      </c>
      <c r="I3759" s="26" t="str">
        <f>IF(OR(E3759="",E3759="!!!",F3759="NEW"),"",INDEX(B3758:B$2,-1+SUMPRODUCT(MAX(ROW(E3758:E$2)*(E3759=E3758:E$2)))))</f>
        <v> </v>
      </c>
      <c r="J3759" s="26" t="str">
        <f>IF(OR(E3759="",E3759="!!!",F3759="NEW"),"",COUNTBLANK(OFFSET(A$1,,,SUMPRODUCT(MAX(ROW(E$2:E3759)*(E3759=E$2:E3759)))))-COUNTBLANK(OFFSET(A$1,,,SUMPRODUCT(MAX(ROW(E$1:E3758)*(E2=E$1:E3758))))))</f>
        <v> </v>
      </c>
      <c r="K3759" s="26" t="str">
        <f>IF(OR(E3759="",E3759="!!!",F3759="NEW"),"",INDEX(J$1:J3758,SUMPRODUCT(MAX(ROW(E$1:E3758)*(E3759=E$1:E3758)))))</f>
        <v> </v>
      </c>
      <c r="L3759" s="27"/>
    </row>
    <row r="3760" spans="1:12">
      <c r="A3760" s="20" t="s">
        <v>2120</v>
      </c>
      <c r="E3760" s="22">
        <f>IF(D3760="?OLD","!!!","")</f>
        <v/>
      </c>
      <c r="F3760" s="23" t="str">
        <f>IF(OR(E3760="",E3760="!!!"),"",IF(NOT(ISNA(VLOOKUP(E3760,E$1:E3759,1,FALSE()))),"OLD",IF(AND(E3760&lt;&gt;"",E3760&lt;&gt;"!!!"),"NEW","")))</f>
        <v> </v>
      </c>
      <c r="G3760" s="24" t="str">
        <f>IF(OR(E3760="",E3760="!!!"),"",IF(OR(J3760=0,AND(J3760=1,K3760=1),AND(J3760=1,I3760="SBJ"),AND(J3760=1,I3760=0)),"?IN_FOCUS",IF(J3760&lt;=2,"?ACTIVATED",IF(J3760&lt;&gt;"","?FAMILIAR",IF(F3760="NEW",IF(ISNA(VLOOKUP(E3760,#REF!,1,FALSE())),"?TYPE_IDENTIFIABLE","?REFERENTIAL"),"_")))))</f>
        <v> </v>
      </c>
      <c r="H3760" s="25" t="str">
        <f>IF(J3760&lt;&gt;1,"",IF(I3760="SBJ","CB","?"))</f>
        <v> </v>
      </c>
      <c r="I3760" s="26" t="str">
        <f>IF(OR(E3760="",E3760="!!!",F3760="NEW"),"",INDEX(B3759:B$2,-1+SUMPRODUCT(MAX(ROW(E3759:E$2)*(E3760=E3759:E$2)))))</f>
        <v> </v>
      </c>
      <c r="J3760" s="26" t="str">
        <f>IF(OR(E3760="",E3760="!!!",F3760="NEW"),"",COUNTBLANK(OFFSET(A$1,,,SUMPRODUCT(MAX(ROW(E$2:E3760)*(E3760=E$2:E3760)))))-COUNTBLANK(OFFSET(A$1,,,SUMPRODUCT(MAX(ROW(E$1:E3759)*(E2=E$1:E3759))))))</f>
        <v> </v>
      </c>
      <c r="K3760" s="26" t="str">
        <f>IF(OR(E3760="",E3760="!!!",F3760="NEW"),"",INDEX(J$1:J3759,SUMPRODUCT(MAX(ROW(E$1:E3759)*(E3760=E$1:E3759)))))</f>
        <v> </v>
      </c>
      <c r="L3760" s="27"/>
    </row>
    <row r="3761" spans="1:12">
      <c r="A3761" s="20" t="s">
        <v>1023</v>
      </c>
      <c r="E3761" s="22">
        <f>IF(D3761="?OLD","!!!","")</f>
        <v/>
      </c>
      <c r="F3761" s="23" t="str">
        <f>IF(OR(E3761="",E3761="!!!"),"",IF(NOT(ISNA(VLOOKUP(E3761,E$1:E3760,1,FALSE()))),"OLD",IF(AND(E3761&lt;&gt;"",E3761&lt;&gt;"!!!"),"NEW","")))</f>
        <v> </v>
      </c>
      <c r="G3761" s="24" t="str">
        <f>IF(OR(E3761="",E3761="!!!"),"",IF(OR(J3761=0,AND(J3761=1,K3761=1),AND(J3761=1,I3761="SBJ"),AND(J3761=1,I3761=0)),"?IN_FOCUS",IF(J3761&lt;=2,"?ACTIVATED",IF(J3761&lt;&gt;"","?FAMILIAR",IF(F3761="NEW",IF(ISNA(VLOOKUP(E3761,#REF!,1,FALSE())),"?TYPE_IDENTIFIABLE","?REFERENTIAL"),"_")))))</f>
        <v> </v>
      </c>
      <c r="H3761" s="25" t="str">
        <f>IF(J3761&lt;&gt;1,"",IF(I3761="SBJ","CB","?"))</f>
        <v> </v>
      </c>
      <c r="I3761" s="26" t="str">
        <f>IF(OR(E3761="",E3761="!!!",F3761="NEW"),"",INDEX(B3760:B$2,-1+SUMPRODUCT(MAX(ROW(E3760:E$2)*(E3761=E3760:E$2)))))</f>
        <v> </v>
      </c>
      <c r="J3761" s="26" t="str">
        <f>IF(OR(E3761="",E3761="!!!",F3761="NEW"),"",COUNTBLANK(OFFSET(A$1,,,SUMPRODUCT(MAX(ROW(E$2:E3761)*(E3761=E$2:E3761)))))-COUNTBLANK(OFFSET(A$1,,,SUMPRODUCT(MAX(ROW(E$1:E3760)*(E2=E$1:E3760))))))</f>
        <v> </v>
      </c>
      <c r="K3761" s="26" t="str">
        <f>IF(OR(E3761="",E3761="!!!",F3761="NEW"),"",INDEX(J$1:J3760,SUMPRODUCT(MAX(ROW(E$1:E3760)*(E3761=E$1:E3760)))))</f>
        <v> </v>
      </c>
      <c r="L3761" s="27"/>
    </row>
    <row r="3762" spans="1:12">
      <c r="A3762" s="20"/>
    </row>
    <row r="3763" spans="1:12">
      <c r="A3763" s="20" t="s">
        <v>2121</v>
      </c>
    </row>
    <row r="3764" spans="1:12">
      <c r="A3764" s="20" t="s">
        <v>1175</v>
      </c>
      <c r="E3764" s="22">
        <f>IF(D3764="?OLD","!!!","")</f>
        <v/>
      </c>
      <c r="F3764" s="23" t="str">
        <f>IF(OR(E3764="",E3764="!!!"),"",IF(NOT(ISNA(VLOOKUP(E3764,E$1:E3763,1,FALSE()))),"OLD",IF(AND(E3764&lt;&gt;"",E3764&lt;&gt;"!!!"),"NEW","")))</f>
        <v> </v>
      </c>
      <c r="G3764" s="24" t="str">
        <f>IF(OR(E3764="",E3764="!!!"),"",IF(OR(J3764=0,AND(J3764=1,K3764=1),AND(J3764=1,I3764="SBJ"),AND(J3764=1,I3764=0)),"?IN_FOCUS",IF(J3764&lt;=2,"?ACTIVATED",IF(J3764&lt;&gt;"","?FAMILIAR",IF(F3764="NEW",IF(ISNA(VLOOKUP(E3764,#REF!,1,FALSE())),"?TYPE_IDENTIFIABLE","?REFERENTIAL"),"_")))))</f>
        <v> </v>
      </c>
      <c r="H3764" s="25" t="str">
        <f>IF(J3764&lt;&gt;1,"",IF(I3764="SBJ","CB","?"))</f>
        <v> </v>
      </c>
      <c r="I3764" s="26" t="str">
        <f>IF(OR(E3764="",E3764="!!!",F3764="NEW"),"",INDEX(B3763:B$2,-1+SUMPRODUCT(MAX(ROW(E3763:E$2)*(E3764=E3763:E$2)))))</f>
        <v> </v>
      </c>
      <c r="J3764" s="26" t="str">
        <f>IF(OR(E3764="",E3764="!!!",F3764="NEW"),"",COUNTBLANK(OFFSET(A$1,,,SUMPRODUCT(MAX(ROW(E$2:E3764)*(E3764=E$2:E3764)))))-COUNTBLANK(OFFSET(A$1,,,SUMPRODUCT(MAX(ROW(E$1:E3763)*(E2=E$1:E3763))))))</f>
        <v> </v>
      </c>
      <c r="K3764" s="26" t="str">
        <f>IF(OR(E3764="",E3764="!!!",F3764="NEW"),"",INDEX(J$1:J3763,SUMPRODUCT(MAX(ROW(E$1:E3763)*(E3764=E$1:E3763)))))</f>
        <v> </v>
      </c>
      <c r="L3764" s="27"/>
    </row>
    <row r="3765" spans="1:12">
      <c r="A3765" s="20" t="s">
        <v>1140</v>
      </c>
      <c r="B3765" s="21" t="s">
        <v>1050</v>
      </c>
      <c r="C3765" s="21" t="s">
        <v>1073</v>
      </c>
      <c r="D3765" s="21" t="s">
        <v>1007</v>
      </c>
      <c r="E3765" s="22">
        <f>IF(D3765="?OLD","!!!","")</f>
        <v/>
      </c>
      <c r="F3765" s="23" t="str">
        <f>IF(OR(E3765="",E3765="!!!"),"",IF(NOT(ISNA(VLOOKUP(E3765,E$1:E3764,1,FALSE()))),"OLD",IF(AND(E3765&lt;&gt;"",E3765&lt;&gt;"!!!"),"NEW","")))</f>
        <v> </v>
      </c>
      <c r="G3765" s="24" t="str">
        <f>IF(OR(E3765="",E3765="!!!"),"",IF(OR(J3765=0,AND(J3765=1,K3765=1),AND(J3765=1,I3765="SBJ"),AND(J3765=1,I3765=0)),"?IN_FOCUS",IF(J3765&lt;=2,"?ACTIVATED",IF(J3765&lt;&gt;"","?FAMILIAR",IF(F3765="NEW",IF(ISNA(VLOOKUP(E3765,#REF!,1,FALSE())),"?TYPE_IDENTIFIABLE","?REFERENTIAL"),"_")))))</f>
        <v> </v>
      </c>
      <c r="H3765" s="25" t="str">
        <f>IF(J3765&lt;&gt;1,"",IF(I3765="SBJ","CB","?"))</f>
        <v> </v>
      </c>
      <c r="I3765" s="26" t="str">
        <f>IF(OR(E3765="",E3765="!!!",F3765="NEW"),"",INDEX(B3764:B$2,-1+SUMPRODUCT(MAX(ROW(E3764:E$2)*(E3765=E3764:E$2)))))</f>
        <v> </v>
      </c>
      <c r="J3765" s="26" t="str">
        <f>IF(OR(E3765="",E3765="!!!",F3765="NEW"),"",COUNTBLANK(OFFSET(A$1,,,SUMPRODUCT(MAX(ROW(E$2:E3765)*(E3765=E$2:E3765)))))-COUNTBLANK(OFFSET(A$1,,,SUMPRODUCT(MAX(ROW(E$1:E3764)*(E2=E$1:E3764))))))</f>
        <v> </v>
      </c>
      <c r="K3765" s="26" t="str">
        <f>IF(OR(E3765="",E3765="!!!",F3765="NEW"),"",INDEX(J$1:J3764,SUMPRODUCT(MAX(ROW(E$1:E3764)*(E3765=E$1:E3764)))))</f>
        <v> </v>
      </c>
      <c r="L3765" s="27"/>
    </row>
    <row r="3766" spans="1:12">
      <c r="A3766" s="20" t="s">
        <v>1075</v>
      </c>
      <c r="E3766" s="22">
        <f>IF(D3766="?OLD","!!!","")</f>
        <v/>
      </c>
      <c r="F3766" s="23" t="str">
        <f>IF(OR(E3766="",E3766="!!!"),"",IF(NOT(ISNA(VLOOKUP(E3766,E$1:E3765,1,FALSE()))),"OLD",IF(AND(E3766&lt;&gt;"",E3766&lt;&gt;"!!!"),"NEW","")))</f>
        <v> </v>
      </c>
      <c r="G3766" s="24" t="str">
        <f>IF(OR(E3766="",E3766="!!!"),"",IF(OR(J3766=0,AND(J3766=1,K3766=1),AND(J3766=1,I3766="SBJ"),AND(J3766=1,I3766=0)),"?IN_FOCUS",IF(J3766&lt;=2,"?ACTIVATED",IF(J3766&lt;&gt;"","?FAMILIAR",IF(F3766="NEW",IF(ISNA(VLOOKUP(E3766,#REF!,1,FALSE())),"?TYPE_IDENTIFIABLE","?REFERENTIAL"),"_")))))</f>
        <v> </v>
      </c>
      <c r="H3766" s="25" t="str">
        <f>IF(J3766&lt;&gt;1,"",IF(I3766="SBJ","CB","?"))</f>
        <v> </v>
      </c>
      <c r="I3766" s="26" t="str">
        <f>IF(OR(E3766="",E3766="!!!",F3766="NEW"),"",INDEX(B3765:B$2,-1+SUMPRODUCT(MAX(ROW(E3765:E$2)*(E3766=E3765:E$2)))))</f>
        <v> </v>
      </c>
      <c r="J3766" s="26" t="str">
        <f>IF(OR(E3766="",E3766="!!!",F3766="NEW"),"",COUNTBLANK(OFFSET(A$1,,,SUMPRODUCT(MAX(ROW(E$2:E3766)*(E3766=E$2:E3766)))))-COUNTBLANK(OFFSET(A$1,,,SUMPRODUCT(MAX(ROW(E$1:E3765)*(E2=E$1:E3765))))))</f>
        <v> </v>
      </c>
      <c r="K3766" s="26" t="str">
        <f>IF(OR(E3766="",E3766="!!!",F3766="NEW"),"",INDEX(J$1:J3765,SUMPRODUCT(MAX(ROW(E$1:E3765)*(E3766=E$1:E3765)))))</f>
        <v> </v>
      </c>
      <c r="L3766" s="27"/>
    </row>
    <row r="3767" spans="1:12">
      <c r="A3767" s="20" t="s">
        <v>1151</v>
      </c>
      <c r="E3767" s="22">
        <f>IF(D3767="?OLD","!!!","")</f>
        <v/>
      </c>
      <c r="F3767" s="23" t="str">
        <f>IF(OR(E3767="",E3767="!!!"),"",IF(NOT(ISNA(VLOOKUP(E3767,E$1:E3766,1,FALSE()))),"OLD",IF(AND(E3767&lt;&gt;"",E3767&lt;&gt;"!!!"),"NEW","")))</f>
        <v> </v>
      </c>
      <c r="G3767" s="24" t="str">
        <f>IF(OR(E3767="",E3767="!!!"),"",IF(OR(J3767=0,AND(J3767=1,K3767=1),AND(J3767=1,I3767="SBJ"),AND(J3767=1,I3767=0)),"?IN_FOCUS",IF(J3767&lt;=2,"?ACTIVATED",IF(J3767&lt;&gt;"","?FAMILIAR",IF(F3767="NEW",IF(ISNA(VLOOKUP(E3767,#REF!,1,FALSE())),"?TYPE_IDENTIFIABLE","?REFERENTIAL"),"_")))))</f>
        <v> </v>
      </c>
      <c r="H3767" s="25" t="str">
        <f>IF(J3767&lt;&gt;1,"",IF(I3767="SBJ","CB","?"))</f>
        <v> </v>
      </c>
      <c r="I3767" s="26" t="str">
        <f>IF(OR(E3767="",E3767="!!!",F3767="NEW"),"",INDEX(B3766:B$2,-1+SUMPRODUCT(MAX(ROW(E3766:E$2)*(E3767=E3766:E$2)))))</f>
        <v> </v>
      </c>
      <c r="J3767" s="26" t="str">
        <f>IF(OR(E3767="",E3767="!!!",F3767="NEW"),"",COUNTBLANK(OFFSET(A$1,,,SUMPRODUCT(MAX(ROW(E$2:E3767)*(E3767=E$2:E3767)))))-COUNTBLANK(OFFSET(A$1,,,SUMPRODUCT(MAX(ROW(E$1:E3766)*(E2=E$1:E3766))))))</f>
        <v> </v>
      </c>
      <c r="K3767" s="26" t="str">
        <f>IF(OR(E3767="",E3767="!!!",F3767="NEW"),"",INDEX(J$1:J3766,SUMPRODUCT(MAX(ROW(E$1:E3766)*(E3767=E$1:E3766)))))</f>
        <v> </v>
      </c>
      <c r="L3767" s="27"/>
    </row>
    <row r="3768" spans="1:12">
      <c r="A3768" s="20" t="s">
        <v>1476</v>
      </c>
      <c r="E3768" s="22">
        <f>IF(D3768="?OLD","!!!","")</f>
        <v/>
      </c>
      <c r="F3768" s="23" t="str">
        <f>IF(OR(E3768="",E3768="!!!"),"",IF(NOT(ISNA(VLOOKUP(E3768,E$1:E3767,1,FALSE()))),"OLD",IF(AND(E3768&lt;&gt;"",E3768&lt;&gt;"!!!"),"NEW","")))</f>
        <v> </v>
      </c>
      <c r="G3768" s="24" t="str">
        <f>IF(OR(E3768="",E3768="!!!"),"",IF(OR(J3768=0,AND(J3768=1,K3768=1),AND(J3768=1,I3768="SBJ"),AND(J3768=1,I3768=0)),"?IN_FOCUS",IF(J3768&lt;=2,"?ACTIVATED",IF(J3768&lt;&gt;"","?FAMILIAR",IF(F3768="NEW",IF(ISNA(VLOOKUP(E3768,#REF!,1,FALSE())),"?TYPE_IDENTIFIABLE","?REFERENTIAL"),"_")))))</f>
        <v> </v>
      </c>
      <c r="H3768" s="25" t="str">
        <f>IF(J3768&lt;&gt;1,"",IF(I3768="SBJ","CB","?"))</f>
        <v> </v>
      </c>
      <c r="I3768" s="26" t="str">
        <f>IF(OR(E3768="",E3768="!!!",F3768="NEW"),"",INDEX(B3767:B$2,-1+SUMPRODUCT(MAX(ROW(E3767:E$2)*(E3768=E3767:E$2)))))</f>
        <v> </v>
      </c>
      <c r="J3768" s="26" t="str">
        <f>IF(OR(E3768="",E3768="!!!",F3768="NEW"),"",COUNTBLANK(OFFSET(A$1,,,SUMPRODUCT(MAX(ROW(E$2:E3768)*(E3768=E$2:E3768)))))-COUNTBLANK(OFFSET(A$1,,,SUMPRODUCT(MAX(ROW(E$1:E3767)*(E2=E$1:E3767))))))</f>
        <v> </v>
      </c>
      <c r="K3768" s="26" t="str">
        <f>IF(OR(E3768="",E3768="!!!",F3768="NEW"),"",INDEX(J$1:J3767,SUMPRODUCT(MAX(ROW(E$1:E3767)*(E3768=E$1:E3767)))))</f>
        <v> </v>
      </c>
      <c r="L3768" s="27"/>
    </row>
    <row r="3769" spans="1:12">
      <c r="A3769" s="20" t="s">
        <v>2122</v>
      </c>
      <c r="E3769" s="22">
        <f>IF(D3769="?OLD","!!!","")</f>
        <v/>
      </c>
      <c r="F3769" s="23" t="str">
        <f>IF(OR(E3769="",E3769="!!!"),"",IF(NOT(ISNA(VLOOKUP(E3769,E$1:E3768,1,FALSE()))),"OLD",IF(AND(E3769&lt;&gt;"",E3769&lt;&gt;"!!!"),"NEW","")))</f>
        <v> </v>
      </c>
      <c r="G3769" s="24" t="str">
        <f>IF(OR(E3769="",E3769="!!!"),"",IF(OR(J3769=0,AND(J3769=1,K3769=1),AND(J3769=1,I3769="SBJ"),AND(J3769=1,I3769=0)),"?IN_FOCUS",IF(J3769&lt;=2,"?ACTIVATED",IF(J3769&lt;&gt;"","?FAMILIAR",IF(F3769="NEW",IF(ISNA(VLOOKUP(E3769,#REF!,1,FALSE())),"?TYPE_IDENTIFIABLE","?REFERENTIAL"),"_")))))</f>
        <v> </v>
      </c>
      <c r="H3769" s="25" t="str">
        <f>IF(J3769&lt;&gt;1,"",IF(I3769="SBJ","CB","?"))</f>
        <v> </v>
      </c>
      <c r="I3769" s="26" t="str">
        <f>IF(OR(E3769="",E3769="!!!",F3769="NEW"),"",INDEX(B3768:B$2,-1+SUMPRODUCT(MAX(ROW(E3768:E$2)*(E3769=E3768:E$2)))))</f>
        <v> </v>
      </c>
      <c r="J3769" s="26" t="str">
        <f>IF(OR(E3769="",E3769="!!!",F3769="NEW"),"",COUNTBLANK(OFFSET(A$1,,,SUMPRODUCT(MAX(ROW(E$2:E3769)*(E3769=E$2:E3769)))))-COUNTBLANK(OFFSET(A$1,,,SUMPRODUCT(MAX(ROW(E$1:E3768)*(E2=E$1:E3768))))))</f>
        <v> </v>
      </c>
      <c r="K3769" s="26" t="str">
        <f>IF(OR(E3769="",E3769="!!!",F3769="NEW"),"",INDEX(J$1:J3768,SUMPRODUCT(MAX(ROW(E$1:E3768)*(E3769=E$1:E3768)))))</f>
        <v> </v>
      </c>
      <c r="L3769" s="27"/>
    </row>
    <row r="3770" spans="1:12">
      <c r="A3770" s="20" t="s">
        <v>1299</v>
      </c>
      <c r="E3770" s="22">
        <f>IF(D3770="?OLD","!!!","")</f>
        <v/>
      </c>
      <c r="F3770" s="23" t="str">
        <f>IF(OR(E3770="",E3770="!!!"),"",IF(NOT(ISNA(VLOOKUP(E3770,E$1:E3769,1,FALSE()))),"OLD",IF(AND(E3770&lt;&gt;"",E3770&lt;&gt;"!!!"),"NEW","")))</f>
        <v> </v>
      </c>
      <c r="G3770" s="24" t="str">
        <f>IF(OR(E3770="",E3770="!!!"),"",IF(OR(J3770=0,AND(J3770=1,K3770=1),AND(J3770=1,I3770="SBJ"),AND(J3770=1,I3770=0)),"?IN_FOCUS",IF(J3770&lt;=2,"?ACTIVATED",IF(J3770&lt;&gt;"","?FAMILIAR",IF(F3770="NEW",IF(ISNA(VLOOKUP(E3770,#REF!,1,FALSE())),"?TYPE_IDENTIFIABLE","?REFERENTIAL"),"_")))))</f>
        <v> </v>
      </c>
      <c r="H3770" s="25" t="str">
        <f>IF(J3770&lt;&gt;1,"",IF(I3770="SBJ","CB","?"))</f>
        <v> </v>
      </c>
      <c r="I3770" s="26" t="str">
        <f>IF(OR(E3770="",E3770="!!!",F3770="NEW"),"",INDEX(B3769:B$2,-1+SUMPRODUCT(MAX(ROW(E3769:E$2)*(E3770=E3769:E$2)))))</f>
        <v> </v>
      </c>
      <c r="J3770" s="26" t="str">
        <f>IF(OR(E3770="",E3770="!!!",F3770="NEW"),"",COUNTBLANK(OFFSET(A$1,,,SUMPRODUCT(MAX(ROW(E$2:E3770)*(E3770=E$2:E3770)))))-COUNTBLANK(OFFSET(A$1,,,SUMPRODUCT(MAX(ROW(E$1:E3769)*(E2=E$1:E3769))))))</f>
        <v> </v>
      </c>
      <c r="K3770" s="26" t="str">
        <f>IF(OR(E3770="",E3770="!!!",F3770="NEW"),"",INDEX(J$1:J3769,SUMPRODUCT(MAX(ROW(E$1:E3769)*(E3770=E$1:E3769)))))</f>
        <v> </v>
      </c>
      <c r="L3770" s="27"/>
    </row>
    <row r="3771" spans="1:12">
      <c r="A3771" s="20" t="s">
        <v>1018</v>
      </c>
      <c r="E3771" s="22">
        <f>IF(D3771="?OLD","!!!","")</f>
        <v/>
      </c>
      <c r="F3771" s="23" t="str">
        <f>IF(OR(E3771="",E3771="!!!"),"",IF(NOT(ISNA(VLOOKUP(E3771,E$1:E3770,1,FALSE()))),"OLD",IF(AND(E3771&lt;&gt;"",E3771&lt;&gt;"!!!"),"NEW","")))</f>
        <v> </v>
      </c>
      <c r="G3771" s="24" t="str">
        <f>IF(OR(E3771="",E3771="!!!"),"",IF(OR(J3771=0,AND(J3771=1,K3771=1),AND(J3771=1,I3771="SBJ"),AND(J3771=1,I3771=0)),"?IN_FOCUS",IF(J3771&lt;=2,"?ACTIVATED",IF(J3771&lt;&gt;"","?FAMILIAR",IF(F3771="NEW",IF(ISNA(VLOOKUP(E3771,#REF!,1,FALSE())),"?TYPE_IDENTIFIABLE","?REFERENTIAL"),"_")))))</f>
        <v> </v>
      </c>
      <c r="H3771" s="25" t="str">
        <f>IF(J3771&lt;&gt;1,"",IF(I3771="SBJ","CB","?"))</f>
        <v> </v>
      </c>
      <c r="I3771" s="26" t="str">
        <f>IF(OR(E3771="",E3771="!!!",F3771="NEW"),"",INDEX(B3770:B$2,-1+SUMPRODUCT(MAX(ROW(E3770:E$2)*(E3771=E3770:E$2)))))</f>
        <v> </v>
      </c>
      <c r="J3771" s="26" t="str">
        <f>IF(OR(E3771="",E3771="!!!",F3771="NEW"),"",COUNTBLANK(OFFSET(A$1,,,SUMPRODUCT(MAX(ROW(E$2:E3771)*(E3771=E$2:E3771)))))-COUNTBLANK(OFFSET(A$1,,,SUMPRODUCT(MAX(ROW(E$1:E3770)*(E2=E$1:E3770))))))</f>
        <v> </v>
      </c>
      <c r="K3771" s="26" t="str">
        <f>IF(OR(E3771="",E3771="!!!",F3771="NEW"),"",INDEX(J$1:J3770,SUMPRODUCT(MAX(ROW(E$1:E3770)*(E3771=E$1:E3770)))))</f>
        <v> </v>
      </c>
      <c r="L3771" s="27"/>
    </row>
    <row r="3772" spans="1:12">
      <c r="A3772" s="20" t="s">
        <v>1114</v>
      </c>
      <c r="E3772" s="22">
        <f>IF(D3772="?OLD","!!!","")</f>
        <v/>
      </c>
      <c r="F3772" s="23" t="str">
        <f>IF(OR(E3772="",E3772="!!!"),"",IF(NOT(ISNA(VLOOKUP(E3772,E$1:E3771,1,FALSE()))),"OLD",IF(AND(E3772&lt;&gt;"",E3772&lt;&gt;"!!!"),"NEW","")))</f>
        <v> </v>
      </c>
      <c r="G3772" s="24" t="str">
        <f>IF(OR(E3772="",E3772="!!!"),"",IF(OR(J3772=0,AND(J3772=1,K3772=1),AND(J3772=1,I3772="SBJ"),AND(J3772=1,I3772=0)),"?IN_FOCUS",IF(J3772&lt;=2,"?ACTIVATED",IF(J3772&lt;&gt;"","?FAMILIAR",IF(F3772="NEW",IF(ISNA(VLOOKUP(E3772,#REF!,1,FALSE())),"?TYPE_IDENTIFIABLE","?REFERENTIAL"),"_")))))</f>
        <v> </v>
      </c>
      <c r="H3772" s="25" t="str">
        <f>IF(J3772&lt;&gt;1,"",IF(I3772="SBJ","CB","?"))</f>
        <v> </v>
      </c>
      <c r="I3772" s="26" t="str">
        <f>IF(OR(E3772="",E3772="!!!",F3772="NEW"),"",INDEX(B3771:B$2,-1+SUMPRODUCT(MAX(ROW(E3771:E$2)*(E3772=E3771:E$2)))))</f>
        <v> </v>
      </c>
      <c r="J3772" s="26" t="str">
        <f>IF(OR(E3772="",E3772="!!!",F3772="NEW"),"",COUNTBLANK(OFFSET(A$1,,,SUMPRODUCT(MAX(ROW(E$2:E3772)*(E3772=E$2:E3772)))))-COUNTBLANK(OFFSET(A$1,,,SUMPRODUCT(MAX(ROW(E$1:E3771)*(E2=E$1:E3771))))))</f>
        <v> </v>
      </c>
      <c r="K3772" s="26" t="str">
        <f>IF(OR(E3772="",E3772="!!!",F3772="NEW"),"",INDEX(J$1:J3771,SUMPRODUCT(MAX(ROW(E$1:E3771)*(E3772=E$1:E3771)))))</f>
        <v> </v>
      </c>
      <c r="L3772" s="27"/>
    </row>
    <row r="3773" spans="1:12">
      <c r="A3773" s="20" t="s">
        <v>2123</v>
      </c>
      <c r="E3773" s="22">
        <f>IF(D3773="?OLD","!!!","")</f>
        <v/>
      </c>
      <c r="F3773" s="23" t="str">
        <f>IF(OR(E3773="",E3773="!!!"),"",IF(NOT(ISNA(VLOOKUP(E3773,E$1:E3772,1,FALSE()))),"OLD",IF(AND(E3773&lt;&gt;"",E3773&lt;&gt;"!!!"),"NEW","")))</f>
        <v> </v>
      </c>
      <c r="G3773" s="24" t="str">
        <f>IF(OR(E3773="",E3773="!!!"),"",IF(OR(J3773=0,AND(J3773=1,K3773=1),AND(J3773=1,I3773="SBJ"),AND(J3773=1,I3773=0)),"?IN_FOCUS",IF(J3773&lt;=2,"?ACTIVATED",IF(J3773&lt;&gt;"","?FAMILIAR",IF(F3773="NEW",IF(ISNA(VLOOKUP(E3773,#REF!,1,FALSE())),"?TYPE_IDENTIFIABLE","?REFERENTIAL"),"_")))))</f>
        <v> </v>
      </c>
      <c r="H3773" s="25" t="str">
        <f>IF(J3773&lt;&gt;1,"",IF(I3773="SBJ","CB","?"))</f>
        <v> </v>
      </c>
      <c r="I3773" s="26" t="str">
        <f>IF(OR(E3773="",E3773="!!!",F3773="NEW"),"",INDEX(B3772:B$2,-1+SUMPRODUCT(MAX(ROW(E3772:E$2)*(E3773=E3772:E$2)))))</f>
        <v> </v>
      </c>
      <c r="J3773" s="26" t="str">
        <f>IF(OR(E3773="",E3773="!!!",F3773="NEW"),"",COUNTBLANK(OFFSET(A$1,,,SUMPRODUCT(MAX(ROW(E$2:E3773)*(E3773=E$2:E3773)))))-COUNTBLANK(OFFSET(A$1,,,SUMPRODUCT(MAX(ROW(E$1:E3772)*(E2=E$1:E3772))))))</f>
        <v> </v>
      </c>
      <c r="K3773" s="26" t="str">
        <f>IF(OR(E3773="",E3773="!!!",F3773="NEW"),"",INDEX(J$1:J3772,SUMPRODUCT(MAX(ROW(E$1:E3772)*(E3773=E$1:E3772)))))</f>
        <v> </v>
      </c>
      <c r="L3773" s="27"/>
    </row>
    <row r="3774" spans="1:12">
      <c r="A3774" s="20" t="s">
        <v>1056</v>
      </c>
      <c r="E3774" s="22">
        <f>IF(D3774="?OLD","!!!","")</f>
        <v/>
      </c>
      <c r="F3774" s="23" t="str">
        <f>IF(OR(E3774="",E3774="!!!"),"",IF(NOT(ISNA(VLOOKUP(E3774,E$1:E3773,1,FALSE()))),"OLD",IF(AND(E3774&lt;&gt;"",E3774&lt;&gt;"!!!"),"NEW","")))</f>
        <v> </v>
      </c>
      <c r="G3774" s="24" t="str">
        <f>IF(OR(E3774="",E3774="!!!"),"",IF(OR(J3774=0,AND(J3774=1,K3774=1),AND(J3774=1,I3774="SBJ"),AND(J3774=1,I3774=0)),"?IN_FOCUS",IF(J3774&lt;=2,"?ACTIVATED",IF(J3774&lt;&gt;"","?FAMILIAR",IF(F3774="NEW",IF(ISNA(VLOOKUP(E3774,#REF!,1,FALSE())),"?TYPE_IDENTIFIABLE","?REFERENTIAL"),"_")))))</f>
        <v> </v>
      </c>
      <c r="H3774" s="25" t="str">
        <f>IF(J3774&lt;&gt;1,"",IF(I3774="SBJ","CB","?"))</f>
        <v> </v>
      </c>
      <c r="I3774" s="26" t="str">
        <f>IF(OR(E3774="",E3774="!!!",F3774="NEW"),"",INDEX(B3773:B$2,-1+SUMPRODUCT(MAX(ROW(E3773:E$2)*(E3774=E3773:E$2)))))</f>
        <v> </v>
      </c>
      <c r="J3774" s="26" t="str">
        <f>IF(OR(E3774="",E3774="!!!",F3774="NEW"),"",COUNTBLANK(OFFSET(A$1,,,SUMPRODUCT(MAX(ROW(E$2:E3774)*(E3774=E$2:E3774)))))-COUNTBLANK(OFFSET(A$1,,,SUMPRODUCT(MAX(ROW(E$1:E3773)*(E2=E$1:E3773))))))</f>
        <v> </v>
      </c>
      <c r="K3774" s="26" t="str">
        <f>IF(OR(E3774="",E3774="!!!",F3774="NEW"),"",INDEX(J$1:J3773,SUMPRODUCT(MAX(ROW(E$1:E3773)*(E3774=E$1:E3773)))))</f>
        <v> </v>
      </c>
      <c r="L3774" s="27"/>
    </row>
    <row r="3775" spans="1:12">
      <c r="A3775" s="20" t="s">
        <v>2124</v>
      </c>
      <c r="E3775" s="22">
        <f>IF(D3775="?OLD","!!!","")</f>
        <v/>
      </c>
      <c r="F3775" s="23" t="str">
        <f>IF(OR(E3775="",E3775="!!!"),"",IF(NOT(ISNA(VLOOKUP(E3775,E$1:E3774,1,FALSE()))),"OLD",IF(AND(E3775&lt;&gt;"",E3775&lt;&gt;"!!!"),"NEW","")))</f>
        <v> </v>
      </c>
      <c r="G3775" s="24" t="str">
        <f>IF(OR(E3775="",E3775="!!!"),"",IF(OR(J3775=0,AND(J3775=1,K3775=1),AND(J3775=1,I3775="SBJ"),AND(J3775=1,I3775=0)),"?IN_FOCUS",IF(J3775&lt;=2,"?ACTIVATED",IF(J3775&lt;&gt;"","?FAMILIAR",IF(F3775="NEW",IF(ISNA(VLOOKUP(E3775,#REF!,1,FALSE())),"?TYPE_IDENTIFIABLE","?REFERENTIAL"),"_")))))</f>
        <v> </v>
      </c>
      <c r="H3775" s="25" t="str">
        <f>IF(J3775&lt;&gt;1,"",IF(I3775="SBJ","CB","?"))</f>
        <v> </v>
      </c>
      <c r="I3775" s="26" t="str">
        <f>IF(OR(E3775="",E3775="!!!",F3775="NEW"),"",INDEX(B3774:B$2,-1+SUMPRODUCT(MAX(ROW(E3774:E$2)*(E3775=E3774:E$2)))))</f>
        <v> </v>
      </c>
      <c r="J3775" s="26" t="str">
        <f>IF(OR(E3775="",E3775="!!!",F3775="NEW"),"",COUNTBLANK(OFFSET(A$1,,,SUMPRODUCT(MAX(ROW(E$2:E3775)*(E3775=E$2:E3775)))))-COUNTBLANK(OFFSET(A$1,,,SUMPRODUCT(MAX(ROW(E$1:E3774)*(E2=E$1:E3774))))))</f>
        <v> </v>
      </c>
      <c r="K3775" s="26" t="str">
        <f>IF(OR(E3775="",E3775="!!!",F3775="NEW"),"",INDEX(J$1:J3774,SUMPRODUCT(MAX(ROW(E$1:E3774)*(E3775=E$1:E3774)))))</f>
        <v> </v>
      </c>
      <c r="L3775" s="27"/>
    </row>
    <row r="3776" spans="1:12">
      <c r="A3776" s="20" t="s">
        <v>2125</v>
      </c>
      <c r="B3776" s="21" t="s">
        <v>1029</v>
      </c>
      <c r="C3776" s="21" t="s">
        <v>1111</v>
      </c>
      <c r="E3776" s="22">
        <f>IF(D3776="?OLD","!!!","")</f>
        <v/>
      </c>
      <c r="F3776" s="23" t="str">
        <f>IF(OR(E3776="",E3776="!!!"),"",IF(NOT(ISNA(VLOOKUP(E3776,E$1:E3775,1,FALSE()))),"OLD",IF(AND(E3776&lt;&gt;"",E3776&lt;&gt;"!!!"),"NEW","")))</f>
        <v> </v>
      </c>
      <c r="G3776" s="24" t="str">
        <f>IF(OR(E3776="",E3776="!!!"),"",IF(OR(J3776=0,AND(J3776=1,K3776=1),AND(J3776=1,I3776="SBJ"),AND(J3776=1,I3776=0)),"?IN_FOCUS",IF(J3776&lt;=2,"?ACTIVATED",IF(J3776&lt;&gt;"","?FAMILIAR",IF(F3776="NEW",IF(ISNA(VLOOKUP(E3776,#REF!,1,FALSE())),"?TYPE_IDENTIFIABLE","?REFERENTIAL"),"_")))))</f>
        <v> </v>
      </c>
      <c r="H3776" s="25" t="str">
        <f>IF(J3776&lt;&gt;1,"",IF(I3776="SBJ","CB","?"))</f>
        <v> </v>
      </c>
      <c r="I3776" s="26" t="str">
        <f>IF(OR(E3776="",E3776="!!!",F3776="NEW"),"",INDEX(B3775:B$2,-1+SUMPRODUCT(MAX(ROW(E3775:E$2)*(E3776=E3775:E$2)))))</f>
        <v> </v>
      </c>
      <c r="J3776" s="26" t="str">
        <f>IF(OR(E3776="",E3776="!!!",F3776="NEW"),"",COUNTBLANK(OFFSET(A$1,,,SUMPRODUCT(MAX(ROW(E$2:E3776)*(E3776=E$2:E3776)))))-COUNTBLANK(OFFSET(A$1,,,SUMPRODUCT(MAX(ROW(E$1:E3775)*(E2=E$1:E3775))))))</f>
        <v> </v>
      </c>
      <c r="K3776" s="26" t="str">
        <f>IF(OR(E3776="",E3776="!!!",F3776="NEW"),"",INDEX(J$1:J3775,SUMPRODUCT(MAX(ROW(E$1:E3775)*(E3776=E$1:E3775)))))</f>
        <v> </v>
      </c>
      <c r="L3776" s="27"/>
    </row>
    <row r="3777" spans="1:12">
      <c r="A3777" s="20" t="s">
        <v>1018</v>
      </c>
      <c r="E3777" s="22">
        <f>IF(D3777="?OLD","!!!","")</f>
        <v/>
      </c>
      <c r="F3777" s="23" t="str">
        <f>IF(OR(E3777="",E3777="!!!"),"",IF(NOT(ISNA(VLOOKUP(E3777,E$1:E3776,1,FALSE()))),"OLD",IF(AND(E3777&lt;&gt;"",E3777&lt;&gt;"!!!"),"NEW","")))</f>
        <v> </v>
      </c>
      <c r="G3777" s="24" t="str">
        <f>IF(OR(E3777="",E3777="!!!"),"",IF(OR(J3777=0,AND(J3777=1,K3777=1),AND(J3777=1,I3777="SBJ"),AND(J3777=1,I3777=0)),"?IN_FOCUS",IF(J3777&lt;=2,"?ACTIVATED",IF(J3777&lt;&gt;"","?FAMILIAR",IF(F3777="NEW",IF(ISNA(VLOOKUP(E3777,#REF!,1,FALSE())),"?TYPE_IDENTIFIABLE","?REFERENTIAL"),"_")))))</f>
        <v> </v>
      </c>
      <c r="H3777" s="25" t="str">
        <f>IF(J3777&lt;&gt;1,"",IF(I3777="SBJ","CB","?"))</f>
        <v> </v>
      </c>
      <c r="I3777" s="26" t="str">
        <f>IF(OR(E3777="",E3777="!!!",F3777="NEW"),"",INDEX(B3776:B$2,-1+SUMPRODUCT(MAX(ROW(E3776:E$2)*(E3777=E3776:E$2)))))</f>
        <v> </v>
      </c>
      <c r="J3777" s="26" t="str">
        <f>IF(OR(E3777="",E3777="!!!",F3777="NEW"),"",COUNTBLANK(OFFSET(A$1,,,SUMPRODUCT(MAX(ROW(E$2:E3777)*(E3777=E$2:E3777)))))-COUNTBLANK(OFFSET(A$1,,,SUMPRODUCT(MAX(ROW(E$1:E3776)*(E2=E$1:E3776))))))</f>
        <v> </v>
      </c>
      <c r="K3777" s="26" t="str">
        <f>IF(OR(E3777="",E3777="!!!",F3777="NEW"),"",INDEX(J$1:J3776,SUMPRODUCT(MAX(ROW(E$1:E3776)*(E3777=E$1:E3776)))))</f>
        <v> </v>
      </c>
      <c r="L3777" s="27"/>
    </row>
    <row r="3778" spans="1:12">
      <c r="A3778" s="20" t="s">
        <v>1114</v>
      </c>
      <c r="E3778" s="22">
        <f>IF(D3778="?OLD","!!!","")</f>
        <v/>
      </c>
      <c r="F3778" s="23" t="str">
        <f>IF(OR(E3778="",E3778="!!!"),"",IF(NOT(ISNA(VLOOKUP(E3778,E$1:E3777,1,FALSE()))),"OLD",IF(AND(E3778&lt;&gt;"",E3778&lt;&gt;"!!!"),"NEW","")))</f>
        <v> </v>
      </c>
      <c r="G3778" s="24" t="str">
        <f>IF(OR(E3778="",E3778="!!!"),"",IF(OR(J3778=0,AND(J3778=1,K3778=1),AND(J3778=1,I3778="SBJ"),AND(J3778=1,I3778=0)),"?IN_FOCUS",IF(J3778&lt;=2,"?ACTIVATED",IF(J3778&lt;&gt;"","?FAMILIAR",IF(F3778="NEW",IF(ISNA(VLOOKUP(E3778,#REF!,1,FALSE())),"?TYPE_IDENTIFIABLE","?REFERENTIAL"),"_")))))</f>
        <v> </v>
      </c>
      <c r="H3778" s="25" t="str">
        <f>IF(J3778&lt;&gt;1,"",IF(I3778="SBJ","CB","?"))</f>
        <v> </v>
      </c>
      <c r="I3778" s="26" t="str">
        <f>IF(OR(E3778="",E3778="!!!",F3778="NEW"),"",INDEX(B3777:B$2,-1+SUMPRODUCT(MAX(ROW(E3777:E$2)*(E3778=E3777:E$2)))))</f>
        <v> </v>
      </c>
      <c r="J3778" s="26" t="str">
        <f>IF(OR(E3778="",E3778="!!!",F3778="NEW"),"",COUNTBLANK(OFFSET(A$1,,,SUMPRODUCT(MAX(ROW(E$2:E3778)*(E3778=E$2:E3778)))))-COUNTBLANK(OFFSET(A$1,,,SUMPRODUCT(MAX(ROW(E$1:E3777)*(E2=E$1:E3777))))))</f>
        <v> </v>
      </c>
      <c r="K3778" s="26" t="str">
        <f>IF(OR(E3778="",E3778="!!!",F3778="NEW"),"",INDEX(J$1:J3777,SUMPRODUCT(MAX(ROW(E$1:E3777)*(E3778=E$1:E3777)))))</f>
        <v> </v>
      </c>
      <c r="L3778" s="27"/>
    </row>
    <row r="3779" spans="1:12">
      <c r="A3779" s="20" t="s">
        <v>2123</v>
      </c>
      <c r="E3779" s="22">
        <f>IF(D3779="?OLD","!!!","")</f>
        <v/>
      </c>
      <c r="F3779" s="23" t="str">
        <f>IF(OR(E3779="",E3779="!!!"),"",IF(NOT(ISNA(VLOOKUP(E3779,E$1:E3778,1,FALSE()))),"OLD",IF(AND(E3779&lt;&gt;"",E3779&lt;&gt;"!!!"),"NEW","")))</f>
        <v> </v>
      </c>
      <c r="G3779" s="24" t="str">
        <f>IF(OR(E3779="",E3779="!!!"),"",IF(OR(J3779=0,AND(J3779=1,K3779=1),AND(J3779=1,I3779="SBJ"),AND(J3779=1,I3779=0)),"?IN_FOCUS",IF(J3779&lt;=2,"?ACTIVATED",IF(J3779&lt;&gt;"","?FAMILIAR",IF(F3779="NEW",IF(ISNA(VLOOKUP(E3779,#REF!,1,FALSE())),"?TYPE_IDENTIFIABLE","?REFERENTIAL"),"_")))))</f>
        <v> </v>
      </c>
      <c r="H3779" s="25" t="str">
        <f>IF(J3779&lt;&gt;1,"",IF(I3779="SBJ","CB","?"))</f>
        <v> </v>
      </c>
      <c r="I3779" s="26" t="str">
        <f>IF(OR(E3779="",E3779="!!!",F3779="NEW"),"",INDEX(B3778:B$2,-1+SUMPRODUCT(MAX(ROW(E3778:E$2)*(E3779=E3778:E$2)))))</f>
        <v> </v>
      </c>
      <c r="J3779" s="26" t="str">
        <f>IF(OR(E3779="",E3779="!!!",F3779="NEW"),"",COUNTBLANK(OFFSET(A$1,,,SUMPRODUCT(MAX(ROW(E$2:E3779)*(E3779=E$2:E3779)))))-COUNTBLANK(OFFSET(A$1,,,SUMPRODUCT(MAX(ROW(E$1:E3778)*(E2=E$1:E3778))))))</f>
        <v> </v>
      </c>
      <c r="K3779" s="26" t="str">
        <f>IF(OR(E3779="",E3779="!!!",F3779="NEW"),"",INDEX(J$1:J3778,SUMPRODUCT(MAX(ROW(E$1:E3778)*(E3779=E$1:E3778)))))</f>
        <v> </v>
      </c>
      <c r="L3779" s="27"/>
    </row>
    <row r="3780" spans="1:12">
      <c r="A3780" s="20" t="s">
        <v>1020</v>
      </c>
      <c r="E3780" s="22">
        <f>IF(D3780="?OLD","!!!","")</f>
        <v/>
      </c>
      <c r="F3780" s="23" t="str">
        <f>IF(OR(E3780="",E3780="!!!"),"",IF(NOT(ISNA(VLOOKUP(E3780,E$1:E3779,1,FALSE()))),"OLD",IF(AND(E3780&lt;&gt;"",E3780&lt;&gt;"!!!"),"NEW","")))</f>
        <v> </v>
      </c>
      <c r="G3780" s="24" t="str">
        <f>IF(OR(E3780="",E3780="!!!"),"",IF(OR(J3780=0,AND(J3780=1,K3780=1),AND(J3780=1,I3780="SBJ"),AND(J3780=1,I3780=0)),"?IN_FOCUS",IF(J3780&lt;=2,"?ACTIVATED",IF(J3780&lt;&gt;"","?FAMILIAR",IF(F3780="NEW",IF(ISNA(VLOOKUP(E3780,#REF!,1,FALSE())),"?TYPE_IDENTIFIABLE","?REFERENTIAL"),"_")))))</f>
        <v> </v>
      </c>
      <c r="H3780" s="25" t="str">
        <f>IF(J3780&lt;&gt;1,"",IF(I3780="SBJ","CB","?"))</f>
        <v> </v>
      </c>
      <c r="I3780" s="26" t="str">
        <f>IF(OR(E3780="",E3780="!!!",F3780="NEW"),"",INDEX(B3779:B$2,-1+SUMPRODUCT(MAX(ROW(E3779:E$2)*(E3780=E3779:E$2)))))</f>
        <v> </v>
      </c>
      <c r="J3780" s="26" t="str">
        <f>IF(OR(E3780="",E3780="!!!",F3780="NEW"),"",COUNTBLANK(OFFSET(A$1,,,SUMPRODUCT(MAX(ROW(E$2:E3780)*(E3780=E$2:E3780)))))-COUNTBLANK(OFFSET(A$1,,,SUMPRODUCT(MAX(ROW(E$1:E3779)*(E2=E$1:E3779))))))</f>
        <v> </v>
      </c>
      <c r="K3780" s="26" t="str">
        <f>IF(OR(E3780="",E3780="!!!",F3780="NEW"),"",INDEX(J$1:J3779,SUMPRODUCT(MAX(ROW(E$1:E3779)*(E3780=E$1:E3779)))))</f>
        <v> </v>
      </c>
      <c r="L3780" s="27"/>
    </row>
    <row r="3781" spans="1:12">
      <c r="A3781" s="20" t="s">
        <v>2126</v>
      </c>
      <c r="B3781" s="21" t="s">
        <v>1029</v>
      </c>
      <c r="C3781" s="21" t="s">
        <v>1013</v>
      </c>
      <c r="D3781" s="21" t="s">
        <v>1007</v>
      </c>
      <c r="E3781" s="22">
        <f>IF(D3781="?OLD","!!!","")</f>
        <v/>
      </c>
      <c r="F3781" s="23" t="str">
        <f>IF(OR(E3781="",E3781="!!!"),"",IF(NOT(ISNA(VLOOKUP(E3781,E$1:E3780,1,FALSE()))),"OLD",IF(AND(E3781&lt;&gt;"",E3781&lt;&gt;"!!!"),"NEW","")))</f>
        <v> </v>
      </c>
      <c r="G3781" s="24" t="str">
        <f>IF(OR(E3781="",E3781="!!!"),"",IF(OR(J3781=0,AND(J3781=1,K3781=1),AND(J3781=1,I3781="SBJ"),AND(J3781=1,I3781=0)),"?IN_FOCUS",IF(J3781&lt;=2,"?ACTIVATED",IF(J3781&lt;&gt;"","?FAMILIAR",IF(F3781="NEW",IF(ISNA(VLOOKUP(E3781,#REF!,1,FALSE())),"?TYPE_IDENTIFIABLE","?REFERENTIAL"),"_")))))</f>
        <v> </v>
      </c>
      <c r="H3781" s="25" t="str">
        <f>IF(J3781&lt;&gt;1,"",IF(I3781="SBJ","CB","?"))</f>
        <v> </v>
      </c>
      <c r="I3781" s="26" t="str">
        <f>IF(OR(E3781="",E3781="!!!",F3781="NEW"),"",INDEX(B3780:B$2,-1+SUMPRODUCT(MAX(ROW(E3780:E$2)*(E3781=E3780:E$2)))))</f>
        <v> </v>
      </c>
      <c r="J3781" s="26" t="str">
        <f>IF(OR(E3781="",E3781="!!!",F3781="NEW"),"",COUNTBLANK(OFFSET(A$1,,,SUMPRODUCT(MAX(ROW(E$2:E3781)*(E3781=E$2:E3781)))))-COUNTBLANK(OFFSET(A$1,,,SUMPRODUCT(MAX(ROW(E$1:E3780)*(E2=E$1:E3780))))))</f>
        <v> </v>
      </c>
      <c r="K3781" s="26" t="str">
        <f>IF(OR(E3781="",E3781="!!!",F3781="NEW"),"",INDEX(J$1:J3780,SUMPRODUCT(MAX(ROW(E$1:E3780)*(E3781=E$1:E3780)))))</f>
        <v> </v>
      </c>
      <c r="L3781" s="27"/>
    </row>
    <row r="3782" spans="1:12">
      <c r="A3782" s="20" t="s">
        <v>1014</v>
      </c>
      <c r="E3782" s="22">
        <f>IF(D3782="?OLD","!!!","")</f>
        <v/>
      </c>
      <c r="F3782" s="23" t="str">
        <f>IF(OR(E3782="",E3782="!!!"),"",IF(NOT(ISNA(VLOOKUP(E3782,E$1:E3781,1,FALSE()))),"OLD",IF(AND(E3782&lt;&gt;"",E3782&lt;&gt;"!!!"),"NEW","")))</f>
        <v> </v>
      </c>
      <c r="G3782" s="24" t="str">
        <f>IF(OR(E3782="",E3782="!!!"),"",IF(OR(J3782=0,AND(J3782=1,K3782=1),AND(J3782=1,I3782="SBJ"),AND(J3782=1,I3782=0)),"?IN_FOCUS",IF(J3782&lt;=2,"?ACTIVATED",IF(J3782&lt;&gt;"","?FAMILIAR",IF(F3782="NEW",IF(ISNA(VLOOKUP(E3782,#REF!,1,FALSE())),"?TYPE_IDENTIFIABLE","?REFERENTIAL"),"_")))))</f>
        <v> </v>
      </c>
      <c r="H3782" s="25" t="str">
        <f>IF(J3782&lt;&gt;1,"",IF(I3782="SBJ","CB","?"))</f>
        <v> </v>
      </c>
      <c r="I3782" s="26" t="str">
        <f>IF(OR(E3782="",E3782="!!!",F3782="NEW"),"",INDEX(B3781:B$2,-1+SUMPRODUCT(MAX(ROW(E3781:E$2)*(E3782=E3781:E$2)))))</f>
        <v> </v>
      </c>
      <c r="J3782" s="26" t="str">
        <f>IF(OR(E3782="",E3782="!!!",F3782="NEW"),"",COUNTBLANK(OFFSET(A$1,,,SUMPRODUCT(MAX(ROW(E$2:E3782)*(E3782=E$2:E3782)))))-COUNTBLANK(OFFSET(A$1,,,SUMPRODUCT(MAX(ROW(E$1:E3781)*(E2=E$1:E3781))))))</f>
        <v> </v>
      </c>
      <c r="K3782" s="26" t="str">
        <f>IF(OR(E3782="",E3782="!!!",F3782="NEW"),"",INDEX(J$1:J3781,SUMPRODUCT(MAX(ROW(E$1:E3781)*(E3782=E$1:E3781)))))</f>
        <v> </v>
      </c>
      <c r="L3782" s="27"/>
    </row>
    <row r="3783" spans="1:12">
      <c r="A3783" s="20" t="s">
        <v>1324</v>
      </c>
      <c r="E3783" s="22">
        <f>IF(D3783="?OLD","!!!","")</f>
        <v/>
      </c>
      <c r="F3783" s="23" t="str">
        <f>IF(OR(E3783="",E3783="!!!"),"",IF(NOT(ISNA(VLOOKUP(E3783,E$1:E3782,1,FALSE()))),"OLD",IF(AND(E3783&lt;&gt;"",E3783&lt;&gt;"!!!"),"NEW","")))</f>
        <v> </v>
      </c>
      <c r="G3783" s="24" t="str">
        <f>IF(OR(E3783="",E3783="!!!"),"",IF(OR(J3783=0,AND(J3783=1,K3783=1),AND(J3783=1,I3783="SBJ"),AND(J3783=1,I3783=0)),"?IN_FOCUS",IF(J3783&lt;=2,"?ACTIVATED",IF(J3783&lt;&gt;"","?FAMILIAR",IF(F3783="NEW",IF(ISNA(VLOOKUP(E3783,#REF!,1,FALSE())),"?TYPE_IDENTIFIABLE","?REFERENTIAL"),"_")))))</f>
        <v> </v>
      </c>
      <c r="H3783" s="25" t="str">
        <f>IF(J3783&lt;&gt;1,"",IF(I3783="SBJ","CB","?"))</f>
        <v> </v>
      </c>
      <c r="I3783" s="26" t="str">
        <f>IF(OR(E3783="",E3783="!!!",F3783="NEW"),"",INDEX(B3782:B$2,-1+SUMPRODUCT(MAX(ROW(E3782:E$2)*(E3783=E3782:E$2)))))</f>
        <v> </v>
      </c>
      <c r="J3783" s="26" t="str">
        <f>IF(OR(E3783="",E3783="!!!",F3783="NEW"),"",COUNTBLANK(OFFSET(A$1,,,SUMPRODUCT(MAX(ROW(E$2:E3783)*(E3783=E$2:E3783)))))-COUNTBLANK(OFFSET(A$1,,,SUMPRODUCT(MAX(ROW(E$1:E3782)*(E2=E$1:E3782))))))</f>
        <v> </v>
      </c>
      <c r="K3783" s="26" t="str">
        <f>IF(OR(E3783="",E3783="!!!",F3783="NEW"),"",INDEX(J$1:J3782,SUMPRODUCT(MAX(ROW(E$1:E3782)*(E3783=E$1:E3782)))))</f>
        <v> </v>
      </c>
      <c r="L3783" s="27"/>
    </row>
    <row r="3784" spans="1:12">
      <c r="A3784" s="20" t="s">
        <v>193</v>
      </c>
      <c r="B3784" s="21" t="s">
        <v>1033</v>
      </c>
      <c r="C3784" s="21" t="s">
        <v>1013</v>
      </c>
      <c r="D3784" s="21" t="s">
        <v>1007</v>
      </c>
      <c r="E3784" s="22">
        <f>IF(D3784="?OLD","!!!","")</f>
        <v/>
      </c>
      <c r="F3784" s="23" t="str">
        <f>IF(OR(E3784="",E3784="!!!"),"",IF(NOT(ISNA(VLOOKUP(E3784,E$1:E3783,1,FALSE()))),"OLD",IF(AND(E3784&lt;&gt;"",E3784&lt;&gt;"!!!"),"NEW","")))</f>
        <v> </v>
      </c>
      <c r="G3784" s="24" t="str">
        <f>IF(OR(E3784="",E3784="!!!"),"",IF(OR(J3784=0,AND(J3784=1,K3784=1),AND(J3784=1,I3784="SBJ"),AND(J3784=1,I3784=0)),"?IN_FOCUS",IF(J3784&lt;=2,"?ACTIVATED",IF(J3784&lt;&gt;"","?FAMILIAR",IF(F3784="NEW",IF(ISNA(VLOOKUP(E3784,#REF!,1,FALSE())),"?TYPE_IDENTIFIABLE","?REFERENTIAL"),"_")))))</f>
        <v> </v>
      </c>
      <c r="H3784" s="25" t="str">
        <f>IF(J3784&lt;&gt;1,"",IF(I3784="SBJ","CB","?"))</f>
        <v> </v>
      </c>
      <c r="I3784" s="26" t="str">
        <f>IF(OR(E3784="",E3784="!!!",F3784="NEW"),"",INDEX(B3783:B$2,-1+SUMPRODUCT(MAX(ROW(E3783:E$2)*(E3784=E3783:E$2)))))</f>
        <v> </v>
      </c>
      <c r="J3784" s="26" t="str">
        <f>IF(OR(E3784="",E3784="!!!",F3784="NEW"),"",COUNTBLANK(OFFSET(A$1,,,SUMPRODUCT(MAX(ROW(E$2:E3784)*(E3784=E$2:E3784)))))-COUNTBLANK(OFFSET(A$1,,,SUMPRODUCT(MAX(ROW(E$1:E3783)*(E2=E$1:E3783))))))</f>
        <v> </v>
      </c>
      <c r="K3784" s="26" t="str">
        <f>IF(OR(E3784="",E3784="!!!",F3784="NEW"),"",INDEX(J$1:J3783,SUMPRODUCT(MAX(ROW(E$1:E3783)*(E3784=E$1:E3783)))))</f>
        <v> </v>
      </c>
      <c r="L3784" s="27"/>
    </row>
    <row r="3785" spans="1:12">
      <c r="A3785" s="20" t="s">
        <v>1132</v>
      </c>
      <c r="E3785" s="22">
        <f>IF(D3785="?OLD","!!!","")</f>
        <v/>
      </c>
      <c r="F3785" s="23" t="str">
        <f>IF(OR(E3785="",E3785="!!!"),"",IF(NOT(ISNA(VLOOKUP(E3785,E$1:E3784,1,FALSE()))),"OLD",IF(AND(E3785&lt;&gt;"",E3785&lt;&gt;"!!!"),"NEW","")))</f>
        <v> </v>
      </c>
      <c r="G3785" s="24" t="str">
        <f>IF(OR(E3785="",E3785="!!!"),"",IF(OR(J3785=0,AND(J3785=1,K3785=1),AND(J3785=1,I3785="SBJ"),AND(J3785=1,I3785=0)),"?IN_FOCUS",IF(J3785&lt;=2,"?ACTIVATED",IF(J3785&lt;&gt;"","?FAMILIAR",IF(F3785="NEW",IF(ISNA(VLOOKUP(E3785,#REF!,1,FALSE())),"?TYPE_IDENTIFIABLE","?REFERENTIAL"),"_")))))</f>
        <v> </v>
      </c>
      <c r="H3785" s="25" t="str">
        <f>IF(J3785&lt;&gt;1,"",IF(I3785="SBJ","CB","?"))</f>
        <v> </v>
      </c>
      <c r="I3785" s="26" t="str">
        <f>IF(OR(E3785="",E3785="!!!",F3785="NEW"),"",INDEX(B3784:B$2,-1+SUMPRODUCT(MAX(ROW(E3784:E$2)*(E3785=E3784:E$2)))))</f>
        <v> </v>
      </c>
      <c r="J3785" s="26" t="str">
        <f>IF(OR(E3785="",E3785="!!!",F3785="NEW"),"",COUNTBLANK(OFFSET(A$1,,,SUMPRODUCT(MAX(ROW(E$2:E3785)*(E3785=E$2:E3785)))))-COUNTBLANK(OFFSET(A$1,,,SUMPRODUCT(MAX(ROW(E$1:E3784)*(E2=E$1:E3784))))))</f>
        <v> </v>
      </c>
      <c r="K3785" s="26" t="str">
        <f>IF(OR(E3785="",E3785="!!!",F3785="NEW"),"",INDEX(J$1:J3784,SUMPRODUCT(MAX(ROW(E$1:E3784)*(E3785=E$1:E3784)))))</f>
        <v> </v>
      </c>
      <c r="L3785" s="27"/>
    </row>
    <row r="3786" spans="1:12">
      <c r="A3786" s="20" t="s">
        <v>102</v>
      </c>
      <c r="E3786" s="22">
        <f>IF(D3786="?OLD","!!!","")</f>
        <v/>
      </c>
      <c r="F3786" s="23" t="str">
        <f>IF(OR(E3786="",E3786="!!!"),"",IF(NOT(ISNA(VLOOKUP(E3786,E$1:E3785,1,FALSE()))),"OLD",IF(AND(E3786&lt;&gt;"",E3786&lt;&gt;"!!!"),"NEW","")))</f>
        <v> </v>
      </c>
      <c r="G3786" s="24" t="str">
        <f>IF(OR(E3786="",E3786="!!!"),"",IF(OR(J3786=0,AND(J3786=1,K3786=1),AND(J3786=1,I3786="SBJ"),AND(J3786=1,I3786=0)),"?IN_FOCUS",IF(J3786&lt;=2,"?ACTIVATED",IF(J3786&lt;&gt;"","?FAMILIAR",IF(F3786="NEW",IF(ISNA(VLOOKUP(E3786,#REF!,1,FALSE())),"?TYPE_IDENTIFIABLE","?REFERENTIAL"),"_")))))</f>
        <v> </v>
      </c>
      <c r="H3786" s="25" t="str">
        <f>IF(J3786&lt;&gt;1,"",IF(I3786="SBJ","CB","?"))</f>
        <v> </v>
      </c>
      <c r="I3786" s="26" t="str">
        <f>IF(OR(E3786="",E3786="!!!",F3786="NEW"),"",INDEX(B3785:B$2,-1+SUMPRODUCT(MAX(ROW(E3785:E$2)*(E3786=E3785:E$2)))))</f>
        <v> </v>
      </c>
      <c r="J3786" s="26" t="str">
        <f>IF(OR(E3786="",E3786="!!!",F3786="NEW"),"",COUNTBLANK(OFFSET(A$1,,,SUMPRODUCT(MAX(ROW(E$2:E3786)*(E3786=E$2:E3786)))))-COUNTBLANK(OFFSET(A$1,,,SUMPRODUCT(MAX(ROW(E$1:E3785)*(E2=E$1:E3785))))))</f>
        <v> </v>
      </c>
      <c r="K3786" s="26" t="str">
        <f>IF(OR(E3786="",E3786="!!!",F3786="NEW"),"",INDEX(J$1:J3785,SUMPRODUCT(MAX(ROW(E$1:E3785)*(E3786=E$1:E3785)))))</f>
        <v> </v>
      </c>
      <c r="L3786" s="27"/>
    </row>
    <row r="3787" spans="1:12">
      <c r="A3787" s="20" t="s">
        <v>1644</v>
      </c>
      <c r="B3787" s="21" t="s">
        <v>1035</v>
      </c>
      <c r="C3787" s="21" t="s">
        <v>1006</v>
      </c>
      <c r="D3787" s="21" t="s">
        <v>1007</v>
      </c>
      <c r="E3787" s="22">
        <f>IF(D3787="?OLD","!!!","")</f>
        <v/>
      </c>
      <c r="F3787" s="23" t="str">
        <f>IF(OR(E3787="",E3787="!!!"),"",IF(NOT(ISNA(VLOOKUP(E3787,E$1:E3786,1,FALSE()))),"OLD",IF(AND(E3787&lt;&gt;"",E3787&lt;&gt;"!!!"),"NEW","")))</f>
        <v> </v>
      </c>
      <c r="G3787" s="24" t="str">
        <f>IF(OR(E3787="",E3787="!!!"),"",IF(OR(J3787=0,AND(J3787=1,K3787=1),AND(J3787=1,I3787="SBJ"),AND(J3787=1,I3787=0)),"?IN_FOCUS",IF(J3787&lt;=2,"?ACTIVATED",IF(J3787&lt;&gt;"","?FAMILIAR",IF(F3787="NEW",IF(ISNA(VLOOKUP(E3787,#REF!,1,FALSE())),"?TYPE_IDENTIFIABLE","?REFERENTIAL"),"_")))))</f>
        <v> </v>
      </c>
      <c r="H3787" s="25" t="str">
        <f>IF(J3787&lt;&gt;1,"",IF(I3787="SBJ","CB","?"))</f>
        <v> </v>
      </c>
      <c r="I3787" s="26" t="str">
        <f>IF(OR(E3787="",E3787="!!!",F3787="NEW"),"",INDEX(B3786:B$2,-1+SUMPRODUCT(MAX(ROW(E3786:E$2)*(E3787=E3786:E$2)))))</f>
        <v> </v>
      </c>
      <c r="J3787" s="26" t="str">
        <f>IF(OR(E3787="",E3787="!!!",F3787="NEW"),"",COUNTBLANK(OFFSET(A$1,,,SUMPRODUCT(MAX(ROW(E$2:E3787)*(E3787=E$2:E3787)))))-COUNTBLANK(OFFSET(A$1,,,SUMPRODUCT(MAX(ROW(E$1:E3786)*(E2=E$1:E3786))))))</f>
        <v> </v>
      </c>
      <c r="K3787" s="26" t="str">
        <f>IF(OR(E3787="",E3787="!!!",F3787="NEW"),"",INDEX(J$1:J3786,SUMPRODUCT(MAX(ROW(E$1:E3786)*(E3787=E$1:E3786)))))</f>
        <v> </v>
      </c>
      <c r="L3787" s="27"/>
    </row>
    <row r="3788" spans="1:12">
      <c r="A3788" s="20" t="s">
        <v>1018</v>
      </c>
      <c r="E3788" s="22">
        <f>IF(D3788="?OLD","!!!","")</f>
        <v/>
      </c>
      <c r="F3788" s="23" t="str">
        <f>IF(OR(E3788="",E3788="!!!"),"",IF(NOT(ISNA(VLOOKUP(E3788,E$1:E3787,1,FALSE()))),"OLD",IF(AND(E3788&lt;&gt;"",E3788&lt;&gt;"!!!"),"NEW","")))</f>
        <v> </v>
      </c>
      <c r="G3788" s="24" t="str">
        <f>IF(OR(E3788="",E3788="!!!"),"",IF(OR(J3788=0,AND(J3788=1,K3788=1),AND(J3788=1,I3788="SBJ"),AND(J3788=1,I3788=0)),"?IN_FOCUS",IF(J3788&lt;=2,"?ACTIVATED",IF(J3788&lt;&gt;"","?FAMILIAR",IF(F3788="NEW",IF(ISNA(VLOOKUP(E3788,#REF!,1,FALSE())),"?TYPE_IDENTIFIABLE","?REFERENTIAL"),"_")))))</f>
        <v> </v>
      </c>
      <c r="H3788" s="25" t="str">
        <f>IF(J3788&lt;&gt;1,"",IF(I3788="SBJ","CB","?"))</f>
        <v> </v>
      </c>
      <c r="I3788" s="26" t="str">
        <f>IF(OR(E3788="",E3788="!!!",F3788="NEW"),"",INDEX(B3787:B$2,-1+SUMPRODUCT(MAX(ROW(E3787:E$2)*(E3788=E3787:E$2)))))</f>
        <v> </v>
      </c>
      <c r="J3788" s="26" t="str">
        <f>IF(OR(E3788="",E3788="!!!",F3788="NEW"),"",COUNTBLANK(OFFSET(A$1,,,SUMPRODUCT(MAX(ROW(E$2:E3788)*(E3788=E$2:E3788)))))-COUNTBLANK(OFFSET(A$1,,,SUMPRODUCT(MAX(ROW(E$1:E3787)*(E2=E$1:E3787))))))</f>
        <v> </v>
      </c>
      <c r="K3788" s="26" t="str">
        <f>IF(OR(E3788="",E3788="!!!",F3788="NEW"),"",INDEX(J$1:J3787,SUMPRODUCT(MAX(ROW(E$1:E3787)*(E3788=E$1:E3787)))))</f>
        <v> </v>
      </c>
      <c r="L3788" s="27"/>
    </row>
    <row r="3789" spans="1:12">
      <c r="A3789" s="20" t="s">
        <v>1065</v>
      </c>
      <c r="B3789" s="21" t="s">
        <v>1067</v>
      </c>
      <c r="E3789" s="22">
        <f>IF(D3789="?OLD","!!!","")</f>
        <v/>
      </c>
      <c r="F3789" s="23" t="str">
        <f>IF(OR(E3789="",E3789="!!!"),"",IF(NOT(ISNA(VLOOKUP(E3789,E$1:E3788,1,FALSE()))),"OLD",IF(AND(E3789&lt;&gt;"",E3789&lt;&gt;"!!!"),"NEW","")))</f>
        <v> </v>
      </c>
      <c r="G3789" s="24" t="str">
        <f>IF(OR(E3789="",E3789="!!!"),"",IF(OR(J3789=0,AND(J3789=1,K3789=1),AND(J3789=1,I3789="SBJ"),AND(J3789=1,I3789=0)),"?IN_FOCUS",IF(J3789&lt;=2,"?ACTIVATED",IF(J3789&lt;&gt;"","?FAMILIAR",IF(F3789="NEW",IF(ISNA(VLOOKUP(E3789,#REF!,1,FALSE())),"?TYPE_IDENTIFIABLE","?REFERENTIAL"),"_")))))</f>
        <v> </v>
      </c>
      <c r="H3789" s="25" t="str">
        <f>IF(J3789&lt;&gt;1,"",IF(I3789="SBJ","CB","?"))</f>
        <v> </v>
      </c>
      <c r="I3789" s="26" t="str">
        <f>IF(OR(E3789="",E3789="!!!",F3789="NEW"),"",INDEX(B3788:B$2,-1+SUMPRODUCT(MAX(ROW(E3788:E$2)*(E3789=E3788:E$2)))))</f>
        <v> </v>
      </c>
      <c r="J3789" s="26" t="str">
        <f>IF(OR(E3789="",E3789="!!!",F3789="NEW"),"",COUNTBLANK(OFFSET(A$1,,,SUMPRODUCT(MAX(ROW(E$2:E3789)*(E3789=E$2:E3789)))))-COUNTBLANK(OFFSET(A$1,,,SUMPRODUCT(MAX(ROW(E$1:E3788)*(E2=E$1:E3788))))))</f>
        <v> </v>
      </c>
      <c r="K3789" s="26" t="str">
        <f>IF(OR(E3789="",E3789="!!!",F3789="NEW"),"",INDEX(J$1:J3788,SUMPRODUCT(MAX(ROW(E$1:E3788)*(E3789=E$1:E3788)))))</f>
        <v> </v>
      </c>
      <c r="L3789" s="27"/>
    </row>
    <row r="3790" spans="1:12">
      <c r="A3790" s="20" t="s">
        <v>1397</v>
      </c>
      <c r="E3790" s="22">
        <f>IF(D3790="?OLD","!!!","")</f>
        <v/>
      </c>
      <c r="F3790" s="23" t="str">
        <f>IF(OR(E3790="",E3790="!!!"),"",IF(NOT(ISNA(VLOOKUP(E3790,E$1:E3789,1,FALSE()))),"OLD",IF(AND(E3790&lt;&gt;"",E3790&lt;&gt;"!!!"),"NEW","")))</f>
        <v> </v>
      </c>
      <c r="G3790" s="24" t="str">
        <f>IF(OR(E3790="",E3790="!!!"),"",IF(OR(J3790=0,AND(J3790=1,K3790=1),AND(J3790=1,I3790="SBJ"),AND(J3790=1,I3790=0)),"?IN_FOCUS",IF(J3790&lt;=2,"?ACTIVATED",IF(J3790&lt;&gt;"","?FAMILIAR",IF(F3790="NEW",IF(ISNA(VLOOKUP(E3790,#REF!,1,FALSE())),"?TYPE_IDENTIFIABLE","?REFERENTIAL"),"_")))))</f>
        <v> </v>
      </c>
      <c r="H3790" s="25" t="str">
        <f>IF(J3790&lt;&gt;1,"",IF(I3790="SBJ","CB","?"))</f>
        <v> </v>
      </c>
      <c r="I3790" s="26" t="str">
        <f>IF(OR(E3790="",E3790="!!!",F3790="NEW"),"",INDEX(B3789:B$2,-1+SUMPRODUCT(MAX(ROW(E3789:E$2)*(E3790=E3789:E$2)))))</f>
        <v> </v>
      </c>
      <c r="J3790" s="26" t="str">
        <f>IF(OR(E3790="",E3790="!!!",F3790="NEW"),"",COUNTBLANK(OFFSET(A$1,,,SUMPRODUCT(MAX(ROW(E$2:E3790)*(E3790=E$2:E3790)))))-COUNTBLANK(OFFSET(A$1,,,SUMPRODUCT(MAX(ROW(E$1:E3789)*(E2=E$1:E3789))))))</f>
        <v> </v>
      </c>
      <c r="K3790" s="26" t="str">
        <f>IF(OR(E3790="",E3790="!!!",F3790="NEW"),"",INDEX(J$1:J3789,SUMPRODUCT(MAX(ROW(E$1:E3789)*(E3790=E$1:E3789)))))</f>
        <v> </v>
      </c>
      <c r="L3790" s="27"/>
    </row>
    <row r="3791" spans="1:12">
      <c r="A3791" s="20" t="s">
        <v>102</v>
      </c>
      <c r="E3791" s="22">
        <f>IF(D3791="?OLD","!!!","")</f>
        <v/>
      </c>
      <c r="F3791" s="23" t="str">
        <f>IF(OR(E3791="",E3791="!!!"),"",IF(NOT(ISNA(VLOOKUP(E3791,E$1:E3790,1,FALSE()))),"OLD",IF(AND(E3791&lt;&gt;"",E3791&lt;&gt;"!!!"),"NEW","")))</f>
        <v> </v>
      </c>
      <c r="G3791" s="24" t="str">
        <f>IF(OR(E3791="",E3791="!!!"),"",IF(OR(J3791=0,AND(J3791=1,K3791=1),AND(J3791=1,I3791="SBJ"),AND(J3791=1,I3791=0)),"?IN_FOCUS",IF(J3791&lt;=2,"?ACTIVATED",IF(J3791&lt;&gt;"","?FAMILIAR",IF(F3791="NEW",IF(ISNA(VLOOKUP(E3791,#REF!,1,FALSE())),"?TYPE_IDENTIFIABLE","?REFERENTIAL"),"_")))))</f>
        <v> </v>
      </c>
      <c r="H3791" s="25" t="str">
        <f>IF(J3791&lt;&gt;1,"",IF(I3791="SBJ","CB","?"))</f>
        <v> </v>
      </c>
      <c r="I3791" s="26" t="str">
        <f>IF(OR(E3791="",E3791="!!!",F3791="NEW"),"",INDEX(B3790:B$2,-1+SUMPRODUCT(MAX(ROW(E3790:E$2)*(E3791=E3790:E$2)))))</f>
        <v> </v>
      </c>
      <c r="J3791" s="26" t="str">
        <f>IF(OR(E3791="",E3791="!!!",F3791="NEW"),"",COUNTBLANK(OFFSET(A$1,,,SUMPRODUCT(MAX(ROW(E$2:E3791)*(E3791=E$2:E3791)))))-COUNTBLANK(OFFSET(A$1,,,SUMPRODUCT(MAX(ROW(E$1:E3790)*(E2=E$1:E3790))))))</f>
        <v> </v>
      </c>
      <c r="K3791" s="26" t="str">
        <f>IF(OR(E3791="",E3791="!!!",F3791="NEW"),"",INDEX(J$1:J3790,SUMPRODUCT(MAX(ROW(E$1:E3790)*(E3791=E$1:E3790)))))</f>
        <v> </v>
      </c>
      <c r="L3791" s="27"/>
    </row>
    <row r="3792" spans="1:12">
      <c r="A3792" s="20" t="s">
        <v>2096</v>
      </c>
      <c r="B3792" s="21" t="s">
        <v>1130</v>
      </c>
      <c r="C3792" s="21" t="s">
        <v>1013</v>
      </c>
      <c r="D3792" s="21" t="s">
        <v>1007</v>
      </c>
      <c r="E3792" s="22">
        <f>IF(D3792="?OLD","!!!","")</f>
        <v/>
      </c>
      <c r="F3792" s="23" t="str">
        <f>IF(OR(E3792="",E3792="!!!"),"",IF(NOT(ISNA(VLOOKUP(E3792,E$1:E3791,1,FALSE()))),"OLD",IF(AND(E3792&lt;&gt;"",E3792&lt;&gt;"!!!"),"NEW","")))</f>
        <v> </v>
      </c>
      <c r="G3792" s="24" t="str">
        <f>IF(OR(E3792="",E3792="!!!"),"",IF(OR(J3792=0,AND(J3792=1,K3792=1),AND(J3792=1,I3792="SBJ"),AND(J3792=1,I3792=0)),"?IN_FOCUS",IF(J3792&lt;=2,"?ACTIVATED",IF(J3792&lt;&gt;"","?FAMILIAR",IF(F3792="NEW",IF(ISNA(VLOOKUP(E3792,#REF!,1,FALSE())),"?TYPE_IDENTIFIABLE","?REFERENTIAL"),"_")))))</f>
        <v> </v>
      </c>
      <c r="H3792" s="25" t="str">
        <f>IF(J3792&lt;&gt;1,"",IF(I3792="SBJ","CB","?"))</f>
        <v> </v>
      </c>
      <c r="I3792" s="26" t="str">
        <f>IF(OR(E3792="",E3792="!!!",F3792="NEW"),"",INDEX(B3791:B$2,-1+SUMPRODUCT(MAX(ROW(E3791:E$2)*(E3792=E3791:E$2)))))</f>
        <v> </v>
      </c>
      <c r="J3792" s="26" t="str">
        <f>IF(OR(E3792="",E3792="!!!",F3792="NEW"),"",COUNTBLANK(OFFSET(A$1,,,SUMPRODUCT(MAX(ROW(E$2:E3792)*(E3792=E$2:E3792)))))-COUNTBLANK(OFFSET(A$1,,,SUMPRODUCT(MAX(ROW(E$1:E3791)*(E2=E$1:E3791))))))</f>
        <v> </v>
      </c>
      <c r="K3792" s="26" t="str">
        <f>IF(OR(E3792="",E3792="!!!",F3792="NEW"),"",INDEX(J$1:J3791,SUMPRODUCT(MAX(ROW(E$1:E3791)*(E3792=E$1:E3791)))))</f>
        <v> </v>
      </c>
      <c r="L3792" s="27"/>
    </row>
    <row r="3793" spans="1:12">
      <c r="A3793" s="20" t="s">
        <v>2127</v>
      </c>
      <c r="E3793" s="22">
        <f>IF(D3793="?OLD","!!!","")</f>
        <v/>
      </c>
      <c r="F3793" s="23" t="str">
        <f>IF(OR(E3793="",E3793="!!!"),"",IF(NOT(ISNA(VLOOKUP(E3793,E$1:E3792,1,FALSE()))),"OLD",IF(AND(E3793&lt;&gt;"",E3793&lt;&gt;"!!!"),"NEW","")))</f>
        <v> </v>
      </c>
      <c r="G3793" s="24" t="str">
        <f>IF(OR(E3793="",E3793="!!!"),"",IF(OR(J3793=0,AND(J3793=1,K3793=1),AND(J3793=1,I3793="SBJ"),AND(J3793=1,I3793=0)),"?IN_FOCUS",IF(J3793&lt;=2,"?ACTIVATED",IF(J3793&lt;&gt;"","?FAMILIAR",IF(F3793="NEW",IF(ISNA(VLOOKUP(E3793,#REF!,1,FALSE())),"?TYPE_IDENTIFIABLE","?REFERENTIAL"),"_")))))</f>
        <v> </v>
      </c>
      <c r="H3793" s="25" t="str">
        <f>IF(J3793&lt;&gt;1,"",IF(I3793="SBJ","CB","?"))</f>
        <v> </v>
      </c>
      <c r="I3793" s="26" t="str">
        <f>IF(OR(E3793="",E3793="!!!",F3793="NEW"),"",INDEX(B3792:B$2,-1+SUMPRODUCT(MAX(ROW(E3792:E$2)*(E3793=E3792:E$2)))))</f>
        <v> </v>
      </c>
      <c r="J3793" s="26" t="str">
        <f>IF(OR(E3793="",E3793="!!!",F3793="NEW"),"",COUNTBLANK(OFFSET(A$1,,,SUMPRODUCT(MAX(ROW(E$2:E3793)*(E3793=E$2:E3793)))))-COUNTBLANK(OFFSET(A$1,,,SUMPRODUCT(MAX(ROW(E$1:E3792)*(E2=E$1:E3792))))))</f>
        <v> </v>
      </c>
      <c r="K3793" s="26" t="str">
        <f>IF(OR(E3793="",E3793="!!!",F3793="NEW"),"",INDEX(J$1:J3792,SUMPRODUCT(MAX(ROW(E$1:E3792)*(E3793=E$1:E3792)))))</f>
        <v> </v>
      </c>
      <c r="L3793" s="27"/>
    </row>
    <row r="3794" spans="1:12">
      <c r="A3794" s="20" t="s">
        <v>1014</v>
      </c>
      <c r="E3794" s="22">
        <f>IF(D3794="?OLD","!!!","")</f>
        <v/>
      </c>
      <c r="F3794" s="23" t="str">
        <f>IF(OR(E3794="",E3794="!!!"),"",IF(NOT(ISNA(VLOOKUP(E3794,E$1:E3793,1,FALSE()))),"OLD",IF(AND(E3794&lt;&gt;"",E3794&lt;&gt;"!!!"),"NEW","")))</f>
        <v> </v>
      </c>
      <c r="G3794" s="24" t="str">
        <f>IF(OR(E3794="",E3794="!!!"),"",IF(OR(J3794=0,AND(J3794=1,K3794=1),AND(J3794=1,I3794="SBJ"),AND(J3794=1,I3794=0)),"?IN_FOCUS",IF(J3794&lt;=2,"?ACTIVATED",IF(J3794&lt;&gt;"","?FAMILIAR",IF(F3794="NEW",IF(ISNA(VLOOKUP(E3794,#REF!,1,FALSE())),"?TYPE_IDENTIFIABLE","?REFERENTIAL"),"_")))))</f>
        <v> </v>
      </c>
      <c r="H3794" s="25" t="str">
        <f>IF(J3794&lt;&gt;1,"",IF(I3794="SBJ","CB","?"))</f>
        <v> </v>
      </c>
      <c r="I3794" s="26" t="str">
        <f>IF(OR(E3794="",E3794="!!!",F3794="NEW"),"",INDEX(B3793:B$2,-1+SUMPRODUCT(MAX(ROW(E3793:E$2)*(E3794=E3793:E$2)))))</f>
        <v> </v>
      </c>
      <c r="J3794" s="26" t="str">
        <f>IF(OR(E3794="",E3794="!!!",F3794="NEW"),"",COUNTBLANK(OFFSET(A$1,,,SUMPRODUCT(MAX(ROW(E$2:E3794)*(E3794=E$2:E3794)))))-COUNTBLANK(OFFSET(A$1,,,SUMPRODUCT(MAX(ROW(E$1:E3793)*(E2=E$1:E3793))))))</f>
        <v> </v>
      </c>
      <c r="K3794" s="26" t="str">
        <f>IF(OR(E3794="",E3794="!!!",F3794="NEW"),"",INDEX(J$1:J3793,SUMPRODUCT(MAX(ROW(E$1:E3793)*(E3794=E$1:E3793)))))</f>
        <v> </v>
      </c>
      <c r="L3794" s="27"/>
    </row>
    <row r="3795" spans="1:12">
      <c r="A3795" s="20" t="s">
        <v>102</v>
      </c>
      <c r="E3795" s="22">
        <f>IF(D3795="?OLD","!!!","")</f>
        <v/>
      </c>
      <c r="F3795" s="23" t="str">
        <f>IF(OR(E3795="",E3795="!!!"),"",IF(NOT(ISNA(VLOOKUP(E3795,E$1:E3794,1,FALSE()))),"OLD",IF(AND(E3795&lt;&gt;"",E3795&lt;&gt;"!!!"),"NEW","")))</f>
        <v> </v>
      </c>
      <c r="G3795" s="24" t="str">
        <f>IF(OR(E3795="",E3795="!!!"),"",IF(OR(J3795=0,AND(J3795=1,K3795=1),AND(J3795=1,I3795="SBJ"),AND(J3795=1,I3795=0)),"?IN_FOCUS",IF(J3795&lt;=2,"?ACTIVATED",IF(J3795&lt;&gt;"","?FAMILIAR",IF(F3795="NEW",IF(ISNA(VLOOKUP(E3795,#REF!,1,FALSE())),"?TYPE_IDENTIFIABLE","?REFERENTIAL"),"_")))))</f>
        <v> </v>
      </c>
      <c r="H3795" s="25" t="str">
        <f>IF(J3795&lt;&gt;1,"",IF(I3795="SBJ","CB","?"))</f>
        <v> </v>
      </c>
      <c r="I3795" s="26" t="str">
        <f>IF(OR(E3795="",E3795="!!!",F3795="NEW"),"",INDEX(B3794:B$2,-1+SUMPRODUCT(MAX(ROW(E3794:E$2)*(E3795=E3794:E$2)))))</f>
        <v> </v>
      </c>
      <c r="J3795" s="26" t="str">
        <f>IF(OR(E3795="",E3795="!!!",F3795="NEW"),"",COUNTBLANK(OFFSET(A$1,,,SUMPRODUCT(MAX(ROW(E$2:E3795)*(E3795=E$2:E3795)))))-COUNTBLANK(OFFSET(A$1,,,SUMPRODUCT(MAX(ROW(E$1:E3794)*(E2=E$1:E3794))))))</f>
        <v> </v>
      </c>
      <c r="K3795" s="26" t="str">
        <f>IF(OR(E3795="",E3795="!!!",F3795="NEW"),"",INDEX(J$1:J3794,SUMPRODUCT(MAX(ROW(E$1:E3794)*(E3795=E$1:E3794)))))</f>
        <v> </v>
      </c>
      <c r="L3795" s="27"/>
    </row>
    <row r="3796" spans="1:12">
      <c r="A3796" s="20" t="s">
        <v>1391</v>
      </c>
      <c r="B3796" s="21" t="s">
        <v>1040</v>
      </c>
      <c r="C3796" s="21" t="s">
        <v>1017</v>
      </c>
      <c r="D3796" s="21" t="s">
        <v>1007</v>
      </c>
      <c r="E3796" s="22">
        <f>IF(D3796="?OLD","!!!","")</f>
        <v/>
      </c>
      <c r="F3796" s="23" t="str">
        <f>IF(OR(E3796="",E3796="!!!"),"",IF(NOT(ISNA(VLOOKUP(E3796,E$1:E3795,1,FALSE()))),"OLD",IF(AND(E3796&lt;&gt;"",E3796&lt;&gt;"!!!"),"NEW","")))</f>
        <v> </v>
      </c>
      <c r="G3796" s="24" t="str">
        <f>IF(OR(E3796="",E3796="!!!"),"",IF(OR(J3796=0,AND(J3796=1,K3796=1),AND(J3796=1,I3796="SBJ"),AND(J3796=1,I3796=0)),"?IN_FOCUS",IF(J3796&lt;=2,"?ACTIVATED",IF(J3796&lt;&gt;"","?FAMILIAR",IF(F3796="NEW",IF(ISNA(VLOOKUP(E3796,#REF!,1,FALSE())),"?TYPE_IDENTIFIABLE","?REFERENTIAL"),"_")))))</f>
        <v> </v>
      </c>
      <c r="H3796" s="25" t="str">
        <f>IF(J3796&lt;&gt;1,"",IF(I3796="SBJ","CB","?"))</f>
        <v> </v>
      </c>
      <c r="I3796" s="26" t="str">
        <f>IF(OR(E3796="",E3796="!!!",F3796="NEW"),"",INDEX(B3795:B$2,-1+SUMPRODUCT(MAX(ROW(E3795:E$2)*(E3796=E3795:E$2)))))</f>
        <v> </v>
      </c>
      <c r="J3796" s="26" t="str">
        <f>IF(OR(E3796="",E3796="!!!",F3796="NEW"),"",COUNTBLANK(OFFSET(A$1,,,SUMPRODUCT(MAX(ROW(E$2:E3796)*(E3796=E$2:E3796)))))-COUNTBLANK(OFFSET(A$1,,,SUMPRODUCT(MAX(ROW(E$1:E3795)*(E2=E$1:E3795))))))</f>
        <v> </v>
      </c>
      <c r="K3796" s="26" t="str">
        <f>IF(OR(E3796="",E3796="!!!",F3796="NEW"),"",INDEX(J$1:J3795,SUMPRODUCT(MAX(ROW(E$1:E3795)*(E3796=E$1:E3795)))))</f>
        <v> </v>
      </c>
      <c r="L3796" s="27"/>
    </row>
    <row r="3797" spans="1:12">
      <c r="A3797" s="20" t="s">
        <v>2071</v>
      </c>
      <c r="B3797" s="21" t="s">
        <v>1042</v>
      </c>
      <c r="C3797" s="21" t="s">
        <v>1006</v>
      </c>
      <c r="D3797" s="21" t="s">
        <v>1007</v>
      </c>
      <c r="E3797" s="22">
        <f>IF(D3797="?OLD","!!!","")</f>
        <v/>
      </c>
      <c r="F3797" s="23" t="str">
        <f>IF(OR(E3797="",E3797="!!!"),"",IF(NOT(ISNA(VLOOKUP(E3797,E$1:E3796,1,FALSE()))),"OLD",IF(AND(E3797&lt;&gt;"",E3797&lt;&gt;"!!!"),"NEW","")))</f>
        <v> </v>
      </c>
      <c r="G3797" s="24" t="str">
        <f>IF(OR(E3797="",E3797="!!!"),"",IF(OR(J3797=0,AND(J3797=1,K3797=1),AND(J3797=1,I3797="SBJ"),AND(J3797=1,I3797=0)),"?IN_FOCUS",IF(J3797&lt;=2,"?ACTIVATED",IF(J3797&lt;&gt;"","?FAMILIAR",IF(F3797="NEW",IF(ISNA(VLOOKUP(E3797,#REF!,1,FALSE())),"?TYPE_IDENTIFIABLE","?REFERENTIAL"),"_")))))</f>
        <v> </v>
      </c>
      <c r="H3797" s="25" t="str">
        <f>IF(J3797&lt;&gt;1,"",IF(I3797="SBJ","CB","?"))</f>
        <v> </v>
      </c>
      <c r="I3797" s="26" t="str">
        <f>IF(OR(E3797="",E3797="!!!",F3797="NEW"),"",INDEX(B3796:B$2,-1+SUMPRODUCT(MAX(ROW(E3796:E$2)*(E3797=E3796:E$2)))))</f>
        <v> </v>
      </c>
      <c r="J3797" s="26" t="str">
        <f>IF(OR(E3797="",E3797="!!!",F3797="NEW"),"",COUNTBLANK(OFFSET(A$1,,,SUMPRODUCT(MAX(ROW(E$2:E3797)*(E3797=E$2:E3797)))))-COUNTBLANK(OFFSET(A$1,,,SUMPRODUCT(MAX(ROW(E$1:E3796)*(E2=E$1:E3796))))))</f>
        <v> </v>
      </c>
      <c r="K3797" s="26" t="str">
        <f>IF(OR(E3797="",E3797="!!!",F3797="NEW"),"",INDEX(J$1:J3796,SUMPRODUCT(MAX(ROW(E$1:E3796)*(E3797=E$1:E3796)))))</f>
        <v> </v>
      </c>
      <c r="L3797" s="27"/>
    </row>
    <row r="3798" spans="1:12">
      <c r="A3798" s="20" t="s">
        <v>1018</v>
      </c>
      <c r="E3798" s="22">
        <f>IF(D3798="?OLD","!!!","")</f>
        <v/>
      </c>
      <c r="F3798" s="23" t="str">
        <f>IF(OR(E3798="",E3798="!!!"),"",IF(NOT(ISNA(VLOOKUP(E3798,E$1:E3797,1,FALSE()))),"OLD",IF(AND(E3798&lt;&gt;"",E3798&lt;&gt;"!!!"),"NEW","")))</f>
        <v> </v>
      </c>
      <c r="G3798" s="24" t="str">
        <f>IF(OR(E3798="",E3798="!!!"),"",IF(OR(J3798=0,AND(J3798=1,K3798=1),AND(J3798=1,I3798="SBJ"),AND(J3798=1,I3798=0)),"?IN_FOCUS",IF(J3798&lt;=2,"?ACTIVATED",IF(J3798&lt;&gt;"","?FAMILIAR",IF(F3798="NEW",IF(ISNA(VLOOKUP(E3798,#REF!,1,FALSE())),"?TYPE_IDENTIFIABLE","?REFERENTIAL"),"_")))))</f>
        <v> </v>
      </c>
      <c r="H3798" s="25" t="str">
        <f>IF(J3798&lt;&gt;1,"",IF(I3798="SBJ","CB","?"))</f>
        <v> </v>
      </c>
      <c r="I3798" s="26" t="str">
        <f>IF(OR(E3798="",E3798="!!!",F3798="NEW"),"",INDEX(B3797:B$2,-1+SUMPRODUCT(MAX(ROW(E3797:E$2)*(E3798=E3797:E$2)))))</f>
        <v> </v>
      </c>
      <c r="J3798" s="26" t="str">
        <f>IF(OR(E3798="",E3798="!!!",F3798="NEW"),"",COUNTBLANK(OFFSET(A$1,,,SUMPRODUCT(MAX(ROW(E$2:E3798)*(E3798=E$2:E3798)))))-COUNTBLANK(OFFSET(A$1,,,SUMPRODUCT(MAX(ROW(E$1:E3797)*(E2=E$1:E3797))))))</f>
        <v> </v>
      </c>
      <c r="K3798" s="26" t="str">
        <f>IF(OR(E3798="",E3798="!!!",F3798="NEW"),"",INDEX(J$1:J3797,SUMPRODUCT(MAX(ROW(E$1:E3797)*(E3798=E$1:E3797)))))</f>
        <v> </v>
      </c>
      <c r="L3798" s="27"/>
    </row>
    <row r="3799" spans="1:12">
      <c r="A3799" s="20" t="s">
        <v>2128</v>
      </c>
      <c r="E3799" s="22">
        <f>IF(D3799="?OLD","!!!","")</f>
        <v/>
      </c>
      <c r="F3799" s="23" t="str">
        <f>IF(OR(E3799="",E3799="!!!"),"",IF(NOT(ISNA(VLOOKUP(E3799,E$1:E3798,1,FALSE()))),"OLD",IF(AND(E3799&lt;&gt;"",E3799&lt;&gt;"!!!"),"NEW","")))</f>
        <v> </v>
      </c>
      <c r="G3799" s="24" t="str">
        <f>IF(OR(E3799="",E3799="!!!"),"",IF(OR(J3799=0,AND(J3799=1,K3799=1),AND(J3799=1,I3799="SBJ"),AND(J3799=1,I3799=0)),"?IN_FOCUS",IF(J3799&lt;=2,"?ACTIVATED",IF(J3799&lt;&gt;"","?FAMILIAR",IF(F3799="NEW",IF(ISNA(VLOOKUP(E3799,#REF!,1,FALSE())),"?TYPE_IDENTIFIABLE","?REFERENTIAL"),"_")))))</f>
        <v> </v>
      </c>
      <c r="H3799" s="25" t="str">
        <f>IF(J3799&lt;&gt;1,"",IF(I3799="SBJ","CB","?"))</f>
        <v> </v>
      </c>
      <c r="I3799" s="26" t="str">
        <f>IF(OR(E3799="",E3799="!!!",F3799="NEW"),"",INDEX(B3798:B$2,-1+SUMPRODUCT(MAX(ROW(E3798:E$2)*(E3799=E3798:E$2)))))</f>
        <v> </v>
      </c>
      <c r="J3799" s="26" t="str">
        <f>IF(OR(E3799="",E3799="!!!",F3799="NEW"),"",COUNTBLANK(OFFSET(A$1,,,SUMPRODUCT(MAX(ROW(E$2:E3799)*(E3799=E$2:E3799)))))-COUNTBLANK(OFFSET(A$1,,,SUMPRODUCT(MAX(ROW(E$1:E3798)*(E2=E$1:E3798))))))</f>
        <v> </v>
      </c>
      <c r="K3799" s="26" t="str">
        <f>IF(OR(E3799="",E3799="!!!",F3799="NEW"),"",INDEX(J$1:J3798,SUMPRODUCT(MAX(ROW(E$1:E3798)*(E3799=E$1:E3798)))))</f>
        <v> </v>
      </c>
      <c r="L3799" s="27"/>
    </row>
    <row r="3800" spans="1:12">
      <c r="A3800" s="20" t="s">
        <v>1020</v>
      </c>
      <c r="E3800" s="22">
        <f>IF(D3800="?OLD","!!!","")</f>
        <v/>
      </c>
      <c r="F3800" s="23" t="str">
        <f>IF(OR(E3800="",E3800="!!!"),"",IF(NOT(ISNA(VLOOKUP(E3800,E$1:E3799,1,FALSE()))),"OLD",IF(AND(E3800&lt;&gt;"",E3800&lt;&gt;"!!!"),"NEW","")))</f>
        <v> </v>
      </c>
      <c r="G3800" s="24" t="str">
        <f>IF(OR(E3800="",E3800="!!!"),"",IF(OR(J3800=0,AND(J3800=1,K3800=1),AND(J3800=1,I3800="SBJ"),AND(J3800=1,I3800=0)),"?IN_FOCUS",IF(J3800&lt;=2,"?ACTIVATED",IF(J3800&lt;&gt;"","?FAMILIAR",IF(F3800="NEW",IF(ISNA(VLOOKUP(E3800,#REF!,1,FALSE())),"?TYPE_IDENTIFIABLE","?REFERENTIAL"),"_")))))</f>
        <v> </v>
      </c>
      <c r="H3800" s="25" t="str">
        <f>IF(J3800&lt;&gt;1,"",IF(I3800="SBJ","CB","?"))</f>
        <v> </v>
      </c>
      <c r="I3800" s="26" t="str">
        <f>IF(OR(E3800="",E3800="!!!",F3800="NEW"),"",INDEX(B3799:B$2,-1+SUMPRODUCT(MAX(ROW(E3799:E$2)*(E3800=E3799:E$2)))))</f>
        <v> </v>
      </c>
      <c r="J3800" s="26" t="str">
        <f>IF(OR(E3800="",E3800="!!!",F3800="NEW"),"",COUNTBLANK(OFFSET(A$1,,,SUMPRODUCT(MAX(ROW(E$2:E3800)*(E3800=E$2:E3800)))))-COUNTBLANK(OFFSET(A$1,,,SUMPRODUCT(MAX(ROW(E$1:E3799)*(E2=E$1:E3799))))))</f>
        <v> </v>
      </c>
      <c r="K3800" s="26" t="str">
        <f>IF(OR(E3800="",E3800="!!!",F3800="NEW"),"",INDEX(J$1:J3799,SUMPRODUCT(MAX(ROW(E$1:E3799)*(E3800=E$1:E3799)))))</f>
        <v> </v>
      </c>
      <c r="L3800" s="27"/>
    </row>
    <row r="3801" spans="1:12">
      <c r="A3801" s="20" t="s">
        <v>1207</v>
      </c>
      <c r="E3801" s="22">
        <f>IF(D3801="?OLD","!!!","")</f>
        <v/>
      </c>
      <c r="F3801" s="23" t="str">
        <f>IF(OR(E3801="",E3801="!!!"),"",IF(NOT(ISNA(VLOOKUP(E3801,E$1:E3800,1,FALSE()))),"OLD",IF(AND(E3801&lt;&gt;"",E3801&lt;&gt;"!!!"),"NEW","")))</f>
        <v> </v>
      </c>
      <c r="G3801" s="24" t="str">
        <f>IF(OR(E3801="",E3801="!!!"),"",IF(OR(J3801=0,AND(J3801=1,K3801=1),AND(J3801=1,I3801="SBJ"),AND(J3801=1,I3801=0)),"?IN_FOCUS",IF(J3801&lt;=2,"?ACTIVATED",IF(J3801&lt;&gt;"","?FAMILIAR",IF(F3801="NEW",IF(ISNA(VLOOKUP(E3801,#REF!,1,FALSE())),"?TYPE_IDENTIFIABLE","?REFERENTIAL"),"_")))))</f>
        <v> </v>
      </c>
      <c r="H3801" s="25" t="str">
        <f>IF(J3801&lt;&gt;1,"",IF(I3801="SBJ","CB","?"))</f>
        <v> </v>
      </c>
      <c r="I3801" s="26" t="str">
        <f>IF(OR(E3801="",E3801="!!!",F3801="NEW"),"",INDEX(B3800:B$2,-1+SUMPRODUCT(MAX(ROW(E3800:E$2)*(E3801=E3800:E$2)))))</f>
        <v> </v>
      </c>
      <c r="J3801" s="26" t="str">
        <f>IF(OR(E3801="",E3801="!!!",F3801="NEW"),"",COUNTBLANK(OFFSET(A$1,,,SUMPRODUCT(MAX(ROW(E$2:E3801)*(E3801=E$2:E3801)))))-COUNTBLANK(OFFSET(A$1,,,SUMPRODUCT(MAX(ROW(E$1:E3800)*(E2=E$1:E3800))))))</f>
        <v> </v>
      </c>
      <c r="K3801" s="26" t="str">
        <f>IF(OR(E3801="",E3801="!!!",F3801="NEW"),"",INDEX(J$1:J3800,SUMPRODUCT(MAX(ROW(E$1:E3800)*(E3801=E$1:E3800)))))</f>
        <v> </v>
      </c>
      <c r="L3801" s="27"/>
    </row>
    <row r="3802" spans="1:12">
      <c r="A3802" s="20" t="s">
        <v>1030</v>
      </c>
      <c r="E3802" s="22">
        <f>IF(D3802="?OLD","!!!","")</f>
        <v/>
      </c>
      <c r="F3802" s="23" t="str">
        <f>IF(OR(E3802="",E3802="!!!"),"",IF(NOT(ISNA(VLOOKUP(E3802,E$1:E3801,1,FALSE()))),"OLD",IF(AND(E3802&lt;&gt;"",E3802&lt;&gt;"!!!"),"NEW","")))</f>
        <v> </v>
      </c>
      <c r="G3802" s="24" t="str">
        <f>IF(OR(E3802="",E3802="!!!"),"",IF(OR(J3802=0,AND(J3802=1,K3802=1),AND(J3802=1,I3802="SBJ"),AND(J3802=1,I3802=0)),"?IN_FOCUS",IF(J3802&lt;=2,"?ACTIVATED",IF(J3802&lt;&gt;"","?FAMILIAR",IF(F3802="NEW",IF(ISNA(VLOOKUP(E3802,#REF!,1,FALSE())),"?TYPE_IDENTIFIABLE","?REFERENTIAL"),"_")))))</f>
        <v> </v>
      </c>
      <c r="H3802" s="25" t="str">
        <f>IF(J3802&lt;&gt;1,"",IF(I3802="SBJ","CB","?"))</f>
        <v> </v>
      </c>
      <c r="I3802" s="26" t="str">
        <f>IF(OR(E3802="",E3802="!!!",F3802="NEW"),"",INDEX(B3801:B$2,-1+SUMPRODUCT(MAX(ROW(E3801:E$2)*(E3802=E3801:E$2)))))</f>
        <v> </v>
      </c>
      <c r="J3802" s="26" t="str">
        <f>IF(OR(E3802="",E3802="!!!",F3802="NEW"),"",COUNTBLANK(OFFSET(A$1,,,SUMPRODUCT(MAX(ROW(E$2:E3802)*(E3802=E$2:E3802)))))-COUNTBLANK(OFFSET(A$1,,,SUMPRODUCT(MAX(ROW(E$1:E3801)*(E2=E$1:E3801))))))</f>
        <v> </v>
      </c>
      <c r="K3802" s="26" t="str">
        <f>IF(OR(E3802="",E3802="!!!",F3802="NEW"),"",INDEX(J$1:J3801,SUMPRODUCT(MAX(ROW(E$1:E3801)*(E3802=E$1:E3801)))))</f>
        <v> </v>
      </c>
      <c r="L3802" s="27"/>
    </row>
    <row r="3803" spans="1:12">
      <c r="A3803" s="20" t="s">
        <v>1056</v>
      </c>
      <c r="E3803" s="22">
        <f>IF(D3803="?OLD","!!!","")</f>
        <v/>
      </c>
      <c r="F3803" s="23" t="str">
        <f>IF(OR(E3803="",E3803="!!!"),"",IF(NOT(ISNA(VLOOKUP(E3803,E$1:E3802,1,FALSE()))),"OLD",IF(AND(E3803&lt;&gt;"",E3803&lt;&gt;"!!!"),"NEW","")))</f>
        <v> </v>
      </c>
      <c r="G3803" s="24" t="str">
        <f>IF(OR(E3803="",E3803="!!!"),"",IF(OR(J3803=0,AND(J3803=1,K3803=1),AND(J3803=1,I3803="SBJ"),AND(J3803=1,I3803=0)),"?IN_FOCUS",IF(J3803&lt;=2,"?ACTIVATED",IF(J3803&lt;&gt;"","?FAMILIAR",IF(F3803="NEW",IF(ISNA(VLOOKUP(E3803,#REF!,1,FALSE())),"?TYPE_IDENTIFIABLE","?REFERENTIAL"),"_")))))</f>
        <v> </v>
      </c>
      <c r="H3803" s="25" t="str">
        <f>IF(J3803&lt;&gt;1,"",IF(I3803="SBJ","CB","?"))</f>
        <v> </v>
      </c>
      <c r="I3803" s="26" t="str">
        <f>IF(OR(E3803="",E3803="!!!",F3803="NEW"),"",INDEX(B3802:B$2,-1+SUMPRODUCT(MAX(ROW(E3802:E$2)*(E3803=E3802:E$2)))))</f>
        <v> </v>
      </c>
      <c r="J3803" s="26" t="str">
        <f>IF(OR(E3803="",E3803="!!!",F3803="NEW"),"",COUNTBLANK(OFFSET(A$1,,,SUMPRODUCT(MAX(ROW(E$2:E3803)*(E3803=E$2:E3803)))))-COUNTBLANK(OFFSET(A$1,,,SUMPRODUCT(MAX(ROW(E$1:E3802)*(E2=E$1:E3802))))))</f>
        <v> </v>
      </c>
      <c r="K3803" s="26" t="str">
        <f>IF(OR(E3803="",E3803="!!!",F3803="NEW"),"",INDEX(J$1:J3802,SUMPRODUCT(MAX(ROW(E$1:E3802)*(E3803=E$1:E3802)))))</f>
        <v> </v>
      </c>
      <c r="L3803" s="27"/>
    </row>
    <row r="3804" spans="1:12">
      <c r="A3804" s="20" t="s">
        <v>1156</v>
      </c>
      <c r="B3804" s="21" t="s">
        <v>1035</v>
      </c>
      <c r="C3804" s="21" t="s">
        <v>1111</v>
      </c>
      <c r="E3804" s="22">
        <f>IF(D3804="?OLD","!!!","")</f>
        <v/>
      </c>
      <c r="F3804" s="23" t="str">
        <f>IF(OR(E3804="",E3804="!!!"),"",IF(NOT(ISNA(VLOOKUP(E3804,E$1:E3803,1,FALSE()))),"OLD",IF(AND(E3804&lt;&gt;"",E3804&lt;&gt;"!!!"),"NEW","")))</f>
        <v> </v>
      </c>
      <c r="G3804" s="24" t="str">
        <f>IF(OR(E3804="",E3804="!!!"),"",IF(OR(J3804=0,AND(J3804=1,K3804=1),AND(J3804=1,I3804="SBJ"),AND(J3804=1,I3804=0)),"?IN_FOCUS",IF(J3804&lt;=2,"?ACTIVATED",IF(J3804&lt;&gt;"","?FAMILIAR",IF(F3804="NEW",IF(ISNA(VLOOKUP(E3804,#REF!,1,FALSE())),"?TYPE_IDENTIFIABLE","?REFERENTIAL"),"_")))))</f>
        <v> </v>
      </c>
      <c r="H3804" s="25" t="str">
        <f>IF(J3804&lt;&gt;1,"",IF(I3804="SBJ","CB","?"))</f>
        <v> </v>
      </c>
      <c r="I3804" s="26" t="str">
        <f>IF(OR(E3804="",E3804="!!!",F3804="NEW"),"",INDEX(B3803:B$2,-1+SUMPRODUCT(MAX(ROW(E3803:E$2)*(E3804=E3803:E$2)))))</f>
        <v> </v>
      </c>
      <c r="J3804" s="26" t="str">
        <f>IF(OR(E3804="",E3804="!!!",F3804="NEW"),"",COUNTBLANK(OFFSET(A$1,,,SUMPRODUCT(MAX(ROW(E$2:E3804)*(E3804=E$2:E3804)))))-COUNTBLANK(OFFSET(A$1,,,SUMPRODUCT(MAX(ROW(E$1:E3803)*(E2=E$1:E3803))))))</f>
        <v> </v>
      </c>
      <c r="K3804" s="26" t="str">
        <f>IF(OR(E3804="",E3804="!!!",F3804="NEW"),"",INDEX(J$1:J3803,SUMPRODUCT(MAX(ROW(E$1:E3803)*(E3804=E$1:E3803)))))</f>
        <v> </v>
      </c>
      <c r="L3804" s="27"/>
    </row>
    <row r="3805" spans="1:12">
      <c r="A3805" s="20" t="s">
        <v>2129</v>
      </c>
      <c r="E3805" s="22">
        <f>IF(D3805="?OLD","!!!","")</f>
        <v/>
      </c>
      <c r="F3805" s="23" t="str">
        <f>IF(OR(E3805="",E3805="!!!"),"",IF(NOT(ISNA(VLOOKUP(E3805,E$1:E3804,1,FALSE()))),"OLD",IF(AND(E3805&lt;&gt;"",E3805&lt;&gt;"!!!"),"NEW","")))</f>
        <v> </v>
      </c>
      <c r="G3805" s="24" t="str">
        <f>IF(OR(E3805="",E3805="!!!"),"",IF(OR(J3805=0,AND(J3805=1,K3805=1),AND(J3805=1,I3805="SBJ"),AND(J3805=1,I3805=0)),"?IN_FOCUS",IF(J3805&lt;=2,"?ACTIVATED",IF(J3805&lt;&gt;"","?FAMILIAR",IF(F3805="NEW",IF(ISNA(VLOOKUP(E3805,#REF!,1,FALSE())),"?TYPE_IDENTIFIABLE","?REFERENTIAL"),"_")))))</f>
        <v> </v>
      </c>
      <c r="H3805" s="25" t="str">
        <f>IF(J3805&lt;&gt;1,"",IF(I3805="SBJ","CB","?"))</f>
        <v> </v>
      </c>
      <c r="I3805" s="26" t="str">
        <f>IF(OR(E3805="",E3805="!!!",F3805="NEW"),"",INDEX(B3804:B$2,-1+SUMPRODUCT(MAX(ROW(E3804:E$2)*(E3805=E3804:E$2)))))</f>
        <v> </v>
      </c>
      <c r="J3805" s="26" t="str">
        <f>IF(OR(E3805="",E3805="!!!",F3805="NEW"),"",COUNTBLANK(OFFSET(A$1,,,SUMPRODUCT(MAX(ROW(E$2:E3805)*(E3805=E$2:E3805)))))-COUNTBLANK(OFFSET(A$1,,,SUMPRODUCT(MAX(ROW(E$1:E3804)*(E2=E$1:E3804))))))</f>
        <v> </v>
      </c>
      <c r="K3805" s="26" t="str">
        <f>IF(OR(E3805="",E3805="!!!",F3805="NEW"),"",INDEX(J$1:J3804,SUMPRODUCT(MAX(ROW(E$1:E3804)*(E3805=E$1:E3804)))))</f>
        <v> </v>
      </c>
      <c r="L3805" s="27"/>
    </row>
    <row r="3806" spans="1:12">
      <c r="A3806" s="20" t="s">
        <v>1566</v>
      </c>
      <c r="E3806" s="22">
        <f>IF(D3806="?OLD","!!!","")</f>
        <v/>
      </c>
      <c r="F3806" s="23" t="str">
        <f>IF(OR(E3806="",E3806="!!!"),"",IF(NOT(ISNA(VLOOKUP(E3806,E$1:E3805,1,FALSE()))),"OLD",IF(AND(E3806&lt;&gt;"",E3806&lt;&gt;"!!!"),"NEW","")))</f>
        <v> </v>
      </c>
      <c r="G3806" s="24" t="str">
        <f>IF(OR(E3806="",E3806="!!!"),"",IF(OR(J3806=0,AND(J3806=1,K3806=1),AND(J3806=1,I3806="SBJ"),AND(J3806=1,I3806=0)),"?IN_FOCUS",IF(J3806&lt;=2,"?ACTIVATED",IF(J3806&lt;&gt;"","?FAMILIAR",IF(F3806="NEW",IF(ISNA(VLOOKUP(E3806,#REF!,1,FALSE())),"?TYPE_IDENTIFIABLE","?REFERENTIAL"),"_")))))</f>
        <v> </v>
      </c>
      <c r="H3806" s="25" t="str">
        <f>IF(J3806&lt;&gt;1,"",IF(I3806="SBJ","CB","?"))</f>
        <v> </v>
      </c>
      <c r="I3806" s="26" t="str">
        <f>IF(OR(E3806="",E3806="!!!",F3806="NEW"),"",INDEX(B3805:B$2,-1+SUMPRODUCT(MAX(ROW(E3805:E$2)*(E3806=E3805:E$2)))))</f>
        <v> </v>
      </c>
      <c r="J3806" s="26" t="str">
        <f>IF(OR(E3806="",E3806="!!!",F3806="NEW"),"",COUNTBLANK(OFFSET(A$1,,,SUMPRODUCT(MAX(ROW(E$2:E3806)*(E3806=E$2:E3806)))))-COUNTBLANK(OFFSET(A$1,,,SUMPRODUCT(MAX(ROW(E$1:E3805)*(E2=E$1:E3805))))))</f>
        <v> </v>
      </c>
      <c r="K3806" s="26" t="str">
        <f>IF(OR(E3806="",E3806="!!!",F3806="NEW"),"",INDEX(J$1:J3805,SUMPRODUCT(MAX(ROW(E$1:E3805)*(E3806=E$1:E3805)))))</f>
        <v> </v>
      </c>
      <c r="L3806" s="27"/>
    </row>
    <row r="3807" spans="1:12">
      <c r="A3807" s="20" t="s">
        <v>2130</v>
      </c>
      <c r="E3807" s="22">
        <f>IF(D3807="?OLD","!!!","")</f>
        <v/>
      </c>
      <c r="F3807" s="23" t="str">
        <f>IF(OR(E3807="",E3807="!!!"),"",IF(NOT(ISNA(VLOOKUP(E3807,E$1:E3806,1,FALSE()))),"OLD",IF(AND(E3807&lt;&gt;"",E3807&lt;&gt;"!!!"),"NEW","")))</f>
        <v> </v>
      </c>
      <c r="G3807" s="24" t="str">
        <f>IF(OR(E3807="",E3807="!!!"),"",IF(OR(J3807=0,AND(J3807=1,K3807=1),AND(J3807=1,I3807="SBJ"),AND(J3807=1,I3807=0)),"?IN_FOCUS",IF(J3807&lt;=2,"?ACTIVATED",IF(J3807&lt;&gt;"","?FAMILIAR",IF(F3807="NEW",IF(ISNA(VLOOKUP(E3807,#REF!,1,FALSE())),"?TYPE_IDENTIFIABLE","?REFERENTIAL"),"_")))))</f>
        <v> </v>
      </c>
      <c r="H3807" s="25" t="str">
        <f>IF(J3807&lt;&gt;1,"",IF(I3807="SBJ","CB","?"))</f>
        <v> </v>
      </c>
      <c r="I3807" s="26" t="str">
        <f>IF(OR(E3807="",E3807="!!!",F3807="NEW"),"",INDEX(B3806:B$2,-1+SUMPRODUCT(MAX(ROW(E3806:E$2)*(E3807=E3806:E$2)))))</f>
        <v> </v>
      </c>
      <c r="J3807" s="26" t="str">
        <f>IF(OR(E3807="",E3807="!!!",F3807="NEW"),"",COUNTBLANK(OFFSET(A$1,,,SUMPRODUCT(MAX(ROW(E$2:E3807)*(E3807=E$2:E3807)))))-COUNTBLANK(OFFSET(A$1,,,SUMPRODUCT(MAX(ROW(E$1:E3806)*(E2=E$1:E3806))))))</f>
        <v> </v>
      </c>
      <c r="K3807" s="26" t="str">
        <f>IF(OR(E3807="",E3807="!!!",F3807="NEW"),"",INDEX(J$1:J3806,SUMPRODUCT(MAX(ROW(E$1:E3806)*(E3807=E$1:E3806)))))</f>
        <v> </v>
      </c>
      <c r="L3807" s="27"/>
    </row>
    <row r="3808" spans="1:12">
      <c r="A3808" s="20" t="s">
        <v>1023</v>
      </c>
      <c r="E3808" s="22">
        <f>IF(D3808="?OLD","!!!","")</f>
        <v/>
      </c>
      <c r="F3808" s="23" t="str">
        <f>IF(OR(E3808="",E3808="!!!"),"",IF(NOT(ISNA(VLOOKUP(E3808,E$1:E3807,1,FALSE()))),"OLD",IF(AND(E3808&lt;&gt;"",E3808&lt;&gt;"!!!"),"NEW","")))</f>
        <v> </v>
      </c>
      <c r="G3808" s="24" t="str">
        <f>IF(OR(E3808="",E3808="!!!"),"",IF(OR(J3808=0,AND(J3808=1,K3808=1),AND(J3808=1,I3808="SBJ"),AND(J3808=1,I3808=0)),"?IN_FOCUS",IF(J3808&lt;=2,"?ACTIVATED",IF(J3808&lt;&gt;"","?FAMILIAR",IF(F3808="NEW",IF(ISNA(VLOOKUP(E3808,#REF!,1,FALSE())),"?TYPE_IDENTIFIABLE","?REFERENTIAL"),"_")))))</f>
        <v> </v>
      </c>
      <c r="H3808" s="25" t="str">
        <f>IF(J3808&lt;&gt;1,"",IF(I3808="SBJ","CB","?"))</f>
        <v> </v>
      </c>
      <c r="I3808" s="26" t="str">
        <f>IF(OR(E3808="",E3808="!!!",F3808="NEW"),"",INDEX(B3807:B$2,-1+SUMPRODUCT(MAX(ROW(E3807:E$2)*(E3808=E3807:E$2)))))</f>
        <v> </v>
      </c>
      <c r="J3808" s="26" t="str">
        <f>IF(OR(E3808="",E3808="!!!",F3808="NEW"),"",COUNTBLANK(OFFSET(A$1,,,SUMPRODUCT(MAX(ROW(E$2:E3808)*(E3808=E$2:E3808)))))-COUNTBLANK(OFFSET(A$1,,,SUMPRODUCT(MAX(ROW(E$1:E3807)*(E2=E$1:E3807))))))</f>
        <v> </v>
      </c>
      <c r="K3808" s="26" t="str">
        <f>IF(OR(E3808="",E3808="!!!",F3808="NEW"),"",INDEX(J$1:J3807,SUMPRODUCT(MAX(ROW(E$1:E3807)*(E3808=E$1:E3807)))))</f>
        <v> </v>
      </c>
      <c r="L3808" s="27"/>
    </row>
    <row r="3809" spans="1:12">
      <c r="A3809" s="20"/>
    </row>
    <row r="3810" spans="1:12">
      <c r="A3810" s="20" t="s">
        <v>2131</v>
      </c>
    </row>
    <row r="3811" spans="1:12">
      <c r="A3811" s="20" t="s">
        <v>1147</v>
      </c>
      <c r="E3811" s="22">
        <f>IF(D3811="?OLD","!!!","")</f>
        <v/>
      </c>
      <c r="F3811" s="23" t="str">
        <f>IF(OR(E3811="",E3811="!!!"),"",IF(NOT(ISNA(VLOOKUP(E3811,E$1:E3810,1,FALSE()))),"OLD",IF(AND(E3811&lt;&gt;"",E3811&lt;&gt;"!!!"),"NEW","")))</f>
        <v> </v>
      </c>
      <c r="G3811" s="24" t="str">
        <f>IF(OR(E3811="",E3811="!!!"),"",IF(OR(J3811=0,AND(J3811=1,K3811=1),AND(J3811=1,I3811="SBJ"),AND(J3811=1,I3811=0)),"?IN_FOCUS",IF(J3811&lt;=2,"?ACTIVATED",IF(J3811&lt;&gt;"","?FAMILIAR",IF(F3811="NEW",IF(ISNA(VLOOKUP(E3811,#REF!,1,FALSE())),"?TYPE_IDENTIFIABLE","?REFERENTIAL"),"_")))))</f>
        <v> </v>
      </c>
      <c r="H3811" s="25" t="str">
        <f>IF(J3811&lt;&gt;1,"",IF(I3811="SBJ","CB","?"))</f>
        <v> </v>
      </c>
      <c r="I3811" s="26" t="str">
        <f>IF(OR(E3811="",E3811="!!!",F3811="NEW"),"",INDEX(B3810:B$2,-1+SUMPRODUCT(MAX(ROW(E3810:E$2)*(E3811=E3810:E$2)))))</f>
        <v> </v>
      </c>
      <c r="J3811" s="26" t="str">
        <f>IF(OR(E3811="",E3811="!!!",F3811="NEW"),"",COUNTBLANK(OFFSET(A$1,,,SUMPRODUCT(MAX(ROW(E$2:E3811)*(E3811=E$2:E3811)))))-COUNTBLANK(OFFSET(A$1,,,SUMPRODUCT(MAX(ROW(E$1:E3810)*(E2=E$1:E3810))))))</f>
        <v> </v>
      </c>
      <c r="K3811" s="26" t="str">
        <f>IF(OR(E3811="",E3811="!!!",F3811="NEW"),"",INDEX(J$1:J3810,SUMPRODUCT(MAX(ROW(E$1:E3810)*(E3811=E$1:E3810)))))</f>
        <v> </v>
      </c>
      <c r="L3811" s="27"/>
    </row>
    <row r="3812" spans="1:12">
      <c r="A3812" s="20" t="s">
        <v>2132</v>
      </c>
      <c r="E3812" s="22">
        <f>IF(D3812="?OLD","!!!","")</f>
        <v/>
      </c>
      <c r="F3812" s="23" t="str">
        <f>IF(OR(E3812="",E3812="!!!"),"",IF(NOT(ISNA(VLOOKUP(E3812,E$1:E3811,1,FALSE()))),"OLD",IF(AND(E3812&lt;&gt;"",E3812&lt;&gt;"!!!"),"NEW","")))</f>
        <v> </v>
      </c>
      <c r="G3812" s="24" t="str">
        <f>IF(OR(E3812="",E3812="!!!"),"",IF(OR(J3812=0,AND(J3812=1,K3812=1),AND(J3812=1,I3812="SBJ"),AND(J3812=1,I3812=0)),"?IN_FOCUS",IF(J3812&lt;=2,"?ACTIVATED",IF(J3812&lt;&gt;"","?FAMILIAR",IF(F3812="NEW",IF(ISNA(VLOOKUP(E3812,#REF!,1,FALSE())),"?TYPE_IDENTIFIABLE","?REFERENTIAL"),"_")))))</f>
        <v> </v>
      </c>
      <c r="H3812" s="25" t="str">
        <f>IF(J3812&lt;&gt;1,"",IF(I3812="SBJ","CB","?"))</f>
        <v> </v>
      </c>
      <c r="I3812" s="26" t="str">
        <f>IF(OR(E3812="",E3812="!!!",F3812="NEW"),"",INDEX(B3811:B$2,-1+SUMPRODUCT(MAX(ROW(E3811:E$2)*(E3812=E3811:E$2)))))</f>
        <v> </v>
      </c>
      <c r="J3812" s="26" t="str">
        <f>IF(OR(E3812="",E3812="!!!",F3812="NEW"),"",COUNTBLANK(OFFSET(A$1,,,SUMPRODUCT(MAX(ROW(E$2:E3812)*(E3812=E$2:E3812)))))-COUNTBLANK(OFFSET(A$1,,,SUMPRODUCT(MAX(ROW(E$1:E3811)*(E2=E$1:E3811))))))</f>
        <v> </v>
      </c>
      <c r="K3812" s="26" t="str">
        <f>IF(OR(E3812="",E3812="!!!",F3812="NEW"),"",INDEX(J$1:J3811,SUMPRODUCT(MAX(ROW(E$1:E3811)*(E3812=E$1:E3811)))))</f>
        <v> </v>
      </c>
      <c r="L3812" s="27"/>
    </row>
    <row r="3813" spans="1:12">
      <c r="A3813" s="20" t="s">
        <v>2133</v>
      </c>
      <c r="E3813" s="22">
        <f>IF(D3813="?OLD","!!!","")</f>
        <v/>
      </c>
      <c r="F3813" s="23" t="str">
        <f>IF(OR(E3813="",E3813="!!!"),"",IF(NOT(ISNA(VLOOKUP(E3813,E$1:E3812,1,FALSE()))),"OLD",IF(AND(E3813&lt;&gt;"",E3813&lt;&gt;"!!!"),"NEW","")))</f>
        <v> </v>
      </c>
      <c r="G3813" s="24" t="str">
        <f>IF(OR(E3813="",E3813="!!!"),"",IF(OR(J3813=0,AND(J3813=1,K3813=1),AND(J3813=1,I3813="SBJ"),AND(J3813=1,I3813=0)),"?IN_FOCUS",IF(J3813&lt;=2,"?ACTIVATED",IF(J3813&lt;&gt;"","?FAMILIAR",IF(F3813="NEW",IF(ISNA(VLOOKUP(E3813,#REF!,1,FALSE())),"?TYPE_IDENTIFIABLE","?REFERENTIAL"),"_")))))</f>
        <v> </v>
      </c>
      <c r="H3813" s="25" t="str">
        <f>IF(J3813&lt;&gt;1,"",IF(I3813="SBJ","CB","?"))</f>
        <v> </v>
      </c>
      <c r="I3813" s="26" t="str">
        <f>IF(OR(E3813="",E3813="!!!",F3813="NEW"),"",INDEX(B3812:B$2,-1+SUMPRODUCT(MAX(ROW(E3812:E$2)*(E3813=E3812:E$2)))))</f>
        <v> </v>
      </c>
      <c r="J3813" s="26" t="str">
        <f>IF(OR(E3813="",E3813="!!!",F3813="NEW"),"",COUNTBLANK(OFFSET(A$1,,,SUMPRODUCT(MAX(ROW(E$2:E3813)*(E3813=E$2:E3813)))))-COUNTBLANK(OFFSET(A$1,,,SUMPRODUCT(MAX(ROW(E$1:E3812)*(E2=E$1:E3812))))))</f>
        <v> </v>
      </c>
      <c r="K3813" s="26" t="str">
        <f>IF(OR(E3813="",E3813="!!!",F3813="NEW"),"",INDEX(J$1:J3812,SUMPRODUCT(MAX(ROW(E$1:E3812)*(E3813=E$1:E3812)))))</f>
        <v> </v>
      </c>
      <c r="L3813" s="27"/>
    </row>
    <row r="3814" spans="1:12">
      <c r="A3814" s="20" t="s">
        <v>1020</v>
      </c>
      <c r="E3814" s="22">
        <f>IF(D3814="?OLD","!!!","")</f>
        <v/>
      </c>
      <c r="F3814" s="23" t="str">
        <f>IF(OR(E3814="",E3814="!!!"),"",IF(NOT(ISNA(VLOOKUP(E3814,E$1:E3813,1,FALSE()))),"OLD",IF(AND(E3814&lt;&gt;"",E3814&lt;&gt;"!!!"),"NEW","")))</f>
        <v> </v>
      </c>
      <c r="G3814" s="24" t="str">
        <f>IF(OR(E3814="",E3814="!!!"),"",IF(OR(J3814=0,AND(J3814=1,K3814=1),AND(J3814=1,I3814="SBJ"),AND(J3814=1,I3814=0)),"?IN_FOCUS",IF(J3814&lt;=2,"?ACTIVATED",IF(J3814&lt;&gt;"","?FAMILIAR",IF(F3814="NEW",IF(ISNA(VLOOKUP(E3814,#REF!,1,FALSE())),"?TYPE_IDENTIFIABLE","?REFERENTIAL"),"_")))))</f>
        <v> </v>
      </c>
      <c r="H3814" s="25" t="str">
        <f>IF(J3814&lt;&gt;1,"",IF(I3814="SBJ","CB","?"))</f>
        <v> </v>
      </c>
      <c r="I3814" s="26" t="str">
        <f>IF(OR(E3814="",E3814="!!!",F3814="NEW"),"",INDEX(B3813:B$2,-1+SUMPRODUCT(MAX(ROW(E3813:E$2)*(E3814=E3813:E$2)))))</f>
        <v> </v>
      </c>
      <c r="J3814" s="26" t="str">
        <f>IF(OR(E3814="",E3814="!!!",F3814="NEW"),"",COUNTBLANK(OFFSET(A$1,,,SUMPRODUCT(MAX(ROW(E$2:E3814)*(E3814=E$2:E3814)))))-COUNTBLANK(OFFSET(A$1,,,SUMPRODUCT(MAX(ROW(E$1:E3813)*(E2=E$1:E3813))))))</f>
        <v> </v>
      </c>
      <c r="K3814" s="26" t="str">
        <f>IF(OR(E3814="",E3814="!!!",F3814="NEW"),"",INDEX(J$1:J3813,SUMPRODUCT(MAX(ROW(E$1:E3813)*(E3814=E$1:E3813)))))</f>
        <v> </v>
      </c>
      <c r="L3814" s="27"/>
    </row>
    <row r="3815" spans="1:12">
      <c r="A3815" s="20" t="s">
        <v>1015</v>
      </c>
      <c r="E3815" s="22">
        <f>IF(D3815="?OLD","!!!","")</f>
        <v/>
      </c>
      <c r="F3815" s="23" t="str">
        <f>IF(OR(E3815="",E3815="!!!"),"",IF(NOT(ISNA(VLOOKUP(E3815,E$1:E3814,1,FALSE()))),"OLD",IF(AND(E3815&lt;&gt;"",E3815&lt;&gt;"!!!"),"NEW","")))</f>
        <v> </v>
      </c>
      <c r="G3815" s="24" t="str">
        <f>IF(OR(E3815="",E3815="!!!"),"",IF(OR(J3815=0,AND(J3815=1,K3815=1),AND(J3815=1,I3815="SBJ"),AND(J3815=1,I3815=0)),"?IN_FOCUS",IF(J3815&lt;=2,"?ACTIVATED",IF(J3815&lt;&gt;"","?FAMILIAR",IF(F3815="NEW",IF(ISNA(VLOOKUP(E3815,#REF!,1,FALSE())),"?TYPE_IDENTIFIABLE","?REFERENTIAL"),"_")))))</f>
        <v> </v>
      </c>
      <c r="H3815" s="25" t="str">
        <f>IF(J3815&lt;&gt;1,"",IF(I3815="SBJ","CB","?"))</f>
        <v> </v>
      </c>
      <c r="I3815" s="26" t="str">
        <f>IF(OR(E3815="",E3815="!!!",F3815="NEW"),"",INDEX(B3814:B$2,-1+SUMPRODUCT(MAX(ROW(E3814:E$2)*(E3815=E3814:E$2)))))</f>
        <v> </v>
      </c>
      <c r="J3815" s="26" t="str">
        <f>IF(OR(E3815="",E3815="!!!",F3815="NEW"),"",COUNTBLANK(OFFSET(A$1,,,SUMPRODUCT(MAX(ROW(E$2:E3815)*(E3815=E$2:E3815)))))-COUNTBLANK(OFFSET(A$1,,,SUMPRODUCT(MAX(ROW(E$1:E3814)*(E2=E$1:E3814))))))</f>
        <v> </v>
      </c>
      <c r="K3815" s="26" t="str">
        <f>IF(OR(E3815="",E3815="!!!",F3815="NEW"),"",INDEX(J$1:J3814,SUMPRODUCT(MAX(ROW(E$1:E3814)*(E3815=E$1:E3814)))))</f>
        <v> </v>
      </c>
      <c r="L3815" s="27"/>
    </row>
    <row r="3816" spans="1:12">
      <c r="A3816" s="20" t="s">
        <v>1902</v>
      </c>
      <c r="B3816" s="21" t="s">
        <v>1033</v>
      </c>
      <c r="C3816" s="21" t="s">
        <v>1059</v>
      </c>
      <c r="D3816" s="21" t="s">
        <v>1007</v>
      </c>
      <c r="E3816" s="22">
        <f>IF(D3816="?OLD","!!!","")</f>
        <v/>
      </c>
      <c r="F3816" s="23" t="str">
        <f>IF(OR(E3816="",E3816="!!!"),"",IF(NOT(ISNA(VLOOKUP(E3816,E$1:E3815,1,FALSE()))),"OLD",IF(AND(E3816&lt;&gt;"",E3816&lt;&gt;"!!!"),"NEW","")))</f>
        <v> </v>
      </c>
      <c r="G3816" s="24" t="str">
        <f>IF(OR(E3816="",E3816="!!!"),"",IF(OR(J3816=0,AND(J3816=1,K3816=1),AND(J3816=1,I3816="SBJ"),AND(J3816=1,I3816=0)),"?IN_FOCUS",IF(J3816&lt;=2,"?ACTIVATED",IF(J3816&lt;&gt;"","?FAMILIAR",IF(F3816="NEW",IF(ISNA(VLOOKUP(E3816,#REF!,1,FALSE())),"?TYPE_IDENTIFIABLE","?REFERENTIAL"),"_")))))</f>
        <v> </v>
      </c>
      <c r="H3816" s="25" t="str">
        <f>IF(J3816&lt;&gt;1,"",IF(I3816="SBJ","CB","?"))</f>
        <v> </v>
      </c>
      <c r="I3816" s="26" t="str">
        <f>IF(OR(E3816="",E3816="!!!",F3816="NEW"),"",INDEX(B3815:B$2,-1+SUMPRODUCT(MAX(ROW(E3815:E$2)*(E3816=E3815:E$2)))))</f>
        <v> </v>
      </c>
      <c r="J3816" s="26" t="str">
        <f>IF(OR(E3816="",E3816="!!!",F3816="NEW"),"",COUNTBLANK(OFFSET(A$1,,,SUMPRODUCT(MAX(ROW(E$2:E3816)*(E3816=E$2:E3816)))))-COUNTBLANK(OFFSET(A$1,,,SUMPRODUCT(MAX(ROW(E$1:E3815)*(E2=E$1:E3815))))))</f>
        <v> </v>
      </c>
      <c r="K3816" s="26" t="str">
        <f>IF(OR(E3816="",E3816="!!!",F3816="NEW"),"",INDEX(J$1:J3815,SUMPRODUCT(MAX(ROW(E$1:E3815)*(E3816=E$1:E3815)))))</f>
        <v> </v>
      </c>
      <c r="L3816" s="27"/>
    </row>
    <row r="3817" spans="1:12">
      <c r="A3817" s="20" t="s">
        <v>2134</v>
      </c>
      <c r="B3817" s="21" t="s">
        <v>1029</v>
      </c>
      <c r="C3817" s="21" t="s">
        <v>1017</v>
      </c>
      <c r="D3817" s="21" t="s">
        <v>1007</v>
      </c>
      <c r="E3817" s="22">
        <f>IF(D3817="?OLD","!!!","")</f>
        <v/>
      </c>
      <c r="F3817" s="23" t="str">
        <f>IF(OR(E3817="",E3817="!!!"),"",IF(NOT(ISNA(VLOOKUP(E3817,E$1:E3816,1,FALSE()))),"OLD",IF(AND(E3817&lt;&gt;"",E3817&lt;&gt;"!!!"),"NEW","")))</f>
        <v> </v>
      </c>
      <c r="G3817" s="24" t="str">
        <f>IF(OR(E3817="",E3817="!!!"),"",IF(OR(J3817=0,AND(J3817=1,K3817=1),AND(J3817=1,I3817="SBJ"),AND(J3817=1,I3817=0)),"?IN_FOCUS",IF(J3817&lt;=2,"?ACTIVATED",IF(J3817&lt;&gt;"","?FAMILIAR",IF(F3817="NEW",IF(ISNA(VLOOKUP(E3817,#REF!,1,FALSE())),"?TYPE_IDENTIFIABLE","?REFERENTIAL"),"_")))))</f>
        <v> </v>
      </c>
      <c r="H3817" s="25" t="str">
        <f>IF(J3817&lt;&gt;1,"",IF(I3817="SBJ","CB","?"))</f>
        <v> </v>
      </c>
      <c r="I3817" s="26" t="str">
        <f>IF(OR(E3817="",E3817="!!!",F3817="NEW"),"",INDEX(B3816:B$2,-1+SUMPRODUCT(MAX(ROW(E3816:E$2)*(E3817=E3816:E$2)))))</f>
        <v> </v>
      </c>
      <c r="J3817" s="26" t="str">
        <f>IF(OR(E3817="",E3817="!!!",F3817="NEW"),"",COUNTBLANK(OFFSET(A$1,,,SUMPRODUCT(MAX(ROW(E$2:E3817)*(E3817=E$2:E3817)))))-COUNTBLANK(OFFSET(A$1,,,SUMPRODUCT(MAX(ROW(E$1:E3816)*(E2=E$1:E3816))))))</f>
        <v> </v>
      </c>
      <c r="K3817" s="26" t="str">
        <f>IF(OR(E3817="",E3817="!!!",F3817="NEW"),"",INDEX(J$1:J3816,SUMPRODUCT(MAX(ROW(E$1:E3816)*(E3817=E$1:E3816)))))</f>
        <v> </v>
      </c>
      <c r="L3817" s="27"/>
    </row>
    <row r="3818" spans="1:12">
      <c r="A3818" s="20" t="s">
        <v>56</v>
      </c>
      <c r="E3818" s="22">
        <f>IF(D3818="?OLD","!!!","")</f>
        <v/>
      </c>
      <c r="F3818" s="23" t="str">
        <f>IF(OR(E3818="",E3818="!!!"),"",IF(NOT(ISNA(VLOOKUP(E3818,E$1:E3817,1,FALSE()))),"OLD",IF(AND(E3818&lt;&gt;"",E3818&lt;&gt;"!!!"),"NEW","")))</f>
        <v> </v>
      </c>
      <c r="G3818" s="24" t="str">
        <f>IF(OR(E3818="",E3818="!!!"),"",IF(OR(J3818=0,AND(J3818=1,K3818=1),AND(J3818=1,I3818="SBJ"),AND(J3818=1,I3818=0)),"?IN_FOCUS",IF(J3818&lt;=2,"?ACTIVATED",IF(J3818&lt;&gt;"","?FAMILIAR",IF(F3818="NEW",IF(ISNA(VLOOKUP(E3818,#REF!,1,FALSE())),"?TYPE_IDENTIFIABLE","?REFERENTIAL"),"_")))))</f>
        <v> </v>
      </c>
      <c r="H3818" s="25" t="str">
        <f>IF(J3818&lt;&gt;1,"",IF(I3818="SBJ","CB","?"))</f>
        <v> </v>
      </c>
      <c r="I3818" s="26" t="str">
        <f>IF(OR(E3818="",E3818="!!!",F3818="NEW"),"",INDEX(B3817:B$2,-1+SUMPRODUCT(MAX(ROW(E3817:E$2)*(E3818=E3817:E$2)))))</f>
        <v> </v>
      </c>
      <c r="J3818" s="26" t="str">
        <f>IF(OR(E3818="",E3818="!!!",F3818="NEW"),"",COUNTBLANK(OFFSET(A$1,,,SUMPRODUCT(MAX(ROW(E$2:E3818)*(E3818=E$2:E3818)))))-COUNTBLANK(OFFSET(A$1,,,SUMPRODUCT(MAX(ROW(E$1:E3817)*(E2=E$1:E3817))))))</f>
        <v> </v>
      </c>
      <c r="K3818" s="26" t="str">
        <f>IF(OR(E3818="",E3818="!!!",F3818="NEW"),"",INDEX(J$1:J3817,SUMPRODUCT(MAX(ROW(E$1:E3817)*(E3818=E$1:E3817)))))</f>
        <v> </v>
      </c>
      <c r="L3818" s="27"/>
    </row>
    <row r="3819" spans="1:12">
      <c r="A3819" s="20" t="s">
        <v>1142</v>
      </c>
      <c r="E3819" s="22">
        <f>IF(D3819="?OLD","!!!","")</f>
        <v/>
      </c>
      <c r="F3819" s="23" t="str">
        <f>IF(OR(E3819="",E3819="!!!"),"",IF(NOT(ISNA(VLOOKUP(E3819,E$1:E3818,1,FALSE()))),"OLD",IF(AND(E3819&lt;&gt;"",E3819&lt;&gt;"!!!"),"NEW","")))</f>
        <v> </v>
      </c>
      <c r="G3819" s="24" t="str">
        <f>IF(OR(E3819="",E3819="!!!"),"",IF(OR(J3819=0,AND(J3819=1,K3819=1),AND(J3819=1,I3819="SBJ"),AND(J3819=1,I3819=0)),"?IN_FOCUS",IF(J3819&lt;=2,"?ACTIVATED",IF(J3819&lt;&gt;"","?FAMILIAR",IF(F3819="NEW",IF(ISNA(VLOOKUP(E3819,#REF!,1,FALSE())),"?TYPE_IDENTIFIABLE","?REFERENTIAL"),"_")))))</f>
        <v> </v>
      </c>
      <c r="H3819" s="25" t="str">
        <f>IF(J3819&lt;&gt;1,"",IF(I3819="SBJ","CB","?"))</f>
        <v> </v>
      </c>
      <c r="I3819" s="26" t="str">
        <f>IF(OR(E3819="",E3819="!!!",F3819="NEW"),"",INDEX(B3818:B$2,-1+SUMPRODUCT(MAX(ROW(E3818:E$2)*(E3819=E3818:E$2)))))</f>
        <v> </v>
      </c>
      <c r="J3819" s="26" t="str">
        <f>IF(OR(E3819="",E3819="!!!",F3819="NEW"),"",COUNTBLANK(OFFSET(A$1,,,SUMPRODUCT(MAX(ROW(E$2:E3819)*(E3819=E$2:E3819)))))-COUNTBLANK(OFFSET(A$1,,,SUMPRODUCT(MAX(ROW(E$1:E3818)*(E2=E$1:E3818))))))</f>
        <v> </v>
      </c>
      <c r="K3819" s="26" t="str">
        <f>IF(OR(E3819="",E3819="!!!",F3819="NEW"),"",INDEX(J$1:J3818,SUMPRODUCT(MAX(ROW(E$1:E3818)*(E3819=E$1:E3818)))))</f>
        <v> </v>
      </c>
      <c r="L3819" s="27"/>
    </row>
    <row r="3820" spans="1:12">
      <c r="A3820" s="20" t="s">
        <v>2132</v>
      </c>
      <c r="E3820" s="22">
        <f>IF(D3820="?OLD","!!!","")</f>
        <v/>
      </c>
      <c r="F3820" s="23" t="str">
        <f>IF(OR(E3820="",E3820="!!!"),"",IF(NOT(ISNA(VLOOKUP(E3820,E$1:E3819,1,FALSE()))),"OLD",IF(AND(E3820&lt;&gt;"",E3820&lt;&gt;"!!!"),"NEW","")))</f>
        <v> </v>
      </c>
      <c r="G3820" s="24" t="str">
        <f>IF(OR(E3820="",E3820="!!!"),"",IF(OR(J3820=0,AND(J3820=1,K3820=1),AND(J3820=1,I3820="SBJ"),AND(J3820=1,I3820=0)),"?IN_FOCUS",IF(J3820&lt;=2,"?ACTIVATED",IF(J3820&lt;&gt;"","?FAMILIAR",IF(F3820="NEW",IF(ISNA(VLOOKUP(E3820,#REF!,1,FALSE())),"?TYPE_IDENTIFIABLE","?REFERENTIAL"),"_")))))</f>
        <v> </v>
      </c>
      <c r="H3820" s="25" t="str">
        <f>IF(J3820&lt;&gt;1,"",IF(I3820="SBJ","CB","?"))</f>
        <v> </v>
      </c>
      <c r="I3820" s="26" t="str">
        <f>IF(OR(E3820="",E3820="!!!",F3820="NEW"),"",INDEX(B3819:B$2,-1+SUMPRODUCT(MAX(ROW(E3819:E$2)*(E3820=E3819:E$2)))))</f>
        <v> </v>
      </c>
      <c r="J3820" s="26" t="str">
        <f>IF(OR(E3820="",E3820="!!!",F3820="NEW"),"",COUNTBLANK(OFFSET(A$1,,,SUMPRODUCT(MAX(ROW(E$2:E3820)*(E3820=E$2:E3820)))))-COUNTBLANK(OFFSET(A$1,,,SUMPRODUCT(MAX(ROW(E$1:E3819)*(E2=E$1:E3819))))))</f>
        <v> </v>
      </c>
      <c r="K3820" s="26" t="str">
        <f>IF(OR(E3820="",E3820="!!!",F3820="NEW"),"",INDEX(J$1:J3819,SUMPRODUCT(MAX(ROW(E$1:E3819)*(E3820=E$1:E3819)))))</f>
        <v> </v>
      </c>
      <c r="L3820" s="27"/>
    </row>
    <row r="3821" spans="1:12">
      <c r="A3821" s="20" t="s">
        <v>2133</v>
      </c>
      <c r="E3821" s="22">
        <f>IF(D3821="?OLD","!!!","")</f>
        <v/>
      </c>
      <c r="F3821" s="23" t="str">
        <f>IF(OR(E3821="",E3821="!!!"),"",IF(NOT(ISNA(VLOOKUP(E3821,E$1:E3820,1,FALSE()))),"OLD",IF(AND(E3821&lt;&gt;"",E3821&lt;&gt;"!!!"),"NEW","")))</f>
        <v> </v>
      </c>
      <c r="G3821" s="24" t="str">
        <f>IF(OR(E3821="",E3821="!!!"),"",IF(OR(J3821=0,AND(J3821=1,K3821=1),AND(J3821=1,I3821="SBJ"),AND(J3821=1,I3821=0)),"?IN_FOCUS",IF(J3821&lt;=2,"?ACTIVATED",IF(J3821&lt;&gt;"","?FAMILIAR",IF(F3821="NEW",IF(ISNA(VLOOKUP(E3821,#REF!,1,FALSE())),"?TYPE_IDENTIFIABLE","?REFERENTIAL"),"_")))))</f>
        <v> </v>
      </c>
      <c r="H3821" s="25" t="str">
        <f>IF(J3821&lt;&gt;1,"",IF(I3821="SBJ","CB","?"))</f>
        <v> </v>
      </c>
      <c r="I3821" s="26" t="str">
        <f>IF(OR(E3821="",E3821="!!!",F3821="NEW"),"",INDEX(B3820:B$2,-1+SUMPRODUCT(MAX(ROW(E3820:E$2)*(E3821=E3820:E$2)))))</f>
        <v> </v>
      </c>
      <c r="J3821" s="26" t="str">
        <f>IF(OR(E3821="",E3821="!!!",F3821="NEW"),"",COUNTBLANK(OFFSET(A$1,,,SUMPRODUCT(MAX(ROW(E$2:E3821)*(E3821=E$2:E3821)))))-COUNTBLANK(OFFSET(A$1,,,SUMPRODUCT(MAX(ROW(E$1:E3820)*(E2=E$1:E3820))))))</f>
        <v> </v>
      </c>
      <c r="K3821" s="26" t="str">
        <f>IF(OR(E3821="",E3821="!!!",F3821="NEW"),"",INDEX(J$1:J3820,SUMPRODUCT(MAX(ROW(E$1:E3820)*(E3821=E$1:E3820)))))</f>
        <v> </v>
      </c>
      <c r="L3821" s="27"/>
    </row>
    <row r="3822" spans="1:12">
      <c r="A3822" s="20" t="s">
        <v>1020</v>
      </c>
      <c r="E3822" s="22">
        <f>IF(D3822="?OLD","!!!","")</f>
        <v/>
      </c>
      <c r="F3822" s="23" t="str">
        <f>IF(OR(E3822="",E3822="!!!"),"",IF(NOT(ISNA(VLOOKUP(E3822,E$1:E3821,1,FALSE()))),"OLD",IF(AND(E3822&lt;&gt;"",E3822&lt;&gt;"!!!"),"NEW","")))</f>
        <v> </v>
      </c>
      <c r="G3822" s="24" t="str">
        <f>IF(OR(E3822="",E3822="!!!"),"",IF(OR(J3822=0,AND(J3822=1,K3822=1),AND(J3822=1,I3822="SBJ"),AND(J3822=1,I3822=0)),"?IN_FOCUS",IF(J3822&lt;=2,"?ACTIVATED",IF(J3822&lt;&gt;"","?FAMILIAR",IF(F3822="NEW",IF(ISNA(VLOOKUP(E3822,#REF!,1,FALSE())),"?TYPE_IDENTIFIABLE","?REFERENTIAL"),"_")))))</f>
        <v> </v>
      </c>
      <c r="H3822" s="25" t="str">
        <f>IF(J3822&lt;&gt;1,"",IF(I3822="SBJ","CB","?"))</f>
        <v> </v>
      </c>
      <c r="I3822" s="26" t="str">
        <f>IF(OR(E3822="",E3822="!!!",F3822="NEW"),"",INDEX(B3821:B$2,-1+SUMPRODUCT(MAX(ROW(E3821:E$2)*(E3822=E3821:E$2)))))</f>
        <v> </v>
      </c>
      <c r="J3822" s="26" t="str">
        <f>IF(OR(E3822="",E3822="!!!",F3822="NEW"),"",COUNTBLANK(OFFSET(A$1,,,SUMPRODUCT(MAX(ROW(E$2:E3822)*(E3822=E$2:E3822)))))-COUNTBLANK(OFFSET(A$1,,,SUMPRODUCT(MAX(ROW(E$1:E3821)*(E2=E$1:E3821))))))</f>
        <v> </v>
      </c>
      <c r="K3822" s="26" t="str">
        <f>IF(OR(E3822="",E3822="!!!",F3822="NEW"),"",INDEX(J$1:J3821,SUMPRODUCT(MAX(ROW(E$1:E3821)*(E3822=E$1:E3821)))))</f>
        <v> </v>
      </c>
      <c r="L3822" s="27"/>
    </row>
    <row r="3823" spans="1:12">
      <c r="A3823" s="20" t="s">
        <v>102</v>
      </c>
      <c r="E3823" s="22">
        <f>IF(D3823="?OLD","!!!","")</f>
        <v/>
      </c>
      <c r="F3823" s="23" t="str">
        <f>IF(OR(E3823="",E3823="!!!"),"",IF(NOT(ISNA(VLOOKUP(E3823,E$1:E3822,1,FALSE()))),"OLD",IF(AND(E3823&lt;&gt;"",E3823&lt;&gt;"!!!"),"NEW","")))</f>
        <v> </v>
      </c>
      <c r="G3823" s="24" t="str">
        <f>IF(OR(E3823="",E3823="!!!"),"",IF(OR(J3823=0,AND(J3823=1,K3823=1),AND(J3823=1,I3823="SBJ"),AND(J3823=1,I3823=0)),"?IN_FOCUS",IF(J3823&lt;=2,"?ACTIVATED",IF(J3823&lt;&gt;"","?FAMILIAR",IF(F3823="NEW",IF(ISNA(VLOOKUP(E3823,#REF!,1,FALSE())),"?TYPE_IDENTIFIABLE","?REFERENTIAL"),"_")))))</f>
        <v> </v>
      </c>
      <c r="H3823" s="25" t="str">
        <f>IF(J3823&lt;&gt;1,"",IF(I3823="SBJ","CB","?"))</f>
        <v> </v>
      </c>
      <c r="I3823" s="26" t="str">
        <f>IF(OR(E3823="",E3823="!!!",F3823="NEW"),"",INDEX(B3822:B$2,-1+SUMPRODUCT(MAX(ROW(E3822:E$2)*(E3823=E3822:E$2)))))</f>
        <v> </v>
      </c>
      <c r="J3823" s="26" t="str">
        <f>IF(OR(E3823="",E3823="!!!",F3823="NEW"),"",COUNTBLANK(OFFSET(A$1,,,SUMPRODUCT(MAX(ROW(E$2:E3823)*(E3823=E$2:E3823)))))-COUNTBLANK(OFFSET(A$1,,,SUMPRODUCT(MAX(ROW(E$1:E3822)*(E2=E$1:E3822))))))</f>
        <v> </v>
      </c>
      <c r="K3823" s="26" t="str">
        <f>IF(OR(E3823="",E3823="!!!",F3823="NEW"),"",INDEX(J$1:J3822,SUMPRODUCT(MAX(ROW(E$1:E3822)*(E3823=E$1:E3822)))))</f>
        <v> </v>
      </c>
      <c r="L3823" s="27"/>
    </row>
    <row r="3824" spans="1:12">
      <c r="A3824" s="20" t="s">
        <v>2135</v>
      </c>
      <c r="B3824" s="21" t="s">
        <v>1187</v>
      </c>
      <c r="C3824" s="21" t="s">
        <v>1017</v>
      </c>
      <c r="D3824" s="21" t="s">
        <v>1007</v>
      </c>
      <c r="E3824" s="22">
        <f>IF(D3824="?OLD","!!!","")</f>
        <v/>
      </c>
      <c r="F3824" s="23" t="str">
        <f>IF(OR(E3824="",E3824="!!!"),"",IF(NOT(ISNA(VLOOKUP(E3824,E$1:E3823,1,FALSE()))),"OLD",IF(AND(E3824&lt;&gt;"",E3824&lt;&gt;"!!!"),"NEW","")))</f>
        <v> </v>
      </c>
      <c r="G3824" s="24" t="str">
        <f>IF(OR(E3824="",E3824="!!!"),"",IF(OR(J3824=0,AND(J3824=1,K3824=1),AND(J3824=1,I3824="SBJ"),AND(J3824=1,I3824=0)),"?IN_FOCUS",IF(J3824&lt;=2,"?ACTIVATED",IF(J3824&lt;&gt;"","?FAMILIAR",IF(F3824="NEW",IF(ISNA(VLOOKUP(E3824,#REF!,1,FALSE())),"?TYPE_IDENTIFIABLE","?REFERENTIAL"),"_")))))</f>
        <v> </v>
      </c>
      <c r="H3824" s="25" t="str">
        <f>IF(J3824&lt;&gt;1,"",IF(I3824="SBJ","CB","?"))</f>
        <v> </v>
      </c>
      <c r="I3824" s="26" t="str">
        <f>IF(OR(E3824="",E3824="!!!",F3824="NEW"),"",INDEX(B3823:B$2,-1+SUMPRODUCT(MAX(ROW(E3823:E$2)*(E3824=E3823:E$2)))))</f>
        <v> </v>
      </c>
      <c r="J3824" s="26" t="str">
        <f>IF(OR(E3824="",E3824="!!!",F3824="NEW"),"",COUNTBLANK(OFFSET(A$1,,,SUMPRODUCT(MAX(ROW(E$2:E3824)*(E3824=E$2:E3824)))))-COUNTBLANK(OFFSET(A$1,,,SUMPRODUCT(MAX(ROW(E$1:E3823)*(E2=E$1:E3823))))))</f>
        <v> </v>
      </c>
      <c r="K3824" s="26" t="str">
        <f>IF(OR(E3824="",E3824="!!!",F3824="NEW"),"",INDEX(J$1:J3823,SUMPRODUCT(MAX(ROW(E$1:E3823)*(E3824=E$1:E3823)))))</f>
        <v> </v>
      </c>
      <c r="L3824" s="27"/>
    </row>
    <row r="3825" spans="1:12">
      <c r="A3825" s="20" t="s">
        <v>1266</v>
      </c>
      <c r="E3825" s="22">
        <f>IF(D3825="?OLD","!!!","")</f>
        <v/>
      </c>
      <c r="F3825" s="23" t="str">
        <f>IF(OR(E3825="",E3825="!!!"),"",IF(NOT(ISNA(VLOOKUP(E3825,E$1:E3824,1,FALSE()))),"OLD",IF(AND(E3825&lt;&gt;"",E3825&lt;&gt;"!!!"),"NEW","")))</f>
        <v> </v>
      </c>
      <c r="G3825" s="24" t="str">
        <f>IF(OR(E3825="",E3825="!!!"),"",IF(OR(J3825=0,AND(J3825=1,K3825=1),AND(J3825=1,I3825="SBJ"),AND(J3825=1,I3825=0)),"?IN_FOCUS",IF(J3825&lt;=2,"?ACTIVATED",IF(J3825&lt;&gt;"","?FAMILIAR",IF(F3825="NEW",IF(ISNA(VLOOKUP(E3825,#REF!,1,FALSE())),"?TYPE_IDENTIFIABLE","?REFERENTIAL"),"_")))))</f>
        <v> </v>
      </c>
      <c r="H3825" s="25" t="str">
        <f>IF(J3825&lt;&gt;1,"",IF(I3825="SBJ","CB","?"))</f>
        <v> </v>
      </c>
      <c r="I3825" s="26" t="str">
        <f>IF(OR(E3825="",E3825="!!!",F3825="NEW"),"",INDEX(B3824:B$2,-1+SUMPRODUCT(MAX(ROW(E3824:E$2)*(E3825=E3824:E$2)))))</f>
        <v> </v>
      </c>
      <c r="J3825" s="26" t="str">
        <f>IF(OR(E3825="",E3825="!!!",F3825="NEW"),"",COUNTBLANK(OFFSET(A$1,,,SUMPRODUCT(MAX(ROW(E$2:E3825)*(E3825=E$2:E3825)))))-COUNTBLANK(OFFSET(A$1,,,SUMPRODUCT(MAX(ROW(E$1:E3824)*(E2=E$1:E3824))))))</f>
        <v> </v>
      </c>
      <c r="K3825" s="26" t="str">
        <f>IF(OR(E3825="",E3825="!!!",F3825="NEW"),"",INDEX(J$1:J3824,SUMPRODUCT(MAX(ROW(E$1:E3824)*(E3825=E$1:E3824)))))</f>
        <v> </v>
      </c>
      <c r="L3825" s="27"/>
    </row>
    <row r="3826" spans="1:12">
      <c r="A3826" s="20" t="s">
        <v>1030</v>
      </c>
      <c r="E3826" s="22">
        <f>IF(D3826="?OLD","!!!","")</f>
        <v/>
      </c>
      <c r="F3826" s="23" t="str">
        <f>IF(OR(E3826="",E3826="!!!"),"",IF(NOT(ISNA(VLOOKUP(E3826,E$1:E3825,1,FALSE()))),"OLD",IF(AND(E3826&lt;&gt;"",E3826&lt;&gt;"!!!"),"NEW","")))</f>
        <v> </v>
      </c>
      <c r="G3826" s="24" t="str">
        <f>IF(OR(E3826="",E3826="!!!"),"",IF(OR(J3826=0,AND(J3826=1,K3826=1),AND(J3826=1,I3826="SBJ"),AND(J3826=1,I3826=0)),"?IN_FOCUS",IF(J3826&lt;=2,"?ACTIVATED",IF(J3826&lt;&gt;"","?FAMILIAR",IF(F3826="NEW",IF(ISNA(VLOOKUP(E3826,#REF!,1,FALSE())),"?TYPE_IDENTIFIABLE","?REFERENTIAL"),"_")))))</f>
        <v> </v>
      </c>
      <c r="H3826" s="25" t="str">
        <f>IF(J3826&lt;&gt;1,"",IF(I3826="SBJ","CB","?"))</f>
        <v> </v>
      </c>
      <c r="I3826" s="26" t="str">
        <f>IF(OR(E3826="",E3826="!!!",F3826="NEW"),"",INDEX(B3825:B$2,-1+SUMPRODUCT(MAX(ROW(E3825:E$2)*(E3826=E3825:E$2)))))</f>
        <v> </v>
      </c>
      <c r="J3826" s="26" t="str">
        <f>IF(OR(E3826="",E3826="!!!",F3826="NEW"),"",COUNTBLANK(OFFSET(A$1,,,SUMPRODUCT(MAX(ROW(E$2:E3826)*(E3826=E$2:E3826)))))-COUNTBLANK(OFFSET(A$1,,,SUMPRODUCT(MAX(ROW(E$1:E3825)*(E2=E$1:E3825))))))</f>
        <v> </v>
      </c>
      <c r="K3826" s="26" t="str">
        <f>IF(OR(E3826="",E3826="!!!",F3826="NEW"),"",INDEX(J$1:J3825,SUMPRODUCT(MAX(ROW(E$1:E3825)*(E3826=E$1:E3825)))))</f>
        <v> </v>
      </c>
      <c r="L3826" s="27"/>
    </row>
    <row r="3827" spans="1:12">
      <c r="A3827" s="20" t="s">
        <v>1015</v>
      </c>
      <c r="E3827" s="22">
        <f>IF(D3827="?OLD","!!!","")</f>
        <v/>
      </c>
      <c r="F3827" s="23" t="str">
        <f>IF(OR(E3827="",E3827="!!!"),"",IF(NOT(ISNA(VLOOKUP(E3827,E$1:E3826,1,FALSE()))),"OLD",IF(AND(E3827&lt;&gt;"",E3827&lt;&gt;"!!!"),"NEW","")))</f>
        <v> </v>
      </c>
      <c r="G3827" s="24" t="str">
        <f>IF(OR(E3827="",E3827="!!!"),"",IF(OR(J3827=0,AND(J3827=1,K3827=1),AND(J3827=1,I3827="SBJ"),AND(J3827=1,I3827=0)),"?IN_FOCUS",IF(J3827&lt;=2,"?ACTIVATED",IF(J3827&lt;&gt;"","?FAMILIAR",IF(F3827="NEW",IF(ISNA(VLOOKUP(E3827,#REF!,1,FALSE())),"?TYPE_IDENTIFIABLE","?REFERENTIAL"),"_")))))</f>
        <v> </v>
      </c>
      <c r="H3827" s="25" t="str">
        <f>IF(J3827&lt;&gt;1,"",IF(I3827="SBJ","CB","?"))</f>
        <v> </v>
      </c>
      <c r="I3827" s="26" t="str">
        <f>IF(OR(E3827="",E3827="!!!",F3827="NEW"),"",INDEX(B3826:B$2,-1+SUMPRODUCT(MAX(ROW(E3826:E$2)*(E3827=E3826:E$2)))))</f>
        <v> </v>
      </c>
      <c r="J3827" s="26" t="str">
        <f>IF(OR(E3827="",E3827="!!!",F3827="NEW"),"",COUNTBLANK(OFFSET(A$1,,,SUMPRODUCT(MAX(ROW(E$2:E3827)*(E3827=E$2:E3827)))))-COUNTBLANK(OFFSET(A$1,,,SUMPRODUCT(MAX(ROW(E$1:E3826)*(E2=E$1:E3826))))))</f>
        <v> </v>
      </c>
      <c r="K3827" s="26" t="str">
        <f>IF(OR(E3827="",E3827="!!!",F3827="NEW"),"",INDEX(J$1:J3826,SUMPRODUCT(MAX(ROW(E$1:E3826)*(E3827=E$1:E3826)))))</f>
        <v> </v>
      </c>
      <c r="L3827" s="27"/>
    </row>
    <row r="3828" spans="1:12">
      <c r="A3828" s="20" t="s">
        <v>2136</v>
      </c>
      <c r="B3828" s="21" t="s">
        <v>1033</v>
      </c>
      <c r="C3828" s="21" t="s">
        <v>1017</v>
      </c>
      <c r="D3828" s="21" t="s">
        <v>1007</v>
      </c>
      <c r="E3828" s="22">
        <f>IF(D3828="?OLD","!!!","")</f>
        <v/>
      </c>
      <c r="F3828" s="23" t="str">
        <f>IF(OR(E3828="",E3828="!!!"),"",IF(NOT(ISNA(VLOOKUP(E3828,E$1:E3827,1,FALSE()))),"OLD",IF(AND(E3828&lt;&gt;"",E3828&lt;&gt;"!!!"),"NEW","")))</f>
        <v> </v>
      </c>
      <c r="G3828" s="24" t="str">
        <f>IF(OR(E3828="",E3828="!!!"),"",IF(OR(J3828=0,AND(J3828=1,K3828=1),AND(J3828=1,I3828="SBJ"),AND(J3828=1,I3828=0)),"?IN_FOCUS",IF(J3828&lt;=2,"?ACTIVATED",IF(J3828&lt;&gt;"","?FAMILIAR",IF(F3828="NEW",IF(ISNA(VLOOKUP(E3828,#REF!,1,FALSE())),"?TYPE_IDENTIFIABLE","?REFERENTIAL"),"_")))))</f>
        <v> </v>
      </c>
      <c r="H3828" s="25" t="str">
        <f>IF(J3828&lt;&gt;1,"",IF(I3828="SBJ","CB","?"))</f>
        <v> </v>
      </c>
      <c r="I3828" s="26" t="str">
        <f>IF(OR(E3828="",E3828="!!!",F3828="NEW"),"",INDEX(B3827:B$2,-1+SUMPRODUCT(MAX(ROW(E3827:E$2)*(E3828=E3827:E$2)))))</f>
        <v> </v>
      </c>
      <c r="J3828" s="26" t="str">
        <f>IF(OR(E3828="",E3828="!!!",F3828="NEW"),"",COUNTBLANK(OFFSET(A$1,,,SUMPRODUCT(MAX(ROW(E$2:E3828)*(E3828=E$2:E3828)))))-COUNTBLANK(OFFSET(A$1,,,SUMPRODUCT(MAX(ROW(E$1:E3827)*(E2=E$1:E3827))))))</f>
        <v> </v>
      </c>
      <c r="K3828" s="26" t="str">
        <f>IF(OR(E3828="",E3828="!!!",F3828="NEW"),"",INDEX(J$1:J3827,SUMPRODUCT(MAX(ROW(E$1:E3827)*(E3828=E$1:E3827)))))</f>
        <v> </v>
      </c>
      <c r="L3828" s="27"/>
    </row>
    <row r="3829" spans="1:12">
      <c r="A3829" s="20" t="s">
        <v>1906</v>
      </c>
      <c r="E3829" s="22">
        <f>IF(D3829="?OLD","!!!","")</f>
        <v/>
      </c>
      <c r="F3829" s="23" t="str">
        <f>IF(OR(E3829="",E3829="!!!"),"",IF(NOT(ISNA(VLOOKUP(E3829,E$1:E3828,1,FALSE()))),"OLD",IF(AND(E3829&lt;&gt;"",E3829&lt;&gt;"!!!"),"NEW","")))</f>
        <v> </v>
      </c>
      <c r="G3829" s="24" t="str">
        <f>IF(OR(E3829="",E3829="!!!"),"",IF(OR(J3829=0,AND(J3829=1,K3829=1),AND(J3829=1,I3829="SBJ"),AND(J3829=1,I3829=0)),"?IN_FOCUS",IF(J3829&lt;=2,"?ACTIVATED",IF(J3829&lt;&gt;"","?FAMILIAR",IF(F3829="NEW",IF(ISNA(VLOOKUP(E3829,#REF!,1,FALSE())),"?TYPE_IDENTIFIABLE","?REFERENTIAL"),"_")))))</f>
        <v> </v>
      </c>
      <c r="H3829" s="25" t="str">
        <f>IF(J3829&lt;&gt;1,"",IF(I3829="SBJ","CB","?"))</f>
        <v> </v>
      </c>
      <c r="I3829" s="26" t="str">
        <f>IF(OR(E3829="",E3829="!!!",F3829="NEW"),"",INDEX(B3828:B$2,-1+SUMPRODUCT(MAX(ROW(E3828:E$2)*(E3829=E3828:E$2)))))</f>
        <v> </v>
      </c>
      <c r="J3829" s="26" t="str">
        <f>IF(OR(E3829="",E3829="!!!",F3829="NEW"),"",COUNTBLANK(OFFSET(A$1,,,SUMPRODUCT(MAX(ROW(E$2:E3829)*(E3829=E$2:E3829)))))-COUNTBLANK(OFFSET(A$1,,,SUMPRODUCT(MAX(ROW(E$1:E3828)*(E2=E$1:E3828))))))</f>
        <v> </v>
      </c>
      <c r="K3829" s="26" t="str">
        <f>IF(OR(E3829="",E3829="!!!",F3829="NEW"),"",INDEX(J$1:J3828,SUMPRODUCT(MAX(ROW(E$1:E3828)*(E3829=E$1:E3828)))))</f>
        <v> </v>
      </c>
      <c r="L3829" s="27"/>
    </row>
    <row r="3830" spans="1:12">
      <c r="A3830" s="20" t="s">
        <v>1020</v>
      </c>
      <c r="E3830" s="22">
        <f>IF(D3830="?OLD","!!!","")</f>
        <v/>
      </c>
      <c r="F3830" s="23" t="str">
        <f>IF(OR(E3830="",E3830="!!!"),"",IF(NOT(ISNA(VLOOKUP(E3830,E$1:E3829,1,FALSE()))),"OLD",IF(AND(E3830&lt;&gt;"",E3830&lt;&gt;"!!!"),"NEW","")))</f>
        <v> </v>
      </c>
      <c r="G3830" s="24" t="str">
        <f>IF(OR(E3830="",E3830="!!!"),"",IF(OR(J3830=0,AND(J3830=1,K3830=1),AND(J3830=1,I3830="SBJ"),AND(J3830=1,I3830=0)),"?IN_FOCUS",IF(J3830&lt;=2,"?ACTIVATED",IF(J3830&lt;&gt;"","?FAMILIAR",IF(F3830="NEW",IF(ISNA(VLOOKUP(E3830,#REF!,1,FALSE())),"?TYPE_IDENTIFIABLE","?REFERENTIAL"),"_")))))</f>
        <v> </v>
      </c>
      <c r="H3830" s="25" t="str">
        <f>IF(J3830&lt;&gt;1,"",IF(I3830="SBJ","CB","?"))</f>
        <v> </v>
      </c>
      <c r="I3830" s="26" t="str">
        <f>IF(OR(E3830="",E3830="!!!",F3830="NEW"),"",INDEX(B3829:B$2,-1+SUMPRODUCT(MAX(ROW(E3829:E$2)*(E3830=E3829:E$2)))))</f>
        <v> </v>
      </c>
      <c r="J3830" s="26" t="str">
        <f>IF(OR(E3830="",E3830="!!!",F3830="NEW"),"",COUNTBLANK(OFFSET(A$1,,,SUMPRODUCT(MAX(ROW(E$2:E3830)*(E3830=E$2:E3830)))))-COUNTBLANK(OFFSET(A$1,,,SUMPRODUCT(MAX(ROW(E$1:E3829)*(E2=E$1:E3829))))))</f>
        <v> </v>
      </c>
      <c r="K3830" s="26" t="str">
        <f>IF(OR(E3830="",E3830="!!!",F3830="NEW"),"",INDEX(J$1:J3829,SUMPRODUCT(MAX(ROW(E$1:E3829)*(E3830=E$1:E3829)))))</f>
        <v> </v>
      </c>
      <c r="L3830" s="27"/>
    </row>
    <row r="3831" spans="1:12">
      <c r="A3831" s="20" t="s">
        <v>1027</v>
      </c>
      <c r="E3831" s="22">
        <f>IF(D3831="?OLD","!!!","")</f>
        <v/>
      </c>
      <c r="F3831" s="23" t="str">
        <f>IF(OR(E3831="",E3831="!!!"),"",IF(NOT(ISNA(VLOOKUP(E3831,E$1:E3830,1,FALSE()))),"OLD",IF(AND(E3831&lt;&gt;"",E3831&lt;&gt;"!!!"),"NEW","")))</f>
        <v> </v>
      </c>
      <c r="G3831" s="24" t="str">
        <f>IF(OR(E3831="",E3831="!!!"),"",IF(OR(J3831=0,AND(J3831=1,K3831=1),AND(J3831=1,I3831="SBJ"),AND(J3831=1,I3831=0)),"?IN_FOCUS",IF(J3831&lt;=2,"?ACTIVATED",IF(J3831&lt;&gt;"","?FAMILIAR",IF(F3831="NEW",IF(ISNA(VLOOKUP(E3831,#REF!,1,FALSE())),"?TYPE_IDENTIFIABLE","?REFERENTIAL"),"_")))))</f>
        <v> </v>
      </c>
      <c r="H3831" s="25" t="str">
        <f>IF(J3831&lt;&gt;1,"",IF(I3831="SBJ","CB","?"))</f>
        <v> </v>
      </c>
      <c r="I3831" s="26" t="str">
        <f>IF(OR(E3831="",E3831="!!!",F3831="NEW"),"",INDEX(B3830:B$2,-1+SUMPRODUCT(MAX(ROW(E3830:E$2)*(E3831=E3830:E$2)))))</f>
        <v> </v>
      </c>
      <c r="J3831" s="26" t="str">
        <f>IF(OR(E3831="",E3831="!!!",F3831="NEW"),"",COUNTBLANK(OFFSET(A$1,,,SUMPRODUCT(MAX(ROW(E$2:E3831)*(E3831=E$2:E3831)))))-COUNTBLANK(OFFSET(A$1,,,SUMPRODUCT(MAX(ROW(E$1:E3830)*(E2=E$1:E3830))))))</f>
        <v> </v>
      </c>
      <c r="K3831" s="26" t="str">
        <f>IF(OR(E3831="",E3831="!!!",F3831="NEW"),"",INDEX(J$1:J3830,SUMPRODUCT(MAX(ROW(E$1:E3830)*(E3831=E$1:E3830)))))</f>
        <v> </v>
      </c>
      <c r="L3831" s="27"/>
    </row>
    <row r="3832" spans="1:12">
      <c r="A3832" s="20" t="s">
        <v>1172</v>
      </c>
      <c r="B3832" s="21" t="s">
        <v>1130</v>
      </c>
      <c r="C3832" s="21" t="s">
        <v>1017</v>
      </c>
      <c r="D3832" s="21" t="s">
        <v>1007</v>
      </c>
      <c r="E3832" s="22">
        <f>IF(D3832="?OLD","!!!","")</f>
        <v/>
      </c>
      <c r="F3832" s="23" t="str">
        <f>IF(OR(E3832="",E3832="!!!"),"",IF(NOT(ISNA(VLOOKUP(E3832,E$1:E3831,1,FALSE()))),"OLD",IF(AND(E3832&lt;&gt;"",E3832&lt;&gt;"!!!"),"NEW","")))</f>
        <v> </v>
      </c>
      <c r="G3832" s="24" t="str">
        <f>IF(OR(E3832="",E3832="!!!"),"",IF(OR(J3832=0,AND(J3832=1,K3832=1),AND(J3832=1,I3832="SBJ"),AND(J3832=1,I3832=0)),"?IN_FOCUS",IF(J3832&lt;=2,"?ACTIVATED",IF(J3832&lt;&gt;"","?FAMILIAR",IF(F3832="NEW",IF(ISNA(VLOOKUP(E3832,#REF!,1,FALSE())),"?TYPE_IDENTIFIABLE","?REFERENTIAL"),"_")))))</f>
        <v> </v>
      </c>
      <c r="H3832" s="25" t="str">
        <f>IF(J3832&lt;&gt;1,"",IF(I3832="SBJ","CB","?"))</f>
        <v> </v>
      </c>
      <c r="I3832" s="26" t="str">
        <f>IF(OR(E3832="",E3832="!!!",F3832="NEW"),"",INDEX(B3831:B$2,-1+SUMPRODUCT(MAX(ROW(E3831:E$2)*(E3832=E3831:E$2)))))</f>
        <v> </v>
      </c>
      <c r="J3832" s="26" t="str">
        <f>IF(OR(E3832="",E3832="!!!",F3832="NEW"),"",COUNTBLANK(OFFSET(A$1,,,SUMPRODUCT(MAX(ROW(E$2:E3832)*(E3832=E$2:E3832)))))-COUNTBLANK(OFFSET(A$1,,,SUMPRODUCT(MAX(ROW(E$1:E3831)*(E2=E$1:E3831))))))</f>
        <v> </v>
      </c>
      <c r="K3832" s="26" t="str">
        <f>IF(OR(E3832="",E3832="!!!",F3832="NEW"),"",INDEX(J$1:J3831,SUMPRODUCT(MAX(ROW(E$1:E3831)*(E3832=E$1:E3831)))))</f>
        <v> </v>
      </c>
      <c r="L3832" s="27"/>
    </row>
    <row r="3833" spans="1:12">
      <c r="A3833" s="20" t="s">
        <v>1065</v>
      </c>
      <c r="B3833" s="21" t="s">
        <v>1251</v>
      </c>
      <c r="E3833" s="22">
        <f>IF(D3833="?OLD","!!!","")</f>
        <v/>
      </c>
      <c r="F3833" s="23" t="str">
        <f>IF(OR(E3833="",E3833="!!!"),"",IF(NOT(ISNA(VLOOKUP(E3833,E$1:E3832,1,FALSE()))),"OLD",IF(AND(E3833&lt;&gt;"",E3833&lt;&gt;"!!!"),"NEW","")))</f>
        <v> </v>
      </c>
      <c r="G3833" s="24" t="str">
        <f>IF(OR(E3833="",E3833="!!!"),"",IF(OR(J3833=0,AND(J3833=1,K3833=1),AND(J3833=1,I3833="SBJ"),AND(J3833=1,I3833=0)),"?IN_FOCUS",IF(J3833&lt;=2,"?ACTIVATED",IF(J3833&lt;&gt;"","?FAMILIAR",IF(F3833="NEW",IF(ISNA(VLOOKUP(E3833,#REF!,1,FALSE())),"?TYPE_IDENTIFIABLE","?REFERENTIAL"),"_")))))</f>
        <v> </v>
      </c>
      <c r="H3833" s="25" t="str">
        <f>IF(J3833&lt;&gt;1,"",IF(I3833="SBJ","CB","?"))</f>
        <v> </v>
      </c>
      <c r="I3833" s="26" t="str">
        <f>IF(OR(E3833="",E3833="!!!",F3833="NEW"),"",INDEX(B3832:B$2,-1+SUMPRODUCT(MAX(ROW(E3832:E$2)*(E3833=E3832:E$2)))))</f>
        <v> </v>
      </c>
      <c r="J3833" s="26" t="str">
        <f>IF(OR(E3833="",E3833="!!!",F3833="NEW"),"",COUNTBLANK(OFFSET(A$1,,,SUMPRODUCT(MAX(ROW(E$2:E3833)*(E3833=E$2:E3833)))))-COUNTBLANK(OFFSET(A$1,,,SUMPRODUCT(MAX(ROW(E$1:E3832)*(E2=E$1:E3832))))))</f>
        <v> </v>
      </c>
      <c r="K3833" s="26" t="str">
        <f>IF(OR(E3833="",E3833="!!!",F3833="NEW"),"",INDEX(J$1:J3832,SUMPRODUCT(MAX(ROW(E$1:E3832)*(E3833=E$1:E3832)))))</f>
        <v> </v>
      </c>
      <c r="L3833" s="27"/>
    </row>
    <row r="3834" spans="1:12">
      <c r="A3834" s="20" t="s">
        <v>2137</v>
      </c>
      <c r="E3834" s="22">
        <f>IF(D3834="?OLD","!!!","")</f>
        <v/>
      </c>
      <c r="F3834" s="23" t="str">
        <f>IF(OR(E3834="",E3834="!!!"),"",IF(NOT(ISNA(VLOOKUP(E3834,E$1:E3833,1,FALSE()))),"OLD",IF(AND(E3834&lt;&gt;"",E3834&lt;&gt;"!!!"),"NEW","")))</f>
        <v> </v>
      </c>
      <c r="G3834" s="24" t="str">
        <f>IF(OR(E3834="",E3834="!!!"),"",IF(OR(J3834=0,AND(J3834=1,K3834=1),AND(J3834=1,I3834="SBJ"),AND(J3834=1,I3834=0)),"?IN_FOCUS",IF(J3834&lt;=2,"?ACTIVATED",IF(J3834&lt;&gt;"","?FAMILIAR",IF(F3834="NEW",IF(ISNA(VLOOKUP(E3834,#REF!,1,FALSE())),"?TYPE_IDENTIFIABLE","?REFERENTIAL"),"_")))))</f>
        <v> </v>
      </c>
      <c r="H3834" s="25" t="str">
        <f>IF(J3834&lt;&gt;1,"",IF(I3834="SBJ","CB","?"))</f>
        <v> </v>
      </c>
      <c r="I3834" s="26" t="str">
        <f>IF(OR(E3834="",E3834="!!!",F3834="NEW"),"",INDEX(B3833:B$2,-1+SUMPRODUCT(MAX(ROW(E3833:E$2)*(E3834=E3833:E$2)))))</f>
        <v> </v>
      </c>
      <c r="J3834" s="26" t="str">
        <f>IF(OR(E3834="",E3834="!!!",F3834="NEW"),"",COUNTBLANK(OFFSET(A$1,,,SUMPRODUCT(MAX(ROW(E$2:E3834)*(E3834=E$2:E3834)))))-COUNTBLANK(OFFSET(A$1,,,SUMPRODUCT(MAX(ROW(E$1:E3833)*(E2=E$1:E3833))))))</f>
        <v> </v>
      </c>
      <c r="K3834" s="26" t="str">
        <f>IF(OR(E3834="",E3834="!!!",F3834="NEW"),"",INDEX(J$1:J3833,SUMPRODUCT(MAX(ROW(E$1:E3833)*(E3834=E$1:E3833)))))</f>
        <v> </v>
      </c>
      <c r="L3834" s="27"/>
    </row>
    <row r="3835" spans="1:12">
      <c r="A3835" s="20" t="s">
        <v>1279</v>
      </c>
      <c r="E3835" s="22">
        <f>IF(D3835="?OLD","!!!","")</f>
        <v/>
      </c>
      <c r="F3835" s="23" t="str">
        <f>IF(OR(E3835="",E3835="!!!"),"",IF(NOT(ISNA(VLOOKUP(E3835,E$1:E3834,1,FALSE()))),"OLD",IF(AND(E3835&lt;&gt;"",E3835&lt;&gt;"!!!"),"NEW","")))</f>
        <v> </v>
      </c>
      <c r="G3835" s="24" t="str">
        <f>IF(OR(E3835="",E3835="!!!"),"",IF(OR(J3835=0,AND(J3835=1,K3835=1),AND(J3835=1,I3835="SBJ"),AND(J3835=1,I3835=0)),"?IN_FOCUS",IF(J3835&lt;=2,"?ACTIVATED",IF(J3835&lt;&gt;"","?FAMILIAR",IF(F3835="NEW",IF(ISNA(VLOOKUP(E3835,#REF!,1,FALSE())),"?TYPE_IDENTIFIABLE","?REFERENTIAL"),"_")))))</f>
        <v> </v>
      </c>
      <c r="H3835" s="25" t="str">
        <f>IF(J3835&lt;&gt;1,"",IF(I3835="SBJ","CB","?"))</f>
        <v> </v>
      </c>
      <c r="I3835" s="26" t="str">
        <f>IF(OR(E3835="",E3835="!!!",F3835="NEW"),"",INDEX(B3834:B$2,-1+SUMPRODUCT(MAX(ROW(E3834:E$2)*(E3835=E3834:E$2)))))</f>
        <v> </v>
      </c>
      <c r="J3835" s="26" t="str">
        <f>IF(OR(E3835="",E3835="!!!",F3835="NEW"),"",COUNTBLANK(OFFSET(A$1,,,SUMPRODUCT(MAX(ROW(E$2:E3835)*(E3835=E$2:E3835)))))-COUNTBLANK(OFFSET(A$1,,,SUMPRODUCT(MAX(ROW(E$1:E3834)*(E2=E$1:E3834))))))</f>
        <v> </v>
      </c>
      <c r="K3835" s="26" t="str">
        <f>IF(OR(E3835="",E3835="!!!",F3835="NEW"),"",INDEX(J$1:J3834,SUMPRODUCT(MAX(ROW(E$1:E3834)*(E3835=E$1:E3834)))))</f>
        <v> </v>
      </c>
      <c r="L3835" s="27"/>
    </row>
    <row r="3836" spans="1:12">
      <c r="A3836" s="20" t="s">
        <v>1243</v>
      </c>
      <c r="B3836" s="21" t="s">
        <v>1253</v>
      </c>
      <c r="C3836" s="21" t="s">
        <v>1041</v>
      </c>
      <c r="D3836" s="21" t="s">
        <v>1007</v>
      </c>
      <c r="E3836" s="22">
        <f>IF(D3836="?OLD","!!!","")</f>
        <v/>
      </c>
      <c r="F3836" s="23" t="str">
        <f>IF(OR(E3836="",E3836="!!!"),"",IF(NOT(ISNA(VLOOKUP(E3836,E$1:E3835,1,FALSE()))),"OLD",IF(AND(E3836&lt;&gt;"",E3836&lt;&gt;"!!!"),"NEW","")))</f>
        <v> </v>
      </c>
      <c r="G3836" s="24" t="str">
        <f>IF(OR(E3836="",E3836="!!!"),"",IF(OR(J3836=0,AND(J3836=1,K3836=1),AND(J3836=1,I3836="SBJ"),AND(J3836=1,I3836=0)),"?IN_FOCUS",IF(J3836&lt;=2,"?ACTIVATED",IF(J3836&lt;&gt;"","?FAMILIAR",IF(F3836="NEW",IF(ISNA(VLOOKUP(E3836,#REF!,1,FALSE())),"?TYPE_IDENTIFIABLE","?REFERENTIAL"),"_")))))</f>
        <v> </v>
      </c>
      <c r="H3836" s="25" t="str">
        <f>IF(J3836&lt;&gt;1,"",IF(I3836="SBJ","CB","?"))</f>
        <v> </v>
      </c>
      <c r="I3836" s="26" t="str">
        <f>IF(OR(E3836="",E3836="!!!",F3836="NEW"),"",INDEX(B3835:B$2,-1+SUMPRODUCT(MAX(ROW(E3835:E$2)*(E3836=E3835:E$2)))))</f>
        <v> </v>
      </c>
      <c r="J3836" s="26" t="str">
        <f>IF(OR(E3836="",E3836="!!!",F3836="NEW"),"",COUNTBLANK(OFFSET(A$1,,,SUMPRODUCT(MAX(ROW(E$2:E3836)*(E3836=E$2:E3836)))))-COUNTBLANK(OFFSET(A$1,,,SUMPRODUCT(MAX(ROW(E$1:E3835)*(E2=E$1:E3835))))))</f>
        <v> </v>
      </c>
      <c r="K3836" s="26" t="str">
        <f>IF(OR(E3836="",E3836="!!!",F3836="NEW"),"",INDEX(J$1:J3835,SUMPRODUCT(MAX(ROW(E$1:E3835)*(E3836=E$1:E3835)))))</f>
        <v> </v>
      </c>
      <c r="L3836" s="27"/>
    </row>
    <row r="3837" spans="1:12">
      <c r="A3837" s="20" t="s">
        <v>1684</v>
      </c>
      <c r="E3837" s="22">
        <f>IF(D3837="?OLD","!!!","")</f>
        <v/>
      </c>
      <c r="F3837" s="23" t="str">
        <f>IF(OR(E3837="",E3837="!!!"),"",IF(NOT(ISNA(VLOOKUP(E3837,E$1:E3836,1,FALSE()))),"OLD",IF(AND(E3837&lt;&gt;"",E3837&lt;&gt;"!!!"),"NEW","")))</f>
        <v> </v>
      </c>
      <c r="G3837" s="24" t="str">
        <f>IF(OR(E3837="",E3837="!!!"),"",IF(OR(J3837=0,AND(J3837=1,K3837=1),AND(J3837=1,I3837="SBJ"),AND(J3837=1,I3837=0)),"?IN_FOCUS",IF(J3837&lt;=2,"?ACTIVATED",IF(J3837&lt;&gt;"","?FAMILIAR",IF(F3837="NEW",IF(ISNA(VLOOKUP(E3837,#REF!,1,FALSE())),"?TYPE_IDENTIFIABLE","?REFERENTIAL"),"_")))))</f>
        <v> </v>
      </c>
      <c r="H3837" s="25" t="str">
        <f>IF(J3837&lt;&gt;1,"",IF(I3837="SBJ","CB","?"))</f>
        <v> </v>
      </c>
      <c r="I3837" s="26" t="str">
        <f>IF(OR(E3837="",E3837="!!!",F3837="NEW"),"",INDEX(B3836:B$2,-1+SUMPRODUCT(MAX(ROW(E3836:E$2)*(E3837=E3836:E$2)))))</f>
        <v> </v>
      </c>
      <c r="J3837" s="26" t="str">
        <f>IF(OR(E3837="",E3837="!!!",F3837="NEW"),"",COUNTBLANK(OFFSET(A$1,,,SUMPRODUCT(MAX(ROW(E$2:E3837)*(E3837=E$2:E3837)))))-COUNTBLANK(OFFSET(A$1,,,SUMPRODUCT(MAX(ROW(E$1:E3836)*(E2=E$1:E3836))))))</f>
        <v> </v>
      </c>
      <c r="K3837" s="26" t="str">
        <f>IF(OR(E3837="",E3837="!!!",F3837="NEW"),"",INDEX(J$1:J3836,SUMPRODUCT(MAX(ROW(E$1:E3836)*(E3837=E$1:E3836)))))</f>
        <v> </v>
      </c>
      <c r="L3837" s="27"/>
    </row>
    <row r="3838" spans="1:12">
      <c r="A3838" s="20" t="s">
        <v>1065</v>
      </c>
      <c r="B3838" s="21" t="s">
        <v>1437</v>
      </c>
      <c r="E3838" s="22">
        <f>IF(D3838="?OLD","!!!","")</f>
        <v/>
      </c>
      <c r="F3838" s="23" t="str">
        <f>IF(OR(E3838="",E3838="!!!"),"",IF(NOT(ISNA(VLOOKUP(E3838,E$1:E3837,1,FALSE()))),"OLD",IF(AND(E3838&lt;&gt;"",E3838&lt;&gt;"!!!"),"NEW","")))</f>
        <v> </v>
      </c>
      <c r="G3838" s="24" t="str">
        <f>IF(OR(E3838="",E3838="!!!"),"",IF(OR(J3838=0,AND(J3838=1,K3838=1),AND(J3838=1,I3838="SBJ"),AND(J3838=1,I3838=0)),"?IN_FOCUS",IF(J3838&lt;=2,"?ACTIVATED",IF(J3838&lt;&gt;"","?FAMILIAR",IF(F3838="NEW",IF(ISNA(VLOOKUP(E3838,#REF!,1,FALSE())),"?TYPE_IDENTIFIABLE","?REFERENTIAL"),"_")))))</f>
        <v> </v>
      </c>
      <c r="H3838" s="25" t="str">
        <f>IF(J3838&lt;&gt;1,"",IF(I3838="SBJ","CB","?"))</f>
        <v> </v>
      </c>
      <c r="I3838" s="26" t="str">
        <f>IF(OR(E3838="",E3838="!!!",F3838="NEW"),"",INDEX(B3837:B$2,-1+SUMPRODUCT(MAX(ROW(E3837:E$2)*(E3838=E3837:E$2)))))</f>
        <v> </v>
      </c>
      <c r="J3838" s="26" t="str">
        <f>IF(OR(E3838="",E3838="!!!",F3838="NEW"),"",COUNTBLANK(OFFSET(A$1,,,SUMPRODUCT(MAX(ROW(E$2:E3838)*(E3838=E$2:E3838)))))-COUNTBLANK(OFFSET(A$1,,,SUMPRODUCT(MAX(ROW(E$1:E3837)*(E2=E$1:E3837))))))</f>
        <v> </v>
      </c>
      <c r="K3838" s="26" t="str">
        <f>IF(OR(E3838="",E3838="!!!",F3838="NEW"),"",INDEX(J$1:J3837,SUMPRODUCT(MAX(ROW(E$1:E3837)*(E3838=E$1:E3837)))))</f>
        <v> </v>
      </c>
      <c r="L3838" s="27"/>
    </row>
    <row r="3839" spans="1:12">
      <c r="A3839" s="20" t="s">
        <v>1027</v>
      </c>
      <c r="B3839" s="21" t="s">
        <v>1487</v>
      </c>
      <c r="C3839" s="21" t="s">
        <v>1082</v>
      </c>
      <c r="D3839" s="21" t="s">
        <v>1007</v>
      </c>
      <c r="E3839" s="22">
        <f>IF(D3839="?OLD","!!!","")</f>
        <v/>
      </c>
      <c r="F3839" s="23" t="str">
        <f>IF(OR(E3839="",E3839="!!!"),"",IF(NOT(ISNA(VLOOKUP(E3839,E$1:E3838,1,FALSE()))),"OLD",IF(AND(E3839&lt;&gt;"",E3839&lt;&gt;"!!!"),"NEW","")))</f>
        <v> </v>
      </c>
      <c r="G3839" s="24" t="str">
        <f>IF(OR(E3839="",E3839="!!!"),"",IF(OR(J3839=0,AND(J3839=1,K3839=1),AND(J3839=1,I3839="SBJ"),AND(J3839=1,I3839=0)),"?IN_FOCUS",IF(J3839&lt;=2,"?ACTIVATED",IF(J3839&lt;&gt;"","?FAMILIAR",IF(F3839="NEW",IF(ISNA(VLOOKUP(E3839,#REF!,1,FALSE())),"?TYPE_IDENTIFIABLE","?REFERENTIAL"),"_")))))</f>
        <v> </v>
      </c>
      <c r="H3839" s="25" t="str">
        <f>IF(J3839&lt;&gt;1,"",IF(I3839="SBJ","CB","?"))</f>
        <v> </v>
      </c>
      <c r="I3839" s="26" t="str">
        <f>IF(OR(E3839="",E3839="!!!",F3839="NEW"),"",INDEX(B3838:B$2,-1+SUMPRODUCT(MAX(ROW(E3838:E$2)*(E3839=E3838:E$2)))))</f>
        <v> </v>
      </c>
      <c r="J3839" s="26" t="str">
        <f>IF(OR(E3839="",E3839="!!!",F3839="NEW"),"",COUNTBLANK(OFFSET(A$1,,,SUMPRODUCT(MAX(ROW(E$2:E3839)*(E3839=E$2:E3839)))))-COUNTBLANK(OFFSET(A$1,,,SUMPRODUCT(MAX(ROW(E$1:E3838)*(E2=E$1:E3838))))))</f>
        <v> </v>
      </c>
      <c r="K3839" s="26" t="str">
        <f>IF(OR(E3839="",E3839="!!!",F3839="NEW"),"",INDEX(J$1:J3838,SUMPRODUCT(MAX(ROW(E$1:E3838)*(E3839=E$1:E3838)))))</f>
        <v> </v>
      </c>
      <c r="L3839" s="27"/>
    </row>
    <row r="3840" spans="1:12">
      <c r="A3840" s="20" t="s">
        <v>2138</v>
      </c>
      <c r="E3840" s="22">
        <f>IF(D3840="?OLD","!!!","")</f>
        <v/>
      </c>
      <c r="F3840" s="23" t="str">
        <f>IF(OR(E3840="",E3840="!!!"),"",IF(NOT(ISNA(VLOOKUP(E3840,E$1:E3839,1,FALSE()))),"OLD",IF(AND(E3840&lt;&gt;"",E3840&lt;&gt;"!!!"),"NEW","")))</f>
        <v> </v>
      </c>
      <c r="G3840" s="24" t="str">
        <f>IF(OR(E3840="",E3840="!!!"),"",IF(OR(J3840=0,AND(J3840=1,K3840=1),AND(J3840=1,I3840="SBJ"),AND(J3840=1,I3840=0)),"?IN_FOCUS",IF(J3840&lt;=2,"?ACTIVATED",IF(J3840&lt;&gt;"","?FAMILIAR",IF(F3840="NEW",IF(ISNA(VLOOKUP(E3840,#REF!,1,FALSE())),"?TYPE_IDENTIFIABLE","?REFERENTIAL"),"_")))))</f>
        <v> </v>
      </c>
      <c r="H3840" s="25" t="str">
        <f>IF(J3840&lt;&gt;1,"",IF(I3840="SBJ","CB","?"))</f>
        <v> </v>
      </c>
      <c r="I3840" s="26" t="str">
        <f>IF(OR(E3840="",E3840="!!!",F3840="NEW"),"",INDEX(B3839:B$2,-1+SUMPRODUCT(MAX(ROW(E3839:E$2)*(E3840=E3839:E$2)))))</f>
        <v> </v>
      </c>
      <c r="J3840" s="26" t="str">
        <f>IF(OR(E3840="",E3840="!!!",F3840="NEW"),"",COUNTBLANK(OFFSET(A$1,,,SUMPRODUCT(MAX(ROW(E$2:E3840)*(E3840=E$2:E3840)))))-COUNTBLANK(OFFSET(A$1,,,SUMPRODUCT(MAX(ROW(E$1:E3839)*(E2=E$1:E3839))))))</f>
        <v> </v>
      </c>
      <c r="K3840" s="26" t="str">
        <f>IF(OR(E3840="",E3840="!!!",F3840="NEW"),"",INDEX(J$1:J3839,SUMPRODUCT(MAX(ROW(E$1:E3839)*(E3840=E$1:E3839)))))</f>
        <v> </v>
      </c>
      <c r="L3840" s="27"/>
    </row>
    <row r="3841" spans="1:12">
      <c r="A3841" s="20" t="s">
        <v>1097</v>
      </c>
      <c r="E3841" s="22">
        <f>IF(D3841="?OLD","!!!","")</f>
        <v/>
      </c>
      <c r="F3841" s="23" t="str">
        <f>IF(OR(E3841="",E3841="!!!"),"",IF(NOT(ISNA(VLOOKUP(E3841,E$1:E3840,1,FALSE()))),"OLD",IF(AND(E3841&lt;&gt;"",E3841&lt;&gt;"!!!"),"NEW","")))</f>
        <v> </v>
      </c>
      <c r="G3841" s="24" t="str">
        <f>IF(OR(E3841="",E3841="!!!"),"",IF(OR(J3841=0,AND(J3841=1,K3841=1),AND(J3841=1,I3841="SBJ"),AND(J3841=1,I3841=0)),"?IN_FOCUS",IF(J3841&lt;=2,"?ACTIVATED",IF(J3841&lt;&gt;"","?FAMILIAR",IF(F3841="NEW",IF(ISNA(VLOOKUP(E3841,#REF!,1,FALSE())),"?TYPE_IDENTIFIABLE","?REFERENTIAL"),"_")))))</f>
        <v> </v>
      </c>
      <c r="H3841" s="25" t="str">
        <f>IF(J3841&lt;&gt;1,"",IF(I3841="SBJ","CB","?"))</f>
        <v> </v>
      </c>
      <c r="I3841" s="26" t="str">
        <f>IF(OR(E3841="",E3841="!!!",F3841="NEW"),"",INDEX(B3840:B$2,-1+SUMPRODUCT(MAX(ROW(E3840:E$2)*(E3841=E3840:E$2)))))</f>
        <v> </v>
      </c>
      <c r="J3841" s="26" t="str">
        <f>IF(OR(E3841="",E3841="!!!",F3841="NEW"),"",COUNTBLANK(OFFSET(A$1,,,SUMPRODUCT(MAX(ROW(E$2:E3841)*(E3841=E$2:E3841)))))-COUNTBLANK(OFFSET(A$1,,,SUMPRODUCT(MAX(ROW(E$1:E3840)*(E2=E$1:E3840))))))</f>
        <v> </v>
      </c>
      <c r="K3841" s="26" t="str">
        <f>IF(OR(E3841="",E3841="!!!",F3841="NEW"),"",INDEX(J$1:J3840,SUMPRODUCT(MAX(ROW(E$1:E3840)*(E3841=E$1:E3840)))))</f>
        <v> </v>
      </c>
      <c r="L3841" s="27"/>
    </row>
    <row r="3842" spans="1:12">
      <c r="A3842" s="20" t="s">
        <v>1015</v>
      </c>
      <c r="E3842" s="22">
        <f>IF(D3842="?OLD","!!!","")</f>
        <v/>
      </c>
      <c r="F3842" s="23" t="str">
        <f>IF(OR(E3842="",E3842="!!!"),"",IF(NOT(ISNA(VLOOKUP(E3842,E$1:E3841,1,FALSE()))),"OLD",IF(AND(E3842&lt;&gt;"",E3842&lt;&gt;"!!!"),"NEW","")))</f>
        <v> </v>
      </c>
      <c r="G3842" s="24" t="str">
        <f>IF(OR(E3842="",E3842="!!!"),"",IF(OR(J3842=0,AND(J3842=1,K3842=1),AND(J3842=1,I3842="SBJ"),AND(J3842=1,I3842=0)),"?IN_FOCUS",IF(J3842&lt;=2,"?ACTIVATED",IF(J3842&lt;&gt;"","?FAMILIAR",IF(F3842="NEW",IF(ISNA(VLOOKUP(E3842,#REF!,1,FALSE())),"?TYPE_IDENTIFIABLE","?REFERENTIAL"),"_")))))</f>
        <v> </v>
      </c>
      <c r="H3842" s="25" t="str">
        <f>IF(J3842&lt;&gt;1,"",IF(I3842="SBJ","CB","?"))</f>
        <v> </v>
      </c>
      <c r="I3842" s="26" t="str">
        <f>IF(OR(E3842="",E3842="!!!",F3842="NEW"),"",INDEX(B3841:B$2,-1+SUMPRODUCT(MAX(ROW(E3841:E$2)*(E3842=E3841:E$2)))))</f>
        <v> </v>
      </c>
      <c r="J3842" s="26" t="str">
        <f>IF(OR(E3842="",E3842="!!!",F3842="NEW"),"",COUNTBLANK(OFFSET(A$1,,,SUMPRODUCT(MAX(ROW(E$2:E3842)*(E3842=E$2:E3842)))))-COUNTBLANK(OFFSET(A$1,,,SUMPRODUCT(MAX(ROW(E$1:E3841)*(E2=E$1:E3841))))))</f>
        <v> </v>
      </c>
      <c r="K3842" s="26" t="str">
        <f>IF(OR(E3842="",E3842="!!!",F3842="NEW"),"",INDEX(J$1:J3841,SUMPRODUCT(MAX(ROW(E$1:E3841)*(E3842=E$1:E3841)))))</f>
        <v> </v>
      </c>
      <c r="L3842" s="27"/>
    </row>
    <row r="3843" spans="1:12">
      <c r="A3843" s="20" t="s">
        <v>1544</v>
      </c>
      <c r="B3843" s="21" t="s">
        <v>1215</v>
      </c>
      <c r="C3843" s="21" t="s">
        <v>1059</v>
      </c>
      <c r="D3843" s="21" t="s">
        <v>1007</v>
      </c>
      <c r="E3843" s="22">
        <f>IF(D3843="?OLD","!!!","")</f>
        <v/>
      </c>
      <c r="F3843" s="23" t="str">
        <f>IF(OR(E3843="",E3843="!!!"),"",IF(NOT(ISNA(VLOOKUP(E3843,E$1:E3842,1,FALSE()))),"OLD",IF(AND(E3843&lt;&gt;"",E3843&lt;&gt;"!!!"),"NEW","")))</f>
        <v> </v>
      </c>
      <c r="G3843" s="24" t="str">
        <f>IF(OR(E3843="",E3843="!!!"),"",IF(OR(J3843=0,AND(J3843=1,K3843=1),AND(J3843=1,I3843="SBJ"),AND(J3843=1,I3843=0)),"?IN_FOCUS",IF(J3843&lt;=2,"?ACTIVATED",IF(J3843&lt;&gt;"","?FAMILIAR",IF(F3843="NEW",IF(ISNA(VLOOKUP(E3843,#REF!,1,FALSE())),"?TYPE_IDENTIFIABLE","?REFERENTIAL"),"_")))))</f>
        <v> </v>
      </c>
      <c r="H3843" s="25" t="str">
        <f>IF(J3843&lt;&gt;1,"",IF(I3843="SBJ","CB","?"))</f>
        <v> </v>
      </c>
      <c r="I3843" s="26" t="str">
        <f>IF(OR(E3843="",E3843="!!!",F3843="NEW"),"",INDEX(B3842:B$2,-1+SUMPRODUCT(MAX(ROW(E3842:E$2)*(E3843=E3842:E$2)))))</f>
        <v> </v>
      </c>
      <c r="J3843" s="26" t="str">
        <f>IF(OR(E3843="",E3843="!!!",F3843="NEW"),"",COUNTBLANK(OFFSET(A$1,,,SUMPRODUCT(MAX(ROW(E$2:E3843)*(E3843=E$2:E3843)))))-COUNTBLANK(OFFSET(A$1,,,SUMPRODUCT(MAX(ROW(E$1:E3842)*(E2=E$1:E3842))))))</f>
        <v> </v>
      </c>
      <c r="K3843" s="26" t="str">
        <f>IF(OR(E3843="",E3843="!!!",F3843="NEW"),"",INDEX(J$1:J3842,SUMPRODUCT(MAX(ROW(E$1:E3842)*(E3843=E$1:E3842)))))</f>
        <v> </v>
      </c>
      <c r="L3843" s="27"/>
    </row>
    <row r="3844" spans="1:12">
      <c r="A3844" s="20" t="s">
        <v>1529</v>
      </c>
      <c r="E3844" s="22">
        <f>IF(D3844="?OLD","!!!","")</f>
        <v/>
      </c>
      <c r="F3844" s="23" t="str">
        <f>IF(OR(E3844="",E3844="!!!"),"",IF(NOT(ISNA(VLOOKUP(E3844,E$1:E3843,1,FALSE()))),"OLD",IF(AND(E3844&lt;&gt;"",E3844&lt;&gt;"!!!"),"NEW","")))</f>
        <v> </v>
      </c>
      <c r="G3844" s="24" t="str">
        <f>IF(OR(E3844="",E3844="!!!"),"",IF(OR(J3844=0,AND(J3844=1,K3844=1),AND(J3844=1,I3844="SBJ"),AND(J3844=1,I3844=0)),"?IN_FOCUS",IF(J3844&lt;=2,"?ACTIVATED",IF(J3844&lt;&gt;"","?FAMILIAR",IF(F3844="NEW",IF(ISNA(VLOOKUP(E3844,#REF!,1,FALSE())),"?TYPE_IDENTIFIABLE","?REFERENTIAL"),"_")))))</f>
        <v> </v>
      </c>
      <c r="H3844" s="25" t="str">
        <f>IF(J3844&lt;&gt;1,"",IF(I3844="SBJ","CB","?"))</f>
        <v> </v>
      </c>
      <c r="I3844" s="26" t="str">
        <f>IF(OR(E3844="",E3844="!!!",F3844="NEW"),"",INDEX(B3843:B$2,-1+SUMPRODUCT(MAX(ROW(E3843:E$2)*(E3844=E3843:E$2)))))</f>
        <v> </v>
      </c>
      <c r="J3844" s="26" t="str">
        <f>IF(OR(E3844="",E3844="!!!",F3844="NEW"),"",COUNTBLANK(OFFSET(A$1,,,SUMPRODUCT(MAX(ROW(E$2:E3844)*(E3844=E$2:E3844)))))-COUNTBLANK(OFFSET(A$1,,,SUMPRODUCT(MAX(ROW(E$1:E3843)*(E2=E$1:E3843))))))</f>
        <v> </v>
      </c>
      <c r="K3844" s="26" t="str">
        <f>IF(OR(E3844="",E3844="!!!",F3844="NEW"),"",INDEX(J$1:J3843,SUMPRODUCT(MAX(ROW(E$1:E3843)*(E3844=E$1:E3843)))))</f>
        <v> </v>
      </c>
      <c r="L3844" s="27"/>
    </row>
    <row r="3845" spans="1:12">
      <c r="A3845" s="20" t="s">
        <v>2139</v>
      </c>
      <c r="B3845" s="21" t="s">
        <v>1044</v>
      </c>
      <c r="C3845" s="21" t="s">
        <v>1017</v>
      </c>
      <c r="D3845" s="21" t="s">
        <v>1007</v>
      </c>
      <c r="E3845" s="22">
        <f>IF(D3845="?OLD","!!!","")</f>
        <v/>
      </c>
      <c r="F3845" s="23" t="str">
        <f>IF(OR(E3845="",E3845="!!!"),"",IF(NOT(ISNA(VLOOKUP(E3845,E$1:E3844,1,FALSE()))),"OLD",IF(AND(E3845&lt;&gt;"",E3845&lt;&gt;"!!!"),"NEW","")))</f>
        <v> </v>
      </c>
      <c r="G3845" s="24" t="str">
        <f>IF(OR(E3845="",E3845="!!!"),"",IF(OR(J3845=0,AND(J3845=1,K3845=1),AND(J3845=1,I3845="SBJ"),AND(J3845=1,I3845=0)),"?IN_FOCUS",IF(J3845&lt;=2,"?ACTIVATED",IF(J3845&lt;&gt;"","?FAMILIAR",IF(F3845="NEW",IF(ISNA(VLOOKUP(E3845,#REF!,1,FALSE())),"?TYPE_IDENTIFIABLE","?REFERENTIAL"),"_")))))</f>
        <v> </v>
      </c>
      <c r="H3845" s="25" t="str">
        <f>IF(J3845&lt;&gt;1,"",IF(I3845="SBJ","CB","?"))</f>
        <v> </v>
      </c>
      <c r="I3845" s="26" t="str">
        <f>IF(OR(E3845="",E3845="!!!",F3845="NEW"),"",INDEX(B3844:B$2,-1+SUMPRODUCT(MAX(ROW(E3844:E$2)*(E3845=E3844:E$2)))))</f>
        <v> </v>
      </c>
      <c r="J3845" s="26" t="str">
        <f>IF(OR(E3845="",E3845="!!!",F3845="NEW"),"",COUNTBLANK(OFFSET(A$1,,,SUMPRODUCT(MAX(ROW(E$2:E3845)*(E3845=E$2:E3845)))))-COUNTBLANK(OFFSET(A$1,,,SUMPRODUCT(MAX(ROW(E$1:E3844)*(E2=E$1:E3844))))))</f>
        <v> </v>
      </c>
      <c r="K3845" s="26" t="str">
        <f>IF(OR(E3845="",E3845="!!!",F3845="NEW"),"",INDEX(J$1:J3844,SUMPRODUCT(MAX(ROW(E$1:E3844)*(E3845=E$1:E3844)))))</f>
        <v> </v>
      </c>
      <c r="L3845" s="27"/>
    </row>
    <row r="3846" spans="1:12">
      <c r="A3846" s="20" t="s">
        <v>1023</v>
      </c>
      <c r="E3846" s="22">
        <f>IF(D3846="?OLD","!!!","")</f>
        <v/>
      </c>
      <c r="F3846" s="23" t="str">
        <f>IF(OR(E3846="",E3846="!!!"),"",IF(NOT(ISNA(VLOOKUP(E3846,E$1:E3845,1,FALSE()))),"OLD",IF(AND(E3846&lt;&gt;"",E3846&lt;&gt;"!!!"),"NEW","")))</f>
        <v> </v>
      </c>
      <c r="G3846" s="24" t="str">
        <f>IF(OR(E3846="",E3846="!!!"),"",IF(OR(J3846=0,AND(J3846=1,K3846=1),AND(J3846=1,I3846="SBJ"),AND(J3846=1,I3846=0)),"?IN_FOCUS",IF(J3846&lt;=2,"?ACTIVATED",IF(J3846&lt;&gt;"","?FAMILIAR",IF(F3846="NEW",IF(ISNA(VLOOKUP(E3846,#REF!,1,FALSE())),"?TYPE_IDENTIFIABLE","?REFERENTIAL"),"_")))))</f>
        <v> </v>
      </c>
      <c r="H3846" s="25" t="str">
        <f>IF(J3846&lt;&gt;1,"",IF(I3846="SBJ","CB","?"))</f>
        <v> </v>
      </c>
      <c r="I3846" s="26" t="str">
        <f>IF(OR(E3846="",E3846="!!!",F3846="NEW"),"",INDEX(B3845:B$2,-1+SUMPRODUCT(MAX(ROW(E3845:E$2)*(E3846=E3845:E$2)))))</f>
        <v> </v>
      </c>
      <c r="J3846" s="26" t="str">
        <f>IF(OR(E3846="",E3846="!!!",F3846="NEW"),"",COUNTBLANK(OFFSET(A$1,,,SUMPRODUCT(MAX(ROW(E$2:E3846)*(E3846=E$2:E3846)))))-COUNTBLANK(OFFSET(A$1,,,SUMPRODUCT(MAX(ROW(E$1:E3845)*(E2=E$1:E3845))))))</f>
        <v> </v>
      </c>
      <c r="K3846" s="26" t="str">
        <f>IF(OR(E3846="",E3846="!!!",F3846="NEW"),"",INDEX(J$1:J3845,SUMPRODUCT(MAX(ROW(E$1:E3845)*(E3846=E$1:E3845)))))</f>
        <v> </v>
      </c>
      <c r="L3846" s="27"/>
    </row>
    <row r="3847" spans="1:12">
      <c r="A3847" s="20"/>
    </row>
    <row r="3848" spans="1:12">
      <c r="A3848" s="20" t="s">
        <v>2140</v>
      </c>
    </row>
    <row r="3849" spans="1:12">
      <c r="A3849" s="20" t="s">
        <v>1094</v>
      </c>
      <c r="B3849" s="21" t="s">
        <v>1005</v>
      </c>
      <c r="C3849" s="21" t="s">
        <v>1048</v>
      </c>
      <c r="E3849" s="22">
        <f>IF(D3849="?OLD","!!!","")</f>
        <v/>
      </c>
      <c r="F3849" s="23" t="str">
        <f>IF(OR(E3849="",E3849="!!!"),"",IF(NOT(ISNA(VLOOKUP(E3849,E$1:E3848,1,FALSE()))),"OLD",IF(AND(E3849&lt;&gt;"",E3849&lt;&gt;"!!!"),"NEW","")))</f>
        <v> </v>
      </c>
      <c r="G3849" s="24" t="str">
        <f>IF(OR(E3849="",E3849="!!!"),"",IF(OR(J3849=0,AND(J3849=1,K3849=1),AND(J3849=1,I3849="SBJ"),AND(J3849=1,I3849=0)),"?IN_FOCUS",IF(J3849&lt;=2,"?ACTIVATED",IF(J3849&lt;&gt;"","?FAMILIAR",IF(F3849="NEW",IF(ISNA(VLOOKUP(E3849,#REF!,1,FALSE())),"?TYPE_IDENTIFIABLE","?REFERENTIAL"),"_")))))</f>
        <v> </v>
      </c>
      <c r="H3849" s="25" t="str">
        <f>IF(J3849&lt;&gt;1,"",IF(I3849="SBJ","CB","?"))</f>
        <v> </v>
      </c>
      <c r="I3849" s="26" t="str">
        <f>IF(OR(E3849="",E3849="!!!",F3849="NEW"),"",INDEX(B3848:B$2,-1+SUMPRODUCT(MAX(ROW(E3848:E$2)*(E3849=E3848:E$2)))))</f>
        <v> </v>
      </c>
      <c r="J3849" s="26" t="str">
        <f>IF(OR(E3849="",E3849="!!!",F3849="NEW"),"",COUNTBLANK(OFFSET(A$1,,,SUMPRODUCT(MAX(ROW(E$2:E3849)*(E3849=E$2:E3849)))))-COUNTBLANK(OFFSET(A$1,,,SUMPRODUCT(MAX(ROW(E$1:E3848)*(E2=E$1:E3848))))))</f>
        <v> </v>
      </c>
      <c r="K3849" s="26" t="str">
        <f>IF(OR(E3849="",E3849="!!!",F3849="NEW"),"",INDEX(J$1:J3848,SUMPRODUCT(MAX(ROW(E$1:E3848)*(E3849=E$1:E3848)))))</f>
        <v> </v>
      </c>
      <c r="L3849" s="27"/>
    </row>
    <row r="3850" spans="1:12">
      <c r="A3850" s="20" t="s">
        <v>1009</v>
      </c>
      <c r="E3850" s="22">
        <f>IF(D3850="?OLD","!!!","")</f>
        <v/>
      </c>
      <c r="F3850" s="23" t="str">
        <f>IF(OR(E3850="",E3850="!!!"),"",IF(NOT(ISNA(VLOOKUP(E3850,E$1:E3849,1,FALSE()))),"OLD",IF(AND(E3850&lt;&gt;"",E3850&lt;&gt;"!!!"),"NEW","")))</f>
        <v> </v>
      </c>
      <c r="G3850" s="24" t="str">
        <f>IF(OR(E3850="",E3850="!!!"),"",IF(OR(J3850=0,AND(J3850=1,K3850=1),AND(J3850=1,I3850="SBJ"),AND(J3850=1,I3850=0)),"?IN_FOCUS",IF(J3850&lt;=2,"?ACTIVATED",IF(J3850&lt;&gt;"","?FAMILIAR",IF(F3850="NEW",IF(ISNA(VLOOKUP(E3850,#REF!,1,FALSE())),"?TYPE_IDENTIFIABLE","?REFERENTIAL"),"_")))))</f>
        <v> </v>
      </c>
      <c r="H3850" s="25" t="str">
        <f>IF(J3850&lt;&gt;1,"",IF(I3850="SBJ","CB","?"))</f>
        <v> </v>
      </c>
      <c r="I3850" s="26" t="str">
        <f>IF(OR(E3850="",E3850="!!!",F3850="NEW"),"",INDEX(B3849:B$2,-1+SUMPRODUCT(MAX(ROW(E3849:E$2)*(E3850=E3849:E$2)))))</f>
        <v> </v>
      </c>
      <c r="J3850" s="26" t="str">
        <f>IF(OR(E3850="",E3850="!!!",F3850="NEW"),"",COUNTBLANK(OFFSET(A$1,,,SUMPRODUCT(MAX(ROW(E$2:E3850)*(E3850=E$2:E3850)))))-COUNTBLANK(OFFSET(A$1,,,SUMPRODUCT(MAX(ROW(E$1:E3849)*(E2=E$1:E3849))))))</f>
        <v> </v>
      </c>
      <c r="K3850" s="26" t="str">
        <f>IF(OR(E3850="",E3850="!!!",F3850="NEW"),"",INDEX(J$1:J3849,SUMPRODUCT(MAX(ROW(E$1:E3849)*(E3850=E$1:E3849)))))</f>
        <v> </v>
      </c>
      <c r="L3850" s="27"/>
    </row>
    <row r="3851" spans="1:12">
      <c r="A3851" s="20" t="s">
        <v>1175</v>
      </c>
      <c r="E3851" s="22">
        <f>IF(D3851="?OLD","!!!","")</f>
        <v/>
      </c>
      <c r="F3851" s="23" t="str">
        <f>IF(OR(E3851="",E3851="!!!"),"",IF(NOT(ISNA(VLOOKUP(E3851,E$1:E3850,1,FALSE()))),"OLD",IF(AND(E3851&lt;&gt;"",E3851&lt;&gt;"!!!"),"NEW","")))</f>
        <v> </v>
      </c>
      <c r="G3851" s="24" t="str">
        <f>IF(OR(E3851="",E3851="!!!"),"",IF(OR(J3851=0,AND(J3851=1,K3851=1),AND(J3851=1,I3851="SBJ"),AND(J3851=1,I3851=0)),"?IN_FOCUS",IF(J3851&lt;=2,"?ACTIVATED",IF(J3851&lt;&gt;"","?FAMILIAR",IF(F3851="NEW",IF(ISNA(VLOOKUP(E3851,#REF!,1,FALSE())),"?TYPE_IDENTIFIABLE","?REFERENTIAL"),"_")))))</f>
        <v> </v>
      </c>
      <c r="H3851" s="25" t="str">
        <f>IF(J3851&lt;&gt;1,"",IF(I3851="SBJ","CB","?"))</f>
        <v> </v>
      </c>
      <c r="I3851" s="26" t="str">
        <f>IF(OR(E3851="",E3851="!!!",F3851="NEW"),"",INDEX(B3850:B$2,-1+SUMPRODUCT(MAX(ROW(E3850:E$2)*(E3851=E3850:E$2)))))</f>
        <v> </v>
      </c>
      <c r="J3851" s="26" t="str">
        <f>IF(OR(E3851="",E3851="!!!",F3851="NEW"),"",COUNTBLANK(OFFSET(A$1,,,SUMPRODUCT(MAX(ROW(E$2:E3851)*(E3851=E$2:E3851)))))-COUNTBLANK(OFFSET(A$1,,,SUMPRODUCT(MAX(ROW(E$1:E3850)*(E2=E$1:E3850))))))</f>
        <v> </v>
      </c>
      <c r="K3851" s="26" t="str">
        <f>IF(OR(E3851="",E3851="!!!",F3851="NEW"),"",INDEX(J$1:J3850,SUMPRODUCT(MAX(ROW(E$1:E3850)*(E3851=E$1:E3850)))))</f>
        <v> </v>
      </c>
      <c r="L3851" s="27"/>
    </row>
    <row r="3852" spans="1:12">
      <c r="A3852" s="20" t="s">
        <v>1279</v>
      </c>
      <c r="E3852" s="22">
        <f>IF(D3852="?OLD","!!!","")</f>
        <v/>
      </c>
      <c r="F3852" s="23" t="str">
        <f>IF(OR(E3852="",E3852="!!!"),"",IF(NOT(ISNA(VLOOKUP(E3852,E$1:E3851,1,FALSE()))),"OLD",IF(AND(E3852&lt;&gt;"",E3852&lt;&gt;"!!!"),"NEW","")))</f>
        <v> </v>
      </c>
      <c r="G3852" s="24" t="str">
        <f>IF(OR(E3852="",E3852="!!!"),"",IF(OR(J3852=0,AND(J3852=1,K3852=1),AND(J3852=1,I3852="SBJ"),AND(J3852=1,I3852=0)),"?IN_FOCUS",IF(J3852&lt;=2,"?ACTIVATED",IF(J3852&lt;&gt;"","?FAMILIAR",IF(F3852="NEW",IF(ISNA(VLOOKUP(E3852,#REF!,1,FALSE())),"?TYPE_IDENTIFIABLE","?REFERENTIAL"),"_")))))</f>
        <v> </v>
      </c>
      <c r="H3852" s="25" t="str">
        <f>IF(J3852&lt;&gt;1,"",IF(I3852="SBJ","CB","?"))</f>
        <v> </v>
      </c>
      <c r="I3852" s="26" t="str">
        <f>IF(OR(E3852="",E3852="!!!",F3852="NEW"),"",INDEX(B3851:B$2,-1+SUMPRODUCT(MAX(ROW(E3851:E$2)*(E3852=E3851:E$2)))))</f>
        <v> </v>
      </c>
      <c r="J3852" s="26" t="str">
        <f>IF(OR(E3852="",E3852="!!!",F3852="NEW"),"",COUNTBLANK(OFFSET(A$1,,,SUMPRODUCT(MAX(ROW(E$2:E3852)*(E3852=E$2:E3852)))))-COUNTBLANK(OFFSET(A$1,,,SUMPRODUCT(MAX(ROW(E$1:E3851)*(E2=E$1:E3851))))))</f>
        <v> </v>
      </c>
      <c r="K3852" s="26" t="str">
        <f>IF(OR(E3852="",E3852="!!!",F3852="NEW"),"",INDEX(J$1:J3851,SUMPRODUCT(MAX(ROW(E$1:E3851)*(E3852=E$1:E3851)))))</f>
        <v> </v>
      </c>
      <c r="L3852" s="27"/>
    </row>
    <row r="3853" spans="1:12">
      <c r="A3853" s="20" t="s">
        <v>1262</v>
      </c>
      <c r="B3853" s="21" t="s">
        <v>1154</v>
      </c>
      <c r="C3853" s="21" t="s">
        <v>1041</v>
      </c>
      <c r="D3853" s="21" t="s">
        <v>1007</v>
      </c>
      <c r="E3853" s="22">
        <f>IF(D3853="?OLD","!!!","")</f>
        <v/>
      </c>
      <c r="F3853" s="23" t="str">
        <f>IF(OR(E3853="",E3853="!!!"),"",IF(NOT(ISNA(VLOOKUP(E3853,E$1:E3852,1,FALSE()))),"OLD",IF(AND(E3853&lt;&gt;"",E3853&lt;&gt;"!!!"),"NEW","")))</f>
        <v> </v>
      </c>
      <c r="G3853" s="24" t="str">
        <f>IF(OR(E3853="",E3853="!!!"),"",IF(OR(J3853=0,AND(J3853=1,K3853=1),AND(J3853=1,I3853="SBJ"),AND(J3853=1,I3853=0)),"?IN_FOCUS",IF(J3853&lt;=2,"?ACTIVATED",IF(J3853&lt;&gt;"","?FAMILIAR",IF(F3853="NEW",IF(ISNA(VLOOKUP(E3853,#REF!,1,FALSE())),"?TYPE_IDENTIFIABLE","?REFERENTIAL"),"_")))))</f>
        <v> </v>
      </c>
      <c r="H3853" s="25" t="str">
        <f>IF(J3853&lt;&gt;1,"",IF(I3853="SBJ","CB","?"))</f>
        <v> </v>
      </c>
      <c r="I3853" s="26" t="str">
        <f>IF(OR(E3853="",E3853="!!!",F3853="NEW"),"",INDEX(B3852:B$2,-1+SUMPRODUCT(MAX(ROW(E3852:E$2)*(E3853=E3852:E$2)))))</f>
        <v> </v>
      </c>
      <c r="J3853" s="26" t="str">
        <f>IF(OR(E3853="",E3853="!!!",F3853="NEW"),"",COUNTBLANK(OFFSET(A$1,,,SUMPRODUCT(MAX(ROW(E$2:E3853)*(E3853=E$2:E3853)))))-COUNTBLANK(OFFSET(A$1,,,SUMPRODUCT(MAX(ROW(E$1:E3852)*(E2=E$1:E3852))))))</f>
        <v> </v>
      </c>
      <c r="K3853" s="26" t="str">
        <f>IF(OR(E3853="",E3853="!!!",F3853="NEW"),"",INDEX(J$1:J3852,SUMPRODUCT(MAX(ROW(E$1:E3852)*(E3853=E$1:E3852)))))</f>
        <v> </v>
      </c>
      <c r="L3853" s="27"/>
    </row>
    <row r="3854" spans="1:12">
      <c r="A3854" s="20" t="s">
        <v>1255</v>
      </c>
      <c r="E3854" s="22">
        <f>IF(D3854="?OLD","!!!","")</f>
        <v/>
      </c>
      <c r="F3854" s="23" t="str">
        <f>IF(OR(E3854="",E3854="!!!"),"",IF(NOT(ISNA(VLOOKUP(E3854,E$1:E3853,1,FALSE()))),"OLD",IF(AND(E3854&lt;&gt;"",E3854&lt;&gt;"!!!"),"NEW","")))</f>
        <v> </v>
      </c>
      <c r="G3854" s="24" t="str">
        <f>IF(OR(E3854="",E3854="!!!"),"",IF(OR(J3854=0,AND(J3854=1,K3854=1),AND(J3854=1,I3854="SBJ"),AND(J3854=1,I3854=0)),"?IN_FOCUS",IF(J3854&lt;=2,"?ACTIVATED",IF(J3854&lt;&gt;"","?FAMILIAR",IF(F3854="NEW",IF(ISNA(VLOOKUP(E3854,#REF!,1,FALSE())),"?TYPE_IDENTIFIABLE","?REFERENTIAL"),"_")))))</f>
        <v> </v>
      </c>
      <c r="H3854" s="25" t="str">
        <f>IF(J3854&lt;&gt;1,"",IF(I3854="SBJ","CB","?"))</f>
        <v> </v>
      </c>
      <c r="I3854" s="26" t="str">
        <f>IF(OR(E3854="",E3854="!!!",F3854="NEW"),"",INDEX(B3853:B$2,-1+SUMPRODUCT(MAX(ROW(E3853:E$2)*(E3854=E3853:E$2)))))</f>
        <v> </v>
      </c>
      <c r="J3854" s="26" t="str">
        <f>IF(OR(E3854="",E3854="!!!",F3854="NEW"),"",COUNTBLANK(OFFSET(A$1,,,SUMPRODUCT(MAX(ROW(E$2:E3854)*(E3854=E$2:E3854)))))-COUNTBLANK(OFFSET(A$1,,,SUMPRODUCT(MAX(ROW(E$1:E3853)*(E2=E$1:E3853))))))</f>
        <v> </v>
      </c>
      <c r="K3854" s="26" t="str">
        <f>IF(OR(E3854="",E3854="!!!",F3854="NEW"),"",INDEX(J$1:J3853,SUMPRODUCT(MAX(ROW(E$1:E3853)*(E3854=E$1:E3853)))))</f>
        <v> </v>
      </c>
      <c r="L3854" s="27"/>
    </row>
    <row r="3855" spans="1:12">
      <c r="A3855" s="20" t="s">
        <v>1157</v>
      </c>
      <c r="E3855" s="22">
        <f>IF(D3855="?OLD","!!!","")</f>
        <v/>
      </c>
      <c r="F3855" s="23" t="str">
        <f>IF(OR(E3855="",E3855="!!!"),"",IF(NOT(ISNA(VLOOKUP(E3855,E$1:E3854,1,FALSE()))),"OLD",IF(AND(E3855&lt;&gt;"",E3855&lt;&gt;"!!!"),"NEW","")))</f>
        <v> </v>
      </c>
      <c r="G3855" s="24" t="str">
        <f>IF(OR(E3855="",E3855="!!!"),"",IF(OR(J3855=0,AND(J3855=1,K3855=1),AND(J3855=1,I3855="SBJ"),AND(J3855=1,I3855=0)),"?IN_FOCUS",IF(J3855&lt;=2,"?ACTIVATED",IF(J3855&lt;&gt;"","?FAMILIAR",IF(F3855="NEW",IF(ISNA(VLOOKUP(E3855,#REF!,1,FALSE())),"?TYPE_IDENTIFIABLE","?REFERENTIAL"),"_")))))</f>
        <v> </v>
      </c>
      <c r="H3855" s="25" t="str">
        <f>IF(J3855&lt;&gt;1,"",IF(I3855="SBJ","CB","?"))</f>
        <v> </v>
      </c>
      <c r="I3855" s="26" t="str">
        <f>IF(OR(E3855="",E3855="!!!",F3855="NEW"),"",INDEX(B3854:B$2,-1+SUMPRODUCT(MAX(ROW(E3854:E$2)*(E3855=E3854:E$2)))))</f>
        <v> </v>
      </c>
      <c r="J3855" s="26" t="str">
        <f>IF(OR(E3855="",E3855="!!!",F3855="NEW"),"",COUNTBLANK(OFFSET(A$1,,,SUMPRODUCT(MAX(ROW(E$2:E3855)*(E3855=E$2:E3855)))))-COUNTBLANK(OFFSET(A$1,,,SUMPRODUCT(MAX(ROW(E$1:E3854)*(E2=E$1:E3854))))))</f>
        <v> </v>
      </c>
      <c r="K3855" s="26" t="str">
        <f>IF(OR(E3855="",E3855="!!!",F3855="NEW"),"",INDEX(J$1:J3854,SUMPRODUCT(MAX(ROW(E$1:E3854)*(E3855=E$1:E3854)))))</f>
        <v> </v>
      </c>
      <c r="L3855" s="27"/>
    </row>
    <row r="3856" spans="1:12">
      <c r="A3856" s="20" t="s">
        <v>2141</v>
      </c>
      <c r="E3856" s="22">
        <f>IF(D3856="?OLD","!!!","")</f>
        <v/>
      </c>
      <c r="F3856" s="23" t="str">
        <f>IF(OR(E3856="",E3856="!!!"),"",IF(NOT(ISNA(VLOOKUP(E3856,E$1:E3855,1,FALSE()))),"OLD",IF(AND(E3856&lt;&gt;"",E3856&lt;&gt;"!!!"),"NEW","")))</f>
        <v> </v>
      </c>
      <c r="G3856" s="24" t="str">
        <f>IF(OR(E3856="",E3856="!!!"),"",IF(OR(J3856=0,AND(J3856=1,K3856=1),AND(J3856=1,I3856="SBJ"),AND(J3856=1,I3856=0)),"?IN_FOCUS",IF(J3856&lt;=2,"?ACTIVATED",IF(J3856&lt;&gt;"","?FAMILIAR",IF(F3856="NEW",IF(ISNA(VLOOKUP(E3856,#REF!,1,FALSE())),"?TYPE_IDENTIFIABLE","?REFERENTIAL"),"_")))))</f>
        <v> </v>
      </c>
      <c r="H3856" s="25" t="str">
        <f>IF(J3856&lt;&gt;1,"",IF(I3856="SBJ","CB","?"))</f>
        <v> </v>
      </c>
      <c r="I3856" s="26" t="str">
        <f>IF(OR(E3856="",E3856="!!!",F3856="NEW"),"",INDEX(B3855:B$2,-1+SUMPRODUCT(MAX(ROW(E3855:E$2)*(E3856=E3855:E$2)))))</f>
        <v> </v>
      </c>
      <c r="J3856" s="26" t="str">
        <f>IF(OR(E3856="",E3856="!!!",F3856="NEW"),"",COUNTBLANK(OFFSET(A$1,,,SUMPRODUCT(MAX(ROW(E$2:E3856)*(E3856=E$2:E3856)))))-COUNTBLANK(OFFSET(A$1,,,SUMPRODUCT(MAX(ROW(E$1:E3855)*(E2=E$1:E3855))))))</f>
        <v> </v>
      </c>
      <c r="K3856" s="26" t="str">
        <f>IF(OR(E3856="",E3856="!!!",F3856="NEW"),"",INDEX(J$1:J3855,SUMPRODUCT(MAX(ROW(E$1:E3855)*(E3856=E$1:E3855)))))</f>
        <v> </v>
      </c>
      <c r="L3856" s="27"/>
    </row>
    <row r="3857" spans="1:12">
      <c r="A3857" s="20" t="s">
        <v>1020</v>
      </c>
      <c r="E3857" s="22">
        <f>IF(D3857="?OLD","!!!","")</f>
        <v/>
      </c>
      <c r="F3857" s="23" t="str">
        <f>IF(OR(E3857="",E3857="!!!"),"",IF(NOT(ISNA(VLOOKUP(E3857,E$1:E3856,1,FALSE()))),"OLD",IF(AND(E3857&lt;&gt;"",E3857&lt;&gt;"!!!"),"NEW","")))</f>
        <v> </v>
      </c>
      <c r="G3857" s="24" t="str">
        <f>IF(OR(E3857="",E3857="!!!"),"",IF(OR(J3857=0,AND(J3857=1,K3857=1),AND(J3857=1,I3857="SBJ"),AND(J3857=1,I3857=0)),"?IN_FOCUS",IF(J3857&lt;=2,"?ACTIVATED",IF(J3857&lt;&gt;"","?FAMILIAR",IF(F3857="NEW",IF(ISNA(VLOOKUP(E3857,#REF!,1,FALSE())),"?TYPE_IDENTIFIABLE","?REFERENTIAL"),"_")))))</f>
        <v> </v>
      </c>
      <c r="H3857" s="25" t="str">
        <f>IF(J3857&lt;&gt;1,"",IF(I3857="SBJ","CB","?"))</f>
        <v> </v>
      </c>
      <c r="I3857" s="26" t="str">
        <f>IF(OR(E3857="",E3857="!!!",F3857="NEW"),"",INDEX(B3856:B$2,-1+SUMPRODUCT(MAX(ROW(E3856:E$2)*(E3857=E3856:E$2)))))</f>
        <v> </v>
      </c>
      <c r="J3857" s="26" t="str">
        <f>IF(OR(E3857="",E3857="!!!",F3857="NEW"),"",COUNTBLANK(OFFSET(A$1,,,SUMPRODUCT(MAX(ROW(E$2:E3857)*(E3857=E$2:E3857)))))-COUNTBLANK(OFFSET(A$1,,,SUMPRODUCT(MAX(ROW(E$1:E3856)*(E2=E$1:E3856))))))</f>
        <v> </v>
      </c>
      <c r="K3857" s="26" t="str">
        <f>IF(OR(E3857="",E3857="!!!",F3857="NEW"),"",INDEX(J$1:J3856,SUMPRODUCT(MAX(ROW(E$1:E3856)*(E3857=E$1:E3856)))))</f>
        <v> </v>
      </c>
      <c r="L3857" s="27"/>
    </row>
    <row r="3858" spans="1:12">
      <c r="A3858" s="20" t="s">
        <v>1638</v>
      </c>
      <c r="B3858" s="21" t="s">
        <v>1187</v>
      </c>
      <c r="C3858" s="21" t="s">
        <v>1006</v>
      </c>
      <c r="D3858" s="21" t="s">
        <v>1007</v>
      </c>
      <c r="E3858" s="22">
        <f>IF(D3858="?OLD","!!!","")</f>
        <v/>
      </c>
      <c r="F3858" s="23" t="str">
        <f>IF(OR(E3858="",E3858="!!!"),"",IF(NOT(ISNA(VLOOKUP(E3858,E$1:E3857,1,FALSE()))),"OLD",IF(AND(E3858&lt;&gt;"",E3858&lt;&gt;"!!!"),"NEW","")))</f>
        <v> </v>
      </c>
      <c r="G3858" s="24" t="str">
        <f>IF(OR(E3858="",E3858="!!!"),"",IF(OR(J3858=0,AND(J3858=1,K3858=1),AND(J3858=1,I3858="SBJ"),AND(J3858=1,I3858=0)),"?IN_FOCUS",IF(J3858&lt;=2,"?ACTIVATED",IF(J3858&lt;&gt;"","?FAMILIAR",IF(F3858="NEW",IF(ISNA(VLOOKUP(E3858,#REF!,1,FALSE())),"?TYPE_IDENTIFIABLE","?REFERENTIAL"),"_")))))</f>
        <v> </v>
      </c>
      <c r="H3858" s="25" t="str">
        <f>IF(J3858&lt;&gt;1,"",IF(I3858="SBJ","CB","?"))</f>
        <v> </v>
      </c>
      <c r="I3858" s="26" t="str">
        <f>IF(OR(E3858="",E3858="!!!",F3858="NEW"),"",INDEX(B3857:B$2,-1+SUMPRODUCT(MAX(ROW(E3857:E$2)*(E3858=E3857:E$2)))))</f>
        <v> </v>
      </c>
      <c r="J3858" s="26" t="str">
        <f>IF(OR(E3858="",E3858="!!!",F3858="NEW"),"",COUNTBLANK(OFFSET(A$1,,,SUMPRODUCT(MAX(ROW(E$2:E3858)*(E3858=E$2:E3858)))))-COUNTBLANK(OFFSET(A$1,,,SUMPRODUCT(MAX(ROW(E$1:E3857)*(E2=E$1:E3857))))))</f>
        <v> </v>
      </c>
      <c r="K3858" s="26" t="str">
        <f>IF(OR(E3858="",E3858="!!!",F3858="NEW"),"",INDEX(J$1:J3857,SUMPRODUCT(MAX(ROW(E$1:E3857)*(E3858=E$1:E3857)))))</f>
        <v> </v>
      </c>
      <c r="L3858" s="27"/>
    </row>
    <row r="3859" spans="1:12">
      <c r="A3859" s="20" t="s">
        <v>1020</v>
      </c>
      <c r="E3859" s="22">
        <f>IF(D3859="?OLD","!!!","")</f>
        <v/>
      </c>
      <c r="F3859" s="23" t="str">
        <f>IF(OR(E3859="",E3859="!!!"),"",IF(NOT(ISNA(VLOOKUP(E3859,E$1:E3858,1,FALSE()))),"OLD",IF(AND(E3859&lt;&gt;"",E3859&lt;&gt;"!!!"),"NEW","")))</f>
        <v> </v>
      </c>
      <c r="G3859" s="24" t="str">
        <f>IF(OR(E3859="",E3859="!!!"),"",IF(OR(J3859=0,AND(J3859=1,K3859=1),AND(J3859=1,I3859="SBJ"),AND(J3859=1,I3859=0)),"?IN_FOCUS",IF(J3859&lt;=2,"?ACTIVATED",IF(J3859&lt;&gt;"","?FAMILIAR",IF(F3859="NEW",IF(ISNA(VLOOKUP(E3859,#REF!,1,FALSE())),"?TYPE_IDENTIFIABLE","?REFERENTIAL"),"_")))))</f>
        <v> </v>
      </c>
      <c r="H3859" s="25" t="str">
        <f>IF(J3859&lt;&gt;1,"",IF(I3859="SBJ","CB","?"))</f>
        <v> </v>
      </c>
      <c r="I3859" s="26" t="str">
        <f>IF(OR(E3859="",E3859="!!!",F3859="NEW"),"",INDEX(B3858:B$2,-1+SUMPRODUCT(MAX(ROW(E3858:E$2)*(E3859=E3858:E$2)))))</f>
        <v> </v>
      </c>
      <c r="J3859" s="26" t="str">
        <f>IF(OR(E3859="",E3859="!!!",F3859="NEW"),"",COUNTBLANK(OFFSET(A$1,,,SUMPRODUCT(MAX(ROW(E$2:E3859)*(E3859=E$2:E3859)))))-COUNTBLANK(OFFSET(A$1,,,SUMPRODUCT(MAX(ROW(E$1:E3858)*(E2=E$1:E3858))))))</f>
        <v> </v>
      </c>
      <c r="K3859" s="26" t="str">
        <f>IF(OR(E3859="",E3859="!!!",F3859="NEW"),"",INDEX(J$1:J3858,SUMPRODUCT(MAX(ROW(E$1:E3858)*(E3859=E$1:E3858)))))</f>
        <v> </v>
      </c>
      <c r="L3859" s="27"/>
    </row>
    <row r="3860" spans="1:12">
      <c r="A3860" s="20" t="s">
        <v>2142</v>
      </c>
      <c r="B3860" s="21" t="s">
        <v>1033</v>
      </c>
      <c r="C3860" s="21" t="s">
        <v>1013</v>
      </c>
      <c r="D3860" s="21" t="s">
        <v>1007</v>
      </c>
      <c r="E3860" s="22">
        <f>IF(D3860="?OLD","!!!","")</f>
        <v/>
      </c>
      <c r="F3860" s="23" t="str">
        <f>IF(OR(E3860="",E3860="!!!"),"",IF(NOT(ISNA(VLOOKUP(E3860,E$1:E3859,1,FALSE()))),"OLD",IF(AND(E3860&lt;&gt;"",E3860&lt;&gt;"!!!"),"NEW","")))</f>
        <v> </v>
      </c>
      <c r="G3860" s="24" t="str">
        <f>IF(OR(E3860="",E3860="!!!"),"",IF(OR(J3860=0,AND(J3860=1,K3860=1),AND(J3860=1,I3860="SBJ"),AND(J3860=1,I3860=0)),"?IN_FOCUS",IF(J3860&lt;=2,"?ACTIVATED",IF(J3860&lt;&gt;"","?FAMILIAR",IF(F3860="NEW",IF(ISNA(VLOOKUP(E3860,#REF!,1,FALSE())),"?TYPE_IDENTIFIABLE","?REFERENTIAL"),"_")))))</f>
        <v> </v>
      </c>
      <c r="H3860" s="25" t="str">
        <f>IF(J3860&lt;&gt;1,"",IF(I3860="SBJ","CB","?"))</f>
        <v> </v>
      </c>
      <c r="I3860" s="26" t="str">
        <f>IF(OR(E3860="",E3860="!!!",F3860="NEW"),"",INDEX(B3859:B$2,-1+SUMPRODUCT(MAX(ROW(E3859:E$2)*(E3860=E3859:E$2)))))</f>
        <v> </v>
      </c>
      <c r="J3860" s="26" t="str">
        <f>IF(OR(E3860="",E3860="!!!",F3860="NEW"),"",COUNTBLANK(OFFSET(A$1,,,SUMPRODUCT(MAX(ROW(E$2:E3860)*(E3860=E$2:E3860)))))-COUNTBLANK(OFFSET(A$1,,,SUMPRODUCT(MAX(ROW(E$1:E3859)*(E2=E$1:E3859))))))</f>
        <v> </v>
      </c>
      <c r="K3860" s="26" t="str">
        <f>IF(OR(E3860="",E3860="!!!",F3860="NEW"),"",INDEX(J$1:J3859,SUMPRODUCT(MAX(ROW(E$1:E3859)*(E3860=E$1:E3859)))))</f>
        <v> </v>
      </c>
      <c r="L3860" s="27"/>
    </row>
    <row r="3861" spans="1:12">
      <c r="A3861" s="20" t="s">
        <v>1538</v>
      </c>
      <c r="E3861" s="22">
        <f>IF(D3861="?OLD","!!!","")</f>
        <v/>
      </c>
      <c r="F3861" s="23" t="str">
        <f>IF(OR(E3861="",E3861="!!!"),"",IF(NOT(ISNA(VLOOKUP(E3861,E$1:E3860,1,FALSE()))),"OLD",IF(AND(E3861&lt;&gt;"",E3861&lt;&gt;"!!!"),"NEW","")))</f>
        <v> </v>
      </c>
      <c r="G3861" s="24" t="str">
        <f>IF(OR(E3861="",E3861="!!!"),"",IF(OR(J3861=0,AND(J3861=1,K3861=1),AND(J3861=1,I3861="SBJ"),AND(J3861=1,I3861=0)),"?IN_FOCUS",IF(J3861&lt;=2,"?ACTIVATED",IF(J3861&lt;&gt;"","?FAMILIAR",IF(F3861="NEW",IF(ISNA(VLOOKUP(E3861,#REF!,1,FALSE())),"?TYPE_IDENTIFIABLE","?REFERENTIAL"),"_")))))</f>
        <v> </v>
      </c>
      <c r="H3861" s="25" t="str">
        <f>IF(J3861&lt;&gt;1,"",IF(I3861="SBJ","CB","?"))</f>
        <v> </v>
      </c>
      <c r="I3861" s="26" t="str">
        <f>IF(OR(E3861="",E3861="!!!",F3861="NEW"),"",INDEX(B3860:B$2,-1+SUMPRODUCT(MAX(ROW(E3860:E$2)*(E3861=E3860:E$2)))))</f>
        <v> </v>
      </c>
      <c r="J3861" s="26" t="str">
        <f>IF(OR(E3861="",E3861="!!!",F3861="NEW"),"",COUNTBLANK(OFFSET(A$1,,,SUMPRODUCT(MAX(ROW(E$2:E3861)*(E3861=E$2:E3861)))))-COUNTBLANK(OFFSET(A$1,,,SUMPRODUCT(MAX(ROW(E$1:E3860)*(E2=E$1:E3860))))))</f>
        <v> </v>
      </c>
      <c r="K3861" s="26" t="str">
        <f>IF(OR(E3861="",E3861="!!!",F3861="NEW"),"",INDEX(J$1:J3860,SUMPRODUCT(MAX(ROW(E$1:E3860)*(E3861=E$1:E3860)))))</f>
        <v> </v>
      </c>
      <c r="L3861" s="27"/>
    </row>
    <row r="3862" spans="1:12">
      <c r="A3862" s="20" t="s">
        <v>1014</v>
      </c>
      <c r="E3862" s="22">
        <f>IF(D3862="?OLD","!!!","")</f>
        <v/>
      </c>
      <c r="F3862" s="23" t="str">
        <f>IF(OR(E3862="",E3862="!!!"),"",IF(NOT(ISNA(VLOOKUP(E3862,E$1:E3861,1,FALSE()))),"OLD",IF(AND(E3862&lt;&gt;"",E3862&lt;&gt;"!!!"),"NEW","")))</f>
        <v> </v>
      </c>
      <c r="G3862" s="24" t="str">
        <f>IF(OR(E3862="",E3862="!!!"),"",IF(OR(J3862=0,AND(J3862=1,K3862=1),AND(J3862=1,I3862="SBJ"),AND(J3862=1,I3862=0)),"?IN_FOCUS",IF(J3862&lt;=2,"?ACTIVATED",IF(J3862&lt;&gt;"","?FAMILIAR",IF(F3862="NEW",IF(ISNA(VLOOKUP(E3862,#REF!,1,FALSE())),"?TYPE_IDENTIFIABLE","?REFERENTIAL"),"_")))))</f>
        <v> </v>
      </c>
      <c r="H3862" s="25" t="str">
        <f>IF(J3862&lt;&gt;1,"",IF(I3862="SBJ","CB","?"))</f>
        <v> </v>
      </c>
      <c r="I3862" s="26" t="str">
        <f>IF(OR(E3862="",E3862="!!!",F3862="NEW"),"",INDEX(B3861:B$2,-1+SUMPRODUCT(MAX(ROW(E3861:E$2)*(E3862=E3861:E$2)))))</f>
        <v> </v>
      </c>
      <c r="J3862" s="26" t="str">
        <f>IF(OR(E3862="",E3862="!!!",F3862="NEW"),"",COUNTBLANK(OFFSET(A$1,,,SUMPRODUCT(MAX(ROW(E$2:E3862)*(E3862=E$2:E3862)))))-COUNTBLANK(OFFSET(A$1,,,SUMPRODUCT(MAX(ROW(E$1:E3861)*(E2=E$1:E3861))))))</f>
        <v> </v>
      </c>
      <c r="K3862" s="26" t="str">
        <f>IF(OR(E3862="",E3862="!!!",F3862="NEW"),"",INDEX(J$1:J3861,SUMPRODUCT(MAX(ROW(E$1:E3861)*(E3862=E$1:E3861)))))</f>
        <v> </v>
      </c>
      <c r="L3862" s="27"/>
    </row>
    <row r="3863" spans="1:12">
      <c r="A3863" s="20" t="s">
        <v>2143</v>
      </c>
      <c r="E3863" s="22">
        <f>IF(D3863="?OLD","!!!","")</f>
        <v/>
      </c>
      <c r="F3863" s="23" t="str">
        <f>IF(OR(E3863="",E3863="!!!"),"",IF(NOT(ISNA(VLOOKUP(E3863,E$1:E3862,1,FALSE()))),"OLD",IF(AND(E3863&lt;&gt;"",E3863&lt;&gt;"!!!"),"NEW","")))</f>
        <v> </v>
      </c>
      <c r="G3863" s="24" t="str">
        <f>IF(OR(E3863="",E3863="!!!"),"",IF(OR(J3863=0,AND(J3863=1,K3863=1),AND(J3863=1,I3863="SBJ"),AND(J3863=1,I3863=0)),"?IN_FOCUS",IF(J3863&lt;=2,"?ACTIVATED",IF(J3863&lt;&gt;"","?FAMILIAR",IF(F3863="NEW",IF(ISNA(VLOOKUP(E3863,#REF!,1,FALSE())),"?TYPE_IDENTIFIABLE","?REFERENTIAL"),"_")))))</f>
        <v> </v>
      </c>
      <c r="H3863" s="25" t="str">
        <f>IF(J3863&lt;&gt;1,"",IF(I3863="SBJ","CB","?"))</f>
        <v> </v>
      </c>
      <c r="I3863" s="26" t="str">
        <f>IF(OR(E3863="",E3863="!!!",F3863="NEW"),"",INDEX(B3862:B$2,-1+SUMPRODUCT(MAX(ROW(E3862:E$2)*(E3863=E3862:E$2)))))</f>
        <v> </v>
      </c>
      <c r="J3863" s="26" t="str">
        <f>IF(OR(E3863="",E3863="!!!",F3863="NEW"),"",COUNTBLANK(OFFSET(A$1,,,SUMPRODUCT(MAX(ROW(E$2:E3863)*(E3863=E$2:E3863)))))-COUNTBLANK(OFFSET(A$1,,,SUMPRODUCT(MAX(ROW(E$1:E3862)*(E2=E$1:E3862))))))</f>
        <v> </v>
      </c>
      <c r="K3863" s="26" t="str">
        <f>IF(OR(E3863="",E3863="!!!",F3863="NEW"),"",INDEX(J$1:J3862,SUMPRODUCT(MAX(ROW(E$1:E3862)*(E3863=E$1:E3862)))))</f>
        <v> </v>
      </c>
      <c r="L3863" s="27"/>
    </row>
    <row r="3864" spans="1:12">
      <c r="A3864" s="20" t="s">
        <v>2144</v>
      </c>
      <c r="B3864" s="21" t="s">
        <v>1035</v>
      </c>
      <c r="C3864" s="21" t="s">
        <v>1103</v>
      </c>
      <c r="E3864" s="22">
        <f>IF(D3864="?OLD","!!!","")</f>
        <v/>
      </c>
      <c r="F3864" s="23" t="str">
        <f>IF(OR(E3864="",E3864="!!!"),"",IF(NOT(ISNA(VLOOKUP(E3864,E$1:E3863,1,FALSE()))),"OLD",IF(AND(E3864&lt;&gt;"",E3864&lt;&gt;"!!!"),"NEW","")))</f>
        <v> </v>
      </c>
      <c r="G3864" s="24" t="str">
        <f>IF(OR(E3864="",E3864="!!!"),"",IF(OR(J3864=0,AND(J3864=1,K3864=1),AND(J3864=1,I3864="SBJ"),AND(J3864=1,I3864=0)),"?IN_FOCUS",IF(J3864&lt;=2,"?ACTIVATED",IF(J3864&lt;&gt;"","?FAMILIAR",IF(F3864="NEW",IF(ISNA(VLOOKUP(E3864,#REF!,1,FALSE())),"?TYPE_IDENTIFIABLE","?REFERENTIAL"),"_")))))</f>
        <v> </v>
      </c>
      <c r="H3864" s="25" t="str">
        <f>IF(J3864&lt;&gt;1,"",IF(I3864="SBJ","CB","?"))</f>
        <v> </v>
      </c>
      <c r="I3864" s="26" t="str">
        <f>IF(OR(E3864="",E3864="!!!",F3864="NEW"),"",INDEX(B3863:B$2,-1+SUMPRODUCT(MAX(ROW(E3863:E$2)*(E3864=E3863:E$2)))))</f>
        <v> </v>
      </c>
      <c r="J3864" s="26" t="str">
        <f>IF(OR(E3864="",E3864="!!!",F3864="NEW"),"",COUNTBLANK(OFFSET(A$1,,,SUMPRODUCT(MAX(ROW(E$2:E3864)*(E3864=E$2:E3864)))))-COUNTBLANK(OFFSET(A$1,,,SUMPRODUCT(MAX(ROW(E$1:E3863)*(E2=E$1:E3863))))))</f>
        <v> </v>
      </c>
      <c r="K3864" s="26" t="str">
        <f>IF(OR(E3864="",E3864="!!!",F3864="NEW"),"",INDEX(J$1:J3863,SUMPRODUCT(MAX(ROW(E$1:E3863)*(E3864=E$1:E3863)))))</f>
        <v> </v>
      </c>
      <c r="L3864" s="27"/>
    </row>
    <row r="3865" spans="1:12">
      <c r="A3865" s="20" t="s">
        <v>1077</v>
      </c>
      <c r="E3865" s="22">
        <f>IF(D3865="?OLD","!!!","")</f>
        <v/>
      </c>
      <c r="F3865" s="23" t="str">
        <f>IF(OR(E3865="",E3865="!!!"),"",IF(NOT(ISNA(VLOOKUP(E3865,E$1:E3864,1,FALSE()))),"OLD",IF(AND(E3865&lt;&gt;"",E3865&lt;&gt;"!!!"),"NEW","")))</f>
        <v> </v>
      </c>
      <c r="G3865" s="24" t="str">
        <f>IF(OR(E3865="",E3865="!!!"),"",IF(OR(J3865=0,AND(J3865=1,K3865=1),AND(J3865=1,I3865="SBJ"),AND(J3865=1,I3865=0)),"?IN_FOCUS",IF(J3865&lt;=2,"?ACTIVATED",IF(J3865&lt;&gt;"","?FAMILIAR",IF(F3865="NEW",IF(ISNA(VLOOKUP(E3865,#REF!,1,FALSE())),"?TYPE_IDENTIFIABLE","?REFERENTIAL"),"_")))))</f>
        <v> </v>
      </c>
      <c r="H3865" s="25" t="str">
        <f>IF(J3865&lt;&gt;1,"",IF(I3865="SBJ","CB","?"))</f>
        <v> </v>
      </c>
      <c r="I3865" s="26" t="str">
        <f>IF(OR(E3865="",E3865="!!!",F3865="NEW"),"",INDEX(B3864:B$2,-1+SUMPRODUCT(MAX(ROW(E3864:E$2)*(E3865=E3864:E$2)))))</f>
        <v> </v>
      </c>
      <c r="J3865" s="26" t="str">
        <f>IF(OR(E3865="",E3865="!!!",F3865="NEW"),"",COUNTBLANK(OFFSET(A$1,,,SUMPRODUCT(MAX(ROW(E$2:E3865)*(E3865=E$2:E3865)))))-COUNTBLANK(OFFSET(A$1,,,SUMPRODUCT(MAX(ROW(E$1:E3864)*(E2=E$1:E3864))))))</f>
        <v> </v>
      </c>
      <c r="K3865" s="26" t="str">
        <f>IF(OR(E3865="",E3865="!!!",F3865="NEW"),"",INDEX(J$1:J3864,SUMPRODUCT(MAX(ROW(E$1:E3864)*(E3865=E$1:E3864)))))</f>
        <v> </v>
      </c>
      <c r="L3865" s="27"/>
    </row>
    <row r="3866" spans="1:12">
      <c r="A3866" s="20"/>
    </row>
    <row r="3867" spans="1:12">
      <c r="A3867" s="20" t="s">
        <v>2145</v>
      </c>
    </row>
    <row r="3868" spans="1:12">
      <c r="A3868" s="20" t="s">
        <v>1118</v>
      </c>
      <c r="B3868" s="21" t="s">
        <v>1005</v>
      </c>
      <c r="C3868" s="21" t="s">
        <v>1013</v>
      </c>
      <c r="D3868" s="21" t="s">
        <v>1007</v>
      </c>
      <c r="E3868" s="22">
        <f>IF(D3868="?OLD","!!!","")</f>
        <v/>
      </c>
      <c r="F3868" s="23" t="str">
        <f>IF(OR(E3868="",E3868="!!!"),"",IF(NOT(ISNA(VLOOKUP(E3868,E$1:E3867,1,FALSE()))),"OLD",IF(AND(E3868&lt;&gt;"",E3868&lt;&gt;"!!!"),"NEW","")))</f>
        <v> </v>
      </c>
      <c r="G3868" s="24" t="str">
        <f>IF(OR(E3868="",E3868="!!!"),"",IF(OR(J3868=0,AND(J3868=1,K3868=1),AND(J3868=1,I3868="SBJ"),AND(J3868=1,I3868=0)),"?IN_FOCUS",IF(J3868&lt;=2,"?ACTIVATED",IF(J3868&lt;&gt;"","?FAMILIAR",IF(F3868="NEW",IF(ISNA(VLOOKUP(E3868,#REF!,1,FALSE())),"?TYPE_IDENTIFIABLE","?REFERENTIAL"),"_")))))</f>
        <v> </v>
      </c>
      <c r="H3868" s="25" t="str">
        <f>IF(J3868&lt;&gt;1,"",IF(I3868="SBJ","CB","?"))</f>
        <v> </v>
      </c>
      <c r="I3868" s="26" t="str">
        <f>IF(OR(E3868="",E3868="!!!",F3868="NEW"),"",INDEX(B3867:B$2,-1+SUMPRODUCT(MAX(ROW(E3867:E$2)*(E3868=E3867:E$2)))))</f>
        <v> </v>
      </c>
      <c r="J3868" s="26" t="str">
        <f>IF(OR(E3868="",E3868="!!!",F3868="NEW"),"",COUNTBLANK(OFFSET(A$1,,,SUMPRODUCT(MAX(ROW(E$2:E3868)*(E3868=E$2:E3868)))))-COUNTBLANK(OFFSET(A$1,,,SUMPRODUCT(MAX(ROW(E$1:E3867)*(E2=E$1:E3867))))))</f>
        <v> </v>
      </c>
      <c r="K3868" s="26" t="str">
        <f>IF(OR(E3868="",E3868="!!!",F3868="NEW"),"",INDEX(J$1:J3867,SUMPRODUCT(MAX(ROW(E$1:E3867)*(E3868=E$1:E3867)))))</f>
        <v> </v>
      </c>
      <c r="L3868" s="27"/>
    </row>
    <row r="3869" spans="1:12">
      <c r="A3869" s="20" t="s">
        <v>1009</v>
      </c>
      <c r="E3869" s="22">
        <f>IF(D3869="?OLD","!!!","")</f>
        <v/>
      </c>
      <c r="F3869" s="23" t="str">
        <f>IF(OR(E3869="",E3869="!!!"),"",IF(NOT(ISNA(VLOOKUP(E3869,E$1:E3868,1,FALSE()))),"OLD",IF(AND(E3869&lt;&gt;"",E3869&lt;&gt;"!!!"),"NEW","")))</f>
        <v> </v>
      </c>
      <c r="G3869" s="24" t="str">
        <f>IF(OR(E3869="",E3869="!!!"),"",IF(OR(J3869=0,AND(J3869=1,K3869=1),AND(J3869=1,I3869="SBJ"),AND(J3869=1,I3869=0)),"?IN_FOCUS",IF(J3869&lt;=2,"?ACTIVATED",IF(J3869&lt;&gt;"","?FAMILIAR",IF(F3869="NEW",IF(ISNA(VLOOKUP(E3869,#REF!,1,FALSE())),"?TYPE_IDENTIFIABLE","?REFERENTIAL"),"_")))))</f>
        <v> </v>
      </c>
      <c r="H3869" s="25" t="str">
        <f>IF(J3869&lt;&gt;1,"",IF(I3869="SBJ","CB","?"))</f>
        <v> </v>
      </c>
      <c r="I3869" s="26" t="str">
        <f>IF(OR(E3869="",E3869="!!!",F3869="NEW"),"",INDEX(B3868:B$2,-1+SUMPRODUCT(MAX(ROW(E3868:E$2)*(E3869=E3868:E$2)))))</f>
        <v> </v>
      </c>
      <c r="J3869" s="26" t="str">
        <f>IF(OR(E3869="",E3869="!!!",F3869="NEW"),"",COUNTBLANK(OFFSET(A$1,,,SUMPRODUCT(MAX(ROW(E$2:E3869)*(E3869=E$2:E3869)))))-COUNTBLANK(OFFSET(A$1,,,SUMPRODUCT(MAX(ROW(E$1:E3868)*(E2=E$1:E3868))))))</f>
        <v> </v>
      </c>
      <c r="K3869" s="26" t="str">
        <f>IF(OR(E3869="",E3869="!!!",F3869="NEW"),"",INDEX(J$1:J3868,SUMPRODUCT(MAX(ROW(E$1:E3868)*(E3869=E$1:E3868)))))</f>
        <v> </v>
      </c>
      <c r="L3869" s="27"/>
    </row>
    <row r="3870" spans="1:12">
      <c r="A3870" s="20" t="s">
        <v>1080</v>
      </c>
      <c r="E3870" s="22">
        <f>IF(D3870="?OLD","!!!","")</f>
        <v/>
      </c>
      <c r="F3870" s="23" t="str">
        <f>IF(OR(E3870="",E3870="!!!"),"",IF(NOT(ISNA(VLOOKUP(E3870,E$1:E3869,1,FALSE()))),"OLD",IF(AND(E3870&lt;&gt;"",E3870&lt;&gt;"!!!"),"NEW","")))</f>
        <v> </v>
      </c>
      <c r="G3870" s="24" t="str">
        <f>IF(OR(E3870="",E3870="!!!"),"",IF(OR(J3870=0,AND(J3870=1,K3870=1),AND(J3870=1,I3870="SBJ"),AND(J3870=1,I3870=0)),"?IN_FOCUS",IF(J3870&lt;=2,"?ACTIVATED",IF(J3870&lt;&gt;"","?FAMILIAR",IF(F3870="NEW",IF(ISNA(VLOOKUP(E3870,#REF!,1,FALSE())),"?TYPE_IDENTIFIABLE","?REFERENTIAL"),"_")))))</f>
        <v> </v>
      </c>
      <c r="H3870" s="25" t="str">
        <f>IF(J3870&lt;&gt;1,"",IF(I3870="SBJ","CB","?"))</f>
        <v> </v>
      </c>
      <c r="I3870" s="26" t="str">
        <f>IF(OR(E3870="",E3870="!!!",F3870="NEW"),"",INDEX(B3869:B$2,-1+SUMPRODUCT(MAX(ROW(E3869:E$2)*(E3870=E3869:E$2)))))</f>
        <v> </v>
      </c>
      <c r="J3870" s="26" t="str">
        <f>IF(OR(E3870="",E3870="!!!",F3870="NEW"),"",COUNTBLANK(OFFSET(A$1,,,SUMPRODUCT(MAX(ROW(E$2:E3870)*(E3870=E$2:E3870)))))-COUNTBLANK(OFFSET(A$1,,,SUMPRODUCT(MAX(ROW(E$1:E3869)*(E2=E$1:E3869))))))</f>
        <v> </v>
      </c>
      <c r="K3870" s="26" t="str">
        <f>IF(OR(E3870="",E3870="!!!",F3870="NEW"),"",INDEX(J$1:J3869,SUMPRODUCT(MAX(ROW(E$1:E3869)*(E3870=E$1:E3869)))))</f>
        <v> </v>
      </c>
      <c r="L3870" s="27"/>
    </row>
    <row r="3871" spans="1:12">
      <c r="A3871" s="20" t="s">
        <v>1083</v>
      </c>
      <c r="E3871" s="22">
        <f>IF(D3871="?OLD","!!!","")</f>
        <v/>
      </c>
      <c r="F3871" s="23" t="str">
        <f>IF(OR(E3871="",E3871="!!!"),"",IF(NOT(ISNA(VLOOKUP(E3871,E$1:E3870,1,FALSE()))),"OLD",IF(AND(E3871&lt;&gt;"",E3871&lt;&gt;"!!!"),"NEW","")))</f>
        <v> </v>
      </c>
      <c r="G3871" s="24" t="str">
        <f>IF(OR(E3871="",E3871="!!!"),"",IF(OR(J3871=0,AND(J3871=1,K3871=1),AND(J3871=1,I3871="SBJ"),AND(J3871=1,I3871=0)),"?IN_FOCUS",IF(J3871&lt;=2,"?ACTIVATED",IF(J3871&lt;&gt;"","?FAMILIAR",IF(F3871="NEW",IF(ISNA(VLOOKUP(E3871,#REF!,1,FALSE())),"?TYPE_IDENTIFIABLE","?REFERENTIAL"),"_")))))</f>
        <v> </v>
      </c>
      <c r="H3871" s="25" t="str">
        <f>IF(J3871&lt;&gt;1,"",IF(I3871="SBJ","CB","?"))</f>
        <v> </v>
      </c>
      <c r="I3871" s="26" t="str">
        <f>IF(OR(E3871="",E3871="!!!",F3871="NEW"),"",INDEX(B3870:B$2,-1+SUMPRODUCT(MAX(ROW(E3870:E$2)*(E3871=E3870:E$2)))))</f>
        <v> </v>
      </c>
      <c r="J3871" s="26" t="str">
        <f>IF(OR(E3871="",E3871="!!!",F3871="NEW"),"",COUNTBLANK(OFFSET(A$1,,,SUMPRODUCT(MAX(ROW(E$2:E3871)*(E3871=E$2:E3871)))))-COUNTBLANK(OFFSET(A$1,,,SUMPRODUCT(MAX(ROW(E$1:E3870)*(E2=E$1:E3870))))))</f>
        <v> </v>
      </c>
      <c r="K3871" s="26" t="str">
        <f>IF(OR(E3871="",E3871="!!!",F3871="NEW"),"",INDEX(J$1:J3870,SUMPRODUCT(MAX(ROW(E$1:E3870)*(E3871=E$1:E3870)))))</f>
        <v> </v>
      </c>
      <c r="L3871" s="27"/>
    </row>
    <row r="3872" spans="1:12">
      <c r="A3872" s="20" t="s">
        <v>1020</v>
      </c>
      <c r="E3872" s="22">
        <f>IF(D3872="?OLD","!!!","")</f>
        <v/>
      </c>
      <c r="F3872" s="23" t="str">
        <f>IF(OR(E3872="",E3872="!!!"),"",IF(NOT(ISNA(VLOOKUP(E3872,E$1:E3871,1,FALSE()))),"OLD",IF(AND(E3872&lt;&gt;"",E3872&lt;&gt;"!!!"),"NEW","")))</f>
        <v> </v>
      </c>
      <c r="G3872" s="24" t="str">
        <f>IF(OR(E3872="",E3872="!!!"),"",IF(OR(J3872=0,AND(J3872=1,K3872=1),AND(J3872=1,I3872="SBJ"),AND(J3872=1,I3872=0)),"?IN_FOCUS",IF(J3872&lt;=2,"?ACTIVATED",IF(J3872&lt;&gt;"","?FAMILIAR",IF(F3872="NEW",IF(ISNA(VLOOKUP(E3872,#REF!,1,FALSE())),"?TYPE_IDENTIFIABLE","?REFERENTIAL"),"_")))))</f>
        <v> </v>
      </c>
      <c r="H3872" s="25" t="str">
        <f>IF(J3872&lt;&gt;1,"",IF(I3872="SBJ","CB","?"))</f>
        <v> </v>
      </c>
      <c r="I3872" s="26" t="str">
        <f>IF(OR(E3872="",E3872="!!!",F3872="NEW"),"",INDEX(B3871:B$2,-1+SUMPRODUCT(MAX(ROW(E3871:E$2)*(E3872=E3871:E$2)))))</f>
        <v> </v>
      </c>
      <c r="J3872" s="26" t="str">
        <f>IF(OR(E3872="",E3872="!!!",F3872="NEW"),"",COUNTBLANK(OFFSET(A$1,,,SUMPRODUCT(MAX(ROW(E$2:E3872)*(E3872=E$2:E3872)))))-COUNTBLANK(OFFSET(A$1,,,SUMPRODUCT(MAX(ROW(E$1:E3871)*(E2=E$1:E3871))))))</f>
        <v> </v>
      </c>
      <c r="K3872" s="26" t="str">
        <f>IF(OR(E3872="",E3872="!!!",F3872="NEW"),"",INDEX(J$1:J3871,SUMPRODUCT(MAX(ROW(E$1:E3871)*(E3872=E$1:E3871)))))</f>
        <v> </v>
      </c>
      <c r="L3872" s="27"/>
    </row>
    <row r="3873" spans="1:12">
      <c r="A3873" s="20" t="s">
        <v>2146</v>
      </c>
      <c r="B3873" s="21" t="s">
        <v>1005</v>
      </c>
      <c r="C3873" s="21" t="s">
        <v>1017</v>
      </c>
      <c r="D3873" s="21" t="s">
        <v>1007</v>
      </c>
      <c r="E3873" s="22">
        <f>IF(D3873="?OLD","!!!","")</f>
        <v/>
      </c>
      <c r="F3873" s="23" t="str">
        <f>IF(OR(E3873="",E3873="!!!"),"",IF(NOT(ISNA(VLOOKUP(E3873,E$1:E3872,1,FALSE()))),"OLD",IF(AND(E3873&lt;&gt;"",E3873&lt;&gt;"!!!"),"NEW","")))</f>
        <v> </v>
      </c>
      <c r="G3873" s="24" t="str">
        <f>IF(OR(E3873="",E3873="!!!"),"",IF(OR(J3873=0,AND(J3873=1,K3873=1),AND(J3873=1,I3873="SBJ"),AND(J3873=1,I3873=0)),"?IN_FOCUS",IF(J3873&lt;=2,"?ACTIVATED",IF(J3873&lt;&gt;"","?FAMILIAR",IF(F3873="NEW",IF(ISNA(VLOOKUP(E3873,#REF!,1,FALSE())),"?TYPE_IDENTIFIABLE","?REFERENTIAL"),"_")))))</f>
        <v> </v>
      </c>
      <c r="H3873" s="25" t="str">
        <f>IF(J3873&lt;&gt;1,"",IF(I3873="SBJ","CB","?"))</f>
        <v> </v>
      </c>
      <c r="I3873" s="26" t="str">
        <f>IF(OR(E3873="",E3873="!!!",F3873="NEW"),"",INDEX(B3872:B$2,-1+SUMPRODUCT(MAX(ROW(E3872:E$2)*(E3873=E3872:E$2)))))</f>
        <v> </v>
      </c>
      <c r="J3873" s="26" t="str">
        <f>IF(OR(E3873="",E3873="!!!",F3873="NEW"),"",COUNTBLANK(OFFSET(A$1,,,SUMPRODUCT(MAX(ROW(E$2:E3873)*(E3873=E$2:E3873)))))-COUNTBLANK(OFFSET(A$1,,,SUMPRODUCT(MAX(ROW(E$1:E3872)*(E2=E$1:E3872))))))</f>
        <v> </v>
      </c>
      <c r="K3873" s="26" t="str">
        <f>IF(OR(E3873="",E3873="!!!",F3873="NEW"),"",INDEX(J$1:J3872,SUMPRODUCT(MAX(ROW(E$1:E3872)*(E3873=E$1:E3872)))))</f>
        <v> </v>
      </c>
      <c r="L3873" s="27"/>
    </row>
    <row r="3874" spans="1:12">
      <c r="A3874" s="20" t="s">
        <v>1023</v>
      </c>
      <c r="E3874" s="22">
        <f>IF(D3874="?OLD","!!!","")</f>
        <v/>
      </c>
      <c r="F3874" s="23" t="str">
        <f>IF(OR(E3874="",E3874="!!!"),"",IF(NOT(ISNA(VLOOKUP(E3874,E$1:E3873,1,FALSE()))),"OLD",IF(AND(E3874&lt;&gt;"",E3874&lt;&gt;"!!!"),"NEW","")))</f>
        <v> </v>
      </c>
      <c r="G3874" s="24" t="str">
        <f>IF(OR(E3874="",E3874="!!!"),"",IF(OR(J3874=0,AND(J3874=1,K3874=1),AND(J3874=1,I3874="SBJ"),AND(J3874=1,I3874=0)),"?IN_FOCUS",IF(J3874&lt;=2,"?ACTIVATED",IF(J3874&lt;&gt;"","?FAMILIAR",IF(F3874="NEW",IF(ISNA(VLOOKUP(E3874,#REF!,1,FALSE())),"?TYPE_IDENTIFIABLE","?REFERENTIAL"),"_")))))</f>
        <v> </v>
      </c>
      <c r="H3874" s="25" t="str">
        <f>IF(J3874&lt;&gt;1,"",IF(I3874="SBJ","CB","?"))</f>
        <v> </v>
      </c>
      <c r="I3874" s="26" t="str">
        <f>IF(OR(E3874="",E3874="!!!",F3874="NEW"),"",INDEX(B3873:B$2,-1+SUMPRODUCT(MAX(ROW(E3873:E$2)*(E3874=E3873:E$2)))))</f>
        <v> </v>
      </c>
      <c r="J3874" s="26" t="str">
        <f>IF(OR(E3874="",E3874="!!!",F3874="NEW"),"",COUNTBLANK(OFFSET(A$1,,,SUMPRODUCT(MAX(ROW(E$2:E3874)*(E3874=E$2:E3874)))))-COUNTBLANK(OFFSET(A$1,,,SUMPRODUCT(MAX(ROW(E$1:E3873)*(E2=E$1:E3873))))))</f>
        <v> </v>
      </c>
      <c r="K3874" s="26" t="str">
        <f>IF(OR(E3874="",E3874="!!!",F3874="NEW"),"",INDEX(J$1:J3873,SUMPRODUCT(MAX(ROW(E$1:E3873)*(E3874=E$1:E3873)))))</f>
        <v> </v>
      </c>
      <c r="L3874" s="27"/>
    </row>
    <row r="3875" spans="1:12">
      <c r="A3875" s="20"/>
    </row>
    <row r="3876" spans="1:12">
      <c r="A3876" s="20" t="s">
        <v>2147</v>
      </c>
    </row>
    <row r="3877" spans="1:12">
      <c r="A3877" s="20" t="s">
        <v>2148</v>
      </c>
      <c r="B3877" s="21" t="s">
        <v>1050</v>
      </c>
      <c r="E3877" s="22">
        <f>IF(D3877="?OLD","!!!","")</f>
        <v/>
      </c>
      <c r="F3877" s="23" t="str">
        <f>IF(OR(E3877="",E3877="!!!"),"",IF(NOT(ISNA(VLOOKUP(E3877,E$1:E3876,1,FALSE()))),"OLD",IF(AND(E3877&lt;&gt;"",E3877&lt;&gt;"!!!"),"NEW","")))</f>
        <v> </v>
      </c>
      <c r="G3877" s="24" t="str">
        <f>IF(OR(E3877="",E3877="!!!"),"",IF(OR(J3877=0,AND(J3877=1,K3877=1),AND(J3877=1,I3877="SBJ"),AND(J3877=1,I3877=0)),"?IN_FOCUS",IF(J3877&lt;=2,"?ACTIVATED",IF(J3877&lt;&gt;"","?FAMILIAR",IF(F3877="NEW",IF(ISNA(VLOOKUP(E3877,#REF!,1,FALSE())),"?TYPE_IDENTIFIABLE","?REFERENTIAL"),"_")))))</f>
        <v> </v>
      </c>
      <c r="H3877" s="25" t="str">
        <f>IF(J3877&lt;&gt;1,"",IF(I3877="SBJ","CB","?"))</f>
        <v> </v>
      </c>
      <c r="I3877" s="26" t="str">
        <f>IF(OR(E3877="",E3877="!!!",F3877="NEW"),"",INDEX(B3876:B$2,-1+SUMPRODUCT(MAX(ROW(E3876:E$2)*(E3877=E3876:E$2)))))</f>
        <v> </v>
      </c>
      <c r="J3877" s="26" t="str">
        <f>IF(OR(E3877="",E3877="!!!",F3877="NEW"),"",COUNTBLANK(OFFSET(A$1,,,SUMPRODUCT(MAX(ROW(E$2:E3877)*(E3877=E$2:E3877)))))-COUNTBLANK(OFFSET(A$1,,,SUMPRODUCT(MAX(ROW(E$1:E3876)*(E2=E$1:E3876))))))</f>
        <v> </v>
      </c>
      <c r="K3877" s="26" t="str">
        <f>IF(OR(E3877="",E3877="!!!",F3877="NEW"),"",INDEX(J$1:J3876,SUMPRODUCT(MAX(ROW(E$1:E3876)*(E3877=E$1:E3876)))))</f>
        <v> </v>
      </c>
      <c r="L3877" s="27"/>
    </row>
    <row r="3878" spans="1:12">
      <c r="A3878" s="20" t="s">
        <v>1014</v>
      </c>
      <c r="E3878" s="22">
        <f>IF(D3878="?OLD","!!!","")</f>
        <v/>
      </c>
      <c r="F3878" s="23" t="str">
        <f>IF(OR(E3878="",E3878="!!!"),"",IF(NOT(ISNA(VLOOKUP(E3878,E$1:E3877,1,FALSE()))),"OLD",IF(AND(E3878&lt;&gt;"",E3878&lt;&gt;"!!!"),"NEW","")))</f>
        <v> </v>
      </c>
      <c r="G3878" s="24" t="str">
        <f>IF(OR(E3878="",E3878="!!!"),"",IF(OR(J3878=0,AND(J3878=1,K3878=1),AND(J3878=1,I3878="SBJ"),AND(J3878=1,I3878=0)),"?IN_FOCUS",IF(J3878&lt;=2,"?ACTIVATED",IF(J3878&lt;&gt;"","?FAMILIAR",IF(F3878="NEW",IF(ISNA(VLOOKUP(E3878,#REF!,1,FALSE())),"?TYPE_IDENTIFIABLE","?REFERENTIAL"),"_")))))</f>
        <v> </v>
      </c>
      <c r="H3878" s="25" t="str">
        <f>IF(J3878&lt;&gt;1,"",IF(I3878="SBJ","CB","?"))</f>
        <v> </v>
      </c>
      <c r="I3878" s="26" t="str">
        <f>IF(OR(E3878="",E3878="!!!",F3878="NEW"),"",INDEX(B3877:B$2,-1+SUMPRODUCT(MAX(ROW(E3877:E$2)*(E3878=E3877:E$2)))))</f>
        <v> </v>
      </c>
      <c r="J3878" s="26" t="str">
        <f>IF(OR(E3878="",E3878="!!!",F3878="NEW"),"",COUNTBLANK(OFFSET(A$1,,,SUMPRODUCT(MAX(ROW(E$2:E3878)*(E3878=E$2:E3878)))))-COUNTBLANK(OFFSET(A$1,,,SUMPRODUCT(MAX(ROW(E$1:E3877)*(E2=E$1:E3877))))))</f>
        <v> </v>
      </c>
      <c r="K3878" s="26" t="str">
        <f>IF(OR(E3878="",E3878="!!!",F3878="NEW"),"",INDEX(J$1:J3877,SUMPRODUCT(MAX(ROW(E$1:E3877)*(E3878=E$1:E3877)))))</f>
        <v> </v>
      </c>
      <c r="L3878" s="27"/>
    </row>
    <row r="3879" spans="1:12">
      <c r="A3879" s="20" t="s">
        <v>1015</v>
      </c>
      <c r="E3879" s="22">
        <f>IF(D3879="?OLD","!!!","")</f>
        <v/>
      </c>
      <c r="F3879" s="23" t="str">
        <f>IF(OR(E3879="",E3879="!!!"),"",IF(NOT(ISNA(VLOOKUP(E3879,E$1:E3878,1,FALSE()))),"OLD",IF(AND(E3879&lt;&gt;"",E3879&lt;&gt;"!!!"),"NEW","")))</f>
        <v> </v>
      </c>
      <c r="G3879" s="24" t="str">
        <f>IF(OR(E3879="",E3879="!!!"),"",IF(OR(J3879=0,AND(J3879=1,K3879=1),AND(J3879=1,I3879="SBJ"),AND(J3879=1,I3879=0)),"?IN_FOCUS",IF(J3879&lt;=2,"?ACTIVATED",IF(J3879&lt;&gt;"","?FAMILIAR",IF(F3879="NEW",IF(ISNA(VLOOKUP(E3879,#REF!,1,FALSE())),"?TYPE_IDENTIFIABLE","?REFERENTIAL"),"_")))))</f>
        <v> </v>
      </c>
      <c r="H3879" s="25" t="str">
        <f>IF(J3879&lt;&gt;1,"",IF(I3879="SBJ","CB","?"))</f>
        <v> </v>
      </c>
      <c r="I3879" s="26" t="str">
        <f>IF(OR(E3879="",E3879="!!!",F3879="NEW"),"",INDEX(B3878:B$2,-1+SUMPRODUCT(MAX(ROW(E3878:E$2)*(E3879=E3878:E$2)))))</f>
        <v> </v>
      </c>
      <c r="J3879" s="26" t="str">
        <f>IF(OR(E3879="",E3879="!!!",F3879="NEW"),"",COUNTBLANK(OFFSET(A$1,,,SUMPRODUCT(MAX(ROW(E$2:E3879)*(E3879=E$2:E3879)))))-COUNTBLANK(OFFSET(A$1,,,SUMPRODUCT(MAX(ROW(E$1:E3878)*(E2=E$1:E3878))))))</f>
        <v> </v>
      </c>
      <c r="K3879" s="26" t="str">
        <f>IF(OR(E3879="",E3879="!!!",F3879="NEW"),"",INDEX(J$1:J3878,SUMPRODUCT(MAX(ROW(E$1:E3878)*(E3879=E$1:E3878)))))</f>
        <v> </v>
      </c>
      <c r="L3879" s="27"/>
    </row>
    <row r="3880" spans="1:12">
      <c r="A3880" s="20" t="s">
        <v>2149</v>
      </c>
      <c r="B3880" s="21" t="s">
        <v>1022</v>
      </c>
      <c r="C3880" s="21" t="s">
        <v>1017</v>
      </c>
      <c r="D3880" s="21" t="s">
        <v>1007</v>
      </c>
      <c r="E3880" s="22">
        <f>IF(D3880="?OLD","!!!","")</f>
        <v/>
      </c>
      <c r="F3880" s="23" t="str">
        <f>IF(OR(E3880="",E3880="!!!"),"",IF(NOT(ISNA(VLOOKUP(E3880,E$1:E3879,1,FALSE()))),"OLD",IF(AND(E3880&lt;&gt;"",E3880&lt;&gt;"!!!"),"NEW","")))</f>
        <v> </v>
      </c>
      <c r="G3880" s="24" t="str">
        <f>IF(OR(E3880="",E3880="!!!"),"",IF(OR(J3880=0,AND(J3880=1,K3880=1),AND(J3880=1,I3880="SBJ"),AND(J3880=1,I3880=0)),"?IN_FOCUS",IF(J3880&lt;=2,"?ACTIVATED",IF(J3880&lt;&gt;"","?FAMILIAR",IF(F3880="NEW",IF(ISNA(VLOOKUP(E3880,#REF!,1,FALSE())),"?TYPE_IDENTIFIABLE","?REFERENTIAL"),"_")))))</f>
        <v> </v>
      </c>
      <c r="H3880" s="25" t="str">
        <f>IF(J3880&lt;&gt;1,"",IF(I3880="SBJ","CB","?"))</f>
        <v> </v>
      </c>
      <c r="I3880" s="26" t="str">
        <f>IF(OR(E3880="",E3880="!!!",F3880="NEW"),"",INDEX(B3879:B$2,-1+SUMPRODUCT(MAX(ROW(E3879:E$2)*(E3880=E3879:E$2)))))</f>
        <v> </v>
      </c>
      <c r="J3880" s="26" t="str">
        <f>IF(OR(E3880="",E3880="!!!",F3880="NEW"),"",COUNTBLANK(OFFSET(A$1,,,SUMPRODUCT(MAX(ROW(E$2:E3880)*(E3880=E$2:E3880)))))-COUNTBLANK(OFFSET(A$1,,,SUMPRODUCT(MAX(ROW(E$1:E3879)*(E2=E$1:E3879))))))</f>
        <v> </v>
      </c>
      <c r="K3880" s="26" t="str">
        <f>IF(OR(E3880="",E3880="!!!",F3880="NEW"),"",INDEX(J$1:J3879,SUMPRODUCT(MAX(ROW(E$1:E3879)*(E3880=E$1:E3879)))))</f>
        <v> </v>
      </c>
      <c r="L3880" s="27"/>
    </row>
    <row r="3881" spans="1:12">
      <c r="A3881" s="20" t="s">
        <v>1018</v>
      </c>
      <c r="E3881" s="22">
        <f>IF(D3881="?OLD","!!!","")</f>
        <v/>
      </c>
      <c r="F3881" s="23" t="str">
        <f>IF(OR(E3881="",E3881="!!!"),"",IF(NOT(ISNA(VLOOKUP(E3881,E$1:E3880,1,FALSE()))),"OLD",IF(AND(E3881&lt;&gt;"",E3881&lt;&gt;"!!!"),"NEW","")))</f>
        <v> </v>
      </c>
      <c r="G3881" s="24" t="str">
        <f>IF(OR(E3881="",E3881="!!!"),"",IF(OR(J3881=0,AND(J3881=1,K3881=1),AND(J3881=1,I3881="SBJ"),AND(J3881=1,I3881=0)),"?IN_FOCUS",IF(J3881&lt;=2,"?ACTIVATED",IF(J3881&lt;&gt;"","?FAMILIAR",IF(F3881="NEW",IF(ISNA(VLOOKUP(E3881,#REF!,1,FALSE())),"?TYPE_IDENTIFIABLE","?REFERENTIAL"),"_")))))</f>
        <v> </v>
      </c>
      <c r="H3881" s="25" t="str">
        <f>IF(J3881&lt;&gt;1,"",IF(I3881="SBJ","CB","?"))</f>
        <v> </v>
      </c>
      <c r="I3881" s="26" t="str">
        <f>IF(OR(E3881="",E3881="!!!",F3881="NEW"),"",INDEX(B3880:B$2,-1+SUMPRODUCT(MAX(ROW(E3880:E$2)*(E3881=E3880:E$2)))))</f>
        <v> </v>
      </c>
      <c r="J3881" s="26" t="str">
        <f>IF(OR(E3881="",E3881="!!!",F3881="NEW"),"",COUNTBLANK(OFFSET(A$1,,,SUMPRODUCT(MAX(ROW(E$2:E3881)*(E3881=E$2:E3881)))))-COUNTBLANK(OFFSET(A$1,,,SUMPRODUCT(MAX(ROW(E$1:E3880)*(E2=E$1:E3880))))))</f>
        <v> </v>
      </c>
      <c r="K3881" s="26" t="str">
        <f>IF(OR(E3881="",E3881="!!!",F3881="NEW"),"",INDEX(J$1:J3880,SUMPRODUCT(MAX(ROW(E$1:E3880)*(E3881=E$1:E3880)))))</f>
        <v> </v>
      </c>
      <c r="L3881" s="27"/>
    </row>
    <row r="3882" spans="1:12">
      <c r="A3882" s="20" t="s">
        <v>1324</v>
      </c>
      <c r="E3882" s="22">
        <f>IF(D3882="?OLD","!!!","")</f>
        <v/>
      </c>
      <c r="F3882" s="23" t="str">
        <f>IF(OR(E3882="",E3882="!!!"),"",IF(NOT(ISNA(VLOOKUP(E3882,E$1:E3881,1,FALSE()))),"OLD",IF(AND(E3882&lt;&gt;"",E3882&lt;&gt;"!!!"),"NEW","")))</f>
        <v> </v>
      </c>
      <c r="G3882" s="24" t="str">
        <f>IF(OR(E3882="",E3882="!!!"),"",IF(OR(J3882=0,AND(J3882=1,K3882=1),AND(J3882=1,I3882="SBJ"),AND(J3882=1,I3882=0)),"?IN_FOCUS",IF(J3882&lt;=2,"?ACTIVATED",IF(J3882&lt;&gt;"","?FAMILIAR",IF(F3882="NEW",IF(ISNA(VLOOKUP(E3882,#REF!,1,FALSE())),"?TYPE_IDENTIFIABLE","?REFERENTIAL"),"_")))))</f>
        <v> </v>
      </c>
      <c r="H3882" s="25" t="str">
        <f>IF(J3882&lt;&gt;1,"",IF(I3882="SBJ","CB","?"))</f>
        <v> </v>
      </c>
      <c r="I3882" s="26" t="str">
        <f>IF(OR(E3882="",E3882="!!!",F3882="NEW"),"",INDEX(B3881:B$2,-1+SUMPRODUCT(MAX(ROW(E3881:E$2)*(E3882=E3881:E$2)))))</f>
        <v> </v>
      </c>
      <c r="J3882" s="26" t="str">
        <f>IF(OR(E3882="",E3882="!!!",F3882="NEW"),"",COUNTBLANK(OFFSET(A$1,,,SUMPRODUCT(MAX(ROW(E$2:E3882)*(E3882=E$2:E3882)))))-COUNTBLANK(OFFSET(A$1,,,SUMPRODUCT(MAX(ROW(E$1:E3881)*(E2=E$1:E3881))))))</f>
        <v> </v>
      </c>
      <c r="K3882" s="26" t="str">
        <f>IF(OR(E3882="",E3882="!!!",F3882="NEW"),"",INDEX(J$1:J3881,SUMPRODUCT(MAX(ROW(E$1:E3881)*(E3882=E$1:E3881)))))</f>
        <v> </v>
      </c>
      <c r="L3882" s="27"/>
    </row>
    <row r="3883" spans="1:12">
      <c r="A3883" s="20" t="s">
        <v>1014</v>
      </c>
      <c r="E3883" s="22">
        <f>IF(D3883="?OLD","!!!","")</f>
        <v/>
      </c>
      <c r="F3883" s="23" t="str">
        <f>IF(OR(E3883="",E3883="!!!"),"",IF(NOT(ISNA(VLOOKUP(E3883,E$1:E3882,1,FALSE()))),"OLD",IF(AND(E3883&lt;&gt;"",E3883&lt;&gt;"!!!"),"NEW","")))</f>
        <v> </v>
      </c>
      <c r="G3883" s="24" t="str">
        <f>IF(OR(E3883="",E3883="!!!"),"",IF(OR(J3883=0,AND(J3883=1,K3883=1),AND(J3883=1,I3883="SBJ"),AND(J3883=1,I3883=0)),"?IN_FOCUS",IF(J3883&lt;=2,"?ACTIVATED",IF(J3883&lt;&gt;"","?FAMILIAR",IF(F3883="NEW",IF(ISNA(VLOOKUP(E3883,#REF!,1,FALSE())),"?TYPE_IDENTIFIABLE","?REFERENTIAL"),"_")))))</f>
        <v> </v>
      </c>
      <c r="H3883" s="25" t="str">
        <f>IF(J3883&lt;&gt;1,"",IF(I3883="SBJ","CB","?"))</f>
        <v> </v>
      </c>
      <c r="I3883" s="26" t="str">
        <f>IF(OR(E3883="",E3883="!!!",F3883="NEW"),"",INDEX(B3882:B$2,-1+SUMPRODUCT(MAX(ROW(E3882:E$2)*(E3883=E3882:E$2)))))</f>
        <v> </v>
      </c>
      <c r="J3883" s="26" t="str">
        <f>IF(OR(E3883="",E3883="!!!",F3883="NEW"),"",COUNTBLANK(OFFSET(A$1,,,SUMPRODUCT(MAX(ROW(E$2:E3883)*(E3883=E$2:E3883)))))-COUNTBLANK(OFFSET(A$1,,,SUMPRODUCT(MAX(ROW(E$1:E3882)*(E2=E$1:E3882))))))</f>
        <v> </v>
      </c>
      <c r="K3883" s="26" t="str">
        <f>IF(OR(E3883="",E3883="!!!",F3883="NEW"),"",INDEX(J$1:J3882,SUMPRODUCT(MAX(ROW(E$1:E3882)*(E3883=E$1:E3882)))))</f>
        <v> </v>
      </c>
      <c r="L3883" s="27"/>
    </row>
    <row r="3884" spans="1:12">
      <c r="A3884" s="20" t="s">
        <v>1027</v>
      </c>
      <c r="E3884" s="22">
        <f>IF(D3884="?OLD","!!!","")</f>
        <v/>
      </c>
      <c r="F3884" s="23" t="str">
        <f>IF(OR(E3884="",E3884="!!!"),"",IF(NOT(ISNA(VLOOKUP(E3884,E$1:E3883,1,FALSE()))),"OLD",IF(AND(E3884&lt;&gt;"",E3884&lt;&gt;"!!!"),"NEW","")))</f>
        <v> </v>
      </c>
      <c r="G3884" s="24" t="str">
        <f>IF(OR(E3884="",E3884="!!!"),"",IF(OR(J3884=0,AND(J3884=1,K3884=1),AND(J3884=1,I3884="SBJ"),AND(J3884=1,I3884=0)),"?IN_FOCUS",IF(J3884&lt;=2,"?ACTIVATED",IF(J3884&lt;&gt;"","?FAMILIAR",IF(F3884="NEW",IF(ISNA(VLOOKUP(E3884,#REF!,1,FALSE())),"?TYPE_IDENTIFIABLE","?REFERENTIAL"),"_")))))</f>
        <v> </v>
      </c>
      <c r="H3884" s="25" t="str">
        <f>IF(J3884&lt;&gt;1,"",IF(I3884="SBJ","CB","?"))</f>
        <v> </v>
      </c>
      <c r="I3884" s="26" t="str">
        <f>IF(OR(E3884="",E3884="!!!",F3884="NEW"),"",INDEX(B3883:B$2,-1+SUMPRODUCT(MAX(ROW(E3883:E$2)*(E3884=E3883:E$2)))))</f>
        <v> </v>
      </c>
      <c r="J3884" s="26" t="str">
        <f>IF(OR(E3884="",E3884="!!!",F3884="NEW"),"",COUNTBLANK(OFFSET(A$1,,,SUMPRODUCT(MAX(ROW(E$2:E3884)*(E3884=E$2:E3884)))))-COUNTBLANK(OFFSET(A$1,,,SUMPRODUCT(MAX(ROW(E$1:E3883)*(E2=E$1:E3883))))))</f>
        <v> </v>
      </c>
      <c r="K3884" s="26" t="str">
        <f>IF(OR(E3884="",E3884="!!!",F3884="NEW"),"",INDEX(J$1:J3883,SUMPRODUCT(MAX(ROW(E$1:E3883)*(E3884=E$1:E3883)))))</f>
        <v> </v>
      </c>
      <c r="L3884" s="27"/>
    </row>
    <row r="3885" spans="1:12">
      <c r="A3885" s="20" t="s">
        <v>2150</v>
      </c>
      <c r="B3885" s="21" t="s">
        <v>1033</v>
      </c>
      <c r="C3885" s="21" t="s">
        <v>1017</v>
      </c>
      <c r="D3885" s="21" t="s">
        <v>1007</v>
      </c>
      <c r="E3885" s="22">
        <f>IF(D3885="?OLD","!!!","")</f>
        <v/>
      </c>
      <c r="F3885" s="23" t="str">
        <f>IF(OR(E3885="",E3885="!!!"),"",IF(NOT(ISNA(VLOOKUP(E3885,E$1:E3884,1,FALSE()))),"OLD",IF(AND(E3885&lt;&gt;"",E3885&lt;&gt;"!!!"),"NEW","")))</f>
        <v> </v>
      </c>
      <c r="G3885" s="24" t="str">
        <f>IF(OR(E3885="",E3885="!!!"),"",IF(OR(J3885=0,AND(J3885=1,K3885=1),AND(J3885=1,I3885="SBJ"),AND(J3885=1,I3885=0)),"?IN_FOCUS",IF(J3885&lt;=2,"?ACTIVATED",IF(J3885&lt;&gt;"","?FAMILIAR",IF(F3885="NEW",IF(ISNA(VLOOKUP(E3885,#REF!,1,FALSE())),"?TYPE_IDENTIFIABLE","?REFERENTIAL"),"_")))))</f>
        <v> </v>
      </c>
      <c r="H3885" s="25" t="str">
        <f>IF(J3885&lt;&gt;1,"",IF(I3885="SBJ","CB","?"))</f>
        <v> </v>
      </c>
      <c r="I3885" s="26" t="str">
        <f>IF(OR(E3885="",E3885="!!!",F3885="NEW"),"",INDEX(B3884:B$2,-1+SUMPRODUCT(MAX(ROW(E3884:E$2)*(E3885=E3884:E$2)))))</f>
        <v> </v>
      </c>
      <c r="J3885" s="26" t="str">
        <f>IF(OR(E3885="",E3885="!!!",F3885="NEW"),"",COUNTBLANK(OFFSET(A$1,,,SUMPRODUCT(MAX(ROW(E$2:E3885)*(E3885=E$2:E3885)))))-COUNTBLANK(OFFSET(A$1,,,SUMPRODUCT(MAX(ROW(E$1:E3884)*(E2=E$1:E3884))))))</f>
        <v> </v>
      </c>
      <c r="K3885" s="26" t="str">
        <f>IF(OR(E3885="",E3885="!!!",F3885="NEW"),"",INDEX(J$1:J3884,SUMPRODUCT(MAX(ROW(E$1:E3884)*(E3885=E$1:E3884)))))</f>
        <v> </v>
      </c>
      <c r="L3885" s="27"/>
    </row>
    <row r="3886" spans="1:12">
      <c r="A3886" s="20" t="s">
        <v>2151</v>
      </c>
      <c r="E3886" s="22">
        <f>IF(D3886="?OLD","!!!","")</f>
        <v/>
      </c>
      <c r="F3886" s="23" t="str">
        <f>IF(OR(E3886="",E3886="!!!"),"",IF(NOT(ISNA(VLOOKUP(E3886,E$1:E3885,1,FALSE()))),"OLD",IF(AND(E3886&lt;&gt;"",E3886&lt;&gt;"!!!"),"NEW","")))</f>
        <v> </v>
      </c>
      <c r="G3886" s="24" t="str">
        <f>IF(OR(E3886="",E3886="!!!"),"",IF(OR(J3886=0,AND(J3886=1,K3886=1),AND(J3886=1,I3886="SBJ"),AND(J3886=1,I3886=0)),"?IN_FOCUS",IF(J3886&lt;=2,"?ACTIVATED",IF(J3886&lt;&gt;"","?FAMILIAR",IF(F3886="NEW",IF(ISNA(VLOOKUP(E3886,#REF!,1,FALSE())),"?TYPE_IDENTIFIABLE","?REFERENTIAL"),"_")))))</f>
        <v> </v>
      </c>
      <c r="H3886" s="25" t="str">
        <f>IF(J3886&lt;&gt;1,"",IF(I3886="SBJ","CB","?"))</f>
        <v> </v>
      </c>
      <c r="I3886" s="26" t="str">
        <f>IF(OR(E3886="",E3886="!!!",F3886="NEW"),"",INDEX(B3885:B$2,-1+SUMPRODUCT(MAX(ROW(E3885:E$2)*(E3886=E3885:E$2)))))</f>
        <v> </v>
      </c>
      <c r="J3886" s="26" t="str">
        <f>IF(OR(E3886="",E3886="!!!",F3886="NEW"),"",COUNTBLANK(OFFSET(A$1,,,SUMPRODUCT(MAX(ROW(E$2:E3886)*(E3886=E$2:E3886)))))-COUNTBLANK(OFFSET(A$1,,,SUMPRODUCT(MAX(ROW(E$1:E3885)*(E2=E$1:E3885))))))</f>
        <v> </v>
      </c>
      <c r="K3886" s="26" t="str">
        <f>IF(OR(E3886="",E3886="!!!",F3886="NEW"),"",INDEX(J$1:J3885,SUMPRODUCT(MAX(ROW(E$1:E3885)*(E3886=E$1:E3885)))))</f>
        <v> </v>
      </c>
      <c r="L3886" s="27"/>
    </row>
    <row r="3887" spans="1:12">
      <c r="A3887" s="20" t="s">
        <v>1065</v>
      </c>
      <c r="B3887" s="21" t="s">
        <v>1134</v>
      </c>
      <c r="E3887" s="22">
        <f>IF(D3887="?OLD","!!!","")</f>
        <v/>
      </c>
      <c r="F3887" s="23" t="str">
        <f>IF(OR(E3887="",E3887="!!!"),"",IF(NOT(ISNA(VLOOKUP(E3887,E$1:E3886,1,FALSE()))),"OLD",IF(AND(E3887&lt;&gt;"",E3887&lt;&gt;"!!!"),"NEW","")))</f>
        <v> </v>
      </c>
      <c r="G3887" s="24" t="str">
        <f>IF(OR(E3887="",E3887="!!!"),"",IF(OR(J3887=0,AND(J3887=1,K3887=1),AND(J3887=1,I3887="SBJ"),AND(J3887=1,I3887=0)),"?IN_FOCUS",IF(J3887&lt;=2,"?ACTIVATED",IF(J3887&lt;&gt;"","?FAMILIAR",IF(F3887="NEW",IF(ISNA(VLOOKUP(E3887,#REF!,1,FALSE())),"?TYPE_IDENTIFIABLE","?REFERENTIAL"),"_")))))</f>
        <v> </v>
      </c>
      <c r="H3887" s="25" t="str">
        <f>IF(J3887&lt;&gt;1,"",IF(I3887="SBJ","CB","?"))</f>
        <v> </v>
      </c>
      <c r="I3887" s="26" t="str">
        <f>IF(OR(E3887="",E3887="!!!",F3887="NEW"),"",INDEX(B3886:B$2,-1+SUMPRODUCT(MAX(ROW(E3886:E$2)*(E3887=E3886:E$2)))))</f>
        <v> </v>
      </c>
      <c r="J3887" s="26" t="str">
        <f>IF(OR(E3887="",E3887="!!!",F3887="NEW"),"",COUNTBLANK(OFFSET(A$1,,,SUMPRODUCT(MAX(ROW(E$2:E3887)*(E3887=E$2:E3887)))))-COUNTBLANK(OFFSET(A$1,,,SUMPRODUCT(MAX(ROW(E$1:E3886)*(E2=E$1:E3886))))))</f>
        <v> </v>
      </c>
      <c r="K3887" s="26" t="str">
        <f>IF(OR(E3887="",E3887="!!!",F3887="NEW"),"",INDEX(J$1:J3886,SUMPRODUCT(MAX(ROW(E$1:E3886)*(E3887=E$1:E3886)))))</f>
        <v> </v>
      </c>
      <c r="L3887" s="27"/>
    </row>
    <row r="3888" spans="1:12">
      <c r="A3888" s="20" t="s">
        <v>1178</v>
      </c>
      <c r="E3888" s="22">
        <f>IF(D3888="?OLD","!!!","")</f>
        <v/>
      </c>
      <c r="F3888" s="23" t="str">
        <f>IF(OR(E3888="",E3888="!!!"),"",IF(NOT(ISNA(VLOOKUP(E3888,E$1:E3887,1,FALSE()))),"OLD",IF(AND(E3888&lt;&gt;"",E3888&lt;&gt;"!!!"),"NEW","")))</f>
        <v> </v>
      </c>
      <c r="G3888" s="24" t="str">
        <f>IF(OR(E3888="",E3888="!!!"),"",IF(OR(J3888=0,AND(J3888=1,K3888=1),AND(J3888=1,I3888="SBJ"),AND(J3888=1,I3888=0)),"?IN_FOCUS",IF(J3888&lt;=2,"?ACTIVATED",IF(J3888&lt;&gt;"","?FAMILIAR",IF(F3888="NEW",IF(ISNA(VLOOKUP(E3888,#REF!,1,FALSE())),"?TYPE_IDENTIFIABLE","?REFERENTIAL"),"_")))))</f>
        <v> </v>
      </c>
      <c r="H3888" s="25" t="str">
        <f>IF(J3888&lt;&gt;1,"",IF(I3888="SBJ","CB","?"))</f>
        <v> </v>
      </c>
      <c r="I3888" s="26" t="str">
        <f>IF(OR(E3888="",E3888="!!!",F3888="NEW"),"",INDEX(B3887:B$2,-1+SUMPRODUCT(MAX(ROW(E3887:E$2)*(E3888=E3887:E$2)))))</f>
        <v> </v>
      </c>
      <c r="J3888" s="26" t="str">
        <f>IF(OR(E3888="",E3888="!!!",F3888="NEW"),"",COUNTBLANK(OFFSET(A$1,,,SUMPRODUCT(MAX(ROW(E$2:E3888)*(E3888=E$2:E3888)))))-COUNTBLANK(OFFSET(A$1,,,SUMPRODUCT(MAX(ROW(E$1:E3887)*(E2=E$1:E3887))))))</f>
        <v> </v>
      </c>
      <c r="K3888" s="26" t="str">
        <f>IF(OR(E3888="",E3888="!!!",F3888="NEW"),"",INDEX(J$1:J3887,SUMPRODUCT(MAX(ROW(E$1:E3887)*(E3888=E$1:E3887)))))</f>
        <v> </v>
      </c>
      <c r="L3888" s="27"/>
    </row>
    <row r="3889" spans="1:12">
      <c r="A3889" s="20" t="s">
        <v>1179</v>
      </c>
      <c r="E3889" s="22">
        <f>IF(D3889="?OLD","!!!","")</f>
        <v/>
      </c>
      <c r="F3889" s="23" t="str">
        <f>IF(OR(E3889="",E3889="!!!"),"",IF(NOT(ISNA(VLOOKUP(E3889,E$1:E3888,1,FALSE()))),"OLD",IF(AND(E3889&lt;&gt;"",E3889&lt;&gt;"!!!"),"NEW","")))</f>
        <v> </v>
      </c>
      <c r="G3889" s="24" t="str">
        <f>IF(OR(E3889="",E3889="!!!"),"",IF(OR(J3889=0,AND(J3889=1,K3889=1),AND(J3889=1,I3889="SBJ"),AND(J3889=1,I3889=0)),"?IN_FOCUS",IF(J3889&lt;=2,"?ACTIVATED",IF(J3889&lt;&gt;"","?FAMILIAR",IF(F3889="NEW",IF(ISNA(VLOOKUP(E3889,#REF!,1,FALSE())),"?TYPE_IDENTIFIABLE","?REFERENTIAL"),"_")))))</f>
        <v> </v>
      </c>
      <c r="H3889" s="25" t="str">
        <f>IF(J3889&lt;&gt;1,"",IF(I3889="SBJ","CB","?"))</f>
        <v> </v>
      </c>
      <c r="I3889" s="26" t="str">
        <f>IF(OR(E3889="",E3889="!!!",F3889="NEW"),"",INDEX(B3888:B$2,-1+SUMPRODUCT(MAX(ROW(E3888:E$2)*(E3889=E3888:E$2)))))</f>
        <v> </v>
      </c>
      <c r="J3889" s="26" t="str">
        <f>IF(OR(E3889="",E3889="!!!",F3889="NEW"),"",COUNTBLANK(OFFSET(A$1,,,SUMPRODUCT(MAX(ROW(E$2:E3889)*(E3889=E$2:E3889)))))-COUNTBLANK(OFFSET(A$1,,,SUMPRODUCT(MAX(ROW(E$1:E3888)*(E2=E$1:E3888))))))</f>
        <v> </v>
      </c>
      <c r="K3889" s="26" t="str">
        <f>IF(OR(E3889="",E3889="!!!",F3889="NEW"),"",INDEX(J$1:J3888,SUMPRODUCT(MAX(ROW(E$1:E3888)*(E3889=E$1:E3888)))))</f>
        <v> </v>
      </c>
      <c r="L3889" s="27"/>
    </row>
    <row r="3890" spans="1:12">
      <c r="A3890" s="20" t="s">
        <v>1030</v>
      </c>
      <c r="E3890" s="22">
        <f>IF(D3890="?OLD","!!!","")</f>
        <v/>
      </c>
      <c r="F3890" s="23" t="str">
        <f>IF(OR(E3890="",E3890="!!!"),"",IF(NOT(ISNA(VLOOKUP(E3890,E$1:E3889,1,FALSE()))),"OLD",IF(AND(E3890&lt;&gt;"",E3890&lt;&gt;"!!!"),"NEW","")))</f>
        <v> </v>
      </c>
      <c r="G3890" s="24" t="str">
        <f>IF(OR(E3890="",E3890="!!!"),"",IF(OR(J3890=0,AND(J3890=1,K3890=1),AND(J3890=1,I3890="SBJ"),AND(J3890=1,I3890=0)),"?IN_FOCUS",IF(J3890&lt;=2,"?ACTIVATED",IF(J3890&lt;&gt;"","?FAMILIAR",IF(F3890="NEW",IF(ISNA(VLOOKUP(E3890,#REF!,1,FALSE())),"?TYPE_IDENTIFIABLE","?REFERENTIAL"),"_")))))</f>
        <v> </v>
      </c>
      <c r="H3890" s="25" t="str">
        <f>IF(J3890&lt;&gt;1,"",IF(I3890="SBJ","CB","?"))</f>
        <v> </v>
      </c>
      <c r="I3890" s="26" t="str">
        <f>IF(OR(E3890="",E3890="!!!",F3890="NEW"),"",INDEX(B3889:B$2,-1+SUMPRODUCT(MAX(ROW(E3889:E$2)*(E3890=E3889:E$2)))))</f>
        <v> </v>
      </c>
      <c r="J3890" s="26" t="str">
        <f>IF(OR(E3890="",E3890="!!!",F3890="NEW"),"",COUNTBLANK(OFFSET(A$1,,,SUMPRODUCT(MAX(ROW(E$2:E3890)*(E3890=E$2:E3890)))))-COUNTBLANK(OFFSET(A$1,,,SUMPRODUCT(MAX(ROW(E$1:E3889)*(E2=E$1:E3889))))))</f>
        <v> </v>
      </c>
      <c r="K3890" s="26" t="str">
        <f>IF(OR(E3890="",E3890="!!!",F3890="NEW"),"",INDEX(J$1:J3889,SUMPRODUCT(MAX(ROW(E$1:E3889)*(E3890=E$1:E3889)))))</f>
        <v> </v>
      </c>
      <c r="L3890" s="27"/>
    </row>
    <row r="3891" spans="1:12">
      <c r="A3891" s="20" t="s">
        <v>1020</v>
      </c>
      <c r="E3891" s="22">
        <f>IF(D3891="?OLD","!!!","")</f>
        <v/>
      </c>
      <c r="F3891" s="23" t="str">
        <f>IF(OR(E3891="",E3891="!!!"),"",IF(NOT(ISNA(VLOOKUP(E3891,E$1:E3890,1,FALSE()))),"OLD",IF(AND(E3891&lt;&gt;"",E3891&lt;&gt;"!!!"),"NEW","")))</f>
        <v> </v>
      </c>
      <c r="G3891" s="24" t="str">
        <f>IF(OR(E3891="",E3891="!!!"),"",IF(OR(J3891=0,AND(J3891=1,K3891=1),AND(J3891=1,I3891="SBJ"),AND(J3891=1,I3891=0)),"?IN_FOCUS",IF(J3891&lt;=2,"?ACTIVATED",IF(J3891&lt;&gt;"","?FAMILIAR",IF(F3891="NEW",IF(ISNA(VLOOKUP(E3891,#REF!,1,FALSE())),"?TYPE_IDENTIFIABLE","?REFERENTIAL"),"_")))))</f>
        <v> </v>
      </c>
      <c r="H3891" s="25" t="str">
        <f>IF(J3891&lt;&gt;1,"",IF(I3891="SBJ","CB","?"))</f>
        <v> </v>
      </c>
      <c r="I3891" s="26" t="str">
        <f>IF(OR(E3891="",E3891="!!!",F3891="NEW"),"",INDEX(B3890:B$2,-1+SUMPRODUCT(MAX(ROW(E3890:E$2)*(E3891=E3890:E$2)))))</f>
        <v> </v>
      </c>
      <c r="J3891" s="26" t="str">
        <f>IF(OR(E3891="",E3891="!!!",F3891="NEW"),"",COUNTBLANK(OFFSET(A$1,,,SUMPRODUCT(MAX(ROW(E$2:E3891)*(E3891=E$2:E3891)))))-COUNTBLANK(OFFSET(A$1,,,SUMPRODUCT(MAX(ROW(E$1:E3890)*(E2=E$1:E3890))))))</f>
        <v> </v>
      </c>
      <c r="K3891" s="26" t="str">
        <f>IF(OR(E3891="",E3891="!!!",F3891="NEW"),"",INDEX(J$1:J3890,SUMPRODUCT(MAX(ROW(E$1:E3890)*(E3891=E$1:E3890)))))</f>
        <v> </v>
      </c>
      <c r="L3891" s="27"/>
    </row>
    <row r="3892" spans="1:12">
      <c r="A3892" s="20" t="s">
        <v>1307</v>
      </c>
      <c r="B3892" s="21" t="s">
        <v>1130</v>
      </c>
      <c r="C3892" s="21" t="s">
        <v>1013</v>
      </c>
      <c r="D3892" s="21" t="s">
        <v>1007</v>
      </c>
      <c r="E3892" s="22">
        <f>IF(D3892="?OLD","!!!","")</f>
        <v/>
      </c>
      <c r="F3892" s="23" t="str">
        <f>IF(OR(E3892="",E3892="!!!"),"",IF(NOT(ISNA(VLOOKUP(E3892,E$1:E3891,1,FALSE()))),"OLD",IF(AND(E3892&lt;&gt;"",E3892&lt;&gt;"!!!"),"NEW","")))</f>
        <v> </v>
      </c>
      <c r="G3892" s="24" t="str">
        <f>IF(OR(E3892="",E3892="!!!"),"",IF(OR(J3892=0,AND(J3892=1,K3892=1),AND(J3892=1,I3892="SBJ"),AND(J3892=1,I3892=0)),"?IN_FOCUS",IF(J3892&lt;=2,"?ACTIVATED",IF(J3892&lt;&gt;"","?FAMILIAR",IF(F3892="NEW",IF(ISNA(VLOOKUP(E3892,#REF!,1,FALSE())),"?TYPE_IDENTIFIABLE","?REFERENTIAL"),"_")))))</f>
        <v> </v>
      </c>
      <c r="H3892" s="25" t="str">
        <f>IF(J3892&lt;&gt;1,"",IF(I3892="SBJ","CB","?"))</f>
        <v> </v>
      </c>
      <c r="I3892" s="26" t="str">
        <f>IF(OR(E3892="",E3892="!!!",F3892="NEW"),"",INDEX(B3891:B$2,-1+SUMPRODUCT(MAX(ROW(E3891:E$2)*(E3892=E3891:E$2)))))</f>
        <v> </v>
      </c>
      <c r="J3892" s="26" t="str">
        <f>IF(OR(E3892="",E3892="!!!",F3892="NEW"),"",COUNTBLANK(OFFSET(A$1,,,SUMPRODUCT(MAX(ROW(E$2:E3892)*(E3892=E$2:E3892)))))-COUNTBLANK(OFFSET(A$1,,,SUMPRODUCT(MAX(ROW(E$1:E3891)*(E2=E$1:E3891))))))</f>
        <v> </v>
      </c>
      <c r="K3892" s="26" t="str">
        <f>IF(OR(E3892="",E3892="!!!",F3892="NEW"),"",INDEX(J$1:J3891,SUMPRODUCT(MAX(ROW(E$1:E3891)*(E3892=E$1:E3891)))))</f>
        <v> </v>
      </c>
      <c r="L3892" s="27"/>
    </row>
    <row r="3893" spans="1:12">
      <c r="A3893" s="20" t="s">
        <v>2152</v>
      </c>
      <c r="E3893" s="22">
        <f>IF(D3893="?OLD","!!!","")</f>
        <v/>
      </c>
      <c r="F3893" s="23" t="str">
        <f>IF(OR(E3893="",E3893="!!!"),"",IF(NOT(ISNA(VLOOKUP(E3893,E$1:E3892,1,FALSE()))),"OLD",IF(AND(E3893&lt;&gt;"",E3893&lt;&gt;"!!!"),"NEW","")))</f>
        <v> </v>
      </c>
      <c r="G3893" s="24" t="str">
        <f>IF(OR(E3893="",E3893="!!!"),"",IF(OR(J3893=0,AND(J3893=1,K3893=1),AND(J3893=1,I3893="SBJ"),AND(J3893=1,I3893=0)),"?IN_FOCUS",IF(J3893&lt;=2,"?ACTIVATED",IF(J3893&lt;&gt;"","?FAMILIAR",IF(F3893="NEW",IF(ISNA(VLOOKUP(E3893,#REF!,1,FALSE())),"?TYPE_IDENTIFIABLE","?REFERENTIAL"),"_")))))</f>
        <v> </v>
      </c>
      <c r="H3893" s="25" t="str">
        <f>IF(J3893&lt;&gt;1,"",IF(I3893="SBJ","CB","?"))</f>
        <v> </v>
      </c>
      <c r="I3893" s="26" t="str">
        <f>IF(OR(E3893="",E3893="!!!",F3893="NEW"),"",INDEX(B3892:B$2,-1+SUMPRODUCT(MAX(ROW(E3892:E$2)*(E3893=E3892:E$2)))))</f>
        <v> </v>
      </c>
      <c r="J3893" s="26" t="str">
        <f>IF(OR(E3893="",E3893="!!!",F3893="NEW"),"",COUNTBLANK(OFFSET(A$1,,,SUMPRODUCT(MAX(ROW(E$2:E3893)*(E3893=E$2:E3893)))))-COUNTBLANK(OFFSET(A$1,,,SUMPRODUCT(MAX(ROW(E$1:E3892)*(E2=E$1:E3892))))))</f>
        <v> </v>
      </c>
      <c r="K3893" s="26" t="str">
        <f>IF(OR(E3893="",E3893="!!!",F3893="NEW"),"",INDEX(J$1:J3892,SUMPRODUCT(MAX(ROW(E$1:E3892)*(E3893=E$1:E3892)))))</f>
        <v> </v>
      </c>
      <c r="L3893" s="27"/>
    </row>
    <row r="3894" spans="1:12">
      <c r="A3894" s="20" t="s">
        <v>2153</v>
      </c>
      <c r="B3894" s="21" t="s">
        <v>1040</v>
      </c>
      <c r="C3894" s="21" t="s">
        <v>1006</v>
      </c>
      <c r="D3894" s="21" t="s">
        <v>1007</v>
      </c>
      <c r="E3894" s="22">
        <f>IF(D3894="?OLD","!!!","")</f>
        <v/>
      </c>
      <c r="F3894" s="23" t="str">
        <f>IF(OR(E3894="",E3894="!!!"),"",IF(NOT(ISNA(VLOOKUP(E3894,E$1:E3893,1,FALSE()))),"OLD",IF(AND(E3894&lt;&gt;"",E3894&lt;&gt;"!!!"),"NEW","")))</f>
        <v> </v>
      </c>
      <c r="G3894" s="24" t="str">
        <f>IF(OR(E3894="",E3894="!!!"),"",IF(OR(J3894=0,AND(J3894=1,K3894=1),AND(J3894=1,I3894="SBJ"),AND(J3894=1,I3894=0)),"?IN_FOCUS",IF(J3894&lt;=2,"?ACTIVATED",IF(J3894&lt;&gt;"","?FAMILIAR",IF(F3894="NEW",IF(ISNA(VLOOKUP(E3894,#REF!,1,FALSE())),"?TYPE_IDENTIFIABLE","?REFERENTIAL"),"_")))))</f>
        <v> </v>
      </c>
      <c r="H3894" s="25" t="str">
        <f>IF(J3894&lt;&gt;1,"",IF(I3894="SBJ","CB","?"))</f>
        <v> </v>
      </c>
      <c r="I3894" s="26" t="str">
        <f>IF(OR(E3894="",E3894="!!!",F3894="NEW"),"",INDEX(B3893:B$2,-1+SUMPRODUCT(MAX(ROW(E3893:E$2)*(E3894=E3893:E$2)))))</f>
        <v> </v>
      </c>
      <c r="J3894" s="26" t="str">
        <f>IF(OR(E3894="",E3894="!!!",F3894="NEW"),"",COUNTBLANK(OFFSET(A$1,,,SUMPRODUCT(MAX(ROW(E$2:E3894)*(E3894=E$2:E3894)))))-COUNTBLANK(OFFSET(A$1,,,SUMPRODUCT(MAX(ROW(E$1:E3893)*(E2=E$1:E3893))))))</f>
        <v> </v>
      </c>
      <c r="K3894" s="26" t="str">
        <f>IF(OR(E3894="",E3894="!!!",F3894="NEW"),"",INDEX(J$1:J3893,SUMPRODUCT(MAX(ROW(E$1:E3893)*(E3894=E$1:E3893)))))</f>
        <v> </v>
      </c>
      <c r="L3894" s="27"/>
    </row>
    <row r="3895" spans="1:12">
      <c r="A3895" s="20" t="s">
        <v>1018</v>
      </c>
      <c r="E3895" s="22">
        <f>IF(D3895="?OLD","!!!","")</f>
        <v/>
      </c>
      <c r="F3895" s="23" t="str">
        <f>IF(OR(E3895="",E3895="!!!"),"",IF(NOT(ISNA(VLOOKUP(E3895,E$1:E3894,1,FALSE()))),"OLD",IF(AND(E3895&lt;&gt;"",E3895&lt;&gt;"!!!"),"NEW","")))</f>
        <v> </v>
      </c>
      <c r="G3895" s="24" t="str">
        <f>IF(OR(E3895="",E3895="!!!"),"",IF(OR(J3895=0,AND(J3895=1,K3895=1),AND(J3895=1,I3895="SBJ"),AND(J3895=1,I3895=0)),"?IN_FOCUS",IF(J3895&lt;=2,"?ACTIVATED",IF(J3895&lt;&gt;"","?FAMILIAR",IF(F3895="NEW",IF(ISNA(VLOOKUP(E3895,#REF!,1,FALSE())),"?TYPE_IDENTIFIABLE","?REFERENTIAL"),"_")))))</f>
        <v> </v>
      </c>
      <c r="H3895" s="25" t="str">
        <f>IF(J3895&lt;&gt;1,"",IF(I3895="SBJ","CB","?"))</f>
        <v> </v>
      </c>
      <c r="I3895" s="26" t="str">
        <f>IF(OR(E3895="",E3895="!!!",F3895="NEW"),"",INDEX(B3894:B$2,-1+SUMPRODUCT(MAX(ROW(E3894:E$2)*(E3895=E3894:E$2)))))</f>
        <v> </v>
      </c>
      <c r="J3895" s="26" t="str">
        <f>IF(OR(E3895="",E3895="!!!",F3895="NEW"),"",COUNTBLANK(OFFSET(A$1,,,SUMPRODUCT(MAX(ROW(E$2:E3895)*(E3895=E$2:E3895)))))-COUNTBLANK(OFFSET(A$1,,,SUMPRODUCT(MAX(ROW(E$1:E3894)*(E2=E$1:E3894))))))</f>
        <v> </v>
      </c>
      <c r="K3895" s="26" t="str">
        <f>IF(OR(E3895="",E3895="!!!",F3895="NEW"),"",INDEX(J$1:J3894,SUMPRODUCT(MAX(ROW(E$1:E3894)*(E3895=E$1:E3894)))))</f>
        <v> </v>
      </c>
      <c r="L3895" s="27"/>
    </row>
    <row r="3896" spans="1:12">
      <c r="A3896" s="20" t="s">
        <v>1075</v>
      </c>
      <c r="E3896" s="22">
        <f>IF(D3896="?OLD","!!!","")</f>
        <v/>
      </c>
      <c r="F3896" s="23" t="str">
        <f>IF(OR(E3896="",E3896="!!!"),"",IF(NOT(ISNA(VLOOKUP(E3896,E$1:E3895,1,FALSE()))),"OLD",IF(AND(E3896&lt;&gt;"",E3896&lt;&gt;"!!!"),"NEW","")))</f>
        <v> </v>
      </c>
      <c r="G3896" s="24" t="str">
        <f>IF(OR(E3896="",E3896="!!!"),"",IF(OR(J3896=0,AND(J3896=1,K3896=1),AND(J3896=1,I3896="SBJ"),AND(J3896=1,I3896=0)),"?IN_FOCUS",IF(J3896&lt;=2,"?ACTIVATED",IF(J3896&lt;&gt;"","?FAMILIAR",IF(F3896="NEW",IF(ISNA(VLOOKUP(E3896,#REF!,1,FALSE())),"?TYPE_IDENTIFIABLE","?REFERENTIAL"),"_")))))</f>
        <v> </v>
      </c>
      <c r="H3896" s="25" t="str">
        <f>IF(J3896&lt;&gt;1,"",IF(I3896="SBJ","CB","?"))</f>
        <v> </v>
      </c>
      <c r="I3896" s="26" t="str">
        <f>IF(OR(E3896="",E3896="!!!",F3896="NEW"),"",INDEX(B3895:B$2,-1+SUMPRODUCT(MAX(ROW(E3895:E$2)*(E3896=E3895:E$2)))))</f>
        <v> </v>
      </c>
      <c r="J3896" s="26" t="str">
        <f>IF(OR(E3896="",E3896="!!!",F3896="NEW"),"",COUNTBLANK(OFFSET(A$1,,,SUMPRODUCT(MAX(ROW(E$2:E3896)*(E3896=E$2:E3896)))))-COUNTBLANK(OFFSET(A$1,,,SUMPRODUCT(MAX(ROW(E$1:E3895)*(E2=E$1:E3895))))))</f>
        <v> </v>
      </c>
      <c r="K3896" s="26" t="str">
        <f>IF(OR(E3896="",E3896="!!!",F3896="NEW"),"",INDEX(J$1:J3895,SUMPRODUCT(MAX(ROW(E$1:E3895)*(E3896=E$1:E3895)))))</f>
        <v> </v>
      </c>
      <c r="L3896" s="27"/>
    </row>
    <row r="3897" spans="1:12">
      <c r="A3897" s="20" t="s">
        <v>1065</v>
      </c>
      <c r="E3897" s="22">
        <f>IF(D3897="?OLD","!!!","")</f>
        <v/>
      </c>
      <c r="F3897" s="23" t="str">
        <f>IF(OR(E3897="",E3897="!!!"),"",IF(NOT(ISNA(VLOOKUP(E3897,E$1:E3896,1,FALSE()))),"OLD",IF(AND(E3897&lt;&gt;"",E3897&lt;&gt;"!!!"),"NEW","")))</f>
        <v> </v>
      </c>
      <c r="G3897" s="24" t="str">
        <f>IF(OR(E3897="",E3897="!!!"),"",IF(OR(J3897=0,AND(J3897=1,K3897=1),AND(J3897=1,I3897="SBJ"),AND(J3897=1,I3897=0)),"?IN_FOCUS",IF(J3897&lt;=2,"?ACTIVATED",IF(J3897&lt;&gt;"","?FAMILIAR",IF(F3897="NEW",IF(ISNA(VLOOKUP(E3897,#REF!,1,FALSE())),"?TYPE_IDENTIFIABLE","?REFERENTIAL"),"_")))))</f>
        <v> </v>
      </c>
      <c r="H3897" s="25" t="str">
        <f>IF(J3897&lt;&gt;1,"",IF(I3897="SBJ","CB","?"))</f>
        <v> </v>
      </c>
      <c r="I3897" s="26" t="str">
        <f>IF(OR(E3897="",E3897="!!!",F3897="NEW"),"",INDEX(B3896:B$2,-1+SUMPRODUCT(MAX(ROW(E3896:E$2)*(E3897=E3896:E$2)))))</f>
        <v> </v>
      </c>
      <c r="J3897" s="26" t="str">
        <f>IF(OR(E3897="",E3897="!!!",F3897="NEW"),"",COUNTBLANK(OFFSET(A$1,,,SUMPRODUCT(MAX(ROW(E$2:E3897)*(E3897=E$2:E3897)))))-COUNTBLANK(OFFSET(A$1,,,SUMPRODUCT(MAX(ROW(E$1:E3896)*(E2=E$1:E3896))))))</f>
        <v> </v>
      </c>
      <c r="K3897" s="26" t="str">
        <f>IF(OR(E3897="",E3897="!!!",F3897="NEW"),"",INDEX(J$1:J3896,SUMPRODUCT(MAX(ROW(E$1:E3896)*(E3897=E$1:E3896)))))</f>
        <v> </v>
      </c>
      <c r="L3897" s="27"/>
    </row>
    <row r="3898" spans="1:12">
      <c r="A3898" s="20" t="s">
        <v>1020</v>
      </c>
      <c r="E3898" s="22">
        <f>IF(D3898="?OLD","!!!","")</f>
        <v/>
      </c>
      <c r="F3898" s="23" t="str">
        <f>IF(OR(E3898="",E3898="!!!"),"",IF(NOT(ISNA(VLOOKUP(E3898,E$1:E3897,1,FALSE()))),"OLD",IF(AND(E3898&lt;&gt;"",E3898&lt;&gt;"!!!"),"NEW","")))</f>
        <v> </v>
      </c>
      <c r="G3898" s="24" t="str">
        <f>IF(OR(E3898="",E3898="!!!"),"",IF(OR(J3898=0,AND(J3898=1,K3898=1),AND(J3898=1,I3898="SBJ"),AND(J3898=1,I3898=0)),"?IN_FOCUS",IF(J3898&lt;=2,"?ACTIVATED",IF(J3898&lt;&gt;"","?FAMILIAR",IF(F3898="NEW",IF(ISNA(VLOOKUP(E3898,#REF!,1,FALSE())),"?TYPE_IDENTIFIABLE","?REFERENTIAL"),"_")))))</f>
        <v> </v>
      </c>
      <c r="H3898" s="25" t="str">
        <f>IF(J3898&lt;&gt;1,"",IF(I3898="SBJ","CB","?"))</f>
        <v> </v>
      </c>
      <c r="I3898" s="26" t="str">
        <f>IF(OR(E3898="",E3898="!!!",F3898="NEW"),"",INDEX(B3897:B$2,-1+SUMPRODUCT(MAX(ROW(E3897:E$2)*(E3898=E3897:E$2)))))</f>
        <v> </v>
      </c>
      <c r="J3898" s="26" t="str">
        <f>IF(OR(E3898="",E3898="!!!",F3898="NEW"),"",COUNTBLANK(OFFSET(A$1,,,SUMPRODUCT(MAX(ROW(E$2:E3898)*(E3898=E$2:E3898)))))-COUNTBLANK(OFFSET(A$1,,,SUMPRODUCT(MAX(ROW(E$1:E3897)*(E2=E$1:E3897))))))</f>
        <v> </v>
      </c>
      <c r="K3898" s="26" t="str">
        <f>IF(OR(E3898="",E3898="!!!",F3898="NEW"),"",INDEX(J$1:J3897,SUMPRODUCT(MAX(ROW(E$1:E3897)*(E3898=E$1:E3897)))))</f>
        <v> </v>
      </c>
      <c r="L3898" s="27"/>
    </row>
    <row r="3899" spans="1:12">
      <c r="A3899" s="20" t="s">
        <v>1211</v>
      </c>
      <c r="B3899" s="21" t="s">
        <v>1119</v>
      </c>
      <c r="C3899" s="21" t="s">
        <v>1006</v>
      </c>
      <c r="D3899" s="21" t="s">
        <v>1007</v>
      </c>
      <c r="E3899" s="22">
        <f>IF(D3899="?OLD","!!!","")</f>
        <v/>
      </c>
      <c r="F3899" s="23" t="str">
        <f>IF(OR(E3899="",E3899="!!!"),"",IF(NOT(ISNA(VLOOKUP(E3899,E$1:E3898,1,FALSE()))),"OLD",IF(AND(E3899&lt;&gt;"",E3899&lt;&gt;"!!!"),"NEW","")))</f>
        <v> </v>
      </c>
      <c r="G3899" s="24" t="str">
        <f>IF(OR(E3899="",E3899="!!!"),"",IF(OR(J3899=0,AND(J3899=1,K3899=1),AND(J3899=1,I3899="SBJ"),AND(J3899=1,I3899=0)),"?IN_FOCUS",IF(J3899&lt;=2,"?ACTIVATED",IF(J3899&lt;&gt;"","?FAMILIAR",IF(F3899="NEW",IF(ISNA(VLOOKUP(E3899,#REF!,1,FALSE())),"?TYPE_IDENTIFIABLE","?REFERENTIAL"),"_")))))</f>
        <v> </v>
      </c>
      <c r="H3899" s="25" t="str">
        <f>IF(J3899&lt;&gt;1,"",IF(I3899="SBJ","CB","?"))</f>
        <v> </v>
      </c>
      <c r="I3899" s="26" t="str">
        <f>IF(OR(E3899="",E3899="!!!",F3899="NEW"),"",INDEX(B3898:B$2,-1+SUMPRODUCT(MAX(ROW(E3898:E$2)*(E3899=E3898:E$2)))))</f>
        <v> </v>
      </c>
      <c r="J3899" s="26" t="str">
        <f>IF(OR(E3899="",E3899="!!!",F3899="NEW"),"",COUNTBLANK(OFFSET(A$1,,,SUMPRODUCT(MAX(ROW(E$2:E3899)*(E3899=E$2:E3899)))))-COUNTBLANK(OFFSET(A$1,,,SUMPRODUCT(MAX(ROW(E$1:E3898)*(E2=E$1:E3898))))))</f>
        <v> </v>
      </c>
      <c r="K3899" s="26" t="str">
        <f>IF(OR(E3899="",E3899="!!!",F3899="NEW"),"",INDEX(J$1:J3898,SUMPRODUCT(MAX(ROW(E$1:E3898)*(E3899=E$1:E3898)))))</f>
        <v> </v>
      </c>
      <c r="L3899" s="27"/>
    </row>
    <row r="3900" spans="1:12">
      <c r="A3900" s="20" t="s">
        <v>2154</v>
      </c>
      <c r="E3900" s="22">
        <f>IF(D3900="?OLD","!!!","")</f>
        <v/>
      </c>
      <c r="F3900" s="23" t="str">
        <f>IF(OR(E3900="",E3900="!!!"),"",IF(NOT(ISNA(VLOOKUP(E3900,E$1:E3899,1,FALSE()))),"OLD",IF(AND(E3900&lt;&gt;"",E3900&lt;&gt;"!!!"),"NEW","")))</f>
        <v> </v>
      </c>
      <c r="G3900" s="24" t="str">
        <f>IF(OR(E3900="",E3900="!!!"),"",IF(OR(J3900=0,AND(J3900=1,K3900=1),AND(J3900=1,I3900="SBJ"),AND(J3900=1,I3900=0)),"?IN_FOCUS",IF(J3900&lt;=2,"?ACTIVATED",IF(J3900&lt;&gt;"","?FAMILIAR",IF(F3900="NEW",IF(ISNA(VLOOKUP(E3900,#REF!,1,FALSE())),"?TYPE_IDENTIFIABLE","?REFERENTIAL"),"_")))))</f>
        <v> </v>
      </c>
      <c r="H3900" s="25" t="str">
        <f>IF(J3900&lt;&gt;1,"",IF(I3900="SBJ","CB","?"))</f>
        <v> </v>
      </c>
      <c r="I3900" s="26" t="str">
        <f>IF(OR(E3900="",E3900="!!!",F3900="NEW"),"",INDEX(B3899:B$2,-1+SUMPRODUCT(MAX(ROW(E3899:E$2)*(E3900=E3899:E$2)))))</f>
        <v> </v>
      </c>
      <c r="J3900" s="26" t="str">
        <f>IF(OR(E3900="",E3900="!!!",F3900="NEW"),"",COUNTBLANK(OFFSET(A$1,,,SUMPRODUCT(MAX(ROW(E$2:E3900)*(E3900=E$2:E3900)))))-COUNTBLANK(OFFSET(A$1,,,SUMPRODUCT(MAX(ROW(E$1:E3899)*(E2=E$1:E3899))))))</f>
        <v> </v>
      </c>
      <c r="K3900" s="26" t="str">
        <f>IF(OR(E3900="",E3900="!!!",F3900="NEW"),"",INDEX(J$1:J3899,SUMPRODUCT(MAX(ROW(E$1:E3899)*(E3900=E$1:E3899)))))</f>
        <v> </v>
      </c>
      <c r="L3900" s="27"/>
    </row>
    <row r="3901" spans="1:12">
      <c r="A3901" s="20" t="s">
        <v>86</v>
      </c>
      <c r="E3901" s="22">
        <f>IF(D3901="?OLD","!!!","")</f>
        <v/>
      </c>
      <c r="F3901" s="23" t="str">
        <f>IF(OR(E3901="",E3901="!!!"),"",IF(NOT(ISNA(VLOOKUP(E3901,E$1:E3900,1,FALSE()))),"OLD",IF(AND(E3901&lt;&gt;"",E3901&lt;&gt;"!!!"),"NEW","")))</f>
        <v> </v>
      </c>
      <c r="G3901" s="24" t="str">
        <f>IF(OR(E3901="",E3901="!!!"),"",IF(OR(J3901=0,AND(J3901=1,K3901=1),AND(J3901=1,I3901="SBJ"),AND(J3901=1,I3901=0)),"?IN_FOCUS",IF(J3901&lt;=2,"?ACTIVATED",IF(J3901&lt;&gt;"","?FAMILIAR",IF(F3901="NEW",IF(ISNA(VLOOKUP(E3901,#REF!,1,FALSE())),"?TYPE_IDENTIFIABLE","?REFERENTIAL"),"_")))))</f>
        <v> </v>
      </c>
      <c r="H3901" s="25" t="str">
        <f>IF(J3901&lt;&gt;1,"",IF(I3901="SBJ","CB","?"))</f>
        <v> </v>
      </c>
      <c r="I3901" s="26" t="str">
        <f>IF(OR(E3901="",E3901="!!!",F3901="NEW"),"",INDEX(B3900:B$2,-1+SUMPRODUCT(MAX(ROW(E3900:E$2)*(E3901=E3900:E$2)))))</f>
        <v> </v>
      </c>
      <c r="J3901" s="26" t="str">
        <f>IF(OR(E3901="",E3901="!!!",F3901="NEW"),"",COUNTBLANK(OFFSET(A$1,,,SUMPRODUCT(MAX(ROW(E$2:E3901)*(E3901=E$2:E3901)))))-COUNTBLANK(OFFSET(A$1,,,SUMPRODUCT(MAX(ROW(E$1:E3900)*(E2=E$1:E3900))))))</f>
        <v> </v>
      </c>
      <c r="K3901" s="26" t="str">
        <f>IF(OR(E3901="",E3901="!!!",F3901="NEW"),"",INDEX(J$1:J3900,SUMPRODUCT(MAX(ROW(E$1:E3900)*(E3901=E$1:E3900)))))</f>
        <v> </v>
      </c>
      <c r="L3901" s="27"/>
    </row>
    <row r="3902" spans="1:12">
      <c r="A3902" s="20" t="s">
        <v>2155</v>
      </c>
      <c r="E3902" s="22">
        <f>IF(D3902="?OLD","!!!","")</f>
        <v/>
      </c>
      <c r="F3902" s="23" t="str">
        <f>IF(OR(E3902="",E3902="!!!"),"",IF(NOT(ISNA(VLOOKUP(E3902,E$1:E3901,1,FALSE()))),"OLD",IF(AND(E3902&lt;&gt;"",E3902&lt;&gt;"!!!"),"NEW","")))</f>
        <v> </v>
      </c>
      <c r="G3902" s="24" t="str">
        <f>IF(OR(E3902="",E3902="!!!"),"",IF(OR(J3902=0,AND(J3902=1,K3902=1),AND(J3902=1,I3902="SBJ"),AND(J3902=1,I3902=0)),"?IN_FOCUS",IF(J3902&lt;=2,"?ACTIVATED",IF(J3902&lt;&gt;"","?FAMILIAR",IF(F3902="NEW",IF(ISNA(VLOOKUP(E3902,#REF!,1,FALSE())),"?TYPE_IDENTIFIABLE","?REFERENTIAL"),"_")))))</f>
        <v> </v>
      </c>
      <c r="H3902" s="25" t="str">
        <f>IF(J3902&lt;&gt;1,"",IF(I3902="SBJ","CB","?"))</f>
        <v> </v>
      </c>
      <c r="I3902" s="26" t="str">
        <f>IF(OR(E3902="",E3902="!!!",F3902="NEW"),"",INDEX(B3901:B$2,-1+SUMPRODUCT(MAX(ROW(E3901:E$2)*(E3902=E3901:E$2)))))</f>
        <v> </v>
      </c>
      <c r="J3902" s="26" t="str">
        <f>IF(OR(E3902="",E3902="!!!",F3902="NEW"),"",COUNTBLANK(OFFSET(A$1,,,SUMPRODUCT(MAX(ROW(E$2:E3902)*(E3902=E$2:E3902)))))-COUNTBLANK(OFFSET(A$1,,,SUMPRODUCT(MAX(ROW(E$1:E3901)*(E2=E$1:E3901))))))</f>
        <v> </v>
      </c>
      <c r="K3902" s="26" t="str">
        <f>IF(OR(E3902="",E3902="!!!",F3902="NEW"),"",INDEX(J$1:J3901,SUMPRODUCT(MAX(ROW(E$1:E3901)*(E3902=E$1:E3901)))))</f>
        <v> </v>
      </c>
      <c r="L3902" s="27"/>
    </row>
    <row r="3903" spans="1:12">
      <c r="A3903" s="20" t="s">
        <v>2156</v>
      </c>
      <c r="B3903" s="21" t="s">
        <v>1187</v>
      </c>
      <c r="C3903" s="21" t="s">
        <v>1205</v>
      </c>
      <c r="E3903" s="22">
        <f>IF(D3903="?OLD","!!!","")</f>
        <v/>
      </c>
      <c r="F3903" s="23" t="str">
        <f>IF(OR(E3903="",E3903="!!!"),"",IF(NOT(ISNA(VLOOKUP(E3903,E$1:E3902,1,FALSE()))),"OLD",IF(AND(E3903&lt;&gt;"",E3903&lt;&gt;"!!!"),"NEW","")))</f>
        <v> </v>
      </c>
      <c r="G3903" s="24" t="str">
        <f>IF(OR(E3903="",E3903="!!!"),"",IF(OR(J3903=0,AND(J3903=1,K3903=1),AND(J3903=1,I3903="SBJ"),AND(J3903=1,I3903=0)),"?IN_FOCUS",IF(J3903&lt;=2,"?ACTIVATED",IF(J3903&lt;&gt;"","?FAMILIAR",IF(F3903="NEW",IF(ISNA(VLOOKUP(E3903,#REF!,1,FALSE())),"?TYPE_IDENTIFIABLE","?REFERENTIAL"),"_")))))</f>
        <v> </v>
      </c>
      <c r="H3903" s="25" t="str">
        <f>IF(J3903&lt;&gt;1,"",IF(I3903="SBJ","CB","?"))</f>
        <v> </v>
      </c>
      <c r="I3903" s="26" t="str">
        <f>IF(OR(E3903="",E3903="!!!",F3903="NEW"),"",INDEX(B3902:B$2,-1+SUMPRODUCT(MAX(ROW(E3902:E$2)*(E3903=E3902:E$2)))))</f>
        <v> </v>
      </c>
      <c r="J3903" s="26" t="str">
        <f>IF(OR(E3903="",E3903="!!!",F3903="NEW"),"",COUNTBLANK(OFFSET(A$1,,,SUMPRODUCT(MAX(ROW(E$2:E3903)*(E3903=E$2:E3903)))))-COUNTBLANK(OFFSET(A$1,,,SUMPRODUCT(MAX(ROW(E$1:E3902)*(E2=E$1:E3902))))))</f>
        <v> </v>
      </c>
      <c r="K3903" s="26" t="str">
        <f>IF(OR(E3903="",E3903="!!!",F3903="NEW"),"",INDEX(J$1:J3902,SUMPRODUCT(MAX(ROW(E$1:E3902)*(E3903=E$1:E3902)))))</f>
        <v> </v>
      </c>
      <c r="L3903" s="27"/>
    </row>
    <row r="3904" spans="1:12">
      <c r="A3904" s="20" t="s">
        <v>1023</v>
      </c>
      <c r="E3904" s="22">
        <f>IF(D3904="?OLD","!!!","")</f>
        <v/>
      </c>
      <c r="F3904" s="23" t="str">
        <f>IF(OR(E3904="",E3904="!!!"),"",IF(NOT(ISNA(VLOOKUP(E3904,E$1:E3903,1,FALSE()))),"OLD",IF(AND(E3904&lt;&gt;"",E3904&lt;&gt;"!!!"),"NEW","")))</f>
        <v> </v>
      </c>
      <c r="G3904" s="24" t="str">
        <f>IF(OR(E3904="",E3904="!!!"),"",IF(OR(J3904=0,AND(J3904=1,K3904=1),AND(J3904=1,I3904="SBJ"),AND(J3904=1,I3904=0)),"?IN_FOCUS",IF(J3904&lt;=2,"?ACTIVATED",IF(J3904&lt;&gt;"","?FAMILIAR",IF(F3904="NEW",IF(ISNA(VLOOKUP(E3904,#REF!,1,FALSE())),"?TYPE_IDENTIFIABLE","?REFERENTIAL"),"_")))))</f>
        <v> </v>
      </c>
      <c r="H3904" s="25" t="str">
        <f>IF(J3904&lt;&gt;1,"",IF(I3904="SBJ","CB","?"))</f>
        <v> </v>
      </c>
      <c r="I3904" s="26" t="str">
        <f>IF(OR(E3904="",E3904="!!!",F3904="NEW"),"",INDEX(B3903:B$2,-1+SUMPRODUCT(MAX(ROW(E3903:E$2)*(E3904=E3903:E$2)))))</f>
        <v> </v>
      </c>
      <c r="J3904" s="26" t="str">
        <f>IF(OR(E3904="",E3904="!!!",F3904="NEW"),"",COUNTBLANK(OFFSET(A$1,,,SUMPRODUCT(MAX(ROW(E$2:E3904)*(E3904=E$2:E3904)))))-COUNTBLANK(OFFSET(A$1,,,SUMPRODUCT(MAX(ROW(E$1:E3903)*(E2=E$1:E3903))))))</f>
        <v> </v>
      </c>
      <c r="K3904" s="26" t="str">
        <f>IF(OR(E3904="",E3904="!!!",F3904="NEW"),"",INDEX(J$1:J3903,SUMPRODUCT(MAX(ROW(E$1:E3903)*(E3904=E$1:E3903)))))</f>
        <v> </v>
      </c>
      <c r="L3904" s="27"/>
    </row>
    <row r="3905" spans="1:12">
      <c r="A3905" s="20"/>
    </row>
    <row r="3906" spans="1:12">
      <c r="A3906" s="20" t="s">
        <v>2157</v>
      </c>
    </row>
    <row r="3907" spans="1:12">
      <c r="A3907" s="20" t="s">
        <v>1416</v>
      </c>
      <c r="E3907" s="22">
        <f>IF(D3907="?OLD","!!!","")</f>
        <v/>
      </c>
      <c r="F3907" s="23" t="str">
        <f>IF(OR(E3907="",E3907="!!!"),"",IF(NOT(ISNA(VLOOKUP(E3907,E$1:E3906,1,FALSE()))),"OLD",IF(AND(E3907&lt;&gt;"",E3907&lt;&gt;"!!!"),"NEW","")))</f>
        <v> </v>
      </c>
      <c r="G3907" s="24" t="str">
        <f>IF(OR(E3907="",E3907="!!!"),"",IF(OR(J3907=0,AND(J3907=1,K3907=1),AND(J3907=1,I3907="SBJ"),AND(J3907=1,I3907=0)),"?IN_FOCUS",IF(J3907&lt;=2,"?ACTIVATED",IF(J3907&lt;&gt;"","?FAMILIAR",IF(F3907="NEW",IF(ISNA(VLOOKUP(E3907,#REF!,1,FALSE())),"?TYPE_IDENTIFIABLE","?REFERENTIAL"),"_")))))</f>
        <v> </v>
      </c>
      <c r="H3907" s="25" t="str">
        <f>IF(J3907&lt;&gt;1,"",IF(I3907="SBJ","CB","?"))</f>
        <v> </v>
      </c>
      <c r="I3907" s="26" t="str">
        <f>IF(OR(E3907="",E3907="!!!",F3907="NEW"),"",INDEX(B3906:B$2,-1+SUMPRODUCT(MAX(ROW(E3906:E$2)*(E3907=E3906:E$2)))))</f>
        <v> </v>
      </c>
      <c r="J3907" s="26" t="str">
        <f>IF(OR(E3907="",E3907="!!!",F3907="NEW"),"",COUNTBLANK(OFFSET(A$1,,,SUMPRODUCT(MAX(ROW(E$2:E3907)*(E3907=E$2:E3907)))))-COUNTBLANK(OFFSET(A$1,,,SUMPRODUCT(MAX(ROW(E$1:E3906)*(E2=E$1:E3906))))))</f>
        <v> </v>
      </c>
      <c r="K3907" s="26" t="str">
        <f>IF(OR(E3907="",E3907="!!!",F3907="NEW"),"",INDEX(J$1:J3906,SUMPRODUCT(MAX(ROW(E$1:E3906)*(E3907=E$1:E3906)))))</f>
        <v> </v>
      </c>
      <c r="L3907" s="27"/>
    </row>
    <row r="3908" spans="1:12">
      <c r="A3908" s="20" t="s">
        <v>1413</v>
      </c>
      <c r="E3908" s="22">
        <f>IF(D3908="?OLD","!!!","")</f>
        <v/>
      </c>
      <c r="F3908" s="23" t="str">
        <f>IF(OR(E3908="",E3908="!!!"),"",IF(NOT(ISNA(VLOOKUP(E3908,E$1:E3907,1,FALSE()))),"OLD",IF(AND(E3908&lt;&gt;"",E3908&lt;&gt;"!!!"),"NEW","")))</f>
        <v> </v>
      </c>
      <c r="G3908" s="24" t="str">
        <f>IF(OR(E3908="",E3908="!!!"),"",IF(OR(J3908=0,AND(J3908=1,K3908=1),AND(J3908=1,I3908="SBJ"),AND(J3908=1,I3908=0)),"?IN_FOCUS",IF(J3908&lt;=2,"?ACTIVATED",IF(J3908&lt;&gt;"","?FAMILIAR",IF(F3908="NEW",IF(ISNA(VLOOKUP(E3908,#REF!,1,FALSE())),"?TYPE_IDENTIFIABLE","?REFERENTIAL"),"_")))))</f>
        <v> </v>
      </c>
      <c r="H3908" s="25" t="str">
        <f>IF(J3908&lt;&gt;1,"",IF(I3908="SBJ","CB","?"))</f>
        <v> </v>
      </c>
      <c r="I3908" s="26" t="str">
        <f>IF(OR(E3908="",E3908="!!!",F3908="NEW"),"",INDEX(B3907:B$2,-1+SUMPRODUCT(MAX(ROW(E3907:E$2)*(E3908=E3907:E$2)))))</f>
        <v> </v>
      </c>
      <c r="J3908" s="26" t="str">
        <f>IF(OR(E3908="",E3908="!!!",F3908="NEW"),"",COUNTBLANK(OFFSET(A$1,,,SUMPRODUCT(MAX(ROW(E$2:E3908)*(E3908=E$2:E3908)))))-COUNTBLANK(OFFSET(A$1,,,SUMPRODUCT(MAX(ROW(E$1:E3907)*(E2=E$1:E3907))))))</f>
        <v> </v>
      </c>
      <c r="K3908" s="26" t="str">
        <f>IF(OR(E3908="",E3908="!!!",F3908="NEW"),"",INDEX(J$1:J3907,SUMPRODUCT(MAX(ROW(E$1:E3907)*(E3908=E$1:E3907)))))</f>
        <v> </v>
      </c>
      <c r="L3908" s="27"/>
    </row>
    <row r="3909" spans="1:12">
      <c r="A3909" s="20" t="s">
        <v>1287</v>
      </c>
      <c r="E3909" s="22">
        <f>IF(D3909="?OLD","!!!","")</f>
        <v/>
      </c>
      <c r="F3909" s="23" t="str">
        <f>IF(OR(E3909="",E3909="!!!"),"",IF(NOT(ISNA(VLOOKUP(E3909,E$1:E3908,1,FALSE()))),"OLD",IF(AND(E3909&lt;&gt;"",E3909&lt;&gt;"!!!"),"NEW","")))</f>
        <v> </v>
      </c>
      <c r="G3909" s="24" t="str">
        <f>IF(OR(E3909="",E3909="!!!"),"",IF(OR(J3909=0,AND(J3909=1,K3909=1),AND(J3909=1,I3909="SBJ"),AND(J3909=1,I3909=0)),"?IN_FOCUS",IF(J3909&lt;=2,"?ACTIVATED",IF(J3909&lt;&gt;"","?FAMILIAR",IF(F3909="NEW",IF(ISNA(VLOOKUP(E3909,#REF!,1,FALSE())),"?TYPE_IDENTIFIABLE","?REFERENTIAL"),"_")))))</f>
        <v> </v>
      </c>
      <c r="H3909" s="25" t="str">
        <f>IF(J3909&lt;&gt;1,"",IF(I3909="SBJ","CB","?"))</f>
        <v> </v>
      </c>
      <c r="I3909" s="26" t="str">
        <f>IF(OR(E3909="",E3909="!!!",F3909="NEW"),"",INDEX(B3908:B$2,-1+SUMPRODUCT(MAX(ROW(E3908:E$2)*(E3909=E3908:E$2)))))</f>
        <v> </v>
      </c>
      <c r="J3909" s="26" t="str">
        <f>IF(OR(E3909="",E3909="!!!",F3909="NEW"),"",COUNTBLANK(OFFSET(A$1,,,SUMPRODUCT(MAX(ROW(E$2:E3909)*(E3909=E$2:E3909)))))-COUNTBLANK(OFFSET(A$1,,,SUMPRODUCT(MAX(ROW(E$1:E3908)*(E2=E$1:E3908))))))</f>
        <v> </v>
      </c>
      <c r="K3909" s="26" t="str">
        <f>IF(OR(E3909="",E3909="!!!",F3909="NEW"),"",INDEX(J$1:J3908,SUMPRODUCT(MAX(ROW(E$1:E3908)*(E3909=E$1:E3908)))))</f>
        <v> </v>
      </c>
      <c r="L3909" s="27"/>
    </row>
    <row r="3910" spans="1:12">
      <c r="A3910" s="20" t="s">
        <v>1036</v>
      </c>
      <c r="E3910" s="22">
        <f>IF(D3910="?OLD","!!!","")</f>
        <v/>
      </c>
      <c r="F3910" s="23" t="str">
        <f>IF(OR(E3910="",E3910="!!!"),"",IF(NOT(ISNA(VLOOKUP(E3910,E$1:E3909,1,FALSE()))),"OLD",IF(AND(E3910&lt;&gt;"",E3910&lt;&gt;"!!!"),"NEW","")))</f>
        <v> </v>
      </c>
      <c r="G3910" s="24" t="str">
        <f>IF(OR(E3910="",E3910="!!!"),"",IF(OR(J3910=0,AND(J3910=1,K3910=1),AND(J3910=1,I3910="SBJ"),AND(J3910=1,I3910=0)),"?IN_FOCUS",IF(J3910&lt;=2,"?ACTIVATED",IF(J3910&lt;&gt;"","?FAMILIAR",IF(F3910="NEW",IF(ISNA(VLOOKUP(E3910,#REF!,1,FALSE())),"?TYPE_IDENTIFIABLE","?REFERENTIAL"),"_")))))</f>
        <v> </v>
      </c>
      <c r="H3910" s="25" t="str">
        <f>IF(J3910&lt;&gt;1,"",IF(I3910="SBJ","CB","?"))</f>
        <v> </v>
      </c>
      <c r="I3910" s="26" t="str">
        <f>IF(OR(E3910="",E3910="!!!",F3910="NEW"),"",INDEX(B3909:B$2,-1+SUMPRODUCT(MAX(ROW(E3909:E$2)*(E3910=E3909:E$2)))))</f>
        <v> </v>
      </c>
      <c r="J3910" s="26" t="str">
        <f>IF(OR(E3910="",E3910="!!!",F3910="NEW"),"",COUNTBLANK(OFFSET(A$1,,,SUMPRODUCT(MAX(ROW(E$2:E3910)*(E3910=E$2:E3910)))))-COUNTBLANK(OFFSET(A$1,,,SUMPRODUCT(MAX(ROW(E$1:E3909)*(E2=E$1:E3909))))))</f>
        <v> </v>
      </c>
      <c r="K3910" s="26" t="str">
        <f>IF(OR(E3910="",E3910="!!!",F3910="NEW"),"",INDEX(J$1:J3909,SUMPRODUCT(MAX(ROW(E$1:E3909)*(E3910=E$1:E3909)))))</f>
        <v> </v>
      </c>
      <c r="L3910" s="27"/>
    </row>
    <row r="3911" spans="1:12">
      <c r="A3911" s="20" t="s">
        <v>1027</v>
      </c>
      <c r="E3911" s="22">
        <f>IF(D3911="?OLD","!!!","")</f>
        <v/>
      </c>
      <c r="F3911" s="23" t="str">
        <f>IF(OR(E3911="",E3911="!!!"),"",IF(NOT(ISNA(VLOOKUP(E3911,E$1:E3910,1,FALSE()))),"OLD",IF(AND(E3911&lt;&gt;"",E3911&lt;&gt;"!!!"),"NEW","")))</f>
        <v> </v>
      </c>
      <c r="G3911" s="24" t="str">
        <f>IF(OR(E3911="",E3911="!!!"),"",IF(OR(J3911=0,AND(J3911=1,K3911=1),AND(J3911=1,I3911="SBJ"),AND(J3911=1,I3911=0)),"?IN_FOCUS",IF(J3911&lt;=2,"?ACTIVATED",IF(J3911&lt;&gt;"","?FAMILIAR",IF(F3911="NEW",IF(ISNA(VLOOKUP(E3911,#REF!,1,FALSE())),"?TYPE_IDENTIFIABLE","?REFERENTIAL"),"_")))))</f>
        <v> </v>
      </c>
      <c r="H3911" s="25" t="str">
        <f>IF(J3911&lt;&gt;1,"",IF(I3911="SBJ","CB","?"))</f>
        <v> </v>
      </c>
      <c r="I3911" s="26" t="str">
        <f>IF(OR(E3911="",E3911="!!!",F3911="NEW"),"",INDEX(B3910:B$2,-1+SUMPRODUCT(MAX(ROW(E3910:E$2)*(E3911=E3910:E$2)))))</f>
        <v> </v>
      </c>
      <c r="J3911" s="26" t="str">
        <f>IF(OR(E3911="",E3911="!!!",F3911="NEW"),"",COUNTBLANK(OFFSET(A$1,,,SUMPRODUCT(MAX(ROW(E$2:E3911)*(E3911=E$2:E3911)))))-COUNTBLANK(OFFSET(A$1,,,SUMPRODUCT(MAX(ROW(E$1:E3910)*(E2=E$1:E3910))))))</f>
        <v> </v>
      </c>
      <c r="K3911" s="26" t="str">
        <f>IF(OR(E3911="",E3911="!!!",F3911="NEW"),"",INDEX(J$1:J3910,SUMPRODUCT(MAX(ROW(E$1:E3910)*(E3911=E$1:E3910)))))</f>
        <v> </v>
      </c>
      <c r="L3911" s="27"/>
    </row>
    <row r="3912" spans="1:12">
      <c r="A3912" s="20" t="s">
        <v>2158</v>
      </c>
      <c r="B3912" s="21" t="s">
        <v>1005</v>
      </c>
      <c r="C3912" s="21" t="s">
        <v>1017</v>
      </c>
      <c r="D3912" s="21" t="s">
        <v>1007</v>
      </c>
      <c r="E3912" s="22">
        <f>IF(D3912="?OLD","!!!","")</f>
        <v/>
      </c>
      <c r="F3912" s="23" t="str">
        <f>IF(OR(E3912="",E3912="!!!"),"",IF(NOT(ISNA(VLOOKUP(E3912,E$1:E3911,1,FALSE()))),"OLD",IF(AND(E3912&lt;&gt;"",E3912&lt;&gt;"!!!"),"NEW","")))</f>
        <v> </v>
      </c>
      <c r="G3912" s="24" t="str">
        <f>IF(OR(E3912="",E3912="!!!"),"",IF(OR(J3912=0,AND(J3912=1,K3912=1),AND(J3912=1,I3912="SBJ"),AND(J3912=1,I3912=0)),"?IN_FOCUS",IF(J3912&lt;=2,"?ACTIVATED",IF(J3912&lt;&gt;"","?FAMILIAR",IF(F3912="NEW",IF(ISNA(VLOOKUP(E3912,#REF!,1,FALSE())),"?TYPE_IDENTIFIABLE","?REFERENTIAL"),"_")))))</f>
        <v> </v>
      </c>
      <c r="H3912" s="25" t="str">
        <f>IF(J3912&lt;&gt;1,"",IF(I3912="SBJ","CB","?"))</f>
        <v> </v>
      </c>
      <c r="I3912" s="26" t="str">
        <f>IF(OR(E3912="",E3912="!!!",F3912="NEW"),"",INDEX(B3911:B$2,-1+SUMPRODUCT(MAX(ROW(E3911:E$2)*(E3912=E3911:E$2)))))</f>
        <v> </v>
      </c>
      <c r="J3912" s="26" t="str">
        <f>IF(OR(E3912="",E3912="!!!",F3912="NEW"),"",COUNTBLANK(OFFSET(A$1,,,SUMPRODUCT(MAX(ROW(E$2:E3912)*(E3912=E$2:E3912)))))-COUNTBLANK(OFFSET(A$1,,,SUMPRODUCT(MAX(ROW(E$1:E3911)*(E2=E$1:E3911))))))</f>
        <v> </v>
      </c>
      <c r="K3912" s="26" t="str">
        <f>IF(OR(E3912="",E3912="!!!",F3912="NEW"),"",INDEX(J$1:J3911,SUMPRODUCT(MAX(ROW(E$1:E3911)*(E3912=E$1:E3911)))))</f>
        <v> </v>
      </c>
      <c r="L3912" s="27"/>
    </row>
    <row r="3913" spans="1:12">
      <c r="A3913" s="20" t="s">
        <v>2159</v>
      </c>
      <c r="E3913" s="22">
        <f>IF(D3913="?OLD","!!!","")</f>
        <v/>
      </c>
      <c r="F3913" s="23" t="str">
        <f>IF(OR(E3913="",E3913="!!!"),"",IF(NOT(ISNA(VLOOKUP(E3913,E$1:E3912,1,FALSE()))),"OLD",IF(AND(E3913&lt;&gt;"",E3913&lt;&gt;"!!!"),"NEW","")))</f>
        <v> </v>
      </c>
      <c r="G3913" s="24" t="str">
        <f>IF(OR(E3913="",E3913="!!!"),"",IF(OR(J3913=0,AND(J3913=1,K3913=1),AND(J3913=1,I3913="SBJ"),AND(J3913=1,I3913=0)),"?IN_FOCUS",IF(J3913&lt;=2,"?ACTIVATED",IF(J3913&lt;&gt;"","?FAMILIAR",IF(F3913="NEW",IF(ISNA(VLOOKUP(E3913,#REF!,1,FALSE())),"?TYPE_IDENTIFIABLE","?REFERENTIAL"),"_")))))</f>
        <v> </v>
      </c>
      <c r="H3913" s="25" t="str">
        <f>IF(J3913&lt;&gt;1,"",IF(I3913="SBJ","CB","?"))</f>
        <v> </v>
      </c>
      <c r="I3913" s="26" t="str">
        <f>IF(OR(E3913="",E3913="!!!",F3913="NEW"),"",INDEX(B3912:B$2,-1+SUMPRODUCT(MAX(ROW(E3912:E$2)*(E3913=E3912:E$2)))))</f>
        <v> </v>
      </c>
      <c r="J3913" s="26" t="str">
        <f>IF(OR(E3913="",E3913="!!!",F3913="NEW"),"",COUNTBLANK(OFFSET(A$1,,,SUMPRODUCT(MAX(ROW(E$2:E3913)*(E3913=E$2:E3913)))))-COUNTBLANK(OFFSET(A$1,,,SUMPRODUCT(MAX(ROW(E$1:E3912)*(E2=E$1:E3912))))))</f>
        <v> </v>
      </c>
      <c r="K3913" s="26" t="str">
        <f>IF(OR(E3913="",E3913="!!!",F3913="NEW"),"",INDEX(J$1:J3912,SUMPRODUCT(MAX(ROW(E$1:E3912)*(E3913=E$1:E3912)))))</f>
        <v> </v>
      </c>
      <c r="L3913" s="27"/>
    </row>
    <row r="3914" spans="1:12">
      <c r="A3914" s="20" t="s">
        <v>1018</v>
      </c>
      <c r="E3914" s="22">
        <f>IF(D3914="?OLD","!!!","")</f>
        <v/>
      </c>
      <c r="F3914" s="23" t="str">
        <f>IF(OR(E3914="",E3914="!!!"),"",IF(NOT(ISNA(VLOOKUP(E3914,E$1:E3913,1,FALSE()))),"OLD",IF(AND(E3914&lt;&gt;"",E3914&lt;&gt;"!!!"),"NEW","")))</f>
        <v> </v>
      </c>
      <c r="G3914" s="24" t="str">
        <f>IF(OR(E3914="",E3914="!!!"),"",IF(OR(J3914=0,AND(J3914=1,K3914=1),AND(J3914=1,I3914="SBJ"),AND(J3914=1,I3914=0)),"?IN_FOCUS",IF(J3914&lt;=2,"?ACTIVATED",IF(J3914&lt;&gt;"","?FAMILIAR",IF(F3914="NEW",IF(ISNA(VLOOKUP(E3914,#REF!,1,FALSE())),"?TYPE_IDENTIFIABLE","?REFERENTIAL"),"_")))))</f>
        <v> </v>
      </c>
      <c r="H3914" s="25" t="str">
        <f>IF(J3914&lt;&gt;1,"",IF(I3914="SBJ","CB","?"))</f>
        <v> </v>
      </c>
      <c r="I3914" s="26" t="str">
        <f>IF(OR(E3914="",E3914="!!!",F3914="NEW"),"",INDEX(B3913:B$2,-1+SUMPRODUCT(MAX(ROW(E3913:E$2)*(E3914=E3913:E$2)))))</f>
        <v> </v>
      </c>
      <c r="J3914" s="26" t="str">
        <f>IF(OR(E3914="",E3914="!!!",F3914="NEW"),"",COUNTBLANK(OFFSET(A$1,,,SUMPRODUCT(MAX(ROW(E$2:E3914)*(E3914=E$2:E3914)))))-COUNTBLANK(OFFSET(A$1,,,SUMPRODUCT(MAX(ROW(E$1:E3913)*(E2=E$1:E3913))))))</f>
        <v> </v>
      </c>
      <c r="K3914" s="26" t="str">
        <f>IF(OR(E3914="",E3914="!!!",F3914="NEW"),"",INDEX(J$1:J3913,SUMPRODUCT(MAX(ROW(E$1:E3913)*(E3914=E$1:E3913)))))</f>
        <v> </v>
      </c>
      <c r="L3914" s="27"/>
    </row>
    <row r="3915" spans="1:12">
      <c r="A3915" s="20" t="s">
        <v>1684</v>
      </c>
      <c r="E3915" s="22">
        <f>IF(D3915="?OLD","!!!","")</f>
        <v/>
      </c>
      <c r="F3915" s="23" t="str">
        <f>IF(OR(E3915="",E3915="!!!"),"",IF(NOT(ISNA(VLOOKUP(E3915,E$1:E3914,1,FALSE()))),"OLD",IF(AND(E3915&lt;&gt;"",E3915&lt;&gt;"!!!"),"NEW","")))</f>
        <v> </v>
      </c>
      <c r="G3915" s="24" t="str">
        <f>IF(OR(E3915="",E3915="!!!"),"",IF(OR(J3915=0,AND(J3915=1,K3915=1),AND(J3915=1,I3915="SBJ"),AND(J3915=1,I3915=0)),"?IN_FOCUS",IF(J3915&lt;=2,"?ACTIVATED",IF(J3915&lt;&gt;"","?FAMILIAR",IF(F3915="NEW",IF(ISNA(VLOOKUP(E3915,#REF!,1,FALSE())),"?TYPE_IDENTIFIABLE","?REFERENTIAL"),"_")))))</f>
        <v> </v>
      </c>
      <c r="H3915" s="25" t="str">
        <f>IF(J3915&lt;&gt;1,"",IF(I3915="SBJ","CB","?"))</f>
        <v> </v>
      </c>
      <c r="I3915" s="26" t="str">
        <f>IF(OR(E3915="",E3915="!!!",F3915="NEW"),"",INDEX(B3914:B$2,-1+SUMPRODUCT(MAX(ROW(E3914:E$2)*(E3915=E3914:E$2)))))</f>
        <v> </v>
      </c>
      <c r="J3915" s="26" t="str">
        <f>IF(OR(E3915="",E3915="!!!",F3915="NEW"),"",COUNTBLANK(OFFSET(A$1,,,SUMPRODUCT(MAX(ROW(E$2:E3915)*(E3915=E$2:E3915)))))-COUNTBLANK(OFFSET(A$1,,,SUMPRODUCT(MAX(ROW(E$1:E3914)*(E2=E$1:E3914))))))</f>
        <v> </v>
      </c>
      <c r="K3915" s="26" t="str">
        <f>IF(OR(E3915="",E3915="!!!",F3915="NEW"),"",INDEX(J$1:J3914,SUMPRODUCT(MAX(ROW(E$1:E3914)*(E3915=E$1:E3914)))))</f>
        <v> </v>
      </c>
      <c r="L3915" s="27"/>
    </row>
    <row r="3916" spans="1:12">
      <c r="A3916" s="20" t="s">
        <v>1070</v>
      </c>
      <c r="E3916" s="22">
        <f>IF(D3916="?OLD","!!!","")</f>
        <v/>
      </c>
      <c r="F3916" s="23" t="str">
        <f>IF(OR(E3916="",E3916="!!!"),"",IF(NOT(ISNA(VLOOKUP(E3916,E$1:E3915,1,FALSE()))),"OLD",IF(AND(E3916&lt;&gt;"",E3916&lt;&gt;"!!!"),"NEW","")))</f>
        <v> </v>
      </c>
      <c r="G3916" s="24" t="str">
        <f>IF(OR(E3916="",E3916="!!!"),"",IF(OR(J3916=0,AND(J3916=1,K3916=1),AND(J3916=1,I3916="SBJ"),AND(J3916=1,I3916=0)),"?IN_FOCUS",IF(J3916&lt;=2,"?ACTIVATED",IF(J3916&lt;&gt;"","?FAMILIAR",IF(F3916="NEW",IF(ISNA(VLOOKUP(E3916,#REF!,1,FALSE())),"?TYPE_IDENTIFIABLE","?REFERENTIAL"),"_")))))</f>
        <v> </v>
      </c>
      <c r="H3916" s="25" t="str">
        <f>IF(J3916&lt;&gt;1,"",IF(I3916="SBJ","CB","?"))</f>
        <v> </v>
      </c>
      <c r="I3916" s="26" t="str">
        <f>IF(OR(E3916="",E3916="!!!",F3916="NEW"),"",INDEX(B3915:B$2,-1+SUMPRODUCT(MAX(ROW(E3915:E$2)*(E3916=E3915:E$2)))))</f>
        <v> </v>
      </c>
      <c r="J3916" s="26" t="str">
        <f>IF(OR(E3916="",E3916="!!!",F3916="NEW"),"",COUNTBLANK(OFFSET(A$1,,,SUMPRODUCT(MAX(ROW(E$2:E3916)*(E3916=E$2:E3916)))))-COUNTBLANK(OFFSET(A$1,,,SUMPRODUCT(MAX(ROW(E$1:E3915)*(E2=E$1:E3915))))))</f>
        <v> </v>
      </c>
      <c r="K3916" s="26" t="str">
        <f>IF(OR(E3916="",E3916="!!!",F3916="NEW"),"",INDEX(J$1:J3915,SUMPRODUCT(MAX(ROW(E$1:E3915)*(E3916=E$1:E3915)))))</f>
        <v> </v>
      </c>
      <c r="L3916" s="27"/>
    </row>
    <row r="3917" spans="1:12">
      <c r="A3917" s="20" t="s">
        <v>1020</v>
      </c>
      <c r="E3917" s="22">
        <f>IF(D3917="?OLD","!!!","")</f>
        <v/>
      </c>
      <c r="F3917" s="23" t="str">
        <f>IF(OR(E3917="",E3917="!!!"),"",IF(NOT(ISNA(VLOOKUP(E3917,E$1:E3916,1,FALSE()))),"OLD",IF(AND(E3917&lt;&gt;"",E3917&lt;&gt;"!!!"),"NEW","")))</f>
        <v> </v>
      </c>
      <c r="G3917" s="24" t="str">
        <f>IF(OR(E3917="",E3917="!!!"),"",IF(OR(J3917=0,AND(J3917=1,K3917=1),AND(J3917=1,I3917="SBJ"),AND(J3917=1,I3917=0)),"?IN_FOCUS",IF(J3917&lt;=2,"?ACTIVATED",IF(J3917&lt;&gt;"","?FAMILIAR",IF(F3917="NEW",IF(ISNA(VLOOKUP(E3917,#REF!,1,FALSE())),"?TYPE_IDENTIFIABLE","?REFERENTIAL"),"_")))))</f>
        <v> </v>
      </c>
      <c r="H3917" s="25" t="str">
        <f>IF(J3917&lt;&gt;1,"",IF(I3917="SBJ","CB","?"))</f>
        <v> </v>
      </c>
      <c r="I3917" s="26" t="str">
        <f>IF(OR(E3917="",E3917="!!!",F3917="NEW"),"",INDEX(B3916:B$2,-1+SUMPRODUCT(MAX(ROW(E3916:E$2)*(E3917=E3916:E$2)))))</f>
        <v> </v>
      </c>
      <c r="J3917" s="26" t="str">
        <f>IF(OR(E3917="",E3917="!!!",F3917="NEW"),"",COUNTBLANK(OFFSET(A$1,,,SUMPRODUCT(MAX(ROW(E$2:E3917)*(E3917=E$2:E3917)))))-COUNTBLANK(OFFSET(A$1,,,SUMPRODUCT(MAX(ROW(E$1:E3916)*(E2=E$1:E3916))))))</f>
        <v> </v>
      </c>
      <c r="K3917" s="26" t="str">
        <f>IF(OR(E3917="",E3917="!!!",F3917="NEW"),"",INDEX(J$1:J3916,SUMPRODUCT(MAX(ROW(E$1:E3916)*(E3917=E$1:E3916)))))</f>
        <v> </v>
      </c>
      <c r="L3917" s="27"/>
    </row>
    <row r="3918" spans="1:12">
      <c r="A3918" s="20" t="s">
        <v>2160</v>
      </c>
      <c r="B3918" s="21" t="s">
        <v>1005</v>
      </c>
      <c r="C3918" s="21" t="s">
        <v>1017</v>
      </c>
      <c r="D3918" s="21" t="s">
        <v>1007</v>
      </c>
      <c r="E3918" s="22">
        <f>IF(D3918="?OLD","!!!","")</f>
        <v/>
      </c>
      <c r="F3918" s="23" t="str">
        <f>IF(OR(E3918="",E3918="!!!"),"",IF(NOT(ISNA(VLOOKUP(E3918,E$1:E3917,1,FALSE()))),"OLD",IF(AND(E3918&lt;&gt;"",E3918&lt;&gt;"!!!"),"NEW","")))</f>
        <v> </v>
      </c>
      <c r="G3918" s="24" t="str">
        <f>IF(OR(E3918="",E3918="!!!"),"",IF(OR(J3918=0,AND(J3918=1,K3918=1),AND(J3918=1,I3918="SBJ"),AND(J3918=1,I3918=0)),"?IN_FOCUS",IF(J3918&lt;=2,"?ACTIVATED",IF(J3918&lt;&gt;"","?FAMILIAR",IF(F3918="NEW",IF(ISNA(VLOOKUP(E3918,#REF!,1,FALSE())),"?TYPE_IDENTIFIABLE","?REFERENTIAL"),"_")))))</f>
        <v> </v>
      </c>
      <c r="H3918" s="25" t="str">
        <f>IF(J3918&lt;&gt;1,"",IF(I3918="SBJ","CB","?"))</f>
        <v> </v>
      </c>
      <c r="I3918" s="26" t="str">
        <f>IF(OR(E3918="",E3918="!!!",F3918="NEW"),"",INDEX(B3917:B$2,-1+SUMPRODUCT(MAX(ROW(E3917:E$2)*(E3918=E3917:E$2)))))</f>
        <v> </v>
      </c>
      <c r="J3918" s="26" t="str">
        <f>IF(OR(E3918="",E3918="!!!",F3918="NEW"),"",COUNTBLANK(OFFSET(A$1,,,SUMPRODUCT(MAX(ROW(E$2:E3918)*(E3918=E$2:E3918)))))-COUNTBLANK(OFFSET(A$1,,,SUMPRODUCT(MAX(ROW(E$1:E3917)*(E2=E$1:E3917))))))</f>
        <v> </v>
      </c>
      <c r="K3918" s="26" t="str">
        <f>IF(OR(E3918="",E3918="!!!",F3918="NEW"),"",INDEX(J$1:J3917,SUMPRODUCT(MAX(ROW(E$1:E3917)*(E3918=E$1:E3917)))))</f>
        <v> </v>
      </c>
      <c r="L3918" s="27"/>
    </row>
    <row r="3919" spans="1:12">
      <c r="A3919" s="20" t="s">
        <v>1018</v>
      </c>
      <c r="E3919" s="22">
        <f>IF(D3919="?OLD","!!!","")</f>
        <v/>
      </c>
      <c r="F3919" s="23" t="str">
        <f>IF(OR(E3919="",E3919="!!!"),"",IF(NOT(ISNA(VLOOKUP(E3919,E$1:E3918,1,FALSE()))),"OLD",IF(AND(E3919&lt;&gt;"",E3919&lt;&gt;"!!!"),"NEW","")))</f>
        <v> </v>
      </c>
      <c r="G3919" s="24" t="str">
        <f>IF(OR(E3919="",E3919="!!!"),"",IF(OR(J3919=0,AND(J3919=1,K3919=1),AND(J3919=1,I3919="SBJ"),AND(J3919=1,I3919=0)),"?IN_FOCUS",IF(J3919&lt;=2,"?ACTIVATED",IF(J3919&lt;&gt;"","?FAMILIAR",IF(F3919="NEW",IF(ISNA(VLOOKUP(E3919,#REF!,1,FALSE())),"?TYPE_IDENTIFIABLE","?REFERENTIAL"),"_")))))</f>
        <v> </v>
      </c>
      <c r="H3919" s="25" t="str">
        <f>IF(J3919&lt;&gt;1,"",IF(I3919="SBJ","CB","?"))</f>
        <v> </v>
      </c>
      <c r="I3919" s="26" t="str">
        <f>IF(OR(E3919="",E3919="!!!",F3919="NEW"),"",INDEX(B3918:B$2,-1+SUMPRODUCT(MAX(ROW(E3918:E$2)*(E3919=E3918:E$2)))))</f>
        <v> </v>
      </c>
      <c r="J3919" s="26" t="str">
        <f>IF(OR(E3919="",E3919="!!!",F3919="NEW"),"",COUNTBLANK(OFFSET(A$1,,,SUMPRODUCT(MAX(ROW(E$2:E3919)*(E3919=E$2:E3919)))))-COUNTBLANK(OFFSET(A$1,,,SUMPRODUCT(MAX(ROW(E$1:E3918)*(E2=E$1:E3918))))))</f>
        <v> </v>
      </c>
      <c r="K3919" s="26" t="str">
        <f>IF(OR(E3919="",E3919="!!!",F3919="NEW"),"",INDEX(J$1:J3918,SUMPRODUCT(MAX(ROW(E$1:E3918)*(E3919=E$1:E3918)))))</f>
        <v> </v>
      </c>
      <c r="L3919" s="27"/>
    </row>
    <row r="3920" spans="1:12">
      <c r="A3920" s="20" t="s">
        <v>1330</v>
      </c>
      <c r="E3920" s="22">
        <f>IF(D3920="?OLD","!!!","")</f>
        <v/>
      </c>
      <c r="F3920" s="23" t="str">
        <f>IF(OR(E3920="",E3920="!!!"),"",IF(NOT(ISNA(VLOOKUP(E3920,E$1:E3919,1,FALSE()))),"OLD",IF(AND(E3920&lt;&gt;"",E3920&lt;&gt;"!!!"),"NEW","")))</f>
        <v> </v>
      </c>
      <c r="G3920" s="24" t="str">
        <f>IF(OR(E3920="",E3920="!!!"),"",IF(OR(J3920=0,AND(J3920=1,K3920=1),AND(J3920=1,I3920="SBJ"),AND(J3920=1,I3920=0)),"?IN_FOCUS",IF(J3920&lt;=2,"?ACTIVATED",IF(J3920&lt;&gt;"","?FAMILIAR",IF(F3920="NEW",IF(ISNA(VLOOKUP(E3920,#REF!,1,FALSE())),"?TYPE_IDENTIFIABLE","?REFERENTIAL"),"_")))))</f>
        <v> </v>
      </c>
      <c r="H3920" s="25" t="str">
        <f>IF(J3920&lt;&gt;1,"",IF(I3920="SBJ","CB","?"))</f>
        <v> </v>
      </c>
      <c r="I3920" s="26" t="str">
        <f>IF(OR(E3920="",E3920="!!!",F3920="NEW"),"",INDEX(B3919:B$2,-1+SUMPRODUCT(MAX(ROW(E3919:E$2)*(E3920=E3919:E$2)))))</f>
        <v> </v>
      </c>
      <c r="J3920" s="26" t="str">
        <f>IF(OR(E3920="",E3920="!!!",F3920="NEW"),"",COUNTBLANK(OFFSET(A$1,,,SUMPRODUCT(MAX(ROW(E$2:E3920)*(E3920=E$2:E3920)))))-COUNTBLANK(OFFSET(A$1,,,SUMPRODUCT(MAX(ROW(E$1:E3919)*(E2=E$1:E3919))))))</f>
        <v> </v>
      </c>
      <c r="K3920" s="26" t="str">
        <f>IF(OR(E3920="",E3920="!!!",F3920="NEW"),"",INDEX(J$1:J3919,SUMPRODUCT(MAX(ROW(E$1:E3919)*(E3920=E$1:E3919)))))</f>
        <v> </v>
      </c>
      <c r="L3920" s="27"/>
    </row>
    <row r="3921" spans="1:12">
      <c r="A3921" s="20" t="s">
        <v>1255</v>
      </c>
      <c r="E3921" s="22">
        <f>IF(D3921="?OLD","!!!","")</f>
        <v/>
      </c>
      <c r="F3921" s="23" t="str">
        <f>IF(OR(E3921="",E3921="!!!"),"",IF(NOT(ISNA(VLOOKUP(E3921,E$1:E3920,1,FALSE()))),"OLD",IF(AND(E3921&lt;&gt;"",E3921&lt;&gt;"!!!"),"NEW","")))</f>
        <v> </v>
      </c>
      <c r="G3921" s="24" t="str">
        <f>IF(OR(E3921="",E3921="!!!"),"",IF(OR(J3921=0,AND(J3921=1,K3921=1),AND(J3921=1,I3921="SBJ"),AND(J3921=1,I3921=0)),"?IN_FOCUS",IF(J3921&lt;=2,"?ACTIVATED",IF(J3921&lt;&gt;"","?FAMILIAR",IF(F3921="NEW",IF(ISNA(VLOOKUP(E3921,#REF!,1,FALSE())),"?TYPE_IDENTIFIABLE","?REFERENTIAL"),"_")))))</f>
        <v> </v>
      </c>
      <c r="H3921" s="25" t="str">
        <f>IF(J3921&lt;&gt;1,"",IF(I3921="SBJ","CB","?"))</f>
        <v> </v>
      </c>
      <c r="I3921" s="26" t="str">
        <f>IF(OR(E3921="",E3921="!!!",F3921="NEW"),"",INDEX(B3920:B$2,-1+SUMPRODUCT(MAX(ROW(E3920:E$2)*(E3921=E3920:E$2)))))</f>
        <v> </v>
      </c>
      <c r="J3921" s="26" t="str">
        <f>IF(OR(E3921="",E3921="!!!",F3921="NEW"),"",COUNTBLANK(OFFSET(A$1,,,SUMPRODUCT(MAX(ROW(E$2:E3921)*(E3921=E$2:E3921)))))-COUNTBLANK(OFFSET(A$1,,,SUMPRODUCT(MAX(ROW(E$1:E3920)*(E2=E$1:E3920))))))</f>
        <v> </v>
      </c>
      <c r="K3921" s="26" t="str">
        <f>IF(OR(E3921="",E3921="!!!",F3921="NEW"),"",INDEX(J$1:J3920,SUMPRODUCT(MAX(ROW(E$1:E3920)*(E3921=E$1:E3920)))))</f>
        <v> </v>
      </c>
      <c r="L3921" s="27"/>
    </row>
    <row r="3922" spans="1:12">
      <c r="A3922" s="20" t="s">
        <v>1124</v>
      </c>
      <c r="E3922" s="22">
        <f>IF(D3922="?OLD","!!!","")</f>
        <v/>
      </c>
      <c r="F3922" s="23" t="str">
        <f>IF(OR(E3922="",E3922="!!!"),"",IF(NOT(ISNA(VLOOKUP(E3922,E$1:E3921,1,FALSE()))),"OLD",IF(AND(E3922&lt;&gt;"",E3922&lt;&gt;"!!!"),"NEW","")))</f>
        <v> </v>
      </c>
      <c r="G3922" s="24" t="str">
        <f>IF(OR(E3922="",E3922="!!!"),"",IF(OR(J3922=0,AND(J3922=1,K3922=1),AND(J3922=1,I3922="SBJ"),AND(J3922=1,I3922=0)),"?IN_FOCUS",IF(J3922&lt;=2,"?ACTIVATED",IF(J3922&lt;&gt;"","?FAMILIAR",IF(F3922="NEW",IF(ISNA(VLOOKUP(E3922,#REF!,1,FALSE())),"?TYPE_IDENTIFIABLE","?REFERENTIAL"),"_")))))</f>
        <v> </v>
      </c>
      <c r="H3922" s="25" t="str">
        <f>IF(J3922&lt;&gt;1,"",IF(I3922="SBJ","CB","?"))</f>
        <v> </v>
      </c>
      <c r="I3922" s="26" t="str">
        <f>IF(OR(E3922="",E3922="!!!",F3922="NEW"),"",INDEX(B3921:B$2,-1+SUMPRODUCT(MAX(ROW(E3921:E$2)*(E3922=E3921:E$2)))))</f>
        <v> </v>
      </c>
      <c r="J3922" s="26" t="str">
        <f>IF(OR(E3922="",E3922="!!!",F3922="NEW"),"",COUNTBLANK(OFFSET(A$1,,,SUMPRODUCT(MAX(ROW(E$2:E3922)*(E3922=E$2:E3922)))))-COUNTBLANK(OFFSET(A$1,,,SUMPRODUCT(MAX(ROW(E$1:E3921)*(E2=E$1:E3921))))))</f>
        <v> </v>
      </c>
      <c r="K3922" s="26" t="str">
        <f>IF(OR(E3922="",E3922="!!!",F3922="NEW"),"",INDEX(J$1:J3921,SUMPRODUCT(MAX(ROW(E$1:E3921)*(E3922=E$1:E3921)))))</f>
        <v> </v>
      </c>
      <c r="L3922" s="27"/>
    </row>
    <row r="3923" spans="1:12">
      <c r="A3923" s="20" t="s">
        <v>1413</v>
      </c>
      <c r="E3923" s="22">
        <f>IF(D3923="?OLD","!!!","")</f>
        <v/>
      </c>
      <c r="F3923" s="23" t="str">
        <f>IF(OR(E3923="",E3923="!!!"),"",IF(NOT(ISNA(VLOOKUP(E3923,E$1:E3922,1,FALSE()))),"OLD",IF(AND(E3923&lt;&gt;"",E3923&lt;&gt;"!!!"),"NEW","")))</f>
        <v> </v>
      </c>
      <c r="G3923" s="24" t="str">
        <f>IF(OR(E3923="",E3923="!!!"),"",IF(OR(J3923=0,AND(J3923=1,K3923=1),AND(J3923=1,I3923="SBJ"),AND(J3923=1,I3923=0)),"?IN_FOCUS",IF(J3923&lt;=2,"?ACTIVATED",IF(J3923&lt;&gt;"","?FAMILIAR",IF(F3923="NEW",IF(ISNA(VLOOKUP(E3923,#REF!,1,FALSE())),"?TYPE_IDENTIFIABLE","?REFERENTIAL"),"_")))))</f>
        <v> </v>
      </c>
      <c r="H3923" s="25" t="str">
        <f>IF(J3923&lt;&gt;1,"",IF(I3923="SBJ","CB","?"))</f>
        <v> </v>
      </c>
      <c r="I3923" s="26" t="str">
        <f>IF(OR(E3923="",E3923="!!!",F3923="NEW"),"",INDEX(B3922:B$2,-1+SUMPRODUCT(MAX(ROW(E3922:E$2)*(E3923=E3922:E$2)))))</f>
        <v> </v>
      </c>
      <c r="J3923" s="26" t="str">
        <f>IF(OR(E3923="",E3923="!!!",F3923="NEW"),"",COUNTBLANK(OFFSET(A$1,,,SUMPRODUCT(MAX(ROW(E$2:E3923)*(E3923=E$2:E3923)))))-COUNTBLANK(OFFSET(A$1,,,SUMPRODUCT(MAX(ROW(E$1:E3922)*(E2=E$1:E3922))))))</f>
        <v> </v>
      </c>
      <c r="K3923" s="26" t="str">
        <f>IF(OR(E3923="",E3923="!!!",F3923="NEW"),"",INDEX(J$1:J3922,SUMPRODUCT(MAX(ROW(E$1:E3922)*(E3923=E$1:E3922)))))</f>
        <v> </v>
      </c>
      <c r="L3923" s="27"/>
    </row>
    <row r="3924" spans="1:12">
      <c r="A3924" s="20" t="s">
        <v>1287</v>
      </c>
      <c r="E3924" s="22">
        <f>IF(D3924="?OLD","!!!","")</f>
        <v/>
      </c>
      <c r="F3924" s="23" t="str">
        <f>IF(OR(E3924="",E3924="!!!"),"",IF(NOT(ISNA(VLOOKUP(E3924,E$1:E3923,1,FALSE()))),"OLD",IF(AND(E3924&lt;&gt;"",E3924&lt;&gt;"!!!"),"NEW","")))</f>
        <v> </v>
      </c>
      <c r="G3924" s="24" t="str">
        <f>IF(OR(E3924="",E3924="!!!"),"",IF(OR(J3924=0,AND(J3924=1,K3924=1),AND(J3924=1,I3924="SBJ"),AND(J3924=1,I3924=0)),"?IN_FOCUS",IF(J3924&lt;=2,"?ACTIVATED",IF(J3924&lt;&gt;"","?FAMILIAR",IF(F3924="NEW",IF(ISNA(VLOOKUP(E3924,#REF!,1,FALSE())),"?TYPE_IDENTIFIABLE","?REFERENTIAL"),"_")))))</f>
        <v> </v>
      </c>
      <c r="H3924" s="25" t="str">
        <f>IF(J3924&lt;&gt;1,"",IF(I3924="SBJ","CB","?"))</f>
        <v> </v>
      </c>
      <c r="I3924" s="26" t="str">
        <f>IF(OR(E3924="",E3924="!!!",F3924="NEW"),"",INDEX(B3923:B$2,-1+SUMPRODUCT(MAX(ROW(E3923:E$2)*(E3924=E3923:E$2)))))</f>
        <v> </v>
      </c>
      <c r="J3924" s="26" t="str">
        <f>IF(OR(E3924="",E3924="!!!",F3924="NEW"),"",COUNTBLANK(OFFSET(A$1,,,SUMPRODUCT(MAX(ROW(E$2:E3924)*(E3924=E$2:E3924)))))-COUNTBLANK(OFFSET(A$1,,,SUMPRODUCT(MAX(ROW(E$1:E3923)*(E2=E$1:E3923))))))</f>
        <v> </v>
      </c>
      <c r="K3924" s="26" t="str">
        <f>IF(OR(E3924="",E3924="!!!",F3924="NEW"),"",INDEX(J$1:J3923,SUMPRODUCT(MAX(ROW(E$1:E3923)*(E3924=E$1:E3923)))))</f>
        <v> </v>
      </c>
      <c r="L3924" s="27"/>
    </row>
    <row r="3925" spans="1:12">
      <c r="A3925" s="20" t="s">
        <v>1036</v>
      </c>
      <c r="E3925" s="22">
        <f>IF(D3925="?OLD","!!!","")</f>
        <v/>
      </c>
      <c r="F3925" s="23" t="str">
        <f>IF(OR(E3925="",E3925="!!!"),"",IF(NOT(ISNA(VLOOKUP(E3925,E$1:E3924,1,FALSE()))),"OLD",IF(AND(E3925&lt;&gt;"",E3925&lt;&gt;"!!!"),"NEW","")))</f>
        <v> </v>
      </c>
      <c r="G3925" s="24" t="str">
        <f>IF(OR(E3925="",E3925="!!!"),"",IF(OR(J3925=0,AND(J3925=1,K3925=1),AND(J3925=1,I3925="SBJ"),AND(J3925=1,I3925=0)),"?IN_FOCUS",IF(J3925&lt;=2,"?ACTIVATED",IF(J3925&lt;&gt;"","?FAMILIAR",IF(F3925="NEW",IF(ISNA(VLOOKUP(E3925,#REF!,1,FALSE())),"?TYPE_IDENTIFIABLE","?REFERENTIAL"),"_")))))</f>
        <v> </v>
      </c>
      <c r="H3925" s="25" t="str">
        <f>IF(J3925&lt;&gt;1,"",IF(I3925="SBJ","CB","?"))</f>
        <v> </v>
      </c>
      <c r="I3925" s="26" t="str">
        <f>IF(OR(E3925="",E3925="!!!",F3925="NEW"),"",INDEX(B3924:B$2,-1+SUMPRODUCT(MAX(ROW(E3924:E$2)*(E3925=E3924:E$2)))))</f>
        <v> </v>
      </c>
      <c r="J3925" s="26" t="str">
        <f>IF(OR(E3925="",E3925="!!!",F3925="NEW"),"",COUNTBLANK(OFFSET(A$1,,,SUMPRODUCT(MAX(ROW(E$2:E3925)*(E3925=E$2:E3925)))))-COUNTBLANK(OFFSET(A$1,,,SUMPRODUCT(MAX(ROW(E$1:E3924)*(E2=E$1:E3924))))))</f>
        <v> </v>
      </c>
      <c r="K3925" s="26" t="str">
        <f>IF(OR(E3925="",E3925="!!!",F3925="NEW"),"",INDEX(J$1:J3924,SUMPRODUCT(MAX(ROW(E$1:E3924)*(E3925=E$1:E3924)))))</f>
        <v> </v>
      </c>
      <c r="L3925" s="27"/>
    </row>
    <row r="3926" spans="1:12">
      <c r="A3926" s="20" t="s">
        <v>1027</v>
      </c>
      <c r="E3926" s="22">
        <f>IF(D3926="?OLD","!!!","")</f>
        <v/>
      </c>
      <c r="F3926" s="23" t="str">
        <f>IF(OR(E3926="",E3926="!!!"),"",IF(NOT(ISNA(VLOOKUP(E3926,E$1:E3925,1,FALSE()))),"OLD",IF(AND(E3926&lt;&gt;"",E3926&lt;&gt;"!!!"),"NEW","")))</f>
        <v> </v>
      </c>
      <c r="G3926" s="24" t="str">
        <f>IF(OR(E3926="",E3926="!!!"),"",IF(OR(J3926=0,AND(J3926=1,K3926=1),AND(J3926=1,I3926="SBJ"),AND(J3926=1,I3926=0)),"?IN_FOCUS",IF(J3926&lt;=2,"?ACTIVATED",IF(J3926&lt;&gt;"","?FAMILIAR",IF(F3926="NEW",IF(ISNA(VLOOKUP(E3926,#REF!,1,FALSE())),"?TYPE_IDENTIFIABLE","?REFERENTIAL"),"_")))))</f>
        <v> </v>
      </c>
      <c r="H3926" s="25" t="str">
        <f>IF(J3926&lt;&gt;1,"",IF(I3926="SBJ","CB","?"))</f>
        <v> </v>
      </c>
      <c r="I3926" s="26" t="str">
        <f>IF(OR(E3926="",E3926="!!!",F3926="NEW"),"",INDEX(B3925:B$2,-1+SUMPRODUCT(MAX(ROW(E3925:E$2)*(E3926=E3925:E$2)))))</f>
        <v> </v>
      </c>
      <c r="J3926" s="26" t="str">
        <f>IF(OR(E3926="",E3926="!!!",F3926="NEW"),"",COUNTBLANK(OFFSET(A$1,,,SUMPRODUCT(MAX(ROW(E$2:E3926)*(E3926=E$2:E3926)))))-COUNTBLANK(OFFSET(A$1,,,SUMPRODUCT(MAX(ROW(E$1:E3925)*(E2=E$1:E3925))))))</f>
        <v> </v>
      </c>
      <c r="K3926" s="26" t="str">
        <f>IF(OR(E3926="",E3926="!!!",F3926="NEW"),"",INDEX(J$1:J3925,SUMPRODUCT(MAX(ROW(E$1:E3925)*(E3926=E$1:E3925)))))</f>
        <v> </v>
      </c>
      <c r="L3926" s="27"/>
    </row>
    <row r="3927" spans="1:12">
      <c r="A3927" s="20" t="s">
        <v>2158</v>
      </c>
      <c r="B3927" s="21" t="s">
        <v>1022</v>
      </c>
      <c r="C3927" s="21" t="s">
        <v>1017</v>
      </c>
      <c r="D3927" s="21" t="s">
        <v>1007</v>
      </c>
      <c r="E3927" s="22">
        <f>IF(D3927="?OLD","!!!","")</f>
        <v/>
      </c>
      <c r="F3927" s="23" t="str">
        <f>IF(OR(E3927="",E3927="!!!"),"",IF(NOT(ISNA(VLOOKUP(E3927,E$1:E3926,1,FALSE()))),"OLD",IF(AND(E3927&lt;&gt;"",E3927&lt;&gt;"!!!"),"NEW","")))</f>
        <v> </v>
      </c>
      <c r="G3927" s="24" t="str">
        <f>IF(OR(E3927="",E3927="!!!"),"",IF(OR(J3927=0,AND(J3927=1,K3927=1),AND(J3927=1,I3927="SBJ"),AND(J3927=1,I3927=0)),"?IN_FOCUS",IF(J3927&lt;=2,"?ACTIVATED",IF(J3927&lt;&gt;"","?FAMILIAR",IF(F3927="NEW",IF(ISNA(VLOOKUP(E3927,#REF!,1,FALSE())),"?TYPE_IDENTIFIABLE","?REFERENTIAL"),"_")))))</f>
        <v> </v>
      </c>
      <c r="H3927" s="25" t="str">
        <f>IF(J3927&lt;&gt;1,"",IF(I3927="SBJ","CB","?"))</f>
        <v> </v>
      </c>
      <c r="I3927" s="26" t="str">
        <f>IF(OR(E3927="",E3927="!!!",F3927="NEW"),"",INDEX(B3926:B$2,-1+SUMPRODUCT(MAX(ROW(E3926:E$2)*(E3927=E3926:E$2)))))</f>
        <v> </v>
      </c>
      <c r="J3927" s="26" t="str">
        <f>IF(OR(E3927="",E3927="!!!",F3927="NEW"),"",COUNTBLANK(OFFSET(A$1,,,SUMPRODUCT(MAX(ROW(E$2:E3927)*(E3927=E$2:E3927)))))-COUNTBLANK(OFFSET(A$1,,,SUMPRODUCT(MAX(ROW(E$1:E3926)*(E2=E$1:E3926))))))</f>
        <v> </v>
      </c>
      <c r="K3927" s="26" t="str">
        <f>IF(OR(E3927="",E3927="!!!",F3927="NEW"),"",INDEX(J$1:J3926,SUMPRODUCT(MAX(ROW(E$1:E3926)*(E3927=E$1:E3926)))))</f>
        <v> </v>
      </c>
      <c r="L3927" s="27"/>
    </row>
    <row r="3928" spans="1:12">
      <c r="A3928" s="20" t="s">
        <v>2161</v>
      </c>
      <c r="E3928" s="22">
        <f>IF(D3928="?OLD","!!!","")</f>
        <v/>
      </c>
      <c r="F3928" s="23" t="str">
        <f>IF(OR(E3928="",E3928="!!!"),"",IF(NOT(ISNA(VLOOKUP(E3928,E$1:E3927,1,FALSE()))),"OLD",IF(AND(E3928&lt;&gt;"",E3928&lt;&gt;"!!!"),"NEW","")))</f>
        <v> </v>
      </c>
      <c r="G3928" s="24" t="str">
        <f>IF(OR(E3928="",E3928="!!!"),"",IF(OR(J3928=0,AND(J3928=1,K3928=1),AND(J3928=1,I3928="SBJ"),AND(J3928=1,I3928=0)),"?IN_FOCUS",IF(J3928&lt;=2,"?ACTIVATED",IF(J3928&lt;&gt;"","?FAMILIAR",IF(F3928="NEW",IF(ISNA(VLOOKUP(E3928,#REF!,1,FALSE())),"?TYPE_IDENTIFIABLE","?REFERENTIAL"),"_")))))</f>
        <v> </v>
      </c>
      <c r="H3928" s="25" t="str">
        <f>IF(J3928&lt;&gt;1,"",IF(I3928="SBJ","CB","?"))</f>
        <v> </v>
      </c>
      <c r="I3928" s="26" t="str">
        <f>IF(OR(E3928="",E3928="!!!",F3928="NEW"),"",INDEX(B3927:B$2,-1+SUMPRODUCT(MAX(ROW(E3927:E$2)*(E3928=E3927:E$2)))))</f>
        <v> </v>
      </c>
      <c r="J3928" s="26" t="str">
        <f>IF(OR(E3928="",E3928="!!!",F3928="NEW"),"",COUNTBLANK(OFFSET(A$1,,,SUMPRODUCT(MAX(ROW(E$2:E3928)*(E3928=E$2:E3928)))))-COUNTBLANK(OFFSET(A$1,,,SUMPRODUCT(MAX(ROW(E$1:E3927)*(E2=E$1:E3927))))))</f>
        <v> </v>
      </c>
      <c r="K3928" s="26" t="str">
        <f>IF(OR(E3928="",E3928="!!!",F3928="NEW"),"",INDEX(J$1:J3927,SUMPRODUCT(MAX(ROW(E$1:E3927)*(E3928=E$1:E3927)))))</f>
        <v> </v>
      </c>
      <c r="L3928" s="27"/>
    </row>
    <row r="3929" spans="1:12">
      <c r="A3929" s="20" t="s">
        <v>1018</v>
      </c>
      <c r="E3929" s="22">
        <f>IF(D3929="?OLD","!!!","")</f>
        <v/>
      </c>
      <c r="F3929" s="23" t="str">
        <f>IF(OR(E3929="",E3929="!!!"),"",IF(NOT(ISNA(VLOOKUP(E3929,E$1:E3928,1,FALSE()))),"OLD",IF(AND(E3929&lt;&gt;"",E3929&lt;&gt;"!!!"),"NEW","")))</f>
        <v> </v>
      </c>
      <c r="G3929" s="24" t="str">
        <f>IF(OR(E3929="",E3929="!!!"),"",IF(OR(J3929=0,AND(J3929=1,K3929=1),AND(J3929=1,I3929="SBJ"),AND(J3929=1,I3929=0)),"?IN_FOCUS",IF(J3929&lt;=2,"?ACTIVATED",IF(J3929&lt;&gt;"","?FAMILIAR",IF(F3929="NEW",IF(ISNA(VLOOKUP(E3929,#REF!,1,FALSE())),"?TYPE_IDENTIFIABLE","?REFERENTIAL"),"_")))))</f>
        <v> </v>
      </c>
      <c r="H3929" s="25" t="str">
        <f>IF(J3929&lt;&gt;1,"",IF(I3929="SBJ","CB","?"))</f>
        <v> </v>
      </c>
      <c r="I3929" s="26" t="str">
        <f>IF(OR(E3929="",E3929="!!!",F3929="NEW"),"",INDEX(B3928:B$2,-1+SUMPRODUCT(MAX(ROW(E3928:E$2)*(E3929=E3928:E$2)))))</f>
        <v> </v>
      </c>
      <c r="J3929" s="26" t="str">
        <f>IF(OR(E3929="",E3929="!!!",F3929="NEW"),"",COUNTBLANK(OFFSET(A$1,,,SUMPRODUCT(MAX(ROW(E$2:E3929)*(E3929=E$2:E3929)))))-COUNTBLANK(OFFSET(A$1,,,SUMPRODUCT(MAX(ROW(E$1:E3928)*(E2=E$1:E3928))))))</f>
        <v> </v>
      </c>
      <c r="K3929" s="26" t="str">
        <f>IF(OR(E3929="",E3929="!!!",F3929="NEW"),"",INDEX(J$1:J3928,SUMPRODUCT(MAX(ROW(E$1:E3928)*(E3929=E$1:E3928)))))</f>
        <v> </v>
      </c>
      <c r="L3929" s="27"/>
    </row>
    <row r="3930" spans="1:12">
      <c r="A3930" s="20" t="s">
        <v>56</v>
      </c>
      <c r="E3930" s="22">
        <f>IF(D3930="?OLD","!!!","")</f>
        <v/>
      </c>
      <c r="F3930" s="23" t="str">
        <f>IF(OR(E3930="",E3930="!!!"),"",IF(NOT(ISNA(VLOOKUP(E3930,E$1:E3929,1,FALSE()))),"OLD",IF(AND(E3930&lt;&gt;"",E3930&lt;&gt;"!!!"),"NEW","")))</f>
        <v> </v>
      </c>
      <c r="G3930" s="24" t="str">
        <f>IF(OR(E3930="",E3930="!!!"),"",IF(OR(J3930=0,AND(J3930=1,K3930=1),AND(J3930=1,I3930="SBJ"),AND(J3930=1,I3930=0)),"?IN_FOCUS",IF(J3930&lt;=2,"?ACTIVATED",IF(J3930&lt;&gt;"","?FAMILIAR",IF(F3930="NEW",IF(ISNA(VLOOKUP(E3930,#REF!,1,FALSE())),"?TYPE_IDENTIFIABLE","?REFERENTIAL"),"_")))))</f>
        <v> </v>
      </c>
      <c r="H3930" s="25" t="str">
        <f>IF(J3930&lt;&gt;1,"",IF(I3930="SBJ","CB","?"))</f>
        <v> </v>
      </c>
      <c r="I3930" s="26" t="str">
        <f>IF(OR(E3930="",E3930="!!!",F3930="NEW"),"",INDEX(B3929:B$2,-1+SUMPRODUCT(MAX(ROW(E3929:E$2)*(E3930=E3929:E$2)))))</f>
        <v> </v>
      </c>
      <c r="J3930" s="26" t="str">
        <f>IF(OR(E3930="",E3930="!!!",F3930="NEW"),"",COUNTBLANK(OFFSET(A$1,,,SUMPRODUCT(MAX(ROW(E$2:E3930)*(E3930=E$2:E3930)))))-COUNTBLANK(OFFSET(A$1,,,SUMPRODUCT(MAX(ROW(E$1:E3929)*(E2=E$1:E3929))))))</f>
        <v> </v>
      </c>
      <c r="K3930" s="26" t="str">
        <f>IF(OR(E3930="",E3930="!!!",F3930="NEW"),"",INDEX(J$1:J3929,SUMPRODUCT(MAX(ROW(E$1:E3929)*(E3930=E$1:E3929)))))</f>
        <v> </v>
      </c>
      <c r="L3930" s="27"/>
    </row>
    <row r="3931" spans="1:12">
      <c r="A3931" s="20" t="s">
        <v>2162</v>
      </c>
      <c r="E3931" s="22">
        <f>IF(D3931="?OLD","!!!","")</f>
        <v/>
      </c>
      <c r="F3931" s="23" t="str">
        <f>IF(OR(E3931="",E3931="!!!"),"",IF(NOT(ISNA(VLOOKUP(E3931,E$1:E3930,1,FALSE()))),"OLD",IF(AND(E3931&lt;&gt;"",E3931&lt;&gt;"!!!"),"NEW","")))</f>
        <v> </v>
      </c>
      <c r="G3931" s="24" t="str">
        <f>IF(OR(E3931="",E3931="!!!"),"",IF(OR(J3931=0,AND(J3931=1,K3931=1),AND(J3931=1,I3931="SBJ"),AND(J3931=1,I3931=0)),"?IN_FOCUS",IF(J3931&lt;=2,"?ACTIVATED",IF(J3931&lt;&gt;"","?FAMILIAR",IF(F3931="NEW",IF(ISNA(VLOOKUP(E3931,#REF!,1,FALSE())),"?TYPE_IDENTIFIABLE","?REFERENTIAL"),"_")))))</f>
        <v> </v>
      </c>
      <c r="H3931" s="25" t="str">
        <f>IF(J3931&lt;&gt;1,"",IF(I3931="SBJ","CB","?"))</f>
        <v> </v>
      </c>
      <c r="I3931" s="26" t="str">
        <f>IF(OR(E3931="",E3931="!!!",F3931="NEW"),"",INDEX(B3930:B$2,-1+SUMPRODUCT(MAX(ROW(E3930:E$2)*(E3931=E3930:E$2)))))</f>
        <v> </v>
      </c>
      <c r="J3931" s="26" t="str">
        <f>IF(OR(E3931="",E3931="!!!",F3931="NEW"),"",COUNTBLANK(OFFSET(A$1,,,SUMPRODUCT(MAX(ROW(E$2:E3931)*(E3931=E$2:E3931)))))-COUNTBLANK(OFFSET(A$1,,,SUMPRODUCT(MAX(ROW(E$1:E3930)*(E2=E$1:E3930))))))</f>
        <v> </v>
      </c>
      <c r="K3931" s="26" t="str">
        <f>IF(OR(E3931="",E3931="!!!",F3931="NEW"),"",INDEX(J$1:J3930,SUMPRODUCT(MAX(ROW(E$1:E3930)*(E3931=E$1:E3930)))))</f>
        <v> </v>
      </c>
      <c r="L3931" s="27"/>
    </row>
    <row r="3932" spans="1:12">
      <c r="A3932" s="20" t="s">
        <v>1124</v>
      </c>
      <c r="E3932" s="22">
        <f>IF(D3932="?OLD","!!!","")</f>
        <v/>
      </c>
      <c r="F3932" s="23" t="str">
        <f>IF(OR(E3932="",E3932="!!!"),"",IF(NOT(ISNA(VLOOKUP(E3932,E$1:E3931,1,FALSE()))),"OLD",IF(AND(E3932&lt;&gt;"",E3932&lt;&gt;"!!!"),"NEW","")))</f>
        <v> </v>
      </c>
      <c r="G3932" s="24" t="str">
        <f>IF(OR(E3932="",E3932="!!!"),"",IF(OR(J3932=0,AND(J3932=1,K3932=1),AND(J3932=1,I3932="SBJ"),AND(J3932=1,I3932=0)),"?IN_FOCUS",IF(J3932&lt;=2,"?ACTIVATED",IF(J3932&lt;&gt;"","?FAMILIAR",IF(F3932="NEW",IF(ISNA(VLOOKUP(E3932,#REF!,1,FALSE())),"?TYPE_IDENTIFIABLE","?REFERENTIAL"),"_")))))</f>
        <v> </v>
      </c>
      <c r="H3932" s="25" t="str">
        <f>IF(J3932&lt;&gt;1,"",IF(I3932="SBJ","CB","?"))</f>
        <v> </v>
      </c>
      <c r="I3932" s="26" t="str">
        <f>IF(OR(E3932="",E3932="!!!",F3932="NEW"),"",INDEX(B3931:B$2,-1+SUMPRODUCT(MAX(ROW(E3931:E$2)*(E3932=E3931:E$2)))))</f>
        <v> </v>
      </c>
      <c r="J3932" s="26" t="str">
        <f>IF(OR(E3932="",E3932="!!!",F3932="NEW"),"",COUNTBLANK(OFFSET(A$1,,,SUMPRODUCT(MAX(ROW(E$2:E3932)*(E3932=E$2:E3932)))))-COUNTBLANK(OFFSET(A$1,,,SUMPRODUCT(MAX(ROW(E$1:E3931)*(E2=E$1:E3931))))))</f>
        <v> </v>
      </c>
      <c r="K3932" s="26" t="str">
        <f>IF(OR(E3932="",E3932="!!!",F3932="NEW"),"",INDEX(J$1:J3931,SUMPRODUCT(MAX(ROW(E$1:E3931)*(E3932=E$1:E3931)))))</f>
        <v> </v>
      </c>
      <c r="L3932" s="27"/>
    </row>
    <row r="3933" spans="1:12">
      <c r="A3933" s="20" t="s">
        <v>2163</v>
      </c>
      <c r="E3933" s="22">
        <f>IF(D3933="?OLD","!!!","")</f>
        <v/>
      </c>
      <c r="F3933" s="23" t="str">
        <f>IF(OR(E3933="",E3933="!!!"),"",IF(NOT(ISNA(VLOOKUP(E3933,E$1:E3932,1,FALSE()))),"OLD",IF(AND(E3933&lt;&gt;"",E3933&lt;&gt;"!!!"),"NEW","")))</f>
        <v> </v>
      </c>
      <c r="G3933" s="24" t="str">
        <f>IF(OR(E3933="",E3933="!!!"),"",IF(OR(J3933=0,AND(J3933=1,K3933=1),AND(J3933=1,I3933="SBJ"),AND(J3933=1,I3933=0)),"?IN_FOCUS",IF(J3933&lt;=2,"?ACTIVATED",IF(J3933&lt;&gt;"","?FAMILIAR",IF(F3933="NEW",IF(ISNA(VLOOKUP(E3933,#REF!,1,FALSE())),"?TYPE_IDENTIFIABLE","?REFERENTIAL"),"_")))))</f>
        <v> </v>
      </c>
      <c r="H3933" s="25" t="str">
        <f>IF(J3933&lt;&gt;1,"",IF(I3933="SBJ","CB","?"))</f>
        <v> </v>
      </c>
      <c r="I3933" s="26" t="str">
        <f>IF(OR(E3933="",E3933="!!!",F3933="NEW"),"",INDEX(B3932:B$2,-1+SUMPRODUCT(MAX(ROW(E3932:E$2)*(E3933=E3932:E$2)))))</f>
        <v> </v>
      </c>
      <c r="J3933" s="26" t="str">
        <f>IF(OR(E3933="",E3933="!!!",F3933="NEW"),"",COUNTBLANK(OFFSET(A$1,,,SUMPRODUCT(MAX(ROW(E$2:E3933)*(E3933=E$2:E3933)))))-COUNTBLANK(OFFSET(A$1,,,SUMPRODUCT(MAX(ROW(E$1:E3932)*(E2=E$1:E3932))))))</f>
        <v> </v>
      </c>
      <c r="K3933" s="26" t="str">
        <f>IF(OR(E3933="",E3933="!!!",F3933="NEW"),"",INDEX(J$1:J3932,SUMPRODUCT(MAX(ROW(E$1:E3932)*(E3933=E$1:E3932)))))</f>
        <v> </v>
      </c>
      <c r="L3933" s="27"/>
    </row>
    <row r="3934" spans="1:12">
      <c r="A3934" s="20" t="s">
        <v>2002</v>
      </c>
      <c r="E3934" s="22">
        <f>IF(D3934="?OLD","!!!","")</f>
        <v/>
      </c>
      <c r="F3934" s="23" t="str">
        <f>IF(OR(E3934="",E3934="!!!"),"",IF(NOT(ISNA(VLOOKUP(E3934,E$1:E3933,1,FALSE()))),"OLD",IF(AND(E3934&lt;&gt;"",E3934&lt;&gt;"!!!"),"NEW","")))</f>
        <v> </v>
      </c>
      <c r="G3934" s="24" t="str">
        <f>IF(OR(E3934="",E3934="!!!"),"",IF(OR(J3934=0,AND(J3934=1,K3934=1),AND(J3934=1,I3934="SBJ"),AND(J3934=1,I3934=0)),"?IN_FOCUS",IF(J3934&lt;=2,"?ACTIVATED",IF(J3934&lt;&gt;"","?FAMILIAR",IF(F3934="NEW",IF(ISNA(VLOOKUP(E3934,#REF!,1,FALSE())),"?TYPE_IDENTIFIABLE","?REFERENTIAL"),"_")))))</f>
        <v> </v>
      </c>
      <c r="H3934" s="25" t="str">
        <f>IF(J3934&lt;&gt;1,"",IF(I3934="SBJ","CB","?"))</f>
        <v> </v>
      </c>
      <c r="I3934" s="26" t="str">
        <f>IF(OR(E3934="",E3934="!!!",F3934="NEW"),"",INDEX(B3933:B$2,-1+SUMPRODUCT(MAX(ROW(E3933:E$2)*(E3934=E3933:E$2)))))</f>
        <v> </v>
      </c>
      <c r="J3934" s="26" t="str">
        <f>IF(OR(E3934="",E3934="!!!",F3934="NEW"),"",COUNTBLANK(OFFSET(A$1,,,SUMPRODUCT(MAX(ROW(E$2:E3934)*(E3934=E$2:E3934)))))-COUNTBLANK(OFFSET(A$1,,,SUMPRODUCT(MAX(ROW(E$1:E3933)*(E2=E$1:E3933))))))</f>
        <v> </v>
      </c>
      <c r="K3934" s="26" t="str">
        <f>IF(OR(E3934="",E3934="!!!",F3934="NEW"),"",INDEX(J$1:J3933,SUMPRODUCT(MAX(ROW(E$1:E3933)*(E3934=E$1:E3933)))))</f>
        <v> </v>
      </c>
      <c r="L3934" s="27"/>
    </row>
    <row r="3935" spans="1:12">
      <c r="A3935" s="20" t="s">
        <v>2164</v>
      </c>
      <c r="B3935" s="21" t="s">
        <v>1029</v>
      </c>
      <c r="C3935" s="21" t="s">
        <v>1013</v>
      </c>
      <c r="D3935" s="21" t="s">
        <v>1007</v>
      </c>
      <c r="E3935" s="22">
        <f>IF(D3935="?OLD","!!!","")</f>
        <v/>
      </c>
      <c r="F3935" s="23" t="str">
        <f>IF(OR(E3935="",E3935="!!!"),"",IF(NOT(ISNA(VLOOKUP(E3935,E$1:E3934,1,FALSE()))),"OLD",IF(AND(E3935&lt;&gt;"",E3935&lt;&gt;"!!!"),"NEW","")))</f>
        <v> </v>
      </c>
      <c r="G3935" s="24" t="str">
        <f>IF(OR(E3935="",E3935="!!!"),"",IF(OR(J3935=0,AND(J3935=1,K3935=1),AND(J3935=1,I3935="SBJ"),AND(J3935=1,I3935=0)),"?IN_FOCUS",IF(J3935&lt;=2,"?ACTIVATED",IF(J3935&lt;&gt;"","?FAMILIAR",IF(F3935="NEW",IF(ISNA(VLOOKUP(E3935,#REF!,1,FALSE())),"?TYPE_IDENTIFIABLE","?REFERENTIAL"),"_")))))</f>
        <v> </v>
      </c>
      <c r="H3935" s="25" t="str">
        <f>IF(J3935&lt;&gt;1,"",IF(I3935="SBJ","CB","?"))</f>
        <v> </v>
      </c>
      <c r="I3935" s="26" t="str">
        <f>IF(OR(E3935="",E3935="!!!",F3935="NEW"),"",INDEX(B3934:B$2,-1+SUMPRODUCT(MAX(ROW(E3934:E$2)*(E3935=E3934:E$2)))))</f>
        <v> </v>
      </c>
      <c r="J3935" s="26" t="str">
        <f>IF(OR(E3935="",E3935="!!!",F3935="NEW"),"",COUNTBLANK(OFFSET(A$1,,,SUMPRODUCT(MAX(ROW(E$2:E3935)*(E3935=E$2:E3935)))))-COUNTBLANK(OFFSET(A$1,,,SUMPRODUCT(MAX(ROW(E$1:E3934)*(E2=E$1:E3934))))))</f>
        <v> </v>
      </c>
      <c r="K3935" s="26" t="str">
        <f>IF(OR(E3935="",E3935="!!!",F3935="NEW"),"",INDEX(J$1:J3934,SUMPRODUCT(MAX(ROW(E$1:E3934)*(E3935=E$1:E3934)))))</f>
        <v> </v>
      </c>
      <c r="L3935" s="27"/>
    </row>
    <row r="3936" spans="1:12">
      <c r="A3936" s="20" t="s">
        <v>1020</v>
      </c>
      <c r="E3936" s="22">
        <f>IF(D3936="?OLD","!!!","")</f>
        <v/>
      </c>
      <c r="F3936" s="23" t="str">
        <f>IF(OR(E3936="",E3936="!!!"),"",IF(NOT(ISNA(VLOOKUP(E3936,E$1:E3935,1,FALSE()))),"OLD",IF(AND(E3936&lt;&gt;"",E3936&lt;&gt;"!!!"),"NEW","")))</f>
        <v> </v>
      </c>
      <c r="G3936" s="24" t="str">
        <f>IF(OR(E3936="",E3936="!!!"),"",IF(OR(J3936=0,AND(J3936=1,K3936=1),AND(J3936=1,I3936="SBJ"),AND(J3936=1,I3936=0)),"?IN_FOCUS",IF(J3936&lt;=2,"?ACTIVATED",IF(J3936&lt;&gt;"","?FAMILIAR",IF(F3936="NEW",IF(ISNA(VLOOKUP(E3936,#REF!,1,FALSE())),"?TYPE_IDENTIFIABLE","?REFERENTIAL"),"_")))))</f>
        <v> </v>
      </c>
      <c r="H3936" s="25" t="str">
        <f>IF(J3936&lt;&gt;1,"",IF(I3936="SBJ","CB","?"))</f>
        <v> </v>
      </c>
      <c r="I3936" s="26" t="str">
        <f>IF(OR(E3936="",E3936="!!!",F3936="NEW"),"",INDEX(B3935:B$2,-1+SUMPRODUCT(MAX(ROW(E3935:E$2)*(E3936=E3935:E$2)))))</f>
        <v> </v>
      </c>
      <c r="J3936" s="26" t="str">
        <f>IF(OR(E3936="",E3936="!!!",F3936="NEW"),"",COUNTBLANK(OFFSET(A$1,,,SUMPRODUCT(MAX(ROW(E$2:E3936)*(E3936=E$2:E3936)))))-COUNTBLANK(OFFSET(A$1,,,SUMPRODUCT(MAX(ROW(E$1:E3935)*(E2=E$1:E3935))))))</f>
        <v> </v>
      </c>
      <c r="K3936" s="26" t="str">
        <f>IF(OR(E3936="",E3936="!!!",F3936="NEW"),"",INDEX(J$1:J3935,SUMPRODUCT(MAX(ROW(E$1:E3935)*(E3936=E$1:E3935)))))</f>
        <v> </v>
      </c>
      <c r="L3936" s="27"/>
    </row>
    <row r="3937" spans="1:12">
      <c r="A3937" s="20" t="s">
        <v>1020</v>
      </c>
      <c r="E3937" s="22">
        <f>IF(D3937="?OLD","!!!","")</f>
        <v/>
      </c>
      <c r="F3937" s="23" t="str">
        <f>IF(OR(E3937="",E3937="!!!"),"",IF(NOT(ISNA(VLOOKUP(E3937,E$1:E3936,1,FALSE()))),"OLD",IF(AND(E3937&lt;&gt;"",E3937&lt;&gt;"!!!"),"NEW","")))</f>
        <v> </v>
      </c>
      <c r="G3937" s="24" t="str">
        <f>IF(OR(E3937="",E3937="!!!"),"",IF(OR(J3937=0,AND(J3937=1,K3937=1),AND(J3937=1,I3937="SBJ"),AND(J3937=1,I3937=0)),"?IN_FOCUS",IF(J3937&lt;=2,"?ACTIVATED",IF(J3937&lt;&gt;"","?FAMILIAR",IF(F3937="NEW",IF(ISNA(VLOOKUP(E3937,#REF!,1,FALSE())),"?TYPE_IDENTIFIABLE","?REFERENTIAL"),"_")))))</f>
        <v> </v>
      </c>
      <c r="H3937" s="25" t="str">
        <f>IF(J3937&lt;&gt;1,"",IF(I3937="SBJ","CB","?"))</f>
        <v> </v>
      </c>
      <c r="I3937" s="26" t="str">
        <f>IF(OR(E3937="",E3937="!!!",F3937="NEW"),"",INDEX(B3936:B$2,-1+SUMPRODUCT(MAX(ROW(E3936:E$2)*(E3937=E3936:E$2)))))</f>
        <v> </v>
      </c>
      <c r="J3937" s="26" t="str">
        <f>IF(OR(E3937="",E3937="!!!",F3937="NEW"),"",COUNTBLANK(OFFSET(A$1,,,SUMPRODUCT(MAX(ROW(E$2:E3937)*(E3937=E$2:E3937)))))-COUNTBLANK(OFFSET(A$1,,,SUMPRODUCT(MAX(ROW(E$1:E3936)*(E2=E$1:E3936))))))</f>
        <v> </v>
      </c>
      <c r="K3937" s="26" t="str">
        <f>IF(OR(E3937="",E3937="!!!",F3937="NEW"),"",INDEX(J$1:J3936,SUMPRODUCT(MAX(ROW(E$1:E3936)*(E3937=E$1:E3936)))))</f>
        <v> </v>
      </c>
      <c r="L3937" s="27"/>
    </row>
    <row r="3938" spans="1:12">
      <c r="A3938" s="20" t="s">
        <v>2165</v>
      </c>
      <c r="B3938" s="21" t="s">
        <v>1033</v>
      </c>
      <c r="C3938" s="21" t="s">
        <v>1013</v>
      </c>
      <c r="D3938" s="21" t="s">
        <v>1007</v>
      </c>
      <c r="E3938" s="22">
        <f>IF(D3938="?OLD","!!!","")</f>
        <v/>
      </c>
      <c r="F3938" s="23" t="str">
        <f>IF(OR(E3938="",E3938="!!!"),"",IF(NOT(ISNA(VLOOKUP(E3938,E$1:E3937,1,FALSE()))),"OLD",IF(AND(E3938&lt;&gt;"",E3938&lt;&gt;"!!!"),"NEW","")))</f>
        <v> </v>
      </c>
      <c r="G3938" s="24" t="str">
        <f>IF(OR(E3938="",E3938="!!!"),"",IF(OR(J3938=0,AND(J3938=1,K3938=1),AND(J3938=1,I3938="SBJ"),AND(J3938=1,I3938=0)),"?IN_FOCUS",IF(J3938&lt;=2,"?ACTIVATED",IF(J3938&lt;&gt;"","?FAMILIAR",IF(F3938="NEW",IF(ISNA(VLOOKUP(E3938,#REF!,1,FALSE())),"?TYPE_IDENTIFIABLE","?REFERENTIAL"),"_")))))</f>
        <v> </v>
      </c>
      <c r="H3938" s="25" t="str">
        <f>IF(J3938&lt;&gt;1,"",IF(I3938="SBJ","CB","?"))</f>
        <v> </v>
      </c>
      <c r="I3938" s="26" t="str">
        <f>IF(OR(E3938="",E3938="!!!",F3938="NEW"),"",INDEX(B3937:B$2,-1+SUMPRODUCT(MAX(ROW(E3937:E$2)*(E3938=E3937:E$2)))))</f>
        <v> </v>
      </c>
      <c r="J3938" s="26" t="str">
        <f>IF(OR(E3938="",E3938="!!!",F3938="NEW"),"",COUNTBLANK(OFFSET(A$1,,,SUMPRODUCT(MAX(ROW(E$2:E3938)*(E3938=E$2:E3938)))))-COUNTBLANK(OFFSET(A$1,,,SUMPRODUCT(MAX(ROW(E$1:E3937)*(E2=E$1:E3937))))))</f>
        <v> </v>
      </c>
      <c r="K3938" s="26" t="str">
        <f>IF(OR(E3938="",E3938="!!!",F3938="NEW"),"",INDEX(J$1:J3937,SUMPRODUCT(MAX(ROW(E$1:E3937)*(E3938=E$1:E3937)))))</f>
        <v> </v>
      </c>
      <c r="L3938" s="27"/>
    </row>
    <row r="3939" spans="1:12">
      <c r="A3939" s="20" t="s">
        <v>1127</v>
      </c>
      <c r="E3939" s="22">
        <f>IF(D3939="?OLD","!!!","")</f>
        <v/>
      </c>
      <c r="F3939" s="23" t="str">
        <f>IF(OR(E3939="",E3939="!!!"),"",IF(NOT(ISNA(VLOOKUP(E3939,E$1:E3938,1,FALSE()))),"OLD",IF(AND(E3939&lt;&gt;"",E3939&lt;&gt;"!!!"),"NEW","")))</f>
        <v> </v>
      </c>
      <c r="G3939" s="24" t="str">
        <f>IF(OR(E3939="",E3939="!!!"),"",IF(OR(J3939=0,AND(J3939=1,K3939=1),AND(J3939=1,I3939="SBJ"),AND(J3939=1,I3939=0)),"?IN_FOCUS",IF(J3939&lt;=2,"?ACTIVATED",IF(J3939&lt;&gt;"","?FAMILIAR",IF(F3939="NEW",IF(ISNA(VLOOKUP(E3939,#REF!,1,FALSE())),"?TYPE_IDENTIFIABLE","?REFERENTIAL"),"_")))))</f>
        <v> </v>
      </c>
      <c r="H3939" s="25" t="str">
        <f>IF(J3939&lt;&gt;1,"",IF(I3939="SBJ","CB","?"))</f>
        <v> </v>
      </c>
      <c r="I3939" s="26" t="str">
        <f>IF(OR(E3939="",E3939="!!!",F3939="NEW"),"",INDEX(B3938:B$2,-1+SUMPRODUCT(MAX(ROW(E3938:E$2)*(E3939=E3938:E$2)))))</f>
        <v> </v>
      </c>
      <c r="J3939" s="26" t="str">
        <f>IF(OR(E3939="",E3939="!!!",F3939="NEW"),"",COUNTBLANK(OFFSET(A$1,,,SUMPRODUCT(MAX(ROW(E$2:E3939)*(E3939=E$2:E3939)))))-COUNTBLANK(OFFSET(A$1,,,SUMPRODUCT(MAX(ROW(E$1:E3938)*(E2=E$1:E3938))))))</f>
        <v> </v>
      </c>
      <c r="K3939" s="26" t="str">
        <f>IF(OR(E3939="",E3939="!!!",F3939="NEW"),"",INDEX(J$1:J3938,SUMPRODUCT(MAX(ROW(E$1:E3938)*(E3939=E$1:E3938)))))</f>
        <v> </v>
      </c>
      <c r="L3939" s="27"/>
    </row>
    <row r="3940" spans="1:12">
      <c r="A3940" s="20" t="s">
        <v>102</v>
      </c>
      <c r="E3940" s="22">
        <f>IF(D3940="?OLD","!!!","")</f>
        <v/>
      </c>
      <c r="F3940" s="23" t="str">
        <f>IF(OR(E3940="",E3940="!!!"),"",IF(NOT(ISNA(VLOOKUP(E3940,E$1:E3939,1,FALSE()))),"OLD",IF(AND(E3940&lt;&gt;"",E3940&lt;&gt;"!!!"),"NEW","")))</f>
        <v> </v>
      </c>
      <c r="G3940" s="24" t="str">
        <f>IF(OR(E3940="",E3940="!!!"),"",IF(OR(J3940=0,AND(J3940=1,K3940=1),AND(J3940=1,I3940="SBJ"),AND(J3940=1,I3940=0)),"?IN_FOCUS",IF(J3940&lt;=2,"?ACTIVATED",IF(J3940&lt;&gt;"","?FAMILIAR",IF(F3940="NEW",IF(ISNA(VLOOKUP(E3940,#REF!,1,FALSE())),"?TYPE_IDENTIFIABLE","?REFERENTIAL"),"_")))))</f>
        <v> </v>
      </c>
      <c r="H3940" s="25" t="str">
        <f>IF(J3940&lt;&gt;1,"",IF(I3940="SBJ","CB","?"))</f>
        <v> </v>
      </c>
      <c r="I3940" s="26" t="str">
        <f>IF(OR(E3940="",E3940="!!!",F3940="NEW"),"",INDEX(B3939:B$2,-1+SUMPRODUCT(MAX(ROW(E3939:E$2)*(E3940=E3939:E$2)))))</f>
        <v> </v>
      </c>
      <c r="J3940" s="26" t="str">
        <f>IF(OR(E3940="",E3940="!!!",F3940="NEW"),"",COUNTBLANK(OFFSET(A$1,,,SUMPRODUCT(MAX(ROW(E$2:E3940)*(E3940=E$2:E3940)))))-COUNTBLANK(OFFSET(A$1,,,SUMPRODUCT(MAX(ROW(E$1:E3939)*(E2=E$1:E3939))))))</f>
        <v> </v>
      </c>
      <c r="K3940" s="26" t="str">
        <f>IF(OR(E3940="",E3940="!!!",F3940="NEW"),"",INDEX(J$1:J3939,SUMPRODUCT(MAX(ROW(E$1:E3939)*(E3940=E$1:E3939)))))</f>
        <v> </v>
      </c>
      <c r="L3940" s="27"/>
    </row>
    <row r="3941" spans="1:12">
      <c r="A3941" s="20" t="s">
        <v>2166</v>
      </c>
      <c r="B3941" s="21" t="s">
        <v>1035</v>
      </c>
      <c r="C3941" s="21" t="s">
        <v>1017</v>
      </c>
      <c r="D3941" s="21" t="s">
        <v>1007</v>
      </c>
      <c r="E3941" s="22">
        <f>IF(D3941="?OLD","!!!","")</f>
        <v/>
      </c>
      <c r="F3941" s="23" t="str">
        <f>IF(OR(E3941="",E3941="!!!"),"",IF(NOT(ISNA(VLOOKUP(E3941,E$1:E3940,1,FALSE()))),"OLD",IF(AND(E3941&lt;&gt;"",E3941&lt;&gt;"!!!"),"NEW","")))</f>
        <v> </v>
      </c>
      <c r="G3941" s="24" t="str">
        <f>IF(OR(E3941="",E3941="!!!"),"",IF(OR(J3941=0,AND(J3941=1,K3941=1),AND(J3941=1,I3941="SBJ"),AND(J3941=1,I3941=0)),"?IN_FOCUS",IF(J3941&lt;=2,"?ACTIVATED",IF(J3941&lt;&gt;"","?FAMILIAR",IF(F3941="NEW",IF(ISNA(VLOOKUP(E3941,#REF!,1,FALSE())),"?TYPE_IDENTIFIABLE","?REFERENTIAL"),"_")))))</f>
        <v> </v>
      </c>
      <c r="H3941" s="25" t="str">
        <f>IF(J3941&lt;&gt;1,"",IF(I3941="SBJ","CB","?"))</f>
        <v> </v>
      </c>
      <c r="I3941" s="26" t="str">
        <f>IF(OR(E3941="",E3941="!!!",F3941="NEW"),"",INDEX(B3940:B$2,-1+SUMPRODUCT(MAX(ROW(E3940:E$2)*(E3941=E3940:E$2)))))</f>
        <v> </v>
      </c>
      <c r="J3941" s="26" t="str">
        <f>IF(OR(E3941="",E3941="!!!",F3941="NEW"),"",COUNTBLANK(OFFSET(A$1,,,SUMPRODUCT(MAX(ROW(E$2:E3941)*(E3941=E$2:E3941)))))-COUNTBLANK(OFFSET(A$1,,,SUMPRODUCT(MAX(ROW(E$1:E3940)*(E2=E$1:E3940))))))</f>
        <v> </v>
      </c>
      <c r="K3941" s="26" t="str">
        <f>IF(OR(E3941="",E3941="!!!",F3941="NEW"),"",INDEX(J$1:J3940,SUMPRODUCT(MAX(ROW(E$1:E3940)*(E3941=E$1:E3940)))))</f>
        <v> </v>
      </c>
      <c r="L3941" s="27"/>
    </row>
    <row r="3942" spans="1:12">
      <c r="A3942" s="20" t="s">
        <v>1018</v>
      </c>
      <c r="E3942" s="22">
        <f>IF(D3942="?OLD","!!!","")</f>
        <v/>
      </c>
      <c r="F3942" s="23" t="str">
        <f>IF(OR(E3942="",E3942="!!!"),"",IF(NOT(ISNA(VLOOKUP(E3942,E$1:E3941,1,FALSE()))),"OLD",IF(AND(E3942&lt;&gt;"",E3942&lt;&gt;"!!!"),"NEW","")))</f>
        <v> </v>
      </c>
      <c r="G3942" s="24" t="str">
        <f>IF(OR(E3942="",E3942="!!!"),"",IF(OR(J3942=0,AND(J3942=1,K3942=1),AND(J3942=1,I3942="SBJ"),AND(J3942=1,I3942=0)),"?IN_FOCUS",IF(J3942&lt;=2,"?ACTIVATED",IF(J3942&lt;&gt;"","?FAMILIAR",IF(F3942="NEW",IF(ISNA(VLOOKUP(E3942,#REF!,1,FALSE())),"?TYPE_IDENTIFIABLE","?REFERENTIAL"),"_")))))</f>
        <v> </v>
      </c>
      <c r="H3942" s="25" t="str">
        <f>IF(J3942&lt;&gt;1,"",IF(I3942="SBJ","CB","?"))</f>
        <v> </v>
      </c>
      <c r="I3942" s="26" t="str">
        <f>IF(OR(E3942="",E3942="!!!",F3942="NEW"),"",INDEX(B3941:B$2,-1+SUMPRODUCT(MAX(ROW(E3941:E$2)*(E3942=E3941:E$2)))))</f>
        <v> </v>
      </c>
      <c r="J3942" s="26" t="str">
        <f>IF(OR(E3942="",E3942="!!!",F3942="NEW"),"",COUNTBLANK(OFFSET(A$1,,,SUMPRODUCT(MAX(ROW(E$2:E3942)*(E3942=E$2:E3942)))))-COUNTBLANK(OFFSET(A$1,,,SUMPRODUCT(MAX(ROW(E$1:E3941)*(E2=E$1:E3941))))))</f>
        <v> </v>
      </c>
      <c r="K3942" s="26" t="str">
        <f>IF(OR(E3942="",E3942="!!!",F3942="NEW"),"",INDEX(J$1:J3941,SUMPRODUCT(MAX(ROW(E$1:E3941)*(E3942=E$1:E3941)))))</f>
        <v> </v>
      </c>
      <c r="L3942" s="27"/>
    </row>
    <row r="3943" spans="1:12">
      <c r="A3943" s="20" t="s">
        <v>2167</v>
      </c>
      <c r="E3943" s="22">
        <f>IF(D3943="?OLD","!!!","")</f>
        <v/>
      </c>
      <c r="F3943" s="23" t="str">
        <f>IF(OR(E3943="",E3943="!!!"),"",IF(NOT(ISNA(VLOOKUP(E3943,E$1:E3942,1,FALSE()))),"OLD",IF(AND(E3943&lt;&gt;"",E3943&lt;&gt;"!!!"),"NEW","")))</f>
        <v> </v>
      </c>
      <c r="G3943" s="24" t="str">
        <f>IF(OR(E3943="",E3943="!!!"),"",IF(OR(J3943=0,AND(J3943=1,K3943=1),AND(J3943=1,I3943="SBJ"),AND(J3943=1,I3943=0)),"?IN_FOCUS",IF(J3943&lt;=2,"?ACTIVATED",IF(J3943&lt;&gt;"","?FAMILIAR",IF(F3943="NEW",IF(ISNA(VLOOKUP(E3943,#REF!,1,FALSE())),"?TYPE_IDENTIFIABLE","?REFERENTIAL"),"_")))))</f>
        <v> </v>
      </c>
      <c r="H3943" s="25" t="str">
        <f>IF(J3943&lt;&gt;1,"",IF(I3943="SBJ","CB","?"))</f>
        <v> </v>
      </c>
      <c r="I3943" s="26" t="str">
        <f>IF(OR(E3943="",E3943="!!!",F3943="NEW"),"",INDEX(B3942:B$2,-1+SUMPRODUCT(MAX(ROW(E3942:E$2)*(E3943=E3942:E$2)))))</f>
        <v> </v>
      </c>
      <c r="J3943" s="26" t="str">
        <f>IF(OR(E3943="",E3943="!!!",F3943="NEW"),"",COUNTBLANK(OFFSET(A$1,,,SUMPRODUCT(MAX(ROW(E$2:E3943)*(E3943=E$2:E3943)))))-COUNTBLANK(OFFSET(A$1,,,SUMPRODUCT(MAX(ROW(E$1:E3942)*(E2=E$1:E3942))))))</f>
        <v> </v>
      </c>
      <c r="K3943" s="26" t="str">
        <f>IF(OR(E3943="",E3943="!!!",F3943="NEW"),"",INDEX(J$1:J3942,SUMPRODUCT(MAX(ROW(E$1:E3942)*(E3943=E$1:E3942)))))</f>
        <v> </v>
      </c>
      <c r="L3943" s="27"/>
    </row>
    <row r="3944" spans="1:12">
      <c r="A3944" s="20" t="s">
        <v>1114</v>
      </c>
      <c r="B3944" s="21" t="s">
        <v>1029</v>
      </c>
      <c r="C3944" s="21" t="s">
        <v>1082</v>
      </c>
      <c r="D3944" s="21" t="s">
        <v>1007</v>
      </c>
      <c r="E3944" s="22">
        <f>IF(D3944="?OLD","!!!","")</f>
        <v/>
      </c>
      <c r="F3944" s="23" t="str">
        <f>IF(OR(E3944="",E3944="!!!"),"",IF(NOT(ISNA(VLOOKUP(E3944,E$1:E3943,1,FALSE()))),"OLD",IF(AND(E3944&lt;&gt;"",E3944&lt;&gt;"!!!"),"NEW","")))</f>
        <v> </v>
      </c>
      <c r="G3944" s="24" t="str">
        <f>IF(OR(E3944="",E3944="!!!"),"",IF(OR(J3944=0,AND(J3944=1,K3944=1),AND(J3944=1,I3944="SBJ"),AND(J3944=1,I3944=0)),"?IN_FOCUS",IF(J3944&lt;=2,"?ACTIVATED",IF(J3944&lt;&gt;"","?FAMILIAR",IF(F3944="NEW",IF(ISNA(VLOOKUP(E3944,#REF!,1,FALSE())),"?TYPE_IDENTIFIABLE","?REFERENTIAL"),"_")))))</f>
        <v> </v>
      </c>
      <c r="H3944" s="25" t="str">
        <f>IF(J3944&lt;&gt;1,"",IF(I3944="SBJ","CB","?"))</f>
        <v> </v>
      </c>
      <c r="I3944" s="26" t="str">
        <f>IF(OR(E3944="",E3944="!!!",F3944="NEW"),"",INDEX(B3943:B$2,-1+SUMPRODUCT(MAX(ROW(E3943:E$2)*(E3944=E3943:E$2)))))</f>
        <v> </v>
      </c>
      <c r="J3944" s="26" t="str">
        <f>IF(OR(E3944="",E3944="!!!",F3944="NEW"),"",COUNTBLANK(OFFSET(A$1,,,SUMPRODUCT(MAX(ROW(E$2:E3944)*(E3944=E$2:E3944)))))-COUNTBLANK(OFFSET(A$1,,,SUMPRODUCT(MAX(ROW(E$1:E3943)*(E2=E$1:E3943))))))</f>
        <v> </v>
      </c>
      <c r="K3944" s="26" t="str">
        <f>IF(OR(E3944="",E3944="!!!",F3944="NEW"),"",INDEX(J$1:J3943,SUMPRODUCT(MAX(ROW(E$1:E3943)*(E3944=E$1:E3943)))))</f>
        <v> </v>
      </c>
      <c r="L3944" s="27"/>
    </row>
    <row r="3945" spans="1:12">
      <c r="A3945" s="20" t="s">
        <v>1030</v>
      </c>
      <c r="E3945" s="22">
        <f>IF(D3945="?OLD","!!!","")</f>
        <v/>
      </c>
      <c r="F3945" s="23" t="str">
        <f>IF(OR(E3945="",E3945="!!!"),"",IF(NOT(ISNA(VLOOKUP(E3945,E$1:E3944,1,FALSE()))),"OLD",IF(AND(E3945&lt;&gt;"",E3945&lt;&gt;"!!!"),"NEW","")))</f>
        <v> </v>
      </c>
      <c r="G3945" s="24" t="str">
        <f>IF(OR(E3945="",E3945="!!!"),"",IF(OR(J3945=0,AND(J3945=1,K3945=1),AND(J3945=1,I3945="SBJ"),AND(J3945=1,I3945=0)),"?IN_FOCUS",IF(J3945&lt;=2,"?ACTIVATED",IF(J3945&lt;&gt;"","?FAMILIAR",IF(F3945="NEW",IF(ISNA(VLOOKUP(E3945,#REF!,1,FALSE())),"?TYPE_IDENTIFIABLE","?REFERENTIAL"),"_")))))</f>
        <v> </v>
      </c>
      <c r="H3945" s="25" t="str">
        <f>IF(J3945&lt;&gt;1,"",IF(I3945="SBJ","CB","?"))</f>
        <v> </v>
      </c>
      <c r="I3945" s="26" t="str">
        <f>IF(OR(E3945="",E3945="!!!",F3945="NEW"),"",INDEX(B3944:B$2,-1+SUMPRODUCT(MAX(ROW(E3944:E$2)*(E3945=E3944:E$2)))))</f>
        <v> </v>
      </c>
      <c r="J3945" s="26" t="str">
        <f>IF(OR(E3945="",E3945="!!!",F3945="NEW"),"",COUNTBLANK(OFFSET(A$1,,,SUMPRODUCT(MAX(ROW(E$2:E3945)*(E3945=E$2:E3945)))))-COUNTBLANK(OFFSET(A$1,,,SUMPRODUCT(MAX(ROW(E$1:E3944)*(E2=E$1:E3944))))))</f>
        <v> </v>
      </c>
      <c r="K3945" s="26" t="str">
        <f>IF(OR(E3945="",E3945="!!!",F3945="NEW"),"",INDEX(J$1:J3944,SUMPRODUCT(MAX(ROW(E$1:E3944)*(E3945=E$1:E3944)))))</f>
        <v> </v>
      </c>
      <c r="L3945" s="27"/>
    </row>
    <row r="3946" spans="1:12">
      <c r="A3946" s="20" t="s">
        <v>102</v>
      </c>
      <c r="E3946" s="22">
        <f>IF(D3946="?OLD","!!!","")</f>
        <v/>
      </c>
      <c r="F3946" s="23" t="str">
        <f>IF(OR(E3946="",E3946="!!!"),"",IF(NOT(ISNA(VLOOKUP(E3946,E$1:E3945,1,FALSE()))),"OLD",IF(AND(E3946&lt;&gt;"",E3946&lt;&gt;"!!!"),"NEW","")))</f>
        <v> </v>
      </c>
      <c r="G3946" s="24" t="str">
        <f>IF(OR(E3946="",E3946="!!!"),"",IF(OR(J3946=0,AND(J3946=1,K3946=1),AND(J3946=1,I3946="SBJ"),AND(J3946=1,I3946=0)),"?IN_FOCUS",IF(J3946&lt;=2,"?ACTIVATED",IF(J3946&lt;&gt;"","?FAMILIAR",IF(F3946="NEW",IF(ISNA(VLOOKUP(E3946,#REF!,1,FALSE())),"?TYPE_IDENTIFIABLE","?REFERENTIAL"),"_")))))</f>
        <v> </v>
      </c>
      <c r="H3946" s="25" t="str">
        <f>IF(J3946&lt;&gt;1,"",IF(I3946="SBJ","CB","?"))</f>
        <v> </v>
      </c>
      <c r="I3946" s="26" t="str">
        <f>IF(OR(E3946="",E3946="!!!",F3946="NEW"),"",INDEX(B3945:B$2,-1+SUMPRODUCT(MAX(ROW(E3945:E$2)*(E3946=E3945:E$2)))))</f>
        <v> </v>
      </c>
      <c r="J3946" s="26" t="str">
        <f>IF(OR(E3946="",E3946="!!!",F3946="NEW"),"",COUNTBLANK(OFFSET(A$1,,,SUMPRODUCT(MAX(ROW(E$2:E3946)*(E3946=E$2:E3946)))))-COUNTBLANK(OFFSET(A$1,,,SUMPRODUCT(MAX(ROW(E$1:E3945)*(E2=E$1:E3945))))))</f>
        <v> </v>
      </c>
      <c r="K3946" s="26" t="str">
        <f>IF(OR(E3946="",E3946="!!!",F3946="NEW"),"",INDEX(J$1:J3945,SUMPRODUCT(MAX(ROW(E$1:E3945)*(E3946=E$1:E3945)))))</f>
        <v> </v>
      </c>
      <c r="L3946" s="27"/>
    </row>
    <row r="3947" spans="1:12">
      <c r="A3947" s="20" t="s">
        <v>1988</v>
      </c>
      <c r="B3947" s="21" t="s">
        <v>1022</v>
      </c>
      <c r="C3947" s="21" t="s">
        <v>1017</v>
      </c>
      <c r="D3947" s="21" t="s">
        <v>1007</v>
      </c>
      <c r="E3947" s="22">
        <f>IF(D3947="?OLD","!!!","")</f>
        <v/>
      </c>
      <c r="F3947" s="23" t="str">
        <f>IF(OR(E3947="",E3947="!!!"),"",IF(NOT(ISNA(VLOOKUP(E3947,E$1:E3946,1,FALSE()))),"OLD",IF(AND(E3947&lt;&gt;"",E3947&lt;&gt;"!!!"),"NEW","")))</f>
        <v> </v>
      </c>
      <c r="G3947" s="24" t="str">
        <f>IF(OR(E3947="",E3947="!!!"),"",IF(OR(J3947=0,AND(J3947=1,K3947=1),AND(J3947=1,I3947="SBJ"),AND(J3947=1,I3947=0)),"?IN_FOCUS",IF(J3947&lt;=2,"?ACTIVATED",IF(J3947&lt;&gt;"","?FAMILIAR",IF(F3947="NEW",IF(ISNA(VLOOKUP(E3947,#REF!,1,FALSE())),"?TYPE_IDENTIFIABLE","?REFERENTIAL"),"_")))))</f>
        <v> </v>
      </c>
      <c r="H3947" s="25" t="str">
        <f>IF(J3947&lt;&gt;1,"",IF(I3947="SBJ","CB","?"))</f>
        <v> </v>
      </c>
      <c r="I3947" s="26" t="str">
        <f>IF(OR(E3947="",E3947="!!!",F3947="NEW"),"",INDEX(B3946:B$2,-1+SUMPRODUCT(MAX(ROW(E3946:E$2)*(E3947=E3946:E$2)))))</f>
        <v> </v>
      </c>
      <c r="J3947" s="26" t="str">
        <f>IF(OR(E3947="",E3947="!!!",F3947="NEW"),"",COUNTBLANK(OFFSET(A$1,,,SUMPRODUCT(MAX(ROW(E$2:E3947)*(E3947=E$2:E3947)))))-COUNTBLANK(OFFSET(A$1,,,SUMPRODUCT(MAX(ROW(E$1:E3946)*(E2=E$1:E3946))))))</f>
        <v> </v>
      </c>
      <c r="K3947" s="26" t="str">
        <f>IF(OR(E3947="",E3947="!!!",F3947="NEW"),"",INDEX(J$1:J3946,SUMPRODUCT(MAX(ROW(E$1:E3946)*(E3947=E$1:E3946)))))</f>
        <v> </v>
      </c>
      <c r="L3947" s="27"/>
    </row>
    <row r="3948" spans="1:12">
      <c r="A3948" s="20" t="s">
        <v>1014</v>
      </c>
      <c r="E3948" s="22">
        <f>IF(D3948="?OLD","!!!","")</f>
        <v/>
      </c>
      <c r="F3948" s="23" t="str">
        <f>IF(OR(E3948="",E3948="!!!"),"",IF(NOT(ISNA(VLOOKUP(E3948,E$1:E3947,1,FALSE()))),"OLD",IF(AND(E3948&lt;&gt;"",E3948&lt;&gt;"!!!"),"NEW","")))</f>
        <v> </v>
      </c>
      <c r="G3948" s="24" t="str">
        <f>IF(OR(E3948="",E3948="!!!"),"",IF(OR(J3948=0,AND(J3948=1,K3948=1),AND(J3948=1,I3948="SBJ"),AND(J3948=1,I3948=0)),"?IN_FOCUS",IF(J3948&lt;=2,"?ACTIVATED",IF(J3948&lt;&gt;"","?FAMILIAR",IF(F3948="NEW",IF(ISNA(VLOOKUP(E3948,#REF!,1,FALSE())),"?TYPE_IDENTIFIABLE","?REFERENTIAL"),"_")))))</f>
        <v> </v>
      </c>
      <c r="H3948" s="25" t="str">
        <f>IF(J3948&lt;&gt;1,"",IF(I3948="SBJ","CB","?"))</f>
        <v> </v>
      </c>
      <c r="I3948" s="26" t="str">
        <f>IF(OR(E3948="",E3948="!!!",F3948="NEW"),"",INDEX(B3947:B$2,-1+SUMPRODUCT(MAX(ROW(E3947:E$2)*(E3948=E3947:E$2)))))</f>
        <v> </v>
      </c>
      <c r="J3948" s="26" t="str">
        <f>IF(OR(E3948="",E3948="!!!",F3948="NEW"),"",COUNTBLANK(OFFSET(A$1,,,SUMPRODUCT(MAX(ROW(E$2:E3948)*(E3948=E$2:E3948)))))-COUNTBLANK(OFFSET(A$1,,,SUMPRODUCT(MAX(ROW(E$1:E3947)*(E2=E$1:E3947))))))</f>
        <v> </v>
      </c>
      <c r="K3948" s="26" t="str">
        <f>IF(OR(E3948="",E3948="!!!",F3948="NEW"),"",INDEX(J$1:J3947,SUMPRODUCT(MAX(ROW(E$1:E3947)*(E3948=E$1:E3947)))))</f>
        <v> </v>
      </c>
      <c r="L3948" s="27"/>
    </row>
    <row r="3949" spans="1:12">
      <c r="A3949" s="20" t="s">
        <v>1065</v>
      </c>
      <c r="E3949" s="22">
        <f>IF(D3949="?OLD","!!!","")</f>
        <v/>
      </c>
      <c r="F3949" s="23" t="str">
        <f>IF(OR(E3949="",E3949="!!!"),"",IF(NOT(ISNA(VLOOKUP(E3949,E$1:E3948,1,FALSE()))),"OLD",IF(AND(E3949&lt;&gt;"",E3949&lt;&gt;"!!!"),"NEW","")))</f>
        <v> </v>
      </c>
      <c r="G3949" s="24" t="str">
        <f>IF(OR(E3949="",E3949="!!!"),"",IF(OR(J3949=0,AND(J3949=1,K3949=1),AND(J3949=1,I3949="SBJ"),AND(J3949=1,I3949=0)),"?IN_FOCUS",IF(J3949&lt;=2,"?ACTIVATED",IF(J3949&lt;&gt;"","?FAMILIAR",IF(F3949="NEW",IF(ISNA(VLOOKUP(E3949,#REF!,1,FALSE())),"?TYPE_IDENTIFIABLE","?REFERENTIAL"),"_")))))</f>
        <v> </v>
      </c>
      <c r="H3949" s="25" t="str">
        <f>IF(J3949&lt;&gt;1,"",IF(I3949="SBJ","CB","?"))</f>
        <v> </v>
      </c>
      <c r="I3949" s="26" t="str">
        <f>IF(OR(E3949="",E3949="!!!",F3949="NEW"),"",INDEX(B3948:B$2,-1+SUMPRODUCT(MAX(ROW(E3948:E$2)*(E3949=E3948:E$2)))))</f>
        <v> </v>
      </c>
      <c r="J3949" s="26" t="str">
        <f>IF(OR(E3949="",E3949="!!!",F3949="NEW"),"",COUNTBLANK(OFFSET(A$1,,,SUMPRODUCT(MAX(ROW(E$2:E3949)*(E3949=E$2:E3949)))))-COUNTBLANK(OFFSET(A$1,,,SUMPRODUCT(MAX(ROW(E$1:E3948)*(E2=E$1:E3948))))))</f>
        <v> </v>
      </c>
      <c r="K3949" s="26" t="str">
        <f>IF(OR(E3949="",E3949="!!!",F3949="NEW"),"",INDEX(J$1:J3948,SUMPRODUCT(MAX(ROW(E$1:E3948)*(E3949=E$1:E3948)))))</f>
        <v> </v>
      </c>
      <c r="L3949" s="27"/>
    </row>
    <row r="3950" spans="1:12">
      <c r="A3950" s="20" t="s">
        <v>1015</v>
      </c>
      <c r="E3950" s="22">
        <f>IF(D3950="?OLD","!!!","")</f>
        <v/>
      </c>
      <c r="F3950" s="23" t="str">
        <f>IF(OR(E3950="",E3950="!!!"),"",IF(NOT(ISNA(VLOOKUP(E3950,E$1:E3949,1,FALSE()))),"OLD",IF(AND(E3950&lt;&gt;"",E3950&lt;&gt;"!!!"),"NEW","")))</f>
        <v> </v>
      </c>
      <c r="G3950" s="24" t="str">
        <f>IF(OR(E3950="",E3950="!!!"),"",IF(OR(J3950=0,AND(J3950=1,K3950=1),AND(J3950=1,I3950="SBJ"),AND(J3950=1,I3950=0)),"?IN_FOCUS",IF(J3950&lt;=2,"?ACTIVATED",IF(J3950&lt;&gt;"","?FAMILIAR",IF(F3950="NEW",IF(ISNA(VLOOKUP(E3950,#REF!,1,FALSE())),"?TYPE_IDENTIFIABLE","?REFERENTIAL"),"_")))))</f>
        <v> </v>
      </c>
      <c r="H3950" s="25" t="str">
        <f>IF(J3950&lt;&gt;1,"",IF(I3950="SBJ","CB","?"))</f>
        <v> </v>
      </c>
      <c r="I3950" s="26" t="str">
        <f>IF(OR(E3950="",E3950="!!!",F3950="NEW"),"",INDEX(B3949:B$2,-1+SUMPRODUCT(MAX(ROW(E3949:E$2)*(E3950=E3949:E$2)))))</f>
        <v> </v>
      </c>
      <c r="J3950" s="26" t="str">
        <f>IF(OR(E3950="",E3950="!!!",F3950="NEW"),"",COUNTBLANK(OFFSET(A$1,,,SUMPRODUCT(MAX(ROW(E$2:E3950)*(E3950=E$2:E3950)))))-COUNTBLANK(OFFSET(A$1,,,SUMPRODUCT(MAX(ROW(E$1:E3949)*(E2=E$1:E3949))))))</f>
        <v> </v>
      </c>
      <c r="K3950" s="26" t="str">
        <f>IF(OR(E3950="",E3950="!!!",F3950="NEW"),"",INDEX(J$1:J3949,SUMPRODUCT(MAX(ROW(E$1:E3949)*(E3950=E$1:E3949)))))</f>
        <v> </v>
      </c>
      <c r="L3950" s="27"/>
    </row>
    <row r="3951" spans="1:12">
      <c r="A3951" s="20" t="s">
        <v>2168</v>
      </c>
      <c r="B3951" s="21" t="s">
        <v>1120</v>
      </c>
      <c r="C3951" s="21" t="s">
        <v>1017</v>
      </c>
      <c r="D3951" s="21" t="s">
        <v>1007</v>
      </c>
      <c r="E3951" s="22">
        <f>IF(D3951="?OLD","!!!","")</f>
        <v/>
      </c>
      <c r="F3951" s="23" t="str">
        <f>IF(OR(E3951="",E3951="!!!"),"",IF(NOT(ISNA(VLOOKUP(E3951,E$1:E3950,1,FALSE()))),"OLD",IF(AND(E3951&lt;&gt;"",E3951&lt;&gt;"!!!"),"NEW","")))</f>
        <v> </v>
      </c>
      <c r="G3951" s="24" t="str">
        <f>IF(OR(E3951="",E3951="!!!"),"",IF(OR(J3951=0,AND(J3951=1,K3951=1),AND(J3951=1,I3951="SBJ"),AND(J3951=1,I3951=0)),"?IN_FOCUS",IF(J3951&lt;=2,"?ACTIVATED",IF(J3951&lt;&gt;"","?FAMILIAR",IF(F3951="NEW",IF(ISNA(VLOOKUP(E3951,#REF!,1,FALSE())),"?TYPE_IDENTIFIABLE","?REFERENTIAL"),"_")))))</f>
        <v> </v>
      </c>
      <c r="H3951" s="25" t="str">
        <f>IF(J3951&lt;&gt;1,"",IF(I3951="SBJ","CB","?"))</f>
        <v> </v>
      </c>
      <c r="I3951" s="26" t="str">
        <f>IF(OR(E3951="",E3951="!!!",F3951="NEW"),"",INDEX(B3950:B$2,-1+SUMPRODUCT(MAX(ROW(E3950:E$2)*(E3951=E3950:E$2)))))</f>
        <v> </v>
      </c>
      <c r="J3951" s="26" t="str">
        <f>IF(OR(E3951="",E3951="!!!",F3951="NEW"),"",COUNTBLANK(OFFSET(A$1,,,SUMPRODUCT(MAX(ROW(E$2:E3951)*(E3951=E$2:E3951)))))-COUNTBLANK(OFFSET(A$1,,,SUMPRODUCT(MAX(ROW(E$1:E3950)*(E2=E$1:E3950))))))</f>
        <v> </v>
      </c>
      <c r="K3951" s="26" t="str">
        <f>IF(OR(E3951="",E3951="!!!",F3951="NEW"),"",INDEX(J$1:J3950,SUMPRODUCT(MAX(ROW(E$1:E3950)*(E3951=E$1:E3950)))))</f>
        <v> </v>
      </c>
      <c r="L3951" s="27"/>
    </row>
    <row r="3952" spans="1:12">
      <c r="A3952" s="20" t="s">
        <v>1758</v>
      </c>
      <c r="E3952" s="22">
        <f>IF(D3952="?OLD","!!!","")</f>
        <v/>
      </c>
      <c r="F3952" s="23" t="str">
        <f>IF(OR(E3952="",E3952="!!!"),"",IF(NOT(ISNA(VLOOKUP(E3952,E$1:E3951,1,FALSE()))),"OLD",IF(AND(E3952&lt;&gt;"",E3952&lt;&gt;"!!!"),"NEW","")))</f>
        <v> </v>
      </c>
      <c r="G3952" s="24" t="str">
        <f>IF(OR(E3952="",E3952="!!!"),"",IF(OR(J3952=0,AND(J3952=1,K3952=1),AND(J3952=1,I3952="SBJ"),AND(J3952=1,I3952=0)),"?IN_FOCUS",IF(J3952&lt;=2,"?ACTIVATED",IF(J3952&lt;&gt;"","?FAMILIAR",IF(F3952="NEW",IF(ISNA(VLOOKUP(E3952,#REF!,1,FALSE())),"?TYPE_IDENTIFIABLE","?REFERENTIAL"),"_")))))</f>
        <v> </v>
      </c>
      <c r="H3952" s="25" t="str">
        <f>IF(J3952&lt;&gt;1,"",IF(I3952="SBJ","CB","?"))</f>
        <v> </v>
      </c>
      <c r="I3952" s="26" t="str">
        <f>IF(OR(E3952="",E3952="!!!",F3952="NEW"),"",INDEX(B3951:B$2,-1+SUMPRODUCT(MAX(ROW(E3951:E$2)*(E3952=E3951:E$2)))))</f>
        <v> </v>
      </c>
      <c r="J3952" s="26" t="str">
        <f>IF(OR(E3952="",E3952="!!!",F3952="NEW"),"",COUNTBLANK(OFFSET(A$1,,,SUMPRODUCT(MAX(ROW(E$2:E3952)*(E3952=E$2:E3952)))))-COUNTBLANK(OFFSET(A$1,,,SUMPRODUCT(MAX(ROW(E$1:E3951)*(E2=E$1:E3951))))))</f>
        <v> </v>
      </c>
      <c r="K3952" s="26" t="str">
        <f>IF(OR(E3952="",E3952="!!!",F3952="NEW"),"",INDEX(J$1:J3951,SUMPRODUCT(MAX(ROW(E$1:E3951)*(E3952=E$1:E3951)))))</f>
        <v> </v>
      </c>
      <c r="L3952" s="27"/>
    </row>
    <row r="3953" spans="1:12">
      <c r="A3953" s="20" t="s">
        <v>2169</v>
      </c>
      <c r="E3953" s="22">
        <f>IF(D3953="?OLD","!!!","")</f>
        <v/>
      </c>
      <c r="F3953" s="23" t="str">
        <f>IF(OR(E3953="",E3953="!!!"),"",IF(NOT(ISNA(VLOOKUP(E3953,E$1:E3952,1,FALSE()))),"OLD",IF(AND(E3953&lt;&gt;"",E3953&lt;&gt;"!!!"),"NEW","")))</f>
        <v> </v>
      </c>
      <c r="G3953" s="24" t="str">
        <f>IF(OR(E3953="",E3953="!!!"),"",IF(OR(J3953=0,AND(J3953=1,K3953=1),AND(J3953=1,I3953="SBJ"),AND(J3953=1,I3953=0)),"?IN_FOCUS",IF(J3953&lt;=2,"?ACTIVATED",IF(J3953&lt;&gt;"","?FAMILIAR",IF(F3953="NEW",IF(ISNA(VLOOKUP(E3953,#REF!,1,FALSE())),"?TYPE_IDENTIFIABLE","?REFERENTIAL"),"_")))))</f>
        <v> </v>
      </c>
      <c r="H3953" s="25" t="str">
        <f>IF(J3953&lt;&gt;1,"",IF(I3953="SBJ","CB","?"))</f>
        <v> </v>
      </c>
      <c r="I3953" s="26" t="str">
        <f>IF(OR(E3953="",E3953="!!!",F3953="NEW"),"",INDEX(B3952:B$2,-1+SUMPRODUCT(MAX(ROW(E3952:E$2)*(E3953=E3952:E$2)))))</f>
        <v> </v>
      </c>
      <c r="J3953" s="26" t="str">
        <f>IF(OR(E3953="",E3953="!!!",F3953="NEW"),"",COUNTBLANK(OFFSET(A$1,,,SUMPRODUCT(MAX(ROW(E$2:E3953)*(E3953=E$2:E3953)))))-COUNTBLANK(OFFSET(A$1,,,SUMPRODUCT(MAX(ROW(E$1:E3952)*(E2=E$1:E3952))))))</f>
        <v> </v>
      </c>
      <c r="K3953" s="26" t="str">
        <f>IF(OR(E3953="",E3953="!!!",F3953="NEW"),"",INDEX(J$1:J3952,SUMPRODUCT(MAX(ROW(E$1:E3952)*(E3953=E$1:E3952)))))</f>
        <v> </v>
      </c>
      <c r="L3953" s="27"/>
    </row>
    <row r="3954" spans="1:12">
      <c r="A3954" s="20" t="s">
        <v>1286</v>
      </c>
      <c r="E3954" s="22">
        <f>IF(D3954="?OLD","!!!","")</f>
        <v/>
      </c>
      <c r="F3954" s="23" t="str">
        <f>IF(OR(E3954="",E3954="!!!"),"",IF(NOT(ISNA(VLOOKUP(E3954,E$1:E3953,1,FALSE()))),"OLD",IF(AND(E3954&lt;&gt;"",E3954&lt;&gt;"!!!"),"NEW","")))</f>
        <v> </v>
      </c>
      <c r="G3954" s="24" t="str">
        <f>IF(OR(E3954="",E3954="!!!"),"",IF(OR(J3954=0,AND(J3954=1,K3954=1),AND(J3954=1,I3954="SBJ"),AND(J3954=1,I3954=0)),"?IN_FOCUS",IF(J3954&lt;=2,"?ACTIVATED",IF(J3954&lt;&gt;"","?FAMILIAR",IF(F3954="NEW",IF(ISNA(VLOOKUP(E3954,#REF!,1,FALSE())),"?TYPE_IDENTIFIABLE","?REFERENTIAL"),"_")))))</f>
        <v> </v>
      </c>
      <c r="H3954" s="25" t="str">
        <f>IF(J3954&lt;&gt;1,"",IF(I3954="SBJ","CB","?"))</f>
        <v> </v>
      </c>
      <c r="I3954" s="26" t="str">
        <f>IF(OR(E3954="",E3954="!!!",F3954="NEW"),"",INDEX(B3953:B$2,-1+SUMPRODUCT(MAX(ROW(E3953:E$2)*(E3954=E3953:E$2)))))</f>
        <v> </v>
      </c>
      <c r="J3954" s="26" t="str">
        <f>IF(OR(E3954="",E3954="!!!",F3954="NEW"),"",COUNTBLANK(OFFSET(A$1,,,SUMPRODUCT(MAX(ROW(E$2:E3954)*(E3954=E$2:E3954)))))-COUNTBLANK(OFFSET(A$1,,,SUMPRODUCT(MAX(ROW(E$1:E3953)*(E2=E$1:E3953))))))</f>
        <v> </v>
      </c>
      <c r="K3954" s="26" t="str">
        <f>IF(OR(E3954="",E3954="!!!",F3954="NEW"),"",INDEX(J$1:J3953,SUMPRODUCT(MAX(ROW(E$1:E3953)*(E3954=E$1:E3953)))))</f>
        <v> </v>
      </c>
      <c r="L3954" s="27"/>
    </row>
    <row r="3955" spans="1:12">
      <c r="A3955" s="20" t="s">
        <v>1018</v>
      </c>
      <c r="E3955" s="22">
        <f>IF(D3955="?OLD","!!!","")</f>
        <v/>
      </c>
      <c r="F3955" s="23" t="str">
        <f>IF(OR(E3955="",E3955="!!!"),"",IF(NOT(ISNA(VLOOKUP(E3955,E$1:E3954,1,FALSE()))),"OLD",IF(AND(E3955&lt;&gt;"",E3955&lt;&gt;"!!!"),"NEW","")))</f>
        <v> </v>
      </c>
      <c r="G3955" s="24" t="str">
        <f>IF(OR(E3955="",E3955="!!!"),"",IF(OR(J3955=0,AND(J3955=1,K3955=1),AND(J3955=1,I3955="SBJ"),AND(J3955=1,I3955=0)),"?IN_FOCUS",IF(J3955&lt;=2,"?ACTIVATED",IF(J3955&lt;&gt;"","?FAMILIAR",IF(F3955="NEW",IF(ISNA(VLOOKUP(E3955,#REF!,1,FALSE())),"?TYPE_IDENTIFIABLE","?REFERENTIAL"),"_")))))</f>
        <v> </v>
      </c>
      <c r="H3955" s="25" t="str">
        <f>IF(J3955&lt;&gt;1,"",IF(I3955="SBJ","CB","?"))</f>
        <v> </v>
      </c>
      <c r="I3955" s="26" t="str">
        <f>IF(OR(E3955="",E3955="!!!",F3955="NEW"),"",INDEX(B3954:B$2,-1+SUMPRODUCT(MAX(ROW(E3954:E$2)*(E3955=E3954:E$2)))))</f>
        <v> </v>
      </c>
      <c r="J3955" s="26" t="str">
        <f>IF(OR(E3955="",E3955="!!!",F3955="NEW"),"",COUNTBLANK(OFFSET(A$1,,,SUMPRODUCT(MAX(ROW(E$2:E3955)*(E3955=E$2:E3955)))))-COUNTBLANK(OFFSET(A$1,,,SUMPRODUCT(MAX(ROW(E$1:E3954)*(E2=E$1:E3954))))))</f>
        <v> </v>
      </c>
      <c r="K3955" s="26" t="str">
        <f>IF(OR(E3955="",E3955="!!!",F3955="NEW"),"",INDEX(J$1:J3954,SUMPRODUCT(MAX(ROW(E$1:E3954)*(E3955=E$1:E3954)))))</f>
        <v> </v>
      </c>
      <c r="L3955" s="27"/>
    </row>
    <row r="3956" spans="1:12">
      <c r="A3956" s="20" t="s">
        <v>2170</v>
      </c>
      <c r="E3956" s="22">
        <f>IF(D3956="?OLD","!!!","")</f>
        <v/>
      </c>
      <c r="F3956" s="23" t="str">
        <f>IF(OR(E3956="",E3956="!!!"),"",IF(NOT(ISNA(VLOOKUP(E3956,E$1:E3955,1,FALSE()))),"OLD",IF(AND(E3956&lt;&gt;"",E3956&lt;&gt;"!!!"),"NEW","")))</f>
        <v> </v>
      </c>
      <c r="G3956" s="24" t="str">
        <f>IF(OR(E3956="",E3956="!!!"),"",IF(OR(J3956=0,AND(J3956=1,K3956=1),AND(J3956=1,I3956="SBJ"),AND(J3956=1,I3956=0)),"?IN_FOCUS",IF(J3956&lt;=2,"?ACTIVATED",IF(J3956&lt;&gt;"","?FAMILIAR",IF(F3956="NEW",IF(ISNA(VLOOKUP(E3956,#REF!,1,FALSE())),"?TYPE_IDENTIFIABLE","?REFERENTIAL"),"_")))))</f>
        <v> </v>
      </c>
      <c r="H3956" s="25" t="str">
        <f>IF(J3956&lt;&gt;1,"",IF(I3956="SBJ","CB","?"))</f>
        <v> </v>
      </c>
      <c r="I3956" s="26" t="str">
        <f>IF(OR(E3956="",E3956="!!!",F3956="NEW"),"",INDEX(B3955:B$2,-1+SUMPRODUCT(MAX(ROW(E3955:E$2)*(E3956=E3955:E$2)))))</f>
        <v> </v>
      </c>
      <c r="J3956" s="26" t="str">
        <f>IF(OR(E3956="",E3956="!!!",F3956="NEW"),"",COUNTBLANK(OFFSET(A$1,,,SUMPRODUCT(MAX(ROW(E$2:E3956)*(E3956=E$2:E3956)))))-COUNTBLANK(OFFSET(A$1,,,SUMPRODUCT(MAX(ROW(E$1:E3955)*(E2=E$1:E3955))))))</f>
        <v> </v>
      </c>
      <c r="K3956" s="26" t="str">
        <f>IF(OR(E3956="",E3956="!!!",F3956="NEW"),"",INDEX(J$1:J3955,SUMPRODUCT(MAX(ROW(E$1:E3955)*(E3956=E$1:E3955)))))</f>
        <v> </v>
      </c>
      <c r="L3956" s="27"/>
    </row>
    <row r="3957" spans="1:12">
      <c r="A3957" s="20" t="s">
        <v>56</v>
      </c>
      <c r="E3957" s="22">
        <f>IF(D3957="?OLD","!!!","")</f>
        <v/>
      </c>
      <c r="F3957" s="23" t="str">
        <f>IF(OR(E3957="",E3957="!!!"),"",IF(NOT(ISNA(VLOOKUP(E3957,E$1:E3956,1,FALSE()))),"OLD",IF(AND(E3957&lt;&gt;"",E3957&lt;&gt;"!!!"),"NEW","")))</f>
        <v> </v>
      </c>
      <c r="G3957" s="24" t="str">
        <f>IF(OR(E3957="",E3957="!!!"),"",IF(OR(J3957=0,AND(J3957=1,K3957=1),AND(J3957=1,I3957="SBJ"),AND(J3957=1,I3957=0)),"?IN_FOCUS",IF(J3957&lt;=2,"?ACTIVATED",IF(J3957&lt;&gt;"","?FAMILIAR",IF(F3957="NEW",IF(ISNA(VLOOKUP(E3957,#REF!,1,FALSE())),"?TYPE_IDENTIFIABLE","?REFERENTIAL"),"_")))))</f>
        <v> </v>
      </c>
      <c r="H3957" s="25" t="str">
        <f>IF(J3957&lt;&gt;1,"",IF(I3957="SBJ","CB","?"))</f>
        <v> </v>
      </c>
      <c r="I3957" s="26" t="str">
        <f>IF(OR(E3957="",E3957="!!!",F3957="NEW"),"",INDEX(B3956:B$2,-1+SUMPRODUCT(MAX(ROW(E3956:E$2)*(E3957=E3956:E$2)))))</f>
        <v> </v>
      </c>
      <c r="J3957" s="26" t="str">
        <f>IF(OR(E3957="",E3957="!!!",F3957="NEW"),"",COUNTBLANK(OFFSET(A$1,,,SUMPRODUCT(MAX(ROW(E$2:E3957)*(E3957=E$2:E3957)))))-COUNTBLANK(OFFSET(A$1,,,SUMPRODUCT(MAX(ROW(E$1:E3956)*(E2=E$1:E3956))))))</f>
        <v> </v>
      </c>
      <c r="K3957" s="26" t="str">
        <f>IF(OR(E3957="",E3957="!!!",F3957="NEW"),"",INDEX(J$1:J3956,SUMPRODUCT(MAX(ROW(E$1:E3956)*(E3957=E$1:E3956)))))</f>
        <v> </v>
      </c>
      <c r="L3957" s="27"/>
    </row>
    <row r="3958" spans="1:12">
      <c r="A3958" s="20" t="s">
        <v>2171</v>
      </c>
      <c r="E3958" s="22">
        <f>IF(D3958="?OLD","!!!","")</f>
        <v/>
      </c>
      <c r="F3958" s="23" t="str">
        <f>IF(OR(E3958="",E3958="!!!"),"",IF(NOT(ISNA(VLOOKUP(E3958,E$1:E3957,1,FALSE()))),"OLD",IF(AND(E3958&lt;&gt;"",E3958&lt;&gt;"!!!"),"NEW","")))</f>
        <v> </v>
      </c>
      <c r="G3958" s="24" t="str">
        <f>IF(OR(E3958="",E3958="!!!"),"",IF(OR(J3958=0,AND(J3958=1,K3958=1),AND(J3958=1,I3958="SBJ"),AND(J3958=1,I3958=0)),"?IN_FOCUS",IF(J3958&lt;=2,"?ACTIVATED",IF(J3958&lt;&gt;"","?FAMILIAR",IF(F3958="NEW",IF(ISNA(VLOOKUP(E3958,#REF!,1,FALSE())),"?TYPE_IDENTIFIABLE","?REFERENTIAL"),"_")))))</f>
        <v> </v>
      </c>
      <c r="H3958" s="25" t="str">
        <f>IF(J3958&lt;&gt;1,"",IF(I3958="SBJ","CB","?"))</f>
        <v> </v>
      </c>
      <c r="I3958" s="26" t="str">
        <f>IF(OR(E3958="",E3958="!!!",F3958="NEW"),"",INDEX(B3957:B$2,-1+SUMPRODUCT(MAX(ROW(E3957:E$2)*(E3958=E3957:E$2)))))</f>
        <v> </v>
      </c>
      <c r="J3958" s="26" t="str">
        <f>IF(OR(E3958="",E3958="!!!",F3958="NEW"),"",COUNTBLANK(OFFSET(A$1,,,SUMPRODUCT(MAX(ROW(E$2:E3958)*(E3958=E$2:E3958)))))-COUNTBLANK(OFFSET(A$1,,,SUMPRODUCT(MAX(ROW(E$1:E3957)*(E2=E$1:E3957))))))</f>
        <v> </v>
      </c>
      <c r="K3958" s="26" t="str">
        <f>IF(OR(E3958="",E3958="!!!",F3958="NEW"),"",INDEX(J$1:J3957,SUMPRODUCT(MAX(ROW(E$1:E3957)*(E3958=E$1:E3957)))))</f>
        <v> </v>
      </c>
      <c r="L3958" s="27"/>
    </row>
    <row r="3959" spans="1:12">
      <c r="A3959" s="20" t="s">
        <v>1023</v>
      </c>
      <c r="E3959" s="22">
        <f>IF(D3959="?OLD","!!!","")</f>
        <v/>
      </c>
      <c r="F3959" s="23" t="str">
        <f>IF(OR(E3959="",E3959="!!!"),"",IF(NOT(ISNA(VLOOKUP(E3959,E$1:E3958,1,FALSE()))),"OLD",IF(AND(E3959&lt;&gt;"",E3959&lt;&gt;"!!!"),"NEW","")))</f>
        <v> </v>
      </c>
      <c r="G3959" s="24" t="str">
        <f>IF(OR(E3959="",E3959="!!!"),"",IF(OR(J3959=0,AND(J3959=1,K3959=1),AND(J3959=1,I3959="SBJ"),AND(J3959=1,I3959=0)),"?IN_FOCUS",IF(J3959&lt;=2,"?ACTIVATED",IF(J3959&lt;&gt;"","?FAMILIAR",IF(F3959="NEW",IF(ISNA(VLOOKUP(E3959,#REF!,1,FALSE())),"?TYPE_IDENTIFIABLE","?REFERENTIAL"),"_")))))</f>
        <v> </v>
      </c>
      <c r="H3959" s="25" t="str">
        <f>IF(J3959&lt;&gt;1,"",IF(I3959="SBJ","CB","?"))</f>
        <v> </v>
      </c>
      <c r="I3959" s="26" t="str">
        <f>IF(OR(E3959="",E3959="!!!",F3959="NEW"),"",INDEX(B3958:B$2,-1+SUMPRODUCT(MAX(ROW(E3958:E$2)*(E3959=E3958:E$2)))))</f>
        <v> </v>
      </c>
      <c r="J3959" s="26" t="str">
        <f>IF(OR(E3959="",E3959="!!!",F3959="NEW"),"",COUNTBLANK(OFFSET(A$1,,,SUMPRODUCT(MAX(ROW(E$2:E3959)*(E3959=E$2:E3959)))))-COUNTBLANK(OFFSET(A$1,,,SUMPRODUCT(MAX(ROW(E$1:E3958)*(E2=E$1:E3958))))))</f>
        <v> </v>
      </c>
      <c r="K3959" s="26" t="str">
        <f>IF(OR(E3959="",E3959="!!!",F3959="NEW"),"",INDEX(J$1:J3958,SUMPRODUCT(MAX(ROW(E$1:E3958)*(E3959=E$1:E3958)))))</f>
        <v> </v>
      </c>
      <c r="L3959" s="27"/>
    </row>
    <row r="3960" spans="1:12">
      <c r="A3960" s="20"/>
    </row>
    <row r="3961" spans="1:12">
      <c r="A3961" s="20" t="s">
        <v>2172</v>
      </c>
    </row>
    <row r="3962" spans="1:12">
      <c r="A3962" s="20" t="s">
        <v>1153</v>
      </c>
      <c r="E3962" s="22">
        <f>IF(D3962="?OLD","!!!","")</f>
        <v/>
      </c>
      <c r="F3962" s="23" t="str">
        <f>IF(OR(E3962="",E3962="!!!"),"",IF(NOT(ISNA(VLOOKUP(E3962,E$1:E3961,1,FALSE()))),"OLD",IF(AND(E3962&lt;&gt;"",E3962&lt;&gt;"!!!"),"NEW","")))</f>
        <v> </v>
      </c>
      <c r="G3962" s="24" t="str">
        <f>IF(OR(E3962="",E3962="!!!"),"",IF(OR(J3962=0,AND(J3962=1,K3962=1),AND(J3962=1,I3962="SBJ"),AND(J3962=1,I3962=0)),"?IN_FOCUS",IF(J3962&lt;=2,"?ACTIVATED",IF(J3962&lt;&gt;"","?FAMILIAR",IF(F3962="NEW",IF(ISNA(VLOOKUP(E3962,#REF!,1,FALSE())),"?TYPE_IDENTIFIABLE","?REFERENTIAL"),"_")))))</f>
        <v> </v>
      </c>
      <c r="H3962" s="25" t="str">
        <f>IF(J3962&lt;&gt;1,"",IF(I3962="SBJ","CB","?"))</f>
        <v> </v>
      </c>
      <c r="I3962" s="26" t="str">
        <f>IF(OR(E3962="",E3962="!!!",F3962="NEW"),"",INDEX(B3961:B$2,-1+SUMPRODUCT(MAX(ROW(E3961:E$2)*(E3962=E3961:E$2)))))</f>
        <v> </v>
      </c>
      <c r="J3962" s="26" t="str">
        <f>IF(OR(E3962="",E3962="!!!",F3962="NEW"),"",COUNTBLANK(OFFSET(A$1,,,SUMPRODUCT(MAX(ROW(E$2:E3962)*(E3962=E$2:E3962)))))-COUNTBLANK(OFFSET(A$1,,,SUMPRODUCT(MAX(ROW(E$1:E3961)*(E2=E$1:E3961))))))</f>
        <v> </v>
      </c>
      <c r="K3962" s="26" t="str">
        <f>IF(OR(E3962="",E3962="!!!",F3962="NEW"),"",INDEX(J$1:J3961,SUMPRODUCT(MAX(ROW(E$1:E3961)*(E3962=E$1:E3961)))))</f>
        <v> </v>
      </c>
      <c r="L3962" s="27"/>
    </row>
    <row r="3963" spans="1:12">
      <c r="A3963" s="20" t="s">
        <v>1669</v>
      </c>
      <c r="B3963" s="21" t="s">
        <v>1119</v>
      </c>
      <c r="C3963" s="21" t="s">
        <v>1082</v>
      </c>
      <c r="D3963" s="21" t="s">
        <v>1007</v>
      </c>
      <c r="E3963" s="22">
        <f>IF(D3963="?OLD","!!!","")</f>
        <v/>
      </c>
      <c r="F3963" s="23" t="str">
        <f>IF(OR(E3963="",E3963="!!!"),"",IF(NOT(ISNA(VLOOKUP(E3963,E$1:E3962,1,FALSE()))),"OLD",IF(AND(E3963&lt;&gt;"",E3963&lt;&gt;"!!!"),"NEW","")))</f>
        <v> </v>
      </c>
      <c r="G3963" s="24" t="str">
        <f>IF(OR(E3963="",E3963="!!!"),"",IF(OR(J3963=0,AND(J3963=1,K3963=1),AND(J3963=1,I3963="SBJ"),AND(J3963=1,I3963=0)),"?IN_FOCUS",IF(J3963&lt;=2,"?ACTIVATED",IF(J3963&lt;&gt;"","?FAMILIAR",IF(F3963="NEW",IF(ISNA(VLOOKUP(E3963,#REF!,1,FALSE())),"?TYPE_IDENTIFIABLE","?REFERENTIAL"),"_")))))</f>
        <v> </v>
      </c>
      <c r="H3963" s="25" t="str">
        <f>IF(J3963&lt;&gt;1,"",IF(I3963="SBJ","CB","?"))</f>
        <v> </v>
      </c>
      <c r="I3963" s="26" t="str">
        <f>IF(OR(E3963="",E3963="!!!",F3963="NEW"),"",INDEX(B3962:B$2,-1+SUMPRODUCT(MAX(ROW(E3962:E$2)*(E3963=E3962:E$2)))))</f>
        <v> </v>
      </c>
      <c r="J3963" s="26" t="str">
        <f>IF(OR(E3963="",E3963="!!!",F3963="NEW"),"",COUNTBLANK(OFFSET(A$1,,,SUMPRODUCT(MAX(ROW(E$2:E3963)*(E3963=E$2:E3963)))))-COUNTBLANK(OFFSET(A$1,,,SUMPRODUCT(MAX(ROW(E$1:E3962)*(E2=E$1:E3962))))))</f>
        <v> </v>
      </c>
      <c r="K3963" s="26" t="str">
        <f>IF(OR(E3963="",E3963="!!!",F3963="NEW"),"",INDEX(J$1:J3962,SUMPRODUCT(MAX(ROW(E$1:E3962)*(E3963=E$1:E3962)))))</f>
        <v> </v>
      </c>
      <c r="L3963" s="27"/>
    </row>
    <row r="3964" spans="1:12">
      <c r="A3964" s="20" t="s">
        <v>2173</v>
      </c>
      <c r="E3964" s="22">
        <f>IF(D3964="?OLD","!!!","")</f>
        <v/>
      </c>
      <c r="F3964" s="23" t="str">
        <f>IF(OR(E3964="",E3964="!!!"),"",IF(NOT(ISNA(VLOOKUP(E3964,E$1:E3963,1,FALSE()))),"OLD",IF(AND(E3964&lt;&gt;"",E3964&lt;&gt;"!!!"),"NEW","")))</f>
        <v> </v>
      </c>
      <c r="G3964" s="24" t="str">
        <f>IF(OR(E3964="",E3964="!!!"),"",IF(OR(J3964=0,AND(J3964=1,K3964=1),AND(J3964=1,I3964="SBJ"),AND(J3964=1,I3964=0)),"?IN_FOCUS",IF(J3964&lt;=2,"?ACTIVATED",IF(J3964&lt;&gt;"","?FAMILIAR",IF(F3964="NEW",IF(ISNA(VLOOKUP(E3964,#REF!,1,FALSE())),"?TYPE_IDENTIFIABLE","?REFERENTIAL"),"_")))))</f>
        <v> </v>
      </c>
      <c r="H3964" s="25" t="str">
        <f>IF(J3964&lt;&gt;1,"",IF(I3964="SBJ","CB","?"))</f>
        <v> </v>
      </c>
      <c r="I3964" s="26" t="str">
        <f>IF(OR(E3964="",E3964="!!!",F3964="NEW"),"",INDEX(B3963:B$2,-1+SUMPRODUCT(MAX(ROW(E3963:E$2)*(E3964=E3963:E$2)))))</f>
        <v> </v>
      </c>
      <c r="J3964" s="26" t="str">
        <f>IF(OR(E3964="",E3964="!!!",F3964="NEW"),"",COUNTBLANK(OFFSET(A$1,,,SUMPRODUCT(MAX(ROW(E$2:E3964)*(E3964=E$2:E3964)))))-COUNTBLANK(OFFSET(A$1,,,SUMPRODUCT(MAX(ROW(E$1:E3963)*(E2=E$1:E3963))))))</f>
        <v> </v>
      </c>
      <c r="K3964" s="26" t="str">
        <f>IF(OR(E3964="",E3964="!!!",F3964="NEW"),"",INDEX(J$1:J3963,SUMPRODUCT(MAX(ROW(E$1:E3963)*(E3964=E$1:E3963)))))</f>
        <v> </v>
      </c>
      <c r="L3964" s="27"/>
    </row>
    <row r="3965" spans="1:12">
      <c r="A3965" s="20" t="s">
        <v>1324</v>
      </c>
      <c r="E3965" s="22">
        <f>IF(D3965="?OLD","!!!","")</f>
        <v/>
      </c>
      <c r="F3965" s="23" t="str">
        <f>IF(OR(E3965="",E3965="!!!"),"",IF(NOT(ISNA(VLOOKUP(E3965,E$1:E3964,1,FALSE()))),"OLD",IF(AND(E3965&lt;&gt;"",E3965&lt;&gt;"!!!"),"NEW","")))</f>
        <v> </v>
      </c>
      <c r="G3965" s="24" t="str">
        <f>IF(OR(E3965="",E3965="!!!"),"",IF(OR(J3965=0,AND(J3965=1,K3965=1),AND(J3965=1,I3965="SBJ"),AND(J3965=1,I3965=0)),"?IN_FOCUS",IF(J3965&lt;=2,"?ACTIVATED",IF(J3965&lt;&gt;"","?FAMILIAR",IF(F3965="NEW",IF(ISNA(VLOOKUP(E3965,#REF!,1,FALSE())),"?TYPE_IDENTIFIABLE","?REFERENTIAL"),"_")))))</f>
        <v> </v>
      </c>
      <c r="H3965" s="25" t="str">
        <f>IF(J3965&lt;&gt;1,"",IF(I3965="SBJ","CB","?"))</f>
        <v> </v>
      </c>
      <c r="I3965" s="26" t="str">
        <f>IF(OR(E3965="",E3965="!!!",F3965="NEW"),"",INDEX(B3964:B$2,-1+SUMPRODUCT(MAX(ROW(E3964:E$2)*(E3965=E3964:E$2)))))</f>
        <v> </v>
      </c>
      <c r="J3965" s="26" t="str">
        <f>IF(OR(E3965="",E3965="!!!",F3965="NEW"),"",COUNTBLANK(OFFSET(A$1,,,SUMPRODUCT(MAX(ROW(E$2:E3965)*(E3965=E$2:E3965)))))-COUNTBLANK(OFFSET(A$1,,,SUMPRODUCT(MAX(ROW(E$1:E3964)*(E2=E$1:E3964))))))</f>
        <v> </v>
      </c>
      <c r="K3965" s="26" t="str">
        <f>IF(OR(E3965="",E3965="!!!",F3965="NEW"),"",INDEX(J$1:J3964,SUMPRODUCT(MAX(ROW(E$1:E3964)*(E3965=E$1:E3964)))))</f>
        <v> </v>
      </c>
      <c r="L3965" s="27"/>
    </row>
    <row r="3966" spans="1:12">
      <c r="A3966" s="20" t="s">
        <v>227</v>
      </c>
      <c r="B3966" s="21" t="s">
        <v>1029</v>
      </c>
      <c r="C3966" s="21" t="s">
        <v>1111</v>
      </c>
      <c r="E3966" s="22">
        <f>IF(D3966="?OLD","!!!","")</f>
        <v/>
      </c>
      <c r="F3966" s="23" t="str">
        <f>IF(OR(E3966="",E3966="!!!"),"",IF(NOT(ISNA(VLOOKUP(E3966,E$1:E3965,1,FALSE()))),"OLD",IF(AND(E3966&lt;&gt;"",E3966&lt;&gt;"!!!"),"NEW","")))</f>
        <v> </v>
      </c>
      <c r="G3966" s="24" t="str">
        <f>IF(OR(E3966="",E3966="!!!"),"",IF(OR(J3966=0,AND(J3966=1,K3966=1),AND(J3966=1,I3966="SBJ"),AND(J3966=1,I3966=0)),"?IN_FOCUS",IF(J3966&lt;=2,"?ACTIVATED",IF(J3966&lt;&gt;"","?FAMILIAR",IF(F3966="NEW",IF(ISNA(VLOOKUP(E3966,#REF!,1,FALSE())),"?TYPE_IDENTIFIABLE","?REFERENTIAL"),"_")))))</f>
        <v> </v>
      </c>
      <c r="H3966" s="25" t="str">
        <f>IF(J3966&lt;&gt;1,"",IF(I3966="SBJ","CB","?"))</f>
        <v> </v>
      </c>
      <c r="I3966" s="26" t="str">
        <f>IF(OR(E3966="",E3966="!!!",F3966="NEW"),"",INDEX(B3965:B$2,-1+SUMPRODUCT(MAX(ROW(E3965:E$2)*(E3966=E3965:E$2)))))</f>
        <v> </v>
      </c>
      <c r="J3966" s="26" t="str">
        <f>IF(OR(E3966="",E3966="!!!",F3966="NEW"),"",COUNTBLANK(OFFSET(A$1,,,SUMPRODUCT(MAX(ROW(E$2:E3966)*(E3966=E$2:E3966)))))-COUNTBLANK(OFFSET(A$1,,,SUMPRODUCT(MAX(ROW(E$1:E3965)*(E2=E$1:E3965))))))</f>
        <v> </v>
      </c>
      <c r="K3966" s="26" t="str">
        <f>IF(OR(E3966="",E3966="!!!",F3966="NEW"),"",INDEX(J$1:J3965,SUMPRODUCT(MAX(ROW(E$1:E3965)*(E3966=E$1:E3965)))))</f>
        <v> </v>
      </c>
      <c r="L3966" s="27"/>
    </row>
    <row r="3967" spans="1:12">
      <c r="A3967" s="20" t="s">
        <v>2174</v>
      </c>
      <c r="E3967" s="22">
        <f>IF(D3967="?OLD","!!!","")</f>
        <v/>
      </c>
      <c r="F3967" s="23" t="str">
        <f>IF(OR(E3967="",E3967="!!!"),"",IF(NOT(ISNA(VLOOKUP(E3967,E$1:E3966,1,FALSE()))),"OLD",IF(AND(E3967&lt;&gt;"",E3967&lt;&gt;"!!!"),"NEW","")))</f>
        <v> </v>
      </c>
      <c r="G3967" s="24" t="str">
        <f>IF(OR(E3967="",E3967="!!!"),"",IF(OR(J3967=0,AND(J3967=1,K3967=1),AND(J3967=1,I3967="SBJ"),AND(J3967=1,I3967=0)),"?IN_FOCUS",IF(J3967&lt;=2,"?ACTIVATED",IF(J3967&lt;&gt;"","?FAMILIAR",IF(F3967="NEW",IF(ISNA(VLOOKUP(E3967,#REF!,1,FALSE())),"?TYPE_IDENTIFIABLE","?REFERENTIAL"),"_")))))</f>
        <v> </v>
      </c>
      <c r="H3967" s="25" t="str">
        <f>IF(J3967&lt;&gt;1,"",IF(I3967="SBJ","CB","?"))</f>
        <v> </v>
      </c>
      <c r="I3967" s="26" t="str">
        <f>IF(OR(E3967="",E3967="!!!",F3967="NEW"),"",INDEX(B3966:B$2,-1+SUMPRODUCT(MAX(ROW(E3966:E$2)*(E3967=E3966:E$2)))))</f>
        <v> </v>
      </c>
      <c r="J3967" s="26" t="str">
        <f>IF(OR(E3967="",E3967="!!!",F3967="NEW"),"",COUNTBLANK(OFFSET(A$1,,,SUMPRODUCT(MAX(ROW(E$2:E3967)*(E3967=E$2:E3967)))))-COUNTBLANK(OFFSET(A$1,,,SUMPRODUCT(MAX(ROW(E$1:E3966)*(E2=E$1:E3966))))))</f>
        <v> </v>
      </c>
      <c r="K3967" s="26" t="str">
        <f>IF(OR(E3967="",E3967="!!!",F3967="NEW"),"",INDEX(J$1:J3966,SUMPRODUCT(MAX(ROW(E$1:E3966)*(E3967=E$1:E3966)))))</f>
        <v> </v>
      </c>
      <c r="L3967" s="27"/>
    </row>
    <row r="3968" spans="1:12">
      <c r="A3968" s="20" t="s">
        <v>56</v>
      </c>
      <c r="E3968" s="22">
        <f>IF(D3968="?OLD","!!!","")</f>
        <v/>
      </c>
      <c r="F3968" s="23" t="str">
        <f>IF(OR(E3968="",E3968="!!!"),"",IF(NOT(ISNA(VLOOKUP(E3968,E$1:E3967,1,FALSE()))),"OLD",IF(AND(E3968&lt;&gt;"",E3968&lt;&gt;"!!!"),"NEW","")))</f>
        <v> </v>
      </c>
      <c r="G3968" s="24" t="str">
        <f>IF(OR(E3968="",E3968="!!!"),"",IF(OR(J3968=0,AND(J3968=1,K3968=1),AND(J3968=1,I3968="SBJ"),AND(J3968=1,I3968=0)),"?IN_FOCUS",IF(J3968&lt;=2,"?ACTIVATED",IF(J3968&lt;&gt;"","?FAMILIAR",IF(F3968="NEW",IF(ISNA(VLOOKUP(E3968,#REF!,1,FALSE())),"?TYPE_IDENTIFIABLE","?REFERENTIAL"),"_")))))</f>
        <v> </v>
      </c>
      <c r="H3968" s="25" t="str">
        <f>IF(J3968&lt;&gt;1,"",IF(I3968="SBJ","CB","?"))</f>
        <v> </v>
      </c>
      <c r="I3968" s="26" t="str">
        <f>IF(OR(E3968="",E3968="!!!",F3968="NEW"),"",INDEX(B3967:B$2,-1+SUMPRODUCT(MAX(ROW(E3967:E$2)*(E3968=E3967:E$2)))))</f>
        <v> </v>
      </c>
      <c r="J3968" s="26" t="str">
        <f>IF(OR(E3968="",E3968="!!!",F3968="NEW"),"",COUNTBLANK(OFFSET(A$1,,,SUMPRODUCT(MAX(ROW(E$2:E3968)*(E3968=E$2:E3968)))))-COUNTBLANK(OFFSET(A$1,,,SUMPRODUCT(MAX(ROW(E$1:E3967)*(E2=E$1:E3967))))))</f>
        <v> </v>
      </c>
      <c r="K3968" s="26" t="str">
        <f>IF(OR(E3968="",E3968="!!!",F3968="NEW"),"",INDEX(J$1:J3967,SUMPRODUCT(MAX(ROW(E$1:E3967)*(E3968=E$1:E3967)))))</f>
        <v> </v>
      </c>
      <c r="L3968" s="27"/>
    </row>
    <row r="3969" spans="1:12">
      <c r="A3969" s="20" t="s">
        <v>2175</v>
      </c>
      <c r="E3969" s="22">
        <f>IF(D3969="?OLD","!!!","")</f>
        <v/>
      </c>
      <c r="F3969" s="23" t="str">
        <f>IF(OR(E3969="",E3969="!!!"),"",IF(NOT(ISNA(VLOOKUP(E3969,E$1:E3968,1,FALSE()))),"OLD",IF(AND(E3969&lt;&gt;"",E3969&lt;&gt;"!!!"),"NEW","")))</f>
        <v> </v>
      </c>
      <c r="G3969" s="24" t="str">
        <f>IF(OR(E3969="",E3969="!!!"),"",IF(OR(J3969=0,AND(J3969=1,K3969=1),AND(J3969=1,I3969="SBJ"),AND(J3969=1,I3969=0)),"?IN_FOCUS",IF(J3969&lt;=2,"?ACTIVATED",IF(J3969&lt;&gt;"","?FAMILIAR",IF(F3969="NEW",IF(ISNA(VLOOKUP(E3969,#REF!,1,FALSE())),"?TYPE_IDENTIFIABLE","?REFERENTIAL"),"_")))))</f>
        <v> </v>
      </c>
      <c r="H3969" s="25" t="str">
        <f>IF(J3969&lt;&gt;1,"",IF(I3969="SBJ","CB","?"))</f>
        <v> </v>
      </c>
      <c r="I3969" s="26" t="str">
        <f>IF(OR(E3969="",E3969="!!!",F3969="NEW"),"",INDEX(B3968:B$2,-1+SUMPRODUCT(MAX(ROW(E3968:E$2)*(E3969=E3968:E$2)))))</f>
        <v> </v>
      </c>
      <c r="J3969" s="26" t="str">
        <f>IF(OR(E3969="",E3969="!!!",F3969="NEW"),"",COUNTBLANK(OFFSET(A$1,,,SUMPRODUCT(MAX(ROW(E$2:E3969)*(E3969=E$2:E3969)))))-COUNTBLANK(OFFSET(A$1,,,SUMPRODUCT(MAX(ROW(E$1:E3968)*(E2=E$1:E3968))))))</f>
        <v> </v>
      </c>
      <c r="K3969" s="26" t="str">
        <f>IF(OR(E3969="",E3969="!!!",F3969="NEW"),"",INDEX(J$1:J3968,SUMPRODUCT(MAX(ROW(E$1:E3968)*(E3969=E$1:E3968)))))</f>
        <v> </v>
      </c>
      <c r="L3969" s="27"/>
    </row>
    <row r="3970" spans="1:12">
      <c r="A3970" s="20" t="s">
        <v>1015</v>
      </c>
      <c r="E3970" s="22">
        <f>IF(D3970="?OLD","!!!","")</f>
        <v/>
      </c>
      <c r="F3970" s="23" t="str">
        <f>IF(OR(E3970="",E3970="!!!"),"",IF(NOT(ISNA(VLOOKUP(E3970,E$1:E3969,1,FALSE()))),"OLD",IF(AND(E3970&lt;&gt;"",E3970&lt;&gt;"!!!"),"NEW","")))</f>
        <v> </v>
      </c>
      <c r="G3970" s="24" t="str">
        <f>IF(OR(E3970="",E3970="!!!"),"",IF(OR(J3970=0,AND(J3970=1,K3970=1),AND(J3970=1,I3970="SBJ"),AND(J3970=1,I3970=0)),"?IN_FOCUS",IF(J3970&lt;=2,"?ACTIVATED",IF(J3970&lt;&gt;"","?FAMILIAR",IF(F3970="NEW",IF(ISNA(VLOOKUP(E3970,#REF!,1,FALSE())),"?TYPE_IDENTIFIABLE","?REFERENTIAL"),"_")))))</f>
        <v> </v>
      </c>
      <c r="H3970" s="25" t="str">
        <f>IF(J3970&lt;&gt;1,"",IF(I3970="SBJ","CB","?"))</f>
        <v> </v>
      </c>
      <c r="I3970" s="26" t="str">
        <f>IF(OR(E3970="",E3970="!!!",F3970="NEW"),"",INDEX(B3969:B$2,-1+SUMPRODUCT(MAX(ROW(E3969:E$2)*(E3970=E3969:E$2)))))</f>
        <v> </v>
      </c>
      <c r="J3970" s="26" t="str">
        <f>IF(OR(E3970="",E3970="!!!",F3970="NEW"),"",COUNTBLANK(OFFSET(A$1,,,SUMPRODUCT(MAX(ROW(E$2:E3970)*(E3970=E$2:E3970)))))-COUNTBLANK(OFFSET(A$1,,,SUMPRODUCT(MAX(ROW(E$1:E3969)*(E2=E$1:E3969))))))</f>
        <v> </v>
      </c>
      <c r="K3970" s="26" t="str">
        <f>IF(OR(E3970="",E3970="!!!",F3970="NEW"),"",INDEX(J$1:J3969,SUMPRODUCT(MAX(ROW(E$1:E3969)*(E3970=E$1:E3969)))))</f>
        <v> </v>
      </c>
      <c r="L3970" s="27"/>
    </row>
    <row r="3971" spans="1:12">
      <c r="A3971" s="20" t="s">
        <v>1544</v>
      </c>
      <c r="B3971" s="21" t="s">
        <v>1035</v>
      </c>
      <c r="C3971" s="21" t="s">
        <v>1059</v>
      </c>
      <c r="D3971" s="21" t="s">
        <v>1007</v>
      </c>
      <c r="E3971" s="22">
        <f>IF(D3971="?OLD","!!!","")</f>
        <v/>
      </c>
      <c r="F3971" s="23" t="str">
        <f>IF(OR(E3971="",E3971="!!!"),"",IF(NOT(ISNA(VLOOKUP(E3971,E$1:E3970,1,FALSE()))),"OLD",IF(AND(E3971&lt;&gt;"",E3971&lt;&gt;"!!!"),"NEW","")))</f>
        <v> </v>
      </c>
      <c r="G3971" s="24" t="str">
        <f>IF(OR(E3971="",E3971="!!!"),"",IF(OR(J3971=0,AND(J3971=1,K3971=1),AND(J3971=1,I3971="SBJ"),AND(J3971=1,I3971=0)),"?IN_FOCUS",IF(J3971&lt;=2,"?ACTIVATED",IF(J3971&lt;&gt;"","?FAMILIAR",IF(F3971="NEW",IF(ISNA(VLOOKUP(E3971,#REF!,1,FALSE())),"?TYPE_IDENTIFIABLE","?REFERENTIAL"),"_")))))</f>
        <v> </v>
      </c>
      <c r="H3971" s="25" t="str">
        <f>IF(J3971&lt;&gt;1,"",IF(I3971="SBJ","CB","?"))</f>
        <v> </v>
      </c>
      <c r="I3971" s="26" t="str">
        <f>IF(OR(E3971="",E3971="!!!",F3971="NEW"),"",INDEX(B3970:B$2,-1+SUMPRODUCT(MAX(ROW(E3970:E$2)*(E3971=E3970:E$2)))))</f>
        <v> </v>
      </c>
      <c r="J3971" s="26" t="str">
        <f>IF(OR(E3971="",E3971="!!!",F3971="NEW"),"",COUNTBLANK(OFFSET(A$1,,,SUMPRODUCT(MAX(ROW(E$2:E3971)*(E3971=E$2:E3971)))))-COUNTBLANK(OFFSET(A$1,,,SUMPRODUCT(MAX(ROW(E$1:E3970)*(E2=E$1:E3970))))))</f>
        <v> </v>
      </c>
      <c r="K3971" s="26" t="str">
        <f>IF(OR(E3971="",E3971="!!!",F3971="NEW"),"",INDEX(J$1:J3970,SUMPRODUCT(MAX(ROW(E$1:E3970)*(E3971=E$1:E3970)))))</f>
        <v> </v>
      </c>
      <c r="L3971" s="27"/>
    </row>
    <row r="3972" spans="1:12">
      <c r="A3972" s="20" t="s">
        <v>2168</v>
      </c>
      <c r="B3972" s="21" t="s">
        <v>1187</v>
      </c>
      <c r="C3972" s="21" t="s">
        <v>1017</v>
      </c>
      <c r="D3972" s="21" t="s">
        <v>1007</v>
      </c>
      <c r="E3972" s="22">
        <f>IF(D3972="?OLD","!!!","")</f>
        <v/>
      </c>
      <c r="F3972" s="23" t="str">
        <f>IF(OR(E3972="",E3972="!!!"),"",IF(NOT(ISNA(VLOOKUP(E3972,E$1:E3971,1,FALSE()))),"OLD",IF(AND(E3972&lt;&gt;"",E3972&lt;&gt;"!!!"),"NEW","")))</f>
        <v> </v>
      </c>
      <c r="G3972" s="24" t="str">
        <f>IF(OR(E3972="",E3972="!!!"),"",IF(OR(J3972=0,AND(J3972=1,K3972=1),AND(J3972=1,I3972="SBJ"),AND(J3972=1,I3972=0)),"?IN_FOCUS",IF(J3972&lt;=2,"?ACTIVATED",IF(J3972&lt;&gt;"","?FAMILIAR",IF(F3972="NEW",IF(ISNA(VLOOKUP(E3972,#REF!,1,FALSE())),"?TYPE_IDENTIFIABLE","?REFERENTIAL"),"_")))))</f>
        <v> </v>
      </c>
      <c r="H3972" s="25" t="str">
        <f>IF(J3972&lt;&gt;1,"",IF(I3972="SBJ","CB","?"))</f>
        <v> </v>
      </c>
      <c r="I3972" s="26" t="str">
        <f>IF(OR(E3972="",E3972="!!!",F3972="NEW"),"",INDEX(B3971:B$2,-1+SUMPRODUCT(MAX(ROW(E3971:E$2)*(E3972=E3971:E$2)))))</f>
        <v> </v>
      </c>
      <c r="J3972" s="26" t="str">
        <f>IF(OR(E3972="",E3972="!!!",F3972="NEW"),"",COUNTBLANK(OFFSET(A$1,,,SUMPRODUCT(MAX(ROW(E$2:E3972)*(E3972=E$2:E3972)))))-COUNTBLANK(OFFSET(A$1,,,SUMPRODUCT(MAX(ROW(E$1:E3971)*(E2=E$1:E3971))))))</f>
        <v> </v>
      </c>
      <c r="K3972" s="26" t="str">
        <f>IF(OR(E3972="",E3972="!!!",F3972="NEW"),"",INDEX(J$1:J3971,SUMPRODUCT(MAX(ROW(E$1:E3971)*(E3972=E$1:E3971)))))</f>
        <v> </v>
      </c>
      <c r="L3972" s="27"/>
    </row>
    <row r="3973" spans="1:12">
      <c r="A3973" s="20" t="s">
        <v>1018</v>
      </c>
      <c r="E3973" s="22">
        <f>IF(D3973="?OLD","!!!","")</f>
        <v/>
      </c>
      <c r="F3973" s="23" t="str">
        <f>IF(OR(E3973="",E3973="!!!"),"",IF(NOT(ISNA(VLOOKUP(E3973,E$1:E3972,1,FALSE()))),"OLD",IF(AND(E3973&lt;&gt;"",E3973&lt;&gt;"!!!"),"NEW","")))</f>
        <v> </v>
      </c>
      <c r="G3973" s="24" t="str">
        <f>IF(OR(E3973="",E3973="!!!"),"",IF(OR(J3973=0,AND(J3973=1,K3973=1),AND(J3973=1,I3973="SBJ"),AND(J3973=1,I3973=0)),"?IN_FOCUS",IF(J3973&lt;=2,"?ACTIVATED",IF(J3973&lt;&gt;"","?FAMILIAR",IF(F3973="NEW",IF(ISNA(VLOOKUP(E3973,#REF!,1,FALSE())),"?TYPE_IDENTIFIABLE","?REFERENTIAL"),"_")))))</f>
        <v> </v>
      </c>
      <c r="H3973" s="25" t="str">
        <f>IF(J3973&lt;&gt;1,"",IF(I3973="SBJ","CB","?"))</f>
        <v> </v>
      </c>
      <c r="I3973" s="26" t="str">
        <f>IF(OR(E3973="",E3973="!!!",F3973="NEW"),"",INDEX(B3972:B$2,-1+SUMPRODUCT(MAX(ROW(E3972:E$2)*(E3973=E3972:E$2)))))</f>
        <v> </v>
      </c>
      <c r="J3973" s="26" t="str">
        <f>IF(OR(E3973="",E3973="!!!",F3973="NEW"),"",COUNTBLANK(OFFSET(A$1,,,SUMPRODUCT(MAX(ROW(E$2:E3973)*(E3973=E$2:E3973)))))-COUNTBLANK(OFFSET(A$1,,,SUMPRODUCT(MAX(ROW(E$1:E3972)*(E2=E$1:E3972))))))</f>
        <v> </v>
      </c>
      <c r="K3973" s="26" t="str">
        <f>IF(OR(E3973="",E3973="!!!",F3973="NEW"),"",INDEX(J$1:J3972,SUMPRODUCT(MAX(ROW(E$1:E3972)*(E3973=E$1:E3972)))))</f>
        <v> </v>
      </c>
      <c r="L3973" s="27"/>
    </row>
    <row r="3974" spans="1:12">
      <c r="A3974" s="20" t="s">
        <v>1114</v>
      </c>
      <c r="E3974" s="22">
        <f>IF(D3974="?OLD","!!!","")</f>
        <v/>
      </c>
      <c r="F3974" s="23" t="str">
        <f>IF(OR(E3974="",E3974="!!!"),"",IF(NOT(ISNA(VLOOKUP(E3974,E$1:E3973,1,FALSE()))),"OLD",IF(AND(E3974&lt;&gt;"",E3974&lt;&gt;"!!!"),"NEW","")))</f>
        <v> </v>
      </c>
      <c r="G3974" s="24" t="str">
        <f>IF(OR(E3974="",E3974="!!!"),"",IF(OR(J3974=0,AND(J3974=1,K3974=1),AND(J3974=1,I3974="SBJ"),AND(J3974=1,I3974=0)),"?IN_FOCUS",IF(J3974&lt;=2,"?ACTIVATED",IF(J3974&lt;&gt;"","?FAMILIAR",IF(F3974="NEW",IF(ISNA(VLOOKUP(E3974,#REF!,1,FALSE())),"?TYPE_IDENTIFIABLE","?REFERENTIAL"),"_")))))</f>
        <v> </v>
      </c>
      <c r="H3974" s="25" t="str">
        <f>IF(J3974&lt;&gt;1,"",IF(I3974="SBJ","CB","?"))</f>
        <v> </v>
      </c>
      <c r="I3974" s="26" t="str">
        <f>IF(OR(E3974="",E3974="!!!",F3974="NEW"),"",INDEX(B3973:B$2,-1+SUMPRODUCT(MAX(ROW(E3973:E$2)*(E3974=E3973:E$2)))))</f>
        <v> </v>
      </c>
      <c r="J3974" s="26" t="str">
        <f>IF(OR(E3974="",E3974="!!!",F3974="NEW"),"",COUNTBLANK(OFFSET(A$1,,,SUMPRODUCT(MAX(ROW(E$2:E3974)*(E3974=E$2:E3974)))))-COUNTBLANK(OFFSET(A$1,,,SUMPRODUCT(MAX(ROW(E$1:E3973)*(E2=E$1:E3973))))))</f>
        <v> </v>
      </c>
      <c r="K3974" s="26" t="str">
        <f>IF(OR(E3974="",E3974="!!!",F3974="NEW"),"",INDEX(J$1:J3973,SUMPRODUCT(MAX(ROW(E$1:E3973)*(E3974=E$1:E3973)))))</f>
        <v> </v>
      </c>
      <c r="L3974" s="27"/>
    </row>
    <row r="3975" spans="1:12">
      <c r="A3975" s="20" t="s">
        <v>2173</v>
      </c>
      <c r="E3975" s="22">
        <f>IF(D3975="?OLD","!!!","")</f>
        <v/>
      </c>
      <c r="F3975" s="23" t="str">
        <f>IF(OR(E3975="",E3975="!!!"),"",IF(NOT(ISNA(VLOOKUP(E3975,E$1:E3974,1,FALSE()))),"OLD",IF(AND(E3975&lt;&gt;"",E3975&lt;&gt;"!!!"),"NEW","")))</f>
        <v> </v>
      </c>
      <c r="G3975" s="24" t="str">
        <f>IF(OR(E3975="",E3975="!!!"),"",IF(OR(J3975=0,AND(J3975=1,K3975=1),AND(J3975=1,I3975="SBJ"),AND(J3975=1,I3975=0)),"?IN_FOCUS",IF(J3975&lt;=2,"?ACTIVATED",IF(J3975&lt;&gt;"","?FAMILIAR",IF(F3975="NEW",IF(ISNA(VLOOKUP(E3975,#REF!,1,FALSE())),"?TYPE_IDENTIFIABLE","?REFERENTIAL"),"_")))))</f>
        <v> </v>
      </c>
      <c r="H3975" s="25" t="str">
        <f>IF(J3975&lt;&gt;1,"",IF(I3975="SBJ","CB","?"))</f>
        <v> </v>
      </c>
      <c r="I3975" s="26" t="str">
        <f>IF(OR(E3975="",E3975="!!!",F3975="NEW"),"",INDEX(B3974:B$2,-1+SUMPRODUCT(MAX(ROW(E3974:E$2)*(E3975=E3974:E$2)))))</f>
        <v> </v>
      </c>
      <c r="J3975" s="26" t="str">
        <f>IF(OR(E3975="",E3975="!!!",F3975="NEW"),"",COUNTBLANK(OFFSET(A$1,,,SUMPRODUCT(MAX(ROW(E$2:E3975)*(E3975=E$2:E3975)))))-COUNTBLANK(OFFSET(A$1,,,SUMPRODUCT(MAX(ROW(E$1:E3974)*(E2=E$1:E3974))))))</f>
        <v> </v>
      </c>
      <c r="K3975" s="26" t="str">
        <f>IF(OR(E3975="",E3975="!!!",F3975="NEW"),"",INDEX(J$1:J3974,SUMPRODUCT(MAX(ROW(E$1:E3974)*(E3975=E$1:E3974)))))</f>
        <v> </v>
      </c>
      <c r="L3975" s="27"/>
    </row>
    <row r="3976" spans="1:12">
      <c r="A3976" s="20" t="s">
        <v>1056</v>
      </c>
      <c r="E3976" s="22">
        <f>IF(D3976="?OLD","!!!","")</f>
        <v/>
      </c>
      <c r="F3976" s="23" t="str">
        <f>IF(OR(E3976="",E3976="!!!"),"",IF(NOT(ISNA(VLOOKUP(E3976,E$1:E3975,1,FALSE()))),"OLD",IF(AND(E3976&lt;&gt;"",E3976&lt;&gt;"!!!"),"NEW","")))</f>
        <v> </v>
      </c>
      <c r="G3976" s="24" t="str">
        <f>IF(OR(E3976="",E3976="!!!"),"",IF(OR(J3976=0,AND(J3976=1,K3976=1),AND(J3976=1,I3976="SBJ"),AND(J3976=1,I3976=0)),"?IN_FOCUS",IF(J3976&lt;=2,"?ACTIVATED",IF(J3976&lt;&gt;"","?FAMILIAR",IF(F3976="NEW",IF(ISNA(VLOOKUP(E3976,#REF!,1,FALSE())),"?TYPE_IDENTIFIABLE","?REFERENTIAL"),"_")))))</f>
        <v> </v>
      </c>
      <c r="H3976" s="25" t="str">
        <f>IF(J3976&lt;&gt;1,"",IF(I3976="SBJ","CB","?"))</f>
        <v> </v>
      </c>
      <c r="I3976" s="26" t="str">
        <f>IF(OR(E3976="",E3976="!!!",F3976="NEW"),"",INDEX(B3975:B$2,-1+SUMPRODUCT(MAX(ROW(E3975:E$2)*(E3976=E3975:E$2)))))</f>
        <v> </v>
      </c>
      <c r="J3976" s="26" t="str">
        <f>IF(OR(E3976="",E3976="!!!",F3976="NEW"),"",COUNTBLANK(OFFSET(A$1,,,SUMPRODUCT(MAX(ROW(E$2:E3976)*(E3976=E$2:E3976)))))-COUNTBLANK(OFFSET(A$1,,,SUMPRODUCT(MAX(ROW(E$1:E3975)*(E2=E$1:E3975))))))</f>
        <v> </v>
      </c>
      <c r="K3976" s="26" t="str">
        <f>IF(OR(E3976="",E3976="!!!",F3976="NEW"),"",INDEX(J$1:J3975,SUMPRODUCT(MAX(ROW(E$1:E3975)*(E3976=E$1:E3975)))))</f>
        <v> </v>
      </c>
      <c r="L3976" s="27"/>
    </row>
    <row r="3977" spans="1:12">
      <c r="A3977" s="20" t="s">
        <v>2176</v>
      </c>
      <c r="B3977" s="21" t="s">
        <v>1029</v>
      </c>
      <c r="C3977" s="21" t="s">
        <v>1111</v>
      </c>
      <c r="E3977" s="22">
        <f>IF(D3977="?OLD","!!!","")</f>
        <v/>
      </c>
      <c r="F3977" s="23" t="str">
        <f>IF(OR(E3977="",E3977="!!!"),"",IF(NOT(ISNA(VLOOKUP(E3977,E$1:E3976,1,FALSE()))),"OLD",IF(AND(E3977&lt;&gt;"",E3977&lt;&gt;"!!!"),"NEW","")))</f>
        <v> </v>
      </c>
      <c r="G3977" s="24" t="str">
        <f>IF(OR(E3977="",E3977="!!!"),"",IF(OR(J3977=0,AND(J3977=1,K3977=1),AND(J3977=1,I3977="SBJ"),AND(J3977=1,I3977=0)),"?IN_FOCUS",IF(J3977&lt;=2,"?ACTIVATED",IF(J3977&lt;&gt;"","?FAMILIAR",IF(F3977="NEW",IF(ISNA(VLOOKUP(E3977,#REF!,1,FALSE())),"?TYPE_IDENTIFIABLE","?REFERENTIAL"),"_")))))</f>
        <v> </v>
      </c>
      <c r="H3977" s="25" t="str">
        <f>IF(J3977&lt;&gt;1,"",IF(I3977="SBJ","CB","?"))</f>
        <v> </v>
      </c>
      <c r="I3977" s="26" t="str">
        <f>IF(OR(E3977="",E3977="!!!",F3977="NEW"),"",INDEX(B3976:B$2,-1+SUMPRODUCT(MAX(ROW(E3976:E$2)*(E3977=E3976:E$2)))))</f>
        <v> </v>
      </c>
      <c r="J3977" s="26" t="str">
        <f>IF(OR(E3977="",E3977="!!!",F3977="NEW"),"",COUNTBLANK(OFFSET(A$1,,,SUMPRODUCT(MAX(ROW(E$2:E3977)*(E3977=E$2:E3977)))))-COUNTBLANK(OFFSET(A$1,,,SUMPRODUCT(MAX(ROW(E$1:E3976)*(E2=E$1:E3976))))))</f>
        <v> </v>
      </c>
      <c r="K3977" s="26" t="str">
        <f>IF(OR(E3977="",E3977="!!!",F3977="NEW"),"",INDEX(J$1:J3976,SUMPRODUCT(MAX(ROW(E$1:E3976)*(E3977=E$1:E3976)))))</f>
        <v> </v>
      </c>
      <c r="L3977" s="27"/>
    </row>
    <row r="3978" spans="1:12">
      <c r="A3978" s="20" t="s">
        <v>2177</v>
      </c>
      <c r="E3978" s="22">
        <f>IF(D3978="?OLD","!!!","")</f>
        <v/>
      </c>
      <c r="F3978" s="23" t="str">
        <f>IF(OR(E3978="",E3978="!!!"),"",IF(NOT(ISNA(VLOOKUP(E3978,E$1:E3977,1,FALSE()))),"OLD",IF(AND(E3978&lt;&gt;"",E3978&lt;&gt;"!!!"),"NEW","")))</f>
        <v> </v>
      </c>
      <c r="G3978" s="24" t="str">
        <f>IF(OR(E3978="",E3978="!!!"),"",IF(OR(J3978=0,AND(J3978=1,K3978=1),AND(J3978=1,I3978="SBJ"),AND(J3978=1,I3978=0)),"?IN_FOCUS",IF(J3978&lt;=2,"?ACTIVATED",IF(J3978&lt;&gt;"","?FAMILIAR",IF(F3978="NEW",IF(ISNA(VLOOKUP(E3978,#REF!,1,FALSE())),"?TYPE_IDENTIFIABLE","?REFERENTIAL"),"_")))))</f>
        <v> </v>
      </c>
      <c r="H3978" s="25" t="str">
        <f>IF(J3978&lt;&gt;1,"",IF(I3978="SBJ","CB","?"))</f>
        <v> </v>
      </c>
      <c r="I3978" s="26" t="str">
        <f>IF(OR(E3978="",E3978="!!!",F3978="NEW"),"",INDEX(B3977:B$2,-1+SUMPRODUCT(MAX(ROW(E3977:E$2)*(E3978=E3977:E$2)))))</f>
        <v> </v>
      </c>
      <c r="J3978" s="26" t="str">
        <f>IF(OR(E3978="",E3978="!!!",F3978="NEW"),"",COUNTBLANK(OFFSET(A$1,,,SUMPRODUCT(MAX(ROW(E$2:E3978)*(E3978=E$2:E3978)))))-COUNTBLANK(OFFSET(A$1,,,SUMPRODUCT(MAX(ROW(E$1:E3977)*(E2=E$1:E3977))))))</f>
        <v> </v>
      </c>
      <c r="K3978" s="26" t="str">
        <f>IF(OR(E3978="",E3978="!!!",F3978="NEW"),"",INDEX(J$1:J3977,SUMPRODUCT(MAX(ROW(E$1:E3977)*(E3978=E$1:E3977)))))</f>
        <v> </v>
      </c>
      <c r="L3978" s="27"/>
    </row>
    <row r="3979" spans="1:12">
      <c r="A3979" s="20" t="s">
        <v>1030</v>
      </c>
      <c r="E3979" s="22">
        <f>IF(D3979="?OLD","!!!","")</f>
        <v/>
      </c>
      <c r="F3979" s="23" t="str">
        <f>IF(OR(E3979="",E3979="!!!"),"",IF(NOT(ISNA(VLOOKUP(E3979,E$1:E3978,1,FALSE()))),"OLD",IF(AND(E3979&lt;&gt;"",E3979&lt;&gt;"!!!"),"NEW","")))</f>
        <v> </v>
      </c>
      <c r="G3979" s="24" t="str">
        <f>IF(OR(E3979="",E3979="!!!"),"",IF(OR(J3979=0,AND(J3979=1,K3979=1),AND(J3979=1,I3979="SBJ"),AND(J3979=1,I3979=0)),"?IN_FOCUS",IF(J3979&lt;=2,"?ACTIVATED",IF(J3979&lt;&gt;"","?FAMILIAR",IF(F3979="NEW",IF(ISNA(VLOOKUP(E3979,#REF!,1,FALSE())),"?TYPE_IDENTIFIABLE","?REFERENTIAL"),"_")))))</f>
        <v> </v>
      </c>
      <c r="H3979" s="25" t="str">
        <f>IF(J3979&lt;&gt;1,"",IF(I3979="SBJ","CB","?"))</f>
        <v> </v>
      </c>
      <c r="I3979" s="26" t="str">
        <f>IF(OR(E3979="",E3979="!!!",F3979="NEW"),"",INDEX(B3978:B$2,-1+SUMPRODUCT(MAX(ROW(E3978:E$2)*(E3979=E3978:E$2)))))</f>
        <v> </v>
      </c>
      <c r="J3979" s="26" t="str">
        <f>IF(OR(E3979="",E3979="!!!",F3979="NEW"),"",COUNTBLANK(OFFSET(A$1,,,SUMPRODUCT(MAX(ROW(E$2:E3979)*(E3979=E$2:E3979)))))-COUNTBLANK(OFFSET(A$1,,,SUMPRODUCT(MAX(ROW(E$1:E3978)*(E2=E$1:E3978))))))</f>
        <v> </v>
      </c>
      <c r="K3979" s="26" t="str">
        <f>IF(OR(E3979="",E3979="!!!",F3979="NEW"),"",INDEX(J$1:J3978,SUMPRODUCT(MAX(ROW(E$1:E3978)*(E3979=E$1:E3978)))))</f>
        <v> </v>
      </c>
      <c r="L3979" s="27"/>
    </row>
    <row r="3980" spans="1:12">
      <c r="A3980" s="20" t="s">
        <v>2178</v>
      </c>
      <c r="B3980" s="21" t="s">
        <v>1005</v>
      </c>
      <c r="C3980" s="21" t="s">
        <v>1006</v>
      </c>
      <c r="D3980" s="21" t="s">
        <v>1007</v>
      </c>
      <c r="E3980" s="22">
        <f>IF(D3980="?OLD","!!!","")</f>
        <v/>
      </c>
      <c r="F3980" s="23" t="str">
        <f>IF(OR(E3980="",E3980="!!!"),"",IF(NOT(ISNA(VLOOKUP(E3980,E$1:E3979,1,FALSE()))),"OLD",IF(AND(E3980&lt;&gt;"",E3980&lt;&gt;"!!!"),"NEW","")))</f>
        <v> </v>
      </c>
      <c r="G3980" s="24" t="str">
        <f>IF(OR(E3980="",E3980="!!!"),"",IF(OR(J3980=0,AND(J3980=1,K3980=1),AND(J3980=1,I3980="SBJ"),AND(J3980=1,I3980=0)),"?IN_FOCUS",IF(J3980&lt;=2,"?ACTIVATED",IF(J3980&lt;&gt;"","?FAMILIAR",IF(F3980="NEW",IF(ISNA(VLOOKUP(E3980,#REF!,1,FALSE())),"?TYPE_IDENTIFIABLE","?REFERENTIAL"),"_")))))</f>
        <v> </v>
      </c>
      <c r="H3980" s="25" t="str">
        <f>IF(J3980&lt;&gt;1,"",IF(I3980="SBJ","CB","?"))</f>
        <v> </v>
      </c>
      <c r="I3980" s="26" t="str">
        <f>IF(OR(E3980="",E3980="!!!",F3980="NEW"),"",INDEX(B3979:B$2,-1+SUMPRODUCT(MAX(ROW(E3979:E$2)*(E3980=E3979:E$2)))))</f>
        <v> </v>
      </c>
      <c r="J3980" s="26" t="str">
        <f>IF(OR(E3980="",E3980="!!!",F3980="NEW"),"",COUNTBLANK(OFFSET(A$1,,,SUMPRODUCT(MAX(ROW(E$2:E3980)*(E3980=E$2:E3980)))))-COUNTBLANK(OFFSET(A$1,,,SUMPRODUCT(MAX(ROW(E$1:E3979)*(E2=E$1:E3979))))))</f>
        <v> </v>
      </c>
      <c r="K3980" s="26" t="str">
        <f>IF(OR(E3980="",E3980="!!!",F3980="NEW"),"",INDEX(J$1:J3979,SUMPRODUCT(MAX(ROW(E$1:E3979)*(E3980=E$1:E3979)))))</f>
        <v> </v>
      </c>
      <c r="L3980" s="27"/>
    </row>
    <row r="3981" spans="1:12">
      <c r="A3981" s="20" t="s">
        <v>1140</v>
      </c>
      <c r="B3981" s="21" t="s">
        <v>1050</v>
      </c>
      <c r="C3981" s="21" t="s">
        <v>1073</v>
      </c>
      <c r="D3981" s="21" t="s">
        <v>1007</v>
      </c>
      <c r="E3981" s="22">
        <f>IF(D3981="?OLD","!!!","")</f>
        <v/>
      </c>
      <c r="F3981" s="23" t="str">
        <f>IF(OR(E3981="",E3981="!!!"),"",IF(NOT(ISNA(VLOOKUP(E3981,E$1:E3980,1,FALSE()))),"OLD",IF(AND(E3981&lt;&gt;"",E3981&lt;&gt;"!!!"),"NEW","")))</f>
        <v> </v>
      </c>
      <c r="G3981" s="24" t="str">
        <f>IF(OR(E3981="",E3981="!!!"),"",IF(OR(J3981=0,AND(J3981=1,K3981=1),AND(J3981=1,I3981="SBJ"),AND(J3981=1,I3981=0)),"?IN_FOCUS",IF(J3981&lt;=2,"?ACTIVATED",IF(J3981&lt;&gt;"","?FAMILIAR",IF(F3981="NEW",IF(ISNA(VLOOKUP(E3981,#REF!,1,FALSE())),"?TYPE_IDENTIFIABLE","?REFERENTIAL"),"_")))))</f>
        <v> </v>
      </c>
      <c r="H3981" s="25" t="str">
        <f>IF(J3981&lt;&gt;1,"",IF(I3981="SBJ","CB","?"))</f>
        <v> </v>
      </c>
      <c r="I3981" s="26" t="str">
        <f>IF(OR(E3981="",E3981="!!!",F3981="NEW"),"",INDEX(B3980:B$2,-1+SUMPRODUCT(MAX(ROW(E3980:E$2)*(E3981=E3980:E$2)))))</f>
        <v> </v>
      </c>
      <c r="J3981" s="26" t="str">
        <f>IF(OR(E3981="",E3981="!!!",F3981="NEW"),"",COUNTBLANK(OFFSET(A$1,,,SUMPRODUCT(MAX(ROW(E$2:E3981)*(E3981=E$2:E3981)))))-COUNTBLANK(OFFSET(A$1,,,SUMPRODUCT(MAX(ROW(E$1:E3980)*(E2=E$1:E3980))))))</f>
        <v> </v>
      </c>
      <c r="K3981" s="26" t="str">
        <f>IF(OR(E3981="",E3981="!!!",F3981="NEW"),"",INDEX(J$1:J3980,SUMPRODUCT(MAX(ROW(E$1:E3980)*(E3981=E$1:E3980)))))</f>
        <v> </v>
      </c>
      <c r="L3981" s="27"/>
    </row>
    <row r="3982" spans="1:12">
      <c r="A3982" s="20" t="s">
        <v>1124</v>
      </c>
      <c r="E3982" s="22">
        <f>IF(D3982="?OLD","!!!","")</f>
        <v/>
      </c>
      <c r="F3982" s="23" t="str">
        <f>IF(OR(E3982="",E3982="!!!"),"",IF(NOT(ISNA(VLOOKUP(E3982,E$1:E3981,1,FALSE()))),"OLD",IF(AND(E3982&lt;&gt;"",E3982&lt;&gt;"!!!"),"NEW","")))</f>
        <v> </v>
      </c>
      <c r="G3982" s="24" t="str">
        <f>IF(OR(E3982="",E3982="!!!"),"",IF(OR(J3982=0,AND(J3982=1,K3982=1),AND(J3982=1,I3982="SBJ"),AND(J3982=1,I3982=0)),"?IN_FOCUS",IF(J3982&lt;=2,"?ACTIVATED",IF(J3982&lt;&gt;"","?FAMILIAR",IF(F3982="NEW",IF(ISNA(VLOOKUP(E3982,#REF!,1,FALSE())),"?TYPE_IDENTIFIABLE","?REFERENTIAL"),"_")))))</f>
        <v> </v>
      </c>
      <c r="H3982" s="25" t="str">
        <f>IF(J3982&lt;&gt;1,"",IF(I3982="SBJ","CB","?"))</f>
        <v> </v>
      </c>
      <c r="I3982" s="26" t="str">
        <f>IF(OR(E3982="",E3982="!!!",F3982="NEW"),"",INDEX(B3981:B$2,-1+SUMPRODUCT(MAX(ROW(E3981:E$2)*(E3982=E3981:E$2)))))</f>
        <v> </v>
      </c>
      <c r="J3982" s="26" t="str">
        <f>IF(OR(E3982="",E3982="!!!",F3982="NEW"),"",COUNTBLANK(OFFSET(A$1,,,SUMPRODUCT(MAX(ROW(E$2:E3982)*(E3982=E$2:E3982)))))-COUNTBLANK(OFFSET(A$1,,,SUMPRODUCT(MAX(ROW(E$1:E3981)*(E2=E$1:E3981))))))</f>
        <v> </v>
      </c>
      <c r="K3982" s="26" t="str">
        <f>IF(OR(E3982="",E3982="!!!",F3982="NEW"),"",INDEX(J$1:J3981,SUMPRODUCT(MAX(ROW(E$1:E3981)*(E3982=E$1:E3981)))))</f>
        <v> </v>
      </c>
      <c r="L3982" s="27"/>
    </row>
    <row r="3983" spans="1:12">
      <c r="A3983" s="20" t="s">
        <v>1566</v>
      </c>
      <c r="E3983" s="22">
        <f>IF(D3983="?OLD","!!!","")</f>
        <v/>
      </c>
      <c r="F3983" s="23" t="str">
        <f>IF(OR(E3983="",E3983="!!!"),"",IF(NOT(ISNA(VLOOKUP(E3983,E$1:E3982,1,FALSE()))),"OLD",IF(AND(E3983&lt;&gt;"",E3983&lt;&gt;"!!!"),"NEW","")))</f>
        <v> </v>
      </c>
      <c r="G3983" s="24" t="str">
        <f>IF(OR(E3983="",E3983="!!!"),"",IF(OR(J3983=0,AND(J3983=1,K3983=1),AND(J3983=1,I3983="SBJ"),AND(J3983=1,I3983=0)),"?IN_FOCUS",IF(J3983&lt;=2,"?ACTIVATED",IF(J3983&lt;&gt;"","?FAMILIAR",IF(F3983="NEW",IF(ISNA(VLOOKUP(E3983,#REF!,1,FALSE())),"?TYPE_IDENTIFIABLE","?REFERENTIAL"),"_")))))</f>
        <v> </v>
      </c>
      <c r="H3983" s="25" t="str">
        <f>IF(J3983&lt;&gt;1,"",IF(I3983="SBJ","CB","?"))</f>
        <v> </v>
      </c>
      <c r="I3983" s="26" t="str">
        <f>IF(OR(E3983="",E3983="!!!",F3983="NEW"),"",INDEX(B3982:B$2,-1+SUMPRODUCT(MAX(ROW(E3982:E$2)*(E3983=E3982:E$2)))))</f>
        <v> </v>
      </c>
      <c r="J3983" s="26" t="str">
        <f>IF(OR(E3983="",E3983="!!!",F3983="NEW"),"",COUNTBLANK(OFFSET(A$1,,,SUMPRODUCT(MAX(ROW(E$2:E3983)*(E3983=E$2:E3983)))))-COUNTBLANK(OFFSET(A$1,,,SUMPRODUCT(MAX(ROW(E$1:E3982)*(E2=E$1:E3982))))))</f>
        <v> </v>
      </c>
      <c r="K3983" s="26" t="str">
        <f>IF(OR(E3983="",E3983="!!!",F3983="NEW"),"",INDEX(J$1:J3982,SUMPRODUCT(MAX(ROW(E$1:E3982)*(E3983=E$1:E3982)))))</f>
        <v> </v>
      </c>
      <c r="L3983" s="27"/>
    </row>
    <row r="3984" spans="1:12">
      <c r="A3984" s="20" t="s">
        <v>2179</v>
      </c>
      <c r="B3984" s="21" t="s">
        <v>1085</v>
      </c>
      <c r="C3984" s="21" t="s">
        <v>1013</v>
      </c>
      <c r="D3984" s="21" t="s">
        <v>1007</v>
      </c>
      <c r="E3984" s="22">
        <f>IF(D3984="?OLD","!!!","")</f>
        <v/>
      </c>
      <c r="F3984" s="23" t="str">
        <f>IF(OR(E3984="",E3984="!!!"),"",IF(NOT(ISNA(VLOOKUP(E3984,E$1:E3983,1,FALSE()))),"OLD",IF(AND(E3984&lt;&gt;"",E3984&lt;&gt;"!!!"),"NEW","")))</f>
        <v> </v>
      </c>
      <c r="G3984" s="24" t="str">
        <f>IF(OR(E3984="",E3984="!!!"),"",IF(OR(J3984=0,AND(J3984=1,K3984=1),AND(J3984=1,I3984="SBJ"),AND(J3984=1,I3984=0)),"?IN_FOCUS",IF(J3984&lt;=2,"?ACTIVATED",IF(J3984&lt;&gt;"","?FAMILIAR",IF(F3984="NEW",IF(ISNA(VLOOKUP(E3984,#REF!,1,FALSE())),"?TYPE_IDENTIFIABLE","?REFERENTIAL"),"_")))))</f>
        <v> </v>
      </c>
      <c r="H3984" s="25" t="str">
        <f>IF(J3984&lt;&gt;1,"",IF(I3984="SBJ","CB","?"))</f>
        <v> </v>
      </c>
      <c r="I3984" s="26" t="str">
        <f>IF(OR(E3984="",E3984="!!!",F3984="NEW"),"",INDEX(B3983:B$2,-1+SUMPRODUCT(MAX(ROW(E3983:E$2)*(E3984=E3983:E$2)))))</f>
        <v> </v>
      </c>
      <c r="J3984" s="26" t="str">
        <f>IF(OR(E3984="",E3984="!!!",F3984="NEW"),"",COUNTBLANK(OFFSET(A$1,,,SUMPRODUCT(MAX(ROW(E$2:E3984)*(E3984=E$2:E3984)))))-COUNTBLANK(OFFSET(A$1,,,SUMPRODUCT(MAX(ROW(E$1:E3983)*(E2=E$1:E3983))))))</f>
        <v> </v>
      </c>
      <c r="K3984" s="26" t="str">
        <f>IF(OR(E3984="",E3984="!!!",F3984="NEW"),"",INDEX(J$1:J3983,SUMPRODUCT(MAX(ROW(E$1:E3983)*(E3984=E$1:E3983)))))</f>
        <v> </v>
      </c>
      <c r="L3984" s="27"/>
    </row>
    <row r="3985" spans="1:12">
      <c r="A3985" s="20" t="s">
        <v>1097</v>
      </c>
      <c r="E3985" s="22">
        <f>IF(D3985="?OLD","!!!","")</f>
        <v/>
      </c>
      <c r="F3985" s="23" t="str">
        <f>IF(OR(E3985="",E3985="!!!"),"",IF(NOT(ISNA(VLOOKUP(E3985,E$1:E3984,1,FALSE()))),"OLD",IF(AND(E3985&lt;&gt;"",E3985&lt;&gt;"!!!"),"NEW","")))</f>
        <v> </v>
      </c>
      <c r="G3985" s="24" t="str">
        <f>IF(OR(E3985="",E3985="!!!"),"",IF(OR(J3985=0,AND(J3985=1,K3985=1),AND(J3985=1,I3985="SBJ"),AND(J3985=1,I3985=0)),"?IN_FOCUS",IF(J3985&lt;=2,"?ACTIVATED",IF(J3985&lt;&gt;"","?FAMILIAR",IF(F3985="NEW",IF(ISNA(VLOOKUP(E3985,#REF!,1,FALSE())),"?TYPE_IDENTIFIABLE","?REFERENTIAL"),"_")))))</f>
        <v> </v>
      </c>
      <c r="H3985" s="25" t="str">
        <f>IF(J3985&lt;&gt;1,"",IF(I3985="SBJ","CB","?"))</f>
        <v> </v>
      </c>
      <c r="I3985" s="26" t="str">
        <f>IF(OR(E3985="",E3985="!!!",F3985="NEW"),"",INDEX(B3984:B$2,-1+SUMPRODUCT(MAX(ROW(E3984:E$2)*(E3985=E3984:E$2)))))</f>
        <v> </v>
      </c>
      <c r="J3985" s="26" t="str">
        <f>IF(OR(E3985="",E3985="!!!",F3985="NEW"),"",COUNTBLANK(OFFSET(A$1,,,SUMPRODUCT(MAX(ROW(E$2:E3985)*(E3985=E$2:E3985)))))-COUNTBLANK(OFFSET(A$1,,,SUMPRODUCT(MAX(ROW(E$1:E3984)*(E2=E$1:E3984))))))</f>
        <v> </v>
      </c>
      <c r="K3985" s="26" t="str">
        <f>IF(OR(E3985="",E3985="!!!",F3985="NEW"),"",INDEX(J$1:J3984,SUMPRODUCT(MAX(ROW(E$1:E3984)*(E3985=E$1:E3984)))))</f>
        <v> </v>
      </c>
      <c r="L3985" s="27"/>
    </row>
    <row r="3986" spans="1:12">
      <c r="A3986" s="20" t="s">
        <v>102</v>
      </c>
      <c r="E3986" s="22">
        <f>IF(D3986="?OLD","!!!","")</f>
        <v/>
      </c>
      <c r="F3986" s="23" t="str">
        <f>IF(OR(E3986="",E3986="!!!"),"",IF(NOT(ISNA(VLOOKUP(E3986,E$1:E3985,1,FALSE()))),"OLD",IF(AND(E3986&lt;&gt;"",E3986&lt;&gt;"!!!"),"NEW","")))</f>
        <v> </v>
      </c>
      <c r="G3986" s="24" t="str">
        <f>IF(OR(E3986="",E3986="!!!"),"",IF(OR(J3986=0,AND(J3986=1,K3986=1),AND(J3986=1,I3986="SBJ"),AND(J3986=1,I3986=0)),"?IN_FOCUS",IF(J3986&lt;=2,"?ACTIVATED",IF(J3986&lt;&gt;"","?FAMILIAR",IF(F3986="NEW",IF(ISNA(VLOOKUP(E3986,#REF!,1,FALSE())),"?TYPE_IDENTIFIABLE","?REFERENTIAL"),"_")))))</f>
        <v> </v>
      </c>
      <c r="H3986" s="25" t="str">
        <f>IF(J3986&lt;&gt;1,"",IF(I3986="SBJ","CB","?"))</f>
        <v> </v>
      </c>
      <c r="I3986" s="26" t="str">
        <f>IF(OR(E3986="",E3986="!!!",F3986="NEW"),"",INDEX(B3985:B$2,-1+SUMPRODUCT(MAX(ROW(E3985:E$2)*(E3986=E3985:E$2)))))</f>
        <v> </v>
      </c>
      <c r="J3986" s="26" t="str">
        <f>IF(OR(E3986="",E3986="!!!",F3986="NEW"),"",COUNTBLANK(OFFSET(A$1,,,SUMPRODUCT(MAX(ROW(E$2:E3986)*(E3986=E$2:E3986)))))-COUNTBLANK(OFFSET(A$1,,,SUMPRODUCT(MAX(ROW(E$1:E3985)*(E2=E$1:E3985))))))</f>
        <v> </v>
      </c>
      <c r="K3986" s="26" t="str">
        <f>IF(OR(E3986="",E3986="!!!",F3986="NEW"),"",INDEX(J$1:J3985,SUMPRODUCT(MAX(ROW(E$1:E3985)*(E3986=E$1:E3985)))))</f>
        <v> </v>
      </c>
      <c r="L3986" s="27"/>
    </row>
    <row r="3987" spans="1:12">
      <c r="A3987" s="20" t="s">
        <v>1344</v>
      </c>
      <c r="B3987" s="21" t="s">
        <v>1022</v>
      </c>
      <c r="C3987" s="21" t="s">
        <v>1017</v>
      </c>
      <c r="D3987" s="21" t="s">
        <v>1007</v>
      </c>
      <c r="E3987" s="22">
        <f>IF(D3987="?OLD","!!!","")</f>
        <v/>
      </c>
      <c r="F3987" s="23" t="str">
        <f>IF(OR(E3987="",E3987="!!!"),"",IF(NOT(ISNA(VLOOKUP(E3987,E$1:E3986,1,FALSE()))),"OLD",IF(AND(E3987&lt;&gt;"",E3987&lt;&gt;"!!!"),"NEW","")))</f>
        <v> </v>
      </c>
      <c r="G3987" s="24" t="str">
        <f>IF(OR(E3987="",E3987="!!!"),"",IF(OR(J3987=0,AND(J3987=1,K3987=1),AND(J3987=1,I3987="SBJ"),AND(J3987=1,I3987=0)),"?IN_FOCUS",IF(J3987&lt;=2,"?ACTIVATED",IF(J3987&lt;&gt;"","?FAMILIAR",IF(F3987="NEW",IF(ISNA(VLOOKUP(E3987,#REF!,1,FALSE())),"?TYPE_IDENTIFIABLE","?REFERENTIAL"),"_")))))</f>
        <v> </v>
      </c>
      <c r="H3987" s="25" t="str">
        <f>IF(J3987&lt;&gt;1,"",IF(I3987="SBJ","CB","?"))</f>
        <v> </v>
      </c>
      <c r="I3987" s="26" t="str">
        <f>IF(OR(E3987="",E3987="!!!",F3987="NEW"),"",INDEX(B3986:B$2,-1+SUMPRODUCT(MAX(ROW(E3986:E$2)*(E3987=E3986:E$2)))))</f>
        <v> </v>
      </c>
      <c r="J3987" s="26" t="str">
        <f>IF(OR(E3987="",E3987="!!!",F3987="NEW"),"",COUNTBLANK(OFFSET(A$1,,,SUMPRODUCT(MAX(ROW(E$2:E3987)*(E3987=E$2:E3987)))))-COUNTBLANK(OFFSET(A$1,,,SUMPRODUCT(MAX(ROW(E$1:E3986)*(E2=E$1:E3986))))))</f>
        <v> </v>
      </c>
      <c r="K3987" s="26" t="str">
        <f>IF(OR(E3987="",E3987="!!!",F3987="NEW"),"",INDEX(J$1:J3986,SUMPRODUCT(MAX(ROW(E$1:E3986)*(E3987=E$1:E3986)))))</f>
        <v> </v>
      </c>
      <c r="L3987" s="27"/>
    </row>
    <row r="3988" spans="1:12">
      <c r="A3988" s="20" t="s">
        <v>1194</v>
      </c>
      <c r="E3988" s="22">
        <f>IF(D3988="?OLD","!!!","")</f>
        <v/>
      </c>
      <c r="F3988" s="23" t="str">
        <f>IF(OR(E3988="",E3988="!!!"),"",IF(NOT(ISNA(VLOOKUP(E3988,E$1:E3987,1,FALSE()))),"OLD",IF(AND(E3988&lt;&gt;"",E3988&lt;&gt;"!!!"),"NEW","")))</f>
        <v> </v>
      </c>
      <c r="G3988" s="24" t="str">
        <f>IF(OR(E3988="",E3988="!!!"),"",IF(OR(J3988=0,AND(J3988=1,K3988=1),AND(J3988=1,I3988="SBJ"),AND(J3988=1,I3988=0)),"?IN_FOCUS",IF(J3988&lt;=2,"?ACTIVATED",IF(J3988&lt;&gt;"","?FAMILIAR",IF(F3988="NEW",IF(ISNA(VLOOKUP(E3988,#REF!,1,FALSE())),"?TYPE_IDENTIFIABLE","?REFERENTIAL"),"_")))))</f>
        <v> </v>
      </c>
      <c r="H3988" s="25" t="str">
        <f>IF(J3988&lt;&gt;1,"",IF(I3988="SBJ","CB","?"))</f>
        <v> </v>
      </c>
      <c r="I3988" s="26" t="str">
        <f>IF(OR(E3988="",E3988="!!!",F3988="NEW"),"",INDEX(B3987:B$2,-1+SUMPRODUCT(MAX(ROW(E3987:E$2)*(E3988=E3987:E$2)))))</f>
        <v> </v>
      </c>
      <c r="J3988" s="26" t="str">
        <f>IF(OR(E3988="",E3988="!!!",F3988="NEW"),"",COUNTBLANK(OFFSET(A$1,,,SUMPRODUCT(MAX(ROW(E$2:E3988)*(E3988=E$2:E3988)))))-COUNTBLANK(OFFSET(A$1,,,SUMPRODUCT(MAX(ROW(E$1:E3987)*(E2=E$1:E3987))))))</f>
        <v> </v>
      </c>
      <c r="K3988" s="26" t="str">
        <f>IF(OR(E3988="",E3988="!!!",F3988="NEW"),"",INDEX(J$1:J3987,SUMPRODUCT(MAX(ROW(E$1:E3987)*(E3988=E$1:E3987)))))</f>
        <v> </v>
      </c>
      <c r="L3988" s="27"/>
    </row>
    <row r="3989" spans="1:12">
      <c r="A3989" s="20" t="s">
        <v>1014</v>
      </c>
      <c r="E3989" s="22">
        <f>IF(D3989="?OLD","!!!","")</f>
        <v/>
      </c>
      <c r="F3989" s="23" t="str">
        <f>IF(OR(E3989="",E3989="!!!"),"",IF(NOT(ISNA(VLOOKUP(E3989,E$1:E3988,1,FALSE()))),"OLD",IF(AND(E3989&lt;&gt;"",E3989&lt;&gt;"!!!"),"NEW","")))</f>
        <v> </v>
      </c>
      <c r="G3989" s="24" t="str">
        <f>IF(OR(E3989="",E3989="!!!"),"",IF(OR(J3989=0,AND(J3989=1,K3989=1),AND(J3989=1,I3989="SBJ"),AND(J3989=1,I3989=0)),"?IN_FOCUS",IF(J3989&lt;=2,"?ACTIVATED",IF(J3989&lt;&gt;"","?FAMILIAR",IF(F3989="NEW",IF(ISNA(VLOOKUP(E3989,#REF!,1,FALSE())),"?TYPE_IDENTIFIABLE","?REFERENTIAL"),"_")))))</f>
        <v> </v>
      </c>
      <c r="H3989" s="25" t="str">
        <f>IF(J3989&lt;&gt;1,"",IF(I3989="SBJ","CB","?"))</f>
        <v> </v>
      </c>
      <c r="I3989" s="26" t="str">
        <f>IF(OR(E3989="",E3989="!!!",F3989="NEW"),"",INDEX(B3988:B$2,-1+SUMPRODUCT(MAX(ROW(E3988:E$2)*(E3989=E3988:E$2)))))</f>
        <v> </v>
      </c>
      <c r="J3989" s="26" t="str">
        <f>IF(OR(E3989="",E3989="!!!",F3989="NEW"),"",COUNTBLANK(OFFSET(A$1,,,SUMPRODUCT(MAX(ROW(E$2:E3989)*(E3989=E$2:E3989)))))-COUNTBLANK(OFFSET(A$1,,,SUMPRODUCT(MAX(ROW(E$1:E3988)*(E2=E$1:E3988))))))</f>
        <v> </v>
      </c>
      <c r="K3989" s="26" t="str">
        <f>IF(OR(E3989="",E3989="!!!",F3989="NEW"),"",INDEX(J$1:J3988,SUMPRODUCT(MAX(ROW(E$1:E3988)*(E3989=E$1:E3988)))))</f>
        <v> </v>
      </c>
      <c r="L3989" s="27"/>
    </row>
    <row r="3990" spans="1:12">
      <c r="A3990" s="20" t="s">
        <v>102</v>
      </c>
      <c r="B3990" s="21" t="s">
        <v>1130</v>
      </c>
      <c r="C3990" s="21" t="s">
        <v>1073</v>
      </c>
      <c r="D3990" s="21" t="s">
        <v>1007</v>
      </c>
      <c r="E3990" s="22">
        <f>IF(D3990="?OLD","!!!","")</f>
        <v/>
      </c>
      <c r="F3990" s="23" t="str">
        <f>IF(OR(E3990="",E3990="!!!"),"",IF(NOT(ISNA(VLOOKUP(E3990,E$1:E3989,1,FALSE()))),"OLD",IF(AND(E3990&lt;&gt;"",E3990&lt;&gt;"!!!"),"NEW","")))</f>
        <v> </v>
      </c>
      <c r="G3990" s="24" t="str">
        <f>IF(OR(E3990="",E3990="!!!"),"",IF(OR(J3990=0,AND(J3990=1,K3990=1),AND(J3990=1,I3990="SBJ"),AND(J3990=1,I3990=0)),"?IN_FOCUS",IF(J3990&lt;=2,"?ACTIVATED",IF(J3990&lt;&gt;"","?FAMILIAR",IF(F3990="NEW",IF(ISNA(VLOOKUP(E3990,#REF!,1,FALSE())),"?TYPE_IDENTIFIABLE","?REFERENTIAL"),"_")))))</f>
        <v> </v>
      </c>
      <c r="H3990" s="25" t="str">
        <f>IF(J3990&lt;&gt;1,"",IF(I3990="SBJ","CB","?"))</f>
        <v> </v>
      </c>
      <c r="I3990" s="26" t="str">
        <f>IF(OR(E3990="",E3990="!!!",F3990="NEW"),"",INDEX(B3989:B$2,-1+SUMPRODUCT(MAX(ROW(E3989:E$2)*(E3990=E3989:E$2)))))</f>
        <v> </v>
      </c>
      <c r="J3990" s="26" t="str">
        <f>IF(OR(E3990="",E3990="!!!",F3990="NEW"),"",COUNTBLANK(OFFSET(A$1,,,SUMPRODUCT(MAX(ROW(E$2:E3990)*(E3990=E$2:E3990)))))-COUNTBLANK(OFFSET(A$1,,,SUMPRODUCT(MAX(ROW(E$1:E3989)*(E2=E$1:E3989))))))</f>
        <v> </v>
      </c>
      <c r="K3990" s="26" t="str">
        <f>IF(OR(E3990="",E3990="!!!",F3990="NEW"),"",INDEX(J$1:J3989,SUMPRODUCT(MAX(ROW(E$1:E3989)*(E3990=E$1:E3989)))))</f>
        <v> </v>
      </c>
      <c r="L3990" s="27"/>
    </row>
    <row r="3991" spans="1:12">
      <c r="A3991" s="20" t="s">
        <v>1065</v>
      </c>
      <c r="E3991" s="22">
        <f>IF(D3991="?OLD","!!!","")</f>
        <v/>
      </c>
      <c r="F3991" s="23" t="str">
        <f>IF(OR(E3991="",E3991="!!!"),"",IF(NOT(ISNA(VLOOKUP(E3991,E$1:E3990,1,FALSE()))),"OLD",IF(AND(E3991&lt;&gt;"",E3991&lt;&gt;"!!!"),"NEW","")))</f>
        <v> </v>
      </c>
      <c r="G3991" s="24" t="str">
        <f>IF(OR(E3991="",E3991="!!!"),"",IF(OR(J3991=0,AND(J3991=1,K3991=1),AND(J3991=1,I3991="SBJ"),AND(J3991=1,I3991=0)),"?IN_FOCUS",IF(J3991&lt;=2,"?ACTIVATED",IF(J3991&lt;&gt;"","?FAMILIAR",IF(F3991="NEW",IF(ISNA(VLOOKUP(E3991,#REF!,1,FALSE())),"?TYPE_IDENTIFIABLE","?REFERENTIAL"),"_")))))</f>
        <v> </v>
      </c>
      <c r="H3991" s="25" t="str">
        <f>IF(J3991&lt;&gt;1,"",IF(I3991="SBJ","CB","?"))</f>
        <v> </v>
      </c>
      <c r="I3991" s="26" t="str">
        <f>IF(OR(E3991="",E3991="!!!",F3991="NEW"),"",INDEX(B3990:B$2,-1+SUMPRODUCT(MAX(ROW(E3990:E$2)*(E3991=E3990:E$2)))))</f>
        <v> </v>
      </c>
      <c r="J3991" s="26" t="str">
        <f>IF(OR(E3991="",E3991="!!!",F3991="NEW"),"",COUNTBLANK(OFFSET(A$1,,,SUMPRODUCT(MAX(ROW(E$2:E3991)*(E3991=E$2:E3991)))))-COUNTBLANK(OFFSET(A$1,,,SUMPRODUCT(MAX(ROW(E$1:E3990)*(E2=E$1:E3990))))))</f>
        <v> </v>
      </c>
      <c r="K3991" s="26" t="str">
        <f>IF(OR(E3991="",E3991="!!!",F3991="NEW"),"",INDEX(J$1:J3990,SUMPRODUCT(MAX(ROW(E$1:E3990)*(E3991=E$1:E3990)))))</f>
        <v> </v>
      </c>
      <c r="L3991" s="27"/>
    </row>
    <row r="3992" spans="1:12">
      <c r="A3992" s="20" t="s">
        <v>98</v>
      </c>
      <c r="E3992" s="22">
        <f>IF(D3992="?OLD","!!!","")</f>
        <v/>
      </c>
      <c r="F3992" s="23" t="str">
        <f>IF(OR(E3992="",E3992="!!!"),"",IF(NOT(ISNA(VLOOKUP(E3992,E$1:E3991,1,FALSE()))),"OLD",IF(AND(E3992&lt;&gt;"",E3992&lt;&gt;"!!!"),"NEW","")))</f>
        <v> </v>
      </c>
      <c r="G3992" s="24" t="str">
        <f>IF(OR(E3992="",E3992="!!!"),"",IF(OR(J3992=0,AND(J3992=1,K3992=1),AND(J3992=1,I3992="SBJ"),AND(J3992=1,I3992=0)),"?IN_FOCUS",IF(J3992&lt;=2,"?ACTIVATED",IF(J3992&lt;&gt;"","?FAMILIAR",IF(F3992="NEW",IF(ISNA(VLOOKUP(E3992,#REF!,1,FALSE())),"?TYPE_IDENTIFIABLE","?REFERENTIAL"),"_")))))</f>
        <v> </v>
      </c>
      <c r="H3992" s="25" t="str">
        <f>IF(J3992&lt;&gt;1,"",IF(I3992="SBJ","CB","?"))</f>
        <v> </v>
      </c>
      <c r="I3992" s="26" t="str">
        <f>IF(OR(E3992="",E3992="!!!",F3992="NEW"),"",INDEX(B3991:B$2,-1+SUMPRODUCT(MAX(ROW(E3991:E$2)*(E3992=E3991:E$2)))))</f>
        <v> </v>
      </c>
      <c r="J3992" s="26" t="str">
        <f>IF(OR(E3992="",E3992="!!!",F3992="NEW"),"",COUNTBLANK(OFFSET(A$1,,,SUMPRODUCT(MAX(ROW(E$2:E3992)*(E3992=E$2:E3992)))))-COUNTBLANK(OFFSET(A$1,,,SUMPRODUCT(MAX(ROW(E$1:E3991)*(E2=E$1:E3991))))))</f>
        <v> </v>
      </c>
      <c r="K3992" s="26" t="str">
        <f>IF(OR(E3992="",E3992="!!!",F3992="NEW"),"",INDEX(J$1:J3991,SUMPRODUCT(MAX(ROW(E$1:E3991)*(E3992=E$1:E3991)))))</f>
        <v> </v>
      </c>
      <c r="L3992" s="27"/>
    </row>
    <row r="3993" spans="1:12">
      <c r="A3993" s="20" t="s">
        <v>1020</v>
      </c>
      <c r="E3993" s="22">
        <f>IF(D3993="?OLD","!!!","")</f>
        <v/>
      </c>
      <c r="F3993" s="23" t="str">
        <f>IF(OR(E3993="",E3993="!!!"),"",IF(NOT(ISNA(VLOOKUP(E3993,E$1:E3992,1,FALSE()))),"OLD",IF(AND(E3993&lt;&gt;"",E3993&lt;&gt;"!!!"),"NEW","")))</f>
        <v> </v>
      </c>
      <c r="G3993" s="24" t="str">
        <f>IF(OR(E3993="",E3993="!!!"),"",IF(OR(J3993=0,AND(J3993=1,K3993=1),AND(J3993=1,I3993="SBJ"),AND(J3993=1,I3993=0)),"?IN_FOCUS",IF(J3993&lt;=2,"?ACTIVATED",IF(J3993&lt;&gt;"","?FAMILIAR",IF(F3993="NEW",IF(ISNA(VLOOKUP(E3993,#REF!,1,FALSE())),"?TYPE_IDENTIFIABLE","?REFERENTIAL"),"_")))))</f>
        <v> </v>
      </c>
      <c r="H3993" s="25" t="str">
        <f>IF(J3993&lt;&gt;1,"",IF(I3993="SBJ","CB","?"))</f>
        <v> </v>
      </c>
      <c r="I3993" s="26" t="str">
        <f>IF(OR(E3993="",E3993="!!!",F3993="NEW"),"",INDEX(B3992:B$2,-1+SUMPRODUCT(MAX(ROW(E3992:E$2)*(E3993=E3992:E$2)))))</f>
        <v> </v>
      </c>
      <c r="J3993" s="26" t="str">
        <f>IF(OR(E3993="",E3993="!!!",F3993="NEW"),"",COUNTBLANK(OFFSET(A$1,,,SUMPRODUCT(MAX(ROW(E$2:E3993)*(E3993=E$2:E3993)))))-COUNTBLANK(OFFSET(A$1,,,SUMPRODUCT(MAX(ROW(E$1:E3992)*(E2=E$1:E3992))))))</f>
        <v> </v>
      </c>
      <c r="K3993" s="26" t="str">
        <f>IF(OR(E3993="",E3993="!!!",F3993="NEW"),"",INDEX(J$1:J3992,SUMPRODUCT(MAX(ROW(E$1:E3992)*(E3993=E$1:E3992)))))</f>
        <v> </v>
      </c>
      <c r="L3993" s="27"/>
    </row>
    <row r="3994" spans="1:12">
      <c r="A3994" s="20" t="s">
        <v>2180</v>
      </c>
      <c r="B3994" s="21" t="s">
        <v>1064</v>
      </c>
      <c r="C3994" s="21" t="s">
        <v>1017</v>
      </c>
      <c r="D3994" s="21" t="s">
        <v>1007</v>
      </c>
      <c r="E3994" s="22">
        <f>IF(D3994="?OLD","!!!","")</f>
        <v/>
      </c>
      <c r="F3994" s="23" t="str">
        <f>IF(OR(E3994="",E3994="!!!"),"",IF(NOT(ISNA(VLOOKUP(E3994,E$1:E3993,1,FALSE()))),"OLD",IF(AND(E3994&lt;&gt;"",E3994&lt;&gt;"!!!"),"NEW","")))</f>
        <v> </v>
      </c>
      <c r="G3994" s="24" t="str">
        <f>IF(OR(E3994="",E3994="!!!"),"",IF(OR(J3994=0,AND(J3994=1,K3994=1),AND(J3994=1,I3994="SBJ"),AND(J3994=1,I3994=0)),"?IN_FOCUS",IF(J3994&lt;=2,"?ACTIVATED",IF(J3994&lt;&gt;"","?FAMILIAR",IF(F3994="NEW",IF(ISNA(VLOOKUP(E3994,#REF!,1,FALSE())),"?TYPE_IDENTIFIABLE","?REFERENTIAL"),"_")))))</f>
        <v> </v>
      </c>
      <c r="H3994" s="25" t="str">
        <f>IF(J3994&lt;&gt;1,"",IF(I3994="SBJ","CB","?"))</f>
        <v> </v>
      </c>
      <c r="I3994" s="26" t="str">
        <f>IF(OR(E3994="",E3994="!!!",F3994="NEW"),"",INDEX(B3993:B$2,-1+SUMPRODUCT(MAX(ROW(E3993:E$2)*(E3994=E3993:E$2)))))</f>
        <v> </v>
      </c>
      <c r="J3994" s="26" t="str">
        <f>IF(OR(E3994="",E3994="!!!",F3994="NEW"),"",COUNTBLANK(OFFSET(A$1,,,SUMPRODUCT(MAX(ROW(E$2:E3994)*(E3994=E$2:E3994)))))-COUNTBLANK(OFFSET(A$1,,,SUMPRODUCT(MAX(ROW(E$1:E3993)*(E2=E$1:E3993))))))</f>
        <v> </v>
      </c>
      <c r="K3994" s="26" t="str">
        <f>IF(OR(E3994="",E3994="!!!",F3994="NEW"),"",INDEX(J$1:J3993,SUMPRODUCT(MAX(ROW(E$1:E3993)*(E3994=E$1:E3993)))))</f>
        <v> </v>
      </c>
      <c r="L3994" s="27"/>
    </row>
    <row r="3995" spans="1:12">
      <c r="A3995" s="20" t="s">
        <v>1014</v>
      </c>
      <c r="E3995" s="22">
        <f>IF(D3995="?OLD","!!!","")</f>
        <v/>
      </c>
      <c r="F3995" s="23" t="str">
        <f>IF(OR(E3995="",E3995="!!!"),"",IF(NOT(ISNA(VLOOKUP(E3995,E$1:E3994,1,FALSE()))),"OLD",IF(AND(E3995&lt;&gt;"",E3995&lt;&gt;"!!!"),"NEW","")))</f>
        <v> </v>
      </c>
      <c r="G3995" s="24" t="str">
        <f>IF(OR(E3995="",E3995="!!!"),"",IF(OR(J3995=0,AND(J3995=1,K3995=1),AND(J3995=1,I3995="SBJ"),AND(J3995=1,I3995=0)),"?IN_FOCUS",IF(J3995&lt;=2,"?ACTIVATED",IF(J3995&lt;&gt;"","?FAMILIAR",IF(F3995="NEW",IF(ISNA(VLOOKUP(E3995,#REF!,1,FALSE())),"?TYPE_IDENTIFIABLE","?REFERENTIAL"),"_")))))</f>
        <v> </v>
      </c>
      <c r="H3995" s="25" t="str">
        <f>IF(J3995&lt;&gt;1,"",IF(I3995="SBJ","CB","?"))</f>
        <v> </v>
      </c>
      <c r="I3995" s="26" t="str">
        <f>IF(OR(E3995="",E3995="!!!",F3995="NEW"),"",INDEX(B3994:B$2,-1+SUMPRODUCT(MAX(ROW(E3994:E$2)*(E3995=E3994:E$2)))))</f>
        <v> </v>
      </c>
      <c r="J3995" s="26" t="str">
        <f>IF(OR(E3995="",E3995="!!!",F3995="NEW"),"",COUNTBLANK(OFFSET(A$1,,,SUMPRODUCT(MAX(ROW(E$2:E3995)*(E3995=E$2:E3995)))))-COUNTBLANK(OFFSET(A$1,,,SUMPRODUCT(MAX(ROW(E$1:E3994)*(E2=E$1:E3994))))))</f>
        <v> </v>
      </c>
      <c r="K3995" s="26" t="str">
        <f>IF(OR(E3995="",E3995="!!!",F3995="NEW"),"",INDEX(J$1:J3994,SUMPRODUCT(MAX(ROW(E$1:E3994)*(E3995=E$1:E3994)))))</f>
        <v> </v>
      </c>
      <c r="L3995" s="27"/>
    </row>
    <row r="3996" spans="1:12">
      <c r="A3996" s="20" t="s">
        <v>1065</v>
      </c>
      <c r="E3996" s="22">
        <f>IF(D3996="?OLD","!!!","")</f>
        <v/>
      </c>
      <c r="F3996" s="23" t="str">
        <f>IF(OR(E3996="",E3996="!!!"),"",IF(NOT(ISNA(VLOOKUP(E3996,E$1:E3995,1,FALSE()))),"OLD",IF(AND(E3996&lt;&gt;"",E3996&lt;&gt;"!!!"),"NEW","")))</f>
        <v> </v>
      </c>
      <c r="G3996" s="24" t="str">
        <f>IF(OR(E3996="",E3996="!!!"),"",IF(OR(J3996=0,AND(J3996=1,K3996=1),AND(J3996=1,I3996="SBJ"),AND(J3996=1,I3996=0)),"?IN_FOCUS",IF(J3996&lt;=2,"?ACTIVATED",IF(J3996&lt;&gt;"","?FAMILIAR",IF(F3996="NEW",IF(ISNA(VLOOKUP(E3996,#REF!,1,FALSE())),"?TYPE_IDENTIFIABLE","?REFERENTIAL"),"_")))))</f>
        <v> </v>
      </c>
      <c r="H3996" s="25" t="str">
        <f>IF(J3996&lt;&gt;1,"",IF(I3996="SBJ","CB","?"))</f>
        <v> </v>
      </c>
      <c r="I3996" s="26" t="str">
        <f>IF(OR(E3996="",E3996="!!!",F3996="NEW"),"",INDEX(B3995:B$2,-1+SUMPRODUCT(MAX(ROW(E3995:E$2)*(E3996=E3995:E$2)))))</f>
        <v> </v>
      </c>
      <c r="J3996" s="26" t="str">
        <f>IF(OR(E3996="",E3996="!!!",F3996="NEW"),"",COUNTBLANK(OFFSET(A$1,,,SUMPRODUCT(MAX(ROW(E$2:E3996)*(E3996=E$2:E3996)))))-COUNTBLANK(OFFSET(A$1,,,SUMPRODUCT(MAX(ROW(E$1:E3995)*(E2=E$1:E3995))))))</f>
        <v> </v>
      </c>
      <c r="K3996" s="26" t="str">
        <f>IF(OR(E3996="",E3996="!!!",F3996="NEW"),"",INDEX(J$1:J3995,SUMPRODUCT(MAX(ROW(E$1:E3995)*(E3996=E$1:E3995)))))</f>
        <v> </v>
      </c>
      <c r="L3996" s="27"/>
    </row>
    <row r="3997" spans="1:12">
      <c r="A3997" s="20" t="s">
        <v>1015</v>
      </c>
      <c r="E3997" s="22">
        <f>IF(D3997="?OLD","!!!","")</f>
        <v/>
      </c>
      <c r="F3997" s="23" t="str">
        <f>IF(OR(E3997="",E3997="!!!"),"",IF(NOT(ISNA(VLOOKUP(E3997,E$1:E3996,1,FALSE()))),"OLD",IF(AND(E3997&lt;&gt;"",E3997&lt;&gt;"!!!"),"NEW","")))</f>
        <v> </v>
      </c>
      <c r="G3997" s="24" t="str">
        <f>IF(OR(E3997="",E3997="!!!"),"",IF(OR(J3997=0,AND(J3997=1,K3997=1),AND(J3997=1,I3997="SBJ"),AND(J3997=1,I3997=0)),"?IN_FOCUS",IF(J3997&lt;=2,"?ACTIVATED",IF(J3997&lt;&gt;"","?FAMILIAR",IF(F3997="NEW",IF(ISNA(VLOOKUP(E3997,#REF!,1,FALSE())),"?TYPE_IDENTIFIABLE","?REFERENTIAL"),"_")))))</f>
        <v> </v>
      </c>
      <c r="H3997" s="25" t="str">
        <f>IF(J3997&lt;&gt;1,"",IF(I3997="SBJ","CB","?"))</f>
        <v> </v>
      </c>
      <c r="I3997" s="26" t="str">
        <f>IF(OR(E3997="",E3997="!!!",F3997="NEW"),"",INDEX(B3996:B$2,-1+SUMPRODUCT(MAX(ROW(E3996:E$2)*(E3997=E3996:E$2)))))</f>
        <v> </v>
      </c>
      <c r="J3997" s="26" t="str">
        <f>IF(OR(E3997="",E3997="!!!",F3997="NEW"),"",COUNTBLANK(OFFSET(A$1,,,SUMPRODUCT(MAX(ROW(E$2:E3997)*(E3997=E$2:E3997)))))-COUNTBLANK(OFFSET(A$1,,,SUMPRODUCT(MAX(ROW(E$1:E3996)*(E2=E$1:E3996))))))</f>
        <v> </v>
      </c>
      <c r="K3997" s="26" t="str">
        <f>IF(OR(E3997="",E3997="!!!",F3997="NEW"),"",INDEX(J$1:J3996,SUMPRODUCT(MAX(ROW(E$1:E3996)*(E3997=E$1:E3996)))))</f>
        <v> </v>
      </c>
      <c r="L3997" s="27"/>
    </row>
    <row r="3998" spans="1:12">
      <c r="A3998" s="20" t="s">
        <v>1539</v>
      </c>
      <c r="B3998" s="21" t="s">
        <v>1251</v>
      </c>
      <c r="C3998" s="21" t="s">
        <v>1017</v>
      </c>
      <c r="D3998" s="21" t="s">
        <v>1007</v>
      </c>
      <c r="E3998" s="22">
        <f>IF(D3998="?OLD","!!!","")</f>
        <v/>
      </c>
      <c r="F3998" s="23" t="str">
        <f>IF(OR(E3998="",E3998="!!!"),"",IF(NOT(ISNA(VLOOKUP(E3998,E$1:E3997,1,FALSE()))),"OLD",IF(AND(E3998&lt;&gt;"",E3998&lt;&gt;"!!!"),"NEW","")))</f>
        <v> </v>
      </c>
      <c r="G3998" s="24" t="str">
        <f>IF(OR(E3998="",E3998="!!!"),"",IF(OR(J3998=0,AND(J3998=1,K3998=1),AND(J3998=1,I3998="SBJ"),AND(J3998=1,I3998=0)),"?IN_FOCUS",IF(J3998&lt;=2,"?ACTIVATED",IF(J3998&lt;&gt;"","?FAMILIAR",IF(F3998="NEW",IF(ISNA(VLOOKUP(E3998,#REF!,1,FALSE())),"?TYPE_IDENTIFIABLE","?REFERENTIAL"),"_")))))</f>
        <v> </v>
      </c>
      <c r="H3998" s="25" t="str">
        <f>IF(J3998&lt;&gt;1,"",IF(I3998="SBJ","CB","?"))</f>
        <v> </v>
      </c>
      <c r="I3998" s="26" t="str">
        <f>IF(OR(E3998="",E3998="!!!",F3998="NEW"),"",INDEX(B3997:B$2,-1+SUMPRODUCT(MAX(ROW(E3997:E$2)*(E3998=E3997:E$2)))))</f>
        <v> </v>
      </c>
      <c r="J3998" s="26" t="str">
        <f>IF(OR(E3998="",E3998="!!!",F3998="NEW"),"",COUNTBLANK(OFFSET(A$1,,,SUMPRODUCT(MAX(ROW(E$2:E3998)*(E3998=E$2:E3998)))))-COUNTBLANK(OFFSET(A$1,,,SUMPRODUCT(MAX(ROW(E$1:E3997)*(E2=E$1:E3997))))))</f>
        <v> </v>
      </c>
      <c r="K3998" s="26" t="str">
        <f>IF(OR(E3998="",E3998="!!!",F3998="NEW"),"",INDEX(J$1:J3997,SUMPRODUCT(MAX(ROW(E$1:E3997)*(E3998=E$1:E3997)))))</f>
        <v> </v>
      </c>
      <c r="L3998" s="27"/>
    </row>
    <row r="3999" spans="1:12">
      <c r="A3999" s="20" t="s">
        <v>1142</v>
      </c>
      <c r="E3999" s="22">
        <f>IF(D3999="?OLD","!!!","")</f>
        <v/>
      </c>
      <c r="F3999" s="23" t="str">
        <f>IF(OR(E3999="",E3999="!!!"),"",IF(NOT(ISNA(VLOOKUP(E3999,E$1:E3998,1,FALSE()))),"OLD",IF(AND(E3999&lt;&gt;"",E3999&lt;&gt;"!!!"),"NEW","")))</f>
        <v> </v>
      </c>
      <c r="G3999" s="24" t="str">
        <f>IF(OR(E3999="",E3999="!!!"),"",IF(OR(J3999=0,AND(J3999=1,K3999=1),AND(J3999=1,I3999="SBJ"),AND(J3999=1,I3999=0)),"?IN_FOCUS",IF(J3999&lt;=2,"?ACTIVATED",IF(J3999&lt;&gt;"","?FAMILIAR",IF(F3999="NEW",IF(ISNA(VLOOKUP(E3999,#REF!,1,FALSE())),"?TYPE_IDENTIFIABLE","?REFERENTIAL"),"_")))))</f>
        <v> </v>
      </c>
      <c r="H3999" s="25" t="str">
        <f>IF(J3999&lt;&gt;1,"",IF(I3999="SBJ","CB","?"))</f>
        <v> </v>
      </c>
      <c r="I3999" s="26" t="str">
        <f>IF(OR(E3999="",E3999="!!!",F3999="NEW"),"",INDEX(B3998:B$2,-1+SUMPRODUCT(MAX(ROW(E3998:E$2)*(E3999=E3998:E$2)))))</f>
        <v> </v>
      </c>
      <c r="J3999" s="26" t="str">
        <f>IF(OR(E3999="",E3999="!!!",F3999="NEW"),"",COUNTBLANK(OFFSET(A$1,,,SUMPRODUCT(MAX(ROW(E$2:E3999)*(E3999=E$2:E3999)))))-COUNTBLANK(OFFSET(A$1,,,SUMPRODUCT(MAX(ROW(E$1:E3998)*(E2=E$1:E3998))))))</f>
        <v> </v>
      </c>
      <c r="K3999" s="26" t="str">
        <f>IF(OR(E3999="",E3999="!!!",F3999="NEW"),"",INDEX(J$1:J3998,SUMPRODUCT(MAX(ROW(E$1:E3998)*(E3999=E$1:E3998)))))</f>
        <v> </v>
      </c>
      <c r="L3999" s="27"/>
    </row>
    <row r="4000" spans="1:12">
      <c r="A4000" s="20" t="s">
        <v>1157</v>
      </c>
      <c r="E4000" s="22">
        <f>IF(D4000="?OLD","!!!","")</f>
        <v/>
      </c>
      <c r="F4000" s="23" t="str">
        <f>IF(OR(E4000="",E4000="!!!"),"",IF(NOT(ISNA(VLOOKUP(E4000,E$1:E3999,1,FALSE()))),"OLD",IF(AND(E4000&lt;&gt;"",E4000&lt;&gt;"!!!"),"NEW","")))</f>
        <v> </v>
      </c>
      <c r="G4000" s="24" t="str">
        <f>IF(OR(E4000="",E4000="!!!"),"",IF(OR(J4000=0,AND(J4000=1,K4000=1),AND(J4000=1,I4000="SBJ"),AND(J4000=1,I4000=0)),"?IN_FOCUS",IF(J4000&lt;=2,"?ACTIVATED",IF(J4000&lt;&gt;"","?FAMILIAR",IF(F4000="NEW",IF(ISNA(VLOOKUP(E4000,#REF!,1,FALSE())),"?TYPE_IDENTIFIABLE","?REFERENTIAL"),"_")))))</f>
        <v> </v>
      </c>
      <c r="H4000" s="25" t="str">
        <f>IF(J4000&lt;&gt;1,"",IF(I4000="SBJ","CB","?"))</f>
        <v> </v>
      </c>
      <c r="I4000" s="26" t="str">
        <f>IF(OR(E4000="",E4000="!!!",F4000="NEW"),"",INDEX(B3999:B$2,-1+SUMPRODUCT(MAX(ROW(E3999:E$2)*(E4000=E3999:E$2)))))</f>
        <v> </v>
      </c>
      <c r="J4000" s="26" t="str">
        <f>IF(OR(E4000="",E4000="!!!",F4000="NEW"),"",COUNTBLANK(OFFSET(A$1,,,SUMPRODUCT(MAX(ROW(E$2:E4000)*(E4000=E$2:E4000)))))-COUNTBLANK(OFFSET(A$1,,,SUMPRODUCT(MAX(ROW(E$1:E3999)*(E2=E$1:E3999))))))</f>
        <v> </v>
      </c>
      <c r="K4000" s="26" t="str">
        <f>IF(OR(E4000="",E4000="!!!",F4000="NEW"),"",INDEX(J$1:J3999,SUMPRODUCT(MAX(ROW(E$1:E3999)*(E4000=E$1:E3999)))))</f>
        <v> </v>
      </c>
      <c r="L4000" s="27"/>
    </row>
    <row r="4001" spans="1:12">
      <c r="A4001" s="20" t="s">
        <v>98</v>
      </c>
      <c r="E4001" s="22">
        <f>IF(D4001="?OLD","!!!","")</f>
        <v/>
      </c>
      <c r="F4001" s="23" t="str">
        <f>IF(OR(E4001="",E4001="!!!"),"",IF(NOT(ISNA(VLOOKUP(E4001,E$1:E4000,1,FALSE()))),"OLD",IF(AND(E4001&lt;&gt;"",E4001&lt;&gt;"!!!"),"NEW","")))</f>
        <v> </v>
      </c>
      <c r="G4001" s="24" t="str">
        <f>IF(OR(E4001="",E4001="!!!"),"",IF(OR(J4001=0,AND(J4001=1,K4001=1),AND(J4001=1,I4001="SBJ"),AND(J4001=1,I4001=0)),"?IN_FOCUS",IF(J4001&lt;=2,"?ACTIVATED",IF(J4001&lt;&gt;"","?FAMILIAR",IF(F4001="NEW",IF(ISNA(VLOOKUP(E4001,#REF!,1,FALSE())),"?TYPE_IDENTIFIABLE","?REFERENTIAL"),"_")))))</f>
        <v> </v>
      </c>
      <c r="H4001" s="25" t="str">
        <f>IF(J4001&lt;&gt;1,"",IF(I4001="SBJ","CB","?"))</f>
        <v> </v>
      </c>
      <c r="I4001" s="26" t="str">
        <f>IF(OR(E4001="",E4001="!!!",F4001="NEW"),"",INDEX(B4000:B$2,-1+SUMPRODUCT(MAX(ROW(E4000:E$2)*(E4001=E4000:E$2)))))</f>
        <v> </v>
      </c>
      <c r="J4001" s="26" t="str">
        <f>IF(OR(E4001="",E4001="!!!",F4001="NEW"),"",COUNTBLANK(OFFSET(A$1,,,SUMPRODUCT(MAX(ROW(E$2:E4001)*(E4001=E$2:E4001)))))-COUNTBLANK(OFFSET(A$1,,,SUMPRODUCT(MAX(ROW(E$1:E4000)*(E2=E$1:E4000))))))</f>
        <v> </v>
      </c>
      <c r="K4001" s="26" t="str">
        <f>IF(OR(E4001="",E4001="!!!",F4001="NEW"),"",INDEX(J$1:J4000,SUMPRODUCT(MAX(ROW(E$1:E4000)*(E4001=E$1:E4000)))))</f>
        <v> </v>
      </c>
      <c r="L4001" s="27"/>
    </row>
    <row r="4002" spans="1:12">
      <c r="A4002" s="20" t="s">
        <v>1223</v>
      </c>
      <c r="B4002" s="21" t="s">
        <v>1253</v>
      </c>
      <c r="C4002" s="21" t="s">
        <v>1013</v>
      </c>
      <c r="D4002" s="21" t="s">
        <v>1007</v>
      </c>
      <c r="E4002" s="22">
        <f>IF(D4002="?OLD","!!!","")</f>
        <v/>
      </c>
      <c r="F4002" s="23" t="str">
        <f>IF(OR(E4002="",E4002="!!!"),"",IF(NOT(ISNA(VLOOKUP(E4002,E$1:E4001,1,FALSE()))),"OLD",IF(AND(E4002&lt;&gt;"",E4002&lt;&gt;"!!!"),"NEW","")))</f>
        <v> </v>
      </c>
      <c r="G4002" s="24" t="str">
        <f>IF(OR(E4002="",E4002="!!!"),"",IF(OR(J4002=0,AND(J4002=1,K4002=1),AND(J4002=1,I4002="SBJ"),AND(J4002=1,I4002=0)),"?IN_FOCUS",IF(J4002&lt;=2,"?ACTIVATED",IF(J4002&lt;&gt;"","?FAMILIAR",IF(F4002="NEW",IF(ISNA(VLOOKUP(E4002,#REF!,1,FALSE())),"?TYPE_IDENTIFIABLE","?REFERENTIAL"),"_")))))</f>
        <v> </v>
      </c>
      <c r="H4002" s="25" t="str">
        <f>IF(J4002&lt;&gt;1,"",IF(I4002="SBJ","CB","?"))</f>
        <v> </v>
      </c>
      <c r="I4002" s="26" t="str">
        <f>IF(OR(E4002="",E4002="!!!",F4002="NEW"),"",INDEX(B4001:B$2,-1+SUMPRODUCT(MAX(ROW(E4001:E$2)*(E4002=E4001:E$2)))))</f>
        <v> </v>
      </c>
      <c r="J4002" s="26" t="str">
        <f>IF(OR(E4002="",E4002="!!!",F4002="NEW"),"",COUNTBLANK(OFFSET(A$1,,,SUMPRODUCT(MAX(ROW(E$2:E4002)*(E4002=E$2:E4002)))))-COUNTBLANK(OFFSET(A$1,,,SUMPRODUCT(MAX(ROW(E$1:E4001)*(E2=E$1:E4001))))))</f>
        <v> </v>
      </c>
      <c r="K4002" s="26" t="str">
        <f>IF(OR(E4002="",E4002="!!!",F4002="NEW"),"",INDEX(J$1:J4001,SUMPRODUCT(MAX(ROW(E$1:E4001)*(E4002=E$1:E4001)))))</f>
        <v> </v>
      </c>
      <c r="L4002" s="27"/>
    </row>
    <row r="4003" spans="1:12">
      <c r="A4003" s="20" t="s">
        <v>1020</v>
      </c>
      <c r="E4003" s="22">
        <f>IF(D4003="?OLD","!!!","")</f>
        <v/>
      </c>
      <c r="F4003" s="23" t="str">
        <f>IF(OR(E4003="",E4003="!!!"),"",IF(NOT(ISNA(VLOOKUP(E4003,E$1:E4002,1,FALSE()))),"OLD",IF(AND(E4003&lt;&gt;"",E4003&lt;&gt;"!!!"),"NEW","")))</f>
        <v> </v>
      </c>
      <c r="G4003" s="24" t="str">
        <f>IF(OR(E4003="",E4003="!!!"),"",IF(OR(J4003=0,AND(J4003=1,K4003=1),AND(J4003=1,I4003="SBJ"),AND(J4003=1,I4003=0)),"?IN_FOCUS",IF(J4003&lt;=2,"?ACTIVATED",IF(J4003&lt;&gt;"","?FAMILIAR",IF(F4003="NEW",IF(ISNA(VLOOKUP(E4003,#REF!,1,FALSE())),"?TYPE_IDENTIFIABLE","?REFERENTIAL"),"_")))))</f>
        <v> </v>
      </c>
      <c r="H4003" s="25" t="str">
        <f>IF(J4003&lt;&gt;1,"",IF(I4003="SBJ","CB","?"))</f>
        <v> </v>
      </c>
      <c r="I4003" s="26" t="str">
        <f>IF(OR(E4003="",E4003="!!!",F4003="NEW"),"",INDEX(B4002:B$2,-1+SUMPRODUCT(MAX(ROW(E4002:E$2)*(E4003=E4002:E$2)))))</f>
        <v> </v>
      </c>
      <c r="J4003" s="26" t="str">
        <f>IF(OR(E4003="",E4003="!!!",F4003="NEW"),"",COUNTBLANK(OFFSET(A$1,,,SUMPRODUCT(MAX(ROW(E$2:E4003)*(E4003=E$2:E4003)))))-COUNTBLANK(OFFSET(A$1,,,SUMPRODUCT(MAX(ROW(E$1:E4002)*(E2=E$1:E4002))))))</f>
        <v> </v>
      </c>
      <c r="K4003" s="26" t="str">
        <f>IF(OR(E4003="",E4003="!!!",F4003="NEW"),"",INDEX(J$1:J4002,SUMPRODUCT(MAX(ROW(E$1:E4002)*(E4003=E$1:E4002)))))</f>
        <v> </v>
      </c>
      <c r="L4003" s="27"/>
    </row>
    <row r="4004" spans="1:12">
      <c r="A4004" s="20" t="s">
        <v>1015</v>
      </c>
      <c r="E4004" s="22">
        <f>IF(D4004="?OLD","!!!","")</f>
        <v/>
      </c>
      <c r="F4004" s="23" t="str">
        <f>IF(OR(E4004="",E4004="!!!"),"",IF(NOT(ISNA(VLOOKUP(E4004,E$1:E4003,1,FALSE()))),"OLD",IF(AND(E4004&lt;&gt;"",E4004&lt;&gt;"!!!"),"NEW","")))</f>
        <v> </v>
      </c>
      <c r="G4004" s="24" t="str">
        <f>IF(OR(E4004="",E4004="!!!"),"",IF(OR(J4004=0,AND(J4004=1,K4004=1),AND(J4004=1,I4004="SBJ"),AND(J4004=1,I4004=0)),"?IN_FOCUS",IF(J4004&lt;=2,"?ACTIVATED",IF(J4004&lt;&gt;"","?FAMILIAR",IF(F4004="NEW",IF(ISNA(VLOOKUP(E4004,#REF!,1,FALSE())),"?TYPE_IDENTIFIABLE","?REFERENTIAL"),"_")))))</f>
        <v> </v>
      </c>
      <c r="H4004" s="25" t="str">
        <f>IF(J4004&lt;&gt;1,"",IF(I4004="SBJ","CB","?"))</f>
        <v> </v>
      </c>
      <c r="I4004" s="26" t="str">
        <f>IF(OR(E4004="",E4004="!!!",F4004="NEW"),"",INDEX(B4003:B$2,-1+SUMPRODUCT(MAX(ROW(E4003:E$2)*(E4004=E4003:E$2)))))</f>
        <v> </v>
      </c>
      <c r="J4004" s="26" t="str">
        <f>IF(OR(E4004="",E4004="!!!",F4004="NEW"),"",COUNTBLANK(OFFSET(A$1,,,SUMPRODUCT(MAX(ROW(E$2:E4004)*(E4004=E$2:E4004)))))-COUNTBLANK(OFFSET(A$1,,,SUMPRODUCT(MAX(ROW(E$1:E4003)*(E2=E$1:E4003))))))</f>
        <v> </v>
      </c>
      <c r="K4004" s="26" t="str">
        <f>IF(OR(E4004="",E4004="!!!",F4004="NEW"),"",INDEX(J$1:J4003,SUMPRODUCT(MAX(ROW(E$1:E4003)*(E4004=E$1:E4003)))))</f>
        <v> </v>
      </c>
      <c r="L4004" s="27"/>
    </row>
    <row r="4005" spans="1:12">
      <c r="A4005" s="20" t="s">
        <v>1269</v>
      </c>
      <c r="B4005" s="21" t="s">
        <v>1215</v>
      </c>
      <c r="C4005" s="21" t="s">
        <v>1059</v>
      </c>
      <c r="D4005" s="21" t="s">
        <v>1007</v>
      </c>
      <c r="E4005" s="22">
        <f>IF(D4005="?OLD","!!!","")</f>
        <v/>
      </c>
      <c r="F4005" s="23" t="str">
        <f>IF(OR(E4005="",E4005="!!!"),"",IF(NOT(ISNA(VLOOKUP(E4005,E$1:E4004,1,FALSE()))),"OLD",IF(AND(E4005&lt;&gt;"",E4005&lt;&gt;"!!!"),"NEW","")))</f>
        <v> </v>
      </c>
      <c r="G4005" s="24" t="str">
        <f>IF(OR(E4005="",E4005="!!!"),"",IF(OR(J4005=0,AND(J4005=1,K4005=1),AND(J4005=1,I4005="SBJ"),AND(J4005=1,I4005=0)),"?IN_FOCUS",IF(J4005&lt;=2,"?ACTIVATED",IF(J4005&lt;&gt;"","?FAMILIAR",IF(F4005="NEW",IF(ISNA(VLOOKUP(E4005,#REF!,1,FALSE())),"?TYPE_IDENTIFIABLE","?REFERENTIAL"),"_")))))</f>
        <v> </v>
      </c>
      <c r="H4005" s="25" t="str">
        <f>IF(J4005&lt;&gt;1,"",IF(I4005="SBJ","CB","?"))</f>
        <v> </v>
      </c>
      <c r="I4005" s="26" t="str">
        <f>IF(OR(E4005="",E4005="!!!",F4005="NEW"),"",INDEX(B4004:B$2,-1+SUMPRODUCT(MAX(ROW(E4004:E$2)*(E4005=E4004:E$2)))))</f>
        <v> </v>
      </c>
      <c r="J4005" s="26" t="str">
        <f>IF(OR(E4005="",E4005="!!!",F4005="NEW"),"",COUNTBLANK(OFFSET(A$1,,,SUMPRODUCT(MAX(ROW(E$2:E4005)*(E4005=E$2:E4005)))))-COUNTBLANK(OFFSET(A$1,,,SUMPRODUCT(MAX(ROW(E$1:E4004)*(E2=E$1:E4004))))))</f>
        <v> </v>
      </c>
      <c r="K4005" s="26" t="str">
        <f>IF(OR(E4005="",E4005="!!!",F4005="NEW"),"",INDEX(J$1:J4004,SUMPRODUCT(MAX(ROW(E$1:E4004)*(E4005=E$1:E4004)))))</f>
        <v> </v>
      </c>
      <c r="L4005" s="27"/>
    </row>
    <row r="4006" spans="1:12">
      <c r="A4006" s="20" t="s">
        <v>2168</v>
      </c>
      <c r="B4006" s="21" t="s">
        <v>1044</v>
      </c>
      <c r="C4006" s="21" t="s">
        <v>1017</v>
      </c>
      <c r="D4006" s="21" t="s">
        <v>1007</v>
      </c>
      <c r="E4006" s="22">
        <f>IF(D4006="?OLD","!!!","")</f>
        <v/>
      </c>
      <c r="F4006" s="23" t="str">
        <f>IF(OR(E4006="",E4006="!!!"),"",IF(NOT(ISNA(VLOOKUP(E4006,E$1:E4005,1,FALSE()))),"OLD",IF(AND(E4006&lt;&gt;"",E4006&lt;&gt;"!!!"),"NEW","")))</f>
        <v> </v>
      </c>
      <c r="G4006" s="24" t="str">
        <f>IF(OR(E4006="",E4006="!!!"),"",IF(OR(J4006=0,AND(J4006=1,K4006=1),AND(J4006=1,I4006="SBJ"),AND(J4006=1,I4006=0)),"?IN_FOCUS",IF(J4006&lt;=2,"?ACTIVATED",IF(J4006&lt;&gt;"","?FAMILIAR",IF(F4006="NEW",IF(ISNA(VLOOKUP(E4006,#REF!,1,FALSE())),"?TYPE_IDENTIFIABLE","?REFERENTIAL"),"_")))))</f>
        <v> </v>
      </c>
      <c r="H4006" s="25" t="str">
        <f>IF(J4006&lt;&gt;1,"",IF(I4006="SBJ","CB","?"))</f>
        <v> </v>
      </c>
      <c r="I4006" s="26" t="str">
        <f>IF(OR(E4006="",E4006="!!!",F4006="NEW"),"",INDEX(B4005:B$2,-1+SUMPRODUCT(MAX(ROW(E4005:E$2)*(E4006=E4005:E$2)))))</f>
        <v> </v>
      </c>
      <c r="J4006" s="26" t="str">
        <f>IF(OR(E4006="",E4006="!!!",F4006="NEW"),"",COUNTBLANK(OFFSET(A$1,,,SUMPRODUCT(MAX(ROW(E$2:E4006)*(E4006=E$2:E4006)))))-COUNTBLANK(OFFSET(A$1,,,SUMPRODUCT(MAX(ROW(E$1:E4005)*(E2=E$1:E4005))))))</f>
        <v> </v>
      </c>
      <c r="K4006" s="26" t="str">
        <f>IF(OR(E4006="",E4006="!!!",F4006="NEW"),"",INDEX(J$1:J4005,SUMPRODUCT(MAX(ROW(E$1:E4005)*(E4006=E$1:E4005)))))</f>
        <v> </v>
      </c>
      <c r="L4006" s="27"/>
    </row>
    <row r="4007" spans="1:12">
      <c r="A4007" s="20" t="s">
        <v>1023</v>
      </c>
      <c r="E4007" s="22">
        <f>IF(D4007="?OLD","!!!","")</f>
        <v/>
      </c>
      <c r="F4007" s="23" t="str">
        <f>IF(OR(E4007="",E4007="!!!"),"",IF(NOT(ISNA(VLOOKUP(E4007,E$1:E4006,1,FALSE()))),"OLD",IF(AND(E4007&lt;&gt;"",E4007&lt;&gt;"!!!"),"NEW","")))</f>
        <v> </v>
      </c>
      <c r="G4007" s="24" t="str">
        <f>IF(OR(E4007="",E4007="!!!"),"",IF(OR(J4007=0,AND(J4007=1,K4007=1),AND(J4007=1,I4007="SBJ"),AND(J4007=1,I4007=0)),"?IN_FOCUS",IF(J4007&lt;=2,"?ACTIVATED",IF(J4007&lt;&gt;"","?FAMILIAR",IF(F4007="NEW",IF(ISNA(VLOOKUP(E4007,#REF!,1,FALSE())),"?TYPE_IDENTIFIABLE","?REFERENTIAL"),"_")))))</f>
        <v> </v>
      </c>
      <c r="H4007" s="25" t="str">
        <f>IF(J4007&lt;&gt;1,"",IF(I4007="SBJ","CB","?"))</f>
        <v> </v>
      </c>
      <c r="I4007" s="26" t="str">
        <f>IF(OR(E4007="",E4007="!!!",F4007="NEW"),"",INDEX(B4006:B$2,-1+SUMPRODUCT(MAX(ROW(E4006:E$2)*(E4007=E4006:E$2)))))</f>
        <v> </v>
      </c>
      <c r="J4007" s="26" t="str">
        <f>IF(OR(E4007="",E4007="!!!",F4007="NEW"),"",COUNTBLANK(OFFSET(A$1,,,SUMPRODUCT(MAX(ROW(E$2:E4007)*(E4007=E$2:E4007)))))-COUNTBLANK(OFFSET(A$1,,,SUMPRODUCT(MAX(ROW(E$1:E4006)*(E2=E$1:E4006))))))</f>
        <v> </v>
      </c>
      <c r="K4007" s="26" t="str">
        <f>IF(OR(E4007="",E4007="!!!",F4007="NEW"),"",INDEX(J$1:J4006,SUMPRODUCT(MAX(ROW(E$1:E4006)*(E4007=E$1:E4006)))))</f>
        <v> </v>
      </c>
      <c r="L4007" s="27"/>
    </row>
    <row r="4008" spans="1:12">
      <c r="A4008" s="20"/>
    </row>
    <row r="4009" spans="1:12">
      <c r="A4009" s="20" t="s">
        <v>2181</v>
      </c>
    </row>
    <row r="4010" spans="1:12">
      <c r="A4010" s="20" t="s">
        <v>1373</v>
      </c>
      <c r="E4010" s="22">
        <f>IF(D4010="?OLD","!!!","")</f>
        <v/>
      </c>
      <c r="F4010" s="23" t="str">
        <f>IF(OR(E4010="",E4010="!!!"),"",IF(NOT(ISNA(VLOOKUP(E4010,E$1:E4009,1,FALSE()))),"OLD",IF(AND(E4010&lt;&gt;"",E4010&lt;&gt;"!!!"),"NEW","")))</f>
        <v> </v>
      </c>
      <c r="G4010" s="24" t="str">
        <f>IF(OR(E4010="",E4010="!!!"),"",IF(OR(J4010=0,AND(J4010=1,K4010=1),AND(J4010=1,I4010="SBJ"),AND(J4010=1,I4010=0)),"?IN_FOCUS",IF(J4010&lt;=2,"?ACTIVATED",IF(J4010&lt;&gt;"","?FAMILIAR",IF(F4010="NEW",IF(ISNA(VLOOKUP(E4010,#REF!,1,FALSE())),"?TYPE_IDENTIFIABLE","?REFERENTIAL"),"_")))))</f>
        <v> </v>
      </c>
      <c r="H4010" s="25" t="str">
        <f>IF(J4010&lt;&gt;1,"",IF(I4010="SBJ","CB","?"))</f>
        <v> </v>
      </c>
      <c r="I4010" s="26" t="str">
        <f>IF(OR(E4010="",E4010="!!!",F4010="NEW"),"",INDEX(B4009:B$2,-1+SUMPRODUCT(MAX(ROW(E4009:E$2)*(E4010=E4009:E$2)))))</f>
        <v> </v>
      </c>
      <c r="J4010" s="26" t="str">
        <f>IF(OR(E4010="",E4010="!!!",F4010="NEW"),"",COUNTBLANK(OFFSET(A$1,,,SUMPRODUCT(MAX(ROW(E$2:E4010)*(E4010=E$2:E4010)))))-COUNTBLANK(OFFSET(A$1,,,SUMPRODUCT(MAX(ROW(E$1:E4009)*(E2=E$1:E4009))))))</f>
        <v> </v>
      </c>
      <c r="K4010" s="26" t="str">
        <f>IF(OR(E4010="",E4010="!!!",F4010="NEW"),"",INDEX(J$1:J4009,SUMPRODUCT(MAX(ROW(E$1:E4009)*(E4010=E$1:E4009)))))</f>
        <v> </v>
      </c>
      <c r="L4010" s="27"/>
    </row>
    <row r="4011" spans="1:12">
      <c r="A4011" s="20" t="s">
        <v>1140</v>
      </c>
      <c r="B4011" s="21" t="s">
        <v>1033</v>
      </c>
      <c r="C4011" s="21" t="s">
        <v>1073</v>
      </c>
      <c r="D4011" s="21" t="s">
        <v>1007</v>
      </c>
      <c r="E4011" s="22">
        <f>IF(D4011="?OLD","!!!","")</f>
        <v/>
      </c>
      <c r="F4011" s="23" t="str">
        <f>IF(OR(E4011="",E4011="!!!"),"",IF(NOT(ISNA(VLOOKUP(E4011,E$1:E4010,1,FALSE()))),"OLD",IF(AND(E4011&lt;&gt;"",E4011&lt;&gt;"!!!"),"NEW","")))</f>
        <v> </v>
      </c>
      <c r="G4011" s="24" t="str">
        <f>IF(OR(E4011="",E4011="!!!"),"",IF(OR(J4011=0,AND(J4011=1,K4011=1),AND(J4011=1,I4011="SBJ"),AND(J4011=1,I4011=0)),"?IN_FOCUS",IF(J4011&lt;=2,"?ACTIVATED",IF(J4011&lt;&gt;"","?FAMILIAR",IF(F4011="NEW",IF(ISNA(VLOOKUP(E4011,#REF!,1,FALSE())),"?TYPE_IDENTIFIABLE","?REFERENTIAL"),"_")))))</f>
        <v> </v>
      </c>
      <c r="H4011" s="25" t="str">
        <f>IF(J4011&lt;&gt;1,"",IF(I4011="SBJ","CB","?"))</f>
        <v> </v>
      </c>
      <c r="I4011" s="26" t="str">
        <f>IF(OR(E4011="",E4011="!!!",F4011="NEW"),"",INDEX(B4010:B$2,-1+SUMPRODUCT(MAX(ROW(E4010:E$2)*(E4011=E4010:E$2)))))</f>
        <v> </v>
      </c>
      <c r="J4011" s="26" t="str">
        <f>IF(OR(E4011="",E4011="!!!",F4011="NEW"),"",COUNTBLANK(OFFSET(A$1,,,SUMPRODUCT(MAX(ROW(E$2:E4011)*(E4011=E$2:E4011)))))-COUNTBLANK(OFFSET(A$1,,,SUMPRODUCT(MAX(ROW(E$1:E4010)*(E2=E$1:E4010))))))</f>
        <v> </v>
      </c>
      <c r="K4011" s="26" t="str">
        <f>IF(OR(E4011="",E4011="!!!",F4011="NEW"),"",INDEX(J$1:J4010,SUMPRODUCT(MAX(ROW(E$1:E4010)*(E4011=E$1:E4010)))))</f>
        <v> </v>
      </c>
      <c r="L4011" s="27"/>
    </row>
    <row r="4012" spans="1:12">
      <c r="A4012" s="20" t="s">
        <v>1018</v>
      </c>
      <c r="E4012" s="22">
        <f>IF(D4012="?OLD","!!!","")</f>
        <v/>
      </c>
      <c r="F4012" s="23" t="str">
        <f>IF(OR(E4012="",E4012="!!!"),"",IF(NOT(ISNA(VLOOKUP(E4012,E$1:E4011,1,FALSE()))),"OLD",IF(AND(E4012&lt;&gt;"",E4012&lt;&gt;"!!!"),"NEW","")))</f>
        <v> </v>
      </c>
      <c r="G4012" s="24" t="str">
        <f>IF(OR(E4012="",E4012="!!!"),"",IF(OR(J4012=0,AND(J4012=1,K4012=1),AND(J4012=1,I4012="SBJ"),AND(J4012=1,I4012=0)),"?IN_FOCUS",IF(J4012&lt;=2,"?ACTIVATED",IF(J4012&lt;&gt;"","?FAMILIAR",IF(F4012="NEW",IF(ISNA(VLOOKUP(E4012,#REF!,1,FALSE())),"?TYPE_IDENTIFIABLE","?REFERENTIAL"),"_")))))</f>
        <v> </v>
      </c>
      <c r="H4012" s="25" t="str">
        <f>IF(J4012&lt;&gt;1,"",IF(I4012="SBJ","CB","?"))</f>
        <v> </v>
      </c>
      <c r="I4012" s="26" t="str">
        <f>IF(OR(E4012="",E4012="!!!",F4012="NEW"),"",INDEX(B4011:B$2,-1+SUMPRODUCT(MAX(ROW(E4011:E$2)*(E4012=E4011:E$2)))))</f>
        <v> </v>
      </c>
      <c r="J4012" s="26" t="str">
        <f>IF(OR(E4012="",E4012="!!!",F4012="NEW"),"",COUNTBLANK(OFFSET(A$1,,,SUMPRODUCT(MAX(ROW(E$2:E4012)*(E4012=E$2:E4012)))))-COUNTBLANK(OFFSET(A$1,,,SUMPRODUCT(MAX(ROW(E$1:E4011)*(E2=E$1:E4011))))))</f>
        <v> </v>
      </c>
      <c r="K4012" s="26" t="str">
        <f>IF(OR(E4012="",E4012="!!!",F4012="NEW"),"",INDEX(J$1:J4011,SUMPRODUCT(MAX(ROW(E$1:E4011)*(E4012=E$1:E4011)))))</f>
        <v> </v>
      </c>
      <c r="L4012" s="27"/>
    </row>
    <row r="4013" spans="1:12">
      <c r="A4013" s="20" t="s">
        <v>1020</v>
      </c>
      <c r="E4013" s="22">
        <f>IF(D4013="?OLD","!!!","")</f>
        <v/>
      </c>
      <c r="F4013" s="23" t="str">
        <f>IF(OR(E4013="",E4013="!!!"),"",IF(NOT(ISNA(VLOOKUP(E4013,E$1:E4012,1,FALSE()))),"OLD",IF(AND(E4013&lt;&gt;"",E4013&lt;&gt;"!!!"),"NEW","")))</f>
        <v> </v>
      </c>
      <c r="G4013" s="24" t="str">
        <f>IF(OR(E4013="",E4013="!!!"),"",IF(OR(J4013=0,AND(J4013=1,K4013=1),AND(J4013=1,I4013="SBJ"),AND(J4013=1,I4013=0)),"?IN_FOCUS",IF(J4013&lt;=2,"?ACTIVATED",IF(J4013&lt;&gt;"","?FAMILIAR",IF(F4013="NEW",IF(ISNA(VLOOKUP(E4013,#REF!,1,FALSE())),"?TYPE_IDENTIFIABLE","?REFERENTIAL"),"_")))))</f>
        <v> </v>
      </c>
      <c r="H4013" s="25" t="str">
        <f>IF(J4013&lt;&gt;1,"",IF(I4013="SBJ","CB","?"))</f>
        <v> </v>
      </c>
      <c r="I4013" s="26" t="str">
        <f>IF(OR(E4013="",E4013="!!!",F4013="NEW"),"",INDEX(B4012:B$2,-1+SUMPRODUCT(MAX(ROW(E4012:E$2)*(E4013=E4012:E$2)))))</f>
        <v> </v>
      </c>
      <c r="J4013" s="26" t="str">
        <f>IF(OR(E4013="",E4013="!!!",F4013="NEW"),"",COUNTBLANK(OFFSET(A$1,,,SUMPRODUCT(MAX(ROW(E$2:E4013)*(E4013=E$2:E4013)))))-COUNTBLANK(OFFSET(A$1,,,SUMPRODUCT(MAX(ROW(E$1:E4012)*(E2=E$1:E4012))))))</f>
        <v> </v>
      </c>
      <c r="K4013" s="26" t="str">
        <f>IF(OR(E4013="",E4013="!!!",F4013="NEW"),"",INDEX(J$1:J4012,SUMPRODUCT(MAX(ROW(E$1:E4012)*(E4013=E$1:E4012)))))</f>
        <v> </v>
      </c>
      <c r="L4013" s="27"/>
    </row>
    <row r="4014" spans="1:12">
      <c r="A4014" s="20" t="s">
        <v>102</v>
      </c>
      <c r="E4014" s="22">
        <f>IF(D4014="?OLD","!!!","")</f>
        <v/>
      </c>
      <c r="F4014" s="23" t="str">
        <f>IF(OR(E4014="",E4014="!!!"),"",IF(NOT(ISNA(VLOOKUP(E4014,E$1:E4013,1,FALSE()))),"OLD",IF(AND(E4014&lt;&gt;"",E4014&lt;&gt;"!!!"),"NEW","")))</f>
        <v> </v>
      </c>
      <c r="G4014" s="24" t="str">
        <f>IF(OR(E4014="",E4014="!!!"),"",IF(OR(J4014=0,AND(J4014=1,K4014=1),AND(J4014=1,I4014="SBJ"),AND(J4014=1,I4014=0)),"?IN_FOCUS",IF(J4014&lt;=2,"?ACTIVATED",IF(J4014&lt;&gt;"","?FAMILIAR",IF(F4014="NEW",IF(ISNA(VLOOKUP(E4014,#REF!,1,FALSE())),"?TYPE_IDENTIFIABLE","?REFERENTIAL"),"_")))))</f>
        <v> </v>
      </c>
      <c r="H4014" s="25" t="str">
        <f>IF(J4014&lt;&gt;1,"",IF(I4014="SBJ","CB","?"))</f>
        <v> </v>
      </c>
      <c r="I4014" s="26" t="str">
        <f>IF(OR(E4014="",E4014="!!!",F4014="NEW"),"",INDEX(B4013:B$2,-1+SUMPRODUCT(MAX(ROW(E4013:E$2)*(E4014=E4013:E$2)))))</f>
        <v> </v>
      </c>
      <c r="J4014" s="26" t="str">
        <f>IF(OR(E4014="",E4014="!!!",F4014="NEW"),"",COUNTBLANK(OFFSET(A$1,,,SUMPRODUCT(MAX(ROW(E$2:E4014)*(E4014=E$2:E4014)))))-COUNTBLANK(OFFSET(A$1,,,SUMPRODUCT(MAX(ROW(E$1:E4013)*(E2=E$1:E4013))))))</f>
        <v> </v>
      </c>
      <c r="K4014" s="26" t="str">
        <f>IF(OR(E4014="",E4014="!!!",F4014="NEW"),"",INDEX(J$1:J4013,SUMPRODUCT(MAX(ROW(E$1:E4013)*(E4014=E$1:E4013)))))</f>
        <v> </v>
      </c>
      <c r="L4014" s="27"/>
    </row>
    <row r="4015" spans="1:12">
      <c r="A4015" s="20" t="s">
        <v>2182</v>
      </c>
      <c r="E4015" s="22">
        <f>IF(D4015="?OLD","!!!","")</f>
        <v/>
      </c>
      <c r="F4015" s="23" t="str">
        <f>IF(OR(E4015="",E4015="!!!"),"",IF(NOT(ISNA(VLOOKUP(E4015,E$1:E4014,1,FALSE()))),"OLD",IF(AND(E4015&lt;&gt;"",E4015&lt;&gt;"!!!"),"NEW","")))</f>
        <v> </v>
      </c>
      <c r="G4015" s="24" t="str">
        <f>IF(OR(E4015="",E4015="!!!"),"",IF(OR(J4015=0,AND(J4015=1,K4015=1),AND(J4015=1,I4015="SBJ"),AND(J4015=1,I4015=0)),"?IN_FOCUS",IF(J4015&lt;=2,"?ACTIVATED",IF(J4015&lt;&gt;"","?FAMILIAR",IF(F4015="NEW",IF(ISNA(VLOOKUP(E4015,#REF!,1,FALSE())),"?TYPE_IDENTIFIABLE","?REFERENTIAL"),"_")))))</f>
        <v> </v>
      </c>
      <c r="H4015" s="25" t="str">
        <f>IF(J4015&lt;&gt;1,"",IF(I4015="SBJ","CB","?"))</f>
        <v> </v>
      </c>
      <c r="I4015" s="26" t="str">
        <f>IF(OR(E4015="",E4015="!!!",F4015="NEW"),"",INDEX(B4014:B$2,-1+SUMPRODUCT(MAX(ROW(E4014:E$2)*(E4015=E4014:E$2)))))</f>
        <v> </v>
      </c>
      <c r="J4015" s="26" t="str">
        <f>IF(OR(E4015="",E4015="!!!",F4015="NEW"),"",COUNTBLANK(OFFSET(A$1,,,SUMPRODUCT(MAX(ROW(E$2:E4015)*(E4015=E$2:E4015)))))-COUNTBLANK(OFFSET(A$1,,,SUMPRODUCT(MAX(ROW(E$1:E4014)*(E2=E$1:E4014))))))</f>
        <v> </v>
      </c>
      <c r="K4015" s="26" t="str">
        <f>IF(OR(E4015="",E4015="!!!",F4015="NEW"),"",INDEX(J$1:J4014,SUMPRODUCT(MAX(ROW(E$1:E4014)*(E4015=E$1:E4014)))))</f>
        <v> </v>
      </c>
      <c r="L4015" s="27"/>
    </row>
    <row r="4016" spans="1:12">
      <c r="A4016" s="20" t="s">
        <v>1020</v>
      </c>
      <c r="E4016" s="22">
        <f>IF(D4016="?OLD","!!!","")</f>
        <v/>
      </c>
      <c r="F4016" s="23" t="str">
        <f>IF(OR(E4016="",E4016="!!!"),"",IF(NOT(ISNA(VLOOKUP(E4016,E$1:E4015,1,FALSE()))),"OLD",IF(AND(E4016&lt;&gt;"",E4016&lt;&gt;"!!!"),"NEW","")))</f>
        <v> </v>
      </c>
      <c r="G4016" s="24" t="str">
        <f>IF(OR(E4016="",E4016="!!!"),"",IF(OR(J4016=0,AND(J4016=1,K4016=1),AND(J4016=1,I4016="SBJ"),AND(J4016=1,I4016=0)),"?IN_FOCUS",IF(J4016&lt;=2,"?ACTIVATED",IF(J4016&lt;&gt;"","?FAMILIAR",IF(F4016="NEW",IF(ISNA(VLOOKUP(E4016,#REF!,1,FALSE())),"?TYPE_IDENTIFIABLE","?REFERENTIAL"),"_")))))</f>
        <v> </v>
      </c>
      <c r="H4016" s="25" t="str">
        <f>IF(J4016&lt;&gt;1,"",IF(I4016="SBJ","CB","?"))</f>
        <v> </v>
      </c>
      <c r="I4016" s="26" t="str">
        <f>IF(OR(E4016="",E4016="!!!",F4016="NEW"),"",INDEX(B4015:B$2,-1+SUMPRODUCT(MAX(ROW(E4015:E$2)*(E4016=E4015:E$2)))))</f>
        <v> </v>
      </c>
      <c r="J4016" s="26" t="str">
        <f>IF(OR(E4016="",E4016="!!!",F4016="NEW"),"",COUNTBLANK(OFFSET(A$1,,,SUMPRODUCT(MAX(ROW(E$2:E4016)*(E4016=E$2:E4016)))))-COUNTBLANK(OFFSET(A$1,,,SUMPRODUCT(MAX(ROW(E$1:E4015)*(E2=E$1:E4015))))))</f>
        <v> </v>
      </c>
      <c r="K4016" s="26" t="str">
        <f>IF(OR(E4016="",E4016="!!!",F4016="NEW"),"",INDEX(J$1:J4015,SUMPRODUCT(MAX(ROW(E$1:E4015)*(E4016=E$1:E4015)))))</f>
        <v> </v>
      </c>
      <c r="L4016" s="27"/>
    </row>
    <row r="4017" spans="1:12">
      <c r="A4017" s="20" t="s">
        <v>1339</v>
      </c>
      <c r="B4017" s="21" t="s">
        <v>1187</v>
      </c>
      <c r="C4017" s="21" t="s">
        <v>1013</v>
      </c>
      <c r="D4017" s="21" t="s">
        <v>1007</v>
      </c>
      <c r="E4017" s="22">
        <f>IF(D4017="?OLD","!!!","")</f>
        <v/>
      </c>
      <c r="F4017" s="23" t="str">
        <f>IF(OR(E4017="",E4017="!!!"),"",IF(NOT(ISNA(VLOOKUP(E4017,E$1:E4016,1,FALSE()))),"OLD",IF(AND(E4017&lt;&gt;"",E4017&lt;&gt;"!!!"),"NEW","")))</f>
        <v> </v>
      </c>
      <c r="G4017" s="24" t="str">
        <f>IF(OR(E4017="",E4017="!!!"),"",IF(OR(J4017=0,AND(J4017=1,K4017=1),AND(J4017=1,I4017="SBJ"),AND(J4017=1,I4017=0)),"?IN_FOCUS",IF(J4017&lt;=2,"?ACTIVATED",IF(J4017&lt;&gt;"","?FAMILIAR",IF(F4017="NEW",IF(ISNA(VLOOKUP(E4017,#REF!,1,FALSE())),"?TYPE_IDENTIFIABLE","?REFERENTIAL"),"_")))))</f>
        <v> </v>
      </c>
      <c r="H4017" s="25" t="str">
        <f>IF(J4017&lt;&gt;1,"",IF(I4017="SBJ","CB","?"))</f>
        <v> </v>
      </c>
      <c r="I4017" s="26" t="str">
        <f>IF(OR(E4017="",E4017="!!!",F4017="NEW"),"",INDEX(B4016:B$2,-1+SUMPRODUCT(MAX(ROW(E4016:E$2)*(E4017=E4016:E$2)))))</f>
        <v> </v>
      </c>
      <c r="J4017" s="26" t="str">
        <f>IF(OR(E4017="",E4017="!!!",F4017="NEW"),"",COUNTBLANK(OFFSET(A$1,,,SUMPRODUCT(MAX(ROW(E$2:E4017)*(E4017=E$2:E4017)))))-COUNTBLANK(OFFSET(A$1,,,SUMPRODUCT(MAX(ROW(E$1:E4016)*(E2=E$1:E4016))))))</f>
        <v> </v>
      </c>
      <c r="K4017" s="26" t="str">
        <f>IF(OR(E4017="",E4017="!!!",F4017="NEW"),"",INDEX(J$1:J4016,SUMPRODUCT(MAX(ROW(E$1:E4016)*(E4017=E$1:E4016)))))</f>
        <v> </v>
      </c>
      <c r="L4017" s="27"/>
    </row>
    <row r="4018" spans="1:12">
      <c r="A4018" s="20" t="s">
        <v>1014</v>
      </c>
      <c r="E4018" s="22">
        <f>IF(D4018="?OLD","!!!","")</f>
        <v/>
      </c>
      <c r="F4018" s="23" t="str">
        <f>IF(OR(E4018="",E4018="!!!"),"",IF(NOT(ISNA(VLOOKUP(E4018,E$1:E4017,1,FALSE()))),"OLD",IF(AND(E4018&lt;&gt;"",E4018&lt;&gt;"!!!"),"NEW","")))</f>
        <v> </v>
      </c>
      <c r="G4018" s="24" t="str">
        <f>IF(OR(E4018="",E4018="!!!"),"",IF(OR(J4018=0,AND(J4018=1,K4018=1),AND(J4018=1,I4018="SBJ"),AND(J4018=1,I4018=0)),"?IN_FOCUS",IF(J4018&lt;=2,"?ACTIVATED",IF(J4018&lt;&gt;"","?FAMILIAR",IF(F4018="NEW",IF(ISNA(VLOOKUP(E4018,#REF!,1,FALSE())),"?TYPE_IDENTIFIABLE","?REFERENTIAL"),"_")))))</f>
        <v> </v>
      </c>
      <c r="H4018" s="25" t="str">
        <f>IF(J4018&lt;&gt;1,"",IF(I4018="SBJ","CB","?"))</f>
        <v> </v>
      </c>
      <c r="I4018" s="26" t="str">
        <f>IF(OR(E4018="",E4018="!!!",F4018="NEW"),"",INDEX(B4017:B$2,-1+SUMPRODUCT(MAX(ROW(E4017:E$2)*(E4018=E4017:E$2)))))</f>
        <v> </v>
      </c>
      <c r="J4018" s="26" t="str">
        <f>IF(OR(E4018="",E4018="!!!",F4018="NEW"),"",COUNTBLANK(OFFSET(A$1,,,SUMPRODUCT(MAX(ROW(E$2:E4018)*(E4018=E$2:E4018)))))-COUNTBLANK(OFFSET(A$1,,,SUMPRODUCT(MAX(ROW(E$1:E4017)*(E2=E$1:E4017))))))</f>
        <v> </v>
      </c>
      <c r="K4018" s="26" t="str">
        <f>IF(OR(E4018="",E4018="!!!",F4018="NEW"),"",INDEX(J$1:J4017,SUMPRODUCT(MAX(ROW(E$1:E4017)*(E4018=E$1:E4017)))))</f>
        <v> </v>
      </c>
      <c r="L4018" s="27"/>
    </row>
    <row r="4019" spans="1:12">
      <c r="A4019" s="20" t="s">
        <v>1027</v>
      </c>
      <c r="E4019" s="22">
        <f>IF(D4019="?OLD","!!!","")</f>
        <v/>
      </c>
      <c r="F4019" s="23" t="str">
        <f>IF(OR(E4019="",E4019="!!!"),"",IF(NOT(ISNA(VLOOKUP(E4019,E$1:E4018,1,FALSE()))),"OLD",IF(AND(E4019&lt;&gt;"",E4019&lt;&gt;"!!!"),"NEW","")))</f>
        <v> </v>
      </c>
      <c r="G4019" s="24" t="str">
        <f>IF(OR(E4019="",E4019="!!!"),"",IF(OR(J4019=0,AND(J4019=1,K4019=1),AND(J4019=1,I4019="SBJ"),AND(J4019=1,I4019=0)),"?IN_FOCUS",IF(J4019&lt;=2,"?ACTIVATED",IF(J4019&lt;&gt;"","?FAMILIAR",IF(F4019="NEW",IF(ISNA(VLOOKUP(E4019,#REF!,1,FALSE())),"?TYPE_IDENTIFIABLE","?REFERENTIAL"),"_")))))</f>
        <v> </v>
      </c>
      <c r="H4019" s="25" t="str">
        <f>IF(J4019&lt;&gt;1,"",IF(I4019="SBJ","CB","?"))</f>
        <v> </v>
      </c>
      <c r="I4019" s="26" t="str">
        <f>IF(OR(E4019="",E4019="!!!",F4019="NEW"),"",INDEX(B4018:B$2,-1+SUMPRODUCT(MAX(ROW(E4018:E$2)*(E4019=E4018:E$2)))))</f>
        <v> </v>
      </c>
      <c r="J4019" s="26" t="str">
        <f>IF(OR(E4019="",E4019="!!!",F4019="NEW"),"",COUNTBLANK(OFFSET(A$1,,,SUMPRODUCT(MAX(ROW(E$2:E4019)*(E4019=E$2:E4019)))))-COUNTBLANK(OFFSET(A$1,,,SUMPRODUCT(MAX(ROW(E$1:E4018)*(E2=E$1:E4018))))))</f>
        <v> </v>
      </c>
      <c r="K4019" s="26" t="str">
        <f>IF(OR(E4019="",E4019="!!!",F4019="NEW"),"",INDEX(J$1:J4018,SUMPRODUCT(MAX(ROW(E$1:E4018)*(E4019=E$1:E4018)))))</f>
        <v> </v>
      </c>
      <c r="L4019" s="27"/>
    </row>
    <row r="4020" spans="1:12">
      <c r="A4020" s="20" t="s">
        <v>1617</v>
      </c>
      <c r="B4020" s="21" t="s">
        <v>1130</v>
      </c>
      <c r="C4020" s="21" t="s">
        <v>1059</v>
      </c>
      <c r="D4020" s="21" t="s">
        <v>1007</v>
      </c>
      <c r="E4020" s="22">
        <f>IF(D4020="?OLD","!!!","")</f>
        <v/>
      </c>
      <c r="F4020" s="23" t="str">
        <f>IF(OR(E4020="",E4020="!!!"),"",IF(NOT(ISNA(VLOOKUP(E4020,E$1:E4019,1,FALSE()))),"OLD",IF(AND(E4020&lt;&gt;"",E4020&lt;&gt;"!!!"),"NEW","")))</f>
        <v> </v>
      </c>
      <c r="G4020" s="24" t="str">
        <f>IF(OR(E4020="",E4020="!!!"),"",IF(OR(J4020=0,AND(J4020=1,K4020=1),AND(J4020=1,I4020="SBJ"),AND(J4020=1,I4020=0)),"?IN_FOCUS",IF(J4020&lt;=2,"?ACTIVATED",IF(J4020&lt;&gt;"","?FAMILIAR",IF(F4020="NEW",IF(ISNA(VLOOKUP(E4020,#REF!,1,FALSE())),"?TYPE_IDENTIFIABLE","?REFERENTIAL"),"_")))))</f>
        <v> </v>
      </c>
      <c r="H4020" s="25" t="str">
        <f>IF(J4020&lt;&gt;1,"",IF(I4020="SBJ","CB","?"))</f>
        <v> </v>
      </c>
      <c r="I4020" s="26" t="str">
        <f>IF(OR(E4020="",E4020="!!!",F4020="NEW"),"",INDEX(B4019:B$2,-1+SUMPRODUCT(MAX(ROW(E4019:E$2)*(E4020=E4019:E$2)))))</f>
        <v> </v>
      </c>
      <c r="J4020" s="26" t="str">
        <f>IF(OR(E4020="",E4020="!!!",F4020="NEW"),"",COUNTBLANK(OFFSET(A$1,,,SUMPRODUCT(MAX(ROW(E$2:E4020)*(E4020=E$2:E4020)))))-COUNTBLANK(OFFSET(A$1,,,SUMPRODUCT(MAX(ROW(E$1:E4019)*(E2=E$1:E4019))))))</f>
        <v> </v>
      </c>
      <c r="K4020" s="26" t="str">
        <f>IF(OR(E4020="",E4020="!!!",F4020="NEW"),"",INDEX(J$1:J4019,SUMPRODUCT(MAX(ROW(E$1:E4019)*(E4020=E$1:E4019)))))</f>
        <v> </v>
      </c>
      <c r="L4020" s="27"/>
    </row>
    <row r="4021" spans="1:12">
      <c r="A4021" s="20" t="s">
        <v>1602</v>
      </c>
      <c r="B4021" s="21" t="s">
        <v>1035</v>
      </c>
      <c r="C4021" s="21" t="s">
        <v>1017</v>
      </c>
      <c r="D4021" s="21" t="s">
        <v>1007</v>
      </c>
      <c r="E4021" s="22">
        <f>IF(D4021="?OLD","!!!","")</f>
        <v/>
      </c>
      <c r="F4021" s="23" t="str">
        <f>IF(OR(E4021="",E4021="!!!"),"",IF(NOT(ISNA(VLOOKUP(E4021,E$1:E4020,1,FALSE()))),"OLD",IF(AND(E4021&lt;&gt;"",E4021&lt;&gt;"!!!"),"NEW","")))</f>
        <v> </v>
      </c>
      <c r="G4021" s="24" t="str">
        <f>IF(OR(E4021="",E4021="!!!"),"",IF(OR(J4021=0,AND(J4021=1,K4021=1),AND(J4021=1,I4021="SBJ"),AND(J4021=1,I4021=0)),"?IN_FOCUS",IF(J4021&lt;=2,"?ACTIVATED",IF(J4021&lt;&gt;"","?FAMILIAR",IF(F4021="NEW",IF(ISNA(VLOOKUP(E4021,#REF!,1,FALSE())),"?TYPE_IDENTIFIABLE","?REFERENTIAL"),"_")))))</f>
        <v> </v>
      </c>
      <c r="H4021" s="25" t="str">
        <f>IF(J4021&lt;&gt;1,"",IF(I4021="SBJ","CB","?"))</f>
        <v> </v>
      </c>
      <c r="I4021" s="26" t="str">
        <f>IF(OR(E4021="",E4021="!!!",F4021="NEW"),"",INDEX(B4020:B$2,-1+SUMPRODUCT(MAX(ROW(E4020:E$2)*(E4021=E4020:E$2)))))</f>
        <v> </v>
      </c>
      <c r="J4021" s="26" t="str">
        <f>IF(OR(E4021="",E4021="!!!",F4021="NEW"),"",COUNTBLANK(OFFSET(A$1,,,SUMPRODUCT(MAX(ROW(E$2:E4021)*(E4021=E$2:E4021)))))-COUNTBLANK(OFFSET(A$1,,,SUMPRODUCT(MAX(ROW(E$1:E4020)*(E2=E$1:E4020))))))</f>
        <v> </v>
      </c>
      <c r="K4021" s="26" t="str">
        <f>IF(OR(E4021="",E4021="!!!",F4021="NEW"),"",INDEX(J$1:J4020,SUMPRODUCT(MAX(ROW(E$1:E4020)*(E4021=E$1:E4020)))))</f>
        <v> </v>
      </c>
      <c r="L4021" s="27"/>
    </row>
    <row r="4022" spans="1:12">
      <c r="A4022" s="20" t="s">
        <v>1018</v>
      </c>
      <c r="E4022" s="22">
        <f>IF(D4022="?OLD","!!!","")</f>
        <v/>
      </c>
      <c r="F4022" s="23" t="str">
        <f>IF(OR(E4022="",E4022="!!!"),"",IF(NOT(ISNA(VLOOKUP(E4022,E$1:E4021,1,FALSE()))),"OLD",IF(AND(E4022&lt;&gt;"",E4022&lt;&gt;"!!!"),"NEW","")))</f>
        <v> </v>
      </c>
      <c r="G4022" s="24" t="str">
        <f>IF(OR(E4022="",E4022="!!!"),"",IF(OR(J4022=0,AND(J4022=1,K4022=1),AND(J4022=1,I4022="SBJ"),AND(J4022=1,I4022=0)),"?IN_FOCUS",IF(J4022&lt;=2,"?ACTIVATED",IF(J4022&lt;&gt;"","?FAMILIAR",IF(F4022="NEW",IF(ISNA(VLOOKUP(E4022,#REF!,1,FALSE())),"?TYPE_IDENTIFIABLE","?REFERENTIAL"),"_")))))</f>
        <v> </v>
      </c>
      <c r="H4022" s="25" t="str">
        <f>IF(J4022&lt;&gt;1,"",IF(I4022="SBJ","CB","?"))</f>
        <v> </v>
      </c>
      <c r="I4022" s="26" t="str">
        <f>IF(OR(E4022="",E4022="!!!",F4022="NEW"),"",INDEX(B4021:B$2,-1+SUMPRODUCT(MAX(ROW(E4021:E$2)*(E4022=E4021:E$2)))))</f>
        <v> </v>
      </c>
      <c r="J4022" s="26" t="str">
        <f>IF(OR(E4022="",E4022="!!!",F4022="NEW"),"",COUNTBLANK(OFFSET(A$1,,,SUMPRODUCT(MAX(ROW(E$2:E4022)*(E4022=E$2:E4022)))))-COUNTBLANK(OFFSET(A$1,,,SUMPRODUCT(MAX(ROW(E$1:E4021)*(E2=E$1:E4021))))))</f>
        <v> </v>
      </c>
      <c r="K4022" s="26" t="str">
        <f>IF(OR(E4022="",E4022="!!!",F4022="NEW"),"",INDEX(J$1:J4021,SUMPRODUCT(MAX(ROW(E$1:E4021)*(E4022=E$1:E4021)))))</f>
        <v> </v>
      </c>
      <c r="L4022" s="27"/>
    </row>
    <row r="4023" spans="1:12">
      <c r="A4023" s="20" t="s">
        <v>1142</v>
      </c>
      <c r="E4023" s="22">
        <f>IF(D4023="?OLD","!!!","")</f>
        <v/>
      </c>
      <c r="F4023" s="23" t="str">
        <f>IF(OR(E4023="",E4023="!!!"),"",IF(NOT(ISNA(VLOOKUP(E4023,E$1:E4022,1,FALSE()))),"OLD",IF(AND(E4023&lt;&gt;"",E4023&lt;&gt;"!!!"),"NEW","")))</f>
        <v> </v>
      </c>
      <c r="G4023" s="24" t="str">
        <f>IF(OR(E4023="",E4023="!!!"),"",IF(OR(J4023=0,AND(J4023=1,K4023=1),AND(J4023=1,I4023="SBJ"),AND(J4023=1,I4023=0)),"?IN_FOCUS",IF(J4023&lt;=2,"?ACTIVATED",IF(J4023&lt;&gt;"","?FAMILIAR",IF(F4023="NEW",IF(ISNA(VLOOKUP(E4023,#REF!,1,FALSE())),"?TYPE_IDENTIFIABLE","?REFERENTIAL"),"_")))))</f>
        <v> </v>
      </c>
      <c r="H4023" s="25" t="str">
        <f>IF(J4023&lt;&gt;1,"",IF(I4023="SBJ","CB","?"))</f>
        <v> </v>
      </c>
      <c r="I4023" s="26" t="str">
        <f>IF(OR(E4023="",E4023="!!!",F4023="NEW"),"",INDEX(B4022:B$2,-1+SUMPRODUCT(MAX(ROW(E4022:E$2)*(E4023=E4022:E$2)))))</f>
        <v> </v>
      </c>
      <c r="J4023" s="26" t="str">
        <f>IF(OR(E4023="",E4023="!!!",F4023="NEW"),"",COUNTBLANK(OFFSET(A$1,,,SUMPRODUCT(MAX(ROW(E$2:E4023)*(E4023=E$2:E4023)))))-COUNTBLANK(OFFSET(A$1,,,SUMPRODUCT(MAX(ROW(E$1:E4022)*(E2=E$1:E4022))))))</f>
        <v> </v>
      </c>
      <c r="K4023" s="26" t="str">
        <f>IF(OR(E4023="",E4023="!!!",F4023="NEW"),"",INDEX(J$1:J4022,SUMPRODUCT(MAX(ROW(E$1:E4022)*(E4023=E$1:E4022)))))</f>
        <v> </v>
      </c>
      <c r="L4023" s="27"/>
    </row>
    <row r="4024" spans="1:12">
      <c r="A4024" s="20" t="s">
        <v>1199</v>
      </c>
      <c r="E4024" s="22">
        <f>IF(D4024="?OLD","!!!","")</f>
        <v/>
      </c>
      <c r="F4024" s="23" t="str">
        <f>IF(OR(E4024="",E4024="!!!"),"",IF(NOT(ISNA(VLOOKUP(E4024,E$1:E4023,1,FALSE()))),"OLD",IF(AND(E4024&lt;&gt;"",E4024&lt;&gt;"!!!"),"NEW","")))</f>
        <v> </v>
      </c>
      <c r="G4024" s="24" t="str">
        <f>IF(OR(E4024="",E4024="!!!"),"",IF(OR(J4024=0,AND(J4024=1,K4024=1),AND(J4024=1,I4024="SBJ"),AND(J4024=1,I4024=0)),"?IN_FOCUS",IF(J4024&lt;=2,"?ACTIVATED",IF(J4024&lt;&gt;"","?FAMILIAR",IF(F4024="NEW",IF(ISNA(VLOOKUP(E4024,#REF!,1,FALSE())),"?TYPE_IDENTIFIABLE","?REFERENTIAL"),"_")))))</f>
        <v> </v>
      </c>
      <c r="H4024" s="25" t="str">
        <f>IF(J4024&lt;&gt;1,"",IF(I4024="SBJ","CB","?"))</f>
        <v> </v>
      </c>
      <c r="I4024" s="26" t="str">
        <f>IF(OR(E4024="",E4024="!!!",F4024="NEW"),"",INDEX(B4023:B$2,-1+SUMPRODUCT(MAX(ROW(E4023:E$2)*(E4024=E4023:E$2)))))</f>
        <v> </v>
      </c>
      <c r="J4024" s="26" t="str">
        <f>IF(OR(E4024="",E4024="!!!",F4024="NEW"),"",COUNTBLANK(OFFSET(A$1,,,SUMPRODUCT(MAX(ROW(E$2:E4024)*(E4024=E$2:E4024)))))-COUNTBLANK(OFFSET(A$1,,,SUMPRODUCT(MAX(ROW(E$1:E4023)*(E2=E$1:E4023))))))</f>
        <v> </v>
      </c>
      <c r="K4024" s="26" t="str">
        <f>IF(OR(E4024="",E4024="!!!",F4024="NEW"),"",INDEX(J$1:J4023,SUMPRODUCT(MAX(ROW(E$1:E4023)*(E4024=E$1:E4023)))))</f>
        <v> </v>
      </c>
      <c r="L4024" s="27"/>
    </row>
    <row r="4025" spans="1:12">
      <c r="A4025" s="20" t="s">
        <v>1387</v>
      </c>
      <c r="E4025" s="22">
        <f>IF(D4025="?OLD","!!!","")</f>
        <v/>
      </c>
      <c r="F4025" s="23" t="str">
        <f>IF(OR(E4025="",E4025="!!!"),"",IF(NOT(ISNA(VLOOKUP(E4025,E$1:E4024,1,FALSE()))),"OLD",IF(AND(E4025&lt;&gt;"",E4025&lt;&gt;"!!!"),"NEW","")))</f>
        <v> </v>
      </c>
      <c r="G4025" s="24" t="str">
        <f>IF(OR(E4025="",E4025="!!!"),"",IF(OR(J4025=0,AND(J4025=1,K4025=1),AND(J4025=1,I4025="SBJ"),AND(J4025=1,I4025=0)),"?IN_FOCUS",IF(J4025&lt;=2,"?ACTIVATED",IF(J4025&lt;&gt;"","?FAMILIAR",IF(F4025="NEW",IF(ISNA(VLOOKUP(E4025,#REF!,1,FALSE())),"?TYPE_IDENTIFIABLE","?REFERENTIAL"),"_")))))</f>
        <v> </v>
      </c>
      <c r="H4025" s="25" t="str">
        <f>IF(J4025&lt;&gt;1,"",IF(I4025="SBJ","CB","?"))</f>
        <v> </v>
      </c>
      <c r="I4025" s="26" t="str">
        <f>IF(OR(E4025="",E4025="!!!",F4025="NEW"),"",INDEX(B4024:B$2,-1+SUMPRODUCT(MAX(ROW(E4024:E$2)*(E4025=E4024:E$2)))))</f>
        <v> </v>
      </c>
      <c r="J4025" s="26" t="str">
        <f>IF(OR(E4025="",E4025="!!!",F4025="NEW"),"",COUNTBLANK(OFFSET(A$1,,,SUMPRODUCT(MAX(ROW(E$2:E4025)*(E4025=E$2:E4025)))))-COUNTBLANK(OFFSET(A$1,,,SUMPRODUCT(MAX(ROW(E$1:E4024)*(E2=E$1:E4024))))))</f>
        <v> </v>
      </c>
      <c r="K4025" s="26" t="str">
        <f>IF(OR(E4025="",E4025="!!!",F4025="NEW"),"",INDEX(J$1:J4024,SUMPRODUCT(MAX(ROW(E$1:E4024)*(E4025=E$1:E4024)))))</f>
        <v> </v>
      </c>
      <c r="L4025" s="27"/>
    </row>
    <row r="4026" spans="1:12">
      <c r="A4026" s="20" t="s">
        <v>1020</v>
      </c>
      <c r="E4026" s="22">
        <f>IF(D4026="?OLD","!!!","")</f>
        <v/>
      </c>
      <c r="F4026" s="23" t="str">
        <f>IF(OR(E4026="",E4026="!!!"),"",IF(NOT(ISNA(VLOOKUP(E4026,E$1:E4025,1,FALSE()))),"OLD",IF(AND(E4026&lt;&gt;"",E4026&lt;&gt;"!!!"),"NEW","")))</f>
        <v> </v>
      </c>
      <c r="G4026" s="24" t="str">
        <f>IF(OR(E4026="",E4026="!!!"),"",IF(OR(J4026=0,AND(J4026=1,K4026=1),AND(J4026=1,I4026="SBJ"),AND(J4026=1,I4026=0)),"?IN_FOCUS",IF(J4026&lt;=2,"?ACTIVATED",IF(J4026&lt;&gt;"","?FAMILIAR",IF(F4026="NEW",IF(ISNA(VLOOKUP(E4026,#REF!,1,FALSE())),"?TYPE_IDENTIFIABLE","?REFERENTIAL"),"_")))))</f>
        <v> </v>
      </c>
      <c r="H4026" s="25" t="str">
        <f>IF(J4026&lt;&gt;1,"",IF(I4026="SBJ","CB","?"))</f>
        <v> </v>
      </c>
      <c r="I4026" s="26" t="str">
        <f>IF(OR(E4026="",E4026="!!!",F4026="NEW"),"",INDEX(B4025:B$2,-1+SUMPRODUCT(MAX(ROW(E4025:E$2)*(E4026=E4025:E$2)))))</f>
        <v> </v>
      </c>
      <c r="J4026" s="26" t="str">
        <f>IF(OR(E4026="",E4026="!!!",F4026="NEW"),"",COUNTBLANK(OFFSET(A$1,,,SUMPRODUCT(MAX(ROW(E$2:E4026)*(E4026=E$2:E4026)))))-COUNTBLANK(OFFSET(A$1,,,SUMPRODUCT(MAX(ROW(E$1:E4025)*(E2=E$1:E4025))))))</f>
        <v> </v>
      </c>
      <c r="K4026" s="26" t="str">
        <f>IF(OR(E4026="",E4026="!!!",F4026="NEW"),"",INDEX(J$1:J4025,SUMPRODUCT(MAX(ROW(E$1:E4025)*(E4026=E$1:E4025)))))</f>
        <v> </v>
      </c>
      <c r="L4026" s="27"/>
    </row>
    <row r="4027" spans="1:12">
      <c r="A4027" s="20" t="s">
        <v>1338</v>
      </c>
      <c r="E4027" s="22">
        <f>IF(D4027="?OLD","!!!","")</f>
        <v/>
      </c>
      <c r="F4027" s="23" t="str">
        <f>IF(OR(E4027="",E4027="!!!"),"",IF(NOT(ISNA(VLOOKUP(E4027,E$1:E4026,1,FALSE()))),"OLD",IF(AND(E4027&lt;&gt;"",E4027&lt;&gt;"!!!"),"NEW","")))</f>
        <v> </v>
      </c>
      <c r="G4027" s="24" t="str">
        <f>IF(OR(E4027="",E4027="!!!"),"",IF(OR(J4027=0,AND(J4027=1,K4027=1),AND(J4027=1,I4027="SBJ"),AND(J4027=1,I4027=0)),"?IN_FOCUS",IF(J4027&lt;=2,"?ACTIVATED",IF(J4027&lt;&gt;"","?FAMILIAR",IF(F4027="NEW",IF(ISNA(VLOOKUP(E4027,#REF!,1,FALSE())),"?TYPE_IDENTIFIABLE","?REFERENTIAL"),"_")))))</f>
        <v> </v>
      </c>
      <c r="H4027" s="25" t="str">
        <f>IF(J4027&lt;&gt;1,"",IF(I4027="SBJ","CB","?"))</f>
        <v> </v>
      </c>
      <c r="I4027" s="26" t="str">
        <f>IF(OR(E4027="",E4027="!!!",F4027="NEW"),"",INDEX(B4026:B$2,-1+SUMPRODUCT(MAX(ROW(E4026:E$2)*(E4027=E4026:E$2)))))</f>
        <v> </v>
      </c>
      <c r="J4027" s="26" t="str">
        <f>IF(OR(E4027="",E4027="!!!",F4027="NEW"),"",COUNTBLANK(OFFSET(A$1,,,SUMPRODUCT(MAX(ROW(E$2:E4027)*(E4027=E$2:E4027)))))-COUNTBLANK(OFFSET(A$1,,,SUMPRODUCT(MAX(ROW(E$1:E4026)*(E2=E$1:E4026))))))</f>
        <v> </v>
      </c>
      <c r="K4027" s="26" t="str">
        <f>IF(OR(E4027="",E4027="!!!",F4027="NEW"),"",INDEX(J$1:J4026,SUMPRODUCT(MAX(ROW(E$1:E4026)*(E4027=E$1:E4026)))))</f>
        <v> </v>
      </c>
      <c r="L4027" s="27"/>
    </row>
    <row r="4028" spans="1:12">
      <c r="A4028" s="20" t="s">
        <v>1030</v>
      </c>
      <c r="E4028" s="22">
        <f>IF(D4028="?OLD","!!!","")</f>
        <v/>
      </c>
      <c r="F4028" s="23" t="str">
        <f>IF(OR(E4028="",E4028="!!!"),"",IF(NOT(ISNA(VLOOKUP(E4028,E$1:E4027,1,FALSE()))),"OLD",IF(AND(E4028&lt;&gt;"",E4028&lt;&gt;"!!!"),"NEW","")))</f>
        <v> </v>
      </c>
      <c r="G4028" s="24" t="str">
        <f>IF(OR(E4028="",E4028="!!!"),"",IF(OR(J4028=0,AND(J4028=1,K4028=1),AND(J4028=1,I4028="SBJ"),AND(J4028=1,I4028=0)),"?IN_FOCUS",IF(J4028&lt;=2,"?ACTIVATED",IF(J4028&lt;&gt;"","?FAMILIAR",IF(F4028="NEW",IF(ISNA(VLOOKUP(E4028,#REF!,1,FALSE())),"?TYPE_IDENTIFIABLE","?REFERENTIAL"),"_")))))</f>
        <v> </v>
      </c>
      <c r="H4028" s="25" t="str">
        <f>IF(J4028&lt;&gt;1,"",IF(I4028="SBJ","CB","?"))</f>
        <v> </v>
      </c>
      <c r="I4028" s="26" t="str">
        <f>IF(OR(E4028="",E4028="!!!",F4028="NEW"),"",INDEX(B4027:B$2,-1+SUMPRODUCT(MAX(ROW(E4027:E$2)*(E4028=E4027:E$2)))))</f>
        <v> </v>
      </c>
      <c r="J4028" s="26" t="str">
        <f>IF(OR(E4028="",E4028="!!!",F4028="NEW"),"",COUNTBLANK(OFFSET(A$1,,,SUMPRODUCT(MAX(ROW(E$2:E4028)*(E4028=E$2:E4028)))))-COUNTBLANK(OFFSET(A$1,,,SUMPRODUCT(MAX(ROW(E$1:E4027)*(E2=E$1:E4027))))))</f>
        <v> </v>
      </c>
      <c r="K4028" s="26" t="str">
        <f>IF(OR(E4028="",E4028="!!!",F4028="NEW"),"",INDEX(J$1:J4027,SUMPRODUCT(MAX(ROW(E$1:E4027)*(E4028=E$1:E4027)))))</f>
        <v> </v>
      </c>
      <c r="L4028" s="27"/>
    </row>
    <row r="4029" spans="1:12">
      <c r="A4029" s="20" t="s">
        <v>1309</v>
      </c>
      <c r="B4029" s="21" t="s">
        <v>1033</v>
      </c>
      <c r="C4029" s="21" t="s">
        <v>1048</v>
      </c>
      <c r="E4029" s="22">
        <f>IF(D4029="?OLD","!!!","")</f>
        <v/>
      </c>
      <c r="F4029" s="23" t="str">
        <f>IF(OR(E4029="",E4029="!!!"),"",IF(NOT(ISNA(VLOOKUP(E4029,E$1:E4028,1,FALSE()))),"OLD",IF(AND(E4029&lt;&gt;"",E4029&lt;&gt;"!!!"),"NEW","")))</f>
        <v> </v>
      </c>
      <c r="G4029" s="24" t="str">
        <f>IF(OR(E4029="",E4029="!!!"),"",IF(OR(J4029=0,AND(J4029=1,K4029=1),AND(J4029=1,I4029="SBJ"),AND(J4029=1,I4029=0)),"?IN_FOCUS",IF(J4029&lt;=2,"?ACTIVATED",IF(J4029&lt;&gt;"","?FAMILIAR",IF(F4029="NEW",IF(ISNA(VLOOKUP(E4029,#REF!,1,FALSE())),"?TYPE_IDENTIFIABLE","?REFERENTIAL"),"_")))))</f>
        <v> </v>
      </c>
      <c r="H4029" s="25" t="str">
        <f>IF(J4029&lt;&gt;1,"",IF(I4029="SBJ","CB","?"))</f>
        <v> </v>
      </c>
      <c r="I4029" s="26" t="str">
        <f>IF(OR(E4029="",E4029="!!!",F4029="NEW"),"",INDEX(B4028:B$2,-1+SUMPRODUCT(MAX(ROW(E4028:E$2)*(E4029=E4028:E$2)))))</f>
        <v> </v>
      </c>
      <c r="J4029" s="26" t="str">
        <f>IF(OR(E4029="",E4029="!!!",F4029="NEW"),"",COUNTBLANK(OFFSET(A$1,,,SUMPRODUCT(MAX(ROW(E$2:E4029)*(E4029=E$2:E4029)))))-COUNTBLANK(OFFSET(A$1,,,SUMPRODUCT(MAX(ROW(E$1:E4028)*(E2=E$1:E4028))))))</f>
        <v> </v>
      </c>
      <c r="K4029" s="26" t="str">
        <f>IF(OR(E4029="",E4029="!!!",F4029="NEW"),"",INDEX(J$1:J4028,SUMPRODUCT(MAX(ROW(E$1:E4028)*(E4029=E$1:E4028)))))</f>
        <v> </v>
      </c>
      <c r="L4029" s="27"/>
    </row>
    <row r="4030" spans="1:12">
      <c r="A4030" s="20" t="s">
        <v>102</v>
      </c>
      <c r="E4030" s="22">
        <f>IF(D4030="?OLD","!!!","")</f>
        <v/>
      </c>
      <c r="F4030" s="23" t="str">
        <f>IF(OR(E4030="",E4030="!!!"),"",IF(NOT(ISNA(VLOOKUP(E4030,E$1:E4029,1,FALSE()))),"OLD",IF(AND(E4030&lt;&gt;"",E4030&lt;&gt;"!!!"),"NEW","")))</f>
        <v> </v>
      </c>
      <c r="G4030" s="24" t="str">
        <f>IF(OR(E4030="",E4030="!!!"),"",IF(OR(J4030=0,AND(J4030=1,K4030=1),AND(J4030=1,I4030="SBJ"),AND(J4030=1,I4030=0)),"?IN_FOCUS",IF(J4030&lt;=2,"?ACTIVATED",IF(J4030&lt;&gt;"","?FAMILIAR",IF(F4030="NEW",IF(ISNA(VLOOKUP(E4030,#REF!,1,FALSE())),"?TYPE_IDENTIFIABLE","?REFERENTIAL"),"_")))))</f>
        <v> </v>
      </c>
      <c r="H4030" s="25" t="str">
        <f>IF(J4030&lt;&gt;1,"",IF(I4030="SBJ","CB","?"))</f>
        <v> </v>
      </c>
      <c r="I4030" s="26" t="str">
        <f>IF(OR(E4030="",E4030="!!!",F4030="NEW"),"",INDEX(B4029:B$2,-1+SUMPRODUCT(MAX(ROW(E4029:E$2)*(E4030=E4029:E$2)))))</f>
        <v> </v>
      </c>
      <c r="J4030" s="26" t="str">
        <f>IF(OR(E4030="",E4030="!!!",F4030="NEW"),"",COUNTBLANK(OFFSET(A$1,,,SUMPRODUCT(MAX(ROW(E$2:E4030)*(E4030=E$2:E4030)))))-COUNTBLANK(OFFSET(A$1,,,SUMPRODUCT(MAX(ROW(E$1:E4029)*(E2=E$1:E4029))))))</f>
        <v> </v>
      </c>
      <c r="K4030" s="26" t="str">
        <f>IF(OR(E4030="",E4030="!!!",F4030="NEW"),"",INDEX(J$1:J4029,SUMPRODUCT(MAX(ROW(E$1:E4029)*(E4030=E$1:E4029)))))</f>
        <v> </v>
      </c>
      <c r="L4030" s="27"/>
    </row>
    <row r="4031" spans="1:12">
      <c r="A4031" s="20" t="s">
        <v>1156</v>
      </c>
      <c r="B4031" s="21" t="s">
        <v>1029</v>
      </c>
      <c r="C4031" s="21" t="s">
        <v>1013</v>
      </c>
      <c r="D4031" s="21" t="s">
        <v>1007</v>
      </c>
      <c r="E4031" s="22">
        <f>IF(D4031="?OLD","!!!","")</f>
        <v/>
      </c>
      <c r="F4031" s="23" t="str">
        <f>IF(OR(E4031="",E4031="!!!"),"",IF(NOT(ISNA(VLOOKUP(E4031,E$1:E4030,1,FALSE()))),"OLD",IF(AND(E4031&lt;&gt;"",E4031&lt;&gt;"!!!"),"NEW","")))</f>
        <v> </v>
      </c>
      <c r="G4031" s="24" t="str">
        <f>IF(OR(E4031="",E4031="!!!"),"",IF(OR(J4031=0,AND(J4031=1,K4031=1),AND(J4031=1,I4031="SBJ"),AND(J4031=1,I4031=0)),"?IN_FOCUS",IF(J4031&lt;=2,"?ACTIVATED",IF(J4031&lt;&gt;"","?FAMILIAR",IF(F4031="NEW",IF(ISNA(VLOOKUP(E4031,#REF!,1,FALSE())),"?TYPE_IDENTIFIABLE","?REFERENTIAL"),"_")))))</f>
        <v> </v>
      </c>
      <c r="H4031" s="25" t="str">
        <f>IF(J4031&lt;&gt;1,"",IF(I4031="SBJ","CB","?"))</f>
        <v> </v>
      </c>
      <c r="I4031" s="26" t="str">
        <f>IF(OR(E4031="",E4031="!!!",F4031="NEW"),"",INDEX(B4030:B$2,-1+SUMPRODUCT(MAX(ROW(E4030:E$2)*(E4031=E4030:E$2)))))</f>
        <v> </v>
      </c>
      <c r="J4031" s="26" t="str">
        <f>IF(OR(E4031="",E4031="!!!",F4031="NEW"),"",COUNTBLANK(OFFSET(A$1,,,SUMPRODUCT(MAX(ROW(E$2:E4031)*(E4031=E$2:E4031)))))-COUNTBLANK(OFFSET(A$1,,,SUMPRODUCT(MAX(ROW(E$1:E4030)*(E2=E$1:E4030))))))</f>
        <v> </v>
      </c>
      <c r="K4031" s="26" t="str">
        <f>IF(OR(E4031="",E4031="!!!",F4031="NEW"),"",INDEX(J$1:J4030,SUMPRODUCT(MAX(ROW(E$1:E4030)*(E4031=E$1:E4030)))))</f>
        <v> </v>
      </c>
      <c r="L4031" s="27"/>
    </row>
    <row r="4032" spans="1:12">
      <c r="A4032" s="20" t="s">
        <v>1018</v>
      </c>
      <c r="E4032" s="22">
        <f>IF(D4032="?OLD","!!!","")</f>
        <v/>
      </c>
      <c r="F4032" s="23" t="str">
        <f>IF(OR(E4032="",E4032="!!!"),"",IF(NOT(ISNA(VLOOKUP(E4032,E$1:E4031,1,FALSE()))),"OLD",IF(AND(E4032&lt;&gt;"",E4032&lt;&gt;"!!!"),"NEW","")))</f>
        <v> </v>
      </c>
      <c r="G4032" s="24" t="str">
        <f>IF(OR(E4032="",E4032="!!!"),"",IF(OR(J4032=0,AND(J4032=1,K4032=1),AND(J4032=1,I4032="SBJ"),AND(J4032=1,I4032=0)),"?IN_FOCUS",IF(J4032&lt;=2,"?ACTIVATED",IF(J4032&lt;&gt;"","?FAMILIAR",IF(F4032="NEW",IF(ISNA(VLOOKUP(E4032,#REF!,1,FALSE())),"?TYPE_IDENTIFIABLE","?REFERENTIAL"),"_")))))</f>
        <v> </v>
      </c>
      <c r="H4032" s="25" t="str">
        <f>IF(J4032&lt;&gt;1,"",IF(I4032="SBJ","CB","?"))</f>
        <v> </v>
      </c>
      <c r="I4032" s="26" t="str">
        <f>IF(OR(E4032="",E4032="!!!",F4032="NEW"),"",INDEX(B4031:B$2,-1+SUMPRODUCT(MAX(ROW(E4031:E$2)*(E4032=E4031:E$2)))))</f>
        <v> </v>
      </c>
      <c r="J4032" s="26" t="str">
        <f>IF(OR(E4032="",E4032="!!!",F4032="NEW"),"",COUNTBLANK(OFFSET(A$1,,,SUMPRODUCT(MAX(ROW(E$2:E4032)*(E4032=E$2:E4032)))))-COUNTBLANK(OFFSET(A$1,,,SUMPRODUCT(MAX(ROW(E$1:E4031)*(E2=E$1:E4031))))))</f>
        <v> </v>
      </c>
      <c r="K4032" s="26" t="str">
        <f>IF(OR(E4032="",E4032="!!!",F4032="NEW"),"",INDEX(J$1:J4031,SUMPRODUCT(MAX(ROW(E$1:E4031)*(E4032=E$1:E4031)))))</f>
        <v> </v>
      </c>
      <c r="L4032" s="27"/>
    </row>
    <row r="4033" spans="1:12">
      <c r="A4033" s="20" t="s">
        <v>1132</v>
      </c>
      <c r="E4033" s="22">
        <f>IF(D4033="?OLD","!!!","")</f>
        <v/>
      </c>
      <c r="F4033" s="23" t="str">
        <f>IF(OR(E4033="",E4033="!!!"),"",IF(NOT(ISNA(VLOOKUP(E4033,E$1:E4032,1,FALSE()))),"OLD",IF(AND(E4033&lt;&gt;"",E4033&lt;&gt;"!!!"),"NEW","")))</f>
        <v> </v>
      </c>
      <c r="G4033" s="24" t="str">
        <f>IF(OR(E4033="",E4033="!!!"),"",IF(OR(J4033=0,AND(J4033=1,K4033=1),AND(J4033=1,I4033="SBJ"),AND(J4033=1,I4033=0)),"?IN_FOCUS",IF(J4033&lt;=2,"?ACTIVATED",IF(J4033&lt;&gt;"","?FAMILIAR",IF(F4033="NEW",IF(ISNA(VLOOKUP(E4033,#REF!,1,FALSE())),"?TYPE_IDENTIFIABLE","?REFERENTIAL"),"_")))))</f>
        <v> </v>
      </c>
      <c r="H4033" s="25" t="str">
        <f>IF(J4033&lt;&gt;1,"",IF(I4033="SBJ","CB","?"))</f>
        <v> </v>
      </c>
      <c r="I4033" s="26" t="str">
        <f>IF(OR(E4033="",E4033="!!!",F4033="NEW"),"",INDEX(B4032:B$2,-1+SUMPRODUCT(MAX(ROW(E4032:E$2)*(E4033=E4032:E$2)))))</f>
        <v> </v>
      </c>
      <c r="J4033" s="26" t="str">
        <f>IF(OR(E4033="",E4033="!!!",F4033="NEW"),"",COUNTBLANK(OFFSET(A$1,,,SUMPRODUCT(MAX(ROW(E$2:E4033)*(E4033=E$2:E4033)))))-COUNTBLANK(OFFSET(A$1,,,SUMPRODUCT(MAX(ROW(E$1:E4032)*(E2=E$1:E4032))))))</f>
        <v> </v>
      </c>
      <c r="K4033" s="26" t="str">
        <f>IF(OR(E4033="",E4033="!!!",F4033="NEW"),"",INDEX(J$1:J4032,SUMPRODUCT(MAX(ROW(E$1:E4032)*(E4033=E$1:E4032)))))</f>
        <v> </v>
      </c>
      <c r="L4033" s="27"/>
    </row>
    <row r="4034" spans="1:12">
      <c r="A4034" s="20" t="s">
        <v>1387</v>
      </c>
      <c r="E4034" s="22">
        <f>IF(D4034="?OLD","!!!","")</f>
        <v/>
      </c>
      <c r="F4034" s="23" t="str">
        <f>IF(OR(E4034="",E4034="!!!"),"",IF(NOT(ISNA(VLOOKUP(E4034,E$1:E4033,1,FALSE()))),"OLD",IF(AND(E4034&lt;&gt;"",E4034&lt;&gt;"!!!"),"NEW","")))</f>
        <v> </v>
      </c>
      <c r="G4034" s="24" t="str">
        <f>IF(OR(E4034="",E4034="!!!"),"",IF(OR(J4034=0,AND(J4034=1,K4034=1),AND(J4034=1,I4034="SBJ"),AND(J4034=1,I4034=0)),"?IN_FOCUS",IF(J4034&lt;=2,"?ACTIVATED",IF(J4034&lt;&gt;"","?FAMILIAR",IF(F4034="NEW",IF(ISNA(VLOOKUP(E4034,#REF!,1,FALSE())),"?TYPE_IDENTIFIABLE","?REFERENTIAL"),"_")))))</f>
        <v> </v>
      </c>
      <c r="H4034" s="25" t="str">
        <f>IF(J4034&lt;&gt;1,"",IF(I4034="SBJ","CB","?"))</f>
        <v> </v>
      </c>
      <c r="I4034" s="26" t="str">
        <f>IF(OR(E4034="",E4034="!!!",F4034="NEW"),"",INDEX(B4033:B$2,-1+SUMPRODUCT(MAX(ROW(E4033:E$2)*(E4034=E4033:E$2)))))</f>
        <v> </v>
      </c>
      <c r="J4034" s="26" t="str">
        <f>IF(OR(E4034="",E4034="!!!",F4034="NEW"),"",COUNTBLANK(OFFSET(A$1,,,SUMPRODUCT(MAX(ROW(E$2:E4034)*(E4034=E$2:E4034)))))-COUNTBLANK(OFFSET(A$1,,,SUMPRODUCT(MAX(ROW(E$1:E4033)*(E2=E$1:E4033))))))</f>
        <v> </v>
      </c>
      <c r="K4034" s="26" t="str">
        <f>IF(OR(E4034="",E4034="!!!",F4034="NEW"),"",INDEX(J$1:J4033,SUMPRODUCT(MAX(ROW(E$1:E4033)*(E4034=E$1:E4033)))))</f>
        <v> </v>
      </c>
      <c r="L4034" s="27"/>
    </row>
    <row r="4035" spans="1:12">
      <c r="A4035" s="20" t="s">
        <v>1020</v>
      </c>
      <c r="E4035" s="22">
        <f>IF(D4035="?OLD","!!!","")</f>
        <v/>
      </c>
      <c r="F4035" s="23" t="str">
        <f>IF(OR(E4035="",E4035="!!!"),"",IF(NOT(ISNA(VLOOKUP(E4035,E$1:E4034,1,FALSE()))),"OLD",IF(AND(E4035&lt;&gt;"",E4035&lt;&gt;"!!!"),"NEW","")))</f>
        <v> </v>
      </c>
      <c r="G4035" s="24" t="str">
        <f>IF(OR(E4035="",E4035="!!!"),"",IF(OR(J4035=0,AND(J4035=1,K4035=1),AND(J4035=1,I4035="SBJ"),AND(J4035=1,I4035=0)),"?IN_FOCUS",IF(J4035&lt;=2,"?ACTIVATED",IF(J4035&lt;&gt;"","?FAMILIAR",IF(F4035="NEW",IF(ISNA(VLOOKUP(E4035,#REF!,1,FALSE())),"?TYPE_IDENTIFIABLE","?REFERENTIAL"),"_")))))</f>
        <v> </v>
      </c>
      <c r="H4035" s="25" t="str">
        <f>IF(J4035&lt;&gt;1,"",IF(I4035="SBJ","CB","?"))</f>
        <v> </v>
      </c>
      <c r="I4035" s="26" t="str">
        <f>IF(OR(E4035="",E4035="!!!",F4035="NEW"),"",INDEX(B4034:B$2,-1+SUMPRODUCT(MAX(ROW(E4034:E$2)*(E4035=E4034:E$2)))))</f>
        <v> </v>
      </c>
      <c r="J4035" s="26" t="str">
        <f>IF(OR(E4035="",E4035="!!!",F4035="NEW"),"",COUNTBLANK(OFFSET(A$1,,,SUMPRODUCT(MAX(ROW(E$2:E4035)*(E4035=E$2:E4035)))))-COUNTBLANK(OFFSET(A$1,,,SUMPRODUCT(MAX(ROW(E$1:E4034)*(E2=E$1:E4034))))))</f>
        <v> </v>
      </c>
      <c r="K4035" s="26" t="str">
        <f>IF(OR(E4035="",E4035="!!!",F4035="NEW"),"",INDEX(J$1:J4034,SUMPRODUCT(MAX(ROW(E$1:E4034)*(E4035=E$1:E4034)))))</f>
        <v> </v>
      </c>
      <c r="L4035" s="27"/>
    </row>
    <row r="4036" spans="1:12">
      <c r="A4036" s="20" t="s">
        <v>1338</v>
      </c>
      <c r="E4036" s="22">
        <f>IF(D4036="?OLD","!!!","")</f>
        <v/>
      </c>
      <c r="F4036" s="23" t="str">
        <f>IF(OR(E4036="",E4036="!!!"),"",IF(NOT(ISNA(VLOOKUP(E4036,E$1:E4035,1,FALSE()))),"OLD",IF(AND(E4036&lt;&gt;"",E4036&lt;&gt;"!!!"),"NEW","")))</f>
        <v> </v>
      </c>
      <c r="G4036" s="24" t="str">
        <f>IF(OR(E4036="",E4036="!!!"),"",IF(OR(J4036=0,AND(J4036=1,K4036=1),AND(J4036=1,I4036="SBJ"),AND(J4036=1,I4036=0)),"?IN_FOCUS",IF(J4036&lt;=2,"?ACTIVATED",IF(J4036&lt;&gt;"","?FAMILIAR",IF(F4036="NEW",IF(ISNA(VLOOKUP(E4036,#REF!,1,FALSE())),"?TYPE_IDENTIFIABLE","?REFERENTIAL"),"_")))))</f>
        <v> </v>
      </c>
      <c r="H4036" s="25" t="str">
        <f>IF(J4036&lt;&gt;1,"",IF(I4036="SBJ","CB","?"))</f>
        <v> </v>
      </c>
      <c r="I4036" s="26" t="str">
        <f>IF(OR(E4036="",E4036="!!!",F4036="NEW"),"",INDEX(B4035:B$2,-1+SUMPRODUCT(MAX(ROW(E4035:E$2)*(E4036=E4035:E$2)))))</f>
        <v> </v>
      </c>
      <c r="J4036" s="26" t="str">
        <f>IF(OR(E4036="",E4036="!!!",F4036="NEW"),"",COUNTBLANK(OFFSET(A$1,,,SUMPRODUCT(MAX(ROW(E$2:E4036)*(E4036=E$2:E4036)))))-COUNTBLANK(OFFSET(A$1,,,SUMPRODUCT(MAX(ROW(E$1:E4035)*(E2=E$1:E4035))))))</f>
        <v> </v>
      </c>
      <c r="K4036" s="26" t="str">
        <f>IF(OR(E4036="",E4036="!!!",F4036="NEW"),"",INDEX(J$1:J4035,SUMPRODUCT(MAX(ROW(E$1:E4035)*(E4036=E$1:E4035)))))</f>
        <v> </v>
      </c>
      <c r="L4036" s="27"/>
    </row>
    <row r="4037" spans="1:12">
      <c r="A4037" s="20" t="s">
        <v>1030</v>
      </c>
      <c r="E4037" s="22">
        <f>IF(D4037="?OLD","!!!","")</f>
        <v/>
      </c>
      <c r="F4037" s="23" t="str">
        <f>IF(OR(E4037="",E4037="!!!"),"",IF(NOT(ISNA(VLOOKUP(E4037,E$1:E4036,1,FALSE()))),"OLD",IF(AND(E4037&lt;&gt;"",E4037&lt;&gt;"!!!"),"NEW","")))</f>
        <v> </v>
      </c>
      <c r="G4037" s="24" t="str">
        <f>IF(OR(E4037="",E4037="!!!"),"",IF(OR(J4037=0,AND(J4037=1,K4037=1),AND(J4037=1,I4037="SBJ"),AND(J4037=1,I4037=0)),"?IN_FOCUS",IF(J4037&lt;=2,"?ACTIVATED",IF(J4037&lt;&gt;"","?FAMILIAR",IF(F4037="NEW",IF(ISNA(VLOOKUP(E4037,#REF!,1,FALSE())),"?TYPE_IDENTIFIABLE","?REFERENTIAL"),"_")))))</f>
        <v> </v>
      </c>
      <c r="H4037" s="25" t="str">
        <f>IF(J4037&lt;&gt;1,"",IF(I4037="SBJ","CB","?"))</f>
        <v> </v>
      </c>
      <c r="I4037" s="26" t="str">
        <f>IF(OR(E4037="",E4037="!!!",F4037="NEW"),"",INDEX(B4036:B$2,-1+SUMPRODUCT(MAX(ROW(E4036:E$2)*(E4037=E4036:E$2)))))</f>
        <v> </v>
      </c>
      <c r="J4037" s="26" t="str">
        <f>IF(OR(E4037="",E4037="!!!",F4037="NEW"),"",COUNTBLANK(OFFSET(A$1,,,SUMPRODUCT(MAX(ROW(E$2:E4037)*(E4037=E$2:E4037)))))-COUNTBLANK(OFFSET(A$1,,,SUMPRODUCT(MAX(ROW(E$1:E4036)*(E2=E$1:E4036))))))</f>
        <v> </v>
      </c>
      <c r="K4037" s="26" t="str">
        <f>IF(OR(E4037="",E4037="!!!",F4037="NEW"),"",INDEX(J$1:J4036,SUMPRODUCT(MAX(ROW(E$1:E4036)*(E4037=E$1:E4036)))))</f>
        <v> </v>
      </c>
      <c r="L4037" s="27"/>
    </row>
    <row r="4038" spans="1:12">
      <c r="A4038" s="20" t="s">
        <v>1309</v>
      </c>
      <c r="B4038" s="21" t="s">
        <v>1033</v>
      </c>
      <c r="C4038" s="21" t="s">
        <v>1013</v>
      </c>
      <c r="D4038" s="21" t="s">
        <v>1007</v>
      </c>
      <c r="E4038" s="22">
        <f>IF(D4038="?OLD","!!!","")</f>
        <v/>
      </c>
      <c r="F4038" s="23" t="str">
        <f>IF(OR(E4038="",E4038="!!!"),"",IF(NOT(ISNA(VLOOKUP(E4038,E$1:E4037,1,FALSE()))),"OLD",IF(AND(E4038&lt;&gt;"",E4038&lt;&gt;"!!!"),"NEW","")))</f>
        <v> </v>
      </c>
      <c r="G4038" s="24" t="str">
        <f>IF(OR(E4038="",E4038="!!!"),"",IF(OR(J4038=0,AND(J4038=1,K4038=1),AND(J4038=1,I4038="SBJ"),AND(J4038=1,I4038=0)),"?IN_FOCUS",IF(J4038&lt;=2,"?ACTIVATED",IF(J4038&lt;&gt;"","?FAMILIAR",IF(F4038="NEW",IF(ISNA(VLOOKUP(E4038,#REF!,1,FALSE())),"?TYPE_IDENTIFIABLE","?REFERENTIAL"),"_")))))</f>
        <v> </v>
      </c>
      <c r="H4038" s="25" t="str">
        <f>IF(J4038&lt;&gt;1,"",IF(I4038="SBJ","CB","?"))</f>
        <v> </v>
      </c>
      <c r="I4038" s="26" t="str">
        <f>IF(OR(E4038="",E4038="!!!",F4038="NEW"),"",INDEX(B4037:B$2,-1+SUMPRODUCT(MAX(ROW(E4037:E$2)*(E4038=E4037:E$2)))))</f>
        <v> </v>
      </c>
      <c r="J4038" s="26" t="str">
        <f>IF(OR(E4038="",E4038="!!!",F4038="NEW"),"",COUNTBLANK(OFFSET(A$1,,,SUMPRODUCT(MAX(ROW(E$2:E4038)*(E4038=E$2:E4038)))))-COUNTBLANK(OFFSET(A$1,,,SUMPRODUCT(MAX(ROW(E$1:E4037)*(E2=E$1:E4037))))))</f>
        <v> </v>
      </c>
      <c r="K4038" s="26" t="str">
        <f>IF(OR(E4038="",E4038="!!!",F4038="NEW"),"",INDEX(J$1:J4037,SUMPRODUCT(MAX(ROW(E$1:E4037)*(E4038=E$1:E4037)))))</f>
        <v> </v>
      </c>
      <c r="L4038" s="27"/>
    </row>
    <row r="4039" spans="1:12">
      <c r="A4039" s="20" t="s">
        <v>1020</v>
      </c>
      <c r="E4039" s="22">
        <f>IF(D4039="?OLD","!!!","")</f>
        <v/>
      </c>
      <c r="F4039" s="23" t="str">
        <f>IF(OR(E4039="",E4039="!!!"),"",IF(NOT(ISNA(VLOOKUP(E4039,E$1:E4038,1,FALSE()))),"OLD",IF(AND(E4039&lt;&gt;"",E4039&lt;&gt;"!!!"),"NEW","")))</f>
        <v> </v>
      </c>
      <c r="G4039" s="24" t="str">
        <f>IF(OR(E4039="",E4039="!!!"),"",IF(OR(J4039=0,AND(J4039=1,K4039=1),AND(J4039=1,I4039="SBJ"),AND(J4039=1,I4039=0)),"?IN_FOCUS",IF(J4039&lt;=2,"?ACTIVATED",IF(J4039&lt;&gt;"","?FAMILIAR",IF(F4039="NEW",IF(ISNA(VLOOKUP(E4039,#REF!,1,FALSE())),"?TYPE_IDENTIFIABLE","?REFERENTIAL"),"_")))))</f>
        <v> </v>
      </c>
      <c r="H4039" s="25" t="str">
        <f>IF(J4039&lt;&gt;1,"",IF(I4039="SBJ","CB","?"))</f>
        <v> </v>
      </c>
      <c r="I4039" s="26" t="str">
        <f>IF(OR(E4039="",E4039="!!!",F4039="NEW"),"",INDEX(B4038:B$2,-1+SUMPRODUCT(MAX(ROW(E4038:E$2)*(E4039=E4038:E$2)))))</f>
        <v> </v>
      </c>
      <c r="J4039" s="26" t="str">
        <f>IF(OR(E4039="",E4039="!!!",F4039="NEW"),"",COUNTBLANK(OFFSET(A$1,,,SUMPRODUCT(MAX(ROW(E$2:E4039)*(E4039=E$2:E4039)))))-COUNTBLANK(OFFSET(A$1,,,SUMPRODUCT(MAX(ROW(E$1:E4038)*(E2=E$1:E4038))))))</f>
        <v> </v>
      </c>
      <c r="K4039" s="26" t="str">
        <f>IF(OR(E4039="",E4039="!!!",F4039="NEW"),"",INDEX(J$1:J4038,SUMPRODUCT(MAX(ROW(E$1:E4038)*(E4039=E$1:E4038)))))</f>
        <v> </v>
      </c>
      <c r="L4039" s="27"/>
    </row>
    <row r="4040" spans="1:12">
      <c r="A4040" s="20" t="s">
        <v>1638</v>
      </c>
      <c r="B4040" s="21" t="s">
        <v>1035</v>
      </c>
      <c r="C4040" s="21" t="s">
        <v>1006</v>
      </c>
      <c r="D4040" s="21" t="s">
        <v>1007</v>
      </c>
      <c r="E4040" s="22">
        <f>IF(D4040="?OLD","!!!","")</f>
        <v/>
      </c>
      <c r="F4040" s="23" t="str">
        <f>IF(OR(E4040="",E4040="!!!"),"",IF(NOT(ISNA(VLOOKUP(E4040,E$1:E4039,1,FALSE()))),"OLD",IF(AND(E4040&lt;&gt;"",E4040&lt;&gt;"!!!"),"NEW","")))</f>
        <v> </v>
      </c>
      <c r="G4040" s="24" t="str">
        <f>IF(OR(E4040="",E4040="!!!"),"",IF(OR(J4040=0,AND(J4040=1,K4040=1),AND(J4040=1,I4040="SBJ"),AND(J4040=1,I4040=0)),"?IN_FOCUS",IF(J4040&lt;=2,"?ACTIVATED",IF(J4040&lt;&gt;"","?FAMILIAR",IF(F4040="NEW",IF(ISNA(VLOOKUP(E4040,#REF!,1,FALSE())),"?TYPE_IDENTIFIABLE","?REFERENTIAL"),"_")))))</f>
        <v> </v>
      </c>
      <c r="H4040" s="25" t="str">
        <f>IF(J4040&lt;&gt;1,"",IF(I4040="SBJ","CB","?"))</f>
        <v> </v>
      </c>
      <c r="I4040" s="26" t="str">
        <f>IF(OR(E4040="",E4040="!!!",F4040="NEW"),"",INDEX(B4039:B$2,-1+SUMPRODUCT(MAX(ROW(E4039:E$2)*(E4040=E4039:E$2)))))</f>
        <v> </v>
      </c>
      <c r="J4040" s="26" t="str">
        <f>IF(OR(E4040="",E4040="!!!",F4040="NEW"),"",COUNTBLANK(OFFSET(A$1,,,SUMPRODUCT(MAX(ROW(E$2:E4040)*(E4040=E$2:E4040)))))-COUNTBLANK(OFFSET(A$1,,,SUMPRODUCT(MAX(ROW(E$1:E4039)*(E2=E$1:E4039))))))</f>
        <v> </v>
      </c>
      <c r="K4040" s="26" t="str">
        <f>IF(OR(E4040="",E4040="!!!",F4040="NEW"),"",INDEX(J$1:J4039,SUMPRODUCT(MAX(ROW(E$1:E4039)*(E4040=E$1:E4039)))))</f>
        <v> </v>
      </c>
      <c r="L4040" s="27"/>
    </row>
    <row r="4041" spans="1:12">
      <c r="A4041" s="20" t="s">
        <v>1018</v>
      </c>
      <c r="E4041" s="22">
        <f>IF(D4041="?OLD","!!!","")</f>
        <v/>
      </c>
      <c r="F4041" s="23" t="str">
        <f>IF(OR(E4041="",E4041="!!!"),"",IF(NOT(ISNA(VLOOKUP(E4041,E$1:E4040,1,FALSE()))),"OLD",IF(AND(E4041&lt;&gt;"",E4041&lt;&gt;"!!!"),"NEW","")))</f>
        <v> </v>
      </c>
      <c r="G4041" s="24" t="str">
        <f>IF(OR(E4041="",E4041="!!!"),"",IF(OR(J4041=0,AND(J4041=1,K4041=1),AND(J4041=1,I4041="SBJ"),AND(J4041=1,I4041=0)),"?IN_FOCUS",IF(J4041&lt;=2,"?ACTIVATED",IF(J4041&lt;&gt;"","?FAMILIAR",IF(F4041="NEW",IF(ISNA(VLOOKUP(E4041,#REF!,1,FALSE())),"?TYPE_IDENTIFIABLE","?REFERENTIAL"),"_")))))</f>
        <v> </v>
      </c>
      <c r="H4041" s="25" t="str">
        <f>IF(J4041&lt;&gt;1,"",IF(I4041="SBJ","CB","?"))</f>
        <v> </v>
      </c>
      <c r="I4041" s="26" t="str">
        <f>IF(OR(E4041="",E4041="!!!",F4041="NEW"),"",INDEX(B4040:B$2,-1+SUMPRODUCT(MAX(ROW(E4040:E$2)*(E4041=E4040:E$2)))))</f>
        <v> </v>
      </c>
      <c r="J4041" s="26" t="str">
        <f>IF(OR(E4041="",E4041="!!!",F4041="NEW"),"",COUNTBLANK(OFFSET(A$1,,,SUMPRODUCT(MAX(ROW(E$2:E4041)*(E4041=E$2:E4041)))))-COUNTBLANK(OFFSET(A$1,,,SUMPRODUCT(MAX(ROW(E$1:E4040)*(E2=E$1:E4040))))))</f>
        <v> </v>
      </c>
      <c r="K4041" s="26" t="str">
        <f>IF(OR(E4041="",E4041="!!!",F4041="NEW"),"",INDEX(J$1:J4040,SUMPRODUCT(MAX(ROW(E$1:E4040)*(E4041=E$1:E4040)))))</f>
        <v> </v>
      </c>
      <c r="L4041" s="27"/>
    </row>
    <row r="4042" spans="1:12">
      <c r="A4042" s="20" t="s">
        <v>1299</v>
      </c>
      <c r="E4042" s="22">
        <f>IF(D4042="?OLD","!!!","")</f>
        <v/>
      </c>
      <c r="F4042" s="23" t="str">
        <f>IF(OR(E4042="",E4042="!!!"),"",IF(NOT(ISNA(VLOOKUP(E4042,E$1:E4041,1,FALSE()))),"OLD",IF(AND(E4042&lt;&gt;"",E4042&lt;&gt;"!!!"),"NEW","")))</f>
        <v> </v>
      </c>
      <c r="G4042" s="24" t="str">
        <f>IF(OR(E4042="",E4042="!!!"),"",IF(OR(J4042=0,AND(J4042=1,K4042=1),AND(J4042=1,I4042="SBJ"),AND(J4042=1,I4042=0)),"?IN_FOCUS",IF(J4042&lt;=2,"?ACTIVATED",IF(J4042&lt;&gt;"","?FAMILIAR",IF(F4042="NEW",IF(ISNA(VLOOKUP(E4042,#REF!,1,FALSE())),"?TYPE_IDENTIFIABLE","?REFERENTIAL"),"_")))))</f>
        <v> </v>
      </c>
      <c r="H4042" s="25" t="str">
        <f>IF(J4042&lt;&gt;1,"",IF(I4042="SBJ","CB","?"))</f>
        <v> </v>
      </c>
      <c r="I4042" s="26" t="str">
        <f>IF(OR(E4042="",E4042="!!!",F4042="NEW"),"",INDEX(B4041:B$2,-1+SUMPRODUCT(MAX(ROW(E4041:E$2)*(E4042=E4041:E$2)))))</f>
        <v> </v>
      </c>
      <c r="J4042" s="26" t="str">
        <f>IF(OR(E4042="",E4042="!!!",F4042="NEW"),"",COUNTBLANK(OFFSET(A$1,,,SUMPRODUCT(MAX(ROW(E$2:E4042)*(E4042=E$2:E4042)))))-COUNTBLANK(OFFSET(A$1,,,SUMPRODUCT(MAX(ROW(E$1:E4041)*(E2=E$1:E4041))))))</f>
        <v> </v>
      </c>
      <c r="K4042" s="26" t="str">
        <f>IF(OR(E4042="",E4042="!!!",F4042="NEW"),"",INDEX(J$1:J4041,SUMPRODUCT(MAX(ROW(E$1:E4041)*(E4042=E$1:E4041)))))</f>
        <v> </v>
      </c>
      <c r="L4042" s="27"/>
    </row>
    <row r="4043" spans="1:12">
      <c r="A4043" s="20" t="s">
        <v>1020</v>
      </c>
      <c r="E4043" s="22">
        <f>IF(D4043="?OLD","!!!","")</f>
        <v/>
      </c>
      <c r="F4043" s="23" t="str">
        <f>IF(OR(E4043="",E4043="!!!"),"",IF(NOT(ISNA(VLOOKUP(E4043,E$1:E4042,1,FALSE()))),"OLD",IF(AND(E4043&lt;&gt;"",E4043&lt;&gt;"!!!"),"NEW","")))</f>
        <v> </v>
      </c>
      <c r="G4043" s="24" t="str">
        <f>IF(OR(E4043="",E4043="!!!"),"",IF(OR(J4043=0,AND(J4043=1,K4043=1),AND(J4043=1,I4043="SBJ"),AND(J4043=1,I4043=0)),"?IN_FOCUS",IF(J4043&lt;=2,"?ACTIVATED",IF(J4043&lt;&gt;"","?FAMILIAR",IF(F4043="NEW",IF(ISNA(VLOOKUP(E4043,#REF!,1,FALSE())),"?TYPE_IDENTIFIABLE","?REFERENTIAL"),"_")))))</f>
        <v> </v>
      </c>
      <c r="H4043" s="25" t="str">
        <f>IF(J4043&lt;&gt;1,"",IF(I4043="SBJ","CB","?"))</f>
        <v> </v>
      </c>
      <c r="I4043" s="26" t="str">
        <f>IF(OR(E4043="",E4043="!!!",F4043="NEW"),"",INDEX(B4042:B$2,-1+SUMPRODUCT(MAX(ROW(E4042:E$2)*(E4043=E4042:E$2)))))</f>
        <v> </v>
      </c>
      <c r="J4043" s="26" t="str">
        <f>IF(OR(E4043="",E4043="!!!",F4043="NEW"),"",COUNTBLANK(OFFSET(A$1,,,SUMPRODUCT(MAX(ROW(E$2:E4043)*(E4043=E$2:E4043)))))-COUNTBLANK(OFFSET(A$1,,,SUMPRODUCT(MAX(ROW(E$1:E4042)*(E2=E$1:E4042))))))</f>
        <v> </v>
      </c>
      <c r="K4043" s="26" t="str">
        <f>IF(OR(E4043="",E4043="!!!",F4043="NEW"),"",INDEX(J$1:J4042,SUMPRODUCT(MAX(ROW(E$1:E4042)*(E4043=E$1:E4042)))))</f>
        <v> </v>
      </c>
      <c r="L4043" s="27"/>
    </row>
    <row r="4044" spans="1:12">
      <c r="A4044" s="20" t="s">
        <v>2183</v>
      </c>
      <c r="B4044" s="21" t="s">
        <v>1154</v>
      </c>
      <c r="C4044" s="21" t="s">
        <v>1017</v>
      </c>
      <c r="D4044" s="21" t="s">
        <v>1007</v>
      </c>
      <c r="E4044" s="22">
        <f>IF(D4044="?OLD","!!!","")</f>
        <v/>
      </c>
      <c r="F4044" s="23" t="str">
        <f>IF(OR(E4044="",E4044="!!!"),"",IF(NOT(ISNA(VLOOKUP(E4044,E$1:E4043,1,FALSE()))),"OLD",IF(AND(E4044&lt;&gt;"",E4044&lt;&gt;"!!!"),"NEW","")))</f>
        <v> </v>
      </c>
      <c r="G4044" s="24" t="str">
        <f>IF(OR(E4044="",E4044="!!!"),"",IF(OR(J4044=0,AND(J4044=1,K4044=1),AND(J4044=1,I4044="SBJ"),AND(J4044=1,I4044=0)),"?IN_FOCUS",IF(J4044&lt;=2,"?ACTIVATED",IF(J4044&lt;&gt;"","?FAMILIAR",IF(F4044="NEW",IF(ISNA(VLOOKUP(E4044,#REF!,1,FALSE())),"?TYPE_IDENTIFIABLE","?REFERENTIAL"),"_")))))</f>
        <v> </v>
      </c>
      <c r="H4044" s="25" t="str">
        <f>IF(J4044&lt;&gt;1,"",IF(I4044="SBJ","CB","?"))</f>
        <v> </v>
      </c>
      <c r="I4044" s="26" t="str">
        <f>IF(OR(E4044="",E4044="!!!",F4044="NEW"),"",INDEX(B4043:B$2,-1+SUMPRODUCT(MAX(ROW(E4043:E$2)*(E4044=E4043:E$2)))))</f>
        <v> </v>
      </c>
      <c r="J4044" s="26" t="str">
        <f>IF(OR(E4044="",E4044="!!!",F4044="NEW"),"",COUNTBLANK(OFFSET(A$1,,,SUMPRODUCT(MAX(ROW(E$2:E4044)*(E4044=E$2:E4044)))))-COUNTBLANK(OFFSET(A$1,,,SUMPRODUCT(MAX(ROW(E$1:E4043)*(E2=E$1:E4043))))))</f>
        <v> </v>
      </c>
      <c r="K4044" s="26" t="str">
        <f>IF(OR(E4044="",E4044="!!!",F4044="NEW"),"",INDEX(J$1:J4043,SUMPRODUCT(MAX(ROW(E$1:E4043)*(E4044=E$1:E4043)))))</f>
        <v> </v>
      </c>
      <c r="L4044" s="27"/>
    </row>
    <row r="4045" spans="1:12">
      <c r="A4045" s="20" t="s">
        <v>2184</v>
      </c>
      <c r="E4045" s="22">
        <f>IF(D4045="?OLD","!!!","")</f>
        <v/>
      </c>
      <c r="F4045" s="23" t="str">
        <f>IF(OR(E4045="",E4045="!!!"),"",IF(NOT(ISNA(VLOOKUP(E4045,E$1:E4044,1,FALSE()))),"OLD",IF(AND(E4045&lt;&gt;"",E4045&lt;&gt;"!!!"),"NEW","")))</f>
        <v> </v>
      </c>
      <c r="G4045" s="24" t="str">
        <f>IF(OR(E4045="",E4045="!!!"),"",IF(OR(J4045=0,AND(J4045=1,K4045=1),AND(J4045=1,I4045="SBJ"),AND(J4045=1,I4045=0)),"?IN_FOCUS",IF(J4045&lt;=2,"?ACTIVATED",IF(J4045&lt;&gt;"","?FAMILIAR",IF(F4045="NEW",IF(ISNA(VLOOKUP(E4045,#REF!,1,FALSE())),"?TYPE_IDENTIFIABLE","?REFERENTIAL"),"_")))))</f>
        <v> </v>
      </c>
      <c r="H4045" s="25" t="str">
        <f>IF(J4045&lt;&gt;1,"",IF(I4045="SBJ","CB","?"))</f>
        <v> </v>
      </c>
      <c r="I4045" s="26" t="str">
        <f>IF(OR(E4045="",E4045="!!!",F4045="NEW"),"",INDEX(B4044:B$2,-1+SUMPRODUCT(MAX(ROW(E4044:E$2)*(E4045=E4044:E$2)))))</f>
        <v> </v>
      </c>
      <c r="J4045" s="26" t="str">
        <f>IF(OR(E4045="",E4045="!!!",F4045="NEW"),"",COUNTBLANK(OFFSET(A$1,,,SUMPRODUCT(MAX(ROW(E$2:E4045)*(E4045=E$2:E4045)))))-COUNTBLANK(OFFSET(A$1,,,SUMPRODUCT(MAX(ROW(E$1:E4044)*(E2=E$1:E4044))))))</f>
        <v> </v>
      </c>
      <c r="K4045" s="26" t="str">
        <f>IF(OR(E4045="",E4045="!!!",F4045="NEW"),"",INDEX(J$1:J4044,SUMPRODUCT(MAX(ROW(E$1:E4044)*(E4045=E$1:E4044)))))</f>
        <v> </v>
      </c>
      <c r="L4045" s="27"/>
    </row>
    <row r="4046" spans="1:12">
      <c r="A4046" s="20" t="s">
        <v>1075</v>
      </c>
      <c r="E4046" s="22">
        <f>IF(D4046="?OLD","!!!","")</f>
        <v/>
      </c>
      <c r="F4046" s="23" t="str">
        <f>IF(OR(E4046="",E4046="!!!"),"",IF(NOT(ISNA(VLOOKUP(E4046,E$1:E4045,1,FALSE()))),"OLD",IF(AND(E4046&lt;&gt;"",E4046&lt;&gt;"!!!"),"NEW","")))</f>
        <v> </v>
      </c>
      <c r="G4046" s="24" t="str">
        <f>IF(OR(E4046="",E4046="!!!"),"",IF(OR(J4046=0,AND(J4046=1,K4046=1),AND(J4046=1,I4046="SBJ"),AND(J4046=1,I4046=0)),"?IN_FOCUS",IF(J4046&lt;=2,"?ACTIVATED",IF(J4046&lt;&gt;"","?FAMILIAR",IF(F4046="NEW",IF(ISNA(VLOOKUP(E4046,#REF!,1,FALSE())),"?TYPE_IDENTIFIABLE","?REFERENTIAL"),"_")))))</f>
        <v> </v>
      </c>
      <c r="H4046" s="25" t="str">
        <f>IF(J4046&lt;&gt;1,"",IF(I4046="SBJ","CB","?"))</f>
        <v> </v>
      </c>
      <c r="I4046" s="26" t="str">
        <f>IF(OR(E4046="",E4046="!!!",F4046="NEW"),"",INDEX(B4045:B$2,-1+SUMPRODUCT(MAX(ROW(E4045:E$2)*(E4046=E4045:E$2)))))</f>
        <v> </v>
      </c>
      <c r="J4046" s="26" t="str">
        <f>IF(OR(E4046="",E4046="!!!",F4046="NEW"),"",COUNTBLANK(OFFSET(A$1,,,SUMPRODUCT(MAX(ROW(E$2:E4046)*(E4046=E$2:E4046)))))-COUNTBLANK(OFFSET(A$1,,,SUMPRODUCT(MAX(ROW(E$1:E4045)*(E2=E$1:E4045))))))</f>
        <v> </v>
      </c>
      <c r="K4046" s="26" t="str">
        <f>IF(OR(E4046="",E4046="!!!",F4046="NEW"),"",INDEX(J$1:J4045,SUMPRODUCT(MAX(ROW(E$1:E4045)*(E4046=E$1:E4045)))))</f>
        <v> </v>
      </c>
      <c r="L4046" s="27"/>
    </row>
    <row r="4047" spans="1:12">
      <c r="A4047" s="20" t="s">
        <v>1020</v>
      </c>
      <c r="E4047" s="22">
        <f>IF(D4047="?OLD","!!!","")</f>
        <v/>
      </c>
      <c r="F4047" s="23" t="str">
        <f>IF(OR(E4047="",E4047="!!!"),"",IF(NOT(ISNA(VLOOKUP(E4047,E$1:E4046,1,FALSE()))),"OLD",IF(AND(E4047&lt;&gt;"",E4047&lt;&gt;"!!!"),"NEW","")))</f>
        <v> </v>
      </c>
      <c r="G4047" s="24" t="str">
        <f>IF(OR(E4047="",E4047="!!!"),"",IF(OR(J4047=0,AND(J4047=1,K4047=1),AND(J4047=1,I4047="SBJ"),AND(J4047=1,I4047=0)),"?IN_FOCUS",IF(J4047&lt;=2,"?ACTIVATED",IF(J4047&lt;&gt;"","?FAMILIAR",IF(F4047="NEW",IF(ISNA(VLOOKUP(E4047,#REF!,1,FALSE())),"?TYPE_IDENTIFIABLE","?REFERENTIAL"),"_")))))</f>
        <v> </v>
      </c>
      <c r="H4047" s="25" t="str">
        <f>IF(J4047&lt;&gt;1,"",IF(I4047="SBJ","CB","?"))</f>
        <v> </v>
      </c>
      <c r="I4047" s="26" t="str">
        <f>IF(OR(E4047="",E4047="!!!",F4047="NEW"),"",INDEX(B4046:B$2,-1+SUMPRODUCT(MAX(ROW(E4046:E$2)*(E4047=E4046:E$2)))))</f>
        <v> </v>
      </c>
      <c r="J4047" s="26" t="str">
        <f>IF(OR(E4047="",E4047="!!!",F4047="NEW"),"",COUNTBLANK(OFFSET(A$1,,,SUMPRODUCT(MAX(ROW(E$2:E4047)*(E4047=E$2:E4047)))))-COUNTBLANK(OFFSET(A$1,,,SUMPRODUCT(MAX(ROW(E$1:E4046)*(E2=E$1:E4046))))))</f>
        <v> </v>
      </c>
      <c r="K4047" s="26" t="str">
        <f>IF(OR(E4047="",E4047="!!!",F4047="NEW"),"",INDEX(J$1:J4046,SUMPRODUCT(MAX(ROW(E$1:E4046)*(E4047=E$1:E4046)))))</f>
        <v> </v>
      </c>
      <c r="L4047" s="27"/>
    </row>
    <row r="4048" spans="1:12">
      <c r="A4048" s="20" t="s">
        <v>1493</v>
      </c>
      <c r="B4048" s="21" t="s">
        <v>1022</v>
      </c>
      <c r="C4048" s="21" t="s">
        <v>1017</v>
      </c>
      <c r="D4048" s="21" t="s">
        <v>1007</v>
      </c>
      <c r="E4048" s="22">
        <f>IF(D4048="?OLD","!!!","")</f>
        <v/>
      </c>
      <c r="F4048" s="23" t="str">
        <f>IF(OR(E4048="",E4048="!!!"),"",IF(NOT(ISNA(VLOOKUP(E4048,E$1:E4047,1,FALSE()))),"OLD",IF(AND(E4048&lt;&gt;"",E4048&lt;&gt;"!!!"),"NEW","")))</f>
        <v> </v>
      </c>
      <c r="G4048" s="24" t="str">
        <f>IF(OR(E4048="",E4048="!!!"),"",IF(OR(J4048=0,AND(J4048=1,K4048=1),AND(J4048=1,I4048="SBJ"),AND(J4048=1,I4048=0)),"?IN_FOCUS",IF(J4048&lt;=2,"?ACTIVATED",IF(J4048&lt;&gt;"","?FAMILIAR",IF(F4048="NEW",IF(ISNA(VLOOKUP(E4048,#REF!,1,FALSE())),"?TYPE_IDENTIFIABLE","?REFERENTIAL"),"_")))))</f>
        <v> </v>
      </c>
      <c r="H4048" s="25" t="str">
        <f>IF(J4048&lt;&gt;1,"",IF(I4048="SBJ","CB","?"))</f>
        <v> </v>
      </c>
      <c r="I4048" s="26" t="str">
        <f>IF(OR(E4048="",E4048="!!!",F4048="NEW"),"",INDEX(B4047:B$2,-1+SUMPRODUCT(MAX(ROW(E4047:E$2)*(E4048=E4047:E$2)))))</f>
        <v> </v>
      </c>
      <c r="J4048" s="26" t="str">
        <f>IF(OR(E4048="",E4048="!!!",F4048="NEW"),"",COUNTBLANK(OFFSET(A$1,,,SUMPRODUCT(MAX(ROW(E$2:E4048)*(E4048=E$2:E4048)))))-COUNTBLANK(OFFSET(A$1,,,SUMPRODUCT(MAX(ROW(E$1:E4047)*(E2=E$1:E4047))))))</f>
        <v> </v>
      </c>
      <c r="K4048" s="26" t="str">
        <f>IF(OR(E4048="",E4048="!!!",F4048="NEW"),"",INDEX(J$1:J4047,SUMPRODUCT(MAX(ROW(E$1:E4047)*(E4048=E$1:E4047)))))</f>
        <v> </v>
      </c>
      <c r="L4048" s="27"/>
    </row>
    <row r="4049" spans="1:12">
      <c r="A4049" s="20" t="s">
        <v>1018</v>
      </c>
      <c r="E4049" s="22">
        <f>IF(D4049="?OLD","!!!","")</f>
        <v/>
      </c>
      <c r="F4049" s="23" t="str">
        <f>IF(OR(E4049="",E4049="!!!"),"",IF(NOT(ISNA(VLOOKUP(E4049,E$1:E4048,1,FALSE()))),"OLD",IF(AND(E4049&lt;&gt;"",E4049&lt;&gt;"!!!"),"NEW","")))</f>
        <v> </v>
      </c>
      <c r="G4049" s="24" t="str">
        <f>IF(OR(E4049="",E4049="!!!"),"",IF(OR(J4049=0,AND(J4049=1,K4049=1),AND(J4049=1,I4049="SBJ"),AND(J4049=1,I4049=0)),"?IN_FOCUS",IF(J4049&lt;=2,"?ACTIVATED",IF(J4049&lt;&gt;"","?FAMILIAR",IF(F4049="NEW",IF(ISNA(VLOOKUP(E4049,#REF!,1,FALSE())),"?TYPE_IDENTIFIABLE","?REFERENTIAL"),"_")))))</f>
        <v> </v>
      </c>
      <c r="H4049" s="25" t="str">
        <f>IF(J4049&lt;&gt;1,"",IF(I4049="SBJ","CB","?"))</f>
        <v> </v>
      </c>
      <c r="I4049" s="26" t="str">
        <f>IF(OR(E4049="",E4049="!!!",F4049="NEW"),"",INDEX(B4048:B$2,-1+SUMPRODUCT(MAX(ROW(E4048:E$2)*(E4049=E4048:E$2)))))</f>
        <v> </v>
      </c>
      <c r="J4049" s="26" t="str">
        <f>IF(OR(E4049="",E4049="!!!",F4049="NEW"),"",COUNTBLANK(OFFSET(A$1,,,SUMPRODUCT(MAX(ROW(E$2:E4049)*(E4049=E$2:E4049)))))-COUNTBLANK(OFFSET(A$1,,,SUMPRODUCT(MAX(ROW(E$1:E4048)*(E2=E$1:E4048))))))</f>
        <v> </v>
      </c>
      <c r="K4049" s="26" t="str">
        <f>IF(OR(E4049="",E4049="!!!",F4049="NEW"),"",INDEX(J$1:J4048,SUMPRODUCT(MAX(ROW(E$1:E4048)*(E4049=E$1:E4048)))))</f>
        <v> </v>
      </c>
      <c r="L4049" s="27"/>
    </row>
    <row r="4050" spans="1:12">
      <c r="A4050" s="20" t="s">
        <v>1075</v>
      </c>
      <c r="E4050" s="22">
        <f>IF(D4050="?OLD","!!!","")</f>
        <v/>
      </c>
      <c r="F4050" s="23" t="str">
        <f>IF(OR(E4050="",E4050="!!!"),"",IF(NOT(ISNA(VLOOKUP(E4050,E$1:E4049,1,FALSE()))),"OLD",IF(AND(E4050&lt;&gt;"",E4050&lt;&gt;"!!!"),"NEW","")))</f>
        <v> </v>
      </c>
      <c r="G4050" s="24" t="str">
        <f>IF(OR(E4050="",E4050="!!!"),"",IF(OR(J4050=0,AND(J4050=1,K4050=1),AND(J4050=1,I4050="SBJ"),AND(J4050=1,I4050=0)),"?IN_FOCUS",IF(J4050&lt;=2,"?ACTIVATED",IF(J4050&lt;&gt;"","?FAMILIAR",IF(F4050="NEW",IF(ISNA(VLOOKUP(E4050,#REF!,1,FALSE())),"?TYPE_IDENTIFIABLE","?REFERENTIAL"),"_")))))</f>
        <v> </v>
      </c>
      <c r="H4050" s="25" t="str">
        <f>IF(J4050&lt;&gt;1,"",IF(I4050="SBJ","CB","?"))</f>
        <v> </v>
      </c>
      <c r="I4050" s="26" t="str">
        <f>IF(OR(E4050="",E4050="!!!",F4050="NEW"),"",INDEX(B4049:B$2,-1+SUMPRODUCT(MAX(ROW(E4049:E$2)*(E4050=E4049:E$2)))))</f>
        <v> </v>
      </c>
      <c r="J4050" s="26" t="str">
        <f>IF(OR(E4050="",E4050="!!!",F4050="NEW"),"",COUNTBLANK(OFFSET(A$1,,,SUMPRODUCT(MAX(ROW(E$2:E4050)*(E4050=E$2:E4050)))))-COUNTBLANK(OFFSET(A$1,,,SUMPRODUCT(MAX(ROW(E$1:E4049)*(E2=E$1:E4049))))))</f>
        <v> </v>
      </c>
      <c r="K4050" s="26" t="str">
        <f>IF(OR(E4050="",E4050="!!!",F4050="NEW"),"",INDEX(J$1:J4049,SUMPRODUCT(MAX(ROW(E$1:E4049)*(E4050=E$1:E4049)))))</f>
        <v> </v>
      </c>
      <c r="L4050" s="27"/>
    </row>
    <row r="4051" spans="1:12">
      <c r="A4051" s="20" t="s">
        <v>102</v>
      </c>
      <c r="E4051" s="22">
        <f>IF(D4051="?OLD","!!!","")</f>
        <v/>
      </c>
      <c r="F4051" s="23" t="str">
        <f>IF(OR(E4051="",E4051="!!!"),"",IF(NOT(ISNA(VLOOKUP(E4051,E$1:E4050,1,FALSE()))),"OLD",IF(AND(E4051&lt;&gt;"",E4051&lt;&gt;"!!!"),"NEW","")))</f>
        <v> </v>
      </c>
      <c r="G4051" s="24" t="str">
        <f>IF(OR(E4051="",E4051="!!!"),"",IF(OR(J4051=0,AND(J4051=1,K4051=1),AND(J4051=1,I4051="SBJ"),AND(J4051=1,I4051=0)),"?IN_FOCUS",IF(J4051&lt;=2,"?ACTIVATED",IF(J4051&lt;&gt;"","?FAMILIAR",IF(F4051="NEW",IF(ISNA(VLOOKUP(E4051,#REF!,1,FALSE())),"?TYPE_IDENTIFIABLE","?REFERENTIAL"),"_")))))</f>
        <v> </v>
      </c>
      <c r="H4051" s="25" t="str">
        <f>IF(J4051&lt;&gt;1,"",IF(I4051="SBJ","CB","?"))</f>
        <v> </v>
      </c>
      <c r="I4051" s="26" t="str">
        <f>IF(OR(E4051="",E4051="!!!",F4051="NEW"),"",INDEX(B4050:B$2,-1+SUMPRODUCT(MAX(ROW(E4050:E$2)*(E4051=E4050:E$2)))))</f>
        <v> </v>
      </c>
      <c r="J4051" s="26" t="str">
        <f>IF(OR(E4051="",E4051="!!!",F4051="NEW"),"",COUNTBLANK(OFFSET(A$1,,,SUMPRODUCT(MAX(ROW(E$2:E4051)*(E4051=E$2:E4051)))))-COUNTBLANK(OFFSET(A$1,,,SUMPRODUCT(MAX(ROW(E$1:E4050)*(E2=E$1:E4050))))))</f>
        <v> </v>
      </c>
      <c r="K4051" s="26" t="str">
        <f>IF(OR(E4051="",E4051="!!!",F4051="NEW"),"",INDEX(J$1:J4050,SUMPRODUCT(MAX(ROW(E$1:E4050)*(E4051=E$1:E4050)))))</f>
        <v> </v>
      </c>
      <c r="L4051" s="27"/>
    </row>
    <row r="4052" spans="1:12">
      <c r="A4052" s="20" t="s">
        <v>2185</v>
      </c>
      <c r="B4052" s="21" t="s">
        <v>1050</v>
      </c>
      <c r="C4052" s="21" t="s">
        <v>1013</v>
      </c>
      <c r="D4052" s="21" t="s">
        <v>1007</v>
      </c>
      <c r="E4052" s="22">
        <f>IF(D4052="?OLD","!!!","")</f>
        <v/>
      </c>
      <c r="F4052" s="23" t="str">
        <f>IF(OR(E4052="",E4052="!!!"),"",IF(NOT(ISNA(VLOOKUP(E4052,E$1:E4051,1,FALSE()))),"OLD",IF(AND(E4052&lt;&gt;"",E4052&lt;&gt;"!!!"),"NEW","")))</f>
        <v> </v>
      </c>
      <c r="G4052" s="24" t="str">
        <f>IF(OR(E4052="",E4052="!!!"),"",IF(OR(J4052=0,AND(J4052=1,K4052=1),AND(J4052=1,I4052="SBJ"),AND(J4052=1,I4052=0)),"?IN_FOCUS",IF(J4052&lt;=2,"?ACTIVATED",IF(J4052&lt;&gt;"","?FAMILIAR",IF(F4052="NEW",IF(ISNA(VLOOKUP(E4052,#REF!,1,FALSE())),"?TYPE_IDENTIFIABLE","?REFERENTIAL"),"_")))))</f>
        <v> </v>
      </c>
      <c r="H4052" s="25" t="str">
        <f>IF(J4052&lt;&gt;1,"",IF(I4052="SBJ","CB","?"))</f>
        <v> </v>
      </c>
      <c r="I4052" s="26" t="str">
        <f>IF(OR(E4052="",E4052="!!!",F4052="NEW"),"",INDEX(B4051:B$2,-1+SUMPRODUCT(MAX(ROW(E4051:E$2)*(E4052=E4051:E$2)))))</f>
        <v> </v>
      </c>
      <c r="J4052" s="26" t="str">
        <f>IF(OR(E4052="",E4052="!!!",F4052="NEW"),"",COUNTBLANK(OFFSET(A$1,,,SUMPRODUCT(MAX(ROW(E$2:E4052)*(E4052=E$2:E4052)))))-COUNTBLANK(OFFSET(A$1,,,SUMPRODUCT(MAX(ROW(E$1:E4051)*(E2=E$1:E4051))))))</f>
        <v> </v>
      </c>
      <c r="K4052" s="26" t="str">
        <f>IF(OR(E4052="",E4052="!!!",F4052="NEW"),"",INDEX(J$1:J4051,SUMPRODUCT(MAX(ROW(E$1:E4051)*(E4052=E$1:E4051)))))</f>
        <v> </v>
      </c>
      <c r="L4052" s="27"/>
    </row>
    <row r="4053" spans="1:12">
      <c r="A4053" s="20" t="s">
        <v>1014</v>
      </c>
      <c r="E4053" s="22">
        <f>IF(D4053="?OLD","!!!","")</f>
        <v/>
      </c>
      <c r="F4053" s="23" t="str">
        <f>IF(OR(E4053="",E4053="!!!"),"",IF(NOT(ISNA(VLOOKUP(E4053,E$1:E4052,1,FALSE()))),"OLD",IF(AND(E4053&lt;&gt;"",E4053&lt;&gt;"!!!"),"NEW","")))</f>
        <v> </v>
      </c>
      <c r="G4053" s="24" t="str">
        <f>IF(OR(E4053="",E4053="!!!"),"",IF(OR(J4053=0,AND(J4053=1,K4053=1),AND(J4053=1,I4053="SBJ"),AND(J4053=1,I4053=0)),"?IN_FOCUS",IF(J4053&lt;=2,"?ACTIVATED",IF(J4053&lt;&gt;"","?FAMILIAR",IF(F4053="NEW",IF(ISNA(VLOOKUP(E4053,#REF!,1,FALSE())),"?TYPE_IDENTIFIABLE","?REFERENTIAL"),"_")))))</f>
        <v> </v>
      </c>
      <c r="H4053" s="25" t="str">
        <f>IF(J4053&lt;&gt;1,"",IF(I4053="SBJ","CB","?"))</f>
        <v> </v>
      </c>
      <c r="I4053" s="26" t="str">
        <f>IF(OR(E4053="",E4053="!!!",F4053="NEW"),"",INDEX(B4052:B$2,-1+SUMPRODUCT(MAX(ROW(E4052:E$2)*(E4053=E4052:E$2)))))</f>
        <v> </v>
      </c>
      <c r="J4053" s="26" t="str">
        <f>IF(OR(E4053="",E4053="!!!",F4053="NEW"),"",COUNTBLANK(OFFSET(A$1,,,SUMPRODUCT(MAX(ROW(E$2:E4053)*(E4053=E$2:E4053)))))-COUNTBLANK(OFFSET(A$1,,,SUMPRODUCT(MAX(ROW(E$1:E4052)*(E2=E$1:E4052))))))</f>
        <v> </v>
      </c>
      <c r="K4053" s="26" t="str">
        <f>IF(OR(E4053="",E4053="!!!",F4053="NEW"),"",INDEX(J$1:J4052,SUMPRODUCT(MAX(ROW(E$1:E4052)*(E4053=E$1:E4052)))))</f>
        <v> </v>
      </c>
      <c r="L4053" s="27"/>
    </row>
    <row r="4054" spans="1:12">
      <c r="A4054" s="20" t="s">
        <v>1020</v>
      </c>
      <c r="E4054" s="22">
        <f>IF(D4054="?OLD","!!!","")</f>
        <v/>
      </c>
      <c r="F4054" s="23" t="str">
        <f>IF(OR(E4054="",E4054="!!!"),"",IF(NOT(ISNA(VLOOKUP(E4054,E$1:E4053,1,FALSE()))),"OLD",IF(AND(E4054&lt;&gt;"",E4054&lt;&gt;"!!!"),"NEW","")))</f>
        <v> </v>
      </c>
      <c r="G4054" s="24" t="str">
        <f>IF(OR(E4054="",E4054="!!!"),"",IF(OR(J4054=0,AND(J4054=1,K4054=1),AND(J4054=1,I4054="SBJ"),AND(J4054=1,I4054=0)),"?IN_FOCUS",IF(J4054&lt;=2,"?ACTIVATED",IF(J4054&lt;&gt;"","?FAMILIAR",IF(F4054="NEW",IF(ISNA(VLOOKUP(E4054,#REF!,1,FALSE())),"?TYPE_IDENTIFIABLE","?REFERENTIAL"),"_")))))</f>
        <v> </v>
      </c>
      <c r="H4054" s="25" t="str">
        <f>IF(J4054&lt;&gt;1,"",IF(I4054="SBJ","CB","?"))</f>
        <v> </v>
      </c>
      <c r="I4054" s="26" t="str">
        <f>IF(OR(E4054="",E4054="!!!",F4054="NEW"),"",INDEX(B4053:B$2,-1+SUMPRODUCT(MAX(ROW(E4053:E$2)*(E4054=E4053:E$2)))))</f>
        <v> </v>
      </c>
      <c r="J4054" s="26" t="str">
        <f>IF(OR(E4054="",E4054="!!!",F4054="NEW"),"",COUNTBLANK(OFFSET(A$1,,,SUMPRODUCT(MAX(ROW(E$2:E4054)*(E4054=E$2:E4054)))))-COUNTBLANK(OFFSET(A$1,,,SUMPRODUCT(MAX(ROW(E$1:E4053)*(E2=E$1:E4053))))))</f>
        <v> </v>
      </c>
      <c r="K4054" s="26" t="str">
        <f>IF(OR(E4054="",E4054="!!!",F4054="NEW"),"",INDEX(J$1:J4053,SUMPRODUCT(MAX(ROW(E$1:E4053)*(E4054=E$1:E4053)))))</f>
        <v> </v>
      </c>
      <c r="L4054" s="27"/>
    </row>
    <row r="4055" spans="1:12">
      <c r="A4055" s="20" t="s">
        <v>1873</v>
      </c>
      <c r="B4055" s="21" t="s">
        <v>1033</v>
      </c>
      <c r="C4055" s="21" t="s">
        <v>1059</v>
      </c>
      <c r="D4055" s="21" t="s">
        <v>1007</v>
      </c>
      <c r="E4055" s="22">
        <f>IF(D4055="?OLD","!!!","")</f>
        <v/>
      </c>
      <c r="F4055" s="23" t="str">
        <f>IF(OR(E4055="",E4055="!!!"),"",IF(NOT(ISNA(VLOOKUP(E4055,E$1:E4054,1,FALSE()))),"OLD",IF(AND(E4055&lt;&gt;"",E4055&lt;&gt;"!!!"),"NEW","")))</f>
        <v> </v>
      </c>
      <c r="G4055" s="24" t="str">
        <f>IF(OR(E4055="",E4055="!!!"),"",IF(OR(J4055=0,AND(J4055=1,K4055=1),AND(J4055=1,I4055="SBJ"),AND(J4055=1,I4055=0)),"?IN_FOCUS",IF(J4055&lt;=2,"?ACTIVATED",IF(J4055&lt;&gt;"","?FAMILIAR",IF(F4055="NEW",IF(ISNA(VLOOKUP(E4055,#REF!,1,FALSE())),"?TYPE_IDENTIFIABLE","?REFERENTIAL"),"_")))))</f>
        <v> </v>
      </c>
      <c r="H4055" s="25" t="str">
        <f>IF(J4055&lt;&gt;1,"",IF(I4055="SBJ","CB","?"))</f>
        <v> </v>
      </c>
      <c r="I4055" s="26" t="str">
        <f>IF(OR(E4055="",E4055="!!!",F4055="NEW"),"",INDEX(B4054:B$2,-1+SUMPRODUCT(MAX(ROW(E4054:E$2)*(E4055=E4054:E$2)))))</f>
        <v> </v>
      </c>
      <c r="J4055" s="26" t="str">
        <f>IF(OR(E4055="",E4055="!!!",F4055="NEW"),"",COUNTBLANK(OFFSET(A$1,,,SUMPRODUCT(MAX(ROW(E$2:E4055)*(E4055=E$2:E4055)))))-COUNTBLANK(OFFSET(A$1,,,SUMPRODUCT(MAX(ROW(E$1:E4054)*(E2=E$1:E4054))))))</f>
        <v> </v>
      </c>
      <c r="K4055" s="26" t="str">
        <f>IF(OR(E4055="",E4055="!!!",F4055="NEW"),"",INDEX(J$1:J4054,SUMPRODUCT(MAX(ROW(E$1:E4054)*(E4055=E$1:E4054)))))</f>
        <v> </v>
      </c>
      <c r="L4055" s="27"/>
    </row>
    <row r="4056" spans="1:12">
      <c r="A4056" s="20" t="s">
        <v>2017</v>
      </c>
      <c r="B4056" s="21" t="s">
        <v>1022</v>
      </c>
      <c r="C4056" s="21" t="s">
        <v>1017</v>
      </c>
      <c r="D4056" s="21" t="s">
        <v>1007</v>
      </c>
      <c r="E4056" s="22">
        <f>IF(D4056="?OLD","!!!","")</f>
        <v/>
      </c>
      <c r="F4056" s="23" t="str">
        <f>IF(OR(E4056="",E4056="!!!"),"",IF(NOT(ISNA(VLOOKUP(E4056,E$1:E4055,1,FALSE()))),"OLD",IF(AND(E4056&lt;&gt;"",E4056&lt;&gt;"!!!"),"NEW","")))</f>
        <v> </v>
      </c>
      <c r="G4056" s="24" t="str">
        <f>IF(OR(E4056="",E4056="!!!"),"",IF(OR(J4056=0,AND(J4056=1,K4056=1),AND(J4056=1,I4056="SBJ"),AND(J4056=1,I4056=0)),"?IN_FOCUS",IF(J4056&lt;=2,"?ACTIVATED",IF(J4056&lt;&gt;"","?FAMILIAR",IF(F4056="NEW",IF(ISNA(VLOOKUP(E4056,#REF!,1,FALSE())),"?TYPE_IDENTIFIABLE","?REFERENTIAL"),"_")))))</f>
        <v> </v>
      </c>
      <c r="H4056" s="25" t="str">
        <f>IF(J4056&lt;&gt;1,"",IF(I4056="SBJ","CB","?"))</f>
        <v> </v>
      </c>
      <c r="I4056" s="26" t="str">
        <f>IF(OR(E4056="",E4056="!!!",F4056="NEW"),"",INDEX(B4055:B$2,-1+SUMPRODUCT(MAX(ROW(E4055:E$2)*(E4056=E4055:E$2)))))</f>
        <v> </v>
      </c>
      <c r="J4056" s="26" t="str">
        <f>IF(OR(E4056="",E4056="!!!",F4056="NEW"),"",COUNTBLANK(OFFSET(A$1,,,SUMPRODUCT(MAX(ROW(E$2:E4056)*(E4056=E$2:E4056)))))-COUNTBLANK(OFFSET(A$1,,,SUMPRODUCT(MAX(ROW(E$1:E4055)*(E2=E$1:E4055))))))</f>
        <v> </v>
      </c>
      <c r="K4056" s="26" t="str">
        <f>IF(OR(E4056="",E4056="!!!",F4056="NEW"),"",INDEX(J$1:J4055,SUMPRODUCT(MAX(ROW(E$1:E4055)*(E4056=E$1:E4055)))))</f>
        <v> </v>
      </c>
      <c r="L4056" s="27"/>
    </row>
    <row r="4057" spans="1:12">
      <c r="A4057" s="20" t="s">
        <v>1023</v>
      </c>
      <c r="E4057" s="22">
        <f>IF(D4057="?OLD","!!!","")</f>
        <v/>
      </c>
      <c r="F4057" s="23" t="str">
        <f>IF(OR(E4057="",E4057="!!!"),"",IF(NOT(ISNA(VLOOKUP(E4057,E$1:E4056,1,FALSE()))),"OLD",IF(AND(E4057&lt;&gt;"",E4057&lt;&gt;"!!!"),"NEW","")))</f>
        <v> </v>
      </c>
      <c r="G4057" s="24" t="str">
        <f>IF(OR(E4057="",E4057="!!!"),"",IF(OR(J4057=0,AND(J4057=1,K4057=1),AND(J4057=1,I4057="SBJ"),AND(J4057=1,I4057=0)),"?IN_FOCUS",IF(J4057&lt;=2,"?ACTIVATED",IF(J4057&lt;&gt;"","?FAMILIAR",IF(F4057="NEW",IF(ISNA(VLOOKUP(E4057,#REF!,1,FALSE())),"?TYPE_IDENTIFIABLE","?REFERENTIAL"),"_")))))</f>
        <v> </v>
      </c>
      <c r="H4057" s="25" t="str">
        <f>IF(J4057&lt;&gt;1,"",IF(I4057="SBJ","CB","?"))</f>
        <v> </v>
      </c>
      <c r="I4057" s="26" t="str">
        <f>IF(OR(E4057="",E4057="!!!",F4057="NEW"),"",INDEX(B4056:B$2,-1+SUMPRODUCT(MAX(ROW(E4056:E$2)*(E4057=E4056:E$2)))))</f>
        <v> </v>
      </c>
      <c r="J4057" s="26" t="str">
        <f>IF(OR(E4057="",E4057="!!!",F4057="NEW"),"",COUNTBLANK(OFFSET(A$1,,,SUMPRODUCT(MAX(ROW(E$2:E4057)*(E4057=E$2:E4057)))))-COUNTBLANK(OFFSET(A$1,,,SUMPRODUCT(MAX(ROW(E$1:E4056)*(E2=E$1:E4056))))))</f>
        <v> </v>
      </c>
      <c r="K4057" s="26" t="str">
        <f>IF(OR(E4057="",E4057="!!!",F4057="NEW"),"",INDEX(J$1:J4056,SUMPRODUCT(MAX(ROW(E$1:E4056)*(E4057=E$1:E4056)))))</f>
        <v> </v>
      </c>
      <c r="L4057" s="27"/>
    </row>
    <row r="4058" spans="1:12">
      <c r="A4058" s="20"/>
    </row>
    <row r="4059" spans="1:12">
      <c r="A4059" s="20" t="s">
        <v>2186</v>
      </c>
    </row>
    <row r="4060" spans="1:12">
      <c r="A4060" s="20" t="s">
        <v>1153</v>
      </c>
      <c r="E4060" s="22">
        <f>IF(D4060="?OLD","!!!","")</f>
        <v/>
      </c>
      <c r="F4060" s="23" t="str">
        <f>IF(OR(E4060="",E4060="!!!"),"",IF(NOT(ISNA(VLOOKUP(E4060,E$1:E4059,1,FALSE()))),"OLD",IF(AND(E4060&lt;&gt;"",E4060&lt;&gt;"!!!"),"NEW","")))</f>
        <v> </v>
      </c>
      <c r="G4060" s="24" t="str">
        <f>IF(OR(E4060="",E4060="!!!"),"",IF(OR(J4060=0,AND(J4060=1,K4060=1),AND(J4060=1,I4060="SBJ"),AND(J4060=1,I4060=0)),"?IN_FOCUS",IF(J4060&lt;=2,"?ACTIVATED",IF(J4060&lt;&gt;"","?FAMILIAR",IF(F4060="NEW",IF(ISNA(VLOOKUP(E4060,#REF!,1,FALSE())),"?TYPE_IDENTIFIABLE","?REFERENTIAL"),"_")))))</f>
        <v> </v>
      </c>
      <c r="H4060" s="25" t="str">
        <f>IF(J4060&lt;&gt;1,"",IF(I4060="SBJ","CB","?"))</f>
        <v> </v>
      </c>
      <c r="I4060" s="26" t="str">
        <f>IF(OR(E4060="",E4060="!!!",F4060="NEW"),"",INDEX(B4059:B$2,-1+SUMPRODUCT(MAX(ROW(E4059:E$2)*(E4060=E4059:E$2)))))</f>
        <v> </v>
      </c>
      <c r="J4060" s="26" t="str">
        <f>IF(OR(E4060="",E4060="!!!",F4060="NEW"),"",COUNTBLANK(OFFSET(A$1,,,SUMPRODUCT(MAX(ROW(E$2:E4060)*(E4060=E$2:E4060)))))-COUNTBLANK(OFFSET(A$1,,,SUMPRODUCT(MAX(ROW(E$1:E4059)*(E2=E$1:E4059))))))</f>
        <v> </v>
      </c>
      <c r="K4060" s="26" t="str">
        <f>IF(OR(E4060="",E4060="!!!",F4060="NEW"),"",INDEX(J$1:J4059,SUMPRODUCT(MAX(ROW(E$1:E4059)*(E4060=E$1:E4059)))))</f>
        <v> </v>
      </c>
      <c r="L4060" s="27"/>
    </row>
    <row r="4061" spans="1:12">
      <c r="A4061" s="20" t="s">
        <v>1020</v>
      </c>
      <c r="E4061" s="22">
        <f>IF(D4061="?OLD","!!!","")</f>
        <v/>
      </c>
      <c r="F4061" s="23" t="str">
        <f>IF(OR(E4061="",E4061="!!!"),"",IF(NOT(ISNA(VLOOKUP(E4061,E$1:E4060,1,FALSE()))),"OLD",IF(AND(E4061&lt;&gt;"",E4061&lt;&gt;"!!!"),"NEW","")))</f>
        <v> </v>
      </c>
      <c r="G4061" s="24" t="str">
        <f>IF(OR(E4061="",E4061="!!!"),"",IF(OR(J4061=0,AND(J4061=1,K4061=1),AND(J4061=1,I4061="SBJ"),AND(J4061=1,I4061=0)),"?IN_FOCUS",IF(J4061&lt;=2,"?ACTIVATED",IF(J4061&lt;&gt;"","?FAMILIAR",IF(F4061="NEW",IF(ISNA(VLOOKUP(E4061,#REF!,1,FALSE())),"?TYPE_IDENTIFIABLE","?REFERENTIAL"),"_")))))</f>
        <v> </v>
      </c>
      <c r="H4061" s="25" t="str">
        <f>IF(J4061&lt;&gt;1,"",IF(I4061="SBJ","CB","?"))</f>
        <v> </v>
      </c>
      <c r="I4061" s="26" t="str">
        <f>IF(OR(E4061="",E4061="!!!",F4061="NEW"),"",INDEX(B4060:B$2,-1+SUMPRODUCT(MAX(ROW(E4060:E$2)*(E4061=E4060:E$2)))))</f>
        <v> </v>
      </c>
      <c r="J4061" s="26" t="str">
        <f>IF(OR(E4061="",E4061="!!!",F4061="NEW"),"",COUNTBLANK(OFFSET(A$1,,,SUMPRODUCT(MAX(ROW(E$2:E4061)*(E4061=E$2:E4061)))))-COUNTBLANK(OFFSET(A$1,,,SUMPRODUCT(MAX(ROW(E$1:E4060)*(E2=E$1:E4060))))))</f>
        <v> </v>
      </c>
      <c r="K4061" s="26" t="str">
        <f>IF(OR(E4061="",E4061="!!!",F4061="NEW"),"",INDEX(J$1:J4060,SUMPRODUCT(MAX(ROW(E$1:E4060)*(E4061=E$1:E4060)))))</f>
        <v> </v>
      </c>
      <c r="L4061" s="27"/>
    </row>
    <row r="4062" spans="1:12">
      <c r="A4062" s="20" t="s">
        <v>2187</v>
      </c>
      <c r="B4062" s="21" t="s">
        <v>1005</v>
      </c>
      <c r="C4062" s="21" t="s">
        <v>1013</v>
      </c>
      <c r="D4062" s="21" t="s">
        <v>1007</v>
      </c>
      <c r="E4062" s="22">
        <f>IF(D4062="?OLD","!!!","")</f>
        <v/>
      </c>
      <c r="F4062" s="23" t="str">
        <f>IF(OR(E4062="",E4062="!!!"),"",IF(NOT(ISNA(VLOOKUP(E4062,E$1:E4061,1,FALSE()))),"OLD",IF(AND(E4062&lt;&gt;"",E4062&lt;&gt;"!!!"),"NEW","")))</f>
        <v> </v>
      </c>
      <c r="G4062" s="24" t="str">
        <f>IF(OR(E4062="",E4062="!!!"),"",IF(OR(J4062=0,AND(J4062=1,K4062=1),AND(J4062=1,I4062="SBJ"),AND(J4062=1,I4062=0)),"?IN_FOCUS",IF(J4062&lt;=2,"?ACTIVATED",IF(J4062&lt;&gt;"","?FAMILIAR",IF(F4062="NEW",IF(ISNA(VLOOKUP(E4062,#REF!,1,FALSE())),"?TYPE_IDENTIFIABLE","?REFERENTIAL"),"_")))))</f>
        <v> </v>
      </c>
      <c r="H4062" s="25" t="str">
        <f>IF(J4062&lt;&gt;1,"",IF(I4062="SBJ","CB","?"))</f>
        <v> </v>
      </c>
      <c r="I4062" s="26" t="str">
        <f>IF(OR(E4062="",E4062="!!!",F4062="NEW"),"",INDEX(B4061:B$2,-1+SUMPRODUCT(MAX(ROW(E4061:E$2)*(E4062=E4061:E$2)))))</f>
        <v> </v>
      </c>
      <c r="J4062" s="26" t="str">
        <f>IF(OR(E4062="",E4062="!!!",F4062="NEW"),"",COUNTBLANK(OFFSET(A$1,,,SUMPRODUCT(MAX(ROW(E$2:E4062)*(E4062=E$2:E4062)))))-COUNTBLANK(OFFSET(A$1,,,SUMPRODUCT(MAX(ROW(E$1:E4061)*(E2=E$1:E4061))))))</f>
        <v> </v>
      </c>
      <c r="K4062" s="26" t="str">
        <f>IF(OR(E4062="",E4062="!!!",F4062="NEW"),"",INDEX(J$1:J4061,SUMPRODUCT(MAX(ROW(E$1:E4061)*(E4062=E$1:E4061)))))</f>
        <v> </v>
      </c>
      <c r="L4062" s="27"/>
    </row>
    <row r="4063" spans="1:12">
      <c r="A4063" s="20" t="s">
        <v>1030</v>
      </c>
      <c r="E4063" s="22">
        <f>IF(D4063="?OLD","!!!","")</f>
        <v/>
      </c>
      <c r="F4063" s="23" t="str">
        <f>IF(OR(E4063="",E4063="!!!"),"",IF(NOT(ISNA(VLOOKUP(E4063,E$1:E4062,1,FALSE()))),"OLD",IF(AND(E4063&lt;&gt;"",E4063&lt;&gt;"!!!"),"NEW","")))</f>
        <v> </v>
      </c>
      <c r="G4063" s="24" t="str">
        <f>IF(OR(E4063="",E4063="!!!"),"",IF(OR(J4063=0,AND(J4063=1,K4063=1),AND(J4063=1,I4063="SBJ"),AND(J4063=1,I4063=0)),"?IN_FOCUS",IF(J4063&lt;=2,"?ACTIVATED",IF(J4063&lt;&gt;"","?FAMILIAR",IF(F4063="NEW",IF(ISNA(VLOOKUP(E4063,#REF!,1,FALSE())),"?TYPE_IDENTIFIABLE","?REFERENTIAL"),"_")))))</f>
        <v> </v>
      </c>
      <c r="H4063" s="25" t="str">
        <f>IF(J4063&lt;&gt;1,"",IF(I4063="SBJ","CB","?"))</f>
        <v> </v>
      </c>
      <c r="I4063" s="26" t="str">
        <f>IF(OR(E4063="",E4063="!!!",F4063="NEW"),"",INDEX(B4062:B$2,-1+SUMPRODUCT(MAX(ROW(E4062:E$2)*(E4063=E4062:E$2)))))</f>
        <v> </v>
      </c>
      <c r="J4063" s="26" t="str">
        <f>IF(OR(E4063="",E4063="!!!",F4063="NEW"),"",COUNTBLANK(OFFSET(A$1,,,SUMPRODUCT(MAX(ROW(E$2:E4063)*(E4063=E$2:E4063)))))-COUNTBLANK(OFFSET(A$1,,,SUMPRODUCT(MAX(ROW(E$1:E4062)*(E2=E$1:E4062))))))</f>
        <v> </v>
      </c>
      <c r="K4063" s="26" t="str">
        <f>IF(OR(E4063="",E4063="!!!",F4063="NEW"),"",INDEX(J$1:J4062,SUMPRODUCT(MAX(ROW(E$1:E4062)*(E4063=E$1:E4062)))))</f>
        <v> </v>
      </c>
      <c r="L4063" s="27"/>
    </row>
    <row r="4064" spans="1:12">
      <c r="A4064" s="20" t="s">
        <v>1309</v>
      </c>
      <c r="B4064" s="21" t="s">
        <v>1022</v>
      </c>
      <c r="C4064" s="21" t="s">
        <v>1048</v>
      </c>
      <c r="E4064" s="22">
        <f>IF(D4064="?OLD","!!!","")</f>
        <v/>
      </c>
      <c r="F4064" s="23" t="str">
        <f>IF(OR(E4064="",E4064="!!!"),"",IF(NOT(ISNA(VLOOKUP(E4064,E$1:E4063,1,FALSE()))),"OLD",IF(AND(E4064&lt;&gt;"",E4064&lt;&gt;"!!!"),"NEW","")))</f>
        <v> </v>
      </c>
      <c r="G4064" s="24" t="str">
        <f>IF(OR(E4064="",E4064="!!!"),"",IF(OR(J4064=0,AND(J4064=1,K4064=1),AND(J4064=1,I4064="SBJ"),AND(J4064=1,I4064=0)),"?IN_FOCUS",IF(J4064&lt;=2,"?ACTIVATED",IF(J4064&lt;&gt;"","?FAMILIAR",IF(F4064="NEW",IF(ISNA(VLOOKUP(E4064,#REF!,1,FALSE())),"?TYPE_IDENTIFIABLE","?REFERENTIAL"),"_")))))</f>
        <v> </v>
      </c>
      <c r="H4064" s="25" t="str">
        <f>IF(J4064&lt;&gt;1,"",IF(I4064="SBJ","CB","?"))</f>
        <v> </v>
      </c>
      <c r="I4064" s="26" t="str">
        <f>IF(OR(E4064="",E4064="!!!",F4064="NEW"),"",INDEX(B4063:B$2,-1+SUMPRODUCT(MAX(ROW(E4063:E$2)*(E4064=E4063:E$2)))))</f>
        <v> </v>
      </c>
      <c r="J4064" s="26" t="str">
        <f>IF(OR(E4064="",E4064="!!!",F4064="NEW"),"",COUNTBLANK(OFFSET(A$1,,,SUMPRODUCT(MAX(ROW(E$2:E4064)*(E4064=E$2:E4064)))))-COUNTBLANK(OFFSET(A$1,,,SUMPRODUCT(MAX(ROW(E$1:E4063)*(E2=E$1:E4063))))))</f>
        <v> </v>
      </c>
      <c r="K4064" s="26" t="str">
        <f>IF(OR(E4064="",E4064="!!!",F4064="NEW"),"",INDEX(J$1:J4063,SUMPRODUCT(MAX(ROW(E$1:E4063)*(E4064=E$1:E4063)))))</f>
        <v> </v>
      </c>
      <c r="L4064" s="27"/>
    </row>
    <row r="4065" spans="1:12">
      <c r="A4065" s="20" t="s">
        <v>1450</v>
      </c>
      <c r="E4065" s="22">
        <f>IF(D4065="?OLD","!!!","")</f>
        <v/>
      </c>
      <c r="F4065" s="23" t="str">
        <f>IF(OR(E4065="",E4065="!!!"),"",IF(NOT(ISNA(VLOOKUP(E4065,E$1:E4064,1,FALSE()))),"OLD",IF(AND(E4065&lt;&gt;"",E4065&lt;&gt;"!!!"),"NEW","")))</f>
        <v> </v>
      </c>
      <c r="G4065" s="24" t="str">
        <f>IF(OR(E4065="",E4065="!!!"),"",IF(OR(J4065=0,AND(J4065=1,K4065=1),AND(J4065=1,I4065="SBJ"),AND(J4065=1,I4065=0)),"?IN_FOCUS",IF(J4065&lt;=2,"?ACTIVATED",IF(J4065&lt;&gt;"","?FAMILIAR",IF(F4065="NEW",IF(ISNA(VLOOKUP(E4065,#REF!,1,FALSE())),"?TYPE_IDENTIFIABLE","?REFERENTIAL"),"_")))))</f>
        <v> </v>
      </c>
      <c r="H4065" s="25" t="str">
        <f>IF(J4065&lt;&gt;1,"",IF(I4065="SBJ","CB","?"))</f>
        <v> </v>
      </c>
      <c r="I4065" s="26" t="str">
        <f>IF(OR(E4065="",E4065="!!!",F4065="NEW"),"",INDEX(B4064:B$2,-1+SUMPRODUCT(MAX(ROW(E4064:E$2)*(E4065=E4064:E$2)))))</f>
        <v> </v>
      </c>
      <c r="J4065" s="26" t="str">
        <f>IF(OR(E4065="",E4065="!!!",F4065="NEW"),"",COUNTBLANK(OFFSET(A$1,,,SUMPRODUCT(MAX(ROW(E$2:E4065)*(E4065=E$2:E4065)))))-COUNTBLANK(OFFSET(A$1,,,SUMPRODUCT(MAX(ROW(E$1:E4064)*(E2=E$1:E4064))))))</f>
        <v> </v>
      </c>
      <c r="K4065" s="26" t="str">
        <f>IF(OR(E4065="",E4065="!!!",F4065="NEW"),"",INDEX(J$1:J4064,SUMPRODUCT(MAX(ROW(E$1:E4064)*(E4065=E$1:E4064)))))</f>
        <v> </v>
      </c>
      <c r="L4065" s="27"/>
    </row>
    <row r="4066" spans="1:12">
      <c r="A4066" s="20" t="s">
        <v>1014</v>
      </c>
      <c r="E4066" s="22">
        <f>IF(D4066="?OLD","!!!","")</f>
        <v/>
      </c>
      <c r="F4066" s="23" t="str">
        <f>IF(OR(E4066="",E4066="!!!"),"",IF(NOT(ISNA(VLOOKUP(E4066,E$1:E4065,1,FALSE()))),"OLD",IF(AND(E4066&lt;&gt;"",E4066&lt;&gt;"!!!"),"NEW","")))</f>
        <v> </v>
      </c>
      <c r="G4066" s="24" t="str">
        <f>IF(OR(E4066="",E4066="!!!"),"",IF(OR(J4066=0,AND(J4066=1,K4066=1),AND(J4066=1,I4066="SBJ"),AND(J4066=1,I4066=0)),"?IN_FOCUS",IF(J4066&lt;=2,"?ACTIVATED",IF(J4066&lt;&gt;"","?FAMILIAR",IF(F4066="NEW",IF(ISNA(VLOOKUP(E4066,#REF!,1,FALSE())),"?TYPE_IDENTIFIABLE","?REFERENTIAL"),"_")))))</f>
        <v> </v>
      </c>
      <c r="H4066" s="25" t="str">
        <f>IF(J4066&lt;&gt;1,"",IF(I4066="SBJ","CB","?"))</f>
        <v> </v>
      </c>
      <c r="I4066" s="26" t="str">
        <f>IF(OR(E4066="",E4066="!!!",F4066="NEW"),"",INDEX(B4065:B$2,-1+SUMPRODUCT(MAX(ROW(E4065:E$2)*(E4066=E4065:E$2)))))</f>
        <v> </v>
      </c>
      <c r="J4066" s="26" t="str">
        <f>IF(OR(E4066="",E4066="!!!",F4066="NEW"),"",COUNTBLANK(OFFSET(A$1,,,SUMPRODUCT(MAX(ROW(E$2:E4066)*(E4066=E$2:E4066)))))-COUNTBLANK(OFFSET(A$1,,,SUMPRODUCT(MAX(ROW(E$1:E4065)*(E2=E$1:E4065))))))</f>
        <v> </v>
      </c>
      <c r="K4066" s="26" t="str">
        <f>IF(OR(E4066="",E4066="!!!",F4066="NEW"),"",INDEX(J$1:J4065,SUMPRODUCT(MAX(ROW(E$1:E4065)*(E4066=E$1:E4065)))))</f>
        <v> </v>
      </c>
      <c r="L4066" s="27"/>
    </row>
    <row r="4067" spans="1:12">
      <c r="A4067" s="20" t="s">
        <v>102</v>
      </c>
      <c r="E4067" s="22">
        <f>IF(D4067="?OLD","!!!","")</f>
        <v/>
      </c>
      <c r="F4067" s="23" t="str">
        <f>IF(OR(E4067="",E4067="!!!"),"",IF(NOT(ISNA(VLOOKUP(E4067,E$1:E4066,1,FALSE()))),"OLD",IF(AND(E4067&lt;&gt;"",E4067&lt;&gt;"!!!"),"NEW","")))</f>
        <v> </v>
      </c>
      <c r="G4067" s="24" t="str">
        <f>IF(OR(E4067="",E4067="!!!"),"",IF(OR(J4067=0,AND(J4067=1,K4067=1),AND(J4067=1,I4067="SBJ"),AND(J4067=1,I4067=0)),"?IN_FOCUS",IF(J4067&lt;=2,"?ACTIVATED",IF(J4067&lt;&gt;"","?FAMILIAR",IF(F4067="NEW",IF(ISNA(VLOOKUP(E4067,#REF!,1,FALSE())),"?TYPE_IDENTIFIABLE","?REFERENTIAL"),"_")))))</f>
        <v> </v>
      </c>
      <c r="H4067" s="25" t="str">
        <f>IF(J4067&lt;&gt;1,"",IF(I4067="SBJ","CB","?"))</f>
        <v> </v>
      </c>
      <c r="I4067" s="26" t="str">
        <f>IF(OR(E4067="",E4067="!!!",F4067="NEW"),"",INDEX(B4066:B$2,-1+SUMPRODUCT(MAX(ROW(E4066:E$2)*(E4067=E4066:E$2)))))</f>
        <v> </v>
      </c>
      <c r="J4067" s="26" t="str">
        <f>IF(OR(E4067="",E4067="!!!",F4067="NEW"),"",COUNTBLANK(OFFSET(A$1,,,SUMPRODUCT(MAX(ROW(E$2:E4067)*(E4067=E$2:E4067)))))-COUNTBLANK(OFFSET(A$1,,,SUMPRODUCT(MAX(ROW(E$1:E4066)*(E2=E$1:E4066))))))</f>
        <v> </v>
      </c>
      <c r="K4067" s="26" t="str">
        <f>IF(OR(E4067="",E4067="!!!",F4067="NEW"),"",INDEX(J$1:J4066,SUMPRODUCT(MAX(ROW(E$1:E4066)*(E4067=E$1:E4066)))))</f>
        <v> </v>
      </c>
      <c r="L4067" s="27"/>
    </row>
    <row r="4068" spans="1:12">
      <c r="A4068" s="20" t="s">
        <v>2188</v>
      </c>
      <c r="B4068" s="21" t="s">
        <v>1033</v>
      </c>
      <c r="C4068" s="21" t="s">
        <v>1013</v>
      </c>
      <c r="D4068" s="21" t="s">
        <v>1007</v>
      </c>
      <c r="E4068" s="22">
        <f>IF(D4068="?OLD","!!!","")</f>
        <v/>
      </c>
      <c r="F4068" s="23" t="str">
        <f>IF(OR(E4068="",E4068="!!!"),"",IF(NOT(ISNA(VLOOKUP(E4068,E$1:E4067,1,FALSE()))),"OLD",IF(AND(E4068&lt;&gt;"",E4068&lt;&gt;"!!!"),"NEW","")))</f>
        <v> </v>
      </c>
      <c r="G4068" s="24" t="str">
        <f>IF(OR(E4068="",E4068="!!!"),"",IF(OR(J4068=0,AND(J4068=1,K4068=1),AND(J4068=1,I4068="SBJ"),AND(J4068=1,I4068=0)),"?IN_FOCUS",IF(J4068&lt;=2,"?ACTIVATED",IF(J4068&lt;&gt;"","?FAMILIAR",IF(F4068="NEW",IF(ISNA(VLOOKUP(E4068,#REF!,1,FALSE())),"?TYPE_IDENTIFIABLE","?REFERENTIAL"),"_")))))</f>
        <v> </v>
      </c>
      <c r="H4068" s="25" t="str">
        <f>IF(J4068&lt;&gt;1,"",IF(I4068="SBJ","CB","?"))</f>
        <v> </v>
      </c>
      <c r="I4068" s="26" t="str">
        <f>IF(OR(E4068="",E4068="!!!",F4068="NEW"),"",INDEX(B4067:B$2,-1+SUMPRODUCT(MAX(ROW(E4067:E$2)*(E4068=E4067:E$2)))))</f>
        <v> </v>
      </c>
      <c r="J4068" s="26" t="str">
        <f>IF(OR(E4068="",E4068="!!!",F4068="NEW"),"",COUNTBLANK(OFFSET(A$1,,,SUMPRODUCT(MAX(ROW(E$2:E4068)*(E4068=E$2:E4068)))))-COUNTBLANK(OFFSET(A$1,,,SUMPRODUCT(MAX(ROW(E$1:E4067)*(E2=E$1:E4067))))))</f>
        <v> </v>
      </c>
      <c r="K4068" s="26" t="str">
        <f>IF(OR(E4068="",E4068="!!!",F4068="NEW"),"",INDEX(J$1:J4067,SUMPRODUCT(MAX(ROW(E$1:E4067)*(E4068=E$1:E4067)))))</f>
        <v> </v>
      </c>
      <c r="L4068" s="27"/>
    </row>
    <row r="4069" spans="1:12">
      <c r="A4069" s="20" t="s">
        <v>1014</v>
      </c>
      <c r="E4069" s="22">
        <f>IF(D4069="?OLD","!!!","")</f>
        <v/>
      </c>
      <c r="F4069" s="23" t="str">
        <f>IF(OR(E4069="",E4069="!!!"),"",IF(NOT(ISNA(VLOOKUP(E4069,E$1:E4068,1,FALSE()))),"OLD",IF(AND(E4069&lt;&gt;"",E4069&lt;&gt;"!!!"),"NEW","")))</f>
        <v> </v>
      </c>
      <c r="G4069" s="24" t="str">
        <f>IF(OR(E4069="",E4069="!!!"),"",IF(OR(J4069=0,AND(J4069=1,K4069=1),AND(J4069=1,I4069="SBJ"),AND(J4069=1,I4069=0)),"?IN_FOCUS",IF(J4069&lt;=2,"?ACTIVATED",IF(J4069&lt;&gt;"","?FAMILIAR",IF(F4069="NEW",IF(ISNA(VLOOKUP(E4069,#REF!,1,FALSE())),"?TYPE_IDENTIFIABLE","?REFERENTIAL"),"_")))))</f>
        <v> </v>
      </c>
      <c r="H4069" s="25" t="str">
        <f>IF(J4069&lt;&gt;1,"",IF(I4069="SBJ","CB","?"))</f>
        <v> </v>
      </c>
      <c r="I4069" s="26" t="str">
        <f>IF(OR(E4069="",E4069="!!!",F4069="NEW"),"",INDEX(B4068:B$2,-1+SUMPRODUCT(MAX(ROW(E4068:E$2)*(E4069=E4068:E$2)))))</f>
        <v> </v>
      </c>
      <c r="J4069" s="26" t="str">
        <f>IF(OR(E4069="",E4069="!!!",F4069="NEW"),"",COUNTBLANK(OFFSET(A$1,,,SUMPRODUCT(MAX(ROW(E$2:E4069)*(E4069=E$2:E4069)))))-COUNTBLANK(OFFSET(A$1,,,SUMPRODUCT(MAX(ROW(E$1:E4068)*(E2=E$1:E4068))))))</f>
        <v> </v>
      </c>
      <c r="K4069" s="26" t="str">
        <f>IF(OR(E4069="",E4069="!!!",F4069="NEW"),"",INDEX(J$1:J4068,SUMPRODUCT(MAX(ROW(E$1:E4068)*(E4069=E$1:E4068)))))</f>
        <v> </v>
      </c>
      <c r="L4069" s="27"/>
    </row>
    <row r="4070" spans="1:12">
      <c r="A4070" s="20" t="s">
        <v>1020</v>
      </c>
      <c r="E4070" s="22">
        <f>IF(D4070="?OLD","!!!","")</f>
        <v/>
      </c>
      <c r="F4070" s="23" t="str">
        <f>IF(OR(E4070="",E4070="!!!"),"",IF(NOT(ISNA(VLOOKUP(E4070,E$1:E4069,1,FALSE()))),"OLD",IF(AND(E4070&lt;&gt;"",E4070&lt;&gt;"!!!"),"NEW","")))</f>
        <v> </v>
      </c>
      <c r="G4070" s="24" t="str">
        <f>IF(OR(E4070="",E4070="!!!"),"",IF(OR(J4070=0,AND(J4070=1,K4070=1),AND(J4070=1,I4070="SBJ"),AND(J4070=1,I4070=0)),"?IN_FOCUS",IF(J4070&lt;=2,"?ACTIVATED",IF(J4070&lt;&gt;"","?FAMILIAR",IF(F4070="NEW",IF(ISNA(VLOOKUP(E4070,#REF!,1,FALSE())),"?TYPE_IDENTIFIABLE","?REFERENTIAL"),"_")))))</f>
        <v> </v>
      </c>
      <c r="H4070" s="25" t="str">
        <f>IF(J4070&lt;&gt;1,"",IF(I4070="SBJ","CB","?"))</f>
        <v> </v>
      </c>
      <c r="I4070" s="26" t="str">
        <f>IF(OR(E4070="",E4070="!!!",F4070="NEW"),"",INDEX(B4069:B$2,-1+SUMPRODUCT(MAX(ROW(E4069:E$2)*(E4070=E4069:E$2)))))</f>
        <v> </v>
      </c>
      <c r="J4070" s="26" t="str">
        <f>IF(OR(E4070="",E4070="!!!",F4070="NEW"),"",COUNTBLANK(OFFSET(A$1,,,SUMPRODUCT(MAX(ROW(E$2:E4070)*(E4070=E$2:E4070)))))-COUNTBLANK(OFFSET(A$1,,,SUMPRODUCT(MAX(ROW(E$1:E4069)*(E2=E$1:E4069))))))</f>
        <v> </v>
      </c>
      <c r="K4070" s="26" t="str">
        <f>IF(OR(E4070="",E4070="!!!",F4070="NEW"),"",INDEX(J$1:J4069,SUMPRODUCT(MAX(ROW(E$1:E4069)*(E4070=E$1:E4069)))))</f>
        <v> </v>
      </c>
      <c r="L4070" s="27"/>
    </row>
    <row r="4071" spans="1:12">
      <c r="A4071" s="20" t="s">
        <v>1339</v>
      </c>
      <c r="B4071" s="21" t="s">
        <v>1035</v>
      </c>
      <c r="C4071" s="21" t="s">
        <v>1017</v>
      </c>
      <c r="D4071" s="21" t="s">
        <v>1007</v>
      </c>
      <c r="E4071" s="22">
        <f>IF(D4071="?OLD","!!!","")</f>
        <v/>
      </c>
      <c r="F4071" s="23" t="str">
        <f>IF(OR(E4071="",E4071="!!!"),"",IF(NOT(ISNA(VLOOKUP(E4071,E$1:E4070,1,FALSE()))),"OLD",IF(AND(E4071&lt;&gt;"",E4071&lt;&gt;"!!!"),"NEW","")))</f>
        <v> </v>
      </c>
      <c r="G4071" s="24" t="str">
        <f>IF(OR(E4071="",E4071="!!!"),"",IF(OR(J4071=0,AND(J4071=1,K4071=1),AND(J4071=1,I4071="SBJ"),AND(J4071=1,I4071=0)),"?IN_FOCUS",IF(J4071&lt;=2,"?ACTIVATED",IF(J4071&lt;&gt;"","?FAMILIAR",IF(F4071="NEW",IF(ISNA(VLOOKUP(E4071,#REF!,1,FALSE())),"?TYPE_IDENTIFIABLE","?REFERENTIAL"),"_")))))</f>
        <v> </v>
      </c>
      <c r="H4071" s="25" t="str">
        <f>IF(J4071&lt;&gt;1,"",IF(I4071="SBJ","CB","?"))</f>
        <v> </v>
      </c>
      <c r="I4071" s="26" t="str">
        <f>IF(OR(E4071="",E4071="!!!",F4071="NEW"),"",INDEX(B4070:B$2,-1+SUMPRODUCT(MAX(ROW(E4070:E$2)*(E4071=E4070:E$2)))))</f>
        <v> </v>
      </c>
      <c r="J4071" s="26" t="str">
        <f>IF(OR(E4071="",E4071="!!!",F4071="NEW"),"",COUNTBLANK(OFFSET(A$1,,,SUMPRODUCT(MAX(ROW(E$2:E4071)*(E4071=E$2:E4071)))))-COUNTBLANK(OFFSET(A$1,,,SUMPRODUCT(MAX(ROW(E$1:E4070)*(E2=E$1:E4070))))))</f>
        <v> </v>
      </c>
      <c r="K4071" s="26" t="str">
        <f>IF(OR(E4071="",E4071="!!!",F4071="NEW"),"",INDEX(J$1:J4070,SUMPRODUCT(MAX(ROW(E$1:E4070)*(E4071=E$1:E4070)))))</f>
        <v> </v>
      </c>
      <c r="L4071" s="27"/>
    </row>
    <row r="4072" spans="1:12">
      <c r="A4072" s="20" t="s">
        <v>1018</v>
      </c>
      <c r="E4072" s="22">
        <f>IF(D4072="?OLD","!!!","")</f>
        <v/>
      </c>
      <c r="F4072" s="23" t="str">
        <f>IF(OR(E4072="",E4072="!!!"),"",IF(NOT(ISNA(VLOOKUP(E4072,E$1:E4071,1,FALSE()))),"OLD",IF(AND(E4072&lt;&gt;"",E4072&lt;&gt;"!!!"),"NEW","")))</f>
        <v> </v>
      </c>
      <c r="G4072" s="24" t="str">
        <f>IF(OR(E4072="",E4072="!!!"),"",IF(OR(J4072=0,AND(J4072=1,K4072=1),AND(J4072=1,I4072="SBJ"),AND(J4072=1,I4072=0)),"?IN_FOCUS",IF(J4072&lt;=2,"?ACTIVATED",IF(J4072&lt;&gt;"","?FAMILIAR",IF(F4072="NEW",IF(ISNA(VLOOKUP(E4072,#REF!,1,FALSE())),"?TYPE_IDENTIFIABLE","?REFERENTIAL"),"_")))))</f>
        <v> </v>
      </c>
      <c r="H4072" s="25" t="str">
        <f>IF(J4072&lt;&gt;1,"",IF(I4072="SBJ","CB","?"))</f>
        <v> </v>
      </c>
      <c r="I4072" s="26" t="str">
        <f>IF(OR(E4072="",E4072="!!!",F4072="NEW"),"",INDEX(B4071:B$2,-1+SUMPRODUCT(MAX(ROW(E4071:E$2)*(E4072=E4071:E$2)))))</f>
        <v> </v>
      </c>
      <c r="J4072" s="26" t="str">
        <f>IF(OR(E4072="",E4072="!!!",F4072="NEW"),"",COUNTBLANK(OFFSET(A$1,,,SUMPRODUCT(MAX(ROW(E$2:E4072)*(E4072=E$2:E4072)))))-COUNTBLANK(OFFSET(A$1,,,SUMPRODUCT(MAX(ROW(E$1:E4071)*(E2=E$1:E4071))))))</f>
        <v> </v>
      </c>
      <c r="K4072" s="26" t="str">
        <f>IF(OR(E4072="",E4072="!!!",F4072="NEW"),"",INDEX(J$1:J4071,SUMPRODUCT(MAX(ROW(E$1:E4071)*(E4072=E$1:E4071)))))</f>
        <v> </v>
      </c>
      <c r="L4072" s="27"/>
    </row>
    <row r="4073" spans="1:12">
      <c r="A4073" s="20" t="s">
        <v>1583</v>
      </c>
      <c r="E4073" s="22">
        <f>IF(D4073="?OLD","!!!","")</f>
        <v/>
      </c>
      <c r="F4073" s="23" t="str">
        <f>IF(OR(E4073="",E4073="!!!"),"",IF(NOT(ISNA(VLOOKUP(E4073,E$1:E4072,1,FALSE()))),"OLD",IF(AND(E4073&lt;&gt;"",E4073&lt;&gt;"!!!"),"NEW","")))</f>
        <v> </v>
      </c>
      <c r="G4073" s="24" t="str">
        <f>IF(OR(E4073="",E4073="!!!"),"",IF(OR(J4073=0,AND(J4073=1,K4073=1),AND(J4073=1,I4073="SBJ"),AND(J4073=1,I4073=0)),"?IN_FOCUS",IF(J4073&lt;=2,"?ACTIVATED",IF(J4073&lt;&gt;"","?FAMILIAR",IF(F4073="NEW",IF(ISNA(VLOOKUP(E4073,#REF!,1,FALSE())),"?TYPE_IDENTIFIABLE","?REFERENTIAL"),"_")))))</f>
        <v> </v>
      </c>
      <c r="H4073" s="25" t="str">
        <f>IF(J4073&lt;&gt;1,"",IF(I4073="SBJ","CB","?"))</f>
        <v> </v>
      </c>
      <c r="I4073" s="26" t="str">
        <f>IF(OR(E4073="",E4073="!!!",F4073="NEW"),"",INDEX(B4072:B$2,-1+SUMPRODUCT(MAX(ROW(E4072:E$2)*(E4073=E4072:E$2)))))</f>
        <v> </v>
      </c>
      <c r="J4073" s="26" t="str">
        <f>IF(OR(E4073="",E4073="!!!",F4073="NEW"),"",COUNTBLANK(OFFSET(A$1,,,SUMPRODUCT(MAX(ROW(E$2:E4073)*(E4073=E$2:E4073)))))-COUNTBLANK(OFFSET(A$1,,,SUMPRODUCT(MAX(ROW(E$1:E4072)*(E2=E$1:E4072))))))</f>
        <v> </v>
      </c>
      <c r="K4073" s="26" t="str">
        <f>IF(OR(E4073="",E4073="!!!",F4073="NEW"),"",INDEX(J$1:J4072,SUMPRODUCT(MAX(ROW(E$1:E4072)*(E4073=E$1:E4072)))))</f>
        <v> </v>
      </c>
      <c r="L4073" s="27"/>
    </row>
    <row r="4074" spans="1:12">
      <c r="A4074" s="20" t="s">
        <v>562</v>
      </c>
      <c r="E4074" s="22">
        <f>IF(D4074="?OLD","!!!","")</f>
        <v/>
      </c>
      <c r="F4074" s="23" t="str">
        <f>IF(OR(E4074="",E4074="!!!"),"",IF(NOT(ISNA(VLOOKUP(E4074,E$1:E4073,1,FALSE()))),"OLD",IF(AND(E4074&lt;&gt;"",E4074&lt;&gt;"!!!"),"NEW","")))</f>
        <v> </v>
      </c>
      <c r="G4074" s="24" t="str">
        <f>IF(OR(E4074="",E4074="!!!"),"",IF(OR(J4074=0,AND(J4074=1,K4074=1),AND(J4074=1,I4074="SBJ"),AND(J4074=1,I4074=0)),"?IN_FOCUS",IF(J4074&lt;=2,"?ACTIVATED",IF(J4074&lt;&gt;"","?FAMILIAR",IF(F4074="NEW",IF(ISNA(VLOOKUP(E4074,#REF!,1,FALSE())),"?TYPE_IDENTIFIABLE","?REFERENTIAL"),"_")))))</f>
        <v> </v>
      </c>
      <c r="H4074" s="25" t="str">
        <f>IF(J4074&lt;&gt;1,"",IF(I4074="SBJ","CB","?"))</f>
        <v> </v>
      </c>
      <c r="I4074" s="26" t="str">
        <f>IF(OR(E4074="",E4074="!!!",F4074="NEW"),"",INDEX(B4073:B$2,-1+SUMPRODUCT(MAX(ROW(E4073:E$2)*(E4074=E4073:E$2)))))</f>
        <v> </v>
      </c>
      <c r="J4074" s="26" t="str">
        <f>IF(OR(E4074="",E4074="!!!",F4074="NEW"),"",COUNTBLANK(OFFSET(A$1,,,SUMPRODUCT(MAX(ROW(E$2:E4074)*(E4074=E$2:E4074)))))-COUNTBLANK(OFFSET(A$1,,,SUMPRODUCT(MAX(ROW(E$1:E4073)*(E2=E$1:E4073))))))</f>
        <v> </v>
      </c>
      <c r="K4074" s="26" t="str">
        <f>IF(OR(E4074="",E4074="!!!",F4074="NEW"),"",INDEX(J$1:J4073,SUMPRODUCT(MAX(ROW(E$1:E4073)*(E4074=E$1:E4073)))))</f>
        <v> </v>
      </c>
      <c r="L4074" s="27"/>
    </row>
    <row r="4075" spans="1:12">
      <c r="A4075" s="20" t="s">
        <v>1036</v>
      </c>
      <c r="E4075" s="22">
        <f>IF(D4075="?OLD","!!!","")</f>
        <v/>
      </c>
      <c r="F4075" s="23" t="str">
        <f>IF(OR(E4075="",E4075="!!!"),"",IF(NOT(ISNA(VLOOKUP(E4075,E$1:E4074,1,FALSE()))),"OLD",IF(AND(E4075&lt;&gt;"",E4075&lt;&gt;"!!!"),"NEW","")))</f>
        <v> </v>
      </c>
      <c r="G4075" s="24" t="str">
        <f>IF(OR(E4075="",E4075="!!!"),"",IF(OR(J4075=0,AND(J4075=1,K4075=1),AND(J4075=1,I4075="SBJ"),AND(J4075=1,I4075=0)),"?IN_FOCUS",IF(J4075&lt;=2,"?ACTIVATED",IF(J4075&lt;&gt;"","?FAMILIAR",IF(F4075="NEW",IF(ISNA(VLOOKUP(E4075,#REF!,1,FALSE())),"?TYPE_IDENTIFIABLE","?REFERENTIAL"),"_")))))</f>
        <v> </v>
      </c>
      <c r="H4075" s="25" t="str">
        <f>IF(J4075&lt;&gt;1,"",IF(I4075="SBJ","CB","?"))</f>
        <v> </v>
      </c>
      <c r="I4075" s="26" t="str">
        <f>IF(OR(E4075="",E4075="!!!",F4075="NEW"),"",INDEX(B4074:B$2,-1+SUMPRODUCT(MAX(ROW(E4074:E$2)*(E4075=E4074:E$2)))))</f>
        <v> </v>
      </c>
      <c r="J4075" s="26" t="str">
        <f>IF(OR(E4075="",E4075="!!!",F4075="NEW"),"",COUNTBLANK(OFFSET(A$1,,,SUMPRODUCT(MAX(ROW(E$2:E4075)*(E4075=E$2:E4075)))))-COUNTBLANK(OFFSET(A$1,,,SUMPRODUCT(MAX(ROW(E$1:E4074)*(E2=E$1:E4074))))))</f>
        <v> </v>
      </c>
      <c r="K4075" s="26" t="str">
        <f>IF(OR(E4075="",E4075="!!!",F4075="NEW"),"",INDEX(J$1:J4074,SUMPRODUCT(MAX(ROW(E$1:E4074)*(E4075=E$1:E4074)))))</f>
        <v> </v>
      </c>
      <c r="L4075" s="27"/>
    </row>
    <row r="4076" spans="1:12">
      <c r="A4076" s="20" t="s">
        <v>1140</v>
      </c>
      <c r="B4076" s="21" t="s">
        <v>1005</v>
      </c>
      <c r="C4076" s="21" t="s">
        <v>1073</v>
      </c>
      <c r="D4076" s="21" t="s">
        <v>1007</v>
      </c>
      <c r="E4076" s="22">
        <f>IF(D4076="?OLD","!!!","")</f>
        <v/>
      </c>
      <c r="F4076" s="23" t="str">
        <f>IF(OR(E4076="",E4076="!!!"),"",IF(NOT(ISNA(VLOOKUP(E4076,E$1:E4075,1,FALSE()))),"OLD",IF(AND(E4076&lt;&gt;"",E4076&lt;&gt;"!!!"),"NEW","")))</f>
        <v> </v>
      </c>
      <c r="G4076" s="24" t="str">
        <f>IF(OR(E4076="",E4076="!!!"),"",IF(OR(J4076=0,AND(J4076=1,K4076=1),AND(J4076=1,I4076="SBJ"),AND(J4076=1,I4076=0)),"?IN_FOCUS",IF(J4076&lt;=2,"?ACTIVATED",IF(J4076&lt;&gt;"","?FAMILIAR",IF(F4076="NEW",IF(ISNA(VLOOKUP(E4076,#REF!,1,FALSE())),"?TYPE_IDENTIFIABLE","?REFERENTIAL"),"_")))))</f>
        <v> </v>
      </c>
      <c r="H4076" s="25" t="str">
        <f>IF(J4076&lt;&gt;1,"",IF(I4076="SBJ","CB","?"))</f>
        <v> </v>
      </c>
      <c r="I4076" s="26" t="str">
        <f>IF(OR(E4076="",E4076="!!!",F4076="NEW"),"",INDEX(B4075:B$2,-1+SUMPRODUCT(MAX(ROW(E4075:E$2)*(E4076=E4075:E$2)))))</f>
        <v> </v>
      </c>
      <c r="J4076" s="26" t="str">
        <f>IF(OR(E4076="",E4076="!!!",F4076="NEW"),"",COUNTBLANK(OFFSET(A$1,,,SUMPRODUCT(MAX(ROW(E$2:E4076)*(E4076=E$2:E4076)))))-COUNTBLANK(OFFSET(A$1,,,SUMPRODUCT(MAX(ROW(E$1:E4075)*(E2=E$1:E4075))))))</f>
        <v> </v>
      </c>
      <c r="K4076" s="26" t="str">
        <f>IF(OR(E4076="",E4076="!!!",F4076="NEW"),"",INDEX(J$1:J4075,SUMPRODUCT(MAX(ROW(E$1:E4075)*(E4076=E$1:E4075)))))</f>
        <v> </v>
      </c>
      <c r="L4076" s="27"/>
    </row>
    <row r="4077" spans="1:12">
      <c r="A4077" s="20" t="s">
        <v>1500</v>
      </c>
      <c r="E4077" s="22">
        <f>IF(D4077="?OLD","!!!","")</f>
        <v/>
      </c>
      <c r="F4077" s="23" t="str">
        <f>IF(OR(E4077="",E4077="!!!"),"",IF(NOT(ISNA(VLOOKUP(E4077,E$1:E4076,1,FALSE()))),"OLD",IF(AND(E4077&lt;&gt;"",E4077&lt;&gt;"!!!"),"NEW","")))</f>
        <v> </v>
      </c>
      <c r="G4077" s="24" t="str">
        <f>IF(OR(E4077="",E4077="!!!"),"",IF(OR(J4077=0,AND(J4077=1,K4077=1),AND(J4077=1,I4077="SBJ"),AND(J4077=1,I4077=0)),"?IN_FOCUS",IF(J4077&lt;=2,"?ACTIVATED",IF(J4077&lt;&gt;"","?FAMILIAR",IF(F4077="NEW",IF(ISNA(VLOOKUP(E4077,#REF!,1,FALSE())),"?TYPE_IDENTIFIABLE","?REFERENTIAL"),"_")))))</f>
        <v> </v>
      </c>
      <c r="H4077" s="25" t="str">
        <f>IF(J4077&lt;&gt;1,"",IF(I4077="SBJ","CB","?"))</f>
        <v> </v>
      </c>
      <c r="I4077" s="26" t="str">
        <f>IF(OR(E4077="",E4077="!!!",F4077="NEW"),"",INDEX(B4076:B$2,-1+SUMPRODUCT(MAX(ROW(E4076:E$2)*(E4077=E4076:E$2)))))</f>
        <v> </v>
      </c>
      <c r="J4077" s="26" t="str">
        <f>IF(OR(E4077="",E4077="!!!",F4077="NEW"),"",COUNTBLANK(OFFSET(A$1,,,SUMPRODUCT(MAX(ROW(E$2:E4077)*(E4077=E$2:E4077)))))-COUNTBLANK(OFFSET(A$1,,,SUMPRODUCT(MAX(ROW(E$1:E4076)*(E2=E$1:E4076))))))</f>
        <v> </v>
      </c>
      <c r="K4077" s="26" t="str">
        <f>IF(OR(E4077="",E4077="!!!",F4077="NEW"),"",INDEX(J$1:J4076,SUMPRODUCT(MAX(ROW(E$1:E4076)*(E4077=E$1:E4076)))))</f>
        <v> </v>
      </c>
      <c r="L4077" s="27"/>
    </row>
    <row r="4078" spans="1:12">
      <c r="A4078" s="20" t="s">
        <v>2189</v>
      </c>
      <c r="E4078" s="22">
        <f>IF(D4078="?OLD","!!!","")</f>
        <v/>
      </c>
      <c r="F4078" s="23" t="str">
        <f>IF(OR(E4078="",E4078="!!!"),"",IF(NOT(ISNA(VLOOKUP(E4078,E$1:E4077,1,FALSE()))),"OLD",IF(AND(E4078&lt;&gt;"",E4078&lt;&gt;"!!!"),"NEW","")))</f>
        <v> </v>
      </c>
      <c r="G4078" s="24" t="str">
        <f>IF(OR(E4078="",E4078="!!!"),"",IF(OR(J4078=0,AND(J4078=1,K4078=1),AND(J4078=1,I4078="SBJ"),AND(J4078=1,I4078=0)),"?IN_FOCUS",IF(J4078&lt;=2,"?ACTIVATED",IF(J4078&lt;&gt;"","?FAMILIAR",IF(F4078="NEW",IF(ISNA(VLOOKUP(E4078,#REF!,1,FALSE())),"?TYPE_IDENTIFIABLE","?REFERENTIAL"),"_")))))</f>
        <v> </v>
      </c>
      <c r="H4078" s="25" t="str">
        <f>IF(J4078&lt;&gt;1,"",IF(I4078="SBJ","CB","?"))</f>
        <v> </v>
      </c>
      <c r="I4078" s="26" t="str">
        <f>IF(OR(E4078="",E4078="!!!",F4078="NEW"),"",INDEX(B4077:B$2,-1+SUMPRODUCT(MAX(ROW(E4077:E$2)*(E4078=E4077:E$2)))))</f>
        <v> </v>
      </c>
      <c r="J4078" s="26" t="str">
        <f>IF(OR(E4078="",E4078="!!!",F4078="NEW"),"",COUNTBLANK(OFFSET(A$1,,,SUMPRODUCT(MAX(ROW(E$2:E4078)*(E4078=E$2:E4078)))))-COUNTBLANK(OFFSET(A$1,,,SUMPRODUCT(MAX(ROW(E$1:E4077)*(E2=E$1:E4077))))))</f>
        <v> </v>
      </c>
      <c r="K4078" s="26" t="str">
        <f>IF(OR(E4078="",E4078="!!!",F4078="NEW"),"",INDEX(J$1:J4077,SUMPRODUCT(MAX(ROW(E$1:E4077)*(E4078=E$1:E4077)))))</f>
        <v> </v>
      </c>
      <c r="L4078" s="27"/>
    </row>
    <row r="4079" spans="1:12">
      <c r="A4079" s="20" t="s">
        <v>1240</v>
      </c>
      <c r="B4079" s="21" t="s">
        <v>1005</v>
      </c>
      <c r="C4079" s="21" t="s">
        <v>1103</v>
      </c>
      <c r="E4079" s="22">
        <f>IF(D4079="?OLD","!!!","")</f>
        <v/>
      </c>
      <c r="F4079" s="23" t="str">
        <f>IF(OR(E4079="",E4079="!!!"),"",IF(NOT(ISNA(VLOOKUP(E4079,E$1:E4078,1,FALSE()))),"OLD",IF(AND(E4079&lt;&gt;"",E4079&lt;&gt;"!!!"),"NEW","")))</f>
        <v> </v>
      </c>
      <c r="G4079" s="24" t="str">
        <f>IF(OR(E4079="",E4079="!!!"),"",IF(OR(J4079=0,AND(J4079=1,K4079=1),AND(J4079=1,I4079="SBJ"),AND(J4079=1,I4079=0)),"?IN_FOCUS",IF(J4079&lt;=2,"?ACTIVATED",IF(J4079&lt;&gt;"","?FAMILIAR",IF(F4079="NEW",IF(ISNA(VLOOKUP(E4079,#REF!,1,FALSE())),"?TYPE_IDENTIFIABLE","?REFERENTIAL"),"_")))))</f>
        <v> </v>
      </c>
      <c r="H4079" s="25" t="str">
        <f>IF(J4079&lt;&gt;1,"",IF(I4079="SBJ","CB","?"))</f>
        <v> </v>
      </c>
      <c r="I4079" s="26" t="str">
        <f>IF(OR(E4079="",E4079="!!!",F4079="NEW"),"",INDEX(B4078:B$2,-1+SUMPRODUCT(MAX(ROW(E4078:E$2)*(E4079=E4078:E$2)))))</f>
        <v> </v>
      </c>
      <c r="J4079" s="26" t="str">
        <f>IF(OR(E4079="",E4079="!!!",F4079="NEW"),"",COUNTBLANK(OFFSET(A$1,,,SUMPRODUCT(MAX(ROW(E$2:E4079)*(E4079=E$2:E4079)))))-COUNTBLANK(OFFSET(A$1,,,SUMPRODUCT(MAX(ROW(E$1:E4078)*(E2=E$1:E4078))))))</f>
        <v> </v>
      </c>
      <c r="K4079" s="26" t="str">
        <f>IF(OR(E4079="",E4079="!!!",F4079="NEW"),"",INDEX(J$1:J4078,SUMPRODUCT(MAX(ROW(E$1:E4078)*(E4079=E$1:E4078)))))</f>
        <v> </v>
      </c>
      <c r="L4079" s="27"/>
    </row>
    <row r="4080" spans="1:12">
      <c r="A4080" s="20" t="s">
        <v>1023</v>
      </c>
      <c r="E4080" s="22">
        <f>IF(D4080="?OLD","!!!","")</f>
        <v/>
      </c>
      <c r="F4080" s="23" t="str">
        <f>IF(OR(E4080="",E4080="!!!"),"",IF(NOT(ISNA(VLOOKUP(E4080,E$1:E4079,1,FALSE()))),"OLD",IF(AND(E4080&lt;&gt;"",E4080&lt;&gt;"!!!"),"NEW","")))</f>
        <v> </v>
      </c>
      <c r="G4080" s="24" t="str">
        <f>IF(OR(E4080="",E4080="!!!"),"",IF(OR(J4080=0,AND(J4080=1,K4080=1),AND(J4080=1,I4080="SBJ"),AND(J4080=1,I4080=0)),"?IN_FOCUS",IF(J4080&lt;=2,"?ACTIVATED",IF(J4080&lt;&gt;"","?FAMILIAR",IF(F4080="NEW",IF(ISNA(VLOOKUP(E4080,#REF!,1,FALSE())),"?TYPE_IDENTIFIABLE","?REFERENTIAL"),"_")))))</f>
        <v> </v>
      </c>
      <c r="H4080" s="25" t="str">
        <f>IF(J4080&lt;&gt;1,"",IF(I4080="SBJ","CB","?"))</f>
        <v> </v>
      </c>
      <c r="I4080" s="26" t="str">
        <f>IF(OR(E4080="",E4080="!!!",F4080="NEW"),"",INDEX(B4079:B$2,-1+SUMPRODUCT(MAX(ROW(E4079:E$2)*(E4080=E4079:E$2)))))</f>
        <v> </v>
      </c>
      <c r="J4080" s="26" t="str">
        <f>IF(OR(E4080="",E4080="!!!",F4080="NEW"),"",COUNTBLANK(OFFSET(A$1,,,SUMPRODUCT(MAX(ROW(E$2:E4080)*(E4080=E$2:E4080)))))-COUNTBLANK(OFFSET(A$1,,,SUMPRODUCT(MAX(ROW(E$1:E4079)*(E2=E$1:E4079))))))</f>
        <v> </v>
      </c>
      <c r="K4080" s="26" t="str">
        <f>IF(OR(E4080="",E4080="!!!",F4080="NEW"),"",INDEX(J$1:J4079,SUMPRODUCT(MAX(ROW(E$1:E4079)*(E4080=E$1:E4079)))))</f>
        <v> </v>
      </c>
      <c r="L4080" s="27"/>
    </row>
    <row r="4081" spans="1:12">
      <c r="A4081" s="20"/>
    </row>
    <row r="4082" spans="1:12">
      <c r="A4082" s="20" t="s">
        <v>2190</v>
      </c>
    </row>
    <row r="4083" spans="1:12">
      <c r="A4083" s="20" t="s">
        <v>1094</v>
      </c>
      <c r="B4083" s="21" t="s">
        <v>1005</v>
      </c>
      <c r="C4083" s="21" t="s">
        <v>1048</v>
      </c>
      <c r="E4083" s="22">
        <f>IF(D4083="?OLD","!!!","")</f>
        <v/>
      </c>
      <c r="F4083" s="23" t="str">
        <f>IF(OR(E4083="",E4083="!!!"),"",IF(NOT(ISNA(VLOOKUP(E4083,E$1:E4082,1,FALSE()))),"OLD",IF(AND(E4083&lt;&gt;"",E4083&lt;&gt;"!!!"),"NEW","")))</f>
        <v> </v>
      </c>
      <c r="G4083" s="24" t="str">
        <f>IF(OR(E4083="",E4083="!!!"),"",IF(OR(J4083=0,AND(J4083=1,K4083=1),AND(J4083=1,I4083="SBJ"),AND(J4083=1,I4083=0)),"?IN_FOCUS",IF(J4083&lt;=2,"?ACTIVATED",IF(J4083&lt;&gt;"","?FAMILIAR",IF(F4083="NEW",IF(ISNA(VLOOKUP(E4083,#REF!,1,FALSE())),"?TYPE_IDENTIFIABLE","?REFERENTIAL"),"_")))))</f>
        <v> </v>
      </c>
      <c r="H4083" s="25" t="str">
        <f>IF(J4083&lt;&gt;1,"",IF(I4083="SBJ","CB","?"))</f>
        <v> </v>
      </c>
      <c r="I4083" s="26" t="str">
        <f>IF(OR(E4083="",E4083="!!!",F4083="NEW"),"",INDEX(B4082:B$2,-1+SUMPRODUCT(MAX(ROW(E4082:E$2)*(E4083=E4082:E$2)))))</f>
        <v> </v>
      </c>
      <c r="J4083" s="26" t="str">
        <f>IF(OR(E4083="",E4083="!!!",F4083="NEW"),"",COUNTBLANK(OFFSET(A$1,,,SUMPRODUCT(MAX(ROW(E$2:E4083)*(E4083=E$2:E4083)))))-COUNTBLANK(OFFSET(A$1,,,SUMPRODUCT(MAX(ROW(E$1:E4082)*(E2=E$1:E4082))))))</f>
        <v> </v>
      </c>
      <c r="K4083" s="26" t="str">
        <f>IF(OR(E4083="",E4083="!!!",F4083="NEW"),"",INDEX(J$1:J4082,SUMPRODUCT(MAX(ROW(E$1:E4082)*(E4083=E$1:E4082)))))</f>
        <v> </v>
      </c>
      <c r="L4083" s="27"/>
    </row>
    <row r="4084" spans="1:12">
      <c r="A4084" s="20" t="s">
        <v>1009</v>
      </c>
      <c r="E4084" s="22">
        <f>IF(D4084="?OLD","!!!","")</f>
        <v/>
      </c>
      <c r="F4084" s="23" t="str">
        <f>IF(OR(E4084="",E4084="!!!"),"",IF(NOT(ISNA(VLOOKUP(E4084,E$1:E4083,1,FALSE()))),"OLD",IF(AND(E4084&lt;&gt;"",E4084&lt;&gt;"!!!"),"NEW","")))</f>
        <v> </v>
      </c>
      <c r="G4084" s="24" t="str">
        <f>IF(OR(E4084="",E4084="!!!"),"",IF(OR(J4084=0,AND(J4084=1,K4084=1),AND(J4084=1,I4084="SBJ"),AND(J4084=1,I4084=0)),"?IN_FOCUS",IF(J4084&lt;=2,"?ACTIVATED",IF(J4084&lt;&gt;"","?FAMILIAR",IF(F4084="NEW",IF(ISNA(VLOOKUP(E4084,#REF!,1,FALSE())),"?TYPE_IDENTIFIABLE","?REFERENTIAL"),"_")))))</f>
        <v> </v>
      </c>
      <c r="H4084" s="25" t="str">
        <f>IF(J4084&lt;&gt;1,"",IF(I4084="SBJ","CB","?"))</f>
        <v> </v>
      </c>
      <c r="I4084" s="26" t="str">
        <f>IF(OR(E4084="",E4084="!!!",F4084="NEW"),"",INDEX(B4083:B$2,-1+SUMPRODUCT(MAX(ROW(E4083:E$2)*(E4084=E4083:E$2)))))</f>
        <v> </v>
      </c>
      <c r="J4084" s="26" t="str">
        <f>IF(OR(E4084="",E4084="!!!",F4084="NEW"),"",COUNTBLANK(OFFSET(A$1,,,SUMPRODUCT(MAX(ROW(E$2:E4084)*(E4084=E$2:E4084)))))-COUNTBLANK(OFFSET(A$1,,,SUMPRODUCT(MAX(ROW(E$1:E4083)*(E2=E$1:E4083))))))</f>
        <v> </v>
      </c>
      <c r="K4084" s="26" t="str">
        <f>IF(OR(E4084="",E4084="!!!",F4084="NEW"),"",INDEX(J$1:J4083,SUMPRODUCT(MAX(ROW(E$1:E4083)*(E4084=E$1:E4083)))))</f>
        <v> </v>
      </c>
      <c r="L4084" s="27"/>
    </row>
    <row r="4085" spans="1:12">
      <c r="A4085" s="20" t="s">
        <v>1136</v>
      </c>
      <c r="E4085" s="22">
        <f>IF(D4085="?OLD","!!!","")</f>
        <v/>
      </c>
      <c r="F4085" s="23" t="str">
        <f>IF(OR(E4085="",E4085="!!!"),"",IF(NOT(ISNA(VLOOKUP(E4085,E$1:E4084,1,FALSE()))),"OLD",IF(AND(E4085&lt;&gt;"",E4085&lt;&gt;"!!!"),"NEW","")))</f>
        <v> </v>
      </c>
      <c r="G4085" s="24" t="str">
        <f>IF(OR(E4085="",E4085="!!!"),"",IF(OR(J4085=0,AND(J4085=1,K4085=1),AND(J4085=1,I4085="SBJ"),AND(J4085=1,I4085=0)),"?IN_FOCUS",IF(J4085&lt;=2,"?ACTIVATED",IF(J4085&lt;&gt;"","?FAMILIAR",IF(F4085="NEW",IF(ISNA(VLOOKUP(E4085,#REF!,1,FALSE())),"?TYPE_IDENTIFIABLE","?REFERENTIAL"),"_")))))</f>
        <v> </v>
      </c>
      <c r="H4085" s="25" t="str">
        <f>IF(J4085&lt;&gt;1,"",IF(I4085="SBJ","CB","?"))</f>
        <v> </v>
      </c>
      <c r="I4085" s="26" t="str">
        <f>IF(OR(E4085="",E4085="!!!",F4085="NEW"),"",INDEX(B4084:B$2,-1+SUMPRODUCT(MAX(ROW(E4084:E$2)*(E4085=E4084:E$2)))))</f>
        <v> </v>
      </c>
      <c r="J4085" s="26" t="str">
        <f>IF(OR(E4085="",E4085="!!!",F4085="NEW"),"",COUNTBLANK(OFFSET(A$1,,,SUMPRODUCT(MAX(ROW(E$2:E4085)*(E4085=E$2:E4085)))))-COUNTBLANK(OFFSET(A$1,,,SUMPRODUCT(MAX(ROW(E$1:E4084)*(E2=E$1:E4084))))))</f>
        <v> </v>
      </c>
      <c r="K4085" s="26" t="str">
        <f>IF(OR(E4085="",E4085="!!!",F4085="NEW"),"",INDEX(J$1:J4084,SUMPRODUCT(MAX(ROW(E$1:E4084)*(E4085=E$1:E4084)))))</f>
        <v> </v>
      </c>
      <c r="L4085" s="27"/>
    </row>
    <row r="4086" spans="1:12">
      <c r="A4086" s="20" t="s">
        <v>1224</v>
      </c>
      <c r="B4086" s="21" t="s">
        <v>1119</v>
      </c>
      <c r="C4086" s="21" t="s">
        <v>1082</v>
      </c>
      <c r="D4086" s="21" t="s">
        <v>1007</v>
      </c>
      <c r="E4086" s="22">
        <f>IF(D4086="?OLD","!!!","")</f>
        <v/>
      </c>
      <c r="F4086" s="23" t="str">
        <f>IF(OR(E4086="",E4086="!!!"),"",IF(NOT(ISNA(VLOOKUP(E4086,E$1:E4085,1,FALSE()))),"OLD",IF(AND(E4086&lt;&gt;"",E4086&lt;&gt;"!!!"),"NEW","")))</f>
        <v> </v>
      </c>
      <c r="G4086" s="24" t="str">
        <f>IF(OR(E4086="",E4086="!!!"),"",IF(OR(J4086=0,AND(J4086=1,K4086=1),AND(J4086=1,I4086="SBJ"),AND(J4086=1,I4086=0)),"?IN_FOCUS",IF(J4086&lt;=2,"?ACTIVATED",IF(J4086&lt;&gt;"","?FAMILIAR",IF(F4086="NEW",IF(ISNA(VLOOKUP(E4086,#REF!,1,FALSE())),"?TYPE_IDENTIFIABLE","?REFERENTIAL"),"_")))))</f>
        <v> </v>
      </c>
      <c r="H4086" s="25" t="str">
        <f>IF(J4086&lt;&gt;1,"",IF(I4086="SBJ","CB","?"))</f>
        <v> </v>
      </c>
      <c r="I4086" s="26" t="str">
        <f>IF(OR(E4086="",E4086="!!!",F4086="NEW"),"",INDEX(B4085:B$2,-1+SUMPRODUCT(MAX(ROW(E4085:E$2)*(E4086=E4085:E$2)))))</f>
        <v> </v>
      </c>
      <c r="J4086" s="26" t="str">
        <f>IF(OR(E4086="",E4086="!!!",F4086="NEW"),"",COUNTBLANK(OFFSET(A$1,,,SUMPRODUCT(MAX(ROW(E$2:E4086)*(E4086=E$2:E4086)))))-COUNTBLANK(OFFSET(A$1,,,SUMPRODUCT(MAX(ROW(E$1:E4085)*(E2=E$1:E4085))))))</f>
        <v> </v>
      </c>
      <c r="K4086" s="26" t="str">
        <f>IF(OR(E4086="",E4086="!!!",F4086="NEW"),"",INDEX(J$1:J4085,SUMPRODUCT(MAX(ROW(E$1:E4085)*(E4086=E$1:E4085)))))</f>
        <v> </v>
      </c>
      <c r="L4086" s="27"/>
    </row>
    <row r="4087" spans="1:12">
      <c r="A4087" s="20" t="s">
        <v>2191</v>
      </c>
      <c r="E4087" s="22">
        <f>IF(D4087="?OLD","!!!","")</f>
        <v/>
      </c>
      <c r="F4087" s="23" t="str">
        <f>IF(OR(E4087="",E4087="!!!"),"",IF(NOT(ISNA(VLOOKUP(E4087,E$1:E4086,1,FALSE()))),"OLD",IF(AND(E4087&lt;&gt;"",E4087&lt;&gt;"!!!"),"NEW","")))</f>
        <v> </v>
      </c>
      <c r="G4087" s="24" t="str">
        <f>IF(OR(E4087="",E4087="!!!"),"",IF(OR(J4087=0,AND(J4087=1,K4087=1),AND(J4087=1,I4087="SBJ"),AND(J4087=1,I4087=0)),"?IN_FOCUS",IF(J4087&lt;=2,"?ACTIVATED",IF(J4087&lt;&gt;"","?FAMILIAR",IF(F4087="NEW",IF(ISNA(VLOOKUP(E4087,#REF!,1,FALSE())),"?TYPE_IDENTIFIABLE","?REFERENTIAL"),"_")))))</f>
        <v> </v>
      </c>
      <c r="H4087" s="25" t="str">
        <f>IF(J4087&lt;&gt;1,"",IF(I4087="SBJ","CB","?"))</f>
        <v> </v>
      </c>
      <c r="I4087" s="26" t="str">
        <f>IF(OR(E4087="",E4087="!!!",F4087="NEW"),"",INDEX(B4086:B$2,-1+SUMPRODUCT(MAX(ROW(E4086:E$2)*(E4087=E4086:E$2)))))</f>
        <v> </v>
      </c>
      <c r="J4087" s="26" t="str">
        <f>IF(OR(E4087="",E4087="!!!",F4087="NEW"),"",COUNTBLANK(OFFSET(A$1,,,SUMPRODUCT(MAX(ROW(E$2:E4087)*(E4087=E$2:E4087)))))-COUNTBLANK(OFFSET(A$1,,,SUMPRODUCT(MAX(ROW(E$1:E4086)*(E2=E$1:E4086))))))</f>
        <v> </v>
      </c>
      <c r="K4087" s="26" t="str">
        <f>IF(OR(E4087="",E4087="!!!",F4087="NEW"),"",INDEX(J$1:J4086,SUMPRODUCT(MAX(ROW(E$1:E4086)*(E4087=E$1:E4086)))))</f>
        <v> </v>
      </c>
      <c r="L4087" s="27"/>
    </row>
    <row r="4088" spans="1:12">
      <c r="A4088" s="20" t="s">
        <v>1056</v>
      </c>
      <c r="E4088" s="22">
        <f>IF(D4088="?OLD","!!!","")</f>
        <v/>
      </c>
      <c r="F4088" s="23" t="str">
        <f>IF(OR(E4088="",E4088="!!!"),"",IF(NOT(ISNA(VLOOKUP(E4088,E$1:E4087,1,FALSE()))),"OLD",IF(AND(E4088&lt;&gt;"",E4088&lt;&gt;"!!!"),"NEW","")))</f>
        <v> </v>
      </c>
      <c r="G4088" s="24" t="str">
        <f>IF(OR(E4088="",E4088="!!!"),"",IF(OR(J4088=0,AND(J4088=1,K4088=1),AND(J4088=1,I4088="SBJ"),AND(J4088=1,I4088=0)),"?IN_FOCUS",IF(J4088&lt;=2,"?ACTIVATED",IF(J4088&lt;&gt;"","?FAMILIAR",IF(F4088="NEW",IF(ISNA(VLOOKUP(E4088,#REF!,1,FALSE())),"?TYPE_IDENTIFIABLE","?REFERENTIAL"),"_")))))</f>
        <v> </v>
      </c>
      <c r="H4088" s="25" t="str">
        <f>IF(J4088&lt;&gt;1,"",IF(I4088="SBJ","CB","?"))</f>
        <v> </v>
      </c>
      <c r="I4088" s="26" t="str">
        <f>IF(OR(E4088="",E4088="!!!",F4088="NEW"),"",INDEX(B4087:B$2,-1+SUMPRODUCT(MAX(ROW(E4087:E$2)*(E4088=E4087:E$2)))))</f>
        <v> </v>
      </c>
      <c r="J4088" s="26" t="str">
        <f>IF(OR(E4088="",E4088="!!!",F4088="NEW"),"",COUNTBLANK(OFFSET(A$1,,,SUMPRODUCT(MAX(ROW(E$2:E4088)*(E4088=E$2:E4088)))))-COUNTBLANK(OFFSET(A$1,,,SUMPRODUCT(MAX(ROW(E$1:E4087)*(E2=E$1:E4087))))))</f>
        <v> </v>
      </c>
      <c r="K4088" s="26" t="str">
        <f>IF(OR(E4088="",E4088="!!!",F4088="NEW"),"",INDEX(J$1:J4087,SUMPRODUCT(MAX(ROW(E$1:E4087)*(E4088=E$1:E4087)))))</f>
        <v> </v>
      </c>
      <c r="L4088" s="27"/>
    </row>
    <row r="4089" spans="1:12">
      <c r="A4089" s="20" t="s">
        <v>2192</v>
      </c>
      <c r="B4089" s="21" t="s">
        <v>1029</v>
      </c>
      <c r="C4089" s="21" t="s">
        <v>1111</v>
      </c>
      <c r="E4089" s="22">
        <f>IF(D4089="?OLD","!!!","")</f>
        <v/>
      </c>
      <c r="F4089" s="23" t="str">
        <f>IF(OR(E4089="",E4089="!!!"),"",IF(NOT(ISNA(VLOOKUP(E4089,E$1:E4088,1,FALSE()))),"OLD",IF(AND(E4089&lt;&gt;"",E4089&lt;&gt;"!!!"),"NEW","")))</f>
        <v> </v>
      </c>
      <c r="G4089" s="24" t="str">
        <f>IF(OR(E4089="",E4089="!!!"),"",IF(OR(J4089=0,AND(J4089=1,K4089=1),AND(J4089=1,I4089="SBJ"),AND(J4089=1,I4089=0)),"?IN_FOCUS",IF(J4089&lt;=2,"?ACTIVATED",IF(J4089&lt;&gt;"","?FAMILIAR",IF(F4089="NEW",IF(ISNA(VLOOKUP(E4089,#REF!,1,FALSE())),"?TYPE_IDENTIFIABLE","?REFERENTIAL"),"_")))))</f>
        <v> </v>
      </c>
      <c r="H4089" s="25" t="str">
        <f>IF(J4089&lt;&gt;1,"",IF(I4089="SBJ","CB","?"))</f>
        <v> </v>
      </c>
      <c r="I4089" s="26" t="str">
        <f>IF(OR(E4089="",E4089="!!!",F4089="NEW"),"",INDEX(B4088:B$2,-1+SUMPRODUCT(MAX(ROW(E4088:E$2)*(E4089=E4088:E$2)))))</f>
        <v> </v>
      </c>
      <c r="J4089" s="26" t="str">
        <f>IF(OR(E4089="",E4089="!!!",F4089="NEW"),"",COUNTBLANK(OFFSET(A$1,,,SUMPRODUCT(MAX(ROW(E$2:E4089)*(E4089=E$2:E4089)))))-COUNTBLANK(OFFSET(A$1,,,SUMPRODUCT(MAX(ROW(E$1:E4088)*(E2=E$1:E4088))))))</f>
        <v> </v>
      </c>
      <c r="K4089" s="26" t="str">
        <f>IF(OR(E4089="",E4089="!!!",F4089="NEW"),"",INDEX(J$1:J4088,SUMPRODUCT(MAX(ROW(E$1:E4088)*(E4089=E$1:E4088)))))</f>
        <v> </v>
      </c>
      <c r="L4089" s="27"/>
    </row>
    <row r="4090" spans="1:12">
      <c r="A4090" s="20" t="s">
        <v>1014</v>
      </c>
      <c r="E4090" s="22">
        <f>IF(D4090="?OLD","!!!","")</f>
        <v/>
      </c>
      <c r="F4090" s="23" t="str">
        <f>IF(OR(E4090="",E4090="!!!"),"",IF(NOT(ISNA(VLOOKUP(E4090,E$1:E4089,1,FALSE()))),"OLD",IF(AND(E4090&lt;&gt;"",E4090&lt;&gt;"!!!"),"NEW","")))</f>
        <v> </v>
      </c>
      <c r="G4090" s="24" t="str">
        <f>IF(OR(E4090="",E4090="!!!"),"",IF(OR(J4090=0,AND(J4090=1,K4090=1),AND(J4090=1,I4090="SBJ"),AND(J4090=1,I4090=0)),"?IN_FOCUS",IF(J4090&lt;=2,"?ACTIVATED",IF(J4090&lt;&gt;"","?FAMILIAR",IF(F4090="NEW",IF(ISNA(VLOOKUP(E4090,#REF!,1,FALSE())),"?TYPE_IDENTIFIABLE","?REFERENTIAL"),"_")))))</f>
        <v> </v>
      </c>
      <c r="H4090" s="25" t="str">
        <f>IF(J4090&lt;&gt;1,"",IF(I4090="SBJ","CB","?"))</f>
        <v> </v>
      </c>
      <c r="I4090" s="26" t="str">
        <f>IF(OR(E4090="",E4090="!!!",F4090="NEW"),"",INDEX(B4089:B$2,-1+SUMPRODUCT(MAX(ROW(E4089:E$2)*(E4090=E4089:E$2)))))</f>
        <v> </v>
      </c>
      <c r="J4090" s="26" t="str">
        <f>IF(OR(E4090="",E4090="!!!",F4090="NEW"),"",COUNTBLANK(OFFSET(A$1,,,SUMPRODUCT(MAX(ROW(E$2:E4090)*(E4090=E$2:E4090)))))-COUNTBLANK(OFFSET(A$1,,,SUMPRODUCT(MAX(ROW(E$1:E4089)*(E2=E$1:E4089))))))</f>
        <v> </v>
      </c>
      <c r="K4090" s="26" t="str">
        <f>IF(OR(E4090="",E4090="!!!",F4090="NEW"),"",INDEX(J$1:J4089,SUMPRODUCT(MAX(ROW(E$1:E4089)*(E4090=E$1:E4089)))))</f>
        <v> </v>
      </c>
      <c r="L4090" s="27"/>
    </row>
    <row r="4091" spans="1:12">
      <c r="A4091" s="20" t="s">
        <v>1065</v>
      </c>
      <c r="E4091" s="22">
        <f>IF(D4091="?OLD","!!!","")</f>
        <v/>
      </c>
      <c r="F4091" s="23" t="str">
        <f>IF(OR(E4091="",E4091="!!!"),"",IF(NOT(ISNA(VLOOKUP(E4091,E$1:E4090,1,FALSE()))),"OLD",IF(AND(E4091&lt;&gt;"",E4091&lt;&gt;"!!!"),"NEW","")))</f>
        <v> </v>
      </c>
      <c r="G4091" s="24" t="str">
        <f>IF(OR(E4091="",E4091="!!!"),"",IF(OR(J4091=0,AND(J4091=1,K4091=1),AND(J4091=1,I4091="SBJ"),AND(J4091=1,I4091=0)),"?IN_FOCUS",IF(J4091&lt;=2,"?ACTIVATED",IF(J4091&lt;&gt;"","?FAMILIAR",IF(F4091="NEW",IF(ISNA(VLOOKUP(E4091,#REF!,1,FALSE())),"?TYPE_IDENTIFIABLE","?REFERENTIAL"),"_")))))</f>
        <v> </v>
      </c>
      <c r="H4091" s="25" t="str">
        <f>IF(J4091&lt;&gt;1,"",IF(I4091="SBJ","CB","?"))</f>
        <v> </v>
      </c>
      <c r="I4091" s="26" t="str">
        <f>IF(OR(E4091="",E4091="!!!",F4091="NEW"),"",INDEX(B4090:B$2,-1+SUMPRODUCT(MAX(ROW(E4090:E$2)*(E4091=E4090:E$2)))))</f>
        <v> </v>
      </c>
      <c r="J4091" s="26" t="str">
        <f>IF(OR(E4091="",E4091="!!!",F4091="NEW"),"",COUNTBLANK(OFFSET(A$1,,,SUMPRODUCT(MAX(ROW(E$2:E4091)*(E4091=E$2:E4091)))))-COUNTBLANK(OFFSET(A$1,,,SUMPRODUCT(MAX(ROW(E$1:E4090)*(E2=E$1:E4090))))))</f>
        <v> </v>
      </c>
      <c r="K4091" s="26" t="str">
        <f>IF(OR(E4091="",E4091="!!!",F4091="NEW"),"",INDEX(J$1:J4090,SUMPRODUCT(MAX(ROW(E$1:E4090)*(E4091=E$1:E4090)))))</f>
        <v> </v>
      </c>
      <c r="L4091" s="27"/>
    </row>
    <row r="4092" spans="1:12">
      <c r="A4092" s="20" t="s">
        <v>2193</v>
      </c>
      <c r="E4092" s="22">
        <f>IF(D4092="?OLD","!!!","")</f>
        <v/>
      </c>
      <c r="F4092" s="23" t="str">
        <f>IF(OR(E4092="",E4092="!!!"),"",IF(NOT(ISNA(VLOOKUP(E4092,E$1:E4091,1,FALSE()))),"OLD",IF(AND(E4092&lt;&gt;"",E4092&lt;&gt;"!!!"),"NEW","")))</f>
        <v> </v>
      </c>
      <c r="G4092" s="24" t="str">
        <f>IF(OR(E4092="",E4092="!!!"),"",IF(OR(J4092=0,AND(J4092=1,K4092=1),AND(J4092=1,I4092="SBJ"),AND(J4092=1,I4092=0)),"?IN_FOCUS",IF(J4092&lt;=2,"?ACTIVATED",IF(J4092&lt;&gt;"","?FAMILIAR",IF(F4092="NEW",IF(ISNA(VLOOKUP(E4092,#REF!,1,FALSE())),"?TYPE_IDENTIFIABLE","?REFERENTIAL"),"_")))))</f>
        <v> </v>
      </c>
      <c r="H4092" s="25" t="str">
        <f>IF(J4092&lt;&gt;1,"",IF(I4092="SBJ","CB","?"))</f>
        <v> </v>
      </c>
      <c r="I4092" s="26" t="str">
        <f>IF(OR(E4092="",E4092="!!!",F4092="NEW"),"",INDEX(B4091:B$2,-1+SUMPRODUCT(MAX(ROW(E4091:E$2)*(E4092=E4091:E$2)))))</f>
        <v> </v>
      </c>
      <c r="J4092" s="26" t="str">
        <f>IF(OR(E4092="",E4092="!!!",F4092="NEW"),"",COUNTBLANK(OFFSET(A$1,,,SUMPRODUCT(MAX(ROW(E$2:E4092)*(E4092=E$2:E4092)))))-COUNTBLANK(OFFSET(A$1,,,SUMPRODUCT(MAX(ROW(E$1:E4091)*(E2=E$1:E4091))))))</f>
        <v> </v>
      </c>
      <c r="K4092" s="26" t="str">
        <f>IF(OR(E4092="",E4092="!!!",F4092="NEW"),"",INDEX(J$1:J4091,SUMPRODUCT(MAX(ROW(E$1:E4091)*(E4092=E$1:E4091)))))</f>
        <v> </v>
      </c>
      <c r="L4092" s="27"/>
    </row>
    <row r="4093" spans="1:12">
      <c r="A4093" s="20" t="s">
        <v>1020</v>
      </c>
      <c r="E4093" s="22">
        <f>IF(D4093="?OLD","!!!","")</f>
        <v/>
      </c>
      <c r="F4093" s="23" t="str">
        <f>IF(OR(E4093="",E4093="!!!"),"",IF(NOT(ISNA(VLOOKUP(E4093,E$1:E4092,1,FALSE()))),"OLD",IF(AND(E4093&lt;&gt;"",E4093&lt;&gt;"!!!"),"NEW","")))</f>
        <v> </v>
      </c>
      <c r="G4093" s="24" t="str">
        <f>IF(OR(E4093="",E4093="!!!"),"",IF(OR(J4093=0,AND(J4093=1,K4093=1),AND(J4093=1,I4093="SBJ"),AND(J4093=1,I4093=0)),"?IN_FOCUS",IF(J4093&lt;=2,"?ACTIVATED",IF(J4093&lt;&gt;"","?FAMILIAR",IF(F4093="NEW",IF(ISNA(VLOOKUP(E4093,#REF!,1,FALSE())),"?TYPE_IDENTIFIABLE","?REFERENTIAL"),"_")))))</f>
        <v> </v>
      </c>
      <c r="H4093" s="25" t="str">
        <f>IF(J4093&lt;&gt;1,"",IF(I4093="SBJ","CB","?"))</f>
        <v> </v>
      </c>
      <c r="I4093" s="26" t="str">
        <f>IF(OR(E4093="",E4093="!!!",F4093="NEW"),"",INDEX(B4092:B$2,-1+SUMPRODUCT(MAX(ROW(E4092:E$2)*(E4093=E4092:E$2)))))</f>
        <v> </v>
      </c>
      <c r="J4093" s="26" t="str">
        <f>IF(OR(E4093="",E4093="!!!",F4093="NEW"),"",COUNTBLANK(OFFSET(A$1,,,SUMPRODUCT(MAX(ROW(E$2:E4093)*(E4093=E$2:E4093)))))-COUNTBLANK(OFFSET(A$1,,,SUMPRODUCT(MAX(ROW(E$1:E4092)*(E2=E$1:E4092))))))</f>
        <v> </v>
      </c>
      <c r="K4093" s="26" t="str">
        <f>IF(OR(E4093="",E4093="!!!",F4093="NEW"),"",INDEX(J$1:J4092,SUMPRODUCT(MAX(ROW(E$1:E4092)*(E4093=E$1:E4092)))))</f>
        <v> </v>
      </c>
      <c r="L4093" s="27"/>
    </row>
    <row r="4094" spans="1:12">
      <c r="A4094" s="20" t="s">
        <v>2194</v>
      </c>
      <c r="B4094" s="21" t="s">
        <v>1064</v>
      </c>
      <c r="C4094" s="21" t="s">
        <v>1017</v>
      </c>
      <c r="D4094" s="21" t="s">
        <v>1007</v>
      </c>
      <c r="E4094" s="22">
        <f>IF(D4094="?OLD","!!!","")</f>
        <v/>
      </c>
      <c r="F4094" s="23" t="str">
        <f>IF(OR(E4094="",E4094="!!!"),"",IF(NOT(ISNA(VLOOKUP(E4094,E$1:E4093,1,FALSE()))),"OLD",IF(AND(E4094&lt;&gt;"",E4094&lt;&gt;"!!!"),"NEW","")))</f>
        <v> </v>
      </c>
      <c r="G4094" s="24" t="str">
        <f>IF(OR(E4094="",E4094="!!!"),"",IF(OR(J4094=0,AND(J4094=1,K4094=1),AND(J4094=1,I4094="SBJ"),AND(J4094=1,I4094=0)),"?IN_FOCUS",IF(J4094&lt;=2,"?ACTIVATED",IF(J4094&lt;&gt;"","?FAMILIAR",IF(F4094="NEW",IF(ISNA(VLOOKUP(E4094,#REF!,1,FALSE())),"?TYPE_IDENTIFIABLE","?REFERENTIAL"),"_")))))</f>
        <v> </v>
      </c>
      <c r="H4094" s="25" t="str">
        <f>IF(J4094&lt;&gt;1,"",IF(I4094="SBJ","CB","?"))</f>
        <v> </v>
      </c>
      <c r="I4094" s="26" t="str">
        <f>IF(OR(E4094="",E4094="!!!",F4094="NEW"),"",INDEX(B4093:B$2,-1+SUMPRODUCT(MAX(ROW(E4093:E$2)*(E4094=E4093:E$2)))))</f>
        <v> </v>
      </c>
      <c r="J4094" s="26" t="str">
        <f>IF(OR(E4094="",E4094="!!!",F4094="NEW"),"",COUNTBLANK(OFFSET(A$1,,,SUMPRODUCT(MAX(ROW(E$2:E4094)*(E4094=E$2:E4094)))))-COUNTBLANK(OFFSET(A$1,,,SUMPRODUCT(MAX(ROW(E$1:E4093)*(E2=E$1:E4093))))))</f>
        <v> </v>
      </c>
      <c r="K4094" s="26" t="str">
        <f>IF(OR(E4094="",E4094="!!!",F4094="NEW"),"",INDEX(J$1:J4093,SUMPRODUCT(MAX(ROW(E$1:E4093)*(E4094=E$1:E4093)))))</f>
        <v> </v>
      </c>
      <c r="L4094" s="27"/>
    </row>
    <row r="4095" spans="1:12">
      <c r="A4095" s="20" t="s">
        <v>110</v>
      </c>
      <c r="E4095" s="22">
        <f>IF(D4095="?OLD","!!!","")</f>
        <v/>
      </c>
      <c r="F4095" s="23" t="str">
        <f>IF(OR(E4095="",E4095="!!!"),"",IF(NOT(ISNA(VLOOKUP(E4095,E$1:E4094,1,FALSE()))),"OLD",IF(AND(E4095&lt;&gt;"",E4095&lt;&gt;"!!!"),"NEW","")))</f>
        <v> </v>
      </c>
      <c r="G4095" s="24" t="str">
        <f>IF(OR(E4095="",E4095="!!!"),"",IF(OR(J4095=0,AND(J4095=1,K4095=1),AND(J4095=1,I4095="SBJ"),AND(J4095=1,I4095=0)),"?IN_FOCUS",IF(J4095&lt;=2,"?ACTIVATED",IF(J4095&lt;&gt;"","?FAMILIAR",IF(F4095="NEW",IF(ISNA(VLOOKUP(E4095,#REF!,1,FALSE())),"?TYPE_IDENTIFIABLE","?REFERENTIAL"),"_")))))</f>
        <v> </v>
      </c>
      <c r="H4095" s="25" t="str">
        <f>IF(J4095&lt;&gt;1,"",IF(I4095="SBJ","CB","?"))</f>
        <v> </v>
      </c>
      <c r="I4095" s="26" t="str">
        <f>IF(OR(E4095="",E4095="!!!",F4095="NEW"),"",INDEX(B4094:B$2,-1+SUMPRODUCT(MAX(ROW(E4094:E$2)*(E4095=E4094:E$2)))))</f>
        <v> </v>
      </c>
      <c r="J4095" s="26" t="str">
        <f>IF(OR(E4095="",E4095="!!!",F4095="NEW"),"",COUNTBLANK(OFFSET(A$1,,,SUMPRODUCT(MAX(ROW(E$2:E4095)*(E4095=E$2:E4095)))))-COUNTBLANK(OFFSET(A$1,,,SUMPRODUCT(MAX(ROW(E$1:E4094)*(E2=E$1:E4094))))))</f>
        <v> </v>
      </c>
      <c r="K4095" s="26" t="str">
        <f>IF(OR(E4095="",E4095="!!!",F4095="NEW"),"",INDEX(J$1:J4094,SUMPRODUCT(MAX(ROW(E$1:E4094)*(E4095=E$1:E4094)))))</f>
        <v> </v>
      </c>
      <c r="L4095" s="27"/>
    </row>
    <row r="4096" spans="1:12">
      <c r="A4096" s="20" t="s">
        <v>1140</v>
      </c>
      <c r="B4096" s="21" t="s">
        <v>1134</v>
      </c>
      <c r="C4096" s="21" t="s">
        <v>1073</v>
      </c>
      <c r="D4096" s="21" t="s">
        <v>1007</v>
      </c>
      <c r="E4096" s="22">
        <f>IF(D4096="?OLD","!!!","")</f>
        <v/>
      </c>
      <c r="F4096" s="23" t="str">
        <f>IF(OR(E4096="",E4096="!!!"),"",IF(NOT(ISNA(VLOOKUP(E4096,E$1:E4095,1,FALSE()))),"OLD",IF(AND(E4096&lt;&gt;"",E4096&lt;&gt;"!!!"),"NEW","")))</f>
        <v> </v>
      </c>
      <c r="G4096" s="24" t="str">
        <f>IF(OR(E4096="",E4096="!!!"),"",IF(OR(J4096=0,AND(J4096=1,K4096=1),AND(J4096=1,I4096="SBJ"),AND(J4096=1,I4096=0)),"?IN_FOCUS",IF(J4096&lt;=2,"?ACTIVATED",IF(J4096&lt;&gt;"","?FAMILIAR",IF(F4096="NEW",IF(ISNA(VLOOKUP(E4096,#REF!,1,FALSE())),"?TYPE_IDENTIFIABLE","?REFERENTIAL"),"_")))))</f>
        <v> </v>
      </c>
      <c r="H4096" s="25" t="str">
        <f>IF(J4096&lt;&gt;1,"",IF(I4096="SBJ","CB","?"))</f>
        <v> </v>
      </c>
      <c r="I4096" s="26" t="str">
        <f>IF(OR(E4096="",E4096="!!!",F4096="NEW"),"",INDEX(B4095:B$2,-1+SUMPRODUCT(MAX(ROW(E4095:E$2)*(E4096=E4095:E$2)))))</f>
        <v> </v>
      </c>
      <c r="J4096" s="26" t="str">
        <f>IF(OR(E4096="",E4096="!!!",F4096="NEW"),"",COUNTBLANK(OFFSET(A$1,,,SUMPRODUCT(MAX(ROW(E$2:E4096)*(E4096=E$2:E4096)))))-COUNTBLANK(OFFSET(A$1,,,SUMPRODUCT(MAX(ROW(E$1:E4095)*(E2=E$1:E4095))))))</f>
        <v> </v>
      </c>
      <c r="K4096" s="26" t="str">
        <f>IF(OR(E4096="",E4096="!!!",F4096="NEW"),"",INDEX(J$1:J4095,SUMPRODUCT(MAX(ROW(E$1:E4095)*(E4096=E$1:E4095)))))</f>
        <v> </v>
      </c>
      <c r="L4096" s="27"/>
    </row>
    <row r="4097" spans="1:12">
      <c r="A4097" s="20" t="s">
        <v>1097</v>
      </c>
      <c r="E4097" s="22">
        <f>IF(D4097="?OLD","!!!","")</f>
        <v/>
      </c>
      <c r="F4097" s="23" t="str">
        <f>IF(OR(E4097="",E4097="!!!"),"",IF(NOT(ISNA(VLOOKUP(E4097,E$1:E4096,1,FALSE()))),"OLD",IF(AND(E4097&lt;&gt;"",E4097&lt;&gt;"!!!"),"NEW","")))</f>
        <v> </v>
      </c>
      <c r="G4097" s="24" t="str">
        <f>IF(OR(E4097="",E4097="!!!"),"",IF(OR(J4097=0,AND(J4097=1,K4097=1),AND(J4097=1,I4097="SBJ"),AND(J4097=1,I4097=0)),"?IN_FOCUS",IF(J4097&lt;=2,"?ACTIVATED",IF(J4097&lt;&gt;"","?FAMILIAR",IF(F4097="NEW",IF(ISNA(VLOOKUP(E4097,#REF!,1,FALSE())),"?TYPE_IDENTIFIABLE","?REFERENTIAL"),"_")))))</f>
        <v> </v>
      </c>
      <c r="H4097" s="25" t="str">
        <f>IF(J4097&lt;&gt;1,"",IF(I4097="SBJ","CB","?"))</f>
        <v> </v>
      </c>
      <c r="I4097" s="26" t="str">
        <f>IF(OR(E4097="",E4097="!!!",F4097="NEW"),"",INDEX(B4096:B$2,-1+SUMPRODUCT(MAX(ROW(E4096:E$2)*(E4097=E4096:E$2)))))</f>
        <v> </v>
      </c>
      <c r="J4097" s="26" t="str">
        <f>IF(OR(E4097="",E4097="!!!",F4097="NEW"),"",COUNTBLANK(OFFSET(A$1,,,SUMPRODUCT(MAX(ROW(E$2:E4097)*(E4097=E$2:E4097)))))-COUNTBLANK(OFFSET(A$1,,,SUMPRODUCT(MAX(ROW(E$1:E4096)*(E2=E$1:E4096))))))</f>
        <v> </v>
      </c>
      <c r="K4097" s="26" t="str">
        <f>IF(OR(E4097="",E4097="!!!",F4097="NEW"),"",INDEX(J$1:J4096,SUMPRODUCT(MAX(ROW(E$1:E4096)*(E4097=E$1:E4096)))))</f>
        <v> </v>
      </c>
      <c r="L4097" s="27"/>
    </row>
    <row r="4098" spans="1:12">
      <c r="A4098" s="20" t="s">
        <v>1020</v>
      </c>
      <c r="E4098" s="22">
        <f>IF(D4098="?OLD","!!!","")</f>
        <v/>
      </c>
      <c r="F4098" s="23" t="str">
        <f>IF(OR(E4098="",E4098="!!!"),"",IF(NOT(ISNA(VLOOKUP(E4098,E$1:E4097,1,FALSE()))),"OLD",IF(AND(E4098&lt;&gt;"",E4098&lt;&gt;"!!!"),"NEW","")))</f>
        <v> </v>
      </c>
      <c r="G4098" s="24" t="str">
        <f>IF(OR(E4098="",E4098="!!!"),"",IF(OR(J4098=0,AND(J4098=1,K4098=1),AND(J4098=1,I4098="SBJ"),AND(J4098=1,I4098=0)),"?IN_FOCUS",IF(J4098&lt;=2,"?ACTIVATED",IF(J4098&lt;&gt;"","?FAMILIAR",IF(F4098="NEW",IF(ISNA(VLOOKUP(E4098,#REF!,1,FALSE())),"?TYPE_IDENTIFIABLE","?REFERENTIAL"),"_")))))</f>
        <v> </v>
      </c>
      <c r="H4098" s="25" t="str">
        <f>IF(J4098&lt;&gt;1,"",IF(I4098="SBJ","CB","?"))</f>
        <v> </v>
      </c>
      <c r="I4098" s="26" t="str">
        <f>IF(OR(E4098="",E4098="!!!",F4098="NEW"),"",INDEX(B4097:B$2,-1+SUMPRODUCT(MAX(ROW(E4097:E$2)*(E4098=E4097:E$2)))))</f>
        <v> </v>
      </c>
      <c r="J4098" s="26" t="str">
        <f>IF(OR(E4098="",E4098="!!!",F4098="NEW"),"",COUNTBLANK(OFFSET(A$1,,,SUMPRODUCT(MAX(ROW(E$2:E4098)*(E4098=E$2:E4098)))))-COUNTBLANK(OFFSET(A$1,,,SUMPRODUCT(MAX(ROW(E$1:E4097)*(E2=E$1:E4097))))))</f>
        <v> </v>
      </c>
      <c r="K4098" s="26" t="str">
        <f>IF(OR(E4098="",E4098="!!!",F4098="NEW"),"",INDEX(J$1:J4097,SUMPRODUCT(MAX(ROW(E$1:E4097)*(E4098=E$1:E4097)))))</f>
        <v> </v>
      </c>
      <c r="L4098" s="27"/>
    </row>
    <row r="4099" spans="1:12">
      <c r="A4099" s="20" t="s">
        <v>2165</v>
      </c>
      <c r="B4099" s="21" t="s">
        <v>1130</v>
      </c>
      <c r="C4099" s="21" t="s">
        <v>1013</v>
      </c>
      <c r="D4099" s="21" t="s">
        <v>1007</v>
      </c>
      <c r="E4099" s="22">
        <f>IF(D4099="?OLD","!!!","")</f>
        <v/>
      </c>
      <c r="F4099" s="23" t="str">
        <f>IF(OR(E4099="",E4099="!!!"),"",IF(NOT(ISNA(VLOOKUP(E4099,E$1:E4098,1,FALSE()))),"OLD",IF(AND(E4099&lt;&gt;"",E4099&lt;&gt;"!!!"),"NEW","")))</f>
        <v> </v>
      </c>
      <c r="G4099" s="24" t="str">
        <f>IF(OR(E4099="",E4099="!!!"),"",IF(OR(J4099=0,AND(J4099=1,K4099=1),AND(J4099=1,I4099="SBJ"),AND(J4099=1,I4099=0)),"?IN_FOCUS",IF(J4099&lt;=2,"?ACTIVATED",IF(J4099&lt;&gt;"","?FAMILIAR",IF(F4099="NEW",IF(ISNA(VLOOKUP(E4099,#REF!,1,FALSE())),"?TYPE_IDENTIFIABLE","?REFERENTIAL"),"_")))))</f>
        <v> </v>
      </c>
      <c r="H4099" s="25" t="str">
        <f>IF(J4099&lt;&gt;1,"",IF(I4099="SBJ","CB","?"))</f>
        <v> </v>
      </c>
      <c r="I4099" s="26" t="str">
        <f>IF(OR(E4099="",E4099="!!!",F4099="NEW"),"",INDEX(B4098:B$2,-1+SUMPRODUCT(MAX(ROW(E4098:E$2)*(E4099=E4098:E$2)))))</f>
        <v> </v>
      </c>
      <c r="J4099" s="26" t="str">
        <f>IF(OR(E4099="",E4099="!!!",F4099="NEW"),"",COUNTBLANK(OFFSET(A$1,,,SUMPRODUCT(MAX(ROW(E$2:E4099)*(E4099=E$2:E4099)))))-COUNTBLANK(OFFSET(A$1,,,SUMPRODUCT(MAX(ROW(E$1:E4098)*(E2=E$1:E4098))))))</f>
        <v> </v>
      </c>
      <c r="K4099" s="26" t="str">
        <f>IF(OR(E4099="",E4099="!!!",F4099="NEW"),"",INDEX(J$1:J4098,SUMPRODUCT(MAX(ROW(E$1:E4098)*(E4099=E$1:E4098)))))</f>
        <v> </v>
      </c>
      <c r="L4099" s="27"/>
    </row>
    <row r="4100" spans="1:12">
      <c r="A4100" s="20" t="s">
        <v>1014</v>
      </c>
      <c r="E4100" s="22">
        <f>IF(D4100="?OLD","!!!","")</f>
        <v/>
      </c>
      <c r="F4100" s="23" t="str">
        <f>IF(OR(E4100="",E4100="!!!"),"",IF(NOT(ISNA(VLOOKUP(E4100,E$1:E4099,1,FALSE()))),"OLD",IF(AND(E4100&lt;&gt;"",E4100&lt;&gt;"!!!"),"NEW","")))</f>
        <v> </v>
      </c>
      <c r="G4100" s="24" t="str">
        <f>IF(OR(E4100="",E4100="!!!"),"",IF(OR(J4100=0,AND(J4100=1,K4100=1),AND(J4100=1,I4100="SBJ"),AND(J4100=1,I4100=0)),"?IN_FOCUS",IF(J4100&lt;=2,"?ACTIVATED",IF(J4100&lt;&gt;"","?FAMILIAR",IF(F4100="NEW",IF(ISNA(VLOOKUP(E4100,#REF!,1,FALSE())),"?TYPE_IDENTIFIABLE","?REFERENTIAL"),"_")))))</f>
        <v> </v>
      </c>
      <c r="H4100" s="25" t="str">
        <f>IF(J4100&lt;&gt;1,"",IF(I4100="SBJ","CB","?"))</f>
        <v> </v>
      </c>
      <c r="I4100" s="26" t="str">
        <f>IF(OR(E4100="",E4100="!!!",F4100="NEW"),"",INDEX(B4099:B$2,-1+SUMPRODUCT(MAX(ROW(E4099:E$2)*(E4100=E4099:E$2)))))</f>
        <v> </v>
      </c>
      <c r="J4100" s="26" t="str">
        <f>IF(OR(E4100="",E4100="!!!",F4100="NEW"),"",COUNTBLANK(OFFSET(A$1,,,SUMPRODUCT(MAX(ROW(E$2:E4100)*(E4100=E$2:E4100)))))-COUNTBLANK(OFFSET(A$1,,,SUMPRODUCT(MAX(ROW(E$1:E4099)*(E2=E$1:E4099))))))</f>
        <v> </v>
      </c>
      <c r="K4100" s="26" t="str">
        <f>IF(OR(E4100="",E4100="!!!",F4100="NEW"),"",INDEX(J$1:J4099,SUMPRODUCT(MAX(ROW(E$1:E4099)*(E4100=E$1:E4099)))))</f>
        <v> </v>
      </c>
      <c r="L4100" s="27"/>
    </row>
    <row r="4101" spans="1:12">
      <c r="A4101" s="20" t="s">
        <v>1020</v>
      </c>
      <c r="E4101" s="22">
        <f>IF(D4101="?OLD","!!!","")</f>
        <v/>
      </c>
      <c r="F4101" s="23" t="str">
        <f>IF(OR(E4101="",E4101="!!!"),"",IF(NOT(ISNA(VLOOKUP(E4101,E$1:E4100,1,FALSE()))),"OLD",IF(AND(E4101&lt;&gt;"",E4101&lt;&gt;"!!!"),"NEW","")))</f>
        <v> </v>
      </c>
      <c r="G4101" s="24" t="str">
        <f>IF(OR(E4101="",E4101="!!!"),"",IF(OR(J4101=0,AND(J4101=1,K4101=1),AND(J4101=1,I4101="SBJ"),AND(J4101=1,I4101=0)),"?IN_FOCUS",IF(J4101&lt;=2,"?ACTIVATED",IF(J4101&lt;&gt;"","?FAMILIAR",IF(F4101="NEW",IF(ISNA(VLOOKUP(E4101,#REF!,1,FALSE())),"?TYPE_IDENTIFIABLE","?REFERENTIAL"),"_")))))</f>
        <v> </v>
      </c>
      <c r="H4101" s="25" t="str">
        <f>IF(J4101&lt;&gt;1,"",IF(I4101="SBJ","CB","?"))</f>
        <v> </v>
      </c>
      <c r="I4101" s="26" t="str">
        <f>IF(OR(E4101="",E4101="!!!",F4101="NEW"),"",INDEX(B4100:B$2,-1+SUMPRODUCT(MAX(ROW(E4100:E$2)*(E4101=E4100:E$2)))))</f>
        <v> </v>
      </c>
      <c r="J4101" s="26" t="str">
        <f>IF(OR(E4101="",E4101="!!!",F4101="NEW"),"",COUNTBLANK(OFFSET(A$1,,,SUMPRODUCT(MAX(ROW(E$2:E4101)*(E4101=E$2:E4101)))))-COUNTBLANK(OFFSET(A$1,,,SUMPRODUCT(MAX(ROW(E$1:E4100)*(E2=E$1:E4100))))))</f>
        <v> </v>
      </c>
      <c r="K4101" s="26" t="str">
        <f>IF(OR(E4101="",E4101="!!!",F4101="NEW"),"",INDEX(J$1:J4100,SUMPRODUCT(MAX(ROW(E$1:E4100)*(E4101=E$1:E4100)))))</f>
        <v> </v>
      </c>
      <c r="L4101" s="27"/>
    </row>
    <row r="4102" spans="1:12">
      <c r="A4102" s="20" t="s">
        <v>1638</v>
      </c>
      <c r="B4102" s="21" t="s">
        <v>1040</v>
      </c>
      <c r="C4102" s="21" t="s">
        <v>1006</v>
      </c>
      <c r="D4102" s="21" t="s">
        <v>1007</v>
      </c>
      <c r="E4102" s="22">
        <f>IF(D4102="?OLD","!!!","")</f>
        <v/>
      </c>
      <c r="F4102" s="23" t="str">
        <f>IF(OR(E4102="",E4102="!!!"),"",IF(NOT(ISNA(VLOOKUP(E4102,E$1:E4101,1,FALSE()))),"OLD",IF(AND(E4102&lt;&gt;"",E4102&lt;&gt;"!!!"),"NEW","")))</f>
        <v> </v>
      </c>
      <c r="G4102" s="24" t="str">
        <f>IF(OR(E4102="",E4102="!!!"),"",IF(OR(J4102=0,AND(J4102=1,K4102=1),AND(J4102=1,I4102="SBJ"),AND(J4102=1,I4102=0)),"?IN_FOCUS",IF(J4102&lt;=2,"?ACTIVATED",IF(J4102&lt;&gt;"","?FAMILIAR",IF(F4102="NEW",IF(ISNA(VLOOKUP(E4102,#REF!,1,FALSE())),"?TYPE_IDENTIFIABLE","?REFERENTIAL"),"_")))))</f>
        <v> </v>
      </c>
      <c r="H4102" s="25" t="str">
        <f>IF(J4102&lt;&gt;1,"",IF(I4102="SBJ","CB","?"))</f>
        <v> </v>
      </c>
      <c r="I4102" s="26" t="str">
        <f>IF(OR(E4102="",E4102="!!!",F4102="NEW"),"",INDEX(B4101:B$2,-1+SUMPRODUCT(MAX(ROW(E4101:E$2)*(E4102=E4101:E$2)))))</f>
        <v> </v>
      </c>
      <c r="J4102" s="26" t="str">
        <f>IF(OR(E4102="",E4102="!!!",F4102="NEW"),"",COUNTBLANK(OFFSET(A$1,,,SUMPRODUCT(MAX(ROW(E$2:E4102)*(E4102=E$2:E4102)))))-COUNTBLANK(OFFSET(A$1,,,SUMPRODUCT(MAX(ROW(E$1:E4101)*(E2=E$1:E4101))))))</f>
        <v> </v>
      </c>
      <c r="K4102" s="26" t="str">
        <f>IF(OR(E4102="",E4102="!!!",F4102="NEW"),"",INDEX(J$1:J4101,SUMPRODUCT(MAX(ROW(E$1:E4101)*(E4102=E$1:E4101)))))</f>
        <v> </v>
      </c>
      <c r="L4102" s="27"/>
    </row>
    <row r="4103" spans="1:12">
      <c r="A4103" s="20" t="s">
        <v>2195</v>
      </c>
      <c r="E4103" s="22">
        <f>IF(D4103="?OLD","!!!","")</f>
        <v/>
      </c>
      <c r="F4103" s="23" t="str">
        <f>IF(OR(E4103="",E4103="!!!"),"",IF(NOT(ISNA(VLOOKUP(E4103,E$1:E4102,1,FALSE()))),"OLD",IF(AND(E4103&lt;&gt;"",E4103&lt;&gt;"!!!"),"NEW","")))</f>
        <v> </v>
      </c>
      <c r="G4103" s="24" t="str">
        <f>IF(OR(E4103="",E4103="!!!"),"",IF(OR(J4103=0,AND(J4103=1,K4103=1),AND(J4103=1,I4103="SBJ"),AND(J4103=1,I4103=0)),"?IN_FOCUS",IF(J4103&lt;=2,"?ACTIVATED",IF(J4103&lt;&gt;"","?FAMILIAR",IF(F4103="NEW",IF(ISNA(VLOOKUP(E4103,#REF!,1,FALSE())),"?TYPE_IDENTIFIABLE","?REFERENTIAL"),"_")))))</f>
        <v> </v>
      </c>
      <c r="H4103" s="25" t="str">
        <f>IF(J4103&lt;&gt;1,"",IF(I4103="SBJ","CB","?"))</f>
        <v> </v>
      </c>
      <c r="I4103" s="26" t="str">
        <f>IF(OR(E4103="",E4103="!!!",F4103="NEW"),"",INDEX(B4102:B$2,-1+SUMPRODUCT(MAX(ROW(E4102:E$2)*(E4103=E4102:E$2)))))</f>
        <v> </v>
      </c>
      <c r="J4103" s="26" t="str">
        <f>IF(OR(E4103="",E4103="!!!",F4103="NEW"),"",COUNTBLANK(OFFSET(A$1,,,SUMPRODUCT(MAX(ROW(E$2:E4103)*(E4103=E$2:E4103)))))-COUNTBLANK(OFFSET(A$1,,,SUMPRODUCT(MAX(ROW(E$1:E4102)*(E2=E$1:E4102))))))</f>
        <v> </v>
      </c>
      <c r="K4103" s="26" t="str">
        <f>IF(OR(E4103="",E4103="!!!",F4103="NEW"),"",INDEX(J$1:J4102,SUMPRODUCT(MAX(ROW(E$1:E4102)*(E4103=E$1:E4102)))))</f>
        <v> </v>
      </c>
      <c r="L4103" s="27"/>
    </row>
    <row r="4104" spans="1:12">
      <c r="A4104" s="20" t="s">
        <v>102</v>
      </c>
      <c r="E4104" s="22">
        <f>IF(D4104="?OLD","!!!","")</f>
        <v/>
      </c>
      <c r="F4104" s="23" t="str">
        <f>IF(OR(E4104="",E4104="!!!"),"",IF(NOT(ISNA(VLOOKUP(E4104,E$1:E4103,1,FALSE()))),"OLD",IF(AND(E4104&lt;&gt;"",E4104&lt;&gt;"!!!"),"NEW","")))</f>
        <v> </v>
      </c>
      <c r="G4104" s="24" t="str">
        <f>IF(OR(E4104="",E4104="!!!"),"",IF(OR(J4104=0,AND(J4104=1,K4104=1),AND(J4104=1,I4104="SBJ"),AND(J4104=1,I4104=0)),"?IN_FOCUS",IF(J4104&lt;=2,"?ACTIVATED",IF(J4104&lt;&gt;"","?FAMILIAR",IF(F4104="NEW",IF(ISNA(VLOOKUP(E4104,#REF!,1,FALSE())),"?TYPE_IDENTIFIABLE","?REFERENTIAL"),"_")))))</f>
        <v> </v>
      </c>
      <c r="H4104" s="25" t="str">
        <f>IF(J4104&lt;&gt;1,"",IF(I4104="SBJ","CB","?"))</f>
        <v> </v>
      </c>
      <c r="I4104" s="26" t="str">
        <f>IF(OR(E4104="",E4104="!!!",F4104="NEW"),"",INDEX(B4103:B$2,-1+SUMPRODUCT(MAX(ROW(E4103:E$2)*(E4104=E4103:E$2)))))</f>
        <v> </v>
      </c>
      <c r="J4104" s="26" t="str">
        <f>IF(OR(E4104="",E4104="!!!",F4104="NEW"),"",COUNTBLANK(OFFSET(A$1,,,SUMPRODUCT(MAX(ROW(E$2:E4104)*(E4104=E$2:E4104)))))-COUNTBLANK(OFFSET(A$1,,,SUMPRODUCT(MAX(ROW(E$1:E4103)*(E2=E$1:E4103))))))</f>
        <v> </v>
      </c>
      <c r="K4104" s="26" t="str">
        <f>IF(OR(E4104="",E4104="!!!",F4104="NEW"),"",INDEX(J$1:J4103,SUMPRODUCT(MAX(ROW(E$1:E4103)*(E4104=E$1:E4103)))))</f>
        <v> </v>
      </c>
      <c r="L4104" s="27"/>
    </row>
    <row r="4105" spans="1:12">
      <c r="A4105" s="20" t="s">
        <v>2196</v>
      </c>
      <c r="B4105" s="21" t="s">
        <v>1040</v>
      </c>
      <c r="C4105" s="21" t="s">
        <v>1017</v>
      </c>
      <c r="D4105" s="21" t="s">
        <v>1007</v>
      </c>
      <c r="E4105" s="22">
        <f>IF(D4105="?OLD","!!!","")</f>
        <v/>
      </c>
      <c r="F4105" s="23" t="str">
        <f>IF(OR(E4105="",E4105="!!!"),"",IF(NOT(ISNA(VLOOKUP(E4105,E$1:E4104,1,FALSE()))),"OLD",IF(AND(E4105&lt;&gt;"",E4105&lt;&gt;"!!!"),"NEW","")))</f>
        <v> </v>
      </c>
      <c r="G4105" s="24" t="str">
        <f>IF(OR(E4105="",E4105="!!!"),"",IF(OR(J4105=0,AND(J4105=1,K4105=1),AND(J4105=1,I4105="SBJ"),AND(J4105=1,I4105=0)),"?IN_FOCUS",IF(J4105&lt;=2,"?ACTIVATED",IF(J4105&lt;&gt;"","?FAMILIAR",IF(F4105="NEW",IF(ISNA(VLOOKUP(E4105,#REF!,1,FALSE())),"?TYPE_IDENTIFIABLE","?REFERENTIAL"),"_")))))</f>
        <v> </v>
      </c>
      <c r="H4105" s="25" t="str">
        <f>IF(J4105&lt;&gt;1,"",IF(I4105="SBJ","CB","?"))</f>
        <v> </v>
      </c>
      <c r="I4105" s="26" t="str">
        <f>IF(OR(E4105="",E4105="!!!",F4105="NEW"),"",INDEX(B4104:B$2,-1+SUMPRODUCT(MAX(ROW(E4104:E$2)*(E4105=E4104:E$2)))))</f>
        <v> </v>
      </c>
      <c r="J4105" s="26" t="str">
        <f>IF(OR(E4105="",E4105="!!!",F4105="NEW"),"",COUNTBLANK(OFFSET(A$1,,,SUMPRODUCT(MAX(ROW(E$2:E4105)*(E4105=E$2:E4105)))))-COUNTBLANK(OFFSET(A$1,,,SUMPRODUCT(MAX(ROW(E$1:E4104)*(E2=E$1:E4104))))))</f>
        <v> </v>
      </c>
      <c r="K4105" s="26" t="str">
        <f>IF(OR(E4105="",E4105="!!!",F4105="NEW"),"",INDEX(J$1:J4104,SUMPRODUCT(MAX(ROW(E$1:E4104)*(E4105=E$1:E4104)))))</f>
        <v> </v>
      </c>
      <c r="L4105" s="27"/>
    </row>
    <row r="4106" spans="1:12">
      <c r="A4106" s="20" t="s">
        <v>1023</v>
      </c>
      <c r="E4106" s="22">
        <f>IF(D4106="?OLD","!!!","")</f>
        <v/>
      </c>
      <c r="F4106" s="23" t="str">
        <f>IF(OR(E4106="",E4106="!!!"),"",IF(NOT(ISNA(VLOOKUP(E4106,E$1:E4105,1,FALSE()))),"OLD",IF(AND(E4106&lt;&gt;"",E4106&lt;&gt;"!!!"),"NEW","")))</f>
        <v> </v>
      </c>
      <c r="G4106" s="24" t="str">
        <f>IF(OR(E4106="",E4106="!!!"),"",IF(OR(J4106=0,AND(J4106=1,K4106=1),AND(J4106=1,I4106="SBJ"),AND(J4106=1,I4106=0)),"?IN_FOCUS",IF(J4106&lt;=2,"?ACTIVATED",IF(J4106&lt;&gt;"","?FAMILIAR",IF(F4106="NEW",IF(ISNA(VLOOKUP(E4106,#REF!,1,FALSE())),"?TYPE_IDENTIFIABLE","?REFERENTIAL"),"_")))))</f>
        <v> </v>
      </c>
      <c r="H4106" s="25" t="str">
        <f>IF(J4106&lt;&gt;1,"",IF(I4106="SBJ","CB","?"))</f>
        <v> </v>
      </c>
      <c r="I4106" s="26" t="str">
        <f>IF(OR(E4106="",E4106="!!!",F4106="NEW"),"",INDEX(B4105:B$2,-1+SUMPRODUCT(MAX(ROW(E4105:E$2)*(E4106=E4105:E$2)))))</f>
        <v> </v>
      </c>
      <c r="J4106" s="26" t="str">
        <f>IF(OR(E4106="",E4106="!!!",F4106="NEW"),"",COUNTBLANK(OFFSET(A$1,,,SUMPRODUCT(MAX(ROW(E$2:E4106)*(E4106=E$2:E4106)))))-COUNTBLANK(OFFSET(A$1,,,SUMPRODUCT(MAX(ROW(E$1:E4105)*(E2=E$1:E4105))))))</f>
        <v> </v>
      </c>
      <c r="K4106" s="26" t="str">
        <f>IF(OR(E4106="",E4106="!!!",F4106="NEW"),"",INDEX(J$1:J4105,SUMPRODUCT(MAX(ROW(E$1:E4105)*(E4106=E$1:E4105)))))</f>
        <v> </v>
      </c>
      <c r="L4106" s="27"/>
    </row>
    <row r="4107" spans="1:12">
      <c r="A4107" s="20"/>
    </row>
    <row r="4108" spans="1:12">
      <c r="A4108" s="20" t="s">
        <v>2197</v>
      </c>
    </row>
    <row r="4109" spans="1:12">
      <c r="A4109" s="20" t="s">
        <v>2198</v>
      </c>
      <c r="E4109" s="22">
        <f>IF(D4109="?OLD","!!!","")</f>
        <v/>
      </c>
      <c r="F4109" s="23" t="str">
        <f>IF(OR(E4109="",E4109="!!!"),"",IF(NOT(ISNA(VLOOKUP(E4109,E$1:E4108,1,FALSE()))),"OLD",IF(AND(E4109&lt;&gt;"",E4109&lt;&gt;"!!!"),"NEW","")))</f>
        <v> </v>
      </c>
      <c r="G4109" s="24" t="str">
        <f>IF(OR(E4109="",E4109="!!!"),"",IF(OR(J4109=0,AND(J4109=1,K4109=1),AND(J4109=1,I4109="SBJ"),AND(J4109=1,I4109=0)),"?IN_FOCUS",IF(J4109&lt;=2,"?ACTIVATED",IF(J4109&lt;&gt;"","?FAMILIAR",IF(F4109="NEW",IF(ISNA(VLOOKUP(E4109,#REF!,1,FALSE())),"?TYPE_IDENTIFIABLE","?REFERENTIAL"),"_")))))</f>
        <v> </v>
      </c>
      <c r="H4109" s="25" t="str">
        <f>IF(J4109&lt;&gt;1,"",IF(I4109="SBJ","CB","?"))</f>
        <v> </v>
      </c>
      <c r="I4109" s="26" t="str">
        <f>IF(OR(E4109="",E4109="!!!",F4109="NEW"),"",INDEX(B4108:B$2,-1+SUMPRODUCT(MAX(ROW(E4108:E$2)*(E4109=E4108:E$2)))))</f>
        <v> </v>
      </c>
      <c r="J4109" s="26" t="str">
        <f>IF(OR(E4109="",E4109="!!!",F4109="NEW"),"",COUNTBLANK(OFFSET(A$1,,,SUMPRODUCT(MAX(ROW(E$2:E4109)*(E4109=E$2:E4109)))))-COUNTBLANK(OFFSET(A$1,,,SUMPRODUCT(MAX(ROW(E$1:E4108)*(E2=E$1:E4108))))))</f>
        <v> </v>
      </c>
      <c r="K4109" s="26" t="str">
        <f>IF(OR(E4109="",E4109="!!!",F4109="NEW"),"",INDEX(J$1:J4108,SUMPRODUCT(MAX(ROW(E$1:E4108)*(E4109=E$1:E4108)))))</f>
        <v> </v>
      </c>
      <c r="L4109" s="27"/>
    </row>
    <row r="4110" spans="1:12">
      <c r="A4110" s="20" t="s">
        <v>2199</v>
      </c>
      <c r="B4110" s="21" t="s">
        <v>1005</v>
      </c>
      <c r="C4110" s="21" t="s">
        <v>1048</v>
      </c>
      <c r="E4110" s="22">
        <f>IF(D4110="?OLD","!!!","")</f>
        <v/>
      </c>
      <c r="F4110" s="23" t="str">
        <f>IF(OR(E4110="",E4110="!!!"),"",IF(NOT(ISNA(VLOOKUP(E4110,E$1:E4109,1,FALSE()))),"OLD",IF(AND(E4110&lt;&gt;"",E4110&lt;&gt;"!!!"),"NEW","")))</f>
        <v> </v>
      </c>
      <c r="G4110" s="24" t="str">
        <f>IF(OR(E4110="",E4110="!!!"),"",IF(OR(J4110=0,AND(J4110=1,K4110=1),AND(J4110=1,I4110="SBJ"),AND(J4110=1,I4110=0)),"?IN_FOCUS",IF(J4110&lt;=2,"?ACTIVATED",IF(J4110&lt;&gt;"","?FAMILIAR",IF(F4110="NEW",IF(ISNA(VLOOKUP(E4110,#REF!,1,FALSE())),"?TYPE_IDENTIFIABLE","?REFERENTIAL"),"_")))))</f>
        <v> </v>
      </c>
      <c r="H4110" s="25" t="str">
        <f>IF(J4110&lt;&gt;1,"",IF(I4110="SBJ","CB","?"))</f>
        <v> </v>
      </c>
      <c r="I4110" s="26" t="str">
        <f>IF(OR(E4110="",E4110="!!!",F4110="NEW"),"",INDEX(B4109:B$2,-1+SUMPRODUCT(MAX(ROW(E4109:E$2)*(E4110=E4109:E$2)))))</f>
        <v> </v>
      </c>
      <c r="J4110" s="26" t="str">
        <f>IF(OR(E4110="",E4110="!!!",F4110="NEW"),"",COUNTBLANK(OFFSET(A$1,,,SUMPRODUCT(MAX(ROW(E$2:E4110)*(E4110=E$2:E4110)))))-COUNTBLANK(OFFSET(A$1,,,SUMPRODUCT(MAX(ROW(E$1:E4109)*(E2=E$1:E4109))))))</f>
        <v> </v>
      </c>
      <c r="K4110" s="26" t="str">
        <f>IF(OR(E4110="",E4110="!!!",F4110="NEW"),"",INDEX(J$1:J4109,SUMPRODUCT(MAX(ROW(E$1:E4109)*(E4110=E$1:E4109)))))</f>
        <v> </v>
      </c>
      <c r="L4110" s="27"/>
    </row>
    <row r="4111" spans="1:12">
      <c r="A4111" s="20" t="s">
        <v>1065</v>
      </c>
      <c r="E4111" s="22">
        <f>IF(D4111="?OLD","!!!","")</f>
        <v/>
      </c>
      <c r="F4111" s="23" t="str">
        <f>IF(OR(E4111="",E4111="!!!"),"",IF(NOT(ISNA(VLOOKUP(E4111,E$1:E4110,1,FALSE()))),"OLD",IF(AND(E4111&lt;&gt;"",E4111&lt;&gt;"!!!"),"NEW","")))</f>
        <v> </v>
      </c>
      <c r="G4111" s="24" t="str">
        <f>IF(OR(E4111="",E4111="!!!"),"",IF(OR(J4111=0,AND(J4111=1,K4111=1),AND(J4111=1,I4111="SBJ"),AND(J4111=1,I4111=0)),"?IN_FOCUS",IF(J4111&lt;=2,"?ACTIVATED",IF(J4111&lt;&gt;"","?FAMILIAR",IF(F4111="NEW",IF(ISNA(VLOOKUP(E4111,#REF!,1,FALSE())),"?TYPE_IDENTIFIABLE","?REFERENTIAL"),"_")))))</f>
        <v> </v>
      </c>
      <c r="H4111" s="25" t="str">
        <f>IF(J4111&lt;&gt;1,"",IF(I4111="SBJ","CB","?"))</f>
        <v> </v>
      </c>
      <c r="I4111" s="26" t="str">
        <f>IF(OR(E4111="",E4111="!!!",F4111="NEW"),"",INDEX(B4110:B$2,-1+SUMPRODUCT(MAX(ROW(E4110:E$2)*(E4111=E4110:E$2)))))</f>
        <v> </v>
      </c>
      <c r="J4111" s="26" t="str">
        <f>IF(OR(E4111="",E4111="!!!",F4111="NEW"),"",COUNTBLANK(OFFSET(A$1,,,SUMPRODUCT(MAX(ROW(E$2:E4111)*(E4111=E$2:E4111)))))-COUNTBLANK(OFFSET(A$1,,,SUMPRODUCT(MAX(ROW(E$1:E4110)*(E2=E$1:E4110))))))</f>
        <v> </v>
      </c>
      <c r="K4111" s="26" t="str">
        <f>IF(OR(E4111="",E4111="!!!",F4111="NEW"),"",INDEX(J$1:J4110,SUMPRODUCT(MAX(ROW(E$1:E4110)*(E4111=E$1:E4110)))))</f>
        <v> </v>
      </c>
      <c r="L4111" s="27"/>
    </row>
    <row r="4112" spans="1:12">
      <c r="A4112" s="20" t="s">
        <v>1140</v>
      </c>
      <c r="B4112" s="21" t="s">
        <v>1050</v>
      </c>
      <c r="C4112" s="21" t="s">
        <v>1073</v>
      </c>
      <c r="D4112" s="21" t="s">
        <v>1007</v>
      </c>
      <c r="E4112" s="22">
        <f>IF(D4112="?OLD","!!!","")</f>
        <v/>
      </c>
      <c r="F4112" s="23" t="str">
        <f>IF(OR(E4112="",E4112="!!!"),"",IF(NOT(ISNA(VLOOKUP(E4112,E$1:E4111,1,FALSE()))),"OLD",IF(AND(E4112&lt;&gt;"",E4112&lt;&gt;"!!!"),"NEW","")))</f>
        <v> </v>
      </c>
      <c r="G4112" s="24" t="str">
        <f>IF(OR(E4112="",E4112="!!!"),"",IF(OR(J4112=0,AND(J4112=1,K4112=1),AND(J4112=1,I4112="SBJ"),AND(J4112=1,I4112=0)),"?IN_FOCUS",IF(J4112&lt;=2,"?ACTIVATED",IF(J4112&lt;&gt;"","?FAMILIAR",IF(F4112="NEW",IF(ISNA(VLOOKUP(E4112,#REF!,1,FALSE())),"?TYPE_IDENTIFIABLE","?REFERENTIAL"),"_")))))</f>
        <v> </v>
      </c>
      <c r="H4112" s="25" t="str">
        <f>IF(J4112&lt;&gt;1,"",IF(I4112="SBJ","CB","?"))</f>
        <v> </v>
      </c>
      <c r="I4112" s="26" t="str">
        <f>IF(OR(E4112="",E4112="!!!",F4112="NEW"),"",INDEX(B4111:B$2,-1+SUMPRODUCT(MAX(ROW(E4111:E$2)*(E4112=E4111:E$2)))))</f>
        <v> </v>
      </c>
      <c r="J4112" s="26" t="str">
        <f>IF(OR(E4112="",E4112="!!!",F4112="NEW"),"",COUNTBLANK(OFFSET(A$1,,,SUMPRODUCT(MAX(ROW(E$2:E4112)*(E4112=E$2:E4112)))))-COUNTBLANK(OFFSET(A$1,,,SUMPRODUCT(MAX(ROW(E$1:E4111)*(E2=E$1:E4111))))))</f>
        <v> </v>
      </c>
      <c r="K4112" s="26" t="str">
        <f>IF(OR(E4112="",E4112="!!!",F4112="NEW"),"",INDEX(J$1:J4111,SUMPRODUCT(MAX(ROW(E$1:E4111)*(E4112=E$1:E4111)))))</f>
        <v> </v>
      </c>
      <c r="L4112" s="27"/>
    </row>
    <row r="4113" spans="1:12">
      <c r="A4113" s="20" t="s">
        <v>1075</v>
      </c>
      <c r="E4113" s="22">
        <f>IF(D4113="?OLD","!!!","")</f>
        <v/>
      </c>
      <c r="F4113" s="23" t="str">
        <f>IF(OR(E4113="",E4113="!!!"),"",IF(NOT(ISNA(VLOOKUP(E4113,E$1:E4112,1,FALSE()))),"OLD",IF(AND(E4113&lt;&gt;"",E4113&lt;&gt;"!!!"),"NEW","")))</f>
        <v> </v>
      </c>
      <c r="G4113" s="24" t="str">
        <f>IF(OR(E4113="",E4113="!!!"),"",IF(OR(J4113=0,AND(J4113=1,K4113=1),AND(J4113=1,I4113="SBJ"),AND(J4113=1,I4113=0)),"?IN_FOCUS",IF(J4113&lt;=2,"?ACTIVATED",IF(J4113&lt;&gt;"","?FAMILIAR",IF(F4113="NEW",IF(ISNA(VLOOKUP(E4113,#REF!,1,FALSE())),"?TYPE_IDENTIFIABLE","?REFERENTIAL"),"_")))))</f>
        <v> </v>
      </c>
      <c r="H4113" s="25" t="str">
        <f>IF(J4113&lt;&gt;1,"",IF(I4113="SBJ","CB","?"))</f>
        <v> </v>
      </c>
      <c r="I4113" s="26" t="str">
        <f>IF(OR(E4113="",E4113="!!!",F4113="NEW"),"",INDEX(B4112:B$2,-1+SUMPRODUCT(MAX(ROW(E4112:E$2)*(E4113=E4112:E$2)))))</f>
        <v> </v>
      </c>
      <c r="J4113" s="26" t="str">
        <f>IF(OR(E4113="",E4113="!!!",F4113="NEW"),"",COUNTBLANK(OFFSET(A$1,,,SUMPRODUCT(MAX(ROW(E$2:E4113)*(E4113=E$2:E4113)))))-COUNTBLANK(OFFSET(A$1,,,SUMPRODUCT(MAX(ROW(E$1:E4112)*(E2=E$1:E4112))))))</f>
        <v> </v>
      </c>
      <c r="K4113" s="26" t="str">
        <f>IF(OR(E4113="",E4113="!!!",F4113="NEW"),"",INDEX(J$1:J4112,SUMPRODUCT(MAX(ROW(E$1:E4112)*(E4113=E$1:E4112)))))</f>
        <v> </v>
      </c>
      <c r="L4113" s="27"/>
    </row>
    <row r="4114" spans="1:12">
      <c r="A4114" s="20" t="s">
        <v>1056</v>
      </c>
      <c r="E4114" s="22">
        <f>IF(D4114="?OLD","!!!","")</f>
        <v/>
      </c>
      <c r="F4114" s="23" t="str">
        <f>IF(OR(E4114="",E4114="!!!"),"",IF(NOT(ISNA(VLOOKUP(E4114,E$1:E4113,1,FALSE()))),"OLD",IF(AND(E4114&lt;&gt;"",E4114&lt;&gt;"!!!"),"NEW","")))</f>
        <v> </v>
      </c>
      <c r="G4114" s="24" t="str">
        <f>IF(OR(E4114="",E4114="!!!"),"",IF(OR(J4114=0,AND(J4114=1,K4114=1),AND(J4114=1,I4114="SBJ"),AND(J4114=1,I4114=0)),"?IN_FOCUS",IF(J4114&lt;=2,"?ACTIVATED",IF(J4114&lt;&gt;"","?FAMILIAR",IF(F4114="NEW",IF(ISNA(VLOOKUP(E4114,#REF!,1,FALSE())),"?TYPE_IDENTIFIABLE","?REFERENTIAL"),"_")))))</f>
        <v> </v>
      </c>
      <c r="H4114" s="25" t="str">
        <f>IF(J4114&lt;&gt;1,"",IF(I4114="SBJ","CB","?"))</f>
        <v> </v>
      </c>
      <c r="I4114" s="26" t="str">
        <f>IF(OR(E4114="",E4114="!!!",F4114="NEW"),"",INDEX(B4113:B$2,-1+SUMPRODUCT(MAX(ROW(E4113:E$2)*(E4114=E4113:E$2)))))</f>
        <v> </v>
      </c>
      <c r="J4114" s="26" t="str">
        <f>IF(OR(E4114="",E4114="!!!",F4114="NEW"),"",COUNTBLANK(OFFSET(A$1,,,SUMPRODUCT(MAX(ROW(E$2:E4114)*(E4114=E$2:E4114)))))-COUNTBLANK(OFFSET(A$1,,,SUMPRODUCT(MAX(ROW(E$1:E4113)*(E2=E$1:E4113))))))</f>
        <v> </v>
      </c>
      <c r="K4114" s="26" t="str">
        <f>IF(OR(E4114="",E4114="!!!",F4114="NEW"),"",INDEX(J$1:J4113,SUMPRODUCT(MAX(ROW(E$1:E4113)*(E4114=E$1:E4113)))))</f>
        <v> </v>
      </c>
      <c r="L4114" s="27"/>
    </row>
    <row r="4115" spans="1:12">
      <c r="A4115" s="20" t="s">
        <v>2200</v>
      </c>
      <c r="B4115" s="21" t="s">
        <v>1005</v>
      </c>
      <c r="C4115" s="21" t="s">
        <v>1013</v>
      </c>
      <c r="D4115" s="21" t="s">
        <v>1007</v>
      </c>
      <c r="E4115" s="22">
        <f>IF(D4115="?OLD","!!!","")</f>
        <v/>
      </c>
      <c r="F4115" s="23" t="str">
        <f>IF(OR(E4115="",E4115="!!!"),"",IF(NOT(ISNA(VLOOKUP(E4115,E$1:E4114,1,FALSE()))),"OLD",IF(AND(E4115&lt;&gt;"",E4115&lt;&gt;"!!!"),"NEW","")))</f>
        <v> </v>
      </c>
      <c r="G4115" s="24" t="str">
        <f>IF(OR(E4115="",E4115="!!!"),"",IF(OR(J4115=0,AND(J4115=1,K4115=1),AND(J4115=1,I4115="SBJ"),AND(J4115=1,I4115=0)),"?IN_FOCUS",IF(J4115&lt;=2,"?ACTIVATED",IF(J4115&lt;&gt;"","?FAMILIAR",IF(F4115="NEW",IF(ISNA(VLOOKUP(E4115,#REF!,1,FALSE())),"?TYPE_IDENTIFIABLE","?REFERENTIAL"),"_")))))</f>
        <v> </v>
      </c>
      <c r="H4115" s="25" t="str">
        <f>IF(J4115&lt;&gt;1,"",IF(I4115="SBJ","CB","?"))</f>
        <v> </v>
      </c>
      <c r="I4115" s="26" t="str">
        <f>IF(OR(E4115="",E4115="!!!",F4115="NEW"),"",INDEX(B4114:B$2,-1+SUMPRODUCT(MAX(ROW(E4114:E$2)*(E4115=E4114:E$2)))))</f>
        <v> </v>
      </c>
      <c r="J4115" s="26" t="str">
        <f>IF(OR(E4115="",E4115="!!!",F4115="NEW"),"",COUNTBLANK(OFFSET(A$1,,,SUMPRODUCT(MAX(ROW(E$2:E4115)*(E4115=E$2:E4115)))))-COUNTBLANK(OFFSET(A$1,,,SUMPRODUCT(MAX(ROW(E$1:E4114)*(E2=E$1:E4114))))))</f>
        <v> </v>
      </c>
      <c r="K4115" s="26" t="str">
        <f>IF(OR(E4115="",E4115="!!!",F4115="NEW"),"",INDEX(J$1:J4114,SUMPRODUCT(MAX(ROW(E$1:E4114)*(E4115=E$1:E4114)))))</f>
        <v> </v>
      </c>
      <c r="L4115" s="27"/>
    </row>
    <row r="4116" spans="1:12">
      <c r="A4116" s="20" t="s">
        <v>1065</v>
      </c>
      <c r="B4116" s="21" t="s">
        <v>1119</v>
      </c>
      <c r="E4116" s="22">
        <f>IF(D4116="?OLD","!!!","")</f>
        <v/>
      </c>
      <c r="F4116" s="23" t="str">
        <f>IF(OR(E4116="",E4116="!!!"),"",IF(NOT(ISNA(VLOOKUP(E4116,E$1:E4115,1,FALSE()))),"OLD",IF(AND(E4116&lt;&gt;"",E4116&lt;&gt;"!!!"),"NEW","")))</f>
        <v> </v>
      </c>
      <c r="G4116" s="24" t="str">
        <f>IF(OR(E4116="",E4116="!!!"),"",IF(OR(J4116=0,AND(J4116=1,K4116=1),AND(J4116=1,I4116="SBJ"),AND(J4116=1,I4116=0)),"?IN_FOCUS",IF(J4116&lt;=2,"?ACTIVATED",IF(J4116&lt;&gt;"","?FAMILIAR",IF(F4116="NEW",IF(ISNA(VLOOKUP(E4116,#REF!,1,FALSE())),"?TYPE_IDENTIFIABLE","?REFERENTIAL"),"_")))))</f>
        <v> </v>
      </c>
      <c r="H4116" s="25" t="str">
        <f>IF(J4116&lt;&gt;1,"",IF(I4116="SBJ","CB","?"))</f>
        <v> </v>
      </c>
      <c r="I4116" s="26" t="str">
        <f>IF(OR(E4116="",E4116="!!!",F4116="NEW"),"",INDEX(B4115:B$2,-1+SUMPRODUCT(MAX(ROW(E4115:E$2)*(E4116=E4115:E$2)))))</f>
        <v> </v>
      </c>
      <c r="J4116" s="26" t="str">
        <f>IF(OR(E4116="",E4116="!!!",F4116="NEW"),"",COUNTBLANK(OFFSET(A$1,,,SUMPRODUCT(MAX(ROW(E$2:E4116)*(E4116=E$2:E4116)))))-COUNTBLANK(OFFSET(A$1,,,SUMPRODUCT(MAX(ROW(E$1:E4115)*(E2=E$1:E4115))))))</f>
        <v> </v>
      </c>
      <c r="K4116" s="26" t="str">
        <f>IF(OR(E4116="",E4116="!!!",F4116="NEW"),"",INDEX(J$1:J4115,SUMPRODUCT(MAX(ROW(E$1:E4115)*(E4116=E$1:E4115)))))</f>
        <v> </v>
      </c>
      <c r="L4116" s="27"/>
    </row>
    <row r="4117" spans="1:12">
      <c r="A4117" s="20" t="s">
        <v>2201</v>
      </c>
      <c r="E4117" s="22">
        <f>IF(D4117="?OLD","!!!","")</f>
        <v/>
      </c>
      <c r="F4117" s="23" t="str">
        <f>IF(OR(E4117="",E4117="!!!"),"",IF(NOT(ISNA(VLOOKUP(E4117,E$1:E4116,1,FALSE()))),"OLD",IF(AND(E4117&lt;&gt;"",E4117&lt;&gt;"!!!"),"NEW","")))</f>
        <v> </v>
      </c>
      <c r="G4117" s="24" t="str">
        <f>IF(OR(E4117="",E4117="!!!"),"",IF(OR(J4117=0,AND(J4117=1,K4117=1),AND(J4117=1,I4117="SBJ"),AND(J4117=1,I4117=0)),"?IN_FOCUS",IF(J4117&lt;=2,"?ACTIVATED",IF(J4117&lt;&gt;"","?FAMILIAR",IF(F4117="NEW",IF(ISNA(VLOOKUP(E4117,#REF!,1,FALSE())),"?TYPE_IDENTIFIABLE","?REFERENTIAL"),"_")))))</f>
        <v> </v>
      </c>
      <c r="H4117" s="25" t="str">
        <f>IF(J4117&lt;&gt;1,"",IF(I4117="SBJ","CB","?"))</f>
        <v> </v>
      </c>
      <c r="I4117" s="26" t="str">
        <f>IF(OR(E4117="",E4117="!!!",F4117="NEW"),"",INDEX(B4116:B$2,-1+SUMPRODUCT(MAX(ROW(E4116:E$2)*(E4117=E4116:E$2)))))</f>
        <v> </v>
      </c>
      <c r="J4117" s="26" t="str">
        <f>IF(OR(E4117="",E4117="!!!",F4117="NEW"),"",COUNTBLANK(OFFSET(A$1,,,SUMPRODUCT(MAX(ROW(E$2:E4117)*(E4117=E$2:E4117)))))-COUNTBLANK(OFFSET(A$1,,,SUMPRODUCT(MAX(ROW(E$1:E4116)*(E2=E$1:E4116))))))</f>
        <v> </v>
      </c>
      <c r="K4117" s="26" t="str">
        <f>IF(OR(E4117="",E4117="!!!",F4117="NEW"),"",INDEX(J$1:J4116,SUMPRODUCT(MAX(ROW(E$1:E4116)*(E4117=E$1:E4116)))))</f>
        <v> </v>
      </c>
      <c r="L4117" s="27"/>
    </row>
    <row r="4118" spans="1:12">
      <c r="A4118" s="20" t="s">
        <v>1020</v>
      </c>
      <c r="E4118" s="22">
        <f>IF(D4118="?OLD","!!!","")</f>
        <v/>
      </c>
      <c r="F4118" s="23" t="str">
        <f>IF(OR(E4118="",E4118="!!!"),"",IF(NOT(ISNA(VLOOKUP(E4118,E$1:E4117,1,FALSE()))),"OLD",IF(AND(E4118&lt;&gt;"",E4118&lt;&gt;"!!!"),"NEW","")))</f>
        <v> </v>
      </c>
      <c r="G4118" s="24" t="str">
        <f>IF(OR(E4118="",E4118="!!!"),"",IF(OR(J4118=0,AND(J4118=1,K4118=1),AND(J4118=1,I4118="SBJ"),AND(J4118=1,I4118=0)),"?IN_FOCUS",IF(J4118&lt;=2,"?ACTIVATED",IF(J4118&lt;&gt;"","?FAMILIAR",IF(F4118="NEW",IF(ISNA(VLOOKUP(E4118,#REF!,1,FALSE())),"?TYPE_IDENTIFIABLE","?REFERENTIAL"),"_")))))</f>
        <v> </v>
      </c>
      <c r="H4118" s="25" t="str">
        <f>IF(J4118&lt;&gt;1,"",IF(I4118="SBJ","CB","?"))</f>
        <v> </v>
      </c>
      <c r="I4118" s="26" t="str">
        <f>IF(OR(E4118="",E4118="!!!",F4118="NEW"),"",INDEX(B4117:B$2,-1+SUMPRODUCT(MAX(ROW(E4117:E$2)*(E4118=E4117:E$2)))))</f>
        <v> </v>
      </c>
      <c r="J4118" s="26" t="str">
        <f>IF(OR(E4118="",E4118="!!!",F4118="NEW"),"",COUNTBLANK(OFFSET(A$1,,,SUMPRODUCT(MAX(ROW(E$2:E4118)*(E4118=E$2:E4118)))))-COUNTBLANK(OFFSET(A$1,,,SUMPRODUCT(MAX(ROW(E$1:E4117)*(E2=E$1:E4117))))))</f>
        <v> </v>
      </c>
      <c r="K4118" s="26" t="str">
        <f>IF(OR(E4118="",E4118="!!!",F4118="NEW"),"",INDEX(J$1:J4117,SUMPRODUCT(MAX(ROW(E$1:E4117)*(E4118=E$1:E4117)))))</f>
        <v> </v>
      </c>
      <c r="L4118" s="27"/>
    </row>
    <row r="4119" spans="1:12">
      <c r="A4119" s="20" t="s">
        <v>2194</v>
      </c>
      <c r="B4119" s="21" t="s">
        <v>1029</v>
      </c>
      <c r="C4119" s="21" t="s">
        <v>1017</v>
      </c>
      <c r="D4119" s="21" t="s">
        <v>1007</v>
      </c>
      <c r="E4119" s="22">
        <f>IF(D4119="?OLD","!!!","")</f>
        <v/>
      </c>
      <c r="F4119" s="23" t="str">
        <f>IF(OR(E4119="",E4119="!!!"),"",IF(NOT(ISNA(VLOOKUP(E4119,E$1:E4118,1,FALSE()))),"OLD",IF(AND(E4119&lt;&gt;"",E4119&lt;&gt;"!!!"),"NEW","")))</f>
        <v> </v>
      </c>
      <c r="G4119" s="24" t="str">
        <f>IF(OR(E4119="",E4119="!!!"),"",IF(OR(J4119=0,AND(J4119=1,K4119=1),AND(J4119=1,I4119="SBJ"),AND(J4119=1,I4119=0)),"?IN_FOCUS",IF(J4119&lt;=2,"?ACTIVATED",IF(J4119&lt;&gt;"","?FAMILIAR",IF(F4119="NEW",IF(ISNA(VLOOKUP(E4119,#REF!,1,FALSE())),"?TYPE_IDENTIFIABLE","?REFERENTIAL"),"_")))))</f>
        <v> </v>
      </c>
      <c r="H4119" s="25" t="str">
        <f>IF(J4119&lt;&gt;1,"",IF(I4119="SBJ","CB","?"))</f>
        <v> </v>
      </c>
      <c r="I4119" s="26" t="str">
        <f>IF(OR(E4119="",E4119="!!!",F4119="NEW"),"",INDEX(B4118:B$2,-1+SUMPRODUCT(MAX(ROW(E4118:E$2)*(E4119=E4118:E$2)))))</f>
        <v> </v>
      </c>
      <c r="J4119" s="26" t="str">
        <f>IF(OR(E4119="",E4119="!!!",F4119="NEW"),"",COUNTBLANK(OFFSET(A$1,,,SUMPRODUCT(MAX(ROW(E$2:E4119)*(E4119=E$2:E4119)))))-COUNTBLANK(OFFSET(A$1,,,SUMPRODUCT(MAX(ROW(E$1:E4118)*(E2=E$1:E4118))))))</f>
        <v> </v>
      </c>
      <c r="K4119" s="26" t="str">
        <f>IF(OR(E4119="",E4119="!!!",F4119="NEW"),"",INDEX(J$1:J4118,SUMPRODUCT(MAX(ROW(E$1:E4118)*(E4119=E$1:E4118)))))</f>
        <v> </v>
      </c>
      <c r="L4119" s="27"/>
    </row>
    <row r="4120" spans="1:12">
      <c r="A4120" s="20" t="s">
        <v>562</v>
      </c>
      <c r="E4120" s="22">
        <f>IF(D4120="?OLD","!!!","")</f>
        <v/>
      </c>
      <c r="F4120" s="23" t="str">
        <f>IF(OR(E4120="",E4120="!!!"),"",IF(NOT(ISNA(VLOOKUP(E4120,E$1:E4119,1,FALSE()))),"OLD",IF(AND(E4120&lt;&gt;"",E4120&lt;&gt;"!!!"),"NEW","")))</f>
        <v> </v>
      </c>
      <c r="G4120" s="24" t="str">
        <f>IF(OR(E4120="",E4120="!!!"),"",IF(OR(J4120=0,AND(J4120=1,K4120=1),AND(J4120=1,I4120="SBJ"),AND(J4120=1,I4120=0)),"?IN_FOCUS",IF(J4120&lt;=2,"?ACTIVATED",IF(J4120&lt;&gt;"","?FAMILIAR",IF(F4120="NEW",IF(ISNA(VLOOKUP(E4120,#REF!,1,FALSE())),"?TYPE_IDENTIFIABLE","?REFERENTIAL"),"_")))))</f>
        <v> </v>
      </c>
      <c r="H4120" s="25" t="str">
        <f>IF(J4120&lt;&gt;1,"",IF(I4120="SBJ","CB","?"))</f>
        <v> </v>
      </c>
      <c r="I4120" s="26" t="str">
        <f>IF(OR(E4120="",E4120="!!!",F4120="NEW"),"",INDEX(B4119:B$2,-1+SUMPRODUCT(MAX(ROW(E4119:E$2)*(E4120=E4119:E$2)))))</f>
        <v> </v>
      </c>
      <c r="J4120" s="26" t="str">
        <f>IF(OR(E4120="",E4120="!!!",F4120="NEW"),"",COUNTBLANK(OFFSET(A$1,,,SUMPRODUCT(MAX(ROW(E$2:E4120)*(E4120=E$2:E4120)))))-COUNTBLANK(OFFSET(A$1,,,SUMPRODUCT(MAX(ROW(E$1:E4119)*(E2=E$1:E4119))))))</f>
        <v> </v>
      </c>
      <c r="K4120" s="26" t="str">
        <f>IF(OR(E4120="",E4120="!!!",F4120="NEW"),"",INDEX(J$1:J4119,SUMPRODUCT(MAX(ROW(E$1:E4119)*(E4120=E$1:E4119)))))</f>
        <v> </v>
      </c>
      <c r="L4120" s="27"/>
    </row>
    <row r="4121" spans="1:12">
      <c r="A4121" s="20" t="s">
        <v>1023</v>
      </c>
      <c r="E4121" s="22">
        <f>IF(D4121="?OLD","!!!","")</f>
        <v/>
      </c>
      <c r="F4121" s="23" t="str">
        <f>IF(OR(E4121="",E4121="!!!"),"",IF(NOT(ISNA(VLOOKUP(E4121,E$1:E4120,1,FALSE()))),"OLD",IF(AND(E4121&lt;&gt;"",E4121&lt;&gt;"!!!"),"NEW","")))</f>
        <v> </v>
      </c>
      <c r="G4121" s="24" t="str">
        <f>IF(OR(E4121="",E4121="!!!"),"",IF(OR(J4121=0,AND(J4121=1,K4121=1),AND(J4121=1,I4121="SBJ"),AND(J4121=1,I4121=0)),"?IN_FOCUS",IF(J4121&lt;=2,"?ACTIVATED",IF(J4121&lt;&gt;"","?FAMILIAR",IF(F4121="NEW",IF(ISNA(VLOOKUP(E4121,#REF!,1,FALSE())),"?TYPE_IDENTIFIABLE","?REFERENTIAL"),"_")))))</f>
        <v> </v>
      </c>
      <c r="H4121" s="25" t="str">
        <f>IF(J4121&lt;&gt;1,"",IF(I4121="SBJ","CB","?"))</f>
        <v> </v>
      </c>
      <c r="I4121" s="26" t="str">
        <f>IF(OR(E4121="",E4121="!!!",F4121="NEW"),"",INDEX(B4120:B$2,-1+SUMPRODUCT(MAX(ROW(E4120:E$2)*(E4121=E4120:E$2)))))</f>
        <v> </v>
      </c>
      <c r="J4121" s="26" t="str">
        <f>IF(OR(E4121="",E4121="!!!",F4121="NEW"),"",COUNTBLANK(OFFSET(A$1,,,SUMPRODUCT(MAX(ROW(E$2:E4121)*(E4121=E$2:E4121)))))-COUNTBLANK(OFFSET(A$1,,,SUMPRODUCT(MAX(ROW(E$1:E4120)*(E2=E$1:E4120))))))</f>
        <v> </v>
      </c>
      <c r="K4121" s="26" t="str">
        <f>IF(OR(E4121="",E4121="!!!",F4121="NEW"),"",INDEX(J$1:J4120,SUMPRODUCT(MAX(ROW(E$1:E4120)*(E4121=E$1:E4120)))))</f>
        <v> </v>
      </c>
      <c r="L4121" s="27"/>
    </row>
    <row r="4122" spans="1:12">
      <c r="A4122" s="20"/>
    </row>
    <row r="4123" spans="1:12">
      <c r="A4123" s="20" t="s">
        <v>2202</v>
      </c>
    </row>
    <row r="4124" spans="1:12">
      <c r="A4124" s="20" t="s">
        <v>1118</v>
      </c>
      <c r="B4124" s="21" t="s">
        <v>1005</v>
      </c>
      <c r="C4124" s="21" t="s">
        <v>1048</v>
      </c>
      <c r="E4124" s="22">
        <f>IF(D4124="?OLD","!!!","")</f>
        <v/>
      </c>
      <c r="F4124" s="23" t="str">
        <f>IF(OR(E4124="",E4124="!!!"),"",IF(NOT(ISNA(VLOOKUP(E4124,E$1:E4123,1,FALSE()))),"OLD",IF(AND(E4124&lt;&gt;"",E4124&lt;&gt;"!!!"),"NEW","")))</f>
        <v> </v>
      </c>
      <c r="G4124" s="24" t="str">
        <f>IF(OR(E4124="",E4124="!!!"),"",IF(OR(J4124=0,AND(J4124=1,K4124=1),AND(J4124=1,I4124="SBJ"),AND(J4124=1,I4124=0)),"?IN_FOCUS",IF(J4124&lt;=2,"?ACTIVATED",IF(J4124&lt;&gt;"","?FAMILIAR",IF(F4124="NEW",IF(ISNA(VLOOKUP(E4124,#REF!,1,FALSE())),"?TYPE_IDENTIFIABLE","?REFERENTIAL"),"_")))))</f>
        <v> </v>
      </c>
      <c r="H4124" s="25" t="str">
        <f>IF(J4124&lt;&gt;1,"",IF(I4124="SBJ","CB","?"))</f>
        <v> </v>
      </c>
      <c r="I4124" s="26" t="str">
        <f>IF(OR(E4124="",E4124="!!!",F4124="NEW"),"",INDEX(B4123:B$2,-1+SUMPRODUCT(MAX(ROW(E4123:E$2)*(E4124=E4123:E$2)))))</f>
        <v> </v>
      </c>
      <c r="J4124" s="26" t="str">
        <f>IF(OR(E4124="",E4124="!!!",F4124="NEW"),"",COUNTBLANK(OFFSET(A$1,,,SUMPRODUCT(MAX(ROW(E$2:E4124)*(E4124=E$2:E4124)))))-COUNTBLANK(OFFSET(A$1,,,SUMPRODUCT(MAX(ROW(E$1:E4123)*(E2=E$1:E4123))))))</f>
        <v> </v>
      </c>
      <c r="K4124" s="26" t="str">
        <f>IF(OR(E4124="",E4124="!!!",F4124="NEW"),"",INDEX(J$1:J4123,SUMPRODUCT(MAX(ROW(E$1:E4123)*(E4124=E$1:E4123)))))</f>
        <v> </v>
      </c>
      <c r="L4124" s="27"/>
    </row>
    <row r="4125" spans="1:12">
      <c r="A4125" s="20" t="s">
        <v>1009</v>
      </c>
      <c r="E4125" s="22">
        <f>IF(D4125="?OLD","!!!","")</f>
        <v/>
      </c>
      <c r="F4125" s="23" t="str">
        <f>IF(OR(E4125="",E4125="!!!"),"",IF(NOT(ISNA(VLOOKUP(E4125,E$1:E4124,1,FALSE()))),"OLD",IF(AND(E4125&lt;&gt;"",E4125&lt;&gt;"!!!"),"NEW","")))</f>
        <v> </v>
      </c>
      <c r="G4125" s="24" t="str">
        <f>IF(OR(E4125="",E4125="!!!"),"",IF(OR(J4125=0,AND(J4125=1,K4125=1),AND(J4125=1,I4125="SBJ"),AND(J4125=1,I4125=0)),"?IN_FOCUS",IF(J4125&lt;=2,"?ACTIVATED",IF(J4125&lt;&gt;"","?FAMILIAR",IF(F4125="NEW",IF(ISNA(VLOOKUP(E4125,#REF!,1,FALSE())),"?TYPE_IDENTIFIABLE","?REFERENTIAL"),"_")))))</f>
        <v> </v>
      </c>
      <c r="H4125" s="25" t="str">
        <f>IF(J4125&lt;&gt;1,"",IF(I4125="SBJ","CB","?"))</f>
        <v> </v>
      </c>
      <c r="I4125" s="26" t="str">
        <f>IF(OR(E4125="",E4125="!!!",F4125="NEW"),"",INDEX(B4124:B$2,-1+SUMPRODUCT(MAX(ROW(E4124:E$2)*(E4125=E4124:E$2)))))</f>
        <v> </v>
      </c>
      <c r="J4125" s="26" t="str">
        <f>IF(OR(E4125="",E4125="!!!",F4125="NEW"),"",COUNTBLANK(OFFSET(A$1,,,SUMPRODUCT(MAX(ROW(E$2:E4125)*(E4125=E$2:E4125)))))-COUNTBLANK(OFFSET(A$1,,,SUMPRODUCT(MAX(ROW(E$1:E4124)*(E2=E$1:E4124))))))</f>
        <v> </v>
      </c>
      <c r="K4125" s="26" t="str">
        <f>IF(OR(E4125="",E4125="!!!",F4125="NEW"),"",INDEX(J$1:J4124,SUMPRODUCT(MAX(ROW(E$1:E4124)*(E4125=E$1:E4124)))))</f>
        <v> </v>
      </c>
      <c r="L4125" s="27"/>
    </row>
    <row r="4126" spans="1:12">
      <c r="A4126" s="20" t="s">
        <v>1857</v>
      </c>
      <c r="E4126" s="22">
        <f>IF(D4126="?OLD","!!!","")</f>
        <v/>
      </c>
      <c r="F4126" s="23" t="str">
        <f>IF(OR(E4126="",E4126="!!!"),"",IF(NOT(ISNA(VLOOKUP(E4126,E$1:E4125,1,FALSE()))),"OLD",IF(AND(E4126&lt;&gt;"",E4126&lt;&gt;"!!!"),"NEW","")))</f>
        <v> </v>
      </c>
      <c r="G4126" s="24" t="str">
        <f>IF(OR(E4126="",E4126="!!!"),"",IF(OR(J4126=0,AND(J4126=1,K4126=1),AND(J4126=1,I4126="SBJ"),AND(J4126=1,I4126=0)),"?IN_FOCUS",IF(J4126&lt;=2,"?ACTIVATED",IF(J4126&lt;&gt;"","?FAMILIAR",IF(F4126="NEW",IF(ISNA(VLOOKUP(E4126,#REF!,1,FALSE())),"?TYPE_IDENTIFIABLE","?REFERENTIAL"),"_")))))</f>
        <v> </v>
      </c>
      <c r="H4126" s="25" t="str">
        <f>IF(J4126&lt;&gt;1,"",IF(I4126="SBJ","CB","?"))</f>
        <v> </v>
      </c>
      <c r="I4126" s="26" t="str">
        <f>IF(OR(E4126="",E4126="!!!",F4126="NEW"),"",INDEX(B4125:B$2,-1+SUMPRODUCT(MAX(ROW(E4125:E$2)*(E4126=E4125:E$2)))))</f>
        <v> </v>
      </c>
      <c r="J4126" s="26" t="str">
        <f>IF(OR(E4126="",E4126="!!!",F4126="NEW"),"",COUNTBLANK(OFFSET(A$1,,,SUMPRODUCT(MAX(ROW(E$2:E4126)*(E4126=E$2:E4126)))))-COUNTBLANK(OFFSET(A$1,,,SUMPRODUCT(MAX(ROW(E$1:E4125)*(E2=E$1:E4125))))))</f>
        <v> </v>
      </c>
      <c r="K4126" s="26" t="str">
        <f>IF(OR(E4126="",E4126="!!!",F4126="NEW"),"",INDEX(J$1:J4125,SUMPRODUCT(MAX(ROW(E$1:E4125)*(E4126=E$1:E4125)))))</f>
        <v> </v>
      </c>
      <c r="L4126" s="27"/>
    </row>
    <row r="4127" spans="1:12">
      <c r="A4127" s="20" t="s">
        <v>1018</v>
      </c>
      <c r="E4127" s="22">
        <f>IF(D4127="?OLD","!!!","")</f>
        <v/>
      </c>
      <c r="F4127" s="23" t="str">
        <f>IF(OR(E4127="",E4127="!!!"),"",IF(NOT(ISNA(VLOOKUP(E4127,E$1:E4126,1,FALSE()))),"OLD",IF(AND(E4127&lt;&gt;"",E4127&lt;&gt;"!!!"),"NEW","")))</f>
        <v> </v>
      </c>
      <c r="G4127" s="24" t="str">
        <f>IF(OR(E4127="",E4127="!!!"),"",IF(OR(J4127=0,AND(J4127=1,K4127=1),AND(J4127=1,I4127="SBJ"),AND(J4127=1,I4127=0)),"?IN_FOCUS",IF(J4127&lt;=2,"?ACTIVATED",IF(J4127&lt;&gt;"","?FAMILIAR",IF(F4127="NEW",IF(ISNA(VLOOKUP(E4127,#REF!,1,FALSE())),"?TYPE_IDENTIFIABLE","?REFERENTIAL"),"_")))))</f>
        <v> </v>
      </c>
      <c r="H4127" s="25" t="str">
        <f>IF(J4127&lt;&gt;1,"",IF(I4127="SBJ","CB","?"))</f>
        <v> </v>
      </c>
      <c r="I4127" s="26" t="str">
        <f>IF(OR(E4127="",E4127="!!!",F4127="NEW"),"",INDEX(B4126:B$2,-1+SUMPRODUCT(MAX(ROW(E4126:E$2)*(E4127=E4126:E$2)))))</f>
        <v> </v>
      </c>
      <c r="J4127" s="26" t="str">
        <f>IF(OR(E4127="",E4127="!!!",F4127="NEW"),"",COUNTBLANK(OFFSET(A$1,,,SUMPRODUCT(MAX(ROW(E$2:E4127)*(E4127=E$2:E4127)))))-COUNTBLANK(OFFSET(A$1,,,SUMPRODUCT(MAX(ROW(E$1:E4126)*(E2=E$1:E4126))))))</f>
        <v> </v>
      </c>
      <c r="K4127" s="26" t="str">
        <f>IF(OR(E4127="",E4127="!!!",F4127="NEW"),"",INDEX(J$1:J4126,SUMPRODUCT(MAX(ROW(E$1:E4126)*(E4127=E$1:E4126)))))</f>
        <v> </v>
      </c>
      <c r="L4127" s="27"/>
    </row>
    <row r="4128" spans="1:12">
      <c r="A4128" s="20" t="s">
        <v>1137</v>
      </c>
      <c r="E4128" s="22">
        <f>IF(D4128="?OLD","!!!","")</f>
        <v/>
      </c>
      <c r="F4128" s="23" t="str">
        <f>IF(OR(E4128="",E4128="!!!"),"",IF(NOT(ISNA(VLOOKUP(E4128,E$1:E4127,1,FALSE()))),"OLD",IF(AND(E4128&lt;&gt;"",E4128&lt;&gt;"!!!"),"NEW","")))</f>
        <v> </v>
      </c>
      <c r="G4128" s="24" t="str">
        <f>IF(OR(E4128="",E4128="!!!"),"",IF(OR(J4128=0,AND(J4128=1,K4128=1),AND(J4128=1,I4128="SBJ"),AND(J4128=1,I4128=0)),"?IN_FOCUS",IF(J4128&lt;=2,"?ACTIVATED",IF(J4128&lt;&gt;"","?FAMILIAR",IF(F4128="NEW",IF(ISNA(VLOOKUP(E4128,#REF!,1,FALSE())),"?TYPE_IDENTIFIABLE","?REFERENTIAL"),"_")))))</f>
        <v> </v>
      </c>
      <c r="H4128" s="25" t="str">
        <f>IF(J4128&lt;&gt;1,"",IF(I4128="SBJ","CB","?"))</f>
        <v> </v>
      </c>
      <c r="I4128" s="26" t="str">
        <f>IF(OR(E4128="",E4128="!!!",F4128="NEW"),"",INDEX(B4127:B$2,-1+SUMPRODUCT(MAX(ROW(E4127:E$2)*(E4128=E4127:E$2)))))</f>
        <v> </v>
      </c>
      <c r="J4128" s="26" t="str">
        <f>IF(OR(E4128="",E4128="!!!",F4128="NEW"),"",COUNTBLANK(OFFSET(A$1,,,SUMPRODUCT(MAX(ROW(E$2:E4128)*(E4128=E$2:E4128)))))-COUNTBLANK(OFFSET(A$1,,,SUMPRODUCT(MAX(ROW(E$1:E4127)*(E2=E$1:E4127))))))</f>
        <v> </v>
      </c>
      <c r="K4128" s="26" t="str">
        <f>IF(OR(E4128="",E4128="!!!",F4128="NEW"),"",INDEX(J$1:J4127,SUMPRODUCT(MAX(ROW(E$1:E4127)*(E4128=E$1:E4127)))))</f>
        <v> </v>
      </c>
      <c r="L4128" s="27"/>
    </row>
    <row r="4129" spans="1:12">
      <c r="A4129" s="20" t="s">
        <v>1737</v>
      </c>
      <c r="E4129" s="22">
        <f>IF(D4129="?OLD","!!!","")</f>
        <v/>
      </c>
      <c r="F4129" s="23" t="str">
        <f>IF(OR(E4129="",E4129="!!!"),"",IF(NOT(ISNA(VLOOKUP(E4129,E$1:E4128,1,FALSE()))),"OLD",IF(AND(E4129&lt;&gt;"",E4129&lt;&gt;"!!!"),"NEW","")))</f>
        <v> </v>
      </c>
      <c r="G4129" s="24" t="str">
        <f>IF(OR(E4129="",E4129="!!!"),"",IF(OR(J4129=0,AND(J4129=1,K4129=1),AND(J4129=1,I4129="SBJ"),AND(J4129=1,I4129=0)),"?IN_FOCUS",IF(J4129&lt;=2,"?ACTIVATED",IF(J4129&lt;&gt;"","?FAMILIAR",IF(F4129="NEW",IF(ISNA(VLOOKUP(E4129,#REF!,1,FALSE())),"?TYPE_IDENTIFIABLE","?REFERENTIAL"),"_")))))</f>
        <v> </v>
      </c>
      <c r="H4129" s="25" t="str">
        <f>IF(J4129&lt;&gt;1,"",IF(I4129="SBJ","CB","?"))</f>
        <v> </v>
      </c>
      <c r="I4129" s="26" t="str">
        <f>IF(OR(E4129="",E4129="!!!",F4129="NEW"),"",INDEX(B4128:B$2,-1+SUMPRODUCT(MAX(ROW(E4128:E$2)*(E4129=E4128:E$2)))))</f>
        <v> </v>
      </c>
      <c r="J4129" s="26" t="str">
        <f>IF(OR(E4129="",E4129="!!!",F4129="NEW"),"",COUNTBLANK(OFFSET(A$1,,,SUMPRODUCT(MAX(ROW(E$2:E4129)*(E4129=E$2:E4129)))))-COUNTBLANK(OFFSET(A$1,,,SUMPRODUCT(MAX(ROW(E$1:E4128)*(E2=E$1:E4128))))))</f>
        <v> </v>
      </c>
      <c r="K4129" s="26" t="str">
        <f>IF(OR(E4129="",E4129="!!!",F4129="NEW"),"",INDEX(J$1:J4128,SUMPRODUCT(MAX(ROW(E$1:E4128)*(E4129=E$1:E4128)))))</f>
        <v> </v>
      </c>
      <c r="L4129" s="27"/>
    </row>
    <row r="4130" spans="1:12">
      <c r="A4130" s="20" t="s">
        <v>1097</v>
      </c>
      <c r="E4130" s="22">
        <f>IF(D4130="?OLD","!!!","")</f>
        <v/>
      </c>
      <c r="F4130" s="23" t="str">
        <f>IF(OR(E4130="",E4130="!!!"),"",IF(NOT(ISNA(VLOOKUP(E4130,E$1:E4129,1,FALSE()))),"OLD",IF(AND(E4130&lt;&gt;"",E4130&lt;&gt;"!!!"),"NEW","")))</f>
        <v> </v>
      </c>
      <c r="G4130" s="24" t="str">
        <f>IF(OR(E4130="",E4130="!!!"),"",IF(OR(J4130=0,AND(J4130=1,K4130=1),AND(J4130=1,I4130="SBJ"),AND(J4130=1,I4130=0)),"?IN_FOCUS",IF(J4130&lt;=2,"?ACTIVATED",IF(J4130&lt;&gt;"","?FAMILIAR",IF(F4130="NEW",IF(ISNA(VLOOKUP(E4130,#REF!,1,FALSE())),"?TYPE_IDENTIFIABLE","?REFERENTIAL"),"_")))))</f>
        <v> </v>
      </c>
      <c r="H4130" s="25" t="str">
        <f>IF(J4130&lt;&gt;1,"",IF(I4130="SBJ","CB","?"))</f>
        <v> </v>
      </c>
      <c r="I4130" s="26" t="str">
        <f>IF(OR(E4130="",E4130="!!!",F4130="NEW"),"",INDEX(B4129:B$2,-1+SUMPRODUCT(MAX(ROW(E4129:E$2)*(E4130=E4129:E$2)))))</f>
        <v> </v>
      </c>
      <c r="J4130" s="26" t="str">
        <f>IF(OR(E4130="",E4130="!!!",F4130="NEW"),"",COUNTBLANK(OFFSET(A$1,,,SUMPRODUCT(MAX(ROW(E$2:E4130)*(E4130=E$2:E4130)))))-COUNTBLANK(OFFSET(A$1,,,SUMPRODUCT(MAX(ROW(E$1:E4129)*(E2=E$1:E4129))))))</f>
        <v> </v>
      </c>
      <c r="K4130" s="26" t="str">
        <f>IF(OR(E4130="",E4130="!!!",F4130="NEW"),"",INDEX(J$1:J4129,SUMPRODUCT(MAX(ROW(E$1:E4129)*(E4130=E$1:E4129)))))</f>
        <v> </v>
      </c>
      <c r="L4130" s="27"/>
    </row>
    <row r="4131" spans="1:12">
      <c r="A4131" s="20" t="s">
        <v>1015</v>
      </c>
      <c r="E4131" s="22">
        <f>IF(D4131="?OLD","!!!","")</f>
        <v/>
      </c>
      <c r="F4131" s="23" t="str">
        <f>IF(OR(E4131="",E4131="!!!"),"",IF(NOT(ISNA(VLOOKUP(E4131,E$1:E4130,1,FALSE()))),"OLD",IF(AND(E4131&lt;&gt;"",E4131&lt;&gt;"!!!"),"NEW","")))</f>
        <v> </v>
      </c>
      <c r="G4131" s="24" t="str">
        <f>IF(OR(E4131="",E4131="!!!"),"",IF(OR(J4131=0,AND(J4131=1,K4131=1),AND(J4131=1,I4131="SBJ"),AND(J4131=1,I4131=0)),"?IN_FOCUS",IF(J4131&lt;=2,"?ACTIVATED",IF(J4131&lt;&gt;"","?FAMILIAR",IF(F4131="NEW",IF(ISNA(VLOOKUP(E4131,#REF!,1,FALSE())),"?TYPE_IDENTIFIABLE","?REFERENTIAL"),"_")))))</f>
        <v> </v>
      </c>
      <c r="H4131" s="25" t="str">
        <f>IF(J4131&lt;&gt;1,"",IF(I4131="SBJ","CB","?"))</f>
        <v> </v>
      </c>
      <c r="I4131" s="26" t="str">
        <f>IF(OR(E4131="",E4131="!!!",F4131="NEW"),"",INDEX(B4130:B$2,-1+SUMPRODUCT(MAX(ROW(E4130:E$2)*(E4131=E4130:E$2)))))</f>
        <v> </v>
      </c>
      <c r="J4131" s="26" t="str">
        <f>IF(OR(E4131="",E4131="!!!",F4131="NEW"),"",COUNTBLANK(OFFSET(A$1,,,SUMPRODUCT(MAX(ROW(E$2:E4131)*(E4131=E$2:E4131)))))-COUNTBLANK(OFFSET(A$1,,,SUMPRODUCT(MAX(ROW(E$1:E4130)*(E2=E$1:E4130))))))</f>
        <v> </v>
      </c>
      <c r="K4131" s="26" t="str">
        <f>IF(OR(E4131="",E4131="!!!",F4131="NEW"),"",INDEX(J$1:J4130,SUMPRODUCT(MAX(ROW(E$1:E4130)*(E4131=E$1:E4130)))))</f>
        <v> </v>
      </c>
      <c r="L4131" s="27"/>
    </row>
    <row r="4132" spans="1:12">
      <c r="A4132" s="20" t="s">
        <v>2203</v>
      </c>
      <c r="B4132" s="21" t="s">
        <v>1029</v>
      </c>
      <c r="C4132" s="21" t="s">
        <v>1013</v>
      </c>
      <c r="D4132" s="21" t="s">
        <v>1007</v>
      </c>
      <c r="E4132" s="22">
        <f>IF(D4132="?OLD","!!!","")</f>
        <v/>
      </c>
      <c r="F4132" s="23" t="str">
        <f>IF(OR(E4132="",E4132="!!!"),"",IF(NOT(ISNA(VLOOKUP(E4132,E$1:E4131,1,FALSE()))),"OLD",IF(AND(E4132&lt;&gt;"",E4132&lt;&gt;"!!!"),"NEW","")))</f>
        <v> </v>
      </c>
      <c r="G4132" s="24" t="str">
        <f>IF(OR(E4132="",E4132="!!!"),"",IF(OR(J4132=0,AND(J4132=1,K4132=1),AND(J4132=1,I4132="SBJ"),AND(J4132=1,I4132=0)),"?IN_FOCUS",IF(J4132&lt;=2,"?ACTIVATED",IF(J4132&lt;&gt;"","?FAMILIAR",IF(F4132="NEW",IF(ISNA(VLOOKUP(E4132,#REF!,1,FALSE())),"?TYPE_IDENTIFIABLE","?REFERENTIAL"),"_")))))</f>
        <v> </v>
      </c>
      <c r="H4132" s="25" t="str">
        <f>IF(J4132&lt;&gt;1,"",IF(I4132="SBJ","CB","?"))</f>
        <v> </v>
      </c>
      <c r="I4132" s="26" t="str">
        <f>IF(OR(E4132="",E4132="!!!",F4132="NEW"),"",INDEX(B4131:B$2,-1+SUMPRODUCT(MAX(ROW(E4131:E$2)*(E4132=E4131:E$2)))))</f>
        <v> </v>
      </c>
      <c r="J4132" s="26" t="str">
        <f>IF(OR(E4132="",E4132="!!!",F4132="NEW"),"",COUNTBLANK(OFFSET(A$1,,,SUMPRODUCT(MAX(ROW(E$2:E4132)*(E4132=E$2:E4132)))))-COUNTBLANK(OFFSET(A$1,,,SUMPRODUCT(MAX(ROW(E$1:E4131)*(E2=E$1:E4131))))))</f>
        <v> </v>
      </c>
      <c r="K4132" s="26" t="str">
        <f>IF(OR(E4132="",E4132="!!!",F4132="NEW"),"",INDEX(J$1:J4131,SUMPRODUCT(MAX(ROW(E$1:E4131)*(E4132=E$1:E4131)))))</f>
        <v> </v>
      </c>
      <c r="L4132" s="27"/>
    </row>
    <row r="4133" spans="1:12">
      <c r="A4133" s="20" t="s">
        <v>1014</v>
      </c>
      <c r="E4133" s="22">
        <f>IF(D4133="?OLD","!!!","")</f>
        <v/>
      </c>
      <c r="F4133" s="23" t="str">
        <f>IF(OR(E4133="",E4133="!!!"),"",IF(NOT(ISNA(VLOOKUP(E4133,E$1:E4132,1,FALSE()))),"OLD",IF(AND(E4133&lt;&gt;"",E4133&lt;&gt;"!!!"),"NEW","")))</f>
        <v> </v>
      </c>
      <c r="G4133" s="24" t="str">
        <f>IF(OR(E4133="",E4133="!!!"),"",IF(OR(J4133=0,AND(J4133=1,K4133=1),AND(J4133=1,I4133="SBJ"),AND(J4133=1,I4133=0)),"?IN_FOCUS",IF(J4133&lt;=2,"?ACTIVATED",IF(J4133&lt;&gt;"","?FAMILIAR",IF(F4133="NEW",IF(ISNA(VLOOKUP(E4133,#REF!,1,FALSE())),"?TYPE_IDENTIFIABLE","?REFERENTIAL"),"_")))))</f>
        <v> </v>
      </c>
      <c r="H4133" s="25" t="str">
        <f>IF(J4133&lt;&gt;1,"",IF(I4133="SBJ","CB","?"))</f>
        <v> </v>
      </c>
      <c r="I4133" s="26" t="str">
        <f>IF(OR(E4133="",E4133="!!!",F4133="NEW"),"",INDEX(B4132:B$2,-1+SUMPRODUCT(MAX(ROW(E4132:E$2)*(E4133=E4132:E$2)))))</f>
        <v> </v>
      </c>
      <c r="J4133" s="26" t="str">
        <f>IF(OR(E4133="",E4133="!!!",F4133="NEW"),"",COUNTBLANK(OFFSET(A$1,,,SUMPRODUCT(MAX(ROW(E$2:E4133)*(E4133=E$2:E4133)))))-COUNTBLANK(OFFSET(A$1,,,SUMPRODUCT(MAX(ROW(E$1:E4132)*(E2=E$1:E4132))))))</f>
        <v> </v>
      </c>
      <c r="K4133" s="26" t="str">
        <f>IF(OR(E4133="",E4133="!!!",F4133="NEW"),"",INDEX(J$1:J4132,SUMPRODUCT(MAX(ROW(E$1:E4132)*(E4133=E$1:E4132)))))</f>
        <v> </v>
      </c>
      <c r="L4133" s="27"/>
    </row>
    <row r="4134" spans="1:12">
      <c r="A4134" s="20" t="s">
        <v>1273</v>
      </c>
      <c r="E4134" s="22">
        <f>IF(D4134="?OLD","!!!","")</f>
        <v/>
      </c>
      <c r="F4134" s="23" t="str">
        <f>IF(OR(E4134="",E4134="!!!"),"",IF(NOT(ISNA(VLOOKUP(E4134,E$1:E4133,1,FALSE()))),"OLD",IF(AND(E4134&lt;&gt;"",E4134&lt;&gt;"!!!"),"NEW","")))</f>
        <v> </v>
      </c>
      <c r="G4134" s="24" t="str">
        <f>IF(OR(E4134="",E4134="!!!"),"",IF(OR(J4134=0,AND(J4134=1,K4134=1),AND(J4134=1,I4134="SBJ"),AND(J4134=1,I4134=0)),"?IN_FOCUS",IF(J4134&lt;=2,"?ACTIVATED",IF(J4134&lt;&gt;"","?FAMILIAR",IF(F4134="NEW",IF(ISNA(VLOOKUP(E4134,#REF!,1,FALSE())),"?TYPE_IDENTIFIABLE","?REFERENTIAL"),"_")))))</f>
        <v> </v>
      </c>
      <c r="H4134" s="25" t="str">
        <f>IF(J4134&lt;&gt;1,"",IF(I4134="SBJ","CB","?"))</f>
        <v> </v>
      </c>
      <c r="I4134" s="26" t="str">
        <f>IF(OR(E4134="",E4134="!!!",F4134="NEW"),"",INDEX(B4133:B$2,-1+SUMPRODUCT(MAX(ROW(E4133:E$2)*(E4134=E4133:E$2)))))</f>
        <v> </v>
      </c>
      <c r="J4134" s="26" t="str">
        <f>IF(OR(E4134="",E4134="!!!",F4134="NEW"),"",COUNTBLANK(OFFSET(A$1,,,SUMPRODUCT(MAX(ROW(E$2:E4134)*(E4134=E$2:E4134)))))-COUNTBLANK(OFFSET(A$1,,,SUMPRODUCT(MAX(ROW(E$1:E4133)*(E2=E$1:E4133))))))</f>
        <v> </v>
      </c>
      <c r="K4134" s="26" t="str">
        <f>IF(OR(E4134="",E4134="!!!",F4134="NEW"),"",INDEX(J$1:J4133,SUMPRODUCT(MAX(ROW(E$1:E4133)*(E4134=E$1:E4133)))))</f>
        <v> </v>
      </c>
      <c r="L4134" s="27"/>
    </row>
    <row r="4135" spans="1:12">
      <c r="A4135" s="20" t="s">
        <v>1274</v>
      </c>
      <c r="B4135" s="21" t="s">
        <v>1033</v>
      </c>
      <c r="C4135" s="21" t="s">
        <v>1041</v>
      </c>
      <c r="D4135" s="21" t="s">
        <v>1007</v>
      </c>
      <c r="E4135" s="22">
        <f>IF(D4135="?OLD","!!!","")</f>
        <v/>
      </c>
      <c r="F4135" s="23" t="str">
        <f>IF(OR(E4135="",E4135="!!!"),"",IF(NOT(ISNA(VLOOKUP(E4135,E$1:E4134,1,FALSE()))),"OLD",IF(AND(E4135&lt;&gt;"",E4135&lt;&gt;"!!!"),"NEW","")))</f>
        <v> </v>
      </c>
      <c r="G4135" s="24" t="str">
        <f>IF(OR(E4135="",E4135="!!!"),"",IF(OR(J4135=0,AND(J4135=1,K4135=1),AND(J4135=1,I4135="SBJ"),AND(J4135=1,I4135=0)),"?IN_FOCUS",IF(J4135&lt;=2,"?ACTIVATED",IF(J4135&lt;&gt;"","?FAMILIAR",IF(F4135="NEW",IF(ISNA(VLOOKUP(E4135,#REF!,1,FALSE())),"?TYPE_IDENTIFIABLE","?REFERENTIAL"),"_")))))</f>
        <v> </v>
      </c>
      <c r="H4135" s="25" t="str">
        <f>IF(J4135&lt;&gt;1,"",IF(I4135="SBJ","CB","?"))</f>
        <v> </v>
      </c>
      <c r="I4135" s="26" t="str">
        <f>IF(OR(E4135="",E4135="!!!",F4135="NEW"),"",INDEX(B4134:B$2,-1+SUMPRODUCT(MAX(ROW(E4134:E$2)*(E4135=E4134:E$2)))))</f>
        <v> </v>
      </c>
      <c r="J4135" s="26" t="str">
        <f>IF(OR(E4135="",E4135="!!!",F4135="NEW"),"",COUNTBLANK(OFFSET(A$1,,,SUMPRODUCT(MAX(ROW(E$2:E4135)*(E4135=E$2:E4135)))))-COUNTBLANK(OFFSET(A$1,,,SUMPRODUCT(MAX(ROW(E$1:E4134)*(E2=E$1:E4134))))))</f>
        <v> </v>
      </c>
      <c r="K4135" s="26" t="str">
        <f>IF(OR(E4135="",E4135="!!!",F4135="NEW"),"",INDEX(J$1:J4134,SUMPRODUCT(MAX(ROW(E$1:E4134)*(E4135=E$1:E4134)))))</f>
        <v> </v>
      </c>
      <c r="L4135" s="27"/>
    </row>
    <row r="4136" spans="1:12">
      <c r="A4136" s="20" t="s">
        <v>1097</v>
      </c>
      <c r="E4136" s="22">
        <f>IF(D4136="?OLD","!!!","")</f>
        <v/>
      </c>
      <c r="F4136" s="23" t="str">
        <f>IF(OR(E4136="",E4136="!!!"),"",IF(NOT(ISNA(VLOOKUP(E4136,E$1:E4135,1,FALSE()))),"OLD",IF(AND(E4136&lt;&gt;"",E4136&lt;&gt;"!!!"),"NEW","")))</f>
        <v> </v>
      </c>
      <c r="G4136" s="24" t="str">
        <f>IF(OR(E4136="",E4136="!!!"),"",IF(OR(J4136=0,AND(J4136=1,K4136=1),AND(J4136=1,I4136="SBJ"),AND(J4136=1,I4136=0)),"?IN_FOCUS",IF(J4136&lt;=2,"?ACTIVATED",IF(J4136&lt;&gt;"","?FAMILIAR",IF(F4136="NEW",IF(ISNA(VLOOKUP(E4136,#REF!,1,FALSE())),"?TYPE_IDENTIFIABLE","?REFERENTIAL"),"_")))))</f>
        <v> </v>
      </c>
      <c r="H4136" s="25" t="str">
        <f>IF(J4136&lt;&gt;1,"",IF(I4136="SBJ","CB","?"))</f>
        <v> </v>
      </c>
      <c r="I4136" s="26" t="str">
        <f>IF(OR(E4136="",E4136="!!!",F4136="NEW"),"",INDEX(B4135:B$2,-1+SUMPRODUCT(MAX(ROW(E4135:E$2)*(E4136=E4135:E$2)))))</f>
        <v> </v>
      </c>
      <c r="J4136" s="26" t="str">
        <f>IF(OR(E4136="",E4136="!!!",F4136="NEW"),"",COUNTBLANK(OFFSET(A$1,,,SUMPRODUCT(MAX(ROW(E$2:E4136)*(E4136=E$2:E4136)))))-COUNTBLANK(OFFSET(A$1,,,SUMPRODUCT(MAX(ROW(E$1:E4135)*(E2=E$1:E4135))))))</f>
        <v> </v>
      </c>
      <c r="K4136" s="26" t="str">
        <f>IF(OR(E4136="",E4136="!!!",F4136="NEW"),"",INDEX(J$1:J4135,SUMPRODUCT(MAX(ROW(E$1:E4135)*(E4136=E$1:E4135)))))</f>
        <v> </v>
      </c>
      <c r="L4136" s="27"/>
    </row>
    <row r="4137" spans="1:12">
      <c r="A4137" s="20" t="s">
        <v>1969</v>
      </c>
      <c r="E4137" s="22">
        <f>IF(D4137="?OLD","!!!","")</f>
        <v/>
      </c>
      <c r="F4137" s="23" t="str">
        <f>IF(OR(E4137="",E4137="!!!"),"",IF(NOT(ISNA(VLOOKUP(E4137,E$1:E4136,1,FALSE()))),"OLD",IF(AND(E4137&lt;&gt;"",E4137&lt;&gt;"!!!"),"NEW","")))</f>
        <v> </v>
      </c>
      <c r="G4137" s="24" t="str">
        <f>IF(OR(E4137="",E4137="!!!"),"",IF(OR(J4137=0,AND(J4137=1,K4137=1),AND(J4137=1,I4137="SBJ"),AND(J4137=1,I4137=0)),"?IN_FOCUS",IF(J4137&lt;=2,"?ACTIVATED",IF(J4137&lt;&gt;"","?FAMILIAR",IF(F4137="NEW",IF(ISNA(VLOOKUP(E4137,#REF!,1,FALSE())),"?TYPE_IDENTIFIABLE","?REFERENTIAL"),"_")))))</f>
        <v> </v>
      </c>
      <c r="H4137" s="25" t="str">
        <f>IF(J4137&lt;&gt;1,"",IF(I4137="SBJ","CB","?"))</f>
        <v> </v>
      </c>
      <c r="I4137" s="26" t="str">
        <f>IF(OR(E4137="",E4137="!!!",F4137="NEW"),"",INDEX(B4136:B$2,-1+SUMPRODUCT(MAX(ROW(E4136:E$2)*(E4137=E4136:E$2)))))</f>
        <v> </v>
      </c>
      <c r="J4137" s="26" t="str">
        <f>IF(OR(E4137="",E4137="!!!",F4137="NEW"),"",COUNTBLANK(OFFSET(A$1,,,SUMPRODUCT(MAX(ROW(E$2:E4137)*(E4137=E$2:E4137)))))-COUNTBLANK(OFFSET(A$1,,,SUMPRODUCT(MAX(ROW(E$1:E4136)*(E2=E$1:E4136))))))</f>
        <v> </v>
      </c>
      <c r="K4137" s="26" t="str">
        <f>IF(OR(E4137="",E4137="!!!",F4137="NEW"),"",INDEX(J$1:J4136,SUMPRODUCT(MAX(ROW(E$1:E4136)*(E4137=E$1:E4136)))))</f>
        <v> </v>
      </c>
      <c r="L4137" s="27"/>
    </row>
    <row r="4138" spans="1:12">
      <c r="A4138" s="20" t="s">
        <v>1182</v>
      </c>
      <c r="E4138" s="22">
        <f>IF(D4138="?OLD","!!!","")</f>
        <v/>
      </c>
      <c r="F4138" s="23" t="str">
        <f>IF(OR(E4138="",E4138="!!!"),"",IF(NOT(ISNA(VLOOKUP(E4138,E$1:E4137,1,FALSE()))),"OLD",IF(AND(E4138&lt;&gt;"",E4138&lt;&gt;"!!!"),"NEW","")))</f>
        <v> </v>
      </c>
      <c r="G4138" s="24" t="str">
        <f>IF(OR(E4138="",E4138="!!!"),"",IF(OR(J4138=0,AND(J4138=1,K4138=1),AND(J4138=1,I4138="SBJ"),AND(J4138=1,I4138=0)),"?IN_FOCUS",IF(J4138&lt;=2,"?ACTIVATED",IF(J4138&lt;&gt;"","?FAMILIAR",IF(F4138="NEW",IF(ISNA(VLOOKUP(E4138,#REF!,1,FALSE())),"?TYPE_IDENTIFIABLE","?REFERENTIAL"),"_")))))</f>
        <v> </v>
      </c>
      <c r="H4138" s="25" t="str">
        <f>IF(J4138&lt;&gt;1,"",IF(I4138="SBJ","CB","?"))</f>
        <v> </v>
      </c>
      <c r="I4138" s="26" t="str">
        <f>IF(OR(E4138="",E4138="!!!",F4138="NEW"),"",INDEX(B4137:B$2,-1+SUMPRODUCT(MAX(ROW(E4137:E$2)*(E4138=E4137:E$2)))))</f>
        <v> </v>
      </c>
      <c r="J4138" s="26" t="str">
        <f>IF(OR(E4138="",E4138="!!!",F4138="NEW"),"",COUNTBLANK(OFFSET(A$1,,,SUMPRODUCT(MAX(ROW(E$2:E4138)*(E4138=E$2:E4138)))))-COUNTBLANK(OFFSET(A$1,,,SUMPRODUCT(MAX(ROW(E$1:E4137)*(E2=E$1:E4137))))))</f>
        <v> </v>
      </c>
      <c r="K4138" s="26" t="str">
        <f>IF(OR(E4138="",E4138="!!!",F4138="NEW"),"",INDEX(J$1:J4137,SUMPRODUCT(MAX(ROW(E$1:E4137)*(E4138=E$1:E4137)))))</f>
        <v> </v>
      </c>
      <c r="L4138" s="27"/>
    </row>
    <row r="4139" spans="1:12">
      <c r="A4139" s="20" t="s">
        <v>102</v>
      </c>
      <c r="E4139" s="22">
        <f>IF(D4139="?OLD","!!!","")</f>
        <v/>
      </c>
      <c r="F4139" s="23" t="str">
        <f>IF(OR(E4139="",E4139="!!!"),"",IF(NOT(ISNA(VLOOKUP(E4139,E$1:E4138,1,FALSE()))),"OLD",IF(AND(E4139&lt;&gt;"",E4139&lt;&gt;"!!!"),"NEW","")))</f>
        <v> </v>
      </c>
      <c r="G4139" s="24" t="str">
        <f>IF(OR(E4139="",E4139="!!!"),"",IF(OR(J4139=0,AND(J4139=1,K4139=1),AND(J4139=1,I4139="SBJ"),AND(J4139=1,I4139=0)),"?IN_FOCUS",IF(J4139&lt;=2,"?ACTIVATED",IF(J4139&lt;&gt;"","?FAMILIAR",IF(F4139="NEW",IF(ISNA(VLOOKUP(E4139,#REF!,1,FALSE())),"?TYPE_IDENTIFIABLE","?REFERENTIAL"),"_")))))</f>
        <v> </v>
      </c>
      <c r="H4139" s="25" t="str">
        <f>IF(J4139&lt;&gt;1,"",IF(I4139="SBJ","CB","?"))</f>
        <v> </v>
      </c>
      <c r="I4139" s="26" t="str">
        <f>IF(OR(E4139="",E4139="!!!",F4139="NEW"),"",INDEX(B4138:B$2,-1+SUMPRODUCT(MAX(ROW(E4138:E$2)*(E4139=E4138:E$2)))))</f>
        <v> </v>
      </c>
      <c r="J4139" s="26" t="str">
        <f>IF(OR(E4139="",E4139="!!!",F4139="NEW"),"",COUNTBLANK(OFFSET(A$1,,,SUMPRODUCT(MAX(ROW(E$2:E4139)*(E4139=E$2:E4139)))))-COUNTBLANK(OFFSET(A$1,,,SUMPRODUCT(MAX(ROW(E$1:E4138)*(E2=E$1:E4138))))))</f>
        <v> </v>
      </c>
      <c r="K4139" s="26" t="str">
        <f>IF(OR(E4139="",E4139="!!!",F4139="NEW"),"",INDEX(J$1:J4138,SUMPRODUCT(MAX(ROW(E$1:E4138)*(E4139=E$1:E4138)))))</f>
        <v> </v>
      </c>
      <c r="L4139" s="27"/>
    </row>
    <row r="4140" spans="1:12">
      <c r="A4140" s="20" t="s">
        <v>2196</v>
      </c>
      <c r="B4140" s="21" t="s">
        <v>1187</v>
      </c>
      <c r="C4140" s="21" t="s">
        <v>1017</v>
      </c>
      <c r="D4140" s="21" t="s">
        <v>1007</v>
      </c>
      <c r="E4140" s="22">
        <f>IF(D4140="?OLD","!!!","")</f>
        <v/>
      </c>
      <c r="F4140" s="23" t="str">
        <f>IF(OR(E4140="",E4140="!!!"),"",IF(NOT(ISNA(VLOOKUP(E4140,E$1:E4139,1,FALSE()))),"OLD",IF(AND(E4140&lt;&gt;"",E4140&lt;&gt;"!!!"),"NEW","")))</f>
        <v> </v>
      </c>
      <c r="G4140" s="24" t="str">
        <f>IF(OR(E4140="",E4140="!!!"),"",IF(OR(J4140=0,AND(J4140=1,K4140=1),AND(J4140=1,I4140="SBJ"),AND(J4140=1,I4140=0)),"?IN_FOCUS",IF(J4140&lt;=2,"?ACTIVATED",IF(J4140&lt;&gt;"","?FAMILIAR",IF(F4140="NEW",IF(ISNA(VLOOKUP(E4140,#REF!,1,FALSE())),"?TYPE_IDENTIFIABLE","?REFERENTIAL"),"_")))))</f>
        <v> </v>
      </c>
      <c r="H4140" s="25" t="str">
        <f>IF(J4140&lt;&gt;1,"",IF(I4140="SBJ","CB","?"))</f>
        <v> </v>
      </c>
      <c r="I4140" s="26" t="str">
        <f>IF(OR(E4140="",E4140="!!!",F4140="NEW"),"",INDEX(B4139:B$2,-1+SUMPRODUCT(MAX(ROW(E4139:E$2)*(E4140=E4139:E$2)))))</f>
        <v> </v>
      </c>
      <c r="J4140" s="26" t="str">
        <f>IF(OR(E4140="",E4140="!!!",F4140="NEW"),"",COUNTBLANK(OFFSET(A$1,,,SUMPRODUCT(MAX(ROW(E$2:E4140)*(E4140=E$2:E4140)))))-COUNTBLANK(OFFSET(A$1,,,SUMPRODUCT(MAX(ROW(E$1:E4139)*(E2=E$1:E4139))))))</f>
        <v> </v>
      </c>
      <c r="K4140" s="26" t="str">
        <f>IF(OR(E4140="",E4140="!!!",F4140="NEW"),"",INDEX(J$1:J4139,SUMPRODUCT(MAX(ROW(E$1:E4139)*(E4140=E$1:E4139)))))</f>
        <v> </v>
      </c>
      <c r="L4140" s="27"/>
    </row>
    <row r="4141" spans="1:12">
      <c r="A4141" s="20" t="s">
        <v>1018</v>
      </c>
      <c r="E4141" s="22">
        <f>IF(D4141="?OLD","!!!","")</f>
        <v/>
      </c>
      <c r="F4141" s="23" t="str">
        <f>IF(OR(E4141="",E4141="!!!"),"",IF(NOT(ISNA(VLOOKUP(E4141,E$1:E4140,1,FALSE()))),"OLD",IF(AND(E4141&lt;&gt;"",E4141&lt;&gt;"!!!"),"NEW","")))</f>
        <v> </v>
      </c>
      <c r="G4141" s="24" t="str">
        <f>IF(OR(E4141="",E4141="!!!"),"",IF(OR(J4141=0,AND(J4141=1,K4141=1),AND(J4141=1,I4141="SBJ"),AND(J4141=1,I4141=0)),"?IN_FOCUS",IF(J4141&lt;=2,"?ACTIVATED",IF(J4141&lt;&gt;"","?FAMILIAR",IF(F4141="NEW",IF(ISNA(VLOOKUP(E4141,#REF!,1,FALSE())),"?TYPE_IDENTIFIABLE","?REFERENTIAL"),"_")))))</f>
        <v> </v>
      </c>
      <c r="H4141" s="25" t="str">
        <f>IF(J4141&lt;&gt;1,"",IF(I4141="SBJ","CB","?"))</f>
        <v> </v>
      </c>
      <c r="I4141" s="26" t="str">
        <f>IF(OR(E4141="",E4141="!!!",F4141="NEW"),"",INDEX(B4140:B$2,-1+SUMPRODUCT(MAX(ROW(E4140:E$2)*(E4141=E4140:E$2)))))</f>
        <v> </v>
      </c>
      <c r="J4141" s="26" t="str">
        <f>IF(OR(E4141="",E4141="!!!",F4141="NEW"),"",COUNTBLANK(OFFSET(A$1,,,SUMPRODUCT(MAX(ROW(E$2:E4141)*(E4141=E$2:E4141)))))-COUNTBLANK(OFFSET(A$1,,,SUMPRODUCT(MAX(ROW(E$1:E4140)*(E2=E$1:E4140))))))</f>
        <v> </v>
      </c>
      <c r="K4141" s="26" t="str">
        <f>IF(OR(E4141="",E4141="!!!",F4141="NEW"),"",INDEX(J$1:J4140,SUMPRODUCT(MAX(ROW(E$1:E4140)*(E4141=E$1:E4140)))))</f>
        <v> </v>
      </c>
      <c r="L4141" s="27"/>
    </row>
    <row r="4142" spans="1:12">
      <c r="A4142" s="20" t="s">
        <v>2204</v>
      </c>
      <c r="E4142" s="22">
        <f>IF(D4142="?OLD","!!!","")</f>
        <v/>
      </c>
      <c r="F4142" s="23" t="str">
        <f>IF(OR(E4142="",E4142="!!!"),"",IF(NOT(ISNA(VLOOKUP(E4142,E$1:E4141,1,FALSE()))),"OLD",IF(AND(E4142&lt;&gt;"",E4142&lt;&gt;"!!!"),"NEW","")))</f>
        <v> </v>
      </c>
      <c r="G4142" s="24" t="str">
        <f>IF(OR(E4142="",E4142="!!!"),"",IF(OR(J4142=0,AND(J4142=1,K4142=1),AND(J4142=1,I4142="SBJ"),AND(J4142=1,I4142=0)),"?IN_FOCUS",IF(J4142&lt;=2,"?ACTIVATED",IF(J4142&lt;&gt;"","?FAMILIAR",IF(F4142="NEW",IF(ISNA(VLOOKUP(E4142,#REF!,1,FALSE())),"?TYPE_IDENTIFIABLE","?REFERENTIAL"),"_")))))</f>
        <v> </v>
      </c>
      <c r="H4142" s="25" t="str">
        <f>IF(J4142&lt;&gt;1,"",IF(I4142="SBJ","CB","?"))</f>
        <v> </v>
      </c>
      <c r="I4142" s="26" t="str">
        <f>IF(OR(E4142="",E4142="!!!",F4142="NEW"),"",INDEX(B4141:B$2,-1+SUMPRODUCT(MAX(ROW(E4141:E$2)*(E4142=E4141:E$2)))))</f>
        <v> </v>
      </c>
      <c r="J4142" s="26" t="str">
        <f>IF(OR(E4142="",E4142="!!!",F4142="NEW"),"",COUNTBLANK(OFFSET(A$1,,,SUMPRODUCT(MAX(ROW(E$2:E4142)*(E4142=E$2:E4142)))))-COUNTBLANK(OFFSET(A$1,,,SUMPRODUCT(MAX(ROW(E$1:E4141)*(E2=E$1:E4141))))))</f>
        <v> </v>
      </c>
      <c r="K4142" s="26" t="str">
        <f>IF(OR(E4142="",E4142="!!!",F4142="NEW"),"",INDEX(J$1:J4141,SUMPRODUCT(MAX(ROW(E$1:E4141)*(E4142=E$1:E4141)))))</f>
        <v> </v>
      </c>
      <c r="L4142" s="27"/>
    </row>
    <row r="4143" spans="1:12">
      <c r="A4143" s="20" t="s">
        <v>1065</v>
      </c>
      <c r="E4143" s="22">
        <f>IF(D4143="?OLD","!!!","")</f>
        <v/>
      </c>
      <c r="F4143" s="23" t="str">
        <f>IF(OR(E4143="",E4143="!!!"),"",IF(NOT(ISNA(VLOOKUP(E4143,E$1:E4142,1,FALSE()))),"OLD",IF(AND(E4143&lt;&gt;"",E4143&lt;&gt;"!!!"),"NEW","")))</f>
        <v> </v>
      </c>
      <c r="G4143" s="24" t="str">
        <f>IF(OR(E4143="",E4143="!!!"),"",IF(OR(J4143=0,AND(J4143=1,K4143=1),AND(J4143=1,I4143="SBJ"),AND(J4143=1,I4143=0)),"?IN_FOCUS",IF(J4143&lt;=2,"?ACTIVATED",IF(J4143&lt;&gt;"","?FAMILIAR",IF(F4143="NEW",IF(ISNA(VLOOKUP(E4143,#REF!,1,FALSE())),"?TYPE_IDENTIFIABLE","?REFERENTIAL"),"_")))))</f>
        <v> </v>
      </c>
      <c r="H4143" s="25" t="str">
        <f>IF(J4143&lt;&gt;1,"",IF(I4143="SBJ","CB","?"))</f>
        <v> </v>
      </c>
      <c r="I4143" s="26" t="str">
        <f>IF(OR(E4143="",E4143="!!!",F4143="NEW"),"",INDEX(B4142:B$2,-1+SUMPRODUCT(MAX(ROW(E4142:E$2)*(E4143=E4142:E$2)))))</f>
        <v> </v>
      </c>
      <c r="J4143" s="26" t="str">
        <f>IF(OR(E4143="",E4143="!!!",F4143="NEW"),"",COUNTBLANK(OFFSET(A$1,,,SUMPRODUCT(MAX(ROW(E$2:E4143)*(E4143=E$2:E4143)))))-COUNTBLANK(OFFSET(A$1,,,SUMPRODUCT(MAX(ROW(E$1:E4142)*(E2=E$1:E4142))))))</f>
        <v> </v>
      </c>
      <c r="K4143" s="26" t="str">
        <f>IF(OR(E4143="",E4143="!!!",F4143="NEW"),"",INDEX(J$1:J4142,SUMPRODUCT(MAX(ROW(E$1:E4142)*(E4143=E$1:E4142)))))</f>
        <v> </v>
      </c>
      <c r="L4143" s="27"/>
    </row>
    <row r="4144" spans="1:12">
      <c r="A4144" s="20" t="s">
        <v>1224</v>
      </c>
      <c r="B4144" s="21" t="s">
        <v>1119</v>
      </c>
      <c r="C4144" s="21" t="s">
        <v>1082</v>
      </c>
      <c r="D4144" s="21" t="s">
        <v>1007</v>
      </c>
      <c r="E4144" s="22">
        <f>IF(D4144="?OLD","!!!","")</f>
        <v/>
      </c>
      <c r="F4144" s="23" t="str">
        <f>IF(OR(E4144="",E4144="!!!"),"",IF(NOT(ISNA(VLOOKUP(E4144,E$1:E4143,1,FALSE()))),"OLD",IF(AND(E4144&lt;&gt;"",E4144&lt;&gt;"!!!"),"NEW","")))</f>
        <v> </v>
      </c>
      <c r="G4144" s="24" t="str">
        <f>IF(OR(E4144="",E4144="!!!"),"",IF(OR(J4144=0,AND(J4144=1,K4144=1),AND(J4144=1,I4144="SBJ"),AND(J4144=1,I4144=0)),"?IN_FOCUS",IF(J4144&lt;=2,"?ACTIVATED",IF(J4144&lt;&gt;"","?FAMILIAR",IF(F4144="NEW",IF(ISNA(VLOOKUP(E4144,#REF!,1,FALSE())),"?TYPE_IDENTIFIABLE","?REFERENTIAL"),"_")))))</f>
        <v> </v>
      </c>
      <c r="H4144" s="25" t="str">
        <f>IF(J4144&lt;&gt;1,"",IF(I4144="SBJ","CB","?"))</f>
        <v> </v>
      </c>
      <c r="I4144" s="26" t="str">
        <f>IF(OR(E4144="",E4144="!!!",F4144="NEW"),"",INDEX(B4143:B$2,-1+SUMPRODUCT(MAX(ROW(E4143:E$2)*(E4144=E4143:E$2)))))</f>
        <v> </v>
      </c>
      <c r="J4144" s="26" t="str">
        <f>IF(OR(E4144="",E4144="!!!",F4144="NEW"),"",COUNTBLANK(OFFSET(A$1,,,SUMPRODUCT(MAX(ROW(E$2:E4144)*(E4144=E$2:E4144)))))-COUNTBLANK(OFFSET(A$1,,,SUMPRODUCT(MAX(ROW(E$1:E4143)*(E2=E$1:E4143))))))</f>
        <v> </v>
      </c>
      <c r="K4144" s="26" t="str">
        <f>IF(OR(E4144="",E4144="!!!",F4144="NEW"),"",INDEX(J$1:J4143,SUMPRODUCT(MAX(ROW(E$1:E4143)*(E4144=E$1:E4143)))))</f>
        <v> </v>
      </c>
      <c r="L4144" s="27"/>
    </row>
    <row r="4145" spans="1:12">
      <c r="A4145" s="20" t="s">
        <v>1142</v>
      </c>
      <c r="E4145" s="22">
        <f>IF(D4145="?OLD","!!!","")</f>
        <v/>
      </c>
      <c r="F4145" s="23" t="str">
        <f>IF(OR(E4145="",E4145="!!!"),"",IF(NOT(ISNA(VLOOKUP(E4145,E$1:E4144,1,FALSE()))),"OLD",IF(AND(E4145&lt;&gt;"",E4145&lt;&gt;"!!!"),"NEW","")))</f>
        <v> </v>
      </c>
      <c r="G4145" s="24" t="str">
        <f>IF(OR(E4145="",E4145="!!!"),"",IF(OR(J4145=0,AND(J4145=1,K4145=1),AND(J4145=1,I4145="SBJ"),AND(J4145=1,I4145=0)),"?IN_FOCUS",IF(J4145&lt;=2,"?ACTIVATED",IF(J4145&lt;&gt;"","?FAMILIAR",IF(F4145="NEW",IF(ISNA(VLOOKUP(E4145,#REF!,1,FALSE())),"?TYPE_IDENTIFIABLE","?REFERENTIAL"),"_")))))</f>
        <v> </v>
      </c>
      <c r="H4145" s="25" t="str">
        <f>IF(J4145&lt;&gt;1,"",IF(I4145="SBJ","CB","?"))</f>
        <v> </v>
      </c>
      <c r="I4145" s="26" t="str">
        <f>IF(OR(E4145="",E4145="!!!",F4145="NEW"),"",INDEX(B4144:B$2,-1+SUMPRODUCT(MAX(ROW(E4144:E$2)*(E4145=E4144:E$2)))))</f>
        <v> </v>
      </c>
      <c r="J4145" s="26" t="str">
        <f>IF(OR(E4145="",E4145="!!!",F4145="NEW"),"",COUNTBLANK(OFFSET(A$1,,,SUMPRODUCT(MAX(ROW(E$2:E4145)*(E4145=E$2:E4145)))))-COUNTBLANK(OFFSET(A$1,,,SUMPRODUCT(MAX(ROW(E$1:E4144)*(E2=E$1:E4144))))))</f>
        <v> </v>
      </c>
      <c r="K4145" s="26" t="str">
        <f>IF(OR(E4145="",E4145="!!!",F4145="NEW"),"",INDEX(J$1:J4144,SUMPRODUCT(MAX(ROW(E$1:E4144)*(E4145=E$1:E4144)))))</f>
        <v> </v>
      </c>
      <c r="L4145" s="27"/>
    </row>
    <row r="4146" spans="1:12">
      <c r="A4146" s="20" t="s">
        <v>1520</v>
      </c>
      <c r="E4146" s="22">
        <f>IF(D4146="?OLD","!!!","")</f>
        <v/>
      </c>
      <c r="F4146" s="23" t="str">
        <f>IF(OR(E4146="",E4146="!!!"),"",IF(NOT(ISNA(VLOOKUP(E4146,E$1:E4145,1,FALSE()))),"OLD",IF(AND(E4146&lt;&gt;"",E4146&lt;&gt;"!!!"),"NEW","")))</f>
        <v> </v>
      </c>
      <c r="G4146" s="24" t="str">
        <f>IF(OR(E4146="",E4146="!!!"),"",IF(OR(J4146=0,AND(J4146=1,K4146=1),AND(J4146=1,I4146="SBJ"),AND(J4146=1,I4146=0)),"?IN_FOCUS",IF(J4146&lt;=2,"?ACTIVATED",IF(J4146&lt;&gt;"","?FAMILIAR",IF(F4146="NEW",IF(ISNA(VLOOKUP(E4146,#REF!,1,FALSE())),"?TYPE_IDENTIFIABLE","?REFERENTIAL"),"_")))))</f>
        <v> </v>
      </c>
      <c r="H4146" s="25" t="str">
        <f>IF(J4146&lt;&gt;1,"",IF(I4146="SBJ","CB","?"))</f>
        <v> </v>
      </c>
      <c r="I4146" s="26" t="str">
        <f>IF(OR(E4146="",E4146="!!!",F4146="NEW"),"",INDEX(B4145:B$2,-1+SUMPRODUCT(MAX(ROW(E4145:E$2)*(E4146=E4145:E$2)))))</f>
        <v> </v>
      </c>
      <c r="J4146" s="26" t="str">
        <f>IF(OR(E4146="",E4146="!!!",F4146="NEW"),"",COUNTBLANK(OFFSET(A$1,,,SUMPRODUCT(MAX(ROW(E$2:E4146)*(E4146=E$2:E4146)))))-COUNTBLANK(OFFSET(A$1,,,SUMPRODUCT(MAX(ROW(E$1:E4145)*(E2=E$1:E4145))))))</f>
        <v> </v>
      </c>
      <c r="K4146" s="26" t="str">
        <f>IF(OR(E4146="",E4146="!!!",F4146="NEW"),"",INDEX(J$1:J4145,SUMPRODUCT(MAX(ROW(E$1:E4145)*(E4146=E$1:E4145)))))</f>
        <v> </v>
      </c>
      <c r="L4146" s="27"/>
    </row>
    <row r="4147" spans="1:12">
      <c r="A4147" s="20" t="s">
        <v>2205</v>
      </c>
      <c r="B4147" s="21" t="s">
        <v>1029</v>
      </c>
      <c r="C4147" s="21" t="s">
        <v>1048</v>
      </c>
      <c r="E4147" s="22">
        <f>IF(D4147="?OLD","!!!","")</f>
        <v/>
      </c>
      <c r="F4147" s="23" t="str">
        <f>IF(OR(E4147="",E4147="!!!"),"",IF(NOT(ISNA(VLOOKUP(E4147,E$1:E4146,1,FALSE()))),"OLD",IF(AND(E4147&lt;&gt;"",E4147&lt;&gt;"!!!"),"NEW","")))</f>
        <v> </v>
      </c>
      <c r="G4147" s="24" t="str">
        <f>IF(OR(E4147="",E4147="!!!"),"",IF(OR(J4147=0,AND(J4147=1,K4147=1),AND(J4147=1,I4147="SBJ"),AND(J4147=1,I4147=0)),"?IN_FOCUS",IF(J4147&lt;=2,"?ACTIVATED",IF(J4147&lt;&gt;"","?FAMILIAR",IF(F4147="NEW",IF(ISNA(VLOOKUP(E4147,#REF!,1,FALSE())),"?TYPE_IDENTIFIABLE","?REFERENTIAL"),"_")))))</f>
        <v> </v>
      </c>
      <c r="H4147" s="25" t="str">
        <f>IF(J4147&lt;&gt;1,"",IF(I4147="SBJ","CB","?"))</f>
        <v> </v>
      </c>
      <c r="I4147" s="26" t="str">
        <f>IF(OR(E4147="",E4147="!!!",F4147="NEW"),"",INDEX(B4146:B$2,-1+SUMPRODUCT(MAX(ROW(E4146:E$2)*(E4147=E4146:E$2)))))</f>
        <v> </v>
      </c>
      <c r="J4147" s="26" t="str">
        <f>IF(OR(E4147="",E4147="!!!",F4147="NEW"),"",COUNTBLANK(OFFSET(A$1,,,SUMPRODUCT(MAX(ROW(E$2:E4147)*(E4147=E$2:E4147)))))-COUNTBLANK(OFFSET(A$1,,,SUMPRODUCT(MAX(ROW(E$1:E4146)*(E2=E$1:E4146))))))</f>
        <v> </v>
      </c>
      <c r="K4147" s="26" t="str">
        <f>IF(OR(E4147="",E4147="!!!",F4147="NEW"),"",INDEX(J$1:J4146,SUMPRODUCT(MAX(ROW(E$1:E4146)*(E4147=E$1:E4146)))))</f>
        <v> </v>
      </c>
      <c r="L4147" s="27"/>
    </row>
    <row r="4148" spans="1:12">
      <c r="A4148" s="20" t="s">
        <v>1018</v>
      </c>
      <c r="E4148" s="22">
        <f>IF(D4148="?OLD","!!!","")</f>
        <v/>
      </c>
      <c r="F4148" s="23" t="str">
        <f>IF(OR(E4148="",E4148="!!!"),"",IF(NOT(ISNA(VLOOKUP(E4148,E$1:E4147,1,FALSE()))),"OLD",IF(AND(E4148&lt;&gt;"",E4148&lt;&gt;"!!!"),"NEW","")))</f>
        <v> </v>
      </c>
      <c r="G4148" s="24" t="str">
        <f>IF(OR(E4148="",E4148="!!!"),"",IF(OR(J4148=0,AND(J4148=1,K4148=1),AND(J4148=1,I4148="SBJ"),AND(J4148=1,I4148=0)),"?IN_FOCUS",IF(J4148&lt;=2,"?ACTIVATED",IF(J4148&lt;&gt;"","?FAMILIAR",IF(F4148="NEW",IF(ISNA(VLOOKUP(E4148,#REF!,1,FALSE())),"?TYPE_IDENTIFIABLE","?REFERENTIAL"),"_")))))</f>
        <v> </v>
      </c>
      <c r="H4148" s="25" t="str">
        <f>IF(J4148&lt;&gt;1,"",IF(I4148="SBJ","CB","?"))</f>
        <v> </v>
      </c>
      <c r="I4148" s="26" t="str">
        <f>IF(OR(E4148="",E4148="!!!",F4148="NEW"),"",INDEX(B4147:B$2,-1+SUMPRODUCT(MAX(ROW(E4147:E$2)*(E4148=E4147:E$2)))))</f>
        <v> </v>
      </c>
      <c r="J4148" s="26" t="str">
        <f>IF(OR(E4148="",E4148="!!!",F4148="NEW"),"",COUNTBLANK(OFFSET(A$1,,,SUMPRODUCT(MAX(ROW(E$2:E4148)*(E4148=E$2:E4148)))))-COUNTBLANK(OFFSET(A$1,,,SUMPRODUCT(MAX(ROW(E$1:E4147)*(E2=E$1:E4147))))))</f>
        <v> </v>
      </c>
      <c r="K4148" s="26" t="str">
        <f>IF(OR(E4148="",E4148="!!!",F4148="NEW"),"",INDEX(J$1:J4147,SUMPRODUCT(MAX(ROW(E$1:E4147)*(E4148=E$1:E4147)))))</f>
        <v> </v>
      </c>
      <c r="L4148" s="27"/>
    </row>
    <row r="4149" spans="1:12">
      <c r="A4149" s="20" t="s">
        <v>56</v>
      </c>
      <c r="E4149" s="22">
        <f>IF(D4149="?OLD","!!!","")</f>
        <v/>
      </c>
      <c r="F4149" s="23" t="str">
        <f>IF(OR(E4149="",E4149="!!!"),"",IF(NOT(ISNA(VLOOKUP(E4149,E$1:E4148,1,FALSE()))),"OLD",IF(AND(E4149&lt;&gt;"",E4149&lt;&gt;"!!!"),"NEW","")))</f>
        <v> </v>
      </c>
      <c r="G4149" s="24" t="str">
        <f>IF(OR(E4149="",E4149="!!!"),"",IF(OR(J4149=0,AND(J4149=1,K4149=1),AND(J4149=1,I4149="SBJ"),AND(J4149=1,I4149=0)),"?IN_FOCUS",IF(J4149&lt;=2,"?ACTIVATED",IF(J4149&lt;&gt;"","?FAMILIAR",IF(F4149="NEW",IF(ISNA(VLOOKUP(E4149,#REF!,1,FALSE())),"?TYPE_IDENTIFIABLE","?REFERENTIAL"),"_")))))</f>
        <v> </v>
      </c>
      <c r="H4149" s="25" t="str">
        <f>IF(J4149&lt;&gt;1,"",IF(I4149="SBJ","CB","?"))</f>
        <v> </v>
      </c>
      <c r="I4149" s="26" t="str">
        <f>IF(OR(E4149="",E4149="!!!",F4149="NEW"),"",INDEX(B4148:B$2,-1+SUMPRODUCT(MAX(ROW(E4148:E$2)*(E4149=E4148:E$2)))))</f>
        <v> </v>
      </c>
      <c r="J4149" s="26" t="str">
        <f>IF(OR(E4149="",E4149="!!!",F4149="NEW"),"",COUNTBLANK(OFFSET(A$1,,,SUMPRODUCT(MAX(ROW(E$2:E4149)*(E4149=E$2:E4149)))))-COUNTBLANK(OFFSET(A$1,,,SUMPRODUCT(MAX(ROW(E$1:E4148)*(E2=E$1:E4148))))))</f>
        <v> </v>
      </c>
      <c r="K4149" s="26" t="str">
        <f>IF(OR(E4149="",E4149="!!!",F4149="NEW"),"",INDEX(J$1:J4148,SUMPRODUCT(MAX(ROW(E$1:E4148)*(E4149=E$1:E4148)))))</f>
        <v> </v>
      </c>
      <c r="L4149" s="27"/>
    </row>
    <row r="4150" spans="1:12">
      <c r="A4150" s="20" t="s">
        <v>1142</v>
      </c>
      <c r="E4150" s="22">
        <f>IF(D4150="?OLD","!!!","")</f>
        <v/>
      </c>
      <c r="F4150" s="23" t="str">
        <f>IF(OR(E4150="",E4150="!!!"),"",IF(NOT(ISNA(VLOOKUP(E4150,E$1:E4149,1,FALSE()))),"OLD",IF(AND(E4150&lt;&gt;"",E4150&lt;&gt;"!!!"),"NEW","")))</f>
        <v> </v>
      </c>
      <c r="G4150" s="24" t="str">
        <f>IF(OR(E4150="",E4150="!!!"),"",IF(OR(J4150=0,AND(J4150=1,K4150=1),AND(J4150=1,I4150="SBJ"),AND(J4150=1,I4150=0)),"?IN_FOCUS",IF(J4150&lt;=2,"?ACTIVATED",IF(J4150&lt;&gt;"","?FAMILIAR",IF(F4150="NEW",IF(ISNA(VLOOKUP(E4150,#REF!,1,FALSE())),"?TYPE_IDENTIFIABLE","?REFERENTIAL"),"_")))))</f>
        <v> </v>
      </c>
      <c r="H4150" s="25" t="str">
        <f>IF(J4150&lt;&gt;1,"",IF(I4150="SBJ","CB","?"))</f>
        <v> </v>
      </c>
      <c r="I4150" s="26" t="str">
        <f>IF(OR(E4150="",E4150="!!!",F4150="NEW"),"",INDEX(B4149:B$2,-1+SUMPRODUCT(MAX(ROW(E4149:E$2)*(E4150=E4149:E$2)))))</f>
        <v> </v>
      </c>
      <c r="J4150" s="26" t="str">
        <f>IF(OR(E4150="",E4150="!!!",F4150="NEW"),"",COUNTBLANK(OFFSET(A$1,,,SUMPRODUCT(MAX(ROW(E$2:E4150)*(E4150=E$2:E4150)))))-COUNTBLANK(OFFSET(A$1,,,SUMPRODUCT(MAX(ROW(E$1:E4149)*(E2=E$1:E4149))))))</f>
        <v> </v>
      </c>
      <c r="K4150" s="26" t="str">
        <f>IF(OR(E4150="",E4150="!!!",F4150="NEW"),"",INDEX(J$1:J4149,SUMPRODUCT(MAX(ROW(E$1:E4149)*(E4150=E$1:E4149)))))</f>
        <v> </v>
      </c>
      <c r="L4150" s="27"/>
    </row>
    <row r="4151" spans="1:12">
      <c r="A4151" s="20" t="s">
        <v>1679</v>
      </c>
      <c r="E4151" s="22">
        <f>IF(D4151="?OLD","!!!","")</f>
        <v/>
      </c>
      <c r="F4151" s="23" t="str">
        <f>IF(OR(E4151="",E4151="!!!"),"",IF(NOT(ISNA(VLOOKUP(E4151,E$1:E4150,1,FALSE()))),"OLD",IF(AND(E4151&lt;&gt;"",E4151&lt;&gt;"!!!"),"NEW","")))</f>
        <v> </v>
      </c>
      <c r="G4151" s="24" t="str">
        <f>IF(OR(E4151="",E4151="!!!"),"",IF(OR(J4151=0,AND(J4151=1,K4151=1),AND(J4151=1,I4151="SBJ"),AND(J4151=1,I4151=0)),"?IN_FOCUS",IF(J4151&lt;=2,"?ACTIVATED",IF(J4151&lt;&gt;"","?FAMILIAR",IF(F4151="NEW",IF(ISNA(VLOOKUP(E4151,#REF!,1,FALSE())),"?TYPE_IDENTIFIABLE","?REFERENTIAL"),"_")))))</f>
        <v> </v>
      </c>
      <c r="H4151" s="25" t="str">
        <f>IF(J4151&lt;&gt;1,"",IF(I4151="SBJ","CB","?"))</f>
        <v> </v>
      </c>
      <c r="I4151" s="26" t="str">
        <f>IF(OR(E4151="",E4151="!!!",F4151="NEW"),"",INDEX(B4150:B$2,-1+SUMPRODUCT(MAX(ROW(E4150:E$2)*(E4151=E4150:E$2)))))</f>
        <v> </v>
      </c>
      <c r="J4151" s="26" t="str">
        <f>IF(OR(E4151="",E4151="!!!",F4151="NEW"),"",COUNTBLANK(OFFSET(A$1,,,SUMPRODUCT(MAX(ROW(E$2:E4151)*(E4151=E$2:E4151)))))-COUNTBLANK(OFFSET(A$1,,,SUMPRODUCT(MAX(ROW(E$1:E4150)*(E2=E$1:E4150))))))</f>
        <v> </v>
      </c>
      <c r="K4151" s="26" t="str">
        <f>IF(OR(E4151="",E4151="!!!",F4151="NEW"),"",INDEX(J$1:J4150,SUMPRODUCT(MAX(ROW(E$1:E4150)*(E4151=E$1:E4150)))))</f>
        <v> </v>
      </c>
      <c r="L4151" s="27"/>
    </row>
    <row r="4152" spans="1:12">
      <c r="A4152" s="20" t="s">
        <v>1014</v>
      </c>
      <c r="E4152" s="22">
        <f>IF(D4152="?OLD","!!!","")</f>
        <v/>
      </c>
      <c r="F4152" s="23" t="str">
        <f>IF(OR(E4152="",E4152="!!!"),"",IF(NOT(ISNA(VLOOKUP(E4152,E$1:E4151,1,FALSE()))),"OLD",IF(AND(E4152&lt;&gt;"",E4152&lt;&gt;"!!!"),"NEW","")))</f>
        <v> </v>
      </c>
      <c r="G4152" s="24" t="str">
        <f>IF(OR(E4152="",E4152="!!!"),"",IF(OR(J4152=0,AND(J4152=1,K4152=1),AND(J4152=1,I4152="SBJ"),AND(J4152=1,I4152=0)),"?IN_FOCUS",IF(J4152&lt;=2,"?ACTIVATED",IF(J4152&lt;&gt;"","?FAMILIAR",IF(F4152="NEW",IF(ISNA(VLOOKUP(E4152,#REF!,1,FALSE())),"?TYPE_IDENTIFIABLE","?REFERENTIAL"),"_")))))</f>
        <v> </v>
      </c>
      <c r="H4152" s="25" t="str">
        <f>IF(J4152&lt;&gt;1,"",IF(I4152="SBJ","CB","?"))</f>
        <v> </v>
      </c>
      <c r="I4152" s="26" t="str">
        <f>IF(OR(E4152="",E4152="!!!",F4152="NEW"),"",INDEX(B4151:B$2,-1+SUMPRODUCT(MAX(ROW(E4151:E$2)*(E4152=E4151:E$2)))))</f>
        <v> </v>
      </c>
      <c r="J4152" s="26" t="str">
        <f>IF(OR(E4152="",E4152="!!!",F4152="NEW"),"",COUNTBLANK(OFFSET(A$1,,,SUMPRODUCT(MAX(ROW(E$2:E4152)*(E4152=E$2:E4152)))))-COUNTBLANK(OFFSET(A$1,,,SUMPRODUCT(MAX(ROW(E$1:E4151)*(E2=E$1:E4151))))))</f>
        <v> </v>
      </c>
      <c r="K4152" s="26" t="str">
        <f>IF(OR(E4152="",E4152="!!!",F4152="NEW"),"",INDEX(J$1:J4151,SUMPRODUCT(MAX(ROW(E$1:E4151)*(E4152=E$1:E4151)))))</f>
        <v> </v>
      </c>
      <c r="L4152" s="27"/>
    </row>
    <row r="4153" spans="1:12">
      <c r="A4153" s="20" t="s">
        <v>2206</v>
      </c>
      <c r="E4153" s="22">
        <f>IF(D4153="?OLD","!!!","")</f>
        <v/>
      </c>
      <c r="F4153" s="23" t="str">
        <f>IF(OR(E4153="",E4153="!!!"),"",IF(NOT(ISNA(VLOOKUP(E4153,E$1:E4152,1,FALSE()))),"OLD",IF(AND(E4153&lt;&gt;"",E4153&lt;&gt;"!!!"),"NEW","")))</f>
        <v> </v>
      </c>
      <c r="G4153" s="24" t="str">
        <f>IF(OR(E4153="",E4153="!!!"),"",IF(OR(J4153=0,AND(J4153=1,K4153=1),AND(J4153=1,I4153="SBJ"),AND(J4153=1,I4153=0)),"?IN_FOCUS",IF(J4153&lt;=2,"?ACTIVATED",IF(J4153&lt;&gt;"","?FAMILIAR",IF(F4153="NEW",IF(ISNA(VLOOKUP(E4153,#REF!,1,FALSE())),"?TYPE_IDENTIFIABLE","?REFERENTIAL"),"_")))))</f>
        <v> </v>
      </c>
      <c r="H4153" s="25" t="str">
        <f>IF(J4153&lt;&gt;1,"",IF(I4153="SBJ","CB","?"))</f>
        <v> </v>
      </c>
      <c r="I4153" s="26" t="str">
        <f>IF(OR(E4153="",E4153="!!!",F4153="NEW"),"",INDEX(B4152:B$2,-1+SUMPRODUCT(MAX(ROW(E4152:E$2)*(E4153=E4152:E$2)))))</f>
        <v> </v>
      </c>
      <c r="J4153" s="26" t="str">
        <f>IF(OR(E4153="",E4153="!!!",F4153="NEW"),"",COUNTBLANK(OFFSET(A$1,,,SUMPRODUCT(MAX(ROW(E$2:E4153)*(E4153=E$2:E4153)))))-COUNTBLANK(OFFSET(A$1,,,SUMPRODUCT(MAX(ROW(E$1:E4152)*(E2=E$1:E4152))))))</f>
        <v> </v>
      </c>
      <c r="K4153" s="26" t="str">
        <f>IF(OR(E4153="",E4153="!!!",F4153="NEW"),"",INDEX(J$1:J4152,SUMPRODUCT(MAX(ROW(E$1:E4152)*(E4153=E$1:E4152)))))</f>
        <v> </v>
      </c>
      <c r="L4153" s="27"/>
    </row>
    <row r="4154" spans="1:12">
      <c r="A4154" s="20" t="s">
        <v>1030</v>
      </c>
      <c r="E4154" s="22">
        <f>IF(D4154="?OLD","!!!","")</f>
        <v/>
      </c>
      <c r="F4154" s="23" t="str">
        <f>IF(OR(E4154="",E4154="!!!"),"",IF(NOT(ISNA(VLOOKUP(E4154,E$1:E4153,1,FALSE()))),"OLD",IF(AND(E4154&lt;&gt;"",E4154&lt;&gt;"!!!"),"NEW","")))</f>
        <v> </v>
      </c>
      <c r="G4154" s="24" t="str">
        <f>IF(OR(E4154="",E4154="!!!"),"",IF(OR(J4154=0,AND(J4154=1,K4154=1),AND(J4154=1,I4154="SBJ"),AND(J4154=1,I4154=0)),"?IN_FOCUS",IF(J4154&lt;=2,"?ACTIVATED",IF(J4154&lt;&gt;"","?FAMILIAR",IF(F4154="NEW",IF(ISNA(VLOOKUP(E4154,#REF!,1,FALSE())),"?TYPE_IDENTIFIABLE","?REFERENTIAL"),"_")))))</f>
        <v> </v>
      </c>
      <c r="H4154" s="25" t="str">
        <f>IF(J4154&lt;&gt;1,"",IF(I4154="SBJ","CB","?"))</f>
        <v> </v>
      </c>
      <c r="I4154" s="26" t="str">
        <f>IF(OR(E4154="",E4154="!!!",F4154="NEW"),"",INDEX(B4153:B$2,-1+SUMPRODUCT(MAX(ROW(E4153:E$2)*(E4154=E4153:E$2)))))</f>
        <v> </v>
      </c>
      <c r="J4154" s="26" t="str">
        <f>IF(OR(E4154="",E4154="!!!",F4154="NEW"),"",COUNTBLANK(OFFSET(A$1,,,SUMPRODUCT(MAX(ROW(E$2:E4154)*(E4154=E$2:E4154)))))-COUNTBLANK(OFFSET(A$1,,,SUMPRODUCT(MAX(ROW(E$1:E4153)*(E2=E$1:E4153))))))</f>
        <v> </v>
      </c>
      <c r="K4154" s="26" t="str">
        <f>IF(OR(E4154="",E4154="!!!",F4154="NEW"),"",INDEX(J$1:J4153,SUMPRODUCT(MAX(ROW(E$1:E4153)*(E4154=E$1:E4153)))))</f>
        <v> </v>
      </c>
      <c r="L4154" s="27"/>
    </row>
    <row r="4155" spans="1:12">
      <c r="A4155" s="20" t="s">
        <v>1020</v>
      </c>
      <c r="E4155" s="22">
        <f>IF(D4155="?OLD","!!!","")</f>
        <v/>
      </c>
      <c r="F4155" s="23" t="str">
        <f>IF(OR(E4155="",E4155="!!!"),"",IF(NOT(ISNA(VLOOKUP(E4155,E$1:E4154,1,FALSE()))),"OLD",IF(AND(E4155&lt;&gt;"",E4155&lt;&gt;"!!!"),"NEW","")))</f>
        <v> </v>
      </c>
      <c r="G4155" s="24" t="str">
        <f>IF(OR(E4155="",E4155="!!!"),"",IF(OR(J4155=0,AND(J4155=1,K4155=1),AND(J4155=1,I4155="SBJ"),AND(J4155=1,I4155=0)),"?IN_FOCUS",IF(J4155&lt;=2,"?ACTIVATED",IF(J4155&lt;&gt;"","?FAMILIAR",IF(F4155="NEW",IF(ISNA(VLOOKUP(E4155,#REF!,1,FALSE())),"?TYPE_IDENTIFIABLE","?REFERENTIAL"),"_")))))</f>
        <v> </v>
      </c>
      <c r="H4155" s="25" t="str">
        <f>IF(J4155&lt;&gt;1,"",IF(I4155="SBJ","CB","?"))</f>
        <v> </v>
      </c>
      <c r="I4155" s="26" t="str">
        <f>IF(OR(E4155="",E4155="!!!",F4155="NEW"),"",INDEX(B4154:B$2,-1+SUMPRODUCT(MAX(ROW(E4154:E$2)*(E4155=E4154:E$2)))))</f>
        <v> </v>
      </c>
      <c r="J4155" s="26" t="str">
        <f>IF(OR(E4155="",E4155="!!!",F4155="NEW"),"",COUNTBLANK(OFFSET(A$1,,,SUMPRODUCT(MAX(ROW(E$2:E4155)*(E4155=E$2:E4155)))))-COUNTBLANK(OFFSET(A$1,,,SUMPRODUCT(MAX(ROW(E$1:E4154)*(E2=E$1:E4154))))))</f>
        <v> </v>
      </c>
      <c r="K4155" s="26" t="str">
        <f>IF(OR(E4155="",E4155="!!!",F4155="NEW"),"",INDEX(J$1:J4154,SUMPRODUCT(MAX(ROW(E$1:E4154)*(E4155=E$1:E4154)))))</f>
        <v> </v>
      </c>
      <c r="L4155" s="27"/>
    </row>
    <row r="4156" spans="1:12">
      <c r="A4156" s="20" t="s">
        <v>1129</v>
      </c>
      <c r="B4156" s="21" t="s">
        <v>1130</v>
      </c>
      <c r="C4156" s="21" t="s">
        <v>1059</v>
      </c>
      <c r="D4156" s="21" t="s">
        <v>1007</v>
      </c>
      <c r="E4156" s="22">
        <f>IF(D4156="?OLD","!!!","")</f>
        <v/>
      </c>
      <c r="F4156" s="23" t="str">
        <f>IF(OR(E4156="",E4156="!!!"),"",IF(NOT(ISNA(VLOOKUP(E4156,E$1:E4155,1,FALSE()))),"OLD",IF(AND(E4156&lt;&gt;"",E4156&lt;&gt;"!!!"),"NEW","")))</f>
        <v> </v>
      </c>
      <c r="G4156" s="24" t="str">
        <f>IF(OR(E4156="",E4156="!!!"),"",IF(OR(J4156=0,AND(J4156=1,K4156=1),AND(J4156=1,I4156="SBJ"),AND(J4156=1,I4156=0)),"?IN_FOCUS",IF(J4156&lt;=2,"?ACTIVATED",IF(J4156&lt;&gt;"","?FAMILIAR",IF(F4156="NEW",IF(ISNA(VLOOKUP(E4156,#REF!,1,FALSE())),"?TYPE_IDENTIFIABLE","?REFERENTIAL"),"_")))))</f>
        <v> </v>
      </c>
      <c r="H4156" s="25" t="str">
        <f>IF(J4156&lt;&gt;1,"",IF(I4156="SBJ","CB","?"))</f>
        <v> </v>
      </c>
      <c r="I4156" s="26" t="str">
        <f>IF(OR(E4156="",E4156="!!!",F4156="NEW"),"",INDEX(B4155:B$2,-1+SUMPRODUCT(MAX(ROW(E4155:E$2)*(E4156=E4155:E$2)))))</f>
        <v> </v>
      </c>
      <c r="J4156" s="26" t="str">
        <f>IF(OR(E4156="",E4156="!!!",F4156="NEW"),"",COUNTBLANK(OFFSET(A$1,,,SUMPRODUCT(MAX(ROW(E$2:E4156)*(E4156=E$2:E4156)))))-COUNTBLANK(OFFSET(A$1,,,SUMPRODUCT(MAX(ROW(E$1:E4155)*(E2=E$1:E4155))))))</f>
        <v> </v>
      </c>
      <c r="K4156" s="26" t="str">
        <f>IF(OR(E4156="",E4156="!!!",F4156="NEW"),"",INDEX(J$1:J4155,SUMPRODUCT(MAX(ROW(E$1:E4155)*(E4156=E$1:E4155)))))</f>
        <v> </v>
      </c>
      <c r="L4156" s="27"/>
    </row>
    <row r="4157" spans="1:12">
      <c r="A4157" s="20" t="s">
        <v>2207</v>
      </c>
      <c r="B4157" s="21" t="s">
        <v>1064</v>
      </c>
      <c r="C4157" s="21" t="s">
        <v>1017</v>
      </c>
      <c r="D4157" s="21" t="s">
        <v>1007</v>
      </c>
      <c r="E4157" s="22">
        <f>IF(D4157="?OLD","!!!","")</f>
        <v/>
      </c>
      <c r="F4157" s="23" t="str">
        <f>IF(OR(E4157="",E4157="!!!"),"",IF(NOT(ISNA(VLOOKUP(E4157,E$1:E4156,1,FALSE()))),"OLD",IF(AND(E4157&lt;&gt;"",E4157&lt;&gt;"!!!"),"NEW","")))</f>
        <v> </v>
      </c>
      <c r="G4157" s="24" t="str">
        <f>IF(OR(E4157="",E4157="!!!"),"",IF(OR(J4157=0,AND(J4157=1,K4157=1),AND(J4157=1,I4157="SBJ"),AND(J4157=1,I4157=0)),"?IN_FOCUS",IF(J4157&lt;=2,"?ACTIVATED",IF(J4157&lt;&gt;"","?FAMILIAR",IF(F4157="NEW",IF(ISNA(VLOOKUP(E4157,#REF!,1,FALSE())),"?TYPE_IDENTIFIABLE","?REFERENTIAL"),"_")))))</f>
        <v> </v>
      </c>
      <c r="H4157" s="25" t="str">
        <f>IF(J4157&lt;&gt;1,"",IF(I4157="SBJ","CB","?"))</f>
        <v> </v>
      </c>
      <c r="I4157" s="26" t="str">
        <f>IF(OR(E4157="",E4157="!!!",F4157="NEW"),"",INDEX(B4156:B$2,-1+SUMPRODUCT(MAX(ROW(E4156:E$2)*(E4157=E4156:E$2)))))</f>
        <v> </v>
      </c>
      <c r="J4157" s="26" t="str">
        <f>IF(OR(E4157="",E4157="!!!",F4157="NEW"),"",COUNTBLANK(OFFSET(A$1,,,SUMPRODUCT(MAX(ROW(E$2:E4157)*(E4157=E$2:E4157)))))-COUNTBLANK(OFFSET(A$1,,,SUMPRODUCT(MAX(ROW(E$1:E4156)*(E2=E$1:E4156))))))</f>
        <v> </v>
      </c>
      <c r="K4157" s="26" t="str">
        <f>IF(OR(E4157="",E4157="!!!",F4157="NEW"),"",INDEX(J$1:J4156,SUMPRODUCT(MAX(ROW(E$1:E4156)*(E4157=E$1:E4156)))))</f>
        <v> </v>
      </c>
      <c r="L4157" s="27"/>
    </row>
    <row r="4158" spans="1:12">
      <c r="A4158" s="20" t="s">
        <v>1299</v>
      </c>
      <c r="E4158" s="22">
        <f>IF(D4158="?OLD","!!!","")</f>
        <v/>
      </c>
      <c r="F4158" s="23" t="str">
        <f>IF(OR(E4158="",E4158="!!!"),"",IF(NOT(ISNA(VLOOKUP(E4158,E$1:E4157,1,FALSE()))),"OLD",IF(AND(E4158&lt;&gt;"",E4158&lt;&gt;"!!!"),"NEW","")))</f>
        <v> </v>
      </c>
      <c r="G4158" s="24" t="str">
        <f>IF(OR(E4158="",E4158="!!!"),"",IF(OR(J4158=0,AND(J4158=1,K4158=1),AND(J4158=1,I4158="SBJ"),AND(J4158=1,I4158=0)),"?IN_FOCUS",IF(J4158&lt;=2,"?ACTIVATED",IF(J4158&lt;&gt;"","?FAMILIAR",IF(F4158="NEW",IF(ISNA(VLOOKUP(E4158,#REF!,1,FALSE())),"?TYPE_IDENTIFIABLE","?REFERENTIAL"),"_")))))</f>
        <v> </v>
      </c>
      <c r="H4158" s="25" t="str">
        <f>IF(J4158&lt;&gt;1,"",IF(I4158="SBJ","CB","?"))</f>
        <v> </v>
      </c>
      <c r="I4158" s="26" t="str">
        <f>IF(OR(E4158="",E4158="!!!",F4158="NEW"),"",INDEX(B4157:B$2,-1+SUMPRODUCT(MAX(ROW(E4157:E$2)*(E4158=E4157:E$2)))))</f>
        <v> </v>
      </c>
      <c r="J4158" s="26" t="str">
        <f>IF(OR(E4158="",E4158="!!!",F4158="NEW"),"",COUNTBLANK(OFFSET(A$1,,,SUMPRODUCT(MAX(ROW(E$2:E4158)*(E4158=E$2:E4158)))))-COUNTBLANK(OFFSET(A$1,,,SUMPRODUCT(MAX(ROW(E$1:E4157)*(E2=E$1:E4157))))))</f>
        <v> </v>
      </c>
      <c r="K4158" s="26" t="str">
        <f>IF(OR(E4158="",E4158="!!!",F4158="NEW"),"",INDEX(J$1:J4157,SUMPRODUCT(MAX(ROW(E$1:E4157)*(E4158=E$1:E4157)))))</f>
        <v> </v>
      </c>
      <c r="L4158" s="27"/>
    </row>
    <row r="4159" spans="1:12">
      <c r="A4159" s="20" t="s">
        <v>1351</v>
      </c>
      <c r="E4159" s="22">
        <f>IF(D4159="?OLD","!!!","")</f>
        <v/>
      </c>
      <c r="F4159" s="23" t="str">
        <f>IF(OR(E4159="",E4159="!!!"),"",IF(NOT(ISNA(VLOOKUP(E4159,E$1:E4158,1,FALSE()))),"OLD",IF(AND(E4159&lt;&gt;"",E4159&lt;&gt;"!!!"),"NEW","")))</f>
        <v> </v>
      </c>
      <c r="G4159" s="24" t="str">
        <f>IF(OR(E4159="",E4159="!!!"),"",IF(OR(J4159=0,AND(J4159=1,K4159=1),AND(J4159=1,I4159="SBJ"),AND(J4159=1,I4159=0)),"?IN_FOCUS",IF(J4159&lt;=2,"?ACTIVATED",IF(J4159&lt;&gt;"","?FAMILIAR",IF(F4159="NEW",IF(ISNA(VLOOKUP(E4159,#REF!,1,FALSE())),"?TYPE_IDENTIFIABLE","?REFERENTIAL"),"_")))))</f>
        <v> </v>
      </c>
      <c r="H4159" s="25" t="str">
        <f>IF(J4159&lt;&gt;1,"",IF(I4159="SBJ","CB","?"))</f>
        <v> </v>
      </c>
      <c r="I4159" s="26" t="str">
        <f>IF(OR(E4159="",E4159="!!!",F4159="NEW"),"",INDEX(B4158:B$2,-1+SUMPRODUCT(MAX(ROW(E4158:E$2)*(E4159=E4158:E$2)))))</f>
        <v> </v>
      </c>
      <c r="J4159" s="26" t="str">
        <f>IF(OR(E4159="",E4159="!!!",F4159="NEW"),"",COUNTBLANK(OFFSET(A$1,,,SUMPRODUCT(MAX(ROW(E$2:E4159)*(E4159=E$2:E4159)))))-COUNTBLANK(OFFSET(A$1,,,SUMPRODUCT(MAX(ROW(E$1:E4158)*(E2=E$1:E4158))))))</f>
        <v> </v>
      </c>
      <c r="K4159" s="26" t="str">
        <f>IF(OR(E4159="",E4159="!!!",F4159="NEW"),"",INDEX(J$1:J4158,SUMPRODUCT(MAX(ROW(E$1:E4158)*(E4159=E$1:E4158)))))</f>
        <v> </v>
      </c>
      <c r="L4159" s="27"/>
    </row>
    <row r="4160" spans="1:12">
      <c r="A4160" s="20" t="s">
        <v>1020</v>
      </c>
      <c r="E4160" s="22">
        <f>IF(D4160="?OLD","!!!","")</f>
        <v/>
      </c>
      <c r="F4160" s="23" t="str">
        <f>IF(OR(E4160="",E4160="!!!"),"",IF(NOT(ISNA(VLOOKUP(E4160,E$1:E4159,1,FALSE()))),"OLD",IF(AND(E4160&lt;&gt;"",E4160&lt;&gt;"!!!"),"NEW","")))</f>
        <v> </v>
      </c>
      <c r="G4160" s="24" t="str">
        <f>IF(OR(E4160="",E4160="!!!"),"",IF(OR(J4160=0,AND(J4160=1,K4160=1),AND(J4160=1,I4160="SBJ"),AND(J4160=1,I4160=0)),"?IN_FOCUS",IF(J4160&lt;=2,"?ACTIVATED",IF(J4160&lt;&gt;"","?FAMILIAR",IF(F4160="NEW",IF(ISNA(VLOOKUP(E4160,#REF!,1,FALSE())),"?TYPE_IDENTIFIABLE","?REFERENTIAL"),"_")))))</f>
        <v> </v>
      </c>
      <c r="H4160" s="25" t="str">
        <f>IF(J4160&lt;&gt;1,"",IF(I4160="SBJ","CB","?"))</f>
        <v> </v>
      </c>
      <c r="I4160" s="26" t="str">
        <f>IF(OR(E4160="",E4160="!!!",F4160="NEW"),"",INDEX(B4159:B$2,-1+SUMPRODUCT(MAX(ROW(E4159:E$2)*(E4160=E4159:E$2)))))</f>
        <v> </v>
      </c>
      <c r="J4160" s="26" t="str">
        <f>IF(OR(E4160="",E4160="!!!",F4160="NEW"),"",COUNTBLANK(OFFSET(A$1,,,SUMPRODUCT(MAX(ROW(E$2:E4160)*(E4160=E$2:E4160)))))-COUNTBLANK(OFFSET(A$1,,,SUMPRODUCT(MAX(ROW(E$1:E4159)*(E2=E$1:E4159))))))</f>
        <v> </v>
      </c>
      <c r="K4160" s="26" t="str">
        <f>IF(OR(E4160="",E4160="!!!",F4160="NEW"),"",INDEX(J$1:J4159,SUMPRODUCT(MAX(ROW(E$1:E4159)*(E4160=E$1:E4159)))))</f>
        <v> </v>
      </c>
      <c r="L4160" s="27"/>
    </row>
    <row r="4161" spans="1:12">
      <c r="A4161" s="20" t="s">
        <v>1315</v>
      </c>
      <c r="E4161" s="22">
        <f>IF(D4161="?OLD","!!!","")</f>
        <v/>
      </c>
      <c r="F4161" s="23" t="str">
        <f>IF(OR(E4161="",E4161="!!!"),"",IF(NOT(ISNA(VLOOKUP(E4161,E$1:E4160,1,FALSE()))),"OLD",IF(AND(E4161&lt;&gt;"",E4161&lt;&gt;"!!!"),"NEW","")))</f>
        <v> </v>
      </c>
      <c r="G4161" s="24" t="str">
        <f>IF(OR(E4161="",E4161="!!!"),"",IF(OR(J4161=0,AND(J4161=1,K4161=1),AND(J4161=1,I4161="SBJ"),AND(J4161=1,I4161=0)),"?IN_FOCUS",IF(J4161&lt;=2,"?ACTIVATED",IF(J4161&lt;&gt;"","?FAMILIAR",IF(F4161="NEW",IF(ISNA(VLOOKUP(E4161,#REF!,1,FALSE())),"?TYPE_IDENTIFIABLE","?REFERENTIAL"),"_")))))</f>
        <v> </v>
      </c>
      <c r="H4161" s="25" t="str">
        <f>IF(J4161&lt;&gt;1,"",IF(I4161="SBJ","CB","?"))</f>
        <v> </v>
      </c>
      <c r="I4161" s="26" t="str">
        <f>IF(OR(E4161="",E4161="!!!",F4161="NEW"),"",INDEX(B4160:B$2,-1+SUMPRODUCT(MAX(ROW(E4160:E$2)*(E4161=E4160:E$2)))))</f>
        <v> </v>
      </c>
      <c r="J4161" s="26" t="str">
        <f>IF(OR(E4161="",E4161="!!!",F4161="NEW"),"",COUNTBLANK(OFFSET(A$1,,,SUMPRODUCT(MAX(ROW(E$2:E4161)*(E4161=E$2:E4161)))))-COUNTBLANK(OFFSET(A$1,,,SUMPRODUCT(MAX(ROW(E$1:E4160)*(E2=E$1:E4160))))))</f>
        <v> </v>
      </c>
      <c r="K4161" s="26" t="str">
        <f>IF(OR(E4161="",E4161="!!!",F4161="NEW"),"",INDEX(J$1:J4160,SUMPRODUCT(MAX(ROW(E$1:E4160)*(E4161=E$1:E4160)))))</f>
        <v> </v>
      </c>
      <c r="L4161" s="27"/>
    </row>
    <row r="4162" spans="1:12">
      <c r="A4162" s="20" t="s">
        <v>822</v>
      </c>
      <c r="B4162" s="21" t="s">
        <v>1029</v>
      </c>
      <c r="C4162" s="21" t="s">
        <v>1017</v>
      </c>
      <c r="D4162" s="21" t="s">
        <v>1007</v>
      </c>
      <c r="E4162" s="22">
        <f>IF(D4162="?OLD","!!!","")</f>
        <v/>
      </c>
      <c r="F4162" s="23" t="str">
        <f>IF(OR(E4162="",E4162="!!!"),"",IF(NOT(ISNA(VLOOKUP(E4162,E$1:E4161,1,FALSE()))),"OLD",IF(AND(E4162&lt;&gt;"",E4162&lt;&gt;"!!!"),"NEW","")))</f>
        <v> </v>
      </c>
      <c r="G4162" s="24" t="str">
        <f>IF(OR(E4162="",E4162="!!!"),"",IF(OR(J4162=0,AND(J4162=1,K4162=1),AND(J4162=1,I4162="SBJ"),AND(J4162=1,I4162=0)),"?IN_FOCUS",IF(J4162&lt;=2,"?ACTIVATED",IF(J4162&lt;&gt;"","?FAMILIAR",IF(F4162="NEW",IF(ISNA(VLOOKUP(E4162,#REF!,1,FALSE())),"?TYPE_IDENTIFIABLE","?REFERENTIAL"),"_")))))</f>
        <v> </v>
      </c>
      <c r="H4162" s="25" t="str">
        <f>IF(J4162&lt;&gt;1,"",IF(I4162="SBJ","CB","?"))</f>
        <v> </v>
      </c>
      <c r="I4162" s="26" t="str">
        <f>IF(OR(E4162="",E4162="!!!",F4162="NEW"),"",INDEX(B4161:B$2,-1+SUMPRODUCT(MAX(ROW(E4161:E$2)*(E4162=E4161:E$2)))))</f>
        <v> </v>
      </c>
      <c r="J4162" s="26" t="str">
        <f>IF(OR(E4162="",E4162="!!!",F4162="NEW"),"",COUNTBLANK(OFFSET(A$1,,,SUMPRODUCT(MAX(ROW(E$2:E4162)*(E4162=E$2:E4162)))))-COUNTBLANK(OFFSET(A$1,,,SUMPRODUCT(MAX(ROW(E$1:E4161)*(E2=E$1:E4161))))))</f>
        <v> </v>
      </c>
      <c r="K4162" s="26" t="str">
        <f>IF(OR(E4162="",E4162="!!!",F4162="NEW"),"",INDEX(J$1:J4161,SUMPRODUCT(MAX(ROW(E$1:E4161)*(E4162=E$1:E4161)))))</f>
        <v> </v>
      </c>
      <c r="L4162" s="27"/>
    </row>
    <row r="4163" spans="1:12">
      <c r="A4163" s="20" t="s">
        <v>1508</v>
      </c>
      <c r="E4163" s="22">
        <f>IF(D4163="?OLD","!!!","")</f>
        <v/>
      </c>
      <c r="F4163" s="23" t="str">
        <f>IF(OR(E4163="",E4163="!!!"),"",IF(NOT(ISNA(VLOOKUP(E4163,E$1:E4162,1,FALSE()))),"OLD",IF(AND(E4163&lt;&gt;"",E4163&lt;&gt;"!!!"),"NEW","")))</f>
        <v> </v>
      </c>
      <c r="G4163" s="24" t="str">
        <f>IF(OR(E4163="",E4163="!!!"),"",IF(OR(J4163=0,AND(J4163=1,K4163=1),AND(J4163=1,I4163="SBJ"),AND(J4163=1,I4163=0)),"?IN_FOCUS",IF(J4163&lt;=2,"?ACTIVATED",IF(J4163&lt;&gt;"","?FAMILIAR",IF(F4163="NEW",IF(ISNA(VLOOKUP(E4163,#REF!,1,FALSE())),"?TYPE_IDENTIFIABLE","?REFERENTIAL"),"_")))))</f>
        <v> </v>
      </c>
      <c r="H4163" s="25" t="str">
        <f>IF(J4163&lt;&gt;1,"",IF(I4163="SBJ","CB","?"))</f>
        <v> </v>
      </c>
      <c r="I4163" s="26" t="str">
        <f>IF(OR(E4163="",E4163="!!!",F4163="NEW"),"",INDEX(B4162:B$2,-1+SUMPRODUCT(MAX(ROW(E4162:E$2)*(E4163=E4162:E$2)))))</f>
        <v> </v>
      </c>
      <c r="J4163" s="26" t="str">
        <f>IF(OR(E4163="",E4163="!!!",F4163="NEW"),"",COUNTBLANK(OFFSET(A$1,,,SUMPRODUCT(MAX(ROW(E$2:E4163)*(E4163=E$2:E4163)))))-COUNTBLANK(OFFSET(A$1,,,SUMPRODUCT(MAX(ROW(E$1:E4162)*(E2=E$1:E4162))))))</f>
        <v> </v>
      </c>
      <c r="K4163" s="26" t="str">
        <f>IF(OR(E4163="",E4163="!!!",F4163="NEW"),"",INDEX(J$1:J4162,SUMPRODUCT(MAX(ROW(E$1:E4162)*(E4163=E$1:E4162)))))</f>
        <v> </v>
      </c>
      <c r="L4163" s="27"/>
    </row>
    <row r="4164" spans="1:12">
      <c r="A4164" s="20" t="s">
        <v>1018</v>
      </c>
      <c r="E4164" s="22">
        <f>IF(D4164="?OLD","!!!","")</f>
        <v/>
      </c>
      <c r="F4164" s="23" t="str">
        <f>IF(OR(E4164="",E4164="!!!"),"",IF(NOT(ISNA(VLOOKUP(E4164,E$1:E4163,1,FALSE()))),"OLD",IF(AND(E4164&lt;&gt;"",E4164&lt;&gt;"!!!"),"NEW","")))</f>
        <v> </v>
      </c>
      <c r="G4164" s="24" t="str">
        <f>IF(OR(E4164="",E4164="!!!"),"",IF(OR(J4164=0,AND(J4164=1,K4164=1),AND(J4164=1,I4164="SBJ"),AND(J4164=1,I4164=0)),"?IN_FOCUS",IF(J4164&lt;=2,"?ACTIVATED",IF(J4164&lt;&gt;"","?FAMILIAR",IF(F4164="NEW",IF(ISNA(VLOOKUP(E4164,#REF!,1,FALSE())),"?TYPE_IDENTIFIABLE","?REFERENTIAL"),"_")))))</f>
        <v> </v>
      </c>
      <c r="H4164" s="25" t="str">
        <f>IF(J4164&lt;&gt;1,"",IF(I4164="SBJ","CB","?"))</f>
        <v> </v>
      </c>
      <c r="I4164" s="26" t="str">
        <f>IF(OR(E4164="",E4164="!!!",F4164="NEW"),"",INDEX(B4163:B$2,-1+SUMPRODUCT(MAX(ROW(E4163:E$2)*(E4164=E4163:E$2)))))</f>
        <v> </v>
      </c>
      <c r="J4164" s="26" t="str">
        <f>IF(OR(E4164="",E4164="!!!",F4164="NEW"),"",COUNTBLANK(OFFSET(A$1,,,SUMPRODUCT(MAX(ROW(E$2:E4164)*(E4164=E$2:E4164)))))-COUNTBLANK(OFFSET(A$1,,,SUMPRODUCT(MAX(ROW(E$1:E4163)*(E2=E$1:E4163))))))</f>
        <v> </v>
      </c>
      <c r="K4164" s="26" t="str">
        <f>IF(OR(E4164="",E4164="!!!",F4164="NEW"),"",INDEX(J$1:J4163,SUMPRODUCT(MAX(ROW(E$1:E4163)*(E4164=E$1:E4163)))))</f>
        <v> </v>
      </c>
      <c r="L4164" s="27"/>
    </row>
    <row r="4165" spans="1:12">
      <c r="A4165" s="20" t="s">
        <v>102</v>
      </c>
      <c r="E4165" s="22">
        <f>IF(D4165="?OLD","!!!","")</f>
        <v/>
      </c>
      <c r="F4165" s="23" t="str">
        <f>IF(OR(E4165="",E4165="!!!"),"",IF(NOT(ISNA(VLOOKUP(E4165,E$1:E4164,1,FALSE()))),"OLD",IF(AND(E4165&lt;&gt;"",E4165&lt;&gt;"!!!"),"NEW","")))</f>
        <v> </v>
      </c>
      <c r="G4165" s="24" t="str">
        <f>IF(OR(E4165="",E4165="!!!"),"",IF(OR(J4165=0,AND(J4165=1,K4165=1),AND(J4165=1,I4165="SBJ"),AND(J4165=1,I4165=0)),"?IN_FOCUS",IF(J4165&lt;=2,"?ACTIVATED",IF(J4165&lt;&gt;"","?FAMILIAR",IF(F4165="NEW",IF(ISNA(VLOOKUP(E4165,#REF!,1,FALSE())),"?TYPE_IDENTIFIABLE","?REFERENTIAL"),"_")))))</f>
        <v> </v>
      </c>
      <c r="H4165" s="25" t="str">
        <f>IF(J4165&lt;&gt;1,"",IF(I4165="SBJ","CB","?"))</f>
        <v> </v>
      </c>
      <c r="I4165" s="26" t="str">
        <f>IF(OR(E4165="",E4165="!!!",F4165="NEW"),"",INDEX(B4164:B$2,-1+SUMPRODUCT(MAX(ROW(E4164:E$2)*(E4165=E4164:E$2)))))</f>
        <v> </v>
      </c>
      <c r="J4165" s="26" t="str">
        <f>IF(OR(E4165="",E4165="!!!",F4165="NEW"),"",COUNTBLANK(OFFSET(A$1,,,SUMPRODUCT(MAX(ROW(E$2:E4165)*(E4165=E$2:E4165)))))-COUNTBLANK(OFFSET(A$1,,,SUMPRODUCT(MAX(ROW(E$1:E4164)*(E2=E$1:E4164))))))</f>
        <v> </v>
      </c>
      <c r="K4165" s="26" t="str">
        <f>IF(OR(E4165="",E4165="!!!",F4165="NEW"),"",INDEX(J$1:J4164,SUMPRODUCT(MAX(ROW(E$1:E4164)*(E4165=E$1:E4164)))))</f>
        <v> </v>
      </c>
      <c r="L4165" s="27"/>
    </row>
    <row r="4166" spans="1:12">
      <c r="A4166" s="20" t="s">
        <v>1407</v>
      </c>
      <c r="E4166" s="22">
        <f>IF(D4166="?OLD","!!!","")</f>
        <v/>
      </c>
      <c r="F4166" s="23" t="str">
        <f>IF(OR(E4166="",E4166="!!!"),"",IF(NOT(ISNA(VLOOKUP(E4166,E$1:E4165,1,FALSE()))),"OLD",IF(AND(E4166&lt;&gt;"",E4166&lt;&gt;"!!!"),"NEW","")))</f>
        <v> </v>
      </c>
      <c r="G4166" s="24" t="str">
        <f>IF(OR(E4166="",E4166="!!!"),"",IF(OR(J4166=0,AND(J4166=1,K4166=1),AND(J4166=1,I4166="SBJ"),AND(J4166=1,I4166=0)),"?IN_FOCUS",IF(J4166&lt;=2,"?ACTIVATED",IF(J4166&lt;&gt;"","?FAMILIAR",IF(F4166="NEW",IF(ISNA(VLOOKUP(E4166,#REF!,1,FALSE())),"?TYPE_IDENTIFIABLE","?REFERENTIAL"),"_")))))</f>
        <v> </v>
      </c>
      <c r="H4166" s="25" t="str">
        <f>IF(J4166&lt;&gt;1,"",IF(I4166="SBJ","CB","?"))</f>
        <v> </v>
      </c>
      <c r="I4166" s="26" t="str">
        <f>IF(OR(E4166="",E4166="!!!",F4166="NEW"),"",INDEX(B4165:B$2,-1+SUMPRODUCT(MAX(ROW(E4165:E$2)*(E4166=E4165:E$2)))))</f>
        <v> </v>
      </c>
      <c r="J4166" s="26" t="str">
        <f>IF(OR(E4166="",E4166="!!!",F4166="NEW"),"",COUNTBLANK(OFFSET(A$1,,,SUMPRODUCT(MAX(ROW(E$2:E4166)*(E4166=E$2:E4166)))))-COUNTBLANK(OFFSET(A$1,,,SUMPRODUCT(MAX(ROW(E$1:E4165)*(E2=E$1:E4165))))))</f>
        <v> </v>
      </c>
      <c r="K4166" s="26" t="str">
        <f>IF(OR(E4166="",E4166="!!!",F4166="NEW"),"",INDEX(J$1:J4165,SUMPRODUCT(MAX(ROW(E$1:E4165)*(E4166=E$1:E4165)))))</f>
        <v> </v>
      </c>
      <c r="L4166" s="27"/>
    </row>
    <row r="4167" spans="1:12">
      <c r="A4167" s="20" t="s">
        <v>1466</v>
      </c>
      <c r="B4167" s="21" t="s">
        <v>1029</v>
      </c>
      <c r="C4167" s="21" t="s">
        <v>1017</v>
      </c>
      <c r="D4167" s="21" t="s">
        <v>1007</v>
      </c>
      <c r="E4167" s="22">
        <f>IF(D4167="?OLD","!!!","")</f>
        <v/>
      </c>
      <c r="F4167" s="23" t="str">
        <f>IF(OR(E4167="",E4167="!!!"),"",IF(NOT(ISNA(VLOOKUP(E4167,E$1:E4166,1,FALSE()))),"OLD",IF(AND(E4167&lt;&gt;"",E4167&lt;&gt;"!!!"),"NEW","")))</f>
        <v> </v>
      </c>
      <c r="G4167" s="24" t="str">
        <f>IF(OR(E4167="",E4167="!!!"),"",IF(OR(J4167=0,AND(J4167=1,K4167=1),AND(J4167=1,I4167="SBJ"),AND(J4167=1,I4167=0)),"?IN_FOCUS",IF(J4167&lt;=2,"?ACTIVATED",IF(J4167&lt;&gt;"","?FAMILIAR",IF(F4167="NEW",IF(ISNA(VLOOKUP(E4167,#REF!,1,FALSE())),"?TYPE_IDENTIFIABLE","?REFERENTIAL"),"_")))))</f>
        <v> </v>
      </c>
      <c r="H4167" s="25" t="str">
        <f>IF(J4167&lt;&gt;1,"",IF(I4167="SBJ","CB","?"))</f>
        <v> </v>
      </c>
      <c r="I4167" s="26" t="str">
        <f>IF(OR(E4167="",E4167="!!!",F4167="NEW"),"",INDEX(B4166:B$2,-1+SUMPRODUCT(MAX(ROW(E4166:E$2)*(E4167=E4166:E$2)))))</f>
        <v> </v>
      </c>
      <c r="J4167" s="26" t="str">
        <f>IF(OR(E4167="",E4167="!!!",F4167="NEW"),"",COUNTBLANK(OFFSET(A$1,,,SUMPRODUCT(MAX(ROW(E$2:E4167)*(E4167=E$2:E4167)))))-COUNTBLANK(OFFSET(A$1,,,SUMPRODUCT(MAX(ROW(E$1:E4166)*(E2=E$1:E4166))))))</f>
        <v> </v>
      </c>
      <c r="K4167" s="26" t="str">
        <f>IF(OR(E4167="",E4167="!!!",F4167="NEW"),"",INDEX(J$1:J4166,SUMPRODUCT(MAX(ROW(E$1:E4166)*(E4167=E$1:E4166)))))</f>
        <v> </v>
      </c>
      <c r="L4167" s="27"/>
    </row>
    <row r="4168" spans="1:12">
      <c r="A4168" s="20" t="s">
        <v>2208</v>
      </c>
      <c r="E4168" s="22">
        <f>IF(D4168="?OLD","!!!","")</f>
        <v/>
      </c>
      <c r="F4168" s="23" t="str">
        <f>IF(OR(E4168="",E4168="!!!"),"",IF(NOT(ISNA(VLOOKUP(E4168,E$1:E4167,1,FALSE()))),"OLD",IF(AND(E4168&lt;&gt;"",E4168&lt;&gt;"!!!"),"NEW","")))</f>
        <v> </v>
      </c>
      <c r="G4168" s="24" t="str">
        <f>IF(OR(E4168="",E4168="!!!"),"",IF(OR(J4168=0,AND(J4168=1,K4168=1),AND(J4168=1,I4168="SBJ"),AND(J4168=1,I4168=0)),"?IN_FOCUS",IF(J4168&lt;=2,"?ACTIVATED",IF(J4168&lt;&gt;"","?FAMILIAR",IF(F4168="NEW",IF(ISNA(VLOOKUP(E4168,#REF!,1,FALSE())),"?TYPE_IDENTIFIABLE","?REFERENTIAL"),"_")))))</f>
        <v> </v>
      </c>
      <c r="H4168" s="25" t="str">
        <f>IF(J4168&lt;&gt;1,"",IF(I4168="SBJ","CB","?"))</f>
        <v> </v>
      </c>
      <c r="I4168" s="26" t="str">
        <f>IF(OR(E4168="",E4168="!!!",F4168="NEW"),"",INDEX(B4167:B$2,-1+SUMPRODUCT(MAX(ROW(E4167:E$2)*(E4168=E4167:E$2)))))</f>
        <v> </v>
      </c>
      <c r="J4168" s="26" t="str">
        <f>IF(OR(E4168="",E4168="!!!",F4168="NEW"),"",COUNTBLANK(OFFSET(A$1,,,SUMPRODUCT(MAX(ROW(E$2:E4168)*(E4168=E$2:E4168)))))-COUNTBLANK(OFFSET(A$1,,,SUMPRODUCT(MAX(ROW(E$1:E4167)*(E2=E$1:E4167))))))</f>
        <v> </v>
      </c>
      <c r="K4168" s="26" t="str">
        <f>IF(OR(E4168="",E4168="!!!",F4168="NEW"),"",INDEX(J$1:J4167,SUMPRODUCT(MAX(ROW(E$1:E4167)*(E4168=E$1:E4167)))))</f>
        <v> </v>
      </c>
      <c r="L4168" s="27"/>
    </row>
    <row r="4169" spans="1:12">
      <c r="A4169" s="20" t="s">
        <v>1065</v>
      </c>
      <c r="B4169" s="21" t="s">
        <v>1120</v>
      </c>
      <c r="E4169" s="22">
        <f>IF(D4169="?OLD","!!!","")</f>
        <v/>
      </c>
      <c r="F4169" s="23" t="str">
        <f>IF(OR(E4169="",E4169="!!!"),"",IF(NOT(ISNA(VLOOKUP(E4169,E$1:E4168,1,FALSE()))),"OLD",IF(AND(E4169&lt;&gt;"",E4169&lt;&gt;"!!!"),"NEW","")))</f>
        <v> </v>
      </c>
      <c r="G4169" s="24" t="str">
        <f>IF(OR(E4169="",E4169="!!!"),"",IF(OR(J4169=0,AND(J4169=1,K4169=1),AND(J4169=1,I4169="SBJ"),AND(J4169=1,I4169=0)),"?IN_FOCUS",IF(J4169&lt;=2,"?ACTIVATED",IF(J4169&lt;&gt;"","?FAMILIAR",IF(F4169="NEW",IF(ISNA(VLOOKUP(E4169,#REF!,1,FALSE())),"?TYPE_IDENTIFIABLE","?REFERENTIAL"),"_")))))</f>
        <v> </v>
      </c>
      <c r="H4169" s="25" t="str">
        <f>IF(J4169&lt;&gt;1,"",IF(I4169="SBJ","CB","?"))</f>
        <v> </v>
      </c>
      <c r="I4169" s="26" t="str">
        <f>IF(OR(E4169="",E4169="!!!",F4169="NEW"),"",INDEX(B4168:B$2,-1+SUMPRODUCT(MAX(ROW(E4168:E$2)*(E4169=E4168:E$2)))))</f>
        <v> </v>
      </c>
      <c r="J4169" s="26" t="str">
        <f>IF(OR(E4169="",E4169="!!!",F4169="NEW"),"",COUNTBLANK(OFFSET(A$1,,,SUMPRODUCT(MAX(ROW(E$2:E4169)*(E4169=E$2:E4169)))))-COUNTBLANK(OFFSET(A$1,,,SUMPRODUCT(MAX(ROW(E$1:E4168)*(E2=E$1:E4168))))))</f>
        <v> </v>
      </c>
      <c r="K4169" s="26" t="str">
        <f>IF(OR(E4169="",E4169="!!!",F4169="NEW"),"",INDEX(J$1:J4168,SUMPRODUCT(MAX(ROW(E$1:E4168)*(E4169=E$1:E4168)))))</f>
        <v> </v>
      </c>
      <c r="L4169" s="27"/>
    </row>
    <row r="4170" spans="1:12">
      <c r="A4170" s="20" t="s">
        <v>2209</v>
      </c>
      <c r="E4170" s="22">
        <f>IF(D4170="?OLD","!!!","")</f>
        <v/>
      </c>
      <c r="F4170" s="23" t="str">
        <f>IF(OR(E4170="",E4170="!!!"),"",IF(NOT(ISNA(VLOOKUP(E4170,E$1:E4169,1,FALSE()))),"OLD",IF(AND(E4170&lt;&gt;"",E4170&lt;&gt;"!!!"),"NEW","")))</f>
        <v> </v>
      </c>
      <c r="G4170" s="24" t="str">
        <f>IF(OR(E4170="",E4170="!!!"),"",IF(OR(J4170=0,AND(J4170=1,K4170=1),AND(J4170=1,I4170="SBJ"),AND(J4170=1,I4170=0)),"?IN_FOCUS",IF(J4170&lt;=2,"?ACTIVATED",IF(J4170&lt;&gt;"","?FAMILIAR",IF(F4170="NEW",IF(ISNA(VLOOKUP(E4170,#REF!,1,FALSE())),"?TYPE_IDENTIFIABLE","?REFERENTIAL"),"_")))))</f>
        <v> </v>
      </c>
      <c r="H4170" s="25" t="str">
        <f>IF(J4170&lt;&gt;1,"",IF(I4170="SBJ","CB","?"))</f>
        <v> </v>
      </c>
      <c r="I4170" s="26" t="str">
        <f>IF(OR(E4170="",E4170="!!!",F4170="NEW"),"",INDEX(B4169:B$2,-1+SUMPRODUCT(MAX(ROW(E4169:E$2)*(E4170=E4169:E$2)))))</f>
        <v> </v>
      </c>
      <c r="J4170" s="26" t="str">
        <f>IF(OR(E4170="",E4170="!!!",F4170="NEW"),"",COUNTBLANK(OFFSET(A$1,,,SUMPRODUCT(MAX(ROW(E$2:E4170)*(E4170=E$2:E4170)))))-COUNTBLANK(OFFSET(A$1,,,SUMPRODUCT(MAX(ROW(E$1:E4169)*(E2=E$1:E4169))))))</f>
        <v> </v>
      </c>
      <c r="K4170" s="26" t="str">
        <f>IF(OR(E4170="",E4170="!!!",F4170="NEW"),"",INDEX(J$1:J4169,SUMPRODUCT(MAX(ROW(E$1:E4169)*(E4170=E$1:E4169)))))</f>
        <v> </v>
      </c>
      <c r="L4170" s="27"/>
    </row>
    <row r="4171" spans="1:12">
      <c r="A4171" s="20" t="s">
        <v>1140</v>
      </c>
      <c r="B4171" s="21" t="s">
        <v>1064</v>
      </c>
      <c r="C4171" s="21" t="s">
        <v>1073</v>
      </c>
      <c r="D4171" s="21" t="s">
        <v>1007</v>
      </c>
      <c r="E4171" s="22">
        <f>IF(D4171="?OLD","!!!","")</f>
        <v/>
      </c>
      <c r="F4171" s="23" t="str">
        <f>IF(OR(E4171="",E4171="!!!"),"",IF(NOT(ISNA(VLOOKUP(E4171,E$1:E4170,1,FALSE()))),"OLD",IF(AND(E4171&lt;&gt;"",E4171&lt;&gt;"!!!"),"NEW","")))</f>
        <v> </v>
      </c>
      <c r="G4171" s="24" t="str">
        <f>IF(OR(E4171="",E4171="!!!"),"",IF(OR(J4171=0,AND(J4171=1,K4171=1),AND(J4171=1,I4171="SBJ"),AND(J4171=1,I4171=0)),"?IN_FOCUS",IF(J4171&lt;=2,"?ACTIVATED",IF(J4171&lt;&gt;"","?FAMILIAR",IF(F4171="NEW",IF(ISNA(VLOOKUP(E4171,#REF!,1,FALSE())),"?TYPE_IDENTIFIABLE","?REFERENTIAL"),"_")))))</f>
        <v> </v>
      </c>
      <c r="H4171" s="25" t="str">
        <f>IF(J4171&lt;&gt;1,"",IF(I4171="SBJ","CB","?"))</f>
        <v> </v>
      </c>
      <c r="I4171" s="26" t="str">
        <f>IF(OR(E4171="",E4171="!!!",F4171="NEW"),"",INDEX(B4170:B$2,-1+SUMPRODUCT(MAX(ROW(E4170:E$2)*(E4171=E4170:E$2)))))</f>
        <v> </v>
      </c>
      <c r="J4171" s="26" t="str">
        <f>IF(OR(E4171="",E4171="!!!",F4171="NEW"),"",COUNTBLANK(OFFSET(A$1,,,SUMPRODUCT(MAX(ROW(E$2:E4171)*(E4171=E$2:E4171)))))-COUNTBLANK(OFFSET(A$1,,,SUMPRODUCT(MAX(ROW(E$1:E4170)*(E2=E$1:E4170))))))</f>
        <v> </v>
      </c>
      <c r="K4171" s="26" t="str">
        <f>IF(OR(E4171="",E4171="!!!",F4171="NEW"),"",INDEX(J$1:J4170,SUMPRODUCT(MAX(ROW(E$1:E4170)*(E4171=E$1:E4170)))))</f>
        <v> </v>
      </c>
      <c r="L4171" s="27"/>
    </row>
    <row r="4172" spans="1:12">
      <c r="A4172" s="20" t="s">
        <v>1018</v>
      </c>
      <c r="E4172" s="22">
        <f>IF(D4172="?OLD","!!!","")</f>
        <v/>
      </c>
      <c r="F4172" s="23" t="str">
        <f>IF(OR(E4172="",E4172="!!!"),"",IF(NOT(ISNA(VLOOKUP(E4172,E$1:E4171,1,FALSE()))),"OLD",IF(AND(E4172&lt;&gt;"",E4172&lt;&gt;"!!!"),"NEW","")))</f>
        <v> </v>
      </c>
      <c r="G4172" s="24" t="str">
        <f>IF(OR(E4172="",E4172="!!!"),"",IF(OR(J4172=0,AND(J4172=1,K4172=1),AND(J4172=1,I4172="SBJ"),AND(J4172=1,I4172=0)),"?IN_FOCUS",IF(J4172&lt;=2,"?ACTIVATED",IF(J4172&lt;&gt;"","?FAMILIAR",IF(F4172="NEW",IF(ISNA(VLOOKUP(E4172,#REF!,1,FALSE())),"?TYPE_IDENTIFIABLE","?REFERENTIAL"),"_")))))</f>
        <v> </v>
      </c>
      <c r="H4172" s="25" t="str">
        <f>IF(J4172&lt;&gt;1,"",IF(I4172="SBJ","CB","?"))</f>
        <v> </v>
      </c>
      <c r="I4172" s="26" t="str">
        <f>IF(OR(E4172="",E4172="!!!",F4172="NEW"),"",INDEX(B4171:B$2,-1+SUMPRODUCT(MAX(ROW(E4171:E$2)*(E4172=E4171:E$2)))))</f>
        <v> </v>
      </c>
      <c r="J4172" s="26" t="str">
        <f>IF(OR(E4172="",E4172="!!!",F4172="NEW"),"",COUNTBLANK(OFFSET(A$1,,,SUMPRODUCT(MAX(ROW(E$2:E4172)*(E4172=E$2:E4172)))))-COUNTBLANK(OFFSET(A$1,,,SUMPRODUCT(MAX(ROW(E$1:E4171)*(E2=E$1:E4171))))))</f>
        <v> </v>
      </c>
      <c r="K4172" s="26" t="str">
        <f>IF(OR(E4172="",E4172="!!!",F4172="NEW"),"",INDEX(J$1:J4171,SUMPRODUCT(MAX(ROW(E$1:E4171)*(E4172=E$1:E4171)))))</f>
        <v> </v>
      </c>
      <c r="L4172" s="27"/>
    </row>
    <row r="4173" spans="1:12">
      <c r="A4173" s="20" t="s">
        <v>2210</v>
      </c>
      <c r="E4173" s="22">
        <f>IF(D4173="?OLD","!!!","")</f>
        <v/>
      </c>
      <c r="F4173" s="23" t="str">
        <f>IF(OR(E4173="",E4173="!!!"),"",IF(NOT(ISNA(VLOOKUP(E4173,E$1:E4172,1,FALSE()))),"OLD",IF(AND(E4173&lt;&gt;"",E4173&lt;&gt;"!!!"),"NEW","")))</f>
        <v> </v>
      </c>
      <c r="G4173" s="24" t="str">
        <f>IF(OR(E4173="",E4173="!!!"),"",IF(OR(J4173=0,AND(J4173=1,K4173=1),AND(J4173=1,I4173="SBJ"),AND(J4173=1,I4173=0)),"?IN_FOCUS",IF(J4173&lt;=2,"?ACTIVATED",IF(J4173&lt;&gt;"","?FAMILIAR",IF(F4173="NEW",IF(ISNA(VLOOKUP(E4173,#REF!,1,FALSE())),"?TYPE_IDENTIFIABLE","?REFERENTIAL"),"_")))))</f>
        <v> </v>
      </c>
      <c r="H4173" s="25" t="str">
        <f>IF(J4173&lt;&gt;1,"",IF(I4173="SBJ","CB","?"))</f>
        <v> </v>
      </c>
      <c r="I4173" s="26" t="str">
        <f>IF(OR(E4173="",E4173="!!!",F4173="NEW"),"",INDEX(B4172:B$2,-1+SUMPRODUCT(MAX(ROW(E4172:E$2)*(E4173=E4172:E$2)))))</f>
        <v> </v>
      </c>
      <c r="J4173" s="26" t="str">
        <f>IF(OR(E4173="",E4173="!!!",F4173="NEW"),"",COUNTBLANK(OFFSET(A$1,,,SUMPRODUCT(MAX(ROW(E$2:E4173)*(E4173=E$2:E4173)))))-COUNTBLANK(OFFSET(A$1,,,SUMPRODUCT(MAX(ROW(E$1:E4172)*(E2=E$1:E4172))))))</f>
        <v> </v>
      </c>
      <c r="K4173" s="26" t="str">
        <f>IF(OR(E4173="",E4173="!!!",F4173="NEW"),"",INDEX(J$1:J4172,SUMPRODUCT(MAX(ROW(E$1:E4172)*(E4173=E$1:E4172)))))</f>
        <v> </v>
      </c>
      <c r="L4173" s="27"/>
    </row>
    <row r="4174" spans="1:12">
      <c r="A4174" s="20" t="s">
        <v>1014</v>
      </c>
      <c r="E4174" s="22">
        <f>IF(D4174="?OLD","!!!","")</f>
        <v/>
      </c>
      <c r="F4174" s="23" t="str">
        <f>IF(OR(E4174="",E4174="!!!"),"",IF(NOT(ISNA(VLOOKUP(E4174,E$1:E4173,1,FALSE()))),"OLD",IF(AND(E4174&lt;&gt;"",E4174&lt;&gt;"!!!"),"NEW","")))</f>
        <v> </v>
      </c>
      <c r="G4174" s="24" t="str">
        <f>IF(OR(E4174="",E4174="!!!"),"",IF(OR(J4174=0,AND(J4174=1,K4174=1),AND(J4174=1,I4174="SBJ"),AND(J4174=1,I4174=0)),"?IN_FOCUS",IF(J4174&lt;=2,"?ACTIVATED",IF(J4174&lt;&gt;"","?FAMILIAR",IF(F4174="NEW",IF(ISNA(VLOOKUP(E4174,#REF!,1,FALSE())),"?TYPE_IDENTIFIABLE","?REFERENTIAL"),"_")))))</f>
        <v> </v>
      </c>
      <c r="H4174" s="25" t="str">
        <f>IF(J4174&lt;&gt;1,"",IF(I4174="SBJ","CB","?"))</f>
        <v> </v>
      </c>
      <c r="I4174" s="26" t="str">
        <f>IF(OR(E4174="",E4174="!!!",F4174="NEW"),"",INDEX(B4173:B$2,-1+SUMPRODUCT(MAX(ROW(E4173:E$2)*(E4174=E4173:E$2)))))</f>
        <v> </v>
      </c>
      <c r="J4174" s="26" t="str">
        <f>IF(OR(E4174="",E4174="!!!",F4174="NEW"),"",COUNTBLANK(OFFSET(A$1,,,SUMPRODUCT(MAX(ROW(E$2:E4174)*(E4174=E$2:E4174)))))-COUNTBLANK(OFFSET(A$1,,,SUMPRODUCT(MAX(ROW(E$1:E4173)*(E2=E$1:E4173))))))</f>
        <v> </v>
      </c>
      <c r="K4174" s="26" t="str">
        <f>IF(OR(E4174="",E4174="!!!",F4174="NEW"),"",INDEX(J$1:J4173,SUMPRODUCT(MAX(ROW(E$1:E4173)*(E4174=E$1:E4173)))))</f>
        <v> </v>
      </c>
      <c r="L4174" s="27"/>
    </row>
    <row r="4175" spans="1:12">
      <c r="A4175" s="20" t="s">
        <v>1015</v>
      </c>
      <c r="E4175" s="22">
        <f>IF(D4175="?OLD","!!!","")</f>
        <v/>
      </c>
      <c r="F4175" s="23" t="str">
        <f>IF(OR(E4175="",E4175="!!!"),"",IF(NOT(ISNA(VLOOKUP(E4175,E$1:E4174,1,FALSE()))),"OLD",IF(AND(E4175&lt;&gt;"",E4175&lt;&gt;"!!!"),"NEW","")))</f>
        <v> </v>
      </c>
      <c r="G4175" s="24" t="str">
        <f>IF(OR(E4175="",E4175="!!!"),"",IF(OR(J4175=0,AND(J4175=1,K4175=1),AND(J4175=1,I4175="SBJ"),AND(J4175=1,I4175=0)),"?IN_FOCUS",IF(J4175&lt;=2,"?ACTIVATED",IF(J4175&lt;&gt;"","?FAMILIAR",IF(F4175="NEW",IF(ISNA(VLOOKUP(E4175,#REF!,1,FALSE())),"?TYPE_IDENTIFIABLE","?REFERENTIAL"),"_")))))</f>
        <v> </v>
      </c>
      <c r="H4175" s="25" t="str">
        <f>IF(J4175&lt;&gt;1,"",IF(I4175="SBJ","CB","?"))</f>
        <v> </v>
      </c>
      <c r="I4175" s="26" t="str">
        <f>IF(OR(E4175="",E4175="!!!",F4175="NEW"),"",INDEX(B4174:B$2,-1+SUMPRODUCT(MAX(ROW(E4174:E$2)*(E4175=E4174:E$2)))))</f>
        <v> </v>
      </c>
      <c r="J4175" s="26" t="str">
        <f>IF(OR(E4175="",E4175="!!!",F4175="NEW"),"",COUNTBLANK(OFFSET(A$1,,,SUMPRODUCT(MAX(ROW(E$2:E4175)*(E4175=E$2:E4175)))))-COUNTBLANK(OFFSET(A$1,,,SUMPRODUCT(MAX(ROW(E$1:E4174)*(E2=E$1:E4174))))))</f>
        <v> </v>
      </c>
      <c r="K4175" s="26" t="str">
        <f>IF(OR(E4175="",E4175="!!!",F4175="NEW"),"",INDEX(J$1:J4174,SUMPRODUCT(MAX(ROW(E$1:E4174)*(E4175=E$1:E4174)))))</f>
        <v> </v>
      </c>
      <c r="L4175" s="27"/>
    </row>
    <row r="4176" spans="1:12">
      <c r="A4176" s="20" t="s">
        <v>1554</v>
      </c>
      <c r="B4176" s="21" t="s">
        <v>1035</v>
      </c>
      <c r="C4176" s="21" t="s">
        <v>1017</v>
      </c>
      <c r="D4176" s="21" t="s">
        <v>1007</v>
      </c>
      <c r="E4176" s="22">
        <f>IF(D4176="?OLD","!!!","")</f>
        <v/>
      </c>
      <c r="F4176" s="23" t="str">
        <f>IF(OR(E4176="",E4176="!!!"),"",IF(NOT(ISNA(VLOOKUP(E4176,E$1:E4175,1,FALSE()))),"OLD",IF(AND(E4176&lt;&gt;"",E4176&lt;&gt;"!!!"),"NEW","")))</f>
        <v> </v>
      </c>
      <c r="G4176" s="24" t="str">
        <f>IF(OR(E4176="",E4176="!!!"),"",IF(OR(J4176=0,AND(J4176=1,K4176=1),AND(J4176=1,I4176="SBJ"),AND(J4176=1,I4176=0)),"?IN_FOCUS",IF(J4176&lt;=2,"?ACTIVATED",IF(J4176&lt;&gt;"","?FAMILIAR",IF(F4176="NEW",IF(ISNA(VLOOKUP(E4176,#REF!,1,FALSE())),"?TYPE_IDENTIFIABLE","?REFERENTIAL"),"_")))))</f>
        <v> </v>
      </c>
      <c r="H4176" s="25" t="str">
        <f>IF(J4176&lt;&gt;1,"",IF(I4176="SBJ","CB","?"))</f>
        <v> </v>
      </c>
      <c r="I4176" s="26" t="str">
        <f>IF(OR(E4176="",E4176="!!!",F4176="NEW"),"",INDEX(B4175:B$2,-1+SUMPRODUCT(MAX(ROW(E4175:E$2)*(E4176=E4175:E$2)))))</f>
        <v> </v>
      </c>
      <c r="J4176" s="26" t="str">
        <f>IF(OR(E4176="",E4176="!!!",F4176="NEW"),"",COUNTBLANK(OFFSET(A$1,,,SUMPRODUCT(MAX(ROW(E$2:E4176)*(E4176=E$2:E4176)))))-COUNTBLANK(OFFSET(A$1,,,SUMPRODUCT(MAX(ROW(E$1:E4175)*(E2=E$1:E4175))))))</f>
        <v> </v>
      </c>
      <c r="K4176" s="26" t="str">
        <f>IF(OR(E4176="",E4176="!!!",F4176="NEW"),"",INDEX(J$1:J4175,SUMPRODUCT(MAX(ROW(E$1:E4175)*(E4176=E$1:E4175)))))</f>
        <v> </v>
      </c>
      <c r="L4176" s="27"/>
    </row>
    <row r="4177" spans="1:12">
      <c r="A4177" s="20" t="s">
        <v>1491</v>
      </c>
      <c r="E4177" s="22">
        <f>IF(D4177="?OLD","!!!","")</f>
        <v/>
      </c>
      <c r="F4177" s="23" t="str">
        <f>IF(OR(E4177="",E4177="!!!"),"",IF(NOT(ISNA(VLOOKUP(E4177,E$1:E4176,1,FALSE()))),"OLD",IF(AND(E4177&lt;&gt;"",E4177&lt;&gt;"!!!"),"NEW","")))</f>
        <v> </v>
      </c>
      <c r="G4177" s="24" t="str">
        <f>IF(OR(E4177="",E4177="!!!"),"",IF(OR(J4177=0,AND(J4177=1,K4177=1),AND(J4177=1,I4177="SBJ"),AND(J4177=1,I4177=0)),"?IN_FOCUS",IF(J4177&lt;=2,"?ACTIVATED",IF(J4177&lt;&gt;"","?FAMILIAR",IF(F4177="NEW",IF(ISNA(VLOOKUP(E4177,#REF!,1,FALSE())),"?TYPE_IDENTIFIABLE","?REFERENTIAL"),"_")))))</f>
        <v> </v>
      </c>
      <c r="H4177" s="25" t="str">
        <f>IF(J4177&lt;&gt;1,"",IF(I4177="SBJ","CB","?"))</f>
        <v> </v>
      </c>
      <c r="I4177" s="26" t="str">
        <f>IF(OR(E4177="",E4177="!!!",F4177="NEW"),"",INDEX(B4176:B$2,-1+SUMPRODUCT(MAX(ROW(E4176:E$2)*(E4177=E4176:E$2)))))</f>
        <v> </v>
      </c>
      <c r="J4177" s="26" t="str">
        <f>IF(OR(E4177="",E4177="!!!",F4177="NEW"),"",COUNTBLANK(OFFSET(A$1,,,SUMPRODUCT(MAX(ROW(E$2:E4177)*(E4177=E$2:E4177)))))-COUNTBLANK(OFFSET(A$1,,,SUMPRODUCT(MAX(ROW(E$1:E4176)*(E2=E$1:E4176))))))</f>
        <v> </v>
      </c>
      <c r="K4177" s="26" t="str">
        <f>IF(OR(E4177="",E4177="!!!",F4177="NEW"),"",INDEX(J$1:J4176,SUMPRODUCT(MAX(ROW(E$1:E4176)*(E4177=E$1:E4176)))))</f>
        <v> </v>
      </c>
      <c r="L4177" s="27"/>
    </row>
    <row r="4178" spans="1:12">
      <c r="A4178" s="20" t="s">
        <v>1018</v>
      </c>
      <c r="E4178" s="22">
        <f>IF(D4178="?OLD","!!!","")</f>
        <v/>
      </c>
      <c r="F4178" s="23" t="str">
        <f>IF(OR(E4178="",E4178="!!!"),"",IF(NOT(ISNA(VLOOKUP(E4178,E$1:E4177,1,FALSE()))),"OLD",IF(AND(E4178&lt;&gt;"",E4178&lt;&gt;"!!!"),"NEW","")))</f>
        <v> </v>
      </c>
      <c r="G4178" s="24" t="str">
        <f>IF(OR(E4178="",E4178="!!!"),"",IF(OR(J4178=0,AND(J4178=1,K4178=1),AND(J4178=1,I4178="SBJ"),AND(J4178=1,I4178=0)),"?IN_FOCUS",IF(J4178&lt;=2,"?ACTIVATED",IF(J4178&lt;&gt;"","?FAMILIAR",IF(F4178="NEW",IF(ISNA(VLOOKUP(E4178,#REF!,1,FALSE())),"?TYPE_IDENTIFIABLE","?REFERENTIAL"),"_")))))</f>
        <v> </v>
      </c>
      <c r="H4178" s="25" t="str">
        <f>IF(J4178&lt;&gt;1,"",IF(I4178="SBJ","CB","?"))</f>
        <v> </v>
      </c>
      <c r="I4178" s="26" t="str">
        <f>IF(OR(E4178="",E4178="!!!",F4178="NEW"),"",INDEX(B4177:B$2,-1+SUMPRODUCT(MAX(ROW(E4177:E$2)*(E4178=E4177:E$2)))))</f>
        <v> </v>
      </c>
      <c r="J4178" s="26" t="str">
        <f>IF(OR(E4178="",E4178="!!!",F4178="NEW"),"",COUNTBLANK(OFFSET(A$1,,,SUMPRODUCT(MAX(ROW(E$2:E4178)*(E4178=E$2:E4178)))))-COUNTBLANK(OFFSET(A$1,,,SUMPRODUCT(MAX(ROW(E$1:E4177)*(E2=E$1:E4177))))))</f>
        <v> </v>
      </c>
      <c r="K4178" s="26" t="str">
        <f>IF(OR(E4178="",E4178="!!!",F4178="NEW"),"",INDEX(J$1:J4177,SUMPRODUCT(MAX(ROW(E$1:E4177)*(E4178=E$1:E4177)))))</f>
        <v> </v>
      </c>
      <c r="L4178" s="27"/>
    </row>
    <row r="4179" spans="1:12">
      <c r="A4179" s="20" t="s">
        <v>1065</v>
      </c>
      <c r="B4179" s="21" t="s">
        <v>1120</v>
      </c>
      <c r="E4179" s="22">
        <f>IF(D4179="?OLD","!!!","")</f>
        <v/>
      </c>
      <c r="F4179" s="23" t="str">
        <f>IF(OR(E4179="",E4179="!!!"),"",IF(NOT(ISNA(VLOOKUP(E4179,E$1:E4178,1,FALSE()))),"OLD",IF(AND(E4179&lt;&gt;"",E4179&lt;&gt;"!!!"),"NEW","")))</f>
        <v> </v>
      </c>
      <c r="G4179" s="24" t="str">
        <f>IF(OR(E4179="",E4179="!!!"),"",IF(OR(J4179=0,AND(J4179=1,K4179=1),AND(J4179=1,I4179="SBJ"),AND(J4179=1,I4179=0)),"?IN_FOCUS",IF(J4179&lt;=2,"?ACTIVATED",IF(J4179&lt;&gt;"","?FAMILIAR",IF(F4179="NEW",IF(ISNA(VLOOKUP(E4179,#REF!,1,FALSE())),"?TYPE_IDENTIFIABLE","?REFERENTIAL"),"_")))))</f>
        <v> </v>
      </c>
      <c r="H4179" s="25" t="str">
        <f>IF(J4179&lt;&gt;1,"",IF(I4179="SBJ","CB","?"))</f>
        <v> </v>
      </c>
      <c r="I4179" s="26" t="str">
        <f>IF(OR(E4179="",E4179="!!!",F4179="NEW"),"",INDEX(B4178:B$2,-1+SUMPRODUCT(MAX(ROW(E4178:E$2)*(E4179=E4178:E$2)))))</f>
        <v> </v>
      </c>
      <c r="J4179" s="26" t="str">
        <f>IF(OR(E4179="",E4179="!!!",F4179="NEW"),"",COUNTBLANK(OFFSET(A$1,,,SUMPRODUCT(MAX(ROW(E$2:E4179)*(E4179=E$2:E4179)))))-COUNTBLANK(OFFSET(A$1,,,SUMPRODUCT(MAX(ROW(E$1:E4178)*(E2=E$1:E4178))))))</f>
        <v> </v>
      </c>
      <c r="K4179" s="26" t="str">
        <f>IF(OR(E4179="",E4179="!!!",F4179="NEW"),"",INDEX(J$1:J4178,SUMPRODUCT(MAX(ROW(E$1:E4178)*(E4179=E$1:E4178)))))</f>
        <v> </v>
      </c>
      <c r="L4179" s="27"/>
    </row>
    <row r="4180" spans="1:12">
      <c r="A4180" s="20" t="s">
        <v>2211</v>
      </c>
      <c r="E4180" s="22">
        <f>IF(D4180="?OLD","!!!","")</f>
        <v/>
      </c>
      <c r="F4180" s="23" t="str">
        <f>IF(OR(E4180="",E4180="!!!"),"",IF(NOT(ISNA(VLOOKUP(E4180,E$1:E4179,1,FALSE()))),"OLD",IF(AND(E4180&lt;&gt;"",E4180&lt;&gt;"!!!"),"NEW","")))</f>
        <v> </v>
      </c>
      <c r="G4180" s="24" t="str">
        <f>IF(OR(E4180="",E4180="!!!"),"",IF(OR(J4180=0,AND(J4180=1,K4180=1),AND(J4180=1,I4180="SBJ"),AND(J4180=1,I4180=0)),"?IN_FOCUS",IF(J4180&lt;=2,"?ACTIVATED",IF(J4180&lt;&gt;"","?FAMILIAR",IF(F4180="NEW",IF(ISNA(VLOOKUP(E4180,#REF!,1,FALSE())),"?TYPE_IDENTIFIABLE","?REFERENTIAL"),"_")))))</f>
        <v> </v>
      </c>
      <c r="H4180" s="25" t="str">
        <f>IF(J4180&lt;&gt;1,"",IF(I4180="SBJ","CB","?"))</f>
        <v> </v>
      </c>
      <c r="I4180" s="26" t="str">
        <f>IF(OR(E4180="",E4180="!!!",F4180="NEW"),"",INDEX(B4179:B$2,-1+SUMPRODUCT(MAX(ROW(E4179:E$2)*(E4180=E4179:E$2)))))</f>
        <v> </v>
      </c>
      <c r="J4180" s="26" t="str">
        <f>IF(OR(E4180="",E4180="!!!",F4180="NEW"),"",COUNTBLANK(OFFSET(A$1,,,SUMPRODUCT(MAX(ROW(E$2:E4180)*(E4180=E$2:E4180)))))-COUNTBLANK(OFFSET(A$1,,,SUMPRODUCT(MAX(ROW(E$1:E4179)*(E2=E$1:E4179))))))</f>
        <v> </v>
      </c>
      <c r="K4180" s="26" t="str">
        <f>IF(OR(E4180="",E4180="!!!",F4180="NEW"),"",INDEX(J$1:J4179,SUMPRODUCT(MAX(ROW(E$1:E4179)*(E4180=E$1:E4179)))))</f>
        <v> </v>
      </c>
      <c r="L4180" s="27"/>
    </row>
    <row r="4181" spans="1:12">
      <c r="A4181" s="20" t="s">
        <v>1273</v>
      </c>
      <c r="E4181" s="22">
        <f>IF(D4181="?OLD","!!!","")</f>
        <v/>
      </c>
      <c r="F4181" s="23" t="str">
        <f>IF(OR(E4181="",E4181="!!!"),"",IF(NOT(ISNA(VLOOKUP(E4181,E$1:E4180,1,FALSE()))),"OLD",IF(AND(E4181&lt;&gt;"",E4181&lt;&gt;"!!!"),"NEW","")))</f>
        <v> </v>
      </c>
      <c r="G4181" s="24" t="str">
        <f>IF(OR(E4181="",E4181="!!!"),"",IF(OR(J4181=0,AND(J4181=1,K4181=1),AND(J4181=1,I4181="SBJ"),AND(J4181=1,I4181=0)),"?IN_FOCUS",IF(J4181&lt;=2,"?ACTIVATED",IF(J4181&lt;&gt;"","?FAMILIAR",IF(F4181="NEW",IF(ISNA(VLOOKUP(E4181,#REF!,1,FALSE())),"?TYPE_IDENTIFIABLE","?REFERENTIAL"),"_")))))</f>
        <v> </v>
      </c>
      <c r="H4181" s="25" t="str">
        <f>IF(J4181&lt;&gt;1,"",IF(I4181="SBJ","CB","?"))</f>
        <v> </v>
      </c>
      <c r="I4181" s="26" t="str">
        <f>IF(OR(E4181="",E4181="!!!",F4181="NEW"),"",INDEX(B4180:B$2,-1+SUMPRODUCT(MAX(ROW(E4180:E$2)*(E4181=E4180:E$2)))))</f>
        <v> </v>
      </c>
      <c r="J4181" s="26" t="str">
        <f>IF(OR(E4181="",E4181="!!!",F4181="NEW"),"",COUNTBLANK(OFFSET(A$1,,,SUMPRODUCT(MAX(ROW(E$2:E4181)*(E4181=E$2:E4181)))))-COUNTBLANK(OFFSET(A$1,,,SUMPRODUCT(MAX(ROW(E$1:E4180)*(E2=E$1:E4180))))))</f>
        <v> </v>
      </c>
      <c r="K4181" s="26" t="str">
        <f>IF(OR(E4181="",E4181="!!!",F4181="NEW"),"",INDEX(J$1:J4180,SUMPRODUCT(MAX(ROW(E$1:E4180)*(E4181=E$1:E4180)))))</f>
        <v> </v>
      </c>
      <c r="L4181" s="27"/>
    </row>
    <row r="4182" spans="1:12">
      <c r="A4182" s="20" t="s">
        <v>1274</v>
      </c>
      <c r="B4182" s="21" t="s">
        <v>1064</v>
      </c>
      <c r="C4182" s="21" t="s">
        <v>1041</v>
      </c>
      <c r="D4182" s="21" t="s">
        <v>1007</v>
      </c>
      <c r="E4182" s="22">
        <f>IF(D4182="?OLD","!!!","")</f>
        <v/>
      </c>
      <c r="F4182" s="23" t="str">
        <f>IF(OR(E4182="",E4182="!!!"),"",IF(NOT(ISNA(VLOOKUP(E4182,E$1:E4181,1,FALSE()))),"OLD",IF(AND(E4182&lt;&gt;"",E4182&lt;&gt;"!!!"),"NEW","")))</f>
        <v> </v>
      </c>
      <c r="G4182" s="24" t="str">
        <f>IF(OR(E4182="",E4182="!!!"),"",IF(OR(J4182=0,AND(J4182=1,K4182=1),AND(J4182=1,I4182="SBJ"),AND(J4182=1,I4182=0)),"?IN_FOCUS",IF(J4182&lt;=2,"?ACTIVATED",IF(J4182&lt;&gt;"","?FAMILIAR",IF(F4182="NEW",IF(ISNA(VLOOKUP(E4182,#REF!,1,FALSE())),"?TYPE_IDENTIFIABLE","?REFERENTIAL"),"_")))))</f>
        <v> </v>
      </c>
      <c r="H4182" s="25" t="str">
        <f>IF(J4182&lt;&gt;1,"",IF(I4182="SBJ","CB","?"))</f>
        <v> </v>
      </c>
      <c r="I4182" s="26" t="str">
        <f>IF(OR(E4182="",E4182="!!!",F4182="NEW"),"",INDEX(B4181:B$2,-1+SUMPRODUCT(MAX(ROW(E4181:E$2)*(E4182=E4181:E$2)))))</f>
        <v> </v>
      </c>
      <c r="J4182" s="26" t="str">
        <f>IF(OR(E4182="",E4182="!!!",F4182="NEW"),"",COUNTBLANK(OFFSET(A$1,,,SUMPRODUCT(MAX(ROW(E$2:E4182)*(E4182=E$2:E4182)))))-COUNTBLANK(OFFSET(A$1,,,SUMPRODUCT(MAX(ROW(E$1:E4181)*(E2=E$1:E4181))))))</f>
        <v> </v>
      </c>
      <c r="K4182" s="26" t="str">
        <f>IF(OR(E4182="",E4182="!!!",F4182="NEW"),"",INDEX(J$1:J4181,SUMPRODUCT(MAX(ROW(E$1:E4181)*(E4182=E$1:E4181)))))</f>
        <v> </v>
      </c>
      <c r="L4182" s="27"/>
    </row>
    <row r="4183" spans="1:12">
      <c r="A4183" s="20" t="s">
        <v>1014</v>
      </c>
      <c r="E4183" s="22">
        <f>IF(D4183="?OLD","!!!","")</f>
        <v/>
      </c>
      <c r="F4183" s="23" t="str">
        <f>IF(OR(E4183="",E4183="!!!"),"",IF(NOT(ISNA(VLOOKUP(E4183,E$1:E4182,1,FALSE()))),"OLD",IF(AND(E4183&lt;&gt;"",E4183&lt;&gt;"!!!"),"NEW","")))</f>
        <v> </v>
      </c>
      <c r="G4183" s="24" t="str">
        <f>IF(OR(E4183="",E4183="!!!"),"",IF(OR(J4183=0,AND(J4183=1,K4183=1),AND(J4183=1,I4183="SBJ"),AND(J4183=1,I4183=0)),"?IN_FOCUS",IF(J4183&lt;=2,"?ACTIVATED",IF(J4183&lt;&gt;"","?FAMILIAR",IF(F4183="NEW",IF(ISNA(VLOOKUP(E4183,#REF!,1,FALSE())),"?TYPE_IDENTIFIABLE","?REFERENTIAL"),"_")))))</f>
        <v> </v>
      </c>
      <c r="H4183" s="25" t="str">
        <f>IF(J4183&lt;&gt;1,"",IF(I4183="SBJ","CB","?"))</f>
        <v> </v>
      </c>
      <c r="I4183" s="26" t="str">
        <f>IF(OR(E4183="",E4183="!!!",F4183="NEW"),"",INDEX(B4182:B$2,-1+SUMPRODUCT(MAX(ROW(E4182:E$2)*(E4183=E4182:E$2)))))</f>
        <v> </v>
      </c>
      <c r="J4183" s="26" t="str">
        <f>IF(OR(E4183="",E4183="!!!",F4183="NEW"),"",COUNTBLANK(OFFSET(A$1,,,SUMPRODUCT(MAX(ROW(E$2:E4183)*(E4183=E$2:E4183)))))-COUNTBLANK(OFFSET(A$1,,,SUMPRODUCT(MAX(ROW(E$1:E4182)*(E2=E$1:E4182))))))</f>
        <v> </v>
      </c>
      <c r="K4183" s="26" t="str">
        <f>IF(OR(E4183="",E4183="!!!",F4183="NEW"),"",INDEX(J$1:J4182,SUMPRODUCT(MAX(ROW(E$1:E4182)*(E4183=E$1:E4182)))))</f>
        <v> </v>
      </c>
      <c r="L4183" s="27"/>
    </row>
    <row r="4184" spans="1:12">
      <c r="A4184" s="20" t="s">
        <v>2212</v>
      </c>
      <c r="B4184" s="21" t="s">
        <v>1130</v>
      </c>
      <c r="C4184" s="21" t="s">
        <v>1048</v>
      </c>
      <c r="E4184" s="22">
        <f>IF(D4184="?OLD","!!!","")</f>
        <v/>
      </c>
      <c r="F4184" s="23" t="str">
        <f>IF(OR(E4184="",E4184="!!!"),"",IF(NOT(ISNA(VLOOKUP(E4184,E$1:E4183,1,FALSE()))),"OLD",IF(AND(E4184&lt;&gt;"",E4184&lt;&gt;"!!!"),"NEW","")))</f>
        <v> </v>
      </c>
      <c r="G4184" s="24" t="str">
        <f>IF(OR(E4184="",E4184="!!!"),"",IF(OR(J4184=0,AND(J4184=1,K4184=1),AND(J4184=1,I4184="SBJ"),AND(J4184=1,I4184=0)),"?IN_FOCUS",IF(J4184&lt;=2,"?ACTIVATED",IF(J4184&lt;&gt;"","?FAMILIAR",IF(F4184="NEW",IF(ISNA(VLOOKUP(E4184,#REF!,1,FALSE())),"?TYPE_IDENTIFIABLE","?REFERENTIAL"),"_")))))</f>
        <v> </v>
      </c>
      <c r="H4184" s="25" t="str">
        <f>IF(J4184&lt;&gt;1,"",IF(I4184="SBJ","CB","?"))</f>
        <v> </v>
      </c>
      <c r="I4184" s="26" t="str">
        <f>IF(OR(E4184="",E4184="!!!",F4184="NEW"),"",INDEX(B4183:B$2,-1+SUMPRODUCT(MAX(ROW(E4183:E$2)*(E4184=E4183:E$2)))))</f>
        <v> </v>
      </c>
      <c r="J4184" s="26" t="str">
        <f>IF(OR(E4184="",E4184="!!!",F4184="NEW"),"",COUNTBLANK(OFFSET(A$1,,,SUMPRODUCT(MAX(ROW(E$2:E4184)*(E4184=E$2:E4184)))))-COUNTBLANK(OFFSET(A$1,,,SUMPRODUCT(MAX(ROW(E$1:E4183)*(E2=E$1:E4183))))))</f>
        <v> </v>
      </c>
      <c r="K4184" s="26" t="str">
        <f>IF(OR(E4184="",E4184="!!!",F4184="NEW"),"",INDEX(J$1:J4183,SUMPRODUCT(MAX(ROW(E$1:E4183)*(E4184=E$1:E4183)))))</f>
        <v> </v>
      </c>
      <c r="L4184" s="27"/>
    </row>
    <row r="4185" spans="1:12">
      <c r="A4185" s="20" t="s">
        <v>56</v>
      </c>
      <c r="E4185" s="22">
        <f>IF(D4185="?OLD","!!!","")</f>
        <v/>
      </c>
      <c r="F4185" s="23" t="str">
        <f>IF(OR(E4185="",E4185="!!!"),"",IF(NOT(ISNA(VLOOKUP(E4185,E$1:E4184,1,FALSE()))),"OLD",IF(AND(E4185&lt;&gt;"",E4185&lt;&gt;"!!!"),"NEW","")))</f>
        <v> </v>
      </c>
      <c r="G4185" s="24" t="str">
        <f>IF(OR(E4185="",E4185="!!!"),"",IF(OR(J4185=0,AND(J4185=1,K4185=1),AND(J4185=1,I4185="SBJ"),AND(J4185=1,I4185=0)),"?IN_FOCUS",IF(J4185&lt;=2,"?ACTIVATED",IF(J4185&lt;&gt;"","?FAMILIAR",IF(F4185="NEW",IF(ISNA(VLOOKUP(E4185,#REF!,1,FALSE())),"?TYPE_IDENTIFIABLE","?REFERENTIAL"),"_")))))</f>
        <v> </v>
      </c>
      <c r="H4185" s="25" t="str">
        <f>IF(J4185&lt;&gt;1,"",IF(I4185="SBJ","CB","?"))</f>
        <v> </v>
      </c>
      <c r="I4185" s="26" t="str">
        <f>IF(OR(E4185="",E4185="!!!",F4185="NEW"),"",INDEX(B4184:B$2,-1+SUMPRODUCT(MAX(ROW(E4184:E$2)*(E4185=E4184:E$2)))))</f>
        <v> </v>
      </c>
      <c r="J4185" s="26" t="str">
        <f>IF(OR(E4185="",E4185="!!!",F4185="NEW"),"",COUNTBLANK(OFFSET(A$1,,,SUMPRODUCT(MAX(ROW(E$2:E4185)*(E4185=E$2:E4185)))))-COUNTBLANK(OFFSET(A$1,,,SUMPRODUCT(MAX(ROW(E$1:E4184)*(E2=E$1:E4184))))))</f>
        <v> </v>
      </c>
      <c r="K4185" s="26" t="str">
        <f>IF(OR(E4185="",E4185="!!!",F4185="NEW"),"",INDEX(J$1:J4184,SUMPRODUCT(MAX(ROW(E$1:E4184)*(E4185=E$1:E4184)))))</f>
        <v> </v>
      </c>
      <c r="L4185" s="27"/>
    </row>
    <row r="4186" spans="1:12">
      <c r="A4186" s="20" t="s">
        <v>2213</v>
      </c>
      <c r="E4186" s="22">
        <f>IF(D4186="?OLD","!!!","")</f>
        <v/>
      </c>
      <c r="F4186" s="23" t="str">
        <f>IF(OR(E4186="",E4186="!!!"),"",IF(NOT(ISNA(VLOOKUP(E4186,E$1:E4185,1,FALSE()))),"OLD",IF(AND(E4186&lt;&gt;"",E4186&lt;&gt;"!!!"),"NEW","")))</f>
        <v> </v>
      </c>
      <c r="G4186" s="24" t="str">
        <f>IF(OR(E4186="",E4186="!!!"),"",IF(OR(J4186=0,AND(J4186=1,K4186=1),AND(J4186=1,I4186="SBJ"),AND(J4186=1,I4186=0)),"?IN_FOCUS",IF(J4186&lt;=2,"?ACTIVATED",IF(J4186&lt;&gt;"","?FAMILIAR",IF(F4186="NEW",IF(ISNA(VLOOKUP(E4186,#REF!,1,FALSE())),"?TYPE_IDENTIFIABLE","?REFERENTIAL"),"_")))))</f>
        <v> </v>
      </c>
      <c r="H4186" s="25" t="str">
        <f>IF(J4186&lt;&gt;1,"",IF(I4186="SBJ","CB","?"))</f>
        <v> </v>
      </c>
      <c r="I4186" s="26" t="str">
        <f>IF(OR(E4186="",E4186="!!!",F4186="NEW"),"",INDEX(B4185:B$2,-1+SUMPRODUCT(MAX(ROW(E4185:E$2)*(E4186=E4185:E$2)))))</f>
        <v> </v>
      </c>
      <c r="J4186" s="26" t="str">
        <f>IF(OR(E4186="",E4186="!!!",F4186="NEW"),"",COUNTBLANK(OFFSET(A$1,,,SUMPRODUCT(MAX(ROW(E$2:E4186)*(E4186=E$2:E4186)))))-COUNTBLANK(OFFSET(A$1,,,SUMPRODUCT(MAX(ROW(E$1:E4185)*(E2=E$1:E4185))))))</f>
        <v> </v>
      </c>
      <c r="K4186" s="26" t="str">
        <f>IF(OR(E4186="",E4186="!!!",F4186="NEW"),"",INDEX(J$1:J4185,SUMPRODUCT(MAX(ROW(E$1:E4185)*(E4186=E$1:E4185)))))</f>
        <v> </v>
      </c>
      <c r="L4186" s="27"/>
    </row>
    <row r="4187" spans="1:12">
      <c r="A4187" s="20" t="s">
        <v>2214</v>
      </c>
      <c r="E4187" s="22">
        <f>IF(D4187="?OLD","!!!","")</f>
        <v/>
      </c>
      <c r="F4187" s="23" t="str">
        <f>IF(OR(E4187="",E4187="!!!"),"",IF(NOT(ISNA(VLOOKUP(E4187,E$1:E4186,1,FALSE()))),"OLD",IF(AND(E4187&lt;&gt;"",E4187&lt;&gt;"!!!"),"NEW","")))</f>
        <v> </v>
      </c>
      <c r="G4187" s="24" t="str">
        <f>IF(OR(E4187="",E4187="!!!"),"",IF(OR(J4187=0,AND(J4187=1,K4187=1),AND(J4187=1,I4187="SBJ"),AND(J4187=1,I4187=0)),"?IN_FOCUS",IF(J4187&lt;=2,"?ACTIVATED",IF(J4187&lt;&gt;"","?FAMILIAR",IF(F4187="NEW",IF(ISNA(VLOOKUP(E4187,#REF!,1,FALSE())),"?TYPE_IDENTIFIABLE","?REFERENTIAL"),"_")))))</f>
        <v> </v>
      </c>
      <c r="H4187" s="25" t="str">
        <f>IF(J4187&lt;&gt;1,"",IF(I4187="SBJ","CB","?"))</f>
        <v> </v>
      </c>
      <c r="I4187" s="26" t="str">
        <f>IF(OR(E4187="",E4187="!!!",F4187="NEW"),"",INDEX(B4186:B$2,-1+SUMPRODUCT(MAX(ROW(E4186:E$2)*(E4187=E4186:E$2)))))</f>
        <v> </v>
      </c>
      <c r="J4187" s="26" t="str">
        <f>IF(OR(E4187="",E4187="!!!",F4187="NEW"),"",COUNTBLANK(OFFSET(A$1,,,SUMPRODUCT(MAX(ROW(E$2:E4187)*(E4187=E$2:E4187)))))-COUNTBLANK(OFFSET(A$1,,,SUMPRODUCT(MAX(ROW(E$1:E4186)*(E2=E$1:E4186))))))</f>
        <v> </v>
      </c>
      <c r="K4187" s="26" t="str">
        <f>IF(OR(E4187="",E4187="!!!",F4187="NEW"),"",INDEX(J$1:J4186,SUMPRODUCT(MAX(ROW(E$1:E4186)*(E4187=E$1:E4186)))))</f>
        <v> </v>
      </c>
      <c r="L4187" s="27"/>
    </row>
    <row r="4188" spans="1:12">
      <c r="A4188" s="20" t="s">
        <v>1023</v>
      </c>
      <c r="E4188" s="22">
        <f>IF(D4188="?OLD","!!!","")</f>
        <v/>
      </c>
      <c r="F4188" s="23" t="str">
        <f>IF(OR(E4188="",E4188="!!!"),"",IF(NOT(ISNA(VLOOKUP(E4188,E$1:E4187,1,FALSE()))),"OLD",IF(AND(E4188&lt;&gt;"",E4188&lt;&gt;"!!!"),"NEW","")))</f>
        <v> </v>
      </c>
      <c r="G4188" s="24" t="str">
        <f>IF(OR(E4188="",E4188="!!!"),"",IF(OR(J4188=0,AND(J4188=1,K4188=1),AND(J4188=1,I4188="SBJ"),AND(J4188=1,I4188=0)),"?IN_FOCUS",IF(J4188&lt;=2,"?ACTIVATED",IF(J4188&lt;&gt;"","?FAMILIAR",IF(F4188="NEW",IF(ISNA(VLOOKUP(E4188,#REF!,1,FALSE())),"?TYPE_IDENTIFIABLE","?REFERENTIAL"),"_")))))</f>
        <v> </v>
      </c>
      <c r="H4188" s="25" t="str">
        <f>IF(J4188&lt;&gt;1,"",IF(I4188="SBJ","CB","?"))</f>
        <v> </v>
      </c>
      <c r="I4188" s="26" t="str">
        <f>IF(OR(E4188="",E4188="!!!",F4188="NEW"),"",INDEX(B4187:B$2,-1+SUMPRODUCT(MAX(ROW(E4187:E$2)*(E4188=E4187:E$2)))))</f>
        <v> </v>
      </c>
      <c r="J4188" s="26" t="str">
        <f>IF(OR(E4188="",E4188="!!!",F4188="NEW"),"",COUNTBLANK(OFFSET(A$1,,,SUMPRODUCT(MAX(ROW(E$2:E4188)*(E4188=E$2:E4188)))))-COUNTBLANK(OFFSET(A$1,,,SUMPRODUCT(MAX(ROW(E$1:E4187)*(E2=E$1:E4187))))))</f>
        <v> </v>
      </c>
      <c r="K4188" s="26" t="str">
        <f>IF(OR(E4188="",E4188="!!!",F4188="NEW"),"",INDEX(J$1:J4187,SUMPRODUCT(MAX(ROW(E$1:E4187)*(E4188=E$1:E4187)))))</f>
        <v> </v>
      </c>
      <c r="L4188" s="27"/>
    </row>
    <row r="4189" spans="1:12">
      <c r="A4189" s="20"/>
    </row>
    <row r="4190" spans="1:12">
      <c r="A4190" s="20" t="s">
        <v>2215</v>
      </c>
    </row>
    <row r="4191" spans="1:12">
      <c r="A4191" s="20" t="s">
        <v>11</v>
      </c>
      <c r="E4191" s="22">
        <f>IF(D4191="?OLD","!!!","")</f>
        <v/>
      </c>
      <c r="F4191" s="23" t="str">
        <f>IF(OR(E4191="",E4191="!!!"),"",IF(NOT(ISNA(VLOOKUP(E4191,E$1:E4190,1,FALSE()))),"OLD",IF(AND(E4191&lt;&gt;"",E4191&lt;&gt;"!!!"),"NEW","")))</f>
        <v> </v>
      </c>
      <c r="G4191" s="24" t="str">
        <f>IF(OR(E4191="",E4191="!!!"),"",IF(OR(J4191=0,AND(J4191=1,K4191=1),AND(J4191=1,I4191="SBJ"),AND(J4191=1,I4191=0)),"?IN_FOCUS",IF(J4191&lt;=2,"?ACTIVATED",IF(J4191&lt;&gt;"","?FAMILIAR",IF(F4191="NEW",IF(ISNA(VLOOKUP(E4191,#REF!,1,FALSE())),"?TYPE_IDENTIFIABLE","?REFERENTIAL"),"_")))))</f>
        <v> </v>
      </c>
      <c r="H4191" s="25" t="str">
        <f>IF(J4191&lt;&gt;1,"",IF(I4191="SBJ","CB","?"))</f>
        <v> </v>
      </c>
      <c r="I4191" s="26" t="str">
        <f>IF(OR(E4191="",E4191="!!!",F4191="NEW"),"",INDEX(B4190:B$2,-1+SUMPRODUCT(MAX(ROW(E4190:E$2)*(E4191=E4190:E$2)))))</f>
        <v> </v>
      </c>
      <c r="J4191" s="26" t="str">
        <f>IF(OR(E4191="",E4191="!!!",F4191="NEW"),"",COUNTBLANK(OFFSET(A$1,,,SUMPRODUCT(MAX(ROW(E$2:E4191)*(E4191=E$2:E4191)))))-COUNTBLANK(OFFSET(A$1,,,SUMPRODUCT(MAX(ROW(E$1:E4190)*(E2=E$1:E4190))))))</f>
        <v> </v>
      </c>
      <c r="K4191" s="26" t="str">
        <f>IF(OR(E4191="",E4191="!!!",F4191="NEW"),"",INDEX(J$1:J4190,SUMPRODUCT(MAX(ROW(E$1:E4190)*(E4191=E$1:E4190)))))</f>
        <v> </v>
      </c>
      <c r="L4191" s="27"/>
    </row>
    <row r="4192" spans="1:12">
      <c r="A4192" s="20" t="s">
        <v>576</v>
      </c>
      <c r="B4192" s="21" t="s">
        <v>1005</v>
      </c>
      <c r="C4192" s="21" t="s">
        <v>1017</v>
      </c>
      <c r="D4192" s="21" t="s">
        <v>1007</v>
      </c>
      <c r="E4192" s="22">
        <f>IF(D4192="?OLD","!!!","")</f>
        <v/>
      </c>
      <c r="F4192" s="23" t="str">
        <f>IF(OR(E4192="",E4192="!!!"),"",IF(NOT(ISNA(VLOOKUP(E4192,E$1:E4191,1,FALSE()))),"OLD",IF(AND(E4192&lt;&gt;"",E4192&lt;&gt;"!!!"),"NEW","")))</f>
        <v> </v>
      </c>
      <c r="G4192" s="24" t="str">
        <f>IF(OR(E4192="",E4192="!!!"),"",IF(OR(J4192=0,AND(J4192=1,K4192=1),AND(J4192=1,I4192="SBJ"),AND(J4192=1,I4192=0)),"?IN_FOCUS",IF(J4192&lt;=2,"?ACTIVATED",IF(J4192&lt;&gt;"","?FAMILIAR",IF(F4192="NEW",IF(ISNA(VLOOKUP(E4192,#REF!,1,FALSE())),"?TYPE_IDENTIFIABLE","?REFERENTIAL"),"_")))))</f>
        <v> </v>
      </c>
      <c r="H4192" s="25" t="str">
        <f>IF(J4192&lt;&gt;1,"",IF(I4192="SBJ","CB","?"))</f>
        <v> </v>
      </c>
      <c r="I4192" s="26" t="str">
        <f>IF(OR(E4192="",E4192="!!!",F4192="NEW"),"",INDEX(B4191:B$2,-1+SUMPRODUCT(MAX(ROW(E4191:E$2)*(E4192=E4191:E$2)))))</f>
        <v> </v>
      </c>
      <c r="J4192" s="26" t="str">
        <f>IF(OR(E4192="",E4192="!!!",F4192="NEW"),"",COUNTBLANK(OFFSET(A$1,,,SUMPRODUCT(MAX(ROW(E$2:E4192)*(E4192=E$2:E4192)))))-COUNTBLANK(OFFSET(A$1,,,SUMPRODUCT(MAX(ROW(E$1:E4191)*(E2=E$1:E4191))))))</f>
        <v> </v>
      </c>
      <c r="K4192" s="26" t="str">
        <f>IF(OR(E4192="",E4192="!!!",F4192="NEW"),"",INDEX(J$1:J4191,SUMPRODUCT(MAX(ROW(E$1:E4191)*(E4192=E$1:E4191)))))</f>
        <v> </v>
      </c>
      <c r="L4192" s="27"/>
    </row>
    <row r="4193" spans="1:12">
      <c r="A4193" s="20" t="s">
        <v>1018</v>
      </c>
      <c r="E4193" s="22">
        <f>IF(D4193="?OLD","!!!","")</f>
        <v/>
      </c>
      <c r="F4193" s="23" t="str">
        <f>IF(OR(E4193="",E4193="!!!"),"",IF(NOT(ISNA(VLOOKUP(E4193,E$1:E4192,1,FALSE()))),"OLD",IF(AND(E4193&lt;&gt;"",E4193&lt;&gt;"!!!"),"NEW","")))</f>
        <v> </v>
      </c>
      <c r="G4193" s="24" t="str">
        <f>IF(OR(E4193="",E4193="!!!"),"",IF(OR(J4193=0,AND(J4193=1,K4193=1),AND(J4193=1,I4193="SBJ"),AND(J4193=1,I4193=0)),"?IN_FOCUS",IF(J4193&lt;=2,"?ACTIVATED",IF(J4193&lt;&gt;"","?FAMILIAR",IF(F4193="NEW",IF(ISNA(VLOOKUP(E4193,#REF!,1,FALSE())),"?TYPE_IDENTIFIABLE","?REFERENTIAL"),"_")))))</f>
        <v> </v>
      </c>
      <c r="H4193" s="25" t="str">
        <f>IF(J4193&lt;&gt;1,"",IF(I4193="SBJ","CB","?"))</f>
        <v> </v>
      </c>
      <c r="I4193" s="26" t="str">
        <f>IF(OR(E4193="",E4193="!!!",F4193="NEW"),"",INDEX(B4192:B$2,-1+SUMPRODUCT(MAX(ROW(E4192:E$2)*(E4193=E4192:E$2)))))</f>
        <v> </v>
      </c>
      <c r="J4193" s="26" t="str">
        <f>IF(OR(E4193="",E4193="!!!",F4193="NEW"),"",COUNTBLANK(OFFSET(A$1,,,SUMPRODUCT(MAX(ROW(E$2:E4193)*(E4193=E$2:E4193)))))-COUNTBLANK(OFFSET(A$1,,,SUMPRODUCT(MAX(ROW(E$1:E4192)*(E2=E$1:E4192))))))</f>
        <v> </v>
      </c>
      <c r="K4193" s="26" t="str">
        <f>IF(OR(E4193="",E4193="!!!",F4193="NEW"),"",INDEX(J$1:J4192,SUMPRODUCT(MAX(ROW(E$1:E4192)*(E4193=E$1:E4192)))))</f>
        <v> </v>
      </c>
      <c r="L4193" s="27"/>
    </row>
    <row r="4194" spans="1:12">
      <c r="A4194" s="20" t="s">
        <v>1065</v>
      </c>
      <c r="B4194" s="21" t="s">
        <v>1154</v>
      </c>
      <c r="E4194" s="22">
        <f>IF(D4194="?OLD","!!!","")</f>
        <v/>
      </c>
      <c r="F4194" s="23" t="str">
        <f>IF(OR(E4194="",E4194="!!!"),"",IF(NOT(ISNA(VLOOKUP(E4194,E$1:E4193,1,FALSE()))),"OLD",IF(AND(E4194&lt;&gt;"",E4194&lt;&gt;"!!!"),"NEW","")))</f>
        <v> </v>
      </c>
      <c r="G4194" s="24" t="str">
        <f>IF(OR(E4194="",E4194="!!!"),"",IF(OR(J4194=0,AND(J4194=1,K4194=1),AND(J4194=1,I4194="SBJ"),AND(J4194=1,I4194=0)),"?IN_FOCUS",IF(J4194&lt;=2,"?ACTIVATED",IF(J4194&lt;&gt;"","?FAMILIAR",IF(F4194="NEW",IF(ISNA(VLOOKUP(E4194,#REF!,1,FALSE())),"?TYPE_IDENTIFIABLE","?REFERENTIAL"),"_")))))</f>
        <v> </v>
      </c>
      <c r="H4194" s="25" t="str">
        <f>IF(J4194&lt;&gt;1,"",IF(I4194="SBJ","CB","?"))</f>
        <v> </v>
      </c>
      <c r="I4194" s="26" t="str">
        <f>IF(OR(E4194="",E4194="!!!",F4194="NEW"),"",INDEX(B4193:B$2,-1+SUMPRODUCT(MAX(ROW(E4193:E$2)*(E4194=E4193:E$2)))))</f>
        <v> </v>
      </c>
      <c r="J4194" s="26" t="str">
        <f>IF(OR(E4194="",E4194="!!!",F4194="NEW"),"",COUNTBLANK(OFFSET(A$1,,,SUMPRODUCT(MAX(ROW(E$2:E4194)*(E4194=E$2:E4194)))))-COUNTBLANK(OFFSET(A$1,,,SUMPRODUCT(MAX(ROW(E$1:E4193)*(E2=E$1:E4193))))))</f>
        <v> </v>
      </c>
      <c r="K4194" s="26" t="str">
        <f>IF(OR(E4194="",E4194="!!!",F4194="NEW"),"",INDEX(J$1:J4193,SUMPRODUCT(MAX(ROW(E$1:E4193)*(E4194=E$1:E4193)))))</f>
        <v> </v>
      </c>
      <c r="L4194" s="27"/>
    </row>
    <row r="4195" spans="1:12">
      <c r="A4195" s="20" t="s">
        <v>2216</v>
      </c>
      <c r="E4195" s="22">
        <f>IF(D4195="?OLD","!!!","")</f>
        <v/>
      </c>
      <c r="F4195" s="23" t="str">
        <f>IF(OR(E4195="",E4195="!!!"),"",IF(NOT(ISNA(VLOOKUP(E4195,E$1:E4194,1,FALSE()))),"OLD",IF(AND(E4195&lt;&gt;"",E4195&lt;&gt;"!!!"),"NEW","")))</f>
        <v> </v>
      </c>
      <c r="G4195" s="24" t="str">
        <f>IF(OR(E4195="",E4195="!!!"),"",IF(OR(J4195=0,AND(J4195=1,K4195=1),AND(J4195=1,I4195="SBJ"),AND(J4195=1,I4195=0)),"?IN_FOCUS",IF(J4195&lt;=2,"?ACTIVATED",IF(J4195&lt;&gt;"","?FAMILIAR",IF(F4195="NEW",IF(ISNA(VLOOKUP(E4195,#REF!,1,FALSE())),"?TYPE_IDENTIFIABLE","?REFERENTIAL"),"_")))))</f>
        <v> </v>
      </c>
      <c r="H4195" s="25" t="str">
        <f>IF(J4195&lt;&gt;1,"",IF(I4195="SBJ","CB","?"))</f>
        <v> </v>
      </c>
      <c r="I4195" s="26" t="str">
        <f>IF(OR(E4195="",E4195="!!!",F4195="NEW"),"",INDEX(B4194:B$2,-1+SUMPRODUCT(MAX(ROW(E4194:E$2)*(E4195=E4194:E$2)))))</f>
        <v> </v>
      </c>
      <c r="J4195" s="26" t="str">
        <f>IF(OR(E4195="",E4195="!!!",F4195="NEW"),"",COUNTBLANK(OFFSET(A$1,,,SUMPRODUCT(MAX(ROW(E$2:E4195)*(E4195=E$2:E4195)))))-COUNTBLANK(OFFSET(A$1,,,SUMPRODUCT(MAX(ROW(E$1:E4194)*(E2=E$1:E4194))))))</f>
        <v> </v>
      </c>
      <c r="K4195" s="26" t="str">
        <f>IF(OR(E4195="",E4195="!!!",F4195="NEW"),"",INDEX(J$1:J4194,SUMPRODUCT(MAX(ROW(E$1:E4194)*(E4195=E$1:E4194)))))</f>
        <v> </v>
      </c>
      <c r="L4195" s="27"/>
    </row>
    <row r="4196" spans="1:12">
      <c r="A4196" s="20" t="s">
        <v>1036</v>
      </c>
      <c r="E4196" s="22">
        <f>IF(D4196="?OLD","!!!","")</f>
        <v/>
      </c>
      <c r="F4196" s="23" t="str">
        <f>IF(OR(E4196="",E4196="!!!"),"",IF(NOT(ISNA(VLOOKUP(E4196,E$1:E4195,1,FALSE()))),"OLD",IF(AND(E4196&lt;&gt;"",E4196&lt;&gt;"!!!"),"NEW","")))</f>
        <v> </v>
      </c>
      <c r="G4196" s="24" t="str">
        <f>IF(OR(E4196="",E4196="!!!"),"",IF(OR(J4196=0,AND(J4196=1,K4196=1),AND(J4196=1,I4196="SBJ"),AND(J4196=1,I4196=0)),"?IN_FOCUS",IF(J4196&lt;=2,"?ACTIVATED",IF(J4196&lt;&gt;"","?FAMILIAR",IF(F4196="NEW",IF(ISNA(VLOOKUP(E4196,#REF!,1,FALSE())),"?TYPE_IDENTIFIABLE","?REFERENTIAL"),"_")))))</f>
        <v> </v>
      </c>
      <c r="H4196" s="25" t="str">
        <f>IF(J4196&lt;&gt;1,"",IF(I4196="SBJ","CB","?"))</f>
        <v> </v>
      </c>
      <c r="I4196" s="26" t="str">
        <f>IF(OR(E4196="",E4196="!!!",F4196="NEW"),"",INDEX(B4195:B$2,-1+SUMPRODUCT(MAX(ROW(E4195:E$2)*(E4196=E4195:E$2)))))</f>
        <v> </v>
      </c>
      <c r="J4196" s="26" t="str">
        <f>IF(OR(E4196="",E4196="!!!",F4196="NEW"),"",COUNTBLANK(OFFSET(A$1,,,SUMPRODUCT(MAX(ROW(E$2:E4196)*(E4196=E$2:E4196)))))-COUNTBLANK(OFFSET(A$1,,,SUMPRODUCT(MAX(ROW(E$1:E4195)*(E2=E$1:E4195))))))</f>
        <v> </v>
      </c>
      <c r="K4196" s="26" t="str">
        <f>IF(OR(E4196="",E4196="!!!",F4196="NEW"),"",INDEX(J$1:J4195,SUMPRODUCT(MAX(ROW(E$1:E4195)*(E4196=E$1:E4195)))))</f>
        <v> </v>
      </c>
      <c r="L4196" s="27"/>
    </row>
    <row r="4197" spans="1:12">
      <c r="A4197" s="20" t="s">
        <v>238</v>
      </c>
      <c r="E4197" s="22">
        <f>IF(D4197="?OLD","!!!","")</f>
        <v/>
      </c>
      <c r="F4197" s="23" t="str">
        <f>IF(OR(E4197="",E4197="!!!"),"",IF(NOT(ISNA(VLOOKUP(E4197,E$1:E4196,1,FALSE()))),"OLD",IF(AND(E4197&lt;&gt;"",E4197&lt;&gt;"!!!"),"NEW","")))</f>
        <v> </v>
      </c>
      <c r="G4197" s="24" t="str">
        <f>IF(OR(E4197="",E4197="!!!"),"",IF(OR(J4197=0,AND(J4197=1,K4197=1),AND(J4197=1,I4197="SBJ"),AND(J4197=1,I4197=0)),"?IN_FOCUS",IF(J4197&lt;=2,"?ACTIVATED",IF(J4197&lt;&gt;"","?FAMILIAR",IF(F4197="NEW",IF(ISNA(VLOOKUP(E4197,#REF!,1,FALSE())),"?TYPE_IDENTIFIABLE","?REFERENTIAL"),"_")))))</f>
        <v> </v>
      </c>
      <c r="H4197" s="25" t="str">
        <f>IF(J4197&lt;&gt;1,"",IF(I4197="SBJ","CB","?"))</f>
        <v> </v>
      </c>
      <c r="I4197" s="26" t="str">
        <f>IF(OR(E4197="",E4197="!!!",F4197="NEW"),"",INDEX(B4196:B$2,-1+SUMPRODUCT(MAX(ROW(E4196:E$2)*(E4197=E4196:E$2)))))</f>
        <v> </v>
      </c>
      <c r="J4197" s="26" t="str">
        <f>IF(OR(E4197="",E4197="!!!",F4197="NEW"),"",COUNTBLANK(OFFSET(A$1,,,SUMPRODUCT(MAX(ROW(E$2:E4197)*(E4197=E$2:E4197)))))-COUNTBLANK(OFFSET(A$1,,,SUMPRODUCT(MAX(ROW(E$1:E4196)*(E2=E$1:E4196))))))</f>
        <v> </v>
      </c>
      <c r="K4197" s="26" t="str">
        <f>IF(OR(E4197="",E4197="!!!",F4197="NEW"),"",INDEX(J$1:J4196,SUMPRODUCT(MAX(ROW(E$1:E4196)*(E4197=E$1:E4196)))))</f>
        <v> </v>
      </c>
      <c r="L4197" s="27"/>
    </row>
    <row r="4198" spans="1:12">
      <c r="A4198" s="20" t="s">
        <v>2217</v>
      </c>
      <c r="E4198" s="22">
        <f>IF(D4198="?OLD","!!!","")</f>
        <v/>
      </c>
      <c r="F4198" s="23" t="str">
        <f>IF(OR(E4198="",E4198="!!!"),"",IF(NOT(ISNA(VLOOKUP(E4198,E$1:E4197,1,FALSE()))),"OLD",IF(AND(E4198&lt;&gt;"",E4198&lt;&gt;"!!!"),"NEW","")))</f>
        <v> </v>
      </c>
      <c r="G4198" s="24" t="str">
        <f>IF(OR(E4198="",E4198="!!!"),"",IF(OR(J4198=0,AND(J4198=1,K4198=1),AND(J4198=1,I4198="SBJ"),AND(J4198=1,I4198=0)),"?IN_FOCUS",IF(J4198&lt;=2,"?ACTIVATED",IF(J4198&lt;&gt;"","?FAMILIAR",IF(F4198="NEW",IF(ISNA(VLOOKUP(E4198,#REF!,1,FALSE())),"?TYPE_IDENTIFIABLE","?REFERENTIAL"),"_")))))</f>
        <v> </v>
      </c>
      <c r="H4198" s="25" t="str">
        <f>IF(J4198&lt;&gt;1,"",IF(I4198="SBJ","CB","?"))</f>
        <v> </v>
      </c>
      <c r="I4198" s="26" t="str">
        <f>IF(OR(E4198="",E4198="!!!",F4198="NEW"),"",INDEX(B4197:B$2,-1+SUMPRODUCT(MAX(ROW(E4197:E$2)*(E4198=E4197:E$2)))))</f>
        <v> </v>
      </c>
      <c r="J4198" s="26" t="str">
        <f>IF(OR(E4198="",E4198="!!!",F4198="NEW"),"",COUNTBLANK(OFFSET(A$1,,,SUMPRODUCT(MAX(ROW(E$2:E4198)*(E4198=E$2:E4198)))))-COUNTBLANK(OFFSET(A$1,,,SUMPRODUCT(MAX(ROW(E$1:E4197)*(E2=E$1:E4197))))))</f>
        <v> </v>
      </c>
      <c r="K4198" s="26" t="str">
        <f>IF(OR(E4198="",E4198="!!!",F4198="NEW"),"",INDEX(J$1:J4197,SUMPRODUCT(MAX(ROW(E$1:E4197)*(E4198=E$1:E4197)))))</f>
        <v> </v>
      </c>
      <c r="L4198" s="27"/>
    </row>
    <row r="4199" spans="1:12">
      <c r="A4199" s="20" t="s">
        <v>1127</v>
      </c>
      <c r="E4199" s="22">
        <f>IF(D4199="?OLD","!!!","")</f>
        <v/>
      </c>
      <c r="F4199" s="23" t="str">
        <f>IF(OR(E4199="",E4199="!!!"),"",IF(NOT(ISNA(VLOOKUP(E4199,E$1:E4198,1,FALSE()))),"OLD",IF(AND(E4199&lt;&gt;"",E4199&lt;&gt;"!!!"),"NEW","")))</f>
        <v> </v>
      </c>
      <c r="G4199" s="24" t="str">
        <f>IF(OR(E4199="",E4199="!!!"),"",IF(OR(J4199=0,AND(J4199=1,K4199=1),AND(J4199=1,I4199="SBJ"),AND(J4199=1,I4199=0)),"?IN_FOCUS",IF(J4199&lt;=2,"?ACTIVATED",IF(J4199&lt;&gt;"","?FAMILIAR",IF(F4199="NEW",IF(ISNA(VLOOKUP(E4199,#REF!,1,FALSE())),"?TYPE_IDENTIFIABLE","?REFERENTIAL"),"_")))))</f>
        <v> </v>
      </c>
      <c r="H4199" s="25" t="str">
        <f>IF(J4199&lt;&gt;1,"",IF(I4199="SBJ","CB","?"))</f>
        <v> </v>
      </c>
      <c r="I4199" s="26" t="str">
        <f>IF(OR(E4199="",E4199="!!!",F4199="NEW"),"",INDEX(B4198:B$2,-1+SUMPRODUCT(MAX(ROW(E4198:E$2)*(E4199=E4198:E$2)))))</f>
        <v> </v>
      </c>
      <c r="J4199" s="26" t="str">
        <f>IF(OR(E4199="",E4199="!!!",F4199="NEW"),"",COUNTBLANK(OFFSET(A$1,,,SUMPRODUCT(MAX(ROW(E$2:E4199)*(E4199=E$2:E4199)))))-COUNTBLANK(OFFSET(A$1,,,SUMPRODUCT(MAX(ROW(E$1:E4198)*(E2=E$1:E4198))))))</f>
        <v> </v>
      </c>
      <c r="K4199" s="26" t="str">
        <f>IF(OR(E4199="",E4199="!!!",F4199="NEW"),"",INDEX(J$1:J4198,SUMPRODUCT(MAX(ROW(E$1:E4198)*(E4199=E$1:E4198)))))</f>
        <v> </v>
      </c>
      <c r="L4199" s="27"/>
    </row>
    <row r="4200" spans="1:12">
      <c r="A4200" s="20" t="s">
        <v>1279</v>
      </c>
      <c r="E4200" s="22">
        <f>IF(D4200="?OLD","!!!","")</f>
        <v/>
      </c>
      <c r="F4200" s="23" t="str">
        <f>IF(OR(E4200="",E4200="!!!"),"",IF(NOT(ISNA(VLOOKUP(E4200,E$1:E4199,1,FALSE()))),"OLD",IF(AND(E4200&lt;&gt;"",E4200&lt;&gt;"!!!"),"NEW","")))</f>
        <v> </v>
      </c>
      <c r="G4200" s="24" t="str">
        <f>IF(OR(E4200="",E4200="!!!"),"",IF(OR(J4200=0,AND(J4200=1,K4200=1),AND(J4200=1,I4200="SBJ"),AND(J4200=1,I4200=0)),"?IN_FOCUS",IF(J4200&lt;=2,"?ACTIVATED",IF(J4200&lt;&gt;"","?FAMILIAR",IF(F4200="NEW",IF(ISNA(VLOOKUP(E4200,#REF!,1,FALSE())),"?TYPE_IDENTIFIABLE","?REFERENTIAL"),"_")))))</f>
        <v> </v>
      </c>
      <c r="H4200" s="25" t="str">
        <f>IF(J4200&lt;&gt;1,"",IF(I4200="SBJ","CB","?"))</f>
        <v> </v>
      </c>
      <c r="I4200" s="26" t="str">
        <f>IF(OR(E4200="",E4200="!!!",F4200="NEW"),"",INDEX(B4199:B$2,-1+SUMPRODUCT(MAX(ROW(E4199:E$2)*(E4200=E4199:E$2)))))</f>
        <v> </v>
      </c>
      <c r="J4200" s="26" t="str">
        <f>IF(OR(E4200="",E4200="!!!",F4200="NEW"),"",COUNTBLANK(OFFSET(A$1,,,SUMPRODUCT(MAX(ROW(E$2:E4200)*(E4200=E$2:E4200)))))-COUNTBLANK(OFFSET(A$1,,,SUMPRODUCT(MAX(ROW(E$1:E4199)*(E2=E$1:E4199))))))</f>
        <v> </v>
      </c>
      <c r="K4200" s="26" t="str">
        <f>IF(OR(E4200="",E4200="!!!",F4200="NEW"),"",INDEX(J$1:J4199,SUMPRODUCT(MAX(ROW(E$1:E4199)*(E4200=E$1:E4199)))))</f>
        <v> </v>
      </c>
      <c r="L4200" s="27"/>
    </row>
    <row r="4201" spans="1:12">
      <c r="A4201" s="20" t="s">
        <v>1063</v>
      </c>
      <c r="B4201" s="21" t="s">
        <v>1022</v>
      </c>
      <c r="C4201" s="21" t="s">
        <v>1041</v>
      </c>
      <c r="D4201" s="21" t="s">
        <v>1007</v>
      </c>
      <c r="E4201" s="22">
        <f>IF(D4201="?OLD","!!!","")</f>
        <v/>
      </c>
      <c r="F4201" s="23" t="str">
        <f>IF(OR(E4201="",E4201="!!!"),"",IF(NOT(ISNA(VLOOKUP(E4201,E$1:E4200,1,FALSE()))),"OLD",IF(AND(E4201&lt;&gt;"",E4201&lt;&gt;"!!!"),"NEW","")))</f>
        <v> </v>
      </c>
      <c r="G4201" s="24" t="str">
        <f>IF(OR(E4201="",E4201="!!!"),"",IF(OR(J4201=0,AND(J4201=1,K4201=1),AND(J4201=1,I4201="SBJ"),AND(J4201=1,I4201=0)),"?IN_FOCUS",IF(J4201&lt;=2,"?ACTIVATED",IF(J4201&lt;&gt;"","?FAMILIAR",IF(F4201="NEW",IF(ISNA(VLOOKUP(E4201,#REF!,1,FALSE())),"?TYPE_IDENTIFIABLE","?REFERENTIAL"),"_")))))</f>
        <v> </v>
      </c>
      <c r="H4201" s="25" t="str">
        <f>IF(J4201&lt;&gt;1,"",IF(I4201="SBJ","CB","?"))</f>
        <v> </v>
      </c>
      <c r="I4201" s="26" t="str">
        <f>IF(OR(E4201="",E4201="!!!",F4201="NEW"),"",INDEX(B4200:B$2,-1+SUMPRODUCT(MAX(ROW(E4200:E$2)*(E4201=E4200:E$2)))))</f>
        <v> </v>
      </c>
      <c r="J4201" s="26" t="str">
        <f>IF(OR(E4201="",E4201="!!!",F4201="NEW"),"",COUNTBLANK(OFFSET(A$1,,,SUMPRODUCT(MAX(ROW(E$2:E4201)*(E4201=E$2:E4201)))))-COUNTBLANK(OFFSET(A$1,,,SUMPRODUCT(MAX(ROW(E$1:E4200)*(E2=E$1:E4200))))))</f>
        <v> </v>
      </c>
      <c r="K4201" s="26" t="str">
        <f>IF(OR(E4201="",E4201="!!!",F4201="NEW"),"",INDEX(J$1:J4200,SUMPRODUCT(MAX(ROW(E$1:E4200)*(E4201=E$1:E4200)))))</f>
        <v> </v>
      </c>
      <c r="L4201" s="27"/>
    </row>
    <row r="4202" spans="1:12">
      <c r="A4202" s="20" t="s">
        <v>1436</v>
      </c>
      <c r="E4202" s="22">
        <f>IF(D4202="?OLD","!!!","")</f>
        <v/>
      </c>
      <c r="F4202" s="23" t="str">
        <f>IF(OR(E4202="",E4202="!!!"),"",IF(NOT(ISNA(VLOOKUP(E4202,E$1:E4201,1,FALSE()))),"OLD",IF(AND(E4202&lt;&gt;"",E4202&lt;&gt;"!!!"),"NEW","")))</f>
        <v> </v>
      </c>
      <c r="G4202" s="24" t="str">
        <f>IF(OR(E4202="",E4202="!!!"),"",IF(OR(J4202=0,AND(J4202=1,K4202=1),AND(J4202=1,I4202="SBJ"),AND(J4202=1,I4202=0)),"?IN_FOCUS",IF(J4202&lt;=2,"?ACTIVATED",IF(J4202&lt;&gt;"","?FAMILIAR",IF(F4202="NEW",IF(ISNA(VLOOKUP(E4202,#REF!,1,FALSE())),"?TYPE_IDENTIFIABLE","?REFERENTIAL"),"_")))))</f>
        <v> </v>
      </c>
      <c r="H4202" s="25" t="str">
        <f>IF(J4202&lt;&gt;1,"",IF(I4202="SBJ","CB","?"))</f>
        <v> </v>
      </c>
      <c r="I4202" s="26" t="str">
        <f>IF(OR(E4202="",E4202="!!!",F4202="NEW"),"",INDEX(B4201:B$2,-1+SUMPRODUCT(MAX(ROW(E4201:E$2)*(E4202=E4201:E$2)))))</f>
        <v> </v>
      </c>
      <c r="J4202" s="26" t="str">
        <f>IF(OR(E4202="",E4202="!!!",F4202="NEW"),"",COUNTBLANK(OFFSET(A$1,,,SUMPRODUCT(MAX(ROW(E$2:E4202)*(E4202=E$2:E4202)))))-COUNTBLANK(OFFSET(A$1,,,SUMPRODUCT(MAX(ROW(E$1:E4201)*(E2=E$1:E4201))))))</f>
        <v> </v>
      </c>
      <c r="K4202" s="26" t="str">
        <f>IF(OR(E4202="",E4202="!!!",F4202="NEW"),"",INDEX(J$1:J4201,SUMPRODUCT(MAX(ROW(E$1:E4201)*(E4202=E$1:E4201)))))</f>
        <v> </v>
      </c>
      <c r="L4202" s="27"/>
    </row>
    <row r="4203" spans="1:12">
      <c r="A4203" s="20" t="s">
        <v>56</v>
      </c>
      <c r="E4203" s="22">
        <f>IF(D4203="?OLD","!!!","")</f>
        <v/>
      </c>
      <c r="F4203" s="23" t="str">
        <f>IF(OR(E4203="",E4203="!!!"),"",IF(NOT(ISNA(VLOOKUP(E4203,E$1:E4202,1,FALSE()))),"OLD",IF(AND(E4203&lt;&gt;"",E4203&lt;&gt;"!!!"),"NEW","")))</f>
        <v> </v>
      </c>
      <c r="G4203" s="24" t="str">
        <f>IF(OR(E4203="",E4203="!!!"),"",IF(OR(J4203=0,AND(J4203=1,K4203=1),AND(J4203=1,I4203="SBJ"),AND(J4203=1,I4203=0)),"?IN_FOCUS",IF(J4203&lt;=2,"?ACTIVATED",IF(J4203&lt;&gt;"","?FAMILIAR",IF(F4203="NEW",IF(ISNA(VLOOKUP(E4203,#REF!,1,FALSE())),"?TYPE_IDENTIFIABLE","?REFERENTIAL"),"_")))))</f>
        <v> </v>
      </c>
      <c r="H4203" s="25" t="str">
        <f>IF(J4203&lt;&gt;1,"",IF(I4203="SBJ","CB","?"))</f>
        <v> </v>
      </c>
      <c r="I4203" s="26" t="str">
        <f>IF(OR(E4203="",E4203="!!!",F4203="NEW"),"",INDEX(B4202:B$2,-1+SUMPRODUCT(MAX(ROW(E4202:E$2)*(E4203=E4202:E$2)))))</f>
        <v> </v>
      </c>
      <c r="J4203" s="26" t="str">
        <f>IF(OR(E4203="",E4203="!!!",F4203="NEW"),"",COUNTBLANK(OFFSET(A$1,,,SUMPRODUCT(MAX(ROW(E$2:E4203)*(E4203=E$2:E4203)))))-COUNTBLANK(OFFSET(A$1,,,SUMPRODUCT(MAX(ROW(E$1:E4202)*(E2=E$1:E4202))))))</f>
        <v> </v>
      </c>
      <c r="K4203" s="26" t="str">
        <f>IF(OR(E4203="",E4203="!!!",F4203="NEW"),"",INDEX(J$1:J4202,SUMPRODUCT(MAX(ROW(E$1:E4202)*(E4203=E$1:E4202)))))</f>
        <v> </v>
      </c>
      <c r="L4203" s="27"/>
    </row>
    <row r="4204" spans="1:12">
      <c r="A4204" s="20" t="s">
        <v>1978</v>
      </c>
      <c r="E4204" s="22">
        <f>IF(D4204="?OLD","!!!","")</f>
        <v/>
      </c>
      <c r="F4204" s="23" t="str">
        <f>IF(OR(E4204="",E4204="!!!"),"",IF(NOT(ISNA(VLOOKUP(E4204,E$1:E4203,1,FALSE()))),"OLD",IF(AND(E4204&lt;&gt;"",E4204&lt;&gt;"!!!"),"NEW","")))</f>
        <v> </v>
      </c>
      <c r="G4204" s="24" t="str">
        <f>IF(OR(E4204="",E4204="!!!"),"",IF(OR(J4204=0,AND(J4204=1,K4204=1),AND(J4204=1,I4204="SBJ"),AND(J4204=1,I4204=0)),"?IN_FOCUS",IF(J4204&lt;=2,"?ACTIVATED",IF(J4204&lt;&gt;"","?FAMILIAR",IF(F4204="NEW",IF(ISNA(VLOOKUP(E4204,#REF!,1,FALSE())),"?TYPE_IDENTIFIABLE","?REFERENTIAL"),"_")))))</f>
        <v> </v>
      </c>
      <c r="H4204" s="25" t="str">
        <f>IF(J4204&lt;&gt;1,"",IF(I4204="SBJ","CB","?"))</f>
        <v> </v>
      </c>
      <c r="I4204" s="26" t="str">
        <f>IF(OR(E4204="",E4204="!!!",F4204="NEW"),"",INDEX(B4203:B$2,-1+SUMPRODUCT(MAX(ROW(E4203:E$2)*(E4204=E4203:E$2)))))</f>
        <v> </v>
      </c>
      <c r="J4204" s="26" t="str">
        <f>IF(OR(E4204="",E4204="!!!",F4204="NEW"),"",COUNTBLANK(OFFSET(A$1,,,SUMPRODUCT(MAX(ROW(E$2:E4204)*(E4204=E$2:E4204)))))-COUNTBLANK(OFFSET(A$1,,,SUMPRODUCT(MAX(ROW(E$1:E4203)*(E2=E$1:E4203))))))</f>
        <v> </v>
      </c>
      <c r="K4204" s="26" t="str">
        <f>IF(OR(E4204="",E4204="!!!",F4204="NEW"),"",INDEX(J$1:J4203,SUMPRODUCT(MAX(ROW(E$1:E4203)*(E4204=E$1:E4203)))))</f>
        <v> </v>
      </c>
      <c r="L4204" s="27"/>
    </row>
    <row r="4205" spans="1:12">
      <c r="A4205" s="20" t="s">
        <v>2218</v>
      </c>
      <c r="E4205" s="22">
        <f>IF(D4205="?OLD","!!!","")</f>
        <v/>
      </c>
      <c r="F4205" s="23" t="str">
        <f>IF(OR(E4205="",E4205="!!!"),"",IF(NOT(ISNA(VLOOKUP(E4205,E$1:E4204,1,FALSE()))),"OLD",IF(AND(E4205&lt;&gt;"",E4205&lt;&gt;"!!!"),"NEW","")))</f>
        <v> </v>
      </c>
      <c r="G4205" s="24" t="str">
        <f>IF(OR(E4205="",E4205="!!!"),"",IF(OR(J4205=0,AND(J4205=1,K4205=1),AND(J4205=1,I4205="SBJ"),AND(J4205=1,I4205=0)),"?IN_FOCUS",IF(J4205&lt;=2,"?ACTIVATED",IF(J4205&lt;&gt;"","?FAMILIAR",IF(F4205="NEW",IF(ISNA(VLOOKUP(E4205,#REF!,1,FALSE())),"?TYPE_IDENTIFIABLE","?REFERENTIAL"),"_")))))</f>
        <v> </v>
      </c>
      <c r="H4205" s="25" t="str">
        <f>IF(J4205&lt;&gt;1,"",IF(I4205="SBJ","CB","?"))</f>
        <v> </v>
      </c>
      <c r="I4205" s="26" t="str">
        <f>IF(OR(E4205="",E4205="!!!",F4205="NEW"),"",INDEX(B4204:B$2,-1+SUMPRODUCT(MAX(ROW(E4204:E$2)*(E4205=E4204:E$2)))))</f>
        <v> </v>
      </c>
      <c r="J4205" s="26" t="str">
        <f>IF(OR(E4205="",E4205="!!!",F4205="NEW"),"",COUNTBLANK(OFFSET(A$1,,,SUMPRODUCT(MAX(ROW(E$2:E4205)*(E4205=E$2:E4205)))))-COUNTBLANK(OFFSET(A$1,,,SUMPRODUCT(MAX(ROW(E$1:E4204)*(E2=E$1:E4204))))))</f>
        <v> </v>
      </c>
      <c r="K4205" s="26" t="str">
        <f>IF(OR(E4205="",E4205="!!!",F4205="NEW"),"",INDEX(J$1:J4204,SUMPRODUCT(MAX(ROW(E$1:E4204)*(E4205=E$1:E4204)))))</f>
        <v> </v>
      </c>
      <c r="L4205" s="27"/>
    </row>
    <row r="4206" spans="1:12">
      <c r="A4206" s="20" t="s">
        <v>1632</v>
      </c>
      <c r="E4206" s="22">
        <f>IF(D4206="?OLD","!!!","")</f>
        <v/>
      </c>
      <c r="F4206" s="23" t="str">
        <f>IF(OR(E4206="",E4206="!!!"),"",IF(NOT(ISNA(VLOOKUP(E4206,E$1:E4205,1,FALSE()))),"OLD",IF(AND(E4206&lt;&gt;"",E4206&lt;&gt;"!!!"),"NEW","")))</f>
        <v> </v>
      </c>
      <c r="G4206" s="24" t="str">
        <f>IF(OR(E4206="",E4206="!!!"),"",IF(OR(J4206=0,AND(J4206=1,K4206=1),AND(J4206=1,I4206="SBJ"),AND(J4206=1,I4206=0)),"?IN_FOCUS",IF(J4206&lt;=2,"?ACTIVATED",IF(J4206&lt;&gt;"","?FAMILIAR",IF(F4206="NEW",IF(ISNA(VLOOKUP(E4206,#REF!,1,FALSE())),"?TYPE_IDENTIFIABLE","?REFERENTIAL"),"_")))))</f>
        <v> </v>
      </c>
      <c r="H4206" s="25" t="str">
        <f>IF(J4206&lt;&gt;1,"",IF(I4206="SBJ","CB","?"))</f>
        <v> </v>
      </c>
      <c r="I4206" s="26" t="str">
        <f>IF(OR(E4206="",E4206="!!!",F4206="NEW"),"",INDEX(B4205:B$2,-1+SUMPRODUCT(MAX(ROW(E4205:E$2)*(E4206=E4205:E$2)))))</f>
        <v> </v>
      </c>
      <c r="J4206" s="26" t="str">
        <f>IF(OR(E4206="",E4206="!!!",F4206="NEW"),"",COUNTBLANK(OFFSET(A$1,,,SUMPRODUCT(MAX(ROW(E$2:E4206)*(E4206=E$2:E4206)))))-COUNTBLANK(OFFSET(A$1,,,SUMPRODUCT(MAX(ROW(E$1:E4205)*(E2=E$1:E4205))))))</f>
        <v> </v>
      </c>
      <c r="K4206" s="26" t="str">
        <f>IF(OR(E4206="",E4206="!!!",F4206="NEW"),"",INDEX(J$1:J4205,SUMPRODUCT(MAX(ROW(E$1:E4205)*(E4206=E$1:E4205)))))</f>
        <v> </v>
      </c>
      <c r="L4206" s="27"/>
    </row>
    <row r="4207" spans="1:12">
      <c r="A4207" s="20" t="s">
        <v>1020</v>
      </c>
      <c r="E4207" s="22">
        <f>IF(D4207="?OLD","!!!","")</f>
        <v/>
      </c>
      <c r="F4207" s="23" t="str">
        <f>IF(OR(E4207="",E4207="!!!"),"",IF(NOT(ISNA(VLOOKUP(E4207,E$1:E4206,1,FALSE()))),"OLD",IF(AND(E4207&lt;&gt;"",E4207&lt;&gt;"!!!"),"NEW","")))</f>
        <v> </v>
      </c>
      <c r="G4207" s="24" t="str">
        <f>IF(OR(E4207="",E4207="!!!"),"",IF(OR(J4207=0,AND(J4207=1,K4207=1),AND(J4207=1,I4207="SBJ"),AND(J4207=1,I4207=0)),"?IN_FOCUS",IF(J4207&lt;=2,"?ACTIVATED",IF(J4207&lt;&gt;"","?FAMILIAR",IF(F4207="NEW",IF(ISNA(VLOOKUP(E4207,#REF!,1,FALSE())),"?TYPE_IDENTIFIABLE","?REFERENTIAL"),"_")))))</f>
        <v> </v>
      </c>
      <c r="H4207" s="25" t="str">
        <f>IF(J4207&lt;&gt;1,"",IF(I4207="SBJ","CB","?"))</f>
        <v> </v>
      </c>
      <c r="I4207" s="26" t="str">
        <f>IF(OR(E4207="",E4207="!!!",F4207="NEW"),"",INDEX(B4206:B$2,-1+SUMPRODUCT(MAX(ROW(E4206:E$2)*(E4207=E4206:E$2)))))</f>
        <v> </v>
      </c>
      <c r="J4207" s="26" t="str">
        <f>IF(OR(E4207="",E4207="!!!",F4207="NEW"),"",COUNTBLANK(OFFSET(A$1,,,SUMPRODUCT(MAX(ROW(E$2:E4207)*(E4207=E$2:E4207)))))-COUNTBLANK(OFFSET(A$1,,,SUMPRODUCT(MAX(ROW(E$1:E4206)*(E2=E$1:E4206))))))</f>
        <v> </v>
      </c>
      <c r="K4207" s="26" t="str">
        <f>IF(OR(E4207="",E4207="!!!",F4207="NEW"),"",INDEX(J$1:J4206,SUMPRODUCT(MAX(ROW(E$1:E4206)*(E4207=E$1:E4206)))))</f>
        <v> </v>
      </c>
      <c r="L4207" s="27"/>
    </row>
    <row r="4208" spans="1:12">
      <c r="A4208" s="20" t="s">
        <v>238</v>
      </c>
      <c r="E4208" s="22">
        <f>IF(D4208="?OLD","!!!","")</f>
        <v/>
      </c>
      <c r="F4208" s="23" t="str">
        <f>IF(OR(E4208="",E4208="!!!"),"",IF(NOT(ISNA(VLOOKUP(E4208,E$1:E4207,1,FALSE()))),"OLD",IF(AND(E4208&lt;&gt;"",E4208&lt;&gt;"!!!"),"NEW","")))</f>
        <v> </v>
      </c>
      <c r="G4208" s="24" t="str">
        <f>IF(OR(E4208="",E4208="!!!"),"",IF(OR(J4208=0,AND(J4208=1,K4208=1),AND(J4208=1,I4208="SBJ"),AND(J4208=1,I4208=0)),"?IN_FOCUS",IF(J4208&lt;=2,"?ACTIVATED",IF(J4208&lt;&gt;"","?FAMILIAR",IF(F4208="NEW",IF(ISNA(VLOOKUP(E4208,#REF!,1,FALSE())),"?TYPE_IDENTIFIABLE","?REFERENTIAL"),"_")))))</f>
        <v> </v>
      </c>
      <c r="H4208" s="25" t="str">
        <f>IF(J4208&lt;&gt;1,"",IF(I4208="SBJ","CB","?"))</f>
        <v> </v>
      </c>
      <c r="I4208" s="26" t="str">
        <f>IF(OR(E4208="",E4208="!!!",F4208="NEW"),"",INDEX(B4207:B$2,-1+SUMPRODUCT(MAX(ROW(E4207:E$2)*(E4208=E4207:E$2)))))</f>
        <v> </v>
      </c>
      <c r="J4208" s="26" t="str">
        <f>IF(OR(E4208="",E4208="!!!",F4208="NEW"),"",COUNTBLANK(OFFSET(A$1,,,SUMPRODUCT(MAX(ROW(E$2:E4208)*(E4208=E$2:E4208)))))-COUNTBLANK(OFFSET(A$1,,,SUMPRODUCT(MAX(ROW(E$1:E4207)*(E2=E$1:E4207))))))</f>
        <v> </v>
      </c>
      <c r="K4208" s="26" t="str">
        <f>IF(OR(E4208="",E4208="!!!",F4208="NEW"),"",INDEX(J$1:J4207,SUMPRODUCT(MAX(ROW(E$1:E4207)*(E4208=E$1:E4207)))))</f>
        <v> </v>
      </c>
      <c r="L4208" s="27"/>
    </row>
    <row r="4209" spans="1:12">
      <c r="A4209" s="20" t="s">
        <v>1436</v>
      </c>
      <c r="E4209" s="22">
        <f>IF(D4209="?OLD","!!!","")</f>
        <v/>
      </c>
      <c r="F4209" s="23" t="str">
        <f>IF(OR(E4209="",E4209="!!!"),"",IF(NOT(ISNA(VLOOKUP(E4209,E$1:E4208,1,FALSE()))),"OLD",IF(AND(E4209&lt;&gt;"",E4209&lt;&gt;"!!!"),"NEW","")))</f>
        <v> </v>
      </c>
      <c r="G4209" s="24" t="str">
        <f>IF(OR(E4209="",E4209="!!!"),"",IF(OR(J4209=0,AND(J4209=1,K4209=1),AND(J4209=1,I4209="SBJ"),AND(J4209=1,I4209=0)),"?IN_FOCUS",IF(J4209&lt;=2,"?ACTIVATED",IF(J4209&lt;&gt;"","?FAMILIAR",IF(F4209="NEW",IF(ISNA(VLOOKUP(E4209,#REF!,1,FALSE())),"?TYPE_IDENTIFIABLE","?REFERENTIAL"),"_")))))</f>
        <v> </v>
      </c>
      <c r="H4209" s="25" t="str">
        <f>IF(J4209&lt;&gt;1,"",IF(I4209="SBJ","CB","?"))</f>
        <v> </v>
      </c>
      <c r="I4209" s="26" t="str">
        <f>IF(OR(E4209="",E4209="!!!",F4209="NEW"),"",INDEX(B4208:B$2,-1+SUMPRODUCT(MAX(ROW(E4208:E$2)*(E4209=E4208:E$2)))))</f>
        <v> </v>
      </c>
      <c r="J4209" s="26" t="str">
        <f>IF(OR(E4209="",E4209="!!!",F4209="NEW"),"",COUNTBLANK(OFFSET(A$1,,,SUMPRODUCT(MAX(ROW(E$2:E4209)*(E4209=E$2:E4209)))))-COUNTBLANK(OFFSET(A$1,,,SUMPRODUCT(MAX(ROW(E$1:E4208)*(E2=E$1:E4208))))))</f>
        <v> </v>
      </c>
      <c r="K4209" s="26" t="str">
        <f>IF(OR(E4209="",E4209="!!!",F4209="NEW"),"",INDEX(J$1:J4208,SUMPRODUCT(MAX(ROW(E$1:E4208)*(E4209=E$1:E4208)))))</f>
        <v> </v>
      </c>
      <c r="L4209" s="27"/>
    </row>
    <row r="4210" spans="1:12">
      <c r="A4210" s="20" t="s">
        <v>2219</v>
      </c>
      <c r="E4210" s="22">
        <f>IF(D4210="?OLD","!!!","")</f>
        <v/>
      </c>
      <c r="F4210" s="23" t="str">
        <f>IF(OR(E4210="",E4210="!!!"),"",IF(NOT(ISNA(VLOOKUP(E4210,E$1:E4209,1,FALSE()))),"OLD",IF(AND(E4210&lt;&gt;"",E4210&lt;&gt;"!!!"),"NEW","")))</f>
        <v> </v>
      </c>
      <c r="G4210" s="24" t="str">
        <f>IF(OR(E4210="",E4210="!!!"),"",IF(OR(J4210=0,AND(J4210=1,K4210=1),AND(J4210=1,I4210="SBJ"),AND(J4210=1,I4210=0)),"?IN_FOCUS",IF(J4210&lt;=2,"?ACTIVATED",IF(J4210&lt;&gt;"","?FAMILIAR",IF(F4210="NEW",IF(ISNA(VLOOKUP(E4210,#REF!,1,FALSE())),"?TYPE_IDENTIFIABLE","?REFERENTIAL"),"_")))))</f>
        <v> </v>
      </c>
      <c r="H4210" s="25" t="str">
        <f>IF(J4210&lt;&gt;1,"",IF(I4210="SBJ","CB","?"))</f>
        <v> </v>
      </c>
      <c r="I4210" s="26" t="str">
        <f>IF(OR(E4210="",E4210="!!!",F4210="NEW"),"",INDEX(B4209:B$2,-1+SUMPRODUCT(MAX(ROW(E4209:E$2)*(E4210=E4209:E$2)))))</f>
        <v> </v>
      </c>
      <c r="J4210" s="26" t="str">
        <f>IF(OR(E4210="",E4210="!!!",F4210="NEW"),"",COUNTBLANK(OFFSET(A$1,,,SUMPRODUCT(MAX(ROW(E$2:E4210)*(E4210=E$2:E4210)))))-COUNTBLANK(OFFSET(A$1,,,SUMPRODUCT(MAX(ROW(E$1:E4209)*(E2=E$1:E4209))))))</f>
        <v> </v>
      </c>
      <c r="K4210" s="26" t="str">
        <f>IF(OR(E4210="",E4210="!!!",F4210="NEW"),"",INDEX(J$1:J4209,SUMPRODUCT(MAX(ROW(E$1:E4209)*(E4210=E$1:E4209)))))</f>
        <v> </v>
      </c>
      <c r="L4210" s="27"/>
    </row>
    <row r="4211" spans="1:12">
      <c r="A4211" s="20" t="s">
        <v>2220</v>
      </c>
      <c r="B4211" s="21" t="s">
        <v>1066</v>
      </c>
      <c r="C4211" s="21" t="s">
        <v>1013</v>
      </c>
      <c r="D4211" s="21" t="s">
        <v>1007</v>
      </c>
      <c r="E4211" s="22">
        <f>IF(D4211="?OLD","!!!","")</f>
        <v/>
      </c>
      <c r="F4211" s="23" t="str">
        <f>IF(OR(E4211="",E4211="!!!"),"",IF(NOT(ISNA(VLOOKUP(E4211,E$1:E4210,1,FALSE()))),"OLD",IF(AND(E4211&lt;&gt;"",E4211&lt;&gt;"!!!"),"NEW","")))</f>
        <v> </v>
      </c>
      <c r="G4211" s="24" t="str">
        <f>IF(OR(E4211="",E4211="!!!"),"",IF(OR(J4211=0,AND(J4211=1,K4211=1),AND(J4211=1,I4211="SBJ"),AND(J4211=1,I4211=0)),"?IN_FOCUS",IF(J4211&lt;=2,"?ACTIVATED",IF(J4211&lt;&gt;"","?FAMILIAR",IF(F4211="NEW",IF(ISNA(VLOOKUP(E4211,#REF!,1,FALSE())),"?TYPE_IDENTIFIABLE","?REFERENTIAL"),"_")))))</f>
        <v> </v>
      </c>
      <c r="H4211" s="25" t="str">
        <f>IF(J4211&lt;&gt;1,"",IF(I4211="SBJ","CB","?"))</f>
        <v> </v>
      </c>
      <c r="I4211" s="26" t="str">
        <f>IF(OR(E4211="",E4211="!!!",F4211="NEW"),"",INDEX(B4210:B$2,-1+SUMPRODUCT(MAX(ROW(E4210:E$2)*(E4211=E4210:E$2)))))</f>
        <v> </v>
      </c>
      <c r="J4211" s="26" t="str">
        <f>IF(OR(E4211="",E4211="!!!",F4211="NEW"),"",COUNTBLANK(OFFSET(A$1,,,SUMPRODUCT(MAX(ROW(E$2:E4211)*(E4211=E$2:E4211)))))-COUNTBLANK(OFFSET(A$1,,,SUMPRODUCT(MAX(ROW(E$1:E4210)*(E2=E$1:E4210))))))</f>
        <v> </v>
      </c>
      <c r="K4211" s="26" t="str">
        <f>IF(OR(E4211="",E4211="!!!",F4211="NEW"),"",INDEX(J$1:J4210,SUMPRODUCT(MAX(ROW(E$1:E4210)*(E4211=E$1:E4210)))))</f>
        <v> </v>
      </c>
      <c r="L4211" s="27"/>
    </row>
    <row r="4212" spans="1:12">
      <c r="A4212" s="20" t="s">
        <v>1014</v>
      </c>
      <c r="E4212" s="22">
        <f>IF(D4212="?OLD","!!!","")</f>
        <v/>
      </c>
      <c r="F4212" s="23" t="str">
        <f>IF(OR(E4212="",E4212="!!!"),"",IF(NOT(ISNA(VLOOKUP(E4212,E$1:E4211,1,FALSE()))),"OLD",IF(AND(E4212&lt;&gt;"",E4212&lt;&gt;"!!!"),"NEW","")))</f>
        <v> </v>
      </c>
      <c r="G4212" s="24" t="str">
        <f>IF(OR(E4212="",E4212="!!!"),"",IF(OR(J4212=0,AND(J4212=1,K4212=1),AND(J4212=1,I4212="SBJ"),AND(J4212=1,I4212=0)),"?IN_FOCUS",IF(J4212&lt;=2,"?ACTIVATED",IF(J4212&lt;&gt;"","?FAMILIAR",IF(F4212="NEW",IF(ISNA(VLOOKUP(E4212,#REF!,1,FALSE())),"?TYPE_IDENTIFIABLE","?REFERENTIAL"),"_")))))</f>
        <v> </v>
      </c>
      <c r="H4212" s="25" t="str">
        <f>IF(J4212&lt;&gt;1,"",IF(I4212="SBJ","CB","?"))</f>
        <v> </v>
      </c>
      <c r="I4212" s="26" t="str">
        <f>IF(OR(E4212="",E4212="!!!",F4212="NEW"),"",INDEX(B4211:B$2,-1+SUMPRODUCT(MAX(ROW(E4211:E$2)*(E4212=E4211:E$2)))))</f>
        <v> </v>
      </c>
      <c r="J4212" s="26" t="str">
        <f>IF(OR(E4212="",E4212="!!!",F4212="NEW"),"",COUNTBLANK(OFFSET(A$1,,,SUMPRODUCT(MAX(ROW(E$2:E4212)*(E4212=E$2:E4212)))))-COUNTBLANK(OFFSET(A$1,,,SUMPRODUCT(MAX(ROW(E$1:E4211)*(E2=E$1:E4211))))))</f>
        <v> </v>
      </c>
      <c r="K4212" s="26" t="str">
        <f>IF(OR(E4212="",E4212="!!!",F4212="NEW"),"",INDEX(J$1:J4211,SUMPRODUCT(MAX(ROW(E$1:E4211)*(E4212=E$1:E4211)))))</f>
        <v> </v>
      </c>
      <c r="L4212" s="27"/>
    </row>
    <row r="4213" spans="1:12">
      <c r="A4213" s="20" t="s">
        <v>1495</v>
      </c>
      <c r="B4213" s="21" t="s">
        <v>1042</v>
      </c>
      <c r="C4213" s="21" t="s">
        <v>1048</v>
      </c>
      <c r="E4213" s="22">
        <f>IF(D4213="?OLD","!!!","")</f>
        <v/>
      </c>
      <c r="F4213" s="23" t="str">
        <f>IF(OR(E4213="",E4213="!!!"),"",IF(NOT(ISNA(VLOOKUP(E4213,E$1:E4212,1,FALSE()))),"OLD",IF(AND(E4213&lt;&gt;"",E4213&lt;&gt;"!!!"),"NEW","")))</f>
        <v> </v>
      </c>
      <c r="G4213" s="24" t="str">
        <f>IF(OR(E4213="",E4213="!!!"),"",IF(OR(J4213=0,AND(J4213=1,K4213=1),AND(J4213=1,I4213="SBJ"),AND(J4213=1,I4213=0)),"?IN_FOCUS",IF(J4213&lt;=2,"?ACTIVATED",IF(J4213&lt;&gt;"","?FAMILIAR",IF(F4213="NEW",IF(ISNA(VLOOKUP(E4213,#REF!,1,FALSE())),"?TYPE_IDENTIFIABLE","?REFERENTIAL"),"_")))))</f>
        <v> </v>
      </c>
      <c r="H4213" s="25" t="str">
        <f>IF(J4213&lt;&gt;1,"",IF(I4213="SBJ","CB","?"))</f>
        <v> </v>
      </c>
      <c r="I4213" s="26" t="str">
        <f>IF(OR(E4213="",E4213="!!!",F4213="NEW"),"",INDEX(B4212:B$2,-1+SUMPRODUCT(MAX(ROW(E4212:E$2)*(E4213=E4212:E$2)))))</f>
        <v> </v>
      </c>
      <c r="J4213" s="26" t="str">
        <f>IF(OR(E4213="",E4213="!!!",F4213="NEW"),"",COUNTBLANK(OFFSET(A$1,,,SUMPRODUCT(MAX(ROW(E$2:E4213)*(E4213=E$2:E4213)))))-COUNTBLANK(OFFSET(A$1,,,SUMPRODUCT(MAX(ROW(E$1:E4212)*(E2=E$1:E4212))))))</f>
        <v> </v>
      </c>
      <c r="K4213" s="26" t="str">
        <f>IF(OR(E4213="",E4213="!!!",F4213="NEW"),"",INDEX(J$1:J4212,SUMPRODUCT(MAX(ROW(E$1:E4212)*(E4213=E$1:E4212)))))</f>
        <v> </v>
      </c>
      <c r="L4213" s="27"/>
    </row>
    <row r="4214" spans="1:12">
      <c r="A4214" s="20" t="s">
        <v>1097</v>
      </c>
      <c r="E4214" s="22">
        <f>IF(D4214="?OLD","!!!","")</f>
        <v/>
      </c>
      <c r="F4214" s="23" t="str">
        <f>IF(OR(E4214="",E4214="!!!"),"",IF(NOT(ISNA(VLOOKUP(E4214,E$1:E4213,1,FALSE()))),"OLD",IF(AND(E4214&lt;&gt;"",E4214&lt;&gt;"!!!"),"NEW","")))</f>
        <v> </v>
      </c>
      <c r="G4214" s="24" t="str">
        <f>IF(OR(E4214="",E4214="!!!"),"",IF(OR(J4214=0,AND(J4214=1,K4214=1),AND(J4214=1,I4214="SBJ"),AND(J4214=1,I4214=0)),"?IN_FOCUS",IF(J4214&lt;=2,"?ACTIVATED",IF(J4214&lt;&gt;"","?FAMILIAR",IF(F4214="NEW",IF(ISNA(VLOOKUP(E4214,#REF!,1,FALSE())),"?TYPE_IDENTIFIABLE","?REFERENTIAL"),"_")))))</f>
        <v> </v>
      </c>
      <c r="H4214" s="25" t="str">
        <f>IF(J4214&lt;&gt;1,"",IF(I4214="SBJ","CB","?"))</f>
        <v> </v>
      </c>
      <c r="I4214" s="26" t="str">
        <f>IF(OR(E4214="",E4214="!!!",F4214="NEW"),"",INDEX(B4213:B$2,-1+SUMPRODUCT(MAX(ROW(E4213:E$2)*(E4214=E4213:E$2)))))</f>
        <v> </v>
      </c>
      <c r="J4214" s="26" t="str">
        <f>IF(OR(E4214="",E4214="!!!",F4214="NEW"),"",COUNTBLANK(OFFSET(A$1,,,SUMPRODUCT(MAX(ROW(E$2:E4214)*(E4214=E$2:E4214)))))-COUNTBLANK(OFFSET(A$1,,,SUMPRODUCT(MAX(ROW(E$1:E4213)*(E2=E$1:E4213))))))</f>
        <v> </v>
      </c>
      <c r="K4214" s="26" t="str">
        <f>IF(OR(E4214="",E4214="!!!",F4214="NEW"),"",INDEX(J$1:J4213,SUMPRODUCT(MAX(ROW(E$1:E4213)*(E4214=E$1:E4213)))))</f>
        <v> </v>
      </c>
      <c r="L4214" s="27"/>
    </row>
    <row r="4215" spans="1:12">
      <c r="A4215" s="20" t="s">
        <v>2221</v>
      </c>
      <c r="E4215" s="22">
        <f>IF(D4215="?OLD","!!!","")</f>
        <v/>
      </c>
      <c r="F4215" s="23" t="str">
        <f>IF(OR(E4215="",E4215="!!!"),"",IF(NOT(ISNA(VLOOKUP(E4215,E$1:E4214,1,FALSE()))),"OLD",IF(AND(E4215&lt;&gt;"",E4215&lt;&gt;"!!!"),"NEW","")))</f>
        <v> </v>
      </c>
      <c r="G4215" s="24" t="str">
        <f>IF(OR(E4215="",E4215="!!!"),"",IF(OR(J4215=0,AND(J4215=1,K4215=1),AND(J4215=1,I4215="SBJ"),AND(J4215=1,I4215=0)),"?IN_FOCUS",IF(J4215&lt;=2,"?ACTIVATED",IF(J4215&lt;&gt;"","?FAMILIAR",IF(F4215="NEW",IF(ISNA(VLOOKUP(E4215,#REF!,1,FALSE())),"?TYPE_IDENTIFIABLE","?REFERENTIAL"),"_")))))</f>
        <v> </v>
      </c>
      <c r="H4215" s="25" t="str">
        <f>IF(J4215&lt;&gt;1,"",IF(I4215="SBJ","CB","?"))</f>
        <v> </v>
      </c>
      <c r="I4215" s="26" t="str">
        <f>IF(OR(E4215="",E4215="!!!",F4215="NEW"),"",INDEX(B4214:B$2,-1+SUMPRODUCT(MAX(ROW(E4214:E$2)*(E4215=E4214:E$2)))))</f>
        <v> </v>
      </c>
      <c r="J4215" s="26" t="str">
        <f>IF(OR(E4215="",E4215="!!!",F4215="NEW"),"",COUNTBLANK(OFFSET(A$1,,,SUMPRODUCT(MAX(ROW(E$2:E4215)*(E4215=E$2:E4215)))))-COUNTBLANK(OFFSET(A$1,,,SUMPRODUCT(MAX(ROW(E$1:E4214)*(E2=E$1:E4214))))))</f>
        <v> </v>
      </c>
      <c r="K4215" s="26" t="str">
        <f>IF(OR(E4215="",E4215="!!!",F4215="NEW"),"",INDEX(J$1:J4214,SUMPRODUCT(MAX(ROW(E$1:E4214)*(E4215=E$1:E4214)))))</f>
        <v> </v>
      </c>
      <c r="L4215" s="27"/>
    </row>
    <row r="4216" spans="1:12">
      <c r="A4216" s="20" t="s">
        <v>1140</v>
      </c>
      <c r="B4216" s="21" t="s">
        <v>1253</v>
      </c>
      <c r="C4216" s="21" t="s">
        <v>1073</v>
      </c>
      <c r="D4216" s="21" t="s">
        <v>1007</v>
      </c>
      <c r="E4216" s="22">
        <f>IF(D4216="?OLD","!!!","")</f>
        <v/>
      </c>
      <c r="F4216" s="23" t="str">
        <f>IF(OR(E4216="",E4216="!!!"),"",IF(NOT(ISNA(VLOOKUP(E4216,E$1:E4215,1,FALSE()))),"OLD",IF(AND(E4216&lt;&gt;"",E4216&lt;&gt;"!!!"),"NEW","")))</f>
        <v> </v>
      </c>
      <c r="G4216" s="24" t="str">
        <f>IF(OR(E4216="",E4216="!!!"),"",IF(OR(J4216=0,AND(J4216=1,K4216=1),AND(J4216=1,I4216="SBJ"),AND(J4216=1,I4216=0)),"?IN_FOCUS",IF(J4216&lt;=2,"?ACTIVATED",IF(J4216&lt;&gt;"","?FAMILIAR",IF(F4216="NEW",IF(ISNA(VLOOKUP(E4216,#REF!,1,FALSE())),"?TYPE_IDENTIFIABLE","?REFERENTIAL"),"_")))))</f>
        <v> </v>
      </c>
      <c r="H4216" s="25" t="str">
        <f>IF(J4216&lt;&gt;1,"",IF(I4216="SBJ","CB","?"))</f>
        <v> </v>
      </c>
      <c r="I4216" s="26" t="str">
        <f>IF(OR(E4216="",E4216="!!!",F4216="NEW"),"",INDEX(B4215:B$2,-1+SUMPRODUCT(MAX(ROW(E4215:E$2)*(E4216=E4215:E$2)))))</f>
        <v> </v>
      </c>
      <c r="J4216" s="26" t="str">
        <f>IF(OR(E4216="",E4216="!!!",F4216="NEW"),"",COUNTBLANK(OFFSET(A$1,,,SUMPRODUCT(MAX(ROW(E$2:E4216)*(E4216=E$2:E4216)))))-COUNTBLANK(OFFSET(A$1,,,SUMPRODUCT(MAX(ROW(E$1:E4215)*(E2=E$1:E4215))))))</f>
        <v> </v>
      </c>
      <c r="K4216" s="26" t="str">
        <f>IF(OR(E4216="",E4216="!!!",F4216="NEW"),"",INDEX(J$1:J4215,SUMPRODUCT(MAX(ROW(E$1:E4215)*(E4216=E$1:E4215)))))</f>
        <v> </v>
      </c>
      <c r="L4216" s="27"/>
    </row>
    <row r="4217" spans="1:12">
      <c r="A4217" s="20" t="s">
        <v>1023</v>
      </c>
      <c r="E4217" s="22">
        <f>IF(D4217="?OLD","!!!","")</f>
        <v/>
      </c>
      <c r="F4217" s="23" t="str">
        <f>IF(OR(E4217="",E4217="!!!"),"",IF(NOT(ISNA(VLOOKUP(E4217,E$1:E4216,1,FALSE()))),"OLD",IF(AND(E4217&lt;&gt;"",E4217&lt;&gt;"!!!"),"NEW","")))</f>
        <v> </v>
      </c>
      <c r="G4217" s="24" t="str">
        <f>IF(OR(E4217="",E4217="!!!"),"",IF(OR(J4217=0,AND(J4217=1,K4217=1),AND(J4217=1,I4217="SBJ"),AND(J4217=1,I4217=0)),"?IN_FOCUS",IF(J4217&lt;=2,"?ACTIVATED",IF(J4217&lt;&gt;"","?FAMILIAR",IF(F4217="NEW",IF(ISNA(VLOOKUP(E4217,#REF!,1,FALSE())),"?TYPE_IDENTIFIABLE","?REFERENTIAL"),"_")))))</f>
        <v> </v>
      </c>
      <c r="H4217" s="25" t="str">
        <f>IF(J4217&lt;&gt;1,"",IF(I4217="SBJ","CB","?"))</f>
        <v> </v>
      </c>
      <c r="I4217" s="26" t="str">
        <f>IF(OR(E4217="",E4217="!!!",F4217="NEW"),"",INDEX(B4216:B$2,-1+SUMPRODUCT(MAX(ROW(E4216:E$2)*(E4217=E4216:E$2)))))</f>
        <v> </v>
      </c>
      <c r="J4217" s="26" t="str">
        <f>IF(OR(E4217="",E4217="!!!",F4217="NEW"),"",COUNTBLANK(OFFSET(A$1,,,SUMPRODUCT(MAX(ROW(E$2:E4217)*(E4217=E$2:E4217)))))-COUNTBLANK(OFFSET(A$1,,,SUMPRODUCT(MAX(ROW(E$1:E4216)*(E2=E$1:E4216))))))</f>
        <v> </v>
      </c>
      <c r="K4217" s="26" t="str">
        <f>IF(OR(E4217="",E4217="!!!",F4217="NEW"),"",INDEX(J$1:J4216,SUMPRODUCT(MAX(ROW(E$1:E4216)*(E4217=E$1:E4216)))))</f>
        <v> </v>
      </c>
      <c r="L4217" s="27"/>
    </row>
    <row r="4218" spans="1:12">
      <c r="A4218" s="20"/>
    </row>
    <row r="4219" spans="1:12">
      <c r="A4219" s="20" t="s">
        <v>2222</v>
      </c>
    </row>
    <row r="4220" spans="1:12">
      <c r="A4220" s="20" t="s">
        <v>2223</v>
      </c>
      <c r="E4220" s="22">
        <f>IF(D4220="?OLD","!!!","")</f>
        <v/>
      </c>
      <c r="F4220" s="23" t="str">
        <f>IF(OR(E4220="",E4220="!!!"),"",IF(NOT(ISNA(VLOOKUP(E4220,E$1:E4219,1,FALSE()))),"OLD",IF(AND(E4220&lt;&gt;"",E4220&lt;&gt;"!!!"),"NEW","")))</f>
        <v> </v>
      </c>
      <c r="G4220" s="24" t="str">
        <f>IF(OR(E4220="",E4220="!!!"),"",IF(OR(J4220=0,AND(J4220=1,K4220=1),AND(J4220=1,I4220="SBJ"),AND(J4220=1,I4220=0)),"?IN_FOCUS",IF(J4220&lt;=2,"?ACTIVATED",IF(J4220&lt;&gt;"","?FAMILIAR",IF(F4220="NEW",IF(ISNA(VLOOKUP(E4220,#REF!,1,FALSE())),"?TYPE_IDENTIFIABLE","?REFERENTIAL"),"_")))))</f>
        <v> </v>
      </c>
      <c r="H4220" s="25" t="str">
        <f>IF(J4220&lt;&gt;1,"",IF(I4220="SBJ","CB","?"))</f>
        <v> </v>
      </c>
      <c r="I4220" s="26" t="str">
        <f>IF(OR(E4220="",E4220="!!!",F4220="NEW"),"",INDEX(B4219:B$2,-1+SUMPRODUCT(MAX(ROW(E4219:E$2)*(E4220=E4219:E$2)))))</f>
        <v> </v>
      </c>
      <c r="J4220" s="26" t="str">
        <f>IF(OR(E4220="",E4220="!!!",F4220="NEW"),"",COUNTBLANK(OFFSET(A$1,,,SUMPRODUCT(MAX(ROW(E$2:E4220)*(E4220=E$2:E4220)))))-COUNTBLANK(OFFSET(A$1,,,SUMPRODUCT(MAX(ROW(E$1:E4219)*(E2=E$1:E4219))))))</f>
        <v> </v>
      </c>
      <c r="K4220" s="26" t="str">
        <f>IF(OR(E4220="",E4220="!!!",F4220="NEW"),"",INDEX(J$1:J4219,SUMPRODUCT(MAX(ROW(E$1:E4219)*(E4220=E$1:E4219)))))</f>
        <v> </v>
      </c>
      <c r="L4220" s="27"/>
    </row>
    <row r="4221" spans="1:12">
      <c r="A4221" s="20" t="s">
        <v>2224</v>
      </c>
      <c r="B4221" s="21" t="s">
        <v>1050</v>
      </c>
      <c r="C4221" s="21" t="s">
        <v>1013</v>
      </c>
      <c r="D4221" s="21" t="s">
        <v>1007</v>
      </c>
      <c r="E4221" s="22">
        <f>IF(D4221="?OLD","!!!","")</f>
        <v/>
      </c>
      <c r="F4221" s="23" t="str">
        <f>IF(OR(E4221="",E4221="!!!"),"",IF(NOT(ISNA(VLOOKUP(E4221,E$1:E4220,1,FALSE()))),"OLD",IF(AND(E4221&lt;&gt;"",E4221&lt;&gt;"!!!"),"NEW","")))</f>
        <v> </v>
      </c>
      <c r="G4221" s="24" t="str">
        <f>IF(OR(E4221="",E4221="!!!"),"",IF(OR(J4221=0,AND(J4221=1,K4221=1),AND(J4221=1,I4221="SBJ"),AND(J4221=1,I4221=0)),"?IN_FOCUS",IF(J4221&lt;=2,"?ACTIVATED",IF(J4221&lt;&gt;"","?FAMILIAR",IF(F4221="NEW",IF(ISNA(VLOOKUP(E4221,#REF!,1,FALSE())),"?TYPE_IDENTIFIABLE","?REFERENTIAL"),"_")))))</f>
        <v> </v>
      </c>
      <c r="H4221" s="25" t="str">
        <f>IF(J4221&lt;&gt;1,"",IF(I4221="SBJ","CB","?"))</f>
        <v> </v>
      </c>
      <c r="I4221" s="26" t="str">
        <f>IF(OR(E4221="",E4221="!!!",F4221="NEW"),"",INDEX(B4220:B$2,-1+SUMPRODUCT(MAX(ROW(E4220:E$2)*(E4221=E4220:E$2)))))</f>
        <v> </v>
      </c>
      <c r="J4221" s="26" t="str">
        <f>IF(OR(E4221="",E4221="!!!",F4221="NEW"),"",COUNTBLANK(OFFSET(A$1,,,SUMPRODUCT(MAX(ROW(E$2:E4221)*(E4221=E$2:E4221)))))-COUNTBLANK(OFFSET(A$1,,,SUMPRODUCT(MAX(ROW(E$1:E4220)*(E2=E$1:E4220))))))</f>
        <v> </v>
      </c>
      <c r="K4221" s="26" t="str">
        <f>IF(OR(E4221="",E4221="!!!",F4221="NEW"),"",INDEX(J$1:J4220,SUMPRODUCT(MAX(ROW(E$1:E4220)*(E4221=E$1:E4220)))))</f>
        <v> </v>
      </c>
      <c r="L4221" s="27"/>
    </row>
    <row r="4222" spans="1:12">
      <c r="A4222" s="20" t="s">
        <v>2225</v>
      </c>
      <c r="E4222" s="22">
        <f>IF(D4222="?OLD","!!!","")</f>
        <v/>
      </c>
      <c r="F4222" s="23" t="str">
        <f>IF(OR(E4222="",E4222="!!!"),"",IF(NOT(ISNA(VLOOKUP(E4222,E$1:E4221,1,FALSE()))),"OLD",IF(AND(E4222&lt;&gt;"",E4222&lt;&gt;"!!!"),"NEW","")))</f>
        <v> </v>
      </c>
      <c r="G4222" s="24" t="str">
        <f>IF(OR(E4222="",E4222="!!!"),"",IF(OR(J4222=0,AND(J4222=1,K4222=1),AND(J4222=1,I4222="SBJ"),AND(J4222=1,I4222=0)),"?IN_FOCUS",IF(J4222&lt;=2,"?ACTIVATED",IF(J4222&lt;&gt;"","?FAMILIAR",IF(F4222="NEW",IF(ISNA(VLOOKUP(E4222,#REF!,1,FALSE())),"?TYPE_IDENTIFIABLE","?REFERENTIAL"),"_")))))</f>
        <v> </v>
      </c>
      <c r="H4222" s="25" t="str">
        <f>IF(J4222&lt;&gt;1,"",IF(I4222="SBJ","CB","?"))</f>
        <v> </v>
      </c>
      <c r="I4222" s="26" t="str">
        <f>IF(OR(E4222="",E4222="!!!",F4222="NEW"),"",INDEX(B4221:B$2,-1+SUMPRODUCT(MAX(ROW(E4221:E$2)*(E4222=E4221:E$2)))))</f>
        <v> </v>
      </c>
      <c r="J4222" s="26" t="str">
        <f>IF(OR(E4222="",E4222="!!!",F4222="NEW"),"",COUNTBLANK(OFFSET(A$1,,,SUMPRODUCT(MAX(ROW(E$2:E4222)*(E4222=E$2:E4222)))))-COUNTBLANK(OFFSET(A$1,,,SUMPRODUCT(MAX(ROW(E$1:E4221)*(E2=E$1:E4221))))))</f>
        <v> </v>
      </c>
      <c r="K4222" s="26" t="str">
        <f>IF(OR(E4222="",E4222="!!!",F4222="NEW"),"",INDEX(J$1:J4221,SUMPRODUCT(MAX(ROW(E$1:E4221)*(E4222=E$1:E4221)))))</f>
        <v> </v>
      </c>
      <c r="L4222" s="27"/>
    </row>
    <row r="4223" spans="1:12">
      <c r="A4223" s="20" t="s">
        <v>1014</v>
      </c>
      <c r="E4223" s="22">
        <f>IF(D4223="?OLD","!!!","")</f>
        <v/>
      </c>
      <c r="F4223" s="23" t="str">
        <f>IF(OR(E4223="",E4223="!!!"),"",IF(NOT(ISNA(VLOOKUP(E4223,E$1:E4222,1,FALSE()))),"OLD",IF(AND(E4223&lt;&gt;"",E4223&lt;&gt;"!!!"),"NEW","")))</f>
        <v> </v>
      </c>
      <c r="G4223" s="24" t="str">
        <f>IF(OR(E4223="",E4223="!!!"),"",IF(OR(J4223=0,AND(J4223=1,K4223=1),AND(J4223=1,I4223="SBJ"),AND(J4223=1,I4223=0)),"?IN_FOCUS",IF(J4223&lt;=2,"?ACTIVATED",IF(J4223&lt;&gt;"","?FAMILIAR",IF(F4223="NEW",IF(ISNA(VLOOKUP(E4223,#REF!,1,FALSE())),"?TYPE_IDENTIFIABLE","?REFERENTIAL"),"_")))))</f>
        <v> </v>
      </c>
      <c r="H4223" s="25" t="str">
        <f>IF(J4223&lt;&gt;1,"",IF(I4223="SBJ","CB","?"))</f>
        <v> </v>
      </c>
      <c r="I4223" s="26" t="str">
        <f>IF(OR(E4223="",E4223="!!!",F4223="NEW"),"",INDEX(B4222:B$2,-1+SUMPRODUCT(MAX(ROW(E4222:E$2)*(E4223=E4222:E$2)))))</f>
        <v> </v>
      </c>
      <c r="J4223" s="26" t="str">
        <f>IF(OR(E4223="",E4223="!!!",F4223="NEW"),"",COUNTBLANK(OFFSET(A$1,,,SUMPRODUCT(MAX(ROW(E$2:E4223)*(E4223=E$2:E4223)))))-COUNTBLANK(OFFSET(A$1,,,SUMPRODUCT(MAX(ROW(E$1:E4222)*(E2=E$1:E4222))))))</f>
        <v> </v>
      </c>
      <c r="K4223" s="26" t="str">
        <f>IF(OR(E4223="",E4223="!!!",F4223="NEW"),"",INDEX(J$1:J4222,SUMPRODUCT(MAX(ROW(E$1:E4222)*(E4223=E$1:E4222)))))</f>
        <v> </v>
      </c>
      <c r="L4223" s="27"/>
    </row>
    <row r="4224" spans="1:12">
      <c r="A4224" s="20" t="s">
        <v>1020</v>
      </c>
      <c r="E4224" s="22">
        <f>IF(D4224="?OLD","!!!","")</f>
        <v/>
      </c>
      <c r="F4224" s="23" t="str">
        <f>IF(OR(E4224="",E4224="!!!"),"",IF(NOT(ISNA(VLOOKUP(E4224,E$1:E4223,1,FALSE()))),"OLD",IF(AND(E4224&lt;&gt;"",E4224&lt;&gt;"!!!"),"NEW","")))</f>
        <v> </v>
      </c>
      <c r="G4224" s="24" t="str">
        <f>IF(OR(E4224="",E4224="!!!"),"",IF(OR(J4224=0,AND(J4224=1,K4224=1),AND(J4224=1,I4224="SBJ"),AND(J4224=1,I4224=0)),"?IN_FOCUS",IF(J4224&lt;=2,"?ACTIVATED",IF(J4224&lt;&gt;"","?FAMILIAR",IF(F4224="NEW",IF(ISNA(VLOOKUP(E4224,#REF!,1,FALSE())),"?TYPE_IDENTIFIABLE","?REFERENTIAL"),"_")))))</f>
        <v> </v>
      </c>
      <c r="H4224" s="25" t="str">
        <f>IF(J4224&lt;&gt;1,"",IF(I4224="SBJ","CB","?"))</f>
        <v> </v>
      </c>
      <c r="I4224" s="26" t="str">
        <f>IF(OR(E4224="",E4224="!!!",F4224="NEW"),"",INDEX(B4223:B$2,-1+SUMPRODUCT(MAX(ROW(E4223:E$2)*(E4224=E4223:E$2)))))</f>
        <v> </v>
      </c>
      <c r="J4224" s="26" t="str">
        <f>IF(OR(E4224="",E4224="!!!",F4224="NEW"),"",COUNTBLANK(OFFSET(A$1,,,SUMPRODUCT(MAX(ROW(E$2:E4224)*(E4224=E$2:E4224)))))-COUNTBLANK(OFFSET(A$1,,,SUMPRODUCT(MAX(ROW(E$1:E4223)*(E2=E$1:E4223))))))</f>
        <v> </v>
      </c>
      <c r="K4224" s="26" t="str">
        <f>IF(OR(E4224="",E4224="!!!",F4224="NEW"),"",INDEX(J$1:J4223,SUMPRODUCT(MAX(ROW(E$1:E4223)*(E4224=E$1:E4223)))))</f>
        <v> </v>
      </c>
      <c r="L4224" s="27"/>
    </row>
    <row r="4225" spans="1:12">
      <c r="A4225" s="20" t="s">
        <v>2226</v>
      </c>
      <c r="B4225" s="21" t="s">
        <v>1022</v>
      </c>
      <c r="C4225" s="21" t="s">
        <v>1006</v>
      </c>
      <c r="D4225" s="21" t="s">
        <v>1007</v>
      </c>
      <c r="E4225" s="22">
        <f>IF(D4225="?OLD","!!!","")</f>
        <v/>
      </c>
      <c r="F4225" s="23" t="str">
        <f>IF(OR(E4225="",E4225="!!!"),"",IF(NOT(ISNA(VLOOKUP(E4225,E$1:E4224,1,FALSE()))),"OLD",IF(AND(E4225&lt;&gt;"",E4225&lt;&gt;"!!!"),"NEW","")))</f>
        <v> </v>
      </c>
      <c r="G4225" s="24" t="str">
        <f>IF(OR(E4225="",E4225="!!!"),"",IF(OR(J4225=0,AND(J4225=1,K4225=1),AND(J4225=1,I4225="SBJ"),AND(J4225=1,I4225=0)),"?IN_FOCUS",IF(J4225&lt;=2,"?ACTIVATED",IF(J4225&lt;&gt;"","?FAMILIAR",IF(F4225="NEW",IF(ISNA(VLOOKUP(E4225,#REF!,1,FALSE())),"?TYPE_IDENTIFIABLE","?REFERENTIAL"),"_")))))</f>
        <v> </v>
      </c>
      <c r="H4225" s="25" t="str">
        <f>IF(J4225&lt;&gt;1,"",IF(I4225="SBJ","CB","?"))</f>
        <v> </v>
      </c>
      <c r="I4225" s="26" t="str">
        <f>IF(OR(E4225="",E4225="!!!",F4225="NEW"),"",INDEX(B4224:B$2,-1+SUMPRODUCT(MAX(ROW(E4224:E$2)*(E4225=E4224:E$2)))))</f>
        <v> </v>
      </c>
      <c r="J4225" s="26" t="str">
        <f>IF(OR(E4225="",E4225="!!!",F4225="NEW"),"",COUNTBLANK(OFFSET(A$1,,,SUMPRODUCT(MAX(ROW(E$2:E4225)*(E4225=E$2:E4225)))))-COUNTBLANK(OFFSET(A$1,,,SUMPRODUCT(MAX(ROW(E$1:E4224)*(E2=E$1:E4224))))))</f>
        <v> </v>
      </c>
      <c r="K4225" s="26" t="str">
        <f>IF(OR(E4225="",E4225="!!!",F4225="NEW"),"",INDEX(J$1:J4224,SUMPRODUCT(MAX(ROW(E$1:E4224)*(E4225=E$1:E4224)))))</f>
        <v> </v>
      </c>
      <c r="L4225" s="27"/>
    </row>
    <row r="4226" spans="1:12">
      <c r="A4226" s="20" t="s">
        <v>2227</v>
      </c>
      <c r="B4226" s="21" t="s">
        <v>1033</v>
      </c>
      <c r="C4226" s="21" t="s">
        <v>1006</v>
      </c>
      <c r="D4226" s="21" t="s">
        <v>1007</v>
      </c>
      <c r="E4226" s="22">
        <f>IF(D4226="?OLD","!!!","")</f>
        <v/>
      </c>
      <c r="F4226" s="23" t="str">
        <f>IF(OR(E4226="",E4226="!!!"),"",IF(NOT(ISNA(VLOOKUP(E4226,E$1:E4225,1,FALSE()))),"OLD",IF(AND(E4226&lt;&gt;"",E4226&lt;&gt;"!!!"),"NEW","")))</f>
        <v> </v>
      </c>
      <c r="G4226" s="24" t="str">
        <f>IF(OR(E4226="",E4226="!!!"),"",IF(OR(J4226=0,AND(J4226=1,K4226=1),AND(J4226=1,I4226="SBJ"),AND(J4226=1,I4226=0)),"?IN_FOCUS",IF(J4226&lt;=2,"?ACTIVATED",IF(J4226&lt;&gt;"","?FAMILIAR",IF(F4226="NEW",IF(ISNA(VLOOKUP(E4226,#REF!,1,FALSE())),"?TYPE_IDENTIFIABLE","?REFERENTIAL"),"_")))))</f>
        <v> </v>
      </c>
      <c r="H4226" s="25" t="str">
        <f>IF(J4226&lt;&gt;1,"",IF(I4226="SBJ","CB","?"))</f>
        <v> </v>
      </c>
      <c r="I4226" s="26" t="str">
        <f>IF(OR(E4226="",E4226="!!!",F4226="NEW"),"",INDEX(B4225:B$2,-1+SUMPRODUCT(MAX(ROW(E4225:E$2)*(E4226=E4225:E$2)))))</f>
        <v> </v>
      </c>
      <c r="J4226" s="26" t="str">
        <f>IF(OR(E4226="",E4226="!!!",F4226="NEW"),"",COUNTBLANK(OFFSET(A$1,,,SUMPRODUCT(MAX(ROW(E$2:E4226)*(E4226=E$2:E4226)))))-COUNTBLANK(OFFSET(A$1,,,SUMPRODUCT(MAX(ROW(E$1:E4225)*(E2=E$1:E4225))))))</f>
        <v> </v>
      </c>
      <c r="K4226" s="26" t="str">
        <f>IF(OR(E4226="",E4226="!!!",F4226="NEW"),"",INDEX(J$1:J4225,SUMPRODUCT(MAX(ROW(E$1:E4225)*(E4226=E$1:E4225)))))</f>
        <v> </v>
      </c>
      <c r="L4226" s="27"/>
    </row>
    <row r="4227" spans="1:12">
      <c r="A4227" s="20" t="s">
        <v>1018</v>
      </c>
      <c r="E4227" s="22">
        <f>IF(D4227="?OLD","!!!","")</f>
        <v/>
      </c>
      <c r="F4227" s="23" t="str">
        <f>IF(OR(E4227="",E4227="!!!"),"",IF(NOT(ISNA(VLOOKUP(E4227,E$1:E4226,1,FALSE()))),"OLD",IF(AND(E4227&lt;&gt;"",E4227&lt;&gt;"!!!"),"NEW","")))</f>
        <v> </v>
      </c>
      <c r="G4227" s="24" t="str">
        <f>IF(OR(E4227="",E4227="!!!"),"",IF(OR(J4227=0,AND(J4227=1,K4227=1),AND(J4227=1,I4227="SBJ"),AND(J4227=1,I4227=0)),"?IN_FOCUS",IF(J4227&lt;=2,"?ACTIVATED",IF(J4227&lt;&gt;"","?FAMILIAR",IF(F4227="NEW",IF(ISNA(VLOOKUP(E4227,#REF!,1,FALSE())),"?TYPE_IDENTIFIABLE","?REFERENTIAL"),"_")))))</f>
        <v> </v>
      </c>
      <c r="H4227" s="25" t="str">
        <f>IF(J4227&lt;&gt;1,"",IF(I4227="SBJ","CB","?"))</f>
        <v> </v>
      </c>
      <c r="I4227" s="26" t="str">
        <f>IF(OR(E4227="",E4227="!!!",F4227="NEW"),"",INDEX(B4226:B$2,-1+SUMPRODUCT(MAX(ROW(E4226:E$2)*(E4227=E4226:E$2)))))</f>
        <v> </v>
      </c>
      <c r="J4227" s="26" t="str">
        <f>IF(OR(E4227="",E4227="!!!",F4227="NEW"),"",COUNTBLANK(OFFSET(A$1,,,SUMPRODUCT(MAX(ROW(E$2:E4227)*(E4227=E$2:E4227)))))-COUNTBLANK(OFFSET(A$1,,,SUMPRODUCT(MAX(ROW(E$1:E4226)*(E2=E$1:E4226))))))</f>
        <v> </v>
      </c>
      <c r="K4227" s="26" t="str">
        <f>IF(OR(E4227="",E4227="!!!",F4227="NEW"),"",INDEX(J$1:J4226,SUMPRODUCT(MAX(ROW(E$1:E4226)*(E4227=E$1:E4226)))))</f>
        <v> </v>
      </c>
      <c r="L4227" s="27"/>
    </row>
    <row r="4228" spans="1:12">
      <c r="A4228" s="20" t="s">
        <v>1065</v>
      </c>
      <c r="B4228" s="21" t="s">
        <v>1120</v>
      </c>
      <c r="E4228" s="22">
        <f>IF(D4228="?OLD","!!!","")</f>
        <v/>
      </c>
      <c r="F4228" s="23" t="str">
        <f>IF(OR(E4228="",E4228="!!!"),"",IF(NOT(ISNA(VLOOKUP(E4228,E$1:E4227,1,FALSE()))),"OLD",IF(AND(E4228&lt;&gt;"",E4228&lt;&gt;"!!!"),"NEW","")))</f>
        <v> </v>
      </c>
      <c r="G4228" s="24" t="str">
        <f>IF(OR(E4228="",E4228="!!!"),"",IF(OR(J4228=0,AND(J4228=1,K4228=1),AND(J4228=1,I4228="SBJ"),AND(J4228=1,I4228=0)),"?IN_FOCUS",IF(J4228&lt;=2,"?ACTIVATED",IF(J4228&lt;&gt;"","?FAMILIAR",IF(F4228="NEW",IF(ISNA(VLOOKUP(E4228,#REF!,1,FALSE())),"?TYPE_IDENTIFIABLE","?REFERENTIAL"),"_")))))</f>
        <v> </v>
      </c>
      <c r="H4228" s="25" t="str">
        <f>IF(J4228&lt;&gt;1,"",IF(I4228="SBJ","CB","?"))</f>
        <v> </v>
      </c>
      <c r="I4228" s="26" t="str">
        <f>IF(OR(E4228="",E4228="!!!",F4228="NEW"),"",INDEX(B4227:B$2,-1+SUMPRODUCT(MAX(ROW(E4227:E$2)*(E4228=E4227:E$2)))))</f>
        <v> </v>
      </c>
      <c r="J4228" s="26" t="str">
        <f>IF(OR(E4228="",E4228="!!!",F4228="NEW"),"",COUNTBLANK(OFFSET(A$1,,,SUMPRODUCT(MAX(ROW(E$2:E4228)*(E4228=E$2:E4228)))))-COUNTBLANK(OFFSET(A$1,,,SUMPRODUCT(MAX(ROW(E$1:E4227)*(E2=E$1:E4227))))))</f>
        <v> </v>
      </c>
      <c r="K4228" s="26" t="str">
        <f>IF(OR(E4228="",E4228="!!!",F4228="NEW"),"",INDEX(J$1:J4227,SUMPRODUCT(MAX(ROW(E$1:E4227)*(E4228=E$1:E4227)))))</f>
        <v> </v>
      </c>
      <c r="L4228" s="27"/>
    </row>
    <row r="4229" spans="1:12">
      <c r="A4229" s="20" t="s">
        <v>2228</v>
      </c>
      <c r="E4229" s="22">
        <f>IF(D4229="?OLD","!!!","")</f>
        <v/>
      </c>
      <c r="F4229" s="23" t="str">
        <f>IF(OR(E4229="",E4229="!!!"),"",IF(NOT(ISNA(VLOOKUP(E4229,E$1:E4228,1,FALSE()))),"OLD",IF(AND(E4229&lt;&gt;"",E4229&lt;&gt;"!!!"),"NEW","")))</f>
        <v> </v>
      </c>
      <c r="G4229" s="24" t="str">
        <f>IF(OR(E4229="",E4229="!!!"),"",IF(OR(J4229=0,AND(J4229=1,K4229=1),AND(J4229=1,I4229="SBJ"),AND(J4229=1,I4229=0)),"?IN_FOCUS",IF(J4229&lt;=2,"?ACTIVATED",IF(J4229&lt;&gt;"","?FAMILIAR",IF(F4229="NEW",IF(ISNA(VLOOKUP(E4229,#REF!,1,FALSE())),"?TYPE_IDENTIFIABLE","?REFERENTIAL"),"_")))))</f>
        <v> </v>
      </c>
      <c r="H4229" s="25" t="str">
        <f>IF(J4229&lt;&gt;1,"",IF(I4229="SBJ","CB","?"))</f>
        <v> </v>
      </c>
      <c r="I4229" s="26" t="str">
        <f>IF(OR(E4229="",E4229="!!!",F4229="NEW"),"",INDEX(B4228:B$2,-1+SUMPRODUCT(MAX(ROW(E4228:E$2)*(E4229=E4228:E$2)))))</f>
        <v> </v>
      </c>
      <c r="J4229" s="26" t="str">
        <f>IF(OR(E4229="",E4229="!!!",F4229="NEW"),"",COUNTBLANK(OFFSET(A$1,,,SUMPRODUCT(MAX(ROW(E$2:E4229)*(E4229=E$2:E4229)))))-COUNTBLANK(OFFSET(A$1,,,SUMPRODUCT(MAX(ROW(E$1:E4228)*(E2=E$1:E4228))))))</f>
        <v> </v>
      </c>
      <c r="K4229" s="26" t="str">
        <f>IF(OR(E4229="",E4229="!!!",F4229="NEW"),"",INDEX(J$1:J4228,SUMPRODUCT(MAX(ROW(E$1:E4228)*(E4229=E$1:E4228)))))</f>
        <v> </v>
      </c>
      <c r="L4229" s="27"/>
    </row>
    <row r="4230" spans="1:12">
      <c r="A4230" s="20" t="s">
        <v>1295</v>
      </c>
      <c r="E4230" s="22">
        <f>IF(D4230="?OLD","!!!","")</f>
        <v/>
      </c>
      <c r="F4230" s="23" t="str">
        <f>IF(OR(E4230="",E4230="!!!"),"",IF(NOT(ISNA(VLOOKUP(E4230,E$1:E4229,1,FALSE()))),"OLD",IF(AND(E4230&lt;&gt;"",E4230&lt;&gt;"!!!"),"NEW","")))</f>
        <v> </v>
      </c>
      <c r="G4230" s="24" t="str">
        <f>IF(OR(E4230="",E4230="!!!"),"",IF(OR(J4230=0,AND(J4230=1,K4230=1),AND(J4230=1,I4230="SBJ"),AND(J4230=1,I4230=0)),"?IN_FOCUS",IF(J4230&lt;=2,"?ACTIVATED",IF(J4230&lt;&gt;"","?FAMILIAR",IF(F4230="NEW",IF(ISNA(VLOOKUP(E4230,#REF!,1,FALSE())),"?TYPE_IDENTIFIABLE","?REFERENTIAL"),"_")))))</f>
        <v> </v>
      </c>
      <c r="H4230" s="25" t="str">
        <f>IF(J4230&lt;&gt;1,"",IF(I4230="SBJ","CB","?"))</f>
        <v> </v>
      </c>
      <c r="I4230" s="26" t="str">
        <f>IF(OR(E4230="",E4230="!!!",F4230="NEW"),"",INDEX(B4229:B$2,-1+SUMPRODUCT(MAX(ROW(E4229:E$2)*(E4230=E4229:E$2)))))</f>
        <v> </v>
      </c>
      <c r="J4230" s="26" t="str">
        <f>IF(OR(E4230="",E4230="!!!",F4230="NEW"),"",COUNTBLANK(OFFSET(A$1,,,SUMPRODUCT(MAX(ROW(E$2:E4230)*(E4230=E$2:E4230)))))-COUNTBLANK(OFFSET(A$1,,,SUMPRODUCT(MAX(ROW(E$1:E4229)*(E2=E$1:E4229))))))</f>
        <v> </v>
      </c>
      <c r="K4230" s="26" t="str">
        <f>IF(OR(E4230="",E4230="!!!",F4230="NEW"),"",INDEX(J$1:J4229,SUMPRODUCT(MAX(ROW(E$1:E4229)*(E4230=E$1:E4229)))))</f>
        <v> </v>
      </c>
      <c r="L4230" s="27"/>
    </row>
    <row r="4231" spans="1:12">
      <c r="A4231" s="20" t="s">
        <v>1027</v>
      </c>
      <c r="E4231" s="22">
        <f>IF(D4231="?OLD","!!!","")</f>
        <v/>
      </c>
      <c r="F4231" s="23" t="str">
        <f>IF(OR(E4231="",E4231="!!!"),"",IF(NOT(ISNA(VLOOKUP(E4231,E$1:E4230,1,FALSE()))),"OLD",IF(AND(E4231&lt;&gt;"",E4231&lt;&gt;"!!!"),"NEW","")))</f>
        <v> </v>
      </c>
      <c r="G4231" s="24" t="str">
        <f>IF(OR(E4231="",E4231="!!!"),"",IF(OR(J4231=0,AND(J4231=1,K4231=1),AND(J4231=1,I4231="SBJ"),AND(J4231=1,I4231=0)),"?IN_FOCUS",IF(J4231&lt;=2,"?ACTIVATED",IF(J4231&lt;&gt;"","?FAMILIAR",IF(F4231="NEW",IF(ISNA(VLOOKUP(E4231,#REF!,1,FALSE())),"?TYPE_IDENTIFIABLE","?REFERENTIAL"),"_")))))</f>
        <v> </v>
      </c>
      <c r="H4231" s="25" t="str">
        <f>IF(J4231&lt;&gt;1,"",IF(I4231="SBJ","CB","?"))</f>
        <v> </v>
      </c>
      <c r="I4231" s="26" t="str">
        <f>IF(OR(E4231="",E4231="!!!",F4231="NEW"),"",INDEX(B4230:B$2,-1+SUMPRODUCT(MAX(ROW(E4230:E$2)*(E4231=E4230:E$2)))))</f>
        <v> </v>
      </c>
      <c r="J4231" s="26" t="str">
        <f>IF(OR(E4231="",E4231="!!!",F4231="NEW"),"",COUNTBLANK(OFFSET(A$1,,,SUMPRODUCT(MAX(ROW(E$2:E4231)*(E4231=E$2:E4231)))))-COUNTBLANK(OFFSET(A$1,,,SUMPRODUCT(MAX(ROW(E$1:E4230)*(E2=E$1:E4230))))))</f>
        <v> </v>
      </c>
      <c r="K4231" s="26" t="str">
        <f>IF(OR(E4231="",E4231="!!!",F4231="NEW"),"",INDEX(J$1:J4230,SUMPRODUCT(MAX(ROW(E$1:E4230)*(E4231=E$1:E4230)))))</f>
        <v> </v>
      </c>
      <c r="L4231" s="27"/>
    </row>
    <row r="4232" spans="1:12">
      <c r="A4232" s="20" t="s">
        <v>2229</v>
      </c>
      <c r="B4232" s="21" t="s">
        <v>1064</v>
      </c>
      <c r="C4232" s="21" t="s">
        <v>1205</v>
      </c>
      <c r="E4232" s="22">
        <f>IF(D4232="?OLD","!!!","")</f>
        <v/>
      </c>
      <c r="F4232" s="23" t="str">
        <f>IF(OR(E4232="",E4232="!!!"),"",IF(NOT(ISNA(VLOOKUP(E4232,E$1:E4231,1,FALSE()))),"OLD",IF(AND(E4232&lt;&gt;"",E4232&lt;&gt;"!!!"),"NEW","")))</f>
        <v> </v>
      </c>
      <c r="G4232" s="24" t="str">
        <f>IF(OR(E4232="",E4232="!!!"),"",IF(OR(J4232=0,AND(J4232=1,K4232=1),AND(J4232=1,I4232="SBJ"),AND(J4232=1,I4232=0)),"?IN_FOCUS",IF(J4232&lt;=2,"?ACTIVATED",IF(J4232&lt;&gt;"","?FAMILIAR",IF(F4232="NEW",IF(ISNA(VLOOKUP(E4232,#REF!,1,FALSE())),"?TYPE_IDENTIFIABLE","?REFERENTIAL"),"_")))))</f>
        <v> </v>
      </c>
      <c r="H4232" s="25" t="str">
        <f>IF(J4232&lt;&gt;1,"",IF(I4232="SBJ","CB","?"))</f>
        <v> </v>
      </c>
      <c r="I4232" s="26" t="str">
        <f>IF(OR(E4232="",E4232="!!!",F4232="NEW"),"",INDEX(B4231:B$2,-1+SUMPRODUCT(MAX(ROW(E4231:E$2)*(E4232=E4231:E$2)))))</f>
        <v> </v>
      </c>
      <c r="J4232" s="26" t="str">
        <f>IF(OR(E4232="",E4232="!!!",F4232="NEW"),"",COUNTBLANK(OFFSET(A$1,,,SUMPRODUCT(MAX(ROW(E$2:E4232)*(E4232=E$2:E4232)))))-COUNTBLANK(OFFSET(A$1,,,SUMPRODUCT(MAX(ROW(E$1:E4231)*(E2=E$1:E4231))))))</f>
        <v> </v>
      </c>
      <c r="K4232" s="26" t="str">
        <f>IF(OR(E4232="",E4232="!!!",F4232="NEW"),"",INDEX(J$1:J4231,SUMPRODUCT(MAX(ROW(E$1:E4231)*(E4232=E$1:E4231)))))</f>
        <v> </v>
      </c>
      <c r="L4232" s="27"/>
    </row>
    <row r="4233" spans="1:12">
      <c r="A4233" s="20" t="s">
        <v>1229</v>
      </c>
      <c r="E4233" s="22">
        <f>IF(D4233="?OLD","!!!","")</f>
        <v/>
      </c>
      <c r="F4233" s="23" t="str">
        <f>IF(OR(E4233="",E4233="!!!"),"",IF(NOT(ISNA(VLOOKUP(E4233,E$1:E4232,1,FALSE()))),"OLD",IF(AND(E4233&lt;&gt;"",E4233&lt;&gt;"!!!"),"NEW","")))</f>
        <v> </v>
      </c>
      <c r="G4233" s="24" t="str">
        <f>IF(OR(E4233="",E4233="!!!"),"",IF(OR(J4233=0,AND(J4233=1,K4233=1),AND(J4233=1,I4233="SBJ"),AND(J4233=1,I4233=0)),"?IN_FOCUS",IF(J4233&lt;=2,"?ACTIVATED",IF(J4233&lt;&gt;"","?FAMILIAR",IF(F4233="NEW",IF(ISNA(VLOOKUP(E4233,#REF!,1,FALSE())),"?TYPE_IDENTIFIABLE","?REFERENTIAL"),"_")))))</f>
        <v> </v>
      </c>
      <c r="H4233" s="25" t="str">
        <f>IF(J4233&lt;&gt;1,"",IF(I4233="SBJ","CB","?"))</f>
        <v> </v>
      </c>
      <c r="I4233" s="26" t="str">
        <f>IF(OR(E4233="",E4233="!!!",F4233="NEW"),"",INDEX(B4232:B$2,-1+SUMPRODUCT(MAX(ROW(E4232:E$2)*(E4233=E4232:E$2)))))</f>
        <v> </v>
      </c>
      <c r="J4233" s="26" t="str">
        <f>IF(OR(E4233="",E4233="!!!",F4233="NEW"),"",COUNTBLANK(OFFSET(A$1,,,SUMPRODUCT(MAX(ROW(E$2:E4233)*(E4233=E$2:E4233)))))-COUNTBLANK(OFFSET(A$1,,,SUMPRODUCT(MAX(ROW(E$1:E4232)*(E2=E$1:E4232))))))</f>
        <v> </v>
      </c>
      <c r="K4233" s="26" t="str">
        <f>IF(OR(E4233="",E4233="!!!",F4233="NEW"),"",INDEX(J$1:J4232,SUMPRODUCT(MAX(ROW(E$1:E4232)*(E4233=E$1:E4232)))))</f>
        <v> </v>
      </c>
      <c r="L4233" s="27"/>
    </row>
    <row r="4234" spans="1:12">
      <c r="A4234" s="20" t="s">
        <v>1018</v>
      </c>
      <c r="E4234" s="22">
        <f>IF(D4234="?OLD","!!!","")</f>
        <v/>
      </c>
      <c r="F4234" s="23" t="str">
        <f>IF(OR(E4234="",E4234="!!!"),"",IF(NOT(ISNA(VLOOKUP(E4234,E$1:E4233,1,FALSE()))),"OLD",IF(AND(E4234&lt;&gt;"",E4234&lt;&gt;"!!!"),"NEW","")))</f>
        <v> </v>
      </c>
      <c r="G4234" s="24" t="str">
        <f>IF(OR(E4234="",E4234="!!!"),"",IF(OR(J4234=0,AND(J4234=1,K4234=1),AND(J4234=1,I4234="SBJ"),AND(J4234=1,I4234=0)),"?IN_FOCUS",IF(J4234&lt;=2,"?ACTIVATED",IF(J4234&lt;&gt;"","?FAMILIAR",IF(F4234="NEW",IF(ISNA(VLOOKUP(E4234,#REF!,1,FALSE())),"?TYPE_IDENTIFIABLE","?REFERENTIAL"),"_")))))</f>
        <v> </v>
      </c>
      <c r="H4234" s="25" t="str">
        <f>IF(J4234&lt;&gt;1,"",IF(I4234="SBJ","CB","?"))</f>
        <v> </v>
      </c>
      <c r="I4234" s="26" t="str">
        <f>IF(OR(E4234="",E4234="!!!",F4234="NEW"),"",INDEX(B4233:B$2,-1+SUMPRODUCT(MAX(ROW(E4233:E$2)*(E4234=E4233:E$2)))))</f>
        <v> </v>
      </c>
      <c r="J4234" s="26" t="str">
        <f>IF(OR(E4234="",E4234="!!!",F4234="NEW"),"",COUNTBLANK(OFFSET(A$1,,,SUMPRODUCT(MAX(ROW(E$2:E4234)*(E4234=E$2:E4234)))))-COUNTBLANK(OFFSET(A$1,,,SUMPRODUCT(MAX(ROW(E$1:E4233)*(E2=E$1:E4233))))))</f>
        <v> </v>
      </c>
      <c r="K4234" s="26" t="str">
        <f>IF(OR(E4234="",E4234="!!!",F4234="NEW"),"",INDEX(J$1:J4233,SUMPRODUCT(MAX(ROW(E$1:E4233)*(E4234=E$1:E4233)))))</f>
        <v> </v>
      </c>
      <c r="L4234" s="27"/>
    </row>
    <row r="4235" spans="1:12">
      <c r="A4235" s="20" t="s">
        <v>1481</v>
      </c>
      <c r="E4235" s="22">
        <f>IF(D4235="?OLD","!!!","")</f>
        <v/>
      </c>
      <c r="F4235" s="23" t="str">
        <f>IF(OR(E4235="",E4235="!!!"),"",IF(NOT(ISNA(VLOOKUP(E4235,E$1:E4234,1,FALSE()))),"OLD",IF(AND(E4235&lt;&gt;"",E4235&lt;&gt;"!!!"),"NEW","")))</f>
        <v> </v>
      </c>
      <c r="G4235" s="24" t="str">
        <f>IF(OR(E4235="",E4235="!!!"),"",IF(OR(J4235=0,AND(J4235=1,K4235=1),AND(J4235=1,I4235="SBJ"),AND(J4235=1,I4235=0)),"?IN_FOCUS",IF(J4235&lt;=2,"?ACTIVATED",IF(J4235&lt;&gt;"","?FAMILIAR",IF(F4235="NEW",IF(ISNA(VLOOKUP(E4235,#REF!,1,FALSE())),"?TYPE_IDENTIFIABLE","?REFERENTIAL"),"_")))))</f>
        <v> </v>
      </c>
      <c r="H4235" s="25" t="str">
        <f>IF(J4235&lt;&gt;1,"",IF(I4235="SBJ","CB","?"))</f>
        <v> </v>
      </c>
      <c r="I4235" s="26" t="str">
        <f>IF(OR(E4235="",E4235="!!!",F4235="NEW"),"",INDEX(B4234:B$2,-1+SUMPRODUCT(MAX(ROW(E4234:E$2)*(E4235=E4234:E$2)))))</f>
        <v> </v>
      </c>
      <c r="J4235" s="26" t="str">
        <f>IF(OR(E4235="",E4235="!!!",F4235="NEW"),"",COUNTBLANK(OFFSET(A$1,,,SUMPRODUCT(MAX(ROW(E$2:E4235)*(E4235=E$2:E4235)))))-COUNTBLANK(OFFSET(A$1,,,SUMPRODUCT(MAX(ROW(E$1:E4234)*(E2=E$1:E4234))))))</f>
        <v> </v>
      </c>
      <c r="K4235" s="26" t="str">
        <f>IF(OR(E4235="",E4235="!!!",F4235="NEW"),"",INDEX(J$1:J4234,SUMPRODUCT(MAX(ROW(E$1:E4234)*(E4235=E$1:E4234)))))</f>
        <v> </v>
      </c>
      <c r="L4235" s="27"/>
    </row>
    <row r="4236" spans="1:12">
      <c r="A4236" s="20" t="s">
        <v>1065</v>
      </c>
      <c r="E4236" s="22">
        <f>IF(D4236="?OLD","!!!","")</f>
        <v/>
      </c>
      <c r="F4236" s="23" t="str">
        <f>IF(OR(E4236="",E4236="!!!"),"",IF(NOT(ISNA(VLOOKUP(E4236,E$1:E4235,1,FALSE()))),"OLD",IF(AND(E4236&lt;&gt;"",E4236&lt;&gt;"!!!"),"NEW","")))</f>
        <v> </v>
      </c>
      <c r="G4236" s="24" t="str">
        <f>IF(OR(E4236="",E4236="!!!"),"",IF(OR(J4236=0,AND(J4236=1,K4236=1),AND(J4236=1,I4236="SBJ"),AND(J4236=1,I4236=0)),"?IN_FOCUS",IF(J4236&lt;=2,"?ACTIVATED",IF(J4236&lt;&gt;"","?FAMILIAR",IF(F4236="NEW",IF(ISNA(VLOOKUP(E4236,#REF!,1,FALSE())),"?TYPE_IDENTIFIABLE","?REFERENTIAL"),"_")))))</f>
        <v> </v>
      </c>
      <c r="H4236" s="25" t="str">
        <f>IF(J4236&lt;&gt;1,"",IF(I4236="SBJ","CB","?"))</f>
        <v> </v>
      </c>
      <c r="I4236" s="26" t="str">
        <f>IF(OR(E4236="",E4236="!!!",F4236="NEW"),"",INDEX(B4235:B$2,-1+SUMPRODUCT(MAX(ROW(E4235:E$2)*(E4236=E4235:E$2)))))</f>
        <v> </v>
      </c>
      <c r="J4236" s="26" t="str">
        <f>IF(OR(E4236="",E4236="!!!",F4236="NEW"),"",COUNTBLANK(OFFSET(A$1,,,SUMPRODUCT(MAX(ROW(E$2:E4236)*(E4236=E$2:E4236)))))-COUNTBLANK(OFFSET(A$1,,,SUMPRODUCT(MAX(ROW(E$1:E4235)*(E2=E$1:E4235))))))</f>
        <v> </v>
      </c>
      <c r="K4236" s="26" t="str">
        <f>IF(OR(E4236="",E4236="!!!",F4236="NEW"),"",INDEX(J$1:J4235,SUMPRODUCT(MAX(ROW(E$1:E4235)*(E4236=E$1:E4235)))))</f>
        <v> </v>
      </c>
      <c r="L4236" s="27"/>
    </row>
    <row r="4237" spans="1:12">
      <c r="A4237" s="20" t="s">
        <v>1273</v>
      </c>
      <c r="E4237" s="22">
        <f>IF(D4237="?OLD","!!!","")</f>
        <v/>
      </c>
      <c r="F4237" s="23" t="str">
        <f>IF(OR(E4237="",E4237="!!!"),"",IF(NOT(ISNA(VLOOKUP(E4237,E$1:E4236,1,FALSE()))),"OLD",IF(AND(E4237&lt;&gt;"",E4237&lt;&gt;"!!!"),"NEW","")))</f>
        <v> </v>
      </c>
      <c r="G4237" s="24" t="str">
        <f>IF(OR(E4237="",E4237="!!!"),"",IF(OR(J4237=0,AND(J4237=1,K4237=1),AND(J4237=1,I4237="SBJ"),AND(J4237=1,I4237=0)),"?IN_FOCUS",IF(J4237&lt;=2,"?ACTIVATED",IF(J4237&lt;&gt;"","?FAMILIAR",IF(F4237="NEW",IF(ISNA(VLOOKUP(E4237,#REF!,1,FALSE())),"?TYPE_IDENTIFIABLE","?REFERENTIAL"),"_")))))</f>
        <v> </v>
      </c>
      <c r="H4237" s="25" t="str">
        <f>IF(J4237&lt;&gt;1,"",IF(I4237="SBJ","CB","?"))</f>
        <v> </v>
      </c>
      <c r="I4237" s="26" t="str">
        <f>IF(OR(E4237="",E4237="!!!",F4237="NEW"),"",INDEX(B4236:B$2,-1+SUMPRODUCT(MAX(ROW(E4236:E$2)*(E4237=E4236:E$2)))))</f>
        <v> </v>
      </c>
      <c r="J4237" s="26" t="str">
        <f>IF(OR(E4237="",E4237="!!!",F4237="NEW"),"",COUNTBLANK(OFFSET(A$1,,,SUMPRODUCT(MAX(ROW(E$2:E4237)*(E4237=E$2:E4237)))))-COUNTBLANK(OFFSET(A$1,,,SUMPRODUCT(MAX(ROW(E$1:E4236)*(E2=E$1:E4236))))))</f>
        <v> </v>
      </c>
      <c r="K4237" s="26" t="str">
        <f>IF(OR(E4237="",E4237="!!!",F4237="NEW"),"",INDEX(J$1:J4236,SUMPRODUCT(MAX(ROW(E$1:E4236)*(E4237=E$1:E4236)))))</f>
        <v> </v>
      </c>
      <c r="L4237" s="27"/>
    </row>
    <row r="4238" spans="1:12">
      <c r="A4238" s="20" t="s">
        <v>1274</v>
      </c>
      <c r="B4238" s="21" t="s">
        <v>1119</v>
      </c>
      <c r="C4238" s="21" t="s">
        <v>1041</v>
      </c>
      <c r="D4238" s="21" t="s">
        <v>1007</v>
      </c>
      <c r="E4238" s="22">
        <f>IF(D4238="?OLD","!!!","")</f>
        <v/>
      </c>
      <c r="F4238" s="23" t="str">
        <f>IF(OR(E4238="",E4238="!!!"),"",IF(NOT(ISNA(VLOOKUP(E4238,E$1:E4237,1,FALSE()))),"OLD",IF(AND(E4238&lt;&gt;"",E4238&lt;&gt;"!!!"),"NEW","")))</f>
        <v> </v>
      </c>
      <c r="G4238" s="24" t="str">
        <f>IF(OR(E4238="",E4238="!!!"),"",IF(OR(J4238=0,AND(J4238=1,K4238=1),AND(J4238=1,I4238="SBJ"),AND(J4238=1,I4238=0)),"?IN_FOCUS",IF(J4238&lt;=2,"?ACTIVATED",IF(J4238&lt;&gt;"","?FAMILIAR",IF(F4238="NEW",IF(ISNA(VLOOKUP(E4238,#REF!,1,FALSE())),"?TYPE_IDENTIFIABLE","?REFERENTIAL"),"_")))))</f>
        <v> </v>
      </c>
      <c r="H4238" s="25" t="str">
        <f>IF(J4238&lt;&gt;1,"",IF(I4238="SBJ","CB","?"))</f>
        <v> </v>
      </c>
      <c r="I4238" s="26" t="str">
        <f>IF(OR(E4238="",E4238="!!!",F4238="NEW"),"",INDEX(B4237:B$2,-1+SUMPRODUCT(MAX(ROW(E4237:E$2)*(E4238=E4237:E$2)))))</f>
        <v> </v>
      </c>
      <c r="J4238" s="26" t="str">
        <f>IF(OR(E4238="",E4238="!!!",F4238="NEW"),"",COUNTBLANK(OFFSET(A$1,,,SUMPRODUCT(MAX(ROW(E$2:E4238)*(E4238=E$2:E4238)))))-COUNTBLANK(OFFSET(A$1,,,SUMPRODUCT(MAX(ROW(E$1:E4237)*(E2=E$1:E4237))))))</f>
        <v> </v>
      </c>
      <c r="K4238" s="26" t="str">
        <f>IF(OR(E4238="",E4238="!!!",F4238="NEW"),"",INDEX(J$1:J4237,SUMPRODUCT(MAX(ROW(E$1:E4237)*(E4238=E$1:E4237)))))</f>
        <v> </v>
      </c>
      <c r="L4238" s="27"/>
    </row>
    <row r="4239" spans="1:12">
      <c r="A4239" s="20" t="s">
        <v>1312</v>
      </c>
      <c r="E4239" s="22">
        <f>IF(D4239="?OLD","!!!","")</f>
        <v/>
      </c>
      <c r="F4239" s="23" t="str">
        <f>IF(OR(E4239="",E4239="!!!"),"",IF(NOT(ISNA(VLOOKUP(E4239,E$1:E4238,1,FALSE()))),"OLD",IF(AND(E4239&lt;&gt;"",E4239&lt;&gt;"!!!"),"NEW","")))</f>
        <v> </v>
      </c>
      <c r="G4239" s="24" t="str">
        <f>IF(OR(E4239="",E4239="!!!"),"",IF(OR(J4239=0,AND(J4239=1,K4239=1),AND(J4239=1,I4239="SBJ"),AND(J4239=1,I4239=0)),"?IN_FOCUS",IF(J4239&lt;=2,"?ACTIVATED",IF(J4239&lt;&gt;"","?FAMILIAR",IF(F4239="NEW",IF(ISNA(VLOOKUP(E4239,#REF!,1,FALSE())),"?TYPE_IDENTIFIABLE","?REFERENTIAL"),"_")))))</f>
        <v> </v>
      </c>
      <c r="H4239" s="25" t="str">
        <f>IF(J4239&lt;&gt;1,"",IF(I4239="SBJ","CB","?"))</f>
        <v> </v>
      </c>
      <c r="I4239" s="26" t="str">
        <f>IF(OR(E4239="",E4239="!!!",F4239="NEW"),"",INDEX(B4238:B$2,-1+SUMPRODUCT(MAX(ROW(E4238:E$2)*(E4239=E4238:E$2)))))</f>
        <v> </v>
      </c>
      <c r="J4239" s="26" t="str">
        <f>IF(OR(E4239="",E4239="!!!",F4239="NEW"),"",COUNTBLANK(OFFSET(A$1,,,SUMPRODUCT(MAX(ROW(E$2:E4239)*(E4239=E$2:E4239)))))-COUNTBLANK(OFFSET(A$1,,,SUMPRODUCT(MAX(ROW(E$1:E4238)*(E2=E$1:E4238))))))</f>
        <v> </v>
      </c>
      <c r="K4239" s="26" t="str">
        <f>IF(OR(E4239="",E4239="!!!",F4239="NEW"),"",INDEX(J$1:J4238,SUMPRODUCT(MAX(ROW(E$1:E4238)*(E4239=E$1:E4238)))))</f>
        <v> </v>
      </c>
      <c r="L4239" s="27"/>
    </row>
    <row r="4240" spans="1:12">
      <c r="A4240" s="20" t="s">
        <v>2230</v>
      </c>
      <c r="E4240" s="22">
        <f>IF(D4240="?OLD","!!!","")</f>
        <v/>
      </c>
      <c r="F4240" s="23" t="str">
        <f>IF(OR(E4240="",E4240="!!!"),"",IF(NOT(ISNA(VLOOKUP(E4240,E$1:E4239,1,FALSE()))),"OLD",IF(AND(E4240&lt;&gt;"",E4240&lt;&gt;"!!!"),"NEW","")))</f>
        <v> </v>
      </c>
      <c r="G4240" s="24" t="str">
        <f>IF(OR(E4240="",E4240="!!!"),"",IF(OR(J4240=0,AND(J4240=1,K4240=1),AND(J4240=1,I4240="SBJ"),AND(J4240=1,I4240=0)),"?IN_FOCUS",IF(J4240&lt;=2,"?ACTIVATED",IF(J4240&lt;&gt;"","?FAMILIAR",IF(F4240="NEW",IF(ISNA(VLOOKUP(E4240,#REF!,1,FALSE())),"?TYPE_IDENTIFIABLE","?REFERENTIAL"),"_")))))</f>
        <v> </v>
      </c>
      <c r="H4240" s="25" t="str">
        <f>IF(J4240&lt;&gt;1,"",IF(I4240="SBJ","CB","?"))</f>
        <v> </v>
      </c>
      <c r="I4240" s="26" t="str">
        <f>IF(OR(E4240="",E4240="!!!",F4240="NEW"),"",INDEX(B4239:B$2,-1+SUMPRODUCT(MAX(ROW(E4239:E$2)*(E4240=E4239:E$2)))))</f>
        <v> </v>
      </c>
      <c r="J4240" s="26" t="str">
        <f>IF(OR(E4240="",E4240="!!!",F4240="NEW"),"",COUNTBLANK(OFFSET(A$1,,,SUMPRODUCT(MAX(ROW(E$2:E4240)*(E4240=E$2:E4240)))))-COUNTBLANK(OFFSET(A$1,,,SUMPRODUCT(MAX(ROW(E$1:E4239)*(E2=E$1:E4239))))))</f>
        <v> </v>
      </c>
      <c r="K4240" s="26" t="str">
        <f>IF(OR(E4240="",E4240="!!!",F4240="NEW"),"",INDEX(J$1:J4239,SUMPRODUCT(MAX(ROW(E$1:E4239)*(E4240=E$1:E4239)))))</f>
        <v> </v>
      </c>
      <c r="L4240" s="27"/>
    </row>
    <row r="4241" spans="1:12">
      <c r="A4241" s="20" t="s">
        <v>1056</v>
      </c>
      <c r="E4241" s="22">
        <f>IF(D4241="?OLD","!!!","")</f>
        <v/>
      </c>
      <c r="F4241" s="23" t="str">
        <f>IF(OR(E4241="",E4241="!!!"),"",IF(NOT(ISNA(VLOOKUP(E4241,E$1:E4240,1,FALSE()))),"OLD",IF(AND(E4241&lt;&gt;"",E4241&lt;&gt;"!!!"),"NEW","")))</f>
        <v> </v>
      </c>
      <c r="G4241" s="24" t="str">
        <f>IF(OR(E4241="",E4241="!!!"),"",IF(OR(J4241=0,AND(J4241=1,K4241=1),AND(J4241=1,I4241="SBJ"),AND(J4241=1,I4241=0)),"?IN_FOCUS",IF(J4241&lt;=2,"?ACTIVATED",IF(J4241&lt;&gt;"","?FAMILIAR",IF(F4241="NEW",IF(ISNA(VLOOKUP(E4241,#REF!,1,FALSE())),"?TYPE_IDENTIFIABLE","?REFERENTIAL"),"_")))))</f>
        <v> </v>
      </c>
      <c r="H4241" s="25" t="str">
        <f>IF(J4241&lt;&gt;1,"",IF(I4241="SBJ","CB","?"))</f>
        <v> </v>
      </c>
      <c r="I4241" s="26" t="str">
        <f>IF(OR(E4241="",E4241="!!!",F4241="NEW"),"",INDEX(B4240:B$2,-1+SUMPRODUCT(MAX(ROW(E4240:E$2)*(E4241=E4240:E$2)))))</f>
        <v> </v>
      </c>
      <c r="J4241" s="26" t="str">
        <f>IF(OR(E4241="",E4241="!!!",F4241="NEW"),"",COUNTBLANK(OFFSET(A$1,,,SUMPRODUCT(MAX(ROW(E$2:E4241)*(E4241=E$2:E4241)))))-COUNTBLANK(OFFSET(A$1,,,SUMPRODUCT(MAX(ROW(E$1:E4240)*(E2=E$1:E4240))))))</f>
        <v> </v>
      </c>
      <c r="K4241" s="26" t="str">
        <f>IF(OR(E4241="",E4241="!!!",F4241="NEW"),"",INDEX(J$1:J4240,SUMPRODUCT(MAX(ROW(E$1:E4240)*(E4241=E$1:E4240)))))</f>
        <v> </v>
      </c>
      <c r="L4241" s="27"/>
    </row>
    <row r="4242" spans="1:12">
      <c r="A4242" s="20" t="s">
        <v>2124</v>
      </c>
      <c r="E4242" s="22">
        <f>IF(D4242="?OLD","!!!","")</f>
        <v/>
      </c>
      <c r="F4242" s="23" t="str">
        <f>IF(OR(E4242="",E4242="!!!"),"",IF(NOT(ISNA(VLOOKUP(E4242,E$1:E4241,1,FALSE()))),"OLD",IF(AND(E4242&lt;&gt;"",E4242&lt;&gt;"!!!"),"NEW","")))</f>
        <v> </v>
      </c>
      <c r="G4242" s="24" t="str">
        <f>IF(OR(E4242="",E4242="!!!"),"",IF(OR(J4242=0,AND(J4242=1,K4242=1),AND(J4242=1,I4242="SBJ"),AND(J4242=1,I4242=0)),"?IN_FOCUS",IF(J4242&lt;=2,"?ACTIVATED",IF(J4242&lt;&gt;"","?FAMILIAR",IF(F4242="NEW",IF(ISNA(VLOOKUP(E4242,#REF!,1,FALSE())),"?TYPE_IDENTIFIABLE","?REFERENTIAL"),"_")))))</f>
        <v> </v>
      </c>
      <c r="H4242" s="25" t="str">
        <f>IF(J4242&lt;&gt;1,"",IF(I4242="SBJ","CB","?"))</f>
        <v> </v>
      </c>
      <c r="I4242" s="26" t="str">
        <f>IF(OR(E4242="",E4242="!!!",F4242="NEW"),"",INDEX(B4241:B$2,-1+SUMPRODUCT(MAX(ROW(E4241:E$2)*(E4242=E4241:E$2)))))</f>
        <v> </v>
      </c>
      <c r="J4242" s="26" t="str">
        <f>IF(OR(E4242="",E4242="!!!",F4242="NEW"),"",COUNTBLANK(OFFSET(A$1,,,SUMPRODUCT(MAX(ROW(E$2:E4242)*(E4242=E$2:E4242)))))-COUNTBLANK(OFFSET(A$1,,,SUMPRODUCT(MAX(ROW(E$1:E4241)*(E2=E$1:E4241))))))</f>
        <v> </v>
      </c>
      <c r="K4242" s="26" t="str">
        <f>IF(OR(E4242="",E4242="!!!",F4242="NEW"),"",INDEX(J$1:J4241,SUMPRODUCT(MAX(ROW(E$1:E4241)*(E4242=E$1:E4241)))))</f>
        <v> </v>
      </c>
      <c r="L4242" s="27"/>
    </row>
    <row r="4243" spans="1:12">
      <c r="A4243" s="20" t="s">
        <v>2166</v>
      </c>
      <c r="B4243" s="21" t="s">
        <v>1029</v>
      </c>
      <c r="C4243" s="21" t="s">
        <v>1111</v>
      </c>
      <c r="E4243" s="22">
        <f>IF(D4243="?OLD","!!!","")</f>
        <v/>
      </c>
      <c r="F4243" s="23" t="str">
        <f>IF(OR(E4243="",E4243="!!!"),"",IF(NOT(ISNA(VLOOKUP(E4243,E$1:E4242,1,FALSE()))),"OLD",IF(AND(E4243&lt;&gt;"",E4243&lt;&gt;"!!!"),"NEW","")))</f>
        <v> </v>
      </c>
      <c r="G4243" s="24" t="str">
        <f>IF(OR(E4243="",E4243="!!!"),"",IF(OR(J4243=0,AND(J4243=1,K4243=1),AND(J4243=1,I4243="SBJ"),AND(J4243=1,I4243=0)),"?IN_FOCUS",IF(J4243&lt;=2,"?ACTIVATED",IF(J4243&lt;&gt;"","?FAMILIAR",IF(F4243="NEW",IF(ISNA(VLOOKUP(E4243,#REF!,1,FALSE())),"?TYPE_IDENTIFIABLE","?REFERENTIAL"),"_")))))</f>
        <v> </v>
      </c>
      <c r="H4243" s="25" t="str">
        <f>IF(J4243&lt;&gt;1,"",IF(I4243="SBJ","CB","?"))</f>
        <v> </v>
      </c>
      <c r="I4243" s="26" t="str">
        <f>IF(OR(E4243="",E4243="!!!",F4243="NEW"),"",INDEX(B4242:B$2,-1+SUMPRODUCT(MAX(ROW(E4242:E$2)*(E4243=E4242:E$2)))))</f>
        <v> </v>
      </c>
      <c r="J4243" s="26" t="str">
        <f>IF(OR(E4243="",E4243="!!!",F4243="NEW"),"",COUNTBLANK(OFFSET(A$1,,,SUMPRODUCT(MAX(ROW(E$2:E4243)*(E4243=E$2:E4243)))))-COUNTBLANK(OFFSET(A$1,,,SUMPRODUCT(MAX(ROW(E$1:E4242)*(E2=E$1:E4242))))))</f>
        <v> </v>
      </c>
      <c r="K4243" s="26" t="str">
        <f>IF(OR(E4243="",E4243="!!!",F4243="NEW"),"",INDEX(J$1:J4242,SUMPRODUCT(MAX(ROW(E$1:E4242)*(E4243=E$1:E4242)))))</f>
        <v> </v>
      </c>
      <c r="L4243" s="27"/>
    </row>
    <row r="4244" spans="1:12">
      <c r="A4244" s="20" t="s">
        <v>2231</v>
      </c>
      <c r="E4244" s="22">
        <f>IF(D4244="?OLD","!!!","")</f>
        <v/>
      </c>
      <c r="F4244" s="23" t="str">
        <f>IF(OR(E4244="",E4244="!!!"),"",IF(NOT(ISNA(VLOOKUP(E4244,E$1:E4243,1,FALSE()))),"OLD",IF(AND(E4244&lt;&gt;"",E4244&lt;&gt;"!!!"),"NEW","")))</f>
        <v> </v>
      </c>
      <c r="G4244" s="24" t="str">
        <f>IF(OR(E4244="",E4244="!!!"),"",IF(OR(J4244=0,AND(J4244=1,K4244=1),AND(J4244=1,I4244="SBJ"),AND(J4244=1,I4244=0)),"?IN_FOCUS",IF(J4244&lt;=2,"?ACTIVATED",IF(J4244&lt;&gt;"","?FAMILIAR",IF(F4244="NEW",IF(ISNA(VLOOKUP(E4244,#REF!,1,FALSE())),"?TYPE_IDENTIFIABLE","?REFERENTIAL"),"_")))))</f>
        <v> </v>
      </c>
      <c r="H4244" s="25" t="str">
        <f>IF(J4244&lt;&gt;1,"",IF(I4244="SBJ","CB","?"))</f>
        <v> </v>
      </c>
      <c r="I4244" s="26" t="str">
        <f>IF(OR(E4244="",E4244="!!!",F4244="NEW"),"",INDEX(B4243:B$2,-1+SUMPRODUCT(MAX(ROW(E4243:E$2)*(E4244=E4243:E$2)))))</f>
        <v> </v>
      </c>
      <c r="J4244" s="26" t="str">
        <f>IF(OR(E4244="",E4244="!!!",F4244="NEW"),"",COUNTBLANK(OFFSET(A$1,,,SUMPRODUCT(MAX(ROW(E$2:E4244)*(E4244=E$2:E4244)))))-COUNTBLANK(OFFSET(A$1,,,SUMPRODUCT(MAX(ROW(E$1:E4243)*(E2=E$1:E4243))))))</f>
        <v> </v>
      </c>
      <c r="K4244" s="26" t="str">
        <f>IF(OR(E4244="",E4244="!!!",F4244="NEW"),"",INDEX(J$1:J4243,SUMPRODUCT(MAX(ROW(E$1:E4243)*(E4244=E$1:E4243)))))</f>
        <v> </v>
      </c>
      <c r="L4244" s="27"/>
    </row>
    <row r="4245" spans="1:12">
      <c r="A4245" s="20" t="s">
        <v>1065</v>
      </c>
      <c r="B4245" s="21" t="s">
        <v>1120</v>
      </c>
      <c r="E4245" s="22">
        <f>IF(D4245="?OLD","!!!","")</f>
        <v/>
      </c>
      <c r="F4245" s="23" t="str">
        <f>IF(OR(E4245="",E4245="!!!"),"",IF(NOT(ISNA(VLOOKUP(E4245,E$1:E4244,1,FALSE()))),"OLD",IF(AND(E4245&lt;&gt;"",E4245&lt;&gt;"!!!"),"NEW","")))</f>
        <v> </v>
      </c>
      <c r="G4245" s="24" t="str">
        <f>IF(OR(E4245="",E4245="!!!"),"",IF(OR(J4245=0,AND(J4245=1,K4245=1),AND(J4245=1,I4245="SBJ"),AND(J4245=1,I4245=0)),"?IN_FOCUS",IF(J4245&lt;=2,"?ACTIVATED",IF(J4245&lt;&gt;"","?FAMILIAR",IF(F4245="NEW",IF(ISNA(VLOOKUP(E4245,#REF!,1,FALSE())),"?TYPE_IDENTIFIABLE","?REFERENTIAL"),"_")))))</f>
        <v> </v>
      </c>
      <c r="H4245" s="25" t="str">
        <f>IF(J4245&lt;&gt;1,"",IF(I4245="SBJ","CB","?"))</f>
        <v> </v>
      </c>
      <c r="I4245" s="26" t="str">
        <f>IF(OR(E4245="",E4245="!!!",F4245="NEW"),"",INDEX(B4244:B$2,-1+SUMPRODUCT(MAX(ROW(E4244:E$2)*(E4245=E4244:E$2)))))</f>
        <v> </v>
      </c>
      <c r="J4245" s="26" t="str">
        <f>IF(OR(E4245="",E4245="!!!",F4245="NEW"),"",COUNTBLANK(OFFSET(A$1,,,SUMPRODUCT(MAX(ROW(E$2:E4245)*(E4245=E$2:E4245)))))-COUNTBLANK(OFFSET(A$1,,,SUMPRODUCT(MAX(ROW(E$1:E4244)*(E2=E$1:E4244))))))</f>
        <v> </v>
      </c>
      <c r="K4245" s="26" t="str">
        <f>IF(OR(E4245="",E4245="!!!",F4245="NEW"),"",INDEX(J$1:J4244,SUMPRODUCT(MAX(ROW(E$1:E4244)*(E4245=E$1:E4244)))))</f>
        <v> </v>
      </c>
      <c r="L4245" s="27"/>
    </row>
    <row r="4246" spans="1:12">
      <c r="A4246" s="20" t="s">
        <v>2232</v>
      </c>
      <c r="E4246" s="22">
        <f>IF(D4246="?OLD","!!!","")</f>
        <v/>
      </c>
      <c r="F4246" s="23" t="str">
        <f>IF(OR(E4246="",E4246="!!!"),"",IF(NOT(ISNA(VLOOKUP(E4246,E$1:E4245,1,FALSE()))),"OLD",IF(AND(E4246&lt;&gt;"",E4246&lt;&gt;"!!!"),"NEW","")))</f>
        <v> </v>
      </c>
      <c r="G4246" s="24" t="str">
        <f>IF(OR(E4246="",E4246="!!!"),"",IF(OR(J4246=0,AND(J4246=1,K4246=1),AND(J4246=1,I4246="SBJ"),AND(J4246=1,I4246=0)),"?IN_FOCUS",IF(J4246&lt;=2,"?ACTIVATED",IF(J4246&lt;&gt;"","?FAMILIAR",IF(F4246="NEW",IF(ISNA(VLOOKUP(E4246,#REF!,1,FALSE())),"?TYPE_IDENTIFIABLE","?REFERENTIAL"),"_")))))</f>
        <v> </v>
      </c>
      <c r="H4246" s="25" t="str">
        <f>IF(J4246&lt;&gt;1,"",IF(I4246="SBJ","CB","?"))</f>
        <v> </v>
      </c>
      <c r="I4246" s="26" t="str">
        <f>IF(OR(E4246="",E4246="!!!",F4246="NEW"),"",INDEX(B4245:B$2,-1+SUMPRODUCT(MAX(ROW(E4245:E$2)*(E4246=E4245:E$2)))))</f>
        <v> </v>
      </c>
      <c r="J4246" s="26" t="str">
        <f>IF(OR(E4246="",E4246="!!!",F4246="NEW"),"",COUNTBLANK(OFFSET(A$1,,,SUMPRODUCT(MAX(ROW(E$2:E4246)*(E4246=E$2:E4246)))))-COUNTBLANK(OFFSET(A$1,,,SUMPRODUCT(MAX(ROW(E$1:E4245)*(E2=E$1:E4245))))))</f>
        <v> </v>
      </c>
      <c r="K4246" s="26" t="str">
        <f>IF(OR(E4246="",E4246="!!!",F4246="NEW"),"",INDEX(J$1:J4245,SUMPRODUCT(MAX(ROW(E$1:E4245)*(E4246=E$1:E4245)))))</f>
        <v> </v>
      </c>
      <c r="L4246" s="27"/>
    </row>
    <row r="4247" spans="1:12">
      <c r="A4247" s="20" t="s">
        <v>2233</v>
      </c>
      <c r="E4247" s="22">
        <f>IF(D4247="?OLD","!!!","")</f>
        <v/>
      </c>
      <c r="F4247" s="23" t="str">
        <f>IF(OR(E4247="",E4247="!!!"),"",IF(NOT(ISNA(VLOOKUP(E4247,E$1:E4246,1,FALSE()))),"OLD",IF(AND(E4247&lt;&gt;"",E4247&lt;&gt;"!!!"),"NEW","")))</f>
        <v> </v>
      </c>
      <c r="G4247" s="24" t="str">
        <f>IF(OR(E4247="",E4247="!!!"),"",IF(OR(J4247=0,AND(J4247=1,K4247=1),AND(J4247=1,I4247="SBJ"),AND(J4247=1,I4247=0)),"?IN_FOCUS",IF(J4247&lt;=2,"?ACTIVATED",IF(J4247&lt;&gt;"","?FAMILIAR",IF(F4247="NEW",IF(ISNA(VLOOKUP(E4247,#REF!,1,FALSE())),"?TYPE_IDENTIFIABLE","?REFERENTIAL"),"_")))))</f>
        <v> </v>
      </c>
      <c r="H4247" s="25" t="str">
        <f>IF(J4247&lt;&gt;1,"",IF(I4247="SBJ","CB","?"))</f>
        <v> </v>
      </c>
      <c r="I4247" s="26" t="str">
        <f>IF(OR(E4247="",E4247="!!!",F4247="NEW"),"",INDEX(B4246:B$2,-1+SUMPRODUCT(MAX(ROW(E4246:E$2)*(E4247=E4246:E$2)))))</f>
        <v> </v>
      </c>
      <c r="J4247" s="26" t="str">
        <f>IF(OR(E4247="",E4247="!!!",F4247="NEW"),"",COUNTBLANK(OFFSET(A$1,,,SUMPRODUCT(MAX(ROW(E$2:E4247)*(E4247=E$2:E4247)))))-COUNTBLANK(OFFSET(A$1,,,SUMPRODUCT(MAX(ROW(E$1:E4246)*(E2=E$1:E4246))))))</f>
        <v> </v>
      </c>
      <c r="K4247" s="26" t="str">
        <f>IF(OR(E4247="",E4247="!!!",F4247="NEW"),"",INDEX(J$1:J4246,SUMPRODUCT(MAX(ROW(E$1:E4246)*(E4247=E$1:E4246)))))</f>
        <v> </v>
      </c>
      <c r="L4247" s="27"/>
    </row>
    <row r="4248" spans="1:12">
      <c r="A4248" s="20" t="s">
        <v>1020</v>
      </c>
      <c r="E4248" s="22">
        <f>IF(D4248="?OLD","!!!","")</f>
        <v/>
      </c>
      <c r="F4248" s="23" t="str">
        <f>IF(OR(E4248="",E4248="!!!"),"",IF(NOT(ISNA(VLOOKUP(E4248,E$1:E4247,1,FALSE()))),"OLD",IF(AND(E4248&lt;&gt;"",E4248&lt;&gt;"!!!"),"NEW","")))</f>
        <v> </v>
      </c>
      <c r="G4248" s="24" t="str">
        <f>IF(OR(E4248="",E4248="!!!"),"",IF(OR(J4248=0,AND(J4248=1,K4248=1),AND(J4248=1,I4248="SBJ"),AND(J4248=1,I4248=0)),"?IN_FOCUS",IF(J4248&lt;=2,"?ACTIVATED",IF(J4248&lt;&gt;"","?FAMILIAR",IF(F4248="NEW",IF(ISNA(VLOOKUP(E4248,#REF!,1,FALSE())),"?TYPE_IDENTIFIABLE","?REFERENTIAL"),"_")))))</f>
        <v> </v>
      </c>
      <c r="H4248" s="25" t="str">
        <f>IF(J4248&lt;&gt;1,"",IF(I4248="SBJ","CB","?"))</f>
        <v> </v>
      </c>
      <c r="I4248" s="26" t="str">
        <f>IF(OR(E4248="",E4248="!!!",F4248="NEW"),"",INDEX(B4247:B$2,-1+SUMPRODUCT(MAX(ROW(E4247:E$2)*(E4248=E4247:E$2)))))</f>
        <v> </v>
      </c>
      <c r="J4248" s="26" t="str">
        <f>IF(OR(E4248="",E4248="!!!",F4248="NEW"),"",COUNTBLANK(OFFSET(A$1,,,SUMPRODUCT(MAX(ROW(E$2:E4248)*(E4248=E$2:E4248)))))-COUNTBLANK(OFFSET(A$1,,,SUMPRODUCT(MAX(ROW(E$1:E4247)*(E2=E$1:E4247))))))</f>
        <v> </v>
      </c>
      <c r="K4248" s="26" t="str">
        <f>IF(OR(E4248="",E4248="!!!",F4248="NEW"),"",INDEX(J$1:J4247,SUMPRODUCT(MAX(ROW(E$1:E4247)*(E4248=E$1:E4247)))))</f>
        <v> </v>
      </c>
      <c r="L4248" s="27"/>
    </row>
    <row r="4249" spans="1:12">
      <c r="A4249" s="20" t="s">
        <v>897</v>
      </c>
      <c r="E4249" s="22">
        <f>IF(D4249="?OLD","!!!","")</f>
        <v/>
      </c>
      <c r="F4249" s="23" t="str">
        <f>IF(OR(E4249="",E4249="!!!"),"",IF(NOT(ISNA(VLOOKUP(E4249,E$1:E4248,1,FALSE()))),"OLD",IF(AND(E4249&lt;&gt;"",E4249&lt;&gt;"!!!"),"NEW","")))</f>
        <v> </v>
      </c>
      <c r="G4249" s="24" t="str">
        <f>IF(OR(E4249="",E4249="!!!"),"",IF(OR(J4249=0,AND(J4249=1,K4249=1),AND(J4249=1,I4249="SBJ"),AND(J4249=1,I4249=0)),"?IN_FOCUS",IF(J4249&lt;=2,"?ACTIVATED",IF(J4249&lt;&gt;"","?FAMILIAR",IF(F4249="NEW",IF(ISNA(VLOOKUP(E4249,#REF!,1,FALSE())),"?TYPE_IDENTIFIABLE","?REFERENTIAL"),"_")))))</f>
        <v> </v>
      </c>
      <c r="H4249" s="25" t="str">
        <f>IF(J4249&lt;&gt;1,"",IF(I4249="SBJ","CB","?"))</f>
        <v> </v>
      </c>
      <c r="I4249" s="26" t="str">
        <f>IF(OR(E4249="",E4249="!!!",F4249="NEW"),"",INDEX(B4248:B$2,-1+SUMPRODUCT(MAX(ROW(E4248:E$2)*(E4249=E4248:E$2)))))</f>
        <v> </v>
      </c>
      <c r="J4249" s="26" t="str">
        <f>IF(OR(E4249="",E4249="!!!",F4249="NEW"),"",COUNTBLANK(OFFSET(A$1,,,SUMPRODUCT(MAX(ROW(E$2:E4249)*(E4249=E$2:E4249)))))-COUNTBLANK(OFFSET(A$1,,,SUMPRODUCT(MAX(ROW(E$1:E4248)*(E2=E$1:E4248))))))</f>
        <v> </v>
      </c>
      <c r="K4249" s="26" t="str">
        <f>IF(OR(E4249="",E4249="!!!",F4249="NEW"),"",INDEX(J$1:J4248,SUMPRODUCT(MAX(ROW(E$1:E4248)*(E4249=E$1:E4248)))))</f>
        <v> </v>
      </c>
      <c r="L4249" s="27"/>
    </row>
    <row r="4250" spans="1:12">
      <c r="A4250" s="20" t="s">
        <v>1030</v>
      </c>
      <c r="E4250" s="22">
        <f>IF(D4250="?OLD","!!!","")</f>
        <v/>
      </c>
      <c r="F4250" s="23" t="str">
        <f>IF(OR(E4250="",E4250="!!!"),"",IF(NOT(ISNA(VLOOKUP(E4250,E$1:E4249,1,FALSE()))),"OLD",IF(AND(E4250&lt;&gt;"",E4250&lt;&gt;"!!!"),"NEW","")))</f>
        <v> </v>
      </c>
      <c r="G4250" s="24" t="str">
        <f>IF(OR(E4250="",E4250="!!!"),"",IF(OR(J4250=0,AND(J4250=1,K4250=1),AND(J4250=1,I4250="SBJ"),AND(J4250=1,I4250=0)),"?IN_FOCUS",IF(J4250&lt;=2,"?ACTIVATED",IF(J4250&lt;&gt;"","?FAMILIAR",IF(F4250="NEW",IF(ISNA(VLOOKUP(E4250,#REF!,1,FALSE())),"?TYPE_IDENTIFIABLE","?REFERENTIAL"),"_")))))</f>
        <v> </v>
      </c>
      <c r="H4250" s="25" t="str">
        <f>IF(J4250&lt;&gt;1,"",IF(I4250="SBJ","CB","?"))</f>
        <v> </v>
      </c>
      <c r="I4250" s="26" t="str">
        <f>IF(OR(E4250="",E4250="!!!",F4250="NEW"),"",INDEX(B4249:B$2,-1+SUMPRODUCT(MAX(ROW(E4249:E$2)*(E4250=E4249:E$2)))))</f>
        <v> </v>
      </c>
      <c r="J4250" s="26" t="str">
        <f>IF(OR(E4250="",E4250="!!!",F4250="NEW"),"",COUNTBLANK(OFFSET(A$1,,,SUMPRODUCT(MAX(ROW(E$2:E4250)*(E4250=E$2:E4250)))))-COUNTBLANK(OFFSET(A$1,,,SUMPRODUCT(MAX(ROW(E$1:E4249)*(E2=E$1:E4249))))))</f>
        <v> </v>
      </c>
      <c r="K4250" s="26" t="str">
        <f>IF(OR(E4250="",E4250="!!!",F4250="NEW"),"",INDEX(J$1:J4249,SUMPRODUCT(MAX(ROW(E$1:E4249)*(E4250=E$1:E4249)))))</f>
        <v> </v>
      </c>
      <c r="L4250" s="27"/>
    </row>
    <row r="4251" spans="1:12">
      <c r="A4251" s="20" t="s">
        <v>1015</v>
      </c>
      <c r="E4251" s="22">
        <f>IF(D4251="?OLD","!!!","")</f>
        <v/>
      </c>
      <c r="F4251" s="23" t="str">
        <f>IF(OR(E4251="",E4251="!!!"),"",IF(NOT(ISNA(VLOOKUP(E4251,E$1:E4250,1,FALSE()))),"OLD",IF(AND(E4251&lt;&gt;"",E4251&lt;&gt;"!!!"),"NEW","")))</f>
        <v> </v>
      </c>
      <c r="G4251" s="24" t="str">
        <f>IF(OR(E4251="",E4251="!!!"),"",IF(OR(J4251=0,AND(J4251=1,K4251=1),AND(J4251=1,I4251="SBJ"),AND(J4251=1,I4251=0)),"?IN_FOCUS",IF(J4251&lt;=2,"?ACTIVATED",IF(J4251&lt;&gt;"","?FAMILIAR",IF(F4251="NEW",IF(ISNA(VLOOKUP(E4251,#REF!,1,FALSE())),"?TYPE_IDENTIFIABLE","?REFERENTIAL"),"_")))))</f>
        <v> </v>
      </c>
      <c r="H4251" s="25" t="str">
        <f>IF(J4251&lt;&gt;1,"",IF(I4251="SBJ","CB","?"))</f>
        <v> </v>
      </c>
      <c r="I4251" s="26" t="str">
        <f>IF(OR(E4251="",E4251="!!!",F4251="NEW"),"",INDEX(B4250:B$2,-1+SUMPRODUCT(MAX(ROW(E4250:E$2)*(E4251=E4250:E$2)))))</f>
        <v> </v>
      </c>
      <c r="J4251" s="26" t="str">
        <f>IF(OR(E4251="",E4251="!!!",F4251="NEW"),"",COUNTBLANK(OFFSET(A$1,,,SUMPRODUCT(MAX(ROW(E$2:E4251)*(E4251=E$2:E4251)))))-COUNTBLANK(OFFSET(A$1,,,SUMPRODUCT(MAX(ROW(E$1:E4250)*(E2=E$1:E4250))))))</f>
        <v> </v>
      </c>
      <c r="K4251" s="26" t="str">
        <f>IF(OR(E4251="",E4251="!!!",F4251="NEW"),"",INDEX(J$1:J4250,SUMPRODUCT(MAX(ROW(E$1:E4250)*(E4251=E$1:E4250)))))</f>
        <v> </v>
      </c>
      <c r="L4251" s="27"/>
    </row>
    <row r="4252" spans="1:12">
      <c r="A4252" s="20" t="s">
        <v>1318</v>
      </c>
      <c r="B4252" s="21" t="s">
        <v>1130</v>
      </c>
      <c r="C4252" s="21" t="s">
        <v>1006</v>
      </c>
      <c r="D4252" s="21" t="s">
        <v>1007</v>
      </c>
      <c r="E4252" s="22">
        <f>IF(D4252="?OLD","!!!","")</f>
        <v/>
      </c>
      <c r="F4252" s="23" t="str">
        <f>IF(OR(E4252="",E4252="!!!"),"",IF(NOT(ISNA(VLOOKUP(E4252,E$1:E4251,1,FALSE()))),"OLD",IF(AND(E4252&lt;&gt;"",E4252&lt;&gt;"!!!"),"NEW","")))</f>
        <v> </v>
      </c>
      <c r="G4252" s="24" t="str">
        <f>IF(OR(E4252="",E4252="!!!"),"",IF(OR(J4252=0,AND(J4252=1,K4252=1),AND(J4252=1,I4252="SBJ"),AND(J4252=1,I4252=0)),"?IN_FOCUS",IF(J4252&lt;=2,"?ACTIVATED",IF(J4252&lt;&gt;"","?FAMILIAR",IF(F4252="NEW",IF(ISNA(VLOOKUP(E4252,#REF!,1,FALSE())),"?TYPE_IDENTIFIABLE","?REFERENTIAL"),"_")))))</f>
        <v> </v>
      </c>
      <c r="H4252" s="25" t="str">
        <f>IF(J4252&lt;&gt;1,"",IF(I4252="SBJ","CB","?"))</f>
        <v> </v>
      </c>
      <c r="I4252" s="26" t="str">
        <f>IF(OR(E4252="",E4252="!!!",F4252="NEW"),"",INDEX(B4251:B$2,-1+SUMPRODUCT(MAX(ROW(E4251:E$2)*(E4252=E4251:E$2)))))</f>
        <v> </v>
      </c>
      <c r="J4252" s="26" t="str">
        <f>IF(OR(E4252="",E4252="!!!",F4252="NEW"),"",COUNTBLANK(OFFSET(A$1,,,SUMPRODUCT(MAX(ROW(E$2:E4252)*(E4252=E$2:E4252)))))-COUNTBLANK(OFFSET(A$1,,,SUMPRODUCT(MAX(ROW(E$1:E4251)*(E2=E$1:E4251))))))</f>
        <v> </v>
      </c>
      <c r="K4252" s="26" t="str">
        <f>IF(OR(E4252="",E4252="!!!",F4252="NEW"),"",INDEX(J$1:J4251,SUMPRODUCT(MAX(ROW(E$1:E4251)*(E4252=E$1:E4251)))))</f>
        <v> </v>
      </c>
      <c r="L4252" s="27"/>
    </row>
    <row r="4253" spans="1:12">
      <c r="A4253" s="20" t="s">
        <v>1319</v>
      </c>
      <c r="B4253" s="21" t="s">
        <v>1040</v>
      </c>
      <c r="C4253" s="21" t="s">
        <v>1006</v>
      </c>
      <c r="D4253" s="21" t="s">
        <v>1007</v>
      </c>
      <c r="E4253" s="22">
        <f>IF(D4253="?OLD","!!!","")</f>
        <v/>
      </c>
      <c r="F4253" s="23" t="str">
        <f>IF(OR(E4253="",E4253="!!!"),"",IF(NOT(ISNA(VLOOKUP(E4253,E$1:E4252,1,FALSE()))),"OLD",IF(AND(E4253&lt;&gt;"",E4253&lt;&gt;"!!!"),"NEW","")))</f>
        <v> </v>
      </c>
      <c r="G4253" s="24" t="str">
        <f>IF(OR(E4253="",E4253="!!!"),"",IF(OR(J4253=0,AND(J4253=1,K4253=1),AND(J4253=1,I4253="SBJ"),AND(J4253=1,I4253=0)),"?IN_FOCUS",IF(J4253&lt;=2,"?ACTIVATED",IF(J4253&lt;&gt;"","?FAMILIAR",IF(F4253="NEW",IF(ISNA(VLOOKUP(E4253,#REF!,1,FALSE())),"?TYPE_IDENTIFIABLE","?REFERENTIAL"),"_")))))</f>
        <v> </v>
      </c>
      <c r="H4253" s="25" t="str">
        <f>IF(J4253&lt;&gt;1,"",IF(I4253="SBJ","CB","?"))</f>
        <v> </v>
      </c>
      <c r="I4253" s="26" t="str">
        <f>IF(OR(E4253="",E4253="!!!",F4253="NEW"),"",INDEX(B4252:B$2,-1+SUMPRODUCT(MAX(ROW(E4252:E$2)*(E4253=E4252:E$2)))))</f>
        <v> </v>
      </c>
      <c r="J4253" s="26" t="str">
        <f>IF(OR(E4253="",E4253="!!!",F4253="NEW"),"",COUNTBLANK(OFFSET(A$1,,,SUMPRODUCT(MAX(ROW(E$2:E4253)*(E4253=E$2:E4253)))))-COUNTBLANK(OFFSET(A$1,,,SUMPRODUCT(MAX(ROW(E$1:E4252)*(E2=E$1:E4252))))))</f>
        <v> </v>
      </c>
      <c r="K4253" s="26" t="str">
        <f>IF(OR(E4253="",E4253="!!!",F4253="NEW"),"",INDEX(J$1:J4252,SUMPRODUCT(MAX(ROW(E$1:E4252)*(E4253=E$1:E4252)))))</f>
        <v> </v>
      </c>
      <c r="L4253" s="27"/>
    </row>
    <row r="4254" spans="1:12">
      <c r="A4254" s="20" t="s">
        <v>1023</v>
      </c>
      <c r="E4254" s="22">
        <f>IF(D4254="?OLD","!!!","")</f>
        <v/>
      </c>
      <c r="F4254" s="23" t="str">
        <f>IF(OR(E4254="",E4254="!!!"),"",IF(NOT(ISNA(VLOOKUP(E4254,E$1:E4253,1,FALSE()))),"OLD",IF(AND(E4254&lt;&gt;"",E4254&lt;&gt;"!!!"),"NEW","")))</f>
        <v> </v>
      </c>
      <c r="G4254" s="24" t="str">
        <f>IF(OR(E4254="",E4254="!!!"),"",IF(OR(J4254=0,AND(J4254=1,K4254=1),AND(J4254=1,I4254="SBJ"),AND(J4254=1,I4254=0)),"?IN_FOCUS",IF(J4254&lt;=2,"?ACTIVATED",IF(J4254&lt;&gt;"","?FAMILIAR",IF(F4254="NEW",IF(ISNA(VLOOKUP(E4254,#REF!,1,FALSE())),"?TYPE_IDENTIFIABLE","?REFERENTIAL"),"_")))))</f>
        <v> </v>
      </c>
      <c r="H4254" s="25" t="str">
        <f>IF(J4254&lt;&gt;1,"",IF(I4254="SBJ","CB","?"))</f>
        <v> </v>
      </c>
      <c r="I4254" s="26" t="str">
        <f>IF(OR(E4254="",E4254="!!!",F4254="NEW"),"",INDEX(B4253:B$2,-1+SUMPRODUCT(MAX(ROW(E4253:E$2)*(E4254=E4253:E$2)))))</f>
        <v> </v>
      </c>
      <c r="J4254" s="26" t="str">
        <f>IF(OR(E4254="",E4254="!!!",F4254="NEW"),"",COUNTBLANK(OFFSET(A$1,,,SUMPRODUCT(MAX(ROW(E$2:E4254)*(E4254=E$2:E4254)))))-COUNTBLANK(OFFSET(A$1,,,SUMPRODUCT(MAX(ROW(E$1:E4253)*(E2=E$1:E4253))))))</f>
        <v> </v>
      </c>
      <c r="K4254" s="26" t="str">
        <f>IF(OR(E4254="",E4254="!!!",F4254="NEW"),"",INDEX(J$1:J4253,SUMPRODUCT(MAX(ROW(E$1:E4253)*(E4254=E$1:E4253)))))</f>
        <v> </v>
      </c>
      <c r="L4254" s="27"/>
    </row>
    <row r="4255" spans="1:12">
      <c r="A4255" s="20"/>
    </row>
    <row r="4256" spans="1:12">
      <c r="A4256" s="20" t="s">
        <v>2234</v>
      </c>
    </row>
    <row r="4257" spans="1:12">
      <c r="A4257" s="20" t="s">
        <v>1198</v>
      </c>
      <c r="E4257" s="22">
        <f>IF(D4257="?OLD","!!!","")</f>
        <v/>
      </c>
      <c r="F4257" s="23" t="str">
        <f>IF(OR(E4257="",E4257="!!!"),"",IF(NOT(ISNA(VLOOKUP(E4257,E$1:E4256,1,FALSE()))),"OLD",IF(AND(E4257&lt;&gt;"",E4257&lt;&gt;"!!!"),"NEW","")))</f>
        <v> </v>
      </c>
      <c r="G4257" s="24" t="str">
        <f>IF(OR(E4257="",E4257="!!!"),"",IF(OR(J4257=0,AND(J4257=1,K4257=1),AND(J4257=1,I4257="SBJ"),AND(J4257=1,I4257=0)),"?IN_FOCUS",IF(J4257&lt;=2,"?ACTIVATED",IF(J4257&lt;&gt;"","?FAMILIAR",IF(F4257="NEW",IF(ISNA(VLOOKUP(E4257,#REF!,1,FALSE())),"?TYPE_IDENTIFIABLE","?REFERENTIAL"),"_")))))</f>
        <v> </v>
      </c>
      <c r="H4257" s="25" t="str">
        <f>IF(J4257&lt;&gt;1,"",IF(I4257="SBJ","CB","?"))</f>
        <v> </v>
      </c>
      <c r="I4257" s="26" t="str">
        <f>IF(OR(E4257="",E4257="!!!",F4257="NEW"),"",INDEX(B4256:B$2,-1+SUMPRODUCT(MAX(ROW(E4256:E$2)*(E4257=E4256:E$2)))))</f>
        <v> </v>
      </c>
      <c r="J4257" s="26" t="str">
        <f>IF(OR(E4257="",E4257="!!!",F4257="NEW"),"",COUNTBLANK(OFFSET(A$1,,,SUMPRODUCT(MAX(ROW(E$2:E4257)*(E4257=E$2:E4257)))))-COUNTBLANK(OFFSET(A$1,,,SUMPRODUCT(MAX(ROW(E$1:E4256)*(E2=E$1:E4256))))))</f>
        <v> </v>
      </c>
      <c r="K4257" s="26" t="str">
        <f>IF(OR(E4257="",E4257="!!!",F4257="NEW"),"",INDEX(J$1:J4256,SUMPRODUCT(MAX(ROW(E$1:E4256)*(E4257=E$1:E4256)))))</f>
        <v> </v>
      </c>
      <c r="L4257" s="27"/>
    </row>
    <row r="4258" spans="1:12">
      <c r="A4258" s="20" t="s">
        <v>1018</v>
      </c>
      <c r="E4258" s="22">
        <f>IF(D4258="?OLD","!!!","")</f>
        <v/>
      </c>
      <c r="F4258" s="23" t="str">
        <f>IF(OR(E4258="",E4258="!!!"),"",IF(NOT(ISNA(VLOOKUP(E4258,E$1:E4257,1,FALSE()))),"OLD",IF(AND(E4258&lt;&gt;"",E4258&lt;&gt;"!!!"),"NEW","")))</f>
        <v> </v>
      </c>
      <c r="G4258" s="24" t="str">
        <f>IF(OR(E4258="",E4258="!!!"),"",IF(OR(J4258=0,AND(J4258=1,K4258=1),AND(J4258=1,I4258="SBJ"),AND(J4258=1,I4258=0)),"?IN_FOCUS",IF(J4258&lt;=2,"?ACTIVATED",IF(J4258&lt;&gt;"","?FAMILIAR",IF(F4258="NEW",IF(ISNA(VLOOKUP(E4258,#REF!,1,FALSE())),"?TYPE_IDENTIFIABLE","?REFERENTIAL"),"_")))))</f>
        <v> </v>
      </c>
      <c r="H4258" s="25" t="str">
        <f>IF(J4258&lt;&gt;1,"",IF(I4258="SBJ","CB","?"))</f>
        <v> </v>
      </c>
      <c r="I4258" s="26" t="str">
        <f>IF(OR(E4258="",E4258="!!!",F4258="NEW"),"",INDEX(B4257:B$2,-1+SUMPRODUCT(MAX(ROW(E4257:E$2)*(E4258=E4257:E$2)))))</f>
        <v> </v>
      </c>
      <c r="J4258" s="26" t="str">
        <f>IF(OR(E4258="",E4258="!!!",F4258="NEW"),"",COUNTBLANK(OFFSET(A$1,,,SUMPRODUCT(MAX(ROW(E$2:E4258)*(E4258=E$2:E4258)))))-COUNTBLANK(OFFSET(A$1,,,SUMPRODUCT(MAX(ROW(E$1:E4257)*(E2=E$1:E4257))))))</f>
        <v> </v>
      </c>
      <c r="K4258" s="26" t="str">
        <f>IF(OR(E4258="",E4258="!!!",F4258="NEW"),"",INDEX(J$1:J4257,SUMPRODUCT(MAX(ROW(E$1:E4257)*(E4258=E$1:E4257)))))</f>
        <v> </v>
      </c>
      <c r="L4258" s="27"/>
    </row>
    <row r="4259" spans="1:12">
      <c r="A4259" s="20" t="s">
        <v>1075</v>
      </c>
      <c r="E4259" s="22">
        <f>IF(D4259="?OLD","!!!","")</f>
        <v/>
      </c>
      <c r="F4259" s="23" t="str">
        <f>IF(OR(E4259="",E4259="!!!"),"",IF(NOT(ISNA(VLOOKUP(E4259,E$1:E4258,1,FALSE()))),"OLD",IF(AND(E4259&lt;&gt;"",E4259&lt;&gt;"!!!"),"NEW","")))</f>
        <v> </v>
      </c>
      <c r="G4259" s="24" t="str">
        <f>IF(OR(E4259="",E4259="!!!"),"",IF(OR(J4259=0,AND(J4259=1,K4259=1),AND(J4259=1,I4259="SBJ"),AND(J4259=1,I4259=0)),"?IN_FOCUS",IF(J4259&lt;=2,"?ACTIVATED",IF(J4259&lt;&gt;"","?FAMILIAR",IF(F4259="NEW",IF(ISNA(VLOOKUP(E4259,#REF!,1,FALSE())),"?TYPE_IDENTIFIABLE","?REFERENTIAL"),"_")))))</f>
        <v> </v>
      </c>
      <c r="H4259" s="25" t="str">
        <f>IF(J4259&lt;&gt;1,"",IF(I4259="SBJ","CB","?"))</f>
        <v> </v>
      </c>
      <c r="I4259" s="26" t="str">
        <f>IF(OR(E4259="",E4259="!!!",F4259="NEW"),"",INDEX(B4258:B$2,-1+SUMPRODUCT(MAX(ROW(E4258:E$2)*(E4259=E4258:E$2)))))</f>
        <v> </v>
      </c>
      <c r="J4259" s="26" t="str">
        <f>IF(OR(E4259="",E4259="!!!",F4259="NEW"),"",COUNTBLANK(OFFSET(A$1,,,SUMPRODUCT(MAX(ROW(E$2:E4259)*(E4259=E$2:E4259)))))-COUNTBLANK(OFFSET(A$1,,,SUMPRODUCT(MAX(ROW(E$1:E4258)*(E2=E$1:E4258))))))</f>
        <v> </v>
      </c>
      <c r="K4259" s="26" t="str">
        <f>IF(OR(E4259="",E4259="!!!",F4259="NEW"),"",INDEX(J$1:J4258,SUMPRODUCT(MAX(ROW(E$1:E4258)*(E4259=E$1:E4258)))))</f>
        <v> </v>
      </c>
      <c r="L4259" s="27"/>
    </row>
    <row r="4260" spans="1:12">
      <c r="A4260" s="20" t="s">
        <v>1151</v>
      </c>
      <c r="E4260" s="22">
        <f>IF(D4260="?OLD","!!!","")</f>
        <v/>
      </c>
      <c r="F4260" s="23" t="str">
        <f>IF(OR(E4260="",E4260="!!!"),"",IF(NOT(ISNA(VLOOKUP(E4260,E$1:E4259,1,FALSE()))),"OLD",IF(AND(E4260&lt;&gt;"",E4260&lt;&gt;"!!!"),"NEW","")))</f>
        <v> </v>
      </c>
      <c r="G4260" s="24" t="str">
        <f>IF(OR(E4260="",E4260="!!!"),"",IF(OR(J4260=0,AND(J4260=1,K4260=1),AND(J4260=1,I4260="SBJ"),AND(J4260=1,I4260=0)),"?IN_FOCUS",IF(J4260&lt;=2,"?ACTIVATED",IF(J4260&lt;&gt;"","?FAMILIAR",IF(F4260="NEW",IF(ISNA(VLOOKUP(E4260,#REF!,1,FALSE())),"?TYPE_IDENTIFIABLE","?REFERENTIAL"),"_")))))</f>
        <v> </v>
      </c>
      <c r="H4260" s="25" t="str">
        <f>IF(J4260&lt;&gt;1,"",IF(I4260="SBJ","CB","?"))</f>
        <v> </v>
      </c>
      <c r="I4260" s="26" t="str">
        <f>IF(OR(E4260="",E4260="!!!",F4260="NEW"),"",INDEX(B4259:B$2,-1+SUMPRODUCT(MAX(ROW(E4259:E$2)*(E4260=E4259:E$2)))))</f>
        <v> </v>
      </c>
      <c r="J4260" s="26" t="str">
        <f>IF(OR(E4260="",E4260="!!!",F4260="NEW"),"",COUNTBLANK(OFFSET(A$1,,,SUMPRODUCT(MAX(ROW(E$2:E4260)*(E4260=E$2:E4260)))))-COUNTBLANK(OFFSET(A$1,,,SUMPRODUCT(MAX(ROW(E$1:E4259)*(E2=E$1:E4259))))))</f>
        <v> </v>
      </c>
      <c r="K4260" s="26" t="str">
        <f>IF(OR(E4260="",E4260="!!!",F4260="NEW"),"",INDEX(J$1:J4259,SUMPRODUCT(MAX(ROW(E$1:E4259)*(E4260=E$1:E4259)))))</f>
        <v> </v>
      </c>
      <c r="L4260" s="27"/>
    </row>
    <row r="4261" spans="1:12">
      <c r="A4261" s="20" t="s">
        <v>102</v>
      </c>
      <c r="E4261" s="22">
        <f>IF(D4261="?OLD","!!!","")</f>
        <v/>
      </c>
      <c r="F4261" s="23" t="str">
        <f>IF(OR(E4261="",E4261="!!!"),"",IF(NOT(ISNA(VLOOKUP(E4261,E$1:E4260,1,FALSE()))),"OLD",IF(AND(E4261&lt;&gt;"",E4261&lt;&gt;"!!!"),"NEW","")))</f>
        <v> </v>
      </c>
      <c r="G4261" s="24" t="str">
        <f>IF(OR(E4261="",E4261="!!!"),"",IF(OR(J4261=0,AND(J4261=1,K4261=1),AND(J4261=1,I4261="SBJ"),AND(J4261=1,I4261=0)),"?IN_FOCUS",IF(J4261&lt;=2,"?ACTIVATED",IF(J4261&lt;&gt;"","?FAMILIAR",IF(F4261="NEW",IF(ISNA(VLOOKUP(E4261,#REF!,1,FALSE())),"?TYPE_IDENTIFIABLE","?REFERENTIAL"),"_")))))</f>
        <v> </v>
      </c>
      <c r="H4261" s="25" t="str">
        <f>IF(J4261&lt;&gt;1,"",IF(I4261="SBJ","CB","?"))</f>
        <v> </v>
      </c>
      <c r="I4261" s="26" t="str">
        <f>IF(OR(E4261="",E4261="!!!",F4261="NEW"),"",INDEX(B4260:B$2,-1+SUMPRODUCT(MAX(ROW(E4260:E$2)*(E4261=E4260:E$2)))))</f>
        <v> </v>
      </c>
      <c r="J4261" s="26" t="str">
        <f>IF(OR(E4261="",E4261="!!!",F4261="NEW"),"",COUNTBLANK(OFFSET(A$1,,,SUMPRODUCT(MAX(ROW(E$2:E4261)*(E4261=E$2:E4261)))))-COUNTBLANK(OFFSET(A$1,,,SUMPRODUCT(MAX(ROW(E$1:E4260)*(E2=E$1:E4260))))))</f>
        <v> </v>
      </c>
      <c r="K4261" s="26" t="str">
        <f>IF(OR(E4261="",E4261="!!!",F4261="NEW"),"",INDEX(J$1:J4260,SUMPRODUCT(MAX(ROW(E$1:E4260)*(E4261=E$1:E4260)))))</f>
        <v> </v>
      </c>
      <c r="L4261" s="27"/>
    </row>
    <row r="4262" spans="1:12">
      <c r="A4262" s="20" t="s">
        <v>2196</v>
      </c>
      <c r="B4262" s="21" t="s">
        <v>1005</v>
      </c>
      <c r="C4262" s="21" t="s">
        <v>1017</v>
      </c>
      <c r="D4262" s="21" t="s">
        <v>1007</v>
      </c>
      <c r="E4262" s="22">
        <f>IF(D4262="?OLD","!!!","")</f>
        <v/>
      </c>
      <c r="F4262" s="23" t="str">
        <f>IF(OR(E4262="",E4262="!!!"),"",IF(NOT(ISNA(VLOOKUP(E4262,E$1:E4261,1,FALSE()))),"OLD",IF(AND(E4262&lt;&gt;"",E4262&lt;&gt;"!!!"),"NEW","")))</f>
        <v> </v>
      </c>
      <c r="G4262" s="24" t="str">
        <f>IF(OR(E4262="",E4262="!!!"),"",IF(OR(J4262=0,AND(J4262=1,K4262=1),AND(J4262=1,I4262="SBJ"),AND(J4262=1,I4262=0)),"?IN_FOCUS",IF(J4262&lt;=2,"?ACTIVATED",IF(J4262&lt;&gt;"","?FAMILIAR",IF(F4262="NEW",IF(ISNA(VLOOKUP(E4262,#REF!,1,FALSE())),"?TYPE_IDENTIFIABLE","?REFERENTIAL"),"_")))))</f>
        <v> </v>
      </c>
      <c r="H4262" s="25" t="str">
        <f>IF(J4262&lt;&gt;1,"",IF(I4262="SBJ","CB","?"))</f>
        <v> </v>
      </c>
      <c r="I4262" s="26" t="str">
        <f>IF(OR(E4262="",E4262="!!!",F4262="NEW"),"",INDEX(B4261:B$2,-1+SUMPRODUCT(MAX(ROW(E4261:E$2)*(E4262=E4261:E$2)))))</f>
        <v> </v>
      </c>
      <c r="J4262" s="26" t="str">
        <f>IF(OR(E4262="",E4262="!!!",F4262="NEW"),"",COUNTBLANK(OFFSET(A$1,,,SUMPRODUCT(MAX(ROW(E$2:E4262)*(E4262=E$2:E4262)))))-COUNTBLANK(OFFSET(A$1,,,SUMPRODUCT(MAX(ROW(E$1:E4261)*(E2=E$1:E4261))))))</f>
        <v> </v>
      </c>
      <c r="K4262" s="26" t="str">
        <f>IF(OR(E4262="",E4262="!!!",F4262="NEW"),"",INDEX(J$1:J4261,SUMPRODUCT(MAX(ROW(E$1:E4261)*(E4262=E$1:E4261)))))</f>
        <v> </v>
      </c>
      <c r="L4262" s="27"/>
    </row>
    <row r="4263" spans="1:12">
      <c r="A4263" s="20" t="s">
        <v>1065</v>
      </c>
      <c r="B4263" s="21" t="s">
        <v>1187</v>
      </c>
      <c r="E4263" s="22">
        <f>IF(D4263="?OLD","!!!","")</f>
        <v/>
      </c>
      <c r="F4263" s="23" t="str">
        <f>IF(OR(E4263="",E4263="!!!"),"",IF(NOT(ISNA(VLOOKUP(E4263,E$1:E4262,1,FALSE()))),"OLD",IF(AND(E4263&lt;&gt;"",E4263&lt;&gt;"!!!"),"NEW","")))</f>
        <v> </v>
      </c>
      <c r="G4263" s="24" t="str">
        <f>IF(OR(E4263="",E4263="!!!"),"",IF(OR(J4263=0,AND(J4263=1,K4263=1),AND(J4263=1,I4263="SBJ"),AND(J4263=1,I4263=0)),"?IN_FOCUS",IF(J4263&lt;=2,"?ACTIVATED",IF(J4263&lt;&gt;"","?FAMILIAR",IF(F4263="NEW",IF(ISNA(VLOOKUP(E4263,#REF!,1,FALSE())),"?TYPE_IDENTIFIABLE","?REFERENTIAL"),"_")))))</f>
        <v> </v>
      </c>
      <c r="H4263" s="25" t="str">
        <f>IF(J4263&lt;&gt;1,"",IF(I4263="SBJ","CB","?"))</f>
        <v> </v>
      </c>
      <c r="I4263" s="26" t="str">
        <f>IF(OR(E4263="",E4263="!!!",F4263="NEW"),"",INDEX(B4262:B$2,-1+SUMPRODUCT(MAX(ROW(E4262:E$2)*(E4263=E4262:E$2)))))</f>
        <v> </v>
      </c>
      <c r="J4263" s="26" t="str">
        <f>IF(OR(E4263="",E4263="!!!",F4263="NEW"),"",COUNTBLANK(OFFSET(A$1,,,SUMPRODUCT(MAX(ROW(E$2:E4263)*(E4263=E$2:E4263)))))-COUNTBLANK(OFFSET(A$1,,,SUMPRODUCT(MAX(ROW(E$1:E4262)*(E2=E$1:E4262))))))</f>
        <v> </v>
      </c>
      <c r="K4263" s="26" t="str">
        <f>IF(OR(E4263="",E4263="!!!",F4263="NEW"),"",INDEX(J$1:J4262,SUMPRODUCT(MAX(ROW(E$1:E4262)*(E4263=E$1:E4262)))))</f>
        <v> </v>
      </c>
      <c r="L4263" s="27"/>
    </row>
    <row r="4264" spans="1:12">
      <c r="A4264" s="20" t="s">
        <v>1438</v>
      </c>
      <c r="E4264" s="22">
        <f>IF(D4264="?OLD","!!!","")</f>
        <v/>
      </c>
      <c r="F4264" s="23" t="str">
        <f>IF(OR(E4264="",E4264="!!!"),"",IF(NOT(ISNA(VLOOKUP(E4264,E$1:E4263,1,FALSE()))),"OLD",IF(AND(E4264&lt;&gt;"",E4264&lt;&gt;"!!!"),"NEW","")))</f>
        <v> </v>
      </c>
      <c r="G4264" s="24" t="str">
        <f>IF(OR(E4264="",E4264="!!!"),"",IF(OR(J4264=0,AND(J4264=1,K4264=1),AND(J4264=1,I4264="SBJ"),AND(J4264=1,I4264=0)),"?IN_FOCUS",IF(J4264&lt;=2,"?ACTIVATED",IF(J4264&lt;&gt;"","?FAMILIAR",IF(F4264="NEW",IF(ISNA(VLOOKUP(E4264,#REF!,1,FALSE())),"?TYPE_IDENTIFIABLE","?REFERENTIAL"),"_")))))</f>
        <v> </v>
      </c>
      <c r="H4264" s="25" t="str">
        <f>IF(J4264&lt;&gt;1,"",IF(I4264="SBJ","CB","?"))</f>
        <v> </v>
      </c>
      <c r="I4264" s="26" t="str">
        <f>IF(OR(E4264="",E4264="!!!",F4264="NEW"),"",INDEX(B4263:B$2,-1+SUMPRODUCT(MAX(ROW(E4263:E$2)*(E4264=E4263:E$2)))))</f>
        <v> </v>
      </c>
      <c r="J4264" s="26" t="str">
        <f>IF(OR(E4264="",E4264="!!!",F4264="NEW"),"",COUNTBLANK(OFFSET(A$1,,,SUMPRODUCT(MAX(ROW(E$2:E4264)*(E4264=E$2:E4264)))))-COUNTBLANK(OFFSET(A$1,,,SUMPRODUCT(MAX(ROW(E$1:E4263)*(E2=E$1:E4263))))))</f>
        <v> </v>
      </c>
      <c r="K4264" s="26" t="str">
        <f>IF(OR(E4264="",E4264="!!!",F4264="NEW"),"",INDEX(J$1:J4263,SUMPRODUCT(MAX(ROW(E$1:E4263)*(E4264=E$1:E4263)))))</f>
        <v> </v>
      </c>
      <c r="L4264" s="27"/>
    </row>
    <row r="4265" spans="1:12">
      <c r="A4265" s="20" t="s">
        <v>1020</v>
      </c>
      <c r="E4265" s="22">
        <f>IF(D4265="?OLD","!!!","")</f>
        <v/>
      </c>
      <c r="F4265" s="23" t="str">
        <f>IF(OR(E4265="",E4265="!!!"),"",IF(NOT(ISNA(VLOOKUP(E4265,E$1:E4264,1,FALSE()))),"OLD",IF(AND(E4265&lt;&gt;"",E4265&lt;&gt;"!!!"),"NEW","")))</f>
        <v> </v>
      </c>
      <c r="G4265" s="24" t="str">
        <f>IF(OR(E4265="",E4265="!!!"),"",IF(OR(J4265=0,AND(J4265=1,K4265=1),AND(J4265=1,I4265="SBJ"),AND(J4265=1,I4265=0)),"?IN_FOCUS",IF(J4265&lt;=2,"?ACTIVATED",IF(J4265&lt;&gt;"","?FAMILIAR",IF(F4265="NEW",IF(ISNA(VLOOKUP(E4265,#REF!,1,FALSE())),"?TYPE_IDENTIFIABLE","?REFERENTIAL"),"_")))))</f>
        <v> </v>
      </c>
      <c r="H4265" s="25" t="str">
        <f>IF(J4265&lt;&gt;1,"",IF(I4265="SBJ","CB","?"))</f>
        <v> </v>
      </c>
      <c r="I4265" s="26" t="str">
        <f>IF(OR(E4265="",E4265="!!!",F4265="NEW"),"",INDEX(B4264:B$2,-1+SUMPRODUCT(MAX(ROW(E4264:E$2)*(E4265=E4264:E$2)))))</f>
        <v> </v>
      </c>
      <c r="J4265" s="26" t="str">
        <f>IF(OR(E4265="",E4265="!!!",F4265="NEW"),"",COUNTBLANK(OFFSET(A$1,,,SUMPRODUCT(MAX(ROW(E$2:E4265)*(E4265=E$2:E4265)))))-COUNTBLANK(OFFSET(A$1,,,SUMPRODUCT(MAX(ROW(E$1:E4264)*(E2=E$1:E4264))))))</f>
        <v> </v>
      </c>
      <c r="K4265" s="26" t="str">
        <f>IF(OR(E4265="",E4265="!!!",F4265="NEW"),"",INDEX(J$1:J4264,SUMPRODUCT(MAX(ROW(E$1:E4264)*(E4265=E$1:E4264)))))</f>
        <v> </v>
      </c>
      <c r="L4265" s="27"/>
    </row>
    <row r="4266" spans="1:12">
      <c r="A4266" s="20" t="s">
        <v>2235</v>
      </c>
      <c r="E4266" s="22">
        <f>IF(D4266="?OLD","!!!","")</f>
        <v/>
      </c>
      <c r="F4266" s="23" t="str">
        <f>IF(OR(E4266="",E4266="!!!"),"",IF(NOT(ISNA(VLOOKUP(E4266,E$1:E4265,1,FALSE()))),"OLD",IF(AND(E4266&lt;&gt;"",E4266&lt;&gt;"!!!"),"NEW","")))</f>
        <v> </v>
      </c>
      <c r="G4266" s="24" t="str">
        <f>IF(OR(E4266="",E4266="!!!"),"",IF(OR(J4266=0,AND(J4266=1,K4266=1),AND(J4266=1,I4266="SBJ"),AND(J4266=1,I4266=0)),"?IN_FOCUS",IF(J4266&lt;=2,"?ACTIVATED",IF(J4266&lt;&gt;"","?FAMILIAR",IF(F4266="NEW",IF(ISNA(VLOOKUP(E4266,#REF!,1,FALSE())),"?TYPE_IDENTIFIABLE","?REFERENTIAL"),"_")))))</f>
        <v> </v>
      </c>
      <c r="H4266" s="25" t="str">
        <f>IF(J4266&lt;&gt;1,"",IF(I4266="SBJ","CB","?"))</f>
        <v> </v>
      </c>
      <c r="I4266" s="26" t="str">
        <f>IF(OR(E4266="",E4266="!!!",F4266="NEW"),"",INDEX(B4265:B$2,-1+SUMPRODUCT(MAX(ROW(E4265:E$2)*(E4266=E4265:E$2)))))</f>
        <v> </v>
      </c>
      <c r="J4266" s="26" t="str">
        <f>IF(OR(E4266="",E4266="!!!",F4266="NEW"),"",COUNTBLANK(OFFSET(A$1,,,SUMPRODUCT(MAX(ROW(E$2:E4266)*(E4266=E$2:E4266)))))-COUNTBLANK(OFFSET(A$1,,,SUMPRODUCT(MAX(ROW(E$1:E4265)*(E2=E$1:E4265))))))</f>
        <v> </v>
      </c>
      <c r="K4266" s="26" t="str">
        <f>IF(OR(E4266="",E4266="!!!",F4266="NEW"),"",INDEX(J$1:J4265,SUMPRODUCT(MAX(ROW(E$1:E4265)*(E4266=E$1:E4265)))))</f>
        <v> </v>
      </c>
      <c r="L4266" s="27"/>
    </row>
    <row r="4267" spans="1:12">
      <c r="A4267" s="20" t="s">
        <v>1077</v>
      </c>
      <c r="E4267" s="22">
        <f>IF(D4267="?OLD","!!!","")</f>
        <v/>
      </c>
      <c r="F4267" s="23" t="str">
        <f>IF(OR(E4267="",E4267="!!!"),"",IF(NOT(ISNA(VLOOKUP(E4267,E$1:E4266,1,FALSE()))),"OLD",IF(AND(E4267&lt;&gt;"",E4267&lt;&gt;"!!!"),"NEW","")))</f>
        <v> </v>
      </c>
      <c r="G4267" s="24" t="str">
        <f>IF(OR(E4267="",E4267="!!!"),"",IF(OR(J4267=0,AND(J4267=1,K4267=1),AND(J4267=1,I4267="SBJ"),AND(J4267=1,I4267=0)),"?IN_FOCUS",IF(J4267&lt;=2,"?ACTIVATED",IF(J4267&lt;&gt;"","?FAMILIAR",IF(F4267="NEW",IF(ISNA(VLOOKUP(E4267,#REF!,1,FALSE())),"?TYPE_IDENTIFIABLE","?REFERENTIAL"),"_")))))</f>
        <v> </v>
      </c>
      <c r="H4267" s="25" t="str">
        <f>IF(J4267&lt;&gt;1,"",IF(I4267="SBJ","CB","?"))</f>
        <v> </v>
      </c>
      <c r="I4267" s="26" t="str">
        <f>IF(OR(E4267="",E4267="!!!",F4267="NEW"),"",INDEX(B4266:B$2,-1+SUMPRODUCT(MAX(ROW(E4266:E$2)*(E4267=E4266:E$2)))))</f>
        <v> </v>
      </c>
      <c r="J4267" s="26" t="str">
        <f>IF(OR(E4267="",E4267="!!!",F4267="NEW"),"",COUNTBLANK(OFFSET(A$1,,,SUMPRODUCT(MAX(ROW(E$2:E4267)*(E4267=E$2:E4267)))))-COUNTBLANK(OFFSET(A$1,,,SUMPRODUCT(MAX(ROW(E$1:E4266)*(E2=E$1:E4266))))))</f>
        <v> </v>
      </c>
      <c r="K4267" s="26" t="str">
        <f>IF(OR(E4267="",E4267="!!!",F4267="NEW"),"",INDEX(J$1:J4266,SUMPRODUCT(MAX(ROW(E$1:E4266)*(E4267=E$1:E4266)))))</f>
        <v> </v>
      </c>
      <c r="L4267" s="27"/>
    </row>
    <row r="4268" spans="1:12">
      <c r="A4268" s="20"/>
    </row>
    <row r="4269" spans="1:12">
      <c r="A4269" s="20" t="s">
        <v>2236</v>
      </c>
    </row>
    <row r="4270" spans="1:12">
      <c r="A4270" s="20" t="s">
        <v>2237</v>
      </c>
      <c r="E4270" s="22">
        <f>IF(D4270="?OLD","!!!","")</f>
        <v/>
      </c>
      <c r="F4270" s="23" t="str">
        <f>IF(OR(E4270="",E4270="!!!"),"",IF(NOT(ISNA(VLOOKUP(E4270,E$1:E4269,1,FALSE()))),"OLD",IF(AND(E4270&lt;&gt;"",E4270&lt;&gt;"!!!"),"NEW","")))</f>
        <v> </v>
      </c>
      <c r="G4270" s="24" t="str">
        <f>IF(OR(E4270="",E4270="!!!"),"",IF(OR(J4270=0,AND(J4270=1,K4270=1),AND(J4270=1,I4270="SBJ"),AND(J4270=1,I4270=0)),"?IN_FOCUS",IF(J4270&lt;=2,"?ACTIVATED",IF(J4270&lt;&gt;"","?FAMILIAR",IF(F4270="NEW",IF(ISNA(VLOOKUP(E4270,#REF!,1,FALSE())),"?TYPE_IDENTIFIABLE","?REFERENTIAL"),"_")))))</f>
        <v> </v>
      </c>
      <c r="H4270" s="25" t="str">
        <f>IF(J4270&lt;&gt;1,"",IF(I4270="SBJ","CB","?"))</f>
        <v> </v>
      </c>
      <c r="I4270" s="26" t="str">
        <f>IF(OR(E4270="",E4270="!!!",F4270="NEW"),"",INDEX(B4269:B$2,-1+SUMPRODUCT(MAX(ROW(E4269:E$2)*(E4270=E4269:E$2)))))</f>
        <v> </v>
      </c>
      <c r="J4270" s="26" t="str">
        <f>IF(OR(E4270="",E4270="!!!",F4270="NEW"),"",COUNTBLANK(OFFSET(A$1,,,SUMPRODUCT(MAX(ROW(E$2:E4270)*(E4270=E$2:E4270)))))-COUNTBLANK(OFFSET(A$1,,,SUMPRODUCT(MAX(ROW(E$1:E4269)*(E2=E$1:E4269))))))</f>
        <v> </v>
      </c>
      <c r="K4270" s="26" t="str">
        <f>IF(OR(E4270="",E4270="!!!",F4270="NEW"),"",INDEX(J$1:J4269,SUMPRODUCT(MAX(ROW(E$1:E4269)*(E4270=E$1:E4269)))))</f>
        <v> </v>
      </c>
      <c r="L4270" s="27"/>
    </row>
    <row r="4271" spans="1:12">
      <c r="A4271" s="20" t="s">
        <v>1274</v>
      </c>
      <c r="B4271" s="21" t="s">
        <v>1050</v>
      </c>
      <c r="C4271" s="21" t="s">
        <v>1041</v>
      </c>
      <c r="D4271" s="21" t="s">
        <v>1007</v>
      </c>
      <c r="E4271" s="22">
        <f>IF(D4271="?OLD","!!!","")</f>
        <v/>
      </c>
      <c r="F4271" s="23" t="str">
        <f>IF(OR(E4271="",E4271="!!!"),"",IF(NOT(ISNA(VLOOKUP(E4271,E$1:E4270,1,FALSE()))),"OLD",IF(AND(E4271&lt;&gt;"",E4271&lt;&gt;"!!!"),"NEW","")))</f>
        <v> </v>
      </c>
      <c r="G4271" s="24" t="str">
        <f>IF(OR(E4271="",E4271="!!!"),"",IF(OR(J4271=0,AND(J4271=1,K4271=1),AND(J4271=1,I4271="SBJ"),AND(J4271=1,I4271=0)),"?IN_FOCUS",IF(J4271&lt;=2,"?ACTIVATED",IF(J4271&lt;&gt;"","?FAMILIAR",IF(F4271="NEW",IF(ISNA(VLOOKUP(E4271,#REF!,1,FALSE())),"?TYPE_IDENTIFIABLE","?REFERENTIAL"),"_")))))</f>
        <v> </v>
      </c>
      <c r="H4271" s="25" t="str">
        <f>IF(J4271&lt;&gt;1,"",IF(I4271="SBJ","CB","?"))</f>
        <v> </v>
      </c>
      <c r="I4271" s="26" t="str">
        <f>IF(OR(E4271="",E4271="!!!",F4271="NEW"),"",INDEX(B4270:B$2,-1+SUMPRODUCT(MAX(ROW(E4270:E$2)*(E4271=E4270:E$2)))))</f>
        <v> </v>
      </c>
      <c r="J4271" s="26" t="str">
        <f>IF(OR(E4271="",E4271="!!!",F4271="NEW"),"",COUNTBLANK(OFFSET(A$1,,,SUMPRODUCT(MAX(ROW(E$2:E4271)*(E4271=E$2:E4271)))))-COUNTBLANK(OFFSET(A$1,,,SUMPRODUCT(MAX(ROW(E$1:E4270)*(E2=E$1:E4270))))))</f>
        <v> </v>
      </c>
      <c r="K4271" s="26" t="str">
        <f>IF(OR(E4271="",E4271="!!!",F4271="NEW"),"",INDEX(J$1:J4270,SUMPRODUCT(MAX(ROW(E$1:E4270)*(E4271=E$1:E4270)))))</f>
        <v> </v>
      </c>
      <c r="L4271" s="27"/>
    </row>
    <row r="4272" spans="1:12">
      <c r="A4272" s="20" t="s">
        <v>1520</v>
      </c>
      <c r="E4272" s="22">
        <f>IF(D4272="?OLD","!!!","")</f>
        <v/>
      </c>
      <c r="F4272" s="23" t="str">
        <f>IF(OR(E4272="",E4272="!!!"),"",IF(NOT(ISNA(VLOOKUP(E4272,E$1:E4271,1,FALSE()))),"OLD",IF(AND(E4272&lt;&gt;"",E4272&lt;&gt;"!!!"),"NEW","")))</f>
        <v> </v>
      </c>
      <c r="G4272" s="24" t="str">
        <f>IF(OR(E4272="",E4272="!!!"),"",IF(OR(J4272=0,AND(J4272=1,K4272=1),AND(J4272=1,I4272="SBJ"),AND(J4272=1,I4272=0)),"?IN_FOCUS",IF(J4272&lt;=2,"?ACTIVATED",IF(J4272&lt;&gt;"","?FAMILIAR",IF(F4272="NEW",IF(ISNA(VLOOKUP(E4272,#REF!,1,FALSE())),"?TYPE_IDENTIFIABLE","?REFERENTIAL"),"_")))))</f>
        <v> </v>
      </c>
      <c r="H4272" s="25" t="str">
        <f>IF(J4272&lt;&gt;1,"",IF(I4272="SBJ","CB","?"))</f>
        <v> </v>
      </c>
      <c r="I4272" s="26" t="str">
        <f>IF(OR(E4272="",E4272="!!!",F4272="NEW"),"",INDEX(B4271:B$2,-1+SUMPRODUCT(MAX(ROW(E4271:E$2)*(E4272=E4271:E$2)))))</f>
        <v> </v>
      </c>
      <c r="J4272" s="26" t="str">
        <f>IF(OR(E4272="",E4272="!!!",F4272="NEW"),"",COUNTBLANK(OFFSET(A$1,,,SUMPRODUCT(MAX(ROW(E$2:E4272)*(E4272=E$2:E4272)))))-COUNTBLANK(OFFSET(A$1,,,SUMPRODUCT(MAX(ROW(E$1:E4271)*(E2=E$1:E4271))))))</f>
        <v> </v>
      </c>
      <c r="K4272" s="26" t="str">
        <f>IF(OR(E4272="",E4272="!!!",F4272="NEW"),"",INDEX(J$1:J4271,SUMPRODUCT(MAX(ROW(E$1:E4271)*(E4272=E$1:E4271)))))</f>
        <v> </v>
      </c>
      <c r="L4272" s="27"/>
    </row>
    <row r="4273" spans="1:12">
      <c r="A4273" s="20" t="s">
        <v>1585</v>
      </c>
      <c r="E4273" s="22">
        <f>IF(D4273="?OLD","!!!","")</f>
        <v/>
      </c>
      <c r="F4273" s="23" t="str">
        <f>IF(OR(E4273="",E4273="!!!"),"",IF(NOT(ISNA(VLOOKUP(E4273,E$1:E4272,1,FALSE()))),"OLD",IF(AND(E4273&lt;&gt;"",E4273&lt;&gt;"!!!"),"NEW","")))</f>
        <v> </v>
      </c>
      <c r="G4273" s="24" t="str">
        <f>IF(OR(E4273="",E4273="!!!"),"",IF(OR(J4273=0,AND(J4273=1,K4273=1),AND(J4273=1,I4273="SBJ"),AND(J4273=1,I4273=0)),"?IN_FOCUS",IF(J4273&lt;=2,"?ACTIVATED",IF(J4273&lt;&gt;"","?FAMILIAR",IF(F4273="NEW",IF(ISNA(VLOOKUP(E4273,#REF!,1,FALSE())),"?TYPE_IDENTIFIABLE","?REFERENTIAL"),"_")))))</f>
        <v> </v>
      </c>
      <c r="H4273" s="25" t="str">
        <f>IF(J4273&lt;&gt;1,"",IF(I4273="SBJ","CB","?"))</f>
        <v> </v>
      </c>
      <c r="I4273" s="26" t="str">
        <f>IF(OR(E4273="",E4273="!!!",F4273="NEW"),"",INDEX(B4272:B$2,-1+SUMPRODUCT(MAX(ROW(E4272:E$2)*(E4273=E4272:E$2)))))</f>
        <v> </v>
      </c>
      <c r="J4273" s="26" t="str">
        <f>IF(OR(E4273="",E4273="!!!",F4273="NEW"),"",COUNTBLANK(OFFSET(A$1,,,SUMPRODUCT(MAX(ROW(E$2:E4273)*(E4273=E$2:E4273)))))-COUNTBLANK(OFFSET(A$1,,,SUMPRODUCT(MAX(ROW(E$1:E4272)*(E2=E$1:E4272))))))</f>
        <v> </v>
      </c>
      <c r="K4273" s="26" t="str">
        <f>IF(OR(E4273="",E4273="!!!",F4273="NEW"),"",INDEX(J$1:J4272,SUMPRODUCT(MAX(ROW(E$1:E4272)*(E4273=E$1:E4272)))))</f>
        <v> </v>
      </c>
      <c r="L4273" s="27"/>
    </row>
    <row r="4274" spans="1:12">
      <c r="A4274" s="20" t="s">
        <v>2179</v>
      </c>
      <c r="B4274" s="21" t="s">
        <v>1085</v>
      </c>
      <c r="C4274" s="21" t="s">
        <v>1103</v>
      </c>
      <c r="E4274" s="22">
        <f>IF(D4274="?OLD","!!!","")</f>
        <v/>
      </c>
      <c r="F4274" s="23" t="str">
        <f>IF(OR(E4274="",E4274="!!!"),"",IF(NOT(ISNA(VLOOKUP(E4274,E$1:E4273,1,FALSE()))),"OLD",IF(AND(E4274&lt;&gt;"",E4274&lt;&gt;"!!!"),"NEW","")))</f>
        <v> </v>
      </c>
      <c r="G4274" s="24" t="str">
        <f>IF(OR(E4274="",E4274="!!!"),"",IF(OR(J4274=0,AND(J4274=1,K4274=1),AND(J4274=1,I4274="SBJ"),AND(J4274=1,I4274=0)),"?IN_FOCUS",IF(J4274&lt;=2,"?ACTIVATED",IF(J4274&lt;&gt;"","?FAMILIAR",IF(F4274="NEW",IF(ISNA(VLOOKUP(E4274,#REF!,1,FALSE())),"?TYPE_IDENTIFIABLE","?REFERENTIAL"),"_")))))</f>
        <v> </v>
      </c>
      <c r="H4274" s="25" t="str">
        <f>IF(J4274&lt;&gt;1,"",IF(I4274="SBJ","CB","?"))</f>
        <v> </v>
      </c>
      <c r="I4274" s="26" t="str">
        <f>IF(OR(E4274="",E4274="!!!",F4274="NEW"),"",INDEX(B4273:B$2,-1+SUMPRODUCT(MAX(ROW(E4273:E$2)*(E4274=E4273:E$2)))))</f>
        <v> </v>
      </c>
      <c r="J4274" s="26" t="str">
        <f>IF(OR(E4274="",E4274="!!!",F4274="NEW"),"",COUNTBLANK(OFFSET(A$1,,,SUMPRODUCT(MAX(ROW(E$2:E4274)*(E4274=E$2:E4274)))))-COUNTBLANK(OFFSET(A$1,,,SUMPRODUCT(MAX(ROW(E$1:E4273)*(E2=E$1:E4273))))))</f>
        <v> </v>
      </c>
      <c r="K4274" s="26" t="str">
        <f>IF(OR(E4274="",E4274="!!!",F4274="NEW"),"",INDEX(J$1:J4273,SUMPRODUCT(MAX(ROW(E$1:E4273)*(E4274=E$1:E4273)))))</f>
        <v> </v>
      </c>
      <c r="L4274" s="27"/>
    </row>
    <row r="4275" spans="1:12">
      <c r="A4275" s="20" t="s">
        <v>1077</v>
      </c>
      <c r="E4275" s="22">
        <f>IF(D4275="?OLD","!!!","")</f>
        <v/>
      </c>
      <c r="F4275" s="23" t="str">
        <f>IF(OR(E4275="",E4275="!!!"),"",IF(NOT(ISNA(VLOOKUP(E4275,E$1:E4274,1,FALSE()))),"OLD",IF(AND(E4275&lt;&gt;"",E4275&lt;&gt;"!!!"),"NEW","")))</f>
        <v> </v>
      </c>
      <c r="G4275" s="24" t="str">
        <f>IF(OR(E4275="",E4275="!!!"),"",IF(OR(J4275=0,AND(J4275=1,K4275=1),AND(J4275=1,I4275="SBJ"),AND(J4275=1,I4275=0)),"?IN_FOCUS",IF(J4275&lt;=2,"?ACTIVATED",IF(J4275&lt;&gt;"","?FAMILIAR",IF(F4275="NEW",IF(ISNA(VLOOKUP(E4275,#REF!,1,FALSE())),"?TYPE_IDENTIFIABLE","?REFERENTIAL"),"_")))))</f>
        <v> </v>
      </c>
      <c r="H4275" s="25" t="str">
        <f>IF(J4275&lt;&gt;1,"",IF(I4275="SBJ","CB","?"))</f>
        <v> </v>
      </c>
      <c r="I4275" s="26" t="str">
        <f>IF(OR(E4275="",E4275="!!!",F4275="NEW"),"",INDEX(B4274:B$2,-1+SUMPRODUCT(MAX(ROW(E4274:E$2)*(E4275=E4274:E$2)))))</f>
        <v> </v>
      </c>
      <c r="J4275" s="26" t="str">
        <f>IF(OR(E4275="",E4275="!!!",F4275="NEW"),"",COUNTBLANK(OFFSET(A$1,,,SUMPRODUCT(MAX(ROW(E$2:E4275)*(E4275=E$2:E4275)))))-COUNTBLANK(OFFSET(A$1,,,SUMPRODUCT(MAX(ROW(E$1:E4274)*(E2=E$1:E4274))))))</f>
        <v> </v>
      </c>
      <c r="K4275" s="26" t="str">
        <f>IF(OR(E4275="",E4275="!!!",F4275="NEW"),"",INDEX(J$1:J4274,SUMPRODUCT(MAX(ROW(E$1:E4274)*(E4275=E$1:E4274)))))</f>
        <v> </v>
      </c>
      <c r="L4275" s="27"/>
    </row>
    <row r="4276" spans="1:12">
      <c r="A4276" s="20"/>
    </row>
    <row r="4277" spans="1:12">
      <c r="A4277" s="20" t="s">
        <v>2238</v>
      </c>
    </row>
    <row r="4278" spans="1:12">
      <c r="A4278" s="20" t="s">
        <v>1991</v>
      </c>
      <c r="B4278" s="21" t="s">
        <v>1050</v>
      </c>
      <c r="C4278" s="21" t="s">
        <v>1082</v>
      </c>
      <c r="D4278" s="21" t="s">
        <v>1007</v>
      </c>
      <c r="E4278" s="22">
        <f>IF(D4278="?OLD","!!!","")</f>
        <v/>
      </c>
      <c r="F4278" s="23" t="str">
        <f>IF(OR(E4278="",E4278="!!!"),"",IF(NOT(ISNA(VLOOKUP(E4278,E$1:E4277,1,FALSE()))),"OLD",IF(AND(E4278&lt;&gt;"",E4278&lt;&gt;"!!!"),"NEW","")))</f>
        <v> </v>
      </c>
      <c r="G4278" s="24" t="str">
        <f>IF(OR(E4278="",E4278="!!!"),"",IF(OR(J4278=0,AND(J4278=1,K4278=1),AND(J4278=1,I4278="SBJ"),AND(J4278=1,I4278=0)),"?IN_FOCUS",IF(J4278&lt;=2,"?ACTIVATED",IF(J4278&lt;&gt;"","?FAMILIAR",IF(F4278="NEW",IF(ISNA(VLOOKUP(E4278,#REF!,1,FALSE())),"?TYPE_IDENTIFIABLE","?REFERENTIAL"),"_")))))</f>
        <v> </v>
      </c>
      <c r="H4278" s="25" t="str">
        <f>IF(J4278&lt;&gt;1,"",IF(I4278="SBJ","CB","?"))</f>
        <v> </v>
      </c>
      <c r="I4278" s="26" t="str">
        <f>IF(OR(E4278="",E4278="!!!",F4278="NEW"),"",INDEX(B4277:B$2,-1+SUMPRODUCT(MAX(ROW(E4277:E$2)*(E4278=E4277:E$2)))))</f>
        <v> </v>
      </c>
      <c r="J4278" s="26" t="str">
        <f>IF(OR(E4278="",E4278="!!!",F4278="NEW"),"",COUNTBLANK(OFFSET(A$1,,,SUMPRODUCT(MAX(ROW(E$2:E4278)*(E4278=E$2:E4278)))))-COUNTBLANK(OFFSET(A$1,,,SUMPRODUCT(MAX(ROW(E$1:E4277)*(E2=E$1:E4277))))))</f>
        <v> </v>
      </c>
      <c r="K4278" s="26" t="str">
        <f>IF(OR(E4278="",E4278="!!!",F4278="NEW"),"",INDEX(J$1:J4277,SUMPRODUCT(MAX(ROW(E$1:E4277)*(E4278=E$1:E4277)))))</f>
        <v> </v>
      </c>
      <c r="L4278" s="27"/>
    </row>
    <row r="4279" spans="1:12">
      <c r="A4279" s="20" t="s">
        <v>2239</v>
      </c>
      <c r="E4279" s="22">
        <f>IF(D4279="?OLD","!!!","")</f>
        <v/>
      </c>
      <c r="F4279" s="23" t="str">
        <f>IF(OR(E4279="",E4279="!!!"),"",IF(NOT(ISNA(VLOOKUP(E4279,E$1:E4278,1,FALSE()))),"OLD",IF(AND(E4279&lt;&gt;"",E4279&lt;&gt;"!!!"),"NEW","")))</f>
        <v> </v>
      </c>
      <c r="G4279" s="24" t="str">
        <f>IF(OR(E4279="",E4279="!!!"),"",IF(OR(J4279=0,AND(J4279=1,K4279=1),AND(J4279=1,I4279="SBJ"),AND(J4279=1,I4279=0)),"?IN_FOCUS",IF(J4279&lt;=2,"?ACTIVATED",IF(J4279&lt;&gt;"","?FAMILIAR",IF(F4279="NEW",IF(ISNA(VLOOKUP(E4279,#REF!,1,FALSE())),"?TYPE_IDENTIFIABLE","?REFERENTIAL"),"_")))))</f>
        <v> </v>
      </c>
      <c r="H4279" s="25" t="str">
        <f>IF(J4279&lt;&gt;1,"",IF(I4279="SBJ","CB","?"))</f>
        <v> </v>
      </c>
      <c r="I4279" s="26" t="str">
        <f>IF(OR(E4279="",E4279="!!!",F4279="NEW"),"",INDEX(B4278:B$2,-1+SUMPRODUCT(MAX(ROW(E4278:E$2)*(E4279=E4278:E$2)))))</f>
        <v> </v>
      </c>
      <c r="J4279" s="26" t="str">
        <f>IF(OR(E4279="",E4279="!!!",F4279="NEW"),"",COUNTBLANK(OFFSET(A$1,,,SUMPRODUCT(MAX(ROW(E$2:E4279)*(E4279=E$2:E4279)))))-COUNTBLANK(OFFSET(A$1,,,SUMPRODUCT(MAX(ROW(E$1:E4278)*(E2=E$1:E4278))))))</f>
        <v> </v>
      </c>
      <c r="K4279" s="26" t="str">
        <f>IF(OR(E4279="",E4279="!!!",F4279="NEW"),"",INDEX(J$1:J4278,SUMPRODUCT(MAX(ROW(E$1:E4278)*(E4279=E$1:E4278)))))</f>
        <v> </v>
      </c>
      <c r="L4279" s="27"/>
    </row>
    <row r="4280" spans="1:12">
      <c r="A4280" s="20" t="s">
        <v>1065</v>
      </c>
      <c r="E4280" s="22">
        <f>IF(D4280="?OLD","!!!","")</f>
        <v/>
      </c>
      <c r="F4280" s="23" t="str">
        <f>IF(OR(E4280="",E4280="!!!"),"",IF(NOT(ISNA(VLOOKUP(E4280,E$1:E4279,1,FALSE()))),"OLD",IF(AND(E4280&lt;&gt;"",E4280&lt;&gt;"!!!"),"NEW","")))</f>
        <v> </v>
      </c>
      <c r="G4280" s="24" t="str">
        <f>IF(OR(E4280="",E4280="!!!"),"",IF(OR(J4280=0,AND(J4280=1,K4280=1),AND(J4280=1,I4280="SBJ"),AND(J4280=1,I4280=0)),"?IN_FOCUS",IF(J4280&lt;=2,"?ACTIVATED",IF(J4280&lt;&gt;"","?FAMILIAR",IF(F4280="NEW",IF(ISNA(VLOOKUP(E4280,#REF!,1,FALSE())),"?TYPE_IDENTIFIABLE","?REFERENTIAL"),"_")))))</f>
        <v> </v>
      </c>
      <c r="H4280" s="25" t="str">
        <f>IF(J4280&lt;&gt;1,"",IF(I4280="SBJ","CB","?"))</f>
        <v> </v>
      </c>
      <c r="I4280" s="26" t="str">
        <f>IF(OR(E4280="",E4280="!!!",F4280="NEW"),"",INDEX(B4279:B$2,-1+SUMPRODUCT(MAX(ROW(E4279:E$2)*(E4280=E4279:E$2)))))</f>
        <v> </v>
      </c>
      <c r="J4280" s="26" t="str">
        <f>IF(OR(E4280="",E4280="!!!",F4280="NEW"),"",COUNTBLANK(OFFSET(A$1,,,SUMPRODUCT(MAX(ROW(E$2:E4280)*(E4280=E$2:E4280)))))-COUNTBLANK(OFFSET(A$1,,,SUMPRODUCT(MAX(ROW(E$1:E4279)*(E2=E$1:E4279))))))</f>
        <v> </v>
      </c>
      <c r="K4280" s="26" t="str">
        <f>IF(OR(E4280="",E4280="!!!",F4280="NEW"),"",INDEX(J$1:J4279,SUMPRODUCT(MAX(ROW(E$1:E4279)*(E4280=E$1:E4279)))))</f>
        <v> </v>
      </c>
      <c r="L4280" s="27"/>
    </row>
    <row r="4281" spans="1:12">
      <c r="A4281" s="20" t="s">
        <v>1142</v>
      </c>
      <c r="E4281" s="22">
        <f>IF(D4281="?OLD","!!!","")</f>
        <v/>
      </c>
      <c r="F4281" s="23" t="str">
        <f>IF(OR(E4281="",E4281="!!!"),"",IF(NOT(ISNA(VLOOKUP(E4281,E$1:E4280,1,FALSE()))),"OLD",IF(AND(E4281&lt;&gt;"",E4281&lt;&gt;"!!!"),"NEW","")))</f>
        <v> </v>
      </c>
      <c r="G4281" s="24" t="str">
        <f>IF(OR(E4281="",E4281="!!!"),"",IF(OR(J4281=0,AND(J4281=1,K4281=1),AND(J4281=1,I4281="SBJ"),AND(J4281=1,I4281=0)),"?IN_FOCUS",IF(J4281&lt;=2,"?ACTIVATED",IF(J4281&lt;&gt;"","?FAMILIAR",IF(F4281="NEW",IF(ISNA(VLOOKUP(E4281,#REF!,1,FALSE())),"?TYPE_IDENTIFIABLE","?REFERENTIAL"),"_")))))</f>
        <v> </v>
      </c>
      <c r="H4281" s="25" t="str">
        <f>IF(J4281&lt;&gt;1,"",IF(I4281="SBJ","CB","?"))</f>
        <v> </v>
      </c>
      <c r="I4281" s="26" t="str">
        <f>IF(OR(E4281="",E4281="!!!",F4281="NEW"),"",INDEX(B4280:B$2,-1+SUMPRODUCT(MAX(ROW(E4280:E$2)*(E4281=E4280:E$2)))))</f>
        <v> </v>
      </c>
      <c r="J4281" s="26" t="str">
        <f>IF(OR(E4281="",E4281="!!!",F4281="NEW"),"",COUNTBLANK(OFFSET(A$1,,,SUMPRODUCT(MAX(ROW(E$2:E4281)*(E4281=E$2:E4281)))))-COUNTBLANK(OFFSET(A$1,,,SUMPRODUCT(MAX(ROW(E$1:E4280)*(E2=E$1:E4280))))))</f>
        <v> </v>
      </c>
      <c r="K4281" s="26" t="str">
        <f>IF(OR(E4281="",E4281="!!!",F4281="NEW"),"",INDEX(J$1:J4280,SUMPRODUCT(MAX(ROW(E$1:E4280)*(E4281=E$1:E4280)))))</f>
        <v> </v>
      </c>
      <c r="L4281" s="27"/>
    </row>
    <row r="4282" spans="1:12">
      <c r="A4282" s="20" t="s">
        <v>1018</v>
      </c>
      <c r="E4282" s="22">
        <f>IF(D4282="?OLD","!!!","")</f>
        <v/>
      </c>
      <c r="F4282" s="23" t="str">
        <f>IF(OR(E4282="",E4282="!!!"),"",IF(NOT(ISNA(VLOOKUP(E4282,E$1:E4281,1,FALSE()))),"OLD",IF(AND(E4282&lt;&gt;"",E4282&lt;&gt;"!!!"),"NEW","")))</f>
        <v> </v>
      </c>
      <c r="G4282" s="24" t="str">
        <f>IF(OR(E4282="",E4282="!!!"),"",IF(OR(J4282=0,AND(J4282=1,K4282=1),AND(J4282=1,I4282="SBJ"),AND(J4282=1,I4282=0)),"?IN_FOCUS",IF(J4282&lt;=2,"?ACTIVATED",IF(J4282&lt;&gt;"","?FAMILIAR",IF(F4282="NEW",IF(ISNA(VLOOKUP(E4282,#REF!,1,FALSE())),"?TYPE_IDENTIFIABLE","?REFERENTIAL"),"_")))))</f>
        <v> </v>
      </c>
      <c r="H4282" s="25" t="str">
        <f>IF(J4282&lt;&gt;1,"",IF(I4282="SBJ","CB","?"))</f>
        <v> </v>
      </c>
      <c r="I4282" s="26" t="str">
        <f>IF(OR(E4282="",E4282="!!!",F4282="NEW"),"",INDEX(B4281:B$2,-1+SUMPRODUCT(MAX(ROW(E4281:E$2)*(E4282=E4281:E$2)))))</f>
        <v> </v>
      </c>
      <c r="J4282" s="26" t="str">
        <f>IF(OR(E4282="",E4282="!!!",F4282="NEW"),"",COUNTBLANK(OFFSET(A$1,,,SUMPRODUCT(MAX(ROW(E$2:E4282)*(E4282=E$2:E4282)))))-COUNTBLANK(OFFSET(A$1,,,SUMPRODUCT(MAX(ROW(E$1:E4281)*(E2=E$1:E4281))))))</f>
        <v> </v>
      </c>
      <c r="K4282" s="26" t="str">
        <f>IF(OR(E4282="",E4282="!!!",F4282="NEW"),"",INDEX(J$1:J4281,SUMPRODUCT(MAX(ROW(E$1:E4281)*(E4282=E$1:E4281)))))</f>
        <v> </v>
      </c>
      <c r="L4282" s="27"/>
    </row>
    <row r="4283" spans="1:12">
      <c r="A4283" s="20" t="s">
        <v>56</v>
      </c>
      <c r="E4283" s="22">
        <f>IF(D4283="?OLD","!!!","")</f>
        <v/>
      </c>
      <c r="F4283" s="23" t="str">
        <f>IF(OR(E4283="",E4283="!!!"),"",IF(NOT(ISNA(VLOOKUP(E4283,E$1:E4282,1,FALSE()))),"OLD",IF(AND(E4283&lt;&gt;"",E4283&lt;&gt;"!!!"),"NEW","")))</f>
        <v> </v>
      </c>
      <c r="G4283" s="24" t="str">
        <f>IF(OR(E4283="",E4283="!!!"),"",IF(OR(J4283=0,AND(J4283=1,K4283=1),AND(J4283=1,I4283="SBJ"),AND(J4283=1,I4283=0)),"?IN_FOCUS",IF(J4283&lt;=2,"?ACTIVATED",IF(J4283&lt;&gt;"","?FAMILIAR",IF(F4283="NEW",IF(ISNA(VLOOKUP(E4283,#REF!,1,FALSE())),"?TYPE_IDENTIFIABLE","?REFERENTIAL"),"_")))))</f>
        <v> </v>
      </c>
      <c r="H4283" s="25" t="str">
        <f>IF(J4283&lt;&gt;1,"",IF(I4283="SBJ","CB","?"))</f>
        <v> </v>
      </c>
      <c r="I4283" s="26" t="str">
        <f>IF(OR(E4283="",E4283="!!!",F4283="NEW"),"",INDEX(B4282:B$2,-1+SUMPRODUCT(MAX(ROW(E4282:E$2)*(E4283=E4282:E$2)))))</f>
        <v> </v>
      </c>
      <c r="J4283" s="26" t="str">
        <f>IF(OR(E4283="",E4283="!!!",F4283="NEW"),"",COUNTBLANK(OFFSET(A$1,,,SUMPRODUCT(MAX(ROW(E$2:E4283)*(E4283=E$2:E4283)))))-COUNTBLANK(OFFSET(A$1,,,SUMPRODUCT(MAX(ROW(E$1:E4282)*(E2=E$1:E4282))))))</f>
        <v> </v>
      </c>
      <c r="K4283" s="26" t="str">
        <f>IF(OR(E4283="",E4283="!!!",F4283="NEW"),"",INDEX(J$1:J4282,SUMPRODUCT(MAX(ROW(E$1:E4282)*(E4283=E$1:E4282)))))</f>
        <v> </v>
      </c>
      <c r="L4283" s="27"/>
    </row>
    <row r="4284" spans="1:12">
      <c r="A4284" s="20" t="s">
        <v>1015</v>
      </c>
      <c r="E4284" s="22">
        <f>IF(D4284="?OLD","!!!","")</f>
        <v/>
      </c>
      <c r="F4284" s="23" t="str">
        <f>IF(OR(E4284="",E4284="!!!"),"",IF(NOT(ISNA(VLOOKUP(E4284,E$1:E4283,1,FALSE()))),"OLD",IF(AND(E4284&lt;&gt;"",E4284&lt;&gt;"!!!"),"NEW","")))</f>
        <v> </v>
      </c>
      <c r="G4284" s="24" t="str">
        <f>IF(OR(E4284="",E4284="!!!"),"",IF(OR(J4284=0,AND(J4284=1,K4284=1),AND(J4284=1,I4284="SBJ"),AND(J4284=1,I4284=0)),"?IN_FOCUS",IF(J4284&lt;=2,"?ACTIVATED",IF(J4284&lt;&gt;"","?FAMILIAR",IF(F4284="NEW",IF(ISNA(VLOOKUP(E4284,#REF!,1,FALSE())),"?TYPE_IDENTIFIABLE","?REFERENTIAL"),"_")))))</f>
        <v> </v>
      </c>
      <c r="H4284" s="25" t="str">
        <f>IF(J4284&lt;&gt;1,"",IF(I4284="SBJ","CB","?"))</f>
        <v> </v>
      </c>
      <c r="I4284" s="26" t="str">
        <f>IF(OR(E4284="",E4284="!!!",F4284="NEW"),"",INDEX(B4283:B$2,-1+SUMPRODUCT(MAX(ROW(E4283:E$2)*(E4284=E4283:E$2)))))</f>
        <v> </v>
      </c>
      <c r="J4284" s="26" t="str">
        <f>IF(OR(E4284="",E4284="!!!",F4284="NEW"),"",COUNTBLANK(OFFSET(A$1,,,SUMPRODUCT(MAX(ROW(E$2:E4284)*(E4284=E$2:E4284)))))-COUNTBLANK(OFFSET(A$1,,,SUMPRODUCT(MAX(ROW(E$1:E4283)*(E2=E$1:E4283))))))</f>
        <v> </v>
      </c>
      <c r="K4284" s="26" t="str">
        <f>IF(OR(E4284="",E4284="!!!",F4284="NEW"),"",INDEX(J$1:J4283,SUMPRODUCT(MAX(ROW(E$1:E4283)*(E4284=E$1:E4283)))))</f>
        <v> </v>
      </c>
      <c r="L4284" s="27"/>
    </row>
    <row r="4285" spans="1:12">
      <c r="A4285" s="20" t="s">
        <v>2240</v>
      </c>
      <c r="B4285" s="21" t="s">
        <v>1120</v>
      </c>
      <c r="E4285" s="22">
        <f>IF(D4285="?OLD","!!!","")</f>
        <v/>
      </c>
      <c r="F4285" s="23" t="str">
        <f>IF(OR(E4285="",E4285="!!!"),"",IF(NOT(ISNA(VLOOKUP(E4285,E$1:E4284,1,FALSE()))),"OLD",IF(AND(E4285&lt;&gt;"",E4285&lt;&gt;"!!!"),"NEW","")))</f>
        <v> </v>
      </c>
      <c r="G4285" s="24" t="str">
        <f>IF(OR(E4285="",E4285="!!!"),"",IF(OR(J4285=0,AND(J4285=1,K4285=1),AND(J4285=1,I4285="SBJ"),AND(J4285=1,I4285=0)),"?IN_FOCUS",IF(J4285&lt;=2,"?ACTIVATED",IF(J4285&lt;&gt;"","?FAMILIAR",IF(F4285="NEW",IF(ISNA(VLOOKUP(E4285,#REF!,1,FALSE())),"?TYPE_IDENTIFIABLE","?REFERENTIAL"),"_")))))</f>
        <v> </v>
      </c>
      <c r="H4285" s="25" t="str">
        <f>IF(J4285&lt;&gt;1,"",IF(I4285="SBJ","CB","?"))</f>
        <v> </v>
      </c>
      <c r="I4285" s="26" t="str">
        <f>IF(OR(E4285="",E4285="!!!",F4285="NEW"),"",INDEX(B4284:B$2,-1+SUMPRODUCT(MAX(ROW(E4284:E$2)*(E4285=E4284:E$2)))))</f>
        <v> </v>
      </c>
      <c r="J4285" s="26" t="str">
        <f>IF(OR(E4285="",E4285="!!!",F4285="NEW"),"",COUNTBLANK(OFFSET(A$1,,,SUMPRODUCT(MAX(ROW(E$2:E4285)*(E4285=E$2:E4285)))))-COUNTBLANK(OFFSET(A$1,,,SUMPRODUCT(MAX(ROW(E$1:E4284)*(E2=E$1:E4284))))))</f>
        <v> </v>
      </c>
      <c r="K4285" s="26" t="str">
        <f>IF(OR(E4285="",E4285="!!!",F4285="NEW"),"",INDEX(J$1:J4284,SUMPRODUCT(MAX(ROW(E$1:E4284)*(E4285=E$1:E4284)))))</f>
        <v> </v>
      </c>
      <c r="L4285" s="27"/>
    </row>
    <row r="4286" spans="1:12">
      <c r="A4286" s="20" t="s">
        <v>2241</v>
      </c>
      <c r="E4286" s="22">
        <f>IF(D4286="?OLD","!!!","")</f>
        <v/>
      </c>
      <c r="F4286" s="23" t="str">
        <f>IF(OR(E4286="",E4286="!!!"),"",IF(NOT(ISNA(VLOOKUP(E4286,E$1:E4285,1,FALSE()))),"OLD",IF(AND(E4286&lt;&gt;"",E4286&lt;&gt;"!!!"),"NEW","")))</f>
        <v> </v>
      </c>
      <c r="G4286" s="24" t="str">
        <f>IF(OR(E4286="",E4286="!!!"),"",IF(OR(J4286=0,AND(J4286=1,K4286=1),AND(J4286=1,I4286="SBJ"),AND(J4286=1,I4286=0)),"?IN_FOCUS",IF(J4286&lt;=2,"?ACTIVATED",IF(J4286&lt;&gt;"","?FAMILIAR",IF(F4286="NEW",IF(ISNA(VLOOKUP(E4286,#REF!,1,FALSE())),"?TYPE_IDENTIFIABLE","?REFERENTIAL"),"_")))))</f>
        <v> </v>
      </c>
      <c r="H4286" s="25" t="str">
        <f>IF(J4286&lt;&gt;1,"",IF(I4286="SBJ","CB","?"))</f>
        <v> </v>
      </c>
      <c r="I4286" s="26" t="str">
        <f>IF(OR(E4286="",E4286="!!!",F4286="NEW"),"",INDEX(B4285:B$2,-1+SUMPRODUCT(MAX(ROW(E4285:E$2)*(E4286=E4285:E$2)))))</f>
        <v> </v>
      </c>
      <c r="J4286" s="26" t="str">
        <f>IF(OR(E4286="",E4286="!!!",F4286="NEW"),"",COUNTBLANK(OFFSET(A$1,,,SUMPRODUCT(MAX(ROW(E$2:E4286)*(E4286=E$2:E4286)))))-COUNTBLANK(OFFSET(A$1,,,SUMPRODUCT(MAX(ROW(E$1:E4285)*(E2=E$1:E4285))))))</f>
        <v> </v>
      </c>
      <c r="K4286" s="26" t="str">
        <f>IF(OR(E4286="",E4286="!!!",F4286="NEW"),"",INDEX(J$1:J4285,SUMPRODUCT(MAX(ROW(E$1:E4285)*(E4286=E$1:E4285)))))</f>
        <v> </v>
      </c>
      <c r="L4286" s="27"/>
    </row>
    <row r="4287" spans="1:12">
      <c r="A4287" s="20" t="s">
        <v>1014</v>
      </c>
      <c r="E4287" s="22">
        <f>IF(D4287="?OLD","!!!","")</f>
        <v/>
      </c>
      <c r="F4287" s="23" t="str">
        <f>IF(OR(E4287="",E4287="!!!"),"",IF(NOT(ISNA(VLOOKUP(E4287,E$1:E4286,1,FALSE()))),"OLD",IF(AND(E4287&lt;&gt;"",E4287&lt;&gt;"!!!"),"NEW","")))</f>
        <v> </v>
      </c>
      <c r="G4287" s="24" t="str">
        <f>IF(OR(E4287="",E4287="!!!"),"",IF(OR(J4287=0,AND(J4287=1,K4287=1),AND(J4287=1,I4287="SBJ"),AND(J4287=1,I4287=0)),"?IN_FOCUS",IF(J4287&lt;=2,"?ACTIVATED",IF(J4287&lt;&gt;"","?FAMILIAR",IF(F4287="NEW",IF(ISNA(VLOOKUP(E4287,#REF!,1,FALSE())),"?TYPE_IDENTIFIABLE","?REFERENTIAL"),"_")))))</f>
        <v> </v>
      </c>
      <c r="H4287" s="25" t="str">
        <f>IF(J4287&lt;&gt;1,"",IF(I4287="SBJ","CB","?"))</f>
        <v> </v>
      </c>
      <c r="I4287" s="26" t="str">
        <f>IF(OR(E4287="",E4287="!!!",F4287="NEW"),"",INDEX(B4286:B$2,-1+SUMPRODUCT(MAX(ROW(E4286:E$2)*(E4287=E4286:E$2)))))</f>
        <v> </v>
      </c>
      <c r="J4287" s="26" t="str">
        <f>IF(OR(E4287="",E4287="!!!",F4287="NEW"),"",COUNTBLANK(OFFSET(A$1,,,SUMPRODUCT(MAX(ROW(E$2:E4287)*(E4287=E$2:E4287)))))-COUNTBLANK(OFFSET(A$1,,,SUMPRODUCT(MAX(ROW(E$1:E4286)*(E2=E$1:E4286))))))</f>
        <v> </v>
      </c>
      <c r="K4287" s="26" t="str">
        <f>IF(OR(E4287="",E4287="!!!",F4287="NEW"),"",INDEX(J$1:J4286,SUMPRODUCT(MAX(ROW(E$1:E4286)*(E4287=E$1:E4286)))))</f>
        <v> </v>
      </c>
      <c r="L4287" s="27"/>
    </row>
    <row r="4288" spans="1:12">
      <c r="A4288" s="20" t="s">
        <v>102</v>
      </c>
      <c r="E4288" s="22">
        <f>IF(D4288="?OLD","!!!","")</f>
        <v/>
      </c>
      <c r="F4288" s="23" t="str">
        <f>IF(OR(E4288="",E4288="!!!"),"",IF(NOT(ISNA(VLOOKUP(E4288,E$1:E4287,1,FALSE()))),"OLD",IF(AND(E4288&lt;&gt;"",E4288&lt;&gt;"!!!"),"NEW","")))</f>
        <v> </v>
      </c>
      <c r="G4288" s="24" t="str">
        <f>IF(OR(E4288="",E4288="!!!"),"",IF(OR(J4288=0,AND(J4288=1,K4288=1),AND(J4288=1,I4288="SBJ"),AND(J4288=1,I4288=0)),"?IN_FOCUS",IF(J4288&lt;=2,"?ACTIVATED",IF(J4288&lt;&gt;"","?FAMILIAR",IF(F4288="NEW",IF(ISNA(VLOOKUP(E4288,#REF!,1,FALSE())),"?TYPE_IDENTIFIABLE","?REFERENTIAL"),"_")))))</f>
        <v> </v>
      </c>
      <c r="H4288" s="25" t="str">
        <f>IF(J4288&lt;&gt;1,"",IF(I4288="SBJ","CB","?"))</f>
        <v> </v>
      </c>
      <c r="I4288" s="26" t="str">
        <f>IF(OR(E4288="",E4288="!!!",F4288="NEW"),"",INDEX(B4287:B$2,-1+SUMPRODUCT(MAX(ROW(E4287:E$2)*(E4288=E4287:E$2)))))</f>
        <v> </v>
      </c>
      <c r="J4288" s="26" t="str">
        <f>IF(OR(E4288="",E4288="!!!",F4288="NEW"),"",COUNTBLANK(OFFSET(A$1,,,SUMPRODUCT(MAX(ROW(E$2:E4288)*(E4288=E$2:E4288)))))-COUNTBLANK(OFFSET(A$1,,,SUMPRODUCT(MAX(ROW(E$1:E4287)*(E2=E$1:E4287))))))</f>
        <v> </v>
      </c>
      <c r="K4288" s="26" t="str">
        <f>IF(OR(E4288="",E4288="!!!",F4288="NEW"),"",INDEX(J$1:J4287,SUMPRODUCT(MAX(ROW(E$1:E4287)*(E4288=E$1:E4287)))))</f>
        <v> </v>
      </c>
      <c r="L4288" s="27"/>
    </row>
    <row r="4289" spans="1:12">
      <c r="A4289" s="20" t="s">
        <v>1168</v>
      </c>
      <c r="B4289" s="21" t="s">
        <v>1064</v>
      </c>
      <c r="C4289" s="21" t="s">
        <v>1017</v>
      </c>
      <c r="D4289" s="21" t="s">
        <v>1007</v>
      </c>
      <c r="E4289" s="22">
        <f>IF(D4289="?OLD","!!!","")</f>
        <v/>
      </c>
      <c r="F4289" s="23" t="str">
        <f>IF(OR(E4289="",E4289="!!!"),"",IF(NOT(ISNA(VLOOKUP(E4289,E$1:E4288,1,FALSE()))),"OLD",IF(AND(E4289&lt;&gt;"",E4289&lt;&gt;"!!!"),"NEW","")))</f>
        <v> </v>
      </c>
      <c r="G4289" s="24" t="str">
        <f>IF(OR(E4289="",E4289="!!!"),"",IF(OR(J4289=0,AND(J4289=1,K4289=1),AND(J4289=1,I4289="SBJ"),AND(J4289=1,I4289=0)),"?IN_FOCUS",IF(J4289&lt;=2,"?ACTIVATED",IF(J4289&lt;&gt;"","?FAMILIAR",IF(F4289="NEW",IF(ISNA(VLOOKUP(E4289,#REF!,1,FALSE())),"?TYPE_IDENTIFIABLE","?REFERENTIAL"),"_")))))</f>
        <v> </v>
      </c>
      <c r="H4289" s="25" t="str">
        <f>IF(J4289&lt;&gt;1,"",IF(I4289="SBJ","CB","?"))</f>
        <v> </v>
      </c>
      <c r="I4289" s="26" t="str">
        <f>IF(OR(E4289="",E4289="!!!",F4289="NEW"),"",INDEX(B4288:B$2,-1+SUMPRODUCT(MAX(ROW(E4288:E$2)*(E4289=E4288:E$2)))))</f>
        <v> </v>
      </c>
      <c r="J4289" s="26" t="str">
        <f>IF(OR(E4289="",E4289="!!!",F4289="NEW"),"",COUNTBLANK(OFFSET(A$1,,,SUMPRODUCT(MAX(ROW(E$2:E4289)*(E4289=E$2:E4289)))))-COUNTBLANK(OFFSET(A$1,,,SUMPRODUCT(MAX(ROW(E$1:E4288)*(E2=E$1:E4288))))))</f>
        <v> </v>
      </c>
      <c r="K4289" s="26" t="str">
        <f>IF(OR(E4289="",E4289="!!!",F4289="NEW"),"",INDEX(J$1:J4288,SUMPRODUCT(MAX(ROW(E$1:E4288)*(E4289=E$1:E4288)))))</f>
        <v> </v>
      </c>
      <c r="L4289" s="27"/>
    </row>
    <row r="4290" spans="1:12">
      <c r="A4290" s="20" t="s">
        <v>1194</v>
      </c>
      <c r="E4290" s="22">
        <f>IF(D4290="?OLD","!!!","")</f>
        <v/>
      </c>
      <c r="F4290" s="23" t="str">
        <f>IF(OR(E4290="",E4290="!!!"),"",IF(NOT(ISNA(VLOOKUP(E4290,E$1:E4289,1,FALSE()))),"OLD",IF(AND(E4290&lt;&gt;"",E4290&lt;&gt;"!!!"),"NEW","")))</f>
        <v> </v>
      </c>
      <c r="G4290" s="24" t="str">
        <f>IF(OR(E4290="",E4290="!!!"),"",IF(OR(J4290=0,AND(J4290=1,K4290=1),AND(J4290=1,I4290="SBJ"),AND(J4290=1,I4290=0)),"?IN_FOCUS",IF(J4290&lt;=2,"?ACTIVATED",IF(J4290&lt;&gt;"","?FAMILIAR",IF(F4290="NEW",IF(ISNA(VLOOKUP(E4290,#REF!,1,FALSE())),"?TYPE_IDENTIFIABLE","?REFERENTIAL"),"_")))))</f>
        <v> </v>
      </c>
      <c r="H4290" s="25" t="str">
        <f>IF(J4290&lt;&gt;1,"",IF(I4290="SBJ","CB","?"))</f>
        <v> </v>
      </c>
      <c r="I4290" s="26" t="str">
        <f>IF(OR(E4290="",E4290="!!!",F4290="NEW"),"",INDEX(B4289:B$2,-1+SUMPRODUCT(MAX(ROW(E4289:E$2)*(E4290=E4289:E$2)))))</f>
        <v> </v>
      </c>
      <c r="J4290" s="26" t="str">
        <f>IF(OR(E4290="",E4290="!!!",F4290="NEW"),"",COUNTBLANK(OFFSET(A$1,,,SUMPRODUCT(MAX(ROW(E$2:E4290)*(E4290=E$2:E4290)))))-COUNTBLANK(OFFSET(A$1,,,SUMPRODUCT(MAX(ROW(E$1:E4289)*(E2=E$1:E4289))))))</f>
        <v> </v>
      </c>
      <c r="K4290" s="26" t="str">
        <f>IF(OR(E4290="",E4290="!!!",F4290="NEW"),"",INDEX(J$1:J4289,SUMPRODUCT(MAX(ROW(E$1:E4289)*(E4290=E$1:E4289)))))</f>
        <v> </v>
      </c>
      <c r="L4290" s="27"/>
    </row>
    <row r="4291" spans="1:12">
      <c r="A4291" s="20" t="s">
        <v>1255</v>
      </c>
      <c r="E4291" s="22">
        <f>IF(D4291="?OLD","!!!","")</f>
        <v/>
      </c>
      <c r="F4291" s="23" t="str">
        <f>IF(OR(E4291="",E4291="!!!"),"",IF(NOT(ISNA(VLOOKUP(E4291,E$1:E4290,1,FALSE()))),"OLD",IF(AND(E4291&lt;&gt;"",E4291&lt;&gt;"!!!"),"NEW","")))</f>
        <v> </v>
      </c>
      <c r="G4291" s="24" t="str">
        <f>IF(OR(E4291="",E4291="!!!"),"",IF(OR(J4291=0,AND(J4291=1,K4291=1),AND(J4291=1,I4291="SBJ"),AND(J4291=1,I4291=0)),"?IN_FOCUS",IF(J4291&lt;=2,"?ACTIVATED",IF(J4291&lt;&gt;"","?FAMILIAR",IF(F4291="NEW",IF(ISNA(VLOOKUP(E4291,#REF!,1,FALSE())),"?TYPE_IDENTIFIABLE","?REFERENTIAL"),"_")))))</f>
        <v> </v>
      </c>
      <c r="H4291" s="25" t="str">
        <f>IF(J4291&lt;&gt;1,"",IF(I4291="SBJ","CB","?"))</f>
        <v> </v>
      </c>
      <c r="I4291" s="26" t="str">
        <f>IF(OR(E4291="",E4291="!!!",F4291="NEW"),"",INDEX(B4290:B$2,-1+SUMPRODUCT(MAX(ROW(E4290:E$2)*(E4291=E4290:E$2)))))</f>
        <v> </v>
      </c>
      <c r="J4291" s="26" t="str">
        <f>IF(OR(E4291="",E4291="!!!",F4291="NEW"),"",COUNTBLANK(OFFSET(A$1,,,SUMPRODUCT(MAX(ROW(E$2:E4291)*(E4291=E$2:E4291)))))-COUNTBLANK(OFFSET(A$1,,,SUMPRODUCT(MAX(ROW(E$1:E4290)*(E2=E$1:E4290))))))</f>
        <v> </v>
      </c>
      <c r="K4291" s="26" t="str">
        <f>IF(OR(E4291="",E4291="!!!",F4291="NEW"),"",INDEX(J$1:J4290,SUMPRODUCT(MAX(ROW(E$1:E4290)*(E4291=E$1:E4290)))))</f>
        <v> </v>
      </c>
      <c r="L4291" s="27"/>
    </row>
    <row r="4292" spans="1:12">
      <c r="A4292" s="20" t="s">
        <v>1490</v>
      </c>
      <c r="E4292" s="22">
        <f>IF(D4292="?OLD","!!!","")</f>
        <v/>
      </c>
      <c r="F4292" s="23" t="str">
        <f>IF(OR(E4292="",E4292="!!!"),"",IF(NOT(ISNA(VLOOKUP(E4292,E$1:E4291,1,FALSE()))),"OLD",IF(AND(E4292&lt;&gt;"",E4292&lt;&gt;"!!!"),"NEW","")))</f>
        <v> </v>
      </c>
      <c r="G4292" s="24" t="str">
        <f>IF(OR(E4292="",E4292="!!!"),"",IF(OR(J4292=0,AND(J4292=1,K4292=1),AND(J4292=1,I4292="SBJ"),AND(J4292=1,I4292=0)),"?IN_FOCUS",IF(J4292&lt;=2,"?ACTIVATED",IF(J4292&lt;&gt;"","?FAMILIAR",IF(F4292="NEW",IF(ISNA(VLOOKUP(E4292,#REF!,1,FALSE())),"?TYPE_IDENTIFIABLE","?REFERENTIAL"),"_")))))</f>
        <v> </v>
      </c>
      <c r="H4292" s="25" t="str">
        <f>IF(J4292&lt;&gt;1,"",IF(I4292="SBJ","CB","?"))</f>
        <v> </v>
      </c>
      <c r="I4292" s="26" t="str">
        <f>IF(OR(E4292="",E4292="!!!",F4292="NEW"),"",INDEX(B4291:B$2,-1+SUMPRODUCT(MAX(ROW(E4291:E$2)*(E4292=E4291:E$2)))))</f>
        <v> </v>
      </c>
      <c r="J4292" s="26" t="str">
        <f>IF(OR(E4292="",E4292="!!!",F4292="NEW"),"",COUNTBLANK(OFFSET(A$1,,,SUMPRODUCT(MAX(ROW(E$2:E4292)*(E4292=E$2:E4292)))))-COUNTBLANK(OFFSET(A$1,,,SUMPRODUCT(MAX(ROW(E$1:E4291)*(E2=E$1:E4291))))))</f>
        <v> </v>
      </c>
      <c r="K4292" s="26" t="str">
        <f>IF(OR(E4292="",E4292="!!!",F4292="NEW"),"",INDEX(J$1:J4291,SUMPRODUCT(MAX(ROW(E$1:E4291)*(E4292=E$1:E4291)))))</f>
        <v> </v>
      </c>
      <c r="L4292" s="27"/>
    </row>
    <row r="4293" spans="1:12">
      <c r="A4293" s="20" t="s">
        <v>1065</v>
      </c>
      <c r="B4293" s="21" t="s">
        <v>1029</v>
      </c>
      <c r="E4293" s="22">
        <f>IF(D4293="?OLD","!!!","")</f>
        <v/>
      </c>
      <c r="F4293" s="23" t="str">
        <f>IF(OR(E4293="",E4293="!!!"),"",IF(NOT(ISNA(VLOOKUP(E4293,E$1:E4292,1,FALSE()))),"OLD",IF(AND(E4293&lt;&gt;"",E4293&lt;&gt;"!!!"),"NEW","")))</f>
        <v> </v>
      </c>
      <c r="G4293" s="24" t="str">
        <f>IF(OR(E4293="",E4293="!!!"),"",IF(OR(J4293=0,AND(J4293=1,K4293=1),AND(J4293=1,I4293="SBJ"),AND(J4293=1,I4293=0)),"?IN_FOCUS",IF(J4293&lt;=2,"?ACTIVATED",IF(J4293&lt;&gt;"","?FAMILIAR",IF(F4293="NEW",IF(ISNA(VLOOKUP(E4293,#REF!,1,FALSE())),"?TYPE_IDENTIFIABLE","?REFERENTIAL"),"_")))))</f>
        <v> </v>
      </c>
      <c r="H4293" s="25" t="str">
        <f>IF(J4293&lt;&gt;1,"",IF(I4293="SBJ","CB","?"))</f>
        <v> </v>
      </c>
      <c r="I4293" s="26" t="str">
        <f>IF(OR(E4293="",E4293="!!!",F4293="NEW"),"",INDEX(B4292:B$2,-1+SUMPRODUCT(MAX(ROW(E4292:E$2)*(E4293=E4292:E$2)))))</f>
        <v> </v>
      </c>
      <c r="J4293" s="26" t="str">
        <f>IF(OR(E4293="",E4293="!!!",F4293="NEW"),"",COUNTBLANK(OFFSET(A$1,,,SUMPRODUCT(MAX(ROW(E$2:E4293)*(E4293=E$2:E4293)))))-COUNTBLANK(OFFSET(A$1,,,SUMPRODUCT(MAX(ROW(E$1:E4292)*(E2=E$1:E4292))))))</f>
        <v> </v>
      </c>
      <c r="K4293" s="26" t="str">
        <f>IF(OR(E4293="",E4293="!!!",F4293="NEW"),"",INDEX(J$1:J4292,SUMPRODUCT(MAX(ROW(E$1:E4292)*(E4293=E$1:E4292)))))</f>
        <v> </v>
      </c>
      <c r="L4293" s="27"/>
    </row>
    <row r="4294" spans="1:12">
      <c r="A4294" s="20" t="s">
        <v>1142</v>
      </c>
      <c r="E4294" s="22">
        <f>IF(D4294="?OLD","!!!","")</f>
        <v/>
      </c>
      <c r="F4294" s="23" t="str">
        <f>IF(OR(E4294="",E4294="!!!"),"",IF(NOT(ISNA(VLOOKUP(E4294,E$1:E4293,1,FALSE()))),"OLD",IF(AND(E4294&lt;&gt;"",E4294&lt;&gt;"!!!"),"NEW","")))</f>
        <v> </v>
      </c>
      <c r="G4294" s="24" t="str">
        <f>IF(OR(E4294="",E4294="!!!"),"",IF(OR(J4294=0,AND(J4294=1,K4294=1),AND(J4294=1,I4294="SBJ"),AND(J4294=1,I4294=0)),"?IN_FOCUS",IF(J4294&lt;=2,"?ACTIVATED",IF(J4294&lt;&gt;"","?FAMILIAR",IF(F4294="NEW",IF(ISNA(VLOOKUP(E4294,#REF!,1,FALSE())),"?TYPE_IDENTIFIABLE","?REFERENTIAL"),"_")))))</f>
        <v> </v>
      </c>
      <c r="H4294" s="25" t="str">
        <f>IF(J4294&lt;&gt;1,"",IF(I4294="SBJ","CB","?"))</f>
        <v> </v>
      </c>
      <c r="I4294" s="26" t="str">
        <f>IF(OR(E4294="",E4294="!!!",F4294="NEW"),"",INDEX(B4293:B$2,-1+SUMPRODUCT(MAX(ROW(E4293:E$2)*(E4294=E4293:E$2)))))</f>
        <v> </v>
      </c>
      <c r="J4294" s="26" t="str">
        <f>IF(OR(E4294="",E4294="!!!",F4294="NEW"),"",COUNTBLANK(OFFSET(A$1,,,SUMPRODUCT(MAX(ROW(E$2:E4294)*(E4294=E$2:E4294)))))-COUNTBLANK(OFFSET(A$1,,,SUMPRODUCT(MAX(ROW(E$1:E4293)*(E2=E$1:E4293))))))</f>
        <v> </v>
      </c>
      <c r="K4294" s="26" t="str">
        <f>IF(OR(E4294="",E4294="!!!",F4294="NEW"),"",INDEX(J$1:J4293,SUMPRODUCT(MAX(ROW(E$1:E4293)*(E4294=E$1:E4293)))))</f>
        <v> </v>
      </c>
      <c r="L4294" s="27"/>
    </row>
    <row r="4295" spans="1:12">
      <c r="A4295" s="20" t="s">
        <v>1023</v>
      </c>
      <c r="E4295" s="22">
        <f>IF(D4295="?OLD","!!!","")</f>
        <v/>
      </c>
      <c r="F4295" s="23" t="str">
        <f>IF(OR(E4295="",E4295="!!!"),"",IF(NOT(ISNA(VLOOKUP(E4295,E$1:E4294,1,FALSE()))),"OLD",IF(AND(E4295&lt;&gt;"",E4295&lt;&gt;"!!!"),"NEW","")))</f>
        <v> </v>
      </c>
      <c r="G4295" s="24" t="str">
        <f>IF(OR(E4295="",E4295="!!!"),"",IF(OR(J4295=0,AND(J4295=1,K4295=1),AND(J4295=1,I4295="SBJ"),AND(J4295=1,I4295=0)),"?IN_FOCUS",IF(J4295&lt;=2,"?ACTIVATED",IF(J4295&lt;&gt;"","?FAMILIAR",IF(F4295="NEW",IF(ISNA(VLOOKUP(E4295,#REF!,1,FALSE())),"?TYPE_IDENTIFIABLE","?REFERENTIAL"),"_")))))</f>
        <v> </v>
      </c>
      <c r="H4295" s="25" t="str">
        <f>IF(J4295&lt;&gt;1,"",IF(I4295="SBJ","CB","?"))</f>
        <v> </v>
      </c>
      <c r="I4295" s="26" t="str">
        <f>IF(OR(E4295="",E4295="!!!",F4295="NEW"),"",INDEX(B4294:B$2,-1+SUMPRODUCT(MAX(ROW(E4294:E$2)*(E4295=E4294:E$2)))))</f>
        <v> </v>
      </c>
      <c r="J4295" s="26" t="str">
        <f>IF(OR(E4295="",E4295="!!!",F4295="NEW"),"",COUNTBLANK(OFFSET(A$1,,,SUMPRODUCT(MAX(ROW(E$2:E4295)*(E4295=E$2:E4295)))))-COUNTBLANK(OFFSET(A$1,,,SUMPRODUCT(MAX(ROW(E$1:E4294)*(E2=E$1:E4294))))))</f>
        <v> </v>
      </c>
      <c r="K4295" s="26" t="str">
        <f>IF(OR(E4295="",E4295="!!!",F4295="NEW"),"",INDEX(J$1:J4294,SUMPRODUCT(MAX(ROW(E$1:E4294)*(E4295=E$1:E4294)))))</f>
        <v> </v>
      </c>
      <c r="L4295" s="27"/>
    </row>
    <row r="4296" spans="1:12">
      <c r="A4296" s="20"/>
    </row>
    <row r="4297" spans="1:12">
      <c r="A4297" s="20" t="s">
        <v>2242</v>
      </c>
    </row>
    <row r="4298" spans="1:12">
      <c r="A4298" s="20" t="s">
        <v>1094</v>
      </c>
      <c r="E4298" s="22">
        <f>IF(D4298="?OLD","!!!","")</f>
        <v/>
      </c>
      <c r="F4298" s="23" t="str">
        <f>IF(OR(E4298="",E4298="!!!"),"",IF(NOT(ISNA(VLOOKUP(E4298,E$1:E4297,1,FALSE()))),"OLD",IF(AND(E4298&lt;&gt;"",E4298&lt;&gt;"!!!"),"NEW","")))</f>
        <v> </v>
      </c>
      <c r="G4298" s="24" t="str">
        <f>IF(OR(E4298="",E4298="!!!"),"",IF(OR(J4298=0,AND(J4298=1,K4298=1),AND(J4298=1,I4298="SBJ"),AND(J4298=1,I4298=0)),"?IN_FOCUS",IF(J4298&lt;=2,"?ACTIVATED",IF(J4298&lt;&gt;"","?FAMILIAR",IF(F4298="NEW",IF(ISNA(VLOOKUP(E4298,#REF!,1,FALSE())),"?TYPE_IDENTIFIABLE","?REFERENTIAL"),"_")))))</f>
        <v> </v>
      </c>
      <c r="H4298" s="25" t="str">
        <f>IF(J4298&lt;&gt;1,"",IF(I4298="SBJ","CB","?"))</f>
        <v> </v>
      </c>
      <c r="I4298" s="26" t="str">
        <f>IF(OR(E4298="",E4298="!!!",F4298="NEW"),"",INDEX(B4297:B$2,-1+SUMPRODUCT(MAX(ROW(E4297:E$2)*(E4298=E4297:E$2)))))</f>
        <v> </v>
      </c>
      <c r="J4298" s="26" t="str">
        <f>IF(OR(E4298="",E4298="!!!",F4298="NEW"),"",COUNTBLANK(OFFSET(A$1,,,SUMPRODUCT(MAX(ROW(E$2:E4298)*(E4298=E$2:E4298)))))-COUNTBLANK(OFFSET(A$1,,,SUMPRODUCT(MAX(ROW(E$1:E4297)*(E2=E$1:E4297))))))</f>
        <v> </v>
      </c>
      <c r="K4298" s="26" t="str">
        <f>IF(OR(E4298="",E4298="!!!",F4298="NEW"),"",INDEX(J$1:J4297,SUMPRODUCT(MAX(ROW(E$1:E4297)*(E4298=E$1:E4297)))))</f>
        <v> </v>
      </c>
      <c r="L4298" s="27"/>
    </row>
    <row r="4299" spans="1:12">
      <c r="A4299" s="20" t="s">
        <v>1009</v>
      </c>
      <c r="E4299" s="22">
        <f>IF(D4299="?OLD","!!!","")</f>
        <v/>
      </c>
      <c r="F4299" s="23" t="str">
        <f>IF(OR(E4299="",E4299="!!!"),"",IF(NOT(ISNA(VLOOKUP(E4299,E$1:E4298,1,FALSE()))),"OLD",IF(AND(E4299&lt;&gt;"",E4299&lt;&gt;"!!!"),"NEW","")))</f>
        <v> </v>
      </c>
      <c r="G4299" s="24" t="str">
        <f>IF(OR(E4299="",E4299="!!!"),"",IF(OR(J4299=0,AND(J4299=1,K4299=1),AND(J4299=1,I4299="SBJ"),AND(J4299=1,I4299=0)),"?IN_FOCUS",IF(J4299&lt;=2,"?ACTIVATED",IF(J4299&lt;&gt;"","?FAMILIAR",IF(F4299="NEW",IF(ISNA(VLOOKUP(E4299,#REF!,1,FALSE())),"?TYPE_IDENTIFIABLE","?REFERENTIAL"),"_")))))</f>
        <v> </v>
      </c>
      <c r="H4299" s="25" t="str">
        <f>IF(J4299&lt;&gt;1,"",IF(I4299="SBJ","CB","?"))</f>
        <v> </v>
      </c>
      <c r="I4299" s="26" t="str">
        <f>IF(OR(E4299="",E4299="!!!",F4299="NEW"),"",INDEX(B4298:B$2,-1+SUMPRODUCT(MAX(ROW(E4298:E$2)*(E4299=E4298:E$2)))))</f>
        <v> </v>
      </c>
      <c r="J4299" s="26" t="str">
        <f>IF(OR(E4299="",E4299="!!!",F4299="NEW"),"",COUNTBLANK(OFFSET(A$1,,,SUMPRODUCT(MAX(ROW(E$2:E4299)*(E4299=E$2:E4299)))))-COUNTBLANK(OFFSET(A$1,,,SUMPRODUCT(MAX(ROW(E$1:E4298)*(E2=E$1:E4298))))))</f>
        <v> </v>
      </c>
      <c r="K4299" s="26" t="str">
        <f>IF(OR(E4299="",E4299="!!!",F4299="NEW"),"",INDEX(J$1:J4298,SUMPRODUCT(MAX(ROW(E$1:E4298)*(E4299=E$1:E4298)))))</f>
        <v> </v>
      </c>
      <c r="L4299" s="27"/>
    </row>
    <row r="4300" spans="1:12">
      <c r="A4300" s="20" t="s">
        <v>2243</v>
      </c>
      <c r="B4300" s="21" t="s">
        <v>1050</v>
      </c>
      <c r="C4300" s="21" t="s">
        <v>1082</v>
      </c>
      <c r="D4300" s="21" t="s">
        <v>1007</v>
      </c>
      <c r="E4300" s="22">
        <f>IF(D4300="?OLD","!!!","")</f>
        <v/>
      </c>
      <c r="F4300" s="23" t="str">
        <f>IF(OR(E4300="",E4300="!!!"),"",IF(NOT(ISNA(VLOOKUP(E4300,E$1:E4299,1,FALSE()))),"OLD",IF(AND(E4300&lt;&gt;"",E4300&lt;&gt;"!!!"),"NEW","")))</f>
        <v> </v>
      </c>
      <c r="G4300" s="24" t="str">
        <f>IF(OR(E4300="",E4300="!!!"),"",IF(OR(J4300=0,AND(J4300=1,K4300=1),AND(J4300=1,I4300="SBJ"),AND(J4300=1,I4300=0)),"?IN_FOCUS",IF(J4300&lt;=2,"?ACTIVATED",IF(J4300&lt;&gt;"","?FAMILIAR",IF(F4300="NEW",IF(ISNA(VLOOKUP(E4300,#REF!,1,FALSE())),"?TYPE_IDENTIFIABLE","?REFERENTIAL"),"_")))))</f>
        <v> </v>
      </c>
      <c r="H4300" s="25" t="str">
        <f>IF(J4300&lt;&gt;1,"",IF(I4300="SBJ","CB","?"))</f>
        <v> </v>
      </c>
      <c r="I4300" s="26" t="str">
        <f>IF(OR(E4300="",E4300="!!!",F4300="NEW"),"",INDEX(B4299:B$2,-1+SUMPRODUCT(MAX(ROW(E4299:E$2)*(E4300=E4299:E$2)))))</f>
        <v> </v>
      </c>
      <c r="J4300" s="26" t="str">
        <f>IF(OR(E4300="",E4300="!!!",F4300="NEW"),"",COUNTBLANK(OFFSET(A$1,,,SUMPRODUCT(MAX(ROW(E$2:E4300)*(E4300=E$2:E4300)))))-COUNTBLANK(OFFSET(A$1,,,SUMPRODUCT(MAX(ROW(E$1:E4299)*(E2=E$1:E4299))))))</f>
        <v> </v>
      </c>
      <c r="K4300" s="26" t="str">
        <f>IF(OR(E4300="",E4300="!!!",F4300="NEW"),"",INDEX(J$1:J4299,SUMPRODUCT(MAX(ROW(E$1:E4299)*(E4300=E$1:E4299)))))</f>
        <v> </v>
      </c>
      <c r="L4300" s="27"/>
    </row>
    <row r="4301" spans="1:12">
      <c r="A4301" s="20" t="s">
        <v>1948</v>
      </c>
      <c r="E4301" s="22">
        <f>IF(D4301="?OLD","!!!","")</f>
        <v/>
      </c>
      <c r="F4301" s="23" t="str">
        <f>IF(OR(E4301="",E4301="!!!"),"",IF(NOT(ISNA(VLOOKUP(E4301,E$1:E4300,1,FALSE()))),"OLD",IF(AND(E4301&lt;&gt;"",E4301&lt;&gt;"!!!"),"NEW","")))</f>
        <v> </v>
      </c>
      <c r="G4301" s="24" t="str">
        <f>IF(OR(E4301="",E4301="!!!"),"",IF(OR(J4301=0,AND(J4301=1,K4301=1),AND(J4301=1,I4301="SBJ"),AND(J4301=1,I4301=0)),"?IN_FOCUS",IF(J4301&lt;=2,"?ACTIVATED",IF(J4301&lt;&gt;"","?FAMILIAR",IF(F4301="NEW",IF(ISNA(VLOOKUP(E4301,#REF!,1,FALSE())),"?TYPE_IDENTIFIABLE","?REFERENTIAL"),"_")))))</f>
        <v> </v>
      </c>
      <c r="H4301" s="25" t="str">
        <f>IF(J4301&lt;&gt;1,"",IF(I4301="SBJ","CB","?"))</f>
        <v> </v>
      </c>
      <c r="I4301" s="26" t="str">
        <f>IF(OR(E4301="",E4301="!!!",F4301="NEW"),"",INDEX(B4300:B$2,-1+SUMPRODUCT(MAX(ROW(E4300:E$2)*(E4301=E4300:E$2)))))</f>
        <v> </v>
      </c>
      <c r="J4301" s="26" t="str">
        <f>IF(OR(E4301="",E4301="!!!",F4301="NEW"),"",COUNTBLANK(OFFSET(A$1,,,SUMPRODUCT(MAX(ROW(E$2:E4301)*(E4301=E$2:E4301)))))-COUNTBLANK(OFFSET(A$1,,,SUMPRODUCT(MAX(ROW(E$1:E4300)*(E2=E$1:E4300))))))</f>
        <v> </v>
      </c>
      <c r="K4301" s="26" t="str">
        <f>IF(OR(E4301="",E4301="!!!",F4301="NEW"),"",INDEX(J$1:J4300,SUMPRODUCT(MAX(ROW(E$1:E4300)*(E4301=E$1:E4300)))))</f>
        <v> </v>
      </c>
      <c r="L4301" s="27"/>
    </row>
    <row r="4302" spans="1:12">
      <c r="A4302" s="20" t="s">
        <v>1065</v>
      </c>
      <c r="E4302" s="22">
        <f>IF(D4302="?OLD","!!!","")</f>
        <v/>
      </c>
      <c r="F4302" s="23" t="str">
        <f>IF(OR(E4302="",E4302="!!!"),"",IF(NOT(ISNA(VLOOKUP(E4302,E$1:E4301,1,FALSE()))),"OLD",IF(AND(E4302&lt;&gt;"",E4302&lt;&gt;"!!!"),"NEW","")))</f>
        <v> </v>
      </c>
      <c r="G4302" s="24" t="str">
        <f>IF(OR(E4302="",E4302="!!!"),"",IF(OR(J4302=0,AND(J4302=1,K4302=1),AND(J4302=1,I4302="SBJ"),AND(J4302=1,I4302=0)),"?IN_FOCUS",IF(J4302&lt;=2,"?ACTIVATED",IF(J4302&lt;&gt;"","?FAMILIAR",IF(F4302="NEW",IF(ISNA(VLOOKUP(E4302,#REF!,1,FALSE())),"?TYPE_IDENTIFIABLE","?REFERENTIAL"),"_")))))</f>
        <v> </v>
      </c>
      <c r="H4302" s="25" t="str">
        <f>IF(J4302&lt;&gt;1,"",IF(I4302="SBJ","CB","?"))</f>
        <v> </v>
      </c>
      <c r="I4302" s="26" t="str">
        <f>IF(OR(E4302="",E4302="!!!",F4302="NEW"),"",INDEX(B4301:B$2,-1+SUMPRODUCT(MAX(ROW(E4301:E$2)*(E4302=E4301:E$2)))))</f>
        <v> </v>
      </c>
      <c r="J4302" s="26" t="str">
        <f>IF(OR(E4302="",E4302="!!!",F4302="NEW"),"",COUNTBLANK(OFFSET(A$1,,,SUMPRODUCT(MAX(ROW(E$2:E4302)*(E4302=E$2:E4302)))))-COUNTBLANK(OFFSET(A$1,,,SUMPRODUCT(MAX(ROW(E$1:E4301)*(E2=E$1:E4301))))))</f>
        <v> </v>
      </c>
      <c r="K4302" s="26" t="str">
        <f>IF(OR(E4302="",E4302="!!!",F4302="NEW"),"",INDEX(J$1:J4301,SUMPRODUCT(MAX(ROW(E$1:E4301)*(E4302=E$1:E4301)))))</f>
        <v> </v>
      </c>
      <c r="L4302" s="27"/>
    </row>
    <row r="4303" spans="1:12">
      <c r="A4303" s="20" t="s">
        <v>1224</v>
      </c>
      <c r="B4303" s="21" t="s">
        <v>1119</v>
      </c>
      <c r="C4303" s="21" t="s">
        <v>1082</v>
      </c>
      <c r="D4303" s="21" t="s">
        <v>1007</v>
      </c>
      <c r="E4303" s="22">
        <f>IF(D4303="?OLD","!!!","")</f>
        <v/>
      </c>
      <c r="F4303" s="23" t="str">
        <f>IF(OR(E4303="",E4303="!!!"),"",IF(NOT(ISNA(VLOOKUP(E4303,E$1:E4302,1,FALSE()))),"OLD",IF(AND(E4303&lt;&gt;"",E4303&lt;&gt;"!!!"),"NEW","")))</f>
        <v> </v>
      </c>
      <c r="G4303" s="24" t="str">
        <f>IF(OR(E4303="",E4303="!!!"),"",IF(OR(J4303=0,AND(J4303=1,K4303=1),AND(J4303=1,I4303="SBJ"),AND(J4303=1,I4303=0)),"?IN_FOCUS",IF(J4303&lt;=2,"?ACTIVATED",IF(J4303&lt;&gt;"","?FAMILIAR",IF(F4303="NEW",IF(ISNA(VLOOKUP(E4303,#REF!,1,FALSE())),"?TYPE_IDENTIFIABLE","?REFERENTIAL"),"_")))))</f>
        <v> </v>
      </c>
      <c r="H4303" s="25" t="str">
        <f>IF(J4303&lt;&gt;1,"",IF(I4303="SBJ","CB","?"))</f>
        <v> </v>
      </c>
      <c r="I4303" s="26" t="str">
        <f>IF(OR(E4303="",E4303="!!!",F4303="NEW"),"",INDEX(B4302:B$2,-1+SUMPRODUCT(MAX(ROW(E4302:E$2)*(E4303=E4302:E$2)))))</f>
        <v> </v>
      </c>
      <c r="J4303" s="26" t="str">
        <f>IF(OR(E4303="",E4303="!!!",F4303="NEW"),"",COUNTBLANK(OFFSET(A$1,,,SUMPRODUCT(MAX(ROW(E$2:E4303)*(E4303=E$2:E4303)))))-COUNTBLANK(OFFSET(A$1,,,SUMPRODUCT(MAX(ROW(E$1:E4302)*(E2=E$1:E4302))))))</f>
        <v> </v>
      </c>
      <c r="K4303" s="26" t="str">
        <f>IF(OR(E4303="",E4303="!!!",F4303="NEW"),"",INDEX(J$1:J4302,SUMPRODUCT(MAX(ROW(E$1:E4302)*(E4303=E$1:E4302)))))</f>
        <v> </v>
      </c>
      <c r="L4303" s="27"/>
    </row>
    <row r="4304" spans="1:12">
      <c r="A4304" s="20" t="s">
        <v>1520</v>
      </c>
      <c r="E4304" s="22">
        <f>IF(D4304="?OLD","!!!","")</f>
        <v/>
      </c>
      <c r="F4304" s="23" t="str">
        <f>IF(OR(E4304="",E4304="!!!"),"",IF(NOT(ISNA(VLOOKUP(E4304,E$1:E4303,1,FALSE()))),"OLD",IF(AND(E4304&lt;&gt;"",E4304&lt;&gt;"!!!"),"NEW","")))</f>
        <v> </v>
      </c>
      <c r="G4304" s="24" t="str">
        <f>IF(OR(E4304="",E4304="!!!"),"",IF(OR(J4304=0,AND(J4304=1,K4304=1),AND(J4304=1,I4304="SBJ"),AND(J4304=1,I4304=0)),"?IN_FOCUS",IF(J4304&lt;=2,"?ACTIVATED",IF(J4304&lt;&gt;"","?FAMILIAR",IF(F4304="NEW",IF(ISNA(VLOOKUP(E4304,#REF!,1,FALSE())),"?TYPE_IDENTIFIABLE","?REFERENTIAL"),"_")))))</f>
        <v> </v>
      </c>
      <c r="H4304" s="25" t="str">
        <f>IF(J4304&lt;&gt;1,"",IF(I4304="SBJ","CB","?"))</f>
        <v> </v>
      </c>
      <c r="I4304" s="26" t="str">
        <f>IF(OR(E4304="",E4304="!!!",F4304="NEW"),"",INDEX(B4303:B$2,-1+SUMPRODUCT(MAX(ROW(E4303:E$2)*(E4304=E4303:E$2)))))</f>
        <v> </v>
      </c>
      <c r="J4304" s="26" t="str">
        <f>IF(OR(E4304="",E4304="!!!",F4304="NEW"),"",COUNTBLANK(OFFSET(A$1,,,SUMPRODUCT(MAX(ROW(E$2:E4304)*(E4304=E$2:E4304)))))-COUNTBLANK(OFFSET(A$1,,,SUMPRODUCT(MAX(ROW(E$1:E4303)*(E2=E$1:E4303))))))</f>
        <v> </v>
      </c>
      <c r="K4304" s="26" t="str">
        <f>IF(OR(E4304="",E4304="!!!",F4304="NEW"),"",INDEX(J$1:J4303,SUMPRODUCT(MAX(ROW(E$1:E4303)*(E4304=E$1:E4303)))))</f>
        <v> </v>
      </c>
      <c r="L4304" s="27"/>
    </row>
    <row r="4305" spans="1:12">
      <c r="A4305" s="20" t="s">
        <v>1324</v>
      </c>
      <c r="E4305" s="22">
        <f>IF(D4305="?OLD","!!!","")</f>
        <v/>
      </c>
      <c r="F4305" s="23" t="str">
        <f>IF(OR(E4305="",E4305="!!!"),"",IF(NOT(ISNA(VLOOKUP(E4305,E$1:E4304,1,FALSE()))),"OLD",IF(AND(E4305&lt;&gt;"",E4305&lt;&gt;"!!!"),"NEW","")))</f>
        <v> </v>
      </c>
      <c r="G4305" s="24" t="str">
        <f>IF(OR(E4305="",E4305="!!!"),"",IF(OR(J4305=0,AND(J4305=1,K4305=1),AND(J4305=1,I4305="SBJ"),AND(J4305=1,I4305=0)),"?IN_FOCUS",IF(J4305&lt;=2,"?ACTIVATED",IF(J4305&lt;&gt;"","?FAMILIAR",IF(F4305="NEW",IF(ISNA(VLOOKUP(E4305,#REF!,1,FALSE())),"?TYPE_IDENTIFIABLE","?REFERENTIAL"),"_")))))</f>
        <v> </v>
      </c>
      <c r="H4305" s="25" t="str">
        <f>IF(J4305&lt;&gt;1,"",IF(I4305="SBJ","CB","?"))</f>
        <v> </v>
      </c>
      <c r="I4305" s="26" t="str">
        <f>IF(OR(E4305="",E4305="!!!",F4305="NEW"),"",INDEX(B4304:B$2,-1+SUMPRODUCT(MAX(ROW(E4304:E$2)*(E4305=E4304:E$2)))))</f>
        <v> </v>
      </c>
      <c r="J4305" s="26" t="str">
        <f>IF(OR(E4305="",E4305="!!!",F4305="NEW"),"",COUNTBLANK(OFFSET(A$1,,,SUMPRODUCT(MAX(ROW(E$2:E4305)*(E4305=E$2:E4305)))))-COUNTBLANK(OFFSET(A$1,,,SUMPRODUCT(MAX(ROW(E$1:E4304)*(E2=E$1:E4304))))))</f>
        <v> </v>
      </c>
      <c r="K4305" s="26" t="str">
        <f>IF(OR(E4305="",E4305="!!!",F4305="NEW"),"",INDEX(J$1:J4304,SUMPRODUCT(MAX(ROW(E$1:E4304)*(E4305=E$1:E4304)))))</f>
        <v> </v>
      </c>
      <c r="L4305" s="27"/>
    </row>
    <row r="4306" spans="1:12">
      <c r="A4306" s="20" t="s">
        <v>2244</v>
      </c>
      <c r="B4306" s="21" t="s">
        <v>1029</v>
      </c>
      <c r="C4306" s="21" t="s">
        <v>1111</v>
      </c>
      <c r="E4306" s="22">
        <f>IF(D4306="?OLD","!!!","")</f>
        <v/>
      </c>
      <c r="F4306" s="23" t="str">
        <f>IF(OR(E4306="",E4306="!!!"),"",IF(NOT(ISNA(VLOOKUP(E4306,E$1:E4305,1,FALSE()))),"OLD",IF(AND(E4306&lt;&gt;"",E4306&lt;&gt;"!!!"),"NEW","")))</f>
        <v> </v>
      </c>
      <c r="G4306" s="24" t="str">
        <f>IF(OR(E4306="",E4306="!!!"),"",IF(OR(J4306=0,AND(J4306=1,K4306=1),AND(J4306=1,I4306="SBJ"),AND(J4306=1,I4306=0)),"?IN_FOCUS",IF(J4306&lt;=2,"?ACTIVATED",IF(J4306&lt;&gt;"","?FAMILIAR",IF(F4306="NEW",IF(ISNA(VLOOKUP(E4306,#REF!,1,FALSE())),"?TYPE_IDENTIFIABLE","?REFERENTIAL"),"_")))))</f>
        <v> </v>
      </c>
      <c r="H4306" s="25" t="str">
        <f>IF(J4306&lt;&gt;1,"",IF(I4306="SBJ","CB","?"))</f>
        <v> </v>
      </c>
      <c r="I4306" s="26" t="str">
        <f>IF(OR(E4306="",E4306="!!!",F4306="NEW"),"",INDEX(B4305:B$2,-1+SUMPRODUCT(MAX(ROW(E4305:E$2)*(E4306=E4305:E$2)))))</f>
        <v> </v>
      </c>
      <c r="J4306" s="26" t="str">
        <f>IF(OR(E4306="",E4306="!!!",F4306="NEW"),"",COUNTBLANK(OFFSET(A$1,,,SUMPRODUCT(MAX(ROW(E$2:E4306)*(E4306=E$2:E4306)))))-COUNTBLANK(OFFSET(A$1,,,SUMPRODUCT(MAX(ROW(E$1:E4305)*(E2=E$1:E4305))))))</f>
        <v> </v>
      </c>
      <c r="K4306" s="26" t="str">
        <f>IF(OR(E4306="",E4306="!!!",F4306="NEW"),"",INDEX(J$1:J4305,SUMPRODUCT(MAX(ROW(E$1:E4305)*(E4306=E$1:E4305)))))</f>
        <v> </v>
      </c>
      <c r="L4306" s="27"/>
    </row>
    <row r="4307" spans="1:12">
      <c r="A4307" s="20" t="s">
        <v>1286</v>
      </c>
      <c r="E4307" s="22">
        <f>IF(D4307="?OLD","!!!","")</f>
        <v/>
      </c>
      <c r="F4307" s="23" t="str">
        <f>IF(OR(E4307="",E4307="!!!"),"",IF(NOT(ISNA(VLOOKUP(E4307,E$1:E4306,1,FALSE()))),"OLD",IF(AND(E4307&lt;&gt;"",E4307&lt;&gt;"!!!"),"NEW","")))</f>
        <v> </v>
      </c>
      <c r="G4307" s="24" t="str">
        <f>IF(OR(E4307="",E4307="!!!"),"",IF(OR(J4307=0,AND(J4307=1,K4307=1),AND(J4307=1,I4307="SBJ"),AND(J4307=1,I4307=0)),"?IN_FOCUS",IF(J4307&lt;=2,"?ACTIVATED",IF(J4307&lt;&gt;"","?FAMILIAR",IF(F4307="NEW",IF(ISNA(VLOOKUP(E4307,#REF!,1,FALSE())),"?TYPE_IDENTIFIABLE","?REFERENTIAL"),"_")))))</f>
        <v> </v>
      </c>
      <c r="H4307" s="25" t="str">
        <f>IF(J4307&lt;&gt;1,"",IF(I4307="SBJ","CB","?"))</f>
        <v> </v>
      </c>
      <c r="I4307" s="26" t="str">
        <f>IF(OR(E4307="",E4307="!!!",F4307="NEW"),"",INDEX(B4306:B$2,-1+SUMPRODUCT(MAX(ROW(E4306:E$2)*(E4307=E4306:E$2)))))</f>
        <v> </v>
      </c>
      <c r="J4307" s="26" t="str">
        <f>IF(OR(E4307="",E4307="!!!",F4307="NEW"),"",COUNTBLANK(OFFSET(A$1,,,SUMPRODUCT(MAX(ROW(E$2:E4307)*(E4307=E$2:E4307)))))-COUNTBLANK(OFFSET(A$1,,,SUMPRODUCT(MAX(ROW(E$1:E4306)*(E2=E$1:E4306))))))</f>
        <v> </v>
      </c>
      <c r="K4307" s="26" t="str">
        <f>IF(OR(E4307="",E4307="!!!",F4307="NEW"),"",INDEX(J$1:J4306,SUMPRODUCT(MAX(ROW(E$1:E4306)*(E4307=E$1:E4306)))))</f>
        <v> </v>
      </c>
      <c r="L4307" s="27"/>
    </row>
    <row r="4308" spans="1:12">
      <c r="A4308" s="20" t="s">
        <v>2245</v>
      </c>
      <c r="E4308" s="22">
        <f>IF(D4308="?OLD","!!!","")</f>
        <v/>
      </c>
      <c r="F4308" s="23" t="str">
        <f>IF(OR(E4308="",E4308="!!!"),"",IF(NOT(ISNA(VLOOKUP(E4308,E$1:E4307,1,FALSE()))),"OLD",IF(AND(E4308&lt;&gt;"",E4308&lt;&gt;"!!!"),"NEW","")))</f>
        <v> </v>
      </c>
      <c r="G4308" s="24" t="str">
        <f>IF(OR(E4308="",E4308="!!!"),"",IF(OR(J4308=0,AND(J4308=1,K4308=1),AND(J4308=1,I4308="SBJ"),AND(J4308=1,I4308=0)),"?IN_FOCUS",IF(J4308&lt;=2,"?ACTIVATED",IF(J4308&lt;&gt;"","?FAMILIAR",IF(F4308="NEW",IF(ISNA(VLOOKUP(E4308,#REF!,1,FALSE())),"?TYPE_IDENTIFIABLE","?REFERENTIAL"),"_")))))</f>
        <v> </v>
      </c>
      <c r="H4308" s="25" t="str">
        <f>IF(J4308&lt;&gt;1,"",IF(I4308="SBJ","CB","?"))</f>
        <v> </v>
      </c>
      <c r="I4308" s="26" t="str">
        <f>IF(OR(E4308="",E4308="!!!",F4308="NEW"),"",INDEX(B4307:B$2,-1+SUMPRODUCT(MAX(ROW(E4307:E$2)*(E4308=E4307:E$2)))))</f>
        <v> </v>
      </c>
      <c r="J4308" s="26" t="str">
        <f>IF(OR(E4308="",E4308="!!!",F4308="NEW"),"",COUNTBLANK(OFFSET(A$1,,,SUMPRODUCT(MAX(ROW(E$2:E4308)*(E4308=E$2:E4308)))))-COUNTBLANK(OFFSET(A$1,,,SUMPRODUCT(MAX(ROW(E$1:E4307)*(E2=E$1:E4307))))))</f>
        <v> </v>
      </c>
      <c r="K4308" s="26" t="str">
        <f>IF(OR(E4308="",E4308="!!!",F4308="NEW"),"",INDEX(J$1:J4307,SUMPRODUCT(MAX(ROW(E$1:E4307)*(E4308=E$1:E4307)))))</f>
        <v> </v>
      </c>
      <c r="L4308" s="27"/>
    </row>
    <row r="4309" spans="1:12">
      <c r="A4309" s="20" t="s">
        <v>1014</v>
      </c>
      <c r="E4309" s="22">
        <f>IF(D4309="?OLD","!!!","")</f>
        <v/>
      </c>
      <c r="F4309" s="23" t="str">
        <f>IF(OR(E4309="",E4309="!!!"),"",IF(NOT(ISNA(VLOOKUP(E4309,E$1:E4308,1,FALSE()))),"OLD",IF(AND(E4309&lt;&gt;"",E4309&lt;&gt;"!!!"),"NEW","")))</f>
        <v> </v>
      </c>
      <c r="G4309" s="24" t="str">
        <f>IF(OR(E4309="",E4309="!!!"),"",IF(OR(J4309=0,AND(J4309=1,K4309=1),AND(J4309=1,I4309="SBJ"),AND(J4309=1,I4309=0)),"?IN_FOCUS",IF(J4309&lt;=2,"?ACTIVATED",IF(J4309&lt;&gt;"","?FAMILIAR",IF(F4309="NEW",IF(ISNA(VLOOKUP(E4309,#REF!,1,FALSE())),"?TYPE_IDENTIFIABLE","?REFERENTIAL"),"_")))))</f>
        <v> </v>
      </c>
      <c r="H4309" s="25" t="str">
        <f>IF(J4309&lt;&gt;1,"",IF(I4309="SBJ","CB","?"))</f>
        <v> </v>
      </c>
      <c r="I4309" s="26" t="str">
        <f>IF(OR(E4309="",E4309="!!!",F4309="NEW"),"",INDEX(B4308:B$2,-1+SUMPRODUCT(MAX(ROW(E4308:E$2)*(E4309=E4308:E$2)))))</f>
        <v> </v>
      </c>
      <c r="J4309" s="26" t="str">
        <f>IF(OR(E4309="",E4309="!!!",F4309="NEW"),"",COUNTBLANK(OFFSET(A$1,,,SUMPRODUCT(MAX(ROW(E$2:E4309)*(E4309=E$2:E4309)))))-COUNTBLANK(OFFSET(A$1,,,SUMPRODUCT(MAX(ROW(E$1:E4308)*(E2=E$1:E4308))))))</f>
        <v> </v>
      </c>
      <c r="K4309" s="26" t="str">
        <f>IF(OR(E4309="",E4309="!!!",F4309="NEW"),"",INDEX(J$1:J4308,SUMPRODUCT(MAX(ROW(E$1:E4308)*(E4309=E$1:E4308)))))</f>
        <v> </v>
      </c>
      <c r="L4309" s="27"/>
    </row>
    <row r="4310" spans="1:12">
      <c r="A4310" s="20" t="s">
        <v>102</v>
      </c>
      <c r="B4310" s="21" t="s">
        <v>1040</v>
      </c>
      <c r="C4310" s="21" t="s">
        <v>1073</v>
      </c>
      <c r="D4310" s="21" t="s">
        <v>1007</v>
      </c>
      <c r="E4310" s="22">
        <f>IF(D4310="?OLD","!!!","")</f>
        <v/>
      </c>
      <c r="F4310" s="23" t="str">
        <f>IF(OR(E4310="",E4310="!!!"),"",IF(NOT(ISNA(VLOOKUP(E4310,E$1:E4309,1,FALSE()))),"OLD",IF(AND(E4310&lt;&gt;"",E4310&lt;&gt;"!!!"),"NEW","")))</f>
        <v> </v>
      </c>
      <c r="G4310" s="24" t="str">
        <f>IF(OR(E4310="",E4310="!!!"),"",IF(OR(J4310=0,AND(J4310=1,K4310=1),AND(J4310=1,I4310="SBJ"),AND(J4310=1,I4310=0)),"?IN_FOCUS",IF(J4310&lt;=2,"?ACTIVATED",IF(J4310&lt;&gt;"","?FAMILIAR",IF(F4310="NEW",IF(ISNA(VLOOKUP(E4310,#REF!,1,FALSE())),"?TYPE_IDENTIFIABLE","?REFERENTIAL"),"_")))))</f>
        <v> </v>
      </c>
      <c r="H4310" s="25" t="str">
        <f>IF(J4310&lt;&gt;1,"",IF(I4310="SBJ","CB","?"))</f>
        <v> </v>
      </c>
      <c r="I4310" s="26" t="str">
        <f>IF(OR(E4310="",E4310="!!!",F4310="NEW"),"",INDEX(B4309:B$2,-1+SUMPRODUCT(MAX(ROW(E4309:E$2)*(E4310=E4309:E$2)))))</f>
        <v> </v>
      </c>
      <c r="J4310" s="26" t="str">
        <f>IF(OR(E4310="",E4310="!!!",F4310="NEW"),"",COUNTBLANK(OFFSET(A$1,,,SUMPRODUCT(MAX(ROW(E$2:E4310)*(E4310=E$2:E4310)))))-COUNTBLANK(OFFSET(A$1,,,SUMPRODUCT(MAX(ROW(E$1:E4309)*(E2=E$1:E4309))))))</f>
        <v> </v>
      </c>
      <c r="K4310" s="26" t="str">
        <f>IF(OR(E4310="",E4310="!!!",F4310="NEW"),"",INDEX(J$1:J4309,SUMPRODUCT(MAX(ROW(E$1:E4309)*(E4310=E$1:E4309)))))</f>
        <v> </v>
      </c>
      <c r="L4310" s="27"/>
    </row>
    <row r="4311" spans="1:12">
      <c r="A4311" s="20" t="s">
        <v>1065</v>
      </c>
      <c r="E4311" s="22">
        <f>IF(D4311="?OLD","!!!","")</f>
        <v/>
      </c>
      <c r="F4311" s="23" t="str">
        <f>IF(OR(E4311="",E4311="!!!"),"",IF(NOT(ISNA(VLOOKUP(E4311,E$1:E4310,1,FALSE()))),"OLD",IF(AND(E4311&lt;&gt;"",E4311&lt;&gt;"!!!"),"NEW","")))</f>
        <v> </v>
      </c>
      <c r="G4311" s="24" t="str">
        <f>IF(OR(E4311="",E4311="!!!"),"",IF(OR(J4311=0,AND(J4311=1,K4311=1),AND(J4311=1,I4311="SBJ"),AND(J4311=1,I4311=0)),"?IN_FOCUS",IF(J4311&lt;=2,"?ACTIVATED",IF(J4311&lt;&gt;"","?FAMILIAR",IF(F4311="NEW",IF(ISNA(VLOOKUP(E4311,#REF!,1,FALSE())),"?TYPE_IDENTIFIABLE","?REFERENTIAL"),"_")))))</f>
        <v> </v>
      </c>
      <c r="H4311" s="25" t="str">
        <f>IF(J4311&lt;&gt;1,"",IF(I4311="SBJ","CB","?"))</f>
        <v> </v>
      </c>
      <c r="I4311" s="26" t="str">
        <f>IF(OR(E4311="",E4311="!!!",F4311="NEW"),"",INDEX(B4310:B$2,-1+SUMPRODUCT(MAX(ROW(E4310:E$2)*(E4311=E4310:E$2)))))</f>
        <v> </v>
      </c>
      <c r="J4311" s="26" t="str">
        <f>IF(OR(E4311="",E4311="!!!",F4311="NEW"),"",COUNTBLANK(OFFSET(A$1,,,SUMPRODUCT(MAX(ROW(E$2:E4311)*(E4311=E$2:E4311)))))-COUNTBLANK(OFFSET(A$1,,,SUMPRODUCT(MAX(ROW(E$1:E4310)*(E2=E$1:E4310))))))</f>
        <v> </v>
      </c>
      <c r="K4311" s="26" t="str">
        <f>IF(OR(E4311="",E4311="!!!",F4311="NEW"),"",INDEX(J$1:J4310,SUMPRODUCT(MAX(ROW(E$1:E4310)*(E4311=E$1:E4310)))))</f>
        <v> </v>
      </c>
      <c r="L4311" s="27"/>
    </row>
    <row r="4312" spans="1:12">
      <c r="A4312" s="20" t="s">
        <v>1020</v>
      </c>
      <c r="E4312" s="22">
        <f>IF(D4312="?OLD","!!!","")</f>
        <v/>
      </c>
      <c r="F4312" s="23" t="str">
        <f>IF(OR(E4312="",E4312="!!!"),"",IF(NOT(ISNA(VLOOKUP(E4312,E$1:E4311,1,FALSE()))),"OLD",IF(AND(E4312&lt;&gt;"",E4312&lt;&gt;"!!!"),"NEW","")))</f>
        <v> </v>
      </c>
      <c r="G4312" s="24" t="str">
        <f>IF(OR(E4312="",E4312="!!!"),"",IF(OR(J4312=0,AND(J4312=1,K4312=1),AND(J4312=1,I4312="SBJ"),AND(J4312=1,I4312=0)),"?IN_FOCUS",IF(J4312&lt;=2,"?ACTIVATED",IF(J4312&lt;&gt;"","?FAMILIAR",IF(F4312="NEW",IF(ISNA(VLOOKUP(E4312,#REF!,1,FALSE())),"?TYPE_IDENTIFIABLE","?REFERENTIAL"),"_")))))</f>
        <v> </v>
      </c>
      <c r="H4312" s="25" t="str">
        <f>IF(J4312&lt;&gt;1,"",IF(I4312="SBJ","CB","?"))</f>
        <v> </v>
      </c>
      <c r="I4312" s="26" t="str">
        <f>IF(OR(E4312="",E4312="!!!",F4312="NEW"),"",INDEX(B4311:B$2,-1+SUMPRODUCT(MAX(ROW(E4311:E$2)*(E4312=E4311:E$2)))))</f>
        <v> </v>
      </c>
      <c r="J4312" s="26" t="str">
        <f>IF(OR(E4312="",E4312="!!!",F4312="NEW"),"",COUNTBLANK(OFFSET(A$1,,,SUMPRODUCT(MAX(ROW(E$2:E4312)*(E4312=E$2:E4312)))))-COUNTBLANK(OFFSET(A$1,,,SUMPRODUCT(MAX(ROW(E$1:E4311)*(E2=E$1:E4311))))))</f>
        <v> </v>
      </c>
      <c r="K4312" s="26" t="str">
        <f>IF(OR(E4312="",E4312="!!!",F4312="NEW"),"",INDEX(J$1:J4311,SUMPRODUCT(MAX(ROW(E$1:E4311)*(E4312=E$1:E4311)))))</f>
        <v> </v>
      </c>
      <c r="L4312" s="27"/>
    </row>
    <row r="4313" spans="1:12">
      <c r="A4313" s="20" t="s">
        <v>2005</v>
      </c>
      <c r="B4313" s="21" t="s">
        <v>1035</v>
      </c>
      <c r="C4313" s="21" t="s">
        <v>1013</v>
      </c>
      <c r="D4313" s="21" t="s">
        <v>1007</v>
      </c>
      <c r="E4313" s="22">
        <f>IF(D4313="?OLD","!!!","")</f>
        <v/>
      </c>
      <c r="F4313" s="23" t="str">
        <f>IF(OR(E4313="",E4313="!!!"),"",IF(NOT(ISNA(VLOOKUP(E4313,E$1:E4312,1,FALSE()))),"OLD",IF(AND(E4313&lt;&gt;"",E4313&lt;&gt;"!!!"),"NEW","")))</f>
        <v> </v>
      </c>
      <c r="G4313" s="24" t="str">
        <f>IF(OR(E4313="",E4313="!!!"),"",IF(OR(J4313=0,AND(J4313=1,K4313=1),AND(J4313=1,I4313="SBJ"),AND(J4313=1,I4313=0)),"?IN_FOCUS",IF(J4313&lt;=2,"?ACTIVATED",IF(J4313&lt;&gt;"","?FAMILIAR",IF(F4313="NEW",IF(ISNA(VLOOKUP(E4313,#REF!,1,FALSE())),"?TYPE_IDENTIFIABLE","?REFERENTIAL"),"_")))))</f>
        <v> </v>
      </c>
      <c r="H4313" s="25" t="str">
        <f>IF(J4313&lt;&gt;1,"",IF(I4313="SBJ","CB","?"))</f>
        <v> </v>
      </c>
      <c r="I4313" s="26" t="str">
        <f>IF(OR(E4313="",E4313="!!!",F4313="NEW"),"",INDEX(B4312:B$2,-1+SUMPRODUCT(MAX(ROW(E4312:E$2)*(E4313=E4312:E$2)))))</f>
        <v> </v>
      </c>
      <c r="J4313" s="26" t="str">
        <f>IF(OR(E4313="",E4313="!!!",F4313="NEW"),"",COUNTBLANK(OFFSET(A$1,,,SUMPRODUCT(MAX(ROW(E$2:E4313)*(E4313=E$2:E4313)))))-COUNTBLANK(OFFSET(A$1,,,SUMPRODUCT(MAX(ROW(E$1:E4312)*(E2=E$1:E4312))))))</f>
        <v> </v>
      </c>
      <c r="K4313" s="26" t="str">
        <f>IF(OR(E4313="",E4313="!!!",F4313="NEW"),"",INDEX(J$1:J4312,SUMPRODUCT(MAX(ROW(E$1:E4312)*(E4313=E$1:E4312)))))</f>
        <v> </v>
      </c>
      <c r="L4313" s="27"/>
    </row>
    <row r="4314" spans="1:12">
      <c r="A4314" s="20" t="s">
        <v>2195</v>
      </c>
      <c r="E4314" s="22">
        <f>IF(D4314="?OLD","!!!","")</f>
        <v/>
      </c>
      <c r="F4314" s="23" t="str">
        <f>IF(OR(E4314="",E4314="!!!"),"",IF(NOT(ISNA(VLOOKUP(E4314,E$1:E4313,1,FALSE()))),"OLD",IF(AND(E4314&lt;&gt;"",E4314&lt;&gt;"!!!"),"NEW","")))</f>
        <v> </v>
      </c>
      <c r="G4314" s="24" t="str">
        <f>IF(OR(E4314="",E4314="!!!"),"",IF(OR(J4314=0,AND(J4314=1,K4314=1),AND(J4314=1,I4314="SBJ"),AND(J4314=1,I4314=0)),"?IN_FOCUS",IF(J4314&lt;=2,"?ACTIVATED",IF(J4314&lt;&gt;"","?FAMILIAR",IF(F4314="NEW",IF(ISNA(VLOOKUP(E4314,#REF!,1,FALSE())),"?TYPE_IDENTIFIABLE","?REFERENTIAL"),"_")))))</f>
        <v> </v>
      </c>
      <c r="H4314" s="25" t="str">
        <f>IF(J4314&lt;&gt;1,"",IF(I4314="SBJ","CB","?"))</f>
        <v> </v>
      </c>
      <c r="I4314" s="26" t="str">
        <f>IF(OR(E4314="",E4314="!!!",F4314="NEW"),"",INDEX(B4313:B$2,-1+SUMPRODUCT(MAX(ROW(E4313:E$2)*(E4314=E4313:E$2)))))</f>
        <v> </v>
      </c>
      <c r="J4314" s="26" t="str">
        <f>IF(OR(E4314="",E4314="!!!",F4314="NEW"),"",COUNTBLANK(OFFSET(A$1,,,SUMPRODUCT(MAX(ROW(E$2:E4314)*(E4314=E$2:E4314)))))-COUNTBLANK(OFFSET(A$1,,,SUMPRODUCT(MAX(ROW(E$1:E4313)*(E2=E$1:E4313))))))</f>
        <v> </v>
      </c>
      <c r="K4314" s="26" t="str">
        <f>IF(OR(E4314="",E4314="!!!",F4314="NEW"),"",INDEX(J$1:J4313,SUMPRODUCT(MAX(ROW(E$1:E4313)*(E4314=E$1:E4313)))))</f>
        <v> </v>
      </c>
      <c r="L4314" s="27"/>
    </row>
    <row r="4315" spans="1:12">
      <c r="A4315" s="20" t="s">
        <v>102</v>
      </c>
      <c r="E4315" s="22">
        <f>IF(D4315="?OLD","!!!","")</f>
        <v/>
      </c>
      <c r="F4315" s="23" t="str">
        <f>IF(OR(E4315="",E4315="!!!"),"",IF(NOT(ISNA(VLOOKUP(E4315,E$1:E4314,1,FALSE()))),"OLD",IF(AND(E4315&lt;&gt;"",E4315&lt;&gt;"!!!"),"NEW","")))</f>
        <v> </v>
      </c>
      <c r="G4315" s="24" t="str">
        <f>IF(OR(E4315="",E4315="!!!"),"",IF(OR(J4315=0,AND(J4315=1,K4315=1),AND(J4315=1,I4315="SBJ"),AND(J4315=1,I4315=0)),"?IN_FOCUS",IF(J4315&lt;=2,"?ACTIVATED",IF(J4315&lt;&gt;"","?FAMILIAR",IF(F4315="NEW",IF(ISNA(VLOOKUP(E4315,#REF!,1,FALSE())),"?TYPE_IDENTIFIABLE","?REFERENTIAL"),"_")))))</f>
        <v> </v>
      </c>
      <c r="H4315" s="25" t="str">
        <f>IF(J4315&lt;&gt;1,"",IF(I4315="SBJ","CB","?"))</f>
        <v> </v>
      </c>
      <c r="I4315" s="26" t="str">
        <f>IF(OR(E4315="",E4315="!!!",F4315="NEW"),"",INDEX(B4314:B$2,-1+SUMPRODUCT(MAX(ROW(E4314:E$2)*(E4315=E4314:E$2)))))</f>
        <v> </v>
      </c>
      <c r="J4315" s="26" t="str">
        <f>IF(OR(E4315="",E4315="!!!",F4315="NEW"),"",COUNTBLANK(OFFSET(A$1,,,SUMPRODUCT(MAX(ROW(E$2:E4315)*(E4315=E$2:E4315)))))-COUNTBLANK(OFFSET(A$1,,,SUMPRODUCT(MAX(ROW(E$1:E4314)*(E2=E$1:E4314))))))</f>
        <v> </v>
      </c>
      <c r="K4315" s="26" t="str">
        <f>IF(OR(E4315="",E4315="!!!",F4315="NEW"),"",INDEX(J$1:J4314,SUMPRODUCT(MAX(ROW(E$1:E4314)*(E4315=E$1:E4314)))))</f>
        <v> </v>
      </c>
      <c r="L4315" s="27"/>
    </row>
    <row r="4316" spans="1:12">
      <c r="A4316" s="20" t="s">
        <v>2196</v>
      </c>
      <c r="B4316" s="21" t="s">
        <v>1130</v>
      </c>
      <c r="C4316" s="21" t="s">
        <v>1017</v>
      </c>
      <c r="D4316" s="21" t="s">
        <v>1007</v>
      </c>
      <c r="E4316" s="22">
        <f>IF(D4316="?OLD","!!!","")</f>
        <v/>
      </c>
      <c r="F4316" s="23" t="str">
        <f>IF(OR(E4316="",E4316="!!!"),"",IF(NOT(ISNA(VLOOKUP(E4316,E$1:E4315,1,FALSE()))),"OLD",IF(AND(E4316&lt;&gt;"",E4316&lt;&gt;"!!!"),"NEW","")))</f>
        <v> </v>
      </c>
      <c r="G4316" s="24" t="str">
        <f>IF(OR(E4316="",E4316="!!!"),"",IF(OR(J4316=0,AND(J4316=1,K4316=1),AND(J4316=1,I4316="SBJ"),AND(J4316=1,I4316=0)),"?IN_FOCUS",IF(J4316&lt;=2,"?ACTIVATED",IF(J4316&lt;&gt;"","?FAMILIAR",IF(F4316="NEW",IF(ISNA(VLOOKUP(E4316,#REF!,1,FALSE())),"?TYPE_IDENTIFIABLE","?REFERENTIAL"),"_")))))</f>
        <v> </v>
      </c>
      <c r="H4316" s="25" t="str">
        <f>IF(J4316&lt;&gt;1,"",IF(I4316="SBJ","CB","?"))</f>
        <v> </v>
      </c>
      <c r="I4316" s="26" t="str">
        <f>IF(OR(E4316="",E4316="!!!",F4316="NEW"),"",INDEX(B4315:B$2,-1+SUMPRODUCT(MAX(ROW(E4315:E$2)*(E4316=E4315:E$2)))))</f>
        <v> </v>
      </c>
      <c r="J4316" s="26" t="str">
        <f>IF(OR(E4316="",E4316="!!!",F4316="NEW"),"",COUNTBLANK(OFFSET(A$1,,,SUMPRODUCT(MAX(ROW(E$2:E4316)*(E4316=E$2:E4316)))))-COUNTBLANK(OFFSET(A$1,,,SUMPRODUCT(MAX(ROW(E$1:E4315)*(E2=E$1:E4315))))))</f>
        <v> </v>
      </c>
      <c r="K4316" s="26" t="str">
        <f>IF(OR(E4316="",E4316="!!!",F4316="NEW"),"",INDEX(J$1:J4315,SUMPRODUCT(MAX(ROW(E$1:E4315)*(E4316=E$1:E4315)))))</f>
        <v> </v>
      </c>
      <c r="L4316" s="27"/>
    </row>
    <row r="4317" spans="1:12">
      <c r="A4317" s="20" t="s">
        <v>1077</v>
      </c>
      <c r="E4317" s="22">
        <f>IF(D4317="?OLD","!!!","")</f>
        <v/>
      </c>
      <c r="F4317" s="23" t="str">
        <f>IF(OR(E4317="",E4317="!!!"),"",IF(NOT(ISNA(VLOOKUP(E4317,E$1:E4316,1,FALSE()))),"OLD",IF(AND(E4317&lt;&gt;"",E4317&lt;&gt;"!!!"),"NEW","")))</f>
        <v> </v>
      </c>
      <c r="G4317" s="24" t="str">
        <f>IF(OR(E4317="",E4317="!!!"),"",IF(OR(J4317=0,AND(J4317=1,K4317=1),AND(J4317=1,I4317="SBJ"),AND(J4317=1,I4317=0)),"?IN_FOCUS",IF(J4317&lt;=2,"?ACTIVATED",IF(J4317&lt;&gt;"","?FAMILIAR",IF(F4317="NEW",IF(ISNA(VLOOKUP(E4317,#REF!,1,FALSE())),"?TYPE_IDENTIFIABLE","?REFERENTIAL"),"_")))))</f>
        <v> </v>
      </c>
      <c r="H4317" s="25" t="str">
        <f>IF(J4317&lt;&gt;1,"",IF(I4317="SBJ","CB","?"))</f>
        <v> </v>
      </c>
      <c r="I4317" s="26" t="str">
        <f>IF(OR(E4317="",E4317="!!!",F4317="NEW"),"",INDEX(B4316:B$2,-1+SUMPRODUCT(MAX(ROW(E4316:E$2)*(E4317=E4316:E$2)))))</f>
        <v> </v>
      </c>
      <c r="J4317" s="26" t="str">
        <f>IF(OR(E4317="",E4317="!!!",F4317="NEW"),"",COUNTBLANK(OFFSET(A$1,,,SUMPRODUCT(MAX(ROW(E$2:E4317)*(E4317=E$2:E4317)))))-COUNTBLANK(OFFSET(A$1,,,SUMPRODUCT(MAX(ROW(E$1:E4316)*(E2=E$1:E4316))))))</f>
        <v> </v>
      </c>
      <c r="K4317" s="26" t="str">
        <f>IF(OR(E4317="",E4317="!!!",F4317="NEW"),"",INDEX(J$1:J4316,SUMPRODUCT(MAX(ROW(E$1:E4316)*(E4317=E$1:E4316)))))</f>
        <v> </v>
      </c>
      <c r="L4317" s="27"/>
    </row>
    <row r="4318" spans="1:12">
      <c r="A4318" s="20"/>
    </row>
    <row r="4319" spans="1:12">
      <c r="A4319" s="20" t="s">
        <v>2246</v>
      </c>
    </row>
    <row r="4320" spans="1:12">
      <c r="A4320" s="20" t="s">
        <v>1118</v>
      </c>
      <c r="B4320" s="21" t="s">
        <v>1119</v>
      </c>
      <c r="C4320" s="21" t="s">
        <v>1048</v>
      </c>
      <c r="E4320" s="22">
        <f>IF(D4320="?OLD","!!!","")</f>
        <v/>
      </c>
      <c r="F4320" s="23" t="str">
        <f>IF(OR(E4320="",E4320="!!!"),"",IF(NOT(ISNA(VLOOKUP(E4320,E$1:E4319,1,FALSE()))),"OLD",IF(AND(E4320&lt;&gt;"",E4320&lt;&gt;"!!!"),"NEW","")))</f>
        <v> </v>
      </c>
      <c r="G4320" s="24" t="str">
        <f>IF(OR(E4320="",E4320="!!!"),"",IF(OR(J4320=0,AND(J4320=1,K4320=1),AND(J4320=1,I4320="SBJ"),AND(J4320=1,I4320=0)),"?IN_FOCUS",IF(J4320&lt;=2,"?ACTIVATED",IF(J4320&lt;&gt;"","?FAMILIAR",IF(F4320="NEW",IF(ISNA(VLOOKUP(E4320,#REF!,1,FALSE())),"?TYPE_IDENTIFIABLE","?REFERENTIAL"),"_")))))</f>
        <v> </v>
      </c>
      <c r="H4320" s="25" t="str">
        <f>IF(J4320&lt;&gt;1,"",IF(I4320="SBJ","CB","?"))</f>
        <v> </v>
      </c>
      <c r="I4320" s="26" t="str">
        <f>IF(OR(E4320="",E4320="!!!",F4320="NEW"),"",INDEX(B4319:B$2,-1+SUMPRODUCT(MAX(ROW(E4319:E$2)*(E4320=E4319:E$2)))))</f>
        <v> </v>
      </c>
      <c r="J4320" s="26" t="str">
        <f>IF(OR(E4320="",E4320="!!!",F4320="NEW"),"",COUNTBLANK(OFFSET(A$1,,,SUMPRODUCT(MAX(ROW(E$2:E4320)*(E4320=E$2:E4320)))))-COUNTBLANK(OFFSET(A$1,,,SUMPRODUCT(MAX(ROW(E$1:E4319)*(E2=E$1:E4319))))))</f>
        <v> </v>
      </c>
      <c r="K4320" s="26" t="str">
        <f>IF(OR(E4320="",E4320="!!!",F4320="NEW"),"",INDEX(J$1:J4319,SUMPRODUCT(MAX(ROW(E$1:E4319)*(E4320=E$1:E4319)))))</f>
        <v> </v>
      </c>
      <c r="L4320" s="27"/>
    </row>
    <row r="4321" spans="1:12">
      <c r="A4321" s="20" t="s">
        <v>1009</v>
      </c>
      <c r="E4321" s="22">
        <f>IF(D4321="?OLD","!!!","")</f>
        <v/>
      </c>
      <c r="F4321" s="23" t="str">
        <f>IF(OR(E4321="",E4321="!!!"),"",IF(NOT(ISNA(VLOOKUP(E4321,E$1:E4320,1,FALSE()))),"OLD",IF(AND(E4321&lt;&gt;"",E4321&lt;&gt;"!!!"),"NEW","")))</f>
        <v> </v>
      </c>
      <c r="G4321" s="24" t="str">
        <f>IF(OR(E4321="",E4321="!!!"),"",IF(OR(J4321=0,AND(J4321=1,K4321=1),AND(J4321=1,I4321="SBJ"),AND(J4321=1,I4321=0)),"?IN_FOCUS",IF(J4321&lt;=2,"?ACTIVATED",IF(J4321&lt;&gt;"","?FAMILIAR",IF(F4321="NEW",IF(ISNA(VLOOKUP(E4321,#REF!,1,FALSE())),"?TYPE_IDENTIFIABLE","?REFERENTIAL"),"_")))))</f>
        <v> </v>
      </c>
      <c r="H4321" s="25" t="str">
        <f>IF(J4321&lt;&gt;1,"",IF(I4321="SBJ","CB","?"))</f>
        <v> </v>
      </c>
      <c r="I4321" s="26" t="str">
        <f>IF(OR(E4321="",E4321="!!!",F4321="NEW"),"",INDEX(B4320:B$2,-1+SUMPRODUCT(MAX(ROW(E4320:E$2)*(E4321=E4320:E$2)))))</f>
        <v> </v>
      </c>
      <c r="J4321" s="26" t="str">
        <f>IF(OR(E4321="",E4321="!!!",F4321="NEW"),"",COUNTBLANK(OFFSET(A$1,,,SUMPRODUCT(MAX(ROW(E$2:E4321)*(E4321=E$2:E4321)))))-COUNTBLANK(OFFSET(A$1,,,SUMPRODUCT(MAX(ROW(E$1:E4320)*(E2=E$1:E4320))))))</f>
        <v> </v>
      </c>
      <c r="K4321" s="26" t="str">
        <f>IF(OR(E4321="",E4321="!!!",F4321="NEW"),"",INDEX(J$1:J4320,SUMPRODUCT(MAX(ROW(E$1:E4320)*(E4321=E$1:E4320)))))</f>
        <v> </v>
      </c>
      <c r="L4321" s="27"/>
    </row>
    <row r="4322" spans="1:12">
      <c r="A4322" s="20" t="s">
        <v>2247</v>
      </c>
      <c r="B4322" s="21" t="s">
        <v>1033</v>
      </c>
      <c r="C4322" s="21" t="s">
        <v>1006</v>
      </c>
      <c r="D4322" s="21" t="s">
        <v>1007</v>
      </c>
      <c r="E4322" s="22">
        <f>IF(D4322="?OLD","!!!","")</f>
        <v/>
      </c>
      <c r="F4322" s="23" t="str">
        <f>IF(OR(E4322="",E4322="!!!"),"",IF(NOT(ISNA(VLOOKUP(E4322,E$1:E4321,1,FALSE()))),"OLD",IF(AND(E4322&lt;&gt;"",E4322&lt;&gt;"!!!"),"NEW","")))</f>
        <v> </v>
      </c>
      <c r="G4322" s="24" t="str">
        <f>IF(OR(E4322="",E4322="!!!"),"",IF(OR(J4322=0,AND(J4322=1,K4322=1),AND(J4322=1,I4322="SBJ"),AND(J4322=1,I4322=0)),"?IN_FOCUS",IF(J4322&lt;=2,"?ACTIVATED",IF(J4322&lt;&gt;"","?FAMILIAR",IF(F4322="NEW",IF(ISNA(VLOOKUP(E4322,#REF!,1,FALSE())),"?TYPE_IDENTIFIABLE","?REFERENTIAL"),"_")))))</f>
        <v> </v>
      </c>
      <c r="H4322" s="25" t="str">
        <f>IF(J4322&lt;&gt;1,"",IF(I4322="SBJ","CB","?"))</f>
        <v> </v>
      </c>
      <c r="I4322" s="26" t="str">
        <f>IF(OR(E4322="",E4322="!!!",F4322="NEW"),"",INDEX(B4321:B$2,-1+SUMPRODUCT(MAX(ROW(E4321:E$2)*(E4322=E4321:E$2)))))</f>
        <v> </v>
      </c>
      <c r="J4322" s="26" t="str">
        <f>IF(OR(E4322="",E4322="!!!",F4322="NEW"),"",COUNTBLANK(OFFSET(A$1,,,SUMPRODUCT(MAX(ROW(E$2:E4322)*(E4322=E$2:E4322)))))-COUNTBLANK(OFFSET(A$1,,,SUMPRODUCT(MAX(ROW(E$1:E4321)*(E2=E$1:E4321))))))</f>
        <v> </v>
      </c>
      <c r="K4322" s="26" t="str">
        <f>IF(OR(E4322="",E4322="!!!",F4322="NEW"),"",INDEX(J$1:J4321,SUMPRODUCT(MAX(ROW(E$1:E4321)*(E4322=E$1:E4321)))))</f>
        <v> </v>
      </c>
      <c r="L4322" s="27"/>
    </row>
    <row r="4323" spans="1:12">
      <c r="A4323" s="20" t="s">
        <v>1018</v>
      </c>
      <c r="E4323" s="22">
        <f>IF(D4323="?OLD","!!!","")</f>
        <v/>
      </c>
      <c r="F4323" s="23" t="str">
        <f>IF(OR(E4323="",E4323="!!!"),"",IF(NOT(ISNA(VLOOKUP(E4323,E$1:E4322,1,FALSE()))),"OLD",IF(AND(E4323&lt;&gt;"",E4323&lt;&gt;"!!!"),"NEW","")))</f>
        <v> </v>
      </c>
      <c r="G4323" s="24" t="str">
        <f>IF(OR(E4323="",E4323="!!!"),"",IF(OR(J4323=0,AND(J4323=1,K4323=1),AND(J4323=1,I4323="SBJ"),AND(J4323=1,I4323=0)),"?IN_FOCUS",IF(J4323&lt;=2,"?ACTIVATED",IF(J4323&lt;&gt;"","?FAMILIAR",IF(F4323="NEW",IF(ISNA(VLOOKUP(E4323,#REF!,1,FALSE())),"?TYPE_IDENTIFIABLE","?REFERENTIAL"),"_")))))</f>
        <v> </v>
      </c>
      <c r="H4323" s="25" t="str">
        <f>IF(J4323&lt;&gt;1,"",IF(I4323="SBJ","CB","?"))</f>
        <v> </v>
      </c>
      <c r="I4323" s="26" t="str">
        <f>IF(OR(E4323="",E4323="!!!",F4323="NEW"),"",INDEX(B4322:B$2,-1+SUMPRODUCT(MAX(ROW(E4322:E$2)*(E4323=E4322:E$2)))))</f>
        <v> </v>
      </c>
      <c r="J4323" s="26" t="str">
        <f>IF(OR(E4323="",E4323="!!!",F4323="NEW"),"",COUNTBLANK(OFFSET(A$1,,,SUMPRODUCT(MAX(ROW(E$2:E4323)*(E4323=E$2:E4323)))))-COUNTBLANK(OFFSET(A$1,,,SUMPRODUCT(MAX(ROW(E$1:E4322)*(E2=E$1:E4322))))))</f>
        <v> </v>
      </c>
      <c r="K4323" s="26" t="str">
        <f>IF(OR(E4323="",E4323="!!!",F4323="NEW"),"",INDEX(J$1:J4322,SUMPRODUCT(MAX(ROW(E$1:E4322)*(E4323=E$1:E4322)))))</f>
        <v> </v>
      </c>
      <c r="L4323" s="27"/>
    </row>
    <row r="4324" spans="1:12">
      <c r="A4324" s="20" t="s">
        <v>1142</v>
      </c>
      <c r="E4324" s="22">
        <f>IF(D4324="?OLD","!!!","")</f>
        <v/>
      </c>
      <c r="F4324" s="23" t="str">
        <f>IF(OR(E4324="",E4324="!!!"),"",IF(NOT(ISNA(VLOOKUP(E4324,E$1:E4323,1,FALSE()))),"OLD",IF(AND(E4324&lt;&gt;"",E4324&lt;&gt;"!!!"),"NEW","")))</f>
        <v> </v>
      </c>
      <c r="G4324" s="24" t="str">
        <f>IF(OR(E4324="",E4324="!!!"),"",IF(OR(J4324=0,AND(J4324=1,K4324=1),AND(J4324=1,I4324="SBJ"),AND(J4324=1,I4324=0)),"?IN_FOCUS",IF(J4324&lt;=2,"?ACTIVATED",IF(J4324&lt;&gt;"","?FAMILIAR",IF(F4324="NEW",IF(ISNA(VLOOKUP(E4324,#REF!,1,FALSE())),"?TYPE_IDENTIFIABLE","?REFERENTIAL"),"_")))))</f>
        <v> </v>
      </c>
      <c r="H4324" s="25" t="str">
        <f>IF(J4324&lt;&gt;1,"",IF(I4324="SBJ","CB","?"))</f>
        <v> </v>
      </c>
      <c r="I4324" s="26" t="str">
        <f>IF(OR(E4324="",E4324="!!!",F4324="NEW"),"",INDEX(B4323:B$2,-1+SUMPRODUCT(MAX(ROW(E4323:E$2)*(E4324=E4323:E$2)))))</f>
        <v> </v>
      </c>
      <c r="J4324" s="26" t="str">
        <f>IF(OR(E4324="",E4324="!!!",F4324="NEW"),"",COUNTBLANK(OFFSET(A$1,,,SUMPRODUCT(MAX(ROW(E$2:E4324)*(E4324=E$2:E4324)))))-COUNTBLANK(OFFSET(A$1,,,SUMPRODUCT(MAX(ROW(E$1:E4323)*(E2=E$1:E4323))))))</f>
        <v> </v>
      </c>
      <c r="K4324" s="26" t="str">
        <f>IF(OR(E4324="",E4324="!!!",F4324="NEW"),"",INDEX(J$1:J4323,SUMPRODUCT(MAX(ROW(E$1:E4323)*(E4324=E$1:E4323)))))</f>
        <v> </v>
      </c>
      <c r="L4324" s="27"/>
    </row>
    <row r="4325" spans="1:12">
      <c r="A4325" s="20" t="s">
        <v>2248</v>
      </c>
      <c r="E4325" s="22">
        <f>IF(D4325="?OLD","!!!","")</f>
        <v/>
      </c>
      <c r="F4325" s="23" t="str">
        <f>IF(OR(E4325="",E4325="!!!"),"",IF(NOT(ISNA(VLOOKUP(E4325,E$1:E4324,1,FALSE()))),"OLD",IF(AND(E4325&lt;&gt;"",E4325&lt;&gt;"!!!"),"NEW","")))</f>
        <v> </v>
      </c>
      <c r="G4325" s="24" t="str">
        <f>IF(OR(E4325="",E4325="!!!"),"",IF(OR(J4325=0,AND(J4325=1,K4325=1),AND(J4325=1,I4325="SBJ"),AND(J4325=1,I4325=0)),"?IN_FOCUS",IF(J4325&lt;=2,"?ACTIVATED",IF(J4325&lt;&gt;"","?FAMILIAR",IF(F4325="NEW",IF(ISNA(VLOOKUP(E4325,#REF!,1,FALSE())),"?TYPE_IDENTIFIABLE","?REFERENTIAL"),"_")))))</f>
        <v> </v>
      </c>
      <c r="H4325" s="25" t="str">
        <f>IF(J4325&lt;&gt;1,"",IF(I4325="SBJ","CB","?"))</f>
        <v> </v>
      </c>
      <c r="I4325" s="26" t="str">
        <f>IF(OR(E4325="",E4325="!!!",F4325="NEW"),"",INDEX(B4324:B$2,-1+SUMPRODUCT(MAX(ROW(E4324:E$2)*(E4325=E4324:E$2)))))</f>
        <v> </v>
      </c>
      <c r="J4325" s="26" t="str">
        <f>IF(OR(E4325="",E4325="!!!",F4325="NEW"),"",COUNTBLANK(OFFSET(A$1,,,SUMPRODUCT(MAX(ROW(E$2:E4325)*(E4325=E$2:E4325)))))-COUNTBLANK(OFFSET(A$1,,,SUMPRODUCT(MAX(ROW(E$1:E4324)*(E2=E$1:E4324))))))</f>
        <v> </v>
      </c>
      <c r="K4325" s="26" t="str">
        <f>IF(OR(E4325="",E4325="!!!",F4325="NEW"),"",INDEX(J$1:J4324,SUMPRODUCT(MAX(ROW(E$1:E4324)*(E4325=E$1:E4324)))))</f>
        <v> </v>
      </c>
      <c r="L4325" s="27"/>
    </row>
    <row r="4326" spans="1:12">
      <c r="A4326" s="20" t="s">
        <v>1018</v>
      </c>
      <c r="E4326" s="22">
        <f>IF(D4326="?OLD","!!!","")</f>
        <v/>
      </c>
      <c r="F4326" s="23" t="str">
        <f>IF(OR(E4326="",E4326="!!!"),"",IF(NOT(ISNA(VLOOKUP(E4326,E$1:E4325,1,FALSE()))),"OLD",IF(AND(E4326&lt;&gt;"",E4326&lt;&gt;"!!!"),"NEW","")))</f>
        <v> </v>
      </c>
      <c r="G4326" s="24" t="str">
        <f>IF(OR(E4326="",E4326="!!!"),"",IF(OR(J4326=0,AND(J4326=1,K4326=1),AND(J4326=1,I4326="SBJ"),AND(J4326=1,I4326=0)),"?IN_FOCUS",IF(J4326&lt;=2,"?ACTIVATED",IF(J4326&lt;&gt;"","?FAMILIAR",IF(F4326="NEW",IF(ISNA(VLOOKUP(E4326,#REF!,1,FALSE())),"?TYPE_IDENTIFIABLE","?REFERENTIAL"),"_")))))</f>
        <v> </v>
      </c>
      <c r="H4326" s="25" t="str">
        <f>IF(J4326&lt;&gt;1,"",IF(I4326="SBJ","CB","?"))</f>
        <v> </v>
      </c>
      <c r="I4326" s="26" t="str">
        <f>IF(OR(E4326="",E4326="!!!",F4326="NEW"),"",INDEX(B4325:B$2,-1+SUMPRODUCT(MAX(ROW(E4325:E$2)*(E4326=E4325:E$2)))))</f>
        <v> </v>
      </c>
      <c r="J4326" s="26" t="str">
        <f>IF(OR(E4326="",E4326="!!!",F4326="NEW"),"",COUNTBLANK(OFFSET(A$1,,,SUMPRODUCT(MAX(ROW(E$2:E4326)*(E4326=E$2:E4326)))))-COUNTBLANK(OFFSET(A$1,,,SUMPRODUCT(MAX(ROW(E$1:E4325)*(E2=E$1:E4325))))))</f>
        <v> </v>
      </c>
      <c r="K4326" s="26" t="str">
        <f>IF(OR(E4326="",E4326="!!!",F4326="NEW"),"",INDEX(J$1:J4325,SUMPRODUCT(MAX(ROW(E$1:E4325)*(E4326=E$1:E4325)))))</f>
        <v> </v>
      </c>
      <c r="L4326" s="27"/>
    </row>
    <row r="4327" spans="1:12">
      <c r="A4327" s="20" t="s">
        <v>1061</v>
      </c>
      <c r="E4327" s="22">
        <f>IF(D4327="?OLD","!!!","")</f>
        <v/>
      </c>
      <c r="F4327" s="23" t="str">
        <f>IF(OR(E4327="",E4327="!!!"),"",IF(NOT(ISNA(VLOOKUP(E4327,E$1:E4326,1,FALSE()))),"OLD",IF(AND(E4327&lt;&gt;"",E4327&lt;&gt;"!!!"),"NEW","")))</f>
        <v> </v>
      </c>
      <c r="G4327" s="24" t="str">
        <f>IF(OR(E4327="",E4327="!!!"),"",IF(OR(J4327=0,AND(J4327=1,K4327=1),AND(J4327=1,I4327="SBJ"),AND(J4327=1,I4327=0)),"?IN_FOCUS",IF(J4327&lt;=2,"?ACTIVATED",IF(J4327&lt;&gt;"","?FAMILIAR",IF(F4327="NEW",IF(ISNA(VLOOKUP(E4327,#REF!,1,FALSE())),"?TYPE_IDENTIFIABLE","?REFERENTIAL"),"_")))))</f>
        <v> </v>
      </c>
      <c r="H4327" s="25" t="str">
        <f>IF(J4327&lt;&gt;1,"",IF(I4327="SBJ","CB","?"))</f>
        <v> </v>
      </c>
      <c r="I4327" s="26" t="str">
        <f>IF(OR(E4327="",E4327="!!!",F4327="NEW"),"",INDEX(B4326:B$2,-1+SUMPRODUCT(MAX(ROW(E4326:E$2)*(E4327=E4326:E$2)))))</f>
        <v> </v>
      </c>
      <c r="J4327" s="26" t="str">
        <f>IF(OR(E4327="",E4327="!!!",F4327="NEW"),"",COUNTBLANK(OFFSET(A$1,,,SUMPRODUCT(MAX(ROW(E$2:E4327)*(E4327=E$2:E4327)))))-COUNTBLANK(OFFSET(A$1,,,SUMPRODUCT(MAX(ROW(E$1:E4326)*(E2=E$1:E4326))))))</f>
        <v> </v>
      </c>
      <c r="K4327" s="26" t="str">
        <f>IF(OR(E4327="",E4327="!!!",F4327="NEW"),"",INDEX(J$1:J4326,SUMPRODUCT(MAX(ROW(E$1:E4326)*(E4327=E$1:E4326)))))</f>
        <v> </v>
      </c>
      <c r="L4327" s="27"/>
    </row>
    <row r="4328" spans="1:12">
      <c r="A4328" s="20" t="s">
        <v>2249</v>
      </c>
      <c r="E4328" s="22">
        <f>IF(D4328="?OLD","!!!","")</f>
        <v/>
      </c>
      <c r="F4328" s="23" t="str">
        <f>IF(OR(E4328="",E4328="!!!"),"",IF(NOT(ISNA(VLOOKUP(E4328,E$1:E4327,1,FALSE()))),"OLD",IF(AND(E4328&lt;&gt;"",E4328&lt;&gt;"!!!"),"NEW","")))</f>
        <v> </v>
      </c>
      <c r="G4328" s="24" t="str">
        <f>IF(OR(E4328="",E4328="!!!"),"",IF(OR(J4328=0,AND(J4328=1,K4328=1),AND(J4328=1,I4328="SBJ"),AND(J4328=1,I4328=0)),"?IN_FOCUS",IF(J4328&lt;=2,"?ACTIVATED",IF(J4328&lt;&gt;"","?FAMILIAR",IF(F4328="NEW",IF(ISNA(VLOOKUP(E4328,#REF!,1,FALSE())),"?TYPE_IDENTIFIABLE","?REFERENTIAL"),"_")))))</f>
        <v> </v>
      </c>
      <c r="H4328" s="25" t="str">
        <f>IF(J4328&lt;&gt;1,"",IF(I4328="SBJ","CB","?"))</f>
        <v> </v>
      </c>
      <c r="I4328" s="26" t="str">
        <f>IF(OR(E4328="",E4328="!!!",F4328="NEW"),"",INDEX(B4327:B$2,-1+SUMPRODUCT(MAX(ROW(E4327:E$2)*(E4328=E4327:E$2)))))</f>
        <v> </v>
      </c>
      <c r="J4328" s="26" t="str">
        <f>IF(OR(E4328="",E4328="!!!",F4328="NEW"),"",COUNTBLANK(OFFSET(A$1,,,SUMPRODUCT(MAX(ROW(E$2:E4328)*(E4328=E$2:E4328)))))-COUNTBLANK(OFFSET(A$1,,,SUMPRODUCT(MAX(ROW(E$1:E4327)*(E2=E$1:E4327))))))</f>
        <v> </v>
      </c>
      <c r="K4328" s="26" t="str">
        <f>IF(OR(E4328="",E4328="!!!",F4328="NEW"),"",INDEX(J$1:J4327,SUMPRODUCT(MAX(ROW(E$1:E4327)*(E4328=E$1:E4327)))))</f>
        <v> </v>
      </c>
      <c r="L4328" s="27"/>
    </row>
    <row r="4329" spans="1:12">
      <c r="A4329" s="20" t="s">
        <v>1077</v>
      </c>
      <c r="E4329" s="22">
        <f>IF(D4329="?OLD","!!!","")</f>
        <v/>
      </c>
      <c r="F4329" s="23" t="str">
        <f>IF(OR(E4329="",E4329="!!!"),"",IF(NOT(ISNA(VLOOKUP(E4329,E$1:E4328,1,FALSE()))),"OLD",IF(AND(E4329&lt;&gt;"",E4329&lt;&gt;"!!!"),"NEW","")))</f>
        <v> </v>
      </c>
      <c r="G4329" s="24" t="str">
        <f>IF(OR(E4329="",E4329="!!!"),"",IF(OR(J4329=0,AND(J4329=1,K4329=1),AND(J4329=1,I4329="SBJ"),AND(J4329=1,I4329=0)),"?IN_FOCUS",IF(J4329&lt;=2,"?ACTIVATED",IF(J4329&lt;&gt;"","?FAMILIAR",IF(F4329="NEW",IF(ISNA(VLOOKUP(E4329,#REF!,1,FALSE())),"?TYPE_IDENTIFIABLE","?REFERENTIAL"),"_")))))</f>
        <v> </v>
      </c>
      <c r="H4329" s="25" t="str">
        <f>IF(J4329&lt;&gt;1,"",IF(I4329="SBJ","CB","?"))</f>
        <v> </v>
      </c>
      <c r="I4329" s="26" t="str">
        <f>IF(OR(E4329="",E4329="!!!",F4329="NEW"),"",INDEX(B4328:B$2,-1+SUMPRODUCT(MAX(ROW(E4328:E$2)*(E4329=E4328:E$2)))))</f>
        <v> </v>
      </c>
      <c r="J4329" s="26" t="str">
        <f>IF(OR(E4329="",E4329="!!!",F4329="NEW"),"",COUNTBLANK(OFFSET(A$1,,,SUMPRODUCT(MAX(ROW(E$2:E4329)*(E4329=E$2:E4329)))))-COUNTBLANK(OFFSET(A$1,,,SUMPRODUCT(MAX(ROW(E$1:E4328)*(E2=E$1:E4328))))))</f>
        <v> </v>
      </c>
      <c r="K4329" s="26" t="str">
        <f>IF(OR(E4329="",E4329="!!!",F4329="NEW"),"",INDEX(J$1:J4328,SUMPRODUCT(MAX(ROW(E$1:E4328)*(E4329=E$1:E4328)))))</f>
        <v> </v>
      </c>
      <c r="L4329" s="27"/>
    </row>
    <row r="4330" spans="1:12">
      <c r="A4330" s="20"/>
    </row>
    <row r="4331" spans="1:12">
      <c r="A4331" s="20" t="s">
        <v>2250</v>
      </c>
    </row>
    <row r="4332" spans="1:12">
      <c r="A4332" s="20" t="s">
        <v>1094</v>
      </c>
      <c r="B4332" s="21" t="s">
        <v>1005</v>
      </c>
      <c r="C4332" s="21" t="s">
        <v>1048</v>
      </c>
      <c r="E4332" s="22">
        <f>IF(D4332="?OLD","!!!","")</f>
        <v/>
      </c>
      <c r="F4332" s="23" t="str">
        <f>IF(OR(E4332="",E4332="!!!"),"",IF(NOT(ISNA(VLOOKUP(E4332,E$1:E4331,1,FALSE()))),"OLD",IF(AND(E4332&lt;&gt;"",E4332&lt;&gt;"!!!"),"NEW","")))</f>
        <v> </v>
      </c>
      <c r="G4332" s="24" t="str">
        <f>IF(OR(E4332="",E4332="!!!"),"",IF(OR(J4332=0,AND(J4332=1,K4332=1),AND(J4332=1,I4332="SBJ"),AND(J4332=1,I4332=0)),"?IN_FOCUS",IF(J4332&lt;=2,"?ACTIVATED",IF(J4332&lt;&gt;"","?FAMILIAR",IF(F4332="NEW",IF(ISNA(VLOOKUP(E4332,#REF!,1,FALSE())),"?TYPE_IDENTIFIABLE","?REFERENTIAL"),"_")))))</f>
        <v> </v>
      </c>
      <c r="H4332" s="25" t="str">
        <f>IF(J4332&lt;&gt;1,"",IF(I4332="SBJ","CB","?"))</f>
        <v> </v>
      </c>
      <c r="I4332" s="26" t="str">
        <f>IF(OR(E4332="",E4332="!!!",F4332="NEW"),"",INDEX(B4331:B$2,-1+SUMPRODUCT(MAX(ROW(E4331:E$2)*(E4332=E4331:E$2)))))</f>
        <v> </v>
      </c>
      <c r="J4332" s="26" t="str">
        <f>IF(OR(E4332="",E4332="!!!",F4332="NEW"),"",COUNTBLANK(OFFSET(A$1,,,SUMPRODUCT(MAX(ROW(E$2:E4332)*(E4332=E$2:E4332)))))-COUNTBLANK(OFFSET(A$1,,,SUMPRODUCT(MAX(ROW(E$1:E4331)*(E2=E$1:E4331))))))</f>
        <v> </v>
      </c>
      <c r="K4332" s="26" t="str">
        <f>IF(OR(E4332="",E4332="!!!",F4332="NEW"),"",INDEX(J$1:J4331,SUMPRODUCT(MAX(ROW(E$1:E4331)*(E4332=E$1:E4331)))))</f>
        <v> </v>
      </c>
      <c r="L4332" s="27"/>
    </row>
    <row r="4333" spans="1:12">
      <c r="A4333" s="20" t="s">
        <v>1009</v>
      </c>
      <c r="E4333" s="22">
        <f>IF(D4333="?OLD","!!!","")</f>
        <v/>
      </c>
      <c r="F4333" s="23" t="str">
        <f>IF(OR(E4333="",E4333="!!!"),"",IF(NOT(ISNA(VLOOKUP(E4333,E$1:E4332,1,FALSE()))),"OLD",IF(AND(E4333&lt;&gt;"",E4333&lt;&gt;"!!!"),"NEW","")))</f>
        <v> </v>
      </c>
      <c r="G4333" s="24" t="str">
        <f>IF(OR(E4333="",E4333="!!!"),"",IF(OR(J4333=0,AND(J4333=1,K4333=1),AND(J4333=1,I4333="SBJ"),AND(J4333=1,I4333=0)),"?IN_FOCUS",IF(J4333&lt;=2,"?ACTIVATED",IF(J4333&lt;&gt;"","?FAMILIAR",IF(F4333="NEW",IF(ISNA(VLOOKUP(E4333,#REF!,1,FALSE())),"?TYPE_IDENTIFIABLE","?REFERENTIAL"),"_")))))</f>
        <v> </v>
      </c>
      <c r="H4333" s="25" t="str">
        <f>IF(J4333&lt;&gt;1,"",IF(I4333="SBJ","CB","?"))</f>
        <v> </v>
      </c>
      <c r="I4333" s="26" t="str">
        <f>IF(OR(E4333="",E4333="!!!",F4333="NEW"),"",INDEX(B4332:B$2,-1+SUMPRODUCT(MAX(ROW(E4332:E$2)*(E4333=E4332:E$2)))))</f>
        <v> </v>
      </c>
      <c r="J4333" s="26" t="str">
        <f>IF(OR(E4333="",E4333="!!!",F4333="NEW"),"",COUNTBLANK(OFFSET(A$1,,,SUMPRODUCT(MAX(ROW(E$2:E4333)*(E4333=E$2:E4333)))))-COUNTBLANK(OFFSET(A$1,,,SUMPRODUCT(MAX(ROW(E$1:E4332)*(E2=E$1:E4332))))))</f>
        <v> </v>
      </c>
      <c r="K4333" s="26" t="str">
        <f>IF(OR(E4333="",E4333="!!!",F4333="NEW"),"",INDEX(J$1:J4332,SUMPRODUCT(MAX(ROW(E$1:E4332)*(E4333=E$1:E4332)))))</f>
        <v> </v>
      </c>
      <c r="L4333" s="27"/>
    </row>
    <row r="4334" spans="1:12">
      <c r="A4334" s="20" t="s">
        <v>2247</v>
      </c>
      <c r="B4334" s="21" t="s">
        <v>1005</v>
      </c>
      <c r="C4334" s="21" t="s">
        <v>1006</v>
      </c>
      <c r="D4334" s="21" t="s">
        <v>1007</v>
      </c>
      <c r="E4334" s="22">
        <f>IF(D4334="?OLD","!!!","")</f>
        <v/>
      </c>
      <c r="F4334" s="23" t="str">
        <f>IF(OR(E4334="",E4334="!!!"),"",IF(NOT(ISNA(VLOOKUP(E4334,E$1:E4333,1,FALSE()))),"OLD",IF(AND(E4334&lt;&gt;"",E4334&lt;&gt;"!!!"),"NEW","")))</f>
        <v> </v>
      </c>
      <c r="G4334" s="24" t="str">
        <f>IF(OR(E4334="",E4334="!!!"),"",IF(OR(J4334=0,AND(J4334=1,K4334=1),AND(J4334=1,I4334="SBJ"),AND(J4334=1,I4334=0)),"?IN_FOCUS",IF(J4334&lt;=2,"?ACTIVATED",IF(J4334&lt;&gt;"","?FAMILIAR",IF(F4334="NEW",IF(ISNA(VLOOKUP(E4334,#REF!,1,FALSE())),"?TYPE_IDENTIFIABLE","?REFERENTIAL"),"_")))))</f>
        <v> </v>
      </c>
      <c r="H4334" s="25" t="str">
        <f>IF(J4334&lt;&gt;1,"",IF(I4334="SBJ","CB","?"))</f>
        <v> </v>
      </c>
      <c r="I4334" s="26" t="str">
        <f>IF(OR(E4334="",E4334="!!!",F4334="NEW"),"",INDEX(B4333:B$2,-1+SUMPRODUCT(MAX(ROW(E4333:E$2)*(E4334=E4333:E$2)))))</f>
        <v> </v>
      </c>
      <c r="J4334" s="26" t="str">
        <f>IF(OR(E4334="",E4334="!!!",F4334="NEW"),"",COUNTBLANK(OFFSET(A$1,,,SUMPRODUCT(MAX(ROW(E$2:E4334)*(E4334=E$2:E4334)))))-COUNTBLANK(OFFSET(A$1,,,SUMPRODUCT(MAX(ROW(E$1:E4333)*(E2=E$1:E4333))))))</f>
        <v> </v>
      </c>
      <c r="K4334" s="26" t="str">
        <f>IF(OR(E4334="",E4334="!!!",F4334="NEW"),"",INDEX(J$1:J4333,SUMPRODUCT(MAX(ROW(E$1:E4333)*(E4334=E$1:E4333)))))</f>
        <v> </v>
      </c>
      <c r="L4334" s="27"/>
    </row>
    <row r="4335" spans="1:12">
      <c r="A4335" s="20" t="s">
        <v>1023</v>
      </c>
      <c r="E4335" s="22">
        <f>IF(D4335="?OLD","!!!","")</f>
        <v/>
      </c>
      <c r="F4335" s="23" t="str">
        <f>IF(OR(E4335="",E4335="!!!"),"",IF(NOT(ISNA(VLOOKUP(E4335,E$1:E4334,1,FALSE()))),"OLD",IF(AND(E4335&lt;&gt;"",E4335&lt;&gt;"!!!"),"NEW","")))</f>
        <v> </v>
      </c>
      <c r="G4335" s="24" t="str">
        <f>IF(OR(E4335="",E4335="!!!"),"",IF(OR(J4335=0,AND(J4335=1,K4335=1),AND(J4335=1,I4335="SBJ"),AND(J4335=1,I4335=0)),"?IN_FOCUS",IF(J4335&lt;=2,"?ACTIVATED",IF(J4335&lt;&gt;"","?FAMILIAR",IF(F4335="NEW",IF(ISNA(VLOOKUP(E4335,#REF!,1,FALSE())),"?TYPE_IDENTIFIABLE","?REFERENTIAL"),"_")))))</f>
        <v> </v>
      </c>
      <c r="H4335" s="25" t="str">
        <f>IF(J4335&lt;&gt;1,"",IF(I4335="SBJ","CB","?"))</f>
        <v> </v>
      </c>
      <c r="I4335" s="26" t="str">
        <f>IF(OR(E4335="",E4335="!!!",F4335="NEW"),"",INDEX(B4334:B$2,-1+SUMPRODUCT(MAX(ROW(E4334:E$2)*(E4335=E4334:E$2)))))</f>
        <v> </v>
      </c>
      <c r="J4335" s="26" t="str">
        <f>IF(OR(E4335="",E4335="!!!",F4335="NEW"),"",COUNTBLANK(OFFSET(A$1,,,SUMPRODUCT(MAX(ROW(E$2:E4335)*(E4335=E$2:E4335)))))-COUNTBLANK(OFFSET(A$1,,,SUMPRODUCT(MAX(ROW(E$1:E4334)*(E2=E$1:E4334))))))</f>
        <v> </v>
      </c>
      <c r="K4335" s="26" t="str">
        <f>IF(OR(E4335="",E4335="!!!",F4335="NEW"),"",INDEX(J$1:J4334,SUMPRODUCT(MAX(ROW(E$1:E4334)*(E4335=E$1:E4334)))))</f>
        <v> </v>
      </c>
      <c r="L4335" s="27"/>
    </row>
    <row r="4336" spans="1:12">
      <c r="A4336" s="20"/>
    </row>
    <row r="4337" spans="1:12">
      <c r="A4337" s="20" t="s">
        <v>2251</v>
      </c>
    </row>
    <row r="4338" spans="1:12">
      <c r="A4338" s="20" t="s">
        <v>2252</v>
      </c>
      <c r="B4338" s="21" t="s">
        <v>1005</v>
      </c>
      <c r="C4338" s="21" t="s">
        <v>1048</v>
      </c>
      <c r="E4338" s="22">
        <f>IF(D4338="?OLD","!!!","")</f>
        <v/>
      </c>
      <c r="F4338" s="23" t="str">
        <f>IF(OR(E4338="",E4338="!!!"),"",IF(NOT(ISNA(VLOOKUP(E4338,E$1:E4337,1,FALSE()))),"OLD",IF(AND(E4338&lt;&gt;"",E4338&lt;&gt;"!!!"),"NEW","")))</f>
        <v> </v>
      </c>
      <c r="G4338" s="24" t="str">
        <f>IF(OR(E4338="",E4338="!!!"),"",IF(OR(J4338=0,AND(J4338=1,K4338=1),AND(J4338=1,I4338="SBJ"),AND(J4338=1,I4338=0)),"?IN_FOCUS",IF(J4338&lt;=2,"?ACTIVATED",IF(J4338&lt;&gt;"","?FAMILIAR",IF(F4338="NEW",IF(ISNA(VLOOKUP(E4338,#REF!,1,FALSE())),"?TYPE_IDENTIFIABLE","?REFERENTIAL"),"_")))))</f>
        <v> </v>
      </c>
      <c r="H4338" s="25" t="str">
        <f>IF(J4338&lt;&gt;1,"",IF(I4338="SBJ","CB","?"))</f>
        <v> </v>
      </c>
      <c r="I4338" s="26" t="str">
        <f>IF(OR(E4338="",E4338="!!!",F4338="NEW"),"",INDEX(B4337:B$2,-1+SUMPRODUCT(MAX(ROW(E4337:E$2)*(E4338=E4337:E$2)))))</f>
        <v> </v>
      </c>
      <c r="J4338" s="26" t="str">
        <f>IF(OR(E4338="",E4338="!!!",F4338="NEW"),"",COUNTBLANK(OFFSET(A$1,,,SUMPRODUCT(MAX(ROW(E$2:E4338)*(E4338=E$2:E4338)))))-COUNTBLANK(OFFSET(A$1,,,SUMPRODUCT(MAX(ROW(E$1:E4337)*(E2=E$1:E4337))))))</f>
        <v> </v>
      </c>
      <c r="K4338" s="26" t="str">
        <f>IF(OR(E4338="",E4338="!!!",F4338="NEW"),"",INDEX(J$1:J4337,SUMPRODUCT(MAX(ROW(E$1:E4337)*(E4338=E$1:E4337)))))</f>
        <v> </v>
      </c>
      <c r="L4338" s="27"/>
    </row>
    <row r="4339" spans="1:12">
      <c r="A4339" s="20" t="s">
        <v>1065</v>
      </c>
      <c r="B4339" s="21" t="s">
        <v>1029</v>
      </c>
      <c r="E4339" s="22">
        <f>IF(D4339="?OLD","!!!","")</f>
        <v/>
      </c>
      <c r="F4339" s="23" t="str">
        <f>IF(OR(E4339="",E4339="!!!"),"",IF(NOT(ISNA(VLOOKUP(E4339,E$1:E4338,1,FALSE()))),"OLD",IF(AND(E4339&lt;&gt;"",E4339&lt;&gt;"!!!"),"NEW","")))</f>
        <v> </v>
      </c>
      <c r="G4339" s="24" t="str">
        <f>IF(OR(E4339="",E4339="!!!"),"",IF(OR(J4339=0,AND(J4339=1,K4339=1),AND(J4339=1,I4339="SBJ"),AND(J4339=1,I4339=0)),"?IN_FOCUS",IF(J4339&lt;=2,"?ACTIVATED",IF(J4339&lt;&gt;"","?FAMILIAR",IF(F4339="NEW",IF(ISNA(VLOOKUP(E4339,#REF!,1,FALSE())),"?TYPE_IDENTIFIABLE","?REFERENTIAL"),"_")))))</f>
        <v> </v>
      </c>
      <c r="H4339" s="25" t="str">
        <f>IF(J4339&lt;&gt;1,"",IF(I4339="SBJ","CB","?"))</f>
        <v> </v>
      </c>
      <c r="I4339" s="26" t="str">
        <f>IF(OR(E4339="",E4339="!!!",F4339="NEW"),"",INDEX(B4338:B$2,-1+SUMPRODUCT(MAX(ROW(E4338:E$2)*(E4339=E4338:E$2)))))</f>
        <v> </v>
      </c>
      <c r="J4339" s="26" t="str">
        <f>IF(OR(E4339="",E4339="!!!",F4339="NEW"),"",COUNTBLANK(OFFSET(A$1,,,SUMPRODUCT(MAX(ROW(E$2:E4339)*(E4339=E$2:E4339)))))-COUNTBLANK(OFFSET(A$1,,,SUMPRODUCT(MAX(ROW(E$1:E4338)*(E2=E$1:E4338))))))</f>
        <v> </v>
      </c>
      <c r="K4339" s="26" t="str">
        <f>IF(OR(E4339="",E4339="!!!",F4339="NEW"),"",INDEX(J$1:J4338,SUMPRODUCT(MAX(ROW(E$1:E4338)*(E4339=E$1:E4338)))))</f>
        <v> </v>
      </c>
      <c r="L4339" s="27"/>
    </row>
    <row r="4340" spans="1:12">
      <c r="A4340" s="20" t="s">
        <v>1224</v>
      </c>
      <c r="B4340" s="21" t="s">
        <v>1119</v>
      </c>
      <c r="C4340" s="21" t="s">
        <v>1082</v>
      </c>
      <c r="D4340" s="21" t="s">
        <v>1007</v>
      </c>
      <c r="E4340" s="22">
        <f>IF(D4340="?OLD","!!!","")</f>
        <v/>
      </c>
      <c r="F4340" s="23" t="str">
        <f>IF(OR(E4340="",E4340="!!!"),"",IF(NOT(ISNA(VLOOKUP(E4340,E$1:E4339,1,FALSE()))),"OLD",IF(AND(E4340&lt;&gt;"",E4340&lt;&gt;"!!!"),"NEW","")))</f>
        <v> </v>
      </c>
      <c r="G4340" s="24" t="str">
        <f>IF(OR(E4340="",E4340="!!!"),"",IF(OR(J4340=0,AND(J4340=1,K4340=1),AND(J4340=1,I4340="SBJ"),AND(J4340=1,I4340=0)),"?IN_FOCUS",IF(J4340&lt;=2,"?ACTIVATED",IF(J4340&lt;&gt;"","?FAMILIAR",IF(F4340="NEW",IF(ISNA(VLOOKUP(E4340,#REF!,1,FALSE())),"?TYPE_IDENTIFIABLE","?REFERENTIAL"),"_")))))</f>
        <v> </v>
      </c>
      <c r="H4340" s="25" t="str">
        <f>IF(J4340&lt;&gt;1,"",IF(I4340="SBJ","CB","?"))</f>
        <v> </v>
      </c>
      <c r="I4340" s="26" t="str">
        <f>IF(OR(E4340="",E4340="!!!",F4340="NEW"),"",INDEX(B4339:B$2,-1+SUMPRODUCT(MAX(ROW(E4339:E$2)*(E4340=E4339:E$2)))))</f>
        <v> </v>
      </c>
      <c r="J4340" s="26" t="str">
        <f>IF(OR(E4340="",E4340="!!!",F4340="NEW"),"",COUNTBLANK(OFFSET(A$1,,,SUMPRODUCT(MAX(ROW(E$2:E4340)*(E4340=E$2:E4340)))))-COUNTBLANK(OFFSET(A$1,,,SUMPRODUCT(MAX(ROW(E$1:E4339)*(E2=E$1:E4339))))))</f>
        <v> </v>
      </c>
      <c r="K4340" s="26" t="str">
        <f>IF(OR(E4340="",E4340="!!!",F4340="NEW"),"",INDEX(J$1:J4339,SUMPRODUCT(MAX(ROW(E$1:E4339)*(E4340=E$1:E4339)))))</f>
        <v> </v>
      </c>
      <c r="L4340" s="27"/>
    </row>
    <row r="4341" spans="1:12">
      <c r="A4341" s="20" t="s">
        <v>1520</v>
      </c>
      <c r="E4341" s="22">
        <f>IF(D4341="?OLD","!!!","")</f>
        <v/>
      </c>
      <c r="F4341" s="23" t="str">
        <f>IF(OR(E4341="",E4341="!!!"),"",IF(NOT(ISNA(VLOOKUP(E4341,E$1:E4340,1,FALSE()))),"OLD",IF(AND(E4341&lt;&gt;"",E4341&lt;&gt;"!!!"),"NEW","")))</f>
        <v> </v>
      </c>
      <c r="G4341" s="24" t="str">
        <f>IF(OR(E4341="",E4341="!!!"),"",IF(OR(J4341=0,AND(J4341=1,K4341=1),AND(J4341=1,I4341="SBJ"),AND(J4341=1,I4341=0)),"?IN_FOCUS",IF(J4341&lt;=2,"?ACTIVATED",IF(J4341&lt;&gt;"","?FAMILIAR",IF(F4341="NEW",IF(ISNA(VLOOKUP(E4341,#REF!,1,FALSE())),"?TYPE_IDENTIFIABLE","?REFERENTIAL"),"_")))))</f>
        <v> </v>
      </c>
      <c r="H4341" s="25" t="str">
        <f>IF(J4341&lt;&gt;1,"",IF(I4341="SBJ","CB","?"))</f>
        <v> </v>
      </c>
      <c r="I4341" s="26" t="str">
        <f>IF(OR(E4341="",E4341="!!!",F4341="NEW"),"",INDEX(B4340:B$2,-1+SUMPRODUCT(MAX(ROW(E4340:E$2)*(E4341=E4340:E$2)))))</f>
        <v> </v>
      </c>
      <c r="J4341" s="26" t="str">
        <f>IF(OR(E4341="",E4341="!!!",F4341="NEW"),"",COUNTBLANK(OFFSET(A$1,,,SUMPRODUCT(MAX(ROW(E$2:E4341)*(E4341=E$2:E4341)))))-COUNTBLANK(OFFSET(A$1,,,SUMPRODUCT(MAX(ROW(E$1:E4340)*(E2=E$1:E4340))))))</f>
        <v> </v>
      </c>
      <c r="K4341" s="26" t="str">
        <f>IF(OR(E4341="",E4341="!!!",F4341="NEW"),"",INDEX(J$1:J4340,SUMPRODUCT(MAX(ROW(E$1:E4340)*(E4341=E$1:E4340)))))</f>
        <v> </v>
      </c>
      <c r="L4341" s="27"/>
    </row>
    <row r="4342" spans="1:12">
      <c r="A4342" s="20" t="s">
        <v>1118</v>
      </c>
      <c r="B4342" s="21" t="s">
        <v>1022</v>
      </c>
      <c r="C4342" s="21" t="s">
        <v>1006</v>
      </c>
      <c r="D4342" s="21" t="s">
        <v>1007</v>
      </c>
      <c r="E4342" s="22">
        <f>IF(D4342="?OLD","!!!","")</f>
        <v/>
      </c>
      <c r="F4342" s="23" t="str">
        <f>IF(OR(E4342="",E4342="!!!"),"",IF(NOT(ISNA(VLOOKUP(E4342,E$1:E4341,1,FALSE()))),"OLD",IF(AND(E4342&lt;&gt;"",E4342&lt;&gt;"!!!"),"NEW","")))</f>
        <v> </v>
      </c>
      <c r="G4342" s="24" t="str">
        <f>IF(OR(E4342="",E4342="!!!"),"",IF(OR(J4342=0,AND(J4342=1,K4342=1),AND(J4342=1,I4342="SBJ"),AND(J4342=1,I4342=0)),"?IN_FOCUS",IF(J4342&lt;=2,"?ACTIVATED",IF(J4342&lt;&gt;"","?FAMILIAR",IF(F4342="NEW",IF(ISNA(VLOOKUP(E4342,#REF!,1,FALSE())),"?TYPE_IDENTIFIABLE","?REFERENTIAL"),"_")))))</f>
        <v> </v>
      </c>
      <c r="H4342" s="25" t="str">
        <f>IF(J4342&lt;&gt;1,"",IF(I4342="SBJ","CB","?"))</f>
        <v> </v>
      </c>
      <c r="I4342" s="26" t="str">
        <f>IF(OR(E4342="",E4342="!!!",F4342="NEW"),"",INDEX(B4341:B$2,-1+SUMPRODUCT(MAX(ROW(E4341:E$2)*(E4342=E4341:E$2)))))</f>
        <v> </v>
      </c>
      <c r="J4342" s="26" t="str">
        <f>IF(OR(E4342="",E4342="!!!",F4342="NEW"),"",COUNTBLANK(OFFSET(A$1,,,SUMPRODUCT(MAX(ROW(E$2:E4342)*(E4342=E$2:E4342)))))-COUNTBLANK(OFFSET(A$1,,,SUMPRODUCT(MAX(ROW(E$1:E4341)*(E2=E$1:E4341))))))</f>
        <v> </v>
      </c>
      <c r="K4342" s="26" t="str">
        <f>IF(OR(E4342="",E4342="!!!",F4342="NEW"),"",INDEX(J$1:J4341,SUMPRODUCT(MAX(ROW(E$1:E4341)*(E4342=E$1:E4341)))))</f>
        <v> </v>
      </c>
      <c r="L4342" s="27"/>
    </row>
    <row r="4343" spans="1:12">
      <c r="A4343" s="20" t="s">
        <v>1009</v>
      </c>
      <c r="E4343" s="22">
        <f>IF(D4343="?OLD","!!!","")</f>
        <v/>
      </c>
      <c r="F4343" s="23" t="str">
        <f>IF(OR(E4343="",E4343="!!!"),"",IF(NOT(ISNA(VLOOKUP(E4343,E$1:E4342,1,FALSE()))),"OLD",IF(AND(E4343&lt;&gt;"",E4343&lt;&gt;"!!!"),"NEW","")))</f>
        <v> </v>
      </c>
      <c r="G4343" s="24" t="str">
        <f>IF(OR(E4343="",E4343="!!!"),"",IF(OR(J4343=0,AND(J4343=1,K4343=1),AND(J4343=1,I4343="SBJ"),AND(J4343=1,I4343=0)),"?IN_FOCUS",IF(J4343&lt;=2,"?ACTIVATED",IF(J4343&lt;&gt;"","?FAMILIAR",IF(F4343="NEW",IF(ISNA(VLOOKUP(E4343,#REF!,1,FALSE())),"?TYPE_IDENTIFIABLE","?REFERENTIAL"),"_")))))</f>
        <v> </v>
      </c>
      <c r="H4343" s="25" t="str">
        <f>IF(J4343&lt;&gt;1,"",IF(I4343="SBJ","CB","?"))</f>
        <v> </v>
      </c>
      <c r="I4343" s="26" t="str">
        <f>IF(OR(E4343="",E4343="!!!",F4343="NEW"),"",INDEX(B4342:B$2,-1+SUMPRODUCT(MAX(ROW(E4342:E$2)*(E4343=E4342:E$2)))))</f>
        <v> </v>
      </c>
      <c r="J4343" s="26" t="str">
        <f>IF(OR(E4343="",E4343="!!!",F4343="NEW"),"",COUNTBLANK(OFFSET(A$1,,,SUMPRODUCT(MAX(ROW(E$2:E4343)*(E4343=E$2:E4343)))))-COUNTBLANK(OFFSET(A$1,,,SUMPRODUCT(MAX(ROW(E$1:E4342)*(E2=E$1:E4342))))))</f>
        <v> </v>
      </c>
      <c r="K4343" s="26" t="str">
        <f>IF(OR(E4343="",E4343="!!!",F4343="NEW"),"",INDEX(J$1:J4342,SUMPRODUCT(MAX(ROW(E$1:E4342)*(E4343=E$1:E4342)))))</f>
        <v> </v>
      </c>
      <c r="L4343" s="27"/>
    </row>
    <row r="4344" spans="1:12">
      <c r="A4344" s="20" t="s">
        <v>2253</v>
      </c>
      <c r="E4344" s="22">
        <f>IF(D4344="?OLD","!!!","")</f>
        <v/>
      </c>
      <c r="F4344" s="23" t="str">
        <f>IF(OR(E4344="",E4344="!!!"),"",IF(NOT(ISNA(VLOOKUP(E4344,E$1:E4343,1,FALSE()))),"OLD",IF(AND(E4344&lt;&gt;"",E4344&lt;&gt;"!!!"),"NEW","")))</f>
        <v> </v>
      </c>
      <c r="G4344" s="24" t="str">
        <f>IF(OR(E4344="",E4344="!!!"),"",IF(OR(J4344=0,AND(J4344=1,K4344=1),AND(J4344=1,I4344="SBJ"),AND(J4344=1,I4344=0)),"?IN_FOCUS",IF(J4344&lt;=2,"?ACTIVATED",IF(J4344&lt;&gt;"","?FAMILIAR",IF(F4344="NEW",IF(ISNA(VLOOKUP(E4344,#REF!,1,FALSE())),"?TYPE_IDENTIFIABLE","?REFERENTIAL"),"_")))))</f>
        <v> </v>
      </c>
      <c r="H4344" s="25" t="str">
        <f>IF(J4344&lt;&gt;1,"",IF(I4344="SBJ","CB","?"))</f>
        <v> </v>
      </c>
      <c r="I4344" s="26" t="str">
        <f>IF(OR(E4344="",E4344="!!!",F4344="NEW"),"",INDEX(B4343:B$2,-1+SUMPRODUCT(MAX(ROW(E4343:E$2)*(E4344=E4343:E$2)))))</f>
        <v> </v>
      </c>
      <c r="J4344" s="26" t="str">
        <f>IF(OR(E4344="",E4344="!!!",F4344="NEW"),"",COUNTBLANK(OFFSET(A$1,,,SUMPRODUCT(MAX(ROW(E$2:E4344)*(E4344=E$2:E4344)))))-COUNTBLANK(OFFSET(A$1,,,SUMPRODUCT(MAX(ROW(E$1:E4343)*(E2=E$1:E4343))))))</f>
        <v> </v>
      </c>
      <c r="K4344" s="26" t="str">
        <f>IF(OR(E4344="",E4344="!!!",F4344="NEW"),"",INDEX(J$1:J4343,SUMPRODUCT(MAX(ROW(E$1:E4343)*(E4344=E$1:E4343)))))</f>
        <v> </v>
      </c>
      <c r="L4344" s="27"/>
    </row>
    <row r="4345" spans="1:12">
      <c r="A4345" s="20" t="s">
        <v>1023</v>
      </c>
      <c r="E4345" s="22">
        <f>IF(D4345="?OLD","!!!","")</f>
        <v/>
      </c>
      <c r="F4345" s="23" t="str">
        <f>IF(OR(E4345="",E4345="!!!"),"",IF(NOT(ISNA(VLOOKUP(E4345,E$1:E4344,1,FALSE()))),"OLD",IF(AND(E4345&lt;&gt;"",E4345&lt;&gt;"!!!"),"NEW","")))</f>
        <v> </v>
      </c>
      <c r="G4345" s="24" t="str">
        <f>IF(OR(E4345="",E4345="!!!"),"",IF(OR(J4345=0,AND(J4345=1,K4345=1),AND(J4345=1,I4345="SBJ"),AND(J4345=1,I4345=0)),"?IN_FOCUS",IF(J4345&lt;=2,"?ACTIVATED",IF(J4345&lt;&gt;"","?FAMILIAR",IF(F4345="NEW",IF(ISNA(VLOOKUP(E4345,#REF!,1,FALSE())),"?TYPE_IDENTIFIABLE","?REFERENTIAL"),"_")))))</f>
        <v> </v>
      </c>
      <c r="H4345" s="25" t="str">
        <f>IF(J4345&lt;&gt;1,"",IF(I4345="SBJ","CB","?"))</f>
        <v> </v>
      </c>
      <c r="I4345" s="26" t="str">
        <f>IF(OR(E4345="",E4345="!!!",F4345="NEW"),"",INDEX(B4344:B$2,-1+SUMPRODUCT(MAX(ROW(E4344:E$2)*(E4345=E4344:E$2)))))</f>
        <v> </v>
      </c>
      <c r="J4345" s="26" t="str">
        <f>IF(OR(E4345="",E4345="!!!",F4345="NEW"),"",COUNTBLANK(OFFSET(A$1,,,SUMPRODUCT(MAX(ROW(E$2:E4345)*(E4345=E$2:E4345)))))-COUNTBLANK(OFFSET(A$1,,,SUMPRODUCT(MAX(ROW(E$1:E4344)*(E2=E$1:E4344))))))</f>
        <v> </v>
      </c>
      <c r="K4345" s="26" t="str">
        <f>IF(OR(E4345="",E4345="!!!",F4345="NEW"),"",INDEX(J$1:J4344,SUMPRODUCT(MAX(ROW(E$1:E4344)*(E4345=E$1:E4344)))))</f>
        <v> </v>
      </c>
      <c r="L4345" s="27"/>
    </row>
    <row r="4346" spans="1:12">
      <c r="A4346" s="20"/>
    </row>
    <row r="4347" spans="1:12">
      <c r="A4347" s="20" t="s">
        <v>1184</v>
      </c>
      <c r="E4347" s="22">
        <f>IF(D4347="?OLD","!!!","")</f>
        <v/>
      </c>
      <c r="F4347" s="23" t="str">
        <f>IF(OR(E4347="",E4347="!!!"),"",IF(NOT(ISNA(VLOOKUP(E4347,E$1:E4346,1,FALSE()))),"OLD",IF(AND(E4347&lt;&gt;"",E4347&lt;&gt;"!!!"),"NEW","")))</f>
        <v> </v>
      </c>
      <c r="G4347" s="24" t="str">
        <f>IF(OR(E4347="",E4347="!!!"),"",IF(OR(J4347=0,AND(J4347=1,K4347=1),AND(J4347=1,I4347="SBJ"),AND(J4347=1,I4347=0)),"?IN_FOCUS",IF(J4347&lt;=2,"?ACTIVATED",IF(J4347&lt;&gt;"","?FAMILIAR",IF(F4347="NEW",IF(ISNA(VLOOKUP(E4347,#REF!,1,FALSE())),"?TYPE_IDENTIFIABLE","?REFERENTIAL"),"_")))))</f>
        <v> </v>
      </c>
      <c r="H4347" s="25" t="str">
        <f>IF(J4347&lt;&gt;1,"",IF(I4347="SBJ","CB","?"))</f>
        <v> </v>
      </c>
      <c r="I4347" s="26" t="str">
        <f>IF(OR(E4347="",E4347="!!!",F4347="NEW"),"",INDEX(B4346:B$2,-1+SUMPRODUCT(MAX(ROW(E4346:E$2)*(E4347=E4346:E$2)))))</f>
        <v> </v>
      </c>
      <c r="J4347" s="26" t="str">
        <f>IF(OR(E4347="",E4347="!!!",F4347="NEW"),"",COUNTBLANK(OFFSET(A$1,,,SUMPRODUCT(MAX(ROW(E$2:E4347)*(E4347=E$2:E4347)))))-COUNTBLANK(OFFSET(A$1,,,SUMPRODUCT(MAX(ROW(E$1:E4346)*(E2=E$1:E4346))))))</f>
        <v> </v>
      </c>
      <c r="K4347" s="26" t="str">
        <f>IF(OR(E4347="",E4347="!!!",F4347="NEW"),"",INDEX(J$1:J4346,SUMPRODUCT(MAX(ROW(E$1:E4346)*(E4347=E$1:E4346)))))</f>
        <v> </v>
      </c>
      <c r="L4347" s="27"/>
    </row>
    <row r="4348" spans="1:12">
      <c r="A4348" s="20" t="s">
        <v>2254</v>
      </c>
    </row>
    <row r="4349" spans="1:12">
      <c r="A4349" s="20" t="s">
        <v>11</v>
      </c>
      <c r="E4349" s="22">
        <f>IF(D4349="?OLD","!!!","")</f>
        <v/>
      </c>
      <c r="F4349" s="23" t="str">
        <f>IF(OR(E4349="",E4349="!!!"),"",IF(NOT(ISNA(VLOOKUP(E4349,E$1:E4348,1,FALSE()))),"OLD",IF(AND(E4349&lt;&gt;"",E4349&lt;&gt;"!!!"),"NEW","")))</f>
        <v> </v>
      </c>
      <c r="G4349" s="24" t="str">
        <f>IF(OR(E4349="",E4349="!!!"),"",IF(OR(J4349=0,AND(J4349=1,K4349=1),AND(J4349=1,I4349="SBJ"),AND(J4349=1,I4349=0)),"?IN_FOCUS",IF(J4349&lt;=2,"?ACTIVATED",IF(J4349&lt;&gt;"","?FAMILIAR",IF(F4349="NEW",IF(ISNA(VLOOKUP(E4349,#REF!,1,FALSE())),"?TYPE_IDENTIFIABLE","?REFERENTIAL"),"_")))))</f>
        <v> </v>
      </c>
      <c r="H4349" s="25" t="str">
        <f>IF(J4349&lt;&gt;1,"",IF(I4349="SBJ","CB","?"))</f>
        <v> </v>
      </c>
      <c r="I4349" s="26" t="str">
        <f>IF(OR(E4349="",E4349="!!!",F4349="NEW"),"",INDEX(B4348:B$2,-1+SUMPRODUCT(MAX(ROW(E4348:E$2)*(E4349=E4348:E$2)))))</f>
        <v> </v>
      </c>
      <c r="J4349" s="26" t="str">
        <f>IF(OR(E4349="",E4349="!!!",F4349="NEW"),"",COUNTBLANK(OFFSET(A$1,,,SUMPRODUCT(MAX(ROW(E$2:E4349)*(E4349=E$2:E4349)))))-COUNTBLANK(OFFSET(A$1,,,SUMPRODUCT(MAX(ROW(E$1:E4348)*(E2=E$1:E4348))))))</f>
        <v> </v>
      </c>
      <c r="K4349" s="26" t="str">
        <f>IF(OR(E4349="",E4349="!!!",F4349="NEW"),"",INDEX(J$1:J4348,SUMPRODUCT(MAX(ROW(E$1:E4348)*(E4349=E$1:E4348)))))</f>
        <v> </v>
      </c>
      <c r="L4349" s="27"/>
    </row>
    <row r="4350" spans="1:12">
      <c r="A4350" s="20" t="s">
        <v>1478</v>
      </c>
      <c r="B4350" s="21" t="s">
        <v>1050</v>
      </c>
      <c r="C4350" s="21" t="s">
        <v>1013</v>
      </c>
      <c r="D4350" s="21" t="s">
        <v>1007</v>
      </c>
      <c r="E4350" s="22">
        <f>IF(D4350="?OLD","!!!","")</f>
        <v/>
      </c>
      <c r="F4350" s="23" t="str">
        <f>IF(OR(E4350="",E4350="!!!"),"",IF(NOT(ISNA(VLOOKUP(E4350,E$1:E4349,1,FALSE()))),"OLD",IF(AND(E4350&lt;&gt;"",E4350&lt;&gt;"!!!"),"NEW","")))</f>
        <v> </v>
      </c>
      <c r="G4350" s="24" t="str">
        <f>IF(OR(E4350="",E4350="!!!"),"",IF(OR(J4350=0,AND(J4350=1,K4350=1),AND(J4350=1,I4350="SBJ"),AND(J4350=1,I4350=0)),"?IN_FOCUS",IF(J4350&lt;=2,"?ACTIVATED",IF(J4350&lt;&gt;"","?FAMILIAR",IF(F4350="NEW",IF(ISNA(VLOOKUP(E4350,#REF!,1,FALSE())),"?TYPE_IDENTIFIABLE","?REFERENTIAL"),"_")))))</f>
        <v> </v>
      </c>
      <c r="H4350" s="25" t="str">
        <f>IF(J4350&lt;&gt;1,"",IF(I4350="SBJ","CB","?"))</f>
        <v> </v>
      </c>
      <c r="I4350" s="26" t="str">
        <f>IF(OR(E4350="",E4350="!!!",F4350="NEW"),"",INDEX(B4349:B$2,-1+SUMPRODUCT(MAX(ROW(E4349:E$2)*(E4350=E4349:E$2)))))</f>
        <v> </v>
      </c>
      <c r="J4350" s="26" t="str">
        <f>IF(OR(E4350="",E4350="!!!",F4350="NEW"),"",COUNTBLANK(OFFSET(A$1,,,SUMPRODUCT(MAX(ROW(E$2:E4350)*(E4350=E$2:E4350)))))-COUNTBLANK(OFFSET(A$1,,,SUMPRODUCT(MAX(ROW(E$1:E4349)*(E2=E$1:E4349))))))</f>
        <v> </v>
      </c>
      <c r="K4350" s="26" t="str">
        <f>IF(OR(E4350="",E4350="!!!",F4350="NEW"),"",INDEX(J$1:J4349,SUMPRODUCT(MAX(ROW(E$1:E4349)*(E4350=E$1:E4349)))))</f>
        <v> </v>
      </c>
      <c r="L4350" s="27"/>
    </row>
    <row r="4351" spans="1:12">
      <c r="A4351" s="20" t="s">
        <v>1014</v>
      </c>
      <c r="E4351" s="22">
        <f>IF(D4351="?OLD","!!!","")</f>
        <v/>
      </c>
      <c r="F4351" s="23" t="str">
        <f>IF(OR(E4351="",E4351="!!!"),"",IF(NOT(ISNA(VLOOKUP(E4351,E$1:E4350,1,FALSE()))),"OLD",IF(AND(E4351&lt;&gt;"",E4351&lt;&gt;"!!!"),"NEW","")))</f>
        <v> </v>
      </c>
      <c r="G4351" s="24" t="str">
        <f>IF(OR(E4351="",E4351="!!!"),"",IF(OR(J4351=0,AND(J4351=1,K4351=1),AND(J4351=1,I4351="SBJ"),AND(J4351=1,I4351=0)),"?IN_FOCUS",IF(J4351&lt;=2,"?ACTIVATED",IF(J4351&lt;&gt;"","?FAMILIAR",IF(F4351="NEW",IF(ISNA(VLOOKUP(E4351,#REF!,1,FALSE())),"?TYPE_IDENTIFIABLE","?REFERENTIAL"),"_")))))</f>
        <v> </v>
      </c>
      <c r="H4351" s="25" t="str">
        <f>IF(J4351&lt;&gt;1,"",IF(I4351="SBJ","CB","?"))</f>
        <v> </v>
      </c>
      <c r="I4351" s="26" t="str">
        <f>IF(OR(E4351="",E4351="!!!",F4351="NEW"),"",INDEX(B4350:B$2,-1+SUMPRODUCT(MAX(ROW(E4350:E$2)*(E4351=E4350:E$2)))))</f>
        <v> </v>
      </c>
      <c r="J4351" s="26" t="str">
        <f>IF(OR(E4351="",E4351="!!!",F4351="NEW"),"",COUNTBLANK(OFFSET(A$1,,,SUMPRODUCT(MAX(ROW(E$2:E4351)*(E4351=E$2:E4351)))))-COUNTBLANK(OFFSET(A$1,,,SUMPRODUCT(MAX(ROW(E$1:E4350)*(E2=E$1:E4350))))))</f>
        <v> </v>
      </c>
      <c r="K4351" s="26" t="str">
        <f>IF(OR(E4351="",E4351="!!!",F4351="NEW"),"",INDEX(J$1:J4350,SUMPRODUCT(MAX(ROW(E$1:E4350)*(E4351=E$1:E4350)))))</f>
        <v> </v>
      </c>
      <c r="L4351" s="27"/>
    </row>
    <row r="4352" spans="1:12">
      <c r="A4352" s="20" t="s">
        <v>2255</v>
      </c>
      <c r="B4352" s="21" t="s">
        <v>1022</v>
      </c>
      <c r="C4352" s="21" t="s">
        <v>1048</v>
      </c>
      <c r="E4352" s="22">
        <f>IF(D4352="?OLD","!!!","")</f>
        <v/>
      </c>
      <c r="F4352" s="23" t="str">
        <f>IF(OR(E4352="",E4352="!!!"),"",IF(NOT(ISNA(VLOOKUP(E4352,E$1:E4351,1,FALSE()))),"OLD",IF(AND(E4352&lt;&gt;"",E4352&lt;&gt;"!!!"),"NEW","")))</f>
        <v> </v>
      </c>
      <c r="G4352" s="24" t="str">
        <f>IF(OR(E4352="",E4352="!!!"),"",IF(OR(J4352=0,AND(J4352=1,K4352=1),AND(J4352=1,I4352="SBJ"),AND(J4352=1,I4352=0)),"?IN_FOCUS",IF(J4352&lt;=2,"?ACTIVATED",IF(J4352&lt;&gt;"","?FAMILIAR",IF(F4352="NEW",IF(ISNA(VLOOKUP(E4352,#REF!,1,FALSE())),"?TYPE_IDENTIFIABLE","?REFERENTIAL"),"_")))))</f>
        <v> </v>
      </c>
      <c r="H4352" s="25" t="str">
        <f>IF(J4352&lt;&gt;1,"",IF(I4352="SBJ","CB","?"))</f>
        <v> </v>
      </c>
      <c r="I4352" s="26" t="str">
        <f>IF(OR(E4352="",E4352="!!!",F4352="NEW"),"",INDEX(B4351:B$2,-1+SUMPRODUCT(MAX(ROW(E4351:E$2)*(E4352=E4351:E$2)))))</f>
        <v> </v>
      </c>
      <c r="J4352" s="26" t="str">
        <f>IF(OR(E4352="",E4352="!!!",F4352="NEW"),"",COUNTBLANK(OFFSET(A$1,,,SUMPRODUCT(MAX(ROW(E$2:E4352)*(E4352=E$2:E4352)))))-COUNTBLANK(OFFSET(A$1,,,SUMPRODUCT(MAX(ROW(E$1:E4351)*(E2=E$1:E4351))))))</f>
        <v> </v>
      </c>
      <c r="K4352" s="26" t="str">
        <f>IF(OR(E4352="",E4352="!!!",F4352="NEW"),"",INDEX(J$1:J4351,SUMPRODUCT(MAX(ROW(E$1:E4351)*(E4352=E$1:E4351)))))</f>
        <v> </v>
      </c>
      <c r="L4352" s="27"/>
    </row>
    <row r="4353" spans="1:12">
      <c r="A4353" s="20" t="s">
        <v>1075</v>
      </c>
      <c r="E4353" s="22">
        <f>IF(D4353="?OLD","!!!","")</f>
        <v/>
      </c>
      <c r="F4353" s="23" t="str">
        <f>IF(OR(E4353="",E4353="!!!"),"",IF(NOT(ISNA(VLOOKUP(E4353,E$1:E4352,1,FALSE()))),"OLD",IF(AND(E4353&lt;&gt;"",E4353&lt;&gt;"!!!"),"NEW","")))</f>
        <v> </v>
      </c>
      <c r="G4353" s="24" t="str">
        <f>IF(OR(E4353="",E4353="!!!"),"",IF(OR(J4353=0,AND(J4353=1,K4353=1),AND(J4353=1,I4353="SBJ"),AND(J4353=1,I4353=0)),"?IN_FOCUS",IF(J4353&lt;=2,"?ACTIVATED",IF(J4353&lt;&gt;"","?FAMILIAR",IF(F4353="NEW",IF(ISNA(VLOOKUP(E4353,#REF!,1,FALSE())),"?TYPE_IDENTIFIABLE","?REFERENTIAL"),"_")))))</f>
        <v> </v>
      </c>
      <c r="H4353" s="25" t="str">
        <f>IF(J4353&lt;&gt;1,"",IF(I4353="SBJ","CB","?"))</f>
        <v> </v>
      </c>
      <c r="I4353" s="26" t="str">
        <f>IF(OR(E4353="",E4353="!!!",F4353="NEW"),"",INDEX(B4352:B$2,-1+SUMPRODUCT(MAX(ROW(E4352:E$2)*(E4353=E4352:E$2)))))</f>
        <v> </v>
      </c>
      <c r="J4353" s="26" t="str">
        <f>IF(OR(E4353="",E4353="!!!",F4353="NEW"),"",COUNTBLANK(OFFSET(A$1,,,SUMPRODUCT(MAX(ROW(E$2:E4353)*(E4353=E$2:E4353)))))-COUNTBLANK(OFFSET(A$1,,,SUMPRODUCT(MAX(ROW(E$1:E4352)*(E2=E$1:E4352))))))</f>
        <v> </v>
      </c>
      <c r="K4353" s="26" t="str">
        <f>IF(OR(E4353="",E4353="!!!",F4353="NEW"),"",INDEX(J$1:J4352,SUMPRODUCT(MAX(ROW(E$1:E4352)*(E4353=E$1:E4352)))))</f>
        <v> </v>
      </c>
      <c r="L4353" s="27"/>
    </row>
    <row r="4354" spans="1:12">
      <c r="A4354" s="20" t="s">
        <v>1065</v>
      </c>
      <c r="E4354" s="22">
        <f>IF(D4354="?OLD","!!!","")</f>
        <v/>
      </c>
      <c r="F4354" s="23" t="str">
        <f>IF(OR(E4354="",E4354="!!!"),"",IF(NOT(ISNA(VLOOKUP(E4354,E$1:E4353,1,FALSE()))),"OLD",IF(AND(E4354&lt;&gt;"",E4354&lt;&gt;"!!!"),"NEW","")))</f>
        <v> </v>
      </c>
      <c r="G4354" s="24" t="str">
        <f>IF(OR(E4354="",E4354="!!!"),"",IF(OR(J4354=0,AND(J4354=1,K4354=1),AND(J4354=1,I4354="SBJ"),AND(J4354=1,I4354=0)),"?IN_FOCUS",IF(J4354&lt;=2,"?ACTIVATED",IF(J4354&lt;&gt;"","?FAMILIAR",IF(F4354="NEW",IF(ISNA(VLOOKUP(E4354,#REF!,1,FALSE())),"?TYPE_IDENTIFIABLE","?REFERENTIAL"),"_")))))</f>
        <v> </v>
      </c>
      <c r="H4354" s="25" t="str">
        <f>IF(J4354&lt;&gt;1,"",IF(I4354="SBJ","CB","?"))</f>
        <v> </v>
      </c>
      <c r="I4354" s="26" t="str">
        <f>IF(OR(E4354="",E4354="!!!",F4354="NEW"),"",INDEX(B4353:B$2,-1+SUMPRODUCT(MAX(ROW(E4353:E$2)*(E4354=E4353:E$2)))))</f>
        <v> </v>
      </c>
      <c r="J4354" s="26" t="str">
        <f>IF(OR(E4354="",E4354="!!!",F4354="NEW"),"",COUNTBLANK(OFFSET(A$1,,,SUMPRODUCT(MAX(ROW(E$2:E4354)*(E4354=E$2:E4354)))))-COUNTBLANK(OFFSET(A$1,,,SUMPRODUCT(MAX(ROW(E$1:E4353)*(E2=E$1:E4353))))))</f>
        <v> </v>
      </c>
      <c r="K4354" s="26" t="str">
        <f>IF(OR(E4354="",E4354="!!!",F4354="NEW"),"",INDEX(J$1:J4353,SUMPRODUCT(MAX(ROW(E$1:E4353)*(E4354=E$1:E4353)))))</f>
        <v> </v>
      </c>
      <c r="L4354" s="27"/>
    </row>
    <row r="4355" spans="1:12">
      <c r="A4355" s="20" t="s">
        <v>102</v>
      </c>
      <c r="E4355" s="22">
        <f>IF(D4355="?OLD","!!!","")</f>
        <v/>
      </c>
      <c r="F4355" s="23" t="str">
        <f>IF(OR(E4355="",E4355="!!!"),"",IF(NOT(ISNA(VLOOKUP(E4355,E$1:E4354,1,FALSE()))),"OLD",IF(AND(E4355&lt;&gt;"",E4355&lt;&gt;"!!!"),"NEW","")))</f>
        <v> </v>
      </c>
      <c r="G4355" s="24" t="str">
        <f>IF(OR(E4355="",E4355="!!!"),"",IF(OR(J4355=0,AND(J4355=1,K4355=1),AND(J4355=1,I4355="SBJ"),AND(J4355=1,I4355=0)),"?IN_FOCUS",IF(J4355&lt;=2,"?ACTIVATED",IF(J4355&lt;&gt;"","?FAMILIAR",IF(F4355="NEW",IF(ISNA(VLOOKUP(E4355,#REF!,1,FALSE())),"?TYPE_IDENTIFIABLE","?REFERENTIAL"),"_")))))</f>
        <v> </v>
      </c>
      <c r="H4355" s="25" t="str">
        <f>IF(J4355&lt;&gt;1,"",IF(I4355="SBJ","CB","?"))</f>
        <v> </v>
      </c>
      <c r="I4355" s="26" t="str">
        <f>IF(OR(E4355="",E4355="!!!",F4355="NEW"),"",INDEX(B4354:B$2,-1+SUMPRODUCT(MAX(ROW(E4354:E$2)*(E4355=E4354:E$2)))))</f>
        <v> </v>
      </c>
      <c r="J4355" s="26" t="str">
        <f>IF(OR(E4355="",E4355="!!!",F4355="NEW"),"",COUNTBLANK(OFFSET(A$1,,,SUMPRODUCT(MAX(ROW(E$2:E4355)*(E4355=E$2:E4355)))))-COUNTBLANK(OFFSET(A$1,,,SUMPRODUCT(MAX(ROW(E$1:E4354)*(E2=E$1:E4354))))))</f>
        <v> </v>
      </c>
      <c r="K4355" s="26" t="str">
        <f>IF(OR(E4355="",E4355="!!!",F4355="NEW"),"",INDEX(J$1:J4354,SUMPRODUCT(MAX(ROW(E$1:E4354)*(E4355=E$1:E4354)))))</f>
        <v> </v>
      </c>
      <c r="L4355" s="27"/>
    </row>
    <row r="4356" spans="1:12">
      <c r="A4356" s="20" t="s">
        <v>2196</v>
      </c>
      <c r="B4356" s="21" t="s">
        <v>1119</v>
      </c>
      <c r="C4356" s="21" t="s">
        <v>1017</v>
      </c>
      <c r="D4356" s="21" t="s">
        <v>1007</v>
      </c>
      <c r="E4356" s="22">
        <f>IF(D4356="?OLD","!!!","")</f>
        <v/>
      </c>
      <c r="F4356" s="23" t="str">
        <f>IF(OR(E4356="",E4356="!!!"),"",IF(NOT(ISNA(VLOOKUP(E4356,E$1:E4355,1,FALSE()))),"OLD",IF(AND(E4356&lt;&gt;"",E4356&lt;&gt;"!!!"),"NEW","")))</f>
        <v> </v>
      </c>
      <c r="G4356" s="24" t="str">
        <f>IF(OR(E4356="",E4356="!!!"),"",IF(OR(J4356=0,AND(J4356=1,K4356=1),AND(J4356=1,I4356="SBJ"),AND(J4356=1,I4356=0)),"?IN_FOCUS",IF(J4356&lt;=2,"?ACTIVATED",IF(J4356&lt;&gt;"","?FAMILIAR",IF(F4356="NEW",IF(ISNA(VLOOKUP(E4356,#REF!,1,FALSE())),"?TYPE_IDENTIFIABLE","?REFERENTIAL"),"_")))))</f>
        <v> </v>
      </c>
      <c r="H4356" s="25" t="str">
        <f>IF(J4356&lt;&gt;1,"",IF(I4356="SBJ","CB","?"))</f>
        <v> </v>
      </c>
      <c r="I4356" s="26" t="str">
        <f>IF(OR(E4356="",E4356="!!!",F4356="NEW"),"",INDEX(B4355:B$2,-1+SUMPRODUCT(MAX(ROW(E4355:E$2)*(E4356=E4355:E$2)))))</f>
        <v> </v>
      </c>
      <c r="J4356" s="26" t="str">
        <f>IF(OR(E4356="",E4356="!!!",F4356="NEW"),"",COUNTBLANK(OFFSET(A$1,,,SUMPRODUCT(MAX(ROW(E$2:E4356)*(E4356=E$2:E4356)))))-COUNTBLANK(OFFSET(A$1,,,SUMPRODUCT(MAX(ROW(E$1:E4355)*(E2=E$1:E4355))))))</f>
        <v> </v>
      </c>
      <c r="K4356" s="26" t="str">
        <f>IF(OR(E4356="",E4356="!!!",F4356="NEW"),"",INDEX(J$1:J4355,SUMPRODUCT(MAX(ROW(E$1:E4355)*(E4356=E$1:E4355)))))</f>
        <v> </v>
      </c>
      <c r="L4356" s="27"/>
    </row>
    <row r="4357" spans="1:12">
      <c r="A4357" s="20" t="s">
        <v>1124</v>
      </c>
      <c r="E4357" s="22">
        <f>IF(D4357="?OLD","!!!","")</f>
        <v/>
      </c>
      <c r="F4357" s="23" t="str">
        <f>IF(OR(E4357="",E4357="!!!"),"",IF(NOT(ISNA(VLOOKUP(E4357,E$1:E4356,1,FALSE()))),"OLD",IF(AND(E4357&lt;&gt;"",E4357&lt;&gt;"!!!"),"NEW","")))</f>
        <v> </v>
      </c>
      <c r="G4357" s="24" t="str">
        <f>IF(OR(E4357="",E4357="!!!"),"",IF(OR(J4357=0,AND(J4357=1,K4357=1),AND(J4357=1,I4357="SBJ"),AND(J4357=1,I4357=0)),"?IN_FOCUS",IF(J4357&lt;=2,"?ACTIVATED",IF(J4357&lt;&gt;"","?FAMILIAR",IF(F4357="NEW",IF(ISNA(VLOOKUP(E4357,#REF!,1,FALSE())),"?TYPE_IDENTIFIABLE","?REFERENTIAL"),"_")))))</f>
        <v> </v>
      </c>
      <c r="H4357" s="25" t="str">
        <f>IF(J4357&lt;&gt;1,"",IF(I4357="SBJ","CB","?"))</f>
        <v> </v>
      </c>
      <c r="I4357" s="26" t="str">
        <f>IF(OR(E4357="",E4357="!!!",F4357="NEW"),"",INDEX(B4356:B$2,-1+SUMPRODUCT(MAX(ROW(E4356:E$2)*(E4357=E4356:E$2)))))</f>
        <v> </v>
      </c>
      <c r="J4357" s="26" t="str">
        <f>IF(OR(E4357="",E4357="!!!",F4357="NEW"),"",COUNTBLANK(OFFSET(A$1,,,SUMPRODUCT(MAX(ROW(E$2:E4357)*(E4357=E$2:E4357)))))-COUNTBLANK(OFFSET(A$1,,,SUMPRODUCT(MAX(ROW(E$1:E4356)*(E2=E$1:E4356))))))</f>
        <v> </v>
      </c>
      <c r="K4357" s="26" t="str">
        <f>IF(OR(E4357="",E4357="!!!",F4357="NEW"),"",INDEX(J$1:J4356,SUMPRODUCT(MAX(ROW(E$1:E4356)*(E4357=E$1:E4356)))))</f>
        <v> </v>
      </c>
      <c r="L4357" s="27"/>
    </row>
    <row r="4358" spans="1:12">
      <c r="A4358" s="20" t="s">
        <v>1413</v>
      </c>
      <c r="E4358" s="22">
        <f>IF(D4358="?OLD","!!!","")</f>
        <v/>
      </c>
      <c r="F4358" s="23" t="str">
        <f>IF(OR(E4358="",E4358="!!!"),"",IF(NOT(ISNA(VLOOKUP(E4358,E$1:E4357,1,FALSE()))),"OLD",IF(AND(E4358&lt;&gt;"",E4358&lt;&gt;"!!!"),"NEW","")))</f>
        <v> </v>
      </c>
      <c r="G4358" s="24" t="str">
        <f>IF(OR(E4358="",E4358="!!!"),"",IF(OR(J4358=0,AND(J4358=1,K4358=1),AND(J4358=1,I4358="SBJ"),AND(J4358=1,I4358=0)),"?IN_FOCUS",IF(J4358&lt;=2,"?ACTIVATED",IF(J4358&lt;&gt;"","?FAMILIAR",IF(F4358="NEW",IF(ISNA(VLOOKUP(E4358,#REF!,1,FALSE())),"?TYPE_IDENTIFIABLE","?REFERENTIAL"),"_")))))</f>
        <v> </v>
      </c>
      <c r="H4358" s="25" t="str">
        <f>IF(J4358&lt;&gt;1,"",IF(I4358="SBJ","CB","?"))</f>
        <v> </v>
      </c>
      <c r="I4358" s="26" t="str">
        <f>IF(OR(E4358="",E4358="!!!",F4358="NEW"),"",INDEX(B4357:B$2,-1+SUMPRODUCT(MAX(ROW(E4357:E$2)*(E4358=E4357:E$2)))))</f>
        <v> </v>
      </c>
      <c r="J4358" s="26" t="str">
        <f>IF(OR(E4358="",E4358="!!!",F4358="NEW"),"",COUNTBLANK(OFFSET(A$1,,,SUMPRODUCT(MAX(ROW(E$2:E4358)*(E4358=E$2:E4358)))))-COUNTBLANK(OFFSET(A$1,,,SUMPRODUCT(MAX(ROW(E$1:E4357)*(E2=E$1:E4357))))))</f>
        <v> </v>
      </c>
      <c r="K4358" s="26" t="str">
        <f>IF(OR(E4358="",E4358="!!!",F4358="NEW"),"",INDEX(J$1:J4357,SUMPRODUCT(MAX(ROW(E$1:E4357)*(E4358=E$1:E4357)))))</f>
        <v> </v>
      </c>
      <c r="L4358" s="27"/>
    </row>
    <row r="4359" spans="1:12">
      <c r="A4359" s="20" t="s">
        <v>2002</v>
      </c>
      <c r="E4359" s="22">
        <f>IF(D4359="?OLD","!!!","")</f>
        <v/>
      </c>
      <c r="F4359" s="23" t="str">
        <f>IF(OR(E4359="",E4359="!!!"),"",IF(NOT(ISNA(VLOOKUP(E4359,E$1:E4358,1,FALSE()))),"OLD",IF(AND(E4359&lt;&gt;"",E4359&lt;&gt;"!!!"),"NEW","")))</f>
        <v> </v>
      </c>
      <c r="G4359" s="24" t="str">
        <f>IF(OR(E4359="",E4359="!!!"),"",IF(OR(J4359=0,AND(J4359=1,K4359=1),AND(J4359=1,I4359="SBJ"),AND(J4359=1,I4359=0)),"?IN_FOCUS",IF(J4359&lt;=2,"?ACTIVATED",IF(J4359&lt;&gt;"","?FAMILIAR",IF(F4359="NEW",IF(ISNA(VLOOKUP(E4359,#REF!,1,FALSE())),"?TYPE_IDENTIFIABLE","?REFERENTIAL"),"_")))))</f>
        <v> </v>
      </c>
      <c r="H4359" s="25" t="str">
        <f>IF(J4359&lt;&gt;1,"",IF(I4359="SBJ","CB","?"))</f>
        <v> </v>
      </c>
      <c r="I4359" s="26" t="str">
        <f>IF(OR(E4359="",E4359="!!!",F4359="NEW"),"",INDEX(B4358:B$2,-1+SUMPRODUCT(MAX(ROW(E4358:E$2)*(E4359=E4358:E$2)))))</f>
        <v> </v>
      </c>
      <c r="J4359" s="26" t="str">
        <f>IF(OR(E4359="",E4359="!!!",F4359="NEW"),"",COUNTBLANK(OFFSET(A$1,,,SUMPRODUCT(MAX(ROW(E$2:E4359)*(E4359=E$2:E4359)))))-COUNTBLANK(OFFSET(A$1,,,SUMPRODUCT(MAX(ROW(E$1:E4358)*(E2=E$1:E4358))))))</f>
        <v> </v>
      </c>
      <c r="K4359" s="26" t="str">
        <f>IF(OR(E4359="",E4359="!!!",F4359="NEW"),"",INDEX(J$1:J4358,SUMPRODUCT(MAX(ROW(E$1:E4358)*(E4359=E$1:E4358)))))</f>
        <v> </v>
      </c>
      <c r="L4359" s="27"/>
    </row>
    <row r="4360" spans="1:12">
      <c r="A4360" s="20" t="s">
        <v>102</v>
      </c>
      <c r="B4360" s="21" t="s">
        <v>1005</v>
      </c>
      <c r="C4360" s="21" t="s">
        <v>1073</v>
      </c>
      <c r="D4360" s="21" t="s">
        <v>1007</v>
      </c>
      <c r="E4360" s="22">
        <f>IF(D4360="?OLD","!!!","")</f>
        <v/>
      </c>
      <c r="F4360" s="23" t="str">
        <f>IF(OR(E4360="",E4360="!!!"),"",IF(NOT(ISNA(VLOOKUP(E4360,E$1:E4359,1,FALSE()))),"OLD",IF(AND(E4360&lt;&gt;"",E4360&lt;&gt;"!!!"),"NEW","")))</f>
        <v> </v>
      </c>
      <c r="G4360" s="24" t="str">
        <f>IF(OR(E4360="",E4360="!!!"),"",IF(OR(J4360=0,AND(J4360=1,K4360=1),AND(J4360=1,I4360="SBJ"),AND(J4360=1,I4360=0)),"?IN_FOCUS",IF(J4360&lt;=2,"?ACTIVATED",IF(J4360&lt;&gt;"","?FAMILIAR",IF(F4360="NEW",IF(ISNA(VLOOKUP(E4360,#REF!,1,FALSE())),"?TYPE_IDENTIFIABLE","?REFERENTIAL"),"_")))))</f>
        <v> </v>
      </c>
      <c r="H4360" s="25" t="str">
        <f>IF(J4360&lt;&gt;1,"",IF(I4360="SBJ","CB","?"))</f>
        <v> </v>
      </c>
      <c r="I4360" s="26" t="str">
        <f>IF(OR(E4360="",E4360="!!!",F4360="NEW"),"",INDEX(B4359:B$2,-1+SUMPRODUCT(MAX(ROW(E4359:E$2)*(E4360=E4359:E$2)))))</f>
        <v> </v>
      </c>
      <c r="J4360" s="26" t="str">
        <f>IF(OR(E4360="",E4360="!!!",F4360="NEW"),"",COUNTBLANK(OFFSET(A$1,,,SUMPRODUCT(MAX(ROW(E$2:E4360)*(E4360=E$2:E4360)))))-COUNTBLANK(OFFSET(A$1,,,SUMPRODUCT(MAX(ROW(E$1:E4359)*(E2=E$1:E4359))))))</f>
        <v> </v>
      </c>
      <c r="K4360" s="26" t="str">
        <f>IF(OR(E4360="",E4360="!!!",F4360="NEW"),"",INDEX(J$1:J4359,SUMPRODUCT(MAX(ROW(E$1:E4359)*(E4360=E$1:E4359)))))</f>
        <v> </v>
      </c>
      <c r="L4360" s="27"/>
    </row>
    <row r="4361" spans="1:12">
      <c r="A4361" s="20" t="s">
        <v>1065</v>
      </c>
      <c r="B4361" s="21" t="s">
        <v>1187</v>
      </c>
      <c r="E4361" s="22">
        <f>IF(D4361="?OLD","!!!","")</f>
        <v/>
      </c>
      <c r="F4361" s="23" t="str">
        <f>IF(OR(E4361="",E4361="!!!"),"",IF(NOT(ISNA(VLOOKUP(E4361,E$1:E4360,1,FALSE()))),"OLD",IF(AND(E4361&lt;&gt;"",E4361&lt;&gt;"!!!"),"NEW","")))</f>
        <v> </v>
      </c>
      <c r="G4361" s="24" t="str">
        <f>IF(OR(E4361="",E4361="!!!"),"",IF(OR(J4361=0,AND(J4361=1,K4361=1),AND(J4361=1,I4361="SBJ"),AND(J4361=1,I4361=0)),"?IN_FOCUS",IF(J4361&lt;=2,"?ACTIVATED",IF(J4361&lt;&gt;"","?FAMILIAR",IF(F4361="NEW",IF(ISNA(VLOOKUP(E4361,#REF!,1,FALSE())),"?TYPE_IDENTIFIABLE","?REFERENTIAL"),"_")))))</f>
        <v> </v>
      </c>
      <c r="H4361" s="25" t="str">
        <f>IF(J4361&lt;&gt;1,"",IF(I4361="SBJ","CB","?"))</f>
        <v> </v>
      </c>
      <c r="I4361" s="26" t="str">
        <f>IF(OR(E4361="",E4361="!!!",F4361="NEW"),"",INDEX(B4360:B$2,-1+SUMPRODUCT(MAX(ROW(E4360:E$2)*(E4361=E4360:E$2)))))</f>
        <v> </v>
      </c>
      <c r="J4361" s="26" t="str">
        <f>IF(OR(E4361="",E4361="!!!",F4361="NEW"),"",COUNTBLANK(OFFSET(A$1,,,SUMPRODUCT(MAX(ROW(E$2:E4361)*(E4361=E$2:E4361)))))-COUNTBLANK(OFFSET(A$1,,,SUMPRODUCT(MAX(ROW(E$1:E4360)*(E2=E$1:E4360))))))</f>
        <v> </v>
      </c>
      <c r="K4361" s="26" t="str">
        <f>IF(OR(E4361="",E4361="!!!",F4361="NEW"),"",INDEX(J$1:J4360,SUMPRODUCT(MAX(ROW(E$1:E4360)*(E4361=E$1:E4360)))))</f>
        <v> </v>
      </c>
      <c r="L4361" s="27"/>
    </row>
    <row r="4362" spans="1:12">
      <c r="A4362" s="20" t="s">
        <v>1669</v>
      </c>
      <c r="B4362" s="21" t="s">
        <v>1154</v>
      </c>
      <c r="C4362" s="21" t="s">
        <v>1082</v>
      </c>
      <c r="D4362" s="21" t="s">
        <v>1007</v>
      </c>
      <c r="E4362" s="22">
        <f>IF(D4362="?OLD","!!!","")</f>
        <v/>
      </c>
      <c r="F4362" s="23" t="str">
        <f>IF(OR(E4362="",E4362="!!!"),"",IF(NOT(ISNA(VLOOKUP(E4362,E$1:E4361,1,FALSE()))),"OLD",IF(AND(E4362&lt;&gt;"",E4362&lt;&gt;"!!!"),"NEW","")))</f>
        <v> </v>
      </c>
      <c r="G4362" s="24" t="str">
        <f>IF(OR(E4362="",E4362="!!!"),"",IF(OR(J4362=0,AND(J4362=1,K4362=1),AND(J4362=1,I4362="SBJ"),AND(J4362=1,I4362=0)),"?IN_FOCUS",IF(J4362&lt;=2,"?ACTIVATED",IF(J4362&lt;&gt;"","?FAMILIAR",IF(F4362="NEW",IF(ISNA(VLOOKUP(E4362,#REF!,1,FALSE())),"?TYPE_IDENTIFIABLE","?REFERENTIAL"),"_")))))</f>
        <v> </v>
      </c>
      <c r="H4362" s="25" t="str">
        <f>IF(J4362&lt;&gt;1,"",IF(I4362="SBJ","CB","?"))</f>
        <v> </v>
      </c>
      <c r="I4362" s="26" t="str">
        <f>IF(OR(E4362="",E4362="!!!",F4362="NEW"),"",INDEX(B4361:B$2,-1+SUMPRODUCT(MAX(ROW(E4361:E$2)*(E4362=E4361:E$2)))))</f>
        <v> </v>
      </c>
      <c r="J4362" s="26" t="str">
        <f>IF(OR(E4362="",E4362="!!!",F4362="NEW"),"",COUNTBLANK(OFFSET(A$1,,,SUMPRODUCT(MAX(ROW(E$2:E4362)*(E4362=E$2:E4362)))))-COUNTBLANK(OFFSET(A$1,,,SUMPRODUCT(MAX(ROW(E$1:E4361)*(E2=E$1:E4361))))))</f>
        <v> </v>
      </c>
      <c r="K4362" s="26" t="str">
        <f>IF(OR(E4362="",E4362="!!!",F4362="NEW"),"",INDEX(J$1:J4361,SUMPRODUCT(MAX(ROW(E$1:E4361)*(E4362=E$1:E4361)))))</f>
        <v> </v>
      </c>
      <c r="L4362" s="27"/>
    </row>
    <row r="4363" spans="1:12">
      <c r="A4363" s="20" t="s">
        <v>1018</v>
      </c>
      <c r="E4363" s="22">
        <f>IF(D4363="?OLD","!!!","")</f>
        <v/>
      </c>
      <c r="F4363" s="23" t="str">
        <f>IF(OR(E4363="",E4363="!!!"),"",IF(NOT(ISNA(VLOOKUP(E4363,E$1:E4362,1,FALSE()))),"OLD",IF(AND(E4363&lt;&gt;"",E4363&lt;&gt;"!!!"),"NEW","")))</f>
        <v> </v>
      </c>
      <c r="G4363" s="24" t="str">
        <f>IF(OR(E4363="",E4363="!!!"),"",IF(OR(J4363=0,AND(J4363=1,K4363=1),AND(J4363=1,I4363="SBJ"),AND(J4363=1,I4363=0)),"?IN_FOCUS",IF(J4363&lt;=2,"?ACTIVATED",IF(J4363&lt;&gt;"","?FAMILIAR",IF(F4363="NEW",IF(ISNA(VLOOKUP(E4363,#REF!,1,FALSE())),"?TYPE_IDENTIFIABLE","?REFERENTIAL"),"_")))))</f>
        <v> </v>
      </c>
      <c r="H4363" s="25" t="str">
        <f>IF(J4363&lt;&gt;1,"",IF(I4363="SBJ","CB","?"))</f>
        <v> </v>
      </c>
      <c r="I4363" s="26" t="str">
        <f>IF(OR(E4363="",E4363="!!!",F4363="NEW"),"",INDEX(B4362:B$2,-1+SUMPRODUCT(MAX(ROW(E4362:E$2)*(E4363=E4362:E$2)))))</f>
        <v> </v>
      </c>
      <c r="J4363" s="26" t="str">
        <f>IF(OR(E4363="",E4363="!!!",F4363="NEW"),"",COUNTBLANK(OFFSET(A$1,,,SUMPRODUCT(MAX(ROW(E$2:E4363)*(E4363=E$2:E4363)))))-COUNTBLANK(OFFSET(A$1,,,SUMPRODUCT(MAX(ROW(E$1:E4362)*(E2=E$1:E4362))))))</f>
        <v> </v>
      </c>
      <c r="K4363" s="26" t="str">
        <f>IF(OR(E4363="",E4363="!!!",F4363="NEW"),"",INDEX(J$1:J4362,SUMPRODUCT(MAX(ROW(E$1:E4362)*(E4363=E$1:E4362)))))</f>
        <v> </v>
      </c>
      <c r="L4363" s="27"/>
    </row>
    <row r="4364" spans="1:12">
      <c r="A4364" s="20" t="s">
        <v>1030</v>
      </c>
      <c r="E4364" s="22">
        <f>IF(D4364="?OLD","!!!","")</f>
        <v/>
      </c>
      <c r="F4364" s="23" t="str">
        <f>IF(OR(E4364="",E4364="!!!"),"",IF(NOT(ISNA(VLOOKUP(E4364,E$1:E4363,1,FALSE()))),"OLD",IF(AND(E4364&lt;&gt;"",E4364&lt;&gt;"!!!"),"NEW","")))</f>
        <v> </v>
      </c>
      <c r="G4364" s="24" t="str">
        <f>IF(OR(E4364="",E4364="!!!"),"",IF(OR(J4364=0,AND(J4364=1,K4364=1),AND(J4364=1,I4364="SBJ"),AND(J4364=1,I4364=0)),"?IN_FOCUS",IF(J4364&lt;=2,"?ACTIVATED",IF(J4364&lt;&gt;"","?FAMILIAR",IF(F4364="NEW",IF(ISNA(VLOOKUP(E4364,#REF!,1,FALSE())),"?TYPE_IDENTIFIABLE","?REFERENTIAL"),"_")))))</f>
        <v> </v>
      </c>
      <c r="H4364" s="25" t="str">
        <f>IF(J4364&lt;&gt;1,"",IF(I4364="SBJ","CB","?"))</f>
        <v> </v>
      </c>
      <c r="I4364" s="26" t="str">
        <f>IF(OR(E4364="",E4364="!!!",F4364="NEW"),"",INDEX(B4363:B$2,-1+SUMPRODUCT(MAX(ROW(E4363:E$2)*(E4364=E4363:E$2)))))</f>
        <v> </v>
      </c>
      <c r="J4364" s="26" t="str">
        <f>IF(OR(E4364="",E4364="!!!",F4364="NEW"),"",COUNTBLANK(OFFSET(A$1,,,SUMPRODUCT(MAX(ROW(E$2:E4364)*(E4364=E$2:E4364)))))-COUNTBLANK(OFFSET(A$1,,,SUMPRODUCT(MAX(ROW(E$1:E4363)*(E2=E$1:E4363))))))</f>
        <v> </v>
      </c>
      <c r="K4364" s="26" t="str">
        <f>IF(OR(E4364="",E4364="!!!",F4364="NEW"),"",INDEX(J$1:J4363,SUMPRODUCT(MAX(ROW(E$1:E4363)*(E4364=E$1:E4363)))))</f>
        <v> </v>
      </c>
      <c r="L4364" s="27"/>
    </row>
    <row r="4365" spans="1:12">
      <c r="A4365" s="20" t="s">
        <v>102</v>
      </c>
      <c r="E4365" s="22">
        <f>IF(D4365="?OLD","!!!","")</f>
        <v/>
      </c>
      <c r="F4365" s="23" t="str">
        <f>IF(OR(E4365="",E4365="!!!"),"",IF(NOT(ISNA(VLOOKUP(E4365,E$1:E4364,1,FALSE()))),"OLD",IF(AND(E4365&lt;&gt;"",E4365&lt;&gt;"!!!"),"NEW","")))</f>
        <v> </v>
      </c>
      <c r="G4365" s="24" t="str">
        <f>IF(OR(E4365="",E4365="!!!"),"",IF(OR(J4365=0,AND(J4365=1,K4365=1),AND(J4365=1,I4365="SBJ"),AND(J4365=1,I4365=0)),"?IN_FOCUS",IF(J4365&lt;=2,"?ACTIVATED",IF(J4365&lt;&gt;"","?FAMILIAR",IF(F4365="NEW",IF(ISNA(VLOOKUP(E4365,#REF!,1,FALSE())),"?TYPE_IDENTIFIABLE","?REFERENTIAL"),"_")))))</f>
        <v> </v>
      </c>
      <c r="H4365" s="25" t="str">
        <f>IF(J4365&lt;&gt;1,"",IF(I4365="SBJ","CB","?"))</f>
        <v> </v>
      </c>
      <c r="I4365" s="26" t="str">
        <f>IF(OR(E4365="",E4365="!!!",F4365="NEW"),"",INDEX(B4364:B$2,-1+SUMPRODUCT(MAX(ROW(E4364:E$2)*(E4365=E4364:E$2)))))</f>
        <v> </v>
      </c>
      <c r="J4365" s="26" t="str">
        <f>IF(OR(E4365="",E4365="!!!",F4365="NEW"),"",COUNTBLANK(OFFSET(A$1,,,SUMPRODUCT(MAX(ROW(E$2:E4365)*(E4365=E$2:E4365)))))-COUNTBLANK(OFFSET(A$1,,,SUMPRODUCT(MAX(ROW(E$1:E4364)*(E2=E$1:E4364))))))</f>
        <v> </v>
      </c>
      <c r="K4365" s="26" t="str">
        <f>IF(OR(E4365="",E4365="!!!",F4365="NEW"),"",INDEX(J$1:J4364,SUMPRODUCT(MAX(ROW(E$1:E4364)*(E4365=E$1:E4364)))))</f>
        <v> </v>
      </c>
      <c r="L4365" s="27"/>
    </row>
    <row r="4366" spans="1:12">
      <c r="A4366" s="20" t="s">
        <v>1156</v>
      </c>
      <c r="B4366" s="21" t="s">
        <v>1033</v>
      </c>
      <c r="C4366" s="21" t="s">
        <v>1013</v>
      </c>
      <c r="D4366" s="21" t="s">
        <v>1007</v>
      </c>
      <c r="E4366" s="22">
        <f>IF(D4366="?OLD","!!!","")</f>
        <v/>
      </c>
      <c r="F4366" s="23" t="str">
        <f>IF(OR(E4366="",E4366="!!!"),"",IF(NOT(ISNA(VLOOKUP(E4366,E$1:E4365,1,FALSE()))),"OLD",IF(AND(E4366&lt;&gt;"",E4366&lt;&gt;"!!!"),"NEW","")))</f>
        <v> </v>
      </c>
      <c r="G4366" s="24" t="str">
        <f>IF(OR(E4366="",E4366="!!!"),"",IF(OR(J4366=0,AND(J4366=1,K4366=1),AND(J4366=1,I4366="SBJ"),AND(J4366=1,I4366=0)),"?IN_FOCUS",IF(J4366&lt;=2,"?ACTIVATED",IF(J4366&lt;&gt;"","?FAMILIAR",IF(F4366="NEW",IF(ISNA(VLOOKUP(E4366,#REF!,1,FALSE())),"?TYPE_IDENTIFIABLE","?REFERENTIAL"),"_")))))</f>
        <v> </v>
      </c>
      <c r="H4366" s="25" t="str">
        <f>IF(J4366&lt;&gt;1,"",IF(I4366="SBJ","CB","?"))</f>
        <v> </v>
      </c>
      <c r="I4366" s="26" t="str">
        <f>IF(OR(E4366="",E4366="!!!",F4366="NEW"),"",INDEX(B4365:B$2,-1+SUMPRODUCT(MAX(ROW(E4365:E$2)*(E4366=E4365:E$2)))))</f>
        <v> </v>
      </c>
      <c r="J4366" s="26" t="str">
        <f>IF(OR(E4366="",E4366="!!!",F4366="NEW"),"",COUNTBLANK(OFFSET(A$1,,,SUMPRODUCT(MAX(ROW(E$2:E4366)*(E4366=E$2:E4366)))))-COUNTBLANK(OFFSET(A$1,,,SUMPRODUCT(MAX(ROW(E$1:E4365)*(E2=E$1:E4365))))))</f>
        <v> </v>
      </c>
      <c r="K4366" s="26" t="str">
        <f>IF(OR(E4366="",E4366="!!!",F4366="NEW"),"",INDEX(J$1:J4365,SUMPRODUCT(MAX(ROW(E$1:E4365)*(E4366=E$1:E4365)))))</f>
        <v> </v>
      </c>
      <c r="L4366" s="27"/>
    </row>
    <row r="4367" spans="1:12">
      <c r="A4367" s="20" t="s">
        <v>1014</v>
      </c>
      <c r="E4367" s="22">
        <f>IF(D4367="?OLD","!!!","")</f>
        <v/>
      </c>
      <c r="F4367" s="23" t="str">
        <f>IF(OR(E4367="",E4367="!!!"),"",IF(NOT(ISNA(VLOOKUP(E4367,E$1:E4366,1,FALSE()))),"OLD",IF(AND(E4367&lt;&gt;"",E4367&lt;&gt;"!!!"),"NEW","")))</f>
        <v> </v>
      </c>
      <c r="G4367" s="24" t="str">
        <f>IF(OR(E4367="",E4367="!!!"),"",IF(OR(J4367=0,AND(J4367=1,K4367=1),AND(J4367=1,I4367="SBJ"),AND(J4367=1,I4367=0)),"?IN_FOCUS",IF(J4367&lt;=2,"?ACTIVATED",IF(J4367&lt;&gt;"","?FAMILIAR",IF(F4367="NEW",IF(ISNA(VLOOKUP(E4367,#REF!,1,FALSE())),"?TYPE_IDENTIFIABLE","?REFERENTIAL"),"_")))))</f>
        <v> </v>
      </c>
      <c r="H4367" s="25" t="str">
        <f>IF(J4367&lt;&gt;1,"",IF(I4367="SBJ","CB","?"))</f>
        <v> </v>
      </c>
      <c r="I4367" s="26" t="str">
        <f>IF(OR(E4367="",E4367="!!!",F4367="NEW"),"",INDEX(B4366:B$2,-1+SUMPRODUCT(MAX(ROW(E4366:E$2)*(E4367=E4366:E$2)))))</f>
        <v> </v>
      </c>
      <c r="J4367" s="26" t="str">
        <f>IF(OR(E4367="",E4367="!!!",F4367="NEW"),"",COUNTBLANK(OFFSET(A$1,,,SUMPRODUCT(MAX(ROW(E$2:E4367)*(E4367=E$2:E4367)))))-COUNTBLANK(OFFSET(A$1,,,SUMPRODUCT(MAX(ROW(E$1:E4366)*(E2=E$1:E4366))))))</f>
        <v> </v>
      </c>
      <c r="K4367" s="26" t="str">
        <f>IF(OR(E4367="",E4367="!!!",F4367="NEW"),"",INDEX(J$1:J4366,SUMPRODUCT(MAX(ROW(E$1:E4366)*(E4367=E$1:E4366)))))</f>
        <v> </v>
      </c>
      <c r="L4367" s="27"/>
    </row>
    <row r="4368" spans="1:12">
      <c r="A4368" s="20" t="s">
        <v>1027</v>
      </c>
      <c r="E4368" s="22">
        <f>IF(D4368="?OLD","!!!","")</f>
        <v/>
      </c>
      <c r="F4368" s="23" t="str">
        <f>IF(OR(E4368="",E4368="!!!"),"",IF(NOT(ISNA(VLOOKUP(E4368,E$1:E4367,1,FALSE()))),"OLD",IF(AND(E4368&lt;&gt;"",E4368&lt;&gt;"!!!"),"NEW","")))</f>
        <v> </v>
      </c>
      <c r="G4368" s="24" t="str">
        <f>IF(OR(E4368="",E4368="!!!"),"",IF(OR(J4368=0,AND(J4368=1,K4368=1),AND(J4368=1,I4368="SBJ"),AND(J4368=1,I4368=0)),"?IN_FOCUS",IF(J4368&lt;=2,"?ACTIVATED",IF(J4368&lt;&gt;"","?FAMILIAR",IF(F4368="NEW",IF(ISNA(VLOOKUP(E4368,#REF!,1,FALSE())),"?TYPE_IDENTIFIABLE","?REFERENTIAL"),"_")))))</f>
        <v> </v>
      </c>
      <c r="H4368" s="25" t="str">
        <f>IF(J4368&lt;&gt;1,"",IF(I4368="SBJ","CB","?"))</f>
        <v> </v>
      </c>
      <c r="I4368" s="26" t="str">
        <f>IF(OR(E4368="",E4368="!!!",F4368="NEW"),"",INDEX(B4367:B$2,-1+SUMPRODUCT(MAX(ROW(E4367:E$2)*(E4368=E4367:E$2)))))</f>
        <v> </v>
      </c>
      <c r="J4368" s="26" t="str">
        <f>IF(OR(E4368="",E4368="!!!",F4368="NEW"),"",COUNTBLANK(OFFSET(A$1,,,SUMPRODUCT(MAX(ROW(E$2:E4368)*(E4368=E$2:E4368)))))-COUNTBLANK(OFFSET(A$1,,,SUMPRODUCT(MAX(ROW(E$1:E4367)*(E2=E$1:E4367))))))</f>
        <v> </v>
      </c>
      <c r="K4368" s="26" t="str">
        <f>IF(OR(E4368="",E4368="!!!",F4368="NEW"),"",INDEX(J$1:J4367,SUMPRODUCT(MAX(ROW(E$1:E4367)*(E4368=E$1:E4367)))))</f>
        <v> </v>
      </c>
      <c r="L4368" s="27"/>
    </row>
    <row r="4369" spans="1:12">
      <c r="A4369" s="20" t="s">
        <v>1243</v>
      </c>
      <c r="B4369" s="21" t="s">
        <v>1035</v>
      </c>
      <c r="C4369" s="21" t="s">
        <v>1017</v>
      </c>
      <c r="D4369" s="21" t="s">
        <v>1007</v>
      </c>
      <c r="E4369" s="22">
        <f>IF(D4369="?OLD","!!!","")</f>
        <v/>
      </c>
      <c r="F4369" s="23" t="str">
        <f>IF(OR(E4369="",E4369="!!!"),"",IF(NOT(ISNA(VLOOKUP(E4369,E$1:E4368,1,FALSE()))),"OLD",IF(AND(E4369&lt;&gt;"",E4369&lt;&gt;"!!!"),"NEW","")))</f>
        <v> </v>
      </c>
      <c r="G4369" s="24" t="str">
        <f>IF(OR(E4369="",E4369="!!!"),"",IF(OR(J4369=0,AND(J4369=1,K4369=1),AND(J4369=1,I4369="SBJ"),AND(J4369=1,I4369=0)),"?IN_FOCUS",IF(J4369&lt;=2,"?ACTIVATED",IF(J4369&lt;&gt;"","?FAMILIAR",IF(F4369="NEW",IF(ISNA(VLOOKUP(E4369,#REF!,1,FALSE())),"?TYPE_IDENTIFIABLE","?REFERENTIAL"),"_")))))</f>
        <v> </v>
      </c>
      <c r="H4369" s="25" t="str">
        <f>IF(J4369&lt;&gt;1,"",IF(I4369="SBJ","CB","?"))</f>
        <v> </v>
      </c>
      <c r="I4369" s="26" t="str">
        <f>IF(OR(E4369="",E4369="!!!",F4369="NEW"),"",INDEX(B4368:B$2,-1+SUMPRODUCT(MAX(ROW(E4368:E$2)*(E4369=E4368:E$2)))))</f>
        <v> </v>
      </c>
      <c r="J4369" s="26" t="str">
        <f>IF(OR(E4369="",E4369="!!!",F4369="NEW"),"",COUNTBLANK(OFFSET(A$1,,,SUMPRODUCT(MAX(ROW(E$2:E4369)*(E4369=E$2:E4369)))))-COUNTBLANK(OFFSET(A$1,,,SUMPRODUCT(MAX(ROW(E$1:E4368)*(E2=E$1:E4368))))))</f>
        <v> </v>
      </c>
      <c r="K4369" s="26" t="str">
        <f>IF(OR(E4369="",E4369="!!!",F4369="NEW"),"",INDEX(J$1:J4368,SUMPRODUCT(MAX(ROW(E$1:E4368)*(E4369=E$1:E4368)))))</f>
        <v> </v>
      </c>
      <c r="L4369" s="27"/>
    </row>
    <row r="4370" spans="1:12">
      <c r="A4370" s="20" t="s">
        <v>1018</v>
      </c>
      <c r="E4370" s="22">
        <f>IF(D4370="?OLD","!!!","")</f>
        <v/>
      </c>
      <c r="F4370" s="23" t="str">
        <f>IF(OR(E4370="",E4370="!!!"),"",IF(NOT(ISNA(VLOOKUP(E4370,E$1:E4369,1,FALSE()))),"OLD",IF(AND(E4370&lt;&gt;"",E4370&lt;&gt;"!!!"),"NEW","")))</f>
        <v> </v>
      </c>
      <c r="G4370" s="24" t="str">
        <f>IF(OR(E4370="",E4370="!!!"),"",IF(OR(J4370=0,AND(J4370=1,K4370=1),AND(J4370=1,I4370="SBJ"),AND(J4370=1,I4370=0)),"?IN_FOCUS",IF(J4370&lt;=2,"?ACTIVATED",IF(J4370&lt;&gt;"","?FAMILIAR",IF(F4370="NEW",IF(ISNA(VLOOKUP(E4370,#REF!,1,FALSE())),"?TYPE_IDENTIFIABLE","?REFERENTIAL"),"_")))))</f>
        <v> </v>
      </c>
      <c r="H4370" s="25" t="str">
        <f>IF(J4370&lt;&gt;1,"",IF(I4370="SBJ","CB","?"))</f>
        <v> </v>
      </c>
      <c r="I4370" s="26" t="str">
        <f>IF(OR(E4370="",E4370="!!!",F4370="NEW"),"",INDEX(B4369:B$2,-1+SUMPRODUCT(MAX(ROW(E4369:E$2)*(E4370=E4369:E$2)))))</f>
        <v> </v>
      </c>
      <c r="J4370" s="26" t="str">
        <f>IF(OR(E4370="",E4370="!!!",F4370="NEW"),"",COUNTBLANK(OFFSET(A$1,,,SUMPRODUCT(MAX(ROW(E$2:E4370)*(E4370=E$2:E4370)))))-COUNTBLANK(OFFSET(A$1,,,SUMPRODUCT(MAX(ROW(E$1:E4369)*(E2=E$1:E4369))))))</f>
        <v> </v>
      </c>
      <c r="K4370" s="26" t="str">
        <f>IF(OR(E4370="",E4370="!!!",F4370="NEW"),"",INDEX(J$1:J4369,SUMPRODUCT(MAX(ROW(E$1:E4369)*(E4370=E$1:E4369)))))</f>
        <v> </v>
      </c>
      <c r="L4370" s="27"/>
    </row>
    <row r="4371" spans="1:12">
      <c r="A4371" s="20" t="s">
        <v>2256</v>
      </c>
      <c r="E4371" s="22">
        <f>IF(D4371="?OLD","!!!","")</f>
        <v/>
      </c>
      <c r="F4371" s="23" t="str">
        <f>IF(OR(E4371="",E4371="!!!"),"",IF(NOT(ISNA(VLOOKUP(E4371,E$1:E4370,1,FALSE()))),"OLD",IF(AND(E4371&lt;&gt;"",E4371&lt;&gt;"!!!"),"NEW","")))</f>
        <v> </v>
      </c>
      <c r="G4371" s="24" t="str">
        <f>IF(OR(E4371="",E4371="!!!"),"",IF(OR(J4371=0,AND(J4371=1,K4371=1),AND(J4371=1,I4371="SBJ"),AND(J4371=1,I4371=0)),"?IN_FOCUS",IF(J4371&lt;=2,"?ACTIVATED",IF(J4371&lt;&gt;"","?FAMILIAR",IF(F4371="NEW",IF(ISNA(VLOOKUP(E4371,#REF!,1,FALSE())),"?TYPE_IDENTIFIABLE","?REFERENTIAL"),"_")))))</f>
        <v> </v>
      </c>
      <c r="H4371" s="25" t="str">
        <f>IF(J4371&lt;&gt;1,"",IF(I4371="SBJ","CB","?"))</f>
        <v> </v>
      </c>
      <c r="I4371" s="26" t="str">
        <f>IF(OR(E4371="",E4371="!!!",F4371="NEW"),"",INDEX(B4370:B$2,-1+SUMPRODUCT(MAX(ROW(E4370:E$2)*(E4371=E4370:E$2)))))</f>
        <v> </v>
      </c>
      <c r="J4371" s="26" t="str">
        <f>IF(OR(E4371="",E4371="!!!",F4371="NEW"),"",COUNTBLANK(OFFSET(A$1,,,SUMPRODUCT(MAX(ROW(E$2:E4371)*(E4371=E$2:E4371)))))-COUNTBLANK(OFFSET(A$1,,,SUMPRODUCT(MAX(ROW(E$1:E4370)*(E2=E$1:E4370))))))</f>
        <v> </v>
      </c>
      <c r="K4371" s="26" t="str">
        <f>IF(OR(E4371="",E4371="!!!",F4371="NEW"),"",INDEX(J$1:J4370,SUMPRODUCT(MAX(ROW(E$1:E4370)*(E4371=E$1:E4370)))))</f>
        <v> </v>
      </c>
      <c r="L4371" s="27"/>
    </row>
    <row r="4372" spans="1:12">
      <c r="A4372" s="20" t="s">
        <v>1324</v>
      </c>
      <c r="E4372" s="22">
        <f>IF(D4372="?OLD","!!!","")</f>
        <v/>
      </c>
      <c r="F4372" s="23" t="str">
        <f>IF(OR(E4372="",E4372="!!!"),"",IF(NOT(ISNA(VLOOKUP(E4372,E$1:E4371,1,FALSE()))),"OLD",IF(AND(E4372&lt;&gt;"",E4372&lt;&gt;"!!!"),"NEW","")))</f>
        <v> </v>
      </c>
      <c r="G4372" s="24" t="str">
        <f>IF(OR(E4372="",E4372="!!!"),"",IF(OR(J4372=0,AND(J4372=1,K4372=1),AND(J4372=1,I4372="SBJ"),AND(J4372=1,I4372=0)),"?IN_FOCUS",IF(J4372&lt;=2,"?ACTIVATED",IF(J4372&lt;&gt;"","?FAMILIAR",IF(F4372="NEW",IF(ISNA(VLOOKUP(E4372,#REF!,1,FALSE())),"?TYPE_IDENTIFIABLE","?REFERENTIAL"),"_")))))</f>
        <v> </v>
      </c>
      <c r="H4372" s="25" t="str">
        <f>IF(J4372&lt;&gt;1,"",IF(I4372="SBJ","CB","?"))</f>
        <v> </v>
      </c>
      <c r="I4372" s="26" t="str">
        <f>IF(OR(E4372="",E4372="!!!",F4372="NEW"),"",INDEX(B4371:B$2,-1+SUMPRODUCT(MAX(ROW(E4371:E$2)*(E4372=E4371:E$2)))))</f>
        <v> </v>
      </c>
      <c r="J4372" s="26" t="str">
        <f>IF(OR(E4372="",E4372="!!!",F4372="NEW"),"",COUNTBLANK(OFFSET(A$1,,,SUMPRODUCT(MAX(ROW(E$2:E4372)*(E4372=E$2:E4372)))))-COUNTBLANK(OFFSET(A$1,,,SUMPRODUCT(MAX(ROW(E$1:E4371)*(E2=E$1:E4371))))))</f>
        <v> </v>
      </c>
      <c r="K4372" s="26" t="str">
        <f>IF(OR(E4372="",E4372="!!!",F4372="NEW"),"",INDEX(J$1:J4371,SUMPRODUCT(MAX(ROW(E$1:E4371)*(E4372=E$1:E4371)))))</f>
        <v> </v>
      </c>
      <c r="L4372" s="27"/>
    </row>
    <row r="4373" spans="1:12">
      <c r="A4373" s="20" t="s">
        <v>1189</v>
      </c>
      <c r="E4373" s="22">
        <f>IF(D4373="?OLD","!!!","")</f>
        <v/>
      </c>
      <c r="F4373" s="23" t="str">
        <f>IF(OR(E4373="",E4373="!!!"),"",IF(NOT(ISNA(VLOOKUP(E4373,E$1:E4372,1,FALSE()))),"OLD",IF(AND(E4373&lt;&gt;"",E4373&lt;&gt;"!!!"),"NEW","")))</f>
        <v> </v>
      </c>
      <c r="G4373" s="24" t="str">
        <f>IF(OR(E4373="",E4373="!!!"),"",IF(OR(J4373=0,AND(J4373=1,K4373=1),AND(J4373=1,I4373="SBJ"),AND(J4373=1,I4373=0)),"?IN_FOCUS",IF(J4373&lt;=2,"?ACTIVATED",IF(J4373&lt;&gt;"","?FAMILIAR",IF(F4373="NEW",IF(ISNA(VLOOKUP(E4373,#REF!,1,FALSE())),"?TYPE_IDENTIFIABLE","?REFERENTIAL"),"_")))))</f>
        <v> </v>
      </c>
      <c r="H4373" s="25" t="str">
        <f>IF(J4373&lt;&gt;1,"",IF(I4373="SBJ","CB","?"))</f>
        <v> </v>
      </c>
      <c r="I4373" s="26" t="str">
        <f>IF(OR(E4373="",E4373="!!!",F4373="NEW"),"",INDEX(B4372:B$2,-1+SUMPRODUCT(MAX(ROW(E4372:E$2)*(E4373=E4372:E$2)))))</f>
        <v> </v>
      </c>
      <c r="J4373" s="26" t="str">
        <f>IF(OR(E4373="",E4373="!!!",F4373="NEW"),"",COUNTBLANK(OFFSET(A$1,,,SUMPRODUCT(MAX(ROW(E$2:E4373)*(E4373=E$2:E4373)))))-COUNTBLANK(OFFSET(A$1,,,SUMPRODUCT(MAX(ROW(E$1:E4372)*(E2=E$1:E4372))))))</f>
        <v> </v>
      </c>
      <c r="K4373" s="26" t="str">
        <f>IF(OR(E4373="",E4373="!!!",F4373="NEW"),"",INDEX(J$1:J4372,SUMPRODUCT(MAX(ROW(E$1:E4372)*(E4373=E$1:E4372)))))</f>
        <v> </v>
      </c>
      <c r="L4373" s="27"/>
    </row>
    <row r="4374" spans="1:12">
      <c r="A4374" s="20" t="s">
        <v>1586</v>
      </c>
      <c r="B4374" s="21" t="s">
        <v>1022</v>
      </c>
      <c r="C4374" s="21" t="s">
        <v>1013</v>
      </c>
      <c r="D4374" s="21" t="s">
        <v>1007</v>
      </c>
      <c r="E4374" s="22">
        <f>IF(D4374="?OLD","!!!","")</f>
        <v/>
      </c>
      <c r="F4374" s="23" t="str">
        <f>IF(OR(E4374="",E4374="!!!"),"",IF(NOT(ISNA(VLOOKUP(E4374,E$1:E4373,1,FALSE()))),"OLD",IF(AND(E4374&lt;&gt;"",E4374&lt;&gt;"!!!"),"NEW","")))</f>
        <v> </v>
      </c>
      <c r="G4374" s="24" t="str">
        <f>IF(OR(E4374="",E4374="!!!"),"",IF(OR(J4374=0,AND(J4374=1,K4374=1),AND(J4374=1,I4374="SBJ"),AND(J4374=1,I4374=0)),"?IN_FOCUS",IF(J4374&lt;=2,"?ACTIVATED",IF(J4374&lt;&gt;"","?FAMILIAR",IF(F4374="NEW",IF(ISNA(VLOOKUP(E4374,#REF!,1,FALSE())),"?TYPE_IDENTIFIABLE","?REFERENTIAL"),"_")))))</f>
        <v> </v>
      </c>
      <c r="H4374" s="25" t="str">
        <f>IF(J4374&lt;&gt;1,"",IF(I4374="SBJ","CB","?"))</f>
        <v> </v>
      </c>
      <c r="I4374" s="26" t="str">
        <f>IF(OR(E4374="",E4374="!!!",F4374="NEW"),"",INDEX(B4373:B$2,-1+SUMPRODUCT(MAX(ROW(E4373:E$2)*(E4374=E4373:E$2)))))</f>
        <v> </v>
      </c>
      <c r="J4374" s="26" t="str">
        <f>IF(OR(E4374="",E4374="!!!",F4374="NEW"),"",COUNTBLANK(OFFSET(A$1,,,SUMPRODUCT(MAX(ROW(E$2:E4374)*(E4374=E$2:E4374)))))-COUNTBLANK(OFFSET(A$1,,,SUMPRODUCT(MAX(ROW(E$1:E4373)*(E2=E$1:E4373))))))</f>
        <v> </v>
      </c>
      <c r="K4374" s="26" t="str">
        <f>IF(OR(E4374="",E4374="!!!",F4374="NEW"),"",INDEX(J$1:J4373,SUMPRODUCT(MAX(ROW(E$1:E4373)*(E4374=E$1:E4373)))))</f>
        <v> </v>
      </c>
      <c r="L4374" s="27"/>
    </row>
    <row r="4375" spans="1:12">
      <c r="A4375" s="20" t="s">
        <v>1097</v>
      </c>
      <c r="E4375" s="22">
        <f>IF(D4375="?OLD","!!!","")</f>
        <v/>
      </c>
      <c r="F4375" s="23" t="str">
        <f>IF(OR(E4375="",E4375="!!!"),"",IF(NOT(ISNA(VLOOKUP(E4375,E$1:E4374,1,FALSE()))),"OLD",IF(AND(E4375&lt;&gt;"",E4375&lt;&gt;"!!!"),"NEW","")))</f>
        <v> </v>
      </c>
      <c r="G4375" s="24" t="str">
        <f>IF(OR(E4375="",E4375="!!!"),"",IF(OR(J4375=0,AND(J4375=1,K4375=1),AND(J4375=1,I4375="SBJ"),AND(J4375=1,I4375=0)),"?IN_FOCUS",IF(J4375&lt;=2,"?ACTIVATED",IF(J4375&lt;&gt;"","?FAMILIAR",IF(F4375="NEW",IF(ISNA(VLOOKUP(E4375,#REF!,1,FALSE())),"?TYPE_IDENTIFIABLE","?REFERENTIAL"),"_")))))</f>
        <v> </v>
      </c>
      <c r="H4375" s="25" t="str">
        <f>IF(J4375&lt;&gt;1,"",IF(I4375="SBJ","CB","?"))</f>
        <v> </v>
      </c>
      <c r="I4375" s="26" t="str">
        <f>IF(OR(E4375="",E4375="!!!",F4375="NEW"),"",INDEX(B4374:B$2,-1+SUMPRODUCT(MAX(ROW(E4374:E$2)*(E4375=E4374:E$2)))))</f>
        <v> </v>
      </c>
      <c r="J4375" s="26" t="str">
        <f>IF(OR(E4375="",E4375="!!!",F4375="NEW"),"",COUNTBLANK(OFFSET(A$1,,,SUMPRODUCT(MAX(ROW(E$2:E4375)*(E4375=E$2:E4375)))))-COUNTBLANK(OFFSET(A$1,,,SUMPRODUCT(MAX(ROW(E$1:E4374)*(E2=E$1:E4374))))))</f>
        <v> </v>
      </c>
      <c r="K4375" s="26" t="str">
        <f>IF(OR(E4375="",E4375="!!!",F4375="NEW"),"",INDEX(J$1:J4374,SUMPRODUCT(MAX(ROW(E$1:E4374)*(E4375=E$1:E4374)))))</f>
        <v> </v>
      </c>
      <c r="L4375" s="27"/>
    </row>
    <row r="4376" spans="1:12">
      <c r="A4376" s="20" t="s">
        <v>1020</v>
      </c>
      <c r="E4376" s="22">
        <f>IF(D4376="?OLD","!!!","")</f>
        <v/>
      </c>
      <c r="F4376" s="23" t="str">
        <f>IF(OR(E4376="",E4376="!!!"),"",IF(NOT(ISNA(VLOOKUP(E4376,E$1:E4375,1,FALSE()))),"OLD",IF(AND(E4376&lt;&gt;"",E4376&lt;&gt;"!!!"),"NEW","")))</f>
        <v> </v>
      </c>
      <c r="G4376" s="24" t="str">
        <f>IF(OR(E4376="",E4376="!!!"),"",IF(OR(J4376=0,AND(J4376=1,K4376=1),AND(J4376=1,I4376="SBJ"),AND(J4376=1,I4376=0)),"?IN_FOCUS",IF(J4376&lt;=2,"?ACTIVATED",IF(J4376&lt;&gt;"","?FAMILIAR",IF(F4376="NEW",IF(ISNA(VLOOKUP(E4376,#REF!,1,FALSE())),"?TYPE_IDENTIFIABLE","?REFERENTIAL"),"_")))))</f>
        <v> </v>
      </c>
      <c r="H4376" s="25" t="str">
        <f>IF(J4376&lt;&gt;1,"",IF(I4376="SBJ","CB","?"))</f>
        <v> </v>
      </c>
      <c r="I4376" s="26" t="str">
        <f>IF(OR(E4376="",E4376="!!!",F4376="NEW"),"",INDEX(B4375:B$2,-1+SUMPRODUCT(MAX(ROW(E4375:E$2)*(E4376=E4375:E$2)))))</f>
        <v> </v>
      </c>
      <c r="J4376" s="26" t="str">
        <f>IF(OR(E4376="",E4376="!!!",F4376="NEW"),"",COUNTBLANK(OFFSET(A$1,,,SUMPRODUCT(MAX(ROW(E$2:E4376)*(E4376=E$2:E4376)))))-COUNTBLANK(OFFSET(A$1,,,SUMPRODUCT(MAX(ROW(E$1:E4375)*(E2=E$1:E4375))))))</f>
        <v> </v>
      </c>
      <c r="K4376" s="26" t="str">
        <f>IF(OR(E4376="",E4376="!!!",F4376="NEW"),"",INDEX(J$1:J4375,SUMPRODUCT(MAX(ROW(E$1:E4375)*(E4376=E$1:E4375)))))</f>
        <v> </v>
      </c>
      <c r="L4376" s="27"/>
    </row>
    <row r="4377" spans="1:12">
      <c r="A4377" s="20" t="s">
        <v>2257</v>
      </c>
      <c r="B4377" s="21" t="s">
        <v>1033</v>
      </c>
      <c r="C4377" s="21" t="s">
        <v>1017</v>
      </c>
      <c r="D4377" s="21" t="s">
        <v>1007</v>
      </c>
      <c r="E4377" s="22">
        <f>IF(D4377="?OLD","!!!","")</f>
        <v/>
      </c>
      <c r="F4377" s="23" t="str">
        <f>IF(OR(E4377="",E4377="!!!"),"",IF(NOT(ISNA(VLOOKUP(E4377,E$1:E4376,1,FALSE()))),"OLD",IF(AND(E4377&lt;&gt;"",E4377&lt;&gt;"!!!"),"NEW","")))</f>
        <v> </v>
      </c>
      <c r="G4377" s="24" t="str">
        <f>IF(OR(E4377="",E4377="!!!"),"",IF(OR(J4377=0,AND(J4377=1,K4377=1),AND(J4377=1,I4377="SBJ"),AND(J4377=1,I4377=0)),"?IN_FOCUS",IF(J4377&lt;=2,"?ACTIVATED",IF(J4377&lt;&gt;"","?FAMILIAR",IF(F4377="NEW",IF(ISNA(VLOOKUP(E4377,#REF!,1,FALSE())),"?TYPE_IDENTIFIABLE","?REFERENTIAL"),"_")))))</f>
        <v> </v>
      </c>
      <c r="H4377" s="25" t="str">
        <f>IF(J4377&lt;&gt;1,"",IF(I4377="SBJ","CB","?"))</f>
        <v> </v>
      </c>
      <c r="I4377" s="26" t="str">
        <f>IF(OR(E4377="",E4377="!!!",F4377="NEW"),"",INDEX(B4376:B$2,-1+SUMPRODUCT(MAX(ROW(E4376:E$2)*(E4377=E4376:E$2)))))</f>
        <v> </v>
      </c>
      <c r="J4377" s="26" t="str">
        <f>IF(OR(E4377="",E4377="!!!",F4377="NEW"),"",COUNTBLANK(OFFSET(A$1,,,SUMPRODUCT(MAX(ROW(E$2:E4377)*(E4377=E$2:E4377)))))-COUNTBLANK(OFFSET(A$1,,,SUMPRODUCT(MAX(ROW(E$1:E4376)*(E2=E$1:E4376))))))</f>
        <v> </v>
      </c>
      <c r="K4377" s="26" t="str">
        <f>IF(OR(E4377="",E4377="!!!",F4377="NEW"),"",INDEX(J$1:J4376,SUMPRODUCT(MAX(ROW(E$1:E4376)*(E4377=E$1:E4376)))))</f>
        <v> </v>
      </c>
      <c r="L4377" s="27"/>
    </row>
    <row r="4378" spans="1:12">
      <c r="A4378" s="20" t="s">
        <v>1189</v>
      </c>
      <c r="E4378" s="22">
        <f>IF(D4378="?OLD","!!!","")</f>
        <v/>
      </c>
      <c r="F4378" s="23" t="str">
        <f>IF(OR(E4378="",E4378="!!!"),"",IF(NOT(ISNA(VLOOKUP(E4378,E$1:E4377,1,FALSE()))),"OLD",IF(AND(E4378&lt;&gt;"",E4378&lt;&gt;"!!!"),"NEW","")))</f>
        <v> </v>
      </c>
      <c r="G4378" s="24" t="str">
        <f>IF(OR(E4378="",E4378="!!!"),"",IF(OR(J4378=0,AND(J4378=1,K4378=1),AND(J4378=1,I4378="SBJ"),AND(J4378=1,I4378=0)),"?IN_FOCUS",IF(J4378&lt;=2,"?ACTIVATED",IF(J4378&lt;&gt;"","?FAMILIAR",IF(F4378="NEW",IF(ISNA(VLOOKUP(E4378,#REF!,1,FALSE())),"?TYPE_IDENTIFIABLE","?REFERENTIAL"),"_")))))</f>
        <v> </v>
      </c>
      <c r="H4378" s="25" t="str">
        <f>IF(J4378&lt;&gt;1,"",IF(I4378="SBJ","CB","?"))</f>
        <v> </v>
      </c>
      <c r="I4378" s="26" t="str">
        <f>IF(OR(E4378="",E4378="!!!",F4378="NEW"),"",INDEX(B4377:B$2,-1+SUMPRODUCT(MAX(ROW(E4377:E$2)*(E4378=E4377:E$2)))))</f>
        <v> </v>
      </c>
      <c r="J4378" s="26" t="str">
        <f>IF(OR(E4378="",E4378="!!!",F4378="NEW"),"",COUNTBLANK(OFFSET(A$1,,,SUMPRODUCT(MAX(ROW(E$2:E4378)*(E4378=E$2:E4378)))))-COUNTBLANK(OFFSET(A$1,,,SUMPRODUCT(MAX(ROW(E$1:E4377)*(E2=E$1:E4377))))))</f>
        <v> </v>
      </c>
      <c r="K4378" s="26" t="str">
        <f>IF(OR(E4378="",E4378="!!!",F4378="NEW"),"",INDEX(J$1:J4377,SUMPRODUCT(MAX(ROW(E$1:E4377)*(E4378=E$1:E4377)))))</f>
        <v> </v>
      </c>
      <c r="L4378" s="27"/>
    </row>
    <row r="4379" spans="1:12">
      <c r="A4379" s="20" t="s">
        <v>1023</v>
      </c>
      <c r="E4379" s="22">
        <f>IF(D4379="?OLD","!!!","")</f>
        <v/>
      </c>
      <c r="F4379" s="23" t="str">
        <f>IF(OR(E4379="",E4379="!!!"),"",IF(NOT(ISNA(VLOOKUP(E4379,E$1:E4378,1,FALSE()))),"OLD",IF(AND(E4379&lt;&gt;"",E4379&lt;&gt;"!!!"),"NEW","")))</f>
        <v> </v>
      </c>
      <c r="G4379" s="24" t="str">
        <f>IF(OR(E4379="",E4379="!!!"),"",IF(OR(J4379=0,AND(J4379=1,K4379=1),AND(J4379=1,I4379="SBJ"),AND(J4379=1,I4379=0)),"?IN_FOCUS",IF(J4379&lt;=2,"?ACTIVATED",IF(J4379&lt;&gt;"","?FAMILIAR",IF(F4379="NEW",IF(ISNA(VLOOKUP(E4379,#REF!,1,FALSE())),"?TYPE_IDENTIFIABLE","?REFERENTIAL"),"_")))))</f>
        <v> </v>
      </c>
      <c r="H4379" s="25" t="str">
        <f>IF(J4379&lt;&gt;1,"",IF(I4379="SBJ","CB","?"))</f>
        <v> </v>
      </c>
      <c r="I4379" s="26" t="str">
        <f>IF(OR(E4379="",E4379="!!!",F4379="NEW"),"",INDEX(B4378:B$2,-1+SUMPRODUCT(MAX(ROW(E4378:E$2)*(E4379=E4378:E$2)))))</f>
        <v> </v>
      </c>
      <c r="J4379" s="26" t="str">
        <f>IF(OR(E4379="",E4379="!!!",F4379="NEW"),"",COUNTBLANK(OFFSET(A$1,,,SUMPRODUCT(MAX(ROW(E$2:E4379)*(E4379=E$2:E4379)))))-COUNTBLANK(OFFSET(A$1,,,SUMPRODUCT(MAX(ROW(E$1:E4378)*(E2=E$1:E4378))))))</f>
        <v> </v>
      </c>
      <c r="K4379" s="26" t="str">
        <f>IF(OR(E4379="",E4379="!!!",F4379="NEW"),"",INDEX(J$1:J4378,SUMPRODUCT(MAX(ROW(E$1:E4378)*(E4379=E$1:E4378)))))</f>
        <v> </v>
      </c>
      <c r="L4379" s="27"/>
    </row>
    <row r="4380" spans="1:12">
      <c r="A4380" s="20"/>
    </row>
    <row r="4381" spans="1:12">
      <c r="A4381" s="20" t="s">
        <v>2258</v>
      </c>
    </row>
    <row r="4382" spans="1:12">
      <c r="A4382" s="20" t="s">
        <v>11</v>
      </c>
      <c r="E4382" s="22">
        <f>IF(D4382="?OLD","!!!","")</f>
        <v/>
      </c>
      <c r="F4382" s="23" t="str">
        <f>IF(OR(E4382="",E4382="!!!"),"",IF(NOT(ISNA(VLOOKUP(E4382,E$1:E4381,1,FALSE()))),"OLD",IF(AND(E4382&lt;&gt;"",E4382&lt;&gt;"!!!"),"NEW","")))</f>
        <v> </v>
      </c>
      <c r="G4382" s="24" t="str">
        <f>IF(OR(E4382="",E4382="!!!"),"",IF(OR(J4382=0,AND(J4382=1,K4382=1),AND(J4382=1,I4382="SBJ"),AND(J4382=1,I4382=0)),"?IN_FOCUS",IF(J4382&lt;=2,"?ACTIVATED",IF(J4382&lt;&gt;"","?FAMILIAR",IF(F4382="NEW",IF(ISNA(VLOOKUP(E4382,#REF!,1,FALSE())),"?TYPE_IDENTIFIABLE","?REFERENTIAL"),"_")))))</f>
        <v> </v>
      </c>
      <c r="H4382" s="25" t="str">
        <f>IF(J4382&lt;&gt;1,"",IF(I4382="SBJ","CB","?"))</f>
        <v> </v>
      </c>
      <c r="I4382" s="26" t="str">
        <f>IF(OR(E4382="",E4382="!!!",F4382="NEW"),"",INDEX(B4381:B$2,-1+SUMPRODUCT(MAX(ROW(E4381:E$2)*(E4382=E4381:E$2)))))</f>
        <v> </v>
      </c>
      <c r="J4382" s="26" t="str">
        <f>IF(OR(E4382="",E4382="!!!",F4382="NEW"),"",COUNTBLANK(OFFSET(A$1,,,SUMPRODUCT(MAX(ROW(E$2:E4382)*(E4382=E$2:E4382)))))-COUNTBLANK(OFFSET(A$1,,,SUMPRODUCT(MAX(ROW(E$1:E4381)*(E2=E$1:E4381))))))</f>
        <v> </v>
      </c>
      <c r="K4382" s="26" t="str">
        <f>IF(OR(E4382="",E4382="!!!",F4382="NEW"),"",INDEX(J$1:J4381,SUMPRODUCT(MAX(ROW(E$1:E4381)*(E4382=E$1:E4381)))))</f>
        <v> </v>
      </c>
      <c r="L4382" s="27"/>
    </row>
    <row r="4383" spans="1:12">
      <c r="A4383" s="20" t="s">
        <v>2196</v>
      </c>
      <c r="B4383" s="21" t="s">
        <v>1050</v>
      </c>
      <c r="C4383" s="21" t="s">
        <v>1017</v>
      </c>
      <c r="D4383" s="21" t="s">
        <v>1007</v>
      </c>
      <c r="E4383" s="22">
        <f>IF(D4383="?OLD","!!!","")</f>
        <v/>
      </c>
      <c r="F4383" s="23" t="str">
        <f>IF(OR(E4383="",E4383="!!!"),"",IF(NOT(ISNA(VLOOKUP(E4383,E$1:E4382,1,FALSE()))),"OLD",IF(AND(E4383&lt;&gt;"",E4383&lt;&gt;"!!!"),"NEW","")))</f>
        <v> </v>
      </c>
      <c r="G4383" s="24" t="str">
        <f>IF(OR(E4383="",E4383="!!!"),"",IF(OR(J4383=0,AND(J4383=1,K4383=1),AND(J4383=1,I4383="SBJ"),AND(J4383=1,I4383=0)),"?IN_FOCUS",IF(J4383&lt;=2,"?ACTIVATED",IF(J4383&lt;&gt;"","?FAMILIAR",IF(F4383="NEW",IF(ISNA(VLOOKUP(E4383,#REF!,1,FALSE())),"?TYPE_IDENTIFIABLE","?REFERENTIAL"),"_")))))</f>
        <v> </v>
      </c>
      <c r="H4383" s="25" t="str">
        <f>IF(J4383&lt;&gt;1,"",IF(I4383="SBJ","CB","?"))</f>
        <v> </v>
      </c>
      <c r="I4383" s="26" t="str">
        <f>IF(OR(E4383="",E4383="!!!",F4383="NEW"),"",INDEX(B4382:B$2,-1+SUMPRODUCT(MAX(ROW(E4382:E$2)*(E4383=E4382:E$2)))))</f>
        <v> </v>
      </c>
      <c r="J4383" s="26" t="str">
        <f>IF(OR(E4383="",E4383="!!!",F4383="NEW"),"",COUNTBLANK(OFFSET(A$1,,,SUMPRODUCT(MAX(ROW(E$2:E4383)*(E4383=E$2:E4383)))))-COUNTBLANK(OFFSET(A$1,,,SUMPRODUCT(MAX(ROW(E$1:E4382)*(E2=E$1:E4382))))))</f>
        <v> </v>
      </c>
      <c r="K4383" s="26" t="str">
        <f>IF(OR(E4383="",E4383="!!!",F4383="NEW"),"",INDEX(J$1:J4382,SUMPRODUCT(MAX(ROW(E$1:E4382)*(E4383=E$1:E4382)))))</f>
        <v> </v>
      </c>
      <c r="L4383" s="27"/>
    </row>
    <row r="4384" spans="1:12">
      <c r="A4384" s="20" t="s">
        <v>1075</v>
      </c>
      <c r="E4384" s="22">
        <f>IF(D4384="?OLD","!!!","")</f>
        <v/>
      </c>
      <c r="F4384" s="23" t="str">
        <f>IF(OR(E4384="",E4384="!!!"),"",IF(NOT(ISNA(VLOOKUP(E4384,E$1:E4383,1,FALSE()))),"OLD",IF(AND(E4384&lt;&gt;"",E4384&lt;&gt;"!!!"),"NEW","")))</f>
        <v> </v>
      </c>
      <c r="G4384" s="24" t="str">
        <f>IF(OR(E4384="",E4384="!!!"),"",IF(OR(J4384=0,AND(J4384=1,K4384=1),AND(J4384=1,I4384="SBJ"),AND(J4384=1,I4384=0)),"?IN_FOCUS",IF(J4384&lt;=2,"?ACTIVATED",IF(J4384&lt;&gt;"","?FAMILIAR",IF(F4384="NEW",IF(ISNA(VLOOKUP(E4384,#REF!,1,FALSE())),"?TYPE_IDENTIFIABLE","?REFERENTIAL"),"_")))))</f>
        <v> </v>
      </c>
      <c r="H4384" s="25" t="str">
        <f>IF(J4384&lt;&gt;1,"",IF(I4384="SBJ","CB","?"))</f>
        <v> </v>
      </c>
      <c r="I4384" s="26" t="str">
        <f>IF(OR(E4384="",E4384="!!!",F4384="NEW"),"",INDEX(B4383:B$2,-1+SUMPRODUCT(MAX(ROW(E4383:E$2)*(E4384=E4383:E$2)))))</f>
        <v> </v>
      </c>
      <c r="J4384" s="26" t="str">
        <f>IF(OR(E4384="",E4384="!!!",F4384="NEW"),"",COUNTBLANK(OFFSET(A$1,,,SUMPRODUCT(MAX(ROW(E$2:E4384)*(E4384=E$2:E4384)))))-COUNTBLANK(OFFSET(A$1,,,SUMPRODUCT(MAX(ROW(E$1:E4383)*(E2=E$1:E4383))))))</f>
        <v> </v>
      </c>
      <c r="K4384" s="26" t="str">
        <f>IF(OR(E4384="",E4384="!!!",F4384="NEW"),"",INDEX(J$1:J4383,SUMPRODUCT(MAX(ROW(E$1:E4383)*(E4384=E$1:E4383)))))</f>
        <v> </v>
      </c>
      <c r="L4384" s="27"/>
    </row>
    <row r="4385" spans="1:12">
      <c r="A4385" s="20" t="s">
        <v>1324</v>
      </c>
      <c r="E4385" s="22">
        <f>IF(D4385="?OLD","!!!","")</f>
        <v/>
      </c>
      <c r="F4385" s="23" t="str">
        <f>IF(OR(E4385="",E4385="!!!"),"",IF(NOT(ISNA(VLOOKUP(E4385,E$1:E4384,1,FALSE()))),"OLD",IF(AND(E4385&lt;&gt;"",E4385&lt;&gt;"!!!"),"NEW","")))</f>
        <v> </v>
      </c>
      <c r="G4385" s="24" t="str">
        <f>IF(OR(E4385="",E4385="!!!"),"",IF(OR(J4385=0,AND(J4385=1,K4385=1),AND(J4385=1,I4385="SBJ"),AND(J4385=1,I4385=0)),"?IN_FOCUS",IF(J4385&lt;=2,"?ACTIVATED",IF(J4385&lt;&gt;"","?FAMILIAR",IF(F4385="NEW",IF(ISNA(VLOOKUP(E4385,#REF!,1,FALSE())),"?TYPE_IDENTIFIABLE","?REFERENTIAL"),"_")))))</f>
        <v> </v>
      </c>
      <c r="H4385" s="25" t="str">
        <f>IF(J4385&lt;&gt;1,"",IF(I4385="SBJ","CB","?"))</f>
        <v> </v>
      </c>
      <c r="I4385" s="26" t="str">
        <f>IF(OR(E4385="",E4385="!!!",F4385="NEW"),"",INDEX(B4384:B$2,-1+SUMPRODUCT(MAX(ROW(E4384:E$2)*(E4385=E4384:E$2)))))</f>
        <v> </v>
      </c>
      <c r="J4385" s="26" t="str">
        <f>IF(OR(E4385="",E4385="!!!",F4385="NEW"),"",COUNTBLANK(OFFSET(A$1,,,SUMPRODUCT(MAX(ROW(E$2:E4385)*(E4385=E$2:E4385)))))-COUNTBLANK(OFFSET(A$1,,,SUMPRODUCT(MAX(ROW(E$1:E4384)*(E2=E$1:E4384))))))</f>
        <v> </v>
      </c>
      <c r="K4385" s="26" t="str">
        <f>IF(OR(E4385="",E4385="!!!",F4385="NEW"),"",INDEX(J$1:J4384,SUMPRODUCT(MAX(ROW(E$1:E4384)*(E4385=E$1:E4384)))))</f>
        <v> </v>
      </c>
      <c r="L4385" s="27"/>
    </row>
    <row r="4386" spans="1:12">
      <c r="A4386" s="20" t="s">
        <v>193</v>
      </c>
      <c r="B4386" s="21" t="s">
        <v>1005</v>
      </c>
      <c r="C4386" s="21" t="s">
        <v>1111</v>
      </c>
      <c r="E4386" s="22">
        <f>IF(D4386="?OLD","!!!","")</f>
        <v/>
      </c>
      <c r="F4386" s="23" t="str">
        <f>IF(OR(E4386="",E4386="!!!"),"",IF(NOT(ISNA(VLOOKUP(E4386,E$1:E4385,1,FALSE()))),"OLD",IF(AND(E4386&lt;&gt;"",E4386&lt;&gt;"!!!"),"NEW","")))</f>
        <v> </v>
      </c>
      <c r="G4386" s="24" t="str">
        <f>IF(OR(E4386="",E4386="!!!"),"",IF(OR(J4386=0,AND(J4386=1,K4386=1),AND(J4386=1,I4386="SBJ"),AND(J4386=1,I4386=0)),"?IN_FOCUS",IF(J4386&lt;=2,"?ACTIVATED",IF(J4386&lt;&gt;"","?FAMILIAR",IF(F4386="NEW",IF(ISNA(VLOOKUP(E4386,#REF!,1,FALSE())),"?TYPE_IDENTIFIABLE","?REFERENTIAL"),"_")))))</f>
        <v> </v>
      </c>
      <c r="H4386" s="25" t="str">
        <f>IF(J4386&lt;&gt;1,"",IF(I4386="SBJ","CB","?"))</f>
        <v> </v>
      </c>
      <c r="I4386" s="26" t="str">
        <f>IF(OR(E4386="",E4386="!!!",F4386="NEW"),"",INDEX(B4385:B$2,-1+SUMPRODUCT(MAX(ROW(E4385:E$2)*(E4386=E4385:E$2)))))</f>
        <v> </v>
      </c>
      <c r="J4386" s="26" t="str">
        <f>IF(OR(E4386="",E4386="!!!",F4386="NEW"),"",COUNTBLANK(OFFSET(A$1,,,SUMPRODUCT(MAX(ROW(E$2:E4386)*(E4386=E$2:E4386)))))-COUNTBLANK(OFFSET(A$1,,,SUMPRODUCT(MAX(ROW(E$1:E4385)*(E2=E$1:E4385))))))</f>
        <v> </v>
      </c>
      <c r="K4386" s="26" t="str">
        <f>IF(OR(E4386="",E4386="!!!",F4386="NEW"),"",INDEX(J$1:J4385,SUMPRODUCT(MAX(ROW(E$1:E4385)*(E4386=E$1:E4385)))))</f>
        <v> </v>
      </c>
      <c r="L4386" s="27"/>
    </row>
    <row r="4387" spans="1:12">
      <c r="A4387" s="20" t="s">
        <v>1065</v>
      </c>
      <c r="B4387" s="21" t="s">
        <v>1119</v>
      </c>
      <c r="E4387" s="22">
        <f>IF(D4387="?OLD","!!!","")</f>
        <v/>
      </c>
      <c r="F4387" s="23" t="str">
        <f>IF(OR(E4387="",E4387="!!!"),"",IF(NOT(ISNA(VLOOKUP(E4387,E$1:E4386,1,FALSE()))),"OLD",IF(AND(E4387&lt;&gt;"",E4387&lt;&gt;"!!!"),"NEW","")))</f>
        <v> </v>
      </c>
      <c r="G4387" s="24" t="str">
        <f>IF(OR(E4387="",E4387="!!!"),"",IF(OR(J4387=0,AND(J4387=1,K4387=1),AND(J4387=1,I4387="SBJ"),AND(J4387=1,I4387=0)),"?IN_FOCUS",IF(J4387&lt;=2,"?ACTIVATED",IF(J4387&lt;&gt;"","?FAMILIAR",IF(F4387="NEW",IF(ISNA(VLOOKUP(E4387,#REF!,1,FALSE())),"?TYPE_IDENTIFIABLE","?REFERENTIAL"),"_")))))</f>
        <v> </v>
      </c>
      <c r="H4387" s="25" t="str">
        <f>IF(J4387&lt;&gt;1,"",IF(I4387="SBJ","CB","?"))</f>
        <v> </v>
      </c>
      <c r="I4387" s="26" t="str">
        <f>IF(OR(E4387="",E4387="!!!",F4387="NEW"),"",INDEX(B4386:B$2,-1+SUMPRODUCT(MAX(ROW(E4386:E$2)*(E4387=E4386:E$2)))))</f>
        <v> </v>
      </c>
      <c r="J4387" s="26" t="str">
        <f>IF(OR(E4387="",E4387="!!!",F4387="NEW"),"",COUNTBLANK(OFFSET(A$1,,,SUMPRODUCT(MAX(ROW(E$2:E4387)*(E4387=E$2:E4387)))))-COUNTBLANK(OFFSET(A$1,,,SUMPRODUCT(MAX(ROW(E$1:E4386)*(E2=E$1:E4386))))))</f>
        <v> </v>
      </c>
      <c r="K4387" s="26" t="str">
        <f>IF(OR(E4387="",E4387="!!!",F4387="NEW"),"",INDEX(J$1:J4386,SUMPRODUCT(MAX(ROW(E$1:E4386)*(E4387=E$1:E4386)))))</f>
        <v> </v>
      </c>
      <c r="L4387" s="27"/>
    </row>
    <row r="4388" spans="1:12">
      <c r="A4388" s="20" t="s">
        <v>2259</v>
      </c>
      <c r="E4388" s="22">
        <f>IF(D4388="?OLD","!!!","")</f>
        <v/>
      </c>
      <c r="F4388" s="23" t="str">
        <f>IF(OR(E4388="",E4388="!!!"),"",IF(NOT(ISNA(VLOOKUP(E4388,E$1:E4387,1,FALSE()))),"OLD",IF(AND(E4388&lt;&gt;"",E4388&lt;&gt;"!!!"),"NEW","")))</f>
        <v> </v>
      </c>
      <c r="G4388" s="24" t="str">
        <f>IF(OR(E4388="",E4388="!!!"),"",IF(OR(J4388=0,AND(J4388=1,K4388=1),AND(J4388=1,I4388="SBJ"),AND(J4388=1,I4388=0)),"?IN_FOCUS",IF(J4388&lt;=2,"?ACTIVATED",IF(J4388&lt;&gt;"","?FAMILIAR",IF(F4388="NEW",IF(ISNA(VLOOKUP(E4388,#REF!,1,FALSE())),"?TYPE_IDENTIFIABLE","?REFERENTIAL"),"_")))))</f>
        <v> </v>
      </c>
      <c r="H4388" s="25" t="str">
        <f>IF(J4388&lt;&gt;1,"",IF(I4388="SBJ","CB","?"))</f>
        <v> </v>
      </c>
      <c r="I4388" s="26" t="str">
        <f>IF(OR(E4388="",E4388="!!!",F4388="NEW"),"",INDEX(B4387:B$2,-1+SUMPRODUCT(MAX(ROW(E4387:E$2)*(E4388=E4387:E$2)))))</f>
        <v> </v>
      </c>
      <c r="J4388" s="26" t="str">
        <f>IF(OR(E4388="",E4388="!!!",F4388="NEW"),"",COUNTBLANK(OFFSET(A$1,,,SUMPRODUCT(MAX(ROW(E$2:E4388)*(E4388=E$2:E4388)))))-COUNTBLANK(OFFSET(A$1,,,SUMPRODUCT(MAX(ROW(E$1:E4387)*(E2=E$1:E4387))))))</f>
        <v> </v>
      </c>
      <c r="K4388" s="26" t="str">
        <f>IF(OR(E4388="",E4388="!!!",F4388="NEW"),"",INDEX(J$1:J4387,SUMPRODUCT(MAX(ROW(E$1:E4387)*(E4388=E$1:E4387)))))</f>
        <v> </v>
      </c>
      <c r="L4388" s="27"/>
    </row>
    <row r="4389" spans="1:12">
      <c r="A4389" s="20" t="s">
        <v>1324</v>
      </c>
      <c r="E4389" s="22">
        <f>IF(D4389="?OLD","!!!","")</f>
        <v/>
      </c>
      <c r="F4389" s="23" t="str">
        <f>IF(OR(E4389="",E4389="!!!"),"",IF(NOT(ISNA(VLOOKUP(E4389,E$1:E4388,1,FALSE()))),"OLD",IF(AND(E4389&lt;&gt;"",E4389&lt;&gt;"!!!"),"NEW","")))</f>
        <v> </v>
      </c>
      <c r="G4389" s="24" t="str">
        <f>IF(OR(E4389="",E4389="!!!"),"",IF(OR(J4389=0,AND(J4389=1,K4389=1),AND(J4389=1,I4389="SBJ"),AND(J4389=1,I4389=0)),"?IN_FOCUS",IF(J4389&lt;=2,"?ACTIVATED",IF(J4389&lt;&gt;"","?FAMILIAR",IF(F4389="NEW",IF(ISNA(VLOOKUP(E4389,#REF!,1,FALSE())),"?TYPE_IDENTIFIABLE","?REFERENTIAL"),"_")))))</f>
        <v> </v>
      </c>
      <c r="H4389" s="25" t="str">
        <f>IF(J4389&lt;&gt;1,"",IF(I4389="SBJ","CB","?"))</f>
        <v> </v>
      </c>
      <c r="I4389" s="26" t="str">
        <f>IF(OR(E4389="",E4389="!!!",F4389="NEW"),"",INDEX(B4388:B$2,-1+SUMPRODUCT(MAX(ROW(E4388:E$2)*(E4389=E4388:E$2)))))</f>
        <v> </v>
      </c>
      <c r="J4389" s="26" t="str">
        <f>IF(OR(E4389="",E4389="!!!",F4389="NEW"),"",COUNTBLANK(OFFSET(A$1,,,SUMPRODUCT(MAX(ROW(E$2:E4389)*(E4389=E$2:E4389)))))-COUNTBLANK(OFFSET(A$1,,,SUMPRODUCT(MAX(ROW(E$1:E4388)*(E2=E$1:E4388))))))</f>
        <v> </v>
      </c>
      <c r="K4389" s="26" t="str">
        <f>IF(OR(E4389="",E4389="!!!",F4389="NEW"),"",INDEX(J$1:J4388,SUMPRODUCT(MAX(ROW(E$1:E4388)*(E4389=E$1:E4388)))))</f>
        <v> </v>
      </c>
      <c r="L4389" s="27"/>
    </row>
    <row r="4390" spans="1:12">
      <c r="A4390" s="20" t="s">
        <v>1843</v>
      </c>
      <c r="B4390" s="21" t="s">
        <v>1029</v>
      </c>
      <c r="C4390" s="21" t="s">
        <v>1111</v>
      </c>
      <c r="E4390" s="22">
        <f>IF(D4390="?OLD","!!!","")</f>
        <v/>
      </c>
      <c r="F4390" s="23" t="str">
        <f>IF(OR(E4390="",E4390="!!!"),"",IF(NOT(ISNA(VLOOKUP(E4390,E$1:E4389,1,FALSE()))),"OLD",IF(AND(E4390&lt;&gt;"",E4390&lt;&gt;"!!!"),"NEW","")))</f>
        <v> </v>
      </c>
      <c r="G4390" s="24" t="str">
        <f>IF(OR(E4390="",E4390="!!!"),"",IF(OR(J4390=0,AND(J4390=1,K4390=1),AND(J4390=1,I4390="SBJ"),AND(J4390=1,I4390=0)),"?IN_FOCUS",IF(J4390&lt;=2,"?ACTIVATED",IF(J4390&lt;&gt;"","?FAMILIAR",IF(F4390="NEW",IF(ISNA(VLOOKUP(E4390,#REF!,1,FALSE())),"?TYPE_IDENTIFIABLE","?REFERENTIAL"),"_")))))</f>
        <v> </v>
      </c>
      <c r="H4390" s="25" t="str">
        <f>IF(J4390&lt;&gt;1,"",IF(I4390="SBJ","CB","?"))</f>
        <v> </v>
      </c>
      <c r="I4390" s="26" t="str">
        <f>IF(OR(E4390="",E4390="!!!",F4390="NEW"),"",INDEX(B4389:B$2,-1+SUMPRODUCT(MAX(ROW(E4389:E$2)*(E4390=E4389:E$2)))))</f>
        <v> </v>
      </c>
      <c r="J4390" s="26" t="str">
        <f>IF(OR(E4390="",E4390="!!!",F4390="NEW"),"",COUNTBLANK(OFFSET(A$1,,,SUMPRODUCT(MAX(ROW(E$2:E4390)*(E4390=E$2:E4390)))))-COUNTBLANK(OFFSET(A$1,,,SUMPRODUCT(MAX(ROW(E$1:E4389)*(E2=E$1:E4389))))))</f>
        <v> </v>
      </c>
      <c r="K4390" s="26" t="str">
        <f>IF(OR(E4390="",E4390="!!!",F4390="NEW"),"",INDEX(J$1:J4389,SUMPRODUCT(MAX(ROW(E$1:E4389)*(E4390=E$1:E4389)))))</f>
        <v> </v>
      </c>
      <c r="L4390" s="27"/>
    </row>
    <row r="4391" spans="1:12">
      <c r="A4391" s="20" t="s">
        <v>2260</v>
      </c>
      <c r="E4391" s="22">
        <f>IF(D4391="?OLD","!!!","")</f>
        <v/>
      </c>
      <c r="F4391" s="23" t="str">
        <f>IF(OR(E4391="",E4391="!!!"),"",IF(NOT(ISNA(VLOOKUP(E4391,E$1:E4390,1,FALSE()))),"OLD",IF(AND(E4391&lt;&gt;"",E4391&lt;&gt;"!!!"),"NEW","")))</f>
        <v> </v>
      </c>
      <c r="G4391" s="24" t="str">
        <f>IF(OR(E4391="",E4391="!!!"),"",IF(OR(J4391=0,AND(J4391=1,K4391=1),AND(J4391=1,I4391="SBJ"),AND(J4391=1,I4391=0)),"?IN_FOCUS",IF(J4391&lt;=2,"?ACTIVATED",IF(J4391&lt;&gt;"","?FAMILIAR",IF(F4391="NEW",IF(ISNA(VLOOKUP(E4391,#REF!,1,FALSE())),"?TYPE_IDENTIFIABLE","?REFERENTIAL"),"_")))))</f>
        <v> </v>
      </c>
      <c r="H4391" s="25" t="str">
        <f>IF(J4391&lt;&gt;1,"",IF(I4391="SBJ","CB","?"))</f>
        <v> </v>
      </c>
      <c r="I4391" s="26" t="str">
        <f>IF(OR(E4391="",E4391="!!!",F4391="NEW"),"",INDEX(B4390:B$2,-1+SUMPRODUCT(MAX(ROW(E4390:E$2)*(E4391=E4390:E$2)))))</f>
        <v> </v>
      </c>
      <c r="J4391" s="26" t="str">
        <f>IF(OR(E4391="",E4391="!!!",F4391="NEW"),"",COUNTBLANK(OFFSET(A$1,,,SUMPRODUCT(MAX(ROW(E$2:E4391)*(E4391=E$2:E4391)))))-COUNTBLANK(OFFSET(A$1,,,SUMPRODUCT(MAX(ROW(E$1:E4390)*(E2=E$1:E4390))))))</f>
        <v> </v>
      </c>
      <c r="K4391" s="26" t="str">
        <f>IF(OR(E4391="",E4391="!!!",F4391="NEW"),"",INDEX(J$1:J4390,SUMPRODUCT(MAX(ROW(E$1:E4390)*(E4391=E$1:E4390)))))</f>
        <v> </v>
      </c>
      <c r="L4391" s="27"/>
    </row>
    <row r="4392" spans="1:12">
      <c r="A4392" s="20" t="s">
        <v>1065</v>
      </c>
      <c r="B4392" s="21" t="s">
        <v>1120</v>
      </c>
      <c r="E4392" s="22">
        <f>IF(D4392="?OLD","!!!","")</f>
        <v/>
      </c>
      <c r="F4392" s="23" t="str">
        <f>IF(OR(E4392="",E4392="!!!"),"",IF(NOT(ISNA(VLOOKUP(E4392,E$1:E4391,1,FALSE()))),"OLD",IF(AND(E4392&lt;&gt;"",E4392&lt;&gt;"!!!"),"NEW","")))</f>
        <v> </v>
      </c>
      <c r="G4392" s="24" t="str">
        <f>IF(OR(E4392="",E4392="!!!"),"",IF(OR(J4392=0,AND(J4392=1,K4392=1),AND(J4392=1,I4392="SBJ"),AND(J4392=1,I4392=0)),"?IN_FOCUS",IF(J4392&lt;=2,"?ACTIVATED",IF(J4392&lt;&gt;"","?FAMILIAR",IF(F4392="NEW",IF(ISNA(VLOOKUP(E4392,#REF!,1,FALSE())),"?TYPE_IDENTIFIABLE","?REFERENTIAL"),"_")))))</f>
        <v> </v>
      </c>
      <c r="H4392" s="25" t="str">
        <f>IF(J4392&lt;&gt;1,"",IF(I4392="SBJ","CB","?"))</f>
        <v> </v>
      </c>
      <c r="I4392" s="26" t="str">
        <f>IF(OR(E4392="",E4392="!!!",F4392="NEW"),"",INDEX(B4391:B$2,-1+SUMPRODUCT(MAX(ROW(E4391:E$2)*(E4392=E4391:E$2)))))</f>
        <v> </v>
      </c>
      <c r="J4392" s="26" t="str">
        <f>IF(OR(E4392="",E4392="!!!",F4392="NEW"),"",COUNTBLANK(OFFSET(A$1,,,SUMPRODUCT(MAX(ROW(E$2:E4392)*(E4392=E$2:E4392)))))-COUNTBLANK(OFFSET(A$1,,,SUMPRODUCT(MAX(ROW(E$1:E4391)*(E2=E$1:E4391))))))</f>
        <v> </v>
      </c>
      <c r="K4392" s="26" t="str">
        <f>IF(OR(E4392="",E4392="!!!",F4392="NEW"),"",INDEX(J$1:J4391,SUMPRODUCT(MAX(ROW(E$1:E4391)*(E4392=E$1:E4391)))))</f>
        <v> </v>
      </c>
      <c r="L4392" s="27"/>
    </row>
    <row r="4393" spans="1:12">
      <c r="A4393" s="20" t="s">
        <v>1425</v>
      </c>
      <c r="E4393" s="22">
        <f>IF(D4393="?OLD","!!!","")</f>
        <v/>
      </c>
      <c r="F4393" s="23" t="str">
        <f>IF(OR(E4393="",E4393="!!!"),"",IF(NOT(ISNA(VLOOKUP(E4393,E$1:E4392,1,FALSE()))),"OLD",IF(AND(E4393&lt;&gt;"",E4393&lt;&gt;"!!!"),"NEW","")))</f>
        <v> </v>
      </c>
      <c r="G4393" s="24" t="str">
        <f>IF(OR(E4393="",E4393="!!!"),"",IF(OR(J4393=0,AND(J4393=1,K4393=1),AND(J4393=1,I4393="SBJ"),AND(J4393=1,I4393=0)),"?IN_FOCUS",IF(J4393&lt;=2,"?ACTIVATED",IF(J4393&lt;&gt;"","?FAMILIAR",IF(F4393="NEW",IF(ISNA(VLOOKUP(E4393,#REF!,1,FALSE())),"?TYPE_IDENTIFIABLE","?REFERENTIAL"),"_")))))</f>
        <v> </v>
      </c>
      <c r="H4393" s="25" t="str">
        <f>IF(J4393&lt;&gt;1,"",IF(I4393="SBJ","CB","?"))</f>
        <v> </v>
      </c>
      <c r="I4393" s="26" t="str">
        <f>IF(OR(E4393="",E4393="!!!",F4393="NEW"),"",INDEX(B4392:B$2,-1+SUMPRODUCT(MAX(ROW(E4392:E$2)*(E4393=E4392:E$2)))))</f>
        <v> </v>
      </c>
      <c r="J4393" s="26" t="str">
        <f>IF(OR(E4393="",E4393="!!!",F4393="NEW"),"",COUNTBLANK(OFFSET(A$1,,,SUMPRODUCT(MAX(ROW(E$2:E4393)*(E4393=E$2:E4393)))))-COUNTBLANK(OFFSET(A$1,,,SUMPRODUCT(MAX(ROW(E$1:E4392)*(E2=E$1:E4392))))))</f>
        <v> </v>
      </c>
      <c r="K4393" s="26" t="str">
        <f>IF(OR(E4393="",E4393="!!!",F4393="NEW"),"",INDEX(J$1:J4392,SUMPRODUCT(MAX(ROW(E$1:E4392)*(E4393=E$1:E4392)))))</f>
        <v> </v>
      </c>
      <c r="L4393" s="27"/>
    </row>
    <row r="4394" spans="1:12">
      <c r="A4394" s="20" t="s">
        <v>1065</v>
      </c>
      <c r="E4394" s="22">
        <f>IF(D4394="?OLD","!!!","")</f>
        <v/>
      </c>
      <c r="F4394" s="23" t="str">
        <f>IF(OR(E4394="",E4394="!!!"),"",IF(NOT(ISNA(VLOOKUP(E4394,E$1:E4393,1,FALSE()))),"OLD",IF(AND(E4394&lt;&gt;"",E4394&lt;&gt;"!!!"),"NEW","")))</f>
        <v> </v>
      </c>
      <c r="G4394" s="24" t="str">
        <f>IF(OR(E4394="",E4394="!!!"),"",IF(OR(J4394=0,AND(J4394=1,K4394=1),AND(J4394=1,I4394="SBJ"),AND(J4394=1,I4394=0)),"?IN_FOCUS",IF(J4394&lt;=2,"?ACTIVATED",IF(J4394&lt;&gt;"","?FAMILIAR",IF(F4394="NEW",IF(ISNA(VLOOKUP(E4394,#REF!,1,FALSE())),"?TYPE_IDENTIFIABLE","?REFERENTIAL"),"_")))))</f>
        <v> </v>
      </c>
      <c r="H4394" s="25" t="str">
        <f>IF(J4394&lt;&gt;1,"",IF(I4394="SBJ","CB","?"))</f>
        <v> </v>
      </c>
      <c r="I4394" s="26" t="str">
        <f>IF(OR(E4394="",E4394="!!!",F4394="NEW"),"",INDEX(B4393:B$2,-1+SUMPRODUCT(MAX(ROW(E4393:E$2)*(E4394=E4393:E$2)))))</f>
        <v> </v>
      </c>
      <c r="J4394" s="26" t="str">
        <f>IF(OR(E4394="",E4394="!!!",F4394="NEW"),"",COUNTBLANK(OFFSET(A$1,,,SUMPRODUCT(MAX(ROW(E$2:E4394)*(E4394=E$2:E4394)))))-COUNTBLANK(OFFSET(A$1,,,SUMPRODUCT(MAX(ROW(E$1:E4393)*(E2=E$1:E4393))))))</f>
        <v> </v>
      </c>
      <c r="K4394" s="26" t="str">
        <f>IF(OR(E4394="",E4394="!!!",F4394="NEW"),"",INDEX(J$1:J4393,SUMPRODUCT(MAX(ROW(E$1:E4393)*(E4394=E$1:E4393)))))</f>
        <v> </v>
      </c>
      <c r="L4394" s="27"/>
    </row>
    <row r="4395" spans="1:12">
      <c r="A4395" s="20" t="s">
        <v>1027</v>
      </c>
      <c r="E4395" s="22">
        <f>IF(D4395="?OLD","!!!","")</f>
        <v/>
      </c>
      <c r="F4395" s="23" t="str">
        <f>IF(OR(E4395="",E4395="!!!"),"",IF(NOT(ISNA(VLOOKUP(E4395,E$1:E4394,1,FALSE()))),"OLD",IF(AND(E4395&lt;&gt;"",E4395&lt;&gt;"!!!"),"NEW","")))</f>
        <v> </v>
      </c>
      <c r="G4395" s="24" t="str">
        <f>IF(OR(E4395="",E4395="!!!"),"",IF(OR(J4395=0,AND(J4395=1,K4395=1),AND(J4395=1,I4395="SBJ"),AND(J4395=1,I4395=0)),"?IN_FOCUS",IF(J4395&lt;=2,"?ACTIVATED",IF(J4395&lt;&gt;"","?FAMILIAR",IF(F4395="NEW",IF(ISNA(VLOOKUP(E4395,#REF!,1,FALSE())),"?TYPE_IDENTIFIABLE","?REFERENTIAL"),"_")))))</f>
        <v> </v>
      </c>
      <c r="H4395" s="25" t="str">
        <f>IF(J4395&lt;&gt;1,"",IF(I4395="SBJ","CB","?"))</f>
        <v> </v>
      </c>
      <c r="I4395" s="26" t="str">
        <f>IF(OR(E4395="",E4395="!!!",F4395="NEW"),"",INDEX(B4394:B$2,-1+SUMPRODUCT(MAX(ROW(E4394:E$2)*(E4395=E4394:E$2)))))</f>
        <v> </v>
      </c>
      <c r="J4395" s="26" t="str">
        <f>IF(OR(E4395="",E4395="!!!",F4395="NEW"),"",COUNTBLANK(OFFSET(A$1,,,SUMPRODUCT(MAX(ROW(E$2:E4395)*(E4395=E$2:E4395)))))-COUNTBLANK(OFFSET(A$1,,,SUMPRODUCT(MAX(ROW(E$1:E4394)*(E2=E$1:E4394))))))</f>
        <v> </v>
      </c>
      <c r="K4395" s="26" t="str">
        <f>IF(OR(E4395="",E4395="!!!",F4395="NEW"),"",INDEX(J$1:J4394,SUMPRODUCT(MAX(ROW(E$1:E4394)*(E4395=E$1:E4394)))))</f>
        <v> </v>
      </c>
      <c r="L4395" s="27"/>
    </row>
    <row r="4396" spans="1:12">
      <c r="A4396" s="20" t="s">
        <v>1172</v>
      </c>
      <c r="B4396" s="21" t="s">
        <v>1263</v>
      </c>
      <c r="C4396" s="21" t="s">
        <v>1017</v>
      </c>
      <c r="D4396" s="21" t="s">
        <v>1007</v>
      </c>
      <c r="E4396" s="22">
        <f>IF(D4396="?OLD","!!!","")</f>
        <v/>
      </c>
      <c r="F4396" s="23" t="str">
        <f>IF(OR(E4396="",E4396="!!!"),"",IF(NOT(ISNA(VLOOKUP(E4396,E$1:E4395,1,FALSE()))),"OLD",IF(AND(E4396&lt;&gt;"",E4396&lt;&gt;"!!!"),"NEW","")))</f>
        <v> </v>
      </c>
      <c r="G4396" s="24" t="str">
        <f>IF(OR(E4396="",E4396="!!!"),"",IF(OR(J4396=0,AND(J4396=1,K4396=1),AND(J4396=1,I4396="SBJ"),AND(J4396=1,I4396=0)),"?IN_FOCUS",IF(J4396&lt;=2,"?ACTIVATED",IF(J4396&lt;&gt;"","?FAMILIAR",IF(F4396="NEW",IF(ISNA(VLOOKUP(E4396,#REF!,1,FALSE())),"?TYPE_IDENTIFIABLE","?REFERENTIAL"),"_")))))</f>
        <v> </v>
      </c>
      <c r="H4396" s="25" t="str">
        <f>IF(J4396&lt;&gt;1,"",IF(I4396="SBJ","CB","?"))</f>
        <v> </v>
      </c>
      <c r="I4396" s="26" t="str">
        <f>IF(OR(E4396="",E4396="!!!",F4396="NEW"),"",INDEX(B4395:B$2,-1+SUMPRODUCT(MAX(ROW(E4395:E$2)*(E4396=E4395:E$2)))))</f>
        <v> </v>
      </c>
      <c r="J4396" s="26" t="str">
        <f>IF(OR(E4396="",E4396="!!!",F4396="NEW"),"",COUNTBLANK(OFFSET(A$1,,,SUMPRODUCT(MAX(ROW(E$2:E4396)*(E4396=E$2:E4396)))))-COUNTBLANK(OFFSET(A$1,,,SUMPRODUCT(MAX(ROW(E$1:E4395)*(E2=E$1:E4395))))))</f>
        <v> </v>
      </c>
      <c r="K4396" s="26" t="str">
        <f>IF(OR(E4396="",E4396="!!!",F4396="NEW"),"",INDEX(J$1:J4395,SUMPRODUCT(MAX(ROW(E$1:E4395)*(E4396=E$1:E4395)))))</f>
        <v> </v>
      </c>
      <c r="L4396" s="27"/>
    </row>
    <row r="4397" spans="1:12">
      <c r="A4397" s="20" t="s">
        <v>2261</v>
      </c>
      <c r="E4397" s="22">
        <f>IF(D4397="?OLD","!!!","")</f>
        <v/>
      </c>
      <c r="F4397" s="23" t="str">
        <f>IF(OR(E4397="",E4397="!!!"),"",IF(NOT(ISNA(VLOOKUP(E4397,E$1:E4396,1,FALSE()))),"OLD",IF(AND(E4397&lt;&gt;"",E4397&lt;&gt;"!!!"),"NEW","")))</f>
        <v> </v>
      </c>
      <c r="G4397" s="24" t="str">
        <f>IF(OR(E4397="",E4397="!!!"),"",IF(OR(J4397=0,AND(J4397=1,K4397=1),AND(J4397=1,I4397="SBJ"),AND(J4397=1,I4397=0)),"?IN_FOCUS",IF(J4397&lt;=2,"?ACTIVATED",IF(J4397&lt;&gt;"","?FAMILIAR",IF(F4397="NEW",IF(ISNA(VLOOKUP(E4397,#REF!,1,FALSE())),"?TYPE_IDENTIFIABLE","?REFERENTIAL"),"_")))))</f>
        <v> </v>
      </c>
      <c r="H4397" s="25" t="str">
        <f>IF(J4397&lt;&gt;1,"",IF(I4397="SBJ","CB","?"))</f>
        <v> </v>
      </c>
      <c r="I4397" s="26" t="str">
        <f>IF(OR(E4397="",E4397="!!!",F4397="NEW"),"",INDEX(B4396:B$2,-1+SUMPRODUCT(MAX(ROW(E4396:E$2)*(E4397=E4396:E$2)))))</f>
        <v> </v>
      </c>
      <c r="J4397" s="26" t="str">
        <f>IF(OR(E4397="",E4397="!!!",F4397="NEW"),"",COUNTBLANK(OFFSET(A$1,,,SUMPRODUCT(MAX(ROW(E$2:E4397)*(E4397=E$2:E4397)))))-COUNTBLANK(OFFSET(A$1,,,SUMPRODUCT(MAX(ROW(E$1:E4396)*(E2=E$1:E4396))))))</f>
        <v> </v>
      </c>
      <c r="K4397" s="26" t="str">
        <f>IF(OR(E4397="",E4397="!!!",F4397="NEW"),"",INDEX(J$1:J4396,SUMPRODUCT(MAX(ROW(E$1:E4396)*(E4397=E$1:E4396)))))</f>
        <v> </v>
      </c>
      <c r="L4397" s="27"/>
    </row>
    <row r="4398" spans="1:12">
      <c r="A4398" s="20" t="s">
        <v>1020</v>
      </c>
      <c r="E4398" s="22">
        <f>IF(D4398="?OLD","!!!","")</f>
        <v/>
      </c>
      <c r="F4398" s="23" t="str">
        <f>IF(OR(E4398="",E4398="!!!"),"",IF(NOT(ISNA(VLOOKUP(E4398,E$1:E4397,1,FALSE()))),"OLD",IF(AND(E4398&lt;&gt;"",E4398&lt;&gt;"!!!"),"NEW","")))</f>
        <v> </v>
      </c>
      <c r="G4398" s="24" t="str">
        <f>IF(OR(E4398="",E4398="!!!"),"",IF(OR(J4398=0,AND(J4398=1,K4398=1),AND(J4398=1,I4398="SBJ"),AND(J4398=1,I4398=0)),"?IN_FOCUS",IF(J4398&lt;=2,"?ACTIVATED",IF(J4398&lt;&gt;"","?FAMILIAR",IF(F4398="NEW",IF(ISNA(VLOOKUP(E4398,#REF!,1,FALSE())),"?TYPE_IDENTIFIABLE","?REFERENTIAL"),"_")))))</f>
        <v> </v>
      </c>
      <c r="H4398" s="25" t="str">
        <f>IF(J4398&lt;&gt;1,"",IF(I4398="SBJ","CB","?"))</f>
        <v> </v>
      </c>
      <c r="I4398" s="26" t="str">
        <f>IF(OR(E4398="",E4398="!!!",F4398="NEW"),"",INDEX(B4397:B$2,-1+SUMPRODUCT(MAX(ROW(E4397:E$2)*(E4398=E4397:E$2)))))</f>
        <v> </v>
      </c>
      <c r="J4398" s="26" t="str">
        <f>IF(OR(E4398="",E4398="!!!",F4398="NEW"),"",COUNTBLANK(OFFSET(A$1,,,SUMPRODUCT(MAX(ROW(E$2:E4398)*(E4398=E$2:E4398)))))-COUNTBLANK(OFFSET(A$1,,,SUMPRODUCT(MAX(ROW(E$1:E4397)*(E2=E$1:E4397))))))</f>
        <v> </v>
      </c>
      <c r="K4398" s="26" t="str">
        <f>IF(OR(E4398="",E4398="!!!",F4398="NEW"),"",INDEX(J$1:J4397,SUMPRODUCT(MAX(ROW(E$1:E4397)*(E4398=E$1:E4397)))))</f>
        <v> </v>
      </c>
      <c r="L4398" s="27"/>
    </row>
    <row r="4399" spans="1:12">
      <c r="A4399" s="20" t="s">
        <v>2262</v>
      </c>
      <c r="B4399" s="21" t="s">
        <v>1134</v>
      </c>
      <c r="C4399" s="21" t="s">
        <v>1013</v>
      </c>
      <c r="D4399" s="21" t="s">
        <v>1007</v>
      </c>
      <c r="E4399" s="22">
        <f>IF(D4399="?OLD","!!!","")</f>
        <v/>
      </c>
      <c r="F4399" s="23" t="str">
        <f>IF(OR(E4399="",E4399="!!!"),"",IF(NOT(ISNA(VLOOKUP(E4399,E$1:E4398,1,FALSE()))),"OLD",IF(AND(E4399&lt;&gt;"",E4399&lt;&gt;"!!!"),"NEW","")))</f>
        <v> </v>
      </c>
      <c r="G4399" s="24" t="str">
        <f>IF(OR(E4399="",E4399="!!!"),"",IF(OR(J4399=0,AND(J4399=1,K4399=1),AND(J4399=1,I4399="SBJ"),AND(J4399=1,I4399=0)),"?IN_FOCUS",IF(J4399&lt;=2,"?ACTIVATED",IF(J4399&lt;&gt;"","?FAMILIAR",IF(F4399="NEW",IF(ISNA(VLOOKUP(E4399,#REF!,1,FALSE())),"?TYPE_IDENTIFIABLE","?REFERENTIAL"),"_")))))</f>
        <v> </v>
      </c>
      <c r="H4399" s="25" t="str">
        <f>IF(J4399&lt;&gt;1,"",IF(I4399="SBJ","CB","?"))</f>
        <v> </v>
      </c>
      <c r="I4399" s="26" t="str">
        <f>IF(OR(E4399="",E4399="!!!",F4399="NEW"),"",INDEX(B4398:B$2,-1+SUMPRODUCT(MAX(ROW(E4398:E$2)*(E4399=E4398:E$2)))))</f>
        <v> </v>
      </c>
      <c r="J4399" s="26" t="str">
        <f>IF(OR(E4399="",E4399="!!!",F4399="NEW"),"",COUNTBLANK(OFFSET(A$1,,,SUMPRODUCT(MAX(ROW(E$2:E4399)*(E4399=E$2:E4399)))))-COUNTBLANK(OFFSET(A$1,,,SUMPRODUCT(MAX(ROW(E$1:E4398)*(E2=E$1:E4398))))))</f>
        <v> </v>
      </c>
      <c r="K4399" s="26" t="str">
        <f>IF(OR(E4399="",E4399="!!!",F4399="NEW"),"",INDEX(J$1:J4398,SUMPRODUCT(MAX(ROW(E$1:E4398)*(E4399=E$1:E4398)))))</f>
        <v> </v>
      </c>
      <c r="L4399" s="27"/>
    </row>
    <row r="4400" spans="1:12">
      <c r="A4400" s="20" t="s">
        <v>1014</v>
      </c>
      <c r="E4400" s="22">
        <f>IF(D4400="?OLD","!!!","")</f>
        <v/>
      </c>
      <c r="F4400" s="23" t="str">
        <f>IF(OR(E4400="",E4400="!!!"),"",IF(NOT(ISNA(VLOOKUP(E4400,E$1:E4399,1,FALSE()))),"OLD",IF(AND(E4400&lt;&gt;"",E4400&lt;&gt;"!!!"),"NEW","")))</f>
        <v> </v>
      </c>
      <c r="G4400" s="24" t="str">
        <f>IF(OR(E4400="",E4400="!!!"),"",IF(OR(J4400=0,AND(J4400=1,K4400=1),AND(J4400=1,I4400="SBJ"),AND(J4400=1,I4400=0)),"?IN_FOCUS",IF(J4400&lt;=2,"?ACTIVATED",IF(J4400&lt;&gt;"","?FAMILIAR",IF(F4400="NEW",IF(ISNA(VLOOKUP(E4400,#REF!,1,FALSE())),"?TYPE_IDENTIFIABLE","?REFERENTIAL"),"_")))))</f>
        <v> </v>
      </c>
      <c r="H4400" s="25" t="str">
        <f>IF(J4400&lt;&gt;1,"",IF(I4400="SBJ","CB","?"))</f>
        <v> </v>
      </c>
      <c r="I4400" s="26" t="str">
        <f>IF(OR(E4400="",E4400="!!!",F4400="NEW"),"",INDEX(B4399:B$2,-1+SUMPRODUCT(MAX(ROW(E4399:E$2)*(E4400=E4399:E$2)))))</f>
        <v> </v>
      </c>
      <c r="J4400" s="26" t="str">
        <f>IF(OR(E4400="",E4400="!!!",F4400="NEW"),"",COUNTBLANK(OFFSET(A$1,,,SUMPRODUCT(MAX(ROW(E$2:E4400)*(E4400=E$2:E4400)))))-COUNTBLANK(OFFSET(A$1,,,SUMPRODUCT(MAX(ROW(E$1:E4399)*(E2=E$1:E4399))))))</f>
        <v> </v>
      </c>
      <c r="K4400" s="26" t="str">
        <f>IF(OR(E4400="",E4400="!!!",F4400="NEW"),"",INDEX(J$1:J4399,SUMPRODUCT(MAX(ROW(E$1:E4399)*(E4400=E$1:E4399)))))</f>
        <v> </v>
      </c>
      <c r="L4400" s="27"/>
    </row>
    <row r="4401" spans="1:12">
      <c r="A4401" s="20" t="s">
        <v>2263</v>
      </c>
      <c r="B4401" s="21" t="s">
        <v>1040</v>
      </c>
      <c r="C4401" s="21" t="s">
        <v>1048</v>
      </c>
      <c r="E4401" s="22">
        <f>IF(D4401="?OLD","!!!","")</f>
        <v/>
      </c>
      <c r="F4401" s="23" t="str">
        <f>IF(OR(E4401="",E4401="!!!"),"",IF(NOT(ISNA(VLOOKUP(E4401,E$1:E4400,1,FALSE()))),"OLD",IF(AND(E4401&lt;&gt;"",E4401&lt;&gt;"!!!"),"NEW","")))</f>
        <v> </v>
      </c>
      <c r="G4401" s="24" t="str">
        <f>IF(OR(E4401="",E4401="!!!"),"",IF(OR(J4401=0,AND(J4401=1,K4401=1),AND(J4401=1,I4401="SBJ"),AND(J4401=1,I4401=0)),"?IN_FOCUS",IF(J4401&lt;=2,"?ACTIVATED",IF(J4401&lt;&gt;"","?FAMILIAR",IF(F4401="NEW",IF(ISNA(VLOOKUP(E4401,#REF!,1,FALSE())),"?TYPE_IDENTIFIABLE","?REFERENTIAL"),"_")))))</f>
        <v> </v>
      </c>
      <c r="H4401" s="25" t="str">
        <f>IF(J4401&lt;&gt;1,"",IF(I4401="SBJ","CB","?"))</f>
        <v> </v>
      </c>
      <c r="I4401" s="26" t="str">
        <f>IF(OR(E4401="",E4401="!!!",F4401="NEW"),"",INDEX(B4400:B$2,-1+SUMPRODUCT(MAX(ROW(E4400:E$2)*(E4401=E4400:E$2)))))</f>
        <v> </v>
      </c>
      <c r="J4401" s="26" t="str">
        <f>IF(OR(E4401="",E4401="!!!",F4401="NEW"),"",COUNTBLANK(OFFSET(A$1,,,SUMPRODUCT(MAX(ROW(E$2:E4401)*(E4401=E$2:E4401)))))-COUNTBLANK(OFFSET(A$1,,,SUMPRODUCT(MAX(ROW(E$1:E4400)*(E2=E$1:E4400))))))</f>
        <v> </v>
      </c>
      <c r="K4401" s="26" t="str">
        <f>IF(OR(E4401="",E4401="!!!",F4401="NEW"),"",INDEX(J$1:J4400,SUMPRODUCT(MAX(ROW(E$1:E4400)*(E4401=E$1:E4400)))))</f>
        <v> </v>
      </c>
      <c r="L4401" s="27"/>
    </row>
    <row r="4402" spans="1:12">
      <c r="A4402" s="20" t="s">
        <v>56</v>
      </c>
      <c r="E4402" s="22">
        <f>IF(D4402="?OLD","!!!","")</f>
        <v/>
      </c>
      <c r="F4402" s="23" t="str">
        <f>IF(OR(E4402="",E4402="!!!"),"",IF(NOT(ISNA(VLOOKUP(E4402,E$1:E4401,1,FALSE()))),"OLD",IF(AND(E4402&lt;&gt;"",E4402&lt;&gt;"!!!"),"NEW","")))</f>
        <v> </v>
      </c>
      <c r="G4402" s="24" t="str">
        <f>IF(OR(E4402="",E4402="!!!"),"",IF(OR(J4402=0,AND(J4402=1,K4402=1),AND(J4402=1,I4402="SBJ"),AND(J4402=1,I4402=0)),"?IN_FOCUS",IF(J4402&lt;=2,"?ACTIVATED",IF(J4402&lt;&gt;"","?FAMILIAR",IF(F4402="NEW",IF(ISNA(VLOOKUP(E4402,#REF!,1,FALSE())),"?TYPE_IDENTIFIABLE","?REFERENTIAL"),"_")))))</f>
        <v> </v>
      </c>
      <c r="H4402" s="25" t="str">
        <f>IF(J4402&lt;&gt;1,"",IF(I4402="SBJ","CB","?"))</f>
        <v> </v>
      </c>
      <c r="I4402" s="26" t="str">
        <f>IF(OR(E4402="",E4402="!!!",F4402="NEW"),"",INDEX(B4401:B$2,-1+SUMPRODUCT(MAX(ROW(E4401:E$2)*(E4402=E4401:E$2)))))</f>
        <v> </v>
      </c>
      <c r="J4402" s="26" t="str">
        <f>IF(OR(E4402="",E4402="!!!",F4402="NEW"),"",COUNTBLANK(OFFSET(A$1,,,SUMPRODUCT(MAX(ROW(E$2:E4402)*(E4402=E$2:E4402)))))-COUNTBLANK(OFFSET(A$1,,,SUMPRODUCT(MAX(ROW(E$1:E4401)*(E2=E$1:E4401))))))</f>
        <v> </v>
      </c>
      <c r="K4402" s="26" t="str">
        <f>IF(OR(E4402="",E4402="!!!",F4402="NEW"),"",INDEX(J$1:J4401,SUMPRODUCT(MAX(ROW(E$1:E4401)*(E4402=E$1:E4401)))))</f>
        <v> </v>
      </c>
      <c r="L4402" s="27"/>
    </row>
    <row r="4403" spans="1:12">
      <c r="A4403" s="20" t="s">
        <v>1274</v>
      </c>
      <c r="B4403" s="21" t="s">
        <v>1042</v>
      </c>
      <c r="C4403" s="21" t="s">
        <v>1048</v>
      </c>
      <c r="E4403" s="22">
        <f>IF(D4403="?OLD","!!!","")</f>
        <v/>
      </c>
      <c r="F4403" s="23" t="str">
        <f>IF(OR(E4403="",E4403="!!!"),"",IF(NOT(ISNA(VLOOKUP(E4403,E$1:E4402,1,FALSE()))),"OLD",IF(AND(E4403&lt;&gt;"",E4403&lt;&gt;"!!!"),"NEW","")))</f>
        <v> </v>
      </c>
      <c r="G4403" s="24" t="str">
        <f>IF(OR(E4403="",E4403="!!!"),"",IF(OR(J4403=0,AND(J4403=1,K4403=1),AND(J4403=1,I4403="SBJ"),AND(J4403=1,I4403=0)),"?IN_FOCUS",IF(J4403&lt;=2,"?ACTIVATED",IF(J4403&lt;&gt;"","?FAMILIAR",IF(F4403="NEW",IF(ISNA(VLOOKUP(E4403,#REF!,1,FALSE())),"?TYPE_IDENTIFIABLE","?REFERENTIAL"),"_")))))</f>
        <v> </v>
      </c>
      <c r="H4403" s="25" t="str">
        <f>IF(J4403&lt;&gt;1,"",IF(I4403="SBJ","CB","?"))</f>
        <v> </v>
      </c>
      <c r="I4403" s="26" t="str">
        <f>IF(OR(E4403="",E4403="!!!",F4403="NEW"),"",INDEX(B4402:B$2,-1+SUMPRODUCT(MAX(ROW(E4402:E$2)*(E4403=E4402:E$2)))))</f>
        <v> </v>
      </c>
      <c r="J4403" s="26" t="str">
        <f>IF(OR(E4403="",E4403="!!!",F4403="NEW"),"",COUNTBLANK(OFFSET(A$1,,,SUMPRODUCT(MAX(ROW(E$2:E4403)*(E4403=E$2:E4403)))))-COUNTBLANK(OFFSET(A$1,,,SUMPRODUCT(MAX(ROW(E$1:E4402)*(E2=E$1:E4402))))))</f>
        <v> </v>
      </c>
      <c r="K4403" s="26" t="str">
        <f>IF(OR(E4403="",E4403="!!!",F4403="NEW"),"",INDEX(J$1:J4402,SUMPRODUCT(MAX(ROW(E$1:E4402)*(E4403=E$1:E4402)))))</f>
        <v> </v>
      </c>
      <c r="L4403" s="27"/>
    </row>
    <row r="4404" spans="1:12">
      <c r="A4404" s="20" t="s">
        <v>1065</v>
      </c>
      <c r="B4404" s="21" t="s">
        <v>1251</v>
      </c>
      <c r="E4404" s="22">
        <f>IF(D4404="?OLD","!!!","")</f>
        <v/>
      </c>
      <c r="F4404" s="23" t="str">
        <f>IF(OR(E4404="",E4404="!!!"),"",IF(NOT(ISNA(VLOOKUP(E4404,E$1:E4403,1,FALSE()))),"OLD",IF(AND(E4404&lt;&gt;"",E4404&lt;&gt;"!!!"),"NEW","")))</f>
        <v> </v>
      </c>
      <c r="G4404" s="24" t="str">
        <f>IF(OR(E4404="",E4404="!!!"),"",IF(OR(J4404=0,AND(J4404=1,K4404=1),AND(J4404=1,I4404="SBJ"),AND(J4404=1,I4404=0)),"?IN_FOCUS",IF(J4404&lt;=2,"?ACTIVATED",IF(J4404&lt;&gt;"","?FAMILIAR",IF(F4404="NEW",IF(ISNA(VLOOKUP(E4404,#REF!,1,FALSE())),"?TYPE_IDENTIFIABLE","?REFERENTIAL"),"_")))))</f>
        <v> </v>
      </c>
      <c r="H4404" s="25" t="str">
        <f>IF(J4404&lt;&gt;1,"",IF(I4404="SBJ","CB","?"))</f>
        <v> </v>
      </c>
      <c r="I4404" s="26" t="str">
        <f>IF(OR(E4404="",E4404="!!!",F4404="NEW"),"",INDEX(B4403:B$2,-1+SUMPRODUCT(MAX(ROW(E4403:E$2)*(E4404=E4403:E$2)))))</f>
        <v> </v>
      </c>
      <c r="J4404" s="26" t="str">
        <f>IF(OR(E4404="",E4404="!!!",F4404="NEW"),"",COUNTBLANK(OFFSET(A$1,,,SUMPRODUCT(MAX(ROW(E$2:E4404)*(E4404=E$2:E4404)))))-COUNTBLANK(OFFSET(A$1,,,SUMPRODUCT(MAX(ROW(E$1:E4403)*(E2=E$1:E4403))))))</f>
        <v> </v>
      </c>
      <c r="K4404" s="26" t="str">
        <f>IF(OR(E4404="",E4404="!!!",F4404="NEW"),"",INDEX(J$1:J4403,SUMPRODUCT(MAX(ROW(E$1:E4403)*(E4404=E$1:E4403)))))</f>
        <v> </v>
      </c>
      <c r="L4404" s="27"/>
    </row>
    <row r="4405" spans="1:12">
      <c r="A4405" s="20" t="s">
        <v>1142</v>
      </c>
      <c r="E4405" s="22">
        <f>IF(D4405="?OLD","!!!","")</f>
        <v/>
      </c>
      <c r="F4405" s="23" t="str">
        <f>IF(OR(E4405="",E4405="!!!"),"",IF(NOT(ISNA(VLOOKUP(E4405,E$1:E4404,1,FALSE()))),"OLD",IF(AND(E4405&lt;&gt;"",E4405&lt;&gt;"!!!"),"NEW","")))</f>
        <v> </v>
      </c>
      <c r="G4405" s="24" t="str">
        <f>IF(OR(E4405="",E4405="!!!"),"",IF(OR(J4405=0,AND(J4405=1,K4405=1),AND(J4405=1,I4405="SBJ"),AND(J4405=1,I4405=0)),"?IN_FOCUS",IF(J4405&lt;=2,"?ACTIVATED",IF(J4405&lt;&gt;"","?FAMILIAR",IF(F4405="NEW",IF(ISNA(VLOOKUP(E4405,#REF!,1,FALSE())),"?TYPE_IDENTIFIABLE","?REFERENTIAL"),"_")))))</f>
        <v> </v>
      </c>
      <c r="H4405" s="25" t="str">
        <f>IF(J4405&lt;&gt;1,"",IF(I4405="SBJ","CB","?"))</f>
        <v> </v>
      </c>
      <c r="I4405" s="26" t="str">
        <f>IF(OR(E4405="",E4405="!!!",F4405="NEW"),"",INDEX(B4404:B$2,-1+SUMPRODUCT(MAX(ROW(E4404:E$2)*(E4405=E4404:E$2)))))</f>
        <v> </v>
      </c>
      <c r="J4405" s="26" t="str">
        <f>IF(OR(E4405="",E4405="!!!",F4405="NEW"),"",COUNTBLANK(OFFSET(A$1,,,SUMPRODUCT(MAX(ROW(E$2:E4405)*(E4405=E$2:E4405)))))-COUNTBLANK(OFFSET(A$1,,,SUMPRODUCT(MAX(ROW(E$1:E4404)*(E2=E$1:E4404))))))</f>
        <v> </v>
      </c>
      <c r="K4405" s="26" t="str">
        <f>IF(OR(E4405="",E4405="!!!",F4405="NEW"),"",INDEX(J$1:J4404,SUMPRODUCT(MAX(ROW(E$1:E4404)*(E4405=E$1:E4404)))))</f>
        <v> </v>
      </c>
      <c r="L4405" s="27"/>
    </row>
    <row r="4406" spans="1:12">
      <c r="A4406" s="20" t="s">
        <v>2264</v>
      </c>
      <c r="E4406" s="22">
        <f>IF(D4406="?OLD","!!!","")</f>
        <v/>
      </c>
      <c r="F4406" s="23" t="str">
        <f>IF(OR(E4406="",E4406="!!!"),"",IF(NOT(ISNA(VLOOKUP(E4406,E$1:E4405,1,FALSE()))),"OLD",IF(AND(E4406&lt;&gt;"",E4406&lt;&gt;"!!!"),"NEW","")))</f>
        <v> </v>
      </c>
      <c r="G4406" s="24" t="str">
        <f>IF(OR(E4406="",E4406="!!!"),"",IF(OR(J4406=0,AND(J4406=1,K4406=1),AND(J4406=1,I4406="SBJ"),AND(J4406=1,I4406=0)),"?IN_FOCUS",IF(J4406&lt;=2,"?ACTIVATED",IF(J4406&lt;&gt;"","?FAMILIAR",IF(F4406="NEW",IF(ISNA(VLOOKUP(E4406,#REF!,1,FALSE())),"?TYPE_IDENTIFIABLE","?REFERENTIAL"),"_")))))</f>
        <v> </v>
      </c>
      <c r="H4406" s="25" t="str">
        <f>IF(J4406&lt;&gt;1,"",IF(I4406="SBJ","CB","?"))</f>
        <v> </v>
      </c>
      <c r="I4406" s="26" t="str">
        <f>IF(OR(E4406="",E4406="!!!",F4406="NEW"),"",INDEX(B4405:B$2,-1+SUMPRODUCT(MAX(ROW(E4405:E$2)*(E4406=E4405:E$2)))))</f>
        <v> </v>
      </c>
      <c r="J4406" s="26" t="str">
        <f>IF(OR(E4406="",E4406="!!!",F4406="NEW"),"",COUNTBLANK(OFFSET(A$1,,,SUMPRODUCT(MAX(ROW(E$2:E4406)*(E4406=E$2:E4406)))))-COUNTBLANK(OFFSET(A$1,,,SUMPRODUCT(MAX(ROW(E$1:E4405)*(E2=E$1:E4405))))))</f>
        <v> </v>
      </c>
      <c r="K4406" s="26" t="str">
        <f>IF(OR(E4406="",E4406="!!!",F4406="NEW"),"",INDEX(J$1:J4405,SUMPRODUCT(MAX(ROW(E$1:E4405)*(E4406=E$1:E4405)))))</f>
        <v> </v>
      </c>
      <c r="L4406" s="27"/>
    </row>
    <row r="4407" spans="1:12">
      <c r="A4407" s="20" t="s">
        <v>1014</v>
      </c>
      <c r="E4407" s="22">
        <f>IF(D4407="?OLD","!!!","")</f>
        <v/>
      </c>
      <c r="F4407" s="23" t="str">
        <f>IF(OR(E4407="",E4407="!!!"),"",IF(NOT(ISNA(VLOOKUP(E4407,E$1:E4406,1,FALSE()))),"OLD",IF(AND(E4407&lt;&gt;"",E4407&lt;&gt;"!!!"),"NEW","")))</f>
        <v> </v>
      </c>
      <c r="G4407" s="24" t="str">
        <f>IF(OR(E4407="",E4407="!!!"),"",IF(OR(J4407=0,AND(J4407=1,K4407=1),AND(J4407=1,I4407="SBJ"),AND(J4407=1,I4407=0)),"?IN_FOCUS",IF(J4407&lt;=2,"?ACTIVATED",IF(J4407&lt;&gt;"","?FAMILIAR",IF(F4407="NEW",IF(ISNA(VLOOKUP(E4407,#REF!,1,FALSE())),"?TYPE_IDENTIFIABLE","?REFERENTIAL"),"_")))))</f>
        <v> </v>
      </c>
      <c r="H4407" s="25" t="str">
        <f>IF(J4407&lt;&gt;1,"",IF(I4407="SBJ","CB","?"))</f>
        <v> </v>
      </c>
      <c r="I4407" s="26" t="str">
        <f>IF(OR(E4407="",E4407="!!!",F4407="NEW"),"",INDEX(B4406:B$2,-1+SUMPRODUCT(MAX(ROW(E4406:E$2)*(E4407=E4406:E$2)))))</f>
        <v> </v>
      </c>
      <c r="J4407" s="26" t="str">
        <f>IF(OR(E4407="",E4407="!!!",F4407="NEW"),"",COUNTBLANK(OFFSET(A$1,,,SUMPRODUCT(MAX(ROW(E$2:E4407)*(E4407=E$2:E4407)))))-COUNTBLANK(OFFSET(A$1,,,SUMPRODUCT(MAX(ROW(E$1:E4406)*(E2=E$1:E4406))))))</f>
        <v> </v>
      </c>
      <c r="K4407" s="26" t="str">
        <f>IF(OR(E4407="",E4407="!!!",F4407="NEW"),"",INDEX(J$1:J4406,SUMPRODUCT(MAX(ROW(E$1:E4406)*(E4407=E$1:E4406)))))</f>
        <v> </v>
      </c>
      <c r="L4407" s="27"/>
    </row>
    <row r="4408" spans="1:12">
      <c r="A4408" s="20" t="s">
        <v>1686</v>
      </c>
      <c r="E4408" s="22">
        <f>IF(D4408="?OLD","!!!","")</f>
        <v/>
      </c>
      <c r="F4408" s="23" t="str">
        <f>IF(OR(E4408="",E4408="!!!"),"",IF(NOT(ISNA(VLOOKUP(E4408,E$1:E4407,1,FALSE()))),"OLD",IF(AND(E4408&lt;&gt;"",E4408&lt;&gt;"!!!"),"NEW","")))</f>
        <v> </v>
      </c>
      <c r="G4408" s="24" t="str">
        <f>IF(OR(E4408="",E4408="!!!"),"",IF(OR(J4408=0,AND(J4408=1,K4408=1),AND(J4408=1,I4408="SBJ"),AND(J4408=1,I4408=0)),"?IN_FOCUS",IF(J4408&lt;=2,"?ACTIVATED",IF(J4408&lt;&gt;"","?FAMILIAR",IF(F4408="NEW",IF(ISNA(VLOOKUP(E4408,#REF!,1,FALSE())),"?TYPE_IDENTIFIABLE","?REFERENTIAL"),"_")))))</f>
        <v> </v>
      </c>
      <c r="H4408" s="25" t="str">
        <f>IF(J4408&lt;&gt;1,"",IF(I4408="SBJ","CB","?"))</f>
        <v> </v>
      </c>
      <c r="I4408" s="26" t="str">
        <f>IF(OR(E4408="",E4408="!!!",F4408="NEW"),"",INDEX(B4407:B$2,-1+SUMPRODUCT(MAX(ROW(E4407:E$2)*(E4408=E4407:E$2)))))</f>
        <v> </v>
      </c>
      <c r="J4408" s="26" t="str">
        <f>IF(OR(E4408="",E4408="!!!",F4408="NEW"),"",COUNTBLANK(OFFSET(A$1,,,SUMPRODUCT(MAX(ROW(E$2:E4408)*(E4408=E$2:E4408)))))-COUNTBLANK(OFFSET(A$1,,,SUMPRODUCT(MAX(ROW(E$1:E4407)*(E2=E$1:E4407))))))</f>
        <v> </v>
      </c>
      <c r="K4408" s="26" t="str">
        <f>IF(OR(E4408="",E4408="!!!",F4408="NEW"),"",INDEX(J$1:J4407,SUMPRODUCT(MAX(ROW(E$1:E4407)*(E4408=E$1:E4407)))))</f>
        <v> </v>
      </c>
      <c r="L4408" s="27"/>
    </row>
    <row r="4409" spans="1:12">
      <c r="A4409" s="20" t="s">
        <v>2265</v>
      </c>
      <c r="B4409" s="21" t="s">
        <v>1042</v>
      </c>
      <c r="C4409" s="21" t="s">
        <v>1103</v>
      </c>
      <c r="E4409" s="22">
        <f>IF(D4409="?OLD","!!!","")</f>
        <v/>
      </c>
      <c r="F4409" s="23" t="str">
        <f>IF(OR(E4409="",E4409="!!!"),"",IF(NOT(ISNA(VLOOKUP(E4409,E$1:E4408,1,FALSE()))),"OLD",IF(AND(E4409&lt;&gt;"",E4409&lt;&gt;"!!!"),"NEW","")))</f>
        <v> </v>
      </c>
      <c r="G4409" s="24" t="str">
        <f>IF(OR(E4409="",E4409="!!!"),"",IF(OR(J4409=0,AND(J4409=1,K4409=1),AND(J4409=1,I4409="SBJ"),AND(J4409=1,I4409=0)),"?IN_FOCUS",IF(J4409&lt;=2,"?ACTIVATED",IF(J4409&lt;&gt;"","?FAMILIAR",IF(F4409="NEW",IF(ISNA(VLOOKUP(E4409,#REF!,1,FALSE())),"?TYPE_IDENTIFIABLE","?REFERENTIAL"),"_")))))</f>
        <v> </v>
      </c>
      <c r="H4409" s="25" t="str">
        <f>IF(J4409&lt;&gt;1,"",IF(I4409="SBJ","CB","?"))</f>
        <v> </v>
      </c>
      <c r="I4409" s="26" t="str">
        <f>IF(OR(E4409="",E4409="!!!",F4409="NEW"),"",INDEX(B4408:B$2,-1+SUMPRODUCT(MAX(ROW(E4408:E$2)*(E4409=E4408:E$2)))))</f>
        <v> </v>
      </c>
      <c r="J4409" s="26" t="str">
        <f>IF(OR(E4409="",E4409="!!!",F4409="NEW"),"",COUNTBLANK(OFFSET(A$1,,,SUMPRODUCT(MAX(ROW(E$2:E4409)*(E4409=E$2:E4409)))))-COUNTBLANK(OFFSET(A$1,,,SUMPRODUCT(MAX(ROW(E$1:E4408)*(E2=E$1:E4408))))))</f>
        <v> </v>
      </c>
      <c r="K4409" s="26" t="str">
        <f>IF(OR(E4409="",E4409="!!!",F4409="NEW"),"",INDEX(J$1:J4408,SUMPRODUCT(MAX(ROW(E$1:E4408)*(E4409=E$1:E4408)))))</f>
        <v> </v>
      </c>
      <c r="L4409" s="27"/>
    </row>
    <row r="4410" spans="1:12">
      <c r="A4410" s="20" t="s">
        <v>1018</v>
      </c>
      <c r="E4410" s="22">
        <f>IF(D4410="?OLD","!!!","")</f>
        <v/>
      </c>
      <c r="F4410" s="23" t="str">
        <f>IF(OR(E4410="",E4410="!!!"),"",IF(NOT(ISNA(VLOOKUP(E4410,E$1:E4409,1,FALSE()))),"OLD",IF(AND(E4410&lt;&gt;"",E4410&lt;&gt;"!!!"),"NEW","")))</f>
        <v> </v>
      </c>
      <c r="G4410" s="24" t="str">
        <f>IF(OR(E4410="",E4410="!!!"),"",IF(OR(J4410=0,AND(J4410=1,K4410=1),AND(J4410=1,I4410="SBJ"),AND(J4410=1,I4410=0)),"?IN_FOCUS",IF(J4410&lt;=2,"?ACTIVATED",IF(J4410&lt;&gt;"","?FAMILIAR",IF(F4410="NEW",IF(ISNA(VLOOKUP(E4410,#REF!,1,FALSE())),"?TYPE_IDENTIFIABLE","?REFERENTIAL"),"_")))))</f>
        <v> </v>
      </c>
      <c r="H4410" s="25" t="str">
        <f>IF(J4410&lt;&gt;1,"",IF(I4410="SBJ","CB","?"))</f>
        <v> </v>
      </c>
      <c r="I4410" s="26" t="str">
        <f>IF(OR(E4410="",E4410="!!!",F4410="NEW"),"",INDEX(B4409:B$2,-1+SUMPRODUCT(MAX(ROW(E4409:E$2)*(E4410=E4409:E$2)))))</f>
        <v> </v>
      </c>
      <c r="J4410" s="26" t="str">
        <f>IF(OR(E4410="",E4410="!!!",F4410="NEW"),"",COUNTBLANK(OFFSET(A$1,,,SUMPRODUCT(MAX(ROW(E$2:E4410)*(E4410=E$2:E4410)))))-COUNTBLANK(OFFSET(A$1,,,SUMPRODUCT(MAX(ROW(E$1:E4409)*(E2=E$1:E4409))))))</f>
        <v> </v>
      </c>
      <c r="K4410" s="26" t="str">
        <f>IF(OR(E4410="",E4410="!!!",F4410="NEW"),"",INDEX(J$1:J4409,SUMPRODUCT(MAX(ROW(E$1:E4409)*(E4410=E$1:E4409)))))</f>
        <v> </v>
      </c>
      <c r="L4410" s="27"/>
    </row>
    <row r="4411" spans="1:12">
      <c r="A4411" s="20" t="s">
        <v>1274</v>
      </c>
      <c r="B4411" s="21" t="s">
        <v>1253</v>
      </c>
      <c r="C4411" s="21" t="s">
        <v>1013</v>
      </c>
      <c r="D4411" s="21" t="s">
        <v>1007</v>
      </c>
      <c r="E4411" s="22">
        <f>IF(D4411="?OLD","!!!","")</f>
        <v/>
      </c>
      <c r="F4411" s="23" t="str">
        <f>IF(OR(E4411="",E4411="!!!"),"",IF(NOT(ISNA(VLOOKUP(E4411,E$1:E4410,1,FALSE()))),"OLD",IF(AND(E4411&lt;&gt;"",E4411&lt;&gt;"!!!"),"NEW","")))</f>
        <v> </v>
      </c>
      <c r="G4411" s="24" t="str">
        <f>IF(OR(E4411="",E4411="!!!"),"",IF(OR(J4411=0,AND(J4411=1,K4411=1),AND(J4411=1,I4411="SBJ"),AND(J4411=1,I4411=0)),"?IN_FOCUS",IF(J4411&lt;=2,"?ACTIVATED",IF(J4411&lt;&gt;"","?FAMILIAR",IF(F4411="NEW",IF(ISNA(VLOOKUP(E4411,#REF!,1,FALSE())),"?TYPE_IDENTIFIABLE","?REFERENTIAL"),"_")))))</f>
        <v> </v>
      </c>
      <c r="H4411" s="25" t="str">
        <f>IF(J4411&lt;&gt;1,"",IF(I4411="SBJ","CB","?"))</f>
        <v> </v>
      </c>
      <c r="I4411" s="26" t="str">
        <f>IF(OR(E4411="",E4411="!!!",F4411="NEW"),"",INDEX(B4410:B$2,-1+SUMPRODUCT(MAX(ROW(E4410:E$2)*(E4411=E4410:E$2)))))</f>
        <v> </v>
      </c>
      <c r="J4411" s="26" t="str">
        <f>IF(OR(E4411="",E4411="!!!",F4411="NEW"),"",COUNTBLANK(OFFSET(A$1,,,SUMPRODUCT(MAX(ROW(E$2:E4411)*(E4411=E$2:E4411)))))-COUNTBLANK(OFFSET(A$1,,,SUMPRODUCT(MAX(ROW(E$1:E4410)*(E2=E$1:E4410))))))</f>
        <v> </v>
      </c>
      <c r="K4411" s="26" t="str">
        <f>IF(OR(E4411="",E4411="!!!",F4411="NEW"),"",INDEX(J$1:J4410,SUMPRODUCT(MAX(ROW(E$1:E4410)*(E4411=E$1:E4410)))))</f>
        <v> </v>
      </c>
      <c r="L4411" s="27"/>
    </row>
    <row r="4412" spans="1:12">
      <c r="A4412" s="20" t="s">
        <v>1014</v>
      </c>
      <c r="E4412" s="22">
        <f>IF(D4412="?OLD","!!!","")</f>
        <v/>
      </c>
      <c r="F4412" s="23" t="str">
        <f>IF(OR(E4412="",E4412="!!!"),"",IF(NOT(ISNA(VLOOKUP(E4412,E$1:E4411,1,FALSE()))),"OLD",IF(AND(E4412&lt;&gt;"",E4412&lt;&gt;"!!!"),"NEW","")))</f>
        <v> </v>
      </c>
      <c r="G4412" s="24" t="str">
        <f>IF(OR(E4412="",E4412="!!!"),"",IF(OR(J4412=0,AND(J4412=1,K4412=1),AND(J4412=1,I4412="SBJ"),AND(J4412=1,I4412=0)),"?IN_FOCUS",IF(J4412&lt;=2,"?ACTIVATED",IF(J4412&lt;&gt;"","?FAMILIAR",IF(F4412="NEW",IF(ISNA(VLOOKUP(E4412,#REF!,1,FALSE())),"?TYPE_IDENTIFIABLE","?REFERENTIAL"),"_")))))</f>
        <v> </v>
      </c>
      <c r="H4412" s="25" t="str">
        <f>IF(J4412&lt;&gt;1,"",IF(I4412="SBJ","CB","?"))</f>
        <v> </v>
      </c>
      <c r="I4412" s="26" t="str">
        <f>IF(OR(E4412="",E4412="!!!",F4412="NEW"),"",INDEX(B4411:B$2,-1+SUMPRODUCT(MAX(ROW(E4411:E$2)*(E4412=E4411:E$2)))))</f>
        <v> </v>
      </c>
      <c r="J4412" s="26" t="str">
        <f>IF(OR(E4412="",E4412="!!!",F4412="NEW"),"",COUNTBLANK(OFFSET(A$1,,,SUMPRODUCT(MAX(ROW(E$2:E4412)*(E4412=E$2:E4412)))))-COUNTBLANK(OFFSET(A$1,,,SUMPRODUCT(MAX(ROW(E$1:E4411)*(E2=E$1:E4411))))))</f>
        <v> </v>
      </c>
      <c r="K4412" s="26" t="str">
        <f>IF(OR(E4412="",E4412="!!!",F4412="NEW"),"",INDEX(J$1:J4411,SUMPRODUCT(MAX(ROW(E$1:E4411)*(E4412=E$1:E4411)))))</f>
        <v> </v>
      </c>
      <c r="L4412" s="27"/>
    </row>
    <row r="4413" spans="1:12">
      <c r="A4413" s="20" t="s">
        <v>102</v>
      </c>
      <c r="E4413" s="22">
        <f>IF(D4413="?OLD","!!!","")</f>
        <v/>
      </c>
      <c r="F4413" s="23" t="str">
        <f>IF(OR(E4413="",E4413="!!!"),"",IF(NOT(ISNA(VLOOKUP(E4413,E$1:E4412,1,FALSE()))),"OLD",IF(AND(E4413&lt;&gt;"",E4413&lt;&gt;"!!!"),"NEW","")))</f>
        <v> </v>
      </c>
      <c r="G4413" s="24" t="str">
        <f>IF(OR(E4413="",E4413="!!!"),"",IF(OR(J4413=0,AND(J4413=1,K4413=1),AND(J4413=1,I4413="SBJ"),AND(J4413=1,I4413=0)),"?IN_FOCUS",IF(J4413&lt;=2,"?ACTIVATED",IF(J4413&lt;&gt;"","?FAMILIAR",IF(F4413="NEW",IF(ISNA(VLOOKUP(E4413,#REF!,1,FALSE())),"?TYPE_IDENTIFIABLE","?REFERENTIAL"),"_")))))</f>
        <v> </v>
      </c>
      <c r="H4413" s="25" t="str">
        <f>IF(J4413&lt;&gt;1,"",IF(I4413="SBJ","CB","?"))</f>
        <v> </v>
      </c>
      <c r="I4413" s="26" t="str">
        <f>IF(OR(E4413="",E4413="!!!",F4413="NEW"),"",INDEX(B4412:B$2,-1+SUMPRODUCT(MAX(ROW(E4412:E$2)*(E4413=E4412:E$2)))))</f>
        <v> </v>
      </c>
      <c r="J4413" s="26" t="str">
        <f>IF(OR(E4413="",E4413="!!!",F4413="NEW"),"",COUNTBLANK(OFFSET(A$1,,,SUMPRODUCT(MAX(ROW(E$2:E4413)*(E4413=E$2:E4413)))))-COUNTBLANK(OFFSET(A$1,,,SUMPRODUCT(MAX(ROW(E$1:E4412)*(E2=E$1:E4412))))))</f>
        <v> </v>
      </c>
      <c r="K4413" s="26" t="str">
        <f>IF(OR(E4413="",E4413="!!!",F4413="NEW"),"",INDEX(J$1:J4412,SUMPRODUCT(MAX(ROW(E$1:E4412)*(E4413=E$1:E4412)))))</f>
        <v> </v>
      </c>
      <c r="L4413" s="27"/>
    </row>
    <row r="4414" spans="1:12">
      <c r="A4414" s="20" t="s">
        <v>1167</v>
      </c>
      <c r="B4414" s="21" t="s">
        <v>1044</v>
      </c>
      <c r="C4414" s="21" t="s">
        <v>1013</v>
      </c>
      <c r="D4414" s="21" t="s">
        <v>1007</v>
      </c>
      <c r="E4414" s="22">
        <f>IF(D4414="?OLD","!!!","")</f>
        <v/>
      </c>
      <c r="F4414" s="23" t="str">
        <f>IF(OR(E4414="",E4414="!!!"),"",IF(NOT(ISNA(VLOOKUP(E4414,E$1:E4413,1,FALSE()))),"OLD",IF(AND(E4414&lt;&gt;"",E4414&lt;&gt;"!!!"),"NEW","")))</f>
        <v> </v>
      </c>
      <c r="G4414" s="24" t="str">
        <f>IF(OR(E4414="",E4414="!!!"),"",IF(OR(J4414=0,AND(J4414=1,K4414=1),AND(J4414=1,I4414="SBJ"),AND(J4414=1,I4414=0)),"?IN_FOCUS",IF(J4414&lt;=2,"?ACTIVATED",IF(J4414&lt;&gt;"","?FAMILIAR",IF(F4414="NEW",IF(ISNA(VLOOKUP(E4414,#REF!,1,FALSE())),"?TYPE_IDENTIFIABLE","?REFERENTIAL"),"_")))))</f>
        <v> </v>
      </c>
      <c r="H4414" s="25" t="str">
        <f>IF(J4414&lt;&gt;1,"",IF(I4414="SBJ","CB","?"))</f>
        <v> </v>
      </c>
      <c r="I4414" s="26" t="str">
        <f>IF(OR(E4414="",E4414="!!!",F4414="NEW"),"",INDEX(B4413:B$2,-1+SUMPRODUCT(MAX(ROW(E4413:E$2)*(E4414=E4413:E$2)))))</f>
        <v> </v>
      </c>
      <c r="J4414" s="26" t="str">
        <f>IF(OR(E4414="",E4414="!!!",F4414="NEW"),"",COUNTBLANK(OFFSET(A$1,,,SUMPRODUCT(MAX(ROW(E$2:E4414)*(E4414=E$2:E4414)))))-COUNTBLANK(OFFSET(A$1,,,SUMPRODUCT(MAX(ROW(E$1:E4413)*(E2=E$1:E4413))))))</f>
        <v> </v>
      </c>
      <c r="K4414" s="26" t="str">
        <f>IF(OR(E4414="",E4414="!!!",F4414="NEW"),"",INDEX(J$1:J4413,SUMPRODUCT(MAX(ROW(E$1:E4413)*(E4414=E$1:E4413)))))</f>
        <v> </v>
      </c>
      <c r="L4414" s="27"/>
    </row>
    <row r="4415" spans="1:12">
      <c r="A4415" s="20" t="s">
        <v>1014</v>
      </c>
      <c r="E4415" s="22">
        <f>IF(D4415="?OLD","!!!","")</f>
        <v/>
      </c>
      <c r="F4415" s="23" t="str">
        <f>IF(OR(E4415="",E4415="!!!"),"",IF(NOT(ISNA(VLOOKUP(E4415,E$1:E4414,1,FALSE()))),"OLD",IF(AND(E4415&lt;&gt;"",E4415&lt;&gt;"!!!"),"NEW","")))</f>
        <v> </v>
      </c>
      <c r="G4415" s="24" t="str">
        <f>IF(OR(E4415="",E4415="!!!"),"",IF(OR(J4415=0,AND(J4415=1,K4415=1),AND(J4415=1,I4415="SBJ"),AND(J4415=1,I4415=0)),"?IN_FOCUS",IF(J4415&lt;=2,"?ACTIVATED",IF(J4415&lt;&gt;"","?FAMILIAR",IF(F4415="NEW",IF(ISNA(VLOOKUP(E4415,#REF!,1,FALSE())),"?TYPE_IDENTIFIABLE","?REFERENTIAL"),"_")))))</f>
        <v> </v>
      </c>
      <c r="H4415" s="25" t="str">
        <f>IF(J4415&lt;&gt;1,"",IF(I4415="SBJ","CB","?"))</f>
        <v> </v>
      </c>
      <c r="I4415" s="26" t="str">
        <f>IF(OR(E4415="",E4415="!!!",F4415="NEW"),"",INDEX(B4414:B$2,-1+SUMPRODUCT(MAX(ROW(E4414:E$2)*(E4415=E4414:E$2)))))</f>
        <v> </v>
      </c>
      <c r="J4415" s="26" t="str">
        <f>IF(OR(E4415="",E4415="!!!",F4415="NEW"),"",COUNTBLANK(OFFSET(A$1,,,SUMPRODUCT(MAX(ROW(E$2:E4415)*(E4415=E$2:E4415)))))-COUNTBLANK(OFFSET(A$1,,,SUMPRODUCT(MAX(ROW(E$1:E4414)*(E2=E$1:E4414))))))</f>
        <v> </v>
      </c>
      <c r="K4415" s="26" t="str">
        <f>IF(OR(E4415="",E4415="!!!",F4415="NEW"),"",INDEX(J$1:J4414,SUMPRODUCT(MAX(ROW(E$1:E4414)*(E4415=E$1:E4414)))))</f>
        <v> </v>
      </c>
      <c r="L4415" s="27"/>
    </row>
    <row r="4416" spans="1:12">
      <c r="A4416" s="20" t="s">
        <v>102</v>
      </c>
      <c r="E4416" s="22">
        <f>IF(D4416="?OLD","!!!","")</f>
        <v/>
      </c>
      <c r="F4416" s="23" t="str">
        <f>IF(OR(E4416="",E4416="!!!"),"",IF(NOT(ISNA(VLOOKUP(E4416,E$1:E4415,1,FALSE()))),"OLD",IF(AND(E4416&lt;&gt;"",E4416&lt;&gt;"!!!"),"NEW","")))</f>
        <v> </v>
      </c>
      <c r="G4416" s="24" t="str">
        <f>IF(OR(E4416="",E4416="!!!"),"",IF(OR(J4416=0,AND(J4416=1,K4416=1),AND(J4416=1,I4416="SBJ"),AND(J4416=1,I4416=0)),"?IN_FOCUS",IF(J4416&lt;=2,"?ACTIVATED",IF(J4416&lt;&gt;"","?FAMILIAR",IF(F4416="NEW",IF(ISNA(VLOOKUP(E4416,#REF!,1,FALSE())),"?TYPE_IDENTIFIABLE","?REFERENTIAL"),"_")))))</f>
        <v> </v>
      </c>
      <c r="H4416" s="25" t="str">
        <f>IF(J4416&lt;&gt;1,"",IF(I4416="SBJ","CB","?"))</f>
        <v> </v>
      </c>
      <c r="I4416" s="26" t="str">
        <f>IF(OR(E4416="",E4416="!!!",F4416="NEW"),"",INDEX(B4415:B$2,-1+SUMPRODUCT(MAX(ROW(E4415:E$2)*(E4416=E4415:E$2)))))</f>
        <v> </v>
      </c>
      <c r="J4416" s="26" t="str">
        <f>IF(OR(E4416="",E4416="!!!",F4416="NEW"),"",COUNTBLANK(OFFSET(A$1,,,SUMPRODUCT(MAX(ROW(E$2:E4416)*(E4416=E$2:E4416)))))-COUNTBLANK(OFFSET(A$1,,,SUMPRODUCT(MAX(ROW(E$1:E4415)*(E2=E$1:E4415))))))</f>
        <v> </v>
      </c>
      <c r="K4416" s="26" t="str">
        <f>IF(OR(E4416="",E4416="!!!",F4416="NEW"),"",INDEX(J$1:J4415,SUMPRODUCT(MAX(ROW(E$1:E4415)*(E4416=E$1:E4415)))))</f>
        <v> </v>
      </c>
      <c r="L4416" s="27"/>
    </row>
    <row r="4417" spans="1:12">
      <c r="A4417" s="20" t="s">
        <v>2071</v>
      </c>
      <c r="B4417" s="21" t="s">
        <v>1215</v>
      </c>
      <c r="C4417" s="21" t="s">
        <v>1006</v>
      </c>
      <c r="D4417" s="21" t="s">
        <v>1007</v>
      </c>
      <c r="E4417" s="22">
        <f>IF(D4417="?OLD","!!!","")</f>
        <v/>
      </c>
      <c r="F4417" s="23" t="str">
        <f>IF(OR(E4417="",E4417="!!!"),"",IF(NOT(ISNA(VLOOKUP(E4417,E$1:E4416,1,FALSE()))),"OLD",IF(AND(E4417&lt;&gt;"",E4417&lt;&gt;"!!!"),"NEW","")))</f>
        <v> </v>
      </c>
      <c r="G4417" s="24" t="str">
        <f>IF(OR(E4417="",E4417="!!!"),"",IF(OR(J4417=0,AND(J4417=1,K4417=1),AND(J4417=1,I4417="SBJ"),AND(J4417=1,I4417=0)),"?IN_FOCUS",IF(J4417&lt;=2,"?ACTIVATED",IF(J4417&lt;&gt;"","?FAMILIAR",IF(F4417="NEW",IF(ISNA(VLOOKUP(E4417,#REF!,1,FALSE())),"?TYPE_IDENTIFIABLE","?REFERENTIAL"),"_")))))</f>
        <v> </v>
      </c>
      <c r="H4417" s="25" t="str">
        <f>IF(J4417&lt;&gt;1,"",IF(I4417="SBJ","CB","?"))</f>
        <v> </v>
      </c>
      <c r="I4417" s="26" t="str">
        <f>IF(OR(E4417="",E4417="!!!",F4417="NEW"),"",INDEX(B4416:B$2,-1+SUMPRODUCT(MAX(ROW(E4416:E$2)*(E4417=E4416:E$2)))))</f>
        <v> </v>
      </c>
      <c r="J4417" s="26" t="str">
        <f>IF(OR(E4417="",E4417="!!!",F4417="NEW"),"",COUNTBLANK(OFFSET(A$1,,,SUMPRODUCT(MAX(ROW(E$2:E4417)*(E4417=E$2:E4417)))))-COUNTBLANK(OFFSET(A$1,,,SUMPRODUCT(MAX(ROW(E$1:E4416)*(E2=E$1:E4416))))))</f>
        <v> </v>
      </c>
      <c r="K4417" s="26" t="str">
        <f>IF(OR(E4417="",E4417="!!!",F4417="NEW"),"",INDEX(J$1:J4416,SUMPRODUCT(MAX(ROW(E$1:E4416)*(E4417=E$1:E4416)))))</f>
        <v> </v>
      </c>
      <c r="L4417" s="27"/>
    </row>
    <row r="4418" spans="1:12">
      <c r="A4418" s="20" t="s">
        <v>56</v>
      </c>
      <c r="E4418" s="22">
        <f>IF(D4418="?OLD","!!!","")</f>
        <v/>
      </c>
      <c r="F4418" s="23" t="str">
        <f>IF(OR(E4418="",E4418="!!!"),"",IF(NOT(ISNA(VLOOKUP(E4418,E$1:E4417,1,FALSE()))),"OLD",IF(AND(E4418&lt;&gt;"",E4418&lt;&gt;"!!!"),"NEW","")))</f>
        <v> </v>
      </c>
      <c r="G4418" s="24" t="str">
        <f>IF(OR(E4418="",E4418="!!!"),"",IF(OR(J4418=0,AND(J4418=1,K4418=1),AND(J4418=1,I4418="SBJ"),AND(J4418=1,I4418=0)),"?IN_FOCUS",IF(J4418&lt;=2,"?ACTIVATED",IF(J4418&lt;&gt;"","?FAMILIAR",IF(F4418="NEW",IF(ISNA(VLOOKUP(E4418,#REF!,1,FALSE())),"?TYPE_IDENTIFIABLE","?REFERENTIAL"),"_")))))</f>
        <v> </v>
      </c>
      <c r="H4418" s="25" t="str">
        <f>IF(J4418&lt;&gt;1,"",IF(I4418="SBJ","CB","?"))</f>
        <v> </v>
      </c>
      <c r="I4418" s="26" t="str">
        <f>IF(OR(E4418="",E4418="!!!",F4418="NEW"),"",INDEX(B4417:B$2,-1+SUMPRODUCT(MAX(ROW(E4417:E$2)*(E4418=E4417:E$2)))))</f>
        <v> </v>
      </c>
      <c r="J4418" s="26" t="str">
        <f>IF(OR(E4418="",E4418="!!!",F4418="NEW"),"",COUNTBLANK(OFFSET(A$1,,,SUMPRODUCT(MAX(ROW(E$2:E4418)*(E4418=E$2:E4418)))))-COUNTBLANK(OFFSET(A$1,,,SUMPRODUCT(MAX(ROW(E$1:E4417)*(E2=E$1:E4417))))))</f>
        <v> </v>
      </c>
      <c r="K4418" s="26" t="str">
        <f>IF(OR(E4418="",E4418="!!!",F4418="NEW"),"",INDEX(J$1:J4417,SUMPRODUCT(MAX(ROW(E$1:E4417)*(E4418=E$1:E4417)))))</f>
        <v> </v>
      </c>
      <c r="L4418" s="27"/>
    </row>
    <row r="4419" spans="1:12">
      <c r="A4419" s="20" t="s">
        <v>1014</v>
      </c>
      <c r="E4419" s="22">
        <f>IF(D4419="?OLD","!!!","")</f>
        <v/>
      </c>
      <c r="F4419" s="23" t="str">
        <f>IF(OR(E4419="",E4419="!!!"),"",IF(NOT(ISNA(VLOOKUP(E4419,E$1:E4418,1,FALSE()))),"OLD",IF(AND(E4419&lt;&gt;"",E4419&lt;&gt;"!!!"),"NEW","")))</f>
        <v> </v>
      </c>
      <c r="G4419" s="24" t="str">
        <f>IF(OR(E4419="",E4419="!!!"),"",IF(OR(J4419=0,AND(J4419=1,K4419=1),AND(J4419=1,I4419="SBJ"),AND(J4419=1,I4419=0)),"?IN_FOCUS",IF(J4419&lt;=2,"?ACTIVATED",IF(J4419&lt;&gt;"","?FAMILIAR",IF(F4419="NEW",IF(ISNA(VLOOKUP(E4419,#REF!,1,FALSE())),"?TYPE_IDENTIFIABLE","?REFERENTIAL"),"_")))))</f>
        <v> </v>
      </c>
      <c r="H4419" s="25" t="str">
        <f>IF(J4419&lt;&gt;1,"",IF(I4419="SBJ","CB","?"))</f>
        <v> </v>
      </c>
      <c r="I4419" s="26" t="str">
        <f>IF(OR(E4419="",E4419="!!!",F4419="NEW"),"",INDEX(B4418:B$2,-1+SUMPRODUCT(MAX(ROW(E4418:E$2)*(E4419=E4418:E$2)))))</f>
        <v> </v>
      </c>
      <c r="J4419" s="26" t="str">
        <f>IF(OR(E4419="",E4419="!!!",F4419="NEW"),"",COUNTBLANK(OFFSET(A$1,,,SUMPRODUCT(MAX(ROW(E$2:E4419)*(E4419=E$2:E4419)))))-COUNTBLANK(OFFSET(A$1,,,SUMPRODUCT(MAX(ROW(E$1:E4418)*(E2=E$1:E4418))))))</f>
        <v> </v>
      </c>
      <c r="K4419" s="26" t="str">
        <f>IF(OR(E4419="",E4419="!!!",F4419="NEW"),"",INDEX(J$1:J4418,SUMPRODUCT(MAX(ROW(E$1:E4418)*(E4419=E$1:E4418)))))</f>
        <v> </v>
      </c>
      <c r="L4419" s="27"/>
    </row>
    <row r="4420" spans="1:12">
      <c r="A4420" s="20" t="s">
        <v>102</v>
      </c>
      <c r="E4420" s="22">
        <f>IF(D4420="?OLD","!!!","")</f>
        <v/>
      </c>
      <c r="F4420" s="23" t="str">
        <f>IF(OR(E4420="",E4420="!!!"),"",IF(NOT(ISNA(VLOOKUP(E4420,E$1:E4419,1,FALSE()))),"OLD",IF(AND(E4420&lt;&gt;"",E4420&lt;&gt;"!!!"),"NEW","")))</f>
        <v> </v>
      </c>
      <c r="G4420" s="24" t="str">
        <f>IF(OR(E4420="",E4420="!!!"),"",IF(OR(J4420=0,AND(J4420=1,K4420=1),AND(J4420=1,I4420="SBJ"),AND(J4420=1,I4420=0)),"?IN_FOCUS",IF(J4420&lt;=2,"?ACTIVATED",IF(J4420&lt;&gt;"","?FAMILIAR",IF(F4420="NEW",IF(ISNA(VLOOKUP(E4420,#REF!,1,FALSE())),"?TYPE_IDENTIFIABLE","?REFERENTIAL"),"_")))))</f>
        <v> </v>
      </c>
      <c r="H4420" s="25" t="str">
        <f>IF(J4420&lt;&gt;1,"",IF(I4420="SBJ","CB","?"))</f>
        <v> </v>
      </c>
      <c r="I4420" s="26" t="str">
        <f>IF(OR(E4420="",E4420="!!!",F4420="NEW"),"",INDEX(B4419:B$2,-1+SUMPRODUCT(MAX(ROW(E4419:E$2)*(E4420=E4419:E$2)))))</f>
        <v> </v>
      </c>
      <c r="J4420" s="26" t="str">
        <f>IF(OR(E4420="",E4420="!!!",F4420="NEW"),"",COUNTBLANK(OFFSET(A$1,,,SUMPRODUCT(MAX(ROW(E$2:E4420)*(E4420=E$2:E4420)))))-COUNTBLANK(OFFSET(A$1,,,SUMPRODUCT(MAX(ROW(E$1:E4419)*(E2=E$1:E4419))))))</f>
        <v> </v>
      </c>
      <c r="K4420" s="26" t="str">
        <f>IF(OR(E4420="",E4420="!!!",F4420="NEW"),"",INDEX(J$1:J4419,SUMPRODUCT(MAX(ROW(E$1:E4419)*(E4420=E$1:E4419)))))</f>
        <v> </v>
      </c>
      <c r="L4420" s="27"/>
    </row>
    <row r="4421" spans="1:12">
      <c r="A4421" s="20" t="s">
        <v>2089</v>
      </c>
      <c r="B4421" s="21" t="s">
        <v>1217</v>
      </c>
      <c r="C4421" s="21" t="s">
        <v>1006</v>
      </c>
      <c r="D4421" s="21" t="s">
        <v>1007</v>
      </c>
      <c r="E4421" s="22">
        <f>IF(D4421="?OLD","!!!","")</f>
        <v/>
      </c>
      <c r="F4421" s="23" t="str">
        <f>IF(OR(E4421="",E4421="!!!"),"",IF(NOT(ISNA(VLOOKUP(E4421,E$1:E4420,1,FALSE()))),"OLD",IF(AND(E4421&lt;&gt;"",E4421&lt;&gt;"!!!"),"NEW","")))</f>
        <v> </v>
      </c>
      <c r="G4421" s="24" t="str">
        <f>IF(OR(E4421="",E4421="!!!"),"",IF(OR(J4421=0,AND(J4421=1,K4421=1),AND(J4421=1,I4421="SBJ"),AND(J4421=1,I4421=0)),"?IN_FOCUS",IF(J4421&lt;=2,"?ACTIVATED",IF(J4421&lt;&gt;"","?FAMILIAR",IF(F4421="NEW",IF(ISNA(VLOOKUP(E4421,#REF!,1,FALSE())),"?TYPE_IDENTIFIABLE","?REFERENTIAL"),"_")))))</f>
        <v> </v>
      </c>
      <c r="H4421" s="25" t="str">
        <f>IF(J4421&lt;&gt;1,"",IF(I4421="SBJ","CB","?"))</f>
        <v> </v>
      </c>
      <c r="I4421" s="26" t="str">
        <f>IF(OR(E4421="",E4421="!!!",F4421="NEW"),"",INDEX(B4420:B$2,-1+SUMPRODUCT(MAX(ROW(E4420:E$2)*(E4421=E4420:E$2)))))</f>
        <v> </v>
      </c>
      <c r="J4421" s="26" t="str">
        <f>IF(OR(E4421="",E4421="!!!",F4421="NEW"),"",COUNTBLANK(OFFSET(A$1,,,SUMPRODUCT(MAX(ROW(E$2:E4421)*(E4421=E$2:E4421)))))-COUNTBLANK(OFFSET(A$1,,,SUMPRODUCT(MAX(ROW(E$1:E4420)*(E2=E$1:E4420))))))</f>
        <v> </v>
      </c>
      <c r="K4421" s="26" t="str">
        <f>IF(OR(E4421="",E4421="!!!",F4421="NEW"),"",INDEX(J$1:J4420,SUMPRODUCT(MAX(ROW(E$1:E4420)*(E4421=E$1:E4420)))))</f>
        <v> </v>
      </c>
      <c r="L4421" s="27"/>
    </row>
    <row r="4422" spans="1:12">
      <c r="A4422" s="20" t="s">
        <v>1023</v>
      </c>
      <c r="E4422" s="22">
        <f>IF(D4422="?OLD","!!!","")</f>
        <v/>
      </c>
      <c r="F4422" s="23" t="str">
        <f>IF(OR(E4422="",E4422="!!!"),"",IF(NOT(ISNA(VLOOKUP(E4422,E$1:E4421,1,FALSE()))),"OLD",IF(AND(E4422&lt;&gt;"",E4422&lt;&gt;"!!!"),"NEW","")))</f>
        <v> </v>
      </c>
      <c r="G4422" s="24" t="str">
        <f>IF(OR(E4422="",E4422="!!!"),"",IF(OR(J4422=0,AND(J4422=1,K4422=1),AND(J4422=1,I4422="SBJ"),AND(J4422=1,I4422=0)),"?IN_FOCUS",IF(J4422&lt;=2,"?ACTIVATED",IF(J4422&lt;&gt;"","?FAMILIAR",IF(F4422="NEW",IF(ISNA(VLOOKUP(E4422,#REF!,1,FALSE())),"?TYPE_IDENTIFIABLE","?REFERENTIAL"),"_")))))</f>
        <v> </v>
      </c>
      <c r="H4422" s="25" t="str">
        <f>IF(J4422&lt;&gt;1,"",IF(I4422="SBJ","CB","?"))</f>
        <v> </v>
      </c>
      <c r="I4422" s="26" t="str">
        <f>IF(OR(E4422="",E4422="!!!",F4422="NEW"),"",INDEX(B4421:B$2,-1+SUMPRODUCT(MAX(ROW(E4421:E$2)*(E4422=E4421:E$2)))))</f>
        <v> </v>
      </c>
      <c r="J4422" s="26" t="str">
        <f>IF(OR(E4422="",E4422="!!!",F4422="NEW"),"",COUNTBLANK(OFFSET(A$1,,,SUMPRODUCT(MAX(ROW(E$2:E4422)*(E4422=E$2:E4422)))))-COUNTBLANK(OFFSET(A$1,,,SUMPRODUCT(MAX(ROW(E$1:E4421)*(E2=E$1:E4421))))))</f>
        <v> </v>
      </c>
      <c r="K4422" s="26" t="str">
        <f>IF(OR(E4422="",E4422="!!!",F4422="NEW"),"",INDEX(J$1:J4421,SUMPRODUCT(MAX(ROW(E$1:E4421)*(E4422=E$1:E4421)))))</f>
        <v> </v>
      </c>
      <c r="L4422" s="27"/>
    </row>
    <row r="4423" spans="1:12">
      <c r="A4423" s="20"/>
    </row>
    <row r="4424" spans="1:12">
      <c r="A4424" s="20" t="s">
        <v>2266</v>
      </c>
    </row>
    <row r="4425" spans="1:12">
      <c r="A4425" s="20" t="s">
        <v>1400</v>
      </c>
      <c r="E4425" s="22">
        <f>IF(D4425="?OLD","!!!","")</f>
        <v/>
      </c>
      <c r="F4425" s="23" t="str">
        <f>IF(OR(E4425="",E4425="!!!"),"",IF(NOT(ISNA(VLOOKUP(E4425,E$1:E4424,1,FALSE()))),"OLD",IF(AND(E4425&lt;&gt;"",E4425&lt;&gt;"!!!"),"NEW","")))</f>
        <v> </v>
      </c>
      <c r="G4425" s="24" t="str">
        <f>IF(OR(E4425="",E4425="!!!"),"",IF(OR(J4425=0,AND(J4425=1,K4425=1),AND(J4425=1,I4425="SBJ"),AND(J4425=1,I4425=0)),"?IN_FOCUS",IF(J4425&lt;=2,"?ACTIVATED",IF(J4425&lt;&gt;"","?FAMILIAR",IF(F4425="NEW",IF(ISNA(VLOOKUP(E4425,#REF!,1,FALSE())),"?TYPE_IDENTIFIABLE","?REFERENTIAL"),"_")))))</f>
        <v> </v>
      </c>
      <c r="H4425" s="25" t="str">
        <f>IF(J4425&lt;&gt;1,"",IF(I4425="SBJ","CB","?"))</f>
        <v> </v>
      </c>
      <c r="I4425" s="26" t="str">
        <f>IF(OR(E4425="",E4425="!!!",F4425="NEW"),"",INDEX(B4424:B$2,-1+SUMPRODUCT(MAX(ROW(E4424:E$2)*(E4425=E4424:E$2)))))</f>
        <v> </v>
      </c>
      <c r="J4425" s="26" t="str">
        <f>IF(OR(E4425="",E4425="!!!",F4425="NEW"),"",COUNTBLANK(OFFSET(A$1,,,SUMPRODUCT(MAX(ROW(E$2:E4425)*(E4425=E$2:E4425)))))-COUNTBLANK(OFFSET(A$1,,,SUMPRODUCT(MAX(ROW(E$1:E4424)*(E2=E$1:E4424))))))</f>
        <v> </v>
      </c>
      <c r="K4425" s="26" t="str">
        <f>IF(OR(E4425="",E4425="!!!",F4425="NEW"),"",INDEX(J$1:J4424,SUMPRODUCT(MAX(ROW(E$1:E4424)*(E4425=E$1:E4424)))))</f>
        <v> </v>
      </c>
      <c r="L4425" s="27"/>
    </row>
    <row r="4426" spans="1:12">
      <c r="A4426" s="20" t="s">
        <v>1211</v>
      </c>
      <c r="B4426" s="21" t="s">
        <v>1050</v>
      </c>
      <c r="C4426" s="21" t="s">
        <v>1006</v>
      </c>
      <c r="D4426" s="21" t="s">
        <v>1007</v>
      </c>
      <c r="E4426" s="22">
        <f>IF(D4426="?OLD","!!!","")</f>
        <v/>
      </c>
      <c r="F4426" s="23" t="str">
        <f>IF(OR(E4426="",E4426="!!!"),"",IF(NOT(ISNA(VLOOKUP(E4426,E$1:E4425,1,FALSE()))),"OLD",IF(AND(E4426&lt;&gt;"",E4426&lt;&gt;"!!!"),"NEW","")))</f>
        <v> </v>
      </c>
      <c r="G4426" s="24" t="str">
        <f>IF(OR(E4426="",E4426="!!!"),"",IF(OR(J4426=0,AND(J4426=1,K4426=1),AND(J4426=1,I4426="SBJ"),AND(J4426=1,I4426=0)),"?IN_FOCUS",IF(J4426&lt;=2,"?ACTIVATED",IF(J4426&lt;&gt;"","?FAMILIAR",IF(F4426="NEW",IF(ISNA(VLOOKUP(E4426,#REF!,1,FALSE())),"?TYPE_IDENTIFIABLE","?REFERENTIAL"),"_")))))</f>
        <v> </v>
      </c>
      <c r="H4426" s="25" t="str">
        <f>IF(J4426&lt;&gt;1,"",IF(I4426="SBJ","CB","?"))</f>
        <v> </v>
      </c>
      <c r="I4426" s="26" t="str">
        <f>IF(OR(E4426="",E4426="!!!",F4426="NEW"),"",INDEX(B4425:B$2,-1+SUMPRODUCT(MAX(ROW(E4425:E$2)*(E4426=E4425:E$2)))))</f>
        <v> </v>
      </c>
      <c r="J4426" s="26" t="str">
        <f>IF(OR(E4426="",E4426="!!!",F4426="NEW"),"",COUNTBLANK(OFFSET(A$1,,,SUMPRODUCT(MAX(ROW(E$2:E4426)*(E4426=E$2:E4426)))))-COUNTBLANK(OFFSET(A$1,,,SUMPRODUCT(MAX(ROW(E$1:E4425)*(E2=E$1:E4425))))))</f>
        <v> </v>
      </c>
      <c r="K4426" s="26" t="str">
        <f>IF(OR(E4426="",E4426="!!!",F4426="NEW"),"",INDEX(J$1:J4425,SUMPRODUCT(MAX(ROW(E$1:E4425)*(E4426=E$1:E4425)))))</f>
        <v> </v>
      </c>
      <c r="L4426" s="27"/>
    </row>
    <row r="4427" spans="1:12">
      <c r="A4427" s="20" t="s">
        <v>2267</v>
      </c>
      <c r="E4427" s="22">
        <f>IF(D4427="?OLD","!!!","")</f>
        <v/>
      </c>
      <c r="F4427" s="23" t="str">
        <f>IF(OR(E4427="",E4427="!!!"),"",IF(NOT(ISNA(VLOOKUP(E4427,E$1:E4426,1,FALSE()))),"OLD",IF(AND(E4427&lt;&gt;"",E4427&lt;&gt;"!!!"),"NEW","")))</f>
        <v> </v>
      </c>
      <c r="G4427" s="24" t="str">
        <f>IF(OR(E4427="",E4427="!!!"),"",IF(OR(J4427=0,AND(J4427=1,K4427=1),AND(J4427=1,I4427="SBJ"),AND(J4427=1,I4427=0)),"?IN_FOCUS",IF(J4427&lt;=2,"?ACTIVATED",IF(J4427&lt;&gt;"","?FAMILIAR",IF(F4427="NEW",IF(ISNA(VLOOKUP(E4427,#REF!,1,FALSE())),"?TYPE_IDENTIFIABLE","?REFERENTIAL"),"_")))))</f>
        <v> </v>
      </c>
      <c r="H4427" s="25" t="str">
        <f>IF(J4427&lt;&gt;1,"",IF(I4427="SBJ","CB","?"))</f>
        <v> </v>
      </c>
      <c r="I4427" s="26" t="str">
        <f>IF(OR(E4427="",E4427="!!!",F4427="NEW"),"",INDEX(B4426:B$2,-1+SUMPRODUCT(MAX(ROW(E4426:E$2)*(E4427=E4426:E$2)))))</f>
        <v> </v>
      </c>
      <c r="J4427" s="26" t="str">
        <f>IF(OR(E4427="",E4427="!!!",F4427="NEW"),"",COUNTBLANK(OFFSET(A$1,,,SUMPRODUCT(MAX(ROW(E$2:E4427)*(E4427=E$2:E4427)))))-COUNTBLANK(OFFSET(A$1,,,SUMPRODUCT(MAX(ROW(E$1:E4426)*(E2=E$1:E4426))))))</f>
        <v> </v>
      </c>
      <c r="K4427" s="26" t="str">
        <f>IF(OR(E4427="",E4427="!!!",F4427="NEW"),"",INDEX(J$1:J4426,SUMPRODUCT(MAX(ROW(E$1:E4426)*(E4427=E$1:E4426)))))</f>
        <v> </v>
      </c>
      <c r="L4427" s="27"/>
    </row>
    <row r="4428" spans="1:12">
      <c r="A4428" s="20" t="s">
        <v>1273</v>
      </c>
      <c r="E4428" s="22">
        <f>IF(D4428="?OLD","!!!","")</f>
        <v/>
      </c>
      <c r="F4428" s="23" t="str">
        <f>IF(OR(E4428="",E4428="!!!"),"",IF(NOT(ISNA(VLOOKUP(E4428,E$1:E4427,1,FALSE()))),"OLD",IF(AND(E4428&lt;&gt;"",E4428&lt;&gt;"!!!"),"NEW","")))</f>
        <v> </v>
      </c>
      <c r="G4428" s="24" t="str">
        <f>IF(OR(E4428="",E4428="!!!"),"",IF(OR(J4428=0,AND(J4428=1,K4428=1),AND(J4428=1,I4428="SBJ"),AND(J4428=1,I4428=0)),"?IN_FOCUS",IF(J4428&lt;=2,"?ACTIVATED",IF(J4428&lt;&gt;"","?FAMILIAR",IF(F4428="NEW",IF(ISNA(VLOOKUP(E4428,#REF!,1,FALSE())),"?TYPE_IDENTIFIABLE","?REFERENTIAL"),"_")))))</f>
        <v> </v>
      </c>
      <c r="H4428" s="25" t="str">
        <f>IF(J4428&lt;&gt;1,"",IF(I4428="SBJ","CB","?"))</f>
        <v> </v>
      </c>
      <c r="I4428" s="26" t="str">
        <f>IF(OR(E4428="",E4428="!!!",F4428="NEW"),"",INDEX(B4427:B$2,-1+SUMPRODUCT(MAX(ROW(E4427:E$2)*(E4428=E4427:E$2)))))</f>
        <v> </v>
      </c>
      <c r="J4428" s="26" t="str">
        <f>IF(OR(E4428="",E4428="!!!",F4428="NEW"),"",COUNTBLANK(OFFSET(A$1,,,SUMPRODUCT(MAX(ROW(E$2:E4428)*(E4428=E$2:E4428)))))-COUNTBLANK(OFFSET(A$1,,,SUMPRODUCT(MAX(ROW(E$1:E4427)*(E2=E$1:E4427))))))</f>
        <v> </v>
      </c>
      <c r="K4428" s="26" t="str">
        <f>IF(OR(E4428="",E4428="!!!",F4428="NEW"),"",INDEX(J$1:J4427,SUMPRODUCT(MAX(ROW(E$1:E4427)*(E4428=E$1:E4427)))))</f>
        <v> </v>
      </c>
      <c r="L4428" s="27"/>
    </row>
    <row r="4429" spans="1:12">
      <c r="A4429" s="20" t="s">
        <v>2263</v>
      </c>
      <c r="B4429" s="21" t="s">
        <v>1085</v>
      </c>
      <c r="C4429" s="21" t="s">
        <v>1041</v>
      </c>
      <c r="D4429" s="21" t="s">
        <v>1007</v>
      </c>
      <c r="E4429" s="22">
        <f>IF(D4429="?OLD","!!!","")</f>
        <v/>
      </c>
      <c r="F4429" s="23" t="str">
        <f>IF(OR(E4429="",E4429="!!!"),"",IF(NOT(ISNA(VLOOKUP(E4429,E$1:E4428,1,FALSE()))),"OLD",IF(AND(E4429&lt;&gt;"",E4429&lt;&gt;"!!!"),"NEW","")))</f>
        <v> </v>
      </c>
      <c r="G4429" s="24" t="str">
        <f>IF(OR(E4429="",E4429="!!!"),"",IF(OR(J4429=0,AND(J4429=1,K4429=1),AND(J4429=1,I4429="SBJ"),AND(J4429=1,I4429=0)),"?IN_FOCUS",IF(J4429&lt;=2,"?ACTIVATED",IF(J4429&lt;&gt;"","?FAMILIAR",IF(F4429="NEW",IF(ISNA(VLOOKUP(E4429,#REF!,1,FALSE())),"?TYPE_IDENTIFIABLE","?REFERENTIAL"),"_")))))</f>
        <v> </v>
      </c>
      <c r="H4429" s="25" t="str">
        <f>IF(J4429&lt;&gt;1,"",IF(I4429="SBJ","CB","?"))</f>
        <v> </v>
      </c>
      <c r="I4429" s="26" t="str">
        <f>IF(OR(E4429="",E4429="!!!",F4429="NEW"),"",INDEX(B4428:B$2,-1+SUMPRODUCT(MAX(ROW(E4428:E$2)*(E4429=E4428:E$2)))))</f>
        <v> </v>
      </c>
      <c r="J4429" s="26" t="str">
        <f>IF(OR(E4429="",E4429="!!!",F4429="NEW"),"",COUNTBLANK(OFFSET(A$1,,,SUMPRODUCT(MAX(ROW(E$2:E4429)*(E4429=E$2:E4429)))))-COUNTBLANK(OFFSET(A$1,,,SUMPRODUCT(MAX(ROW(E$1:E4428)*(E2=E$1:E4428))))))</f>
        <v> </v>
      </c>
      <c r="K4429" s="26" t="str">
        <f>IF(OR(E4429="",E4429="!!!",F4429="NEW"),"",INDEX(J$1:J4428,SUMPRODUCT(MAX(ROW(E$1:E4428)*(E4429=E$1:E4428)))))</f>
        <v> </v>
      </c>
      <c r="L4429" s="27"/>
    </row>
    <row r="4430" spans="1:12">
      <c r="A4430" s="20" t="s">
        <v>1030</v>
      </c>
      <c r="E4430" s="22">
        <f>IF(D4430="?OLD","!!!","")</f>
        <v/>
      </c>
      <c r="F4430" s="23" t="str">
        <f>IF(OR(E4430="",E4430="!!!"),"",IF(NOT(ISNA(VLOOKUP(E4430,E$1:E4429,1,FALSE()))),"OLD",IF(AND(E4430&lt;&gt;"",E4430&lt;&gt;"!!!"),"NEW","")))</f>
        <v> </v>
      </c>
      <c r="G4430" s="24" t="str">
        <f>IF(OR(E4430="",E4430="!!!"),"",IF(OR(J4430=0,AND(J4430=1,K4430=1),AND(J4430=1,I4430="SBJ"),AND(J4430=1,I4430=0)),"?IN_FOCUS",IF(J4430&lt;=2,"?ACTIVATED",IF(J4430&lt;&gt;"","?FAMILIAR",IF(F4430="NEW",IF(ISNA(VLOOKUP(E4430,#REF!,1,FALSE())),"?TYPE_IDENTIFIABLE","?REFERENTIAL"),"_")))))</f>
        <v> </v>
      </c>
      <c r="H4430" s="25" t="str">
        <f>IF(J4430&lt;&gt;1,"",IF(I4430="SBJ","CB","?"))</f>
        <v> </v>
      </c>
      <c r="I4430" s="26" t="str">
        <f>IF(OR(E4430="",E4430="!!!",F4430="NEW"),"",INDEX(B4429:B$2,-1+SUMPRODUCT(MAX(ROW(E4429:E$2)*(E4430=E4429:E$2)))))</f>
        <v> </v>
      </c>
      <c r="J4430" s="26" t="str">
        <f>IF(OR(E4430="",E4430="!!!",F4430="NEW"),"",COUNTBLANK(OFFSET(A$1,,,SUMPRODUCT(MAX(ROW(E$2:E4430)*(E4430=E$2:E4430)))))-COUNTBLANK(OFFSET(A$1,,,SUMPRODUCT(MAX(ROW(E$1:E4429)*(E2=E$1:E4429))))))</f>
        <v> </v>
      </c>
      <c r="K4430" s="26" t="str">
        <f>IF(OR(E4430="",E4430="!!!",F4430="NEW"),"",INDEX(J$1:J4429,SUMPRODUCT(MAX(ROW(E$1:E4429)*(E4430=E$1:E4429)))))</f>
        <v> </v>
      </c>
      <c r="L4430" s="27"/>
    </row>
    <row r="4431" spans="1:12">
      <c r="A4431" s="20" t="s">
        <v>1015</v>
      </c>
      <c r="E4431" s="22">
        <f>IF(D4431="?OLD","!!!","")</f>
        <v/>
      </c>
      <c r="F4431" s="23" t="str">
        <f>IF(OR(E4431="",E4431="!!!"),"",IF(NOT(ISNA(VLOOKUP(E4431,E$1:E4430,1,FALSE()))),"OLD",IF(AND(E4431&lt;&gt;"",E4431&lt;&gt;"!!!"),"NEW","")))</f>
        <v> </v>
      </c>
      <c r="G4431" s="24" t="str">
        <f>IF(OR(E4431="",E4431="!!!"),"",IF(OR(J4431=0,AND(J4431=1,K4431=1),AND(J4431=1,I4431="SBJ"),AND(J4431=1,I4431=0)),"?IN_FOCUS",IF(J4431&lt;=2,"?ACTIVATED",IF(J4431&lt;&gt;"","?FAMILIAR",IF(F4431="NEW",IF(ISNA(VLOOKUP(E4431,#REF!,1,FALSE())),"?TYPE_IDENTIFIABLE","?REFERENTIAL"),"_")))))</f>
        <v> </v>
      </c>
      <c r="H4431" s="25" t="str">
        <f>IF(J4431&lt;&gt;1,"",IF(I4431="SBJ","CB","?"))</f>
        <v> </v>
      </c>
      <c r="I4431" s="26" t="str">
        <f>IF(OR(E4431="",E4431="!!!",F4431="NEW"),"",INDEX(B4430:B$2,-1+SUMPRODUCT(MAX(ROW(E4430:E$2)*(E4431=E4430:E$2)))))</f>
        <v> </v>
      </c>
      <c r="J4431" s="26" t="str">
        <f>IF(OR(E4431="",E4431="!!!",F4431="NEW"),"",COUNTBLANK(OFFSET(A$1,,,SUMPRODUCT(MAX(ROW(E$2:E4431)*(E4431=E$2:E4431)))))-COUNTBLANK(OFFSET(A$1,,,SUMPRODUCT(MAX(ROW(E$1:E4430)*(E2=E$1:E4430))))))</f>
        <v> </v>
      </c>
      <c r="K4431" s="26" t="str">
        <f>IF(OR(E4431="",E4431="!!!",F4431="NEW"),"",INDEX(J$1:J4430,SUMPRODUCT(MAX(ROW(E$1:E4430)*(E4431=E$1:E4430)))))</f>
        <v> </v>
      </c>
      <c r="L4431" s="27"/>
    </row>
    <row r="4432" spans="1:12">
      <c r="A4432" s="20" t="s">
        <v>1240</v>
      </c>
      <c r="B4432" s="21" t="s">
        <v>1005</v>
      </c>
      <c r="C4432" s="21" t="s">
        <v>2268</v>
      </c>
      <c r="D4432" s="21" t="s">
        <v>1007</v>
      </c>
      <c r="E4432" s="22">
        <f>IF(D4432="?OLD","!!!","")</f>
        <v/>
      </c>
      <c r="F4432" s="23" t="str">
        <f>IF(OR(E4432="",E4432="!!!"),"",IF(NOT(ISNA(VLOOKUP(E4432,E$1:E4431,1,FALSE()))),"OLD",IF(AND(E4432&lt;&gt;"",E4432&lt;&gt;"!!!"),"NEW","")))</f>
        <v> </v>
      </c>
      <c r="G4432" s="24" t="str">
        <f>IF(OR(E4432="",E4432="!!!"),"",IF(OR(J4432=0,AND(J4432=1,K4432=1),AND(J4432=1,I4432="SBJ"),AND(J4432=1,I4432=0)),"?IN_FOCUS",IF(J4432&lt;=2,"?ACTIVATED",IF(J4432&lt;&gt;"","?FAMILIAR",IF(F4432="NEW",IF(ISNA(VLOOKUP(E4432,#REF!,1,FALSE())),"?TYPE_IDENTIFIABLE","?REFERENTIAL"),"_")))))</f>
        <v> </v>
      </c>
      <c r="H4432" s="25" t="str">
        <f>IF(J4432&lt;&gt;1,"",IF(I4432="SBJ","CB","?"))</f>
        <v> </v>
      </c>
      <c r="I4432" s="26" t="str">
        <f>IF(OR(E4432="",E4432="!!!",F4432="NEW"),"",INDEX(B4431:B$2,-1+SUMPRODUCT(MAX(ROW(E4431:E$2)*(E4432=E4431:E$2)))))</f>
        <v> </v>
      </c>
      <c r="J4432" s="26" t="str">
        <f>IF(OR(E4432="",E4432="!!!",F4432="NEW"),"",COUNTBLANK(OFFSET(A$1,,,SUMPRODUCT(MAX(ROW(E$2:E4432)*(E4432=E$2:E4432)))))-COUNTBLANK(OFFSET(A$1,,,SUMPRODUCT(MAX(ROW(E$1:E4431)*(E2=E$1:E4431))))))</f>
        <v> </v>
      </c>
      <c r="K4432" s="26" t="str">
        <f>IF(OR(E4432="",E4432="!!!",F4432="NEW"),"",INDEX(J$1:J4431,SUMPRODUCT(MAX(ROW(E$1:E4431)*(E4432=E$1:E4431)))))</f>
        <v> </v>
      </c>
      <c r="L4432" s="27"/>
    </row>
    <row r="4433" spans="1:12">
      <c r="A4433" s="20" t="s">
        <v>329</v>
      </c>
      <c r="E4433" s="22">
        <f>IF(D4433="?OLD","!!!","")</f>
        <v/>
      </c>
      <c r="F4433" s="23" t="str">
        <f>IF(OR(E4433="",E4433="!!!"),"",IF(NOT(ISNA(VLOOKUP(E4433,E$1:E4432,1,FALSE()))),"OLD",IF(AND(E4433&lt;&gt;"",E4433&lt;&gt;"!!!"),"NEW","")))</f>
        <v> </v>
      </c>
      <c r="G4433" s="24" t="str">
        <f>IF(OR(E4433="",E4433="!!!"),"",IF(OR(J4433=0,AND(J4433=1,K4433=1),AND(J4433=1,I4433="SBJ"),AND(J4433=1,I4433=0)),"?IN_FOCUS",IF(J4433&lt;=2,"?ACTIVATED",IF(J4433&lt;&gt;"","?FAMILIAR",IF(F4433="NEW",IF(ISNA(VLOOKUP(E4433,#REF!,1,FALSE())),"?TYPE_IDENTIFIABLE","?REFERENTIAL"),"_")))))</f>
        <v> </v>
      </c>
      <c r="H4433" s="25" t="str">
        <f>IF(J4433&lt;&gt;1,"",IF(I4433="SBJ","CB","?"))</f>
        <v> </v>
      </c>
      <c r="I4433" s="26" t="str">
        <f>IF(OR(E4433="",E4433="!!!",F4433="NEW"),"",INDEX(B4432:B$2,-1+SUMPRODUCT(MAX(ROW(E4432:E$2)*(E4433=E4432:E$2)))))</f>
        <v> </v>
      </c>
      <c r="J4433" s="26" t="str">
        <f>IF(OR(E4433="",E4433="!!!",F4433="NEW"),"",COUNTBLANK(OFFSET(A$1,,,SUMPRODUCT(MAX(ROW(E$2:E4433)*(E4433=E$2:E4433)))))-COUNTBLANK(OFFSET(A$1,,,SUMPRODUCT(MAX(ROW(E$1:E4432)*(E2=E$1:E4432))))))</f>
        <v> </v>
      </c>
      <c r="K4433" s="26" t="str">
        <f>IF(OR(E4433="",E4433="!!!",F4433="NEW"),"",INDEX(J$1:J4432,SUMPRODUCT(MAX(ROW(E$1:E4432)*(E4433=E$1:E4432)))))</f>
        <v> </v>
      </c>
      <c r="L4433" s="27"/>
    </row>
    <row r="4434" spans="1:12">
      <c r="A4434" s="20" t="s">
        <v>1023</v>
      </c>
      <c r="E4434" s="22">
        <f>IF(D4434="?OLD","!!!","")</f>
        <v/>
      </c>
      <c r="F4434" s="23" t="str">
        <f>IF(OR(E4434="",E4434="!!!"),"",IF(NOT(ISNA(VLOOKUP(E4434,E$1:E4433,1,FALSE()))),"OLD",IF(AND(E4434&lt;&gt;"",E4434&lt;&gt;"!!!"),"NEW","")))</f>
        <v> </v>
      </c>
      <c r="G4434" s="24" t="str">
        <f>IF(OR(E4434="",E4434="!!!"),"",IF(OR(J4434=0,AND(J4434=1,K4434=1),AND(J4434=1,I4434="SBJ"),AND(J4434=1,I4434=0)),"?IN_FOCUS",IF(J4434&lt;=2,"?ACTIVATED",IF(J4434&lt;&gt;"","?FAMILIAR",IF(F4434="NEW",IF(ISNA(VLOOKUP(E4434,#REF!,1,FALSE())),"?TYPE_IDENTIFIABLE","?REFERENTIAL"),"_")))))</f>
        <v> </v>
      </c>
      <c r="H4434" s="25" t="str">
        <f>IF(J4434&lt;&gt;1,"",IF(I4434="SBJ","CB","?"))</f>
        <v> </v>
      </c>
      <c r="I4434" s="26" t="str">
        <f>IF(OR(E4434="",E4434="!!!",F4434="NEW"),"",INDEX(B4433:B$2,-1+SUMPRODUCT(MAX(ROW(E4433:E$2)*(E4434=E4433:E$2)))))</f>
        <v> </v>
      </c>
      <c r="J4434" s="26" t="str">
        <f>IF(OR(E4434="",E4434="!!!",F4434="NEW"),"",COUNTBLANK(OFFSET(A$1,,,SUMPRODUCT(MAX(ROW(E$2:E4434)*(E4434=E$2:E4434)))))-COUNTBLANK(OFFSET(A$1,,,SUMPRODUCT(MAX(ROW(E$1:E4433)*(E2=E$1:E4433))))))</f>
        <v> </v>
      </c>
      <c r="K4434" s="26" t="str">
        <f>IF(OR(E4434="",E4434="!!!",F4434="NEW"),"",INDEX(J$1:J4433,SUMPRODUCT(MAX(ROW(E$1:E4433)*(E4434=E$1:E4433)))))</f>
        <v> </v>
      </c>
      <c r="L4434" s="27"/>
    </row>
    <row r="4435" spans="1:12">
      <c r="A4435" s="20"/>
    </row>
    <row r="4436" spans="1:12">
      <c r="A4436" s="20" t="s">
        <v>2269</v>
      </c>
    </row>
    <row r="4437" spans="1:12">
      <c r="A4437" s="20" t="s">
        <v>2270</v>
      </c>
      <c r="E4437" s="22">
        <f>IF(D4437="?OLD","!!!","")</f>
        <v/>
      </c>
      <c r="F4437" s="23" t="str">
        <f>IF(OR(E4437="",E4437="!!!"),"",IF(NOT(ISNA(VLOOKUP(E4437,E$1:E4436,1,FALSE()))),"OLD",IF(AND(E4437&lt;&gt;"",E4437&lt;&gt;"!!!"),"NEW","")))</f>
        <v> </v>
      </c>
      <c r="G4437" s="24" t="str">
        <f>IF(OR(E4437="",E4437="!!!"),"",IF(OR(J4437=0,AND(J4437=1,K4437=1),AND(J4437=1,I4437="SBJ"),AND(J4437=1,I4437=0)),"?IN_FOCUS",IF(J4437&lt;=2,"?ACTIVATED",IF(J4437&lt;&gt;"","?FAMILIAR",IF(F4437="NEW",IF(ISNA(VLOOKUP(E4437,#REF!,1,FALSE())),"?TYPE_IDENTIFIABLE","?REFERENTIAL"),"_")))))</f>
        <v> </v>
      </c>
      <c r="H4437" s="25" t="str">
        <f>IF(J4437&lt;&gt;1,"",IF(I4437="SBJ","CB","?"))</f>
        <v> </v>
      </c>
      <c r="I4437" s="26" t="str">
        <f>IF(OR(E4437="",E4437="!!!",F4437="NEW"),"",INDEX(B4436:B$2,-1+SUMPRODUCT(MAX(ROW(E4436:E$2)*(E4437=E4436:E$2)))))</f>
        <v> </v>
      </c>
      <c r="J4437" s="26" t="str">
        <f>IF(OR(E4437="",E4437="!!!",F4437="NEW"),"",COUNTBLANK(OFFSET(A$1,,,SUMPRODUCT(MAX(ROW(E$2:E4437)*(E4437=E$2:E4437)))))-COUNTBLANK(OFFSET(A$1,,,SUMPRODUCT(MAX(ROW(E$1:E4436)*(E2=E$1:E4436))))))</f>
        <v> </v>
      </c>
      <c r="K4437" s="26" t="str">
        <f>IF(OR(E4437="",E4437="!!!",F4437="NEW"),"",INDEX(J$1:J4436,SUMPRODUCT(MAX(ROW(E$1:E4436)*(E4437=E$1:E4436)))))</f>
        <v> </v>
      </c>
      <c r="L4437" s="27"/>
    </row>
    <row r="4438" spans="1:12">
      <c r="A4438" s="20" t="s">
        <v>1020</v>
      </c>
      <c r="E4438" s="22">
        <f>IF(D4438="?OLD","!!!","")</f>
        <v/>
      </c>
      <c r="F4438" s="23" t="str">
        <f>IF(OR(E4438="",E4438="!!!"),"",IF(NOT(ISNA(VLOOKUP(E4438,E$1:E4437,1,FALSE()))),"OLD",IF(AND(E4438&lt;&gt;"",E4438&lt;&gt;"!!!"),"NEW","")))</f>
        <v> </v>
      </c>
      <c r="G4438" s="24" t="str">
        <f>IF(OR(E4438="",E4438="!!!"),"",IF(OR(J4438=0,AND(J4438=1,K4438=1),AND(J4438=1,I4438="SBJ"),AND(J4438=1,I4438=0)),"?IN_FOCUS",IF(J4438&lt;=2,"?ACTIVATED",IF(J4438&lt;&gt;"","?FAMILIAR",IF(F4438="NEW",IF(ISNA(VLOOKUP(E4438,#REF!,1,FALSE())),"?TYPE_IDENTIFIABLE","?REFERENTIAL"),"_")))))</f>
        <v> </v>
      </c>
      <c r="H4438" s="25" t="str">
        <f>IF(J4438&lt;&gt;1,"",IF(I4438="SBJ","CB","?"))</f>
        <v> </v>
      </c>
      <c r="I4438" s="26" t="str">
        <f>IF(OR(E4438="",E4438="!!!",F4438="NEW"),"",INDEX(B4437:B$2,-1+SUMPRODUCT(MAX(ROW(E4437:E$2)*(E4438=E4437:E$2)))))</f>
        <v> </v>
      </c>
      <c r="J4438" s="26" t="str">
        <f>IF(OR(E4438="",E4438="!!!",F4438="NEW"),"",COUNTBLANK(OFFSET(A$1,,,SUMPRODUCT(MAX(ROW(E$2:E4438)*(E4438=E$2:E4438)))))-COUNTBLANK(OFFSET(A$1,,,SUMPRODUCT(MAX(ROW(E$1:E4437)*(E2=E$1:E4437))))))</f>
        <v> </v>
      </c>
      <c r="K4438" s="26" t="str">
        <f>IF(OR(E4438="",E4438="!!!",F4438="NEW"),"",INDEX(J$1:J4437,SUMPRODUCT(MAX(ROW(E$1:E4437)*(E4438=E$1:E4437)))))</f>
        <v> </v>
      </c>
      <c r="L4438" s="27"/>
    </row>
    <row r="4439" spans="1:12">
      <c r="A4439" s="20" t="s">
        <v>102</v>
      </c>
      <c r="E4439" s="22">
        <f>IF(D4439="?OLD","!!!","")</f>
        <v/>
      </c>
      <c r="F4439" s="23" t="str">
        <f>IF(OR(E4439="",E4439="!!!"),"",IF(NOT(ISNA(VLOOKUP(E4439,E$1:E4438,1,FALSE()))),"OLD",IF(AND(E4439&lt;&gt;"",E4439&lt;&gt;"!!!"),"NEW","")))</f>
        <v> </v>
      </c>
      <c r="G4439" s="24" t="str">
        <f>IF(OR(E4439="",E4439="!!!"),"",IF(OR(J4439=0,AND(J4439=1,K4439=1),AND(J4439=1,I4439="SBJ"),AND(J4439=1,I4439=0)),"?IN_FOCUS",IF(J4439&lt;=2,"?ACTIVATED",IF(J4439&lt;&gt;"","?FAMILIAR",IF(F4439="NEW",IF(ISNA(VLOOKUP(E4439,#REF!,1,FALSE())),"?TYPE_IDENTIFIABLE","?REFERENTIAL"),"_")))))</f>
        <v> </v>
      </c>
      <c r="H4439" s="25" t="str">
        <f>IF(J4439&lt;&gt;1,"",IF(I4439="SBJ","CB","?"))</f>
        <v> </v>
      </c>
      <c r="I4439" s="26" t="str">
        <f>IF(OR(E4439="",E4439="!!!",F4439="NEW"),"",INDEX(B4438:B$2,-1+SUMPRODUCT(MAX(ROW(E4438:E$2)*(E4439=E4438:E$2)))))</f>
        <v> </v>
      </c>
      <c r="J4439" s="26" t="str">
        <f>IF(OR(E4439="",E4439="!!!",F4439="NEW"),"",COUNTBLANK(OFFSET(A$1,,,SUMPRODUCT(MAX(ROW(E$2:E4439)*(E4439=E$2:E4439)))))-COUNTBLANK(OFFSET(A$1,,,SUMPRODUCT(MAX(ROW(E$1:E4438)*(E2=E$1:E4438))))))</f>
        <v> </v>
      </c>
      <c r="K4439" s="26" t="str">
        <f>IF(OR(E4439="",E4439="!!!",F4439="NEW"),"",INDEX(J$1:J4438,SUMPRODUCT(MAX(ROW(E$1:E4438)*(E4439=E$1:E4438)))))</f>
        <v> </v>
      </c>
      <c r="L4439" s="27"/>
    </row>
    <row r="4440" spans="1:12">
      <c r="A4440" s="20" t="s">
        <v>2271</v>
      </c>
      <c r="B4440" s="21" t="s">
        <v>1085</v>
      </c>
      <c r="C4440" s="21" t="s">
        <v>1006</v>
      </c>
      <c r="D4440" s="21" t="s">
        <v>1007</v>
      </c>
      <c r="E4440" s="22">
        <f>IF(D4440="?OLD","!!!","")</f>
        <v/>
      </c>
      <c r="F4440" s="23" t="str">
        <f>IF(OR(E4440="",E4440="!!!"),"",IF(NOT(ISNA(VLOOKUP(E4440,E$1:E4439,1,FALSE()))),"OLD",IF(AND(E4440&lt;&gt;"",E4440&lt;&gt;"!!!"),"NEW","")))</f>
        <v> </v>
      </c>
      <c r="G4440" s="24" t="str">
        <f>IF(OR(E4440="",E4440="!!!"),"",IF(OR(J4440=0,AND(J4440=1,K4440=1),AND(J4440=1,I4440="SBJ"),AND(J4440=1,I4440=0)),"?IN_FOCUS",IF(J4440&lt;=2,"?ACTIVATED",IF(J4440&lt;&gt;"","?FAMILIAR",IF(F4440="NEW",IF(ISNA(VLOOKUP(E4440,#REF!,1,FALSE())),"?TYPE_IDENTIFIABLE","?REFERENTIAL"),"_")))))</f>
        <v> </v>
      </c>
      <c r="H4440" s="25" t="str">
        <f>IF(J4440&lt;&gt;1,"",IF(I4440="SBJ","CB","?"))</f>
        <v> </v>
      </c>
      <c r="I4440" s="26" t="str">
        <f>IF(OR(E4440="",E4440="!!!",F4440="NEW"),"",INDEX(B4439:B$2,-1+SUMPRODUCT(MAX(ROW(E4439:E$2)*(E4440=E4439:E$2)))))</f>
        <v> </v>
      </c>
      <c r="J4440" s="26" t="str">
        <f>IF(OR(E4440="",E4440="!!!",F4440="NEW"),"",COUNTBLANK(OFFSET(A$1,,,SUMPRODUCT(MAX(ROW(E$2:E4440)*(E4440=E$2:E4440)))))-COUNTBLANK(OFFSET(A$1,,,SUMPRODUCT(MAX(ROW(E$1:E4439)*(E2=E$1:E4439))))))</f>
        <v> </v>
      </c>
      <c r="K4440" s="26" t="str">
        <f>IF(OR(E4440="",E4440="!!!",F4440="NEW"),"",INDEX(J$1:J4439,SUMPRODUCT(MAX(ROW(E$1:E4439)*(E4440=E$1:E4439)))))</f>
        <v> </v>
      </c>
      <c r="L4440" s="27"/>
    </row>
    <row r="4441" spans="1:12">
      <c r="A4441" s="20" t="s">
        <v>1097</v>
      </c>
      <c r="E4441" s="22">
        <f>IF(D4441="?OLD","!!!","")</f>
        <v/>
      </c>
      <c r="F4441" s="23" t="str">
        <f>IF(OR(E4441="",E4441="!!!"),"",IF(NOT(ISNA(VLOOKUP(E4441,E$1:E4440,1,FALSE()))),"OLD",IF(AND(E4441&lt;&gt;"",E4441&lt;&gt;"!!!"),"NEW","")))</f>
        <v> </v>
      </c>
      <c r="G4441" s="24" t="str">
        <f>IF(OR(E4441="",E4441="!!!"),"",IF(OR(J4441=0,AND(J4441=1,K4441=1),AND(J4441=1,I4441="SBJ"),AND(J4441=1,I4441=0)),"?IN_FOCUS",IF(J4441&lt;=2,"?ACTIVATED",IF(J4441&lt;&gt;"","?FAMILIAR",IF(F4441="NEW",IF(ISNA(VLOOKUP(E4441,#REF!,1,FALSE())),"?TYPE_IDENTIFIABLE","?REFERENTIAL"),"_")))))</f>
        <v> </v>
      </c>
      <c r="H4441" s="25" t="str">
        <f>IF(J4441&lt;&gt;1,"",IF(I4441="SBJ","CB","?"))</f>
        <v> </v>
      </c>
      <c r="I4441" s="26" t="str">
        <f>IF(OR(E4441="",E4441="!!!",F4441="NEW"),"",INDEX(B4440:B$2,-1+SUMPRODUCT(MAX(ROW(E4440:E$2)*(E4441=E4440:E$2)))))</f>
        <v> </v>
      </c>
      <c r="J4441" s="26" t="str">
        <f>IF(OR(E4441="",E4441="!!!",F4441="NEW"),"",COUNTBLANK(OFFSET(A$1,,,SUMPRODUCT(MAX(ROW(E$2:E4441)*(E4441=E$2:E4441)))))-COUNTBLANK(OFFSET(A$1,,,SUMPRODUCT(MAX(ROW(E$1:E4440)*(E2=E$1:E4440))))))</f>
        <v> </v>
      </c>
      <c r="K4441" s="26" t="str">
        <f>IF(OR(E4441="",E4441="!!!",F4441="NEW"),"",INDEX(J$1:J4440,SUMPRODUCT(MAX(ROW(E$1:E4440)*(E4441=E$1:E4440)))))</f>
        <v> </v>
      </c>
      <c r="L4441" s="27"/>
    </row>
    <row r="4442" spans="1:12">
      <c r="A4442" s="20" t="s">
        <v>2272</v>
      </c>
      <c r="E4442" s="22">
        <f>IF(D4442="?OLD","!!!","")</f>
        <v/>
      </c>
      <c r="F4442" s="23" t="str">
        <f>IF(OR(E4442="",E4442="!!!"),"",IF(NOT(ISNA(VLOOKUP(E4442,E$1:E4441,1,FALSE()))),"OLD",IF(AND(E4442&lt;&gt;"",E4442&lt;&gt;"!!!"),"NEW","")))</f>
        <v> </v>
      </c>
      <c r="G4442" s="24" t="str">
        <f>IF(OR(E4442="",E4442="!!!"),"",IF(OR(J4442=0,AND(J4442=1,K4442=1),AND(J4442=1,I4442="SBJ"),AND(J4442=1,I4442=0)),"?IN_FOCUS",IF(J4442&lt;=2,"?ACTIVATED",IF(J4442&lt;&gt;"","?FAMILIAR",IF(F4442="NEW",IF(ISNA(VLOOKUP(E4442,#REF!,1,FALSE())),"?TYPE_IDENTIFIABLE","?REFERENTIAL"),"_")))))</f>
        <v> </v>
      </c>
      <c r="H4442" s="25" t="str">
        <f>IF(J4442&lt;&gt;1,"",IF(I4442="SBJ","CB","?"))</f>
        <v> </v>
      </c>
      <c r="I4442" s="26" t="str">
        <f>IF(OR(E4442="",E4442="!!!",F4442="NEW"),"",INDEX(B4441:B$2,-1+SUMPRODUCT(MAX(ROW(E4441:E$2)*(E4442=E4441:E$2)))))</f>
        <v> </v>
      </c>
      <c r="J4442" s="26" t="str">
        <f>IF(OR(E4442="",E4442="!!!",F4442="NEW"),"",COUNTBLANK(OFFSET(A$1,,,SUMPRODUCT(MAX(ROW(E$2:E4442)*(E4442=E$2:E4442)))))-COUNTBLANK(OFFSET(A$1,,,SUMPRODUCT(MAX(ROW(E$1:E4441)*(E2=E$1:E4441))))))</f>
        <v> </v>
      </c>
      <c r="K4442" s="26" t="str">
        <f>IF(OR(E4442="",E4442="!!!",F4442="NEW"),"",INDEX(J$1:J4441,SUMPRODUCT(MAX(ROW(E$1:E4441)*(E4442=E$1:E4441)))))</f>
        <v> </v>
      </c>
      <c r="L4442" s="27"/>
    </row>
    <row r="4443" spans="1:12">
      <c r="A4443" s="20" t="s">
        <v>1020</v>
      </c>
      <c r="E4443" s="22">
        <f>IF(D4443="?OLD","!!!","")</f>
        <v/>
      </c>
      <c r="F4443" s="23" t="str">
        <f>IF(OR(E4443="",E4443="!!!"),"",IF(NOT(ISNA(VLOOKUP(E4443,E$1:E4442,1,FALSE()))),"OLD",IF(AND(E4443&lt;&gt;"",E4443&lt;&gt;"!!!"),"NEW","")))</f>
        <v> </v>
      </c>
      <c r="G4443" s="24" t="str">
        <f>IF(OR(E4443="",E4443="!!!"),"",IF(OR(J4443=0,AND(J4443=1,K4443=1),AND(J4443=1,I4443="SBJ"),AND(J4443=1,I4443=0)),"?IN_FOCUS",IF(J4443&lt;=2,"?ACTIVATED",IF(J4443&lt;&gt;"","?FAMILIAR",IF(F4443="NEW",IF(ISNA(VLOOKUP(E4443,#REF!,1,FALSE())),"?TYPE_IDENTIFIABLE","?REFERENTIAL"),"_")))))</f>
        <v> </v>
      </c>
      <c r="H4443" s="25" t="str">
        <f>IF(J4443&lt;&gt;1,"",IF(I4443="SBJ","CB","?"))</f>
        <v> </v>
      </c>
      <c r="I4443" s="26" t="str">
        <f>IF(OR(E4443="",E4443="!!!",F4443="NEW"),"",INDEX(B4442:B$2,-1+SUMPRODUCT(MAX(ROW(E4442:E$2)*(E4443=E4442:E$2)))))</f>
        <v> </v>
      </c>
      <c r="J4443" s="26" t="str">
        <f>IF(OR(E4443="",E4443="!!!",F4443="NEW"),"",COUNTBLANK(OFFSET(A$1,,,SUMPRODUCT(MAX(ROW(E$2:E4443)*(E4443=E$2:E4443)))))-COUNTBLANK(OFFSET(A$1,,,SUMPRODUCT(MAX(ROW(E$1:E4442)*(E2=E$1:E4442))))))</f>
        <v> </v>
      </c>
      <c r="K4443" s="26" t="str">
        <f>IF(OR(E4443="",E4443="!!!",F4443="NEW"),"",INDEX(J$1:J4442,SUMPRODUCT(MAX(ROW(E$1:E4442)*(E4443=E$1:E4442)))))</f>
        <v> </v>
      </c>
      <c r="L4443" s="27"/>
    </row>
    <row r="4444" spans="1:12">
      <c r="A4444" s="20" t="s">
        <v>102</v>
      </c>
      <c r="E4444" s="22">
        <f>IF(D4444="?OLD","!!!","")</f>
        <v/>
      </c>
      <c r="F4444" s="23" t="str">
        <f>IF(OR(E4444="",E4444="!!!"),"",IF(NOT(ISNA(VLOOKUP(E4444,E$1:E4443,1,FALSE()))),"OLD",IF(AND(E4444&lt;&gt;"",E4444&lt;&gt;"!!!"),"NEW","")))</f>
        <v> </v>
      </c>
      <c r="G4444" s="24" t="str">
        <f>IF(OR(E4444="",E4444="!!!"),"",IF(OR(J4444=0,AND(J4444=1,K4444=1),AND(J4444=1,I4444="SBJ"),AND(J4444=1,I4444=0)),"?IN_FOCUS",IF(J4444&lt;=2,"?ACTIVATED",IF(J4444&lt;&gt;"","?FAMILIAR",IF(F4444="NEW",IF(ISNA(VLOOKUP(E4444,#REF!,1,FALSE())),"?TYPE_IDENTIFIABLE","?REFERENTIAL"),"_")))))</f>
        <v> </v>
      </c>
      <c r="H4444" s="25" t="str">
        <f>IF(J4444&lt;&gt;1,"",IF(I4444="SBJ","CB","?"))</f>
        <v> </v>
      </c>
      <c r="I4444" s="26" t="str">
        <f>IF(OR(E4444="",E4444="!!!",F4444="NEW"),"",INDEX(B4443:B$2,-1+SUMPRODUCT(MAX(ROW(E4443:E$2)*(E4444=E4443:E$2)))))</f>
        <v> </v>
      </c>
      <c r="J4444" s="26" t="str">
        <f>IF(OR(E4444="",E4444="!!!",F4444="NEW"),"",COUNTBLANK(OFFSET(A$1,,,SUMPRODUCT(MAX(ROW(E$2:E4444)*(E4444=E$2:E4444)))))-COUNTBLANK(OFFSET(A$1,,,SUMPRODUCT(MAX(ROW(E$1:E4443)*(E2=E$1:E4443))))))</f>
        <v> </v>
      </c>
      <c r="K4444" s="26" t="str">
        <f>IF(OR(E4444="",E4444="!!!",F4444="NEW"),"",INDEX(J$1:J4443,SUMPRODUCT(MAX(ROW(E$1:E4443)*(E4444=E$1:E4443)))))</f>
        <v> </v>
      </c>
      <c r="L4444" s="27"/>
    </row>
    <row r="4445" spans="1:12">
      <c r="A4445" s="20" t="s">
        <v>576</v>
      </c>
      <c r="B4445" s="21" t="s">
        <v>1022</v>
      </c>
      <c r="C4445" s="21" t="s">
        <v>1017</v>
      </c>
      <c r="D4445" s="21" t="s">
        <v>1007</v>
      </c>
      <c r="E4445" s="22">
        <f>IF(D4445="?OLD","!!!","")</f>
        <v/>
      </c>
      <c r="F4445" s="23" t="str">
        <f>IF(OR(E4445="",E4445="!!!"),"",IF(NOT(ISNA(VLOOKUP(E4445,E$1:E4444,1,FALSE()))),"OLD",IF(AND(E4445&lt;&gt;"",E4445&lt;&gt;"!!!"),"NEW","")))</f>
        <v> </v>
      </c>
      <c r="G4445" s="24" t="str">
        <f>IF(OR(E4445="",E4445="!!!"),"",IF(OR(J4445=0,AND(J4445=1,K4445=1),AND(J4445=1,I4445="SBJ"),AND(J4445=1,I4445=0)),"?IN_FOCUS",IF(J4445&lt;=2,"?ACTIVATED",IF(J4445&lt;&gt;"","?FAMILIAR",IF(F4445="NEW",IF(ISNA(VLOOKUP(E4445,#REF!,1,FALSE())),"?TYPE_IDENTIFIABLE","?REFERENTIAL"),"_")))))</f>
        <v> </v>
      </c>
      <c r="H4445" s="25" t="str">
        <f>IF(J4445&lt;&gt;1,"",IF(I4445="SBJ","CB","?"))</f>
        <v> </v>
      </c>
      <c r="I4445" s="26" t="str">
        <f>IF(OR(E4445="",E4445="!!!",F4445="NEW"),"",INDEX(B4444:B$2,-1+SUMPRODUCT(MAX(ROW(E4444:E$2)*(E4445=E4444:E$2)))))</f>
        <v> </v>
      </c>
      <c r="J4445" s="26" t="str">
        <f>IF(OR(E4445="",E4445="!!!",F4445="NEW"),"",COUNTBLANK(OFFSET(A$1,,,SUMPRODUCT(MAX(ROW(E$2:E4445)*(E4445=E$2:E4445)))))-COUNTBLANK(OFFSET(A$1,,,SUMPRODUCT(MAX(ROW(E$1:E4444)*(E2=E$1:E4444))))))</f>
        <v> </v>
      </c>
      <c r="K4445" s="26" t="str">
        <f>IF(OR(E4445="",E4445="!!!",F4445="NEW"),"",INDEX(J$1:J4444,SUMPRODUCT(MAX(ROW(E$1:E4444)*(E4445=E$1:E4444)))))</f>
        <v> </v>
      </c>
      <c r="L4445" s="27"/>
    </row>
    <row r="4446" spans="1:12">
      <c r="A4446" s="20" t="s">
        <v>56</v>
      </c>
      <c r="E4446" s="22">
        <f>IF(D4446="?OLD","!!!","")</f>
        <v/>
      </c>
      <c r="F4446" s="23" t="str">
        <f>IF(OR(E4446="",E4446="!!!"),"",IF(NOT(ISNA(VLOOKUP(E4446,E$1:E4445,1,FALSE()))),"OLD",IF(AND(E4446&lt;&gt;"",E4446&lt;&gt;"!!!"),"NEW","")))</f>
        <v> </v>
      </c>
      <c r="G4446" s="24" t="str">
        <f>IF(OR(E4446="",E4446="!!!"),"",IF(OR(J4446=0,AND(J4446=1,K4446=1),AND(J4446=1,I4446="SBJ"),AND(J4446=1,I4446=0)),"?IN_FOCUS",IF(J4446&lt;=2,"?ACTIVATED",IF(J4446&lt;&gt;"","?FAMILIAR",IF(F4446="NEW",IF(ISNA(VLOOKUP(E4446,#REF!,1,FALSE())),"?TYPE_IDENTIFIABLE","?REFERENTIAL"),"_")))))</f>
        <v> </v>
      </c>
      <c r="H4446" s="25" t="str">
        <f>IF(J4446&lt;&gt;1,"",IF(I4446="SBJ","CB","?"))</f>
        <v> </v>
      </c>
      <c r="I4446" s="26" t="str">
        <f>IF(OR(E4446="",E4446="!!!",F4446="NEW"),"",INDEX(B4445:B$2,-1+SUMPRODUCT(MAX(ROW(E4445:E$2)*(E4446=E4445:E$2)))))</f>
        <v> </v>
      </c>
      <c r="J4446" s="26" t="str">
        <f>IF(OR(E4446="",E4446="!!!",F4446="NEW"),"",COUNTBLANK(OFFSET(A$1,,,SUMPRODUCT(MAX(ROW(E$2:E4446)*(E4446=E$2:E4446)))))-COUNTBLANK(OFFSET(A$1,,,SUMPRODUCT(MAX(ROW(E$1:E4445)*(E2=E$1:E4445))))))</f>
        <v> </v>
      </c>
      <c r="K4446" s="26" t="str">
        <f>IF(OR(E4446="",E4446="!!!",F4446="NEW"),"",INDEX(J$1:J4445,SUMPRODUCT(MAX(ROW(E$1:E4445)*(E4446=E$1:E4445)))))</f>
        <v> </v>
      </c>
      <c r="L4446" s="27"/>
    </row>
    <row r="4447" spans="1:12">
      <c r="A4447" s="20" t="s">
        <v>444</v>
      </c>
      <c r="E4447" s="22">
        <f>IF(D4447="?OLD","!!!","")</f>
        <v/>
      </c>
      <c r="F4447" s="23" t="str">
        <f>IF(OR(E4447="",E4447="!!!"),"",IF(NOT(ISNA(VLOOKUP(E4447,E$1:E4446,1,FALSE()))),"OLD",IF(AND(E4447&lt;&gt;"",E4447&lt;&gt;"!!!"),"NEW","")))</f>
        <v> </v>
      </c>
      <c r="G4447" s="24" t="str">
        <f>IF(OR(E4447="",E4447="!!!"),"",IF(OR(J4447=0,AND(J4447=1,K4447=1),AND(J4447=1,I4447="SBJ"),AND(J4447=1,I4447=0)),"?IN_FOCUS",IF(J4447&lt;=2,"?ACTIVATED",IF(J4447&lt;&gt;"","?FAMILIAR",IF(F4447="NEW",IF(ISNA(VLOOKUP(E4447,#REF!,1,FALSE())),"?TYPE_IDENTIFIABLE","?REFERENTIAL"),"_")))))</f>
        <v> </v>
      </c>
      <c r="H4447" s="25" t="str">
        <f>IF(J4447&lt;&gt;1,"",IF(I4447="SBJ","CB","?"))</f>
        <v> </v>
      </c>
      <c r="I4447" s="26" t="str">
        <f>IF(OR(E4447="",E4447="!!!",F4447="NEW"),"",INDEX(B4446:B$2,-1+SUMPRODUCT(MAX(ROW(E4446:E$2)*(E4447=E4446:E$2)))))</f>
        <v> </v>
      </c>
      <c r="J4447" s="26" t="str">
        <f>IF(OR(E4447="",E4447="!!!",F4447="NEW"),"",COUNTBLANK(OFFSET(A$1,,,SUMPRODUCT(MAX(ROW(E$2:E4447)*(E4447=E$2:E4447)))))-COUNTBLANK(OFFSET(A$1,,,SUMPRODUCT(MAX(ROW(E$1:E4446)*(E2=E$1:E4446))))))</f>
        <v> </v>
      </c>
      <c r="K4447" s="26" t="str">
        <f>IF(OR(E4447="",E4447="!!!",F4447="NEW"),"",INDEX(J$1:J4446,SUMPRODUCT(MAX(ROW(E$1:E4446)*(E4447=E$1:E4446)))))</f>
        <v> </v>
      </c>
      <c r="L4447" s="27"/>
    </row>
    <row r="4448" spans="1:12">
      <c r="A4448" s="20" t="s">
        <v>1020</v>
      </c>
      <c r="E4448" s="22">
        <f>IF(D4448="?OLD","!!!","")</f>
        <v/>
      </c>
      <c r="F4448" s="23" t="str">
        <f>IF(OR(E4448="",E4448="!!!"),"",IF(NOT(ISNA(VLOOKUP(E4448,E$1:E4447,1,FALSE()))),"OLD",IF(AND(E4448&lt;&gt;"",E4448&lt;&gt;"!!!"),"NEW","")))</f>
        <v> </v>
      </c>
      <c r="G4448" s="24" t="str">
        <f>IF(OR(E4448="",E4448="!!!"),"",IF(OR(J4448=0,AND(J4448=1,K4448=1),AND(J4448=1,I4448="SBJ"),AND(J4448=1,I4448=0)),"?IN_FOCUS",IF(J4448&lt;=2,"?ACTIVATED",IF(J4448&lt;&gt;"","?FAMILIAR",IF(F4448="NEW",IF(ISNA(VLOOKUP(E4448,#REF!,1,FALSE())),"?TYPE_IDENTIFIABLE","?REFERENTIAL"),"_")))))</f>
        <v> </v>
      </c>
      <c r="H4448" s="25" t="str">
        <f>IF(J4448&lt;&gt;1,"",IF(I4448="SBJ","CB","?"))</f>
        <v> </v>
      </c>
      <c r="I4448" s="26" t="str">
        <f>IF(OR(E4448="",E4448="!!!",F4448="NEW"),"",INDEX(B4447:B$2,-1+SUMPRODUCT(MAX(ROW(E4447:E$2)*(E4448=E4447:E$2)))))</f>
        <v> </v>
      </c>
      <c r="J4448" s="26" t="str">
        <f>IF(OR(E4448="",E4448="!!!",F4448="NEW"),"",COUNTBLANK(OFFSET(A$1,,,SUMPRODUCT(MAX(ROW(E$2:E4448)*(E4448=E$2:E4448)))))-COUNTBLANK(OFFSET(A$1,,,SUMPRODUCT(MAX(ROW(E$1:E4447)*(E2=E$1:E4447))))))</f>
        <v> </v>
      </c>
      <c r="K4448" s="26" t="str">
        <f>IF(OR(E4448="",E4448="!!!",F4448="NEW"),"",INDEX(J$1:J4447,SUMPRODUCT(MAX(ROW(E$1:E4447)*(E4448=E$1:E4447)))))</f>
        <v> </v>
      </c>
      <c r="L4448" s="27"/>
    </row>
    <row r="4449" spans="1:12">
      <c r="A4449" s="20" t="s">
        <v>1840</v>
      </c>
      <c r="B4449" s="21" t="s">
        <v>1029</v>
      </c>
      <c r="C4449" s="21" t="s">
        <v>1017</v>
      </c>
      <c r="D4449" s="21" t="s">
        <v>1007</v>
      </c>
      <c r="E4449" s="22">
        <f>IF(D4449="?OLD","!!!","")</f>
        <v/>
      </c>
      <c r="F4449" s="23" t="str">
        <f>IF(OR(E4449="",E4449="!!!"),"",IF(NOT(ISNA(VLOOKUP(E4449,E$1:E4448,1,FALSE()))),"OLD",IF(AND(E4449&lt;&gt;"",E4449&lt;&gt;"!!!"),"NEW","")))</f>
        <v> </v>
      </c>
      <c r="G4449" s="24" t="str">
        <f>IF(OR(E4449="",E4449="!!!"),"",IF(OR(J4449=0,AND(J4449=1,K4449=1),AND(J4449=1,I4449="SBJ"),AND(J4449=1,I4449=0)),"?IN_FOCUS",IF(J4449&lt;=2,"?ACTIVATED",IF(J4449&lt;&gt;"","?FAMILIAR",IF(F4449="NEW",IF(ISNA(VLOOKUP(E4449,#REF!,1,FALSE())),"?TYPE_IDENTIFIABLE","?REFERENTIAL"),"_")))))</f>
        <v> </v>
      </c>
      <c r="H4449" s="25" t="str">
        <f>IF(J4449&lt;&gt;1,"",IF(I4449="SBJ","CB","?"))</f>
        <v> </v>
      </c>
      <c r="I4449" s="26" t="str">
        <f>IF(OR(E4449="",E4449="!!!",F4449="NEW"),"",INDEX(B4448:B$2,-1+SUMPRODUCT(MAX(ROW(E4448:E$2)*(E4449=E4448:E$2)))))</f>
        <v> </v>
      </c>
      <c r="J4449" s="26" t="str">
        <f>IF(OR(E4449="",E4449="!!!",F4449="NEW"),"",COUNTBLANK(OFFSET(A$1,,,SUMPRODUCT(MAX(ROW(E$2:E4449)*(E4449=E$2:E4449)))))-COUNTBLANK(OFFSET(A$1,,,SUMPRODUCT(MAX(ROW(E$1:E4448)*(E2=E$1:E4448))))))</f>
        <v> </v>
      </c>
      <c r="K4449" s="26" t="str">
        <f>IF(OR(E4449="",E4449="!!!",F4449="NEW"),"",INDEX(J$1:J4448,SUMPRODUCT(MAX(ROW(E$1:E4448)*(E4449=E$1:E4448)))))</f>
        <v> </v>
      </c>
      <c r="L4449" s="27"/>
    </row>
    <row r="4450" spans="1:12">
      <c r="A4450" s="20" t="s">
        <v>1023</v>
      </c>
      <c r="E4450" s="22">
        <f>IF(D4450="?OLD","!!!","")</f>
        <v/>
      </c>
      <c r="F4450" s="23" t="str">
        <f>IF(OR(E4450="",E4450="!!!"),"",IF(NOT(ISNA(VLOOKUP(E4450,E$1:E4449,1,FALSE()))),"OLD",IF(AND(E4450&lt;&gt;"",E4450&lt;&gt;"!!!"),"NEW","")))</f>
        <v> </v>
      </c>
      <c r="G4450" s="24" t="str">
        <f>IF(OR(E4450="",E4450="!!!"),"",IF(OR(J4450=0,AND(J4450=1,K4450=1),AND(J4450=1,I4450="SBJ"),AND(J4450=1,I4450=0)),"?IN_FOCUS",IF(J4450&lt;=2,"?ACTIVATED",IF(J4450&lt;&gt;"","?FAMILIAR",IF(F4450="NEW",IF(ISNA(VLOOKUP(E4450,#REF!,1,FALSE())),"?TYPE_IDENTIFIABLE","?REFERENTIAL"),"_")))))</f>
        <v> </v>
      </c>
      <c r="H4450" s="25" t="str">
        <f>IF(J4450&lt;&gt;1,"",IF(I4450="SBJ","CB","?"))</f>
        <v> </v>
      </c>
      <c r="I4450" s="26" t="str">
        <f>IF(OR(E4450="",E4450="!!!",F4450="NEW"),"",INDEX(B4449:B$2,-1+SUMPRODUCT(MAX(ROW(E4449:E$2)*(E4450=E4449:E$2)))))</f>
        <v> </v>
      </c>
      <c r="J4450" s="26" t="str">
        <f>IF(OR(E4450="",E4450="!!!",F4450="NEW"),"",COUNTBLANK(OFFSET(A$1,,,SUMPRODUCT(MAX(ROW(E$2:E4450)*(E4450=E$2:E4450)))))-COUNTBLANK(OFFSET(A$1,,,SUMPRODUCT(MAX(ROW(E$1:E4449)*(E2=E$1:E4449))))))</f>
        <v> </v>
      </c>
      <c r="K4450" s="26" t="str">
        <f>IF(OR(E4450="",E4450="!!!",F4450="NEW"),"",INDEX(J$1:J4449,SUMPRODUCT(MAX(ROW(E$1:E4449)*(E4450=E$1:E4449)))))</f>
        <v> </v>
      </c>
      <c r="L4450" s="27"/>
    </row>
    <row r="4451" spans="1:12">
      <c r="A4451" s="20"/>
    </row>
    <row r="4452" spans="1:12">
      <c r="A4452" s="20" t="s">
        <v>2273</v>
      </c>
    </row>
    <row r="4453" spans="1:12">
      <c r="A4453" s="20" t="s">
        <v>11</v>
      </c>
      <c r="E4453" s="22">
        <f>IF(D4453="?OLD","!!!","")</f>
        <v/>
      </c>
      <c r="F4453" s="23" t="str">
        <f>IF(OR(E4453="",E4453="!!!"),"",IF(NOT(ISNA(VLOOKUP(E4453,E$1:E4452,1,FALSE()))),"OLD",IF(AND(E4453&lt;&gt;"",E4453&lt;&gt;"!!!"),"NEW","")))</f>
        <v> </v>
      </c>
      <c r="G4453" s="24" t="str">
        <f>IF(OR(E4453="",E4453="!!!"),"",IF(OR(J4453=0,AND(J4453=1,K4453=1),AND(J4453=1,I4453="SBJ"),AND(J4453=1,I4453=0)),"?IN_FOCUS",IF(J4453&lt;=2,"?ACTIVATED",IF(J4453&lt;&gt;"","?FAMILIAR",IF(F4453="NEW",IF(ISNA(VLOOKUP(E4453,#REF!,1,FALSE())),"?TYPE_IDENTIFIABLE","?REFERENTIAL"),"_")))))</f>
        <v> </v>
      </c>
      <c r="H4453" s="25" t="str">
        <f>IF(J4453&lt;&gt;1,"",IF(I4453="SBJ","CB","?"))</f>
        <v> </v>
      </c>
      <c r="I4453" s="26" t="str">
        <f>IF(OR(E4453="",E4453="!!!",F4453="NEW"),"",INDEX(B4452:B$2,-1+SUMPRODUCT(MAX(ROW(E4452:E$2)*(E4453=E4452:E$2)))))</f>
        <v> </v>
      </c>
      <c r="J4453" s="26" t="str">
        <f>IF(OR(E4453="",E4453="!!!",F4453="NEW"),"",COUNTBLANK(OFFSET(A$1,,,SUMPRODUCT(MAX(ROW(E$2:E4453)*(E4453=E$2:E4453)))))-COUNTBLANK(OFFSET(A$1,,,SUMPRODUCT(MAX(ROW(E$1:E4452)*(E2=E$1:E4452))))))</f>
        <v> </v>
      </c>
      <c r="K4453" s="26" t="str">
        <f>IF(OR(E4453="",E4453="!!!",F4453="NEW"),"",INDEX(J$1:J4452,SUMPRODUCT(MAX(ROW(E$1:E4452)*(E4453=E$1:E4452)))))</f>
        <v> </v>
      </c>
      <c r="L4453" s="27"/>
    </row>
    <row r="4454" spans="1:12">
      <c r="A4454" s="20" t="s">
        <v>2271</v>
      </c>
      <c r="B4454" s="21" t="s">
        <v>1050</v>
      </c>
      <c r="C4454" s="21" t="s">
        <v>1006</v>
      </c>
      <c r="D4454" s="21" t="s">
        <v>1007</v>
      </c>
      <c r="E4454" s="22">
        <f>IF(D4454="?OLD","!!!","")</f>
        <v/>
      </c>
      <c r="F4454" s="23" t="str">
        <f>IF(OR(E4454="",E4454="!!!"),"",IF(NOT(ISNA(VLOOKUP(E4454,E$1:E4453,1,FALSE()))),"OLD",IF(AND(E4454&lt;&gt;"",E4454&lt;&gt;"!!!"),"NEW","")))</f>
        <v> </v>
      </c>
      <c r="G4454" s="24" t="str">
        <f>IF(OR(E4454="",E4454="!!!"),"",IF(OR(J4454=0,AND(J4454=1,K4454=1),AND(J4454=1,I4454="SBJ"),AND(J4454=1,I4454=0)),"?IN_FOCUS",IF(J4454&lt;=2,"?ACTIVATED",IF(J4454&lt;&gt;"","?FAMILIAR",IF(F4454="NEW",IF(ISNA(VLOOKUP(E4454,#REF!,1,FALSE())),"?TYPE_IDENTIFIABLE","?REFERENTIAL"),"_")))))</f>
        <v> </v>
      </c>
      <c r="H4454" s="25" t="str">
        <f>IF(J4454&lt;&gt;1,"",IF(I4454="SBJ","CB","?"))</f>
        <v> </v>
      </c>
      <c r="I4454" s="26" t="str">
        <f>IF(OR(E4454="",E4454="!!!",F4454="NEW"),"",INDEX(B4453:B$2,-1+SUMPRODUCT(MAX(ROW(E4453:E$2)*(E4454=E4453:E$2)))))</f>
        <v> </v>
      </c>
      <c r="J4454" s="26" t="str">
        <f>IF(OR(E4454="",E4454="!!!",F4454="NEW"),"",COUNTBLANK(OFFSET(A$1,,,SUMPRODUCT(MAX(ROW(E$2:E4454)*(E4454=E$2:E4454)))))-COUNTBLANK(OFFSET(A$1,,,SUMPRODUCT(MAX(ROW(E$1:E4453)*(E2=E$1:E4453))))))</f>
        <v> </v>
      </c>
      <c r="K4454" s="26" t="str">
        <f>IF(OR(E4454="",E4454="!!!",F4454="NEW"),"",INDEX(J$1:J4453,SUMPRODUCT(MAX(ROW(E$1:E4453)*(E4454=E$1:E4453)))))</f>
        <v> </v>
      </c>
      <c r="L4454" s="27"/>
    </row>
    <row r="4455" spans="1:12">
      <c r="A4455" s="20" t="s">
        <v>1397</v>
      </c>
      <c r="E4455" s="22">
        <f>IF(D4455="?OLD","!!!","")</f>
        <v/>
      </c>
      <c r="F4455" s="23" t="str">
        <f>IF(OR(E4455="",E4455="!!!"),"",IF(NOT(ISNA(VLOOKUP(E4455,E$1:E4454,1,FALSE()))),"OLD",IF(AND(E4455&lt;&gt;"",E4455&lt;&gt;"!!!"),"NEW","")))</f>
        <v> </v>
      </c>
      <c r="G4455" s="24" t="str">
        <f>IF(OR(E4455="",E4455="!!!"),"",IF(OR(J4455=0,AND(J4455=1,K4455=1),AND(J4455=1,I4455="SBJ"),AND(J4455=1,I4455=0)),"?IN_FOCUS",IF(J4455&lt;=2,"?ACTIVATED",IF(J4455&lt;&gt;"","?FAMILIAR",IF(F4455="NEW",IF(ISNA(VLOOKUP(E4455,#REF!,1,FALSE())),"?TYPE_IDENTIFIABLE","?REFERENTIAL"),"_")))))</f>
        <v> </v>
      </c>
      <c r="H4455" s="25" t="str">
        <f>IF(J4455&lt;&gt;1,"",IF(I4455="SBJ","CB","?"))</f>
        <v> </v>
      </c>
      <c r="I4455" s="26" t="str">
        <f>IF(OR(E4455="",E4455="!!!",F4455="NEW"),"",INDEX(B4454:B$2,-1+SUMPRODUCT(MAX(ROW(E4454:E$2)*(E4455=E4454:E$2)))))</f>
        <v> </v>
      </c>
      <c r="J4455" s="26" t="str">
        <f>IF(OR(E4455="",E4455="!!!",F4455="NEW"),"",COUNTBLANK(OFFSET(A$1,,,SUMPRODUCT(MAX(ROW(E$2:E4455)*(E4455=E$2:E4455)))))-COUNTBLANK(OFFSET(A$1,,,SUMPRODUCT(MAX(ROW(E$1:E4454)*(E2=E$1:E4454))))))</f>
        <v> </v>
      </c>
      <c r="K4455" s="26" t="str">
        <f>IF(OR(E4455="",E4455="!!!",F4455="NEW"),"",INDEX(J$1:J4454,SUMPRODUCT(MAX(ROW(E$1:E4454)*(E4455=E$1:E4454)))))</f>
        <v> </v>
      </c>
      <c r="L4455" s="27"/>
    </row>
    <row r="4456" spans="1:12">
      <c r="A4456" s="20" t="s">
        <v>1020</v>
      </c>
      <c r="E4456" s="22">
        <f>IF(D4456="?OLD","!!!","")</f>
        <v/>
      </c>
      <c r="F4456" s="23" t="str">
        <f>IF(OR(E4456="",E4456="!!!"),"",IF(NOT(ISNA(VLOOKUP(E4456,E$1:E4455,1,FALSE()))),"OLD",IF(AND(E4456&lt;&gt;"",E4456&lt;&gt;"!!!"),"NEW","")))</f>
        <v> </v>
      </c>
      <c r="G4456" s="24" t="str">
        <f>IF(OR(E4456="",E4456="!!!"),"",IF(OR(J4456=0,AND(J4456=1,K4456=1),AND(J4456=1,I4456="SBJ"),AND(J4456=1,I4456=0)),"?IN_FOCUS",IF(J4456&lt;=2,"?ACTIVATED",IF(J4456&lt;&gt;"","?FAMILIAR",IF(F4456="NEW",IF(ISNA(VLOOKUP(E4456,#REF!,1,FALSE())),"?TYPE_IDENTIFIABLE","?REFERENTIAL"),"_")))))</f>
        <v> </v>
      </c>
      <c r="H4456" s="25" t="str">
        <f>IF(J4456&lt;&gt;1,"",IF(I4456="SBJ","CB","?"))</f>
        <v> </v>
      </c>
      <c r="I4456" s="26" t="str">
        <f>IF(OR(E4456="",E4456="!!!",F4456="NEW"),"",INDEX(B4455:B$2,-1+SUMPRODUCT(MAX(ROW(E4455:E$2)*(E4456=E4455:E$2)))))</f>
        <v> </v>
      </c>
      <c r="J4456" s="26" t="str">
        <f>IF(OR(E4456="",E4456="!!!",F4456="NEW"),"",COUNTBLANK(OFFSET(A$1,,,SUMPRODUCT(MAX(ROW(E$2:E4456)*(E4456=E$2:E4456)))))-COUNTBLANK(OFFSET(A$1,,,SUMPRODUCT(MAX(ROW(E$1:E4455)*(E2=E$1:E4455))))))</f>
        <v> </v>
      </c>
      <c r="K4456" s="26" t="str">
        <f>IF(OR(E4456="",E4456="!!!",F4456="NEW"),"",INDEX(J$1:J4455,SUMPRODUCT(MAX(ROW(E$1:E4455)*(E4456=E$1:E4455)))))</f>
        <v> </v>
      </c>
      <c r="L4456" s="27"/>
    </row>
    <row r="4457" spans="1:12">
      <c r="A4457" s="20" t="s">
        <v>576</v>
      </c>
      <c r="B4457" s="21" t="s">
        <v>1005</v>
      </c>
      <c r="C4457" s="21" t="s">
        <v>1006</v>
      </c>
      <c r="D4457" s="21" t="s">
        <v>1007</v>
      </c>
      <c r="E4457" s="22">
        <f>IF(D4457="?OLD","!!!","")</f>
        <v/>
      </c>
      <c r="F4457" s="23" t="str">
        <f>IF(OR(E4457="",E4457="!!!"),"",IF(NOT(ISNA(VLOOKUP(E4457,E$1:E4456,1,FALSE()))),"OLD",IF(AND(E4457&lt;&gt;"",E4457&lt;&gt;"!!!"),"NEW","")))</f>
        <v> </v>
      </c>
      <c r="G4457" s="24" t="str">
        <f>IF(OR(E4457="",E4457="!!!"),"",IF(OR(J4457=0,AND(J4457=1,K4457=1),AND(J4457=1,I4457="SBJ"),AND(J4457=1,I4457=0)),"?IN_FOCUS",IF(J4457&lt;=2,"?ACTIVATED",IF(J4457&lt;&gt;"","?FAMILIAR",IF(F4457="NEW",IF(ISNA(VLOOKUP(E4457,#REF!,1,FALSE())),"?TYPE_IDENTIFIABLE","?REFERENTIAL"),"_")))))</f>
        <v> </v>
      </c>
      <c r="H4457" s="25" t="str">
        <f>IF(J4457&lt;&gt;1,"",IF(I4457="SBJ","CB","?"))</f>
        <v> </v>
      </c>
      <c r="I4457" s="26" t="str">
        <f>IF(OR(E4457="",E4457="!!!",F4457="NEW"),"",INDEX(B4456:B$2,-1+SUMPRODUCT(MAX(ROW(E4456:E$2)*(E4457=E4456:E$2)))))</f>
        <v> </v>
      </c>
      <c r="J4457" s="26" t="str">
        <f>IF(OR(E4457="",E4457="!!!",F4457="NEW"),"",COUNTBLANK(OFFSET(A$1,,,SUMPRODUCT(MAX(ROW(E$2:E4457)*(E4457=E$2:E4457)))))-COUNTBLANK(OFFSET(A$1,,,SUMPRODUCT(MAX(ROW(E$1:E4456)*(E2=E$1:E4456))))))</f>
        <v> </v>
      </c>
      <c r="K4457" s="26" t="str">
        <f>IF(OR(E4457="",E4457="!!!",F4457="NEW"),"",INDEX(J$1:J4456,SUMPRODUCT(MAX(ROW(E$1:E4456)*(E4457=E$1:E4456)))))</f>
        <v> </v>
      </c>
      <c r="L4457" s="27"/>
    </row>
    <row r="4458" spans="1:12">
      <c r="A4458" s="20" t="s">
        <v>56</v>
      </c>
      <c r="E4458" s="22">
        <f>IF(D4458="?OLD","!!!","")</f>
        <v/>
      </c>
      <c r="F4458" s="23" t="str">
        <f>IF(OR(E4458="",E4458="!!!"),"",IF(NOT(ISNA(VLOOKUP(E4458,E$1:E4457,1,FALSE()))),"OLD",IF(AND(E4458&lt;&gt;"",E4458&lt;&gt;"!!!"),"NEW","")))</f>
        <v> </v>
      </c>
      <c r="G4458" s="24" t="str">
        <f>IF(OR(E4458="",E4458="!!!"),"",IF(OR(J4458=0,AND(J4458=1,K4458=1),AND(J4458=1,I4458="SBJ"),AND(J4458=1,I4458=0)),"?IN_FOCUS",IF(J4458&lt;=2,"?ACTIVATED",IF(J4458&lt;&gt;"","?FAMILIAR",IF(F4458="NEW",IF(ISNA(VLOOKUP(E4458,#REF!,1,FALSE())),"?TYPE_IDENTIFIABLE","?REFERENTIAL"),"_")))))</f>
        <v> </v>
      </c>
      <c r="H4458" s="25" t="str">
        <f>IF(J4458&lt;&gt;1,"",IF(I4458="SBJ","CB","?"))</f>
        <v> </v>
      </c>
      <c r="I4458" s="26" t="str">
        <f>IF(OR(E4458="",E4458="!!!",F4458="NEW"),"",INDEX(B4457:B$2,-1+SUMPRODUCT(MAX(ROW(E4457:E$2)*(E4458=E4457:E$2)))))</f>
        <v> </v>
      </c>
      <c r="J4458" s="26" t="str">
        <f>IF(OR(E4458="",E4458="!!!",F4458="NEW"),"",COUNTBLANK(OFFSET(A$1,,,SUMPRODUCT(MAX(ROW(E$2:E4458)*(E4458=E$2:E4458)))))-COUNTBLANK(OFFSET(A$1,,,SUMPRODUCT(MAX(ROW(E$1:E4457)*(E2=E$1:E4457))))))</f>
        <v> </v>
      </c>
      <c r="K4458" s="26" t="str">
        <f>IF(OR(E4458="",E4458="!!!",F4458="NEW"),"",INDEX(J$1:J4457,SUMPRODUCT(MAX(ROW(E$1:E4457)*(E4458=E$1:E4457)))))</f>
        <v> </v>
      </c>
      <c r="L4458" s="27"/>
    </row>
    <row r="4459" spans="1:12">
      <c r="A4459" s="20" t="s">
        <v>2274</v>
      </c>
      <c r="E4459" s="22">
        <f>IF(D4459="?OLD","!!!","")</f>
        <v/>
      </c>
      <c r="F4459" s="23" t="str">
        <f>IF(OR(E4459="",E4459="!!!"),"",IF(NOT(ISNA(VLOOKUP(E4459,E$1:E4458,1,FALSE()))),"OLD",IF(AND(E4459&lt;&gt;"",E4459&lt;&gt;"!!!"),"NEW","")))</f>
        <v> </v>
      </c>
      <c r="G4459" s="24" t="str">
        <f>IF(OR(E4459="",E4459="!!!"),"",IF(OR(J4459=0,AND(J4459=1,K4459=1),AND(J4459=1,I4459="SBJ"),AND(J4459=1,I4459=0)),"?IN_FOCUS",IF(J4459&lt;=2,"?ACTIVATED",IF(J4459&lt;&gt;"","?FAMILIAR",IF(F4459="NEW",IF(ISNA(VLOOKUP(E4459,#REF!,1,FALSE())),"?TYPE_IDENTIFIABLE","?REFERENTIAL"),"_")))))</f>
        <v> </v>
      </c>
      <c r="H4459" s="25" t="str">
        <f>IF(J4459&lt;&gt;1,"",IF(I4459="SBJ","CB","?"))</f>
        <v> </v>
      </c>
      <c r="I4459" s="26" t="str">
        <f>IF(OR(E4459="",E4459="!!!",F4459="NEW"),"",INDEX(B4458:B$2,-1+SUMPRODUCT(MAX(ROW(E4458:E$2)*(E4459=E4458:E$2)))))</f>
        <v> </v>
      </c>
      <c r="J4459" s="26" t="str">
        <f>IF(OR(E4459="",E4459="!!!",F4459="NEW"),"",COUNTBLANK(OFFSET(A$1,,,SUMPRODUCT(MAX(ROW(E$2:E4459)*(E4459=E$2:E4459)))))-COUNTBLANK(OFFSET(A$1,,,SUMPRODUCT(MAX(ROW(E$1:E4458)*(E2=E$1:E4458))))))</f>
        <v> </v>
      </c>
      <c r="K4459" s="26" t="str">
        <f>IF(OR(E4459="",E4459="!!!",F4459="NEW"),"",INDEX(J$1:J4458,SUMPRODUCT(MAX(ROW(E$1:E4458)*(E4459=E$1:E4458)))))</f>
        <v> </v>
      </c>
      <c r="L4459" s="27"/>
    </row>
    <row r="4460" spans="1:12">
      <c r="A4460" s="20" t="s">
        <v>1020</v>
      </c>
      <c r="E4460" s="22">
        <f>IF(D4460="?OLD","!!!","")</f>
        <v/>
      </c>
      <c r="F4460" s="23" t="str">
        <f>IF(OR(E4460="",E4460="!!!"),"",IF(NOT(ISNA(VLOOKUP(E4460,E$1:E4459,1,FALSE()))),"OLD",IF(AND(E4460&lt;&gt;"",E4460&lt;&gt;"!!!"),"NEW","")))</f>
        <v> </v>
      </c>
      <c r="G4460" s="24" t="str">
        <f>IF(OR(E4460="",E4460="!!!"),"",IF(OR(J4460=0,AND(J4460=1,K4460=1),AND(J4460=1,I4460="SBJ"),AND(J4460=1,I4460=0)),"?IN_FOCUS",IF(J4460&lt;=2,"?ACTIVATED",IF(J4460&lt;&gt;"","?FAMILIAR",IF(F4460="NEW",IF(ISNA(VLOOKUP(E4460,#REF!,1,FALSE())),"?TYPE_IDENTIFIABLE","?REFERENTIAL"),"_")))))</f>
        <v> </v>
      </c>
      <c r="H4460" s="25" t="str">
        <f>IF(J4460&lt;&gt;1,"",IF(I4460="SBJ","CB","?"))</f>
        <v> </v>
      </c>
      <c r="I4460" s="26" t="str">
        <f>IF(OR(E4460="",E4460="!!!",F4460="NEW"),"",INDEX(B4459:B$2,-1+SUMPRODUCT(MAX(ROW(E4459:E$2)*(E4460=E4459:E$2)))))</f>
        <v> </v>
      </c>
      <c r="J4460" s="26" t="str">
        <f>IF(OR(E4460="",E4460="!!!",F4460="NEW"),"",COUNTBLANK(OFFSET(A$1,,,SUMPRODUCT(MAX(ROW(E$2:E4460)*(E4460=E$2:E4460)))))-COUNTBLANK(OFFSET(A$1,,,SUMPRODUCT(MAX(ROW(E$1:E4459)*(E2=E$1:E4459))))))</f>
        <v> </v>
      </c>
      <c r="K4460" s="26" t="str">
        <f>IF(OR(E4460="",E4460="!!!",F4460="NEW"),"",INDEX(J$1:J4459,SUMPRODUCT(MAX(ROW(E$1:E4459)*(E4460=E$1:E4459)))))</f>
        <v> </v>
      </c>
      <c r="L4460" s="27"/>
    </row>
    <row r="4461" spans="1:12">
      <c r="A4461" s="20" t="s">
        <v>1840</v>
      </c>
      <c r="B4461" s="21" t="s">
        <v>1029</v>
      </c>
      <c r="C4461" s="21" t="s">
        <v>1017</v>
      </c>
      <c r="D4461" s="21" t="s">
        <v>1007</v>
      </c>
      <c r="E4461" s="22">
        <f>IF(D4461="?OLD","!!!","")</f>
        <v/>
      </c>
      <c r="F4461" s="23" t="str">
        <f>IF(OR(E4461="",E4461="!!!"),"",IF(NOT(ISNA(VLOOKUP(E4461,E$1:E4460,1,FALSE()))),"OLD",IF(AND(E4461&lt;&gt;"",E4461&lt;&gt;"!!!"),"NEW","")))</f>
        <v> </v>
      </c>
      <c r="G4461" s="24" t="str">
        <f>IF(OR(E4461="",E4461="!!!"),"",IF(OR(J4461=0,AND(J4461=1,K4461=1),AND(J4461=1,I4461="SBJ"),AND(J4461=1,I4461=0)),"?IN_FOCUS",IF(J4461&lt;=2,"?ACTIVATED",IF(J4461&lt;&gt;"","?FAMILIAR",IF(F4461="NEW",IF(ISNA(VLOOKUP(E4461,#REF!,1,FALSE())),"?TYPE_IDENTIFIABLE","?REFERENTIAL"),"_")))))</f>
        <v> </v>
      </c>
      <c r="H4461" s="25" t="str">
        <f>IF(J4461&lt;&gt;1,"",IF(I4461="SBJ","CB","?"))</f>
        <v> </v>
      </c>
      <c r="I4461" s="26" t="str">
        <f>IF(OR(E4461="",E4461="!!!",F4461="NEW"),"",INDEX(B4460:B$2,-1+SUMPRODUCT(MAX(ROW(E4460:E$2)*(E4461=E4460:E$2)))))</f>
        <v> </v>
      </c>
      <c r="J4461" s="26" t="str">
        <f>IF(OR(E4461="",E4461="!!!",F4461="NEW"),"",COUNTBLANK(OFFSET(A$1,,,SUMPRODUCT(MAX(ROW(E$2:E4461)*(E4461=E$2:E4461)))))-COUNTBLANK(OFFSET(A$1,,,SUMPRODUCT(MAX(ROW(E$1:E4460)*(E2=E$1:E4460))))))</f>
        <v> </v>
      </c>
      <c r="K4461" s="26" t="str">
        <f>IF(OR(E4461="",E4461="!!!",F4461="NEW"),"",INDEX(J$1:J4460,SUMPRODUCT(MAX(ROW(E$1:E4460)*(E4461=E$1:E4460)))))</f>
        <v> </v>
      </c>
      <c r="L4461" s="27"/>
    </row>
    <row r="4462" spans="1:12">
      <c r="A4462" s="20" t="s">
        <v>1018</v>
      </c>
      <c r="E4462" s="22">
        <f>IF(D4462="?OLD","!!!","")</f>
        <v/>
      </c>
      <c r="F4462" s="23" t="str">
        <f>IF(OR(E4462="",E4462="!!!"),"",IF(NOT(ISNA(VLOOKUP(E4462,E$1:E4461,1,FALSE()))),"OLD",IF(AND(E4462&lt;&gt;"",E4462&lt;&gt;"!!!"),"NEW","")))</f>
        <v> </v>
      </c>
      <c r="G4462" s="24" t="str">
        <f>IF(OR(E4462="",E4462="!!!"),"",IF(OR(J4462=0,AND(J4462=1,K4462=1),AND(J4462=1,I4462="SBJ"),AND(J4462=1,I4462=0)),"?IN_FOCUS",IF(J4462&lt;=2,"?ACTIVATED",IF(J4462&lt;&gt;"","?FAMILIAR",IF(F4462="NEW",IF(ISNA(VLOOKUP(E4462,#REF!,1,FALSE())),"?TYPE_IDENTIFIABLE","?REFERENTIAL"),"_")))))</f>
        <v> </v>
      </c>
      <c r="H4462" s="25" t="str">
        <f>IF(J4462&lt;&gt;1,"",IF(I4462="SBJ","CB","?"))</f>
        <v> </v>
      </c>
      <c r="I4462" s="26" t="str">
        <f>IF(OR(E4462="",E4462="!!!",F4462="NEW"),"",INDEX(B4461:B$2,-1+SUMPRODUCT(MAX(ROW(E4461:E$2)*(E4462=E4461:E$2)))))</f>
        <v> </v>
      </c>
      <c r="J4462" s="26" t="str">
        <f>IF(OR(E4462="",E4462="!!!",F4462="NEW"),"",COUNTBLANK(OFFSET(A$1,,,SUMPRODUCT(MAX(ROW(E$2:E4462)*(E4462=E$2:E4462)))))-COUNTBLANK(OFFSET(A$1,,,SUMPRODUCT(MAX(ROW(E$1:E4461)*(E2=E$1:E4461))))))</f>
        <v> </v>
      </c>
      <c r="K4462" s="26" t="str">
        <f>IF(OR(E4462="",E4462="!!!",F4462="NEW"),"",INDEX(J$1:J4461,SUMPRODUCT(MAX(ROW(E$1:E4461)*(E4462=E$1:E4461)))))</f>
        <v> </v>
      </c>
      <c r="L4462" s="27"/>
    </row>
    <row r="4463" spans="1:12">
      <c r="A4463" s="20" t="s">
        <v>1330</v>
      </c>
      <c r="E4463" s="22">
        <f>IF(D4463="?OLD","!!!","")</f>
        <v/>
      </c>
      <c r="F4463" s="23" t="str">
        <f>IF(OR(E4463="",E4463="!!!"),"",IF(NOT(ISNA(VLOOKUP(E4463,E$1:E4462,1,FALSE()))),"OLD",IF(AND(E4463&lt;&gt;"",E4463&lt;&gt;"!!!"),"NEW","")))</f>
        <v> </v>
      </c>
      <c r="G4463" s="24" t="str">
        <f>IF(OR(E4463="",E4463="!!!"),"",IF(OR(J4463=0,AND(J4463=1,K4463=1),AND(J4463=1,I4463="SBJ"),AND(J4463=1,I4463=0)),"?IN_FOCUS",IF(J4463&lt;=2,"?ACTIVATED",IF(J4463&lt;&gt;"","?FAMILIAR",IF(F4463="NEW",IF(ISNA(VLOOKUP(E4463,#REF!,1,FALSE())),"?TYPE_IDENTIFIABLE","?REFERENTIAL"),"_")))))</f>
        <v> </v>
      </c>
      <c r="H4463" s="25" t="str">
        <f>IF(J4463&lt;&gt;1,"",IF(I4463="SBJ","CB","?"))</f>
        <v> </v>
      </c>
      <c r="I4463" s="26" t="str">
        <f>IF(OR(E4463="",E4463="!!!",F4463="NEW"),"",INDEX(B4462:B$2,-1+SUMPRODUCT(MAX(ROW(E4462:E$2)*(E4463=E4462:E$2)))))</f>
        <v> </v>
      </c>
      <c r="J4463" s="26" t="str">
        <f>IF(OR(E4463="",E4463="!!!",F4463="NEW"),"",COUNTBLANK(OFFSET(A$1,,,SUMPRODUCT(MAX(ROW(E$2:E4463)*(E4463=E$2:E4463)))))-COUNTBLANK(OFFSET(A$1,,,SUMPRODUCT(MAX(ROW(E$1:E4462)*(E2=E$1:E4462))))))</f>
        <v> </v>
      </c>
      <c r="K4463" s="26" t="str">
        <f>IF(OR(E4463="",E4463="!!!",F4463="NEW"),"",INDEX(J$1:J4462,SUMPRODUCT(MAX(ROW(E$1:E4462)*(E4463=E$1:E4462)))))</f>
        <v> </v>
      </c>
      <c r="L4463" s="27"/>
    </row>
    <row r="4464" spans="1:12">
      <c r="A4464" s="20" t="s">
        <v>102</v>
      </c>
      <c r="E4464" s="22">
        <f>IF(D4464="?OLD","!!!","")</f>
        <v/>
      </c>
      <c r="F4464" s="23" t="str">
        <f>IF(OR(E4464="",E4464="!!!"),"",IF(NOT(ISNA(VLOOKUP(E4464,E$1:E4463,1,FALSE()))),"OLD",IF(AND(E4464&lt;&gt;"",E4464&lt;&gt;"!!!"),"NEW","")))</f>
        <v> </v>
      </c>
      <c r="G4464" s="24" t="str">
        <f>IF(OR(E4464="",E4464="!!!"),"",IF(OR(J4464=0,AND(J4464=1,K4464=1),AND(J4464=1,I4464="SBJ"),AND(J4464=1,I4464=0)),"?IN_FOCUS",IF(J4464&lt;=2,"?ACTIVATED",IF(J4464&lt;&gt;"","?FAMILIAR",IF(F4464="NEW",IF(ISNA(VLOOKUP(E4464,#REF!,1,FALSE())),"?TYPE_IDENTIFIABLE","?REFERENTIAL"),"_")))))</f>
        <v> </v>
      </c>
      <c r="H4464" s="25" t="str">
        <f>IF(J4464&lt;&gt;1,"",IF(I4464="SBJ","CB","?"))</f>
        <v> </v>
      </c>
      <c r="I4464" s="26" t="str">
        <f>IF(OR(E4464="",E4464="!!!",F4464="NEW"),"",INDEX(B4463:B$2,-1+SUMPRODUCT(MAX(ROW(E4463:E$2)*(E4464=E4463:E$2)))))</f>
        <v> </v>
      </c>
      <c r="J4464" s="26" t="str">
        <f>IF(OR(E4464="",E4464="!!!",F4464="NEW"),"",COUNTBLANK(OFFSET(A$1,,,SUMPRODUCT(MAX(ROW(E$2:E4464)*(E4464=E$2:E4464)))))-COUNTBLANK(OFFSET(A$1,,,SUMPRODUCT(MAX(ROW(E$1:E4463)*(E2=E$1:E4463))))))</f>
        <v> </v>
      </c>
      <c r="K4464" s="26" t="str">
        <f>IF(OR(E4464="",E4464="!!!",F4464="NEW"),"",INDEX(J$1:J4463,SUMPRODUCT(MAX(ROW(E$1:E4463)*(E4464=E$1:E4463)))))</f>
        <v> </v>
      </c>
      <c r="L4464" s="27"/>
    </row>
    <row r="4465" spans="1:12">
      <c r="A4465" s="20" t="s">
        <v>576</v>
      </c>
      <c r="B4465" s="21" t="s">
        <v>1119</v>
      </c>
      <c r="C4465" s="21" t="s">
        <v>1017</v>
      </c>
      <c r="D4465" s="21" t="s">
        <v>1007</v>
      </c>
      <c r="E4465" s="22">
        <f>IF(D4465="?OLD","!!!","")</f>
        <v/>
      </c>
      <c r="F4465" s="23" t="str">
        <f>IF(OR(E4465="",E4465="!!!"),"",IF(NOT(ISNA(VLOOKUP(E4465,E$1:E4464,1,FALSE()))),"OLD",IF(AND(E4465&lt;&gt;"",E4465&lt;&gt;"!!!"),"NEW","")))</f>
        <v> </v>
      </c>
      <c r="G4465" s="24" t="str">
        <f>IF(OR(E4465="",E4465="!!!"),"",IF(OR(J4465=0,AND(J4465=1,K4465=1),AND(J4465=1,I4465="SBJ"),AND(J4465=1,I4465=0)),"?IN_FOCUS",IF(J4465&lt;=2,"?ACTIVATED",IF(J4465&lt;&gt;"","?FAMILIAR",IF(F4465="NEW",IF(ISNA(VLOOKUP(E4465,#REF!,1,FALSE())),"?TYPE_IDENTIFIABLE","?REFERENTIAL"),"_")))))</f>
        <v> </v>
      </c>
      <c r="H4465" s="25" t="str">
        <f>IF(J4465&lt;&gt;1,"",IF(I4465="SBJ","CB","?"))</f>
        <v> </v>
      </c>
      <c r="I4465" s="26" t="str">
        <f>IF(OR(E4465="",E4465="!!!",F4465="NEW"),"",INDEX(B4464:B$2,-1+SUMPRODUCT(MAX(ROW(E4464:E$2)*(E4465=E4464:E$2)))))</f>
        <v> </v>
      </c>
      <c r="J4465" s="26" t="str">
        <f>IF(OR(E4465="",E4465="!!!",F4465="NEW"),"",COUNTBLANK(OFFSET(A$1,,,SUMPRODUCT(MAX(ROW(E$2:E4465)*(E4465=E$2:E4465)))))-COUNTBLANK(OFFSET(A$1,,,SUMPRODUCT(MAX(ROW(E$1:E4464)*(E2=E$1:E4464))))))</f>
        <v> </v>
      </c>
      <c r="K4465" s="26" t="str">
        <f>IF(OR(E4465="",E4465="!!!",F4465="NEW"),"",INDEX(J$1:J4464,SUMPRODUCT(MAX(ROW(E$1:E4464)*(E4465=E$1:E4464)))))</f>
        <v> </v>
      </c>
      <c r="L4465" s="27"/>
    </row>
    <row r="4466" spans="1:12">
      <c r="A4466" s="20" t="s">
        <v>56</v>
      </c>
      <c r="E4466" s="22">
        <f>IF(D4466="?OLD","!!!","")</f>
        <v/>
      </c>
      <c r="F4466" s="23" t="str">
        <f>IF(OR(E4466="",E4466="!!!"),"",IF(NOT(ISNA(VLOOKUP(E4466,E$1:E4465,1,FALSE()))),"OLD",IF(AND(E4466&lt;&gt;"",E4466&lt;&gt;"!!!"),"NEW","")))</f>
        <v> </v>
      </c>
      <c r="G4466" s="24" t="str">
        <f>IF(OR(E4466="",E4466="!!!"),"",IF(OR(J4466=0,AND(J4466=1,K4466=1),AND(J4466=1,I4466="SBJ"),AND(J4466=1,I4466=0)),"?IN_FOCUS",IF(J4466&lt;=2,"?ACTIVATED",IF(J4466&lt;&gt;"","?FAMILIAR",IF(F4466="NEW",IF(ISNA(VLOOKUP(E4466,#REF!,1,FALSE())),"?TYPE_IDENTIFIABLE","?REFERENTIAL"),"_")))))</f>
        <v> </v>
      </c>
      <c r="H4466" s="25" t="str">
        <f>IF(J4466&lt;&gt;1,"",IF(I4466="SBJ","CB","?"))</f>
        <v> </v>
      </c>
      <c r="I4466" s="26" t="str">
        <f>IF(OR(E4466="",E4466="!!!",F4466="NEW"),"",INDEX(B4465:B$2,-1+SUMPRODUCT(MAX(ROW(E4465:E$2)*(E4466=E4465:E$2)))))</f>
        <v> </v>
      </c>
      <c r="J4466" s="26" t="str">
        <f>IF(OR(E4466="",E4466="!!!",F4466="NEW"),"",COUNTBLANK(OFFSET(A$1,,,SUMPRODUCT(MAX(ROW(E$2:E4466)*(E4466=E$2:E4466)))))-COUNTBLANK(OFFSET(A$1,,,SUMPRODUCT(MAX(ROW(E$1:E4465)*(E2=E$1:E4465))))))</f>
        <v> </v>
      </c>
      <c r="K4466" s="26" t="str">
        <f>IF(OR(E4466="",E4466="!!!",F4466="NEW"),"",INDEX(J$1:J4465,SUMPRODUCT(MAX(ROW(E$1:E4465)*(E4466=E$1:E4465)))))</f>
        <v> </v>
      </c>
      <c r="L4466" s="27"/>
    </row>
    <row r="4467" spans="1:12">
      <c r="A4467" s="20" t="s">
        <v>102</v>
      </c>
      <c r="E4467" s="22">
        <f>IF(D4467="?OLD","!!!","")</f>
        <v/>
      </c>
      <c r="F4467" s="23" t="str">
        <f>IF(OR(E4467="",E4467="!!!"),"",IF(NOT(ISNA(VLOOKUP(E4467,E$1:E4466,1,FALSE()))),"OLD",IF(AND(E4467&lt;&gt;"",E4467&lt;&gt;"!!!"),"NEW","")))</f>
        <v> </v>
      </c>
      <c r="G4467" s="24" t="str">
        <f>IF(OR(E4467="",E4467="!!!"),"",IF(OR(J4467=0,AND(J4467=1,K4467=1),AND(J4467=1,I4467="SBJ"),AND(J4467=1,I4467=0)),"?IN_FOCUS",IF(J4467&lt;=2,"?ACTIVATED",IF(J4467&lt;&gt;"","?FAMILIAR",IF(F4467="NEW",IF(ISNA(VLOOKUP(E4467,#REF!,1,FALSE())),"?TYPE_IDENTIFIABLE","?REFERENTIAL"),"_")))))</f>
        <v> </v>
      </c>
      <c r="H4467" s="25" t="str">
        <f>IF(J4467&lt;&gt;1,"",IF(I4467="SBJ","CB","?"))</f>
        <v> </v>
      </c>
      <c r="I4467" s="26" t="str">
        <f>IF(OR(E4467="",E4467="!!!",F4467="NEW"),"",INDEX(B4466:B$2,-1+SUMPRODUCT(MAX(ROW(E4466:E$2)*(E4467=E4466:E$2)))))</f>
        <v> </v>
      </c>
      <c r="J4467" s="26" t="str">
        <f>IF(OR(E4467="",E4467="!!!",F4467="NEW"),"",COUNTBLANK(OFFSET(A$1,,,SUMPRODUCT(MAX(ROW(E$2:E4467)*(E4467=E$2:E4467)))))-COUNTBLANK(OFFSET(A$1,,,SUMPRODUCT(MAX(ROW(E$1:E4466)*(E2=E$1:E4466))))))</f>
        <v> </v>
      </c>
      <c r="K4467" s="26" t="str">
        <f>IF(OR(E4467="",E4467="!!!",F4467="NEW"),"",INDEX(J$1:J4466,SUMPRODUCT(MAX(ROW(E$1:E4466)*(E4467=E$1:E4466)))))</f>
        <v> </v>
      </c>
      <c r="L4467" s="27"/>
    </row>
    <row r="4468" spans="1:12">
      <c r="A4468" s="20" t="s">
        <v>1344</v>
      </c>
      <c r="B4468" s="21" t="s">
        <v>1033</v>
      </c>
      <c r="C4468" s="21" t="s">
        <v>1017</v>
      </c>
      <c r="D4468" s="21" t="s">
        <v>1007</v>
      </c>
      <c r="E4468" s="22">
        <f>IF(D4468="?OLD","!!!","")</f>
        <v/>
      </c>
      <c r="F4468" s="23" t="str">
        <f>IF(OR(E4468="",E4468="!!!"),"",IF(NOT(ISNA(VLOOKUP(E4468,E$1:E4467,1,FALSE()))),"OLD",IF(AND(E4468&lt;&gt;"",E4468&lt;&gt;"!!!"),"NEW","")))</f>
        <v> </v>
      </c>
      <c r="G4468" s="24" t="str">
        <f>IF(OR(E4468="",E4468="!!!"),"",IF(OR(J4468=0,AND(J4468=1,K4468=1),AND(J4468=1,I4468="SBJ"),AND(J4468=1,I4468=0)),"?IN_FOCUS",IF(J4468&lt;=2,"?ACTIVATED",IF(J4468&lt;&gt;"","?FAMILIAR",IF(F4468="NEW",IF(ISNA(VLOOKUP(E4468,#REF!,1,FALSE())),"?TYPE_IDENTIFIABLE","?REFERENTIAL"),"_")))))</f>
        <v> </v>
      </c>
      <c r="H4468" s="25" t="str">
        <f>IF(J4468&lt;&gt;1,"",IF(I4468="SBJ","CB","?"))</f>
        <v> </v>
      </c>
      <c r="I4468" s="26" t="str">
        <f>IF(OR(E4468="",E4468="!!!",F4468="NEW"),"",INDEX(B4467:B$2,-1+SUMPRODUCT(MAX(ROW(E4467:E$2)*(E4468=E4467:E$2)))))</f>
        <v> </v>
      </c>
      <c r="J4468" s="26" t="str">
        <f>IF(OR(E4468="",E4468="!!!",F4468="NEW"),"",COUNTBLANK(OFFSET(A$1,,,SUMPRODUCT(MAX(ROW(E$2:E4468)*(E4468=E$2:E4468)))))-COUNTBLANK(OFFSET(A$1,,,SUMPRODUCT(MAX(ROW(E$1:E4467)*(E2=E$1:E4467))))))</f>
        <v> </v>
      </c>
      <c r="K4468" s="26" t="str">
        <f>IF(OR(E4468="",E4468="!!!",F4468="NEW"),"",INDEX(J$1:J4467,SUMPRODUCT(MAX(ROW(E$1:E4467)*(E4468=E$1:E4467)))))</f>
        <v> </v>
      </c>
      <c r="L4468" s="27"/>
    </row>
    <row r="4469" spans="1:12">
      <c r="A4469" s="20" t="s">
        <v>1194</v>
      </c>
      <c r="E4469" s="22">
        <f>IF(D4469="?OLD","!!!","")</f>
        <v/>
      </c>
      <c r="F4469" s="23" t="str">
        <f>IF(OR(E4469="",E4469="!!!"),"",IF(NOT(ISNA(VLOOKUP(E4469,E$1:E4468,1,FALSE()))),"OLD",IF(AND(E4469&lt;&gt;"",E4469&lt;&gt;"!!!"),"NEW","")))</f>
        <v> </v>
      </c>
      <c r="G4469" s="24" t="str">
        <f>IF(OR(E4469="",E4469="!!!"),"",IF(OR(J4469=0,AND(J4469=1,K4469=1),AND(J4469=1,I4469="SBJ"),AND(J4469=1,I4469=0)),"?IN_FOCUS",IF(J4469&lt;=2,"?ACTIVATED",IF(J4469&lt;&gt;"","?FAMILIAR",IF(F4469="NEW",IF(ISNA(VLOOKUP(E4469,#REF!,1,FALSE())),"?TYPE_IDENTIFIABLE","?REFERENTIAL"),"_")))))</f>
        <v> </v>
      </c>
      <c r="H4469" s="25" t="str">
        <f>IF(J4469&lt;&gt;1,"",IF(I4469="SBJ","CB","?"))</f>
        <v> </v>
      </c>
      <c r="I4469" s="26" t="str">
        <f>IF(OR(E4469="",E4469="!!!",F4469="NEW"),"",INDEX(B4468:B$2,-1+SUMPRODUCT(MAX(ROW(E4468:E$2)*(E4469=E4468:E$2)))))</f>
        <v> </v>
      </c>
      <c r="J4469" s="26" t="str">
        <f>IF(OR(E4469="",E4469="!!!",F4469="NEW"),"",COUNTBLANK(OFFSET(A$1,,,SUMPRODUCT(MAX(ROW(E$2:E4469)*(E4469=E$2:E4469)))))-COUNTBLANK(OFFSET(A$1,,,SUMPRODUCT(MAX(ROW(E$1:E4468)*(E2=E$1:E4468))))))</f>
        <v> </v>
      </c>
      <c r="K4469" s="26" t="str">
        <f>IF(OR(E4469="",E4469="!!!",F4469="NEW"),"",INDEX(J$1:J4468,SUMPRODUCT(MAX(ROW(E$1:E4468)*(E4469=E$1:E4468)))))</f>
        <v> </v>
      </c>
      <c r="L4469" s="27"/>
    </row>
    <row r="4470" spans="1:12">
      <c r="A4470" s="20" t="s">
        <v>1481</v>
      </c>
      <c r="E4470" s="22">
        <f>IF(D4470="?OLD","!!!","")</f>
        <v/>
      </c>
      <c r="F4470" s="23" t="str">
        <f>IF(OR(E4470="",E4470="!!!"),"",IF(NOT(ISNA(VLOOKUP(E4470,E$1:E4469,1,FALSE()))),"OLD",IF(AND(E4470&lt;&gt;"",E4470&lt;&gt;"!!!"),"NEW","")))</f>
        <v> </v>
      </c>
      <c r="G4470" s="24" t="str">
        <f>IF(OR(E4470="",E4470="!!!"),"",IF(OR(J4470=0,AND(J4470=1,K4470=1),AND(J4470=1,I4470="SBJ"),AND(J4470=1,I4470=0)),"?IN_FOCUS",IF(J4470&lt;=2,"?ACTIVATED",IF(J4470&lt;&gt;"","?FAMILIAR",IF(F4470="NEW",IF(ISNA(VLOOKUP(E4470,#REF!,1,FALSE())),"?TYPE_IDENTIFIABLE","?REFERENTIAL"),"_")))))</f>
        <v> </v>
      </c>
      <c r="H4470" s="25" t="str">
        <f>IF(J4470&lt;&gt;1,"",IF(I4470="SBJ","CB","?"))</f>
        <v> </v>
      </c>
      <c r="I4470" s="26" t="str">
        <f>IF(OR(E4470="",E4470="!!!",F4470="NEW"),"",INDEX(B4469:B$2,-1+SUMPRODUCT(MAX(ROW(E4469:E$2)*(E4470=E4469:E$2)))))</f>
        <v> </v>
      </c>
      <c r="J4470" s="26" t="str">
        <f>IF(OR(E4470="",E4470="!!!",F4470="NEW"),"",COUNTBLANK(OFFSET(A$1,,,SUMPRODUCT(MAX(ROW(E$2:E4470)*(E4470=E$2:E4470)))))-COUNTBLANK(OFFSET(A$1,,,SUMPRODUCT(MAX(ROW(E$1:E4469)*(E2=E$1:E4469))))))</f>
        <v> </v>
      </c>
      <c r="K4470" s="26" t="str">
        <f>IF(OR(E4470="",E4470="!!!",F4470="NEW"),"",INDEX(J$1:J4469,SUMPRODUCT(MAX(ROW(E$1:E4469)*(E4470=E$1:E4469)))))</f>
        <v> </v>
      </c>
      <c r="L4470" s="27"/>
    </row>
    <row r="4471" spans="1:12">
      <c r="A4471" s="20" t="s">
        <v>1065</v>
      </c>
      <c r="B4471" s="21" t="s">
        <v>1029</v>
      </c>
      <c r="E4471" s="22">
        <f>IF(D4471="?OLD","!!!","")</f>
        <v/>
      </c>
      <c r="F4471" s="23" t="str">
        <f>IF(OR(E4471="",E4471="!!!"),"",IF(NOT(ISNA(VLOOKUP(E4471,E$1:E4470,1,FALSE()))),"OLD",IF(AND(E4471&lt;&gt;"",E4471&lt;&gt;"!!!"),"NEW","")))</f>
        <v> </v>
      </c>
      <c r="G4471" s="24" t="str">
        <f>IF(OR(E4471="",E4471="!!!"),"",IF(OR(J4471=0,AND(J4471=1,K4471=1),AND(J4471=1,I4471="SBJ"),AND(J4471=1,I4471=0)),"?IN_FOCUS",IF(J4471&lt;=2,"?ACTIVATED",IF(J4471&lt;&gt;"","?FAMILIAR",IF(F4471="NEW",IF(ISNA(VLOOKUP(E4471,#REF!,1,FALSE())),"?TYPE_IDENTIFIABLE","?REFERENTIAL"),"_")))))</f>
        <v> </v>
      </c>
      <c r="H4471" s="25" t="str">
        <f>IF(J4471&lt;&gt;1,"",IF(I4471="SBJ","CB","?"))</f>
        <v> </v>
      </c>
      <c r="I4471" s="26" t="str">
        <f>IF(OR(E4471="",E4471="!!!",F4471="NEW"),"",INDEX(B4470:B$2,-1+SUMPRODUCT(MAX(ROW(E4470:E$2)*(E4471=E4470:E$2)))))</f>
        <v> </v>
      </c>
      <c r="J4471" s="26" t="str">
        <f>IF(OR(E4471="",E4471="!!!",F4471="NEW"),"",COUNTBLANK(OFFSET(A$1,,,SUMPRODUCT(MAX(ROW(E$2:E4471)*(E4471=E$2:E4471)))))-COUNTBLANK(OFFSET(A$1,,,SUMPRODUCT(MAX(ROW(E$1:E4470)*(E2=E$1:E4470))))))</f>
        <v> </v>
      </c>
      <c r="K4471" s="26" t="str">
        <f>IF(OR(E4471="",E4471="!!!",F4471="NEW"),"",INDEX(J$1:J4470,SUMPRODUCT(MAX(ROW(E$1:E4470)*(E4471=E$1:E4470)))))</f>
        <v> </v>
      </c>
      <c r="L4471" s="27"/>
    </row>
    <row r="4472" spans="1:12">
      <c r="A4472" s="20" t="s">
        <v>1142</v>
      </c>
      <c r="E4472" s="22">
        <f>IF(D4472="?OLD","!!!","")</f>
        <v/>
      </c>
      <c r="F4472" s="23" t="str">
        <f>IF(OR(E4472="",E4472="!!!"),"",IF(NOT(ISNA(VLOOKUP(E4472,E$1:E4471,1,FALSE()))),"OLD",IF(AND(E4472&lt;&gt;"",E4472&lt;&gt;"!!!"),"NEW","")))</f>
        <v> </v>
      </c>
      <c r="G4472" s="24" t="str">
        <f>IF(OR(E4472="",E4472="!!!"),"",IF(OR(J4472=0,AND(J4472=1,K4472=1),AND(J4472=1,I4472="SBJ"),AND(J4472=1,I4472=0)),"?IN_FOCUS",IF(J4472&lt;=2,"?ACTIVATED",IF(J4472&lt;&gt;"","?FAMILIAR",IF(F4472="NEW",IF(ISNA(VLOOKUP(E4472,#REF!,1,FALSE())),"?TYPE_IDENTIFIABLE","?REFERENTIAL"),"_")))))</f>
        <v> </v>
      </c>
      <c r="H4472" s="25" t="str">
        <f>IF(J4472&lt;&gt;1,"",IF(I4472="SBJ","CB","?"))</f>
        <v> </v>
      </c>
      <c r="I4472" s="26" t="str">
        <f>IF(OR(E4472="",E4472="!!!",F4472="NEW"),"",INDEX(B4471:B$2,-1+SUMPRODUCT(MAX(ROW(E4471:E$2)*(E4472=E4471:E$2)))))</f>
        <v> </v>
      </c>
      <c r="J4472" s="26" t="str">
        <f>IF(OR(E4472="",E4472="!!!",F4472="NEW"),"",COUNTBLANK(OFFSET(A$1,,,SUMPRODUCT(MAX(ROW(E$2:E4472)*(E4472=E$2:E4472)))))-COUNTBLANK(OFFSET(A$1,,,SUMPRODUCT(MAX(ROW(E$1:E4471)*(E2=E$1:E4471))))))</f>
        <v> </v>
      </c>
      <c r="K4472" s="26" t="str">
        <f>IF(OR(E4472="",E4472="!!!",F4472="NEW"),"",INDEX(J$1:J4471,SUMPRODUCT(MAX(ROW(E$1:E4471)*(E4472=E$1:E4471)))))</f>
        <v> </v>
      </c>
      <c r="L4472" s="27"/>
    </row>
    <row r="4473" spans="1:12">
      <c r="A4473" s="20" t="s">
        <v>1023</v>
      </c>
      <c r="E4473" s="22">
        <f>IF(D4473="?OLD","!!!","")</f>
        <v/>
      </c>
      <c r="F4473" s="23" t="str">
        <f>IF(OR(E4473="",E4473="!!!"),"",IF(NOT(ISNA(VLOOKUP(E4473,E$1:E4472,1,FALSE()))),"OLD",IF(AND(E4473&lt;&gt;"",E4473&lt;&gt;"!!!"),"NEW","")))</f>
        <v> </v>
      </c>
      <c r="G4473" s="24" t="str">
        <f>IF(OR(E4473="",E4473="!!!"),"",IF(OR(J4473=0,AND(J4473=1,K4473=1),AND(J4473=1,I4473="SBJ"),AND(J4473=1,I4473=0)),"?IN_FOCUS",IF(J4473&lt;=2,"?ACTIVATED",IF(J4473&lt;&gt;"","?FAMILIAR",IF(F4473="NEW",IF(ISNA(VLOOKUP(E4473,#REF!,1,FALSE())),"?TYPE_IDENTIFIABLE","?REFERENTIAL"),"_")))))</f>
        <v> </v>
      </c>
      <c r="H4473" s="25" t="str">
        <f>IF(J4473&lt;&gt;1,"",IF(I4473="SBJ","CB","?"))</f>
        <v> </v>
      </c>
      <c r="I4473" s="26" t="str">
        <f>IF(OR(E4473="",E4473="!!!",F4473="NEW"),"",INDEX(B4472:B$2,-1+SUMPRODUCT(MAX(ROW(E4472:E$2)*(E4473=E4472:E$2)))))</f>
        <v> </v>
      </c>
      <c r="J4473" s="26" t="str">
        <f>IF(OR(E4473="",E4473="!!!",F4473="NEW"),"",COUNTBLANK(OFFSET(A$1,,,SUMPRODUCT(MAX(ROW(E$2:E4473)*(E4473=E$2:E4473)))))-COUNTBLANK(OFFSET(A$1,,,SUMPRODUCT(MAX(ROW(E$1:E4472)*(E2=E$1:E4472))))))</f>
        <v> </v>
      </c>
      <c r="K4473" s="26" t="str">
        <f>IF(OR(E4473="",E4473="!!!",F4473="NEW"),"",INDEX(J$1:J4472,SUMPRODUCT(MAX(ROW(E$1:E4472)*(E4473=E$1:E4472)))))</f>
        <v> </v>
      </c>
      <c r="L4473" s="27"/>
    </row>
    <row r="4474" spans="1:12">
      <c r="A4474" s="20"/>
    </row>
    <row r="4475" spans="1:12">
      <c r="A4475" s="20" t="s">
        <v>2275</v>
      </c>
    </row>
    <row r="4476" spans="1:12">
      <c r="A4476" s="20" t="s">
        <v>1722</v>
      </c>
      <c r="E4476" s="22">
        <f>IF(D4476="?OLD","!!!","")</f>
        <v/>
      </c>
      <c r="F4476" s="23" t="str">
        <f>IF(OR(E4476="",E4476="!!!"),"",IF(NOT(ISNA(VLOOKUP(E4476,E$1:E4475,1,FALSE()))),"OLD",IF(AND(E4476&lt;&gt;"",E4476&lt;&gt;"!!!"),"NEW","")))</f>
        <v> </v>
      </c>
      <c r="G4476" s="24" t="str">
        <f>IF(OR(E4476="",E4476="!!!"),"",IF(OR(J4476=0,AND(J4476=1,K4476=1),AND(J4476=1,I4476="SBJ"),AND(J4476=1,I4476=0)),"?IN_FOCUS",IF(J4476&lt;=2,"?ACTIVATED",IF(J4476&lt;&gt;"","?FAMILIAR",IF(F4476="NEW",IF(ISNA(VLOOKUP(E4476,#REF!,1,FALSE())),"?TYPE_IDENTIFIABLE","?REFERENTIAL"),"_")))))</f>
        <v> </v>
      </c>
      <c r="H4476" s="25" t="str">
        <f>IF(J4476&lt;&gt;1,"",IF(I4476="SBJ","CB","?"))</f>
        <v> </v>
      </c>
      <c r="I4476" s="26" t="str">
        <f>IF(OR(E4476="",E4476="!!!",F4476="NEW"),"",INDEX(B4475:B$2,-1+SUMPRODUCT(MAX(ROW(E4475:E$2)*(E4476=E4475:E$2)))))</f>
        <v> </v>
      </c>
      <c r="J4476" s="26" t="str">
        <f>IF(OR(E4476="",E4476="!!!",F4476="NEW"),"",COUNTBLANK(OFFSET(A$1,,,SUMPRODUCT(MAX(ROW(E$2:E4476)*(E4476=E$2:E4476)))))-COUNTBLANK(OFFSET(A$1,,,SUMPRODUCT(MAX(ROW(E$1:E4475)*(E2=E$1:E4475))))))</f>
        <v> </v>
      </c>
      <c r="K4476" s="26" t="str">
        <f>IF(OR(E4476="",E4476="!!!",F4476="NEW"),"",INDEX(J$1:J4475,SUMPRODUCT(MAX(ROW(E$1:E4475)*(E4476=E$1:E4475)))))</f>
        <v> </v>
      </c>
      <c r="L4476" s="27"/>
    </row>
    <row r="4477" spans="1:12">
      <c r="A4477" s="20" t="s">
        <v>1065</v>
      </c>
      <c r="E4477" s="22">
        <f>IF(D4477="?OLD","!!!","")</f>
        <v/>
      </c>
      <c r="F4477" s="23" t="str">
        <f>IF(OR(E4477="",E4477="!!!"),"",IF(NOT(ISNA(VLOOKUP(E4477,E$1:E4476,1,FALSE()))),"OLD",IF(AND(E4477&lt;&gt;"",E4477&lt;&gt;"!!!"),"NEW","")))</f>
        <v> </v>
      </c>
      <c r="G4477" s="24" t="str">
        <f>IF(OR(E4477="",E4477="!!!"),"",IF(OR(J4477=0,AND(J4477=1,K4477=1),AND(J4477=1,I4477="SBJ"),AND(J4477=1,I4477=0)),"?IN_FOCUS",IF(J4477&lt;=2,"?ACTIVATED",IF(J4477&lt;&gt;"","?FAMILIAR",IF(F4477="NEW",IF(ISNA(VLOOKUP(E4477,#REF!,1,FALSE())),"?TYPE_IDENTIFIABLE","?REFERENTIAL"),"_")))))</f>
        <v> </v>
      </c>
      <c r="H4477" s="25" t="str">
        <f>IF(J4477&lt;&gt;1,"",IF(I4477="SBJ","CB","?"))</f>
        <v> </v>
      </c>
      <c r="I4477" s="26" t="str">
        <f>IF(OR(E4477="",E4477="!!!",F4477="NEW"),"",INDEX(B4476:B$2,-1+SUMPRODUCT(MAX(ROW(E4476:E$2)*(E4477=E4476:E$2)))))</f>
        <v> </v>
      </c>
      <c r="J4477" s="26" t="str">
        <f>IF(OR(E4477="",E4477="!!!",F4477="NEW"),"",COUNTBLANK(OFFSET(A$1,,,SUMPRODUCT(MAX(ROW(E$2:E4477)*(E4477=E$2:E4477)))))-COUNTBLANK(OFFSET(A$1,,,SUMPRODUCT(MAX(ROW(E$1:E4476)*(E2=E$1:E4476))))))</f>
        <v> </v>
      </c>
      <c r="K4477" s="26" t="str">
        <f>IF(OR(E4477="",E4477="!!!",F4477="NEW"),"",INDEX(J$1:J4476,SUMPRODUCT(MAX(ROW(E$1:E4476)*(E4477=E$1:E4476)))))</f>
        <v> </v>
      </c>
      <c r="L4477" s="27"/>
    </row>
    <row r="4478" spans="1:12">
      <c r="A4478" s="20" t="s">
        <v>1142</v>
      </c>
      <c r="E4478" s="22">
        <f>IF(D4478="?OLD","!!!","")</f>
        <v/>
      </c>
      <c r="F4478" s="23" t="str">
        <f>IF(OR(E4478="",E4478="!!!"),"",IF(NOT(ISNA(VLOOKUP(E4478,E$1:E4477,1,FALSE()))),"OLD",IF(AND(E4478&lt;&gt;"",E4478&lt;&gt;"!!!"),"NEW","")))</f>
        <v> </v>
      </c>
      <c r="G4478" s="24" t="str">
        <f>IF(OR(E4478="",E4478="!!!"),"",IF(OR(J4478=0,AND(J4478=1,K4478=1),AND(J4478=1,I4478="SBJ"),AND(J4478=1,I4478=0)),"?IN_FOCUS",IF(J4478&lt;=2,"?ACTIVATED",IF(J4478&lt;&gt;"","?FAMILIAR",IF(F4478="NEW",IF(ISNA(VLOOKUP(E4478,#REF!,1,FALSE())),"?TYPE_IDENTIFIABLE","?REFERENTIAL"),"_")))))</f>
        <v> </v>
      </c>
      <c r="H4478" s="25" t="str">
        <f>IF(J4478&lt;&gt;1,"",IF(I4478="SBJ","CB","?"))</f>
        <v> </v>
      </c>
      <c r="I4478" s="26" t="str">
        <f>IF(OR(E4478="",E4478="!!!",F4478="NEW"),"",INDEX(B4477:B$2,-1+SUMPRODUCT(MAX(ROW(E4477:E$2)*(E4478=E4477:E$2)))))</f>
        <v> </v>
      </c>
      <c r="J4478" s="26" t="str">
        <f>IF(OR(E4478="",E4478="!!!",F4478="NEW"),"",COUNTBLANK(OFFSET(A$1,,,SUMPRODUCT(MAX(ROW(E$2:E4478)*(E4478=E$2:E4478)))))-COUNTBLANK(OFFSET(A$1,,,SUMPRODUCT(MAX(ROW(E$1:E4477)*(E2=E$1:E4477))))))</f>
        <v> </v>
      </c>
      <c r="K4478" s="26" t="str">
        <f>IF(OR(E4478="",E4478="!!!",F4478="NEW"),"",INDEX(J$1:J4477,SUMPRODUCT(MAX(ROW(E$1:E4477)*(E4478=E$1:E4477)))))</f>
        <v> </v>
      </c>
      <c r="L4478" s="27"/>
    </row>
    <row r="4479" spans="1:12">
      <c r="A4479" s="20" t="s">
        <v>2276</v>
      </c>
      <c r="E4479" s="22">
        <f>IF(D4479="?OLD","!!!","")</f>
        <v/>
      </c>
      <c r="F4479" s="23" t="str">
        <f>IF(OR(E4479="",E4479="!!!"),"",IF(NOT(ISNA(VLOOKUP(E4479,E$1:E4478,1,FALSE()))),"OLD",IF(AND(E4479&lt;&gt;"",E4479&lt;&gt;"!!!"),"NEW","")))</f>
        <v> </v>
      </c>
      <c r="G4479" s="24" t="str">
        <f>IF(OR(E4479="",E4479="!!!"),"",IF(OR(J4479=0,AND(J4479=1,K4479=1),AND(J4479=1,I4479="SBJ"),AND(J4479=1,I4479=0)),"?IN_FOCUS",IF(J4479&lt;=2,"?ACTIVATED",IF(J4479&lt;&gt;"","?FAMILIAR",IF(F4479="NEW",IF(ISNA(VLOOKUP(E4479,#REF!,1,FALSE())),"?TYPE_IDENTIFIABLE","?REFERENTIAL"),"_")))))</f>
        <v> </v>
      </c>
      <c r="H4479" s="25" t="str">
        <f>IF(J4479&lt;&gt;1,"",IF(I4479="SBJ","CB","?"))</f>
        <v> </v>
      </c>
      <c r="I4479" s="26" t="str">
        <f>IF(OR(E4479="",E4479="!!!",F4479="NEW"),"",INDEX(B4478:B$2,-1+SUMPRODUCT(MAX(ROW(E4478:E$2)*(E4479=E4478:E$2)))))</f>
        <v> </v>
      </c>
      <c r="J4479" s="26" t="str">
        <f>IF(OR(E4479="",E4479="!!!",F4479="NEW"),"",COUNTBLANK(OFFSET(A$1,,,SUMPRODUCT(MAX(ROW(E$2:E4479)*(E4479=E$2:E4479)))))-COUNTBLANK(OFFSET(A$1,,,SUMPRODUCT(MAX(ROW(E$1:E4478)*(E2=E$1:E4478))))))</f>
        <v> </v>
      </c>
      <c r="K4479" s="26" t="str">
        <f>IF(OR(E4479="",E4479="!!!",F4479="NEW"),"",INDEX(J$1:J4478,SUMPRODUCT(MAX(ROW(E$1:E4478)*(E4479=E$1:E4478)))))</f>
        <v> </v>
      </c>
      <c r="L4479" s="27"/>
    </row>
    <row r="4480" spans="1:12">
      <c r="A4480" s="20" t="s">
        <v>102</v>
      </c>
      <c r="E4480" s="22">
        <f>IF(D4480="?OLD","!!!","")</f>
        <v/>
      </c>
      <c r="F4480" s="23" t="str">
        <f>IF(OR(E4480="",E4480="!!!"),"",IF(NOT(ISNA(VLOOKUP(E4480,E$1:E4479,1,FALSE()))),"OLD",IF(AND(E4480&lt;&gt;"",E4480&lt;&gt;"!!!"),"NEW","")))</f>
        <v> </v>
      </c>
      <c r="G4480" s="24" t="str">
        <f>IF(OR(E4480="",E4480="!!!"),"",IF(OR(J4480=0,AND(J4480=1,K4480=1),AND(J4480=1,I4480="SBJ"),AND(J4480=1,I4480=0)),"?IN_FOCUS",IF(J4480&lt;=2,"?ACTIVATED",IF(J4480&lt;&gt;"","?FAMILIAR",IF(F4480="NEW",IF(ISNA(VLOOKUP(E4480,#REF!,1,FALSE())),"?TYPE_IDENTIFIABLE","?REFERENTIAL"),"_")))))</f>
        <v> </v>
      </c>
      <c r="H4480" s="25" t="str">
        <f>IF(J4480&lt;&gt;1,"",IF(I4480="SBJ","CB","?"))</f>
        <v> </v>
      </c>
      <c r="I4480" s="26" t="str">
        <f>IF(OR(E4480="",E4480="!!!",F4480="NEW"),"",INDEX(B4479:B$2,-1+SUMPRODUCT(MAX(ROW(E4479:E$2)*(E4480=E4479:E$2)))))</f>
        <v> </v>
      </c>
      <c r="J4480" s="26" t="str">
        <f>IF(OR(E4480="",E4480="!!!",F4480="NEW"),"",COUNTBLANK(OFFSET(A$1,,,SUMPRODUCT(MAX(ROW(E$2:E4480)*(E4480=E$2:E4480)))))-COUNTBLANK(OFFSET(A$1,,,SUMPRODUCT(MAX(ROW(E$1:E4479)*(E2=E$1:E4479))))))</f>
        <v> </v>
      </c>
      <c r="K4480" s="26" t="str">
        <f>IF(OR(E4480="",E4480="!!!",F4480="NEW"),"",INDEX(J$1:J4479,SUMPRODUCT(MAX(ROW(E$1:E4479)*(E4480=E$1:E4479)))))</f>
        <v> </v>
      </c>
      <c r="L4480" s="27"/>
    </row>
    <row r="4481" spans="1:12">
      <c r="A4481" s="20" t="s">
        <v>1309</v>
      </c>
      <c r="B4481" s="21" t="s">
        <v>1029</v>
      </c>
      <c r="C4481" s="21" t="s">
        <v>1017</v>
      </c>
      <c r="D4481" s="21" t="s">
        <v>1007</v>
      </c>
      <c r="E4481" s="22">
        <f>IF(D4481="?OLD","!!!","")</f>
        <v/>
      </c>
      <c r="F4481" s="23" t="str">
        <f>IF(OR(E4481="",E4481="!!!"),"",IF(NOT(ISNA(VLOOKUP(E4481,E$1:E4480,1,FALSE()))),"OLD",IF(AND(E4481&lt;&gt;"",E4481&lt;&gt;"!!!"),"NEW","")))</f>
        <v> </v>
      </c>
      <c r="G4481" s="24" t="str">
        <f>IF(OR(E4481="",E4481="!!!"),"",IF(OR(J4481=0,AND(J4481=1,K4481=1),AND(J4481=1,I4481="SBJ"),AND(J4481=1,I4481=0)),"?IN_FOCUS",IF(J4481&lt;=2,"?ACTIVATED",IF(J4481&lt;&gt;"","?FAMILIAR",IF(F4481="NEW",IF(ISNA(VLOOKUP(E4481,#REF!,1,FALSE())),"?TYPE_IDENTIFIABLE","?REFERENTIAL"),"_")))))</f>
        <v> </v>
      </c>
      <c r="H4481" s="25" t="str">
        <f>IF(J4481&lt;&gt;1,"",IF(I4481="SBJ","CB","?"))</f>
        <v> </v>
      </c>
      <c r="I4481" s="26" t="str">
        <f>IF(OR(E4481="",E4481="!!!",F4481="NEW"),"",INDEX(B4480:B$2,-1+SUMPRODUCT(MAX(ROW(E4480:E$2)*(E4481=E4480:E$2)))))</f>
        <v> </v>
      </c>
      <c r="J4481" s="26" t="str">
        <f>IF(OR(E4481="",E4481="!!!",F4481="NEW"),"",COUNTBLANK(OFFSET(A$1,,,SUMPRODUCT(MAX(ROW(E$2:E4481)*(E4481=E$2:E4481)))))-COUNTBLANK(OFFSET(A$1,,,SUMPRODUCT(MAX(ROW(E$1:E4480)*(E2=E$1:E4480))))))</f>
        <v> </v>
      </c>
      <c r="K4481" s="26" t="str">
        <f>IF(OR(E4481="",E4481="!!!",F4481="NEW"),"",INDEX(J$1:J4480,SUMPRODUCT(MAX(ROW(E$1:E4480)*(E4481=E$1:E4480)))))</f>
        <v> </v>
      </c>
      <c r="L4481" s="27"/>
    </row>
    <row r="4482" spans="1:12">
      <c r="A4482" s="20" t="s">
        <v>1097</v>
      </c>
      <c r="E4482" s="22">
        <f>IF(D4482="?OLD","!!!","")</f>
        <v/>
      </c>
      <c r="F4482" s="23" t="str">
        <f>IF(OR(E4482="",E4482="!!!"),"",IF(NOT(ISNA(VLOOKUP(E4482,E$1:E4481,1,FALSE()))),"OLD",IF(AND(E4482&lt;&gt;"",E4482&lt;&gt;"!!!"),"NEW","")))</f>
        <v> </v>
      </c>
      <c r="G4482" s="24" t="str">
        <f>IF(OR(E4482="",E4482="!!!"),"",IF(OR(J4482=0,AND(J4482=1,K4482=1),AND(J4482=1,I4482="SBJ"),AND(J4482=1,I4482=0)),"?IN_FOCUS",IF(J4482&lt;=2,"?ACTIVATED",IF(J4482&lt;&gt;"","?FAMILIAR",IF(F4482="NEW",IF(ISNA(VLOOKUP(E4482,#REF!,1,FALSE())),"?TYPE_IDENTIFIABLE","?REFERENTIAL"),"_")))))</f>
        <v> </v>
      </c>
      <c r="H4482" s="25" t="str">
        <f>IF(J4482&lt;&gt;1,"",IF(I4482="SBJ","CB","?"))</f>
        <v> </v>
      </c>
      <c r="I4482" s="26" t="str">
        <f>IF(OR(E4482="",E4482="!!!",F4482="NEW"),"",INDEX(B4481:B$2,-1+SUMPRODUCT(MAX(ROW(E4481:E$2)*(E4482=E4481:E$2)))))</f>
        <v> </v>
      </c>
      <c r="J4482" s="26" t="str">
        <f>IF(OR(E4482="",E4482="!!!",F4482="NEW"),"",COUNTBLANK(OFFSET(A$1,,,SUMPRODUCT(MAX(ROW(E$2:E4482)*(E4482=E$2:E4482)))))-COUNTBLANK(OFFSET(A$1,,,SUMPRODUCT(MAX(ROW(E$1:E4481)*(E2=E$1:E4481))))))</f>
        <v> </v>
      </c>
      <c r="K4482" s="26" t="str">
        <f>IF(OR(E4482="",E4482="!!!",F4482="NEW"),"",INDEX(J$1:J4481,SUMPRODUCT(MAX(ROW(E$1:E4481)*(E4482=E$1:E4481)))))</f>
        <v> </v>
      </c>
      <c r="L4482" s="27"/>
    </row>
    <row r="4483" spans="1:12">
      <c r="A4483" s="20" t="s">
        <v>1020</v>
      </c>
      <c r="E4483" s="22">
        <f>IF(D4483="?OLD","!!!","")</f>
        <v/>
      </c>
      <c r="F4483" s="23" t="str">
        <f>IF(OR(E4483="",E4483="!!!"),"",IF(NOT(ISNA(VLOOKUP(E4483,E$1:E4482,1,FALSE()))),"OLD",IF(AND(E4483&lt;&gt;"",E4483&lt;&gt;"!!!"),"NEW","")))</f>
        <v> </v>
      </c>
      <c r="G4483" s="24" t="str">
        <f>IF(OR(E4483="",E4483="!!!"),"",IF(OR(J4483=0,AND(J4483=1,K4483=1),AND(J4483=1,I4483="SBJ"),AND(J4483=1,I4483=0)),"?IN_FOCUS",IF(J4483&lt;=2,"?ACTIVATED",IF(J4483&lt;&gt;"","?FAMILIAR",IF(F4483="NEW",IF(ISNA(VLOOKUP(E4483,#REF!,1,FALSE())),"?TYPE_IDENTIFIABLE","?REFERENTIAL"),"_")))))</f>
        <v> </v>
      </c>
      <c r="H4483" s="25" t="str">
        <f>IF(J4483&lt;&gt;1,"",IF(I4483="SBJ","CB","?"))</f>
        <v> </v>
      </c>
      <c r="I4483" s="26" t="str">
        <f>IF(OR(E4483="",E4483="!!!",F4483="NEW"),"",INDEX(B4482:B$2,-1+SUMPRODUCT(MAX(ROW(E4482:E$2)*(E4483=E4482:E$2)))))</f>
        <v> </v>
      </c>
      <c r="J4483" s="26" t="str">
        <f>IF(OR(E4483="",E4483="!!!",F4483="NEW"),"",COUNTBLANK(OFFSET(A$1,,,SUMPRODUCT(MAX(ROW(E$2:E4483)*(E4483=E$2:E4483)))))-COUNTBLANK(OFFSET(A$1,,,SUMPRODUCT(MAX(ROW(E$1:E4482)*(E2=E$1:E4482))))))</f>
        <v> </v>
      </c>
      <c r="K4483" s="26" t="str">
        <f>IF(OR(E4483="",E4483="!!!",F4483="NEW"),"",INDEX(J$1:J4482,SUMPRODUCT(MAX(ROW(E$1:E4482)*(E4483=E$1:E4482)))))</f>
        <v> </v>
      </c>
      <c r="L4483" s="27"/>
    </row>
    <row r="4484" spans="1:12">
      <c r="A4484" s="20" t="s">
        <v>2017</v>
      </c>
      <c r="B4484" s="21" t="s">
        <v>1022</v>
      </c>
      <c r="C4484" s="21" t="s">
        <v>1017</v>
      </c>
      <c r="D4484" s="21" t="s">
        <v>1007</v>
      </c>
      <c r="E4484" s="22">
        <f>IF(D4484="?OLD","!!!","")</f>
        <v/>
      </c>
      <c r="F4484" s="23" t="str">
        <f>IF(OR(E4484="",E4484="!!!"),"",IF(NOT(ISNA(VLOOKUP(E4484,E$1:E4483,1,FALSE()))),"OLD",IF(AND(E4484&lt;&gt;"",E4484&lt;&gt;"!!!"),"NEW","")))</f>
        <v> </v>
      </c>
      <c r="G4484" s="24" t="str">
        <f>IF(OR(E4484="",E4484="!!!"),"",IF(OR(J4484=0,AND(J4484=1,K4484=1),AND(J4484=1,I4484="SBJ"),AND(J4484=1,I4484=0)),"?IN_FOCUS",IF(J4484&lt;=2,"?ACTIVATED",IF(J4484&lt;&gt;"","?FAMILIAR",IF(F4484="NEW",IF(ISNA(VLOOKUP(E4484,#REF!,1,FALSE())),"?TYPE_IDENTIFIABLE","?REFERENTIAL"),"_")))))</f>
        <v> </v>
      </c>
      <c r="H4484" s="25" t="str">
        <f>IF(J4484&lt;&gt;1,"",IF(I4484="SBJ","CB","?"))</f>
        <v> </v>
      </c>
      <c r="I4484" s="26" t="str">
        <f>IF(OR(E4484="",E4484="!!!",F4484="NEW"),"",INDEX(B4483:B$2,-1+SUMPRODUCT(MAX(ROW(E4483:E$2)*(E4484=E4483:E$2)))))</f>
        <v> </v>
      </c>
      <c r="J4484" s="26" t="str">
        <f>IF(OR(E4484="",E4484="!!!",F4484="NEW"),"",COUNTBLANK(OFFSET(A$1,,,SUMPRODUCT(MAX(ROW(E$2:E4484)*(E4484=E$2:E4484)))))-COUNTBLANK(OFFSET(A$1,,,SUMPRODUCT(MAX(ROW(E$1:E4483)*(E2=E$1:E4483))))))</f>
        <v> </v>
      </c>
      <c r="K4484" s="26" t="str">
        <f>IF(OR(E4484="",E4484="!!!",F4484="NEW"),"",INDEX(J$1:J4483,SUMPRODUCT(MAX(ROW(E$1:E4483)*(E4484=E$1:E4483)))))</f>
        <v> </v>
      </c>
      <c r="L4484" s="27"/>
    </row>
    <row r="4485" spans="1:12">
      <c r="A4485" s="20" t="s">
        <v>1023</v>
      </c>
      <c r="E4485" s="22">
        <f>IF(D4485="?OLD","!!!","")</f>
        <v/>
      </c>
      <c r="F4485" s="23" t="str">
        <f>IF(OR(E4485="",E4485="!!!"),"",IF(NOT(ISNA(VLOOKUP(E4485,E$1:E4484,1,FALSE()))),"OLD",IF(AND(E4485&lt;&gt;"",E4485&lt;&gt;"!!!"),"NEW","")))</f>
        <v> </v>
      </c>
      <c r="G4485" s="24" t="str">
        <f>IF(OR(E4485="",E4485="!!!"),"",IF(OR(J4485=0,AND(J4485=1,K4485=1),AND(J4485=1,I4485="SBJ"),AND(J4485=1,I4485=0)),"?IN_FOCUS",IF(J4485&lt;=2,"?ACTIVATED",IF(J4485&lt;&gt;"","?FAMILIAR",IF(F4485="NEW",IF(ISNA(VLOOKUP(E4485,#REF!,1,FALSE())),"?TYPE_IDENTIFIABLE","?REFERENTIAL"),"_")))))</f>
        <v> </v>
      </c>
      <c r="H4485" s="25" t="str">
        <f>IF(J4485&lt;&gt;1,"",IF(I4485="SBJ","CB","?"))</f>
        <v> </v>
      </c>
      <c r="I4485" s="26" t="str">
        <f>IF(OR(E4485="",E4485="!!!",F4485="NEW"),"",INDEX(B4484:B$2,-1+SUMPRODUCT(MAX(ROW(E4484:E$2)*(E4485=E4484:E$2)))))</f>
        <v> </v>
      </c>
      <c r="J4485" s="26" t="str">
        <f>IF(OR(E4485="",E4485="!!!",F4485="NEW"),"",COUNTBLANK(OFFSET(A$1,,,SUMPRODUCT(MAX(ROW(E$2:E4485)*(E4485=E$2:E4485)))))-COUNTBLANK(OFFSET(A$1,,,SUMPRODUCT(MAX(ROW(E$1:E4484)*(E2=E$1:E4484))))))</f>
        <v> </v>
      </c>
      <c r="K4485" s="26" t="str">
        <f>IF(OR(E4485="",E4485="!!!",F4485="NEW"),"",INDEX(J$1:J4484,SUMPRODUCT(MAX(ROW(E$1:E4484)*(E4485=E$1:E4484)))))</f>
        <v> </v>
      </c>
      <c r="L4485" s="27"/>
    </row>
    <row r="4486" spans="1:12">
      <c r="A4486" s="20"/>
    </row>
    <row r="4487" spans="1:12">
      <c r="A4487" s="20" t="s">
        <v>2277</v>
      </c>
    </row>
    <row r="4488" spans="1:12">
      <c r="A4488" s="20" t="s">
        <v>1722</v>
      </c>
      <c r="E4488" s="22">
        <f>IF(D4488="?OLD","!!!","")</f>
        <v/>
      </c>
      <c r="F4488" s="23" t="str">
        <f>IF(OR(E4488="",E4488="!!!"),"",IF(NOT(ISNA(VLOOKUP(E4488,E$1:E4487,1,FALSE()))),"OLD",IF(AND(E4488&lt;&gt;"",E4488&lt;&gt;"!!!"),"NEW","")))</f>
        <v> </v>
      </c>
      <c r="G4488" s="24" t="str">
        <f>IF(OR(E4488="",E4488="!!!"),"",IF(OR(J4488=0,AND(J4488=1,K4488=1),AND(J4488=1,I4488="SBJ"),AND(J4488=1,I4488=0)),"?IN_FOCUS",IF(J4488&lt;=2,"?ACTIVATED",IF(J4488&lt;&gt;"","?FAMILIAR",IF(F4488="NEW",IF(ISNA(VLOOKUP(E4488,#REF!,1,FALSE())),"?TYPE_IDENTIFIABLE","?REFERENTIAL"),"_")))))</f>
        <v> </v>
      </c>
      <c r="H4488" s="25" t="str">
        <f>IF(J4488&lt;&gt;1,"",IF(I4488="SBJ","CB","?"))</f>
        <v> </v>
      </c>
      <c r="I4488" s="26" t="str">
        <f>IF(OR(E4488="",E4488="!!!",F4488="NEW"),"",INDEX(B4487:B$2,-1+SUMPRODUCT(MAX(ROW(E4487:E$2)*(E4488=E4487:E$2)))))</f>
        <v> </v>
      </c>
      <c r="J4488" s="26" t="str">
        <f>IF(OR(E4488="",E4488="!!!",F4488="NEW"),"",COUNTBLANK(OFFSET(A$1,,,SUMPRODUCT(MAX(ROW(E$2:E4488)*(E4488=E$2:E4488)))))-COUNTBLANK(OFFSET(A$1,,,SUMPRODUCT(MAX(ROW(E$1:E4487)*(E2=E$1:E4487))))))</f>
        <v> </v>
      </c>
      <c r="K4488" s="26" t="str">
        <f>IF(OR(E4488="",E4488="!!!",F4488="NEW"),"",INDEX(J$1:J4487,SUMPRODUCT(MAX(ROW(E$1:E4487)*(E4488=E$1:E4487)))))</f>
        <v> </v>
      </c>
      <c r="L4488" s="27"/>
    </row>
    <row r="4489" spans="1:12">
      <c r="A4489" s="20" t="s">
        <v>1065</v>
      </c>
      <c r="E4489" s="22">
        <f>IF(D4489="?OLD","!!!","")</f>
        <v/>
      </c>
      <c r="F4489" s="23" t="str">
        <f>IF(OR(E4489="",E4489="!!!"),"",IF(NOT(ISNA(VLOOKUP(E4489,E$1:E4488,1,FALSE()))),"OLD",IF(AND(E4489&lt;&gt;"",E4489&lt;&gt;"!!!"),"NEW","")))</f>
        <v> </v>
      </c>
      <c r="G4489" s="24" t="str">
        <f>IF(OR(E4489="",E4489="!!!"),"",IF(OR(J4489=0,AND(J4489=1,K4489=1),AND(J4489=1,I4489="SBJ"),AND(J4489=1,I4489=0)),"?IN_FOCUS",IF(J4489&lt;=2,"?ACTIVATED",IF(J4489&lt;&gt;"","?FAMILIAR",IF(F4489="NEW",IF(ISNA(VLOOKUP(E4489,#REF!,1,FALSE())),"?TYPE_IDENTIFIABLE","?REFERENTIAL"),"_")))))</f>
        <v> </v>
      </c>
      <c r="H4489" s="25" t="str">
        <f>IF(J4489&lt;&gt;1,"",IF(I4489="SBJ","CB","?"))</f>
        <v> </v>
      </c>
      <c r="I4489" s="26" t="str">
        <f>IF(OR(E4489="",E4489="!!!",F4489="NEW"),"",INDEX(B4488:B$2,-1+SUMPRODUCT(MAX(ROW(E4488:E$2)*(E4489=E4488:E$2)))))</f>
        <v> </v>
      </c>
      <c r="J4489" s="26" t="str">
        <f>IF(OR(E4489="",E4489="!!!",F4489="NEW"),"",COUNTBLANK(OFFSET(A$1,,,SUMPRODUCT(MAX(ROW(E$2:E4489)*(E4489=E$2:E4489)))))-COUNTBLANK(OFFSET(A$1,,,SUMPRODUCT(MAX(ROW(E$1:E4488)*(E2=E$1:E4488))))))</f>
        <v> </v>
      </c>
      <c r="K4489" s="26" t="str">
        <f>IF(OR(E4489="",E4489="!!!",F4489="NEW"),"",INDEX(J$1:J4488,SUMPRODUCT(MAX(ROW(E$1:E4488)*(E4489=E$1:E4488)))))</f>
        <v> </v>
      </c>
      <c r="L4489" s="27"/>
    </row>
    <row r="4490" spans="1:12">
      <c r="A4490" s="20" t="s">
        <v>1015</v>
      </c>
      <c r="E4490" s="22">
        <f>IF(D4490="?OLD","!!!","")</f>
        <v/>
      </c>
      <c r="F4490" s="23" t="str">
        <f>IF(OR(E4490="",E4490="!!!"),"",IF(NOT(ISNA(VLOOKUP(E4490,E$1:E4489,1,FALSE()))),"OLD",IF(AND(E4490&lt;&gt;"",E4490&lt;&gt;"!!!"),"NEW","")))</f>
        <v> </v>
      </c>
      <c r="G4490" s="24" t="str">
        <f>IF(OR(E4490="",E4490="!!!"),"",IF(OR(J4490=0,AND(J4490=1,K4490=1),AND(J4490=1,I4490="SBJ"),AND(J4490=1,I4490=0)),"?IN_FOCUS",IF(J4490&lt;=2,"?ACTIVATED",IF(J4490&lt;&gt;"","?FAMILIAR",IF(F4490="NEW",IF(ISNA(VLOOKUP(E4490,#REF!,1,FALSE())),"?TYPE_IDENTIFIABLE","?REFERENTIAL"),"_")))))</f>
        <v> </v>
      </c>
      <c r="H4490" s="25" t="str">
        <f>IF(J4490&lt;&gt;1,"",IF(I4490="SBJ","CB","?"))</f>
        <v> </v>
      </c>
      <c r="I4490" s="26" t="str">
        <f>IF(OR(E4490="",E4490="!!!",F4490="NEW"),"",INDEX(B4489:B$2,-1+SUMPRODUCT(MAX(ROW(E4489:E$2)*(E4490=E4489:E$2)))))</f>
        <v> </v>
      </c>
      <c r="J4490" s="26" t="str">
        <f>IF(OR(E4490="",E4490="!!!",F4490="NEW"),"",COUNTBLANK(OFFSET(A$1,,,SUMPRODUCT(MAX(ROW(E$2:E4490)*(E4490=E$2:E4490)))))-COUNTBLANK(OFFSET(A$1,,,SUMPRODUCT(MAX(ROW(E$1:E4489)*(E2=E$1:E4489))))))</f>
        <v> </v>
      </c>
      <c r="K4490" s="26" t="str">
        <f>IF(OR(E4490="",E4490="!!!",F4490="NEW"),"",INDEX(J$1:J4489,SUMPRODUCT(MAX(ROW(E$1:E4489)*(E4490=E$1:E4489)))))</f>
        <v> </v>
      </c>
      <c r="L4490" s="27"/>
    </row>
    <row r="4491" spans="1:12">
      <c r="A4491" s="20" t="s">
        <v>2278</v>
      </c>
      <c r="B4491" s="21" t="s">
        <v>1119</v>
      </c>
      <c r="C4491" s="21" t="s">
        <v>1013</v>
      </c>
      <c r="D4491" s="21" t="s">
        <v>1007</v>
      </c>
      <c r="E4491" s="22">
        <f>IF(D4491="?OLD","!!!","")</f>
        <v/>
      </c>
      <c r="F4491" s="23" t="str">
        <f>IF(OR(E4491="",E4491="!!!"),"",IF(NOT(ISNA(VLOOKUP(E4491,E$1:E4490,1,FALSE()))),"OLD",IF(AND(E4491&lt;&gt;"",E4491&lt;&gt;"!!!"),"NEW","")))</f>
        <v> </v>
      </c>
      <c r="G4491" s="24" t="str">
        <f>IF(OR(E4491="",E4491="!!!"),"",IF(OR(J4491=0,AND(J4491=1,K4491=1),AND(J4491=1,I4491="SBJ"),AND(J4491=1,I4491=0)),"?IN_FOCUS",IF(J4491&lt;=2,"?ACTIVATED",IF(J4491&lt;&gt;"","?FAMILIAR",IF(F4491="NEW",IF(ISNA(VLOOKUP(E4491,#REF!,1,FALSE())),"?TYPE_IDENTIFIABLE","?REFERENTIAL"),"_")))))</f>
        <v> </v>
      </c>
      <c r="H4491" s="25" t="str">
        <f>IF(J4491&lt;&gt;1,"",IF(I4491="SBJ","CB","?"))</f>
        <v> </v>
      </c>
      <c r="I4491" s="26" t="str">
        <f>IF(OR(E4491="",E4491="!!!",F4491="NEW"),"",INDEX(B4490:B$2,-1+SUMPRODUCT(MAX(ROW(E4490:E$2)*(E4491=E4490:E$2)))))</f>
        <v> </v>
      </c>
      <c r="J4491" s="26" t="str">
        <f>IF(OR(E4491="",E4491="!!!",F4491="NEW"),"",COUNTBLANK(OFFSET(A$1,,,SUMPRODUCT(MAX(ROW(E$2:E4491)*(E4491=E$2:E4491)))))-COUNTBLANK(OFFSET(A$1,,,SUMPRODUCT(MAX(ROW(E$1:E4490)*(E2=E$1:E4490))))))</f>
        <v> </v>
      </c>
      <c r="K4491" s="26" t="str">
        <f>IF(OR(E4491="",E4491="!!!",F4491="NEW"),"",INDEX(J$1:J4490,SUMPRODUCT(MAX(ROW(E$1:E4490)*(E4491=E$1:E4490)))))</f>
        <v> </v>
      </c>
      <c r="L4491" s="27"/>
    </row>
    <row r="4492" spans="1:12">
      <c r="A4492" s="20" t="s">
        <v>1097</v>
      </c>
      <c r="E4492" s="22">
        <f>IF(D4492="?OLD","!!!","")</f>
        <v/>
      </c>
      <c r="F4492" s="23" t="str">
        <f>IF(OR(E4492="",E4492="!!!"),"",IF(NOT(ISNA(VLOOKUP(E4492,E$1:E4491,1,FALSE()))),"OLD",IF(AND(E4492&lt;&gt;"",E4492&lt;&gt;"!!!"),"NEW","")))</f>
        <v> </v>
      </c>
      <c r="G4492" s="24" t="str">
        <f>IF(OR(E4492="",E4492="!!!"),"",IF(OR(J4492=0,AND(J4492=1,K4492=1),AND(J4492=1,I4492="SBJ"),AND(J4492=1,I4492=0)),"?IN_FOCUS",IF(J4492&lt;=2,"?ACTIVATED",IF(J4492&lt;&gt;"","?FAMILIAR",IF(F4492="NEW",IF(ISNA(VLOOKUP(E4492,#REF!,1,FALSE())),"?TYPE_IDENTIFIABLE","?REFERENTIAL"),"_")))))</f>
        <v> </v>
      </c>
      <c r="H4492" s="25" t="str">
        <f>IF(J4492&lt;&gt;1,"",IF(I4492="SBJ","CB","?"))</f>
        <v> </v>
      </c>
      <c r="I4492" s="26" t="str">
        <f>IF(OR(E4492="",E4492="!!!",F4492="NEW"),"",INDEX(B4491:B$2,-1+SUMPRODUCT(MAX(ROW(E4491:E$2)*(E4492=E4491:E$2)))))</f>
        <v> </v>
      </c>
      <c r="J4492" s="26" t="str">
        <f>IF(OR(E4492="",E4492="!!!",F4492="NEW"),"",COUNTBLANK(OFFSET(A$1,,,SUMPRODUCT(MAX(ROW(E$2:E4492)*(E4492=E$2:E4492)))))-COUNTBLANK(OFFSET(A$1,,,SUMPRODUCT(MAX(ROW(E$1:E4491)*(E2=E$1:E4491))))))</f>
        <v> </v>
      </c>
      <c r="K4492" s="26" t="str">
        <f>IF(OR(E4492="",E4492="!!!",F4492="NEW"),"",INDEX(J$1:J4491,SUMPRODUCT(MAX(ROW(E$1:E4491)*(E4492=E$1:E4491)))))</f>
        <v> </v>
      </c>
      <c r="L4492" s="27"/>
    </row>
    <row r="4493" spans="1:12">
      <c r="A4493" s="20" t="s">
        <v>1020</v>
      </c>
      <c r="E4493" s="22">
        <f>IF(D4493="?OLD","!!!","")</f>
        <v/>
      </c>
      <c r="F4493" s="23" t="str">
        <f>IF(OR(E4493="",E4493="!!!"),"",IF(NOT(ISNA(VLOOKUP(E4493,E$1:E4492,1,FALSE()))),"OLD",IF(AND(E4493&lt;&gt;"",E4493&lt;&gt;"!!!"),"NEW","")))</f>
        <v> </v>
      </c>
      <c r="G4493" s="24" t="str">
        <f>IF(OR(E4493="",E4493="!!!"),"",IF(OR(J4493=0,AND(J4493=1,K4493=1),AND(J4493=1,I4493="SBJ"),AND(J4493=1,I4493=0)),"?IN_FOCUS",IF(J4493&lt;=2,"?ACTIVATED",IF(J4493&lt;&gt;"","?FAMILIAR",IF(F4493="NEW",IF(ISNA(VLOOKUP(E4493,#REF!,1,FALSE())),"?TYPE_IDENTIFIABLE","?REFERENTIAL"),"_")))))</f>
        <v> </v>
      </c>
      <c r="H4493" s="25" t="str">
        <f>IF(J4493&lt;&gt;1,"",IF(I4493="SBJ","CB","?"))</f>
        <v> </v>
      </c>
      <c r="I4493" s="26" t="str">
        <f>IF(OR(E4493="",E4493="!!!",F4493="NEW"),"",INDEX(B4492:B$2,-1+SUMPRODUCT(MAX(ROW(E4492:E$2)*(E4493=E4492:E$2)))))</f>
        <v> </v>
      </c>
      <c r="J4493" s="26" t="str">
        <f>IF(OR(E4493="",E4493="!!!",F4493="NEW"),"",COUNTBLANK(OFFSET(A$1,,,SUMPRODUCT(MAX(ROW(E$2:E4493)*(E4493=E$2:E4493)))))-COUNTBLANK(OFFSET(A$1,,,SUMPRODUCT(MAX(ROW(E$1:E4492)*(E2=E$1:E4492))))))</f>
        <v> </v>
      </c>
      <c r="K4493" s="26" t="str">
        <f>IF(OR(E4493="",E4493="!!!",F4493="NEW"),"",INDEX(J$1:J4492,SUMPRODUCT(MAX(ROW(E$1:E4492)*(E4493=E$1:E4492)))))</f>
        <v> </v>
      </c>
      <c r="L4493" s="27"/>
    </row>
    <row r="4494" spans="1:12">
      <c r="A4494" s="20" t="s">
        <v>2021</v>
      </c>
      <c r="B4494" s="21" t="s">
        <v>1033</v>
      </c>
      <c r="C4494" s="21" t="s">
        <v>1017</v>
      </c>
      <c r="D4494" s="21" t="s">
        <v>1007</v>
      </c>
      <c r="E4494" s="22">
        <f>IF(D4494="?OLD","!!!","")</f>
        <v/>
      </c>
      <c r="F4494" s="23" t="str">
        <f>IF(OR(E4494="",E4494="!!!"),"",IF(NOT(ISNA(VLOOKUP(E4494,E$1:E4493,1,FALSE()))),"OLD",IF(AND(E4494&lt;&gt;"",E4494&lt;&gt;"!!!"),"NEW","")))</f>
        <v> </v>
      </c>
      <c r="G4494" s="24" t="str">
        <f>IF(OR(E4494="",E4494="!!!"),"",IF(OR(J4494=0,AND(J4494=1,K4494=1),AND(J4494=1,I4494="SBJ"),AND(J4494=1,I4494=0)),"?IN_FOCUS",IF(J4494&lt;=2,"?ACTIVATED",IF(J4494&lt;&gt;"","?FAMILIAR",IF(F4494="NEW",IF(ISNA(VLOOKUP(E4494,#REF!,1,FALSE())),"?TYPE_IDENTIFIABLE","?REFERENTIAL"),"_")))))</f>
        <v> </v>
      </c>
      <c r="H4494" s="25" t="str">
        <f>IF(J4494&lt;&gt;1,"",IF(I4494="SBJ","CB","?"))</f>
        <v> </v>
      </c>
      <c r="I4494" s="26" t="str">
        <f>IF(OR(E4494="",E4494="!!!",F4494="NEW"),"",INDEX(B4493:B$2,-1+SUMPRODUCT(MAX(ROW(E4493:E$2)*(E4494=E4493:E$2)))))</f>
        <v> </v>
      </c>
      <c r="J4494" s="26" t="str">
        <f>IF(OR(E4494="",E4494="!!!",F4494="NEW"),"",COUNTBLANK(OFFSET(A$1,,,SUMPRODUCT(MAX(ROW(E$2:E4494)*(E4494=E$2:E4494)))))-COUNTBLANK(OFFSET(A$1,,,SUMPRODUCT(MAX(ROW(E$1:E4493)*(E2=E$1:E4493))))))</f>
        <v> </v>
      </c>
      <c r="K4494" s="26" t="str">
        <f>IF(OR(E4494="",E4494="!!!",F4494="NEW"),"",INDEX(J$1:J4493,SUMPRODUCT(MAX(ROW(E$1:E4493)*(E4494=E$1:E4493)))))</f>
        <v> </v>
      </c>
      <c r="L4494" s="27"/>
    </row>
    <row r="4495" spans="1:12">
      <c r="A4495" s="20" t="s">
        <v>2279</v>
      </c>
      <c r="E4495" s="22">
        <f>IF(D4495="?OLD","!!!","")</f>
        <v/>
      </c>
      <c r="F4495" s="23" t="str">
        <f>IF(OR(E4495="",E4495="!!!"),"",IF(NOT(ISNA(VLOOKUP(E4495,E$1:E4494,1,FALSE()))),"OLD",IF(AND(E4495&lt;&gt;"",E4495&lt;&gt;"!!!"),"NEW","")))</f>
        <v> </v>
      </c>
      <c r="G4495" s="24" t="str">
        <f>IF(OR(E4495="",E4495="!!!"),"",IF(OR(J4495=0,AND(J4495=1,K4495=1),AND(J4495=1,I4495="SBJ"),AND(J4495=1,I4495=0)),"?IN_FOCUS",IF(J4495&lt;=2,"?ACTIVATED",IF(J4495&lt;&gt;"","?FAMILIAR",IF(F4495="NEW",IF(ISNA(VLOOKUP(E4495,#REF!,1,FALSE())),"?TYPE_IDENTIFIABLE","?REFERENTIAL"),"_")))))</f>
        <v> </v>
      </c>
      <c r="H4495" s="25" t="str">
        <f>IF(J4495&lt;&gt;1,"",IF(I4495="SBJ","CB","?"))</f>
        <v> </v>
      </c>
      <c r="I4495" s="26" t="str">
        <f>IF(OR(E4495="",E4495="!!!",F4495="NEW"),"",INDEX(B4494:B$2,-1+SUMPRODUCT(MAX(ROW(E4494:E$2)*(E4495=E4494:E$2)))))</f>
        <v> </v>
      </c>
      <c r="J4495" s="26" t="str">
        <f>IF(OR(E4495="",E4495="!!!",F4495="NEW"),"",COUNTBLANK(OFFSET(A$1,,,SUMPRODUCT(MAX(ROW(E$2:E4495)*(E4495=E$2:E4495)))))-COUNTBLANK(OFFSET(A$1,,,SUMPRODUCT(MAX(ROW(E$1:E4494)*(E2=E$1:E4494))))))</f>
        <v> </v>
      </c>
      <c r="K4495" s="26" t="str">
        <f>IF(OR(E4495="",E4495="!!!",F4495="NEW"),"",INDEX(J$1:J4494,SUMPRODUCT(MAX(ROW(E$1:E4494)*(E4495=E$1:E4494)))))</f>
        <v> </v>
      </c>
      <c r="L4495" s="27"/>
    </row>
    <row r="4496" spans="1:12">
      <c r="A4496" s="20" t="s">
        <v>1925</v>
      </c>
      <c r="E4496" s="22">
        <f>IF(D4496="?OLD","!!!","")</f>
        <v/>
      </c>
      <c r="F4496" s="23" t="str">
        <f>IF(OR(E4496="",E4496="!!!"),"",IF(NOT(ISNA(VLOOKUP(E4496,E$1:E4495,1,FALSE()))),"OLD",IF(AND(E4496&lt;&gt;"",E4496&lt;&gt;"!!!"),"NEW","")))</f>
        <v> </v>
      </c>
      <c r="G4496" s="24" t="str">
        <f>IF(OR(E4496="",E4496="!!!"),"",IF(OR(J4496=0,AND(J4496=1,K4496=1),AND(J4496=1,I4496="SBJ"),AND(J4496=1,I4496=0)),"?IN_FOCUS",IF(J4496&lt;=2,"?ACTIVATED",IF(J4496&lt;&gt;"","?FAMILIAR",IF(F4496="NEW",IF(ISNA(VLOOKUP(E4496,#REF!,1,FALSE())),"?TYPE_IDENTIFIABLE","?REFERENTIAL"),"_")))))</f>
        <v> </v>
      </c>
      <c r="H4496" s="25" t="str">
        <f>IF(J4496&lt;&gt;1,"",IF(I4496="SBJ","CB","?"))</f>
        <v> </v>
      </c>
      <c r="I4496" s="26" t="str">
        <f>IF(OR(E4496="",E4496="!!!",F4496="NEW"),"",INDEX(B4495:B$2,-1+SUMPRODUCT(MAX(ROW(E4495:E$2)*(E4496=E4495:E$2)))))</f>
        <v> </v>
      </c>
      <c r="J4496" s="26" t="str">
        <f>IF(OR(E4496="",E4496="!!!",F4496="NEW"),"",COUNTBLANK(OFFSET(A$1,,,SUMPRODUCT(MAX(ROW(E$2:E4496)*(E4496=E$2:E4496)))))-COUNTBLANK(OFFSET(A$1,,,SUMPRODUCT(MAX(ROW(E$1:E4495)*(E2=E$1:E4495))))))</f>
        <v> </v>
      </c>
      <c r="K4496" s="26" t="str">
        <f>IF(OR(E4496="",E4496="!!!",F4496="NEW"),"",INDEX(J$1:J4495,SUMPRODUCT(MAX(ROW(E$1:E4495)*(E4496=E$1:E4495)))))</f>
        <v> </v>
      </c>
      <c r="L4496" s="27"/>
    </row>
    <row r="4497" spans="1:12">
      <c r="A4497" s="20" t="s">
        <v>1626</v>
      </c>
      <c r="E4497" s="22">
        <f>IF(D4497="?OLD","!!!","")</f>
        <v/>
      </c>
      <c r="F4497" s="23" t="str">
        <f>IF(OR(E4497="",E4497="!!!"),"",IF(NOT(ISNA(VLOOKUP(E4497,E$1:E4496,1,FALSE()))),"OLD",IF(AND(E4497&lt;&gt;"",E4497&lt;&gt;"!!!"),"NEW","")))</f>
        <v> </v>
      </c>
      <c r="G4497" s="24" t="str">
        <f>IF(OR(E4497="",E4497="!!!"),"",IF(OR(J4497=0,AND(J4497=1,K4497=1),AND(J4497=1,I4497="SBJ"),AND(J4497=1,I4497=0)),"?IN_FOCUS",IF(J4497&lt;=2,"?ACTIVATED",IF(J4497&lt;&gt;"","?FAMILIAR",IF(F4497="NEW",IF(ISNA(VLOOKUP(E4497,#REF!,1,FALSE())),"?TYPE_IDENTIFIABLE","?REFERENTIAL"),"_")))))</f>
        <v> </v>
      </c>
      <c r="H4497" s="25" t="str">
        <f>IF(J4497&lt;&gt;1,"",IF(I4497="SBJ","CB","?"))</f>
        <v> </v>
      </c>
      <c r="I4497" s="26" t="str">
        <f>IF(OR(E4497="",E4497="!!!",F4497="NEW"),"",INDEX(B4496:B$2,-1+SUMPRODUCT(MAX(ROW(E4496:E$2)*(E4497=E4496:E$2)))))</f>
        <v> </v>
      </c>
      <c r="J4497" s="26" t="str">
        <f>IF(OR(E4497="",E4497="!!!",F4497="NEW"),"",COUNTBLANK(OFFSET(A$1,,,SUMPRODUCT(MAX(ROW(E$2:E4497)*(E4497=E$2:E4497)))))-COUNTBLANK(OFFSET(A$1,,,SUMPRODUCT(MAX(ROW(E$1:E4496)*(E2=E$1:E4496))))))</f>
        <v> </v>
      </c>
      <c r="K4497" s="26" t="str">
        <f>IF(OR(E4497="",E4497="!!!",F4497="NEW"),"",INDEX(J$1:J4496,SUMPRODUCT(MAX(ROW(E$1:E4496)*(E4497=E$1:E4496)))))</f>
        <v> </v>
      </c>
      <c r="L4497" s="27"/>
    </row>
    <row r="4498" spans="1:12">
      <c r="A4498" s="20" t="s">
        <v>1097</v>
      </c>
      <c r="E4498" s="22">
        <f>IF(D4498="?OLD","!!!","")</f>
        <v/>
      </c>
      <c r="F4498" s="23" t="str">
        <f>IF(OR(E4498="",E4498="!!!"),"",IF(NOT(ISNA(VLOOKUP(E4498,E$1:E4497,1,FALSE()))),"OLD",IF(AND(E4498&lt;&gt;"",E4498&lt;&gt;"!!!"),"NEW","")))</f>
        <v> </v>
      </c>
      <c r="G4498" s="24" t="str">
        <f>IF(OR(E4498="",E4498="!!!"),"",IF(OR(J4498=0,AND(J4498=1,K4498=1),AND(J4498=1,I4498="SBJ"),AND(J4498=1,I4498=0)),"?IN_FOCUS",IF(J4498&lt;=2,"?ACTIVATED",IF(J4498&lt;&gt;"","?FAMILIAR",IF(F4498="NEW",IF(ISNA(VLOOKUP(E4498,#REF!,1,FALSE())),"?TYPE_IDENTIFIABLE","?REFERENTIAL"),"_")))))</f>
        <v> </v>
      </c>
      <c r="H4498" s="25" t="str">
        <f>IF(J4498&lt;&gt;1,"",IF(I4498="SBJ","CB","?"))</f>
        <v> </v>
      </c>
      <c r="I4498" s="26" t="str">
        <f>IF(OR(E4498="",E4498="!!!",F4498="NEW"),"",INDEX(B4497:B$2,-1+SUMPRODUCT(MAX(ROW(E4497:E$2)*(E4498=E4497:E$2)))))</f>
        <v> </v>
      </c>
      <c r="J4498" s="26" t="str">
        <f>IF(OR(E4498="",E4498="!!!",F4498="NEW"),"",COUNTBLANK(OFFSET(A$1,,,SUMPRODUCT(MAX(ROW(E$2:E4498)*(E4498=E$2:E4498)))))-COUNTBLANK(OFFSET(A$1,,,SUMPRODUCT(MAX(ROW(E$1:E4497)*(E2=E$1:E4497))))))</f>
        <v> </v>
      </c>
      <c r="K4498" s="26" t="str">
        <f>IF(OR(E4498="",E4498="!!!",F4498="NEW"),"",INDEX(J$1:J4497,SUMPRODUCT(MAX(ROW(E$1:E4497)*(E4498=E$1:E4497)))))</f>
        <v> </v>
      </c>
      <c r="L4498" s="27"/>
    </row>
    <row r="4499" spans="1:12">
      <c r="A4499" s="20" t="s">
        <v>2280</v>
      </c>
      <c r="E4499" s="22">
        <f>IF(D4499="?OLD","!!!","")</f>
        <v/>
      </c>
      <c r="F4499" s="23" t="str">
        <f>IF(OR(E4499="",E4499="!!!"),"",IF(NOT(ISNA(VLOOKUP(E4499,E$1:E4498,1,FALSE()))),"OLD",IF(AND(E4499&lt;&gt;"",E4499&lt;&gt;"!!!"),"NEW","")))</f>
        <v> </v>
      </c>
      <c r="G4499" s="24" t="str">
        <f>IF(OR(E4499="",E4499="!!!"),"",IF(OR(J4499=0,AND(J4499=1,K4499=1),AND(J4499=1,I4499="SBJ"),AND(J4499=1,I4499=0)),"?IN_FOCUS",IF(J4499&lt;=2,"?ACTIVATED",IF(J4499&lt;&gt;"","?FAMILIAR",IF(F4499="NEW",IF(ISNA(VLOOKUP(E4499,#REF!,1,FALSE())),"?TYPE_IDENTIFIABLE","?REFERENTIAL"),"_")))))</f>
        <v> </v>
      </c>
      <c r="H4499" s="25" t="str">
        <f>IF(J4499&lt;&gt;1,"",IF(I4499="SBJ","CB","?"))</f>
        <v> </v>
      </c>
      <c r="I4499" s="26" t="str">
        <f>IF(OR(E4499="",E4499="!!!",F4499="NEW"),"",INDEX(B4498:B$2,-1+SUMPRODUCT(MAX(ROW(E4498:E$2)*(E4499=E4498:E$2)))))</f>
        <v> </v>
      </c>
      <c r="J4499" s="26" t="str">
        <f>IF(OR(E4499="",E4499="!!!",F4499="NEW"),"",COUNTBLANK(OFFSET(A$1,,,SUMPRODUCT(MAX(ROW(E$2:E4499)*(E4499=E$2:E4499)))))-COUNTBLANK(OFFSET(A$1,,,SUMPRODUCT(MAX(ROW(E$1:E4498)*(E2=E$1:E4498))))))</f>
        <v> </v>
      </c>
      <c r="K4499" s="26" t="str">
        <f>IF(OR(E4499="",E4499="!!!",F4499="NEW"),"",INDEX(J$1:J4498,SUMPRODUCT(MAX(ROW(E$1:E4498)*(E4499=E$1:E4498)))))</f>
        <v> </v>
      </c>
      <c r="L4499" s="27"/>
    </row>
    <row r="4500" spans="1:12">
      <c r="A4500" s="20" t="s">
        <v>1015</v>
      </c>
      <c r="E4500" s="22">
        <f>IF(D4500="?OLD","!!!","")</f>
        <v/>
      </c>
      <c r="F4500" s="23" t="str">
        <f>IF(OR(E4500="",E4500="!!!"),"",IF(NOT(ISNA(VLOOKUP(E4500,E$1:E4499,1,FALSE()))),"OLD",IF(AND(E4500&lt;&gt;"",E4500&lt;&gt;"!!!"),"NEW","")))</f>
        <v> </v>
      </c>
      <c r="G4500" s="24" t="str">
        <f>IF(OR(E4500="",E4500="!!!"),"",IF(OR(J4500=0,AND(J4500=1,K4500=1),AND(J4500=1,I4500="SBJ"),AND(J4500=1,I4500=0)),"?IN_FOCUS",IF(J4500&lt;=2,"?ACTIVATED",IF(J4500&lt;&gt;"","?FAMILIAR",IF(F4500="NEW",IF(ISNA(VLOOKUP(E4500,#REF!,1,FALSE())),"?TYPE_IDENTIFIABLE","?REFERENTIAL"),"_")))))</f>
        <v> </v>
      </c>
      <c r="H4500" s="25" t="str">
        <f>IF(J4500&lt;&gt;1,"",IF(I4500="SBJ","CB","?"))</f>
        <v> </v>
      </c>
      <c r="I4500" s="26" t="str">
        <f>IF(OR(E4500="",E4500="!!!",F4500="NEW"),"",INDEX(B4499:B$2,-1+SUMPRODUCT(MAX(ROW(E4499:E$2)*(E4500=E4499:E$2)))))</f>
        <v> </v>
      </c>
      <c r="J4500" s="26" t="str">
        <f>IF(OR(E4500="",E4500="!!!",F4500="NEW"),"",COUNTBLANK(OFFSET(A$1,,,SUMPRODUCT(MAX(ROW(E$2:E4500)*(E4500=E$2:E4500)))))-COUNTBLANK(OFFSET(A$1,,,SUMPRODUCT(MAX(ROW(E$1:E4499)*(E2=E$1:E4499))))))</f>
        <v> </v>
      </c>
      <c r="K4500" s="26" t="str">
        <f>IF(OR(E4500="",E4500="!!!",F4500="NEW"),"",INDEX(J$1:J4499,SUMPRODUCT(MAX(ROW(E$1:E4499)*(E4500=E$1:E4499)))))</f>
        <v> </v>
      </c>
      <c r="L4500" s="27"/>
    </row>
    <row r="4501" spans="1:12">
      <c r="A4501" s="20" t="s">
        <v>2281</v>
      </c>
      <c r="B4501" s="21" t="s">
        <v>1187</v>
      </c>
      <c r="C4501" s="21" t="s">
        <v>1017</v>
      </c>
      <c r="D4501" s="21" t="s">
        <v>1007</v>
      </c>
      <c r="E4501" s="22">
        <f>IF(D4501="?OLD","!!!","")</f>
        <v/>
      </c>
      <c r="F4501" s="23" t="str">
        <f>IF(OR(E4501="",E4501="!!!"),"",IF(NOT(ISNA(VLOOKUP(E4501,E$1:E4500,1,FALSE()))),"OLD",IF(AND(E4501&lt;&gt;"",E4501&lt;&gt;"!!!"),"NEW","")))</f>
        <v> </v>
      </c>
      <c r="G4501" s="24" t="str">
        <f>IF(OR(E4501="",E4501="!!!"),"",IF(OR(J4501=0,AND(J4501=1,K4501=1),AND(J4501=1,I4501="SBJ"),AND(J4501=1,I4501=0)),"?IN_FOCUS",IF(J4501&lt;=2,"?ACTIVATED",IF(J4501&lt;&gt;"","?FAMILIAR",IF(F4501="NEW",IF(ISNA(VLOOKUP(E4501,#REF!,1,FALSE())),"?TYPE_IDENTIFIABLE","?REFERENTIAL"),"_")))))</f>
        <v> </v>
      </c>
      <c r="H4501" s="25" t="str">
        <f>IF(J4501&lt;&gt;1,"",IF(I4501="SBJ","CB","?"))</f>
        <v> </v>
      </c>
      <c r="I4501" s="26" t="str">
        <f>IF(OR(E4501="",E4501="!!!",F4501="NEW"),"",INDEX(B4500:B$2,-1+SUMPRODUCT(MAX(ROW(E4500:E$2)*(E4501=E4500:E$2)))))</f>
        <v> </v>
      </c>
      <c r="J4501" s="26" t="str">
        <f>IF(OR(E4501="",E4501="!!!",F4501="NEW"),"",COUNTBLANK(OFFSET(A$1,,,SUMPRODUCT(MAX(ROW(E$2:E4501)*(E4501=E$2:E4501)))))-COUNTBLANK(OFFSET(A$1,,,SUMPRODUCT(MAX(ROW(E$1:E4500)*(E2=E$1:E4500))))))</f>
        <v> </v>
      </c>
      <c r="K4501" s="26" t="str">
        <f>IF(OR(E4501="",E4501="!!!",F4501="NEW"),"",INDEX(J$1:J4500,SUMPRODUCT(MAX(ROW(E$1:E4500)*(E4501=E$1:E4500)))))</f>
        <v> </v>
      </c>
      <c r="L4501" s="27"/>
    </row>
    <row r="4502" spans="1:12">
      <c r="A4502" s="20" t="s">
        <v>1023</v>
      </c>
      <c r="E4502" s="22">
        <f>IF(D4502="?OLD","!!!","")</f>
        <v/>
      </c>
      <c r="F4502" s="23" t="str">
        <f>IF(OR(E4502="",E4502="!!!"),"",IF(NOT(ISNA(VLOOKUP(E4502,E$1:E4501,1,FALSE()))),"OLD",IF(AND(E4502&lt;&gt;"",E4502&lt;&gt;"!!!"),"NEW","")))</f>
        <v> </v>
      </c>
      <c r="G4502" s="24" t="str">
        <f>IF(OR(E4502="",E4502="!!!"),"",IF(OR(J4502=0,AND(J4502=1,K4502=1),AND(J4502=1,I4502="SBJ"),AND(J4502=1,I4502=0)),"?IN_FOCUS",IF(J4502&lt;=2,"?ACTIVATED",IF(J4502&lt;&gt;"","?FAMILIAR",IF(F4502="NEW",IF(ISNA(VLOOKUP(E4502,#REF!,1,FALSE())),"?TYPE_IDENTIFIABLE","?REFERENTIAL"),"_")))))</f>
        <v> </v>
      </c>
      <c r="H4502" s="25" t="str">
        <f>IF(J4502&lt;&gt;1,"",IF(I4502="SBJ","CB","?"))</f>
        <v> </v>
      </c>
      <c r="I4502" s="26" t="str">
        <f>IF(OR(E4502="",E4502="!!!",F4502="NEW"),"",INDEX(B4501:B$2,-1+SUMPRODUCT(MAX(ROW(E4501:E$2)*(E4502=E4501:E$2)))))</f>
        <v> </v>
      </c>
      <c r="J4502" s="26" t="str">
        <f>IF(OR(E4502="",E4502="!!!",F4502="NEW"),"",COUNTBLANK(OFFSET(A$1,,,SUMPRODUCT(MAX(ROW(E$2:E4502)*(E4502=E$2:E4502)))))-COUNTBLANK(OFFSET(A$1,,,SUMPRODUCT(MAX(ROW(E$1:E4501)*(E2=E$1:E4501))))))</f>
        <v> </v>
      </c>
      <c r="K4502" s="26" t="str">
        <f>IF(OR(E4502="",E4502="!!!",F4502="NEW"),"",INDEX(J$1:J4501,SUMPRODUCT(MAX(ROW(E$1:E4501)*(E4502=E$1:E4501)))))</f>
        <v> </v>
      </c>
      <c r="L4502" s="27"/>
    </row>
    <row r="4503" spans="1:12">
      <c r="A4503" s="20"/>
    </row>
    <row r="4504" spans="1:12">
      <c r="A4504" s="20" t="s">
        <v>2282</v>
      </c>
    </row>
    <row r="4505" spans="1:12">
      <c r="A4505" s="20" t="s">
        <v>1136</v>
      </c>
      <c r="E4505" s="22">
        <f>IF(D4505="?OLD","!!!","")</f>
        <v/>
      </c>
      <c r="F4505" s="23" t="str">
        <f>IF(OR(E4505="",E4505="!!!"),"",IF(NOT(ISNA(VLOOKUP(E4505,E$1:E4504,1,FALSE()))),"OLD",IF(AND(E4505&lt;&gt;"",E4505&lt;&gt;"!!!"),"NEW","")))</f>
        <v> </v>
      </c>
      <c r="G4505" s="24" t="str">
        <f>IF(OR(E4505="",E4505="!!!"),"",IF(OR(J4505=0,AND(J4505=1,K4505=1),AND(J4505=1,I4505="SBJ"),AND(J4505=1,I4505=0)),"?IN_FOCUS",IF(J4505&lt;=2,"?ACTIVATED",IF(J4505&lt;&gt;"","?FAMILIAR",IF(F4505="NEW",IF(ISNA(VLOOKUP(E4505,#REF!,1,FALSE())),"?TYPE_IDENTIFIABLE","?REFERENTIAL"),"_")))))</f>
        <v> </v>
      </c>
      <c r="H4505" s="25" t="str">
        <f>IF(J4505&lt;&gt;1,"",IF(I4505="SBJ","CB","?"))</f>
        <v> </v>
      </c>
      <c r="I4505" s="26" t="str">
        <f>IF(OR(E4505="",E4505="!!!",F4505="NEW"),"",INDEX(B4504:B$2,-1+SUMPRODUCT(MAX(ROW(E4504:E$2)*(E4505=E4504:E$2)))))</f>
        <v> </v>
      </c>
      <c r="J4505" s="26" t="str">
        <f>IF(OR(E4505="",E4505="!!!",F4505="NEW"),"",COUNTBLANK(OFFSET(A$1,,,SUMPRODUCT(MAX(ROW(E$2:E4505)*(E4505=E$2:E4505)))))-COUNTBLANK(OFFSET(A$1,,,SUMPRODUCT(MAX(ROW(E$1:E4504)*(E2=E$1:E4504))))))</f>
        <v> </v>
      </c>
      <c r="K4505" s="26" t="str">
        <f>IF(OR(E4505="",E4505="!!!",F4505="NEW"),"",INDEX(J$1:J4504,SUMPRODUCT(MAX(ROW(E$1:E4504)*(E4505=E$1:E4504)))))</f>
        <v> </v>
      </c>
      <c r="L4505" s="27"/>
    </row>
    <row r="4506" spans="1:12">
      <c r="A4506" s="20" t="s">
        <v>102</v>
      </c>
      <c r="B4506" s="21" t="s">
        <v>1050</v>
      </c>
      <c r="C4506" s="21" t="s">
        <v>1073</v>
      </c>
      <c r="D4506" s="21" t="s">
        <v>1007</v>
      </c>
      <c r="E4506" s="22">
        <f>IF(D4506="?OLD","!!!","")</f>
        <v/>
      </c>
      <c r="F4506" s="23" t="str">
        <f>IF(OR(E4506="",E4506="!!!"),"",IF(NOT(ISNA(VLOOKUP(E4506,E$1:E4505,1,FALSE()))),"OLD",IF(AND(E4506&lt;&gt;"",E4506&lt;&gt;"!!!"),"NEW","")))</f>
        <v> </v>
      </c>
      <c r="G4506" s="24" t="str">
        <f>IF(OR(E4506="",E4506="!!!"),"",IF(OR(J4506=0,AND(J4506=1,K4506=1),AND(J4506=1,I4506="SBJ"),AND(J4506=1,I4506=0)),"?IN_FOCUS",IF(J4506&lt;=2,"?ACTIVATED",IF(J4506&lt;&gt;"","?FAMILIAR",IF(F4506="NEW",IF(ISNA(VLOOKUP(E4506,#REF!,1,FALSE())),"?TYPE_IDENTIFIABLE","?REFERENTIAL"),"_")))))</f>
        <v> </v>
      </c>
      <c r="H4506" s="25" t="str">
        <f>IF(J4506&lt;&gt;1,"",IF(I4506="SBJ","CB","?"))</f>
        <v> </v>
      </c>
      <c r="I4506" s="26" t="str">
        <f>IF(OR(E4506="",E4506="!!!",F4506="NEW"),"",INDEX(B4505:B$2,-1+SUMPRODUCT(MAX(ROW(E4505:E$2)*(E4506=E4505:E$2)))))</f>
        <v> </v>
      </c>
      <c r="J4506" s="26" t="str">
        <f>IF(OR(E4506="",E4506="!!!",F4506="NEW"),"",COUNTBLANK(OFFSET(A$1,,,SUMPRODUCT(MAX(ROW(E$2:E4506)*(E4506=E$2:E4506)))))-COUNTBLANK(OFFSET(A$1,,,SUMPRODUCT(MAX(ROW(E$1:E4505)*(E2=E$1:E4505))))))</f>
        <v> </v>
      </c>
      <c r="K4506" s="26" t="str">
        <f>IF(OR(E4506="",E4506="!!!",F4506="NEW"),"",INDEX(J$1:J4505,SUMPRODUCT(MAX(ROW(E$1:E4505)*(E4506=E$1:E4505)))))</f>
        <v> </v>
      </c>
      <c r="L4506" s="27"/>
    </row>
    <row r="4507" spans="1:12">
      <c r="A4507" s="20" t="s">
        <v>1065</v>
      </c>
      <c r="B4507" s="21" t="s">
        <v>1187</v>
      </c>
      <c r="E4507" s="22">
        <f>IF(D4507="?OLD","!!!","")</f>
        <v/>
      </c>
      <c r="F4507" s="23" t="str">
        <f>IF(OR(E4507="",E4507="!!!"),"",IF(NOT(ISNA(VLOOKUP(E4507,E$1:E4506,1,FALSE()))),"OLD",IF(AND(E4507&lt;&gt;"",E4507&lt;&gt;"!!!"),"NEW","")))</f>
        <v> </v>
      </c>
      <c r="G4507" s="24" t="str">
        <f>IF(OR(E4507="",E4507="!!!"),"",IF(OR(J4507=0,AND(J4507=1,K4507=1),AND(J4507=1,I4507="SBJ"),AND(J4507=1,I4507=0)),"?IN_FOCUS",IF(J4507&lt;=2,"?ACTIVATED",IF(J4507&lt;&gt;"","?FAMILIAR",IF(F4507="NEW",IF(ISNA(VLOOKUP(E4507,#REF!,1,FALSE())),"?TYPE_IDENTIFIABLE","?REFERENTIAL"),"_")))))</f>
        <v> </v>
      </c>
      <c r="H4507" s="25" t="str">
        <f>IF(J4507&lt;&gt;1,"",IF(I4507="SBJ","CB","?"))</f>
        <v> </v>
      </c>
      <c r="I4507" s="26" t="str">
        <f>IF(OR(E4507="",E4507="!!!",F4507="NEW"),"",INDEX(B4506:B$2,-1+SUMPRODUCT(MAX(ROW(E4506:E$2)*(E4507=E4506:E$2)))))</f>
        <v> </v>
      </c>
      <c r="J4507" s="26" t="str">
        <f>IF(OR(E4507="",E4507="!!!",F4507="NEW"),"",COUNTBLANK(OFFSET(A$1,,,SUMPRODUCT(MAX(ROW(E$2:E4507)*(E4507=E$2:E4507)))))-COUNTBLANK(OFFSET(A$1,,,SUMPRODUCT(MAX(ROW(E$1:E4506)*(E2=E$1:E4506))))))</f>
        <v> </v>
      </c>
      <c r="K4507" s="26" t="str">
        <f>IF(OR(E4507="",E4507="!!!",F4507="NEW"),"",INDEX(J$1:J4506,SUMPRODUCT(MAX(ROW(E$1:E4506)*(E4507=E$1:E4506)))))</f>
        <v> </v>
      </c>
      <c r="L4507" s="27"/>
    </row>
    <row r="4508" spans="1:12">
      <c r="A4508" s="20" t="s">
        <v>1366</v>
      </c>
      <c r="E4508" s="22">
        <f>IF(D4508="?OLD","!!!","")</f>
        <v/>
      </c>
      <c r="F4508" s="23" t="str">
        <f>IF(OR(E4508="",E4508="!!!"),"",IF(NOT(ISNA(VLOOKUP(E4508,E$1:E4507,1,FALSE()))),"OLD",IF(AND(E4508&lt;&gt;"",E4508&lt;&gt;"!!!"),"NEW","")))</f>
        <v> </v>
      </c>
      <c r="G4508" s="24" t="str">
        <f>IF(OR(E4508="",E4508="!!!"),"",IF(OR(J4508=0,AND(J4508=1,K4508=1),AND(J4508=1,I4508="SBJ"),AND(J4508=1,I4508=0)),"?IN_FOCUS",IF(J4508&lt;=2,"?ACTIVATED",IF(J4508&lt;&gt;"","?FAMILIAR",IF(F4508="NEW",IF(ISNA(VLOOKUP(E4508,#REF!,1,FALSE())),"?TYPE_IDENTIFIABLE","?REFERENTIAL"),"_")))))</f>
        <v> </v>
      </c>
      <c r="H4508" s="25" t="str">
        <f>IF(J4508&lt;&gt;1,"",IF(I4508="SBJ","CB","?"))</f>
        <v> </v>
      </c>
      <c r="I4508" s="26" t="str">
        <f>IF(OR(E4508="",E4508="!!!",F4508="NEW"),"",INDEX(B4507:B$2,-1+SUMPRODUCT(MAX(ROW(E4507:E$2)*(E4508=E4507:E$2)))))</f>
        <v> </v>
      </c>
      <c r="J4508" s="26" t="str">
        <f>IF(OR(E4508="",E4508="!!!",F4508="NEW"),"",COUNTBLANK(OFFSET(A$1,,,SUMPRODUCT(MAX(ROW(E$2:E4508)*(E4508=E$2:E4508)))))-COUNTBLANK(OFFSET(A$1,,,SUMPRODUCT(MAX(ROW(E$1:E4507)*(E2=E$1:E4507))))))</f>
        <v> </v>
      </c>
      <c r="K4508" s="26" t="str">
        <f>IF(OR(E4508="",E4508="!!!",F4508="NEW"),"",INDEX(J$1:J4507,SUMPRODUCT(MAX(ROW(E$1:E4507)*(E4508=E$1:E4507)))))</f>
        <v> </v>
      </c>
      <c r="L4508" s="27"/>
    </row>
    <row r="4509" spans="1:12">
      <c r="A4509" s="20" t="s">
        <v>1030</v>
      </c>
      <c r="E4509" s="22">
        <f>IF(D4509="?OLD","!!!","")</f>
        <v/>
      </c>
      <c r="F4509" s="23" t="str">
        <f>IF(OR(E4509="",E4509="!!!"),"",IF(NOT(ISNA(VLOOKUP(E4509,E$1:E4508,1,FALSE()))),"OLD",IF(AND(E4509&lt;&gt;"",E4509&lt;&gt;"!!!"),"NEW","")))</f>
        <v> </v>
      </c>
      <c r="G4509" s="24" t="str">
        <f>IF(OR(E4509="",E4509="!!!"),"",IF(OR(J4509=0,AND(J4509=1,K4509=1),AND(J4509=1,I4509="SBJ"),AND(J4509=1,I4509=0)),"?IN_FOCUS",IF(J4509&lt;=2,"?ACTIVATED",IF(J4509&lt;&gt;"","?FAMILIAR",IF(F4509="NEW",IF(ISNA(VLOOKUP(E4509,#REF!,1,FALSE())),"?TYPE_IDENTIFIABLE","?REFERENTIAL"),"_")))))</f>
        <v> </v>
      </c>
      <c r="H4509" s="25" t="str">
        <f>IF(J4509&lt;&gt;1,"",IF(I4509="SBJ","CB","?"))</f>
        <v> </v>
      </c>
      <c r="I4509" s="26" t="str">
        <f>IF(OR(E4509="",E4509="!!!",F4509="NEW"),"",INDEX(B4508:B$2,-1+SUMPRODUCT(MAX(ROW(E4508:E$2)*(E4509=E4508:E$2)))))</f>
        <v> </v>
      </c>
      <c r="J4509" s="26" t="str">
        <f>IF(OR(E4509="",E4509="!!!",F4509="NEW"),"",COUNTBLANK(OFFSET(A$1,,,SUMPRODUCT(MAX(ROW(E$2:E4509)*(E4509=E$2:E4509)))))-COUNTBLANK(OFFSET(A$1,,,SUMPRODUCT(MAX(ROW(E$1:E4508)*(E2=E$1:E4508))))))</f>
        <v> </v>
      </c>
      <c r="K4509" s="26" t="str">
        <f>IF(OR(E4509="",E4509="!!!",F4509="NEW"),"",INDEX(J$1:J4508,SUMPRODUCT(MAX(ROW(E$1:E4508)*(E4509=E$1:E4508)))))</f>
        <v> </v>
      </c>
      <c r="L4509" s="27"/>
    </row>
    <row r="4510" spans="1:12">
      <c r="A4510" s="20" t="s">
        <v>1020</v>
      </c>
      <c r="E4510" s="22">
        <f>IF(D4510="?OLD","!!!","")</f>
        <v/>
      </c>
      <c r="F4510" s="23" t="str">
        <f>IF(OR(E4510="",E4510="!!!"),"",IF(NOT(ISNA(VLOOKUP(E4510,E$1:E4509,1,FALSE()))),"OLD",IF(AND(E4510&lt;&gt;"",E4510&lt;&gt;"!!!"),"NEW","")))</f>
        <v> </v>
      </c>
      <c r="G4510" s="24" t="str">
        <f>IF(OR(E4510="",E4510="!!!"),"",IF(OR(J4510=0,AND(J4510=1,K4510=1),AND(J4510=1,I4510="SBJ"),AND(J4510=1,I4510=0)),"?IN_FOCUS",IF(J4510&lt;=2,"?ACTIVATED",IF(J4510&lt;&gt;"","?FAMILIAR",IF(F4510="NEW",IF(ISNA(VLOOKUP(E4510,#REF!,1,FALSE())),"?TYPE_IDENTIFIABLE","?REFERENTIAL"),"_")))))</f>
        <v> </v>
      </c>
      <c r="H4510" s="25" t="str">
        <f>IF(J4510&lt;&gt;1,"",IF(I4510="SBJ","CB","?"))</f>
        <v> </v>
      </c>
      <c r="I4510" s="26" t="str">
        <f>IF(OR(E4510="",E4510="!!!",F4510="NEW"),"",INDEX(B4509:B$2,-1+SUMPRODUCT(MAX(ROW(E4509:E$2)*(E4510=E4509:E$2)))))</f>
        <v> </v>
      </c>
      <c r="J4510" s="26" t="str">
        <f>IF(OR(E4510="",E4510="!!!",F4510="NEW"),"",COUNTBLANK(OFFSET(A$1,,,SUMPRODUCT(MAX(ROW(E$2:E4510)*(E4510=E$2:E4510)))))-COUNTBLANK(OFFSET(A$1,,,SUMPRODUCT(MAX(ROW(E$1:E4509)*(E2=E$1:E4509))))))</f>
        <v> </v>
      </c>
      <c r="K4510" s="26" t="str">
        <f>IF(OR(E4510="",E4510="!!!",F4510="NEW"),"",INDEX(J$1:J4509,SUMPRODUCT(MAX(ROW(E$1:E4509)*(E4510=E$1:E4509)))))</f>
        <v> </v>
      </c>
      <c r="L4510" s="27"/>
    </row>
    <row r="4511" spans="1:12">
      <c r="A4511" s="20" t="s">
        <v>1307</v>
      </c>
      <c r="B4511" s="21" t="s">
        <v>1033</v>
      </c>
      <c r="C4511" s="21" t="s">
        <v>1013</v>
      </c>
      <c r="D4511" s="21" t="s">
        <v>1007</v>
      </c>
      <c r="E4511" s="22">
        <f>IF(D4511="?OLD","!!!","")</f>
        <v/>
      </c>
      <c r="F4511" s="23" t="str">
        <f>IF(OR(E4511="",E4511="!!!"),"",IF(NOT(ISNA(VLOOKUP(E4511,E$1:E4510,1,FALSE()))),"OLD",IF(AND(E4511&lt;&gt;"",E4511&lt;&gt;"!!!"),"NEW","")))</f>
        <v> </v>
      </c>
      <c r="G4511" s="24" t="str">
        <f>IF(OR(E4511="",E4511="!!!"),"",IF(OR(J4511=0,AND(J4511=1,K4511=1),AND(J4511=1,I4511="SBJ"),AND(J4511=1,I4511=0)),"?IN_FOCUS",IF(J4511&lt;=2,"?ACTIVATED",IF(J4511&lt;&gt;"","?FAMILIAR",IF(F4511="NEW",IF(ISNA(VLOOKUP(E4511,#REF!,1,FALSE())),"?TYPE_IDENTIFIABLE","?REFERENTIAL"),"_")))))</f>
        <v> </v>
      </c>
      <c r="H4511" s="25" t="str">
        <f>IF(J4511&lt;&gt;1,"",IF(I4511="SBJ","CB","?"))</f>
        <v> </v>
      </c>
      <c r="I4511" s="26" t="str">
        <f>IF(OR(E4511="",E4511="!!!",F4511="NEW"),"",INDEX(B4510:B$2,-1+SUMPRODUCT(MAX(ROW(E4510:E$2)*(E4511=E4510:E$2)))))</f>
        <v> </v>
      </c>
      <c r="J4511" s="26" t="str">
        <f>IF(OR(E4511="",E4511="!!!",F4511="NEW"),"",COUNTBLANK(OFFSET(A$1,,,SUMPRODUCT(MAX(ROW(E$2:E4511)*(E4511=E$2:E4511)))))-COUNTBLANK(OFFSET(A$1,,,SUMPRODUCT(MAX(ROW(E$1:E4510)*(E2=E$1:E4510))))))</f>
        <v> </v>
      </c>
      <c r="K4511" s="26" t="str">
        <f>IF(OR(E4511="",E4511="!!!",F4511="NEW"),"",INDEX(J$1:J4510,SUMPRODUCT(MAX(ROW(E$1:E4510)*(E4511=E$1:E4510)))))</f>
        <v> </v>
      </c>
      <c r="L4511" s="27"/>
    </row>
    <row r="4512" spans="1:12">
      <c r="A4512" s="20" t="s">
        <v>2152</v>
      </c>
      <c r="E4512" s="22">
        <f>IF(D4512="?OLD","!!!","")</f>
        <v/>
      </c>
      <c r="F4512" s="23" t="str">
        <f>IF(OR(E4512="",E4512="!!!"),"",IF(NOT(ISNA(VLOOKUP(E4512,E$1:E4511,1,FALSE()))),"OLD",IF(AND(E4512&lt;&gt;"",E4512&lt;&gt;"!!!"),"NEW","")))</f>
        <v> </v>
      </c>
      <c r="G4512" s="24" t="str">
        <f>IF(OR(E4512="",E4512="!!!"),"",IF(OR(J4512=0,AND(J4512=1,K4512=1),AND(J4512=1,I4512="SBJ"),AND(J4512=1,I4512=0)),"?IN_FOCUS",IF(J4512&lt;=2,"?ACTIVATED",IF(J4512&lt;&gt;"","?FAMILIAR",IF(F4512="NEW",IF(ISNA(VLOOKUP(E4512,#REF!,1,FALSE())),"?TYPE_IDENTIFIABLE","?REFERENTIAL"),"_")))))</f>
        <v> </v>
      </c>
      <c r="H4512" s="25" t="str">
        <f>IF(J4512&lt;&gt;1,"",IF(I4512="SBJ","CB","?"))</f>
        <v> </v>
      </c>
      <c r="I4512" s="26" t="str">
        <f>IF(OR(E4512="",E4512="!!!",F4512="NEW"),"",INDEX(B4511:B$2,-1+SUMPRODUCT(MAX(ROW(E4511:E$2)*(E4512=E4511:E$2)))))</f>
        <v> </v>
      </c>
      <c r="J4512" s="26" t="str">
        <f>IF(OR(E4512="",E4512="!!!",F4512="NEW"),"",COUNTBLANK(OFFSET(A$1,,,SUMPRODUCT(MAX(ROW(E$2:E4512)*(E4512=E$2:E4512)))))-COUNTBLANK(OFFSET(A$1,,,SUMPRODUCT(MAX(ROW(E$1:E4511)*(E2=E$1:E4511))))))</f>
        <v> </v>
      </c>
      <c r="K4512" s="26" t="str">
        <f>IF(OR(E4512="",E4512="!!!",F4512="NEW"),"",INDEX(J$1:J4511,SUMPRODUCT(MAX(ROW(E$1:E4511)*(E4512=E$1:E4511)))))</f>
        <v> </v>
      </c>
      <c r="L4512" s="27"/>
    </row>
    <row r="4513" spans="1:12">
      <c r="A4513" s="20" t="s">
        <v>2153</v>
      </c>
      <c r="B4513" s="21" t="s">
        <v>1035</v>
      </c>
      <c r="C4513" s="21" t="s">
        <v>1006</v>
      </c>
      <c r="D4513" s="21" t="s">
        <v>1007</v>
      </c>
      <c r="E4513" s="22">
        <f>IF(D4513="?OLD","!!!","")</f>
        <v/>
      </c>
      <c r="F4513" s="23" t="str">
        <f>IF(OR(E4513="",E4513="!!!"),"",IF(NOT(ISNA(VLOOKUP(E4513,E$1:E4512,1,FALSE()))),"OLD",IF(AND(E4513&lt;&gt;"",E4513&lt;&gt;"!!!"),"NEW","")))</f>
        <v> </v>
      </c>
      <c r="G4513" s="24" t="str">
        <f>IF(OR(E4513="",E4513="!!!"),"",IF(OR(J4513=0,AND(J4513=1,K4513=1),AND(J4513=1,I4513="SBJ"),AND(J4513=1,I4513=0)),"?IN_FOCUS",IF(J4513&lt;=2,"?ACTIVATED",IF(J4513&lt;&gt;"","?FAMILIAR",IF(F4513="NEW",IF(ISNA(VLOOKUP(E4513,#REF!,1,FALSE())),"?TYPE_IDENTIFIABLE","?REFERENTIAL"),"_")))))</f>
        <v> </v>
      </c>
      <c r="H4513" s="25" t="str">
        <f>IF(J4513&lt;&gt;1,"",IF(I4513="SBJ","CB","?"))</f>
        <v> </v>
      </c>
      <c r="I4513" s="26" t="str">
        <f>IF(OR(E4513="",E4513="!!!",F4513="NEW"),"",INDEX(B4512:B$2,-1+SUMPRODUCT(MAX(ROW(E4512:E$2)*(E4513=E4512:E$2)))))</f>
        <v> </v>
      </c>
      <c r="J4513" s="26" t="str">
        <f>IF(OR(E4513="",E4513="!!!",F4513="NEW"),"",COUNTBLANK(OFFSET(A$1,,,SUMPRODUCT(MAX(ROW(E$2:E4513)*(E4513=E$2:E4513)))))-COUNTBLANK(OFFSET(A$1,,,SUMPRODUCT(MAX(ROW(E$1:E4512)*(E2=E$1:E4512))))))</f>
        <v> </v>
      </c>
      <c r="K4513" s="26" t="str">
        <f>IF(OR(E4513="",E4513="!!!",F4513="NEW"),"",INDEX(J$1:J4512,SUMPRODUCT(MAX(ROW(E$1:E4512)*(E4513=E$1:E4512)))))</f>
        <v> </v>
      </c>
      <c r="L4513" s="27"/>
    </row>
    <row r="4514" spans="1:12">
      <c r="A4514" s="20" t="s">
        <v>1397</v>
      </c>
      <c r="E4514" s="22">
        <f>IF(D4514="?OLD","!!!","")</f>
        <v/>
      </c>
      <c r="F4514" s="23" t="str">
        <f>IF(OR(E4514="",E4514="!!!"),"",IF(NOT(ISNA(VLOOKUP(E4514,E$1:E4513,1,FALSE()))),"OLD",IF(AND(E4514&lt;&gt;"",E4514&lt;&gt;"!!!"),"NEW","")))</f>
        <v> </v>
      </c>
      <c r="G4514" s="24" t="str">
        <f>IF(OR(E4514="",E4514="!!!"),"",IF(OR(J4514=0,AND(J4514=1,K4514=1),AND(J4514=1,I4514="SBJ"),AND(J4514=1,I4514=0)),"?IN_FOCUS",IF(J4514&lt;=2,"?ACTIVATED",IF(J4514&lt;&gt;"","?FAMILIAR",IF(F4514="NEW",IF(ISNA(VLOOKUP(E4514,#REF!,1,FALSE())),"?TYPE_IDENTIFIABLE","?REFERENTIAL"),"_")))))</f>
        <v> </v>
      </c>
      <c r="H4514" s="25" t="str">
        <f>IF(J4514&lt;&gt;1,"",IF(I4514="SBJ","CB","?"))</f>
        <v> </v>
      </c>
      <c r="I4514" s="26" t="str">
        <f>IF(OR(E4514="",E4514="!!!",F4514="NEW"),"",INDEX(B4513:B$2,-1+SUMPRODUCT(MAX(ROW(E4513:E$2)*(E4514=E4513:E$2)))))</f>
        <v> </v>
      </c>
      <c r="J4514" s="26" t="str">
        <f>IF(OR(E4514="",E4514="!!!",F4514="NEW"),"",COUNTBLANK(OFFSET(A$1,,,SUMPRODUCT(MAX(ROW(E$2:E4514)*(E4514=E$2:E4514)))))-COUNTBLANK(OFFSET(A$1,,,SUMPRODUCT(MAX(ROW(E$1:E4513)*(E2=E$1:E4513))))))</f>
        <v> </v>
      </c>
      <c r="K4514" s="26" t="str">
        <f>IF(OR(E4514="",E4514="!!!",F4514="NEW"),"",INDEX(J$1:J4513,SUMPRODUCT(MAX(ROW(E$1:E4513)*(E4514=E$1:E4513)))))</f>
        <v> </v>
      </c>
      <c r="L4514" s="27"/>
    </row>
    <row r="4515" spans="1:12">
      <c r="A4515" s="20" t="s">
        <v>1065</v>
      </c>
      <c r="B4515" s="21" t="s">
        <v>1050</v>
      </c>
      <c r="E4515" s="22">
        <f>IF(D4515="?OLD","!!!","")</f>
        <v/>
      </c>
      <c r="F4515" s="23" t="str">
        <f>IF(OR(E4515="",E4515="!!!"),"",IF(NOT(ISNA(VLOOKUP(E4515,E$1:E4514,1,FALSE()))),"OLD",IF(AND(E4515&lt;&gt;"",E4515&lt;&gt;"!!!"),"NEW","")))</f>
        <v> </v>
      </c>
      <c r="G4515" s="24" t="str">
        <f>IF(OR(E4515="",E4515="!!!"),"",IF(OR(J4515=0,AND(J4515=1,K4515=1),AND(J4515=1,I4515="SBJ"),AND(J4515=1,I4515=0)),"?IN_FOCUS",IF(J4515&lt;=2,"?ACTIVATED",IF(J4515&lt;&gt;"","?FAMILIAR",IF(F4515="NEW",IF(ISNA(VLOOKUP(E4515,#REF!,1,FALSE())),"?TYPE_IDENTIFIABLE","?REFERENTIAL"),"_")))))</f>
        <v> </v>
      </c>
      <c r="H4515" s="25" t="str">
        <f>IF(J4515&lt;&gt;1,"",IF(I4515="SBJ","CB","?"))</f>
        <v> </v>
      </c>
      <c r="I4515" s="26" t="str">
        <f>IF(OR(E4515="",E4515="!!!",F4515="NEW"),"",INDEX(B4514:B$2,-1+SUMPRODUCT(MAX(ROW(E4514:E$2)*(E4515=E4514:E$2)))))</f>
        <v> </v>
      </c>
      <c r="J4515" s="26" t="str">
        <f>IF(OR(E4515="",E4515="!!!",F4515="NEW"),"",COUNTBLANK(OFFSET(A$1,,,SUMPRODUCT(MAX(ROW(E$2:E4515)*(E4515=E$2:E4515)))))-COUNTBLANK(OFFSET(A$1,,,SUMPRODUCT(MAX(ROW(E$1:E4514)*(E2=E$1:E4514))))))</f>
        <v> </v>
      </c>
      <c r="K4515" s="26" t="str">
        <f>IF(OR(E4515="",E4515="!!!",F4515="NEW"),"",INDEX(J$1:J4514,SUMPRODUCT(MAX(ROW(E$1:E4514)*(E4515=E$1:E4514)))))</f>
        <v> </v>
      </c>
      <c r="L4515" s="27"/>
    </row>
    <row r="4516" spans="1:12">
      <c r="A4516" s="20" t="s">
        <v>2283</v>
      </c>
      <c r="E4516" s="22">
        <f>IF(D4516="?OLD","!!!","")</f>
        <v/>
      </c>
      <c r="F4516" s="23" t="str">
        <f>IF(OR(E4516="",E4516="!!!"),"",IF(NOT(ISNA(VLOOKUP(E4516,E$1:E4515,1,FALSE()))),"OLD",IF(AND(E4516&lt;&gt;"",E4516&lt;&gt;"!!!"),"NEW","")))</f>
        <v> </v>
      </c>
      <c r="G4516" s="24" t="str">
        <f>IF(OR(E4516="",E4516="!!!"),"",IF(OR(J4516=0,AND(J4516=1,K4516=1),AND(J4516=1,I4516="SBJ"),AND(J4516=1,I4516=0)),"?IN_FOCUS",IF(J4516&lt;=2,"?ACTIVATED",IF(J4516&lt;&gt;"","?FAMILIAR",IF(F4516="NEW",IF(ISNA(VLOOKUP(E4516,#REF!,1,FALSE())),"?TYPE_IDENTIFIABLE","?REFERENTIAL"),"_")))))</f>
        <v> </v>
      </c>
      <c r="H4516" s="25" t="str">
        <f>IF(J4516&lt;&gt;1,"",IF(I4516="SBJ","CB","?"))</f>
        <v> </v>
      </c>
      <c r="I4516" s="26" t="str">
        <f>IF(OR(E4516="",E4516="!!!",F4516="NEW"),"",INDEX(B4515:B$2,-1+SUMPRODUCT(MAX(ROW(E4515:E$2)*(E4516=E4515:E$2)))))</f>
        <v> </v>
      </c>
      <c r="J4516" s="26" t="str">
        <f>IF(OR(E4516="",E4516="!!!",F4516="NEW"),"",COUNTBLANK(OFFSET(A$1,,,SUMPRODUCT(MAX(ROW(E$2:E4516)*(E4516=E$2:E4516)))))-COUNTBLANK(OFFSET(A$1,,,SUMPRODUCT(MAX(ROW(E$1:E4515)*(E2=E$1:E4515))))))</f>
        <v> </v>
      </c>
      <c r="K4516" s="26" t="str">
        <f>IF(OR(E4516="",E4516="!!!",F4516="NEW"),"",INDEX(J$1:J4515,SUMPRODUCT(MAX(ROW(E$1:E4515)*(E4516=E$1:E4515)))))</f>
        <v> </v>
      </c>
      <c r="L4516" s="27"/>
    </row>
    <row r="4517" spans="1:12">
      <c r="A4517" s="20" t="s">
        <v>102</v>
      </c>
      <c r="E4517" s="22">
        <f>IF(D4517="?OLD","!!!","")</f>
        <v/>
      </c>
      <c r="F4517" s="23" t="str">
        <f>IF(OR(E4517="",E4517="!!!"),"",IF(NOT(ISNA(VLOOKUP(E4517,E$1:E4516,1,FALSE()))),"OLD",IF(AND(E4517&lt;&gt;"",E4517&lt;&gt;"!!!"),"NEW","")))</f>
        <v> </v>
      </c>
      <c r="G4517" s="24" t="str">
        <f>IF(OR(E4517="",E4517="!!!"),"",IF(OR(J4517=0,AND(J4517=1,K4517=1),AND(J4517=1,I4517="SBJ"),AND(J4517=1,I4517=0)),"?IN_FOCUS",IF(J4517&lt;=2,"?ACTIVATED",IF(J4517&lt;&gt;"","?FAMILIAR",IF(F4517="NEW",IF(ISNA(VLOOKUP(E4517,#REF!,1,FALSE())),"?TYPE_IDENTIFIABLE","?REFERENTIAL"),"_")))))</f>
        <v> </v>
      </c>
      <c r="H4517" s="25" t="str">
        <f>IF(J4517&lt;&gt;1,"",IF(I4517="SBJ","CB","?"))</f>
        <v> </v>
      </c>
      <c r="I4517" s="26" t="str">
        <f>IF(OR(E4517="",E4517="!!!",F4517="NEW"),"",INDEX(B4516:B$2,-1+SUMPRODUCT(MAX(ROW(E4516:E$2)*(E4517=E4516:E$2)))))</f>
        <v> </v>
      </c>
      <c r="J4517" s="26" t="str">
        <f>IF(OR(E4517="",E4517="!!!",F4517="NEW"),"",COUNTBLANK(OFFSET(A$1,,,SUMPRODUCT(MAX(ROW(E$2:E4517)*(E4517=E$2:E4517)))))-COUNTBLANK(OFFSET(A$1,,,SUMPRODUCT(MAX(ROW(E$1:E4516)*(E2=E$1:E4516))))))</f>
        <v> </v>
      </c>
      <c r="K4517" s="26" t="str">
        <f>IF(OR(E4517="",E4517="!!!",F4517="NEW"),"",INDEX(J$1:J4516,SUMPRODUCT(MAX(ROW(E$1:E4516)*(E4517=E$1:E4516)))))</f>
        <v> </v>
      </c>
      <c r="L4517" s="27"/>
    </row>
    <row r="4518" spans="1:12">
      <c r="A4518" s="20" t="s">
        <v>2284</v>
      </c>
      <c r="B4518" s="21" t="s">
        <v>1085</v>
      </c>
      <c r="C4518" s="21" t="s">
        <v>1017</v>
      </c>
      <c r="D4518" s="21" t="s">
        <v>1007</v>
      </c>
      <c r="E4518" s="22">
        <f>IF(D4518="?OLD","!!!","")</f>
        <v/>
      </c>
      <c r="F4518" s="23" t="str">
        <f>IF(OR(E4518="",E4518="!!!"),"",IF(NOT(ISNA(VLOOKUP(E4518,E$1:E4517,1,FALSE()))),"OLD",IF(AND(E4518&lt;&gt;"",E4518&lt;&gt;"!!!"),"NEW","")))</f>
        <v> </v>
      </c>
      <c r="G4518" s="24" t="str">
        <f>IF(OR(E4518="",E4518="!!!"),"",IF(OR(J4518=0,AND(J4518=1,K4518=1),AND(J4518=1,I4518="SBJ"),AND(J4518=1,I4518=0)),"?IN_FOCUS",IF(J4518&lt;=2,"?ACTIVATED",IF(J4518&lt;&gt;"","?FAMILIAR",IF(F4518="NEW",IF(ISNA(VLOOKUP(E4518,#REF!,1,FALSE())),"?TYPE_IDENTIFIABLE","?REFERENTIAL"),"_")))))</f>
        <v> </v>
      </c>
      <c r="H4518" s="25" t="str">
        <f>IF(J4518&lt;&gt;1,"",IF(I4518="SBJ","CB","?"))</f>
        <v> </v>
      </c>
      <c r="I4518" s="26" t="str">
        <f>IF(OR(E4518="",E4518="!!!",F4518="NEW"),"",INDEX(B4517:B$2,-1+SUMPRODUCT(MAX(ROW(E4517:E$2)*(E4518=E4517:E$2)))))</f>
        <v> </v>
      </c>
      <c r="J4518" s="26" t="str">
        <f>IF(OR(E4518="",E4518="!!!",F4518="NEW"),"",COUNTBLANK(OFFSET(A$1,,,SUMPRODUCT(MAX(ROW(E$2:E4518)*(E4518=E$2:E4518)))))-COUNTBLANK(OFFSET(A$1,,,SUMPRODUCT(MAX(ROW(E$1:E4517)*(E2=E$1:E4517))))))</f>
        <v> </v>
      </c>
      <c r="K4518" s="26" t="str">
        <f>IF(OR(E4518="",E4518="!!!",F4518="NEW"),"",INDEX(J$1:J4517,SUMPRODUCT(MAX(ROW(E$1:E4517)*(E4518=E$1:E4517)))))</f>
        <v> </v>
      </c>
      <c r="L4518" s="27"/>
    </row>
    <row r="4519" spans="1:12">
      <c r="A4519" s="20" t="s">
        <v>56</v>
      </c>
      <c r="E4519" s="22">
        <f>IF(D4519="?OLD","!!!","")</f>
        <v/>
      </c>
      <c r="F4519" s="23" t="str">
        <f>IF(OR(E4519="",E4519="!!!"),"",IF(NOT(ISNA(VLOOKUP(E4519,E$1:E4518,1,FALSE()))),"OLD",IF(AND(E4519&lt;&gt;"",E4519&lt;&gt;"!!!"),"NEW","")))</f>
        <v> </v>
      </c>
      <c r="G4519" s="24" t="str">
        <f>IF(OR(E4519="",E4519="!!!"),"",IF(OR(J4519=0,AND(J4519=1,K4519=1),AND(J4519=1,I4519="SBJ"),AND(J4519=1,I4519=0)),"?IN_FOCUS",IF(J4519&lt;=2,"?ACTIVATED",IF(J4519&lt;&gt;"","?FAMILIAR",IF(F4519="NEW",IF(ISNA(VLOOKUP(E4519,#REF!,1,FALSE())),"?TYPE_IDENTIFIABLE","?REFERENTIAL"),"_")))))</f>
        <v> </v>
      </c>
      <c r="H4519" s="25" t="str">
        <f>IF(J4519&lt;&gt;1,"",IF(I4519="SBJ","CB","?"))</f>
        <v> </v>
      </c>
      <c r="I4519" s="26" t="str">
        <f>IF(OR(E4519="",E4519="!!!",F4519="NEW"),"",INDEX(B4518:B$2,-1+SUMPRODUCT(MAX(ROW(E4518:E$2)*(E4519=E4518:E$2)))))</f>
        <v> </v>
      </c>
      <c r="J4519" s="26" t="str">
        <f>IF(OR(E4519="",E4519="!!!",F4519="NEW"),"",COUNTBLANK(OFFSET(A$1,,,SUMPRODUCT(MAX(ROW(E$2:E4519)*(E4519=E$2:E4519)))))-COUNTBLANK(OFFSET(A$1,,,SUMPRODUCT(MAX(ROW(E$1:E4518)*(E2=E$1:E4518))))))</f>
        <v> </v>
      </c>
      <c r="K4519" s="26" t="str">
        <f>IF(OR(E4519="",E4519="!!!",F4519="NEW"),"",INDEX(J$1:J4518,SUMPRODUCT(MAX(ROW(E$1:E4518)*(E4519=E$1:E4518)))))</f>
        <v> </v>
      </c>
      <c r="L4519" s="27"/>
    </row>
    <row r="4520" spans="1:12">
      <c r="A4520" s="20" t="s">
        <v>2283</v>
      </c>
      <c r="E4520" s="22">
        <f>IF(D4520="?OLD","!!!","")</f>
        <v/>
      </c>
      <c r="F4520" s="23" t="str">
        <f>IF(OR(E4520="",E4520="!!!"),"",IF(NOT(ISNA(VLOOKUP(E4520,E$1:E4519,1,FALSE()))),"OLD",IF(AND(E4520&lt;&gt;"",E4520&lt;&gt;"!!!"),"NEW","")))</f>
        <v> </v>
      </c>
      <c r="G4520" s="24" t="str">
        <f>IF(OR(E4520="",E4520="!!!"),"",IF(OR(J4520=0,AND(J4520=1,K4520=1),AND(J4520=1,I4520="SBJ"),AND(J4520=1,I4520=0)),"?IN_FOCUS",IF(J4520&lt;=2,"?ACTIVATED",IF(J4520&lt;&gt;"","?FAMILIAR",IF(F4520="NEW",IF(ISNA(VLOOKUP(E4520,#REF!,1,FALSE())),"?TYPE_IDENTIFIABLE","?REFERENTIAL"),"_")))))</f>
        <v> </v>
      </c>
      <c r="H4520" s="25" t="str">
        <f>IF(J4520&lt;&gt;1,"",IF(I4520="SBJ","CB","?"))</f>
        <v> </v>
      </c>
      <c r="I4520" s="26" t="str">
        <f>IF(OR(E4520="",E4520="!!!",F4520="NEW"),"",INDEX(B4519:B$2,-1+SUMPRODUCT(MAX(ROW(E4519:E$2)*(E4520=E4519:E$2)))))</f>
        <v> </v>
      </c>
      <c r="J4520" s="26" t="str">
        <f>IF(OR(E4520="",E4520="!!!",F4520="NEW"),"",COUNTBLANK(OFFSET(A$1,,,SUMPRODUCT(MAX(ROW(E$2:E4520)*(E4520=E$2:E4520)))))-COUNTBLANK(OFFSET(A$1,,,SUMPRODUCT(MAX(ROW(E$1:E4519)*(E2=E$1:E4519))))))</f>
        <v> </v>
      </c>
      <c r="K4520" s="26" t="str">
        <f>IF(OR(E4520="",E4520="!!!",F4520="NEW"),"",INDEX(J$1:J4519,SUMPRODUCT(MAX(ROW(E$1:E4519)*(E4520=E$1:E4519)))))</f>
        <v> </v>
      </c>
      <c r="L4520" s="27"/>
    </row>
    <row r="4521" spans="1:12">
      <c r="A4521" s="20" t="s">
        <v>1020</v>
      </c>
      <c r="E4521" s="22">
        <f>IF(D4521="?OLD","!!!","")</f>
        <v/>
      </c>
      <c r="F4521" s="23" t="str">
        <f>IF(OR(E4521="",E4521="!!!"),"",IF(NOT(ISNA(VLOOKUP(E4521,E$1:E4520,1,FALSE()))),"OLD",IF(AND(E4521&lt;&gt;"",E4521&lt;&gt;"!!!"),"NEW","")))</f>
        <v> </v>
      </c>
      <c r="G4521" s="24" t="str">
        <f>IF(OR(E4521="",E4521="!!!"),"",IF(OR(J4521=0,AND(J4521=1,K4521=1),AND(J4521=1,I4521="SBJ"),AND(J4521=1,I4521=0)),"?IN_FOCUS",IF(J4521&lt;=2,"?ACTIVATED",IF(J4521&lt;&gt;"","?FAMILIAR",IF(F4521="NEW",IF(ISNA(VLOOKUP(E4521,#REF!,1,FALSE())),"?TYPE_IDENTIFIABLE","?REFERENTIAL"),"_")))))</f>
        <v> </v>
      </c>
      <c r="H4521" s="25" t="str">
        <f>IF(J4521&lt;&gt;1,"",IF(I4521="SBJ","CB","?"))</f>
        <v> </v>
      </c>
      <c r="I4521" s="26" t="str">
        <f>IF(OR(E4521="",E4521="!!!",F4521="NEW"),"",INDEX(B4520:B$2,-1+SUMPRODUCT(MAX(ROW(E4520:E$2)*(E4521=E4520:E$2)))))</f>
        <v> </v>
      </c>
      <c r="J4521" s="26" t="str">
        <f>IF(OR(E4521="",E4521="!!!",F4521="NEW"),"",COUNTBLANK(OFFSET(A$1,,,SUMPRODUCT(MAX(ROW(E$2:E4521)*(E4521=E$2:E4521)))))-COUNTBLANK(OFFSET(A$1,,,SUMPRODUCT(MAX(ROW(E$1:E4520)*(E2=E$1:E4520))))))</f>
        <v> </v>
      </c>
      <c r="K4521" s="26" t="str">
        <f>IF(OR(E4521="",E4521="!!!",F4521="NEW"),"",INDEX(J$1:J4520,SUMPRODUCT(MAX(ROW(E$1:E4520)*(E4521=E$1:E4520)))))</f>
        <v> </v>
      </c>
      <c r="L4521" s="27"/>
    </row>
    <row r="4522" spans="1:12">
      <c r="A4522" s="20" t="s">
        <v>2285</v>
      </c>
      <c r="B4522" s="21" t="s">
        <v>1029</v>
      </c>
      <c r="C4522" s="21" t="s">
        <v>1013</v>
      </c>
      <c r="D4522" s="21" t="s">
        <v>1007</v>
      </c>
      <c r="E4522" s="22">
        <f>IF(D4522="?OLD","!!!","")</f>
        <v/>
      </c>
      <c r="F4522" s="23" t="str">
        <f>IF(OR(E4522="",E4522="!!!"),"",IF(NOT(ISNA(VLOOKUP(E4522,E$1:E4521,1,FALSE()))),"OLD",IF(AND(E4522&lt;&gt;"",E4522&lt;&gt;"!!!"),"NEW","")))</f>
        <v> </v>
      </c>
      <c r="G4522" s="24" t="str">
        <f>IF(OR(E4522="",E4522="!!!"),"",IF(OR(J4522=0,AND(J4522=1,K4522=1),AND(J4522=1,I4522="SBJ"),AND(J4522=1,I4522=0)),"?IN_FOCUS",IF(J4522&lt;=2,"?ACTIVATED",IF(J4522&lt;&gt;"","?FAMILIAR",IF(F4522="NEW",IF(ISNA(VLOOKUP(E4522,#REF!,1,FALSE())),"?TYPE_IDENTIFIABLE","?REFERENTIAL"),"_")))))</f>
        <v> </v>
      </c>
      <c r="H4522" s="25" t="str">
        <f>IF(J4522&lt;&gt;1,"",IF(I4522="SBJ","CB","?"))</f>
        <v> </v>
      </c>
      <c r="I4522" s="26" t="str">
        <f>IF(OR(E4522="",E4522="!!!",F4522="NEW"),"",INDEX(B4521:B$2,-1+SUMPRODUCT(MAX(ROW(E4521:E$2)*(E4522=E4521:E$2)))))</f>
        <v> </v>
      </c>
      <c r="J4522" s="26" t="str">
        <f>IF(OR(E4522="",E4522="!!!",F4522="NEW"),"",COUNTBLANK(OFFSET(A$1,,,SUMPRODUCT(MAX(ROW(E$2:E4522)*(E4522=E$2:E4522)))))-COUNTBLANK(OFFSET(A$1,,,SUMPRODUCT(MAX(ROW(E$1:E4521)*(E2=E$1:E4521))))))</f>
        <v> </v>
      </c>
      <c r="K4522" s="26" t="str">
        <f>IF(OR(E4522="",E4522="!!!",F4522="NEW"),"",INDEX(J$1:J4521,SUMPRODUCT(MAX(ROW(E$1:E4521)*(E4522=E$1:E4521)))))</f>
        <v> </v>
      </c>
      <c r="L4522" s="27"/>
    </row>
    <row r="4523" spans="1:12">
      <c r="A4523" s="20" t="s">
        <v>1014</v>
      </c>
      <c r="E4523" s="22">
        <f>IF(D4523="?OLD","!!!","")</f>
        <v/>
      </c>
      <c r="F4523" s="23" t="str">
        <f>IF(OR(E4523="",E4523="!!!"),"",IF(NOT(ISNA(VLOOKUP(E4523,E$1:E4522,1,FALSE()))),"OLD",IF(AND(E4523&lt;&gt;"",E4523&lt;&gt;"!!!"),"NEW","")))</f>
        <v> </v>
      </c>
      <c r="G4523" s="24" t="str">
        <f>IF(OR(E4523="",E4523="!!!"),"",IF(OR(J4523=0,AND(J4523=1,K4523=1),AND(J4523=1,I4523="SBJ"),AND(J4523=1,I4523=0)),"?IN_FOCUS",IF(J4523&lt;=2,"?ACTIVATED",IF(J4523&lt;&gt;"","?FAMILIAR",IF(F4523="NEW",IF(ISNA(VLOOKUP(E4523,#REF!,1,FALSE())),"?TYPE_IDENTIFIABLE","?REFERENTIAL"),"_")))))</f>
        <v> </v>
      </c>
      <c r="H4523" s="25" t="str">
        <f>IF(J4523&lt;&gt;1,"",IF(I4523="SBJ","CB","?"))</f>
        <v> </v>
      </c>
      <c r="I4523" s="26" t="str">
        <f>IF(OR(E4523="",E4523="!!!",F4523="NEW"),"",INDEX(B4522:B$2,-1+SUMPRODUCT(MAX(ROW(E4522:E$2)*(E4523=E4522:E$2)))))</f>
        <v> </v>
      </c>
      <c r="J4523" s="26" t="str">
        <f>IF(OR(E4523="",E4523="!!!",F4523="NEW"),"",COUNTBLANK(OFFSET(A$1,,,SUMPRODUCT(MAX(ROW(E$2:E4523)*(E4523=E$2:E4523)))))-COUNTBLANK(OFFSET(A$1,,,SUMPRODUCT(MAX(ROW(E$1:E4522)*(E2=E$1:E4522))))))</f>
        <v> </v>
      </c>
      <c r="K4523" s="26" t="str">
        <f>IF(OR(E4523="",E4523="!!!",F4523="NEW"),"",INDEX(J$1:J4522,SUMPRODUCT(MAX(ROW(E$1:E4522)*(E4523=E$1:E4522)))))</f>
        <v> </v>
      </c>
      <c r="L4523" s="27"/>
    </row>
    <row r="4524" spans="1:12">
      <c r="A4524" s="20" t="s">
        <v>102</v>
      </c>
      <c r="E4524" s="22">
        <f>IF(D4524="?OLD","!!!","")</f>
        <v/>
      </c>
      <c r="F4524" s="23" t="str">
        <f>IF(OR(E4524="",E4524="!!!"),"",IF(NOT(ISNA(VLOOKUP(E4524,E$1:E4523,1,FALSE()))),"OLD",IF(AND(E4524&lt;&gt;"",E4524&lt;&gt;"!!!"),"NEW","")))</f>
        <v> </v>
      </c>
      <c r="G4524" s="24" t="str">
        <f>IF(OR(E4524="",E4524="!!!"),"",IF(OR(J4524=0,AND(J4524=1,K4524=1),AND(J4524=1,I4524="SBJ"),AND(J4524=1,I4524=0)),"?IN_FOCUS",IF(J4524&lt;=2,"?ACTIVATED",IF(J4524&lt;&gt;"","?FAMILIAR",IF(F4524="NEW",IF(ISNA(VLOOKUP(E4524,#REF!,1,FALSE())),"?TYPE_IDENTIFIABLE","?REFERENTIAL"),"_")))))</f>
        <v> </v>
      </c>
      <c r="H4524" s="25" t="str">
        <f>IF(J4524&lt;&gt;1,"",IF(I4524="SBJ","CB","?"))</f>
        <v> </v>
      </c>
      <c r="I4524" s="26" t="str">
        <f>IF(OR(E4524="",E4524="!!!",F4524="NEW"),"",INDEX(B4523:B$2,-1+SUMPRODUCT(MAX(ROW(E4523:E$2)*(E4524=E4523:E$2)))))</f>
        <v> </v>
      </c>
      <c r="J4524" s="26" t="str">
        <f>IF(OR(E4524="",E4524="!!!",F4524="NEW"),"",COUNTBLANK(OFFSET(A$1,,,SUMPRODUCT(MAX(ROW(E$2:E4524)*(E4524=E$2:E4524)))))-COUNTBLANK(OFFSET(A$1,,,SUMPRODUCT(MAX(ROW(E$1:E4523)*(E2=E$1:E4523))))))</f>
        <v> </v>
      </c>
      <c r="K4524" s="26" t="str">
        <f>IF(OR(E4524="",E4524="!!!",F4524="NEW"),"",INDEX(J$1:J4523,SUMPRODUCT(MAX(ROW(E$1:E4523)*(E4524=E$1:E4523)))))</f>
        <v> </v>
      </c>
      <c r="L4524" s="27"/>
    </row>
    <row r="4525" spans="1:12">
      <c r="A4525" s="20" t="s">
        <v>2196</v>
      </c>
      <c r="B4525" s="21" t="s">
        <v>1033</v>
      </c>
      <c r="C4525" s="21" t="s">
        <v>1017</v>
      </c>
      <c r="D4525" s="21" t="s">
        <v>1007</v>
      </c>
      <c r="E4525" s="22">
        <f>IF(D4525="?OLD","!!!","")</f>
        <v/>
      </c>
      <c r="F4525" s="23" t="str">
        <f>IF(OR(E4525="",E4525="!!!"),"",IF(NOT(ISNA(VLOOKUP(E4525,E$1:E4524,1,FALSE()))),"OLD",IF(AND(E4525&lt;&gt;"",E4525&lt;&gt;"!!!"),"NEW","")))</f>
        <v> </v>
      </c>
      <c r="G4525" s="24" t="str">
        <f>IF(OR(E4525="",E4525="!!!"),"",IF(OR(J4525=0,AND(J4525=1,K4525=1),AND(J4525=1,I4525="SBJ"),AND(J4525=1,I4525=0)),"?IN_FOCUS",IF(J4525&lt;=2,"?ACTIVATED",IF(J4525&lt;&gt;"","?FAMILIAR",IF(F4525="NEW",IF(ISNA(VLOOKUP(E4525,#REF!,1,FALSE())),"?TYPE_IDENTIFIABLE","?REFERENTIAL"),"_")))))</f>
        <v> </v>
      </c>
      <c r="H4525" s="25" t="str">
        <f>IF(J4525&lt;&gt;1,"",IF(I4525="SBJ","CB","?"))</f>
        <v> </v>
      </c>
      <c r="I4525" s="26" t="str">
        <f>IF(OR(E4525="",E4525="!!!",F4525="NEW"),"",INDEX(B4524:B$2,-1+SUMPRODUCT(MAX(ROW(E4524:E$2)*(E4525=E4524:E$2)))))</f>
        <v> </v>
      </c>
      <c r="J4525" s="26" t="str">
        <f>IF(OR(E4525="",E4525="!!!",F4525="NEW"),"",COUNTBLANK(OFFSET(A$1,,,SUMPRODUCT(MAX(ROW(E$2:E4525)*(E4525=E$2:E4525)))))-COUNTBLANK(OFFSET(A$1,,,SUMPRODUCT(MAX(ROW(E$1:E4524)*(E2=E$1:E4524))))))</f>
        <v> </v>
      </c>
      <c r="K4525" s="26" t="str">
        <f>IF(OR(E4525="",E4525="!!!",F4525="NEW"),"",INDEX(J$1:J4524,SUMPRODUCT(MAX(ROW(E$1:E4524)*(E4525=E$1:E4524)))))</f>
        <v> </v>
      </c>
      <c r="L4525" s="27"/>
    </row>
    <row r="4526" spans="1:12">
      <c r="A4526" s="20" t="s">
        <v>1097</v>
      </c>
      <c r="E4526" s="22">
        <f>IF(D4526="?OLD","!!!","")</f>
        <v/>
      </c>
      <c r="F4526" s="23" t="str">
        <f>IF(OR(E4526="",E4526="!!!"),"",IF(NOT(ISNA(VLOOKUP(E4526,E$1:E4525,1,FALSE()))),"OLD",IF(AND(E4526&lt;&gt;"",E4526&lt;&gt;"!!!"),"NEW","")))</f>
        <v> </v>
      </c>
      <c r="G4526" s="24" t="str">
        <f>IF(OR(E4526="",E4526="!!!"),"",IF(OR(J4526=0,AND(J4526=1,K4526=1),AND(J4526=1,I4526="SBJ"),AND(J4526=1,I4526=0)),"?IN_FOCUS",IF(J4526&lt;=2,"?ACTIVATED",IF(J4526&lt;&gt;"","?FAMILIAR",IF(F4526="NEW",IF(ISNA(VLOOKUP(E4526,#REF!,1,FALSE())),"?TYPE_IDENTIFIABLE","?REFERENTIAL"),"_")))))</f>
        <v> </v>
      </c>
      <c r="H4526" s="25" t="str">
        <f>IF(J4526&lt;&gt;1,"",IF(I4526="SBJ","CB","?"))</f>
        <v> </v>
      </c>
      <c r="I4526" s="26" t="str">
        <f>IF(OR(E4526="",E4526="!!!",F4526="NEW"),"",INDEX(B4525:B$2,-1+SUMPRODUCT(MAX(ROW(E4525:E$2)*(E4526=E4525:E$2)))))</f>
        <v> </v>
      </c>
      <c r="J4526" s="26" t="str">
        <f>IF(OR(E4526="",E4526="!!!",F4526="NEW"),"",COUNTBLANK(OFFSET(A$1,,,SUMPRODUCT(MAX(ROW(E$2:E4526)*(E4526=E$2:E4526)))))-COUNTBLANK(OFFSET(A$1,,,SUMPRODUCT(MAX(ROW(E$1:E4525)*(E2=E$1:E4525))))))</f>
        <v> </v>
      </c>
      <c r="K4526" s="26" t="str">
        <f>IF(OR(E4526="",E4526="!!!",F4526="NEW"),"",INDEX(J$1:J4525,SUMPRODUCT(MAX(ROW(E$1:E4525)*(E4526=E$1:E4525)))))</f>
        <v> </v>
      </c>
      <c r="L4526" s="27"/>
    </row>
    <row r="4527" spans="1:12">
      <c r="A4527" s="20" t="s">
        <v>2286</v>
      </c>
      <c r="E4527" s="22">
        <f>IF(D4527="?OLD","!!!","")</f>
        <v/>
      </c>
      <c r="F4527" s="23" t="str">
        <f>IF(OR(E4527="",E4527="!!!"),"",IF(NOT(ISNA(VLOOKUP(E4527,E$1:E4526,1,FALSE()))),"OLD",IF(AND(E4527&lt;&gt;"",E4527&lt;&gt;"!!!"),"NEW","")))</f>
        <v> </v>
      </c>
      <c r="G4527" s="24" t="str">
        <f>IF(OR(E4527="",E4527="!!!"),"",IF(OR(J4527=0,AND(J4527=1,K4527=1),AND(J4527=1,I4527="SBJ"),AND(J4527=1,I4527=0)),"?IN_FOCUS",IF(J4527&lt;=2,"?ACTIVATED",IF(J4527&lt;&gt;"","?FAMILIAR",IF(F4527="NEW",IF(ISNA(VLOOKUP(E4527,#REF!,1,FALSE())),"?TYPE_IDENTIFIABLE","?REFERENTIAL"),"_")))))</f>
        <v> </v>
      </c>
      <c r="H4527" s="25" t="str">
        <f>IF(J4527&lt;&gt;1,"",IF(I4527="SBJ","CB","?"))</f>
        <v> </v>
      </c>
      <c r="I4527" s="26" t="str">
        <f>IF(OR(E4527="",E4527="!!!",F4527="NEW"),"",INDEX(B4526:B$2,-1+SUMPRODUCT(MAX(ROW(E4526:E$2)*(E4527=E4526:E$2)))))</f>
        <v> </v>
      </c>
      <c r="J4527" s="26" t="str">
        <f>IF(OR(E4527="",E4527="!!!",F4527="NEW"),"",COUNTBLANK(OFFSET(A$1,,,SUMPRODUCT(MAX(ROW(E$2:E4527)*(E4527=E$2:E4527)))))-COUNTBLANK(OFFSET(A$1,,,SUMPRODUCT(MAX(ROW(E$1:E4526)*(E2=E$1:E4526))))))</f>
        <v> </v>
      </c>
      <c r="K4527" s="26" t="str">
        <f>IF(OR(E4527="",E4527="!!!",F4527="NEW"),"",INDEX(J$1:J4526,SUMPRODUCT(MAX(ROW(E$1:E4526)*(E4527=E$1:E4526)))))</f>
        <v> </v>
      </c>
      <c r="L4527" s="27"/>
    </row>
    <row r="4528" spans="1:12">
      <c r="A4528" s="20" t="s">
        <v>1273</v>
      </c>
      <c r="E4528" s="22">
        <f>IF(D4528="?OLD","!!!","")</f>
        <v/>
      </c>
      <c r="F4528" s="23" t="str">
        <f>IF(OR(E4528="",E4528="!!!"),"",IF(NOT(ISNA(VLOOKUP(E4528,E$1:E4527,1,FALSE()))),"OLD",IF(AND(E4528&lt;&gt;"",E4528&lt;&gt;"!!!"),"NEW","")))</f>
        <v> </v>
      </c>
      <c r="G4528" s="24" t="str">
        <f>IF(OR(E4528="",E4528="!!!"),"",IF(OR(J4528=0,AND(J4528=1,K4528=1),AND(J4528=1,I4528="SBJ"),AND(J4528=1,I4528=0)),"?IN_FOCUS",IF(J4528&lt;=2,"?ACTIVATED",IF(J4528&lt;&gt;"","?FAMILIAR",IF(F4528="NEW",IF(ISNA(VLOOKUP(E4528,#REF!,1,FALSE())),"?TYPE_IDENTIFIABLE","?REFERENTIAL"),"_")))))</f>
        <v> </v>
      </c>
      <c r="H4528" s="25" t="str">
        <f>IF(J4528&lt;&gt;1,"",IF(I4528="SBJ","CB","?"))</f>
        <v> </v>
      </c>
      <c r="I4528" s="26" t="str">
        <f>IF(OR(E4528="",E4528="!!!",F4528="NEW"),"",INDEX(B4527:B$2,-1+SUMPRODUCT(MAX(ROW(E4527:E$2)*(E4528=E4527:E$2)))))</f>
        <v> </v>
      </c>
      <c r="J4528" s="26" t="str">
        <f>IF(OR(E4528="",E4528="!!!",F4528="NEW"),"",COUNTBLANK(OFFSET(A$1,,,SUMPRODUCT(MAX(ROW(E$2:E4528)*(E4528=E$2:E4528)))))-COUNTBLANK(OFFSET(A$1,,,SUMPRODUCT(MAX(ROW(E$1:E4527)*(E2=E$1:E4527))))))</f>
        <v> </v>
      </c>
      <c r="K4528" s="26" t="str">
        <f>IF(OR(E4528="",E4528="!!!",F4528="NEW"),"",INDEX(J$1:J4527,SUMPRODUCT(MAX(ROW(E$1:E4527)*(E4528=E$1:E4527)))))</f>
        <v> </v>
      </c>
      <c r="L4528" s="27"/>
    </row>
    <row r="4529" spans="1:12">
      <c r="A4529" s="20" t="s">
        <v>1274</v>
      </c>
      <c r="B4529" s="21" t="s">
        <v>1187</v>
      </c>
      <c r="C4529" s="21" t="s">
        <v>1041</v>
      </c>
      <c r="D4529" s="21" t="s">
        <v>1007</v>
      </c>
      <c r="E4529" s="22">
        <f>IF(D4529="?OLD","!!!","")</f>
        <v/>
      </c>
      <c r="F4529" s="23" t="str">
        <f>IF(OR(E4529="",E4529="!!!"),"",IF(NOT(ISNA(VLOOKUP(E4529,E$1:E4528,1,FALSE()))),"OLD",IF(AND(E4529&lt;&gt;"",E4529&lt;&gt;"!!!"),"NEW","")))</f>
        <v> </v>
      </c>
      <c r="G4529" s="24" t="str">
        <f>IF(OR(E4529="",E4529="!!!"),"",IF(OR(J4529=0,AND(J4529=1,K4529=1),AND(J4529=1,I4529="SBJ"),AND(J4529=1,I4529=0)),"?IN_FOCUS",IF(J4529&lt;=2,"?ACTIVATED",IF(J4529&lt;&gt;"","?FAMILIAR",IF(F4529="NEW",IF(ISNA(VLOOKUP(E4529,#REF!,1,FALSE())),"?TYPE_IDENTIFIABLE","?REFERENTIAL"),"_")))))</f>
        <v> </v>
      </c>
      <c r="H4529" s="25" t="str">
        <f>IF(J4529&lt;&gt;1,"",IF(I4529="SBJ","CB","?"))</f>
        <v> </v>
      </c>
      <c r="I4529" s="26" t="str">
        <f>IF(OR(E4529="",E4529="!!!",F4529="NEW"),"",INDEX(B4528:B$2,-1+SUMPRODUCT(MAX(ROW(E4528:E$2)*(E4529=E4528:E$2)))))</f>
        <v> </v>
      </c>
      <c r="J4529" s="26" t="str">
        <f>IF(OR(E4529="",E4529="!!!",F4529="NEW"),"",COUNTBLANK(OFFSET(A$1,,,SUMPRODUCT(MAX(ROW(E$2:E4529)*(E4529=E$2:E4529)))))-COUNTBLANK(OFFSET(A$1,,,SUMPRODUCT(MAX(ROW(E$1:E4528)*(E2=E$1:E4528))))))</f>
        <v> </v>
      </c>
      <c r="K4529" s="26" t="str">
        <f>IF(OR(E4529="",E4529="!!!",F4529="NEW"),"",INDEX(J$1:J4528,SUMPRODUCT(MAX(ROW(E$1:E4528)*(E4529=E$1:E4528)))))</f>
        <v> </v>
      </c>
      <c r="L4529" s="27"/>
    </row>
    <row r="4530" spans="1:12">
      <c r="A4530" s="20" t="s">
        <v>1030</v>
      </c>
      <c r="E4530" s="22">
        <f>IF(D4530="?OLD","!!!","")</f>
        <v/>
      </c>
      <c r="F4530" s="23" t="str">
        <f>IF(OR(E4530="",E4530="!!!"),"",IF(NOT(ISNA(VLOOKUP(E4530,E$1:E4529,1,FALSE()))),"OLD",IF(AND(E4530&lt;&gt;"",E4530&lt;&gt;"!!!"),"NEW","")))</f>
        <v> </v>
      </c>
      <c r="G4530" s="24" t="str">
        <f>IF(OR(E4530="",E4530="!!!"),"",IF(OR(J4530=0,AND(J4530=1,K4530=1),AND(J4530=1,I4530="SBJ"),AND(J4530=1,I4530=0)),"?IN_FOCUS",IF(J4530&lt;=2,"?ACTIVATED",IF(J4530&lt;&gt;"","?FAMILIAR",IF(F4530="NEW",IF(ISNA(VLOOKUP(E4530,#REF!,1,FALSE())),"?TYPE_IDENTIFIABLE","?REFERENTIAL"),"_")))))</f>
        <v> </v>
      </c>
      <c r="H4530" s="25" t="str">
        <f>IF(J4530&lt;&gt;1,"",IF(I4530="SBJ","CB","?"))</f>
        <v> </v>
      </c>
      <c r="I4530" s="26" t="str">
        <f>IF(OR(E4530="",E4530="!!!",F4530="NEW"),"",INDEX(B4529:B$2,-1+SUMPRODUCT(MAX(ROW(E4529:E$2)*(E4530=E4529:E$2)))))</f>
        <v> </v>
      </c>
      <c r="J4530" s="26" t="str">
        <f>IF(OR(E4530="",E4530="!!!",F4530="NEW"),"",COUNTBLANK(OFFSET(A$1,,,SUMPRODUCT(MAX(ROW(E$2:E4530)*(E4530=E$2:E4530)))))-COUNTBLANK(OFFSET(A$1,,,SUMPRODUCT(MAX(ROW(E$1:E4529)*(E2=E$1:E4529))))))</f>
        <v> </v>
      </c>
      <c r="K4530" s="26" t="str">
        <f>IF(OR(E4530="",E4530="!!!",F4530="NEW"),"",INDEX(J$1:J4529,SUMPRODUCT(MAX(ROW(E$1:E4529)*(E4530=E$1:E4529)))))</f>
        <v> </v>
      </c>
      <c r="L4530" s="27"/>
    </row>
    <row r="4531" spans="1:12">
      <c r="A4531" s="20" t="s">
        <v>1923</v>
      </c>
      <c r="B4531" s="21" t="s">
        <v>1033</v>
      </c>
      <c r="C4531" s="21" t="s">
        <v>1048</v>
      </c>
      <c r="E4531" s="22">
        <f>IF(D4531="?OLD","!!!","")</f>
        <v/>
      </c>
      <c r="F4531" s="23" t="str">
        <f>IF(OR(E4531="",E4531="!!!"),"",IF(NOT(ISNA(VLOOKUP(E4531,E$1:E4530,1,FALSE()))),"OLD",IF(AND(E4531&lt;&gt;"",E4531&lt;&gt;"!!!"),"NEW","")))</f>
        <v> </v>
      </c>
      <c r="G4531" s="24" t="str">
        <f>IF(OR(E4531="",E4531="!!!"),"",IF(OR(J4531=0,AND(J4531=1,K4531=1),AND(J4531=1,I4531="SBJ"),AND(J4531=1,I4531=0)),"?IN_FOCUS",IF(J4531&lt;=2,"?ACTIVATED",IF(J4531&lt;&gt;"","?FAMILIAR",IF(F4531="NEW",IF(ISNA(VLOOKUP(E4531,#REF!,1,FALSE())),"?TYPE_IDENTIFIABLE","?REFERENTIAL"),"_")))))</f>
        <v> </v>
      </c>
      <c r="H4531" s="25" t="str">
        <f>IF(J4531&lt;&gt;1,"",IF(I4531="SBJ","CB","?"))</f>
        <v> </v>
      </c>
      <c r="I4531" s="26" t="str">
        <f>IF(OR(E4531="",E4531="!!!",F4531="NEW"),"",INDEX(B4530:B$2,-1+SUMPRODUCT(MAX(ROW(E4530:E$2)*(E4531=E4530:E$2)))))</f>
        <v> </v>
      </c>
      <c r="J4531" s="26" t="str">
        <f>IF(OR(E4531="",E4531="!!!",F4531="NEW"),"",COUNTBLANK(OFFSET(A$1,,,SUMPRODUCT(MAX(ROW(E$2:E4531)*(E4531=E$2:E4531)))))-COUNTBLANK(OFFSET(A$1,,,SUMPRODUCT(MAX(ROW(E$1:E4530)*(E2=E$1:E4530))))))</f>
        <v> </v>
      </c>
      <c r="K4531" s="26" t="str">
        <f>IF(OR(E4531="",E4531="!!!",F4531="NEW"),"",INDEX(J$1:J4530,SUMPRODUCT(MAX(ROW(E$1:E4530)*(E4531=E$1:E4530)))))</f>
        <v> </v>
      </c>
      <c r="L4531" s="27"/>
    </row>
    <row r="4532" spans="1:12">
      <c r="A4532" s="20" t="s">
        <v>1266</v>
      </c>
      <c r="E4532" s="22">
        <f>IF(D4532="?OLD","!!!","")</f>
        <v/>
      </c>
      <c r="F4532" s="23" t="str">
        <f>IF(OR(E4532="",E4532="!!!"),"",IF(NOT(ISNA(VLOOKUP(E4532,E$1:E4531,1,FALSE()))),"OLD",IF(AND(E4532&lt;&gt;"",E4532&lt;&gt;"!!!"),"NEW","")))</f>
        <v> </v>
      </c>
      <c r="G4532" s="24" t="str">
        <f>IF(OR(E4532="",E4532="!!!"),"",IF(OR(J4532=0,AND(J4532=1,K4532=1),AND(J4532=1,I4532="SBJ"),AND(J4532=1,I4532=0)),"?IN_FOCUS",IF(J4532&lt;=2,"?ACTIVATED",IF(J4532&lt;&gt;"","?FAMILIAR",IF(F4532="NEW",IF(ISNA(VLOOKUP(E4532,#REF!,1,FALSE())),"?TYPE_IDENTIFIABLE","?REFERENTIAL"),"_")))))</f>
        <v> </v>
      </c>
      <c r="H4532" s="25" t="str">
        <f>IF(J4532&lt;&gt;1,"",IF(I4532="SBJ","CB","?"))</f>
        <v> </v>
      </c>
      <c r="I4532" s="26" t="str">
        <f>IF(OR(E4532="",E4532="!!!",F4532="NEW"),"",INDEX(B4531:B$2,-1+SUMPRODUCT(MAX(ROW(E4531:E$2)*(E4532=E4531:E$2)))))</f>
        <v> </v>
      </c>
      <c r="J4532" s="26" t="str">
        <f>IF(OR(E4532="",E4532="!!!",F4532="NEW"),"",COUNTBLANK(OFFSET(A$1,,,SUMPRODUCT(MAX(ROW(E$2:E4532)*(E4532=E$2:E4532)))))-COUNTBLANK(OFFSET(A$1,,,SUMPRODUCT(MAX(ROW(E$1:E4531)*(E2=E$1:E4531))))))</f>
        <v> </v>
      </c>
      <c r="K4532" s="26" t="str">
        <f>IF(OR(E4532="",E4532="!!!",F4532="NEW"),"",INDEX(J$1:J4531,SUMPRODUCT(MAX(ROW(E$1:E4531)*(E4532=E$1:E4531)))))</f>
        <v> </v>
      </c>
      <c r="L4532" s="27"/>
    </row>
    <row r="4533" spans="1:12">
      <c r="A4533" s="20" t="s">
        <v>2287</v>
      </c>
      <c r="E4533" s="22">
        <f>IF(D4533="?OLD","!!!","")</f>
        <v/>
      </c>
      <c r="F4533" s="23" t="str">
        <f>IF(OR(E4533="",E4533="!!!"),"",IF(NOT(ISNA(VLOOKUP(E4533,E$1:E4532,1,FALSE()))),"OLD",IF(AND(E4533&lt;&gt;"",E4533&lt;&gt;"!!!"),"NEW","")))</f>
        <v> </v>
      </c>
      <c r="G4533" s="24" t="str">
        <f>IF(OR(E4533="",E4533="!!!"),"",IF(OR(J4533=0,AND(J4533=1,K4533=1),AND(J4533=1,I4533="SBJ"),AND(J4533=1,I4533=0)),"?IN_FOCUS",IF(J4533&lt;=2,"?ACTIVATED",IF(J4533&lt;&gt;"","?FAMILIAR",IF(F4533="NEW",IF(ISNA(VLOOKUP(E4533,#REF!,1,FALSE())),"?TYPE_IDENTIFIABLE","?REFERENTIAL"),"_")))))</f>
        <v> </v>
      </c>
      <c r="H4533" s="25" t="str">
        <f>IF(J4533&lt;&gt;1,"",IF(I4533="SBJ","CB","?"))</f>
        <v> </v>
      </c>
      <c r="I4533" s="26" t="str">
        <f>IF(OR(E4533="",E4533="!!!",F4533="NEW"),"",INDEX(B4532:B$2,-1+SUMPRODUCT(MAX(ROW(E4532:E$2)*(E4533=E4532:E$2)))))</f>
        <v> </v>
      </c>
      <c r="J4533" s="26" t="str">
        <f>IF(OR(E4533="",E4533="!!!",F4533="NEW"),"",COUNTBLANK(OFFSET(A$1,,,SUMPRODUCT(MAX(ROW(E$2:E4533)*(E4533=E$2:E4533)))))-COUNTBLANK(OFFSET(A$1,,,SUMPRODUCT(MAX(ROW(E$1:E4532)*(E2=E$1:E4532))))))</f>
        <v> </v>
      </c>
      <c r="K4533" s="26" t="str">
        <f>IF(OR(E4533="",E4533="!!!",F4533="NEW"),"",INDEX(J$1:J4532,SUMPRODUCT(MAX(ROW(E$1:E4532)*(E4533=E$1:E4532)))))</f>
        <v> </v>
      </c>
      <c r="L4533" s="27"/>
    </row>
    <row r="4534" spans="1:12">
      <c r="A4534" s="20" t="s">
        <v>2262</v>
      </c>
      <c r="B4534" s="21" t="s">
        <v>1064</v>
      </c>
      <c r="C4534" s="21" t="s">
        <v>1013</v>
      </c>
      <c r="D4534" s="21" t="s">
        <v>1007</v>
      </c>
      <c r="E4534" s="22">
        <f>IF(D4534="?OLD","!!!","")</f>
        <v/>
      </c>
      <c r="F4534" s="23" t="str">
        <f>IF(OR(E4534="",E4534="!!!"),"",IF(NOT(ISNA(VLOOKUP(E4534,E$1:E4533,1,FALSE()))),"OLD",IF(AND(E4534&lt;&gt;"",E4534&lt;&gt;"!!!"),"NEW","")))</f>
        <v> </v>
      </c>
      <c r="G4534" s="24" t="str">
        <f>IF(OR(E4534="",E4534="!!!"),"",IF(OR(J4534=0,AND(J4534=1,K4534=1),AND(J4534=1,I4534="SBJ"),AND(J4534=1,I4534=0)),"?IN_FOCUS",IF(J4534&lt;=2,"?ACTIVATED",IF(J4534&lt;&gt;"","?FAMILIAR",IF(F4534="NEW",IF(ISNA(VLOOKUP(E4534,#REF!,1,FALSE())),"?TYPE_IDENTIFIABLE","?REFERENTIAL"),"_")))))</f>
        <v> </v>
      </c>
      <c r="H4534" s="25" t="str">
        <f>IF(J4534&lt;&gt;1,"",IF(I4534="SBJ","CB","?"))</f>
        <v> </v>
      </c>
      <c r="I4534" s="26" t="str">
        <f>IF(OR(E4534="",E4534="!!!",F4534="NEW"),"",INDEX(B4533:B$2,-1+SUMPRODUCT(MAX(ROW(E4533:E$2)*(E4534=E4533:E$2)))))</f>
        <v> </v>
      </c>
      <c r="J4534" s="26" t="str">
        <f>IF(OR(E4534="",E4534="!!!",F4534="NEW"),"",COUNTBLANK(OFFSET(A$1,,,SUMPRODUCT(MAX(ROW(E$2:E4534)*(E4534=E$2:E4534)))))-COUNTBLANK(OFFSET(A$1,,,SUMPRODUCT(MAX(ROW(E$1:E4533)*(E2=E$1:E4533))))))</f>
        <v> </v>
      </c>
      <c r="K4534" s="26" t="str">
        <f>IF(OR(E4534="",E4534="!!!",F4534="NEW"),"",INDEX(J$1:J4533,SUMPRODUCT(MAX(ROW(E$1:E4533)*(E4534=E$1:E4533)))))</f>
        <v> </v>
      </c>
      <c r="L4534" s="27"/>
    </row>
    <row r="4535" spans="1:12">
      <c r="A4535" s="20" t="s">
        <v>1014</v>
      </c>
      <c r="E4535" s="22">
        <f>IF(D4535="?OLD","!!!","")</f>
        <v/>
      </c>
      <c r="F4535" s="23" t="str">
        <f>IF(OR(E4535="",E4535="!!!"),"",IF(NOT(ISNA(VLOOKUP(E4535,E$1:E4534,1,FALSE()))),"OLD",IF(AND(E4535&lt;&gt;"",E4535&lt;&gt;"!!!"),"NEW","")))</f>
        <v> </v>
      </c>
      <c r="G4535" s="24" t="str">
        <f>IF(OR(E4535="",E4535="!!!"),"",IF(OR(J4535=0,AND(J4535=1,K4535=1),AND(J4535=1,I4535="SBJ"),AND(J4535=1,I4535=0)),"?IN_FOCUS",IF(J4535&lt;=2,"?ACTIVATED",IF(J4535&lt;&gt;"","?FAMILIAR",IF(F4535="NEW",IF(ISNA(VLOOKUP(E4535,#REF!,1,FALSE())),"?TYPE_IDENTIFIABLE","?REFERENTIAL"),"_")))))</f>
        <v> </v>
      </c>
      <c r="H4535" s="25" t="str">
        <f>IF(J4535&lt;&gt;1,"",IF(I4535="SBJ","CB","?"))</f>
        <v> </v>
      </c>
      <c r="I4535" s="26" t="str">
        <f>IF(OR(E4535="",E4535="!!!",F4535="NEW"),"",INDEX(B4534:B$2,-1+SUMPRODUCT(MAX(ROW(E4534:E$2)*(E4535=E4534:E$2)))))</f>
        <v> </v>
      </c>
      <c r="J4535" s="26" t="str">
        <f>IF(OR(E4535="",E4535="!!!",F4535="NEW"),"",COUNTBLANK(OFFSET(A$1,,,SUMPRODUCT(MAX(ROW(E$2:E4535)*(E4535=E$2:E4535)))))-COUNTBLANK(OFFSET(A$1,,,SUMPRODUCT(MAX(ROW(E$1:E4534)*(E2=E$1:E4534))))))</f>
        <v> </v>
      </c>
      <c r="K4535" s="26" t="str">
        <f>IF(OR(E4535="",E4535="!!!",F4535="NEW"),"",INDEX(J$1:J4534,SUMPRODUCT(MAX(ROW(E$1:E4534)*(E4535=E$1:E4534)))))</f>
        <v> </v>
      </c>
      <c r="L4535" s="27"/>
    </row>
    <row r="4536" spans="1:12">
      <c r="A4536" s="20" t="s">
        <v>102</v>
      </c>
      <c r="E4536" s="22">
        <f>IF(D4536="?OLD","!!!","")</f>
        <v/>
      </c>
      <c r="F4536" s="23" t="str">
        <f>IF(OR(E4536="",E4536="!!!"),"",IF(NOT(ISNA(VLOOKUP(E4536,E$1:E4535,1,FALSE()))),"OLD",IF(AND(E4536&lt;&gt;"",E4536&lt;&gt;"!!!"),"NEW","")))</f>
        <v> </v>
      </c>
      <c r="G4536" s="24" t="str">
        <f>IF(OR(E4536="",E4536="!!!"),"",IF(OR(J4536=0,AND(J4536=1,K4536=1),AND(J4536=1,I4536="SBJ"),AND(J4536=1,I4536=0)),"?IN_FOCUS",IF(J4536&lt;=2,"?ACTIVATED",IF(J4536&lt;&gt;"","?FAMILIAR",IF(F4536="NEW",IF(ISNA(VLOOKUP(E4536,#REF!,1,FALSE())),"?TYPE_IDENTIFIABLE","?REFERENTIAL"),"_")))))</f>
        <v> </v>
      </c>
      <c r="H4536" s="25" t="str">
        <f>IF(J4536&lt;&gt;1,"",IF(I4536="SBJ","CB","?"))</f>
        <v> </v>
      </c>
      <c r="I4536" s="26" t="str">
        <f>IF(OR(E4536="",E4536="!!!",F4536="NEW"),"",INDEX(B4535:B$2,-1+SUMPRODUCT(MAX(ROW(E4535:E$2)*(E4536=E4535:E$2)))))</f>
        <v> </v>
      </c>
      <c r="J4536" s="26" t="str">
        <f>IF(OR(E4536="",E4536="!!!",F4536="NEW"),"",COUNTBLANK(OFFSET(A$1,,,SUMPRODUCT(MAX(ROW(E$2:E4536)*(E4536=E$2:E4536)))))-COUNTBLANK(OFFSET(A$1,,,SUMPRODUCT(MAX(ROW(E$1:E4535)*(E2=E$1:E4535))))))</f>
        <v> </v>
      </c>
      <c r="K4536" s="26" t="str">
        <f>IF(OR(E4536="",E4536="!!!",F4536="NEW"),"",INDEX(J$1:J4535,SUMPRODUCT(MAX(ROW(E$1:E4535)*(E4536=E$1:E4535)))))</f>
        <v> </v>
      </c>
      <c r="L4536" s="27"/>
    </row>
    <row r="4537" spans="1:12">
      <c r="A4537" s="20" t="s">
        <v>576</v>
      </c>
      <c r="B4537" s="21" t="s">
        <v>1130</v>
      </c>
      <c r="C4537" s="21" t="s">
        <v>1017</v>
      </c>
      <c r="D4537" s="21" t="s">
        <v>1007</v>
      </c>
      <c r="E4537" s="22">
        <f>IF(D4537="?OLD","!!!","")</f>
        <v/>
      </c>
      <c r="F4537" s="23" t="str">
        <f>IF(OR(E4537="",E4537="!!!"),"",IF(NOT(ISNA(VLOOKUP(E4537,E$1:E4536,1,FALSE()))),"OLD",IF(AND(E4537&lt;&gt;"",E4537&lt;&gt;"!!!"),"NEW","")))</f>
        <v> </v>
      </c>
      <c r="G4537" s="24" t="str">
        <f>IF(OR(E4537="",E4537="!!!"),"",IF(OR(J4537=0,AND(J4537=1,K4537=1),AND(J4537=1,I4537="SBJ"),AND(J4537=1,I4537=0)),"?IN_FOCUS",IF(J4537&lt;=2,"?ACTIVATED",IF(J4537&lt;&gt;"","?FAMILIAR",IF(F4537="NEW",IF(ISNA(VLOOKUP(E4537,#REF!,1,FALSE())),"?TYPE_IDENTIFIABLE","?REFERENTIAL"),"_")))))</f>
        <v> </v>
      </c>
      <c r="H4537" s="25" t="str">
        <f>IF(J4537&lt;&gt;1,"",IF(I4537="SBJ","CB","?"))</f>
        <v> </v>
      </c>
      <c r="I4537" s="26" t="str">
        <f>IF(OR(E4537="",E4537="!!!",F4537="NEW"),"",INDEX(B4536:B$2,-1+SUMPRODUCT(MAX(ROW(E4536:E$2)*(E4537=E4536:E$2)))))</f>
        <v> </v>
      </c>
      <c r="J4537" s="26" t="str">
        <f>IF(OR(E4537="",E4537="!!!",F4537="NEW"),"",COUNTBLANK(OFFSET(A$1,,,SUMPRODUCT(MAX(ROW(E$2:E4537)*(E4537=E$2:E4537)))))-COUNTBLANK(OFFSET(A$1,,,SUMPRODUCT(MAX(ROW(E$1:E4536)*(E2=E$1:E4536))))))</f>
        <v> </v>
      </c>
      <c r="K4537" s="26" t="str">
        <f>IF(OR(E4537="",E4537="!!!",F4537="NEW"),"",INDEX(J$1:J4536,SUMPRODUCT(MAX(ROW(E$1:E4536)*(E4537=E$1:E4536)))))</f>
        <v> </v>
      </c>
      <c r="L4537" s="27"/>
    </row>
    <row r="4538" spans="1:12">
      <c r="A4538" s="20" t="s">
        <v>1018</v>
      </c>
      <c r="E4538" s="22">
        <f>IF(D4538="?OLD","!!!","")</f>
        <v/>
      </c>
      <c r="F4538" s="23" t="str">
        <f>IF(OR(E4538="",E4538="!!!"),"",IF(NOT(ISNA(VLOOKUP(E4538,E$1:E4537,1,FALSE()))),"OLD",IF(AND(E4538&lt;&gt;"",E4538&lt;&gt;"!!!"),"NEW","")))</f>
        <v> </v>
      </c>
      <c r="G4538" s="24" t="str">
        <f>IF(OR(E4538="",E4538="!!!"),"",IF(OR(J4538=0,AND(J4538=1,K4538=1),AND(J4538=1,I4538="SBJ"),AND(J4538=1,I4538=0)),"?IN_FOCUS",IF(J4538&lt;=2,"?ACTIVATED",IF(J4538&lt;&gt;"","?FAMILIAR",IF(F4538="NEW",IF(ISNA(VLOOKUP(E4538,#REF!,1,FALSE())),"?TYPE_IDENTIFIABLE","?REFERENTIAL"),"_")))))</f>
        <v> </v>
      </c>
      <c r="H4538" s="25" t="str">
        <f>IF(J4538&lt;&gt;1,"",IF(I4538="SBJ","CB","?"))</f>
        <v> </v>
      </c>
      <c r="I4538" s="26" t="str">
        <f>IF(OR(E4538="",E4538="!!!",F4538="NEW"),"",INDEX(B4537:B$2,-1+SUMPRODUCT(MAX(ROW(E4537:E$2)*(E4538=E4537:E$2)))))</f>
        <v> </v>
      </c>
      <c r="J4538" s="26" t="str">
        <f>IF(OR(E4538="",E4538="!!!",F4538="NEW"),"",COUNTBLANK(OFFSET(A$1,,,SUMPRODUCT(MAX(ROW(E$2:E4538)*(E4538=E$2:E4538)))))-COUNTBLANK(OFFSET(A$1,,,SUMPRODUCT(MAX(ROW(E$1:E4537)*(E2=E$1:E4537))))))</f>
        <v> </v>
      </c>
      <c r="K4538" s="26" t="str">
        <f>IF(OR(E4538="",E4538="!!!",F4538="NEW"),"",INDEX(J$1:J4537,SUMPRODUCT(MAX(ROW(E$1:E4537)*(E4538=E$1:E4537)))))</f>
        <v> </v>
      </c>
      <c r="L4538" s="27"/>
    </row>
    <row r="4539" spans="1:12">
      <c r="A4539" s="20" t="s">
        <v>1266</v>
      </c>
      <c r="E4539" s="22">
        <f>IF(D4539="?OLD","!!!","")</f>
        <v/>
      </c>
      <c r="F4539" s="23" t="str">
        <f>IF(OR(E4539="",E4539="!!!"),"",IF(NOT(ISNA(VLOOKUP(E4539,E$1:E4538,1,FALSE()))),"OLD",IF(AND(E4539&lt;&gt;"",E4539&lt;&gt;"!!!"),"NEW","")))</f>
        <v> </v>
      </c>
      <c r="G4539" s="24" t="str">
        <f>IF(OR(E4539="",E4539="!!!"),"",IF(OR(J4539=0,AND(J4539=1,K4539=1),AND(J4539=1,I4539="SBJ"),AND(J4539=1,I4539=0)),"?IN_FOCUS",IF(J4539&lt;=2,"?ACTIVATED",IF(J4539&lt;&gt;"","?FAMILIAR",IF(F4539="NEW",IF(ISNA(VLOOKUP(E4539,#REF!,1,FALSE())),"?TYPE_IDENTIFIABLE","?REFERENTIAL"),"_")))))</f>
        <v> </v>
      </c>
      <c r="H4539" s="25" t="str">
        <f>IF(J4539&lt;&gt;1,"",IF(I4539="SBJ","CB","?"))</f>
        <v> </v>
      </c>
      <c r="I4539" s="26" t="str">
        <f>IF(OR(E4539="",E4539="!!!",F4539="NEW"),"",INDEX(B4538:B$2,-1+SUMPRODUCT(MAX(ROW(E4538:E$2)*(E4539=E4538:E$2)))))</f>
        <v> </v>
      </c>
      <c r="J4539" s="26" t="str">
        <f>IF(OR(E4539="",E4539="!!!",F4539="NEW"),"",COUNTBLANK(OFFSET(A$1,,,SUMPRODUCT(MAX(ROW(E$2:E4539)*(E4539=E$2:E4539)))))-COUNTBLANK(OFFSET(A$1,,,SUMPRODUCT(MAX(ROW(E$1:E4538)*(E2=E$1:E4538))))))</f>
        <v> </v>
      </c>
      <c r="K4539" s="26" t="str">
        <f>IF(OR(E4539="",E4539="!!!",F4539="NEW"),"",INDEX(J$1:J4538,SUMPRODUCT(MAX(ROW(E$1:E4538)*(E4539=E$1:E4538)))))</f>
        <v> </v>
      </c>
      <c r="L4539" s="27"/>
    </row>
    <row r="4540" spans="1:12">
      <c r="A4540" s="20" t="s">
        <v>320</v>
      </c>
      <c r="E4540" s="22">
        <f>IF(D4540="?OLD","!!!","")</f>
        <v/>
      </c>
      <c r="F4540" s="23" t="str">
        <f>IF(OR(E4540="",E4540="!!!"),"",IF(NOT(ISNA(VLOOKUP(E4540,E$1:E4539,1,FALSE()))),"OLD",IF(AND(E4540&lt;&gt;"",E4540&lt;&gt;"!!!"),"NEW","")))</f>
        <v> </v>
      </c>
      <c r="G4540" s="24" t="str">
        <f>IF(OR(E4540="",E4540="!!!"),"",IF(OR(J4540=0,AND(J4540=1,K4540=1),AND(J4540=1,I4540="SBJ"),AND(J4540=1,I4540=0)),"?IN_FOCUS",IF(J4540&lt;=2,"?ACTIVATED",IF(J4540&lt;&gt;"","?FAMILIAR",IF(F4540="NEW",IF(ISNA(VLOOKUP(E4540,#REF!,1,FALSE())),"?TYPE_IDENTIFIABLE","?REFERENTIAL"),"_")))))</f>
        <v> </v>
      </c>
      <c r="H4540" s="25" t="str">
        <f>IF(J4540&lt;&gt;1,"",IF(I4540="SBJ","CB","?"))</f>
        <v> </v>
      </c>
      <c r="I4540" s="26" t="str">
        <f>IF(OR(E4540="",E4540="!!!",F4540="NEW"),"",INDEX(B4539:B$2,-1+SUMPRODUCT(MAX(ROW(E4539:E$2)*(E4540=E4539:E$2)))))</f>
        <v> </v>
      </c>
      <c r="J4540" s="26" t="str">
        <f>IF(OR(E4540="",E4540="!!!",F4540="NEW"),"",COUNTBLANK(OFFSET(A$1,,,SUMPRODUCT(MAX(ROW(E$2:E4540)*(E4540=E$2:E4540)))))-COUNTBLANK(OFFSET(A$1,,,SUMPRODUCT(MAX(ROW(E$1:E4539)*(E2=E$1:E4539))))))</f>
        <v> </v>
      </c>
      <c r="K4540" s="26" t="str">
        <f>IF(OR(E4540="",E4540="!!!",F4540="NEW"),"",INDEX(J$1:J4539,SUMPRODUCT(MAX(ROW(E$1:E4539)*(E4540=E$1:E4539)))))</f>
        <v> </v>
      </c>
      <c r="L4540" s="27"/>
    </row>
    <row r="4541" spans="1:12">
      <c r="A4541" s="20" t="s">
        <v>1020</v>
      </c>
      <c r="E4541" s="22">
        <f>IF(D4541="?OLD","!!!","")</f>
        <v/>
      </c>
      <c r="F4541" s="23" t="str">
        <f>IF(OR(E4541="",E4541="!!!"),"",IF(NOT(ISNA(VLOOKUP(E4541,E$1:E4540,1,FALSE()))),"OLD",IF(AND(E4541&lt;&gt;"",E4541&lt;&gt;"!!!"),"NEW","")))</f>
        <v> </v>
      </c>
      <c r="G4541" s="24" t="str">
        <f>IF(OR(E4541="",E4541="!!!"),"",IF(OR(J4541=0,AND(J4541=1,K4541=1),AND(J4541=1,I4541="SBJ"),AND(J4541=1,I4541=0)),"?IN_FOCUS",IF(J4541&lt;=2,"?ACTIVATED",IF(J4541&lt;&gt;"","?FAMILIAR",IF(F4541="NEW",IF(ISNA(VLOOKUP(E4541,#REF!,1,FALSE())),"?TYPE_IDENTIFIABLE","?REFERENTIAL"),"_")))))</f>
        <v> </v>
      </c>
      <c r="H4541" s="25" t="str">
        <f>IF(J4541&lt;&gt;1,"",IF(I4541="SBJ","CB","?"))</f>
        <v> </v>
      </c>
      <c r="I4541" s="26" t="str">
        <f>IF(OR(E4541="",E4541="!!!",F4541="NEW"),"",INDEX(B4540:B$2,-1+SUMPRODUCT(MAX(ROW(E4540:E$2)*(E4541=E4540:E$2)))))</f>
        <v> </v>
      </c>
      <c r="J4541" s="26" t="str">
        <f>IF(OR(E4541="",E4541="!!!",F4541="NEW"),"",COUNTBLANK(OFFSET(A$1,,,SUMPRODUCT(MAX(ROW(E$2:E4541)*(E4541=E$2:E4541)))))-COUNTBLANK(OFFSET(A$1,,,SUMPRODUCT(MAX(ROW(E$1:E4540)*(E2=E$1:E4540))))))</f>
        <v> </v>
      </c>
      <c r="K4541" s="26" t="str">
        <f>IF(OR(E4541="",E4541="!!!",F4541="NEW"),"",INDEX(J$1:J4540,SUMPRODUCT(MAX(ROW(E$1:E4540)*(E4541=E$1:E4540)))))</f>
        <v> </v>
      </c>
      <c r="L4541" s="27"/>
    </row>
    <row r="4542" spans="1:12">
      <c r="A4542" s="20" t="s">
        <v>102</v>
      </c>
      <c r="E4542" s="22">
        <f>IF(D4542="?OLD","!!!","")</f>
        <v/>
      </c>
      <c r="F4542" s="23" t="str">
        <f>IF(OR(E4542="",E4542="!!!"),"",IF(NOT(ISNA(VLOOKUP(E4542,E$1:E4541,1,FALSE()))),"OLD",IF(AND(E4542&lt;&gt;"",E4542&lt;&gt;"!!!"),"NEW","")))</f>
        <v> </v>
      </c>
      <c r="G4542" s="24" t="str">
        <f>IF(OR(E4542="",E4542="!!!"),"",IF(OR(J4542=0,AND(J4542=1,K4542=1),AND(J4542=1,I4542="SBJ"),AND(J4542=1,I4542=0)),"?IN_FOCUS",IF(J4542&lt;=2,"?ACTIVATED",IF(J4542&lt;&gt;"","?FAMILIAR",IF(F4542="NEW",IF(ISNA(VLOOKUP(E4542,#REF!,1,FALSE())),"?TYPE_IDENTIFIABLE","?REFERENTIAL"),"_")))))</f>
        <v> </v>
      </c>
      <c r="H4542" s="25" t="str">
        <f>IF(J4542&lt;&gt;1,"",IF(I4542="SBJ","CB","?"))</f>
        <v> </v>
      </c>
      <c r="I4542" s="26" t="str">
        <f>IF(OR(E4542="",E4542="!!!",F4542="NEW"),"",INDEX(B4541:B$2,-1+SUMPRODUCT(MAX(ROW(E4541:E$2)*(E4542=E4541:E$2)))))</f>
        <v> </v>
      </c>
      <c r="J4542" s="26" t="str">
        <f>IF(OR(E4542="",E4542="!!!",F4542="NEW"),"",COUNTBLANK(OFFSET(A$1,,,SUMPRODUCT(MAX(ROW(E$2:E4542)*(E4542=E$2:E4542)))))-COUNTBLANK(OFFSET(A$1,,,SUMPRODUCT(MAX(ROW(E$1:E4541)*(E2=E$1:E4541))))))</f>
        <v> </v>
      </c>
      <c r="K4542" s="26" t="str">
        <f>IF(OR(E4542="",E4542="!!!",F4542="NEW"),"",INDEX(J$1:J4541,SUMPRODUCT(MAX(ROW(E$1:E4541)*(E4542=E$1:E4541)))))</f>
        <v> </v>
      </c>
      <c r="L4542" s="27"/>
    </row>
    <row r="4543" spans="1:12">
      <c r="A4543" s="20" t="s">
        <v>1344</v>
      </c>
      <c r="B4543" s="21" t="s">
        <v>1029</v>
      </c>
      <c r="C4543" s="21" t="s">
        <v>1017</v>
      </c>
      <c r="D4543" s="21" t="s">
        <v>1007</v>
      </c>
      <c r="E4543" s="22">
        <f>IF(D4543="?OLD","!!!","")</f>
        <v/>
      </c>
      <c r="F4543" s="23" t="str">
        <f>IF(OR(E4543="",E4543="!!!"),"",IF(NOT(ISNA(VLOOKUP(E4543,E$1:E4542,1,FALSE()))),"OLD",IF(AND(E4543&lt;&gt;"",E4543&lt;&gt;"!!!"),"NEW","")))</f>
        <v> </v>
      </c>
      <c r="G4543" s="24" t="str">
        <f>IF(OR(E4543="",E4543="!!!"),"",IF(OR(J4543=0,AND(J4543=1,K4543=1),AND(J4543=1,I4543="SBJ"),AND(J4543=1,I4543=0)),"?IN_FOCUS",IF(J4543&lt;=2,"?ACTIVATED",IF(J4543&lt;&gt;"","?FAMILIAR",IF(F4543="NEW",IF(ISNA(VLOOKUP(E4543,#REF!,1,FALSE())),"?TYPE_IDENTIFIABLE","?REFERENTIAL"),"_")))))</f>
        <v> </v>
      </c>
      <c r="H4543" s="25" t="str">
        <f>IF(J4543&lt;&gt;1,"",IF(I4543="SBJ","CB","?"))</f>
        <v> </v>
      </c>
      <c r="I4543" s="26" t="str">
        <f>IF(OR(E4543="",E4543="!!!",F4543="NEW"),"",INDEX(B4542:B$2,-1+SUMPRODUCT(MAX(ROW(E4542:E$2)*(E4543=E4542:E$2)))))</f>
        <v> </v>
      </c>
      <c r="J4543" s="26" t="str">
        <f>IF(OR(E4543="",E4543="!!!",F4543="NEW"),"",COUNTBLANK(OFFSET(A$1,,,SUMPRODUCT(MAX(ROW(E$2:E4543)*(E4543=E$2:E4543)))))-COUNTBLANK(OFFSET(A$1,,,SUMPRODUCT(MAX(ROW(E$1:E4542)*(E2=E$1:E4542))))))</f>
        <v> </v>
      </c>
      <c r="K4543" s="26" t="str">
        <f>IF(OR(E4543="",E4543="!!!",F4543="NEW"),"",INDEX(J$1:J4542,SUMPRODUCT(MAX(ROW(E$1:E4542)*(E4543=E$1:E4542)))))</f>
        <v> </v>
      </c>
      <c r="L4543" s="27"/>
    </row>
    <row r="4544" spans="1:12">
      <c r="A4544" s="20" t="s">
        <v>1194</v>
      </c>
      <c r="E4544" s="22">
        <f>IF(D4544="?OLD","!!!","")</f>
        <v/>
      </c>
      <c r="F4544" s="23" t="str">
        <f>IF(OR(E4544="",E4544="!!!"),"",IF(NOT(ISNA(VLOOKUP(E4544,E$1:E4543,1,FALSE()))),"OLD",IF(AND(E4544&lt;&gt;"",E4544&lt;&gt;"!!!"),"NEW","")))</f>
        <v> </v>
      </c>
      <c r="G4544" s="24" t="str">
        <f>IF(OR(E4544="",E4544="!!!"),"",IF(OR(J4544=0,AND(J4544=1,K4544=1),AND(J4544=1,I4544="SBJ"),AND(J4544=1,I4544=0)),"?IN_FOCUS",IF(J4544&lt;=2,"?ACTIVATED",IF(J4544&lt;&gt;"","?FAMILIAR",IF(F4544="NEW",IF(ISNA(VLOOKUP(E4544,#REF!,1,FALSE())),"?TYPE_IDENTIFIABLE","?REFERENTIAL"),"_")))))</f>
        <v> </v>
      </c>
      <c r="H4544" s="25" t="str">
        <f>IF(J4544&lt;&gt;1,"",IF(I4544="SBJ","CB","?"))</f>
        <v> </v>
      </c>
      <c r="I4544" s="26" t="str">
        <f>IF(OR(E4544="",E4544="!!!",F4544="NEW"),"",INDEX(B4543:B$2,-1+SUMPRODUCT(MAX(ROW(E4543:E$2)*(E4544=E4543:E$2)))))</f>
        <v> </v>
      </c>
      <c r="J4544" s="26" t="str">
        <f>IF(OR(E4544="",E4544="!!!",F4544="NEW"),"",COUNTBLANK(OFFSET(A$1,,,SUMPRODUCT(MAX(ROW(E$2:E4544)*(E4544=E$2:E4544)))))-COUNTBLANK(OFFSET(A$1,,,SUMPRODUCT(MAX(ROW(E$1:E4543)*(E2=E$1:E4543))))))</f>
        <v> </v>
      </c>
      <c r="K4544" s="26" t="str">
        <f>IF(OR(E4544="",E4544="!!!",F4544="NEW"),"",INDEX(J$1:J4543,SUMPRODUCT(MAX(ROW(E$1:E4543)*(E4544=E$1:E4543)))))</f>
        <v> </v>
      </c>
      <c r="L4544" s="27"/>
    </row>
    <row r="4545" spans="1:12">
      <c r="A4545" s="20" t="s">
        <v>1023</v>
      </c>
      <c r="E4545" s="22">
        <f>IF(D4545="?OLD","!!!","")</f>
        <v/>
      </c>
      <c r="F4545" s="23" t="str">
        <f>IF(OR(E4545="",E4545="!!!"),"",IF(NOT(ISNA(VLOOKUP(E4545,E$1:E4544,1,FALSE()))),"OLD",IF(AND(E4545&lt;&gt;"",E4545&lt;&gt;"!!!"),"NEW","")))</f>
        <v> </v>
      </c>
      <c r="G4545" s="24" t="str">
        <f>IF(OR(E4545="",E4545="!!!"),"",IF(OR(J4545=0,AND(J4545=1,K4545=1),AND(J4545=1,I4545="SBJ"),AND(J4545=1,I4545=0)),"?IN_FOCUS",IF(J4545&lt;=2,"?ACTIVATED",IF(J4545&lt;&gt;"","?FAMILIAR",IF(F4545="NEW",IF(ISNA(VLOOKUP(E4545,#REF!,1,FALSE())),"?TYPE_IDENTIFIABLE","?REFERENTIAL"),"_")))))</f>
        <v> </v>
      </c>
      <c r="H4545" s="25" t="str">
        <f>IF(J4545&lt;&gt;1,"",IF(I4545="SBJ","CB","?"))</f>
        <v> </v>
      </c>
      <c r="I4545" s="26" t="str">
        <f>IF(OR(E4545="",E4545="!!!",F4545="NEW"),"",INDEX(B4544:B$2,-1+SUMPRODUCT(MAX(ROW(E4544:E$2)*(E4545=E4544:E$2)))))</f>
        <v> </v>
      </c>
      <c r="J4545" s="26" t="str">
        <f>IF(OR(E4545="",E4545="!!!",F4545="NEW"),"",COUNTBLANK(OFFSET(A$1,,,SUMPRODUCT(MAX(ROW(E$2:E4545)*(E4545=E$2:E4545)))))-COUNTBLANK(OFFSET(A$1,,,SUMPRODUCT(MAX(ROW(E$1:E4544)*(E2=E$1:E4544))))))</f>
        <v> </v>
      </c>
      <c r="K4545" s="26" t="str">
        <f>IF(OR(E4545="",E4545="!!!",F4545="NEW"),"",INDEX(J$1:J4544,SUMPRODUCT(MAX(ROW(E$1:E4544)*(E4545=E$1:E4544)))))</f>
        <v> </v>
      </c>
      <c r="L4545" s="27"/>
    </row>
    <row r="4546" spans="1:12">
      <c r="A4546" s="20"/>
    </row>
    <row r="4547" spans="1:12">
      <c r="A4547" s="20" t="s">
        <v>2288</v>
      </c>
    </row>
    <row r="4548" spans="1:12">
      <c r="A4548" s="20" t="s">
        <v>1449</v>
      </c>
      <c r="E4548" s="22">
        <f>IF(D4548="?OLD","!!!","")</f>
        <v/>
      </c>
      <c r="F4548" s="23" t="str">
        <f>IF(OR(E4548="",E4548="!!!"),"",IF(NOT(ISNA(VLOOKUP(E4548,E$1:E4547,1,FALSE()))),"OLD",IF(AND(E4548&lt;&gt;"",E4548&lt;&gt;"!!!"),"NEW","")))</f>
        <v> </v>
      </c>
      <c r="G4548" s="24" t="str">
        <f>IF(OR(E4548="",E4548="!!!"),"",IF(OR(J4548=0,AND(J4548=1,K4548=1),AND(J4548=1,I4548="SBJ"),AND(J4548=1,I4548=0)),"?IN_FOCUS",IF(J4548&lt;=2,"?ACTIVATED",IF(J4548&lt;&gt;"","?FAMILIAR",IF(F4548="NEW",IF(ISNA(VLOOKUP(E4548,#REF!,1,FALSE())),"?TYPE_IDENTIFIABLE","?REFERENTIAL"),"_")))))</f>
        <v> </v>
      </c>
      <c r="H4548" s="25" t="str">
        <f>IF(J4548&lt;&gt;1,"",IF(I4548="SBJ","CB","?"))</f>
        <v> </v>
      </c>
      <c r="I4548" s="26" t="str">
        <f>IF(OR(E4548="",E4548="!!!",F4548="NEW"),"",INDEX(B4547:B$2,-1+SUMPRODUCT(MAX(ROW(E4547:E$2)*(E4548=E4547:E$2)))))</f>
        <v> </v>
      </c>
      <c r="J4548" s="26" t="str">
        <f>IF(OR(E4548="",E4548="!!!",F4548="NEW"),"",COUNTBLANK(OFFSET(A$1,,,SUMPRODUCT(MAX(ROW(E$2:E4548)*(E4548=E$2:E4548)))))-COUNTBLANK(OFFSET(A$1,,,SUMPRODUCT(MAX(ROW(E$1:E4547)*(E2=E$1:E4547))))))</f>
        <v> </v>
      </c>
      <c r="K4548" s="26" t="str">
        <f>IF(OR(E4548="",E4548="!!!",F4548="NEW"),"",INDEX(J$1:J4547,SUMPRODUCT(MAX(ROW(E$1:E4547)*(E4548=E$1:E4547)))))</f>
        <v> </v>
      </c>
      <c r="L4548" s="27"/>
    </row>
    <row r="4549" spans="1:12">
      <c r="A4549" s="20" t="s">
        <v>2195</v>
      </c>
      <c r="E4549" s="22">
        <f>IF(D4549="?OLD","!!!","")</f>
        <v/>
      </c>
      <c r="F4549" s="23" t="str">
        <f>IF(OR(E4549="",E4549="!!!"),"",IF(NOT(ISNA(VLOOKUP(E4549,E$1:E4548,1,FALSE()))),"OLD",IF(AND(E4549&lt;&gt;"",E4549&lt;&gt;"!!!"),"NEW","")))</f>
        <v> </v>
      </c>
      <c r="G4549" s="24" t="str">
        <f>IF(OR(E4549="",E4549="!!!"),"",IF(OR(J4549=0,AND(J4549=1,K4549=1),AND(J4549=1,I4549="SBJ"),AND(J4549=1,I4549=0)),"?IN_FOCUS",IF(J4549&lt;=2,"?ACTIVATED",IF(J4549&lt;&gt;"","?FAMILIAR",IF(F4549="NEW",IF(ISNA(VLOOKUP(E4549,#REF!,1,FALSE())),"?TYPE_IDENTIFIABLE","?REFERENTIAL"),"_")))))</f>
        <v> </v>
      </c>
      <c r="H4549" s="25" t="str">
        <f>IF(J4549&lt;&gt;1,"",IF(I4549="SBJ","CB","?"))</f>
        <v> </v>
      </c>
      <c r="I4549" s="26" t="str">
        <f>IF(OR(E4549="",E4549="!!!",F4549="NEW"),"",INDEX(B4548:B$2,-1+SUMPRODUCT(MAX(ROW(E4548:E$2)*(E4549=E4548:E$2)))))</f>
        <v> </v>
      </c>
      <c r="J4549" s="26" t="str">
        <f>IF(OR(E4549="",E4549="!!!",F4549="NEW"),"",COUNTBLANK(OFFSET(A$1,,,SUMPRODUCT(MAX(ROW(E$2:E4549)*(E4549=E$2:E4549)))))-COUNTBLANK(OFFSET(A$1,,,SUMPRODUCT(MAX(ROW(E$1:E4548)*(E2=E$1:E4548))))))</f>
        <v> </v>
      </c>
      <c r="K4549" s="26" t="str">
        <f>IF(OR(E4549="",E4549="!!!",F4549="NEW"),"",INDEX(J$1:J4548,SUMPRODUCT(MAX(ROW(E$1:E4548)*(E4549=E$1:E4548)))))</f>
        <v> </v>
      </c>
      <c r="L4549" s="27"/>
    </row>
    <row r="4550" spans="1:12">
      <c r="A4550" s="20" t="s">
        <v>1122</v>
      </c>
      <c r="E4550" s="22">
        <f>IF(D4550="?OLD","!!!","")</f>
        <v/>
      </c>
      <c r="F4550" s="23" t="str">
        <f>IF(OR(E4550="",E4550="!!!"),"",IF(NOT(ISNA(VLOOKUP(E4550,E$1:E4549,1,FALSE()))),"OLD",IF(AND(E4550&lt;&gt;"",E4550&lt;&gt;"!!!"),"NEW","")))</f>
        <v> </v>
      </c>
      <c r="G4550" s="24" t="str">
        <f>IF(OR(E4550="",E4550="!!!"),"",IF(OR(J4550=0,AND(J4550=1,K4550=1),AND(J4550=1,I4550="SBJ"),AND(J4550=1,I4550=0)),"?IN_FOCUS",IF(J4550&lt;=2,"?ACTIVATED",IF(J4550&lt;&gt;"","?FAMILIAR",IF(F4550="NEW",IF(ISNA(VLOOKUP(E4550,#REF!,1,FALSE())),"?TYPE_IDENTIFIABLE","?REFERENTIAL"),"_")))))</f>
        <v> </v>
      </c>
      <c r="H4550" s="25" t="str">
        <f>IF(J4550&lt;&gt;1,"",IF(I4550="SBJ","CB","?"))</f>
        <v> </v>
      </c>
      <c r="I4550" s="26" t="str">
        <f>IF(OR(E4550="",E4550="!!!",F4550="NEW"),"",INDEX(B4549:B$2,-1+SUMPRODUCT(MAX(ROW(E4549:E$2)*(E4550=E4549:E$2)))))</f>
        <v> </v>
      </c>
      <c r="J4550" s="26" t="str">
        <f>IF(OR(E4550="",E4550="!!!",F4550="NEW"),"",COUNTBLANK(OFFSET(A$1,,,SUMPRODUCT(MAX(ROW(E$2:E4550)*(E4550=E$2:E4550)))))-COUNTBLANK(OFFSET(A$1,,,SUMPRODUCT(MAX(ROW(E$1:E4549)*(E2=E$1:E4549))))))</f>
        <v> </v>
      </c>
      <c r="K4550" s="26" t="str">
        <f>IF(OR(E4550="",E4550="!!!",F4550="NEW"),"",INDEX(J$1:J4549,SUMPRODUCT(MAX(ROW(E$1:E4549)*(E4550=E$1:E4549)))))</f>
        <v> </v>
      </c>
      <c r="L4550" s="27"/>
    </row>
    <row r="4551" spans="1:12">
      <c r="A4551" s="20" t="s">
        <v>1167</v>
      </c>
      <c r="B4551" s="21" t="s">
        <v>1005</v>
      </c>
      <c r="C4551" s="21" t="s">
        <v>1041</v>
      </c>
      <c r="D4551" s="21" t="s">
        <v>1007</v>
      </c>
      <c r="E4551" s="22">
        <f>IF(D4551="?OLD","!!!","")</f>
        <v/>
      </c>
      <c r="F4551" s="23" t="str">
        <f>IF(OR(E4551="",E4551="!!!"),"",IF(NOT(ISNA(VLOOKUP(E4551,E$1:E4550,1,FALSE()))),"OLD",IF(AND(E4551&lt;&gt;"",E4551&lt;&gt;"!!!"),"NEW","")))</f>
        <v> </v>
      </c>
      <c r="G4551" s="24" t="str">
        <f>IF(OR(E4551="",E4551="!!!"),"",IF(OR(J4551=0,AND(J4551=1,K4551=1),AND(J4551=1,I4551="SBJ"),AND(J4551=1,I4551=0)),"?IN_FOCUS",IF(J4551&lt;=2,"?ACTIVATED",IF(J4551&lt;&gt;"","?FAMILIAR",IF(F4551="NEW",IF(ISNA(VLOOKUP(E4551,#REF!,1,FALSE())),"?TYPE_IDENTIFIABLE","?REFERENTIAL"),"_")))))</f>
        <v> </v>
      </c>
      <c r="H4551" s="25" t="str">
        <f>IF(J4551&lt;&gt;1,"",IF(I4551="SBJ","CB","?"))</f>
        <v> </v>
      </c>
      <c r="I4551" s="26" t="str">
        <f>IF(OR(E4551="",E4551="!!!",F4551="NEW"),"",INDEX(B4550:B$2,-1+SUMPRODUCT(MAX(ROW(E4550:E$2)*(E4551=E4550:E$2)))))</f>
        <v> </v>
      </c>
      <c r="J4551" s="26" t="str">
        <f>IF(OR(E4551="",E4551="!!!",F4551="NEW"),"",COUNTBLANK(OFFSET(A$1,,,SUMPRODUCT(MAX(ROW(E$2:E4551)*(E4551=E$2:E4551)))))-COUNTBLANK(OFFSET(A$1,,,SUMPRODUCT(MAX(ROW(E$1:E4550)*(E2=E$1:E4550))))))</f>
        <v> </v>
      </c>
      <c r="K4551" s="26" t="str">
        <f>IF(OR(E4551="",E4551="!!!",F4551="NEW"),"",INDEX(J$1:J4550,SUMPRODUCT(MAX(ROW(E$1:E4550)*(E4551=E$1:E4550)))))</f>
        <v> </v>
      </c>
      <c r="L4551" s="27"/>
    </row>
    <row r="4552" spans="1:12">
      <c r="A4552" s="20" t="s">
        <v>1014</v>
      </c>
      <c r="E4552" s="22">
        <f>IF(D4552="?OLD","!!!","")</f>
        <v/>
      </c>
      <c r="F4552" s="23" t="str">
        <f>IF(OR(E4552="",E4552="!!!"),"",IF(NOT(ISNA(VLOOKUP(E4552,E$1:E4551,1,FALSE()))),"OLD",IF(AND(E4552&lt;&gt;"",E4552&lt;&gt;"!!!"),"NEW","")))</f>
        <v> </v>
      </c>
      <c r="G4552" s="24" t="str">
        <f>IF(OR(E4552="",E4552="!!!"),"",IF(OR(J4552=0,AND(J4552=1,K4552=1),AND(J4552=1,I4552="SBJ"),AND(J4552=1,I4552=0)),"?IN_FOCUS",IF(J4552&lt;=2,"?ACTIVATED",IF(J4552&lt;&gt;"","?FAMILIAR",IF(F4552="NEW",IF(ISNA(VLOOKUP(E4552,#REF!,1,FALSE())),"?TYPE_IDENTIFIABLE","?REFERENTIAL"),"_")))))</f>
        <v> </v>
      </c>
      <c r="H4552" s="25" t="str">
        <f>IF(J4552&lt;&gt;1,"",IF(I4552="SBJ","CB","?"))</f>
        <v> </v>
      </c>
      <c r="I4552" s="26" t="str">
        <f>IF(OR(E4552="",E4552="!!!",F4552="NEW"),"",INDEX(B4551:B$2,-1+SUMPRODUCT(MAX(ROW(E4551:E$2)*(E4552=E4551:E$2)))))</f>
        <v> </v>
      </c>
      <c r="J4552" s="26" t="str">
        <f>IF(OR(E4552="",E4552="!!!",F4552="NEW"),"",COUNTBLANK(OFFSET(A$1,,,SUMPRODUCT(MAX(ROW(E$2:E4552)*(E4552=E$2:E4552)))))-COUNTBLANK(OFFSET(A$1,,,SUMPRODUCT(MAX(ROW(E$1:E4551)*(E2=E$1:E4551))))))</f>
        <v> </v>
      </c>
      <c r="K4552" s="26" t="str">
        <f>IF(OR(E4552="",E4552="!!!",F4552="NEW"),"",INDEX(J$1:J4551,SUMPRODUCT(MAX(ROW(E$1:E4551)*(E4552=E$1:E4551)))))</f>
        <v> </v>
      </c>
      <c r="L4552" s="27"/>
    </row>
    <row r="4553" spans="1:12">
      <c r="A4553" s="20" t="s">
        <v>1168</v>
      </c>
      <c r="B4553" s="21" t="s">
        <v>1022</v>
      </c>
      <c r="C4553" s="21" t="s">
        <v>1013</v>
      </c>
      <c r="D4553" s="21" t="s">
        <v>1007</v>
      </c>
      <c r="E4553" s="22">
        <f>IF(D4553="?OLD","!!!","")</f>
        <v/>
      </c>
      <c r="F4553" s="23" t="str">
        <f>IF(OR(E4553="",E4553="!!!"),"",IF(NOT(ISNA(VLOOKUP(E4553,E$1:E4552,1,FALSE()))),"OLD",IF(AND(E4553&lt;&gt;"",E4553&lt;&gt;"!!!"),"NEW","")))</f>
        <v> </v>
      </c>
      <c r="G4553" s="24" t="str">
        <f>IF(OR(E4553="",E4553="!!!"),"",IF(OR(J4553=0,AND(J4553=1,K4553=1),AND(J4553=1,I4553="SBJ"),AND(J4553=1,I4553=0)),"?IN_FOCUS",IF(J4553&lt;=2,"?ACTIVATED",IF(J4553&lt;&gt;"","?FAMILIAR",IF(F4553="NEW",IF(ISNA(VLOOKUP(E4553,#REF!,1,FALSE())),"?TYPE_IDENTIFIABLE","?REFERENTIAL"),"_")))))</f>
        <v> </v>
      </c>
      <c r="H4553" s="25" t="str">
        <f>IF(J4553&lt;&gt;1,"",IF(I4553="SBJ","CB","?"))</f>
        <v> </v>
      </c>
      <c r="I4553" s="26" t="str">
        <f>IF(OR(E4553="",E4553="!!!",F4553="NEW"),"",INDEX(B4552:B$2,-1+SUMPRODUCT(MAX(ROW(E4552:E$2)*(E4553=E4552:E$2)))))</f>
        <v> </v>
      </c>
      <c r="J4553" s="26" t="str">
        <f>IF(OR(E4553="",E4553="!!!",F4553="NEW"),"",COUNTBLANK(OFFSET(A$1,,,SUMPRODUCT(MAX(ROW(E$2:E4553)*(E4553=E$2:E4553)))))-COUNTBLANK(OFFSET(A$1,,,SUMPRODUCT(MAX(ROW(E$1:E4552)*(E2=E$1:E4552))))))</f>
        <v> </v>
      </c>
      <c r="K4553" s="26" t="str">
        <f>IF(OR(E4553="",E4553="!!!",F4553="NEW"),"",INDEX(J$1:J4552,SUMPRODUCT(MAX(ROW(E$1:E4552)*(E4553=E$1:E4552)))))</f>
        <v> </v>
      </c>
      <c r="L4553" s="27"/>
    </row>
    <row r="4554" spans="1:12">
      <c r="A4554" s="20" t="s">
        <v>1014</v>
      </c>
      <c r="E4554" s="22">
        <f>IF(D4554="?OLD","!!!","")</f>
        <v/>
      </c>
      <c r="F4554" s="23" t="str">
        <f>IF(OR(E4554="",E4554="!!!"),"",IF(NOT(ISNA(VLOOKUP(E4554,E$1:E4553,1,FALSE()))),"OLD",IF(AND(E4554&lt;&gt;"",E4554&lt;&gt;"!!!"),"NEW","")))</f>
        <v> </v>
      </c>
      <c r="G4554" s="24" t="str">
        <f>IF(OR(E4554="",E4554="!!!"),"",IF(OR(J4554=0,AND(J4554=1,K4554=1),AND(J4554=1,I4554="SBJ"),AND(J4554=1,I4554=0)),"?IN_FOCUS",IF(J4554&lt;=2,"?ACTIVATED",IF(J4554&lt;&gt;"","?FAMILIAR",IF(F4554="NEW",IF(ISNA(VLOOKUP(E4554,#REF!,1,FALSE())),"?TYPE_IDENTIFIABLE","?REFERENTIAL"),"_")))))</f>
        <v> </v>
      </c>
      <c r="H4554" s="25" t="str">
        <f>IF(J4554&lt;&gt;1,"",IF(I4554="SBJ","CB","?"))</f>
        <v> </v>
      </c>
      <c r="I4554" s="26" t="str">
        <f>IF(OR(E4554="",E4554="!!!",F4554="NEW"),"",INDEX(B4553:B$2,-1+SUMPRODUCT(MAX(ROW(E4553:E$2)*(E4554=E4553:E$2)))))</f>
        <v> </v>
      </c>
      <c r="J4554" s="26" t="str">
        <f>IF(OR(E4554="",E4554="!!!",F4554="NEW"),"",COUNTBLANK(OFFSET(A$1,,,SUMPRODUCT(MAX(ROW(E$2:E4554)*(E4554=E$2:E4554)))))-COUNTBLANK(OFFSET(A$1,,,SUMPRODUCT(MAX(ROW(E$1:E4553)*(E2=E$1:E4553))))))</f>
        <v> </v>
      </c>
      <c r="K4554" s="26" t="str">
        <f>IF(OR(E4554="",E4554="!!!",F4554="NEW"),"",INDEX(J$1:J4553,SUMPRODUCT(MAX(ROW(E$1:E4553)*(E4554=E$1:E4553)))))</f>
        <v> </v>
      </c>
      <c r="L4554" s="27"/>
    </row>
    <row r="4555" spans="1:12">
      <c r="A4555" s="20" t="s">
        <v>1555</v>
      </c>
      <c r="B4555" s="21" t="s">
        <v>1033</v>
      </c>
      <c r="C4555" s="21" t="s">
        <v>1048</v>
      </c>
      <c r="E4555" s="22">
        <f>IF(D4555="?OLD","!!!","")</f>
        <v/>
      </c>
      <c r="F4555" s="23" t="str">
        <f>IF(OR(E4555="",E4555="!!!"),"",IF(NOT(ISNA(VLOOKUP(E4555,E$1:E4554,1,FALSE()))),"OLD",IF(AND(E4555&lt;&gt;"",E4555&lt;&gt;"!!!"),"NEW","")))</f>
        <v> </v>
      </c>
      <c r="G4555" s="24" t="str">
        <f>IF(OR(E4555="",E4555="!!!"),"",IF(OR(J4555=0,AND(J4555=1,K4555=1),AND(J4555=1,I4555="SBJ"),AND(J4555=1,I4555=0)),"?IN_FOCUS",IF(J4555&lt;=2,"?ACTIVATED",IF(J4555&lt;&gt;"","?FAMILIAR",IF(F4555="NEW",IF(ISNA(VLOOKUP(E4555,#REF!,1,FALSE())),"?TYPE_IDENTIFIABLE","?REFERENTIAL"),"_")))))</f>
        <v> </v>
      </c>
      <c r="H4555" s="25" t="str">
        <f>IF(J4555&lt;&gt;1,"",IF(I4555="SBJ","CB","?"))</f>
        <v> </v>
      </c>
      <c r="I4555" s="26" t="str">
        <f>IF(OR(E4555="",E4555="!!!",F4555="NEW"),"",INDEX(B4554:B$2,-1+SUMPRODUCT(MAX(ROW(E4554:E$2)*(E4555=E4554:E$2)))))</f>
        <v> </v>
      </c>
      <c r="J4555" s="26" t="str">
        <f>IF(OR(E4555="",E4555="!!!",F4555="NEW"),"",COUNTBLANK(OFFSET(A$1,,,SUMPRODUCT(MAX(ROW(E$2:E4555)*(E4555=E$2:E4555)))))-COUNTBLANK(OFFSET(A$1,,,SUMPRODUCT(MAX(ROW(E$1:E4554)*(E2=E$1:E4554))))))</f>
        <v> </v>
      </c>
      <c r="K4555" s="26" t="str">
        <f>IF(OR(E4555="",E4555="!!!",F4555="NEW"),"",INDEX(J$1:J4554,SUMPRODUCT(MAX(ROW(E$1:E4554)*(E4555=E$1:E4554)))))</f>
        <v> </v>
      </c>
      <c r="L4555" s="27"/>
    </row>
    <row r="4556" spans="1:12">
      <c r="A4556" s="20" t="s">
        <v>1065</v>
      </c>
      <c r="B4556" s="21" t="s">
        <v>1066</v>
      </c>
      <c r="E4556" s="22">
        <f>IF(D4556="?OLD","!!!","")</f>
        <v/>
      </c>
      <c r="F4556" s="23" t="str">
        <f>IF(OR(E4556="",E4556="!!!"),"",IF(NOT(ISNA(VLOOKUP(E4556,E$1:E4555,1,FALSE()))),"OLD",IF(AND(E4556&lt;&gt;"",E4556&lt;&gt;"!!!"),"NEW","")))</f>
        <v> </v>
      </c>
      <c r="G4556" s="24" t="str">
        <f>IF(OR(E4556="",E4556="!!!"),"",IF(OR(J4556=0,AND(J4556=1,K4556=1),AND(J4556=1,I4556="SBJ"),AND(J4556=1,I4556=0)),"?IN_FOCUS",IF(J4556&lt;=2,"?ACTIVATED",IF(J4556&lt;&gt;"","?FAMILIAR",IF(F4556="NEW",IF(ISNA(VLOOKUP(E4556,#REF!,1,FALSE())),"?TYPE_IDENTIFIABLE","?REFERENTIAL"),"_")))))</f>
        <v> </v>
      </c>
      <c r="H4556" s="25" t="str">
        <f>IF(J4556&lt;&gt;1,"",IF(I4556="SBJ","CB","?"))</f>
        <v> </v>
      </c>
      <c r="I4556" s="26" t="str">
        <f>IF(OR(E4556="",E4556="!!!",F4556="NEW"),"",INDEX(B4555:B$2,-1+SUMPRODUCT(MAX(ROW(E4555:E$2)*(E4556=E4555:E$2)))))</f>
        <v> </v>
      </c>
      <c r="J4556" s="26" t="str">
        <f>IF(OR(E4556="",E4556="!!!",F4556="NEW"),"",COUNTBLANK(OFFSET(A$1,,,SUMPRODUCT(MAX(ROW(E$2:E4556)*(E4556=E$2:E4556)))))-COUNTBLANK(OFFSET(A$1,,,SUMPRODUCT(MAX(ROW(E$1:E4555)*(E2=E$1:E4555))))))</f>
        <v> </v>
      </c>
      <c r="K4556" s="26" t="str">
        <f>IF(OR(E4556="",E4556="!!!",F4556="NEW"),"",INDEX(J$1:J4555,SUMPRODUCT(MAX(ROW(E$1:E4555)*(E4556=E$1:E4555)))))</f>
        <v> </v>
      </c>
      <c r="L4556" s="27"/>
    </row>
    <row r="4557" spans="1:12">
      <c r="A4557" s="20" t="s">
        <v>1669</v>
      </c>
      <c r="B4557" s="21" t="s">
        <v>1067</v>
      </c>
      <c r="C4557" s="21" t="s">
        <v>1082</v>
      </c>
      <c r="D4557" s="21" t="s">
        <v>1007</v>
      </c>
      <c r="E4557" s="22">
        <f>IF(D4557="?OLD","!!!","")</f>
        <v/>
      </c>
      <c r="F4557" s="23" t="str">
        <f>IF(OR(E4557="",E4557="!!!"),"",IF(NOT(ISNA(VLOOKUP(E4557,E$1:E4556,1,FALSE()))),"OLD",IF(AND(E4557&lt;&gt;"",E4557&lt;&gt;"!!!"),"NEW","")))</f>
        <v> </v>
      </c>
      <c r="G4557" s="24" t="str">
        <f>IF(OR(E4557="",E4557="!!!"),"",IF(OR(J4557=0,AND(J4557=1,K4557=1),AND(J4557=1,I4557="SBJ"),AND(J4557=1,I4557=0)),"?IN_FOCUS",IF(J4557&lt;=2,"?ACTIVATED",IF(J4557&lt;&gt;"","?FAMILIAR",IF(F4557="NEW",IF(ISNA(VLOOKUP(E4557,#REF!,1,FALSE())),"?TYPE_IDENTIFIABLE","?REFERENTIAL"),"_")))))</f>
        <v> </v>
      </c>
      <c r="H4557" s="25" t="str">
        <f>IF(J4557&lt;&gt;1,"",IF(I4557="SBJ","CB","?"))</f>
        <v> </v>
      </c>
      <c r="I4557" s="26" t="str">
        <f>IF(OR(E4557="",E4557="!!!",F4557="NEW"),"",INDEX(B4556:B$2,-1+SUMPRODUCT(MAX(ROW(E4556:E$2)*(E4557=E4556:E$2)))))</f>
        <v> </v>
      </c>
      <c r="J4557" s="26" t="str">
        <f>IF(OR(E4557="",E4557="!!!",F4557="NEW"),"",COUNTBLANK(OFFSET(A$1,,,SUMPRODUCT(MAX(ROW(E$2:E4557)*(E4557=E$2:E4557)))))-COUNTBLANK(OFFSET(A$1,,,SUMPRODUCT(MAX(ROW(E$1:E4556)*(E2=E$1:E4556))))))</f>
        <v> </v>
      </c>
      <c r="K4557" s="26" t="str">
        <f>IF(OR(E4557="",E4557="!!!",F4557="NEW"),"",INDEX(J$1:J4556,SUMPRODUCT(MAX(ROW(E$1:E4556)*(E4557=E$1:E4556)))))</f>
        <v> </v>
      </c>
      <c r="L4557" s="27"/>
    </row>
    <row r="4558" spans="1:12">
      <c r="A4558" s="20" t="s">
        <v>1616</v>
      </c>
      <c r="E4558" s="22">
        <f>IF(D4558="?OLD","!!!","")</f>
        <v/>
      </c>
      <c r="F4558" s="23" t="str">
        <f>IF(OR(E4558="",E4558="!!!"),"",IF(NOT(ISNA(VLOOKUP(E4558,E$1:E4557,1,FALSE()))),"OLD",IF(AND(E4558&lt;&gt;"",E4558&lt;&gt;"!!!"),"NEW","")))</f>
        <v> </v>
      </c>
      <c r="G4558" s="24" t="str">
        <f>IF(OR(E4558="",E4558="!!!"),"",IF(OR(J4558=0,AND(J4558=1,K4558=1),AND(J4558=1,I4558="SBJ"),AND(J4558=1,I4558=0)),"?IN_FOCUS",IF(J4558&lt;=2,"?ACTIVATED",IF(J4558&lt;&gt;"","?FAMILIAR",IF(F4558="NEW",IF(ISNA(VLOOKUP(E4558,#REF!,1,FALSE())),"?TYPE_IDENTIFIABLE","?REFERENTIAL"),"_")))))</f>
        <v> </v>
      </c>
      <c r="H4558" s="25" t="str">
        <f>IF(J4558&lt;&gt;1,"",IF(I4558="SBJ","CB","?"))</f>
        <v> </v>
      </c>
      <c r="I4558" s="26" t="str">
        <f>IF(OR(E4558="",E4558="!!!",F4558="NEW"),"",INDEX(B4557:B$2,-1+SUMPRODUCT(MAX(ROW(E4557:E$2)*(E4558=E4557:E$2)))))</f>
        <v> </v>
      </c>
      <c r="J4558" s="26" t="str">
        <f>IF(OR(E4558="",E4558="!!!",F4558="NEW"),"",COUNTBLANK(OFFSET(A$1,,,SUMPRODUCT(MAX(ROW(E$2:E4558)*(E4558=E$2:E4558)))))-COUNTBLANK(OFFSET(A$1,,,SUMPRODUCT(MAX(ROW(E$1:E4557)*(E2=E$1:E4557))))))</f>
        <v> </v>
      </c>
      <c r="K4558" s="26" t="str">
        <f>IF(OR(E4558="",E4558="!!!",F4558="NEW"),"",INDEX(J$1:J4557,SUMPRODUCT(MAX(ROW(E$1:E4557)*(E4558=E$1:E4557)))))</f>
        <v> </v>
      </c>
      <c r="L4558" s="27"/>
    </row>
    <row r="4559" spans="1:12">
      <c r="A4559" s="20" t="s">
        <v>1014</v>
      </c>
      <c r="E4559" s="22">
        <f>IF(D4559="?OLD","!!!","")</f>
        <v/>
      </c>
      <c r="F4559" s="23" t="str">
        <f>IF(OR(E4559="",E4559="!!!"),"",IF(NOT(ISNA(VLOOKUP(E4559,E$1:E4558,1,FALSE()))),"OLD",IF(AND(E4559&lt;&gt;"",E4559&lt;&gt;"!!!"),"NEW","")))</f>
        <v> </v>
      </c>
      <c r="G4559" s="24" t="str">
        <f>IF(OR(E4559="",E4559="!!!"),"",IF(OR(J4559=0,AND(J4559=1,K4559=1),AND(J4559=1,I4559="SBJ"),AND(J4559=1,I4559=0)),"?IN_FOCUS",IF(J4559&lt;=2,"?ACTIVATED",IF(J4559&lt;&gt;"","?FAMILIAR",IF(F4559="NEW",IF(ISNA(VLOOKUP(E4559,#REF!,1,FALSE())),"?TYPE_IDENTIFIABLE","?REFERENTIAL"),"_")))))</f>
        <v> </v>
      </c>
      <c r="H4559" s="25" t="str">
        <f>IF(J4559&lt;&gt;1,"",IF(I4559="SBJ","CB","?"))</f>
        <v> </v>
      </c>
      <c r="I4559" s="26" t="str">
        <f>IF(OR(E4559="",E4559="!!!",F4559="NEW"),"",INDEX(B4558:B$2,-1+SUMPRODUCT(MAX(ROW(E4558:E$2)*(E4559=E4558:E$2)))))</f>
        <v> </v>
      </c>
      <c r="J4559" s="26" t="str">
        <f>IF(OR(E4559="",E4559="!!!",F4559="NEW"),"",COUNTBLANK(OFFSET(A$1,,,SUMPRODUCT(MAX(ROW(E$2:E4559)*(E4559=E$2:E4559)))))-COUNTBLANK(OFFSET(A$1,,,SUMPRODUCT(MAX(ROW(E$1:E4558)*(E2=E$1:E4558))))))</f>
        <v> </v>
      </c>
      <c r="K4559" s="26" t="str">
        <f>IF(OR(E4559="",E4559="!!!",F4559="NEW"),"",INDEX(J$1:J4558,SUMPRODUCT(MAX(ROW(E$1:E4558)*(E4559=E$1:E4558)))))</f>
        <v> </v>
      </c>
      <c r="L4559" s="27"/>
    </row>
    <row r="4560" spans="1:12">
      <c r="A4560" s="20" t="s">
        <v>2289</v>
      </c>
      <c r="E4560" s="22">
        <f>IF(D4560="?OLD","!!!","")</f>
        <v/>
      </c>
      <c r="F4560" s="23" t="str">
        <f>IF(OR(E4560="",E4560="!!!"),"",IF(NOT(ISNA(VLOOKUP(E4560,E$1:E4559,1,FALSE()))),"OLD",IF(AND(E4560&lt;&gt;"",E4560&lt;&gt;"!!!"),"NEW","")))</f>
        <v> </v>
      </c>
      <c r="G4560" s="24" t="str">
        <f>IF(OR(E4560="",E4560="!!!"),"",IF(OR(J4560=0,AND(J4560=1,K4560=1),AND(J4560=1,I4560="SBJ"),AND(J4560=1,I4560=0)),"?IN_FOCUS",IF(J4560&lt;=2,"?ACTIVATED",IF(J4560&lt;&gt;"","?FAMILIAR",IF(F4560="NEW",IF(ISNA(VLOOKUP(E4560,#REF!,1,FALSE())),"?TYPE_IDENTIFIABLE","?REFERENTIAL"),"_")))))</f>
        <v> </v>
      </c>
      <c r="H4560" s="25" t="str">
        <f>IF(J4560&lt;&gt;1,"",IF(I4560="SBJ","CB","?"))</f>
        <v> </v>
      </c>
      <c r="I4560" s="26" t="str">
        <f>IF(OR(E4560="",E4560="!!!",F4560="NEW"),"",INDEX(B4559:B$2,-1+SUMPRODUCT(MAX(ROW(E4559:E$2)*(E4560=E4559:E$2)))))</f>
        <v> </v>
      </c>
      <c r="J4560" s="26" t="str">
        <f>IF(OR(E4560="",E4560="!!!",F4560="NEW"),"",COUNTBLANK(OFFSET(A$1,,,SUMPRODUCT(MAX(ROW(E$2:E4560)*(E4560=E$2:E4560)))))-COUNTBLANK(OFFSET(A$1,,,SUMPRODUCT(MAX(ROW(E$1:E4559)*(E2=E$1:E4559))))))</f>
        <v> </v>
      </c>
      <c r="K4560" s="26" t="str">
        <f>IF(OR(E4560="",E4560="!!!",F4560="NEW"),"",INDEX(J$1:J4559,SUMPRODUCT(MAX(ROW(E$1:E4559)*(E4560=E$1:E4559)))))</f>
        <v> </v>
      </c>
      <c r="L4560" s="27"/>
    </row>
    <row r="4561" spans="1:12">
      <c r="A4561" s="20" t="s">
        <v>1018</v>
      </c>
      <c r="E4561" s="22">
        <f>IF(D4561="?OLD","!!!","")</f>
        <v/>
      </c>
      <c r="F4561" s="23" t="str">
        <f>IF(OR(E4561="",E4561="!!!"),"",IF(NOT(ISNA(VLOOKUP(E4561,E$1:E4560,1,FALSE()))),"OLD",IF(AND(E4561&lt;&gt;"",E4561&lt;&gt;"!!!"),"NEW","")))</f>
        <v> </v>
      </c>
      <c r="G4561" s="24" t="str">
        <f>IF(OR(E4561="",E4561="!!!"),"",IF(OR(J4561=0,AND(J4561=1,K4561=1),AND(J4561=1,I4561="SBJ"),AND(J4561=1,I4561=0)),"?IN_FOCUS",IF(J4561&lt;=2,"?ACTIVATED",IF(J4561&lt;&gt;"","?FAMILIAR",IF(F4561="NEW",IF(ISNA(VLOOKUP(E4561,#REF!,1,FALSE())),"?TYPE_IDENTIFIABLE","?REFERENTIAL"),"_")))))</f>
        <v> </v>
      </c>
      <c r="H4561" s="25" t="str">
        <f>IF(J4561&lt;&gt;1,"",IF(I4561="SBJ","CB","?"))</f>
        <v> </v>
      </c>
      <c r="I4561" s="26" t="str">
        <f>IF(OR(E4561="",E4561="!!!",F4561="NEW"),"",INDEX(B4560:B$2,-1+SUMPRODUCT(MAX(ROW(E4560:E$2)*(E4561=E4560:E$2)))))</f>
        <v> </v>
      </c>
      <c r="J4561" s="26" t="str">
        <f>IF(OR(E4561="",E4561="!!!",F4561="NEW"),"",COUNTBLANK(OFFSET(A$1,,,SUMPRODUCT(MAX(ROW(E$2:E4561)*(E4561=E$2:E4561)))))-COUNTBLANK(OFFSET(A$1,,,SUMPRODUCT(MAX(ROW(E$1:E4560)*(E2=E$1:E4560))))))</f>
        <v> </v>
      </c>
      <c r="K4561" s="26" t="str">
        <f>IF(OR(E4561="",E4561="!!!",F4561="NEW"),"",INDEX(J$1:J4560,SUMPRODUCT(MAX(ROW(E$1:E4560)*(E4561=E$1:E4560)))))</f>
        <v> </v>
      </c>
      <c r="L4561" s="27"/>
    </row>
    <row r="4562" spans="1:12">
      <c r="A4562" s="20" t="s">
        <v>1299</v>
      </c>
      <c r="E4562" s="22">
        <f>IF(D4562="?OLD","!!!","")</f>
        <v/>
      </c>
      <c r="F4562" s="23" t="str">
        <f>IF(OR(E4562="",E4562="!!!"),"",IF(NOT(ISNA(VLOOKUP(E4562,E$1:E4561,1,FALSE()))),"OLD",IF(AND(E4562&lt;&gt;"",E4562&lt;&gt;"!!!"),"NEW","")))</f>
        <v> </v>
      </c>
      <c r="G4562" s="24" t="str">
        <f>IF(OR(E4562="",E4562="!!!"),"",IF(OR(J4562=0,AND(J4562=1,K4562=1),AND(J4562=1,I4562="SBJ"),AND(J4562=1,I4562=0)),"?IN_FOCUS",IF(J4562&lt;=2,"?ACTIVATED",IF(J4562&lt;&gt;"","?FAMILIAR",IF(F4562="NEW",IF(ISNA(VLOOKUP(E4562,#REF!,1,FALSE())),"?TYPE_IDENTIFIABLE","?REFERENTIAL"),"_")))))</f>
        <v> </v>
      </c>
      <c r="H4562" s="25" t="str">
        <f>IF(J4562&lt;&gt;1,"",IF(I4562="SBJ","CB","?"))</f>
        <v> </v>
      </c>
      <c r="I4562" s="26" t="str">
        <f>IF(OR(E4562="",E4562="!!!",F4562="NEW"),"",INDEX(B4561:B$2,-1+SUMPRODUCT(MAX(ROW(E4561:E$2)*(E4562=E4561:E$2)))))</f>
        <v> </v>
      </c>
      <c r="J4562" s="26" t="str">
        <f>IF(OR(E4562="",E4562="!!!",F4562="NEW"),"",COUNTBLANK(OFFSET(A$1,,,SUMPRODUCT(MAX(ROW(E$2:E4562)*(E4562=E$2:E4562)))))-COUNTBLANK(OFFSET(A$1,,,SUMPRODUCT(MAX(ROW(E$1:E4561)*(E2=E$1:E4561))))))</f>
        <v> </v>
      </c>
      <c r="K4562" s="26" t="str">
        <f>IF(OR(E4562="",E4562="!!!",F4562="NEW"),"",INDEX(J$1:J4561,SUMPRODUCT(MAX(ROW(E$1:E4561)*(E4562=E$1:E4561)))))</f>
        <v> </v>
      </c>
      <c r="L4562" s="27"/>
    </row>
    <row r="4563" spans="1:12">
      <c r="A4563" s="20" t="s">
        <v>2290</v>
      </c>
      <c r="E4563" s="22">
        <f>IF(D4563="?OLD","!!!","")</f>
        <v/>
      </c>
      <c r="F4563" s="23" t="str">
        <f>IF(OR(E4563="",E4563="!!!"),"",IF(NOT(ISNA(VLOOKUP(E4563,E$1:E4562,1,FALSE()))),"OLD",IF(AND(E4563&lt;&gt;"",E4563&lt;&gt;"!!!"),"NEW","")))</f>
        <v> </v>
      </c>
      <c r="G4563" s="24" t="str">
        <f>IF(OR(E4563="",E4563="!!!"),"",IF(OR(J4563=0,AND(J4563=1,K4563=1),AND(J4563=1,I4563="SBJ"),AND(J4563=1,I4563=0)),"?IN_FOCUS",IF(J4563&lt;=2,"?ACTIVATED",IF(J4563&lt;&gt;"","?FAMILIAR",IF(F4563="NEW",IF(ISNA(VLOOKUP(E4563,#REF!,1,FALSE())),"?TYPE_IDENTIFIABLE","?REFERENTIAL"),"_")))))</f>
        <v> </v>
      </c>
      <c r="H4563" s="25" t="str">
        <f>IF(J4563&lt;&gt;1,"",IF(I4563="SBJ","CB","?"))</f>
        <v> </v>
      </c>
      <c r="I4563" s="26" t="str">
        <f>IF(OR(E4563="",E4563="!!!",F4563="NEW"),"",INDEX(B4562:B$2,-1+SUMPRODUCT(MAX(ROW(E4562:E$2)*(E4563=E4562:E$2)))))</f>
        <v> </v>
      </c>
      <c r="J4563" s="26" t="str">
        <f>IF(OR(E4563="",E4563="!!!",F4563="NEW"),"",COUNTBLANK(OFFSET(A$1,,,SUMPRODUCT(MAX(ROW(E$2:E4563)*(E4563=E$2:E4563)))))-COUNTBLANK(OFFSET(A$1,,,SUMPRODUCT(MAX(ROW(E$1:E4562)*(E2=E$1:E4562))))))</f>
        <v> </v>
      </c>
      <c r="K4563" s="26" t="str">
        <f>IF(OR(E4563="",E4563="!!!",F4563="NEW"),"",INDEX(J$1:J4562,SUMPRODUCT(MAX(ROW(E$1:E4562)*(E4563=E$1:E4562)))))</f>
        <v> </v>
      </c>
      <c r="L4563" s="27"/>
    </row>
    <row r="4564" spans="1:12">
      <c r="A4564" s="20" t="s">
        <v>1020</v>
      </c>
      <c r="E4564" s="22">
        <f>IF(D4564="?OLD","!!!","")</f>
        <v/>
      </c>
      <c r="F4564" s="23" t="str">
        <f>IF(OR(E4564="",E4564="!!!"),"",IF(NOT(ISNA(VLOOKUP(E4564,E$1:E4563,1,FALSE()))),"OLD",IF(AND(E4564&lt;&gt;"",E4564&lt;&gt;"!!!"),"NEW","")))</f>
        <v> </v>
      </c>
      <c r="G4564" s="24" t="str">
        <f>IF(OR(E4564="",E4564="!!!"),"",IF(OR(J4564=0,AND(J4564=1,K4564=1),AND(J4564=1,I4564="SBJ"),AND(J4564=1,I4564=0)),"?IN_FOCUS",IF(J4564&lt;=2,"?ACTIVATED",IF(J4564&lt;&gt;"","?FAMILIAR",IF(F4564="NEW",IF(ISNA(VLOOKUP(E4564,#REF!,1,FALSE())),"?TYPE_IDENTIFIABLE","?REFERENTIAL"),"_")))))</f>
        <v> </v>
      </c>
      <c r="H4564" s="25" t="str">
        <f>IF(J4564&lt;&gt;1,"",IF(I4564="SBJ","CB","?"))</f>
        <v> </v>
      </c>
      <c r="I4564" s="26" t="str">
        <f>IF(OR(E4564="",E4564="!!!",F4564="NEW"),"",INDEX(B4563:B$2,-1+SUMPRODUCT(MAX(ROW(E4563:E$2)*(E4564=E4563:E$2)))))</f>
        <v> </v>
      </c>
      <c r="J4564" s="26" t="str">
        <f>IF(OR(E4564="",E4564="!!!",F4564="NEW"),"",COUNTBLANK(OFFSET(A$1,,,SUMPRODUCT(MAX(ROW(E$2:E4564)*(E4564=E$2:E4564)))))-COUNTBLANK(OFFSET(A$1,,,SUMPRODUCT(MAX(ROW(E$1:E4563)*(E2=E$1:E4563))))))</f>
        <v> </v>
      </c>
      <c r="K4564" s="26" t="str">
        <f>IF(OR(E4564="",E4564="!!!",F4564="NEW"),"",INDEX(J$1:J4563,SUMPRODUCT(MAX(ROW(E$1:E4563)*(E4564=E$1:E4563)))))</f>
        <v> </v>
      </c>
      <c r="L4564" s="27"/>
    </row>
    <row r="4565" spans="1:12">
      <c r="A4565" s="20" t="s">
        <v>1873</v>
      </c>
      <c r="B4565" s="21" t="s">
        <v>1033</v>
      </c>
      <c r="C4565" s="21" t="s">
        <v>1059</v>
      </c>
      <c r="D4565" s="21" t="s">
        <v>1007</v>
      </c>
      <c r="E4565" s="22">
        <f>IF(D4565="?OLD","!!!","")</f>
        <v/>
      </c>
      <c r="F4565" s="23" t="str">
        <f>IF(OR(E4565="",E4565="!!!"),"",IF(NOT(ISNA(VLOOKUP(E4565,E$1:E4564,1,FALSE()))),"OLD",IF(AND(E4565&lt;&gt;"",E4565&lt;&gt;"!!!"),"NEW","")))</f>
        <v> </v>
      </c>
      <c r="G4565" s="24" t="str">
        <f>IF(OR(E4565="",E4565="!!!"),"",IF(OR(J4565=0,AND(J4565=1,K4565=1),AND(J4565=1,I4565="SBJ"),AND(J4565=1,I4565=0)),"?IN_FOCUS",IF(J4565&lt;=2,"?ACTIVATED",IF(J4565&lt;&gt;"","?FAMILIAR",IF(F4565="NEW",IF(ISNA(VLOOKUP(E4565,#REF!,1,FALSE())),"?TYPE_IDENTIFIABLE","?REFERENTIAL"),"_")))))</f>
        <v> </v>
      </c>
      <c r="H4565" s="25" t="str">
        <f>IF(J4565&lt;&gt;1,"",IF(I4565="SBJ","CB","?"))</f>
        <v> </v>
      </c>
      <c r="I4565" s="26" t="str">
        <f>IF(OR(E4565="",E4565="!!!",F4565="NEW"),"",INDEX(B4564:B$2,-1+SUMPRODUCT(MAX(ROW(E4564:E$2)*(E4565=E4564:E$2)))))</f>
        <v> </v>
      </c>
      <c r="J4565" s="26" t="str">
        <f>IF(OR(E4565="",E4565="!!!",F4565="NEW"),"",COUNTBLANK(OFFSET(A$1,,,SUMPRODUCT(MAX(ROW(E$2:E4565)*(E4565=E$2:E4565)))))-COUNTBLANK(OFFSET(A$1,,,SUMPRODUCT(MAX(ROW(E$1:E4564)*(E2=E$1:E4564))))))</f>
        <v> </v>
      </c>
      <c r="K4565" s="26" t="str">
        <f>IF(OR(E4565="",E4565="!!!",F4565="NEW"),"",INDEX(J$1:J4564,SUMPRODUCT(MAX(ROW(E$1:E4564)*(E4565=E$1:E4564)))))</f>
        <v> </v>
      </c>
      <c r="L4565" s="27"/>
    </row>
    <row r="4566" spans="1:12">
      <c r="A4566" s="20" t="s">
        <v>1339</v>
      </c>
      <c r="B4566" s="21" t="s">
        <v>1029</v>
      </c>
      <c r="C4566" s="21" t="s">
        <v>1017</v>
      </c>
      <c r="D4566" s="21" t="s">
        <v>1007</v>
      </c>
      <c r="E4566" s="22">
        <f>IF(D4566="?OLD","!!!","")</f>
        <v/>
      </c>
      <c r="F4566" s="23" t="str">
        <f>IF(OR(E4566="",E4566="!!!"),"",IF(NOT(ISNA(VLOOKUP(E4566,E$1:E4565,1,FALSE()))),"OLD",IF(AND(E4566&lt;&gt;"",E4566&lt;&gt;"!!!"),"NEW","")))</f>
        <v> </v>
      </c>
      <c r="G4566" s="24" t="str">
        <f>IF(OR(E4566="",E4566="!!!"),"",IF(OR(J4566=0,AND(J4566=1,K4566=1),AND(J4566=1,I4566="SBJ"),AND(J4566=1,I4566=0)),"?IN_FOCUS",IF(J4566&lt;=2,"?ACTIVATED",IF(J4566&lt;&gt;"","?FAMILIAR",IF(F4566="NEW",IF(ISNA(VLOOKUP(E4566,#REF!,1,FALSE())),"?TYPE_IDENTIFIABLE","?REFERENTIAL"),"_")))))</f>
        <v> </v>
      </c>
      <c r="H4566" s="25" t="str">
        <f>IF(J4566&lt;&gt;1,"",IF(I4566="SBJ","CB","?"))</f>
        <v> </v>
      </c>
      <c r="I4566" s="26" t="str">
        <f>IF(OR(E4566="",E4566="!!!",F4566="NEW"),"",INDEX(B4565:B$2,-1+SUMPRODUCT(MAX(ROW(E4565:E$2)*(E4566=E4565:E$2)))))</f>
        <v> </v>
      </c>
      <c r="J4566" s="26" t="str">
        <f>IF(OR(E4566="",E4566="!!!",F4566="NEW"),"",COUNTBLANK(OFFSET(A$1,,,SUMPRODUCT(MAX(ROW(E$2:E4566)*(E4566=E$2:E4566)))))-COUNTBLANK(OFFSET(A$1,,,SUMPRODUCT(MAX(ROW(E$1:E4565)*(E2=E$1:E4565))))))</f>
        <v> </v>
      </c>
      <c r="K4566" s="26" t="str">
        <f>IF(OR(E4566="",E4566="!!!",F4566="NEW"),"",INDEX(J$1:J4565,SUMPRODUCT(MAX(ROW(E$1:E4565)*(E4566=E$1:E4565)))))</f>
        <v> </v>
      </c>
      <c r="L4566" s="27"/>
    </row>
    <row r="4567" spans="1:12">
      <c r="A4567" s="20" t="s">
        <v>56</v>
      </c>
      <c r="E4567" s="22">
        <f>IF(D4567="?OLD","!!!","")</f>
        <v/>
      </c>
      <c r="F4567" s="23" t="str">
        <f>IF(OR(E4567="",E4567="!!!"),"",IF(NOT(ISNA(VLOOKUP(E4567,E$1:E4566,1,FALSE()))),"OLD",IF(AND(E4567&lt;&gt;"",E4567&lt;&gt;"!!!"),"NEW","")))</f>
        <v> </v>
      </c>
      <c r="G4567" s="24" t="str">
        <f>IF(OR(E4567="",E4567="!!!"),"",IF(OR(J4567=0,AND(J4567=1,K4567=1),AND(J4567=1,I4567="SBJ"),AND(J4567=1,I4567=0)),"?IN_FOCUS",IF(J4567&lt;=2,"?ACTIVATED",IF(J4567&lt;&gt;"","?FAMILIAR",IF(F4567="NEW",IF(ISNA(VLOOKUP(E4567,#REF!,1,FALSE())),"?TYPE_IDENTIFIABLE","?REFERENTIAL"),"_")))))</f>
        <v> </v>
      </c>
      <c r="H4567" s="25" t="str">
        <f>IF(J4567&lt;&gt;1,"",IF(I4567="SBJ","CB","?"))</f>
        <v> </v>
      </c>
      <c r="I4567" s="26" t="str">
        <f>IF(OR(E4567="",E4567="!!!",F4567="NEW"),"",INDEX(B4566:B$2,-1+SUMPRODUCT(MAX(ROW(E4566:E$2)*(E4567=E4566:E$2)))))</f>
        <v> </v>
      </c>
      <c r="J4567" s="26" t="str">
        <f>IF(OR(E4567="",E4567="!!!",F4567="NEW"),"",COUNTBLANK(OFFSET(A$1,,,SUMPRODUCT(MAX(ROW(E$2:E4567)*(E4567=E$2:E4567)))))-COUNTBLANK(OFFSET(A$1,,,SUMPRODUCT(MAX(ROW(E$1:E4566)*(E2=E$1:E4566))))))</f>
        <v> </v>
      </c>
      <c r="K4567" s="26" t="str">
        <f>IF(OR(E4567="",E4567="!!!",F4567="NEW"),"",INDEX(J$1:J4566,SUMPRODUCT(MAX(ROW(E$1:E4566)*(E4567=E$1:E4566)))))</f>
        <v> </v>
      </c>
      <c r="L4567" s="27"/>
    </row>
    <row r="4568" spans="1:12">
      <c r="A4568" s="20" t="s">
        <v>1142</v>
      </c>
      <c r="E4568" s="22">
        <f>IF(D4568="?OLD","!!!","")</f>
        <v/>
      </c>
      <c r="F4568" s="23" t="str">
        <f>IF(OR(E4568="",E4568="!!!"),"",IF(NOT(ISNA(VLOOKUP(E4568,E$1:E4567,1,FALSE()))),"OLD",IF(AND(E4568&lt;&gt;"",E4568&lt;&gt;"!!!"),"NEW","")))</f>
        <v> </v>
      </c>
      <c r="G4568" s="24" t="str">
        <f>IF(OR(E4568="",E4568="!!!"),"",IF(OR(J4568=0,AND(J4568=1,K4568=1),AND(J4568=1,I4568="SBJ"),AND(J4568=1,I4568=0)),"?IN_FOCUS",IF(J4568&lt;=2,"?ACTIVATED",IF(J4568&lt;&gt;"","?FAMILIAR",IF(F4568="NEW",IF(ISNA(VLOOKUP(E4568,#REF!,1,FALSE())),"?TYPE_IDENTIFIABLE","?REFERENTIAL"),"_")))))</f>
        <v> </v>
      </c>
      <c r="H4568" s="25" t="str">
        <f>IF(J4568&lt;&gt;1,"",IF(I4568="SBJ","CB","?"))</f>
        <v> </v>
      </c>
      <c r="I4568" s="26" t="str">
        <f>IF(OR(E4568="",E4568="!!!",F4568="NEW"),"",INDEX(B4567:B$2,-1+SUMPRODUCT(MAX(ROW(E4567:E$2)*(E4568=E4567:E$2)))))</f>
        <v> </v>
      </c>
      <c r="J4568" s="26" t="str">
        <f>IF(OR(E4568="",E4568="!!!",F4568="NEW"),"",COUNTBLANK(OFFSET(A$1,,,SUMPRODUCT(MAX(ROW(E$2:E4568)*(E4568=E$2:E4568)))))-COUNTBLANK(OFFSET(A$1,,,SUMPRODUCT(MAX(ROW(E$1:E4567)*(E2=E$1:E4567))))))</f>
        <v> </v>
      </c>
      <c r="K4568" s="26" t="str">
        <f>IF(OR(E4568="",E4568="!!!",F4568="NEW"),"",INDEX(J$1:J4567,SUMPRODUCT(MAX(ROW(E$1:E4567)*(E4568=E$1:E4567)))))</f>
        <v> </v>
      </c>
      <c r="L4568" s="27"/>
    </row>
    <row r="4569" spans="1:12">
      <c r="A4569" s="20" t="s">
        <v>2291</v>
      </c>
      <c r="E4569" s="22">
        <f>IF(D4569="?OLD","!!!","")</f>
        <v/>
      </c>
      <c r="F4569" s="23" t="str">
        <f>IF(OR(E4569="",E4569="!!!"),"",IF(NOT(ISNA(VLOOKUP(E4569,E$1:E4568,1,FALSE()))),"OLD",IF(AND(E4569&lt;&gt;"",E4569&lt;&gt;"!!!"),"NEW","")))</f>
        <v> </v>
      </c>
      <c r="G4569" s="24" t="str">
        <f>IF(OR(E4569="",E4569="!!!"),"",IF(OR(J4569=0,AND(J4569=1,K4569=1),AND(J4569=1,I4569="SBJ"),AND(J4569=1,I4569=0)),"?IN_FOCUS",IF(J4569&lt;=2,"?ACTIVATED",IF(J4569&lt;&gt;"","?FAMILIAR",IF(F4569="NEW",IF(ISNA(VLOOKUP(E4569,#REF!,1,FALSE())),"?TYPE_IDENTIFIABLE","?REFERENTIAL"),"_")))))</f>
        <v> </v>
      </c>
      <c r="H4569" s="25" t="str">
        <f>IF(J4569&lt;&gt;1,"",IF(I4569="SBJ","CB","?"))</f>
        <v> </v>
      </c>
      <c r="I4569" s="26" t="str">
        <f>IF(OR(E4569="",E4569="!!!",F4569="NEW"),"",INDEX(B4568:B$2,-1+SUMPRODUCT(MAX(ROW(E4568:E$2)*(E4569=E4568:E$2)))))</f>
        <v> </v>
      </c>
      <c r="J4569" s="26" t="str">
        <f>IF(OR(E4569="",E4569="!!!",F4569="NEW"),"",COUNTBLANK(OFFSET(A$1,,,SUMPRODUCT(MAX(ROW(E$2:E4569)*(E4569=E$2:E4569)))))-COUNTBLANK(OFFSET(A$1,,,SUMPRODUCT(MAX(ROW(E$1:E4568)*(E2=E$1:E4568))))))</f>
        <v> </v>
      </c>
      <c r="K4569" s="26" t="str">
        <f>IF(OR(E4569="",E4569="!!!",F4569="NEW"),"",INDEX(J$1:J4568,SUMPRODUCT(MAX(ROW(E$1:E4568)*(E4569=E$1:E4568)))))</f>
        <v> </v>
      </c>
      <c r="L4569" s="27"/>
    </row>
    <row r="4570" spans="1:12">
      <c r="A4570" s="20" t="s">
        <v>1367</v>
      </c>
      <c r="E4570" s="22">
        <f>IF(D4570="?OLD","!!!","")</f>
        <v/>
      </c>
      <c r="F4570" s="23" t="str">
        <f>IF(OR(E4570="",E4570="!!!"),"",IF(NOT(ISNA(VLOOKUP(E4570,E$1:E4569,1,FALSE()))),"OLD",IF(AND(E4570&lt;&gt;"",E4570&lt;&gt;"!!!"),"NEW","")))</f>
        <v> </v>
      </c>
      <c r="G4570" s="24" t="str">
        <f>IF(OR(E4570="",E4570="!!!"),"",IF(OR(J4570=0,AND(J4570=1,K4570=1),AND(J4570=1,I4570="SBJ"),AND(J4570=1,I4570=0)),"?IN_FOCUS",IF(J4570&lt;=2,"?ACTIVATED",IF(J4570&lt;&gt;"","?FAMILIAR",IF(F4570="NEW",IF(ISNA(VLOOKUP(E4570,#REF!,1,FALSE())),"?TYPE_IDENTIFIABLE","?REFERENTIAL"),"_")))))</f>
        <v> </v>
      </c>
      <c r="H4570" s="25" t="str">
        <f>IF(J4570&lt;&gt;1,"",IF(I4570="SBJ","CB","?"))</f>
        <v> </v>
      </c>
      <c r="I4570" s="26" t="str">
        <f>IF(OR(E4570="",E4570="!!!",F4570="NEW"),"",INDEX(B4569:B$2,-1+SUMPRODUCT(MAX(ROW(E4569:E$2)*(E4570=E4569:E$2)))))</f>
        <v> </v>
      </c>
      <c r="J4570" s="26" t="str">
        <f>IF(OR(E4570="",E4570="!!!",F4570="NEW"),"",COUNTBLANK(OFFSET(A$1,,,SUMPRODUCT(MAX(ROW(E$2:E4570)*(E4570=E$2:E4570)))))-COUNTBLANK(OFFSET(A$1,,,SUMPRODUCT(MAX(ROW(E$1:E4569)*(E2=E$1:E4569))))))</f>
        <v> </v>
      </c>
      <c r="K4570" s="26" t="str">
        <f>IF(OR(E4570="",E4570="!!!",F4570="NEW"),"",INDEX(J$1:J4569,SUMPRODUCT(MAX(ROW(E$1:E4569)*(E4570=E$1:E4569)))))</f>
        <v> </v>
      </c>
      <c r="L4570" s="27"/>
    </row>
    <row r="4571" spans="1:12">
      <c r="A4571" s="20" t="s">
        <v>2179</v>
      </c>
      <c r="B4571" s="21" t="s">
        <v>1187</v>
      </c>
      <c r="C4571" s="21" t="s">
        <v>1205</v>
      </c>
      <c r="E4571" s="22">
        <f>IF(D4571="?OLD","!!!","")</f>
        <v/>
      </c>
      <c r="F4571" s="23" t="str">
        <f>IF(OR(E4571="",E4571="!!!"),"",IF(NOT(ISNA(VLOOKUP(E4571,E$1:E4570,1,FALSE()))),"OLD",IF(AND(E4571&lt;&gt;"",E4571&lt;&gt;"!!!"),"NEW","")))</f>
        <v> </v>
      </c>
      <c r="G4571" s="24" t="str">
        <f>IF(OR(E4571="",E4571="!!!"),"",IF(OR(J4571=0,AND(J4571=1,K4571=1),AND(J4571=1,I4571="SBJ"),AND(J4571=1,I4571=0)),"?IN_FOCUS",IF(J4571&lt;=2,"?ACTIVATED",IF(J4571&lt;&gt;"","?FAMILIAR",IF(F4571="NEW",IF(ISNA(VLOOKUP(E4571,#REF!,1,FALSE())),"?TYPE_IDENTIFIABLE","?REFERENTIAL"),"_")))))</f>
        <v> </v>
      </c>
      <c r="H4571" s="25" t="str">
        <f>IF(J4571&lt;&gt;1,"",IF(I4571="SBJ","CB","?"))</f>
        <v> </v>
      </c>
      <c r="I4571" s="26" t="str">
        <f>IF(OR(E4571="",E4571="!!!",F4571="NEW"),"",INDEX(B4570:B$2,-1+SUMPRODUCT(MAX(ROW(E4570:E$2)*(E4571=E4570:E$2)))))</f>
        <v> </v>
      </c>
      <c r="J4571" s="26" t="str">
        <f>IF(OR(E4571="",E4571="!!!",F4571="NEW"),"",COUNTBLANK(OFFSET(A$1,,,SUMPRODUCT(MAX(ROW(E$2:E4571)*(E4571=E$2:E4571)))))-COUNTBLANK(OFFSET(A$1,,,SUMPRODUCT(MAX(ROW(E$1:E4570)*(E2=E$1:E4570))))))</f>
        <v> </v>
      </c>
      <c r="K4571" s="26" t="str">
        <f>IF(OR(E4571="",E4571="!!!",F4571="NEW"),"",INDEX(J$1:J4570,SUMPRODUCT(MAX(ROW(E$1:E4570)*(E4571=E$1:E4570)))))</f>
        <v> </v>
      </c>
      <c r="L4571" s="27"/>
    </row>
    <row r="4572" spans="1:12">
      <c r="A4572" s="20" t="s">
        <v>1030</v>
      </c>
      <c r="E4572" s="22">
        <f>IF(D4572="?OLD","!!!","")</f>
        <v/>
      </c>
      <c r="F4572" s="23" t="str">
        <f>IF(OR(E4572="",E4572="!!!"),"",IF(NOT(ISNA(VLOOKUP(E4572,E$1:E4571,1,FALSE()))),"OLD",IF(AND(E4572&lt;&gt;"",E4572&lt;&gt;"!!!"),"NEW","")))</f>
        <v> </v>
      </c>
      <c r="G4572" s="24" t="str">
        <f>IF(OR(E4572="",E4572="!!!"),"",IF(OR(J4572=0,AND(J4572=1,K4572=1),AND(J4572=1,I4572="SBJ"),AND(J4572=1,I4572=0)),"?IN_FOCUS",IF(J4572&lt;=2,"?ACTIVATED",IF(J4572&lt;&gt;"","?FAMILIAR",IF(F4572="NEW",IF(ISNA(VLOOKUP(E4572,#REF!,1,FALSE())),"?TYPE_IDENTIFIABLE","?REFERENTIAL"),"_")))))</f>
        <v> </v>
      </c>
      <c r="H4572" s="25" t="str">
        <f>IF(J4572&lt;&gt;1,"",IF(I4572="SBJ","CB","?"))</f>
        <v> </v>
      </c>
      <c r="I4572" s="26" t="str">
        <f>IF(OR(E4572="",E4572="!!!",F4572="NEW"),"",INDEX(B4571:B$2,-1+SUMPRODUCT(MAX(ROW(E4571:E$2)*(E4572=E4571:E$2)))))</f>
        <v> </v>
      </c>
      <c r="J4572" s="26" t="str">
        <f>IF(OR(E4572="",E4572="!!!",F4572="NEW"),"",COUNTBLANK(OFFSET(A$1,,,SUMPRODUCT(MAX(ROW(E$2:E4572)*(E4572=E$2:E4572)))))-COUNTBLANK(OFFSET(A$1,,,SUMPRODUCT(MAX(ROW(E$1:E4571)*(E2=E$1:E4571))))))</f>
        <v> </v>
      </c>
      <c r="K4572" s="26" t="str">
        <f>IF(OR(E4572="",E4572="!!!",F4572="NEW"),"",INDEX(J$1:J4571,SUMPRODUCT(MAX(ROW(E$1:E4571)*(E4572=E$1:E4571)))))</f>
        <v> </v>
      </c>
      <c r="L4572" s="27"/>
    </row>
    <row r="4573" spans="1:12">
      <c r="A4573" s="20" t="s">
        <v>2292</v>
      </c>
      <c r="B4573" s="21" t="s">
        <v>1033</v>
      </c>
      <c r="C4573" s="21" t="s">
        <v>1048</v>
      </c>
      <c r="E4573" s="22">
        <f>IF(D4573="?OLD","!!!","")</f>
        <v/>
      </c>
      <c r="F4573" s="23" t="str">
        <f>IF(OR(E4573="",E4573="!!!"),"",IF(NOT(ISNA(VLOOKUP(E4573,E$1:E4572,1,FALSE()))),"OLD",IF(AND(E4573&lt;&gt;"",E4573&lt;&gt;"!!!"),"NEW","")))</f>
        <v> </v>
      </c>
      <c r="G4573" s="24" t="str">
        <f>IF(OR(E4573="",E4573="!!!"),"",IF(OR(J4573=0,AND(J4573=1,K4573=1),AND(J4573=1,I4573="SBJ"),AND(J4573=1,I4573=0)),"?IN_FOCUS",IF(J4573&lt;=2,"?ACTIVATED",IF(J4573&lt;&gt;"","?FAMILIAR",IF(F4573="NEW",IF(ISNA(VLOOKUP(E4573,#REF!,1,FALSE())),"?TYPE_IDENTIFIABLE","?REFERENTIAL"),"_")))))</f>
        <v> </v>
      </c>
      <c r="H4573" s="25" t="str">
        <f>IF(J4573&lt;&gt;1,"",IF(I4573="SBJ","CB","?"))</f>
        <v> </v>
      </c>
      <c r="I4573" s="26" t="str">
        <f>IF(OR(E4573="",E4573="!!!",F4573="NEW"),"",INDEX(B4572:B$2,-1+SUMPRODUCT(MAX(ROW(E4572:E$2)*(E4573=E4572:E$2)))))</f>
        <v> </v>
      </c>
      <c r="J4573" s="26" t="str">
        <f>IF(OR(E4573="",E4573="!!!",F4573="NEW"),"",COUNTBLANK(OFFSET(A$1,,,SUMPRODUCT(MAX(ROW(E$2:E4573)*(E4573=E$2:E4573)))))-COUNTBLANK(OFFSET(A$1,,,SUMPRODUCT(MAX(ROW(E$1:E4572)*(E2=E$1:E4572))))))</f>
        <v> </v>
      </c>
      <c r="K4573" s="26" t="str">
        <f>IF(OR(E4573="",E4573="!!!",F4573="NEW"),"",INDEX(J$1:J4572,SUMPRODUCT(MAX(ROW(E$1:E4572)*(E4573=E$1:E4572)))))</f>
        <v> </v>
      </c>
      <c r="L4573" s="27"/>
    </row>
    <row r="4574" spans="1:12">
      <c r="A4574" s="20" t="s">
        <v>1023</v>
      </c>
      <c r="E4574" s="22">
        <f>IF(D4574="?OLD","!!!","")</f>
        <v/>
      </c>
      <c r="F4574" s="23" t="str">
        <f>IF(OR(E4574="",E4574="!!!"),"",IF(NOT(ISNA(VLOOKUP(E4574,E$1:E4573,1,FALSE()))),"OLD",IF(AND(E4574&lt;&gt;"",E4574&lt;&gt;"!!!"),"NEW","")))</f>
        <v> </v>
      </c>
      <c r="G4574" s="24" t="str">
        <f>IF(OR(E4574="",E4574="!!!"),"",IF(OR(J4574=0,AND(J4574=1,K4574=1),AND(J4574=1,I4574="SBJ"),AND(J4574=1,I4574=0)),"?IN_FOCUS",IF(J4574&lt;=2,"?ACTIVATED",IF(J4574&lt;&gt;"","?FAMILIAR",IF(F4574="NEW",IF(ISNA(VLOOKUP(E4574,#REF!,1,FALSE())),"?TYPE_IDENTIFIABLE","?REFERENTIAL"),"_")))))</f>
        <v> </v>
      </c>
      <c r="H4574" s="25" t="str">
        <f>IF(J4574&lt;&gt;1,"",IF(I4574="SBJ","CB","?"))</f>
        <v> </v>
      </c>
      <c r="I4574" s="26" t="str">
        <f>IF(OR(E4574="",E4574="!!!",F4574="NEW"),"",INDEX(B4573:B$2,-1+SUMPRODUCT(MAX(ROW(E4573:E$2)*(E4574=E4573:E$2)))))</f>
        <v> </v>
      </c>
      <c r="J4574" s="26" t="str">
        <f>IF(OR(E4574="",E4574="!!!",F4574="NEW"),"",COUNTBLANK(OFFSET(A$1,,,SUMPRODUCT(MAX(ROW(E$2:E4574)*(E4574=E$2:E4574)))))-COUNTBLANK(OFFSET(A$1,,,SUMPRODUCT(MAX(ROW(E$1:E4573)*(E2=E$1:E4573))))))</f>
        <v> </v>
      </c>
      <c r="K4574" s="26" t="str">
        <f>IF(OR(E4574="",E4574="!!!",F4574="NEW"),"",INDEX(J$1:J4573,SUMPRODUCT(MAX(ROW(E$1:E4573)*(E4574=E$1:E4573)))))</f>
        <v> </v>
      </c>
      <c r="L4574" s="27"/>
    </row>
    <row r="4575" spans="1:12">
      <c r="A4575" s="20"/>
    </row>
    <row r="4576" spans="1:12">
      <c r="A4576" s="20" t="s">
        <v>2293</v>
      </c>
    </row>
    <row r="4577" spans="1:12">
      <c r="A4577" s="20" t="s">
        <v>1094</v>
      </c>
      <c r="B4577" s="21" t="s">
        <v>1005</v>
      </c>
      <c r="C4577" s="21" t="s">
        <v>1048</v>
      </c>
      <c r="E4577" s="22">
        <f>IF(D4577="?OLD","!!!","")</f>
        <v/>
      </c>
      <c r="F4577" s="23" t="str">
        <f>IF(OR(E4577="",E4577="!!!"),"",IF(NOT(ISNA(VLOOKUP(E4577,E$1:E4576,1,FALSE()))),"OLD",IF(AND(E4577&lt;&gt;"",E4577&lt;&gt;"!!!"),"NEW","")))</f>
        <v> </v>
      </c>
      <c r="G4577" s="24" t="str">
        <f>IF(OR(E4577="",E4577="!!!"),"",IF(OR(J4577=0,AND(J4577=1,K4577=1),AND(J4577=1,I4577="SBJ"),AND(J4577=1,I4577=0)),"?IN_FOCUS",IF(J4577&lt;=2,"?ACTIVATED",IF(J4577&lt;&gt;"","?FAMILIAR",IF(F4577="NEW",IF(ISNA(VLOOKUP(E4577,#REF!,1,FALSE())),"?TYPE_IDENTIFIABLE","?REFERENTIAL"),"_")))))</f>
        <v> </v>
      </c>
      <c r="H4577" s="25" t="str">
        <f>IF(J4577&lt;&gt;1,"",IF(I4577="SBJ","CB","?"))</f>
        <v> </v>
      </c>
      <c r="I4577" s="26" t="str">
        <f>IF(OR(E4577="",E4577="!!!",F4577="NEW"),"",INDEX(B4576:B$2,-1+SUMPRODUCT(MAX(ROW(E4576:E$2)*(E4577=E4576:E$2)))))</f>
        <v> </v>
      </c>
      <c r="J4577" s="26" t="str">
        <f>IF(OR(E4577="",E4577="!!!",F4577="NEW"),"",COUNTBLANK(OFFSET(A$1,,,SUMPRODUCT(MAX(ROW(E$2:E4577)*(E4577=E$2:E4577)))))-COUNTBLANK(OFFSET(A$1,,,SUMPRODUCT(MAX(ROW(E$1:E4576)*(E2=E$1:E4576))))))</f>
        <v> </v>
      </c>
      <c r="K4577" s="26" t="str">
        <f>IF(OR(E4577="",E4577="!!!",F4577="NEW"),"",INDEX(J$1:J4576,SUMPRODUCT(MAX(ROW(E$1:E4576)*(E4577=E$1:E4576)))))</f>
        <v> </v>
      </c>
      <c r="L4577" s="27"/>
    </row>
    <row r="4578" spans="1:12">
      <c r="A4578" s="20" t="s">
        <v>1009</v>
      </c>
      <c r="E4578" s="22">
        <f>IF(D4578="?OLD","!!!","")</f>
        <v/>
      </c>
      <c r="F4578" s="23" t="str">
        <f>IF(OR(E4578="",E4578="!!!"),"",IF(NOT(ISNA(VLOOKUP(E4578,E$1:E4577,1,FALSE()))),"OLD",IF(AND(E4578&lt;&gt;"",E4578&lt;&gt;"!!!"),"NEW","")))</f>
        <v> </v>
      </c>
      <c r="G4578" s="24" t="str">
        <f>IF(OR(E4578="",E4578="!!!"),"",IF(OR(J4578=0,AND(J4578=1,K4578=1),AND(J4578=1,I4578="SBJ"),AND(J4578=1,I4578=0)),"?IN_FOCUS",IF(J4578&lt;=2,"?ACTIVATED",IF(J4578&lt;&gt;"","?FAMILIAR",IF(F4578="NEW",IF(ISNA(VLOOKUP(E4578,#REF!,1,FALSE())),"?TYPE_IDENTIFIABLE","?REFERENTIAL"),"_")))))</f>
        <v> </v>
      </c>
      <c r="H4578" s="25" t="str">
        <f>IF(J4578&lt;&gt;1,"",IF(I4578="SBJ","CB","?"))</f>
        <v> </v>
      </c>
      <c r="I4578" s="26" t="str">
        <f>IF(OR(E4578="",E4578="!!!",F4578="NEW"),"",INDEX(B4577:B$2,-1+SUMPRODUCT(MAX(ROW(E4577:E$2)*(E4578=E4577:E$2)))))</f>
        <v> </v>
      </c>
      <c r="J4578" s="26" t="str">
        <f>IF(OR(E4578="",E4578="!!!",F4578="NEW"),"",COUNTBLANK(OFFSET(A$1,,,SUMPRODUCT(MAX(ROW(E$2:E4578)*(E4578=E$2:E4578)))))-COUNTBLANK(OFFSET(A$1,,,SUMPRODUCT(MAX(ROW(E$1:E4577)*(E2=E$1:E4577))))))</f>
        <v> </v>
      </c>
      <c r="K4578" s="26" t="str">
        <f>IF(OR(E4578="",E4578="!!!",F4578="NEW"),"",INDEX(J$1:J4577,SUMPRODUCT(MAX(ROW(E$1:E4577)*(E4578=E$1:E4577)))))</f>
        <v> </v>
      </c>
      <c r="L4578" s="27"/>
    </row>
    <row r="4579" spans="1:12">
      <c r="A4579" s="20" t="s">
        <v>2294</v>
      </c>
      <c r="B4579" s="21" t="s">
        <v>1005</v>
      </c>
      <c r="C4579" s="21" t="s">
        <v>1006</v>
      </c>
      <c r="D4579" s="21" t="s">
        <v>1007</v>
      </c>
      <c r="E4579" s="22">
        <f>IF(D4579="?OLD","!!!","")</f>
        <v/>
      </c>
      <c r="F4579" s="23" t="str">
        <f>IF(OR(E4579="",E4579="!!!"),"",IF(NOT(ISNA(VLOOKUP(E4579,E$1:E4578,1,FALSE()))),"OLD",IF(AND(E4579&lt;&gt;"",E4579&lt;&gt;"!!!"),"NEW","")))</f>
        <v> </v>
      </c>
      <c r="G4579" s="24" t="str">
        <f>IF(OR(E4579="",E4579="!!!"),"",IF(OR(J4579=0,AND(J4579=1,K4579=1),AND(J4579=1,I4579="SBJ"),AND(J4579=1,I4579=0)),"?IN_FOCUS",IF(J4579&lt;=2,"?ACTIVATED",IF(J4579&lt;&gt;"","?FAMILIAR",IF(F4579="NEW",IF(ISNA(VLOOKUP(E4579,#REF!,1,FALSE())),"?TYPE_IDENTIFIABLE","?REFERENTIAL"),"_")))))</f>
        <v> </v>
      </c>
      <c r="H4579" s="25" t="str">
        <f>IF(J4579&lt;&gt;1,"",IF(I4579="SBJ","CB","?"))</f>
        <v> </v>
      </c>
      <c r="I4579" s="26" t="str">
        <f>IF(OR(E4579="",E4579="!!!",F4579="NEW"),"",INDEX(B4578:B$2,-1+SUMPRODUCT(MAX(ROW(E4578:E$2)*(E4579=E4578:E$2)))))</f>
        <v> </v>
      </c>
      <c r="J4579" s="26" t="str">
        <f>IF(OR(E4579="",E4579="!!!",F4579="NEW"),"",COUNTBLANK(OFFSET(A$1,,,SUMPRODUCT(MAX(ROW(E$2:E4579)*(E4579=E$2:E4579)))))-COUNTBLANK(OFFSET(A$1,,,SUMPRODUCT(MAX(ROW(E$1:E4578)*(E2=E$1:E4578))))))</f>
        <v> </v>
      </c>
      <c r="K4579" s="26" t="str">
        <f>IF(OR(E4579="",E4579="!!!",F4579="NEW"),"",INDEX(J$1:J4578,SUMPRODUCT(MAX(ROW(E$1:E4578)*(E4579=E$1:E4578)))))</f>
        <v> </v>
      </c>
      <c r="L4579" s="27"/>
    </row>
    <row r="4580" spans="1:12">
      <c r="A4580" s="20" t="s">
        <v>1018</v>
      </c>
      <c r="E4580" s="22">
        <f>IF(D4580="?OLD","!!!","")</f>
        <v/>
      </c>
      <c r="F4580" s="23" t="str">
        <f>IF(OR(E4580="",E4580="!!!"),"",IF(NOT(ISNA(VLOOKUP(E4580,E$1:E4579,1,FALSE()))),"OLD",IF(AND(E4580&lt;&gt;"",E4580&lt;&gt;"!!!"),"NEW","")))</f>
        <v> </v>
      </c>
      <c r="G4580" s="24" t="str">
        <f>IF(OR(E4580="",E4580="!!!"),"",IF(OR(J4580=0,AND(J4580=1,K4580=1),AND(J4580=1,I4580="SBJ"),AND(J4580=1,I4580=0)),"?IN_FOCUS",IF(J4580&lt;=2,"?ACTIVATED",IF(J4580&lt;&gt;"","?FAMILIAR",IF(F4580="NEW",IF(ISNA(VLOOKUP(E4580,#REF!,1,FALSE())),"?TYPE_IDENTIFIABLE","?REFERENTIAL"),"_")))))</f>
        <v> </v>
      </c>
      <c r="H4580" s="25" t="str">
        <f>IF(J4580&lt;&gt;1,"",IF(I4580="SBJ","CB","?"))</f>
        <v> </v>
      </c>
      <c r="I4580" s="26" t="str">
        <f>IF(OR(E4580="",E4580="!!!",F4580="NEW"),"",INDEX(B4579:B$2,-1+SUMPRODUCT(MAX(ROW(E4579:E$2)*(E4580=E4579:E$2)))))</f>
        <v> </v>
      </c>
      <c r="J4580" s="26" t="str">
        <f>IF(OR(E4580="",E4580="!!!",F4580="NEW"),"",COUNTBLANK(OFFSET(A$1,,,SUMPRODUCT(MAX(ROW(E$2:E4580)*(E4580=E$2:E4580)))))-COUNTBLANK(OFFSET(A$1,,,SUMPRODUCT(MAX(ROW(E$1:E4579)*(E2=E$1:E4579))))))</f>
        <v> </v>
      </c>
      <c r="K4580" s="26" t="str">
        <f>IF(OR(E4580="",E4580="!!!",F4580="NEW"),"",INDEX(J$1:J4579,SUMPRODUCT(MAX(ROW(E$1:E4579)*(E4580=E$1:E4579)))))</f>
        <v> </v>
      </c>
      <c r="L4580" s="27"/>
    </row>
    <row r="4581" spans="1:12">
      <c r="A4581" s="20" t="s">
        <v>1693</v>
      </c>
      <c r="E4581" s="22">
        <f>IF(D4581="?OLD","!!!","")</f>
        <v/>
      </c>
      <c r="F4581" s="23" t="str">
        <f>IF(OR(E4581="",E4581="!!!"),"",IF(NOT(ISNA(VLOOKUP(E4581,E$1:E4580,1,FALSE()))),"OLD",IF(AND(E4581&lt;&gt;"",E4581&lt;&gt;"!!!"),"NEW","")))</f>
        <v> </v>
      </c>
      <c r="G4581" s="24" t="str">
        <f>IF(OR(E4581="",E4581="!!!"),"",IF(OR(J4581=0,AND(J4581=1,K4581=1),AND(J4581=1,I4581="SBJ"),AND(J4581=1,I4581=0)),"?IN_FOCUS",IF(J4581&lt;=2,"?ACTIVATED",IF(J4581&lt;&gt;"","?FAMILIAR",IF(F4581="NEW",IF(ISNA(VLOOKUP(E4581,#REF!,1,FALSE())),"?TYPE_IDENTIFIABLE","?REFERENTIAL"),"_")))))</f>
        <v> </v>
      </c>
      <c r="H4581" s="25" t="str">
        <f>IF(J4581&lt;&gt;1,"",IF(I4581="SBJ","CB","?"))</f>
        <v> </v>
      </c>
      <c r="I4581" s="26" t="str">
        <f>IF(OR(E4581="",E4581="!!!",F4581="NEW"),"",INDEX(B4580:B$2,-1+SUMPRODUCT(MAX(ROW(E4580:E$2)*(E4581=E4580:E$2)))))</f>
        <v> </v>
      </c>
      <c r="J4581" s="26" t="str">
        <f>IF(OR(E4581="",E4581="!!!",F4581="NEW"),"",COUNTBLANK(OFFSET(A$1,,,SUMPRODUCT(MAX(ROW(E$2:E4581)*(E4581=E$2:E4581)))))-COUNTBLANK(OFFSET(A$1,,,SUMPRODUCT(MAX(ROW(E$1:E4580)*(E2=E$1:E4580))))))</f>
        <v> </v>
      </c>
      <c r="K4581" s="26" t="str">
        <f>IF(OR(E4581="",E4581="!!!",F4581="NEW"),"",INDEX(J$1:J4580,SUMPRODUCT(MAX(ROW(E$1:E4580)*(E4581=E$1:E4580)))))</f>
        <v> </v>
      </c>
      <c r="L4581" s="27"/>
    </row>
    <row r="4582" spans="1:12">
      <c r="A4582" s="20" t="s">
        <v>1163</v>
      </c>
      <c r="E4582" s="22">
        <f>IF(D4582="?OLD","!!!","")</f>
        <v/>
      </c>
      <c r="F4582" s="23" t="str">
        <f>IF(OR(E4582="",E4582="!!!"),"",IF(NOT(ISNA(VLOOKUP(E4582,E$1:E4581,1,FALSE()))),"OLD",IF(AND(E4582&lt;&gt;"",E4582&lt;&gt;"!!!"),"NEW","")))</f>
        <v> </v>
      </c>
      <c r="G4582" s="24" t="str">
        <f>IF(OR(E4582="",E4582="!!!"),"",IF(OR(J4582=0,AND(J4582=1,K4582=1),AND(J4582=1,I4582="SBJ"),AND(J4582=1,I4582=0)),"?IN_FOCUS",IF(J4582&lt;=2,"?ACTIVATED",IF(J4582&lt;&gt;"","?FAMILIAR",IF(F4582="NEW",IF(ISNA(VLOOKUP(E4582,#REF!,1,FALSE())),"?TYPE_IDENTIFIABLE","?REFERENTIAL"),"_")))))</f>
        <v> </v>
      </c>
      <c r="H4582" s="25" t="str">
        <f>IF(J4582&lt;&gt;1,"",IF(I4582="SBJ","CB","?"))</f>
        <v> </v>
      </c>
      <c r="I4582" s="26" t="str">
        <f>IF(OR(E4582="",E4582="!!!",F4582="NEW"),"",INDEX(B4581:B$2,-1+SUMPRODUCT(MAX(ROW(E4581:E$2)*(E4582=E4581:E$2)))))</f>
        <v> </v>
      </c>
      <c r="J4582" s="26" t="str">
        <f>IF(OR(E4582="",E4582="!!!",F4582="NEW"),"",COUNTBLANK(OFFSET(A$1,,,SUMPRODUCT(MAX(ROW(E$2:E4582)*(E4582=E$2:E4582)))))-COUNTBLANK(OFFSET(A$1,,,SUMPRODUCT(MAX(ROW(E$1:E4581)*(E2=E$1:E4581))))))</f>
        <v> </v>
      </c>
      <c r="K4582" s="26" t="str">
        <f>IF(OR(E4582="",E4582="!!!",F4582="NEW"),"",INDEX(J$1:J4581,SUMPRODUCT(MAX(ROW(E$1:E4581)*(E4582=E$1:E4581)))))</f>
        <v> </v>
      </c>
      <c r="L4582" s="27"/>
    </row>
    <row r="4583" spans="1:12">
      <c r="A4583" s="20" t="s">
        <v>1036</v>
      </c>
      <c r="E4583" s="22">
        <f>IF(D4583="?OLD","!!!","")</f>
        <v/>
      </c>
      <c r="F4583" s="23" t="str">
        <f>IF(OR(E4583="",E4583="!!!"),"",IF(NOT(ISNA(VLOOKUP(E4583,E$1:E4582,1,FALSE()))),"OLD",IF(AND(E4583&lt;&gt;"",E4583&lt;&gt;"!!!"),"NEW","")))</f>
        <v> </v>
      </c>
      <c r="G4583" s="24" t="str">
        <f>IF(OR(E4583="",E4583="!!!"),"",IF(OR(J4583=0,AND(J4583=1,K4583=1),AND(J4583=1,I4583="SBJ"),AND(J4583=1,I4583=0)),"?IN_FOCUS",IF(J4583&lt;=2,"?ACTIVATED",IF(J4583&lt;&gt;"","?FAMILIAR",IF(F4583="NEW",IF(ISNA(VLOOKUP(E4583,#REF!,1,FALSE())),"?TYPE_IDENTIFIABLE","?REFERENTIAL"),"_")))))</f>
        <v> </v>
      </c>
      <c r="H4583" s="25" t="str">
        <f>IF(J4583&lt;&gt;1,"",IF(I4583="SBJ","CB","?"))</f>
        <v> </v>
      </c>
      <c r="I4583" s="26" t="str">
        <f>IF(OR(E4583="",E4583="!!!",F4583="NEW"),"",INDEX(B4582:B$2,-1+SUMPRODUCT(MAX(ROW(E4582:E$2)*(E4583=E4582:E$2)))))</f>
        <v> </v>
      </c>
      <c r="J4583" s="26" t="str">
        <f>IF(OR(E4583="",E4583="!!!",F4583="NEW"),"",COUNTBLANK(OFFSET(A$1,,,SUMPRODUCT(MAX(ROW(E$2:E4583)*(E4583=E$2:E4583)))))-COUNTBLANK(OFFSET(A$1,,,SUMPRODUCT(MAX(ROW(E$1:E4582)*(E2=E$1:E4582))))))</f>
        <v> </v>
      </c>
      <c r="K4583" s="26" t="str">
        <f>IF(OR(E4583="",E4583="!!!",F4583="NEW"),"",INDEX(J$1:J4582,SUMPRODUCT(MAX(ROW(E$1:E4582)*(E4583=E$1:E4582)))))</f>
        <v> </v>
      </c>
      <c r="L4583" s="27"/>
    </row>
    <row r="4584" spans="1:12">
      <c r="A4584" s="20" t="s">
        <v>1056</v>
      </c>
      <c r="E4584" s="22">
        <f>IF(D4584="?OLD","!!!","")</f>
        <v/>
      </c>
      <c r="F4584" s="23" t="str">
        <f>IF(OR(E4584="",E4584="!!!"),"",IF(NOT(ISNA(VLOOKUP(E4584,E$1:E4583,1,FALSE()))),"OLD",IF(AND(E4584&lt;&gt;"",E4584&lt;&gt;"!!!"),"NEW","")))</f>
        <v> </v>
      </c>
      <c r="G4584" s="24" t="str">
        <f>IF(OR(E4584="",E4584="!!!"),"",IF(OR(J4584=0,AND(J4584=1,K4584=1),AND(J4584=1,I4584="SBJ"),AND(J4584=1,I4584=0)),"?IN_FOCUS",IF(J4584&lt;=2,"?ACTIVATED",IF(J4584&lt;&gt;"","?FAMILIAR",IF(F4584="NEW",IF(ISNA(VLOOKUP(E4584,#REF!,1,FALSE())),"?TYPE_IDENTIFIABLE","?REFERENTIAL"),"_")))))</f>
        <v> </v>
      </c>
      <c r="H4584" s="25" t="str">
        <f>IF(J4584&lt;&gt;1,"",IF(I4584="SBJ","CB","?"))</f>
        <v> </v>
      </c>
      <c r="I4584" s="26" t="str">
        <f>IF(OR(E4584="",E4584="!!!",F4584="NEW"),"",INDEX(B4583:B$2,-1+SUMPRODUCT(MAX(ROW(E4583:E$2)*(E4584=E4583:E$2)))))</f>
        <v> </v>
      </c>
      <c r="J4584" s="26" t="str">
        <f>IF(OR(E4584="",E4584="!!!",F4584="NEW"),"",COUNTBLANK(OFFSET(A$1,,,SUMPRODUCT(MAX(ROW(E$2:E4584)*(E4584=E$2:E4584)))))-COUNTBLANK(OFFSET(A$1,,,SUMPRODUCT(MAX(ROW(E$1:E4583)*(E2=E$1:E4583))))))</f>
        <v> </v>
      </c>
      <c r="K4584" s="26" t="str">
        <f>IF(OR(E4584="",E4584="!!!",F4584="NEW"),"",INDEX(J$1:J4583,SUMPRODUCT(MAX(ROW(E$1:E4583)*(E4584=E$1:E4583)))))</f>
        <v> </v>
      </c>
      <c r="L4584" s="27"/>
    </row>
    <row r="4585" spans="1:12">
      <c r="A4585" s="20" t="s">
        <v>1612</v>
      </c>
      <c r="E4585" s="22">
        <f>IF(D4585="?OLD","!!!","")</f>
        <v/>
      </c>
      <c r="F4585" s="23" t="str">
        <f>IF(OR(E4585="",E4585="!!!"),"",IF(NOT(ISNA(VLOOKUP(E4585,E$1:E4584,1,FALSE()))),"OLD",IF(AND(E4585&lt;&gt;"",E4585&lt;&gt;"!!!"),"NEW","")))</f>
        <v> </v>
      </c>
      <c r="G4585" s="24" t="str">
        <f>IF(OR(E4585="",E4585="!!!"),"",IF(OR(J4585=0,AND(J4585=1,K4585=1),AND(J4585=1,I4585="SBJ"),AND(J4585=1,I4585=0)),"?IN_FOCUS",IF(J4585&lt;=2,"?ACTIVATED",IF(J4585&lt;&gt;"","?FAMILIAR",IF(F4585="NEW",IF(ISNA(VLOOKUP(E4585,#REF!,1,FALSE())),"?TYPE_IDENTIFIABLE","?REFERENTIAL"),"_")))))</f>
        <v> </v>
      </c>
      <c r="H4585" s="25" t="str">
        <f>IF(J4585&lt;&gt;1,"",IF(I4585="SBJ","CB","?"))</f>
        <v> </v>
      </c>
      <c r="I4585" s="26" t="str">
        <f>IF(OR(E4585="",E4585="!!!",F4585="NEW"),"",INDEX(B4584:B$2,-1+SUMPRODUCT(MAX(ROW(E4584:E$2)*(E4585=E4584:E$2)))))</f>
        <v> </v>
      </c>
      <c r="J4585" s="26" t="str">
        <f>IF(OR(E4585="",E4585="!!!",F4585="NEW"),"",COUNTBLANK(OFFSET(A$1,,,SUMPRODUCT(MAX(ROW(E$2:E4585)*(E4585=E$2:E4585)))))-COUNTBLANK(OFFSET(A$1,,,SUMPRODUCT(MAX(ROW(E$1:E4584)*(E2=E$1:E4584))))))</f>
        <v> </v>
      </c>
      <c r="K4585" s="26" t="str">
        <f>IF(OR(E4585="",E4585="!!!",F4585="NEW"),"",INDEX(J$1:J4584,SUMPRODUCT(MAX(ROW(E$1:E4584)*(E4585=E$1:E4584)))))</f>
        <v> </v>
      </c>
      <c r="L4585" s="27"/>
    </row>
    <row r="4586" spans="1:12">
      <c r="A4586" s="20" t="s">
        <v>1299</v>
      </c>
      <c r="E4586" s="22">
        <f>IF(D4586="?OLD","!!!","")</f>
        <v/>
      </c>
      <c r="F4586" s="23" t="str">
        <f>IF(OR(E4586="",E4586="!!!"),"",IF(NOT(ISNA(VLOOKUP(E4586,E$1:E4585,1,FALSE()))),"OLD",IF(AND(E4586&lt;&gt;"",E4586&lt;&gt;"!!!"),"NEW","")))</f>
        <v> </v>
      </c>
      <c r="G4586" s="24" t="str">
        <f>IF(OR(E4586="",E4586="!!!"),"",IF(OR(J4586=0,AND(J4586=1,K4586=1),AND(J4586=1,I4586="SBJ"),AND(J4586=1,I4586=0)),"?IN_FOCUS",IF(J4586&lt;=2,"?ACTIVATED",IF(J4586&lt;&gt;"","?FAMILIAR",IF(F4586="NEW",IF(ISNA(VLOOKUP(E4586,#REF!,1,FALSE())),"?TYPE_IDENTIFIABLE","?REFERENTIAL"),"_")))))</f>
        <v> </v>
      </c>
      <c r="H4586" s="25" t="str">
        <f>IF(J4586&lt;&gt;1,"",IF(I4586="SBJ","CB","?"))</f>
        <v> </v>
      </c>
      <c r="I4586" s="26" t="str">
        <f>IF(OR(E4586="",E4586="!!!",F4586="NEW"),"",INDEX(B4585:B$2,-1+SUMPRODUCT(MAX(ROW(E4585:E$2)*(E4586=E4585:E$2)))))</f>
        <v> </v>
      </c>
      <c r="J4586" s="26" t="str">
        <f>IF(OR(E4586="",E4586="!!!",F4586="NEW"),"",COUNTBLANK(OFFSET(A$1,,,SUMPRODUCT(MAX(ROW(E$2:E4586)*(E4586=E$2:E4586)))))-COUNTBLANK(OFFSET(A$1,,,SUMPRODUCT(MAX(ROW(E$1:E4585)*(E2=E$1:E4585))))))</f>
        <v> </v>
      </c>
      <c r="K4586" s="26" t="str">
        <f>IF(OR(E4586="",E4586="!!!",F4586="NEW"),"",INDEX(J$1:J4585,SUMPRODUCT(MAX(ROW(E$1:E4585)*(E4586=E$1:E4585)))))</f>
        <v> </v>
      </c>
      <c r="L4586" s="27"/>
    </row>
    <row r="4587" spans="1:12">
      <c r="A4587" s="20" t="s">
        <v>2295</v>
      </c>
      <c r="E4587" s="22">
        <f>IF(D4587="?OLD","!!!","")</f>
        <v/>
      </c>
      <c r="F4587" s="23" t="str">
        <f>IF(OR(E4587="",E4587="!!!"),"",IF(NOT(ISNA(VLOOKUP(E4587,E$1:E4586,1,FALSE()))),"OLD",IF(AND(E4587&lt;&gt;"",E4587&lt;&gt;"!!!"),"NEW","")))</f>
        <v> </v>
      </c>
      <c r="G4587" s="24" t="str">
        <f>IF(OR(E4587="",E4587="!!!"),"",IF(OR(J4587=0,AND(J4587=1,K4587=1),AND(J4587=1,I4587="SBJ"),AND(J4587=1,I4587=0)),"?IN_FOCUS",IF(J4587&lt;=2,"?ACTIVATED",IF(J4587&lt;&gt;"","?FAMILIAR",IF(F4587="NEW",IF(ISNA(VLOOKUP(E4587,#REF!,1,FALSE())),"?TYPE_IDENTIFIABLE","?REFERENTIAL"),"_")))))</f>
        <v> </v>
      </c>
      <c r="H4587" s="25" t="str">
        <f>IF(J4587&lt;&gt;1,"",IF(I4587="SBJ","CB","?"))</f>
        <v> </v>
      </c>
      <c r="I4587" s="26" t="str">
        <f>IF(OR(E4587="",E4587="!!!",F4587="NEW"),"",INDEX(B4586:B$2,-1+SUMPRODUCT(MAX(ROW(E4586:E$2)*(E4587=E4586:E$2)))))</f>
        <v> </v>
      </c>
      <c r="J4587" s="26" t="str">
        <f>IF(OR(E4587="",E4587="!!!",F4587="NEW"),"",COUNTBLANK(OFFSET(A$1,,,SUMPRODUCT(MAX(ROW(E$2:E4587)*(E4587=E$2:E4587)))))-COUNTBLANK(OFFSET(A$1,,,SUMPRODUCT(MAX(ROW(E$1:E4586)*(E2=E$1:E4586))))))</f>
        <v> </v>
      </c>
      <c r="K4587" s="26" t="str">
        <f>IF(OR(E4587="",E4587="!!!",F4587="NEW"),"",INDEX(J$1:J4586,SUMPRODUCT(MAX(ROW(E$1:E4586)*(E4587=E$1:E4586)))))</f>
        <v> </v>
      </c>
      <c r="L4587" s="27"/>
    </row>
    <row r="4588" spans="1:12">
      <c r="A4588" s="20" t="s">
        <v>1324</v>
      </c>
      <c r="E4588" s="22">
        <f>IF(D4588="?OLD","!!!","")</f>
        <v/>
      </c>
      <c r="F4588" s="23" t="str">
        <f>IF(OR(E4588="",E4588="!!!"),"",IF(NOT(ISNA(VLOOKUP(E4588,E$1:E4587,1,FALSE()))),"OLD",IF(AND(E4588&lt;&gt;"",E4588&lt;&gt;"!!!"),"NEW","")))</f>
        <v> </v>
      </c>
      <c r="G4588" s="24" t="str">
        <f>IF(OR(E4588="",E4588="!!!"),"",IF(OR(J4588=0,AND(J4588=1,K4588=1),AND(J4588=1,I4588="SBJ"),AND(J4588=1,I4588=0)),"?IN_FOCUS",IF(J4588&lt;=2,"?ACTIVATED",IF(J4588&lt;&gt;"","?FAMILIAR",IF(F4588="NEW",IF(ISNA(VLOOKUP(E4588,#REF!,1,FALSE())),"?TYPE_IDENTIFIABLE","?REFERENTIAL"),"_")))))</f>
        <v> </v>
      </c>
      <c r="H4588" s="25" t="str">
        <f>IF(J4588&lt;&gt;1,"",IF(I4588="SBJ","CB","?"))</f>
        <v> </v>
      </c>
      <c r="I4588" s="26" t="str">
        <f>IF(OR(E4588="",E4588="!!!",F4588="NEW"),"",INDEX(B4587:B$2,-1+SUMPRODUCT(MAX(ROW(E4587:E$2)*(E4588=E4587:E$2)))))</f>
        <v> </v>
      </c>
      <c r="J4588" s="26" t="str">
        <f>IF(OR(E4588="",E4588="!!!",F4588="NEW"),"",COUNTBLANK(OFFSET(A$1,,,SUMPRODUCT(MAX(ROW(E$2:E4588)*(E4588=E$2:E4588)))))-COUNTBLANK(OFFSET(A$1,,,SUMPRODUCT(MAX(ROW(E$1:E4587)*(E2=E$1:E4587))))))</f>
        <v> </v>
      </c>
      <c r="K4588" s="26" t="str">
        <f>IF(OR(E4588="",E4588="!!!",F4588="NEW"),"",INDEX(J$1:J4587,SUMPRODUCT(MAX(ROW(E$1:E4587)*(E4588=E$1:E4587)))))</f>
        <v> </v>
      </c>
      <c r="L4588" s="27"/>
    </row>
    <row r="4589" spans="1:12">
      <c r="A4589" s="20" t="s">
        <v>2059</v>
      </c>
      <c r="B4589" s="21" t="s">
        <v>1187</v>
      </c>
      <c r="C4589" s="21" t="s">
        <v>1013</v>
      </c>
      <c r="D4589" s="21" t="s">
        <v>1007</v>
      </c>
      <c r="E4589" s="22">
        <f>IF(D4589="?OLD","!!!","")</f>
        <v/>
      </c>
      <c r="F4589" s="23" t="str">
        <f>IF(OR(E4589="",E4589="!!!"),"",IF(NOT(ISNA(VLOOKUP(E4589,E$1:E4588,1,FALSE()))),"OLD",IF(AND(E4589&lt;&gt;"",E4589&lt;&gt;"!!!"),"NEW","")))</f>
        <v> </v>
      </c>
      <c r="G4589" s="24" t="str">
        <f>IF(OR(E4589="",E4589="!!!"),"",IF(OR(J4589=0,AND(J4589=1,K4589=1),AND(J4589=1,I4589="SBJ"),AND(J4589=1,I4589=0)),"?IN_FOCUS",IF(J4589&lt;=2,"?ACTIVATED",IF(J4589&lt;&gt;"","?FAMILIAR",IF(F4589="NEW",IF(ISNA(VLOOKUP(E4589,#REF!,1,FALSE())),"?TYPE_IDENTIFIABLE","?REFERENTIAL"),"_")))))</f>
        <v> </v>
      </c>
      <c r="H4589" s="25" t="str">
        <f>IF(J4589&lt;&gt;1,"",IF(I4589="SBJ","CB","?"))</f>
        <v> </v>
      </c>
      <c r="I4589" s="26" t="str">
        <f>IF(OR(E4589="",E4589="!!!",F4589="NEW"),"",INDEX(B4588:B$2,-1+SUMPRODUCT(MAX(ROW(E4588:E$2)*(E4589=E4588:E$2)))))</f>
        <v> </v>
      </c>
      <c r="J4589" s="26" t="str">
        <f>IF(OR(E4589="",E4589="!!!",F4589="NEW"),"",COUNTBLANK(OFFSET(A$1,,,SUMPRODUCT(MAX(ROW(E$2:E4589)*(E4589=E$2:E4589)))))-COUNTBLANK(OFFSET(A$1,,,SUMPRODUCT(MAX(ROW(E$1:E4588)*(E2=E$1:E4588))))))</f>
        <v> </v>
      </c>
      <c r="K4589" s="26" t="str">
        <f>IF(OR(E4589="",E4589="!!!",F4589="NEW"),"",INDEX(J$1:J4588,SUMPRODUCT(MAX(ROW(E$1:E4588)*(E4589=E$1:E4588)))))</f>
        <v> </v>
      </c>
      <c r="L4589" s="27"/>
    </row>
    <row r="4590" spans="1:12">
      <c r="A4590" s="20" t="s">
        <v>1286</v>
      </c>
      <c r="E4590" s="22">
        <f>IF(D4590="?OLD","!!!","")</f>
        <v/>
      </c>
      <c r="F4590" s="23" t="str">
        <f>IF(OR(E4590="",E4590="!!!"),"",IF(NOT(ISNA(VLOOKUP(E4590,E$1:E4589,1,FALSE()))),"OLD",IF(AND(E4590&lt;&gt;"",E4590&lt;&gt;"!!!"),"NEW","")))</f>
        <v> </v>
      </c>
      <c r="G4590" s="24" t="str">
        <f>IF(OR(E4590="",E4590="!!!"),"",IF(OR(J4590=0,AND(J4590=1,K4590=1),AND(J4590=1,I4590="SBJ"),AND(J4590=1,I4590=0)),"?IN_FOCUS",IF(J4590&lt;=2,"?ACTIVATED",IF(J4590&lt;&gt;"","?FAMILIAR",IF(F4590="NEW",IF(ISNA(VLOOKUP(E4590,#REF!,1,FALSE())),"?TYPE_IDENTIFIABLE","?REFERENTIAL"),"_")))))</f>
        <v> </v>
      </c>
      <c r="H4590" s="25" t="str">
        <f>IF(J4590&lt;&gt;1,"",IF(I4590="SBJ","CB","?"))</f>
        <v> </v>
      </c>
      <c r="I4590" s="26" t="str">
        <f>IF(OR(E4590="",E4590="!!!",F4590="NEW"),"",INDEX(B4589:B$2,-1+SUMPRODUCT(MAX(ROW(E4589:E$2)*(E4590=E4589:E$2)))))</f>
        <v> </v>
      </c>
      <c r="J4590" s="26" t="str">
        <f>IF(OR(E4590="",E4590="!!!",F4590="NEW"),"",COUNTBLANK(OFFSET(A$1,,,SUMPRODUCT(MAX(ROW(E$2:E4590)*(E4590=E$2:E4590)))))-COUNTBLANK(OFFSET(A$1,,,SUMPRODUCT(MAX(ROW(E$1:E4589)*(E2=E$1:E4589))))))</f>
        <v> </v>
      </c>
      <c r="K4590" s="26" t="str">
        <f>IF(OR(E4590="",E4590="!!!",F4590="NEW"),"",INDEX(J$1:J4589,SUMPRODUCT(MAX(ROW(E$1:E4589)*(E4590=E$1:E4589)))))</f>
        <v> </v>
      </c>
      <c r="L4590" s="27"/>
    </row>
    <row r="4591" spans="1:12">
      <c r="A4591" s="20" t="s">
        <v>2296</v>
      </c>
      <c r="E4591" s="22">
        <f>IF(D4591="?OLD","!!!","")</f>
        <v/>
      </c>
      <c r="F4591" s="23" t="str">
        <f>IF(OR(E4591="",E4591="!!!"),"",IF(NOT(ISNA(VLOOKUP(E4591,E$1:E4590,1,FALSE()))),"OLD",IF(AND(E4591&lt;&gt;"",E4591&lt;&gt;"!!!"),"NEW","")))</f>
        <v> </v>
      </c>
      <c r="G4591" s="24" t="str">
        <f>IF(OR(E4591="",E4591="!!!"),"",IF(OR(J4591=0,AND(J4591=1,K4591=1),AND(J4591=1,I4591="SBJ"),AND(J4591=1,I4591=0)),"?IN_FOCUS",IF(J4591&lt;=2,"?ACTIVATED",IF(J4591&lt;&gt;"","?FAMILIAR",IF(F4591="NEW",IF(ISNA(VLOOKUP(E4591,#REF!,1,FALSE())),"?TYPE_IDENTIFIABLE","?REFERENTIAL"),"_")))))</f>
        <v> </v>
      </c>
      <c r="H4591" s="25" t="str">
        <f>IF(J4591&lt;&gt;1,"",IF(I4591="SBJ","CB","?"))</f>
        <v> </v>
      </c>
      <c r="I4591" s="26" t="str">
        <f>IF(OR(E4591="",E4591="!!!",F4591="NEW"),"",INDEX(B4590:B$2,-1+SUMPRODUCT(MAX(ROW(E4590:E$2)*(E4591=E4590:E$2)))))</f>
        <v> </v>
      </c>
      <c r="J4591" s="26" t="str">
        <f>IF(OR(E4591="",E4591="!!!",F4591="NEW"),"",COUNTBLANK(OFFSET(A$1,,,SUMPRODUCT(MAX(ROW(E$2:E4591)*(E4591=E$2:E4591)))))-COUNTBLANK(OFFSET(A$1,,,SUMPRODUCT(MAX(ROW(E$1:E4590)*(E2=E$1:E4590))))))</f>
        <v> </v>
      </c>
      <c r="K4591" s="26" t="str">
        <f>IF(OR(E4591="",E4591="!!!",F4591="NEW"),"",INDEX(J$1:J4590,SUMPRODUCT(MAX(ROW(E$1:E4590)*(E4591=E$1:E4590)))))</f>
        <v> </v>
      </c>
      <c r="L4591" s="27"/>
    </row>
    <row r="4592" spans="1:12">
      <c r="A4592" s="20" t="s">
        <v>1097</v>
      </c>
      <c r="E4592" s="22">
        <f>IF(D4592="?OLD","!!!","")</f>
        <v/>
      </c>
      <c r="F4592" s="23" t="str">
        <f>IF(OR(E4592="",E4592="!!!"),"",IF(NOT(ISNA(VLOOKUP(E4592,E$1:E4591,1,FALSE()))),"OLD",IF(AND(E4592&lt;&gt;"",E4592&lt;&gt;"!!!"),"NEW","")))</f>
        <v> </v>
      </c>
      <c r="G4592" s="24" t="str">
        <f>IF(OR(E4592="",E4592="!!!"),"",IF(OR(J4592=0,AND(J4592=1,K4592=1),AND(J4592=1,I4592="SBJ"),AND(J4592=1,I4592=0)),"?IN_FOCUS",IF(J4592&lt;=2,"?ACTIVATED",IF(J4592&lt;&gt;"","?FAMILIAR",IF(F4592="NEW",IF(ISNA(VLOOKUP(E4592,#REF!,1,FALSE())),"?TYPE_IDENTIFIABLE","?REFERENTIAL"),"_")))))</f>
        <v> </v>
      </c>
      <c r="H4592" s="25" t="str">
        <f>IF(J4592&lt;&gt;1,"",IF(I4592="SBJ","CB","?"))</f>
        <v> </v>
      </c>
      <c r="I4592" s="26" t="str">
        <f>IF(OR(E4592="",E4592="!!!",F4592="NEW"),"",INDEX(B4591:B$2,-1+SUMPRODUCT(MAX(ROW(E4591:E$2)*(E4592=E4591:E$2)))))</f>
        <v> </v>
      </c>
      <c r="J4592" s="26" t="str">
        <f>IF(OR(E4592="",E4592="!!!",F4592="NEW"),"",COUNTBLANK(OFFSET(A$1,,,SUMPRODUCT(MAX(ROW(E$2:E4592)*(E4592=E$2:E4592)))))-COUNTBLANK(OFFSET(A$1,,,SUMPRODUCT(MAX(ROW(E$1:E4591)*(E2=E$1:E4591))))))</f>
        <v> </v>
      </c>
      <c r="K4592" s="26" t="str">
        <f>IF(OR(E4592="",E4592="!!!",F4592="NEW"),"",INDEX(J$1:J4591,SUMPRODUCT(MAX(ROW(E$1:E4591)*(E4592=E$1:E4591)))))</f>
        <v> </v>
      </c>
      <c r="L4592" s="27"/>
    </row>
    <row r="4593" spans="1:12">
      <c r="A4593" s="20" t="s">
        <v>1081</v>
      </c>
      <c r="B4593" s="21" t="s">
        <v>1035</v>
      </c>
      <c r="C4593" s="21" t="s">
        <v>1082</v>
      </c>
      <c r="D4593" s="21" t="s">
        <v>1007</v>
      </c>
      <c r="E4593" s="22">
        <f>IF(D4593="?OLD","!!!","")</f>
        <v/>
      </c>
      <c r="F4593" s="23" t="str">
        <f>IF(OR(E4593="",E4593="!!!"),"",IF(NOT(ISNA(VLOOKUP(E4593,E$1:E4592,1,FALSE()))),"OLD",IF(AND(E4593&lt;&gt;"",E4593&lt;&gt;"!!!"),"NEW","")))</f>
        <v> </v>
      </c>
      <c r="G4593" s="24" t="str">
        <f>IF(OR(E4593="",E4593="!!!"),"",IF(OR(J4593=0,AND(J4593=1,K4593=1),AND(J4593=1,I4593="SBJ"),AND(J4593=1,I4593=0)),"?IN_FOCUS",IF(J4593&lt;=2,"?ACTIVATED",IF(J4593&lt;&gt;"","?FAMILIAR",IF(F4593="NEW",IF(ISNA(VLOOKUP(E4593,#REF!,1,FALSE())),"?TYPE_IDENTIFIABLE","?REFERENTIAL"),"_")))))</f>
        <v> </v>
      </c>
      <c r="H4593" s="25" t="str">
        <f>IF(J4593&lt;&gt;1,"",IF(I4593="SBJ","CB","?"))</f>
        <v> </v>
      </c>
      <c r="I4593" s="26" t="str">
        <f>IF(OR(E4593="",E4593="!!!",F4593="NEW"),"",INDEX(B4592:B$2,-1+SUMPRODUCT(MAX(ROW(E4592:E$2)*(E4593=E4592:E$2)))))</f>
        <v> </v>
      </c>
      <c r="J4593" s="26" t="str">
        <f>IF(OR(E4593="",E4593="!!!",F4593="NEW"),"",COUNTBLANK(OFFSET(A$1,,,SUMPRODUCT(MAX(ROW(E$2:E4593)*(E4593=E$2:E4593)))))-COUNTBLANK(OFFSET(A$1,,,SUMPRODUCT(MAX(ROW(E$1:E4592)*(E2=E$1:E4592))))))</f>
        <v> </v>
      </c>
      <c r="K4593" s="26" t="str">
        <f>IF(OR(E4593="",E4593="!!!",F4593="NEW"),"",INDEX(J$1:J4592,SUMPRODUCT(MAX(ROW(E$1:E4592)*(E4593=E$1:E4592)))))</f>
        <v> </v>
      </c>
      <c r="L4593" s="27"/>
    </row>
    <row r="4594" spans="1:12">
      <c r="A4594" s="20" t="s">
        <v>1018</v>
      </c>
      <c r="E4594" s="22">
        <f>IF(D4594="?OLD","!!!","")</f>
        <v/>
      </c>
      <c r="F4594" s="23" t="str">
        <f>IF(OR(E4594="",E4594="!!!"),"",IF(NOT(ISNA(VLOOKUP(E4594,E$1:E4593,1,FALSE()))),"OLD",IF(AND(E4594&lt;&gt;"",E4594&lt;&gt;"!!!"),"NEW","")))</f>
        <v> </v>
      </c>
      <c r="G4594" s="24" t="str">
        <f>IF(OR(E4594="",E4594="!!!"),"",IF(OR(J4594=0,AND(J4594=1,K4594=1),AND(J4594=1,I4594="SBJ"),AND(J4594=1,I4594=0)),"?IN_FOCUS",IF(J4594&lt;=2,"?ACTIVATED",IF(J4594&lt;&gt;"","?FAMILIAR",IF(F4594="NEW",IF(ISNA(VLOOKUP(E4594,#REF!,1,FALSE())),"?TYPE_IDENTIFIABLE","?REFERENTIAL"),"_")))))</f>
        <v> </v>
      </c>
      <c r="H4594" s="25" t="str">
        <f>IF(J4594&lt;&gt;1,"",IF(I4594="SBJ","CB","?"))</f>
        <v> </v>
      </c>
      <c r="I4594" s="26" t="str">
        <f>IF(OR(E4594="",E4594="!!!",F4594="NEW"),"",INDEX(B4593:B$2,-1+SUMPRODUCT(MAX(ROW(E4593:E$2)*(E4594=E4593:E$2)))))</f>
        <v> </v>
      </c>
      <c r="J4594" s="26" t="str">
        <f>IF(OR(E4594="",E4594="!!!",F4594="NEW"),"",COUNTBLANK(OFFSET(A$1,,,SUMPRODUCT(MAX(ROW(E$2:E4594)*(E4594=E$2:E4594)))))-COUNTBLANK(OFFSET(A$1,,,SUMPRODUCT(MAX(ROW(E$1:E4593)*(E2=E$1:E4593))))))</f>
        <v> </v>
      </c>
      <c r="K4594" s="26" t="str">
        <f>IF(OR(E4594="",E4594="!!!",F4594="NEW"),"",INDEX(J$1:J4593,SUMPRODUCT(MAX(ROW(E$1:E4593)*(E4594=E$1:E4593)))))</f>
        <v> </v>
      </c>
      <c r="L4594" s="27"/>
    </row>
    <row r="4595" spans="1:12">
      <c r="A4595" s="20" t="s">
        <v>2297</v>
      </c>
      <c r="E4595" s="22">
        <f>IF(D4595="?OLD","!!!","")</f>
        <v/>
      </c>
      <c r="F4595" s="23" t="str">
        <f>IF(OR(E4595="",E4595="!!!"),"",IF(NOT(ISNA(VLOOKUP(E4595,E$1:E4594,1,FALSE()))),"OLD",IF(AND(E4595&lt;&gt;"",E4595&lt;&gt;"!!!"),"NEW","")))</f>
        <v> </v>
      </c>
      <c r="G4595" s="24" t="str">
        <f>IF(OR(E4595="",E4595="!!!"),"",IF(OR(J4595=0,AND(J4595=1,K4595=1),AND(J4595=1,I4595="SBJ"),AND(J4595=1,I4595=0)),"?IN_FOCUS",IF(J4595&lt;=2,"?ACTIVATED",IF(J4595&lt;&gt;"","?FAMILIAR",IF(F4595="NEW",IF(ISNA(VLOOKUP(E4595,#REF!,1,FALSE())),"?TYPE_IDENTIFIABLE","?REFERENTIAL"),"_")))))</f>
        <v> </v>
      </c>
      <c r="H4595" s="25" t="str">
        <f>IF(J4595&lt;&gt;1,"",IF(I4595="SBJ","CB","?"))</f>
        <v> </v>
      </c>
      <c r="I4595" s="26" t="str">
        <f>IF(OR(E4595="",E4595="!!!",F4595="NEW"),"",INDEX(B4594:B$2,-1+SUMPRODUCT(MAX(ROW(E4594:E$2)*(E4595=E4594:E$2)))))</f>
        <v> </v>
      </c>
      <c r="J4595" s="26" t="str">
        <f>IF(OR(E4595="",E4595="!!!",F4595="NEW"),"",COUNTBLANK(OFFSET(A$1,,,SUMPRODUCT(MAX(ROW(E$2:E4595)*(E4595=E$2:E4595)))))-COUNTBLANK(OFFSET(A$1,,,SUMPRODUCT(MAX(ROW(E$1:E4594)*(E2=E$1:E4594))))))</f>
        <v> </v>
      </c>
      <c r="K4595" s="26" t="str">
        <f>IF(OR(E4595="",E4595="!!!",F4595="NEW"),"",INDEX(J$1:J4594,SUMPRODUCT(MAX(ROW(E$1:E4594)*(E4595=E$1:E4594)))))</f>
        <v> </v>
      </c>
      <c r="L4595" s="27"/>
    </row>
    <row r="4596" spans="1:12">
      <c r="A4596" s="20" t="s">
        <v>1014</v>
      </c>
      <c r="E4596" s="22">
        <f>IF(D4596="?OLD","!!!","")</f>
        <v/>
      </c>
      <c r="F4596" s="23" t="str">
        <f>IF(OR(E4596="",E4596="!!!"),"",IF(NOT(ISNA(VLOOKUP(E4596,E$1:E4595,1,FALSE()))),"OLD",IF(AND(E4596&lt;&gt;"",E4596&lt;&gt;"!!!"),"NEW","")))</f>
        <v> </v>
      </c>
      <c r="G4596" s="24" t="str">
        <f>IF(OR(E4596="",E4596="!!!"),"",IF(OR(J4596=0,AND(J4596=1,K4596=1),AND(J4596=1,I4596="SBJ"),AND(J4596=1,I4596=0)),"?IN_FOCUS",IF(J4596&lt;=2,"?ACTIVATED",IF(J4596&lt;&gt;"","?FAMILIAR",IF(F4596="NEW",IF(ISNA(VLOOKUP(E4596,#REF!,1,FALSE())),"?TYPE_IDENTIFIABLE","?REFERENTIAL"),"_")))))</f>
        <v> </v>
      </c>
      <c r="H4596" s="25" t="str">
        <f>IF(J4596&lt;&gt;1,"",IF(I4596="SBJ","CB","?"))</f>
        <v> </v>
      </c>
      <c r="I4596" s="26" t="str">
        <f>IF(OR(E4596="",E4596="!!!",F4596="NEW"),"",INDEX(B4595:B$2,-1+SUMPRODUCT(MAX(ROW(E4595:E$2)*(E4596=E4595:E$2)))))</f>
        <v> </v>
      </c>
      <c r="J4596" s="26" t="str">
        <f>IF(OR(E4596="",E4596="!!!",F4596="NEW"),"",COUNTBLANK(OFFSET(A$1,,,SUMPRODUCT(MAX(ROW(E$2:E4596)*(E4596=E$2:E4596)))))-COUNTBLANK(OFFSET(A$1,,,SUMPRODUCT(MAX(ROW(E$1:E4595)*(E2=E$1:E4595))))))</f>
        <v> </v>
      </c>
      <c r="K4596" s="26" t="str">
        <f>IF(OR(E4596="",E4596="!!!",F4596="NEW"),"",INDEX(J$1:J4595,SUMPRODUCT(MAX(ROW(E$1:E4595)*(E4596=E$1:E4595)))))</f>
        <v> </v>
      </c>
      <c r="L4596" s="27"/>
    </row>
    <row r="4597" spans="1:12">
      <c r="A4597" s="20" t="s">
        <v>2196</v>
      </c>
      <c r="B4597" s="21" t="s">
        <v>1035</v>
      </c>
      <c r="C4597" s="21" t="s">
        <v>1048</v>
      </c>
      <c r="E4597" s="22">
        <f>IF(D4597="?OLD","!!!","")</f>
        <v/>
      </c>
      <c r="F4597" s="23" t="str">
        <f>IF(OR(E4597="",E4597="!!!"),"",IF(NOT(ISNA(VLOOKUP(E4597,E$1:E4596,1,FALSE()))),"OLD",IF(AND(E4597&lt;&gt;"",E4597&lt;&gt;"!!!"),"NEW","")))</f>
        <v> </v>
      </c>
      <c r="G4597" s="24" t="str">
        <f>IF(OR(E4597="",E4597="!!!"),"",IF(OR(J4597=0,AND(J4597=1,K4597=1),AND(J4597=1,I4597="SBJ"),AND(J4597=1,I4597=0)),"?IN_FOCUS",IF(J4597&lt;=2,"?ACTIVATED",IF(J4597&lt;&gt;"","?FAMILIAR",IF(F4597="NEW",IF(ISNA(VLOOKUP(E4597,#REF!,1,FALSE())),"?TYPE_IDENTIFIABLE","?REFERENTIAL"),"_")))))</f>
        <v> </v>
      </c>
      <c r="H4597" s="25" t="str">
        <f>IF(J4597&lt;&gt;1,"",IF(I4597="SBJ","CB","?"))</f>
        <v> </v>
      </c>
      <c r="I4597" s="26" t="str">
        <f>IF(OR(E4597="",E4597="!!!",F4597="NEW"),"",INDEX(B4596:B$2,-1+SUMPRODUCT(MAX(ROW(E4596:E$2)*(E4597=E4596:E$2)))))</f>
        <v> </v>
      </c>
      <c r="J4597" s="26" t="str">
        <f>IF(OR(E4597="",E4597="!!!",F4597="NEW"),"",COUNTBLANK(OFFSET(A$1,,,SUMPRODUCT(MAX(ROW(E$2:E4597)*(E4597=E$2:E4597)))))-COUNTBLANK(OFFSET(A$1,,,SUMPRODUCT(MAX(ROW(E$1:E4596)*(E2=E$1:E4596))))))</f>
        <v> </v>
      </c>
      <c r="K4597" s="26" t="str">
        <f>IF(OR(E4597="",E4597="!!!",F4597="NEW"),"",INDEX(J$1:J4596,SUMPRODUCT(MAX(ROW(E$1:E4596)*(E4597=E$1:E4596)))))</f>
        <v> </v>
      </c>
      <c r="L4597" s="27"/>
    </row>
    <row r="4598" spans="1:12">
      <c r="A4598" s="20" t="s">
        <v>1023</v>
      </c>
      <c r="E4598" s="22">
        <f>IF(D4598="?OLD","!!!","")</f>
        <v/>
      </c>
      <c r="F4598" s="23" t="str">
        <f>IF(OR(E4598="",E4598="!!!"),"",IF(NOT(ISNA(VLOOKUP(E4598,E$1:E4597,1,FALSE()))),"OLD",IF(AND(E4598&lt;&gt;"",E4598&lt;&gt;"!!!"),"NEW","")))</f>
        <v> </v>
      </c>
      <c r="G4598" s="24" t="str">
        <f>IF(OR(E4598="",E4598="!!!"),"",IF(OR(J4598=0,AND(J4598=1,K4598=1),AND(J4598=1,I4598="SBJ"),AND(J4598=1,I4598=0)),"?IN_FOCUS",IF(J4598&lt;=2,"?ACTIVATED",IF(J4598&lt;&gt;"","?FAMILIAR",IF(F4598="NEW",IF(ISNA(VLOOKUP(E4598,#REF!,1,FALSE())),"?TYPE_IDENTIFIABLE","?REFERENTIAL"),"_")))))</f>
        <v> </v>
      </c>
      <c r="H4598" s="25" t="str">
        <f>IF(J4598&lt;&gt;1,"",IF(I4598="SBJ","CB","?"))</f>
        <v> </v>
      </c>
      <c r="I4598" s="26" t="str">
        <f>IF(OR(E4598="",E4598="!!!",F4598="NEW"),"",INDEX(B4597:B$2,-1+SUMPRODUCT(MAX(ROW(E4597:E$2)*(E4598=E4597:E$2)))))</f>
        <v> </v>
      </c>
      <c r="J4598" s="26" t="str">
        <f>IF(OR(E4598="",E4598="!!!",F4598="NEW"),"",COUNTBLANK(OFFSET(A$1,,,SUMPRODUCT(MAX(ROW(E$2:E4598)*(E4598=E$2:E4598)))))-COUNTBLANK(OFFSET(A$1,,,SUMPRODUCT(MAX(ROW(E$1:E4597)*(E2=E$1:E4597))))))</f>
        <v> </v>
      </c>
      <c r="K4598" s="26" t="str">
        <f>IF(OR(E4598="",E4598="!!!",F4598="NEW"),"",INDEX(J$1:J4597,SUMPRODUCT(MAX(ROW(E$1:E4597)*(E4598=E$1:E4597)))))</f>
        <v> </v>
      </c>
      <c r="L4598" s="27"/>
    </row>
    <row r="4599" spans="1:12">
      <c r="A4599" s="20"/>
    </row>
    <row r="4600" spans="1:12">
      <c r="A4600" s="20" t="s">
        <v>2298</v>
      </c>
    </row>
    <row r="4601" spans="1:12">
      <c r="A4601" s="20" t="s">
        <v>1400</v>
      </c>
      <c r="E4601" s="22">
        <f>IF(D4601="?OLD","!!!","")</f>
        <v/>
      </c>
      <c r="F4601" s="23" t="str">
        <f>IF(OR(E4601="",E4601="!!!"),"",IF(NOT(ISNA(VLOOKUP(E4601,E$1:E4600,1,FALSE()))),"OLD",IF(AND(E4601&lt;&gt;"",E4601&lt;&gt;"!!!"),"NEW","")))</f>
        <v> </v>
      </c>
      <c r="G4601" s="24" t="str">
        <f>IF(OR(E4601="",E4601="!!!"),"",IF(OR(J4601=0,AND(J4601=1,K4601=1),AND(J4601=1,I4601="SBJ"),AND(J4601=1,I4601=0)),"?IN_FOCUS",IF(J4601&lt;=2,"?ACTIVATED",IF(J4601&lt;&gt;"","?FAMILIAR",IF(F4601="NEW",IF(ISNA(VLOOKUP(E4601,#REF!,1,FALSE())),"?TYPE_IDENTIFIABLE","?REFERENTIAL"),"_")))))</f>
        <v> </v>
      </c>
      <c r="H4601" s="25" t="str">
        <f>IF(J4601&lt;&gt;1,"",IF(I4601="SBJ","CB","?"))</f>
        <v> </v>
      </c>
      <c r="I4601" s="26" t="str">
        <f>IF(OR(E4601="",E4601="!!!",F4601="NEW"),"",INDEX(B4600:B$2,-1+SUMPRODUCT(MAX(ROW(E4600:E$2)*(E4601=E4600:E$2)))))</f>
        <v> </v>
      </c>
      <c r="J4601" s="26" t="str">
        <f>IF(OR(E4601="",E4601="!!!",F4601="NEW"),"",COUNTBLANK(OFFSET(A$1,,,SUMPRODUCT(MAX(ROW(E$2:E4601)*(E4601=E$2:E4601)))))-COUNTBLANK(OFFSET(A$1,,,SUMPRODUCT(MAX(ROW(E$1:E4600)*(E2=E$1:E4600))))))</f>
        <v> </v>
      </c>
      <c r="K4601" s="26" t="str">
        <f>IF(OR(E4601="",E4601="!!!",F4601="NEW"),"",INDEX(J$1:J4600,SUMPRODUCT(MAX(ROW(E$1:E4600)*(E4601=E$1:E4600)))))</f>
        <v> </v>
      </c>
      <c r="L4601" s="27"/>
    </row>
    <row r="4602" spans="1:12">
      <c r="A4602" s="20" t="s">
        <v>2066</v>
      </c>
      <c r="B4602" s="21" t="s">
        <v>1050</v>
      </c>
      <c r="C4602" s="21" t="s">
        <v>1013</v>
      </c>
      <c r="D4602" s="21" t="s">
        <v>1007</v>
      </c>
      <c r="E4602" s="22">
        <f>IF(D4602="?OLD","!!!","")</f>
        <v/>
      </c>
      <c r="F4602" s="23" t="str">
        <f>IF(OR(E4602="",E4602="!!!"),"",IF(NOT(ISNA(VLOOKUP(E4602,E$1:E4601,1,FALSE()))),"OLD",IF(AND(E4602&lt;&gt;"",E4602&lt;&gt;"!!!"),"NEW","")))</f>
        <v> </v>
      </c>
      <c r="G4602" s="24" t="str">
        <f>IF(OR(E4602="",E4602="!!!"),"",IF(OR(J4602=0,AND(J4602=1,K4602=1),AND(J4602=1,I4602="SBJ"),AND(J4602=1,I4602=0)),"?IN_FOCUS",IF(J4602&lt;=2,"?ACTIVATED",IF(J4602&lt;&gt;"","?FAMILIAR",IF(F4602="NEW",IF(ISNA(VLOOKUP(E4602,#REF!,1,FALSE())),"?TYPE_IDENTIFIABLE","?REFERENTIAL"),"_")))))</f>
        <v> </v>
      </c>
      <c r="H4602" s="25" t="str">
        <f>IF(J4602&lt;&gt;1,"",IF(I4602="SBJ","CB","?"))</f>
        <v> </v>
      </c>
      <c r="I4602" s="26" t="str">
        <f>IF(OR(E4602="",E4602="!!!",F4602="NEW"),"",INDEX(B4601:B$2,-1+SUMPRODUCT(MAX(ROW(E4601:E$2)*(E4602=E4601:E$2)))))</f>
        <v> </v>
      </c>
      <c r="J4602" s="26" t="str">
        <f>IF(OR(E4602="",E4602="!!!",F4602="NEW"),"",COUNTBLANK(OFFSET(A$1,,,SUMPRODUCT(MAX(ROW(E$2:E4602)*(E4602=E$2:E4602)))))-COUNTBLANK(OFFSET(A$1,,,SUMPRODUCT(MAX(ROW(E$1:E4601)*(E2=E$1:E4601))))))</f>
        <v> </v>
      </c>
      <c r="K4602" s="26" t="str">
        <f>IF(OR(E4602="",E4602="!!!",F4602="NEW"),"",INDEX(J$1:J4601,SUMPRODUCT(MAX(ROW(E$1:E4601)*(E4602=E$1:E4601)))))</f>
        <v> </v>
      </c>
      <c r="L4602" s="27"/>
    </row>
    <row r="4603" spans="1:12">
      <c r="A4603" s="20" t="s">
        <v>1014</v>
      </c>
      <c r="E4603" s="22">
        <f>IF(D4603="?OLD","!!!","")</f>
        <v/>
      </c>
      <c r="F4603" s="23" t="str">
        <f>IF(OR(E4603="",E4603="!!!"),"",IF(NOT(ISNA(VLOOKUP(E4603,E$1:E4602,1,FALSE()))),"OLD",IF(AND(E4603&lt;&gt;"",E4603&lt;&gt;"!!!"),"NEW","")))</f>
        <v> </v>
      </c>
      <c r="G4603" s="24" t="str">
        <f>IF(OR(E4603="",E4603="!!!"),"",IF(OR(J4603=0,AND(J4603=1,K4603=1),AND(J4603=1,I4603="SBJ"),AND(J4603=1,I4603=0)),"?IN_FOCUS",IF(J4603&lt;=2,"?ACTIVATED",IF(J4603&lt;&gt;"","?FAMILIAR",IF(F4603="NEW",IF(ISNA(VLOOKUP(E4603,#REF!,1,FALSE())),"?TYPE_IDENTIFIABLE","?REFERENTIAL"),"_")))))</f>
        <v> </v>
      </c>
      <c r="H4603" s="25" t="str">
        <f>IF(J4603&lt;&gt;1,"",IF(I4603="SBJ","CB","?"))</f>
        <v> </v>
      </c>
      <c r="I4603" s="26" t="str">
        <f>IF(OR(E4603="",E4603="!!!",F4603="NEW"),"",INDEX(B4602:B$2,-1+SUMPRODUCT(MAX(ROW(E4602:E$2)*(E4603=E4602:E$2)))))</f>
        <v> </v>
      </c>
      <c r="J4603" s="26" t="str">
        <f>IF(OR(E4603="",E4603="!!!",F4603="NEW"),"",COUNTBLANK(OFFSET(A$1,,,SUMPRODUCT(MAX(ROW(E$2:E4603)*(E4603=E$2:E4603)))))-COUNTBLANK(OFFSET(A$1,,,SUMPRODUCT(MAX(ROW(E$1:E4602)*(E2=E$1:E4602))))))</f>
        <v> </v>
      </c>
      <c r="K4603" s="26" t="str">
        <f>IF(OR(E4603="",E4603="!!!",F4603="NEW"),"",INDEX(J$1:J4602,SUMPRODUCT(MAX(ROW(E$1:E4602)*(E4603=E$1:E4602)))))</f>
        <v> </v>
      </c>
      <c r="L4603" s="27"/>
    </row>
    <row r="4604" spans="1:12">
      <c r="A4604" s="20" t="s">
        <v>1027</v>
      </c>
      <c r="E4604" s="22">
        <f>IF(D4604="?OLD","!!!","")</f>
        <v/>
      </c>
      <c r="F4604" s="23" t="str">
        <f>IF(OR(E4604="",E4604="!!!"),"",IF(NOT(ISNA(VLOOKUP(E4604,E$1:E4603,1,FALSE()))),"OLD",IF(AND(E4604&lt;&gt;"",E4604&lt;&gt;"!!!"),"NEW","")))</f>
        <v> </v>
      </c>
      <c r="G4604" s="24" t="str">
        <f>IF(OR(E4604="",E4604="!!!"),"",IF(OR(J4604=0,AND(J4604=1,K4604=1),AND(J4604=1,I4604="SBJ"),AND(J4604=1,I4604=0)),"?IN_FOCUS",IF(J4604&lt;=2,"?ACTIVATED",IF(J4604&lt;&gt;"","?FAMILIAR",IF(F4604="NEW",IF(ISNA(VLOOKUP(E4604,#REF!,1,FALSE())),"?TYPE_IDENTIFIABLE","?REFERENTIAL"),"_")))))</f>
        <v> </v>
      </c>
      <c r="H4604" s="25" t="str">
        <f>IF(J4604&lt;&gt;1,"",IF(I4604="SBJ","CB","?"))</f>
        <v> </v>
      </c>
      <c r="I4604" s="26" t="str">
        <f>IF(OR(E4604="",E4604="!!!",F4604="NEW"),"",INDEX(B4603:B$2,-1+SUMPRODUCT(MAX(ROW(E4603:E$2)*(E4604=E4603:E$2)))))</f>
        <v> </v>
      </c>
      <c r="J4604" s="26" t="str">
        <f>IF(OR(E4604="",E4604="!!!",F4604="NEW"),"",COUNTBLANK(OFFSET(A$1,,,SUMPRODUCT(MAX(ROW(E$2:E4604)*(E4604=E$2:E4604)))))-COUNTBLANK(OFFSET(A$1,,,SUMPRODUCT(MAX(ROW(E$1:E4603)*(E2=E$1:E4603))))))</f>
        <v> </v>
      </c>
      <c r="K4604" s="26" t="str">
        <f>IF(OR(E4604="",E4604="!!!",F4604="NEW"),"",INDEX(J$1:J4603,SUMPRODUCT(MAX(ROW(E$1:E4603)*(E4604=E$1:E4603)))))</f>
        <v> </v>
      </c>
      <c r="L4604" s="27"/>
    </row>
    <row r="4605" spans="1:12">
      <c r="A4605" s="20" t="s">
        <v>1172</v>
      </c>
      <c r="B4605" s="21" t="s">
        <v>1022</v>
      </c>
      <c r="C4605" s="21" t="s">
        <v>1017</v>
      </c>
      <c r="D4605" s="21" t="s">
        <v>1007</v>
      </c>
      <c r="E4605" s="22">
        <f>IF(D4605="?OLD","!!!","")</f>
        <v/>
      </c>
      <c r="F4605" s="23" t="str">
        <f>IF(OR(E4605="",E4605="!!!"),"",IF(NOT(ISNA(VLOOKUP(E4605,E$1:E4604,1,FALSE()))),"OLD",IF(AND(E4605&lt;&gt;"",E4605&lt;&gt;"!!!"),"NEW","")))</f>
        <v> </v>
      </c>
      <c r="G4605" s="24" t="str">
        <f>IF(OR(E4605="",E4605="!!!"),"",IF(OR(J4605=0,AND(J4605=1,K4605=1),AND(J4605=1,I4605="SBJ"),AND(J4605=1,I4605=0)),"?IN_FOCUS",IF(J4605&lt;=2,"?ACTIVATED",IF(J4605&lt;&gt;"","?FAMILIAR",IF(F4605="NEW",IF(ISNA(VLOOKUP(E4605,#REF!,1,FALSE())),"?TYPE_IDENTIFIABLE","?REFERENTIAL"),"_")))))</f>
        <v> </v>
      </c>
      <c r="H4605" s="25" t="str">
        <f>IF(J4605&lt;&gt;1,"",IF(I4605="SBJ","CB","?"))</f>
        <v> </v>
      </c>
      <c r="I4605" s="26" t="str">
        <f>IF(OR(E4605="",E4605="!!!",F4605="NEW"),"",INDEX(B4604:B$2,-1+SUMPRODUCT(MAX(ROW(E4604:E$2)*(E4605=E4604:E$2)))))</f>
        <v> </v>
      </c>
      <c r="J4605" s="26" t="str">
        <f>IF(OR(E4605="",E4605="!!!",F4605="NEW"),"",COUNTBLANK(OFFSET(A$1,,,SUMPRODUCT(MAX(ROW(E$2:E4605)*(E4605=E$2:E4605)))))-COUNTBLANK(OFFSET(A$1,,,SUMPRODUCT(MAX(ROW(E$1:E4604)*(E2=E$1:E4604))))))</f>
        <v> </v>
      </c>
      <c r="K4605" s="26" t="str">
        <f>IF(OR(E4605="",E4605="!!!",F4605="NEW"),"",INDEX(J$1:J4604,SUMPRODUCT(MAX(ROW(E$1:E4604)*(E4605=E$1:E4604)))))</f>
        <v> </v>
      </c>
      <c r="L4605" s="27"/>
    </row>
    <row r="4606" spans="1:12">
      <c r="A4606" s="20" t="s">
        <v>2299</v>
      </c>
      <c r="E4606" s="22">
        <f>IF(D4606="?OLD","!!!","")</f>
        <v/>
      </c>
      <c r="F4606" s="23" t="str">
        <f>IF(OR(E4606="",E4606="!!!"),"",IF(NOT(ISNA(VLOOKUP(E4606,E$1:E4605,1,FALSE()))),"OLD",IF(AND(E4606&lt;&gt;"",E4606&lt;&gt;"!!!"),"NEW","")))</f>
        <v> </v>
      </c>
      <c r="G4606" s="24" t="str">
        <f>IF(OR(E4606="",E4606="!!!"),"",IF(OR(J4606=0,AND(J4606=1,K4606=1),AND(J4606=1,I4606="SBJ"),AND(J4606=1,I4606=0)),"?IN_FOCUS",IF(J4606&lt;=2,"?ACTIVATED",IF(J4606&lt;&gt;"","?FAMILIAR",IF(F4606="NEW",IF(ISNA(VLOOKUP(E4606,#REF!,1,FALSE())),"?TYPE_IDENTIFIABLE","?REFERENTIAL"),"_")))))</f>
        <v> </v>
      </c>
      <c r="H4606" s="25" t="str">
        <f>IF(J4606&lt;&gt;1,"",IF(I4606="SBJ","CB","?"))</f>
        <v> </v>
      </c>
      <c r="I4606" s="26" t="str">
        <f>IF(OR(E4606="",E4606="!!!",F4606="NEW"),"",INDEX(B4605:B$2,-1+SUMPRODUCT(MAX(ROW(E4605:E$2)*(E4606=E4605:E$2)))))</f>
        <v> </v>
      </c>
      <c r="J4606" s="26" t="str">
        <f>IF(OR(E4606="",E4606="!!!",F4606="NEW"),"",COUNTBLANK(OFFSET(A$1,,,SUMPRODUCT(MAX(ROW(E$2:E4606)*(E4606=E$2:E4606)))))-COUNTBLANK(OFFSET(A$1,,,SUMPRODUCT(MAX(ROW(E$1:E4605)*(E2=E$1:E4605))))))</f>
        <v> </v>
      </c>
      <c r="K4606" s="26" t="str">
        <f>IF(OR(E4606="",E4606="!!!",F4606="NEW"),"",INDEX(J$1:J4605,SUMPRODUCT(MAX(ROW(E$1:E4605)*(E4606=E$1:E4605)))))</f>
        <v> </v>
      </c>
      <c r="L4606" s="27"/>
    </row>
    <row r="4607" spans="1:12">
      <c r="A4607" s="20" t="s">
        <v>1020</v>
      </c>
      <c r="E4607" s="22">
        <f>IF(D4607="?OLD","!!!","")</f>
        <v/>
      </c>
      <c r="F4607" s="23" t="str">
        <f>IF(OR(E4607="",E4607="!!!"),"",IF(NOT(ISNA(VLOOKUP(E4607,E$1:E4606,1,FALSE()))),"OLD",IF(AND(E4607&lt;&gt;"",E4607&lt;&gt;"!!!"),"NEW","")))</f>
        <v> </v>
      </c>
      <c r="G4607" s="24" t="str">
        <f>IF(OR(E4607="",E4607="!!!"),"",IF(OR(J4607=0,AND(J4607=1,K4607=1),AND(J4607=1,I4607="SBJ"),AND(J4607=1,I4607=0)),"?IN_FOCUS",IF(J4607&lt;=2,"?ACTIVATED",IF(J4607&lt;&gt;"","?FAMILIAR",IF(F4607="NEW",IF(ISNA(VLOOKUP(E4607,#REF!,1,FALSE())),"?TYPE_IDENTIFIABLE","?REFERENTIAL"),"_")))))</f>
        <v> </v>
      </c>
      <c r="H4607" s="25" t="str">
        <f>IF(J4607&lt;&gt;1,"",IF(I4607="SBJ","CB","?"))</f>
        <v> </v>
      </c>
      <c r="I4607" s="26" t="str">
        <f>IF(OR(E4607="",E4607="!!!",F4607="NEW"),"",INDEX(B4606:B$2,-1+SUMPRODUCT(MAX(ROW(E4606:E$2)*(E4607=E4606:E$2)))))</f>
        <v> </v>
      </c>
      <c r="J4607" s="26" t="str">
        <f>IF(OR(E4607="",E4607="!!!",F4607="NEW"),"",COUNTBLANK(OFFSET(A$1,,,SUMPRODUCT(MAX(ROW(E$2:E4607)*(E4607=E$2:E4607)))))-COUNTBLANK(OFFSET(A$1,,,SUMPRODUCT(MAX(ROW(E$1:E4606)*(E2=E$1:E4606))))))</f>
        <v> </v>
      </c>
      <c r="K4607" s="26" t="str">
        <f>IF(OR(E4607="",E4607="!!!",F4607="NEW"),"",INDEX(J$1:J4606,SUMPRODUCT(MAX(ROW(E$1:E4606)*(E4607=E$1:E4606)))))</f>
        <v> </v>
      </c>
      <c r="L4607" s="27"/>
    </row>
    <row r="4608" spans="1:12">
      <c r="A4608" s="20" t="s">
        <v>1369</v>
      </c>
      <c r="B4608" s="21" t="s">
        <v>1085</v>
      </c>
      <c r="C4608" s="21" t="s">
        <v>1017</v>
      </c>
      <c r="D4608" s="21" t="s">
        <v>1007</v>
      </c>
      <c r="E4608" s="22">
        <f>IF(D4608="?OLD","!!!","")</f>
        <v/>
      </c>
      <c r="F4608" s="23" t="str">
        <f>IF(OR(E4608="",E4608="!!!"),"",IF(NOT(ISNA(VLOOKUP(E4608,E$1:E4607,1,FALSE()))),"OLD",IF(AND(E4608&lt;&gt;"",E4608&lt;&gt;"!!!"),"NEW","")))</f>
        <v> </v>
      </c>
      <c r="G4608" s="24" t="str">
        <f>IF(OR(E4608="",E4608="!!!"),"",IF(OR(J4608=0,AND(J4608=1,K4608=1),AND(J4608=1,I4608="SBJ"),AND(J4608=1,I4608=0)),"?IN_FOCUS",IF(J4608&lt;=2,"?ACTIVATED",IF(J4608&lt;&gt;"","?FAMILIAR",IF(F4608="NEW",IF(ISNA(VLOOKUP(E4608,#REF!,1,FALSE())),"?TYPE_IDENTIFIABLE","?REFERENTIAL"),"_")))))</f>
        <v> </v>
      </c>
      <c r="H4608" s="25" t="str">
        <f>IF(J4608&lt;&gt;1,"",IF(I4608="SBJ","CB","?"))</f>
        <v> </v>
      </c>
      <c r="I4608" s="26" t="str">
        <f>IF(OR(E4608="",E4608="!!!",F4608="NEW"),"",INDEX(B4607:B$2,-1+SUMPRODUCT(MAX(ROW(E4607:E$2)*(E4608=E4607:E$2)))))</f>
        <v> </v>
      </c>
      <c r="J4608" s="26" t="str">
        <f>IF(OR(E4608="",E4608="!!!",F4608="NEW"),"",COUNTBLANK(OFFSET(A$1,,,SUMPRODUCT(MAX(ROW(E$2:E4608)*(E4608=E$2:E4608)))))-COUNTBLANK(OFFSET(A$1,,,SUMPRODUCT(MAX(ROW(E$1:E4607)*(E2=E$1:E4607))))))</f>
        <v> </v>
      </c>
      <c r="K4608" s="26" t="str">
        <f>IF(OR(E4608="",E4608="!!!",F4608="NEW"),"",INDEX(J$1:J4607,SUMPRODUCT(MAX(ROW(E$1:E4607)*(E4608=E$1:E4607)))))</f>
        <v> </v>
      </c>
      <c r="L4608" s="27"/>
    </row>
    <row r="4609" spans="1:12">
      <c r="A4609" s="20" t="s">
        <v>1030</v>
      </c>
      <c r="E4609" s="22">
        <f>IF(D4609="?OLD","!!!","")</f>
        <v/>
      </c>
      <c r="F4609" s="23" t="str">
        <f>IF(OR(E4609="",E4609="!!!"),"",IF(NOT(ISNA(VLOOKUP(E4609,E$1:E4608,1,FALSE()))),"OLD",IF(AND(E4609&lt;&gt;"",E4609&lt;&gt;"!!!"),"NEW","")))</f>
        <v> </v>
      </c>
      <c r="G4609" s="24" t="str">
        <f>IF(OR(E4609="",E4609="!!!"),"",IF(OR(J4609=0,AND(J4609=1,K4609=1),AND(J4609=1,I4609="SBJ"),AND(J4609=1,I4609=0)),"?IN_FOCUS",IF(J4609&lt;=2,"?ACTIVATED",IF(J4609&lt;&gt;"","?FAMILIAR",IF(F4609="NEW",IF(ISNA(VLOOKUP(E4609,#REF!,1,FALSE())),"?TYPE_IDENTIFIABLE","?REFERENTIAL"),"_")))))</f>
        <v> </v>
      </c>
      <c r="H4609" s="25" t="str">
        <f>IF(J4609&lt;&gt;1,"",IF(I4609="SBJ","CB","?"))</f>
        <v> </v>
      </c>
      <c r="I4609" s="26" t="str">
        <f>IF(OR(E4609="",E4609="!!!",F4609="NEW"),"",INDEX(B4608:B$2,-1+SUMPRODUCT(MAX(ROW(E4608:E$2)*(E4609=E4608:E$2)))))</f>
        <v> </v>
      </c>
      <c r="J4609" s="26" t="str">
        <f>IF(OR(E4609="",E4609="!!!",F4609="NEW"),"",COUNTBLANK(OFFSET(A$1,,,SUMPRODUCT(MAX(ROW(E$2:E4609)*(E4609=E$2:E4609)))))-COUNTBLANK(OFFSET(A$1,,,SUMPRODUCT(MAX(ROW(E$1:E4608)*(E2=E$1:E4608))))))</f>
        <v> </v>
      </c>
      <c r="K4609" s="26" t="str">
        <f>IF(OR(E4609="",E4609="!!!",F4609="NEW"),"",INDEX(J$1:J4608,SUMPRODUCT(MAX(ROW(E$1:E4608)*(E4609=E$1:E4608)))))</f>
        <v> </v>
      </c>
      <c r="L4609" s="27"/>
    </row>
    <row r="4610" spans="1:12">
      <c r="A4610" s="20" t="s">
        <v>1065</v>
      </c>
      <c r="E4610" s="22">
        <f>IF(D4610="?OLD","!!!","")</f>
        <v/>
      </c>
      <c r="F4610" s="23" t="str">
        <f>IF(OR(E4610="",E4610="!!!"),"",IF(NOT(ISNA(VLOOKUP(E4610,E$1:E4609,1,FALSE()))),"OLD",IF(AND(E4610&lt;&gt;"",E4610&lt;&gt;"!!!"),"NEW","")))</f>
        <v> </v>
      </c>
      <c r="G4610" s="24" t="str">
        <f>IF(OR(E4610="",E4610="!!!"),"",IF(OR(J4610=0,AND(J4610=1,K4610=1),AND(J4610=1,I4610="SBJ"),AND(J4610=1,I4610=0)),"?IN_FOCUS",IF(J4610&lt;=2,"?ACTIVATED",IF(J4610&lt;&gt;"","?FAMILIAR",IF(F4610="NEW",IF(ISNA(VLOOKUP(E4610,#REF!,1,FALSE())),"?TYPE_IDENTIFIABLE","?REFERENTIAL"),"_")))))</f>
        <v> </v>
      </c>
      <c r="H4610" s="25" t="str">
        <f>IF(J4610&lt;&gt;1,"",IF(I4610="SBJ","CB","?"))</f>
        <v> </v>
      </c>
      <c r="I4610" s="26" t="str">
        <f>IF(OR(E4610="",E4610="!!!",F4610="NEW"),"",INDEX(B4609:B$2,-1+SUMPRODUCT(MAX(ROW(E4609:E$2)*(E4610=E4609:E$2)))))</f>
        <v> </v>
      </c>
      <c r="J4610" s="26" t="str">
        <f>IF(OR(E4610="",E4610="!!!",F4610="NEW"),"",COUNTBLANK(OFFSET(A$1,,,SUMPRODUCT(MAX(ROW(E$2:E4610)*(E4610=E$2:E4610)))))-COUNTBLANK(OFFSET(A$1,,,SUMPRODUCT(MAX(ROW(E$1:E4609)*(E2=E$1:E4609))))))</f>
        <v> </v>
      </c>
      <c r="K4610" s="26" t="str">
        <f>IF(OR(E4610="",E4610="!!!",F4610="NEW"),"",INDEX(J$1:J4609,SUMPRODUCT(MAX(ROW(E$1:E4609)*(E4610=E$1:E4609)))))</f>
        <v> </v>
      </c>
      <c r="L4610" s="27"/>
    </row>
    <row r="4611" spans="1:12">
      <c r="A4611" s="20" t="s">
        <v>885</v>
      </c>
      <c r="B4611" s="21" t="s">
        <v>1154</v>
      </c>
      <c r="C4611" s="21" t="s">
        <v>1082</v>
      </c>
      <c r="D4611" s="21" t="s">
        <v>1007</v>
      </c>
      <c r="E4611" s="22">
        <f>IF(D4611="?OLD","!!!","")</f>
        <v/>
      </c>
      <c r="F4611" s="23" t="str">
        <f>IF(OR(E4611="",E4611="!!!"),"",IF(NOT(ISNA(VLOOKUP(E4611,E$1:E4610,1,FALSE()))),"OLD",IF(AND(E4611&lt;&gt;"",E4611&lt;&gt;"!!!"),"NEW","")))</f>
        <v> </v>
      </c>
      <c r="G4611" s="24" t="str">
        <f>IF(OR(E4611="",E4611="!!!"),"",IF(OR(J4611=0,AND(J4611=1,K4611=1),AND(J4611=1,I4611="SBJ"),AND(J4611=1,I4611=0)),"?IN_FOCUS",IF(J4611&lt;=2,"?ACTIVATED",IF(J4611&lt;&gt;"","?FAMILIAR",IF(F4611="NEW",IF(ISNA(VLOOKUP(E4611,#REF!,1,FALSE())),"?TYPE_IDENTIFIABLE","?REFERENTIAL"),"_")))))</f>
        <v> </v>
      </c>
      <c r="H4611" s="25" t="str">
        <f>IF(J4611&lt;&gt;1,"",IF(I4611="SBJ","CB","?"))</f>
        <v> </v>
      </c>
      <c r="I4611" s="26" t="str">
        <f>IF(OR(E4611="",E4611="!!!",F4611="NEW"),"",INDEX(B4610:B$2,-1+SUMPRODUCT(MAX(ROW(E4610:E$2)*(E4611=E4610:E$2)))))</f>
        <v> </v>
      </c>
      <c r="J4611" s="26" t="str">
        <f>IF(OR(E4611="",E4611="!!!",F4611="NEW"),"",COUNTBLANK(OFFSET(A$1,,,SUMPRODUCT(MAX(ROW(E$2:E4611)*(E4611=E$2:E4611)))))-COUNTBLANK(OFFSET(A$1,,,SUMPRODUCT(MAX(ROW(E$1:E4610)*(E2=E$1:E4610))))))</f>
        <v> </v>
      </c>
      <c r="K4611" s="26" t="str">
        <f>IF(OR(E4611="",E4611="!!!",F4611="NEW"),"",INDEX(J$1:J4610,SUMPRODUCT(MAX(ROW(E$1:E4610)*(E4611=E$1:E4610)))))</f>
        <v> </v>
      </c>
      <c r="L4611" s="27"/>
    </row>
    <row r="4612" spans="1:12">
      <c r="A4612" s="20" t="s">
        <v>1114</v>
      </c>
      <c r="E4612" s="22">
        <f>IF(D4612="?OLD","!!!","")</f>
        <v/>
      </c>
      <c r="F4612" s="23" t="str">
        <f>IF(OR(E4612="",E4612="!!!"),"",IF(NOT(ISNA(VLOOKUP(E4612,E$1:E4611,1,FALSE()))),"OLD",IF(AND(E4612&lt;&gt;"",E4612&lt;&gt;"!!!"),"NEW","")))</f>
        <v> </v>
      </c>
      <c r="G4612" s="24" t="str">
        <f>IF(OR(E4612="",E4612="!!!"),"",IF(OR(J4612=0,AND(J4612=1,K4612=1),AND(J4612=1,I4612="SBJ"),AND(J4612=1,I4612=0)),"?IN_FOCUS",IF(J4612&lt;=2,"?ACTIVATED",IF(J4612&lt;&gt;"","?FAMILIAR",IF(F4612="NEW",IF(ISNA(VLOOKUP(E4612,#REF!,1,FALSE())),"?TYPE_IDENTIFIABLE","?REFERENTIAL"),"_")))))</f>
        <v> </v>
      </c>
      <c r="H4612" s="25" t="str">
        <f>IF(J4612&lt;&gt;1,"",IF(I4612="SBJ","CB","?"))</f>
        <v> </v>
      </c>
      <c r="I4612" s="26" t="str">
        <f>IF(OR(E4612="",E4612="!!!",F4612="NEW"),"",INDEX(B4611:B$2,-1+SUMPRODUCT(MAX(ROW(E4611:E$2)*(E4612=E4611:E$2)))))</f>
        <v> </v>
      </c>
      <c r="J4612" s="26" t="str">
        <f>IF(OR(E4612="",E4612="!!!",F4612="NEW"),"",COUNTBLANK(OFFSET(A$1,,,SUMPRODUCT(MAX(ROW(E$2:E4612)*(E4612=E$2:E4612)))))-COUNTBLANK(OFFSET(A$1,,,SUMPRODUCT(MAX(ROW(E$1:E4611)*(E2=E$1:E4611))))))</f>
        <v> </v>
      </c>
      <c r="K4612" s="26" t="str">
        <f>IF(OR(E4612="",E4612="!!!",F4612="NEW"),"",INDEX(J$1:J4611,SUMPRODUCT(MAX(ROW(E$1:E4611)*(E4612=E$1:E4611)))))</f>
        <v> </v>
      </c>
      <c r="L4612" s="27"/>
    </row>
    <row r="4613" spans="1:12">
      <c r="A4613" s="20" t="s">
        <v>2300</v>
      </c>
      <c r="E4613" s="22">
        <f>IF(D4613="?OLD","!!!","")</f>
        <v/>
      </c>
      <c r="F4613" s="23" t="str">
        <f>IF(OR(E4613="",E4613="!!!"),"",IF(NOT(ISNA(VLOOKUP(E4613,E$1:E4612,1,FALSE()))),"OLD",IF(AND(E4613&lt;&gt;"",E4613&lt;&gt;"!!!"),"NEW","")))</f>
        <v> </v>
      </c>
      <c r="G4613" s="24" t="str">
        <f>IF(OR(E4613="",E4613="!!!"),"",IF(OR(J4613=0,AND(J4613=1,K4613=1),AND(J4613=1,I4613="SBJ"),AND(J4613=1,I4613=0)),"?IN_FOCUS",IF(J4613&lt;=2,"?ACTIVATED",IF(J4613&lt;&gt;"","?FAMILIAR",IF(F4613="NEW",IF(ISNA(VLOOKUP(E4613,#REF!,1,FALSE())),"?TYPE_IDENTIFIABLE","?REFERENTIAL"),"_")))))</f>
        <v> </v>
      </c>
      <c r="H4613" s="25" t="str">
        <f>IF(J4613&lt;&gt;1,"",IF(I4613="SBJ","CB","?"))</f>
        <v> </v>
      </c>
      <c r="I4613" s="26" t="str">
        <f>IF(OR(E4613="",E4613="!!!",F4613="NEW"),"",INDEX(B4612:B$2,-1+SUMPRODUCT(MAX(ROW(E4612:E$2)*(E4613=E4612:E$2)))))</f>
        <v> </v>
      </c>
      <c r="J4613" s="26" t="str">
        <f>IF(OR(E4613="",E4613="!!!",F4613="NEW"),"",COUNTBLANK(OFFSET(A$1,,,SUMPRODUCT(MAX(ROW(E$2:E4613)*(E4613=E$2:E4613)))))-COUNTBLANK(OFFSET(A$1,,,SUMPRODUCT(MAX(ROW(E$1:E4612)*(E2=E$1:E4612))))))</f>
        <v> </v>
      </c>
      <c r="K4613" s="26" t="str">
        <f>IF(OR(E4613="",E4613="!!!",F4613="NEW"),"",INDEX(J$1:J4612,SUMPRODUCT(MAX(ROW(E$1:E4612)*(E4613=E$1:E4612)))))</f>
        <v> </v>
      </c>
      <c r="L4613" s="27"/>
    </row>
    <row r="4614" spans="1:12">
      <c r="A4614" s="20" t="s">
        <v>1978</v>
      </c>
      <c r="E4614" s="22">
        <f>IF(D4614="?OLD","!!!","")</f>
        <v/>
      </c>
      <c r="F4614" s="23" t="str">
        <f>IF(OR(E4614="",E4614="!!!"),"",IF(NOT(ISNA(VLOOKUP(E4614,E$1:E4613,1,FALSE()))),"OLD",IF(AND(E4614&lt;&gt;"",E4614&lt;&gt;"!!!"),"NEW","")))</f>
        <v> </v>
      </c>
      <c r="G4614" s="24" t="str">
        <f>IF(OR(E4614="",E4614="!!!"),"",IF(OR(J4614=0,AND(J4614=1,K4614=1),AND(J4614=1,I4614="SBJ"),AND(J4614=1,I4614=0)),"?IN_FOCUS",IF(J4614&lt;=2,"?ACTIVATED",IF(J4614&lt;&gt;"","?FAMILIAR",IF(F4614="NEW",IF(ISNA(VLOOKUP(E4614,#REF!,1,FALSE())),"?TYPE_IDENTIFIABLE","?REFERENTIAL"),"_")))))</f>
        <v> </v>
      </c>
      <c r="H4614" s="25" t="str">
        <f>IF(J4614&lt;&gt;1,"",IF(I4614="SBJ","CB","?"))</f>
        <v> </v>
      </c>
      <c r="I4614" s="26" t="str">
        <f>IF(OR(E4614="",E4614="!!!",F4614="NEW"),"",INDEX(B4613:B$2,-1+SUMPRODUCT(MAX(ROW(E4613:E$2)*(E4614=E4613:E$2)))))</f>
        <v> </v>
      </c>
      <c r="J4614" s="26" t="str">
        <f>IF(OR(E4614="",E4614="!!!",F4614="NEW"),"",COUNTBLANK(OFFSET(A$1,,,SUMPRODUCT(MAX(ROW(E$2:E4614)*(E4614=E$2:E4614)))))-COUNTBLANK(OFFSET(A$1,,,SUMPRODUCT(MAX(ROW(E$1:E4613)*(E2=E$1:E4613))))))</f>
        <v> </v>
      </c>
      <c r="K4614" s="26" t="str">
        <f>IF(OR(E4614="",E4614="!!!",F4614="NEW"),"",INDEX(J$1:J4613,SUMPRODUCT(MAX(ROW(E$1:E4613)*(E4614=E$1:E4613)))))</f>
        <v> </v>
      </c>
      <c r="L4614" s="27"/>
    </row>
    <row r="4615" spans="1:12">
      <c r="A4615" s="20" t="s">
        <v>1018</v>
      </c>
      <c r="E4615" s="22">
        <f>IF(D4615="?OLD","!!!","")</f>
        <v/>
      </c>
      <c r="F4615" s="23" t="str">
        <f>IF(OR(E4615="",E4615="!!!"),"",IF(NOT(ISNA(VLOOKUP(E4615,E$1:E4614,1,FALSE()))),"OLD",IF(AND(E4615&lt;&gt;"",E4615&lt;&gt;"!!!"),"NEW","")))</f>
        <v> </v>
      </c>
      <c r="G4615" s="24" t="str">
        <f>IF(OR(E4615="",E4615="!!!"),"",IF(OR(J4615=0,AND(J4615=1,K4615=1),AND(J4615=1,I4615="SBJ"),AND(J4615=1,I4615=0)),"?IN_FOCUS",IF(J4615&lt;=2,"?ACTIVATED",IF(J4615&lt;&gt;"","?FAMILIAR",IF(F4615="NEW",IF(ISNA(VLOOKUP(E4615,#REF!,1,FALSE())),"?TYPE_IDENTIFIABLE","?REFERENTIAL"),"_")))))</f>
        <v> </v>
      </c>
      <c r="H4615" s="25" t="str">
        <f>IF(J4615&lt;&gt;1,"",IF(I4615="SBJ","CB","?"))</f>
        <v> </v>
      </c>
      <c r="I4615" s="26" t="str">
        <f>IF(OR(E4615="",E4615="!!!",F4615="NEW"),"",INDEX(B4614:B$2,-1+SUMPRODUCT(MAX(ROW(E4614:E$2)*(E4615=E4614:E$2)))))</f>
        <v> </v>
      </c>
      <c r="J4615" s="26" t="str">
        <f>IF(OR(E4615="",E4615="!!!",F4615="NEW"),"",COUNTBLANK(OFFSET(A$1,,,SUMPRODUCT(MAX(ROW(E$2:E4615)*(E4615=E$2:E4615)))))-COUNTBLANK(OFFSET(A$1,,,SUMPRODUCT(MAX(ROW(E$1:E4614)*(E2=E$1:E4614))))))</f>
        <v> </v>
      </c>
      <c r="K4615" s="26" t="str">
        <f>IF(OR(E4615="",E4615="!!!",F4615="NEW"),"",INDEX(J$1:J4614,SUMPRODUCT(MAX(ROW(E$1:E4614)*(E4615=E$1:E4614)))))</f>
        <v> </v>
      </c>
      <c r="L4615" s="27"/>
    </row>
    <row r="4616" spans="1:12">
      <c r="A4616" s="20" t="s">
        <v>1030</v>
      </c>
      <c r="E4616" s="22">
        <f>IF(D4616="?OLD","!!!","")</f>
        <v/>
      </c>
      <c r="F4616" s="23" t="str">
        <f>IF(OR(E4616="",E4616="!!!"),"",IF(NOT(ISNA(VLOOKUP(E4616,E$1:E4615,1,FALSE()))),"OLD",IF(AND(E4616&lt;&gt;"",E4616&lt;&gt;"!!!"),"NEW","")))</f>
        <v> </v>
      </c>
      <c r="G4616" s="24" t="str">
        <f>IF(OR(E4616="",E4616="!!!"),"",IF(OR(J4616=0,AND(J4616=1,K4616=1),AND(J4616=1,I4616="SBJ"),AND(J4616=1,I4616=0)),"?IN_FOCUS",IF(J4616&lt;=2,"?ACTIVATED",IF(J4616&lt;&gt;"","?FAMILIAR",IF(F4616="NEW",IF(ISNA(VLOOKUP(E4616,#REF!,1,FALSE())),"?TYPE_IDENTIFIABLE","?REFERENTIAL"),"_")))))</f>
        <v> </v>
      </c>
      <c r="H4616" s="25" t="str">
        <f>IF(J4616&lt;&gt;1,"",IF(I4616="SBJ","CB","?"))</f>
        <v> </v>
      </c>
      <c r="I4616" s="26" t="str">
        <f>IF(OR(E4616="",E4616="!!!",F4616="NEW"),"",INDEX(B4615:B$2,-1+SUMPRODUCT(MAX(ROW(E4615:E$2)*(E4616=E4615:E$2)))))</f>
        <v> </v>
      </c>
      <c r="J4616" s="26" t="str">
        <f>IF(OR(E4616="",E4616="!!!",F4616="NEW"),"",COUNTBLANK(OFFSET(A$1,,,SUMPRODUCT(MAX(ROW(E$2:E4616)*(E4616=E$2:E4616)))))-COUNTBLANK(OFFSET(A$1,,,SUMPRODUCT(MAX(ROW(E$1:E4615)*(E2=E$1:E4615))))))</f>
        <v> </v>
      </c>
      <c r="K4616" s="26" t="str">
        <f>IF(OR(E4616="",E4616="!!!",F4616="NEW"),"",INDEX(J$1:J4615,SUMPRODUCT(MAX(ROW(E$1:E4615)*(E4616=E$1:E4615)))))</f>
        <v> </v>
      </c>
      <c r="L4616" s="27"/>
    </row>
    <row r="4617" spans="1:12">
      <c r="A4617" s="20" t="s">
        <v>1020</v>
      </c>
      <c r="E4617" s="22">
        <f>IF(D4617="?OLD","!!!","")</f>
        <v/>
      </c>
      <c r="F4617" s="23" t="str">
        <f>IF(OR(E4617="",E4617="!!!"),"",IF(NOT(ISNA(VLOOKUP(E4617,E$1:E4616,1,FALSE()))),"OLD",IF(AND(E4617&lt;&gt;"",E4617&lt;&gt;"!!!"),"NEW","")))</f>
        <v> </v>
      </c>
      <c r="G4617" s="24" t="str">
        <f>IF(OR(E4617="",E4617="!!!"),"",IF(OR(J4617=0,AND(J4617=1,K4617=1),AND(J4617=1,I4617="SBJ"),AND(J4617=1,I4617=0)),"?IN_FOCUS",IF(J4617&lt;=2,"?ACTIVATED",IF(J4617&lt;&gt;"","?FAMILIAR",IF(F4617="NEW",IF(ISNA(VLOOKUP(E4617,#REF!,1,FALSE())),"?TYPE_IDENTIFIABLE","?REFERENTIAL"),"_")))))</f>
        <v> </v>
      </c>
      <c r="H4617" s="25" t="str">
        <f>IF(J4617&lt;&gt;1,"",IF(I4617="SBJ","CB","?"))</f>
        <v> </v>
      </c>
      <c r="I4617" s="26" t="str">
        <f>IF(OR(E4617="",E4617="!!!",F4617="NEW"),"",INDEX(B4616:B$2,-1+SUMPRODUCT(MAX(ROW(E4616:E$2)*(E4617=E4616:E$2)))))</f>
        <v> </v>
      </c>
      <c r="J4617" s="26" t="str">
        <f>IF(OR(E4617="",E4617="!!!",F4617="NEW"),"",COUNTBLANK(OFFSET(A$1,,,SUMPRODUCT(MAX(ROW(E$2:E4617)*(E4617=E$2:E4617)))))-COUNTBLANK(OFFSET(A$1,,,SUMPRODUCT(MAX(ROW(E$1:E4616)*(E2=E$1:E4616))))))</f>
        <v> </v>
      </c>
      <c r="K4617" s="26" t="str">
        <f>IF(OR(E4617="",E4617="!!!",F4617="NEW"),"",INDEX(J$1:J4616,SUMPRODUCT(MAX(ROW(E$1:E4616)*(E4617=E$1:E4616)))))</f>
        <v> </v>
      </c>
      <c r="L4617" s="27"/>
    </row>
    <row r="4618" spans="1:12">
      <c r="A4618" s="20" t="s">
        <v>1054</v>
      </c>
      <c r="B4618" s="21" t="s">
        <v>1033</v>
      </c>
      <c r="C4618" s="21" t="s">
        <v>1006</v>
      </c>
      <c r="D4618" s="21" t="s">
        <v>1007</v>
      </c>
      <c r="E4618" s="22">
        <f>IF(D4618="?OLD","!!!","")</f>
        <v/>
      </c>
      <c r="F4618" s="23" t="str">
        <f>IF(OR(E4618="",E4618="!!!"),"",IF(NOT(ISNA(VLOOKUP(E4618,E$1:E4617,1,FALSE()))),"OLD",IF(AND(E4618&lt;&gt;"",E4618&lt;&gt;"!!!"),"NEW","")))</f>
        <v> </v>
      </c>
      <c r="G4618" s="24" t="str">
        <f>IF(OR(E4618="",E4618="!!!"),"",IF(OR(J4618=0,AND(J4618=1,K4618=1),AND(J4618=1,I4618="SBJ"),AND(J4618=1,I4618=0)),"?IN_FOCUS",IF(J4618&lt;=2,"?ACTIVATED",IF(J4618&lt;&gt;"","?FAMILIAR",IF(F4618="NEW",IF(ISNA(VLOOKUP(E4618,#REF!,1,FALSE())),"?TYPE_IDENTIFIABLE","?REFERENTIAL"),"_")))))</f>
        <v> </v>
      </c>
      <c r="H4618" s="25" t="str">
        <f>IF(J4618&lt;&gt;1,"",IF(I4618="SBJ","CB","?"))</f>
        <v> </v>
      </c>
      <c r="I4618" s="26" t="str">
        <f>IF(OR(E4618="",E4618="!!!",F4618="NEW"),"",INDEX(B4617:B$2,-1+SUMPRODUCT(MAX(ROW(E4617:E$2)*(E4618=E4617:E$2)))))</f>
        <v> </v>
      </c>
      <c r="J4618" s="26" t="str">
        <f>IF(OR(E4618="",E4618="!!!",F4618="NEW"),"",COUNTBLANK(OFFSET(A$1,,,SUMPRODUCT(MAX(ROW(E$2:E4618)*(E4618=E$2:E4618)))))-COUNTBLANK(OFFSET(A$1,,,SUMPRODUCT(MAX(ROW(E$1:E4617)*(E2=E$1:E4617))))))</f>
        <v> </v>
      </c>
      <c r="K4618" s="26" t="str">
        <f>IF(OR(E4618="",E4618="!!!",F4618="NEW"),"",INDEX(J$1:J4617,SUMPRODUCT(MAX(ROW(E$1:E4617)*(E4618=E$1:E4617)))))</f>
        <v> </v>
      </c>
      <c r="L4618" s="27"/>
    </row>
    <row r="4619" spans="1:12">
      <c r="A4619" s="20" t="s">
        <v>1018</v>
      </c>
      <c r="E4619" s="22">
        <f>IF(D4619="?OLD","!!!","")</f>
        <v/>
      </c>
      <c r="F4619" s="23" t="str">
        <f>IF(OR(E4619="",E4619="!!!"),"",IF(NOT(ISNA(VLOOKUP(E4619,E$1:E4618,1,FALSE()))),"OLD",IF(AND(E4619&lt;&gt;"",E4619&lt;&gt;"!!!"),"NEW","")))</f>
        <v> </v>
      </c>
      <c r="G4619" s="24" t="str">
        <f>IF(OR(E4619="",E4619="!!!"),"",IF(OR(J4619=0,AND(J4619=1,K4619=1),AND(J4619=1,I4619="SBJ"),AND(J4619=1,I4619=0)),"?IN_FOCUS",IF(J4619&lt;=2,"?ACTIVATED",IF(J4619&lt;&gt;"","?FAMILIAR",IF(F4619="NEW",IF(ISNA(VLOOKUP(E4619,#REF!,1,FALSE())),"?TYPE_IDENTIFIABLE","?REFERENTIAL"),"_")))))</f>
        <v> </v>
      </c>
      <c r="H4619" s="25" t="str">
        <f>IF(J4619&lt;&gt;1,"",IF(I4619="SBJ","CB","?"))</f>
        <v> </v>
      </c>
      <c r="I4619" s="26" t="str">
        <f>IF(OR(E4619="",E4619="!!!",F4619="NEW"),"",INDEX(B4618:B$2,-1+SUMPRODUCT(MAX(ROW(E4618:E$2)*(E4619=E4618:E$2)))))</f>
        <v> </v>
      </c>
      <c r="J4619" s="26" t="str">
        <f>IF(OR(E4619="",E4619="!!!",F4619="NEW"),"",COUNTBLANK(OFFSET(A$1,,,SUMPRODUCT(MAX(ROW(E$2:E4619)*(E4619=E$2:E4619)))))-COUNTBLANK(OFFSET(A$1,,,SUMPRODUCT(MAX(ROW(E$1:E4618)*(E2=E$1:E4618))))))</f>
        <v> </v>
      </c>
      <c r="K4619" s="26" t="str">
        <f>IF(OR(E4619="",E4619="!!!",F4619="NEW"),"",INDEX(J$1:J4618,SUMPRODUCT(MAX(ROW(E$1:E4618)*(E4619=E$1:E4618)))))</f>
        <v> </v>
      </c>
      <c r="L4619" s="27"/>
    </row>
    <row r="4620" spans="1:12">
      <c r="A4620" s="20" t="s">
        <v>2301</v>
      </c>
      <c r="E4620" s="22">
        <f>IF(D4620="?OLD","!!!","")</f>
        <v/>
      </c>
      <c r="F4620" s="23" t="str">
        <f>IF(OR(E4620="",E4620="!!!"),"",IF(NOT(ISNA(VLOOKUP(E4620,E$1:E4619,1,FALSE()))),"OLD",IF(AND(E4620&lt;&gt;"",E4620&lt;&gt;"!!!"),"NEW","")))</f>
        <v> </v>
      </c>
      <c r="G4620" s="24" t="str">
        <f>IF(OR(E4620="",E4620="!!!"),"",IF(OR(J4620=0,AND(J4620=1,K4620=1),AND(J4620=1,I4620="SBJ"),AND(J4620=1,I4620=0)),"?IN_FOCUS",IF(J4620&lt;=2,"?ACTIVATED",IF(J4620&lt;&gt;"","?FAMILIAR",IF(F4620="NEW",IF(ISNA(VLOOKUP(E4620,#REF!,1,FALSE())),"?TYPE_IDENTIFIABLE","?REFERENTIAL"),"_")))))</f>
        <v> </v>
      </c>
      <c r="H4620" s="25" t="str">
        <f>IF(J4620&lt;&gt;1,"",IF(I4620="SBJ","CB","?"))</f>
        <v> </v>
      </c>
      <c r="I4620" s="26" t="str">
        <f>IF(OR(E4620="",E4620="!!!",F4620="NEW"),"",INDEX(B4619:B$2,-1+SUMPRODUCT(MAX(ROW(E4619:E$2)*(E4620=E4619:E$2)))))</f>
        <v> </v>
      </c>
      <c r="J4620" s="26" t="str">
        <f>IF(OR(E4620="",E4620="!!!",F4620="NEW"),"",COUNTBLANK(OFFSET(A$1,,,SUMPRODUCT(MAX(ROW(E$2:E4620)*(E4620=E$2:E4620)))))-COUNTBLANK(OFFSET(A$1,,,SUMPRODUCT(MAX(ROW(E$1:E4619)*(E2=E$1:E4619))))))</f>
        <v> </v>
      </c>
      <c r="K4620" s="26" t="str">
        <f>IF(OR(E4620="",E4620="!!!",F4620="NEW"),"",INDEX(J$1:J4619,SUMPRODUCT(MAX(ROW(E$1:E4619)*(E4620=E$1:E4619)))))</f>
        <v> </v>
      </c>
      <c r="L4620" s="27"/>
    </row>
    <row r="4621" spans="1:12">
      <c r="A4621" s="20" t="s">
        <v>2302</v>
      </c>
      <c r="E4621" s="22">
        <f>IF(D4621="?OLD","!!!","")</f>
        <v/>
      </c>
      <c r="F4621" s="23" t="str">
        <f>IF(OR(E4621="",E4621="!!!"),"",IF(NOT(ISNA(VLOOKUP(E4621,E$1:E4620,1,FALSE()))),"OLD",IF(AND(E4621&lt;&gt;"",E4621&lt;&gt;"!!!"),"NEW","")))</f>
        <v> </v>
      </c>
      <c r="G4621" s="24" t="str">
        <f>IF(OR(E4621="",E4621="!!!"),"",IF(OR(J4621=0,AND(J4621=1,K4621=1),AND(J4621=1,I4621="SBJ"),AND(J4621=1,I4621=0)),"?IN_FOCUS",IF(J4621&lt;=2,"?ACTIVATED",IF(J4621&lt;&gt;"","?FAMILIAR",IF(F4621="NEW",IF(ISNA(VLOOKUP(E4621,#REF!,1,FALSE())),"?TYPE_IDENTIFIABLE","?REFERENTIAL"),"_")))))</f>
        <v> </v>
      </c>
      <c r="H4621" s="25" t="str">
        <f>IF(J4621&lt;&gt;1,"",IF(I4621="SBJ","CB","?"))</f>
        <v> </v>
      </c>
      <c r="I4621" s="26" t="str">
        <f>IF(OR(E4621="",E4621="!!!",F4621="NEW"),"",INDEX(B4620:B$2,-1+SUMPRODUCT(MAX(ROW(E4620:E$2)*(E4621=E4620:E$2)))))</f>
        <v> </v>
      </c>
      <c r="J4621" s="26" t="str">
        <f>IF(OR(E4621="",E4621="!!!",F4621="NEW"),"",COUNTBLANK(OFFSET(A$1,,,SUMPRODUCT(MAX(ROW(E$2:E4621)*(E4621=E$2:E4621)))))-COUNTBLANK(OFFSET(A$1,,,SUMPRODUCT(MAX(ROW(E$1:E4620)*(E2=E$1:E4620))))))</f>
        <v> </v>
      </c>
      <c r="K4621" s="26" t="str">
        <f>IF(OR(E4621="",E4621="!!!",F4621="NEW"),"",INDEX(J$1:J4620,SUMPRODUCT(MAX(ROW(E$1:E4620)*(E4621=E$1:E4620)))))</f>
        <v> </v>
      </c>
      <c r="L4621" s="27"/>
    </row>
    <row r="4622" spans="1:12">
      <c r="A4622" s="20" t="s">
        <v>1023</v>
      </c>
      <c r="E4622" s="22">
        <f>IF(D4622="?OLD","!!!","")</f>
        <v/>
      </c>
      <c r="F4622" s="23" t="str">
        <f>IF(OR(E4622="",E4622="!!!"),"",IF(NOT(ISNA(VLOOKUP(E4622,E$1:E4621,1,FALSE()))),"OLD",IF(AND(E4622&lt;&gt;"",E4622&lt;&gt;"!!!"),"NEW","")))</f>
        <v> </v>
      </c>
      <c r="G4622" s="24" t="str">
        <f>IF(OR(E4622="",E4622="!!!"),"",IF(OR(J4622=0,AND(J4622=1,K4622=1),AND(J4622=1,I4622="SBJ"),AND(J4622=1,I4622=0)),"?IN_FOCUS",IF(J4622&lt;=2,"?ACTIVATED",IF(J4622&lt;&gt;"","?FAMILIAR",IF(F4622="NEW",IF(ISNA(VLOOKUP(E4622,#REF!,1,FALSE())),"?TYPE_IDENTIFIABLE","?REFERENTIAL"),"_")))))</f>
        <v> </v>
      </c>
      <c r="H4622" s="25" t="str">
        <f>IF(J4622&lt;&gt;1,"",IF(I4622="SBJ","CB","?"))</f>
        <v> </v>
      </c>
      <c r="I4622" s="26" t="str">
        <f>IF(OR(E4622="",E4622="!!!",F4622="NEW"),"",INDEX(B4621:B$2,-1+SUMPRODUCT(MAX(ROW(E4621:E$2)*(E4622=E4621:E$2)))))</f>
        <v> </v>
      </c>
      <c r="J4622" s="26" t="str">
        <f>IF(OR(E4622="",E4622="!!!",F4622="NEW"),"",COUNTBLANK(OFFSET(A$1,,,SUMPRODUCT(MAX(ROW(E$2:E4622)*(E4622=E$2:E4622)))))-COUNTBLANK(OFFSET(A$1,,,SUMPRODUCT(MAX(ROW(E$1:E4621)*(E2=E$1:E4621))))))</f>
        <v> </v>
      </c>
      <c r="K4622" s="26" t="str">
        <f>IF(OR(E4622="",E4622="!!!",F4622="NEW"),"",INDEX(J$1:J4621,SUMPRODUCT(MAX(ROW(E$1:E4621)*(E4622=E$1:E4621)))))</f>
        <v> </v>
      </c>
      <c r="L4622" s="27"/>
    </row>
    <row r="4623" spans="1:12">
      <c r="A4623" s="20"/>
    </row>
    <row r="4624" spans="1:12">
      <c r="A4624" s="20" t="s">
        <v>2303</v>
      </c>
    </row>
    <row r="4625" spans="1:12">
      <c r="A4625" s="20" t="s">
        <v>2304</v>
      </c>
      <c r="E4625" s="22">
        <f>IF(D4625="?OLD","!!!","")</f>
        <v/>
      </c>
      <c r="F4625" s="23" t="str">
        <f>IF(OR(E4625="",E4625="!!!"),"",IF(NOT(ISNA(VLOOKUP(E4625,E$1:E4624,1,FALSE()))),"OLD",IF(AND(E4625&lt;&gt;"",E4625&lt;&gt;"!!!"),"NEW","")))</f>
        <v> </v>
      </c>
      <c r="G4625" s="24" t="str">
        <f>IF(OR(E4625="",E4625="!!!"),"",IF(OR(J4625=0,AND(J4625=1,K4625=1),AND(J4625=1,I4625="SBJ"),AND(J4625=1,I4625=0)),"?IN_FOCUS",IF(J4625&lt;=2,"?ACTIVATED",IF(J4625&lt;&gt;"","?FAMILIAR",IF(F4625="NEW",IF(ISNA(VLOOKUP(E4625,#REF!,1,FALSE())),"?TYPE_IDENTIFIABLE","?REFERENTIAL"),"_")))))</f>
        <v> </v>
      </c>
      <c r="H4625" s="25" t="str">
        <f>IF(J4625&lt;&gt;1,"",IF(I4625="SBJ","CB","?"))</f>
        <v> </v>
      </c>
      <c r="I4625" s="26" t="str">
        <f>IF(OR(E4625="",E4625="!!!",F4625="NEW"),"",INDEX(B4624:B$2,-1+SUMPRODUCT(MAX(ROW(E4624:E$2)*(E4625=E4624:E$2)))))</f>
        <v> </v>
      </c>
      <c r="J4625" s="26" t="str">
        <f>IF(OR(E4625="",E4625="!!!",F4625="NEW"),"",COUNTBLANK(OFFSET(A$1,,,SUMPRODUCT(MAX(ROW(E$2:E4625)*(E4625=E$2:E4625)))))-COUNTBLANK(OFFSET(A$1,,,SUMPRODUCT(MAX(ROW(E$1:E4624)*(E2=E$1:E4624))))))</f>
        <v> </v>
      </c>
      <c r="K4625" s="26" t="str">
        <f>IF(OR(E4625="",E4625="!!!",F4625="NEW"),"",INDEX(J$1:J4624,SUMPRODUCT(MAX(ROW(E$1:E4624)*(E4625=E$1:E4624)))))</f>
        <v> </v>
      </c>
      <c r="L4625" s="27"/>
    </row>
    <row r="4626" spans="1:12">
      <c r="A4626" s="20" t="s">
        <v>885</v>
      </c>
      <c r="B4626" s="21" t="s">
        <v>1050</v>
      </c>
      <c r="C4626" s="21" t="s">
        <v>1082</v>
      </c>
      <c r="D4626" s="21" t="s">
        <v>1007</v>
      </c>
      <c r="E4626" s="22">
        <f>IF(D4626="?OLD","!!!","")</f>
        <v/>
      </c>
      <c r="F4626" s="23" t="str">
        <f>IF(OR(E4626="",E4626="!!!"),"",IF(NOT(ISNA(VLOOKUP(E4626,E$1:E4625,1,FALSE()))),"OLD",IF(AND(E4626&lt;&gt;"",E4626&lt;&gt;"!!!"),"NEW","")))</f>
        <v> </v>
      </c>
      <c r="G4626" s="24" t="str">
        <f>IF(OR(E4626="",E4626="!!!"),"",IF(OR(J4626=0,AND(J4626=1,K4626=1),AND(J4626=1,I4626="SBJ"),AND(J4626=1,I4626=0)),"?IN_FOCUS",IF(J4626&lt;=2,"?ACTIVATED",IF(J4626&lt;&gt;"","?FAMILIAR",IF(F4626="NEW",IF(ISNA(VLOOKUP(E4626,#REF!,1,FALSE())),"?TYPE_IDENTIFIABLE","?REFERENTIAL"),"_")))))</f>
        <v> </v>
      </c>
      <c r="H4626" s="25" t="str">
        <f>IF(J4626&lt;&gt;1,"",IF(I4626="SBJ","CB","?"))</f>
        <v> </v>
      </c>
      <c r="I4626" s="26" t="str">
        <f>IF(OR(E4626="",E4626="!!!",F4626="NEW"),"",INDEX(B4625:B$2,-1+SUMPRODUCT(MAX(ROW(E4625:E$2)*(E4626=E4625:E$2)))))</f>
        <v> </v>
      </c>
      <c r="J4626" s="26" t="str">
        <f>IF(OR(E4626="",E4626="!!!",F4626="NEW"),"",COUNTBLANK(OFFSET(A$1,,,SUMPRODUCT(MAX(ROW(E$2:E4626)*(E4626=E$2:E4626)))))-COUNTBLANK(OFFSET(A$1,,,SUMPRODUCT(MAX(ROW(E$1:E4625)*(E2=E$1:E4625))))))</f>
        <v> </v>
      </c>
      <c r="K4626" s="26" t="str">
        <f>IF(OR(E4626="",E4626="!!!",F4626="NEW"),"",INDEX(J$1:J4625,SUMPRODUCT(MAX(ROW(E$1:E4625)*(E4626=E$1:E4625)))))</f>
        <v> </v>
      </c>
      <c r="L4626" s="27"/>
    </row>
    <row r="4627" spans="1:12">
      <c r="A4627" s="20" t="s">
        <v>2305</v>
      </c>
      <c r="E4627" s="22">
        <f>IF(D4627="?OLD","!!!","")</f>
        <v/>
      </c>
      <c r="F4627" s="23" t="str">
        <f>IF(OR(E4627="",E4627="!!!"),"",IF(NOT(ISNA(VLOOKUP(E4627,E$1:E4626,1,FALSE()))),"OLD",IF(AND(E4627&lt;&gt;"",E4627&lt;&gt;"!!!"),"NEW","")))</f>
        <v> </v>
      </c>
      <c r="G4627" s="24" t="str">
        <f>IF(OR(E4627="",E4627="!!!"),"",IF(OR(J4627=0,AND(J4627=1,K4627=1),AND(J4627=1,I4627="SBJ"),AND(J4627=1,I4627=0)),"?IN_FOCUS",IF(J4627&lt;=2,"?ACTIVATED",IF(J4627&lt;&gt;"","?FAMILIAR",IF(F4627="NEW",IF(ISNA(VLOOKUP(E4627,#REF!,1,FALSE())),"?TYPE_IDENTIFIABLE","?REFERENTIAL"),"_")))))</f>
        <v> </v>
      </c>
      <c r="H4627" s="25" t="str">
        <f>IF(J4627&lt;&gt;1,"",IF(I4627="SBJ","CB","?"))</f>
        <v> </v>
      </c>
      <c r="I4627" s="26" t="str">
        <f>IF(OR(E4627="",E4627="!!!",F4627="NEW"),"",INDEX(B4626:B$2,-1+SUMPRODUCT(MAX(ROW(E4626:E$2)*(E4627=E4626:E$2)))))</f>
        <v> </v>
      </c>
      <c r="J4627" s="26" t="str">
        <f>IF(OR(E4627="",E4627="!!!",F4627="NEW"),"",COUNTBLANK(OFFSET(A$1,,,SUMPRODUCT(MAX(ROW(E$2:E4627)*(E4627=E$2:E4627)))))-COUNTBLANK(OFFSET(A$1,,,SUMPRODUCT(MAX(ROW(E$1:E4626)*(E2=E$1:E4626))))))</f>
        <v> </v>
      </c>
      <c r="K4627" s="26" t="str">
        <f>IF(OR(E4627="",E4627="!!!",F4627="NEW"),"",INDEX(J$1:J4626,SUMPRODUCT(MAX(ROW(E$1:E4626)*(E4627=E$1:E4626)))))</f>
        <v> </v>
      </c>
      <c r="L4627" s="27"/>
    </row>
    <row r="4628" spans="1:12">
      <c r="A4628" s="20" t="s">
        <v>102</v>
      </c>
      <c r="B4628" s="21" t="s">
        <v>1085</v>
      </c>
      <c r="C4628" s="21" t="s">
        <v>1073</v>
      </c>
      <c r="D4628" s="21" t="s">
        <v>1007</v>
      </c>
      <c r="E4628" s="22">
        <f>IF(D4628="?OLD","!!!","")</f>
        <v/>
      </c>
      <c r="F4628" s="23" t="str">
        <f>IF(OR(E4628="",E4628="!!!"),"",IF(NOT(ISNA(VLOOKUP(E4628,E$1:E4627,1,FALSE()))),"OLD",IF(AND(E4628&lt;&gt;"",E4628&lt;&gt;"!!!"),"NEW","")))</f>
        <v> </v>
      </c>
      <c r="G4628" s="24" t="str">
        <f>IF(OR(E4628="",E4628="!!!"),"",IF(OR(J4628=0,AND(J4628=1,K4628=1),AND(J4628=1,I4628="SBJ"),AND(J4628=1,I4628=0)),"?IN_FOCUS",IF(J4628&lt;=2,"?ACTIVATED",IF(J4628&lt;&gt;"","?FAMILIAR",IF(F4628="NEW",IF(ISNA(VLOOKUP(E4628,#REF!,1,FALSE())),"?TYPE_IDENTIFIABLE","?REFERENTIAL"),"_")))))</f>
        <v> </v>
      </c>
      <c r="H4628" s="25" t="str">
        <f>IF(J4628&lt;&gt;1,"",IF(I4628="SBJ","CB","?"))</f>
        <v> </v>
      </c>
      <c r="I4628" s="26" t="str">
        <f>IF(OR(E4628="",E4628="!!!",F4628="NEW"),"",INDEX(B4627:B$2,-1+SUMPRODUCT(MAX(ROW(E4627:E$2)*(E4628=E4627:E$2)))))</f>
        <v> </v>
      </c>
      <c r="J4628" s="26" t="str">
        <f>IF(OR(E4628="",E4628="!!!",F4628="NEW"),"",COUNTBLANK(OFFSET(A$1,,,SUMPRODUCT(MAX(ROW(E$2:E4628)*(E4628=E$2:E4628)))))-COUNTBLANK(OFFSET(A$1,,,SUMPRODUCT(MAX(ROW(E$1:E4627)*(E2=E$1:E4627))))))</f>
        <v> </v>
      </c>
      <c r="K4628" s="26" t="str">
        <f>IF(OR(E4628="",E4628="!!!",F4628="NEW"),"",INDEX(J$1:J4627,SUMPRODUCT(MAX(ROW(E$1:E4627)*(E4628=E$1:E4627)))))</f>
        <v> </v>
      </c>
      <c r="L4628" s="27"/>
    </row>
    <row r="4629" spans="1:12">
      <c r="A4629" s="20" t="s">
        <v>1065</v>
      </c>
      <c r="B4629" s="21" t="s">
        <v>1154</v>
      </c>
      <c r="E4629" s="22">
        <f>IF(D4629="?OLD","!!!","")</f>
        <v/>
      </c>
      <c r="F4629" s="23" t="str">
        <f>IF(OR(E4629="",E4629="!!!"),"",IF(NOT(ISNA(VLOOKUP(E4629,E$1:E4628,1,FALSE()))),"OLD",IF(AND(E4629&lt;&gt;"",E4629&lt;&gt;"!!!"),"NEW","")))</f>
        <v> </v>
      </c>
      <c r="G4629" s="24" t="str">
        <f>IF(OR(E4629="",E4629="!!!"),"",IF(OR(J4629=0,AND(J4629=1,K4629=1),AND(J4629=1,I4629="SBJ"),AND(J4629=1,I4629=0)),"?IN_FOCUS",IF(J4629&lt;=2,"?ACTIVATED",IF(J4629&lt;&gt;"","?FAMILIAR",IF(F4629="NEW",IF(ISNA(VLOOKUP(E4629,#REF!,1,FALSE())),"?TYPE_IDENTIFIABLE","?REFERENTIAL"),"_")))))</f>
        <v> </v>
      </c>
      <c r="H4629" s="25" t="str">
        <f>IF(J4629&lt;&gt;1,"",IF(I4629="SBJ","CB","?"))</f>
        <v> </v>
      </c>
      <c r="I4629" s="26" t="str">
        <f>IF(OR(E4629="",E4629="!!!",F4629="NEW"),"",INDEX(B4628:B$2,-1+SUMPRODUCT(MAX(ROW(E4628:E$2)*(E4629=E4628:E$2)))))</f>
        <v> </v>
      </c>
      <c r="J4629" s="26" t="str">
        <f>IF(OR(E4629="",E4629="!!!",F4629="NEW"),"",COUNTBLANK(OFFSET(A$1,,,SUMPRODUCT(MAX(ROW(E$2:E4629)*(E4629=E$2:E4629)))))-COUNTBLANK(OFFSET(A$1,,,SUMPRODUCT(MAX(ROW(E$1:E4628)*(E2=E$1:E4628))))))</f>
        <v> </v>
      </c>
      <c r="K4629" s="26" t="str">
        <f>IF(OR(E4629="",E4629="!!!",F4629="NEW"),"",INDEX(J$1:J4628,SUMPRODUCT(MAX(ROW(E$1:E4628)*(E4629=E$1:E4628)))))</f>
        <v> </v>
      </c>
      <c r="L4629" s="27"/>
    </row>
    <row r="4630" spans="1:12">
      <c r="A4630" s="20" t="s">
        <v>2306</v>
      </c>
      <c r="E4630" s="22">
        <f>IF(D4630="?OLD","!!!","")</f>
        <v/>
      </c>
      <c r="F4630" s="23" t="str">
        <f>IF(OR(E4630="",E4630="!!!"),"",IF(NOT(ISNA(VLOOKUP(E4630,E$1:E4629,1,FALSE()))),"OLD",IF(AND(E4630&lt;&gt;"",E4630&lt;&gt;"!!!"),"NEW","")))</f>
        <v> </v>
      </c>
      <c r="G4630" s="24" t="str">
        <f>IF(OR(E4630="",E4630="!!!"),"",IF(OR(J4630=0,AND(J4630=1,K4630=1),AND(J4630=1,I4630="SBJ"),AND(J4630=1,I4630=0)),"?IN_FOCUS",IF(J4630&lt;=2,"?ACTIVATED",IF(J4630&lt;&gt;"","?FAMILIAR",IF(F4630="NEW",IF(ISNA(VLOOKUP(E4630,#REF!,1,FALSE())),"?TYPE_IDENTIFIABLE","?REFERENTIAL"),"_")))))</f>
        <v> </v>
      </c>
      <c r="H4630" s="25" t="str">
        <f>IF(J4630&lt;&gt;1,"",IF(I4630="SBJ","CB","?"))</f>
        <v> </v>
      </c>
      <c r="I4630" s="26" t="str">
        <f>IF(OR(E4630="",E4630="!!!",F4630="NEW"),"",INDEX(B4629:B$2,-1+SUMPRODUCT(MAX(ROW(E4629:E$2)*(E4630=E4629:E$2)))))</f>
        <v> </v>
      </c>
      <c r="J4630" s="26" t="str">
        <f>IF(OR(E4630="",E4630="!!!",F4630="NEW"),"",COUNTBLANK(OFFSET(A$1,,,SUMPRODUCT(MAX(ROW(E$2:E4630)*(E4630=E$2:E4630)))))-COUNTBLANK(OFFSET(A$1,,,SUMPRODUCT(MAX(ROW(E$1:E4629)*(E2=E$1:E4629))))))</f>
        <v> </v>
      </c>
      <c r="K4630" s="26" t="str">
        <f>IF(OR(E4630="",E4630="!!!",F4630="NEW"),"",INDEX(J$1:J4629,SUMPRODUCT(MAX(ROW(E$1:E4629)*(E4630=E$1:E4629)))))</f>
        <v> </v>
      </c>
      <c r="L4630" s="27"/>
    </row>
    <row r="4631" spans="1:12">
      <c r="A4631" s="20" t="s">
        <v>1018</v>
      </c>
      <c r="E4631" s="22">
        <f>IF(D4631="?OLD","!!!","")</f>
        <v/>
      </c>
      <c r="F4631" s="23" t="str">
        <f>IF(OR(E4631="",E4631="!!!"),"",IF(NOT(ISNA(VLOOKUP(E4631,E$1:E4630,1,FALSE()))),"OLD",IF(AND(E4631&lt;&gt;"",E4631&lt;&gt;"!!!"),"NEW","")))</f>
        <v> </v>
      </c>
      <c r="G4631" s="24" t="str">
        <f>IF(OR(E4631="",E4631="!!!"),"",IF(OR(J4631=0,AND(J4631=1,K4631=1),AND(J4631=1,I4631="SBJ"),AND(J4631=1,I4631=0)),"?IN_FOCUS",IF(J4631&lt;=2,"?ACTIVATED",IF(J4631&lt;&gt;"","?FAMILIAR",IF(F4631="NEW",IF(ISNA(VLOOKUP(E4631,#REF!,1,FALSE())),"?TYPE_IDENTIFIABLE","?REFERENTIAL"),"_")))))</f>
        <v> </v>
      </c>
      <c r="H4631" s="25" t="str">
        <f>IF(J4631&lt;&gt;1,"",IF(I4631="SBJ","CB","?"))</f>
        <v> </v>
      </c>
      <c r="I4631" s="26" t="str">
        <f>IF(OR(E4631="",E4631="!!!",F4631="NEW"),"",INDEX(B4630:B$2,-1+SUMPRODUCT(MAX(ROW(E4630:E$2)*(E4631=E4630:E$2)))))</f>
        <v> </v>
      </c>
      <c r="J4631" s="26" t="str">
        <f>IF(OR(E4631="",E4631="!!!",F4631="NEW"),"",COUNTBLANK(OFFSET(A$1,,,SUMPRODUCT(MAX(ROW(E$2:E4631)*(E4631=E$2:E4631)))))-COUNTBLANK(OFFSET(A$1,,,SUMPRODUCT(MAX(ROW(E$1:E4630)*(E2=E$1:E4630))))))</f>
        <v> </v>
      </c>
      <c r="K4631" s="26" t="str">
        <f>IF(OR(E4631="",E4631="!!!",F4631="NEW"),"",INDEX(J$1:J4630,SUMPRODUCT(MAX(ROW(E$1:E4630)*(E4631=E$1:E4630)))))</f>
        <v> </v>
      </c>
      <c r="L4631" s="27"/>
    </row>
    <row r="4632" spans="1:12">
      <c r="A4632" s="20" t="s">
        <v>1451</v>
      </c>
      <c r="E4632" s="22">
        <f>IF(D4632="?OLD","!!!","")</f>
        <v/>
      </c>
      <c r="F4632" s="23" t="str">
        <f>IF(OR(E4632="",E4632="!!!"),"",IF(NOT(ISNA(VLOOKUP(E4632,E$1:E4631,1,FALSE()))),"OLD",IF(AND(E4632&lt;&gt;"",E4632&lt;&gt;"!!!"),"NEW","")))</f>
        <v> </v>
      </c>
      <c r="G4632" s="24" t="str">
        <f>IF(OR(E4632="",E4632="!!!"),"",IF(OR(J4632=0,AND(J4632=1,K4632=1),AND(J4632=1,I4632="SBJ"),AND(J4632=1,I4632=0)),"?IN_FOCUS",IF(J4632&lt;=2,"?ACTIVATED",IF(J4632&lt;&gt;"","?FAMILIAR",IF(F4632="NEW",IF(ISNA(VLOOKUP(E4632,#REF!,1,FALSE())),"?TYPE_IDENTIFIABLE","?REFERENTIAL"),"_")))))</f>
        <v> </v>
      </c>
      <c r="H4632" s="25" t="str">
        <f>IF(J4632&lt;&gt;1,"",IF(I4632="SBJ","CB","?"))</f>
        <v> </v>
      </c>
      <c r="I4632" s="26" t="str">
        <f>IF(OR(E4632="",E4632="!!!",F4632="NEW"),"",INDEX(B4631:B$2,-1+SUMPRODUCT(MAX(ROW(E4631:E$2)*(E4632=E4631:E$2)))))</f>
        <v> </v>
      </c>
      <c r="J4632" s="26" t="str">
        <f>IF(OR(E4632="",E4632="!!!",F4632="NEW"),"",COUNTBLANK(OFFSET(A$1,,,SUMPRODUCT(MAX(ROW(E$2:E4632)*(E4632=E$2:E4632)))))-COUNTBLANK(OFFSET(A$1,,,SUMPRODUCT(MAX(ROW(E$1:E4631)*(E2=E$1:E4631))))))</f>
        <v> </v>
      </c>
      <c r="K4632" s="26" t="str">
        <f>IF(OR(E4632="",E4632="!!!",F4632="NEW"),"",INDEX(J$1:J4631,SUMPRODUCT(MAX(ROW(E$1:E4631)*(E4632=E$1:E4631)))))</f>
        <v> </v>
      </c>
      <c r="L4632" s="27"/>
    </row>
    <row r="4633" spans="1:12">
      <c r="A4633" s="20" t="s">
        <v>102</v>
      </c>
      <c r="E4633" s="22">
        <f>IF(D4633="?OLD","!!!","")</f>
        <v/>
      </c>
      <c r="F4633" s="23" t="str">
        <f>IF(OR(E4633="",E4633="!!!"),"",IF(NOT(ISNA(VLOOKUP(E4633,E$1:E4632,1,FALSE()))),"OLD",IF(AND(E4633&lt;&gt;"",E4633&lt;&gt;"!!!"),"NEW","")))</f>
        <v> </v>
      </c>
      <c r="G4633" s="24" t="str">
        <f>IF(OR(E4633="",E4633="!!!"),"",IF(OR(J4633=0,AND(J4633=1,K4633=1),AND(J4633=1,I4633="SBJ"),AND(J4633=1,I4633=0)),"?IN_FOCUS",IF(J4633&lt;=2,"?ACTIVATED",IF(J4633&lt;&gt;"","?FAMILIAR",IF(F4633="NEW",IF(ISNA(VLOOKUP(E4633,#REF!,1,FALSE())),"?TYPE_IDENTIFIABLE","?REFERENTIAL"),"_")))))</f>
        <v> </v>
      </c>
      <c r="H4633" s="25" t="str">
        <f>IF(J4633&lt;&gt;1,"",IF(I4633="SBJ","CB","?"))</f>
        <v> </v>
      </c>
      <c r="I4633" s="26" t="str">
        <f>IF(OR(E4633="",E4633="!!!",F4633="NEW"),"",INDEX(B4632:B$2,-1+SUMPRODUCT(MAX(ROW(E4632:E$2)*(E4633=E4632:E$2)))))</f>
        <v> </v>
      </c>
      <c r="J4633" s="26" t="str">
        <f>IF(OR(E4633="",E4633="!!!",F4633="NEW"),"",COUNTBLANK(OFFSET(A$1,,,SUMPRODUCT(MAX(ROW(E$2:E4633)*(E4633=E$2:E4633)))))-COUNTBLANK(OFFSET(A$1,,,SUMPRODUCT(MAX(ROW(E$1:E4632)*(E2=E$1:E4632))))))</f>
        <v> </v>
      </c>
      <c r="K4633" s="26" t="str">
        <f>IF(OR(E4633="",E4633="!!!",F4633="NEW"),"",INDEX(J$1:J4632,SUMPRODUCT(MAX(ROW(E$1:E4632)*(E4633=E$1:E4632)))))</f>
        <v> </v>
      </c>
      <c r="L4633" s="27"/>
    </row>
    <row r="4634" spans="1:12">
      <c r="A4634" s="20" t="s">
        <v>2307</v>
      </c>
      <c r="B4634" s="21" t="s">
        <v>1187</v>
      </c>
      <c r="C4634" s="21" t="s">
        <v>1017</v>
      </c>
      <c r="D4634" s="21" t="s">
        <v>1007</v>
      </c>
      <c r="E4634" s="22">
        <f>IF(D4634="?OLD","!!!","")</f>
        <v/>
      </c>
      <c r="F4634" s="23" t="str">
        <f>IF(OR(E4634="",E4634="!!!"),"",IF(NOT(ISNA(VLOOKUP(E4634,E$1:E4633,1,FALSE()))),"OLD",IF(AND(E4634&lt;&gt;"",E4634&lt;&gt;"!!!"),"NEW","")))</f>
        <v> </v>
      </c>
      <c r="G4634" s="24" t="str">
        <f>IF(OR(E4634="",E4634="!!!"),"",IF(OR(J4634=0,AND(J4634=1,K4634=1),AND(J4634=1,I4634="SBJ"),AND(J4634=1,I4634=0)),"?IN_FOCUS",IF(J4634&lt;=2,"?ACTIVATED",IF(J4634&lt;&gt;"","?FAMILIAR",IF(F4634="NEW",IF(ISNA(VLOOKUP(E4634,#REF!,1,FALSE())),"?TYPE_IDENTIFIABLE","?REFERENTIAL"),"_")))))</f>
        <v> </v>
      </c>
      <c r="H4634" s="25" t="str">
        <f>IF(J4634&lt;&gt;1,"",IF(I4634="SBJ","CB","?"))</f>
        <v> </v>
      </c>
      <c r="I4634" s="26" t="str">
        <f>IF(OR(E4634="",E4634="!!!",F4634="NEW"),"",INDEX(B4633:B$2,-1+SUMPRODUCT(MAX(ROW(E4633:E$2)*(E4634=E4633:E$2)))))</f>
        <v> </v>
      </c>
      <c r="J4634" s="26" t="str">
        <f>IF(OR(E4634="",E4634="!!!",F4634="NEW"),"",COUNTBLANK(OFFSET(A$1,,,SUMPRODUCT(MAX(ROW(E$2:E4634)*(E4634=E$2:E4634)))))-COUNTBLANK(OFFSET(A$1,,,SUMPRODUCT(MAX(ROW(E$1:E4633)*(E2=E$1:E4633))))))</f>
        <v> </v>
      </c>
      <c r="K4634" s="26" t="str">
        <f>IF(OR(E4634="",E4634="!!!",F4634="NEW"),"",INDEX(J$1:J4633,SUMPRODUCT(MAX(ROW(E$1:E4633)*(E4634=E$1:E4633)))))</f>
        <v> </v>
      </c>
      <c r="L4634" s="27"/>
    </row>
    <row r="4635" spans="1:12">
      <c r="A4635" s="20" t="s">
        <v>1065</v>
      </c>
      <c r="B4635" s="21" t="s">
        <v>1263</v>
      </c>
      <c r="E4635" s="22">
        <f>IF(D4635="?OLD","!!!","")</f>
        <v/>
      </c>
      <c r="F4635" s="23" t="str">
        <f>IF(OR(E4635="",E4635="!!!"),"",IF(NOT(ISNA(VLOOKUP(E4635,E$1:E4634,1,FALSE()))),"OLD",IF(AND(E4635&lt;&gt;"",E4635&lt;&gt;"!!!"),"NEW","")))</f>
        <v> </v>
      </c>
      <c r="G4635" s="24" t="str">
        <f>IF(OR(E4635="",E4635="!!!"),"",IF(OR(J4635=0,AND(J4635=1,K4635=1),AND(J4635=1,I4635="SBJ"),AND(J4635=1,I4635=0)),"?IN_FOCUS",IF(J4635&lt;=2,"?ACTIVATED",IF(J4635&lt;&gt;"","?FAMILIAR",IF(F4635="NEW",IF(ISNA(VLOOKUP(E4635,#REF!,1,FALSE())),"?TYPE_IDENTIFIABLE","?REFERENTIAL"),"_")))))</f>
        <v> </v>
      </c>
      <c r="H4635" s="25" t="str">
        <f>IF(J4635&lt;&gt;1,"",IF(I4635="SBJ","CB","?"))</f>
        <v> </v>
      </c>
      <c r="I4635" s="26" t="str">
        <f>IF(OR(E4635="",E4635="!!!",F4635="NEW"),"",INDEX(B4634:B$2,-1+SUMPRODUCT(MAX(ROW(E4634:E$2)*(E4635=E4634:E$2)))))</f>
        <v> </v>
      </c>
      <c r="J4635" s="26" t="str">
        <f>IF(OR(E4635="",E4635="!!!",F4635="NEW"),"",COUNTBLANK(OFFSET(A$1,,,SUMPRODUCT(MAX(ROW(E$2:E4635)*(E4635=E$2:E4635)))))-COUNTBLANK(OFFSET(A$1,,,SUMPRODUCT(MAX(ROW(E$1:E4634)*(E2=E$1:E4634))))))</f>
        <v> </v>
      </c>
      <c r="K4635" s="26" t="str">
        <f>IF(OR(E4635="",E4635="!!!",F4635="NEW"),"",INDEX(J$1:J4634,SUMPRODUCT(MAX(ROW(E$1:E4634)*(E4635=E$1:E4634)))))</f>
        <v> </v>
      </c>
      <c r="L4635" s="27"/>
    </row>
    <row r="4636" spans="1:12">
      <c r="A4636" s="20" t="s">
        <v>2308</v>
      </c>
      <c r="E4636" s="22">
        <f>IF(D4636="?OLD","!!!","")</f>
        <v/>
      </c>
      <c r="F4636" s="23" t="str">
        <f>IF(OR(E4636="",E4636="!!!"),"",IF(NOT(ISNA(VLOOKUP(E4636,E$1:E4635,1,FALSE()))),"OLD",IF(AND(E4636&lt;&gt;"",E4636&lt;&gt;"!!!"),"NEW","")))</f>
        <v> </v>
      </c>
      <c r="G4636" s="24" t="str">
        <f>IF(OR(E4636="",E4636="!!!"),"",IF(OR(J4636=0,AND(J4636=1,K4636=1),AND(J4636=1,I4636="SBJ"),AND(J4636=1,I4636=0)),"?IN_FOCUS",IF(J4636&lt;=2,"?ACTIVATED",IF(J4636&lt;&gt;"","?FAMILIAR",IF(F4636="NEW",IF(ISNA(VLOOKUP(E4636,#REF!,1,FALSE())),"?TYPE_IDENTIFIABLE","?REFERENTIAL"),"_")))))</f>
        <v> </v>
      </c>
      <c r="H4636" s="25" t="str">
        <f>IF(J4636&lt;&gt;1,"",IF(I4636="SBJ","CB","?"))</f>
        <v> </v>
      </c>
      <c r="I4636" s="26" t="str">
        <f>IF(OR(E4636="",E4636="!!!",F4636="NEW"),"",INDEX(B4635:B$2,-1+SUMPRODUCT(MAX(ROW(E4635:E$2)*(E4636=E4635:E$2)))))</f>
        <v> </v>
      </c>
      <c r="J4636" s="26" t="str">
        <f>IF(OR(E4636="",E4636="!!!",F4636="NEW"),"",COUNTBLANK(OFFSET(A$1,,,SUMPRODUCT(MAX(ROW(E$2:E4636)*(E4636=E$2:E4636)))))-COUNTBLANK(OFFSET(A$1,,,SUMPRODUCT(MAX(ROW(E$1:E4635)*(E2=E$1:E4635))))))</f>
        <v> </v>
      </c>
      <c r="K4636" s="26" t="str">
        <f>IF(OR(E4636="",E4636="!!!",F4636="NEW"),"",INDEX(J$1:J4635,SUMPRODUCT(MAX(ROW(E$1:E4635)*(E4636=E$1:E4635)))))</f>
        <v> </v>
      </c>
      <c r="L4636" s="27"/>
    </row>
    <row r="4637" spans="1:12">
      <c r="A4637" s="20" t="s">
        <v>2309</v>
      </c>
      <c r="B4637" s="21" t="s">
        <v>1134</v>
      </c>
      <c r="C4637" s="21" t="s">
        <v>1006</v>
      </c>
      <c r="D4637" s="21" t="s">
        <v>1007</v>
      </c>
      <c r="E4637" s="22">
        <f>IF(D4637="?OLD","!!!","")</f>
        <v/>
      </c>
      <c r="F4637" s="23" t="str">
        <f>IF(OR(E4637="",E4637="!!!"),"",IF(NOT(ISNA(VLOOKUP(E4637,E$1:E4636,1,FALSE()))),"OLD",IF(AND(E4637&lt;&gt;"",E4637&lt;&gt;"!!!"),"NEW","")))</f>
        <v> </v>
      </c>
      <c r="G4637" s="24" t="str">
        <f>IF(OR(E4637="",E4637="!!!"),"",IF(OR(J4637=0,AND(J4637=1,K4637=1),AND(J4637=1,I4637="SBJ"),AND(J4637=1,I4637=0)),"?IN_FOCUS",IF(J4637&lt;=2,"?ACTIVATED",IF(J4637&lt;&gt;"","?FAMILIAR",IF(F4637="NEW",IF(ISNA(VLOOKUP(E4637,#REF!,1,FALSE())),"?TYPE_IDENTIFIABLE","?REFERENTIAL"),"_")))))</f>
        <v> </v>
      </c>
      <c r="H4637" s="25" t="str">
        <f>IF(J4637&lt;&gt;1,"",IF(I4637="SBJ","CB","?"))</f>
        <v> </v>
      </c>
      <c r="I4637" s="26" t="str">
        <f>IF(OR(E4637="",E4637="!!!",F4637="NEW"),"",INDEX(B4636:B$2,-1+SUMPRODUCT(MAX(ROW(E4636:E$2)*(E4637=E4636:E$2)))))</f>
        <v> </v>
      </c>
      <c r="J4637" s="26" t="str">
        <f>IF(OR(E4637="",E4637="!!!",F4637="NEW"),"",COUNTBLANK(OFFSET(A$1,,,SUMPRODUCT(MAX(ROW(E$2:E4637)*(E4637=E$2:E4637)))))-COUNTBLANK(OFFSET(A$1,,,SUMPRODUCT(MAX(ROW(E$1:E4636)*(E2=E$1:E4636))))))</f>
        <v> </v>
      </c>
      <c r="K4637" s="26" t="str">
        <f>IF(OR(E4637="",E4637="!!!",F4637="NEW"),"",INDEX(J$1:J4636,SUMPRODUCT(MAX(ROW(E$1:E4636)*(E4637=E$1:E4636)))))</f>
        <v> </v>
      </c>
      <c r="L4637" s="27"/>
    </row>
    <row r="4638" spans="1:12">
      <c r="A4638" s="20" t="s">
        <v>2310</v>
      </c>
      <c r="B4638" s="21" t="s">
        <v>1040</v>
      </c>
      <c r="C4638" s="21" t="s">
        <v>1006</v>
      </c>
      <c r="D4638" s="21" t="s">
        <v>1007</v>
      </c>
      <c r="E4638" s="22">
        <f>IF(D4638="?OLD","!!!","")</f>
        <v/>
      </c>
      <c r="F4638" s="23" t="str">
        <f>IF(OR(E4638="",E4638="!!!"),"",IF(NOT(ISNA(VLOOKUP(E4638,E$1:E4637,1,FALSE()))),"OLD",IF(AND(E4638&lt;&gt;"",E4638&lt;&gt;"!!!"),"NEW","")))</f>
        <v> </v>
      </c>
      <c r="G4638" s="24" t="str">
        <f>IF(OR(E4638="",E4638="!!!"),"",IF(OR(J4638=0,AND(J4638=1,K4638=1),AND(J4638=1,I4638="SBJ"),AND(J4638=1,I4638=0)),"?IN_FOCUS",IF(J4638&lt;=2,"?ACTIVATED",IF(J4638&lt;&gt;"","?FAMILIAR",IF(F4638="NEW",IF(ISNA(VLOOKUP(E4638,#REF!,1,FALSE())),"?TYPE_IDENTIFIABLE","?REFERENTIAL"),"_")))))</f>
        <v> </v>
      </c>
      <c r="H4638" s="25" t="str">
        <f>IF(J4638&lt;&gt;1,"",IF(I4638="SBJ","CB","?"))</f>
        <v> </v>
      </c>
      <c r="I4638" s="26" t="str">
        <f>IF(OR(E4638="",E4638="!!!",F4638="NEW"),"",INDEX(B4637:B$2,-1+SUMPRODUCT(MAX(ROW(E4637:E$2)*(E4638=E4637:E$2)))))</f>
        <v> </v>
      </c>
      <c r="J4638" s="26" t="str">
        <f>IF(OR(E4638="",E4638="!!!",F4638="NEW"),"",COUNTBLANK(OFFSET(A$1,,,SUMPRODUCT(MAX(ROW(E$2:E4638)*(E4638=E$2:E4638)))))-COUNTBLANK(OFFSET(A$1,,,SUMPRODUCT(MAX(ROW(E$1:E4637)*(E2=E$1:E4637))))))</f>
        <v> </v>
      </c>
      <c r="K4638" s="26" t="str">
        <f>IF(OR(E4638="",E4638="!!!",F4638="NEW"),"",INDEX(J$1:J4637,SUMPRODUCT(MAX(ROW(E$1:E4637)*(E4638=E$1:E4637)))))</f>
        <v> </v>
      </c>
      <c r="L4638" s="27"/>
    </row>
    <row r="4639" spans="1:12">
      <c r="A4639" s="20" t="s">
        <v>1018</v>
      </c>
      <c r="E4639" s="22">
        <f>IF(D4639="?OLD","!!!","")</f>
        <v/>
      </c>
      <c r="F4639" s="23" t="str">
        <f>IF(OR(E4639="",E4639="!!!"),"",IF(NOT(ISNA(VLOOKUP(E4639,E$1:E4638,1,FALSE()))),"OLD",IF(AND(E4639&lt;&gt;"",E4639&lt;&gt;"!!!"),"NEW","")))</f>
        <v> </v>
      </c>
      <c r="G4639" s="24" t="str">
        <f>IF(OR(E4639="",E4639="!!!"),"",IF(OR(J4639=0,AND(J4639=1,K4639=1),AND(J4639=1,I4639="SBJ"),AND(J4639=1,I4639=0)),"?IN_FOCUS",IF(J4639&lt;=2,"?ACTIVATED",IF(J4639&lt;&gt;"","?FAMILIAR",IF(F4639="NEW",IF(ISNA(VLOOKUP(E4639,#REF!,1,FALSE())),"?TYPE_IDENTIFIABLE","?REFERENTIAL"),"_")))))</f>
        <v> </v>
      </c>
      <c r="H4639" s="25" t="str">
        <f>IF(J4639&lt;&gt;1,"",IF(I4639="SBJ","CB","?"))</f>
        <v> </v>
      </c>
      <c r="I4639" s="26" t="str">
        <f>IF(OR(E4639="",E4639="!!!",F4639="NEW"),"",INDEX(B4638:B$2,-1+SUMPRODUCT(MAX(ROW(E4638:E$2)*(E4639=E4638:E$2)))))</f>
        <v> </v>
      </c>
      <c r="J4639" s="26" t="str">
        <f>IF(OR(E4639="",E4639="!!!",F4639="NEW"),"",COUNTBLANK(OFFSET(A$1,,,SUMPRODUCT(MAX(ROW(E$2:E4639)*(E4639=E$2:E4639)))))-COUNTBLANK(OFFSET(A$1,,,SUMPRODUCT(MAX(ROW(E$1:E4638)*(E2=E$1:E4638))))))</f>
        <v> </v>
      </c>
      <c r="K4639" s="26" t="str">
        <f>IF(OR(E4639="",E4639="!!!",F4639="NEW"),"",INDEX(J$1:J4638,SUMPRODUCT(MAX(ROW(E$1:E4638)*(E4639=E$1:E4638)))))</f>
        <v> </v>
      </c>
      <c r="L4639" s="27"/>
    </row>
    <row r="4640" spans="1:12">
      <c r="A4640" s="20" t="s">
        <v>1065</v>
      </c>
      <c r="B4640" s="21" t="s">
        <v>1251</v>
      </c>
      <c r="E4640" s="22">
        <f>IF(D4640="?OLD","!!!","")</f>
        <v/>
      </c>
      <c r="F4640" s="23" t="str">
        <f>IF(OR(E4640="",E4640="!!!"),"",IF(NOT(ISNA(VLOOKUP(E4640,E$1:E4639,1,FALSE()))),"OLD",IF(AND(E4640&lt;&gt;"",E4640&lt;&gt;"!!!"),"NEW","")))</f>
        <v> </v>
      </c>
      <c r="G4640" s="24" t="str">
        <f>IF(OR(E4640="",E4640="!!!"),"",IF(OR(J4640=0,AND(J4640=1,K4640=1),AND(J4640=1,I4640="SBJ"),AND(J4640=1,I4640=0)),"?IN_FOCUS",IF(J4640&lt;=2,"?ACTIVATED",IF(J4640&lt;&gt;"","?FAMILIAR",IF(F4640="NEW",IF(ISNA(VLOOKUP(E4640,#REF!,1,FALSE())),"?TYPE_IDENTIFIABLE","?REFERENTIAL"),"_")))))</f>
        <v> </v>
      </c>
      <c r="H4640" s="25" t="str">
        <f>IF(J4640&lt;&gt;1,"",IF(I4640="SBJ","CB","?"))</f>
        <v> </v>
      </c>
      <c r="I4640" s="26" t="str">
        <f>IF(OR(E4640="",E4640="!!!",F4640="NEW"),"",INDEX(B4639:B$2,-1+SUMPRODUCT(MAX(ROW(E4639:E$2)*(E4640=E4639:E$2)))))</f>
        <v> </v>
      </c>
      <c r="J4640" s="26" t="str">
        <f>IF(OR(E4640="",E4640="!!!",F4640="NEW"),"",COUNTBLANK(OFFSET(A$1,,,SUMPRODUCT(MAX(ROW(E$2:E4640)*(E4640=E$2:E4640)))))-COUNTBLANK(OFFSET(A$1,,,SUMPRODUCT(MAX(ROW(E$1:E4639)*(E2=E$1:E4639))))))</f>
        <v> </v>
      </c>
      <c r="K4640" s="26" t="str">
        <f>IF(OR(E4640="",E4640="!!!",F4640="NEW"),"",INDEX(J$1:J4639,SUMPRODUCT(MAX(ROW(E$1:E4639)*(E4640=E$1:E4639)))))</f>
        <v> </v>
      </c>
      <c r="L4640" s="27"/>
    </row>
    <row r="4641" spans="1:12">
      <c r="A4641" s="20" t="s">
        <v>1978</v>
      </c>
      <c r="E4641" s="22">
        <f>IF(D4641="?OLD","!!!","")</f>
        <v/>
      </c>
      <c r="F4641" s="23" t="str">
        <f>IF(OR(E4641="",E4641="!!!"),"",IF(NOT(ISNA(VLOOKUP(E4641,E$1:E4640,1,FALSE()))),"OLD",IF(AND(E4641&lt;&gt;"",E4641&lt;&gt;"!!!"),"NEW","")))</f>
        <v> </v>
      </c>
      <c r="G4641" s="24" t="str">
        <f>IF(OR(E4641="",E4641="!!!"),"",IF(OR(J4641=0,AND(J4641=1,K4641=1),AND(J4641=1,I4641="SBJ"),AND(J4641=1,I4641=0)),"?IN_FOCUS",IF(J4641&lt;=2,"?ACTIVATED",IF(J4641&lt;&gt;"","?FAMILIAR",IF(F4641="NEW",IF(ISNA(VLOOKUP(E4641,#REF!,1,FALSE())),"?TYPE_IDENTIFIABLE","?REFERENTIAL"),"_")))))</f>
        <v> </v>
      </c>
      <c r="H4641" s="25" t="str">
        <f>IF(J4641&lt;&gt;1,"",IF(I4641="SBJ","CB","?"))</f>
        <v> </v>
      </c>
      <c r="I4641" s="26" t="str">
        <f>IF(OR(E4641="",E4641="!!!",F4641="NEW"),"",INDEX(B4640:B$2,-1+SUMPRODUCT(MAX(ROW(E4640:E$2)*(E4641=E4640:E$2)))))</f>
        <v> </v>
      </c>
      <c r="J4641" s="26" t="str">
        <f>IF(OR(E4641="",E4641="!!!",F4641="NEW"),"",COUNTBLANK(OFFSET(A$1,,,SUMPRODUCT(MAX(ROW(E$2:E4641)*(E4641=E$2:E4641)))))-COUNTBLANK(OFFSET(A$1,,,SUMPRODUCT(MAX(ROW(E$1:E4640)*(E2=E$1:E4640))))))</f>
        <v> </v>
      </c>
      <c r="K4641" s="26" t="str">
        <f>IF(OR(E4641="",E4641="!!!",F4641="NEW"),"",INDEX(J$1:J4640,SUMPRODUCT(MAX(ROW(E$1:E4640)*(E4641=E$1:E4640)))))</f>
        <v> </v>
      </c>
      <c r="L4641" s="27"/>
    </row>
    <row r="4642" spans="1:12">
      <c r="A4642" s="20" t="s">
        <v>1114</v>
      </c>
      <c r="E4642" s="22">
        <f>IF(D4642="?OLD","!!!","")</f>
        <v/>
      </c>
      <c r="F4642" s="23" t="str">
        <f>IF(OR(E4642="",E4642="!!!"),"",IF(NOT(ISNA(VLOOKUP(E4642,E$1:E4641,1,FALSE()))),"OLD",IF(AND(E4642&lt;&gt;"",E4642&lt;&gt;"!!!"),"NEW","")))</f>
        <v> </v>
      </c>
      <c r="G4642" s="24" t="str">
        <f>IF(OR(E4642="",E4642="!!!"),"",IF(OR(J4642=0,AND(J4642=1,K4642=1),AND(J4642=1,I4642="SBJ"),AND(J4642=1,I4642=0)),"?IN_FOCUS",IF(J4642&lt;=2,"?ACTIVATED",IF(J4642&lt;&gt;"","?FAMILIAR",IF(F4642="NEW",IF(ISNA(VLOOKUP(E4642,#REF!,1,FALSE())),"?TYPE_IDENTIFIABLE","?REFERENTIAL"),"_")))))</f>
        <v> </v>
      </c>
      <c r="H4642" s="25" t="str">
        <f>IF(J4642&lt;&gt;1,"",IF(I4642="SBJ","CB","?"))</f>
        <v> </v>
      </c>
      <c r="I4642" s="26" t="str">
        <f>IF(OR(E4642="",E4642="!!!",F4642="NEW"),"",INDEX(B4641:B$2,-1+SUMPRODUCT(MAX(ROW(E4641:E$2)*(E4642=E4641:E$2)))))</f>
        <v> </v>
      </c>
      <c r="J4642" s="26" t="str">
        <f>IF(OR(E4642="",E4642="!!!",F4642="NEW"),"",COUNTBLANK(OFFSET(A$1,,,SUMPRODUCT(MAX(ROW(E$2:E4642)*(E4642=E$2:E4642)))))-COUNTBLANK(OFFSET(A$1,,,SUMPRODUCT(MAX(ROW(E$1:E4641)*(E2=E$1:E4641))))))</f>
        <v> </v>
      </c>
      <c r="K4642" s="26" t="str">
        <f>IF(OR(E4642="",E4642="!!!",F4642="NEW"),"",INDEX(J$1:J4641,SUMPRODUCT(MAX(ROW(E$1:E4641)*(E4642=E$1:E4641)))))</f>
        <v> </v>
      </c>
      <c r="L4642" s="27"/>
    </row>
    <row r="4643" spans="1:12">
      <c r="A4643" s="20" t="s">
        <v>2088</v>
      </c>
      <c r="E4643" s="22">
        <f>IF(D4643="?OLD","!!!","")</f>
        <v/>
      </c>
      <c r="F4643" s="23" t="str">
        <f>IF(OR(E4643="",E4643="!!!"),"",IF(NOT(ISNA(VLOOKUP(E4643,E$1:E4642,1,FALSE()))),"OLD",IF(AND(E4643&lt;&gt;"",E4643&lt;&gt;"!!!"),"NEW","")))</f>
        <v> </v>
      </c>
      <c r="G4643" s="24" t="str">
        <f>IF(OR(E4643="",E4643="!!!"),"",IF(OR(J4643=0,AND(J4643=1,K4643=1),AND(J4643=1,I4643="SBJ"),AND(J4643=1,I4643=0)),"?IN_FOCUS",IF(J4643&lt;=2,"?ACTIVATED",IF(J4643&lt;&gt;"","?FAMILIAR",IF(F4643="NEW",IF(ISNA(VLOOKUP(E4643,#REF!,1,FALSE())),"?TYPE_IDENTIFIABLE","?REFERENTIAL"),"_")))))</f>
        <v> </v>
      </c>
      <c r="H4643" s="25" t="str">
        <f>IF(J4643&lt;&gt;1,"",IF(I4643="SBJ","CB","?"))</f>
        <v> </v>
      </c>
      <c r="I4643" s="26" t="str">
        <f>IF(OR(E4643="",E4643="!!!",F4643="NEW"),"",INDEX(B4642:B$2,-1+SUMPRODUCT(MAX(ROW(E4642:E$2)*(E4643=E4642:E$2)))))</f>
        <v> </v>
      </c>
      <c r="J4643" s="26" t="str">
        <f>IF(OR(E4643="",E4643="!!!",F4643="NEW"),"",COUNTBLANK(OFFSET(A$1,,,SUMPRODUCT(MAX(ROW(E$2:E4643)*(E4643=E$2:E4643)))))-COUNTBLANK(OFFSET(A$1,,,SUMPRODUCT(MAX(ROW(E$1:E4642)*(E2=E$1:E4642))))))</f>
        <v> </v>
      </c>
      <c r="K4643" s="26" t="str">
        <f>IF(OR(E4643="",E4643="!!!",F4643="NEW"),"",INDEX(J$1:J4642,SUMPRODUCT(MAX(ROW(E$1:E4642)*(E4643=E$1:E4642)))))</f>
        <v> </v>
      </c>
      <c r="L4643" s="27"/>
    </row>
    <row r="4644" spans="1:12">
      <c r="A4644" s="20" t="s">
        <v>2311</v>
      </c>
      <c r="B4644" s="21" t="s">
        <v>1253</v>
      </c>
      <c r="C4644" s="21" t="s">
        <v>1006</v>
      </c>
      <c r="D4644" s="21" t="s">
        <v>1007</v>
      </c>
      <c r="E4644" s="22">
        <f>IF(D4644="?OLD","!!!","")</f>
        <v/>
      </c>
      <c r="F4644" s="23" t="str">
        <f>IF(OR(E4644="",E4644="!!!"),"",IF(NOT(ISNA(VLOOKUP(E4644,E$1:E4643,1,FALSE()))),"OLD",IF(AND(E4644&lt;&gt;"",E4644&lt;&gt;"!!!"),"NEW","")))</f>
        <v> </v>
      </c>
      <c r="G4644" s="24" t="str">
        <f>IF(OR(E4644="",E4644="!!!"),"",IF(OR(J4644=0,AND(J4644=1,K4644=1),AND(J4644=1,I4644="SBJ"),AND(J4644=1,I4644=0)),"?IN_FOCUS",IF(J4644&lt;=2,"?ACTIVATED",IF(J4644&lt;&gt;"","?FAMILIAR",IF(F4644="NEW",IF(ISNA(VLOOKUP(E4644,#REF!,1,FALSE())),"?TYPE_IDENTIFIABLE","?REFERENTIAL"),"_")))))</f>
        <v> </v>
      </c>
      <c r="H4644" s="25" t="str">
        <f>IF(J4644&lt;&gt;1,"",IF(I4644="SBJ","CB","?"))</f>
        <v> </v>
      </c>
      <c r="I4644" s="26" t="str">
        <f>IF(OR(E4644="",E4644="!!!",F4644="NEW"),"",INDEX(B4643:B$2,-1+SUMPRODUCT(MAX(ROW(E4643:E$2)*(E4644=E4643:E$2)))))</f>
        <v> </v>
      </c>
      <c r="J4644" s="26" t="str">
        <f>IF(OR(E4644="",E4644="!!!",F4644="NEW"),"",COUNTBLANK(OFFSET(A$1,,,SUMPRODUCT(MAX(ROW(E$2:E4644)*(E4644=E$2:E4644)))))-COUNTBLANK(OFFSET(A$1,,,SUMPRODUCT(MAX(ROW(E$1:E4643)*(E2=E$1:E4643))))))</f>
        <v> </v>
      </c>
      <c r="K4644" s="26" t="str">
        <f>IF(OR(E4644="",E4644="!!!",F4644="NEW"),"",INDEX(J$1:J4643,SUMPRODUCT(MAX(ROW(E$1:E4643)*(E4644=E$1:E4643)))))</f>
        <v> </v>
      </c>
      <c r="L4644" s="27"/>
    </row>
    <row r="4645" spans="1:12">
      <c r="A4645" s="20" t="s">
        <v>2310</v>
      </c>
      <c r="B4645" s="21" t="s">
        <v>1044</v>
      </c>
      <c r="C4645" s="21" t="s">
        <v>1006</v>
      </c>
      <c r="D4645" s="21" t="s">
        <v>1007</v>
      </c>
      <c r="E4645" s="22">
        <f>IF(D4645="?OLD","!!!","")</f>
        <v/>
      </c>
      <c r="F4645" s="23" t="str">
        <f>IF(OR(E4645="",E4645="!!!"),"",IF(NOT(ISNA(VLOOKUP(E4645,E$1:E4644,1,FALSE()))),"OLD",IF(AND(E4645&lt;&gt;"",E4645&lt;&gt;"!!!"),"NEW","")))</f>
        <v> </v>
      </c>
      <c r="G4645" s="24" t="str">
        <f>IF(OR(E4645="",E4645="!!!"),"",IF(OR(J4645=0,AND(J4645=1,K4645=1),AND(J4645=1,I4645="SBJ"),AND(J4645=1,I4645=0)),"?IN_FOCUS",IF(J4645&lt;=2,"?ACTIVATED",IF(J4645&lt;&gt;"","?FAMILIAR",IF(F4645="NEW",IF(ISNA(VLOOKUP(E4645,#REF!,1,FALSE())),"?TYPE_IDENTIFIABLE","?REFERENTIAL"),"_")))))</f>
        <v> </v>
      </c>
      <c r="H4645" s="25" t="str">
        <f>IF(J4645&lt;&gt;1,"",IF(I4645="SBJ","CB","?"))</f>
        <v> </v>
      </c>
      <c r="I4645" s="26" t="str">
        <f>IF(OR(E4645="",E4645="!!!",F4645="NEW"),"",INDEX(B4644:B$2,-1+SUMPRODUCT(MAX(ROW(E4644:E$2)*(E4645=E4644:E$2)))))</f>
        <v> </v>
      </c>
      <c r="J4645" s="26" t="str">
        <f>IF(OR(E4645="",E4645="!!!",F4645="NEW"),"",COUNTBLANK(OFFSET(A$1,,,SUMPRODUCT(MAX(ROW(E$2:E4645)*(E4645=E$2:E4645)))))-COUNTBLANK(OFFSET(A$1,,,SUMPRODUCT(MAX(ROW(E$1:E4644)*(E2=E$1:E4644))))))</f>
        <v> </v>
      </c>
      <c r="K4645" s="26" t="str">
        <f>IF(OR(E4645="",E4645="!!!",F4645="NEW"),"",INDEX(J$1:J4644,SUMPRODUCT(MAX(ROW(E$1:E4644)*(E4645=E$1:E4644)))))</f>
        <v> </v>
      </c>
      <c r="L4645" s="27"/>
    </row>
    <row r="4646" spans="1:12">
      <c r="A4646" s="20" t="s">
        <v>1018</v>
      </c>
      <c r="E4646" s="22">
        <f>IF(D4646="?OLD","!!!","")</f>
        <v/>
      </c>
      <c r="F4646" s="23" t="str">
        <f>IF(OR(E4646="",E4646="!!!"),"",IF(NOT(ISNA(VLOOKUP(E4646,E$1:E4645,1,FALSE()))),"OLD",IF(AND(E4646&lt;&gt;"",E4646&lt;&gt;"!!!"),"NEW","")))</f>
        <v> </v>
      </c>
      <c r="G4646" s="24" t="str">
        <f>IF(OR(E4646="",E4646="!!!"),"",IF(OR(J4646=0,AND(J4646=1,K4646=1),AND(J4646=1,I4646="SBJ"),AND(J4646=1,I4646=0)),"?IN_FOCUS",IF(J4646&lt;=2,"?ACTIVATED",IF(J4646&lt;&gt;"","?FAMILIAR",IF(F4646="NEW",IF(ISNA(VLOOKUP(E4646,#REF!,1,FALSE())),"?TYPE_IDENTIFIABLE","?REFERENTIAL"),"_")))))</f>
        <v> </v>
      </c>
      <c r="H4646" s="25" t="str">
        <f>IF(J4646&lt;&gt;1,"",IF(I4646="SBJ","CB","?"))</f>
        <v> </v>
      </c>
      <c r="I4646" s="26" t="str">
        <f>IF(OR(E4646="",E4646="!!!",F4646="NEW"),"",INDEX(B4645:B$2,-1+SUMPRODUCT(MAX(ROW(E4645:E$2)*(E4646=E4645:E$2)))))</f>
        <v> </v>
      </c>
      <c r="J4646" s="26" t="str">
        <f>IF(OR(E4646="",E4646="!!!",F4646="NEW"),"",COUNTBLANK(OFFSET(A$1,,,SUMPRODUCT(MAX(ROW(E$2:E4646)*(E4646=E$2:E4646)))))-COUNTBLANK(OFFSET(A$1,,,SUMPRODUCT(MAX(ROW(E$1:E4645)*(E2=E$1:E4645))))))</f>
        <v> </v>
      </c>
      <c r="K4646" s="26" t="str">
        <f>IF(OR(E4646="",E4646="!!!",F4646="NEW"),"",INDEX(J$1:J4645,SUMPRODUCT(MAX(ROW(E$1:E4645)*(E4646=E$1:E4645)))))</f>
        <v> </v>
      </c>
      <c r="L4646" s="27"/>
    </row>
    <row r="4647" spans="1:12">
      <c r="A4647" s="20" t="s">
        <v>56</v>
      </c>
      <c r="E4647" s="22">
        <f>IF(D4647="?OLD","!!!","")</f>
        <v/>
      </c>
      <c r="F4647" s="23" t="str">
        <f>IF(OR(E4647="",E4647="!!!"),"",IF(NOT(ISNA(VLOOKUP(E4647,E$1:E4646,1,FALSE()))),"OLD",IF(AND(E4647&lt;&gt;"",E4647&lt;&gt;"!!!"),"NEW","")))</f>
        <v> </v>
      </c>
      <c r="G4647" s="24" t="str">
        <f>IF(OR(E4647="",E4647="!!!"),"",IF(OR(J4647=0,AND(J4647=1,K4647=1),AND(J4647=1,I4647="SBJ"),AND(J4647=1,I4647=0)),"?IN_FOCUS",IF(J4647&lt;=2,"?ACTIVATED",IF(J4647&lt;&gt;"","?FAMILIAR",IF(F4647="NEW",IF(ISNA(VLOOKUP(E4647,#REF!,1,FALSE())),"?TYPE_IDENTIFIABLE","?REFERENTIAL"),"_")))))</f>
        <v> </v>
      </c>
      <c r="H4647" s="25" t="str">
        <f>IF(J4647&lt;&gt;1,"",IF(I4647="SBJ","CB","?"))</f>
        <v> </v>
      </c>
      <c r="I4647" s="26" t="str">
        <f>IF(OR(E4647="",E4647="!!!",F4647="NEW"),"",INDEX(B4646:B$2,-1+SUMPRODUCT(MAX(ROW(E4646:E$2)*(E4647=E4646:E$2)))))</f>
        <v> </v>
      </c>
      <c r="J4647" s="26" t="str">
        <f>IF(OR(E4647="",E4647="!!!",F4647="NEW"),"",COUNTBLANK(OFFSET(A$1,,,SUMPRODUCT(MAX(ROW(E$2:E4647)*(E4647=E$2:E4647)))))-COUNTBLANK(OFFSET(A$1,,,SUMPRODUCT(MAX(ROW(E$1:E4646)*(E2=E$1:E4646))))))</f>
        <v> </v>
      </c>
      <c r="K4647" s="26" t="str">
        <f>IF(OR(E4647="",E4647="!!!",F4647="NEW"),"",INDEX(J$1:J4646,SUMPRODUCT(MAX(ROW(E$1:E4646)*(E4647=E$1:E4646)))))</f>
        <v> </v>
      </c>
      <c r="L4647" s="27"/>
    </row>
    <row r="4648" spans="1:12">
      <c r="A4648" s="20" t="s">
        <v>1203</v>
      </c>
      <c r="E4648" s="22">
        <f>IF(D4648="?OLD","!!!","")</f>
        <v/>
      </c>
      <c r="F4648" s="23" t="str">
        <f>IF(OR(E4648="",E4648="!!!"),"",IF(NOT(ISNA(VLOOKUP(E4648,E$1:E4647,1,FALSE()))),"OLD",IF(AND(E4648&lt;&gt;"",E4648&lt;&gt;"!!!"),"NEW","")))</f>
        <v> </v>
      </c>
      <c r="G4648" s="24" t="str">
        <f>IF(OR(E4648="",E4648="!!!"),"",IF(OR(J4648=0,AND(J4648=1,K4648=1),AND(J4648=1,I4648="SBJ"),AND(J4648=1,I4648=0)),"?IN_FOCUS",IF(J4648&lt;=2,"?ACTIVATED",IF(J4648&lt;&gt;"","?FAMILIAR",IF(F4648="NEW",IF(ISNA(VLOOKUP(E4648,#REF!,1,FALSE())),"?TYPE_IDENTIFIABLE","?REFERENTIAL"),"_")))))</f>
        <v> </v>
      </c>
      <c r="H4648" s="25" t="str">
        <f>IF(J4648&lt;&gt;1,"",IF(I4648="SBJ","CB","?"))</f>
        <v> </v>
      </c>
      <c r="I4648" s="26" t="str">
        <f>IF(OR(E4648="",E4648="!!!",F4648="NEW"),"",INDEX(B4647:B$2,-1+SUMPRODUCT(MAX(ROW(E4647:E$2)*(E4648=E4647:E$2)))))</f>
        <v> </v>
      </c>
      <c r="J4648" s="26" t="str">
        <f>IF(OR(E4648="",E4648="!!!",F4648="NEW"),"",COUNTBLANK(OFFSET(A$1,,,SUMPRODUCT(MAX(ROW(E$2:E4648)*(E4648=E$2:E4648)))))-COUNTBLANK(OFFSET(A$1,,,SUMPRODUCT(MAX(ROW(E$1:E4647)*(E2=E$1:E4647))))))</f>
        <v> </v>
      </c>
      <c r="K4648" s="26" t="str">
        <f>IF(OR(E4648="",E4648="!!!",F4648="NEW"),"",INDEX(J$1:J4647,SUMPRODUCT(MAX(ROW(E$1:E4647)*(E4648=E$1:E4647)))))</f>
        <v> </v>
      </c>
      <c r="L4648" s="27"/>
    </row>
    <row r="4649" spans="1:12">
      <c r="A4649" s="20" t="s">
        <v>1056</v>
      </c>
      <c r="E4649" s="22">
        <f>IF(D4649="?OLD","!!!","")</f>
        <v/>
      </c>
      <c r="F4649" s="23" t="str">
        <f>IF(OR(E4649="",E4649="!!!"),"",IF(NOT(ISNA(VLOOKUP(E4649,E$1:E4648,1,FALSE()))),"OLD",IF(AND(E4649&lt;&gt;"",E4649&lt;&gt;"!!!"),"NEW","")))</f>
        <v> </v>
      </c>
      <c r="G4649" s="24" t="str">
        <f>IF(OR(E4649="",E4649="!!!"),"",IF(OR(J4649=0,AND(J4649=1,K4649=1),AND(J4649=1,I4649="SBJ"),AND(J4649=1,I4649=0)),"?IN_FOCUS",IF(J4649&lt;=2,"?ACTIVATED",IF(J4649&lt;&gt;"","?FAMILIAR",IF(F4649="NEW",IF(ISNA(VLOOKUP(E4649,#REF!,1,FALSE())),"?TYPE_IDENTIFIABLE","?REFERENTIAL"),"_")))))</f>
        <v> </v>
      </c>
      <c r="H4649" s="25" t="str">
        <f>IF(J4649&lt;&gt;1,"",IF(I4649="SBJ","CB","?"))</f>
        <v> </v>
      </c>
      <c r="I4649" s="26" t="str">
        <f>IF(OR(E4649="",E4649="!!!",F4649="NEW"),"",INDEX(B4648:B$2,-1+SUMPRODUCT(MAX(ROW(E4648:E$2)*(E4649=E4648:E$2)))))</f>
        <v> </v>
      </c>
      <c r="J4649" s="26" t="str">
        <f>IF(OR(E4649="",E4649="!!!",F4649="NEW"),"",COUNTBLANK(OFFSET(A$1,,,SUMPRODUCT(MAX(ROW(E$2:E4649)*(E4649=E$2:E4649)))))-COUNTBLANK(OFFSET(A$1,,,SUMPRODUCT(MAX(ROW(E$1:E4648)*(E2=E$1:E4648))))))</f>
        <v> </v>
      </c>
      <c r="K4649" s="26" t="str">
        <f>IF(OR(E4649="",E4649="!!!",F4649="NEW"),"",INDEX(J$1:J4648,SUMPRODUCT(MAX(ROW(E$1:E4648)*(E4649=E$1:E4648)))))</f>
        <v> </v>
      </c>
      <c r="L4649" s="27"/>
    </row>
    <row r="4650" spans="1:12">
      <c r="A4650" s="20" t="s">
        <v>2312</v>
      </c>
      <c r="B4650" s="21" t="s">
        <v>1487</v>
      </c>
      <c r="C4650" s="21" t="s">
        <v>1013</v>
      </c>
      <c r="D4650" s="21" t="s">
        <v>1007</v>
      </c>
      <c r="E4650" s="22">
        <f>IF(D4650="?OLD","!!!","")</f>
        <v/>
      </c>
      <c r="F4650" s="23" t="str">
        <f>IF(OR(E4650="",E4650="!!!"),"",IF(NOT(ISNA(VLOOKUP(E4650,E$1:E4649,1,FALSE()))),"OLD",IF(AND(E4650&lt;&gt;"",E4650&lt;&gt;"!!!"),"NEW","")))</f>
        <v> </v>
      </c>
      <c r="G4650" s="24" t="str">
        <f>IF(OR(E4650="",E4650="!!!"),"",IF(OR(J4650=0,AND(J4650=1,K4650=1),AND(J4650=1,I4650="SBJ"),AND(J4650=1,I4650=0)),"?IN_FOCUS",IF(J4650&lt;=2,"?ACTIVATED",IF(J4650&lt;&gt;"","?FAMILIAR",IF(F4650="NEW",IF(ISNA(VLOOKUP(E4650,#REF!,1,FALSE())),"?TYPE_IDENTIFIABLE","?REFERENTIAL"),"_")))))</f>
        <v> </v>
      </c>
      <c r="H4650" s="25" t="str">
        <f>IF(J4650&lt;&gt;1,"",IF(I4650="SBJ","CB","?"))</f>
        <v> </v>
      </c>
      <c r="I4650" s="26" t="str">
        <f>IF(OR(E4650="",E4650="!!!",F4650="NEW"),"",INDEX(B4649:B$2,-1+SUMPRODUCT(MAX(ROW(E4649:E$2)*(E4650=E4649:E$2)))))</f>
        <v> </v>
      </c>
      <c r="J4650" s="26" t="str">
        <f>IF(OR(E4650="",E4650="!!!",F4650="NEW"),"",COUNTBLANK(OFFSET(A$1,,,SUMPRODUCT(MAX(ROW(E$2:E4650)*(E4650=E$2:E4650)))))-COUNTBLANK(OFFSET(A$1,,,SUMPRODUCT(MAX(ROW(E$1:E4649)*(E2=E$1:E4649))))))</f>
        <v> </v>
      </c>
      <c r="K4650" s="26" t="str">
        <f>IF(OR(E4650="",E4650="!!!",F4650="NEW"),"",INDEX(J$1:J4649,SUMPRODUCT(MAX(ROW(E$1:E4649)*(E4650=E$1:E4649)))))</f>
        <v> </v>
      </c>
      <c r="L4650" s="27"/>
    </row>
    <row r="4651" spans="1:12">
      <c r="A4651" s="20" t="s">
        <v>1030</v>
      </c>
      <c r="E4651" s="22">
        <f>IF(D4651="?OLD","!!!","")</f>
        <v/>
      </c>
      <c r="F4651" s="23" t="str">
        <f>IF(OR(E4651="",E4651="!!!"),"",IF(NOT(ISNA(VLOOKUP(E4651,E$1:E4650,1,FALSE()))),"OLD",IF(AND(E4651&lt;&gt;"",E4651&lt;&gt;"!!!"),"NEW","")))</f>
        <v> </v>
      </c>
      <c r="G4651" s="24" t="str">
        <f>IF(OR(E4651="",E4651="!!!"),"",IF(OR(J4651=0,AND(J4651=1,K4651=1),AND(J4651=1,I4651="SBJ"),AND(J4651=1,I4651=0)),"?IN_FOCUS",IF(J4651&lt;=2,"?ACTIVATED",IF(J4651&lt;&gt;"","?FAMILIAR",IF(F4651="NEW",IF(ISNA(VLOOKUP(E4651,#REF!,1,FALSE())),"?TYPE_IDENTIFIABLE","?REFERENTIAL"),"_")))))</f>
        <v> </v>
      </c>
      <c r="H4651" s="25" t="str">
        <f>IF(J4651&lt;&gt;1,"",IF(I4651="SBJ","CB","?"))</f>
        <v> </v>
      </c>
      <c r="I4651" s="26" t="str">
        <f>IF(OR(E4651="",E4651="!!!",F4651="NEW"),"",INDEX(B4650:B$2,-1+SUMPRODUCT(MAX(ROW(E4650:E$2)*(E4651=E4650:E$2)))))</f>
        <v> </v>
      </c>
      <c r="J4651" s="26" t="str">
        <f>IF(OR(E4651="",E4651="!!!",F4651="NEW"),"",COUNTBLANK(OFFSET(A$1,,,SUMPRODUCT(MAX(ROW(E$2:E4651)*(E4651=E$2:E4651)))))-COUNTBLANK(OFFSET(A$1,,,SUMPRODUCT(MAX(ROW(E$1:E4650)*(E2=E$1:E4650))))))</f>
        <v> </v>
      </c>
      <c r="K4651" s="26" t="str">
        <f>IF(OR(E4651="",E4651="!!!",F4651="NEW"),"",INDEX(J$1:J4650,SUMPRODUCT(MAX(ROW(E$1:E4650)*(E4651=E$1:E4650)))))</f>
        <v> </v>
      </c>
      <c r="L4651" s="27"/>
    </row>
    <row r="4652" spans="1:12">
      <c r="A4652" s="20" t="s">
        <v>102</v>
      </c>
      <c r="E4652" s="22">
        <f>IF(D4652="?OLD","!!!","")</f>
        <v/>
      </c>
      <c r="F4652" s="23" t="str">
        <f>IF(OR(E4652="",E4652="!!!"),"",IF(NOT(ISNA(VLOOKUP(E4652,E$1:E4651,1,FALSE()))),"OLD",IF(AND(E4652&lt;&gt;"",E4652&lt;&gt;"!!!"),"NEW","")))</f>
        <v> </v>
      </c>
      <c r="G4652" s="24" t="str">
        <f>IF(OR(E4652="",E4652="!!!"),"",IF(OR(J4652=0,AND(J4652=1,K4652=1),AND(J4652=1,I4652="SBJ"),AND(J4652=1,I4652=0)),"?IN_FOCUS",IF(J4652&lt;=2,"?ACTIVATED",IF(J4652&lt;&gt;"","?FAMILIAR",IF(F4652="NEW",IF(ISNA(VLOOKUP(E4652,#REF!,1,FALSE())),"?TYPE_IDENTIFIABLE","?REFERENTIAL"),"_")))))</f>
        <v> </v>
      </c>
      <c r="H4652" s="25" t="str">
        <f>IF(J4652&lt;&gt;1,"",IF(I4652="SBJ","CB","?"))</f>
        <v> </v>
      </c>
      <c r="I4652" s="26" t="str">
        <f>IF(OR(E4652="",E4652="!!!",F4652="NEW"),"",INDEX(B4651:B$2,-1+SUMPRODUCT(MAX(ROW(E4651:E$2)*(E4652=E4651:E$2)))))</f>
        <v> </v>
      </c>
      <c r="J4652" s="26" t="str">
        <f>IF(OR(E4652="",E4652="!!!",F4652="NEW"),"",COUNTBLANK(OFFSET(A$1,,,SUMPRODUCT(MAX(ROW(E$2:E4652)*(E4652=E$2:E4652)))))-COUNTBLANK(OFFSET(A$1,,,SUMPRODUCT(MAX(ROW(E$1:E4651)*(E2=E$1:E4651))))))</f>
        <v> </v>
      </c>
      <c r="K4652" s="26" t="str">
        <f>IF(OR(E4652="",E4652="!!!",F4652="NEW"),"",INDEX(J$1:J4651,SUMPRODUCT(MAX(ROW(E$1:E4651)*(E4652=E$1:E4651)))))</f>
        <v> </v>
      </c>
      <c r="L4652" s="27"/>
    </row>
    <row r="4653" spans="1:12">
      <c r="A4653" s="20" t="s">
        <v>2313</v>
      </c>
      <c r="B4653" s="21" t="s">
        <v>1215</v>
      </c>
      <c r="C4653" s="21" t="s">
        <v>1006</v>
      </c>
      <c r="D4653" s="21" t="s">
        <v>1007</v>
      </c>
      <c r="E4653" s="22">
        <f>IF(D4653="?OLD","!!!","")</f>
        <v/>
      </c>
      <c r="F4653" s="23" t="str">
        <f>IF(OR(E4653="",E4653="!!!"),"",IF(NOT(ISNA(VLOOKUP(E4653,E$1:E4652,1,FALSE()))),"OLD",IF(AND(E4653&lt;&gt;"",E4653&lt;&gt;"!!!"),"NEW","")))</f>
        <v> </v>
      </c>
      <c r="G4653" s="24" t="str">
        <f>IF(OR(E4653="",E4653="!!!"),"",IF(OR(J4653=0,AND(J4653=1,K4653=1),AND(J4653=1,I4653="SBJ"),AND(J4653=1,I4653=0)),"?IN_FOCUS",IF(J4653&lt;=2,"?ACTIVATED",IF(J4653&lt;&gt;"","?FAMILIAR",IF(F4653="NEW",IF(ISNA(VLOOKUP(E4653,#REF!,1,FALSE())),"?TYPE_IDENTIFIABLE","?REFERENTIAL"),"_")))))</f>
        <v> </v>
      </c>
      <c r="H4653" s="25" t="str">
        <f>IF(J4653&lt;&gt;1,"",IF(I4653="SBJ","CB","?"))</f>
        <v> </v>
      </c>
      <c r="I4653" s="26" t="str">
        <f>IF(OR(E4653="",E4653="!!!",F4653="NEW"),"",INDEX(B4652:B$2,-1+SUMPRODUCT(MAX(ROW(E4652:E$2)*(E4653=E4652:E$2)))))</f>
        <v> </v>
      </c>
      <c r="J4653" s="26" t="str">
        <f>IF(OR(E4653="",E4653="!!!",F4653="NEW"),"",COUNTBLANK(OFFSET(A$1,,,SUMPRODUCT(MAX(ROW(E$2:E4653)*(E4653=E$2:E4653)))))-COUNTBLANK(OFFSET(A$1,,,SUMPRODUCT(MAX(ROW(E$1:E4652)*(E2=E$1:E4652))))))</f>
        <v> </v>
      </c>
      <c r="K4653" s="26" t="str">
        <f>IF(OR(E4653="",E4653="!!!",F4653="NEW"),"",INDEX(J$1:J4652,SUMPRODUCT(MAX(ROW(E$1:E4652)*(E4653=E$1:E4652)))))</f>
        <v> </v>
      </c>
      <c r="L4653" s="27"/>
    </row>
    <row r="4654" spans="1:12">
      <c r="A4654" s="20" t="s">
        <v>1065</v>
      </c>
      <c r="B4654" s="21" t="s">
        <v>2314</v>
      </c>
      <c r="E4654" s="22">
        <f>IF(D4654="?OLD","!!!","")</f>
        <v/>
      </c>
      <c r="F4654" s="23" t="str">
        <f>IF(OR(E4654="",E4654="!!!"),"",IF(NOT(ISNA(VLOOKUP(E4654,E$1:E4653,1,FALSE()))),"OLD",IF(AND(E4654&lt;&gt;"",E4654&lt;&gt;"!!!"),"NEW","")))</f>
        <v> </v>
      </c>
      <c r="G4654" s="24" t="str">
        <f>IF(OR(E4654="",E4654="!!!"),"",IF(OR(J4654=0,AND(J4654=1,K4654=1),AND(J4654=1,I4654="SBJ"),AND(J4654=1,I4654=0)),"?IN_FOCUS",IF(J4654&lt;=2,"?ACTIVATED",IF(J4654&lt;&gt;"","?FAMILIAR",IF(F4654="NEW",IF(ISNA(VLOOKUP(E4654,#REF!,1,FALSE())),"?TYPE_IDENTIFIABLE","?REFERENTIAL"),"_")))))</f>
        <v> </v>
      </c>
      <c r="H4654" s="25" t="str">
        <f>IF(J4654&lt;&gt;1,"",IF(I4654="SBJ","CB","?"))</f>
        <v> </v>
      </c>
      <c r="I4654" s="26" t="str">
        <f>IF(OR(E4654="",E4654="!!!",F4654="NEW"),"",INDEX(B4653:B$2,-1+SUMPRODUCT(MAX(ROW(E4653:E$2)*(E4654=E4653:E$2)))))</f>
        <v> </v>
      </c>
      <c r="J4654" s="26" t="str">
        <f>IF(OR(E4654="",E4654="!!!",F4654="NEW"),"",COUNTBLANK(OFFSET(A$1,,,SUMPRODUCT(MAX(ROW(E$2:E4654)*(E4654=E$2:E4654)))))-COUNTBLANK(OFFSET(A$1,,,SUMPRODUCT(MAX(ROW(E$1:E4653)*(E2=E$1:E4653))))))</f>
        <v> </v>
      </c>
      <c r="K4654" s="26" t="str">
        <f>IF(OR(E4654="",E4654="!!!",F4654="NEW"),"",INDEX(J$1:J4653,SUMPRODUCT(MAX(ROW(E$1:E4653)*(E4654=E$1:E4653)))))</f>
        <v> </v>
      </c>
      <c r="L4654" s="27"/>
    </row>
    <row r="4655" spans="1:12">
      <c r="A4655" s="20" t="s">
        <v>1752</v>
      </c>
      <c r="E4655" s="22">
        <f>IF(D4655="?OLD","!!!","")</f>
        <v/>
      </c>
      <c r="F4655" s="23" t="str">
        <f>IF(OR(E4655="",E4655="!!!"),"",IF(NOT(ISNA(VLOOKUP(E4655,E$1:E4654,1,FALSE()))),"OLD",IF(AND(E4655&lt;&gt;"",E4655&lt;&gt;"!!!"),"NEW","")))</f>
        <v> </v>
      </c>
      <c r="G4655" s="24" t="str">
        <f>IF(OR(E4655="",E4655="!!!"),"",IF(OR(J4655=0,AND(J4655=1,K4655=1),AND(J4655=1,I4655="SBJ"),AND(J4655=1,I4655=0)),"?IN_FOCUS",IF(J4655&lt;=2,"?ACTIVATED",IF(J4655&lt;&gt;"","?FAMILIAR",IF(F4655="NEW",IF(ISNA(VLOOKUP(E4655,#REF!,1,FALSE())),"?TYPE_IDENTIFIABLE","?REFERENTIAL"),"_")))))</f>
        <v> </v>
      </c>
      <c r="H4655" s="25" t="str">
        <f>IF(J4655&lt;&gt;1,"",IF(I4655="SBJ","CB","?"))</f>
        <v> </v>
      </c>
      <c r="I4655" s="26" t="str">
        <f>IF(OR(E4655="",E4655="!!!",F4655="NEW"),"",INDEX(B4654:B$2,-1+SUMPRODUCT(MAX(ROW(E4654:E$2)*(E4655=E4654:E$2)))))</f>
        <v> </v>
      </c>
      <c r="J4655" s="26" t="str">
        <f>IF(OR(E4655="",E4655="!!!",F4655="NEW"),"",COUNTBLANK(OFFSET(A$1,,,SUMPRODUCT(MAX(ROW(E$2:E4655)*(E4655=E$2:E4655)))))-COUNTBLANK(OFFSET(A$1,,,SUMPRODUCT(MAX(ROW(E$1:E4654)*(E2=E$1:E4654))))))</f>
        <v> </v>
      </c>
      <c r="K4655" s="26" t="str">
        <f>IF(OR(E4655="",E4655="!!!",F4655="NEW"),"",INDEX(J$1:J4654,SUMPRODUCT(MAX(ROW(E$1:E4654)*(E4655=E$1:E4654)))))</f>
        <v> </v>
      </c>
      <c r="L4655" s="27"/>
    </row>
    <row r="4656" spans="1:12">
      <c r="A4656" s="20" t="s">
        <v>1065</v>
      </c>
      <c r="E4656" s="22">
        <f>IF(D4656="?OLD","!!!","")</f>
        <v/>
      </c>
      <c r="F4656" s="23" t="str">
        <f>IF(OR(E4656="",E4656="!!!"),"",IF(NOT(ISNA(VLOOKUP(E4656,E$1:E4655,1,FALSE()))),"OLD",IF(AND(E4656&lt;&gt;"",E4656&lt;&gt;"!!!"),"NEW","")))</f>
        <v> </v>
      </c>
      <c r="G4656" s="24" t="str">
        <f>IF(OR(E4656="",E4656="!!!"),"",IF(OR(J4656=0,AND(J4656=1,K4656=1),AND(J4656=1,I4656="SBJ"),AND(J4656=1,I4656=0)),"?IN_FOCUS",IF(J4656&lt;=2,"?ACTIVATED",IF(J4656&lt;&gt;"","?FAMILIAR",IF(F4656="NEW",IF(ISNA(VLOOKUP(E4656,#REF!,1,FALSE())),"?TYPE_IDENTIFIABLE","?REFERENTIAL"),"_")))))</f>
        <v> </v>
      </c>
      <c r="H4656" s="25" t="str">
        <f>IF(J4656&lt;&gt;1,"",IF(I4656="SBJ","CB","?"))</f>
        <v> </v>
      </c>
      <c r="I4656" s="26" t="str">
        <f>IF(OR(E4656="",E4656="!!!",F4656="NEW"),"",INDEX(B4655:B$2,-1+SUMPRODUCT(MAX(ROW(E4655:E$2)*(E4656=E4655:E$2)))))</f>
        <v> </v>
      </c>
      <c r="J4656" s="26" t="str">
        <f>IF(OR(E4656="",E4656="!!!",F4656="NEW"),"",COUNTBLANK(OFFSET(A$1,,,SUMPRODUCT(MAX(ROW(E$2:E4656)*(E4656=E$2:E4656)))))-COUNTBLANK(OFFSET(A$1,,,SUMPRODUCT(MAX(ROW(E$1:E4655)*(E2=E$1:E4655))))))</f>
        <v> </v>
      </c>
      <c r="K4656" s="26" t="str">
        <f>IF(OR(E4656="",E4656="!!!",F4656="NEW"),"",INDEX(J$1:J4655,SUMPRODUCT(MAX(ROW(E$1:E4655)*(E4656=E$1:E4655)))))</f>
        <v> </v>
      </c>
      <c r="L4656" s="27"/>
    </row>
    <row r="4657" spans="1:12">
      <c r="A4657" s="20" t="s">
        <v>1203</v>
      </c>
      <c r="E4657" s="22">
        <f>IF(D4657="?OLD","!!!","")</f>
        <v/>
      </c>
      <c r="F4657" s="23" t="str">
        <f>IF(OR(E4657="",E4657="!!!"),"",IF(NOT(ISNA(VLOOKUP(E4657,E$1:E4656,1,FALSE()))),"OLD",IF(AND(E4657&lt;&gt;"",E4657&lt;&gt;"!!!"),"NEW","")))</f>
        <v> </v>
      </c>
      <c r="G4657" s="24" t="str">
        <f>IF(OR(E4657="",E4657="!!!"),"",IF(OR(J4657=0,AND(J4657=1,K4657=1),AND(J4657=1,I4657="SBJ"),AND(J4657=1,I4657=0)),"?IN_FOCUS",IF(J4657&lt;=2,"?ACTIVATED",IF(J4657&lt;&gt;"","?FAMILIAR",IF(F4657="NEW",IF(ISNA(VLOOKUP(E4657,#REF!,1,FALSE())),"?TYPE_IDENTIFIABLE","?REFERENTIAL"),"_")))))</f>
        <v> </v>
      </c>
      <c r="H4657" s="25" t="str">
        <f>IF(J4657&lt;&gt;1,"",IF(I4657="SBJ","CB","?"))</f>
        <v> </v>
      </c>
      <c r="I4657" s="26" t="str">
        <f>IF(OR(E4657="",E4657="!!!",F4657="NEW"),"",INDEX(B4656:B$2,-1+SUMPRODUCT(MAX(ROW(E4656:E$2)*(E4657=E4656:E$2)))))</f>
        <v> </v>
      </c>
      <c r="J4657" s="26" t="str">
        <f>IF(OR(E4657="",E4657="!!!",F4657="NEW"),"",COUNTBLANK(OFFSET(A$1,,,SUMPRODUCT(MAX(ROW(E$2:E4657)*(E4657=E$2:E4657)))))-COUNTBLANK(OFFSET(A$1,,,SUMPRODUCT(MAX(ROW(E$1:E4656)*(E2=E$1:E4656))))))</f>
        <v> </v>
      </c>
      <c r="K4657" s="26" t="str">
        <f>IF(OR(E4657="",E4657="!!!",F4657="NEW"),"",INDEX(J$1:J4656,SUMPRODUCT(MAX(ROW(E$1:E4656)*(E4657=E$1:E4656)))))</f>
        <v> </v>
      </c>
      <c r="L4657" s="27"/>
    </row>
    <row r="4658" spans="1:12">
      <c r="A4658" s="20" t="s">
        <v>1172</v>
      </c>
      <c r="B4658" s="21" t="s">
        <v>1789</v>
      </c>
      <c r="C4658" s="21" t="s">
        <v>1013</v>
      </c>
      <c r="D4658" s="21" t="s">
        <v>1007</v>
      </c>
      <c r="E4658" s="22">
        <f>IF(D4658="?OLD","!!!","")</f>
        <v/>
      </c>
      <c r="F4658" s="23" t="str">
        <f>IF(OR(E4658="",E4658="!!!"),"",IF(NOT(ISNA(VLOOKUP(E4658,E$1:E4657,1,FALSE()))),"OLD",IF(AND(E4658&lt;&gt;"",E4658&lt;&gt;"!!!"),"NEW","")))</f>
        <v> </v>
      </c>
      <c r="G4658" s="24" t="str">
        <f>IF(OR(E4658="",E4658="!!!"),"",IF(OR(J4658=0,AND(J4658=1,K4658=1),AND(J4658=1,I4658="SBJ"),AND(J4658=1,I4658=0)),"?IN_FOCUS",IF(J4658&lt;=2,"?ACTIVATED",IF(J4658&lt;&gt;"","?FAMILIAR",IF(F4658="NEW",IF(ISNA(VLOOKUP(E4658,#REF!,1,FALSE())),"?TYPE_IDENTIFIABLE","?REFERENTIAL"),"_")))))</f>
        <v> </v>
      </c>
      <c r="H4658" s="25" t="str">
        <f>IF(J4658&lt;&gt;1,"",IF(I4658="SBJ","CB","?"))</f>
        <v> </v>
      </c>
      <c r="I4658" s="26" t="str">
        <f>IF(OR(E4658="",E4658="!!!",F4658="NEW"),"",INDEX(B4657:B$2,-1+SUMPRODUCT(MAX(ROW(E4657:E$2)*(E4658=E4657:E$2)))))</f>
        <v> </v>
      </c>
      <c r="J4658" s="26" t="str">
        <f>IF(OR(E4658="",E4658="!!!",F4658="NEW"),"",COUNTBLANK(OFFSET(A$1,,,SUMPRODUCT(MAX(ROW(E$2:E4658)*(E4658=E$2:E4658)))))-COUNTBLANK(OFFSET(A$1,,,SUMPRODUCT(MAX(ROW(E$1:E4657)*(E2=E$1:E4657))))))</f>
        <v> </v>
      </c>
      <c r="K4658" s="26" t="str">
        <f>IF(OR(E4658="",E4658="!!!",F4658="NEW"),"",INDEX(J$1:J4657,SUMPRODUCT(MAX(ROW(E$1:E4657)*(E4658=E$1:E4657)))))</f>
        <v> </v>
      </c>
      <c r="L4658" s="27"/>
    </row>
    <row r="4659" spans="1:12">
      <c r="A4659" s="20" t="s">
        <v>1030</v>
      </c>
      <c r="E4659" s="22">
        <f>IF(D4659="?OLD","!!!","")</f>
        <v/>
      </c>
      <c r="F4659" s="23" t="str">
        <f>IF(OR(E4659="",E4659="!!!"),"",IF(NOT(ISNA(VLOOKUP(E4659,E$1:E4658,1,FALSE()))),"OLD",IF(AND(E4659&lt;&gt;"",E4659&lt;&gt;"!!!"),"NEW","")))</f>
        <v> </v>
      </c>
      <c r="G4659" s="24" t="str">
        <f>IF(OR(E4659="",E4659="!!!"),"",IF(OR(J4659=0,AND(J4659=1,K4659=1),AND(J4659=1,I4659="SBJ"),AND(J4659=1,I4659=0)),"?IN_FOCUS",IF(J4659&lt;=2,"?ACTIVATED",IF(J4659&lt;&gt;"","?FAMILIAR",IF(F4659="NEW",IF(ISNA(VLOOKUP(E4659,#REF!,1,FALSE())),"?TYPE_IDENTIFIABLE","?REFERENTIAL"),"_")))))</f>
        <v> </v>
      </c>
      <c r="H4659" s="25" t="str">
        <f>IF(J4659&lt;&gt;1,"",IF(I4659="SBJ","CB","?"))</f>
        <v> </v>
      </c>
      <c r="I4659" s="26" t="str">
        <f>IF(OR(E4659="",E4659="!!!",F4659="NEW"),"",INDEX(B4658:B$2,-1+SUMPRODUCT(MAX(ROW(E4658:E$2)*(E4659=E4658:E$2)))))</f>
        <v> </v>
      </c>
      <c r="J4659" s="26" t="str">
        <f>IF(OR(E4659="",E4659="!!!",F4659="NEW"),"",COUNTBLANK(OFFSET(A$1,,,SUMPRODUCT(MAX(ROW(E$2:E4659)*(E4659=E$2:E4659)))))-COUNTBLANK(OFFSET(A$1,,,SUMPRODUCT(MAX(ROW(E$1:E4658)*(E2=E$1:E4658))))))</f>
        <v> </v>
      </c>
      <c r="K4659" s="26" t="str">
        <f>IF(OR(E4659="",E4659="!!!",F4659="NEW"),"",INDEX(J$1:J4658,SUMPRODUCT(MAX(ROW(E$1:E4658)*(E4659=E$1:E4658)))))</f>
        <v> </v>
      </c>
      <c r="L4659" s="27"/>
    </row>
    <row r="4660" spans="1:12">
      <c r="A4660" s="20" t="s">
        <v>1020</v>
      </c>
      <c r="E4660" s="22">
        <f>IF(D4660="?OLD","!!!","")</f>
        <v/>
      </c>
      <c r="F4660" s="23" t="str">
        <f>IF(OR(E4660="",E4660="!!!"),"",IF(NOT(ISNA(VLOOKUP(E4660,E$1:E4659,1,FALSE()))),"OLD",IF(AND(E4660&lt;&gt;"",E4660&lt;&gt;"!!!"),"NEW","")))</f>
        <v> </v>
      </c>
      <c r="G4660" s="24" t="str">
        <f>IF(OR(E4660="",E4660="!!!"),"",IF(OR(J4660=0,AND(J4660=1,K4660=1),AND(J4660=1,I4660="SBJ"),AND(J4660=1,I4660=0)),"?IN_FOCUS",IF(J4660&lt;=2,"?ACTIVATED",IF(J4660&lt;&gt;"","?FAMILIAR",IF(F4660="NEW",IF(ISNA(VLOOKUP(E4660,#REF!,1,FALSE())),"?TYPE_IDENTIFIABLE","?REFERENTIAL"),"_")))))</f>
        <v> </v>
      </c>
      <c r="H4660" s="25" t="str">
        <f>IF(J4660&lt;&gt;1,"",IF(I4660="SBJ","CB","?"))</f>
        <v> </v>
      </c>
      <c r="I4660" s="26" t="str">
        <f>IF(OR(E4660="",E4660="!!!",F4660="NEW"),"",INDEX(B4659:B$2,-1+SUMPRODUCT(MAX(ROW(E4659:E$2)*(E4660=E4659:E$2)))))</f>
        <v> </v>
      </c>
      <c r="J4660" s="26" t="str">
        <f>IF(OR(E4660="",E4660="!!!",F4660="NEW"),"",COUNTBLANK(OFFSET(A$1,,,SUMPRODUCT(MAX(ROW(E$2:E4660)*(E4660=E$2:E4660)))))-COUNTBLANK(OFFSET(A$1,,,SUMPRODUCT(MAX(ROW(E$1:E4659)*(E2=E$1:E4659))))))</f>
        <v> </v>
      </c>
      <c r="K4660" s="26" t="str">
        <f>IF(OR(E4660="",E4660="!!!",F4660="NEW"),"",INDEX(J$1:J4659,SUMPRODUCT(MAX(ROW(E$1:E4659)*(E4660=E$1:E4659)))))</f>
        <v> </v>
      </c>
      <c r="L4660" s="27"/>
    </row>
    <row r="4661" spans="1:12">
      <c r="A4661" s="20" t="s">
        <v>1242</v>
      </c>
      <c r="B4661" s="21" t="s">
        <v>2315</v>
      </c>
      <c r="C4661" s="21" t="s">
        <v>1013</v>
      </c>
      <c r="D4661" s="21" t="s">
        <v>1007</v>
      </c>
      <c r="E4661" s="22">
        <f>IF(D4661="?OLD","!!!","")</f>
        <v/>
      </c>
      <c r="F4661" s="23" t="str">
        <f>IF(OR(E4661="",E4661="!!!"),"",IF(NOT(ISNA(VLOOKUP(E4661,E$1:E4660,1,FALSE()))),"OLD",IF(AND(E4661&lt;&gt;"",E4661&lt;&gt;"!!!"),"NEW","")))</f>
        <v> </v>
      </c>
      <c r="G4661" s="24" t="str">
        <f>IF(OR(E4661="",E4661="!!!"),"",IF(OR(J4661=0,AND(J4661=1,K4661=1),AND(J4661=1,I4661="SBJ"),AND(J4661=1,I4661=0)),"?IN_FOCUS",IF(J4661&lt;=2,"?ACTIVATED",IF(J4661&lt;&gt;"","?FAMILIAR",IF(F4661="NEW",IF(ISNA(VLOOKUP(E4661,#REF!,1,FALSE())),"?TYPE_IDENTIFIABLE","?REFERENTIAL"),"_")))))</f>
        <v> </v>
      </c>
      <c r="H4661" s="25" t="str">
        <f>IF(J4661&lt;&gt;1,"",IF(I4661="SBJ","CB","?"))</f>
        <v> </v>
      </c>
      <c r="I4661" s="26" t="str">
        <f>IF(OR(E4661="",E4661="!!!",F4661="NEW"),"",INDEX(B4660:B$2,-1+SUMPRODUCT(MAX(ROW(E4660:E$2)*(E4661=E4660:E$2)))))</f>
        <v> </v>
      </c>
      <c r="J4661" s="26" t="str">
        <f>IF(OR(E4661="",E4661="!!!",F4661="NEW"),"",COUNTBLANK(OFFSET(A$1,,,SUMPRODUCT(MAX(ROW(E$2:E4661)*(E4661=E$2:E4661)))))-COUNTBLANK(OFFSET(A$1,,,SUMPRODUCT(MAX(ROW(E$1:E4660)*(E2=E$1:E4660))))))</f>
        <v> </v>
      </c>
      <c r="K4661" s="26" t="str">
        <f>IF(OR(E4661="",E4661="!!!",F4661="NEW"),"",INDEX(J$1:J4660,SUMPRODUCT(MAX(ROW(E$1:E4660)*(E4661=E$1:E4660)))))</f>
        <v> </v>
      </c>
      <c r="L4661" s="27"/>
    </row>
    <row r="4662" spans="1:12">
      <c r="A4662" s="20" t="s">
        <v>1014</v>
      </c>
      <c r="E4662" s="22">
        <f>IF(D4662="?OLD","!!!","")</f>
        <v/>
      </c>
      <c r="F4662" s="23" t="str">
        <f>IF(OR(E4662="",E4662="!!!"),"",IF(NOT(ISNA(VLOOKUP(E4662,E$1:E4661,1,FALSE()))),"OLD",IF(AND(E4662&lt;&gt;"",E4662&lt;&gt;"!!!"),"NEW","")))</f>
        <v> </v>
      </c>
      <c r="G4662" s="24" t="str">
        <f>IF(OR(E4662="",E4662="!!!"),"",IF(OR(J4662=0,AND(J4662=1,K4662=1),AND(J4662=1,I4662="SBJ"),AND(J4662=1,I4662=0)),"?IN_FOCUS",IF(J4662&lt;=2,"?ACTIVATED",IF(J4662&lt;&gt;"","?FAMILIAR",IF(F4662="NEW",IF(ISNA(VLOOKUP(E4662,#REF!,1,FALSE())),"?TYPE_IDENTIFIABLE","?REFERENTIAL"),"_")))))</f>
        <v> </v>
      </c>
      <c r="H4662" s="25" t="str">
        <f>IF(J4662&lt;&gt;1,"",IF(I4662="SBJ","CB","?"))</f>
        <v> </v>
      </c>
      <c r="I4662" s="26" t="str">
        <f>IF(OR(E4662="",E4662="!!!",F4662="NEW"),"",INDEX(B4661:B$2,-1+SUMPRODUCT(MAX(ROW(E4661:E$2)*(E4662=E4661:E$2)))))</f>
        <v> </v>
      </c>
      <c r="J4662" s="26" t="str">
        <f>IF(OR(E4662="",E4662="!!!",F4662="NEW"),"",COUNTBLANK(OFFSET(A$1,,,SUMPRODUCT(MAX(ROW(E$2:E4662)*(E4662=E$2:E4662)))))-COUNTBLANK(OFFSET(A$1,,,SUMPRODUCT(MAX(ROW(E$1:E4661)*(E2=E$1:E4661))))))</f>
        <v> </v>
      </c>
      <c r="K4662" s="26" t="str">
        <f>IF(OR(E4662="",E4662="!!!",F4662="NEW"),"",INDEX(J$1:J4661,SUMPRODUCT(MAX(ROW(E$1:E4661)*(E4662=E$1:E4661)))))</f>
        <v> </v>
      </c>
      <c r="L4662" s="27"/>
    </row>
    <row r="4663" spans="1:12">
      <c r="A4663" s="20" t="s">
        <v>1027</v>
      </c>
      <c r="E4663" s="22">
        <f>IF(D4663="?OLD","!!!","")</f>
        <v/>
      </c>
      <c r="F4663" s="23" t="str">
        <f>IF(OR(E4663="",E4663="!!!"),"",IF(NOT(ISNA(VLOOKUP(E4663,E$1:E4662,1,FALSE()))),"OLD",IF(AND(E4663&lt;&gt;"",E4663&lt;&gt;"!!!"),"NEW","")))</f>
        <v> </v>
      </c>
      <c r="G4663" s="24" t="str">
        <f>IF(OR(E4663="",E4663="!!!"),"",IF(OR(J4663=0,AND(J4663=1,K4663=1),AND(J4663=1,I4663="SBJ"),AND(J4663=1,I4663=0)),"?IN_FOCUS",IF(J4663&lt;=2,"?ACTIVATED",IF(J4663&lt;&gt;"","?FAMILIAR",IF(F4663="NEW",IF(ISNA(VLOOKUP(E4663,#REF!,1,FALSE())),"?TYPE_IDENTIFIABLE","?REFERENTIAL"),"_")))))</f>
        <v> </v>
      </c>
      <c r="H4663" s="25" t="str">
        <f>IF(J4663&lt;&gt;1,"",IF(I4663="SBJ","CB","?"))</f>
        <v> </v>
      </c>
      <c r="I4663" s="26" t="str">
        <f>IF(OR(E4663="",E4663="!!!",F4663="NEW"),"",INDEX(B4662:B$2,-1+SUMPRODUCT(MAX(ROW(E4662:E$2)*(E4663=E4662:E$2)))))</f>
        <v> </v>
      </c>
      <c r="J4663" s="26" t="str">
        <f>IF(OR(E4663="",E4663="!!!",F4663="NEW"),"",COUNTBLANK(OFFSET(A$1,,,SUMPRODUCT(MAX(ROW(E$2:E4663)*(E4663=E$2:E4663)))))-COUNTBLANK(OFFSET(A$1,,,SUMPRODUCT(MAX(ROW(E$1:E4662)*(E2=E$1:E4662))))))</f>
        <v> </v>
      </c>
      <c r="K4663" s="26" t="str">
        <f>IF(OR(E4663="",E4663="!!!",F4663="NEW"),"",INDEX(J$1:J4662,SUMPRODUCT(MAX(ROW(E$1:E4662)*(E4663=E$1:E4662)))))</f>
        <v> </v>
      </c>
      <c r="L4663" s="27"/>
    </row>
    <row r="4664" spans="1:12">
      <c r="A4664" s="20" t="s">
        <v>1243</v>
      </c>
      <c r="B4664" s="21" t="s">
        <v>1792</v>
      </c>
      <c r="C4664" s="21" t="s">
        <v>1017</v>
      </c>
      <c r="D4664" s="21" t="s">
        <v>1007</v>
      </c>
      <c r="E4664" s="22">
        <f>IF(D4664="?OLD","!!!","")</f>
        <v/>
      </c>
      <c r="F4664" s="23" t="str">
        <f>IF(OR(E4664="",E4664="!!!"),"",IF(NOT(ISNA(VLOOKUP(E4664,E$1:E4663,1,FALSE()))),"OLD",IF(AND(E4664&lt;&gt;"",E4664&lt;&gt;"!!!"),"NEW","")))</f>
        <v> </v>
      </c>
      <c r="G4664" s="24" t="str">
        <f>IF(OR(E4664="",E4664="!!!"),"",IF(OR(J4664=0,AND(J4664=1,K4664=1),AND(J4664=1,I4664="SBJ"),AND(J4664=1,I4664=0)),"?IN_FOCUS",IF(J4664&lt;=2,"?ACTIVATED",IF(J4664&lt;&gt;"","?FAMILIAR",IF(F4664="NEW",IF(ISNA(VLOOKUP(E4664,#REF!,1,FALSE())),"?TYPE_IDENTIFIABLE","?REFERENTIAL"),"_")))))</f>
        <v> </v>
      </c>
      <c r="H4664" s="25" t="str">
        <f>IF(J4664&lt;&gt;1,"",IF(I4664="SBJ","CB","?"))</f>
        <v> </v>
      </c>
      <c r="I4664" s="26" t="str">
        <f>IF(OR(E4664="",E4664="!!!",F4664="NEW"),"",INDEX(B4663:B$2,-1+SUMPRODUCT(MAX(ROW(E4663:E$2)*(E4664=E4663:E$2)))))</f>
        <v> </v>
      </c>
      <c r="J4664" s="26" t="str">
        <f>IF(OR(E4664="",E4664="!!!",F4664="NEW"),"",COUNTBLANK(OFFSET(A$1,,,SUMPRODUCT(MAX(ROW(E$2:E4664)*(E4664=E$2:E4664)))))-COUNTBLANK(OFFSET(A$1,,,SUMPRODUCT(MAX(ROW(E$1:E4663)*(E2=E$1:E4663))))))</f>
        <v> </v>
      </c>
      <c r="K4664" s="26" t="str">
        <f>IF(OR(E4664="",E4664="!!!",F4664="NEW"),"",INDEX(J$1:J4663,SUMPRODUCT(MAX(ROW(E$1:E4663)*(E4664=E$1:E4663)))))</f>
        <v> </v>
      </c>
      <c r="L4664" s="27"/>
    </row>
    <row r="4665" spans="1:12">
      <c r="A4665" s="20" t="s">
        <v>1065</v>
      </c>
      <c r="B4665" s="21" t="s">
        <v>2316</v>
      </c>
      <c r="E4665" s="22">
        <f>IF(D4665="?OLD","!!!","")</f>
        <v/>
      </c>
      <c r="F4665" s="23" t="str">
        <f>IF(OR(E4665="",E4665="!!!"),"",IF(NOT(ISNA(VLOOKUP(E4665,E$1:E4664,1,FALSE()))),"OLD",IF(AND(E4665&lt;&gt;"",E4665&lt;&gt;"!!!"),"NEW","")))</f>
        <v> </v>
      </c>
      <c r="G4665" s="24" t="str">
        <f>IF(OR(E4665="",E4665="!!!"),"",IF(OR(J4665=0,AND(J4665=1,K4665=1),AND(J4665=1,I4665="SBJ"),AND(J4665=1,I4665=0)),"?IN_FOCUS",IF(J4665&lt;=2,"?ACTIVATED",IF(J4665&lt;&gt;"","?FAMILIAR",IF(F4665="NEW",IF(ISNA(VLOOKUP(E4665,#REF!,1,FALSE())),"?TYPE_IDENTIFIABLE","?REFERENTIAL"),"_")))))</f>
        <v> </v>
      </c>
      <c r="H4665" s="25" t="str">
        <f>IF(J4665&lt;&gt;1,"",IF(I4665="SBJ","CB","?"))</f>
        <v> </v>
      </c>
      <c r="I4665" s="26" t="str">
        <f>IF(OR(E4665="",E4665="!!!",F4665="NEW"),"",INDEX(B4664:B$2,-1+SUMPRODUCT(MAX(ROW(E4664:E$2)*(E4665=E4664:E$2)))))</f>
        <v> </v>
      </c>
      <c r="J4665" s="26" t="str">
        <f>IF(OR(E4665="",E4665="!!!",F4665="NEW"),"",COUNTBLANK(OFFSET(A$1,,,SUMPRODUCT(MAX(ROW(E$2:E4665)*(E4665=E$2:E4665)))))-COUNTBLANK(OFFSET(A$1,,,SUMPRODUCT(MAX(ROW(E$1:E4664)*(E2=E$1:E4664))))))</f>
        <v> </v>
      </c>
      <c r="K4665" s="26" t="str">
        <f>IF(OR(E4665="",E4665="!!!",F4665="NEW"),"",INDEX(J$1:J4664,SUMPRODUCT(MAX(ROW(E$1:E4664)*(E4665=E$1:E4664)))))</f>
        <v> </v>
      </c>
      <c r="L4665" s="27"/>
    </row>
    <row r="4666" spans="1:12">
      <c r="A4666" s="20" t="s">
        <v>2317</v>
      </c>
      <c r="E4666" s="22">
        <f>IF(D4666="?OLD","!!!","")</f>
        <v/>
      </c>
      <c r="F4666" s="23" t="str">
        <f>IF(OR(E4666="",E4666="!!!"),"",IF(NOT(ISNA(VLOOKUP(E4666,E$1:E4665,1,FALSE()))),"OLD",IF(AND(E4666&lt;&gt;"",E4666&lt;&gt;"!!!"),"NEW","")))</f>
        <v> </v>
      </c>
      <c r="G4666" s="24" t="str">
        <f>IF(OR(E4666="",E4666="!!!"),"",IF(OR(J4666=0,AND(J4666=1,K4666=1),AND(J4666=1,I4666="SBJ"),AND(J4666=1,I4666=0)),"?IN_FOCUS",IF(J4666&lt;=2,"?ACTIVATED",IF(J4666&lt;&gt;"","?FAMILIAR",IF(F4666="NEW",IF(ISNA(VLOOKUP(E4666,#REF!,1,FALSE())),"?TYPE_IDENTIFIABLE","?REFERENTIAL"),"_")))))</f>
        <v> </v>
      </c>
      <c r="H4666" s="25" t="str">
        <f>IF(J4666&lt;&gt;1,"",IF(I4666="SBJ","CB","?"))</f>
        <v> </v>
      </c>
      <c r="I4666" s="26" t="str">
        <f>IF(OR(E4666="",E4666="!!!",F4666="NEW"),"",INDEX(B4665:B$2,-1+SUMPRODUCT(MAX(ROW(E4665:E$2)*(E4666=E4665:E$2)))))</f>
        <v> </v>
      </c>
      <c r="J4666" s="26" t="str">
        <f>IF(OR(E4666="",E4666="!!!",F4666="NEW"),"",COUNTBLANK(OFFSET(A$1,,,SUMPRODUCT(MAX(ROW(E$2:E4666)*(E4666=E$2:E4666)))))-COUNTBLANK(OFFSET(A$1,,,SUMPRODUCT(MAX(ROW(E$1:E4665)*(E2=E$1:E4665))))))</f>
        <v> </v>
      </c>
      <c r="K4666" s="26" t="str">
        <f>IF(OR(E4666="",E4666="!!!",F4666="NEW"),"",INDEX(J$1:J4665,SUMPRODUCT(MAX(ROW(E$1:E4665)*(E4666=E$1:E4665)))))</f>
        <v> </v>
      </c>
      <c r="L4666" s="27"/>
    </row>
    <row r="4667" spans="1:12">
      <c r="A4667" s="20" t="s">
        <v>1068</v>
      </c>
      <c r="E4667" s="22">
        <f>IF(D4667="?OLD","!!!","")</f>
        <v/>
      </c>
      <c r="F4667" s="23" t="str">
        <f>IF(OR(E4667="",E4667="!!!"),"",IF(NOT(ISNA(VLOOKUP(E4667,E$1:E4666,1,FALSE()))),"OLD",IF(AND(E4667&lt;&gt;"",E4667&lt;&gt;"!!!"),"NEW","")))</f>
        <v> </v>
      </c>
      <c r="G4667" s="24" t="str">
        <f>IF(OR(E4667="",E4667="!!!"),"",IF(OR(J4667=0,AND(J4667=1,K4667=1),AND(J4667=1,I4667="SBJ"),AND(J4667=1,I4667=0)),"?IN_FOCUS",IF(J4667&lt;=2,"?ACTIVATED",IF(J4667&lt;&gt;"","?FAMILIAR",IF(F4667="NEW",IF(ISNA(VLOOKUP(E4667,#REF!,1,FALSE())),"?TYPE_IDENTIFIABLE","?REFERENTIAL"),"_")))))</f>
        <v> </v>
      </c>
      <c r="H4667" s="25" t="str">
        <f>IF(J4667&lt;&gt;1,"",IF(I4667="SBJ","CB","?"))</f>
        <v> </v>
      </c>
      <c r="I4667" s="26" t="str">
        <f>IF(OR(E4667="",E4667="!!!",F4667="NEW"),"",INDEX(B4666:B$2,-1+SUMPRODUCT(MAX(ROW(E4666:E$2)*(E4667=E4666:E$2)))))</f>
        <v> </v>
      </c>
      <c r="J4667" s="26" t="str">
        <f>IF(OR(E4667="",E4667="!!!",F4667="NEW"),"",COUNTBLANK(OFFSET(A$1,,,SUMPRODUCT(MAX(ROW(E$2:E4667)*(E4667=E$2:E4667)))))-COUNTBLANK(OFFSET(A$1,,,SUMPRODUCT(MAX(ROW(E$1:E4666)*(E2=E$1:E4666))))))</f>
        <v> </v>
      </c>
      <c r="K4667" s="26" t="str">
        <f>IF(OR(E4667="",E4667="!!!",F4667="NEW"),"",INDEX(J$1:J4666,SUMPRODUCT(MAX(ROW(E$1:E4666)*(E4667=E$1:E4666)))))</f>
        <v> </v>
      </c>
      <c r="L4667" s="27"/>
    </row>
    <row r="4668" spans="1:12">
      <c r="A4668" s="20" t="s">
        <v>2318</v>
      </c>
      <c r="B4668" s="21" t="s">
        <v>2319</v>
      </c>
      <c r="C4668" s="21" t="s">
        <v>1082</v>
      </c>
      <c r="D4668" s="21" t="s">
        <v>1007</v>
      </c>
      <c r="E4668" s="22">
        <f>IF(D4668="?OLD","!!!","")</f>
        <v/>
      </c>
      <c r="F4668" s="23" t="str">
        <f>IF(OR(E4668="",E4668="!!!"),"",IF(NOT(ISNA(VLOOKUP(E4668,E$1:E4667,1,FALSE()))),"OLD",IF(AND(E4668&lt;&gt;"",E4668&lt;&gt;"!!!"),"NEW","")))</f>
        <v> </v>
      </c>
      <c r="G4668" s="24" t="str">
        <f>IF(OR(E4668="",E4668="!!!"),"",IF(OR(J4668=0,AND(J4668=1,K4668=1),AND(J4668=1,I4668="SBJ"),AND(J4668=1,I4668=0)),"?IN_FOCUS",IF(J4668&lt;=2,"?ACTIVATED",IF(J4668&lt;&gt;"","?FAMILIAR",IF(F4668="NEW",IF(ISNA(VLOOKUP(E4668,#REF!,1,FALSE())),"?TYPE_IDENTIFIABLE","?REFERENTIAL"),"_")))))</f>
        <v> </v>
      </c>
      <c r="H4668" s="25" t="str">
        <f>IF(J4668&lt;&gt;1,"",IF(I4668="SBJ","CB","?"))</f>
        <v> </v>
      </c>
      <c r="I4668" s="26" t="str">
        <f>IF(OR(E4668="",E4668="!!!",F4668="NEW"),"",INDEX(B4667:B$2,-1+SUMPRODUCT(MAX(ROW(E4667:E$2)*(E4668=E4667:E$2)))))</f>
        <v> </v>
      </c>
      <c r="J4668" s="26" t="str">
        <f>IF(OR(E4668="",E4668="!!!",F4668="NEW"),"",COUNTBLANK(OFFSET(A$1,,,SUMPRODUCT(MAX(ROW(E$2:E4668)*(E4668=E$2:E4668)))))-COUNTBLANK(OFFSET(A$1,,,SUMPRODUCT(MAX(ROW(E$1:E4667)*(E2=E$1:E4667))))))</f>
        <v> </v>
      </c>
      <c r="K4668" s="26" t="str">
        <f>IF(OR(E4668="",E4668="!!!",F4668="NEW"),"",INDEX(J$1:J4667,SUMPRODUCT(MAX(ROW(E$1:E4667)*(E4668=E$1:E4667)))))</f>
        <v> </v>
      </c>
      <c r="L4668" s="27"/>
    </row>
    <row r="4669" spans="1:12">
      <c r="A4669" s="20" t="s">
        <v>2320</v>
      </c>
      <c r="E4669" s="22">
        <f>IF(D4669="?OLD","!!!","")</f>
        <v/>
      </c>
      <c r="F4669" s="23" t="str">
        <f>IF(OR(E4669="",E4669="!!!"),"",IF(NOT(ISNA(VLOOKUP(E4669,E$1:E4668,1,FALSE()))),"OLD",IF(AND(E4669&lt;&gt;"",E4669&lt;&gt;"!!!"),"NEW","")))</f>
        <v> </v>
      </c>
      <c r="G4669" s="24" t="str">
        <f>IF(OR(E4669="",E4669="!!!"),"",IF(OR(J4669=0,AND(J4669=1,K4669=1),AND(J4669=1,I4669="SBJ"),AND(J4669=1,I4669=0)),"?IN_FOCUS",IF(J4669&lt;=2,"?ACTIVATED",IF(J4669&lt;&gt;"","?FAMILIAR",IF(F4669="NEW",IF(ISNA(VLOOKUP(E4669,#REF!,1,FALSE())),"?TYPE_IDENTIFIABLE","?REFERENTIAL"),"_")))))</f>
        <v> </v>
      </c>
      <c r="H4669" s="25" t="str">
        <f>IF(J4669&lt;&gt;1,"",IF(I4669="SBJ","CB","?"))</f>
        <v> </v>
      </c>
      <c r="I4669" s="26" t="str">
        <f>IF(OR(E4669="",E4669="!!!",F4669="NEW"),"",INDEX(B4668:B$2,-1+SUMPRODUCT(MAX(ROW(E4668:E$2)*(E4669=E4668:E$2)))))</f>
        <v> </v>
      </c>
      <c r="J4669" s="26" t="str">
        <f>IF(OR(E4669="",E4669="!!!",F4669="NEW"),"",COUNTBLANK(OFFSET(A$1,,,SUMPRODUCT(MAX(ROW(E$2:E4669)*(E4669=E$2:E4669)))))-COUNTBLANK(OFFSET(A$1,,,SUMPRODUCT(MAX(ROW(E$1:E4668)*(E2=E$1:E4668))))))</f>
        <v> </v>
      </c>
      <c r="K4669" s="26" t="str">
        <f>IF(OR(E4669="",E4669="!!!",F4669="NEW"),"",INDEX(J$1:J4668,SUMPRODUCT(MAX(ROW(E$1:E4668)*(E4669=E$1:E4668)))))</f>
        <v> </v>
      </c>
      <c r="L4669" s="27"/>
    </row>
    <row r="4670" spans="1:12">
      <c r="A4670" s="20" t="s">
        <v>1023</v>
      </c>
      <c r="E4670" s="22">
        <f>IF(D4670="?OLD","!!!","")</f>
        <v/>
      </c>
      <c r="F4670" s="23" t="str">
        <f>IF(OR(E4670="",E4670="!!!"),"",IF(NOT(ISNA(VLOOKUP(E4670,E$1:E4669,1,FALSE()))),"OLD",IF(AND(E4670&lt;&gt;"",E4670&lt;&gt;"!!!"),"NEW","")))</f>
        <v> </v>
      </c>
      <c r="G4670" s="24" t="str">
        <f>IF(OR(E4670="",E4670="!!!"),"",IF(OR(J4670=0,AND(J4670=1,K4670=1),AND(J4670=1,I4670="SBJ"),AND(J4670=1,I4670=0)),"?IN_FOCUS",IF(J4670&lt;=2,"?ACTIVATED",IF(J4670&lt;&gt;"","?FAMILIAR",IF(F4670="NEW",IF(ISNA(VLOOKUP(E4670,#REF!,1,FALSE())),"?TYPE_IDENTIFIABLE","?REFERENTIAL"),"_")))))</f>
        <v> </v>
      </c>
      <c r="H4670" s="25" t="str">
        <f>IF(J4670&lt;&gt;1,"",IF(I4670="SBJ","CB","?"))</f>
        <v> </v>
      </c>
      <c r="I4670" s="26" t="str">
        <f>IF(OR(E4670="",E4670="!!!",F4670="NEW"),"",INDEX(B4669:B$2,-1+SUMPRODUCT(MAX(ROW(E4669:E$2)*(E4670=E4669:E$2)))))</f>
        <v> </v>
      </c>
      <c r="J4670" s="26" t="str">
        <f>IF(OR(E4670="",E4670="!!!",F4670="NEW"),"",COUNTBLANK(OFFSET(A$1,,,SUMPRODUCT(MAX(ROW(E$2:E4670)*(E4670=E$2:E4670)))))-COUNTBLANK(OFFSET(A$1,,,SUMPRODUCT(MAX(ROW(E$1:E4669)*(E2=E$1:E4669))))))</f>
        <v> </v>
      </c>
      <c r="K4670" s="26" t="str">
        <f>IF(OR(E4670="",E4670="!!!",F4670="NEW"),"",INDEX(J$1:J4669,SUMPRODUCT(MAX(ROW(E$1:E4669)*(E4670=E$1:E4669)))))</f>
        <v> </v>
      </c>
      <c r="L4670" s="27"/>
    </row>
    <row r="4671" spans="1:12">
      <c r="A4671" s="20"/>
    </row>
    <row r="4672" spans="1:12">
      <c r="A4672" s="20" t="s">
        <v>2321</v>
      </c>
    </row>
    <row r="4673" spans="1:12">
      <c r="A4673" s="20" t="s">
        <v>1524</v>
      </c>
      <c r="E4673" s="22">
        <f>IF(D4673="?OLD","!!!","")</f>
        <v/>
      </c>
      <c r="F4673" s="23" t="str">
        <f>IF(OR(E4673="",E4673="!!!"),"",IF(NOT(ISNA(VLOOKUP(E4673,E$1:E4672,1,FALSE()))),"OLD",IF(AND(E4673&lt;&gt;"",E4673&lt;&gt;"!!!"),"NEW","")))</f>
        <v> </v>
      </c>
      <c r="G4673" s="24" t="str">
        <f>IF(OR(E4673="",E4673="!!!"),"",IF(OR(J4673=0,AND(J4673=1,K4673=1),AND(J4673=1,I4673="SBJ"),AND(J4673=1,I4673=0)),"?IN_FOCUS",IF(J4673&lt;=2,"?ACTIVATED",IF(J4673&lt;&gt;"","?FAMILIAR",IF(F4673="NEW",IF(ISNA(VLOOKUP(E4673,#REF!,1,FALSE())),"?TYPE_IDENTIFIABLE","?REFERENTIAL"),"_")))))</f>
        <v> </v>
      </c>
      <c r="H4673" s="25" t="str">
        <f>IF(J4673&lt;&gt;1,"",IF(I4673="SBJ","CB","?"))</f>
        <v> </v>
      </c>
      <c r="I4673" s="26" t="str">
        <f>IF(OR(E4673="",E4673="!!!",F4673="NEW"),"",INDEX(B4672:B$2,-1+SUMPRODUCT(MAX(ROW(E4672:E$2)*(E4673=E4672:E$2)))))</f>
        <v> </v>
      </c>
      <c r="J4673" s="26" t="str">
        <f>IF(OR(E4673="",E4673="!!!",F4673="NEW"),"",COUNTBLANK(OFFSET(A$1,,,SUMPRODUCT(MAX(ROW(E$2:E4673)*(E4673=E$2:E4673)))))-COUNTBLANK(OFFSET(A$1,,,SUMPRODUCT(MAX(ROW(E$1:E4672)*(E2=E$1:E4672))))))</f>
        <v> </v>
      </c>
      <c r="K4673" s="26" t="str">
        <f>IF(OR(E4673="",E4673="!!!",F4673="NEW"),"",INDEX(J$1:J4672,SUMPRODUCT(MAX(ROW(E$1:E4672)*(E4673=E$1:E4672)))))</f>
        <v> </v>
      </c>
      <c r="L4673" s="27"/>
    </row>
    <row r="4674" spans="1:12">
      <c r="A4674" s="20" t="s">
        <v>1075</v>
      </c>
      <c r="E4674" s="22">
        <f>IF(D4674="?OLD","!!!","")</f>
        <v/>
      </c>
      <c r="F4674" s="23" t="str">
        <f>IF(OR(E4674="",E4674="!!!"),"",IF(NOT(ISNA(VLOOKUP(E4674,E$1:E4673,1,FALSE()))),"OLD",IF(AND(E4674&lt;&gt;"",E4674&lt;&gt;"!!!"),"NEW","")))</f>
        <v> </v>
      </c>
      <c r="G4674" s="24" t="str">
        <f>IF(OR(E4674="",E4674="!!!"),"",IF(OR(J4674=0,AND(J4674=1,K4674=1),AND(J4674=1,I4674="SBJ"),AND(J4674=1,I4674=0)),"?IN_FOCUS",IF(J4674&lt;=2,"?ACTIVATED",IF(J4674&lt;&gt;"","?FAMILIAR",IF(F4674="NEW",IF(ISNA(VLOOKUP(E4674,#REF!,1,FALSE())),"?TYPE_IDENTIFIABLE","?REFERENTIAL"),"_")))))</f>
        <v> </v>
      </c>
      <c r="H4674" s="25" t="str">
        <f>IF(J4674&lt;&gt;1,"",IF(I4674="SBJ","CB","?"))</f>
        <v> </v>
      </c>
      <c r="I4674" s="26" t="str">
        <f>IF(OR(E4674="",E4674="!!!",F4674="NEW"),"",INDEX(B4673:B$2,-1+SUMPRODUCT(MAX(ROW(E4673:E$2)*(E4674=E4673:E$2)))))</f>
        <v> </v>
      </c>
      <c r="J4674" s="26" t="str">
        <f>IF(OR(E4674="",E4674="!!!",F4674="NEW"),"",COUNTBLANK(OFFSET(A$1,,,SUMPRODUCT(MAX(ROW(E$2:E4674)*(E4674=E$2:E4674)))))-COUNTBLANK(OFFSET(A$1,,,SUMPRODUCT(MAX(ROW(E$1:E4673)*(E2=E$1:E4673))))))</f>
        <v> </v>
      </c>
      <c r="K4674" s="26" t="str">
        <f>IF(OR(E4674="",E4674="!!!",F4674="NEW"),"",INDEX(J$1:J4673,SUMPRODUCT(MAX(ROW(E$1:E4673)*(E4674=E$1:E4673)))))</f>
        <v> </v>
      </c>
      <c r="L4674" s="27"/>
    </row>
    <row r="4675" spans="1:12">
      <c r="A4675" s="20" t="s">
        <v>1065</v>
      </c>
      <c r="E4675" s="22">
        <f>IF(D4675="?OLD","!!!","")</f>
        <v/>
      </c>
      <c r="F4675" s="23" t="str">
        <f>IF(OR(E4675="",E4675="!!!"),"",IF(NOT(ISNA(VLOOKUP(E4675,E$1:E4674,1,FALSE()))),"OLD",IF(AND(E4675&lt;&gt;"",E4675&lt;&gt;"!!!"),"NEW","")))</f>
        <v> </v>
      </c>
      <c r="G4675" s="24" t="str">
        <f>IF(OR(E4675="",E4675="!!!"),"",IF(OR(J4675=0,AND(J4675=1,K4675=1),AND(J4675=1,I4675="SBJ"),AND(J4675=1,I4675=0)),"?IN_FOCUS",IF(J4675&lt;=2,"?ACTIVATED",IF(J4675&lt;&gt;"","?FAMILIAR",IF(F4675="NEW",IF(ISNA(VLOOKUP(E4675,#REF!,1,FALSE())),"?TYPE_IDENTIFIABLE","?REFERENTIAL"),"_")))))</f>
        <v> </v>
      </c>
      <c r="H4675" s="25" t="str">
        <f>IF(J4675&lt;&gt;1,"",IF(I4675="SBJ","CB","?"))</f>
        <v> </v>
      </c>
      <c r="I4675" s="26" t="str">
        <f>IF(OR(E4675="",E4675="!!!",F4675="NEW"),"",INDEX(B4674:B$2,-1+SUMPRODUCT(MAX(ROW(E4674:E$2)*(E4675=E4674:E$2)))))</f>
        <v> </v>
      </c>
      <c r="J4675" s="26" t="str">
        <f>IF(OR(E4675="",E4675="!!!",F4675="NEW"),"",COUNTBLANK(OFFSET(A$1,,,SUMPRODUCT(MAX(ROW(E$2:E4675)*(E4675=E$2:E4675)))))-COUNTBLANK(OFFSET(A$1,,,SUMPRODUCT(MAX(ROW(E$1:E4674)*(E2=E$1:E4674))))))</f>
        <v> </v>
      </c>
      <c r="K4675" s="26" t="str">
        <f>IF(OR(E4675="",E4675="!!!",F4675="NEW"),"",INDEX(J$1:J4674,SUMPRODUCT(MAX(ROW(E$1:E4674)*(E4675=E$1:E4674)))))</f>
        <v> </v>
      </c>
      <c r="L4675" s="27"/>
    </row>
    <row r="4676" spans="1:12">
      <c r="A4676" s="20" t="s">
        <v>2322</v>
      </c>
      <c r="E4676" s="22">
        <f>IF(D4676="?OLD","!!!","")</f>
        <v/>
      </c>
      <c r="F4676" s="23" t="str">
        <f>IF(OR(E4676="",E4676="!!!"),"",IF(NOT(ISNA(VLOOKUP(E4676,E$1:E4675,1,FALSE()))),"OLD",IF(AND(E4676&lt;&gt;"",E4676&lt;&gt;"!!!"),"NEW","")))</f>
        <v> </v>
      </c>
      <c r="G4676" s="24" t="str">
        <f>IF(OR(E4676="",E4676="!!!"),"",IF(OR(J4676=0,AND(J4676=1,K4676=1),AND(J4676=1,I4676="SBJ"),AND(J4676=1,I4676=0)),"?IN_FOCUS",IF(J4676&lt;=2,"?ACTIVATED",IF(J4676&lt;&gt;"","?FAMILIAR",IF(F4676="NEW",IF(ISNA(VLOOKUP(E4676,#REF!,1,FALSE())),"?TYPE_IDENTIFIABLE","?REFERENTIAL"),"_")))))</f>
        <v> </v>
      </c>
      <c r="H4676" s="25" t="str">
        <f>IF(J4676&lt;&gt;1,"",IF(I4676="SBJ","CB","?"))</f>
        <v> </v>
      </c>
      <c r="I4676" s="26" t="str">
        <f>IF(OR(E4676="",E4676="!!!",F4676="NEW"),"",INDEX(B4675:B$2,-1+SUMPRODUCT(MAX(ROW(E4675:E$2)*(E4676=E4675:E$2)))))</f>
        <v> </v>
      </c>
      <c r="J4676" s="26" t="str">
        <f>IF(OR(E4676="",E4676="!!!",F4676="NEW"),"",COUNTBLANK(OFFSET(A$1,,,SUMPRODUCT(MAX(ROW(E$2:E4676)*(E4676=E$2:E4676)))))-COUNTBLANK(OFFSET(A$1,,,SUMPRODUCT(MAX(ROW(E$1:E4675)*(E2=E$1:E4675))))))</f>
        <v> </v>
      </c>
      <c r="K4676" s="26" t="str">
        <f>IF(OR(E4676="",E4676="!!!",F4676="NEW"),"",INDEX(J$1:J4675,SUMPRODUCT(MAX(ROW(E$1:E4675)*(E4676=E$1:E4675)))))</f>
        <v> </v>
      </c>
      <c r="L4676" s="27"/>
    </row>
    <row r="4677" spans="1:12">
      <c r="A4677" s="20" t="s">
        <v>1140</v>
      </c>
      <c r="B4677" s="21" t="s">
        <v>1085</v>
      </c>
      <c r="C4677" s="21" t="s">
        <v>1073</v>
      </c>
      <c r="D4677" s="21" t="s">
        <v>1007</v>
      </c>
      <c r="E4677" s="22">
        <f>IF(D4677="?OLD","!!!","")</f>
        <v/>
      </c>
      <c r="F4677" s="23" t="str">
        <f>IF(OR(E4677="",E4677="!!!"),"",IF(NOT(ISNA(VLOOKUP(E4677,E$1:E4676,1,FALSE()))),"OLD",IF(AND(E4677&lt;&gt;"",E4677&lt;&gt;"!!!"),"NEW","")))</f>
        <v> </v>
      </c>
      <c r="G4677" s="24" t="str">
        <f>IF(OR(E4677="",E4677="!!!"),"",IF(OR(J4677=0,AND(J4677=1,K4677=1),AND(J4677=1,I4677="SBJ"),AND(J4677=1,I4677=0)),"?IN_FOCUS",IF(J4677&lt;=2,"?ACTIVATED",IF(J4677&lt;&gt;"","?FAMILIAR",IF(F4677="NEW",IF(ISNA(VLOOKUP(E4677,#REF!,1,FALSE())),"?TYPE_IDENTIFIABLE","?REFERENTIAL"),"_")))))</f>
        <v> </v>
      </c>
      <c r="H4677" s="25" t="str">
        <f>IF(J4677&lt;&gt;1,"",IF(I4677="SBJ","CB","?"))</f>
        <v> </v>
      </c>
      <c r="I4677" s="26" t="str">
        <f>IF(OR(E4677="",E4677="!!!",F4677="NEW"),"",INDEX(B4676:B$2,-1+SUMPRODUCT(MAX(ROW(E4676:E$2)*(E4677=E4676:E$2)))))</f>
        <v> </v>
      </c>
      <c r="J4677" s="26" t="str">
        <f>IF(OR(E4677="",E4677="!!!",F4677="NEW"),"",COUNTBLANK(OFFSET(A$1,,,SUMPRODUCT(MAX(ROW(E$2:E4677)*(E4677=E$2:E4677)))))-COUNTBLANK(OFFSET(A$1,,,SUMPRODUCT(MAX(ROW(E$1:E4676)*(E2=E$1:E4676))))))</f>
        <v> </v>
      </c>
      <c r="K4677" s="26" t="str">
        <f>IF(OR(E4677="",E4677="!!!",F4677="NEW"),"",INDEX(J$1:J4676,SUMPRODUCT(MAX(ROW(E$1:E4676)*(E4677=E$1:E4676)))))</f>
        <v> </v>
      </c>
      <c r="L4677" s="27"/>
    </row>
    <row r="4678" spans="1:12">
      <c r="A4678" s="20" t="s">
        <v>1077</v>
      </c>
      <c r="E4678" s="22">
        <f>IF(D4678="?OLD","!!!","")</f>
        <v/>
      </c>
      <c r="F4678" s="23" t="str">
        <f>IF(OR(E4678="",E4678="!!!"),"",IF(NOT(ISNA(VLOOKUP(E4678,E$1:E4677,1,FALSE()))),"OLD",IF(AND(E4678&lt;&gt;"",E4678&lt;&gt;"!!!"),"NEW","")))</f>
        <v> </v>
      </c>
      <c r="G4678" s="24" t="str">
        <f>IF(OR(E4678="",E4678="!!!"),"",IF(OR(J4678=0,AND(J4678=1,K4678=1),AND(J4678=1,I4678="SBJ"),AND(J4678=1,I4678=0)),"?IN_FOCUS",IF(J4678&lt;=2,"?ACTIVATED",IF(J4678&lt;&gt;"","?FAMILIAR",IF(F4678="NEW",IF(ISNA(VLOOKUP(E4678,#REF!,1,FALSE())),"?TYPE_IDENTIFIABLE","?REFERENTIAL"),"_")))))</f>
        <v> </v>
      </c>
      <c r="H4678" s="25" t="str">
        <f>IF(J4678&lt;&gt;1,"",IF(I4678="SBJ","CB","?"))</f>
        <v> </v>
      </c>
      <c r="I4678" s="26" t="str">
        <f>IF(OR(E4678="",E4678="!!!",F4678="NEW"),"",INDEX(B4677:B$2,-1+SUMPRODUCT(MAX(ROW(E4677:E$2)*(E4678=E4677:E$2)))))</f>
        <v> </v>
      </c>
      <c r="J4678" s="26" t="str">
        <f>IF(OR(E4678="",E4678="!!!",F4678="NEW"),"",COUNTBLANK(OFFSET(A$1,,,SUMPRODUCT(MAX(ROW(E$2:E4678)*(E4678=E$2:E4678)))))-COUNTBLANK(OFFSET(A$1,,,SUMPRODUCT(MAX(ROW(E$1:E4677)*(E2=E$1:E4677))))))</f>
        <v> </v>
      </c>
      <c r="K4678" s="26" t="str">
        <f>IF(OR(E4678="",E4678="!!!",F4678="NEW"),"",INDEX(J$1:J4677,SUMPRODUCT(MAX(ROW(E$1:E4677)*(E4678=E$1:E4677)))))</f>
        <v> </v>
      </c>
      <c r="L4678" s="27"/>
    </row>
    <row r="4679" spans="1:12">
      <c r="A4679" s="20"/>
    </row>
    <row r="4680" spans="1:12">
      <c r="A4680" s="20" t="s">
        <v>2323</v>
      </c>
    </row>
    <row r="4681" spans="1:12">
      <c r="A4681" s="20" t="s">
        <v>1524</v>
      </c>
      <c r="E4681" s="22">
        <f>IF(D4681="?OLD","!!!","")</f>
        <v/>
      </c>
      <c r="F4681" s="23" t="str">
        <f>IF(OR(E4681="",E4681="!!!"),"",IF(NOT(ISNA(VLOOKUP(E4681,E$1:E4680,1,FALSE()))),"OLD",IF(AND(E4681&lt;&gt;"",E4681&lt;&gt;"!!!"),"NEW","")))</f>
        <v> </v>
      </c>
      <c r="G4681" s="24" t="str">
        <f>IF(OR(E4681="",E4681="!!!"),"",IF(OR(J4681=0,AND(J4681=1,K4681=1),AND(J4681=1,I4681="SBJ"),AND(J4681=1,I4681=0)),"?IN_FOCUS",IF(J4681&lt;=2,"?ACTIVATED",IF(J4681&lt;&gt;"","?FAMILIAR",IF(F4681="NEW",IF(ISNA(VLOOKUP(E4681,#REF!,1,FALSE())),"?TYPE_IDENTIFIABLE","?REFERENTIAL"),"_")))))</f>
        <v> </v>
      </c>
      <c r="H4681" s="25" t="str">
        <f>IF(J4681&lt;&gt;1,"",IF(I4681="SBJ","CB","?"))</f>
        <v> </v>
      </c>
      <c r="I4681" s="26" t="str">
        <f>IF(OR(E4681="",E4681="!!!",F4681="NEW"),"",INDEX(B4680:B$2,-1+SUMPRODUCT(MAX(ROW(E4680:E$2)*(E4681=E4680:E$2)))))</f>
        <v> </v>
      </c>
      <c r="J4681" s="26" t="str">
        <f>IF(OR(E4681="",E4681="!!!",F4681="NEW"),"",COUNTBLANK(OFFSET(A$1,,,SUMPRODUCT(MAX(ROW(E$2:E4681)*(E4681=E$2:E4681)))))-COUNTBLANK(OFFSET(A$1,,,SUMPRODUCT(MAX(ROW(E$1:E4680)*(E2=E$1:E4680))))))</f>
        <v> </v>
      </c>
      <c r="K4681" s="26" t="str">
        <f>IF(OR(E4681="",E4681="!!!",F4681="NEW"),"",INDEX(J$1:J4680,SUMPRODUCT(MAX(ROW(E$1:E4680)*(E4681=E$1:E4680)))))</f>
        <v> </v>
      </c>
      <c r="L4681" s="27"/>
    </row>
    <row r="4682" spans="1:12">
      <c r="A4682" s="20" t="s">
        <v>1075</v>
      </c>
      <c r="E4682" s="22">
        <f>IF(D4682="?OLD","!!!","")</f>
        <v/>
      </c>
      <c r="F4682" s="23" t="str">
        <f>IF(OR(E4682="",E4682="!!!"),"",IF(NOT(ISNA(VLOOKUP(E4682,E$1:E4681,1,FALSE()))),"OLD",IF(AND(E4682&lt;&gt;"",E4682&lt;&gt;"!!!"),"NEW","")))</f>
        <v> </v>
      </c>
      <c r="G4682" s="24" t="str">
        <f>IF(OR(E4682="",E4682="!!!"),"",IF(OR(J4682=0,AND(J4682=1,K4682=1),AND(J4682=1,I4682="SBJ"),AND(J4682=1,I4682=0)),"?IN_FOCUS",IF(J4682&lt;=2,"?ACTIVATED",IF(J4682&lt;&gt;"","?FAMILIAR",IF(F4682="NEW",IF(ISNA(VLOOKUP(E4682,#REF!,1,FALSE())),"?TYPE_IDENTIFIABLE","?REFERENTIAL"),"_")))))</f>
        <v> </v>
      </c>
      <c r="H4682" s="25" t="str">
        <f>IF(J4682&lt;&gt;1,"",IF(I4682="SBJ","CB","?"))</f>
        <v> </v>
      </c>
      <c r="I4682" s="26" t="str">
        <f>IF(OR(E4682="",E4682="!!!",F4682="NEW"),"",INDEX(B4681:B$2,-1+SUMPRODUCT(MAX(ROW(E4681:E$2)*(E4682=E4681:E$2)))))</f>
        <v> </v>
      </c>
      <c r="J4682" s="26" t="str">
        <f>IF(OR(E4682="",E4682="!!!",F4682="NEW"),"",COUNTBLANK(OFFSET(A$1,,,SUMPRODUCT(MAX(ROW(E$2:E4682)*(E4682=E$2:E4682)))))-COUNTBLANK(OFFSET(A$1,,,SUMPRODUCT(MAX(ROW(E$1:E4681)*(E2=E$1:E4681))))))</f>
        <v> </v>
      </c>
      <c r="K4682" s="26" t="str">
        <f>IF(OR(E4682="",E4682="!!!",F4682="NEW"),"",INDEX(J$1:J4681,SUMPRODUCT(MAX(ROW(E$1:E4681)*(E4682=E$1:E4681)))))</f>
        <v> </v>
      </c>
      <c r="L4682" s="27"/>
    </row>
    <row r="4683" spans="1:12">
      <c r="A4683" s="20" t="s">
        <v>1065</v>
      </c>
      <c r="E4683" s="22">
        <f>IF(D4683="?OLD","!!!","")</f>
        <v/>
      </c>
      <c r="F4683" s="23" t="str">
        <f>IF(OR(E4683="",E4683="!!!"),"",IF(NOT(ISNA(VLOOKUP(E4683,E$1:E4682,1,FALSE()))),"OLD",IF(AND(E4683&lt;&gt;"",E4683&lt;&gt;"!!!"),"NEW","")))</f>
        <v> </v>
      </c>
      <c r="G4683" s="24" t="str">
        <f>IF(OR(E4683="",E4683="!!!"),"",IF(OR(J4683=0,AND(J4683=1,K4683=1),AND(J4683=1,I4683="SBJ"),AND(J4683=1,I4683=0)),"?IN_FOCUS",IF(J4683&lt;=2,"?ACTIVATED",IF(J4683&lt;&gt;"","?FAMILIAR",IF(F4683="NEW",IF(ISNA(VLOOKUP(E4683,#REF!,1,FALSE())),"?TYPE_IDENTIFIABLE","?REFERENTIAL"),"_")))))</f>
        <v> </v>
      </c>
      <c r="H4683" s="25" t="str">
        <f>IF(J4683&lt;&gt;1,"",IF(I4683="SBJ","CB","?"))</f>
        <v> </v>
      </c>
      <c r="I4683" s="26" t="str">
        <f>IF(OR(E4683="",E4683="!!!",F4683="NEW"),"",INDEX(B4682:B$2,-1+SUMPRODUCT(MAX(ROW(E4682:E$2)*(E4683=E4682:E$2)))))</f>
        <v> </v>
      </c>
      <c r="J4683" s="26" t="str">
        <f>IF(OR(E4683="",E4683="!!!",F4683="NEW"),"",COUNTBLANK(OFFSET(A$1,,,SUMPRODUCT(MAX(ROW(E$2:E4683)*(E4683=E$2:E4683)))))-COUNTBLANK(OFFSET(A$1,,,SUMPRODUCT(MAX(ROW(E$1:E4682)*(E2=E$1:E4682))))))</f>
        <v> </v>
      </c>
      <c r="K4683" s="26" t="str">
        <f>IF(OR(E4683="",E4683="!!!",F4683="NEW"),"",INDEX(J$1:J4682,SUMPRODUCT(MAX(ROW(E$1:E4682)*(E4683=E$1:E4682)))))</f>
        <v> </v>
      </c>
      <c r="L4683" s="27"/>
    </row>
    <row r="4684" spans="1:12">
      <c r="A4684" s="20" t="s">
        <v>1114</v>
      </c>
      <c r="B4684" s="21" t="s">
        <v>1119</v>
      </c>
      <c r="C4684" s="21" t="s">
        <v>1082</v>
      </c>
      <c r="D4684" s="21" t="s">
        <v>1007</v>
      </c>
      <c r="E4684" s="22">
        <f>IF(D4684="?OLD","!!!","")</f>
        <v/>
      </c>
      <c r="F4684" s="23" t="str">
        <f>IF(OR(E4684="",E4684="!!!"),"",IF(NOT(ISNA(VLOOKUP(E4684,E$1:E4683,1,FALSE()))),"OLD",IF(AND(E4684&lt;&gt;"",E4684&lt;&gt;"!!!"),"NEW","")))</f>
        <v> </v>
      </c>
      <c r="G4684" s="24" t="str">
        <f>IF(OR(E4684="",E4684="!!!"),"",IF(OR(J4684=0,AND(J4684=1,K4684=1),AND(J4684=1,I4684="SBJ"),AND(J4684=1,I4684=0)),"?IN_FOCUS",IF(J4684&lt;=2,"?ACTIVATED",IF(J4684&lt;&gt;"","?FAMILIAR",IF(F4684="NEW",IF(ISNA(VLOOKUP(E4684,#REF!,1,FALSE())),"?TYPE_IDENTIFIABLE","?REFERENTIAL"),"_")))))</f>
        <v> </v>
      </c>
      <c r="H4684" s="25" t="str">
        <f>IF(J4684&lt;&gt;1,"",IF(I4684="SBJ","CB","?"))</f>
        <v> </v>
      </c>
      <c r="I4684" s="26" t="str">
        <f>IF(OR(E4684="",E4684="!!!",F4684="NEW"),"",INDEX(B4683:B$2,-1+SUMPRODUCT(MAX(ROW(E4683:E$2)*(E4684=E4683:E$2)))))</f>
        <v> </v>
      </c>
      <c r="J4684" s="26" t="str">
        <f>IF(OR(E4684="",E4684="!!!",F4684="NEW"),"",COUNTBLANK(OFFSET(A$1,,,SUMPRODUCT(MAX(ROW(E$2:E4684)*(E4684=E$2:E4684)))))-COUNTBLANK(OFFSET(A$1,,,SUMPRODUCT(MAX(ROW(E$1:E4683)*(E2=E$1:E4683))))))</f>
        <v> </v>
      </c>
      <c r="K4684" s="26" t="str">
        <f>IF(OR(E4684="",E4684="!!!",F4684="NEW"),"",INDEX(J$1:J4683,SUMPRODUCT(MAX(ROW(E$1:E4683)*(E4684=E$1:E4683)))))</f>
        <v> </v>
      </c>
      <c r="L4684" s="27"/>
    </row>
    <row r="4685" spans="1:12">
      <c r="A4685" s="20" t="s">
        <v>1051</v>
      </c>
      <c r="E4685" s="22">
        <f>IF(D4685="?OLD","!!!","")</f>
        <v/>
      </c>
      <c r="F4685" s="23" t="str">
        <f>IF(OR(E4685="",E4685="!!!"),"",IF(NOT(ISNA(VLOOKUP(E4685,E$1:E4684,1,FALSE()))),"OLD",IF(AND(E4685&lt;&gt;"",E4685&lt;&gt;"!!!"),"NEW","")))</f>
        <v> </v>
      </c>
      <c r="G4685" s="24" t="str">
        <f>IF(OR(E4685="",E4685="!!!"),"",IF(OR(J4685=0,AND(J4685=1,K4685=1),AND(J4685=1,I4685="SBJ"),AND(J4685=1,I4685=0)),"?IN_FOCUS",IF(J4685&lt;=2,"?ACTIVATED",IF(J4685&lt;&gt;"","?FAMILIAR",IF(F4685="NEW",IF(ISNA(VLOOKUP(E4685,#REF!,1,FALSE())),"?TYPE_IDENTIFIABLE","?REFERENTIAL"),"_")))))</f>
        <v> </v>
      </c>
      <c r="H4685" s="25" t="str">
        <f>IF(J4685&lt;&gt;1,"",IF(I4685="SBJ","CB","?"))</f>
        <v> </v>
      </c>
      <c r="I4685" s="26" t="str">
        <f>IF(OR(E4685="",E4685="!!!",F4685="NEW"),"",INDEX(B4684:B$2,-1+SUMPRODUCT(MAX(ROW(E4684:E$2)*(E4685=E4684:E$2)))))</f>
        <v> </v>
      </c>
      <c r="J4685" s="26" t="str">
        <f>IF(OR(E4685="",E4685="!!!",F4685="NEW"),"",COUNTBLANK(OFFSET(A$1,,,SUMPRODUCT(MAX(ROW(E$2:E4685)*(E4685=E$2:E4685)))))-COUNTBLANK(OFFSET(A$1,,,SUMPRODUCT(MAX(ROW(E$1:E4684)*(E2=E$1:E4684))))))</f>
        <v> </v>
      </c>
      <c r="K4685" s="26" t="str">
        <f>IF(OR(E4685="",E4685="!!!",F4685="NEW"),"",INDEX(J$1:J4684,SUMPRODUCT(MAX(ROW(E$1:E4684)*(E4685=E$1:E4684)))))</f>
        <v> </v>
      </c>
      <c r="L4685" s="27"/>
    </row>
    <row r="4686" spans="1:12">
      <c r="A4686" s="20" t="s">
        <v>1020</v>
      </c>
      <c r="E4686" s="22">
        <f>IF(D4686="?OLD","!!!","")</f>
        <v/>
      </c>
      <c r="F4686" s="23" t="str">
        <f>IF(OR(E4686="",E4686="!!!"),"",IF(NOT(ISNA(VLOOKUP(E4686,E$1:E4685,1,FALSE()))),"OLD",IF(AND(E4686&lt;&gt;"",E4686&lt;&gt;"!!!"),"NEW","")))</f>
        <v> </v>
      </c>
      <c r="G4686" s="24" t="str">
        <f>IF(OR(E4686="",E4686="!!!"),"",IF(OR(J4686=0,AND(J4686=1,K4686=1),AND(J4686=1,I4686="SBJ"),AND(J4686=1,I4686=0)),"?IN_FOCUS",IF(J4686&lt;=2,"?ACTIVATED",IF(J4686&lt;&gt;"","?FAMILIAR",IF(F4686="NEW",IF(ISNA(VLOOKUP(E4686,#REF!,1,FALSE())),"?TYPE_IDENTIFIABLE","?REFERENTIAL"),"_")))))</f>
        <v> </v>
      </c>
      <c r="H4686" s="25" t="str">
        <f>IF(J4686&lt;&gt;1,"",IF(I4686="SBJ","CB","?"))</f>
        <v> </v>
      </c>
      <c r="I4686" s="26" t="str">
        <f>IF(OR(E4686="",E4686="!!!",F4686="NEW"),"",INDEX(B4685:B$2,-1+SUMPRODUCT(MAX(ROW(E4685:E$2)*(E4686=E4685:E$2)))))</f>
        <v> </v>
      </c>
      <c r="J4686" s="26" t="str">
        <f>IF(OR(E4686="",E4686="!!!",F4686="NEW"),"",COUNTBLANK(OFFSET(A$1,,,SUMPRODUCT(MAX(ROW(E$2:E4686)*(E4686=E$2:E4686)))))-COUNTBLANK(OFFSET(A$1,,,SUMPRODUCT(MAX(ROW(E$1:E4685)*(E2=E$1:E4685))))))</f>
        <v> </v>
      </c>
      <c r="K4686" s="26" t="str">
        <f>IF(OR(E4686="",E4686="!!!",F4686="NEW"),"",INDEX(J$1:J4685,SUMPRODUCT(MAX(ROW(E$1:E4685)*(E4686=E$1:E4685)))))</f>
        <v> </v>
      </c>
      <c r="L4686" s="27"/>
    </row>
    <row r="4687" spans="1:12">
      <c r="A4687" s="20" t="s">
        <v>1026</v>
      </c>
      <c r="E4687" s="22">
        <f>IF(D4687="?OLD","!!!","")</f>
        <v/>
      </c>
      <c r="F4687" s="23" t="str">
        <f>IF(OR(E4687="",E4687="!!!"),"",IF(NOT(ISNA(VLOOKUP(E4687,E$1:E4686,1,FALSE()))),"OLD",IF(AND(E4687&lt;&gt;"",E4687&lt;&gt;"!!!"),"NEW","")))</f>
        <v> </v>
      </c>
      <c r="G4687" s="24" t="str">
        <f>IF(OR(E4687="",E4687="!!!"),"",IF(OR(J4687=0,AND(J4687=1,K4687=1),AND(J4687=1,I4687="SBJ"),AND(J4687=1,I4687=0)),"?IN_FOCUS",IF(J4687&lt;=2,"?ACTIVATED",IF(J4687&lt;&gt;"","?FAMILIAR",IF(F4687="NEW",IF(ISNA(VLOOKUP(E4687,#REF!,1,FALSE())),"?TYPE_IDENTIFIABLE","?REFERENTIAL"),"_")))))</f>
        <v> </v>
      </c>
      <c r="H4687" s="25" t="str">
        <f>IF(J4687&lt;&gt;1,"",IF(I4687="SBJ","CB","?"))</f>
        <v> </v>
      </c>
      <c r="I4687" s="26" t="str">
        <f>IF(OR(E4687="",E4687="!!!",F4687="NEW"),"",INDEX(B4686:B$2,-1+SUMPRODUCT(MAX(ROW(E4686:E$2)*(E4687=E4686:E$2)))))</f>
        <v> </v>
      </c>
      <c r="J4687" s="26" t="str">
        <f>IF(OR(E4687="",E4687="!!!",F4687="NEW"),"",COUNTBLANK(OFFSET(A$1,,,SUMPRODUCT(MAX(ROW(E$2:E4687)*(E4687=E$2:E4687)))))-COUNTBLANK(OFFSET(A$1,,,SUMPRODUCT(MAX(ROW(E$1:E4686)*(E2=E$1:E4686))))))</f>
        <v> </v>
      </c>
      <c r="K4687" s="26" t="str">
        <f>IF(OR(E4687="",E4687="!!!",F4687="NEW"),"",INDEX(J$1:J4686,SUMPRODUCT(MAX(ROW(E$1:E4686)*(E4687=E$1:E4686)))))</f>
        <v> </v>
      </c>
      <c r="L4687" s="27"/>
    </row>
    <row r="4688" spans="1:12">
      <c r="A4688" s="20" t="s">
        <v>1182</v>
      </c>
      <c r="E4688" s="22">
        <f>IF(D4688="?OLD","!!!","")</f>
        <v/>
      </c>
      <c r="F4688" s="23" t="str">
        <f>IF(OR(E4688="",E4688="!!!"),"",IF(NOT(ISNA(VLOOKUP(E4688,E$1:E4687,1,FALSE()))),"OLD",IF(AND(E4688&lt;&gt;"",E4688&lt;&gt;"!!!"),"NEW","")))</f>
        <v> </v>
      </c>
      <c r="G4688" s="24" t="str">
        <f>IF(OR(E4688="",E4688="!!!"),"",IF(OR(J4688=0,AND(J4688=1,K4688=1),AND(J4688=1,I4688="SBJ"),AND(J4688=1,I4688=0)),"?IN_FOCUS",IF(J4688&lt;=2,"?ACTIVATED",IF(J4688&lt;&gt;"","?FAMILIAR",IF(F4688="NEW",IF(ISNA(VLOOKUP(E4688,#REF!,1,FALSE())),"?TYPE_IDENTIFIABLE","?REFERENTIAL"),"_")))))</f>
        <v> </v>
      </c>
      <c r="H4688" s="25" t="str">
        <f>IF(J4688&lt;&gt;1,"",IF(I4688="SBJ","CB","?"))</f>
        <v> </v>
      </c>
      <c r="I4688" s="26" t="str">
        <f>IF(OR(E4688="",E4688="!!!",F4688="NEW"),"",INDEX(B4687:B$2,-1+SUMPRODUCT(MAX(ROW(E4687:E$2)*(E4688=E4687:E$2)))))</f>
        <v> </v>
      </c>
      <c r="J4688" s="26" t="str">
        <f>IF(OR(E4688="",E4688="!!!",F4688="NEW"),"",COUNTBLANK(OFFSET(A$1,,,SUMPRODUCT(MAX(ROW(E$2:E4688)*(E4688=E$2:E4688)))))-COUNTBLANK(OFFSET(A$1,,,SUMPRODUCT(MAX(ROW(E$1:E4687)*(E2=E$1:E4687))))))</f>
        <v> </v>
      </c>
      <c r="K4688" s="26" t="str">
        <f>IF(OR(E4688="",E4688="!!!",F4688="NEW"),"",INDEX(J$1:J4687,SUMPRODUCT(MAX(ROW(E$1:E4687)*(E4688=E$1:E4687)))))</f>
        <v> </v>
      </c>
      <c r="L4688" s="27"/>
    </row>
    <row r="4689" spans="1:12">
      <c r="A4689" s="20" t="s">
        <v>102</v>
      </c>
      <c r="E4689" s="22">
        <f>IF(D4689="?OLD","!!!","")</f>
        <v/>
      </c>
      <c r="F4689" s="23" t="str">
        <f>IF(OR(E4689="",E4689="!!!"),"",IF(NOT(ISNA(VLOOKUP(E4689,E$1:E4688,1,FALSE()))),"OLD",IF(AND(E4689&lt;&gt;"",E4689&lt;&gt;"!!!"),"NEW","")))</f>
        <v> </v>
      </c>
      <c r="G4689" s="24" t="str">
        <f>IF(OR(E4689="",E4689="!!!"),"",IF(OR(J4689=0,AND(J4689=1,K4689=1),AND(J4689=1,I4689="SBJ"),AND(J4689=1,I4689=0)),"?IN_FOCUS",IF(J4689&lt;=2,"?ACTIVATED",IF(J4689&lt;&gt;"","?FAMILIAR",IF(F4689="NEW",IF(ISNA(VLOOKUP(E4689,#REF!,1,FALSE())),"?TYPE_IDENTIFIABLE","?REFERENTIAL"),"_")))))</f>
        <v> </v>
      </c>
      <c r="H4689" s="25" t="str">
        <f>IF(J4689&lt;&gt;1,"",IF(I4689="SBJ","CB","?"))</f>
        <v> </v>
      </c>
      <c r="I4689" s="26" t="str">
        <f>IF(OR(E4689="",E4689="!!!",F4689="NEW"),"",INDEX(B4688:B$2,-1+SUMPRODUCT(MAX(ROW(E4688:E$2)*(E4689=E4688:E$2)))))</f>
        <v> </v>
      </c>
      <c r="J4689" s="26" t="str">
        <f>IF(OR(E4689="",E4689="!!!",F4689="NEW"),"",COUNTBLANK(OFFSET(A$1,,,SUMPRODUCT(MAX(ROW(E$2:E4689)*(E4689=E$2:E4689)))))-COUNTBLANK(OFFSET(A$1,,,SUMPRODUCT(MAX(ROW(E$1:E4688)*(E2=E$1:E4688))))))</f>
        <v> </v>
      </c>
      <c r="K4689" s="26" t="str">
        <f>IF(OR(E4689="",E4689="!!!",F4689="NEW"),"",INDEX(J$1:J4688,SUMPRODUCT(MAX(ROW(E$1:E4688)*(E4689=E$1:E4688)))))</f>
        <v> </v>
      </c>
      <c r="L4689" s="27"/>
    </row>
    <row r="4690" spans="1:12">
      <c r="A4690" s="20" t="s">
        <v>2324</v>
      </c>
      <c r="B4690" s="21" t="s">
        <v>1029</v>
      </c>
      <c r="C4690" s="21" t="s">
        <v>1017</v>
      </c>
      <c r="D4690" s="21" t="s">
        <v>1007</v>
      </c>
      <c r="E4690" s="22">
        <f>IF(D4690="?OLD","!!!","")</f>
        <v/>
      </c>
      <c r="F4690" s="23" t="str">
        <f>IF(OR(E4690="",E4690="!!!"),"",IF(NOT(ISNA(VLOOKUP(E4690,E$1:E4689,1,FALSE()))),"OLD",IF(AND(E4690&lt;&gt;"",E4690&lt;&gt;"!!!"),"NEW","")))</f>
        <v> </v>
      </c>
      <c r="G4690" s="24" t="str">
        <f>IF(OR(E4690="",E4690="!!!"),"",IF(OR(J4690=0,AND(J4690=1,K4690=1),AND(J4690=1,I4690="SBJ"),AND(J4690=1,I4690=0)),"?IN_FOCUS",IF(J4690&lt;=2,"?ACTIVATED",IF(J4690&lt;&gt;"","?FAMILIAR",IF(F4690="NEW",IF(ISNA(VLOOKUP(E4690,#REF!,1,FALSE())),"?TYPE_IDENTIFIABLE","?REFERENTIAL"),"_")))))</f>
        <v> </v>
      </c>
      <c r="H4690" s="25" t="str">
        <f>IF(J4690&lt;&gt;1,"",IF(I4690="SBJ","CB","?"))</f>
        <v> </v>
      </c>
      <c r="I4690" s="26" t="str">
        <f>IF(OR(E4690="",E4690="!!!",F4690="NEW"),"",INDEX(B4689:B$2,-1+SUMPRODUCT(MAX(ROW(E4689:E$2)*(E4690=E4689:E$2)))))</f>
        <v> </v>
      </c>
      <c r="J4690" s="26" t="str">
        <f>IF(OR(E4690="",E4690="!!!",F4690="NEW"),"",COUNTBLANK(OFFSET(A$1,,,SUMPRODUCT(MAX(ROW(E$2:E4690)*(E4690=E$2:E4690)))))-COUNTBLANK(OFFSET(A$1,,,SUMPRODUCT(MAX(ROW(E$1:E4689)*(E2=E$1:E4689))))))</f>
        <v> </v>
      </c>
      <c r="K4690" s="26" t="str">
        <f>IF(OR(E4690="",E4690="!!!",F4690="NEW"),"",INDEX(J$1:J4689,SUMPRODUCT(MAX(ROW(E$1:E4689)*(E4690=E$1:E4689)))))</f>
        <v> </v>
      </c>
      <c r="L4690" s="27"/>
    </row>
    <row r="4691" spans="1:12">
      <c r="A4691" s="20" t="s">
        <v>1077</v>
      </c>
      <c r="E4691" s="22">
        <f>IF(D4691="?OLD","!!!","")</f>
        <v/>
      </c>
      <c r="F4691" s="23" t="str">
        <f>IF(OR(E4691="",E4691="!!!"),"",IF(NOT(ISNA(VLOOKUP(E4691,E$1:E4690,1,FALSE()))),"OLD",IF(AND(E4691&lt;&gt;"",E4691&lt;&gt;"!!!"),"NEW","")))</f>
        <v> </v>
      </c>
      <c r="G4691" s="24" t="str">
        <f>IF(OR(E4691="",E4691="!!!"),"",IF(OR(J4691=0,AND(J4691=1,K4691=1),AND(J4691=1,I4691="SBJ"),AND(J4691=1,I4691=0)),"?IN_FOCUS",IF(J4691&lt;=2,"?ACTIVATED",IF(J4691&lt;&gt;"","?FAMILIAR",IF(F4691="NEW",IF(ISNA(VLOOKUP(E4691,#REF!,1,FALSE())),"?TYPE_IDENTIFIABLE","?REFERENTIAL"),"_")))))</f>
        <v> </v>
      </c>
      <c r="H4691" s="25" t="str">
        <f>IF(J4691&lt;&gt;1,"",IF(I4691="SBJ","CB","?"))</f>
        <v> </v>
      </c>
      <c r="I4691" s="26" t="str">
        <f>IF(OR(E4691="",E4691="!!!",F4691="NEW"),"",INDEX(B4690:B$2,-1+SUMPRODUCT(MAX(ROW(E4690:E$2)*(E4691=E4690:E$2)))))</f>
        <v> </v>
      </c>
      <c r="J4691" s="26" t="str">
        <f>IF(OR(E4691="",E4691="!!!",F4691="NEW"),"",COUNTBLANK(OFFSET(A$1,,,SUMPRODUCT(MAX(ROW(E$2:E4691)*(E4691=E$2:E4691)))))-COUNTBLANK(OFFSET(A$1,,,SUMPRODUCT(MAX(ROW(E$1:E4690)*(E2=E$1:E4690))))))</f>
        <v> </v>
      </c>
      <c r="K4691" s="26" t="str">
        <f>IF(OR(E4691="",E4691="!!!",F4691="NEW"),"",INDEX(J$1:J4690,SUMPRODUCT(MAX(ROW(E$1:E4690)*(E4691=E$1:E4690)))))</f>
        <v> </v>
      </c>
      <c r="L4691" s="27"/>
    </row>
    <row r="4692" spans="1:12">
      <c r="A4692" s="20"/>
    </row>
    <row r="4693" spans="1:12">
      <c r="A4693" s="20" t="s">
        <v>2325</v>
      </c>
    </row>
    <row r="4694" spans="1:12">
      <c r="A4694" s="20" t="s">
        <v>1118</v>
      </c>
      <c r="B4694" s="21" t="s">
        <v>1005</v>
      </c>
      <c r="C4694" s="21" t="s">
        <v>1048</v>
      </c>
      <c r="E4694" s="22">
        <f>IF(D4694="?OLD","!!!","")</f>
        <v/>
      </c>
      <c r="F4694" s="23" t="str">
        <f>IF(OR(E4694="",E4694="!!!"),"",IF(NOT(ISNA(VLOOKUP(E4694,E$1:E4693,1,FALSE()))),"OLD",IF(AND(E4694&lt;&gt;"",E4694&lt;&gt;"!!!"),"NEW","")))</f>
        <v> </v>
      </c>
      <c r="G4694" s="24" t="str">
        <f>IF(OR(E4694="",E4694="!!!"),"",IF(OR(J4694=0,AND(J4694=1,K4694=1),AND(J4694=1,I4694="SBJ"),AND(J4694=1,I4694=0)),"?IN_FOCUS",IF(J4694&lt;=2,"?ACTIVATED",IF(J4694&lt;&gt;"","?FAMILIAR",IF(F4694="NEW",IF(ISNA(VLOOKUP(E4694,#REF!,1,FALSE())),"?TYPE_IDENTIFIABLE","?REFERENTIAL"),"_")))))</f>
        <v> </v>
      </c>
      <c r="H4694" s="25" t="str">
        <f>IF(J4694&lt;&gt;1,"",IF(I4694="SBJ","CB","?"))</f>
        <v> </v>
      </c>
      <c r="I4694" s="26" t="str">
        <f>IF(OR(E4694="",E4694="!!!",F4694="NEW"),"",INDEX(B4693:B$2,-1+SUMPRODUCT(MAX(ROW(E4693:E$2)*(E4694=E4693:E$2)))))</f>
        <v> </v>
      </c>
      <c r="J4694" s="26" t="str">
        <f>IF(OR(E4694="",E4694="!!!",F4694="NEW"),"",COUNTBLANK(OFFSET(A$1,,,SUMPRODUCT(MAX(ROW(E$2:E4694)*(E4694=E$2:E4694)))))-COUNTBLANK(OFFSET(A$1,,,SUMPRODUCT(MAX(ROW(E$1:E4693)*(E2=E$1:E4693))))))</f>
        <v> </v>
      </c>
      <c r="K4694" s="26" t="str">
        <f>IF(OR(E4694="",E4694="!!!",F4694="NEW"),"",INDEX(J$1:J4693,SUMPRODUCT(MAX(ROW(E$1:E4693)*(E4694=E$1:E4693)))))</f>
        <v> </v>
      </c>
      <c r="L4694" s="27"/>
    </row>
    <row r="4695" spans="1:12">
      <c r="A4695" s="20" t="s">
        <v>1009</v>
      </c>
      <c r="E4695" s="22">
        <f>IF(D4695="?OLD","!!!","")</f>
        <v/>
      </c>
      <c r="F4695" s="23" t="str">
        <f>IF(OR(E4695="",E4695="!!!"),"",IF(NOT(ISNA(VLOOKUP(E4695,E$1:E4694,1,FALSE()))),"OLD",IF(AND(E4695&lt;&gt;"",E4695&lt;&gt;"!!!"),"NEW","")))</f>
        <v> </v>
      </c>
      <c r="G4695" s="24" t="str">
        <f>IF(OR(E4695="",E4695="!!!"),"",IF(OR(J4695=0,AND(J4695=1,K4695=1),AND(J4695=1,I4695="SBJ"),AND(J4695=1,I4695=0)),"?IN_FOCUS",IF(J4695&lt;=2,"?ACTIVATED",IF(J4695&lt;&gt;"","?FAMILIAR",IF(F4695="NEW",IF(ISNA(VLOOKUP(E4695,#REF!,1,FALSE())),"?TYPE_IDENTIFIABLE","?REFERENTIAL"),"_")))))</f>
        <v> </v>
      </c>
      <c r="H4695" s="25" t="str">
        <f>IF(J4695&lt;&gt;1,"",IF(I4695="SBJ","CB","?"))</f>
        <v> </v>
      </c>
      <c r="I4695" s="26" t="str">
        <f>IF(OR(E4695="",E4695="!!!",F4695="NEW"),"",INDEX(B4694:B$2,-1+SUMPRODUCT(MAX(ROW(E4694:E$2)*(E4695=E4694:E$2)))))</f>
        <v> </v>
      </c>
      <c r="J4695" s="26" t="str">
        <f>IF(OR(E4695="",E4695="!!!",F4695="NEW"),"",COUNTBLANK(OFFSET(A$1,,,SUMPRODUCT(MAX(ROW(E$2:E4695)*(E4695=E$2:E4695)))))-COUNTBLANK(OFFSET(A$1,,,SUMPRODUCT(MAX(ROW(E$1:E4694)*(E2=E$1:E4694))))))</f>
        <v> </v>
      </c>
      <c r="K4695" s="26" t="str">
        <f>IF(OR(E4695="",E4695="!!!",F4695="NEW"),"",INDEX(J$1:J4694,SUMPRODUCT(MAX(ROW(E$1:E4694)*(E4695=E$1:E4694)))))</f>
        <v> </v>
      </c>
      <c r="L4695" s="27"/>
    </row>
    <row r="4696" spans="1:12">
      <c r="A4696" s="20"/>
    </row>
    <row r="4697" spans="1:12">
      <c r="A4697" s="20" t="s">
        <v>2326</v>
      </c>
    </row>
    <row r="4698" spans="1:12">
      <c r="A4698" s="20" t="s">
        <v>1147</v>
      </c>
      <c r="E4698" s="22">
        <f>IF(D4698="?OLD","!!!","")</f>
        <v/>
      </c>
      <c r="F4698" s="23" t="str">
        <f>IF(OR(E4698="",E4698="!!!"),"",IF(NOT(ISNA(VLOOKUP(E4698,E$1:E4697,1,FALSE()))),"OLD",IF(AND(E4698&lt;&gt;"",E4698&lt;&gt;"!!!"),"NEW","")))</f>
        <v> </v>
      </c>
      <c r="G4698" s="24" t="str">
        <f>IF(OR(E4698="",E4698="!!!"),"",IF(OR(J4698=0,AND(J4698=1,K4698=1),AND(J4698=1,I4698="SBJ"),AND(J4698=1,I4698=0)),"?IN_FOCUS",IF(J4698&lt;=2,"?ACTIVATED",IF(J4698&lt;&gt;"","?FAMILIAR",IF(F4698="NEW",IF(ISNA(VLOOKUP(E4698,#REF!,1,FALSE())),"?TYPE_IDENTIFIABLE","?REFERENTIAL"),"_")))))</f>
        <v> </v>
      </c>
      <c r="H4698" s="25" t="str">
        <f>IF(J4698&lt;&gt;1,"",IF(I4698="SBJ","CB","?"))</f>
        <v> </v>
      </c>
      <c r="I4698" s="26" t="str">
        <f>IF(OR(E4698="",E4698="!!!",F4698="NEW"),"",INDEX(B4697:B$2,-1+SUMPRODUCT(MAX(ROW(E4697:E$2)*(E4698=E4697:E$2)))))</f>
        <v> </v>
      </c>
      <c r="J4698" s="26" t="str">
        <f>IF(OR(E4698="",E4698="!!!",F4698="NEW"),"",COUNTBLANK(OFFSET(A$1,,,SUMPRODUCT(MAX(ROW(E$2:E4698)*(E4698=E$2:E4698)))))-COUNTBLANK(OFFSET(A$1,,,SUMPRODUCT(MAX(ROW(E$1:E4697)*(E2=E$1:E4697))))))</f>
        <v> </v>
      </c>
      <c r="K4698" s="26" t="str">
        <f>IF(OR(E4698="",E4698="!!!",F4698="NEW"),"",INDEX(J$1:J4697,SUMPRODUCT(MAX(ROW(E$1:E4697)*(E4698=E$1:E4697)))))</f>
        <v> </v>
      </c>
      <c r="L4698" s="27"/>
    </row>
    <row r="4699" spans="1:12">
      <c r="A4699" s="20" t="s">
        <v>1075</v>
      </c>
      <c r="E4699" s="22">
        <f>IF(D4699="?OLD","!!!","")</f>
        <v/>
      </c>
      <c r="F4699" s="23" t="str">
        <f>IF(OR(E4699="",E4699="!!!"),"",IF(NOT(ISNA(VLOOKUP(E4699,E$1:E4698,1,FALSE()))),"OLD",IF(AND(E4699&lt;&gt;"",E4699&lt;&gt;"!!!"),"NEW","")))</f>
        <v> </v>
      </c>
      <c r="G4699" s="24" t="str">
        <f>IF(OR(E4699="",E4699="!!!"),"",IF(OR(J4699=0,AND(J4699=1,K4699=1),AND(J4699=1,I4699="SBJ"),AND(J4699=1,I4699=0)),"?IN_FOCUS",IF(J4699&lt;=2,"?ACTIVATED",IF(J4699&lt;&gt;"","?FAMILIAR",IF(F4699="NEW",IF(ISNA(VLOOKUP(E4699,#REF!,1,FALSE())),"?TYPE_IDENTIFIABLE","?REFERENTIAL"),"_")))))</f>
        <v> </v>
      </c>
      <c r="H4699" s="25" t="str">
        <f>IF(J4699&lt;&gt;1,"",IF(I4699="SBJ","CB","?"))</f>
        <v> </v>
      </c>
      <c r="I4699" s="26" t="str">
        <f>IF(OR(E4699="",E4699="!!!",F4699="NEW"),"",INDEX(B4698:B$2,-1+SUMPRODUCT(MAX(ROW(E4698:E$2)*(E4699=E4698:E$2)))))</f>
        <v> </v>
      </c>
      <c r="J4699" s="26" t="str">
        <f>IF(OR(E4699="",E4699="!!!",F4699="NEW"),"",COUNTBLANK(OFFSET(A$1,,,SUMPRODUCT(MAX(ROW(E$2:E4699)*(E4699=E$2:E4699)))))-COUNTBLANK(OFFSET(A$1,,,SUMPRODUCT(MAX(ROW(E$1:E4698)*(E2=E$1:E4698))))))</f>
        <v> </v>
      </c>
      <c r="K4699" s="26" t="str">
        <f>IF(OR(E4699="",E4699="!!!",F4699="NEW"),"",INDEX(J$1:J4698,SUMPRODUCT(MAX(ROW(E$1:E4698)*(E4699=E$1:E4698)))))</f>
        <v> </v>
      </c>
      <c r="L4699" s="27"/>
    </row>
    <row r="4700" spans="1:12">
      <c r="A4700" s="20" t="s">
        <v>1367</v>
      </c>
      <c r="E4700" s="22">
        <f>IF(D4700="?OLD","!!!","")</f>
        <v/>
      </c>
      <c r="F4700" s="23" t="str">
        <f>IF(OR(E4700="",E4700="!!!"),"",IF(NOT(ISNA(VLOOKUP(E4700,E$1:E4699,1,FALSE()))),"OLD",IF(AND(E4700&lt;&gt;"",E4700&lt;&gt;"!!!"),"NEW","")))</f>
        <v> </v>
      </c>
      <c r="G4700" s="24" t="str">
        <f>IF(OR(E4700="",E4700="!!!"),"",IF(OR(J4700=0,AND(J4700=1,K4700=1),AND(J4700=1,I4700="SBJ"),AND(J4700=1,I4700=0)),"?IN_FOCUS",IF(J4700&lt;=2,"?ACTIVATED",IF(J4700&lt;&gt;"","?FAMILIAR",IF(F4700="NEW",IF(ISNA(VLOOKUP(E4700,#REF!,1,FALSE())),"?TYPE_IDENTIFIABLE","?REFERENTIAL"),"_")))))</f>
        <v> </v>
      </c>
      <c r="H4700" s="25" t="str">
        <f>IF(J4700&lt;&gt;1,"",IF(I4700="SBJ","CB","?"))</f>
        <v> </v>
      </c>
      <c r="I4700" s="26" t="str">
        <f>IF(OR(E4700="",E4700="!!!",F4700="NEW"),"",INDEX(B4699:B$2,-1+SUMPRODUCT(MAX(ROW(E4699:E$2)*(E4700=E4699:E$2)))))</f>
        <v> </v>
      </c>
      <c r="J4700" s="26" t="str">
        <f>IF(OR(E4700="",E4700="!!!",F4700="NEW"),"",COUNTBLANK(OFFSET(A$1,,,SUMPRODUCT(MAX(ROW(E$2:E4700)*(E4700=E$2:E4700)))))-COUNTBLANK(OFFSET(A$1,,,SUMPRODUCT(MAX(ROW(E$1:E4699)*(E2=E$1:E4699))))))</f>
        <v> </v>
      </c>
      <c r="K4700" s="26" t="str">
        <f>IF(OR(E4700="",E4700="!!!",F4700="NEW"),"",INDEX(J$1:J4699,SUMPRODUCT(MAX(ROW(E$1:E4699)*(E4700=E$1:E4699)))))</f>
        <v> </v>
      </c>
      <c r="L4700" s="27"/>
    </row>
    <row r="4701" spans="1:12">
      <c r="A4701" s="20" t="s">
        <v>2327</v>
      </c>
      <c r="B4701" s="21" t="s">
        <v>1005</v>
      </c>
      <c r="C4701" s="21" t="s">
        <v>1205</v>
      </c>
      <c r="E4701" s="22">
        <f>IF(D4701="?OLD","!!!","")</f>
        <v/>
      </c>
      <c r="F4701" s="23" t="str">
        <f>IF(OR(E4701="",E4701="!!!"),"",IF(NOT(ISNA(VLOOKUP(E4701,E$1:E4700,1,FALSE()))),"OLD",IF(AND(E4701&lt;&gt;"",E4701&lt;&gt;"!!!"),"NEW","")))</f>
        <v> </v>
      </c>
      <c r="G4701" s="24" t="str">
        <f>IF(OR(E4701="",E4701="!!!"),"",IF(OR(J4701=0,AND(J4701=1,K4701=1),AND(J4701=1,I4701="SBJ"),AND(J4701=1,I4701=0)),"?IN_FOCUS",IF(J4701&lt;=2,"?ACTIVATED",IF(J4701&lt;&gt;"","?FAMILIAR",IF(F4701="NEW",IF(ISNA(VLOOKUP(E4701,#REF!,1,FALSE())),"?TYPE_IDENTIFIABLE","?REFERENTIAL"),"_")))))</f>
        <v> </v>
      </c>
      <c r="H4701" s="25" t="str">
        <f>IF(J4701&lt;&gt;1,"",IF(I4701="SBJ","CB","?"))</f>
        <v> </v>
      </c>
      <c r="I4701" s="26" t="str">
        <f>IF(OR(E4701="",E4701="!!!",F4701="NEW"),"",INDEX(B4700:B$2,-1+SUMPRODUCT(MAX(ROW(E4700:E$2)*(E4701=E4700:E$2)))))</f>
        <v> </v>
      </c>
      <c r="J4701" s="26" t="str">
        <f>IF(OR(E4701="",E4701="!!!",F4701="NEW"),"",COUNTBLANK(OFFSET(A$1,,,SUMPRODUCT(MAX(ROW(E$2:E4701)*(E4701=E$2:E4701)))))-COUNTBLANK(OFFSET(A$1,,,SUMPRODUCT(MAX(ROW(E$1:E4700)*(E2=E$1:E4700))))))</f>
        <v> </v>
      </c>
      <c r="K4701" s="26" t="str">
        <f>IF(OR(E4701="",E4701="!!!",F4701="NEW"),"",INDEX(J$1:J4700,SUMPRODUCT(MAX(ROW(E$1:E4700)*(E4701=E$1:E4700)))))</f>
        <v> </v>
      </c>
      <c r="L4701" s="27"/>
    </row>
    <row r="4702" spans="1:12">
      <c r="A4702" s="20" t="s">
        <v>1065</v>
      </c>
      <c r="E4702" s="22">
        <f>IF(D4702="?OLD","!!!","")</f>
        <v/>
      </c>
      <c r="F4702" s="23" t="str">
        <f>IF(OR(E4702="",E4702="!!!"),"",IF(NOT(ISNA(VLOOKUP(E4702,E$1:E4701,1,FALSE()))),"OLD",IF(AND(E4702&lt;&gt;"",E4702&lt;&gt;"!!!"),"NEW","")))</f>
        <v> </v>
      </c>
      <c r="G4702" s="24" t="str">
        <f>IF(OR(E4702="",E4702="!!!"),"",IF(OR(J4702=0,AND(J4702=1,K4702=1),AND(J4702=1,I4702="SBJ"),AND(J4702=1,I4702=0)),"?IN_FOCUS",IF(J4702&lt;=2,"?ACTIVATED",IF(J4702&lt;&gt;"","?FAMILIAR",IF(F4702="NEW",IF(ISNA(VLOOKUP(E4702,#REF!,1,FALSE())),"?TYPE_IDENTIFIABLE","?REFERENTIAL"),"_")))))</f>
        <v> </v>
      </c>
      <c r="H4702" s="25" t="str">
        <f>IF(J4702&lt;&gt;1,"",IF(I4702="SBJ","CB","?"))</f>
        <v> </v>
      </c>
      <c r="I4702" s="26" t="str">
        <f>IF(OR(E4702="",E4702="!!!",F4702="NEW"),"",INDEX(B4701:B$2,-1+SUMPRODUCT(MAX(ROW(E4701:E$2)*(E4702=E4701:E$2)))))</f>
        <v> </v>
      </c>
      <c r="J4702" s="26" t="str">
        <f>IF(OR(E4702="",E4702="!!!",F4702="NEW"),"",COUNTBLANK(OFFSET(A$1,,,SUMPRODUCT(MAX(ROW(E$2:E4702)*(E4702=E$2:E4702)))))-COUNTBLANK(OFFSET(A$1,,,SUMPRODUCT(MAX(ROW(E$1:E4701)*(E2=E$1:E4701))))))</f>
        <v> </v>
      </c>
      <c r="K4702" s="26" t="str">
        <f>IF(OR(E4702="",E4702="!!!",F4702="NEW"),"",INDEX(J$1:J4701,SUMPRODUCT(MAX(ROW(E$1:E4701)*(E4702=E$1:E4701)))))</f>
        <v> </v>
      </c>
      <c r="L4702" s="27"/>
    </row>
    <row r="4703" spans="1:12">
      <c r="A4703" s="20" t="s">
        <v>1203</v>
      </c>
      <c r="E4703" s="22">
        <f>IF(D4703="?OLD","!!!","")</f>
        <v/>
      </c>
      <c r="F4703" s="23" t="str">
        <f>IF(OR(E4703="",E4703="!!!"),"",IF(NOT(ISNA(VLOOKUP(E4703,E$1:E4702,1,FALSE()))),"OLD",IF(AND(E4703&lt;&gt;"",E4703&lt;&gt;"!!!"),"NEW","")))</f>
        <v> </v>
      </c>
      <c r="G4703" s="24" t="str">
        <f>IF(OR(E4703="",E4703="!!!"),"",IF(OR(J4703=0,AND(J4703=1,K4703=1),AND(J4703=1,I4703="SBJ"),AND(J4703=1,I4703=0)),"?IN_FOCUS",IF(J4703&lt;=2,"?ACTIVATED",IF(J4703&lt;&gt;"","?FAMILIAR",IF(F4703="NEW",IF(ISNA(VLOOKUP(E4703,#REF!,1,FALSE())),"?TYPE_IDENTIFIABLE","?REFERENTIAL"),"_")))))</f>
        <v> </v>
      </c>
      <c r="H4703" s="25" t="str">
        <f>IF(J4703&lt;&gt;1,"",IF(I4703="SBJ","CB","?"))</f>
        <v> </v>
      </c>
      <c r="I4703" s="26" t="str">
        <f>IF(OR(E4703="",E4703="!!!",F4703="NEW"),"",INDEX(B4702:B$2,-1+SUMPRODUCT(MAX(ROW(E4702:E$2)*(E4703=E4702:E$2)))))</f>
        <v> </v>
      </c>
      <c r="J4703" s="26" t="str">
        <f>IF(OR(E4703="",E4703="!!!",F4703="NEW"),"",COUNTBLANK(OFFSET(A$1,,,SUMPRODUCT(MAX(ROW(E$2:E4703)*(E4703=E$2:E4703)))))-COUNTBLANK(OFFSET(A$1,,,SUMPRODUCT(MAX(ROW(E$1:E4702)*(E2=E$1:E4702))))))</f>
        <v> </v>
      </c>
      <c r="K4703" s="26" t="str">
        <f>IF(OR(E4703="",E4703="!!!",F4703="NEW"),"",INDEX(J$1:J4702,SUMPRODUCT(MAX(ROW(E$1:E4702)*(E4703=E$1:E4702)))))</f>
        <v> </v>
      </c>
      <c r="L4703" s="27"/>
    </row>
    <row r="4704" spans="1:12">
      <c r="A4704" s="20" t="s">
        <v>1970</v>
      </c>
      <c r="B4704" s="21" t="s">
        <v>1187</v>
      </c>
      <c r="C4704" s="21" t="s">
        <v>1048</v>
      </c>
      <c r="E4704" s="22">
        <f>IF(D4704="?OLD","!!!","")</f>
        <v/>
      </c>
      <c r="F4704" s="23" t="str">
        <f>IF(OR(E4704="",E4704="!!!"),"",IF(NOT(ISNA(VLOOKUP(E4704,E$1:E4703,1,FALSE()))),"OLD",IF(AND(E4704&lt;&gt;"",E4704&lt;&gt;"!!!"),"NEW","")))</f>
        <v> </v>
      </c>
      <c r="G4704" s="24" t="str">
        <f>IF(OR(E4704="",E4704="!!!"),"",IF(OR(J4704=0,AND(J4704=1,K4704=1),AND(J4704=1,I4704="SBJ"),AND(J4704=1,I4704=0)),"?IN_FOCUS",IF(J4704&lt;=2,"?ACTIVATED",IF(J4704&lt;&gt;"","?FAMILIAR",IF(F4704="NEW",IF(ISNA(VLOOKUP(E4704,#REF!,1,FALSE())),"?TYPE_IDENTIFIABLE","?REFERENTIAL"),"_")))))</f>
        <v> </v>
      </c>
      <c r="H4704" s="25" t="str">
        <f>IF(J4704&lt;&gt;1,"",IF(I4704="SBJ","CB","?"))</f>
        <v> </v>
      </c>
      <c r="I4704" s="26" t="str">
        <f>IF(OR(E4704="",E4704="!!!",F4704="NEW"),"",INDEX(B4703:B$2,-1+SUMPRODUCT(MAX(ROW(E4703:E$2)*(E4704=E4703:E$2)))))</f>
        <v> </v>
      </c>
      <c r="J4704" s="26" t="str">
        <f>IF(OR(E4704="",E4704="!!!",F4704="NEW"),"",COUNTBLANK(OFFSET(A$1,,,SUMPRODUCT(MAX(ROW(E$2:E4704)*(E4704=E$2:E4704)))))-COUNTBLANK(OFFSET(A$1,,,SUMPRODUCT(MAX(ROW(E$1:E4703)*(E2=E$1:E4703))))))</f>
        <v> </v>
      </c>
      <c r="K4704" s="26" t="str">
        <f>IF(OR(E4704="",E4704="!!!",F4704="NEW"),"",INDEX(J$1:J4703,SUMPRODUCT(MAX(ROW(E$1:E4703)*(E4704=E$1:E4703)))))</f>
        <v> </v>
      </c>
      <c r="L4704" s="27"/>
    </row>
    <row r="4705" spans="1:12">
      <c r="A4705" s="20" t="s">
        <v>1036</v>
      </c>
      <c r="E4705" s="22">
        <f>IF(D4705="?OLD","!!!","")</f>
        <v/>
      </c>
      <c r="F4705" s="23" t="str">
        <f>IF(OR(E4705="",E4705="!!!"),"",IF(NOT(ISNA(VLOOKUP(E4705,E$1:E4704,1,FALSE()))),"OLD",IF(AND(E4705&lt;&gt;"",E4705&lt;&gt;"!!!"),"NEW","")))</f>
        <v> </v>
      </c>
      <c r="G4705" s="24" t="str">
        <f>IF(OR(E4705="",E4705="!!!"),"",IF(OR(J4705=0,AND(J4705=1,K4705=1),AND(J4705=1,I4705="SBJ"),AND(J4705=1,I4705=0)),"?IN_FOCUS",IF(J4705&lt;=2,"?ACTIVATED",IF(J4705&lt;&gt;"","?FAMILIAR",IF(F4705="NEW",IF(ISNA(VLOOKUP(E4705,#REF!,1,FALSE())),"?TYPE_IDENTIFIABLE","?REFERENTIAL"),"_")))))</f>
        <v> </v>
      </c>
      <c r="H4705" s="25" t="str">
        <f>IF(J4705&lt;&gt;1,"",IF(I4705="SBJ","CB","?"))</f>
        <v> </v>
      </c>
      <c r="I4705" s="26" t="str">
        <f>IF(OR(E4705="",E4705="!!!",F4705="NEW"),"",INDEX(B4704:B$2,-1+SUMPRODUCT(MAX(ROW(E4704:E$2)*(E4705=E4704:E$2)))))</f>
        <v> </v>
      </c>
      <c r="J4705" s="26" t="str">
        <f>IF(OR(E4705="",E4705="!!!",F4705="NEW"),"",COUNTBLANK(OFFSET(A$1,,,SUMPRODUCT(MAX(ROW(E$2:E4705)*(E4705=E$2:E4705)))))-COUNTBLANK(OFFSET(A$1,,,SUMPRODUCT(MAX(ROW(E$1:E4704)*(E2=E$1:E4704))))))</f>
        <v> </v>
      </c>
      <c r="K4705" s="26" t="str">
        <f>IF(OR(E4705="",E4705="!!!",F4705="NEW"),"",INDEX(J$1:J4704,SUMPRODUCT(MAX(ROW(E$1:E4704)*(E4705=E$1:E4704)))))</f>
        <v> </v>
      </c>
      <c r="L4705" s="27"/>
    </row>
    <row r="4706" spans="1:12">
      <c r="A4706" s="20" t="s">
        <v>2328</v>
      </c>
      <c r="E4706" s="22">
        <f>IF(D4706="?OLD","!!!","")</f>
        <v/>
      </c>
      <c r="F4706" s="23" t="str">
        <f>IF(OR(E4706="",E4706="!!!"),"",IF(NOT(ISNA(VLOOKUP(E4706,E$1:E4705,1,FALSE()))),"OLD",IF(AND(E4706&lt;&gt;"",E4706&lt;&gt;"!!!"),"NEW","")))</f>
        <v> </v>
      </c>
      <c r="G4706" s="24" t="str">
        <f>IF(OR(E4706="",E4706="!!!"),"",IF(OR(J4706=0,AND(J4706=1,K4706=1),AND(J4706=1,I4706="SBJ"),AND(J4706=1,I4706=0)),"?IN_FOCUS",IF(J4706&lt;=2,"?ACTIVATED",IF(J4706&lt;&gt;"","?FAMILIAR",IF(F4706="NEW",IF(ISNA(VLOOKUP(E4706,#REF!,1,FALSE())),"?TYPE_IDENTIFIABLE","?REFERENTIAL"),"_")))))</f>
        <v> </v>
      </c>
      <c r="H4706" s="25" t="str">
        <f>IF(J4706&lt;&gt;1,"",IF(I4706="SBJ","CB","?"))</f>
        <v> </v>
      </c>
      <c r="I4706" s="26" t="str">
        <f>IF(OR(E4706="",E4706="!!!",F4706="NEW"),"",INDEX(B4705:B$2,-1+SUMPRODUCT(MAX(ROW(E4705:E$2)*(E4706=E4705:E$2)))))</f>
        <v> </v>
      </c>
      <c r="J4706" s="26" t="str">
        <f>IF(OR(E4706="",E4706="!!!",F4706="NEW"),"",COUNTBLANK(OFFSET(A$1,,,SUMPRODUCT(MAX(ROW(E$2:E4706)*(E4706=E$2:E4706)))))-COUNTBLANK(OFFSET(A$1,,,SUMPRODUCT(MAX(ROW(E$1:E4705)*(E2=E$1:E4705))))))</f>
        <v> </v>
      </c>
      <c r="K4706" s="26" t="str">
        <f>IF(OR(E4706="",E4706="!!!",F4706="NEW"),"",INDEX(J$1:J4705,SUMPRODUCT(MAX(ROW(E$1:E4705)*(E4706=E$1:E4705)))))</f>
        <v> </v>
      </c>
      <c r="L4706" s="27"/>
    </row>
    <row r="4707" spans="1:12">
      <c r="A4707" s="20" t="s">
        <v>1065</v>
      </c>
      <c r="E4707" s="22">
        <f>IF(D4707="?OLD","!!!","")</f>
        <v/>
      </c>
      <c r="F4707" s="23" t="str">
        <f>IF(OR(E4707="",E4707="!!!"),"",IF(NOT(ISNA(VLOOKUP(E4707,E$1:E4706,1,FALSE()))),"OLD",IF(AND(E4707&lt;&gt;"",E4707&lt;&gt;"!!!"),"NEW","")))</f>
        <v> </v>
      </c>
      <c r="G4707" s="24" t="str">
        <f>IF(OR(E4707="",E4707="!!!"),"",IF(OR(J4707=0,AND(J4707=1,K4707=1),AND(J4707=1,I4707="SBJ"),AND(J4707=1,I4707=0)),"?IN_FOCUS",IF(J4707&lt;=2,"?ACTIVATED",IF(J4707&lt;&gt;"","?FAMILIAR",IF(F4707="NEW",IF(ISNA(VLOOKUP(E4707,#REF!,1,FALSE())),"?TYPE_IDENTIFIABLE","?REFERENTIAL"),"_")))))</f>
        <v> </v>
      </c>
      <c r="H4707" s="25" t="str">
        <f>IF(J4707&lt;&gt;1,"",IF(I4707="SBJ","CB","?"))</f>
        <v> </v>
      </c>
      <c r="I4707" s="26" t="str">
        <f>IF(OR(E4707="",E4707="!!!",F4707="NEW"),"",INDEX(B4706:B$2,-1+SUMPRODUCT(MAX(ROW(E4706:E$2)*(E4707=E4706:E$2)))))</f>
        <v> </v>
      </c>
      <c r="J4707" s="26" t="str">
        <f>IF(OR(E4707="",E4707="!!!",F4707="NEW"),"",COUNTBLANK(OFFSET(A$1,,,SUMPRODUCT(MAX(ROW(E$2:E4707)*(E4707=E$2:E4707)))))-COUNTBLANK(OFFSET(A$1,,,SUMPRODUCT(MAX(ROW(E$1:E4706)*(E2=E$1:E4706))))))</f>
        <v> </v>
      </c>
      <c r="K4707" s="26" t="str">
        <f>IF(OR(E4707="",E4707="!!!",F4707="NEW"),"",INDEX(J$1:J4706,SUMPRODUCT(MAX(ROW(E$1:E4706)*(E4707=E$1:E4706)))))</f>
        <v> </v>
      </c>
      <c r="L4707" s="27"/>
    </row>
    <row r="4708" spans="1:12">
      <c r="A4708" s="20" t="s">
        <v>2317</v>
      </c>
      <c r="E4708" s="22">
        <f>IF(D4708="?OLD","!!!","")</f>
        <v/>
      </c>
      <c r="F4708" s="23" t="str">
        <f>IF(OR(E4708="",E4708="!!!"),"",IF(NOT(ISNA(VLOOKUP(E4708,E$1:E4707,1,FALSE()))),"OLD",IF(AND(E4708&lt;&gt;"",E4708&lt;&gt;"!!!"),"NEW","")))</f>
        <v> </v>
      </c>
      <c r="G4708" s="24" t="str">
        <f>IF(OR(E4708="",E4708="!!!"),"",IF(OR(J4708=0,AND(J4708=1,K4708=1),AND(J4708=1,I4708="SBJ"),AND(J4708=1,I4708=0)),"?IN_FOCUS",IF(J4708&lt;=2,"?ACTIVATED",IF(J4708&lt;&gt;"","?FAMILIAR",IF(F4708="NEW",IF(ISNA(VLOOKUP(E4708,#REF!,1,FALSE())),"?TYPE_IDENTIFIABLE","?REFERENTIAL"),"_")))))</f>
        <v> </v>
      </c>
      <c r="H4708" s="25" t="str">
        <f>IF(J4708&lt;&gt;1,"",IF(I4708="SBJ","CB","?"))</f>
        <v> </v>
      </c>
      <c r="I4708" s="26" t="str">
        <f>IF(OR(E4708="",E4708="!!!",F4708="NEW"),"",INDEX(B4707:B$2,-1+SUMPRODUCT(MAX(ROW(E4707:E$2)*(E4708=E4707:E$2)))))</f>
        <v> </v>
      </c>
      <c r="J4708" s="26" t="str">
        <f>IF(OR(E4708="",E4708="!!!",F4708="NEW"),"",COUNTBLANK(OFFSET(A$1,,,SUMPRODUCT(MAX(ROW(E$2:E4708)*(E4708=E$2:E4708)))))-COUNTBLANK(OFFSET(A$1,,,SUMPRODUCT(MAX(ROW(E$1:E4707)*(E2=E$1:E4707))))))</f>
        <v> </v>
      </c>
      <c r="K4708" s="26" t="str">
        <f>IF(OR(E4708="",E4708="!!!",F4708="NEW"),"",INDEX(J$1:J4707,SUMPRODUCT(MAX(ROW(E$1:E4707)*(E4708=E$1:E4707)))))</f>
        <v> </v>
      </c>
      <c r="L4708" s="27"/>
    </row>
    <row r="4709" spans="1:12">
      <c r="A4709" s="20" t="s">
        <v>137</v>
      </c>
      <c r="E4709" s="22">
        <f>IF(D4709="?OLD","!!!","")</f>
        <v/>
      </c>
      <c r="F4709" s="23" t="str">
        <f>IF(OR(E4709="",E4709="!!!"),"",IF(NOT(ISNA(VLOOKUP(E4709,E$1:E4708,1,FALSE()))),"OLD",IF(AND(E4709&lt;&gt;"",E4709&lt;&gt;"!!!"),"NEW","")))</f>
        <v> </v>
      </c>
      <c r="G4709" s="24" t="str">
        <f>IF(OR(E4709="",E4709="!!!"),"",IF(OR(J4709=0,AND(J4709=1,K4709=1),AND(J4709=1,I4709="SBJ"),AND(J4709=1,I4709=0)),"?IN_FOCUS",IF(J4709&lt;=2,"?ACTIVATED",IF(J4709&lt;&gt;"","?FAMILIAR",IF(F4709="NEW",IF(ISNA(VLOOKUP(E4709,#REF!,1,FALSE())),"?TYPE_IDENTIFIABLE","?REFERENTIAL"),"_")))))</f>
        <v> </v>
      </c>
      <c r="H4709" s="25" t="str">
        <f>IF(J4709&lt;&gt;1,"",IF(I4709="SBJ","CB","?"))</f>
        <v> </v>
      </c>
      <c r="I4709" s="26" t="str">
        <f>IF(OR(E4709="",E4709="!!!",F4709="NEW"),"",INDEX(B4708:B$2,-1+SUMPRODUCT(MAX(ROW(E4708:E$2)*(E4709=E4708:E$2)))))</f>
        <v> </v>
      </c>
      <c r="J4709" s="26" t="str">
        <f>IF(OR(E4709="",E4709="!!!",F4709="NEW"),"",COUNTBLANK(OFFSET(A$1,,,SUMPRODUCT(MAX(ROW(E$2:E4709)*(E4709=E$2:E4709)))))-COUNTBLANK(OFFSET(A$1,,,SUMPRODUCT(MAX(ROW(E$1:E4708)*(E2=E$1:E4708))))))</f>
        <v> </v>
      </c>
      <c r="K4709" s="26" t="str">
        <f>IF(OR(E4709="",E4709="!!!",F4709="NEW"),"",INDEX(J$1:J4708,SUMPRODUCT(MAX(ROW(E$1:E4708)*(E4709=E$1:E4708)))))</f>
        <v> </v>
      </c>
      <c r="L4709" s="27"/>
    </row>
    <row r="4710" spans="1:12">
      <c r="A4710" s="20" t="s">
        <v>1133</v>
      </c>
      <c r="B4710" s="21" t="s">
        <v>1064</v>
      </c>
      <c r="C4710" s="21" t="s">
        <v>1082</v>
      </c>
      <c r="D4710" s="21" t="s">
        <v>1007</v>
      </c>
      <c r="E4710" s="22">
        <f>IF(D4710="?OLD","!!!","")</f>
        <v/>
      </c>
      <c r="F4710" s="23" t="str">
        <f>IF(OR(E4710="",E4710="!!!"),"",IF(NOT(ISNA(VLOOKUP(E4710,E$1:E4709,1,FALSE()))),"OLD",IF(AND(E4710&lt;&gt;"",E4710&lt;&gt;"!!!"),"NEW","")))</f>
        <v> </v>
      </c>
      <c r="G4710" s="24" t="str">
        <f>IF(OR(E4710="",E4710="!!!"),"",IF(OR(J4710=0,AND(J4710=1,K4710=1),AND(J4710=1,I4710="SBJ"),AND(J4710=1,I4710=0)),"?IN_FOCUS",IF(J4710&lt;=2,"?ACTIVATED",IF(J4710&lt;&gt;"","?FAMILIAR",IF(F4710="NEW",IF(ISNA(VLOOKUP(E4710,#REF!,1,FALSE())),"?TYPE_IDENTIFIABLE","?REFERENTIAL"),"_")))))</f>
        <v> </v>
      </c>
      <c r="H4710" s="25" t="str">
        <f>IF(J4710&lt;&gt;1,"",IF(I4710="SBJ","CB","?"))</f>
        <v> </v>
      </c>
      <c r="I4710" s="26" t="str">
        <f>IF(OR(E4710="",E4710="!!!",F4710="NEW"),"",INDEX(B4709:B$2,-1+SUMPRODUCT(MAX(ROW(E4709:E$2)*(E4710=E4709:E$2)))))</f>
        <v> </v>
      </c>
      <c r="J4710" s="26" t="str">
        <f>IF(OR(E4710="",E4710="!!!",F4710="NEW"),"",COUNTBLANK(OFFSET(A$1,,,SUMPRODUCT(MAX(ROW(E$2:E4710)*(E4710=E$2:E4710)))))-COUNTBLANK(OFFSET(A$1,,,SUMPRODUCT(MAX(ROW(E$1:E4709)*(E2=E$1:E4709))))))</f>
        <v> </v>
      </c>
      <c r="K4710" s="26" t="str">
        <f>IF(OR(E4710="",E4710="!!!",F4710="NEW"),"",INDEX(J$1:J4709,SUMPRODUCT(MAX(ROW(E$1:E4709)*(E4710=E$1:E4709)))))</f>
        <v> </v>
      </c>
      <c r="L4710" s="27"/>
    </row>
    <row r="4711" spans="1:12">
      <c r="A4711" s="20" t="s">
        <v>2320</v>
      </c>
      <c r="E4711" s="22">
        <f>IF(D4711="?OLD","!!!","")</f>
        <v/>
      </c>
      <c r="F4711" s="23" t="str">
        <f>IF(OR(E4711="",E4711="!!!"),"",IF(NOT(ISNA(VLOOKUP(E4711,E$1:E4710,1,FALSE()))),"OLD",IF(AND(E4711&lt;&gt;"",E4711&lt;&gt;"!!!"),"NEW","")))</f>
        <v> </v>
      </c>
      <c r="G4711" s="24" t="str">
        <f>IF(OR(E4711="",E4711="!!!"),"",IF(OR(J4711=0,AND(J4711=1,K4711=1),AND(J4711=1,I4711="SBJ"),AND(J4711=1,I4711=0)),"?IN_FOCUS",IF(J4711&lt;=2,"?ACTIVATED",IF(J4711&lt;&gt;"","?FAMILIAR",IF(F4711="NEW",IF(ISNA(VLOOKUP(E4711,#REF!,1,FALSE())),"?TYPE_IDENTIFIABLE","?REFERENTIAL"),"_")))))</f>
        <v> </v>
      </c>
      <c r="H4711" s="25" t="str">
        <f>IF(J4711&lt;&gt;1,"",IF(I4711="SBJ","CB","?"))</f>
        <v> </v>
      </c>
      <c r="I4711" s="26" t="str">
        <f>IF(OR(E4711="",E4711="!!!",F4711="NEW"),"",INDEX(B4710:B$2,-1+SUMPRODUCT(MAX(ROW(E4710:E$2)*(E4711=E4710:E$2)))))</f>
        <v> </v>
      </c>
      <c r="J4711" s="26" t="str">
        <f>IF(OR(E4711="",E4711="!!!",F4711="NEW"),"",COUNTBLANK(OFFSET(A$1,,,SUMPRODUCT(MAX(ROW(E$2:E4711)*(E4711=E$2:E4711)))))-COUNTBLANK(OFFSET(A$1,,,SUMPRODUCT(MAX(ROW(E$1:E4710)*(E2=E$1:E4710))))))</f>
        <v> </v>
      </c>
      <c r="K4711" s="26" t="str">
        <f>IF(OR(E4711="",E4711="!!!",F4711="NEW"),"",INDEX(J$1:J4710,SUMPRODUCT(MAX(ROW(E$1:E4710)*(E4711=E$1:E4710)))))</f>
        <v> </v>
      </c>
      <c r="L4711" s="27"/>
    </row>
    <row r="4712" spans="1:12">
      <c r="A4712" s="20" t="s">
        <v>1023</v>
      </c>
      <c r="E4712" s="22">
        <f>IF(D4712="?OLD","!!!","")</f>
        <v/>
      </c>
      <c r="F4712" s="23" t="str">
        <f>IF(OR(E4712="",E4712="!!!"),"",IF(NOT(ISNA(VLOOKUP(E4712,E$1:E4711,1,FALSE()))),"OLD",IF(AND(E4712&lt;&gt;"",E4712&lt;&gt;"!!!"),"NEW","")))</f>
        <v> </v>
      </c>
      <c r="G4712" s="24" t="str">
        <f>IF(OR(E4712="",E4712="!!!"),"",IF(OR(J4712=0,AND(J4712=1,K4712=1),AND(J4712=1,I4712="SBJ"),AND(J4712=1,I4712=0)),"?IN_FOCUS",IF(J4712&lt;=2,"?ACTIVATED",IF(J4712&lt;&gt;"","?FAMILIAR",IF(F4712="NEW",IF(ISNA(VLOOKUP(E4712,#REF!,1,FALSE())),"?TYPE_IDENTIFIABLE","?REFERENTIAL"),"_")))))</f>
        <v> </v>
      </c>
      <c r="H4712" s="25" t="str">
        <f>IF(J4712&lt;&gt;1,"",IF(I4712="SBJ","CB","?"))</f>
        <v> </v>
      </c>
      <c r="I4712" s="26" t="str">
        <f>IF(OR(E4712="",E4712="!!!",F4712="NEW"),"",INDEX(B4711:B$2,-1+SUMPRODUCT(MAX(ROW(E4711:E$2)*(E4712=E4711:E$2)))))</f>
        <v> </v>
      </c>
      <c r="J4712" s="26" t="str">
        <f>IF(OR(E4712="",E4712="!!!",F4712="NEW"),"",COUNTBLANK(OFFSET(A$1,,,SUMPRODUCT(MAX(ROW(E$2:E4712)*(E4712=E$2:E4712)))))-COUNTBLANK(OFFSET(A$1,,,SUMPRODUCT(MAX(ROW(E$1:E4711)*(E2=E$1:E4711))))))</f>
        <v> </v>
      </c>
      <c r="K4712" s="26" t="str">
        <f>IF(OR(E4712="",E4712="!!!",F4712="NEW"),"",INDEX(J$1:J4711,SUMPRODUCT(MAX(ROW(E$1:E4711)*(E4712=E$1:E4711)))))</f>
        <v> </v>
      </c>
      <c r="L4712" s="27"/>
    </row>
    <row r="4713" spans="1:12">
      <c r="A4713" s="20"/>
    </row>
    <row r="4714" spans="1:12">
      <c r="A4714" s="20" t="s">
        <v>2329</v>
      </c>
    </row>
    <row r="4715" spans="1:12">
      <c r="A4715" s="20" t="s">
        <v>1991</v>
      </c>
      <c r="B4715" s="21" t="s">
        <v>1050</v>
      </c>
      <c r="C4715" s="21" t="s">
        <v>1082</v>
      </c>
      <c r="D4715" s="21" t="s">
        <v>1007</v>
      </c>
      <c r="E4715" s="22">
        <f>IF(D4715="?OLD","!!!","")</f>
        <v/>
      </c>
      <c r="F4715" s="23" t="str">
        <f>IF(OR(E4715="",E4715="!!!"),"",IF(NOT(ISNA(VLOOKUP(E4715,E$1:E4714,1,FALSE()))),"OLD",IF(AND(E4715&lt;&gt;"",E4715&lt;&gt;"!!!"),"NEW","")))</f>
        <v> </v>
      </c>
      <c r="G4715" s="24" t="str">
        <f>IF(OR(E4715="",E4715="!!!"),"",IF(OR(J4715=0,AND(J4715=1,K4715=1),AND(J4715=1,I4715="SBJ"),AND(J4715=1,I4715=0)),"?IN_FOCUS",IF(J4715&lt;=2,"?ACTIVATED",IF(J4715&lt;&gt;"","?FAMILIAR",IF(F4715="NEW",IF(ISNA(VLOOKUP(E4715,#REF!,1,FALSE())),"?TYPE_IDENTIFIABLE","?REFERENTIAL"),"_")))))</f>
        <v> </v>
      </c>
      <c r="H4715" s="25" t="str">
        <f>IF(J4715&lt;&gt;1,"",IF(I4715="SBJ","CB","?"))</f>
        <v> </v>
      </c>
      <c r="I4715" s="26" t="str">
        <f>IF(OR(E4715="",E4715="!!!",F4715="NEW"),"",INDEX(B4714:B$2,-1+SUMPRODUCT(MAX(ROW(E4714:E$2)*(E4715=E4714:E$2)))))</f>
        <v> </v>
      </c>
      <c r="J4715" s="26" t="str">
        <f>IF(OR(E4715="",E4715="!!!",F4715="NEW"),"",COUNTBLANK(OFFSET(A$1,,,SUMPRODUCT(MAX(ROW(E$2:E4715)*(E4715=E$2:E4715)))))-COUNTBLANK(OFFSET(A$1,,,SUMPRODUCT(MAX(ROW(E$1:E4714)*(E2=E$1:E4714))))))</f>
        <v> </v>
      </c>
      <c r="K4715" s="26" t="str">
        <f>IF(OR(E4715="",E4715="!!!",F4715="NEW"),"",INDEX(J$1:J4714,SUMPRODUCT(MAX(ROW(E$1:E4714)*(E4715=E$1:E4714)))))</f>
        <v> </v>
      </c>
      <c r="L4715" s="27"/>
    </row>
    <row r="4716" spans="1:12">
      <c r="A4716" s="20" t="s">
        <v>2330</v>
      </c>
      <c r="E4716" s="22">
        <f>IF(D4716="?OLD","!!!","")</f>
        <v/>
      </c>
      <c r="F4716" s="23" t="str">
        <f>IF(OR(E4716="",E4716="!!!"),"",IF(NOT(ISNA(VLOOKUP(E4716,E$1:E4715,1,FALSE()))),"OLD",IF(AND(E4716&lt;&gt;"",E4716&lt;&gt;"!!!"),"NEW","")))</f>
        <v> </v>
      </c>
      <c r="G4716" s="24" t="str">
        <f>IF(OR(E4716="",E4716="!!!"),"",IF(OR(J4716=0,AND(J4716=1,K4716=1),AND(J4716=1,I4716="SBJ"),AND(J4716=1,I4716=0)),"?IN_FOCUS",IF(J4716&lt;=2,"?ACTIVATED",IF(J4716&lt;&gt;"","?FAMILIAR",IF(F4716="NEW",IF(ISNA(VLOOKUP(E4716,#REF!,1,FALSE())),"?TYPE_IDENTIFIABLE","?REFERENTIAL"),"_")))))</f>
        <v> </v>
      </c>
      <c r="H4716" s="25" t="str">
        <f>IF(J4716&lt;&gt;1,"",IF(I4716="SBJ","CB","?"))</f>
        <v> </v>
      </c>
      <c r="I4716" s="26" t="str">
        <f>IF(OR(E4716="",E4716="!!!",F4716="NEW"),"",INDEX(B4715:B$2,-1+SUMPRODUCT(MAX(ROW(E4715:E$2)*(E4716=E4715:E$2)))))</f>
        <v> </v>
      </c>
      <c r="J4716" s="26" t="str">
        <f>IF(OR(E4716="",E4716="!!!",F4716="NEW"),"",COUNTBLANK(OFFSET(A$1,,,SUMPRODUCT(MAX(ROW(E$2:E4716)*(E4716=E$2:E4716)))))-COUNTBLANK(OFFSET(A$1,,,SUMPRODUCT(MAX(ROW(E$1:E4715)*(E2=E$1:E4715))))))</f>
        <v> </v>
      </c>
      <c r="K4716" s="26" t="str">
        <f>IF(OR(E4716="",E4716="!!!",F4716="NEW"),"",INDEX(J$1:J4715,SUMPRODUCT(MAX(ROW(E$1:E4715)*(E4716=E$1:E4715)))))</f>
        <v> </v>
      </c>
      <c r="L4716" s="27"/>
    </row>
    <row r="4717" spans="1:12">
      <c r="A4717" s="20" t="s">
        <v>2331</v>
      </c>
      <c r="E4717" s="22">
        <f>IF(D4717="?OLD","!!!","")</f>
        <v/>
      </c>
      <c r="F4717" s="23" t="str">
        <f>IF(OR(E4717="",E4717="!!!"),"",IF(NOT(ISNA(VLOOKUP(E4717,E$1:E4716,1,FALSE()))),"OLD",IF(AND(E4717&lt;&gt;"",E4717&lt;&gt;"!!!"),"NEW","")))</f>
        <v> </v>
      </c>
      <c r="G4717" s="24" t="str">
        <f>IF(OR(E4717="",E4717="!!!"),"",IF(OR(J4717=0,AND(J4717=1,K4717=1),AND(J4717=1,I4717="SBJ"),AND(J4717=1,I4717=0)),"?IN_FOCUS",IF(J4717&lt;=2,"?ACTIVATED",IF(J4717&lt;&gt;"","?FAMILIAR",IF(F4717="NEW",IF(ISNA(VLOOKUP(E4717,#REF!,1,FALSE())),"?TYPE_IDENTIFIABLE","?REFERENTIAL"),"_")))))</f>
        <v> </v>
      </c>
      <c r="H4717" s="25" t="str">
        <f>IF(J4717&lt;&gt;1,"",IF(I4717="SBJ","CB","?"))</f>
        <v> </v>
      </c>
      <c r="I4717" s="26" t="str">
        <f>IF(OR(E4717="",E4717="!!!",F4717="NEW"),"",INDEX(B4716:B$2,-1+SUMPRODUCT(MAX(ROW(E4716:E$2)*(E4717=E4716:E$2)))))</f>
        <v> </v>
      </c>
      <c r="J4717" s="26" t="str">
        <f>IF(OR(E4717="",E4717="!!!",F4717="NEW"),"",COUNTBLANK(OFFSET(A$1,,,SUMPRODUCT(MAX(ROW(E$2:E4717)*(E4717=E$2:E4717)))))-COUNTBLANK(OFFSET(A$1,,,SUMPRODUCT(MAX(ROW(E$1:E4716)*(E2=E$1:E4716))))))</f>
        <v> </v>
      </c>
      <c r="K4717" s="26" t="str">
        <f>IF(OR(E4717="",E4717="!!!",F4717="NEW"),"",INDEX(J$1:J4716,SUMPRODUCT(MAX(ROW(E$1:E4716)*(E4717=E$1:E4716)))))</f>
        <v> </v>
      </c>
      <c r="L4717" s="27"/>
    </row>
    <row r="4718" spans="1:12">
      <c r="A4718" s="20" t="s">
        <v>1018</v>
      </c>
      <c r="E4718" s="22">
        <f>IF(D4718="?OLD","!!!","")</f>
        <v/>
      </c>
      <c r="F4718" s="23" t="str">
        <f>IF(OR(E4718="",E4718="!!!"),"",IF(NOT(ISNA(VLOOKUP(E4718,E$1:E4717,1,FALSE()))),"OLD",IF(AND(E4718&lt;&gt;"",E4718&lt;&gt;"!!!"),"NEW","")))</f>
        <v> </v>
      </c>
      <c r="G4718" s="24" t="str">
        <f>IF(OR(E4718="",E4718="!!!"),"",IF(OR(J4718=0,AND(J4718=1,K4718=1),AND(J4718=1,I4718="SBJ"),AND(J4718=1,I4718=0)),"?IN_FOCUS",IF(J4718&lt;=2,"?ACTIVATED",IF(J4718&lt;&gt;"","?FAMILIAR",IF(F4718="NEW",IF(ISNA(VLOOKUP(E4718,#REF!,1,FALSE())),"?TYPE_IDENTIFIABLE","?REFERENTIAL"),"_")))))</f>
        <v> </v>
      </c>
      <c r="H4718" s="25" t="str">
        <f>IF(J4718&lt;&gt;1,"",IF(I4718="SBJ","CB","?"))</f>
        <v> </v>
      </c>
      <c r="I4718" s="26" t="str">
        <f>IF(OR(E4718="",E4718="!!!",F4718="NEW"),"",INDEX(B4717:B$2,-1+SUMPRODUCT(MAX(ROW(E4717:E$2)*(E4718=E4717:E$2)))))</f>
        <v> </v>
      </c>
      <c r="J4718" s="26" t="str">
        <f>IF(OR(E4718="",E4718="!!!",F4718="NEW"),"",COUNTBLANK(OFFSET(A$1,,,SUMPRODUCT(MAX(ROW(E$2:E4718)*(E4718=E$2:E4718)))))-COUNTBLANK(OFFSET(A$1,,,SUMPRODUCT(MAX(ROW(E$1:E4717)*(E2=E$1:E4717))))))</f>
        <v> </v>
      </c>
      <c r="K4718" s="26" t="str">
        <f>IF(OR(E4718="",E4718="!!!",F4718="NEW"),"",INDEX(J$1:J4717,SUMPRODUCT(MAX(ROW(E$1:E4717)*(E4718=E$1:E4717)))))</f>
        <v> </v>
      </c>
      <c r="L4718" s="27"/>
    </row>
    <row r="4719" spans="1:12">
      <c r="A4719" s="20" t="s">
        <v>1776</v>
      </c>
      <c r="B4719" s="21" t="s">
        <v>1005</v>
      </c>
      <c r="C4719" s="21" t="s">
        <v>1013</v>
      </c>
      <c r="D4719" s="21" t="s">
        <v>1007</v>
      </c>
      <c r="E4719" s="22">
        <f>IF(D4719="?OLD","!!!","")</f>
        <v/>
      </c>
      <c r="F4719" s="23" t="str">
        <f>IF(OR(E4719="",E4719="!!!"),"",IF(NOT(ISNA(VLOOKUP(E4719,E$1:E4718,1,FALSE()))),"OLD",IF(AND(E4719&lt;&gt;"",E4719&lt;&gt;"!!!"),"NEW","")))</f>
        <v> </v>
      </c>
      <c r="G4719" s="24" t="str">
        <f>IF(OR(E4719="",E4719="!!!"),"",IF(OR(J4719=0,AND(J4719=1,K4719=1),AND(J4719=1,I4719="SBJ"),AND(J4719=1,I4719=0)),"?IN_FOCUS",IF(J4719&lt;=2,"?ACTIVATED",IF(J4719&lt;&gt;"","?FAMILIAR",IF(F4719="NEW",IF(ISNA(VLOOKUP(E4719,#REF!,1,FALSE())),"?TYPE_IDENTIFIABLE","?REFERENTIAL"),"_")))))</f>
        <v> </v>
      </c>
      <c r="H4719" s="25" t="str">
        <f>IF(J4719&lt;&gt;1,"",IF(I4719="SBJ","CB","?"))</f>
        <v> </v>
      </c>
      <c r="I4719" s="26" t="str">
        <f>IF(OR(E4719="",E4719="!!!",F4719="NEW"),"",INDEX(B4718:B$2,-1+SUMPRODUCT(MAX(ROW(E4718:E$2)*(E4719=E4718:E$2)))))</f>
        <v> </v>
      </c>
      <c r="J4719" s="26" t="str">
        <f>IF(OR(E4719="",E4719="!!!",F4719="NEW"),"",COUNTBLANK(OFFSET(A$1,,,SUMPRODUCT(MAX(ROW(E$2:E4719)*(E4719=E$2:E4719)))))-COUNTBLANK(OFFSET(A$1,,,SUMPRODUCT(MAX(ROW(E$1:E4718)*(E2=E$1:E4718))))))</f>
        <v> </v>
      </c>
      <c r="K4719" s="26" t="str">
        <f>IF(OR(E4719="",E4719="!!!",F4719="NEW"),"",INDEX(J$1:J4718,SUMPRODUCT(MAX(ROW(E$1:E4718)*(E4719=E$1:E4718)))))</f>
        <v> </v>
      </c>
      <c r="L4719" s="27"/>
    </row>
    <row r="4720" spans="1:12">
      <c r="A4720" s="20" t="s">
        <v>1266</v>
      </c>
      <c r="E4720" s="22">
        <f>IF(D4720="?OLD","!!!","")</f>
        <v/>
      </c>
      <c r="F4720" s="23" t="str">
        <f>IF(OR(E4720="",E4720="!!!"),"",IF(NOT(ISNA(VLOOKUP(E4720,E$1:E4719,1,FALSE()))),"OLD",IF(AND(E4720&lt;&gt;"",E4720&lt;&gt;"!!!"),"NEW","")))</f>
        <v> </v>
      </c>
      <c r="G4720" s="24" t="str">
        <f>IF(OR(E4720="",E4720="!!!"),"",IF(OR(J4720=0,AND(J4720=1,K4720=1),AND(J4720=1,I4720="SBJ"),AND(J4720=1,I4720=0)),"?IN_FOCUS",IF(J4720&lt;=2,"?ACTIVATED",IF(J4720&lt;&gt;"","?FAMILIAR",IF(F4720="NEW",IF(ISNA(VLOOKUP(E4720,#REF!,1,FALSE())),"?TYPE_IDENTIFIABLE","?REFERENTIAL"),"_")))))</f>
        <v> </v>
      </c>
      <c r="H4720" s="25" t="str">
        <f>IF(J4720&lt;&gt;1,"",IF(I4720="SBJ","CB","?"))</f>
        <v> </v>
      </c>
      <c r="I4720" s="26" t="str">
        <f>IF(OR(E4720="",E4720="!!!",F4720="NEW"),"",INDEX(B4719:B$2,-1+SUMPRODUCT(MAX(ROW(E4719:E$2)*(E4720=E4719:E$2)))))</f>
        <v> </v>
      </c>
      <c r="J4720" s="26" t="str">
        <f>IF(OR(E4720="",E4720="!!!",F4720="NEW"),"",COUNTBLANK(OFFSET(A$1,,,SUMPRODUCT(MAX(ROW(E$2:E4720)*(E4720=E$2:E4720)))))-COUNTBLANK(OFFSET(A$1,,,SUMPRODUCT(MAX(ROW(E$1:E4719)*(E2=E$1:E4719))))))</f>
        <v> </v>
      </c>
      <c r="K4720" s="26" t="str">
        <f>IF(OR(E4720="",E4720="!!!",F4720="NEW"),"",INDEX(J$1:J4719,SUMPRODUCT(MAX(ROW(E$1:E4719)*(E4720=E$1:E4719)))))</f>
        <v> </v>
      </c>
      <c r="L4720" s="27"/>
    </row>
    <row r="4721" spans="1:12">
      <c r="A4721" s="20" t="s">
        <v>2332</v>
      </c>
      <c r="B4721" s="21" t="s">
        <v>1022</v>
      </c>
      <c r="C4721" s="21" t="s">
        <v>1048</v>
      </c>
      <c r="E4721" s="22">
        <f>IF(D4721="?OLD","!!!","")</f>
        <v/>
      </c>
      <c r="F4721" s="23" t="str">
        <f>IF(OR(E4721="",E4721="!!!"),"",IF(NOT(ISNA(VLOOKUP(E4721,E$1:E4720,1,FALSE()))),"OLD",IF(AND(E4721&lt;&gt;"",E4721&lt;&gt;"!!!"),"NEW","")))</f>
        <v> </v>
      </c>
      <c r="G4721" s="24" t="str">
        <f>IF(OR(E4721="",E4721="!!!"),"",IF(OR(J4721=0,AND(J4721=1,K4721=1),AND(J4721=1,I4721="SBJ"),AND(J4721=1,I4721=0)),"?IN_FOCUS",IF(J4721&lt;=2,"?ACTIVATED",IF(J4721&lt;&gt;"","?FAMILIAR",IF(F4721="NEW",IF(ISNA(VLOOKUP(E4721,#REF!,1,FALSE())),"?TYPE_IDENTIFIABLE","?REFERENTIAL"),"_")))))</f>
        <v> </v>
      </c>
      <c r="H4721" s="25" t="str">
        <f>IF(J4721&lt;&gt;1,"",IF(I4721="SBJ","CB","?"))</f>
        <v> </v>
      </c>
      <c r="I4721" s="26" t="str">
        <f>IF(OR(E4721="",E4721="!!!",F4721="NEW"),"",INDEX(B4720:B$2,-1+SUMPRODUCT(MAX(ROW(E4720:E$2)*(E4721=E4720:E$2)))))</f>
        <v> </v>
      </c>
      <c r="J4721" s="26" t="str">
        <f>IF(OR(E4721="",E4721="!!!",F4721="NEW"),"",COUNTBLANK(OFFSET(A$1,,,SUMPRODUCT(MAX(ROW(E$2:E4721)*(E4721=E$2:E4721)))))-COUNTBLANK(OFFSET(A$1,,,SUMPRODUCT(MAX(ROW(E$1:E4720)*(E2=E$1:E4720))))))</f>
        <v> </v>
      </c>
      <c r="K4721" s="26" t="str">
        <f>IF(OR(E4721="",E4721="!!!",F4721="NEW"),"",INDEX(J$1:J4720,SUMPRODUCT(MAX(ROW(E$1:E4720)*(E4721=E$1:E4720)))))</f>
        <v> </v>
      </c>
      <c r="L4721" s="27"/>
    </row>
    <row r="4722" spans="1:12">
      <c r="A4722" s="20" t="s">
        <v>1018</v>
      </c>
      <c r="E4722" s="22">
        <f>IF(D4722="?OLD","!!!","")</f>
        <v/>
      </c>
      <c r="F4722" s="23" t="str">
        <f>IF(OR(E4722="",E4722="!!!"),"",IF(NOT(ISNA(VLOOKUP(E4722,E$1:E4721,1,FALSE()))),"OLD",IF(AND(E4722&lt;&gt;"",E4722&lt;&gt;"!!!"),"NEW","")))</f>
        <v> </v>
      </c>
      <c r="G4722" s="24" t="str">
        <f>IF(OR(E4722="",E4722="!!!"),"",IF(OR(J4722=0,AND(J4722=1,K4722=1),AND(J4722=1,I4722="SBJ"),AND(J4722=1,I4722=0)),"?IN_FOCUS",IF(J4722&lt;=2,"?ACTIVATED",IF(J4722&lt;&gt;"","?FAMILIAR",IF(F4722="NEW",IF(ISNA(VLOOKUP(E4722,#REF!,1,FALSE())),"?TYPE_IDENTIFIABLE","?REFERENTIAL"),"_")))))</f>
        <v> </v>
      </c>
      <c r="H4722" s="25" t="str">
        <f>IF(J4722&lt;&gt;1,"",IF(I4722="SBJ","CB","?"))</f>
        <v> </v>
      </c>
      <c r="I4722" s="26" t="str">
        <f>IF(OR(E4722="",E4722="!!!",F4722="NEW"),"",INDEX(B4721:B$2,-1+SUMPRODUCT(MAX(ROW(E4721:E$2)*(E4722=E4721:E$2)))))</f>
        <v> </v>
      </c>
      <c r="J4722" s="26" t="str">
        <f>IF(OR(E4722="",E4722="!!!",F4722="NEW"),"",COUNTBLANK(OFFSET(A$1,,,SUMPRODUCT(MAX(ROW(E$2:E4722)*(E4722=E$2:E4722)))))-COUNTBLANK(OFFSET(A$1,,,SUMPRODUCT(MAX(ROW(E$1:E4721)*(E2=E$1:E4721))))))</f>
        <v> </v>
      </c>
      <c r="K4722" s="26" t="str">
        <f>IF(OR(E4722="",E4722="!!!",F4722="NEW"),"",INDEX(J$1:J4721,SUMPRODUCT(MAX(ROW(E$1:E4721)*(E4722=E$1:E4721)))))</f>
        <v> </v>
      </c>
      <c r="L4722" s="27"/>
    </row>
    <row r="4723" spans="1:12">
      <c r="A4723" s="20" t="s">
        <v>1065</v>
      </c>
      <c r="E4723" s="22">
        <f>IF(D4723="?OLD","!!!","")</f>
        <v/>
      </c>
      <c r="F4723" s="23" t="str">
        <f>IF(OR(E4723="",E4723="!!!"),"",IF(NOT(ISNA(VLOOKUP(E4723,E$1:E4722,1,FALSE()))),"OLD",IF(AND(E4723&lt;&gt;"",E4723&lt;&gt;"!!!"),"NEW","")))</f>
        <v> </v>
      </c>
      <c r="G4723" s="24" t="str">
        <f>IF(OR(E4723="",E4723="!!!"),"",IF(OR(J4723=0,AND(J4723=1,K4723=1),AND(J4723=1,I4723="SBJ"),AND(J4723=1,I4723=0)),"?IN_FOCUS",IF(J4723&lt;=2,"?ACTIVATED",IF(J4723&lt;&gt;"","?FAMILIAR",IF(F4723="NEW",IF(ISNA(VLOOKUP(E4723,#REF!,1,FALSE())),"?TYPE_IDENTIFIABLE","?REFERENTIAL"),"_")))))</f>
        <v> </v>
      </c>
      <c r="H4723" s="25" t="str">
        <f>IF(J4723&lt;&gt;1,"",IF(I4723="SBJ","CB","?"))</f>
        <v> </v>
      </c>
      <c r="I4723" s="26" t="str">
        <f>IF(OR(E4723="",E4723="!!!",F4723="NEW"),"",INDEX(B4722:B$2,-1+SUMPRODUCT(MAX(ROW(E4722:E$2)*(E4723=E4722:E$2)))))</f>
        <v> </v>
      </c>
      <c r="J4723" s="26" t="str">
        <f>IF(OR(E4723="",E4723="!!!",F4723="NEW"),"",COUNTBLANK(OFFSET(A$1,,,SUMPRODUCT(MAX(ROW(E$2:E4723)*(E4723=E$2:E4723)))))-COUNTBLANK(OFFSET(A$1,,,SUMPRODUCT(MAX(ROW(E$1:E4722)*(E2=E$1:E4722))))))</f>
        <v> </v>
      </c>
      <c r="K4723" s="26" t="str">
        <f>IF(OR(E4723="",E4723="!!!",F4723="NEW"),"",INDEX(J$1:J4722,SUMPRODUCT(MAX(ROW(E$1:E4722)*(E4723=E$1:E4722)))))</f>
        <v> </v>
      </c>
      <c r="L4723" s="27"/>
    </row>
    <row r="4724" spans="1:12">
      <c r="A4724" s="20" t="s">
        <v>2333</v>
      </c>
      <c r="E4724" s="22">
        <f>IF(D4724="?OLD","!!!","")</f>
        <v/>
      </c>
      <c r="F4724" s="23" t="str">
        <f>IF(OR(E4724="",E4724="!!!"),"",IF(NOT(ISNA(VLOOKUP(E4724,E$1:E4723,1,FALSE()))),"OLD",IF(AND(E4724&lt;&gt;"",E4724&lt;&gt;"!!!"),"NEW","")))</f>
        <v> </v>
      </c>
      <c r="G4724" s="24" t="str">
        <f>IF(OR(E4724="",E4724="!!!"),"",IF(OR(J4724=0,AND(J4724=1,K4724=1),AND(J4724=1,I4724="SBJ"),AND(J4724=1,I4724=0)),"?IN_FOCUS",IF(J4724&lt;=2,"?ACTIVATED",IF(J4724&lt;&gt;"","?FAMILIAR",IF(F4724="NEW",IF(ISNA(VLOOKUP(E4724,#REF!,1,FALSE())),"?TYPE_IDENTIFIABLE","?REFERENTIAL"),"_")))))</f>
        <v> </v>
      </c>
      <c r="H4724" s="25" t="str">
        <f>IF(J4724&lt;&gt;1,"",IF(I4724="SBJ","CB","?"))</f>
        <v> </v>
      </c>
      <c r="I4724" s="26" t="str">
        <f>IF(OR(E4724="",E4724="!!!",F4724="NEW"),"",INDEX(B4723:B$2,-1+SUMPRODUCT(MAX(ROW(E4723:E$2)*(E4724=E4723:E$2)))))</f>
        <v> </v>
      </c>
      <c r="J4724" s="26" t="str">
        <f>IF(OR(E4724="",E4724="!!!",F4724="NEW"),"",COUNTBLANK(OFFSET(A$1,,,SUMPRODUCT(MAX(ROW(E$2:E4724)*(E4724=E$2:E4724)))))-COUNTBLANK(OFFSET(A$1,,,SUMPRODUCT(MAX(ROW(E$1:E4723)*(E2=E$1:E4723))))))</f>
        <v> </v>
      </c>
      <c r="K4724" s="26" t="str">
        <f>IF(OR(E4724="",E4724="!!!",F4724="NEW"),"",INDEX(J$1:J4723,SUMPRODUCT(MAX(ROW(E$1:E4723)*(E4724=E$1:E4723)))))</f>
        <v> </v>
      </c>
      <c r="L4724" s="27"/>
    </row>
    <row r="4725" spans="1:12">
      <c r="A4725" s="20" t="s">
        <v>1357</v>
      </c>
      <c r="E4725" s="22">
        <f>IF(D4725="?OLD","!!!","")</f>
        <v/>
      </c>
      <c r="F4725" s="23" t="str">
        <f>IF(OR(E4725="",E4725="!!!"),"",IF(NOT(ISNA(VLOOKUP(E4725,E$1:E4724,1,FALSE()))),"OLD",IF(AND(E4725&lt;&gt;"",E4725&lt;&gt;"!!!"),"NEW","")))</f>
        <v> </v>
      </c>
      <c r="G4725" s="24" t="str">
        <f>IF(OR(E4725="",E4725="!!!"),"",IF(OR(J4725=0,AND(J4725=1,K4725=1),AND(J4725=1,I4725="SBJ"),AND(J4725=1,I4725=0)),"?IN_FOCUS",IF(J4725&lt;=2,"?ACTIVATED",IF(J4725&lt;&gt;"","?FAMILIAR",IF(F4725="NEW",IF(ISNA(VLOOKUP(E4725,#REF!,1,FALSE())),"?TYPE_IDENTIFIABLE","?REFERENTIAL"),"_")))))</f>
        <v> </v>
      </c>
      <c r="H4725" s="25" t="str">
        <f>IF(J4725&lt;&gt;1,"",IF(I4725="SBJ","CB","?"))</f>
        <v> </v>
      </c>
      <c r="I4725" s="26" t="str">
        <f>IF(OR(E4725="",E4725="!!!",F4725="NEW"),"",INDEX(B4724:B$2,-1+SUMPRODUCT(MAX(ROW(E4724:E$2)*(E4725=E4724:E$2)))))</f>
        <v> </v>
      </c>
      <c r="J4725" s="26" t="str">
        <f>IF(OR(E4725="",E4725="!!!",F4725="NEW"),"",COUNTBLANK(OFFSET(A$1,,,SUMPRODUCT(MAX(ROW(E$2:E4725)*(E4725=E$2:E4725)))))-COUNTBLANK(OFFSET(A$1,,,SUMPRODUCT(MAX(ROW(E$1:E4724)*(E2=E$1:E4724))))))</f>
        <v> </v>
      </c>
      <c r="K4725" s="26" t="str">
        <f>IF(OR(E4725="",E4725="!!!",F4725="NEW"),"",INDEX(J$1:J4724,SUMPRODUCT(MAX(ROW(E$1:E4724)*(E4725=E$1:E4724)))))</f>
        <v> </v>
      </c>
      <c r="L4725" s="27"/>
    </row>
    <row r="4726" spans="1:12">
      <c r="A4726" s="20" t="s">
        <v>1015</v>
      </c>
      <c r="E4726" s="22">
        <f>IF(D4726="?OLD","!!!","")</f>
        <v/>
      </c>
      <c r="F4726" s="23" t="str">
        <f>IF(OR(E4726="",E4726="!!!"),"",IF(NOT(ISNA(VLOOKUP(E4726,E$1:E4725,1,FALSE()))),"OLD",IF(AND(E4726&lt;&gt;"",E4726&lt;&gt;"!!!"),"NEW","")))</f>
        <v> </v>
      </c>
      <c r="G4726" s="24" t="str">
        <f>IF(OR(E4726="",E4726="!!!"),"",IF(OR(J4726=0,AND(J4726=1,K4726=1),AND(J4726=1,I4726="SBJ"),AND(J4726=1,I4726=0)),"?IN_FOCUS",IF(J4726&lt;=2,"?ACTIVATED",IF(J4726&lt;&gt;"","?FAMILIAR",IF(F4726="NEW",IF(ISNA(VLOOKUP(E4726,#REF!,1,FALSE())),"?TYPE_IDENTIFIABLE","?REFERENTIAL"),"_")))))</f>
        <v> </v>
      </c>
      <c r="H4726" s="25" t="str">
        <f>IF(J4726&lt;&gt;1,"",IF(I4726="SBJ","CB","?"))</f>
        <v> </v>
      </c>
      <c r="I4726" s="26" t="str">
        <f>IF(OR(E4726="",E4726="!!!",F4726="NEW"),"",INDEX(B4725:B$2,-1+SUMPRODUCT(MAX(ROW(E4725:E$2)*(E4726=E4725:E$2)))))</f>
        <v> </v>
      </c>
      <c r="J4726" s="26" t="str">
        <f>IF(OR(E4726="",E4726="!!!",F4726="NEW"),"",COUNTBLANK(OFFSET(A$1,,,SUMPRODUCT(MAX(ROW(E$2:E4726)*(E4726=E$2:E4726)))))-COUNTBLANK(OFFSET(A$1,,,SUMPRODUCT(MAX(ROW(E$1:E4725)*(E2=E$1:E4725))))))</f>
        <v> </v>
      </c>
      <c r="K4726" s="26" t="str">
        <f>IF(OR(E4726="",E4726="!!!",F4726="NEW"),"",INDEX(J$1:J4725,SUMPRODUCT(MAX(ROW(E$1:E4725)*(E4726=E$1:E4725)))))</f>
        <v> </v>
      </c>
      <c r="L4726" s="27"/>
    </row>
    <row r="4727" spans="1:12">
      <c r="A4727" s="20" t="s">
        <v>2334</v>
      </c>
      <c r="B4727" s="21" t="s">
        <v>1029</v>
      </c>
      <c r="C4727" s="21" t="s">
        <v>1017</v>
      </c>
      <c r="D4727" s="21" t="s">
        <v>1007</v>
      </c>
      <c r="E4727" s="22">
        <f>IF(D4727="?OLD","!!!","")</f>
        <v/>
      </c>
      <c r="F4727" s="23" t="str">
        <f>IF(OR(E4727="",E4727="!!!"),"",IF(NOT(ISNA(VLOOKUP(E4727,E$1:E4726,1,FALSE()))),"OLD",IF(AND(E4727&lt;&gt;"",E4727&lt;&gt;"!!!"),"NEW","")))</f>
        <v> </v>
      </c>
      <c r="G4727" s="24" t="str">
        <f>IF(OR(E4727="",E4727="!!!"),"",IF(OR(J4727=0,AND(J4727=1,K4727=1),AND(J4727=1,I4727="SBJ"),AND(J4727=1,I4727=0)),"?IN_FOCUS",IF(J4727&lt;=2,"?ACTIVATED",IF(J4727&lt;&gt;"","?FAMILIAR",IF(F4727="NEW",IF(ISNA(VLOOKUP(E4727,#REF!,1,FALSE())),"?TYPE_IDENTIFIABLE","?REFERENTIAL"),"_")))))</f>
        <v> </v>
      </c>
      <c r="H4727" s="25" t="str">
        <f>IF(J4727&lt;&gt;1,"",IF(I4727="SBJ","CB","?"))</f>
        <v> </v>
      </c>
      <c r="I4727" s="26" t="str">
        <f>IF(OR(E4727="",E4727="!!!",F4727="NEW"),"",INDEX(B4726:B$2,-1+SUMPRODUCT(MAX(ROW(E4726:E$2)*(E4727=E4726:E$2)))))</f>
        <v> </v>
      </c>
      <c r="J4727" s="26" t="str">
        <f>IF(OR(E4727="",E4727="!!!",F4727="NEW"),"",COUNTBLANK(OFFSET(A$1,,,SUMPRODUCT(MAX(ROW(E$2:E4727)*(E4727=E$2:E4727)))))-COUNTBLANK(OFFSET(A$1,,,SUMPRODUCT(MAX(ROW(E$1:E4726)*(E2=E$1:E4726))))))</f>
        <v> </v>
      </c>
      <c r="K4727" s="26" t="str">
        <f>IF(OR(E4727="",E4727="!!!",F4727="NEW"),"",INDEX(J$1:J4726,SUMPRODUCT(MAX(ROW(E$1:E4726)*(E4727=E$1:E4726)))))</f>
        <v> </v>
      </c>
      <c r="L4727" s="27"/>
    </row>
    <row r="4728" spans="1:12">
      <c r="A4728" s="20" t="s">
        <v>1020</v>
      </c>
      <c r="E4728" s="22">
        <f>IF(D4728="?OLD","!!!","")</f>
        <v/>
      </c>
      <c r="F4728" s="23" t="str">
        <f>IF(OR(E4728="",E4728="!!!"),"",IF(NOT(ISNA(VLOOKUP(E4728,E$1:E4727,1,FALSE()))),"OLD",IF(AND(E4728&lt;&gt;"",E4728&lt;&gt;"!!!"),"NEW","")))</f>
        <v> </v>
      </c>
      <c r="G4728" s="24" t="str">
        <f>IF(OR(E4728="",E4728="!!!"),"",IF(OR(J4728=0,AND(J4728=1,K4728=1),AND(J4728=1,I4728="SBJ"),AND(J4728=1,I4728=0)),"?IN_FOCUS",IF(J4728&lt;=2,"?ACTIVATED",IF(J4728&lt;&gt;"","?FAMILIAR",IF(F4728="NEW",IF(ISNA(VLOOKUP(E4728,#REF!,1,FALSE())),"?TYPE_IDENTIFIABLE","?REFERENTIAL"),"_")))))</f>
        <v> </v>
      </c>
      <c r="H4728" s="25" t="str">
        <f>IF(J4728&lt;&gt;1,"",IF(I4728="SBJ","CB","?"))</f>
        <v> </v>
      </c>
      <c r="I4728" s="26" t="str">
        <f>IF(OR(E4728="",E4728="!!!",F4728="NEW"),"",INDEX(B4727:B$2,-1+SUMPRODUCT(MAX(ROW(E4727:E$2)*(E4728=E4727:E$2)))))</f>
        <v> </v>
      </c>
      <c r="J4728" s="26" t="str">
        <f>IF(OR(E4728="",E4728="!!!",F4728="NEW"),"",COUNTBLANK(OFFSET(A$1,,,SUMPRODUCT(MAX(ROW(E$2:E4728)*(E4728=E$2:E4728)))))-COUNTBLANK(OFFSET(A$1,,,SUMPRODUCT(MAX(ROW(E$1:E4727)*(E2=E$1:E4727))))))</f>
        <v> </v>
      </c>
      <c r="K4728" s="26" t="str">
        <f>IF(OR(E4728="",E4728="!!!",F4728="NEW"),"",INDEX(J$1:J4727,SUMPRODUCT(MAX(ROW(E$1:E4727)*(E4728=E$1:E4727)))))</f>
        <v> </v>
      </c>
      <c r="L4728" s="27"/>
    </row>
    <row r="4729" spans="1:12">
      <c r="A4729" s="20" t="s">
        <v>186</v>
      </c>
      <c r="E4729" s="22">
        <f>IF(D4729="?OLD","!!!","")</f>
        <v/>
      </c>
      <c r="F4729" s="23" t="str">
        <f>IF(OR(E4729="",E4729="!!!"),"",IF(NOT(ISNA(VLOOKUP(E4729,E$1:E4728,1,FALSE()))),"OLD",IF(AND(E4729&lt;&gt;"",E4729&lt;&gt;"!!!"),"NEW","")))</f>
        <v> </v>
      </c>
      <c r="G4729" s="24" t="str">
        <f>IF(OR(E4729="",E4729="!!!"),"",IF(OR(J4729=0,AND(J4729=1,K4729=1),AND(J4729=1,I4729="SBJ"),AND(J4729=1,I4729=0)),"?IN_FOCUS",IF(J4729&lt;=2,"?ACTIVATED",IF(J4729&lt;&gt;"","?FAMILIAR",IF(F4729="NEW",IF(ISNA(VLOOKUP(E4729,#REF!,1,FALSE())),"?TYPE_IDENTIFIABLE","?REFERENTIAL"),"_")))))</f>
        <v> </v>
      </c>
      <c r="H4729" s="25" t="str">
        <f>IF(J4729&lt;&gt;1,"",IF(I4729="SBJ","CB","?"))</f>
        <v> </v>
      </c>
      <c r="I4729" s="26" t="str">
        <f>IF(OR(E4729="",E4729="!!!",F4729="NEW"),"",INDEX(B4728:B$2,-1+SUMPRODUCT(MAX(ROW(E4728:E$2)*(E4729=E4728:E$2)))))</f>
        <v> </v>
      </c>
      <c r="J4729" s="26" t="str">
        <f>IF(OR(E4729="",E4729="!!!",F4729="NEW"),"",COUNTBLANK(OFFSET(A$1,,,SUMPRODUCT(MAX(ROW(E$2:E4729)*(E4729=E$2:E4729)))))-COUNTBLANK(OFFSET(A$1,,,SUMPRODUCT(MAX(ROW(E$1:E4728)*(E2=E$1:E4728))))))</f>
        <v> </v>
      </c>
      <c r="K4729" s="26" t="str">
        <f>IF(OR(E4729="",E4729="!!!",F4729="NEW"),"",INDEX(J$1:J4728,SUMPRODUCT(MAX(ROW(E$1:E4728)*(E4729=E$1:E4728)))))</f>
        <v> </v>
      </c>
      <c r="L4729" s="27"/>
    </row>
    <row r="4730" spans="1:12">
      <c r="A4730" s="20" t="s">
        <v>1030</v>
      </c>
      <c r="E4730" s="22">
        <f>IF(D4730="?OLD","!!!","")</f>
        <v/>
      </c>
      <c r="F4730" s="23" t="str">
        <f>IF(OR(E4730="",E4730="!!!"),"",IF(NOT(ISNA(VLOOKUP(E4730,E$1:E4729,1,FALSE()))),"OLD",IF(AND(E4730&lt;&gt;"",E4730&lt;&gt;"!!!"),"NEW","")))</f>
        <v> </v>
      </c>
      <c r="G4730" s="24" t="str">
        <f>IF(OR(E4730="",E4730="!!!"),"",IF(OR(J4730=0,AND(J4730=1,K4730=1),AND(J4730=1,I4730="SBJ"),AND(J4730=1,I4730=0)),"?IN_FOCUS",IF(J4730&lt;=2,"?ACTIVATED",IF(J4730&lt;&gt;"","?FAMILIAR",IF(F4730="NEW",IF(ISNA(VLOOKUP(E4730,#REF!,1,FALSE())),"?TYPE_IDENTIFIABLE","?REFERENTIAL"),"_")))))</f>
        <v> </v>
      </c>
      <c r="H4730" s="25" t="str">
        <f>IF(J4730&lt;&gt;1,"",IF(I4730="SBJ","CB","?"))</f>
        <v> </v>
      </c>
      <c r="I4730" s="26" t="str">
        <f>IF(OR(E4730="",E4730="!!!",F4730="NEW"),"",INDEX(B4729:B$2,-1+SUMPRODUCT(MAX(ROW(E4729:E$2)*(E4730=E4729:E$2)))))</f>
        <v> </v>
      </c>
      <c r="J4730" s="26" t="str">
        <f>IF(OR(E4730="",E4730="!!!",F4730="NEW"),"",COUNTBLANK(OFFSET(A$1,,,SUMPRODUCT(MAX(ROW(E$2:E4730)*(E4730=E$2:E4730)))))-COUNTBLANK(OFFSET(A$1,,,SUMPRODUCT(MAX(ROW(E$1:E4729)*(E2=E$1:E4729))))))</f>
        <v> </v>
      </c>
      <c r="K4730" s="26" t="str">
        <f>IF(OR(E4730="",E4730="!!!",F4730="NEW"),"",INDEX(J$1:J4729,SUMPRODUCT(MAX(ROW(E$1:E4729)*(E4730=E$1:E4729)))))</f>
        <v> </v>
      </c>
      <c r="L4730" s="27"/>
    </row>
    <row r="4731" spans="1:12">
      <c r="A4731" s="20" t="s">
        <v>102</v>
      </c>
      <c r="B4731" s="21" t="s">
        <v>1130</v>
      </c>
      <c r="C4731" s="21" t="s">
        <v>1073</v>
      </c>
      <c r="D4731" s="21" t="s">
        <v>1007</v>
      </c>
      <c r="E4731" s="22">
        <f>IF(D4731="?OLD","!!!","")</f>
        <v/>
      </c>
      <c r="F4731" s="23" t="str">
        <f>IF(OR(E4731="",E4731="!!!"),"",IF(NOT(ISNA(VLOOKUP(E4731,E$1:E4730,1,FALSE()))),"OLD",IF(AND(E4731&lt;&gt;"",E4731&lt;&gt;"!!!"),"NEW","")))</f>
        <v> </v>
      </c>
      <c r="G4731" s="24" t="str">
        <f>IF(OR(E4731="",E4731="!!!"),"",IF(OR(J4731=0,AND(J4731=1,K4731=1),AND(J4731=1,I4731="SBJ"),AND(J4731=1,I4731=0)),"?IN_FOCUS",IF(J4731&lt;=2,"?ACTIVATED",IF(J4731&lt;&gt;"","?FAMILIAR",IF(F4731="NEW",IF(ISNA(VLOOKUP(E4731,#REF!,1,FALSE())),"?TYPE_IDENTIFIABLE","?REFERENTIAL"),"_")))))</f>
        <v> </v>
      </c>
      <c r="H4731" s="25" t="str">
        <f>IF(J4731&lt;&gt;1,"",IF(I4731="SBJ","CB","?"))</f>
        <v> </v>
      </c>
      <c r="I4731" s="26" t="str">
        <f>IF(OR(E4731="",E4731="!!!",F4731="NEW"),"",INDEX(B4730:B$2,-1+SUMPRODUCT(MAX(ROW(E4730:E$2)*(E4731=E4730:E$2)))))</f>
        <v> </v>
      </c>
      <c r="J4731" s="26" t="str">
        <f>IF(OR(E4731="",E4731="!!!",F4731="NEW"),"",COUNTBLANK(OFFSET(A$1,,,SUMPRODUCT(MAX(ROW(E$2:E4731)*(E4731=E$2:E4731)))))-COUNTBLANK(OFFSET(A$1,,,SUMPRODUCT(MAX(ROW(E$1:E4730)*(E2=E$1:E4730))))))</f>
        <v> </v>
      </c>
      <c r="K4731" s="26" t="str">
        <f>IF(OR(E4731="",E4731="!!!",F4731="NEW"),"",INDEX(J$1:J4730,SUMPRODUCT(MAX(ROW(E$1:E4730)*(E4731=E$1:E4730)))))</f>
        <v> </v>
      </c>
      <c r="L4731" s="27"/>
    </row>
    <row r="4732" spans="1:12">
      <c r="A4732" s="20" t="s">
        <v>1065</v>
      </c>
      <c r="B4732" s="21" t="s">
        <v>1130</v>
      </c>
      <c r="C4732" s="21" t="s">
        <v>1074</v>
      </c>
      <c r="E4732" s="22">
        <f>IF(D4732="?OLD","!!!","")</f>
        <v/>
      </c>
      <c r="F4732" s="23" t="str">
        <f>IF(OR(E4732="",E4732="!!!"),"",IF(NOT(ISNA(VLOOKUP(E4732,E$1:E4731,1,FALSE()))),"OLD",IF(AND(E4732&lt;&gt;"",E4732&lt;&gt;"!!!"),"NEW","")))</f>
        <v> </v>
      </c>
      <c r="G4732" s="24" t="str">
        <f>IF(OR(E4732="",E4732="!!!"),"",IF(OR(J4732=0,AND(J4732=1,K4732=1),AND(J4732=1,I4732="SBJ"),AND(J4732=1,I4732=0)),"?IN_FOCUS",IF(J4732&lt;=2,"?ACTIVATED",IF(J4732&lt;&gt;"","?FAMILIAR",IF(F4732="NEW",IF(ISNA(VLOOKUP(E4732,#REF!,1,FALSE())),"?TYPE_IDENTIFIABLE","?REFERENTIAL"),"_")))))</f>
        <v> </v>
      </c>
      <c r="H4732" s="25" t="str">
        <f>IF(J4732&lt;&gt;1,"",IF(I4732="SBJ","CB","?"))</f>
        <v> </v>
      </c>
      <c r="I4732" s="26" t="str">
        <f>IF(OR(E4732="",E4732="!!!",F4732="NEW"),"",INDEX(B4731:B$2,-1+SUMPRODUCT(MAX(ROW(E4731:E$2)*(E4732=E4731:E$2)))))</f>
        <v> </v>
      </c>
      <c r="J4732" s="26" t="str">
        <f>IF(OR(E4732="",E4732="!!!",F4732="NEW"),"",COUNTBLANK(OFFSET(A$1,,,SUMPRODUCT(MAX(ROW(E$2:E4732)*(E4732=E$2:E4732)))))-COUNTBLANK(OFFSET(A$1,,,SUMPRODUCT(MAX(ROW(E$1:E4731)*(E2=E$1:E4731))))))</f>
        <v> </v>
      </c>
      <c r="K4732" s="26" t="str">
        <f>IF(OR(E4732="",E4732="!!!",F4732="NEW"),"",INDEX(J$1:J4731,SUMPRODUCT(MAX(ROW(E$1:E4731)*(E4732=E$1:E4731)))))</f>
        <v> </v>
      </c>
      <c r="L4732" s="27"/>
    </row>
    <row r="4733" spans="1:12">
      <c r="A4733" s="20" t="s">
        <v>1075</v>
      </c>
      <c r="E4733" s="22">
        <f>IF(D4733="?OLD","!!!","")</f>
        <v/>
      </c>
      <c r="F4733" s="23" t="str">
        <f>IF(OR(E4733="",E4733="!!!"),"",IF(NOT(ISNA(VLOOKUP(E4733,E$1:E4732,1,FALSE()))),"OLD",IF(AND(E4733&lt;&gt;"",E4733&lt;&gt;"!!!"),"NEW","")))</f>
        <v> </v>
      </c>
      <c r="G4733" s="24" t="str">
        <f>IF(OR(E4733="",E4733="!!!"),"",IF(OR(J4733=0,AND(J4733=1,K4733=1),AND(J4733=1,I4733="SBJ"),AND(J4733=1,I4733=0)),"?IN_FOCUS",IF(J4733&lt;=2,"?ACTIVATED",IF(J4733&lt;&gt;"","?FAMILIAR",IF(F4733="NEW",IF(ISNA(VLOOKUP(E4733,#REF!,1,FALSE())),"?TYPE_IDENTIFIABLE","?REFERENTIAL"),"_")))))</f>
        <v> </v>
      </c>
      <c r="H4733" s="25" t="str">
        <f>IF(J4733&lt;&gt;1,"",IF(I4733="SBJ","CB","?"))</f>
        <v> </v>
      </c>
      <c r="I4733" s="26" t="str">
        <f>IF(OR(E4733="",E4733="!!!",F4733="NEW"),"",INDEX(B4732:B$2,-1+SUMPRODUCT(MAX(ROW(E4732:E$2)*(E4733=E4732:E$2)))))</f>
        <v> </v>
      </c>
      <c r="J4733" s="26" t="str">
        <f>IF(OR(E4733="",E4733="!!!",F4733="NEW"),"",COUNTBLANK(OFFSET(A$1,,,SUMPRODUCT(MAX(ROW(E$2:E4733)*(E4733=E$2:E4733)))))-COUNTBLANK(OFFSET(A$1,,,SUMPRODUCT(MAX(ROW(E$1:E4732)*(E2=E$1:E4732))))))</f>
        <v> </v>
      </c>
      <c r="K4733" s="26" t="str">
        <f>IF(OR(E4733="",E4733="!!!",F4733="NEW"),"",INDEX(J$1:J4732,SUMPRODUCT(MAX(ROW(E$1:E4732)*(E4733=E$1:E4732)))))</f>
        <v> </v>
      </c>
      <c r="L4733" s="27"/>
    </row>
    <row r="4734" spans="1:12">
      <c r="A4734" s="20" t="s">
        <v>1065</v>
      </c>
      <c r="E4734" s="22">
        <f>IF(D4734="?OLD","!!!","")</f>
        <v/>
      </c>
      <c r="F4734" s="23" t="str">
        <f>IF(OR(E4734="",E4734="!!!"),"",IF(NOT(ISNA(VLOOKUP(E4734,E$1:E4733,1,FALSE()))),"OLD",IF(AND(E4734&lt;&gt;"",E4734&lt;&gt;"!!!"),"NEW","")))</f>
        <v> </v>
      </c>
      <c r="G4734" s="24" t="str">
        <f>IF(OR(E4734="",E4734="!!!"),"",IF(OR(J4734=0,AND(J4734=1,K4734=1),AND(J4734=1,I4734="SBJ"),AND(J4734=1,I4734=0)),"?IN_FOCUS",IF(J4734&lt;=2,"?ACTIVATED",IF(J4734&lt;&gt;"","?FAMILIAR",IF(F4734="NEW",IF(ISNA(VLOOKUP(E4734,#REF!,1,FALSE())),"?TYPE_IDENTIFIABLE","?REFERENTIAL"),"_")))))</f>
        <v> </v>
      </c>
      <c r="H4734" s="25" t="str">
        <f>IF(J4734&lt;&gt;1,"",IF(I4734="SBJ","CB","?"))</f>
        <v> </v>
      </c>
      <c r="I4734" s="26" t="str">
        <f>IF(OR(E4734="",E4734="!!!",F4734="NEW"),"",INDEX(B4733:B$2,-1+SUMPRODUCT(MAX(ROW(E4733:E$2)*(E4734=E4733:E$2)))))</f>
        <v> </v>
      </c>
      <c r="J4734" s="26" t="str">
        <f>IF(OR(E4734="",E4734="!!!",F4734="NEW"),"",COUNTBLANK(OFFSET(A$1,,,SUMPRODUCT(MAX(ROW(E$2:E4734)*(E4734=E$2:E4734)))))-COUNTBLANK(OFFSET(A$1,,,SUMPRODUCT(MAX(ROW(E$1:E4733)*(E2=E$1:E4733))))))</f>
        <v> </v>
      </c>
      <c r="K4734" s="26" t="str">
        <f>IF(OR(E4734="",E4734="!!!",F4734="NEW"),"",INDEX(J$1:J4733,SUMPRODUCT(MAX(ROW(E$1:E4733)*(E4734=E$1:E4733)))))</f>
        <v> </v>
      </c>
      <c r="L4734" s="27"/>
    </row>
    <row r="4735" spans="1:12">
      <c r="A4735" s="20" t="s">
        <v>1283</v>
      </c>
      <c r="E4735" s="22">
        <f>IF(D4735="?OLD","!!!","")</f>
        <v/>
      </c>
      <c r="F4735" s="23" t="str">
        <f>IF(OR(E4735="",E4735="!!!"),"",IF(NOT(ISNA(VLOOKUP(E4735,E$1:E4734,1,FALSE()))),"OLD",IF(AND(E4735&lt;&gt;"",E4735&lt;&gt;"!!!"),"NEW","")))</f>
        <v> </v>
      </c>
      <c r="G4735" s="24" t="str">
        <f>IF(OR(E4735="",E4735="!!!"),"",IF(OR(J4735=0,AND(J4735=1,K4735=1),AND(J4735=1,I4735="SBJ"),AND(J4735=1,I4735=0)),"?IN_FOCUS",IF(J4735&lt;=2,"?ACTIVATED",IF(J4735&lt;&gt;"","?FAMILIAR",IF(F4735="NEW",IF(ISNA(VLOOKUP(E4735,#REF!,1,FALSE())),"?TYPE_IDENTIFIABLE","?REFERENTIAL"),"_")))))</f>
        <v> </v>
      </c>
      <c r="H4735" s="25" t="str">
        <f>IF(J4735&lt;&gt;1,"",IF(I4735="SBJ","CB","?"))</f>
        <v> </v>
      </c>
      <c r="I4735" s="26" t="str">
        <f>IF(OR(E4735="",E4735="!!!",F4735="NEW"),"",INDEX(B4734:B$2,-1+SUMPRODUCT(MAX(ROW(E4734:E$2)*(E4735=E4734:E$2)))))</f>
        <v> </v>
      </c>
      <c r="J4735" s="26" t="str">
        <f>IF(OR(E4735="",E4735="!!!",F4735="NEW"),"",COUNTBLANK(OFFSET(A$1,,,SUMPRODUCT(MAX(ROW(E$2:E4735)*(E4735=E$2:E4735)))))-COUNTBLANK(OFFSET(A$1,,,SUMPRODUCT(MAX(ROW(E$1:E4734)*(E2=E$1:E4734))))))</f>
        <v> </v>
      </c>
      <c r="K4735" s="26" t="str">
        <f>IF(OR(E4735="",E4735="!!!",F4735="NEW"),"",INDEX(J$1:J4734,SUMPRODUCT(MAX(ROW(E$1:E4734)*(E4735=E$1:E4734)))))</f>
        <v> </v>
      </c>
      <c r="L4735" s="27"/>
    </row>
    <row r="4736" spans="1:12">
      <c r="A4736" s="20" t="s">
        <v>110</v>
      </c>
      <c r="E4736" s="22">
        <f>IF(D4736="?OLD","!!!","")</f>
        <v/>
      </c>
      <c r="F4736" s="23" t="str">
        <f>IF(OR(E4736="",E4736="!!!"),"",IF(NOT(ISNA(VLOOKUP(E4736,E$1:E4735,1,FALSE()))),"OLD",IF(AND(E4736&lt;&gt;"",E4736&lt;&gt;"!!!"),"NEW","")))</f>
        <v> </v>
      </c>
      <c r="G4736" s="24" t="str">
        <f>IF(OR(E4736="",E4736="!!!"),"",IF(OR(J4736=0,AND(J4736=1,K4736=1),AND(J4736=1,I4736="SBJ"),AND(J4736=1,I4736=0)),"?IN_FOCUS",IF(J4736&lt;=2,"?ACTIVATED",IF(J4736&lt;&gt;"","?FAMILIAR",IF(F4736="NEW",IF(ISNA(VLOOKUP(E4736,#REF!,1,FALSE())),"?TYPE_IDENTIFIABLE","?REFERENTIAL"),"_")))))</f>
        <v> </v>
      </c>
      <c r="H4736" s="25" t="str">
        <f>IF(J4736&lt;&gt;1,"",IF(I4736="SBJ","CB","?"))</f>
        <v> </v>
      </c>
      <c r="I4736" s="26" t="str">
        <f>IF(OR(E4736="",E4736="!!!",F4736="NEW"),"",INDEX(B4735:B$2,-1+SUMPRODUCT(MAX(ROW(E4735:E$2)*(E4736=E4735:E$2)))))</f>
        <v> </v>
      </c>
      <c r="J4736" s="26" t="str">
        <f>IF(OR(E4736="",E4736="!!!",F4736="NEW"),"",COUNTBLANK(OFFSET(A$1,,,SUMPRODUCT(MAX(ROW(E$2:E4736)*(E4736=E$2:E4736)))))-COUNTBLANK(OFFSET(A$1,,,SUMPRODUCT(MAX(ROW(E$1:E4735)*(E2=E$1:E4735))))))</f>
        <v> </v>
      </c>
      <c r="K4736" s="26" t="str">
        <f>IF(OR(E4736="",E4736="!!!",F4736="NEW"),"",INDEX(J$1:J4735,SUMPRODUCT(MAX(ROW(E$1:E4735)*(E4736=E$1:E4735)))))</f>
        <v> </v>
      </c>
      <c r="L4736" s="27"/>
    </row>
    <row r="4737" spans="1:12">
      <c r="A4737" s="20" t="s">
        <v>1036</v>
      </c>
      <c r="E4737" s="22">
        <f>IF(D4737="?OLD","!!!","")</f>
        <v/>
      </c>
      <c r="F4737" s="23" t="str">
        <f>IF(OR(E4737="",E4737="!!!"),"",IF(NOT(ISNA(VLOOKUP(E4737,E$1:E4736,1,FALSE()))),"OLD",IF(AND(E4737&lt;&gt;"",E4737&lt;&gt;"!!!"),"NEW","")))</f>
        <v> </v>
      </c>
      <c r="G4737" s="24" t="str">
        <f>IF(OR(E4737="",E4737="!!!"),"",IF(OR(J4737=0,AND(J4737=1,K4737=1),AND(J4737=1,I4737="SBJ"),AND(J4737=1,I4737=0)),"?IN_FOCUS",IF(J4737&lt;=2,"?ACTIVATED",IF(J4737&lt;&gt;"","?FAMILIAR",IF(F4737="NEW",IF(ISNA(VLOOKUP(E4737,#REF!,1,FALSE())),"?TYPE_IDENTIFIABLE","?REFERENTIAL"),"_")))))</f>
        <v> </v>
      </c>
      <c r="H4737" s="25" t="str">
        <f>IF(J4737&lt;&gt;1,"",IF(I4737="SBJ","CB","?"))</f>
        <v> </v>
      </c>
      <c r="I4737" s="26" t="str">
        <f>IF(OR(E4737="",E4737="!!!",F4737="NEW"),"",INDEX(B4736:B$2,-1+SUMPRODUCT(MAX(ROW(E4736:E$2)*(E4737=E4736:E$2)))))</f>
        <v> </v>
      </c>
      <c r="J4737" s="26" t="str">
        <f>IF(OR(E4737="",E4737="!!!",F4737="NEW"),"",COUNTBLANK(OFFSET(A$1,,,SUMPRODUCT(MAX(ROW(E$2:E4737)*(E4737=E$2:E4737)))))-COUNTBLANK(OFFSET(A$1,,,SUMPRODUCT(MAX(ROW(E$1:E4736)*(E2=E$1:E4736))))))</f>
        <v> </v>
      </c>
      <c r="K4737" s="26" t="str">
        <f>IF(OR(E4737="",E4737="!!!",F4737="NEW"),"",INDEX(J$1:J4736,SUMPRODUCT(MAX(ROW(E$1:E4736)*(E4737=E$1:E4736)))))</f>
        <v> </v>
      </c>
      <c r="L4737" s="27"/>
    </row>
    <row r="4738" spans="1:12">
      <c r="A4738" s="20" t="s">
        <v>102</v>
      </c>
      <c r="E4738" s="22">
        <f>IF(D4738="?OLD","!!!","")</f>
        <v/>
      </c>
      <c r="F4738" s="23" t="str">
        <f>IF(OR(E4738="",E4738="!!!"),"",IF(NOT(ISNA(VLOOKUP(E4738,E$1:E4737,1,FALSE()))),"OLD",IF(AND(E4738&lt;&gt;"",E4738&lt;&gt;"!!!"),"NEW","")))</f>
        <v> </v>
      </c>
      <c r="G4738" s="24" t="str">
        <f>IF(OR(E4738="",E4738="!!!"),"",IF(OR(J4738=0,AND(J4738=1,K4738=1),AND(J4738=1,I4738="SBJ"),AND(J4738=1,I4738=0)),"?IN_FOCUS",IF(J4738&lt;=2,"?ACTIVATED",IF(J4738&lt;&gt;"","?FAMILIAR",IF(F4738="NEW",IF(ISNA(VLOOKUP(E4738,#REF!,1,FALSE())),"?TYPE_IDENTIFIABLE","?REFERENTIAL"),"_")))))</f>
        <v> </v>
      </c>
      <c r="H4738" s="25" t="str">
        <f>IF(J4738&lt;&gt;1,"",IF(I4738="SBJ","CB","?"))</f>
        <v> </v>
      </c>
      <c r="I4738" s="26" t="str">
        <f>IF(OR(E4738="",E4738="!!!",F4738="NEW"),"",INDEX(B4737:B$2,-1+SUMPRODUCT(MAX(ROW(E4737:E$2)*(E4738=E4737:E$2)))))</f>
        <v> </v>
      </c>
      <c r="J4738" s="26" t="str">
        <f>IF(OR(E4738="",E4738="!!!",F4738="NEW"),"",COUNTBLANK(OFFSET(A$1,,,SUMPRODUCT(MAX(ROW(E$2:E4738)*(E4738=E$2:E4738)))))-COUNTBLANK(OFFSET(A$1,,,SUMPRODUCT(MAX(ROW(E$1:E4737)*(E2=E$1:E4737))))))</f>
        <v> </v>
      </c>
      <c r="K4738" s="26" t="str">
        <f>IF(OR(E4738="",E4738="!!!",F4738="NEW"),"",INDEX(J$1:J4737,SUMPRODUCT(MAX(ROW(E$1:E4737)*(E4738=E$1:E4737)))))</f>
        <v> </v>
      </c>
      <c r="L4738" s="27"/>
    </row>
    <row r="4739" spans="1:12">
      <c r="A4739" s="20" t="s">
        <v>1344</v>
      </c>
      <c r="B4739" s="21" t="s">
        <v>1134</v>
      </c>
      <c r="C4739" s="21" t="s">
        <v>1017</v>
      </c>
      <c r="D4739" s="21" t="s">
        <v>1007</v>
      </c>
      <c r="E4739" s="22">
        <f>IF(D4739="?OLD","!!!","")</f>
        <v/>
      </c>
      <c r="F4739" s="23" t="str">
        <f>IF(OR(E4739="",E4739="!!!"),"",IF(NOT(ISNA(VLOOKUP(E4739,E$1:E4738,1,FALSE()))),"OLD",IF(AND(E4739&lt;&gt;"",E4739&lt;&gt;"!!!"),"NEW","")))</f>
        <v> </v>
      </c>
      <c r="G4739" s="24" t="str">
        <f>IF(OR(E4739="",E4739="!!!"),"",IF(OR(J4739=0,AND(J4739=1,K4739=1),AND(J4739=1,I4739="SBJ"),AND(J4739=1,I4739=0)),"?IN_FOCUS",IF(J4739&lt;=2,"?ACTIVATED",IF(J4739&lt;&gt;"","?FAMILIAR",IF(F4739="NEW",IF(ISNA(VLOOKUP(E4739,#REF!,1,FALSE())),"?TYPE_IDENTIFIABLE","?REFERENTIAL"),"_")))))</f>
        <v> </v>
      </c>
      <c r="H4739" s="25" t="str">
        <f>IF(J4739&lt;&gt;1,"",IF(I4739="SBJ","CB","?"))</f>
        <v> </v>
      </c>
      <c r="I4739" s="26" t="str">
        <f>IF(OR(E4739="",E4739="!!!",F4739="NEW"),"",INDEX(B4738:B$2,-1+SUMPRODUCT(MAX(ROW(E4738:E$2)*(E4739=E4738:E$2)))))</f>
        <v> </v>
      </c>
      <c r="J4739" s="26" t="str">
        <f>IF(OR(E4739="",E4739="!!!",F4739="NEW"),"",COUNTBLANK(OFFSET(A$1,,,SUMPRODUCT(MAX(ROW(E$2:E4739)*(E4739=E$2:E4739)))))-COUNTBLANK(OFFSET(A$1,,,SUMPRODUCT(MAX(ROW(E$1:E4738)*(E2=E$1:E4738))))))</f>
        <v> </v>
      </c>
      <c r="K4739" s="26" t="str">
        <f>IF(OR(E4739="",E4739="!!!",F4739="NEW"),"",INDEX(J$1:J4738,SUMPRODUCT(MAX(ROW(E$1:E4738)*(E4739=E$1:E4738)))))</f>
        <v> </v>
      </c>
      <c r="L4739" s="27"/>
    </row>
    <row r="4740" spans="1:12">
      <c r="A4740" s="20" t="s">
        <v>1194</v>
      </c>
      <c r="E4740" s="22">
        <f>IF(D4740="?OLD","!!!","")</f>
        <v/>
      </c>
      <c r="F4740" s="23" t="str">
        <f>IF(OR(E4740="",E4740="!!!"),"",IF(NOT(ISNA(VLOOKUP(E4740,E$1:E4739,1,FALSE()))),"OLD",IF(AND(E4740&lt;&gt;"",E4740&lt;&gt;"!!!"),"NEW","")))</f>
        <v> </v>
      </c>
      <c r="G4740" s="24" t="str">
        <f>IF(OR(E4740="",E4740="!!!"),"",IF(OR(J4740=0,AND(J4740=1,K4740=1),AND(J4740=1,I4740="SBJ"),AND(J4740=1,I4740=0)),"?IN_FOCUS",IF(J4740&lt;=2,"?ACTIVATED",IF(J4740&lt;&gt;"","?FAMILIAR",IF(F4740="NEW",IF(ISNA(VLOOKUP(E4740,#REF!,1,FALSE())),"?TYPE_IDENTIFIABLE","?REFERENTIAL"),"_")))))</f>
        <v> </v>
      </c>
      <c r="H4740" s="25" t="str">
        <f>IF(J4740&lt;&gt;1,"",IF(I4740="SBJ","CB","?"))</f>
        <v> </v>
      </c>
      <c r="I4740" s="26" t="str">
        <f>IF(OR(E4740="",E4740="!!!",F4740="NEW"),"",INDEX(B4739:B$2,-1+SUMPRODUCT(MAX(ROW(E4739:E$2)*(E4740=E4739:E$2)))))</f>
        <v> </v>
      </c>
      <c r="J4740" s="26" t="str">
        <f>IF(OR(E4740="",E4740="!!!",F4740="NEW"),"",COUNTBLANK(OFFSET(A$1,,,SUMPRODUCT(MAX(ROW(E$2:E4740)*(E4740=E$2:E4740)))))-COUNTBLANK(OFFSET(A$1,,,SUMPRODUCT(MAX(ROW(E$1:E4739)*(E2=E$1:E4739))))))</f>
        <v> </v>
      </c>
      <c r="K4740" s="26" t="str">
        <f>IF(OR(E4740="",E4740="!!!",F4740="NEW"),"",INDEX(J$1:J4739,SUMPRODUCT(MAX(ROW(E$1:E4739)*(E4740=E$1:E4739)))))</f>
        <v> </v>
      </c>
      <c r="L4740" s="27"/>
    </row>
    <row r="4741" spans="1:12">
      <c r="A4741" s="20" t="s">
        <v>1023</v>
      </c>
      <c r="E4741" s="22">
        <f>IF(D4741="?OLD","!!!","")</f>
        <v/>
      </c>
      <c r="F4741" s="23" t="str">
        <f>IF(OR(E4741="",E4741="!!!"),"",IF(NOT(ISNA(VLOOKUP(E4741,E$1:E4740,1,FALSE()))),"OLD",IF(AND(E4741&lt;&gt;"",E4741&lt;&gt;"!!!"),"NEW","")))</f>
        <v> </v>
      </c>
      <c r="G4741" s="24" t="str">
        <f>IF(OR(E4741="",E4741="!!!"),"",IF(OR(J4741=0,AND(J4741=1,K4741=1),AND(J4741=1,I4741="SBJ"),AND(J4741=1,I4741=0)),"?IN_FOCUS",IF(J4741&lt;=2,"?ACTIVATED",IF(J4741&lt;&gt;"","?FAMILIAR",IF(F4741="NEW",IF(ISNA(VLOOKUP(E4741,#REF!,1,FALSE())),"?TYPE_IDENTIFIABLE","?REFERENTIAL"),"_")))))</f>
        <v> </v>
      </c>
      <c r="H4741" s="25" t="str">
        <f>IF(J4741&lt;&gt;1,"",IF(I4741="SBJ","CB","?"))</f>
        <v> </v>
      </c>
      <c r="I4741" s="26" t="str">
        <f>IF(OR(E4741="",E4741="!!!",F4741="NEW"),"",INDEX(B4740:B$2,-1+SUMPRODUCT(MAX(ROW(E4740:E$2)*(E4741=E4740:E$2)))))</f>
        <v> </v>
      </c>
      <c r="J4741" s="26" t="str">
        <f>IF(OR(E4741="",E4741="!!!",F4741="NEW"),"",COUNTBLANK(OFFSET(A$1,,,SUMPRODUCT(MAX(ROW(E$2:E4741)*(E4741=E$2:E4741)))))-COUNTBLANK(OFFSET(A$1,,,SUMPRODUCT(MAX(ROW(E$1:E4740)*(E2=E$1:E4740))))))</f>
        <v> </v>
      </c>
      <c r="K4741" s="26" t="str">
        <f>IF(OR(E4741="",E4741="!!!",F4741="NEW"),"",INDEX(J$1:J4740,SUMPRODUCT(MAX(ROW(E$1:E4740)*(E4741=E$1:E4740)))))</f>
        <v> </v>
      </c>
      <c r="L4741" s="27"/>
    </row>
    <row r="4742" spans="1:12">
      <c r="A4742" s="20"/>
    </row>
    <row r="4743" spans="1:12">
      <c r="A4743" s="20" t="s">
        <v>2335</v>
      </c>
    </row>
    <row r="4744" spans="1:12">
      <c r="A4744" s="20" t="s">
        <v>1147</v>
      </c>
      <c r="E4744" s="22">
        <f>IF(D4744="?OLD","!!!","")</f>
        <v/>
      </c>
      <c r="F4744" s="23" t="str">
        <f>IF(OR(E4744="",E4744="!!!"),"",IF(NOT(ISNA(VLOOKUP(E4744,E$1:E4743,1,FALSE()))),"OLD",IF(AND(E4744&lt;&gt;"",E4744&lt;&gt;"!!!"),"NEW","")))</f>
        <v> </v>
      </c>
      <c r="G4744" s="24" t="str">
        <f>IF(OR(E4744="",E4744="!!!"),"",IF(OR(J4744=0,AND(J4744=1,K4744=1),AND(J4744=1,I4744="SBJ"),AND(J4744=1,I4744=0)),"?IN_FOCUS",IF(J4744&lt;=2,"?ACTIVATED",IF(J4744&lt;&gt;"","?FAMILIAR",IF(F4744="NEW",IF(ISNA(VLOOKUP(E4744,#REF!,1,FALSE())),"?TYPE_IDENTIFIABLE","?REFERENTIAL"),"_")))))</f>
        <v> </v>
      </c>
      <c r="H4744" s="25" t="str">
        <f>IF(J4744&lt;&gt;1,"",IF(I4744="SBJ","CB","?"))</f>
        <v> </v>
      </c>
      <c r="I4744" s="26" t="str">
        <f>IF(OR(E4744="",E4744="!!!",F4744="NEW"),"",INDEX(B4743:B$2,-1+SUMPRODUCT(MAX(ROW(E4743:E$2)*(E4744=E4743:E$2)))))</f>
        <v> </v>
      </c>
      <c r="J4744" s="26" t="str">
        <f>IF(OR(E4744="",E4744="!!!",F4744="NEW"),"",COUNTBLANK(OFFSET(A$1,,,SUMPRODUCT(MAX(ROW(E$2:E4744)*(E4744=E$2:E4744)))))-COUNTBLANK(OFFSET(A$1,,,SUMPRODUCT(MAX(ROW(E$1:E4743)*(E2=E$1:E4743))))))</f>
        <v> </v>
      </c>
      <c r="K4744" s="26" t="str">
        <f>IF(OR(E4744="",E4744="!!!",F4744="NEW"),"",INDEX(J$1:J4743,SUMPRODUCT(MAX(ROW(E$1:E4743)*(E4744=E$1:E4743)))))</f>
        <v> </v>
      </c>
      <c r="L4744" s="27"/>
    </row>
    <row r="4745" spans="1:12">
      <c r="A4745" s="20" t="s">
        <v>2058</v>
      </c>
      <c r="E4745" s="22">
        <f>IF(D4745="?OLD","!!!","")</f>
        <v/>
      </c>
      <c r="F4745" s="23" t="str">
        <f>IF(OR(E4745="",E4745="!!!"),"",IF(NOT(ISNA(VLOOKUP(E4745,E$1:E4744,1,FALSE()))),"OLD",IF(AND(E4745&lt;&gt;"",E4745&lt;&gt;"!!!"),"NEW","")))</f>
        <v> </v>
      </c>
      <c r="G4745" s="24" t="str">
        <f>IF(OR(E4745="",E4745="!!!"),"",IF(OR(J4745=0,AND(J4745=1,K4745=1),AND(J4745=1,I4745="SBJ"),AND(J4745=1,I4745=0)),"?IN_FOCUS",IF(J4745&lt;=2,"?ACTIVATED",IF(J4745&lt;&gt;"","?FAMILIAR",IF(F4745="NEW",IF(ISNA(VLOOKUP(E4745,#REF!,1,FALSE())),"?TYPE_IDENTIFIABLE","?REFERENTIAL"),"_")))))</f>
        <v> </v>
      </c>
      <c r="H4745" s="25" t="str">
        <f>IF(J4745&lt;&gt;1,"",IF(I4745="SBJ","CB","?"))</f>
        <v> </v>
      </c>
      <c r="I4745" s="26" t="str">
        <f>IF(OR(E4745="",E4745="!!!",F4745="NEW"),"",INDEX(B4744:B$2,-1+SUMPRODUCT(MAX(ROW(E4744:E$2)*(E4745=E4744:E$2)))))</f>
        <v> </v>
      </c>
      <c r="J4745" s="26" t="str">
        <f>IF(OR(E4745="",E4745="!!!",F4745="NEW"),"",COUNTBLANK(OFFSET(A$1,,,SUMPRODUCT(MAX(ROW(E$2:E4745)*(E4745=E$2:E4745)))))-COUNTBLANK(OFFSET(A$1,,,SUMPRODUCT(MAX(ROW(E$1:E4744)*(E2=E$1:E4744))))))</f>
        <v> </v>
      </c>
      <c r="K4745" s="26" t="str">
        <f>IF(OR(E4745="",E4745="!!!",F4745="NEW"),"",INDEX(J$1:J4744,SUMPRODUCT(MAX(ROW(E$1:E4744)*(E4745=E$1:E4744)))))</f>
        <v> </v>
      </c>
      <c r="L4745" s="27"/>
    </row>
    <row r="4746" spans="1:12">
      <c r="A4746" s="20" t="s">
        <v>2336</v>
      </c>
      <c r="E4746" s="22">
        <f>IF(D4746="?OLD","!!!","")</f>
        <v/>
      </c>
      <c r="F4746" s="23" t="str">
        <f>IF(OR(E4746="",E4746="!!!"),"",IF(NOT(ISNA(VLOOKUP(E4746,E$1:E4745,1,FALSE()))),"OLD",IF(AND(E4746&lt;&gt;"",E4746&lt;&gt;"!!!"),"NEW","")))</f>
        <v> </v>
      </c>
      <c r="G4746" s="24" t="str">
        <f>IF(OR(E4746="",E4746="!!!"),"",IF(OR(J4746=0,AND(J4746=1,K4746=1),AND(J4746=1,I4746="SBJ"),AND(J4746=1,I4746=0)),"?IN_FOCUS",IF(J4746&lt;=2,"?ACTIVATED",IF(J4746&lt;&gt;"","?FAMILIAR",IF(F4746="NEW",IF(ISNA(VLOOKUP(E4746,#REF!,1,FALSE())),"?TYPE_IDENTIFIABLE","?REFERENTIAL"),"_")))))</f>
        <v> </v>
      </c>
      <c r="H4746" s="25" t="str">
        <f>IF(J4746&lt;&gt;1,"",IF(I4746="SBJ","CB","?"))</f>
        <v> </v>
      </c>
      <c r="I4746" s="26" t="str">
        <f>IF(OR(E4746="",E4746="!!!",F4746="NEW"),"",INDEX(B4745:B$2,-1+SUMPRODUCT(MAX(ROW(E4745:E$2)*(E4746=E4745:E$2)))))</f>
        <v> </v>
      </c>
      <c r="J4746" s="26" t="str">
        <f>IF(OR(E4746="",E4746="!!!",F4746="NEW"),"",COUNTBLANK(OFFSET(A$1,,,SUMPRODUCT(MAX(ROW(E$2:E4746)*(E4746=E$2:E4746)))))-COUNTBLANK(OFFSET(A$1,,,SUMPRODUCT(MAX(ROW(E$1:E4745)*(E2=E$1:E4745))))))</f>
        <v> </v>
      </c>
      <c r="K4746" s="26" t="str">
        <f>IF(OR(E4746="",E4746="!!!",F4746="NEW"),"",INDEX(J$1:J4745,SUMPRODUCT(MAX(ROW(E$1:E4745)*(E4746=E$1:E4745)))))</f>
        <v> </v>
      </c>
      <c r="L4746" s="27"/>
    </row>
    <row r="4747" spans="1:12">
      <c r="A4747" s="20" t="s">
        <v>102</v>
      </c>
      <c r="E4747" s="22">
        <f>IF(D4747="?OLD","!!!","")</f>
        <v/>
      </c>
      <c r="F4747" s="23" t="str">
        <f>IF(OR(E4747="",E4747="!!!"),"",IF(NOT(ISNA(VLOOKUP(E4747,E$1:E4746,1,FALSE()))),"OLD",IF(AND(E4747&lt;&gt;"",E4747&lt;&gt;"!!!"),"NEW","")))</f>
        <v> </v>
      </c>
      <c r="G4747" s="24" t="str">
        <f>IF(OR(E4747="",E4747="!!!"),"",IF(OR(J4747=0,AND(J4747=1,K4747=1),AND(J4747=1,I4747="SBJ"),AND(J4747=1,I4747=0)),"?IN_FOCUS",IF(J4747&lt;=2,"?ACTIVATED",IF(J4747&lt;&gt;"","?FAMILIAR",IF(F4747="NEW",IF(ISNA(VLOOKUP(E4747,#REF!,1,FALSE())),"?TYPE_IDENTIFIABLE","?REFERENTIAL"),"_")))))</f>
        <v> </v>
      </c>
      <c r="H4747" s="25" t="str">
        <f>IF(J4747&lt;&gt;1,"",IF(I4747="SBJ","CB","?"))</f>
        <v> </v>
      </c>
      <c r="I4747" s="26" t="str">
        <f>IF(OR(E4747="",E4747="!!!",F4747="NEW"),"",INDEX(B4746:B$2,-1+SUMPRODUCT(MAX(ROW(E4746:E$2)*(E4747=E4746:E$2)))))</f>
        <v> </v>
      </c>
      <c r="J4747" s="26" t="str">
        <f>IF(OR(E4747="",E4747="!!!",F4747="NEW"),"",COUNTBLANK(OFFSET(A$1,,,SUMPRODUCT(MAX(ROW(E$2:E4747)*(E4747=E$2:E4747)))))-COUNTBLANK(OFFSET(A$1,,,SUMPRODUCT(MAX(ROW(E$1:E4746)*(E2=E$1:E4746))))))</f>
        <v> </v>
      </c>
      <c r="K4747" s="26" t="str">
        <f>IF(OR(E4747="",E4747="!!!",F4747="NEW"),"",INDEX(J$1:J4746,SUMPRODUCT(MAX(ROW(E$1:E4746)*(E4747=E$1:E4746)))))</f>
        <v> </v>
      </c>
      <c r="L4747" s="27"/>
    </row>
    <row r="4748" spans="1:12">
      <c r="A4748" s="20" t="s">
        <v>2337</v>
      </c>
      <c r="B4748" s="21" t="s">
        <v>1033</v>
      </c>
      <c r="C4748" s="21" t="s">
        <v>1059</v>
      </c>
      <c r="D4748" s="21" t="s">
        <v>1007</v>
      </c>
      <c r="E4748" s="22">
        <f>IF(D4748="?OLD","!!!","")</f>
        <v/>
      </c>
      <c r="F4748" s="23" t="str">
        <f>IF(OR(E4748="",E4748="!!!"),"",IF(NOT(ISNA(VLOOKUP(E4748,E$1:E4747,1,FALSE()))),"OLD",IF(AND(E4748&lt;&gt;"",E4748&lt;&gt;"!!!"),"NEW","")))</f>
        <v> </v>
      </c>
      <c r="G4748" s="24" t="str">
        <f>IF(OR(E4748="",E4748="!!!"),"",IF(OR(J4748=0,AND(J4748=1,K4748=1),AND(J4748=1,I4748="SBJ"),AND(J4748=1,I4748=0)),"?IN_FOCUS",IF(J4748&lt;=2,"?ACTIVATED",IF(J4748&lt;&gt;"","?FAMILIAR",IF(F4748="NEW",IF(ISNA(VLOOKUP(E4748,#REF!,1,FALSE())),"?TYPE_IDENTIFIABLE","?REFERENTIAL"),"_")))))</f>
        <v> </v>
      </c>
      <c r="H4748" s="25" t="str">
        <f>IF(J4748&lt;&gt;1,"",IF(I4748="SBJ","CB","?"))</f>
        <v> </v>
      </c>
      <c r="I4748" s="26" t="str">
        <f>IF(OR(E4748="",E4748="!!!",F4748="NEW"),"",INDEX(B4747:B$2,-1+SUMPRODUCT(MAX(ROW(E4747:E$2)*(E4748=E4747:E$2)))))</f>
        <v> </v>
      </c>
      <c r="J4748" s="26" t="str">
        <f>IF(OR(E4748="",E4748="!!!",F4748="NEW"),"",COUNTBLANK(OFFSET(A$1,,,SUMPRODUCT(MAX(ROW(E$2:E4748)*(E4748=E$2:E4748)))))-COUNTBLANK(OFFSET(A$1,,,SUMPRODUCT(MAX(ROW(E$1:E4747)*(E2=E$1:E4747))))))</f>
        <v> </v>
      </c>
      <c r="K4748" s="26" t="str">
        <f>IF(OR(E4748="",E4748="!!!",F4748="NEW"),"",INDEX(J$1:J4747,SUMPRODUCT(MAX(ROW(E$1:E4747)*(E4748=E$1:E4747)))))</f>
        <v> </v>
      </c>
      <c r="L4748" s="27"/>
    </row>
    <row r="4749" spans="1:12">
      <c r="A4749" s="20" t="s">
        <v>1168</v>
      </c>
      <c r="B4749" s="21" t="s">
        <v>1029</v>
      </c>
      <c r="C4749" s="21" t="s">
        <v>1017</v>
      </c>
      <c r="D4749" s="21" t="s">
        <v>1007</v>
      </c>
      <c r="E4749" s="22">
        <f>IF(D4749="?OLD","!!!","")</f>
        <v/>
      </c>
      <c r="F4749" s="23" t="str">
        <f>IF(OR(E4749="",E4749="!!!"),"",IF(NOT(ISNA(VLOOKUP(E4749,E$1:E4748,1,FALSE()))),"OLD",IF(AND(E4749&lt;&gt;"",E4749&lt;&gt;"!!!"),"NEW","")))</f>
        <v> </v>
      </c>
      <c r="G4749" s="24" t="str">
        <f>IF(OR(E4749="",E4749="!!!"),"",IF(OR(J4749=0,AND(J4749=1,K4749=1),AND(J4749=1,I4749="SBJ"),AND(J4749=1,I4749=0)),"?IN_FOCUS",IF(J4749&lt;=2,"?ACTIVATED",IF(J4749&lt;&gt;"","?FAMILIAR",IF(F4749="NEW",IF(ISNA(VLOOKUP(E4749,#REF!,1,FALSE())),"?TYPE_IDENTIFIABLE","?REFERENTIAL"),"_")))))</f>
        <v> </v>
      </c>
      <c r="H4749" s="25" t="str">
        <f>IF(J4749&lt;&gt;1,"",IF(I4749="SBJ","CB","?"))</f>
        <v> </v>
      </c>
      <c r="I4749" s="26" t="str">
        <f>IF(OR(E4749="",E4749="!!!",F4749="NEW"),"",INDEX(B4748:B$2,-1+SUMPRODUCT(MAX(ROW(E4748:E$2)*(E4749=E4748:E$2)))))</f>
        <v> </v>
      </c>
      <c r="J4749" s="26" t="str">
        <f>IF(OR(E4749="",E4749="!!!",F4749="NEW"),"",COUNTBLANK(OFFSET(A$1,,,SUMPRODUCT(MAX(ROW(E$2:E4749)*(E4749=E$2:E4749)))))-COUNTBLANK(OFFSET(A$1,,,SUMPRODUCT(MAX(ROW(E$1:E4748)*(E2=E$1:E4748))))))</f>
        <v> </v>
      </c>
      <c r="K4749" s="26" t="str">
        <f>IF(OR(E4749="",E4749="!!!",F4749="NEW"),"",INDEX(J$1:J4748,SUMPRODUCT(MAX(ROW(E$1:E4748)*(E4749=E$1:E4748)))))</f>
        <v> </v>
      </c>
      <c r="L4749" s="27"/>
    </row>
    <row r="4750" spans="1:12">
      <c r="A4750" s="20" t="s">
        <v>1023</v>
      </c>
      <c r="E4750" s="22">
        <f>IF(D4750="?OLD","!!!","")</f>
        <v/>
      </c>
      <c r="F4750" s="23" t="str">
        <f>IF(OR(E4750="",E4750="!!!"),"",IF(NOT(ISNA(VLOOKUP(E4750,E$1:E4749,1,FALSE()))),"OLD",IF(AND(E4750&lt;&gt;"",E4750&lt;&gt;"!!!"),"NEW","")))</f>
        <v> </v>
      </c>
      <c r="G4750" s="24" t="str">
        <f>IF(OR(E4750="",E4750="!!!"),"",IF(OR(J4750=0,AND(J4750=1,K4750=1),AND(J4750=1,I4750="SBJ"),AND(J4750=1,I4750=0)),"?IN_FOCUS",IF(J4750&lt;=2,"?ACTIVATED",IF(J4750&lt;&gt;"","?FAMILIAR",IF(F4750="NEW",IF(ISNA(VLOOKUP(E4750,#REF!,1,FALSE())),"?TYPE_IDENTIFIABLE","?REFERENTIAL"),"_")))))</f>
        <v> </v>
      </c>
      <c r="H4750" s="25" t="str">
        <f>IF(J4750&lt;&gt;1,"",IF(I4750="SBJ","CB","?"))</f>
        <v> </v>
      </c>
      <c r="I4750" s="26" t="str">
        <f>IF(OR(E4750="",E4750="!!!",F4750="NEW"),"",INDEX(B4749:B$2,-1+SUMPRODUCT(MAX(ROW(E4749:E$2)*(E4750=E4749:E$2)))))</f>
        <v> </v>
      </c>
      <c r="J4750" s="26" t="str">
        <f>IF(OR(E4750="",E4750="!!!",F4750="NEW"),"",COUNTBLANK(OFFSET(A$1,,,SUMPRODUCT(MAX(ROW(E$2:E4750)*(E4750=E$2:E4750)))))-COUNTBLANK(OFFSET(A$1,,,SUMPRODUCT(MAX(ROW(E$1:E4749)*(E2=E$1:E4749))))))</f>
        <v> </v>
      </c>
      <c r="K4750" s="26" t="str">
        <f>IF(OR(E4750="",E4750="!!!",F4750="NEW"),"",INDEX(J$1:J4749,SUMPRODUCT(MAX(ROW(E$1:E4749)*(E4750=E$1:E4749)))))</f>
        <v> </v>
      </c>
      <c r="L4750" s="27"/>
    </row>
    <row r="4751" spans="1:12">
      <c r="A4751" s="20"/>
    </row>
    <row r="4752" spans="1:12">
      <c r="A4752" s="20" t="s">
        <v>2338</v>
      </c>
    </row>
    <row r="4753" spans="1:12">
      <c r="A4753" s="20" t="s">
        <v>1629</v>
      </c>
      <c r="E4753" s="22">
        <f>IF(D4753="?OLD","!!!","")</f>
        <v/>
      </c>
      <c r="F4753" s="23" t="str">
        <f>IF(OR(E4753="",E4753="!!!"),"",IF(NOT(ISNA(VLOOKUP(E4753,E$1:E4752,1,FALSE()))),"OLD",IF(AND(E4753&lt;&gt;"",E4753&lt;&gt;"!!!"),"NEW","")))</f>
        <v> </v>
      </c>
      <c r="G4753" s="24" t="str">
        <f>IF(OR(E4753="",E4753="!!!"),"",IF(OR(J4753=0,AND(J4753=1,K4753=1),AND(J4753=1,I4753="SBJ"),AND(J4753=1,I4753=0)),"?IN_FOCUS",IF(J4753&lt;=2,"?ACTIVATED",IF(J4753&lt;&gt;"","?FAMILIAR",IF(F4753="NEW",IF(ISNA(VLOOKUP(E4753,#REF!,1,FALSE())),"?TYPE_IDENTIFIABLE","?REFERENTIAL"),"_")))))</f>
        <v> </v>
      </c>
      <c r="H4753" s="25" t="str">
        <f>IF(J4753&lt;&gt;1,"",IF(I4753="SBJ","CB","?"))</f>
        <v> </v>
      </c>
      <c r="I4753" s="26" t="str">
        <f>IF(OR(E4753="",E4753="!!!",F4753="NEW"),"",INDEX(B4752:B$2,-1+SUMPRODUCT(MAX(ROW(E4752:E$2)*(E4753=E4752:E$2)))))</f>
        <v> </v>
      </c>
      <c r="J4753" s="26" t="str">
        <f>IF(OR(E4753="",E4753="!!!",F4753="NEW"),"",COUNTBLANK(OFFSET(A$1,,,SUMPRODUCT(MAX(ROW(E$2:E4753)*(E4753=E$2:E4753)))))-COUNTBLANK(OFFSET(A$1,,,SUMPRODUCT(MAX(ROW(E$1:E4752)*(E2=E$1:E4752))))))</f>
        <v> </v>
      </c>
      <c r="K4753" s="26" t="str">
        <f>IF(OR(E4753="",E4753="!!!",F4753="NEW"),"",INDEX(J$1:J4752,SUMPRODUCT(MAX(ROW(E$1:E4752)*(E4753=E$1:E4752)))))</f>
        <v> </v>
      </c>
      <c r="L4753" s="27"/>
    </row>
    <row r="4754" spans="1:12">
      <c r="A4754" s="20" t="s">
        <v>2339</v>
      </c>
      <c r="E4754" s="22">
        <f>IF(D4754="?OLD","!!!","")</f>
        <v/>
      </c>
      <c r="F4754" s="23" t="str">
        <f>IF(OR(E4754="",E4754="!!!"),"",IF(NOT(ISNA(VLOOKUP(E4754,E$1:E4753,1,FALSE()))),"OLD",IF(AND(E4754&lt;&gt;"",E4754&lt;&gt;"!!!"),"NEW","")))</f>
        <v> </v>
      </c>
      <c r="G4754" s="24" t="str">
        <f>IF(OR(E4754="",E4754="!!!"),"",IF(OR(J4754=0,AND(J4754=1,K4754=1),AND(J4754=1,I4754="SBJ"),AND(J4754=1,I4754=0)),"?IN_FOCUS",IF(J4754&lt;=2,"?ACTIVATED",IF(J4754&lt;&gt;"","?FAMILIAR",IF(F4754="NEW",IF(ISNA(VLOOKUP(E4754,#REF!,1,FALSE())),"?TYPE_IDENTIFIABLE","?REFERENTIAL"),"_")))))</f>
        <v> </v>
      </c>
      <c r="H4754" s="25" t="str">
        <f>IF(J4754&lt;&gt;1,"",IF(I4754="SBJ","CB","?"))</f>
        <v> </v>
      </c>
      <c r="I4754" s="26" t="str">
        <f>IF(OR(E4754="",E4754="!!!",F4754="NEW"),"",INDEX(B4753:B$2,-1+SUMPRODUCT(MAX(ROW(E4753:E$2)*(E4754=E4753:E$2)))))</f>
        <v> </v>
      </c>
      <c r="J4754" s="26" t="str">
        <f>IF(OR(E4754="",E4754="!!!",F4754="NEW"),"",COUNTBLANK(OFFSET(A$1,,,SUMPRODUCT(MAX(ROW(E$2:E4754)*(E4754=E$2:E4754)))))-COUNTBLANK(OFFSET(A$1,,,SUMPRODUCT(MAX(ROW(E$1:E4753)*(E2=E$1:E4753))))))</f>
        <v> </v>
      </c>
      <c r="K4754" s="26" t="str">
        <f>IF(OR(E4754="",E4754="!!!",F4754="NEW"),"",INDEX(J$1:J4753,SUMPRODUCT(MAX(ROW(E$1:E4753)*(E4754=E$1:E4753)))))</f>
        <v> </v>
      </c>
      <c r="L4754" s="27"/>
    </row>
    <row r="4755" spans="1:12">
      <c r="A4755" s="20" t="s">
        <v>102</v>
      </c>
      <c r="E4755" s="22">
        <f>IF(D4755="?OLD","!!!","")</f>
        <v/>
      </c>
      <c r="F4755" s="23" t="str">
        <f>IF(OR(E4755="",E4755="!!!"),"",IF(NOT(ISNA(VLOOKUP(E4755,E$1:E4754,1,FALSE()))),"OLD",IF(AND(E4755&lt;&gt;"",E4755&lt;&gt;"!!!"),"NEW","")))</f>
        <v> </v>
      </c>
      <c r="G4755" s="24" t="str">
        <f>IF(OR(E4755="",E4755="!!!"),"",IF(OR(J4755=0,AND(J4755=1,K4755=1),AND(J4755=1,I4755="SBJ"),AND(J4755=1,I4755=0)),"?IN_FOCUS",IF(J4755&lt;=2,"?ACTIVATED",IF(J4755&lt;&gt;"","?FAMILIAR",IF(F4755="NEW",IF(ISNA(VLOOKUP(E4755,#REF!,1,FALSE())),"?TYPE_IDENTIFIABLE","?REFERENTIAL"),"_")))))</f>
        <v> </v>
      </c>
      <c r="H4755" s="25" t="str">
        <f>IF(J4755&lt;&gt;1,"",IF(I4755="SBJ","CB","?"))</f>
        <v> </v>
      </c>
      <c r="I4755" s="26" t="str">
        <f>IF(OR(E4755="",E4755="!!!",F4755="NEW"),"",INDEX(B4754:B$2,-1+SUMPRODUCT(MAX(ROW(E4754:E$2)*(E4755=E4754:E$2)))))</f>
        <v> </v>
      </c>
      <c r="J4755" s="26" t="str">
        <f>IF(OR(E4755="",E4755="!!!",F4755="NEW"),"",COUNTBLANK(OFFSET(A$1,,,SUMPRODUCT(MAX(ROW(E$2:E4755)*(E4755=E$2:E4755)))))-COUNTBLANK(OFFSET(A$1,,,SUMPRODUCT(MAX(ROW(E$1:E4754)*(E2=E$1:E4754))))))</f>
        <v> </v>
      </c>
      <c r="K4755" s="26" t="str">
        <f>IF(OR(E4755="",E4755="!!!",F4755="NEW"),"",INDEX(J$1:J4754,SUMPRODUCT(MAX(ROW(E$1:E4754)*(E4755=E$1:E4754)))))</f>
        <v> </v>
      </c>
      <c r="L4755" s="27"/>
    </row>
    <row r="4756" spans="1:12">
      <c r="A4756" s="20" t="s">
        <v>2337</v>
      </c>
      <c r="B4756" s="21" t="s">
        <v>1033</v>
      </c>
      <c r="C4756" s="21" t="s">
        <v>1059</v>
      </c>
      <c r="D4756" s="21" t="s">
        <v>1007</v>
      </c>
      <c r="E4756" s="22">
        <f>IF(D4756="?OLD","!!!","")</f>
        <v/>
      </c>
      <c r="F4756" s="23" t="str">
        <f>IF(OR(E4756="",E4756="!!!"),"",IF(NOT(ISNA(VLOOKUP(E4756,E$1:E4755,1,FALSE()))),"OLD",IF(AND(E4756&lt;&gt;"",E4756&lt;&gt;"!!!"),"NEW","")))</f>
        <v> </v>
      </c>
      <c r="G4756" s="24" t="str">
        <f>IF(OR(E4756="",E4756="!!!"),"",IF(OR(J4756=0,AND(J4756=1,K4756=1),AND(J4756=1,I4756="SBJ"),AND(J4756=1,I4756=0)),"?IN_FOCUS",IF(J4756&lt;=2,"?ACTIVATED",IF(J4756&lt;&gt;"","?FAMILIAR",IF(F4756="NEW",IF(ISNA(VLOOKUP(E4756,#REF!,1,FALSE())),"?TYPE_IDENTIFIABLE","?REFERENTIAL"),"_")))))</f>
        <v> </v>
      </c>
      <c r="H4756" s="25" t="str">
        <f>IF(J4756&lt;&gt;1,"",IF(I4756="SBJ","CB","?"))</f>
        <v> </v>
      </c>
      <c r="I4756" s="26" t="str">
        <f>IF(OR(E4756="",E4756="!!!",F4756="NEW"),"",INDEX(B4755:B$2,-1+SUMPRODUCT(MAX(ROW(E4755:E$2)*(E4756=E4755:E$2)))))</f>
        <v> </v>
      </c>
      <c r="J4756" s="26" t="str">
        <f>IF(OR(E4756="",E4756="!!!",F4756="NEW"),"",COUNTBLANK(OFFSET(A$1,,,SUMPRODUCT(MAX(ROW(E$2:E4756)*(E4756=E$2:E4756)))))-COUNTBLANK(OFFSET(A$1,,,SUMPRODUCT(MAX(ROW(E$1:E4755)*(E2=E$1:E4755))))))</f>
        <v> </v>
      </c>
      <c r="K4756" s="26" t="str">
        <f>IF(OR(E4756="",E4756="!!!",F4756="NEW"),"",INDEX(J$1:J4755,SUMPRODUCT(MAX(ROW(E$1:E4755)*(E4756=E$1:E4755)))))</f>
        <v> </v>
      </c>
      <c r="L4756" s="27"/>
    </row>
    <row r="4757" spans="1:12">
      <c r="A4757" s="20" t="s">
        <v>1168</v>
      </c>
      <c r="B4757" s="21" t="s">
        <v>1029</v>
      </c>
      <c r="C4757" s="21" t="s">
        <v>1017</v>
      </c>
      <c r="D4757" s="21" t="s">
        <v>1007</v>
      </c>
      <c r="E4757" s="22">
        <f>IF(D4757="?OLD","!!!","")</f>
        <v/>
      </c>
      <c r="F4757" s="23" t="str">
        <f>IF(OR(E4757="",E4757="!!!"),"",IF(NOT(ISNA(VLOOKUP(E4757,E$1:E4756,1,FALSE()))),"OLD",IF(AND(E4757&lt;&gt;"",E4757&lt;&gt;"!!!"),"NEW","")))</f>
        <v> </v>
      </c>
      <c r="G4757" s="24" t="str">
        <f>IF(OR(E4757="",E4757="!!!"),"",IF(OR(J4757=0,AND(J4757=1,K4757=1),AND(J4757=1,I4757="SBJ"),AND(J4757=1,I4757=0)),"?IN_FOCUS",IF(J4757&lt;=2,"?ACTIVATED",IF(J4757&lt;&gt;"","?FAMILIAR",IF(F4757="NEW",IF(ISNA(VLOOKUP(E4757,#REF!,1,FALSE())),"?TYPE_IDENTIFIABLE","?REFERENTIAL"),"_")))))</f>
        <v> </v>
      </c>
      <c r="H4757" s="25" t="str">
        <f>IF(J4757&lt;&gt;1,"",IF(I4757="SBJ","CB","?"))</f>
        <v> </v>
      </c>
      <c r="I4757" s="26" t="str">
        <f>IF(OR(E4757="",E4757="!!!",F4757="NEW"),"",INDEX(B4756:B$2,-1+SUMPRODUCT(MAX(ROW(E4756:E$2)*(E4757=E4756:E$2)))))</f>
        <v> </v>
      </c>
      <c r="J4757" s="26" t="str">
        <f>IF(OR(E4757="",E4757="!!!",F4757="NEW"),"",COUNTBLANK(OFFSET(A$1,,,SUMPRODUCT(MAX(ROW(E$2:E4757)*(E4757=E$2:E4757)))))-COUNTBLANK(OFFSET(A$1,,,SUMPRODUCT(MAX(ROW(E$1:E4756)*(E2=E$1:E4756))))))</f>
        <v> </v>
      </c>
      <c r="K4757" s="26" t="str">
        <f>IF(OR(E4757="",E4757="!!!",F4757="NEW"),"",INDEX(J$1:J4756,SUMPRODUCT(MAX(ROW(E$1:E4756)*(E4757=E$1:E4756)))))</f>
        <v> </v>
      </c>
      <c r="L4757" s="27"/>
    </row>
    <row r="4758" spans="1:12">
      <c r="A4758" s="20" t="s">
        <v>1023</v>
      </c>
      <c r="E4758" s="22">
        <f>IF(D4758="?OLD","!!!","")</f>
        <v/>
      </c>
      <c r="F4758" s="23" t="str">
        <f>IF(OR(E4758="",E4758="!!!"),"",IF(NOT(ISNA(VLOOKUP(E4758,E$1:E4757,1,FALSE()))),"OLD",IF(AND(E4758&lt;&gt;"",E4758&lt;&gt;"!!!"),"NEW","")))</f>
        <v> </v>
      </c>
      <c r="G4758" s="24" t="str">
        <f>IF(OR(E4758="",E4758="!!!"),"",IF(OR(J4758=0,AND(J4758=1,K4758=1),AND(J4758=1,I4758="SBJ"),AND(J4758=1,I4758=0)),"?IN_FOCUS",IF(J4758&lt;=2,"?ACTIVATED",IF(J4758&lt;&gt;"","?FAMILIAR",IF(F4758="NEW",IF(ISNA(VLOOKUP(E4758,#REF!,1,FALSE())),"?TYPE_IDENTIFIABLE","?REFERENTIAL"),"_")))))</f>
        <v> </v>
      </c>
      <c r="H4758" s="25" t="str">
        <f>IF(J4758&lt;&gt;1,"",IF(I4758="SBJ","CB","?"))</f>
        <v> </v>
      </c>
      <c r="I4758" s="26" t="str">
        <f>IF(OR(E4758="",E4758="!!!",F4758="NEW"),"",INDEX(B4757:B$2,-1+SUMPRODUCT(MAX(ROW(E4757:E$2)*(E4758=E4757:E$2)))))</f>
        <v> </v>
      </c>
      <c r="J4758" s="26" t="str">
        <f>IF(OR(E4758="",E4758="!!!",F4758="NEW"),"",COUNTBLANK(OFFSET(A$1,,,SUMPRODUCT(MAX(ROW(E$2:E4758)*(E4758=E$2:E4758)))))-COUNTBLANK(OFFSET(A$1,,,SUMPRODUCT(MAX(ROW(E$1:E4757)*(E2=E$1:E4757))))))</f>
        <v> </v>
      </c>
      <c r="K4758" s="26" t="str">
        <f>IF(OR(E4758="",E4758="!!!",F4758="NEW"),"",INDEX(J$1:J4757,SUMPRODUCT(MAX(ROW(E$1:E4757)*(E4758=E$1:E4757)))))</f>
        <v> </v>
      </c>
      <c r="L4758" s="27"/>
    </row>
    <row r="4759" spans="1:12">
      <c r="A4759" s="20"/>
    </row>
    <row r="4760" spans="1:12">
      <c r="A4760" s="20" t="s">
        <v>1184</v>
      </c>
      <c r="E4760" s="22">
        <f>IF(D4760="?OLD","!!!","")</f>
        <v/>
      </c>
      <c r="F4760" s="23" t="str">
        <f>IF(OR(E4760="",E4760="!!!"),"",IF(NOT(ISNA(VLOOKUP(E4760,E$1:E4759,1,FALSE()))),"OLD",IF(AND(E4760&lt;&gt;"",E4760&lt;&gt;"!!!"),"NEW","")))</f>
        <v> </v>
      </c>
      <c r="G4760" s="24" t="str">
        <f>IF(OR(E4760="",E4760="!!!"),"",IF(OR(J4760=0,AND(J4760=1,K4760=1),AND(J4760=1,I4760="SBJ"),AND(J4760=1,I4760=0)),"?IN_FOCUS",IF(J4760&lt;=2,"?ACTIVATED",IF(J4760&lt;&gt;"","?FAMILIAR",IF(F4760="NEW",IF(ISNA(VLOOKUP(E4760,#REF!,1,FALSE())),"?TYPE_IDENTIFIABLE","?REFERENTIAL"),"_")))))</f>
        <v> </v>
      </c>
      <c r="H4760" s="25" t="str">
        <f>IF(J4760&lt;&gt;1,"",IF(I4760="SBJ","CB","?"))</f>
        <v> </v>
      </c>
      <c r="I4760" s="26" t="str">
        <f>IF(OR(E4760="",E4760="!!!",F4760="NEW"),"",INDEX(B4759:B$2,-1+SUMPRODUCT(MAX(ROW(E4759:E$2)*(E4760=E4759:E$2)))))</f>
        <v> </v>
      </c>
      <c r="J4760" s="26" t="str">
        <f>IF(OR(E4760="",E4760="!!!",F4760="NEW"),"",COUNTBLANK(OFFSET(A$1,,,SUMPRODUCT(MAX(ROW(E$2:E4760)*(E4760=E$2:E4760)))))-COUNTBLANK(OFFSET(A$1,,,SUMPRODUCT(MAX(ROW(E$1:E4759)*(E2=E$1:E4759))))))</f>
        <v> </v>
      </c>
      <c r="K4760" s="26" t="str">
        <f>IF(OR(E4760="",E4760="!!!",F4760="NEW"),"",INDEX(J$1:J4759,SUMPRODUCT(MAX(ROW(E$1:E4759)*(E4760=E$1:E4759)))))</f>
        <v> </v>
      </c>
      <c r="L4760" s="27"/>
    </row>
    <row r="4761" spans="1:12">
      <c r="A4761" s="20" t="s">
        <v>2340</v>
      </c>
    </row>
    <row r="4762" spans="1:12">
      <c r="A4762" s="20" t="s">
        <v>1136</v>
      </c>
      <c r="E4762" s="22">
        <f>IF(D4762="?OLD","!!!","")</f>
        <v/>
      </c>
      <c r="F4762" s="23" t="str">
        <f>IF(OR(E4762="",E4762="!!!"),"",IF(NOT(ISNA(VLOOKUP(E4762,E$1:E4761,1,FALSE()))),"OLD",IF(AND(E4762&lt;&gt;"",E4762&lt;&gt;"!!!"),"NEW","")))</f>
        <v> </v>
      </c>
      <c r="G4762" s="24" t="str">
        <f>IF(OR(E4762="",E4762="!!!"),"",IF(OR(J4762=0,AND(J4762=1,K4762=1),AND(J4762=1,I4762="SBJ"),AND(J4762=1,I4762=0)),"?IN_FOCUS",IF(J4762&lt;=2,"?ACTIVATED",IF(J4762&lt;&gt;"","?FAMILIAR",IF(F4762="NEW",IF(ISNA(VLOOKUP(E4762,#REF!,1,FALSE())),"?TYPE_IDENTIFIABLE","?REFERENTIAL"),"_")))))</f>
        <v> </v>
      </c>
      <c r="H4762" s="25" t="str">
        <f>IF(J4762&lt;&gt;1,"",IF(I4762="SBJ","CB","?"))</f>
        <v> </v>
      </c>
      <c r="I4762" s="26" t="str">
        <f>IF(OR(E4762="",E4762="!!!",F4762="NEW"),"",INDEX(B4761:B$2,-1+SUMPRODUCT(MAX(ROW(E4761:E$2)*(E4762=E4761:E$2)))))</f>
        <v> </v>
      </c>
      <c r="J4762" s="26" t="str">
        <f>IF(OR(E4762="",E4762="!!!",F4762="NEW"),"",COUNTBLANK(OFFSET(A$1,,,SUMPRODUCT(MAX(ROW(E$2:E4762)*(E4762=E$2:E4762)))))-COUNTBLANK(OFFSET(A$1,,,SUMPRODUCT(MAX(ROW(E$1:E4761)*(E2=E$1:E4761))))))</f>
        <v> </v>
      </c>
      <c r="K4762" s="26" t="str">
        <f>IF(OR(E4762="",E4762="!!!",F4762="NEW"),"",INDEX(J$1:J4761,SUMPRODUCT(MAX(ROW(E$1:E4761)*(E4762=E$1:E4761)))))</f>
        <v> </v>
      </c>
      <c r="L4762" s="27"/>
    </row>
    <row r="4763" spans="1:12">
      <c r="A4763" s="20" t="s">
        <v>102</v>
      </c>
      <c r="E4763" s="22">
        <f>IF(D4763="?OLD","!!!","")</f>
        <v/>
      </c>
      <c r="F4763" s="23" t="str">
        <f>IF(OR(E4763="",E4763="!!!"),"",IF(NOT(ISNA(VLOOKUP(E4763,E$1:E4762,1,FALSE()))),"OLD",IF(AND(E4763&lt;&gt;"",E4763&lt;&gt;"!!!"),"NEW","")))</f>
        <v> </v>
      </c>
      <c r="G4763" s="24" t="str">
        <f>IF(OR(E4763="",E4763="!!!"),"",IF(OR(J4763=0,AND(J4763=1,K4763=1),AND(J4763=1,I4763="SBJ"),AND(J4763=1,I4763=0)),"?IN_FOCUS",IF(J4763&lt;=2,"?ACTIVATED",IF(J4763&lt;&gt;"","?FAMILIAR",IF(F4763="NEW",IF(ISNA(VLOOKUP(E4763,#REF!,1,FALSE())),"?TYPE_IDENTIFIABLE","?REFERENTIAL"),"_")))))</f>
        <v> </v>
      </c>
      <c r="H4763" s="25" t="str">
        <f>IF(J4763&lt;&gt;1,"",IF(I4763="SBJ","CB","?"))</f>
        <v> </v>
      </c>
      <c r="I4763" s="26" t="str">
        <f>IF(OR(E4763="",E4763="!!!",F4763="NEW"),"",INDEX(B4762:B$2,-1+SUMPRODUCT(MAX(ROW(E4762:E$2)*(E4763=E4762:E$2)))))</f>
        <v> </v>
      </c>
      <c r="J4763" s="26" t="str">
        <f>IF(OR(E4763="",E4763="!!!",F4763="NEW"),"",COUNTBLANK(OFFSET(A$1,,,SUMPRODUCT(MAX(ROW(E$2:E4763)*(E4763=E$2:E4763)))))-COUNTBLANK(OFFSET(A$1,,,SUMPRODUCT(MAX(ROW(E$1:E4762)*(E2=E$1:E4762))))))</f>
        <v> </v>
      </c>
      <c r="K4763" s="26" t="str">
        <f>IF(OR(E4763="",E4763="!!!",F4763="NEW"),"",INDEX(J$1:J4762,SUMPRODUCT(MAX(ROW(E$1:E4762)*(E4763=E$1:E4762)))))</f>
        <v> </v>
      </c>
      <c r="L4763" s="27"/>
    </row>
    <row r="4764" spans="1:12">
      <c r="A4764" s="20" t="s">
        <v>1801</v>
      </c>
      <c r="B4764" s="21" t="s">
        <v>1050</v>
      </c>
      <c r="C4764" s="21" t="s">
        <v>1017</v>
      </c>
      <c r="D4764" s="21" t="s">
        <v>1007</v>
      </c>
      <c r="E4764" s="22">
        <f>IF(D4764="?OLD","!!!","")</f>
        <v/>
      </c>
      <c r="F4764" s="23" t="str">
        <f>IF(OR(E4764="",E4764="!!!"),"",IF(NOT(ISNA(VLOOKUP(E4764,E$1:E4763,1,FALSE()))),"OLD",IF(AND(E4764&lt;&gt;"",E4764&lt;&gt;"!!!"),"NEW","")))</f>
        <v> </v>
      </c>
      <c r="G4764" s="24" t="str">
        <f>IF(OR(E4764="",E4764="!!!"),"",IF(OR(J4764=0,AND(J4764=1,K4764=1),AND(J4764=1,I4764="SBJ"),AND(J4764=1,I4764=0)),"?IN_FOCUS",IF(J4764&lt;=2,"?ACTIVATED",IF(J4764&lt;&gt;"","?FAMILIAR",IF(F4764="NEW",IF(ISNA(VLOOKUP(E4764,#REF!,1,FALSE())),"?TYPE_IDENTIFIABLE","?REFERENTIAL"),"_")))))</f>
        <v> </v>
      </c>
      <c r="H4764" s="25" t="str">
        <f>IF(J4764&lt;&gt;1,"",IF(I4764="SBJ","CB","?"))</f>
        <v> </v>
      </c>
      <c r="I4764" s="26" t="str">
        <f>IF(OR(E4764="",E4764="!!!",F4764="NEW"),"",INDEX(B4763:B$2,-1+SUMPRODUCT(MAX(ROW(E4763:E$2)*(E4764=E4763:E$2)))))</f>
        <v> </v>
      </c>
      <c r="J4764" s="26" t="str">
        <f>IF(OR(E4764="",E4764="!!!",F4764="NEW"),"",COUNTBLANK(OFFSET(A$1,,,SUMPRODUCT(MAX(ROW(E$2:E4764)*(E4764=E$2:E4764)))))-COUNTBLANK(OFFSET(A$1,,,SUMPRODUCT(MAX(ROW(E$1:E4763)*(E2=E$1:E4763))))))</f>
        <v> </v>
      </c>
      <c r="K4764" s="26" t="str">
        <f>IF(OR(E4764="",E4764="!!!",F4764="NEW"),"",INDEX(J$1:J4763,SUMPRODUCT(MAX(ROW(E$1:E4763)*(E4764=E$1:E4763)))))</f>
        <v> </v>
      </c>
      <c r="L4764" s="27"/>
    </row>
    <row r="4765" spans="1:12">
      <c r="A4765" s="20" t="s">
        <v>1014</v>
      </c>
      <c r="E4765" s="22">
        <f>IF(D4765="?OLD","!!!","")</f>
        <v/>
      </c>
      <c r="F4765" s="23" t="str">
        <f>IF(OR(E4765="",E4765="!!!"),"",IF(NOT(ISNA(VLOOKUP(E4765,E$1:E4764,1,FALSE()))),"OLD",IF(AND(E4765&lt;&gt;"",E4765&lt;&gt;"!!!"),"NEW","")))</f>
        <v> </v>
      </c>
      <c r="G4765" s="24" t="str">
        <f>IF(OR(E4765="",E4765="!!!"),"",IF(OR(J4765=0,AND(J4765=1,K4765=1),AND(J4765=1,I4765="SBJ"),AND(J4765=1,I4765=0)),"?IN_FOCUS",IF(J4765&lt;=2,"?ACTIVATED",IF(J4765&lt;&gt;"","?FAMILIAR",IF(F4765="NEW",IF(ISNA(VLOOKUP(E4765,#REF!,1,FALSE())),"?TYPE_IDENTIFIABLE","?REFERENTIAL"),"_")))))</f>
        <v> </v>
      </c>
      <c r="H4765" s="25" t="str">
        <f>IF(J4765&lt;&gt;1,"",IF(I4765="SBJ","CB","?"))</f>
        <v> </v>
      </c>
      <c r="I4765" s="26" t="str">
        <f>IF(OR(E4765="",E4765="!!!",F4765="NEW"),"",INDEX(B4764:B$2,-1+SUMPRODUCT(MAX(ROW(E4764:E$2)*(E4765=E4764:E$2)))))</f>
        <v> </v>
      </c>
      <c r="J4765" s="26" t="str">
        <f>IF(OR(E4765="",E4765="!!!",F4765="NEW"),"",COUNTBLANK(OFFSET(A$1,,,SUMPRODUCT(MAX(ROW(E$2:E4765)*(E4765=E$2:E4765)))))-COUNTBLANK(OFFSET(A$1,,,SUMPRODUCT(MAX(ROW(E$1:E4764)*(E2=E$1:E4764))))))</f>
        <v> </v>
      </c>
      <c r="K4765" s="26" t="str">
        <f>IF(OR(E4765="",E4765="!!!",F4765="NEW"),"",INDEX(J$1:J4764,SUMPRODUCT(MAX(ROW(E$1:E4764)*(E4765=E$1:E4764)))))</f>
        <v> </v>
      </c>
      <c r="L4765" s="27"/>
    </row>
    <row r="4766" spans="1:12">
      <c r="A4766" s="20" t="s">
        <v>1224</v>
      </c>
      <c r="B4766" s="21" t="s">
        <v>1154</v>
      </c>
      <c r="C4766" s="21" t="s">
        <v>1082</v>
      </c>
      <c r="D4766" s="21" t="s">
        <v>1007</v>
      </c>
      <c r="E4766" s="22">
        <f>IF(D4766="?OLD","!!!","")</f>
        <v/>
      </c>
      <c r="F4766" s="23" t="str">
        <f>IF(OR(E4766="",E4766="!!!"),"",IF(NOT(ISNA(VLOOKUP(E4766,E$1:E4765,1,FALSE()))),"OLD",IF(AND(E4766&lt;&gt;"",E4766&lt;&gt;"!!!"),"NEW","")))</f>
        <v> </v>
      </c>
      <c r="G4766" s="24" t="str">
        <f>IF(OR(E4766="",E4766="!!!"),"",IF(OR(J4766=0,AND(J4766=1,K4766=1),AND(J4766=1,I4766="SBJ"),AND(J4766=1,I4766=0)),"?IN_FOCUS",IF(J4766&lt;=2,"?ACTIVATED",IF(J4766&lt;&gt;"","?FAMILIAR",IF(F4766="NEW",IF(ISNA(VLOOKUP(E4766,#REF!,1,FALSE())),"?TYPE_IDENTIFIABLE","?REFERENTIAL"),"_")))))</f>
        <v> </v>
      </c>
      <c r="H4766" s="25" t="str">
        <f>IF(J4766&lt;&gt;1,"",IF(I4766="SBJ","CB","?"))</f>
        <v> </v>
      </c>
      <c r="I4766" s="26" t="str">
        <f>IF(OR(E4766="",E4766="!!!",F4766="NEW"),"",INDEX(B4765:B$2,-1+SUMPRODUCT(MAX(ROW(E4765:E$2)*(E4766=E4765:E$2)))))</f>
        <v> </v>
      </c>
      <c r="J4766" s="26" t="str">
        <f>IF(OR(E4766="",E4766="!!!",F4766="NEW"),"",COUNTBLANK(OFFSET(A$1,,,SUMPRODUCT(MAX(ROW(E$2:E4766)*(E4766=E$2:E4766)))))-COUNTBLANK(OFFSET(A$1,,,SUMPRODUCT(MAX(ROW(E$1:E4765)*(E2=E$1:E4765))))))</f>
        <v> </v>
      </c>
      <c r="K4766" s="26" t="str">
        <f>IF(OR(E4766="",E4766="!!!",F4766="NEW"),"",INDEX(J$1:J4765,SUMPRODUCT(MAX(ROW(E$1:E4765)*(E4766=E$1:E4765)))))</f>
        <v> </v>
      </c>
      <c r="L4766" s="27"/>
    </row>
    <row r="4767" spans="1:12">
      <c r="A4767" s="20" t="s">
        <v>2341</v>
      </c>
      <c r="E4767" s="22">
        <f>IF(D4767="?OLD","!!!","")</f>
        <v/>
      </c>
      <c r="F4767" s="23" t="str">
        <f>IF(OR(E4767="",E4767="!!!"),"",IF(NOT(ISNA(VLOOKUP(E4767,E$1:E4766,1,FALSE()))),"OLD",IF(AND(E4767&lt;&gt;"",E4767&lt;&gt;"!!!"),"NEW","")))</f>
        <v> </v>
      </c>
      <c r="G4767" s="24" t="str">
        <f>IF(OR(E4767="",E4767="!!!"),"",IF(OR(J4767=0,AND(J4767=1,K4767=1),AND(J4767=1,I4767="SBJ"),AND(J4767=1,I4767=0)),"?IN_FOCUS",IF(J4767&lt;=2,"?ACTIVATED",IF(J4767&lt;&gt;"","?FAMILIAR",IF(F4767="NEW",IF(ISNA(VLOOKUP(E4767,#REF!,1,FALSE())),"?TYPE_IDENTIFIABLE","?REFERENTIAL"),"_")))))</f>
        <v> </v>
      </c>
      <c r="H4767" s="25" t="str">
        <f>IF(J4767&lt;&gt;1,"",IF(I4767="SBJ","CB","?"))</f>
        <v> </v>
      </c>
      <c r="I4767" s="26" t="str">
        <f>IF(OR(E4767="",E4767="!!!",F4767="NEW"),"",INDEX(B4766:B$2,-1+SUMPRODUCT(MAX(ROW(E4766:E$2)*(E4767=E4766:E$2)))))</f>
        <v> </v>
      </c>
      <c r="J4767" s="26" t="str">
        <f>IF(OR(E4767="",E4767="!!!",F4767="NEW"),"",COUNTBLANK(OFFSET(A$1,,,SUMPRODUCT(MAX(ROW(E$2:E4767)*(E4767=E$2:E4767)))))-COUNTBLANK(OFFSET(A$1,,,SUMPRODUCT(MAX(ROW(E$1:E4766)*(E2=E$1:E4766))))))</f>
        <v> </v>
      </c>
      <c r="K4767" s="26" t="str">
        <f>IF(OR(E4767="",E4767="!!!",F4767="NEW"),"",INDEX(J$1:J4766,SUMPRODUCT(MAX(ROW(E$1:E4766)*(E4767=E$1:E4766)))))</f>
        <v> </v>
      </c>
      <c r="L4767" s="27"/>
    </row>
    <row r="4768" spans="1:12">
      <c r="A4768" s="20" t="s">
        <v>2342</v>
      </c>
      <c r="E4768" s="22">
        <f>IF(D4768="?OLD","!!!","")</f>
        <v/>
      </c>
      <c r="F4768" s="23" t="str">
        <f>IF(OR(E4768="",E4768="!!!"),"",IF(NOT(ISNA(VLOOKUP(E4768,E$1:E4767,1,FALSE()))),"OLD",IF(AND(E4768&lt;&gt;"",E4768&lt;&gt;"!!!"),"NEW","")))</f>
        <v> </v>
      </c>
      <c r="G4768" s="24" t="str">
        <f>IF(OR(E4768="",E4768="!!!"),"",IF(OR(J4768=0,AND(J4768=1,K4768=1),AND(J4768=1,I4768="SBJ"),AND(J4768=1,I4768=0)),"?IN_FOCUS",IF(J4768&lt;=2,"?ACTIVATED",IF(J4768&lt;&gt;"","?FAMILIAR",IF(F4768="NEW",IF(ISNA(VLOOKUP(E4768,#REF!,1,FALSE())),"?TYPE_IDENTIFIABLE","?REFERENTIAL"),"_")))))</f>
        <v> </v>
      </c>
      <c r="H4768" s="25" t="str">
        <f>IF(J4768&lt;&gt;1,"",IF(I4768="SBJ","CB","?"))</f>
        <v> </v>
      </c>
      <c r="I4768" s="26" t="str">
        <f>IF(OR(E4768="",E4768="!!!",F4768="NEW"),"",INDEX(B4767:B$2,-1+SUMPRODUCT(MAX(ROW(E4767:E$2)*(E4768=E4767:E$2)))))</f>
        <v> </v>
      </c>
      <c r="J4768" s="26" t="str">
        <f>IF(OR(E4768="",E4768="!!!",F4768="NEW"),"",COUNTBLANK(OFFSET(A$1,,,SUMPRODUCT(MAX(ROW(E$2:E4768)*(E4768=E$2:E4768)))))-COUNTBLANK(OFFSET(A$1,,,SUMPRODUCT(MAX(ROW(E$1:E4767)*(E2=E$1:E4767))))))</f>
        <v> </v>
      </c>
      <c r="K4768" s="26" t="str">
        <f>IF(OR(E4768="",E4768="!!!",F4768="NEW"),"",INDEX(J$1:J4767,SUMPRODUCT(MAX(ROW(E$1:E4767)*(E4768=E$1:E4767)))))</f>
        <v> </v>
      </c>
      <c r="L4768" s="27"/>
    </row>
    <row r="4769" spans="1:12">
      <c r="A4769" s="20" t="s">
        <v>1020</v>
      </c>
      <c r="E4769" s="22">
        <f>IF(D4769="?OLD","!!!","")</f>
        <v/>
      </c>
      <c r="F4769" s="23" t="str">
        <f>IF(OR(E4769="",E4769="!!!"),"",IF(NOT(ISNA(VLOOKUP(E4769,E$1:E4768,1,FALSE()))),"OLD",IF(AND(E4769&lt;&gt;"",E4769&lt;&gt;"!!!"),"NEW","")))</f>
        <v> </v>
      </c>
      <c r="G4769" s="24" t="str">
        <f>IF(OR(E4769="",E4769="!!!"),"",IF(OR(J4769=0,AND(J4769=1,K4769=1),AND(J4769=1,I4769="SBJ"),AND(J4769=1,I4769=0)),"?IN_FOCUS",IF(J4769&lt;=2,"?ACTIVATED",IF(J4769&lt;&gt;"","?FAMILIAR",IF(F4769="NEW",IF(ISNA(VLOOKUP(E4769,#REF!,1,FALSE())),"?TYPE_IDENTIFIABLE","?REFERENTIAL"),"_")))))</f>
        <v> </v>
      </c>
      <c r="H4769" s="25" t="str">
        <f>IF(J4769&lt;&gt;1,"",IF(I4769="SBJ","CB","?"))</f>
        <v> </v>
      </c>
      <c r="I4769" s="26" t="str">
        <f>IF(OR(E4769="",E4769="!!!",F4769="NEW"),"",INDEX(B4768:B$2,-1+SUMPRODUCT(MAX(ROW(E4768:E$2)*(E4769=E4768:E$2)))))</f>
        <v> </v>
      </c>
      <c r="J4769" s="26" t="str">
        <f>IF(OR(E4769="",E4769="!!!",F4769="NEW"),"",COUNTBLANK(OFFSET(A$1,,,SUMPRODUCT(MAX(ROW(E$2:E4769)*(E4769=E$2:E4769)))))-COUNTBLANK(OFFSET(A$1,,,SUMPRODUCT(MAX(ROW(E$1:E4768)*(E2=E$1:E4768))))))</f>
        <v> </v>
      </c>
      <c r="K4769" s="26" t="str">
        <f>IF(OR(E4769="",E4769="!!!",F4769="NEW"),"",INDEX(J$1:J4768,SUMPRODUCT(MAX(ROW(E$1:E4768)*(E4769=E$1:E4768)))))</f>
        <v> </v>
      </c>
      <c r="L4769" s="27"/>
    </row>
    <row r="4770" spans="1:12">
      <c r="A4770" s="20" t="s">
        <v>2343</v>
      </c>
      <c r="E4770" s="22">
        <f>IF(D4770="?OLD","!!!","")</f>
        <v/>
      </c>
      <c r="F4770" s="23" t="str">
        <f>IF(OR(E4770="",E4770="!!!"),"",IF(NOT(ISNA(VLOOKUP(E4770,E$1:E4769,1,FALSE()))),"OLD",IF(AND(E4770&lt;&gt;"",E4770&lt;&gt;"!!!"),"NEW","")))</f>
        <v> </v>
      </c>
      <c r="G4770" s="24" t="str">
        <f>IF(OR(E4770="",E4770="!!!"),"",IF(OR(J4770=0,AND(J4770=1,K4770=1),AND(J4770=1,I4770="SBJ"),AND(J4770=1,I4770=0)),"?IN_FOCUS",IF(J4770&lt;=2,"?ACTIVATED",IF(J4770&lt;&gt;"","?FAMILIAR",IF(F4770="NEW",IF(ISNA(VLOOKUP(E4770,#REF!,1,FALSE())),"?TYPE_IDENTIFIABLE","?REFERENTIAL"),"_")))))</f>
        <v> </v>
      </c>
      <c r="H4770" s="25" t="str">
        <f>IF(J4770&lt;&gt;1,"",IF(I4770="SBJ","CB","?"))</f>
        <v> </v>
      </c>
      <c r="I4770" s="26" t="str">
        <f>IF(OR(E4770="",E4770="!!!",F4770="NEW"),"",INDEX(B4769:B$2,-1+SUMPRODUCT(MAX(ROW(E4769:E$2)*(E4770=E4769:E$2)))))</f>
        <v> </v>
      </c>
      <c r="J4770" s="26" t="str">
        <f>IF(OR(E4770="",E4770="!!!",F4770="NEW"),"",COUNTBLANK(OFFSET(A$1,,,SUMPRODUCT(MAX(ROW(E$2:E4770)*(E4770=E$2:E4770)))))-COUNTBLANK(OFFSET(A$1,,,SUMPRODUCT(MAX(ROW(E$1:E4769)*(E2=E$1:E4769))))))</f>
        <v> </v>
      </c>
      <c r="K4770" s="26" t="str">
        <f>IF(OR(E4770="",E4770="!!!",F4770="NEW"),"",INDEX(J$1:J4769,SUMPRODUCT(MAX(ROW(E$1:E4769)*(E4770=E$1:E4769)))))</f>
        <v> </v>
      </c>
      <c r="L4770" s="27"/>
    </row>
    <row r="4771" spans="1:12">
      <c r="A4771" s="20" t="s">
        <v>2344</v>
      </c>
      <c r="E4771" s="22">
        <f>IF(D4771="?OLD","!!!","")</f>
        <v/>
      </c>
      <c r="F4771" s="23" t="str">
        <f>IF(OR(E4771="",E4771="!!!"),"",IF(NOT(ISNA(VLOOKUP(E4771,E$1:E4770,1,FALSE()))),"OLD",IF(AND(E4771&lt;&gt;"",E4771&lt;&gt;"!!!"),"NEW","")))</f>
        <v> </v>
      </c>
      <c r="G4771" s="24" t="str">
        <f>IF(OR(E4771="",E4771="!!!"),"",IF(OR(J4771=0,AND(J4771=1,K4771=1),AND(J4771=1,I4771="SBJ"),AND(J4771=1,I4771=0)),"?IN_FOCUS",IF(J4771&lt;=2,"?ACTIVATED",IF(J4771&lt;&gt;"","?FAMILIAR",IF(F4771="NEW",IF(ISNA(VLOOKUP(E4771,#REF!,1,FALSE())),"?TYPE_IDENTIFIABLE","?REFERENTIAL"),"_")))))</f>
        <v> </v>
      </c>
      <c r="H4771" s="25" t="str">
        <f>IF(J4771&lt;&gt;1,"",IF(I4771="SBJ","CB","?"))</f>
        <v> </v>
      </c>
      <c r="I4771" s="26" t="str">
        <f>IF(OR(E4771="",E4771="!!!",F4771="NEW"),"",INDEX(B4770:B$2,-1+SUMPRODUCT(MAX(ROW(E4770:E$2)*(E4771=E4770:E$2)))))</f>
        <v> </v>
      </c>
      <c r="J4771" s="26" t="str">
        <f>IF(OR(E4771="",E4771="!!!",F4771="NEW"),"",COUNTBLANK(OFFSET(A$1,,,SUMPRODUCT(MAX(ROW(E$2:E4771)*(E4771=E$2:E4771)))))-COUNTBLANK(OFFSET(A$1,,,SUMPRODUCT(MAX(ROW(E$1:E4770)*(E2=E$1:E4770))))))</f>
        <v> </v>
      </c>
      <c r="K4771" s="26" t="str">
        <f>IF(OR(E4771="",E4771="!!!",F4771="NEW"),"",INDEX(J$1:J4770,SUMPRODUCT(MAX(ROW(E$1:E4770)*(E4771=E$1:E4770)))))</f>
        <v> </v>
      </c>
      <c r="L4771" s="27"/>
    </row>
    <row r="4772" spans="1:12">
      <c r="A4772" s="20" t="s">
        <v>1015</v>
      </c>
      <c r="E4772" s="22">
        <f>IF(D4772="?OLD","!!!","")</f>
        <v/>
      </c>
      <c r="F4772" s="23" t="str">
        <f>IF(OR(E4772="",E4772="!!!"),"",IF(NOT(ISNA(VLOOKUP(E4772,E$1:E4771,1,FALSE()))),"OLD",IF(AND(E4772&lt;&gt;"",E4772&lt;&gt;"!!!"),"NEW","")))</f>
        <v> </v>
      </c>
      <c r="G4772" s="24" t="str">
        <f>IF(OR(E4772="",E4772="!!!"),"",IF(OR(J4772=0,AND(J4772=1,K4772=1),AND(J4772=1,I4772="SBJ"),AND(J4772=1,I4772=0)),"?IN_FOCUS",IF(J4772&lt;=2,"?ACTIVATED",IF(J4772&lt;&gt;"","?FAMILIAR",IF(F4772="NEW",IF(ISNA(VLOOKUP(E4772,#REF!,1,FALSE())),"?TYPE_IDENTIFIABLE","?REFERENTIAL"),"_")))))</f>
        <v> </v>
      </c>
      <c r="H4772" s="25" t="str">
        <f>IF(J4772&lt;&gt;1,"",IF(I4772="SBJ","CB","?"))</f>
        <v> </v>
      </c>
      <c r="I4772" s="26" t="str">
        <f>IF(OR(E4772="",E4772="!!!",F4772="NEW"),"",INDEX(B4771:B$2,-1+SUMPRODUCT(MAX(ROW(E4771:E$2)*(E4772=E4771:E$2)))))</f>
        <v> </v>
      </c>
      <c r="J4772" s="26" t="str">
        <f>IF(OR(E4772="",E4772="!!!",F4772="NEW"),"",COUNTBLANK(OFFSET(A$1,,,SUMPRODUCT(MAX(ROW(E$2:E4772)*(E4772=E$2:E4772)))))-COUNTBLANK(OFFSET(A$1,,,SUMPRODUCT(MAX(ROW(E$1:E4771)*(E2=E$1:E4771))))))</f>
        <v> </v>
      </c>
      <c r="K4772" s="26" t="str">
        <f>IF(OR(E4772="",E4772="!!!",F4772="NEW"),"",INDEX(J$1:J4771,SUMPRODUCT(MAX(ROW(E$1:E4771)*(E4772=E$1:E4771)))))</f>
        <v> </v>
      </c>
      <c r="L4772" s="27"/>
    </row>
    <row r="4773" spans="1:12">
      <c r="A4773" s="20" t="s">
        <v>2345</v>
      </c>
      <c r="B4773" s="21" t="s">
        <v>1134</v>
      </c>
      <c r="C4773" s="21" t="s">
        <v>1017</v>
      </c>
      <c r="D4773" s="21" t="s">
        <v>1007</v>
      </c>
      <c r="E4773" s="22">
        <f>IF(D4773="?OLD","!!!","")</f>
        <v/>
      </c>
      <c r="F4773" s="23" t="str">
        <f>IF(OR(E4773="",E4773="!!!"),"",IF(NOT(ISNA(VLOOKUP(E4773,E$1:E4772,1,FALSE()))),"OLD",IF(AND(E4773&lt;&gt;"",E4773&lt;&gt;"!!!"),"NEW","")))</f>
        <v> </v>
      </c>
      <c r="G4773" s="24" t="str">
        <f>IF(OR(E4773="",E4773="!!!"),"",IF(OR(J4773=0,AND(J4773=1,K4773=1),AND(J4773=1,I4773="SBJ"),AND(J4773=1,I4773=0)),"?IN_FOCUS",IF(J4773&lt;=2,"?ACTIVATED",IF(J4773&lt;&gt;"","?FAMILIAR",IF(F4773="NEW",IF(ISNA(VLOOKUP(E4773,#REF!,1,FALSE())),"?TYPE_IDENTIFIABLE","?REFERENTIAL"),"_")))))</f>
        <v> </v>
      </c>
      <c r="H4773" s="25" t="str">
        <f>IF(J4773&lt;&gt;1,"",IF(I4773="SBJ","CB","?"))</f>
        <v> </v>
      </c>
      <c r="I4773" s="26" t="str">
        <f>IF(OR(E4773="",E4773="!!!",F4773="NEW"),"",INDEX(B4772:B$2,-1+SUMPRODUCT(MAX(ROW(E4772:E$2)*(E4773=E4772:E$2)))))</f>
        <v> </v>
      </c>
      <c r="J4773" s="26" t="str">
        <f>IF(OR(E4773="",E4773="!!!",F4773="NEW"),"",COUNTBLANK(OFFSET(A$1,,,SUMPRODUCT(MAX(ROW(E$2:E4773)*(E4773=E$2:E4773)))))-COUNTBLANK(OFFSET(A$1,,,SUMPRODUCT(MAX(ROW(E$1:E4772)*(E2=E$1:E4772))))))</f>
        <v> </v>
      </c>
      <c r="K4773" s="26" t="str">
        <f>IF(OR(E4773="",E4773="!!!",F4773="NEW"),"",INDEX(J$1:J4772,SUMPRODUCT(MAX(ROW(E$1:E4772)*(E4773=E$1:E4772)))))</f>
        <v> </v>
      </c>
      <c r="L4773" s="27"/>
    </row>
    <row r="4774" spans="1:12">
      <c r="A4774" s="20" t="s">
        <v>2346</v>
      </c>
      <c r="E4774" s="22">
        <f>IF(D4774="?OLD","!!!","")</f>
        <v/>
      </c>
      <c r="F4774" s="23" t="str">
        <f>IF(OR(E4774="",E4774="!!!"),"",IF(NOT(ISNA(VLOOKUP(E4774,E$1:E4773,1,FALSE()))),"OLD",IF(AND(E4774&lt;&gt;"",E4774&lt;&gt;"!!!"),"NEW","")))</f>
        <v> </v>
      </c>
      <c r="G4774" s="24" t="str">
        <f>IF(OR(E4774="",E4774="!!!"),"",IF(OR(J4774=0,AND(J4774=1,K4774=1),AND(J4774=1,I4774="SBJ"),AND(J4774=1,I4774=0)),"?IN_FOCUS",IF(J4774&lt;=2,"?ACTIVATED",IF(J4774&lt;&gt;"","?FAMILIAR",IF(F4774="NEW",IF(ISNA(VLOOKUP(E4774,#REF!,1,FALSE())),"?TYPE_IDENTIFIABLE","?REFERENTIAL"),"_")))))</f>
        <v> </v>
      </c>
      <c r="H4774" s="25" t="str">
        <f>IF(J4774&lt;&gt;1,"",IF(I4774="SBJ","CB","?"))</f>
        <v> </v>
      </c>
      <c r="I4774" s="26" t="str">
        <f>IF(OR(E4774="",E4774="!!!",F4774="NEW"),"",INDEX(B4773:B$2,-1+SUMPRODUCT(MAX(ROW(E4773:E$2)*(E4774=E4773:E$2)))))</f>
        <v> </v>
      </c>
      <c r="J4774" s="26" t="str">
        <f>IF(OR(E4774="",E4774="!!!",F4774="NEW"),"",COUNTBLANK(OFFSET(A$1,,,SUMPRODUCT(MAX(ROW(E$2:E4774)*(E4774=E$2:E4774)))))-COUNTBLANK(OFFSET(A$1,,,SUMPRODUCT(MAX(ROW(E$1:E4773)*(E2=E$1:E4773))))))</f>
        <v> </v>
      </c>
      <c r="K4774" s="26" t="str">
        <f>IF(OR(E4774="",E4774="!!!",F4774="NEW"),"",INDEX(J$1:J4773,SUMPRODUCT(MAX(ROW(E$1:E4773)*(E4774=E$1:E4773)))))</f>
        <v> </v>
      </c>
      <c r="L4774" s="27"/>
    </row>
    <row r="4775" spans="1:12">
      <c r="A4775" s="20" t="s">
        <v>1018</v>
      </c>
      <c r="E4775" s="22">
        <f>IF(D4775="?OLD","!!!","")</f>
        <v/>
      </c>
      <c r="F4775" s="23" t="str">
        <f>IF(OR(E4775="",E4775="!!!"),"",IF(NOT(ISNA(VLOOKUP(E4775,E$1:E4774,1,FALSE()))),"OLD",IF(AND(E4775&lt;&gt;"",E4775&lt;&gt;"!!!"),"NEW","")))</f>
        <v> </v>
      </c>
      <c r="G4775" s="24" t="str">
        <f>IF(OR(E4775="",E4775="!!!"),"",IF(OR(J4775=0,AND(J4775=1,K4775=1),AND(J4775=1,I4775="SBJ"),AND(J4775=1,I4775=0)),"?IN_FOCUS",IF(J4775&lt;=2,"?ACTIVATED",IF(J4775&lt;&gt;"","?FAMILIAR",IF(F4775="NEW",IF(ISNA(VLOOKUP(E4775,#REF!,1,FALSE())),"?TYPE_IDENTIFIABLE","?REFERENTIAL"),"_")))))</f>
        <v> </v>
      </c>
      <c r="H4775" s="25" t="str">
        <f>IF(J4775&lt;&gt;1,"",IF(I4775="SBJ","CB","?"))</f>
        <v> </v>
      </c>
      <c r="I4775" s="26" t="str">
        <f>IF(OR(E4775="",E4775="!!!",F4775="NEW"),"",INDEX(B4774:B$2,-1+SUMPRODUCT(MAX(ROW(E4774:E$2)*(E4775=E4774:E$2)))))</f>
        <v> </v>
      </c>
      <c r="J4775" s="26" t="str">
        <f>IF(OR(E4775="",E4775="!!!",F4775="NEW"),"",COUNTBLANK(OFFSET(A$1,,,SUMPRODUCT(MAX(ROW(E$2:E4775)*(E4775=E$2:E4775)))))-COUNTBLANK(OFFSET(A$1,,,SUMPRODUCT(MAX(ROW(E$1:E4774)*(E2=E$1:E4774))))))</f>
        <v> </v>
      </c>
      <c r="K4775" s="26" t="str">
        <f>IF(OR(E4775="",E4775="!!!",F4775="NEW"),"",INDEX(J$1:J4774,SUMPRODUCT(MAX(ROW(E$1:E4774)*(E4775=E$1:E4774)))))</f>
        <v> </v>
      </c>
      <c r="L4775" s="27"/>
    </row>
    <row r="4776" spans="1:12">
      <c r="A4776" s="20" t="s">
        <v>1014</v>
      </c>
      <c r="E4776" s="22">
        <f>IF(D4776="?OLD","!!!","")</f>
        <v/>
      </c>
      <c r="F4776" s="23" t="str">
        <f>IF(OR(E4776="",E4776="!!!"),"",IF(NOT(ISNA(VLOOKUP(E4776,E$1:E4775,1,FALSE()))),"OLD",IF(AND(E4776&lt;&gt;"",E4776&lt;&gt;"!!!"),"NEW","")))</f>
        <v> </v>
      </c>
      <c r="G4776" s="24" t="str">
        <f>IF(OR(E4776="",E4776="!!!"),"",IF(OR(J4776=0,AND(J4776=1,K4776=1),AND(J4776=1,I4776="SBJ"),AND(J4776=1,I4776=0)),"?IN_FOCUS",IF(J4776&lt;=2,"?ACTIVATED",IF(J4776&lt;&gt;"","?FAMILIAR",IF(F4776="NEW",IF(ISNA(VLOOKUP(E4776,#REF!,1,FALSE())),"?TYPE_IDENTIFIABLE","?REFERENTIAL"),"_")))))</f>
        <v> </v>
      </c>
      <c r="H4776" s="25" t="str">
        <f>IF(J4776&lt;&gt;1,"",IF(I4776="SBJ","CB","?"))</f>
        <v> </v>
      </c>
      <c r="I4776" s="26" t="str">
        <f>IF(OR(E4776="",E4776="!!!",F4776="NEW"),"",INDEX(B4775:B$2,-1+SUMPRODUCT(MAX(ROW(E4775:E$2)*(E4776=E4775:E$2)))))</f>
        <v> </v>
      </c>
      <c r="J4776" s="26" t="str">
        <f>IF(OR(E4776="",E4776="!!!",F4776="NEW"),"",COUNTBLANK(OFFSET(A$1,,,SUMPRODUCT(MAX(ROW(E$2:E4776)*(E4776=E$2:E4776)))))-COUNTBLANK(OFFSET(A$1,,,SUMPRODUCT(MAX(ROW(E$1:E4775)*(E2=E$1:E4775))))))</f>
        <v> </v>
      </c>
      <c r="K4776" s="26" t="str">
        <f>IF(OR(E4776="",E4776="!!!",F4776="NEW"),"",INDEX(J$1:J4775,SUMPRODUCT(MAX(ROW(E$1:E4775)*(E4776=E$1:E4775)))))</f>
        <v> </v>
      </c>
      <c r="L4776" s="27"/>
    </row>
    <row r="4777" spans="1:12">
      <c r="A4777" s="20" t="s">
        <v>2341</v>
      </c>
      <c r="E4777" s="22">
        <f>IF(D4777="?OLD","!!!","")</f>
        <v/>
      </c>
      <c r="F4777" s="23" t="str">
        <f>IF(OR(E4777="",E4777="!!!"),"",IF(NOT(ISNA(VLOOKUP(E4777,E$1:E4776,1,FALSE()))),"OLD",IF(AND(E4777&lt;&gt;"",E4777&lt;&gt;"!!!"),"NEW","")))</f>
        <v> </v>
      </c>
      <c r="G4777" s="24" t="str">
        <f>IF(OR(E4777="",E4777="!!!"),"",IF(OR(J4777=0,AND(J4777=1,K4777=1),AND(J4777=1,I4777="SBJ"),AND(J4777=1,I4777=0)),"?IN_FOCUS",IF(J4777&lt;=2,"?ACTIVATED",IF(J4777&lt;&gt;"","?FAMILIAR",IF(F4777="NEW",IF(ISNA(VLOOKUP(E4777,#REF!,1,FALSE())),"?TYPE_IDENTIFIABLE","?REFERENTIAL"),"_")))))</f>
        <v> </v>
      </c>
      <c r="H4777" s="25" t="str">
        <f>IF(J4777&lt;&gt;1,"",IF(I4777="SBJ","CB","?"))</f>
        <v> </v>
      </c>
      <c r="I4777" s="26" t="str">
        <f>IF(OR(E4777="",E4777="!!!",F4777="NEW"),"",INDEX(B4776:B$2,-1+SUMPRODUCT(MAX(ROW(E4776:E$2)*(E4777=E4776:E$2)))))</f>
        <v> </v>
      </c>
      <c r="J4777" s="26" t="str">
        <f>IF(OR(E4777="",E4777="!!!",F4777="NEW"),"",COUNTBLANK(OFFSET(A$1,,,SUMPRODUCT(MAX(ROW(E$2:E4777)*(E4777=E$2:E4777)))))-COUNTBLANK(OFFSET(A$1,,,SUMPRODUCT(MAX(ROW(E$1:E4776)*(E2=E$1:E4776))))))</f>
        <v> </v>
      </c>
      <c r="K4777" s="26" t="str">
        <f>IF(OR(E4777="",E4777="!!!",F4777="NEW"),"",INDEX(J$1:J4776,SUMPRODUCT(MAX(ROW(E$1:E4776)*(E4777=E$1:E4776)))))</f>
        <v> </v>
      </c>
      <c r="L4777" s="27"/>
    </row>
    <row r="4778" spans="1:12">
      <c r="A4778" s="20" t="s">
        <v>2342</v>
      </c>
      <c r="E4778" s="22">
        <f>IF(D4778="?OLD","!!!","")</f>
        <v/>
      </c>
      <c r="F4778" s="23" t="str">
        <f>IF(OR(E4778="",E4778="!!!"),"",IF(NOT(ISNA(VLOOKUP(E4778,E$1:E4777,1,FALSE()))),"OLD",IF(AND(E4778&lt;&gt;"",E4778&lt;&gt;"!!!"),"NEW","")))</f>
        <v> </v>
      </c>
      <c r="G4778" s="24" t="str">
        <f>IF(OR(E4778="",E4778="!!!"),"",IF(OR(J4778=0,AND(J4778=1,K4778=1),AND(J4778=1,I4778="SBJ"),AND(J4778=1,I4778=0)),"?IN_FOCUS",IF(J4778&lt;=2,"?ACTIVATED",IF(J4778&lt;&gt;"","?FAMILIAR",IF(F4778="NEW",IF(ISNA(VLOOKUP(E4778,#REF!,1,FALSE())),"?TYPE_IDENTIFIABLE","?REFERENTIAL"),"_")))))</f>
        <v> </v>
      </c>
      <c r="H4778" s="25" t="str">
        <f>IF(J4778&lt;&gt;1,"",IF(I4778="SBJ","CB","?"))</f>
        <v> </v>
      </c>
      <c r="I4778" s="26" t="str">
        <f>IF(OR(E4778="",E4778="!!!",F4778="NEW"),"",INDEX(B4777:B$2,-1+SUMPRODUCT(MAX(ROW(E4777:E$2)*(E4778=E4777:E$2)))))</f>
        <v> </v>
      </c>
      <c r="J4778" s="26" t="str">
        <f>IF(OR(E4778="",E4778="!!!",F4778="NEW"),"",COUNTBLANK(OFFSET(A$1,,,SUMPRODUCT(MAX(ROW(E$2:E4778)*(E4778=E$2:E4778)))))-COUNTBLANK(OFFSET(A$1,,,SUMPRODUCT(MAX(ROW(E$1:E4777)*(E2=E$1:E4777))))))</f>
        <v> </v>
      </c>
      <c r="K4778" s="26" t="str">
        <f>IF(OR(E4778="",E4778="!!!",F4778="NEW"),"",INDEX(J$1:J4777,SUMPRODUCT(MAX(ROW(E$1:E4777)*(E4778=E$1:E4777)))))</f>
        <v> </v>
      </c>
      <c r="L4778" s="27"/>
    </row>
    <row r="4779" spans="1:12">
      <c r="A4779" s="20" t="s">
        <v>1020</v>
      </c>
      <c r="E4779" s="22">
        <f>IF(D4779="?OLD","!!!","")</f>
        <v/>
      </c>
      <c r="F4779" s="23" t="str">
        <f>IF(OR(E4779="",E4779="!!!"),"",IF(NOT(ISNA(VLOOKUP(E4779,E$1:E4778,1,FALSE()))),"OLD",IF(AND(E4779&lt;&gt;"",E4779&lt;&gt;"!!!"),"NEW","")))</f>
        <v> </v>
      </c>
      <c r="G4779" s="24" t="str">
        <f>IF(OR(E4779="",E4779="!!!"),"",IF(OR(J4779=0,AND(J4779=1,K4779=1),AND(J4779=1,I4779="SBJ"),AND(J4779=1,I4779=0)),"?IN_FOCUS",IF(J4779&lt;=2,"?ACTIVATED",IF(J4779&lt;&gt;"","?FAMILIAR",IF(F4779="NEW",IF(ISNA(VLOOKUP(E4779,#REF!,1,FALSE())),"?TYPE_IDENTIFIABLE","?REFERENTIAL"),"_")))))</f>
        <v> </v>
      </c>
      <c r="H4779" s="25" t="str">
        <f>IF(J4779&lt;&gt;1,"",IF(I4779="SBJ","CB","?"))</f>
        <v> </v>
      </c>
      <c r="I4779" s="26" t="str">
        <f>IF(OR(E4779="",E4779="!!!",F4779="NEW"),"",INDEX(B4778:B$2,-1+SUMPRODUCT(MAX(ROW(E4778:E$2)*(E4779=E4778:E$2)))))</f>
        <v> </v>
      </c>
      <c r="J4779" s="26" t="str">
        <f>IF(OR(E4779="",E4779="!!!",F4779="NEW"),"",COUNTBLANK(OFFSET(A$1,,,SUMPRODUCT(MAX(ROW(E$2:E4779)*(E4779=E$2:E4779)))))-COUNTBLANK(OFFSET(A$1,,,SUMPRODUCT(MAX(ROW(E$1:E4778)*(E2=E$1:E4778))))))</f>
        <v> </v>
      </c>
      <c r="K4779" s="26" t="str">
        <f>IF(OR(E4779="",E4779="!!!",F4779="NEW"),"",INDEX(J$1:J4778,SUMPRODUCT(MAX(ROW(E$1:E4778)*(E4779=E$1:E4778)))))</f>
        <v> </v>
      </c>
      <c r="L4779" s="27"/>
    </row>
    <row r="4780" spans="1:12">
      <c r="A4780" s="20" t="s">
        <v>2347</v>
      </c>
      <c r="E4780" s="22">
        <f>IF(D4780="?OLD","!!!","")</f>
        <v/>
      </c>
      <c r="F4780" s="23" t="str">
        <f>IF(OR(E4780="",E4780="!!!"),"",IF(NOT(ISNA(VLOOKUP(E4780,E$1:E4779,1,FALSE()))),"OLD",IF(AND(E4780&lt;&gt;"",E4780&lt;&gt;"!!!"),"NEW","")))</f>
        <v> </v>
      </c>
      <c r="G4780" s="24" t="str">
        <f>IF(OR(E4780="",E4780="!!!"),"",IF(OR(J4780=0,AND(J4780=1,K4780=1),AND(J4780=1,I4780="SBJ"),AND(J4780=1,I4780=0)),"?IN_FOCUS",IF(J4780&lt;=2,"?ACTIVATED",IF(J4780&lt;&gt;"","?FAMILIAR",IF(F4780="NEW",IF(ISNA(VLOOKUP(E4780,#REF!,1,FALSE())),"?TYPE_IDENTIFIABLE","?REFERENTIAL"),"_")))))</f>
        <v> </v>
      </c>
      <c r="H4780" s="25" t="str">
        <f>IF(J4780&lt;&gt;1,"",IF(I4780="SBJ","CB","?"))</f>
        <v> </v>
      </c>
      <c r="I4780" s="26" t="str">
        <f>IF(OR(E4780="",E4780="!!!",F4780="NEW"),"",INDEX(B4779:B$2,-1+SUMPRODUCT(MAX(ROW(E4779:E$2)*(E4780=E4779:E$2)))))</f>
        <v> </v>
      </c>
      <c r="J4780" s="26" t="str">
        <f>IF(OR(E4780="",E4780="!!!",F4780="NEW"),"",COUNTBLANK(OFFSET(A$1,,,SUMPRODUCT(MAX(ROW(E$2:E4780)*(E4780=E$2:E4780)))))-COUNTBLANK(OFFSET(A$1,,,SUMPRODUCT(MAX(ROW(E$1:E4779)*(E2=E$1:E4779))))))</f>
        <v> </v>
      </c>
      <c r="K4780" s="26" t="str">
        <f>IF(OR(E4780="",E4780="!!!",F4780="NEW"),"",INDEX(J$1:J4779,SUMPRODUCT(MAX(ROW(E$1:E4779)*(E4780=E$1:E4779)))))</f>
        <v> </v>
      </c>
      <c r="L4780" s="27"/>
    </row>
    <row r="4781" spans="1:12">
      <c r="A4781" s="20" t="s">
        <v>1133</v>
      </c>
      <c r="B4781" s="21" t="s">
        <v>1253</v>
      </c>
      <c r="C4781" s="21" t="s">
        <v>1082</v>
      </c>
      <c r="D4781" s="21" t="s">
        <v>1007</v>
      </c>
      <c r="E4781" s="22">
        <f>IF(D4781="?OLD","!!!","")</f>
        <v/>
      </c>
      <c r="F4781" s="23" t="str">
        <f>IF(OR(E4781="",E4781="!!!"),"",IF(NOT(ISNA(VLOOKUP(E4781,E$1:E4780,1,FALSE()))),"OLD",IF(AND(E4781&lt;&gt;"",E4781&lt;&gt;"!!!"),"NEW","")))</f>
        <v> </v>
      </c>
      <c r="G4781" s="24" t="str">
        <f>IF(OR(E4781="",E4781="!!!"),"",IF(OR(J4781=0,AND(J4781=1,K4781=1),AND(J4781=1,I4781="SBJ"),AND(J4781=1,I4781=0)),"?IN_FOCUS",IF(J4781&lt;=2,"?ACTIVATED",IF(J4781&lt;&gt;"","?FAMILIAR",IF(F4781="NEW",IF(ISNA(VLOOKUP(E4781,#REF!,1,FALSE())),"?TYPE_IDENTIFIABLE","?REFERENTIAL"),"_")))))</f>
        <v> </v>
      </c>
      <c r="H4781" s="25" t="str">
        <f>IF(J4781&lt;&gt;1,"",IF(I4781="SBJ","CB","?"))</f>
        <v> </v>
      </c>
      <c r="I4781" s="26" t="str">
        <f>IF(OR(E4781="",E4781="!!!",F4781="NEW"),"",INDEX(B4780:B$2,-1+SUMPRODUCT(MAX(ROW(E4780:E$2)*(E4781=E4780:E$2)))))</f>
        <v> </v>
      </c>
      <c r="J4781" s="26" t="str">
        <f>IF(OR(E4781="",E4781="!!!",F4781="NEW"),"",COUNTBLANK(OFFSET(A$1,,,SUMPRODUCT(MAX(ROW(E$2:E4781)*(E4781=E$2:E4781)))))-COUNTBLANK(OFFSET(A$1,,,SUMPRODUCT(MAX(ROW(E$1:E4780)*(E2=E$1:E4780))))))</f>
        <v> </v>
      </c>
      <c r="K4781" s="26" t="str">
        <f>IF(OR(E4781="",E4781="!!!",F4781="NEW"),"",INDEX(J$1:J4780,SUMPRODUCT(MAX(ROW(E$1:E4780)*(E4781=E$1:E4780)))))</f>
        <v> </v>
      </c>
      <c r="L4781" s="27"/>
    </row>
    <row r="4782" spans="1:12">
      <c r="A4782" s="20" t="s">
        <v>2348</v>
      </c>
      <c r="E4782" s="22">
        <f>IF(D4782="?OLD","!!!","")</f>
        <v/>
      </c>
      <c r="F4782" s="23" t="str">
        <f>IF(OR(E4782="",E4782="!!!"),"",IF(NOT(ISNA(VLOOKUP(E4782,E$1:E4781,1,FALSE()))),"OLD",IF(AND(E4782&lt;&gt;"",E4782&lt;&gt;"!!!"),"NEW","")))</f>
        <v> </v>
      </c>
      <c r="G4782" s="24" t="str">
        <f>IF(OR(E4782="",E4782="!!!"),"",IF(OR(J4782=0,AND(J4782=1,K4782=1),AND(J4782=1,I4782="SBJ"),AND(J4782=1,I4782=0)),"?IN_FOCUS",IF(J4782&lt;=2,"?ACTIVATED",IF(J4782&lt;&gt;"","?FAMILIAR",IF(F4782="NEW",IF(ISNA(VLOOKUP(E4782,#REF!,1,FALSE())),"?TYPE_IDENTIFIABLE","?REFERENTIAL"),"_")))))</f>
        <v> </v>
      </c>
      <c r="H4782" s="25" t="str">
        <f>IF(J4782&lt;&gt;1,"",IF(I4782="SBJ","CB","?"))</f>
        <v> </v>
      </c>
      <c r="I4782" s="26" t="str">
        <f>IF(OR(E4782="",E4782="!!!",F4782="NEW"),"",INDEX(B4781:B$2,-1+SUMPRODUCT(MAX(ROW(E4781:E$2)*(E4782=E4781:E$2)))))</f>
        <v> </v>
      </c>
      <c r="J4782" s="26" t="str">
        <f>IF(OR(E4782="",E4782="!!!",F4782="NEW"),"",COUNTBLANK(OFFSET(A$1,,,SUMPRODUCT(MAX(ROW(E$2:E4782)*(E4782=E$2:E4782)))))-COUNTBLANK(OFFSET(A$1,,,SUMPRODUCT(MAX(ROW(E$1:E4781)*(E2=E$1:E4781))))))</f>
        <v> </v>
      </c>
      <c r="K4782" s="26" t="str">
        <f>IF(OR(E4782="",E4782="!!!",F4782="NEW"),"",INDEX(J$1:J4781,SUMPRODUCT(MAX(ROW(E$1:E4781)*(E4782=E$1:E4781)))))</f>
        <v> </v>
      </c>
      <c r="L4782" s="27"/>
    </row>
    <row r="4783" spans="1:12">
      <c r="A4783" s="20" t="s">
        <v>1266</v>
      </c>
      <c r="E4783" s="22">
        <f>IF(D4783="?OLD","!!!","")</f>
        <v/>
      </c>
      <c r="F4783" s="23" t="str">
        <f>IF(OR(E4783="",E4783="!!!"),"",IF(NOT(ISNA(VLOOKUP(E4783,E$1:E4782,1,FALSE()))),"OLD",IF(AND(E4783&lt;&gt;"",E4783&lt;&gt;"!!!"),"NEW","")))</f>
        <v> </v>
      </c>
      <c r="G4783" s="24" t="str">
        <f>IF(OR(E4783="",E4783="!!!"),"",IF(OR(J4783=0,AND(J4783=1,K4783=1),AND(J4783=1,I4783="SBJ"),AND(J4783=1,I4783=0)),"?IN_FOCUS",IF(J4783&lt;=2,"?ACTIVATED",IF(J4783&lt;&gt;"","?FAMILIAR",IF(F4783="NEW",IF(ISNA(VLOOKUP(E4783,#REF!,1,FALSE())),"?TYPE_IDENTIFIABLE","?REFERENTIAL"),"_")))))</f>
        <v> </v>
      </c>
      <c r="H4783" s="25" t="str">
        <f>IF(J4783&lt;&gt;1,"",IF(I4783="SBJ","CB","?"))</f>
        <v> </v>
      </c>
      <c r="I4783" s="26" t="str">
        <f>IF(OR(E4783="",E4783="!!!",F4783="NEW"),"",INDEX(B4782:B$2,-1+SUMPRODUCT(MAX(ROW(E4782:E$2)*(E4783=E4782:E$2)))))</f>
        <v> </v>
      </c>
      <c r="J4783" s="26" t="str">
        <f>IF(OR(E4783="",E4783="!!!",F4783="NEW"),"",COUNTBLANK(OFFSET(A$1,,,SUMPRODUCT(MAX(ROW(E$2:E4783)*(E4783=E$2:E4783)))))-COUNTBLANK(OFFSET(A$1,,,SUMPRODUCT(MAX(ROW(E$1:E4782)*(E2=E$1:E4782))))))</f>
        <v> </v>
      </c>
      <c r="K4783" s="26" t="str">
        <f>IF(OR(E4783="",E4783="!!!",F4783="NEW"),"",INDEX(J$1:J4782,SUMPRODUCT(MAX(ROW(E$1:E4782)*(E4783=E$1:E4782)))))</f>
        <v> </v>
      </c>
      <c r="L4783" s="27"/>
    </row>
    <row r="4784" spans="1:12">
      <c r="A4784" s="20" t="s">
        <v>1901</v>
      </c>
      <c r="B4784" s="21" t="s">
        <v>1044</v>
      </c>
      <c r="C4784" s="21" t="s">
        <v>1048</v>
      </c>
      <c r="E4784" s="22">
        <f>IF(D4784="?OLD","!!!","")</f>
        <v/>
      </c>
      <c r="F4784" s="23" t="str">
        <f>IF(OR(E4784="",E4784="!!!"),"",IF(NOT(ISNA(VLOOKUP(E4784,E$1:E4783,1,FALSE()))),"OLD",IF(AND(E4784&lt;&gt;"",E4784&lt;&gt;"!!!"),"NEW","")))</f>
        <v> </v>
      </c>
      <c r="G4784" s="24" t="str">
        <f>IF(OR(E4784="",E4784="!!!"),"",IF(OR(J4784=0,AND(J4784=1,K4784=1),AND(J4784=1,I4784="SBJ"),AND(J4784=1,I4784=0)),"?IN_FOCUS",IF(J4784&lt;=2,"?ACTIVATED",IF(J4784&lt;&gt;"","?FAMILIAR",IF(F4784="NEW",IF(ISNA(VLOOKUP(E4784,#REF!,1,FALSE())),"?TYPE_IDENTIFIABLE","?REFERENTIAL"),"_")))))</f>
        <v> </v>
      </c>
      <c r="H4784" s="25" t="str">
        <f>IF(J4784&lt;&gt;1,"",IF(I4784="SBJ","CB","?"))</f>
        <v> </v>
      </c>
      <c r="I4784" s="26" t="str">
        <f>IF(OR(E4784="",E4784="!!!",F4784="NEW"),"",INDEX(B4783:B$2,-1+SUMPRODUCT(MAX(ROW(E4783:E$2)*(E4784=E4783:E$2)))))</f>
        <v> </v>
      </c>
      <c r="J4784" s="26" t="str">
        <f>IF(OR(E4784="",E4784="!!!",F4784="NEW"),"",COUNTBLANK(OFFSET(A$1,,,SUMPRODUCT(MAX(ROW(E$2:E4784)*(E4784=E$2:E4784)))))-COUNTBLANK(OFFSET(A$1,,,SUMPRODUCT(MAX(ROW(E$1:E4783)*(E2=E$1:E4783))))))</f>
        <v> </v>
      </c>
      <c r="K4784" s="26" t="str">
        <f>IF(OR(E4784="",E4784="!!!",F4784="NEW"),"",INDEX(J$1:J4783,SUMPRODUCT(MAX(ROW(E$1:E4783)*(E4784=E$1:E4783)))))</f>
        <v> </v>
      </c>
      <c r="L4784" s="27"/>
    </row>
    <row r="4785" spans="1:12">
      <c r="A4785" s="20" t="s">
        <v>470</v>
      </c>
      <c r="E4785" s="22">
        <f>IF(D4785="?OLD","!!!","")</f>
        <v/>
      </c>
      <c r="F4785" s="23" t="str">
        <f>IF(OR(E4785="",E4785="!!!"),"",IF(NOT(ISNA(VLOOKUP(E4785,E$1:E4784,1,FALSE()))),"OLD",IF(AND(E4785&lt;&gt;"",E4785&lt;&gt;"!!!"),"NEW","")))</f>
        <v> </v>
      </c>
      <c r="G4785" s="24" t="str">
        <f>IF(OR(E4785="",E4785="!!!"),"",IF(OR(J4785=0,AND(J4785=1,K4785=1),AND(J4785=1,I4785="SBJ"),AND(J4785=1,I4785=0)),"?IN_FOCUS",IF(J4785&lt;=2,"?ACTIVATED",IF(J4785&lt;&gt;"","?FAMILIAR",IF(F4785="NEW",IF(ISNA(VLOOKUP(E4785,#REF!,1,FALSE())),"?TYPE_IDENTIFIABLE","?REFERENTIAL"),"_")))))</f>
        <v> </v>
      </c>
      <c r="H4785" s="25" t="str">
        <f>IF(J4785&lt;&gt;1,"",IF(I4785="SBJ","CB","?"))</f>
        <v> </v>
      </c>
      <c r="I4785" s="26" t="str">
        <f>IF(OR(E4785="",E4785="!!!",F4785="NEW"),"",INDEX(B4784:B$2,-1+SUMPRODUCT(MAX(ROW(E4784:E$2)*(E4785=E4784:E$2)))))</f>
        <v> </v>
      </c>
      <c r="J4785" s="26" t="str">
        <f>IF(OR(E4785="",E4785="!!!",F4785="NEW"),"",COUNTBLANK(OFFSET(A$1,,,SUMPRODUCT(MAX(ROW(E$2:E4785)*(E4785=E$2:E4785)))))-COUNTBLANK(OFFSET(A$1,,,SUMPRODUCT(MAX(ROW(E$1:E4784)*(E2=E$1:E4784))))))</f>
        <v> </v>
      </c>
      <c r="K4785" s="26" t="str">
        <f>IF(OR(E4785="",E4785="!!!",F4785="NEW"),"",INDEX(J$1:J4784,SUMPRODUCT(MAX(ROW(E$1:E4784)*(E4785=E$1:E4784)))))</f>
        <v> </v>
      </c>
      <c r="L4785" s="27"/>
    </row>
    <row r="4786" spans="1:12">
      <c r="A4786" s="20" t="s">
        <v>1056</v>
      </c>
      <c r="E4786" s="22">
        <f>IF(D4786="?OLD","!!!","")</f>
        <v/>
      </c>
      <c r="F4786" s="23" t="str">
        <f>IF(OR(E4786="",E4786="!!!"),"",IF(NOT(ISNA(VLOOKUP(E4786,E$1:E4785,1,FALSE()))),"OLD",IF(AND(E4786&lt;&gt;"",E4786&lt;&gt;"!!!"),"NEW","")))</f>
        <v> </v>
      </c>
      <c r="G4786" s="24" t="str">
        <f>IF(OR(E4786="",E4786="!!!"),"",IF(OR(J4786=0,AND(J4786=1,K4786=1),AND(J4786=1,I4786="SBJ"),AND(J4786=1,I4786=0)),"?IN_FOCUS",IF(J4786&lt;=2,"?ACTIVATED",IF(J4786&lt;&gt;"","?FAMILIAR",IF(F4786="NEW",IF(ISNA(VLOOKUP(E4786,#REF!,1,FALSE())),"?TYPE_IDENTIFIABLE","?REFERENTIAL"),"_")))))</f>
        <v> </v>
      </c>
      <c r="H4786" s="25" t="str">
        <f>IF(J4786&lt;&gt;1,"",IF(I4786="SBJ","CB","?"))</f>
        <v> </v>
      </c>
      <c r="I4786" s="26" t="str">
        <f>IF(OR(E4786="",E4786="!!!",F4786="NEW"),"",INDEX(B4785:B$2,-1+SUMPRODUCT(MAX(ROW(E4785:E$2)*(E4786=E4785:E$2)))))</f>
        <v> </v>
      </c>
      <c r="J4786" s="26" t="str">
        <f>IF(OR(E4786="",E4786="!!!",F4786="NEW"),"",COUNTBLANK(OFFSET(A$1,,,SUMPRODUCT(MAX(ROW(E$2:E4786)*(E4786=E$2:E4786)))))-COUNTBLANK(OFFSET(A$1,,,SUMPRODUCT(MAX(ROW(E$1:E4785)*(E2=E$1:E4785))))))</f>
        <v> </v>
      </c>
      <c r="K4786" s="26" t="str">
        <f>IF(OR(E4786="",E4786="!!!",F4786="NEW"),"",INDEX(J$1:J4785,SUMPRODUCT(MAX(ROW(E$1:E4785)*(E4786=E$1:E4785)))))</f>
        <v> </v>
      </c>
      <c r="L4786" s="27"/>
    </row>
    <row r="4787" spans="1:12">
      <c r="A4787" s="20" t="s">
        <v>1469</v>
      </c>
      <c r="B4787" s="21" t="s">
        <v>1120</v>
      </c>
      <c r="C4787" s="21" t="s">
        <v>1111</v>
      </c>
      <c r="E4787" s="22">
        <f>IF(D4787="?OLD","!!!","")</f>
        <v/>
      </c>
      <c r="F4787" s="23" t="str">
        <f>IF(OR(E4787="",E4787="!!!"),"",IF(NOT(ISNA(VLOOKUP(E4787,E$1:E4786,1,FALSE()))),"OLD",IF(AND(E4787&lt;&gt;"",E4787&lt;&gt;"!!!"),"NEW","")))</f>
        <v> </v>
      </c>
      <c r="G4787" s="24" t="str">
        <f>IF(OR(E4787="",E4787="!!!"),"",IF(OR(J4787=0,AND(J4787=1,K4787=1),AND(J4787=1,I4787="SBJ"),AND(J4787=1,I4787=0)),"?IN_FOCUS",IF(J4787&lt;=2,"?ACTIVATED",IF(J4787&lt;&gt;"","?FAMILIAR",IF(F4787="NEW",IF(ISNA(VLOOKUP(E4787,#REF!,1,FALSE())),"?TYPE_IDENTIFIABLE","?REFERENTIAL"),"_")))))</f>
        <v> </v>
      </c>
      <c r="H4787" s="25" t="str">
        <f>IF(J4787&lt;&gt;1,"",IF(I4787="SBJ","CB","?"))</f>
        <v> </v>
      </c>
      <c r="I4787" s="26" t="str">
        <f>IF(OR(E4787="",E4787="!!!",F4787="NEW"),"",INDEX(B4786:B$2,-1+SUMPRODUCT(MAX(ROW(E4786:E$2)*(E4787=E4786:E$2)))))</f>
        <v> </v>
      </c>
      <c r="J4787" s="26" t="str">
        <f>IF(OR(E4787="",E4787="!!!",F4787="NEW"),"",COUNTBLANK(OFFSET(A$1,,,SUMPRODUCT(MAX(ROW(E$2:E4787)*(E4787=E$2:E4787)))))-COUNTBLANK(OFFSET(A$1,,,SUMPRODUCT(MAX(ROW(E$1:E4786)*(E2=E$1:E4786))))))</f>
        <v> </v>
      </c>
      <c r="K4787" s="26" t="str">
        <f>IF(OR(E4787="",E4787="!!!",F4787="NEW"),"",INDEX(J$1:J4786,SUMPRODUCT(MAX(ROW(E$1:E4786)*(E4787=E$1:E4786)))))</f>
        <v> </v>
      </c>
      <c r="L4787" s="27"/>
    </row>
    <row r="4788" spans="1:12">
      <c r="A4788" s="20" t="s">
        <v>1018</v>
      </c>
      <c r="E4788" s="22">
        <f>IF(D4788="?OLD","!!!","")</f>
        <v/>
      </c>
      <c r="F4788" s="23" t="str">
        <f>IF(OR(E4788="",E4788="!!!"),"",IF(NOT(ISNA(VLOOKUP(E4788,E$1:E4787,1,FALSE()))),"OLD",IF(AND(E4788&lt;&gt;"",E4788&lt;&gt;"!!!"),"NEW","")))</f>
        <v> </v>
      </c>
      <c r="G4788" s="24" t="str">
        <f>IF(OR(E4788="",E4788="!!!"),"",IF(OR(J4788=0,AND(J4788=1,K4788=1),AND(J4788=1,I4788="SBJ"),AND(J4788=1,I4788=0)),"?IN_FOCUS",IF(J4788&lt;=2,"?ACTIVATED",IF(J4788&lt;&gt;"","?FAMILIAR",IF(F4788="NEW",IF(ISNA(VLOOKUP(E4788,#REF!,1,FALSE())),"?TYPE_IDENTIFIABLE","?REFERENTIAL"),"_")))))</f>
        <v> </v>
      </c>
      <c r="H4788" s="25" t="str">
        <f>IF(J4788&lt;&gt;1,"",IF(I4788="SBJ","CB","?"))</f>
        <v> </v>
      </c>
      <c r="I4788" s="26" t="str">
        <f>IF(OR(E4788="",E4788="!!!",F4788="NEW"),"",INDEX(B4787:B$2,-1+SUMPRODUCT(MAX(ROW(E4787:E$2)*(E4788=E4787:E$2)))))</f>
        <v> </v>
      </c>
      <c r="J4788" s="26" t="str">
        <f>IF(OR(E4788="",E4788="!!!",F4788="NEW"),"",COUNTBLANK(OFFSET(A$1,,,SUMPRODUCT(MAX(ROW(E$2:E4788)*(E4788=E$2:E4788)))))-COUNTBLANK(OFFSET(A$1,,,SUMPRODUCT(MAX(ROW(E$1:E4787)*(E2=E$1:E4787))))))</f>
        <v> </v>
      </c>
      <c r="K4788" s="26" t="str">
        <f>IF(OR(E4788="",E4788="!!!",F4788="NEW"),"",INDEX(J$1:J4787,SUMPRODUCT(MAX(ROW(E$1:E4787)*(E4788=E$1:E4787)))))</f>
        <v> </v>
      </c>
      <c r="L4788" s="27"/>
    </row>
    <row r="4789" spans="1:12">
      <c r="A4789" s="20" t="s">
        <v>1164</v>
      </c>
      <c r="E4789" s="22">
        <f>IF(D4789="?OLD","!!!","")</f>
        <v/>
      </c>
      <c r="F4789" s="23" t="str">
        <f>IF(OR(E4789="",E4789="!!!"),"",IF(NOT(ISNA(VLOOKUP(E4789,E$1:E4788,1,FALSE()))),"OLD",IF(AND(E4789&lt;&gt;"",E4789&lt;&gt;"!!!"),"NEW","")))</f>
        <v> </v>
      </c>
      <c r="G4789" s="24" t="str">
        <f>IF(OR(E4789="",E4789="!!!"),"",IF(OR(J4789=0,AND(J4789=1,K4789=1),AND(J4789=1,I4789="SBJ"),AND(J4789=1,I4789=0)),"?IN_FOCUS",IF(J4789&lt;=2,"?ACTIVATED",IF(J4789&lt;&gt;"","?FAMILIAR",IF(F4789="NEW",IF(ISNA(VLOOKUP(E4789,#REF!,1,FALSE())),"?TYPE_IDENTIFIABLE","?REFERENTIAL"),"_")))))</f>
        <v> </v>
      </c>
      <c r="H4789" s="25" t="str">
        <f>IF(J4789&lt;&gt;1,"",IF(I4789="SBJ","CB","?"))</f>
        <v> </v>
      </c>
      <c r="I4789" s="26" t="str">
        <f>IF(OR(E4789="",E4789="!!!",F4789="NEW"),"",INDEX(B4788:B$2,-1+SUMPRODUCT(MAX(ROW(E4788:E$2)*(E4789=E4788:E$2)))))</f>
        <v> </v>
      </c>
      <c r="J4789" s="26" t="str">
        <f>IF(OR(E4789="",E4789="!!!",F4789="NEW"),"",COUNTBLANK(OFFSET(A$1,,,SUMPRODUCT(MAX(ROW(E$2:E4789)*(E4789=E$2:E4789)))))-COUNTBLANK(OFFSET(A$1,,,SUMPRODUCT(MAX(ROW(E$1:E4788)*(E2=E$1:E4788))))))</f>
        <v> </v>
      </c>
      <c r="K4789" s="26" t="str">
        <f>IF(OR(E4789="",E4789="!!!",F4789="NEW"),"",INDEX(J$1:J4788,SUMPRODUCT(MAX(ROW(E$1:E4788)*(E4789=E$1:E4788)))))</f>
        <v> </v>
      </c>
      <c r="L4789" s="27"/>
    </row>
    <row r="4790" spans="1:12">
      <c r="A4790" s="20" t="s">
        <v>1063</v>
      </c>
      <c r="B4790" s="21" t="s">
        <v>1005</v>
      </c>
      <c r="C4790" s="21" t="s">
        <v>1048</v>
      </c>
      <c r="E4790" s="22">
        <f>IF(D4790="?OLD","!!!","")</f>
        <v/>
      </c>
      <c r="F4790" s="23" t="str">
        <f>IF(OR(E4790="",E4790="!!!"),"",IF(NOT(ISNA(VLOOKUP(E4790,E$1:E4789,1,FALSE()))),"OLD",IF(AND(E4790&lt;&gt;"",E4790&lt;&gt;"!!!"),"NEW","")))</f>
        <v> </v>
      </c>
      <c r="G4790" s="24" t="str">
        <f>IF(OR(E4790="",E4790="!!!"),"",IF(OR(J4790=0,AND(J4790=1,K4790=1),AND(J4790=1,I4790="SBJ"),AND(J4790=1,I4790=0)),"?IN_FOCUS",IF(J4790&lt;=2,"?ACTIVATED",IF(J4790&lt;&gt;"","?FAMILIAR",IF(F4790="NEW",IF(ISNA(VLOOKUP(E4790,#REF!,1,FALSE())),"?TYPE_IDENTIFIABLE","?REFERENTIAL"),"_")))))</f>
        <v> </v>
      </c>
      <c r="H4790" s="25" t="str">
        <f>IF(J4790&lt;&gt;1,"",IF(I4790="SBJ","CB","?"))</f>
        <v> </v>
      </c>
      <c r="I4790" s="26" t="str">
        <f>IF(OR(E4790="",E4790="!!!",F4790="NEW"),"",INDEX(B4789:B$2,-1+SUMPRODUCT(MAX(ROW(E4789:E$2)*(E4790=E4789:E$2)))))</f>
        <v> </v>
      </c>
      <c r="J4790" s="26" t="str">
        <f>IF(OR(E4790="",E4790="!!!",F4790="NEW"),"",COUNTBLANK(OFFSET(A$1,,,SUMPRODUCT(MAX(ROW(E$2:E4790)*(E4790=E$2:E4790)))))-COUNTBLANK(OFFSET(A$1,,,SUMPRODUCT(MAX(ROW(E$1:E4789)*(E2=E$1:E4789))))))</f>
        <v> </v>
      </c>
      <c r="K4790" s="26" t="str">
        <f>IF(OR(E4790="",E4790="!!!",F4790="NEW"),"",INDEX(J$1:J4789,SUMPRODUCT(MAX(ROW(E$1:E4789)*(E4790=E$1:E4789)))))</f>
        <v> </v>
      </c>
      <c r="L4790" s="27"/>
    </row>
    <row r="4791" spans="1:12">
      <c r="A4791" s="20" t="s">
        <v>2195</v>
      </c>
      <c r="E4791" s="22">
        <f>IF(D4791="?OLD","!!!","")</f>
        <v/>
      </c>
      <c r="F4791" s="23" t="str">
        <f>IF(OR(E4791="",E4791="!!!"),"",IF(NOT(ISNA(VLOOKUP(E4791,E$1:E4790,1,FALSE()))),"OLD",IF(AND(E4791&lt;&gt;"",E4791&lt;&gt;"!!!"),"NEW","")))</f>
        <v> </v>
      </c>
      <c r="G4791" s="24" t="str">
        <f>IF(OR(E4791="",E4791="!!!"),"",IF(OR(J4791=0,AND(J4791=1,K4791=1),AND(J4791=1,I4791="SBJ"),AND(J4791=1,I4791=0)),"?IN_FOCUS",IF(J4791&lt;=2,"?ACTIVATED",IF(J4791&lt;&gt;"","?FAMILIAR",IF(F4791="NEW",IF(ISNA(VLOOKUP(E4791,#REF!,1,FALSE())),"?TYPE_IDENTIFIABLE","?REFERENTIAL"),"_")))))</f>
        <v> </v>
      </c>
      <c r="H4791" s="25" t="str">
        <f>IF(J4791&lt;&gt;1,"",IF(I4791="SBJ","CB","?"))</f>
        <v> </v>
      </c>
      <c r="I4791" s="26" t="str">
        <f>IF(OR(E4791="",E4791="!!!",F4791="NEW"),"",INDEX(B4790:B$2,-1+SUMPRODUCT(MAX(ROW(E4790:E$2)*(E4791=E4790:E$2)))))</f>
        <v> </v>
      </c>
      <c r="J4791" s="26" t="str">
        <f>IF(OR(E4791="",E4791="!!!",F4791="NEW"),"",COUNTBLANK(OFFSET(A$1,,,SUMPRODUCT(MAX(ROW(E$2:E4791)*(E4791=E$2:E4791)))))-COUNTBLANK(OFFSET(A$1,,,SUMPRODUCT(MAX(ROW(E$1:E4790)*(E2=E$1:E4790))))))</f>
        <v> </v>
      </c>
      <c r="K4791" s="26" t="str">
        <f>IF(OR(E4791="",E4791="!!!",F4791="NEW"),"",INDEX(J$1:J4790,SUMPRODUCT(MAX(ROW(E$1:E4790)*(E4791=E$1:E4790)))))</f>
        <v> </v>
      </c>
      <c r="L4791" s="27"/>
    </row>
    <row r="4792" spans="1:12">
      <c r="A4792" s="20" t="s">
        <v>1027</v>
      </c>
      <c r="E4792" s="22">
        <f>IF(D4792="?OLD","!!!","")</f>
        <v/>
      </c>
      <c r="F4792" s="23" t="str">
        <f>IF(OR(E4792="",E4792="!!!"),"",IF(NOT(ISNA(VLOOKUP(E4792,E$1:E4791,1,FALSE()))),"OLD",IF(AND(E4792&lt;&gt;"",E4792&lt;&gt;"!!!"),"NEW","")))</f>
        <v> </v>
      </c>
      <c r="G4792" s="24" t="str">
        <f>IF(OR(E4792="",E4792="!!!"),"",IF(OR(J4792=0,AND(J4792=1,K4792=1),AND(J4792=1,I4792="SBJ"),AND(J4792=1,I4792=0)),"?IN_FOCUS",IF(J4792&lt;=2,"?ACTIVATED",IF(J4792&lt;&gt;"","?FAMILIAR",IF(F4792="NEW",IF(ISNA(VLOOKUP(E4792,#REF!,1,FALSE())),"?TYPE_IDENTIFIABLE","?REFERENTIAL"),"_")))))</f>
        <v> </v>
      </c>
      <c r="H4792" s="25" t="str">
        <f>IF(J4792&lt;&gt;1,"",IF(I4792="SBJ","CB","?"))</f>
        <v> </v>
      </c>
      <c r="I4792" s="26" t="str">
        <f>IF(OR(E4792="",E4792="!!!",F4792="NEW"),"",INDEX(B4791:B$2,-1+SUMPRODUCT(MAX(ROW(E4791:E$2)*(E4792=E4791:E$2)))))</f>
        <v> </v>
      </c>
      <c r="J4792" s="26" t="str">
        <f>IF(OR(E4792="",E4792="!!!",F4792="NEW"),"",COUNTBLANK(OFFSET(A$1,,,SUMPRODUCT(MAX(ROW(E$2:E4792)*(E4792=E$2:E4792)))))-COUNTBLANK(OFFSET(A$1,,,SUMPRODUCT(MAX(ROW(E$1:E4791)*(E2=E$1:E4791))))))</f>
        <v> </v>
      </c>
      <c r="K4792" s="26" t="str">
        <f>IF(OR(E4792="",E4792="!!!",F4792="NEW"),"",INDEX(J$1:J4791,SUMPRODUCT(MAX(ROW(E$1:E4791)*(E4792=E$1:E4791)))))</f>
        <v> </v>
      </c>
      <c r="L4792" s="27"/>
    </row>
    <row r="4793" spans="1:12">
      <c r="A4793" s="20" t="s">
        <v>2100</v>
      </c>
      <c r="E4793" s="22">
        <f>IF(D4793="?OLD","!!!","")</f>
        <v/>
      </c>
      <c r="F4793" s="23" t="str">
        <f>IF(OR(E4793="",E4793="!!!"),"",IF(NOT(ISNA(VLOOKUP(E4793,E$1:E4792,1,FALSE()))),"OLD",IF(AND(E4793&lt;&gt;"",E4793&lt;&gt;"!!!"),"NEW","")))</f>
        <v> </v>
      </c>
      <c r="G4793" s="24" t="str">
        <f>IF(OR(E4793="",E4793="!!!"),"",IF(OR(J4793=0,AND(J4793=1,K4793=1),AND(J4793=1,I4793="SBJ"),AND(J4793=1,I4793=0)),"?IN_FOCUS",IF(J4793&lt;=2,"?ACTIVATED",IF(J4793&lt;&gt;"","?FAMILIAR",IF(F4793="NEW",IF(ISNA(VLOOKUP(E4793,#REF!,1,FALSE())),"?TYPE_IDENTIFIABLE","?REFERENTIAL"),"_")))))</f>
        <v> </v>
      </c>
      <c r="H4793" s="25" t="str">
        <f>IF(J4793&lt;&gt;1,"",IF(I4793="SBJ","CB","?"))</f>
        <v> </v>
      </c>
      <c r="I4793" s="26" t="str">
        <f>IF(OR(E4793="",E4793="!!!",F4793="NEW"),"",INDEX(B4792:B$2,-1+SUMPRODUCT(MAX(ROW(E4792:E$2)*(E4793=E4792:E$2)))))</f>
        <v> </v>
      </c>
      <c r="J4793" s="26" t="str">
        <f>IF(OR(E4793="",E4793="!!!",F4793="NEW"),"",COUNTBLANK(OFFSET(A$1,,,SUMPRODUCT(MAX(ROW(E$2:E4793)*(E4793=E$2:E4793)))))-COUNTBLANK(OFFSET(A$1,,,SUMPRODUCT(MAX(ROW(E$1:E4792)*(E2=E$1:E4792))))))</f>
        <v> </v>
      </c>
      <c r="K4793" s="26" t="str">
        <f>IF(OR(E4793="",E4793="!!!",F4793="NEW"),"",INDEX(J$1:J4792,SUMPRODUCT(MAX(ROW(E$1:E4792)*(E4793=E$1:E4792)))))</f>
        <v> </v>
      </c>
      <c r="L4793" s="27"/>
    </row>
    <row r="4794" spans="1:12">
      <c r="A4794" s="20" t="s">
        <v>1178</v>
      </c>
      <c r="E4794" s="22">
        <f>IF(D4794="?OLD","!!!","")</f>
        <v/>
      </c>
      <c r="F4794" s="23" t="str">
        <f>IF(OR(E4794="",E4794="!!!"),"",IF(NOT(ISNA(VLOOKUP(E4794,E$1:E4793,1,FALSE()))),"OLD",IF(AND(E4794&lt;&gt;"",E4794&lt;&gt;"!!!"),"NEW","")))</f>
        <v> </v>
      </c>
      <c r="G4794" s="24" t="str">
        <f>IF(OR(E4794="",E4794="!!!"),"",IF(OR(J4794=0,AND(J4794=1,K4794=1),AND(J4794=1,I4794="SBJ"),AND(J4794=1,I4794=0)),"?IN_FOCUS",IF(J4794&lt;=2,"?ACTIVATED",IF(J4794&lt;&gt;"","?FAMILIAR",IF(F4794="NEW",IF(ISNA(VLOOKUP(E4794,#REF!,1,FALSE())),"?TYPE_IDENTIFIABLE","?REFERENTIAL"),"_")))))</f>
        <v> </v>
      </c>
      <c r="H4794" s="25" t="str">
        <f>IF(J4794&lt;&gt;1,"",IF(I4794="SBJ","CB","?"))</f>
        <v> </v>
      </c>
      <c r="I4794" s="26" t="str">
        <f>IF(OR(E4794="",E4794="!!!",F4794="NEW"),"",INDEX(B4793:B$2,-1+SUMPRODUCT(MAX(ROW(E4793:E$2)*(E4794=E4793:E$2)))))</f>
        <v> </v>
      </c>
      <c r="J4794" s="26" t="str">
        <f>IF(OR(E4794="",E4794="!!!",F4794="NEW"),"",COUNTBLANK(OFFSET(A$1,,,SUMPRODUCT(MAX(ROW(E$2:E4794)*(E4794=E$2:E4794)))))-COUNTBLANK(OFFSET(A$1,,,SUMPRODUCT(MAX(ROW(E$1:E4793)*(E2=E$1:E4793))))))</f>
        <v> </v>
      </c>
      <c r="K4794" s="26" t="str">
        <f>IF(OR(E4794="",E4794="!!!",F4794="NEW"),"",INDEX(J$1:J4793,SUMPRODUCT(MAX(ROW(E$1:E4793)*(E4794=E$1:E4793)))))</f>
        <v> </v>
      </c>
      <c r="L4794" s="27"/>
    </row>
    <row r="4795" spans="1:12">
      <c r="A4795" s="20" t="s">
        <v>1065</v>
      </c>
      <c r="E4795" s="22">
        <f>IF(D4795="?OLD","!!!","")</f>
        <v/>
      </c>
      <c r="F4795" s="23" t="str">
        <f>IF(OR(E4795="",E4795="!!!"),"",IF(NOT(ISNA(VLOOKUP(E4795,E$1:E4794,1,FALSE()))),"OLD",IF(AND(E4795&lt;&gt;"",E4795&lt;&gt;"!!!"),"NEW","")))</f>
        <v> </v>
      </c>
      <c r="G4795" s="24" t="str">
        <f>IF(OR(E4795="",E4795="!!!"),"",IF(OR(J4795=0,AND(J4795=1,K4795=1),AND(J4795=1,I4795="SBJ"),AND(J4795=1,I4795=0)),"?IN_FOCUS",IF(J4795&lt;=2,"?ACTIVATED",IF(J4795&lt;&gt;"","?FAMILIAR",IF(F4795="NEW",IF(ISNA(VLOOKUP(E4795,#REF!,1,FALSE())),"?TYPE_IDENTIFIABLE","?REFERENTIAL"),"_")))))</f>
        <v> </v>
      </c>
      <c r="H4795" s="25" t="str">
        <f>IF(J4795&lt;&gt;1,"",IF(I4795="SBJ","CB","?"))</f>
        <v> </v>
      </c>
      <c r="I4795" s="26" t="str">
        <f>IF(OR(E4795="",E4795="!!!",F4795="NEW"),"",INDEX(B4794:B$2,-1+SUMPRODUCT(MAX(ROW(E4794:E$2)*(E4795=E4794:E$2)))))</f>
        <v> </v>
      </c>
      <c r="J4795" s="26" t="str">
        <f>IF(OR(E4795="",E4795="!!!",F4795="NEW"),"",COUNTBLANK(OFFSET(A$1,,,SUMPRODUCT(MAX(ROW(E$2:E4795)*(E4795=E$2:E4795)))))-COUNTBLANK(OFFSET(A$1,,,SUMPRODUCT(MAX(ROW(E$1:E4794)*(E2=E$1:E4794))))))</f>
        <v> </v>
      </c>
      <c r="K4795" s="26" t="str">
        <f>IF(OR(E4795="",E4795="!!!",F4795="NEW"),"",INDEX(J$1:J4794,SUMPRODUCT(MAX(ROW(E$1:E4794)*(E4795=E$1:E4794)))))</f>
        <v> </v>
      </c>
      <c r="L4795" s="27"/>
    </row>
    <row r="4796" spans="1:12">
      <c r="A4796" s="20" t="s">
        <v>2289</v>
      </c>
      <c r="E4796" s="22">
        <f>IF(D4796="?OLD","!!!","")</f>
        <v/>
      </c>
      <c r="F4796" s="23" t="str">
        <f>IF(OR(E4796="",E4796="!!!"),"",IF(NOT(ISNA(VLOOKUP(E4796,E$1:E4795,1,FALSE()))),"OLD",IF(AND(E4796&lt;&gt;"",E4796&lt;&gt;"!!!"),"NEW","")))</f>
        <v> </v>
      </c>
      <c r="G4796" s="24" t="str">
        <f>IF(OR(E4796="",E4796="!!!"),"",IF(OR(J4796=0,AND(J4796=1,K4796=1),AND(J4796=1,I4796="SBJ"),AND(J4796=1,I4796=0)),"?IN_FOCUS",IF(J4796&lt;=2,"?ACTIVATED",IF(J4796&lt;&gt;"","?FAMILIAR",IF(F4796="NEW",IF(ISNA(VLOOKUP(E4796,#REF!,1,FALSE())),"?TYPE_IDENTIFIABLE","?REFERENTIAL"),"_")))))</f>
        <v> </v>
      </c>
      <c r="H4796" s="25" t="str">
        <f>IF(J4796&lt;&gt;1,"",IF(I4796="SBJ","CB","?"))</f>
        <v> </v>
      </c>
      <c r="I4796" s="26" t="str">
        <f>IF(OR(E4796="",E4796="!!!",F4796="NEW"),"",INDEX(B4795:B$2,-1+SUMPRODUCT(MAX(ROW(E4795:E$2)*(E4796=E4795:E$2)))))</f>
        <v> </v>
      </c>
      <c r="J4796" s="26" t="str">
        <f>IF(OR(E4796="",E4796="!!!",F4796="NEW"),"",COUNTBLANK(OFFSET(A$1,,,SUMPRODUCT(MAX(ROW(E$2:E4796)*(E4796=E$2:E4796)))))-COUNTBLANK(OFFSET(A$1,,,SUMPRODUCT(MAX(ROW(E$1:E4795)*(E2=E$1:E4795))))))</f>
        <v> </v>
      </c>
      <c r="K4796" s="26" t="str">
        <f>IF(OR(E4796="",E4796="!!!",F4796="NEW"),"",INDEX(J$1:J4795,SUMPRODUCT(MAX(ROW(E$1:E4795)*(E4796=E$1:E4795)))))</f>
        <v> </v>
      </c>
      <c r="L4796" s="27"/>
    </row>
    <row r="4797" spans="1:12">
      <c r="A4797" s="20" t="s">
        <v>1290</v>
      </c>
      <c r="E4797" s="22">
        <f>IF(D4797="?OLD","!!!","")</f>
        <v/>
      </c>
      <c r="F4797" s="23" t="str">
        <f>IF(OR(E4797="",E4797="!!!"),"",IF(NOT(ISNA(VLOOKUP(E4797,E$1:E4796,1,FALSE()))),"OLD",IF(AND(E4797&lt;&gt;"",E4797&lt;&gt;"!!!"),"NEW","")))</f>
        <v> </v>
      </c>
      <c r="G4797" s="24" t="str">
        <f>IF(OR(E4797="",E4797="!!!"),"",IF(OR(J4797=0,AND(J4797=1,K4797=1),AND(J4797=1,I4797="SBJ"),AND(J4797=1,I4797=0)),"?IN_FOCUS",IF(J4797&lt;=2,"?ACTIVATED",IF(J4797&lt;&gt;"","?FAMILIAR",IF(F4797="NEW",IF(ISNA(VLOOKUP(E4797,#REF!,1,FALSE())),"?TYPE_IDENTIFIABLE","?REFERENTIAL"),"_")))))</f>
        <v> </v>
      </c>
      <c r="H4797" s="25" t="str">
        <f>IF(J4797&lt;&gt;1,"",IF(I4797="SBJ","CB","?"))</f>
        <v> </v>
      </c>
      <c r="I4797" s="26" t="str">
        <f>IF(OR(E4797="",E4797="!!!",F4797="NEW"),"",INDEX(B4796:B$2,-1+SUMPRODUCT(MAX(ROW(E4796:E$2)*(E4797=E4796:E$2)))))</f>
        <v> </v>
      </c>
      <c r="J4797" s="26" t="str">
        <f>IF(OR(E4797="",E4797="!!!",F4797="NEW"),"",COUNTBLANK(OFFSET(A$1,,,SUMPRODUCT(MAX(ROW(E$2:E4797)*(E4797=E$2:E4797)))))-COUNTBLANK(OFFSET(A$1,,,SUMPRODUCT(MAX(ROW(E$1:E4796)*(E2=E$1:E4796))))))</f>
        <v> </v>
      </c>
      <c r="K4797" s="26" t="str">
        <f>IF(OR(E4797="",E4797="!!!",F4797="NEW"),"",INDEX(J$1:J4796,SUMPRODUCT(MAX(ROW(E$1:E4796)*(E4797=E$1:E4796)))))</f>
        <v> </v>
      </c>
      <c r="L4797" s="27"/>
    </row>
    <row r="4798" spans="1:12">
      <c r="A4798" s="20" t="s">
        <v>2021</v>
      </c>
      <c r="B4798" s="21" t="s">
        <v>1120</v>
      </c>
      <c r="C4798" s="21" t="s">
        <v>1048</v>
      </c>
      <c r="E4798" s="22">
        <f>IF(D4798="?OLD","!!!","")</f>
        <v/>
      </c>
      <c r="F4798" s="23" t="str">
        <f>IF(OR(E4798="",E4798="!!!"),"",IF(NOT(ISNA(VLOOKUP(E4798,E$1:E4797,1,FALSE()))),"OLD",IF(AND(E4798&lt;&gt;"",E4798&lt;&gt;"!!!"),"NEW","")))</f>
        <v> </v>
      </c>
      <c r="G4798" s="24" t="str">
        <f>IF(OR(E4798="",E4798="!!!"),"",IF(OR(J4798=0,AND(J4798=1,K4798=1),AND(J4798=1,I4798="SBJ"),AND(J4798=1,I4798=0)),"?IN_FOCUS",IF(J4798&lt;=2,"?ACTIVATED",IF(J4798&lt;&gt;"","?FAMILIAR",IF(F4798="NEW",IF(ISNA(VLOOKUP(E4798,#REF!,1,FALSE())),"?TYPE_IDENTIFIABLE","?REFERENTIAL"),"_")))))</f>
        <v> </v>
      </c>
      <c r="H4798" s="25" t="str">
        <f>IF(J4798&lt;&gt;1,"",IF(I4798="SBJ","CB","?"))</f>
        <v> </v>
      </c>
      <c r="I4798" s="26" t="str">
        <f>IF(OR(E4798="",E4798="!!!",F4798="NEW"),"",INDEX(B4797:B$2,-1+SUMPRODUCT(MAX(ROW(E4797:E$2)*(E4798=E4797:E$2)))))</f>
        <v> </v>
      </c>
      <c r="J4798" s="26" t="str">
        <f>IF(OR(E4798="",E4798="!!!",F4798="NEW"),"",COUNTBLANK(OFFSET(A$1,,,SUMPRODUCT(MAX(ROW(E$2:E4798)*(E4798=E$2:E4798)))))-COUNTBLANK(OFFSET(A$1,,,SUMPRODUCT(MAX(ROW(E$1:E4797)*(E2=E$1:E4797))))))</f>
        <v> </v>
      </c>
      <c r="K4798" s="26" t="str">
        <f>IF(OR(E4798="",E4798="!!!",F4798="NEW"),"",INDEX(J$1:J4797,SUMPRODUCT(MAX(ROW(E$1:E4797)*(E4798=E$1:E4797)))))</f>
        <v> </v>
      </c>
      <c r="L4798" s="27"/>
    </row>
    <row r="4799" spans="1:12">
      <c r="A4799" s="20" t="s">
        <v>1018</v>
      </c>
      <c r="E4799" s="22">
        <f>IF(D4799="?OLD","!!!","")</f>
        <v/>
      </c>
      <c r="F4799" s="23" t="str">
        <f>IF(OR(E4799="",E4799="!!!"),"",IF(NOT(ISNA(VLOOKUP(E4799,E$1:E4798,1,FALSE()))),"OLD",IF(AND(E4799&lt;&gt;"",E4799&lt;&gt;"!!!"),"NEW","")))</f>
        <v> </v>
      </c>
      <c r="G4799" s="24" t="str">
        <f>IF(OR(E4799="",E4799="!!!"),"",IF(OR(J4799=0,AND(J4799=1,K4799=1),AND(J4799=1,I4799="SBJ"),AND(J4799=1,I4799=0)),"?IN_FOCUS",IF(J4799&lt;=2,"?ACTIVATED",IF(J4799&lt;&gt;"","?FAMILIAR",IF(F4799="NEW",IF(ISNA(VLOOKUP(E4799,#REF!,1,FALSE())),"?TYPE_IDENTIFIABLE","?REFERENTIAL"),"_")))))</f>
        <v> </v>
      </c>
      <c r="H4799" s="25" t="str">
        <f>IF(J4799&lt;&gt;1,"",IF(I4799="SBJ","CB","?"))</f>
        <v> </v>
      </c>
      <c r="I4799" s="26" t="str">
        <f>IF(OR(E4799="",E4799="!!!",F4799="NEW"),"",INDEX(B4798:B$2,-1+SUMPRODUCT(MAX(ROW(E4798:E$2)*(E4799=E4798:E$2)))))</f>
        <v> </v>
      </c>
      <c r="J4799" s="26" t="str">
        <f>IF(OR(E4799="",E4799="!!!",F4799="NEW"),"",COUNTBLANK(OFFSET(A$1,,,SUMPRODUCT(MAX(ROW(E$2:E4799)*(E4799=E$2:E4799)))))-COUNTBLANK(OFFSET(A$1,,,SUMPRODUCT(MAX(ROW(E$1:E4798)*(E2=E$1:E4798))))))</f>
        <v> </v>
      </c>
      <c r="K4799" s="26" t="str">
        <f>IF(OR(E4799="",E4799="!!!",F4799="NEW"),"",INDEX(J$1:J4798,SUMPRODUCT(MAX(ROW(E$1:E4798)*(E4799=E$1:E4798)))))</f>
        <v> </v>
      </c>
      <c r="L4799" s="27"/>
    </row>
    <row r="4800" spans="1:12">
      <c r="A4800" s="20" t="s">
        <v>56</v>
      </c>
      <c r="E4800" s="22">
        <f>IF(D4800="?OLD","!!!","")</f>
        <v/>
      </c>
      <c r="F4800" s="23" t="str">
        <f>IF(OR(E4800="",E4800="!!!"),"",IF(NOT(ISNA(VLOOKUP(E4800,E$1:E4799,1,FALSE()))),"OLD",IF(AND(E4800&lt;&gt;"",E4800&lt;&gt;"!!!"),"NEW","")))</f>
        <v> </v>
      </c>
      <c r="G4800" s="24" t="str">
        <f>IF(OR(E4800="",E4800="!!!"),"",IF(OR(J4800=0,AND(J4800=1,K4800=1),AND(J4800=1,I4800="SBJ"),AND(J4800=1,I4800=0)),"?IN_FOCUS",IF(J4800&lt;=2,"?ACTIVATED",IF(J4800&lt;&gt;"","?FAMILIAR",IF(F4800="NEW",IF(ISNA(VLOOKUP(E4800,#REF!,1,FALSE())),"?TYPE_IDENTIFIABLE","?REFERENTIAL"),"_")))))</f>
        <v> </v>
      </c>
      <c r="H4800" s="25" t="str">
        <f>IF(J4800&lt;&gt;1,"",IF(I4800="SBJ","CB","?"))</f>
        <v> </v>
      </c>
      <c r="I4800" s="26" t="str">
        <f>IF(OR(E4800="",E4800="!!!",F4800="NEW"),"",INDEX(B4799:B$2,-1+SUMPRODUCT(MAX(ROW(E4799:E$2)*(E4800=E4799:E$2)))))</f>
        <v> </v>
      </c>
      <c r="J4800" s="26" t="str">
        <f>IF(OR(E4800="",E4800="!!!",F4800="NEW"),"",COUNTBLANK(OFFSET(A$1,,,SUMPRODUCT(MAX(ROW(E$2:E4800)*(E4800=E$2:E4800)))))-COUNTBLANK(OFFSET(A$1,,,SUMPRODUCT(MAX(ROW(E$1:E4799)*(E2=E$1:E4799))))))</f>
        <v> </v>
      </c>
      <c r="K4800" s="26" t="str">
        <f>IF(OR(E4800="",E4800="!!!",F4800="NEW"),"",INDEX(J$1:J4799,SUMPRODUCT(MAX(ROW(E$1:E4799)*(E4800=E$1:E4799)))))</f>
        <v> </v>
      </c>
      <c r="L4800" s="27"/>
    </row>
    <row r="4801" spans="1:12">
      <c r="A4801" s="20" t="s">
        <v>93</v>
      </c>
      <c r="E4801" s="22">
        <f>IF(D4801="?OLD","!!!","")</f>
        <v/>
      </c>
      <c r="F4801" s="23" t="str">
        <f>IF(OR(E4801="",E4801="!!!"),"",IF(NOT(ISNA(VLOOKUP(E4801,E$1:E4800,1,FALSE()))),"OLD",IF(AND(E4801&lt;&gt;"",E4801&lt;&gt;"!!!"),"NEW","")))</f>
        <v> </v>
      </c>
      <c r="G4801" s="24" t="str">
        <f>IF(OR(E4801="",E4801="!!!"),"",IF(OR(J4801=0,AND(J4801=1,K4801=1),AND(J4801=1,I4801="SBJ"),AND(J4801=1,I4801=0)),"?IN_FOCUS",IF(J4801&lt;=2,"?ACTIVATED",IF(J4801&lt;&gt;"","?FAMILIAR",IF(F4801="NEW",IF(ISNA(VLOOKUP(E4801,#REF!,1,FALSE())),"?TYPE_IDENTIFIABLE","?REFERENTIAL"),"_")))))</f>
        <v> </v>
      </c>
      <c r="H4801" s="25" t="str">
        <f>IF(J4801&lt;&gt;1,"",IF(I4801="SBJ","CB","?"))</f>
        <v> </v>
      </c>
      <c r="I4801" s="26" t="str">
        <f>IF(OR(E4801="",E4801="!!!",F4801="NEW"),"",INDEX(B4800:B$2,-1+SUMPRODUCT(MAX(ROW(E4800:E$2)*(E4801=E4800:E$2)))))</f>
        <v> </v>
      </c>
      <c r="J4801" s="26" t="str">
        <f>IF(OR(E4801="",E4801="!!!",F4801="NEW"),"",COUNTBLANK(OFFSET(A$1,,,SUMPRODUCT(MAX(ROW(E$2:E4801)*(E4801=E$2:E4801)))))-COUNTBLANK(OFFSET(A$1,,,SUMPRODUCT(MAX(ROW(E$1:E4800)*(E2=E$1:E4800))))))</f>
        <v> </v>
      </c>
      <c r="K4801" s="26" t="str">
        <f>IF(OR(E4801="",E4801="!!!",F4801="NEW"),"",INDEX(J$1:J4800,SUMPRODUCT(MAX(ROW(E$1:E4800)*(E4801=E$1:E4800)))))</f>
        <v> </v>
      </c>
      <c r="L4801" s="27"/>
    </row>
    <row r="4802" spans="1:12">
      <c r="A4802" s="20" t="s">
        <v>1189</v>
      </c>
      <c r="E4802" s="22">
        <f>IF(D4802="?OLD","!!!","")</f>
        <v/>
      </c>
      <c r="F4802" s="23" t="str">
        <f>IF(OR(E4802="",E4802="!!!"),"",IF(NOT(ISNA(VLOOKUP(E4802,E$1:E4801,1,FALSE()))),"OLD",IF(AND(E4802&lt;&gt;"",E4802&lt;&gt;"!!!"),"NEW","")))</f>
        <v> </v>
      </c>
      <c r="G4802" s="24" t="str">
        <f>IF(OR(E4802="",E4802="!!!"),"",IF(OR(J4802=0,AND(J4802=1,K4802=1),AND(J4802=1,I4802="SBJ"),AND(J4802=1,I4802=0)),"?IN_FOCUS",IF(J4802&lt;=2,"?ACTIVATED",IF(J4802&lt;&gt;"","?FAMILIAR",IF(F4802="NEW",IF(ISNA(VLOOKUP(E4802,#REF!,1,FALSE())),"?TYPE_IDENTIFIABLE","?REFERENTIAL"),"_")))))</f>
        <v> </v>
      </c>
      <c r="H4802" s="25" t="str">
        <f>IF(J4802&lt;&gt;1,"",IF(I4802="SBJ","CB","?"))</f>
        <v> </v>
      </c>
      <c r="I4802" s="26" t="str">
        <f>IF(OR(E4802="",E4802="!!!",F4802="NEW"),"",INDEX(B4801:B$2,-1+SUMPRODUCT(MAX(ROW(E4801:E$2)*(E4802=E4801:E$2)))))</f>
        <v> </v>
      </c>
      <c r="J4802" s="26" t="str">
        <f>IF(OR(E4802="",E4802="!!!",F4802="NEW"),"",COUNTBLANK(OFFSET(A$1,,,SUMPRODUCT(MAX(ROW(E$2:E4802)*(E4802=E$2:E4802)))))-COUNTBLANK(OFFSET(A$1,,,SUMPRODUCT(MAX(ROW(E$1:E4801)*(E2=E$1:E4801))))))</f>
        <v> </v>
      </c>
      <c r="K4802" s="26" t="str">
        <f>IF(OR(E4802="",E4802="!!!",F4802="NEW"),"",INDEX(J$1:J4801,SUMPRODUCT(MAX(ROW(E$1:E4801)*(E4802=E$1:E4801)))))</f>
        <v> </v>
      </c>
      <c r="L4802" s="27"/>
    </row>
    <row r="4803" spans="1:12">
      <c r="A4803" s="20" t="s">
        <v>1140</v>
      </c>
      <c r="B4803" s="21" t="s">
        <v>1066</v>
      </c>
      <c r="C4803" s="21" t="s">
        <v>1073</v>
      </c>
      <c r="D4803" s="21" t="s">
        <v>1007</v>
      </c>
      <c r="E4803" s="22">
        <f>IF(D4803="?OLD","!!!","")</f>
        <v/>
      </c>
      <c r="F4803" s="23" t="str">
        <f>IF(OR(E4803="",E4803="!!!"),"",IF(NOT(ISNA(VLOOKUP(E4803,E$1:E4802,1,FALSE()))),"OLD",IF(AND(E4803&lt;&gt;"",E4803&lt;&gt;"!!!"),"NEW","")))</f>
        <v> </v>
      </c>
      <c r="G4803" s="24" t="str">
        <f>IF(OR(E4803="",E4803="!!!"),"",IF(OR(J4803=0,AND(J4803=1,K4803=1),AND(J4803=1,I4803="SBJ"),AND(J4803=1,I4803=0)),"?IN_FOCUS",IF(J4803&lt;=2,"?ACTIVATED",IF(J4803&lt;&gt;"","?FAMILIAR",IF(F4803="NEW",IF(ISNA(VLOOKUP(E4803,#REF!,1,FALSE())),"?TYPE_IDENTIFIABLE","?REFERENTIAL"),"_")))))</f>
        <v> </v>
      </c>
      <c r="H4803" s="25" t="str">
        <f>IF(J4803&lt;&gt;1,"",IF(I4803="SBJ","CB","?"))</f>
        <v> </v>
      </c>
      <c r="I4803" s="26" t="str">
        <f>IF(OR(E4803="",E4803="!!!",F4803="NEW"),"",INDEX(B4802:B$2,-1+SUMPRODUCT(MAX(ROW(E4802:E$2)*(E4803=E4802:E$2)))))</f>
        <v> </v>
      </c>
      <c r="J4803" s="26" t="str">
        <f>IF(OR(E4803="",E4803="!!!",F4803="NEW"),"",COUNTBLANK(OFFSET(A$1,,,SUMPRODUCT(MAX(ROW(E$2:E4803)*(E4803=E$2:E4803)))))-COUNTBLANK(OFFSET(A$1,,,SUMPRODUCT(MAX(ROW(E$1:E4802)*(E2=E$1:E4802))))))</f>
        <v> </v>
      </c>
      <c r="K4803" s="26" t="str">
        <f>IF(OR(E4803="",E4803="!!!",F4803="NEW"),"",INDEX(J$1:J4802,SUMPRODUCT(MAX(ROW(E$1:E4802)*(E4803=E$1:E4802)))))</f>
        <v> </v>
      </c>
      <c r="L4803" s="27"/>
    </row>
    <row r="4804" spans="1:12">
      <c r="A4804" s="20" t="s">
        <v>1142</v>
      </c>
      <c r="E4804" s="22">
        <f>IF(D4804="?OLD","!!!","")</f>
        <v/>
      </c>
      <c r="F4804" s="23" t="str">
        <f>IF(OR(E4804="",E4804="!!!"),"",IF(NOT(ISNA(VLOOKUP(E4804,E$1:E4803,1,FALSE()))),"OLD",IF(AND(E4804&lt;&gt;"",E4804&lt;&gt;"!!!"),"NEW","")))</f>
        <v> </v>
      </c>
      <c r="G4804" s="24" t="str">
        <f>IF(OR(E4804="",E4804="!!!"),"",IF(OR(J4804=0,AND(J4804=1,K4804=1),AND(J4804=1,I4804="SBJ"),AND(J4804=1,I4804=0)),"?IN_FOCUS",IF(J4804&lt;=2,"?ACTIVATED",IF(J4804&lt;&gt;"","?FAMILIAR",IF(F4804="NEW",IF(ISNA(VLOOKUP(E4804,#REF!,1,FALSE())),"?TYPE_IDENTIFIABLE","?REFERENTIAL"),"_")))))</f>
        <v> </v>
      </c>
      <c r="H4804" s="25" t="str">
        <f>IF(J4804&lt;&gt;1,"",IF(I4804="SBJ","CB","?"))</f>
        <v> </v>
      </c>
      <c r="I4804" s="26" t="str">
        <f>IF(OR(E4804="",E4804="!!!",F4804="NEW"),"",INDEX(B4803:B$2,-1+SUMPRODUCT(MAX(ROW(E4803:E$2)*(E4804=E4803:E$2)))))</f>
        <v> </v>
      </c>
      <c r="J4804" s="26" t="str">
        <f>IF(OR(E4804="",E4804="!!!",F4804="NEW"),"",COUNTBLANK(OFFSET(A$1,,,SUMPRODUCT(MAX(ROW(E$2:E4804)*(E4804=E$2:E4804)))))-COUNTBLANK(OFFSET(A$1,,,SUMPRODUCT(MAX(ROW(E$1:E4803)*(E2=E$1:E4803))))))</f>
        <v> </v>
      </c>
      <c r="K4804" s="26" t="str">
        <f>IF(OR(E4804="",E4804="!!!",F4804="NEW"),"",INDEX(J$1:J4803,SUMPRODUCT(MAX(ROW(E$1:E4803)*(E4804=E$1:E4803)))))</f>
        <v> </v>
      </c>
      <c r="L4804" s="27"/>
    </row>
    <row r="4805" spans="1:12">
      <c r="A4805" s="20" t="s">
        <v>1075</v>
      </c>
      <c r="E4805" s="22">
        <f>IF(D4805="?OLD","!!!","")</f>
        <v/>
      </c>
      <c r="F4805" s="23" t="str">
        <f>IF(OR(E4805="",E4805="!!!"),"",IF(NOT(ISNA(VLOOKUP(E4805,E$1:E4804,1,FALSE()))),"OLD",IF(AND(E4805&lt;&gt;"",E4805&lt;&gt;"!!!"),"NEW","")))</f>
        <v> </v>
      </c>
      <c r="G4805" s="24" t="str">
        <f>IF(OR(E4805="",E4805="!!!"),"",IF(OR(J4805=0,AND(J4805=1,K4805=1),AND(J4805=1,I4805="SBJ"),AND(J4805=1,I4805=0)),"?IN_FOCUS",IF(J4805&lt;=2,"?ACTIVATED",IF(J4805&lt;&gt;"","?FAMILIAR",IF(F4805="NEW",IF(ISNA(VLOOKUP(E4805,#REF!,1,FALSE())),"?TYPE_IDENTIFIABLE","?REFERENTIAL"),"_")))))</f>
        <v> </v>
      </c>
      <c r="H4805" s="25" t="str">
        <f>IF(J4805&lt;&gt;1,"",IF(I4805="SBJ","CB","?"))</f>
        <v> </v>
      </c>
      <c r="I4805" s="26" t="str">
        <f>IF(OR(E4805="",E4805="!!!",F4805="NEW"),"",INDEX(B4804:B$2,-1+SUMPRODUCT(MAX(ROW(E4804:E$2)*(E4805=E4804:E$2)))))</f>
        <v> </v>
      </c>
      <c r="J4805" s="26" t="str">
        <f>IF(OR(E4805="",E4805="!!!",F4805="NEW"),"",COUNTBLANK(OFFSET(A$1,,,SUMPRODUCT(MAX(ROW(E$2:E4805)*(E4805=E$2:E4805)))))-COUNTBLANK(OFFSET(A$1,,,SUMPRODUCT(MAX(ROW(E$1:E4804)*(E2=E$1:E4804))))))</f>
        <v> </v>
      </c>
      <c r="K4805" s="26" t="str">
        <f>IF(OR(E4805="",E4805="!!!",F4805="NEW"),"",INDEX(J$1:J4804,SUMPRODUCT(MAX(ROW(E$1:E4804)*(E4805=E$1:E4804)))))</f>
        <v> </v>
      </c>
      <c r="L4805" s="27"/>
    </row>
    <row r="4806" spans="1:12">
      <c r="A4806" s="20" t="s">
        <v>1704</v>
      </c>
      <c r="E4806" s="22">
        <f>IF(D4806="?OLD","!!!","")</f>
        <v/>
      </c>
      <c r="F4806" s="23" t="str">
        <f>IF(OR(E4806="",E4806="!!!"),"",IF(NOT(ISNA(VLOOKUP(E4806,E$1:E4805,1,FALSE()))),"OLD",IF(AND(E4806&lt;&gt;"",E4806&lt;&gt;"!!!"),"NEW","")))</f>
        <v> </v>
      </c>
      <c r="G4806" s="24" t="str">
        <f>IF(OR(E4806="",E4806="!!!"),"",IF(OR(J4806=0,AND(J4806=1,K4806=1),AND(J4806=1,I4806="SBJ"),AND(J4806=1,I4806=0)),"?IN_FOCUS",IF(J4806&lt;=2,"?ACTIVATED",IF(J4806&lt;&gt;"","?FAMILIAR",IF(F4806="NEW",IF(ISNA(VLOOKUP(E4806,#REF!,1,FALSE())),"?TYPE_IDENTIFIABLE","?REFERENTIAL"),"_")))))</f>
        <v> </v>
      </c>
      <c r="H4806" s="25" t="str">
        <f>IF(J4806&lt;&gt;1,"",IF(I4806="SBJ","CB","?"))</f>
        <v> </v>
      </c>
      <c r="I4806" s="26" t="str">
        <f>IF(OR(E4806="",E4806="!!!",F4806="NEW"),"",INDEX(B4805:B$2,-1+SUMPRODUCT(MAX(ROW(E4805:E$2)*(E4806=E4805:E$2)))))</f>
        <v> </v>
      </c>
      <c r="J4806" s="26" t="str">
        <f>IF(OR(E4806="",E4806="!!!",F4806="NEW"),"",COUNTBLANK(OFFSET(A$1,,,SUMPRODUCT(MAX(ROW(E$2:E4806)*(E4806=E$2:E4806)))))-COUNTBLANK(OFFSET(A$1,,,SUMPRODUCT(MAX(ROW(E$1:E4805)*(E2=E$1:E4805))))))</f>
        <v> </v>
      </c>
      <c r="K4806" s="26" t="str">
        <f>IF(OR(E4806="",E4806="!!!",F4806="NEW"),"",INDEX(J$1:J4805,SUMPRODUCT(MAX(ROW(E$1:E4805)*(E4806=E$1:E4805)))))</f>
        <v> </v>
      </c>
      <c r="L4806" s="27"/>
    </row>
    <row r="4807" spans="1:12">
      <c r="A4807" s="20" t="s">
        <v>1189</v>
      </c>
      <c r="E4807" s="22">
        <f>IF(D4807="?OLD","!!!","")</f>
        <v/>
      </c>
      <c r="F4807" s="23" t="str">
        <f>IF(OR(E4807="",E4807="!!!"),"",IF(NOT(ISNA(VLOOKUP(E4807,E$1:E4806,1,FALSE()))),"OLD",IF(AND(E4807&lt;&gt;"",E4807&lt;&gt;"!!!"),"NEW","")))</f>
        <v> </v>
      </c>
      <c r="G4807" s="24" t="str">
        <f>IF(OR(E4807="",E4807="!!!"),"",IF(OR(J4807=0,AND(J4807=1,K4807=1),AND(J4807=1,I4807="SBJ"),AND(J4807=1,I4807=0)),"?IN_FOCUS",IF(J4807&lt;=2,"?ACTIVATED",IF(J4807&lt;&gt;"","?FAMILIAR",IF(F4807="NEW",IF(ISNA(VLOOKUP(E4807,#REF!,1,FALSE())),"?TYPE_IDENTIFIABLE","?REFERENTIAL"),"_")))))</f>
        <v> </v>
      </c>
      <c r="H4807" s="25" t="str">
        <f>IF(J4807&lt;&gt;1,"",IF(I4807="SBJ","CB","?"))</f>
        <v> </v>
      </c>
      <c r="I4807" s="26" t="str">
        <f>IF(OR(E4807="",E4807="!!!",F4807="NEW"),"",INDEX(B4806:B$2,-1+SUMPRODUCT(MAX(ROW(E4806:E$2)*(E4807=E4806:E$2)))))</f>
        <v> </v>
      </c>
      <c r="J4807" s="26" t="str">
        <f>IF(OR(E4807="",E4807="!!!",F4807="NEW"),"",COUNTBLANK(OFFSET(A$1,,,SUMPRODUCT(MAX(ROW(E$2:E4807)*(E4807=E$2:E4807)))))-COUNTBLANK(OFFSET(A$1,,,SUMPRODUCT(MAX(ROW(E$1:E4806)*(E2=E$1:E4806))))))</f>
        <v> </v>
      </c>
      <c r="K4807" s="26" t="str">
        <f>IF(OR(E4807="",E4807="!!!",F4807="NEW"),"",INDEX(J$1:J4806,SUMPRODUCT(MAX(ROW(E$1:E4806)*(E4807=E$1:E4806)))))</f>
        <v> </v>
      </c>
      <c r="L4807" s="27"/>
    </row>
    <row r="4808" spans="1:12">
      <c r="A4808" s="20" t="s">
        <v>1023</v>
      </c>
      <c r="E4808" s="22">
        <f>IF(D4808="?OLD","!!!","")</f>
        <v/>
      </c>
      <c r="F4808" s="23" t="str">
        <f>IF(OR(E4808="",E4808="!!!"),"",IF(NOT(ISNA(VLOOKUP(E4808,E$1:E4807,1,FALSE()))),"OLD",IF(AND(E4808&lt;&gt;"",E4808&lt;&gt;"!!!"),"NEW","")))</f>
        <v> </v>
      </c>
      <c r="G4808" s="24" t="str">
        <f>IF(OR(E4808="",E4808="!!!"),"",IF(OR(J4808=0,AND(J4808=1,K4808=1),AND(J4808=1,I4808="SBJ"),AND(J4808=1,I4808=0)),"?IN_FOCUS",IF(J4808&lt;=2,"?ACTIVATED",IF(J4808&lt;&gt;"","?FAMILIAR",IF(F4808="NEW",IF(ISNA(VLOOKUP(E4808,#REF!,1,FALSE())),"?TYPE_IDENTIFIABLE","?REFERENTIAL"),"_")))))</f>
        <v> </v>
      </c>
      <c r="H4808" s="25" t="str">
        <f>IF(J4808&lt;&gt;1,"",IF(I4808="SBJ","CB","?"))</f>
        <v> </v>
      </c>
      <c r="I4808" s="26" t="str">
        <f>IF(OR(E4808="",E4808="!!!",F4808="NEW"),"",INDEX(B4807:B$2,-1+SUMPRODUCT(MAX(ROW(E4807:E$2)*(E4808=E4807:E$2)))))</f>
        <v> </v>
      </c>
      <c r="J4808" s="26" t="str">
        <f>IF(OR(E4808="",E4808="!!!",F4808="NEW"),"",COUNTBLANK(OFFSET(A$1,,,SUMPRODUCT(MAX(ROW(E$2:E4808)*(E4808=E$2:E4808)))))-COUNTBLANK(OFFSET(A$1,,,SUMPRODUCT(MAX(ROW(E$1:E4807)*(E2=E$1:E4807))))))</f>
        <v> </v>
      </c>
      <c r="K4808" s="26" t="str">
        <f>IF(OR(E4808="",E4808="!!!",F4808="NEW"),"",INDEX(J$1:J4807,SUMPRODUCT(MAX(ROW(E$1:E4807)*(E4808=E$1:E4807)))))</f>
        <v> </v>
      </c>
      <c r="L4808" s="27"/>
    </row>
    <row r="4809" spans="1:12">
      <c r="A4809" s="20"/>
    </row>
    <row r="4810" spans="1:12">
      <c r="A4810" s="20" t="s">
        <v>2349</v>
      </c>
    </row>
    <row r="4811" spans="1:12">
      <c r="A4811" s="20" t="s">
        <v>1147</v>
      </c>
      <c r="E4811" s="22">
        <f>IF(D4811="?OLD","!!!","")</f>
        <v/>
      </c>
      <c r="F4811" s="23" t="str">
        <f>IF(OR(E4811="",E4811="!!!"),"",IF(NOT(ISNA(VLOOKUP(E4811,E$1:E4810,1,FALSE()))),"OLD",IF(AND(E4811&lt;&gt;"",E4811&lt;&gt;"!!!"),"NEW","")))</f>
        <v> </v>
      </c>
      <c r="G4811" s="24" t="str">
        <f>IF(OR(E4811="",E4811="!!!"),"",IF(OR(J4811=0,AND(J4811=1,K4811=1),AND(J4811=1,I4811="SBJ"),AND(J4811=1,I4811=0)),"?IN_FOCUS",IF(J4811&lt;=2,"?ACTIVATED",IF(J4811&lt;&gt;"","?FAMILIAR",IF(F4811="NEW",IF(ISNA(VLOOKUP(E4811,#REF!,1,FALSE())),"?TYPE_IDENTIFIABLE","?REFERENTIAL"),"_")))))</f>
        <v> </v>
      </c>
      <c r="H4811" s="25" t="str">
        <f>IF(J4811&lt;&gt;1,"",IF(I4811="SBJ","CB","?"))</f>
        <v> </v>
      </c>
      <c r="I4811" s="26" t="str">
        <f>IF(OR(E4811="",E4811="!!!",F4811="NEW"),"",INDEX(B4810:B$2,-1+SUMPRODUCT(MAX(ROW(E4810:E$2)*(E4811=E4810:E$2)))))</f>
        <v> </v>
      </c>
      <c r="J4811" s="26" t="str">
        <f>IF(OR(E4811="",E4811="!!!",F4811="NEW"),"",COUNTBLANK(OFFSET(A$1,,,SUMPRODUCT(MAX(ROW(E$2:E4811)*(E4811=E$2:E4811)))))-COUNTBLANK(OFFSET(A$1,,,SUMPRODUCT(MAX(ROW(E$1:E4810)*(E2=E$1:E4810))))))</f>
        <v> </v>
      </c>
      <c r="K4811" s="26" t="str">
        <f>IF(OR(E4811="",E4811="!!!",F4811="NEW"),"",INDEX(J$1:J4810,SUMPRODUCT(MAX(ROW(E$1:E4810)*(E4811=E$1:E4810)))))</f>
        <v> </v>
      </c>
      <c r="L4811" s="27"/>
    </row>
    <row r="4812" spans="1:12">
      <c r="A4812" s="20" t="s">
        <v>1145</v>
      </c>
      <c r="E4812" s="22">
        <f>IF(D4812="?OLD","!!!","")</f>
        <v/>
      </c>
      <c r="F4812" s="23" t="str">
        <f>IF(OR(E4812="",E4812="!!!"),"",IF(NOT(ISNA(VLOOKUP(E4812,E$1:E4811,1,FALSE()))),"OLD",IF(AND(E4812&lt;&gt;"",E4812&lt;&gt;"!!!"),"NEW","")))</f>
        <v> </v>
      </c>
      <c r="G4812" s="24" t="str">
        <f>IF(OR(E4812="",E4812="!!!"),"",IF(OR(J4812=0,AND(J4812=1,K4812=1),AND(J4812=1,I4812="SBJ"),AND(J4812=1,I4812=0)),"?IN_FOCUS",IF(J4812&lt;=2,"?ACTIVATED",IF(J4812&lt;&gt;"","?FAMILIAR",IF(F4812="NEW",IF(ISNA(VLOOKUP(E4812,#REF!,1,FALSE())),"?TYPE_IDENTIFIABLE","?REFERENTIAL"),"_")))))</f>
        <v> </v>
      </c>
      <c r="H4812" s="25" t="str">
        <f>IF(J4812&lt;&gt;1,"",IF(I4812="SBJ","CB","?"))</f>
        <v> </v>
      </c>
      <c r="I4812" s="26" t="str">
        <f>IF(OR(E4812="",E4812="!!!",F4812="NEW"),"",INDEX(B4811:B$2,-1+SUMPRODUCT(MAX(ROW(E4811:E$2)*(E4812=E4811:E$2)))))</f>
        <v> </v>
      </c>
      <c r="J4812" s="26" t="str">
        <f>IF(OR(E4812="",E4812="!!!",F4812="NEW"),"",COUNTBLANK(OFFSET(A$1,,,SUMPRODUCT(MAX(ROW(E$2:E4812)*(E4812=E$2:E4812)))))-COUNTBLANK(OFFSET(A$1,,,SUMPRODUCT(MAX(ROW(E$1:E4811)*(E2=E$1:E4811))))))</f>
        <v> </v>
      </c>
      <c r="K4812" s="26" t="str">
        <f>IF(OR(E4812="",E4812="!!!",F4812="NEW"),"",INDEX(J$1:J4811,SUMPRODUCT(MAX(ROW(E$1:E4811)*(E4812=E$1:E4811)))))</f>
        <v> </v>
      </c>
      <c r="L4812" s="27"/>
    </row>
    <row r="4813" spans="1:12">
      <c r="A4813" s="20" t="s">
        <v>2350</v>
      </c>
      <c r="E4813" s="22">
        <f>IF(D4813="?OLD","!!!","")</f>
        <v/>
      </c>
      <c r="F4813" s="23" t="str">
        <f>IF(OR(E4813="",E4813="!!!"),"",IF(NOT(ISNA(VLOOKUP(E4813,E$1:E4812,1,FALSE()))),"OLD",IF(AND(E4813&lt;&gt;"",E4813&lt;&gt;"!!!"),"NEW","")))</f>
        <v> </v>
      </c>
      <c r="G4813" s="24" t="str">
        <f>IF(OR(E4813="",E4813="!!!"),"",IF(OR(J4813=0,AND(J4813=1,K4813=1),AND(J4813=1,I4813="SBJ"),AND(J4813=1,I4813=0)),"?IN_FOCUS",IF(J4813&lt;=2,"?ACTIVATED",IF(J4813&lt;&gt;"","?FAMILIAR",IF(F4813="NEW",IF(ISNA(VLOOKUP(E4813,#REF!,1,FALSE())),"?TYPE_IDENTIFIABLE","?REFERENTIAL"),"_")))))</f>
        <v> </v>
      </c>
      <c r="H4813" s="25" t="str">
        <f>IF(J4813&lt;&gt;1,"",IF(I4813="SBJ","CB","?"))</f>
        <v> </v>
      </c>
      <c r="I4813" s="26" t="str">
        <f>IF(OR(E4813="",E4813="!!!",F4813="NEW"),"",INDEX(B4812:B$2,-1+SUMPRODUCT(MAX(ROW(E4812:E$2)*(E4813=E4812:E$2)))))</f>
        <v> </v>
      </c>
      <c r="J4813" s="26" t="str">
        <f>IF(OR(E4813="",E4813="!!!",F4813="NEW"),"",COUNTBLANK(OFFSET(A$1,,,SUMPRODUCT(MAX(ROW(E$2:E4813)*(E4813=E$2:E4813)))))-COUNTBLANK(OFFSET(A$1,,,SUMPRODUCT(MAX(ROW(E$1:E4812)*(E2=E$1:E4812))))))</f>
        <v> </v>
      </c>
      <c r="K4813" s="26" t="str">
        <f>IF(OR(E4813="",E4813="!!!",F4813="NEW"),"",INDEX(J$1:J4812,SUMPRODUCT(MAX(ROW(E$1:E4812)*(E4813=E$1:E4812)))))</f>
        <v> </v>
      </c>
      <c r="L4813" s="27"/>
    </row>
    <row r="4814" spans="1:12">
      <c r="A4814" s="20" t="s">
        <v>2351</v>
      </c>
      <c r="B4814" s="21" t="s">
        <v>1029</v>
      </c>
      <c r="C4814" s="21" t="s">
        <v>1048</v>
      </c>
      <c r="E4814" s="22">
        <f>IF(D4814="?OLD","!!!","")</f>
        <v/>
      </c>
      <c r="F4814" s="23" t="str">
        <f>IF(OR(E4814="",E4814="!!!"),"",IF(NOT(ISNA(VLOOKUP(E4814,E$1:E4813,1,FALSE()))),"OLD",IF(AND(E4814&lt;&gt;"",E4814&lt;&gt;"!!!"),"NEW","")))</f>
        <v> </v>
      </c>
      <c r="G4814" s="24" t="str">
        <f>IF(OR(E4814="",E4814="!!!"),"",IF(OR(J4814=0,AND(J4814=1,K4814=1),AND(J4814=1,I4814="SBJ"),AND(J4814=1,I4814=0)),"?IN_FOCUS",IF(J4814&lt;=2,"?ACTIVATED",IF(J4814&lt;&gt;"","?FAMILIAR",IF(F4814="NEW",IF(ISNA(VLOOKUP(E4814,#REF!,1,FALSE())),"?TYPE_IDENTIFIABLE","?REFERENTIAL"),"_")))))</f>
        <v> </v>
      </c>
      <c r="H4814" s="25" t="str">
        <f>IF(J4814&lt;&gt;1,"",IF(I4814="SBJ","CB","?"))</f>
        <v> </v>
      </c>
      <c r="I4814" s="26" t="str">
        <f>IF(OR(E4814="",E4814="!!!",F4814="NEW"),"",INDEX(B4813:B$2,-1+SUMPRODUCT(MAX(ROW(E4813:E$2)*(E4814=E4813:E$2)))))</f>
        <v> </v>
      </c>
      <c r="J4814" s="26" t="str">
        <f>IF(OR(E4814="",E4814="!!!",F4814="NEW"),"",COUNTBLANK(OFFSET(A$1,,,SUMPRODUCT(MAX(ROW(E$2:E4814)*(E4814=E$2:E4814)))))-COUNTBLANK(OFFSET(A$1,,,SUMPRODUCT(MAX(ROW(E$1:E4813)*(E2=E$1:E4813))))))</f>
        <v> </v>
      </c>
      <c r="K4814" s="26" t="str">
        <f>IF(OR(E4814="",E4814="!!!",F4814="NEW"),"",INDEX(J$1:J4813,SUMPRODUCT(MAX(ROW(E$1:E4813)*(E4814=E$1:E4813)))))</f>
        <v> </v>
      </c>
      <c r="L4814" s="27"/>
    </row>
    <row r="4815" spans="1:12">
      <c r="A4815" s="20" t="s">
        <v>1023</v>
      </c>
      <c r="E4815" s="22">
        <f>IF(D4815="?OLD","!!!","")</f>
        <v/>
      </c>
      <c r="F4815" s="23" t="str">
        <f>IF(OR(E4815="",E4815="!!!"),"",IF(NOT(ISNA(VLOOKUP(E4815,E$1:E4814,1,FALSE()))),"OLD",IF(AND(E4815&lt;&gt;"",E4815&lt;&gt;"!!!"),"NEW","")))</f>
        <v> </v>
      </c>
      <c r="G4815" s="24" t="str">
        <f>IF(OR(E4815="",E4815="!!!"),"",IF(OR(J4815=0,AND(J4815=1,K4815=1),AND(J4815=1,I4815="SBJ"),AND(J4815=1,I4815=0)),"?IN_FOCUS",IF(J4815&lt;=2,"?ACTIVATED",IF(J4815&lt;&gt;"","?FAMILIAR",IF(F4815="NEW",IF(ISNA(VLOOKUP(E4815,#REF!,1,FALSE())),"?TYPE_IDENTIFIABLE","?REFERENTIAL"),"_")))))</f>
        <v> </v>
      </c>
      <c r="H4815" s="25" t="str">
        <f>IF(J4815&lt;&gt;1,"",IF(I4815="SBJ","CB","?"))</f>
        <v> </v>
      </c>
      <c r="I4815" s="26" t="str">
        <f>IF(OR(E4815="",E4815="!!!",F4815="NEW"),"",INDEX(B4814:B$2,-1+SUMPRODUCT(MAX(ROW(E4814:E$2)*(E4815=E4814:E$2)))))</f>
        <v> </v>
      </c>
      <c r="J4815" s="26" t="str">
        <f>IF(OR(E4815="",E4815="!!!",F4815="NEW"),"",COUNTBLANK(OFFSET(A$1,,,SUMPRODUCT(MAX(ROW(E$2:E4815)*(E4815=E$2:E4815)))))-COUNTBLANK(OFFSET(A$1,,,SUMPRODUCT(MAX(ROW(E$1:E4814)*(E2=E$1:E4814))))))</f>
        <v> </v>
      </c>
      <c r="K4815" s="26" t="str">
        <f>IF(OR(E4815="",E4815="!!!",F4815="NEW"),"",INDEX(J$1:J4814,SUMPRODUCT(MAX(ROW(E$1:E4814)*(E4815=E$1:E4814)))))</f>
        <v> </v>
      </c>
      <c r="L4815" s="27"/>
    </row>
    <row r="4816" spans="1:12">
      <c r="A4816" s="20"/>
    </row>
    <row r="4817" spans="1:12">
      <c r="A4817" s="20" t="s">
        <v>2352</v>
      </c>
    </row>
    <row r="4818" spans="1:12">
      <c r="A4818" s="20" t="s">
        <v>1147</v>
      </c>
      <c r="E4818" s="22">
        <f>IF(D4818="?OLD","!!!","")</f>
        <v/>
      </c>
      <c r="F4818" s="23" t="str">
        <f>IF(OR(E4818="",E4818="!!!"),"",IF(NOT(ISNA(VLOOKUP(E4818,E$1:E4817,1,FALSE()))),"OLD",IF(AND(E4818&lt;&gt;"",E4818&lt;&gt;"!!!"),"NEW","")))</f>
        <v> </v>
      </c>
      <c r="G4818" s="24" t="str">
        <f>IF(OR(E4818="",E4818="!!!"),"",IF(OR(J4818=0,AND(J4818=1,K4818=1),AND(J4818=1,I4818="SBJ"),AND(J4818=1,I4818=0)),"?IN_FOCUS",IF(J4818&lt;=2,"?ACTIVATED",IF(J4818&lt;&gt;"","?FAMILIAR",IF(F4818="NEW",IF(ISNA(VLOOKUP(E4818,#REF!,1,FALSE())),"?TYPE_IDENTIFIABLE","?REFERENTIAL"),"_")))))</f>
        <v> </v>
      </c>
      <c r="H4818" s="25" t="str">
        <f>IF(J4818&lt;&gt;1,"",IF(I4818="SBJ","CB","?"))</f>
        <v> </v>
      </c>
      <c r="I4818" s="26" t="str">
        <f>IF(OR(E4818="",E4818="!!!",F4818="NEW"),"",INDEX(B4817:B$2,-1+SUMPRODUCT(MAX(ROW(E4817:E$2)*(E4818=E4817:E$2)))))</f>
        <v> </v>
      </c>
      <c r="J4818" s="26" t="str">
        <f>IF(OR(E4818="",E4818="!!!",F4818="NEW"),"",COUNTBLANK(OFFSET(A$1,,,SUMPRODUCT(MAX(ROW(E$2:E4818)*(E4818=E$2:E4818)))))-COUNTBLANK(OFFSET(A$1,,,SUMPRODUCT(MAX(ROW(E$1:E4817)*(E2=E$1:E4817))))))</f>
        <v> </v>
      </c>
      <c r="K4818" s="26" t="str">
        <f>IF(OR(E4818="",E4818="!!!",F4818="NEW"),"",INDEX(J$1:J4817,SUMPRODUCT(MAX(ROW(E$1:E4817)*(E4818=E$1:E4817)))))</f>
        <v> </v>
      </c>
      <c r="L4818" s="27"/>
    </row>
    <row r="4819" spans="1:12">
      <c r="A4819" s="20" t="s">
        <v>1145</v>
      </c>
      <c r="E4819" s="22">
        <f>IF(D4819="?OLD","!!!","")</f>
        <v/>
      </c>
      <c r="F4819" s="23" t="str">
        <f>IF(OR(E4819="",E4819="!!!"),"",IF(NOT(ISNA(VLOOKUP(E4819,E$1:E4818,1,FALSE()))),"OLD",IF(AND(E4819&lt;&gt;"",E4819&lt;&gt;"!!!"),"NEW","")))</f>
        <v> </v>
      </c>
      <c r="G4819" s="24" t="str">
        <f>IF(OR(E4819="",E4819="!!!"),"",IF(OR(J4819=0,AND(J4819=1,K4819=1),AND(J4819=1,I4819="SBJ"),AND(J4819=1,I4819=0)),"?IN_FOCUS",IF(J4819&lt;=2,"?ACTIVATED",IF(J4819&lt;&gt;"","?FAMILIAR",IF(F4819="NEW",IF(ISNA(VLOOKUP(E4819,#REF!,1,FALSE())),"?TYPE_IDENTIFIABLE","?REFERENTIAL"),"_")))))</f>
        <v> </v>
      </c>
      <c r="H4819" s="25" t="str">
        <f>IF(J4819&lt;&gt;1,"",IF(I4819="SBJ","CB","?"))</f>
        <v> </v>
      </c>
      <c r="I4819" s="26" t="str">
        <f>IF(OR(E4819="",E4819="!!!",F4819="NEW"),"",INDEX(B4818:B$2,-1+SUMPRODUCT(MAX(ROW(E4818:E$2)*(E4819=E4818:E$2)))))</f>
        <v> </v>
      </c>
      <c r="J4819" s="26" t="str">
        <f>IF(OR(E4819="",E4819="!!!",F4819="NEW"),"",COUNTBLANK(OFFSET(A$1,,,SUMPRODUCT(MAX(ROW(E$2:E4819)*(E4819=E$2:E4819)))))-COUNTBLANK(OFFSET(A$1,,,SUMPRODUCT(MAX(ROW(E$1:E4818)*(E2=E$1:E4818))))))</f>
        <v> </v>
      </c>
      <c r="K4819" s="26" t="str">
        <f>IF(OR(E4819="",E4819="!!!",F4819="NEW"),"",INDEX(J$1:J4818,SUMPRODUCT(MAX(ROW(E$1:E4818)*(E4819=E$1:E4818)))))</f>
        <v> </v>
      </c>
      <c r="L4819" s="27"/>
    </row>
    <row r="4820" spans="1:12">
      <c r="A4820" s="20" t="s">
        <v>2353</v>
      </c>
      <c r="E4820" s="22">
        <f>IF(D4820="?OLD","!!!","")</f>
        <v/>
      </c>
      <c r="F4820" s="23" t="str">
        <f>IF(OR(E4820="",E4820="!!!"),"",IF(NOT(ISNA(VLOOKUP(E4820,E$1:E4819,1,FALSE()))),"OLD",IF(AND(E4820&lt;&gt;"",E4820&lt;&gt;"!!!"),"NEW","")))</f>
        <v> </v>
      </c>
      <c r="G4820" s="24" t="str">
        <f>IF(OR(E4820="",E4820="!!!"),"",IF(OR(J4820=0,AND(J4820=1,K4820=1),AND(J4820=1,I4820="SBJ"),AND(J4820=1,I4820=0)),"?IN_FOCUS",IF(J4820&lt;=2,"?ACTIVATED",IF(J4820&lt;&gt;"","?FAMILIAR",IF(F4820="NEW",IF(ISNA(VLOOKUP(E4820,#REF!,1,FALSE())),"?TYPE_IDENTIFIABLE","?REFERENTIAL"),"_")))))</f>
        <v> </v>
      </c>
      <c r="H4820" s="25" t="str">
        <f>IF(J4820&lt;&gt;1,"",IF(I4820="SBJ","CB","?"))</f>
        <v> </v>
      </c>
      <c r="I4820" s="26" t="str">
        <f>IF(OR(E4820="",E4820="!!!",F4820="NEW"),"",INDEX(B4819:B$2,-1+SUMPRODUCT(MAX(ROW(E4819:E$2)*(E4820=E4819:E$2)))))</f>
        <v> </v>
      </c>
      <c r="J4820" s="26" t="str">
        <f>IF(OR(E4820="",E4820="!!!",F4820="NEW"),"",COUNTBLANK(OFFSET(A$1,,,SUMPRODUCT(MAX(ROW(E$2:E4820)*(E4820=E$2:E4820)))))-COUNTBLANK(OFFSET(A$1,,,SUMPRODUCT(MAX(ROW(E$1:E4819)*(E2=E$1:E4819))))))</f>
        <v> </v>
      </c>
      <c r="K4820" s="26" t="str">
        <f>IF(OR(E4820="",E4820="!!!",F4820="NEW"),"",INDEX(J$1:J4819,SUMPRODUCT(MAX(ROW(E$1:E4819)*(E4820=E$1:E4819)))))</f>
        <v> </v>
      </c>
      <c r="L4820" s="27"/>
    </row>
    <row r="4821" spans="1:12">
      <c r="A4821" s="20" t="s">
        <v>102</v>
      </c>
      <c r="E4821" s="22">
        <f>IF(D4821="?OLD","!!!","")</f>
        <v/>
      </c>
      <c r="F4821" s="23" t="str">
        <f>IF(OR(E4821="",E4821="!!!"),"",IF(NOT(ISNA(VLOOKUP(E4821,E$1:E4820,1,FALSE()))),"OLD",IF(AND(E4821&lt;&gt;"",E4821&lt;&gt;"!!!"),"NEW","")))</f>
        <v> </v>
      </c>
      <c r="G4821" s="24" t="str">
        <f>IF(OR(E4821="",E4821="!!!"),"",IF(OR(J4821=0,AND(J4821=1,K4821=1),AND(J4821=1,I4821="SBJ"),AND(J4821=1,I4821=0)),"?IN_FOCUS",IF(J4821&lt;=2,"?ACTIVATED",IF(J4821&lt;&gt;"","?FAMILIAR",IF(F4821="NEW",IF(ISNA(VLOOKUP(E4821,#REF!,1,FALSE())),"?TYPE_IDENTIFIABLE","?REFERENTIAL"),"_")))))</f>
        <v> </v>
      </c>
      <c r="H4821" s="25" t="str">
        <f>IF(J4821&lt;&gt;1,"",IF(I4821="SBJ","CB","?"))</f>
        <v> </v>
      </c>
      <c r="I4821" s="26" t="str">
        <f>IF(OR(E4821="",E4821="!!!",F4821="NEW"),"",INDEX(B4820:B$2,-1+SUMPRODUCT(MAX(ROW(E4820:E$2)*(E4821=E4820:E$2)))))</f>
        <v> </v>
      </c>
      <c r="J4821" s="26" t="str">
        <f>IF(OR(E4821="",E4821="!!!",F4821="NEW"),"",COUNTBLANK(OFFSET(A$1,,,SUMPRODUCT(MAX(ROW(E$2:E4821)*(E4821=E$2:E4821)))))-COUNTBLANK(OFFSET(A$1,,,SUMPRODUCT(MAX(ROW(E$1:E4820)*(E2=E$1:E4820))))))</f>
        <v> </v>
      </c>
      <c r="K4821" s="26" t="str">
        <f>IF(OR(E4821="",E4821="!!!",F4821="NEW"),"",INDEX(J$1:J4820,SUMPRODUCT(MAX(ROW(E$1:E4820)*(E4821=E$1:E4820)))))</f>
        <v> </v>
      </c>
      <c r="L4821" s="27"/>
    </row>
    <row r="4822" spans="1:12">
      <c r="A4822" s="20" t="s">
        <v>2354</v>
      </c>
      <c r="B4822" s="21" t="s">
        <v>1029</v>
      </c>
      <c r="C4822" s="21" t="s">
        <v>1017</v>
      </c>
      <c r="D4822" s="21" t="s">
        <v>1007</v>
      </c>
      <c r="E4822" s="22">
        <f>IF(D4822="?OLD","!!!","")</f>
        <v/>
      </c>
      <c r="F4822" s="23" t="str">
        <f>IF(OR(E4822="",E4822="!!!"),"",IF(NOT(ISNA(VLOOKUP(E4822,E$1:E4821,1,FALSE()))),"OLD",IF(AND(E4822&lt;&gt;"",E4822&lt;&gt;"!!!"),"NEW","")))</f>
        <v> </v>
      </c>
      <c r="G4822" s="24" t="str">
        <f>IF(OR(E4822="",E4822="!!!"),"",IF(OR(J4822=0,AND(J4822=1,K4822=1),AND(J4822=1,I4822="SBJ"),AND(J4822=1,I4822=0)),"?IN_FOCUS",IF(J4822&lt;=2,"?ACTIVATED",IF(J4822&lt;&gt;"","?FAMILIAR",IF(F4822="NEW",IF(ISNA(VLOOKUP(E4822,#REF!,1,FALSE())),"?TYPE_IDENTIFIABLE","?REFERENTIAL"),"_")))))</f>
        <v> </v>
      </c>
      <c r="H4822" s="25" t="str">
        <f>IF(J4822&lt;&gt;1,"",IF(I4822="SBJ","CB","?"))</f>
        <v> </v>
      </c>
      <c r="I4822" s="26" t="str">
        <f>IF(OR(E4822="",E4822="!!!",F4822="NEW"),"",INDEX(B4821:B$2,-1+SUMPRODUCT(MAX(ROW(E4821:E$2)*(E4822=E4821:E$2)))))</f>
        <v> </v>
      </c>
      <c r="J4822" s="26" t="str">
        <f>IF(OR(E4822="",E4822="!!!",F4822="NEW"),"",COUNTBLANK(OFFSET(A$1,,,SUMPRODUCT(MAX(ROW(E$2:E4822)*(E4822=E$2:E4822)))))-COUNTBLANK(OFFSET(A$1,,,SUMPRODUCT(MAX(ROW(E$1:E4821)*(E2=E$1:E4821))))))</f>
        <v> </v>
      </c>
      <c r="K4822" s="26" t="str">
        <f>IF(OR(E4822="",E4822="!!!",F4822="NEW"),"",INDEX(J$1:J4821,SUMPRODUCT(MAX(ROW(E$1:E4821)*(E4822=E$1:E4821)))))</f>
        <v> </v>
      </c>
      <c r="L4822" s="27"/>
    </row>
    <row r="4823" spans="1:12">
      <c r="A4823" s="20" t="s">
        <v>1023</v>
      </c>
      <c r="E4823" s="22">
        <f>IF(D4823="?OLD","!!!","")</f>
        <v/>
      </c>
      <c r="F4823" s="23" t="str">
        <f>IF(OR(E4823="",E4823="!!!"),"",IF(NOT(ISNA(VLOOKUP(E4823,E$1:E4822,1,FALSE()))),"OLD",IF(AND(E4823&lt;&gt;"",E4823&lt;&gt;"!!!"),"NEW","")))</f>
        <v> </v>
      </c>
      <c r="G4823" s="24" t="str">
        <f>IF(OR(E4823="",E4823="!!!"),"",IF(OR(J4823=0,AND(J4823=1,K4823=1),AND(J4823=1,I4823="SBJ"),AND(J4823=1,I4823=0)),"?IN_FOCUS",IF(J4823&lt;=2,"?ACTIVATED",IF(J4823&lt;&gt;"","?FAMILIAR",IF(F4823="NEW",IF(ISNA(VLOOKUP(E4823,#REF!,1,FALSE())),"?TYPE_IDENTIFIABLE","?REFERENTIAL"),"_")))))</f>
        <v> </v>
      </c>
      <c r="H4823" s="25" t="str">
        <f>IF(J4823&lt;&gt;1,"",IF(I4823="SBJ","CB","?"))</f>
        <v> </v>
      </c>
      <c r="I4823" s="26" t="str">
        <f>IF(OR(E4823="",E4823="!!!",F4823="NEW"),"",INDEX(B4822:B$2,-1+SUMPRODUCT(MAX(ROW(E4822:E$2)*(E4823=E4822:E$2)))))</f>
        <v> </v>
      </c>
      <c r="J4823" s="26" t="str">
        <f>IF(OR(E4823="",E4823="!!!",F4823="NEW"),"",COUNTBLANK(OFFSET(A$1,,,SUMPRODUCT(MAX(ROW(E$2:E4823)*(E4823=E$2:E4823)))))-COUNTBLANK(OFFSET(A$1,,,SUMPRODUCT(MAX(ROW(E$1:E4822)*(E2=E$1:E4822))))))</f>
        <v> </v>
      </c>
      <c r="K4823" s="26" t="str">
        <f>IF(OR(E4823="",E4823="!!!",F4823="NEW"),"",INDEX(J$1:J4822,SUMPRODUCT(MAX(ROW(E$1:E4822)*(E4823=E$1:E4822)))))</f>
        <v> </v>
      </c>
      <c r="L4823" s="27"/>
    </row>
    <row r="4824" spans="1:12">
      <c r="A4824" s="20"/>
    </row>
    <row r="4825" spans="1:12">
      <c r="A4825" s="20" t="s">
        <v>2355</v>
      </c>
    </row>
    <row r="4826" spans="1:12">
      <c r="A4826" s="20" t="s">
        <v>1175</v>
      </c>
      <c r="E4826" s="22">
        <f>IF(D4826="?OLD","!!!","")</f>
        <v/>
      </c>
      <c r="F4826" s="23" t="str">
        <f>IF(OR(E4826="",E4826="!!!"),"",IF(NOT(ISNA(VLOOKUP(E4826,E$1:E4825,1,FALSE()))),"OLD",IF(AND(E4826&lt;&gt;"",E4826&lt;&gt;"!!!"),"NEW","")))</f>
        <v> </v>
      </c>
      <c r="G4826" s="24" t="str">
        <f>IF(OR(E4826="",E4826="!!!"),"",IF(OR(J4826=0,AND(J4826=1,K4826=1),AND(J4826=1,I4826="SBJ"),AND(J4826=1,I4826=0)),"?IN_FOCUS",IF(J4826&lt;=2,"?ACTIVATED",IF(J4826&lt;&gt;"","?FAMILIAR",IF(F4826="NEW",IF(ISNA(VLOOKUP(E4826,#REF!,1,FALSE())),"?TYPE_IDENTIFIABLE","?REFERENTIAL"),"_")))))</f>
        <v> </v>
      </c>
      <c r="H4826" s="25" t="str">
        <f>IF(J4826&lt;&gt;1,"",IF(I4826="SBJ","CB","?"))</f>
        <v> </v>
      </c>
      <c r="I4826" s="26" t="str">
        <f>IF(OR(E4826="",E4826="!!!",F4826="NEW"),"",INDEX(B4825:B$2,-1+SUMPRODUCT(MAX(ROW(E4825:E$2)*(E4826=E4825:E$2)))))</f>
        <v> </v>
      </c>
      <c r="J4826" s="26" t="str">
        <f>IF(OR(E4826="",E4826="!!!",F4826="NEW"),"",COUNTBLANK(OFFSET(A$1,,,SUMPRODUCT(MAX(ROW(E$2:E4826)*(E4826=E$2:E4826)))))-COUNTBLANK(OFFSET(A$1,,,SUMPRODUCT(MAX(ROW(E$1:E4825)*(E2=E$1:E4825))))))</f>
        <v> </v>
      </c>
      <c r="K4826" s="26" t="str">
        <f>IF(OR(E4826="",E4826="!!!",F4826="NEW"),"",INDEX(J$1:J4825,SUMPRODUCT(MAX(ROW(E$1:E4825)*(E4826=E$1:E4825)))))</f>
        <v> </v>
      </c>
      <c r="L4826" s="27"/>
    </row>
    <row r="4827" spans="1:12">
      <c r="A4827" s="20" t="s">
        <v>1800</v>
      </c>
      <c r="B4827" s="21" t="s">
        <v>1085</v>
      </c>
      <c r="E4827" s="22">
        <f>IF(D4827="?OLD","!!!","")</f>
        <v/>
      </c>
      <c r="F4827" s="23" t="str">
        <f>IF(OR(E4827="",E4827="!!!"),"",IF(NOT(ISNA(VLOOKUP(E4827,E$1:E4826,1,FALSE()))),"OLD",IF(AND(E4827&lt;&gt;"",E4827&lt;&gt;"!!!"),"NEW","")))</f>
        <v> </v>
      </c>
      <c r="G4827" s="24" t="str">
        <f>IF(OR(E4827="",E4827="!!!"),"",IF(OR(J4827=0,AND(J4827=1,K4827=1),AND(J4827=1,I4827="SBJ"),AND(J4827=1,I4827=0)),"?IN_FOCUS",IF(J4827&lt;=2,"?ACTIVATED",IF(J4827&lt;&gt;"","?FAMILIAR",IF(F4827="NEW",IF(ISNA(VLOOKUP(E4827,#REF!,1,FALSE())),"?TYPE_IDENTIFIABLE","?REFERENTIAL"),"_")))))</f>
        <v> </v>
      </c>
      <c r="H4827" s="25" t="str">
        <f>IF(J4827&lt;&gt;1,"",IF(I4827="SBJ","CB","?"))</f>
        <v> </v>
      </c>
      <c r="I4827" s="26" t="str">
        <f>IF(OR(E4827="",E4827="!!!",F4827="NEW"),"",INDEX(B4826:B$2,-1+SUMPRODUCT(MAX(ROW(E4826:E$2)*(E4827=E4826:E$2)))))</f>
        <v> </v>
      </c>
      <c r="J4827" s="26" t="str">
        <f>IF(OR(E4827="",E4827="!!!",F4827="NEW"),"",COUNTBLANK(OFFSET(A$1,,,SUMPRODUCT(MAX(ROW(E$2:E4827)*(E4827=E$2:E4827)))))-COUNTBLANK(OFFSET(A$1,,,SUMPRODUCT(MAX(ROW(E$1:E4826)*(E2=E$1:E4826))))))</f>
        <v> </v>
      </c>
      <c r="K4827" s="26" t="str">
        <f>IF(OR(E4827="",E4827="!!!",F4827="NEW"),"",INDEX(J$1:J4826,SUMPRODUCT(MAX(ROW(E$1:E4826)*(E4827=E$1:E4826)))))</f>
        <v> </v>
      </c>
      <c r="L4827" s="27"/>
    </row>
    <row r="4828" spans="1:12">
      <c r="A4828" s="20" t="s">
        <v>102</v>
      </c>
      <c r="E4828" s="22">
        <f>IF(D4828="?OLD","!!!","")</f>
        <v/>
      </c>
      <c r="F4828" s="23" t="str">
        <f>IF(OR(E4828="",E4828="!!!"),"",IF(NOT(ISNA(VLOOKUP(E4828,E$1:E4827,1,FALSE()))),"OLD",IF(AND(E4828&lt;&gt;"",E4828&lt;&gt;"!!!"),"NEW","")))</f>
        <v> </v>
      </c>
      <c r="G4828" s="24" t="str">
        <f>IF(OR(E4828="",E4828="!!!"),"",IF(OR(J4828=0,AND(J4828=1,K4828=1),AND(J4828=1,I4828="SBJ"),AND(J4828=1,I4828=0)),"?IN_FOCUS",IF(J4828&lt;=2,"?ACTIVATED",IF(J4828&lt;&gt;"","?FAMILIAR",IF(F4828="NEW",IF(ISNA(VLOOKUP(E4828,#REF!,1,FALSE())),"?TYPE_IDENTIFIABLE","?REFERENTIAL"),"_")))))</f>
        <v> </v>
      </c>
      <c r="H4828" s="25" t="str">
        <f>IF(J4828&lt;&gt;1,"",IF(I4828="SBJ","CB","?"))</f>
        <v> </v>
      </c>
      <c r="I4828" s="26" t="str">
        <f>IF(OR(E4828="",E4828="!!!",F4828="NEW"),"",INDEX(B4827:B$2,-1+SUMPRODUCT(MAX(ROW(E4827:E$2)*(E4828=E4827:E$2)))))</f>
        <v> </v>
      </c>
      <c r="J4828" s="26" t="str">
        <f>IF(OR(E4828="",E4828="!!!",F4828="NEW"),"",COUNTBLANK(OFFSET(A$1,,,SUMPRODUCT(MAX(ROW(E$2:E4828)*(E4828=E$2:E4828)))))-COUNTBLANK(OFFSET(A$1,,,SUMPRODUCT(MAX(ROW(E$1:E4827)*(E2=E$1:E4827))))))</f>
        <v> </v>
      </c>
      <c r="K4828" s="26" t="str">
        <f>IF(OR(E4828="",E4828="!!!",F4828="NEW"),"",INDEX(J$1:J4827,SUMPRODUCT(MAX(ROW(E$1:E4827)*(E4828=E$1:E4827)))))</f>
        <v> </v>
      </c>
      <c r="L4828" s="27"/>
    </row>
    <row r="4829" spans="1:12">
      <c r="A4829" s="20" t="s">
        <v>1065</v>
      </c>
      <c r="B4829" s="21" t="s">
        <v>1022</v>
      </c>
      <c r="C4829" s="21" t="s">
        <v>1073</v>
      </c>
      <c r="D4829" s="21" t="s">
        <v>1007</v>
      </c>
      <c r="E4829" s="22">
        <f>IF(D4829="?OLD","!!!","")</f>
        <v/>
      </c>
      <c r="F4829" s="23" t="str">
        <f>IF(OR(E4829="",E4829="!!!"),"",IF(NOT(ISNA(VLOOKUP(E4829,E$1:E4828,1,FALSE()))),"OLD",IF(AND(E4829&lt;&gt;"",E4829&lt;&gt;"!!!"),"NEW","")))</f>
        <v> </v>
      </c>
      <c r="G4829" s="24" t="str">
        <f>IF(OR(E4829="",E4829="!!!"),"",IF(OR(J4829=0,AND(J4829=1,K4829=1),AND(J4829=1,I4829="SBJ"),AND(J4829=1,I4829=0)),"?IN_FOCUS",IF(J4829&lt;=2,"?ACTIVATED",IF(J4829&lt;&gt;"","?FAMILIAR",IF(F4829="NEW",IF(ISNA(VLOOKUP(E4829,#REF!,1,FALSE())),"?TYPE_IDENTIFIABLE","?REFERENTIAL"),"_")))))</f>
        <v> </v>
      </c>
      <c r="H4829" s="25" t="str">
        <f>IF(J4829&lt;&gt;1,"",IF(I4829="SBJ","CB","?"))</f>
        <v> </v>
      </c>
      <c r="I4829" s="26" t="str">
        <f>IF(OR(E4829="",E4829="!!!",F4829="NEW"),"",INDEX(B4828:B$2,-1+SUMPRODUCT(MAX(ROW(E4828:E$2)*(E4829=E4828:E$2)))))</f>
        <v> </v>
      </c>
      <c r="J4829" s="26" t="str">
        <f>IF(OR(E4829="",E4829="!!!",F4829="NEW"),"",COUNTBLANK(OFFSET(A$1,,,SUMPRODUCT(MAX(ROW(E$2:E4829)*(E4829=E$2:E4829)))))-COUNTBLANK(OFFSET(A$1,,,SUMPRODUCT(MAX(ROW(E$1:E4828)*(E2=E$1:E4828))))))</f>
        <v> </v>
      </c>
      <c r="K4829" s="26" t="str">
        <f>IF(OR(E4829="",E4829="!!!",F4829="NEW"),"",INDEX(J$1:J4828,SUMPRODUCT(MAX(ROW(E$1:E4828)*(E4829=E$1:E4828)))))</f>
        <v> </v>
      </c>
      <c r="L4829" s="27"/>
    </row>
    <row r="4830" spans="1:12">
      <c r="A4830" s="20" t="s">
        <v>1138</v>
      </c>
      <c r="B4830" s="21" t="s">
        <v>1050</v>
      </c>
      <c r="C4830" s="21" t="s">
        <v>1082</v>
      </c>
      <c r="D4830" s="21" t="s">
        <v>1007</v>
      </c>
      <c r="E4830" s="22">
        <f>IF(D4830="?OLD","!!!","")</f>
        <v/>
      </c>
      <c r="F4830" s="23" t="str">
        <f>IF(OR(E4830="",E4830="!!!"),"",IF(NOT(ISNA(VLOOKUP(E4830,E$1:E4829,1,FALSE()))),"OLD",IF(AND(E4830&lt;&gt;"",E4830&lt;&gt;"!!!"),"NEW","")))</f>
        <v> </v>
      </c>
      <c r="G4830" s="24" t="str">
        <f>IF(OR(E4830="",E4830="!!!"),"",IF(OR(J4830=0,AND(J4830=1,K4830=1),AND(J4830=1,I4830="SBJ"),AND(J4830=1,I4830=0)),"?IN_FOCUS",IF(J4830&lt;=2,"?ACTIVATED",IF(J4830&lt;&gt;"","?FAMILIAR",IF(F4830="NEW",IF(ISNA(VLOOKUP(E4830,#REF!,1,FALSE())),"?TYPE_IDENTIFIABLE","?REFERENTIAL"),"_")))))</f>
        <v> </v>
      </c>
      <c r="H4830" s="25" t="str">
        <f>IF(J4830&lt;&gt;1,"",IF(I4830="SBJ","CB","?"))</f>
        <v> </v>
      </c>
      <c r="I4830" s="26" t="str">
        <f>IF(OR(E4830="",E4830="!!!",F4830="NEW"),"",INDEX(B4829:B$2,-1+SUMPRODUCT(MAX(ROW(E4829:E$2)*(E4830=E4829:E$2)))))</f>
        <v> </v>
      </c>
      <c r="J4830" s="26" t="str">
        <f>IF(OR(E4830="",E4830="!!!",F4830="NEW"),"",COUNTBLANK(OFFSET(A$1,,,SUMPRODUCT(MAX(ROW(E$2:E4830)*(E4830=E$2:E4830)))))-COUNTBLANK(OFFSET(A$1,,,SUMPRODUCT(MAX(ROW(E$1:E4829)*(E2=E$1:E4829))))))</f>
        <v> </v>
      </c>
      <c r="K4830" s="26" t="str">
        <f>IF(OR(E4830="",E4830="!!!",F4830="NEW"),"",INDEX(J$1:J4829,SUMPRODUCT(MAX(ROW(E$1:E4829)*(E4830=E$1:E4829)))))</f>
        <v> </v>
      </c>
      <c r="L4830" s="27"/>
    </row>
    <row r="4831" spans="1:12">
      <c r="A4831" s="20" t="s">
        <v>149</v>
      </c>
      <c r="E4831" s="22">
        <f>IF(D4831="?OLD","!!!","")</f>
        <v/>
      </c>
      <c r="F4831" s="23" t="str">
        <f>IF(OR(E4831="",E4831="!!!"),"",IF(NOT(ISNA(VLOOKUP(E4831,E$1:E4830,1,FALSE()))),"OLD",IF(AND(E4831&lt;&gt;"",E4831&lt;&gt;"!!!"),"NEW","")))</f>
        <v> </v>
      </c>
      <c r="G4831" s="24" t="str">
        <f>IF(OR(E4831="",E4831="!!!"),"",IF(OR(J4831=0,AND(J4831=1,K4831=1),AND(J4831=1,I4831="SBJ"),AND(J4831=1,I4831=0)),"?IN_FOCUS",IF(J4831&lt;=2,"?ACTIVATED",IF(J4831&lt;&gt;"","?FAMILIAR",IF(F4831="NEW",IF(ISNA(VLOOKUP(E4831,#REF!,1,FALSE())),"?TYPE_IDENTIFIABLE","?REFERENTIAL"),"_")))))</f>
        <v> </v>
      </c>
      <c r="H4831" s="25" t="str">
        <f>IF(J4831&lt;&gt;1,"",IF(I4831="SBJ","CB","?"))</f>
        <v> </v>
      </c>
      <c r="I4831" s="26" t="str">
        <f>IF(OR(E4831="",E4831="!!!",F4831="NEW"),"",INDEX(B4830:B$2,-1+SUMPRODUCT(MAX(ROW(E4830:E$2)*(E4831=E4830:E$2)))))</f>
        <v> </v>
      </c>
      <c r="J4831" s="26" t="str">
        <f>IF(OR(E4831="",E4831="!!!",F4831="NEW"),"",COUNTBLANK(OFFSET(A$1,,,SUMPRODUCT(MAX(ROW(E$2:E4831)*(E4831=E$2:E4831)))))-COUNTBLANK(OFFSET(A$1,,,SUMPRODUCT(MAX(ROW(E$1:E4830)*(E2=E$1:E4830))))))</f>
        <v> </v>
      </c>
      <c r="K4831" s="26" t="str">
        <f>IF(OR(E4831="",E4831="!!!",F4831="NEW"),"",INDEX(J$1:J4830,SUMPRODUCT(MAX(ROW(E$1:E4830)*(E4831=E$1:E4830)))))</f>
        <v> </v>
      </c>
      <c r="L4831" s="27"/>
    </row>
    <row r="4832" spans="1:12">
      <c r="A4832" s="20" t="s">
        <v>110</v>
      </c>
      <c r="E4832" s="22">
        <f>IF(D4832="?OLD","!!!","")</f>
        <v/>
      </c>
      <c r="F4832" s="23" t="str">
        <f>IF(OR(E4832="",E4832="!!!"),"",IF(NOT(ISNA(VLOOKUP(E4832,E$1:E4831,1,FALSE()))),"OLD",IF(AND(E4832&lt;&gt;"",E4832&lt;&gt;"!!!"),"NEW","")))</f>
        <v> </v>
      </c>
      <c r="G4832" s="24" t="str">
        <f>IF(OR(E4832="",E4832="!!!"),"",IF(OR(J4832=0,AND(J4832=1,K4832=1),AND(J4832=1,I4832="SBJ"),AND(J4832=1,I4832=0)),"?IN_FOCUS",IF(J4832&lt;=2,"?ACTIVATED",IF(J4832&lt;&gt;"","?FAMILIAR",IF(F4832="NEW",IF(ISNA(VLOOKUP(E4832,#REF!,1,FALSE())),"?TYPE_IDENTIFIABLE","?REFERENTIAL"),"_")))))</f>
        <v> </v>
      </c>
      <c r="H4832" s="25" t="str">
        <f>IF(J4832&lt;&gt;1,"",IF(I4832="SBJ","CB","?"))</f>
        <v> </v>
      </c>
      <c r="I4832" s="26" t="str">
        <f>IF(OR(E4832="",E4832="!!!",F4832="NEW"),"",INDEX(B4831:B$2,-1+SUMPRODUCT(MAX(ROW(E4831:E$2)*(E4832=E4831:E$2)))))</f>
        <v> </v>
      </c>
      <c r="J4832" s="26" t="str">
        <f>IF(OR(E4832="",E4832="!!!",F4832="NEW"),"",COUNTBLANK(OFFSET(A$1,,,SUMPRODUCT(MAX(ROW(E$2:E4832)*(E4832=E$2:E4832)))))-COUNTBLANK(OFFSET(A$1,,,SUMPRODUCT(MAX(ROW(E$1:E4831)*(E2=E$1:E4831))))))</f>
        <v> </v>
      </c>
      <c r="K4832" s="26" t="str">
        <f>IF(OR(E4832="",E4832="!!!",F4832="NEW"),"",INDEX(J$1:J4831,SUMPRODUCT(MAX(ROW(E$1:E4831)*(E4832=E$1:E4831)))))</f>
        <v> </v>
      </c>
      <c r="L4832" s="27"/>
    </row>
    <row r="4833" spans="1:12">
      <c r="A4833" s="20" t="s">
        <v>1097</v>
      </c>
      <c r="E4833" s="22">
        <f>IF(D4833="?OLD","!!!","")</f>
        <v/>
      </c>
      <c r="F4833" s="23" t="str">
        <f>IF(OR(E4833="",E4833="!!!"),"",IF(NOT(ISNA(VLOOKUP(E4833,E$1:E4832,1,FALSE()))),"OLD",IF(AND(E4833&lt;&gt;"",E4833&lt;&gt;"!!!"),"NEW","")))</f>
        <v> </v>
      </c>
      <c r="G4833" s="24" t="str">
        <f>IF(OR(E4833="",E4833="!!!"),"",IF(OR(J4833=0,AND(J4833=1,K4833=1),AND(J4833=1,I4833="SBJ"),AND(J4833=1,I4833=0)),"?IN_FOCUS",IF(J4833&lt;=2,"?ACTIVATED",IF(J4833&lt;&gt;"","?FAMILIAR",IF(F4833="NEW",IF(ISNA(VLOOKUP(E4833,#REF!,1,FALSE())),"?TYPE_IDENTIFIABLE","?REFERENTIAL"),"_")))))</f>
        <v> </v>
      </c>
      <c r="H4833" s="25" t="str">
        <f>IF(J4833&lt;&gt;1,"",IF(I4833="SBJ","CB","?"))</f>
        <v> </v>
      </c>
      <c r="I4833" s="26" t="str">
        <f>IF(OR(E4833="",E4833="!!!",F4833="NEW"),"",INDEX(B4832:B$2,-1+SUMPRODUCT(MAX(ROW(E4832:E$2)*(E4833=E4832:E$2)))))</f>
        <v> </v>
      </c>
      <c r="J4833" s="26" t="str">
        <f>IF(OR(E4833="",E4833="!!!",F4833="NEW"),"",COUNTBLANK(OFFSET(A$1,,,SUMPRODUCT(MAX(ROW(E$2:E4833)*(E4833=E$2:E4833)))))-COUNTBLANK(OFFSET(A$1,,,SUMPRODUCT(MAX(ROW(E$1:E4832)*(E2=E$1:E4832))))))</f>
        <v> </v>
      </c>
      <c r="K4833" s="26" t="str">
        <f>IF(OR(E4833="",E4833="!!!",F4833="NEW"),"",INDEX(J$1:J4832,SUMPRODUCT(MAX(ROW(E$1:E4832)*(E4833=E$1:E4832)))))</f>
        <v> </v>
      </c>
      <c r="L4833" s="27"/>
    </row>
    <row r="4834" spans="1:12">
      <c r="A4834" s="20" t="s">
        <v>1969</v>
      </c>
      <c r="E4834" s="22">
        <f>IF(D4834="?OLD","!!!","")</f>
        <v/>
      </c>
      <c r="F4834" s="23" t="str">
        <f>IF(OR(E4834="",E4834="!!!"),"",IF(NOT(ISNA(VLOOKUP(E4834,E$1:E4833,1,FALSE()))),"OLD",IF(AND(E4834&lt;&gt;"",E4834&lt;&gt;"!!!"),"NEW","")))</f>
        <v> </v>
      </c>
      <c r="G4834" s="24" t="str">
        <f>IF(OR(E4834="",E4834="!!!"),"",IF(OR(J4834=0,AND(J4834=1,K4834=1),AND(J4834=1,I4834="SBJ"),AND(J4834=1,I4834=0)),"?IN_FOCUS",IF(J4834&lt;=2,"?ACTIVATED",IF(J4834&lt;&gt;"","?FAMILIAR",IF(F4834="NEW",IF(ISNA(VLOOKUP(E4834,#REF!,1,FALSE())),"?TYPE_IDENTIFIABLE","?REFERENTIAL"),"_")))))</f>
        <v> </v>
      </c>
      <c r="H4834" s="25" t="str">
        <f>IF(J4834&lt;&gt;1,"",IF(I4834="SBJ","CB","?"))</f>
        <v> </v>
      </c>
      <c r="I4834" s="26" t="str">
        <f>IF(OR(E4834="",E4834="!!!",F4834="NEW"),"",INDEX(B4833:B$2,-1+SUMPRODUCT(MAX(ROW(E4833:E$2)*(E4834=E4833:E$2)))))</f>
        <v> </v>
      </c>
      <c r="J4834" s="26" t="str">
        <f>IF(OR(E4834="",E4834="!!!",F4834="NEW"),"",COUNTBLANK(OFFSET(A$1,,,SUMPRODUCT(MAX(ROW(E$2:E4834)*(E4834=E$2:E4834)))))-COUNTBLANK(OFFSET(A$1,,,SUMPRODUCT(MAX(ROW(E$1:E4833)*(E2=E$1:E4833))))))</f>
        <v> </v>
      </c>
      <c r="K4834" s="26" t="str">
        <f>IF(OR(E4834="",E4834="!!!",F4834="NEW"),"",INDEX(J$1:J4833,SUMPRODUCT(MAX(ROW(E$1:E4833)*(E4834=E$1:E4833)))))</f>
        <v> </v>
      </c>
      <c r="L4834" s="27"/>
    </row>
    <row r="4835" spans="1:12">
      <c r="A4835" s="20" t="s">
        <v>1182</v>
      </c>
      <c r="E4835" s="22">
        <f>IF(D4835="?OLD","!!!","")</f>
        <v/>
      </c>
      <c r="F4835" s="23" t="str">
        <f>IF(OR(E4835="",E4835="!!!"),"",IF(NOT(ISNA(VLOOKUP(E4835,E$1:E4834,1,FALSE()))),"OLD",IF(AND(E4835&lt;&gt;"",E4835&lt;&gt;"!!!"),"NEW","")))</f>
        <v> </v>
      </c>
      <c r="G4835" s="24" t="str">
        <f>IF(OR(E4835="",E4835="!!!"),"",IF(OR(J4835=0,AND(J4835=1,K4835=1),AND(J4835=1,I4835="SBJ"),AND(J4835=1,I4835=0)),"?IN_FOCUS",IF(J4835&lt;=2,"?ACTIVATED",IF(J4835&lt;&gt;"","?FAMILIAR",IF(F4835="NEW",IF(ISNA(VLOOKUP(E4835,#REF!,1,FALSE())),"?TYPE_IDENTIFIABLE","?REFERENTIAL"),"_")))))</f>
        <v> </v>
      </c>
      <c r="H4835" s="25" t="str">
        <f>IF(J4835&lt;&gt;1,"",IF(I4835="SBJ","CB","?"))</f>
        <v> </v>
      </c>
      <c r="I4835" s="26" t="str">
        <f>IF(OR(E4835="",E4835="!!!",F4835="NEW"),"",INDEX(B4834:B$2,-1+SUMPRODUCT(MAX(ROW(E4834:E$2)*(E4835=E4834:E$2)))))</f>
        <v> </v>
      </c>
      <c r="J4835" s="26" t="str">
        <f>IF(OR(E4835="",E4835="!!!",F4835="NEW"),"",COUNTBLANK(OFFSET(A$1,,,SUMPRODUCT(MAX(ROW(E$2:E4835)*(E4835=E$2:E4835)))))-COUNTBLANK(OFFSET(A$1,,,SUMPRODUCT(MAX(ROW(E$1:E4834)*(E2=E$1:E4834))))))</f>
        <v> </v>
      </c>
      <c r="K4835" s="26" t="str">
        <f>IF(OR(E4835="",E4835="!!!",F4835="NEW"),"",INDEX(J$1:J4834,SUMPRODUCT(MAX(ROW(E$1:E4834)*(E4835=E$1:E4834)))))</f>
        <v> </v>
      </c>
      <c r="L4835" s="27"/>
    </row>
    <row r="4836" spans="1:12">
      <c r="A4836" s="20" t="s">
        <v>1140</v>
      </c>
      <c r="B4836" s="21" t="s">
        <v>1064</v>
      </c>
      <c r="C4836" s="21" t="s">
        <v>1073</v>
      </c>
      <c r="D4836" s="21" t="s">
        <v>1007</v>
      </c>
      <c r="E4836" s="22">
        <f>IF(D4836="?OLD","!!!","")</f>
        <v/>
      </c>
      <c r="F4836" s="23" t="str">
        <f>IF(OR(E4836="",E4836="!!!"),"",IF(NOT(ISNA(VLOOKUP(E4836,E$1:E4835,1,FALSE()))),"OLD",IF(AND(E4836&lt;&gt;"",E4836&lt;&gt;"!!!"),"NEW","")))</f>
        <v> </v>
      </c>
      <c r="G4836" s="24" t="str">
        <f>IF(OR(E4836="",E4836="!!!"),"",IF(OR(J4836=0,AND(J4836=1,K4836=1),AND(J4836=1,I4836="SBJ"),AND(J4836=1,I4836=0)),"?IN_FOCUS",IF(J4836&lt;=2,"?ACTIVATED",IF(J4836&lt;&gt;"","?FAMILIAR",IF(F4836="NEW",IF(ISNA(VLOOKUP(E4836,#REF!,1,FALSE())),"?TYPE_IDENTIFIABLE","?REFERENTIAL"),"_")))))</f>
        <v> </v>
      </c>
      <c r="H4836" s="25" t="str">
        <f>IF(J4836&lt;&gt;1,"",IF(I4836="SBJ","CB","?"))</f>
        <v> </v>
      </c>
      <c r="I4836" s="26" t="str">
        <f>IF(OR(E4836="",E4836="!!!",F4836="NEW"),"",INDEX(B4835:B$2,-1+SUMPRODUCT(MAX(ROW(E4835:E$2)*(E4836=E4835:E$2)))))</f>
        <v> </v>
      </c>
      <c r="J4836" s="26" t="str">
        <f>IF(OR(E4836="",E4836="!!!",F4836="NEW"),"",COUNTBLANK(OFFSET(A$1,,,SUMPRODUCT(MAX(ROW(E$2:E4836)*(E4836=E$2:E4836)))))-COUNTBLANK(OFFSET(A$1,,,SUMPRODUCT(MAX(ROW(E$1:E4835)*(E2=E$1:E4835))))))</f>
        <v> </v>
      </c>
      <c r="K4836" s="26" t="str">
        <f>IF(OR(E4836="",E4836="!!!",F4836="NEW"),"",INDEX(J$1:J4835,SUMPRODUCT(MAX(ROW(E$1:E4835)*(E4836=E$1:E4835)))))</f>
        <v> </v>
      </c>
      <c r="L4836" s="27"/>
    </row>
    <row r="4837" spans="1:12">
      <c r="A4837" s="20" t="s">
        <v>1018</v>
      </c>
      <c r="E4837" s="22">
        <f>IF(D4837="?OLD","!!!","")</f>
        <v/>
      </c>
      <c r="F4837" s="23" t="str">
        <f>IF(OR(E4837="",E4837="!!!"),"",IF(NOT(ISNA(VLOOKUP(E4837,E$1:E4836,1,FALSE()))),"OLD",IF(AND(E4837&lt;&gt;"",E4837&lt;&gt;"!!!"),"NEW","")))</f>
        <v> </v>
      </c>
      <c r="G4837" s="24" t="str">
        <f>IF(OR(E4837="",E4837="!!!"),"",IF(OR(J4837=0,AND(J4837=1,K4837=1),AND(J4837=1,I4837="SBJ"),AND(J4837=1,I4837=0)),"?IN_FOCUS",IF(J4837&lt;=2,"?ACTIVATED",IF(J4837&lt;&gt;"","?FAMILIAR",IF(F4837="NEW",IF(ISNA(VLOOKUP(E4837,#REF!,1,FALSE())),"?TYPE_IDENTIFIABLE","?REFERENTIAL"),"_")))))</f>
        <v> </v>
      </c>
      <c r="H4837" s="25" t="str">
        <f>IF(J4837&lt;&gt;1,"",IF(I4837="SBJ","CB","?"))</f>
        <v> </v>
      </c>
      <c r="I4837" s="26" t="str">
        <f>IF(OR(E4837="",E4837="!!!",F4837="NEW"),"",INDEX(B4836:B$2,-1+SUMPRODUCT(MAX(ROW(E4836:E$2)*(E4837=E4836:E$2)))))</f>
        <v> </v>
      </c>
      <c r="J4837" s="26" t="str">
        <f>IF(OR(E4837="",E4837="!!!",F4837="NEW"),"",COUNTBLANK(OFFSET(A$1,,,SUMPRODUCT(MAX(ROW(E$2:E4837)*(E4837=E$2:E4837)))))-COUNTBLANK(OFFSET(A$1,,,SUMPRODUCT(MAX(ROW(E$1:E4836)*(E2=E$1:E4836))))))</f>
        <v> </v>
      </c>
      <c r="K4837" s="26" t="str">
        <f>IF(OR(E4837="",E4837="!!!",F4837="NEW"),"",INDEX(J$1:J4836,SUMPRODUCT(MAX(ROW(E$1:E4836)*(E4837=E$1:E4836)))))</f>
        <v> </v>
      </c>
      <c r="L4837" s="27"/>
    </row>
    <row r="4838" spans="1:12">
      <c r="A4838" s="20" t="s">
        <v>2356</v>
      </c>
      <c r="E4838" s="22">
        <f>IF(D4838="?OLD","!!!","")</f>
        <v/>
      </c>
      <c r="F4838" s="23" t="str">
        <f>IF(OR(E4838="",E4838="!!!"),"",IF(NOT(ISNA(VLOOKUP(E4838,E$1:E4837,1,FALSE()))),"OLD",IF(AND(E4838&lt;&gt;"",E4838&lt;&gt;"!!!"),"NEW","")))</f>
        <v> </v>
      </c>
      <c r="G4838" s="24" t="str">
        <f>IF(OR(E4838="",E4838="!!!"),"",IF(OR(J4838=0,AND(J4838=1,K4838=1),AND(J4838=1,I4838="SBJ"),AND(J4838=1,I4838=0)),"?IN_FOCUS",IF(J4838&lt;=2,"?ACTIVATED",IF(J4838&lt;&gt;"","?FAMILIAR",IF(F4838="NEW",IF(ISNA(VLOOKUP(E4838,#REF!,1,FALSE())),"?TYPE_IDENTIFIABLE","?REFERENTIAL"),"_")))))</f>
        <v> </v>
      </c>
      <c r="H4838" s="25" t="str">
        <f>IF(J4838&lt;&gt;1,"",IF(I4838="SBJ","CB","?"))</f>
        <v> </v>
      </c>
      <c r="I4838" s="26" t="str">
        <f>IF(OR(E4838="",E4838="!!!",F4838="NEW"),"",INDEX(B4837:B$2,-1+SUMPRODUCT(MAX(ROW(E4837:E$2)*(E4838=E4837:E$2)))))</f>
        <v> </v>
      </c>
      <c r="J4838" s="26" t="str">
        <f>IF(OR(E4838="",E4838="!!!",F4838="NEW"),"",COUNTBLANK(OFFSET(A$1,,,SUMPRODUCT(MAX(ROW(E$2:E4838)*(E4838=E$2:E4838)))))-COUNTBLANK(OFFSET(A$1,,,SUMPRODUCT(MAX(ROW(E$1:E4837)*(E2=E$1:E4837))))))</f>
        <v> </v>
      </c>
      <c r="K4838" s="26" t="str">
        <f>IF(OR(E4838="",E4838="!!!",F4838="NEW"),"",INDEX(J$1:J4837,SUMPRODUCT(MAX(ROW(E$1:E4837)*(E4838=E$1:E4837)))))</f>
        <v> </v>
      </c>
      <c r="L4838" s="27"/>
    </row>
    <row r="4839" spans="1:12">
      <c r="A4839" s="20" t="s">
        <v>1182</v>
      </c>
      <c r="E4839" s="22">
        <f>IF(D4839="?OLD","!!!","")</f>
        <v/>
      </c>
      <c r="F4839" s="23" t="str">
        <f>IF(OR(E4839="",E4839="!!!"),"",IF(NOT(ISNA(VLOOKUP(E4839,E$1:E4838,1,FALSE()))),"OLD",IF(AND(E4839&lt;&gt;"",E4839&lt;&gt;"!!!"),"NEW","")))</f>
        <v> </v>
      </c>
      <c r="G4839" s="24" t="str">
        <f>IF(OR(E4839="",E4839="!!!"),"",IF(OR(J4839=0,AND(J4839=1,K4839=1),AND(J4839=1,I4839="SBJ"),AND(J4839=1,I4839=0)),"?IN_FOCUS",IF(J4839&lt;=2,"?ACTIVATED",IF(J4839&lt;&gt;"","?FAMILIAR",IF(F4839="NEW",IF(ISNA(VLOOKUP(E4839,#REF!,1,FALSE())),"?TYPE_IDENTIFIABLE","?REFERENTIAL"),"_")))))</f>
        <v> </v>
      </c>
      <c r="H4839" s="25" t="str">
        <f>IF(J4839&lt;&gt;1,"",IF(I4839="SBJ","CB","?"))</f>
        <v> </v>
      </c>
      <c r="I4839" s="26" t="str">
        <f>IF(OR(E4839="",E4839="!!!",F4839="NEW"),"",INDEX(B4838:B$2,-1+SUMPRODUCT(MAX(ROW(E4838:E$2)*(E4839=E4838:E$2)))))</f>
        <v> </v>
      </c>
      <c r="J4839" s="26" t="str">
        <f>IF(OR(E4839="",E4839="!!!",F4839="NEW"),"",COUNTBLANK(OFFSET(A$1,,,SUMPRODUCT(MAX(ROW(E$2:E4839)*(E4839=E$2:E4839)))))-COUNTBLANK(OFFSET(A$1,,,SUMPRODUCT(MAX(ROW(E$1:E4838)*(E2=E$1:E4838))))))</f>
        <v> </v>
      </c>
      <c r="K4839" s="26" t="str">
        <f>IF(OR(E4839="",E4839="!!!",F4839="NEW"),"",INDEX(J$1:J4838,SUMPRODUCT(MAX(ROW(E$1:E4838)*(E4839=E$1:E4838)))))</f>
        <v> </v>
      </c>
      <c r="L4839" s="27"/>
    </row>
    <row r="4840" spans="1:12">
      <c r="A4840" s="20" t="s">
        <v>1433</v>
      </c>
      <c r="E4840" s="22">
        <f>IF(D4840="?OLD","!!!","")</f>
        <v/>
      </c>
      <c r="F4840" s="23" t="str">
        <f>IF(OR(E4840="",E4840="!!!"),"",IF(NOT(ISNA(VLOOKUP(E4840,E$1:E4839,1,FALSE()))),"OLD",IF(AND(E4840&lt;&gt;"",E4840&lt;&gt;"!!!"),"NEW","")))</f>
        <v> </v>
      </c>
      <c r="G4840" s="24" t="str">
        <f>IF(OR(E4840="",E4840="!!!"),"",IF(OR(J4840=0,AND(J4840=1,K4840=1),AND(J4840=1,I4840="SBJ"),AND(J4840=1,I4840=0)),"?IN_FOCUS",IF(J4840&lt;=2,"?ACTIVATED",IF(J4840&lt;&gt;"","?FAMILIAR",IF(F4840="NEW",IF(ISNA(VLOOKUP(E4840,#REF!,1,FALSE())),"?TYPE_IDENTIFIABLE","?REFERENTIAL"),"_")))))</f>
        <v> </v>
      </c>
      <c r="H4840" s="25" t="str">
        <f>IF(J4840&lt;&gt;1,"",IF(I4840="SBJ","CB","?"))</f>
        <v> </v>
      </c>
      <c r="I4840" s="26" t="str">
        <f>IF(OR(E4840="",E4840="!!!",F4840="NEW"),"",INDEX(B4839:B$2,-1+SUMPRODUCT(MAX(ROW(E4839:E$2)*(E4840=E4839:E$2)))))</f>
        <v> </v>
      </c>
      <c r="J4840" s="26" t="str">
        <f>IF(OR(E4840="",E4840="!!!",F4840="NEW"),"",COUNTBLANK(OFFSET(A$1,,,SUMPRODUCT(MAX(ROW(E$2:E4840)*(E4840=E$2:E4840)))))-COUNTBLANK(OFFSET(A$1,,,SUMPRODUCT(MAX(ROW(E$1:E4839)*(E2=E$1:E4839))))))</f>
        <v> </v>
      </c>
      <c r="K4840" s="26" t="str">
        <f>IF(OR(E4840="",E4840="!!!",F4840="NEW"),"",INDEX(J$1:J4839,SUMPRODUCT(MAX(ROW(E$1:E4839)*(E4840=E$1:E4839)))))</f>
        <v> </v>
      </c>
      <c r="L4840" s="27"/>
    </row>
    <row r="4841" spans="1:12">
      <c r="A4841" s="20" t="s">
        <v>102</v>
      </c>
      <c r="E4841" s="22">
        <f>IF(D4841="?OLD","!!!","")</f>
        <v/>
      </c>
      <c r="F4841" s="23" t="str">
        <f>IF(OR(E4841="",E4841="!!!"),"",IF(NOT(ISNA(VLOOKUP(E4841,E$1:E4840,1,FALSE()))),"OLD",IF(AND(E4841&lt;&gt;"",E4841&lt;&gt;"!!!"),"NEW","")))</f>
        <v> </v>
      </c>
      <c r="G4841" s="24" t="str">
        <f>IF(OR(E4841="",E4841="!!!"),"",IF(OR(J4841=0,AND(J4841=1,K4841=1),AND(J4841=1,I4841="SBJ"),AND(J4841=1,I4841=0)),"?IN_FOCUS",IF(J4841&lt;=2,"?ACTIVATED",IF(J4841&lt;&gt;"","?FAMILIAR",IF(F4841="NEW",IF(ISNA(VLOOKUP(E4841,#REF!,1,FALSE())),"?TYPE_IDENTIFIABLE","?REFERENTIAL"),"_")))))</f>
        <v> </v>
      </c>
      <c r="H4841" s="25" t="str">
        <f>IF(J4841&lt;&gt;1,"",IF(I4841="SBJ","CB","?"))</f>
        <v> </v>
      </c>
      <c r="I4841" s="26" t="str">
        <f>IF(OR(E4841="",E4841="!!!",F4841="NEW"),"",INDEX(B4840:B$2,-1+SUMPRODUCT(MAX(ROW(E4840:E$2)*(E4841=E4840:E$2)))))</f>
        <v> </v>
      </c>
      <c r="J4841" s="26" t="str">
        <f>IF(OR(E4841="",E4841="!!!",F4841="NEW"),"",COUNTBLANK(OFFSET(A$1,,,SUMPRODUCT(MAX(ROW(E$2:E4841)*(E4841=E$2:E4841)))))-COUNTBLANK(OFFSET(A$1,,,SUMPRODUCT(MAX(ROW(E$1:E4840)*(E2=E$1:E4840))))))</f>
        <v> </v>
      </c>
      <c r="K4841" s="26" t="str">
        <f>IF(OR(E4841="",E4841="!!!",F4841="NEW"),"",INDEX(J$1:J4840,SUMPRODUCT(MAX(ROW(E$1:E4840)*(E4841=E$1:E4840)))))</f>
        <v> </v>
      </c>
      <c r="L4841" s="27"/>
    </row>
    <row r="4842" spans="1:12">
      <c r="A4842" s="20" t="s">
        <v>2357</v>
      </c>
      <c r="B4842" s="21" t="s">
        <v>1033</v>
      </c>
      <c r="C4842" s="21" t="s">
        <v>1205</v>
      </c>
      <c r="E4842" s="22">
        <f>IF(D4842="?OLD","!!!","")</f>
        <v/>
      </c>
      <c r="F4842" s="23" t="str">
        <f>IF(OR(E4842="",E4842="!!!"),"",IF(NOT(ISNA(VLOOKUP(E4842,E$1:E4841,1,FALSE()))),"OLD",IF(AND(E4842&lt;&gt;"",E4842&lt;&gt;"!!!"),"NEW","")))</f>
        <v> </v>
      </c>
      <c r="G4842" s="24" t="str">
        <f>IF(OR(E4842="",E4842="!!!"),"",IF(OR(J4842=0,AND(J4842=1,K4842=1),AND(J4842=1,I4842="SBJ"),AND(J4842=1,I4842=0)),"?IN_FOCUS",IF(J4842&lt;=2,"?ACTIVATED",IF(J4842&lt;&gt;"","?FAMILIAR",IF(F4842="NEW",IF(ISNA(VLOOKUP(E4842,#REF!,1,FALSE())),"?TYPE_IDENTIFIABLE","?REFERENTIAL"),"_")))))</f>
        <v> </v>
      </c>
      <c r="H4842" s="25" t="str">
        <f>IF(J4842&lt;&gt;1,"",IF(I4842="SBJ","CB","?"))</f>
        <v> </v>
      </c>
      <c r="I4842" s="26" t="str">
        <f>IF(OR(E4842="",E4842="!!!",F4842="NEW"),"",INDEX(B4841:B$2,-1+SUMPRODUCT(MAX(ROW(E4841:E$2)*(E4842=E4841:E$2)))))</f>
        <v> </v>
      </c>
      <c r="J4842" s="26" t="str">
        <f>IF(OR(E4842="",E4842="!!!",F4842="NEW"),"",COUNTBLANK(OFFSET(A$1,,,SUMPRODUCT(MAX(ROW(E$2:E4842)*(E4842=E$2:E4842)))))-COUNTBLANK(OFFSET(A$1,,,SUMPRODUCT(MAX(ROW(E$1:E4841)*(E2=E$1:E4841))))))</f>
        <v> </v>
      </c>
      <c r="K4842" s="26" t="str">
        <f>IF(OR(E4842="",E4842="!!!",F4842="NEW"),"",INDEX(J$1:J4841,SUMPRODUCT(MAX(ROW(E$1:E4841)*(E4842=E$1:E4841)))))</f>
        <v> </v>
      </c>
      <c r="L4842" s="27"/>
    </row>
    <row r="4843" spans="1:12">
      <c r="A4843" s="20" t="s">
        <v>1018</v>
      </c>
      <c r="E4843" s="22">
        <f>IF(D4843="?OLD","!!!","")</f>
        <v/>
      </c>
      <c r="F4843" s="23" t="str">
        <f>IF(OR(E4843="",E4843="!!!"),"",IF(NOT(ISNA(VLOOKUP(E4843,E$1:E4842,1,FALSE()))),"OLD",IF(AND(E4843&lt;&gt;"",E4843&lt;&gt;"!!!"),"NEW","")))</f>
        <v> </v>
      </c>
      <c r="G4843" s="24" t="str">
        <f>IF(OR(E4843="",E4843="!!!"),"",IF(OR(J4843=0,AND(J4843=1,K4843=1),AND(J4843=1,I4843="SBJ"),AND(J4843=1,I4843=0)),"?IN_FOCUS",IF(J4843&lt;=2,"?ACTIVATED",IF(J4843&lt;&gt;"","?FAMILIAR",IF(F4843="NEW",IF(ISNA(VLOOKUP(E4843,#REF!,1,FALSE())),"?TYPE_IDENTIFIABLE","?REFERENTIAL"),"_")))))</f>
        <v> </v>
      </c>
      <c r="H4843" s="25" t="str">
        <f>IF(J4843&lt;&gt;1,"",IF(I4843="SBJ","CB","?"))</f>
        <v> </v>
      </c>
      <c r="I4843" s="26" t="str">
        <f>IF(OR(E4843="",E4843="!!!",F4843="NEW"),"",INDEX(B4842:B$2,-1+SUMPRODUCT(MAX(ROW(E4842:E$2)*(E4843=E4842:E$2)))))</f>
        <v> </v>
      </c>
      <c r="J4843" s="26" t="str">
        <f>IF(OR(E4843="",E4843="!!!",F4843="NEW"),"",COUNTBLANK(OFFSET(A$1,,,SUMPRODUCT(MAX(ROW(E$2:E4843)*(E4843=E$2:E4843)))))-COUNTBLANK(OFFSET(A$1,,,SUMPRODUCT(MAX(ROW(E$1:E4842)*(E2=E$1:E4842))))))</f>
        <v> </v>
      </c>
      <c r="K4843" s="26" t="str">
        <f>IF(OR(E4843="",E4843="!!!",F4843="NEW"),"",INDEX(J$1:J4842,SUMPRODUCT(MAX(ROW(E$1:E4842)*(E4843=E$1:E4842)))))</f>
        <v> </v>
      </c>
      <c r="L4843" s="27"/>
    </row>
    <row r="4844" spans="1:12">
      <c r="A4844" s="20" t="s">
        <v>1458</v>
      </c>
      <c r="E4844" s="22">
        <f>IF(D4844="?OLD","!!!","")</f>
        <v/>
      </c>
      <c r="F4844" s="23" t="str">
        <f>IF(OR(E4844="",E4844="!!!"),"",IF(NOT(ISNA(VLOOKUP(E4844,E$1:E4843,1,FALSE()))),"OLD",IF(AND(E4844&lt;&gt;"",E4844&lt;&gt;"!!!"),"NEW","")))</f>
        <v> </v>
      </c>
      <c r="G4844" s="24" t="str">
        <f>IF(OR(E4844="",E4844="!!!"),"",IF(OR(J4844=0,AND(J4844=1,K4844=1),AND(J4844=1,I4844="SBJ"),AND(J4844=1,I4844=0)),"?IN_FOCUS",IF(J4844&lt;=2,"?ACTIVATED",IF(J4844&lt;&gt;"","?FAMILIAR",IF(F4844="NEW",IF(ISNA(VLOOKUP(E4844,#REF!,1,FALSE())),"?TYPE_IDENTIFIABLE","?REFERENTIAL"),"_")))))</f>
        <v> </v>
      </c>
      <c r="H4844" s="25" t="str">
        <f>IF(J4844&lt;&gt;1,"",IF(I4844="SBJ","CB","?"))</f>
        <v> </v>
      </c>
      <c r="I4844" s="26" t="str">
        <f>IF(OR(E4844="",E4844="!!!",F4844="NEW"),"",INDEX(B4843:B$2,-1+SUMPRODUCT(MAX(ROW(E4843:E$2)*(E4844=E4843:E$2)))))</f>
        <v> </v>
      </c>
      <c r="J4844" s="26" t="str">
        <f>IF(OR(E4844="",E4844="!!!",F4844="NEW"),"",COUNTBLANK(OFFSET(A$1,,,SUMPRODUCT(MAX(ROW(E$2:E4844)*(E4844=E$2:E4844)))))-COUNTBLANK(OFFSET(A$1,,,SUMPRODUCT(MAX(ROW(E$1:E4843)*(E2=E$1:E4843))))))</f>
        <v> </v>
      </c>
      <c r="K4844" s="26" t="str">
        <f>IF(OR(E4844="",E4844="!!!",F4844="NEW"),"",INDEX(J$1:J4843,SUMPRODUCT(MAX(ROW(E$1:E4843)*(E4844=E$1:E4843)))))</f>
        <v> </v>
      </c>
      <c r="L4844" s="27"/>
    </row>
    <row r="4845" spans="1:12">
      <c r="A4845" s="20" t="s">
        <v>1014</v>
      </c>
      <c r="E4845" s="22">
        <f>IF(D4845="?OLD","!!!","")</f>
        <v/>
      </c>
      <c r="F4845" s="23" t="str">
        <f>IF(OR(E4845="",E4845="!!!"),"",IF(NOT(ISNA(VLOOKUP(E4845,E$1:E4844,1,FALSE()))),"OLD",IF(AND(E4845&lt;&gt;"",E4845&lt;&gt;"!!!"),"NEW","")))</f>
        <v> </v>
      </c>
      <c r="G4845" s="24" t="str">
        <f>IF(OR(E4845="",E4845="!!!"),"",IF(OR(J4845=0,AND(J4845=1,K4845=1),AND(J4845=1,I4845="SBJ"),AND(J4845=1,I4845=0)),"?IN_FOCUS",IF(J4845&lt;=2,"?ACTIVATED",IF(J4845&lt;&gt;"","?FAMILIAR",IF(F4845="NEW",IF(ISNA(VLOOKUP(E4845,#REF!,1,FALSE())),"?TYPE_IDENTIFIABLE","?REFERENTIAL"),"_")))))</f>
        <v> </v>
      </c>
      <c r="H4845" s="25" t="str">
        <f>IF(J4845&lt;&gt;1,"",IF(I4845="SBJ","CB","?"))</f>
        <v> </v>
      </c>
      <c r="I4845" s="26" t="str">
        <f>IF(OR(E4845="",E4845="!!!",F4845="NEW"),"",INDEX(B4844:B$2,-1+SUMPRODUCT(MAX(ROW(E4844:E$2)*(E4845=E4844:E$2)))))</f>
        <v> </v>
      </c>
      <c r="J4845" s="26" t="str">
        <f>IF(OR(E4845="",E4845="!!!",F4845="NEW"),"",COUNTBLANK(OFFSET(A$1,,,SUMPRODUCT(MAX(ROW(E$2:E4845)*(E4845=E$2:E4845)))))-COUNTBLANK(OFFSET(A$1,,,SUMPRODUCT(MAX(ROW(E$1:E4844)*(E2=E$1:E4844))))))</f>
        <v> </v>
      </c>
      <c r="K4845" s="26" t="str">
        <f>IF(OR(E4845="",E4845="!!!",F4845="NEW"),"",INDEX(J$1:J4844,SUMPRODUCT(MAX(ROW(E$1:E4844)*(E4845=E$1:E4844)))))</f>
        <v> </v>
      </c>
      <c r="L4845" s="27"/>
    </row>
    <row r="4846" spans="1:12">
      <c r="A4846" s="20" t="s">
        <v>1015</v>
      </c>
      <c r="E4846" s="22">
        <f>IF(D4846="?OLD","!!!","")</f>
        <v/>
      </c>
      <c r="F4846" s="23" t="str">
        <f>IF(OR(E4846="",E4846="!!!"),"",IF(NOT(ISNA(VLOOKUP(E4846,E$1:E4845,1,FALSE()))),"OLD",IF(AND(E4846&lt;&gt;"",E4846&lt;&gt;"!!!"),"NEW","")))</f>
        <v> </v>
      </c>
      <c r="G4846" s="24" t="str">
        <f>IF(OR(E4846="",E4846="!!!"),"",IF(OR(J4846=0,AND(J4846=1,K4846=1),AND(J4846=1,I4846="SBJ"),AND(J4846=1,I4846=0)),"?IN_FOCUS",IF(J4846&lt;=2,"?ACTIVATED",IF(J4846&lt;&gt;"","?FAMILIAR",IF(F4846="NEW",IF(ISNA(VLOOKUP(E4846,#REF!,1,FALSE())),"?TYPE_IDENTIFIABLE","?REFERENTIAL"),"_")))))</f>
        <v> </v>
      </c>
      <c r="H4846" s="25" t="str">
        <f>IF(J4846&lt;&gt;1,"",IF(I4846="SBJ","CB","?"))</f>
        <v> </v>
      </c>
      <c r="I4846" s="26" t="str">
        <f>IF(OR(E4846="",E4846="!!!",F4846="NEW"),"",INDEX(B4845:B$2,-1+SUMPRODUCT(MAX(ROW(E4845:E$2)*(E4846=E4845:E$2)))))</f>
        <v> </v>
      </c>
      <c r="J4846" s="26" t="str">
        <f>IF(OR(E4846="",E4846="!!!",F4846="NEW"),"",COUNTBLANK(OFFSET(A$1,,,SUMPRODUCT(MAX(ROW(E$2:E4846)*(E4846=E$2:E4846)))))-COUNTBLANK(OFFSET(A$1,,,SUMPRODUCT(MAX(ROW(E$1:E4845)*(E2=E$1:E4845))))))</f>
        <v> </v>
      </c>
      <c r="K4846" s="26" t="str">
        <f>IF(OR(E4846="",E4846="!!!",F4846="NEW"),"",INDEX(J$1:J4845,SUMPRODUCT(MAX(ROW(E$1:E4845)*(E4846=E$1:E4845)))))</f>
        <v> </v>
      </c>
      <c r="L4846" s="27"/>
    </row>
    <row r="4847" spans="1:12">
      <c r="A4847" s="20" t="s">
        <v>1292</v>
      </c>
      <c r="B4847" s="21" t="s">
        <v>1187</v>
      </c>
      <c r="C4847" s="21" t="s">
        <v>1017</v>
      </c>
      <c r="D4847" s="21" t="s">
        <v>1007</v>
      </c>
      <c r="E4847" s="22">
        <f>IF(D4847="?OLD","!!!","")</f>
        <v/>
      </c>
      <c r="F4847" s="23" t="str">
        <f>IF(OR(E4847="",E4847="!!!"),"",IF(NOT(ISNA(VLOOKUP(E4847,E$1:E4846,1,FALSE()))),"OLD",IF(AND(E4847&lt;&gt;"",E4847&lt;&gt;"!!!"),"NEW","")))</f>
        <v> </v>
      </c>
      <c r="G4847" s="24" t="str">
        <f>IF(OR(E4847="",E4847="!!!"),"",IF(OR(J4847=0,AND(J4847=1,K4847=1),AND(J4847=1,I4847="SBJ"),AND(J4847=1,I4847=0)),"?IN_FOCUS",IF(J4847&lt;=2,"?ACTIVATED",IF(J4847&lt;&gt;"","?FAMILIAR",IF(F4847="NEW",IF(ISNA(VLOOKUP(E4847,#REF!,1,FALSE())),"?TYPE_IDENTIFIABLE","?REFERENTIAL"),"_")))))</f>
        <v> </v>
      </c>
      <c r="H4847" s="25" t="str">
        <f>IF(J4847&lt;&gt;1,"",IF(I4847="SBJ","CB","?"))</f>
        <v> </v>
      </c>
      <c r="I4847" s="26" t="str">
        <f>IF(OR(E4847="",E4847="!!!",F4847="NEW"),"",INDEX(B4846:B$2,-1+SUMPRODUCT(MAX(ROW(E4846:E$2)*(E4847=E4846:E$2)))))</f>
        <v> </v>
      </c>
      <c r="J4847" s="26" t="str">
        <f>IF(OR(E4847="",E4847="!!!",F4847="NEW"),"",COUNTBLANK(OFFSET(A$1,,,SUMPRODUCT(MAX(ROW(E$2:E4847)*(E4847=E$2:E4847)))))-COUNTBLANK(OFFSET(A$1,,,SUMPRODUCT(MAX(ROW(E$1:E4846)*(E2=E$1:E4846))))))</f>
        <v> </v>
      </c>
      <c r="K4847" s="26" t="str">
        <f>IF(OR(E4847="",E4847="!!!",F4847="NEW"),"",INDEX(J$1:J4846,SUMPRODUCT(MAX(ROW(E$1:E4846)*(E4847=E$1:E4846)))))</f>
        <v> </v>
      </c>
      <c r="L4847" s="27"/>
    </row>
    <row r="4848" spans="1:12">
      <c r="A4848" s="20" t="s">
        <v>1023</v>
      </c>
      <c r="E4848" s="22">
        <f>IF(D4848="?OLD","!!!","")</f>
        <v/>
      </c>
      <c r="F4848" s="23" t="str">
        <f>IF(OR(E4848="",E4848="!!!"),"",IF(NOT(ISNA(VLOOKUP(E4848,E$1:E4847,1,FALSE()))),"OLD",IF(AND(E4848&lt;&gt;"",E4848&lt;&gt;"!!!"),"NEW","")))</f>
        <v> </v>
      </c>
      <c r="G4848" s="24" t="str">
        <f>IF(OR(E4848="",E4848="!!!"),"",IF(OR(J4848=0,AND(J4848=1,K4848=1),AND(J4848=1,I4848="SBJ"),AND(J4848=1,I4848=0)),"?IN_FOCUS",IF(J4848&lt;=2,"?ACTIVATED",IF(J4848&lt;&gt;"","?FAMILIAR",IF(F4848="NEW",IF(ISNA(VLOOKUP(E4848,#REF!,1,FALSE())),"?TYPE_IDENTIFIABLE","?REFERENTIAL"),"_")))))</f>
        <v> </v>
      </c>
      <c r="H4848" s="25" t="str">
        <f>IF(J4848&lt;&gt;1,"",IF(I4848="SBJ","CB","?"))</f>
        <v> </v>
      </c>
      <c r="I4848" s="26" t="str">
        <f>IF(OR(E4848="",E4848="!!!",F4848="NEW"),"",INDEX(B4847:B$2,-1+SUMPRODUCT(MAX(ROW(E4847:E$2)*(E4848=E4847:E$2)))))</f>
        <v> </v>
      </c>
      <c r="J4848" s="26" t="str">
        <f>IF(OR(E4848="",E4848="!!!",F4848="NEW"),"",COUNTBLANK(OFFSET(A$1,,,SUMPRODUCT(MAX(ROW(E$2:E4848)*(E4848=E$2:E4848)))))-COUNTBLANK(OFFSET(A$1,,,SUMPRODUCT(MAX(ROW(E$1:E4847)*(E2=E$1:E4847))))))</f>
        <v> </v>
      </c>
      <c r="K4848" s="26" t="str">
        <f>IF(OR(E4848="",E4848="!!!",F4848="NEW"),"",INDEX(J$1:J4847,SUMPRODUCT(MAX(ROW(E$1:E4847)*(E4848=E$1:E4847)))))</f>
        <v> </v>
      </c>
      <c r="L4848" s="27"/>
    </row>
    <row r="4849" spans="1:12">
      <c r="A4849" s="20"/>
    </row>
    <row r="4850" spans="1:12">
      <c r="A4850" s="20" t="s">
        <v>2358</v>
      </c>
    </row>
    <row r="4851" spans="1:12">
      <c r="A4851" s="20" t="s">
        <v>1094</v>
      </c>
      <c r="E4851" s="22">
        <f>IF(D4851="?OLD","!!!","")</f>
        <v/>
      </c>
      <c r="F4851" s="23" t="str">
        <f>IF(OR(E4851="",E4851="!!!"),"",IF(NOT(ISNA(VLOOKUP(E4851,E$1:E4850,1,FALSE()))),"OLD",IF(AND(E4851&lt;&gt;"",E4851&lt;&gt;"!!!"),"NEW","")))</f>
        <v> </v>
      </c>
      <c r="G4851" s="24" t="str">
        <f>IF(OR(E4851="",E4851="!!!"),"",IF(OR(J4851=0,AND(J4851=1,K4851=1),AND(J4851=1,I4851="SBJ"),AND(J4851=1,I4851=0)),"?IN_FOCUS",IF(J4851&lt;=2,"?ACTIVATED",IF(J4851&lt;&gt;"","?FAMILIAR",IF(F4851="NEW",IF(ISNA(VLOOKUP(E4851,#REF!,1,FALSE())),"?TYPE_IDENTIFIABLE","?REFERENTIAL"),"_")))))</f>
        <v> </v>
      </c>
      <c r="H4851" s="25" t="str">
        <f>IF(J4851&lt;&gt;1,"",IF(I4851="SBJ","CB","?"))</f>
        <v> </v>
      </c>
      <c r="I4851" s="26" t="str">
        <f>IF(OR(E4851="",E4851="!!!",F4851="NEW"),"",INDEX(B4850:B$2,-1+SUMPRODUCT(MAX(ROW(E4850:E$2)*(E4851=E4850:E$2)))))</f>
        <v> </v>
      </c>
      <c r="J4851" s="26" t="str">
        <f>IF(OR(E4851="",E4851="!!!",F4851="NEW"),"",COUNTBLANK(OFFSET(A$1,,,SUMPRODUCT(MAX(ROW(E$2:E4851)*(E4851=E$2:E4851)))))-COUNTBLANK(OFFSET(A$1,,,SUMPRODUCT(MAX(ROW(E$1:E4850)*(E2=E$1:E4850))))))</f>
        <v> </v>
      </c>
      <c r="K4851" s="26" t="str">
        <f>IF(OR(E4851="",E4851="!!!",F4851="NEW"),"",INDEX(J$1:J4850,SUMPRODUCT(MAX(ROW(E$1:E4850)*(E4851=E$1:E4850)))))</f>
        <v> </v>
      </c>
      <c r="L4851" s="27"/>
    </row>
    <row r="4852" spans="1:12">
      <c r="A4852" s="20" t="s">
        <v>1009</v>
      </c>
      <c r="E4852" s="22">
        <f>IF(D4852="?OLD","!!!","")</f>
        <v/>
      </c>
      <c r="F4852" s="23" t="str">
        <f>IF(OR(E4852="",E4852="!!!"),"",IF(NOT(ISNA(VLOOKUP(E4852,E$1:E4851,1,FALSE()))),"OLD",IF(AND(E4852&lt;&gt;"",E4852&lt;&gt;"!!!"),"NEW","")))</f>
        <v> </v>
      </c>
      <c r="G4852" s="24" t="str">
        <f>IF(OR(E4852="",E4852="!!!"),"",IF(OR(J4852=0,AND(J4852=1,K4852=1),AND(J4852=1,I4852="SBJ"),AND(J4852=1,I4852=0)),"?IN_FOCUS",IF(J4852&lt;=2,"?ACTIVATED",IF(J4852&lt;&gt;"","?FAMILIAR",IF(F4852="NEW",IF(ISNA(VLOOKUP(E4852,#REF!,1,FALSE())),"?TYPE_IDENTIFIABLE","?REFERENTIAL"),"_")))))</f>
        <v> </v>
      </c>
      <c r="H4852" s="25" t="str">
        <f>IF(J4852&lt;&gt;1,"",IF(I4852="SBJ","CB","?"))</f>
        <v> </v>
      </c>
      <c r="I4852" s="26" t="str">
        <f>IF(OR(E4852="",E4852="!!!",F4852="NEW"),"",INDEX(B4851:B$2,-1+SUMPRODUCT(MAX(ROW(E4851:E$2)*(E4852=E4851:E$2)))))</f>
        <v> </v>
      </c>
      <c r="J4852" s="26" t="str">
        <f>IF(OR(E4852="",E4852="!!!",F4852="NEW"),"",COUNTBLANK(OFFSET(A$1,,,SUMPRODUCT(MAX(ROW(E$2:E4852)*(E4852=E$2:E4852)))))-COUNTBLANK(OFFSET(A$1,,,SUMPRODUCT(MAX(ROW(E$1:E4851)*(E2=E$1:E4851))))))</f>
        <v> </v>
      </c>
      <c r="K4852" s="26" t="str">
        <f>IF(OR(E4852="",E4852="!!!",F4852="NEW"),"",INDEX(J$1:J4851,SUMPRODUCT(MAX(ROW(E$1:E4851)*(E4852=E$1:E4851)))))</f>
        <v> </v>
      </c>
      <c r="L4852" s="27"/>
    </row>
    <row r="4853" spans="1:12">
      <c r="A4853" s="20" t="s">
        <v>2359</v>
      </c>
      <c r="E4853" s="22">
        <f>IF(D4853="?OLD","!!!","")</f>
        <v/>
      </c>
      <c r="F4853" s="23" t="str">
        <f>IF(OR(E4853="",E4853="!!!"),"",IF(NOT(ISNA(VLOOKUP(E4853,E$1:E4852,1,FALSE()))),"OLD",IF(AND(E4853&lt;&gt;"",E4853&lt;&gt;"!!!"),"NEW","")))</f>
        <v> </v>
      </c>
      <c r="G4853" s="24" t="str">
        <f>IF(OR(E4853="",E4853="!!!"),"",IF(OR(J4853=0,AND(J4853=1,K4853=1),AND(J4853=1,I4853="SBJ"),AND(J4853=1,I4853=0)),"?IN_FOCUS",IF(J4853&lt;=2,"?ACTIVATED",IF(J4853&lt;&gt;"","?FAMILIAR",IF(F4853="NEW",IF(ISNA(VLOOKUP(E4853,#REF!,1,FALSE())),"?TYPE_IDENTIFIABLE","?REFERENTIAL"),"_")))))</f>
        <v> </v>
      </c>
      <c r="H4853" s="25" t="str">
        <f>IF(J4853&lt;&gt;1,"",IF(I4853="SBJ","CB","?"))</f>
        <v> </v>
      </c>
      <c r="I4853" s="26" t="str">
        <f>IF(OR(E4853="",E4853="!!!",F4853="NEW"),"",INDEX(B4852:B$2,-1+SUMPRODUCT(MAX(ROW(E4852:E$2)*(E4853=E4852:E$2)))))</f>
        <v> </v>
      </c>
      <c r="J4853" s="26" t="str">
        <f>IF(OR(E4853="",E4853="!!!",F4853="NEW"),"",COUNTBLANK(OFFSET(A$1,,,SUMPRODUCT(MAX(ROW(E$2:E4853)*(E4853=E$2:E4853)))))-COUNTBLANK(OFFSET(A$1,,,SUMPRODUCT(MAX(ROW(E$1:E4852)*(E2=E$1:E4852))))))</f>
        <v> </v>
      </c>
      <c r="K4853" s="26" t="str">
        <f>IF(OR(E4853="",E4853="!!!",F4853="NEW"),"",INDEX(J$1:J4852,SUMPRODUCT(MAX(ROW(E$1:E4852)*(E4853=E$1:E4852)))))</f>
        <v> </v>
      </c>
      <c r="L4853" s="27"/>
    </row>
    <row r="4854" spans="1:12">
      <c r="A4854" s="20" t="s">
        <v>1014</v>
      </c>
      <c r="E4854" s="22">
        <f>IF(D4854="?OLD","!!!","")</f>
        <v/>
      </c>
      <c r="F4854" s="23" t="str">
        <f>IF(OR(E4854="",E4854="!!!"),"",IF(NOT(ISNA(VLOOKUP(E4854,E$1:E4853,1,FALSE()))),"OLD",IF(AND(E4854&lt;&gt;"",E4854&lt;&gt;"!!!"),"NEW","")))</f>
        <v> </v>
      </c>
      <c r="G4854" s="24" t="str">
        <f>IF(OR(E4854="",E4854="!!!"),"",IF(OR(J4854=0,AND(J4854=1,K4854=1),AND(J4854=1,I4854="SBJ"),AND(J4854=1,I4854=0)),"?IN_FOCUS",IF(J4854&lt;=2,"?ACTIVATED",IF(J4854&lt;&gt;"","?FAMILIAR",IF(F4854="NEW",IF(ISNA(VLOOKUP(E4854,#REF!,1,FALSE())),"?TYPE_IDENTIFIABLE","?REFERENTIAL"),"_")))))</f>
        <v> </v>
      </c>
      <c r="H4854" s="25" t="str">
        <f>IF(J4854&lt;&gt;1,"",IF(I4854="SBJ","CB","?"))</f>
        <v> </v>
      </c>
      <c r="I4854" s="26" t="str">
        <f>IF(OR(E4854="",E4854="!!!",F4854="NEW"),"",INDEX(B4853:B$2,-1+SUMPRODUCT(MAX(ROW(E4853:E$2)*(E4854=E4853:E$2)))))</f>
        <v> </v>
      </c>
      <c r="J4854" s="26" t="str">
        <f>IF(OR(E4854="",E4854="!!!",F4854="NEW"),"",COUNTBLANK(OFFSET(A$1,,,SUMPRODUCT(MAX(ROW(E$2:E4854)*(E4854=E$2:E4854)))))-COUNTBLANK(OFFSET(A$1,,,SUMPRODUCT(MAX(ROW(E$1:E4853)*(E2=E$1:E4853))))))</f>
        <v> </v>
      </c>
      <c r="K4854" s="26" t="str">
        <f>IF(OR(E4854="",E4854="!!!",F4854="NEW"),"",INDEX(J$1:J4853,SUMPRODUCT(MAX(ROW(E$1:E4853)*(E4854=E$1:E4853)))))</f>
        <v> </v>
      </c>
      <c r="L4854" s="27"/>
    </row>
    <row r="4855" spans="1:12">
      <c r="A4855" s="20" t="s">
        <v>864</v>
      </c>
      <c r="E4855" s="22">
        <f>IF(D4855="?OLD","!!!","")</f>
        <v/>
      </c>
      <c r="F4855" s="23" t="str">
        <f>IF(OR(E4855="",E4855="!!!"),"",IF(NOT(ISNA(VLOOKUP(E4855,E$1:E4854,1,FALSE()))),"OLD",IF(AND(E4855&lt;&gt;"",E4855&lt;&gt;"!!!"),"NEW","")))</f>
        <v> </v>
      </c>
      <c r="G4855" s="24" t="str">
        <f>IF(OR(E4855="",E4855="!!!"),"",IF(OR(J4855=0,AND(J4855=1,K4855=1),AND(J4855=1,I4855="SBJ"),AND(J4855=1,I4855=0)),"?IN_FOCUS",IF(J4855&lt;=2,"?ACTIVATED",IF(J4855&lt;&gt;"","?FAMILIAR",IF(F4855="NEW",IF(ISNA(VLOOKUP(E4855,#REF!,1,FALSE())),"?TYPE_IDENTIFIABLE","?REFERENTIAL"),"_")))))</f>
        <v> </v>
      </c>
      <c r="H4855" s="25" t="str">
        <f>IF(J4855&lt;&gt;1,"",IF(I4855="SBJ","CB","?"))</f>
        <v> </v>
      </c>
      <c r="I4855" s="26" t="str">
        <f>IF(OR(E4855="",E4855="!!!",F4855="NEW"),"",INDEX(B4854:B$2,-1+SUMPRODUCT(MAX(ROW(E4854:E$2)*(E4855=E4854:E$2)))))</f>
        <v> </v>
      </c>
      <c r="J4855" s="26" t="str">
        <f>IF(OR(E4855="",E4855="!!!",F4855="NEW"),"",COUNTBLANK(OFFSET(A$1,,,SUMPRODUCT(MAX(ROW(E$2:E4855)*(E4855=E$2:E4855)))))-COUNTBLANK(OFFSET(A$1,,,SUMPRODUCT(MAX(ROW(E$1:E4854)*(E2=E$1:E4854))))))</f>
        <v> </v>
      </c>
      <c r="K4855" s="26" t="str">
        <f>IF(OR(E4855="",E4855="!!!",F4855="NEW"),"",INDEX(J$1:J4854,SUMPRODUCT(MAX(ROW(E$1:E4854)*(E4855=E$1:E4854)))))</f>
        <v> </v>
      </c>
      <c r="L4855" s="27"/>
    </row>
    <row r="4856" spans="1:12">
      <c r="A4856" s="20" t="s">
        <v>1585</v>
      </c>
      <c r="E4856" s="22">
        <f>IF(D4856="?OLD","!!!","")</f>
        <v/>
      </c>
      <c r="F4856" s="23" t="str">
        <f>IF(OR(E4856="",E4856="!!!"),"",IF(NOT(ISNA(VLOOKUP(E4856,E$1:E4855,1,FALSE()))),"OLD",IF(AND(E4856&lt;&gt;"",E4856&lt;&gt;"!!!"),"NEW","")))</f>
        <v> </v>
      </c>
      <c r="G4856" s="24" t="str">
        <f>IF(OR(E4856="",E4856="!!!"),"",IF(OR(J4856=0,AND(J4856=1,K4856=1),AND(J4856=1,I4856="SBJ"),AND(J4856=1,I4856=0)),"?IN_FOCUS",IF(J4856&lt;=2,"?ACTIVATED",IF(J4856&lt;&gt;"","?FAMILIAR",IF(F4856="NEW",IF(ISNA(VLOOKUP(E4856,#REF!,1,FALSE())),"?TYPE_IDENTIFIABLE","?REFERENTIAL"),"_")))))</f>
        <v> </v>
      </c>
      <c r="H4856" s="25" t="str">
        <f>IF(J4856&lt;&gt;1,"",IF(I4856="SBJ","CB","?"))</f>
        <v> </v>
      </c>
      <c r="I4856" s="26" t="str">
        <f>IF(OR(E4856="",E4856="!!!",F4856="NEW"),"",INDEX(B4855:B$2,-1+SUMPRODUCT(MAX(ROW(E4855:E$2)*(E4856=E4855:E$2)))))</f>
        <v> </v>
      </c>
      <c r="J4856" s="26" t="str">
        <f>IF(OR(E4856="",E4856="!!!",F4856="NEW"),"",COUNTBLANK(OFFSET(A$1,,,SUMPRODUCT(MAX(ROW(E$2:E4856)*(E4856=E$2:E4856)))))-COUNTBLANK(OFFSET(A$1,,,SUMPRODUCT(MAX(ROW(E$1:E4855)*(E2=E$1:E4855))))))</f>
        <v> </v>
      </c>
      <c r="K4856" s="26" t="str">
        <f>IF(OR(E4856="",E4856="!!!",F4856="NEW"),"",INDEX(J$1:J4855,SUMPRODUCT(MAX(ROW(E$1:E4855)*(E4856=E$1:E4855)))))</f>
        <v> </v>
      </c>
      <c r="L4856" s="27"/>
    </row>
    <row r="4857" spans="1:12">
      <c r="A4857" s="20" t="s">
        <v>2360</v>
      </c>
      <c r="B4857" s="21" t="s">
        <v>1029</v>
      </c>
      <c r="C4857" s="21" t="s">
        <v>1013</v>
      </c>
      <c r="D4857" s="21" t="s">
        <v>1007</v>
      </c>
      <c r="E4857" s="22">
        <f>IF(D4857="?OLD","!!!","")</f>
        <v/>
      </c>
      <c r="F4857" s="23" t="str">
        <f>IF(OR(E4857="",E4857="!!!"),"",IF(NOT(ISNA(VLOOKUP(E4857,E$1:E4856,1,FALSE()))),"OLD",IF(AND(E4857&lt;&gt;"",E4857&lt;&gt;"!!!"),"NEW","")))</f>
        <v> </v>
      </c>
      <c r="G4857" s="24" t="str">
        <f>IF(OR(E4857="",E4857="!!!"),"",IF(OR(J4857=0,AND(J4857=1,K4857=1),AND(J4857=1,I4857="SBJ"),AND(J4857=1,I4857=0)),"?IN_FOCUS",IF(J4857&lt;=2,"?ACTIVATED",IF(J4857&lt;&gt;"","?FAMILIAR",IF(F4857="NEW",IF(ISNA(VLOOKUP(E4857,#REF!,1,FALSE())),"?TYPE_IDENTIFIABLE","?REFERENTIAL"),"_")))))</f>
        <v> </v>
      </c>
      <c r="H4857" s="25" t="str">
        <f>IF(J4857&lt;&gt;1,"",IF(I4857="SBJ","CB","?"))</f>
        <v> </v>
      </c>
      <c r="I4857" s="26" t="str">
        <f>IF(OR(E4857="",E4857="!!!",F4857="NEW"),"",INDEX(B4856:B$2,-1+SUMPRODUCT(MAX(ROW(E4856:E$2)*(E4857=E4856:E$2)))))</f>
        <v> </v>
      </c>
      <c r="J4857" s="26" t="str">
        <f>IF(OR(E4857="",E4857="!!!",F4857="NEW"),"",COUNTBLANK(OFFSET(A$1,,,SUMPRODUCT(MAX(ROW(E$2:E4857)*(E4857=E$2:E4857)))))-COUNTBLANK(OFFSET(A$1,,,SUMPRODUCT(MAX(ROW(E$1:E4856)*(E2=E$1:E4856))))))</f>
        <v> </v>
      </c>
      <c r="K4857" s="26" t="str">
        <f>IF(OR(E4857="",E4857="!!!",F4857="NEW"),"",INDEX(J$1:J4856,SUMPRODUCT(MAX(ROW(E$1:E4856)*(E4857=E$1:E4856)))))</f>
        <v> </v>
      </c>
      <c r="L4857" s="27"/>
    </row>
    <row r="4858" spans="1:12">
      <c r="A4858" s="20" t="s">
        <v>1014</v>
      </c>
      <c r="E4858" s="22">
        <f>IF(D4858="?OLD","!!!","")</f>
        <v/>
      </c>
      <c r="F4858" s="23" t="str">
        <f>IF(OR(E4858="",E4858="!!!"),"",IF(NOT(ISNA(VLOOKUP(E4858,E$1:E4857,1,FALSE()))),"OLD",IF(AND(E4858&lt;&gt;"",E4858&lt;&gt;"!!!"),"NEW","")))</f>
        <v> </v>
      </c>
      <c r="G4858" s="24" t="str">
        <f>IF(OR(E4858="",E4858="!!!"),"",IF(OR(J4858=0,AND(J4858=1,K4858=1),AND(J4858=1,I4858="SBJ"),AND(J4858=1,I4858=0)),"?IN_FOCUS",IF(J4858&lt;=2,"?ACTIVATED",IF(J4858&lt;&gt;"","?FAMILIAR",IF(F4858="NEW",IF(ISNA(VLOOKUP(E4858,#REF!,1,FALSE())),"?TYPE_IDENTIFIABLE","?REFERENTIAL"),"_")))))</f>
        <v> </v>
      </c>
      <c r="H4858" s="25" t="str">
        <f>IF(J4858&lt;&gt;1,"",IF(I4858="SBJ","CB","?"))</f>
        <v> </v>
      </c>
      <c r="I4858" s="26" t="str">
        <f>IF(OR(E4858="",E4858="!!!",F4858="NEW"),"",INDEX(B4857:B$2,-1+SUMPRODUCT(MAX(ROW(E4857:E$2)*(E4858=E4857:E$2)))))</f>
        <v> </v>
      </c>
      <c r="J4858" s="26" t="str">
        <f>IF(OR(E4858="",E4858="!!!",F4858="NEW"),"",COUNTBLANK(OFFSET(A$1,,,SUMPRODUCT(MAX(ROW(E$2:E4858)*(E4858=E$2:E4858)))))-COUNTBLANK(OFFSET(A$1,,,SUMPRODUCT(MAX(ROW(E$1:E4857)*(E2=E$1:E4857))))))</f>
        <v> </v>
      </c>
      <c r="K4858" s="26" t="str">
        <f>IF(OR(E4858="",E4858="!!!",F4858="NEW"),"",INDEX(J$1:J4857,SUMPRODUCT(MAX(ROW(E$1:E4857)*(E4858=E$1:E4857)))))</f>
        <v> </v>
      </c>
      <c r="L4858" s="27"/>
    </row>
    <row r="4859" spans="1:12">
      <c r="A4859" s="20" t="s">
        <v>1569</v>
      </c>
      <c r="E4859" s="22">
        <f>IF(D4859="?OLD","!!!","")</f>
        <v/>
      </c>
      <c r="F4859" s="23" t="str">
        <f>IF(OR(E4859="",E4859="!!!"),"",IF(NOT(ISNA(VLOOKUP(E4859,E$1:E4858,1,FALSE()))),"OLD",IF(AND(E4859&lt;&gt;"",E4859&lt;&gt;"!!!"),"NEW","")))</f>
        <v> </v>
      </c>
      <c r="G4859" s="24" t="str">
        <f>IF(OR(E4859="",E4859="!!!"),"",IF(OR(J4859=0,AND(J4859=1,K4859=1),AND(J4859=1,I4859="SBJ"),AND(J4859=1,I4859=0)),"?IN_FOCUS",IF(J4859&lt;=2,"?ACTIVATED",IF(J4859&lt;&gt;"","?FAMILIAR",IF(F4859="NEW",IF(ISNA(VLOOKUP(E4859,#REF!,1,FALSE())),"?TYPE_IDENTIFIABLE","?REFERENTIAL"),"_")))))</f>
        <v> </v>
      </c>
      <c r="H4859" s="25" t="str">
        <f>IF(J4859&lt;&gt;1,"",IF(I4859="SBJ","CB","?"))</f>
        <v> </v>
      </c>
      <c r="I4859" s="26" t="str">
        <f>IF(OR(E4859="",E4859="!!!",F4859="NEW"),"",INDEX(B4858:B$2,-1+SUMPRODUCT(MAX(ROW(E4858:E$2)*(E4859=E4858:E$2)))))</f>
        <v> </v>
      </c>
      <c r="J4859" s="26" t="str">
        <f>IF(OR(E4859="",E4859="!!!",F4859="NEW"),"",COUNTBLANK(OFFSET(A$1,,,SUMPRODUCT(MAX(ROW(E$2:E4859)*(E4859=E$2:E4859)))))-COUNTBLANK(OFFSET(A$1,,,SUMPRODUCT(MAX(ROW(E$1:E4858)*(E2=E$1:E4858))))))</f>
        <v> </v>
      </c>
      <c r="K4859" s="26" t="str">
        <f>IF(OR(E4859="",E4859="!!!",F4859="NEW"),"",INDEX(J$1:J4858,SUMPRODUCT(MAX(ROW(E$1:E4858)*(E4859=E$1:E4858)))))</f>
        <v> </v>
      </c>
      <c r="L4859" s="27"/>
    </row>
    <row r="4860" spans="1:12">
      <c r="A4860" s="20" t="s">
        <v>822</v>
      </c>
      <c r="B4860" s="21" t="s">
        <v>1033</v>
      </c>
      <c r="C4860" s="21" t="s">
        <v>1041</v>
      </c>
      <c r="D4860" s="21" t="s">
        <v>1007</v>
      </c>
      <c r="E4860" s="22">
        <f>IF(D4860="?OLD","!!!","")</f>
        <v/>
      </c>
      <c r="F4860" s="23" t="str">
        <f>IF(OR(E4860="",E4860="!!!"),"",IF(NOT(ISNA(VLOOKUP(E4860,E$1:E4859,1,FALSE()))),"OLD",IF(AND(E4860&lt;&gt;"",E4860&lt;&gt;"!!!"),"NEW","")))</f>
        <v> </v>
      </c>
      <c r="G4860" s="24" t="str">
        <f>IF(OR(E4860="",E4860="!!!"),"",IF(OR(J4860=0,AND(J4860=1,K4860=1),AND(J4860=1,I4860="SBJ"),AND(J4860=1,I4860=0)),"?IN_FOCUS",IF(J4860&lt;=2,"?ACTIVATED",IF(J4860&lt;&gt;"","?FAMILIAR",IF(F4860="NEW",IF(ISNA(VLOOKUP(E4860,#REF!,1,FALSE())),"?TYPE_IDENTIFIABLE","?REFERENTIAL"),"_")))))</f>
        <v> </v>
      </c>
      <c r="H4860" s="25" t="str">
        <f>IF(J4860&lt;&gt;1,"",IF(I4860="SBJ","CB","?"))</f>
        <v> </v>
      </c>
      <c r="I4860" s="26" t="str">
        <f>IF(OR(E4860="",E4860="!!!",F4860="NEW"),"",INDEX(B4859:B$2,-1+SUMPRODUCT(MAX(ROW(E4859:E$2)*(E4860=E4859:E$2)))))</f>
        <v> </v>
      </c>
      <c r="J4860" s="26" t="str">
        <f>IF(OR(E4860="",E4860="!!!",F4860="NEW"),"",COUNTBLANK(OFFSET(A$1,,,SUMPRODUCT(MAX(ROW(E$2:E4860)*(E4860=E$2:E4860)))))-COUNTBLANK(OFFSET(A$1,,,SUMPRODUCT(MAX(ROW(E$1:E4859)*(E2=E$1:E4859))))))</f>
        <v> </v>
      </c>
      <c r="K4860" s="26" t="str">
        <f>IF(OR(E4860="",E4860="!!!",F4860="NEW"),"",INDEX(J$1:J4859,SUMPRODUCT(MAX(ROW(E$1:E4859)*(E4860=E$1:E4859)))))</f>
        <v> </v>
      </c>
      <c r="L4860" s="27"/>
    </row>
    <row r="4861" spans="1:12">
      <c r="A4861" s="20" t="s">
        <v>1299</v>
      </c>
      <c r="E4861" s="22">
        <f>IF(D4861="?OLD","!!!","")</f>
        <v/>
      </c>
      <c r="F4861" s="23" t="str">
        <f>IF(OR(E4861="",E4861="!!!"),"",IF(NOT(ISNA(VLOOKUP(E4861,E$1:E4860,1,FALSE()))),"OLD",IF(AND(E4861&lt;&gt;"",E4861&lt;&gt;"!!!"),"NEW","")))</f>
        <v> </v>
      </c>
      <c r="G4861" s="24" t="str">
        <f>IF(OR(E4861="",E4861="!!!"),"",IF(OR(J4861=0,AND(J4861=1,K4861=1),AND(J4861=1,I4861="SBJ"),AND(J4861=1,I4861=0)),"?IN_FOCUS",IF(J4861&lt;=2,"?ACTIVATED",IF(J4861&lt;&gt;"","?FAMILIAR",IF(F4861="NEW",IF(ISNA(VLOOKUP(E4861,#REF!,1,FALSE())),"?TYPE_IDENTIFIABLE","?REFERENTIAL"),"_")))))</f>
        <v> </v>
      </c>
      <c r="H4861" s="25" t="str">
        <f>IF(J4861&lt;&gt;1,"",IF(I4861="SBJ","CB","?"))</f>
        <v> </v>
      </c>
      <c r="I4861" s="26" t="str">
        <f>IF(OR(E4861="",E4861="!!!",F4861="NEW"),"",INDEX(B4860:B$2,-1+SUMPRODUCT(MAX(ROW(E4860:E$2)*(E4861=E4860:E$2)))))</f>
        <v> </v>
      </c>
      <c r="J4861" s="26" t="str">
        <f>IF(OR(E4861="",E4861="!!!",F4861="NEW"),"",COUNTBLANK(OFFSET(A$1,,,SUMPRODUCT(MAX(ROW(E$2:E4861)*(E4861=E$2:E4861)))))-COUNTBLANK(OFFSET(A$1,,,SUMPRODUCT(MAX(ROW(E$1:E4860)*(E2=E$1:E4860))))))</f>
        <v> </v>
      </c>
      <c r="K4861" s="26" t="str">
        <f>IF(OR(E4861="",E4861="!!!",F4861="NEW"),"",INDEX(J$1:J4860,SUMPRODUCT(MAX(ROW(E$1:E4860)*(E4861=E$1:E4860)))))</f>
        <v> </v>
      </c>
      <c r="L4861" s="27"/>
    </row>
    <row r="4862" spans="1:12">
      <c r="A4862" s="20" t="s">
        <v>1386</v>
      </c>
      <c r="E4862" s="22">
        <f>IF(D4862="?OLD","!!!","")</f>
        <v/>
      </c>
      <c r="F4862" s="23" t="str">
        <f>IF(OR(E4862="",E4862="!!!"),"",IF(NOT(ISNA(VLOOKUP(E4862,E$1:E4861,1,FALSE()))),"OLD",IF(AND(E4862&lt;&gt;"",E4862&lt;&gt;"!!!"),"NEW","")))</f>
        <v> </v>
      </c>
      <c r="G4862" s="24" t="str">
        <f>IF(OR(E4862="",E4862="!!!"),"",IF(OR(J4862=0,AND(J4862=1,K4862=1),AND(J4862=1,I4862="SBJ"),AND(J4862=1,I4862=0)),"?IN_FOCUS",IF(J4862&lt;=2,"?ACTIVATED",IF(J4862&lt;&gt;"","?FAMILIAR",IF(F4862="NEW",IF(ISNA(VLOOKUP(E4862,#REF!,1,FALSE())),"?TYPE_IDENTIFIABLE","?REFERENTIAL"),"_")))))</f>
        <v> </v>
      </c>
      <c r="H4862" s="25" t="str">
        <f>IF(J4862&lt;&gt;1,"",IF(I4862="SBJ","CB","?"))</f>
        <v> </v>
      </c>
      <c r="I4862" s="26" t="str">
        <f>IF(OR(E4862="",E4862="!!!",F4862="NEW"),"",INDEX(B4861:B$2,-1+SUMPRODUCT(MAX(ROW(E4861:E$2)*(E4862=E4861:E$2)))))</f>
        <v> </v>
      </c>
      <c r="J4862" s="26" t="str">
        <f>IF(OR(E4862="",E4862="!!!",F4862="NEW"),"",COUNTBLANK(OFFSET(A$1,,,SUMPRODUCT(MAX(ROW(E$2:E4862)*(E4862=E$2:E4862)))))-COUNTBLANK(OFFSET(A$1,,,SUMPRODUCT(MAX(ROW(E$1:E4861)*(E2=E$1:E4861))))))</f>
        <v> </v>
      </c>
      <c r="K4862" s="26" t="str">
        <f>IF(OR(E4862="",E4862="!!!",F4862="NEW"),"",INDEX(J$1:J4861,SUMPRODUCT(MAX(ROW(E$1:E4861)*(E4862=E$1:E4861)))))</f>
        <v> </v>
      </c>
      <c r="L4862" s="27"/>
    </row>
    <row r="4863" spans="1:12">
      <c r="A4863" s="20" t="s">
        <v>1065</v>
      </c>
      <c r="E4863" s="22">
        <f>IF(D4863="?OLD","!!!","")</f>
        <v/>
      </c>
      <c r="F4863" s="23" t="str">
        <f>IF(OR(E4863="",E4863="!!!"),"",IF(NOT(ISNA(VLOOKUP(E4863,E$1:E4862,1,FALSE()))),"OLD",IF(AND(E4863&lt;&gt;"",E4863&lt;&gt;"!!!"),"NEW","")))</f>
        <v> </v>
      </c>
      <c r="G4863" s="24" t="str">
        <f>IF(OR(E4863="",E4863="!!!"),"",IF(OR(J4863=0,AND(J4863=1,K4863=1),AND(J4863=1,I4863="SBJ"),AND(J4863=1,I4863=0)),"?IN_FOCUS",IF(J4863&lt;=2,"?ACTIVATED",IF(J4863&lt;&gt;"","?FAMILIAR",IF(F4863="NEW",IF(ISNA(VLOOKUP(E4863,#REF!,1,FALSE())),"?TYPE_IDENTIFIABLE","?REFERENTIAL"),"_")))))</f>
        <v> </v>
      </c>
      <c r="H4863" s="25" t="str">
        <f>IF(J4863&lt;&gt;1,"",IF(I4863="SBJ","CB","?"))</f>
        <v> </v>
      </c>
      <c r="I4863" s="26" t="str">
        <f>IF(OR(E4863="",E4863="!!!",F4863="NEW"),"",INDEX(B4862:B$2,-1+SUMPRODUCT(MAX(ROW(E4862:E$2)*(E4863=E4862:E$2)))))</f>
        <v> </v>
      </c>
      <c r="J4863" s="26" t="str">
        <f>IF(OR(E4863="",E4863="!!!",F4863="NEW"),"",COUNTBLANK(OFFSET(A$1,,,SUMPRODUCT(MAX(ROW(E$2:E4863)*(E4863=E$2:E4863)))))-COUNTBLANK(OFFSET(A$1,,,SUMPRODUCT(MAX(ROW(E$1:E4862)*(E2=E$1:E4862))))))</f>
        <v> </v>
      </c>
      <c r="K4863" s="26" t="str">
        <f>IF(OR(E4863="",E4863="!!!",F4863="NEW"),"",INDEX(J$1:J4862,SUMPRODUCT(MAX(ROW(E$1:E4862)*(E4863=E$1:E4862)))))</f>
        <v> </v>
      </c>
      <c r="L4863" s="27"/>
    </row>
    <row r="4864" spans="1:12">
      <c r="A4864" s="20" t="s">
        <v>1203</v>
      </c>
      <c r="E4864" s="22">
        <f>IF(D4864="?OLD","!!!","")</f>
        <v/>
      </c>
      <c r="F4864" s="23" t="str">
        <f>IF(OR(E4864="",E4864="!!!"),"",IF(NOT(ISNA(VLOOKUP(E4864,E$1:E4863,1,FALSE()))),"OLD",IF(AND(E4864&lt;&gt;"",E4864&lt;&gt;"!!!"),"NEW","")))</f>
        <v> </v>
      </c>
      <c r="G4864" s="24" t="str">
        <f>IF(OR(E4864="",E4864="!!!"),"",IF(OR(J4864=0,AND(J4864=1,K4864=1),AND(J4864=1,I4864="SBJ"),AND(J4864=1,I4864=0)),"?IN_FOCUS",IF(J4864&lt;=2,"?ACTIVATED",IF(J4864&lt;&gt;"","?FAMILIAR",IF(F4864="NEW",IF(ISNA(VLOOKUP(E4864,#REF!,1,FALSE())),"?TYPE_IDENTIFIABLE","?REFERENTIAL"),"_")))))</f>
        <v> </v>
      </c>
      <c r="H4864" s="25" t="str">
        <f>IF(J4864&lt;&gt;1,"",IF(I4864="SBJ","CB","?"))</f>
        <v> </v>
      </c>
      <c r="I4864" s="26" t="str">
        <f>IF(OR(E4864="",E4864="!!!",F4864="NEW"),"",INDEX(B4863:B$2,-1+SUMPRODUCT(MAX(ROW(E4863:E$2)*(E4864=E4863:E$2)))))</f>
        <v> </v>
      </c>
      <c r="J4864" s="26" t="str">
        <f>IF(OR(E4864="",E4864="!!!",F4864="NEW"),"",COUNTBLANK(OFFSET(A$1,,,SUMPRODUCT(MAX(ROW(E$2:E4864)*(E4864=E$2:E4864)))))-COUNTBLANK(OFFSET(A$1,,,SUMPRODUCT(MAX(ROW(E$1:E4863)*(E2=E$1:E4863))))))</f>
        <v> </v>
      </c>
      <c r="K4864" s="26" t="str">
        <f>IF(OR(E4864="",E4864="!!!",F4864="NEW"),"",INDEX(J$1:J4863,SUMPRODUCT(MAX(ROW(E$1:E4863)*(E4864=E$1:E4863)))))</f>
        <v> </v>
      </c>
      <c r="L4864" s="27"/>
    </row>
    <row r="4865" spans="1:12">
      <c r="A4865" s="20" t="s">
        <v>2361</v>
      </c>
      <c r="B4865" s="21" t="s">
        <v>1064</v>
      </c>
      <c r="C4865" s="21" t="s">
        <v>1048</v>
      </c>
      <c r="E4865" s="22">
        <f>IF(D4865="?OLD","!!!","")</f>
        <v/>
      </c>
      <c r="F4865" s="23" t="str">
        <f>IF(OR(E4865="",E4865="!!!"),"",IF(NOT(ISNA(VLOOKUP(E4865,E$1:E4864,1,FALSE()))),"OLD",IF(AND(E4865&lt;&gt;"",E4865&lt;&gt;"!!!"),"NEW","")))</f>
        <v> </v>
      </c>
      <c r="G4865" s="24" t="str">
        <f>IF(OR(E4865="",E4865="!!!"),"",IF(OR(J4865=0,AND(J4865=1,K4865=1),AND(J4865=1,I4865="SBJ"),AND(J4865=1,I4865=0)),"?IN_FOCUS",IF(J4865&lt;=2,"?ACTIVATED",IF(J4865&lt;&gt;"","?FAMILIAR",IF(F4865="NEW",IF(ISNA(VLOOKUP(E4865,#REF!,1,FALSE())),"?TYPE_IDENTIFIABLE","?REFERENTIAL"),"_")))))</f>
        <v> </v>
      </c>
      <c r="H4865" s="25" t="str">
        <f>IF(J4865&lt;&gt;1,"",IF(I4865="SBJ","CB","?"))</f>
        <v> </v>
      </c>
      <c r="I4865" s="26" t="str">
        <f>IF(OR(E4865="",E4865="!!!",F4865="NEW"),"",INDEX(B4864:B$2,-1+SUMPRODUCT(MAX(ROW(E4864:E$2)*(E4865=E4864:E$2)))))</f>
        <v> </v>
      </c>
      <c r="J4865" s="26" t="str">
        <f>IF(OR(E4865="",E4865="!!!",F4865="NEW"),"",COUNTBLANK(OFFSET(A$1,,,SUMPRODUCT(MAX(ROW(E$2:E4865)*(E4865=E$2:E4865)))))-COUNTBLANK(OFFSET(A$1,,,SUMPRODUCT(MAX(ROW(E$1:E4864)*(E2=E$1:E4864))))))</f>
        <v> </v>
      </c>
      <c r="K4865" s="26" t="str">
        <f>IF(OR(E4865="",E4865="!!!",F4865="NEW"),"",INDEX(J$1:J4864,SUMPRODUCT(MAX(ROW(E$1:E4864)*(E4865=E$1:E4864)))))</f>
        <v> </v>
      </c>
      <c r="L4865" s="27"/>
    </row>
    <row r="4866" spans="1:12">
      <c r="A4866" s="20" t="s">
        <v>1476</v>
      </c>
      <c r="E4866" s="22">
        <f>IF(D4866="?OLD","!!!","")</f>
        <v/>
      </c>
      <c r="F4866" s="23" t="str">
        <f>IF(OR(E4866="",E4866="!!!"),"",IF(NOT(ISNA(VLOOKUP(E4866,E$1:E4865,1,FALSE()))),"OLD",IF(AND(E4866&lt;&gt;"",E4866&lt;&gt;"!!!"),"NEW","")))</f>
        <v> </v>
      </c>
      <c r="G4866" s="24" t="str">
        <f>IF(OR(E4866="",E4866="!!!"),"",IF(OR(J4866=0,AND(J4866=1,K4866=1),AND(J4866=1,I4866="SBJ"),AND(J4866=1,I4866=0)),"?IN_FOCUS",IF(J4866&lt;=2,"?ACTIVATED",IF(J4866&lt;&gt;"","?FAMILIAR",IF(F4866="NEW",IF(ISNA(VLOOKUP(E4866,#REF!,1,FALSE())),"?TYPE_IDENTIFIABLE","?REFERENTIAL"),"_")))))</f>
        <v> </v>
      </c>
      <c r="H4866" s="25" t="str">
        <f>IF(J4866&lt;&gt;1,"",IF(I4866="SBJ","CB","?"))</f>
        <v> </v>
      </c>
      <c r="I4866" s="26" t="str">
        <f>IF(OR(E4866="",E4866="!!!",F4866="NEW"),"",INDEX(B4865:B$2,-1+SUMPRODUCT(MAX(ROW(E4865:E$2)*(E4866=E4865:E$2)))))</f>
        <v> </v>
      </c>
      <c r="J4866" s="26" t="str">
        <f>IF(OR(E4866="",E4866="!!!",F4866="NEW"),"",COUNTBLANK(OFFSET(A$1,,,SUMPRODUCT(MAX(ROW(E$2:E4866)*(E4866=E$2:E4866)))))-COUNTBLANK(OFFSET(A$1,,,SUMPRODUCT(MAX(ROW(E$1:E4865)*(E2=E$1:E4865))))))</f>
        <v> </v>
      </c>
      <c r="K4866" s="26" t="str">
        <f>IF(OR(E4866="",E4866="!!!",F4866="NEW"),"",INDEX(J$1:J4865,SUMPRODUCT(MAX(ROW(E$1:E4865)*(E4866=E$1:E4865)))))</f>
        <v> </v>
      </c>
      <c r="L4866" s="27"/>
    </row>
    <row r="4867" spans="1:12">
      <c r="A4867" s="20" t="s">
        <v>2362</v>
      </c>
      <c r="E4867" s="22">
        <f>IF(D4867="?OLD","!!!","")</f>
        <v/>
      </c>
      <c r="F4867" s="23" t="str">
        <f>IF(OR(E4867="",E4867="!!!"),"",IF(NOT(ISNA(VLOOKUP(E4867,E$1:E4866,1,FALSE()))),"OLD",IF(AND(E4867&lt;&gt;"",E4867&lt;&gt;"!!!"),"NEW","")))</f>
        <v> </v>
      </c>
      <c r="G4867" s="24" t="str">
        <f>IF(OR(E4867="",E4867="!!!"),"",IF(OR(J4867=0,AND(J4867=1,K4867=1),AND(J4867=1,I4867="SBJ"),AND(J4867=1,I4867=0)),"?IN_FOCUS",IF(J4867&lt;=2,"?ACTIVATED",IF(J4867&lt;&gt;"","?FAMILIAR",IF(F4867="NEW",IF(ISNA(VLOOKUP(E4867,#REF!,1,FALSE())),"?TYPE_IDENTIFIABLE","?REFERENTIAL"),"_")))))</f>
        <v> </v>
      </c>
      <c r="H4867" s="25" t="str">
        <f>IF(J4867&lt;&gt;1,"",IF(I4867="SBJ","CB","?"))</f>
        <v> </v>
      </c>
      <c r="I4867" s="26" t="str">
        <f>IF(OR(E4867="",E4867="!!!",F4867="NEW"),"",INDEX(B4866:B$2,-1+SUMPRODUCT(MAX(ROW(E4866:E$2)*(E4867=E4866:E$2)))))</f>
        <v> </v>
      </c>
      <c r="J4867" s="26" t="str">
        <f>IF(OR(E4867="",E4867="!!!",F4867="NEW"),"",COUNTBLANK(OFFSET(A$1,,,SUMPRODUCT(MAX(ROW(E$2:E4867)*(E4867=E$2:E4867)))))-COUNTBLANK(OFFSET(A$1,,,SUMPRODUCT(MAX(ROW(E$1:E4866)*(E2=E$1:E4866))))))</f>
        <v> </v>
      </c>
      <c r="K4867" s="26" t="str">
        <f>IF(OR(E4867="",E4867="!!!",F4867="NEW"),"",INDEX(J$1:J4866,SUMPRODUCT(MAX(ROW(E$1:E4866)*(E4867=E$1:E4866)))))</f>
        <v> </v>
      </c>
      <c r="L4867" s="27"/>
    </row>
    <row r="4868" spans="1:12">
      <c r="A4868" s="20" t="s">
        <v>1030</v>
      </c>
      <c r="E4868" s="22">
        <f>IF(D4868="?OLD","!!!","")</f>
        <v/>
      </c>
      <c r="F4868" s="23" t="str">
        <f>IF(OR(E4868="",E4868="!!!"),"",IF(NOT(ISNA(VLOOKUP(E4868,E$1:E4867,1,FALSE()))),"OLD",IF(AND(E4868&lt;&gt;"",E4868&lt;&gt;"!!!"),"NEW","")))</f>
        <v> </v>
      </c>
      <c r="G4868" s="24" t="str">
        <f>IF(OR(E4868="",E4868="!!!"),"",IF(OR(J4868=0,AND(J4868=1,K4868=1),AND(J4868=1,I4868="SBJ"),AND(J4868=1,I4868=0)),"?IN_FOCUS",IF(J4868&lt;=2,"?ACTIVATED",IF(J4868&lt;&gt;"","?FAMILIAR",IF(F4868="NEW",IF(ISNA(VLOOKUP(E4868,#REF!,1,FALSE())),"?TYPE_IDENTIFIABLE","?REFERENTIAL"),"_")))))</f>
        <v> </v>
      </c>
      <c r="H4868" s="25" t="str">
        <f>IF(J4868&lt;&gt;1,"",IF(I4868="SBJ","CB","?"))</f>
        <v> </v>
      </c>
      <c r="I4868" s="26" t="str">
        <f>IF(OR(E4868="",E4868="!!!",F4868="NEW"),"",INDEX(B4867:B$2,-1+SUMPRODUCT(MAX(ROW(E4867:E$2)*(E4868=E4867:E$2)))))</f>
        <v> </v>
      </c>
      <c r="J4868" s="26" t="str">
        <f>IF(OR(E4868="",E4868="!!!",F4868="NEW"),"",COUNTBLANK(OFFSET(A$1,,,SUMPRODUCT(MAX(ROW(E$2:E4868)*(E4868=E$2:E4868)))))-COUNTBLANK(OFFSET(A$1,,,SUMPRODUCT(MAX(ROW(E$1:E4867)*(E2=E$1:E4867))))))</f>
        <v> </v>
      </c>
      <c r="K4868" s="26" t="str">
        <f>IF(OR(E4868="",E4868="!!!",F4868="NEW"),"",INDEX(J$1:J4867,SUMPRODUCT(MAX(ROW(E$1:E4867)*(E4868=E$1:E4867)))))</f>
        <v> </v>
      </c>
      <c r="L4868" s="27"/>
    </row>
    <row r="4869" spans="1:12">
      <c r="A4869" s="20" t="s">
        <v>1760</v>
      </c>
      <c r="B4869" s="21" t="s">
        <v>1035</v>
      </c>
      <c r="C4869" s="21" t="s">
        <v>1013</v>
      </c>
      <c r="D4869" s="21" t="s">
        <v>1007</v>
      </c>
      <c r="E4869" s="22">
        <f>IF(D4869="?OLD","!!!","")</f>
        <v/>
      </c>
      <c r="F4869" s="23" t="str">
        <f>IF(OR(E4869="",E4869="!!!"),"",IF(NOT(ISNA(VLOOKUP(E4869,E$1:E4868,1,FALSE()))),"OLD",IF(AND(E4869&lt;&gt;"",E4869&lt;&gt;"!!!"),"NEW","")))</f>
        <v> </v>
      </c>
      <c r="G4869" s="24" t="str">
        <f>IF(OR(E4869="",E4869="!!!"),"",IF(OR(J4869=0,AND(J4869=1,K4869=1),AND(J4869=1,I4869="SBJ"),AND(J4869=1,I4869=0)),"?IN_FOCUS",IF(J4869&lt;=2,"?ACTIVATED",IF(J4869&lt;&gt;"","?FAMILIAR",IF(F4869="NEW",IF(ISNA(VLOOKUP(E4869,#REF!,1,FALSE())),"?TYPE_IDENTIFIABLE","?REFERENTIAL"),"_")))))</f>
        <v> </v>
      </c>
      <c r="H4869" s="25" t="str">
        <f>IF(J4869&lt;&gt;1,"",IF(I4869="SBJ","CB","?"))</f>
        <v> </v>
      </c>
      <c r="I4869" s="26" t="str">
        <f>IF(OR(E4869="",E4869="!!!",F4869="NEW"),"",INDEX(B4868:B$2,-1+SUMPRODUCT(MAX(ROW(E4868:E$2)*(E4869=E4868:E$2)))))</f>
        <v> </v>
      </c>
      <c r="J4869" s="26" t="str">
        <f>IF(OR(E4869="",E4869="!!!",F4869="NEW"),"",COUNTBLANK(OFFSET(A$1,,,SUMPRODUCT(MAX(ROW(E$2:E4869)*(E4869=E$2:E4869)))))-COUNTBLANK(OFFSET(A$1,,,SUMPRODUCT(MAX(ROW(E$1:E4868)*(E2=E$1:E4868))))))</f>
        <v> </v>
      </c>
      <c r="K4869" s="26" t="str">
        <f>IF(OR(E4869="",E4869="!!!",F4869="NEW"),"",INDEX(J$1:J4868,SUMPRODUCT(MAX(ROW(E$1:E4868)*(E4869=E$1:E4868)))))</f>
        <v> </v>
      </c>
      <c r="L4869" s="27"/>
    </row>
    <row r="4870" spans="1:12">
      <c r="A4870" s="20" t="s">
        <v>1020</v>
      </c>
      <c r="E4870" s="22">
        <f>IF(D4870="?OLD","!!!","")</f>
        <v/>
      </c>
      <c r="F4870" s="23" t="str">
        <f>IF(OR(E4870="",E4870="!!!"),"",IF(NOT(ISNA(VLOOKUP(E4870,E$1:E4869,1,FALSE()))),"OLD",IF(AND(E4870&lt;&gt;"",E4870&lt;&gt;"!!!"),"NEW","")))</f>
        <v> </v>
      </c>
      <c r="G4870" s="24" t="str">
        <f>IF(OR(E4870="",E4870="!!!"),"",IF(OR(J4870=0,AND(J4870=1,K4870=1),AND(J4870=1,I4870="SBJ"),AND(J4870=1,I4870=0)),"?IN_FOCUS",IF(J4870&lt;=2,"?ACTIVATED",IF(J4870&lt;&gt;"","?FAMILIAR",IF(F4870="NEW",IF(ISNA(VLOOKUP(E4870,#REF!,1,FALSE())),"?TYPE_IDENTIFIABLE","?REFERENTIAL"),"_")))))</f>
        <v> </v>
      </c>
      <c r="H4870" s="25" t="str">
        <f>IF(J4870&lt;&gt;1,"",IF(I4870="SBJ","CB","?"))</f>
        <v> </v>
      </c>
      <c r="I4870" s="26" t="str">
        <f>IF(OR(E4870="",E4870="!!!",F4870="NEW"),"",INDEX(B4869:B$2,-1+SUMPRODUCT(MAX(ROW(E4869:E$2)*(E4870=E4869:E$2)))))</f>
        <v> </v>
      </c>
      <c r="J4870" s="26" t="str">
        <f>IF(OR(E4870="",E4870="!!!",F4870="NEW"),"",COUNTBLANK(OFFSET(A$1,,,SUMPRODUCT(MAX(ROW(E$2:E4870)*(E4870=E$2:E4870)))))-COUNTBLANK(OFFSET(A$1,,,SUMPRODUCT(MAX(ROW(E$1:E4869)*(E2=E$1:E4869))))))</f>
        <v> </v>
      </c>
      <c r="K4870" s="26" t="str">
        <f>IF(OR(E4870="",E4870="!!!",F4870="NEW"),"",INDEX(J$1:J4869,SUMPRODUCT(MAX(ROW(E$1:E4869)*(E4870=E$1:E4869)))))</f>
        <v> </v>
      </c>
      <c r="L4870" s="27"/>
    </row>
    <row r="4871" spans="1:12">
      <c r="A4871" s="20" t="s">
        <v>36</v>
      </c>
      <c r="B4871" s="21" t="s">
        <v>1130</v>
      </c>
      <c r="C4871" s="21" t="s">
        <v>1006</v>
      </c>
      <c r="D4871" s="21" t="s">
        <v>1007</v>
      </c>
      <c r="E4871" s="22">
        <f>IF(D4871="?OLD","!!!","")</f>
        <v/>
      </c>
      <c r="F4871" s="23" t="str">
        <f>IF(OR(E4871="",E4871="!!!"),"",IF(NOT(ISNA(VLOOKUP(E4871,E$1:E4870,1,FALSE()))),"OLD",IF(AND(E4871&lt;&gt;"",E4871&lt;&gt;"!!!"),"NEW","")))</f>
        <v> </v>
      </c>
      <c r="G4871" s="24" t="str">
        <f>IF(OR(E4871="",E4871="!!!"),"",IF(OR(J4871=0,AND(J4871=1,K4871=1),AND(J4871=1,I4871="SBJ"),AND(J4871=1,I4871=0)),"?IN_FOCUS",IF(J4871&lt;=2,"?ACTIVATED",IF(J4871&lt;&gt;"","?FAMILIAR",IF(F4871="NEW",IF(ISNA(VLOOKUP(E4871,#REF!,1,FALSE())),"?TYPE_IDENTIFIABLE","?REFERENTIAL"),"_")))))</f>
        <v> </v>
      </c>
      <c r="H4871" s="25" t="str">
        <f>IF(J4871&lt;&gt;1,"",IF(I4871="SBJ","CB","?"))</f>
        <v> </v>
      </c>
      <c r="I4871" s="26" t="str">
        <f>IF(OR(E4871="",E4871="!!!",F4871="NEW"),"",INDEX(B4870:B$2,-1+SUMPRODUCT(MAX(ROW(E4870:E$2)*(E4871=E4870:E$2)))))</f>
        <v> </v>
      </c>
      <c r="J4871" s="26" t="str">
        <f>IF(OR(E4871="",E4871="!!!",F4871="NEW"),"",COUNTBLANK(OFFSET(A$1,,,SUMPRODUCT(MAX(ROW(E$2:E4871)*(E4871=E$2:E4871)))))-COUNTBLANK(OFFSET(A$1,,,SUMPRODUCT(MAX(ROW(E$1:E4870)*(E2=E$1:E4870))))))</f>
        <v> </v>
      </c>
      <c r="K4871" s="26" t="str">
        <f>IF(OR(E4871="",E4871="!!!",F4871="NEW"),"",INDEX(J$1:J4870,SUMPRODUCT(MAX(ROW(E$1:E4870)*(E4871=E$1:E4870)))))</f>
        <v> </v>
      </c>
      <c r="L4871" s="27"/>
    </row>
    <row r="4872" spans="1:12">
      <c r="A4872" s="20" t="s">
        <v>1043</v>
      </c>
      <c r="B4872" s="21" t="s">
        <v>1040</v>
      </c>
      <c r="C4872" s="21" t="s">
        <v>1006</v>
      </c>
      <c r="D4872" s="21" t="s">
        <v>1007</v>
      </c>
      <c r="E4872" s="22">
        <f>IF(D4872="?OLD","!!!","")</f>
        <v/>
      </c>
      <c r="F4872" s="23" t="str">
        <f>IF(OR(E4872="",E4872="!!!"),"",IF(NOT(ISNA(VLOOKUP(E4872,E$1:E4871,1,FALSE()))),"OLD",IF(AND(E4872&lt;&gt;"",E4872&lt;&gt;"!!!"),"NEW","")))</f>
        <v> </v>
      </c>
      <c r="G4872" s="24" t="str">
        <f>IF(OR(E4872="",E4872="!!!"),"",IF(OR(J4872=0,AND(J4872=1,K4872=1),AND(J4872=1,I4872="SBJ"),AND(J4872=1,I4872=0)),"?IN_FOCUS",IF(J4872&lt;=2,"?ACTIVATED",IF(J4872&lt;&gt;"","?FAMILIAR",IF(F4872="NEW",IF(ISNA(VLOOKUP(E4872,#REF!,1,FALSE())),"?TYPE_IDENTIFIABLE","?REFERENTIAL"),"_")))))</f>
        <v> </v>
      </c>
      <c r="H4872" s="25" t="str">
        <f>IF(J4872&lt;&gt;1,"",IF(I4872="SBJ","CB","?"))</f>
        <v> </v>
      </c>
      <c r="I4872" s="26" t="str">
        <f>IF(OR(E4872="",E4872="!!!",F4872="NEW"),"",INDEX(B4871:B$2,-1+SUMPRODUCT(MAX(ROW(E4871:E$2)*(E4872=E4871:E$2)))))</f>
        <v> </v>
      </c>
      <c r="J4872" s="26" t="str">
        <f>IF(OR(E4872="",E4872="!!!",F4872="NEW"),"",COUNTBLANK(OFFSET(A$1,,,SUMPRODUCT(MAX(ROW(E$2:E4872)*(E4872=E$2:E4872)))))-COUNTBLANK(OFFSET(A$1,,,SUMPRODUCT(MAX(ROW(E$1:E4871)*(E2=E$1:E4871))))))</f>
        <v> </v>
      </c>
      <c r="K4872" s="26" t="str">
        <f>IF(OR(E4872="",E4872="!!!",F4872="NEW"),"",INDEX(J$1:J4871,SUMPRODUCT(MAX(ROW(E$1:E4871)*(E4872=E$1:E4871)))))</f>
        <v> </v>
      </c>
      <c r="L4872" s="27"/>
    </row>
    <row r="4873" spans="1:12">
      <c r="A4873" s="20" t="s">
        <v>1023</v>
      </c>
      <c r="E4873" s="22">
        <f>IF(D4873="?OLD","!!!","")</f>
        <v/>
      </c>
      <c r="F4873" s="23" t="str">
        <f>IF(OR(E4873="",E4873="!!!"),"",IF(NOT(ISNA(VLOOKUP(E4873,E$1:E4872,1,FALSE()))),"OLD",IF(AND(E4873&lt;&gt;"",E4873&lt;&gt;"!!!"),"NEW","")))</f>
        <v> </v>
      </c>
      <c r="G4873" s="24" t="str">
        <f>IF(OR(E4873="",E4873="!!!"),"",IF(OR(J4873=0,AND(J4873=1,K4873=1),AND(J4873=1,I4873="SBJ"),AND(J4873=1,I4873=0)),"?IN_FOCUS",IF(J4873&lt;=2,"?ACTIVATED",IF(J4873&lt;&gt;"","?FAMILIAR",IF(F4873="NEW",IF(ISNA(VLOOKUP(E4873,#REF!,1,FALSE())),"?TYPE_IDENTIFIABLE","?REFERENTIAL"),"_")))))</f>
        <v> </v>
      </c>
      <c r="H4873" s="25" t="str">
        <f>IF(J4873&lt;&gt;1,"",IF(I4873="SBJ","CB","?"))</f>
        <v> </v>
      </c>
      <c r="I4873" s="26" t="str">
        <f>IF(OR(E4873="",E4873="!!!",F4873="NEW"),"",INDEX(B4872:B$2,-1+SUMPRODUCT(MAX(ROW(E4872:E$2)*(E4873=E4872:E$2)))))</f>
        <v> </v>
      </c>
      <c r="J4873" s="26" t="str">
        <f>IF(OR(E4873="",E4873="!!!",F4873="NEW"),"",COUNTBLANK(OFFSET(A$1,,,SUMPRODUCT(MAX(ROW(E$2:E4873)*(E4873=E$2:E4873)))))-COUNTBLANK(OFFSET(A$1,,,SUMPRODUCT(MAX(ROW(E$1:E4872)*(E2=E$1:E4872))))))</f>
        <v> </v>
      </c>
      <c r="K4873" s="26" t="str">
        <f>IF(OR(E4873="",E4873="!!!",F4873="NEW"),"",INDEX(J$1:J4872,SUMPRODUCT(MAX(ROW(E$1:E4872)*(E4873=E$1:E4872)))))</f>
        <v> </v>
      </c>
      <c r="L4873" s="27"/>
    </row>
    <row r="4874" spans="1:12">
      <c r="A4874" s="20"/>
    </row>
    <row r="4875" spans="1:12">
      <c r="A4875" s="20" t="s">
        <v>2363</v>
      </c>
    </row>
    <row r="4876" spans="1:12">
      <c r="A4876" s="20" t="s">
        <v>2364</v>
      </c>
      <c r="E4876" s="22">
        <f>IF(D4876="?OLD","!!!","")</f>
        <v/>
      </c>
      <c r="F4876" s="23" t="str">
        <f>IF(OR(E4876="",E4876="!!!"),"",IF(NOT(ISNA(VLOOKUP(E4876,E$1:E4875,1,FALSE()))),"OLD",IF(AND(E4876&lt;&gt;"",E4876&lt;&gt;"!!!"),"NEW","")))</f>
        <v> </v>
      </c>
      <c r="G4876" s="24" t="str">
        <f>IF(OR(E4876="",E4876="!!!"),"",IF(OR(J4876=0,AND(J4876=1,K4876=1),AND(J4876=1,I4876="SBJ"),AND(J4876=1,I4876=0)),"?IN_FOCUS",IF(J4876&lt;=2,"?ACTIVATED",IF(J4876&lt;&gt;"","?FAMILIAR",IF(F4876="NEW",IF(ISNA(VLOOKUP(E4876,#REF!,1,FALSE())),"?TYPE_IDENTIFIABLE","?REFERENTIAL"),"_")))))</f>
        <v> </v>
      </c>
      <c r="H4876" s="25" t="str">
        <f>IF(J4876&lt;&gt;1,"",IF(I4876="SBJ","CB","?"))</f>
        <v> </v>
      </c>
      <c r="I4876" s="26" t="str">
        <f>IF(OR(E4876="",E4876="!!!",F4876="NEW"),"",INDEX(B4875:B$2,-1+SUMPRODUCT(MAX(ROW(E4875:E$2)*(E4876=E4875:E$2)))))</f>
        <v> </v>
      </c>
      <c r="J4876" s="26" t="str">
        <f>IF(OR(E4876="",E4876="!!!",F4876="NEW"),"",COUNTBLANK(OFFSET(A$1,,,SUMPRODUCT(MAX(ROW(E$2:E4876)*(E4876=E$2:E4876)))))-COUNTBLANK(OFFSET(A$1,,,SUMPRODUCT(MAX(ROW(E$1:E4875)*(E2=E$1:E4875))))))</f>
        <v> </v>
      </c>
      <c r="K4876" s="26" t="str">
        <f>IF(OR(E4876="",E4876="!!!",F4876="NEW"),"",INDEX(J$1:J4875,SUMPRODUCT(MAX(ROW(E$1:E4875)*(E4876=E$1:E4875)))))</f>
        <v> </v>
      </c>
      <c r="L4876" s="27"/>
    </row>
    <row r="4877" spans="1:12">
      <c r="A4877" s="20" t="s">
        <v>1065</v>
      </c>
      <c r="E4877" s="22">
        <f>IF(D4877="?OLD","!!!","")</f>
        <v/>
      </c>
      <c r="F4877" s="23" t="str">
        <f>IF(OR(E4877="",E4877="!!!"),"",IF(NOT(ISNA(VLOOKUP(E4877,E$1:E4876,1,FALSE()))),"OLD",IF(AND(E4877&lt;&gt;"",E4877&lt;&gt;"!!!"),"NEW","")))</f>
        <v> </v>
      </c>
      <c r="G4877" s="24" t="str">
        <f>IF(OR(E4877="",E4877="!!!"),"",IF(OR(J4877=0,AND(J4877=1,K4877=1),AND(J4877=1,I4877="SBJ"),AND(J4877=1,I4877=0)),"?IN_FOCUS",IF(J4877&lt;=2,"?ACTIVATED",IF(J4877&lt;&gt;"","?FAMILIAR",IF(F4877="NEW",IF(ISNA(VLOOKUP(E4877,#REF!,1,FALSE())),"?TYPE_IDENTIFIABLE","?REFERENTIAL"),"_")))))</f>
        <v> </v>
      </c>
      <c r="H4877" s="25" t="str">
        <f>IF(J4877&lt;&gt;1,"",IF(I4877="SBJ","CB","?"))</f>
        <v> </v>
      </c>
      <c r="I4877" s="26" t="str">
        <f>IF(OR(E4877="",E4877="!!!",F4877="NEW"),"",INDEX(B4876:B$2,-1+SUMPRODUCT(MAX(ROW(E4876:E$2)*(E4877=E4876:E$2)))))</f>
        <v> </v>
      </c>
      <c r="J4877" s="26" t="str">
        <f>IF(OR(E4877="",E4877="!!!",F4877="NEW"),"",COUNTBLANK(OFFSET(A$1,,,SUMPRODUCT(MAX(ROW(E$2:E4877)*(E4877=E$2:E4877)))))-COUNTBLANK(OFFSET(A$1,,,SUMPRODUCT(MAX(ROW(E$1:E4876)*(E2=E$1:E4876))))))</f>
        <v> </v>
      </c>
      <c r="K4877" s="26" t="str">
        <f>IF(OR(E4877="",E4877="!!!",F4877="NEW"),"",INDEX(J$1:J4876,SUMPRODUCT(MAX(ROW(E$1:E4876)*(E4877=E$1:E4876)))))</f>
        <v> </v>
      </c>
      <c r="L4877" s="27"/>
    </row>
    <row r="4878" spans="1:12">
      <c r="A4878" s="20" t="s">
        <v>1520</v>
      </c>
      <c r="E4878" s="22">
        <f>IF(D4878="?OLD","!!!","")</f>
        <v/>
      </c>
      <c r="F4878" s="23" t="str">
        <f>IF(OR(E4878="",E4878="!!!"),"",IF(NOT(ISNA(VLOOKUP(E4878,E$1:E4877,1,FALSE()))),"OLD",IF(AND(E4878&lt;&gt;"",E4878&lt;&gt;"!!!"),"NEW","")))</f>
        <v> </v>
      </c>
      <c r="G4878" s="24" t="str">
        <f>IF(OR(E4878="",E4878="!!!"),"",IF(OR(J4878=0,AND(J4878=1,K4878=1),AND(J4878=1,I4878="SBJ"),AND(J4878=1,I4878=0)),"?IN_FOCUS",IF(J4878&lt;=2,"?ACTIVATED",IF(J4878&lt;&gt;"","?FAMILIAR",IF(F4878="NEW",IF(ISNA(VLOOKUP(E4878,#REF!,1,FALSE())),"?TYPE_IDENTIFIABLE","?REFERENTIAL"),"_")))))</f>
        <v> </v>
      </c>
      <c r="H4878" s="25" t="str">
        <f>IF(J4878&lt;&gt;1,"",IF(I4878="SBJ","CB","?"))</f>
        <v> </v>
      </c>
      <c r="I4878" s="26" t="str">
        <f>IF(OR(E4878="",E4878="!!!",F4878="NEW"),"",INDEX(B4877:B$2,-1+SUMPRODUCT(MAX(ROW(E4877:E$2)*(E4878=E4877:E$2)))))</f>
        <v> </v>
      </c>
      <c r="J4878" s="26" t="str">
        <f>IF(OR(E4878="",E4878="!!!",F4878="NEW"),"",COUNTBLANK(OFFSET(A$1,,,SUMPRODUCT(MAX(ROW(E$2:E4878)*(E4878=E$2:E4878)))))-COUNTBLANK(OFFSET(A$1,,,SUMPRODUCT(MAX(ROW(E$1:E4877)*(E2=E$1:E4877))))))</f>
        <v> </v>
      </c>
      <c r="K4878" s="26" t="str">
        <f>IF(OR(E4878="",E4878="!!!",F4878="NEW"),"",INDEX(J$1:J4877,SUMPRODUCT(MAX(ROW(E$1:E4877)*(E4878=E$1:E4877)))))</f>
        <v> </v>
      </c>
      <c r="L4878" s="27"/>
    </row>
    <row r="4879" spans="1:12">
      <c r="A4879" s="20" t="s">
        <v>1027</v>
      </c>
      <c r="E4879" s="22">
        <f>IF(D4879="?OLD","!!!","")</f>
        <v/>
      </c>
      <c r="F4879" s="23" t="str">
        <f>IF(OR(E4879="",E4879="!!!"),"",IF(NOT(ISNA(VLOOKUP(E4879,E$1:E4878,1,FALSE()))),"OLD",IF(AND(E4879&lt;&gt;"",E4879&lt;&gt;"!!!"),"NEW","")))</f>
        <v> </v>
      </c>
      <c r="G4879" s="24" t="str">
        <f>IF(OR(E4879="",E4879="!!!"),"",IF(OR(J4879=0,AND(J4879=1,K4879=1),AND(J4879=1,I4879="SBJ"),AND(J4879=1,I4879=0)),"?IN_FOCUS",IF(J4879&lt;=2,"?ACTIVATED",IF(J4879&lt;&gt;"","?FAMILIAR",IF(F4879="NEW",IF(ISNA(VLOOKUP(E4879,#REF!,1,FALSE())),"?TYPE_IDENTIFIABLE","?REFERENTIAL"),"_")))))</f>
        <v> </v>
      </c>
      <c r="H4879" s="25" t="str">
        <f>IF(J4879&lt;&gt;1,"",IF(I4879="SBJ","CB","?"))</f>
        <v> </v>
      </c>
      <c r="I4879" s="26" t="str">
        <f>IF(OR(E4879="",E4879="!!!",F4879="NEW"),"",INDEX(B4878:B$2,-1+SUMPRODUCT(MAX(ROW(E4878:E$2)*(E4879=E4878:E$2)))))</f>
        <v> </v>
      </c>
      <c r="J4879" s="26" t="str">
        <f>IF(OR(E4879="",E4879="!!!",F4879="NEW"),"",COUNTBLANK(OFFSET(A$1,,,SUMPRODUCT(MAX(ROW(E$2:E4879)*(E4879=E$2:E4879)))))-COUNTBLANK(OFFSET(A$1,,,SUMPRODUCT(MAX(ROW(E$1:E4878)*(E2=E$1:E4878))))))</f>
        <v> </v>
      </c>
      <c r="K4879" s="26" t="str">
        <f>IF(OR(E4879="",E4879="!!!",F4879="NEW"),"",INDEX(J$1:J4878,SUMPRODUCT(MAX(ROW(E$1:E4878)*(E4879=E$1:E4878)))))</f>
        <v> </v>
      </c>
      <c r="L4879" s="27"/>
    </row>
    <row r="4880" spans="1:12">
      <c r="A4880" s="20" t="s">
        <v>1749</v>
      </c>
      <c r="E4880" s="22">
        <f>IF(D4880="?OLD","!!!","")</f>
        <v/>
      </c>
      <c r="F4880" s="23" t="str">
        <f>IF(OR(E4880="",E4880="!!!"),"",IF(NOT(ISNA(VLOOKUP(E4880,E$1:E4879,1,FALSE()))),"OLD",IF(AND(E4880&lt;&gt;"",E4880&lt;&gt;"!!!"),"NEW","")))</f>
        <v> </v>
      </c>
      <c r="G4880" s="24" t="str">
        <f>IF(OR(E4880="",E4880="!!!"),"",IF(OR(J4880=0,AND(J4880=1,K4880=1),AND(J4880=1,I4880="SBJ"),AND(J4880=1,I4880=0)),"?IN_FOCUS",IF(J4880&lt;=2,"?ACTIVATED",IF(J4880&lt;&gt;"","?FAMILIAR",IF(F4880="NEW",IF(ISNA(VLOOKUP(E4880,#REF!,1,FALSE())),"?TYPE_IDENTIFIABLE","?REFERENTIAL"),"_")))))</f>
        <v> </v>
      </c>
      <c r="H4880" s="25" t="str">
        <f>IF(J4880&lt;&gt;1,"",IF(I4880="SBJ","CB","?"))</f>
        <v> </v>
      </c>
      <c r="I4880" s="26" t="str">
        <f>IF(OR(E4880="",E4880="!!!",F4880="NEW"),"",INDEX(B4879:B$2,-1+SUMPRODUCT(MAX(ROW(E4879:E$2)*(E4880=E4879:E$2)))))</f>
        <v> </v>
      </c>
      <c r="J4880" s="26" t="str">
        <f>IF(OR(E4880="",E4880="!!!",F4880="NEW"),"",COUNTBLANK(OFFSET(A$1,,,SUMPRODUCT(MAX(ROW(E$2:E4880)*(E4880=E$2:E4880)))))-COUNTBLANK(OFFSET(A$1,,,SUMPRODUCT(MAX(ROW(E$1:E4879)*(E2=E$1:E4879))))))</f>
        <v> </v>
      </c>
      <c r="K4880" s="26" t="str">
        <f>IF(OR(E4880="",E4880="!!!",F4880="NEW"),"",INDEX(J$1:J4879,SUMPRODUCT(MAX(ROW(E$1:E4879)*(E4880=E$1:E4879)))))</f>
        <v> </v>
      </c>
      <c r="L4880" s="27"/>
    </row>
    <row r="4881" spans="1:12">
      <c r="A4881" s="20" t="s">
        <v>2365</v>
      </c>
      <c r="B4881" s="21" t="s">
        <v>1029</v>
      </c>
      <c r="C4881" s="21" t="s">
        <v>2268</v>
      </c>
      <c r="D4881" s="21" t="s">
        <v>1007</v>
      </c>
      <c r="E4881" s="22">
        <f>IF(D4881="?OLD","!!!","")</f>
        <v/>
      </c>
      <c r="F4881" s="23" t="str">
        <f>IF(OR(E4881="",E4881="!!!"),"",IF(NOT(ISNA(VLOOKUP(E4881,E$1:E4880,1,FALSE()))),"OLD",IF(AND(E4881&lt;&gt;"",E4881&lt;&gt;"!!!"),"NEW","")))</f>
        <v> </v>
      </c>
      <c r="G4881" s="24" t="str">
        <f>IF(OR(E4881="",E4881="!!!"),"",IF(OR(J4881=0,AND(J4881=1,K4881=1),AND(J4881=1,I4881="SBJ"),AND(J4881=1,I4881=0)),"?IN_FOCUS",IF(J4881&lt;=2,"?ACTIVATED",IF(J4881&lt;&gt;"","?FAMILIAR",IF(F4881="NEW",IF(ISNA(VLOOKUP(E4881,#REF!,1,FALSE())),"?TYPE_IDENTIFIABLE","?REFERENTIAL"),"_")))))</f>
        <v> </v>
      </c>
      <c r="H4881" s="25" t="str">
        <f>IF(J4881&lt;&gt;1,"",IF(I4881="SBJ","CB","?"))</f>
        <v> </v>
      </c>
      <c r="I4881" s="26" t="str">
        <f>IF(OR(E4881="",E4881="!!!",F4881="NEW"),"",INDEX(B4880:B$2,-1+SUMPRODUCT(MAX(ROW(E4880:E$2)*(E4881=E4880:E$2)))))</f>
        <v> </v>
      </c>
      <c r="J4881" s="26" t="str">
        <f>IF(OR(E4881="",E4881="!!!",F4881="NEW"),"",COUNTBLANK(OFFSET(A$1,,,SUMPRODUCT(MAX(ROW(E$2:E4881)*(E4881=E$2:E4881)))))-COUNTBLANK(OFFSET(A$1,,,SUMPRODUCT(MAX(ROW(E$1:E4880)*(E2=E$1:E4880))))))</f>
        <v> </v>
      </c>
      <c r="K4881" s="26" t="str">
        <f>IF(OR(E4881="",E4881="!!!",F4881="NEW"),"",INDEX(J$1:J4880,SUMPRODUCT(MAX(ROW(E$1:E4880)*(E4881=E$1:E4880)))))</f>
        <v> </v>
      </c>
      <c r="L4881" s="27"/>
    </row>
    <row r="4882" spans="1:12">
      <c r="A4882" s="20" t="s">
        <v>2366</v>
      </c>
      <c r="E4882" s="22">
        <f>IF(D4882="?OLD","!!!","")</f>
        <v/>
      </c>
      <c r="F4882" s="23" t="str">
        <f>IF(OR(E4882="",E4882="!!!"),"",IF(NOT(ISNA(VLOOKUP(E4882,E$1:E4881,1,FALSE()))),"OLD",IF(AND(E4882&lt;&gt;"",E4882&lt;&gt;"!!!"),"NEW","")))</f>
        <v> </v>
      </c>
      <c r="G4882" s="24" t="str">
        <f>IF(OR(E4882="",E4882="!!!"),"",IF(OR(J4882=0,AND(J4882=1,K4882=1),AND(J4882=1,I4882="SBJ"),AND(J4882=1,I4882=0)),"?IN_FOCUS",IF(J4882&lt;=2,"?ACTIVATED",IF(J4882&lt;&gt;"","?FAMILIAR",IF(F4882="NEW",IF(ISNA(VLOOKUP(E4882,#REF!,1,FALSE())),"?TYPE_IDENTIFIABLE","?REFERENTIAL"),"_")))))</f>
        <v> </v>
      </c>
      <c r="H4882" s="25" t="str">
        <f>IF(J4882&lt;&gt;1,"",IF(I4882="SBJ","CB","?"))</f>
        <v> </v>
      </c>
      <c r="I4882" s="26" t="str">
        <f>IF(OR(E4882="",E4882="!!!",F4882="NEW"),"",INDEX(B4881:B$2,-1+SUMPRODUCT(MAX(ROW(E4881:E$2)*(E4882=E4881:E$2)))))</f>
        <v> </v>
      </c>
      <c r="J4882" s="26" t="str">
        <f>IF(OR(E4882="",E4882="!!!",F4882="NEW"),"",COUNTBLANK(OFFSET(A$1,,,SUMPRODUCT(MAX(ROW(E$2:E4882)*(E4882=E$2:E4882)))))-COUNTBLANK(OFFSET(A$1,,,SUMPRODUCT(MAX(ROW(E$1:E4881)*(E2=E$1:E4881))))))</f>
        <v> </v>
      </c>
      <c r="K4882" s="26" t="str">
        <f>IF(OR(E4882="",E4882="!!!",F4882="NEW"),"",INDEX(J$1:J4881,SUMPRODUCT(MAX(ROW(E$1:E4881)*(E4882=E$1:E4881)))))</f>
        <v> </v>
      </c>
      <c r="L4882" s="27"/>
    </row>
    <row r="4883" spans="1:12">
      <c r="A4883" s="20" t="s">
        <v>1018</v>
      </c>
      <c r="E4883" s="22">
        <f>IF(D4883="?OLD","!!!","")</f>
        <v/>
      </c>
      <c r="F4883" s="23" t="str">
        <f>IF(OR(E4883="",E4883="!!!"),"",IF(NOT(ISNA(VLOOKUP(E4883,E$1:E4882,1,FALSE()))),"OLD",IF(AND(E4883&lt;&gt;"",E4883&lt;&gt;"!!!"),"NEW","")))</f>
        <v> </v>
      </c>
      <c r="G4883" s="24" t="str">
        <f>IF(OR(E4883="",E4883="!!!"),"",IF(OR(J4883=0,AND(J4883=1,K4883=1),AND(J4883=1,I4883="SBJ"),AND(J4883=1,I4883=0)),"?IN_FOCUS",IF(J4883&lt;=2,"?ACTIVATED",IF(J4883&lt;&gt;"","?FAMILIAR",IF(F4883="NEW",IF(ISNA(VLOOKUP(E4883,#REF!,1,FALSE())),"?TYPE_IDENTIFIABLE","?REFERENTIAL"),"_")))))</f>
        <v> </v>
      </c>
      <c r="H4883" s="25" t="str">
        <f>IF(J4883&lt;&gt;1,"",IF(I4883="SBJ","CB","?"))</f>
        <v> </v>
      </c>
      <c r="I4883" s="26" t="str">
        <f>IF(OR(E4883="",E4883="!!!",F4883="NEW"),"",INDEX(B4882:B$2,-1+SUMPRODUCT(MAX(ROW(E4882:E$2)*(E4883=E4882:E$2)))))</f>
        <v> </v>
      </c>
      <c r="J4883" s="26" t="str">
        <f>IF(OR(E4883="",E4883="!!!",F4883="NEW"),"",COUNTBLANK(OFFSET(A$1,,,SUMPRODUCT(MAX(ROW(E$2:E4883)*(E4883=E$2:E4883)))))-COUNTBLANK(OFFSET(A$1,,,SUMPRODUCT(MAX(ROW(E$1:E4882)*(E2=E$1:E4882))))))</f>
        <v> </v>
      </c>
      <c r="K4883" s="26" t="str">
        <f>IF(OR(E4883="",E4883="!!!",F4883="NEW"),"",INDEX(J$1:J4882,SUMPRODUCT(MAX(ROW(E$1:E4882)*(E4883=E$1:E4882)))))</f>
        <v> </v>
      </c>
      <c r="L4883" s="27"/>
    </row>
    <row r="4884" spans="1:12">
      <c r="A4884" s="20" t="s">
        <v>2367</v>
      </c>
      <c r="B4884" s="21" t="s">
        <v>1033</v>
      </c>
      <c r="C4884" s="21" t="s">
        <v>1048</v>
      </c>
      <c r="E4884" s="22">
        <f>IF(D4884="?OLD","!!!","")</f>
        <v/>
      </c>
      <c r="F4884" s="23" t="str">
        <f>IF(OR(E4884="",E4884="!!!"),"",IF(NOT(ISNA(VLOOKUP(E4884,E$1:E4883,1,FALSE()))),"OLD",IF(AND(E4884&lt;&gt;"",E4884&lt;&gt;"!!!"),"NEW","")))</f>
        <v> </v>
      </c>
      <c r="G4884" s="24" t="str">
        <f>IF(OR(E4884="",E4884="!!!"),"",IF(OR(J4884=0,AND(J4884=1,K4884=1),AND(J4884=1,I4884="SBJ"),AND(J4884=1,I4884=0)),"?IN_FOCUS",IF(J4884&lt;=2,"?ACTIVATED",IF(J4884&lt;&gt;"","?FAMILIAR",IF(F4884="NEW",IF(ISNA(VLOOKUP(E4884,#REF!,1,FALSE())),"?TYPE_IDENTIFIABLE","?REFERENTIAL"),"_")))))</f>
        <v> </v>
      </c>
      <c r="H4884" s="25" t="str">
        <f>IF(J4884&lt;&gt;1,"",IF(I4884="SBJ","CB","?"))</f>
        <v> </v>
      </c>
      <c r="I4884" s="26" t="str">
        <f>IF(OR(E4884="",E4884="!!!",F4884="NEW"),"",INDEX(B4883:B$2,-1+SUMPRODUCT(MAX(ROW(E4883:E$2)*(E4884=E4883:E$2)))))</f>
        <v> </v>
      </c>
      <c r="J4884" s="26" t="str">
        <f>IF(OR(E4884="",E4884="!!!",F4884="NEW"),"",COUNTBLANK(OFFSET(A$1,,,SUMPRODUCT(MAX(ROW(E$2:E4884)*(E4884=E$2:E4884)))))-COUNTBLANK(OFFSET(A$1,,,SUMPRODUCT(MAX(ROW(E$1:E4883)*(E2=E$1:E4883))))))</f>
        <v> </v>
      </c>
      <c r="K4884" s="26" t="str">
        <f>IF(OR(E4884="",E4884="!!!",F4884="NEW"),"",INDEX(J$1:J4883,SUMPRODUCT(MAX(ROW(E$1:E4883)*(E4884=E$1:E4883)))))</f>
        <v> </v>
      </c>
      <c r="L4884" s="27"/>
    </row>
    <row r="4885" spans="1:12">
      <c r="A4885" s="20" t="s">
        <v>1077</v>
      </c>
      <c r="E4885" s="22">
        <f>IF(D4885="?OLD","!!!","")</f>
        <v/>
      </c>
      <c r="F4885" s="23" t="str">
        <f>IF(OR(E4885="",E4885="!!!"),"",IF(NOT(ISNA(VLOOKUP(E4885,E$1:E4884,1,FALSE()))),"OLD",IF(AND(E4885&lt;&gt;"",E4885&lt;&gt;"!!!"),"NEW","")))</f>
        <v> </v>
      </c>
      <c r="G4885" s="24" t="str">
        <f>IF(OR(E4885="",E4885="!!!"),"",IF(OR(J4885=0,AND(J4885=1,K4885=1),AND(J4885=1,I4885="SBJ"),AND(J4885=1,I4885=0)),"?IN_FOCUS",IF(J4885&lt;=2,"?ACTIVATED",IF(J4885&lt;&gt;"","?FAMILIAR",IF(F4885="NEW",IF(ISNA(VLOOKUP(E4885,#REF!,1,FALSE())),"?TYPE_IDENTIFIABLE","?REFERENTIAL"),"_")))))</f>
        <v> </v>
      </c>
      <c r="H4885" s="25" t="str">
        <f>IF(J4885&lt;&gt;1,"",IF(I4885="SBJ","CB","?"))</f>
        <v> </v>
      </c>
      <c r="I4885" s="26" t="str">
        <f>IF(OR(E4885="",E4885="!!!",F4885="NEW"),"",INDEX(B4884:B$2,-1+SUMPRODUCT(MAX(ROW(E4884:E$2)*(E4885=E4884:E$2)))))</f>
        <v> </v>
      </c>
      <c r="J4885" s="26" t="str">
        <f>IF(OR(E4885="",E4885="!!!",F4885="NEW"),"",COUNTBLANK(OFFSET(A$1,,,SUMPRODUCT(MAX(ROW(E$2:E4885)*(E4885=E$2:E4885)))))-COUNTBLANK(OFFSET(A$1,,,SUMPRODUCT(MAX(ROW(E$1:E4884)*(E2=E$1:E4884))))))</f>
        <v> </v>
      </c>
      <c r="K4885" s="26" t="str">
        <f>IF(OR(E4885="",E4885="!!!",F4885="NEW"),"",INDEX(J$1:J4884,SUMPRODUCT(MAX(ROW(E$1:E4884)*(E4885=E$1:E4884)))))</f>
        <v> </v>
      </c>
      <c r="L4885" s="27"/>
    </row>
    <row r="4886" spans="1:12">
      <c r="A4886" s="20"/>
    </row>
    <row r="4887" spans="1:12">
      <c r="A4887" s="20" t="s">
        <v>2368</v>
      </c>
    </row>
    <row r="4888" spans="1:12">
      <c r="A4888" s="20" t="s">
        <v>2369</v>
      </c>
      <c r="E4888" s="22">
        <f>IF(D4888="?OLD","!!!","")</f>
        <v/>
      </c>
      <c r="F4888" s="23" t="str">
        <f>IF(OR(E4888="",E4888="!!!"),"",IF(NOT(ISNA(VLOOKUP(E4888,E$1:E4887,1,FALSE()))),"OLD",IF(AND(E4888&lt;&gt;"",E4888&lt;&gt;"!!!"),"NEW","")))</f>
        <v> </v>
      </c>
      <c r="G4888" s="24" t="str">
        <f>IF(OR(E4888="",E4888="!!!"),"",IF(OR(J4888=0,AND(J4888=1,K4888=1),AND(J4888=1,I4888="SBJ"),AND(J4888=1,I4888=0)),"?IN_FOCUS",IF(J4888&lt;=2,"?ACTIVATED",IF(J4888&lt;&gt;"","?FAMILIAR",IF(F4888="NEW",IF(ISNA(VLOOKUP(E4888,#REF!,1,FALSE())),"?TYPE_IDENTIFIABLE","?REFERENTIAL"),"_")))))</f>
        <v> </v>
      </c>
      <c r="H4888" s="25" t="str">
        <f>IF(J4888&lt;&gt;1,"",IF(I4888="SBJ","CB","?"))</f>
        <v> </v>
      </c>
      <c r="I4888" s="26" t="str">
        <f>IF(OR(E4888="",E4888="!!!",F4888="NEW"),"",INDEX(B4887:B$2,-1+SUMPRODUCT(MAX(ROW(E4887:E$2)*(E4888=E4887:E$2)))))</f>
        <v> </v>
      </c>
      <c r="J4888" s="26" t="str">
        <f>IF(OR(E4888="",E4888="!!!",F4888="NEW"),"",COUNTBLANK(OFFSET(A$1,,,SUMPRODUCT(MAX(ROW(E$2:E4888)*(E4888=E$2:E4888)))))-COUNTBLANK(OFFSET(A$1,,,SUMPRODUCT(MAX(ROW(E$1:E4887)*(E2=E$1:E4887))))))</f>
        <v> </v>
      </c>
      <c r="K4888" s="26" t="str">
        <f>IF(OR(E4888="",E4888="!!!",F4888="NEW"),"",INDEX(J$1:J4887,SUMPRODUCT(MAX(ROW(E$1:E4887)*(E4888=E$1:E4887)))))</f>
        <v> </v>
      </c>
      <c r="L4888" s="27"/>
    </row>
    <row r="4889" spans="1:12">
      <c r="A4889" s="20" t="s">
        <v>102</v>
      </c>
      <c r="B4889" s="21" t="s">
        <v>1154</v>
      </c>
      <c r="C4889" s="21" t="s">
        <v>1073</v>
      </c>
      <c r="D4889" s="21" t="s">
        <v>1007</v>
      </c>
      <c r="E4889" s="22">
        <f>IF(D4889="?OLD","!!!","")</f>
        <v/>
      </c>
      <c r="F4889" s="23" t="str">
        <f>IF(OR(E4889="",E4889="!!!"),"",IF(NOT(ISNA(VLOOKUP(E4889,E$1:E4888,1,FALSE()))),"OLD",IF(AND(E4889&lt;&gt;"",E4889&lt;&gt;"!!!"),"NEW","")))</f>
        <v> </v>
      </c>
      <c r="G4889" s="24" t="str">
        <f>IF(OR(E4889="",E4889="!!!"),"",IF(OR(J4889=0,AND(J4889=1,K4889=1),AND(J4889=1,I4889="SBJ"),AND(J4889=1,I4889=0)),"?IN_FOCUS",IF(J4889&lt;=2,"?ACTIVATED",IF(J4889&lt;&gt;"","?FAMILIAR",IF(F4889="NEW",IF(ISNA(VLOOKUP(E4889,#REF!,1,FALSE())),"?TYPE_IDENTIFIABLE","?REFERENTIAL"),"_")))))</f>
        <v> </v>
      </c>
      <c r="H4889" s="25" t="str">
        <f>IF(J4889&lt;&gt;1,"",IF(I4889="SBJ","CB","?"))</f>
        <v> </v>
      </c>
      <c r="I4889" s="26" t="str">
        <f>IF(OR(E4889="",E4889="!!!",F4889="NEW"),"",INDEX(B4888:B$2,-1+SUMPRODUCT(MAX(ROW(E4888:E$2)*(E4889=E4888:E$2)))))</f>
        <v> </v>
      </c>
      <c r="J4889" s="26" t="str">
        <f>IF(OR(E4889="",E4889="!!!",F4889="NEW"),"",COUNTBLANK(OFFSET(A$1,,,SUMPRODUCT(MAX(ROW(E$2:E4889)*(E4889=E$2:E4889)))))-COUNTBLANK(OFFSET(A$1,,,SUMPRODUCT(MAX(ROW(E$1:E4888)*(E2=E$1:E4888))))))</f>
        <v> </v>
      </c>
      <c r="K4889" s="26" t="str">
        <f>IF(OR(E4889="",E4889="!!!",F4889="NEW"),"",INDEX(J$1:J4888,SUMPRODUCT(MAX(ROW(E$1:E4888)*(E4889=E$1:E4888)))))</f>
        <v> </v>
      </c>
      <c r="L4889" s="27"/>
    </row>
    <row r="4890" spans="1:12">
      <c r="A4890" s="20" t="s">
        <v>1065</v>
      </c>
      <c r="B4890" s="21" t="s">
        <v>1134</v>
      </c>
      <c r="E4890" s="22">
        <f>IF(D4890="?OLD","!!!","")</f>
        <v/>
      </c>
      <c r="F4890" s="23" t="str">
        <f>IF(OR(E4890="",E4890="!!!"),"",IF(NOT(ISNA(VLOOKUP(E4890,E$1:E4889,1,FALSE()))),"OLD",IF(AND(E4890&lt;&gt;"",E4890&lt;&gt;"!!!"),"NEW","")))</f>
        <v> </v>
      </c>
      <c r="G4890" s="24" t="str">
        <f>IF(OR(E4890="",E4890="!!!"),"",IF(OR(J4890=0,AND(J4890=1,K4890=1),AND(J4890=1,I4890="SBJ"),AND(J4890=1,I4890=0)),"?IN_FOCUS",IF(J4890&lt;=2,"?ACTIVATED",IF(J4890&lt;&gt;"","?FAMILIAR",IF(F4890="NEW",IF(ISNA(VLOOKUP(E4890,#REF!,1,FALSE())),"?TYPE_IDENTIFIABLE","?REFERENTIAL"),"_")))))</f>
        <v> </v>
      </c>
      <c r="H4890" s="25" t="str">
        <f>IF(J4890&lt;&gt;1,"",IF(I4890="SBJ","CB","?"))</f>
        <v> </v>
      </c>
      <c r="I4890" s="26" t="str">
        <f>IF(OR(E4890="",E4890="!!!",F4890="NEW"),"",INDEX(B4889:B$2,-1+SUMPRODUCT(MAX(ROW(E4889:E$2)*(E4890=E4889:E$2)))))</f>
        <v> </v>
      </c>
      <c r="J4890" s="26" t="str">
        <f>IF(OR(E4890="",E4890="!!!",F4890="NEW"),"",COUNTBLANK(OFFSET(A$1,,,SUMPRODUCT(MAX(ROW(E$2:E4890)*(E4890=E$2:E4890)))))-COUNTBLANK(OFFSET(A$1,,,SUMPRODUCT(MAX(ROW(E$1:E4889)*(E2=E$1:E4889))))))</f>
        <v> </v>
      </c>
      <c r="K4890" s="26" t="str">
        <f>IF(OR(E4890="",E4890="!!!",F4890="NEW"),"",INDEX(J$1:J4889,SUMPRODUCT(MAX(ROW(E$1:E4889)*(E4890=E$1:E4889)))))</f>
        <v> </v>
      </c>
      <c r="L4890" s="27"/>
    </row>
    <row r="4891" spans="1:12">
      <c r="A4891" s="20" t="s">
        <v>1180</v>
      </c>
      <c r="B4891" s="21" t="s">
        <v>1263</v>
      </c>
      <c r="C4891" s="21" t="s">
        <v>1082</v>
      </c>
      <c r="D4891" s="21" t="s">
        <v>1007</v>
      </c>
      <c r="E4891" s="22">
        <f>IF(D4891="?OLD","!!!","")</f>
        <v/>
      </c>
      <c r="F4891" s="23" t="str">
        <f>IF(OR(E4891="",E4891="!!!"),"",IF(NOT(ISNA(VLOOKUP(E4891,E$1:E4890,1,FALSE()))),"OLD",IF(AND(E4891&lt;&gt;"",E4891&lt;&gt;"!!!"),"NEW","")))</f>
        <v> </v>
      </c>
      <c r="G4891" s="24" t="str">
        <f>IF(OR(E4891="",E4891="!!!"),"",IF(OR(J4891=0,AND(J4891=1,K4891=1),AND(J4891=1,I4891="SBJ"),AND(J4891=1,I4891=0)),"?IN_FOCUS",IF(J4891&lt;=2,"?ACTIVATED",IF(J4891&lt;&gt;"","?FAMILIAR",IF(F4891="NEW",IF(ISNA(VLOOKUP(E4891,#REF!,1,FALSE())),"?TYPE_IDENTIFIABLE","?REFERENTIAL"),"_")))))</f>
        <v> </v>
      </c>
      <c r="H4891" s="25" t="str">
        <f>IF(J4891&lt;&gt;1,"",IF(I4891="SBJ","CB","?"))</f>
        <v> </v>
      </c>
      <c r="I4891" s="26" t="str">
        <f>IF(OR(E4891="",E4891="!!!",F4891="NEW"),"",INDEX(B4890:B$2,-1+SUMPRODUCT(MAX(ROW(E4890:E$2)*(E4891=E4890:E$2)))))</f>
        <v> </v>
      </c>
      <c r="J4891" s="26" t="str">
        <f>IF(OR(E4891="",E4891="!!!",F4891="NEW"),"",COUNTBLANK(OFFSET(A$1,,,SUMPRODUCT(MAX(ROW(E$2:E4891)*(E4891=E$2:E4891)))))-COUNTBLANK(OFFSET(A$1,,,SUMPRODUCT(MAX(ROW(E$1:E4890)*(E2=E$1:E4890))))))</f>
        <v> </v>
      </c>
      <c r="K4891" s="26" t="str">
        <f>IF(OR(E4891="",E4891="!!!",F4891="NEW"),"",INDEX(J$1:J4890,SUMPRODUCT(MAX(ROW(E$1:E4890)*(E4891=E$1:E4890)))))</f>
        <v> </v>
      </c>
      <c r="L4891" s="27"/>
    </row>
    <row r="4892" spans="1:12">
      <c r="A4892" s="20" t="s">
        <v>1930</v>
      </c>
      <c r="E4892" s="22">
        <f>IF(D4892="?OLD","!!!","")</f>
        <v/>
      </c>
      <c r="F4892" s="23" t="str">
        <f>IF(OR(E4892="",E4892="!!!"),"",IF(NOT(ISNA(VLOOKUP(E4892,E$1:E4891,1,FALSE()))),"OLD",IF(AND(E4892&lt;&gt;"",E4892&lt;&gt;"!!!"),"NEW","")))</f>
        <v> </v>
      </c>
      <c r="G4892" s="24" t="str">
        <f>IF(OR(E4892="",E4892="!!!"),"",IF(OR(J4892=0,AND(J4892=1,K4892=1),AND(J4892=1,I4892="SBJ"),AND(J4892=1,I4892=0)),"?IN_FOCUS",IF(J4892&lt;=2,"?ACTIVATED",IF(J4892&lt;&gt;"","?FAMILIAR",IF(F4892="NEW",IF(ISNA(VLOOKUP(E4892,#REF!,1,FALSE())),"?TYPE_IDENTIFIABLE","?REFERENTIAL"),"_")))))</f>
        <v> </v>
      </c>
      <c r="H4892" s="25" t="str">
        <f>IF(J4892&lt;&gt;1,"",IF(I4892="SBJ","CB","?"))</f>
        <v> </v>
      </c>
      <c r="I4892" s="26" t="str">
        <f>IF(OR(E4892="",E4892="!!!",F4892="NEW"),"",INDEX(B4891:B$2,-1+SUMPRODUCT(MAX(ROW(E4891:E$2)*(E4892=E4891:E$2)))))</f>
        <v> </v>
      </c>
      <c r="J4892" s="26" t="str">
        <f>IF(OR(E4892="",E4892="!!!",F4892="NEW"),"",COUNTBLANK(OFFSET(A$1,,,SUMPRODUCT(MAX(ROW(E$2:E4892)*(E4892=E$2:E4892)))))-COUNTBLANK(OFFSET(A$1,,,SUMPRODUCT(MAX(ROW(E$1:E4891)*(E2=E$1:E4891))))))</f>
        <v> </v>
      </c>
      <c r="K4892" s="26" t="str">
        <f>IF(OR(E4892="",E4892="!!!",F4892="NEW"),"",INDEX(J$1:J4891,SUMPRODUCT(MAX(ROW(E$1:E4891)*(E4892=E$1:E4891)))))</f>
        <v> </v>
      </c>
      <c r="L4892" s="27"/>
    </row>
    <row r="4893" spans="1:12">
      <c r="A4893" s="20" t="s">
        <v>1132</v>
      </c>
      <c r="E4893" s="22">
        <f>IF(D4893="?OLD","!!!","")</f>
        <v/>
      </c>
      <c r="F4893" s="23" t="str">
        <f>IF(OR(E4893="",E4893="!!!"),"",IF(NOT(ISNA(VLOOKUP(E4893,E$1:E4892,1,FALSE()))),"OLD",IF(AND(E4893&lt;&gt;"",E4893&lt;&gt;"!!!"),"NEW","")))</f>
        <v> </v>
      </c>
      <c r="G4893" s="24" t="str">
        <f>IF(OR(E4893="",E4893="!!!"),"",IF(OR(J4893=0,AND(J4893=1,K4893=1),AND(J4893=1,I4893="SBJ"),AND(J4893=1,I4893=0)),"?IN_FOCUS",IF(J4893&lt;=2,"?ACTIVATED",IF(J4893&lt;&gt;"","?FAMILIAR",IF(F4893="NEW",IF(ISNA(VLOOKUP(E4893,#REF!,1,FALSE())),"?TYPE_IDENTIFIABLE","?REFERENTIAL"),"_")))))</f>
        <v> </v>
      </c>
      <c r="H4893" s="25" t="str">
        <f>IF(J4893&lt;&gt;1,"",IF(I4893="SBJ","CB","?"))</f>
        <v> </v>
      </c>
      <c r="I4893" s="26" t="str">
        <f>IF(OR(E4893="",E4893="!!!",F4893="NEW"),"",INDEX(B4892:B$2,-1+SUMPRODUCT(MAX(ROW(E4892:E$2)*(E4893=E4892:E$2)))))</f>
        <v> </v>
      </c>
      <c r="J4893" s="26" t="str">
        <f>IF(OR(E4893="",E4893="!!!",F4893="NEW"),"",COUNTBLANK(OFFSET(A$1,,,SUMPRODUCT(MAX(ROW(E$2:E4893)*(E4893=E$2:E4893)))))-COUNTBLANK(OFFSET(A$1,,,SUMPRODUCT(MAX(ROW(E$1:E4892)*(E2=E$1:E4892))))))</f>
        <v> </v>
      </c>
      <c r="K4893" s="26" t="str">
        <f>IF(OR(E4893="",E4893="!!!",F4893="NEW"),"",INDEX(J$1:J4892,SUMPRODUCT(MAX(ROW(E$1:E4892)*(E4893=E$1:E4892)))))</f>
        <v> </v>
      </c>
      <c r="L4893" s="27"/>
    </row>
    <row r="4894" spans="1:12">
      <c r="A4894" s="20" t="s">
        <v>1056</v>
      </c>
      <c r="E4894" s="22">
        <f>IF(D4894="?OLD","!!!","")</f>
        <v/>
      </c>
      <c r="F4894" s="23" t="str">
        <f>IF(OR(E4894="",E4894="!!!"),"",IF(NOT(ISNA(VLOOKUP(E4894,E$1:E4893,1,FALSE()))),"OLD",IF(AND(E4894&lt;&gt;"",E4894&lt;&gt;"!!!"),"NEW","")))</f>
        <v> </v>
      </c>
      <c r="G4894" s="24" t="str">
        <f>IF(OR(E4894="",E4894="!!!"),"",IF(OR(J4894=0,AND(J4894=1,K4894=1),AND(J4894=1,I4894="SBJ"),AND(J4894=1,I4894=0)),"?IN_FOCUS",IF(J4894&lt;=2,"?ACTIVATED",IF(J4894&lt;&gt;"","?FAMILIAR",IF(F4894="NEW",IF(ISNA(VLOOKUP(E4894,#REF!,1,FALSE())),"?TYPE_IDENTIFIABLE","?REFERENTIAL"),"_")))))</f>
        <v> </v>
      </c>
      <c r="H4894" s="25" t="str">
        <f>IF(J4894&lt;&gt;1,"",IF(I4894="SBJ","CB","?"))</f>
        <v> </v>
      </c>
      <c r="I4894" s="26" t="str">
        <f>IF(OR(E4894="",E4894="!!!",F4894="NEW"),"",INDEX(B4893:B$2,-1+SUMPRODUCT(MAX(ROW(E4893:E$2)*(E4894=E4893:E$2)))))</f>
        <v> </v>
      </c>
      <c r="J4894" s="26" t="str">
        <f>IF(OR(E4894="",E4894="!!!",F4894="NEW"),"",COUNTBLANK(OFFSET(A$1,,,SUMPRODUCT(MAX(ROW(E$2:E4894)*(E4894=E$2:E4894)))))-COUNTBLANK(OFFSET(A$1,,,SUMPRODUCT(MAX(ROW(E$1:E4893)*(E2=E$1:E4893))))))</f>
        <v> </v>
      </c>
      <c r="K4894" s="26" t="str">
        <f>IF(OR(E4894="",E4894="!!!",F4894="NEW"),"",INDEX(J$1:J4893,SUMPRODUCT(MAX(ROW(E$1:E4893)*(E4894=E$1:E4893)))))</f>
        <v> </v>
      </c>
      <c r="L4894" s="27"/>
    </row>
    <row r="4895" spans="1:12">
      <c r="A4895" s="20" t="s">
        <v>2370</v>
      </c>
      <c r="B4895" s="21" t="s">
        <v>1130</v>
      </c>
      <c r="C4895" s="21" t="s">
        <v>1111</v>
      </c>
      <c r="E4895" s="22">
        <f>IF(D4895="?OLD","!!!","")</f>
        <v/>
      </c>
      <c r="F4895" s="23" t="str">
        <f>IF(OR(E4895="",E4895="!!!"),"",IF(NOT(ISNA(VLOOKUP(E4895,E$1:E4894,1,FALSE()))),"OLD",IF(AND(E4895&lt;&gt;"",E4895&lt;&gt;"!!!"),"NEW","")))</f>
        <v> </v>
      </c>
      <c r="G4895" s="24" t="str">
        <f>IF(OR(E4895="",E4895="!!!"),"",IF(OR(J4895=0,AND(J4895=1,K4895=1),AND(J4895=1,I4895="SBJ"),AND(J4895=1,I4895=0)),"?IN_FOCUS",IF(J4895&lt;=2,"?ACTIVATED",IF(J4895&lt;&gt;"","?FAMILIAR",IF(F4895="NEW",IF(ISNA(VLOOKUP(E4895,#REF!,1,FALSE())),"?TYPE_IDENTIFIABLE","?REFERENTIAL"),"_")))))</f>
        <v> </v>
      </c>
      <c r="H4895" s="25" t="str">
        <f>IF(J4895&lt;&gt;1,"",IF(I4895="SBJ","CB","?"))</f>
        <v> </v>
      </c>
      <c r="I4895" s="26" t="str">
        <f>IF(OR(E4895="",E4895="!!!",F4895="NEW"),"",INDEX(B4894:B$2,-1+SUMPRODUCT(MAX(ROW(E4894:E$2)*(E4895=E4894:E$2)))))</f>
        <v> </v>
      </c>
      <c r="J4895" s="26" t="str">
        <f>IF(OR(E4895="",E4895="!!!",F4895="NEW"),"",COUNTBLANK(OFFSET(A$1,,,SUMPRODUCT(MAX(ROW(E$2:E4895)*(E4895=E$2:E4895)))))-COUNTBLANK(OFFSET(A$1,,,SUMPRODUCT(MAX(ROW(E$1:E4894)*(E2=E$1:E4894))))))</f>
        <v> </v>
      </c>
      <c r="K4895" s="26" t="str">
        <f>IF(OR(E4895="",E4895="!!!",F4895="NEW"),"",INDEX(J$1:J4894,SUMPRODUCT(MAX(ROW(E$1:E4894)*(E4895=E$1:E4894)))))</f>
        <v> </v>
      </c>
      <c r="L4895" s="27"/>
    </row>
    <row r="4896" spans="1:12">
      <c r="A4896" s="20" t="s">
        <v>1065</v>
      </c>
      <c r="B4896" s="21" t="s">
        <v>1251</v>
      </c>
      <c r="E4896" s="22">
        <f>IF(D4896="?OLD","!!!","")</f>
        <v/>
      </c>
      <c r="F4896" s="23" t="str">
        <f>IF(OR(E4896="",E4896="!!!"),"",IF(NOT(ISNA(VLOOKUP(E4896,E$1:E4895,1,FALSE()))),"OLD",IF(AND(E4896&lt;&gt;"",E4896&lt;&gt;"!!!"),"NEW","")))</f>
        <v> </v>
      </c>
      <c r="G4896" s="24" t="str">
        <f>IF(OR(E4896="",E4896="!!!"),"",IF(OR(J4896=0,AND(J4896=1,K4896=1),AND(J4896=1,I4896="SBJ"),AND(J4896=1,I4896=0)),"?IN_FOCUS",IF(J4896&lt;=2,"?ACTIVATED",IF(J4896&lt;&gt;"","?FAMILIAR",IF(F4896="NEW",IF(ISNA(VLOOKUP(E4896,#REF!,1,FALSE())),"?TYPE_IDENTIFIABLE","?REFERENTIAL"),"_")))))</f>
        <v> </v>
      </c>
      <c r="H4896" s="25" t="str">
        <f>IF(J4896&lt;&gt;1,"",IF(I4896="SBJ","CB","?"))</f>
        <v> </v>
      </c>
      <c r="I4896" s="26" t="str">
        <f>IF(OR(E4896="",E4896="!!!",F4896="NEW"),"",INDEX(B4895:B$2,-1+SUMPRODUCT(MAX(ROW(E4895:E$2)*(E4896=E4895:E$2)))))</f>
        <v> </v>
      </c>
      <c r="J4896" s="26" t="str">
        <f>IF(OR(E4896="",E4896="!!!",F4896="NEW"),"",COUNTBLANK(OFFSET(A$1,,,SUMPRODUCT(MAX(ROW(E$2:E4896)*(E4896=E$2:E4896)))))-COUNTBLANK(OFFSET(A$1,,,SUMPRODUCT(MAX(ROW(E$1:E4895)*(E2=E$1:E4895))))))</f>
        <v> </v>
      </c>
      <c r="K4896" s="26" t="str">
        <f>IF(OR(E4896="",E4896="!!!",F4896="NEW"),"",INDEX(J$1:J4895,SUMPRODUCT(MAX(ROW(E$1:E4895)*(E4896=E$1:E4895)))))</f>
        <v> </v>
      </c>
      <c r="L4896" s="27"/>
    </row>
    <row r="4897" spans="1:12">
      <c r="A4897" s="20" t="s">
        <v>1018</v>
      </c>
      <c r="E4897" s="22">
        <f>IF(D4897="?OLD","!!!","")</f>
        <v/>
      </c>
      <c r="F4897" s="23" t="str">
        <f>IF(OR(E4897="",E4897="!!!"),"",IF(NOT(ISNA(VLOOKUP(E4897,E$1:E4896,1,FALSE()))),"OLD",IF(AND(E4897&lt;&gt;"",E4897&lt;&gt;"!!!"),"NEW","")))</f>
        <v> </v>
      </c>
      <c r="G4897" s="24" t="str">
        <f>IF(OR(E4897="",E4897="!!!"),"",IF(OR(J4897=0,AND(J4897=1,K4897=1),AND(J4897=1,I4897="SBJ"),AND(J4897=1,I4897=0)),"?IN_FOCUS",IF(J4897&lt;=2,"?ACTIVATED",IF(J4897&lt;&gt;"","?FAMILIAR",IF(F4897="NEW",IF(ISNA(VLOOKUP(E4897,#REF!,1,FALSE())),"?TYPE_IDENTIFIABLE","?REFERENTIAL"),"_")))))</f>
        <v> </v>
      </c>
      <c r="H4897" s="25" t="str">
        <f>IF(J4897&lt;&gt;1,"",IF(I4897="SBJ","CB","?"))</f>
        <v> </v>
      </c>
      <c r="I4897" s="26" t="str">
        <f>IF(OR(E4897="",E4897="!!!",F4897="NEW"),"",INDEX(B4896:B$2,-1+SUMPRODUCT(MAX(ROW(E4896:E$2)*(E4897=E4896:E$2)))))</f>
        <v> </v>
      </c>
      <c r="J4897" s="26" t="str">
        <f>IF(OR(E4897="",E4897="!!!",F4897="NEW"),"",COUNTBLANK(OFFSET(A$1,,,SUMPRODUCT(MAX(ROW(E$2:E4897)*(E4897=E$2:E4897)))))-COUNTBLANK(OFFSET(A$1,,,SUMPRODUCT(MAX(ROW(E$1:E4896)*(E2=E$1:E4896))))))</f>
        <v> </v>
      </c>
      <c r="K4897" s="26" t="str">
        <f>IF(OR(E4897="",E4897="!!!",F4897="NEW"),"",INDEX(J$1:J4896,SUMPRODUCT(MAX(ROW(E$1:E4896)*(E4897=E$1:E4896)))))</f>
        <v> </v>
      </c>
      <c r="L4897" s="27"/>
    </row>
    <row r="4898" spans="1:12">
      <c r="A4898" s="20" t="s">
        <v>2371</v>
      </c>
      <c r="E4898" s="22">
        <f>IF(D4898="?OLD","!!!","")</f>
        <v/>
      </c>
      <c r="F4898" s="23" t="str">
        <f>IF(OR(E4898="",E4898="!!!"),"",IF(NOT(ISNA(VLOOKUP(E4898,E$1:E4897,1,FALSE()))),"OLD",IF(AND(E4898&lt;&gt;"",E4898&lt;&gt;"!!!"),"NEW","")))</f>
        <v> </v>
      </c>
      <c r="G4898" s="24" t="str">
        <f>IF(OR(E4898="",E4898="!!!"),"",IF(OR(J4898=0,AND(J4898=1,K4898=1),AND(J4898=1,I4898="SBJ"),AND(J4898=1,I4898=0)),"?IN_FOCUS",IF(J4898&lt;=2,"?ACTIVATED",IF(J4898&lt;&gt;"","?FAMILIAR",IF(F4898="NEW",IF(ISNA(VLOOKUP(E4898,#REF!,1,FALSE())),"?TYPE_IDENTIFIABLE","?REFERENTIAL"),"_")))))</f>
        <v> </v>
      </c>
      <c r="H4898" s="25" t="str">
        <f>IF(J4898&lt;&gt;1,"",IF(I4898="SBJ","CB","?"))</f>
        <v> </v>
      </c>
      <c r="I4898" s="26" t="str">
        <f>IF(OR(E4898="",E4898="!!!",F4898="NEW"),"",INDEX(B4897:B$2,-1+SUMPRODUCT(MAX(ROW(E4897:E$2)*(E4898=E4897:E$2)))))</f>
        <v> </v>
      </c>
      <c r="J4898" s="26" t="str">
        <f>IF(OR(E4898="",E4898="!!!",F4898="NEW"),"",COUNTBLANK(OFFSET(A$1,,,SUMPRODUCT(MAX(ROW(E$2:E4898)*(E4898=E$2:E4898)))))-COUNTBLANK(OFFSET(A$1,,,SUMPRODUCT(MAX(ROW(E$1:E4897)*(E2=E$1:E4897))))))</f>
        <v> </v>
      </c>
      <c r="K4898" s="26" t="str">
        <f>IF(OR(E4898="",E4898="!!!",F4898="NEW"),"",INDEX(J$1:J4897,SUMPRODUCT(MAX(ROW(E$1:E4897)*(E4898=E$1:E4897)))))</f>
        <v> </v>
      </c>
      <c r="L4898" s="27"/>
    </row>
    <row r="4899" spans="1:12">
      <c r="A4899" s="20" t="s">
        <v>1018</v>
      </c>
      <c r="E4899" s="22">
        <f>IF(D4899="?OLD","!!!","")</f>
        <v/>
      </c>
      <c r="F4899" s="23" t="str">
        <f>IF(OR(E4899="",E4899="!!!"),"",IF(NOT(ISNA(VLOOKUP(E4899,E$1:E4898,1,FALSE()))),"OLD",IF(AND(E4899&lt;&gt;"",E4899&lt;&gt;"!!!"),"NEW","")))</f>
        <v> </v>
      </c>
      <c r="G4899" s="24" t="str">
        <f>IF(OR(E4899="",E4899="!!!"),"",IF(OR(J4899=0,AND(J4899=1,K4899=1),AND(J4899=1,I4899="SBJ"),AND(J4899=1,I4899=0)),"?IN_FOCUS",IF(J4899&lt;=2,"?ACTIVATED",IF(J4899&lt;&gt;"","?FAMILIAR",IF(F4899="NEW",IF(ISNA(VLOOKUP(E4899,#REF!,1,FALSE())),"?TYPE_IDENTIFIABLE","?REFERENTIAL"),"_")))))</f>
        <v> </v>
      </c>
      <c r="H4899" s="25" t="str">
        <f>IF(J4899&lt;&gt;1,"",IF(I4899="SBJ","CB","?"))</f>
        <v> </v>
      </c>
      <c r="I4899" s="26" t="str">
        <f>IF(OR(E4899="",E4899="!!!",F4899="NEW"),"",INDEX(B4898:B$2,-1+SUMPRODUCT(MAX(ROW(E4898:E$2)*(E4899=E4898:E$2)))))</f>
        <v> </v>
      </c>
      <c r="J4899" s="26" t="str">
        <f>IF(OR(E4899="",E4899="!!!",F4899="NEW"),"",COUNTBLANK(OFFSET(A$1,,,SUMPRODUCT(MAX(ROW(E$2:E4899)*(E4899=E$2:E4899)))))-COUNTBLANK(OFFSET(A$1,,,SUMPRODUCT(MAX(ROW(E$1:E4898)*(E2=E$1:E4898))))))</f>
        <v> </v>
      </c>
      <c r="K4899" s="26" t="str">
        <f>IF(OR(E4899="",E4899="!!!",F4899="NEW"),"",INDEX(J$1:J4898,SUMPRODUCT(MAX(ROW(E$1:E4898)*(E4899=E$1:E4898)))))</f>
        <v> </v>
      </c>
      <c r="L4899" s="27"/>
    </row>
    <row r="4900" spans="1:12">
      <c r="A4900" s="20" t="s">
        <v>2372</v>
      </c>
      <c r="E4900" s="22">
        <f>IF(D4900="?OLD","!!!","")</f>
        <v/>
      </c>
      <c r="F4900" s="23" t="str">
        <f>IF(OR(E4900="",E4900="!!!"),"",IF(NOT(ISNA(VLOOKUP(E4900,E$1:E4899,1,FALSE()))),"OLD",IF(AND(E4900&lt;&gt;"",E4900&lt;&gt;"!!!"),"NEW","")))</f>
        <v> </v>
      </c>
      <c r="G4900" s="24" t="str">
        <f>IF(OR(E4900="",E4900="!!!"),"",IF(OR(J4900=0,AND(J4900=1,K4900=1),AND(J4900=1,I4900="SBJ"),AND(J4900=1,I4900=0)),"?IN_FOCUS",IF(J4900&lt;=2,"?ACTIVATED",IF(J4900&lt;&gt;"","?FAMILIAR",IF(F4900="NEW",IF(ISNA(VLOOKUP(E4900,#REF!,1,FALSE())),"?TYPE_IDENTIFIABLE","?REFERENTIAL"),"_")))))</f>
        <v> </v>
      </c>
      <c r="H4900" s="25" t="str">
        <f>IF(J4900&lt;&gt;1,"",IF(I4900="SBJ","CB","?"))</f>
        <v> </v>
      </c>
      <c r="I4900" s="26" t="str">
        <f>IF(OR(E4900="",E4900="!!!",F4900="NEW"),"",INDEX(B4899:B$2,-1+SUMPRODUCT(MAX(ROW(E4899:E$2)*(E4900=E4899:E$2)))))</f>
        <v> </v>
      </c>
      <c r="J4900" s="26" t="str">
        <f>IF(OR(E4900="",E4900="!!!",F4900="NEW"),"",COUNTBLANK(OFFSET(A$1,,,SUMPRODUCT(MAX(ROW(E$2:E4900)*(E4900=E$2:E4900)))))-COUNTBLANK(OFFSET(A$1,,,SUMPRODUCT(MAX(ROW(E$1:E4899)*(E2=E$1:E4899))))))</f>
        <v> </v>
      </c>
      <c r="K4900" s="26" t="str">
        <f>IF(OR(E4900="",E4900="!!!",F4900="NEW"),"",INDEX(J$1:J4899,SUMPRODUCT(MAX(ROW(E$1:E4899)*(E4900=E$1:E4899)))))</f>
        <v> </v>
      </c>
      <c r="L4900" s="27"/>
    </row>
    <row r="4901" spans="1:12">
      <c r="A4901" s="20" t="s">
        <v>1030</v>
      </c>
      <c r="E4901" s="22">
        <f>IF(D4901="?OLD","!!!","")</f>
        <v/>
      </c>
      <c r="F4901" s="23" t="str">
        <f>IF(OR(E4901="",E4901="!!!"),"",IF(NOT(ISNA(VLOOKUP(E4901,E$1:E4900,1,FALSE()))),"OLD",IF(AND(E4901&lt;&gt;"",E4901&lt;&gt;"!!!"),"NEW","")))</f>
        <v> </v>
      </c>
      <c r="G4901" s="24" t="str">
        <f>IF(OR(E4901="",E4901="!!!"),"",IF(OR(J4901=0,AND(J4901=1,K4901=1),AND(J4901=1,I4901="SBJ"),AND(J4901=1,I4901=0)),"?IN_FOCUS",IF(J4901&lt;=2,"?ACTIVATED",IF(J4901&lt;&gt;"","?FAMILIAR",IF(F4901="NEW",IF(ISNA(VLOOKUP(E4901,#REF!,1,FALSE())),"?TYPE_IDENTIFIABLE","?REFERENTIAL"),"_")))))</f>
        <v> </v>
      </c>
      <c r="H4901" s="25" t="str">
        <f>IF(J4901&lt;&gt;1,"",IF(I4901="SBJ","CB","?"))</f>
        <v> </v>
      </c>
      <c r="I4901" s="26" t="str">
        <f>IF(OR(E4901="",E4901="!!!",F4901="NEW"),"",INDEX(B4900:B$2,-1+SUMPRODUCT(MAX(ROW(E4900:E$2)*(E4901=E4900:E$2)))))</f>
        <v> </v>
      </c>
      <c r="J4901" s="26" t="str">
        <f>IF(OR(E4901="",E4901="!!!",F4901="NEW"),"",COUNTBLANK(OFFSET(A$1,,,SUMPRODUCT(MAX(ROW(E$2:E4901)*(E4901=E$2:E4901)))))-COUNTBLANK(OFFSET(A$1,,,SUMPRODUCT(MAX(ROW(E$1:E4900)*(E2=E$1:E4900))))))</f>
        <v> </v>
      </c>
      <c r="K4901" s="26" t="str">
        <f>IF(OR(E4901="",E4901="!!!",F4901="NEW"),"",INDEX(J$1:J4900,SUMPRODUCT(MAX(ROW(E$1:E4900)*(E4901=E$1:E4900)))))</f>
        <v> </v>
      </c>
      <c r="L4901" s="27"/>
    </row>
    <row r="4902" spans="1:12">
      <c r="A4902" s="20" t="s">
        <v>2373</v>
      </c>
      <c r="B4902" s="21" t="s">
        <v>1042</v>
      </c>
      <c r="C4902" s="21" t="s">
        <v>1013</v>
      </c>
      <c r="D4902" s="21" t="s">
        <v>1007</v>
      </c>
      <c r="E4902" s="22">
        <f>IF(D4902="?OLD","!!!","")</f>
        <v/>
      </c>
      <c r="F4902" s="23" t="str">
        <f>IF(OR(E4902="",E4902="!!!"),"",IF(NOT(ISNA(VLOOKUP(E4902,E$1:E4901,1,FALSE()))),"OLD",IF(AND(E4902&lt;&gt;"",E4902&lt;&gt;"!!!"),"NEW","")))</f>
        <v> </v>
      </c>
      <c r="G4902" s="24" t="str">
        <f>IF(OR(E4902="",E4902="!!!"),"",IF(OR(J4902=0,AND(J4902=1,K4902=1),AND(J4902=1,I4902="SBJ"),AND(J4902=1,I4902=0)),"?IN_FOCUS",IF(J4902&lt;=2,"?ACTIVATED",IF(J4902&lt;&gt;"","?FAMILIAR",IF(F4902="NEW",IF(ISNA(VLOOKUP(E4902,#REF!,1,FALSE())),"?TYPE_IDENTIFIABLE","?REFERENTIAL"),"_")))))</f>
        <v> </v>
      </c>
      <c r="H4902" s="25" t="str">
        <f>IF(J4902&lt;&gt;1,"",IF(I4902="SBJ","CB","?"))</f>
        <v> </v>
      </c>
      <c r="I4902" s="26" t="str">
        <f>IF(OR(E4902="",E4902="!!!",F4902="NEW"),"",INDEX(B4901:B$2,-1+SUMPRODUCT(MAX(ROW(E4901:E$2)*(E4902=E4901:E$2)))))</f>
        <v> </v>
      </c>
      <c r="J4902" s="26" t="str">
        <f>IF(OR(E4902="",E4902="!!!",F4902="NEW"),"",COUNTBLANK(OFFSET(A$1,,,SUMPRODUCT(MAX(ROW(E$2:E4902)*(E4902=E$2:E4902)))))-COUNTBLANK(OFFSET(A$1,,,SUMPRODUCT(MAX(ROW(E$1:E4901)*(E2=E$1:E4901))))))</f>
        <v> </v>
      </c>
      <c r="K4902" s="26" t="str">
        <f>IF(OR(E4902="",E4902="!!!",F4902="NEW"),"",INDEX(J$1:J4901,SUMPRODUCT(MAX(ROW(E$1:E4901)*(E4902=E$1:E4901)))))</f>
        <v> </v>
      </c>
      <c r="L4902" s="27"/>
    </row>
    <row r="4903" spans="1:12">
      <c r="A4903" s="20" t="s">
        <v>1020</v>
      </c>
      <c r="E4903" s="22">
        <f>IF(D4903="?OLD","!!!","")</f>
        <v/>
      </c>
      <c r="F4903" s="23" t="str">
        <f>IF(OR(E4903="",E4903="!!!"),"",IF(NOT(ISNA(VLOOKUP(E4903,E$1:E4902,1,FALSE()))),"OLD",IF(AND(E4903&lt;&gt;"",E4903&lt;&gt;"!!!"),"NEW","")))</f>
        <v> </v>
      </c>
      <c r="G4903" s="24" t="str">
        <f>IF(OR(E4903="",E4903="!!!"),"",IF(OR(J4903=0,AND(J4903=1,K4903=1),AND(J4903=1,I4903="SBJ"),AND(J4903=1,I4903=0)),"?IN_FOCUS",IF(J4903&lt;=2,"?ACTIVATED",IF(J4903&lt;&gt;"","?FAMILIAR",IF(F4903="NEW",IF(ISNA(VLOOKUP(E4903,#REF!,1,FALSE())),"?TYPE_IDENTIFIABLE","?REFERENTIAL"),"_")))))</f>
        <v> </v>
      </c>
      <c r="H4903" s="25" t="str">
        <f>IF(J4903&lt;&gt;1,"",IF(I4903="SBJ","CB","?"))</f>
        <v> </v>
      </c>
      <c r="I4903" s="26" t="str">
        <f>IF(OR(E4903="",E4903="!!!",F4903="NEW"),"",INDEX(B4902:B$2,-1+SUMPRODUCT(MAX(ROW(E4902:E$2)*(E4903=E4902:E$2)))))</f>
        <v> </v>
      </c>
      <c r="J4903" s="26" t="str">
        <f>IF(OR(E4903="",E4903="!!!",F4903="NEW"),"",COUNTBLANK(OFFSET(A$1,,,SUMPRODUCT(MAX(ROW(E$2:E4903)*(E4903=E$2:E4903)))))-COUNTBLANK(OFFSET(A$1,,,SUMPRODUCT(MAX(ROW(E$1:E4902)*(E2=E$1:E4902))))))</f>
        <v> </v>
      </c>
      <c r="K4903" s="26" t="str">
        <f>IF(OR(E4903="",E4903="!!!",F4903="NEW"),"",INDEX(J$1:J4902,SUMPRODUCT(MAX(ROW(E$1:E4902)*(E4903=E$1:E4902)))))</f>
        <v> </v>
      </c>
      <c r="L4903" s="27"/>
    </row>
    <row r="4904" spans="1:12">
      <c r="A4904" s="20" t="s">
        <v>1638</v>
      </c>
      <c r="B4904" s="21" t="s">
        <v>1044</v>
      </c>
      <c r="C4904" s="21" t="s">
        <v>1006</v>
      </c>
      <c r="D4904" s="21" t="s">
        <v>1007</v>
      </c>
      <c r="E4904" s="22">
        <f>IF(D4904="?OLD","!!!","")</f>
        <v/>
      </c>
      <c r="F4904" s="23" t="str">
        <f>IF(OR(E4904="",E4904="!!!"),"",IF(NOT(ISNA(VLOOKUP(E4904,E$1:E4903,1,FALSE()))),"OLD",IF(AND(E4904&lt;&gt;"",E4904&lt;&gt;"!!!"),"NEW","")))</f>
        <v> </v>
      </c>
      <c r="G4904" s="24" t="str">
        <f>IF(OR(E4904="",E4904="!!!"),"",IF(OR(J4904=0,AND(J4904=1,K4904=1),AND(J4904=1,I4904="SBJ"),AND(J4904=1,I4904=0)),"?IN_FOCUS",IF(J4904&lt;=2,"?ACTIVATED",IF(J4904&lt;&gt;"","?FAMILIAR",IF(F4904="NEW",IF(ISNA(VLOOKUP(E4904,#REF!,1,FALSE())),"?TYPE_IDENTIFIABLE","?REFERENTIAL"),"_")))))</f>
        <v> </v>
      </c>
      <c r="H4904" s="25" t="str">
        <f>IF(J4904&lt;&gt;1,"",IF(I4904="SBJ","CB","?"))</f>
        <v> </v>
      </c>
      <c r="I4904" s="26" t="str">
        <f>IF(OR(E4904="",E4904="!!!",F4904="NEW"),"",INDEX(B4903:B$2,-1+SUMPRODUCT(MAX(ROW(E4903:E$2)*(E4904=E4903:E$2)))))</f>
        <v> </v>
      </c>
      <c r="J4904" s="26" t="str">
        <f>IF(OR(E4904="",E4904="!!!",F4904="NEW"),"",COUNTBLANK(OFFSET(A$1,,,SUMPRODUCT(MAX(ROW(E$2:E4904)*(E4904=E$2:E4904)))))-COUNTBLANK(OFFSET(A$1,,,SUMPRODUCT(MAX(ROW(E$1:E4903)*(E2=E$1:E4903))))))</f>
        <v> </v>
      </c>
      <c r="K4904" s="26" t="str">
        <f>IF(OR(E4904="",E4904="!!!",F4904="NEW"),"",INDEX(J$1:J4903,SUMPRODUCT(MAX(ROW(E$1:E4903)*(E4904=E$1:E4903)))))</f>
        <v> </v>
      </c>
      <c r="L4904" s="27"/>
    </row>
    <row r="4905" spans="1:12">
      <c r="A4905" s="20" t="s">
        <v>1684</v>
      </c>
      <c r="E4905" s="22">
        <f>IF(D4905="?OLD","!!!","")</f>
        <v/>
      </c>
      <c r="F4905" s="23" t="str">
        <f>IF(OR(E4905="",E4905="!!!"),"",IF(NOT(ISNA(VLOOKUP(E4905,E$1:E4904,1,FALSE()))),"OLD",IF(AND(E4905&lt;&gt;"",E4905&lt;&gt;"!!!"),"NEW","")))</f>
        <v> </v>
      </c>
      <c r="G4905" s="24" t="str">
        <f>IF(OR(E4905="",E4905="!!!"),"",IF(OR(J4905=0,AND(J4905=1,K4905=1),AND(J4905=1,I4905="SBJ"),AND(J4905=1,I4905=0)),"?IN_FOCUS",IF(J4905&lt;=2,"?ACTIVATED",IF(J4905&lt;&gt;"","?FAMILIAR",IF(F4905="NEW",IF(ISNA(VLOOKUP(E4905,#REF!,1,FALSE())),"?TYPE_IDENTIFIABLE","?REFERENTIAL"),"_")))))</f>
        <v> </v>
      </c>
      <c r="H4905" s="25" t="str">
        <f>IF(J4905&lt;&gt;1,"",IF(I4905="SBJ","CB","?"))</f>
        <v> </v>
      </c>
      <c r="I4905" s="26" t="str">
        <f>IF(OR(E4905="",E4905="!!!",F4905="NEW"),"",INDEX(B4904:B$2,-1+SUMPRODUCT(MAX(ROW(E4904:E$2)*(E4905=E4904:E$2)))))</f>
        <v> </v>
      </c>
      <c r="J4905" s="26" t="str">
        <f>IF(OR(E4905="",E4905="!!!",F4905="NEW"),"",COUNTBLANK(OFFSET(A$1,,,SUMPRODUCT(MAX(ROW(E$2:E4905)*(E4905=E$2:E4905)))))-COUNTBLANK(OFFSET(A$1,,,SUMPRODUCT(MAX(ROW(E$1:E4904)*(E2=E$1:E4904))))))</f>
        <v> </v>
      </c>
      <c r="K4905" s="26" t="str">
        <f>IF(OR(E4905="",E4905="!!!",F4905="NEW"),"",INDEX(J$1:J4904,SUMPRODUCT(MAX(ROW(E$1:E4904)*(E4905=E$1:E4904)))))</f>
        <v> </v>
      </c>
      <c r="L4905" s="27"/>
    </row>
    <row r="4906" spans="1:12">
      <c r="A4906" s="20" t="s">
        <v>2374</v>
      </c>
      <c r="E4906" s="22">
        <f>IF(D4906="?OLD","!!!","")</f>
        <v/>
      </c>
      <c r="F4906" s="23" t="str">
        <f>IF(OR(E4906="",E4906="!!!"),"",IF(NOT(ISNA(VLOOKUP(E4906,E$1:E4905,1,FALSE()))),"OLD",IF(AND(E4906&lt;&gt;"",E4906&lt;&gt;"!!!"),"NEW","")))</f>
        <v> </v>
      </c>
      <c r="G4906" s="24" t="str">
        <f>IF(OR(E4906="",E4906="!!!"),"",IF(OR(J4906=0,AND(J4906=1,K4906=1),AND(J4906=1,I4906="SBJ"),AND(J4906=1,I4906=0)),"?IN_FOCUS",IF(J4906&lt;=2,"?ACTIVATED",IF(J4906&lt;&gt;"","?FAMILIAR",IF(F4906="NEW",IF(ISNA(VLOOKUP(E4906,#REF!,1,FALSE())),"?TYPE_IDENTIFIABLE","?REFERENTIAL"),"_")))))</f>
        <v> </v>
      </c>
      <c r="H4906" s="25" t="str">
        <f>IF(J4906&lt;&gt;1,"",IF(I4906="SBJ","CB","?"))</f>
        <v> </v>
      </c>
      <c r="I4906" s="26" t="str">
        <f>IF(OR(E4906="",E4906="!!!",F4906="NEW"),"",INDEX(B4905:B$2,-1+SUMPRODUCT(MAX(ROW(E4905:E$2)*(E4906=E4905:E$2)))))</f>
        <v> </v>
      </c>
      <c r="J4906" s="26" t="str">
        <f>IF(OR(E4906="",E4906="!!!",F4906="NEW"),"",COUNTBLANK(OFFSET(A$1,,,SUMPRODUCT(MAX(ROW(E$2:E4906)*(E4906=E$2:E4906)))))-COUNTBLANK(OFFSET(A$1,,,SUMPRODUCT(MAX(ROW(E$1:E4905)*(E2=E$1:E4905))))))</f>
        <v> </v>
      </c>
      <c r="K4906" s="26" t="str">
        <f>IF(OR(E4906="",E4906="!!!",F4906="NEW"),"",INDEX(J$1:J4905,SUMPRODUCT(MAX(ROW(E$1:E4905)*(E4906=E$1:E4905)))))</f>
        <v> </v>
      </c>
      <c r="L4906" s="27"/>
    </row>
    <row r="4907" spans="1:12">
      <c r="A4907" s="20" t="s">
        <v>2375</v>
      </c>
      <c r="B4907" s="21" t="s">
        <v>1487</v>
      </c>
      <c r="C4907" s="21" t="s">
        <v>1082</v>
      </c>
      <c r="D4907" s="21" t="s">
        <v>1007</v>
      </c>
      <c r="E4907" s="22">
        <f>IF(D4907="?OLD","!!!","")</f>
        <v/>
      </c>
      <c r="F4907" s="23" t="str">
        <f>IF(OR(E4907="",E4907="!!!"),"",IF(NOT(ISNA(VLOOKUP(E4907,E$1:E4906,1,FALSE()))),"OLD",IF(AND(E4907&lt;&gt;"",E4907&lt;&gt;"!!!"),"NEW","")))</f>
        <v> </v>
      </c>
      <c r="G4907" s="24" t="str">
        <f>IF(OR(E4907="",E4907="!!!"),"",IF(OR(J4907=0,AND(J4907=1,K4907=1),AND(J4907=1,I4907="SBJ"),AND(J4907=1,I4907=0)),"?IN_FOCUS",IF(J4907&lt;=2,"?ACTIVATED",IF(J4907&lt;&gt;"","?FAMILIAR",IF(F4907="NEW",IF(ISNA(VLOOKUP(E4907,#REF!,1,FALSE())),"?TYPE_IDENTIFIABLE","?REFERENTIAL"),"_")))))</f>
        <v> </v>
      </c>
      <c r="H4907" s="25" t="str">
        <f>IF(J4907&lt;&gt;1,"",IF(I4907="SBJ","CB","?"))</f>
        <v> </v>
      </c>
      <c r="I4907" s="26" t="str">
        <f>IF(OR(E4907="",E4907="!!!",F4907="NEW"),"",INDEX(B4906:B$2,-1+SUMPRODUCT(MAX(ROW(E4906:E$2)*(E4907=E4906:E$2)))))</f>
        <v> </v>
      </c>
      <c r="J4907" s="26" t="str">
        <f>IF(OR(E4907="",E4907="!!!",F4907="NEW"),"",COUNTBLANK(OFFSET(A$1,,,SUMPRODUCT(MAX(ROW(E$2:E4907)*(E4907=E$2:E4907)))))-COUNTBLANK(OFFSET(A$1,,,SUMPRODUCT(MAX(ROW(E$1:E4906)*(E2=E$1:E4906))))))</f>
        <v> </v>
      </c>
      <c r="K4907" s="26" t="str">
        <f>IF(OR(E4907="",E4907="!!!",F4907="NEW"),"",INDEX(J$1:J4906,SUMPRODUCT(MAX(ROW(E$1:E4906)*(E4907=E$1:E4906)))))</f>
        <v> </v>
      </c>
      <c r="L4907" s="27"/>
    </row>
    <row r="4908" spans="1:12">
      <c r="A4908" s="20" t="s">
        <v>1132</v>
      </c>
      <c r="E4908" s="22">
        <f>IF(D4908="?OLD","!!!","")</f>
        <v/>
      </c>
      <c r="F4908" s="23" t="str">
        <f>IF(OR(E4908="",E4908="!!!"),"",IF(NOT(ISNA(VLOOKUP(E4908,E$1:E4907,1,FALSE()))),"OLD",IF(AND(E4908&lt;&gt;"",E4908&lt;&gt;"!!!"),"NEW","")))</f>
        <v> </v>
      </c>
      <c r="G4908" s="24" t="str">
        <f>IF(OR(E4908="",E4908="!!!"),"",IF(OR(J4908=0,AND(J4908=1,K4908=1),AND(J4908=1,I4908="SBJ"),AND(J4908=1,I4908=0)),"?IN_FOCUS",IF(J4908&lt;=2,"?ACTIVATED",IF(J4908&lt;&gt;"","?FAMILIAR",IF(F4908="NEW",IF(ISNA(VLOOKUP(E4908,#REF!,1,FALSE())),"?TYPE_IDENTIFIABLE","?REFERENTIAL"),"_")))))</f>
        <v> </v>
      </c>
      <c r="H4908" s="25" t="str">
        <f>IF(J4908&lt;&gt;1,"",IF(I4908="SBJ","CB","?"))</f>
        <v> </v>
      </c>
      <c r="I4908" s="26" t="str">
        <f>IF(OR(E4908="",E4908="!!!",F4908="NEW"),"",INDEX(B4907:B$2,-1+SUMPRODUCT(MAX(ROW(E4907:E$2)*(E4908=E4907:E$2)))))</f>
        <v> </v>
      </c>
      <c r="J4908" s="26" t="str">
        <f>IF(OR(E4908="",E4908="!!!",F4908="NEW"),"",COUNTBLANK(OFFSET(A$1,,,SUMPRODUCT(MAX(ROW(E$2:E4908)*(E4908=E$2:E4908)))))-COUNTBLANK(OFFSET(A$1,,,SUMPRODUCT(MAX(ROW(E$1:E4907)*(E2=E$1:E4907))))))</f>
        <v> </v>
      </c>
      <c r="K4908" s="26" t="str">
        <f>IF(OR(E4908="",E4908="!!!",F4908="NEW"),"",INDEX(J$1:J4907,SUMPRODUCT(MAX(ROW(E$1:E4907)*(E4908=E$1:E4907)))))</f>
        <v> </v>
      </c>
      <c r="L4908" s="27"/>
    </row>
    <row r="4909" spans="1:12">
      <c r="A4909" s="20" t="s">
        <v>1056</v>
      </c>
      <c r="E4909" s="22">
        <f>IF(D4909="?OLD","!!!","")</f>
        <v/>
      </c>
      <c r="F4909" s="23" t="str">
        <f>IF(OR(E4909="",E4909="!!!"),"",IF(NOT(ISNA(VLOOKUP(E4909,E$1:E4908,1,FALSE()))),"OLD",IF(AND(E4909&lt;&gt;"",E4909&lt;&gt;"!!!"),"NEW","")))</f>
        <v> </v>
      </c>
      <c r="G4909" s="24" t="str">
        <f>IF(OR(E4909="",E4909="!!!"),"",IF(OR(J4909=0,AND(J4909=1,K4909=1),AND(J4909=1,I4909="SBJ"),AND(J4909=1,I4909=0)),"?IN_FOCUS",IF(J4909&lt;=2,"?ACTIVATED",IF(J4909&lt;&gt;"","?FAMILIAR",IF(F4909="NEW",IF(ISNA(VLOOKUP(E4909,#REF!,1,FALSE())),"?TYPE_IDENTIFIABLE","?REFERENTIAL"),"_")))))</f>
        <v> </v>
      </c>
      <c r="H4909" s="25" t="str">
        <f>IF(J4909&lt;&gt;1,"",IF(I4909="SBJ","CB","?"))</f>
        <v> </v>
      </c>
      <c r="I4909" s="26" t="str">
        <f>IF(OR(E4909="",E4909="!!!",F4909="NEW"),"",INDEX(B4908:B$2,-1+SUMPRODUCT(MAX(ROW(E4908:E$2)*(E4909=E4908:E$2)))))</f>
        <v> </v>
      </c>
      <c r="J4909" s="26" t="str">
        <f>IF(OR(E4909="",E4909="!!!",F4909="NEW"),"",COUNTBLANK(OFFSET(A$1,,,SUMPRODUCT(MAX(ROW(E$2:E4909)*(E4909=E$2:E4909)))))-COUNTBLANK(OFFSET(A$1,,,SUMPRODUCT(MAX(ROW(E$1:E4908)*(E2=E$1:E4908))))))</f>
        <v> </v>
      </c>
      <c r="K4909" s="26" t="str">
        <f>IF(OR(E4909="",E4909="!!!",F4909="NEW"),"",INDEX(J$1:J4908,SUMPRODUCT(MAX(ROW(E$1:E4908)*(E4909=E$1:E4908)))))</f>
        <v> </v>
      </c>
      <c r="L4909" s="27"/>
    </row>
    <row r="4910" spans="1:12">
      <c r="A4910" s="20" t="s">
        <v>2370</v>
      </c>
      <c r="B4910" s="21" t="s">
        <v>1044</v>
      </c>
      <c r="C4910" s="21" t="s">
        <v>1111</v>
      </c>
      <c r="E4910" s="22">
        <f>IF(D4910="?OLD","!!!","")</f>
        <v/>
      </c>
      <c r="F4910" s="23" t="str">
        <f>IF(OR(E4910="",E4910="!!!"),"",IF(NOT(ISNA(VLOOKUP(E4910,E$1:E4909,1,FALSE()))),"OLD",IF(AND(E4910&lt;&gt;"",E4910&lt;&gt;"!!!"),"NEW","")))</f>
        <v> </v>
      </c>
      <c r="G4910" s="24" t="str">
        <f>IF(OR(E4910="",E4910="!!!"),"",IF(OR(J4910=0,AND(J4910=1,K4910=1),AND(J4910=1,I4910="SBJ"),AND(J4910=1,I4910=0)),"?IN_FOCUS",IF(J4910&lt;=2,"?ACTIVATED",IF(J4910&lt;&gt;"","?FAMILIAR",IF(F4910="NEW",IF(ISNA(VLOOKUP(E4910,#REF!,1,FALSE())),"?TYPE_IDENTIFIABLE","?REFERENTIAL"),"_")))))</f>
        <v> </v>
      </c>
      <c r="H4910" s="25" t="str">
        <f>IF(J4910&lt;&gt;1,"",IF(I4910="SBJ","CB","?"))</f>
        <v> </v>
      </c>
      <c r="I4910" s="26" t="str">
        <f>IF(OR(E4910="",E4910="!!!",F4910="NEW"),"",INDEX(B4909:B$2,-1+SUMPRODUCT(MAX(ROW(E4909:E$2)*(E4910=E4909:E$2)))))</f>
        <v> </v>
      </c>
      <c r="J4910" s="26" t="str">
        <f>IF(OR(E4910="",E4910="!!!",F4910="NEW"),"",COUNTBLANK(OFFSET(A$1,,,SUMPRODUCT(MAX(ROW(E$2:E4910)*(E4910=E$2:E4910)))))-COUNTBLANK(OFFSET(A$1,,,SUMPRODUCT(MAX(ROW(E$1:E4909)*(E2=E$1:E4909))))))</f>
        <v> </v>
      </c>
      <c r="K4910" s="26" t="str">
        <f>IF(OR(E4910="",E4910="!!!",F4910="NEW"),"",INDEX(J$1:J4909,SUMPRODUCT(MAX(ROW(E$1:E4909)*(E4910=E$1:E4909)))))</f>
        <v> </v>
      </c>
      <c r="L4910" s="27"/>
    </row>
    <row r="4911" spans="1:12">
      <c r="A4911" s="20" t="s">
        <v>2371</v>
      </c>
      <c r="E4911" s="22">
        <f>IF(D4911="?OLD","!!!","")</f>
        <v/>
      </c>
      <c r="F4911" s="23" t="str">
        <f>IF(OR(E4911="",E4911="!!!"),"",IF(NOT(ISNA(VLOOKUP(E4911,E$1:E4910,1,FALSE()))),"OLD",IF(AND(E4911&lt;&gt;"",E4911&lt;&gt;"!!!"),"NEW","")))</f>
        <v> </v>
      </c>
      <c r="G4911" s="24" t="str">
        <f>IF(OR(E4911="",E4911="!!!"),"",IF(OR(J4911=0,AND(J4911=1,K4911=1),AND(J4911=1,I4911="SBJ"),AND(J4911=1,I4911=0)),"?IN_FOCUS",IF(J4911&lt;=2,"?ACTIVATED",IF(J4911&lt;&gt;"","?FAMILIAR",IF(F4911="NEW",IF(ISNA(VLOOKUP(E4911,#REF!,1,FALSE())),"?TYPE_IDENTIFIABLE","?REFERENTIAL"),"_")))))</f>
        <v> </v>
      </c>
      <c r="H4911" s="25" t="str">
        <f>IF(J4911&lt;&gt;1,"",IF(I4911="SBJ","CB","?"))</f>
        <v> </v>
      </c>
      <c r="I4911" s="26" t="str">
        <f>IF(OR(E4911="",E4911="!!!",F4911="NEW"),"",INDEX(B4910:B$2,-1+SUMPRODUCT(MAX(ROW(E4910:E$2)*(E4911=E4910:E$2)))))</f>
        <v> </v>
      </c>
      <c r="J4911" s="26" t="str">
        <f>IF(OR(E4911="",E4911="!!!",F4911="NEW"),"",COUNTBLANK(OFFSET(A$1,,,SUMPRODUCT(MAX(ROW(E$2:E4911)*(E4911=E$2:E4911)))))-COUNTBLANK(OFFSET(A$1,,,SUMPRODUCT(MAX(ROW(E$1:E4910)*(E2=E$1:E4910))))))</f>
        <v> </v>
      </c>
      <c r="K4911" s="26" t="str">
        <f>IF(OR(E4911="",E4911="!!!",F4911="NEW"),"",INDEX(J$1:J4910,SUMPRODUCT(MAX(ROW(E$1:E4910)*(E4911=E$1:E4910)))))</f>
        <v> </v>
      </c>
      <c r="L4911" s="27"/>
    </row>
    <row r="4912" spans="1:12">
      <c r="A4912" s="20" t="s">
        <v>2376</v>
      </c>
      <c r="E4912" s="22">
        <f>IF(D4912="?OLD","!!!","")</f>
        <v/>
      </c>
      <c r="F4912" s="23" t="str">
        <f>IF(OR(E4912="",E4912="!!!"),"",IF(NOT(ISNA(VLOOKUP(E4912,E$1:E4911,1,FALSE()))),"OLD",IF(AND(E4912&lt;&gt;"",E4912&lt;&gt;"!!!"),"NEW","")))</f>
        <v> </v>
      </c>
      <c r="G4912" s="24" t="str">
        <f>IF(OR(E4912="",E4912="!!!"),"",IF(OR(J4912=0,AND(J4912=1,K4912=1),AND(J4912=1,I4912="SBJ"),AND(J4912=1,I4912=0)),"?IN_FOCUS",IF(J4912&lt;=2,"?ACTIVATED",IF(J4912&lt;&gt;"","?FAMILIAR",IF(F4912="NEW",IF(ISNA(VLOOKUP(E4912,#REF!,1,FALSE())),"?TYPE_IDENTIFIABLE","?REFERENTIAL"),"_")))))</f>
        <v> </v>
      </c>
      <c r="H4912" s="25" t="str">
        <f>IF(J4912&lt;&gt;1,"",IF(I4912="SBJ","CB","?"))</f>
        <v> </v>
      </c>
      <c r="I4912" s="26" t="str">
        <f>IF(OR(E4912="",E4912="!!!",F4912="NEW"),"",INDEX(B4911:B$2,-1+SUMPRODUCT(MAX(ROW(E4911:E$2)*(E4912=E4911:E$2)))))</f>
        <v> </v>
      </c>
      <c r="J4912" s="26" t="str">
        <f>IF(OR(E4912="",E4912="!!!",F4912="NEW"),"",COUNTBLANK(OFFSET(A$1,,,SUMPRODUCT(MAX(ROW(E$2:E4912)*(E4912=E$2:E4912)))))-COUNTBLANK(OFFSET(A$1,,,SUMPRODUCT(MAX(ROW(E$1:E4911)*(E2=E$1:E4911))))))</f>
        <v> </v>
      </c>
      <c r="K4912" s="26" t="str">
        <f>IF(OR(E4912="",E4912="!!!",F4912="NEW"),"",INDEX(J$1:J4911,SUMPRODUCT(MAX(ROW(E$1:E4911)*(E4912=E$1:E4911)))))</f>
        <v> </v>
      </c>
      <c r="L4912" s="27"/>
    </row>
    <row r="4913" spans="1:12">
      <c r="A4913" s="20" t="s">
        <v>1065</v>
      </c>
      <c r="E4913" s="22">
        <f>IF(D4913="?OLD","!!!","")</f>
        <v/>
      </c>
      <c r="F4913" s="23" t="str">
        <f>IF(OR(E4913="",E4913="!!!"),"",IF(NOT(ISNA(VLOOKUP(E4913,E$1:E4912,1,FALSE()))),"OLD",IF(AND(E4913&lt;&gt;"",E4913&lt;&gt;"!!!"),"NEW","")))</f>
        <v> </v>
      </c>
      <c r="G4913" s="24" t="str">
        <f>IF(OR(E4913="",E4913="!!!"),"",IF(OR(J4913=0,AND(J4913=1,K4913=1),AND(J4913=1,I4913="SBJ"),AND(J4913=1,I4913=0)),"?IN_FOCUS",IF(J4913&lt;=2,"?ACTIVATED",IF(J4913&lt;&gt;"","?FAMILIAR",IF(F4913="NEW",IF(ISNA(VLOOKUP(E4913,#REF!,1,FALSE())),"?TYPE_IDENTIFIABLE","?REFERENTIAL"),"_")))))</f>
        <v> </v>
      </c>
      <c r="H4913" s="25" t="str">
        <f>IF(J4913&lt;&gt;1,"",IF(I4913="SBJ","CB","?"))</f>
        <v> </v>
      </c>
      <c r="I4913" s="26" t="str">
        <f>IF(OR(E4913="",E4913="!!!",F4913="NEW"),"",INDEX(B4912:B$2,-1+SUMPRODUCT(MAX(ROW(E4912:E$2)*(E4913=E4912:E$2)))))</f>
        <v> </v>
      </c>
      <c r="J4913" s="26" t="str">
        <f>IF(OR(E4913="",E4913="!!!",F4913="NEW"),"",COUNTBLANK(OFFSET(A$1,,,SUMPRODUCT(MAX(ROW(E$2:E4913)*(E4913=E$2:E4913)))))-COUNTBLANK(OFFSET(A$1,,,SUMPRODUCT(MAX(ROW(E$1:E4912)*(E2=E$1:E4912))))))</f>
        <v> </v>
      </c>
      <c r="K4913" s="26" t="str">
        <f>IF(OR(E4913="",E4913="!!!",F4913="NEW"),"",INDEX(J$1:J4912,SUMPRODUCT(MAX(ROW(E$1:E4912)*(E4913=E$1:E4912)))))</f>
        <v> </v>
      </c>
      <c r="L4913" s="27"/>
    </row>
    <row r="4914" spans="1:12">
      <c r="A4914" s="20" t="s">
        <v>1061</v>
      </c>
      <c r="E4914" s="22">
        <f>IF(D4914="?OLD","!!!","")</f>
        <v/>
      </c>
      <c r="F4914" s="23" t="str">
        <f>IF(OR(E4914="",E4914="!!!"),"",IF(NOT(ISNA(VLOOKUP(E4914,E$1:E4913,1,FALSE()))),"OLD",IF(AND(E4914&lt;&gt;"",E4914&lt;&gt;"!!!"),"NEW","")))</f>
        <v> </v>
      </c>
      <c r="G4914" s="24" t="str">
        <f>IF(OR(E4914="",E4914="!!!"),"",IF(OR(J4914=0,AND(J4914=1,K4914=1),AND(J4914=1,I4914="SBJ"),AND(J4914=1,I4914=0)),"?IN_FOCUS",IF(J4914&lt;=2,"?ACTIVATED",IF(J4914&lt;&gt;"","?FAMILIAR",IF(F4914="NEW",IF(ISNA(VLOOKUP(E4914,#REF!,1,FALSE())),"?TYPE_IDENTIFIABLE","?REFERENTIAL"),"_")))))</f>
        <v> </v>
      </c>
      <c r="H4914" s="25" t="str">
        <f>IF(J4914&lt;&gt;1,"",IF(I4914="SBJ","CB","?"))</f>
        <v> </v>
      </c>
      <c r="I4914" s="26" t="str">
        <f>IF(OR(E4914="",E4914="!!!",F4914="NEW"),"",INDEX(B4913:B$2,-1+SUMPRODUCT(MAX(ROW(E4913:E$2)*(E4914=E4913:E$2)))))</f>
        <v> </v>
      </c>
      <c r="J4914" s="26" t="str">
        <f>IF(OR(E4914="",E4914="!!!",F4914="NEW"),"",COUNTBLANK(OFFSET(A$1,,,SUMPRODUCT(MAX(ROW(E$2:E4914)*(E4914=E$2:E4914)))))-COUNTBLANK(OFFSET(A$1,,,SUMPRODUCT(MAX(ROW(E$1:E4913)*(E2=E$1:E4913))))))</f>
        <v> </v>
      </c>
      <c r="K4914" s="26" t="str">
        <f>IF(OR(E4914="",E4914="!!!",F4914="NEW"),"",INDEX(J$1:J4913,SUMPRODUCT(MAX(ROW(E$1:E4913)*(E4914=E$1:E4913)))))</f>
        <v> </v>
      </c>
      <c r="L4914" s="27"/>
    </row>
    <row r="4915" spans="1:12">
      <c r="A4915" s="20" t="s">
        <v>2339</v>
      </c>
      <c r="E4915" s="22">
        <f>IF(D4915="?OLD","!!!","")</f>
        <v/>
      </c>
      <c r="F4915" s="23" t="str">
        <f>IF(OR(E4915="",E4915="!!!"),"",IF(NOT(ISNA(VLOOKUP(E4915,E$1:E4914,1,FALSE()))),"OLD",IF(AND(E4915&lt;&gt;"",E4915&lt;&gt;"!!!"),"NEW","")))</f>
        <v> </v>
      </c>
      <c r="G4915" s="24" t="str">
        <f>IF(OR(E4915="",E4915="!!!"),"",IF(OR(J4915=0,AND(J4915=1,K4915=1),AND(J4915=1,I4915="SBJ"),AND(J4915=1,I4915=0)),"?IN_FOCUS",IF(J4915&lt;=2,"?ACTIVATED",IF(J4915&lt;&gt;"","?FAMILIAR",IF(F4915="NEW",IF(ISNA(VLOOKUP(E4915,#REF!,1,FALSE())),"?TYPE_IDENTIFIABLE","?REFERENTIAL"),"_")))))</f>
        <v> </v>
      </c>
      <c r="H4915" s="25" t="str">
        <f>IF(J4915&lt;&gt;1,"",IF(I4915="SBJ","CB","?"))</f>
        <v> </v>
      </c>
      <c r="I4915" s="26" t="str">
        <f>IF(OR(E4915="",E4915="!!!",F4915="NEW"),"",INDEX(B4914:B$2,-1+SUMPRODUCT(MAX(ROW(E4914:E$2)*(E4915=E4914:E$2)))))</f>
        <v> </v>
      </c>
      <c r="J4915" s="26" t="str">
        <f>IF(OR(E4915="",E4915="!!!",F4915="NEW"),"",COUNTBLANK(OFFSET(A$1,,,SUMPRODUCT(MAX(ROW(E$2:E4915)*(E4915=E$2:E4915)))))-COUNTBLANK(OFFSET(A$1,,,SUMPRODUCT(MAX(ROW(E$1:E4914)*(E2=E$1:E4914))))))</f>
        <v> </v>
      </c>
      <c r="K4915" s="26" t="str">
        <f>IF(OR(E4915="",E4915="!!!",F4915="NEW"),"",INDEX(J$1:J4914,SUMPRODUCT(MAX(ROW(E$1:E4914)*(E4915=E$1:E4914)))))</f>
        <v> </v>
      </c>
      <c r="L4915" s="27"/>
    </row>
    <row r="4916" spans="1:12">
      <c r="A4916" s="20" t="s">
        <v>1020</v>
      </c>
      <c r="E4916" s="22">
        <f>IF(D4916="?OLD","!!!","")</f>
        <v/>
      </c>
      <c r="F4916" s="23" t="str">
        <f>IF(OR(E4916="",E4916="!!!"),"",IF(NOT(ISNA(VLOOKUP(E4916,E$1:E4915,1,FALSE()))),"OLD",IF(AND(E4916&lt;&gt;"",E4916&lt;&gt;"!!!"),"NEW","")))</f>
        <v> </v>
      </c>
      <c r="G4916" s="24" t="str">
        <f>IF(OR(E4916="",E4916="!!!"),"",IF(OR(J4916=0,AND(J4916=1,K4916=1),AND(J4916=1,I4916="SBJ"),AND(J4916=1,I4916=0)),"?IN_FOCUS",IF(J4916&lt;=2,"?ACTIVATED",IF(J4916&lt;&gt;"","?FAMILIAR",IF(F4916="NEW",IF(ISNA(VLOOKUP(E4916,#REF!,1,FALSE())),"?TYPE_IDENTIFIABLE","?REFERENTIAL"),"_")))))</f>
        <v> </v>
      </c>
      <c r="H4916" s="25" t="str">
        <f>IF(J4916&lt;&gt;1,"",IF(I4916="SBJ","CB","?"))</f>
        <v> </v>
      </c>
      <c r="I4916" s="26" t="str">
        <f>IF(OR(E4916="",E4916="!!!",F4916="NEW"),"",INDEX(B4915:B$2,-1+SUMPRODUCT(MAX(ROW(E4915:E$2)*(E4916=E4915:E$2)))))</f>
        <v> </v>
      </c>
      <c r="J4916" s="26" t="str">
        <f>IF(OR(E4916="",E4916="!!!",F4916="NEW"),"",COUNTBLANK(OFFSET(A$1,,,SUMPRODUCT(MAX(ROW(E$2:E4916)*(E4916=E$2:E4916)))))-COUNTBLANK(OFFSET(A$1,,,SUMPRODUCT(MAX(ROW(E$1:E4915)*(E2=E$1:E4915))))))</f>
        <v> </v>
      </c>
      <c r="K4916" s="26" t="str">
        <f>IF(OR(E4916="",E4916="!!!",F4916="NEW"),"",INDEX(J$1:J4915,SUMPRODUCT(MAX(ROW(E$1:E4915)*(E4916=E$1:E4915)))))</f>
        <v> </v>
      </c>
      <c r="L4916" s="27"/>
    </row>
    <row r="4917" spans="1:12">
      <c r="A4917" s="20" t="s">
        <v>1638</v>
      </c>
      <c r="B4917" s="21" t="s">
        <v>1187</v>
      </c>
      <c r="C4917" s="21" t="s">
        <v>1006</v>
      </c>
      <c r="D4917" s="21" t="s">
        <v>1007</v>
      </c>
      <c r="E4917" s="22">
        <f>IF(D4917="?OLD","!!!","")</f>
        <v/>
      </c>
      <c r="F4917" s="23" t="str">
        <f>IF(OR(E4917="",E4917="!!!"),"",IF(NOT(ISNA(VLOOKUP(E4917,E$1:E4916,1,FALSE()))),"OLD",IF(AND(E4917&lt;&gt;"",E4917&lt;&gt;"!!!"),"NEW","")))</f>
        <v> </v>
      </c>
      <c r="G4917" s="24" t="str">
        <f>IF(OR(E4917="",E4917="!!!"),"",IF(OR(J4917=0,AND(J4917=1,K4917=1),AND(J4917=1,I4917="SBJ"),AND(J4917=1,I4917=0)),"?IN_FOCUS",IF(J4917&lt;=2,"?ACTIVATED",IF(J4917&lt;&gt;"","?FAMILIAR",IF(F4917="NEW",IF(ISNA(VLOOKUP(E4917,#REF!,1,FALSE())),"?TYPE_IDENTIFIABLE","?REFERENTIAL"),"_")))))</f>
        <v> </v>
      </c>
      <c r="H4917" s="25" t="str">
        <f>IF(J4917&lt;&gt;1,"",IF(I4917="SBJ","CB","?"))</f>
        <v> </v>
      </c>
      <c r="I4917" s="26" t="str">
        <f>IF(OR(E4917="",E4917="!!!",F4917="NEW"),"",INDEX(B4916:B$2,-1+SUMPRODUCT(MAX(ROW(E4916:E$2)*(E4917=E4916:E$2)))))</f>
        <v> </v>
      </c>
      <c r="J4917" s="26" t="str">
        <f>IF(OR(E4917="",E4917="!!!",F4917="NEW"),"",COUNTBLANK(OFFSET(A$1,,,SUMPRODUCT(MAX(ROW(E$2:E4917)*(E4917=E$2:E4917)))))-COUNTBLANK(OFFSET(A$1,,,SUMPRODUCT(MAX(ROW(E$1:E4916)*(E2=E$1:E4916))))))</f>
        <v> </v>
      </c>
      <c r="K4917" s="26" t="str">
        <f>IF(OR(E4917="",E4917="!!!",F4917="NEW"),"",INDEX(J$1:J4916,SUMPRODUCT(MAX(ROW(E$1:E4916)*(E4917=E$1:E4916)))))</f>
        <v> </v>
      </c>
      <c r="L4917" s="27"/>
    </row>
    <row r="4918" spans="1:12">
      <c r="A4918" s="20" t="s">
        <v>56</v>
      </c>
      <c r="E4918" s="22">
        <f>IF(D4918="?OLD","!!!","")</f>
        <v/>
      </c>
      <c r="F4918" s="23" t="str">
        <f>IF(OR(E4918="",E4918="!!!"),"",IF(NOT(ISNA(VLOOKUP(E4918,E$1:E4917,1,FALSE()))),"OLD",IF(AND(E4918&lt;&gt;"",E4918&lt;&gt;"!!!"),"NEW","")))</f>
        <v> </v>
      </c>
      <c r="G4918" s="24" t="str">
        <f>IF(OR(E4918="",E4918="!!!"),"",IF(OR(J4918=0,AND(J4918=1,K4918=1),AND(J4918=1,I4918="SBJ"),AND(J4918=1,I4918=0)),"?IN_FOCUS",IF(J4918&lt;=2,"?ACTIVATED",IF(J4918&lt;&gt;"","?FAMILIAR",IF(F4918="NEW",IF(ISNA(VLOOKUP(E4918,#REF!,1,FALSE())),"?TYPE_IDENTIFIABLE","?REFERENTIAL"),"_")))))</f>
        <v> </v>
      </c>
      <c r="H4918" s="25" t="str">
        <f>IF(J4918&lt;&gt;1,"",IF(I4918="SBJ","CB","?"))</f>
        <v> </v>
      </c>
      <c r="I4918" s="26" t="str">
        <f>IF(OR(E4918="",E4918="!!!",F4918="NEW"),"",INDEX(B4917:B$2,-1+SUMPRODUCT(MAX(ROW(E4917:E$2)*(E4918=E4917:E$2)))))</f>
        <v> </v>
      </c>
      <c r="J4918" s="26" t="str">
        <f>IF(OR(E4918="",E4918="!!!",F4918="NEW"),"",COUNTBLANK(OFFSET(A$1,,,SUMPRODUCT(MAX(ROW(E$2:E4918)*(E4918=E$2:E4918)))))-COUNTBLANK(OFFSET(A$1,,,SUMPRODUCT(MAX(ROW(E$1:E4917)*(E2=E$1:E4917))))))</f>
        <v> </v>
      </c>
      <c r="K4918" s="26" t="str">
        <f>IF(OR(E4918="",E4918="!!!",F4918="NEW"),"",INDEX(J$1:J4917,SUMPRODUCT(MAX(ROW(E$1:E4917)*(E4918=E$1:E4917)))))</f>
        <v> </v>
      </c>
      <c r="L4918" s="27"/>
    </row>
    <row r="4919" spans="1:12">
      <c r="A4919" s="20" t="s">
        <v>102</v>
      </c>
      <c r="E4919" s="22">
        <f>IF(D4919="?OLD","!!!","")</f>
        <v/>
      </c>
      <c r="F4919" s="23" t="str">
        <f>IF(OR(E4919="",E4919="!!!"),"",IF(NOT(ISNA(VLOOKUP(E4919,E$1:E4918,1,FALSE()))),"OLD",IF(AND(E4919&lt;&gt;"",E4919&lt;&gt;"!!!"),"NEW","")))</f>
        <v> </v>
      </c>
      <c r="G4919" s="24" t="str">
        <f>IF(OR(E4919="",E4919="!!!"),"",IF(OR(J4919=0,AND(J4919=1,K4919=1),AND(J4919=1,I4919="SBJ"),AND(J4919=1,I4919=0)),"?IN_FOCUS",IF(J4919&lt;=2,"?ACTIVATED",IF(J4919&lt;&gt;"","?FAMILIAR",IF(F4919="NEW",IF(ISNA(VLOOKUP(E4919,#REF!,1,FALSE())),"?TYPE_IDENTIFIABLE","?REFERENTIAL"),"_")))))</f>
        <v> </v>
      </c>
      <c r="H4919" s="25" t="str">
        <f>IF(J4919&lt;&gt;1,"",IF(I4919="SBJ","CB","?"))</f>
        <v> </v>
      </c>
      <c r="I4919" s="26" t="str">
        <f>IF(OR(E4919="",E4919="!!!",F4919="NEW"),"",INDEX(B4918:B$2,-1+SUMPRODUCT(MAX(ROW(E4918:E$2)*(E4919=E4918:E$2)))))</f>
        <v> </v>
      </c>
      <c r="J4919" s="26" t="str">
        <f>IF(OR(E4919="",E4919="!!!",F4919="NEW"),"",COUNTBLANK(OFFSET(A$1,,,SUMPRODUCT(MAX(ROW(E$2:E4919)*(E4919=E$2:E4919)))))-COUNTBLANK(OFFSET(A$1,,,SUMPRODUCT(MAX(ROW(E$1:E4918)*(E2=E$1:E4918))))))</f>
        <v> </v>
      </c>
      <c r="K4919" s="26" t="str">
        <f>IF(OR(E4919="",E4919="!!!",F4919="NEW"),"",INDEX(J$1:J4918,SUMPRODUCT(MAX(ROW(E$1:E4918)*(E4919=E$1:E4918)))))</f>
        <v> </v>
      </c>
      <c r="L4919" s="27"/>
    </row>
    <row r="4920" spans="1:12">
      <c r="A4920" s="20" t="s">
        <v>1597</v>
      </c>
      <c r="B4920" s="21" t="s">
        <v>1035</v>
      </c>
      <c r="C4920" s="21" t="s">
        <v>1017</v>
      </c>
      <c r="D4920" s="21" t="s">
        <v>1007</v>
      </c>
      <c r="E4920" s="22">
        <f>IF(D4920="?OLD","!!!","")</f>
        <v/>
      </c>
      <c r="F4920" s="23" t="str">
        <f>IF(OR(E4920="",E4920="!!!"),"",IF(NOT(ISNA(VLOOKUP(E4920,E$1:E4919,1,FALSE()))),"OLD",IF(AND(E4920&lt;&gt;"",E4920&lt;&gt;"!!!"),"NEW","")))</f>
        <v> </v>
      </c>
      <c r="G4920" s="24" t="str">
        <f>IF(OR(E4920="",E4920="!!!"),"",IF(OR(J4920=0,AND(J4920=1,K4920=1),AND(J4920=1,I4920="SBJ"),AND(J4920=1,I4920=0)),"?IN_FOCUS",IF(J4920&lt;=2,"?ACTIVATED",IF(J4920&lt;&gt;"","?FAMILIAR",IF(F4920="NEW",IF(ISNA(VLOOKUP(E4920,#REF!,1,FALSE())),"?TYPE_IDENTIFIABLE","?REFERENTIAL"),"_")))))</f>
        <v> </v>
      </c>
      <c r="H4920" s="25" t="str">
        <f>IF(J4920&lt;&gt;1,"",IF(I4920="SBJ","CB","?"))</f>
        <v> </v>
      </c>
      <c r="I4920" s="26" t="str">
        <f>IF(OR(E4920="",E4920="!!!",F4920="NEW"),"",INDEX(B4919:B$2,-1+SUMPRODUCT(MAX(ROW(E4919:E$2)*(E4920=E4919:E$2)))))</f>
        <v> </v>
      </c>
      <c r="J4920" s="26" t="str">
        <f>IF(OR(E4920="",E4920="!!!",F4920="NEW"),"",COUNTBLANK(OFFSET(A$1,,,SUMPRODUCT(MAX(ROW(E$2:E4920)*(E4920=E$2:E4920)))))-COUNTBLANK(OFFSET(A$1,,,SUMPRODUCT(MAX(ROW(E$1:E4919)*(E2=E$1:E4919))))))</f>
        <v> </v>
      </c>
      <c r="K4920" s="26" t="str">
        <f>IF(OR(E4920="",E4920="!!!",F4920="NEW"),"",INDEX(J$1:J4919,SUMPRODUCT(MAX(ROW(E$1:E4919)*(E4920=E$1:E4919)))))</f>
        <v> </v>
      </c>
      <c r="L4920" s="27"/>
    </row>
    <row r="4921" spans="1:12">
      <c r="A4921" s="20" t="s">
        <v>1663</v>
      </c>
      <c r="E4921" s="22">
        <f>IF(D4921="?OLD","!!!","")</f>
        <v/>
      </c>
      <c r="F4921" s="23" t="str">
        <f>IF(OR(E4921="",E4921="!!!"),"",IF(NOT(ISNA(VLOOKUP(E4921,E$1:E4920,1,FALSE()))),"OLD",IF(AND(E4921&lt;&gt;"",E4921&lt;&gt;"!!!"),"NEW","")))</f>
        <v> </v>
      </c>
      <c r="G4921" s="24" t="str">
        <f>IF(OR(E4921="",E4921="!!!"),"",IF(OR(J4921=0,AND(J4921=1,K4921=1),AND(J4921=1,I4921="SBJ"),AND(J4921=1,I4921=0)),"?IN_FOCUS",IF(J4921&lt;=2,"?ACTIVATED",IF(J4921&lt;&gt;"","?FAMILIAR",IF(F4921="NEW",IF(ISNA(VLOOKUP(E4921,#REF!,1,FALSE())),"?TYPE_IDENTIFIABLE","?REFERENTIAL"),"_")))))</f>
        <v> </v>
      </c>
      <c r="H4921" s="25" t="str">
        <f>IF(J4921&lt;&gt;1,"",IF(I4921="SBJ","CB","?"))</f>
        <v> </v>
      </c>
      <c r="I4921" s="26" t="str">
        <f>IF(OR(E4921="",E4921="!!!",F4921="NEW"),"",INDEX(B4920:B$2,-1+SUMPRODUCT(MAX(ROW(E4920:E$2)*(E4921=E4920:E$2)))))</f>
        <v> </v>
      </c>
      <c r="J4921" s="26" t="str">
        <f>IF(OR(E4921="",E4921="!!!",F4921="NEW"),"",COUNTBLANK(OFFSET(A$1,,,SUMPRODUCT(MAX(ROW(E$2:E4921)*(E4921=E$2:E4921)))))-COUNTBLANK(OFFSET(A$1,,,SUMPRODUCT(MAX(ROW(E$1:E4920)*(E2=E$1:E4920))))))</f>
        <v> </v>
      </c>
      <c r="K4921" s="26" t="str">
        <f>IF(OR(E4921="",E4921="!!!",F4921="NEW"),"",INDEX(J$1:J4920,SUMPRODUCT(MAX(ROW(E$1:E4920)*(E4921=E$1:E4920)))))</f>
        <v> </v>
      </c>
      <c r="L4921" s="27"/>
    </row>
    <row r="4922" spans="1:12">
      <c r="A4922" s="20" t="s">
        <v>1020</v>
      </c>
      <c r="E4922" s="22">
        <f>IF(D4922="?OLD","!!!","")</f>
        <v/>
      </c>
      <c r="F4922" s="23" t="str">
        <f>IF(OR(E4922="",E4922="!!!"),"",IF(NOT(ISNA(VLOOKUP(E4922,E$1:E4921,1,FALSE()))),"OLD",IF(AND(E4922&lt;&gt;"",E4922&lt;&gt;"!!!"),"NEW","")))</f>
        <v> </v>
      </c>
      <c r="G4922" s="24" t="str">
        <f>IF(OR(E4922="",E4922="!!!"),"",IF(OR(J4922=0,AND(J4922=1,K4922=1),AND(J4922=1,I4922="SBJ"),AND(J4922=1,I4922=0)),"?IN_FOCUS",IF(J4922&lt;=2,"?ACTIVATED",IF(J4922&lt;&gt;"","?FAMILIAR",IF(F4922="NEW",IF(ISNA(VLOOKUP(E4922,#REF!,1,FALSE())),"?TYPE_IDENTIFIABLE","?REFERENTIAL"),"_")))))</f>
        <v> </v>
      </c>
      <c r="H4922" s="25" t="str">
        <f>IF(J4922&lt;&gt;1,"",IF(I4922="SBJ","CB","?"))</f>
        <v> </v>
      </c>
      <c r="I4922" s="26" t="str">
        <f>IF(OR(E4922="",E4922="!!!",F4922="NEW"),"",INDEX(B4921:B$2,-1+SUMPRODUCT(MAX(ROW(E4921:E$2)*(E4922=E4921:E$2)))))</f>
        <v> </v>
      </c>
      <c r="J4922" s="26" t="str">
        <f>IF(OR(E4922="",E4922="!!!",F4922="NEW"),"",COUNTBLANK(OFFSET(A$1,,,SUMPRODUCT(MAX(ROW(E$2:E4922)*(E4922=E$2:E4922)))))-COUNTBLANK(OFFSET(A$1,,,SUMPRODUCT(MAX(ROW(E$1:E4921)*(E2=E$1:E4921))))))</f>
        <v> </v>
      </c>
      <c r="K4922" s="26" t="str">
        <f>IF(OR(E4922="",E4922="!!!",F4922="NEW"),"",INDEX(J$1:J4921,SUMPRODUCT(MAX(ROW(E$1:E4921)*(E4922=E$1:E4921)))))</f>
        <v> </v>
      </c>
      <c r="L4922" s="27"/>
    </row>
    <row r="4923" spans="1:12">
      <c r="A4923" s="20" t="s">
        <v>1499</v>
      </c>
      <c r="E4923" s="22">
        <f>IF(D4923="?OLD","!!!","")</f>
        <v/>
      </c>
      <c r="F4923" s="23" t="str">
        <f>IF(OR(E4923="",E4923="!!!"),"",IF(NOT(ISNA(VLOOKUP(E4923,E$1:E4922,1,FALSE()))),"OLD",IF(AND(E4923&lt;&gt;"",E4923&lt;&gt;"!!!"),"NEW","")))</f>
        <v> </v>
      </c>
      <c r="G4923" s="24" t="str">
        <f>IF(OR(E4923="",E4923="!!!"),"",IF(OR(J4923=0,AND(J4923=1,K4923=1),AND(J4923=1,I4923="SBJ"),AND(J4923=1,I4923=0)),"?IN_FOCUS",IF(J4923&lt;=2,"?ACTIVATED",IF(J4923&lt;&gt;"","?FAMILIAR",IF(F4923="NEW",IF(ISNA(VLOOKUP(E4923,#REF!,1,FALSE())),"?TYPE_IDENTIFIABLE","?REFERENTIAL"),"_")))))</f>
        <v> </v>
      </c>
      <c r="H4923" s="25" t="str">
        <f>IF(J4923&lt;&gt;1,"",IF(I4923="SBJ","CB","?"))</f>
        <v> </v>
      </c>
      <c r="I4923" s="26" t="str">
        <f>IF(OR(E4923="",E4923="!!!",F4923="NEW"),"",INDEX(B4922:B$2,-1+SUMPRODUCT(MAX(ROW(E4922:E$2)*(E4923=E4922:E$2)))))</f>
        <v> </v>
      </c>
      <c r="J4923" s="26" t="str">
        <f>IF(OR(E4923="",E4923="!!!",F4923="NEW"),"",COUNTBLANK(OFFSET(A$1,,,SUMPRODUCT(MAX(ROW(E$2:E4923)*(E4923=E$2:E4923)))))-COUNTBLANK(OFFSET(A$1,,,SUMPRODUCT(MAX(ROW(E$1:E4922)*(E2=E$1:E4922))))))</f>
        <v> </v>
      </c>
      <c r="K4923" s="26" t="str">
        <f>IF(OR(E4923="",E4923="!!!",F4923="NEW"),"",INDEX(J$1:J4922,SUMPRODUCT(MAX(ROW(E$1:E4922)*(E4923=E$1:E4922)))))</f>
        <v> </v>
      </c>
      <c r="L4923" s="27"/>
    </row>
    <row r="4924" spans="1:12">
      <c r="A4924" s="20" t="s">
        <v>2377</v>
      </c>
      <c r="B4924" s="21" t="s">
        <v>1040</v>
      </c>
      <c r="C4924" s="21" t="s">
        <v>1048</v>
      </c>
      <c r="E4924" s="22">
        <f>IF(D4924="?OLD","!!!","")</f>
        <v/>
      </c>
      <c r="F4924" s="23" t="str">
        <f>IF(OR(E4924="",E4924="!!!"),"",IF(NOT(ISNA(VLOOKUP(E4924,E$1:E4923,1,FALSE()))),"OLD",IF(AND(E4924&lt;&gt;"",E4924&lt;&gt;"!!!"),"NEW","")))</f>
        <v> </v>
      </c>
      <c r="G4924" s="24" t="str">
        <f>IF(OR(E4924="",E4924="!!!"),"",IF(OR(J4924=0,AND(J4924=1,K4924=1),AND(J4924=1,I4924="SBJ"),AND(J4924=1,I4924=0)),"?IN_FOCUS",IF(J4924&lt;=2,"?ACTIVATED",IF(J4924&lt;&gt;"","?FAMILIAR",IF(F4924="NEW",IF(ISNA(VLOOKUP(E4924,#REF!,1,FALSE())),"?TYPE_IDENTIFIABLE","?REFERENTIAL"),"_")))))</f>
        <v> </v>
      </c>
      <c r="H4924" s="25" t="str">
        <f>IF(J4924&lt;&gt;1,"",IF(I4924="SBJ","CB","?"))</f>
        <v> </v>
      </c>
      <c r="I4924" s="26" t="str">
        <f>IF(OR(E4924="",E4924="!!!",F4924="NEW"),"",INDEX(B4923:B$2,-1+SUMPRODUCT(MAX(ROW(E4923:E$2)*(E4924=E4923:E$2)))))</f>
        <v> </v>
      </c>
      <c r="J4924" s="26" t="str">
        <f>IF(OR(E4924="",E4924="!!!",F4924="NEW"),"",COUNTBLANK(OFFSET(A$1,,,SUMPRODUCT(MAX(ROW(E$2:E4924)*(E4924=E$2:E4924)))))-COUNTBLANK(OFFSET(A$1,,,SUMPRODUCT(MAX(ROW(E$1:E4923)*(E2=E$1:E4923))))))</f>
        <v> </v>
      </c>
      <c r="K4924" s="26" t="str">
        <f>IF(OR(E4924="",E4924="!!!",F4924="NEW"),"",INDEX(J$1:J4923,SUMPRODUCT(MAX(ROW(E$1:E4923)*(E4924=E$1:E4923)))))</f>
        <v> </v>
      </c>
      <c r="L4924" s="27"/>
    </row>
    <row r="4925" spans="1:12">
      <c r="A4925" s="20" t="s">
        <v>1077</v>
      </c>
      <c r="E4925" s="22">
        <f>IF(D4925="?OLD","!!!","")</f>
        <v/>
      </c>
      <c r="F4925" s="23" t="str">
        <f>IF(OR(E4925="",E4925="!!!"),"",IF(NOT(ISNA(VLOOKUP(E4925,E$1:E4924,1,FALSE()))),"OLD",IF(AND(E4925&lt;&gt;"",E4925&lt;&gt;"!!!"),"NEW","")))</f>
        <v> </v>
      </c>
      <c r="G4925" s="24" t="str">
        <f>IF(OR(E4925="",E4925="!!!"),"",IF(OR(J4925=0,AND(J4925=1,K4925=1),AND(J4925=1,I4925="SBJ"),AND(J4925=1,I4925=0)),"?IN_FOCUS",IF(J4925&lt;=2,"?ACTIVATED",IF(J4925&lt;&gt;"","?FAMILIAR",IF(F4925="NEW",IF(ISNA(VLOOKUP(E4925,#REF!,1,FALSE())),"?TYPE_IDENTIFIABLE","?REFERENTIAL"),"_")))))</f>
        <v> </v>
      </c>
      <c r="H4925" s="25" t="str">
        <f>IF(J4925&lt;&gt;1,"",IF(I4925="SBJ","CB","?"))</f>
        <v> </v>
      </c>
      <c r="I4925" s="26" t="str">
        <f>IF(OR(E4925="",E4925="!!!",F4925="NEW"),"",INDEX(B4924:B$2,-1+SUMPRODUCT(MAX(ROW(E4924:E$2)*(E4925=E4924:E$2)))))</f>
        <v> </v>
      </c>
      <c r="J4925" s="26" t="str">
        <f>IF(OR(E4925="",E4925="!!!",F4925="NEW"),"",COUNTBLANK(OFFSET(A$1,,,SUMPRODUCT(MAX(ROW(E$2:E4925)*(E4925=E$2:E4925)))))-COUNTBLANK(OFFSET(A$1,,,SUMPRODUCT(MAX(ROW(E$1:E4924)*(E2=E$1:E4924))))))</f>
        <v> </v>
      </c>
      <c r="K4925" s="26" t="str">
        <f>IF(OR(E4925="",E4925="!!!",F4925="NEW"),"",INDEX(J$1:J4924,SUMPRODUCT(MAX(ROW(E$1:E4924)*(E4925=E$1:E4924)))))</f>
        <v> </v>
      </c>
      <c r="L4925" s="27"/>
    </row>
    <row r="4926" spans="1:12">
      <c r="A4926" s="20"/>
    </row>
    <row r="4927" spans="1:12">
      <c r="A4927" s="20" t="s">
        <v>2378</v>
      </c>
    </row>
    <row r="4928" spans="1:12">
      <c r="A4928" s="20" t="s">
        <v>2099</v>
      </c>
      <c r="E4928" s="22">
        <f>IF(D4928="?OLD","!!!","")</f>
        <v/>
      </c>
      <c r="F4928" s="23" t="str">
        <f>IF(OR(E4928="",E4928="!!!"),"",IF(NOT(ISNA(VLOOKUP(E4928,E$1:E4927,1,FALSE()))),"OLD",IF(AND(E4928&lt;&gt;"",E4928&lt;&gt;"!!!"),"NEW","")))</f>
        <v> </v>
      </c>
      <c r="G4928" s="24" t="str">
        <f>IF(OR(E4928="",E4928="!!!"),"",IF(OR(J4928=0,AND(J4928=1,K4928=1),AND(J4928=1,I4928="SBJ"),AND(J4928=1,I4928=0)),"?IN_FOCUS",IF(J4928&lt;=2,"?ACTIVATED",IF(J4928&lt;&gt;"","?FAMILIAR",IF(F4928="NEW",IF(ISNA(VLOOKUP(E4928,#REF!,1,FALSE())),"?TYPE_IDENTIFIABLE","?REFERENTIAL"),"_")))))</f>
        <v> </v>
      </c>
      <c r="H4928" s="25" t="str">
        <f>IF(J4928&lt;&gt;1,"",IF(I4928="SBJ","CB","?"))</f>
        <v> </v>
      </c>
      <c r="I4928" s="26" t="str">
        <f>IF(OR(E4928="",E4928="!!!",F4928="NEW"),"",INDEX(B4927:B$2,-1+SUMPRODUCT(MAX(ROW(E4927:E$2)*(E4928=E4927:E$2)))))</f>
        <v> </v>
      </c>
      <c r="J4928" s="26" t="str">
        <f>IF(OR(E4928="",E4928="!!!",F4928="NEW"),"",COUNTBLANK(OFFSET(A$1,,,SUMPRODUCT(MAX(ROW(E$2:E4928)*(E4928=E$2:E4928)))))-COUNTBLANK(OFFSET(A$1,,,SUMPRODUCT(MAX(ROW(E$1:E4927)*(E2=E$1:E4927))))))</f>
        <v> </v>
      </c>
      <c r="K4928" s="26" t="str">
        <f>IF(OR(E4928="",E4928="!!!",F4928="NEW"),"",INDEX(J$1:J4927,SUMPRODUCT(MAX(ROW(E$1:E4927)*(E4928=E$1:E4927)))))</f>
        <v> </v>
      </c>
      <c r="L4928" s="27"/>
    </row>
    <row r="4929" spans="1:12">
      <c r="A4929" s="20" t="s">
        <v>1027</v>
      </c>
      <c r="E4929" s="22">
        <f>IF(D4929="?OLD","!!!","")</f>
        <v/>
      </c>
      <c r="F4929" s="23" t="str">
        <f>IF(OR(E4929="",E4929="!!!"),"",IF(NOT(ISNA(VLOOKUP(E4929,E$1:E4928,1,FALSE()))),"OLD",IF(AND(E4929&lt;&gt;"",E4929&lt;&gt;"!!!"),"NEW","")))</f>
        <v> </v>
      </c>
      <c r="G4929" s="24" t="str">
        <f>IF(OR(E4929="",E4929="!!!"),"",IF(OR(J4929=0,AND(J4929=1,K4929=1),AND(J4929=1,I4929="SBJ"),AND(J4929=1,I4929=0)),"?IN_FOCUS",IF(J4929&lt;=2,"?ACTIVATED",IF(J4929&lt;&gt;"","?FAMILIAR",IF(F4929="NEW",IF(ISNA(VLOOKUP(E4929,#REF!,1,FALSE())),"?TYPE_IDENTIFIABLE","?REFERENTIAL"),"_")))))</f>
        <v> </v>
      </c>
      <c r="H4929" s="25" t="str">
        <f>IF(J4929&lt;&gt;1,"",IF(I4929="SBJ","CB","?"))</f>
        <v> </v>
      </c>
      <c r="I4929" s="26" t="str">
        <f>IF(OR(E4929="",E4929="!!!",F4929="NEW"),"",INDEX(B4928:B$2,-1+SUMPRODUCT(MAX(ROW(E4928:E$2)*(E4929=E4928:E$2)))))</f>
        <v> </v>
      </c>
      <c r="J4929" s="26" t="str">
        <f>IF(OR(E4929="",E4929="!!!",F4929="NEW"),"",COUNTBLANK(OFFSET(A$1,,,SUMPRODUCT(MAX(ROW(E$2:E4929)*(E4929=E$2:E4929)))))-COUNTBLANK(OFFSET(A$1,,,SUMPRODUCT(MAX(ROW(E$1:E4928)*(E2=E$1:E4928))))))</f>
        <v> </v>
      </c>
      <c r="K4929" s="26" t="str">
        <f>IF(OR(E4929="",E4929="!!!",F4929="NEW"),"",INDEX(J$1:J4928,SUMPRODUCT(MAX(ROW(E$1:E4928)*(E4929=E$1:E4928)))))</f>
        <v> </v>
      </c>
      <c r="L4929" s="27"/>
    </row>
    <row r="4930" spans="1:12">
      <c r="A4930" s="20" t="s">
        <v>1749</v>
      </c>
      <c r="E4930" s="22">
        <f>IF(D4930="?OLD","!!!","")</f>
        <v/>
      </c>
      <c r="F4930" s="23" t="str">
        <f>IF(OR(E4930="",E4930="!!!"),"",IF(NOT(ISNA(VLOOKUP(E4930,E$1:E4929,1,FALSE()))),"OLD",IF(AND(E4930&lt;&gt;"",E4930&lt;&gt;"!!!"),"NEW","")))</f>
        <v> </v>
      </c>
      <c r="G4930" s="24" t="str">
        <f>IF(OR(E4930="",E4930="!!!"),"",IF(OR(J4930=0,AND(J4930=1,K4930=1),AND(J4930=1,I4930="SBJ"),AND(J4930=1,I4930=0)),"?IN_FOCUS",IF(J4930&lt;=2,"?ACTIVATED",IF(J4930&lt;&gt;"","?FAMILIAR",IF(F4930="NEW",IF(ISNA(VLOOKUP(E4930,#REF!,1,FALSE())),"?TYPE_IDENTIFIABLE","?REFERENTIAL"),"_")))))</f>
        <v> </v>
      </c>
      <c r="H4930" s="25" t="str">
        <f>IF(J4930&lt;&gt;1,"",IF(I4930="SBJ","CB","?"))</f>
        <v> </v>
      </c>
      <c r="I4930" s="26" t="str">
        <f>IF(OR(E4930="",E4930="!!!",F4930="NEW"),"",INDEX(B4929:B$2,-1+SUMPRODUCT(MAX(ROW(E4929:E$2)*(E4930=E4929:E$2)))))</f>
        <v> </v>
      </c>
      <c r="J4930" s="26" t="str">
        <f>IF(OR(E4930="",E4930="!!!",F4930="NEW"),"",COUNTBLANK(OFFSET(A$1,,,SUMPRODUCT(MAX(ROW(E$2:E4930)*(E4930=E$2:E4930)))))-COUNTBLANK(OFFSET(A$1,,,SUMPRODUCT(MAX(ROW(E$1:E4929)*(E2=E$1:E4929))))))</f>
        <v> </v>
      </c>
      <c r="K4930" s="26" t="str">
        <f>IF(OR(E4930="",E4930="!!!",F4930="NEW"),"",INDEX(J$1:J4929,SUMPRODUCT(MAX(ROW(E$1:E4929)*(E4930=E$1:E4929)))))</f>
        <v> </v>
      </c>
      <c r="L4930" s="27"/>
    </row>
    <row r="4931" spans="1:12">
      <c r="A4931" s="20" t="s">
        <v>2365</v>
      </c>
      <c r="B4931" s="21" t="s">
        <v>1005</v>
      </c>
      <c r="C4931" s="21" t="s">
        <v>2268</v>
      </c>
      <c r="D4931" s="21" t="s">
        <v>1007</v>
      </c>
      <c r="E4931" s="22">
        <f>IF(D4931="?OLD","!!!","")</f>
        <v/>
      </c>
      <c r="F4931" s="23" t="str">
        <f>IF(OR(E4931="",E4931="!!!"),"",IF(NOT(ISNA(VLOOKUP(E4931,E$1:E4930,1,FALSE()))),"OLD",IF(AND(E4931&lt;&gt;"",E4931&lt;&gt;"!!!"),"NEW","")))</f>
        <v> </v>
      </c>
      <c r="G4931" s="24" t="str">
        <f>IF(OR(E4931="",E4931="!!!"),"",IF(OR(J4931=0,AND(J4931=1,K4931=1),AND(J4931=1,I4931="SBJ"),AND(J4931=1,I4931=0)),"?IN_FOCUS",IF(J4931&lt;=2,"?ACTIVATED",IF(J4931&lt;&gt;"","?FAMILIAR",IF(F4931="NEW",IF(ISNA(VLOOKUP(E4931,#REF!,1,FALSE())),"?TYPE_IDENTIFIABLE","?REFERENTIAL"),"_")))))</f>
        <v> </v>
      </c>
      <c r="H4931" s="25" t="str">
        <f>IF(J4931&lt;&gt;1,"",IF(I4931="SBJ","CB","?"))</f>
        <v> </v>
      </c>
      <c r="I4931" s="26" t="str">
        <f>IF(OR(E4931="",E4931="!!!",F4931="NEW"),"",INDEX(B4930:B$2,-1+SUMPRODUCT(MAX(ROW(E4930:E$2)*(E4931=E4930:E$2)))))</f>
        <v> </v>
      </c>
      <c r="J4931" s="26" t="str">
        <f>IF(OR(E4931="",E4931="!!!",F4931="NEW"),"",COUNTBLANK(OFFSET(A$1,,,SUMPRODUCT(MAX(ROW(E$2:E4931)*(E4931=E$2:E4931)))))-COUNTBLANK(OFFSET(A$1,,,SUMPRODUCT(MAX(ROW(E$1:E4930)*(E2=E$1:E4930))))))</f>
        <v> </v>
      </c>
      <c r="K4931" s="26" t="str">
        <f>IF(OR(E4931="",E4931="!!!",F4931="NEW"),"",INDEX(J$1:J4930,SUMPRODUCT(MAX(ROW(E$1:E4930)*(E4931=E$1:E4930)))))</f>
        <v> </v>
      </c>
      <c r="L4931" s="27"/>
    </row>
    <row r="4932" spans="1:12">
      <c r="A4932" s="20" t="s">
        <v>1065</v>
      </c>
      <c r="B4932" s="21" t="s">
        <v>1029</v>
      </c>
      <c r="E4932" s="22">
        <f>IF(D4932="?OLD","!!!","")</f>
        <v/>
      </c>
      <c r="F4932" s="23" t="str">
        <f>IF(OR(E4932="",E4932="!!!"),"",IF(NOT(ISNA(VLOOKUP(E4932,E$1:E4931,1,FALSE()))),"OLD",IF(AND(E4932&lt;&gt;"",E4932&lt;&gt;"!!!"),"NEW","")))</f>
        <v> </v>
      </c>
      <c r="G4932" s="24" t="str">
        <f>IF(OR(E4932="",E4932="!!!"),"",IF(OR(J4932=0,AND(J4932=1,K4932=1),AND(J4932=1,I4932="SBJ"),AND(J4932=1,I4932=0)),"?IN_FOCUS",IF(J4932&lt;=2,"?ACTIVATED",IF(J4932&lt;&gt;"","?FAMILIAR",IF(F4932="NEW",IF(ISNA(VLOOKUP(E4932,#REF!,1,FALSE())),"?TYPE_IDENTIFIABLE","?REFERENTIAL"),"_")))))</f>
        <v> </v>
      </c>
      <c r="H4932" s="25" t="str">
        <f>IF(J4932&lt;&gt;1,"",IF(I4932="SBJ","CB","?"))</f>
        <v> </v>
      </c>
      <c r="I4932" s="26" t="str">
        <f>IF(OR(E4932="",E4932="!!!",F4932="NEW"),"",INDEX(B4931:B$2,-1+SUMPRODUCT(MAX(ROW(E4931:E$2)*(E4932=E4931:E$2)))))</f>
        <v> </v>
      </c>
      <c r="J4932" s="26" t="str">
        <f>IF(OR(E4932="",E4932="!!!",F4932="NEW"),"",COUNTBLANK(OFFSET(A$1,,,SUMPRODUCT(MAX(ROW(E$2:E4932)*(E4932=E$2:E4932)))))-COUNTBLANK(OFFSET(A$1,,,SUMPRODUCT(MAX(ROW(E$1:E4931)*(E2=E$1:E4931))))))</f>
        <v> </v>
      </c>
      <c r="K4932" s="26" t="str">
        <f>IF(OR(E4932="",E4932="!!!",F4932="NEW"),"",INDEX(J$1:J4931,SUMPRODUCT(MAX(ROW(E$1:E4931)*(E4932=E$1:E4931)))))</f>
        <v> </v>
      </c>
      <c r="L4932" s="27"/>
    </row>
    <row r="4933" spans="1:12">
      <c r="A4933" s="20" t="s">
        <v>1729</v>
      </c>
      <c r="B4933" s="21" t="s">
        <v>1119</v>
      </c>
      <c r="C4933" s="21" t="s">
        <v>1082</v>
      </c>
      <c r="D4933" s="21" t="s">
        <v>1007</v>
      </c>
      <c r="E4933" s="22">
        <f>IF(D4933="?OLD","!!!","")</f>
        <v/>
      </c>
      <c r="F4933" s="23" t="str">
        <f>IF(OR(E4933="",E4933="!!!"),"",IF(NOT(ISNA(VLOOKUP(E4933,E$1:E4932,1,FALSE()))),"OLD",IF(AND(E4933&lt;&gt;"",E4933&lt;&gt;"!!!"),"NEW","")))</f>
        <v> </v>
      </c>
      <c r="G4933" s="24" t="str">
        <f>IF(OR(E4933="",E4933="!!!"),"",IF(OR(J4933=0,AND(J4933=1,K4933=1),AND(J4933=1,I4933="SBJ"),AND(J4933=1,I4933=0)),"?IN_FOCUS",IF(J4933&lt;=2,"?ACTIVATED",IF(J4933&lt;&gt;"","?FAMILIAR",IF(F4933="NEW",IF(ISNA(VLOOKUP(E4933,#REF!,1,FALSE())),"?TYPE_IDENTIFIABLE","?REFERENTIAL"),"_")))))</f>
        <v> </v>
      </c>
      <c r="H4933" s="25" t="str">
        <f>IF(J4933&lt;&gt;1,"",IF(I4933="SBJ","CB","?"))</f>
        <v> </v>
      </c>
      <c r="I4933" s="26" t="str">
        <f>IF(OR(E4933="",E4933="!!!",F4933="NEW"),"",INDEX(B4932:B$2,-1+SUMPRODUCT(MAX(ROW(E4932:E$2)*(E4933=E4932:E$2)))))</f>
        <v> </v>
      </c>
      <c r="J4933" s="26" t="str">
        <f>IF(OR(E4933="",E4933="!!!",F4933="NEW"),"",COUNTBLANK(OFFSET(A$1,,,SUMPRODUCT(MAX(ROW(E$2:E4933)*(E4933=E$2:E4933)))))-COUNTBLANK(OFFSET(A$1,,,SUMPRODUCT(MAX(ROW(E$1:E4932)*(E2=E$1:E4932))))))</f>
        <v> </v>
      </c>
      <c r="K4933" s="26" t="str">
        <f>IF(OR(E4933="",E4933="!!!",F4933="NEW"),"",INDEX(J$1:J4932,SUMPRODUCT(MAX(ROW(E$1:E4932)*(E4933=E$1:E4932)))))</f>
        <v> </v>
      </c>
      <c r="L4933" s="27"/>
    </row>
    <row r="4934" spans="1:12">
      <c r="A4934" s="20" t="s">
        <v>2379</v>
      </c>
      <c r="E4934" s="22">
        <f>IF(D4934="?OLD","!!!","")</f>
        <v/>
      </c>
      <c r="F4934" s="23" t="str">
        <f>IF(OR(E4934="",E4934="!!!"),"",IF(NOT(ISNA(VLOOKUP(E4934,E$1:E4933,1,FALSE()))),"OLD",IF(AND(E4934&lt;&gt;"",E4934&lt;&gt;"!!!"),"NEW","")))</f>
        <v> </v>
      </c>
      <c r="G4934" s="24" t="str">
        <f>IF(OR(E4934="",E4934="!!!"),"",IF(OR(J4934=0,AND(J4934=1,K4934=1),AND(J4934=1,I4934="SBJ"),AND(J4934=1,I4934=0)),"?IN_FOCUS",IF(J4934&lt;=2,"?ACTIVATED",IF(J4934&lt;&gt;"","?FAMILIAR",IF(F4934="NEW",IF(ISNA(VLOOKUP(E4934,#REF!,1,FALSE())),"?TYPE_IDENTIFIABLE","?REFERENTIAL"),"_")))))</f>
        <v> </v>
      </c>
      <c r="H4934" s="25" t="str">
        <f>IF(J4934&lt;&gt;1,"",IF(I4934="SBJ","CB","?"))</f>
        <v> </v>
      </c>
      <c r="I4934" s="26" t="str">
        <f>IF(OR(E4934="",E4934="!!!",F4934="NEW"),"",INDEX(B4933:B$2,-1+SUMPRODUCT(MAX(ROW(E4933:E$2)*(E4934=E4933:E$2)))))</f>
        <v> </v>
      </c>
      <c r="J4934" s="26" t="str">
        <f>IF(OR(E4934="",E4934="!!!",F4934="NEW"),"",COUNTBLANK(OFFSET(A$1,,,SUMPRODUCT(MAX(ROW(E$2:E4934)*(E4934=E$2:E4934)))))-COUNTBLANK(OFFSET(A$1,,,SUMPRODUCT(MAX(ROW(E$1:E4933)*(E2=E$1:E4933))))))</f>
        <v> </v>
      </c>
      <c r="K4934" s="26" t="str">
        <f>IF(OR(E4934="",E4934="!!!",F4934="NEW"),"",INDEX(J$1:J4933,SUMPRODUCT(MAX(ROW(E$1:E4933)*(E4934=E$1:E4933)))))</f>
        <v> </v>
      </c>
      <c r="L4934" s="27"/>
    </row>
    <row r="4935" spans="1:12">
      <c r="A4935" s="20" t="s">
        <v>1023</v>
      </c>
      <c r="E4935" s="22">
        <f>IF(D4935="?OLD","!!!","")</f>
        <v/>
      </c>
      <c r="F4935" s="23" t="str">
        <f>IF(OR(E4935="",E4935="!!!"),"",IF(NOT(ISNA(VLOOKUP(E4935,E$1:E4934,1,FALSE()))),"OLD",IF(AND(E4935&lt;&gt;"",E4935&lt;&gt;"!!!"),"NEW","")))</f>
        <v> </v>
      </c>
      <c r="G4935" s="24" t="str">
        <f>IF(OR(E4935="",E4935="!!!"),"",IF(OR(J4935=0,AND(J4935=1,K4935=1),AND(J4935=1,I4935="SBJ"),AND(J4935=1,I4935=0)),"?IN_FOCUS",IF(J4935&lt;=2,"?ACTIVATED",IF(J4935&lt;&gt;"","?FAMILIAR",IF(F4935="NEW",IF(ISNA(VLOOKUP(E4935,#REF!,1,FALSE())),"?TYPE_IDENTIFIABLE","?REFERENTIAL"),"_")))))</f>
        <v> </v>
      </c>
      <c r="H4935" s="25" t="str">
        <f>IF(J4935&lt;&gt;1,"",IF(I4935="SBJ","CB","?"))</f>
        <v> </v>
      </c>
      <c r="I4935" s="26" t="str">
        <f>IF(OR(E4935="",E4935="!!!",F4935="NEW"),"",INDEX(B4934:B$2,-1+SUMPRODUCT(MAX(ROW(E4934:E$2)*(E4935=E4934:E$2)))))</f>
        <v> </v>
      </c>
      <c r="J4935" s="26" t="str">
        <f>IF(OR(E4935="",E4935="!!!",F4935="NEW"),"",COUNTBLANK(OFFSET(A$1,,,SUMPRODUCT(MAX(ROW(E$2:E4935)*(E4935=E$2:E4935)))))-COUNTBLANK(OFFSET(A$1,,,SUMPRODUCT(MAX(ROW(E$1:E4934)*(E2=E$1:E4934))))))</f>
        <v> </v>
      </c>
      <c r="K4935" s="26" t="str">
        <f>IF(OR(E4935="",E4935="!!!",F4935="NEW"),"",INDEX(J$1:J4934,SUMPRODUCT(MAX(ROW(E$1:E4934)*(E4935=E$1:E4934)))))</f>
        <v> </v>
      </c>
      <c r="L4935" s="27"/>
    </row>
    <row r="4936" spans="1:12">
      <c r="A4936" s="20"/>
    </row>
    <row r="4937" spans="1:12">
      <c r="A4937" s="20" t="s">
        <v>2380</v>
      </c>
    </row>
    <row r="4938" spans="1:12">
      <c r="A4938" s="20" t="s">
        <v>1701</v>
      </c>
      <c r="E4938" s="22">
        <f>IF(D4938="?OLD","!!!","")</f>
        <v/>
      </c>
      <c r="F4938" s="23" t="str">
        <f>IF(OR(E4938="",E4938="!!!"),"",IF(NOT(ISNA(VLOOKUP(E4938,E$1:E4937,1,FALSE()))),"OLD",IF(AND(E4938&lt;&gt;"",E4938&lt;&gt;"!!!"),"NEW","")))</f>
        <v> </v>
      </c>
      <c r="G4938" s="24" t="str">
        <f>IF(OR(E4938="",E4938="!!!"),"",IF(OR(J4938=0,AND(J4938=1,K4938=1),AND(J4938=1,I4938="SBJ"),AND(J4938=1,I4938=0)),"?IN_FOCUS",IF(J4938&lt;=2,"?ACTIVATED",IF(J4938&lt;&gt;"","?FAMILIAR",IF(F4938="NEW",IF(ISNA(VLOOKUP(E4938,#REF!,1,FALSE())),"?TYPE_IDENTIFIABLE","?REFERENTIAL"),"_")))))</f>
        <v> </v>
      </c>
      <c r="H4938" s="25" t="str">
        <f>IF(J4938&lt;&gt;1,"",IF(I4938="SBJ","CB","?"))</f>
        <v> </v>
      </c>
      <c r="I4938" s="26" t="str">
        <f>IF(OR(E4938="",E4938="!!!",F4938="NEW"),"",INDEX(B4937:B$2,-1+SUMPRODUCT(MAX(ROW(E4937:E$2)*(E4938=E4937:E$2)))))</f>
        <v> </v>
      </c>
      <c r="J4938" s="26" t="str">
        <f>IF(OR(E4938="",E4938="!!!",F4938="NEW"),"",COUNTBLANK(OFFSET(A$1,,,SUMPRODUCT(MAX(ROW(E$2:E4938)*(E4938=E$2:E4938)))))-COUNTBLANK(OFFSET(A$1,,,SUMPRODUCT(MAX(ROW(E$1:E4937)*(E2=E$1:E4937))))))</f>
        <v> </v>
      </c>
      <c r="K4938" s="26" t="str">
        <f>IF(OR(E4938="",E4938="!!!",F4938="NEW"),"",INDEX(J$1:J4937,SUMPRODUCT(MAX(ROW(E$1:E4937)*(E4938=E$1:E4937)))))</f>
        <v> </v>
      </c>
      <c r="L4938" s="27"/>
    </row>
    <row r="4939" spans="1:12">
      <c r="A4939" s="20" t="s">
        <v>2381</v>
      </c>
      <c r="B4939" s="21" t="s">
        <v>1085</v>
      </c>
      <c r="C4939" s="21" t="s">
        <v>1048</v>
      </c>
      <c r="E4939" s="22">
        <f>IF(D4939="?OLD","!!!","")</f>
        <v/>
      </c>
      <c r="F4939" s="23" t="str">
        <f>IF(OR(E4939="",E4939="!!!"),"",IF(NOT(ISNA(VLOOKUP(E4939,E$1:E4938,1,FALSE()))),"OLD",IF(AND(E4939&lt;&gt;"",E4939&lt;&gt;"!!!"),"NEW","")))</f>
        <v> </v>
      </c>
      <c r="G4939" s="24" t="str">
        <f>IF(OR(E4939="",E4939="!!!"),"",IF(OR(J4939=0,AND(J4939=1,K4939=1),AND(J4939=1,I4939="SBJ"),AND(J4939=1,I4939=0)),"?IN_FOCUS",IF(J4939&lt;=2,"?ACTIVATED",IF(J4939&lt;&gt;"","?FAMILIAR",IF(F4939="NEW",IF(ISNA(VLOOKUP(E4939,#REF!,1,FALSE())),"?TYPE_IDENTIFIABLE","?REFERENTIAL"),"_")))))</f>
        <v> </v>
      </c>
      <c r="H4939" s="25" t="str">
        <f>IF(J4939&lt;&gt;1,"",IF(I4939="SBJ","CB","?"))</f>
        <v> </v>
      </c>
      <c r="I4939" s="26" t="str">
        <f>IF(OR(E4939="",E4939="!!!",F4939="NEW"),"",INDEX(B4938:B$2,-1+SUMPRODUCT(MAX(ROW(E4938:E$2)*(E4939=E4938:E$2)))))</f>
        <v> </v>
      </c>
      <c r="J4939" s="26" t="str">
        <f>IF(OR(E4939="",E4939="!!!",F4939="NEW"),"",COUNTBLANK(OFFSET(A$1,,,SUMPRODUCT(MAX(ROW(E$2:E4939)*(E4939=E$2:E4939)))))-COUNTBLANK(OFFSET(A$1,,,SUMPRODUCT(MAX(ROW(E$1:E4938)*(E2=E$1:E4938))))))</f>
        <v> </v>
      </c>
      <c r="K4939" s="26" t="str">
        <f>IF(OR(E4939="",E4939="!!!",F4939="NEW"),"",INDEX(J$1:J4938,SUMPRODUCT(MAX(ROW(E$1:E4938)*(E4939=E$1:E4938)))))</f>
        <v> </v>
      </c>
      <c r="L4939" s="27"/>
    </row>
    <row r="4940" spans="1:12">
      <c r="A4940" s="20" t="s">
        <v>1030</v>
      </c>
      <c r="E4940" s="22">
        <f>IF(D4940="?OLD","!!!","")</f>
        <v/>
      </c>
      <c r="F4940" s="23" t="str">
        <f>IF(OR(E4940="",E4940="!!!"),"",IF(NOT(ISNA(VLOOKUP(E4940,E$1:E4939,1,FALSE()))),"OLD",IF(AND(E4940&lt;&gt;"",E4940&lt;&gt;"!!!"),"NEW","")))</f>
        <v> </v>
      </c>
      <c r="G4940" s="24" t="str">
        <f>IF(OR(E4940="",E4940="!!!"),"",IF(OR(J4940=0,AND(J4940=1,K4940=1),AND(J4940=1,I4940="SBJ"),AND(J4940=1,I4940=0)),"?IN_FOCUS",IF(J4940&lt;=2,"?ACTIVATED",IF(J4940&lt;&gt;"","?FAMILIAR",IF(F4940="NEW",IF(ISNA(VLOOKUP(E4940,#REF!,1,FALSE())),"?TYPE_IDENTIFIABLE","?REFERENTIAL"),"_")))))</f>
        <v> </v>
      </c>
      <c r="H4940" s="25" t="str">
        <f>IF(J4940&lt;&gt;1,"",IF(I4940="SBJ","CB","?"))</f>
        <v> </v>
      </c>
      <c r="I4940" s="26" t="str">
        <f>IF(OR(E4940="",E4940="!!!",F4940="NEW"),"",INDEX(B4939:B$2,-1+SUMPRODUCT(MAX(ROW(E4939:E$2)*(E4940=E4939:E$2)))))</f>
        <v> </v>
      </c>
      <c r="J4940" s="26" t="str">
        <f>IF(OR(E4940="",E4940="!!!",F4940="NEW"),"",COUNTBLANK(OFFSET(A$1,,,SUMPRODUCT(MAX(ROW(E$2:E4940)*(E4940=E$2:E4940)))))-COUNTBLANK(OFFSET(A$1,,,SUMPRODUCT(MAX(ROW(E$1:E4939)*(E2=E$1:E4939))))))</f>
        <v> </v>
      </c>
      <c r="K4940" s="26" t="str">
        <f>IF(OR(E4940="",E4940="!!!",F4940="NEW"),"",INDEX(J$1:J4939,SUMPRODUCT(MAX(ROW(E$1:E4939)*(E4940=E$1:E4939)))))</f>
        <v> </v>
      </c>
      <c r="L4940" s="27"/>
    </row>
    <row r="4941" spans="1:12">
      <c r="A4941" s="20" t="s">
        <v>137</v>
      </c>
      <c r="E4941" s="22">
        <f>IF(D4941="?OLD","!!!","")</f>
        <v/>
      </c>
      <c r="F4941" s="23" t="str">
        <f>IF(OR(E4941="",E4941="!!!"),"",IF(NOT(ISNA(VLOOKUP(E4941,E$1:E4940,1,FALSE()))),"OLD",IF(AND(E4941&lt;&gt;"",E4941&lt;&gt;"!!!"),"NEW","")))</f>
        <v> </v>
      </c>
      <c r="G4941" s="24" t="str">
        <f>IF(OR(E4941="",E4941="!!!"),"",IF(OR(J4941=0,AND(J4941=1,K4941=1),AND(J4941=1,I4941="SBJ"),AND(J4941=1,I4941=0)),"?IN_FOCUS",IF(J4941&lt;=2,"?ACTIVATED",IF(J4941&lt;&gt;"","?FAMILIAR",IF(F4941="NEW",IF(ISNA(VLOOKUP(E4941,#REF!,1,FALSE())),"?TYPE_IDENTIFIABLE","?REFERENTIAL"),"_")))))</f>
        <v> </v>
      </c>
      <c r="H4941" s="25" t="str">
        <f>IF(J4941&lt;&gt;1,"",IF(I4941="SBJ","CB","?"))</f>
        <v> </v>
      </c>
      <c r="I4941" s="26" t="str">
        <f>IF(OR(E4941="",E4941="!!!",F4941="NEW"),"",INDEX(B4940:B$2,-1+SUMPRODUCT(MAX(ROW(E4940:E$2)*(E4941=E4940:E$2)))))</f>
        <v> </v>
      </c>
      <c r="J4941" s="26" t="str">
        <f>IF(OR(E4941="",E4941="!!!",F4941="NEW"),"",COUNTBLANK(OFFSET(A$1,,,SUMPRODUCT(MAX(ROW(E$2:E4941)*(E4941=E$2:E4941)))))-COUNTBLANK(OFFSET(A$1,,,SUMPRODUCT(MAX(ROW(E$1:E4940)*(E2=E$1:E4940))))))</f>
        <v> </v>
      </c>
      <c r="K4941" s="26" t="str">
        <f>IF(OR(E4941="",E4941="!!!",F4941="NEW"),"",INDEX(J$1:J4940,SUMPRODUCT(MAX(ROW(E$1:E4940)*(E4941=E$1:E4940)))))</f>
        <v> </v>
      </c>
      <c r="L4941" s="27"/>
    </row>
    <row r="4942" spans="1:12">
      <c r="A4942" s="20" t="s">
        <v>1149</v>
      </c>
      <c r="B4942" s="21" t="s">
        <v>1119</v>
      </c>
      <c r="C4942" s="21" t="s">
        <v>1074</v>
      </c>
      <c r="E4942" s="22">
        <f>IF(D4942="?OLD","!!!","")</f>
        <v/>
      </c>
      <c r="F4942" s="23" t="str">
        <f>IF(OR(E4942="",E4942="!!!"),"",IF(NOT(ISNA(VLOOKUP(E4942,E$1:E4941,1,FALSE()))),"OLD",IF(AND(E4942&lt;&gt;"",E4942&lt;&gt;"!!!"),"NEW","")))</f>
        <v> </v>
      </c>
      <c r="G4942" s="24" t="str">
        <f>IF(OR(E4942="",E4942="!!!"),"",IF(OR(J4942=0,AND(J4942=1,K4942=1),AND(J4942=1,I4942="SBJ"),AND(J4942=1,I4942=0)),"?IN_FOCUS",IF(J4942&lt;=2,"?ACTIVATED",IF(J4942&lt;&gt;"","?FAMILIAR",IF(F4942="NEW",IF(ISNA(VLOOKUP(E4942,#REF!,1,FALSE())),"?TYPE_IDENTIFIABLE","?REFERENTIAL"),"_")))))</f>
        <v> </v>
      </c>
      <c r="H4942" s="25" t="str">
        <f>IF(J4942&lt;&gt;1,"",IF(I4942="SBJ","CB","?"))</f>
        <v> </v>
      </c>
      <c r="I4942" s="26" t="str">
        <f>IF(OR(E4942="",E4942="!!!",F4942="NEW"),"",INDEX(B4941:B$2,-1+SUMPRODUCT(MAX(ROW(E4941:E$2)*(E4942=E4941:E$2)))))</f>
        <v> </v>
      </c>
      <c r="J4942" s="26" t="str">
        <f>IF(OR(E4942="",E4942="!!!",F4942="NEW"),"",COUNTBLANK(OFFSET(A$1,,,SUMPRODUCT(MAX(ROW(E$2:E4942)*(E4942=E$2:E4942)))))-COUNTBLANK(OFFSET(A$1,,,SUMPRODUCT(MAX(ROW(E$1:E4941)*(E2=E$1:E4941))))))</f>
        <v> </v>
      </c>
      <c r="K4942" s="26" t="str">
        <f>IF(OR(E4942="",E4942="!!!",F4942="NEW"),"",INDEX(J$1:J4941,SUMPRODUCT(MAX(ROW(E$1:E4941)*(E4942=E$1:E4941)))))</f>
        <v> </v>
      </c>
      <c r="L4942" s="27"/>
    </row>
    <row r="4943" spans="1:12">
      <c r="A4943" s="20" t="s">
        <v>1051</v>
      </c>
      <c r="E4943" s="22">
        <f>IF(D4943="?OLD","!!!","")</f>
        <v/>
      </c>
      <c r="F4943" s="23" t="str">
        <f>IF(OR(E4943="",E4943="!!!"),"",IF(NOT(ISNA(VLOOKUP(E4943,E$1:E4942,1,FALSE()))),"OLD",IF(AND(E4943&lt;&gt;"",E4943&lt;&gt;"!!!"),"NEW","")))</f>
        <v> </v>
      </c>
      <c r="G4943" s="24" t="str">
        <f>IF(OR(E4943="",E4943="!!!"),"",IF(OR(J4943=0,AND(J4943=1,K4943=1),AND(J4943=1,I4943="SBJ"),AND(J4943=1,I4943=0)),"?IN_FOCUS",IF(J4943&lt;=2,"?ACTIVATED",IF(J4943&lt;&gt;"","?FAMILIAR",IF(F4943="NEW",IF(ISNA(VLOOKUP(E4943,#REF!,1,FALSE())),"?TYPE_IDENTIFIABLE","?REFERENTIAL"),"_")))))</f>
        <v> </v>
      </c>
      <c r="H4943" s="25" t="str">
        <f>IF(J4943&lt;&gt;1,"",IF(I4943="SBJ","CB","?"))</f>
        <v> </v>
      </c>
      <c r="I4943" s="26" t="str">
        <f>IF(OR(E4943="",E4943="!!!",F4943="NEW"),"",INDEX(B4942:B$2,-1+SUMPRODUCT(MAX(ROW(E4942:E$2)*(E4943=E4942:E$2)))))</f>
        <v> </v>
      </c>
      <c r="J4943" s="26" t="str">
        <f>IF(OR(E4943="",E4943="!!!",F4943="NEW"),"",COUNTBLANK(OFFSET(A$1,,,SUMPRODUCT(MAX(ROW(E$2:E4943)*(E4943=E$2:E4943)))))-COUNTBLANK(OFFSET(A$1,,,SUMPRODUCT(MAX(ROW(E$1:E4942)*(E2=E$1:E4942))))))</f>
        <v> </v>
      </c>
      <c r="K4943" s="26" t="str">
        <f>IF(OR(E4943="",E4943="!!!",F4943="NEW"),"",INDEX(J$1:J4942,SUMPRODUCT(MAX(ROW(E$1:E4942)*(E4943=E$1:E4942)))))</f>
        <v> </v>
      </c>
      <c r="L4943" s="27"/>
    </row>
    <row r="4944" spans="1:12">
      <c r="A4944" s="20" t="s">
        <v>2382</v>
      </c>
      <c r="E4944" s="22">
        <f>IF(D4944="?OLD","!!!","")</f>
        <v/>
      </c>
      <c r="F4944" s="23" t="str">
        <f>IF(OR(E4944="",E4944="!!!"),"",IF(NOT(ISNA(VLOOKUP(E4944,E$1:E4943,1,FALSE()))),"OLD",IF(AND(E4944&lt;&gt;"",E4944&lt;&gt;"!!!"),"NEW","")))</f>
        <v> </v>
      </c>
      <c r="G4944" s="24" t="str">
        <f>IF(OR(E4944="",E4944="!!!"),"",IF(OR(J4944=0,AND(J4944=1,K4944=1),AND(J4944=1,I4944="SBJ"),AND(J4944=1,I4944=0)),"?IN_FOCUS",IF(J4944&lt;=2,"?ACTIVATED",IF(J4944&lt;&gt;"","?FAMILIAR",IF(F4944="NEW",IF(ISNA(VLOOKUP(E4944,#REF!,1,FALSE())),"?TYPE_IDENTIFIABLE","?REFERENTIAL"),"_")))))</f>
        <v> </v>
      </c>
      <c r="H4944" s="25" t="str">
        <f>IF(J4944&lt;&gt;1,"",IF(I4944="SBJ","CB","?"))</f>
        <v> </v>
      </c>
      <c r="I4944" s="26" t="str">
        <f>IF(OR(E4944="",E4944="!!!",F4944="NEW"),"",INDEX(B4943:B$2,-1+SUMPRODUCT(MAX(ROW(E4943:E$2)*(E4944=E4943:E$2)))))</f>
        <v> </v>
      </c>
      <c r="J4944" s="26" t="str">
        <f>IF(OR(E4944="",E4944="!!!",F4944="NEW"),"",COUNTBLANK(OFFSET(A$1,,,SUMPRODUCT(MAX(ROW(E$2:E4944)*(E4944=E$2:E4944)))))-COUNTBLANK(OFFSET(A$1,,,SUMPRODUCT(MAX(ROW(E$1:E4943)*(E2=E$1:E4943))))))</f>
        <v> </v>
      </c>
      <c r="K4944" s="26" t="str">
        <f>IF(OR(E4944="",E4944="!!!",F4944="NEW"),"",INDEX(J$1:J4943,SUMPRODUCT(MAX(ROW(E$1:E4943)*(E4944=E$1:E4943)))))</f>
        <v> </v>
      </c>
      <c r="L4944" s="27"/>
    </row>
    <row r="4945" spans="1:12">
      <c r="A4945" s="20" t="s">
        <v>1020</v>
      </c>
      <c r="E4945" s="22">
        <f>IF(D4945="?OLD","!!!","")</f>
        <v/>
      </c>
      <c r="F4945" s="23" t="str">
        <f>IF(OR(E4945="",E4945="!!!"),"",IF(NOT(ISNA(VLOOKUP(E4945,E$1:E4944,1,FALSE()))),"OLD",IF(AND(E4945&lt;&gt;"",E4945&lt;&gt;"!!!"),"NEW","")))</f>
        <v> </v>
      </c>
      <c r="G4945" s="24" t="str">
        <f>IF(OR(E4945="",E4945="!!!"),"",IF(OR(J4945=0,AND(J4945=1,K4945=1),AND(J4945=1,I4945="SBJ"),AND(J4945=1,I4945=0)),"?IN_FOCUS",IF(J4945&lt;=2,"?ACTIVATED",IF(J4945&lt;&gt;"","?FAMILIAR",IF(F4945="NEW",IF(ISNA(VLOOKUP(E4945,#REF!,1,FALSE())),"?TYPE_IDENTIFIABLE","?REFERENTIAL"),"_")))))</f>
        <v> </v>
      </c>
      <c r="H4945" s="25" t="str">
        <f>IF(J4945&lt;&gt;1,"",IF(I4945="SBJ","CB","?"))</f>
        <v> </v>
      </c>
      <c r="I4945" s="26" t="str">
        <f>IF(OR(E4945="",E4945="!!!",F4945="NEW"),"",INDEX(B4944:B$2,-1+SUMPRODUCT(MAX(ROW(E4944:E$2)*(E4945=E4944:E$2)))))</f>
        <v> </v>
      </c>
      <c r="J4945" s="26" t="str">
        <f>IF(OR(E4945="",E4945="!!!",F4945="NEW"),"",COUNTBLANK(OFFSET(A$1,,,SUMPRODUCT(MAX(ROW(E$2:E4945)*(E4945=E$2:E4945)))))-COUNTBLANK(OFFSET(A$1,,,SUMPRODUCT(MAX(ROW(E$1:E4944)*(E2=E$1:E4944))))))</f>
        <v> </v>
      </c>
      <c r="K4945" s="26" t="str">
        <f>IF(OR(E4945="",E4945="!!!",F4945="NEW"),"",INDEX(J$1:J4944,SUMPRODUCT(MAX(ROW(E$1:E4944)*(E4945=E$1:E4944)))))</f>
        <v> </v>
      </c>
      <c r="L4945" s="27"/>
    </row>
    <row r="4946" spans="1:12">
      <c r="A4946" s="20" t="s">
        <v>2383</v>
      </c>
      <c r="E4946" s="22">
        <f>IF(D4946="?OLD","!!!","")</f>
        <v/>
      </c>
      <c r="F4946" s="23" t="str">
        <f>IF(OR(E4946="",E4946="!!!"),"",IF(NOT(ISNA(VLOOKUP(E4946,E$1:E4945,1,FALSE()))),"OLD",IF(AND(E4946&lt;&gt;"",E4946&lt;&gt;"!!!"),"NEW","")))</f>
        <v> </v>
      </c>
      <c r="G4946" s="24" t="str">
        <f>IF(OR(E4946="",E4946="!!!"),"",IF(OR(J4946=0,AND(J4946=1,K4946=1),AND(J4946=1,I4946="SBJ"),AND(J4946=1,I4946=0)),"?IN_FOCUS",IF(J4946&lt;=2,"?ACTIVATED",IF(J4946&lt;&gt;"","?FAMILIAR",IF(F4946="NEW",IF(ISNA(VLOOKUP(E4946,#REF!,1,FALSE())),"?TYPE_IDENTIFIABLE","?REFERENTIAL"),"_")))))</f>
        <v> </v>
      </c>
      <c r="H4946" s="25" t="str">
        <f>IF(J4946&lt;&gt;1,"",IF(I4946="SBJ","CB","?"))</f>
        <v> </v>
      </c>
      <c r="I4946" s="26" t="str">
        <f>IF(OR(E4946="",E4946="!!!",F4946="NEW"),"",INDEX(B4945:B$2,-1+SUMPRODUCT(MAX(ROW(E4945:E$2)*(E4946=E4945:E$2)))))</f>
        <v> </v>
      </c>
      <c r="J4946" s="26" t="str">
        <f>IF(OR(E4946="",E4946="!!!",F4946="NEW"),"",COUNTBLANK(OFFSET(A$1,,,SUMPRODUCT(MAX(ROW(E$2:E4946)*(E4946=E$2:E4946)))))-COUNTBLANK(OFFSET(A$1,,,SUMPRODUCT(MAX(ROW(E$1:E4945)*(E2=E$1:E4945))))))</f>
        <v> </v>
      </c>
      <c r="K4946" s="26" t="str">
        <f>IF(OR(E4946="",E4946="!!!",F4946="NEW"),"",INDEX(J$1:J4945,SUMPRODUCT(MAX(ROW(E$1:E4945)*(E4946=E$1:E4945)))))</f>
        <v> </v>
      </c>
      <c r="L4946" s="27"/>
    </row>
    <row r="4947" spans="1:12">
      <c r="A4947" s="20" t="s">
        <v>1036</v>
      </c>
      <c r="E4947" s="22">
        <f>IF(D4947="?OLD","!!!","")</f>
        <v/>
      </c>
      <c r="F4947" s="23" t="str">
        <f>IF(OR(E4947="",E4947="!!!"),"",IF(NOT(ISNA(VLOOKUP(E4947,E$1:E4946,1,FALSE()))),"OLD",IF(AND(E4947&lt;&gt;"",E4947&lt;&gt;"!!!"),"NEW","")))</f>
        <v> </v>
      </c>
      <c r="G4947" s="24" t="str">
        <f>IF(OR(E4947="",E4947="!!!"),"",IF(OR(J4947=0,AND(J4947=1,K4947=1),AND(J4947=1,I4947="SBJ"),AND(J4947=1,I4947=0)),"?IN_FOCUS",IF(J4947&lt;=2,"?ACTIVATED",IF(J4947&lt;&gt;"","?FAMILIAR",IF(F4947="NEW",IF(ISNA(VLOOKUP(E4947,#REF!,1,FALSE())),"?TYPE_IDENTIFIABLE","?REFERENTIAL"),"_")))))</f>
        <v> </v>
      </c>
      <c r="H4947" s="25" t="str">
        <f>IF(J4947&lt;&gt;1,"",IF(I4947="SBJ","CB","?"))</f>
        <v> </v>
      </c>
      <c r="I4947" s="26" t="str">
        <f>IF(OR(E4947="",E4947="!!!",F4947="NEW"),"",INDEX(B4946:B$2,-1+SUMPRODUCT(MAX(ROW(E4946:E$2)*(E4947=E4946:E$2)))))</f>
        <v> </v>
      </c>
      <c r="J4947" s="26" t="str">
        <f>IF(OR(E4947="",E4947="!!!",F4947="NEW"),"",COUNTBLANK(OFFSET(A$1,,,SUMPRODUCT(MAX(ROW(E$2:E4947)*(E4947=E$2:E4947)))))-COUNTBLANK(OFFSET(A$1,,,SUMPRODUCT(MAX(ROW(E$1:E4946)*(E2=E$1:E4946))))))</f>
        <v> </v>
      </c>
      <c r="K4947" s="26" t="str">
        <f>IF(OR(E4947="",E4947="!!!",F4947="NEW"),"",INDEX(J$1:J4946,SUMPRODUCT(MAX(ROW(E$1:E4946)*(E4947=E$1:E4946)))))</f>
        <v> </v>
      </c>
      <c r="L4947" s="27"/>
    </row>
    <row r="4948" spans="1:12">
      <c r="A4948" s="20" t="s">
        <v>1020</v>
      </c>
      <c r="E4948" s="22">
        <f>IF(D4948="?OLD","!!!","")</f>
        <v/>
      </c>
      <c r="F4948" s="23" t="str">
        <f>IF(OR(E4948="",E4948="!!!"),"",IF(NOT(ISNA(VLOOKUP(E4948,E$1:E4947,1,FALSE()))),"OLD",IF(AND(E4948&lt;&gt;"",E4948&lt;&gt;"!!!"),"NEW","")))</f>
        <v> </v>
      </c>
      <c r="G4948" s="24" t="str">
        <f>IF(OR(E4948="",E4948="!!!"),"",IF(OR(J4948=0,AND(J4948=1,K4948=1),AND(J4948=1,I4948="SBJ"),AND(J4948=1,I4948=0)),"?IN_FOCUS",IF(J4948&lt;=2,"?ACTIVATED",IF(J4948&lt;&gt;"","?FAMILIAR",IF(F4948="NEW",IF(ISNA(VLOOKUP(E4948,#REF!,1,FALSE())),"?TYPE_IDENTIFIABLE","?REFERENTIAL"),"_")))))</f>
        <v> </v>
      </c>
      <c r="H4948" s="25" t="str">
        <f>IF(J4948&lt;&gt;1,"",IF(I4948="SBJ","CB","?"))</f>
        <v> </v>
      </c>
      <c r="I4948" s="26" t="str">
        <f>IF(OR(E4948="",E4948="!!!",F4948="NEW"),"",INDEX(B4947:B$2,-1+SUMPRODUCT(MAX(ROW(E4947:E$2)*(E4948=E4947:E$2)))))</f>
        <v> </v>
      </c>
      <c r="J4948" s="26" t="str">
        <f>IF(OR(E4948="",E4948="!!!",F4948="NEW"),"",COUNTBLANK(OFFSET(A$1,,,SUMPRODUCT(MAX(ROW(E$2:E4948)*(E4948=E$2:E4948)))))-COUNTBLANK(OFFSET(A$1,,,SUMPRODUCT(MAX(ROW(E$1:E4947)*(E2=E$1:E4947))))))</f>
        <v> </v>
      </c>
      <c r="K4948" s="26" t="str">
        <f>IF(OR(E4948="",E4948="!!!",F4948="NEW"),"",INDEX(J$1:J4947,SUMPRODUCT(MAX(ROW(E$1:E4947)*(E4948=E$1:E4947)))))</f>
        <v> </v>
      </c>
      <c r="L4948" s="27"/>
    </row>
    <row r="4949" spans="1:12">
      <c r="A4949" s="20" t="s">
        <v>1315</v>
      </c>
      <c r="B4949" s="21" t="s">
        <v>1033</v>
      </c>
      <c r="C4949" s="21" t="s">
        <v>1017</v>
      </c>
      <c r="D4949" s="21" t="s">
        <v>1007</v>
      </c>
      <c r="E4949" s="22">
        <f>IF(D4949="?OLD","!!!","")</f>
        <v/>
      </c>
      <c r="F4949" s="23" t="str">
        <f>IF(OR(E4949="",E4949="!!!"),"",IF(NOT(ISNA(VLOOKUP(E4949,E$1:E4948,1,FALSE()))),"OLD",IF(AND(E4949&lt;&gt;"",E4949&lt;&gt;"!!!"),"NEW","")))</f>
        <v> </v>
      </c>
      <c r="G4949" s="24" t="str">
        <f>IF(OR(E4949="",E4949="!!!"),"",IF(OR(J4949=0,AND(J4949=1,K4949=1),AND(J4949=1,I4949="SBJ"),AND(J4949=1,I4949=0)),"?IN_FOCUS",IF(J4949&lt;=2,"?ACTIVATED",IF(J4949&lt;&gt;"","?FAMILIAR",IF(F4949="NEW",IF(ISNA(VLOOKUP(E4949,#REF!,1,FALSE())),"?TYPE_IDENTIFIABLE","?REFERENTIAL"),"_")))))</f>
        <v> </v>
      </c>
      <c r="H4949" s="25" t="str">
        <f>IF(J4949&lt;&gt;1,"",IF(I4949="SBJ","CB","?"))</f>
        <v> </v>
      </c>
      <c r="I4949" s="26" t="str">
        <f>IF(OR(E4949="",E4949="!!!",F4949="NEW"),"",INDEX(B4948:B$2,-1+SUMPRODUCT(MAX(ROW(E4948:E$2)*(E4949=E4948:E$2)))))</f>
        <v> </v>
      </c>
      <c r="J4949" s="26" t="str">
        <f>IF(OR(E4949="",E4949="!!!",F4949="NEW"),"",COUNTBLANK(OFFSET(A$1,,,SUMPRODUCT(MAX(ROW(E$2:E4949)*(E4949=E$2:E4949)))))-COUNTBLANK(OFFSET(A$1,,,SUMPRODUCT(MAX(ROW(E$1:E4948)*(E2=E$1:E4948))))))</f>
        <v> </v>
      </c>
      <c r="K4949" s="26" t="str">
        <f>IF(OR(E4949="",E4949="!!!",F4949="NEW"),"",INDEX(J$1:J4948,SUMPRODUCT(MAX(ROW(E$1:E4948)*(E4949=E$1:E4948)))))</f>
        <v> </v>
      </c>
      <c r="L4949" s="27"/>
    </row>
    <row r="4950" spans="1:12">
      <c r="A4950" s="20" t="s">
        <v>1018</v>
      </c>
      <c r="E4950" s="22">
        <f>IF(D4950="?OLD","!!!","")</f>
        <v/>
      </c>
      <c r="F4950" s="23" t="str">
        <f>IF(OR(E4950="",E4950="!!!"),"",IF(NOT(ISNA(VLOOKUP(E4950,E$1:E4949,1,FALSE()))),"OLD",IF(AND(E4950&lt;&gt;"",E4950&lt;&gt;"!!!"),"NEW","")))</f>
        <v> </v>
      </c>
      <c r="G4950" s="24" t="str">
        <f>IF(OR(E4950="",E4950="!!!"),"",IF(OR(J4950=0,AND(J4950=1,K4950=1),AND(J4950=1,I4950="SBJ"),AND(J4950=1,I4950=0)),"?IN_FOCUS",IF(J4950&lt;=2,"?ACTIVATED",IF(J4950&lt;&gt;"","?FAMILIAR",IF(F4950="NEW",IF(ISNA(VLOOKUP(E4950,#REF!,1,FALSE())),"?TYPE_IDENTIFIABLE","?REFERENTIAL"),"_")))))</f>
        <v> </v>
      </c>
      <c r="H4950" s="25" t="str">
        <f>IF(J4950&lt;&gt;1,"",IF(I4950="SBJ","CB","?"))</f>
        <v> </v>
      </c>
      <c r="I4950" s="26" t="str">
        <f>IF(OR(E4950="",E4950="!!!",F4950="NEW"),"",INDEX(B4949:B$2,-1+SUMPRODUCT(MAX(ROW(E4949:E$2)*(E4950=E4949:E$2)))))</f>
        <v> </v>
      </c>
      <c r="J4950" s="26" t="str">
        <f>IF(OR(E4950="",E4950="!!!",F4950="NEW"),"",COUNTBLANK(OFFSET(A$1,,,SUMPRODUCT(MAX(ROW(E$2:E4950)*(E4950=E$2:E4950)))))-COUNTBLANK(OFFSET(A$1,,,SUMPRODUCT(MAX(ROW(E$1:E4949)*(E2=E$1:E4949))))))</f>
        <v> </v>
      </c>
      <c r="K4950" s="26" t="str">
        <f>IF(OR(E4950="",E4950="!!!",F4950="NEW"),"",INDEX(J$1:J4949,SUMPRODUCT(MAX(ROW(E$1:E4949)*(E4950=E$1:E4949)))))</f>
        <v> </v>
      </c>
      <c r="L4950" s="27"/>
    </row>
    <row r="4951" spans="1:12">
      <c r="A4951" s="20" t="s">
        <v>1684</v>
      </c>
      <c r="E4951" s="22">
        <f>IF(D4951="?OLD","!!!","")</f>
        <v/>
      </c>
      <c r="F4951" s="23" t="str">
        <f>IF(OR(E4951="",E4951="!!!"),"",IF(NOT(ISNA(VLOOKUP(E4951,E$1:E4950,1,FALSE()))),"OLD",IF(AND(E4951&lt;&gt;"",E4951&lt;&gt;"!!!"),"NEW","")))</f>
        <v> </v>
      </c>
      <c r="G4951" s="24" t="str">
        <f>IF(OR(E4951="",E4951="!!!"),"",IF(OR(J4951=0,AND(J4951=1,K4951=1),AND(J4951=1,I4951="SBJ"),AND(J4951=1,I4951=0)),"?IN_FOCUS",IF(J4951&lt;=2,"?ACTIVATED",IF(J4951&lt;&gt;"","?FAMILIAR",IF(F4951="NEW",IF(ISNA(VLOOKUP(E4951,#REF!,1,FALSE())),"?TYPE_IDENTIFIABLE","?REFERENTIAL"),"_")))))</f>
        <v> </v>
      </c>
      <c r="H4951" s="25" t="str">
        <f>IF(J4951&lt;&gt;1,"",IF(I4951="SBJ","CB","?"))</f>
        <v> </v>
      </c>
      <c r="I4951" s="26" t="str">
        <f>IF(OR(E4951="",E4951="!!!",F4951="NEW"),"",INDEX(B4950:B$2,-1+SUMPRODUCT(MAX(ROW(E4950:E$2)*(E4951=E4950:E$2)))))</f>
        <v> </v>
      </c>
      <c r="J4951" s="26" t="str">
        <f>IF(OR(E4951="",E4951="!!!",F4951="NEW"),"",COUNTBLANK(OFFSET(A$1,,,SUMPRODUCT(MAX(ROW(E$2:E4951)*(E4951=E$2:E4951)))))-COUNTBLANK(OFFSET(A$1,,,SUMPRODUCT(MAX(ROW(E$1:E4950)*(E2=E$1:E4950))))))</f>
        <v> </v>
      </c>
      <c r="K4951" s="26" t="str">
        <f>IF(OR(E4951="",E4951="!!!",F4951="NEW"),"",INDEX(J$1:J4950,SUMPRODUCT(MAX(ROW(E$1:E4950)*(E4951=E$1:E4950)))))</f>
        <v> </v>
      </c>
      <c r="L4951" s="27"/>
    </row>
    <row r="4952" spans="1:12">
      <c r="A4952" s="20" t="s">
        <v>1070</v>
      </c>
      <c r="E4952" s="22">
        <f>IF(D4952="?OLD","!!!","")</f>
        <v/>
      </c>
      <c r="F4952" s="23" t="str">
        <f>IF(OR(E4952="",E4952="!!!"),"",IF(NOT(ISNA(VLOOKUP(E4952,E$1:E4951,1,FALSE()))),"OLD",IF(AND(E4952&lt;&gt;"",E4952&lt;&gt;"!!!"),"NEW","")))</f>
        <v> </v>
      </c>
      <c r="G4952" s="24" t="str">
        <f>IF(OR(E4952="",E4952="!!!"),"",IF(OR(J4952=0,AND(J4952=1,K4952=1),AND(J4952=1,I4952="SBJ"),AND(J4952=1,I4952=0)),"?IN_FOCUS",IF(J4952&lt;=2,"?ACTIVATED",IF(J4952&lt;&gt;"","?FAMILIAR",IF(F4952="NEW",IF(ISNA(VLOOKUP(E4952,#REF!,1,FALSE())),"?TYPE_IDENTIFIABLE","?REFERENTIAL"),"_")))))</f>
        <v> </v>
      </c>
      <c r="H4952" s="25" t="str">
        <f>IF(J4952&lt;&gt;1,"",IF(I4952="SBJ","CB","?"))</f>
        <v> </v>
      </c>
      <c r="I4952" s="26" t="str">
        <f>IF(OR(E4952="",E4952="!!!",F4952="NEW"),"",INDEX(B4951:B$2,-1+SUMPRODUCT(MAX(ROW(E4951:E$2)*(E4952=E4951:E$2)))))</f>
        <v> </v>
      </c>
      <c r="J4952" s="26" t="str">
        <f>IF(OR(E4952="",E4952="!!!",F4952="NEW"),"",COUNTBLANK(OFFSET(A$1,,,SUMPRODUCT(MAX(ROW(E$2:E4952)*(E4952=E$2:E4952)))))-COUNTBLANK(OFFSET(A$1,,,SUMPRODUCT(MAX(ROW(E$1:E4951)*(E2=E$1:E4951))))))</f>
        <v> </v>
      </c>
      <c r="K4952" s="26" t="str">
        <f>IF(OR(E4952="",E4952="!!!",F4952="NEW"),"",INDEX(J$1:J4951,SUMPRODUCT(MAX(ROW(E$1:E4951)*(E4952=E$1:E4951)))))</f>
        <v> </v>
      </c>
      <c r="L4952" s="27"/>
    </row>
    <row r="4953" spans="1:12">
      <c r="A4953" s="20" t="s">
        <v>1018</v>
      </c>
      <c r="E4953" s="22">
        <f>IF(D4953="?OLD","!!!","")</f>
        <v/>
      </c>
      <c r="F4953" s="23" t="str">
        <f>IF(OR(E4953="",E4953="!!!"),"",IF(NOT(ISNA(VLOOKUP(E4953,E$1:E4952,1,FALSE()))),"OLD",IF(AND(E4953&lt;&gt;"",E4953&lt;&gt;"!!!"),"NEW","")))</f>
        <v> </v>
      </c>
      <c r="G4953" s="24" t="str">
        <f>IF(OR(E4953="",E4953="!!!"),"",IF(OR(J4953=0,AND(J4953=1,K4953=1),AND(J4953=1,I4953="SBJ"),AND(J4953=1,I4953=0)),"?IN_FOCUS",IF(J4953&lt;=2,"?ACTIVATED",IF(J4953&lt;&gt;"","?FAMILIAR",IF(F4953="NEW",IF(ISNA(VLOOKUP(E4953,#REF!,1,FALSE())),"?TYPE_IDENTIFIABLE","?REFERENTIAL"),"_")))))</f>
        <v> </v>
      </c>
      <c r="H4953" s="25" t="str">
        <f>IF(J4953&lt;&gt;1,"",IF(I4953="SBJ","CB","?"))</f>
        <v> </v>
      </c>
      <c r="I4953" s="26" t="str">
        <f>IF(OR(E4953="",E4953="!!!",F4953="NEW"),"",INDEX(B4952:B$2,-1+SUMPRODUCT(MAX(ROW(E4952:E$2)*(E4953=E4952:E$2)))))</f>
        <v> </v>
      </c>
      <c r="J4953" s="26" t="str">
        <f>IF(OR(E4953="",E4953="!!!",F4953="NEW"),"",COUNTBLANK(OFFSET(A$1,,,SUMPRODUCT(MAX(ROW(E$2:E4953)*(E4953=E$2:E4953)))))-COUNTBLANK(OFFSET(A$1,,,SUMPRODUCT(MAX(ROW(E$1:E4952)*(E2=E$1:E4952))))))</f>
        <v> </v>
      </c>
      <c r="K4953" s="26" t="str">
        <f>IF(OR(E4953="",E4953="!!!",F4953="NEW"),"",INDEX(J$1:J4952,SUMPRODUCT(MAX(ROW(E$1:E4952)*(E4953=E$1:E4952)))))</f>
        <v> </v>
      </c>
      <c r="L4953" s="27"/>
    </row>
    <row r="4954" spans="1:12">
      <c r="A4954" s="20" t="s">
        <v>1065</v>
      </c>
      <c r="E4954" s="22">
        <f>IF(D4954="?OLD","!!!","")</f>
        <v/>
      </c>
      <c r="F4954" s="23" t="str">
        <f>IF(OR(E4954="",E4954="!!!"),"",IF(NOT(ISNA(VLOOKUP(E4954,E$1:E4953,1,FALSE()))),"OLD",IF(AND(E4954&lt;&gt;"",E4954&lt;&gt;"!!!"),"NEW","")))</f>
        <v> </v>
      </c>
      <c r="G4954" s="24" t="str">
        <f>IF(OR(E4954="",E4954="!!!"),"",IF(OR(J4954=0,AND(J4954=1,K4954=1),AND(J4954=1,I4954="SBJ"),AND(J4954=1,I4954=0)),"?IN_FOCUS",IF(J4954&lt;=2,"?ACTIVATED",IF(J4954&lt;&gt;"","?FAMILIAR",IF(F4954="NEW",IF(ISNA(VLOOKUP(E4954,#REF!,1,FALSE())),"?TYPE_IDENTIFIABLE","?REFERENTIAL"),"_")))))</f>
        <v> </v>
      </c>
      <c r="H4954" s="25" t="str">
        <f>IF(J4954&lt;&gt;1,"",IF(I4954="SBJ","CB","?"))</f>
        <v> </v>
      </c>
      <c r="I4954" s="26" t="str">
        <f>IF(OR(E4954="",E4954="!!!",F4954="NEW"),"",INDEX(B4953:B$2,-1+SUMPRODUCT(MAX(ROW(E4953:E$2)*(E4954=E4953:E$2)))))</f>
        <v> </v>
      </c>
      <c r="J4954" s="26" t="str">
        <f>IF(OR(E4954="",E4954="!!!",F4954="NEW"),"",COUNTBLANK(OFFSET(A$1,,,SUMPRODUCT(MAX(ROW(E$2:E4954)*(E4954=E$2:E4954)))))-COUNTBLANK(OFFSET(A$1,,,SUMPRODUCT(MAX(ROW(E$1:E4953)*(E2=E$1:E4953))))))</f>
        <v> </v>
      </c>
      <c r="K4954" s="26" t="str">
        <f>IF(OR(E4954="",E4954="!!!",F4954="NEW"),"",INDEX(J$1:J4953,SUMPRODUCT(MAX(ROW(E$1:E4953)*(E4954=E$1:E4953)))))</f>
        <v> </v>
      </c>
      <c r="L4954" s="27"/>
    </row>
    <row r="4955" spans="1:12">
      <c r="A4955" s="20" t="s">
        <v>1075</v>
      </c>
      <c r="E4955" s="22">
        <f>IF(D4955="?OLD","!!!","")</f>
        <v/>
      </c>
      <c r="F4955" s="23" t="str">
        <f>IF(OR(E4955="",E4955="!!!"),"",IF(NOT(ISNA(VLOOKUP(E4955,E$1:E4954,1,FALSE()))),"OLD",IF(AND(E4955&lt;&gt;"",E4955&lt;&gt;"!!!"),"NEW","")))</f>
        <v> </v>
      </c>
      <c r="G4955" s="24" t="str">
        <f>IF(OR(E4955="",E4955="!!!"),"",IF(OR(J4955=0,AND(J4955=1,K4955=1),AND(J4955=1,I4955="SBJ"),AND(J4955=1,I4955=0)),"?IN_FOCUS",IF(J4955&lt;=2,"?ACTIVATED",IF(J4955&lt;&gt;"","?FAMILIAR",IF(F4955="NEW",IF(ISNA(VLOOKUP(E4955,#REF!,1,FALSE())),"?TYPE_IDENTIFIABLE","?REFERENTIAL"),"_")))))</f>
        <v> </v>
      </c>
      <c r="H4955" s="25" t="str">
        <f>IF(J4955&lt;&gt;1,"",IF(I4955="SBJ","CB","?"))</f>
        <v> </v>
      </c>
      <c r="I4955" s="26" t="str">
        <f>IF(OR(E4955="",E4955="!!!",F4955="NEW"),"",INDEX(B4954:B$2,-1+SUMPRODUCT(MAX(ROW(E4954:E$2)*(E4955=E4954:E$2)))))</f>
        <v> </v>
      </c>
      <c r="J4955" s="26" t="str">
        <f>IF(OR(E4955="",E4955="!!!",F4955="NEW"),"",COUNTBLANK(OFFSET(A$1,,,SUMPRODUCT(MAX(ROW(E$2:E4955)*(E4955=E$2:E4955)))))-COUNTBLANK(OFFSET(A$1,,,SUMPRODUCT(MAX(ROW(E$1:E4954)*(E2=E$1:E4954))))))</f>
        <v> </v>
      </c>
      <c r="K4955" s="26" t="str">
        <f>IF(OR(E4955="",E4955="!!!",F4955="NEW"),"",INDEX(J$1:J4954,SUMPRODUCT(MAX(ROW(E$1:E4954)*(E4955=E$1:E4954)))))</f>
        <v> </v>
      </c>
      <c r="L4955" s="27"/>
    </row>
    <row r="4956" spans="1:12">
      <c r="A4956" s="20" t="s">
        <v>1056</v>
      </c>
      <c r="E4956" s="22">
        <f>IF(D4956="?OLD","!!!","")</f>
        <v/>
      </c>
      <c r="F4956" s="23" t="str">
        <f>IF(OR(E4956="",E4956="!!!"),"",IF(NOT(ISNA(VLOOKUP(E4956,E$1:E4955,1,FALSE()))),"OLD",IF(AND(E4956&lt;&gt;"",E4956&lt;&gt;"!!!"),"NEW","")))</f>
        <v> </v>
      </c>
      <c r="G4956" s="24" t="str">
        <f>IF(OR(E4956="",E4956="!!!"),"",IF(OR(J4956=0,AND(J4956=1,K4956=1),AND(J4956=1,I4956="SBJ"),AND(J4956=1,I4956=0)),"?IN_FOCUS",IF(J4956&lt;=2,"?ACTIVATED",IF(J4956&lt;&gt;"","?FAMILIAR",IF(F4956="NEW",IF(ISNA(VLOOKUP(E4956,#REF!,1,FALSE())),"?TYPE_IDENTIFIABLE","?REFERENTIAL"),"_")))))</f>
        <v> </v>
      </c>
      <c r="H4956" s="25" t="str">
        <f>IF(J4956&lt;&gt;1,"",IF(I4956="SBJ","CB","?"))</f>
        <v> </v>
      </c>
      <c r="I4956" s="26" t="str">
        <f>IF(OR(E4956="",E4956="!!!",F4956="NEW"),"",INDEX(B4955:B$2,-1+SUMPRODUCT(MAX(ROW(E4955:E$2)*(E4956=E4955:E$2)))))</f>
        <v> </v>
      </c>
      <c r="J4956" s="26" t="str">
        <f>IF(OR(E4956="",E4956="!!!",F4956="NEW"),"",COUNTBLANK(OFFSET(A$1,,,SUMPRODUCT(MAX(ROW(E$2:E4956)*(E4956=E$2:E4956)))))-COUNTBLANK(OFFSET(A$1,,,SUMPRODUCT(MAX(ROW(E$1:E4955)*(E2=E$1:E4955))))))</f>
        <v> </v>
      </c>
      <c r="K4956" s="26" t="str">
        <f>IF(OR(E4956="",E4956="!!!",F4956="NEW"),"",INDEX(J$1:J4955,SUMPRODUCT(MAX(ROW(E$1:E4955)*(E4956=E$1:E4955)))))</f>
        <v> </v>
      </c>
      <c r="L4956" s="27"/>
    </row>
    <row r="4957" spans="1:12">
      <c r="A4957" s="20" t="s">
        <v>2370</v>
      </c>
      <c r="B4957" s="21" t="s">
        <v>1033</v>
      </c>
      <c r="C4957" s="21" t="s">
        <v>1111</v>
      </c>
      <c r="E4957" s="22">
        <f>IF(D4957="?OLD","!!!","")</f>
        <v/>
      </c>
      <c r="F4957" s="23" t="str">
        <f>IF(OR(E4957="",E4957="!!!"),"",IF(NOT(ISNA(VLOOKUP(E4957,E$1:E4956,1,FALSE()))),"OLD",IF(AND(E4957&lt;&gt;"",E4957&lt;&gt;"!!!"),"NEW","")))</f>
        <v> </v>
      </c>
      <c r="G4957" s="24" t="str">
        <f>IF(OR(E4957="",E4957="!!!"),"",IF(OR(J4957=0,AND(J4957=1,K4957=1),AND(J4957=1,I4957="SBJ"),AND(J4957=1,I4957=0)),"?IN_FOCUS",IF(J4957&lt;=2,"?ACTIVATED",IF(J4957&lt;&gt;"","?FAMILIAR",IF(F4957="NEW",IF(ISNA(VLOOKUP(E4957,#REF!,1,FALSE())),"?TYPE_IDENTIFIABLE","?REFERENTIAL"),"_")))))</f>
        <v> </v>
      </c>
      <c r="H4957" s="25" t="str">
        <f>IF(J4957&lt;&gt;1,"",IF(I4957="SBJ","CB","?"))</f>
        <v> </v>
      </c>
      <c r="I4957" s="26" t="str">
        <f>IF(OR(E4957="",E4957="!!!",F4957="NEW"),"",INDEX(B4956:B$2,-1+SUMPRODUCT(MAX(ROW(E4956:E$2)*(E4957=E4956:E$2)))))</f>
        <v> </v>
      </c>
      <c r="J4957" s="26" t="str">
        <f>IF(OR(E4957="",E4957="!!!",F4957="NEW"),"",COUNTBLANK(OFFSET(A$1,,,SUMPRODUCT(MAX(ROW(E$2:E4957)*(E4957=E$2:E4957)))))-COUNTBLANK(OFFSET(A$1,,,SUMPRODUCT(MAX(ROW(E$1:E4956)*(E2=E$1:E4956))))))</f>
        <v> </v>
      </c>
      <c r="K4957" s="26" t="str">
        <f>IF(OR(E4957="",E4957="!!!",F4957="NEW"),"",INDEX(J$1:J4956,SUMPRODUCT(MAX(ROW(E$1:E4956)*(E4957=E$1:E4956)))))</f>
        <v> </v>
      </c>
      <c r="L4957" s="27"/>
    </row>
    <row r="4958" spans="1:12">
      <c r="A4958" s="20" t="s">
        <v>2384</v>
      </c>
      <c r="E4958" s="22">
        <f>IF(D4958="?OLD","!!!","")</f>
        <v/>
      </c>
      <c r="F4958" s="23" t="str">
        <f>IF(OR(E4958="",E4958="!!!"),"",IF(NOT(ISNA(VLOOKUP(E4958,E$1:E4957,1,FALSE()))),"OLD",IF(AND(E4958&lt;&gt;"",E4958&lt;&gt;"!!!"),"NEW","")))</f>
        <v> </v>
      </c>
      <c r="G4958" s="24" t="str">
        <f>IF(OR(E4958="",E4958="!!!"),"",IF(OR(J4958=0,AND(J4958=1,K4958=1),AND(J4958=1,I4958="SBJ"),AND(J4958=1,I4958=0)),"?IN_FOCUS",IF(J4958&lt;=2,"?ACTIVATED",IF(J4958&lt;&gt;"","?FAMILIAR",IF(F4958="NEW",IF(ISNA(VLOOKUP(E4958,#REF!,1,FALSE())),"?TYPE_IDENTIFIABLE","?REFERENTIAL"),"_")))))</f>
        <v> </v>
      </c>
      <c r="H4958" s="25" t="str">
        <f>IF(J4958&lt;&gt;1,"",IF(I4958="SBJ","CB","?"))</f>
        <v> </v>
      </c>
      <c r="I4958" s="26" t="str">
        <f>IF(OR(E4958="",E4958="!!!",F4958="NEW"),"",INDEX(B4957:B$2,-1+SUMPRODUCT(MAX(ROW(E4957:E$2)*(E4958=E4957:E$2)))))</f>
        <v> </v>
      </c>
      <c r="J4958" s="26" t="str">
        <f>IF(OR(E4958="",E4958="!!!",F4958="NEW"),"",COUNTBLANK(OFFSET(A$1,,,SUMPRODUCT(MAX(ROW(E$2:E4958)*(E4958=E$2:E4958)))))-COUNTBLANK(OFFSET(A$1,,,SUMPRODUCT(MAX(ROW(E$1:E4957)*(E2=E$1:E4957))))))</f>
        <v> </v>
      </c>
      <c r="K4958" s="26" t="str">
        <f>IF(OR(E4958="",E4958="!!!",F4958="NEW"),"",INDEX(J$1:J4957,SUMPRODUCT(MAX(ROW(E$1:E4957)*(E4958=E$1:E4957)))))</f>
        <v> </v>
      </c>
      <c r="L4958" s="27"/>
    </row>
    <row r="4959" spans="1:12">
      <c r="A4959" s="20" t="s">
        <v>1077</v>
      </c>
      <c r="E4959" s="22">
        <f>IF(D4959="?OLD","!!!","")</f>
        <v/>
      </c>
      <c r="F4959" s="23" t="str">
        <f>IF(OR(E4959="",E4959="!!!"),"",IF(NOT(ISNA(VLOOKUP(E4959,E$1:E4958,1,FALSE()))),"OLD",IF(AND(E4959&lt;&gt;"",E4959&lt;&gt;"!!!"),"NEW","")))</f>
        <v> </v>
      </c>
      <c r="G4959" s="24" t="str">
        <f>IF(OR(E4959="",E4959="!!!"),"",IF(OR(J4959=0,AND(J4959=1,K4959=1),AND(J4959=1,I4959="SBJ"),AND(J4959=1,I4959=0)),"?IN_FOCUS",IF(J4959&lt;=2,"?ACTIVATED",IF(J4959&lt;&gt;"","?FAMILIAR",IF(F4959="NEW",IF(ISNA(VLOOKUP(E4959,#REF!,1,FALSE())),"?TYPE_IDENTIFIABLE","?REFERENTIAL"),"_")))))</f>
        <v> </v>
      </c>
      <c r="H4959" s="25" t="str">
        <f>IF(J4959&lt;&gt;1,"",IF(I4959="SBJ","CB","?"))</f>
        <v> </v>
      </c>
      <c r="I4959" s="26" t="str">
        <f>IF(OR(E4959="",E4959="!!!",F4959="NEW"),"",INDEX(B4958:B$2,-1+SUMPRODUCT(MAX(ROW(E4958:E$2)*(E4959=E4958:E$2)))))</f>
        <v> </v>
      </c>
      <c r="J4959" s="26" t="str">
        <f>IF(OR(E4959="",E4959="!!!",F4959="NEW"),"",COUNTBLANK(OFFSET(A$1,,,SUMPRODUCT(MAX(ROW(E$2:E4959)*(E4959=E$2:E4959)))))-COUNTBLANK(OFFSET(A$1,,,SUMPRODUCT(MAX(ROW(E$1:E4958)*(E2=E$1:E4958))))))</f>
        <v> </v>
      </c>
      <c r="K4959" s="26" t="str">
        <f>IF(OR(E4959="",E4959="!!!",F4959="NEW"),"",INDEX(J$1:J4958,SUMPRODUCT(MAX(ROW(E$1:E4958)*(E4959=E$1:E4958)))))</f>
        <v> </v>
      </c>
      <c r="L4959" s="27"/>
    </row>
    <row r="4960" spans="1:12">
      <c r="A4960" s="20"/>
    </row>
    <row r="4961" spans="1:12">
      <c r="A4961" s="20" t="s">
        <v>2385</v>
      </c>
    </row>
    <row r="4962" spans="1:12">
      <c r="A4962" s="20" t="s">
        <v>1259</v>
      </c>
      <c r="E4962" s="22">
        <f>IF(D4962="?OLD","!!!","")</f>
        <v/>
      </c>
      <c r="F4962" s="23" t="str">
        <f>IF(OR(E4962="",E4962="!!!"),"",IF(NOT(ISNA(VLOOKUP(E4962,E$1:E4961,1,FALSE()))),"OLD",IF(AND(E4962&lt;&gt;"",E4962&lt;&gt;"!!!"),"NEW","")))</f>
        <v> </v>
      </c>
      <c r="G4962" s="24" t="str">
        <f>IF(OR(E4962="",E4962="!!!"),"",IF(OR(J4962=0,AND(J4962=1,K4962=1),AND(J4962=1,I4962="SBJ"),AND(J4962=1,I4962=0)),"?IN_FOCUS",IF(J4962&lt;=2,"?ACTIVATED",IF(J4962&lt;&gt;"","?FAMILIAR",IF(F4962="NEW",IF(ISNA(VLOOKUP(E4962,#REF!,1,FALSE())),"?TYPE_IDENTIFIABLE","?REFERENTIAL"),"_")))))</f>
        <v> </v>
      </c>
      <c r="H4962" s="25" t="str">
        <f>IF(J4962&lt;&gt;1,"",IF(I4962="SBJ","CB","?"))</f>
        <v> </v>
      </c>
      <c r="I4962" s="26" t="str">
        <f>IF(OR(E4962="",E4962="!!!",F4962="NEW"),"",INDEX(B4961:B$2,-1+SUMPRODUCT(MAX(ROW(E4961:E$2)*(E4962=E4961:E$2)))))</f>
        <v> </v>
      </c>
      <c r="J4962" s="26" t="str">
        <f>IF(OR(E4962="",E4962="!!!",F4962="NEW"),"",COUNTBLANK(OFFSET(A$1,,,SUMPRODUCT(MAX(ROW(E$2:E4962)*(E4962=E$2:E4962)))))-COUNTBLANK(OFFSET(A$1,,,SUMPRODUCT(MAX(ROW(E$1:E4961)*(E2=E$1:E4961))))))</f>
        <v> </v>
      </c>
      <c r="K4962" s="26" t="str">
        <f>IF(OR(E4962="",E4962="!!!",F4962="NEW"),"",INDEX(J$1:J4961,SUMPRODUCT(MAX(ROW(E$1:E4961)*(E4962=E$1:E4961)))))</f>
        <v> </v>
      </c>
      <c r="L4962" s="27"/>
    </row>
    <row r="4963" spans="1:12">
      <c r="A4963" s="20" t="s">
        <v>1459</v>
      </c>
      <c r="E4963" s="22">
        <f>IF(D4963="?OLD","!!!","")</f>
        <v/>
      </c>
      <c r="F4963" s="23" t="str">
        <f>IF(OR(E4963="",E4963="!!!"),"",IF(NOT(ISNA(VLOOKUP(E4963,E$1:E4962,1,FALSE()))),"OLD",IF(AND(E4963&lt;&gt;"",E4963&lt;&gt;"!!!"),"NEW","")))</f>
        <v> </v>
      </c>
      <c r="G4963" s="24" t="str">
        <f>IF(OR(E4963="",E4963="!!!"),"",IF(OR(J4963=0,AND(J4963=1,K4963=1),AND(J4963=1,I4963="SBJ"),AND(J4963=1,I4963=0)),"?IN_FOCUS",IF(J4963&lt;=2,"?ACTIVATED",IF(J4963&lt;&gt;"","?FAMILIAR",IF(F4963="NEW",IF(ISNA(VLOOKUP(E4963,#REF!,1,FALSE())),"?TYPE_IDENTIFIABLE","?REFERENTIAL"),"_")))))</f>
        <v> </v>
      </c>
      <c r="H4963" s="25" t="str">
        <f>IF(J4963&lt;&gt;1,"",IF(I4963="SBJ","CB","?"))</f>
        <v> </v>
      </c>
      <c r="I4963" s="26" t="str">
        <f>IF(OR(E4963="",E4963="!!!",F4963="NEW"),"",INDEX(B4962:B$2,-1+SUMPRODUCT(MAX(ROW(E4962:E$2)*(E4963=E4962:E$2)))))</f>
        <v> </v>
      </c>
      <c r="J4963" s="26" t="str">
        <f>IF(OR(E4963="",E4963="!!!",F4963="NEW"),"",COUNTBLANK(OFFSET(A$1,,,SUMPRODUCT(MAX(ROW(E$2:E4963)*(E4963=E$2:E4963)))))-COUNTBLANK(OFFSET(A$1,,,SUMPRODUCT(MAX(ROW(E$1:E4962)*(E2=E$1:E4962))))))</f>
        <v> </v>
      </c>
      <c r="K4963" s="26" t="str">
        <f>IF(OR(E4963="",E4963="!!!",F4963="NEW"),"",INDEX(J$1:J4962,SUMPRODUCT(MAX(ROW(E$1:E4962)*(E4963=E$1:E4962)))))</f>
        <v> </v>
      </c>
      <c r="L4963" s="27"/>
    </row>
    <row r="4964" spans="1:12">
      <c r="A4964" s="20" t="s">
        <v>2386</v>
      </c>
      <c r="B4964" s="21" t="s">
        <v>1085</v>
      </c>
      <c r="C4964" s="21" t="s">
        <v>1103</v>
      </c>
      <c r="E4964" s="22">
        <f>IF(D4964="?OLD","!!!","")</f>
        <v/>
      </c>
      <c r="F4964" s="23" t="str">
        <f>IF(OR(E4964="",E4964="!!!"),"",IF(NOT(ISNA(VLOOKUP(E4964,E$1:E4963,1,FALSE()))),"OLD",IF(AND(E4964&lt;&gt;"",E4964&lt;&gt;"!!!"),"NEW","")))</f>
        <v> </v>
      </c>
      <c r="G4964" s="24" t="str">
        <f>IF(OR(E4964="",E4964="!!!"),"",IF(OR(J4964=0,AND(J4964=1,K4964=1),AND(J4964=1,I4964="SBJ"),AND(J4964=1,I4964=0)),"?IN_FOCUS",IF(J4964&lt;=2,"?ACTIVATED",IF(J4964&lt;&gt;"","?FAMILIAR",IF(F4964="NEW",IF(ISNA(VLOOKUP(E4964,#REF!,1,FALSE())),"?TYPE_IDENTIFIABLE","?REFERENTIAL"),"_")))))</f>
        <v> </v>
      </c>
      <c r="H4964" s="25" t="str">
        <f>IF(J4964&lt;&gt;1,"",IF(I4964="SBJ","CB","?"))</f>
        <v> </v>
      </c>
      <c r="I4964" s="26" t="str">
        <f>IF(OR(E4964="",E4964="!!!",F4964="NEW"),"",INDEX(B4963:B$2,-1+SUMPRODUCT(MAX(ROW(E4963:E$2)*(E4964=E4963:E$2)))))</f>
        <v> </v>
      </c>
      <c r="J4964" s="26" t="str">
        <f>IF(OR(E4964="",E4964="!!!",F4964="NEW"),"",COUNTBLANK(OFFSET(A$1,,,SUMPRODUCT(MAX(ROW(E$2:E4964)*(E4964=E$2:E4964)))))-COUNTBLANK(OFFSET(A$1,,,SUMPRODUCT(MAX(ROW(E$1:E4963)*(E2=E$1:E4963))))))</f>
        <v> </v>
      </c>
      <c r="K4964" s="26" t="str">
        <f>IF(OR(E4964="",E4964="!!!",F4964="NEW"),"",INDEX(J$1:J4963,SUMPRODUCT(MAX(ROW(E$1:E4963)*(E4964=E$1:E4963)))))</f>
        <v> </v>
      </c>
      <c r="L4964" s="27"/>
    </row>
    <row r="4965" spans="1:12">
      <c r="A4965" s="20" t="s">
        <v>1030</v>
      </c>
      <c r="E4965" s="22">
        <f>IF(D4965="?OLD","!!!","")</f>
        <v/>
      </c>
      <c r="F4965" s="23" t="str">
        <f>IF(OR(E4965="",E4965="!!!"),"",IF(NOT(ISNA(VLOOKUP(E4965,E$1:E4964,1,FALSE()))),"OLD",IF(AND(E4965&lt;&gt;"",E4965&lt;&gt;"!!!"),"NEW","")))</f>
        <v> </v>
      </c>
      <c r="G4965" s="24" t="str">
        <f>IF(OR(E4965="",E4965="!!!"),"",IF(OR(J4965=0,AND(J4965=1,K4965=1),AND(J4965=1,I4965="SBJ"),AND(J4965=1,I4965=0)),"?IN_FOCUS",IF(J4965&lt;=2,"?ACTIVATED",IF(J4965&lt;&gt;"","?FAMILIAR",IF(F4965="NEW",IF(ISNA(VLOOKUP(E4965,#REF!,1,FALSE())),"?TYPE_IDENTIFIABLE","?REFERENTIAL"),"_")))))</f>
        <v> </v>
      </c>
      <c r="H4965" s="25" t="str">
        <f>IF(J4965&lt;&gt;1,"",IF(I4965="SBJ","CB","?"))</f>
        <v> </v>
      </c>
      <c r="I4965" s="26" t="str">
        <f>IF(OR(E4965="",E4965="!!!",F4965="NEW"),"",INDEX(B4964:B$2,-1+SUMPRODUCT(MAX(ROW(E4964:E$2)*(E4965=E4964:E$2)))))</f>
        <v> </v>
      </c>
      <c r="J4965" s="26" t="str">
        <f>IF(OR(E4965="",E4965="!!!",F4965="NEW"),"",COUNTBLANK(OFFSET(A$1,,,SUMPRODUCT(MAX(ROW(E$2:E4965)*(E4965=E$2:E4965)))))-COUNTBLANK(OFFSET(A$1,,,SUMPRODUCT(MAX(ROW(E$1:E4964)*(E2=E$1:E4964))))))</f>
        <v> </v>
      </c>
      <c r="K4965" s="26" t="str">
        <f>IF(OR(E4965="",E4965="!!!",F4965="NEW"),"",INDEX(J$1:J4964,SUMPRODUCT(MAX(ROW(E$1:E4964)*(E4965=E$1:E4964)))))</f>
        <v> </v>
      </c>
      <c r="L4965" s="27"/>
    </row>
    <row r="4966" spans="1:12">
      <c r="A4966" s="20" t="s">
        <v>102</v>
      </c>
      <c r="E4966" s="22">
        <f>IF(D4966="?OLD","!!!","")</f>
        <v/>
      </c>
      <c r="F4966" s="23" t="str">
        <f>IF(OR(E4966="",E4966="!!!"),"",IF(NOT(ISNA(VLOOKUP(E4966,E$1:E4965,1,FALSE()))),"OLD",IF(AND(E4966&lt;&gt;"",E4966&lt;&gt;"!!!"),"NEW","")))</f>
        <v> </v>
      </c>
      <c r="G4966" s="24" t="str">
        <f>IF(OR(E4966="",E4966="!!!"),"",IF(OR(J4966=0,AND(J4966=1,K4966=1),AND(J4966=1,I4966="SBJ"),AND(J4966=1,I4966=0)),"?IN_FOCUS",IF(J4966&lt;=2,"?ACTIVATED",IF(J4966&lt;&gt;"","?FAMILIAR",IF(F4966="NEW",IF(ISNA(VLOOKUP(E4966,#REF!,1,FALSE())),"?TYPE_IDENTIFIABLE","?REFERENTIAL"),"_")))))</f>
        <v> </v>
      </c>
      <c r="H4966" s="25" t="str">
        <f>IF(J4966&lt;&gt;1,"",IF(I4966="SBJ","CB","?"))</f>
        <v> </v>
      </c>
      <c r="I4966" s="26" t="str">
        <f>IF(OR(E4966="",E4966="!!!",F4966="NEW"),"",INDEX(B4965:B$2,-1+SUMPRODUCT(MAX(ROW(E4965:E$2)*(E4966=E4965:E$2)))))</f>
        <v> </v>
      </c>
      <c r="J4966" s="26" t="str">
        <f>IF(OR(E4966="",E4966="!!!",F4966="NEW"),"",COUNTBLANK(OFFSET(A$1,,,SUMPRODUCT(MAX(ROW(E$2:E4966)*(E4966=E$2:E4966)))))-COUNTBLANK(OFFSET(A$1,,,SUMPRODUCT(MAX(ROW(E$1:E4965)*(E2=E$1:E4965))))))</f>
        <v> </v>
      </c>
      <c r="K4966" s="26" t="str">
        <f>IF(OR(E4966="",E4966="!!!",F4966="NEW"),"",INDEX(J$1:J4965,SUMPRODUCT(MAX(ROW(E$1:E4965)*(E4966=E$1:E4965)))))</f>
        <v> </v>
      </c>
      <c r="L4966" s="27"/>
    </row>
    <row r="4967" spans="1:12">
      <c r="A4967" s="20" t="s">
        <v>2387</v>
      </c>
      <c r="B4967" s="21" t="s">
        <v>1005</v>
      </c>
      <c r="C4967" s="21" t="s">
        <v>1017</v>
      </c>
      <c r="D4967" s="21" t="s">
        <v>1007</v>
      </c>
      <c r="E4967" s="22">
        <f>IF(D4967="?OLD","!!!","")</f>
        <v/>
      </c>
      <c r="F4967" s="23" t="str">
        <f>IF(OR(E4967="",E4967="!!!"),"",IF(NOT(ISNA(VLOOKUP(E4967,E$1:E4966,1,FALSE()))),"OLD",IF(AND(E4967&lt;&gt;"",E4967&lt;&gt;"!!!"),"NEW","")))</f>
        <v> </v>
      </c>
      <c r="G4967" s="24" t="str">
        <f>IF(OR(E4967="",E4967="!!!"),"",IF(OR(J4967=0,AND(J4967=1,K4967=1),AND(J4967=1,I4967="SBJ"),AND(J4967=1,I4967=0)),"?IN_FOCUS",IF(J4967&lt;=2,"?ACTIVATED",IF(J4967&lt;&gt;"","?FAMILIAR",IF(F4967="NEW",IF(ISNA(VLOOKUP(E4967,#REF!,1,FALSE())),"?TYPE_IDENTIFIABLE","?REFERENTIAL"),"_")))))</f>
        <v> </v>
      </c>
      <c r="H4967" s="25" t="str">
        <f>IF(J4967&lt;&gt;1,"",IF(I4967="SBJ","CB","?"))</f>
        <v> </v>
      </c>
      <c r="I4967" s="26" t="str">
        <f>IF(OR(E4967="",E4967="!!!",F4967="NEW"),"",INDEX(B4966:B$2,-1+SUMPRODUCT(MAX(ROW(E4966:E$2)*(E4967=E4966:E$2)))))</f>
        <v> </v>
      </c>
      <c r="J4967" s="26" t="str">
        <f>IF(OR(E4967="",E4967="!!!",F4967="NEW"),"",COUNTBLANK(OFFSET(A$1,,,SUMPRODUCT(MAX(ROW(E$2:E4967)*(E4967=E$2:E4967)))))-COUNTBLANK(OFFSET(A$1,,,SUMPRODUCT(MAX(ROW(E$1:E4966)*(E2=E$1:E4966))))))</f>
        <v> </v>
      </c>
      <c r="K4967" s="26" t="str">
        <f>IF(OR(E4967="",E4967="!!!",F4967="NEW"),"",INDEX(J$1:J4966,SUMPRODUCT(MAX(ROW(E$1:E4966)*(E4967=E$1:E4966)))))</f>
        <v> </v>
      </c>
      <c r="L4967" s="27"/>
    </row>
    <row r="4968" spans="1:12">
      <c r="A4968" s="20" t="s">
        <v>1023</v>
      </c>
      <c r="E4968" s="22">
        <f>IF(D4968="?OLD","!!!","")</f>
        <v/>
      </c>
      <c r="F4968" s="23" t="str">
        <f>IF(OR(E4968="",E4968="!!!"),"",IF(NOT(ISNA(VLOOKUP(E4968,E$1:E4967,1,FALSE()))),"OLD",IF(AND(E4968&lt;&gt;"",E4968&lt;&gt;"!!!"),"NEW","")))</f>
        <v> </v>
      </c>
      <c r="G4968" s="24" t="str">
        <f>IF(OR(E4968="",E4968="!!!"),"",IF(OR(J4968=0,AND(J4968=1,K4968=1),AND(J4968=1,I4968="SBJ"),AND(J4968=1,I4968=0)),"?IN_FOCUS",IF(J4968&lt;=2,"?ACTIVATED",IF(J4968&lt;&gt;"","?FAMILIAR",IF(F4968="NEW",IF(ISNA(VLOOKUP(E4968,#REF!,1,FALSE())),"?TYPE_IDENTIFIABLE","?REFERENTIAL"),"_")))))</f>
        <v> </v>
      </c>
      <c r="H4968" s="25" t="str">
        <f>IF(J4968&lt;&gt;1,"",IF(I4968="SBJ","CB","?"))</f>
        <v> </v>
      </c>
      <c r="I4968" s="26" t="str">
        <f>IF(OR(E4968="",E4968="!!!",F4968="NEW"),"",INDEX(B4967:B$2,-1+SUMPRODUCT(MAX(ROW(E4967:E$2)*(E4968=E4967:E$2)))))</f>
        <v> </v>
      </c>
      <c r="J4968" s="26" t="str">
        <f>IF(OR(E4968="",E4968="!!!",F4968="NEW"),"",COUNTBLANK(OFFSET(A$1,,,SUMPRODUCT(MAX(ROW(E$2:E4968)*(E4968=E$2:E4968)))))-COUNTBLANK(OFFSET(A$1,,,SUMPRODUCT(MAX(ROW(E$1:E4967)*(E2=E$1:E4967))))))</f>
        <v> </v>
      </c>
      <c r="K4968" s="26" t="str">
        <f>IF(OR(E4968="",E4968="!!!",F4968="NEW"),"",INDEX(J$1:J4967,SUMPRODUCT(MAX(ROW(E$1:E4967)*(E4968=E$1:E4967)))))</f>
        <v> </v>
      </c>
      <c r="L4968" s="27"/>
    </row>
    <row r="4969" spans="1:12">
      <c r="A4969" s="20"/>
    </row>
    <row r="4970" spans="1:12">
      <c r="A4970" s="20" t="s">
        <v>2388</v>
      </c>
    </row>
    <row r="4971" spans="1:12">
      <c r="A4971" s="20" t="s">
        <v>1562</v>
      </c>
      <c r="E4971" s="22">
        <f>IF(D4971="?OLD","!!!","")</f>
        <v/>
      </c>
      <c r="F4971" s="23" t="str">
        <f>IF(OR(E4971="",E4971="!!!"),"",IF(NOT(ISNA(VLOOKUP(E4971,E$1:E4970,1,FALSE()))),"OLD",IF(AND(E4971&lt;&gt;"",E4971&lt;&gt;"!!!"),"NEW","")))</f>
        <v> </v>
      </c>
      <c r="G4971" s="24" t="str">
        <f>IF(OR(E4971="",E4971="!!!"),"",IF(OR(J4971=0,AND(J4971=1,K4971=1),AND(J4971=1,I4971="SBJ"),AND(J4971=1,I4971=0)),"?IN_FOCUS",IF(J4971&lt;=2,"?ACTIVATED",IF(J4971&lt;&gt;"","?FAMILIAR",IF(F4971="NEW",IF(ISNA(VLOOKUP(E4971,#REF!,1,FALSE())),"?TYPE_IDENTIFIABLE","?REFERENTIAL"),"_")))))</f>
        <v> </v>
      </c>
      <c r="H4971" s="25" t="str">
        <f>IF(J4971&lt;&gt;1,"",IF(I4971="SBJ","CB","?"))</f>
        <v> </v>
      </c>
      <c r="I4971" s="26" t="str">
        <f>IF(OR(E4971="",E4971="!!!",F4971="NEW"),"",INDEX(B4970:B$2,-1+SUMPRODUCT(MAX(ROW(E4970:E$2)*(E4971=E4970:E$2)))))</f>
        <v> </v>
      </c>
      <c r="J4971" s="26" t="str">
        <f>IF(OR(E4971="",E4971="!!!",F4971="NEW"),"",COUNTBLANK(OFFSET(A$1,,,SUMPRODUCT(MAX(ROW(E$2:E4971)*(E4971=E$2:E4971)))))-COUNTBLANK(OFFSET(A$1,,,SUMPRODUCT(MAX(ROW(E$1:E4970)*(E2=E$1:E4970))))))</f>
        <v> </v>
      </c>
      <c r="K4971" s="26" t="str">
        <f>IF(OR(E4971="",E4971="!!!",F4971="NEW"),"",INDEX(J$1:J4970,SUMPRODUCT(MAX(ROW(E$1:E4970)*(E4971=E$1:E4970)))))</f>
        <v> </v>
      </c>
      <c r="L4971" s="27"/>
    </row>
    <row r="4972" spans="1:12">
      <c r="A4972" s="20" t="s">
        <v>2386</v>
      </c>
      <c r="B4972" s="21" t="s">
        <v>1005</v>
      </c>
      <c r="C4972" s="21" t="s">
        <v>1013</v>
      </c>
      <c r="D4972" s="21" t="s">
        <v>1007</v>
      </c>
      <c r="E4972" s="22">
        <f>IF(D4972="?OLD","!!!","")</f>
        <v/>
      </c>
      <c r="F4972" s="23" t="str">
        <f>IF(OR(E4972="",E4972="!!!"),"",IF(NOT(ISNA(VLOOKUP(E4972,E$1:E4971,1,FALSE()))),"OLD",IF(AND(E4972&lt;&gt;"",E4972&lt;&gt;"!!!"),"NEW","")))</f>
        <v> </v>
      </c>
      <c r="G4972" s="24" t="str">
        <f>IF(OR(E4972="",E4972="!!!"),"",IF(OR(J4972=0,AND(J4972=1,K4972=1),AND(J4972=1,I4972="SBJ"),AND(J4972=1,I4972=0)),"?IN_FOCUS",IF(J4972&lt;=2,"?ACTIVATED",IF(J4972&lt;&gt;"","?FAMILIAR",IF(F4972="NEW",IF(ISNA(VLOOKUP(E4972,#REF!,1,FALSE())),"?TYPE_IDENTIFIABLE","?REFERENTIAL"),"_")))))</f>
        <v> </v>
      </c>
      <c r="H4972" s="25" t="str">
        <f>IF(J4972&lt;&gt;1,"",IF(I4972="SBJ","CB","?"))</f>
        <v> </v>
      </c>
      <c r="I4972" s="26" t="str">
        <f>IF(OR(E4972="",E4972="!!!",F4972="NEW"),"",INDEX(B4971:B$2,-1+SUMPRODUCT(MAX(ROW(E4971:E$2)*(E4972=E4971:E$2)))))</f>
        <v> </v>
      </c>
      <c r="J4972" s="26" t="str">
        <f>IF(OR(E4972="",E4972="!!!",F4972="NEW"),"",COUNTBLANK(OFFSET(A$1,,,SUMPRODUCT(MAX(ROW(E$2:E4972)*(E4972=E$2:E4972)))))-COUNTBLANK(OFFSET(A$1,,,SUMPRODUCT(MAX(ROW(E$1:E4971)*(E2=E$1:E4971))))))</f>
        <v> </v>
      </c>
      <c r="K4972" s="26" t="str">
        <f>IF(OR(E4972="",E4972="!!!",F4972="NEW"),"",INDEX(J$1:J4971,SUMPRODUCT(MAX(ROW(E$1:E4971)*(E4972=E$1:E4971)))))</f>
        <v> </v>
      </c>
      <c r="L4972" s="27"/>
    </row>
    <row r="4973" spans="1:12">
      <c r="A4973" s="20" t="s">
        <v>1030</v>
      </c>
      <c r="E4973" s="22">
        <f>IF(D4973="?OLD","!!!","")</f>
        <v/>
      </c>
      <c r="F4973" s="23" t="str">
        <f>IF(OR(E4973="",E4973="!!!"),"",IF(NOT(ISNA(VLOOKUP(E4973,E$1:E4972,1,FALSE()))),"OLD",IF(AND(E4973&lt;&gt;"",E4973&lt;&gt;"!!!"),"NEW","")))</f>
        <v> </v>
      </c>
      <c r="G4973" s="24" t="str">
        <f>IF(OR(E4973="",E4973="!!!"),"",IF(OR(J4973=0,AND(J4973=1,K4973=1),AND(J4973=1,I4973="SBJ"),AND(J4973=1,I4973=0)),"?IN_FOCUS",IF(J4973&lt;=2,"?ACTIVATED",IF(J4973&lt;&gt;"","?FAMILIAR",IF(F4973="NEW",IF(ISNA(VLOOKUP(E4973,#REF!,1,FALSE())),"?TYPE_IDENTIFIABLE","?REFERENTIAL"),"_")))))</f>
        <v> </v>
      </c>
      <c r="H4973" s="25" t="str">
        <f>IF(J4973&lt;&gt;1,"",IF(I4973="SBJ","CB","?"))</f>
        <v> </v>
      </c>
      <c r="I4973" s="26" t="str">
        <f>IF(OR(E4973="",E4973="!!!",F4973="NEW"),"",INDEX(B4972:B$2,-1+SUMPRODUCT(MAX(ROW(E4972:E$2)*(E4973=E4972:E$2)))))</f>
        <v> </v>
      </c>
      <c r="J4973" s="26" t="str">
        <f>IF(OR(E4973="",E4973="!!!",F4973="NEW"),"",COUNTBLANK(OFFSET(A$1,,,SUMPRODUCT(MAX(ROW(E$2:E4973)*(E4973=E$2:E4973)))))-COUNTBLANK(OFFSET(A$1,,,SUMPRODUCT(MAX(ROW(E$1:E4972)*(E2=E$1:E4972))))))</f>
        <v> </v>
      </c>
      <c r="K4973" s="26" t="str">
        <f>IF(OR(E4973="",E4973="!!!",F4973="NEW"),"",INDEX(J$1:J4972,SUMPRODUCT(MAX(ROW(E$1:E4972)*(E4973=E$1:E4972)))))</f>
        <v> </v>
      </c>
      <c r="L4973" s="27"/>
    </row>
    <row r="4974" spans="1:12">
      <c r="A4974" s="20" t="s">
        <v>102</v>
      </c>
      <c r="E4974" s="22">
        <f>IF(D4974="?OLD","!!!","")</f>
        <v/>
      </c>
      <c r="F4974" s="23" t="str">
        <f>IF(OR(E4974="",E4974="!!!"),"",IF(NOT(ISNA(VLOOKUP(E4974,E$1:E4973,1,FALSE()))),"OLD",IF(AND(E4974&lt;&gt;"",E4974&lt;&gt;"!!!"),"NEW","")))</f>
        <v> </v>
      </c>
      <c r="G4974" s="24" t="str">
        <f>IF(OR(E4974="",E4974="!!!"),"",IF(OR(J4974=0,AND(J4974=1,K4974=1),AND(J4974=1,I4974="SBJ"),AND(J4974=1,I4974=0)),"?IN_FOCUS",IF(J4974&lt;=2,"?ACTIVATED",IF(J4974&lt;&gt;"","?FAMILIAR",IF(F4974="NEW",IF(ISNA(VLOOKUP(E4974,#REF!,1,FALSE())),"?TYPE_IDENTIFIABLE","?REFERENTIAL"),"_")))))</f>
        <v> </v>
      </c>
      <c r="H4974" s="25" t="str">
        <f>IF(J4974&lt;&gt;1,"",IF(I4974="SBJ","CB","?"))</f>
        <v> </v>
      </c>
      <c r="I4974" s="26" t="str">
        <f>IF(OR(E4974="",E4974="!!!",F4974="NEW"),"",INDEX(B4973:B$2,-1+SUMPRODUCT(MAX(ROW(E4973:E$2)*(E4974=E4973:E$2)))))</f>
        <v> </v>
      </c>
      <c r="J4974" s="26" t="str">
        <f>IF(OR(E4974="",E4974="!!!",F4974="NEW"),"",COUNTBLANK(OFFSET(A$1,,,SUMPRODUCT(MAX(ROW(E$2:E4974)*(E4974=E$2:E4974)))))-COUNTBLANK(OFFSET(A$1,,,SUMPRODUCT(MAX(ROW(E$1:E4973)*(E2=E$1:E4973))))))</f>
        <v> </v>
      </c>
      <c r="K4974" s="26" t="str">
        <f>IF(OR(E4974="",E4974="!!!",F4974="NEW"),"",INDEX(J$1:J4973,SUMPRODUCT(MAX(ROW(E$1:E4973)*(E4974=E$1:E4973)))))</f>
        <v> </v>
      </c>
      <c r="L4974" s="27"/>
    </row>
    <row r="4975" spans="1:12">
      <c r="A4975" s="20" t="s">
        <v>2387</v>
      </c>
      <c r="B4975" s="21" t="s">
        <v>1005</v>
      </c>
      <c r="C4975" s="21" t="s">
        <v>1017</v>
      </c>
      <c r="D4975" s="21" t="s">
        <v>1007</v>
      </c>
      <c r="E4975" s="22">
        <f>IF(D4975="?OLD","!!!","")</f>
        <v/>
      </c>
      <c r="F4975" s="23" t="str">
        <f>IF(OR(E4975="",E4975="!!!"),"",IF(NOT(ISNA(VLOOKUP(E4975,E$1:E4974,1,FALSE()))),"OLD",IF(AND(E4975&lt;&gt;"",E4975&lt;&gt;"!!!"),"NEW","")))</f>
        <v> </v>
      </c>
      <c r="G4975" s="24" t="str">
        <f>IF(OR(E4975="",E4975="!!!"),"",IF(OR(J4975=0,AND(J4975=1,K4975=1),AND(J4975=1,I4975="SBJ"),AND(J4975=1,I4975=0)),"?IN_FOCUS",IF(J4975&lt;=2,"?ACTIVATED",IF(J4975&lt;&gt;"","?FAMILIAR",IF(F4975="NEW",IF(ISNA(VLOOKUP(E4975,#REF!,1,FALSE())),"?TYPE_IDENTIFIABLE","?REFERENTIAL"),"_")))))</f>
        <v> </v>
      </c>
      <c r="H4975" s="25" t="str">
        <f>IF(J4975&lt;&gt;1,"",IF(I4975="SBJ","CB","?"))</f>
        <v> </v>
      </c>
      <c r="I4975" s="26" t="str">
        <f>IF(OR(E4975="",E4975="!!!",F4975="NEW"),"",INDEX(B4974:B$2,-1+SUMPRODUCT(MAX(ROW(E4974:E$2)*(E4975=E4974:E$2)))))</f>
        <v> </v>
      </c>
      <c r="J4975" s="26" t="str">
        <f>IF(OR(E4975="",E4975="!!!",F4975="NEW"),"",COUNTBLANK(OFFSET(A$1,,,SUMPRODUCT(MAX(ROW(E$2:E4975)*(E4975=E$2:E4975)))))-COUNTBLANK(OFFSET(A$1,,,SUMPRODUCT(MAX(ROW(E$1:E4974)*(E2=E$1:E4974))))))</f>
        <v> </v>
      </c>
      <c r="K4975" s="26" t="str">
        <f>IF(OR(E4975="",E4975="!!!",F4975="NEW"),"",INDEX(J$1:J4974,SUMPRODUCT(MAX(ROW(E$1:E4974)*(E4975=E$1:E4974)))))</f>
        <v> </v>
      </c>
      <c r="L4975" s="27"/>
    </row>
    <row r="4976" spans="1:12">
      <c r="A4976" s="20" t="s">
        <v>1023</v>
      </c>
      <c r="E4976" s="22">
        <f>IF(D4976="?OLD","!!!","")</f>
        <v/>
      </c>
      <c r="F4976" s="23" t="str">
        <f>IF(OR(E4976="",E4976="!!!"),"",IF(NOT(ISNA(VLOOKUP(E4976,E$1:E4975,1,FALSE()))),"OLD",IF(AND(E4976&lt;&gt;"",E4976&lt;&gt;"!!!"),"NEW","")))</f>
        <v> </v>
      </c>
      <c r="G4976" s="24" t="str">
        <f>IF(OR(E4976="",E4976="!!!"),"",IF(OR(J4976=0,AND(J4976=1,K4976=1),AND(J4976=1,I4976="SBJ"),AND(J4976=1,I4976=0)),"?IN_FOCUS",IF(J4976&lt;=2,"?ACTIVATED",IF(J4976&lt;&gt;"","?FAMILIAR",IF(F4976="NEW",IF(ISNA(VLOOKUP(E4976,#REF!,1,FALSE())),"?TYPE_IDENTIFIABLE","?REFERENTIAL"),"_")))))</f>
        <v> </v>
      </c>
      <c r="H4976" s="25" t="str">
        <f>IF(J4976&lt;&gt;1,"",IF(I4976="SBJ","CB","?"))</f>
        <v> </v>
      </c>
      <c r="I4976" s="26" t="str">
        <f>IF(OR(E4976="",E4976="!!!",F4976="NEW"),"",INDEX(B4975:B$2,-1+SUMPRODUCT(MAX(ROW(E4975:E$2)*(E4976=E4975:E$2)))))</f>
        <v> </v>
      </c>
      <c r="J4976" s="26" t="str">
        <f>IF(OR(E4976="",E4976="!!!",F4976="NEW"),"",COUNTBLANK(OFFSET(A$1,,,SUMPRODUCT(MAX(ROW(E$2:E4976)*(E4976=E$2:E4976)))))-COUNTBLANK(OFFSET(A$1,,,SUMPRODUCT(MAX(ROW(E$1:E4975)*(E2=E$1:E4975))))))</f>
        <v> </v>
      </c>
      <c r="K4976" s="26" t="str">
        <f>IF(OR(E4976="",E4976="!!!",F4976="NEW"),"",INDEX(J$1:J4975,SUMPRODUCT(MAX(ROW(E$1:E4975)*(E4976=E$1:E4975)))))</f>
        <v> </v>
      </c>
      <c r="L4976" s="27"/>
    </row>
    <row r="4977" spans="1:12">
      <c r="A4977" s="20"/>
    </row>
    <row r="4978" spans="1:12">
      <c r="A4978" s="20" t="s">
        <v>2389</v>
      </c>
    </row>
    <row r="4979" spans="1:12">
      <c r="A4979" s="20" t="s">
        <v>1449</v>
      </c>
      <c r="E4979" s="22">
        <f>IF(D4979="?OLD","!!!","")</f>
        <v/>
      </c>
      <c r="F4979" s="23" t="str">
        <f>IF(OR(E4979="",E4979="!!!"),"",IF(NOT(ISNA(VLOOKUP(E4979,E$1:E4978,1,FALSE()))),"OLD",IF(AND(E4979&lt;&gt;"",E4979&lt;&gt;"!!!"),"NEW","")))</f>
        <v> </v>
      </c>
      <c r="G4979" s="24" t="str">
        <f>IF(OR(E4979="",E4979="!!!"),"",IF(OR(J4979=0,AND(J4979=1,K4979=1),AND(J4979=1,I4979="SBJ"),AND(J4979=1,I4979=0)),"?IN_FOCUS",IF(J4979&lt;=2,"?ACTIVATED",IF(J4979&lt;&gt;"","?FAMILIAR",IF(F4979="NEW",IF(ISNA(VLOOKUP(E4979,#REF!,1,FALSE())),"?TYPE_IDENTIFIABLE","?REFERENTIAL"),"_")))))</f>
        <v> </v>
      </c>
      <c r="H4979" s="25" t="str">
        <f>IF(J4979&lt;&gt;1,"",IF(I4979="SBJ","CB","?"))</f>
        <v> </v>
      </c>
      <c r="I4979" s="26" t="str">
        <f>IF(OR(E4979="",E4979="!!!",F4979="NEW"),"",INDEX(B4978:B$2,-1+SUMPRODUCT(MAX(ROW(E4978:E$2)*(E4979=E4978:E$2)))))</f>
        <v> </v>
      </c>
      <c r="J4979" s="26" t="str">
        <f>IF(OR(E4979="",E4979="!!!",F4979="NEW"),"",COUNTBLANK(OFFSET(A$1,,,SUMPRODUCT(MAX(ROW(E$2:E4979)*(E4979=E$2:E4979)))))-COUNTBLANK(OFFSET(A$1,,,SUMPRODUCT(MAX(ROW(E$1:E4978)*(E2=E$1:E4978))))))</f>
        <v> </v>
      </c>
      <c r="K4979" s="26" t="str">
        <f>IF(OR(E4979="",E4979="!!!",F4979="NEW"),"",INDEX(J$1:J4978,SUMPRODUCT(MAX(ROW(E$1:E4978)*(E4979=E$1:E4978)))))</f>
        <v> </v>
      </c>
      <c r="L4979" s="27"/>
    </row>
    <row r="4980" spans="1:12">
      <c r="A4980" s="20" t="s">
        <v>2390</v>
      </c>
      <c r="E4980" s="22">
        <f>IF(D4980="?OLD","!!!","")</f>
        <v/>
      </c>
      <c r="F4980" s="23" t="str">
        <f>IF(OR(E4980="",E4980="!!!"),"",IF(NOT(ISNA(VLOOKUP(E4980,E$1:E4979,1,FALSE()))),"OLD",IF(AND(E4980&lt;&gt;"",E4980&lt;&gt;"!!!"),"NEW","")))</f>
        <v> </v>
      </c>
      <c r="G4980" s="24" t="str">
        <f>IF(OR(E4980="",E4980="!!!"),"",IF(OR(J4980=0,AND(J4980=1,K4980=1),AND(J4980=1,I4980="SBJ"),AND(J4980=1,I4980=0)),"?IN_FOCUS",IF(J4980&lt;=2,"?ACTIVATED",IF(J4980&lt;&gt;"","?FAMILIAR",IF(F4980="NEW",IF(ISNA(VLOOKUP(E4980,#REF!,1,FALSE())),"?TYPE_IDENTIFIABLE","?REFERENTIAL"),"_")))))</f>
        <v> </v>
      </c>
      <c r="H4980" s="25" t="str">
        <f>IF(J4980&lt;&gt;1,"",IF(I4980="SBJ","CB","?"))</f>
        <v> </v>
      </c>
      <c r="I4980" s="26" t="str">
        <f>IF(OR(E4980="",E4980="!!!",F4980="NEW"),"",INDEX(B4979:B$2,-1+SUMPRODUCT(MAX(ROW(E4979:E$2)*(E4980=E4979:E$2)))))</f>
        <v> </v>
      </c>
      <c r="J4980" s="26" t="str">
        <f>IF(OR(E4980="",E4980="!!!",F4980="NEW"),"",COUNTBLANK(OFFSET(A$1,,,SUMPRODUCT(MAX(ROW(E$2:E4980)*(E4980=E$2:E4980)))))-COUNTBLANK(OFFSET(A$1,,,SUMPRODUCT(MAX(ROW(E$1:E4979)*(E2=E$1:E4979))))))</f>
        <v> </v>
      </c>
      <c r="K4980" s="26" t="str">
        <f>IF(OR(E4980="",E4980="!!!",F4980="NEW"),"",INDEX(J$1:J4979,SUMPRODUCT(MAX(ROW(E$1:E4979)*(E4980=E$1:E4979)))))</f>
        <v> </v>
      </c>
      <c r="L4980" s="27"/>
    </row>
    <row r="4981" spans="1:12">
      <c r="A4981" s="20" t="s">
        <v>2391</v>
      </c>
      <c r="E4981" s="22">
        <f>IF(D4981="?OLD","!!!","")</f>
        <v/>
      </c>
      <c r="F4981" s="23" t="str">
        <f>IF(OR(E4981="",E4981="!!!"),"",IF(NOT(ISNA(VLOOKUP(E4981,E$1:E4980,1,FALSE()))),"OLD",IF(AND(E4981&lt;&gt;"",E4981&lt;&gt;"!!!"),"NEW","")))</f>
        <v> </v>
      </c>
      <c r="G4981" s="24" t="str">
        <f>IF(OR(E4981="",E4981="!!!"),"",IF(OR(J4981=0,AND(J4981=1,K4981=1),AND(J4981=1,I4981="SBJ"),AND(J4981=1,I4981=0)),"?IN_FOCUS",IF(J4981&lt;=2,"?ACTIVATED",IF(J4981&lt;&gt;"","?FAMILIAR",IF(F4981="NEW",IF(ISNA(VLOOKUP(E4981,#REF!,1,FALSE())),"?TYPE_IDENTIFIABLE","?REFERENTIAL"),"_")))))</f>
        <v> </v>
      </c>
      <c r="H4981" s="25" t="str">
        <f>IF(J4981&lt;&gt;1,"",IF(I4981="SBJ","CB","?"))</f>
        <v> </v>
      </c>
      <c r="I4981" s="26" t="str">
        <f>IF(OR(E4981="",E4981="!!!",F4981="NEW"),"",INDEX(B4980:B$2,-1+SUMPRODUCT(MAX(ROW(E4980:E$2)*(E4981=E4980:E$2)))))</f>
        <v> </v>
      </c>
      <c r="J4981" s="26" t="str">
        <f>IF(OR(E4981="",E4981="!!!",F4981="NEW"),"",COUNTBLANK(OFFSET(A$1,,,SUMPRODUCT(MAX(ROW(E$2:E4981)*(E4981=E$2:E4981)))))-COUNTBLANK(OFFSET(A$1,,,SUMPRODUCT(MAX(ROW(E$1:E4980)*(E2=E$1:E4980))))))</f>
        <v> </v>
      </c>
      <c r="K4981" s="26" t="str">
        <f>IF(OR(E4981="",E4981="!!!",F4981="NEW"),"",INDEX(J$1:J4980,SUMPRODUCT(MAX(ROW(E$1:E4980)*(E4981=E$1:E4980)))))</f>
        <v> </v>
      </c>
      <c r="L4981" s="27"/>
    </row>
    <row r="4982" spans="1:12">
      <c r="A4982" s="20" t="s">
        <v>1020</v>
      </c>
      <c r="E4982" s="22">
        <f>IF(D4982="?OLD","!!!","")</f>
        <v/>
      </c>
      <c r="F4982" s="23" t="str">
        <f>IF(OR(E4982="",E4982="!!!"),"",IF(NOT(ISNA(VLOOKUP(E4982,E$1:E4981,1,FALSE()))),"OLD",IF(AND(E4982&lt;&gt;"",E4982&lt;&gt;"!!!"),"NEW","")))</f>
        <v> </v>
      </c>
      <c r="G4982" s="24" t="str">
        <f>IF(OR(E4982="",E4982="!!!"),"",IF(OR(J4982=0,AND(J4982=1,K4982=1),AND(J4982=1,I4982="SBJ"),AND(J4982=1,I4982=0)),"?IN_FOCUS",IF(J4982&lt;=2,"?ACTIVATED",IF(J4982&lt;&gt;"","?FAMILIAR",IF(F4982="NEW",IF(ISNA(VLOOKUP(E4982,#REF!,1,FALSE())),"?TYPE_IDENTIFIABLE","?REFERENTIAL"),"_")))))</f>
        <v> </v>
      </c>
      <c r="H4982" s="25" t="str">
        <f>IF(J4982&lt;&gt;1,"",IF(I4982="SBJ","CB","?"))</f>
        <v> </v>
      </c>
      <c r="I4982" s="26" t="str">
        <f>IF(OR(E4982="",E4982="!!!",F4982="NEW"),"",INDEX(B4981:B$2,-1+SUMPRODUCT(MAX(ROW(E4981:E$2)*(E4982=E4981:E$2)))))</f>
        <v> </v>
      </c>
      <c r="J4982" s="26" t="str">
        <f>IF(OR(E4982="",E4982="!!!",F4982="NEW"),"",COUNTBLANK(OFFSET(A$1,,,SUMPRODUCT(MAX(ROW(E$2:E4982)*(E4982=E$2:E4982)))))-COUNTBLANK(OFFSET(A$1,,,SUMPRODUCT(MAX(ROW(E$1:E4981)*(E2=E$1:E4981))))))</f>
        <v> </v>
      </c>
      <c r="K4982" s="26" t="str">
        <f>IF(OR(E4982="",E4982="!!!",F4982="NEW"),"",INDEX(J$1:J4981,SUMPRODUCT(MAX(ROW(E$1:E4981)*(E4982=E$1:E4981)))))</f>
        <v> </v>
      </c>
      <c r="L4982" s="27"/>
    </row>
    <row r="4983" spans="1:12">
      <c r="A4983" s="20" t="s">
        <v>705</v>
      </c>
      <c r="B4983" s="21" t="s">
        <v>1029</v>
      </c>
      <c r="C4983" s="21" t="s">
        <v>1017</v>
      </c>
      <c r="D4983" s="21" t="s">
        <v>1007</v>
      </c>
      <c r="E4983" s="22">
        <f>IF(D4983="?OLD","!!!","")</f>
        <v/>
      </c>
      <c r="F4983" s="23" t="str">
        <f>IF(OR(E4983="",E4983="!!!"),"",IF(NOT(ISNA(VLOOKUP(E4983,E$1:E4982,1,FALSE()))),"OLD",IF(AND(E4983&lt;&gt;"",E4983&lt;&gt;"!!!"),"NEW","")))</f>
        <v> </v>
      </c>
      <c r="G4983" s="24" t="str">
        <f>IF(OR(E4983="",E4983="!!!"),"",IF(OR(J4983=0,AND(J4983=1,K4983=1),AND(J4983=1,I4983="SBJ"),AND(J4983=1,I4983=0)),"?IN_FOCUS",IF(J4983&lt;=2,"?ACTIVATED",IF(J4983&lt;&gt;"","?FAMILIAR",IF(F4983="NEW",IF(ISNA(VLOOKUP(E4983,#REF!,1,FALSE())),"?TYPE_IDENTIFIABLE","?REFERENTIAL"),"_")))))</f>
        <v> </v>
      </c>
      <c r="H4983" s="25" t="str">
        <f>IF(J4983&lt;&gt;1,"",IF(I4983="SBJ","CB","?"))</f>
        <v> </v>
      </c>
      <c r="I4983" s="26" t="str">
        <f>IF(OR(E4983="",E4983="!!!",F4983="NEW"),"",INDEX(B4982:B$2,-1+SUMPRODUCT(MAX(ROW(E4982:E$2)*(E4983=E4982:E$2)))))</f>
        <v> </v>
      </c>
      <c r="J4983" s="26" t="str">
        <f>IF(OR(E4983="",E4983="!!!",F4983="NEW"),"",COUNTBLANK(OFFSET(A$1,,,SUMPRODUCT(MAX(ROW(E$2:E4983)*(E4983=E$2:E4983)))))-COUNTBLANK(OFFSET(A$1,,,SUMPRODUCT(MAX(ROW(E$1:E4982)*(E2=E$1:E4982))))))</f>
        <v> </v>
      </c>
      <c r="K4983" s="26" t="str">
        <f>IF(OR(E4983="",E4983="!!!",F4983="NEW"),"",INDEX(J$1:J4982,SUMPRODUCT(MAX(ROW(E$1:E4982)*(E4983=E$1:E4982)))))</f>
        <v> </v>
      </c>
      <c r="L4983" s="27"/>
    </row>
    <row r="4984" spans="1:12">
      <c r="A4984" s="20" t="s">
        <v>1030</v>
      </c>
      <c r="E4984" s="22">
        <f>IF(D4984="?OLD","!!!","")</f>
        <v/>
      </c>
      <c r="F4984" s="23" t="str">
        <f>IF(OR(E4984="",E4984="!!!"),"",IF(NOT(ISNA(VLOOKUP(E4984,E$1:E4983,1,FALSE()))),"OLD",IF(AND(E4984&lt;&gt;"",E4984&lt;&gt;"!!!"),"NEW","")))</f>
        <v> </v>
      </c>
      <c r="G4984" s="24" t="str">
        <f>IF(OR(E4984="",E4984="!!!"),"",IF(OR(J4984=0,AND(J4984=1,K4984=1),AND(J4984=1,I4984="SBJ"),AND(J4984=1,I4984=0)),"?IN_FOCUS",IF(J4984&lt;=2,"?ACTIVATED",IF(J4984&lt;&gt;"","?FAMILIAR",IF(F4984="NEW",IF(ISNA(VLOOKUP(E4984,#REF!,1,FALSE())),"?TYPE_IDENTIFIABLE","?REFERENTIAL"),"_")))))</f>
        <v> </v>
      </c>
      <c r="H4984" s="25" t="str">
        <f>IF(J4984&lt;&gt;1,"",IF(I4984="SBJ","CB","?"))</f>
        <v> </v>
      </c>
      <c r="I4984" s="26" t="str">
        <f>IF(OR(E4984="",E4984="!!!",F4984="NEW"),"",INDEX(B4983:B$2,-1+SUMPRODUCT(MAX(ROW(E4983:E$2)*(E4984=E4983:E$2)))))</f>
        <v> </v>
      </c>
      <c r="J4984" s="26" t="str">
        <f>IF(OR(E4984="",E4984="!!!",F4984="NEW"),"",COUNTBLANK(OFFSET(A$1,,,SUMPRODUCT(MAX(ROW(E$2:E4984)*(E4984=E$2:E4984)))))-COUNTBLANK(OFFSET(A$1,,,SUMPRODUCT(MAX(ROW(E$1:E4983)*(E2=E$1:E4983))))))</f>
        <v> </v>
      </c>
      <c r="K4984" s="26" t="str">
        <f>IF(OR(E4984="",E4984="!!!",F4984="NEW"),"",INDEX(J$1:J4983,SUMPRODUCT(MAX(ROW(E$1:E4983)*(E4984=E$1:E4983)))))</f>
        <v> </v>
      </c>
      <c r="L4984" s="27"/>
    </row>
    <row r="4985" spans="1:12">
      <c r="A4985" s="20" t="s">
        <v>102</v>
      </c>
      <c r="E4985" s="22">
        <f>IF(D4985="?OLD","!!!","")</f>
        <v/>
      </c>
      <c r="F4985" s="23" t="str">
        <f>IF(OR(E4985="",E4985="!!!"),"",IF(NOT(ISNA(VLOOKUP(E4985,E$1:E4984,1,FALSE()))),"OLD",IF(AND(E4985&lt;&gt;"",E4985&lt;&gt;"!!!"),"NEW","")))</f>
        <v> </v>
      </c>
      <c r="G4985" s="24" t="str">
        <f>IF(OR(E4985="",E4985="!!!"),"",IF(OR(J4985=0,AND(J4985=1,K4985=1),AND(J4985=1,I4985="SBJ"),AND(J4985=1,I4985=0)),"?IN_FOCUS",IF(J4985&lt;=2,"?ACTIVATED",IF(J4985&lt;&gt;"","?FAMILIAR",IF(F4985="NEW",IF(ISNA(VLOOKUP(E4985,#REF!,1,FALSE())),"?TYPE_IDENTIFIABLE","?REFERENTIAL"),"_")))))</f>
        <v> </v>
      </c>
      <c r="H4985" s="25" t="str">
        <f>IF(J4985&lt;&gt;1,"",IF(I4985="SBJ","CB","?"))</f>
        <v> </v>
      </c>
      <c r="I4985" s="26" t="str">
        <f>IF(OR(E4985="",E4985="!!!",F4985="NEW"),"",INDEX(B4984:B$2,-1+SUMPRODUCT(MAX(ROW(E4984:E$2)*(E4985=E4984:E$2)))))</f>
        <v> </v>
      </c>
      <c r="J4985" s="26" t="str">
        <f>IF(OR(E4985="",E4985="!!!",F4985="NEW"),"",COUNTBLANK(OFFSET(A$1,,,SUMPRODUCT(MAX(ROW(E$2:E4985)*(E4985=E$2:E4985)))))-COUNTBLANK(OFFSET(A$1,,,SUMPRODUCT(MAX(ROW(E$1:E4984)*(E2=E$1:E4984))))))</f>
        <v> </v>
      </c>
      <c r="K4985" s="26" t="str">
        <f>IF(OR(E4985="",E4985="!!!",F4985="NEW"),"",INDEX(J$1:J4984,SUMPRODUCT(MAX(ROW(E$1:E4984)*(E4985=E$1:E4984)))))</f>
        <v> </v>
      </c>
      <c r="L4985" s="27"/>
    </row>
    <row r="4986" spans="1:12">
      <c r="A4986" s="20" t="s">
        <v>2387</v>
      </c>
      <c r="B4986" s="21" t="s">
        <v>1022</v>
      </c>
      <c r="C4986" s="21" t="s">
        <v>1017</v>
      </c>
      <c r="D4986" s="21" t="s">
        <v>1007</v>
      </c>
      <c r="E4986" s="22">
        <f>IF(D4986="?OLD","!!!","")</f>
        <v/>
      </c>
      <c r="F4986" s="23" t="str">
        <f>IF(OR(E4986="",E4986="!!!"),"",IF(NOT(ISNA(VLOOKUP(E4986,E$1:E4985,1,FALSE()))),"OLD",IF(AND(E4986&lt;&gt;"",E4986&lt;&gt;"!!!"),"NEW","")))</f>
        <v> </v>
      </c>
      <c r="G4986" s="24" t="str">
        <f>IF(OR(E4986="",E4986="!!!"),"",IF(OR(J4986=0,AND(J4986=1,K4986=1),AND(J4986=1,I4986="SBJ"),AND(J4986=1,I4986=0)),"?IN_FOCUS",IF(J4986&lt;=2,"?ACTIVATED",IF(J4986&lt;&gt;"","?FAMILIAR",IF(F4986="NEW",IF(ISNA(VLOOKUP(E4986,#REF!,1,FALSE())),"?TYPE_IDENTIFIABLE","?REFERENTIAL"),"_")))))</f>
        <v> </v>
      </c>
      <c r="H4986" s="25" t="str">
        <f>IF(J4986&lt;&gt;1,"",IF(I4986="SBJ","CB","?"))</f>
        <v> </v>
      </c>
      <c r="I4986" s="26" t="str">
        <f>IF(OR(E4986="",E4986="!!!",F4986="NEW"),"",INDEX(B4985:B$2,-1+SUMPRODUCT(MAX(ROW(E4985:E$2)*(E4986=E4985:E$2)))))</f>
        <v> </v>
      </c>
      <c r="J4986" s="26" t="str">
        <f>IF(OR(E4986="",E4986="!!!",F4986="NEW"),"",COUNTBLANK(OFFSET(A$1,,,SUMPRODUCT(MAX(ROW(E$2:E4986)*(E4986=E$2:E4986)))))-COUNTBLANK(OFFSET(A$1,,,SUMPRODUCT(MAX(ROW(E$1:E4985)*(E2=E$1:E4985))))))</f>
        <v> </v>
      </c>
      <c r="K4986" s="26" t="str">
        <f>IF(OR(E4986="",E4986="!!!",F4986="NEW"),"",INDEX(J$1:J4985,SUMPRODUCT(MAX(ROW(E$1:E4985)*(E4986=E$1:E4985)))))</f>
        <v> </v>
      </c>
      <c r="L4986" s="27"/>
    </row>
    <row r="4987" spans="1:12">
      <c r="A4987" s="20" t="s">
        <v>1137</v>
      </c>
      <c r="E4987" s="22">
        <f>IF(D4987="?OLD","!!!","")</f>
        <v/>
      </c>
      <c r="F4987" s="23" t="str">
        <f>IF(OR(E4987="",E4987="!!!"),"",IF(NOT(ISNA(VLOOKUP(E4987,E$1:E4986,1,FALSE()))),"OLD",IF(AND(E4987&lt;&gt;"",E4987&lt;&gt;"!!!"),"NEW","")))</f>
        <v> </v>
      </c>
      <c r="G4987" s="24" t="str">
        <f>IF(OR(E4987="",E4987="!!!"),"",IF(OR(J4987=0,AND(J4987=1,K4987=1),AND(J4987=1,I4987="SBJ"),AND(J4987=1,I4987=0)),"?IN_FOCUS",IF(J4987&lt;=2,"?ACTIVATED",IF(J4987&lt;&gt;"","?FAMILIAR",IF(F4987="NEW",IF(ISNA(VLOOKUP(E4987,#REF!,1,FALSE())),"?TYPE_IDENTIFIABLE","?REFERENTIAL"),"_")))))</f>
        <v> </v>
      </c>
      <c r="H4987" s="25" t="str">
        <f>IF(J4987&lt;&gt;1,"",IF(I4987="SBJ","CB","?"))</f>
        <v> </v>
      </c>
      <c r="I4987" s="26" t="str">
        <f>IF(OR(E4987="",E4987="!!!",F4987="NEW"),"",INDEX(B4986:B$2,-1+SUMPRODUCT(MAX(ROW(E4986:E$2)*(E4987=E4986:E$2)))))</f>
        <v> </v>
      </c>
      <c r="J4987" s="26" t="str">
        <f>IF(OR(E4987="",E4987="!!!",F4987="NEW"),"",COUNTBLANK(OFFSET(A$1,,,SUMPRODUCT(MAX(ROW(E$2:E4987)*(E4987=E$2:E4987)))))-COUNTBLANK(OFFSET(A$1,,,SUMPRODUCT(MAX(ROW(E$1:E4986)*(E2=E$1:E4986))))))</f>
        <v> </v>
      </c>
      <c r="K4987" s="26" t="str">
        <f>IF(OR(E4987="",E4987="!!!",F4987="NEW"),"",INDEX(J$1:J4986,SUMPRODUCT(MAX(ROW(E$1:E4986)*(E4987=E$1:E4986)))))</f>
        <v> </v>
      </c>
      <c r="L4987" s="27"/>
    </row>
    <row r="4988" spans="1:12">
      <c r="A4988" s="20" t="s">
        <v>102</v>
      </c>
      <c r="E4988" s="22">
        <f>IF(D4988="?OLD","!!!","")</f>
        <v/>
      </c>
      <c r="F4988" s="23" t="str">
        <f>IF(OR(E4988="",E4988="!!!"),"",IF(NOT(ISNA(VLOOKUP(E4988,E$1:E4987,1,FALSE()))),"OLD",IF(AND(E4988&lt;&gt;"",E4988&lt;&gt;"!!!"),"NEW","")))</f>
        <v> </v>
      </c>
      <c r="G4988" s="24" t="str">
        <f>IF(OR(E4988="",E4988="!!!"),"",IF(OR(J4988=0,AND(J4988=1,K4988=1),AND(J4988=1,I4988="SBJ"),AND(J4988=1,I4988=0)),"?IN_FOCUS",IF(J4988&lt;=2,"?ACTIVATED",IF(J4988&lt;&gt;"","?FAMILIAR",IF(F4988="NEW",IF(ISNA(VLOOKUP(E4988,#REF!,1,FALSE())),"?TYPE_IDENTIFIABLE","?REFERENTIAL"),"_")))))</f>
        <v> </v>
      </c>
      <c r="H4988" s="25" t="str">
        <f>IF(J4988&lt;&gt;1,"",IF(I4988="SBJ","CB","?"))</f>
        <v> </v>
      </c>
      <c r="I4988" s="26" t="str">
        <f>IF(OR(E4988="",E4988="!!!",F4988="NEW"),"",INDEX(B4987:B$2,-1+SUMPRODUCT(MAX(ROW(E4987:E$2)*(E4988=E4987:E$2)))))</f>
        <v> </v>
      </c>
      <c r="J4988" s="26" t="str">
        <f>IF(OR(E4988="",E4988="!!!",F4988="NEW"),"",COUNTBLANK(OFFSET(A$1,,,SUMPRODUCT(MAX(ROW(E$2:E4988)*(E4988=E$2:E4988)))))-COUNTBLANK(OFFSET(A$1,,,SUMPRODUCT(MAX(ROW(E$1:E4987)*(E2=E$1:E4987))))))</f>
        <v> </v>
      </c>
      <c r="K4988" s="26" t="str">
        <f>IF(OR(E4988="",E4988="!!!",F4988="NEW"),"",INDEX(J$1:J4987,SUMPRODUCT(MAX(ROW(E$1:E4987)*(E4988=E$1:E4987)))))</f>
        <v> </v>
      </c>
      <c r="L4988" s="27"/>
    </row>
    <row r="4989" spans="1:12">
      <c r="A4989" s="20" t="s">
        <v>1034</v>
      </c>
      <c r="B4989" s="21" t="s">
        <v>1154</v>
      </c>
      <c r="C4989" s="21" t="s">
        <v>1017</v>
      </c>
      <c r="D4989" s="21" t="s">
        <v>1007</v>
      </c>
      <c r="E4989" s="22">
        <f>IF(D4989="?OLD","!!!","")</f>
        <v/>
      </c>
      <c r="F4989" s="23" t="str">
        <f>IF(OR(E4989="",E4989="!!!"),"",IF(NOT(ISNA(VLOOKUP(E4989,E$1:E4988,1,FALSE()))),"OLD",IF(AND(E4989&lt;&gt;"",E4989&lt;&gt;"!!!"),"NEW","")))</f>
        <v> </v>
      </c>
      <c r="G4989" s="24" t="str">
        <f>IF(OR(E4989="",E4989="!!!"),"",IF(OR(J4989=0,AND(J4989=1,K4989=1),AND(J4989=1,I4989="SBJ"),AND(J4989=1,I4989=0)),"?IN_FOCUS",IF(J4989&lt;=2,"?ACTIVATED",IF(J4989&lt;&gt;"","?FAMILIAR",IF(F4989="NEW",IF(ISNA(VLOOKUP(E4989,#REF!,1,FALSE())),"?TYPE_IDENTIFIABLE","?REFERENTIAL"),"_")))))</f>
        <v> </v>
      </c>
      <c r="H4989" s="25" t="str">
        <f>IF(J4989&lt;&gt;1,"",IF(I4989="SBJ","CB","?"))</f>
        <v> </v>
      </c>
      <c r="I4989" s="26" t="str">
        <f>IF(OR(E4989="",E4989="!!!",F4989="NEW"),"",INDEX(B4988:B$2,-1+SUMPRODUCT(MAX(ROW(E4988:E$2)*(E4989=E4988:E$2)))))</f>
        <v> </v>
      </c>
      <c r="J4989" s="26" t="str">
        <f>IF(OR(E4989="",E4989="!!!",F4989="NEW"),"",COUNTBLANK(OFFSET(A$1,,,SUMPRODUCT(MAX(ROW(E$2:E4989)*(E4989=E$2:E4989)))))-COUNTBLANK(OFFSET(A$1,,,SUMPRODUCT(MAX(ROW(E$1:E4988)*(E2=E$1:E4988))))))</f>
        <v> </v>
      </c>
      <c r="K4989" s="26" t="str">
        <f>IF(OR(E4989="",E4989="!!!",F4989="NEW"),"",INDEX(J$1:J4988,SUMPRODUCT(MAX(ROW(E$1:E4988)*(E4989=E$1:E4988)))))</f>
        <v> </v>
      </c>
      <c r="L4989" s="27"/>
    </row>
    <row r="4990" spans="1:12">
      <c r="A4990" s="20" t="s">
        <v>1051</v>
      </c>
      <c r="E4990" s="22">
        <f>IF(D4990="?OLD","!!!","")</f>
        <v/>
      </c>
      <c r="F4990" s="23" t="str">
        <f>IF(OR(E4990="",E4990="!!!"),"",IF(NOT(ISNA(VLOOKUP(E4990,E$1:E4989,1,FALSE()))),"OLD",IF(AND(E4990&lt;&gt;"",E4990&lt;&gt;"!!!"),"NEW","")))</f>
        <v> </v>
      </c>
      <c r="G4990" s="24" t="str">
        <f>IF(OR(E4990="",E4990="!!!"),"",IF(OR(J4990=0,AND(J4990=1,K4990=1),AND(J4990=1,I4990="SBJ"),AND(J4990=1,I4990=0)),"?IN_FOCUS",IF(J4990&lt;=2,"?ACTIVATED",IF(J4990&lt;&gt;"","?FAMILIAR",IF(F4990="NEW",IF(ISNA(VLOOKUP(E4990,#REF!,1,FALSE())),"?TYPE_IDENTIFIABLE","?REFERENTIAL"),"_")))))</f>
        <v> </v>
      </c>
      <c r="H4990" s="25" t="str">
        <f>IF(J4990&lt;&gt;1,"",IF(I4990="SBJ","CB","?"))</f>
        <v> </v>
      </c>
      <c r="I4990" s="26" t="str">
        <f>IF(OR(E4990="",E4990="!!!",F4990="NEW"),"",INDEX(B4989:B$2,-1+SUMPRODUCT(MAX(ROW(E4989:E$2)*(E4990=E4989:E$2)))))</f>
        <v> </v>
      </c>
      <c r="J4990" s="26" t="str">
        <f>IF(OR(E4990="",E4990="!!!",F4990="NEW"),"",COUNTBLANK(OFFSET(A$1,,,SUMPRODUCT(MAX(ROW(E$2:E4990)*(E4990=E$2:E4990)))))-COUNTBLANK(OFFSET(A$1,,,SUMPRODUCT(MAX(ROW(E$1:E4989)*(E2=E$1:E4989))))))</f>
        <v> </v>
      </c>
      <c r="K4990" s="26" t="str">
        <f>IF(OR(E4990="",E4990="!!!",F4990="NEW"),"",INDEX(J$1:J4989,SUMPRODUCT(MAX(ROW(E$1:E4989)*(E4990=E$1:E4989)))))</f>
        <v> </v>
      </c>
      <c r="L4990" s="27"/>
    </row>
    <row r="4991" spans="1:12">
      <c r="A4991" s="20" t="s">
        <v>1116</v>
      </c>
      <c r="E4991" s="22">
        <f>IF(D4991="?OLD","!!!","")</f>
        <v/>
      </c>
      <c r="F4991" s="23" t="str">
        <f>IF(OR(E4991="",E4991="!!!"),"",IF(NOT(ISNA(VLOOKUP(E4991,E$1:E4990,1,FALSE()))),"OLD",IF(AND(E4991&lt;&gt;"",E4991&lt;&gt;"!!!"),"NEW","")))</f>
        <v> </v>
      </c>
      <c r="G4991" s="24" t="str">
        <f>IF(OR(E4991="",E4991="!!!"),"",IF(OR(J4991=0,AND(J4991=1,K4991=1),AND(J4991=1,I4991="SBJ"),AND(J4991=1,I4991=0)),"?IN_FOCUS",IF(J4991&lt;=2,"?ACTIVATED",IF(J4991&lt;&gt;"","?FAMILIAR",IF(F4991="NEW",IF(ISNA(VLOOKUP(E4991,#REF!,1,FALSE())),"?TYPE_IDENTIFIABLE","?REFERENTIAL"),"_")))))</f>
        <v> </v>
      </c>
      <c r="H4991" s="25" t="str">
        <f>IF(J4991&lt;&gt;1,"",IF(I4991="SBJ","CB","?"))</f>
        <v> </v>
      </c>
      <c r="I4991" s="26" t="str">
        <f>IF(OR(E4991="",E4991="!!!",F4991="NEW"),"",INDEX(B4990:B$2,-1+SUMPRODUCT(MAX(ROW(E4990:E$2)*(E4991=E4990:E$2)))))</f>
        <v> </v>
      </c>
      <c r="J4991" s="26" t="str">
        <f>IF(OR(E4991="",E4991="!!!",F4991="NEW"),"",COUNTBLANK(OFFSET(A$1,,,SUMPRODUCT(MAX(ROW(E$2:E4991)*(E4991=E$2:E4991)))))-COUNTBLANK(OFFSET(A$1,,,SUMPRODUCT(MAX(ROW(E$1:E4990)*(E2=E$1:E4990))))))</f>
        <v> </v>
      </c>
      <c r="K4991" s="26" t="str">
        <f>IF(OR(E4991="",E4991="!!!",F4991="NEW"),"",INDEX(J$1:J4990,SUMPRODUCT(MAX(ROW(E$1:E4990)*(E4991=E$1:E4990)))))</f>
        <v> </v>
      </c>
      <c r="L4991" s="27"/>
    </row>
    <row r="4992" spans="1:12">
      <c r="A4992" s="20" t="s">
        <v>1163</v>
      </c>
      <c r="E4992" s="22">
        <f>IF(D4992="?OLD","!!!","")</f>
        <v/>
      </c>
      <c r="F4992" s="23" t="str">
        <f>IF(OR(E4992="",E4992="!!!"),"",IF(NOT(ISNA(VLOOKUP(E4992,E$1:E4991,1,FALSE()))),"OLD",IF(AND(E4992&lt;&gt;"",E4992&lt;&gt;"!!!"),"NEW","")))</f>
        <v> </v>
      </c>
      <c r="G4992" s="24" t="str">
        <f>IF(OR(E4992="",E4992="!!!"),"",IF(OR(J4992=0,AND(J4992=1,K4992=1),AND(J4992=1,I4992="SBJ"),AND(J4992=1,I4992=0)),"?IN_FOCUS",IF(J4992&lt;=2,"?ACTIVATED",IF(J4992&lt;&gt;"","?FAMILIAR",IF(F4992="NEW",IF(ISNA(VLOOKUP(E4992,#REF!,1,FALSE())),"?TYPE_IDENTIFIABLE","?REFERENTIAL"),"_")))))</f>
        <v> </v>
      </c>
      <c r="H4992" s="25" t="str">
        <f>IF(J4992&lt;&gt;1,"",IF(I4992="SBJ","CB","?"))</f>
        <v> </v>
      </c>
      <c r="I4992" s="26" t="str">
        <f>IF(OR(E4992="",E4992="!!!",F4992="NEW"),"",INDEX(B4991:B$2,-1+SUMPRODUCT(MAX(ROW(E4991:E$2)*(E4992=E4991:E$2)))))</f>
        <v> </v>
      </c>
      <c r="J4992" s="26" t="str">
        <f>IF(OR(E4992="",E4992="!!!",F4992="NEW"),"",COUNTBLANK(OFFSET(A$1,,,SUMPRODUCT(MAX(ROW(E$2:E4992)*(E4992=E$2:E4992)))))-COUNTBLANK(OFFSET(A$1,,,SUMPRODUCT(MAX(ROW(E$1:E4991)*(E2=E$1:E4991))))))</f>
        <v> </v>
      </c>
      <c r="K4992" s="26" t="str">
        <f>IF(OR(E4992="",E4992="!!!",F4992="NEW"),"",INDEX(J$1:J4991,SUMPRODUCT(MAX(ROW(E$1:E4991)*(E4992=E$1:E4991)))))</f>
        <v> </v>
      </c>
      <c r="L4992" s="27"/>
    </row>
    <row r="4993" spans="1:12">
      <c r="A4993" s="20" t="s">
        <v>1020</v>
      </c>
      <c r="E4993" s="22">
        <f>IF(D4993="?OLD","!!!","")</f>
        <v/>
      </c>
      <c r="F4993" s="23" t="str">
        <f>IF(OR(E4993="",E4993="!!!"),"",IF(NOT(ISNA(VLOOKUP(E4993,E$1:E4992,1,FALSE()))),"OLD",IF(AND(E4993&lt;&gt;"",E4993&lt;&gt;"!!!"),"NEW","")))</f>
        <v> </v>
      </c>
      <c r="G4993" s="24" t="str">
        <f>IF(OR(E4993="",E4993="!!!"),"",IF(OR(J4993=0,AND(J4993=1,K4993=1),AND(J4993=1,I4993="SBJ"),AND(J4993=1,I4993=0)),"?IN_FOCUS",IF(J4993&lt;=2,"?ACTIVATED",IF(J4993&lt;&gt;"","?FAMILIAR",IF(F4993="NEW",IF(ISNA(VLOOKUP(E4993,#REF!,1,FALSE())),"?TYPE_IDENTIFIABLE","?REFERENTIAL"),"_")))))</f>
        <v> </v>
      </c>
      <c r="H4993" s="25" t="str">
        <f>IF(J4993&lt;&gt;1,"",IF(I4993="SBJ","CB","?"))</f>
        <v> </v>
      </c>
      <c r="I4993" s="26" t="str">
        <f>IF(OR(E4993="",E4993="!!!",F4993="NEW"),"",INDEX(B4992:B$2,-1+SUMPRODUCT(MAX(ROW(E4992:E$2)*(E4993=E4992:E$2)))))</f>
        <v> </v>
      </c>
      <c r="J4993" s="26" t="str">
        <f>IF(OR(E4993="",E4993="!!!",F4993="NEW"),"",COUNTBLANK(OFFSET(A$1,,,SUMPRODUCT(MAX(ROW(E$2:E4993)*(E4993=E$2:E4993)))))-COUNTBLANK(OFFSET(A$1,,,SUMPRODUCT(MAX(ROW(E$1:E4992)*(E2=E$1:E4992))))))</f>
        <v> </v>
      </c>
      <c r="K4993" s="26" t="str">
        <f>IF(OR(E4993="",E4993="!!!",F4993="NEW"),"",INDEX(J$1:J4992,SUMPRODUCT(MAX(ROW(E$1:E4992)*(E4993=E$1:E4992)))))</f>
        <v> </v>
      </c>
      <c r="L4993" s="27"/>
    </row>
    <row r="4994" spans="1:12">
      <c r="A4994" s="20" t="s">
        <v>1020</v>
      </c>
      <c r="E4994" s="22">
        <f>IF(D4994="?OLD","!!!","")</f>
        <v/>
      </c>
      <c r="F4994" s="23" t="str">
        <f>IF(OR(E4994="",E4994="!!!"),"",IF(NOT(ISNA(VLOOKUP(E4994,E$1:E4993,1,FALSE()))),"OLD",IF(AND(E4994&lt;&gt;"",E4994&lt;&gt;"!!!"),"NEW","")))</f>
        <v> </v>
      </c>
      <c r="G4994" s="24" t="str">
        <f>IF(OR(E4994="",E4994="!!!"),"",IF(OR(J4994=0,AND(J4994=1,K4994=1),AND(J4994=1,I4994="SBJ"),AND(J4994=1,I4994=0)),"?IN_FOCUS",IF(J4994&lt;=2,"?ACTIVATED",IF(J4994&lt;&gt;"","?FAMILIAR",IF(F4994="NEW",IF(ISNA(VLOOKUP(E4994,#REF!,1,FALSE())),"?TYPE_IDENTIFIABLE","?REFERENTIAL"),"_")))))</f>
        <v> </v>
      </c>
      <c r="H4994" s="25" t="str">
        <f>IF(J4994&lt;&gt;1,"",IF(I4994="SBJ","CB","?"))</f>
        <v> </v>
      </c>
      <c r="I4994" s="26" t="str">
        <f>IF(OR(E4994="",E4994="!!!",F4994="NEW"),"",INDEX(B4993:B$2,-1+SUMPRODUCT(MAX(ROW(E4993:E$2)*(E4994=E4993:E$2)))))</f>
        <v> </v>
      </c>
      <c r="J4994" s="26" t="str">
        <f>IF(OR(E4994="",E4994="!!!",F4994="NEW"),"",COUNTBLANK(OFFSET(A$1,,,SUMPRODUCT(MAX(ROW(E$2:E4994)*(E4994=E$2:E4994)))))-COUNTBLANK(OFFSET(A$1,,,SUMPRODUCT(MAX(ROW(E$1:E4993)*(E2=E$1:E4993))))))</f>
        <v> </v>
      </c>
      <c r="K4994" s="26" t="str">
        <f>IF(OR(E4994="",E4994="!!!",F4994="NEW"),"",INDEX(J$1:J4993,SUMPRODUCT(MAX(ROW(E$1:E4993)*(E4994=E$1:E4993)))))</f>
        <v> </v>
      </c>
      <c r="L4994" s="27"/>
    </row>
    <row r="4995" spans="1:12">
      <c r="A4995" s="20" t="s">
        <v>1873</v>
      </c>
      <c r="B4995" s="21" t="s">
        <v>1035</v>
      </c>
      <c r="C4995" s="21" t="s">
        <v>1059</v>
      </c>
      <c r="D4995" s="21" t="s">
        <v>1007</v>
      </c>
      <c r="E4995" s="22">
        <f>IF(D4995="?OLD","!!!","")</f>
        <v/>
      </c>
      <c r="F4995" s="23" t="str">
        <f>IF(OR(E4995="",E4995="!!!"),"",IF(NOT(ISNA(VLOOKUP(E4995,E$1:E4994,1,FALSE()))),"OLD",IF(AND(E4995&lt;&gt;"",E4995&lt;&gt;"!!!"),"NEW","")))</f>
        <v> </v>
      </c>
      <c r="G4995" s="24" t="str">
        <f>IF(OR(E4995="",E4995="!!!"),"",IF(OR(J4995=0,AND(J4995=1,K4995=1),AND(J4995=1,I4995="SBJ"),AND(J4995=1,I4995=0)),"?IN_FOCUS",IF(J4995&lt;=2,"?ACTIVATED",IF(J4995&lt;&gt;"","?FAMILIAR",IF(F4995="NEW",IF(ISNA(VLOOKUP(E4995,#REF!,1,FALSE())),"?TYPE_IDENTIFIABLE","?REFERENTIAL"),"_")))))</f>
        <v> </v>
      </c>
      <c r="H4995" s="25" t="str">
        <f>IF(J4995&lt;&gt;1,"",IF(I4995="SBJ","CB","?"))</f>
        <v> </v>
      </c>
      <c r="I4995" s="26" t="str">
        <f>IF(OR(E4995="",E4995="!!!",F4995="NEW"),"",INDEX(B4994:B$2,-1+SUMPRODUCT(MAX(ROW(E4994:E$2)*(E4995=E4994:E$2)))))</f>
        <v> </v>
      </c>
      <c r="J4995" s="26" t="str">
        <f>IF(OR(E4995="",E4995="!!!",F4995="NEW"),"",COUNTBLANK(OFFSET(A$1,,,SUMPRODUCT(MAX(ROW(E$2:E4995)*(E4995=E$2:E4995)))))-COUNTBLANK(OFFSET(A$1,,,SUMPRODUCT(MAX(ROW(E$1:E4994)*(E2=E$1:E4994))))))</f>
        <v> </v>
      </c>
      <c r="K4995" s="26" t="str">
        <f>IF(OR(E4995="",E4995="!!!",F4995="NEW"),"",INDEX(J$1:J4994,SUMPRODUCT(MAX(ROW(E$1:E4994)*(E4995=E$1:E4994)))))</f>
        <v> </v>
      </c>
      <c r="L4995" s="27"/>
    </row>
    <row r="4996" spans="1:12">
      <c r="A4996" s="20" t="s">
        <v>1160</v>
      </c>
      <c r="B4996" s="21" t="s">
        <v>1033</v>
      </c>
      <c r="C4996" s="21" t="s">
        <v>1017</v>
      </c>
      <c r="D4996" s="21" t="s">
        <v>1007</v>
      </c>
      <c r="E4996" s="22">
        <f>IF(D4996="?OLD","!!!","")</f>
        <v/>
      </c>
      <c r="F4996" s="23" t="str">
        <f>IF(OR(E4996="",E4996="!!!"),"",IF(NOT(ISNA(VLOOKUP(E4996,E$1:E4995,1,FALSE()))),"OLD",IF(AND(E4996&lt;&gt;"",E4996&lt;&gt;"!!!"),"NEW","")))</f>
        <v> </v>
      </c>
      <c r="G4996" s="24" t="str">
        <f>IF(OR(E4996="",E4996="!!!"),"",IF(OR(J4996=0,AND(J4996=1,K4996=1),AND(J4996=1,I4996="SBJ"),AND(J4996=1,I4996=0)),"?IN_FOCUS",IF(J4996&lt;=2,"?ACTIVATED",IF(J4996&lt;&gt;"","?FAMILIAR",IF(F4996="NEW",IF(ISNA(VLOOKUP(E4996,#REF!,1,FALSE())),"?TYPE_IDENTIFIABLE","?REFERENTIAL"),"_")))))</f>
        <v> </v>
      </c>
      <c r="H4996" s="25" t="str">
        <f>IF(J4996&lt;&gt;1,"",IF(I4996="SBJ","CB","?"))</f>
        <v> </v>
      </c>
      <c r="I4996" s="26" t="str">
        <f>IF(OR(E4996="",E4996="!!!",F4996="NEW"),"",INDEX(B4995:B$2,-1+SUMPRODUCT(MAX(ROW(E4995:E$2)*(E4996=E4995:E$2)))))</f>
        <v> </v>
      </c>
      <c r="J4996" s="26" t="str">
        <f>IF(OR(E4996="",E4996="!!!",F4996="NEW"),"",COUNTBLANK(OFFSET(A$1,,,SUMPRODUCT(MAX(ROW(E$2:E4996)*(E4996=E$2:E4996)))))-COUNTBLANK(OFFSET(A$1,,,SUMPRODUCT(MAX(ROW(E$1:E4995)*(E2=E$1:E4995))))))</f>
        <v> </v>
      </c>
      <c r="K4996" s="26" t="str">
        <f>IF(OR(E4996="",E4996="!!!",F4996="NEW"),"",INDEX(J$1:J4995,SUMPRODUCT(MAX(ROW(E$1:E4995)*(E4996=E$1:E4995)))))</f>
        <v> </v>
      </c>
      <c r="L4996" s="27"/>
    </row>
    <row r="4997" spans="1:12">
      <c r="A4997" s="20" t="s">
        <v>1018</v>
      </c>
      <c r="E4997" s="22">
        <f>IF(D4997="?OLD","!!!","")</f>
        <v/>
      </c>
      <c r="F4997" s="23" t="str">
        <f>IF(OR(E4997="",E4997="!!!"),"",IF(NOT(ISNA(VLOOKUP(E4997,E$1:E4996,1,FALSE()))),"OLD",IF(AND(E4997&lt;&gt;"",E4997&lt;&gt;"!!!"),"NEW","")))</f>
        <v> </v>
      </c>
      <c r="G4997" s="24" t="str">
        <f>IF(OR(E4997="",E4997="!!!"),"",IF(OR(J4997=0,AND(J4997=1,K4997=1),AND(J4997=1,I4997="SBJ"),AND(J4997=1,I4997=0)),"?IN_FOCUS",IF(J4997&lt;=2,"?ACTIVATED",IF(J4997&lt;&gt;"","?FAMILIAR",IF(F4997="NEW",IF(ISNA(VLOOKUP(E4997,#REF!,1,FALSE())),"?TYPE_IDENTIFIABLE","?REFERENTIAL"),"_")))))</f>
        <v> </v>
      </c>
      <c r="H4997" s="25" t="str">
        <f>IF(J4997&lt;&gt;1,"",IF(I4997="SBJ","CB","?"))</f>
        <v> </v>
      </c>
      <c r="I4997" s="26" t="str">
        <f>IF(OR(E4997="",E4997="!!!",F4997="NEW"),"",INDEX(B4996:B$2,-1+SUMPRODUCT(MAX(ROW(E4996:E$2)*(E4997=E4996:E$2)))))</f>
        <v> </v>
      </c>
      <c r="J4997" s="26" t="str">
        <f>IF(OR(E4997="",E4997="!!!",F4997="NEW"),"",COUNTBLANK(OFFSET(A$1,,,SUMPRODUCT(MAX(ROW(E$2:E4997)*(E4997=E$2:E4997)))))-COUNTBLANK(OFFSET(A$1,,,SUMPRODUCT(MAX(ROW(E$1:E4996)*(E2=E$1:E4996))))))</f>
        <v> </v>
      </c>
      <c r="K4997" s="26" t="str">
        <f>IF(OR(E4997="",E4997="!!!",F4997="NEW"),"",INDEX(J$1:J4996,SUMPRODUCT(MAX(ROW(E$1:E4996)*(E4997=E$1:E4996)))))</f>
        <v> </v>
      </c>
      <c r="L4997" s="27"/>
    </row>
    <row r="4998" spans="1:12">
      <c r="A4998" s="20" t="s">
        <v>1330</v>
      </c>
      <c r="E4998" s="22">
        <f>IF(D4998="?OLD","!!!","")</f>
        <v/>
      </c>
      <c r="F4998" s="23" t="str">
        <f>IF(OR(E4998="",E4998="!!!"),"",IF(NOT(ISNA(VLOOKUP(E4998,E$1:E4997,1,FALSE()))),"OLD",IF(AND(E4998&lt;&gt;"",E4998&lt;&gt;"!!!"),"NEW","")))</f>
        <v> </v>
      </c>
      <c r="G4998" s="24" t="str">
        <f>IF(OR(E4998="",E4998="!!!"),"",IF(OR(J4998=0,AND(J4998=1,K4998=1),AND(J4998=1,I4998="SBJ"),AND(J4998=1,I4998=0)),"?IN_FOCUS",IF(J4998&lt;=2,"?ACTIVATED",IF(J4998&lt;&gt;"","?FAMILIAR",IF(F4998="NEW",IF(ISNA(VLOOKUP(E4998,#REF!,1,FALSE())),"?TYPE_IDENTIFIABLE","?REFERENTIAL"),"_")))))</f>
        <v> </v>
      </c>
      <c r="H4998" s="25" t="str">
        <f>IF(J4998&lt;&gt;1,"",IF(I4998="SBJ","CB","?"))</f>
        <v> </v>
      </c>
      <c r="I4998" s="26" t="str">
        <f>IF(OR(E4998="",E4998="!!!",F4998="NEW"),"",INDEX(B4997:B$2,-1+SUMPRODUCT(MAX(ROW(E4997:E$2)*(E4998=E4997:E$2)))))</f>
        <v> </v>
      </c>
      <c r="J4998" s="26" t="str">
        <f>IF(OR(E4998="",E4998="!!!",F4998="NEW"),"",COUNTBLANK(OFFSET(A$1,,,SUMPRODUCT(MAX(ROW(E$2:E4998)*(E4998=E$2:E4998)))))-COUNTBLANK(OFFSET(A$1,,,SUMPRODUCT(MAX(ROW(E$1:E4997)*(E2=E$1:E4997))))))</f>
        <v> </v>
      </c>
      <c r="K4998" s="26" t="str">
        <f>IF(OR(E4998="",E4998="!!!",F4998="NEW"),"",INDEX(J$1:J4997,SUMPRODUCT(MAX(ROW(E$1:E4997)*(E4998=E$1:E4997)))))</f>
        <v> </v>
      </c>
      <c r="L4998" s="27"/>
    </row>
    <row r="4999" spans="1:12">
      <c r="A4999" s="20" t="s">
        <v>1138</v>
      </c>
      <c r="B4999" s="21" t="s">
        <v>1119</v>
      </c>
      <c r="C4999" s="21" t="s">
        <v>1082</v>
      </c>
      <c r="D4999" s="21" t="s">
        <v>1007</v>
      </c>
      <c r="E4999" s="22">
        <f>IF(D4999="?OLD","!!!","")</f>
        <v/>
      </c>
      <c r="F4999" s="23" t="str">
        <f>IF(OR(E4999="",E4999="!!!"),"",IF(NOT(ISNA(VLOOKUP(E4999,E$1:E4998,1,FALSE()))),"OLD",IF(AND(E4999&lt;&gt;"",E4999&lt;&gt;"!!!"),"NEW","")))</f>
        <v> </v>
      </c>
      <c r="G4999" s="24" t="str">
        <f>IF(OR(E4999="",E4999="!!!"),"",IF(OR(J4999=0,AND(J4999=1,K4999=1),AND(J4999=1,I4999="SBJ"),AND(J4999=1,I4999=0)),"?IN_FOCUS",IF(J4999&lt;=2,"?ACTIVATED",IF(J4999&lt;&gt;"","?FAMILIAR",IF(F4999="NEW",IF(ISNA(VLOOKUP(E4999,#REF!,1,FALSE())),"?TYPE_IDENTIFIABLE","?REFERENTIAL"),"_")))))</f>
        <v> </v>
      </c>
      <c r="H4999" s="25" t="str">
        <f>IF(J4999&lt;&gt;1,"",IF(I4999="SBJ","CB","?"))</f>
        <v> </v>
      </c>
      <c r="I4999" s="26" t="str">
        <f>IF(OR(E4999="",E4999="!!!",F4999="NEW"),"",INDEX(B4998:B$2,-1+SUMPRODUCT(MAX(ROW(E4998:E$2)*(E4999=E4998:E$2)))))</f>
        <v> </v>
      </c>
      <c r="J4999" s="26" t="str">
        <f>IF(OR(E4999="",E4999="!!!",F4999="NEW"),"",COUNTBLANK(OFFSET(A$1,,,SUMPRODUCT(MAX(ROW(E$2:E4999)*(E4999=E$2:E4999)))))-COUNTBLANK(OFFSET(A$1,,,SUMPRODUCT(MAX(ROW(E$1:E4998)*(E2=E$1:E4998))))))</f>
        <v> </v>
      </c>
      <c r="K4999" s="26" t="str">
        <f>IF(OR(E4999="",E4999="!!!",F4999="NEW"),"",INDEX(J$1:J4998,SUMPRODUCT(MAX(ROW(E$1:E4998)*(E4999=E$1:E4998)))))</f>
        <v> </v>
      </c>
      <c r="L4999" s="27"/>
    </row>
    <row r="5000" spans="1:12">
      <c r="A5000" s="20" t="s">
        <v>2392</v>
      </c>
      <c r="E5000" s="22">
        <f>IF(D5000="?OLD","!!!","")</f>
        <v/>
      </c>
      <c r="F5000" s="23" t="str">
        <f>IF(OR(E5000="",E5000="!!!"),"",IF(NOT(ISNA(VLOOKUP(E5000,E$1:E4999,1,FALSE()))),"OLD",IF(AND(E5000&lt;&gt;"",E5000&lt;&gt;"!!!"),"NEW","")))</f>
        <v> </v>
      </c>
      <c r="G5000" s="24" t="str">
        <f>IF(OR(E5000="",E5000="!!!"),"",IF(OR(J5000=0,AND(J5000=1,K5000=1),AND(J5000=1,I5000="SBJ"),AND(J5000=1,I5000=0)),"?IN_FOCUS",IF(J5000&lt;=2,"?ACTIVATED",IF(J5000&lt;&gt;"","?FAMILIAR",IF(F5000="NEW",IF(ISNA(VLOOKUP(E5000,#REF!,1,FALSE())),"?TYPE_IDENTIFIABLE","?REFERENTIAL"),"_")))))</f>
        <v> </v>
      </c>
      <c r="H5000" s="25" t="str">
        <f>IF(J5000&lt;&gt;1,"",IF(I5000="SBJ","CB","?"))</f>
        <v> </v>
      </c>
      <c r="I5000" s="26" t="str">
        <f>IF(OR(E5000="",E5000="!!!",F5000="NEW"),"",INDEX(B4999:B$2,-1+SUMPRODUCT(MAX(ROW(E4999:E$2)*(E5000=E4999:E$2)))))</f>
        <v> </v>
      </c>
      <c r="J5000" s="26" t="str">
        <f>IF(OR(E5000="",E5000="!!!",F5000="NEW"),"",COUNTBLANK(OFFSET(A$1,,,SUMPRODUCT(MAX(ROW(E$2:E5000)*(E5000=E$2:E5000)))))-COUNTBLANK(OFFSET(A$1,,,SUMPRODUCT(MAX(ROW(E$1:E4999)*(E2=E$1:E4999))))))</f>
        <v> </v>
      </c>
      <c r="K5000" s="26" t="str">
        <f>IF(OR(E5000="",E5000="!!!",F5000="NEW"),"",INDEX(J$1:J4999,SUMPRODUCT(MAX(ROW(E$1:E4999)*(E5000=E$1:E4999)))))</f>
        <v> </v>
      </c>
      <c r="L5000" s="27"/>
    </row>
    <row r="5001" spans="1:12">
      <c r="A5001" s="20" t="s">
        <v>1020</v>
      </c>
      <c r="E5001" s="22">
        <f>IF(D5001="?OLD","!!!","")</f>
        <v/>
      </c>
      <c r="F5001" s="23" t="str">
        <f>IF(OR(E5001="",E5001="!!!"),"",IF(NOT(ISNA(VLOOKUP(E5001,E$1:E5000,1,FALSE()))),"OLD",IF(AND(E5001&lt;&gt;"",E5001&lt;&gt;"!!!"),"NEW","")))</f>
        <v> </v>
      </c>
      <c r="G5001" s="24" t="str">
        <f>IF(OR(E5001="",E5001="!!!"),"",IF(OR(J5001=0,AND(J5001=1,K5001=1),AND(J5001=1,I5001="SBJ"),AND(J5001=1,I5001=0)),"?IN_FOCUS",IF(J5001&lt;=2,"?ACTIVATED",IF(J5001&lt;&gt;"","?FAMILIAR",IF(F5001="NEW",IF(ISNA(VLOOKUP(E5001,#REF!,1,FALSE())),"?TYPE_IDENTIFIABLE","?REFERENTIAL"),"_")))))</f>
        <v> </v>
      </c>
      <c r="H5001" s="25" t="str">
        <f>IF(J5001&lt;&gt;1,"",IF(I5001="SBJ","CB","?"))</f>
        <v> </v>
      </c>
      <c r="I5001" s="26" t="str">
        <f>IF(OR(E5001="",E5001="!!!",F5001="NEW"),"",INDEX(B5000:B$2,-1+SUMPRODUCT(MAX(ROW(E5000:E$2)*(E5001=E5000:E$2)))))</f>
        <v> </v>
      </c>
      <c r="J5001" s="26" t="str">
        <f>IF(OR(E5001="",E5001="!!!",F5001="NEW"),"",COUNTBLANK(OFFSET(A$1,,,SUMPRODUCT(MAX(ROW(E$2:E5001)*(E5001=E$2:E5001)))))-COUNTBLANK(OFFSET(A$1,,,SUMPRODUCT(MAX(ROW(E$1:E5000)*(E2=E$1:E5000))))))</f>
        <v> </v>
      </c>
      <c r="K5001" s="26" t="str">
        <f>IF(OR(E5001="",E5001="!!!",F5001="NEW"),"",INDEX(J$1:J5000,SUMPRODUCT(MAX(ROW(E$1:E5000)*(E5001=E$1:E5000)))))</f>
        <v> </v>
      </c>
      <c r="L5001" s="27"/>
    </row>
    <row r="5002" spans="1:12">
      <c r="A5002" s="20" t="s">
        <v>1068</v>
      </c>
      <c r="B5002" s="21" t="s">
        <v>1005</v>
      </c>
      <c r="C5002" s="21" t="s">
        <v>1013</v>
      </c>
      <c r="D5002" s="21" t="s">
        <v>1007</v>
      </c>
      <c r="E5002" s="22">
        <f>IF(D5002="?OLD","!!!","")</f>
        <v/>
      </c>
      <c r="F5002" s="23" t="str">
        <f>IF(OR(E5002="",E5002="!!!"),"",IF(NOT(ISNA(VLOOKUP(E5002,E$1:E5001,1,FALSE()))),"OLD",IF(AND(E5002&lt;&gt;"",E5002&lt;&gt;"!!!"),"NEW","")))</f>
        <v> </v>
      </c>
      <c r="G5002" s="24" t="str">
        <f>IF(OR(E5002="",E5002="!!!"),"",IF(OR(J5002=0,AND(J5002=1,K5002=1),AND(J5002=1,I5002="SBJ"),AND(J5002=1,I5002=0)),"?IN_FOCUS",IF(J5002&lt;=2,"?ACTIVATED",IF(J5002&lt;&gt;"","?FAMILIAR",IF(F5002="NEW",IF(ISNA(VLOOKUP(E5002,#REF!,1,FALSE())),"?TYPE_IDENTIFIABLE","?REFERENTIAL"),"_")))))</f>
        <v> </v>
      </c>
      <c r="H5002" s="25" t="str">
        <f>IF(J5002&lt;&gt;1,"",IF(I5002="SBJ","CB","?"))</f>
        <v> </v>
      </c>
      <c r="I5002" s="26" t="str">
        <f>IF(OR(E5002="",E5002="!!!",F5002="NEW"),"",INDEX(B5001:B$2,-1+SUMPRODUCT(MAX(ROW(E5001:E$2)*(E5002=E5001:E$2)))))</f>
        <v> </v>
      </c>
      <c r="J5002" s="26" t="str">
        <f>IF(OR(E5002="",E5002="!!!",F5002="NEW"),"",COUNTBLANK(OFFSET(A$1,,,SUMPRODUCT(MAX(ROW(E$2:E5002)*(E5002=E$2:E5002)))))-COUNTBLANK(OFFSET(A$1,,,SUMPRODUCT(MAX(ROW(E$1:E5001)*(E2=E$1:E5001))))))</f>
        <v> </v>
      </c>
      <c r="K5002" s="26" t="str">
        <f>IF(OR(E5002="",E5002="!!!",F5002="NEW"),"",INDEX(J$1:J5001,SUMPRODUCT(MAX(ROW(E$1:E5001)*(E5002=E$1:E5001)))))</f>
        <v> </v>
      </c>
      <c r="L5002" s="27"/>
    </row>
    <row r="5003" spans="1:12">
      <c r="A5003" s="20" t="s">
        <v>1631</v>
      </c>
      <c r="B5003" s="21" t="s">
        <v>1022</v>
      </c>
      <c r="C5003" s="21" t="s">
        <v>1082</v>
      </c>
      <c r="D5003" s="21" t="s">
        <v>1007</v>
      </c>
      <c r="E5003" s="22">
        <f>IF(D5003="?OLD","!!!","")</f>
        <v/>
      </c>
      <c r="F5003" s="23" t="str">
        <f>IF(OR(E5003="",E5003="!!!"),"",IF(NOT(ISNA(VLOOKUP(E5003,E$1:E5002,1,FALSE()))),"OLD",IF(AND(E5003&lt;&gt;"",E5003&lt;&gt;"!!!"),"NEW","")))</f>
        <v> </v>
      </c>
      <c r="G5003" s="24" t="str">
        <f>IF(OR(E5003="",E5003="!!!"),"",IF(OR(J5003=0,AND(J5003=1,K5003=1),AND(J5003=1,I5003="SBJ"),AND(J5003=1,I5003=0)),"?IN_FOCUS",IF(J5003&lt;=2,"?ACTIVATED",IF(J5003&lt;&gt;"","?FAMILIAR",IF(F5003="NEW",IF(ISNA(VLOOKUP(E5003,#REF!,1,FALSE())),"?TYPE_IDENTIFIABLE","?REFERENTIAL"),"_")))))</f>
        <v> </v>
      </c>
      <c r="H5003" s="25" t="str">
        <f>IF(J5003&lt;&gt;1,"",IF(I5003="SBJ","CB","?"))</f>
        <v> </v>
      </c>
      <c r="I5003" s="26" t="str">
        <f>IF(OR(E5003="",E5003="!!!",F5003="NEW"),"",INDEX(B5002:B$2,-1+SUMPRODUCT(MAX(ROW(E5002:E$2)*(E5003=E5002:E$2)))))</f>
        <v> </v>
      </c>
      <c r="J5003" s="26" t="str">
        <f>IF(OR(E5003="",E5003="!!!",F5003="NEW"),"",COUNTBLANK(OFFSET(A$1,,,SUMPRODUCT(MAX(ROW(E$2:E5003)*(E5003=E$2:E5003)))))-COUNTBLANK(OFFSET(A$1,,,SUMPRODUCT(MAX(ROW(E$1:E5002)*(E2=E$1:E5002))))))</f>
        <v> </v>
      </c>
      <c r="K5003" s="26" t="str">
        <f>IF(OR(E5003="",E5003="!!!",F5003="NEW"),"",INDEX(J$1:J5002,SUMPRODUCT(MAX(ROW(E$1:E5002)*(E5003=E$1:E5002)))))</f>
        <v> </v>
      </c>
      <c r="L5003" s="27"/>
    </row>
    <row r="5004" spans="1:12">
      <c r="A5004" s="20" t="s">
        <v>1023</v>
      </c>
      <c r="E5004" s="22">
        <f>IF(D5004="?OLD","!!!","")</f>
        <v/>
      </c>
      <c r="F5004" s="23" t="str">
        <f>IF(OR(E5004="",E5004="!!!"),"",IF(NOT(ISNA(VLOOKUP(E5004,E$1:E5003,1,FALSE()))),"OLD",IF(AND(E5004&lt;&gt;"",E5004&lt;&gt;"!!!"),"NEW","")))</f>
        <v> </v>
      </c>
      <c r="G5004" s="24" t="str">
        <f>IF(OR(E5004="",E5004="!!!"),"",IF(OR(J5004=0,AND(J5004=1,K5004=1),AND(J5004=1,I5004="SBJ"),AND(J5004=1,I5004=0)),"?IN_FOCUS",IF(J5004&lt;=2,"?ACTIVATED",IF(J5004&lt;&gt;"","?FAMILIAR",IF(F5004="NEW",IF(ISNA(VLOOKUP(E5004,#REF!,1,FALSE())),"?TYPE_IDENTIFIABLE","?REFERENTIAL"),"_")))))</f>
        <v> </v>
      </c>
      <c r="H5004" s="25" t="str">
        <f>IF(J5004&lt;&gt;1,"",IF(I5004="SBJ","CB","?"))</f>
        <v> </v>
      </c>
      <c r="I5004" s="26" t="str">
        <f>IF(OR(E5004="",E5004="!!!",F5004="NEW"),"",INDEX(B5003:B$2,-1+SUMPRODUCT(MAX(ROW(E5003:E$2)*(E5004=E5003:E$2)))))</f>
        <v> </v>
      </c>
      <c r="J5004" s="26" t="str">
        <f>IF(OR(E5004="",E5004="!!!",F5004="NEW"),"",COUNTBLANK(OFFSET(A$1,,,SUMPRODUCT(MAX(ROW(E$2:E5004)*(E5004=E$2:E5004)))))-COUNTBLANK(OFFSET(A$1,,,SUMPRODUCT(MAX(ROW(E$1:E5003)*(E2=E$1:E5003))))))</f>
        <v> </v>
      </c>
      <c r="K5004" s="26" t="str">
        <f>IF(OR(E5004="",E5004="!!!",F5004="NEW"),"",INDEX(J$1:J5003,SUMPRODUCT(MAX(ROW(E$1:E5003)*(E5004=E$1:E5003)))))</f>
        <v> </v>
      </c>
      <c r="L5004" s="27"/>
    </row>
    <row r="5005" spans="1:12">
      <c r="A5005" s="20"/>
    </row>
    <row r="5006" spans="1:12">
      <c r="A5006" s="20" t="s">
        <v>2325</v>
      </c>
    </row>
    <row r="5007" spans="1:12">
      <c r="A5007" s="20" t="s">
        <v>1118</v>
      </c>
      <c r="B5007" s="21" t="s">
        <v>1005</v>
      </c>
      <c r="C5007" s="21" t="s">
        <v>1048</v>
      </c>
      <c r="E5007" s="22">
        <f>IF(D5007="?OLD","!!!","")</f>
        <v/>
      </c>
      <c r="F5007" s="23" t="str">
        <f>IF(OR(E5007="",E5007="!!!"),"",IF(NOT(ISNA(VLOOKUP(E5007,E$1:E5006,1,FALSE()))),"OLD",IF(AND(E5007&lt;&gt;"",E5007&lt;&gt;"!!!"),"NEW","")))</f>
        <v> </v>
      </c>
      <c r="G5007" s="24" t="str">
        <f>IF(OR(E5007="",E5007="!!!"),"",IF(OR(J5007=0,AND(J5007=1,K5007=1),AND(J5007=1,I5007="SBJ"),AND(J5007=1,I5007=0)),"?IN_FOCUS",IF(J5007&lt;=2,"?ACTIVATED",IF(J5007&lt;&gt;"","?FAMILIAR",IF(F5007="NEW",IF(ISNA(VLOOKUP(E5007,#REF!,1,FALSE())),"?TYPE_IDENTIFIABLE","?REFERENTIAL"),"_")))))</f>
        <v> </v>
      </c>
      <c r="H5007" s="25" t="str">
        <f>IF(J5007&lt;&gt;1,"",IF(I5007="SBJ","CB","?"))</f>
        <v> </v>
      </c>
      <c r="I5007" s="26" t="str">
        <f>IF(OR(E5007="",E5007="!!!",F5007="NEW"),"",INDEX(B5006:B$2,-1+SUMPRODUCT(MAX(ROW(E5006:E$2)*(E5007=E5006:E$2)))))</f>
        <v> </v>
      </c>
      <c r="J5007" s="26" t="str">
        <f>IF(OR(E5007="",E5007="!!!",F5007="NEW"),"",COUNTBLANK(OFFSET(A$1,,,SUMPRODUCT(MAX(ROW(E$2:E5007)*(E5007=E$2:E5007)))))-COUNTBLANK(OFFSET(A$1,,,SUMPRODUCT(MAX(ROW(E$1:E5006)*(E2=E$1:E5006))))))</f>
        <v> </v>
      </c>
      <c r="K5007" s="26" t="str">
        <f>IF(OR(E5007="",E5007="!!!",F5007="NEW"),"",INDEX(J$1:J5006,SUMPRODUCT(MAX(ROW(E$1:E5006)*(E5007=E$1:E5006)))))</f>
        <v> </v>
      </c>
      <c r="L5007" s="27"/>
    </row>
    <row r="5008" spans="1:12">
      <c r="A5008" s="20" t="s">
        <v>1009</v>
      </c>
      <c r="E5008" s="22">
        <f>IF(D5008="?OLD","!!!","")</f>
        <v/>
      </c>
      <c r="F5008" s="23" t="str">
        <f>IF(OR(E5008="",E5008="!!!"),"",IF(NOT(ISNA(VLOOKUP(E5008,E$1:E5007,1,FALSE()))),"OLD",IF(AND(E5008&lt;&gt;"",E5008&lt;&gt;"!!!"),"NEW","")))</f>
        <v> </v>
      </c>
      <c r="G5008" s="24" t="str">
        <f>IF(OR(E5008="",E5008="!!!"),"",IF(OR(J5008=0,AND(J5008=1,K5008=1),AND(J5008=1,I5008="SBJ"),AND(J5008=1,I5008=0)),"?IN_FOCUS",IF(J5008&lt;=2,"?ACTIVATED",IF(J5008&lt;&gt;"","?FAMILIAR",IF(F5008="NEW",IF(ISNA(VLOOKUP(E5008,#REF!,1,FALSE())),"?TYPE_IDENTIFIABLE","?REFERENTIAL"),"_")))))</f>
        <v> </v>
      </c>
      <c r="H5008" s="25" t="str">
        <f>IF(J5008&lt;&gt;1,"",IF(I5008="SBJ","CB","?"))</f>
        <v> </v>
      </c>
      <c r="I5008" s="26" t="str">
        <f>IF(OR(E5008="",E5008="!!!",F5008="NEW"),"",INDEX(B5007:B$2,-1+SUMPRODUCT(MAX(ROW(E5007:E$2)*(E5008=E5007:E$2)))))</f>
        <v> </v>
      </c>
      <c r="J5008" s="26" t="str">
        <f>IF(OR(E5008="",E5008="!!!",F5008="NEW"),"",COUNTBLANK(OFFSET(A$1,,,SUMPRODUCT(MAX(ROW(E$2:E5008)*(E5008=E$2:E5008)))))-COUNTBLANK(OFFSET(A$1,,,SUMPRODUCT(MAX(ROW(E$1:E5007)*(E2=E$1:E5007))))))</f>
        <v> </v>
      </c>
      <c r="K5008" s="26" t="str">
        <f>IF(OR(E5008="",E5008="!!!",F5008="NEW"),"",INDEX(J$1:J5007,SUMPRODUCT(MAX(ROW(E$1:E5007)*(E5008=E$1:E5007)))))</f>
        <v> </v>
      </c>
      <c r="L5008" s="27"/>
    </row>
    <row r="5009" spans="1:12">
      <c r="A5009" s="20"/>
    </row>
    <row r="5010" spans="1:12">
      <c r="A5010" s="20" t="s">
        <v>2393</v>
      </c>
    </row>
    <row r="5011" spans="1:12">
      <c r="A5011" s="20" t="s">
        <v>1991</v>
      </c>
      <c r="B5011" s="21" t="s">
        <v>1050</v>
      </c>
      <c r="C5011" s="21" t="s">
        <v>1082</v>
      </c>
      <c r="D5011" s="21" t="s">
        <v>1007</v>
      </c>
      <c r="E5011" s="22">
        <f>IF(D5011="?OLD","!!!","")</f>
        <v/>
      </c>
      <c r="F5011" s="23" t="str">
        <f>IF(OR(E5011="",E5011="!!!"),"",IF(NOT(ISNA(VLOOKUP(E5011,E$1:E5010,1,FALSE()))),"OLD",IF(AND(E5011&lt;&gt;"",E5011&lt;&gt;"!!!"),"NEW","")))</f>
        <v> </v>
      </c>
      <c r="G5011" s="24" t="str">
        <f>IF(OR(E5011="",E5011="!!!"),"",IF(OR(J5011=0,AND(J5011=1,K5011=1),AND(J5011=1,I5011="SBJ"),AND(J5011=1,I5011=0)),"?IN_FOCUS",IF(J5011&lt;=2,"?ACTIVATED",IF(J5011&lt;&gt;"","?FAMILIAR",IF(F5011="NEW",IF(ISNA(VLOOKUP(E5011,#REF!,1,FALSE())),"?TYPE_IDENTIFIABLE","?REFERENTIAL"),"_")))))</f>
        <v> </v>
      </c>
      <c r="H5011" s="25" t="str">
        <f>IF(J5011&lt;&gt;1,"",IF(I5011="SBJ","CB","?"))</f>
        <v> </v>
      </c>
      <c r="I5011" s="26" t="str">
        <f>IF(OR(E5011="",E5011="!!!",F5011="NEW"),"",INDEX(B5010:B$2,-1+SUMPRODUCT(MAX(ROW(E5010:E$2)*(E5011=E5010:E$2)))))</f>
        <v> </v>
      </c>
      <c r="J5011" s="26" t="str">
        <f>IF(OR(E5011="",E5011="!!!",F5011="NEW"),"",COUNTBLANK(OFFSET(A$1,,,SUMPRODUCT(MAX(ROW(E$2:E5011)*(E5011=E$2:E5011)))))-COUNTBLANK(OFFSET(A$1,,,SUMPRODUCT(MAX(ROW(E$1:E5010)*(E2=E$1:E5010))))))</f>
        <v> </v>
      </c>
      <c r="K5011" s="26" t="str">
        <f>IF(OR(E5011="",E5011="!!!",F5011="NEW"),"",INDEX(J$1:J5010,SUMPRODUCT(MAX(ROW(E$1:E5010)*(E5011=E$1:E5010)))))</f>
        <v> </v>
      </c>
      <c r="L5011" s="27"/>
    </row>
    <row r="5012" spans="1:12">
      <c r="A5012" s="20" t="s">
        <v>1255</v>
      </c>
      <c r="E5012" s="22">
        <f>IF(D5012="?OLD","!!!","")</f>
        <v/>
      </c>
      <c r="F5012" s="23" t="str">
        <f>IF(OR(E5012="",E5012="!!!"),"",IF(NOT(ISNA(VLOOKUP(E5012,E$1:E5011,1,FALSE()))),"OLD",IF(AND(E5012&lt;&gt;"",E5012&lt;&gt;"!!!"),"NEW","")))</f>
        <v> </v>
      </c>
      <c r="G5012" s="24" t="str">
        <f>IF(OR(E5012="",E5012="!!!"),"",IF(OR(J5012=0,AND(J5012=1,K5012=1),AND(J5012=1,I5012="SBJ"),AND(J5012=1,I5012=0)),"?IN_FOCUS",IF(J5012&lt;=2,"?ACTIVATED",IF(J5012&lt;&gt;"","?FAMILIAR",IF(F5012="NEW",IF(ISNA(VLOOKUP(E5012,#REF!,1,FALSE())),"?TYPE_IDENTIFIABLE","?REFERENTIAL"),"_")))))</f>
        <v> </v>
      </c>
      <c r="H5012" s="25" t="str">
        <f>IF(J5012&lt;&gt;1,"",IF(I5012="SBJ","CB","?"))</f>
        <v> </v>
      </c>
      <c r="I5012" s="26" t="str">
        <f>IF(OR(E5012="",E5012="!!!",F5012="NEW"),"",INDEX(B5011:B$2,-1+SUMPRODUCT(MAX(ROW(E5011:E$2)*(E5012=E5011:E$2)))))</f>
        <v> </v>
      </c>
      <c r="J5012" s="26" t="str">
        <f>IF(OR(E5012="",E5012="!!!",F5012="NEW"),"",COUNTBLANK(OFFSET(A$1,,,SUMPRODUCT(MAX(ROW(E$2:E5012)*(E5012=E$2:E5012)))))-COUNTBLANK(OFFSET(A$1,,,SUMPRODUCT(MAX(ROW(E$1:E5011)*(E2=E$1:E5011))))))</f>
        <v> </v>
      </c>
      <c r="K5012" s="26" t="str">
        <f>IF(OR(E5012="",E5012="!!!",F5012="NEW"),"",INDEX(J$1:J5011,SUMPRODUCT(MAX(ROW(E$1:E5011)*(E5012=E$1:E5011)))))</f>
        <v> </v>
      </c>
      <c r="L5012" s="27"/>
    </row>
    <row r="5013" spans="1:12">
      <c r="A5013" s="20" t="s">
        <v>715</v>
      </c>
      <c r="E5013" s="22">
        <f>IF(D5013="?OLD","!!!","")</f>
        <v/>
      </c>
      <c r="F5013" s="23" t="str">
        <f>IF(OR(E5013="",E5013="!!!"),"",IF(NOT(ISNA(VLOOKUP(E5013,E$1:E5012,1,FALSE()))),"OLD",IF(AND(E5013&lt;&gt;"",E5013&lt;&gt;"!!!"),"NEW","")))</f>
        <v> </v>
      </c>
      <c r="G5013" s="24" t="str">
        <f>IF(OR(E5013="",E5013="!!!"),"",IF(OR(J5013=0,AND(J5013=1,K5013=1),AND(J5013=1,I5013="SBJ"),AND(J5013=1,I5013=0)),"?IN_FOCUS",IF(J5013&lt;=2,"?ACTIVATED",IF(J5013&lt;&gt;"","?FAMILIAR",IF(F5013="NEW",IF(ISNA(VLOOKUP(E5013,#REF!,1,FALSE())),"?TYPE_IDENTIFIABLE","?REFERENTIAL"),"_")))))</f>
        <v> </v>
      </c>
      <c r="H5013" s="25" t="str">
        <f>IF(J5013&lt;&gt;1,"",IF(I5013="SBJ","CB","?"))</f>
        <v> </v>
      </c>
      <c r="I5013" s="26" t="str">
        <f>IF(OR(E5013="",E5013="!!!",F5013="NEW"),"",INDEX(B5012:B$2,-1+SUMPRODUCT(MAX(ROW(E5012:E$2)*(E5013=E5012:E$2)))))</f>
        <v> </v>
      </c>
      <c r="J5013" s="26" t="str">
        <f>IF(OR(E5013="",E5013="!!!",F5013="NEW"),"",COUNTBLANK(OFFSET(A$1,,,SUMPRODUCT(MAX(ROW(E$2:E5013)*(E5013=E$2:E5013)))))-COUNTBLANK(OFFSET(A$1,,,SUMPRODUCT(MAX(ROW(E$1:E5012)*(E2=E$1:E5012))))))</f>
        <v> </v>
      </c>
      <c r="K5013" s="26" t="str">
        <f>IF(OR(E5013="",E5013="!!!",F5013="NEW"),"",INDEX(J$1:J5012,SUMPRODUCT(MAX(ROW(E$1:E5012)*(E5013=E$1:E5012)))))</f>
        <v> </v>
      </c>
      <c r="L5013" s="27"/>
    </row>
    <row r="5014" spans="1:12">
      <c r="A5014" s="20" t="s">
        <v>1023</v>
      </c>
      <c r="E5014" s="22">
        <f>IF(D5014="?OLD","!!!","")</f>
        <v/>
      </c>
      <c r="F5014" s="23" t="str">
        <f>IF(OR(E5014="",E5014="!!!"),"",IF(NOT(ISNA(VLOOKUP(E5014,E$1:E5013,1,FALSE()))),"OLD",IF(AND(E5014&lt;&gt;"",E5014&lt;&gt;"!!!"),"NEW","")))</f>
        <v> </v>
      </c>
      <c r="G5014" s="24" t="str">
        <f>IF(OR(E5014="",E5014="!!!"),"",IF(OR(J5014=0,AND(J5014=1,K5014=1),AND(J5014=1,I5014="SBJ"),AND(J5014=1,I5014=0)),"?IN_FOCUS",IF(J5014&lt;=2,"?ACTIVATED",IF(J5014&lt;&gt;"","?FAMILIAR",IF(F5014="NEW",IF(ISNA(VLOOKUP(E5014,#REF!,1,FALSE())),"?TYPE_IDENTIFIABLE","?REFERENTIAL"),"_")))))</f>
        <v> </v>
      </c>
      <c r="H5014" s="25" t="str">
        <f>IF(J5014&lt;&gt;1,"",IF(I5014="SBJ","CB","?"))</f>
        <v> </v>
      </c>
      <c r="I5014" s="26" t="str">
        <f>IF(OR(E5014="",E5014="!!!",F5014="NEW"),"",INDEX(B5013:B$2,-1+SUMPRODUCT(MAX(ROW(E5013:E$2)*(E5014=E5013:E$2)))))</f>
        <v> </v>
      </c>
      <c r="J5014" s="26" t="str">
        <f>IF(OR(E5014="",E5014="!!!",F5014="NEW"),"",COUNTBLANK(OFFSET(A$1,,,SUMPRODUCT(MAX(ROW(E$2:E5014)*(E5014=E$2:E5014)))))-COUNTBLANK(OFFSET(A$1,,,SUMPRODUCT(MAX(ROW(E$1:E5013)*(E2=E$1:E5013))))))</f>
        <v> </v>
      </c>
      <c r="K5014" s="26" t="str">
        <f>IF(OR(E5014="",E5014="!!!",F5014="NEW"),"",INDEX(J$1:J5013,SUMPRODUCT(MAX(ROW(E$1:E5013)*(E5014=E$1:E5013)))))</f>
        <v> </v>
      </c>
      <c r="L5014" s="27"/>
    </row>
    <row r="5015" spans="1:12">
      <c r="A5015" s="20"/>
    </row>
    <row r="5016" spans="1:12">
      <c r="A5016" s="20" t="s">
        <v>2394</v>
      </c>
    </row>
    <row r="5017" spans="1:12">
      <c r="A5017" s="20" t="s">
        <v>1094</v>
      </c>
      <c r="B5017" s="21" t="s">
        <v>1005</v>
      </c>
      <c r="C5017" s="21" t="s">
        <v>1048</v>
      </c>
      <c r="E5017" s="22">
        <f>IF(D5017="?OLD","!!!","")</f>
        <v/>
      </c>
      <c r="F5017" s="23" t="str">
        <f>IF(OR(E5017="",E5017="!!!"),"",IF(NOT(ISNA(VLOOKUP(E5017,E$1:E5016,1,FALSE()))),"OLD",IF(AND(E5017&lt;&gt;"",E5017&lt;&gt;"!!!"),"NEW","")))</f>
        <v> </v>
      </c>
      <c r="G5017" s="24" t="str">
        <f>IF(OR(E5017="",E5017="!!!"),"",IF(OR(J5017=0,AND(J5017=1,K5017=1),AND(J5017=1,I5017="SBJ"),AND(J5017=1,I5017=0)),"?IN_FOCUS",IF(J5017&lt;=2,"?ACTIVATED",IF(J5017&lt;&gt;"","?FAMILIAR",IF(F5017="NEW",IF(ISNA(VLOOKUP(E5017,#REF!,1,FALSE())),"?TYPE_IDENTIFIABLE","?REFERENTIAL"),"_")))))</f>
        <v> </v>
      </c>
      <c r="H5017" s="25" t="str">
        <f>IF(J5017&lt;&gt;1,"",IF(I5017="SBJ","CB","?"))</f>
        <v> </v>
      </c>
      <c r="I5017" s="26" t="str">
        <f>IF(OR(E5017="",E5017="!!!",F5017="NEW"),"",INDEX(B5016:B$2,-1+SUMPRODUCT(MAX(ROW(E5016:E$2)*(E5017=E5016:E$2)))))</f>
        <v> </v>
      </c>
      <c r="J5017" s="26" t="str">
        <f>IF(OR(E5017="",E5017="!!!",F5017="NEW"),"",COUNTBLANK(OFFSET(A$1,,,SUMPRODUCT(MAX(ROW(E$2:E5017)*(E5017=E$2:E5017)))))-COUNTBLANK(OFFSET(A$1,,,SUMPRODUCT(MAX(ROW(E$1:E5016)*(E2=E$1:E5016))))))</f>
        <v> </v>
      </c>
      <c r="K5017" s="26" t="str">
        <f>IF(OR(E5017="",E5017="!!!",F5017="NEW"),"",INDEX(J$1:J5016,SUMPRODUCT(MAX(ROW(E$1:E5016)*(E5017=E$1:E5016)))))</f>
        <v> </v>
      </c>
      <c r="L5017" s="27"/>
    </row>
    <row r="5018" spans="1:12">
      <c r="A5018" s="20" t="s">
        <v>1009</v>
      </c>
      <c r="E5018" s="22">
        <f>IF(D5018="?OLD","!!!","")</f>
        <v/>
      </c>
      <c r="F5018" s="23" t="str">
        <f>IF(OR(E5018="",E5018="!!!"),"",IF(NOT(ISNA(VLOOKUP(E5018,E$1:E5017,1,FALSE()))),"OLD",IF(AND(E5018&lt;&gt;"",E5018&lt;&gt;"!!!"),"NEW","")))</f>
        <v> </v>
      </c>
      <c r="G5018" s="24" t="str">
        <f>IF(OR(E5018="",E5018="!!!"),"",IF(OR(J5018=0,AND(J5018=1,K5018=1),AND(J5018=1,I5018="SBJ"),AND(J5018=1,I5018=0)),"?IN_FOCUS",IF(J5018&lt;=2,"?ACTIVATED",IF(J5018&lt;&gt;"","?FAMILIAR",IF(F5018="NEW",IF(ISNA(VLOOKUP(E5018,#REF!,1,FALSE())),"?TYPE_IDENTIFIABLE","?REFERENTIAL"),"_")))))</f>
        <v> </v>
      </c>
      <c r="H5018" s="25" t="str">
        <f>IF(J5018&lt;&gt;1,"",IF(I5018="SBJ","CB","?"))</f>
        <v> </v>
      </c>
      <c r="I5018" s="26" t="str">
        <f>IF(OR(E5018="",E5018="!!!",F5018="NEW"),"",INDEX(B5017:B$2,-1+SUMPRODUCT(MAX(ROW(E5017:E$2)*(E5018=E5017:E$2)))))</f>
        <v> </v>
      </c>
      <c r="J5018" s="26" t="str">
        <f>IF(OR(E5018="",E5018="!!!",F5018="NEW"),"",COUNTBLANK(OFFSET(A$1,,,SUMPRODUCT(MAX(ROW(E$2:E5018)*(E5018=E$2:E5018)))))-COUNTBLANK(OFFSET(A$1,,,SUMPRODUCT(MAX(ROW(E$1:E5017)*(E2=E$1:E5017))))))</f>
        <v> </v>
      </c>
      <c r="K5018" s="26" t="str">
        <f>IF(OR(E5018="",E5018="!!!",F5018="NEW"),"",INDEX(J$1:J5017,SUMPRODUCT(MAX(ROW(E$1:E5017)*(E5018=E$1:E5017)))))</f>
        <v> </v>
      </c>
      <c r="L5018" s="27"/>
    </row>
    <row r="5019" spans="1:12">
      <c r="A5019" s="20" t="s">
        <v>1175</v>
      </c>
      <c r="E5019" s="22">
        <f>IF(D5019="?OLD","!!!","")</f>
        <v/>
      </c>
      <c r="F5019" s="23" t="str">
        <f>IF(OR(E5019="",E5019="!!!"),"",IF(NOT(ISNA(VLOOKUP(E5019,E$1:E5018,1,FALSE()))),"OLD",IF(AND(E5019&lt;&gt;"",E5019&lt;&gt;"!!!"),"NEW","")))</f>
        <v> </v>
      </c>
      <c r="G5019" s="24" t="str">
        <f>IF(OR(E5019="",E5019="!!!"),"",IF(OR(J5019=0,AND(J5019=1,K5019=1),AND(J5019=1,I5019="SBJ"),AND(J5019=1,I5019=0)),"?IN_FOCUS",IF(J5019&lt;=2,"?ACTIVATED",IF(J5019&lt;&gt;"","?FAMILIAR",IF(F5019="NEW",IF(ISNA(VLOOKUP(E5019,#REF!,1,FALSE())),"?TYPE_IDENTIFIABLE","?REFERENTIAL"),"_")))))</f>
        <v> </v>
      </c>
      <c r="H5019" s="25" t="str">
        <f>IF(J5019&lt;&gt;1,"",IF(I5019="SBJ","CB","?"))</f>
        <v> </v>
      </c>
      <c r="I5019" s="26" t="str">
        <f>IF(OR(E5019="",E5019="!!!",F5019="NEW"),"",INDEX(B5018:B$2,-1+SUMPRODUCT(MAX(ROW(E5018:E$2)*(E5019=E5018:E$2)))))</f>
        <v> </v>
      </c>
      <c r="J5019" s="26" t="str">
        <f>IF(OR(E5019="",E5019="!!!",F5019="NEW"),"",COUNTBLANK(OFFSET(A$1,,,SUMPRODUCT(MAX(ROW(E$2:E5019)*(E5019=E$2:E5019)))))-COUNTBLANK(OFFSET(A$1,,,SUMPRODUCT(MAX(ROW(E$1:E5018)*(E2=E$1:E5018))))))</f>
        <v> </v>
      </c>
      <c r="K5019" s="26" t="str">
        <f>IF(OR(E5019="",E5019="!!!",F5019="NEW"),"",INDEX(J$1:J5018,SUMPRODUCT(MAX(ROW(E$1:E5018)*(E5019=E$1:E5018)))))</f>
        <v> </v>
      </c>
      <c r="L5019" s="27"/>
    </row>
    <row r="5020" spans="1:12">
      <c r="A5020" s="20" t="s">
        <v>1149</v>
      </c>
      <c r="B5020" s="21" t="s">
        <v>1119</v>
      </c>
      <c r="E5020" s="22">
        <f>IF(D5020="?OLD","!!!","")</f>
        <v/>
      </c>
      <c r="F5020" s="23" t="str">
        <f>IF(OR(E5020="",E5020="!!!"),"",IF(NOT(ISNA(VLOOKUP(E5020,E$1:E5019,1,FALSE()))),"OLD",IF(AND(E5020&lt;&gt;"",E5020&lt;&gt;"!!!"),"NEW","")))</f>
        <v> </v>
      </c>
      <c r="G5020" s="24" t="str">
        <f>IF(OR(E5020="",E5020="!!!"),"",IF(OR(J5020=0,AND(J5020=1,K5020=1),AND(J5020=1,I5020="SBJ"),AND(J5020=1,I5020=0)),"?IN_FOCUS",IF(J5020&lt;=2,"?ACTIVATED",IF(J5020&lt;&gt;"","?FAMILIAR",IF(F5020="NEW",IF(ISNA(VLOOKUP(E5020,#REF!,1,FALSE())),"?TYPE_IDENTIFIABLE","?REFERENTIAL"),"_")))))</f>
        <v> </v>
      </c>
      <c r="H5020" s="25" t="str">
        <f>IF(J5020&lt;&gt;1,"",IF(I5020="SBJ","CB","?"))</f>
        <v> </v>
      </c>
      <c r="I5020" s="26" t="str">
        <f>IF(OR(E5020="",E5020="!!!",F5020="NEW"),"",INDEX(B5019:B$2,-1+SUMPRODUCT(MAX(ROW(E5019:E$2)*(E5020=E5019:E$2)))))</f>
        <v> </v>
      </c>
      <c r="J5020" s="26" t="str">
        <f>IF(OR(E5020="",E5020="!!!",F5020="NEW"),"",COUNTBLANK(OFFSET(A$1,,,SUMPRODUCT(MAX(ROW(E$2:E5020)*(E5020=E$2:E5020)))))-COUNTBLANK(OFFSET(A$1,,,SUMPRODUCT(MAX(ROW(E$1:E5019)*(E2=E$1:E5019))))))</f>
        <v> </v>
      </c>
      <c r="K5020" s="26" t="str">
        <f>IF(OR(E5020="",E5020="!!!",F5020="NEW"),"",INDEX(J$1:J5019,SUMPRODUCT(MAX(ROW(E$1:E5019)*(E5020=E$1:E5019)))))</f>
        <v> </v>
      </c>
      <c r="L5020" s="27"/>
    </row>
    <row r="5021" spans="1:12">
      <c r="A5021" s="20" t="s">
        <v>1051</v>
      </c>
      <c r="E5021" s="22">
        <f>IF(D5021="?OLD","!!!","")</f>
        <v/>
      </c>
      <c r="F5021" s="23" t="str">
        <f>IF(OR(E5021="",E5021="!!!"),"",IF(NOT(ISNA(VLOOKUP(E5021,E$1:E5020,1,FALSE()))),"OLD",IF(AND(E5021&lt;&gt;"",E5021&lt;&gt;"!!!"),"NEW","")))</f>
        <v> </v>
      </c>
      <c r="G5021" s="24" t="str">
        <f>IF(OR(E5021="",E5021="!!!"),"",IF(OR(J5021=0,AND(J5021=1,K5021=1),AND(J5021=1,I5021="SBJ"),AND(J5021=1,I5021=0)),"?IN_FOCUS",IF(J5021&lt;=2,"?ACTIVATED",IF(J5021&lt;&gt;"","?FAMILIAR",IF(F5021="NEW",IF(ISNA(VLOOKUP(E5021,#REF!,1,FALSE())),"?TYPE_IDENTIFIABLE","?REFERENTIAL"),"_")))))</f>
        <v> </v>
      </c>
      <c r="H5021" s="25" t="str">
        <f>IF(J5021&lt;&gt;1,"",IF(I5021="SBJ","CB","?"))</f>
        <v> </v>
      </c>
      <c r="I5021" s="26" t="str">
        <f>IF(OR(E5021="",E5021="!!!",F5021="NEW"),"",INDEX(B5020:B$2,-1+SUMPRODUCT(MAX(ROW(E5020:E$2)*(E5021=E5020:E$2)))))</f>
        <v> </v>
      </c>
      <c r="J5021" s="26" t="str">
        <f>IF(OR(E5021="",E5021="!!!",F5021="NEW"),"",COUNTBLANK(OFFSET(A$1,,,SUMPRODUCT(MAX(ROW(E$2:E5021)*(E5021=E$2:E5021)))))-COUNTBLANK(OFFSET(A$1,,,SUMPRODUCT(MAX(ROW(E$1:E5020)*(E2=E$1:E5020))))))</f>
        <v> </v>
      </c>
      <c r="K5021" s="26" t="str">
        <f>IF(OR(E5021="",E5021="!!!",F5021="NEW"),"",INDEX(J$1:J5020,SUMPRODUCT(MAX(ROW(E$1:E5020)*(E5021=E$1:E5020)))))</f>
        <v> </v>
      </c>
      <c r="L5021" s="27"/>
    </row>
    <row r="5022" spans="1:12">
      <c r="A5022" s="20" t="s">
        <v>1020</v>
      </c>
      <c r="E5022" s="22">
        <f>IF(D5022="?OLD","!!!","")</f>
        <v/>
      </c>
      <c r="F5022" s="23" t="str">
        <f>IF(OR(E5022="",E5022="!!!"),"",IF(NOT(ISNA(VLOOKUP(E5022,E$1:E5021,1,FALSE()))),"OLD",IF(AND(E5022&lt;&gt;"",E5022&lt;&gt;"!!!"),"NEW","")))</f>
        <v> </v>
      </c>
      <c r="G5022" s="24" t="str">
        <f>IF(OR(E5022="",E5022="!!!"),"",IF(OR(J5022=0,AND(J5022=1,K5022=1),AND(J5022=1,I5022="SBJ"),AND(J5022=1,I5022=0)),"?IN_FOCUS",IF(J5022&lt;=2,"?ACTIVATED",IF(J5022&lt;&gt;"","?FAMILIAR",IF(F5022="NEW",IF(ISNA(VLOOKUP(E5022,#REF!,1,FALSE())),"?TYPE_IDENTIFIABLE","?REFERENTIAL"),"_")))))</f>
        <v> </v>
      </c>
      <c r="H5022" s="25" t="str">
        <f>IF(J5022&lt;&gt;1,"",IF(I5022="SBJ","CB","?"))</f>
        <v> </v>
      </c>
      <c r="I5022" s="26" t="str">
        <f>IF(OR(E5022="",E5022="!!!",F5022="NEW"),"",INDEX(B5021:B$2,-1+SUMPRODUCT(MAX(ROW(E5021:E$2)*(E5022=E5021:E$2)))))</f>
        <v> </v>
      </c>
      <c r="J5022" s="26" t="str">
        <f>IF(OR(E5022="",E5022="!!!",F5022="NEW"),"",COUNTBLANK(OFFSET(A$1,,,SUMPRODUCT(MAX(ROW(E$2:E5022)*(E5022=E$2:E5022)))))-COUNTBLANK(OFFSET(A$1,,,SUMPRODUCT(MAX(ROW(E$1:E5021)*(E2=E$1:E5021))))))</f>
        <v> </v>
      </c>
      <c r="K5022" s="26" t="str">
        <f>IF(OR(E5022="",E5022="!!!",F5022="NEW"),"",INDEX(J$1:J5021,SUMPRODUCT(MAX(ROW(E$1:E5021)*(E5022=E$1:E5021)))))</f>
        <v> </v>
      </c>
      <c r="L5022" s="27"/>
    </row>
    <row r="5023" spans="1:12">
      <c r="A5023" s="20" t="s">
        <v>2395</v>
      </c>
      <c r="B5023" s="21" t="s">
        <v>1005</v>
      </c>
      <c r="C5023" s="21" t="s">
        <v>1013</v>
      </c>
      <c r="D5023" s="21" t="s">
        <v>1007</v>
      </c>
      <c r="E5023" s="22">
        <f>IF(D5023="?OLD","!!!","")</f>
        <v/>
      </c>
      <c r="F5023" s="23" t="str">
        <f>IF(OR(E5023="",E5023="!!!"),"",IF(NOT(ISNA(VLOOKUP(E5023,E$1:E5022,1,FALSE()))),"OLD",IF(AND(E5023&lt;&gt;"",E5023&lt;&gt;"!!!"),"NEW","")))</f>
        <v> </v>
      </c>
      <c r="G5023" s="24" t="str">
        <f>IF(OR(E5023="",E5023="!!!"),"",IF(OR(J5023=0,AND(J5023=1,K5023=1),AND(J5023=1,I5023="SBJ"),AND(J5023=1,I5023=0)),"?IN_FOCUS",IF(J5023&lt;=2,"?ACTIVATED",IF(J5023&lt;&gt;"","?FAMILIAR",IF(F5023="NEW",IF(ISNA(VLOOKUP(E5023,#REF!,1,FALSE())),"?TYPE_IDENTIFIABLE","?REFERENTIAL"),"_")))))</f>
        <v> </v>
      </c>
      <c r="H5023" s="25" t="str">
        <f>IF(J5023&lt;&gt;1,"",IF(I5023="SBJ","CB","?"))</f>
        <v> </v>
      </c>
      <c r="I5023" s="26" t="str">
        <f>IF(OR(E5023="",E5023="!!!",F5023="NEW"),"",INDEX(B5022:B$2,-1+SUMPRODUCT(MAX(ROW(E5022:E$2)*(E5023=E5022:E$2)))))</f>
        <v> </v>
      </c>
      <c r="J5023" s="26" t="str">
        <f>IF(OR(E5023="",E5023="!!!",F5023="NEW"),"",COUNTBLANK(OFFSET(A$1,,,SUMPRODUCT(MAX(ROW(E$2:E5023)*(E5023=E$2:E5023)))))-COUNTBLANK(OFFSET(A$1,,,SUMPRODUCT(MAX(ROW(E$1:E5022)*(E2=E$1:E5022))))))</f>
        <v> </v>
      </c>
      <c r="K5023" s="26" t="str">
        <f>IF(OR(E5023="",E5023="!!!",F5023="NEW"),"",INDEX(J$1:J5022,SUMPRODUCT(MAX(ROW(E$1:E5022)*(E5023=E$1:E5022)))))</f>
        <v> </v>
      </c>
      <c r="L5023" s="27"/>
    </row>
    <row r="5024" spans="1:12">
      <c r="A5024" s="20" t="s">
        <v>1014</v>
      </c>
      <c r="E5024" s="22">
        <f>IF(D5024="?OLD","!!!","")</f>
        <v/>
      </c>
      <c r="F5024" s="23" t="str">
        <f>IF(OR(E5024="",E5024="!!!"),"",IF(NOT(ISNA(VLOOKUP(E5024,E$1:E5023,1,FALSE()))),"OLD",IF(AND(E5024&lt;&gt;"",E5024&lt;&gt;"!!!"),"NEW","")))</f>
        <v> </v>
      </c>
      <c r="G5024" s="24" t="str">
        <f>IF(OR(E5024="",E5024="!!!"),"",IF(OR(J5024=0,AND(J5024=1,K5024=1),AND(J5024=1,I5024="SBJ"),AND(J5024=1,I5024=0)),"?IN_FOCUS",IF(J5024&lt;=2,"?ACTIVATED",IF(J5024&lt;&gt;"","?FAMILIAR",IF(F5024="NEW",IF(ISNA(VLOOKUP(E5024,#REF!,1,FALSE())),"?TYPE_IDENTIFIABLE","?REFERENTIAL"),"_")))))</f>
        <v> </v>
      </c>
      <c r="H5024" s="25" t="str">
        <f>IF(J5024&lt;&gt;1,"",IF(I5024="SBJ","CB","?"))</f>
        <v> </v>
      </c>
      <c r="I5024" s="26" t="str">
        <f>IF(OR(E5024="",E5024="!!!",F5024="NEW"),"",INDEX(B5023:B$2,-1+SUMPRODUCT(MAX(ROW(E5023:E$2)*(E5024=E5023:E$2)))))</f>
        <v> </v>
      </c>
      <c r="J5024" s="26" t="str">
        <f>IF(OR(E5024="",E5024="!!!",F5024="NEW"),"",COUNTBLANK(OFFSET(A$1,,,SUMPRODUCT(MAX(ROW(E$2:E5024)*(E5024=E$2:E5024)))))-COUNTBLANK(OFFSET(A$1,,,SUMPRODUCT(MAX(ROW(E$1:E5023)*(E2=E$1:E5023))))))</f>
        <v> </v>
      </c>
      <c r="K5024" s="26" t="str">
        <f>IF(OR(E5024="",E5024="!!!",F5024="NEW"),"",INDEX(J$1:J5023,SUMPRODUCT(MAX(ROW(E$1:E5023)*(E5024=E$1:E5023)))))</f>
        <v> </v>
      </c>
      <c r="L5024" s="27"/>
    </row>
    <row r="5025" spans="1:12">
      <c r="A5025" s="20" t="s">
        <v>1020</v>
      </c>
      <c r="E5025" s="22">
        <f>IF(D5025="?OLD","!!!","")</f>
        <v/>
      </c>
      <c r="F5025" s="23" t="str">
        <f>IF(OR(E5025="",E5025="!!!"),"",IF(NOT(ISNA(VLOOKUP(E5025,E$1:E5024,1,FALSE()))),"OLD",IF(AND(E5025&lt;&gt;"",E5025&lt;&gt;"!!!"),"NEW","")))</f>
        <v> </v>
      </c>
      <c r="G5025" s="24" t="str">
        <f>IF(OR(E5025="",E5025="!!!"),"",IF(OR(J5025=0,AND(J5025=1,K5025=1),AND(J5025=1,I5025="SBJ"),AND(J5025=1,I5025=0)),"?IN_FOCUS",IF(J5025&lt;=2,"?ACTIVATED",IF(J5025&lt;&gt;"","?FAMILIAR",IF(F5025="NEW",IF(ISNA(VLOOKUP(E5025,#REF!,1,FALSE())),"?TYPE_IDENTIFIABLE","?REFERENTIAL"),"_")))))</f>
        <v> </v>
      </c>
      <c r="H5025" s="25" t="str">
        <f>IF(J5025&lt;&gt;1,"",IF(I5025="SBJ","CB","?"))</f>
        <v> </v>
      </c>
      <c r="I5025" s="26" t="str">
        <f>IF(OR(E5025="",E5025="!!!",F5025="NEW"),"",INDEX(B5024:B$2,-1+SUMPRODUCT(MAX(ROW(E5024:E$2)*(E5025=E5024:E$2)))))</f>
        <v> </v>
      </c>
      <c r="J5025" s="26" t="str">
        <f>IF(OR(E5025="",E5025="!!!",F5025="NEW"),"",COUNTBLANK(OFFSET(A$1,,,SUMPRODUCT(MAX(ROW(E$2:E5025)*(E5025=E$2:E5025)))))-COUNTBLANK(OFFSET(A$1,,,SUMPRODUCT(MAX(ROW(E$1:E5024)*(E2=E$1:E5024))))))</f>
        <v> </v>
      </c>
      <c r="K5025" s="26" t="str">
        <f>IF(OR(E5025="",E5025="!!!",F5025="NEW"),"",INDEX(J$1:J5024,SUMPRODUCT(MAX(ROW(E$1:E5024)*(E5025=E$1:E5024)))))</f>
        <v> </v>
      </c>
      <c r="L5025" s="27"/>
    </row>
    <row r="5026" spans="1:12">
      <c r="A5026" s="20" t="s">
        <v>2396</v>
      </c>
      <c r="E5026" s="22">
        <f>IF(D5026="?OLD","!!!","")</f>
        <v/>
      </c>
      <c r="F5026" s="23" t="str">
        <f>IF(OR(E5026="",E5026="!!!"),"",IF(NOT(ISNA(VLOOKUP(E5026,E$1:E5025,1,FALSE()))),"OLD",IF(AND(E5026&lt;&gt;"",E5026&lt;&gt;"!!!"),"NEW","")))</f>
        <v> </v>
      </c>
      <c r="G5026" s="24" t="str">
        <f>IF(OR(E5026="",E5026="!!!"),"",IF(OR(J5026=0,AND(J5026=1,K5026=1),AND(J5026=1,I5026="SBJ"),AND(J5026=1,I5026=0)),"?IN_FOCUS",IF(J5026&lt;=2,"?ACTIVATED",IF(J5026&lt;&gt;"","?FAMILIAR",IF(F5026="NEW",IF(ISNA(VLOOKUP(E5026,#REF!,1,FALSE())),"?TYPE_IDENTIFIABLE","?REFERENTIAL"),"_")))))</f>
        <v> </v>
      </c>
      <c r="H5026" s="25" t="str">
        <f>IF(J5026&lt;&gt;1,"",IF(I5026="SBJ","CB","?"))</f>
        <v> </v>
      </c>
      <c r="I5026" s="26" t="str">
        <f>IF(OR(E5026="",E5026="!!!",F5026="NEW"),"",INDEX(B5025:B$2,-1+SUMPRODUCT(MAX(ROW(E5025:E$2)*(E5026=E5025:E$2)))))</f>
        <v> </v>
      </c>
      <c r="J5026" s="26" t="str">
        <f>IF(OR(E5026="",E5026="!!!",F5026="NEW"),"",COUNTBLANK(OFFSET(A$1,,,SUMPRODUCT(MAX(ROW(E$2:E5026)*(E5026=E$2:E5026)))))-COUNTBLANK(OFFSET(A$1,,,SUMPRODUCT(MAX(ROW(E$1:E5025)*(E2=E$1:E5025))))))</f>
        <v> </v>
      </c>
      <c r="K5026" s="26" t="str">
        <f>IF(OR(E5026="",E5026="!!!",F5026="NEW"),"",INDEX(J$1:J5025,SUMPRODUCT(MAX(ROW(E$1:E5025)*(E5026=E$1:E5025)))))</f>
        <v> </v>
      </c>
      <c r="L5026" s="27"/>
    </row>
    <row r="5027" spans="1:12">
      <c r="A5027" s="20" t="s">
        <v>2397</v>
      </c>
      <c r="B5027" s="21" t="s">
        <v>1022</v>
      </c>
      <c r="C5027" s="21" t="s">
        <v>1017</v>
      </c>
      <c r="D5027" s="21" t="s">
        <v>1007</v>
      </c>
      <c r="E5027" s="22">
        <f>IF(D5027="?OLD","!!!","")</f>
        <v/>
      </c>
      <c r="F5027" s="23" t="str">
        <f>IF(OR(E5027="",E5027="!!!"),"",IF(NOT(ISNA(VLOOKUP(E5027,E$1:E5026,1,FALSE()))),"OLD",IF(AND(E5027&lt;&gt;"",E5027&lt;&gt;"!!!"),"NEW","")))</f>
        <v> </v>
      </c>
      <c r="G5027" s="24" t="str">
        <f>IF(OR(E5027="",E5027="!!!"),"",IF(OR(J5027=0,AND(J5027=1,K5027=1),AND(J5027=1,I5027="SBJ"),AND(J5027=1,I5027=0)),"?IN_FOCUS",IF(J5027&lt;=2,"?ACTIVATED",IF(J5027&lt;&gt;"","?FAMILIAR",IF(F5027="NEW",IF(ISNA(VLOOKUP(E5027,#REF!,1,FALSE())),"?TYPE_IDENTIFIABLE","?REFERENTIAL"),"_")))))</f>
        <v> </v>
      </c>
      <c r="H5027" s="25" t="str">
        <f>IF(J5027&lt;&gt;1,"",IF(I5027="SBJ","CB","?"))</f>
        <v> </v>
      </c>
      <c r="I5027" s="26" t="str">
        <f>IF(OR(E5027="",E5027="!!!",F5027="NEW"),"",INDEX(B5026:B$2,-1+SUMPRODUCT(MAX(ROW(E5026:E$2)*(E5027=E5026:E$2)))))</f>
        <v> </v>
      </c>
      <c r="J5027" s="26" t="str">
        <f>IF(OR(E5027="",E5027="!!!",F5027="NEW"),"",COUNTBLANK(OFFSET(A$1,,,SUMPRODUCT(MAX(ROW(E$2:E5027)*(E5027=E$2:E5027)))))-COUNTBLANK(OFFSET(A$1,,,SUMPRODUCT(MAX(ROW(E$1:E5026)*(E2=E$1:E5026))))))</f>
        <v> </v>
      </c>
      <c r="K5027" s="26" t="str">
        <f>IF(OR(E5027="",E5027="!!!",F5027="NEW"),"",INDEX(J$1:J5026,SUMPRODUCT(MAX(ROW(E$1:E5026)*(E5027=E$1:E5026)))))</f>
        <v> </v>
      </c>
      <c r="L5027" s="27"/>
    </row>
    <row r="5028" spans="1:12">
      <c r="A5028" s="20" t="s">
        <v>1018</v>
      </c>
      <c r="E5028" s="22">
        <f>IF(D5028="?OLD","!!!","")</f>
        <v/>
      </c>
      <c r="F5028" s="23" t="str">
        <f>IF(OR(E5028="",E5028="!!!"),"",IF(NOT(ISNA(VLOOKUP(E5028,E$1:E5027,1,FALSE()))),"OLD",IF(AND(E5028&lt;&gt;"",E5028&lt;&gt;"!!!"),"NEW","")))</f>
        <v> </v>
      </c>
      <c r="G5028" s="24" t="str">
        <f>IF(OR(E5028="",E5028="!!!"),"",IF(OR(J5028=0,AND(J5028=1,K5028=1),AND(J5028=1,I5028="SBJ"),AND(J5028=1,I5028=0)),"?IN_FOCUS",IF(J5028&lt;=2,"?ACTIVATED",IF(J5028&lt;&gt;"","?FAMILIAR",IF(F5028="NEW",IF(ISNA(VLOOKUP(E5028,#REF!,1,FALSE())),"?TYPE_IDENTIFIABLE","?REFERENTIAL"),"_")))))</f>
        <v> </v>
      </c>
      <c r="H5028" s="25" t="str">
        <f>IF(J5028&lt;&gt;1,"",IF(I5028="SBJ","CB","?"))</f>
        <v> </v>
      </c>
      <c r="I5028" s="26" t="str">
        <f>IF(OR(E5028="",E5028="!!!",F5028="NEW"),"",INDEX(B5027:B$2,-1+SUMPRODUCT(MAX(ROW(E5027:E$2)*(E5028=E5027:E$2)))))</f>
        <v> </v>
      </c>
      <c r="J5028" s="26" t="str">
        <f>IF(OR(E5028="",E5028="!!!",F5028="NEW"),"",COUNTBLANK(OFFSET(A$1,,,SUMPRODUCT(MAX(ROW(E$2:E5028)*(E5028=E$2:E5028)))))-COUNTBLANK(OFFSET(A$1,,,SUMPRODUCT(MAX(ROW(E$1:E5027)*(E2=E$1:E5027))))))</f>
        <v> </v>
      </c>
      <c r="K5028" s="26" t="str">
        <f>IF(OR(E5028="",E5028="!!!",F5028="NEW"),"",INDEX(J$1:J5027,SUMPRODUCT(MAX(ROW(E$1:E5027)*(E5028=E$1:E5027)))))</f>
        <v> </v>
      </c>
      <c r="L5028" s="27"/>
    </row>
    <row r="5029" spans="1:12">
      <c r="A5029" s="20" t="s">
        <v>1684</v>
      </c>
      <c r="E5029" s="22">
        <f>IF(D5029="?OLD","!!!","")</f>
        <v/>
      </c>
      <c r="F5029" s="23" t="str">
        <f>IF(OR(E5029="",E5029="!!!"),"",IF(NOT(ISNA(VLOOKUP(E5029,E$1:E5028,1,FALSE()))),"OLD",IF(AND(E5029&lt;&gt;"",E5029&lt;&gt;"!!!"),"NEW","")))</f>
        <v> </v>
      </c>
      <c r="G5029" s="24" t="str">
        <f>IF(OR(E5029="",E5029="!!!"),"",IF(OR(J5029=0,AND(J5029=1,K5029=1),AND(J5029=1,I5029="SBJ"),AND(J5029=1,I5029=0)),"?IN_FOCUS",IF(J5029&lt;=2,"?ACTIVATED",IF(J5029&lt;&gt;"","?FAMILIAR",IF(F5029="NEW",IF(ISNA(VLOOKUP(E5029,#REF!,1,FALSE())),"?TYPE_IDENTIFIABLE","?REFERENTIAL"),"_")))))</f>
        <v> </v>
      </c>
      <c r="H5029" s="25" t="str">
        <f>IF(J5029&lt;&gt;1,"",IF(I5029="SBJ","CB","?"))</f>
        <v> </v>
      </c>
      <c r="I5029" s="26" t="str">
        <f>IF(OR(E5029="",E5029="!!!",F5029="NEW"),"",INDEX(B5028:B$2,-1+SUMPRODUCT(MAX(ROW(E5028:E$2)*(E5029=E5028:E$2)))))</f>
        <v> </v>
      </c>
      <c r="J5029" s="26" t="str">
        <f>IF(OR(E5029="",E5029="!!!",F5029="NEW"),"",COUNTBLANK(OFFSET(A$1,,,SUMPRODUCT(MAX(ROW(E$2:E5029)*(E5029=E$2:E5029)))))-COUNTBLANK(OFFSET(A$1,,,SUMPRODUCT(MAX(ROW(E$1:E5028)*(E2=E$1:E5028))))))</f>
        <v> </v>
      </c>
      <c r="K5029" s="26" t="str">
        <f>IF(OR(E5029="",E5029="!!!",F5029="NEW"),"",INDEX(J$1:J5028,SUMPRODUCT(MAX(ROW(E$1:E5028)*(E5029=E$1:E5028)))))</f>
        <v> </v>
      </c>
      <c r="L5029" s="27"/>
    </row>
    <row r="5030" spans="1:12">
      <c r="A5030" s="20" t="s">
        <v>1070</v>
      </c>
      <c r="E5030" s="22">
        <f>IF(D5030="?OLD","!!!","")</f>
        <v/>
      </c>
      <c r="F5030" s="23" t="str">
        <f>IF(OR(E5030="",E5030="!!!"),"",IF(NOT(ISNA(VLOOKUP(E5030,E$1:E5029,1,FALSE()))),"OLD",IF(AND(E5030&lt;&gt;"",E5030&lt;&gt;"!!!"),"NEW","")))</f>
        <v> </v>
      </c>
      <c r="G5030" s="24" t="str">
        <f>IF(OR(E5030="",E5030="!!!"),"",IF(OR(J5030=0,AND(J5030=1,K5030=1),AND(J5030=1,I5030="SBJ"),AND(J5030=1,I5030=0)),"?IN_FOCUS",IF(J5030&lt;=2,"?ACTIVATED",IF(J5030&lt;&gt;"","?FAMILIAR",IF(F5030="NEW",IF(ISNA(VLOOKUP(E5030,#REF!,1,FALSE())),"?TYPE_IDENTIFIABLE","?REFERENTIAL"),"_")))))</f>
        <v> </v>
      </c>
      <c r="H5030" s="25" t="str">
        <f>IF(J5030&lt;&gt;1,"",IF(I5030="SBJ","CB","?"))</f>
        <v> </v>
      </c>
      <c r="I5030" s="26" t="str">
        <f>IF(OR(E5030="",E5030="!!!",F5030="NEW"),"",INDEX(B5029:B$2,-1+SUMPRODUCT(MAX(ROW(E5029:E$2)*(E5030=E5029:E$2)))))</f>
        <v> </v>
      </c>
      <c r="J5030" s="26" t="str">
        <f>IF(OR(E5030="",E5030="!!!",F5030="NEW"),"",COUNTBLANK(OFFSET(A$1,,,SUMPRODUCT(MAX(ROW(E$2:E5030)*(E5030=E$2:E5030)))))-COUNTBLANK(OFFSET(A$1,,,SUMPRODUCT(MAX(ROW(E$1:E5029)*(E2=E$1:E5029))))))</f>
        <v> </v>
      </c>
      <c r="K5030" s="26" t="str">
        <f>IF(OR(E5030="",E5030="!!!",F5030="NEW"),"",INDEX(J$1:J5029,SUMPRODUCT(MAX(ROW(E$1:E5029)*(E5030=E$1:E5029)))))</f>
        <v> </v>
      </c>
      <c r="L5030" s="27"/>
    </row>
    <row r="5031" spans="1:12">
      <c r="A5031" s="20" t="s">
        <v>1018</v>
      </c>
      <c r="E5031" s="22">
        <f>IF(D5031="?OLD","!!!","")</f>
        <v/>
      </c>
      <c r="F5031" s="23" t="str">
        <f>IF(OR(E5031="",E5031="!!!"),"",IF(NOT(ISNA(VLOOKUP(E5031,E$1:E5030,1,FALSE()))),"OLD",IF(AND(E5031&lt;&gt;"",E5031&lt;&gt;"!!!"),"NEW","")))</f>
        <v> </v>
      </c>
      <c r="G5031" s="24" t="str">
        <f>IF(OR(E5031="",E5031="!!!"),"",IF(OR(J5031=0,AND(J5031=1,K5031=1),AND(J5031=1,I5031="SBJ"),AND(J5031=1,I5031=0)),"?IN_FOCUS",IF(J5031&lt;=2,"?ACTIVATED",IF(J5031&lt;&gt;"","?FAMILIAR",IF(F5031="NEW",IF(ISNA(VLOOKUP(E5031,#REF!,1,FALSE())),"?TYPE_IDENTIFIABLE","?REFERENTIAL"),"_")))))</f>
        <v> </v>
      </c>
      <c r="H5031" s="25" t="str">
        <f>IF(J5031&lt;&gt;1,"",IF(I5031="SBJ","CB","?"))</f>
        <v> </v>
      </c>
      <c r="I5031" s="26" t="str">
        <f>IF(OR(E5031="",E5031="!!!",F5031="NEW"),"",INDEX(B5030:B$2,-1+SUMPRODUCT(MAX(ROW(E5030:E$2)*(E5031=E5030:E$2)))))</f>
        <v> </v>
      </c>
      <c r="J5031" s="26" t="str">
        <f>IF(OR(E5031="",E5031="!!!",F5031="NEW"),"",COUNTBLANK(OFFSET(A$1,,,SUMPRODUCT(MAX(ROW(E$2:E5031)*(E5031=E$2:E5031)))))-COUNTBLANK(OFFSET(A$1,,,SUMPRODUCT(MAX(ROW(E$1:E5030)*(E2=E$1:E5030))))))</f>
        <v> </v>
      </c>
      <c r="K5031" s="26" t="str">
        <f>IF(OR(E5031="",E5031="!!!",F5031="NEW"),"",INDEX(J$1:J5030,SUMPRODUCT(MAX(ROW(E$1:E5030)*(E5031=E$1:E5030)))))</f>
        <v> </v>
      </c>
      <c r="L5031" s="27"/>
    </row>
    <row r="5032" spans="1:12">
      <c r="A5032" s="20" t="s">
        <v>1056</v>
      </c>
      <c r="E5032" s="22">
        <f>IF(D5032="?OLD","!!!","")</f>
        <v/>
      </c>
      <c r="F5032" s="23" t="str">
        <f>IF(OR(E5032="",E5032="!!!"),"",IF(NOT(ISNA(VLOOKUP(E5032,E$1:E5031,1,FALSE()))),"OLD",IF(AND(E5032&lt;&gt;"",E5032&lt;&gt;"!!!"),"NEW","")))</f>
        <v> </v>
      </c>
      <c r="G5032" s="24" t="str">
        <f>IF(OR(E5032="",E5032="!!!"),"",IF(OR(J5032=0,AND(J5032=1,K5032=1),AND(J5032=1,I5032="SBJ"),AND(J5032=1,I5032=0)),"?IN_FOCUS",IF(J5032&lt;=2,"?ACTIVATED",IF(J5032&lt;&gt;"","?FAMILIAR",IF(F5032="NEW",IF(ISNA(VLOOKUP(E5032,#REF!,1,FALSE())),"?TYPE_IDENTIFIABLE","?REFERENTIAL"),"_")))))</f>
        <v> </v>
      </c>
      <c r="H5032" s="25" t="str">
        <f>IF(J5032&lt;&gt;1,"",IF(I5032="SBJ","CB","?"))</f>
        <v> </v>
      </c>
      <c r="I5032" s="26" t="str">
        <f>IF(OR(E5032="",E5032="!!!",F5032="NEW"),"",INDEX(B5031:B$2,-1+SUMPRODUCT(MAX(ROW(E5031:E$2)*(E5032=E5031:E$2)))))</f>
        <v> </v>
      </c>
      <c r="J5032" s="26" t="str">
        <f>IF(OR(E5032="",E5032="!!!",F5032="NEW"),"",COUNTBLANK(OFFSET(A$1,,,SUMPRODUCT(MAX(ROW(E$2:E5032)*(E5032=E$2:E5032)))))-COUNTBLANK(OFFSET(A$1,,,SUMPRODUCT(MAX(ROW(E$1:E5031)*(E2=E$1:E5031))))))</f>
        <v> </v>
      </c>
      <c r="K5032" s="26" t="str">
        <f>IF(OR(E5032="",E5032="!!!",F5032="NEW"),"",INDEX(J$1:J5031,SUMPRODUCT(MAX(ROW(E$1:E5031)*(E5032=E$1:E5031)))))</f>
        <v> </v>
      </c>
      <c r="L5032" s="27"/>
    </row>
    <row r="5033" spans="1:12">
      <c r="A5033" s="20" t="s">
        <v>2370</v>
      </c>
      <c r="B5033" s="21" t="s">
        <v>1033</v>
      </c>
      <c r="C5033" s="21" t="s">
        <v>1111</v>
      </c>
      <c r="E5033" s="22">
        <f>IF(D5033="?OLD","!!!","")</f>
        <v/>
      </c>
      <c r="F5033" s="23" t="str">
        <f>IF(OR(E5033="",E5033="!!!"),"",IF(NOT(ISNA(VLOOKUP(E5033,E$1:E5032,1,FALSE()))),"OLD",IF(AND(E5033&lt;&gt;"",E5033&lt;&gt;"!!!"),"NEW","")))</f>
        <v> </v>
      </c>
      <c r="G5033" s="24" t="str">
        <f>IF(OR(E5033="",E5033="!!!"),"",IF(OR(J5033=0,AND(J5033=1,K5033=1),AND(J5033=1,I5033="SBJ"),AND(J5033=1,I5033=0)),"?IN_FOCUS",IF(J5033&lt;=2,"?ACTIVATED",IF(J5033&lt;&gt;"","?FAMILIAR",IF(F5033="NEW",IF(ISNA(VLOOKUP(E5033,#REF!,1,FALSE())),"?TYPE_IDENTIFIABLE","?REFERENTIAL"),"_")))))</f>
        <v> </v>
      </c>
      <c r="H5033" s="25" t="str">
        <f>IF(J5033&lt;&gt;1,"",IF(I5033="SBJ","CB","?"))</f>
        <v> </v>
      </c>
      <c r="I5033" s="26" t="str">
        <f>IF(OR(E5033="",E5033="!!!",F5033="NEW"),"",INDEX(B5032:B$2,-1+SUMPRODUCT(MAX(ROW(E5032:E$2)*(E5033=E5032:E$2)))))</f>
        <v> </v>
      </c>
      <c r="J5033" s="26" t="str">
        <f>IF(OR(E5033="",E5033="!!!",F5033="NEW"),"",COUNTBLANK(OFFSET(A$1,,,SUMPRODUCT(MAX(ROW(E$2:E5033)*(E5033=E$2:E5033)))))-COUNTBLANK(OFFSET(A$1,,,SUMPRODUCT(MAX(ROW(E$1:E5032)*(E2=E$1:E5032))))))</f>
        <v> </v>
      </c>
      <c r="K5033" s="26" t="str">
        <f>IF(OR(E5033="",E5033="!!!",F5033="NEW"),"",INDEX(J$1:J5032,SUMPRODUCT(MAX(ROW(E$1:E5032)*(E5033=E$1:E5032)))))</f>
        <v> </v>
      </c>
      <c r="L5033" s="27"/>
    </row>
    <row r="5034" spans="1:12">
      <c r="A5034" s="20" t="s">
        <v>2371</v>
      </c>
      <c r="E5034" s="22">
        <f>IF(D5034="?OLD","!!!","")</f>
        <v/>
      </c>
      <c r="F5034" s="23" t="str">
        <f>IF(OR(E5034="",E5034="!!!"),"",IF(NOT(ISNA(VLOOKUP(E5034,E$1:E5033,1,FALSE()))),"OLD",IF(AND(E5034&lt;&gt;"",E5034&lt;&gt;"!!!"),"NEW","")))</f>
        <v> </v>
      </c>
      <c r="G5034" s="24" t="str">
        <f>IF(OR(E5034="",E5034="!!!"),"",IF(OR(J5034=0,AND(J5034=1,K5034=1),AND(J5034=1,I5034="SBJ"),AND(J5034=1,I5034=0)),"?IN_FOCUS",IF(J5034&lt;=2,"?ACTIVATED",IF(J5034&lt;&gt;"","?FAMILIAR",IF(F5034="NEW",IF(ISNA(VLOOKUP(E5034,#REF!,1,FALSE())),"?TYPE_IDENTIFIABLE","?REFERENTIAL"),"_")))))</f>
        <v> </v>
      </c>
      <c r="H5034" s="25" t="str">
        <f>IF(J5034&lt;&gt;1,"",IF(I5034="SBJ","CB","?"))</f>
        <v> </v>
      </c>
      <c r="I5034" s="26" t="str">
        <f>IF(OR(E5034="",E5034="!!!",F5034="NEW"),"",INDEX(B5033:B$2,-1+SUMPRODUCT(MAX(ROW(E5033:E$2)*(E5034=E5033:E$2)))))</f>
        <v> </v>
      </c>
      <c r="J5034" s="26" t="str">
        <f>IF(OR(E5034="",E5034="!!!",F5034="NEW"),"",COUNTBLANK(OFFSET(A$1,,,SUMPRODUCT(MAX(ROW(E$2:E5034)*(E5034=E$2:E5034)))))-COUNTBLANK(OFFSET(A$1,,,SUMPRODUCT(MAX(ROW(E$1:E5033)*(E2=E$1:E5033))))))</f>
        <v> </v>
      </c>
      <c r="K5034" s="26" t="str">
        <f>IF(OR(E5034="",E5034="!!!",F5034="NEW"),"",INDEX(J$1:J5033,SUMPRODUCT(MAX(ROW(E$1:E5033)*(E5034=E$1:E5033)))))</f>
        <v> </v>
      </c>
      <c r="L5034" s="27"/>
    </row>
    <row r="5035" spans="1:12">
      <c r="A5035" s="20" t="s">
        <v>2376</v>
      </c>
      <c r="E5035" s="22">
        <f>IF(D5035="?OLD","!!!","")</f>
        <v/>
      </c>
      <c r="F5035" s="23" t="str">
        <f>IF(OR(E5035="",E5035="!!!"),"",IF(NOT(ISNA(VLOOKUP(E5035,E$1:E5034,1,FALSE()))),"OLD",IF(AND(E5035&lt;&gt;"",E5035&lt;&gt;"!!!"),"NEW","")))</f>
        <v> </v>
      </c>
      <c r="G5035" s="24" t="str">
        <f>IF(OR(E5035="",E5035="!!!"),"",IF(OR(J5035=0,AND(J5035=1,K5035=1),AND(J5035=1,I5035="SBJ"),AND(J5035=1,I5035=0)),"?IN_FOCUS",IF(J5035&lt;=2,"?ACTIVATED",IF(J5035&lt;&gt;"","?FAMILIAR",IF(F5035="NEW",IF(ISNA(VLOOKUP(E5035,#REF!,1,FALSE())),"?TYPE_IDENTIFIABLE","?REFERENTIAL"),"_")))))</f>
        <v> </v>
      </c>
      <c r="H5035" s="25" t="str">
        <f>IF(J5035&lt;&gt;1,"",IF(I5035="SBJ","CB","?"))</f>
        <v> </v>
      </c>
      <c r="I5035" s="26" t="str">
        <f>IF(OR(E5035="",E5035="!!!",F5035="NEW"),"",INDEX(B5034:B$2,-1+SUMPRODUCT(MAX(ROW(E5034:E$2)*(E5035=E5034:E$2)))))</f>
        <v> </v>
      </c>
      <c r="J5035" s="26" t="str">
        <f>IF(OR(E5035="",E5035="!!!",F5035="NEW"),"",COUNTBLANK(OFFSET(A$1,,,SUMPRODUCT(MAX(ROW(E$2:E5035)*(E5035=E$2:E5035)))))-COUNTBLANK(OFFSET(A$1,,,SUMPRODUCT(MAX(ROW(E$1:E5034)*(E2=E$1:E5034))))))</f>
        <v> </v>
      </c>
      <c r="K5035" s="26" t="str">
        <f>IF(OR(E5035="",E5035="!!!",F5035="NEW"),"",INDEX(J$1:J5034,SUMPRODUCT(MAX(ROW(E$1:E5034)*(E5035=E$1:E5034)))))</f>
        <v> </v>
      </c>
      <c r="L5035" s="27"/>
    </row>
    <row r="5036" spans="1:12">
      <c r="A5036" s="20" t="s">
        <v>1077</v>
      </c>
      <c r="E5036" s="22">
        <f>IF(D5036="?OLD","!!!","")</f>
        <v/>
      </c>
      <c r="F5036" s="23" t="str">
        <f>IF(OR(E5036="",E5036="!!!"),"",IF(NOT(ISNA(VLOOKUP(E5036,E$1:E5035,1,FALSE()))),"OLD",IF(AND(E5036&lt;&gt;"",E5036&lt;&gt;"!!!"),"NEW","")))</f>
        <v> </v>
      </c>
      <c r="G5036" s="24" t="str">
        <f>IF(OR(E5036="",E5036="!!!"),"",IF(OR(J5036=0,AND(J5036=1,K5036=1),AND(J5036=1,I5036="SBJ"),AND(J5036=1,I5036=0)),"?IN_FOCUS",IF(J5036&lt;=2,"?ACTIVATED",IF(J5036&lt;&gt;"","?FAMILIAR",IF(F5036="NEW",IF(ISNA(VLOOKUP(E5036,#REF!,1,FALSE())),"?TYPE_IDENTIFIABLE","?REFERENTIAL"),"_")))))</f>
        <v> </v>
      </c>
      <c r="H5036" s="25" t="str">
        <f>IF(J5036&lt;&gt;1,"",IF(I5036="SBJ","CB","?"))</f>
        <v> </v>
      </c>
      <c r="I5036" s="26" t="str">
        <f>IF(OR(E5036="",E5036="!!!",F5036="NEW"),"",INDEX(B5035:B$2,-1+SUMPRODUCT(MAX(ROW(E5035:E$2)*(E5036=E5035:E$2)))))</f>
        <v> </v>
      </c>
      <c r="J5036" s="26" t="str">
        <f>IF(OR(E5036="",E5036="!!!",F5036="NEW"),"",COUNTBLANK(OFFSET(A$1,,,SUMPRODUCT(MAX(ROW(E$2:E5036)*(E5036=E$2:E5036)))))-COUNTBLANK(OFFSET(A$1,,,SUMPRODUCT(MAX(ROW(E$1:E5035)*(E2=E$1:E5035))))))</f>
        <v> </v>
      </c>
      <c r="K5036" s="26" t="str">
        <f>IF(OR(E5036="",E5036="!!!",F5036="NEW"),"",INDEX(J$1:J5035,SUMPRODUCT(MAX(ROW(E$1:E5035)*(E5036=E$1:E5035)))))</f>
        <v> </v>
      </c>
      <c r="L5036" s="27"/>
    </row>
    <row r="5037" spans="1:12">
      <c r="A5037" s="20"/>
    </row>
    <row r="5038" spans="1:12">
      <c r="A5038" s="20" t="s">
        <v>2398</v>
      </c>
    </row>
    <row r="5039" spans="1:12">
      <c r="A5039" s="20" t="s">
        <v>1861</v>
      </c>
      <c r="E5039" s="22">
        <f>IF(D5039="?OLD","!!!","")</f>
        <v/>
      </c>
      <c r="F5039" s="23" t="str">
        <f>IF(OR(E5039="",E5039="!!!"),"",IF(NOT(ISNA(VLOOKUP(E5039,E$1:E5038,1,FALSE()))),"OLD",IF(AND(E5039&lt;&gt;"",E5039&lt;&gt;"!!!"),"NEW","")))</f>
        <v> </v>
      </c>
      <c r="G5039" s="24" t="str">
        <f>IF(OR(E5039="",E5039="!!!"),"",IF(OR(J5039=0,AND(J5039=1,K5039=1),AND(J5039=1,I5039="SBJ"),AND(J5039=1,I5039=0)),"?IN_FOCUS",IF(J5039&lt;=2,"?ACTIVATED",IF(J5039&lt;&gt;"","?FAMILIAR",IF(F5039="NEW",IF(ISNA(VLOOKUP(E5039,#REF!,1,FALSE())),"?TYPE_IDENTIFIABLE","?REFERENTIAL"),"_")))))</f>
        <v> </v>
      </c>
      <c r="H5039" s="25" t="str">
        <f>IF(J5039&lt;&gt;1,"",IF(I5039="SBJ","CB","?"))</f>
        <v> </v>
      </c>
      <c r="I5039" s="26" t="str">
        <f>IF(OR(E5039="",E5039="!!!",F5039="NEW"),"",INDEX(B5038:B$2,-1+SUMPRODUCT(MAX(ROW(E5038:E$2)*(E5039=E5038:E$2)))))</f>
        <v> </v>
      </c>
      <c r="J5039" s="26" t="str">
        <f>IF(OR(E5039="",E5039="!!!",F5039="NEW"),"",COUNTBLANK(OFFSET(A$1,,,SUMPRODUCT(MAX(ROW(E$2:E5039)*(E5039=E$2:E5039)))))-COUNTBLANK(OFFSET(A$1,,,SUMPRODUCT(MAX(ROW(E$1:E5038)*(E2=E$1:E5038))))))</f>
        <v> </v>
      </c>
      <c r="K5039" s="26" t="str">
        <f>IF(OR(E5039="",E5039="!!!",F5039="NEW"),"",INDEX(J$1:J5038,SUMPRODUCT(MAX(ROW(E$1:E5038)*(E5039=E$1:E5038)))))</f>
        <v> </v>
      </c>
      <c r="L5039" s="27"/>
    </row>
    <row r="5040" spans="1:12">
      <c r="A5040" s="20" t="s">
        <v>1065</v>
      </c>
      <c r="E5040" s="22">
        <f>IF(D5040="?OLD","!!!","")</f>
        <v/>
      </c>
      <c r="F5040" s="23" t="str">
        <f>IF(OR(E5040="",E5040="!!!"),"",IF(NOT(ISNA(VLOOKUP(E5040,E$1:E5039,1,FALSE()))),"OLD",IF(AND(E5040&lt;&gt;"",E5040&lt;&gt;"!!!"),"NEW","")))</f>
        <v> </v>
      </c>
      <c r="G5040" s="24" t="str">
        <f>IF(OR(E5040="",E5040="!!!"),"",IF(OR(J5040=0,AND(J5040=1,K5040=1),AND(J5040=1,I5040="SBJ"),AND(J5040=1,I5040=0)),"?IN_FOCUS",IF(J5040&lt;=2,"?ACTIVATED",IF(J5040&lt;&gt;"","?FAMILIAR",IF(F5040="NEW",IF(ISNA(VLOOKUP(E5040,#REF!,1,FALSE())),"?TYPE_IDENTIFIABLE","?REFERENTIAL"),"_")))))</f>
        <v> </v>
      </c>
      <c r="H5040" s="25" t="str">
        <f>IF(J5040&lt;&gt;1,"",IF(I5040="SBJ","CB","?"))</f>
        <v> </v>
      </c>
      <c r="I5040" s="26" t="str">
        <f>IF(OR(E5040="",E5040="!!!",F5040="NEW"),"",INDEX(B5039:B$2,-1+SUMPRODUCT(MAX(ROW(E5039:E$2)*(E5040=E5039:E$2)))))</f>
        <v> </v>
      </c>
      <c r="J5040" s="26" t="str">
        <f>IF(OR(E5040="",E5040="!!!",F5040="NEW"),"",COUNTBLANK(OFFSET(A$1,,,SUMPRODUCT(MAX(ROW(E$2:E5040)*(E5040=E$2:E5040)))))-COUNTBLANK(OFFSET(A$1,,,SUMPRODUCT(MAX(ROW(E$1:E5039)*(E2=E$1:E5039))))))</f>
        <v> </v>
      </c>
      <c r="K5040" s="26" t="str">
        <f>IF(OR(E5040="",E5040="!!!",F5040="NEW"),"",INDEX(J$1:J5039,SUMPRODUCT(MAX(ROW(E$1:E5039)*(E5040=E$1:E5039)))))</f>
        <v> </v>
      </c>
      <c r="L5040" s="27"/>
    </row>
    <row r="5041" spans="1:12">
      <c r="A5041" s="20" t="s">
        <v>1075</v>
      </c>
      <c r="E5041" s="22">
        <f>IF(D5041="?OLD","!!!","")</f>
        <v/>
      </c>
      <c r="F5041" s="23" t="str">
        <f>IF(OR(E5041="",E5041="!!!"),"",IF(NOT(ISNA(VLOOKUP(E5041,E$1:E5040,1,FALSE()))),"OLD",IF(AND(E5041&lt;&gt;"",E5041&lt;&gt;"!!!"),"NEW","")))</f>
        <v> </v>
      </c>
      <c r="G5041" s="24" t="str">
        <f>IF(OR(E5041="",E5041="!!!"),"",IF(OR(J5041=0,AND(J5041=1,K5041=1),AND(J5041=1,I5041="SBJ"),AND(J5041=1,I5041=0)),"?IN_FOCUS",IF(J5041&lt;=2,"?ACTIVATED",IF(J5041&lt;&gt;"","?FAMILIAR",IF(F5041="NEW",IF(ISNA(VLOOKUP(E5041,#REF!,1,FALSE())),"?TYPE_IDENTIFIABLE","?REFERENTIAL"),"_")))))</f>
        <v> </v>
      </c>
      <c r="H5041" s="25" t="str">
        <f>IF(J5041&lt;&gt;1,"",IF(I5041="SBJ","CB","?"))</f>
        <v> </v>
      </c>
      <c r="I5041" s="26" t="str">
        <f>IF(OR(E5041="",E5041="!!!",F5041="NEW"),"",INDEX(B5040:B$2,-1+SUMPRODUCT(MAX(ROW(E5040:E$2)*(E5041=E5040:E$2)))))</f>
        <v> </v>
      </c>
      <c r="J5041" s="26" t="str">
        <f>IF(OR(E5041="",E5041="!!!",F5041="NEW"),"",COUNTBLANK(OFFSET(A$1,,,SUMPRODUCT(MAX(ROW(E$2:E5041)*(E5041=E$2:E5041)))))-COUNTBLANK(OFFSET(A$1,,,SUMPRODUCT(MAX(ROW(E$1:E5040)*(E2=E$1:E5040))))))</f>
        <v> </v>
      </c>
      <c r="K5041" s="26" t="str">
        <f>IF(OR(E5041="",E5041="!!!",F5041="NEW"),"",INDEX(J$1:J5040,SUMPRODUCT(MAX(ROW(E$1:E5040)*(E5041=E$1:E5040)))))</f>
        <v> </v>
      </c>
      <c r="L5041" s="27"/>
    </row>
    <row r="5042" spans="1:12">
      <c r="A5042" s="20" t="s">
        <v>2399</v>
      </c>
      <c r="E5042" s="22">
        <f>IF(D5042="?OLD","!!!","")</f>
        <v/>
      </c>
      <c r="F5042" s="23" t="str">
        <f>IF(OR(E5042="",E5042="!!!"),"",IF(NOT(ISNA(VLOOKUP(E5042,E$1:E5041,1,FALSE()))),"OLD",IF(AND(E5042&lt;&gt;"",E5042&lt;&gt;"!!!"),"NEW","")))</f>
        <v> </v>
      </c>
      <c r="G5042" s="24" t="str">
        <f>IF(OR(E5042="",E5042="!!!"),"",IF(OR(J5042=0,AND(J5042=1,K5042=1),AND(J5042=1,I5042="SBJ"),AND(J5042=1,I5042=0)),"?IN_FOCUS",IF(J5042&lt;=2,"?ACTIVATED",IF(J5042&lt;&gt;"","?FAMILIAR",IF(F5042="NEW",IF(ISNA(VLOOKUP(E5042,#REF!,1,FALSE())),"?TYPE_IDENTIFIABLE","?REFERENTIAL"),"_")))))</f>
        <v> </v>
      </c>
      <c r="H5042" s="25" t="str">
        <f>IF(J5042&lt;&gt;1,"",IF(I5042="SBJ","CB","?"))</f>
        <v> </v>
      </c>
      <c r="I5042" s="26" t="str">
        <f>IF(OR(E5042="",E5042="!!!",F5042="NEW"),"",INDEX(B5041:B$2,-1+SUMPRODUCT(MAX(ROW(E5041:E$2)*(E5042=E5041:E$2)))))</f>
        <v> </v>
      </c>
      <c r="J5042" s="26" t="str">
        <f>IF(OR(E5042="",E5042="!!!",F5042="NEW"),"",COUNTBLANK(OFFSET(A$1,,,SUMPRODUCT(MAX(ROW(E$2:E5042)*(E5042=E$2:E5042)))))-COUNTBLANK(OFFSET(A$1,,,SUMPRODUCT(MAX(ROW(E$1:E5041)*(E2=E$1:E5041))))))</f>
        <v> </v>
      </c>
      <c r="K5042" s="26" t="str">
        <f>IF(OR(E5042="",E5042="!!!",F5042="NEW"),"",INDEX(J$1:J5041,SUMPRODUCT(MAX(ROW(E$1:E5041)*(E5042=E$1:E5041)))))</f>
        <v> </v>
      </c>
      <c r="L5042" s="27"/>
    </row>
    <row r="5043" spans="1:12">
      <c r="A5043" s="20" t="s">
        <v>93</v>
      </c>
      <c r="E5043" s="22">
        <f>IF(D5043="?OLD","!!!","")</f>
        <v/>
      </c>
      <c r="F5043" s="23" t="str">
        <f>IF(OR(E5043="",E5043="!!!"),"",IF(NOT(ISNA(VLOOKUP(E5043,E$1:E5042,1,FALSE()))),"OLD",IF(AND(E5043&lt;&gt;"",E5043&lt;&gt;"!!!"),"NEW","")))</f>
        <v> </v>
      </c>
      <c r="G5043" s="24" t="str">
        <f>IF(OR(E5043="",E5043="!!!"),"",IF(OR(J5043=0,AND(J5043=1,K5043=1),AND(J5043=1,I5043="SBJ"),AND(J5043=1,I5043=0)),"?IN_FOCUS",IF(J5043&lt;=2,"?ACTIVATED",IF(J5043&lt;&gt;"","?FAMILIAR",IF(F5043="NEW",IF(ISNA(VLOOKUP(E5043,#REF!,1,FALSE())),"?TYPE_IDENTIFIABLE","?REFERENTIAL"),"_")))))</f>
        <v> </v>
      </c>
      <c r="H5043" s="25" t="str">
        <f>IF(J5043&lt;&gt;1,"",IF(I5043="SBJ","CB","?"))</f>
        <v> </v>
      </c>
      <c r="I5043" s="26" t="str">
        <f>IF(OR(E5043="",E5043="!!!",F5043="NEW"),"",INDEX(B5042:B$2,-1+SUMPRODUCT(MAX(ROW(E5042:E$2)*(E5043=E5042:E$2)))))</f>
        <v> </v>
      </c>
      <c r="J5043" s="26" t="str">
        <f>IF(OR(E5043="",E5043="!!!",F5043="NEW"),"",COUNTBLANK(OFFSET(A$1,,,SUMPRODUCT(MAX(ROW(E$2:E5043)*(E5043=E$2:E5043)))))-COUNTBLANK(OFFSET(A$1,,,SUMPRODUCT(MAX(ROW(E$1:E5042)*(E2=E$1:E5042))))))</f>
        <v> </v>
      </c>
      <c r="K5043" s="26" t="str">
        <f>IF(OR(E5043="",E5043="!!!",F5043="NEW"),"",INDEX(J$1:J5042,SUMPRODUCT(MAX(ROW(E$1:E5042)*(E5043=E$1:E5042)))))</f>
        <v> </v>
      </c>
      <c r="L5043" s="27"/>
    </row>
    <row r="5044" spans="1:12">
      <c r="A5044" s="20" t="s">
        <v>1065</v>
      </c>
      <c r="E5044" s="22">
        <f>IF(D5044="?OLD","!!!","")</f>
        <v/>
      </c>
      <c r="F5044" s="23" t="str">
        <f>IF(OR(E5044="",E5044="!!!"),"",IF(NOT(ISNA(VLOOKUP(E5044,E$1:E5043,1,FALSE()))),"OLD",IF(AND(E5044&lt;&gt;"",E5044&lt;&gt;"!!!"),"NEW","")))</f>
        <v> </v>
      </c>
      <c r="G5044" s="24" t="str">
        <f>IF(OR(E5044="",E5044="!!!"),"",IF(OR(J5044=0,AND(J5044=1,K5044=1),AND(J5044=1,I5044="SBJ"),AND(J5044=1,I5044=0)),"?IN_FOCUS",IF(J5044&lt;=2,"?ACTIVATED",IF(J5044&lt;&gt;"","?FAMILIAR",IF(F5044="NEW",IF(ISNA(VLOOKUP(E5044,#REF!,1,FALSE())),"?TYPE_IDENTIFIABLE","?REFERENTIAL"),"_")))))</f>
        <v> </v>
      </c>
      <c r="H5044" s="25" t="str">
        <f>IF(J5044&lt;&gt;1,"",IF(I5044="SBJ","CB","?"))</f>
        <v> </v>
      </c>
      <c r="I5044" s="26" t="str">
        <f>IF(OR(E5044="",E5044="!!!",F5044="NEW"),"",INDEX(B5043:B$2,-1+SUMPRODUCT(MAX(ROW(E5043:E$2)*(E5044=E5043:E$2)))))</f>
        <v> </v>
      </c>
      <c r="J5044" s="26" t="str">
        <f>IF(OR(E5044="",E5044="!!!",F5044="NEW"),"",COUNTBLANK(OFFSET(A$1,,,SUMPRODUCT(MAX(ROW(E$2:E5044)*(E5044=E$2:E5044)))))-COUNTBLANK(OFFSET(A$1,,,SUMPRODUCT(MAX(ROW(E$1:E5043)*(E2=E$1:E5043))))))</f>
        <v> </v>
      </c>
      <c r="K5044" s="26" t="str">
        <f>IF(OR(E5044="",E5044="!!!",F5044="NEW"),"",INDEX(J$1:J5043,SUMPRODUCT(MAX(ROW(E$1:E5043)*(E5044=E$1:E5043)))))</f>
        <v> </v>
      </c>
      <c r="L5044" s="27"/>
    </row>
    <row r="5045" spans="1:12">
      <c r="A5045" s="20" t="s">
        <v>1203</v>
      </c>
      <c r="E5045" s="22">
        <f>IF(D5045="?OLD","!!!","")</f>
        <v/>
      </c>
      <c r="F5045" s="23" t="str">
        <f>IF(OR(E5045="",E5045="!!!"),"",IF(NOT(ISNA(VLOOKUP(E5045,E$1:E5044,1,FALSE()))),"OLD",IF(AND(E5045&lt;&gt;"",E5045&lt;&gt;"!!!"),"NEW","")))</f>
        <v> </v>
      </c>
      <c r="G5045" s="24" t="str">
        <f>IF(OR(E5045="",E5045="!!!"),"",IF(OR(J5045=0,AND(J5045=1,K5045=1),AND(J5045=1,I5045="SBJ"),AND(J5045=1,I5045=0)),"?IN_FOCUS",IF(J5045&lt;=2,"?ACTIVATED",IF(J5045&lt;&gt;"","?FAMILIAR",IF(F5045="NEW",IF(ISNA(VLOOKUP(E5045,#REF!,1,FALSE())),"?TYPE_IDENTIFIABLE","?REFERENTIAL"),"_")))))</f>
        <v> </v>
      </c>
      <c r="H5045" s="25" t="str">
        <f>IF(J5045&lt;&gt;1,"",IF(I5045="SBJ","CB","?"))</f>
        <v> </v>
      </c>
      <c r="I5045" s="26" t="str">
        <f>IF(OR(E5045="",E5045="!!!",F5045="NEW"),"",INDEX(B5044:B$2,-1+SUMPRODUCT(MAX(ROW(E5044:E$2)*(E5045=E5044:E$2)))))</f>
        <v> </v>
      </c>
      <c r="J5045" s="26" t="str">
        <f>IF(OR(E5045="",E5045="!!!",F5045="NEW"),"",COUNTBLANK(OFFSET(A$1,,,SUMPRODUCT(MAX(ROW(E$2:E5045)*(E5045=E$2:E5045)))))-COUNTBLANK(OFFSET(A$1,,,SUMPRODUCT(MAX(ROW(E$1:E5044)*(E2=E$1:E5044))))))</f>
        <v> </v>
      </c>
      <c r="K5045" s="26" t="str">
        <f>IF(OR(E5045="",E5045="!!!",F5045="NEW"),"",INDEX(J$1:J5044,SUMPRODUCT(MAX(ROW(E$1:E5044)*(E5045=E$1:E5044)))))</f>
        <v> </v>
      </c>
      <c r="L5045" s="27"/>
    </row>
    <row r="5046" spans="1:12">
      <c r="A5046" s="20" t="s">
        <v>1102</v>
      </c>
      <c r="E5046" s="22">
        <f>IF(D5046="?OLD","!!!","")</f>
        <v/>
      </c>
      <c r="F5046" s="23" t="str">
        <f>IF(OR(E5046="",E5046="!!!"),"",IF(NOT(ISNA(VLOOKUP(E5046,E$1:E5045,1,FALSE()))),"OLD",IF(AND(E5046&lt;&gt;"",E5046&lt;&gt;"!!!"),"NEW","")))</f>
        <v> </v>
      </c>
      <c r="G5046" s="24" t="str">
        <f>IF(OR(E5046="",E5046="!!!"),"",IF(OR(J5046=0,AND(J5046=1,K5046=1),AND(J5046=1,I5046="SBJ"),AND(J5046=1,I5046=0)),"?IN_FOCUS",IF(J5046&lt;=2,"?ACTIVATED",IF(J5046&lt;&gt;"","?FAMILIAR",IF(F5046="NEW",IF(ISNA(VLOOKUP(E5046,#REF!,1,FALSE())),"?TYPE_IDENTIFIABLE","?REFERENTIAL"),"_")))))</f>
        <v> </v>
      </c>
      <c r="H5046" s="25" t="str">
        <f>IF(J5046&lt;&gt;1,"",IF(I5046="SBJ","CB","?"))</f>
        <v> </v>
      </c>
      <c r="I5046" s="26" t="str">
        <f>IF(OR(E5046="",E5046="!!!",F5046="NEW"),"",INDEX(B5045:B$2,-1+SUMPRODUCT(MAX(ROW(E5045:E$2)*(E5046=E5045:E$2)))))</f>
        <v> </v>
      </c>
      <c r="J5046" s="26" t="str">
        <f>IF(OR(E5046="",E5046="!!!",F5046="NEW"),"",COUNTBLANK(OFFSET(A$1,,,SUMPRODUCT(MAX(ROW(E$2:E5046)*(E5046=E$2:E5046)))))-COUNTBLANK(OFFSET(A$1,,,SUMPRODUCT(MAX(ROW(E$1:E5045)*(E2=E$1:E5045))))))</f>
        <v> </v>
      </c>
      <c r="K5046" s="26" t="str">
        <f>IF(OR(E5046="",E5046="!!!",F5046="NEW"),"",INDEX(J$1:J5045,SUMPRODUCT(MAX(ROW(E$1:E5045)*(E5046=E$1:E5045)))))</f>
        <v> </v>
      </c>
      <c r="L5046" s="27"/>
    </row>
    <row r="5047" spans="1:12">
      <c r="A5047" s="20" t="s">
        <v>1172</v>
      </c>
      <c r="B5047" s="21" t="s">
        <v>1064</v>
      </c>
      <c r="C5047" s="21" t="s">
        <v>1103</v>
      </c>
      <c r="E5047" s="22">
        <f>IF(D5047="?OLD","!!!","")</f>
        <v/>
      </c>
      <c r="F5047" s="23" t="str">
        <f>IF(OR(E5047="",E5047="!!!"),"",IF(NOT(ISNA(VLOOKUP(E5047,E$1:E5046,1,FALSE()))),"OLD",IF(AND(E5047&lt;&gt;"",E5047&lt;&gt;"!!!"),"NEW","")))</f>
        <v> </v>
      </c>
      <c r="G5047" s="24" t="str">
        <f>IF(OR(E5047="",E5047="!!!"),"",IF(OR(J5047=0,AND(J5047=1,K5047=1),AND(J5047=1,I5047="SBJ"),AND(J5047=1,I5047=0)),"?IN_FOCUS",IF(J5047&lt;=2,"?ACTIVATED",IF(J5047&lt;&gt;"","?FAMILIAR",IF(F5047="NEW",IF(ISNA(VLOOKUP(E5047,#REF!,1,FALSE())),"?TYPE_IDENTIFIABLE","?REFERENTIAL"),"_")))))</f>
        <v> </v>
      </c>
      <c r="H5047" s="25" t="str">
        <f>IF(J5047&lt;&gt;1,"",IF(I5047="SBJ","CB","?"))</f>
        <v> </v>
      </c>
      <c r="I5047" s="26" t="str">
        <f>IF(OR(E5047="",E5047="!!!",F5047="NEW"),"",INDEX(B5046:B$2,-1+SUMPRODUCT(MAX(ROW(E5046:E$2)*(E5047=E5046:E$2)))))</f>
        <v> </v>
      </c>
      <c r="J5047" s="26" t="str">
        <f>IF(OR(E5047="",E5047="!!!",F5047="NEW"),"",COUNTBLANK(OFFSET(A$1,,,SUMPRODUCT(MAX(ROW(E$2:E5047)*(E5047=E$2:E5047)))))-COUNTBLANK(OFFSET(A$1,,,SUMPRODUCT(MAX(ROW(E$1:E5046)*(E2=E$1:E5046))))))</f>
        <v> </v>
      </c>
      <c r="K5047" s="26" t="str">
        <f>IF(OR(E5047="",E5047="!!!",F5047="NEW"),"",INDEX(J$1:J5046,SUMPRODUCT(MAX(ROW(E$1:E5046)*(E5047=E$1:E5046)))))</f>
        <v> </v>
      </c>
      <c r="L5047" s="27"/>
    </row>
    <row r="5048" spans="1:12">
      <c r="A5048" s="20" t="s">
        <v>1065</v>
      </c>
      <c r="B5048" s="21" t="s">
        <v>1067</v>
      </c>
      <c r="E5048" s="22">
        <f>IF(D5048="?OLD","!!!","")</f>
        <v/>
      </c>
      <c r="F5048" s="23" t="str">
        <f>IF(OR(E5048="",E5048="!!!"),"",IF(NOT(ISNA(VLOOKUP(E5048,E$1:E5047,1,FALSE()))),"OLD",IF(AND(E5048&lt;&gt;"",E5048&lt;&gt;"!!!"),"NEW","")))</f>
        <v> </v>
      </c>
      <c r="G5048" s="24" t="str">
        <f>IF(OR(E5048="",E5048="!!!"),"",IF(OR(J5048=0,AND(J5048=1,K5048=1),AND(J5048=1,I5048="SBJ"),AND(J5048=1,I5048=0)),"?IN_FOCUS",IF(J5048&lt;=2,"?ACTIVATED",IF(J5048&lt;&gt;"","?FAMILIAR",IF(F5048="NEW",IF(ISNA(VLOOKUP(E5048,#REF!,1,FALSE())),"?TYPE_IDENTIFIABLE","?REFERENTIAL"),"_")))))</f>
        <v> </v>
      </c>
      <c r="H5048" s="25" t="str">
        <f>IF(J5048&lt;&gt;1,"",IF(I5048="SBJ","CB","?"))</f>
        <v> </v>
      </c>
      <c r="I5048" s="26" t="str">
        <f>IF(OR(E5048="",E5048="!!!",F5048="NEW"),"",INDEX(B5047:B$2,-1+SUMPRODUCT(MAX(ROW(E5047:E$2)*(E5048=E5047:E$2)))))</f>
        <v> </v>
      </c>
      <c r="J5048" s="26" t="str">
        <f>IF(OR(E5048="",E5048="!!!",F5048="NEW"),"",COUNTBLANK(OFFSET(A$1,,,SUMPRODUCT(MAX(ROW(E$2:E5048)*(E5048=E$2:E5048)))))-COUNTBLANK(OFFSET(A$1,,,SUMPRODUCT(MAX(ROW(E$1:E5047)*(E2=E$1:E5047))))))</f>
        <v> </v>
      </c>
      <c r="K5048" s="26" t="str">
        <f>IF(OR(E5048="",E5048="!!!",F5048="NEW"),"",INDEX(J$1:J5047,SUMPRODUCT(MAX(ROW(E$1:E5047)*(E5048=E$1:E5047)))))</f>
        <v> </v>
      </c>
      <c r="L5048" s="27"/>
    </row>
    <row r="5049" spans="1:12">
      <c r="A5049" s="20" t="s">
        <v>1142</v>
      </c>
      <c r="E5049" s="22">
        <f>IF(D5049="?OLD","!!!","")</f>
        <v/>
      </c>
      <c r="F5049" s="23" t="str">
        <f>IF(OR(E5049="",E5049="!!!"),"",IF(NOT(ISNA(VLOOKUP(E5049,E$1:E5048,1,FALSE()))),"OLD",IF(AND(E5049&lt;&gt;"",E5049&lt;&gt;"!!!"),"NEW","")))</f>
        <v> </v>
      </c>
      <c r="G5049" s="24" t="str">
        <f>IF(OR(E5049="",E5049="!!!"),"",IF(OR(J5049=0,AND(J5049=1,K5049=1),AND(J5049=1,I5049="SBJ"),AND(J5049=1,I5049=0)),"?IN_FOCUS",IF(J5049&lt;=2,"?ACTIVATED",IF(J5049&lt;&gt;"","?FAMILIAR",IF(F5049="NEW",IF(ISNA(VLOOKUP(E5049,#REF!,1,FALSE())),"?TYPE_IDENTIFIABLE","?REFERENTIAL"),"_")))))</f>
        <v> </v>
      </c>
      <c r="H5049" s="25" t="str">
        <f>IF(J5049&lt;&gt;1,"",IF(I5049="SBJ","CB","?"))</f>
        <v> </v>
      </c>
      <c r="I5049" s="26" t="str">
        <f>IF(OR(E5049="",E5049="!!!",F5049="NEW"),"",INDEX(B5048:B$2,-1+SUMPRODUCT(MAX(ROW(E5048:E$2)*(E5049=E5048:E$2)))))</f>
        <v> </v>
      </c>
      <c r="J5049" s="26" t="str">
        <f>IF(OR(E5049="",E5049="!!!",F5049="NEW"),"",COUNTBLANK(OFFSET(A$1,,,SUMPRODUCT(MAX(ROW(E$2:E5049)*(E5049=E$2:E5049)))))-COUNTBLANK(OFFSET(A$1,,,SUMPRODUCT(MAX(ROW(E$1:E5048)*(E2=E$1:E5048))))))</f>
        <v> </v>
      </c>
      <c r="K5049" s="26" t="str">
        <f>IF(OR(E5049="",E5049="!!!",F5049="NEW"),"",INDEX(J$1:J5048,SUMPRODUCT(MAX(ROW(E$1:E5048)*(E5049=E$1:E5048)))))</f>
        <v> </v>
      </c>
      <c r="L5049" s="27"/>
    </row>
    <row r="5050" spans="1:12">
      <c r="A5050" s="20" t="s">
        <v>2400</v>
      </c>
      <c r="E5050" s="22">
        <f>IF(D5050="?OLD","!!!","")</f>
        <v/>
      </c>
      <c r="F5050" s="23" t="str">
        <f>IF(OR(E5050="",E5050="!!!"),"",IF(NOT(ISNA(VLOOKUP(E5050,E$1:E5049,1,FALSE()))),"OLD",IF(AND(E5050&lt;&gt;"",E5050&lt;&gt;"!!!"),"NEW","")))</f>
        <v> </v>
      </c>
      <c r="G5050" s="24" t="str">
        <f>IF(OR(E5050="",E5050="!!!"),"",IF(OR(J5050=0,AND(J5050=1,K5050=1),AND(J5050=1,I5050="SBJ"),AND(J5050=1,I5050=0)),"?IN_FOCUS",IF(J5050&lt;=2,"?ACTIVATED",IF(J5050&lt;&gt;"","?FAMILIAR",IF(F5050="NEW",IF(ISNA(VLOOKUP(E5050,#REF!,1,FALSE())),"?TYPE_IDENTIFIABLE","?REFERENTIAL"),"_")))))</f>
        <v> </v>
      </c>
      <c r="H5050" s="25" t="str">
        <f>IF(J5050&lt;&gt;1,"",IF(I5050="SBJ","CB","?"))</f>
        <v> </v>
      </c>
      <c r="I5050" s="26" t="str">
        <f>IF(OR(E5050="",E5050="!!!",F5050="NEW"),"",INDEX(B5049:B$2,-1+SUMPRODUCT(MAX(ROW(E5049:E$2)*(E5050=E5049:E$2)))))</f>
        <v> </v>
      </c>
      <c r="J5050" s="26" t="str">
        <f>IF(OR(E5050="",E5050="!!!",F5050="NEW"),"",COUNTBLANK(OFFSET(A$1,,,SUMPRODUCT(MAX(ROW(E$2:E5050)*(E5050=E$2:E5050)))))-COUNTBLANK(OFFSET(A$1,,,SUMPRODUCT(MAX(ROW(E$1:E5049)*(E2=E$1:E5049))))))</f>
        <v> </v>
      </c>
      <c r="K5050" s="26" t="str">
        <f>IF(OR(E5050="",E5050="!!!",F5050="NEW"),"",INDEX(J$1:J5049,SUMPRODUCT(MAX(ROW(E$1:E5049)*(E5050=E$1:E5049)))))</f>
        <v> </v>
      </c>
      <c r="L5050" s="27"/>
    </row>
    <row r="5051" spans="1:12">
      <c r="A5051" s="20" t="s">
        <v>1020</v>
      </c>
      <c r="E5051" s="22">
        <f>IF(D5051="?OLD","!!!","")</f>
        <v/>
      </c>
      <c r="F5051" s="23" t="str">
        <f>IF(OR(E5051="",E5051="!!!"),"",IF(NOT(ISNA(VLOOKUP(E5051,E$1:E5050,1,FALSE()))),"OLD",IF(AND(E5051&lt;&gt;"",E5051&lt;&gt;"!!!"),"NEW","")))</f>
        <v> </v>
      </c>
      <c r="G5051" s="24" t="str">
        <f>IF(OR(E5051="",E5051="!!!"),"",IF(OR(J5051=0,AND(J5051=1,K5051=1),AND(J5051=1,I5051="SBJ"),AND(J5051=1,I5051=0)),"?IN_FOCUS",IF(J5051&lt;=2,"?ACTIVATED",IF(J5051&lt;&gt;"","?FAMILIAR",IF(F5051="NEW",IF(ISNA(VLOOKUP(E5051,#REF!,1,FALSE())),"?TYPE_IDENTIFIABLE","?REFERENTIAL"),"_")))))</f>
        <v> </v>
      </c>
      <c r="H5051" s="25" t="str">
        <f>IF(J5051&lt;&gt;1,"",IF(I5051="SBJ","CB","?"))</f>
        <v> </v>
      </c>
      <c r="I5051" s="26" t="str">
        <f>IF(OR(E5051="",E5051="!!!",F5051="NEW"),"",INDEX(B5050:B$2,-1+SUMPRODUCT(MAX(ROW(E5050:E$2)*(E5051=E5050:E$2)))))</f>
        <v> </v>
      </c>
      <c r="J5051" s="26" t="str">
        <f>IF(OR(E5051="",E5051="!!!",F5051="NEW"),"",COUNTBLANK(OFFSET(A$1,,,SUMPRODUCT(MAX(ROW(E$2:E5051)*(E5051=E$2:E5051)))))-COUNTBLANK(OFFSET(A$1,,,SUMPRODUCT(MAX(ROW(E$1:E5050)*(E2=E$1:E5050))))))</f>
        <v> </v>
      </c>
      <c r="K5051" s="26" t="str">
        <f>IF(OR(E5051="",E5051="!!!",F5051="NEW"),"",INDEX(J$1:J5050,SUMPRODUCT(MAX(ROW(E$1:E5050)*(E5051=E$1:E5050)))))</f>
        <v> </v>
      </c>
      <c r="L5051" s="27"/>
    </row>
    <row r="5052" spans="1:12">
      <c r="A5052" s="20" t="s">
        <v>705</v>
      </c>
      <c r="B5052" s="21" t="s">
        <v>1066</v>
      </c>
      <c r="C5052" s="21" t="s">
        <v>1017</v>
      </c>
      <c r="D5052" s="21" t="s">
        <v>1007</v>
      </c>
      <c r="E5052" s="22">
        <f>IF(D5052="?OLD","!!!","")</f>
        <v/>
      </c>
      <c r="F5052" s="23" t="str">
        <f>IF(OR(E5052="",E5052="!!!"),"",IF(NOT(ISNA(VLOOKUP(E5052,E$1:E5051,1,FALSE()))),"OLD",IF(AND(E5052&lt;&gt;"",E5052&lt;&gt;"!!!"),"NEW","")))</f>
        <v> </v>
      </c>
      <c r="G5052" s="24" t="str">
        <f>IF(OR(E5052="",E5052="!!!"),"",IF(OR(J5052=0,AND(J5052=1,K5052=1),AND(J5052=1,I5052="SBJ"),AND(J5052=1,I5052=0)),"?IN_FOCUS",IF(J5052&lt;=2,"?ACTIVATED",IF(J5052&lt;&gt;"","?FAMILIAR",IF(F5052="NEW",IF(ISNA(VLOOKUP(E5052,#REF!,1,FALSE())),"?TYPE_IDENTIFIABLE","?REFERENTIAL"),"_")))))</f>
        <v> </v>
      </c>
      <c r="H5052" s="25" t="str">
        <f>IF(J5052&lt;&gt;1,"",IF(I5052="SBJ","CB","?"))</f>
        <v> </v>
      </c>
      <c r="I5052" s="26" t="str">
        <f>IF(OR(E5052="",E5052="!!!",F5052="NEW"),"",INDEX(B5051:B$2,-1+SUMPRODUCT(MAX(ROW(E5051:E$2)*(E5052=E5051:E$2)))))</f>
        <v> </v>
      </c>
      <c r="J5052" s="26" t="str">
        <f>IF(OR(E5052="",E5052="!!!",F5052="NEW"),"",COUNTBLANK(OFFSET(A$1,,,SUMPRODUCT(MAX(ROW(E$2:E5052)*(E5052=E$2:E5052)))))-COUNTBLANK(OFFSET(A$1,,,SUMPRODUCT(MAX(ROW(E$1:E5051)*(E2=E$1:E5051))))))</f>
        <v> </v>
      </c>
      <c r="K5052" s="26" t="str">
        <f>IF(OR(E5052="",E5052="!!!",F5052="NEW"),"",INDEX(J$1:J5051,SUMPRODUCT(MAX(ROW(E$1:E5051)*(E5052=E$1:E5051)))))</f>
        <v> </v>
      </c>
      <c r="L5052" s="27"/>
    </row>
    <row r="5053" spans="1:12">
      <c r="A5053" s="20" t="s">
        <v>1023</v>
      </c>
      <c r="E5053" s="22">
        <f>IF(D5053="?OLD","!!!","")</f>
        <v/>
      </c>
      <c r="F5053" s="23" t="str">
        <f>IF(OR(E5053="",E5053="!!!"),"",IF(NOT(ISNA(VLOOKUP(E5053,E$1:E5052,1,FALSE()))),"OLD",IF(AND(E5053&lt;&gt;"",E5053&lt;&gt;"!!!"),"NEW","")))</f>
        <v> </v>
      </c>
      <c r="G5053" s="24" t="str">
        <f>IF(OR(E5053="",E5053="!!!"),"",IF(OR(J5053=0,AND(J5053=1,K5053=1),AND(J5053=1,I5053="SBJ"),AND(J5053=1,I5053=0)),"?IN_FOCUS",IF(J5053&lt;=2,"?ACTIVATED",IF(J5053&lt;&gt;"","?FAMILIAR",IF(F5053="NEW",IF(ISNA(VLOOKUP(E5053,#REF!,1,FALSE())),"?TYPE_IDENTIFIABLE","?REFERENTIAL"),"_")))))</f>
        <v> </v>
      </c>
      <c r="H5053" s="25" t="str">
        <f>IF(J5053&lt;&gt;1,"",IF(I5053="SBJ","CB","?"))</f>
        <v> </v>
      </c>
      <c r="I5053" s="26" t="str">
        <f>IF(OR(E5053="",E5053="!!!",F5053="NEW"),"",INDEX(B5052:B$2,-1+SUMPRODUCT(MAX(ROW(E5052:E$2)*(E5053=E5052:E$2)))))</f>
        <v> </v>
      </c>
      <c r="J5053" s="26" t="str">
        <f>IF(OR(E5053="",E5053="!!!",F5053="NEW"),"",COUNTBLANK(OFFSET(A$1,,,SUMPRODUCT(MAX(ROW(E$2:E5053)*(E5053=E$2:E5053)))))-COUNTBLANK(OFFSET(A$1,,,SUMPRODUCT(MAX(ROW(E$1:E5052)*(E2=E$1:E5052))))))</f>
        <v> </v>
      </c>
      <c r="K5053" s="26" t="str">
        <f>IF(OR(E5053="",E5053="!!!",F5053="NEW"),"",INDEX(J$1:J5052,SUMPRODUCT(MAX(ROW(E$1:E5052)*(E5053=E$1:E5052)))))</f>
        <v> </v>
      </c>
      <c r="L5053" s="27"/>
    </row>
    <row r="5054" spans="1:12">
      <c r="A5054" s="20"/>
    </row>
    <row r="5055" spans="1:12">
      <c r="A5055" s="20" t="s">
        <v>2401</v>
      </c>
    </row>
    <row r="5056" spans="1:12">
      <c r="A5056" s="20" t="s">
        <v>1962</v>
      </c>
      <c r="E5056" s="22">
        <f>IF(D5056="?OLD","!!!","")</f>
        <v/>
      </c>
      <c r="F5056" s="23" t="str">
        <f>IF(OR(E5056="",E5056="!!!"),"",IF(NOT(ISNA(VLOOKUP(E5056,E$1:E5055,1,FALSE()))),"OLD",IF(AND(E5056&lt;&gt;"",E5056&lt;&gt;"!!!"),"NEW","")))</f>
        <v> </v>
      </c>
      <c r="G5056" s="24" t="str">
        <f>IF(OR(E5056="",E5056="!!!"),"",IF(OR(J5056=0,AND(J5056=1,K5056=1),AND(J5056=1,I5056="SBJ"),AND(J5056=1,I5056=0)),"?IN_FOCUS",IF(J5056&lt;=2,"?ACTIVATED",IF(J5056&lt;&gt;"","?FAMILIAR",IF(F5056="NEW",IF(ISNA(VLOOKUP(E5056,#REF!,1,FALSE())),"?TYPE_IDENTIFIABLE","?REFERENTIAL"),"_")))))</f>
        <v> </v>
      </c>
      <c r="H5056" s="25" t="str">
        <f>IF(J5056&lt;&gt;1,"",IF(I5056="SBJ","CB","?"))</f>
        <v> </v>
      </c>
      <c r="I5056" s="26" t="str">
        <f>IF(OR(E5056="",E5056="!!!",F5056="NEW"),"",INDEX(B5055:B$2,-1+SUMPRODUCT(MAX(ROW(E5055:E$2)*(E5056=E5055:E$2)))))</f>
        <v> </v>
      </c>
      <c r="J5056" s="26" t="str">
        <f>IF(OR(E5056="",E5056="!!!",F5056="NEW"),"",COUNTBLANK(OFFSET(A$1,,,SUMPRODUCT(MAX(ROW(E$2:E5056)*(E5056=E$2:E5056)))))-COUNTBLANK(OFFSET(A$1,,,SUMPRODUCT(MAX(ROW(E$1:E5055)*(E2=E$1:E5055))))))</f>
        <v> </v>
      </c>
      <c r="K5056" s="26" t="str">
        <f>IF(OR(E5056="",E5056="!!!",F5056="NEW"),"",INDEX(J$1:J5055,SUMPRODUCT(MAX(ROW(E$1:E5055)*(E5056=E$1:E5055)))))</f>
        <v> </v>
      </c>
      <c r="L5056" s="27"/>
    </row>
    <row r="5057" spans="1:12">
      <c r="A5057" s="20" t="s">
        <v>1065</v>
      </c>
      <c r="E5057" s="22">
        <f>IF(D5057="?OLD","!!!","")</f>
        <v/>
      </c>
      <c r="F5057" s="23" t="str">
        <f>IF(OR(E5057="",E5057="!!!"),"",IF(NOT(ISNA(VLOOKUP(E5057,E$1:E5056,1,FALSE()))),"OLD",IF(AND(E5057&lt;&gt;"",E5057&lt;&gt;"!!!"),"NEW","")))</f>
        <v> </v>
      </c>
      <c r="G5057" s="24" t="str">
        <f>IF(OR(E5057="",E5057="!!!"),"",IF(OR(J5057=0,AND(J5057=1,K5057=1),AND(J5057=1,I5057="SBJ"),AND(J5057=1,I5057=0)),"?IN_FOCUS",IF(J5057&lt;=2,"?ACTIVATED",IF(J5057&lt;&gt;"","?FAMILIAR",IF(F5057="NEW",IF(ISNA(VLOOKUP(E5057,#REF!,1,FALSE())),"?TYPE_IDENTIFIABLE","?REFERENTIAL"),"_")))))</f>
        <v> </v>
      </c>
      <c r="H5057" s="25" t="str">
        <f>IF(J5057&lt;&gt;1,"",IF(I5057="SBJ","CB","?"))</f>
        <v> </v>
      </c>
      <c r="I5057" s="26" t="str">
        <f>IF(OR(E5057="",E5057="!!!",F5057="NEW"),"",INDEX(B5056:B$2,-1+SUMPRODUCT(MAX(ROW(E5056:E$2)*(E5057=E5056:E$2)))))</f>
        <v> </v>
      </c>
      <c r="J5057" s="26" t="str">
        <f>IF(OR(E5057="",E5057="!!!",F5057="NEW"),"",COUNTBLANK(OFFSET(A$1,,,SUMPRODUCT(MAX(ROW(E$2:E5057)*(E5057=E$2:E5057)))))-COUNTBLANK(OFFSET(A$1,,,SUMPRODUCT(MAX(ROW(E$1:E5056)*(E2=E$1:E5056))))))</f>
        <v> </v>
      </c>
      <c r="K5057" s="26" t="str">
        <f>IF(OR(E5057="",E5057="!!!",F5057="NEW"),"",INDEX(J$1:J5056,SUMPRODUCT(MAX(ROW(E$1:E5056)*(E5057=E$1:E5056)))))</f>
        <v> </v>
      </c>
      <c r="L5057" s="27"/>
    </row>
    <row r="5058" spans="1:12">
      <c r="A5058" s="20" t="s">
        <v>2054</v>
      </c>
      <c r="E5058" s="22">
        <f>IF(D5058="?OLD","!!!","")</f>
        <v/>
      </c>
      <c r="F5058" s="23" t="str">
        <f>IF(OR(E5058="",E5058="!!!"),"",IF(NOT(ISNA(VLOOKUP(E5058,E$1:E5057,1,FALSE()))),"OLD",IF(AND(E5058&lt;&gt;"",E5058&lt;&gt;"!!!"),"NEW","")))</f>
        <v> </v>
      </c>
      <c r="G5058" s="24" t="str">
        <f>IF(OR(E5058="",E5058="!!!"),"",IF(OR(J5058=0,AND(J5058=1,K5058=1),AND(J5058=1,I5058="SBJ"),AND(J5058=1,I5058=0)),"?IN_FOCUS",IF(J5058&lt;=2,"?ACTIVATED",IF(J5058&lt;&gt;"","?FAMILIAR",IF(F5058="NEW",IF(ISNA(VLOOKUP(E5058,#REF!,1,FALSE())),"?TYPE_IDENTIFIABLE","?REFERENTIAL"),"_")))))</f>
        <v> </v>
      </c>
      <c r="H5058" s="25" t="str">
        <f>IF(J5058&lt;&gt;1,"",IF(I5058="SBJ","CB","?"))</f>
        <v> </v>
      </c>
      <c r="I5058" s="26" t="str">
        <f>IF(OR(E5058="",E5058="!!!",F5058="NEW"),"",INDEX(B5057:B$2,-1+SUMPRODUCT(MAX(ROW(E5057:E$2)*(E5058=E5057:E$2)))))</f>
        <v> </v>
      </c>
      <c r="J5058" s="26" t="str">
        <f>IF(OR(E5058="",E5058="!!!",F5058="NEW"),"",COUNTBLANK(OFFSET(A$1,,,SUMPRODUCT(MAX(ROW(E$2:E5058)*(E5058=E$2:E5058)))))-COUNTBLANK(OFFSET(A$1,,,SUMPRODUCT(MAX(ROW(E$1:E5057)*(E2=E$1:E5057))))))</f>
        <v> </v>
      </c>
      <c r="K5058" s="26" t="str">
        <f>IF(OR(E5058="",E5058="!!!",F5058="NEW"),"",INDEX(J$1:J5057,SUMPRODUCT(MAX(ROW(E$1:E5057)*(E5058=E$1:E5057)))))</f>
        <v> </v>
      </c>
      <c r="L5058" s="27"/>
    </row>
    <row r="5059" spans="1:12">
      <c r="A5059" s="20" t="s">
        <v>1387</v>
      </c>
      <c r="E5059" s="22">
        <f>IF(D5059="?OLD","!!!","")</f>
        <v/>
      </c>
      <c r="F5059" s="23" t="str">
        <f>IF(OR(E5059="",E5059="!!!"),"",IF(NOT(ISNA(VLOOKUP(E5059,E$1:E5058,1,FALSE()))),"OLD",IF(AND(E5059&lt;&gt;"",E5059&lt;&gt;"!!!"),"NEW","")))</f>
        <v> </v>
      </c>
      <c r="G5059" s="24" t="str">
        <f>IF(OR(E5059="",E5059="!!!"),"",IF(OR(J5059=0,AND(J5059=1,K5059=1),AND(J5059=1,I5059="SBJ"),AND(J5059=1,I5059=0)),"?IN_FOCUS",IF(J5059&lt;=2,"?ACTIVATED",IF(J5059&lt;&gt;"","?FAMILIAR",IF(F5059="NEW",IF(ISNA(VLOOKUP(E5059,#REF!,1,FALSE())),"?TYPE_IDENTIFIABLE","?REFERENTIAL"),"_")))))</f>
        <v> </v>
      </c>
      <c r="H5059" s="25" t="str">
        <f>IF(J5059&lt;&gt;1,"",IF(I5059="SBJ","CB","?"))</f>
        <v> </v>
      </c>
      <c r="I5059" s="26" t="str">
        <f>IF(OR(E5059="",E5059="!!!",F5059="NEW"),"",INDEX(B5058:B$2,-1+SUMPRODUCT(MAX(ROW(E5058:E$2)*(E5059=E5058:E$2)))))</f>
        <v> </v>
      </c>
      <c r="J5059" s="26" t="str">
        <f>IF(OR(E5059="",E5059="!!!",F5059="NEW"),"",COUNTBLANK(OFFSET(A$1,,,SUMPRODUCT(MAX(ROW(E$2:E5059)*(E5059=E$2:E5059)))))-COUNTBLANK(OFFSET(A$1,,,SUMPRODUCT(MAX(ROW(E$1:E5058)*(E2=E$1:E5058))))))</f>
        <v> </v>
      </c>
      <c r="K5059" s="26" t="str">
        <f>IF(OR(E5059="",E5059="!!!",F5059="NEW"),"",INDEX(J$1:J5058,SUMPRODUCT(MAX(ROW(E$1:E5058)*(E5059=E$1:E5058)))))</f>
        <v> </v>
      </c>
      <c r="L5059" s="27"/>
    </row>
    <row r="5060" spans="1:12">
      <c r="A5060" s="20" t="s">
        <v>1020</v>
      </c>
      <c r="E5060" s="22">
        <f>IF(D5060="?OLD","!!!","")</f>
        <v/>
      </c>
      <c r="F5060" s="23" t="str">
        <f>IF(OR(E5060="",E5060="!!!"),"",IF(NOT(ISNA(VLOOKUP(E5060,E$1:E5059,1,FALSE()))),"OLD",IF(AND(E5060&lt;&gt;"",E5060&lt;&gt;"!!!"),"NEW","")))</f>
        <v> </v>
      </c>
      <c r="G5060" s="24" t="str">
        <f>IF(OR(E5060="",E5060="!!!"),"",IF(OR(J5060=0,AND(J5060=1,K5060=1),AND(J5060=1,I5060="SBJ"),AND(J5060=1,I5060=0)),"?IN_FOCUS",IF(J5060&lt;=2,"?ACTIVATED",IF(J5060&lt;&gt;"","?FAMILIAR",IF(F5060="NEW",IF(ISNA(VLOOKUP(E5060,#REF!,1,FALSE())),"?TYPE_IDENTIFIABLE","?REFERENTIAL"),"_")))))</f>
        <v> </v>
      </c>
      <c r="H5060" s="25" t="str">
        <f>IF(J5060&lt;&gt;1,"",IF(I5060="SBJ","CB","?"))</f>
        <v> </v>
      </c>
      <c r="I5060" s="26" t="str">
        <f>IF(OR(E5060="",E5060="!!!",F5060="NEW"),"",INDEX(B5059:B$2,-1+SUMPRODUCT(MAX(ROW(E5059:E$2)*(E5060=E5059:E$2)))))</f>
        <v> </v>
      </c>
      <c r="J5060" s="26" t="str">
        <f>IF(OR(E5060="",E5060="!!!",F5060="NEW"),"",COUNTBLANK(OFFSET(A$1,,,SUMPRODUCT(MAX(ROW(E$2:E5060)*(E5060=E$2:E5060)))))-COUNTBLANK(OFFSET(A$1,,,SUMPRODUCT(MAX(ROW(E$1:E5059)*(E2=E$1:E5059))))))</f>
        <v> </v>
      </c>
      <c r="K5060" s="26" t="str">
        <f>IF(OR(E5060="",E5060="!!!",F5060="NEW"),"",INDEX(J$1:J5059,SUMPRODUCT(MAX(ROW(E$1:E5059)*(E5060=E$1:E5059)))))</f>
        <v> </v>
      </c>
      <c r="L5060" s="27"/>
    </row>
    <row r="5061" spans="1:12">
      <c r="A5061" s="20" t="s">
        <v>186</v>
      </c>
      <c r="E5061" s="22">
        <f>IF(D5061="?OLD","!!!","")</f>
        <v/>
      </c>
      <c r="F5061" s="23" t="str">
        <f>IF(OR(E5061="",E5061="!!!"),"",IF(NOT(ISNA(VLOOKUP(E5061,E$1:E5060,1,FALSE()))),"OLD",IF(AND(E5061&lt;&gt;"",E5061&lt;&gt;"!!!"),"NEW","")))</f>
        <v> </v>
      </c>
      <c r="G5061" s="24" t="str">
        <f>IF(OR(E5061="",E5061="!!!"),"",IF(OR(J5061=0,AND(J5061=1,K5061=1),AND(J5061=1,I5061="SBJ"),AND(J5061=1,I5061=0)),"?IN_FOCUS",IF(J5061&lt;=2,"?ACTIVATED",IF(J5061&lt;&gt;"","?FAMILIAR",IF(F5061="NEW",IF(ISNA(VLOOKUP(E5061,#REF!,1,FALSE())),"?TYPE_IDENTIFIABLE","?REFERENTIAL"),"_")))))</f>
        <v> </v>
      </c>
      <c r="H5061" s="25" t="str">
        <f>IF(J5061&lt;&gt;1,"",IF(I5061="SBJ","CB","?"))</f>
        <v> </v>
      </c>
      <c r="I5061" s="26" t="str">
        <f>IF(OR(E5061="",E5061="!!!",F5061="NEW"),"",INDEX(B5060:B$2,-1+SUMPRODUCT(MAX(ROW(E5060:E$2)*(E5061=E5060:E$2)))))</f>
        <v> </v>
      </c>
      <c r="J5061" s="26" t="str">
        <f>IF(OR(E5061="",E5061="!!!",F5061="NEW"),"",COUNTBLANK(OFFSET(A$1,,,SUMPRODUCT(MAX(ROW(E$2:E5061)*(E5061=E$2:E5061)))))-COUNTBLANK(OFFSET(A$1,,,SUMPRODUCT(MAX(ROW(E$1:E5060)*(E2=E$1:E5060))))))</f>
        <v> </v>
      </c>
      <c r="K5061" s="26" t="str">
        <f>IF(OR(E5061="",E5061="!!!",F5061="NEW"),"",INDEX(J$1:J5060,SUMPRODUCT(MAX(ROW(E$1:E5060)*(E5061=E$1:E5060)))))</f>
        <v> </v>
      </c>
      <c r="L5061" s="27"/>
    </row>
    <row r="5062" spans="1:12">
      <c r="A5062" s="20" t="s">
        <v>1299</v>
      </c>
      <c r="E5062" s="22">
        <f>IF(D5062="?OLD","!!!","")</f>
        <v/>
      </c>
      <c r="F5062" s="23" t="str">
        <f>IF(OR(E5062="",E5062="!!!"),"",IF(NOT(ISNA(VLOOKUP(E5062,E$1:E5061,1,FALSE()))),"OLD",IF(AND(E5062&lt;&gt;"",E5062&lt;&gt;"!!!"),"NEW","")))</f>
        <v> </v>
      </c>
      <c r="G5062" s="24" t="str">
        <f>IF(OR(E5062="",E5062="!!!"),"",IF(OR(J5062=0,AND(J5062=1,K5062=1),AND(J5062=1,I5062="SBJ"),AND(J5062=1,I5062=0)),"?IN_FOCUS",IF(J5062&lt;=2,"?ACTIVATED",IF(J5062&lt;&gt;"","?FAMILIAR",IF(F5062="NEW",IF(ISNA(VLOOKUP(E5062,#REF!,1,FALSE())),"?TYPE_IDENTIFIABLE","?REFERENTIAL"),"_")))))</f>
        <v> </v>
      </c>
      <c r="H5062" s="25" t="str">
        <f>IF(J5062&lt;&gt;1,"",IF(I5062="SBJ","CB","?"))</f>
        <v> </v>
      </c>
      <c r="I5062" s="26" t="str">
        <f>IF(OR(E5062="",E5062="!!!",F5062="NEW"),"",INDEX(B5061:B$2,-1+SUMPRODUCT(MAX(ROW(E5061:E$2)*(E5062=E5061:E$2)))))</f>
        <v> </v>
      </c>
      <c r="J5062" s="26" t="str">
        <f>IF(OR(E5062="",E5062="!!!",F5062="NEW"),"",COUNTBLANK(OFFSET(A$1,,,SUMPRODUCT(MAX(ROW(E$2:E5062)*(E5062=E$2:E5062)))))-COUNTBLANK(OFFSET(A$1,,,SUMPRODUCT(MAX(ROW(E$1:E5061)*(E2=E$1:E5061))))))</f>
        <v> </v>
      </c>
      <c r="K5062" s="26" t="str">
        <f>IF(OR(E5062="",E5062="!!!",F5062="NEW"),"",INDEX(J$1:J5061,SUMPRODUCT(MAX(ROW(E$1:E5061)*(E5062=E$1:E5061)))))</f>
        <v> </v>
      </c>
      <c r="L5062" s="27"/>
    </row>
    <row r="5063" spans="1:12">
      <c r="A5063" s="20" t="s">
        <v>1133</v>
      </c>
      <c r="B5063" s="21" t="s">
        <v>1154</v>
      </c>
      <c r="C5063" s="21" t="s">
        <v>1082</v>
      </c>
      <c r="D5063" s="21" t="s">
        <v>1007</v>
      </c>
      <c r="E5063" s="22">
        <f>IF(D5063="?OLD","!!!","")</f>
        <v/>
      </c>
      <c r="F5063" s="23" t="str">
        <f>IF(OR(E5063="",E5063="!!!"),"",IF(NOT(ISNA(VLOOKUP(E5063,E$1:E5062,1,FALSE()))),"OLD",IF(AND(E5063&lt;&gt;"",E5063&lt;&gt;"!!!"),"NEW","")))</f>
        <v> </v>
      </c>
      <c r="G5063" s="24" t="str">
        <f>IF(OR(E5063="",E5063="!!!"),"",IF(OR(J5063=0,AND(J5063=1,K5063=1),AND(J5063=1,I5063="SBJ"),AND(J5063=1,I5063=0)),"?IN_FOCUS",IF(J5063&lt;=2,"?ACTIVATED",IF(J5063&lt;&gt;"","?FAMILIAR",IF(F5063="NEW",IF(ISNA(VLOOKUP(E5063,#REF!,1,FALSE())),"?TYPE_IDENTIFIABLE","?REFERENTIAL"),"_")))))</f>
        <v> </v>
      </c>
      <c r="H5063" s="25" t="str">
        <f>IF(J5063&lt;&gt;1,"",IF(I5063="SBJ","CB","?"))</f>
        <v> </v>
      </c>
      <c r="I5063" s="26" t="str">
        <f>IF(OR(E5063="",E5063="!!!",F5063="NEW"),"",INDEX(B5062:B$2,-1+SUMPRODUCT(MAX(ROW(E5062:E$2)*(E5063=E5062:E$2)))))</f>
        <v> </v>
      </c>
      <c r="J5063" s="26" t="str">
        <f>IF(OR(E5063="",E5063="!!!",F5063="NEW"),"",COUNTBLANK(OFFSET(A$1,,,SUMPRODUCT(MAX(ROW(E$2:E5063)*(E5063=E$2:E5063)))))-COUNTBLANK(OFFSET(A$1,,,SUMPRODUCT(MAX(ROW(E$1:E5062)*(E2=E$1:E5062))))))</f>
        <v> </v>
      </c>
      <c r="K5063" s="26" t="str">
        <f>IF(OR(E5063="",E5063="!!!",F5063="NEW"),"",INDEX(J$1:J5062,SUMPRODUCT(MAX(ROW(E$1:E5062)*(E5063=E$1:E5062)))))</f>
        <v> </v>
      </c>
      <c r="L5063" s="27"/>
    </row>
    <row r="5064" spans="1:12">
      <c r="A5064" s="20" t="s">
        <v>1763</v>
      </c>
      <c r="E5064" s="22">
        <f>IF(D5064="?OLD","!!!","")</f>
        <v/>
      </c>
      <c r="F5064" s="23" t="str">
        <f>IF(OR(E5064="",E5064="!!!"),"",IF(NOT(ISNA(VLOOKUP(E5064,E$1:E5063,1,FALSE()))),"OLD",IF(AND(E5064&lt;&gt;"",E5064&lt;&gt;"!!!"),"NEW","")))</f>
        <v> </v>
      </c>
      <c r="G5064" s="24" t="str">
        <f>IF(OR(E5064="",E5064="!!!"),"",IF(OR(J5064=0,AND(J5064=1,K5064=1),AND(J5064=1,I5064="SBJ"),AND(J5064=1,I5064=0)),"?IN_FOCUS",IF(J5064&lt;=2,"?ACTIVATED",IF(J5064&lt;&gt;"","?FAMILIAR",IF(F5064="NEW",IF(ISNA(VLOOKUP(E5064,#REF!,1,FALSE())),"?TYPE_IDENTIFIABLE","?REFERENTIAL"),"_")))))</f>
        <v> </v>
      </c>
      <c r="H5064" s="25" t="str">
        <f>IF(J5064&lt;&gt;1,"",IF(I5064="SBJ","CB","?"))</f>
        <v> </v>
      </c>
      <c r="I5064" s="26" t="str">
        <f>IF(OR(E5064="",E5064="!!!",F5064="NEW"),"",INDEX(B5063:B$2,-1+SUMPRODUCT(MAX(ROW(E5063:E$2)*(E5064=E5063:E$2)))))</f>
        <v> </v>
      </c>
      <c r="J5064" s="26" t="str">
        <f>IF(OR(E5064="",E5064="!!!",F5064="NEW"),"",COUNTBLANK(OFFSET(A$1,,,SUMPRODUCT(MAX(ROW(E$2:E5064)*(E5064=E$2:E5064)))))-COUNTBLANK(OFFSET(A$1,,,SUMPRODUCT(MAX(ROW(E$1:E5063)*(E2=E$1:E5063))))))</f>
        <v> </v>
      </c>
      <c r="K5064" s="26" t="str">
        <f>IF(OR(E5064="",E5064="!!!",F5064="NEW"),"",INDEX(J$1:J5063,SUMPRODUCT(MAX(ROW(E$1:E5063)*(E5064=E$1:E5063)))))</f>
        <v> </v>
      </c>
      <c r="L5064" s="27"/>
    </row>
    <row r="5065" spans="1:12">
      <c r="A5065" s="20" t="s">
        <v>1065</v>
      </c>
      <c r="E5065" s="22">
        <f>IF(D5065="?OLD","!!!","")</f>
        <v/>
      </c>
      <c r="F5065" s="23" t="str">
        <f>IF(OR(E5065="",E5065="!!!"),"",IF(NOT(ISNA(VLOOKUP(E5065,E$1:E5064,1,FALSE()))),"OLD",IF(AND(E5065&lt;&gt;"",E5065&lt;&gt;"!!!"),"NEW","")))</f>
        <v> </v>
      </c>
      <c r="G5065" s="24" t="str">
        <f>IF(OR(E5065="",E5065="!!!"),"",IF(OR(J5065=0,AND(J5065=1,K5065=1),AND(J5065=1,I5065="SBJ"),AND(J5065=1,I5065=0)),"?IN_FOCUS",IF(J5065&lt;=2,"?ACTIVATED",IF(J5065&lt;&gt;"","?FAMILIAR",IF(F5065="NEW",IF(ISNA(VLOOKUP(E5065,#REF!,1,FALSE())),"?TYPE_IDENTIFIABLE","?REFERENTIAL"),"_")))))</f>
        <v> </v>
      </c>
      <c r="H5065" s="25" t="str">
        <f>IF(J5065&lt;&gt;1,"",IF(I5065="SBJ","CB","?"))</f>
        <v> </v>
      </c>
      <c r="I5065" s="26" t="str">
        <f>IF(OR(E5065="",E5065="!!!",F5065="NEW"),"",INDEX(B5064:B$2,-1+SUMPRODUCT(MAX(ROW(E5064:E$2)*(E5065=E5064:E$2)))))</f>
        <v> </v>
      </c>
      <c r="J5065" s="26" t="str">
        <f>IF(OR(E5065="",E5065="!!!",F5065="NEW"),"",COUNTBLANK(OFFSET(A$1,,,SUMPRODUCT(MAX(ROW(E$2:E5065)*(E5065=E$2:E5065)))))-COUNTBLANK(OFFSET(A$1,,,SUMPRODUCT(MAX(ROW(E$1:E5064)*(E2=E$1:E5064))))))</f>
        <v> </v>
      </c>
      <c r="K5065" s="26" t="str">
        <f>IF(OR(E5065="",E5065="!!!",F5065="NEW"),"",INDEX(J$1:J5064,SUMPRODUCT(MAX(ROW(E$1:E5064)*(E5065=E$1:E5064)))))</f>
        <v> </v>
      </c>
      <c r="L5065" s="27"/>
    </row>
    <row r="5066" spans="1:12">
      <c r="A5066" s="20" t="s">
        <v>102</v>
      </c>
      <c r="E5066" s="22">
        <f>IF(D5066="?OLD","!!!","")</f>
        <v/>
      </c>
      <c r="F5066" s="23" t="str">
        <f>IF(OR(E5066="",E5066="!!!"),"",IF(NOT(ISNA(VLOOKUP(E5066,E$1:E5065,1,FALSE()))),"OLD",IF(AND(E5066&lt;&gt;"",E5066&lt;&gt;"!!!"),"NEW","")))</f>
        <v> </v>
      </c>
      <c r="G5066" s="24" t="str">
        <f>IF(OR(E5066="",E5066="!!!"),"",IF(OR(J5066=0,AND(J5066=1,K5066=1),AND(J5066=1,I5066="SBJ"),AND(J5066=1,I5066=0)),"?IN_FOCUS",IF(J5066&lt;=2,"?ACTIVATED",IF(J5066&lt;&gt;"","?FAMILIAR",IF(F5066="NEW",IF(ISNA(VLOOKUP(E5066,#REF!,1,FALSE())),"?TYPE_IDENTIFIABLE","?REFERENTIAL"),"_")))))</f>
        <v> </v>
      </c>
      <c r="H5066" s="25" t="str">
        <f>IF(J5066&lt;&gt;1,"",IF(I5066="SBJ","CB","?"))</f>
        <v> </v>
      </c>
      <c r="I5066" s="26" t="str">
        <f>IF(OR(E5066="",E5066="!!!",F5066="NEW"),"",INDEX(B5065:B$2,-1+SUMPRODUCT(MAX(ROW(E5065:E$2)*(E5066=E5065:E$2)))))</f>
        <v> </v>
      </c>
      <c r="J5066" s="26" t="str">
        <f>IF(OR(E5066="",E5066="!!!",F5066="NEW"),"",COUNTBLANK(OFFSET(A$1,,,SUMPRODUCT(MAX(ROW(E$2:E5066)*(E5066=E$2:E5066)))))-COUNTBLANK(OFFSET(A$1,,,SUMPRODUCT(MAX(ROW(E$1:E5065)*(E2=E$1:E5065))))))</f>
        <v> </v>
      </c>
      <c r="K5066" s="26" t="str">
        <f>IF(OR(E5066="",E5066="!!!",F5066="NEW"),"",INDEX(J$1:J5065,SUMPRODUCT(MAX(ROW(E$1:E5065)*(E5066=E$1:E5065)))))</f>
        <v> </v>
      </c>
      <c r="L5066" s="27"/>
    </row>
    <row r="5067" spans="1:12">
      <c r="A5067" s="20" t="s">
        <v>1123</v>
      </c>
      <c r="B5067" s="21" t="s">
        <v>1120</v>
      </c>
      <c r="C5067" s="21" t="s">
        <v>1013</v>
      </c>
      <c r="D5067" s="21" t="s">
        <v>1007</v>
      </c>
      <c r="E5067" s="22">
        <f>IF(D5067="?OLD","!!!","")</f>
        <v/>
      </c>
      <c r="F5067" s="23" t="str">
        <f>IF(OR(E5067="",E5067="!!!"),"",IF(NOT(ISNA(VLOOKUP(E5067,E$1:E5066,1,FALSE()))),"OLD",IF(AND(E5067&lt;&gt;"",E5067&lt;&gt;"!!!"),"NEW","")))</f>
        <v> </v>
      </c>
      <c r="G5067" s="24" t="str">
        <f>IF(OR(E5067="",E5067="!!!"),"",IF(OR(J5067=0,AND(J5067=1,K5067=1),AND(J5067=1,I5067="SBJ"),AND(J5067=1,I5067=0)),"?IN_FOCUS",IF(J5067&lt;=2,"?ACTIVATED",IF(J5067&lt;&gt;"","?FAMILIAR",IF(F5067="NEW",IF(ISNA(VLOOKUP(E5067,#REF!,1,FALSE())),"?TYPE_IDENTIFIABLE","?REFERENTIAL"),"_")))))</f>
        <v> </v>
      </c>
      <c r="H5067" s="25" t="str">
        <f>IF(J5067&lt;&gt;1,"",IF(I5067="SBJ","CB","?"))</f>
        <v> </v>
      </c>
      <c r="I5067" s="26" t="str">
        <f>IF(OR(E5067="",E5067="!!!",F5067="NEW"),"",INDEX(B5066:B$2,-1+SUMPRODUCT(MAX(ROW(E5066:E$2)*(E5067=E5066:E$2)))))</f>
        <v> </v>
      </c>
      <c r="J5067" s="26" t="str">
        <f>IF(OR(E5067="",E5067="!!!",F5067="NEW"),"",COUNTBLANK(OFFSET(A$1,,,SUMPRODUCT(MAX(ROW(E$2:E5067)*(E5067=E$2:E5067)))))-COUNTBLANK(OFFSET(A$1,,,SUMPRODUCT(MAX(ROW(E$1:E5066)*(E2=E$1:E5066))))))</f>
        <v> </v>
      </c>
      <c r="K5067" s="26" t="str">
        <f>IF(OR(E5067="",E5067="!!!",F5067="NEW"),"",INDEX(J$1:J5066,SUMPRODUCT(MAX(ROW(E$1:E5066)*(E5067=E$1:E5066)))))</f>
        <v> </v>
      </c>
      <c r="L5067" s="27"/>
    </row>
    <row r="5068" spans="1:12">
      <c r="A5068" s="20" t="s">
        <v>1020</v>
      </c>
      <c r="E5068" s="22">
        <f>IF(D5068="?OLD","!!!","")</f>
        <v/>
      </c>
      <c r="F5068" s="23" t="str">
        <f>IF(OR(E5068="",E5068="!!!"),"",IF(NOT(ISNA(VLOOKUP(E5068,E$1:E5067,1,FALSE()))),"OLD",IF(AND(E5068&lt;&gt;"",E5068&lt;&gt;"!!!"),"NEW","")))</f>
        <v> </v>
      </c>
      <c r="G5068" s="24" t="str">
        <f>IF(OR(E5068="",E5068="!!!"),"",IF(OR(J5068=0,AND(J5068=1,K5068=1),AND(J5068=1,I5068="SBJ"),AND(J5068=1,I5068=0)),"?IN_FOCUS",IF(J5068&lt;=2,"?ACTIVATED",IF(J5068&lt;&gt;"","?FAMILIAR",IF(F5068="NEW",IF(ISNA(VLOOKUP(E5068,#REF!,1,FALSE())),"?TYPE_IDENTIFIABLE","?REFERENTIAL"),"_")))))</f>
        <v> </v>
      </c>
      <c r="H5068" s="25" t="str">
        <f>IF(J5068&lt;&gt;1,"",IF(I5068="SBJ","CB","?"))</f>
        <v> </v>
      </c>
      <c r="I5068" s="26" t="str">
        <f>IF(OR(E5068="",E5068="!!!",F5068="NEW"),"",INDEX(B5067:B$2,-1+SUMPRODUCT(MAX(ROW(E5067:E$2)*(E5068=E5067:E$2)))))</f>
        <v> </v>
      </c>
      <c r="J5068" s="26" t="str">
        <f>IF(OR(E5068="",E5068="!!!",F5068="NEW"),"",COUNTBLANK(OFFSET(A$1,,,SUMPRODUCT(MAX(ROW(E$2:E5068)*(E5068=E$2:E5068)))))-COUNTBLANK(OFFSET(A$1,,,SUMPRODUCT(MAX(ROW(E$1:E5067)*(E2=E$1:E5067))))))</f>
        <v> </v>
      </c>
      <c r="K5068" s="26" t="str">
        <f>IF(OR(E5068="",E5068="!!!",F5068="NEW"),"",INDEX(J$1:J5067,SUMPRODUCT(MAX(ROW(E$1:E5067)*(E5068=E$1:E5067)))))</f>
        <v> </v>
      </c>
      <c r="L5068" s="27"/>
    </row>
    <row r="5069" spans="1:12">
      <c r="A5069" s="20" t="s">
        <v>1020</v>
      </c>
      <c r="E5069" s="22">
        <f>IF(D5069="?OLD","!!!","")</f>
        <v/>
      </c>
      <c r="F5069" s="23" t="str">
        <f>IF(OR(E5069="",E5069="!!!"),"",IF(NOT(ISNA(VLOOKUP(E5069,E$1:E5068,1,FALSE()))),"OLD",IF(AND(E5069&lt;&gt;"",E5069&lt;&gt;"!!!"),"NEW","")))</f>
        <v> </v>
      </c>
      <c r="G5069" s="24" t="str">
        <f>IF(OR(E5069="",E5069="!!!"),"",IF(OR(J5069=0,AND(J5069=1,K5069=1),AND(J5069=1,I5069="SBJ"),AND(J5069=1,I5069=0)),"?IN_FOCUS",IF(J5069&lt;=2,"?ACTIVATED",IF(J5069&lt;&gt;"","?FAMILIAR",IF(F5069="NEW",IF(ISNA(VLOOKUP(E5069,#REF!,1,FALSE())),"?TYPE_IDENTIFIABLE","?REFERENTIAL"),"_")))))</f>
        <v> </v>
      </c>
      <c r="H5069" s="25" t="str">
        <f>IF(J5069&lt;&gt;1,"",IF(I5069="SBJ","CB","?"))</f>
        <v> </v>
      </c>
      <c r="I5069" s="26" t="str">
        <f>IF(OR(E5069="",E5069="!!!",F5069="NEW"),"",INDEX(B5068:B$2,-1+SUMPRODUCT(MAX(ROW(E5068:E$2)*(E5069=E5068:E$2)))))</f>
        <v> </v>
      </c>
      <c r="J5069" s="26" t="str">
        <f>IF(OR(E5069="",E5069="!!!",F5069="NEW"),"",COUNTBLANK(OFFSET(A$1,,,SUMPRODUCT(MAX(ROW(E$2:E5069)*(E5069=E$2:E5069)))))-COUNTBLANK(OFFSET(A$1,,,SUMPRODUCT(MAX(ROW(E$1:E5068)*(E2=E$1:E5068))))))</f>
        <v> </v>
      </c>
      <c r="K5069" s="26" t="str">
        <f>IF(OR(E5069="",E5069="!!!",F5069="NEW"),"",INDEX(J$1:J5068,SUMPRODUCT(MAX(ROW(E$1:E5068)*(E5069=E$1:E5068)))))</f>
        <v> </v>
      </c>
      <c r="L5069" s="27"/>
    </row>
    <row r="5070" spans="1:12">
      <c r="A5070" s="20" t="s">
        <v>2078</v>
      </c>
      <c r="B5070" s="21" t="s">
        <v>1040</v>
      </c>
      <c r="C5070" s="21" t="s">
        <v>1059</v>
      </c>
      <c r="D5070" s="21" t="s">
        <v>1007</v>
      </c>
      <c r="E5070" s="22">
        <f>IF(D5070="?OLD","!!!","")</f>
        <v/>
      </c>
      <c r="F5070" s="23" t="str">
        <f>IF(OR(E5070="",E5070="!!!"),"",IF(NOT(ISNA(VLOOKUP(E5070,E$1:E5069,1,FALSE()))),"OLD",IF(AND(E5070&lt;&gt;"",E5070&lt;&gt;"!!!"),"NEW","")))</f>
        <v> </v>
      </c>
      <c r="G5070" s="24" t="str">
        <f>IF(OR(E5070="",E5070="!!!"),"",IF(OR(J5070=0,AND(J5070=1,K5070=1),AND(J5070=1,I5070="SBJ"),AND(J5070=1,I5070=0)),"?IN_FOCUS",IF(J5070&lt;=2,"?ACTIVATED",IF(J5070&lt;&gt;"","?FAMILIAR",IF(F5070="NEW",IF(ISNA(VLOOKUP(E5070,#REF!,1,FALSE())),"?TYPE_IDENTIFIABLE","?REFERENTIAL"),"_")))))</f>
        <v> </v>
      </c>
      <c r="H5070" s="25" t="str">
        <f>IF(J5070&lt;&gt;1,"",IF(I5070="SBJ","CB","?"))</f>
        <v> </v>
      </c>
      <c r="I5070" s="26" t="str">
        <f>IF(OR(E5070="",E5070="!!!",F5070="NEW"),"",INDEX(B5069:B$2,-1+SUMPRODUCT(MAX(ROW(E5069:E$2)*(E5070=E5069:E$2)))))</f>
        <v> </v>
      </c>
      <c r="J5070" s="26" t="str">
        <f>IF(OR(E5070="",E5070="!!!",F5070="NEW"),"",COUNTBLANK(OFFSET(A$1,,,SUMPRODUCT(MAX(ROW(E$2:E5070)*(E5070=E$2:E5070)))))-COUNTBLANK(OFFSET(A$1,,,SUMPRODUCT(MAX(ROW(E$1:E5069)*(E2=E$1:E5069))))))</f>
        <v> </v>
      </c>
      <c r="K5070" s="26" t="str">
        <f>IF(OR(E5070="",E5070="!!!",F5070="NEW"),"",INDEX(J$1:J5069,SUMPRODUCT(MAX(ROW(E$1:E5069)*(E5070=E$1:E5069)))))</f>
        <v> </v>
      </c>
      <c r="L5070" s="27"/>
    </row>
    <row r="5071" spans="1:12">
      <c r="A5071" s="20" t="s">
        <v>2402</v>
      </c>
      <c r="B5071" s="21" t="s">
        <v>1130</v>
      </c>
      <c r="C5071" s="21" t="s">
        <v>1017</v>
      </c>
      <c r="D5071" s="21" t="s">
        <v>1007</v>
      </c>
      <c r="E5071" s="22">
        <f>IF(D5071="?OLD","!!!","")</f>
        <v/>
      </c>
      <c r="F5071" s="23" t="str">
        <f>IF(OR(E5071="",E5071="!!!"),"",IF(NOT(ISNA(VLOOKUP(E5071,E$1:E5070,1,FALSE()))),"OLD",IF(AND(E5071&lt;&gt;"",E5071&lt;&gt;"!!!"),"NEW","")))</f>
        <v> </v>
      </c>
      <c r="G5071" s="24" t="str">
        <f>IF(OR(E5071="",E5071="!!!"),"",IF(OR(J5071=0,AND(J5071=1,K5071=1),AND(J5071=1,I5071="SBJ"),AND(J5071=1,I5071=0)),"?IN_FOCUS",IF(J5071&lt;=2,"?ACTIVATED",IF(J5071&lt;&gt;"","?FAMILIAR",IF(F5071="NEW",IF(ISNA(VLOOKUP(E5071,#REF!,1,FALSE())),"?TYPE_IDENTIFIABLE","?REFERENTIAL"),"_")))))</f>
        <v> </v>
      </c>
      <c r="H5071" s="25" t="str">
        <f>IF(J5071&lt;&gt;1,"",IF(I5071="SBJ","CB","?"))</f>
        <v> </v>
      </c>
      <c r="I5071" s="26" t="str">
        <f>IF(OR(E5071="",E5071="!!!",F5071="NEW"),"",INDEX(B5070:B$2,-1+SUMPRODUCT(MAX(ROW(E5070:E$2)*(E5071=E5070:E$2)))))</f>
        <v> </v>
      </c>
      <c r="J5071" s="26" t="str">
        <f>IF(OR(E5071="",E5071="!!!",F5071="NEW"),"",COUNTBLANK(OFFSET(A$1,,,SUMPRODUCT(MAX(ROW(E$2:E5071)*(E5071=E$2:E5071)))))-COUNTBLANK(OFFSET(A$1,,,SUMPRODUCT(MAX(ROW(E$1:E5070)*(E2=E$1:E5070))))))</f>
        <v> </v>
      </c>
      <c r="K5071" s="26" t="str">
        <f>IF(OR(E5071="",E5071="!!!",F5071="NEW"),"",INDEX(J$1:J5070,SUMPRODUCT(MAX(ROW(E$1:E5070)*(E5071=E$1:E5070)))))</f>
        <v> </v>
      </c>
      <c r="L5071" s="27"/>
    </row>
    <row r="5072" spans="1:12">
      <c r="A5072" s="20" t="s">
        <v>1142</v>
      </c>
      <c r="E5072" s="22">
        <f>IF(D5072="?OLD","!!!","")</f>
        <v/>
      </c>
      <c r="F5072" s="23" t="str">
        <f>IF(OR(E5072="",E5072="!!!"),"",IF(NOT(ISNA(VLOOKUP(E5072,E$1:E5071,1,FALSE()))),"OLD",IF(AND(E5072&lt;&gt;"",E5072&lt;&gt;"!!!"),"NEW","")))</f>
        <v> </v>
      </c>
      <c r="G5072" s="24" t="str">
        <f>IF(OR(E5072="",E5072="!!!"),"",IF(OR(J5072=0,AND(J5072=1,K5072=1),AND(J5072=1,I5072="SBJ"),AND(J5072=1,I5072=0)),"?IN_FOCUS",IF(J5072&lt;=2,"?ACTIVATED",IF(J5072&lt;&gt;"","?FAMILIAR",IF(F5072="NEW",IF(ISNA(VLOOKUP(E5072,#REF!,1,FALSE())),"?TYPE_IDENTIFIABLE","?REFERENTIAL"),"_")))))</f>
        <v> </v>
      </c>
      <c r="H5072" s="25" t="str">
        <f>IF(J5072&lt;&gt;1,"",IF(I5072="SBJ","CB","?"))</f>
        <v> </v>
      </c>
      <c r="I5072" s="26" t="str">
        <f>IF(OR(E5072="",E5072="!!!",F5072="NEW"),"",INDEX(B5071:B$2,-1+SUMPRODUCT(MAX(ROW(E5071:E$2)*(E5072=E5071:E$2)))))</f>
        <v> </v>
      </c>
      <c r="J5072" s="26" t="str">
        <f>IF(OR(E5072="",E5072="!!!",F5072="NEW"),"",COUNTBLANK(OFFSET(A$1,,,SUMPRODUCT(MAX(ROW(E$2:E5072)*(E5072=E$2:E5072)))))-COUNTBLANK(OFFSET(A$1,,,SUMPRODUCT(MAX(ROW(E$1:E5071)*(E2=E$1:E5071))))))</f>
        <v> </v>
      </c>
      <c r="K5072" s="26" t="str">
        <f>IF(OR(E5072="",E5072="!!!",F5072="NEW"),"",INDEX(J$1:J5071,SUMPRODUCT(MAX(ROW(E$1:E5071)*(E5072=E$1:E5071)))))</f>
        <v> </v>
      </c>
      <c r="L5072" s="27"/>
    </row>
    <row r="5073" spans="1:12">
      <c r="A5073" s="20" t="s">
        <v>1114</v>
      </c>
      <c r="E5073" s="22">
        <f>IF(D5073="?OLD","!!!","")</f>
        <v/>
      </c>
      <c r="F5073" s="23" t="str">
        <f>IF(OR(E5073="",E5073="!!!"),"",IF(NOT(ISNA(VLOOKUP(E5073,E$1:E5072,1,FALSE()))),"OLD",IF(AND(E5073&lt;&gt;"",E5073&lt;&gt;"!!!"),"NEW","")))</f>
        <v> </v>
      </c>
      <c r="G5073" s="24" t="str">
        <f>IF(OR(E5073="",E5073="!!!"),"",IF(OR(J5073=0,AND(J5073=1,K5073=1),AND(J5073=1,I5073="SBJ"),AND(J5073=1,I5073=0)),"?IN_FOCUS",IF(J5073&lt;=2,"?ACTIVATED",IF(J5073&lt;&gt;"","?FAMILIAR",IF(F5073="NEW",IF(ISNA(VLOOKUP(E5073,#REF!,1,FALSE())),"?TYPE_IDENTIFIABLE","?REFERENTIAL"),"_")))))</f>
        <v> </v>
      </c>
      <c r="H5073" s="25" t="str">
        <f>IF(J5073&lt;&gt;1,"",IF(I5073="SBJ","CB","?"))</f>
        <v> </v>
      </c>
      <c r="I5073" s="26" t="str">
        <f>IF(OR(E5073="",E5073="!!!",F5073="NEW"),"",INDEX(B5072:B$2,-1+SUMPRODUCT(MAX(ROW(E5072:E$2)*(E5073=E5072:E$2)))))</f>
        <v> </v>
      </c>
      <c r="J5073" s="26" t="str">
        <f>IF(OR(E5073="",E5073="!!!",F5073="NEW"),"",COUNTBLANK(OFFSET(A$1,,,SUMPRODUCT(MAX(ROW(E$2:E5073)*(E5073=E$2:E5073)))))-COUNTBLANK(OFFSET(A$1,,,SUMPRODUCT(MAX(ROW(E$1:E5072)*(E2=E$1:E5072))))))</f>
        <v> </v>
      </c>
      <c r="K5073" s="26" t="str">
        <f>IF(OR(E5073="",E5073="!!!",F5073="NEW"),"",INDEX(J$1:J5072,SUMPRODUCT(MAX(ROW(E$1:E5072)*(E5073=E$1:E5072)))))</f>
        <v> </v>
      </c>
      <c r="L5073" s="27"/>
    </row>
    <row r="5074" spans="1:12">
      <c r="A5074" s="20" t="s">
        <v>2403</v>
      </c>
      <c r="E5074" s="22">
        <f>IF(D5074="?OLD","!!!","")</f>
        <v/>
      </c>
      <c r="F5074" s="23" t="str">
        <f>IF(OR(E5074="",E5074="!!!"),"",IF(NOT(ISNA(VLOOKUP(E5074,E$1:E5073,1,FALSE()))),"OLD",IF(AND(E5074&lt;&gt;"",E5074&lt;&gt;"!!!"),"NEW","")))</f>
        <v> </v>
      </c>
      <c r="G5074" s="24" t="str">
        <f>IF(OR(E5074="",E5074="!!!"),"",IF(OR(J5074=0,AND(J5074=1,K5074=1),AND(J5074=1,I5074="SBJ"),AND(J5074=1,I5074=0)),"?IN_FOCUS",IF(J5074&lt;=2,"?ACTIVATED",IF(J5074&lt;&gt;"","?FAMILIAR",IF(F5074="NEW",IF(ISNA(VLOOKUP(E5074,#REF!,1,FALSE())),"?TYPE_IDENTIFIABLE","?REFERENTIAL"),"_")))))</f>
        <v> </v>
      </c>
      <c r="H5074" s="25" t="str">
        <f>IF(J5074&lt;&gt;1,"",IF(I5074="SBJ","CB","?"))</f>
        <v> </v>
      </c>
      <c r="I5074" s="26" t="str">
        <f>IF(OR(E5074="",E5074="!!!",F5074="NEW"),"",INDEX(B5073:B$2,-1+SUMPRODUCT(MAX(ROW(E5073:E$2)*(E5074=E5073:E$2)))))</f>
        <v> </v>
      </c>
      <c r="J5074" s="26" t="str">
        <f>IF(OR(E5074="",E5074="!!!",F5074="NEW"),"",COUNTBLANK(OFFSET(A$1,,,SUMPRODUCT(MAX(ROW(E$2:E5074)*(E5074=E$2:E5074)))))-COUNTBLANK(OFFSET(A$1,,,SUMPRODUCT(MAX(ROW(E$1:E5073)*(E2=E$1:E5073))))))</f>
        <v> </v>
      </c>
      <c r="K5074" s="26" t="str">
        <f>IF(OR(E5074="",E5074="!!!",F5074="NEW"),"",INDEX(J$1:J5073,SUMPRODUCT(MAX(ROW(E$1:E5073)*(E5074=E$1:E5073)))))</f>
        <v> </v>
      </c>
      <c r="L5074" s="27"/>
    </row>
    <row r="5075" spans="1:12">
      <c r="A5075" s="20" t="s">
        <v>1014</v>
      </c>
      <c r="E5075" s="22">
        <f>IF(D5075="?OLD","!!!","")</f>
        <v/>
      </c>
      <c r="F5075" s="23" t="str">
        <f>IF(OR(E5075="",E5075="!!!"),"",IF(NOT(ISNA(VLOOKUP(E5075,E$1:E5074,1,FALSE()))),"OLD",IF(AND(E5075&lt;&gt;"",E5075&lt;&gt;"!!!"),"NEW","")))</f>
        <v> </v>
      </c>
      <c r="G5075" s="24" t="str">
        <f>IF(OR(E5075="",E5075="!!!"),"",IF(OR(J5075=0,AND(J5075=1,K5075=1),AND(J5075=1,I5075="SBJ"),AND(J5075=1,I5075=0)),"?IN_FOCUS",IF(J5075&lt;=2,"?ACTIVATED",IF(J5075&lt;&gt;"","?FAMILIAR",IF(F5075="NEW",IF(ISNA(VLOOKUP(E5075,#REF!,1,FALSE())),"?TYPE_IDENTIFIABLE","?REFERENTIAL"),"_")))))</f>
        <v> </v>
      </c>
      <c r="H5075" s="25" t="str">
        <f>IF(J5075&lt;&gt;1,"",IF(I5075="SBJ","CB","?"))</f>
        <v> </v>
      </c>
      <c r="I5075" s="26" t="str">
        <f>IF(OR(E5075="",E5075="!!!",F5075="NEW"),"",INDEX(B5074:B$2,-1+SUMPRODUCT(MAX(ROW(E5074:E$2)*(E5075=E5074:E$2)))))</f>
        <v> </v>
      </c>
      <c r="J5075" s="26" t="str">
        <f>IF(OR(E5075="",E5075="!!!",F5075="NEW"),"",COUNTBLANK(OFFSET(A$1,,,SUMPRODUCT(MAX(ROW(E$2:E5075)*(E5075=E$2:E5075)))))-COUNTBLANK(OFFSET(A$1,,,SUMPRODUCT(MAX(ROW(E$1:E5074)*(E2=E$1:E5074))))))</f>
        <v> </v>
      </c>
      <c r="K5075" s="26" t="str">
        <f>IF(OR(E5075="",E5075="!!!",F5075="NEW"),"",INDEX(J$1:J5074,SUMPRODUCT(MAX(ROW(E$1:E5074)*(E5075=E$1:E5074)))))</f>
        <v> </v>
      </c>
      <c r="L5075" s="27"/>
    </row>
    <row r="5076" spans="1:12">
      <c r="A5076" s="20" t="s">
        <v>2404</v>
      </c>
      <c r="B5076" s="21" t="s">
        <v>1064</v>
      </c>
      <c r="C5076" s="21" t="s">
        <v>1013</v>
      </c>
      <c r="D5076" s="21" t="s">
        <v>1007</v>
      </c>
      <c r="E5076" s="22">
        <f>IF(D5076="?OLD","!!!","")</f>
        <v/>
      </c>
      <c r="F5076" s="23" t="str">
        <f>IF(OR(E5076="",E5076="!!!"),"",IF(NOT(ISNA(VLOOKUP(E5076,E$1:E5075,1,FALSE()))),"OLD",IF(AND(E5076&lt;&gt;"",E5076&lt;&gt;"!!!"),"NEW","")))</f>
        <v> </v>
      </c>
      <c r="G5076" s="24" t="str">
        <f>IF(OR(E5076="",E5076="!!!"),"",IF(OR(J5076=0,AND(J5076=1,K5076=1),AND(J5076=1,I5076="SBJ"),AND(J5076=1,I5076=0)),"?IN_FOCUS",IF(J5076&lt;=2,"?ACTIVATED",IF(J5076&lt;&gt;"","?FAMILIAR",IF(F5076="NEW",IF(ISNA(VLOOKUP(E5076,#REF!,1,FALSE())),"?TYPE_IDENTIFIABLE","?REFERENTIAL"),"_")))))</f>
        <v> </v>
      </c>
      <c r="H5076" s="25" t="str">
        <f>IF(J5076&lt;&gt;1,"",IF(I5076="SBJ","CB","?"))</f>
        <v> </v>
      </c>
      <c r="I5076" s="26" t="str">
        <f>IF(OR(E5076="",E5076="!!!",F5076="NEW"),"",INDEX(B5075:B$2,-1+SUMPRODUCT(MAX(ROW(E5075:E$2)*(E5076=E5075:E$2)))))</f>
        <v> </v>
      </c>
      <c r="J5076" s="26" t="str">
        <f>IF(OR(E5076="",E5076="!!!",F5076="NEW"),"",COUNTBLANK(OFFSET(A$1,,,SUMPRODUCT(MAX(ROW(E$2:E5076)*(E5076=E$2:E5076)))))-COUNTBLANK(OFFSET(A$1,,,SUMPRODUCT(MAX(ROW(E$1:E5075)*(E2=E$1:E5075))))))</f>
        <v> </v>
      </c>
      <c r="K5076" s="26" t="str">
        <f>IF(OR(E5076="",E5076="!!!",F5076="NEW"),"",INDEX(J$1:J5075,SUMPRODUCT(MAX(ROW(E$1:E5075)*(E5076=E$1:E5075)))))</f>
        <v> </v>
      </c>
      <c r="L5076" s="27"/>
    </row>
    <row r="5077" spans="1:12">
      <c r="A5077" s="20" t="s">
        <v>1182</v>
      </c>
      <c r="E5077" s="22">
        <f>IF(D5077="?OLD","!!!","")</f>
        <v/>
      </c>
      <c r="F5077" s="23" t="str">
        <f>IF(OR(E5077="",E5077="!!!"),"",IF(NOT(ISNA(VLOOKUP(E5077,E$1:E5076,1,FALSE()))),"OLD",IF(AND(E5077&lt;&gt;"",E5077&lt;&gt;"!!!"),"NEW","")))</f>
        <v> </v>
      </c>
      <c r="G5077" s="24" t="str">
        <f>IF(OR(E5077="",E5077="!!!"),"",IF(OR(J5077=0,AND(J5077=1,K5077=1),AND(J5077=1,I5077="SBJ"),AND(J5077=1,I5077=0)),"?IN_FOCUS",IF(J5077&lt;=2,"?ACTIVATED",IF(J5077&lt;&gt;"","?FAMILIAR",IF(F5077="NEW",IF(ISNA(VLOOKUP(E5077,#REF!,1,FALSE())),"?TYPE_IDENTIFIABLE","?REFERENTIAL"),"_")))))</f>
        <v> </v>
      </c>
      <c r="H5077" s="25" t="str">
        <f>IF(J5077&lt;&gt;1,"",IF(I5077="SBJ","CB","?"))</f>
        <v> </v>
      </c>
      <c r="I5077" s="26" t="str">
        <f>IF(OR(E5077="",E5077="!!!",F5077="NEW"),"",INDEX(B5076:B$2,-1+SUMPRODUCT(MAX(ROW(E5076:E$2)*(E5077=E5076:E$2)))))</f>
        <v> </v>
      </c>
      <c r="J5077" s="26" t="str">
        <f>IF(OR(E5077="",E5077="!!!",F5077="NEW"),"",COUNTBLANK(OFFSET(A$1,,,SUMPRODUCT(MAX(ROW(E$2:E5077)*(E5077=E$2:E5077)))))-COUNTBLANK(OFFSET(A$1,,,SUMPRODUCT(MAX(ROW(E$1:E5076)*(E2=E$1:E5076))))))</f>
        <v> </v>
      </c>
      <c r="K5077" s="26" t="str">
        <f>IF(OR(E5077="",E5077="!!!",F5077="NEW"),"",INDEX(J$1:J5076,SUMPRODUCT(MAX(ROW(E$1:E5076)*(E5077=E$1:E5076)))))</f>
        <v> </v>
      </c>
      <c r="L5077" s="27"/>
    </row>
    <row r="5078" spans="1:12">
      <c r="A5078" s="20" t="s">
        <v>1027</v>
      </c>
      <c r="E5078" s="22">
        <f>IF(D5078="?OLD","!!!","")</f>
        <v/>
      </c>
      <c r="F5078" s="23" t="str">
        <f>IF(OR(E5078="",E5078="!!!"),"",IF(NOT(ISNA(VLOOKUP(E5078,E$1:E5077,1,FALSE()))),"OLD",IF(AND(E5078&lt;&gt;"",E5078&lt;&gt;"!!!"),"NEW","")))</f>
        <v> </v>
      </c>
      <c r="G5078" s="24" t="str">
        <f>IF(OR(E5078="",E5078="!!!"),"",IF(OR(J5078=0,AND(J5078=1,K5078=1),AND(J5078=1,I5078="SBJ"),AND(J5078=1,I5078=0)),"?IN_FOCUS",IF(J5078&lt;=2,"?ACTIVATED",IF(J5078&lt;&gt;"","?FAMILIAR",IF(F5078="NEW",IF(ISNA(VLOOKUP(E5078,#REF!,1,FALSE())),"?TYPE_IDENTIFIABLE","?REFERENTIAL"),"_")))))</f>
        <v> </v>
      </c>
      <c r="H5078" s="25" t="str">
        <f>IF(J5078&lt;&gt;1,"",IF(I5078="SBJ","CB","?"))</f>
        <v> </v>
      </c>
      <c r="I5078" s="26" t="str">
        <f>IF(OR(E5078="",E5078="!!!",F5078="NEW"),"",INDEX(B5077:B$2,-1+SUMPRODUCT(MAX(ROW(E5077:E$2)*(E5078=E5077:E$2)))))</f>
        <v> </v>
      </c>
      <c r="J5078" s="26" t="str">
        <f>IF(OR(E5078="",E5078="!!!",F5078="NEW"),"",COUNTBLANK(OFFSET(A$1,,,SUMPRODUCT(MAX(ROW(E$2:E5078)*(E5078=E$2:E5078)))))-COUNTBLANK(OFFSET(A$1,,,SUMPRODUCT(MAX(ROW(E$1:E5077)*(E2=E$1:E5077))))))</f>
        <v> </v>
      </c>
      <c r="K5078" s="26" t="str">
        <f>IF(OR(E5078="",E5078="!!!",F5078="NEW"),"",INDEX(J$1:J5077,SUMPRODUCT(MAX(ROW(E$1:E5077)*(E5078=E$1:E5077)))))</f>
        <v> </v>
      </c>
      <c r="L5078" s="27"/>
    </row>
    <row r="5079" spans="1:12">
      <c r="A5079" s="20" t="s">
        <v>2405</v>
      </c>
      <c r="E5079" s="22">
        <f>IF(D5079="?OLD","!!!","")</f>
        <v/>
      </c>
      <c r="F5079" s="23" t="str">
        <f>IF(OR(E5079="",E5079="!!!"),"",IF(NOT(ISNA(VLOOKUP(E5079,E$1:E5078,1,FALSE()))),"OLD",IF(AND(E5079&lt;&gt;"",E5079&lt;&gt;"!!!"),"NEW","")))</f>
        <v> </v>
      </c>
      <c r="G5079" s="24" t="str">
        <f>IF(OR(E5079="",E5079="!!!"),"",IF(OR(J5079=0,AND(J5079=1,K5079=1),AND(J5079=1,I5079="SBJ"),AND(J5079=1,I5079=0)),"?IN_FOCUS",IF(J5079&lt;=2,"?ACTIVATED",IF(J5079&lt;&gt;"","?FAMILIAR",IF(F5079="NEW",IF(ISNA(VLOOKUP(E5079,#REF!,1,FALSE())),"?TYPE_IDENTIFIABLE","?REFERENTIAL"),"_")))))</f>
        <v> </v>
      </c>
      <c r="H5079" s="25" t="str">
        <f>IF(J5079&lt;&gt;1,"",IF(I5079="SBJ","CB","?"))</f>
        <v> </v>
      </c>
      <c r="I5079" s="26" t="str">
        <f>IF(OR(E5079="",E5079="!!!",F5079="NEW"),"",INDEX(B5078:B$2,-1+SUMPRODUCT(MAX(ROW(E5078:E$2)*(E5079=E5078:E$2)))))</f>
        <v> </v>
      </c>
      <c r="J5079" s="26" t="str">
        <f>IF(OR(E5079="",E5079="!!!",F5079="NEW"),"",COUNTBLANK(OFFSET(A$1,,,SUMPRODUCT(MAX(ROW(E$2:E5079)*(E5079=E$2:E5079)))))-COUNTBLANK(OFFSET(A$1,,,SUMPRODUCT(MAX(ROW(E$1:E5078)*(E2=E$1:E5078))))))</f>
        <v> </v>
      </c>
      <c r="K5079" s="26" t="str">
        <f>IF(OR(E5079="",E5079="!!!",F5079="NEW"),"",INDEX(J$1:J5078,SUMPRODUCT(MAX(ROW(E$1:E5078)*(E5079=E$1:E5078)))))</f>
        <v> </v>
      </c>
      <c r="L5079" s="27"/>
    </row>
    <row r="5080" spans="1:12">
      <c r="A5080" s="20" t="s">
        <v>1574</v>
      </c>
      <c r="B5080" s="21" t="s">
        <v>1130</v>
      </c>
      <c r="C5080" s="21" t="s">
        <v>1017</v>
      </c>
      <c r="D5080" s="21" t="s">
        <v>1007</v>
      </c>
      <c r="E5080" s="22">
        <f>IF(D5080="?OLD","!!!","")</f>
        <v/>
      </c>
      <c r="F5080" s="23" t="str">
        <f>IF(OR(E5080="",E5080="!!!"),"",IF(NOT(ISNA(VLOOKUP(E5080,E$1:E5079,1,FALSE()))),"OLD",IF(AND(E5080&lt;&gt;"",E5080&lt;&gt;"!!!"),"NEW","")))</f>
        <v> </v>
      </c>
      <c r="G5080" s="24" t="str">
        <f>IF(OR(E5080="",E5080="!!!"),"",IF(OR(J5080=0,AND(J5080=1,K5080=1),AND(J5080=1,I5080="SBJ"),AND(J5080=1,I5080=0)),"?IN_FOCUS",IF(J5080&lt;=2,"?ACTIVATED",IF(J5080&lt;&gt;"","?FAMILIAR",IF(F5080="NEW",IF(ISNA(VLOOKUP(E5080,#REF!,1,FALSE())),"?TYPE_IDENTIFIABLE","?REFERENTIAL"),"_")))))</f>
        <v> </v>
      </c>
      <c r="H5080" s="25" t="str">
        <f>IF(J5080&lt;&gt;1,"",IF(I5080="SBJ","CB","?"))</f>
        <v> </v>
      </c>
      <c r="I5080" s="26" t="str">
        <f>IF(OR(E5080="",E5080="!!!",F5080="NEW"),"",INDEX(B5079:B$2,-1+SUMPRODUCT(MAX(ROW(E5079:E$2)*(E5080=E5079:E$2)))))</f>
        <v> </v>
      </c>
      <c r="J5080" s="26" t="str">
        <f>IF(OR(E5080="",E5080="!!!",F5080="NEW"),"",COUNTBLANK(OFFSET(A$1,,,SUMPRODUCT(MAX(ROW(E$2:E5080)*(E5080=E$2:E5080)))))-COUNTBLANK(OFFSET(A$1,,,SUMPRODUCT(MAX(ROW(E$1:E5079)*(E2=E$1:E5079))))))</f>
        <v> </v>
      </c>
      <c r="K5080" s="26" t="str">
        <f>IF(OR(E5080="",E5080="!!!",F5080="NEW"),"",INDEX(J$1:J5079,SUMPRODUCT(MAX(ROW(E$1:E5079)*(E5080=E$1:E5079)))))</f>
        <v> </v>
      </c>
      <c r="L5080" s="27"/>
    </row>
    <row r="5081" spans="1:12">
      <c r="A5081" s="20" t="s">
        <v>2406</v>
      </c>
      <c r="E5081" s="22">
        <f>IF(D5081="?OLD","!!!","")</f>
        <v/>
      </c>
      <c r="F5081" s="23" t="str">
        <f>IF(OR(E5081="",E5081="!!!"),"",IF(NOT(ISNA(VLOOKUP(E5081,E$1:E5080,1,FALSE()))),"OLD",IF(AND(E5081&lt;&gt;"",E5081&lt;&gt;"!!!"),"NEW","")))</f>
        <v> </v>
      </c>
      <c r="G5081" s="24" t="str">
        <f>IF(OR(E5081="",E5081="!!!"),"",IF(OR(J5081=0,AND(J5081=1,K5081=1),AND(J5081=1,I5081="SBJ"),AND(J5081=1,I5081=0)),"?IN_FOCUS",IF(J5081&lt;=2,"?ACTIVATED",IF(J5081&lt;&gt;"","?FAMILIAR",IF(F5081="NEW",IF(ISNA(VLOOKUP(E5081,#REF!,1,FALSE())),"?TYPE_IDENTIFIABLE","?REFERENTIAL"),"_")))))</f>
        <v> </v>
      </c>
      <c r="H5081" s="25" t="str">
        <f>IF(J5081&lt;&gt;1,"",IF(I5081="SBJ","CB","?"))</f>
        <v> </v>
      </c>
      <c r="I5081" s="26" t="str">
        <f>IF(OR(E5081="",E5081="!!!",F5081="NEW"),"",INDEX(B5080:B$2,-1+SUMPRODUCT(MAX(ROW(E5080:E$2)*(E5081=E5080:E$2)))))</f>
        <v> </v>
      </c>
      <c r="J5081" s="26" t="str">
        <f>IF(OR(E5081="",E5081="!!!",F5081="NEW"),"",COUNTBLANK(OFFSET(A$1,,,SUMPRODUCT(MAX(ROW(E$2:E5081)*(E5081=E$2:E5081)))))-COUNTBLANK(OFFSET(A$1,,,SUMPRODUCT(MAX(ROW(E$1:E5080)*(E2=E$1:E5080))))))</f>
        <v> </v>
      </c>
      <c r="K5081" s="26" t="str">
        <f>IF(OR(E5081="",E5081="!!!",F5081="NEW"),"",INDEX(J$1:J5080,SUMPRODUCT(MAX(ROW(E$1:E5080)*(E5081=E$1:E5080)))))</f>
        <v> </v>
      </c>
      <c r="L5081" s="27"/>
    </row>
    <row r="5082" spans="1:12">
      <c r="A5082" s="20" t="s">
        <v>1023</v>
      </c>
      <c r="E5082" s="22">
        <f>IF(D5082="?OLD","!!!","")</f>
        <v/>
      </c>
      <c r="F5082" s="23" t="str">
        <f>IF(OR(E5082="",E5082="!!!"),"",IF(NOT(ISNA(VLOOKUP(E5082,E$1:E5081,1,FALSE()))),"OLD",IF(AND(E5082&lt;&gt;"",E5082&lt;&gt;"!!!"),"NEW","")))</f>
        <v> </v>
      </c>
      <c r="G5082" s="24" t="str">
        <f>IF(OR(E5082="",E5082="!!!"),"",IF(OR(J5082=0,AND(J5082=1,K5082=1),AND(J5082=1,I5082="SBJ"),AND(J5082=1,I5082=0)),"?IN_FOCUS",IF(J5082&lt;=2,"?ACTIVATED",IF(J5082&lt;&gt;"","?FAMILIAR",IF(F5082="NEW",IF(ISNA(VLOOKUP(E5082,#REF!,1,FALSE())),"?TYPE_IDENTIFIABLE","?REFERENTIAL"),"_")))))</f>
        <v> </v>
      </c>
      <c r="H5082" s="25" t="str">
        <f>IF(J5082&lt;&gt;1,"",IF(I5082="SBJ","CB","?"))</f>
        <v> </v>
      </c>
      <c r="I5082" s="26" t="str">
        <f>IF(OR(E5082="",E5082="!!!",F5082="NEW"),"",INDEX(B5081:B$2,-1+SUMPRODUCT(MAX(ROW(E5081:E$2)*(E5082=E5081:E$2)))))</f>
        <v> </v>
      </c>
      <c r="J5082" s="26" t="str">
        <f>IF(OR(E5082="",E5082="!!!",F5082="NEW"),"",COUNTBLANK(OFFSET(A$1,,,SUMPRODUCT(MAX(ROW(E$2:E5082)*(E5082=E$2:E5082)))))-COUNTBLANK(OFFSET(A$1,,,SUMPRODUCT(MAX(ROW(E$1:E5081)*(E2=E$1:E5081))))))</f>
        <v> </v>
      </c>
      <c r="K5082" s="26" t="str">
        <f>IF(OR(E5082="",E5082="!!!",F5082="NEW"),"",INDEX(J$1:J5081,SUMPRODUCT(MAX(ROW(E$1:E5081)*(E5082=E$1:E5081)))))</f>
        <v> </v>
      </c>
      <c r="L5082" s="27"/>
    </row>
    <row r="5083" spans="1:12">
      <c r="A5083" s="20"/>
    </row>
    <row r="5084" spans="1:12">
      <c r="A5084" s="20" t="s">
        <v>2407</v>
      </c>
    </row>
    <row r="5085" spans="1:12">
      <c r="A5085" s="20" t="s">
        <v>1147</v>
      </c>
      <c r="E5085" s="22">
        <f>IF(D5085="?OLD","!!!","")</f>
        <v/>
      </c>
      <c r="F5085" s="23" t="str">
        <f>IF(OR(E5085="",E5085="!!!"),"",IF(NOT(ISNA(VLOOKUP(E5085,E$1:E5084,1,FALSE()))),"OLD",IF(AND(E5085&lt;&gt;"",E5085&lt;&gt;"!!!"),"NEW","")))</f>
        <v> </v>
      </c>
      <c r="G5085" s="24" t="str">
        <f>IF(OR(E5085="",E5085="!!!"),"",IF(OR(J5085=0,AND(J5085=1,K5085=1),AND(J5085=1,I5085="SBJ"),AND(J5085=1,I5085=0)),"?IN_FOCUS",IF(J5085&lt;=2,"?ACTIVATED",IF(J5085&lt;&gt;"","?FAMILIAR",IF(F5085="NEW",IF(ISNA(VLOOKUP(E5085,#REF!,1,FALSE())),"?TYPE_IDENTIFIABLE","?REFERENTIAL"),"_")))))</f>
        <v> </v>
      </c>
      <c r="H5085" s="25" t="str">
        <f>IF(J5085&lt;&gt;1,"",IF(I5085="SBJ","CB","?"))</f>
        <v> </v>
      </c>
      <c r="I5085" s="26" t="str">
        <f>IF(OR(E5085="",E5085="!!!",F5085="NEW"),"",INDEX(B5084:B$2,-1+SUMPRODUCT(MAX(ROW(E5084:E$2)*(E5085=E5084:E$2)))))</f>
        <v> </v>
      </c>
      <c r="J5085" s="26" t="str">
        <f>IF(OR(E5085="",E5085="!!!",F5085="NEW"),"",COUNTBLANK(OFFSET(A$1,,,SUMPRODUCT(MAX(ROW(E$2:E5085)*(E5085=E$2:E5085)))))-COUNTBLANK(OFFSET(A$1,,,SUMPRODUCT(MAX(ROW(E$1:E5084)*(E2=E$1:E5084))))))</f>
        <v> </v>
      </c>
      <c r="K5085" s="26" t="str">
        <f>IF(OR(E5085="",E5085="!!!",F5085="NEW"),"",INDEX(J$1:J5084,SUMPRODUCT(MAX(ROW(E$1:E5084)*(E5085=E$1:E5084)))))</f>
        <v> </v>
      </c>
      <c r="L5085" s="27"/>
    </row>
    <row r="5086" spans="1:12">
      <c r="A5086" s="20" t="s">
        <v>1075</v>
      </c>
      <c r="E5086" s="22">
        <f>IF(D5086="?OLD","!!!","")</f>
        <v/>
      </c>
      <c r="F5086" s="23" t="str">
        <f>IF(OR(E5086="",E5086="!!!"),"",IF(NOT(ISNA(VLOOKUP(E5086,E$1:E5085,1,FALSE()))),"OLD",IF(AND(E5086&lt;&gt;"",E5086&lt;&gt;"!!!"),"NEW","")))</f>
        <v> </v>
      </c>
      <c r="G5086" s="24" t="str">
        <f>IF(OR(E5086="",E5086="!!!"),"",IF(OR(J5086=0,AND(J5086=1,K5086=1),AND(J5086=1,I5086="SBJ"),AND(J5086=1,I5086=0)),"?IN_FOCUS",IF(J5086&lt;=2,"?ACTIVATED",IF(J5086&lt;&gt;"","?FAMILIAR",IF(F5086="NEW",IF(ISNA(VLOOKUP(E5086,#REF!,1,FALSE())),"?TYPE_IDENTIFIABLE","?REFERENTIAL"),"_")))))</f>
        <v> </v>
      </c>
      <c r="H5086" s="25" t="str">
        <f>IF(J5086&lt;&gt;1,"",IF(I5086="SBJ","CB","?"))</f>
        <v> </v>
      </c>
      <c r="I5086" s="26" t="str">
        <f>IF(OR(E5086="",E5086="!!!",F5086="NEW"),"",INDEX(B5085:B$2,-1+SUMPRODUCT(MAX(ROW(E5085:E$2)*(E5086=E5085:E$2)))))</f>
        <v> </v>
      </c>
      <c r="J5086" s="26" t="str">
        <f>IF(OR(E5086="",E5086="!!!",F5086="NEW"),"",COUNTBLANK(OFFSET(A$1,,,SUMPRODUCT(MAX(ROW(E$2:E5086)*(E5086=E$2:E5086)))))-COUNTBLANK(OFFSET(A$1,,,SUMPRODUCT(MAX(ROW(E$1:E5085)*(E2=E$1:E5085))))))</f>
        <v> </v>
      </c>
      <c r="K5086" s="26" t="str">
        <f>IF(OR(E5086="",E5086="!!!",F5086="NEW"),"",INDEX(J$1:J5085,SUMPRODUCT(MAX(ROW(E$1:E5085)*(E5086=E$1:E5085)))))</f>
        <v> </v>
      </c>
      <c r="L5086" s="27"/>
    </row>
    <row r="5087" spans="1:12">
      <c r="A5087" s="20" t="s">
        <v>1324</v>
      </c>
      <c r="E5087" s="22">
        <f>IF(D5087="?OLD","!!!","")</f>
        <v/>
      </c>
      <c r="F5087" s="23" t="str">
        <f>IF(OR(E5087="",E5087="!!!"),"",IF(NOT(ISNA(VLOOKUP(E5087,E$1:E5086,1,FALSE()))),"OLD",IF(AND(E5087&lt;&gt;"",E5087&lt;&gt;"!!!"),"NEW","")))</f>
        <v> </v>
      </c>
      <c r="G5087" s="24" t="str">
        <f>IF(OR(E5087="",E5087="!!!"),"",IF(OR(J5087=0,AND(J5087=1,K5087=1),AND(J5087=1,I5087="SBJ"),AND(J5087=1,I5087=0)),"?IN_FOCUS",IF(J5087&lt;=2,"?ACTIVATED",IF(J5087&lt;&gt;"","?FAMILIAR",IF(F5087="NEW",IF(ISNA(VLOOKUP(E5087,#REF!,1,FALSE())),"?TYPE_IDENTIFIABLE","?REFERENTIAL"),"_")))))</f>
        <v> </v>
      </c>
      <c r="H5087" s="25" t="str">
        <f>IF(J5087&lt;&gt;1,"",IF(I5087="SBJ","CB","?"))</f>
        <v> </v>
      </c>
      <c r="I5087" s="26" t="str">
        <f>IF(OR(E5087="",E5087="!!!",F5087="NEW"),"",INDEX(B5086:B$2,-1+SUMPRODUCT(MAX(ROW(E5086:E$2)*(E5087=E5086:E$2)))))</f>
        <v> </v>
      </c>
      <c r="J5087" s="26" t="str">
        <f>IF(OR(E5087="",E5087="!!!",F5087="NEW"),"",COUNTBLANK(OFFSET(A$1,,,SUMPRODUCT(MAX(ROW(E$2:E5087)*(E5087=E$2:E5087)))))-COUNTBLANK(OFFSET(A$1,,,SUMPRODUCT(MAX(ROW(E$1:E5086)*(E2=E$1:E5086))))))</f>
        <v> </v>
      </c>
      <c r="K5087" s="26" t="str">
        <f>IF(OR(E5087="",E5087="!!!",F5087="NEW"),"",INDEX(J$1:J5086,SUMPRODUCT(MAX(ROW(E$1:E5086)*(E5087=E$1:E5086)))))</f>
        <v> </v>
      </c>
      <c r="L5087" s="27"/>
    </row>
    <row r="5088" spans="1:12">
      <c r="A5088" s="20" t="s">
        <v>1144</v>
      </c>
      <c r="B5088" s="21" t="s">
        <v>1005</v>
      </c>
      <c r="C5088" s="21" t="s">
        <v>1013</v>
      </c>
      <c r="D5088" s="21" t="s">
        <v>1007</v>
      </c>
      <c r="E5088" s="22">
        <f>IF(D5088="?OLD","!!!","")</f>
        <v/>
      </c>
      <c r="F5088" s="23" t="str">
        <f>IF(OR(E5088="",E5088="!!!"),"",IF(NOT(ISNA(VLOOKUP(E5088,E$1:E5087,1,FALSE()))),"OLD",IF(AND(E5088&lt;&gt;"",E5088&lt;&gt;"!!!"),"NEW","")))</f>
        <v> </v>
      </c>
      <c r="G5088" s="24" t="str">
        <f>IF(OR(E5088="",E5088="!!!"),"",IF(OR(J5088=0,AND(J5088=1,K5088=1),AND(J5088=1,I5088="SBJ"),AND(J5088=1,I5088=0)),"?IN_FOCUS",IF(J5088&lt;=2,"?ACTIVATED",IF(J5088&lt;&gt;"","?FAMILIAR",IF(F5088="NEW",IF(ISNA(VLOOKUP(E5088,#REF!,1,FALSE())),"?TYPE_IDENTIFIABLE","?REFERENTIAL"),"_")))))</f>
        <v> </v>
      </c>
      <c r="H5088" s="25" t="str">
        <f>IF(J5088&lt;&gt;1,"",IF(I5088="SBJ","CB","?"))</f>
        <v> </v>
      </c>
      <c r="I5088" s="26" t="str">
        <f>IF(OR(E5088="",E5088="!!!",F5088="NEW"),"",INDEX(B5087:B$2,-1+SUMPRODUCT(MAX(ROW(E5087:E$2)*(E5088=E5087:E$2)))))</f>
        <v> </v>
      </c>
      <c r="J5088" s="26" t="str">
        <f>IF(OR(E5088="",E5088="!!!",F5088="NEW"),"",COUNTBLANK(OFFSET(A$1,,,SUMPRODUCT(MAX(ROW(E$2:E5088)*(E5088=E$2:E5088)))))-COUNTBLANK(OFFSET(A$1,,,SUMPRODUCT(MAX(ROW(E$1:E5087)*(E2=E$1:E5087))))))</f>
        <v> </v>
      </c>
      <c r="K5088" s="26" t="str">
        <f>IF(OR(E5088="",E5088="!!!",F5088="NEW"),"",INDEX(J$1:J5087,SUMPRODUCT(MAX(ROW(E$1:E5087)*(E5088=E$1:E5087)))))</f>
        <v> </v>
      </c>
      <c r="L5088" s="27"/>
    </row>
    <row r="5089" spans="1:12">
      <c r="A5089" s="20" t="s">
        <v>1014</v>
      </c>
      <c r="E5089" s="22">
        <f>IF(D5089="?OLD","!!!","")</f>
        <v/>
      </c>
      <c r="F5089" s="23" t="str">
        <f>IF(OR(E5089="",E5089="!!!"),"",IF(NOT(ISNA(VLOOKUP(E5089,E$1:E5088,1,FALSE()))),"OLD",IF(AND(E5089&lt;&gt;"",E5089&lt;&gt;"!!!"),"NEW","")))</f>
        <v> </v>
      </c>
      <c r="G5089" s="24" t="str">
        <f>IF(OR(E5089="",E5089="!!!"),"",IF(OR(J5089=0,AND(J5089=1,K5089=1),AND(J5089=1,I5089="SBJ"),AND(J5089=1,I5089=0)),"?IN_FOCUS",IF(J5089&lt;=2,"?ACTIVATED",IF(J5089&lt;&gt;"","?FAMILIAR",IF(F5089="NEW",IF(ISNA(VLOOKUP(E5089,#REF!,1,FALSE())),"?TYPE_IDENTIFIABLE","?REFERENTIAL"),"_")))))</f>
        <v> </v>
      </c>
      <c r="H5089" s="25" t="str">
        <f>IF(J5089&lt;&gt;1,"",IF(I5089="SBJ","CB","?"))</f>
        <v> </v>
      </c>
      <c r="I5089" s="26" t="str">
        <f>IF(OR(E5089="",E5089="!!!",F5089="NEW"),"",INDEX(B5088:B$2,-1+SUMPRODUCT(MAX(ROW(E5088:E$2)*(E5089=E5088:E$2)))))</f>
        <v> </v>
      </c>
      <c r="J5089" s="26" t="str">
        <f>IF(OR(E5089="",E5089="!!!",F5089="NEW"),"",COUNTBLANK(OFFSET(A$1,,,SUMPRODUCT(MAX(ROW(E$2:E5089)*(E5089=E$2:E5089)))))-COUNTBLANK(OFFSET(A$1,,,SUMPRODUCT(MAX(ROW(E$1:E5088)*(E2=E$1:E5088))))))</f>
        <v> </v>
      </c>
      <c r="K5089" s="26" t="str">
        <f>IF(OR(E5089="",E5089="!!!",F5089="NEW"),"",INDEX(J$1:J5088,SUMPRODUCT(MAX(ROW(E$1:E5088)*(E5089=E$1:E5088)))))</f>
        <v> </v>
      </c>
      <c r="L5089" s="27"/>
    </row>
    <row r="5090" spans="1:12">
      <c r="A5090" s="20" t="s">
        <v>2408</v>
      </c>
      <c r="B5090" s="21" t="s">
        <v>1005</v>
      </c>
      <c r="C5090" s="21" t="s">
        <v>1048</v>
      </c>
      <c r="E5090" s="22">
        <f>IF(D5090="?OLD","!!!","")</f>
        <v/>
      </c>
      <c r="F5090" s="23" t="str">
        <f>IF(OR(E5090="",E5090="!!!"),"",IF(NOT(ISNA(VLOOKUP(E5090,E$1:E5089,1,FALSE()))),"OLD",IF(AND(E5090&lt;&gt;"",E5090&lt;&gt;"!!!"),"NEW","")))</f>
        <v> </v>
      </c>
      <c r="G5090" s="24" t="str">
        <f>IF(OR(E5090="",E5090="!!!"),"",IF(OR(J5090=0,AND(J5090=1,K5090=1),AND(J5090=1,I5090="SBJ"),AND(J5090=1,I5090=0)),"?IN_FOCUS",IF(J5090&lt;=2,"?ACTIVATED",IF(J5090&lt;&gt;"","?FAMILIAR",IF(F5090="NEW",IF(ISNA(VLOOKUP(E5090,#REF!,1,FALSE())),"?TYPE_IDENTIFIABLE","?REFERENTIAL"),"_")))))</f>
        <v> </v>
      </c>
      <c r="H5090" s="25" t="str">
        <f>IF(J5090&lt;&gt;1,"",IF(I5090="SBJ","CB","?"))</f>
        <v> </v>
      </c>
      <c r="I5090" s="26" t="str">
        <f>IF(OR(E5090="",E5090="!!!",F5090="NEW"),"",INDEX(B5089:B$2,-1+SUMPRODUCT(MAX(ROW(E5089:E$2)*(E5090=E5089:E$2)))))</f>
        <v> </v>
      </c>
      <c r="J5090" s="26" t="str">
        <f>IF(OR(E5090="",E5090="!!!",F5090="NEW"),"",COUNTBLANK(OFFSET(A$1,,,SUMPRODUCT(MAX(ROW(E$2:E5090)*(E5090=E$2:E5090)))))-COUNTBLANK(OFFSET(A$1,,,SUMPRODUCT(MAX(ROW(E$1:E5089)*(E2=E$1:E5089))))))</f>
        <v> </v>
      </c>
      <c r="K5090" s="26" t="str">
        <f>IF(OR(E5090="",E5090="!!!",F5090="NEW"),"",INDEX(J$1:J5089,SUMPRODUCT(MAX(ROW(E$1:E5089)*(E5090=E$1:E5089)))))</f>
        <v> </v>
      </c>
      <c r="L5090" s="27"/>
    </row>
    <row r="5091" spans="1:12">
      <c r="A5091" s="20" t="s">
        <v>1684</v>
      </c>
      <c r="E5091" s="22">
        <f>IF(D5091="?OLD","!!!","")</f>
        <v/>
      </c>
      <c r="F5091" s="23" t="str">
        <f>IF(OR(E5091="",E5091="!!!"),"",IF(NOT(ISNA(VLOOKUP(E5091,E$1:E5090,1,FALSE()))),"OLD",IF(AND(E5091&lt;&gt;"",E5091&lt;&gt;"!!!"),"NEW","")))</f>
        <v> </v>
      </c>
      <c r="G5091" s="24" t="str">
        <f>IF(OR(E5091="",E5091="!!!"),"",IF(OR(J5091=0,AND(J5091=1,K5091=1),AND(J5091=1,I5091="SBJ"),AND(J5091=1,I5091=0)),"?IN_FOCUS",IF(J5091&lt;=2,"?ACTIVATED",IF(J5091&lt;&gt;"","?FAMILIAR",IF(F5091="NEW",IF(ISNA(VLOOKUP(E5091,#REF!,1,FALSE())),"?TYPE_IDENTIFIABLE","?REFERENTIAL"),"_")))))</f>
        <v> </v>
      </c>
      <c r="H5091" s="25" t="str">
        <f>IF(J5091&lt;&gt;1,"",IF(I5091="SBJ","CB","?"))</f>
        <v> </v>
      </c>
      <c r="I5091" s="26" t="str">
        <f>IF(OR(E5091="",E5091="!!!",F5091="NEW"),"",INDEX(B5090:B$2,-1+SUMPRODUCT(MAX(ROW(E5090:E$2)*(E5091=E5090:E$2)))))</f>
        <v> </v>
      </c>
      <c r="J5091" s="26" t="str">
        <f>IF(OR(E5091="",E5091="!!!",F5091="NEW"),"",COUNTBLANK(OFFSET(A$1,,,SUMPRODUCT(MAX(ROW(E$2:E5091)*(E5091=E$2:E5091)))))-COUNTBLANK(OFFSET(A$1,,,SUMPRODUCT(MAX(ROW(E$1:E5090)*(E2=E$1:E5090))))))</f>
        <v> </v>
      </c>
      <c r="K5091" s="26" t="str">
        <f>IF(OR(E5091="",E5091="!!!",F5091="NEW"),"",INDEX(J$1:J5090,SUMPRODUCT(MAX(ROW(E$1:E5090)*(E5091=E$1:E5090)))))</f>
        <v> </v>
      </c>
      <c r="L5091" s="27"/>
    </row>
    <row r="5092" spans="1:12">
      <c r="A5092" s="20" t="s">
        <v>1014</v>
      </c>
      <c r="E5092" s="22">
        <f>IF(D5092="?OLD","!!!","")</f>
        <v/>
      </c>
      <c r="F5092" s="23" t="str">
        <f>IF(OR(E5092="",E5092="!!!"),"",IF(NOT(ISNA(VLOOKUP(E5092,E$1:E5091,1,FALSE()))),"OLD",IF(AND(E5092&lt;&gt;"",E5092&lt;&gt;"!!!"),"NEW","")))</f>
        <v> </v>
      </c>
      <c r="G5092" s="24" t="str">
        <f>IF(OR(E5092="",E5092="!!!"),"",IF(OR(J5092=0,AND(J5092=1,K5092=1),AND(J5092=1,I5092="SBJ"),AND(J5092=1,I5092=0)),"?IN_FOCUS",IF(J5092&lt;=2,"?ACTIVATED",IF(J5092&lt;&gt;"","?FAMILIAR",IF(F5092="NEW",IF(ISNA(VLOOKUP(E5092,#REF!,1,FALSE())),"?TYPE_IDENTIFIABLE","?REFERENTIAL"),"_")))))</f>
        <v> </v>
      </c>
      <c r="H5092" s="25" t="str">
        <f>IF(J5092&lt;&gt;1,"",IF(I5092="SBJ","CB","?"))</f>
        <v> </v>
      </c>
      <c r="I5092" s="26" t="str">
        <f>IF(OR(E5092="",E5092="!!!",F5092="NEW"),"",INDEX(B5091:B$2,-1+SUMPRODUCT(MAX(ROW(E5091:E$2)*(E5092=E5091:E$2)))))</f>
        <v> </v>
      </c>
      <c r="J5092" s="26" t="str">
        <f>IF(OR(E5092="",E5092="!!!",F5092="NEW"),"",COUNTBLANK(OFFSET(A$1,,,SUMPRODUCT(MAX(ROW(E$2:E5092)*(E5092=E$2:E5092)))))-COUNTBLANK(OFFSET(A$1,,,SUMPRODUCT(MAX(ROW(E$1:E5091)*(E2=E$1:E5091))))))</f>
        <v> </v>
      </c>
      <c r="K5092" s="26" t="str">
        <f>IF(OR(E5092="",E5092="!!!",F5092="NEW"),"",INDEX(J$1:J5091,SUMPRODUCT(MAX(ROW(E$1:E5091)*(E5092=E$1:E5091)))))</f>
        <v> </v>
      </c>
      <c r="L5092" s="27"/>
    </row>
    <row r="5093" spans="1:12">
      <c r="A5093" s="20" t="s">
        <v>2409</v>
      </c>
      <c r="B5093" s="21" t="s">
        <v>1022</v>
      </c>
      <c r="C5093" s="21" t="s">
        <v>1048</v>
      </c>
      <c r="E5093" s="22">
        <f>IF(D5093="?OLD","!!!","")</f>
        <v/>
      </c>
      <c r="F5093" s="23" t="str">
        <f>IF(OR(E5093="",E5093="!!!"),"",IF(NOT(ISNA(VLOOKUP(E5093,E$1:E5092,1,FALSE()))),"OLD",IF(AND(E5093&lt;&gt;"",E5093&lt;&gt;"!!!"),"NEW","")))</f>
        <v> </v>
      </c>
      <c r="G5093" s="24" t="str">
        <f>IF(OR(E5093="",E5093="!!!"),"",IF(OR(J5093=0,AND(J5093=1,K5093=1),AND(J5093=1,I5093="SBJ"),AND(J5093=1,I5093=0)),"?IN_FOCUS",IF(J5093&lt;=2,"?ACTIVATED",IF(J5093&lt;&gt;"","?FAMILIAR",IF(F5093="NEW",IF(ISNA(VLOOKUP(E5093,#REF!,1,FALSE())),"?TYPE_IDENTIFIABLE","?REFERENTIAL"),"_")))))</f>
        <v> </v>
      </c>
      <c r="H5093" s="25" t="str">
        <f>IF(J5093&lt;&gt;1,"",IF(I5093="SBJ","CB","?"))</f>
        <v> </v>
      </c>
      <c r="I5093" s="26" t="str">
        <f>IF(OR(E5093="",E5093="!!!",F5093="NEW"),"",INDEX(B5092:B$2,-1+SUMPRODUCT(MAX(ROW(E5092:E$2)*(E5093=E5092:E$2)))))</f>
        <v> </v>
      </c>
      <c r="J5093" s="26" t="str">
        <f>IF(OR(E5093="",E5093="!!!",F5093="NEW"),"",COUNTBLANK(OFFSET(A$1,,,SUMPRODUCT(MAX(ROW(E$2:E5093)*(E5093=E$2:E5093)))))-COUNTBLANK(OFFSET(A$1,,,SUMPRODUCT(MAX(ROW(E$1:E5092)*(E2=E$1:E5092))))))</f>
        <v> </v>
      </c>
      <c r="K5093" s="26" t="str">
        <f>IF(OR(E5093="",E5093="!!!",F5093="NEW"),"",INDEX(J$1:J5092,SUMPRODUCT(MAX(ROW(E$1:E5092)*(E5093=E$1:E5092)))))</f>
        <v> </v>
      </c>
      <c r="L5093" s="27"/>
    </row>
    <row r="5094" spans="1:12">
      <c r="A5094" s="20" t="s">
        <v>1018</v>
      </c>
      <c r="E5094" s="22">
        <f>IF(D5094="?OLD","!!!","")</f>
        <v/>
      </c>
      <c r="F5094" s="23" t="str">
        <f>IF(OR(E5094="",E5094="!!!"),"",IF(NOT(ISNA(VLOOKUP(E5094,E$1:E5093,1,FALSE()))),"OLD",IF(AND(E5094&lt;&gt;"",E5094&lt;&gt;"!!!"),"NEW","")))</f>
        <v> </v>
      </c>
      <c r="G5094" s="24" t="str">
        <f>IF(OR(E5094="",E5094="!!!"),"",IF(OR(J5094=0,AND(J5094=1,K5094=1),AND(J5094=1,I5094="SBJ"),AND(J5094=1,I5094=0)),"?IN_FOCUS",IF(J5094&lt;=2,"?ACTIVATED",IF(J5094&lt;&gt;"","?FAMILIAR",IF(F5094="NEW",IF(ISNA(VLOOKUP(E5094,#REF!,1,FALSE())),"?TYPE_IDENTIFIABLE","?REFERENTIAL"),"_")))))</f>
        <v> </v>
      </c>
      <c r="H5094" s="25" t="str">
        <f>IF(J5094&lt;&gt;1,"",IF(I5094="SBJ","CB","?"))</f>
        <v> </v>
      </c>
      <c r="I5094" s="26" t="str">
        <f>IF(OR(E5094="",E5094="!!!",F5094="NEW"),"",INDEX(B5093:B$2,-1+SUMPRODUCT(MAX(ROW(E5093:E$2)*(E5094=E5093:E$2)))))</f>
        <v> </v>
      </c>
      <c r="J5094" s="26" t="str">
        <f>IF(OR(E5094="",E5094="!!!",F5094="NEW"),"",COUNTBLANK(OFFSET(A$1,,,SUMPRODUCT(MAX(ROW(E$2:E5094)*(E5094=E$2:E5094)))))-COUNTBLANK(OFFSET(A$1,,,SUMPRODUCT(MAX(ROW(E$1:E5093)*(E2=E$1:E5093))))))</f>
        <v> </v>
      </c>
      <c r="K5094" s="26" t="str">
        <f>IF(OR(E5094="",E5094="!!!",F5094="NEW"),"",INDEX(J$1:J5093,SUMPRODUCT(MAX(ROW(E$1:E5093)*(E5094=E$1:E5093)))))</f>
        <v> </v>
      </c>
      <c r="L5094" s="27"/>
    </row>
    <row r="5095" spans="1:12">
      <c r="A5095" s="20" t="s">
        <v>1142</v>
      </c>
      <c r="E5095" s="22">
        <f>IF(D5095="?OLD","!!!","")</f>
        <v/>
      </c>
      <c r="F5095" s="23" t="str">
        <f>IF(OR(E5095="",E5095="!!!"),"",IF(NOT(ISNA(VLOOKUP(E5095,E$1:E5094,1,FALSE()))),"OLD",IF(AND(E5095&lt;&gt;"",E5095&lt;&gt;"!!!"),"NEW","")))</f>
        <v> </v>
      </c>
      <c r="G5095" s="24" t="str">
        <f>IF(OR(E5095="",E5095="!!!"),"",IF(OR(J5095=0,AND(J5095=1,K5095=1),AND(J5095=1,I5095="SBJ"),AND(J5095=1,I5095=0)),"?IN_FOCUS",IF(J5095&lt;=2,"?ACTIVATED",IF(J5095&lt;&gt;"","?FAMILIAR",IF(F5095="NEW",IF(ISNA(VLOOKUP(E5095,#REF!,1,FALSE())),"?TYPE_IDENTIFIABLE","?REFERENTIAL"),"_")))))</f>
        <v> </v>
      </c>
      <c r="H5095" s="25" t="str">
        <f>IF(J5095&lt;&gt;1,"",IF(I5095="SBJ","CB","?"))</f>
        <v> </v>
      </c>
      <c r="I5095" s="26" t="str">
        <f>IF(OR(E5095="",E5095="!!!",F5095="NEW"),"",INDEX(B5094:B$2,-1+SUMPRODUCT(MAX(ROW(E5094:E$2)*(E5095=E5094:E$2)))))</f>
        <v> </v>
      </c>
      <c r="J5095" s="26" t="str">
        <f>IF(OR(E5095="",E5095="!!!",F5095="NEW"),"",COUNTBLANK(OFFSET(A$1,,,SUMPRODUCT(MAX(ROW(E$2:E5095)*(E5095=E$2:E5095)))))-COUNTBLANK(OFFSET(A$1,,,SUMPRODUCT(MAX(ROW(E$1:E5094)*(E2=E$1:E5094))))))</f>
        <v> </v>
      </c>
      <c r="K5095" s="26" t="str">
        <f>IF(OR(E5095="",E5095="!!!",F5095="NEW"),"",INDEX(J$1:J5094,SUMPRODUCT(MAX(ROW(E$1:E5094)*(E5095=E$1:E5094)))))</f>
        <v> </v>
      </c>
      <c r="L5095" s="27"/>
    </row>
    <row r="5096" spans="1:12">
      <c r="A5096" s="20" t="s">
        <v>1114</v>
      </c>
      <c r="E5096" s="22">
        <f>IF(D5096="?OLD","!!!","")</f>
        <v/>
      </c>
      <c r="F5096" s="23" t="str">
        <f>IF(OR(E5096="",E5096="!!!"),"",IF(NOT(ISNA(VLOOKUP(E5096,E$1:E5095,1,FALSE()))),"OLD",IF(AND(E5096&lt;&gt;"",E5096&lt;&gt;"!!!"),"NEW","")))</f>
        <v> </v>
      </c>
      <c r="G5096" s="24" t="str">
        <f>IF(OR(E5096="",E5096="!!!"),"",IF(OR(J5096=0,AND(J5096=1,K5096=1),AND(J5096=1,I5096="SBJ"),AND(J5096=1,I5096=0)),"?IN_FOCUS",IF(J5096&lt;=2,"?ACTIVATED",IF(J5096&lt;&gt;"","?FAMILIAR",IF(F5096="NEW",IF(ISNA(VLOOKUP(E5096,#REF!,1,FALSE())),"?TYPE_IDENTIFIABLE","?REFERENTIAL"),"_")))))</f>
        <v> </v>
      </c>
      <c r="H5096" s="25" t="str">
        <f>IF(J5096&lt;&gt;1,"",IF(I5096="SBJ","CB","?"))</f>
        <v> </v>
      </c>
      <c r="I5096" s="26" t="str">
        <f>IF(OR(E5096="",E5096="!!!",F5096="NEW"),"",INDEX(B5095:B$2,-1+SUMPRODUCT(MAX(ROW(E5095:E$2)*(E5096=E5095:E$2)))))</f>
        <v> </v>
      </c>
      <c r="J5096" s="26" t="str">
        <f>IF(OR(E5096="",E5096="!!!",F5096="NEW"),"",COUNTBLANK(OFFSET(A$1,,,SUMPRODUCT(MAX(ROW(E$2:E5096)*(E5096=E$2:E5096)))))-COUNTBLANK(OFFSET(A$1,,,SUMPRODUCT(MAX(ROW(E$1:E5095)*(E2=E$1:E5095))))))</f>
        <v> </v>
      </c>
      <c r="K5096" s="26" t="str">
        <f>IF(OR(E5096="",E5096="!!!",F5096="NEW"),"",INDEX(J$1:J5095,SUMPRODUCT(MAX(ROW(E$1:E5095)*(E5096=E$1:E5095)))))</f>
        <v> </v>
      </c>
      <c r="L5096" s="27"/>
    </row>
    <row r="5097" spans="1:12">
      <c r="A5097" s="20" t="s">
        <v>2075</v>
      </c>
      <c r="E5097" s="22">
        <f>IF(D5097="?OLD","!!!","")</f>
        <v/>
      </c>
      <c r="F5097" s="23" t="str">
        <f>IF(OR(E5097="",E5097="!!!"),"",IF(NOT(ISNA(VLOOKUP(E5097,E$1:E5096,1,FALSE()))),"OLD",IF(AND(E5097&lt;&gt;"",E5097&lt;&gt;"!!!"),"NEW","")))</f>
        <v> </v>
      </c>
      <c r="G5097" s="24" t="str">
        <f>IF(OR(E5097="",E5097="!!!"),"",IF(OR(J5097=0,AND(J5097=1,K5097=1),AND(J5097=1,I5097="SBJ"),AND(J5097=1,I5097=0)),"?IN_FOCUS",IF(J5097&lt;=2,"?ACTIVATED",IF(J5097&lt;&gt;"","?FAMILIAR",IF(F5097="NEW",IF(ISNA(VLOOKUP(E5097,#REF!,1,FALSE())),"?TYPE_IDENTIFIABLE","?REFERENTIAL"),"_")))))</f>
        <v> </v>
      </c>
      <c r="H5097" s="25" t="str">
        <f>IF(J5097&lt;&gt;1,"",IF(I5097="SBJ","CB","?"))</f>
        <v> </v>
      </c>
      <c r="I5097" s="26" t="str">
        <f>IF(OR(E5097="",E5097="!!!",F5097="NEW"),"",INDEX(B5096:B$2,-1+SUMPRODUCT(MAX(ROW(E5096:E$2)*(E5097=E5096:E$2)))))</f>
        <v> </v>
      </c>
      <c r="J5097" s="26" t="str">
        <f>IF(OR(E5097="",E5097="!!!",F5097="NEW"),"",COUNTBLANK(OFFSET(A$1,,,SUMPRODUCT(MAX(ROW(E$2:E5097)*(E5097=E$2:E5097)))))-COUNTBLANK(OFFSET(A$1,,,SUMPRODUCT(MAX(ROW(E$1:E5096)*(E2=E$1:E5096))))))</f>
        <v> </v>
      </c>
      <c r="K5097" s="26" t="str">
        <f>IF(OR(E5097="",E5097="!!!",F5097="NEW"),"",INDEX(J$1:J5096,SUMPRODUCT(MAX(ROW(E$1:E5096)*(E5097=E$1:E5096)))))</f>
        <v> </v>
      </c>
      <c r="L5097" s="27"/>
    </row>
    <row r="5098" spans="1:12">
      <c r="A5098" s="20" t="s">
        <v>1014</v>
      </c>
      <c r="E5098" s="22">
        <f>IF(D5098="?OLD","!!!","")</f>
        <v/>
      </c>
      <c r="F5098" s="23" t="str">
        <f>IF(OR(E5098="",E5098="!!!"),"",IF(NOT(ISNA(VLOOKUP(E5098,E$1:E5097,1,FALSE()))),"OLD",IF(AND(E5098&lt;&gt;"",E5098&lt;&gt;"!!!"),"NEW","")))</f>
        <v> </v>
      </c>
      <c r="G5098" s="24" t="str">
        <f>IF(OR(E5098="",E5098="!!!"),"",IF(OR(J5098=0,AND(J5098=1,K5098=1),AND(J5098=1,I5098="SBJ"),AND(J5098=1,I5098=0)),"?IN_FOCUS",IF(J5098&lt;=2,"?ACTIVATED",IF(J5098&lt;&gt;"","?FAMILIAR",IF(F5098="NEW",IF(ISNA(VLOOKUP(E5098,#REF!,1,FALSE())),"?TYPE_IDENTIFIABLE","?REFERENTIAL"),"_")))))</f>
        <v> </v>
      </c>
      <c r="H5098" s="25" t="str">
        <f>IF(J5098&lt;&gt;1,"",IF(I5098="SBJ","CB","?"))</f>
        <v> </v>
      </c>
      <c r="I5098" s="26" t="str">
        <f>IF(OR(E5098="",E5098="!!!",F5098="NEW"),"",INDEX(B5097:B$2,-1+SUMPRODUCT(MAX(ROW(E5097:E$2)*(E5098=E5097:E$2)))))</f>
        <v> </v>
      </c>
      <c r="J5098" s="26" t="str">
        <f>IF(OR(E5098="",E5098="!!!",F5098="NEW"),"",COUNTBLANK(OFFSET(A$1,,,SUMPRODUCT(MAX(ROW(E$2:E5098)*(E5098=E$2:E5098)))))-COUNTBLANK(OFFSET(A$1,,,SUMPRODUCT(MAX(ROW(E$1:E5097)*(E2=E$1:E5097))))))</f>
        <v> </v>
      </c>
      <c r="K5098" s="26" t="str">
        <f>IF(OR(E5098="",E5098="!!!",F5098="NEW"),"",INDEX(J$1:J5097,SUMPRODUCT(MAX(ROW(E$1:E5097)*(E5098=E$1:E5097)))))</f>
        <v> </v>
      </c>
      <c r="L5098" s="27"/>
    </row>
    <row r="5099" spans="1:12">
      <c r="A5099" s="20" t="s">
        <v>238</v>
      </c>
      <c r="E5099" s="22">
        <f>IF(D5099="?OLD","!!!","")</f>
        <v/>
      </c>
      <c r="F5099" s="23" t="str">
        <f>IF(OR(E5099="",E5099="!!!"),"",IF(NOT(ISNA(VLOOKUP(E5099,E$1:E5098,1,FALSE()))),"OLD",IF(AND(E5099&lt;&gt;"",E5099&lt;&gt;"!!!"),"NEW","")))</f>
        <v> </v>
      </c>
      <c r="G5099" s="24" t="str">
        <f>IF(OR(E5099="",E5099="!!!"),"",IF(OR(J5099=0,AND(J5099=1,K5099=1),AND(J5099=1,I5099="SBJ"),AND(J5099=1,I5099=0)),"?IN_FOCUS",IF(J5099&lt;=2,"?ACTIVATED",IF(J5099&lt;&gt;"","?FAMILIAR",IF(F5099="NEW",IF(ISNA(VLOOKUP(E5099,#REF!,1,FALSE())),"?TYPE_IDENTIFIABLE","?REFERENTIAL"),"_")))))</f>
        <v> </v>
      </c>
      <c r="H5099" s="25" t="str">
        <f>IF(J5099&lt;&gt;1,"",IF(I5099="SBJ","CB","?"))</f>
        <v> </v>
      </c>
      <c r="I5099" s="26" t="str">
        <f>IF(OR(E5099="",E5099="!!!",F5099="NEW"),"",INDEX(B5098:B$2,-1+SUMPRODUCT(MAX(ROW(E5098:E$2)*(E5099=E5098:E$2)))))</f>
        <v> </v>
      </c>
      <c r="J5099" s="26" t="str">
        <f>IF(OR(E5099="",E5099="!!!",F5099="NEW"),"",COUNTBLANK(OFFSET(A$1,,,SUMPRODUCT(MAX(ROW(E$2:E5099)*(E5099=E$2:E5099)))))-COUNTBLANK(OFFSET(A$1,,,SUMPRODUCT(MAX(ROW(E$1:E5098)*(E2=E$1:E5098))))))</f>
        <v> </v>
      </c>
      <c r="K5099" s="26" t="str">
        <f>IF(OR(E5099="",E5099="!!!",F5099="NEW"),"",INDEX(J$1:J5098,SUMPRODUCT(MAX(ROW(E$1:E5098)*(E5099=E$1:E5098)))))</f>
        <v> </v>
      </c>
      <c r="L5099" s="27"/>
    </row>
    <row r="5100" spans="1:12">
      <c r="A5100" s="20" t="s">
        <v>2410</v>
      </c>
      <c r="E5100" s="22">
        <f>IF(D5100="?OLD","!!!","")</f>
        <v/>
      </c>
      <c r="F5100" s="23" t="str">
        <f>IF(OR(E5100="",E5100="!!!"),"",IF(NOT(ISNA(VLOOKUP(E5100,E$1:E5099,1,FALSE()))),"OLD",IF(AND(E5100&lt;&gt;"",E5100&lt;&gt;"!!!"),"NEW","")))</f>
        <v> </v>
      </c>
      <c r="G5100" s="24" t="str">
        <f>IF(OR(E5100="",E5100="!!!"),"",IF(OR(J5100=0,AND(J5100=1,K5100=1),AND(J5100=1,I5100="SBJ"),AND(J5100=1,I5100=0)),"?IN_FOCUS",IF(J5100&lt;=2,"?ACTIVATED",IF(J5100&lt;&gt;"","?FAMILIAR",IF(F5100="NEW",IF(ISNA(VLOOKUP(E5100,#REF!,1,FALSE())),"?TYPE_IDENTIFIABLE","?REFERENTIAL"),"_")))))</f>
        <v> </v>
      </c>
      <c r="H5100" s="25" t="str">
        <f>IF(J5100&lt;&gt;1,"",IF(I5100="SBJ","CB","?"))</f>
        <v> </v>
      </c>
      <c r="I5100" s="26" t="str">
        <f>IF(OR(E5100="",E5100="!!!",F5100="NEW"),"",INDEX(B5099:B$2,-1+SUMPRODUCT(MAX(ROW(E5099:E$2)*(E5100=E5099:E$2)))))</f>
        <v> </v>
      </c>
      <c r="J5100" s="26" t="str">
        <f>IF(OR(E5100="",E5100="!!!",F5100="NEW"),"",COUNTBLANK(OFFSET(A$1,,,SUMPRODUCT(MAX(ROW(E$2:E5100)*(E5100=E$2:E5100)))))-COUNTBLANK(OFFSET(A$1,,,SUMPRODUCT(MAX(ROW(E$1:E5099)*(E2=E$1:E5099))))))</f>
        <v> </v>
      </c>
      <c r="K5100" s="26" t="str">
        <f>IF(OR(E5100="",E5100="!!!",F5100="NEW"),"",INDEX(J$1:J5099,SUMPRODUCT(MAX(ROW(E$1:E5099)*(E5100=E$1:E5099)))))</f>
        <v> </v>
      </c>
      <c r="L5100" s="27"/>
    </row>
    <row r="5101" spans="1:12">
      <c r="A5101" s="20" t="s">
        <v>1018</v>
      </c>
      <c r="E5101" s="22">
        <f>IF(D5101="?OLD","!!!","")</f>
        <v/>
      </c>
      <c r="F5101" s="23" t="str">
        <f>IF(OR(E5101="",E5101="!!!"),"",IF(NOT(ISNA(VLOOKUP(E5101,E$1:E5100,1,FALSE()))),"OLD",IF(AND(E5101&lt;&gt;"",E5101&lt;&gt;"!!!"),"NEW","")))</f>
        <v> </v>
      </c>
      <c r="G5101" s="24" t="str">
        <f>IF(OR(E5101="",E5101="!!!"),"",IF(OR(J5101=0,AND(J5101=1,K5101=1),AND(J5101=1,I5101="SBJ"),AND(J5101=1,I5101=0)),"?IN_FOCUS",IF(J5101&lt;=2,"?ACTIVATED",IF(J5101&lt;&gt;"","?FAMILIAR",IF(F5101="NEW",IF(ISNA(VLOOKUP(E5101,#REF!,1,FALSE())),"?TYPE_IDENTIFIABLE","?REFERENTIAL"),"_")))))</f>
        <v> </v>
      </c>
      <c r="H5101" s="25" t="str">
        <f>IF(J5101&lt;&gt;1,"",IF(I5101="SBJ","CB","?"))</f>
        <v> </v>
      </c>
      <c r="I5101" s="26" t="str">
        <f>IF(OR(E5101="",E5101="!!!",F5101="NEW"),"",INDEX(B5100:B$2,-1+SUMPRODUCT(MAX(ROW(E5100:E$2)*(E5101=E5100:E$2)))))</f>
        <v> </v>
      </c>
      <c r="J5101" s="26" t="str">
        <f>IF(OR(E5101="",E5101="!!!",F5101="NEW"),"",COUNTBLANK(OFFSET(A$1,,,SUMPRODUCT(MAX(ROW(E$2:E5101)*(E5101=E$2:E5101)))))-COUNTBLANK(OFFSET(A$1,,,SUMPRODUCT(MAX(ROW(E$1:E5100)*(E2=E$1:E5100))))))</f>
        <v> </v>
      </c>
      <c r="K5101" s="26" t="str">
        <f>IF(OR(E5101="",E5101="!!!",F5101="NEW"),"",INDEX(J$1:J5100,SUMPRODUCT(MAX(ROW(E$1:E5100)*(E5101=E$1:E5100)))))</f>
        <v> </v>
      </c>
      <c r="L5101" s="27"/>
    </row>
    <row r="5102" spans="1:12">
      <c r="A5102" s="20" t="s">
        <v>2411</v>
      </c>
      <c r="B5102" s="21" t="s">
        <v>1033</v>
      </c>
      <c r="C5102" s="21" t="s">
        <v>1048</v>
      </c>
      <c r="E5102" s="22">
        <f>IF(D5102="?OLD","!!!","")</f>
        <v/>
      </c>
      <c r="F5102" s="23" t="str">
        <f>IF(OR(E5102="",E5102="!!!"),"",IF(NOT(ISNA(VLOOKUP(E5102,E$1:E5101,1,FALSE()))),"OLD",IF(AND(E5102&lt;&gt;"",E5102&lt;&gt;"!!!"),"NEW","")))</f>
        <v> </v>
      </c>
      <c r="G5102" s="24" t="str">
        <f>IF(OR(E5102="",E5102="!!!"),"",IF(OR(J5102=0,AND(J5102=1,K5102=1),AND(J5102=1,I5102="SBJ"),AND(J5102=1,I5102=0)),"?IN_FOCUS",IF(J5102&lt;=2,"?ACTIVATED",IF(J5102&lt;&gt;"","?FAMILIAR",IF(F5102="NEW",IF(ISNA(VLOOKUP(E5102,#REF!,1,FALSE())),"?TYPE_IDENTIFIABLE","?REFERENTIAL"),"_")))))</f>
        <v> </v>
      </c>
      <c r="H5102" s="25" t="str">
        <f>IF(J5102&lt;&gt;1,"",IF(I5102="SBJ","CB","?"))</f>
        <v> </v>
      </c>
      <c r="I5102" s="26" t="str">
        <f>IF(OR(E5102="",E5102="!!!",F5102="NEW"),"",INDEX(B5101:B$2,-1+SUMPRODUCT(MAX(ROW(E5101:E$2)*(E5102=E5101:E$2)))))</f>
        <v> </v>
      </c>
      <c r="J5102" s="26" t="str">
        <f>IF(OR(E5102="",E5102="!!!",F5102="NEW"),"",COUNTBLANK(OFFSET(A$1,,,SUMPRODUCT(MAX(ROW(E$2:E5102)*(E5102=E$2:E5102)))))-COUNTBLANK(OFFSET(A$1,,,SUMPRODUCT(MAX(ROW(E$1:E5101)*(E2=E$1:E5101))))))</f>
        <v> </v>
      </c>
      <c r="K5102" s="26" t="str">
        <f>IF(OR(E5102="",E5102="!!!",F5102="NEW"),"",INDEX(J$1:J5101,SUMPRODUCT(MAX(ROW(E$1:E5101)*(E5102=E$1:E5101)))))</f>
        <v> </v>
      </c>
      <c r="L5102" s="27"/>
    </row>
    <row r="5103" spans="1:12">
      <c r="A5103" s="20" t="s">
        <v>1018</v>
      </c>
      <c r="E5103" s="22">
        <f>IF(D5103="?OLD","!!!","")</f>
        <v/>
      </c>
      <c r="F5103" s="23" t="str">
        <f>IF(OR(E5103="",E5103="!!!"),"",IF(NOT(ISNA(VLOOKUP(E5103,E$1:E5102,1,FALSE()))),"OLD",IF(AND(E5103&lt;&gt;"",E5103&lt;&gt;"!!!"),"NEW","")))</f>
        <v> </v>
      </c>
      <c r="G5103" s="24" t="str">
        <f>IF(OR(E5103="",E5103="!!!"),"",IF(OR(J5103=0,AND(J5103=1,K5103=1),AND(J5103=1,I5103="SBJ"),AND(J5103=1,I5103=0)),"?IN_FOCUS",IF(J5103&lt;=2,"?ACTIVATED",IF(J5103&lt;&gt;"","?FAMILIAR",IF(F5103="NEW",IF(ISNA(VLOOKUP(E5103,#REF!,1,FALSE())),"?TYPE_IDENTIFIABLE","?REFERENTIAL"),"_")))))</f>
        <v> </v>
      </c>
      <c r="H5103" s="25" t="str">
        <f>IF(J5103&lt;&gt;1,"",IF(I5103="SBJ","CB","?"))</f>
        <v> </v>
      </c>
      <c r="I5103" s="26" t="str">
        <f>IF(OR(E5103="",E5103="!!!",F5103="NEW"),"",INDEX(B5102:B$2,-1+SUMPRODUCT(MAX(ROW(E5102:E$2)*(E5103=E5102:E$2)))))</f>
        <v> </v>
      </c>
      <c r="J5103" s="26" t="str">
        <f>IF(OR(E5103="",E5103="!!!",F5103="NEW"),"",COUNTBLANK(OFFSET(A$1,,,SUMPRODUCT(MAX(ROW(E$2:E5103)*(E5103=E$2:E5103)))))-COUNTBLANK(OFFSET(A$1,,,SUMPRODUCT(MAX(ROW(E$1:E5102)*(E2=E$1:E5102))))))</f>
        <v> </v>
      </c>
      <c r="K5103" s="26" t="str">
        <f>IF(OR(E5103="",E5103="!!!",F5103="NEW"),"",INDEX(J$1:J5102,SUMPRODUCT(MAX(ROW(E$1:E5102)*(E5103=E$1:E5102)))))</f>
        <v> </v>
      </c>
      <c r="L5103" s="27"/>
    </row>
    <row r="5104" spans="1:12">
      <c r="A5104" s="20" t="s">
        <v>1684</v>
      </c>
      <c r="E5104" s="22">
        <f>IF(D5104="?OLD","!!!","")</f>
        <v/>
      </c>
      <c r="F5104" s="23" t="str">
        <f>IF(OR(E5104="",E5104="!!!"),"",IF(NOT(ISNA(VLOOKUP(E5104,E$1:E5103,1,FALSE()))),"OLD",IF(AND(E5104&lt;&gt;"",E5104&lt;&gt;"!!!"),"NEW","")))</f>
        <v> </v>
      </c>
      <c r="G5104" s="24" t="str">
        <f>IF(OR(E5104="",E5104="!!!"),"",IF(OR(J5104=0,AND(J5104=1,K5104=1),AND(J5104=1,I5104="SBJ"),AND(J5104=1,I5104=0)),"?IN_FOCUS",IF(J5104&lt;=2,"?ACTIVATED",IF(J5104&lt;&gt;"","?FAMILIAR",IF(F5104="NEW",IF(ISNA(VLOOKUP(E5104,#REF!,1,FALSE())),"?TYPE_IDENTIFIABLE","?REFERENTIAL"),"_")))))</f>
        <v> </v>
      </c>
      <c r="H5104" s="25" t="str">
        <f>IF(J5104&lt;&gt;1,"",IF(I5104="SBJ","CB","?"))</f>
        <v> </v>
      </c>
      <c r="I5104" s="26" t="str">
        <f>IF(OR(E5104="",E5104="!!!",F5104="NEW"),"",INDEX(B5103:B$2,-1+SUMPRODUCT(MAX(ROW(E5103:E$2)*(E5104=E5103:E$2)))))</f>
        <v> </v>
      </c>
      <c r="J5104" s="26" t="str">
        <f>IF(OR(E5104="",E5104="!!!",F5104="NEW"),"",COUNTBLANK(OFFSET(A$1,,,SUMPRODUCT(MAX(ROW(E$2:E5104)*(E5104=E$2:E5104)))))-COUNTBLANK(OFFSET(A$1,,,SUMPRODUCT(MAX(ROW(E$1:E5103)*(E2=E$1:E5103))))))</f>
        <v> </v>
      </c>
      <c r="K5104" s="26" t="str">
        <f>IF(OR(E5104="",E5104="!!!",F5104="NEW"),"",INDEX(J$1:J5103,SUMPRODUCT(MAX(ROW(E$1:E5103)*(E5104=E$1:E5103)))))</f>
        <v> </v>
      </c>
      <c r="L5104" s="27"/>
    </row>
    <row r="5105" spans="1:12">
      <c r="A5105" s="20" t="s">
        <v>1142</v>
      </c>
      <c r="E5105" s="22">
        <f>IF(D5105="?OLD","!!!","")</f>
        <v/>
      </c>
      <c r="F5105" s="23" t="str">
        <f>IF(OR(E5105="",E5105="!!!"),"",IF(NOT(ISNA(VLOOKUP(E5105,E$1:E5104,1,FALSE()))),"OLD",IF(AND(E5105&lt;&gt;"",E5105&lt;&gt;"!!!"),"NEW","")))</f>
        <v> </v>
      </c>
      <c r="G5105" s="24" t="str">
        <f>IF(OR(E5105="",E5105="!!!"),"",IF(OR(J5105=0,AND(J5105=1,K5105=1),AND(J5105=1,I5105="SBJ"),AND(J5105=1,I5105=0)),"?IN_FOCUS",IF(J5105&lt;=2,"?ACTIVATED",IF(J5105&lt;&gt;"","?FAMILIAR",IF(F5105="NEW",IF(ISNA(VLOOKUP(E5105,#REF!,1,FALSE())),"?TYPE_IDENTIFIABLE","?REFERENTIAL"),"_")))))</f>
        <v> </v>
      </c>
      <c r="H5105" s="25" t="str">
        <f>IF(J5105&lt;&gt;1,"",IF(I5105="SBJ","CB","?"))</f>
        <v> </v>
      </c>
      <c r="I5105" s="26" t="str">
        <f>IF(OR(E5105="",E5105="!!!",F5105="NEW"),"",INDEX(B5104:B$2,-1+SUMPRODUCT(MAX(ROW(E5104:E$2)*(E5105=E5104:E$2)))))</f>
        <v> </v>
      </c>
      <c r="J5105" s="26" t="str">
        <f>IF(OR(E5105="",E5105="!!!",F5105="NEW"),"",COUNTBLANK(OFFSET(A$1,,,SUMPRODUCT(MAX(ROW(E$2:E5105)*(E5105=E$2:E5105)))))-COUNTBLANK(OFFSET(A$1,,,SUMPRODUCT(MAX(ROW(E$1:E5104)*(E2=E$1:E5104))))))</f>
        <v> </v>
      </c>
      <c r="K5105" s="26" t="str">
        <f>IF(OR(E5105="",E5105="!!!",F5105="NEW"),"",INDEX(J$1:J5104,SUMPRODUCT(MAX(ROW(E$1:E5104)*(E5105=E$1:E5104)))))</f>
        <v> </v>
      </c>
      <c r="L5105" s="27"/>
    </row>
    <row r="5106" spans="1:12">
      <c r="A5106" s="20" t="s">
        <v>1023</v>
      </c>
      <c r="E5106" s="22">
        <f>IF(D5106="?OLD","!!!","")</f>
        <v/>
      </c>
      <c r="F5106" s="23" t="str">
        <f>IF(OR(E5106="",E5106="!!!"),"",IF(NOT(ISNA(VLOOKUP(E5106,E$1:E5105,1,FALSE()))),"OLD",IF(AND(E5106&lt;&gt;"",E5106&lt;&gt;"!!!"),"NEW","")))</f>
        <v> </v>
      </c>
      <c r="G5106" s="24" t="str">
        <f>IF(OR(E5106="",E5106="!!!"),"",IF(OR(J5106=0,AND(J5106=1,K5106=1),AND(J5106=1,I5106="SBJ"),AND(J5106=1,I5106=0)),"?IN_FOCUS",IF(J5106&lt;=2,"?ACTIVATED",IF(J5106&lt;&gt;"","?FAMILIAR",IF(F5106="NEW",IF(ISNA(VLOOKUP(E5106,#REF!,1,FALSE())),"?TYPE_IDENTIFIABLE","?REFERENTIAL"),"_")))))</f>
        <v> </v>
      </c>
      <c r="H5106" s="25" t="str">
        <f>IF(J5106&lt;&gt;1,"",IF(I5106="SBJ","CB","?"))</f>
        <v> </v>
      </c>
      <c r="I5106" s="26" t="str">
        <f>IF(OR(E5106="",E5106="!!!",F5106="NEW"),"",INDEX(B5105:B$2,-1+SUMPRODUCT(MAX(ROW(E5105:E$2)*(E5106=E5105:E$2)))))</f>
        <v> </v>
      </c>
      <c r="J5106" s="26" t="str">
        <f>IF(OR(E5106="",E5106="!!!",F5106="NEW"),"",COUNTBLANK(OFFSET(A$1,,,SUMPRODUCT(MAX(ROW(E$2:E5106)*(E5106=E$2:E5106)))))-COUNTBLANK(OFFSET(A$1,,,SUMPRODUCT(MAX(ROW(E$1:E5105)*(E2=E$1:E5105))))))</f>
        <v> </v>
      </c>
      <c r="K5106" s="26" t="str">
        <f>IF(OR(E5106="",E5106="!!!",F5106="NEW"),"",INDEX(J$1:J5105,SUMPRODUCT(MAX(ROW(E$1:E5105)*(E5106=E$1:E5105)))))</f>
        <v> </v>
      </c>
      <c r="L5106" s="27"/>
    </row>
    <row r="5107" spans="1:12">
      <c r="A5107" s="20"/>
    </row>
    <row r="5108" spans="1:12">
      <c r="A5108" s="20" t="s">
        <v>2412</v>
      </c>
    </row>
    <row r="5109" spans="1:12">
      <c r="A5109" s="20" t="s">
        <v>2413</v>
      </c>
      <c r="B5109" s="21" t="s">
        <v>1050</v>
      </c>
      <c r="C5109" s="21" t="s">
        <v>1013</v>
      </c>
      <c r="D5109" s="21" t="s">
        <v>1007</v>
      </c>
      <c r="E5109" s="22">
        <f>IF(D5109="?OLD","!!!","")</f>
        <v/>
      </c>
      <c r="F5109" s="23" t="str">
        <f>IF(OR(E5109="",E5109="!!!"),"",IF(NOT(ISNA(VLOOKUP(E5109,E$1:E5108,1,FALSE()))),"OLD",IF(AND(E5109&lt;&gt;"",E5109&lt;&gt;"!!!"),"NEW","")))</f>
        <v> </v>
      </c>
      <c r="G5109" s="24" t="str">
        <f>IF(OR(E5109="",E5109="!!!"),"",IF(OR(J5109=0,AND(J5109=1,K5109=1),AND(J5109=1,I5109="SBJ"),AND(J5109=1,I5109=0)),"?IN_FOCUS",IF(J5109&lt;=2,"?ACTIVATED",IF(J5109&lt;&gt;"","?FAMILIAR",IF(F5109="NEW",IF(ISNA(VLOOKUP(E5109,#REF!,1,FALSE())),"?TYPE_IDENTIFIABLE","?REFERENTIAL"),"_")))))</f>
        <v> </v>
      </c>
      <c r="H5109" s="25" t="str">
        <f>IF(J5109&lt;&gt;1,"",IF(I5109="SBJ","CB","?"))</f>
        <v> </v>
      </c>
      <c r="I5109" s="26" t="str">
        <f>IF(OR(E5109="",E5109="!!!",F5109="NEW"),"",INDEX(B5108:B$2,-1+SUMPRODUCT(MAX(ROW(E5108:E$2)*(E5109=E5108:E$2)))))</f>
        <v> </v>
      </c>
      <c r="J5109" s="26" t="str">
        <f>IF(OR(E5109="",E5109="!!!",F5109="NEW"),"",COUNTBLANK(OFFSET(A$1,,,SUMPRODUCT(MAX(ROW(E$2:E5109)*(E5109=E$2:E5109)))))-COUNTBLANK(OFFSET(A$1,,,SUMPRODUCT(MAX(ROW(E$1:E5108)*(E2=E$1:E5108))))))</f>
        <v> </v>
      </c>
      <c r="K5109" s="26" t="str">
        <f>IF(OR(E5109="",E5109="!!!",F5109="NEW"),"",INDEX(J$1:J5108,SUMPRODUCT(MAX(ROW(E$1:E5108)*(E5109=E$1:E5108)))))</f>
        <v> </v>
      </c>
      <c r="L5109" s="27"/>
    </row>
    <row r="5110" spans="1:12">
      <c r="A5110" s="20" t="s">
        <v>1014</v>
      </c>
      <c r="E5110" s="22">
        <f>IF(D5110="?OLD","!!!","")</f>
        <v/>
      </c>
      <c r="F5110" s="23" t="str">
        <f>IF(OR(E5110="",E5110="!!!"),"",IF(NOT(ISNA(VLOOKUP(E5110,E$1:E5109,1,FALSE()))),"OLD",IF(AND(E5110&lt;&gt;"",E5110&lt;&gt;"!!!"),"NEW","")))</f>
        <v> </v>
      </c>
      <c r="G5110" s="24" t="str">
        <f>IF(OR(E5110="",E5110="!!!"),"",IF(OR(J5110=0,AND(J5110=1,K5110=1),AND(J5110=1,I5110="SBJ"),AND(J5110=1,I5110=0)),"?IN_FOCUS",IF(J5110&lt;=2,"?ACTIVATED",IF(J5110&lt;&gt;"","?FAMILIAR",IF(F5110="NEW",IF(ISNA(VLOOKUP(E5110,#REF!,1,FALSE())),"?TYPE_IDENTIFIABLE","?REFERENTIAL"),"_")))))</f>
        <v> </v>
      </c>
      <c r="H5110" s="25" t="str">
        <f>IF(J5110&lt;&gt;1,"",IF(I5110="SBJ","CB","?"))</f>
        <v> </v>
      </c>
      <c r="I5110" s="26" t="str">
        <f>IF(OR(E5110="",E5110="!!!",F5110="NEW"),"",INDEX(B5109:B$2,-1+SUMPRODUCT(MAX(ROW(E5109:E$2)*(E5110=E5109:E$2)))))</f>
        <v> </v>
      </c>
      <c r="J5110" s="26" t="str">
        <f>IF(OR(E5110="",E5110="!!!",F5110="NEW"),"",COUNTBLANK(OFFSET(A$1,,,SUMPRODUCT(MAX(ROW(E$2:E5110)*(E5110=E$2:E5110)))))-COUNTBLANK(OFFSET(A$1,,,SUMPRODUCT(MAX(ROW(E$1:E5109)*(E2=E$1:E5109))))))</f>
        <v> </v>
      </c>
      <c r="K5110" s="26" t="str">
        <f>IF(OR(E5110="",E5110="!!!",F5110="NEW"),"",INDEX(J$1:J5109,SUMPRODUCT(MAX(ROW(E$1:E5109)*(E5110=E$1:E5109)))))</f>
        <v> </v>
      </c>
      <c r="L5110" s="27"/>
    </row>
    <row r="5111" spans="1:12">
      <c r="A5111" s="20" t="s">
        <v>1604</v>
      </c>
      <c r="B5111" s="21" t="s">
        <v>1022</v>
      </c>
      <c r="C5111" s="21" t="s">
        <v>1082</v>
      </c>
      <c r="D5111" s="21" t="s">
        <v>1007</v>
      </c>
      <c r="E5111" s="22">
        <f>IF(D5111="?OLD","!!!","")</f>
        <v/>
      </c>
      <c r="F5111" s="23" t="str">
        <f>IF(OR(E5111="",E5111="!!!"),"",IF(NOT(ISNA(VLOOKUP(E5111,E$1:E5110,1,FALSE()))),"OLD",IF(AND(E5111&lt;&gt;"",E5111&lt;&gt;"!!!"),"NEW","")))</f>
        <v> </v>
      </c>
      <c r="G5111" s="24" t="str">
        <f>IF(OR(E5111="",E5111="!!!"),"",IF(OR(J5111=0,AND(J5111=1,K5111=1),AND(J5111=1,I5111="SBJ"),AND(J5111=1,I5111=0)),"?IN_FOCUS",IF(J5111&lt;=2,"?ACTIVATED",IF(J5111&lt;&gt;"","?FAMILIAR",IF(F5111="NEW",IF(ISNA(VLOOKUP(E5111,#REF!,1,FALSE())),"?TYPE_IDENTIFIABLE","?REFERENTIAL"),"_")))))</f>
        <v> </v>
      </c>
      <c r="H5111" s="25" t="str">
        <f>IF(J5111&lt;&gt;1,"",IF(I5111="SBJ","CB","?"))</f>
        <v> </v>
      </c>
      <c r="I5111" s="26" t="str">
        <f>IF(OR(E5111="",E5111="!!!",F5111="NEW"),"",INDEX(B5110:B$2,-1+SUMPRODUCT(MAX(ROW(E5110:E$2)*(E5111=E5110:E$2)))))</f>
        <v> </v>
      </c>
      <c r="J5111" s="26" t="str">
        <f>IF(OR(E5111="",E5111="!!!",F5111="NEW"),"",COUNTBLANK(OFFSET(A$1,,,SUMPRODUCT(MAX(ROW(E$2:E5111)*(E5111=E$2:E5111)))))-COUNTBLANK(OFFSET(A$1,,,SUMPRODUCT(MAX(ROW(E$1:E5110)*(E2=E$1:E5110))))))</f>
        <v> </v>
      </c>
      <c r="K5111" s="26" t="str">
        <f>IF(OR(E5111="",E5111="!!!",F5111="NEW"),"",INDEX(J$1:J5110,SUMPRODUCT(MAX(ROW(E$1:E5110)*(E5111=E$1:E5110)))))</f>
        <v> </v>
      </c>
      <c r="L5111" s="27"/>
    </row>
    <row r="5112" spans="1:12">
      <c r="A5112" s="20" t="s">
        <v>1075</v>
      </c>
      <c r="E5112" s="22">
        <f>IF(D5112="?OLD","!!!","")</f>
        <v/>
      </c>
      <c r="F5112" s="23" t="str">
        <f>IF(OR(E5112="",E5112="!!!"),"",IF(NOT(ISNA(VLOOKUP(E5112,E$1:E5111,1,FALSE()))),"OLD",IF(AND(E5112&lt;&gt;"",E5112&lt;&gt;"!!!"),"NEW","")))</f>
        <v> </v>
      </c>
      <c r="G5112" s="24" t="str">
        <f>IF(OR(E5112="",E5112="!!!"),"",IF(OR(J5112=0,AND(J5112=1,K5112=1),AND(J5112=1,I5112="SBJ"),AND(J5112=1,I5112=0)),"?IN_FOCUS",IF(J5112&lt;=2,"?ACTIVATED",IF(J5112&lt;&gt;"","?FAMILIAR",IF(F5112="NEW",IF(ISNA(VLOOKUP(E5112,#REF!,1,FALSE())),"?TYPE_IDENTIFIABLE","?REFERENTIAL"),"_")))))</f>
        <v> </v>
      </c>
      <c r="H5112" s="25" t="str">
        <f>IF(J5112&lt;&gt;1,"",IF(I5112="SBJ","CB","?"))</f>
        <v> </v>
      </c>
      <c r="I5112" s="26" t="str">
        <f>IF(OR(E5112="",E5112="!!!",F5112="NEW"),"",INDEX(B5111:B$2,-1+SUMPRODUCT(MAX(ROW(E5111:E$2)*(E5112=E5111:E$2)))))</f>
        <v> </v>
      </c>
      <c r="J5112" s="26" t="str">
        <f>IF(OR(E5112="",E5112="!!!",F5112="NEW"),"",COUNTBLANK(OFFSET(A$1,,,SUMPRODUCT(MAX(ROW(E$2:E5112)*(E5112=E$2:E5112)))))-COUNTBLANK(OFFSET(A$1,,,SUMPRODUCT(MAX(ROW(E$1:E5111)*(E2=E$1:E5111))))))</f>
        <v> </v>
      </c>
      <c r="K5112" s="26" t="str">
        <f>IF(OR(E5112="",E5112="!!!",F5112="NEW"),"",INDEX(J$1:J5111,SUMPRODUCT(MAX(ROW(E$1:E5111)*(E5112=E$1:E5111)))))</f>
        <v> </v>
      </c>
      <c r="L5112" s="27"/>
    </row>
    <row r="5113" spans="1:12">
      <c r="A5113" s="20" t="s">
        <v>2414</v>
      </c>
      <c r="E5113" s="22">
        <f>IF(D5113="?OLD","!!!","")</f>
        <v/>
      </c>
      <c r="F5113" s="23" t="str">
        <f>IF(OR(E5113="",E5113="!!!"),"",IF(NOT(ISNA(VLOOKUP(E5113,E$1:E5112,1,FALSE()))),"OLD",IF(AND(E5113&lt;&gt;"",E5113&lt;&gt;"!!!"),"NEW","")))</f>
        <v> </v>
      </c>
      <c r="G5113" s="24" t="str">
        <f>IF(OR(E5113="",E5113="!!!"),"",IF(OR(J5113=0,AND(J5113=1,K5113=1),AND(J5113=1,I5113="SBJ"),AND(J5113=1,I5113=0)),"?IN_FOCUS",IF(J5113&lt;=2,"?ACTIVATED",IF(J5113&lt;&gt;"","?FAMILIAR",IF(F5113="NEW",IF(ISNA(VLOOKUP(E5113,#REF!,1,FALSE())),"?TYPE_IDENTIFIABLE","?REFERENTIAL"),"_")))))</f>
        <v> </v>
      </c>
      <c r="H5113" s="25" t="str">
        <f>IF(J5113&lt;&gt;1,"",IF(I5113="SBJ","CB","?"))</f>
        <v> </v>
      </c>
      <c r="I5113" s="26" t="str">
        <f>IF(OR(E5113="",E5113="!!!",F5113="NEW"),"",INDEX(B5112:B$2,-1+SUMPRODUCT(MAX(ROW(E5112:E$2)*(E5113=E5112:E$2)))))</f>
        <v> </v>
      </c>
      <c r="J5113" s="26" t="str">
        <f>IF(OR(E5113="",E5113="!!!",F5113="NEW"),"",COUNTBLANK(OFFSET(A$1,,,SUMPRODUCT(MAX(ROW(E$2:E5113)*(E5113=E$2:E5113)))))-COUNTBLANK(OFFSET(A$1,,,SUMPRODUCT(MAX(ROW(E$1:E5112)*(E2=E$1:E5112))))))</f>
        <v> </v>
      </c>
      <c r="K5113" s="26" t="str">
        <f>IF(OR(E5113="",E5113="!!!",F5113="NEW"),"",INDEX(J$1:J5112,SUMPRODUCT(MAX(ROW(E$1:E5112)*(E5113=E$1:E5112)))))</f>
        <v> </v>
      </c>
      <c r="L5113" s="27"/>
    </row>
    <row r="5114" spans="1:12">
      <c r="A5114" s="20" t="s">
        <v>1324</v>
      </c>
      <c r="E5114" s="22">
        <f>IF(D5114="?OLD","!!!","")</f>
        <v/>
      </c>
      <c r="F5114" s="23" t="str">
        <f>IF(OR(E5114="",E5114="!!!"),"",IF(NOT(ISNA(VLOOKUP(E5114,E$1:E5113,1,FALSE()))),"OLD",IF(AND(E5114&lt;&gt;"",E5114&lt;&gt;"!!!"),"NEW","")))</f>
        <v> </v>
      </c>
      <c r="G5114" s="24" t="str">
        <f>IF(OR(E5114="",E5114="!!!"),"",IF(OR(J5114=0,AND(J5114=1,K5114=1),AND(J5114=1,I5114="SBJ"),AND(J5114=1,I5114=0)),"?IN_FOCUS",IF(J5114&lt;=2,"?ACTIVATED",IF(J5114&lt;&gt;"","?FAMILIAR",IF(F5114="NEW",IF(ISNA(VLOOKUP(E5114,#REF!,1,FALSE())),"?TYPE_IDENTIFIABLE","?REFERENTIAL"),"_")))))</f>
        <v> </v>
      </c>
      <c r="H5114" s="25" t="str">
        <f>IF(J5114&lt;&gt;1,"",IF(I5114="SBJ","CB","?"))</f>
        <v> </v>
      </c>
      <c r="I5114" s="26" t="str">
        <f>IF(OR(E5114="",E5114="!!!",F5114="NEW"),"",INDEX(B5113:B$2,-1+SUMPRODUCT(MAX(ROW(E5113:E$2)*(E5114=E5113:E$2)))))</f>
        <v> </v>
      </c>
      <c r="J5114" s="26" t="str">
        <f>IF(OR(E5114="",E5114="!!!",F5114="NEW"),"",COUNTBLANK(OFFSET(A$1,,,SUMPRODUCT(MAX(ROW(E$2:E5114)*(E5114=E$2:E5114)))))-COUNTBLANK(OFFSET(A$1,,,SUMPRODUCT(MAX(ROW(E$1:E5113)*(E2=E$1:E5113))))))</f>
        <v> </v>
      </c>
      <c r="K5114" s="26" t="str">
        <f>IF(OR(E5114="",E5114="!!!",F5114="NEW"),"",INDEX(J$1:J5113,SUMPRODUCT(MAX(ROW(E$1:E5113)*(E5114=E$1:E5113)))))</f>
        <v> </v>
      </c>
      <c r="L5114" s="27"/>
    </row>
    <row r="5115" spans="1:12">
      <c r="A5115" s="20" t="s">
        <v>1144</v>
      </c>
      <c r="B5115" s="21" t="s">
        <v>1005</v>
      </c>
      <c r="C5115" s="21" t="s">
        <v>1111</v>
      </c>
      <c r="E5115" s="22">
        <f>IF(D5115="?OLD","!!!","")</f>
        <v/>
      </c>
      <c r="F5115" s="23" t="str">
        <f>IF(OR(E5115="",E5115="!!!"),"",IF(NOT(ISNA(VLOOKUP(E5115,E$1:E5114,1,FALSE()))),"OLD",IF(AND(E5115&lt;&gt;"",E5115&lt;&gt;"!!!"),"NEW","")))</f>
        <v> </v>
      </c>
      <c r="G5115" s="24" t="str">
        <f>IF(OR(E5115="",E5115="!!!"),"",IF(OR(J5115=0,AND(J5115=1,K5115=1),AND(J5115=1,I5115="SBJ"),AND(J5115=1,I5115=0)),"?IN_FOCUS",IF(J5115&lt;=2,"?ACTIVATED",IF(J5115&lt;&gt;"","?FAMILIAR",IF(F5115="NEW",IF(ISNA(VLOOKUP(E5115,#REF!,1,FALSE())),"?TYPE_IDENTIFIABLE","?REFERENTIAL"),"_")))))</f>
        <v> </v>
      </c>
      <c r="H5115" s="25" t="str">
        <f>IF(J5115&lt;&gt;1,"",IF(I5115="SBJ","CB","?"))</f>
        <v> </v>
      </c>
      <c r="I5115" s="26" t="str">
        <f>IF(OR(E5115="",E5115="!!!",F5115="NEW"),"",INDEX(B5114:B$2,-1+SUMPRODUCT(MAX(ROW(E5114:E$2)*(E5115=E5114:E$2)))))</f>
        <v> </v>
      </c>
      <c r="J5115" s="26" t="str">
        <f>IF(OR(E5115="",E5115="!!!",F5115="NEW"),"",COUNTBLANK(OFFSET(A$1,,,SUMPRODUCT(MAX(ROW(E$2:E5115)*(E5115=E$2:E5115)))))-COUNTBLANK(OFFSET(A$1,,,SUMPRODUCT(MAX(ROW(E$1:E5114)*(E2=E$1:E5114))))))</f>
        <v> </v>
      </c>
      <c r="K5115" s="26" t="str">
        <f>IF(OR(E5115="",E5115="!!!",F5115="NEW"),"",INDEX(J$1:J5114,SUMPRODUCT(MAX(ROW(E$1:E5114)*(E5115=E$1:E5114)))))</f>
        <v> </v>
      </c>
      <c r="L5115" s="27"/>
    </row>
    <row r="5116" spans="1:12">
      <c r="A5116" s="20" t="s">
        <v>2415</v>
      </c>
      <c r="E5116" s="22">
        <f>IF(D5116="?OLD","!!!","")</f>
        <v/>
      </c>
      <c r="F5116" s="23" t="str">
        <f>IF(OR(E5116="",E5116="!!!"),"",IF(NOT(ISNA(VLOOKUP(E5116,E$1:E5115,1,FALSE()))),"OLD",IF(AND(E5116&lt;&gt;"",E5116&lt;&gt;"!!!"),"NEW","")))</f>
        <v> </v>
      </c>
      <c r="G5116" s="24" t="str">
        <f>IF(OR(E5116="",E5116="!!!"),"",IF(OR(J5116=0,AND(J5116=1,K5116=1),AND(J5116=1,I5116="SBJ"),AND(J5116=1,I5116=0)),"?IN_FOCUS",IF(J5116&lt;=2,"?ACTIVATED",IF(J5116&lt;&gt;"","?FAMILIAR",IF(F5116="NEW",IF(ISNA(VLOOKUP(E5116,#REF!,1,FALSE())),"?TYPE_IDENTIFIABLE","?REFERENTIAL"),"_")))))</f>
        <v> </v>
      </c>
      <c r="H5116" s="25" t="str">
        <f>IF(J5116&lt;&gt;1,"",IF(I5116="SBJ","CB","?"))</f>
        <v> </v>
      </c>
      <c r="I5116" s="26" t="str">
        <f>IF(OR(E5116="",E5116="!!!",F5116="NEW"),"",INDEX(B5115:B$2,-1+SUMPRODUCT(MAX(ROW(E5115:E$2)*(E5116=E5115:E$2)))))</f>
        <v> </v>
      </c>
      <c r="J5116" s="26" t="str">
        <f>IF(OR(E5116="",E5116="!!!",F5116="NEW"),"",COUNTBLANK(OFFSET(A$1,,,SUMPRODUCT(MAX(ROW(E$2:E5116)*(E5116=E$2:E5116)))))-COUNTBLANK(OFFSET(A$1,,,SUMPRODUCT(MAX(ROW(E$1:E5115)*(E2=E$1:E5115))))))</f>
        <v> </v>
      </c>
      <c r="K5116" s="26" t="str">
        <f>IF(OR(E5116="",E5116="!!!",F5116="NEW"),"",INDEX(J$1:J5115,SUMPRODUCT(MAX(ROW(E$1:E5115)*(E5116=E$1:E5115)))))</f>
        <v> </v>
      </c>
      <c r="L5116" s="27"/>
    </row>
    <row r="5117" spans="1:12">
      <c r="A5117" s="20" t="s">
        <v>1023</v>
      </c>
      <c r="E5117" s="22">
        <f>IF(D5117="?OLD","!!!","")</f>
        <v/>
      </c>
      <c r="F5117" s="23" t="str">
        <f>IF(OR(E5117="",E5117="!!!"),"",IF(NOT(ISNA(VLOOKUP(E5117,E$1:E5116,1,FALSE()))),"OLD",IF(AND(E5117&lt;&gt;"",E5117&lt;&gt;"!!!"),"NEW","")))</f>
        <v> </v>
      </c>
      <c r="G5117" s="24" t="str">
        <f>IF(OR(E5117="",E5117="!!!"),"",IF(OR(J5117=0,AND(J5117=1,K5117=1),AND(J5117=1,I5117="SBJ"),AND(J5117=1,I5117=0)),"?IN_FOCUS",IF(J5117&lt;=2,"?ACTIVATED",IF(J5117&lt;&gt;"","?FAMILIAR",IF(F5117="NEW",IF(ISNA(VLOOKUP(E5117,#REF!,1,FALSE())),"?TYPE_IDENTIFIABLE","?REFERENTIAL"),"_")))))</f>
        <v> </v>
      </c>
      <c r="H5117" s="25" t="str">
        <f>IF(J5117&lt;&gt;1,"",IF(I5117="SBJ","CB","?"))</f>
        <v> </v>
      </c>
      <c r="I5117" s="26" t="str">
        <f>IF(OR(E5117="",E5117="!!!",F5117="NEW"),"",INDEX(B5116:B$2,-1+SUMPRODUCT(MAX(ROW(E5116:E$2)*(E5117=E5116:E$2)))))</f>
        <v> </v>
      </c>
      <c r="J5117" s="26" t="str">
        <f>IF(OR(E5117="",E5117="!!!",F5117="NEW"),"",COUNTBLANK(OFFSET(A$1,,,SUMPRODUCT(MAX(ROW(E$2:E5117)*(E5117=E$2:E5117)))))-COUNTBLANK(OFFSET(A$1,,,SUMPRODUCT(MAX(ROW(E$1:E5116)*(E2=E$1:E5116))))))</f>
        <v> </v>
      </c>
      <c r="K5117" s="26" t="str">
        <f>IF(OR(E5117="",E5117="!!!",F5117="NEW"),"",INDEX(J$1:J5116,SUMPRODUCT(MAX(ROW(E$1:E5116)*(E5117=E$1:E5116)))))</f>
        <v> </v>
      </c>
      <c r="L5117" s="27"/>
    </row>
    <row r="5118" spans="1:12">
      <c r="A5118" s="20"/>
    </row>
    <row r="5119" spans="1:12">
      <c r="A5119" s="20" t="s">
        <v>2416</v>
      </c>
    </row>
    <row r="5120" spans="1:12">
      <c r="A5120" s="20" t="s">
        <v>2417</v>
      </c>
      <c r="E5120" s="22">
        <f>IF(D5120="?OLD","!!!","")</f>
        <v/>
      </c>
      <c r="F5120" s="23" t="str">
        <f>IF(OR(E5120="",E5120="!!!"),"",IF(NOT(ISNA(VLOOKUP(E5120,E$1:E5119,1,FALSE()))),"OLD",IF(AND(E5120&lt;&gt;"",E5120&lt;&gt;"!!!"),"NEW","")))</f>
        <v> </v>
      </c>
      <c r="G5120" s="24" t="str">
        <f>IF(OR(E5120="",E5120="!!!"),"",IF(OR(J5120=0,AND(J5120=1,K5120=1),AND(J5120=1,I5120="SBJ"),AND(J5120=1,I5120=0)),"?IN_FOCUS",IF(J5120&lt;=2,"?ACTIVATED",IF(J5120&lt;&gt;"","?FAMILIAR",IF(F5120="NEW",IF(ISNA(VLOOKUP(E5120,#REF!,1,FALSE())),"?TYPE_IDENTIFIABLE","?REFERENTIAL"),"_")))))</f>
        <v> </v>
      </c>
      <c r="H5120" s="25" t="str">
        <f>IF(J5120&lt;&gt;1,"",IF(I5120="SBJ","CB","?"))</f>
        <v> </v>
      </c>
      <c r="I5120" s="26" t="str">
        <f>IF(OR(E5120="",E5120="!!!",F5120="NEW"),"",INDEX(B5119:B$2,-1+SUMPRODUCT(MAX(ROW(E5119:E$2)*(E5120=E5119:E$2)))))</f>
        <v> </v>
      </c>
      <c r="J5120" s="26" t="str">
        <f>IF(OR(E5120="",E5120="!!!",F5120="NEW"),"",COUNTBLANK(OFFSET(A$1,,,SUMPRODUCT(MAX(ROW(E$2:E5120)*(E5120=E$2:E5120)))))-COUNTBLANK(OFFSET(A$1,,,SUMPRODUCT(MAX(ROW(E$1:E5119)*(E2=E$1:E5119))))))</f>
        <v> </v>
      </c>
      <c r="K5120" s="26" t="str">
        <f>IF(OR(E5120="",E5120="!!!",F5120="NEW"),"",INDEX(J$1:J5119,SUMPRODUCT(MAX(ROW(E$1:E5119)*(E5120=E$1:E5119)))))</f>
        <v> </v>
      </c>
      <c r="L5120" s="27"/>
    </row>
    <row r="5121" spans="1:12">
      <c r="A5121" s="20" t="s">
        <v>1410</v>
      </c>
      <c r="B5121" s="21" t="s">
        <v>1085</v>
      </c>
      <c r="C5121" s="21" t="s">
        <v>1013</v>
      </c>
      <c r="D5121" s="21" t="s">
        <v>1007</v>
      </c>
      <c r="E5121" s="22">
        <f>IF(D5121="?OLD","!!!","")</f>
        <v/>
      </c>
      <c r="F5121" s="23" t="str">
        <f>IF(OR(E5121="",E5121="!!!"),"",IF(NOT(ISNA(VLOOKUP(E5121,E$1:E5120,1,FALSE()))),"OLD",IF(AND(E5121&lt;&gt;"",E5121&lt;&gt;"!!!"),"NEW","")))</f>
        <v> </v>
      </c>
      <c r="G5121" s="24" t="str">
        <f>IF(OR(E5121="",E5121="!!!"),"",IF(OR(J5121=0,AND(J5121=1,K5121=1),AND(J5121=1,I5121="SBJ"),AND(J5121=1,I5121=0)),"?IN_FOCUS",IF(J5121&lt;=2,"?ACTIVATED",IF(J5121&lt;&gt;"","?FAMILIAR",IF(F5121="NEW",IF(ISNA(VLOOKUP(E5121,#REF!,1,FALSE())),"?TYPE_IDENTIFIABLE","?REFERENTIAL"),"_")))))</f>
        <v> </v>
      </c>
      <c r="H5121" s="25" t="str">
        <f>IF(J5121&lt;&gt;1,"",IF(I5121="SBJ","CB","?"))</f>
        <v> </v>
      </c>
      <c r="I5121" s="26" t="str">
        <f>IF(OR(E5121="",E5121="!!!",F5121="NEW"),"",INDEX(B5120:B$2,-1+SUMPRODUCT(MAX(ROW(E5120:E$2)*(E5121=E5120:E$2)))))</f>
        <v> </v>
      </c>
      <c r="J5121" s="26" t="str">
        <f>IF(OR(E5121="",E5121="!!!",F5121="NEW"),"",COUNTBLANK(OFFSET(A$1,,,SUMPRODUCT(MAX(ROW(E$2:E5121)*(E5121=E$2:E5121)))))-COUNTBLANK(OFFSET(A$1,,,SUMPRODUCT(MAX(ROW(E$1:E5120)*(E2=E$1:E5120))))))</f>
        <v> </v>
      </c>
      <c r="K5121" s="26" t="str">
        <f>IF(OR(E5121="",E5121="!!!",F5121="NEW"),"",INDEX(J$1:J5120,SUMPRODUCT(MAX(ROW(E$1:E5120)*(E5121=E$1:E5120)))))</f>
        <v> </v>
      </c>
      <c r="L5121" s="27"/>
    </row>
    <row r="5122" spans="1:12">
      <c r="A5122" s="20" t="s">
        <v>1014</v>
      </c>
      <c r="E5122" s="22">
        <f>IF(D5122="?OLD","!!!","")</f>
        <v/>
      </c>
      <c r="F5122" s="23" t="str">
        <f>IF(OR(E5122="",E5122="!!!"),"",IF(NOT(ISNA(VLOOKUP(E5122,E$1:E5121,1,FALSE()))),"OLD",IF(AND(E5122&lt;&gt;"",E5122&lt;&gt;"!!!"),"NEW","")))</f>
        <v> </v>
      </c>
      <c r="G5122" s="24" t="str">
        <f>IF(OR(E5122="",E5122="!!!"),"",IF(OR(J5122=0,AND(J5122=1,K5122=1),AND(J5122=1,I5122="SBJ"),AND(J5122=1,I5122=0)),"?IN_FOCUS",IF(J5122&lt;=2,"?ACTIVATED",IF(J5122&lt;&gt;"","?FAMILIAR",IF(F5122="NEW",IF(ISNA(VLOOKUP(E5122,#REF!,1,FALSE())),"?TYPE_IDENTIFIABLE","?REFERENTIAL"),"_")))))</f>
        <v> </v>
      </c>
      <c r="H5122" s="25" t="str">
        <f>IF(J5122&lt;&gt;1,"",IF(I5122="SBJ","CB","?"))</f>
        <v> </v>
      </c>
      <c r="I5122" s="26" t="str">
        <f>IF(OR(E5122="",E5122="!!!",F5122="NEW"),"",INDEX(B5121:B$2,-1+SUMPRODUCT(MAX(ROW(E5121:E$2)*(E5122=E5121:E$2)))))</f>
        <v> </v>
      </c>
      <c r="J5122" s="26" t="str">
        <f>IF(OR(E5122="",E5122="!!!",F5122="NEW"),"",COUNTBLANK(OFFSET(A$1,,,SUMPRODUCT(MAX(ROW(E$2:E5122)*(E5122=E$2:E5122)))))-COUNTBLANK(OFFSET(A$1,,,SUMPRODUCT(MAX(ROW(E$1:E5121)*(E2=E$1:E5121))))))</f>
        <v> </v>
      </c>
      <c r="K5122" s="26" t="str">
        <f>IF(OR(E5122="",E5122="!!!",F5122="NEW"),"",INDEX(J$1:J5121,SUMPRODUCT(MAX(ROW(E$1:E5121)*(E5122=E$1:E5121)))))</f>
        <v> </v>
      </c>
      <c r="L5122" s="27"/>
    </row>
    <row r="5123" spans="1:12">
      <c r="A5123" s="20" t="s">
        <v>1324</v>
      </c>
      <c r="E5123" s="22">
        <f>IF(D5123="?OLD","!!!","")</f>
        <v/>
      </c>
      <c r="F5123" s="23" t="str">
        <f>IF(OR(E5123="",E5123="!!!"),"",IF(NOT(ISNA(VLOOKUP(E5123,E$1:E5122,1,FALSE()))),"OLD",IF(AND(E5123&lt;&gt;"",E5123&lt;&gt;"!!!"),"NEW","")))</f>
        <v> </v>
      </c>
      <c r="G5123" s="24" t="str">
        <f>IF(OR(E5123="",E5123="!!!"),"",IF(OR(J5123=0,AND(J5123=1,K5123=1),AND(J5123=1,I5123="SBJ"),AND(J5123=1,I5123=0)),"?IN_FOCUS",IF(J5123&lt;=2,"?ACTIVATED",IF(J5123&lt;&gt;"","?FAMILIAR",IF(F5123="NEW",IF(ISNA(VLOOKUP(E5123,#REF!,1,FALSE())),"?TYPE_IDENTIFIABLE","?REFERENTIAL"),"_")))))</f>
        <v> </v>
      </c>
      <c r="H5123" s="25" t="str">
        <f>IF(J5123&lt;&gt;1,"",IF(I5123="SBJ","CB","?"))</f>
        <v> </v>
      </c>
      <c r="I5123" s="26" t="str">
        <f>IF(OR(E5123="",E5123="!!!",F5123="NEW"),"",INDEX(B5122:B$2,-1+SUMPRODUCT(MAX(ROW(E5122:E$2)*(E5123=E5122:E$2)))))</f>
        <v> </v>
      </c>
      <c r="J5123" s="26" t="str">
        <f>IF(OR(E5123="",E5123="!!!",F5123="NEW"),"",COUNTBLANK(OFFSET(A$1,,,SUMPRODUCT(MAX(ROW(E$2:E5123)*(E5123=E$2:E5123)))))-COUNTBLANK(OFFSET(A$1,,,SUMPRODUCT(MAX(ROW(E$1:E5122)*(E2=E$1:E5122))))))</f>
        <v> </v>
      </c>
      <c r="K5123" s="26" t="str">
        <f>IF(OR(E5123="",E5123="!!!",F5123="NEW"),"",INDEX(J$1:J5122,SUMPRODUCT(MAX(ROW(E$1:E5122)*(E5123=E$1:E5122)))))</f>
        <v> </v>
      </c>
      <c r="L5123" s="27"/>
    </row>
    <row r="5124" spans="1:12">
      <c r="A5124" s="20" t="s">
        <v>808</v>
      </c>
      <c r="B5124" s="21" t="s">
        <v>1022</v>
      </c>
      <c r="C5124" s="21" t="s">
        <v>1111</v>
      </c>
      <c r="E5124" s="22">
        <f>IF(D5124="?OLD","!!!","")</f>
        <v/>
      </c>
      <c r="F5124" s="23" t="str">
        <f>IF(OR(E5124="",E5124="!!!"),"",IF(NOT(ISNA(VLOOKUP(E5124,E$1:E5123,1,FALSE()))),"OLD",IF(AND(E5124&lt;&gt;"",E5124&lt;&gt;"!!!"),"NEW","")))</f>
        <v> </v>
      </c>
      <c r="G5124" s="24" t="str">
        <f>IF(OR(E5124="",E5124="!!!"),"",IF(OR(J5124=0,AND(J5124=1,K5124=1),AND(J5124=1,I5124="SBJ"),AND(J5124=1,I5124=0)),"?IN_FOCUS",IF(J5124&lt;=2,"?ACTIVATED",IF(J5124&lt;&gt;"","?FAMILIAR",IF(F5124="NEW",IF(ISNA(VLOOKUP(E5124,#REF!,1,FALSE())),"?TYPE_IDENTIFIABLE","?REFERENTIAL"),"_")))))</f>
        <v> </v>
      </c>
      <c r="H5124" s="25" t="str">
        <f>IF(J5124&lt;&gt;1,"",IF(I5124="SBJ","CB","?"))</f>
        <v> </v>
      </c>
      <c r="I5124" s="26" t="str">
        <f>IF(OR(E5124="",E5124="!!!",F5124="NEW"),"",INDEX(B5123:B$2,-1+SUMPRODUCT(MAX(ROW(E5123:E$2)*(E5124=E5123:E$2)))))</f>
        <v> </v>
      </c>
      <c r="J5124" s="26" t="str">
        <f>IF(OR(E5124="",E5124="!!!",F5124="NEW"),"",COUNTBLANK(OFFSET(A$1,,,SUMPRODUCT(MAX(ROW(E$2:E5124)*(E5124=E$2:E5124)))))-COUNTBLANK(OFFSET(A$1,,,SUMPRODUCT(MAX(ROW(E$1:E5123)*(E2=E$1:E5123))))))</f>
        <v> </v>
      </c>
      <c r="K5124" s="26" t="str">
        <f>IF(OR(E5124="",E5124="!!!",F5124="NEW"),"",INDEX(J$1:J5123,SUMPRODUCT(MAX(ROW(E$1:E5123)*(E5124=E$1:E5123)))))</f>
        <v> </v>
      </c>
      <c r="L5124" s="27"/>
    </row>
    <row r="5125" spans="1:12">
      <c r="A5125" s="20" t="s">
        <v>1065</v>
      </c>
      <c r="B5125" s="21" t="s">
        <v>1120</v>
      </c>
      <c r="E5125" s="22">
        <f>IF(D5125="?OLD","!!!","")</f>
        <v/>
      </c>
      <c r="F5125" s="23" t="str">
        <f>IF(OR(E5125="",E5125="!!!"),"",IF(NOT(ISNA(VLOOKUP(E5125,E$1:E5124,1,FALSE()))),"OLD",IF(AND(E5125&lt;&gt;"",E5125&lt;&gt;"!!!"),"NEW","")))</f>
        <v> </v>
      </c>
      <c r="G5125" s="24" t="str">
        <f>IF(OR(E5125="",E5125="!!!"),"",IF(OR(J5125=0,AND(J5125=1,K5125=1),AND(J5125=1,I5125="SBJ"),AND(J5125=1,I5125=0)),"?IN_FOCUS",IF(J5125&lt;=2,"?ACTIVATED",IF(J5125&lt;&gt;"","?FAMILIAR",IF(F5125="NEW",IF(ISNA(VLOOKUP(E5125,#REF!,1,FALSE())),"?TYPE_IDENTIFIABLE","?REFERENTIAL"),"_")))))</f>
        <v> </v>
      </c>
      <c r="H5125" s="25" t="str">
        <f>IF(J5125&lt;&gt;1,"",IF(I5125="SBJ","CB","?"))</f>
        <v> </v>
      </c>
      <c r="I5125" s="26" t="str">
        <f>IF(OR(E5125="",E5125="!!!",F5125="NEW"),"",INDEX(B5124:B$2,-1+SUMPRODUCT(MAX(ROW(E5124:E$2)*(E5125=E5124:E$2)))))</f>
        <v> </v>
      </c>
      <c r="J5125" s="26" t="str">
        <f>IF(OR(E5125="",E5125="!!!",F5125="NEW"),"",COUNTBLANK(OFFSET(A$1,,,SUMPRODUCT(MAX(ROW(E$2:E5125)*(E5125=E$2:E5125)))))-COUNTBLANK(OFFSET(A$1,,,SUMPRODUCT(MAX(ROW(E$1:E5124)*(E2=E$1:E5124))))))</f>
        <v> </v>
      </c>
      <c r="K5125" s="26" t="str">
        <f>IF(OR(E5125="",E5125="!!!",F5125="NEW"),"",INDEX(J$1:J5124,SUMPRODUCT(MAX(ROW(E$1:E5124)*(E5125=E$1:E5124)))))</f>
        <v> </v>
      </c>
      <c r="L5125" s="27"/>
    </row>
    <row r="5126" spans="1:12">
      <c r="A5126" s="20" t="s">
        <v>2418</v>
      </c>
      <c r="E5126" s="22">
        <f>IF(D5126="?OLD","!!!","")</f>
        <v/>
      </c>
      <c r="F5126" s="23" t="str">
        <f>IF(OR(E5126="",E5126="!!!"),"",IF(NOT(ISNA(VLOOKUP(E5126,E$1:E5125,1,FALSE()))),"OLD",IF(AND(E5126&lt;&gt;"",E5126&lt;&gt;"!!!"),"NEW","")))</f>
        <v> </v>
      </c>
      <c r="G5126" s="24" t="str">
        <f>IF(OR(E5126="",E5126="!!!"),"",IF(OR(J5126=0,AND(J5126=1,K5126=1),AND(J5126=1,I5126="SBJ"),AND(J5126=1,I5126=0)),"?IN_FOCUS",IF(J5126&lt;=2,"?ACTIVATED",IF(J5126&lt;&gt;"","?FAMILIAR",IF(F5126="NEW",IF(ISNA(VLOOKUP(E5126,#REF!,1,FALSE())),"?TYPE_IDENTIFIABLE","?REFERENTIAL"),"_")))))</f>
        <v> </v>
      </c>
      <c r="H5126" s="25" t="str">
        <f>IF(J5126&lt;&gt;1,"",IF(I5126="SBJ","CB","?"))</f>
        <v> </v>
      </c>
      <c r="I5126" s="26" t="str">
        <f>IF(OR(E5126="",E5126="!!!",F5126="NEW"),"",INDEX(B5125:B$2,-1+SUMPRODUCT(MAX(ROW(E5125:E$2)*(E5126=E5125:E$2)))))</f>
        <v> </v>
      </c>
      <c r="J5126" s="26" t="str">
        <f>IF(OR(E5126="",E5126="!!!",F5126="NEW"),"",COUNTBLANK(OFFSET(A$1,,,SUMPRODUCT(MAX(ROW(E$2:E5126)*(E5126=E$2:E5126)))))-COUNTBLANK(OFFSET(A$1,,,SUMPRODUCT(MAX(ROW(E$1:E5125)*(E2=E$1:E5125))))))</f>
        <v> </v>
      </c>
      <c r="K5126" s="26" t="str">
        <f>IF(OR(E5126="",E5126="!!!",F5126="NEW"),"",INDEX(J$1:J5125,SUMPRODUCT(MAX(ROW(E$1:E5125)*(E5126=E$1:E5125)))))</f>
        <v> </v>
      </c>
      <c r="L5126" s="27"/>
    </row>
    <row r="5127" spans="1:12">
      <c r="A5127" s="20" t="s">
        <v>1182</v>
      </c>
      <c r="E5127" s="22">
        <f>IF(D5127="?OLD","!!!","")</f>
        <v/>
      </c>
      <c r="F5127" s="23" t="str">
        <f>IF(OR(E5127="",E5127="!!!"),"",IF(NOT(ISNA(VLOOKUP(E5127,E$1:E5126,1,FALSE()))),"OLD",IF(AND(E5127&lt;&gt;"",E5127&lt;&gt;"!!!"),"NEW","")))</f>
        <v> </v>
      </c>
      <c r="G5127" s="24" t="str">
        <f>IF(OR(E5127="",E5127="!!!"),"",IF(OR(J5127=0,AND(J5127=1,K5127=1),AND(J5127=1,I5127="SBJ"),AND(J5127=1,I5127=0)),"?IN_FOCUS",IF(J5127&lt;=2,"?ACTIVATED",IF(J5127&lt;&gt;"","?FAMILIAR",IF(F5127="NEW",IF(ISNA(VLOOKUP(E5127,#REF!,1,FALSE())),"?TYPE_IDENTIFIABLE","?REFERENTIAL"),"_")))))</f>
        <v> </v>
      </c>
      <c r="H5127" s="25" t="str">
        <f>IF(J5127&lt;&gt;1,"",IF(I5127="SBJ","CB","?"))</f>
        <v> </v>
      </c>
      <c r="I5127" s="26" t="str">
        <f>IF(OR(E5127="",E5127="!!!",F5127="NEW"),"",INDEX(B5126:B$2,-1+SUMPRODUCT(MAX(ROW(E5126:E$2)*(E5127=E5126:E$2)))))</f>
        <v> </v>
      </c>
      <c r="J5127" s="26" t="str">
        <f>IF(OR(E5127="",E5127="!!!",F5127="NEW"),"",COUNTBLANK(OFFSET(A$1,,,SUMPRODUCT(MAX(ROW(E$2:E5127)*(E5127=E$2:E5127)))))-COUNTBLANK(OFFSET(A$1,,,SUMPRODUCT(MAX(ROW(E$1:E5126)*(E2=E$1:E5126))))))</f>
        <v> </v>
      </c>
      <c r="K5127" s="26" t="str">
        <f>IF(OR(E5127="",E5127="!!!",F5127="NEW"),"",INDEX(J$1:J5126,SUMPRODUCT(MAX(ROW(E$1:E5126)*(E5127=E$1:E5126)))))</f>
        <v> </v>
      </c>
      <c r="L5127" s="27"/>
    </row>
    <row r="5128" spans="1:12">
      <c r="A5128" s="20" t="s">
        <v>1020</v>
      </c>
      <c r="E5128" s="22">
        <f>IF(D5128="?OLD","!!!","")</f>
        <v/>
      </c>
      <c r="F5128" s="23" t="str">
        <f>IF(OR(E5128="",E5128="!!!"),"",IF(NOT(ISNA(VLOOKUP(E5128,E$1:E5127,1,FALSE()))),"OLD",IF(AND(E5128&lt;&gt;"",E5128&lt;&gt;"!!!"),"NEW","")))</f>
        <v> </v>
      </c>
      <c r="G5128" s="24" t="str">
        <f>IF(OR(E5128="",E5128="!!!"),"",IF(OR(J5128=0,AND(J5128=1,K5128=1),AND(J5128=1,I5128="SBJ"),AND(J5128=1,I5128=0)),"?IN_FOCUS",IF(J5128&lt;=2,"?ACTIVATED",IF(J5128&lt;&gt;"","?FAMILIAR",IF(F5128="NEW",IF(ISNA(VLOOKUP(E5128,#REF!,1,FALSE())),"?TYPE_IDENTIFIABLE","?REFERENTIAL"),"_")))))</f>
        <v> </v>
      </c>
      <c r="H5128" s="25" t="str">
        <f>IF(J5128&lt;&gt;1,"",IF(I5128="SBJ","CB","?"))</f>
        <v> </v>
      </c>
      <c r="I5128" s="26" t="str">
        <f>IF(OR(E5128="",E5128="!!!",F5128="NEW"),"",INDEX(B5127:B$2,-1+SUMPRODUCT(MAX(ROW(E5127:E$2)*(E5128=E5127:E$2)))))</f>
        <v> </v>
      </c>
      <c r="J5128" s="26" t="str">
        <f>IF(OR(E5128="",E5128="!!!",F5128="NEW"),"",COUNTBLANK(OFFSET(A$1,,,SUMPRODUCT(MAX(ROW(E$2:E5128)*(E5128=E$2:E5128)))))-COUNTBLANK(OFFSET(A$1,,,SUMPRODUCT(MAX(ROW(E$1:E5127)*(E2=E$1:E5127))))))</f>
        <v> </v>
      </c>
      <c r="K5128" s="26" t="str">
        <f>IF(OR(E5128="",E5128="!!!",F5128="NEW"),"",INDEX(J$1:J5127,SUMPRODUCT(MAX(ROW(E$1:E5127)*(E5128=E$1:E5127)))))</f>
        <v> </v>
      </c>
      <c r="L5128" s="27"/>
    </row>
    <row r="5129" spans="1:12">
      <c r="A5129" s="20" t="s">
        <v>1021</v>
      </c>
      <c r="B5129" s="21" t="s">
        <v>1035</v>
      </c>
      <c r="C5129" s="21" t="s">
        <v>1006</v>
      </c>
      <c r="D5129" s="21" t="s">
        <v>1007</v>
      </c>
      <c r="E5129" s="22">
        <f>IF(D5129="?OLD","!!!","")</f>
        <v/>
      </c>
      <c r="F5129" s="23" t="str">
        <f>IF(OR(E5129="",E5129="!!!"),"",IF(NOT(ISNA(VLOOKUP(E5129,E$1:E5128,1,FALSE()))),"OLD",IF(AND(E5129&lt;&gt;"",E5129&lt;&gt;"!!!"),"NEW","")))</f>
        <v> </v>
      </c>
      <c r="G5129" s="24" t="str">
        <f>IF(OR(E5129="",E5129="!!!"),"",IF(OR(J5129=0,AND(J5129=1,K5129=1),AND(J5129=1,I5129="SBJ"),AND(J5129=1,I5129=0)),"?IN_FOCUS",IF(J5129&lt;=2,"?ACTIVATED",IF(J5129&lt;&gt;"","?FAMILIAR",IF(F5129="NEW",IF(ISNA(VLOOKUP(E5129,#REF!,1,FALSE())),"?TYPE_IDENTIFIABLE","?REFERENTIAL"),"_")))))</f>
        <v> </v>
      </c>
      <c r="H5129" s="25" t="str">
        <f>IF(J5129&lt;&gt;1,"",IF(I5129="SBJ","CB","?"))</f>
        <v> </v>
      </c>
      <c r="I5129" s="26" t="str">
        <f>IF(OR(E5129="",E5129="!!!",F5129="NEW"),"",INDEX(B5128:B$2,-1+SUMPRODUCT(MAX(ROW(E5128:E$2)*(E5129=E5128:E$2)))))</f>
        <v> </v>
      </c>
      <c r="J5129" s="26" t="str">
        <f>IF(OR(E5129="",E5129="!!!",F5129="NEW"),"",COUNTBLANK(OFFSET(A$1,,,SUMPRODUCT(MAX(ROW(E$2:E5129)*(E5129=E$2:E5129)))))-COUNTBLANK(OFFSET(A$1,,,SUMPRODUCT(MAX(ROW(E$1:E5128)*(E2=E$1:E5128))))))</f>
        <v> </v>
      </c>
      <c r="K5129" s="26" t="str">
        <f>IF(OR(E5129="",E5129="!!!",F5129="NEW"),"",INDEX(J$1:J5128,SUMPRODUCT(MAX(ROW(E$1:E5128)*(E5129=E$1:E5128)))))</f>
        <v> </v>
      </c>
      <c r="L5129" s="27"/>
    </row>
    <row r="5130" spans="1:12">
      <c r="A5130" s="20" t="s">
        <v>1018</v>
      </c>
      <c r="E5130" s="22">
        <f>IF(D5130="?OLD","!!!","")</f>
        <v/>
      </c>
      <c r="F5130" s="23" t="str">
        <f>IF(OR(E5130="",E5130="!!!"),"",IF(NOT(ISNA(VLOOKUP(E5130,E$1:E5129,1,FALSE()))),"OLD",IF(AND(E5130&lt;&gt;"",E5130&lt;&gt;"!!!"),"NEW","")))</f>
        <v> </v>
      </c>
      <c r="G5130" s="24" t="str">
        <f>IF(OR(E5130="",E5130="!!!"),"",IF(OR(J5130=0,AND(J5130=1,K5130=1),AND(J5130=1,I5130="SBJ"),AND(J5130=1,I5130=0)),"?IN_FOCUS",IF(J5130&lt;=2,"?ACTIVATED",IF(J5130&lt;&gt;"","?FAMILIAR",IF(F5130="NEW",IF(ISNA(VLOOKUP(E5130,#REF!,1,FALSE())),"?TYPE_IDENTIFIABLE","?REFERENTIAL"),"_")))))</f>
        <v> </v>
      </c>
      <c r="H5130" s="25" t="str">
        <f>IF(J5130&lt;&gt;1,"",IF(I5130="SBJ","CB","?"))</f>
        <v> </v>
      </c>
      <c r="I5130" s="26" t="str">
        <f>IF(OR(E5130="",E5130="!!!",F5130="NEW"),"",INDEX(B5129:B$2,-1+SUMPRODUCT(MAX(ROW(E5129:E$2)*(E5130=E5129:E$2)))))</f>
        <v> </v>
      </c>
      <c r="J5130" s="26" t="str">
        <f>IF(OR(E5130="",E5130="!!!",F5130="NEW"),"",COUNTBLANK(OFFSET(A$1,,,SUMPRODUCT(MAX(ROW(E$2:E5130)*(E5130=E$2:E5130)))))-COUNTBLANK(OFFSET(A$1,,,SUMPRODUCT(MAX(ROW(E$1:E5129)*(E2=E$1:E5129))))))</f>
        <v> </v>
      </c>
      <c r="K5130" s="26" t="str">
        <f>IF(OR(E5130="",E5130="!!!",F5130="NEW"),"",INDEX(J$1:J5129,SUMPRODUCT(MAX(ROW(E$1:E5129)*(E5130=E$1:E5129)))))</f>
        <v> </v>
      </c>
      <c r="L5130" s="27"/>
    </row>
    <row r="5131" spans="1:12">
      <c r="A5131" s="20" t="s">
        <v>56</v>
      </c>
      <c r="E5131" s="22">
        <f>IF(D5131="?OLD","!!!","")</f>
        <v/>
      </c>
      <c r="F5131" s="23" t="str">
        <f>IF(OR(E5131="",E5131="!!!"),"",IF(NOT(ISNA(VLOOKUP(E5131,E$1:E5130,1,FALSE()))),"OLD",IF(AND(E5131&lt;&gt;"",E5131&lt;&gt;"!!!"),"NEW","")))</f>
        <v> </v>
      </c>
      <c r="G5131" s="24" t="str">
        <f>IF(OR(E5131="",E5131="!!!"),"",IF(OR(J5131=0,AND(J5131=1,K5131=1),AND(J5131=1,I5131="SBJ"),AND(J5131=1,I5131=0)),"?IN_FOCUS",IF(J5131&lt;=2,"?ACTIVATED",IF(J5131&lt;&gt;"","?FAMILIAR",IF(F5131="NEW",IF(ISNA(VLOOKUP(E5131,#REF!,1,FALSE())),"?TYPE_IDENTIFIABLE","?REFERENTIAL"),"_")))))</f>
        <v> </v>
      </c>
      <c r="H5131" s="25" t="str">
        <f>IF(J5131&lt;&gt;1,"",IF(I5131="SBJ","CB","?"))</f>
        <v> </v>
      </c>
      <c r="I5131" s="26" t="str">
        <f>IF(OR(E5131="",E5131="!!!",F5131="NEW"),"",INDEX(B5130:B$2,-1+SUMPRODUCT(MAX(ROW(E5130:E$2)*(E5131=E5130:E$2)))))</f>
        <v> </v>
      </c>
      <c r="J5131" s="26" t="str">
        <f>IF(OR(E5131="",E5131="!!!",F5131="NEW"),"",COUNTBLANK(OFFSET(A$1,,,SUMPRODUCT(MAX(ROW(E$2:E5131)*(E5131=E$2:E5131)))))-COUNTBLANK(OFFSET(A$1,,,SUMPRODUCT(MAX(ROW(E$1:E5130)*(E2=E$1:E5130))))))</f>
        <v> </v>
      </c>
      <c r="K5131" s="26" t="str">
        <f>IF(OR(E5131="",E5131="!!!",F5131="NEW"),"",INDEX(J$1:J5130,SUMPRODUCT(MAX(ROW(E$1:E5130)*(E5131=E$1:E5130)))))</f>
        <v> </v>
      </c>
      <c r="L5131" s="27"/>
    </row>
    <row r="5132" spans="1:12">
      <c r="A5132" s="20" t="s">
        <v>1763</v>
      </c>
      <c r="E5132" s="22">
        <f>IF(D5132="?OLD","!!!","")</f>
        <v/>
      </c>
      <c r="F5132" s="23" t="str">
        <f>IF(OR(E5132="",E5132="!!!"),"",IF(NOT(ISNA(VLOOKUP(E5132,E$1:E5131,1,FALSE()))),"OLD",IF(AND(E5132&lt;&gt;"",E5132&lt;&gt;"!!!"),"NEW","")))</f>
        <v> </v>
      </c>
      <c r="G5132" s="24" t="str">
        <f>IF(OR(E5132="",E5132="!!!"),"",IF(OR(J5132=0,AND(J5132=1,K5132=1),AND(J5132=1,I5132="SBJ"),AND(J5132=1,I5132=0)),"?IN_FOCUS",IF(J5132&lt;=2,"?ACTIVATED",IF(J5132&lt;&gt;"","?FAMILIAR",IF(F5132="NEW",IF(ISNA(VLOOKUP(E5132,#REF!,1,FALSE())),"?TYPE_IDENTIFIABLE","?REFERENTIAL"),"_")))))</f>
        <v> </v>
      </c>
      <c r="H5132" s="25" t="str">
        <f>IF(J5132&lt;&gt;1,"",IF(I5132="SBJ","CB","?"))</f>
        <v> </v>
      </c>
      <c r="I5132" s="26" t="str">
        <f>IF(OR(E5132="",E5132="!!!",F5132="NEW"),"",INDEX(B5131:B$2,-1+SUMPRODUCT(MAX(ROW(E5131:E$2)*(E5132=E5131:E$2)))))</f>
        <v> </v>
      </c>
      <c r="J5132" s="26" t="str">
        <f>IF(OR(E5132="",E5132="!!!",F5132="NEW"),"",COUNTBLANK(OFFSET(A$1,,,SUMPRODUCT(MAX(ROW(E$2:E5132)*(E5132=E$2:E5132)))))-COUNTBLANK(OFFSET(A$1,,,SUMPRODUCT(MAX(ROW(E$1:E5131)*(E2=E$1:E5131))))))</f>
        <v> </v>
      </c>
      <c r="K5132" s="26" t="str">
        <f>IF(OR(E5132="",E5132="!!!",F5132="NEW"),"",INDEX(J$1:J5131,SUMPRODUCT(MAX(ROW(E$1:E5131)*(E5132=E$1:E5131)))))</f>
        <v> </v>
      </c>
      <c r="L5132" s="27"/>
    </row>
    <row r="5133" spans="1:12">
      <c r="A5133" s="20" t="s">
        <v>1065</v>
      </c>
      <c r="E5133" s="22">
        <f>IF(D5133="?OLD","!!!","")</f>
        <v/>
      </c>
      <c r="F5133" s="23" t="str">
        <f>IF(OR(E5133="",E5133="!!!"),"",IF(NOT(ISNA(VLOOKUP(E5133,E$1:E5132,1,FALSE()))),"OLD",IF(AND(E5133&lt;&gt;"",E5133&lt;&gt;"!!!"),"NEW","")))</f>
        <v> </v>
      </c>
      <c r="G5133" s="24" t="str">
        <f>IF(OR(E5133="",E5133="!!!"),"",IF(OR(J5133=0,AND(J5133=1,K5133=1),AND(J5133=1,I5133="SBJ"),AND(J5133=1,I5133=0)),"?IN_FOCUS",IF(J5133&lt;=2,"?ACTIVATED",IF(J5133&lt;&gt;"","?FAMILIAR",IF(F5133="NEW",IF(ISNA(VLOOKUP(E5133,#REF!,1,FALSE())),"?TYPE_IDENTIFIABLE","?REFERENTIAL"),"_")))))</f>
        <v> </v>
      </c>
      <c r="H5133" s="25" t="str">
        <f>IF(J5133&lt;&gt;1,"",IF(I5133="SBJ","CB","?"))</f>
        <v> </v>
      </c>
      <c r="I5133" s="26" t="str">
        <f>IF(OR(E5133="",E5133="!!!",F5133="NEW"),"",INDEX(B5132:B$2,-1+SUMPRODUCT(MAX(ROW(E5132:E$2)*(E5133=E5132:E$2)))))</f>
        <v> </v>
      </c>
      <c r="J5133" s="26" t="str">
        <f>IF(OR(E5133="",E5133="!!!",F5133="NEW"),"",COUNTBLANK(OFFSET(A$1,,,SUMPRODUCT(MAX(ROW(E$2:E5133)*(E5133=E$2:E5133)))))-COUNTBLANK(OFFSET(A$1,,,SUMPRODUCT(MAX(ROW(E$1:E5132)*(E2=E$1:E5132))))))</f>
        <v> </v>
      </c>
      <c r="K5133" s="26" t="str">
        <f>IF(OR(E5133="",E5133="!!!",F5133="NEW"),"",INDEX(J$1:J5132,SUMPRODUCT(MAX(ROW(E$1:E5132)*(E5133=E$1:E5132)))))</f>
        <v> </v>
      </c>
      <c r="L5133" s="27"/>
    </row>
    <row r="5134" spans="1:12">
      <c r="A5134" s="20" t="s">
        <v>1030</v>
      </c>
      <c r="E5134" s="22">
        <f>IF(D5134="?OLD","!!!","")</f>
        <v/>
      </c>
      <c r="F5134" s="23" t="str">
        <f>IF(OR(E5134="",E5134="!!!"),"",IF(NOT(ISNA(VLOOKUP(E5134,E$1:E5133,1,FALSE()))),"OLD",IF(AND(E5134&lt;&gt;"",E5134&lt;&gt;"!!!"),"NEW","")))</f>
        <v> </v>
      </c>
      <c r="G5134" s="24" t="str">
        <f>IF(OR(E5134="",E5134="!!!"),"",IF(OR(J5134=0,AND(J5134=1,K5134=1),AND(J5134=1,I5134="SBJ"),AND(J5134=1,I5134=0)),"?IN_FOCUS",IF(J5134&lt;=2,"?ACTIVATED",IF(J5134&lt;&gt;"","?FAMILIAR",IF(F5134="NEW",IF(ISNA(VLOOKUP(E5134,#REF!,1,FALSE())),"?TYPE_IDENTIFIABLE","?REFERENTIAL"),"_")))))</f>
        <v> </v>
      </c>
      <c r="H5134" s="25" t="str">
        <f>IF(J5134&lt;&gt;1,"",IF(I5134="SBJ","CB","?"))</f>
        <v> </v>
      </c>
      <c r="I5134" s="26" t="str">
        <f>IF(OR(E5134="",E5134="!!!",F5134="NEW"),"",INDEX(B5133:B$2,-1+SUMPRODUCT(MAX(ROW(E5133:E$2)*(E5134=E5133:E$2)))))</f>
        <v> </v>
      </c>
      <c r="J5134" s="26" t="str">
        <f>IF(OR(E5134="",E5134="!!!",F5134="NEW"),"",COUNTBLANK(OFFSET(A$1,,,SUMPRODUCT(MAX(ROW(E$2:E5134)*(E5134=E$2:E5134)))))-COUNTBLANK(OFFSET(A$1,,,SUMPRODUCT(MAX(ROW(E$1:E5133)*(E2=E$1:E5133))))))</f>
        <v> </v>
      </c>
      <c r="K5134" s="26" t="str">
        <f>IF(OR(E5134="",E5134="!!!",F5134="NEW"),"",INDEX(J$1:J5133,SUMPRODUCT(MAX(ROW(E$1:E5133)*(E5134=E$1:E5133)))))</f>
        <v> </v>
      </c>
      <c r="L5134" s="27"/>
    </row>
    <row r="5135" spans="1:12">
      <c r="A5135" s="20" t="s">
        <v>1015</v>
      </c>
      <c r="E5135" s="22">
        <f>IF(D5135="?OLD","!!!","")</f>
        <v/>
      </c>
      <c r="F5135" s="23" t="str">
        <f>IF(OR(E5135="",E5135="!!!"),"",IF(NOT(ISNA(VLOOKUP(E5135,E$1:E5134,1,FALSE()))),"OLD",IF(AND(E5135&lt;&gt;"",E5135&lt;&gt;"!!!"),"NEW","")))</f>
        <v> </v>
      </c>
      <c r="G5135" s="24" t="str">
        <f>IF(OR(E5135="",E5135="!!!"),"",IF(OR(J5135=0,AND(J5135=1,K5135=1),AND(J5135=1,I5135="SBJ"),AND(J5135=1,I5135=0)),"?IN_FOCUS",IF(J5135&lt;=2,"?ACTIVATED",IF(J5135&lt;&gt;"","?FAMILIAR",IF(F5135="NEW",IF(ISNA(VLOOKUP(E5135,#REF!,1,FALSE())),"?TYPE_IDENTIFIABLE","?REFERENTIAL"),"_")))))</f>
        <v> </v>
      </c>
      <c r="H5135" s="25" t="str">
        <f>IF(J5135&lt;&gt;1,"",IF(I5135="SBJ","CB","?"))</f>
        <v> </v>
      </c>
      <c r="I5135" s="26" t="str">
        <f>IF(OR(E5135="",E5135="!!!",F5135="NEW"),"",INDEX(B5134:B$2,-1+SUMPRODUCT(MAX(ROW(E5134:E$2)*(E5135=E5134:E$2)))))</f>
        <v> </v>
      </c>
      <c r="J5135" s="26" t="str">
        <f>IF(OR(E5135="",E5135="!!!",F5135="NEW"),"",COUNTBLANK(OFFSET(A$1,,,SUMPRODUCT(MAX(ROW(E$2:E5135)*(E5135=E$2:E5135)))))-COUNTBLANK(OFFSET(A$1,,,SUMPRODUCT(MAX(ROW(E$1:E5134)*(E2=E$1:E5134))))))</f>
        <v> </v>
      </c>
      <c r="K5135" s="26" t="str">
        <f>IF(OR(E5135="",E5135="!!!",F5135="NEW"),"",INDEX(J$1:J5134,SUMPRODUCT(MAX(ROW(E$1:E5134)*(E5135=E$1:E5134)))))</f>
        <v> </v>
      </c>
      <c r="L5135" s="27"/>
    </row>
    <row r="5136" spans="1:12">
      <c r="A5136" s="20" t="s">
        <v>2419</v>
      </c>
      <c r="B5136" s="21" t="s">
        <v>1033</v>
      </c>
      <c r="C5136" s="21" t="s">
        <v>1013</v>
      </c>
      <c r="D5136" s="21" t="s">
        <v>1007</v>
      </c>
      <c r="E5136" s="22">
        <f>IF(D5136="?OLD","!!!","")</f>
        <v/>
      </c>
      <c r="F5136" s="23" t="str">
        <f>IF(OR(E5136="",E5136="!!!"),"",IF(NOT(ISNA(VLOOKUP(E5136,E$1:E5135,1,FALSE()))),"OLD",IF(AND(E5136&lt;&gt;"",E5136&lt;&gt;"!!!"),"NEW","")))</f>
        <v> </v>
      </c>
      <c r="G5136" s="24" t="str">
        <f>IF(OR(E5136="",E5136="!!!"),"",IF(OR(J5136=0,AND(J5136=1,K5136=1),AND(J5136=1,I5136="SBJ"),AND(J5136=1,I5136=0)),"?IN_FOCUS",IF(J5136&lt;=2,"?ACTIVATED",IF(J5136&lt;&gt;"","?FAMILIAR",IF(F5136="NEW",IF(ISNA(VLOOKUP(E5136,#REF!,1,FALSE())),"?TYPE_IDENTIFIABLE","?REFERENTIAL"),"_")))))</f>
        <v> </v>
      </c>
      <c r="H5136" s="25" t="str">
        <f>IF(J5136&lt;&gt;1,"",IF(I5136="SBJ","CB","?"))</f>
        <v> </v>
      </c>
      <c r="I5136" s="26" t="str">
        <f>IF(OR(E5136="",E5136="!!!",F5136="NEW"),"",INDEX(B5135:B$2,-1+SUMPRODUCT(MAX(ROW(E5135:E$2)*(E5136=E5135:E$2)))))</f>
        <v> </v>
      </c>
      <c r="J5136" s="26" t="str">
        <f>IF(OR(E5136="",E5136="!!!",F5136="NEW"),"",COUNTBLANK(OFFSET(A$1,,,SUMPRODUCT(MAX(ROW(E$2:E5136)*(E5136=E$2:E5136)))))-COUNTBLANK(OFFSET(A$1,,,SUMPRODUCT(MAX(ROW(E$1:E5135)*(E2=E$1:E5135))))))</f>
        <v> </v>
      </c>
      <c r="K5136" s="26" t="str">
        <f>IF(OR(E5136="",E5136="!!!",F5136="NEW"),"",INDEX(J$1:J5135,SUMPRODUCT(MAX(ROW(E$1:E5135)*(E5136=E$1:E5135)))))</f>
        <v> </v>
      </c>
      <c r="L5136" s="27"/>
    </row>
    <row r="5137" spans="1:12">
      <c r="A5137" s="20" t="s">
        <v>1020</v>
      </c>
      <c r="E5137" s="22">
        <f>IF(D5137="?OLD","!!!","")</f>
        <v/>
      </c>
      <c r="F5137" s="23" t="str">
        <f>IF(OR(E5137="",E5137="!!!"),"",IF(NOT(ISNA(VLOOKUP(E5137,E$1:E5136,1,FALSE()))),"OLD",IF(AND(E5137&lt;&gt;"",E5137&lt;&gt;"!!!"),"NEW","")))</f>
        <v> </v>
      </c>
      <c r="G5137" s="24" t="str">
        <f>IF(OR(E5137="",E5137="!!!"),"",IF(OR(J5137=0,AND(J5137=1,K5137=1),AND(J5137=1,I5137="SBJ"),AND(J5137=1,I5137=0)),"?IN_FOCUS",IF(J5137&lt;=2,"?ACTIVATED",IF(J5137&lt;&gt;"","?FAMILIAR",IF(F5137="NEW",IF(ISNA(VLOOKUP(E5137,#REF!,1,FALSE())),"?TYPE_IDENTIFIABLE","?REFERENTIAL"),"_")))))</f>
        <v> </v>
      </c>
      <c r="H5137" s="25" t="str">
        <f>IF(J5137&lt;&gt;1,"",IF(I5137="SBJ","CB","?"))</f>
        <v> </v>
      </c>
      <c r="I5137" s="26" t="str">
        <f>IF(OR(E5137="",E5137="!!!",F5137="NEW"),"",INDEX(B5136:B$2,-1+SUMPRODUCT(MAX(ROW(E5136:E$2)*(E5137=E5136:E$2)))))</f>
        <v> </v>
      </c>
      <c r="J5137" s="26" t="str">
        <f>IF(OR(E5137="",E5137="!!!",F5137="NEW"),"",COUNTBLANK(OFFSET(A$1,,,SUMPRODUCT(MAX(ROW(E$2:E5137)*(E5137=E$2:E5137)))))-COUNTBLANK(OFFSET(A$1,,,SUMPRODUCT(MAX(ROW(E$1:E5136)*(E2=E$1:E5136))))))</f>
        <v> </v>
      </c>
      <c r="K5137" s="26" t="str">
        <f>IF(OR(E5137="",E5137="!!!",F5137="NEW"),"",INDEX(J$1:J5136,SUMPRODUCT(MAX(ROW(E$1:E5136)*(E5137=E$1:E5136)))))</f>
        <v> </v>
      </c>
      <c r="L5137" s="27"/>
    </row>
    <row r="5138" spans="1:12">
      <c r="A5138" s="20" t="s">
        <v>1056</v>
      </c>
      <c r="E5138" s="22">
        <f>IF(D5138="?OLD","!!!","")</f>
        <v/>
      </c>
      <c r="F5138" s="23" t="str">
        <f>IF(OR(E5138="",E5138="!!!"),"",IF(NOT(ISNA(VLOOKUP(E5138,E$1:E5137,1,FALSE()))),"OLD",IF(AND(E5138&lt;&gt;"",E5138&lt;&gt;"!!!"),"NEW","")))</f>
        <v> </v>
      </c>
      <c r="G5138" s="24" t="str">
        <f>IF(OR(E5138="",E5138="!!!"),"",IF(OR(J5138=0,AND(J5138=1,K5138=1),AND(J5138=1,I5138="SBJ"),AND(J5138=1,I5138=0)),"?IN_FOCUS",IF(J5138&lt;=2,"?ACTIVATED",IF(J5138&lt;&gt;"","?FAMILIAR",IF(F5138="NEW",IF(ISNA(VLOOKUP(E5138,#REF!,1,FALSE())),"?TYPE_IDENTIFIABLE","?REFERENTIAL"),"_")))))</f>
        <v> </v>
      </c>
      <c r="H5138" s="25" t="str">
        <f>IF(J5138&lt;&gt;1,"",IF(I5138="SBJ","CB","?"))</f>
        <v> </v>
      </c>
      <c r="I5138" s="26" t="str">
        <f>IF(OR(E5138="",E5138="!!!",F5138="NEW"),"",INDEX(B5137:B$2,-1+SUMPRODUCT(MAX(ROW(E5137:E$2)*(E5138=E5137:E$2)))))</f>
        <v> </v>
      </c>
      <c r="J5138" s="26" t="str">
        <f>IF(OR(E5138="",E5138="!!!",F5138="NEW"),"",COUNTBLANK(OFFSET(A$1,,,SUMPRODUCT(MAX(ROW(E$2:E5138)*(E5138=E$2:E5138)))))-COUNTBLANK(OFFSET(A$1,,,SUMPRODUCT(MAX(ROW(E$1:E5137)*(E2=E$1:E5137))))))</f>
        <v> </v>
      </c>
      <c r="K5138" s="26" t="str">
        <f>IF(OR(E5138="",E5138="!!!",F5138="NEW"),"",INDEX(J$1:J5137,SUMPRODUCT(MAX(ROW(E$1:E5137)*(E5138=E$1:E5137)))))</f>
        <v> </v>
      </c>
      <c r="L5138" s="27"/>
    </row>
    <row r="5139" spans="1:12">
      <c r="A5139" s="20" t="s">
        <v>1692</v>
      </c>
      <c r="B5139" s="21" t="s">
        <v>1035</v>
      </c>
      <c r="C5139" s="21" t="s">
        <v>1111</v>
      </c>
      <c r="E5139" s="22">
        <f>IF(D5139="?OLD","!!!","")</f>
        <v/>
      </c>
      <c r="F5139" s="23" t="str">
        <f>IF(OR(E5139="",E5139="!!!"),"",IF(NOT(ISNA(VLOOKUP(E5139,E$1:E5138,1,FALSE()))),"OLD",IF(AND(E5139&lt;&gt;"",E5139&lt;&gt;"!!!"),"NEW","")))</f>
        <v> </v>
      </c>
      <c r="G5139" s="24" t="str">
        <f>IF(OR(E5139="",E5139="!!!"),"",IF(OR(J5139=0,AND(J5139=1,K5139=1),AND(J5139=1,I5139="SBJ"),AND(J5139=1,I5139=0)),"?IN_FOCUS",IF(J5139&lt;=2,"?ACTIVATED",IF(J5139&lt;&gt;"","?FAMILIAR",IF(F5139="NEW",IF(ISNA(VLOOKUP(E5139,#REF!,1,FALSE())),"?TYPE_IDENTIFIABLE","?REFERENTIAL"),"_")))))</f>
        <v> </v>
      </c>
      <c r="H5139" s="25" t="str">
        <f>IF(J5139&lt;&gt;1,"",IF(I5139="SBJ","CB","?"))</f>
        <v> </v>
      </c>
      <c r="I5139" s="26" t="str">
        <f>IF(OR(E5139="",E5139="!!!",F5139="NEW"),"",INDEX(B5138:B$2,-1+SUMPRODUCT(MAX(ROW(E5138:E$2)*(E5139=E5138:E$2)))))</f>
        <v> </v>
      </c>
      <c r="J5139" s="26" t="str">
        <f>IF(OR(E5139="",E5139="!!!",F5139="NEW"),"",COUNTBLANK(OFFSET(A$1,,,SUMPRODUCT(MAX(ROW(E$2:E5139)*(E5139=E$2:E5139)))))-COUNTBLANK(OFFSET(A$1,,,SUMPRODUCT(MAX(ROW(E$1:E5138)*(E2=E$1:E5138))))))</f>
        <v> </v>
      </c>
      <c r="K5139" s="26" t="str">
        <f>IF(OR(E5139="",E5139="!!!",F5139="NEW"),"",INDEX(J$1:J5138,SUMPRODUCT(MAX(ROW(E$1:E5138)*(E5139=E$1:E5138)))))</f>
        <v> </v>
      </c>
      <c r="L5139" s="27"/>
    </row>
    <row r="5140" spans="1:12">
      <c r="A5140" s="20" t="s">
        <v>2414</v>
      </c>
      <c r="E5140" s="22">
        <f>IF(D5140="?OLD","!!!","")</f>
        <v/>
      </c>
      <c r="F5140" s="23" t="str">
        <f>IF(OR(E5140="",E5140="!!!"),"",IF(NOT(ISNA(VLOOKUP(E5140,E$1:E5139,1,FALSE()))),"OLD",IF(AND(E5140&lt;&gt;"",E5140&lt;&gt;"!!!"),"NEW","")))</f>
        <v> </v>
      </c>
      <c r="G5140" s="24" t="str">
        <f>IF(OR(E5140="",E5140="!!!"),"",IF(OR(J5140=0,AND(J5140=1,K5140=1),AND(J5140=1,I5140="SBJ"),AND(J5140=1,I5140=0)),"?IN_FOCUS",IF(J5140&lt;=2,"?ACTIVATED",IF(J5140&lt;&gt;"","?FAMILIAR",IF(F5140="NEW",IF(ISNA(VLOOKUP(E5140,#REF!,1,FALSE())),"?TYPE_IDENTIFIABLE","?REFERENTIAL"),"_")))))</f>
        <v> </v>
      </c>
      <c r="H5140" s="25" t="str">
        <f>IF(J5140&lt;&gt;1,"",IF(I5140="SBJ","CB","?"))</f>
        <v> </v>
      </c>
      <c r="I5140" s="26" t="str">
        <f>IF(OR(E5140="",E5140="!!!",F5140="NEW"),"",INDEX(B5139:B$2,-1+SUMPRODUCT(MAX(ROW(E5139:E$2)*(E5140=E5139:E$2)))))</f>
        <v> </v>
      </c>
      <c r="J5140" s="26" t="str">
        <f>IF(OR(E5140="",E5140="!!!",F5140="NEW"),"",COUNTBLANK(OFFSET(A$1,,,SUMPRODUCT(MAX(ROW(E$2:E5140)*(E5140=E$2:E5140)))))-COUNTBLANK(OFFSET(A$1,,,SUMPRODUCT(MAX(ROW(E$1:E5139)*(E2=E$1:E5139))))))</f>
        <v> </v>
      </c>
      <c r="K5140" s="26" t="str">
        <f>IF(OR(E5140="",E5140="!!!",F5140="NEW"),"",INDEX(J$1:J5139,SUMPRODUCT(MAX(ROW(E$1:E5139)*(E5140=E$1:E5139)))))</f>
        <v> </v>
      </c>
      <c r="L5140" s="27"/>
    </row>
    <row r="5141" spans="1:12">
      <c r="A5141" s="20" t="s">
        <v>2420</v>
      </c>
      <c r="E5141" s="22">
        <f>IF(D5141="?OLD","!!!","")</f>
        <v/>
      </c>
      <c r="F5141" s="23" t="str">
        <f>IF(OR(E5141="",E5141="!!!"),"",IF(NOT(ISNA(VLOOKUP(E5141,E$1:E5140,1,FALSE()))),"OLD",IF(AND(E5141&lt;&gt;"",E5141&lt;&gt;"!!!"),"NEW","")))</f>
        <v> </v>
      </c>
      <c r="G5141" s="24" t="str">
        <f>IF(OR(E5141="",E5141="!!!"),"",IF(OR(J5141=0,AND(J5141=1,K5141=1),AND(J5141=1,I5141="SBJ"),AND(J5141=1,I5141=0)),"?IN_FOCUS",IF(J5141&lt;=2,"?ACTIVATED",IF(J5141&lt;&gt;"","?FAMILIAR",IF(F5141="NEW",IF(ISNA(VLOOKUP(E5141,#REF!,1,FALSE())),"?TYPE_IDENTIFIABLE","?REFERENTIAL"),"_")))))</f>
        <v> </v>
      </c>
      <c r="H5141" s="25" t="str">
        <f>IF(J5141&lt;&gt;1,"",IF(I5141="SBJ","CB","?"))</f>
        <v> </v>
      </c>
      <c r="I5141" s="26" t="str">
        <f>IF(OR(E5141="",E5141="!!!",F5141="NEW"),"",INDEX(B5140:B$2,-1+SUMPRODUCT(MAX(ROW(E5140:E$2)*(E5141=E5140:E$2)))))</f>
        <v> </v>
      </c>
      <c r="J5141" s="26" t="str">
        <f>IF(OR(E5141="",E5141="!!!",F5141="NEW"),"",COUNTBLANK(OFFSET(A$1,,,SUMPRODUCT(MAX(ROW(E$2:E5141)*(E5141=E$2:E5141)))))-COUNTBLANK(OFFSET(A$1,,,SUMPRODUCT(MAX(ROW(E$1:E5140)*(E2=E$1:E5140))))))</f>
        <v> </v>
      </c>
      <c r="K5141" s="26" t="str">
        <f>IF(OR(E5141="",E5141="!!!",F5141="NEW"),"",INDEX(J$1:J5140,SUMPRODUCT(MAX(ROW(E$1:E5140)*(E5141=E$1:E5140)))))</f>
        <v> </v>
      </c>
      <c r="L5141" s="27"/>
    </row>
    <row r="5142" spans="1:12">
      <c r="A5142" s="20" t="s">
        <v>1137</v>
      </c>
      <c r="E5142" s="22">
        <f>IF(D5142="?OLD","!!!","")</f>
        <v/>
      </c>
      <c r="F5142" s="23" t="str">
        <f>IF(OR(E5142="",E5142="!!!"),"",IF(NOT(ISNA(VLOOKUP(E5142,E$1:E5141,1,FALSE()))),"OLD",IF(AND(E5142&lt;&gt;"",E5142&lt;&gt;"!!!"),"NEW","")))</f>
        <v> </v>
      </c>
      <c r="G5142" s="24" t="str">
        <f>IF(OR(E5142="",E5142="!!!"),"",IF(OR(J5142=0,AND(J5142=1,K5142=1),AND(J5142=1,I5142="SBJ"),AND(J5142=1,I5142=0)),"?IN_FOCUS",IF(J5142&lt;=2,"?ACTIVATED",IF(J5142&lt;&gt;"","?FAMILIAR",IF(F5142="NEW",IF(ISNA(VLOOKUP(E5142,#REF!,1,FALSE())),"?TYPE_IDENTIFIABLE","?REFERENTIAL"),"_")))))</f>
        <v> </v>
      </c>
      <c r="H5142" s="25" t="str">
        <f>IF(J5142&lt;&gt;1,"",IF(I5142="SBJ","CB","?"))</f>
        <v> </v>
      </c>
      <c r="I5142" s="26" t="str">
        <f>IF(OR(E5142="",E5142="!!!",F5142="NEW"),"",INDEX(B5141:B$2,-1+SUMPRODUCT(MAX(ROW(E5141:E$2)*(E5142=E5141:E$2)))))</f>
        <v> </v>
      </c>
      <c r="J5142" s="26" t="str">
        <f>IF(OR(E5142="",E5142="!!!",F5142="NEW"),"",COUNTBLANK(OFFSET(A$1,,,SUMPRODUCT(MAX(ROW(E$2:E5142)*(E5142=E$2:E5142)))))-COUNTBLANK(OFFSET(A$1,,,SUMPRODUCT(MAX(ROW(E$1:E5141)*(E2=E$1:E5141))))))</f>
        <v> </v>
      </c>
      <c r="K5142" s="26" t="str">
        <f>IF(OR(E5142="",E5142="!!!",F5142="NEW"),"",INDEX(J$1:J5141,SUMPRODUCT(MAX(ROW(E$1:E5141)*(E5142=E$1:E5141)))))</f>
        <v> </v>
      </c>
      <c r="L5142" s="27"/>
    </row>
    <row r="5143" spans="1:12">
      <c r="A5143" s="20" t="s">
        <v>2204</v>
      </c>
      <c r="E5143" s="22">
        <f>IF(D5143="?OLD","!!!","")</f>
        <v/>
      </c>
      <c r="F5143" s="23" t="str">
        <f>IF(OR(E5143="",E5143="!!!"),"",IF(NOT(ISNA(VLOOKUP(E5143,E$1:E5142,1,FALSE()))),"OLD",IF(AND(E5143&lt;&gt;"",E5143&lt;&gt;"!!!"),"NEW","")))</f>
        <v> </v>
      </c>
      <c r="G5143" s="24" t="str">
        <f>IF(OR(E5143="",E5143="!!!"),"",IF(OR(J5143=0,AND(J5143=1,K5143=1),AND(J5143=1,I5143="SBJ"),AND(J5143=1,I5143=0)),"?IN_FOCUS",IF(J5143&lt;=2,"?ACTIVATED",IF(J5143&lt;&gt;"","?FAMILIAR",IF(F5143="NEW",IF(ISNA(VLOOKUP(E5143,#REF!,1,FALSE())),"?TYPE_IDENTIFIABLE","?REFERENTIAL"),"_")))))</f>
        <v> </v>
      </c>
      <c r="H5143" s="25" t="str">
        <f>IF(J5143&lt;&gt;1,"",IF(I5143="SBJ","CB","?"))</f>
        <v> </v>
      </c>
      <c r="I5143" s="26" t="str">
        <f>IF(OR(E5143="",E5143="!!!",F5143="NEW"),"",INDEX(B5142:B$2,-1+SUMPRODUCT(MAX(ROW(E5142:E$2)*(E5143=E5142:E$2)))))</f>
        <v> </v>
      </c>
      <c r="J5143" s="26" t="str">
        <f>IF(OR(E5143="",E5143="!!!",F5143="NEW"),"",COUNTBLANK(OFFSET(A$1,,,SUMPRODUCT(MAX(ROW(E$2:E5143)*(E5143=E$2:E5143)))))-COUNTBLANK(OFFSET(A$1,,,SUMPRODUCT(MAX(ROW(E$1:E5142)*(E2=E$1:E5142))))))</f>
        <v> </v>
      </c>
      <c r="K5143" s="26" t="str">
        <f>IF(OR(E5143="",E5143="!!!",F5143="NEW"),"",INDEX(J$1:J5142,SUMPRODUCT(MAX(ROW(E$1:E5142)*(E5143=E$1:E5142)))))</f>
        <v> </v>
      </c>
      <c r="L5143" s="27"/>
    </row>
    <row r="5144" spans="1:12">
      <c r="A5144" s="20" t="s">
        <v>110</v>
      </c>
      <c r="E5144" s="22">
        <f>IF(D5144="?OLD","!!!","")</f>
        <v/>
      </c>
      <c r="F5144" s="23" t="str">
        <f>IF(OR(E5144="",E5144="!!!"),"",IF(NOT(ISNA(VLOOKUP(E5144,E$1:E5143,1,FALSE()))),"OLD",IF(AND(E5144&lt;&gt;"",E5144&lt;&gt;"!!!"),"NEW","")))</f>
        <v> </v>
      </c>
      <c r="G5144" s="24" t="str">
        <f>IF(OR(E5144="",E5144="!!!"),"",IF(OR(J5144=0,AND(J5144=1,K5144=1),AND(J5144=1,I5144="SBJ"),AND(J5144=1,I5144=0)),"?IN_FOCUS",IF(J5144&lt;=2,"?ACTIVATED",IF(J5144&lt;&gt;"","?FAMILIAR",IF(F5144="NEW",IF(ISNA(VLOOKUP(E5144,#REF!,1,FALSE())),"?TYPE_IDENTIFIABLE","?REFERENTIAL"),"_")))))</f>
        <v> </v>
      </c>
      <c r="H5144" s="25" t="str">
        <f>IF(J5144&lt;&gt;1,"",IF(I5144="SBJ","CB","?"))</f>
        <v> </v>
      </c>
      <c r="I5144" s="26" t="str">
        <f>IF(OR(E5144="",E5144="!!!",F5144="NEW"),"",INDEX(B5143:B$2,-1+SUMPRODUCT(MAX(ROW(E5143:E$2)*(E5144=E5143:E$2)))))</f>
        <v> </v>
      </c>
      <c r="J5144" s="26" t="str">
        <f>IF(OR(E5144="",E5144="!!!",F5144="NEW"),"",COUNTBLANK(OFFSET(A$1,,,SUMPRODUCT(MAX(ROW(E$2:E5144)*(E5144=E$2:E5144)))))-COUNTBLANK(OFFSET(A$1,,,SUMPRODUCT(MAX(ROW(E$1:E5143)*(E2=E$1:E5143))))))</f>
        <v> </v>
      </c>
      <c r="K5144" s="26" t="str">
        <f>IF(OR(E5144="",E5144="!!!",F5144="NEW"),"",INDEX(J$1:J5143,SUMPRODUCT(MAX(ROW(E$1:E5143)*(E5144=E$1:E5143)))))</f>
        <v> </v>
      </c>
      <c r="L5144" s="27"/>
    </row>
    <row r="5145" spans="1:12">
      <c r="A5145" s="20" t="s">
        <v>1921</v>
      </c>
      <c r="E5145" s="22">
        <f>IF(D5145="?OLD","!!!","")</f>
        <v/>
      </c>
      <c r="F5145" s="23" t="str">
        <f>IF(OR(E5145="",E5145="!!!"),"",IF(NOT(ISNA(VLOOKUP(E5145,E$1:E5144,1,FALSE()))),"OLD",IF(AND(E5145&lt;&gt;"",E5145&lt;&gt;"!!!"),"NEW","")))</f>
        <v> </v>
      </c>
      <c r="G5145" s="24" t="str">
        <f>IF(OR(E5145="",E5145="!!!"),"",IF(OR(J5145=0,AND(J5145=1,K5145=1),AND(J5145=1,I5145="SBJ"),AND(J5145=1,I5145=0)),"?IN_FOCUS",IF(J5145&lt;=2,"?ACTIVATED",IF(J5145&lt;&gt;"","?FAMILIAR",IF(F5145="NEW",IF(ISNA(VLOOKUP(E5145,#REF!,1,FALSE())),"?TYPE_IDENTIFIABLE","?REFERENTIAL"),"_")))))</f>
        <v> </v>
      </c>
      <c r="H5145" s="25" t="str">
        <f>IF(J5145&lt;&gt;1,"",IF(I5145="SBJ","CB","?"))</f>
        <v> </v>
      </c>
      <c r="I5145" s="26" t="str">
        <f>IF(OR(E5145="",E5145="!!!",F5145="NEW"),"",INDEX(B5144:B$2,-1+SUMPRODUCT(MAX(ROW(E5144:E$2)*(E5145=E5144:E$2)))))</f>
        <v> </v>
      </c>
      <c r="J5145" s="26" t="str">
        <f>IF(OR(E5145="",E5145="!!!",F5145="NEW"),"",COUNTBLANK(OFFSET(A$1,,,SUMPRODUCT(MAX(ROW(E$2:E5145)*(E5145=E$2:E5145)))))-COUNTBLANK(OFFSET(A$1,,,SUMPRODUCT(MAX(ROW(E$1:E5144)*(E2=E$1:E5144))))))</f>
        <v> </v>
      </c>
      <c r="K5145" s="26" t="str">
        <f>IF(OR(E5145="",E5145="!!!",F5145="NEW"),"",INDEX(J$1:J5144,SUMPRODUCT(MAX(ROW(E$1:E5144)*(E5145=E$1:E5144)))))</f>
        <v> </v>
      </c>
      <c r="L5145" s="27"/>
    </row>
    <row r="5146" spans="1:12">
      <c r="A5146" s="20" t="s">
        <v>193</v>
      </c>
      <c r="B5146" s="21" t="s">
        <v>1066</v>
      </c>
      <c r="C5146" s="21" t="s">
        <v>1103</v>
      </c>
      <c r="E5146" s="22">
        <f>IF(D5146="?OLD","!!!","")</f>
        <v/>
      </c>
      <c r="F5146" s="23" t="str">
        <f>IF(OR(E5146="",E5146="!!!"),"",IF(NOT(ISNA(VLOOKUP(E5146,E$1:E5145,1,FALSE()))),"OLD",IF(AND(E5146&lt;&gt;"",E5146&lt;&gt;"!!!"),"NEW","")))</f>
        <v> </v>
      </c>
      <c r="G5146" s="24" t="str">
        <f>IF(OR(E5146="",E5146="!!!"),"",IF(OR(J5146=0,AND(J5146=1,K5146=1),AND(J5146=1,I5146="SBJ"),AND(J5146=1,I5146=0)),"?IN_FOCUS",IF(J5146&lt;=2,"?ACTIVATED",IF(J5146&lt;&gt;"","?FAMILIAR",IF(F5146="NEW",IF(ISNA(VLOOKUP(E5146,#REF!,1,FALSE())),"?TYPE_IDENTIFIABLE","?REFERENTIAL"),"_")))))</f>
        <v> </v>
      </c>
      <c r="H5146" s="25" t="str">
        <f>IF(J5146&lt;&gt;1,"",IF(I5146="SBJ","CB","?"))</f>
        <v> </v>
      </c>
      <c r="I5146" s="26" t="str">
        <f>IF(OR(E5146="",E5146="!!!",F5146="NEW"),"",INDEX(B5145:B$2,-1+SUMPRODUCT(MAX(ROW(E5145:E$2)*(E5146=E5145:E$2)))))</f>
        <v> </v>
      </c>
      <c r="J5146" s="26" t="str">
        <f>IF(OR(E5146="",E5146="!!!",F5146="NEW"),"",COUNTBLANK(OFFSET(A$1,,,SUMPRODUCT(MAX(ROW(E$2:E5146)*(E5146=E$2:E5146)))))-COUNTBLANK(OFFSET(A$1,,,SUMPRODUCT(MAX(ROW(E$1:E5145)*(E2=E$1:E5145))))))</f>
        <v> </v>
      </c>
      <c r="K5146" s="26" t="str">
        <f>IF(OR(E5146="",E5146="!!!",F5146="NEW"),"",INDEX(J$1:J5145,SUMPRODUCT(MAX(ROW(E$1:E5145)*(E5146=E$1:E5145)))))</f>
        <v> </v>
      </c>
      <c r="L5146" s="27"/>
    </row>
    <row r="5147" spans="1:12">
      <c r="A5147" s="20" t="s">
        <v>1065</v>
      </c>
      <c r="B5147" s="21" t="s">
        <v>1487</v>
      </c>
      <c r="E5147" s="22">
        <f>IF(D5147="?OLD","!!!","")</f>
        <v/>
      </c>
      <c r="F5147" s="23" t="str">
        <f>IF(OR(E5147="",E5147="!!!"),"",IF(NOT(ISNA(VLOOKUP(E5147,E$1:E5146,1,FALSE()))),"OLD",IF(AND(E5147&lt;&gt;"",E5147&lt;&gt;"!!!"),"NEW","")))</f>
        <v> </v>
      </c>
      <c r="G5147" s="24" t="str">
        <f>IF(OR(E5147="",E5147="!!!"),"",IF(OR(J5147=0,AND(J5147=1,K5147=1),AND(J5147=1,I5147="SBJ"),AND(J5147=1,I5147=0)),"?IN_FOCUS",IF(J5147&lt;=2,"?ACTIVATED",IF(J5147&lt;&gt;"","?FAMILIAR",IF(F5147="NEW",IF(ISNA(VLOOKUP(E5147,#REF!,1,FALSE())),"?TYPE_IDENTIFIABLE","?REFERENTIAL"),"_")))))</f>
        <v> </v>
      </c>
      <c r="H5147" s="25" t="str">
        <f>IF(J5147&lt;&gt;1,"",IF(I5147="SBJ","CB","?"))</f>
        <v> </v>
      </c>
      <c r="I5147" s="26" t="str">
        <f>IF(OR(E5147="",E5147="!!!",F5147="NEW"),"",INDEX(B5146:B$2,-1+SUMPRODUCT(MAX(ROW(E5146:E$2)*(E5147=E5146:E$2)))))</f>
        <v> </v>
      </c>
      <c r="J5147" s="26" t="str">
        <f>IF(OR(E5147="",E5147="!!!",F5147="NEW"),"",COUNTBLANK(OFFSET(A$1,,,SUMPRODUCT(MAX(ROW(E$2:E5147)*(E5147=E$2:E5147)))))-COUNTBLANK(OFFSET(A$1,,,SUMPRODUCT(MAX(ROW(E$1:E5146)*(E2=E$1:E5146))))))</f>
        <v> </v>
      </c>
      <c r="K5147" s="26" t="str">
        <f>IF(OR(E5147="",E5147="!!!",F5147="NEW"),"",INDEX(J$1:J5146,SUMPRODUCT(MAX(ROW(E$1:E5146)*(E5147=E$1:E5146)))))</f>
        <v> </v>
      </c>
      <c r="L5147" s="27"/>
    </row>
    <row r="5148" spans="1:12">
      <c r="A5148" s="20" t="s">
        <v>2421</v>
      </c>
      <c r="E5148" s="22">
        <f>IF(D5148="?OLD","!!!","")</f>
        <v/>
      </c>
      <c r="F5148" s="23" t="str">
        <f>IF(OR(E5148="",E5148="!!!"),"",IF(NOT(ISNA(VLOOKUP(E5148,E$1:E5147,1,FALSE()))),"OLD",IF(AND(E5148&lt;&gt;"",E5148&lt;&gt;"!!!"),"NEW","")))</f>
        <v> </v>
      </c>
      <c r="G5148" s="24" t="str">
        <f>IF(OR(E5148="",E5148="!!!"),"",IF(OR(J5148=0,AND(J5148=1,K5148=1),AND(J5148=1,I5148="SBJ"),AND(J5148=1,I5148=0)),"?IN_FOCUS",IF(J5148&lt;=2,"?ACTIVATED",IF(J5148&lt;&gt;"","?FAMILIAR",IF(F5148="NEW",IF(ISNA(VLOOKUP(E5148,#REF!,1,FALSE())),"?TYPE_IDENTIFIABLE","?REFERENTIAL"),"_")))))</f>
        <v> </v>
      </c>
      <c r="H5148" s="25" t="str">
        <f>IF(J5148&lt;&gt;1,"",IF(I5148="SBJ","CB","?"))</f>
        <v> </v>
      </c>
      <c r="I5148" s="26" t="str">
        <f>IF(OR(E5148="",E5148="!!!",F5148="NEW"),"",INDEX(B5147:B$2,-1+SUMPRODUCT(MAX(ROW(E5147:E$2)*(E5148=E5147:E$2)))))</f>
        <v> </v>
      </c>
      <c r="J5148" s="26" t="str">
        <f>IF(OR(E5148="",E5148="!!!",F5148="NEW"),"",COUNTBLANK(OFFSET(A$1,,,SUMPRODUCT(MAX(ROW(E$2:E5148)*(E5148=E$2:E5148)))))-COUNTBLANK(OFFSET(A$1,,,SUMPRODUCT(MAX(ROW(E$1:E5147)*(E2=E$1:E5147))))))</f>
        <v> </v>
      </c>
      <c r="K5148" s="26" t="str">
        <f>IF(OR(E5148="",E5148="!!!",F5148="NEW"),"",INDEX(J$1:J5147,SUMPRODUCT(MAX(ROW(E$1:E5147)*(E5148=E$1:E5147)))))</f>
        <v> </v>
      </c>
      <c r="L5148" s="27"/>
    </row>
    <row r="5149" spans="1:12">
      <c r="A5149" s="20" t="s">
        <v>2422</v>
      </c>
      <c r="E5149" s="22">
        <f>IF(D5149="?OLD","!!!","")</f>
        <v/>
      </c>
      <c r="F5149" s="23" t="str">
        <f>IF(OR(E5149="",E5149="!!!"),"",IF(NOT(ISNA(VLOOKUP(E5149,E$1:E5148,1,FALSE()))),"OLD",IF(AND(E5149&lt;&gt;"",E5149&lt;&gt;"!!!"),"NEW","")))</f>
        <v> </v>
      </c>
      <c r="G5149" s="24" t="str">
        <f>IF(OR(E5149="",E5149="!!!"),"",IF(OR(J5149=0,AND(J5149=1,K5149=1),AND(J5149=1,I5149="SBJ"),AND(J5149=1,I5149=0)),"?IN_FOCUS",IF(J5149&lt;=2,"?ACTIVATED",IF(J5149&lt;&gt;"","?FAMILIAR",IF(F5149="NEW",IF(ISNA(VLOOKUP(E5149,#REF!,1,FALSE())),"?TYPE_IDENTIFIABLE","?REFERENTIAL"),"_")))))</f>
        <v> </v>
      </c>
      <c r="H5149" s="25" t="str">
        <f>IF(J5149&lt;&gt;1,"",IF(I5149="SBJ","CB","?"))</f>
        <v> </v>
      </c>
      <c r="I5149" s="26" t="str">
        <f>IF(OR(E5149="",E5149="!!!",F5149="NEW"),"",INDEX(B5148:B$2,-1+SUMPRODUCT(MAX(ROW(E5148:E$2)*(E5149=E5148:E$2)))))</f>
        <v> </v>
      </c>
      <c r="J5149" s="26" t="str">
        <f>IF(OR(E5149="",E5149="!!!",F5149="NEW"),"",COUNTBLANK(OFFSET(A$1,,,SUMPRODUCT(MAX(ROW(E$2:E5149)*(E5149=E$2:E5149)))))-COUNTBLANK(OFFSET(A$1,,,SUMPRODUCT(MAX(ROW(E$1:E5148)*(E2=E$1:E5148))))))</f>
        <v> </v>
      </c>
      <c r="K5149" s="26" t="str">
        <f>IF(OR(E5149="",E5149="!!!",F5149="NEW"),"",INDEX(J$1:J5148,SUMPRODUCT(MAX(ROW(E$1:E5148)*(E5149=E$1:E5148)))))</f>
        <v> </v>
      </c>
      <c r="L5149" s="27"/>
    </row>
    <row r="5150" spans="1:12">
      <c r="A5150" s="20" t="s">
        <v>2336</v>
      </c>
      <c r="E5150" s="22">
        <f>IF(D5150="?OLD","!!!","")</f>
        <v/>
      </c>
      <c r="F5150" s="23" t="str">
        <f>IF(OR(E5150="",E5150="!!!"),"",IF(NOT(ISNA(VLOOKUP(E5150,E$1:E5149,1,FALSE()))),"OLD",IF(AND(E5150&lt;&gt;"",E5150&lt;&gt;"!!!"),"NEW","")))</f>
        <v> </v>
      </c>
      <c r="G5150" s="24" t="str">
        <f>IF(OR(E5150="",E5150="!!!"),"",IF(OR(J5150=0,AND(J5150=1,K5150=1),AND(J5150=1,I5150="SBJ"),AND(J5150=1,I5150=0)),"?IN_FOCUS",IF(J5150&lt;=2,"?ACTIVATED",IF(J5150&lt;&gt;"","?FAMILIAR",IF(F5150="NEW",IF(ISNA(VLOOKUP(E5150,#REF!,1,FALSE())),"?TYPE_IDENTIFIABLE","?REFERENTIAL"),"_")))))</f>
        <v> </v>
      </c>
      <c r="H5150" s="25" t="str">
        <f>IF(J5150&lt;&gt;1,"",IF(I5150="SBJ","CB","?"))</f>
        <v> </v>
      </c>
      <c r="I5150" s="26" t="str">
        <f>IF(OR(E5150="",E5150="!!!",F5150="NEW"),"",INDEX(B5149:B$2,-1+SUMPRODUCT(MAX(ROW(E5149:E$2)*(E5150=E5149:E$2)))))</f>
        <v> </v>
      </c>
      <c r="J5150" s="26" t="str">
        <f>IF(OR(E5150="",E5150="!!!",F5150="NEW"),"",COUNTBLANK(OFFSET(A$1,,,SUMPRODUCT(MAX(ROW(E$2:E5150)*(E5150=E$2:E5150)))))-COUNTBLANK(OFFSET(A$1,,,SUMPRODUCT(MAX(ROW(E$1:E5149)*(E2=E$1:E5149))))))</f>
        <v> </v>
      </c>
      <c r="K5150" s="26" t="str">
        <f>IF(OR(E5150="",E5150="!!!",F5150="NEW"),"",INDEX(J$1:J5149,SUMPRODUCT(MAX(ROW(E$1:E5149)*(E5150=E$1:E5149)))))</f>
        <v> </v>
      </c>
      <c r="L5150" s="27"/>
    </row>
    <row r="5151" spans="1:12">
      <c r="A5151" s="20" t="s">
        <v>1020</v>
      </c>
      <c r="E5151" s="22">
        <f>IF(D5151="?OLD","!!!","")</f>
        <v/>
      </c>
      <c r="F5151" s="23" t="str">
        <f>IF(OR(E5151="",E5151="!!!"),"",IF(NOT(ISNA(VLOOKUP(E5151,E$1:E5150,1,FALSE()))),"OLD",IF(AND(E5151&lt;&gt;"",E5151&lt;&gt;"!!!"),"NEW","")))</f>
        <v> </v>
      </c>
      <c r="G5151" s="24" t="str">
        <f>IF(OR(E5151="",E5151="!!!"),"",IF(OR(J5151=0,AND(J5151=1,K5151=1),AND(J5151=1,I5151="SBJ"),AND(J5151=1,I5151=0)),"?IN_FOCUS",IF(J5151&lt;=2,"?ACTIVATED",IF(J5151&lt;&gt;"","?FAMILIAR",IF(F5151="NEW",IF(ISNA(VLOOKUP(E5151,#REF!,1,FALSE())),"?TYPE_IDENTIFIABLE","?REFERENTIAL"),"_")))))</f>
        <v> </v>
      </c>
      <c r="H5151" s="25" t="str">
        <f>IF(J5151&lt;&gt;1,"",IF(I5151="SBJ","CB","?"))</f>
        <v> </v>
      </c>
      <c r="I5151" s="26" t="str">
        <f>IF(OR(E5151="",E5151="!!!",F5151="NEW"),"",INDEX(B5150:B$2,-1+SUMPRODUCT(MAX(ROW(E5150:E$2)*(E5151=E5150:E$2)))))</f>
        <v> </v>
      </c>
      <c r="J5151" s="26" t="str">
        <f>IF(OR(E5151="",E5151="!!!",F5151="NEW"),"",COUNTBLANK(OFFSET(A$1,,,SUMPRODUCT(MAX(ROW(E$2:E5151)*(E5151=E$2:E5151)))))-COUNTBLANK(OFFSET(A$1,,,SUMPRODUCT(MAX(ROW(E$1:E5150)*(E2=E$1:E5150))))))</f>
        <v> </v>
      </c>
      <c r="K5151" s="26" t="str">
        <f>IF(OR(E5151="",E5151="!!!",F5151="NEW"),"",INDEX(J$1:J5150,SUMPRODUCT(MAX(ROW(E$1:E5150)*(E5151=E$1:E5150)))))</f>
        <v> </v>
      </c>
      <c r="L5151" s="27"/>
    </row>
    <row r="5152" spans="1:12">
      <c r="A5152" s="20" t="s">
        <v>1021</v>
      </c>
      <c r="B5152" s="21" t="s">
        <v>1187</v>
      </c>
      <c r="C5152" s="21" t="s">
        <v>1006</v>
      </c>
      <c r="D5152" s="21" t="s">
        <v>1007</v>
      </c>
      <c r="E5152" s="22">
        <f>IF(D5152="?OLD","!!!","")</f>
        <v/>
      </c>
      <c r="F5152" s="23" t="str">
        <f>IF(OR(E5152="",E5152="!!!"),"",IF(NOT(ISNA(VLOOKUP(E5152,E$1:E5151,1,FALSE()))),"OLD",IF(AND(E5152&lt;&gt;"",E5152&lt;&gt;"!!!"),"NEW","")))</f>
        <v> </v>
      </c>
      <c r="G5152" s="24" t="str">
        <f>IF(OR(E5152="",E5152="!!!"),"",IF(OR(J5152=0,AND(J5152=1,K5152=1),AND(J5152=1,I5152="SBJ"),AND(J5152=1,I5152=0)),"?IN_FOCUS",IF(J5152&lt;=2,"?ACTIVATED",IF(J5152&lt;&gt;"","?FAMILIAR",IF(F5152="NEW",IF(ISNA(VLOOKUP(E5152,#REF!,1,FALSE())),"?TYPE_IDENTIFIABLE","?REFERENTIAL"),"_")))))</f>
        <v> </v>
      </c>
      <c r="H5152" s="25" t="str">
        <f>IF(J5152&lt;&gt;1,"",IF(I5152="SBJ","CB","?"))</f>
        <v> </v>
      </c>
      <c r="I5152" s="26" t="str">
        <f>IF(OR(E5152="",E5152="!!!",F5152="NEW"),"",INDEX(B5151:B$2,-1+SUMPRODUCT(MAX(ROW(E5151:E$2)*(E5152=E5151:E$2)))))</f>
        <v> </v>
      </c>
      <c r="J5152" s="26" t="str">
        <f>IF(OR(E5152="",E5152="!!!",F5152="NEW"),"",COUNTBLANK(OFFSET(A$1,,,SUMPRODUCT(MAX(ROW(E$2:E5152)*(E5152=E$2:E5152)))))-COUNTBLANK(OFFSET(A$1,,,SUMPRODUCT(MAX(ROW(E$1:E5151)*(E2=E$1:E5151))))))</f>
        <v> </v>
      </c>
      <c r="K5152" s="26" t="str">
        <f>IF(OR(E5152="",E5152="!!!",F5152="NEW"),"",INDEX(J$1:J5151,SUMPRODUCT(MAX(ROW(E$1:E5151)*(E5152=E$1:E5151)))))</f>
        <v> </v>
      </c>
      <c r="L5152" s="27"/>
    </row>
    <row r="5153" spans="1:12">
      <c r="A5153" s="20" t="s">
        <v>1023</v>
      </c>
      <c r="E5153" s="22">
        <f>IF(D5153="?OLD","!!!","")</f>
        <v/>
      </c>
      <c r="F5153" s="23" t="str">
        <f>IF(OR(E5153="",E5153="!!!"),"",IF(NOT(ISNA(VLOOKUP(E5153,E$1:E5152,1,FALSE()))),"OLD",IF(AND(E5153&lt;&gt;"",E5153&lt;&gt;"!!!"),"NEW","")))</f>
        <v> </v>
      </c>
      <c r="G5153" s="24" t="str">
        <f>IF(OR(E5153="",E5153="!!!"),"",IF(OR(J5153=0,AND(J5153=1,K5153=1),AND(J5153=1,I5153="SBJ"),AND(J5153=1,I5153=0)),"?IN_FOCUS",IF(J5153&lt;=2,"?ACTIVATED",IF(J5153&lt;&gt;"","?FAMILIAR",IF(F5153="NEW",IF(ISNA(VLOOKUP(E5153,#REF!,1,FALSE())),"?TYPE_IDENTIFIABLE","?REFERENTIAL"),"_")))))</f>
        <v> </v>
      </c>
      <c r="H5153" s="25" t="str">
        <f>IF(J5153&lt;&gt;1,"",IF(I5153="SBJ","CB","?"))</f>
        <v> </v>
      </c>
      <c r="I5153" s="26" t="str">
        <f>IF(OR(E5153="",E5153="!!!",F5153="NEW"),"",INDEX(B5152:B$2,-1+SUMPRODUCT(MAX(ROW(E5152:E$2)*(E5153=E5152:E$2)))))</f>
        <v> </v>
      </c>
      <c r="J5153" s="26" t="str">
        <f>IF(OR(E5153="",E5153="!!!",F5153="NEW"),"",COUNTBLANK(OFFSET(A$1,,,SUMPRODUCT(MAX(ROW(E$2:E5153)*(E5153=E$2:E5153)))))-COUNTBLANK(OFFSET(A$1,,,SUMPRODUCT(MAX(ROW(E$1:E5152)*(E2=E$1:E5152))))))</f>
        <v> </v>
      </c>
      <c r="K5153" s="26" t="str">
        <f>IF(OR(E5153="",E5153="!!!",F5153="NEW"),"",INDEX(J$1:J5152,SUMPRODUCT(MAX(ROW(E$1:E5152)*(E5153=E$1:E5152)))))</f>
        <v> </v>
      </c>
      <c r="L5153" s="27"/>
    </row>
    <row r="5154" spans="1:12">
      <c r="A5154" s="20"/>
    </row>
    <row r="5155" spans="1:12">
      <c r="A5155" s="20" t="s">
        <v>2423</v>
      </c>
    </row>
    <row r="5156" spans="1:12">
      <c r="A5156" s="20" t="s">
        <v>2424</v>
      </c>
      <c r="E5156" s="22">
        <f>IF(D5156="?OLD","!!!","")</f>
        <v/>
      </c>
      <c r="F5156" s="23" t="str">
        <f>IF(OR(E5156="",E5156="!!!"),"",IF(NOT(ISNA(VLOOKUP(E5156,E$1:E5155,1,FALSE()))),"OLD",IF(AND(E5156&lt;&gt;"",E5156&lt;&gt;"!!!"),"NEW","")))</f>
        <v> </v>
      </c>
      <c r="G5156" s="24" t="str">
        <f>IF(OR(E5156="",E5156="!!!"),"",IF(OR(J5156=0,AND(J5156=1,K5156=1),AND(J5156=1,I5156="SBJ"),AND(J5156=1,I5156=0)),"?IN_FOCUS",IF(J5156&lt;=2,"?ACTIVATED",IF(J5156&lt;&gt;"","?FAMILIAR",IF(F5156="NEW",IF(ISNA(VLOOKUP(E5156,#REF!,1,FALSE())),"?TYPE_IDENTIFIABLE","?REFERENTIAL"),"_")))))</f>
        <v> </v>
      </c>
      <c r="H5156" s="25" t="str">
        <f>IF(J5156&lt;&gt;1,"",IF(I5156="SBJ","CB","?"))</f>
        <v> </v>
      </c>
      <c r="I5156" s="26" t="str">
        <f>IF(OR(E5156="",E5156="!!!",F5156="NEW"),"",INDEX(B5155:B$2,-1+SUMPRODUCT(MAX(ROW(E5155:E$2)*(E5156=E5155:E$2)))))</f>
        <v> </v>
      </c>
      <c r="J5156" s="26" t="str">
        <f>IF(OR(E5156="",E5156="!!!",F5156="NEW"),"",COUNTBLANK(OFFSET(A$1,,,SUMPRODUCT(MAX(ROW(E$2:E5156)*(E5156=E$2:E5156)))))-COUNTBLANK(OFFSET(A$1,,,SUMPRODUCT(MAX(ROW(E$1:E5155)*(E2=E$1:E5155))))))</f>
        <v> </v>
      </c>
      <c r="K5156" s="26" t="str">
        <f>IF(OR(E5156="",E5156="!!!",F5156="NEW"),"",INDEX(J$1:J5155,SUMPRODUCT(MAX(ROW(E$1:E5155)*(E5156=E$1:E5155)))))</f>
        <v> </v>
      </c>
      <c r="L5156" s="27"/>
    </row>
    <row r="5157" spans="1:12">
      <c r="A5157" s="20" t="s">
        <v>1030</v>
      </c>
      <c r="E5157" s="22">
        <f>IF(D5157="?OLD","!!!","")</f>
        <v/>
      </c>
      <c r="F5157" s="23" t="str">
        <f>IF(OR(E5157="",E5157="!!!"),"",IF(NOT(ISNA(VLOOKUP(E5157,E$1:E5156,1,FALSE()))),"OLD",IF(AND(E5157&lt;&gt;"",E5157&lt;&gt;"!!!"),"NEW","")))</f>
        <v> </v>
      </c>
      <c r="G5157" s="24" t="str">
        <f>IF(OR(E5157="",E5157="!!!"),"",IF(OR(J5157=0,AND(J5157=1,K5157=1),AND(J5157=1,I5157="SBJ"),AND(J5157=1,I5157=0)),"?IN_FOCUS",IF(J5157&lt;=2,"?ACTIVATED",IF(J5157&lt;&gt;"","?FAMILIAR",IF(F5157="NEW",IF(ISNA(VLOOKUP(E5157,#REF!,1,FALSE())),"?TYPE_IDENTIFIABLE","?REFERENTIAL"),"_")))))</f>
        <v> </v>
      </c>
      <c r="H5157" s="25" t="str">
        <f>IF(J5157&lt;&gt;1,"",IF(I5157="SBJ","CB","?"))</f>
        <v> </v>
      </c>
      <c r="I5157" s="26" t="str">
        <f>IF(OR(E5157="",E5157="!!!",F5157="NEW"),"",INDEX(B5156:B$2,-1+SUMPRODUCT(MAX(ROW(E5156:E$2)*(E5157=E5156:E$2)))))</f>
        <v> </v>
      </c>
      <c r="J5157" s="26" t="str">
        <f>IF(OR(E5157="",E5157="!!!",F5157="NEW"),"",COUNTBLANK(OFFSET(A$1,,,SUMPRODUCT(MAX(ROW(E$2:E5157)*(E5157=E$2:E5157)))))-COUNTBLANK(OFFSET(A$1,,,SUMPRODUCT(MAX(ROW(E$1:E5156)*(E2=E$1:E5156))))))</f>
        <v> </v>
      </c>
      <c r="K5157" s="26" t="str">
        <f>IF(OR(E5157="",E5157="!!!",F5157="NEW"),"",INDEX(J$1:J5156,SUMPRODUCT(MAX(ROW(E$1:E5156)*(E5157=E$1:E5156)))))</f>
        <v> </v>
      </c>
      <c r="L5157" s="27"/>
    </row>
    <row r="5158" spans="1:12">
      <c r="A5158" s="20" t="s">
        <v>1284</v>
      </c>
      <c r="B5158" s="21" t="s">
        <v>1005</v>
      </c>
      <c r="C5158" s="21" t="s">
        <v>1073</v>
      </c>
      <c r="D5158" s="21" t="s">
        <v>1007</v>
      </c>
      <c r="E5158" s="22">
        <f>IF(D5158="?OLD","!!!","")</f>
        <v/>
      </c>
      <c r="F5158" s="23" t="str">
        <f>IF(OR(E5158="",E5158="!!!"),"",IF(NOT(ISNA(VLOOKUP(E5158,E$1:E5157,1,FALSE()))),"OLD",IF(AND(E5158&lt;&gt;"",E5158&lt;&gt;"!!!"),"NEW","")))</f>
        <v> </v>
      </c>
      <c r="G5158" s="24" t="str">
        <f>IF(OR(E5158="",E5158="!!!"),"",IF(OR(J5158=0,AND(J5158=1,K5158=1),AND(J5158=1,I5158="SBJ"),AND(J5158=1,I5158=0)),"?IN_FOCUS",IF(J5158&lt;=2,"?ACTIVATED",IF(J5158&lt;&gt;"","?FAMILIAR",IF(F5158="NEW",IF(ISNA(VLOOKUP(E5158,#REF!,1,FALSE())),"?TYPE_IDENTIFIABLE","?REFERENTIAL"),"_")))))</f>
        <v> </v>
      </c>
      <c r="H5158" s="25" t="str">
        <f>IF(J5158&lt;&gt;1,"",IF(I5158="SBJ","CB","?"))</f>
        <v> </v>
      </c>
      <c r="I5158" s="26" t="str">
        <f>IF(OR(E5158="",E5158="!!!",F5158="NEW"),"",INDEX(B5157:B$2,-1+SUMPRODUCT(MAX(ROW(E5157:E$2)*(E5158=E5157:E$2)))))</f>
        <v> </v>
      </c>
      <c r="J5158" s="26" t="str">
        <f>IF(OR(E5158="",E5158="!!!",F5158="NEW"),"",COUNTBLANK(OFFSET(A$1,,,SUMPRODUCT(MAX(ROW(E$2:E5158)*(E5158=E$2:E5158)))))-COUNTBLANK(OFFSET(A$1,,,SUMPRODUCT(MAX(ROW(E$1:E5157)*(E2=E$1:E5157))))))</f>
        <v> </v>
      </c>
      <c r="K5158" s="26" t="str">
        <f>IF(OR(E5158="",E5158="!!!",F5158="NEW"),"",INDEX(J$1:J5157,SUMPRODUCT(MAX(ROW(E$1:E5157)*(E5158=E$1:E5157)))))</f>
        <v> </v>
      </c>
      <c r="L5158" s="27"/>
    </row>
    <row r="5159" spans="1:12">
      <c r="A5159" s="20" t="s">
        <v>1587</v>
      </c>
      <c r="E5159" s="22">
        <f>IF(D5159="?OLD","!!!","")</f>
        <v/>
      </c>
      <c r="F5159" s="23" t="str">
        <f>IF(OR(E5159="",E5159="!!!"),"",IF(NOT(ISNA(VLOOKUP(E5159,E$1:E5158,1,FALSE()))),"OLD",IF(AND(E5159&lt;&gt;"",E5159&lt;&gt;"!!!"),"NEW","")))</f>
        <v> </v>
      </c>
      <c r="G5159" s="24" t="str">
        <f>IF(OR(E5159="",E5159="!!!"),"",IF(OR(J5159=0,AND(J5159=1,K5159=1),AND(J5159=1,I5159="SBJ"),AND(J5159=1,I5159=0)),"?IN_FOCUS",IF(J5159&lt;=2,"?ACTIVATED",IF(J5159&lt;&gt;"","?FAMILIAR",IF(F5159="NEW",IF(ISNA(VLOOKUP(E5159,#REF!,1,FALSE())),"?TYPE_IDENTIFIABLE","?REFERENTIAL"),"_")))))</f>
        <v> </v>
      </c>
      <c r="H5159" s="25" t="str">
        <f>IF(J5159&lt;&gt;1,"",IF(I5159="SBJ","CB","?"))</f>
        <v> </v>
      </c>
      <c r="I5159" s="26" t="str">
        <f>IF(OR(E5159="",E5159="!!!",F5159="NEW"),"",INDEX(B5158:B$2,-1+SUMPRODUCT(MAX(ROW(E5158:E$2)*(E5159=E5158:E$2)))))</f>
        <v> </v>
      </c>
      <c r="J5159" s="26" t="str">
        <f>IF(OR(E5159="",E5159="!!!",F5159="NEW"),"",COUNTBLANK(OFFSET(A$1,,,SUMPRODUCT(MAX(ROW(E$2:E5159)*(E5159=E$2:E5159)))))-COUNTBLANK(OFFSET(A$1,,,SUMPRODUCT(MAX(ROW(E$1:E5158)*(E2=E$1:E5158))))))</f>
        <v> </v>
      </c>
      <c r="K5159" s="26" t="str">
        <f>IF(OR(E5159="",E5159="!!!",F5159="NEW"),"",INDEX(J$1:J5158,SUMPRODUCT(MAX(ROW(E$1:E5158)*(E5159=E$1:E5158)))))</f>
        <v> </v>
      </c>
      <c r="L5159" s="27"/>
    </row>
    <row r="5160" spans="1:12">
      <c r="A5160" s="20" t="s">
        <v>2109</v>
      </c>
      <c r="B5160" s="21" t="s">
        <v>1050</v>
      </c>
      <c r="C5160" s="21" t="s">
        <v>1103</v>
      </c>
      <c r="E5160" s="22">
        <f>IF(D5160="?OLD","!!!","")</f>
        <v/>
      </c>
      <c r="F5160" s="23" t="str">
        <f>IF(OR(E5160="",E5160="!!!"),"",IF(NOT(ISNA(VLOOKUP(E5160,E$1:E5159,1,FALSE()))),"OLD",IF(AND(E5160&lt;&gt;"",E5160&lt;&gt;"!!!"),"NEW","")))</f>
        <v> </v>
      </c>
      <c r="G5160" s="24" t="str">
        <f>IF(OR(E5160="",E5160="!!!"),"",IF(OR(J5160=0,AND(J5160=1,K5160=1),AND(J5160=1,I5160="SBJ"),AND(J5160=1,I5160=0)),"?IN_FOCUS",IF(J5160&lt;=2,"?ACTIVATED",IF(J5160&lt;&gt;"","?FAMILIAR",IF(F5160="NEW",IF(ISNA(VLOOKUP(E5160,#REF!,1,FALSE())),"?TYPE_IDENTIFIABLE","?REFERENTIAL"),"_")))))</f>
        <v> </v>
      </c>
      <c r="H5160" s="25" t="str">
        <f>IF(J5160&lt;&gt;1,"",IF(I5160="SBJ","CB","?"))</f>
        <v> </v>
      </c>
      <c r="I5160" s="26" t="str">
        <f>IF(OR(E5160="",E5160="!!!",F5160="NEW"),"",INDEX(B5159:B$2,-1+SUMPRODUCT(MAX(ROW(E5159:E$2)*(E5160=E5159:E$2)))))</f>
        <v> </v>
      </c>
      <c r="J5160" s="26" t="str">
        <f>IF(OR(E5160="",E5160="!!!",F5160="NEW"),"",COUNTBLANK(OFFSET(A$1,,,SUMPRODUCT(MAX(ROW(E$2:E5160)*(E5160=E$2:E5160)))))-COUNTBLANK(OFFSET(A$1,,,SUMPRODUCT(MAX(ROW(E$1:E5159)*(E2=E$1:E5159))))))</f>
        <v> </v>
      </c>
      <c r="K5160" s="26" t="str">
        <f>IF(OR(E5160="",E5160="!!!",F5160="NEW"),"",INDEX(J$1:J5159,SUMPRODUCT(MAX(ROW(E$1:E5159)*(E5160=E$1:E5159)))))</f>
        <v> </v>
      </c>
      <c r="L5160" s="27"/>
    </row>
    <row r="5161" spans="1:12">
      <c r="A5161" s="20" t="s">
        <v>1077</v>
      </c>
      <c r="E5161" s="22">
        <f>IF(D5161="?OLD","!!!","")</f>
        <v/>
      </c>
      <c r="F5161" s="23" t="str">
        <f>IF(OR(E5161="",E5161="!!!"),"",IF(NOT(ISNA(VLOOKUP(E5161,E$1:E5160,1,FALSE()))),"OLD",IF(AND(E5161&lt;&gt;"",E5161&lt;&gt;"!!!"),"NEW","")))</f>
        <v> </v>
      </c>
      <c r="G5161" s="24" t="str">
        <f>IF(OR(E5161="",E5161="!!!"),"",IF(OR(J5161=0,AND(J5161=1,K5161=1),AND(J5161=1,I5161="SBJ"),AND(J5161=1,I5161=0)),"?IN_FOCUS",IF(J5161&lt;=2,"?ACTIVATED",IF(J5161&lt;&gt;"","?FAMILIAR",IF(F5161="NEW",IF(ISNA(VLOOKUP(E5161,#REF!,1,FALSE())),"?TYPE_IDENTIFIABLE","?REFERENTIAL"),"_")))))</f>
        <v> </v>
      </c>
      <c r="H5161" s="25" t="str">
        <f>IF(J5161&lt;&gt;1,"",IF(I5161="SBJ","CB","?"))</f>
        <v> </v>
      </c>
      <c r="I5161" s="26" t="str">
        <f>IF(OR(E5161="",E5161="!!!",F5161="NEW"),"",INDEX(B5160:B$2,-1+SUMPRODUCT(MAX(ROW(E5160:E$2)*(E5161=E5160:E$2)))))</f>
        <v> </v>
      </c>
      <c r="J5161" s="26" t="str">
        <f>IF(OR(E5161="",E5161="!!!",F5161="NEW"),"",COUNTBLANK(OFFSET(A$1,,,SUMPRODUCT(MAX(ROW(E$2:E5161)*(E5161=E$2:E5161)))))-COUNTBLANK(OFFSET(A$1,,,SUMPRODUCT(MAX(ROW(E$1:E5160)*(E2=E$1:E5160))))))</f>
        <v> </v>
      </c>
      <c r="K5161" s="26" t="str">
        <f>IF(OR(E5161="",E5161="!!!",F5161="NEW"),"",INDEX(J$1:J5160,SUMPRODUCT(MAX(ROW(E$1:E5160)*(E5161=E$1:E5160)))))</f>
        <v> </v>
      </c>
      <c r="L5161" s="27"/>
    </row>
    <row r="5162" spans="1:12">
      <c r="A5162" s="20"/>
    </row>
    <row r="5163" spans="1:12">
      <c r="A5163" s="20" t="s">
        <v>2425</v>
      </c>
    </row>
    <row r="5164" spans="1:12">
      <c r="A5164" s="20" t="s">
        <v>1118</v>
      </c>
      <c r="B5164" s="21" t="s">
        <v>1005</v>
      </c>
      <c r="C5164" s="21" t="s">
        <v>1048</v>
      </c>
      <c r="E5164" s="22">
        <f>IF(D5164="?OLD","!!!","")</f>
        <v/>
      </c>
      <c r="F5164" s="23" t="str">
        <f>IF(OR(E5164="",E5164="!!!"),"",IF(NOT(ISNA(VLOOKUP(E5164,E$1:E5163,1,FALSE()))),"OLD",IF(AND(E5164&lt;&gt;"",E5164&lt;&gt;"!!!"),"NEW","")))</f>
        <v> </v>
      </c>
      <c r="G5164" s="24" t="str">
        <f>IF(OR(E5164="",E5164="!!!"),"",IF(OR(J5164=0,AND(J5164=1,K5164=1),AND(J5164=1,I5164="SBJ"),AND(J5164=1,I5164=0)),"?IN_FOCUS",IF(J5164&lt;=2,"?ACTIVATED",IF(J5164&lt;&gt;"","?FAMILIAR",IF(F5164="NEW",IF(ISNA(VLOOKUP(E5164,#REF!,1,FALSE())),"?TYPE_IDENTIFIABLE","?REFERENTIAL"),"_")))))</f>
        <v> </v>
      </c>
      <c r="H5164" s="25" t="str">
        <f>IF(J5164&lt;&gt;1,"",IF(I5164="SBJ","CB","?"))</f>
        <v> </v>
      </c>
      <c r="I5164" s="26" t="str">
        <f>IF(OR(E5164="",E5164="!!!",F5164="NEW"),"",INDEX(B5163:B$2,-1+SUMPRODUCT(MAX(ROW(E5163:E$2)*(E5164=E5163:E$2)))))</f>
        <v> </v>
      </c>
      <c r="J5164" s="26" t="str">
        <f>IF(OR(E5164="",E5164="!!!",F5164="NEW"),"",COUNTBLANK(OFFSET(A$1,,,SUMPRODUCT(MAX(ROW(E$2:E5164)*(E5164=E$2:E5164)))))-COUNTBLANK(OFFSET(A$1,,,SUMPRODUCT(MAX(ROW(E$1:E5163)*(E2=E$1:E5163))))))</f>
        <v> </v>
      </c>
      <c r="K5164" s="26" t="str">
        <f>IF(OR(E5164="",E5164="!!!",F5164="NEW"),"",INDEX(J$1:J5163,SUMPRODUCT(MAX(ROW(E$1:E5163)*(E5164=E$1:E5163)))))</f>
        <v> </v>
      </c>
      <c r="L5164" s="27"/>
    </row>
    <row r="5165" spans="1:12">
      <c r="A5165" s="20" t="s">
        <v>1009</v>
      </c>
      <c r="E5165" s="22">
        <f>IF(D5165="?OLD","!!!","")</f>
        <v/>
      </c>
      <c r="F5165" s="23" t="str">
        <f>IF(OR(E5165="",E5165="!!!"),"",IF(NOT(ISNA(VLOOKUP(E5165,E$1:E5164,1,FALSE()))),"OLD",IF(AND(E5165&lt;&gt;"",E5165&lt;&gt;"!!!"),"NEW","")))</f>
        <v> </v>
      </c>
      <c r="G5165" s="24" t="str">
        <f>IF(OR(E5165="",E5165="!!!"),"",IF(OR(J5165=0,AND(J5165=1,K5165=1),AND(J5165=1,I5165="SBJ"),AND(J5165=1,I5165=0)),"?IN_FOCUS",IF(J5165&lt;=2,"?ACTIVATED",IF(J5165&lt;&gt;"","?FAMILIAR",IF(F5165="NEW",IF(ISNA(VLOOKUP(E5165,#REF!,1,FALSE())),"?TYPE_IDENTIFIABLE","?REFERENTIAL"),"_")))))</f>
        <v> </v>
      </c>
      <c r="H5165" s="25" t="str">
        <f>IF(J5165&lt;&gt;1,"",IF(I5165="SBJ","CB","?"))</f>
        <v> </v>
      </c>
      <c r="I5165" s="26" t="str">
        <f>IF(OR(E5165="",E5165="!!!",F5165="NEW"),"",INDEX(B5164:B$2,-1+SUMPRODUCT(MAX(ROW(E5164:E$2)*(E5165=E5164:E$2)))))</f>
        <v> </v>
      </c>
      <c r="J5165" s="26" t="str">
        <f>IF(OR(E5165="",E5165="!!!",F5165="NEW"),"",COUNTBLANK(OFFSET(A$1,,,SUMPRODUCT(MAX(ROW(E$2:E5165)*(E5165=E$2:E5165)))))-COUNTBLANK(OFFSET(A$1,,,SUMPRODUCT(MAX(ROW(E$1:E5164)*(E2=E$1:E5164))))))</f>
        <v> </v>
      </c>
      <c r="K5165" s="26" t="str">
        <f>IF(OR(E5165="",E5165="!!!",F5165="NEW"),"",INDEX(J$1:J5164,SUMPRODUCT(MAX(ROW(E$1:E5164)*(E5165=E$1:E5164)))))</f>
        <v> </v>
      </c>
      <c r="L5165" s="27"/>
    </row>
    <row r="5166" spans="1:12">
      <c r="A5166" s="20" t="s">
        <v>1259</v>
      </c>
      <c r="E5166" s="22">
        <f>IF(D5166="?OLD","!!!","")</f>
        <v/>
      </c>
      <c r="F5166" s="23" t="str">
        <f>IF(OR(E5166="",E5166="!!!"),"",IF(NOT(ISNA(VLOOKUP(E5166,E$1:E5165,1,FALSE()))),"OLD",IF(AND(E5166&lt;&gt;"",E5166&lt;&gt;"!!!"),"NEW","")))</f>
        <v> </v>
      </c>
      <c r="G5166" s="24" t="str">
        <f>IF(OR(E5166="",E5166="!!!"),"",IF(OR(J5166=0,AND(J5166=1,K5166=1),AND(J5166=1,I5166="SBJ"),AND(J5166=1,I5166=0)),"?IN_FOCUS",IF(J5166&lt;=2,"?ACTIVATED",IF(J5166&lt;&gt;"","?FAMILIAR",IF(F5166="NEW",IF(ISNA(VLOOKUP(E5166,#REF!,1,FALSE())),"?TYPE_IDENTIFIABLE","?REFERENTIAL"),"_")))))</f>
        <v> </v>
      </c>
      <c r="H5166" s="25" t="str">
        <f>IF(J5166&lt;&gt;1,"",IF(I5166="SBJ","CB","?"))</f>
        <v> </v>
      </c>
      <c r="I5166" s="26" t="str">
        <f>IF(OR(E5166="",E5166="!!!",F5166="NEW"),"",INDEX(B5165:B$2,-1+SUMPRODUCT(MAX(ROW(E5165:E$2)*(E5166=E5165:E$2)))))</f>
        <v> </v>
      </c>
      <c r="J5166" s="26" t="str">
        <f>IF(OR(E5166="",E5166="!!!",F5166="NEW"),"",COUNTBLANK(OFFSET(A$1,,,SUMPRODUCT(MAX(ROW(E$2:E5166)*(E5166=E$2:E5166)))))-COUNTBLANK(OFFSET(A$1,,,SUMPRODUCT(MAX(ROW(E$1:E5165)*(E2=E$1:E5165))))))</f>
        <v> </v>
      </c>
      <c r="K5166" s="26" t="str">
        <f>IF(OR(E5166="",E5166="!!!",F5166="NEW"),"",INDEX(J$1:J5165,SUMPRODUCT(MAX(ROW(E$1:E5165)*(E5166=E$1:E5165)))))</f>
        <v> </v>
      </c>
      <c r="L5166" s="27"/>
    </row>
    <row r="5167" spans="1:12">
      <c r="A5167" s="20" t="s">
        <v>1023</v>
      </c>
      <c r="E5167" s="22">
        <f>IF(D5167="?OLD","!!!","")</f>
        <v/>
      </c>
      <c r="F5167" s="23" t="str">
        <f>IF(OR(E5167="",E5167="!!!"),"",IF(NOT(ISNA(VLOOKUP(E5167,E$1:E5166,1,FALSE()))),"OLD",IF(AND(E5167&lt;&gt;"",E5167&lt;&gt;"!!!"),"NEW","")))</f>
        <v> </v>
      </c>
      <c r="G5167" s="24" t="str">
        <f>IF(OR(E5167="",E5167="!!!"),"",IF(OR(J5167=0,AND(J5167=1,K5167=1),AND(J5167=1,I5167="SBJ"),AND(J5167=1,I5167=0)),"?IN_FOCUS",IF(J5167&lt;=2,"?ACTIVATED",IF(J5167&lt;&gt;"","?FAMILIAR",IF(F5167="NEW",IF(ISNA(VLOOKUP(E5167,#REF!,1,FALSE())),"?TYPE_IDENTIFIABLE","?REFERENTIAL"),"_")))))</f>
        <v> </v>
      </c>
      <c r="H5167" s="25" t="str">
        <f>IF(J5167&lt;&gt;1,"",IF(I5167="SBJ","CB","?"))</f>
        <v> </v>
      </c>
      <c r="I5167" s="26" t="str">
        <f>IF(OR(E5167="",E5167="!!!",F5167="NEW"),"",INDEX(B5166:B$2,-1+SUMPRODUCT(MAX(ROW(E5166:E$2)*(E5167=E5166:E$2)))))</f>
        <v> </v>
      </c>
      <c r="J5167" s="26" t="str">
        <f>IF(OR(E5167="",E5167="!!!",F5167="NEW"),"",COUNTBLANK(OFFSET(A$1,,,SUMPRODUCT(MAX(ROW(E$2:E5167)*(E5167=E$2:E5167)))))-COUNTBLANK(OFFSET(A$1,,,SUMPRODUCT(MAX(ROW(E$1:E5166)*(E2=E$1:E5166))))))</f>
        <v> </v>
      </c>
      <c r="K5167" s="26" t="str">
        <f>IF(OR(E5167="",E5167="!!!",F5167="NEW"),"",INDEX(J$1:J5166,SUMPRODUCT(MAX(ROW(E$1:E5166)*(E5167=E$1:E5166)))))</f>
        <v> </v>
      </c>
      <c r="L5167" s="27"/>
    </row>
    <row r="5168" spans="1:12">
      <c r="A5168" s="20"/>
    </row>
    <row r="5169" spans="1:12">
      <c r="A5169" s="20" t="s">
        <v>2426</v>
      </c>
    </row>
    <row r="5170" spans="1:12">
      <c r="A5170" s="20" t="s">
        <v>1962</v>
      </c>
      <c r="E5170" s="22">
        <f>IF(D5170="?OLD","!!!","")</f>
        <v/>
      </c>
      <c r="F5170" s="23" t="str">
        <f>IF(OR(E5170="",E5170="!!!"),"",IF(NOT(ISNA(VLOOKUP(E5170,E$1:E5169,1,FALSE()))),"OLD",IF(AND(E5170&lt;&gt;"",E5170&lt;&gt;"!!!"),"NEW","")))</f>
        <v> </v>
      </c>
      <c r="G5170" s="24" t="str">
        <f>IF(OR(E5170="",E5170="!!!"),"",IF(OR(J5170=0,AND(J5170=1,K5170=1),AND(J5170=1,I5170="SBJ"),AND(J5170=1,I5170=0)),"?IN_FOCUS",IF(J5170&lt;=2,"?ACTIVATED",IF(J5170&lt;&gt;"","?FAMILIAR",IF(F5170="NEW",IF(ISNA(VLOOKUP(E5170,#REF!,1,FALSE())),"?TYPE_IDENTIFIABLE","?REFERENTIAL"),"_")))))</f>
        <v> </v>
      </c>
      <c r="H5170" s="25" t="str">
        <f>IF(J5170&lt;&gt;1,"",IF(I5170="SBJ","CB","?"))</f>
        <v> </v>
      </c>
      <c r="I5170" s="26" t="str">
        <f>IF(OR(E5170="",E5170="!!!",F5170="NEW"),"",INDEX(B5169:B$2,-1+SUMPRODUCT(MAX(ROW(E5169:E$2)*(E5170=E5169:E$2)))))</f>
        <v> </v>
      </c>
      <c r="J5170" s="26" t="str">
        <f>IF(OR(E5170="",E5170="!!!",F5170="NEW"),"",COUNTBLANK(OFFSET(A$1,,,SUMPRODUCT(MAX(ROW(E$2:E5170)*(E5170=E$2:E5170)))))-COUNTBLANK(OFFSET(A$1,,,SUMPRODUCT(MAX(ROW(E$1:E5169)*(E2=E$1:E5169))))))</f>
        <v> </v>
      </c>
      <c r="K5170" s="26" t="str">
        <f>IF(OR(E5170="",E5170="!!!",F5170="NEW"),"",INDEX(J$1:J5169,SUMPRODUCT(MAX(ROW(E$1:E5169)*(E5170=E$1:E5169)))))</f>
        <v> </v>
      </c>
      <c r="L5170" s="27"/>
    </row>
    <row r="5171" spans="1:12">
      <c r="A5171" s="20" t="s">
        <v>1065</v>
      </c>
      <c r="E5171" s="22">
        <f>IF(D5171="?OLD","!!!","")</f>
        <v/>
      </c>
      <c r="F5171" s="23" t="str">
        <f>IF(OR(E5171="",E5171="!!!"),"",IF(NOT(ISNA(VLOOKUP(E5171,E$1:E5170,1,FALSE()))),"OLD",IF(AND(E5171&lt;&gt;"",E5171&lt;&gt;"!!!"),"NEW","")))</f>
        <v> </v>
      </c>
      <c r="G5171" s="24" t="str">
        <f>IF(OR(E5171="",E5171="!!!"),"",IF(OR(J5171=0,AND(J5171=1,K5171=1),AND(J5171=1,I5171="SBJ"),AND(J5171=1,I5171=0)),"?IN_FOCUS",IF(J5171&lt;=2,"?ACTIVATED",IF(J5171&lt;&gt;"","?FAMILIAR",IF(F5171="NEW",IF(ISNA(VLOOKUP(E5171,#REF!,1,FALSE())),"?TYPE_IDENTIFIABLE","?REFERENTIAL"),"_")))))</f>
        <v> </v>
      </c>
      <c r="H5171" s="25" t="str">
        <f>IF(J5171&lt;&gt;1,"",IF(I5171="SBJ","CB","?"))</f>
        <v> </v>
      </c>
      <c r="I5171" s="26" t="str">
        <f>IF(OR(E5171="",E5171="!!!",F5171="NEW"),"",INDEX(B5170:B$2,-1+SUMPRODUCT(MAX(ROW(E5170:E$2)*(E5171=E5170:E$2)))))</f>
        <v> </v>
      </c>
      <c r="J5171" s="26" t="str">
        <f>IF(OR(E5171="",E5171="!!!",F5171="NEW"),"",COUNTBLANK(OFFSET(A$1,,,SUMPRODUCT(MAX(ROW(E$2:E5171)*(E5171=E$2:E5171)))))-COUNTBLANK(OFFSET(A$1,,,SUMPRODUCT(MAX(ROW(E$1:E5170)*(E2=E$1:E5170))))))</f>
        <v> </v>
      </c>
      <c r="K5171" s="26" t="str">
        <f>IF(OR(E5171="",E5171="!!!",F5171="NEW"),"",INDEX(J$1:J5170,SUMPRODUCT(MAX(ROW(E$1:E5170)*(E5171=E$1:E5170)))))</f>
        <v> </v>
      </c>
      <c r="L5171" s="27"/>
    </row>
    <row r="5172" spans="1:12">
      <c r="A5172" s="20" t="s">
        <v>1075</v>
      </c>
      <c r="E5172" s="22">
        <f>IF(D5172="?OLD","!!!","")</f>
        <v/>
      </c>
      <c r="F5172" s="23" t="str">
        <f>IF(OR(E5172="",E5172="!!!"),"",IF(NOT(ISNA(VLOOKUP(E5172,E$1:E5171,1,FALSE()))),"OLD",IF(AND(E5172&lt;&gt;"",E5172&lt;&gt;"!!!"),"NEW","")))</f>
        <v> </v>
      </c>
      <c r="G5172" s="24" t="str">
        <f>IF(OR(E5172="",E5172="!!!"),"",IF(OR(J5172=0,AND(J5172=1,K5172=1),AND(J5172=1,I5172="SBJ"),AND(J5172=1,I5172=0)),"?IN_FOCUS",IF(J5172&lt;=2,"?ACTIVATED",IF(J5172&lt;&gt;"","?FAMILIAR",IF(F5172="NEW",IF(ISNA(VLOOKUP(E5172,#REF!,1,FALSE())),"?TYPE_IDENTIFIABLE","?REFERENTIAL"),"_")))))</f>
        <v> </v>
      </c>
      <c r="H5172" s="25" t="str">
        <f>IF(J5172&lt;&gt;1,"",IF(I5172="SBJ","CB","?"))</f>
        <v> </v>
      </c>
      <c r="I5172" s="26" t="str">
        <f>IF(OR(E5172="",E5172="!!!",F5172="NEW"),"",INDEX(B5171:B$2,-1+SUMPRODUCT(MAX(ROW(E5171:E$2)*(E5172=E5171:E$2)))))</f>
        <v> </v>
      </c>
      <c r="J5172" s="26" t="str">
        <f>IF(OR(E5172="",E5172="!!!",F5172="NEW"),"",COUNTBLANK(OFFSET(A$1,,,SUMPRODUCT(MAX(ROW(E$2:E5172)*(E5172=E$2:E5172)))))-COUNTBLANK(OFFSET(A$1,,,SUMPRODUCT(MAX(ROW(E$1:E5171)*(E2=E$1:E5171))))))</f>
        <v> </v>
      </c>
      <c r="K5172" s="26" t="str">
        <f>IF(OR(E5172="",E5172="!!!",F5172="NEW"),"",INDEX(J$1:J5171,SUMPRODUCT(MAX(ROW(E$1:E5171)*(E5172=E$1:E5171)))))</f>
        <v> </v>
      </c>
      <c r="L5172" s="27"/>
    </row>
    <row r="5173" spans="1:12">
      <c r="A5173" s="20" t="s">
        <v>2109</v>
      </c>
      <c r="B5173" s="21" t="s">
        <v>1005</v>
      </c>
      <c r="C5173" s="21" t="s">
        <v>1048</v>
      </c>
      <c r="E5173" s="22">
        <f>IF(D5173="?OLD","!!!","")</f>
        <v/>
      </c>
      <c r="F5173" s="23" t="str">
        <f>IF(OR(E5173="",E5173="!!!"),"",IF(NOT(ISNA(VLOOKUP(E5173,E$1:E5172,1,FALSE()))),"OLD",IF(AND(E5173&lt;&gt;"",E5173&lt;&gt;"!!!"),"NEW","")))</f>
        <v> </v>
      </c>
      <c r="G5173" s="24" t="str">
        <f>IF(OR(E5173="",E5173="!!!"),"",IF(OR(J5173=0,AND(J5173=1,K5173=1),AND(J5173=1,I5173="SBJ"),AND(J5173=1,I5173=0)),"?IN_FOCUS",IF(J5173&lt;=2,"?ACTIVATED",IF(J5173&lt;&gt;"","?FAMILIAR",IF(F5173="NEW",IF(ISNA(VLOOKUP(E5173,#REF!,1,FALSE())),"?TYPE_IDENTIFIABLE","?REFERENTIAL"),"_")))))</f>
        <v> </v>
      </c>
      <c r="H5173" s="25" t="str">
        <f>IF(J5173&lt;&gt;1,"",IF(I5173="SBJ","CB","?"))</f>
        <v> </v>
      </c>
      <c r="I5173" s="26" t="str">
        <f>IF(OR(E5173="",E5173="!!!",F5173="NEW"),"",INDEX(B5172:B$2,-1+SUMPRODUCT(MAX(ROW(E5172:E$2)*(E5173=E5172:E$2)))))</f>
        <v> </v>
      </c>
      <c r="J5173" s="26" t="str">
        <f>IF(OR(E5173="",E5173="!!!",F5173="NEW"),"",COUNTBLANK(OFFSET(A$1,,,SUMPRODUCT(MAX(ROW(E$2:E5173)*(E5173=E$2:E5173)))))-COUNTBLANK(OFFSET(A$1,,,SUMPRODUCT(MAX(ROW(E$1:E5172)*(E2=E$1:E5172))))))</f>
        <v> </v>
      </c>
      <c r="K5173" s="26" t="str">
        <f>IF(OR(E5173="",E5173="!!!",F5173="NEW"),"",INDEX(J$1:J5172,SUMPRODUCT(MAX(ROW(E$1:E5172)*(E5173=E$1:E5172)))))</f>
        <v> </v>
      </c>
      <c r="L5173" s="27"/>
    </row>
    <row r="5174" spans="1:12">
      <c r="A5174" s="20" t="s">
        <v>1023</v>
      </c>
      <c r="E5174" s="22">
        <f>IF(D5174="?OLD","!!!","")</f>
        <v/>
      </c>
      <c r="F5174" s="23" t="str">
        <f>IF(OR(E5174="",E5174="!!!"),"",IF(NOT(ISNA(VLOOKUP(E5174,E$1:E5173,1,FALSE()))),"OLD",IF(AND(E5174&lt;&gt;"",E5174&lt;&gt;"!!!"),"NEW","")))</f>
        <v> </v>
      </c>
      <c r="G5174" s="24" t="str">
        <f>IF(OR(E5174="",E5174="!!!"),"",IF(OR(J5174=0,AND(J5174=1,K5174=1),AND(J5174=1,I5174="SBJ"),AND(J5174=1,I5174=0)),"?IN_FOCUS",IF(J5174&lt;=2,"?ACTIVATED",IF(J5174&lt;&gt;"","?FAMILIAR",IF(F5174="NEW",IF(ISNA(VLOOKUP(E5174,#REF!,1,FALSE())),"?TYPE_IDENTIFIABLE","?REFERENTIAL"),"_")))))</f>
        <v> </v>
      </c>
      <c r="H5174" s="25" t="str">
        <f>IF(J5174&lt;&gt;1,"",IF(I5174="SBJ","CB","?"))</f>
        <v> </v>
      </c>
      <c r="I5174" s="26" t="str">
        <f>IF(OR(E5174="",E5174="!!!",F5174="NEW"),"",INDEX(B5173:B$2,-1+SUMPRODUCT(MAX(ROW(E5173:E$2)*(E5174=E5173:E$2)))))</f>
        <v> </v>
      </c>
      <c r="J5174" s="26" t="str">
        <f>IF(OR(E5174="",E5174="!!!",F5174="NEW"),"",COUNTBLANK(OFFSET(A$1,,,SUMPRODUCT(MAX(ROW(E$2:E5174)*(E5174=E$2:E5174)))))-COUNTBLANK(OFFSET(A$1,,,SUMPRODUCT(MAX(ROW(E$1:E5173)*(E2=E$1:E5173))))))</f>
        <v> </v>
      </c>
      <c r="K5174" s="26" t="str">
        <f>IF(OR(E5174="",E5174="!!!",F5174="NEW"),"",INDEX(J$1:J5173,SUMPRODUCT(MAX(ROW(E$1:E5173)*(E5174=E$1:E5173)))))</f>
        <v> </v>
      </c>
      <c r="L5174" s="27"/>
    </row>
    <row r="5175" spans="1:12">
      <c r="A5175" s="20"/>
    </row>
    <row r="5176" spans="1:12">
      <c r="A5176" s="20" t="s">
        <v>2427</v>
      </c>
    </row>
    <row r="5177" spans="1:12">
      <c r="A5177" s="20" t="s">
        <v>1088</v>
      </c>
      <c r="B5177" s="21" t="s">
        <v>1050</v>
      </c>
      <c r="C5177" s="21" t="s">
        <v>1073</v>
      </c>
      <c r="D5177" s="21" t="s">
        <v>1007</v>
      </c>
      <c r="E5177" s="22">
        <f>IF(D5177="?OLD","!!!","")</f>
        <v/>
      </c>
      <c r="F5177" s="23" t="str">
        <f>IF(OR(E5177="",E5177="!!!"),"",IF(NOT(ISNA(VLOOKUP(E5177,E$1:E5176,1,FALSE()))),"OLD",IF(AND(E5177&lt;&gt;"",E5177&lt;&gt;"!!!"),"NEW","")))</f>
        <v> </v>
      </c>
      <c r="G5177" s="24" t="str">
        <f>IF(OR(E5177="",E5177="!!!"),"",IF(OR(J5177=0,AND(J5177=1,K5177=1),AND(J5177=1,I5177="SBJ"),AND(J5177=1,I5177=0)),"?IN_FOCUS",IF(J5177&lt;=2,"?ACTIVATED",IF(J5177&lt;&gt;"","?FAMILIAR",IF(F5177="NEW",IF(ISNA(VLOOKUP(E5177,#REF!,1,FALSE())),"?TYPE_IDENTIFIABLE","?REFERENTIAL"),"_")))))</f>
        <v> </v>
      </c>
      <c r="H5177" s="25" t="str">
        <f>IF(J5177&lt;&gt;1,"",IF(I5177="SBJ","CB","?"))</f>
        <v> </v>
      </c>
      <c r="I5177" s="26" t="str">
        <f>IF(OR(E5177="",E5177="!!!",F5177="NEW"),"",INDEX(B5176:B$2,-1+SUMPRODUCT(MAX(ROW(E5176:E$2)*(E5177=E5176:E$2)))))</f>
        <v> </v>
      </c>
      <c r="J5177" s="26" t="str">
        <f>IF(OR(E5177="",E5177="!!!",F5177="NEW"),"",COUNTBLANK(OFFSET(A$1,,,SUMPRODUCT(MAX(ROW(E$2:E5177)*(E5177=E$2:E5177)))))-COUNTBLANK(OFFSET(A$1,,,SUMPRODUCT(MAX(ROW(E$1:E5176)*(E2=E$1:E5176))))))</f>
        <v> </v>
      </c>
      <c r="K5177" s="26" t="str">
        <f>IF(OR(E5177="",E5177="!!!",F5177="NEW"),"",INDEX(J$1:J5176,SUMPRODUCT(MAX(ROW(E$1:E5176)*(E5177=E$1:E5176)))))</f>
        <v> </v>
      </c>
      <c r="L5177" s="27"/>
    </row>
    <row r="5178" spans="1:12">
      <c r="A5178" s="20" t="s">
        <v>1142</v>
      </c>
      <c r="E5178" s="22">
        <f>IF(D5178="?OLD","!!!","")</f>
        <v/>
      </c>
      <c r="F5178" s="23" t="str">
        <f>IF(OR(E5178="",E5178="!!!"),"",IF(NOT(ISNA(VLOOKUP(E5178,E$1:E5177,1,FALSE()))),"OLD",IF(AND(E5178&lt;&gt;"",E5178&lt;&gt;"!!!"),"NEW","")))</f>
        <v> </v>
      </c>
      <c r="G5178" s="24" t="str">
        <f>IF(OR(E5178="",E5178="!!!"),"",IF(OR(J5178=0,AND(J5178=1,K5178=1),AND(J5178=1,I5178="SBJ"),AND(J5178=1,I5178=0)),"?IN_FOCUS",IF(J5178&lt;=2,"?ACTIVATED",IF(J5178&lt;&gt;"","?FAMILIAR",IF(F5178="NEW",IF(ISNA(VLOOKUP(E5178,#REF!,1,FALSE())),"?TYPE_IDENTIFIABLE","?REFERENTIAL"),"_")))))</f>
        <v> </v>
      </c>
      <c r="H5178" s="25" t="str">
        <f>IF(J5178&lt;&gt;1,"",IF(I5178="SBJ","CB","?"))</f>
        <v> </v>
      </c>
      <c r="I5178" s="26" t="str">
        <f>IF(OR(E5178="",E5178="!!!",F5178="NEW"),"",INDEX(B5177:B$2,-1+SUMPRODUCT(MAX(ROW(E5177:E$2)*(E5178=E5177:E$2)))))</f>
        <v> </v>
      </c>
      <c r="J5178" s="26" t="str">
        <f>IF(OR(E5178="",E5178="!!!",F5178="NEW"),"",COUNTBLANK(OFFSET(A$1,,,SUMPRODUCT(MAX(ROW(E$2:E5178)*(E5178=E$2:E5178)))))-COUNTBLANK(OFFSET(A$1,,,SUMPRODUCT(MAX(ROW(E$1:E5177)*(E2=E$1:E5177))))))</f>
        <v> </v>
      </c>
      <c r="K5178" s="26" t="str">
        <f>IF(OR(E5178="",E5178="!!!",F5178="NEW"),"",INDEX(J$1:J5177,SUMPRODUCT(MAX(ROW(E$1:E5177)*(E5178=E$1:E5177)))))</f>
        <v> </v>
      </c>
      <c r="L5178" s="27"/>
    </row>
    <row r="5179" spans="1:12">
      <c r="A5179" s="20" t="s">
        <v>1075</v>
      </c>
      <c r="E5179" s="22">
        <f>IF(D5179="?OLD","!!!","")</f>
        <v/>
      </c>
      <c r="F5179" s="23" t="str">
        <f>IF(OR(E5179="",E5179="!!!"),"",IF(NOT(ISNA(VLOOKUP(E5179,E$1:E5178,1,FALSE()))),"OLD",IF(AND(E5179&lt;&gt;"",E5179&lt;&gt;"!!!"),"NEW","")))</f>
        <v> </v>
      </c>
      <c r="G5179" s="24" t="str">
        <f>IF(OR(E5179="",E5179="!!!"),"",IF(OR(J5179=0,AND(J5179=1,K5179=1),AND(J5179=1,I5179="SBJ"),AND(J5179=1,I5179=0)),"?IN_FOCUS",IF(J5179&lt;=2,"?ACTIVATED",IF(J5179&lt;&gt;"","?FAMILIAR",IF(F5179="NEW",IF(ISNA(VLOOKUP(E5179,#REF!,1,FALSE())),"?TYPE_IDENTIFIABLE","?REFERENTIAL"),"_")))))</f>
        <v> </v>
      </c>
      <c r="H5179" s="25" t="str">
        <f>IF(J5179&lt;&gt;1,"",IF(I5179="SBJ","CB","?"))</f>
        <v> </v>
      </c>
      <c r="I5179" s="26" t="str">
        <f>IF(OR(E5179="",E5179="!!!",F5179="NEW"),"",INDEX(B5178:B$2,-1+SUMPRODUCT(MAX(ROW(E5178:E$2)*(E5179=E5178:E$2)))))</f>
        <v> </v>
      </c>
      <c r="J5179" s="26" t="str">
        <f>IF(OR(E5179="",E5179="!!!",F5179="NEW"),"",COUNTBLANK(OFFSET(A$1,,,SUMPRODUCT(MAX(ROW(E$2:E5179)*(E5179=E$2:E5179)))))-COUNTBLANK(OFFSET(A$1,,,SUMPRODUCT(MAX(ROW(E$1:E5178)*(E2=E$1:E5178))))))</f>
        <v> </v>
      </c>
      <c r="K5179" s="26" t="str">
        <f>IF(OR(E5179="",E5179="!!!",F5179="NEW"),"",INDEX(J$1:J5178,SUMPRODUCT(MAX(ROW(E$1:E5178)*(E5179=E$1:E5178)))))</f>
        <v> </v>
      </c>
      <c r="L5179" s="27"/>
    </row>
    <row r="5180" spans="1:12">
      <c r="A5180" s="20" t="s">
        <v>1324</v>
      </c>
      <c r="E5180" s="22">
        <f>IF(D5180="?OLD","!!!","")</f>
        <v/>
      </c>
      <c r="F5180" s="23" t="str">
        <f>IF(OR(E5180="",E5180="!!!"),"",IF(NOT(ISNA(VLOOKUP(E5180,E$1:E5179,1,FALSE()))),"OLD",IF(AND(E5180&lt;&gt;"",E5180&lt;&gt;"!!!"),"NEW","")))</f>
        <v> </v>
      </c>
      <c r="G5180" s="24" t="str">
        <f>IF(OR(E5180="",E5180="!!!"),"",IF(OR(J5180=0,AND(J5180=1,K5180=1),AND(J5180=1,I5180="SBJ"),AND(J5180=1,I5180=0)),"?IN_FOCUS",IF(J5180&lt;=2,"?ACTIVATED",IF(J5180&lt;&gt;"","?FAMILIAR",IF(F5180="NEW",IF(ISNA(VLOOKUP(E5180,#REF!,1,FALSE())),"?TYPE_IDENTIFIABLE","?REFERENTIAL"),"_")))))</f>
        <v> </v>
      </c>
      <c r="H5180" s="25" t="str">
        <f>IF(J5180&lt;&gt;1,"",IF(I5180="SBJ","CB","?"))</f>
        <v> </v>
      </c>
      <c r="I5180" s="26" t="str">
        <f>IF(OR(E5180="",E5180="!!!",F5180="NEW"),"",INDEX(B5179:B$2,-1+SUMPRODUCT(MAX(ROW(E5179:E$2)*(E5180=E5179:E$2)))))</f>
        <v> </v>
      </c>
      <c r="J5180" s="26" t="str">
        <f>IF(OR(E5180="",E5180="!!!",F5180="NEW"),"",COUNTBLANK(OFFSET(A$1,,,SUMPRODUCT(MAX(ROW(E$2:E5180)*(E5180=E$2:E5180)))))-COUNTBLANK(OFFSET(A$1,,,SUMPRODUCT(MAX(ROW(E$1:E5179)*(E2=E$1:E5179))))))</f>
        <v> </v>
      </c>
      <c r="K5180" s="26" t="str">
        <f>IF(OR(E5180="",E5180="!!!",F5180="NEW"),"",INDEX(J$1:J5179,SUMPRODUCT(MAX(ROW(E$1:E5179)*(E5180=E$1:E5179)))))</f>
        <v> </v>
      </c>
      <c r="L5180" s="27"/>
    </row>
    <row r="5181" spans="1:12">
      <c r="A5181" s="20" t="s">
        <v>1144</v>
      </c>
      <c r="B5181" s="21" t="s">
        <v>1005</v>
      </c>
      <c r="C5181" s="21" t="s">
        <v>1013</v>
      </c>
      <c r="D5181" s="21" t="s">
        <v>1007</v>
      </c>
      <c r="E5181" s="22">
        <f>IF(D5181="?OLD","!!!","")</f>
        <v/>
      </c>
      <c r="F5181" s="23" t="str">
        <f>IF(OR(E5181="",E5181="!!!"),"",IF(NOT(ISNA(VLOOKUP(E5181,E$1:E5180,1,FALSE()))),"OLD",IF(AND(E5181&lt;&gt;"",E5181&lt;&gt;"!!!"),"NEW","")))</f>
        <v> </v>
      </c>
      <c r="G5181" s="24" t="str">
        <f>IF(OR(E5181="",E5181="!!!"),"",IF(OR(J5181=0,AND(J5181=1,K5181=1),AND(J5181=1,I5181="SBJ"),AND(J5181=1,I5181=0)),"?IN_FOCUS",IF(J5181&lt;=2,"?ACTIVATED",IF(J5181&lt;&gt;"","?FAMILIAR",IF(F5181="NEW",IF(ISNA(VLOOKUP(E5181,#REF!,1,FALSE())),"?TYPE_IDENTIFIABLE","?REFERENTIAL"),"_")))))</f>
        <v> </v>
      </c>
      <c r="H5181" s="25" t="str">
        <f>IF(J5181&lt;&gt;1,"",IF(I5181="SBJ","CB","?"))</f>
        <v> </v>
      </c>
      <c r="I5181" s="26" t="str">
        <f>IF(OR(E5181="",E5181="!!!",F5181="NEW"),"",INDEX(B5180:B$2,-1+SUMPRODUCT(MAX(ROW(E5180:E$2)*(E5181=E5180:E$2)))))</f>
        <v> </v>
      </c>
      <c r="J5181" s="26" t="str">
        <f>IF(OR(E5181="",E5181="!!!",F5181="NEW"),"",COUNTBLANK(OFFSET(A$1,,,SUMPRODUCT(MAX(ROW(E$2:E5181)*(E5181=E$2:E5181)))))-COUNTBLANK(OFFSET(A$1,,,SUMPRODUCT(MAX(ROW(E$1:E5180)*(E2=E$1:E5180))))))</f>
        <v> </v>
      </c>
      <c r="K5181" s="26" t="str">
        <f>IF(OR(E5181="",E5181="!!!",F5181="NEW"),"",INDEX(J$1:J5180,SUMPRODUCT(MAX(ROW(E$1:E5180)*(E5181=E$1:E5180)))))</f>
        <v> </v>
      </c>
      <c r="L5181" s="27"/>
    </row>
    <row r="5182" spans="1:12">
      <c r="A5182" s="20" t="s">
        <v>1014</v>
      </c>
      <c r="E5182" s="22">
        <f>IF(D5182="?OLD","!!!","")</f>
        <v/>
      </c>
      <c r="F5182" s="23" t="str">
        <f>IF(OR(E5182="",E5182="!!!"),"",IF(NOT(ISNA(VLOOKUP(E5182,E$1:E5181,1,FALSE()))),"OLD",IF(AND(E5182&lt;&gt;"",E5182&lt;&gt;"!!!"),"NEW","")))</f>
        <v> </v>
      </c>
      <c r="G5182" s="24" t="str">
        <f>IF(OR(E5182="",E5182="!!!"),"",IF(OR(J5182=0,AND(J5182=1,K5182=1),AND(J5182=1,I5182="SBJ"),AND(J5182=1,I5182=0)),"?IN_FOCUS",IF(J5182&lt;=2,"?ACTIVATED",IF(J5182&lt;&gt;"","?FAMILIAR",IF(F5182="NEW",IF(ISNA(VLOOKUP(E5182,#REF!,1,FALSE())),"?TYPE_IDENTIFIABLE","?REFERENTIAL"),"_")))))</f>
        <v> </v>
      </c>
      <c r="H5182" s="25" t="str">
        <f>IF(J5182&lt;&gt;1,"",IF(I5182="SBJ","CB","?"))</f>
        <v> </v>
      </c>
      <c r="I5182" s="26" t="str">
        <f>IF(OR(E5182="",E5182="!!!",F5182="NEW"),"",INDEX(B5181:B$2,-1+SUMPRODUCT(MAX(ROW(E5181:E$2)*(E5182=E5181:E$2)))))</f>
        <v> </v>
      </c>
      <c r="J5182" s="26" t="str">
        <f>IF(OR(E5182="",E5182="!!!",F5182="NEW"),"",COUNTBLANK(OFFSET(A$1,,,SUMPRODUCT(MAX(ROW(E$2:E5182)*(E5182=E$2:E5182)))))-COUNTBLANK(OFFSET(A$1,,,SUMPRODUCT(MAX(ROW(E$1:E5181)*(E2=E$1:E5181))))))</f>
        <v> </v>
      </c>
      <c r="K5182" s="26" t="str">
        <f>IF(OR(E5182="",E5182="!!!",F5182="NEW"),"",INDEX(J$1:J5181,SUMPRODUCT(MAX(ROW(E$1:E5181)*(E5182=E$1:E5181)))))</f>
        <v> </v>
      </c>
      <c r="L5182" s="27"/>
    </row>
    <row r="5183" spans="1:12">
      <c r="A5183" s="20" t="s">
        <v>2408</v>
      </c>
      <c r="B5183" s="21" t="s">
        <v>1005</v>
      </c>
      <c r="C5183" s="21" t="s">
        <v>1048</v>
      </c>
      <c r="E5183" s="22">
        <f>IF(D5183="?OLD","!!!","")</f>
        <v/>
      </c>
      <c r="F5183" s="23" t="str">
        <f>IF(OR(E5183="",E5183="!!!"),"",IF(NOT(ISNA(VLOOKUP(E5183,E$1:E5182,1,FALSE()))),"OLD",IF(AND(E5183&lt;&gt;"",E5183&lt;&gt;"!!!"),"NEW","")))</f>
        <v> </v>
      </c>
      <c r="G5183" s="24" t="str">
        <f>IF(OR(E5183="",E5183="!!!"),"",IF(OR(J5183=0,AND(J5183=1,K5183=1),AND(J5183=1,I5183="SBJ"),AND(J5183=1,I5183=0)),"?IN_FOCUS",IF(J5183&lt;=2,"?ACTIVATED",IF(J5183&lt;&gt;"","?FAMILIAR",IF(F5183="NEW",IF(ISNA(VLOOKUP(E5183,#REF!,1,FALSE())),"?TYPE_IDENTIFIABLE","?REFERENTIAL"),"_")))))</f>
        <v> </v>
      </c>
      <c r="H5183" s="25" t="str">
        <f>IF(J5183&lt;&gt;1,"",IF(I5183="SBJ","CB","?"))</f>
        <v> </v>
      </c>
      <c r="I5183" s="26" t="str">
        <f>IF(OR(E5183="",E5183="!!!",F5183="NEW"),"",INDEX(B5182:B$2,-1+SUMPRODUCT(MAX(ROW(E5182:E$2)*(E5183=E5182:E$2)))))</f>
        <v> </v>
      </c>
      <c r="J5183" s="26" t="str">
        <f>IF(OR(E5183="",E5183="!!!",F5183="NEW"),"",COUNTBLANK(OFFSET(A$1,,,SUMPRODUCT(MAX(ROW(E$2:E5183)*(E5183=E$2:E5183)))))-COUNTBLANK(OFFSET(A$1,,,SUMPRODUCT(MAX(ROW(E$1:E5182)*(E2=E$1:E5182))))))</f>
        <v> </v>
      </c>
      <c r="K5183" s="26" t="str">
        <f>IF(OR(E5183="",E5183="!!!",F5183="NEW"),"",INDEX(J$1:J5182,SUMPRODUCT(MAX(ROW(E$1:E5182)*(E5183=E$1:E5182)))))</f>
        <v> </v>
      </c>
      <c r="L5183" s="27"/>
    </row>
    <row r="5184" spans="1:12">
      <c r="A5184" s="20" t="s">
        <v>1684</v>
      </c>
      <c r="E5184" s="22">
        <f>IF(D5184="?OLD","!!!","")</f>
        <v/>
      </c>
      <c r="F5184" s="23" t="str">
        <f>IF(OR(E5184="",E5184="!!!"),"",IF(NOT(ISNA(VLOOKUP(E5184,E$1:E5183,1,FALSE()))),"OLD",IF(AND(E5184&lt;&gt;"",E5184&lt;&gt;"!!!"),"NEW","")))</f>
        <v> </v>
      </c>
      <c r="G5184" s="24" t="str">
        <f>IF(OR(E5184="",E5184="!!!"),"",IF(OR(J5184=0,AND(J5184=1,K5184=1),AND(J5184=1,I5184="SBJ"),AND(J5184=1,I5184=0)),"?IN_FOCUS",IF(J5184&lt;=2,"?ACTIVATED",IF(J5184&lt;&gt;"","?FAMILIAR",IF(F5184="NEW",IF(ISNA(VLOOKUP(E5184,#REF!,1,FALSE())),"?TYPE_IDENTIFIABLE","?REFERENTIAL"),"_")))))</f>
        <v> </v>
      </c>
      <c r="H5184" s="25" t="str">
        <f>IF(J5184&lt;&gt;1,"",IF(I5184="SBJ","CB","?"))</f>
        <v> </v>
      </c>
      <c r="I5184" s="26" t="str">
        <f>IF(OR(E5184="",E5184="!!!",F5184="NEW"),"",INDEX(B5183:B$2,-1+SUMPRODUCT(MAX(ROW(E5183:E$2)*(E5184=E5183:E$2)))))</f>
        <v> </v>
      </c>
      <c r="J5184" s="26" t="str">
        <f>IF(OR(E5184="",E5184="!!!",F5184="NEW"),"",COUNTBLANK(OFFSET(A$1,,,SUMPRODUCT(MAX(ROW(E$2:E5184)*(E5184=E$2:E5184)))))-COUNTBLANK(OFFSET(A$1,,,SUMPRODUCT(MAX(ROW(E$1:E5183)*(E2=E$1:E5183))))))</f>
        <v> </v>
      </c>
      <c r="K5184" s="26" t="str">
        <f>IF(OR(E5184="",E5184="!!!",F5184="NEW"),"",INDEX(J$1:J5183,SUMPRODUCT(MAX(ROW(E$1:E5183)*(E5184=E$1:E5183)))))</f>
        <v> </v>
      </c>
      <c r="L5184" s="27"/>
    </row>
    <row r="5185" spans="1:12">
      <c r="A5185" s="20" t="s">
        <v>1014</v>
      </c>
      <c r="E5185" s="22">
        <f>IF(D5185="?OLD","!!!","")</f>
        <v/>
      </c>
      <c r="F5185" s="23" t="str">
        <f>IF(OR(E5185="",E5185="!!!"),"",IF(NOT(ISNA(VLOOKUP(E5185,E$1:E5184,1,FALSE()))),"OLD",IF(AND(E5185&lt;&gt;"",E5185&lt;&gt;"!!!"),"NEW","")))</f>
        <v> </v>
      </c>
      <c r="G5185" s="24" t="str">
        <f>IF(OR(E5185="",E5185="!!!"),"",IF(OR(J5185=0,AND(J5185=1,K5185=1),AND(J5185=1,I5185="SBJ"),AND(J5185=1,I5185=0)),"?IN_FOCUS",IF(J5185&lt;=2,"?ACTIVATED",IF(J5185&lt;&gt;"","?FAMILIAR",IF(F5185="NEW",IF(ISNA(VLOOKUP(E5185,#REF!,1,FALSE())),"?TYPE_IDENTIFIABLE","?REFERENTIAL"),"_")))))</f>
        <v> </v>
      </c>
      <c r="H5185" s="25" t="str">
        <f>IF(J5185&lt;&gt;1,"",IF(I5185="SBJ","CB","?"))</f>
        <v> </v>
      </c>
      <c r="I5185" s="26" t="str">
        <f>IF(OR(E5185="",E5185="!!!",F5185="NEW"),"",INDEX(B5184:B$2,-1+SUMPRODUCT(MAX(ROW(E5184:E$2)*(E5185=E5184:E$2)))))</f>
        <v> </v>
      </c>
      <c r="J5185" s="26" t="str">
        <f>IF(OR(E5185="",E5185="!!!",F5185="NEW"),"",COUNTBLANK(OFFSET(A$1,,,SUMPRODUCT(MAX(ROW(E$2:E5185)*(E5185=E$2:E5185)))))-COUNTBLANK(OFFSET(A$1,,,SUMPRODUCT(MAX(ROW(E$1:E5184)*(E2=E$1:E5184))))))</f>
        <v> </v>
      </c>
      <c r="K5185" s="26" t="str">
        <f>IF(OR(E5185="",E5185="!!!",F5185="NEW"),"",INDEX(J$1:J5184,SUMPRODUCT(MAX(ROW(E$1:E5184)*(E5185=E$1:E5184)))))</f>
        <v> </v>
      </c>
      <c r="L5185" s="27"/>
    </row>
    <row r="5186" spans="1:12">
      <c r="A5186" s="20" t="s">
        <v>2409</v>
      </c>
      <c r="B5186" s="21" t="s">
        <v>1005</v>
      </c>
      <c r="C5186" s="21" t="s">
        <v>1048</v>
      </c>
      <c r="E5186" s="22">
        <f>IF(D5186="?OLD","!!!","")</f>
        <v/>
      </c>
      <c r="F5186" s="23" t="str">
        <f>IF(OR(E5186="",E5186="!!!"),"",IF(NOT(ISNA(VLOOKUP(E5186,E$1:E5185,1,FALSE()))),"OLD",IF(AND(E5186&lt;&gt;"",E5186&lt;&gt;"!!!"),"NEW","")))</f>
        <v> </v>
      </c>
      <c r="G5186" s="24" t="str">
        <f>IF(OR(E5186="",E5186="!!!"),"",IF(OR(J5186=0,AND(J5186=1,K5186=1),AND(J5186=1,I5186="SBJ"),AND(J5186=1,I5186=0)),"?IN_FOCUS",IF(J5186&lt;=2,"?ACTIVATED",IF(J5186&lt;&gt;"","?FAMILIAR",IF(F5186="NEW",IF(ISNA(VLOOKUP(E5186,#REF!,1,FALSE())),"?TYPE_IDENTIFIABLE","?REFERENTIAL"),"_")))))</f>
        <v> </v>
      </c>
      <c r="H5186" s="25" t="str">
        <f>IF(J5186&lt;&gt;1,"",IF(I5186="SBJ","CB","?"))</f>
        <v> </v>
      </c>
      <c r="I5186" s="26" t="str">
        <f>IF(OR(E5186="",E5186="!!!",F5186="NEW"),"",INDEX(B5185:B$2,-1+SUMPRODUCT(MAX(ROW(E5185:E$2)*(E5186=E5185:E$2)))))</f>
        <v> </v>
      </c>
      <c r="J5186" s="26" t="str">
        <f>IF(OR(E5186="",E5186="!!!",F5186="NEW"),"",COUNTBLANK(OFFSET(A$1,,,SUMPRODUCT(MAX(ROW(E$2:E5186)*(E5186=E$2:E5186)))))-COUNTBLANK(OFFSET(A$1,,,SUMPRODUCT(MAX(ROW(E$1:E5185)*(E2=E$1:E5185))))))</f>
        <v> </v>
      </c>
      <c r="K5186" s="26" t="str">
        <f>IF(OR(E5186="",E5186="!!!",F5186="NEW"),"",INDEX(J$1:J5185,SUMPRODUCT(MAX(ROW(E$1:E5185)*(E5186=E$1:E5185)))))</f>
        <v> </v>
      </c>
      <c r="L5186" s="27"/>
    </row>
    <row r="5187" spans="1:12">
      <c r="A5187" s="20" t="s">
        <v>1023</v>
      </c>
      <c r="E5187" s="22">
        <f>IF(D5187="?OLD","!!!","")</f>
        <v/>
      </c>
      <c r="F5187" s="23" t="str">
        <f>IF(OR(E5187="",E5187="!!!"),"",IF(NOT(ISNA(VLOOKUP(E5187,E$1:E5186,1,FALSE()))),"OLD",IF(AND(E5187&lt;&gt;"",E5187&lt;&gt;"!!!"),"NEW","")))</f>
        <v> </v>
      </c>
      <c r="G5187" s="24" t="str">
        <f>IF(OR(E5187="",E5187="!!!"),"",IF(OR(J5187=0,AND(J5187=1,K5187=1),AND(J5187=1,I5187="SBJ"),AND(J5187=1,I5187=0)),"?IN_FOCUS",IF(J5187&lt;=2,"?ACTIVATED",IF(J5187&lt;&gt;"","?FAMILIAR",IF(F5187="NEW",IF(ISNA(VLOOKUP(E5187,#REF!,1,FALSE())),"?TYPE_IDENTIFIABLE","?REFERENTIAL"),"_")))))</f>
        <v> </v>
      </c>
      <c r="H5187" s="25" t="str">
        <f>IF(J5187&lt;&gt;1,"",IF(I5187="SBJ","CB","?"))</f>
        <v> </v>
      </c>
      <c r="I5187" s="26" t="str">
        <f>IF(OR(E5187="",E5187="!!!",F5187="NEW"),"",INDEX(B5186:B$2,-1+SUMPRODUCT(MAX(ROW(E5186:E$2)*(E5187=E5186:E$2)))))</f>
        <v> </v>
      </c>
      <c r="J5187" s="26" t="str">
        <f>IF(OR(E5187="",E5187="!!!",F5187="NEW"),"",COUNTBLANK(OFFSET(A$1,,,SUMPRODUCT(MAX(ROW(E$2:E5187)*(E5187=E$2:E5187)))))-COUNTBLANK(OFFSET(A$1,,,SUMPRODUCT(MAX(ROW(E$1:E5186)*(E2=E$1:E5186))))))</f>
        <v> </v>
      </c>
      <c r="K5187" s="26" t="str">
        <f>IF(OR(E5187="",E5187="!!!",F5187="NEW"),"",INDEX(J$1:J5186,SUMPRODUCT(MAX(ROW(E$1:E5186)*(E5187=E$1:E5186)))))</f>
        <v> </v>
      </c>
      <c r="L5187" s="27"/>
    </row>
    <row r="5188" spans="1:12">
      <c r="A5188" s="20"/>
    </row>
    <row r="5189" spans="1:12">
      <c r="A5189" s="20" t="s">
        <v>2428</v>
      </c>
    </row>
    <row r="5190" spans="1:12">
      <c r="A5190" s="20" t="s">
        <v>1879</v>
      </c>
      <c r="E5190" s="22">
        <f>IF(D5190="?OLD","!!!","")</f>
        <v/>
      </c>
      <c r="F5190" s="23" t="str">
        <f>IF(OR(E5190="",E5190="!!!"),"",IF(NOT(ISNA(VLOOKUP(E5190,E$1:E5189,1,FALSE()))),"OLD",IF(AND(E5190&lt;&gt;"",E5190&lt;&gt;"!!!"),"NEW","")))</f>
        <v> </v>
      </c>
      <c r="G5190" s="24" t="str">
        <f>IF(OR(E5190="",E5190="!!!"),"",IF(OR(J5190=0,AND(J5190=1,K5190=1),AND(J5190=1,I5190="SBJ"),AND(J5190=1,I5190=0)),"?IN_FOCUS",IF(J5190&lt;=2,"?ACTIVATED",IF(J5190&lt;&gt;"","?FAMILIAR",IF(F5190="NEW",IF(ISNA(VLOOKUP(E5190,#REF!,1,FALSE())),"?TYPE_IDENTIFIABLE","?REFERENTIAL"),"_")))))</f>
        <v> </v>
      </c>
      <c r="H5190" s="25" t="str">
        <f>IF(J5190&lt;&gt;1,"",IF(I5190="SBJ","CB","?"))</f>
        <v> </v>
      </c>
      <c r="I5190" s="26" t="str">
        <f>IF(OR(E5190="",E5190="!!!",F5190="NEW"),"",INDEX(B5189:B$2,-1+SUMPRODUCT(MAX(ROW(E5189:E$2)*(E5190=E5189:E$2)))))</f>
        <v> </v>
      </c>
      <c r="J5190" s="26" t="str">
        <f>IF(OR(E5190="",E5190="!!!",F5190="NEW"),"",COUNTBLANK(OFFSET(A$1,,,SUMPRODUCT(MAX(ROW(E$2:E5190)*(E5190=E$2:E5190)))))-COUNTBLANK(OFFSET(A$1,,,SUMPRODUCT(MAX(ROW(E$1:E5189)*(E2=E$1:E5189))))))</f>
        <v> </v>
      </c>
      <c r="K5190" s="26" t="str">
        <f>IF(OR(E5190="",E5190="!!!",F5190="NEW"),"",INDEX(J$1:J5189,SUMPRODUCT(MAX(ROW(E$1:E5189)*(E5190=E$1:E5189)))))</f>
        <v> </v>
      </c>
      <c r="L5190" s="27"/>
    </row>
    <row r="5191" spans="1:12">
      <c r="A5191" s="20" t="s">
        <v>1617</v>
      </c>
      <c r="B5191" s="21" t="s">
        <v>1022</v>
      </c>
      <c r="C5191" s="21" t="s">
        <v>1059</v>
      </c>
      <c r="D5191" s="21" t="s">
        <v>1007</v>
      </c>
      <c r="E5191" s="22">
        <f>IF(D5191="?OLD","!!!","")</f>
        <v/>
      </c>
      <c r="F5191" s="23" t="str">
        <f>IF(OR(E5191="",E5191="!!!"),"",IF(NOT(ISNA(VLOOKUP(E5191,E$1:E5190,1,FALSE()))),"OLD",IF(AND(E5191&lt;&gt;"",E5191&lt;&gt;"!!!"),"NEW","")))</f>
        <v> </v>
      </c>
      <c r="G5191" s="24" t="str">
        <f>IF(OR(E5191="",E5191="!!!"),"",IF(OR(J5191=0,AND(J5191=1,K5191=1),AND(J5191=1,I5191="SBJ"),AND(J5191=1,I5191=0)),"?IN_FOCUS",IF(J5191&lt;=2,"?ACTIVATED",IF(J5191&lt;&gt;"","?FAMILIAR",IF(F5191="NEW",IF(ISNA(VLOOKUP(E5191,#REF!,1,FALSE())),"?TYPE_IDENTIFIABLE","?REFERENTIAL"),"_")))))</f>
        <v> </v>
      </c>
      <c r="H5191" s="25" t="str">
        <f>IF(J5191&lt;&gt;1,"",IF(I5191="SBJ","CB","?"))</f>
        <v> </v>
      </c>
      <c r="I5191" s="26" t="str">
        <f>IF(OR(E5191="",E5191="!!!",F5191="NEW"),"",INDEX(B5190:B$2,-1+SUMPRODUCT(MAX(ROW(E5190:E$2)*(E5191=E5190:E$2)))))</f>
        <v> </v>
      </c>
      <c r="J5191" s="26" t="str">
        <f>IF(OR(E5191="",E5191="!!!",F5191="NEW"),"",COUNTBLANK(OFFSET(A$1,,,SUMPRODUCT(MAX(ROW(E$2:E5191)*(E5191=E$2:E5191)))))-COUNTBLANK(OFFSET(A$1,,,SUMPRODUCT(MAX(ROW(E$1:E5190)*(E2=E$1:E5190))))))</f>
        <v> </v>
      </c>
      <c r="K5191" s="26" t="str">
        <f>IF(OR(E5191="",E5191="!!!",F5191="NEW"),"",INDEX(J$1:J5190,SUMPRODUCT(MAX(ROW(E$1:E5190)*(E5191=E$1:E5190)))))</f>
        <v> </v>
      </c>
      <c r="L5191" s="27"/>
    </row>
    <row r="5192" spans="1:12">
      <c r="A5192" s="20" t="s">
        <v>2429</v>
      </c>
      <c r="B5192" s="21" t="s">
        <v>1050</v>
      </c>
      <c r="C5192" s="21" t="s">
        <v>1017</v>
      </c>
      <c r="D5192" s="21" t="s">
        <v>1007</v>
      </c>
      <c r="E5192" s="22">
        <f>IF(D5192="?OLD","!!!","")</f>
        <v/>
      </c>
      <c r="F5192" s="23" t="str">
        <f>IF(OR(E5192="",E5192="!!!"),"",IF(NOT(ISNA(VLOOKUP(E5192,E$1:E5191,1,FALSE()))),"OLD",IF(AND(E5192&lt;&gt;"",E5192&lt;&gt;"!!!"),"NEW","")))</f>
        <v> </v>
      </c>
      <c r="G5192" s="24" t="str">
        <f>IF(OR(E5192="",E5192="!!!"),"",IF(OR(J5192=0,AND(J5192=1,K5192=1),AND(J5192=1,I5192="SBJ"),AND(J5192=1,I5192=0)),"?IN_FOCUS",IF(J5192&lt;=2,"?ACTIVATED",IF(J5192&lt;&gt;"","?FAMILIAR",IF(F5192="NEW",IF(ISNA(VLOOKUP(E5192,#REF!,1,FALSE())),"?TYPE_IDENTIFIABLE","?REFERENTIAL"),"_")))))</f>
        <v> </v>
      </c>
      <c r="H5192" s="25" t="str">
        <f>IF(J5192&lt;&gt;1,"",IF(I5192="SBJ","CB","?"))</f>
        <v> </v>
      </c>
      <c r="I5192" s="26" t="str">
        <f>IF(OR(E5192="",E5192="!!!",F5192="NEW"),"",INDEX(B5191:B$2,-1+SUMPRODUCT(MAX(ROW(E5191:E$2)*(E5192=E5191:E$2)))))</f>
        <v> </v>
      </c>
      <c r="J5192" s="26" t="str">
        <f>IF(OR(E5192="",E5192="!!!",F5192="NEW"),"",COUNTBLANK(OFFSET(A$1,,,SUMPRODUCT(MAX(ROW(E$2:E5192)*(E5192=E$2:E5192)))))-COUNTBLANK(OFFSET(A$1,,,SUMPRODUCT(MAX(ROW(E$1:E5191)*(E2=E$1:E5191))))))</f>
        <v> </v>
      </c>
      <c r="K5192" s="26" t="str">
        <f>IF(OR(E5192="",E5192="!!!",F5192="NEW"),"",INDEX(J$1:J5191,SUMPRODUCT(MAX(ROW(E$1:E5191)*(E5192=E$1:E5191)))))</f>
        <v> </v>
      </c>
      <c r="L5192" s="27"/>
    </row>
    <row r="5193" spans="1:12">
      <c r="A5193" s="20" t="s">
        <v>2430</v>
      </c>
      <c r="E5193" s="22">
        <f>IF(D5193="?OLD","!!!","")</f>
        <v/>
      </c>
      <c r="F5193" s="23" t="str">
        <f>IF(OR(E5193="",E5193="!!!"),"",IF(NOT(ISNA(VLOOKUP(E5193,E$1:E5192,1,FALSE()))),"OLD",IF(AND(E5193&lt;&gt;"",E5193&lt;&gt;"!!!"),"NEW","")))</f>
        <v> </v>
      </c>
      <c r="G5193" s="24" t="str">
        <f>IF(OR(E5193="",E5193="!!!"),"",IF(OR(J5193=0,AND(J5193=1,K5193=1),AND(J5193=1,I5193="SBJ"),AND(J5193=1,I5193=0)),"?IN_FOCUS",IF(J5193&lt;=2,"?ACTIVATED",IF(J5193&lt;&gt;"","?FAMILIAR",IF(F5193="NEW",IF(ISNA(VLOOKUP(E5193,#REF!,1,FALSE())),"?TYPE_IDENTIFIABLE","?REFERENTIAL"),"_")))))</f>
        <v> </v>
      </c>
      <c r="H5193" s="25" t="str">
        <f>IF(J5193&lt;&gt;1,"",IF(I5193="SBJ","CB","?"))</f>
        <v> </v>
      </c>
      <c r="I5193" s="26" t="str">
        <f>IF(OR(E5193="",E5193="!!!",F5193="NEW"),"",INDEX(B5192:B$2,-1+SUMPRODUCT(MAX(ROW(E5192:E$2)*(E5193=E5192:E$2)))))</f>
        <v> </v>
      </c>
      <c r="J5193" s="26" t="str">
        <f>IF(OR(E5193="",E5193="!!!",F5193="NEW"),"",COUNTBLANK(OFFSET(A$1,,,SUMPRODUCT(MAX(ROW(E$2:E5193)*(E5193=E$2:E5193)))))-COUNTBLANK(OFFSET(A$1,,,SUMPRODUCT(MAX(ROW(E$1:E5192)*(E2=E$1:E5192))))))</f>
        <v> </v>
      </c>
      <c r="K5193" s="26" t="str">
        <f>IF(OR(E5193="",E5193="!!!",F5193="NEW"),"",INDEX(J$1:J5192,SUMPRODUCT(MAX(ROW(E$1:E5192)*(E5193=E$1:E5192)))))</f>
        <v> </v>
      </c>
      <c r="L5193" s="27"/>
    </row>
    <row r="5194" spans="1:12">
      <c r="A5194" s="20" t="s">
        <v>1436</v>
      </c>
      <c r="E5194" s="22">
        <f>IF(D5194="?OLD","!!!","")</f>
        <v/>
      </c>
      <c r="F5194" s="23" t="str">
        <f>IF(OR(E5194="",E5194="!!!"),"",IF(NOT(ISNA(VLOOKUP(E5194,E$1:E5193,1,FALSE()))),"OLD",IF(AND(E5194&lt;&gt;"",E5194&lt;&gt;"!!!"),"NEW","")))</f>
        <v> </v>
      </c>
      <c r="G5194" s="24" t="str">
        <f>IF(OR(E5194="",E5194="!!!"),"",IF(OR(J5194=0,AND(J5194=1,K5194=1),AND(J5194=1,I5194="SBJ"),AND(J5194=1,I5194=0)),"?IN_FOCUS",IF(J5194&lt;=2,"?ACTIVATED",IF(J5194&lt;&gt;"","?FAMILIAR",IF(F5194="NEW",IF(ISNA(VLOOKUP(E5194,#REF!,1,FALSE())),"?TYPE_IDENTIFIABLE","?REFERENTIAL"),"_")))))</f>
        <v> </v>
      </c>
      <c r="H5194" s="25" t="str">
        <f>IF(J5194&lt;&gt;1,"",IF(I5194="SBJ","CB","?"))</f>
        <v> </v>
      </c>
      <c r="I5194" s="26" t="str">
        <f>IF(OR(E5194="",E5194="!!!",F5194="NEW"),"",INDEX(B5193:B$2,-1+SUMPRODUCT(MAX(ROW(E5193:E$2)*(E5194=E5193:E$2)))))</f>
        <v> </v>
      </c>
      <c r="J5194" s="26" t="str">
        <f>IF(OR(E5194="",E5194="!!!",F5194="NEW"),"",COUNTBLANK(OFFSET(A$1,,,SUMPRODUCT(MAX(ROW(E$2:E5194)*(E5194=E$2:E5194)))))-COUNTBLANK(OFFSET(A$1,,,SUMPRODUCT(MAX(ROW(E$1:E5193)*(E2=E$1:E5193))))))</f>
        <v> </v>
      </c>
      <c r="K5194" s="26" t="str">
        <f>IF(OR(E5194="",E5194="!!!",F5194="NEW"),"",INDEX(J$1:J5193,SUMPRODUCT(MAX(ROW(E$1:E5193)*(E5194=E$1:E5193)))))</f>
        <v> </v>
      </c>
      <c r="L5194" s="27"/>
    </row>
    <row r="5195" spans="1:12">
      <c r="A5195" s="20" t="s">
        <v>56</v>
      </c>
      <c r="E5195" s="22">
        <f>IF(D5195="?OLD","!!!","")</f>
        <v/>
      </c>
      <c r="F5195" s="23" t="str">
        <f>IF(OR(E5195="",E5195="!!!"),"",IF(NOT(ISNA(VLOOKUP(E5195,E$1:E5194,1,FALSE()))),"OLD",IF(AND(E5195&lt;&gt;"",E5195&lt;&gt;"!!!"),"NEW","")))</f>
        <v> </v>
      </c>
      <c r="G5195" s="24" t="str">
        <f>IF(OR(E5195="",E5195="!!!"),"",IF(OR(J5195=0,AND(J5195=1,K5195=1),AND(J5195=1,I5195="SBJ"),AND(J5195=1,I5195=0)),"?IN_FOCUS",IF(J5195&lt;=2,"?ACTIVATED",IF(J5195&lt;&gt;"","?FAMILIAR",IF(F5195="NEW",IF(ISNA(VLOOKUP(E5195,#REF!,1,FALSE())),"?TYPE_IDENTIFIABLE","?REFERENTIAL"),"_")))))</f>
        <v> </v>
      </c>
      <c r="H5195" s="25" t="str">
        <f>IF(J5195&lt;&gt;1,"",IF(I5195="SBJ","CB","?"))</f>
        <v> </v>
      </c>
      <c r="I5195" s="26" t="str">
        <f>IF(OR(E5195="",E5195="!!!",F5195="NEW"),"",INDEX(B5194:B$2,-1+SUMPRODUCT(MAX(ROW(E5194:E$2)*(E5195=E5194:E$2)))))</f>
        <v> </v>
      </c>
      <c r="J5195" s="26" t="str">
        <f>IF(OR(E5195="",E5195="!!!",F5195="NEW"),"",COUNTBLANK(OFFSET(A$1,,,SUMPRODUCT(MAX(ROW(E$2:E5195)*(E5195=E$2:E5195)))))-COUNTBLANK(OFFSET(A$1,,,SUMPRODUCT(MAX(ROW(E$1:E5194)*(E2=E$1:E5194))))))</f>
        <v> </v>
      </c>
      <c r="K5195" s="26" t="str">
        <f>IF(OR(E5195="",E5195="!!!",F5195="NEW"),"",INDEX(J$1:J5194,SUMPRODUCT(MAX(ROW(E$1:E5194)*(E5195=E$1:E5194)))))</f>
        <v> </v>
      </c>
      <c r="L5195" s="27"/>
    </row>
    <row r="5196" spans="1:12">
      <c r="A5196" s="20" t="s">
        <v>1137</v>
      </c>
      <c r="E5196" s="22">
        <f>IF(D5196="?OLD","!!!","")</f>
        <v/>
      </c>
      <c r="F5196" s="23" t="str">
        <f>IF(OR(E5196="",E5196="!!!"),"",IF(NOT(ISNA(VLOOKUP(E5196,E$1:E5195,1,FALSE()))),"OLD",IF(AND(E5196&lt;&gt;"",E5196&lt;&gt;"!!!"),"NEW","")))</f>
        <v> </v>
      </c>
      <c r="G5196" s="24" t="str">
        <f>IF(OR(E5196="",E5196="!!!"),"",IF(OR(J5196=0,AND(J5196=1,K5196=1),AND(J5196=1,I5196="SBJ"),AND(J5196=1,I5196=0)),"?IN_FOCUS",IF(J5196&lt;=2,"?ACTIVATED",IF(J5196&lt;&gt;"","?FAMILIAR",IF(F5196="NEW",IF(ISNA(VLOOKUP(E5196,#REF!,1,FALSE())),"?TYPE_IDENTIFIABLE","?REFERENTIAL"),"_")))))</f>
        <v> </v>
      </c>
      <c r="H5196" s="25" t="str">
        <f>IF(J5196&lt;&gt;1,"",IF(I5196="SBJ","CB","?"))</f>
        <v> </v>
      </c>
      <c r="I5196" s="26" t="str">
        <f>IF(OR(E5196="",E5196="!!!",F5196="NEW"),"",INDEX(B5195:B$2,-1+SUMPRODUCT(MAX(ROW(E5195:E$2)*(E5196=E5195:E$2)))))</f>
        <v> </v>
      </c>
      <c r="J5196" s="26" t="str">
        <f>IF(OR(E5196="",E5196="!!!",F5196="NEW"),"",COUNTBLANK(OFFSET(A$1,,,SUMPRODUCT(MAX(ROW(E$2:E5196)*(E5196=E$2:E5196)))))-COUNTBLANK(OFFSET(A$1,,,SUMPRODUCT(MAX(ROW(E$1:E5195)*(E2=E$1:E5195))))))</f>
        <v> </v>
      </c>
      <c r="K5196" s="26" t="str">
        <f>IF(OR(E5196="",E5196="!!!",F5196="NEW"),"",INDEX(J$1:J5195,SUMPRODUCT(MAX(ROW(E$1:E5195)*(E5196=E$1:E5195)))))</f>
        <v> </v>
      </c>
      <c r="L5196" s="27"/>
    </row>
    <row r="5197" spans="1:12">
      <c r="A5197" s="20" t="s">
        <v>2239</v>
      </c>
      <c r="E5197" s="22">
        <f>IF(D5197="?OLD","!!!","")</f>
        <v/>
      </c>
      <c r="F5197" s="23" t="str">
        <f>IF(OR(E5197="",E5197="!!!"),"",IF(NOT(ISNA(VLOOKUP(E5197,E$1:E5196,1,FALSE()))),"OLD",IF(AND(E5197&lt;&gt;"",E5197&lt;&gt;"!!!"),"NEW","")))</f>
        <v> </v>
      </c>
      <c r="G5197" s="24" t="str">
        <f>IF(OR(E5197="",E5197="!!!"),"",IF(OR(J5197=0,AND(J5197=1,K5197=1),AND(J5197=1,I5197="SBJ"),AND(J5197=1,I5197=0)),"?IN_FOCUS",IF(J5197&lt;=2,"?ACTIVATED",IF(J5197&lt;&gt;"","?FAMILIAR",IF(F5197="NEW",IF(ISNA(VLOOKUP(E5197,#REF!,1,FALSE())),"?TYPE_IDENTIFIABLE","?REFERENTIAL"),"_")))))</f>
        <v> </v>
      </c>
      <c r="H5197" s="25" t="str">
        <f>IF(J5197&lt;&gt;1,"",IF(I5197="SBJ","CB","?"))</f>
        <v> </v>
      </c>
      <c r="I5197" s="26" t="str">
        <f>IF(OR(E5197="",E5197="!!!",F5197="NEW"),"",INDEX(B5196:B$2,-1+SUMPRODUCT(MAX(ROW(E5196:E$2)*(E5197=E5196:E$2)))))</f>
        <v> </v>
      </c>
      <c r="J5197" s="26" t="str">
        <f>IF(OR(E5197="",E5197="!!!",F5197="NEW"),"",COUNTBLANK(OFFSET(A$1,,,SUMPRODUCT(MAX(ROW(E$2:E5197)*(E5197=E$2:E5197)))))-COUNTBLANK(OFFSET(A$1,,,SUMPRODUCT(MAX(ROW(E$1:E5196)*(E2=E$1:E5196))))))</f>
        <v> </v>
      </c>
      <c r="K5197" s="26" t="str">
        <f>IF(OR(E5197="",E5197="!!!",F5197="NEW"),"",INDEX(J$1:J5196,SUMPRODUCT(MAX(ROW(E$1:E5196)*(E5197=E$1:E5196)))))</f>
        <v> </v>
      </c>
      <c r="L5197" s="27"/>
    </row>
    <row r="5198" spans="1:12">
      <c r="A5198" s="20" t="s">
        <v>1617</v>
      </c>
      <c r="B5198" s="21" t="s">
        <v>1033</v>
      </c>
      <c r="C5198" s="21" t="s">
        <v>1059</v>
      </c>
      <c r="D5198" s="21" t="s">
        <v>1007</v>
      </c>
      <c r="E5198" s="22">
        <f>IF(D5198="?OLD","!!!","")</f>
        <v/>
      </c>
      <c r="F5198" s="23" t="str">
        <f>IF(OR(E5198="",E5198="!!!"),"",IF(NOT(ISNA(VLOOKUP(E5198,E$1:E5197,1,FALSE()))),"OLD",IF(AND(E5198&lt;&gt;"",E5198&lt;&gt;"!!!"),"NEW","")))</f>
        <v> </v>
      </c>
      <c r="G5198" s="24" t="str">
        <f>IF(OR(E5198="",E5198="!!!"),"",IF(OR(J5198=0,AND(J5198=1,K5198=1),AND(J5198=1,I5198="SBJ"),AND(J5198=1,I5198=0)),"?IN_FOCUS",IF(J5198&lt;=2,"?ACTIVATED",IF(J5198&lt;&gt;"","?FAMILIAR",IF(F5198="NEW",IF(ISNA(VLOOKUP(E5198,#REF!,1,FALSE())),"?TYPE_IDENTIFIABLE","?REFERENTIAL"),"_")))))</f>
        <v> </v>
      </c>
      <c r="H5198" s="25" t="str">
        <f>IF(J5198&lt;&gt;1,"",IF(I5198="SBJ","CB","?"))</f>
        <v> </v>
      </c>
      <c r="I5198" s="26" t="str">
        <f>IF(OR(E5198="",E5198="!!!",F5198="NEW"),"",INDEX(B5197:B$2,-1+SUMPRODUCT(MAX(ROW(E5197:E$2)*(E5198=E5197:E$2)))))</f>
        <v> </v>
      </c>
      <c r="J5198" s="26" t="str">
        <f>IF(OR(E5198="",E5198="!!!",F5198="NEW"),"",COUNTBLANK(OFFSET(A$1,,,SUMPRODUCT(MAX(ROW(E$2:E5198)*(E5198=E$2:E5198)))))-COUNTBLANK(OFFSET(A$1,,,SUMPRODUCT(MAX(ROW(E$1:E5197)*(E2=E$1:E5197))))))</f>
        <v> </v>
      </c>
      <c r="K5198" s="26" t="str">
        <f>IF(OR(E5198="",E5198="!!!",F5198="NEW"),"",INDEX(J$1:J5197,SUMPRODUCT(MAX(ROW(E$1:E5197)*(E5198=E$1:E5197)))))</f>
        <v> </v>
      </c>
      <c r="L5198" s="27"/>
    </row>
    <row r="5199" spans="1:12">
      <c r="A5199" s="20" t="s">
        <v>1018</v>
      </c>
      <c r="E5199" s="22">
        <f>IF(D5199="?OLD","!!!","")</f>
        <v/>
      </c>
      <c r="F5199" s="23" t="str">
        <f>IF(OR(E5199="",E5199="!!!"),"",IF(NOT(ISNA(VLOOKUP(E5199,E$1:E5198,1,FALSE()))),"OLD",IF(AND(E5199&lt;&gt;"",E5199&lt;&gt;"!!!"),"NEW","")))</f>
        <v> </v>
      </c>
      <c r="G5199" s="24" t="str">
        <f>IF(OR(E5199="",E5199="!!!"),"",IF(OR(J5199=0,AND(J5199=1,K5199=1),AND(J5199=1,I5199="SBJ"),AND(J5199=1,I5199=0)),"?IN_FOCUS",IF(J5199&lt;=2,"?ACTIVATED",IF(J5199&lt;&gt;"","?FAMILIAR",IF(F5199="NEW",IF(ISNA(VLOOKUP(E5199,#REF!,1,FALSE())),"?TYPE_IDENTIFIABLE","?REFERENTIAL"),"_")))))</f>
        <v> </v>
      </c>
      <c r="H5199" s="25" t="str">
        <f>IF(J5199&lt;&gt;1,"",IF(I5199="SBJ","CB","?"))</f>
        <v> </v>
      </c>
      <c r="I5199" s="26" t="str">
        <f>IF(OR(E5199="",E5199="!!!",F5199="NEW"),"",INDEX(B5198:B$2,-1+SUMPRODUCT(MAX(ROW(E5198:E$2)*(E5199=E5198:E$2)))))</f>
        <v> </v>
      </c>
      <c r="J5199" s="26" t="str">
        <f>IF(OR(E5199="",E5199="!!!",F5199="NEW"),"",COUNTBLANK(OFFSET(A$1,,,SUMPRODUCT(MAX(ROW(E$2:E5199)*(E5199=E$2:E5199)))))-COUNTBLANK(OFFSET(A$1,,,SUMPRODUCT(MAX(ROW(E$1:E5198)*(E2=E$1:E5198))))))</f>
        <v> </v>
      </c>
      <c r="K5199" s="26" t="str">
        <f>IF(OR(E5199="",E5199="!!!",F5199="NEW"),"",INDEX(J$1:J5198,SUMPRODUCT(MAX(ROW(E$1:E5198)*(E5199=E$1:E5198)))))</f>
        <v> </v>
      </c>
      <c r="L5199" s="27"/>
    </row>
    <row r="5200" spans="1:12">
      <c r="A5200" s="20" t="s">
        <v>1142</v>
      </c>
      <c r="E5200" s="22">
        <f>IF(D5200="?OLD","!!!","")</f>
        <v/>
      </c>
      <c r="F5200" s="23" t="str">
        <f>IF(OR(E5200="",E5200="!!!"),"",IF(NOT(ISNA(VLOOKUP(E5200,E$1:E5199,1,FALSE()))),"OLD",IF(AND(E5200&lt;&gt;"",E5200&lt;&gt;"!!!"),"NEW","")))</f>
        <v> </v>
      </c>
      <c r="G5200" s="24" t="str">
        <f>IF(OR(E5200="",E5200="!!!"),"",IF(OR(J5200=0,AND(J5200=1,K5200=1),AND(J5200=1,I5200="SBJ"),AND(J5200=1,I5200=0)),"?IN_FOCUS",IF(J5200&lt;=2,"?ACTIVATED",IF(J5200&lt;&gt;"","?FAMILIAR",IF(F5200="NEW",IF(ISNA(VLOOKUP(E5200,#REF!,1,FALSE())),"?TYPE_IDENTIFIABLE","?REFERENTIAL"),"_")))))</f>
        <v> </v>
      </c>
      <c r="H5200" s="25" t="str">
        <f>IF(J5200&lt;&gt;1,"",IF(I5200="SBJ","CB","?"))</f>
        <v> </v>
      </c>
      <c r="I5200" s="26" t="str">
        <f>IF(OR(E5200="",E5200="!!!",F5200="NEW"),"",INDEX(B5199:B$2,-1+SUMPRODUCT(MAX(ROW(E5199:E$2)*(E5200=E5199:E$2)))))</f>
        <v> </v>
      </c>
      <c r="J5200" s="26" t="str">
        <f>IF(OR(E5200="",E5200="!!!",F5200="NEW"),"",COUNTBLANK(OFFSET(A$1,,,SUMPRODUCT(MAX(ROW(E$2:E5200)*(E5200=E$2:E5200)))))-COUNTBLANK(OFFSET(A$1,,,SUMPRODUCT(MAX(ROW(E$1:E5199)*(E2=E$1:E5199))))))</f>
        <v> </v>
      </c>
      <c r="K5200" s="26" t="str">
        <f>IF(OR(E5200="",E5200="!!!",F5200="NEW"),"",INDEX(J$1:J5199,SUMPRODUCT(MAX(ROW(E$1:E5199)*(E5200=E$1:E5199)))))</f>
        <v> </v>
      </c>
      <c r="L5200" s="27"/>
    </row>
    <row r="5201" spans="1:12">
      <c r="A5201" s="20" t="s">
        <v>1133</v>
      </c>
      <c r="B5201" s="21" t="s">
        <v>1187</v>
      </c>
      <c r="C5201" s="21" t="s">
        <v>1082</v>
      </c>
      <c r="D5201" s="21" t="s">
        <v>1007</v>
      </c>
      <c r="E5201" s="22">
        <f>IF(D5201="?OLD","!!!","")</f>
        <v/>
      </c>
      <c r="F5201" s="23" t="str">
        <f>IF(OR(E5201="",E5201="!!!"),"",IF(NOT(ISNA(VLOOKUP(E5201,E$1:E5200,1,FALSE()))),"OLD",IF(AND(E5201&lt;&gt;"",E5201&lt;&gt;"!!!"),"NEW","")))</f>
        <v> </v>
      </c>
      <c r="G5201" s="24" t="str">
        <f>IF(OR(E5201="",E5201="!!!"),"",IF(OR(J5201=0,AND(J5201=1,K5201=1),AND(J5201=1,I5201="SBJ"),AND(J5201=1,I5201=0)),"?IN_FOCUS",IF(J5201&lt;=2,"?ACTIVATED",IF(J5201&lt;&gt;"","?FAMILIAR",IF(F5201="NEW",IF(ISNA(VLOOKUP(E5201,#REF!,1,FALSE())),"?TYPE_IDENTIFIABLE","?REFERENTIAL"),"_")))))</f>
        <v> </v>
      </c>
      <c r="H5201" s="25" t="str">
        <f>IF(J5201&lt;&gt;1,"",IF(I5201="SBJ","CB","?"))</f>
        <v> </v>
      </c>
      <c r="I5201" s="26" t="str">
        <f>IF(OR(E5201="",E5201="!!!",F5201="NEW"),"",INDEX(B5200:B$2,-1+SUMPRODUCT(MAX(ROW(E5200:E$2)*(E5201=E5200:E$2)))))</f>
        <v> </v>
      </c>
      <c r="J5201" s="26" t="str">
        <f>IF(OR(E5201="",E5201="!!!",F5201="NEW"),"",COUNTBLANK(OFFSET(A$1,,,SUMPRODUCT(MAX(ROW(E$2:E5201)*(E5201=E$2:E5201)))))-COUNTBLANK(OFFSET(A$1,,,SUMPRODUCT(MAX(ROW(E$1:E5200)*(E2=E$1:E5200))))))</f>
        <v> </v>
      </c>
      <c r="K5201" s="26" t="str">
        <f>IF(OR(E5201="",E5201="!!!",F5201="NEW"),"",INDEX(J$1:J5200,SUMPRODUCT(MAX(ROW(E$1:E5200)*(E5201=E$1:E5200)))))</f>
        <v> </v>
      </c>
      <c r="L5201" s="27"/>
    </row>
    <row r="5202" spans="1:12">
      <c r="A5202" s="20" t="s">
        <v>2431</v>
      </c>
      <c r="E5202" s="22">
        <f>IF(D5202="?OLD","!!!","")</f>
        <v/>
      </c>
      <c r="F5202" s="23" t="str">
        <f>IF(OR(E5202="",E5202="!!!"),"",IF(NOT(ISNA(VLOOKUP(E5202,E$1:E5201,1,FALSE()))),"OLD",IF(AND(E5202&lt;&gt;"",E5202&lt;&gt;"!!!"),"NEW","")))</f>
        <v> </v>
      </c>
      <c r="G5202" s="24" t="str">
        <f>IF(OR(E5202="",E5202="!!!"),"",IF(OR(J5202=0,AND(J5202=1,K5202=1),AND(J5202=1,I5202="SBJ"),AND(J5202=1,I5202=0)),"?IN_FOCUS",IF(J5202&lt;=2,"?ACTIVATED",IF(J5202&lt;&gt;"","?FAMILIAR",IF(F5202="NEW",IF(ISNA(VLOOKUP(E5202,#REF!,1,FALSE())),"?TYPE_IDENTIFIABLE","?REFERENTIAL"),"_")))))</f>
        <v> </v>
      </c>
      <c r="H5202" s="25" t="str">
        <f>IF(J5202&lt;&gt;1,"",IF(I5202="SBJ","CB","?"))</f>
        <v> </v>
      </c>
      <c r="I5202" s="26" t="str">
        <f>IF(OR(E5202="",E5202="!!!",F5202="NEW"),"",INDEX(B5201:B$2,-1+SUMPRODUCT(MAX(ROW(E5201:E$2)*(E5202=E5201:E$2)))))</f>
        <v> </v>
      </c>
      <c r="J5202" s="26" t="str">
        <f>IF(OR(E5202="",E5202="!!!",F5202="NEW"),"",COUNTBLANK(OFFSET(A$1,,,SUMPRODUCT(MAX(ROW(E$2:E5202)*(E5202=E$2:E5202)))))-COUNTBLANK(OFFSET(A$1,,,SUMPRODUCT(MAX(ROW(E$1:E5201)*(E2=E$1:E5201))))))</f>
        <v> </v>
      </c>
      <c r="K5202" s="26" t="str">
        <f>IF(OR(E5202="",E5202="!!!",F5202="NEW"),"",INDEX(J$1:J5201,SUMPRODUCT(MAX(ROW(E$1:E5201)*(E5202=E$1:E5201)))))</f>
        <v> </v>
      </c>
      <c r="L5202" s="27"/>
    </row>
    <row r="5203" spans="1:12">
      <c r="A5203" s="20" t="s">
        <v>2432</v>
      </c>
      <c r="E5203" s="22">
        <f>IF(D5203="?OLD","!!!","")</f>
        <v/>
      </c>
      <c r="F5203" s="23" t="str">
        <f>IF(OR(E5203="",E5203="!!!"),"",IF(NOT(ISNA(VLOOKUP(E5203,E$1:E5202,1,FALSE()))),"OLD",IF(AND(E5203&lt;&gt;"",E5203&lt;&gt;"!!!"),"NEW","")))</f>
        <v> </v>
      </c>
      <c r="G5203" s="24" t="str">
        <f>IF(OR(E5203="",E5203="!!!"),"",IF(OR(J5203=0,AND(J5203=1,K5203=1),AND(J5203=1,I5203="SBJ"),AND(J5203=1,I5203=0)),"?IN_FOCUS",IF(J5203&lt;=2,"?ACTIVATED",IF(J5203&lt;&gt;"","?FAMILIAR",IF(F5203="NEW",IF(ISNA(VLOOKUP(E5203,#REF!,1,FALSE())),"?TYPE_IDENTIFIABLE","?REFERENTIAL"),"_")))))</f>
        <v> </v>
      </c>
      <c r="H5203" s="25" t="str">
        <f>IF(J5203&lt;&gt;1,"",IF(I5203="SBJ","CB","?"))</f>
        <v> </v>
      </c>
      <c r="I5203" s="26" t="str">
        <f>IF(OR(E5203="",E5203="!!!",F5203="NEW"),"",INDEX(B5202:B$2,-1+SUMPRODUCT(MAX(ROW(E5202:E$2)*(E5203=E5202:E$2)))))</f>
        <v> </v>
      </c>
      <c r="J5203" s="26" t="str">
        <f>IF(OR(E5203="",E5203="!!!",F5203="NEW"),"",COUNTBLANK(OFFSET(A$1,,,SUMPRODUCT(MAX(ROW(E$2:E5203)*(E5203=E$2:E5203)))))-COUNTBLANK(OFFSET(A$1,,,SUMPRODUCT(MAX(ROW(E$1:E5202)*(E2=E$1:E5202))))))</f>
        <v> </v>
      </c>
      <c r="K5203" s="26" t="str">
        <f>IF(OR(E5203="",E5203="!!!",F5203="NEW"),"",INDEX(J$1:J5202,SUMPRODUCT(MAX(ROW(E$1:E5202)*(E5203=E$1:E5202)))))</f>
        <v> </v>
      </c>
      <c r="L5203" s="27"/>
    </row>
    <row r="5204" spans="1:12">
      <c r="A5204" s="20" t="s">
        <v>1020</v>
      </c>
      <c r="E5204" s="22">
        <f>IF(D5204="?OLD","!!!","")</f>
        <v/>
      </c>
      <c r="F5204" s="23" t="str">
        <f>IF(OR(E5204="",E5204="!!!"),"",IF(NOT(ISNA(VLOOKUP(E5204,E$1:E5203,1,FALSE()))),"OLD",IF(AND(E5204&lt;&gt;"",E5204&lt;&gt;"!!!"),"NEW","")))</f>
        <v> </v>
      </c>
      <c r="G5204" s="24" t="str">
        <f>IF(OR(E5204="",E5204="!!!"),"",IF(OR(J5204=0,AND(J5204=1,K5204=1),AND(J5204=1,I5204="SBJ"),AND(J5204=1,I5204=0)),"?IN_FOCUS",IF(J5204&lt;=2,"?ACTIVATED",IF(J5204&lt;&gt;"","?FAMILIAR",IF(F5204="NEW",IF(ISNA(VLOOKUP(E5204,#REF!,1,FALSE())),"?TYPE_IDENTIFIABLE","?REFERENTIAL"),"_")))))</f>
        <v> </v>
      </c>
      <c r="H5204" s="25" t="str">
        <f>IF(J5204&lt;&gt;1,"",IF(I5204="SBJ","CB","?"))</f>
        <v> </v>
      </c>
      <c r="I5204" s="26" t="str">
        <f>IF(OR(E5204="",E5204="!!!",F5204="NEW"),"",INDEX(B5203:B$2,-1+SUMPRODUCT(MAX(ROW(E5203:E$2)*(E5204=E5203:E$2)))))</f>
        <v> </v>
      </c>
      <c r="J5204" s="26" t="str">
        <f>IF(OR(E5204="",E5204="!!!",F5204="NEW"),"",COUNTBLANK(OFFSET(A$1,,,SUMPRODUCT(MAX(ROW(E$2:E5204)*(E5204=E$2:E5204)))))-COUNTBLANK(OFFSET(A$1,,,SUMPRODUCT(MAX(ROW(E$1:E5203)*(E2=E$1:E5203))))))</f>
        <v> </v>
      </c>
      <c r="K5204" s="26" t="str">
        <f>IF(OR(E5204="",E5204="!!!",F5204="NEW"),"",INDEX(J$1:J5203,SUMPRODUCT(MAX(ROW(E$1:E5203)*(E5204=E$1:E5203)))))</f>
        <v> </v>
      </c>
      <c r="L5204" s="27"/>
    </row>
    <row r="5205" spans="1:12">
      <c r="A5205" s="20" t="s">
        <v>1015</v>
      </c>
      <c r="E5205" s="22">
        <f>IF(D5205="?OLD","!!!","")</f>
        <v/>
      </c>
      <c r="F5205" s="23" t="str">
        <f>IF(OR(E5205="",E5205="!!!"),"",IF(NOT(ISNA(VLOOKUP(E5205,E$1:E5204,1,FALSE()))),"OLD",IF(AND(E5205&lt;&gt;"",E5205&lt;&gt;"!!!"),"NEW","")))</f>
        <v> </v>
      </c>
      <c r="G5205" s="24" t="str">
        <f>IF(OR(E5205="",E5205="!!!"),"",IF(OR(J5205=0,AND(J5205=1,K5205=1),AND(J5205=1,I5205="SBJ"),AND(J5205=1,I5205=0)),"?IN_FOCUS",IF(J5205&lt;=2,"?ACTIVATED",IF(J5205&lt;&gt;"","?FAMILIAR",IF(F5205="NEW",IF(ISNA(VLOOKUP(E5205,#REF!,1,FALSE())),"?TYPE_IDENTIFIABLE","?REFERENTIAL"),"_")))))</f>
        <v> </v>
      </c>
      <c r="H5205" s="25" t="str">
        <f>IF(J5205&lt;&gt;1,"",IF(I5205="SBJ","CB","?"))</f>
        <v> </v>
      </c>
      <c r="I5205" s="26" t="str">
        <f>IF(OR(E5205="",E5205="!!!",F5205="NEW"),"",INDEX(B5204:B$2,-1+SUMPRODUCT(MAX(ROW(E5204:E$2)*(E5205=E5204:E$2)))))</f>
        <v> </v>
      </c>
      <c r="J5205" s="26" t="str">
        <f>IF(OR(E5205="",E5205="!!!",F5205="NEW"),"",COUNTBLANK(OFFSET(A$1,,,SUMPRODUCT(MAX(ROW(E$2:E5205)*(E5205=E$2:E5205)))))-COUNTBLANK(OFFSET(A$1,,,SUMPRODUCT(MAX(ROW(E$1:E5204)*(E2=E$1:E5204))))))</f>
        <v> </v>
      </c>
      <c r="K5205" s="26" t="str">
        <f>IF(OR(E5205="",E5205="!!!",F5205="NEW"),"",INDEX(J$1:J5204,SUMPRODUCT(MAX(ROW(E$1:E5204)*(E5205=E$1:E5204)))))</f>
        <v> </v>
      </c>
      <c r="L5205" s="27"/>
    </row>
    <row r="5206" spans="1:12">
      <c r="A5206" s="20" t="s">
        <v>1758</v>
      </c>
      <c r="B5206" s="21" t="s">
        <v>1033</v>
      </c>
      <c r="C5206" s="21" t="s">
        <v>1017</v>
      </c>
      <c r="D5206" s="21" t="s">
        <v>1007</v>
      </c>
      <c r="E5206" s="22">
        <f>IF(D5206="?OLD","!!!","")</f>
        <v/>
      </c>
      <c r="F5206" s="23" t="str">
        <f>IF(OR(E5206="",E5206="!!!"),"",IF(NOT(ISNA(VLOOKUP(E5206,E$1:E5205,1,FALSE()))),"OLD",IF(AND(E5206&lt;&gt;"",E5206&lt;&gt;"!!!"),"NEW","")))</f>
        <v> </v>
      </c>
      <c r="G5206" s="24" t="str">
        <f>IF(OR(E5206="",E5206="!!!"),"",IF(OR(J5206=0,AND(J5206=1,K5206=1),AND(J5206=1,I5206="SBJ"),AND(J5206=1,I5206=0)),"?IN_FOCUS",IF(J5206&lt;=2,"?ACTIVATED",IF(J5206&lt;&gt;"","?FAMILIAR",IF(F5206="NEW",IF(ISNA(VLOOKUP(E5206,#REF!,1,FALSE())),"?TYPE_IDENTIFIABLE","?REFERENTIAL"),"_")))))</f>
        <v> </v>
      </c>
      <c r="H5206" s="25" t="str">
        <f>IF(J5206&lt;&gt;1,"",IF(I5206="SBJ","CB","?"))</f>
        <v> </v>
      </c>
      <c r="I5206" s="26" t="str">
        <f>IF(OR(E5206="",E5206="!!!",F5206="NEW"),"",INDEX(B5205:B$2,-1+SUMPRODUCT(MAX(ROW(E5205:E$2)*(E5206=E5205:E$2)))))</f>
        <v> </v>
      </c>
      <c r="J5206" s="26" t="str">
        <f>IF(OR(E5206="",E5206="!!!",F5206="NEW"),"",COUNTBLANK(OFFSET(A$1,,,SUMPRODUCT(MAX(ROW(E$2:E5206)*(E5206=E$2:E5206)))))-COUNTBLANK(OFFSET(A$1,,,SUMPRODUCT(MAX(ROW(E$1:E5205)*(E2=E$1:E5205))))))</f>
        <v> </v>
      </c>
      <c r="K5206" s="26" t="str">
        <f>IF(OR(E5206="",E5206="!!!",F5206="NEW"),"",INDEX(J$1:J5205,SUMPRODUCT(MAX(ROW(E$1:E5205)*(E5206=E$1:E5205)))))</f>
        <v> </v>
      </c>
      <c r="L5206" s="27"/>
    </row>
    <row r="5207" spans="1:12">
      <c r="A5207" s="20" t="s">
        <v>1018</v>
      </c>
      <c r="E5207" s="22">
        <f>IF(D5207="?OLD","!!!","")</f>
        <v/>
      </c>
      <c r="F5207" s="23" t="str">
        <f>IF(OR(E5207="",E5207="!!!"),"",IF(NOT(ISNA(VLOOKUP(E5207,E$1:E5206,1,FALSE()))),"OLD",IF(AND(E5207&lt;&gt;"",E5207&lt;&gt;"!!!"),"NEW","")))</f>
        <v> </v>
      </c>
      <c r="G5207" s="24" t="str">
        <f>IF(OR(E5207="",E5207="!!!"),"",IF(OR(J5207=0,AND(J5207=1,K5207=1),AND(J5207=1,I5207="SBJ"),AND(J5207=1,I5207=0)),"?IN_FOCUS",IF(J5207&lt;=2,"?ACTIVATED",IF(J5207&lt;&gt;"","?FAMILIAR",IF(F5207="NEW",IF(ISNA(VLOOKUP(E5207,#REF!,1,FALSE())),"?TYPE_IDENTIFIABLE","?REFERENTIAL"),"_")))))</f>
        <v> </v>
      </c>
      <c r="H5207" s="25" t="str">
        <f>IF(J5207&lt;&gt;1,"",IF(I5207="SBJ","CB","?"))</f>
        <v> </v>
      </c>
      <c r="I5207" s="26" t="str">
        <f>IF(OR(E5207="",E5207="!!!",F5207="NEW"),"",INDEX(B5206:B$2,-1+SUMPRODUCT(MAX(ROW(E5206:E$2)*(E5207=E5206:E$2)))))</f>
        <v> </v>
      </c>
      <c r="J5207" s="26" t="str">
        <f>IF(OR(E5207="",E5207="!!!",F5207="NEW"),"",COUNTBLANK(OFFSET(A$1,,,SUMPRODUCT(MAX(ROW(E$2:E5207)*(E5207=E$2:E5207)))))-COUNTBLANK(OFFSET(A$1,,,SUMPRODUCT(MAX(ROW(E$1:E5206)*(E2=E$1:E5206))))))</f>
        <v> </v>
      </c>
      <c r="K5207" s="26" t="str">
        <f>IF(OR(E5207="",E5207="!!!",F5207="NEW"),"",INDEX(J$1:J5206,SUMPRODUCT(MAX(ROW(E$1:E5206)*(E5207=E$1:E5206)))))</f>
        <v> </v>
      </c>
      <c r="L5207" s="27"/>
    </row>
    <row r="5208" spans="1:12">
      <c r="A5208" s="20" t="s">
        <v>2431</v>
      </c>
      <c r="E5208" s="22">
        <f>IF(D5208="?OLD","!!!","")</f>
        <v/>
      </c>
      <c r="F5208" s="23" t="str">
        <f>IF(OR(E5208="",E5208="!!!"),"",IF(NOT(ISNA(VLOOKUP(E5208,E$1:E5207,1,FALSE()))),"OLD",IF(AND(E5208&lt;&gt;"",E5208&lt;&gt;"!!!"),"NEW","")))</f>
        <v> </v>
      </c>
      <c r="G5208" s="24" t="str">
        <f>IF(OR(E5208="",E5208="!!!"),"",IF(OR(J5208=0,AND(J5208=1,K5208=1),AND(J5208=1,I5208="SBJ"),AND(J5208=1,I5208=0)),"?IN_FOCUS",IF(J5208&lt;=2,"?ACTIVATED",IF(J5208&lt;&gt;"","?FAMILIAR",IF(F5208="NEW",IF(ISNA(VLOOKUP(E5208,#REF!,1,FALSE())),"?TYPE_IDENTIFIABLE","?REFERENTIAL"),"_")))))</f>
        <v> </v>
      </c>
      <c r="H5208" s="25" t="str">
        <f>IF(J5208&lt;&gt;1,"",IF(I5208="SBJ","CB","?"))</f>
        <v> </v>
      </c>
      <c r="I5208" s="26" t="str">
        <f>IF(OR(E5208="",E5208="!!!",F5208="NEW"),"",INDEX(B5207:B$2,-1+SUMPRODUCT(MAX(ROW(E5207:E$2)*(E5208=E5207:E$2)))))</f>
        <v> </v>
      </c>
      <c r="J5208" s="26" t="str">
        <f>IF(OR(E5208="",E5208="!!!",F5208="NEW"),"",COUNTBLANK(OFFSET(A$1,,,SUMPRODUCT(MAX(ROW(E$2:E5208)*(E5208=E$2:E5208)))))-COUNTBLANK(OFFSET(A$1,,,SUMPRODUCT(MAX(ROW(E$1:E5207)*(E2=E$1:E5207))))))</f>
        <v> </v>
      </c>
      <c r="K5208" s="26" t="str">
        <f>IF(OR(E5208="",E5208="!!!",F5208="NEW"),"",INDEX(J$1:J5207,SUMPRODUCT(MAX(ROW(E$1:E5207)*(E5208=E$1:E5207)))))</f>
        <v> </v>
      </c>
      <c r="L5208" s="27"/>
    </row>
    <row r="5209" spans="1:12">
      <c r="A5209" s="20" t="s">
        <v>1133</v>
      </c>
      <c r="B5209" s="21" t="s">
        <v>1085</v>
      </c>
      <c r="C5209" s="21" t="s">
        <v>1082</v>
      </c>
      <c r="D5209" s="21" t="s">
        <v>1007</v>
      </c>
      <c r="E5209" s="22">
        <f>IF(D5209="?OLD","!!!","")</f>
        <v/>
      </c>
      <c r="F5209" s="23" t="str">
        <f>IF(OR(E5209="",E5209="!!!"),"",IF(NOT(ISNA(VLOOKUP(E5209,E$1:E5208,1,FALSE()))),"OLD",IF(AND(E5209&lt;&gt;"",E5209&lt;&gt;"!!!"),"NEW","")))</f>
        <v> </v>
      </c>
      <c r="G5209" s="24" t="str">
        <f>IF(OR(E5209="",E5209="!!!"),"",IF(OR(J5209=0,AND(J5209=1,K5209=1),AND(J5209=1,I5209="SBJ"),AND(J5209=1,I5209=0)),"?IN_FOCUS",IF(J5209&lt;=2,"?ACTIVATED",IF(J5209&lt;&gt;"","?FAMILIAR",IF(F5209="NEW",IF(ISNA(VLOOKUP(E5209,#REF!,1,FALSE())),"?TYPE_IDENTIFIABLE","?REFERENTIAL"),"_")))))</f>
        <v> </v>
      </c>
      <c r="H5209" s="25" t="str">
        <f>IF(J5209&lt;&gt;1,"",IF(I5209="SBJ","CB","?"))</f>
        <v> </v>
      </c>
      <c r="I5209" s="26" t="str">
        <f>IF(OR(E5209="",E5209="!!!",F5209="NEW"),"",INDEX(B5208:B$2,-1+SUMPRODUCT(MAX(ROW(E5208:E$2)*(E5209=E5208:E$2)))))</f>
        <v> </v>
      </c>
      <c r="J5209" s="26" t="str">
        <f>IF(OR(E5209="",E5209="!!!",F5209="NEW"),"",COUNTBLANK(OFFSET(A$1,,,SUMPRODUCT(MAX(ROW(E$2:E5209)*(E5209=E$2:E5209)))))-COUNTBLANK(OFFSET(A$1,,,SUMPRODUCT(MAX(ROW(E$1:E5208)*(E2=E$1:E5208))))))</f>
        <v> </v>
      </c>
      <c r="K5209" s="26" t="str">
        <f>IF(OR(E5209="",E5209="!!!",F5209="NEW"),"",INDEX(J$1:J5208,SUMPRODUCT(MAX(ROW(E$1:E5208)*(E5209=E$1:E5208)))))</f>
        <v> </v>
      </c>
      <c r="L5209" s="27"/>
    </row>
    <row r="5210" spans="1:12">
      <c r="A5210" s="20" t="s">
        <v>1020</v>
      </c>
      <c r="E5210" s="22">
        <f>IF(D5210="?OLD","!!!","")</f>
        <v/>
      </c>
      <c r="F5210" s="23" t="str">
        <f>IF(OR(E5210="",E5210="!!!"),"",IF(NOT(ISNA(VLOOKUP(E5210,E$1:E5209,1,FALSE()))),"OLD",IF(AND(E5210&lt;&gt;"",E5210&lt;&gt;"!!!"),"NEW","")))</f>
        <v> </v>
      </c>
      <c r="G5210" s="24" t="str">
        <f>IF(OR(E5210="",E5210="!!!"),"",IF(OR(J5210=0,AND(J5210=1,K5210=1),AND(J5210=1,I5210="SBJ"),AND(J5210=1,I5210=0)),"?IN_FOCUS",IF(J5210&lt;=2,"?ACTIVATED",IF(J5210&lt;&gt;"","?FAMILIAR",IF(F5210="NEW",IF(ISNA(VLOOKUP(E5210,#REF!,1,FALSE())),"?TYPE_IDENTIFIABLE","?REFERENTIAL"),"_")))))</f>
        <v> </v>
      </c>
      <c r="H5210" s="25" t="str">
        <f>IF(J5210&lt;&gt;1,"",IF(I5210="SBJ","CB","?"))</f>
        <v> </v>
      </c>
      <c r="I5210" s="26" t="str">
        <f>IF(OR(E5210="",E5210="!!!",F5210="NEW"),"",INDEX(B5209:B$2,-1+SUMPRODUCT(MAX(ROW(E5209:E$2)*(E5210=E5209:E$2)))))</f>
        <v> </v>
      </c>
      <c r="J5210" s="26" t="str">
        <f>IF(OR(E5210="",E5210="!!!",F5210="NEW"),"",COUNTBLANK(OFFSET(A$1,,,SUMPRODUCT(MAX(ROW(E$2:E5210)*(E5210=E$2:E5210)))))-COUNTBLANK(OFFSET(A$1,,,SUMPRODUCT(MAX(ROW(E$1:E5209)*(E2=E$1:E5209))))))</f>
        <v> </v>
      </c>
      <c r="K5210" s="26" t="str">
        <f>IF(OR(E5210="",E5210="!!!",F5210="NEW"),"",INDEX(J$1:J5209,SUMPRODUCT(MAX(ROW(E$1:E5209)*(E5210=E$1:E5209)))))</f>
        <v> </v>
      </c>
      <c r="L5210" s="27"/>
    </row>
    <row r="5211" spans="1:12">
      <c r="A5211" s="20" t="s">
        <v>1295</v>
      </c>
      <c r="E5211" s="22">
        <f>IF(D5211="?OLD","!!!","")</f>
        <v/>
      </c>
      <c r="F5211" s="23" t="str">
        <f>IF(OR(E5211="",E5211="!!!"),"",IF(NOT(ISNA(VLOOKUP(E5211,E$1:E5210,1,FALSE()))),"OLD",IF(AND(E5211&lt;&gt;"",E5211&lt;&gt;"!!!"),"NEW","")))</f>
        <v> </v>
      </c>
      <c r="G5211" s="24" t="str">
        <f>IF(OR(E5211="",E5211="!!!"),"",IF(OR(J5211=0,AND(J5211=1,K5211=1),AND(J5211=1,I5211="SBJ"),AND(J5211=1,I5211=0)),"?IN_FOCUS",IF(J5211&lt;=2,"?ACTIVATED",IF(J5211&lt;&gt;"","?FAMILIAR",IF(F5211="NEW",IF(ISNA(VLOOKUP(E5211,#REF!,1,FALSE())),"?TYPE_IDENTIFIABLE","?REFERENTIAL"),"_")))))</f>
        <v> </v>
      </c>
      <c r="H5211" s="25" t="str">
        <f>IF(J5211&lt;&gt;1,"",IF(I5211="SBJ","CB","?"))</f>
        <v> </v>
      </c>
      <c r="I5211" s="26" t="str">
        <f>IF(OR(E5211="",E5211="!!!",F5211="NEW"),"",INDEX(B5210:B$2,-1+SUMPRODUCT(MAX(ROW(E5210:E$2)*(E5211=E5210:E$2)))))</f>
        <v> </v>
      </c>
      <c r="J5211" s="26" t="str">
        <f>IF(OR(E5211="",E5211="!!!",F5211="NEW"),"",COUNTBLANK(OFFSET(A$1,,,SUMPRODUCT(MAX(ROW(E$2:E5211)*(E5211=E$2:E5211)))))-COUNTBLANK(OFFSET(A$1,,,SUMPRODUCT(MAX(ROW(E$1:E5210)*(E2=E$1:E5210))))))</f>
        <v> </v>
      </c>
      <c r="K5211" s="26" t="str">
        <f>IF(OR(E5211="",E5211="!!!",F5211="NEW"),"",INDEX(J$1:J5210,SUMPRODUCT(MAX(ROW(E$1:E5210)*(E5211=E$1:E5210)))))</f>
        <v> </v>
      </c>
      <c r="L5211" s="27"/>
    </row>
    <row r="5212" spans="1:12">
      <c r="A5212" s="20" t="s">
        <v>1027</v>
      </c>
      <c r="E5212" s="22">
        <f>IF(D5212="?OLD","!!!","")</f>
        <v/>
      </c>
      <c r="F5212" s="23" t="str">
        <f>IF(OR(E5212="",E5212="!!!"),"",IF(NOT(ISNA(VLOOKUP(E5212,E$1:E5211,1,FALSE()))),"OLD",IF(AND(E5212&lt;&gt;"",E5212&lt;&gt;"!!!"),"NEW","")))</f>
        <v> </v>
      </c>
      <c r="G5212" s="24" t="str">
        <f>IF(OR(E5212="",E5212="!!!"),"",IF(OR(J5212=0,AND(J5212=1,K5212=1),AND(J5212=1,I5212="SBJ"),AND(J5212=1,I5212=0)),"?IN_FOCUS",IF(J5212&lt;=2,"?ACTIVATED",IF(J5212&lt;&gt;"","?FAMILIAR",IF(F5212="NEW",IF(ISNA(VLOOKUP(E5212,#REF!,1,FALSE())),"?TYPE_IDENTIFIABLE","?REFERENTIAL"),"_")))))</f>
        <v> </v>
      </c>
      <c r="H5212" s="25" t="str">
        <f>IF(J5212&lt;&gt;1,"",IF(I5212="SBJ","CB","?"))</f>
        <v> </v>
      </c>
      <c r="I5212" s="26" t="str">
        <f>IF(OR(E5212="",E5212="!!!",F5212="NEW"),"",INDEX(B5211:B$2,-1+SUMPRODUCT(MAX(ROW(E5211:E$2)*(E5212=E5211:E$2)))))</f>
        <v> </v>
      </c>
      <c r="J5212" s="26" t="str">
        <f>IF(OR(E5212="",E5212="!!!",F5212="NEW"),"",COUNTBLANK(OFFSET(A$1,,,SUMPRODUCT(MAX(ROW(E$2:E5212)*(E5212=E$2:E5212)))))-COUNTBLANK(OFFSET(A$1,,,SUMPRODUCT(MAX(ROW(E$1:E5211)*(E2=E$1:E5211))))))</f>
        <v> </v>
      </c>
      <c r="K5212" s="26" t="str">
        <f>IF(OR(E5212="",E5212="!!!",F5212="NEW"),"",INDEX(J$1:J5211,SUMPRODUCT(MAX(ROW(E$1:E5211)*(E5212=E$1:E5211)))))</f>
        <v> </v>
      </c>
      <c r="L5212" s="27"/>
    </row>
    <row r="5213" spans="1:12">
      <c r="A5213" s="20" t="s">
        <v>1172</v>
      </c>
      <c r="B5213" s="21" t="s">
        <v>1085</v>
      </c>
      <c r="C5213" s="21" t="s">
        <v>1013</v>
      </c>
      <c r="D5213" s="21" t="s">
        <v>1007</v>
      </c>
      <c r="E5213" s="22">
        <f>IF(D5213="?OLD","!!!","")</f>
        <v/>
      </c>
      <c r="F5213" s="23" t="str">
        <f>IF(OR(E5213="",E5213="!!!"),"",IF(NOT(ISNA(VLOOKUP(E5213,E$1:E5212,1,FALSE()))),"OLD",IF(AND(E5213&lt;&gt;"",E5213&lt;&gt;"!!!"),"NEW","")))</f>
        <v> </v>
      </c>
      <c r="G5213" s="24" t="str">
        <f>IF(OR(E5213="",E5213="!!!"),"",IF(OR(J5213=0,AND(J5213=1,K5213=1),AND(J5213=1,I5213="SBJ"),AND(J5213=1,I5213=0)),"?IN_FOCUS",IF(J5213&lt;=2,"?ACTIVATED",IF(J5213&lt;&gt;"","?FAMILIAR",IF(F5213="NEW",IF(ISNA(VLOOKUP(E5213,#REF!,1,FALSE())),"?TYPE_IDENTIFIABLE","?REFERENTIAL"),"_")))))</f>
        <v> </v>
      </c>
      <c r="H5213" s="25" t="str">
        <f>IF(J5213&lt;&gt;1,"",IF(I5213="SBJ","CB","?"))</f>
        <v> </v>
      </c>
      <c r="I5213" s="26" t="str">
        <f>IF(OR(E5213="",E5213="!!!",F5213="NEW"),"",INDEX(B5212:B$2,-1+SUMPRODUCT(MAX(ROW(E5212:E$2)*(E5213=E5212:E$2)))))</f>
        <v> </v>
      </c>
      <c r="J5213" s="26" t="str">
        <f>IF(OR(E5213="",E5213="!!!",F5213="NEW"),"",COUNTBLANK(OFFSET(A$1,,,SUMPRODUCT(MAX(ROW(E$2:E5213)*(E5213=E$2:E5213)))))-COUNTBLANK(OFFSET(A$1,,,SUMPRODUCT(MAX(ROW(E$1:E5212)*(E2=E$1:E5212))))))</f>
        <v> </v>
      </c>
      <c r="K5213" s="26" t="str">
        <f>IF(OR(E5213="",E5213="!!!",F5213="NEW"),"",INDEX(J$1:J5212,SUMPRODUCT(MAX(ROW(E$1:E5212)*(E5213=E$1:E5212)))))</f>
        <v> </v>
      </c>
      <c r="L5213" s="27"/>
    </row>
    <row r="5214" spans="1:12">
      <c r="A5214" s="20" t="s">
        <v>1030</v>
      </c>
      <c r="E5214" s="22">
        <f>IF(D5214="?OLD","!!!","")</f>
        <v/>
      </c>
      <c r="F5214" s="23" t="str">
        <f>IF(OR(E5214="",E5214="!!!"),"",IF(NOT(ISNA(VLOOKUP(E5214,E$1:E5213,1,FALSE()))),"OLD",IF(AND(E5214&lt;&gt;"",E5214&lt;&gt;"!!!"),"NEW","")))</f>
        <v> </v>
      </c>
      <c r="G5214" s="24" t="str">
        <f>IF(OR(E5214="",E5214="!!!"),"",IF(OR(J5214=0,AND(J5214=1,K5214=1),AND(J5214=1,I5214="SBJ"),AND(J5214=1,I5214=0)),"?IN_FOCUS",IF(J5214&lt;=2,"?ACTIVATED",IF(J5214&lt;&gt;"","?FAMILIAR",IF(F5214="NEW",IF(ISNA(VLOOKUP(E5214,#REF!,1,FALSE())),"?TYPE_IDENTIFIABLE","?REFERENTIAL"),"_")))))</f>
        <v> </v>
      </c>
      <c r="H5214" s="25" t="str">
        <f>IF(J5214&lt;&gt;1,"",IF(I5214="SBJ","CB","?"))</f>
        <v> </v>
      </c>
      <c r="I5214" s="26" t="str">
        <f>IF(OR(E5214="",E5214="!!!",F5214="NEW"),"",INDEX(B5213:B$2,-1+SUMPRODUCT(MAX(ROW(E5213:E$2)*(E5214=E5213:E$2)))))</f>
        <v> </v>
      </c>
      <c r="J5214" s="26" t="str">
        <f>IF(OR(E5214="",E5214="!!!",F5214="NEW"),"",COUNTBLANK(OFFSET(A$1,,,SUMPRODUCT(MAX(ROW(E$2:E5214)*(E5214=E$2:E5214)))))-COUNTBLANK(OFFSET(A$1,,,SUMPRODUCT(MAX(ROW(E$1:E5213)*(E2=E$1:E5213))))))</f>
        <v> </v>
      </c>
      <c r="K5214" s="26" t="str">
        <f>IF(OR(E5214="",E5214="!!!",F5214="NEW"),"",INDEX(J$1:J5213,SUMPRODUCT(MAX(ROW(E$1:E5213)*(E5214=E$1:E5213)))))</f>
        <v> </v>
      </c>
      <c r="L5214" s="27"/>
    </row>
    <row r="5215" spans="1:12">
      <c r="A5215" s="20" t="s">
        <v>102</v>
      </c>
      <c r="E5215" s="22">
        <f>IF(D5215="?OLD","!!!","")</f>
        <v/>
      </c>
      <c r="F5215" s="23" t="str">
        <f>IF(OR(E5215="",E5215="!!!"),"",IF(NOT(ISNA(VLOOKUP(E5215,E$1:E5214,1,FALSE()))),"OLD",IF(AND(E5215&lt;&gt;"",E5215&lt;&gt;"!!!"),"NEW","")))</f>
        <v> </v>
      </c>
      <c r="G5215" s="24" t="str">
        <f>IF(OR(E5215="",E5215="!!!"),"",IF(OR(J5215=0,AND(J5215=1,K5215=1),AND(J5215=1,I5215="SBJ"),AND(J5215=1,I5215=0)),"?IN_FOCUS",IF(J5215&lt;=2,"?ACTIVATED",IF(J5215&lt;&gt;"","?FAMILIAR",IF(F5215="NEW",IF(ISNA(VLOOKUP(E5215,#REF!,1,FALSE())),"?TYPE_IDENTIFIABLE","?REFERENTIAL"),"_")))))</f>
        <v> </v>
      </c>
      <c r="H5215" s="25" t="str">
        <f>IF(J5215&lt;&gt;1,"",IF(I5215="SBJ","CB","?"))</f>
        <v> </v>
      </c>
      <c r="I5215" s="26" t="str">
        <f>IF(OR(E5215="",E5215="!!!",F5215="NEW"),"",INDEX(B5214:B$2,-1+SUMPRODUCT(MAX(ROW(E5214:E$2)*(E5215=E5214:E$2)))))</f>
        <v> </v>
      </c>
      <c r="J5215" s="26" t="str">
        <f>IF(OR(E5215="",E5215="!!!",F5215="NEW"),"",COUNTBLANK(OFFSET(A$1,,,SUMPRODUCT(MAX(ROW(E$2:E5215)*(E5215=E$2:E5215)))))-COUNTBLANK(OFFSET(A$1,,,SUMPRODUCT(MAX(ROW(E$1:E5214)*(E2=E$1:E5214))))))</f>
        <v> </v>
      </c>
      <c r="K5215" s="26" t="str">
        <f>IF(OR(E5215="",E5215="!!!",F5215="NEW"),"",INDEX(J$1:J5214,SUMPRODUCT(MAX(ROW(E$1:E5214)*(E5215=E$1:E5214)))))</f>
        <v> </v>
      </c>
      <c r="L5215" s="27"/>
    </row>
    <row r="5216" spans="1:12">
      <c r="A5216" s="20" t="s">
        <v>1156</v>
      </c>
      <c r="B5216" s="21" t="s">
        <v>1022</v>
      </c>
      <c r="C5216" s="21" t="s">
        <v>1017</v>
      </c>
      <c r="D5216" s="21" t="s">
        <v>1007</v>
      </c>
      <c r="E5216" s="22">
        <f>IF(D5216="?OLD","!!!","")</f>
        <v/>
      </c>
      <c r="F5216" s="23" t="str">
        <f>IF(OR(E5216="",E5216="!!!"),"",IF(NOT(ISNA(VLOOKUP(E5216,E$1:E5215,1,FALSE()))),"OLD",IF(AND(E5216&lt;&gt;"",E5216&lt;&gt;"!!!"),"NEW","")))</f>
        <v> </v>
      </c>
      <c r="G5216" s="24" t="str">
        <f>IF(OR(E5216="",E5216="!!!"),"",IF(OR(J5216=0,AND(J5216=1,K5216=1),AND(J5216=1,I5216="SBJ"),AND(J5216=1,I5216=0)),"?IN_FOCUS",IF(J5216&lt;=2,"?ACTIVATED",IF(J5216&lt;&gt;"","?FAMILIAR",IF(F5216="NEW",IF(ISNA(VLOOKUP(E5216,#REF!,1,FALSE())),"?TYPE_IDENTIFIABLE","?REFERENTIAL"),"_")))))</f>
        <v> </v>
      </c>
      <c r="H5216" s="25" t="str">
        <f>IF(J5216&lt;&gt;1,"",IF(I5216="SBJ","CB","?"))</f>
        <v> </v>
      </c>
      <c r="I5216" s="26" t="str">
        <f>IF(OR(E5216="",E5216="!!!",F5216="NEW"),"",INDEX(B5215:B$2,-1+SUMPRODUCT(MAX(ROW(E5215:E$2)*(E5216=E5215:E$2)))))</f>
        <v> </v>
      </c>
      <c r="J5216" s="26" t="str">
        <f>IF(OR(E5216="",E5216="!!!",F5216="NEW"),"",COUNTBLANK(OFFSET(A$1,,,SUMPRODUCT(MAX(ROW(E$2:E5216)*(E5216=E$2:E5216)))))-COUNTBLANK(OFFSET(A$1,,,SUMPRODUCT(MAX(ROW(E$1:E5215)*(E2=E$1:E5215))))))</f>
        <v> </v>
      </c>
      <c r="K5216" s="26" t="str">
        <f>IF(OR(E5216="",E5216="!!!",F5216="NEW"),"",INDEX(J$1:J5215,SUMPRODUCT(MAX(ROW(E$1:E5215)*(E5216=E$1:E5215)))))</f>
        <v> </v>
      </c>
      <c r="L5216" s="27"/>
    </row>
    <row r="5217" spans="1:12">
      <c r="A5217" s="20" t="s">
        <v>1436</v>
      </c>
      <c r="E5217" s="22">
        <f>IF(D5217="?OLD","!!!","")</f>
        <v/>
      </c>
      <c r="F5217" s="23" t="str">
        <f>IF(OR(E5217="",E5217="!!!"),"",IF(NOT(ISNA(VLOOKUP(E5217,E$1:E5216,1,FALSE()))),"OLD",IF(AND(E5217&lt;&gt;"",E5217&lt;&gt;"!!!"),"NEW","")))</f>
        <v> </v>
      </c>
      <c r="G5217" s="24" t="str">
        <f>IF(OR(E5217="",E5217="!!!"),"",IF(OR(J5217=0,AND(J5217=1,K5217=1),AND(J5217=1,I5217="SBJ"),AND(J5217=1,I5217=0)),"?IN_FOCUS",IF(J5217&lt;=2,"?ACTIVATED",IF(J5217&lt;&gt;"","?FAMILIAR",IF(F5217="NEW",IF(ISNA(VLOOKUP(E5217,#REF!,1,FALSE())),"?TYPE_IDENTIFIABLE","?REFERENTIAL"),"_")))))</f>
        <v> </v>
      </c>
      <c r="H5217" s="25" t="str">
        <f>IF(J5217&lt;&gt;1,"",IF(I5217="SBJ","CB","?"))</f>
        <v> </v>
      </c>
      <c r="I5217" s="26" t="str">
        <f>IF(OR(E5217="",E5217="!!!",F5217="NEW"),"",INDEX(B5216:B$2,-1+SUMPRODUCT(MAX(ROW(E5216:E$2)*(E5217=E5216:E$2)))))</f>
        <v> </v>
      </c>
      <c r="J5217" s="26" t="str">
        <f>IF(OR(E5217="",E5217="!!!",F5217="NEW"),"",COUNTBLANK(OFFSET(A$1,,,SUMPRODUCT(MAX(ROW(E$2:E5217)*(E5217=E$2:E5217)))))-COUNTBLANK(OFFSET(A$1,,,SUMPRODUCT(MAX(ROW(E$1:E5216)*(E2=E$1:E5216))))))</f>
        <v> </v>
      </c>
      <c r="K5217" s="26" t="str">
        <f>IF(OR(E5217="",E5217="!!!",F5217="NEW"),"",INDEX(J$1:J5216,SUMPRODUCT(MAX(ROW(E$1:E5216)*(E5217=E$1:E5216)))))</f>
        <v> </v>
      </c>
      <c r="L5217" s="27"/>
    </row>
    <row r="5218" spans="1:12">
      <c r="A5218" s="20" t="s">
        <v>1142</v>
      </c>
      <c r="E5218" s="22">
        <f>IF(D5218="?OLD","!!!","")</f>
        <v/>
      </c>
      <c r="F5218" s="23" t="str">
        <f>IF(OR(E5218="",E5218="!!!"),"",IF(NOT(ISNA(VLOOKUP(E5218,E$1:E5217,1,FALSE()))),"OLD",IF(AND(E5218&lt;&gt;"",E5218&lt;&gt;"!!!"),"NEW","")))</f>
        <v> </v>
      </c>
      <c r="G5218" s="24" t="str">
        <f>IF(OR(E5218="",E5218="!!!"),"",IF(OR(J5218=0,AND(J5218=1,K5218=1),AND(J5218=1,I5218="SBJ"),AND(J5218=1,I5218=0)),"?IN_FOCUS",IF(J5218&lt;=2,"?ACTIVATED",IF(J5218&lt;&gt;"","?FAMILIAR",IF(F5218="NEW",IF(ISNA(VLOOKUP(E5218,#REF!,1,FALSE())),"?TYPE_IDENTIFIABLE","?REFERENTIAL"),"_")))))</f>
        <v> </v>
      </c>
      <c r="H5218" s="25" t="str">
        <f>IF(J5218&lt;&gt;1,"",IF(I5218="SBJ","CB","?"))</f>
        <v> </v>
      </c>
      <c r="I5218" s="26" t="str">
        <f>IF(OR(E5218="",E5218="!!!",F5218="NEW"),"",INDEX(B5217:B$2,-1+SUMPRODUCT(MAX(ROW(E5217:E$2)*(E5218=E5217:E$2)))))</f>
        <v> </v>
      </c>
      <c r="J5218" s="26" t="str">
        <f>IF(OR(E5218="",E5218="!!!",F5218="NEW"),"",COUNTBLANK(OFFSET(A$1,,,SUMPRODUCT(MAX(ROW(E$2:E5218)*(E5218=E$2:E5218)))))-COUNTBLANK(OFFSET(A$1,,,SUMPRODUCT(MAX(ROW(E$1:E5217)*(E2=E$1:E5217))))))</f>
        <v> </v>
      </c>
      <c r="K5218" s="26" t="str">
        <f>IF(OR(E5218="",E5218="!!!",F5218="NEW"),"",INDEX(J$1:J5217,SUMPRODUCT(MAX(ROW(E$1:E5217)*(E5218=E$1:E5217)))))</f>
        <v> </v>
      </c>
      <c r="L5218" s="27"/>
    </row>
    <row r="5219" spans="1:12">
      <c r="A5219" s="20" t="s">
        <v>1164</v>
      </c>
      <c r="E5219" s="22">
        <f>IF(D5219="?OLD","!!!","")</f>
        <v/>
      </c>
      <c r="F5219" s="23" t="str">
        <f>IF(OR(E5219="",E5219="!!!"),"",IF(NOT(ISNA(VLOOKUP(E5219,E$1:E5218,1,FALSE()))),"OLD",IF(AND(E5219&lt;&gt;"",E5219&lt;&gt;"!!!"),"NEW","")))</f>
        <v> </v>
      </c>
      <c r="G5219" s="24" t="str">
        <f>IF(OR(E5219="",E5219="!!!"),"",IF(OR(J5219=0,AND(J5219=1,K5219=1),AND(J5219=1,I5219="SBJ"),AND(J5219=1,I5219=0)),"?IN_FOCUS",IF(J5219&lt;=2,"?ACTIVATED",IF(J5219&lt;&gt;"","?FAMILIAR",IF(F5219="NEW",IF(ISNA(VLOOKUP(E5219,#REF!,1,FALSE())),"?TYPE_IDENTIFIABLE","?REFERENTIAL"),"_")))))</f>
        <v> </v>
      </c>
      <c r="H5219" s="25" t="str">
        <f>IF(J5219&lt;&gt;1,"",IF(I5219="SBJ","CB","?"))</f>
        <v> </v>
      </c>
      <c r="I5219" s="26" t="str">
        <f>IF(OR(E5219="",E5219="!!!",F5219="NEW"),"",INDEX(B5218:B$2,-1+SUMPRODUCT(MAX(ROW(E5218:E$2)*(E5219=E5218:E$2)))))</f>
        <v> </v>
      </c>
      <c r="J5219" s="26" t="str">
        <f>IF(OR(E5219="",E5219="!!!",F5219="NEW"),"",COUNTBLANK(OFFSET(A$1,,,SUMPRODUCT(MAX(ROW(E$2:E5219)*(E5219=E$2:E5219)))))-COUNTBLANK(OFFSET(A$1,,,SUMPRODUCT(MAX(ROW(E$1:E5218)*(E2=E$1:E5218))))))</f>
        <v> </v>
      </c>
      <c r="K5219" s="26" t="str">
        <f>IF(OR(E5219="",E5219="!!!",F5219="NEW"),"",INDEX(J$1:J5218,SUMPRODUCT(MAX(ROW(E$1:E5218)*(E5219=E$1:E5218)))))</f>
        <v> </v>
      </c>
      <c r="L5219" s="27"/>
    </row>
    <row r="5220" spans="1:12">
      <c r="A5220" s="20" t="s">
        <v>1324</v>
      </c>
      <c r="E5220" s="22">
        <f>IF(D5220="?OLD","!!!","")</f>
        <v/>
      </c>
      <c r="F5220" s="23" t="str">
        <f>IF(OR(E5220="",E5220="!!!"),"",IF(NOT(ISNA(VLOOKUP(E5220,E$1:E5219,1,FALSE()))),"OLD",IF(AND(E5220&lt;&gt;"",E5220&lt;&gt;"!!!"),"NEW","")))</f>
        <v> </v>
      </c>
      <c r="G5220" s="24" t="str">
        <f>IF(OR(E5220="",E5220="!!!"),"",IF(OR(J5220=0,AND(J5220=1,K5220=1),AND(J5220=1,I5220="SBJ"),AND(J5220=1,I5220=0)),"?IN_FOCUS",IF(J5220&lt;=2,"?ACTIVATED",IF(J5220&lt;&gt;"","?FAMILIAR",IF(F5220="NEW",IF(ISNA(VLOOKUP(E5220,#REF!,1,FALSE())),"?TYPE_IDENTIFIABLE","?REFERENTIAL"),"_")))))</f>
        <v> </v>
      </c>
      <c r="H5220" s="25" t="str">
        <f>IF(J5220&lt;&gt;1,"",IF(I5220="SBJ","CB","?"))</f>
        <v> </v>
      </c>
      <c r="I5220" s="26" t="str">
        <f>IF(OR(E5220="",E5220="!!!",F5220="NEW"),"",INDEX(B5219:B$2,-1+SUMPRODUCT(MAX(ROW(E5219:E$2)*(E5220=E5219:E$2)))))</f>
        <v> </v>
      </c>
      <c r="J5220" s="26" t="str">
        <f>IF(OR(E5220="",E5220="!!!",F5220="NEW"),"",COUNTBLANK(OFFSET(A$1,,,SUMPRODUCT(MAX(ROW(E$2:E5220)*(E5220=E$2:E5220)))))-COUNTBLANK(OFFSET(A$1,,,SUMPRODUCT(MAX(ROW(E$1:E5219)*(E2=E$1:E5219))))))</f>
        <v> </v>
      </c>
      <c r="K5220" s="26" t="str">
        <f>IF(OR(E5220="",E5220="!!!",F5220="NEW"),"",INDEX(J$1:J5219,SUMPRODUCT(MAX(ROW(E$1:E5219)*(E5220=E$1:E5219)))))</f>
        <v> </v>
      </c>
      <c r="L5220" s="27"/>
    </row>
    <row r="5221" spans="1:12">
      <c r="A5221" s="20" t="s">
        <v>1144</v>
      </c>
      <c r="B5221" s="21" t="s">
        <v>1005</v>
      </c>
      <c r="C5221" s="21" t="s">
        <v>1111</v>
      </c>
      <c r="E5221" s="22">
        <f>IF(D5221="?OLD","!!!","")</f>
        <v/>
      </c>
      <c r="F5221" s="23" t="str">
        <f>IF(OR(E5221="",E5221="!!!"),"",IF(NOT(ISNA(VLOOKUP(E5221,E$1:E5220,1,FALSE()))),"OLD",IF(AND(E5221&lt;&gt;"",E5221&lt;&gt;"!!!"),"NEW","")))</f>
        <v> </v>
      </c>
      <c r="G5221" s="24" t="str">
        <f>IF(OR(E5221="",E5221="!!!"),"",IF(OR(J5221=0,AND(J5221=1,K5221=1),AND(J5221=1,I5221="SBJ"),AND(J5221=1,I5221=0)),"?IN_FOCUS",IF(J5221&lt;=2,"?ACTIVATED",IF(J5221&lt;&gt;"","?FAMILIAR",IF(F5221="NEW",IF(ISNA(VLOOKUP(E5221,#REF!,1,FALSE())),"?TYPE_IDENTIFIABLE","?REFERENTIAL"),"_")))))</f>
        <v> </v>
      </c>
      <c r="H5221" s="25" t="str">
        <f>IF(J5221&lt;&gt;1,"",IF(I5221="SBJ","CB","?"))</f>
        <v> </v>
      </c>
      <c r="I5221" s="26" t="str">
        <f>IF(OR(E5221="",E5221="!!!",F5221="NEW"),"",INDEX(B5220:B$2,-1+SUMPRODUCT(MAX(ROW(E5220:E$2)*(E5221=E5220:E$2)))))</f>
        <v> </v>
      </c>
      <c r="J5221" s="26" t="str">
        <f>IF(OR(E5221="",E5221="!!!",F5221="NEW"),"",COUNTBLANK(OFFSET(A$1,,,SUMPRODUCT(MAX(ROW(E$2:E5221)*(E5221=E$2:E5221)))))-COUNTBLANK(OFFSET(A$1,,,SUMPRODUCT(MAX(ROW(E$1:E5220)*(E2=E$1:E5220))))))</f>
        <v> </v>
      </c>
      <c r="K5221" s="26" t="str">
        <f>IF(OR(E5221="",E5221="!!!",F5221="NEW"),"",INDEX(J$1:J5220,SUMPRODUCT(MAX(ROW(E$1:E5220)*(E5221=E$1:E5220)))))</f>
        <v> </v>
      </c>
      <c r="L5221" s="27"/>
    </row>
    <row r="5222" spans="1:12">
      <c r="A5222" s="20" t="s">
        <v>2433</v>
      </c>
      <c r="E5222" s="22">
        <f>IF(D5222="?OLD","!!!","")</f>
        <v/>
      </c>
      <c r="F5222" s="23" t="str">
        <f>IF(OR(E5222="",E5222="!!!"),"",IF(NOT(ISNA(VLOOKUP(E5222,E$1:E5221,1,FALSE()))),"OLD",IF(AND(E5222&lt;&gt;"",E5222&lt;&gt;"!!!"),"NEW","")))</f>
        <v> </v>
      </c>
      <c r="G5222" s="24" t="str">
        <f>IF(OR(E5222="",E5222="!!!"),"",IF(OR(J5222=0,AND(J5222=1,K5222=1),AND(J5222=1,I5222="SBJ"),AND(J5222=1,I5222=0)),"?IN_FOCUS",IF(J5222&lt;=2,"?ACTIVATED",IF(J5222&lt;&gt;"","?FAMILIAR",IF(F5222="NEW",IF(ISNA(VLOOKUP(E5222,#REF!,1,FALSE())),"?TYPE_IDENTIFIABLE","?REFERENTIAL"),"_")))))</f>
        <v> </v>
      </c>
      <c r="H5222" s="25" t="str">
        <f>IF(J5222&lt;&gt;1,"",IF(I5222="SBJ","CB","?"))</f>
        <v> </v>
      </c>
      <c r="I5222" s="26" t="str">
        <f>IF(OR(E5222="",E5222="!!!",F5222="NEW"),"",INDEX(B5221:B$2,-1+SUMPRODUCT(MAX(ROW(E5221:E$2)*(E5222=E5221:E$2)))))</f>
        <v> </v>
      </c>
      <c r="J5222" s="26" t="str">
        <f>IF(OR(E5222="",E5222="!!!",F5222="NEW"),"",COUNTBLANK(OFFSET(A$1,,,SUMPRODUCT(MAX(ROW(E$2:E5222)*(E5222=E$2:E5222)))))-COUNTBLANK(OFFSET(A$1,,,SUMPRODUCT(MAX(ROW(E$1:E5221)*(E2=E$1:E5221))))))</f>
        <v> </v>
      </c>
      <c r="K5222" s="26" t="str">
        <f>IF(OR(E5222="",E5222="!!!",F5222="NEW"),"",INDEX(J$1:J5221,SUMPRODUCT(MAX(ROW(E$1:E5221)*(E5222=E$1:E5221)))))</f>
        <v> </v>
      </c>
      <c r="L5222" s="27"/>
    </row>
    <row r="5223" spans="1:12">
      <c r="A5223" s="20" t="s">
        <v>1023</v>
      </c>
      <c r="E5223" s="22">
        <f>IF(D5223="?OLD","!!!","")</f>
        <v/>
      </c>
      <c r="F5223" s="23" t="str">
        <f>IF(OR(E5223="",E5223="!!!"),"",IF(NOT(ISNA(VLOOKUP(E5223,E$1:E5222,1,FALSE()))),"OLD",IF(AND(E5223&lt;&gt;"",E5223&lt;&gt;"!!!"),"NEW","")))</f>
        <v> </v>
      </c>
      <c r="G5223" s="24" t="str">
        <f>IF(OR(E5223="",E5223="!!!"),"",IF(OR(J5223=0,AND(J5223=1,K5223=1),AND(J5223=1,I5223="SBJ"),AND(J5223=1,I5223=0)),"?IN_FOCUS",IF(J5223&lt;=2,"?ACTIVATED",IF(J5223&lt;&gt;"","?FAMILIAR",IF(F5223="NEW",IF(ISNA(VLOOKUP(E5223,#REF!,1,FALSE())),"?TYPE_IDENTIFIABLE","?REFERENTIAL"),"_")))))</f>
        <v> </v>
      </c>
      <c r="H5223" s="25" t="str">
        <f>IF(J5223&lt;&gt;1,"",IF(I5223="SBJ","CB","?"))</f>
        <v> </v>
      </c>
      <c r="I5223" s="26" t="str">
        <f>IF(OR(E5223="",E5223="!!!",F5223="NEW"),"",INDEX(B5222:B$2,-1+SUMPRODUCT(MAX(ROW(E5222:E$2)*(E5223=E5222:E$2)))))</f>
        <v> </v>
      </c>
      <c r="J5223" s="26" t="str">
        <f>IF(OR(E5223="",E5223="!!!",F5223="NEW"),"",COUNTBLANK(OFFSET(A$1,,,SUMPRODUCT(MAX(ROW(E$2:E5223)*(E5223=E$2:E5223)))))-COUNTBLANK(OFFSET(A$1,,,SUMPRODUCT(MAX(ROW(E$1:E5222)*(E2=E$1:E5222))))))</f>
        <v> </v>
      </c>
      <c r="K5223" s="26" t="str">
        <f>IF(OR(E5223="",E5223="!!!",F5223="NEW"),"",INDEX(J$1:J5222,SUMPRODUCT(MAX(ROW(E$1:E5222)*(E5223=E$1:E5222)))))</f>
        <v> </v>
      </c>
      <c r="L5223" s="27"/>
    </row>
    <row r="5224" spans="1:12">
      <c r="A5224" s="20"/>
    </row>
    <row r="5225" spans="1:12">
      <c r="A5225" s="20" t="s">
        <v>2434</v>
      </c>
    </row>
    <row r="5226" spans="1:12">
      <c r="A5226" s="20" t="s">
        <v>2099</v>
      </c>
      <c r="E5226" s="22">
        <f>IF(D5226="?OLD","!!!","")</f>
        <v/>
      </c>
      <c r="F5226" s="23" t="str">
        <f>IF(OR(E5226="",E5226="!!!"),"",IF(NOT(ISNA(VLOOKUP(E5226,E$1:E5225,1,FALSE()))),"OLD",IF(AND(E5226&lt;&gt;"",E5226&lt;&gt;"!!!"),"NEW","")))</f>
        <v> </v>
      </c>
      <c r="G5226" s="24" t="str">
        <f>IF(OR(E5226="",E5226="!!!"),"",IF(OR(J5226=0,AND(J5226=1,K5226=1),AND(J5226=1,I5226="SBJ"),AND(J5226=1,I5226=0)),"?IN_FOCUS",IF(J5226&lt;=2,"?ACTIVATED",IF(J5226&lt;&gt;"","?FAMILIAR",IF(F5226="NEW",IF(ISNA(VLOOKUP(E5226,#REF!,1,FALSE())),"?TYPE_IDENTIFIABLE","?REFERENTIAL"),"_")))))</f>
        <v> </v>
      </c>
      <c r="H5226" s="25" t="str">
        <f>IF(J5226&lt;&gt;1,"",IF(I5226="SBJ","CB","?"))</f>
        <v> </v>
      </c>
      <c r="I5226" s="26" t="str">
        <f>IF(OR(E5226="",E5226="!!!",F5226="NEW"),"",INDEX(B5225:B$2,-1+SUMPRODUCT(MAX(ROW(E5225:E$2)*(E5226=E5225:E$2)))))</f>
        <v> </v>
      </c>
      <c r="J5226" s="26" t="str">
        <f>IF(OR(E5226="",E5226="!!!",F5226="NEW"),"",COUNTBLANK(OFFSET(A$1,,,SUMPRODUCT(MAX(ROW(E$2:E5226)*(E5226=E$2:E5226)))))-COUNTBLANK(OFFSET(A$1,,,SUMPRODUCT(MAX(ROW(E$1:E5225)*(E2=E$1:E5225))))))</f>
        <v> </v>
      </c>
      <c r="K5226" s="26" t="str">
        <f>IF(OR(E5226="",E5226="!!!",F5226="NEW"),"",INDEX(J$1:J5225,SUMPRODUCT(MAX(ROW(E$1:E5225)*(E5226=E$1:E5225)))))</f>
        <v> </v>
      </c>
      <c r="L5226" s="27"/>
    </row>
    <row r="5227" spans="1:12">
      <c r="A5227" s="20" t="s">
        <v>1063</v>
      </c>
      <c r="B5227" s="21" t="s">
        <v>1005</v>
      </c>
      <c r="C5227" s="21" t="s">
        <v>1048</v>
      </c>
      <c r="E5227" s="22">
        <f>IF(D5227="?OLD","!!!","")</f>
        <v/>
      </c>
      <c r="F5227" s="23" t="str">
        <f>IF(OR(E5227="",E5227="!!!"),"",IF(NOT(ISNA(VLOOKUP(E5227,E$1:E5226,1,FALSE()))),"OLD",IF(AND(E5227&lt;&gt;"",E5227&lt;&gt;"!!!"),"NEW","")))</f>
        <v> </v>
      </c>
      <c r="G5227" s="24" t="str">
        <f>IF(OR(E5227="",E5227="!!!"),"",IF(OR(J5227=0,AND(J5227=1,K5227=1),AND(J5227=1,I5227="SBJ"),AND(J5227=1,I5227=0)),"?IN_FOCUS",IF(J5227&lt;=2,"?ACTIVATED",IF(J5227&lt;&gt;"","?FAMILIAR",IF(F5227="NEW",IF(ISNA(VLOOKUP(E5227,#REF!,1,FALSE())),"?TYPE_IDENTIFIABLE","?REFERENTIAL"),"_")))))</f>
        <v> </v>
      </c>
      <c r="H5227" s="25" t="str">
        <f>IF(J5227&lt;&gt;1,"",IF(I5227="SBJ","CB","?"))</f>
        <v> </v>
      </c>
      <c r="I5227" s="26" t="str">
        <f>IF(OR(E5227="",E5227="!!!",F5227="NEW"),"",INDEX(B5226:B$2,-1+SUMPRODUCT(MAX(ROW(E5226:E$2)*(E5227=E5226:E$2)))))</f>
        <v> </v>
      </c>
      <c r="J5227" s="26" t="str">
        <f>IF(OR(E5227="",E5227="!!!",F5227="NEW"),"",COUNTBLANK(OFFSET(A$1,,,SUMPRODUCT(MAX(ROW(E$2:E5227)*(E5227=E$2:E5227)))))-COUNTBLANK(OFFSET(A$1,,,SUMPRODUCT(MAX(ROW(E$1:E5226)*(E2=E$1:E5226))))))</f>
        <v> </v>
      </c>
      <c r="K5227" s="26" t="str">
        <f>IF(OR(E5227="",E5227="!!!",F5227="NEW"),"",INDEX(J$1:J5226,SUMPRODUCT(MAX(ROW(E$1:E5226)*(E5227=E$1:E5226)))))</f>
        <v> </v>
      </c>
      <c r="L5227" s="27"/>
    </row>
    <row r="5228" spans="1:12">
      <c r="A5228" s="20" t="s">
        <v>1030</v>
      </c>
      <c r="E5228" s="22">
        <f>IF(D5228="?OLD","!!!","")</f>
        <v/>
      </c>
      <c r="F5228" s="23" t="str">
        <f>IF(OR(E5228="",E5228="!!!"),"",IF(NOT(ISNA(VLOOKUP(E5228,E$1:E5227,1,FALSE()))),"OLD",IF(AND(E5228&lt;&gt;"",E5228&lt;&gt;"!!!"),"NEW","")))</f>
        <v> </v>
      </c>
      <c r="G5228" s="24" t="str">
        <f>IF(OR(E5228="",E5228="!!!"),"",IF(OR(J5228=0,AND(J5228=1,K5228=1),AND(J5228=1,I5228="SBJ"),AND(J5228=1,I5228=0)),"?IN_FOCUS",IF(J5228&lt;=2,"?ACTIVATED",IF(J5228&lt;&gt;"","?FAMILIAR",IF(F5228="NEW",IF(ISNA(VLOOKUP(E5228,#REF!,1,FALSE())),"?TYPE_IDENTIFIABLE","?REFERENTIAL"),"_")))))</f>
        <v> </v>
      </c>
      <c r="H5228" s="25" t="str">
        <f>IF(J5228&lt;&gt;1,"",IF(I5228="SBJ","CB","?"))</f>
        <v> </v>
      </c>
      <c r="I5228" s="26" t="str">
        <f>IF(OR(E5228="",E5228="!!!",F5228="NEW"),"",INDEX(B5227:B$2,-1+SUMPRODUCT(MAX(ROW(E5227:E$2)*(E5228=E5227:E$2)))))</f>
        <v> </v>
      </c>
      <c r="J5228" s="26" t="str">
        <f>IF(OR(E5228="",E5228="!!!",F5228="NEW"),"",COUNTBLANK(OFFSET(A$1,,,SUMPRODUCT(MAX(ROW(E$2:E5228)*(E5228=E$2:E5228)))))-COUNTBLANK(OFFSET(A$1,,,SUMPRODUCT(MAX(ROW(E$1:E5227)*(E2=E$1:E5227))))))</f>
        <v> </v>
      </c>
      <c r="K5228" s="26" t="str">
        <f>IF(OR(E5228="",E5228="!!!",F5228="NEW"),"",INDEX(J$1:J5227,SUMPRODUCT(MAX(ROW(E$1:E5227)*(E5228=E$1:E5227)))))</f>
        <v> </v>
      </c>
      <c r="L5228" s="27"/>
    </row>
    <row r="5229" spans="1:12">
      <c r="A5229" s="20" t="s">
        <v>1065</v>
      </c>
      <c r="E5229" s="22">
        <f>IF(D5229="?OLD","!!!","")</f>
        <v/>
      </c>
      <c r="F5229" s="23" t="str">
        <f>IF(OR(E5229="",E5229="!!!"),"",IF(NOT(ISNA(VLOOKUP(E5229,E$1:E5228,1,FALSE()))),"OLD",IF(AND(E5229&lt;&gt;"",E5229&lt;&gt;"!!!"),"NEW","")))</f>
        <v> </v>
      </c>
      <c r="G5229" s="24" t="str">
        <f>IF(OR(E5229="",E5229="!!!"),"",IF(OR(J5229=0,AND(J5229=1,K5229=1),AND(J5229=1,I5229="SBJ"),AND(J5229=1,I5229=0)),"?IN_FOCUS",IF(J5229&lt;=2,"?ACTIVATED",IF(J5229&lt;&gt;"","?FAMILIAR",IF(F5229="NEW",IF(ISNA(VLOOKUP(E5229,#REF!,1,FALSE())),"?TYPE_IDENTIFIABLE","?REFERENTIAL"),"_")))))</f>
        <v> </v>
      </c>
      <c r="H5229" s="25" t="str">
        <f>IF(J5229&lt;&gt;1,"",IF(I5229="SBJ","CB","?"))</f>
        <v> </v>
      </c>
      <c r="I5229" s="26" t="str">
        <f>IF(OR(E5229="",E5229="!!!",F5229="NEW"),"",INDEX(B5228:B$2,-1+SUMPRODUCT(MAX(ROW(E5228:E$2)*(E5229=E5228:E$2)))))</f>
        <v> </v>
      </c>
      <c r="J5229" s="26" t="str">
        <f>IF(OR(E5229="",E5229="!!!",F5229="NEW"),"",COUNTBLANK(OFFSET(A$1,,,SUMPRODUCT(MAX(ROW(E$2:E5229)*(E5229=E$2:E5229)))))-COUNTBLANK(OFFSET(A$1,,,SUMPRODUCT(MAX(ROW(E$1:E5228)*(E2=E$1:E5228))))))</f>
        <v> </v>
      </c>
      <c r="K5229" s="26" t="str">
        <f>IF(OR(E5229="",E5229="!!!",F5229="NEW"),"",INDEX(J$1:J5228,SUMPRODUCT(MAX(ROW(E$1:E5228)*(E5229=E$1:E5228)))))</f>
        <v> </v>
      </c>
      <c r="L5229" s="27"/>
    </row>
    <row r="5230" spans="1:12">
      <c r="A5230" s="20" t="s">
        <v>1083</v>
      </c>
      <c r="E5230" s="22">
        <f>IF(D5230="?OLD","!!!","")</f>
        <v/>
      </c>
      <c r="F5230" s="23" t="str">
        <f>IF(OR(E5230="",E5230="!!!"),"",IF(NOT(ISNA(VLOOKUP(E5230,E$1:E5229,1,FALSE()))),"OLD",IF(AND(E5230&lt;&gt;"",E5230&lt;&gt;"!!!"),"NEW","")))</f>
        <v> </v>
      </c>
      <c r="G5230" s="24" t="str">
        <f>IF(OR(E5230="",E5230="!!!"),"",IF(OR(J5230=0,AND(J5230=1,K5230=1),AND(J5230=1,I5230="SBJ"),AND(J5230=1,I5230=0)),"?IN_FOCUS",IF(J5230&lt;=2,"?ACTIVATED",IF(J5230&lt;&gt;"","?FAMILIAR",IF(F5230="NEW",IF(ISNA(VLOOKUP(E5230,#REF!,1,FALSE())),"?TYPE_IDENTIFIABLE","?REFERENTIAL"),"_")))))</f>
        <v> </v>
      </c>
      <c r="H5230" s="25" t="str">
        <f>IF(J5230&lt;&gt;1,"",IF(I5230="SBJ","CB","?"))</f>
        <v> </v>
      </c>
      <c r="I5230" s="26" t="str">
        <f>IF(OR(E5230="",E5230="!!!",F5230="NEW"),"",INDEX(B5229:B$2,-1+SUMPRODUCT(MAX(ROW(E5229:E$2)*(E5230=E5229:E$2)))))</f>
        <v> </v>
      </c>
      <c r="J5230" s="26" t="str">
        <f>IF(OR(E5230="",E5230="!!!",F5230="NEW"),"",COUNTBLANK(OFFSET(A$1,,,SUMPRODUCT(MAX(ROW(E$2:E5230)*(E5230=E$2:E5230)))))-COUNTBLANK(OFFSET(A$1,,,SUMPRODUCT(MAX(ROW(E$1:E5229)*(E2=E$1:E5229))))))</f>
        <v> </v>
      </c>
      <c r="K5230" s="26" t="str">
        <f>IF(OR(E5230="",E5230="!!!",F5230="NEW"),"",INDEX(J$1:J5229,SUMPRODUCT(MAX(ROW(E$1:E5229)*(E5230=E$1:E5229)))))</f>
        <v> </v>
      </c>
      <c r="L5230" s="27"/>
    </row>
    <row r="5231" spans="1:12">
      <c r="A5231" s="20" t="s">
        <v>1020</v>
      </c>
      <c r="E5231" s="22">
        <f>IF(D5231="?OLD","!!!","")</f>
        <v/>
      </c>
      <c r="F5231" s="23" t="str">
        <f>IF(OR(E5231="",E5231="!!!"),"",IF(NOT(ISNA(VLOOKUP(E5231,E$1:E5230,1,FALSE()))),"OLD",IF(AND(E5231&lt;&gt;"",E5231&lt;&gt;"!!!"),"NEW","")))</f>
        <v> </v>
      </c>
      <c r="G5231" s="24" t="str">
        <f>IF(OR(E5231="",E5231="!!!"),"",IF(OR(J5231=0,AND(J5231=1,K5231=1),AND(J5231=1,I5231="SBJ"),AND(J5231=1,I5231=0)),"?IN_FOCUS",IF(J5231&lt;=2,"?ACTIVATED",IF(J5231&lt;&gt;"","?FAMILIAR",IF(F5231="NEW",IF(ISNA(VLOOKUP(E5231,#REF!,1,FALSE())),"?TYPE_IDENTIFIABLE","?REFERENTIAL"),"_")))))</f>
        <v> </v>
      </c>
      <c r="H5231" s="25" t="str">
        <f>IF(J5231&lt;&gt;1,"",IF(I5231="SBJ","CB","?"))</f>
        <v> </v>
      </c>
      <c r="I5231" s="26" t="str">
        <f>IF(OR(E5231="",E5231="!!!",F5231="NEW"),"",INDEX(B5230:B$2,-1+SUMPRODUCT(MAX(ROW(E5230:E$2)*(E5231=E5230:E$2)))))</f>
        <v> </v>
      </c>
      <c r="J5231" s="26" t="str">
        <f>IF(OR(E5231="",E5231="!!!",F5231="NEW"),"",COUNTBLANK(OFFSET(A$1,,,SUMPRODUCT(MAX(ROW(E$2:E5231)*(E5231=E$2:E5231)))))-COUNTBLANK(OFFSET(A$1,,,SUMPRODUCT(MAX(ROW(E$1:E5230)*(E2=E$1:E5230))))))</f>
        <v> </v>
      </c>
      <c r="K5231" s="26" t="str">
        <f>IF(OR(E5231="",E5231="!!!",F5231="NEW"),"",INDEX(J$1:J5230,SUMPRODUCT(MAX(ROW(E$1:E5230)*(E5231=E$1:E5230)))))</f>
        <v> </v>
      </c>
      <c r="L5231" s="27"/>
    </row>
    <row r="5232" spans="1:12">
      <c r="A5232" s="20" t="s">
        <v>1084</v>
      </c>
      <c r="B5232" s="21" t="s">
        <v>1119</v>
      </c>
      <c r="C5232" s="21" t="s">
        <v>1086</v>
      </c>
      <c r="E5232" s="22">
        <f>IF(D5232="?OLD","!!!","")</f>
        <v/>
      </c>
      <c r="F5232" s="23" t="str">
        <f>IF(OR(E5232="",E5232="!!!"),"",IF(NOT(ISNA(VLOOKUP(E5232,E$1:E5231,1,FALSE()))),"OLD",IF(AND(E5232&lt;&gt;"",E5232&lt;&gt;"!!!"),"NEW","")))</f>
        <v> </v>
      </c>
      <c r="G5232" s="24" t="str">
        <f>IF(OR(E5232="",E5232="!!!"),"",IF(OR(J5232=0,AND(J5232=1,K5232=1),AND(J5232=1,I5232="SBJ"),AND(J5232=1,I5232=0)),"?IN_FOCUS",IF(J5232&lt;=2,"?ACTIVATED",IF(J5232&lt;&gt;"","?FAMILIAR",IF(F5232="NEW",IF(ISNA(VLOOKUP(E5232,#REF!,1,FALSE())),"?TYPE_IDENTIFIABLE","?REFERENTIAL"),"_")))))</f>
        <v> </v>
      </c>
      <c r="H5232" s="25" t="str">
        <f>IF(J5232&lt;&gt;1,"",IF(I5232="SBJ","CB","?"))</f>
        <v> </v>
      </c>
      <c r="I5232" s="26" t="str">
        <f>IF(OR(E5232="",E5232="!!!",F5232="NEW"),"",INDEX(B5231:B$2,-1+SUMPRODUCT(MAX(ROW(E5231:E$2)*(E5232=E5231:E$2)))))</f>
        <v> </v>
      </c>
      <c r="J5232" s="26" t="str">
        <f>IF(OR(E5232="",E5232="!!!",F5232="NEW"),"",COUNTBLANK(OFFSET(A$1,,,SUMPRODUCT(MAX(ROW(E$2:E5232)*(E5232=E$2:E5232)))))-COUNTBLANK(OFFSET(A$1,,,SUMPRODUCT(MAX(ROW(E$1:E5231)*(E2=E$1:E5231))))))</f>
        <v> </v>
      </c>
      <c r="K5232" s="26" t="str">
        <f>IF(OR(E5232="",E5232="!!!",F5232="NEW"),"",INDEX(J$1:J5231,SUMPRODUCT(MAX(ROW(E$1:E5231)*(E5232=E$1:E5231)))))</f>
        <v> </v>
      </c>
      <c r="L5232" s="27"/>
    </row>
    <row r="5233" spans="1:12">
      <c r="A5233" s="20" t="s">
        <v>2435</v>
      </c>
      <c r="E5233" s="22">
        <f>IF(D5233="?OLD","!!!","")</f>
        <v/>
      </c>
      <c r="F5233" s="23" t="str">
        <f>IF(OR(E5233="",E5233="!!!"),"",IF(NOT(ISNA(VLOOKUP(E5233,E$1:E5232,1,FALSE()))),"OLD",IF(AND(E5233&lt;&gt;"",E5233&lt;&gt;"!!!"),"NEW","")))</f>
        <v> </v>
      </c>
      <c r="G5233" s="24" t="str">
        <f>IF(OR(E5233="",E5233="!!!"),"",IF(OR(J5233=0,AND(J5233=1,K5233=1),AND(J5233=1,I5233="SBJ"),AND(J5233=1,I5233=0)),"?IN_FOCUS",IF(J5233&lt;=2,"?ACTIVATED",IF(J5233&lt;&gt;"","?FAMILIAR",IF(F5233="NEW",IF(ISNA(VLOOKUP(E5233,#REF!,1,FALSE())),"?TYPE_IDENTIFIABLE","?REFERENTIAL"),"_")))))</f>
        <v> </v>
      </c>
      <c r="H5233" s="25" t="str">
        <f>IF(J5233&lt;&gt;1,"",IF(I5233="SBJ","CB","?"))</f>
        <v> </v>
      </c>
      <c r="I5233" s="26" t="str">
        <f>IF(OR(E5233="",E5233="!!!",F5233="NEW"),"",INDEX(B5232:B$2,-1+SUMPRODUCT(MAX(ROW(E5232:E$2)*(E5233=E5232:E$2)))))</f>
        <v> </v>
      </c>
      <c r="J5233" s="26" t="str">
        <f>IF(OR(E5233="",E5233="!!!",F5233="NEW"),"",COUNTBLANK(OFFSET(A$1,,,SUMPRODUCT(MAX(ROW(E$2:E5233)*(E5233=E$2:E5233)))))-COUNTBLANK(OFFSET(A$1,,,SUMPRODUCT(MAX(ROW(E$1:E5232)*(E2=E$1:E5232))))))</f>
        <v> </v>
      </c>
      <c r="K5233" s="26" t="str">
        <f>IF(OR(E5233="",E5233="!!!",F5233="NEW"),"",INDEX(J$1:J5232,SUMPRODUCT(MAX(ROW(E$1:E5232)*(E5233=E$1:E5232)))))</f>
        <v> </v>
      </c>
      <c r="L5233" s="27"/>
    </row>
    <row r="5234" spans="1:12">
      <c r="A5234" s="20" t="s">
        <v>1018</v>
      </c>
      <c r="E5234" s="22">
        <f>IF(D5234="?OLD","!!!","")</f>
        <v/>
      </c>
      <c r="F5234" s="23" t="str">
        <f>IF(OR(E5234="",E5234="!!!"),"",IF(NOT(ISNA(VLOOKUP(E5234,E$1:E5233,1,FALSE()))),"OLD",IF(AND(E5234&lt;&gt;"",E5234&lt;&gt;"!!!"),"NEW","")))</f>
        <v> </v>
      </c>
      <c r="G5234" s="24" t="str">
        <f>IF(OR(E5234="",E5234="!!!"),"",IF(OR(J5234=0,AND(J5234=1,K5234=1),AND(J5234=1,I5234="SBJ"),AND(J5234=1,I5234=0)),"?IN_FOCUS",IF(J5234&lt;=2,"?ACTIVATED",IF(J5234&lt;&gt;"","?FAMILIAR",IF(F5234="NEW",IF(ISNA(VLOOKUP(E5234,#REF!,1,FALSE())),"?TYPE_IDENTIFIABLE","?REFERENTIAL"),"_")))))</f>
        <v> </v>
      </c>
      <c r="H5234" s="25" t="str">
        <f>IF(J5234&lt;&gt;1,"",IF(I5234="SBJ","CB","?"))</f>
        <v> </v>
      </c>
      <c r="I5234" s="26" t="str">
        <f>IF(OR(E5234="",E5234="!!!",F5234="NEW"),"",INDEX(B5233:B$2,-1+SUMPRODUCT(MAX(ROW(E5233:E$2)*(E5234=E5233:E$2)))))</f>
        <v> </v>
      </c>
      <c r="J5234" s="26" t="str">
        <f>IF(OR(E5234="",E5234="!!!",F5234="NEW"),"",COUNTBLANK(OFFSET(A$1,,,SUMPRODUCT(MAX(ROW(E$2:E5234)*(E5234=E$2:E5234)))))-COUNTBLANK(OFFSET(A$1,,,SUMPRODUCT(MAX(ROW(E$1:E5233)*(E2=E$1:E5233))))))</f>
        <v> </v>
      </c>
      <c r="K5234" s="26" t="str">
        <f>IF(OR(E5234="",E5234="!!!",F5234="NEW"),"",INDEX(J$1:J5233,SUMPRODUCT(MAX(ROW(E$1:E5233)*(E5234=E$1:E5233)))))</f>
        <v> </v>
      </c>
      <c r="L5234" s="27"/>
    </row>
    <row r="5235" spans="1:12">
      <c r="A5235" s="20" t="s">
        <v>56</v>
      </c>
      <c r="E5235" s="22">
        <f>IF(D5235="?OLD","!!!","")</f>
        <v/>
      </c>
      <c r="F5235" s="23" t="str">
        <f>IF(OR(E5235="",E5235="!!!"),"",IF(NOT(ISNA(VLOOKUP(E5235,E$1:E5234,1,FALSE()))),"OLD",IF(AND(E5235&lt;&gt;"",E5235&lt;&gt;"!!!"),"NEW","")))</f>
        <v> </v>
      </c>
      <c r="G5235" s="24" t="str">
        <f>IF(OR(E5235="",E5235="!!!"),"",IF(OR(J5235=0,AND(J5235=1,K5235=1),AND(J5235=1,I5235="SBJ"),AND(J5235=1,I5235=0)),"?IN_FOCUS",IF(J5235&lt;=2,"?ACTIVATED",IF(J5235&lt;&gt;"","?FAMILIAR",IF(F5235="NEW",IF(ISNA(VLOOKUP(E5235,#REF!,1,FALSE())),"?TYPE_IDENTIFIABLE","?REFERENTIAL"),"_")))))</f>
        <v> </v>
      </c>
      <c r="H5235" s="25" t="str">
        <f>IF(J5235&lt;&gt;1,"",IF(I5235="SBJ","CB","?"))</f>
        <v> </v>
      </c>
      <c r="I5235" s="26" t="str">
        <f>IF(OR(E5235="",E5235="!!!",F5235="NEW"),"",INDEX(B5234:B$2,-1+SUMPRODUCT(MAX(ROW(E5234:E$2)*(E5235=E5234:E$2)))))</f>
        <v> </v>
      </c>
      <c r="J5235" s="26" t="str">
        <f>IF(OR(E5235="",E5235="!!!",F5235="NEW"),"",COUNTBLANK(OFFSET(A$1,,,SUMPRODUCT(MAX(ROW(E$2:E5235)*(E5235=E$2:E5235)))))-COUNTBLANK(OFFSET(A$1,,,SUMPRODUCT(MAX(ROW(E$1:E5234)*(E2=E$1:E5234))))))</f>
        <v> </v>
      </c>
      <c r="K5235" s="26" t="str">
        <f>IF(OR(E5235="",E5235="!!!",F5235="NEW"),"",INDEX(J$1:J5234,SUMPRODUCT(MAX(ROW(E$1:E5234)*(E5235=E$1:E5234)))))</f>
        <v> </v>
      </c>
      <c r="L5235" s="27"/>
    </row>
    <row r="5236" spans="1:12">
      <c r="A5236" s="20" t="s">
        <v>2436</v>
      </c>
      <c r="E5236" s="22">
        <f>IF(D5236="?OLD","!!!","")</f>
        <v/>
      </c>
      <c r="F5236" s="23" t="str">
        <f>IF(OR(E5236="",E5236="!!!"),"",IF(NOT(ISNA(VLOOKUP(E5236,E$1:E5235,1,FALSE()))),"OLD",IF(AND(E5236&lt;&gt;"",E5236&lt;&gt;"!!!"),"NEW","")))</f>
        <v> </v>
      </c>
      <c r="G5236" s="24" t="str">
        <f>IF(OR(E5236="",E5236="!!!"),"",IF(OR(J5236=0,AND(J5236=1,K5236=1),AND(J5236=1,I5236="SBJ"),AND(J5236=1,I5236=0)),"?IN_FOCUS",IF(J5236&lt;=2,"?ACTIVATED",IF(J5236&lt;&gt;"","?FAMILIAR",IF(F5236="NEW",IF(ISNA(VLOOKUP(E5236,#REF!,1,FALSE())),"?TYPE_IDENTIFIABLE","?REFERENTIAL"),"_")))))</f>
        <v> </v>
      </c>
      <c r="H5236" s="25" t="str">
        <f>IF(J5236&lt;&gt;1,"",IF(I5236="SBJ","CB","?"))</f>
        <v> </v>
      </c>
      <c r="I5236" s="26" t="str">
        <f>IF(OR(E5236="",E5236="!!!",F5236="NEW"),"",INDEX(B5235:B$2,-1+SUMPRODUCT(MAX(ROW(E5235:E$2)*(E5236=E5235:E$2)))))</f>
        <v> </v>
      </c>
      <c r="J5236" s="26" t="str">
        <f>IF(OR(E5236="",E5236="!!!",F5236="NEW"),"",COUNTBLANK(OFFSET(A$1,,,SUMPRODUCT(MAX(ROW(E$2:E5236)*(E5236=E$2:E5236)))))-COUNTBLANK(OFFSET(A$1,,,SUMPRODUCT(MAX(ROW(E$1:E5235)*(E2=E$1:E5235))))))</f>
        <v> </v>
      </c>
      <c r="K5236" s="26" t="str">
        <f>IF(OR(E5236="",E5236="!!!",F5236="NEW"),"",INDEX(J$1:J5235,SUMPRODUCT(MAX(ROW(E$1:E5235)*(E5236=E$1:E5235)))))</f>
        <v> </v>
      </c>
      <c r="L5236" s="27"/>
    </row>
    <row r="5237" spans="1:12">
      <c r="A5237" s="20" t="s">
        <v>1321</v>
      </c>
      <c r="B5237" s="21" t="s">
        <v>1029</v>
      </c>
      <c r="C5237" s="21" t="s">
        <v>1082</v>
      </c>
      <c r="D5237" s="21" t="s">
        <v>1007</v>
      </c>
      <c r="E5237" s="22">
        <f>IF(D5237="?OLD","!!!","")</f>
        <v/>
      </c>
      <c r="F5237" s="23" t="str">
        <f>IF(OR(E5237="",E5237="!!!"),"",IF(NOT(ISNA(VLOOKUP(E5237,E$1:E5236,1,FALSE()))),"OLD",IF(AND(E5237&lt;&gt;"",E5237&lt;&gt;"!!!"),"NEW","")))</f>
        <v> </v>
      </c>
      <c r="G5237" s="24" t="str">
        <f>IF(OR(E5237="",E5237="!!!"),"",IF(OR(J5237=0,AND(J5237=1,K5237=1),AND(J5237=1,I5237="SBJ"),AND(J5237=1,I5237=0)),"?IN_FOCUS",IF(J5237&lt;=2,"?ACTIVATED",IF(J5237&lt;&gt;"","?FAMILIAR",IF(F5237="NEW",IF(ISNA(VLOOKUP(E5237,#REF!,1,FALSE())),"?TYPE_IDENTIFIABLE","?REFERENTIAL"),"_")))))</f>
        <v> </v>
      </c>
      <c r="H5237" s="25" t="str">
        <f>IF(J5237&lt;&gt;1,"",IF(I5237="SBJ","CB","?"))</f>
        <v> </v>
      </c>
      <c r="I5237" s="26" t="str">
        <f>IF(OR(E5237="",E5237="!!!",F5237="NEW"),"",INDEX(B5236:B$2,-1+SUMPRODUCT(MAX(ROW(E5236:E$2)*(E5237=E5236:E$2)))))</f>
        <v> </v>
      </c>
      <c r="J5237" s="26" t="str">
        <f>IF(OR(E5237="",E5237="!!!",F5237="NEW"),"",COUNTBLANK(OFFSET(A$1,,,SUMPRODUCT(MAX(ROW(E$2:E5237)*(E5237=E$2:E5237)))))-COUNTBLANK(OFFSET(A$1,,,SUMPRODUCT(MAX(ROW(E$1:E5236)*(E2=E$1:E5236))))))</f>
        <v> </v>
      </c>
      <c r="K5237" s="26" t="str">
        <f>IF(OR(E5237="",E5237="!!!",F5237="NEW"),"",INDEX(J$1:J5236,SUMPRODUCT(MAX(ROW(E$1:E5236)*(E5237=E$1:E5236)))))</f>
        <v> </v>
      </c>
      <c r="L5237" s="27"/>
    </row>
    <row r="5238" spans="1:12">
      <c r="A5238" s="20" t="s">
        <v>1020</v>
      </c>
      <c r="E5238" s="22">
        <f>IF(D5238="?OLD","!!!","")</f>
        <v/>
      </c>
      <c r="F5238" s="23" t="str">
        <f>IF(OR(E5238="",E5238="!!!"),"",IF(NOT(ISNA(VLOOKUP(E5238,E$1:E5237,1,FALSE()))),"OLD",IF(AND(E5238&lt;&gt;"",E5238&lt;&gt;"!!!"),"NEW","")))</f>
        <v> </v>
      </c>
      <c r="G5238" s="24" t="str">
        <f>IF(OR(E5238="",E5238="!!!"),"",IF(OR(J5238=0,AND(J5238=1,K5238=1),AND(J5238=1,I5238="SBJ"),AND(J5238=1,I5238=0)),"?IN_FOCUS",IF(J5238&lt;=2,"?ACTIVATED",IF(J5238&lt;&gt;"","?FAMILIAR",IF(F5238="NEW",IF(ISNA(VLOOKUP(E5238,#REF!,1,FALSE())),"?TYPE_IDENTIFIABLE","?REFERENTIAL"),"_")))))</f>
        <v> </v>
      </c>
      <c r="H5238" s="25" t="str">
        <f>IF(J5238&lt;&gt;1,"",IF(I5238="SBJ","CB","?"))</f>
        <v> </v>
      </c>
      <c r="I5238" s="26" t="str">
        <f>IF(OR(E5238="",E5238="!!!",F5238="NEW"),"",INDEX(B5237:B$2,-1+SUMPRODUCT(MAX(ROW(E5237:E$2)*(E5238=E5237:E$2)))))</f>
        <v> </v>
      </c>
      <c r="J5238" s="26" t="str">
        <f>IF(OR(E5238="",E5238="!!!",F5238="NEW"),"",COUNTBLANK(OFFSET(A$1,,,SUMPRODUCT(MAX(ROW(E$2:E5238)*(E5238=E$2:E5238)))))-COUNTBLANK(OFFSET(A$1,,,SUMPRODUCT(MAX(ROW(E$1:E5237)*(E2=E$1:E5237))))))</f>
        <v> </v>
      </c>
      <c r="K5238" s="26" t="str">
        <f>IF(OR(E5238="",E5238="!!!",F5238="NEW"),"",INDEX(J$1:J5237,SUMPRODUCT(MAX(ROW(E$1:E5237)*(E5238=E$1:E5237)))))</f>
        <v> </v>
      </c>
      <c r="L5238" s="27"/>
    </row>
    <row r="5239" spans="1:12">
      <c r="A5239" s="20" t="s">
        <v>1357</v>
      </c>
      <c r="B5239" s="21" t="s">
        <v>1029</v>
      </c>
      <c r="C5239" s="21" t="s">
        <v>1358</v>
      </c>
      <c r="D5239" s="21" t="s">
        <v>1007</v>
      </c>
      <c r="E5239" s="22">
        <f>IF(D5239="?OLD","!!!","")</f>
        <v/>
      </c>
      <c r="F5239" s="23" t="str">
        <f>IF(OR(E5239="",E5239="!!!"),"",IF(NOT(ISNA(VLOOKUP(E5239,E$1:E5238,1,FALSE()))),"OLD",IF(AND(E5239&lt;&gt;"",E5239&lt;&gt;"!!!"),"NEW","")))</f>
        <v> </v>
      </c>
      <c r="G5239" s="24" t="str">
        <f>IF(OR(E5239="",E5239="!!!"),"",IF(OR(J5239=0,AND(J5239=1,K5239=1),AND(J5239=1,I5239="SBJ"),AND(J5239=1,I5239=0)),"?IN_FOCUS",IF(J5239&lt;=2,"?ACTIVATED",IF(J5239&lt;&gt;"","?FAMILIAR",IF(F5239="NEW",IF(ISNA(VLOOKUP(E5239,#REF!,1,FALSE())),"?TYPE_IDENTIFIABLE","?REFERENTIAL"),"_")))))</f>
        <v> </v>
      </c>
      <c r="H5239" s="25" t="str">
        <f>IF(J5239&lt;&gt;1,"",IF(I5239="SBJ","CB","?"))</f>
        <v> </v>
      </c>
      <c r="I5239" s="26" t="str">
        <f>IF(OR(E5239="",E5239="!!!",F5239="NEW"),"",INDEX(B5238:B$2,-1+SUMPRODUCT(MAX(ROW(E5238:E$2)*(E5239=E5238:E$2)))))</f>
        <v> </v>
      </c>
      <c r="J5239" s="26" t="str">
        <f>IF(OR(E5239="",E5239="!!!",F5239="NEW"),"",COUNTBLANK(OFFSET(A$1,,,SUMPRODUCT(MAX(ROW(E$2:E5239)*(E5239=E$2:E5239)))))-COUNTBLANK(OFFSET(A$1,,,SUMPRODUCT(MAX(ROW(E$1:E5238)*(E2=E$1:E5238))))))</f>
        <v> </v>
      </c>
      <c r="K5239" s="26" t="str">
        <f>IF(OR(E5239="",E5239="!!!",F5239="NEW"),"",INDEX(J$1:J5238,SUMPRODUCT(MAX(ROW(E$1:E5238)*(E5239=E$1:E5238)))))</f>
        <v> </v>
      </c>
      <c r="L5239" s="27"/>
    </row>
    <row r="5240" spans="1:12">
      <c r="A5240" s="20" t="s">
        <v>1669</v>
      </c>
      <c r="B5240" s="21" t="s">
        <v>1064</v>
      </c>
      <c r="C5240" s="21" t="s">
        <v>1082</v>
      </c>
      <c r="D5240" s="21" t="s">
        <v>1007</v>
      </c>
      <c r="E5240" s="22">
        <f>IF(D5240="?OLD","!!!","")</f>
        <v/>
      </c>
      <c r="F5240" s="23" t="str">
        <f>IF(OR(E5240="",E5240="!!!"),"",IF(NOT(ISNA(VLOOKUP(E5240,E$1:E5239,1,FALSE()))),"OLD",IF(AND(E5240&lt;&gt;"",E5240&lt;&gt;"!!!"),"NEW","")))</f>
        <v> </v>
      </c>
      <c r="G5240" s="24" t="str">
        <f>IF(OR(E5240="",E5240="!!!"),"",IF(OR(J5240=0,AND(J5240=1,K5240=1),AND(J5240=1,I5240="SBJ"),AND(J5240=1,I5240=0)),"?IN_FOCUS",IF(J5240&lt;=2,"?ACTIVATED",IF(J5240&lt;&gt;"","?FAMILIAR",IF(F5240="NEW",IF(ISNA(VLOOKUP(E5240,#REF!,1,FALSE())),"?TYPE_IDENTIFIABLE","?REFERENTIAL"),"_")))))</f>
        <v> </v>
      </c>
      <c r="H5240" s="25" t="str">
        <f>IF(J5240&lt;&gt;1,"",IF(I5240="SBJ","CB","?"))</f>
        <v> </v>
      </c>
      <c r="I5240" s="26" t="str">
        <f>IF(OR(E5240="",E5240="!!!",F5240="NEW"),"",INDEX(B5239:B$2,-1+SUMPRODUCT(MAX(ROW(E5239:E$2)*(E5240=E5239:E$2)))))</f>
        <v> </v>
      </c>
      <c r="J5240" s="26" t="str">
        <f>IF(OR(E5240="",E5240="!!!",F5240="NEW"),"",COUNTBLANK(OFFSET(A$1,,,SUMPRODUCT(MAX(ROW(E$2:E5240)*(E5240=E$2:E5240)))))-COUNTBLANK(OFFSET(A$1,,,SUMPRODUCT(MAX(ROW(E$1:E5239)*(E2=E$1:E5239))))))</f>
        <v> </v>
      </c>
      <c r="K5240" s="26" t="str">
        <f>IF(OR(E5240="",E5240="!!!",F5240="NEW"),"",INDEX(J$1:J5239,SUMPRODUCT(MAX(ROW(E$1:E5239)*(E5240=E$1:E5239)))))</f>
        <v> </v>
      </c>
      <c r="L5240" s="27"/>
    </row>
    <row r="5241" spans="1:12">
      <c r="A5241" s="20" t="s">
        <v>2437</v>
      </c>
      <c r="E5241" s="22">
        <f>IF(D5241="?OLD","!!!","")</f>
        <v/>
      </c>
      <c r="F5241" s="23" t="str">
        <f>IF(OR(E5241="",E5241="!!!"),"",IF(NOT(ISNA(VLOOKUP(E5241,E$1:E5240,1,FALSE()))),"OLD",IF(AND(E5241&lt;&gt;"",E5241&lt;&gt;"!!!"),"NEW","")))</f>
        <v> </v>
      </c>
      <c r="G5241" s="24" t="str">
        <f>IF(OR(E5241="",E5241="!!!"),"",IF(OR(J5241=0,AND(J5241=1,K5241=1),AND(J5241=1,I5241="SBJ"),AND(J5241=1,I5241=0)),"?IN_FOCUS",IF(J5241&lt;=2,"?ACTIVATED",IF(J5241&lt;&gt;"","?FAMILIAR",IF(F5241="NEW",IF(ISNA(VLOOKUP(E5241,#REF!,1,FALSE())),"?TYPE_IDENTIFIABLE","?REFERENTIAL"),"_")))))</f>
        <v> </v>
      </c>
      <c r="H5241" s="25" t="str">
        <f>IF(J5241&lt;&gt;1,"",IF(I5241="SBJ","CB","?"))</f>
        <v> </v>
      </c>
      <c r="I5241" s="26" t="str">
        <f>IF(OR(E5241="",E5241="!!!",F5241="NEW"),"",INDEX(B5240:B$2,-1+SUMPRODUCT(MAX(ROW(E5240:E$2)*(E5241=E5240:E$2)))))</f>
        <v> </v>
      </c>
      <c r="J5241" s="26" t="str">
        <f>IF(OR(E5241="",E5241="!!!",F5241="NEW"),"",COUNTBLANK(OFFSET(A$1,,,SUMPRODUCT(MAX(ROW(E$2:E5241)*(E5241=E$2:E5241)))))-COUNTBLANK(OFFSET(A$1,,,SUMPRODUCT(MAX(ROW(E$1:E5240)*(E2=E$1:E5240))))))</f>
        <v> </v>
      </c>
      <c r="K5241" s="26" t="str">
        <f>IF(OR(E5241="",E5241="!!!",F5241="NEW"),"",INDEX(J$1:J5240,SUMPRODUCT(MAX(ROW(E$1:E5240)*(E5241=E$1:E5240)))))</f>
        <v> </v>
      </c>
      <c r="L5241" s="27"/>
    </row>
    <row r="5242" spans="1:12">
      <c r="A5242" s="20" t="s">
        <v>1631</v>
      </c>
      <c r="B5242" s="21" t="s">
        <v>1064</v>
      </c>
      <c r="C5242" s="21" t="s">
        <v>1082</v>
      </c>
      <c r="D5242" s="21" t="s">
        <v>1007</v>
      </c>
      <c r="E5242" s="22">
        <f>IF(D5242="?OLD","!!!","")</f>
        <v/>
      </c>
      <c r="F5242" s="23" t="str">
        <f>IF(OR(E5242="",E5242="!!!"),"",IF(NOT(ISNA(VLOOKUP(E5242,E$1:E5241,1,FALSE()))),"OLD",IF(AND(E5242&lt;&gt;"",E5242&lt;&gt;"!!!"),"NEW","")))</f>
        <v> </v>
      </c>
      <c r="G5242" s="24" t="str">
        <f>IF(OR(E5242="",E5242="!!!"),"",IF(OR(J5242=0,AND(J5242=1,K5242=1),AND(J5242=1,I5242="SBJ"),AND(J5242=1,I5242=0)),"?IN_FOCUS",IF(J5242&lt;=2,"?ACTIVATED",IF(J5242&lt;&gt;"","?FAMILIAR",IF(F5242="NEW",IF(ISNA(VLOOKUP(E5242,#REF!,1,FALSE())),"?TYPE_IDENTIFIABLE","?REFERENTIAL"),"_")))))</f>
        <v> </v>
      </c>
      <c r="H5242" s="25" t="str">
        <f>IF(J5242&lt;&gt;1,"",IF(I5242="SBJ","CB","?"))</f>
        <v> </v>
      </c>
      <c r="I5242" s="26" t="str">
        <f>IF(OR(E5242="",E5242="!!!",F5242="NEW"),"",INDEX(B5241:B$2,-1+SUMPRODUCT(MAX(ROW(E5241:E$2)*(E5242=E5241:E$2)))))</f>
        <v> </v>
      </c>
      <c r="J5242" s="26" t="str">
        <f>IF(OR(E5242="",E5242="!!!",F5242="NEW"),"",COUNTBLANK(OFFSET(A$1,,,SUMPRODUCT(MAX(ROW(E$2:E5242)*(E5242=E$2:E5242)))))-COUNTBLANK(OFFSET(A$1,,,SUMPRODUCT(MAX(ROW(E$1:E5241)*(E2=E$1:E5241))))))</f>
        <v> </v>
      </c>
      <c r="K5242" s="26" t="str">
        <f>IF(OR(E5242="",E5242="!!!",F5242="NEW"),"",INDEX(J$1:J5241,SUMPRODUCT(MAX(ROW(E$1:E5241)*(E5242=E$1:E5241)))))</f>
        <v> </v>
      </c>
      <c r="L5242" s="27"/>
    </row>
    <row r="5243" spans="1:12">
      <c r="A5243" s="20" t="s">
        <v>1018</v>
      </c>
      <c r="E5243" s="22">
        <f>IF(D5243="?OLD","!!!","")</f>
        <v/>
      </c>
      <c r="F5243" s="23" t="str">
        <f>IF(OR(E5243="",E5243="!!!"),"",IF(NOT(ISNA(VLOOKUP(E5243,E$1:E5242,1,FALSE()))),"OLD",IF(AND(E5243&lt;&gt;"",E5243&lt;&gt;"!!!"),"NEW","")))</f>
        <v> </v>
      </c>
      <c r="G5243" s="24" t="str">
        <f>IF(OR(E5243="",E5243="!!!"),"",IF(OR(J5243=0,AND(J5243=1,K5243=1),AND(J5243=1,I5243="SBJ"),AND(J5243=1,I5243=0)),"?IN_FOCUS",IF(J5243&lt;=2,"?ACTIVATED",IF(J5243&lt;&gt;"","?FAMILIAR",IF(F5243="NEW",IF(ISNA(VLOOKUP(E5243,#REF!,1,FALSE())),"?TYPE_IDENTIFIABLE","?REFERENTIAL"),"_")))))</f>
        <v> </v>
      </c>
      <c r="H5243" s="25" t="str">
        <f>IF(J5243&lt;&gt;1,"",IF(I5243="SBJ","CB","?"))</f>
        <v> </v>
      </c>
      <c r="I5243" s="26" t="str">
        <f>IF(OR(E5243="",E5243="!!!",F5243="NEW"),"",INDEX(B5242:B$2,-1+SUMPRODUCT(MAX(ROW(E5242:E$2)*(E5243=E5242:E$2)))))</f>
        <v> </v>
      </c>
      <c r="J5243" s="26" t="str">
        <f>IF(OR(E5243="",E5243="!!!",F5243="NEW"),"",COUNTBLANK(OFFSET(A$1,,,SUMPRODUCT(MAX(ROW(E$2:E5243)*(E5243=E$2:E5243)))))-COUNTBLANK(OFFSET(A$1,,,SUMPRODUCT(MAX(ROW(E$1:E5242)*(E2=E$1:E5242))))))</f>
        <v> </v>
      </c>
      <c r="K5243" s="26" t="str">
        <f>IF(OR(E5243="",E5243="!!!",F5243="NEW"),"",INDEX(J$1:J5242,SUMPRODUCT(MAX(ROW(E$1:E5242)*(E5243=E$1:E5242)))))</f>
        <v> </v>
      </c>
      <c r="L5243" s="27"/>
    </row>
    <row r="5244" spans="1:12">
      <c r="A5244" s="20" t="s">
        <v>56</v>
      </c>
      <c r="E5244" s="22">
        <f>IF(D5244="?OLD","!!!","")</f>
        <v/>
      </c>
      <c r="F5244" s="23" t="str">
        <f>IF(OR(E5244="",E5244="!!!"),"",IF(NOT(ISNA(VLOOKUP(E5244,E$1:E5243,1,FALSE()))),"OLD",IF(AND(E5244&lt;&gt;"",E5244&lt;&gt;"!!!"),"NEW","")))</f>
        <v> </v>
      </c>
      <c r="G5244" s="24" t="str">
        <f>IF(OR(E5244="",E5244="!!!"),"",IF(OR(J5244=0,AND(J5244=1,K5244=1),AND(J5244=1,I5244="SBJ"),AND(J5244=1,I5244=0)),"?IN_FOCUS",IF(J5244&lt;=2,"?ACTIVATED",IF(J5244&lt;&gt;"","?FAMILIAR",IF(F5244="NEW",IF(ISNA(VLOOKUP(E5244,#REF!,1,FALSE())),"?TYPE_IDENTIFIABLE","?REFERENTIAL"),"_")))))</f>
        <v> </v>
      </c>
      <c r="H5244" s="25" t="str">
        <f>IF(J5244&lt;&gt;1,"",IF(I5244="SBJ","CB","?"))</f>
        <v> </v>
      </c>
      <c r="I5244" s="26" t="str">
        <f>IF(OR(E5244="",E5244="!!!",F5244="NEW"),"",INDEX(B5243:B$2,-1+SUMPRODUCT(MAX(ROW(E5243:E$2)*(E5244=E5243:E$2)))))</f>
        <v> </v>
      </c>
      <c r="J5244" s="26" t="str">
        <f>IF(OR(E5244="",E5244="!!!",F5244="NEW"),"",COUNTBLANK(OFFSET(A$1,,,SUMPRODUCT(MAX(ROW(E$2:E5244)*(E5244=E$2:E5244)))))-COUNTBLANK(OFFSET(A$1,,,SUMPRODUCT(MAX(ROW(E$1:E5243)*(E2=E$1:E5243))))))</f>
        <v> </v>
      </c>
      <c r="K5244" s="26" t="str">
        <f>IF(OR(E5244="",E5244="!!!",F5244="NEW"),"",INDEX(J$1:J5243,SUMPRODUCT(MAX(ROW(E$1:E5243)*(E5244=E$1:E5243)))))</f>
        <v> </v>
      </c>
      <c r="L5244" s="27"/>
    </row>
    <row r="5245" spans="1:12">
      <c r="A5245" s="20" t="s">
        <v>1020</v>
      </c>
      <c r="E5245" s="22">
        <f>IF(D5245="?OLD","!!!","")</f>
        <v/>
      </c>
      <c r="F5245" s="23" t="str">
        <f>IF(OR(E5245="",E5245="!!!"),"",IF(NOT(ISNA(VLOOKUP(E5245,E$1:E5244,1,FALSE()))),"OLD",IF(AND(E5245&lt;&gt;"",E5245&lt;&gt;"!!!"),"NEW","")))</f>
        <v> </v>
      </c>
      <c r="G5245" s="24" t="str">
        <f>IF(OR(E5245="",E5245="!!!"),"",IF(OR(J5245=0,AND(J5245=1,K5245=1),AND(J5245=1,I5245="SBJ"),AND(J5245=1,I5245=0)),"?IN_FOCUS",IF(J5245&lt;=2,"?ACTIVATED",IF(J5245&lt;&gt;"","?FAMILIAR",IF(F5245="NEW",IF(ISNA(VLOOKUP(E5245,#REF!,1,FALSE())),"?TYPE_IDENTIFIABLE","?REFERENTIAL"),"_")))))</f>
        <v> </v>
      </c>
      <c r="H5245" s="25" t="str">
        <f>IF(J5245&lt;&gt;1,"",IF(I5245="SBJ","CB","?"))</f>
        <v> </v>
      </c>
      <c r="I5245" s="26" t="str">
        <f>IF(OR(E5245="",E5245="!!!",F5245="NEW"),"",INDEX(B5244:B$2,-1+SUMPRODUCT(MAX(ROW(E5244:E$2)*(E5245=E5244:E$2)))))</f>
        <v> </v>
      </c>
      <c r="J5245" s="26" t="str">
        <f>IF(OR(E5245="",E5245="!!!",F5245="NEW"),"",COUNTBLANK(OFFSET(A$1,,,SUMPRODUCT(MAX(ROW(E$2:E5245)*(E5245=E$2:E5245)))))-COUNTBLANK(OFFSET(A$1,,,SUMPRODUCT(MAX(ROW(E$1:E5244)*(E2=E$1:E5244))))))</f>
        <v> </v>
      </c>
      <c r="K5245" s="26" t="str">
        <f>IF(OR(E5245="",E5245="!!!",F5245="NEW"),"",INDEX(J$1:J5244,SUMPRODUCT(MAX(ROW(E$1:E5244)*(E5245=E$1:E5244)))))</f>
        <v> </v>
      </c>
      <c r="L5245" s="27"/>
    </row>
    <row r="5246" spans="1:12">
      <c r="A5246" s="20" t="s">
        <v>1027</v>
      </c>
      <c r="E5246" s="22">
        <f>IF(D5246="?OLD","!!!","")</f>
        <v/>
      </c>
      <c r="F5246" s="23" t="str">
        <f>IF(OR(E5246="",E5246="!!!"),"",IF(NOT(ISNA(VLOOKUP(E5246,E$1:E5245,1,FALSE()))),"OLD",IF(AND(E5246&lt;&gt;"",E5246&lt;&gt;"!!!"),"NEW","")))</f>
        <v> </v>
      </c>
      <c r="G5246" s="24" t="str">
        <f>IF(OR(E5246="",E5246="!!!"),"",IF(OR(J5246=0,AND(J5246=1,K5246=1),AND(J5246=1,I5246="SBJ"),AND(J5246=1,I5246=0)),"?IN_FOCUS",IF(J5246&lt;=2,"?ACTIVATED",IF(J5246&lt;&gt;"","?FAMILIAR",IF(F5246="NEW",IF(ISNA(VLOOKUP(E5246,#REF!,1,FALSE())),"?TYPE_IDENTIFIABLE","?REFERENTIAL"),"_")))))</f>
        <v> </v>
      </c>
      <c r="H5246" s="25" t="str">
        <f>IF(J5246&lt;&gt;1,"",IF(I5246="SBJ","CB","?"))</f>
        <v> </v>
      </c>
      <c r="I5246" s="26" t="str">
        <f>IF(OR(E5246="",E5246="!!!",F5246="NEW"),"",INDEX(B5245:B$2,-1+SUMPRODUCT(MAX(ROW(E5245:E$2)*(E5246=E5245:E$2)))))</f>
        <v> </v>
      </c>
      <c r="J5246" s="26" t="str">
        <f>IF(OR(E5246="",E5246="!!!",F5246="NEW"),"",COUNTBLANK(OFFSET(A$1,,,SUMPRODUCT(MAX(ROW(E$2:E5246)*(E5246=E$2:E5246)))))-COUNTBLANK(OFFSET(A$1,,,SUMPRODUCT(MAX(ROW(E$1:E5245)*(E2=E$1:E5245))))))</f>
        <v> </v>
      </c>
      <c r="K5246" s="26" t="str">
        <f>IF(OR(E5246="",E5246="!!!",F5246="NEW"),"",INDEX(J$1:J5245,SUMPRODUCT(MAX(ROW(E$1:E5245)*(E5246=E$1:E5245)))))</f>
        <v> </v>
      </c>
      <c r="L5246" s="27"/>
    </row>
    <row r="5247" spans="1:12">
      <c r="A5247" s="20" t="s">
        <v>1172</v>
      </c>
      <c r="B5247" s="21" t="s">
        <v>1035</v>
      </c>
      <c r="C5247" s="21" t="s">
        <v>1017</v>
      </c>
      <c r="D5247" s="21" t="s">
        <v>1007</v>
      </c>
      <c r="E5247" s="22">
        <f>IF(D5247="?OLD","!!!","")</f>
        <v/>
      </c>
      <c r="F5247" s="23" t="str">
        <f>IF(OR(E5247="",E5247="!!!"),"",IF(NOT(ISNA(VLOOKUP(E5247,E$1:E5246,1,FALSE()))),"OLD",IF(AND(E5247&lt;&gt;"",E5247&lt;&gt;"!!!"),"NEW","")))</f>
        <v> </v>
      </c>
      <c r="G5247" s="24" t="str">
        <f>IF(OR(E5247="",E5247="!!!"),"",IF(OR(J5247=0,AND(J5247=1,K5247=1),AND(J5247=1,I5247="SBJ"),AND(J5247=1,I5247=0)),"?IN_FOCUS",IF(J5247&lt;=2,"?ACTIVATED",IF(J5247&lt;&gt;"","?FAMILIAR",IF(F5247="NEW",IF(ISNA(VLOOKUP(E5247,#REF!,1,FALSE())),"?TYPE_IDENTIFIABLE","?REFERENTIAL"),"_")))))</f>
        <v> </v>
      </c>
      <c r="H5247" s="25" t="str">
        <f>IF(J5247&lt;&gt;1,"",IF(I5247="SBJ","CB","?"))</f>
        <v> </v>
      </c>
      <c r="I5247" s="26" t="str">
        <f>IF(OR(E5247="",E5247="!!!",F5247="NEW"),"",INDEX(B5246:B$2,-1+SUMPRODUCT(MAX(ROW(E5246:E$2)*(E5247=E5246:E$2)))))</f>
        <v> </v>
      </c>
      <c r="J5247" s="26" t="str">
        <f>IF(OR(E5247="",E5247="!!!",F5247="NEW"),"",COUNTBLANK(OFFSET(A$1,,,SUMPRODUCT(MAX(ROW(E$2:E5247)*(E5247=E$2:E5247)))))-COUNTBLANK(OFFSET(A$1,,,SUMPRODUCT(MAX(ROW(E$1:E5246)*(E2=E$1:E5246))))))</f>
        <v> </v>
      </c>
      <c r="K5247" s="26" t="str">
        <f>IF(OR(E5247="",E5247="!!!",F5247="NEW"),"",INDEX(J$1:J5246,SUMPRODUCT(MAX(ROW(E$1:E5246)*(E5247=E$1:E5246)))))</f>
        <v> </v>
      </c>
      <c r="L5247" s="27"/>
    </row>
    <row r="5248" spans="1:12">
      <c r="A5248" s="20" t="s">
        <v>1065</v>
      </c>
      <c r="B5248" s="21" t="s">
        <v>1067</v>
      </c>
      <c r="E5248" s="22">
        <f>IF(D5248="?OLD","!!!","")</f>
        <v/>
      </c>
      <c r="F5248" s="23" t="str">
        <f>IF(OR(E5248="",E5248="!!!"),"",IF(NOT(ISNA(VLOOKUP(E5248,E$1:E5247,1,FALSE()))),"OLD",IF(AND(E5248&lt;&gt;"",E5248&lt;&gt;"!!!"),"NEW","")))</f>
        <v> </v>
      </c>
      <c r="G5248" s="24" t="str">
        <f>IF(OR(E5248="",E5248="!!!"),"",IF(OR(J5248=0,AND(J5248=1,K5248=1),AND(J5248=1,I5248="SBJ"),AND(J5248=1,I5248=0)),"?IN_FOCUS",IF(J5248&lt;=2,"?ACTIVATED",IF(J5248&lt;&gt;"","?FAMILIAR",IF(F5248="NEW",IF(ISNA(VLOOKUP(E5248,#REF!,1,FALSE())),"?TYPE_IDENTIFIABLE","?REFERENTIAL"),"_")))))</f>
        <v> </v>
      </c>
      <c r="H5248" s="25" t="str">
        <f>IF(J5248&lt;&gt;1,"",IF(I5248="SBJ","CB","?"))</f>
        <v> </v>
      </c>
      <c r="I5248" s="26" t="str">
        <f>IF(OR(E5248="",E5248="!!!",F5248="NEW"),"",INDEX(B5247:B$2,-1+SUMPRODUCT(MAX(ROW(E5247:E$2)*(E5248=E5247:E$2)))))</f>
        <v> </v>
      </c>
      <c r="J5248" s="26" t="str">
        <f>IF(OR(E5248="",E5248="!!!",F5248="NEW"),"",COUNTBLANK(OFFSET(A$1,,,SUMPRODUCT(MAX(ROW(E$2:E5248)*(E5248=E$2:E5248)))))-COUNTBLANK(OFFSET(A$1,,,SUMPRODUCT(MAX(ROW(E$1:E5247)*(E2=E$1:E5247))))))</f>
        <v> </v>
      </c>
      <c r="K5248" s="26" t="str">
        <f>IF(OR(E5248="",E5248="!!!",F5248="NEW"),"",INDEX(J$1:J5247,SUMPRODUCT(MAX(ROW(E$1:E5247)*(E5248=E$1:E5247)))))</f>
        <v> </v>
      </c>
      <c r="L5248" s="27"/>
    </row>
    <row r="5249" spans="1:12">
      <c r="A5249" s="20" t="s">
        <v>2438</v>
      </c>
      <c r="E5249" s="22">
        <f>IF(D5249="?OLD","!!!","")</f>
        <v/>
      </c>
      <c r="F5249" s="23" t="str">
        <f>IF(OR(E5249="",E5249="!!!"),"",IF(NOT(ISNA(VLOOKUP(E5249,E$1:E5248,1,FALSE()))),"OLD",IF(AND(E5249&lt;&gt;"",E5249&lt;&gt;"!!!"),"NEW","")))</f>
        <v> </v>
      </c>
      <c r="G5249" s="24" t="str">
        <f>IF(OR(E5249="",E5249="!!!"),"",IF(OR(J5249=0,AND(J5249=1,K5249=1),AND(J5249=1,I5249="SBJ"),AND(J5249=1,I5249=0)),"?IN_FOCUS",IF(J5249&lt;=2,"?ACTIVATED",IF(J5249&lt;&gt;"","?FAMILIAR",IF(F5249="NEW",IF(ISNA(VLOOKUP(E5249,#REF!,1,FALSE())),"?TYPE_IDENTIFIABLE","?REFERENTIAL"),"_")))))</f>
        <v> </v>
      </c>
      <c r="H5249" s="25" t="str">
        <f>IF(J5249&lt;&gt;1,"",IF(I5249="SBJ","CB","?"))</f>
        <v> </v>
      </c>
      <c r="I5249" s="26" t="str">
        <f>IF(OR(E5249="",E5249="!!!",F5249="NEW"),"",INDEX(B5248:B$2,-1+SUMPRODUCT(MAX(ROW(E5248:E$2)*(E5249=E5248:E$2)))))</f>
        <v> </v>
      </c>
      <c r="J5249" s="26" t="str">
        <f>IF(OR(E5249="",E5249="!!!",F5249="NEW"),"",COUNTBLANK(OFFSET(A$1,,,SUMPRODUCT(MAX(ROW(E$2:E5249)*(E5249=E$2:E5249)))))-COUNTBLANK(OFFSET(A$1,,,SUMPRODUCT(MAX(ROW(E$1:E5248)*(E2=E$1:E5248))))))</f>
        <v> </v>
      </c>
      <c r="K5249" s="26" t="str">
        <f>IF(OR(E5249="",E5249="!!!",F5249="NEW"),"",INDEX(J$1:J5248,SUMPRODUCT(MAX(ROW(E$1:E5248)*(E5249=E$1:E5248)))))</f>
        <v> </v>
      </c>
      <c r="L5249" s="27"/>
    </row>
    <row r="5250" spans="1:12">
      <c r="A5250" s="20" t="s">
        <v>56</v>
      </c>
      <c r="E5250" s="22">
        <f>IF(D5250="?OLD","!!!","")</f>
        <v/>
      </c>
      <c r="F5250" s="23" t="str">
        <f>IF(OR(E5250="",E5250="!!!"),"",IF(NOT(ISNA(VLOOKUP(E5250,E$1:E5249,1,FALSE()))),"OLD",IF(AND(E5250&lt;&gt;"",E5250&lt;&gt;"!!!"),"NEW","")))</f>
        <v> </v>
      </c>
      <c r="G5250" s="24" t="str">
        <f>IF(OR(E5250="",E5250="!!!"),"",IF(OR(J5250=0,AND(J5250=1,K5250=1),AND(J5250=1,I5250="SBJ"),AND(J5250=1,I5250=0)),"?IN_FOCUS",IF(J5250&lt;=2,"?ACTIVATED",IF(J5250&lt;&gt;"","?FAMILIAR",IF(F5250="NEW",IF(ISNA(VLOOKUP(E5250,#REF!,1,FALSE())),"?TYPE_IDENTIFIABLE","?REFERENTIAL"),"_")))))</f>
        <v> </v>
      </c>
      <c r="H5250" s="25" t="str">
        <f>IF(J5250&lt;&gt;1,"",IF(I5250="SBJ","CB","?"))</f>
        <v> </v>
      </c>
      <c r="I5250" s="26" t="str">
        <f>IF(OR(E5250="",E5250="!!!",F5250="NEW"),"",INDEX(B5249:B$2,-1+SUMPRODUCT(MAX(ROW(E5249:E$2)*(E5250=E5249:E$2)))))</f>
        <v> </v>
      </c>
      <c r="J5250" s="26" t="str">
        <f>IF(OR(E5250="",E5250="!!!",F5250="NEW"),"",COUNTBLANK(OFFSET(A$1,,,SUMPRODUCT(MAX(ROW(E$2:E5250)*(E5250=E$2:E5250)))))-COUNTBLANK(OFFSET(A$1,,,SUMPRODUCT(MAX(ROW(E$1:E5249)*(E2=E$1:E5249))))))</f>
        <v> </v>
      </c>
      <c r="K5250" s="26" t="str">
        <f>IF(OR(E5250="",E5250="!!!",F5250="NEW"),"",INDEX(J$1:J5249,SUMPRODUCT(MAX(ROW(E$1:E5249)*(E5250=E$1:E5249)))))</f>
        <v> </v>
      </c>
      <c r="L5250" s="27"/>
    </row>
    <row r="5251" spans="1:12">
      <c r="A5251" s="20" t="s">
        <v>2439</v>
      </c>
      <c r="E5251" s="22">
        <f>IF(D5251="?OLD","!!!","")</f>
        <v/>
      </c>
      <c r="F5251" s="23" t="str">
        <f>IF(OR(E5251="",E5251="!!!"),"",IF(NOT(ISNA(VLOOKUP(E5251,E$1:E5250,1,FALSE()))),"OLD",IF(AND(E5251&lt;&gt;"",E5251&lt;&gt;"!!!"),"NEW","")))</f>
        <v> </v>
      </c>
      <c r="G5251" s="24" t="str">
        <f>IF(OR(E5251="",E5251="!!!"),"",IF(OR(J5251=0,AND(J5251=1,K5251=1),AND(J5251=1,I5251="SBJ"),AND(J5251=1,I5251=0)),"?IN_FOCUS",IF(J5251&lt;=2,"?ACTIVATED",IF(J5251&lt;&gt;"","?FAMILIAR",IF(F5251="NEW",IF(ISNA(VLOOKUP(E5251,#REF!,1,FALSE())),"?TYPE_IDENTIFIABLE","?REFERENTIAL"),"_")))))</f>
        <v> </v>
      </c>
      <c r="H5251" s="25" t="str">
        <f>IF(J5251&lt;&gt;1,"",IF(I5251="SBJ","CB","?"))</f>
        <v> </v>
      </c>
      <c r="I5251" s="26" t="str">
        <f>IF(OR(E5251="",E5251="!!!",F5251="NEW"),"",INDEX(B5250:B$2,-1+SUMPRODUCT(MAX(ROW(E5250:E$2)*(E5251=E5250:E$2)))))</f>
        <v> </v>
      </c>
      <c r="J5251" s="26" t="str">
        <f>IF(OR(E5251="",E5251="!!!",F5251="NEW"),"",COUNTBLANK(OFFSET(A$1,,,SUMPRODUCT(MAX(ROW(E$2:E5251)*(E5251=E$2:E5251)))))-COUNTBLANK(OFFSET(A$1,,,SUMPRODUCT(MAX(ROW(E$1:E5250)*(E2=E$1:E5250))))))</f>
        <v> </v>
      </c>
      <c r="K5251" s="26" t="str">
        <f>IF(OR(E5251="",E5251="!!!",F5251="NEW"),"",INDEX(J$1:J5250,SUMPRODUCT(MAX(ROW(E$1:E5250)*(E5251=E$1:E5250)))))</f>
        <v> </v>
      </c>
      <c r="L5251" s="27"/>
    </row>
    <row r="5252" spans="1:12">
      <c r="A5252" s="20" t="s">
        <v>1014</v>
      </c>
      <c r="E5252" s="22">
        <f>IF(D5252="?OLD","!!!","")</f>
        <v/>
      </c>
      <c r="F5252" s="23" t="str">
        <f>IF(OR(E5252="",E5252="!!!"),"",IF(NOT(ISNA(VLOOKUP(E5252,E$1:E5251,1,FALSE()))),"OLD",IF(AND(E5252&lt;&gt;"",E5252&lt;&gt;"!!!"),"NEW","")))</f>
        <v> </v>
      </c>
      <c r="G5252" s="24" t="str">
        <f>IF(OR(E5252="",E5252="!!!"),"",IF(OR(J5252=0,AND(J5252=1,K5252=1),AND(J5252=1,I5252="SBJ"),AND(J5252=1,I5252=0)),"?IN_FOCUS",IF(J5252&lt;=2,"?ACTIVATED",IF(J5252&lt;&gt;"","?FAMILIAR",IF(F5252="NEW",IF(ISNA(VLOOKUP(E5252,#REF!,1,FALSE())),"?TYPE_IDENTIFIABLE","?REFERENTIAL"),"_")))))</f>
        <v> </v>
      </c>
      <c r="H5252" s="25" t="str">
        <f>IF(J5252&lt;&gt;1,"",IF(I5252="SBJ","CB","?"))</f>
        <v> </v>
      </c>
      <c r="I5252" s="26" t="str">
        <f>IF(OR(E5252="",E5252="!!!",F5252="NEW"),"",INDEX(B5251:B$2,-1+SUMPRODUCT(MAX(ROW(E5251:E$2)*(E5252=E5251:E$2)))))</f>
        <v> </v>
      </c>
      <c r="J5252" s="26" t="str">
        <f>IF(OR(E5252="",E5252="!!!",F5252="NEW"),"",COUNTBLANK(OFFSET(A$1,,,SUMPRODUCT(MAX(ROW(E$2:E5252)*(E5252=E$2:E5252)))))-COUNTBLANK(OFFSET(A$1,,,SUMPRODUCT(MAX(ROW(E$1:E5251)*(E2=E$1:E5251))))))</f>
        <v> </v>
      </c>
      <c r="K5252" s="26" t="str">
        <f>IF(OR(E5252="",E5252="!!!",F5252="NEW"),"",INDEX(J$1:J5251,SUMPRODUCT(MAX(ROW(E$1:E5251)*(E5252=E$1:E5251)))))</f>
        <v> </v>
      </c>
      <c r="L5252" s="27"/>
    </row>
    <row r="5253" spans="1:12">
      <c r="A5253" s="20" t="s">
        <v>1324</v>
      </c>
      <c r="E5253" s="22">
        <f>IF(D5253="?OLD","!!!","")</f>
        <v/>
      </c>
      <c r="F5253" s="23" t="str">
        <f>IF(OR(E5253="",E5253="!!!"),"",IF(NOT(ISNA(VLOOKUP(E5253,E$1:E5252,1,FALSE()))),"OLD",IF(AND(E5253&lt;&gt;"",E5253&lt;&gt;"!!!"),"NEW","")))</f>
        <v> </v>
      </c>
      <c r="G5253" s="24" t="str">
        <f>IF(OR(E5253="",E5253="!!!"),"",IF(OR(J5253=0,AND(J5253=1,K5253=1),AND(J5253=1,I5253="SBJ"),AND(J5253=1,I5253=0)),"?IN_FOCUS",IF(J5253&lt;=2,"?ACTIVATED",IF(J5253&lt;&gt;"","?FAMILIAR",IF(F5253="NEW",IF(ISNA(VLOOKUP(E5253,#REF!,1,FALSE())),"?TYPE_IDENTIFIABLE","?REFERENTIAL"),"_")))))</f>
        <v> </v>
      </c>
      <c r="H5253" s="25" t="str">
        <f>IF(J5253&lt;&gt;1,"",IF(I5253="SBJ","CB","?"))</f>
        <v> </v>
      </c>
      <c r="I5253" s="26" t="str">
        <f>IF(OR(E5253="",E5253="!!!",F5253="NEW"),"",INDEX(B5252:B$2,-1+SUMPRODUCT(MAX(ROW(E5252:E$2)*(E5253=E5252:E$2)))))</f>
        <v> </v>
      </c>
      <c r="J5253" s="26" t="str">
        <f>IF(OR(E5253="",E5253="!!!",F5253="NEW"),"",COUNTBLANK(OFFSET(A$1,,,SUMPRODUCT(MAX(ROW(E$2:E5253)*(E5253=E$2:E5253)))))-COUNTBLANK(OFFSET(A$1,,,SUMPRODUCT(MAX(ROW(E$1:E5252)*(E2=E$1:E5252))))))</f>
        <v> </v>
      </c>
      <c r="K5253" s="26" t="str">
        <f>IF(OR(E5253="",E5253="!!!",F5253="NEW"),"",INDEX(J$1:J5252,SUMPRODUCT(MAX(ROW(E$1:E5252)*(E5253=E$1:E5252)))))</f>
        <v> </v>
      </c>
      <c r="L5253" s="27"/>
    </row>
    <row r="5254" spans="1:12">
      <c r="A5254" s="20" t="s">
        <v>1021</v>
      </c>
      <c r="B5254" s="21" t="s">
        <v>1253</v>
      </c>
      <c r="C5254" s="21" t="s">
        <v>1006</v>
      </c>
      <c r="D5254" s="21" t="s">
        <v>1007</v>
      </c>
      <c r="E5254" s="22">
        <f>IF(D5254="?OLD","!!!","")</f>
        <v/>
      </c>
      <c r="F5254" s="23" t="str">
        <f>IF(OR(E5254="",E5254="!!!"),"",IF(NOT(ISNA(VLOOKUP(E5254,E$1:E5253,1,FALSE()))),"OLD",IF(AND(E5254&lt;&gt;"",E5254&lt;&gt;"!!!"),"NEW","")))</f>
        <v> </v>
      </c>
      <c r="G5254" s="24" t="str">
        <f>IF(OR(E5254="",E5254="!!!"),"",IF(OR(J5254=0,AND(J5254=1,K5254=1),AND(J5254=1,I5254="SBJ"),AND(J5254=1,I5254=0)),"?IN_FOCUS",IF(J5254&lt;=2,"?ACTIVATED",IF(J5254&lt;&gt;"","?FAMILIAR",IF(F5254="NEW",IF(ISNA(VLOOKUP(E5254,#REF!,1,FALSE())),"?TYPE_IDENTIFIABLE","?REFERENTIAL"),"_")))))</f>
        <v> </v>
      </c>
      <c r="H5254" s="25" t="str">
        <f>IF(J5254&lt;&gt;1,"",IF(I5254="SBJ","CB","?"))</f>
        <v> </v>
      </c>
      <c r="I5254" s="26" t="str">
        <f>IF(OR(E5254="",E5254="!!!",F5254="NEW"),"",INDEX(B5253:B$2,-1+SUMPRODUCT(MAX(ROW(E5253:E$2)*(E5254=E5253:E$2)))))</f>
        <v> </v>
      </c>
      <c r="J5254" s="26" t="str">
        <f>IF(OR(E5254="",E5254="!!!",F5254="NEW"),"",COUNTBLANK(OFFSET(A$1,,,SUMPRODUCT(MAX(ROW(E$2:E5254)*(E5254=E$2:E5254)))))-COUNTBLANK(OFFSET(A$1,,,SUMPRODUCT(MAX(ROW(E$1:E5253)*(E2=E$1:E5253))))))</f>
        <v> </v>
      </c>
      <c r="K5254" s="26" t="str">
        <f>IF(OR(E5254="",E5254="!!!",F5254="NEW"),"",INDEX(J$1:J5253,SUMPRODUCT(MAX(ROW(E$1:E5253)*(E5254=E$1:E5253)))))</f>
        <v> </v>
      </c>
      <c r="L5254" s="27"/>
    </row>
    <row r="5255" spans="1:12">
      <c r="A5255" s="20" t="s">
        <v>1507</v>
      </c>
      <c r="E5255" s="22">
        <f>IF(D5255="?OLD","!!!","")</f>
        <v/>
      </c>
      <c r="F5255" s="23" t="str">
        <f>IF(OR(E5255="",E5255="!!!"),"",IF(NOT(ISNA(VLOOKUP(E5255,E$1:E5254,1,FALSE()))),"OLD",IF(AND(E5255&lt;&gt;"",E5255&lt;&gt;"!!!"),"NEW","")))</f>
        <v> </v>
      </c>
      <c r="G5255" s="24" t="str">
        <f>IF(OR(E5255="",E5255="!!!"),"",IF(OR(J5255=0,AND(J5255=1,K5255=1),AND(J5255=1,I5255="SBJ"),AND(J5255=1,I5255=0)),"?IN_FOCUS",IF(J5255&lt;=2,"?ACTIVATED",IF(J5255&lt;&gt;"","?FAMILIAR",IF(F5255="NEW",IF(ISNA(VLOOKUP(E5255,#REF!,1,FALSE())),"?TYPE_IDENTIFIABLE","?REFERENTIAL"),"_")))))</f>
        <v> </v>
      </c>
      <c r="H5255" s="25" t="str">
        <f>IF(J5255&lt;&gt;1,"",IF(I5255="SBJ","CB","?"))</f>
        <v> </v>
      </c>
      <c r="I5255" s="26" t="str">
        <f>IF(OR(E5255="",E5255="!!!",F5255="NEW"),"",INDEX(B5254:B$2,-1+SUMPRODUCT(MAX(ROW(E5254:E$2)*(E5255=E5254:E$2)))))</f>
        <v> </v>
      </c>
      <c r="J5255" s="26" t="str">
        <f>IF(OR(E5255="",E5255="!!!",F5255="NEW"),"",COUNTBLANK(OFFSET(A$1,,,SUMPRODUCT(MAX(ROW(E$2:E5255)*(E5255=E$2:E5255)))))-COUNTBLANK(OFFSET(A$1,,,SUMPRODUCT(MAX(ROW(E$1:E5254)*(E2=E$1:E5254))))))</f>
        <v> </v>
      </c>
      <c r="K5255" s="26" t="str">
        <f>IF(OR(E5255="",E5255="!!!",F5255="NEW"),"",INDEX(J$1:J5254,SUMPRODUCT(MAX(ROW(E$1:E5254)*(E5255=E$1:E5254)))))</f>
        <v> </v>
      </c>
      <c r="L5255" s="27"/>
    </row>
    <row r="5256" spans="1:12">
      <c r="A5256" s="20" t="s">
        <v>56</v>
      </c>
      <c r="E5256" s="22">
        <f>IF(D5256="?OLD","!!!","")</f>
        <v/>
      </c>
      <c r="F5256" s="23" t="str">
        <f>IF(OR(E5256="",E5256="!!!"),"",IF(NOT(ISNA(VLOOKUP(E5256,E$1:E5255,1,FALSE()))),"OLD",IF(AND(E5256&lt;&gt;"",E5256&lt;&gt;"!!!"),"NEW","")))</f>
        <v> </v>
      </c>
      <c r="G5256" s="24" t="str">
        <f>IF(OR(E5256="",E5256="!!!"),"",IF(OR(J5256=0,AND(J5256=1,K5256=1),AND(J5256=1,I5256="SBJ"),AND(J5256=1,I5256=0)),"?IN_FOCUS",IF(J5256&lt;=2,"?ACTIVATED",IF(J5256&lt;&gt;"","?FAMILIAR",IF(F5256="NEW",IF(ISNA(VLOOKUP(E5256,#REF!,1,FALSE())),"?TYPE_IDENTIFIABLE","?REFERENTIAL"),"_")))))</f>
        <v> </v>
      </c>
      <c r="H5256" s="25" t="str">
        <f>IF(J5256&lt;&gt;1,"",IF(I5256="SBJ","CB","?"))</f>
        <v> </v>
      </c>
      <c r="I5256" s="26" t="str">
        <f>IF(OR(E5256="",E5256="!!!",F5256="NEW"),"",INDEX(B5255:B$2,-1+SUMPRODUCT(MAX(ROW(E5255:E$2)*(E5256=E5255:E$2)))))</f>
        <v> </v>
      </c>
      <c r="J5256" s="26" t="str">
        <f>IF(OR(E5256="",E5256="!!!",F5256="NEW"),"",COUNTBLANK(OFFSET(A$1,,,SUMPRODUCT(MAX(ROW(E$2:E5256)*(E5256=E$2:E5256)))))-COUNTBLANK(OFFSET(A$1,,,SUMPRODUCT(MAX(ROW(E$1:E5255)*(E2=E$1:E5255))))))</f>
        <v> </v>
      </c>
      <c r="K5256" s="26" t="str">
        <f>IF(OR(E5256="",E5256="!!!",F5256="NEW"),"",INDEX(J$1:J5255,SUMPRODUCT(MAX(ROW(E$1:E5255)*(E5256=E$1:E5255)))))</f>
        <v> </v>
      </c>
      <c r="L5256" s="27"/>
    </row>
    <row r="5257" spans="1:12">
      <c r="A5257" s="20" t="s">
        <v>1508</v>
      </c>
      <c r="E5257" s="22">
        <f>IF(D5257="?OLD","!!!","")</f>
        <v/>
      </c>
      <c r="F5257" s="23" t="str">
        <f>IF(OR(E5257="",E5257="!!!"),"",IF(NOT(ISNA(VLOOKUP(E5257,E$1:E5256,1,FALSE()))),"OLD",IF(AND(E5257&lt;&gt;"",E5257&lt;&gt;"!!!"),"NEW","")))</f>
        <v> </v>
      </c>
      <c r="G5257" s="24" t="str">
        <f>IF(OR(E5257="",E5257="!!!"),"",IF(OR(J5257=0,AND(J5257=1,K5257=1),AND(J5257=1,I5257="SBJ"),AND(J5257=1,I5257=0)),"?IN_FOCUS",IF(J5257&lt;=2,"?ACTIVATED",IF(J5257&lt;&gt;"","?FAMILIAR",IF(F5257="NEW",IF(ISNA(VLOOKUP(E5257,#REF!,1,FALSE())),"?TYPE_IDENTIFIABLE","?REFERENTIAL"),"_")))))</f>
        <v> </v>
      </c>
      <c r="H5257" s="25" t="str">
        <f>IF(J5257&lt;&gt;1,"",IF(I5257="SBJ","CB","?"))</f>
        <v> </v>
      </c>
      <c r="I5257" s="26" t="str">
        <f>IF(OR(E5257="",E5257="!!!",F5257="NEW"),"",INDEX(B5256:B$2,-1+SUMPRODUCT(MAX(ROW(E5256:E$2)*(E5257=E5256:E$2)))))</f>
        <v> </v>
      </c>
      <c r="J5257" s="26" t="str">
        <f>IF(OR(E5257="",E5257="!!!",F5257="NEW"),"",COUNTBLANK(OFFSET(A$1,,,SUMPRODUCT(MAX(ROW(E$2:E5257)*(E5257=E$2:E5257)))))-COUNTBLANK(OFFSET(A$1,,,SUMPRODUCT(MAX(ROW(E$1:E5256)*(E2=E$1:E5256))))))</f>
        <v> </v>
      </c>
      <c r="K5257" s="26" t="str">
        <f>IF(OR(E5257="",E5257="!!!",F5257="NEW"),"",INDEX(J$1:J5256,SUMPRODUCT(MAX(ROW(E$1:E5256)*(E5257=E$1:E5256)))))</f>
        <v> </v>
      </c>
      <c r="L5257" s="27"/>
    </row>
    <row r="5258" spans="1:12">
      <c r="A5258" s="20" t="s">
        <v>1023</v>
      </c>
      <c r="E5258" s="22">
        <f>IF(D5258="?OLD","!!!","")</f>
        <v/>
      </c>
      <c r="F5258" s="23" t="str">
        <f>IF(OR(E5258="",E5258="!!!"),"",IF(NOT(ISNA(VLOOKUP(E5258,E$1:E5257,1,FALSE()))),"OLD",IF(AND(E5258&lt;&gt;"",E5258&lt;&gt;"!!!"),"NEW","")))</f>
        <v> </v>
      </c>
      <c r="G5258" s="24" t="str">
        <f>IF(OR(E5258="",E5258="!!!"),"",IF(OR(J5258=0,AND(J5258=1,K5258=1),AND(J5258=1,I5258="SBJ"),AND(J5258=1,I5258=0)),"?IN_FOCUS",IF(J5258&lt;=2,"?ACTIVATED",IF(J5258&lt;&gt;"","?FAMILIAR",IF(F5258="NEW",IF(ISNA(VLOOKUP(E5258,#REF!,1,FALSE())),"?TYPE_IDENTIFIABLE","?REFERENTIAL"),"_")))))</f>
        <v> </v>
      </c>
      <c r="H5258" s="25" t="str">
        <f>IF(J5258&lt;&gt;1,"",IF(I5258="SBJ","CB","?"))</f>
        <v> </v>
      </c>
      <c r="I5258" s="26" t="str">
        <f>IF(OR(E5258="",E5258="!!!",F5258="NEW"),"",INDEX(B5257:B$2,-1+SUMPRODUCT(MAX(ROW(E5257:E$2)*(E5258=E5257:E$2)))))</f>
        <v> </v>
      </c>
      <c r="J5258" s="26" t="str">
        <f>IF(OR(E5258="",E5258="!!!",F5258="NEW"),"",COUNTBLANK(OFFSET(A$1,,,SUMPRODUCT(MAX(ROW(E$2:E5258)*(E5258=E$2:E5258)))))-COUNTBLANK(OFFSET(A$1,,,SUMPRODUCT(MAX(ROW(E$1:E5257)*(E2=E$1:E5257))))))</f>
        <v> </v>
      </c>
      <c r="K5258" s="26" t="str">
        <f>IF(OR(E5258="",E5258="!!!",F5258="NEW"),"",INDEX(J$1:J5257,SUMPRODUCT(MAX(ROW(E$1:E5257)*(E5258=E$1:E5257)))))</f>
        <v> </v>
      </c>
      <c r="L5258" s="27"/>
    </row>
    <row r="5259" spans="1:12">
      <c r="A5259" s="20"/>
    </row>
    <row r="5260" spans="1:12">
      <c r="A5260" s="20" t="s">
        <v>2440</v>
      </c>
    </row>
    <row r="5261" spans="1:12">
      <c r="A5261" s="20" t="s">
        <v>2441</v>
      </c>
      <c r="E5261" s="22">
        <f>IF(D5261="?OLD","!!!","")</f>
        <v/>
      </c>
      <c r="F5261" s="23" t="str">
        <f>IF(OR(E5261="",E5261="!!!"),"",IF(NOT(ISNA(VLOOKUP(E5261,E$1:E5260,1,FALSE()))),"OLD",IF(AND(E5261&lt;&gt;"",E5261&lt;&gt;"!!!"),"NEW","")))</f>
        <v> </v>
      </c>
      <c r="G5261" s="24" t="str">
        <f>IF(OR(E5261="",E5261="!!!"),"",IF(OR(J5261=0,AND(J5261=1,K5261=1),AND(J5261=1,I5261="SBJ"),AND(J5261=1,I5261=0)),"?IN_FOCUS",IF(J5261&lt;=2,"?ACTIVATED",IF(J5261&lt;&gt;"","?FAMILIAR",IF(F5261="NEW",IF(ISNA(VLOOKUP(E5261,#REF!,1,FALSE())),"?TYPE_IDENTIFIABLE","?REFERENTIAL"),"_")))))</f>
        <v> </v>
      </c>
      <c r="H5261" s="25" t="str">
        <f>IF(J5261&lt;&gt;1,"",IF(I5261="SBJ","CB","?"))</f>
        <v> </v>
      </c>
      <c r="I5261" s="26" t="str">
        <f>IF(OR(E5261="",E5261="!!!",F5261="NEW"),"",INDEX(B5260:B$2,-1+SUMPRODUCT(MAX(ROW(E5260:E$2)*(E5261=E5260:E$2)))))</f>
        <v> </v>
      </c>
      <c r="J5261" s="26" t="str">
        <f>IF(OR(E5261="",E5261="!!!",F5261="NEW"),"",COUNTBLANK(OFFSET(A$1,,,SUMPRODUCT(MAX(ROW(E$2:E5261)*(E5261=E$2:E5261)))))-COUNTBLANK(OFFSET(A$1,,,SUMPRODUCT(MAX(ROW(E$1:E5260)*(E2=E$1:E5260))))))</f>
        <v> </v>
      </c>
      <c r="K5261" s="26" t="str">
        <f>IF(OR(E5261="",E5261="!!!",F5261="NEW"),"",INDEX(J$1:J5260,SUMPRODUCT(MAX(ROW(E$1:E5260)*(E5261=E$1:E5260)))))</f>
        <v> </v>
      </c>
      <c r="L5261" s="27"/>
    </row>
    <row r="5262" spans="1:12">
      <c r="A5262" s="20" t="s">
        <v>1321</v>
      </c>
      <c r="B5262" s="21" t="s">
        <v>1085</v>
      </c>
      <c r="C5262" s="21" t="s">
        <v>1082</v>
      </c>
      <c r="D5262" s="21" t="s">
        <v>1007</v>
      </c>
      <c r="E5262" s="22">
        <f>IF(D5262="?OLD","!!!","")</f>
        <v/>
      </c>
      <c r="F5262" s="23" t="str">
        <f>IF(OR(E5262="",E5262="!!!"),"",IF(NOT(ISNA(VLOOKUP(E5262,E$1:E5261,1,FALSE()))),"OLD",IF(AND(E5262&lt;&gt;"",E5262&lt;&gt;"!!!"),"NEW","")))</f>
        <v> </v>
      </c>
      <c r="G5262" s="24" t="str">
        <f>IF(OR(E5262="",E5262="!!!"),"",IF(OR(J5262=0,AND(J5262=1,K5262=1),AND(J5262=1,I5262="SBJ"),AND(J5262=1,I5262=0)),"?IN_FOCUS",IF(J5262&lt;=2,"?ACTIVATED",IF(J5262&lt;&gt;"","?FAMILIAR",IF(F5262="NEW",IF(ISNA(VLOOKUP(E5262,#REF!,1,FALSE())),"?TYPE_IDENTIFIABLE","?REFERENTIAL"),"_")))))</f>
        <v> </v>
      </c>
      <c r="H5262" s="25" t="str">
        <f>IF(J5262&lt;&gt;1,"",IF(I5262="SBJ","CB","?"))</f>
        <v> </v>
      </c>
      <c r="I5262" s="26" t="str">
        <f>IF(OR(E5262="",E5262="!!!",F5262="NEW"),"",INDEX(B5261:B$2,-1+SUMPRODUCT(MAX(ROW(E5261:E$2)*(E5262=E5261:E$2)))))</f>
        <v> </v>
      </c>
      <c r="J5262" s="26" t="str">
        <f>IF(OR(E5262="",E5262="!!!",F5262="NEW"),"",COUNTBLANK(OFFSET(A$1,,,SUMPRODUCT(MAX(ROW(E$2:E5262)*(E5262=E$2:E5262)))))-COUNTBLANK(OFFSET(A$1,,,SUMPRODUCT(MAX(ROW(E$1:E5261)*(E2=E$1:E5261))))))</f>
        <v> </v>
      </c>
      <c r="K5262" s="26" t="str">
        <f>IF(OR(E5262="",E5262="!!!",F5262="NEW"),"",INDEX(J$1:J5261,SUMPRODUCT(MAX(ROW(E$1:E5261)*(E5262=E$1:E5261)))))</f>
        <v> </v>
      </c>
      <c r="L5262" s="27"/>
    </row>
    <row r="5263" spans="1:12">
      <c r="A5263" s="20" t="s">
        <v>1020</v>
      </c>
      <c r="E5263" s="22">
        <f>IF(D5263="?OLD","!!!","")</f>
        <v/>
      </c>
      <c r="F5263" s="23" t="str">
        <f>IF(OR(E5263="",E5263="!!!"),"",IF(NOT(ISNA(VLOOKUP(E5263,E$1:E5262,1,FALSE()))),"OLD",IF(AND(E5263&lt;&gt;"",E5263&lt;&gt;"!!!"),"NEW","")))</f>
        <v> </v>
      </c>
      <c r="G5263" s="24" t="str">
        <f>IF(OR(E5263="",E5263="!!!"),"",IF(OR(J5263=0,AND(J5263=1,K5263=1),AND(J5263=1,I5263="SBJ"),AND(J5263=1,I5263=0)),"?IN_FOCUS",IF(J5263&lt;=2,"?ACTIVATED",IF(J5263&lt;&gt;"","?FAMILIAR",IF(F5263="NEW",IF(ISNA(VLOOKUP(E5263,#REF!,1,FALSE())),"?TYPE_IDENTIFIABLE","?REFERENTIAL"),"_")))))</f>
        <v> </v>
      </c>
      <c r="H5263" s="25" t="str">
        <f>IF(J5263&lt;&gt;1,"",IF(I5263="SBJ","CB","?"))</f>
        <v> </v>
      </c>
      <c r="I5263" s="26" t="str">
        <f>IF(OR(E5263="",E5263="!!!",F5263="NEW"),"",INDEX(B5262:B$2,-1+SUMPRODUCT(MAX(ROW(E5262:E$2)*(E5263=E5262:E$2)))))</f>
        <v> </v>
      </c>
      <c r="J5263" s="26" t="str">
        <f>IF(OR(E5263="",E5263="!!!",F5263="NEW"),"",COUNTBLANK(OFFSET(A$1,,,SUMPRODUCT(MAX(ROW(E$2:E5263)*(E5263=E$2:E5263)))))-COUNTBLANK(OFFSET(A$1,,,SUMPRODUCT(MAX(ROW(E$1:E5262)*(E2=E$1:E5262))))))</f>
        <v> </v>
      </c>
      <c r="K5263" s="26" t="str">
        <f>IF(OR(E5263="",E5263="!!!",F5263="NEW"),"",INDEX(J$1:J5262,SUMPRODUCT(MAX(ROW(E$1:E5262)*(E5263=E$1:E5262)))))</f>
        <v> </v>
      </c>
      <c r="L5263" s="27"/>
    </row>
    <row r="5264" spans="1:12">
      <c r="A5264" s="20" t="s">
        <v>1669</v>
      </c>
      <c r="B5264" s="21" t="s">
        <v>1119</v>
      </c>
      <c r="C5264" s="21" t="s">
        <v>1082</v>
      </c>
      <c r="D5264" s="21" t="s">
        <v>1007</v>
      </c>
      <c r="E5264" s="22">
        <f>IF(D5264="?OLD","!!!","")</f>
        <v/>
      </c>
      <c r="F5264" s="23" t="str">
        <f>IF(OR(E5264="",E5264="!!!"),"",IF(NOT(ISNA(VLOOKUP(E5264,E$1:E5263,1,FALSE()))),"OLD",IF(AND(E5264&lt;&gt;"",E5264&lt;&gt;"!!!"),"NEW","")))</f>
        <v> </v>
      </c>
      <c r="G5264" s="24" t="str">
        <f>IF(OR(E5264="",E5264="!!!"),"",IF(OR(J5264=0,AND(J5264=1,K5264=1),AND(J5264=1,I5264="SBJ"),AND(J5264=1,I5264=0)),"?IN_FOCUS",IF(J5264&lt;=2,"?ACTIVATED",IF(J5264&lt;&gt;"","?FAMILIAR",IF(F5264="NEW",IF(ISNA(VLOOKUP(E5264,#REF!,1,FALSE())),"?TYPE_IDENTIFIABLE","?REFERENTIAL"),"_")))))</f>
        <v> </v>
      </c>
      <c r="H5264" s="25" t="str">
        <f>IF(J5264&lt;&gt;1,"",IF(I5264="SBJ","CB","?"))</f>
        <v> </v>
      </c>
      <c r="I5264" s="26" t="str">
        <f>IF(OR(E5264="",E5264="!!!",F5264="NEW"),"",INDEX(B5263:B$2,-1+SUMPRODUCT(MAX(ROW(E5263:E$2)*(E5264=E5263:E$2)))))</f>
        <v> </v>
      </c>
      <c r="J5264" s="26" t="str">
        <f>IF(OR(E5264="",E5264="!!!",F5264="NEW"),"",COUNTBLANK(OFFSET(A$1,,,SUMPRODUCT(MAX(ROW(E$2:E5264)*(E5264=E$2:E5264)))))-COUNTBLANK(OFFSET(A$1,,,SUMPRODUCT(MAX(ROW(E$1:E5263)*(E2=E$1:E5263))))))</f>
        <v> </v>
      </c>
      <c r="K5264" s="26" t="str">
        <f>IF(OR(E5264="",E5264="!!!",F5264="NEW"),"",INDEX(J$1:J5263,SUMPRODUCT(MAX(ROW(E$1:E5263)*(E5264=E$1:E5263)))))</f>
        <v> </v>
      </c>
      <c r="L5264" s="27"/>
    </row>
    <row r="5265" spans="1:12">
      <c r="A5265" s="20" t="s">
        <v>2442</v>
      </c>
      <c r="E5265" s="22">
        <f>IF(D5265="?OLD","!!!","")</f>
        <v/>
      </c>
      <c r="F5265" s="23" t="str">
        <f>IF(OR(E5265="",E5265="!!!"),"",IF(NOT(ISNA(VLOOKUP(E5265,E$1:E5264,1,FALSE()))),"OLD",IF(AND(E5265&lt;&gt;"",E5265&lt;&gt;"!!!"),"NEW","")))</f>
        <v> </v>
      </c>
      <c r="G5265" s="24" t="str">
        <f>IF(OR(E5265="",E5265="!!!"),"",IF(OR(J5265=0,AND(J5265=1,K5265=1),AND(J5265=1,I5265="SBJ"),AND(J5265=1,I5265=0)),"?IN_FOCUS",IF(J5265&lt;=2,"?ACTIVATED",IF(J5265&lt;&gt;"","?FAMILIAR",IF(F5265="NEW",IF(ISNA(VLOOKUP(E5265,#REF!,1,FALSE())),"?TYPE_IDENTIFIABLE","?REFERENTIAL"),"_")))))</f>
        <v> </v>
      </c>
      <c r="H5265" s="25" t="str">
        <f>IF(J5265&lt;&gt;1,"",IF(I5265="SBJ","CB","?"))</f>
        <v> </v>
      </c>
      <c r="I5265" s="26" t="str">
        <f>IF(OR(E5265="",E5265="!!!",F5265="NEW"),"",INDEX(B5264:B$2,-1+SUMPRODUCT(MAX(ROW(E5264:E$2)*(E5265=E5264:E$2)))))</f>
        <v> </v>
      </c>
      <c r="J5265" s="26" t="str">
        <f>IF(OR(E5265="",E5265="!!!",F5265="NEW"),"",COUNTBLANK(OFFSET(A$1,,,SUMPRODUCT(MAX(ROW(E$2:E5265)*(E5265=E$2:E5265)))))-COUNTBLANK(OFFSET(A$1,,,SUMPRODUCT(MAX(ROW(E$1:E5264)*(E2=E$1:E5264))))))</f>
        <v> </v>
      </c>
      <c r="K5265" s="26" t="str">
        <f>IF(OR(E5265="",E5265="!!!",F5265="NEW"),"",INDEX(J$1:J5264,SUMPRODUCT(MAX(ROW(E$1:E5264)*(E5265=E$1:E5264)))))</f>
        <v> </v>
      </c>
      <c r="L5265" s="27"/>
    </row>
    <row r="5266" spans="1:12">
      <c r="A5266" s="20" t="s">
        <v>1143</v>
      </c>
      <c r="E5266" s="22">
        <f>IF(D5266="?OLD","!!!","")</f>
        <v/>
      </c>
      <c r="F5266" s="23" t="str">
        <f>IF(OR(E5266="",E5266="!!!"),"",IF(NOT(ISNA(VLOOKUP(E5266,E$1:E5265,1,FALSE()))),"OLD",IF(AND(E5266&lt;&gt;"",E5266&lt;&gt;"!!!"),"NEW","")))</f>
        <v> </v>
      </c>
      <c r="G5266" s="24" t="str">
        <f>IF(OR(E5266="",E5266="!!!"),"",IF(OR(J5266=0,AND(J5266=1,K5266=1),AND(J5266=1,I5266="SBJ"),AND(J5266=1,I5266=0)),"?IN_FOCUS",IF(J5266&lt;=2,"?ACTIVATED",IF(J5266&lt;&gt;"","?FAMILIAR",IF(F5266="NEW",IF(ISNA(VLOOKUP(E5266,#REF!,1,FALSE())),"?TYPE_IDENTIFIABLE","?REFERENTIAL"),"_")))))</f>
        <v> </v>
      </c>
      <c r="H5266" s="25" t="str">
        <f>IF(J5266&lt;&gt;1,"",IF(I5266="SBJ","CB","?"))</f>
        <v> </v>
      </c>
      <c r="I5266" s="26" t="str">
        <f>IF(OR(E5266="",E5266="!!!",F5266="NEW"),"",INDEX(B5265:B$2,-1+SUMPRODUCT(MAX(ROW(E5265:E$2)*(E5266=E5265:E$2)))))</f>
        <v> </v>
      </c>
      <c r="J5266" s="26" t="str">
        <f>IF(OR(E5266="",E5266="!!!",F5266="NEW"),"",COUNTBLANK(OFFSET(A$1,,,SUMPRODUCT(MAX(ROW(E$2:E5266)*(E5266=E$2:E5266)))))-COUNTBLANK(OFFSET(A$1,,,SUMPRODUCT(MAX(ROW(E$1:E5265)*(E2=E$1:E5265))))))</f>
        <v> </v>
      </c>
      <c r="K5266" s="26" t="str">
        <f>IF(OR(E5266="",E5266="!!!",F5266="NEW"),"",INDEX(J$1:J5265,SUMPRODUCT(MAX(ROW(E$1:E5265)*(E5266=E$1:E5265)))))</f>
        <v> </v>
      </c>
      <c r="L5266" s="27"/>
    </row>
    <row r="5267" spans="1:12">
      <c r="A5267" s="20" t="s">
        <v>1322</v>
      </c>
      <c r="B5267" s="21" t="s">
        <v>1029</v>
      </c>
      <c r="C5267" s="21" t="s">
        <v>1041</v>
      </c>
      <c r="D5267" s="21" t="s">
        <v>1007</v>
      </c>
      <c r="E5267" s="22">
        <f>IF(D5267="?OLD","!!!","")</f>
        <v/>
      </c>
      <c r="F5267" s="23" t="str">
        <f>IF(OR(E5267="",E5267="!!!"),"",IF(NOT(ISNA(VLOOKUP(E5267,E$1:E5266,1,FALSE()))),"OLD",IF(AND(E5267&lt;&gt;"",E5267&lt;&gt;"!!!"),"NEW","")))</f>
        <v> </v>
      </c>
      <c r="G5267" s="24" t="str">
        <f>IF(OR(E5267="",E5267="!!!"),"",IF(OR(J5267=0,AND(J5267=1,K5267=1),AND(J5267=1,I5267="SBJ"),AND(J5267=1,I5267=0)),"?IN_FOCUS",IF(J5267&lt;=2,"?ACTIVATED",IF(J5267&lt;&gt;"","?FAMILIAR",IF(F5267="NEW",IF(ISNA(VLOOKUP(E5267,#REF!,1,FALSE())),"?TYPE_IDENTIFIABLE","?REFERENTIAL"),"_")))))</f>
        <v> </v>
      </c>
      <c r="H5267" s="25" t="str">
        <f>IF(J5267&lt;&gt;1,"",IF(I5267="SBJ","CB","?"))</f>
        <v> </v>
      </c>
      <c r="I5267" s="26" t="str">
        <f>IF(OR(E5267="",E5267="!!!",F5267="NEW"),"",INDEX(B5266:B$2,-1+SUMPRODUCT(MAX(ROW(E5266:E$2)*(E5267=E5266:E$2)))))</f>
        <v> </v>
      </c>
      <c r="J5267" s="26" t="str">
        <f>IF(OR(E5267="",E5267="!!!",F5267="NEW"),"",COUNTBLANK(OFFSET(A$1,,,SUMPRODUCT(MAX(ROW(E$2:E5267)*(E5267=E$2:E5267)))))-COUNTBLANK(OFFSET(A$1,,,SUMPRODUCT(MAX(ROW(E$1:E5266)*(E2=E$1:E5266))))))</f>
        <v> </v>
      </c>
      <c r="K5267" s="26" t="str">
        <f>IF(OR(E5267="",E5267="!!!",F5267="NEW"),"",INDEX(J$1:J5266,SUMPRODUCT(MAX(ROW(E$1:E5266)*(E5267=E$1:E5266)))))</f>
        <v> </v>
      </c>
      <c r="L5267" s="27"/>
    </row>
    <row r="5268" spans="1:12">
      <c r="A5268" s="20" t="s">
        <v>1018</v>
      </c>
      <c r="E5268" s="22">
        <f>IF(D5268="?OLD","!!!","")</f>
        <v/>
      </c>
      <c r="F5268" s="23" t="str">
        <f>IF(OR(E5268="",E5268="!!!"),"",IF(NOT(ISNA(VLOOKUP(E5268,E$1:E5267,1,FALSE()))),"OLD",IF(AND(E5268&lt;&gt;"",E5268&lt;&gt;"!!!"),"NEW","")))</f>
        <v> </v>
      </c>
      <c r="G5268" s="24" t="str">
        <f>IF(OR(E5268="",E5268="!!!"),"",IF(OR(J5268=0,AND(J5268=1,K5268=1),AND(J5268=1,I5268="SBJ"),AND(J5268=1,I5268=0)),"?IN_FOCUS",IF(J5268&lt;=2,"?ACTIVATED",IF(J5268&lt;&gt;"","?FAMILIAR",IF(F5268="NEW",IF(ISNA(VLOOKUP(E5268,#REF!,1,FALSE())),"?TYPE_IDENTIFIABLE","?REFERENTIAL"),"_")))))</f>
        <v> </v>
      </c>
      <c r="H5268" s="25" t="str">
        <f>IF(J5268&lt;&gt;1,"",IF(I5268="SBJ","CB","?"))</f>
        <v> </v>
      </c>
      <c r="I5268" s="26" t="str">
        <f>IF(OR(E5268="",E5268="!!!",F5268="NEW"),"",INDEX(B5267:B$2,-1+SUMPRODUCT(MAX(ROW(E5267:E$2)*(E5268=E5267:E$2)))))</f>
        <v> </v>
      </c>
      <c r="J5268" s="26" t="str">
        <f>IF(OR(E5268="",E5268="!!!",F5268="NEW"),"",COUNTBLANK(OFFSET(A$1,,,SUMPRODUCT(MAX(ROW(E$2:E5268)*(E5268=E$2:E5268)))))-COUNTBLANK(OFFSET(A$1,,,SUMPRODUCT(MAX(ROW(E$1:E5267)*(E2=E$1:E5267))))))</f>
        <v> </v>
      </c>
      <c r="K5268" s="26" t="str">
        <f>IF(OR(E5268="",E5268="!!!",F5268="NEW"),"",INDEX(J$1:J5267,SUMPRODUCT(MAX(ROW(E$1:E5267)*(E5268=E$1:E5267)))))</f>
        <v> </v>
      </c>
      <c r="L5268" s="27"/>
    </row>
    <row r="5269" spans="1:12">
      <c r="A5269" s="20" t="s">
        <v>1097</v>
      </c>
      <c r="E5269" s="22">
        <f>IF(D5269="?OLD","!!!","")</f>
        <v/>
      </c>
      <c r="F5269" s="23" t="str">
        <f>IF(OR(E5269="",E5269="!!!"),"",IF(NOT(ISNA(VLOOKUP(E5269,E$1:E5268,1,FALSE()))),"OLD",IF(AND(E5269&lt;&gt;"",E5269&lt;&gt;"!!!"),"NEW","")))</f>
        <v> </v>
      </c>
      <c r="G5269" s="24" t="str">
        <f>IF(OR(E5269="",E5269="!!!"),"",IF(OR(J5269=0,AND(J5269=1,K5269=1),AND(J5269=1,I5269="SBJ"),AND(J5269=1,I5269=0)),"?IN_FOCUS",IF(J5269&lt;=2,"?ACTIVATED",IF(J5269&lt;&gt;"","?FAMILIAR",IF(F5269="NEW",IF(ISNA(VLOOKUP(E5269,#REF!,1,FALSE())),"?TYPE_IDENTIFIABLE","?REFERENTIAL"),"_")))))</f>
        <v> </v>
      </c>
      <c r="H5269" s="25" t="str">
        <f>IF(J5269&lt;&gt;1,"",IF(I5269="SBJ","CB","?"))</f>
        <v> </v>
      </c>
      <c r="I5269" s="26" t="str">
        <f>IF(OR(E5269="",E5269="!!!",F5269="NEW"),"",INDEX(B5268:B$2,-1+SUMPRODUCT(MAX(ROW(E5268:E$2)*(E5269=E5268:E$2)))))</f>
        <v> </v>
      </c>
      <c r="J5269" s="26" t="str">
        <f>IF(OR(E5269="",E5269="!!!",F5269="NEW"),"",COUNTBLANK(OFFSET(A$1,,,SUMPRODUCT(MAX(ROW(E$2:E5269)*(E5269=E$2:E5269)))))-COUNTBLANK(OFFSET(A$1,,,SUMPRODUCT(MAX(ROW(E$1:E5268)*(E2=E$1:E5268))))))</f>
        <v> </v>
      </c>
      <c r="K5269" s="26" t="str">
        <f>IF(OR(E5269="",E5269="!!!",F5269="NEW"),"",INDEX(J$1:J5268,SUMPRODUCT(MAX(ROW(E$1:E5268)*(E5269=E$1:E5268)))))</f>
        <v> </v>
      </c>
      <c r="L5269" s="27"/>
    </row>
    <row r="5270" spans="1:12">
      <c r="A5270" s="20" t="s">
        <v>1065</v>
      </c>
      <c r="E5270" s="22">
        <f>IF(D5270="?OLD","!!!","")</f>
        <v/>
      </c>
      <c r="F5270" s="23" t="str">
        <f>IF(OR(E5270="",E5270="!!!"),"",IF(NOT(ISNA(VLOOKUP(E5270,E$1:E5269,1,FALSE()))),"OLD",IF(AND(E5270&lt;&gt;"",E5270&lt;&gt;"!!!"),"NEW","")))</f>
        <v> </v>
      </c>
      <c r="G5270" s="24" t="str">
        <f>IF(OR(E5270="",E5270="!!!"),"",IF(OR(J5270=0,AND(J5270=1,K5270=1),AND(J5270=1,I5270="SBJ"),AND(J5270=1,I5270=0)),"?IN_FOCUS",IF(J5270&lt;=2,"?ACTIVATED",IF(J5270&lt;&gt;"","?FAMILIAR",IF(F5270="NEW",IF(ISNA(VLOOKUP(E5270,#REF!,1,FALSE())),"?TYPE_IDENTIFIABLE","?REFERENTIAL"),"_")))))</f>
        <v> </v>
      </c>
      <c r="H5270" s="25" t="str">
        <f>IF(J5270&lt;&gt;1,"",IF(I5270="SBJ","CB","?"))</f>
        <v> </v>
      </c>
      <c r="I5270" s="26" t="str">
        <f>IF(OR(E5270="",E5270="!!!",F5270="NEW"),"",INDEX(B5269:B$2,-1+SUMPRODUCT(MAX(ROW(E5269:E$2)*(E5270=E5269:E$2)))))</f>
        <v> </v>
      </c>
      <c r="J5270" s="26" t="str">
        <f>IF(OR(E5270="",E5270="!!!",F5270="NEW"),"",COUNTBLANK(OFFSET(A$1,,,SUMPRODUCT(MAX(ROW(E$2:E5270)*(E5270=E$2:E5270)))))-COUNTBLANK(OFFSET(A$1,,,SUMPRODUCT(MAX(ROW(E$1:E5269)*(E2=E$1:E5269))))))</f>
        <v> </v>
      </c>
      <c r="K5270" s="26" t="str">
        <f>IF(OR(E5270="",E5270="!!!",F5270="NEW"),"",INDEX(J$1:J5269,SUMPRODUCT(MAX(ROW(E$1:E5269)*(E5270=E$1:E5269)))))</f>
        <v> </v>
      </c>
      <c r="L5270" s="27"/>
    </row>
    <row r="5271" spans="1:12">
      <c r="A5271" s="20" t="s">
        <v>1020</v>
      </c>
      <c r="E5271" s="22">
        <f>IF(D5271="?OLD","!!!","")</f>
        <v/>
      </c>
      <c r="F5271" s="23" t="str">
        <f>IF(OR(E5271="",E5271="!!!"),"",IF(NOT(ISNA(VLOOKUP(E5271,E$1:E5270,1,FALSE()))),"OLD",IF(AND(E5271&lt;&gt;"",E5271&lt;&gt;"!!!"),"NEW","")))</f>
        <v> </v>
      </c>
      <c r="G5271" s="24" t="str">
        <f>IF(OR(E5271="",E5271="!!!"),"",IF(OR(J5271=0,AND(J5271=1,K5271=1),AND(J5271=1,I5271="SBJ"),AND(J5271=1,I5271=0)),"?IN_FOCUS",IF(J5271&lt;=2,"?ACTIVATED",IF(J5271&lt;&gt;"","?FAMILIAR",IF(F5271="NEW",IF(ISNA(VLOOKUP(E5271,#REF!,1,FALSE())),"?TYPE_IDENTIFIABLE","?REFERENTIAL"),"_")))))</f>
        <v> </v>
      </c>
      <c r="H5271" s="25" t="str">
        <f>IF(J5271&lt;&gt;1,"",IF(I5271="SBJ","CB","?"))</f>
        <v> </v>
      </c>
      <c r="I5271" s="26" t="str">
        <f>IF(OR(E5271="",E5271="!!!",F5271="NEW"),"",INDEX(B5270:B$2,-1+SUMPRODUCT(MAX(ROW(E5270:E$2)*(E5271=E5270:E$2)))))</f>
        <v> </v>
      </c>
      <c r="J5271" s="26" t="str">
        <f>IF(OR(E5271="",E5271="!!!",F5271="NEW"),"",COUNTBLANK(OFFSET(A$1,,,SUMPRODUCT(MAX(ROW(E$2:E5271)*(E5271=E$2:E5271)))))-COUNTBLANK(OFFSET(A$1,,,SUMPRODUCT(MAX(ROW(E$1:E5270)*(E2=E$1:E5270))))))</f>
        <v> </v>
      </c>
      <c r="K5271" s="26" t="str">
        <f>IF(OR(E5271="",E5271="!!!",F5271="NEW"),"",INDEX(J$1:J5270,SUMPRODUCT(MAX(ROW(E$1:E5270)*(E5271=E$1:E5270)))))</f>
        <v> </v>
      </c>
      <c r="L5271" s="27"/>
    </row>
    <row r="5272" spans="1:12">
      <c r="A5272" s="20" t="s">
        <v>2443</v>
      </c>
      <c r="E5272" s="22">
        <f>IF(D5272="?OLD","!!!","")</f>
        <v/>
      </c>
      <c r="F5272" s="23" t="str">
        <f>IF(OR(E5272="",E5272="!!!"),"",IF(NOT(ISNA(VLOOKUP(E5272,E$1:E5271,1,FALSE()))),"OLD",IF(AND(E5272&lt;&gt;"",E5272&lt;&gt;"!!!"),"NEW","")))</f>
        <v> </v>
      </c>
      <c r="G5272" s="24" t="str">
        <f>IF(OR(E5272="",E5272="!!!"),"",IF(OR(J5272=0,AND(J5272=1,K5272=1),AND(J5272=1,I5272="SBJ"),AND(J5272=1,I5272=0)),"?IN_FOCUS",IF(J5272&lt;=2,"?ACTIVATED",IF(J5272&lt;&gt;"","?FAMILIAR",IF(F5272="NEW",IF(ISNA(VLOOKUP(E5272,#REF!,1,FALSE())),"?TYPE_IDENTIFIABLE","?REFERENTIAL"),"_")))))</f>
        <v> </v>
      </c>
      <c r="H5272" s="25" t="str">
        <f>IF(J5272&lt;&gt;1,"",IF(I5272="SBJ","CB","?"))</f>
        <v> </v>
      </c>
      <c r="I5272" s="26" t="str">
        <f>IF(OR(E5272="",E5272="!!!",F5272="NEW"),"",INDEX(B5271:B$2,-1+SUMPRODUCT(MAX(ROW(E5271:E$2)*(E5272=E5271:E$2)))))</f>
        <v> </v>
      </c>
      <c r="J5272" s="26" t="str">
        <f>IF(OR(E5272="",E5272="!!!",F5272="NEW"),"",COUNTBLANK(OFFSET(A$1,,,SUMPRODUCT(MAX(ROW(E$2:E5272)*(E5272=E$2:E5272)))))-COUNTBLANK(OFFSET(A$1,,,SUMPRODUCT(MAX(ROW(E$1:E5271)*(E2=E$1:E5271))))))</f>
        <v> </v>
      </c>
      <c r="K5272" s="26" t="str">
        <f>IF(OR(E5272="",E5272="!!!",F5272="NEW"),"",INDEX(J$1:J5271,SUMPRODUCT(MAX(ROW(E$1:E5271)*(E5272=E$1:E5271)))))</f>
        <v> </v>
      </c>
      <c r="L5272" s="27"/>
    </row>
    <row r="5273" spans="1:12">
      <c r="A5273" s="20" t="s">
        <v>808</v>
      </c>
      <c r="B5273" s="21" t="s">
        <v>1154</v>
      </c>
      <c r="C5273" s="21" t="s">
        <v>1013</v>
      </c>
      <c r="D5273" s="21" t="s">
        <v>1007</v>
      </c>
      <c r="E5273" s="22">
        <f>IF(D5273="?OLD","!!!","")</f>
        <v/>
      </c>
      <c r="F5273" s="23" t="str">
        <f>IF(OR(E5273="",E5273="!!!"),"",IF(NOT(ISNA(VLOOKUP(E5273,E$1:E5272,1,FALSE()))),"OLD",IF(AND(E5273&lt;&gt;"",E5273&lt;&gt;"!!!"),"NEW","")))</f>
        <v> </v>
      </c>
      <c r="G5273" s="24" t="str">
        <f>IF(OR(E5273="",E5273="!!!"),"",IF(OR(J5273=0,AND(J5273=1,K5273=1),AND(J5273=1,I5273="SBJ"),AND(J5273=1,I5273=0)),"?IN_FOCUS",IF(J5273&lt;=2,"?ACTIVATED",IF(J5273&lt;&gt;"","?FAMILIAR",IF(F5273="NEW",IF(ISNA(VLOOKUP(E5273,#REF!,1,FALSE())),"?TYPE_IDENTIFIABLE","?REFERENTIAL"),"_")))))</f>
        <v> </v>
      </c>
      <c r="H5273" s="25" t="str">
        <f>IF(J5273&lt;&gt;1,"",IF(I5273="SBJ","CB","?"))</f>
        <v> </v>
      </c>
      <c r="I5273" s="26" t="str">
        <f>IF(OR(E5273="",E5273="!!!",F5273="NEW"),"",INDEX(B5272:B$2,-1+SUMPRODUCT(MAX(ROW(E5272:E$2)*(E5273=E5272:E$2)))))</f>
        <v> </v>
      </c>
      <c r="J5273" s="26" t="str">
        <f>IF(OR(E5273="",E5273="!!!",F5273="NEW"),"",COUNTBLANK(OFFSET(A$1,,,SUMPRODUCT(MAX(ROW(E$2:E5273)*(E5273=E$2:E5273)))))-COUNTBLANK(OFFSET(A$1,,,SUMPRODUCT(MAX(ROW(E$1:E5272)*(E2=E$1:E5272))))))</f>
        <v> </v>
      </c>
      <c r="K5273" s="26" t="str">
        <f>IF(OR(E5273="",E5273="!!!",F5273="NEW"),"",INDEX(J$1:J5272,SUMPRODUCT(MAX(ROW(E$1:E5272)*(E5273=E$1:E5272)))))</f>
        <v> </v>
      </c>
      <c r="L5273" s="27"/>
    </row>
    <row r="5274" spans="1:12">
      <c r="A5274" s="20" t="s">
        <v>1014</v>
      </c>
      <c r="E5274" s="22">
        <f>IF(D5274="?OLD","!!!","")</f>
        <v/>
      </c>
      <c r="F5274" s="23" t="str">
        <f>IF(OR(E5274="",E5274="!!!"),"",IF(NOT(ISNA(VLOOKUP(E5274,E$1:E5273,1,FALSE()))),"OLD",IF(AND(E5274&lt;&gt;"",E5274&lt;&gt;"!!!"),"NEW","")))</f>
        <v> </v>
      </c>
      <c r="G5274" s="24" t="str">
        <f>IF(OR(E5274="",E5274="!!!"),"",IF(OR(J5274=0,AND(J5274=1,K5274=1),AND(J5274=1,I5274="SBJ"),AND(J5274=1,I5274=0)),"?IN_FOCUS",IF(J5274&lt;=2,"?ACTIVATED",IF(J5274&lt;&gt;"","?FAMILIAR",IF(F5274="NEW",IF(ISNA(VLOOKUP(E5274,#REF!,1,FALSE())),"?TYPE_IDENTIFIABLE","?REFERENTIAL"),"_")))))</f>
        <v> </v>
      </c>
      <c r="H5274" s="25" t="str">
        <f>IF(J5274&lt;&gt;1,"",IF(I5274="SBJ","CB","?"))</f>
        <v> </v>
      </c>
      <c r="I5274" s="26" t="str">
        <f>IF(OR(E5274="",E5274="!!!",F5274="NEW"),"",INDEX(B5273:B$2,-1+SUMPRODUCT(MAX(ROW(E5273:E$2)*(E5274=E5273:E$2)))))</f>
        <v> </v>
      </c>
      <c r="J5274" s="26" t="str">
        <f>IF(OR(E5274="",E5274="!!!",F5274="NEW"),"",COUNTBLANK(OFFSET(A$1,,,SUMPRODUCT(MAX(ROW(E$2:E5274)*(E5274=E$2:E5274)))))-COUNTBLANK(OFFSET(A$1,,,SUMPRODUCT(MAX(ROW(E$1:E5273)*(E2=E$1:E5273))))))</f>
        <v> </v>
      </c>
      <c r="K5274" s="26" t="str">
        <f>IF(OR(E5274="",E5274="!!!",F5274="NEW"),"",INDEX(J$1:J5273,SUMPRODUCT(MAX(ROW(E$1:E5273)*(E5274=E$1:E5273)))))</f>
        <v> </v>
      </c>
      <c r="L5274" s="27"/>
    </row>
    <row r="5275" spans="1:12">
      <c r="A5275" s="20" t="s">
        <v>1604</v>
      </c>
      <c r="B5275" s="21" t="s">
        <v>1035</v>
      </c>
      <c r="C5275" s="21" t="s">
        <v>1082</v>
      </c>
      <c r="D5275" s="21" t="s">
        <v>1007</v>
      </c>
      <c r="E5275" s="22">
        <f>IF(D5275="?OLD","!!!","")</f>
        <v/>
      </c>
      <c r="F5275" s="23" t="str">
        <f>IF(OR(E5275="",E5275="!!!"),"",IF(NOT(ISNA(VLOOKUP(E5275,E$1:E5274,1,FALSE()))),"OLD",IF(AND(E5275&lt;&gt;"",E5275&lt;&gt;"!!!"),"NEW","")))</f>
        <v> </v>
      </c>
      <c r="G5275" s="24" t="str">
        <f>IF(OR(E5275="",E5275="!!!"),"",IF(OR(J5275=0,AND(J5275=1,K5275=1),AND(J5275=1,I5275="SBJ"),AND(J5275=1,I5275=0)),"?IN_FOCUS",IF(J5275&lt;=2,"?ACTIVATED",IF(J5275&lt;&gt;"","?FAMILIAR",IF(F5275="NEW",IF(ISNA(VLOOKUP(E5275,#REF!,1,FALSE())),"?TYPE_IDENTIFIABLE","?REFERENTIAL"),"_")))))</f>
        <v> </v>
      </c>
      <c r="H5275" s="25" t="str">
        <f>IF(J5275&lt;&gt;1,"",IF(I5275="SBJ","CB","?"))</f>
        <v> </v>
      </c>
      <c r="I5275" s="26" t="str">
        <f>IF(OR(E5275="",E5275="!!!",F5275="NEW"),"",INDEX(B5274:B$2,-1+SUMPRODUCT(MAX(ROW(E5274:E$2)*(E5275=E5274:E$2)))))</f>
        <v> </v>
      </c>
      <c r="J5275" s="26" t="str">
        <f>IF(OR(E5275="",E5275="!!!",F5275="NEW"),"",COUNTBLANK(OFFSET(A$1,,,SUMPRODUCT(MAX(ROW(E$2:E5275)*(E5275=E$2:E5275)))))-COUNTBLANK(OFFSET(A$1,,,SUMPRODUCT(MAX(ROW(E$1:E5274)*(E2=E$1:E5274))))))</f>
        <v> </v>
      </c>
      <c r="K5275" s="26" t="str">
        <f>IF(OR(E5275="",E5275="!!!",F5275="NEW"),"",INDEX(J$1:J5274,SUMPRODUCT(MAX(ROW(E$1:E5274)*(E5275=E$1:E5274)))))</f>
        <v> </v>
      </c>
      <c r="L5275" s="27"/>
    </row>
    <row r="5276" spans="1:12">
      <c r="A5276" s="20" t="s">
        <v>2444</v>
      </c>
      <c r="B5276" s="21" t="s">
        <v>1022</v>
      </c>
      <c r="C5276" s="21" t="s">
        <v>1048</v>
      </c>
      <c r="E5276" s="22">
        <f>IF(D5276="?OLD","!!!","")</f>
        <v/>
      </c>
      <c r="F5276" s="23" t="str">
        <f>IF(OR(E5276="",E5276="!!!"),"",IF(NOT(ISNA(VLOOKUP(E5276,E$1:E5275,1,FALSE()))),"OLD",IF(AND(E5276&lt;&gt;"",E5276&lt;&gt;"!!!"),"NEW","")))</f>
        <v> </v>
      </c>
      <c r="G5276" s="24" t="str">
        <f>IF(OR(E5276="",E5276="!!!"),"",IF(OR(J5276=0,AND(J5276=1,K5276=1),AND(J5276=1,I5276="SBJ"),AND(J5276=1,I5276=0)),"?IN_FOCUS",IF(J5276&lt;=2,"?ACTIVATED",IF(J5276&lt;&gt;"","?FAMILIAR",IF(F5276="NEW",IF(ISNA(VLOOKUP(E5276,#REF!,1,FALSE())),"?TYPE_IDENTIFIABLE","?REFERENTIAL"),"_")))))</f>
        <v> </v>
      </c>
      <c r="H5276" s="25" t="str">
        <f>IF(J5276&lt;&gt;1,"",IF(I5276="SBJ","CB","?"))</f>
        <v> </v>
      </c>
      <c r="I5276" s="26" t="str">
        <f>IF(OR(E5276="",E5276="!!!",F5276="NEW"),"",INDEX(B5275:B$2,-1+SUMPRODUCT(MAX(ROW(E5275:E$2)*(E5276=E5275:E$2)))))</f>
        <v> </v>
      </c>
      <c r="J5276" s="26" t="str">
        <f>IF(OR(E5276="",E5276="!!!",F5276="NEW"),"",COUNTBLANK(OFFSET(A$1,,,SUMPRODUCT(MAX(ROW(E$2:E5276)*(E5276=E$2:E5276)))))-COUNTBLANK(OFFSET(A$1,,,SUMPRODUCT(MAX(ROW(E$1:E5275)*(E2=E$1:E5275))))))</f>
        <v> </v>
      </c>
      <c r="K5276" s="26" t="str">
        <f>IF(OR(E5276="",E5276="!!!",F5276="NEW"),"",INDEX(J$1:J5275,SUMPRODUCT(MAX(ROW(E$1:E5275)*(E5276=E$1:E5275)))))</f>
        <v> </v>
      </c>
      <c r="L5276" s="27"/>
    </row>
    <row r="5277" spans="1:12">
      <c r="A5277" s="20" t="s">
        <v>1023</v>
      </c>
      <c r="E5277" s="22">
        <f>IF(D5277="?OLD","!!!","")</f>
        <v/>
      </c>
      <c r="F5277" s="23" t="str">
        <f>IF(OR(E5277="",E5277="!!!"),"",IF(NOT(ISNA(VLOOKUP(E5277,E$1:E5276,1,FALSE()))),"OLD",IF(AND(E5277&lt;&gt;"",E5277&lt;&gt;"!!!"),"NEW","")))</f>
        <v> </v>
      </c>
      <c r="G5277" s="24" t="str">
        <f>IF(OR(E5277="",E5277="!!!"),"",IF(OR(J5277=0,AND(J5277=1,K5277=1),AND(J5277=1,I5277="SBJ"),AND(J5277=1,I5277=0)),"?IN_FOCUS",IF(J5277&lt;=2,"?ACTIVATED",IF(J5277&lt;&gt;"","?FAMILIAR",IF(F5277="NEW",IF(ISNA(VLOOKUP(E5277,#REF!,1,FALSE())),"?TYPE_IDENTIFIABLE","?REFERENTIAL"),"_")))))</f>
        <v> </v>
      </c>
      <c r="H5277" s="25" t="str">
        <f>IF(J5277&lt;&gt;1,"",IF(I5277="SBJ","CB","?"))</f>
        <v> </v>
      </c>
      <c r="I5277" s="26" t="str">
        <f>IF(OR(E5277="",E5277="!!!",F5277="NEW"),"",INDEX(B5276:B$2,-1+SUMPRODUCT(MAX(ROW(E5276:E$2)*(E5277=E5276:E$2)))))</f>
        <v> </v>
      </c>
      <c r="J5277" s="26" t="str">
        <f>IF(OR(E5277="",E5277="!!!",F5277="NEW"),"",COUNTBLANK(OFFSET(A$1,,,SUMPRODUCT(MAX(ROW(E$2:E5277)*(E5277=E$2:E5277)))))-COUNTBLANK(OFFSET(A$1,,,SUMPRODUCT(MAX(ROW(E$1:E5276)*(E2=E$1:E5276))))))</f>
        <v> </v>
      </c>
      <c r="K5277" s="26" t="str">
        <f>IF(OR(E5277="",E5277="!!!",F5277="NEW"),"",INDEX(J$1:J5276,SUMPRODUCT(MAX(ROW(E$1:E5276)*(E5277=E$1:E5276)))))</f>
        <v> </v>
      </c>
      <c r="L5277" s="27"/>
    </row>
    <row r="5278" spans="1:12">
      <c r="A5278" s="20"/>
    </row>
    <row r="5279" spans="1:12">
      <c r="A5279" s="20" t="s">
        <v>2445</v>
      </c>
    </row>
    <row r="5280" spans="1:12">
      <c r="A5280" s="20" t="s">
        <v>1175</v>
      </c>
      <c r="E5280" s="22">
        <f>IF(D5280="?OLD","!!!","")</f>
        <v/>
      </c>
      <c r="F5280" s="23" t="str">
        <f>IF(OR(E5280="",E5280="!!!"),"",IF(NOT(ISNA(VLOOKUP(E5280,E$1:E5279,1,FALSE()))),"OLD",IF(AND(E5280&lt;&gt;"",E5280&lt;&gt;"!!!"),"NEW","")))</f>
        <v> </v>
      </c>
      <c r="G5280" s="24" t="str">
        <f>IF(OR(E5280="",E5280="!!!"),"",IF(OR(J5280=0,AND(J5280=1,K5280=1),AND(J5280=1,I5280="SBJ"),AND(J5280=1,I5280=0)),"?IN_FOCUS",IF(J5280&lt;=2,"?ACTIVATED",IF(J5280&lt;&gt;"","?FAMILIAR",IF(F5280="NEW",IF(ISNA(VLOOKUP(E5280,#REF!,1,FALSE())),"?TYPE_IDENTIFIABLE","?REFERENTIAL"),"_")))))</f>
        <v> </v>
      </c>
      <c r="H5280" s="25" t="str">
        <f>IF(J5280&lt;&gt;1,"",IF(I5280="SBJ","CB","?"))</f>
        <v> </v>
      </c>
      <c r="I5280" s="26" t="str">
        <f>IF(OR(E5280="",E5280="!!!",F5280="NEW"),"",INDEX(B5279:B$2,-1+SUMPRODUCT(MAX(ROW(E5279:E$2)*(E5280=E5279:E$2)))))</f>
        <v> </v>
      </c>
      <c r="J5280" s="26" t="str">
        <f>IF(OR(E5280="",E5280="!!!",F5280="NEW"),"",COUNTBLANK(OFFSET(A$1,,,SUMPRODUCT(MAX(ROW(E$2:E5280)*(E5280=E$2:E5280)))))-COUNTBLANK(OFFSET(A$1,,,SUMPRODUCT(MAX(ROW(E$1:E5279)*(E2=E$1:E5279))))))</f>
        <v> </v>
      </c>
      <c r="K5280" s="26" t="str">
        <f>IF(OR(E5280="",E5280="!!!",F5280="NEW"),"",INDEX(J$1:J5279,SUMPRODUCT(MAX(ROW(E$1:E5279)*(E5280=E$1:E5279)))))</f>
        <v> </v>
      </c>
      <c r="L5280" s="27"/>
    </row>
    <row r="5281" spans="1:12">
      <c r="A5281" s="20" t="s">
        <v>1114</v>
      </c>
      <c r="E5281" s="22">
        <f>IF(D5281="?OLD","!!!","")</f>
        <v/>
      </c>
      <c r="F5281" s="23" t="str">
        <f>IF(OR(E5281="",E5281="!!!"),"",IF(NOT(ISNA(VLOOKUP(E5281,E$1:E5280,1,FALSE()))),"OLD",IF(AND(E5281&lt;&gt;"",E5281&lt;&gt;"!!!"),"NEW","")))</f>
        <v> </v>
      </c>
      <c r="G5281" s="24" t="str">
        <f>IF(OR(E5281="",E5281="!!!"),"",IF(OR(J5281=0,AND(J5281=1,K5281=1),AND(J5281=1,I5281="SBJ"),AND(J5281=1,I5281=0)),"?IN_FOCUS",IF(J5281&lt;=2,"?ACTIVATED",IF(J5281&lt;&gt;"","?FAMILIAR",IF(F5281="NEW",IF(ISNA(VLOOKUP(E5281,#REF!,1,FALSE())),"?TYPE_IDENTIFIABLE","?REFERENTIAL"),"_")))))</f>
        <v> </v>
      </c>
      <c r="H5281" s="25" t="str">
        <f>IF(J5281&lt;&gt;1,"",IF(I5281="SBJ","CB","?"))</f>
        <v> </v>
      </c>
      <c r="I5281" s="26" t="str">
        <f>IF(OR(E5281="",E5281="!!!",F5281="NEW"),"",INDEX(B5280:B$2,-1+SUMPRODUCT(MAX(ROW(E5280:E$2)*(E5281=E5280:E$2)))))</f>
        <v> </v>
      </c>
      <c r="J5281" s="26" t="str">
        <f>IF(OR(E5281="",E5281="!!!",F5281="NEW"),"",COUNTBLANK(OFFSET(A$1,,,SUMPRODUCT(MAX(ROW(E$2:E5281)*(E5281=E$2:E5281)))))-COUNTBLANK(OFFSET(A$1,,,SUMPRODUCT(MAX(ROW(E$1:E5280)*(E2=E$1:E5280))))))</f>
        <v> </v>
      </c>
      <c r="K5281" s="26" t="str">
        <f>IF(OR(E5281="",E5281="!!!",F5281="NEW"),"",INDEX(J$1:J5280,SUMPRODUCT(MAX(ROW(E$1:E5280)*(E5281=E$1:E5280)))))</f>
        <v> </v>
      </c>
      <c r="L5281" s="27"/>
    </row>
    <row r="5282" spans="1:12">
      <c r="A5282" s="20" t="s">
        <v>1142</v>
      </c>
      <c r="E5282" s="22">
        <f>IF(D5282="?OLD","!!!","")</f>
        <v/>
      </c>
      <c r="F5282" s="23" t="str">
        <f>IF(OR(E5282="",E5282="!!!"),"",IF(NOT(ISNA(VLOOKUP(E5282,E$1:E5281,1,FALSE()))),"OLD",IF(AND(E5282&lt;&gt;"",E5282&lt;&gt;"!!!"),"NEW","")))</f>
        <v> </v>
      </c>
      <c r="G5282" s="24" t="str">
        <f>IF(OR(E5282="",E5282="!!!"),"",IF(OR(J5282=0,AND(J5282=1,K5282=1),AND(J5282=1,I5282="SBJ"),AND(J5282=1,I5282=0)),"?IN_FOCUS",IF(J5282&lt;=2,"?ACTIVATED",IF(J5282&lt;&gt;"","?FAMILIAR",IF(F5282="NEW",IF(ISNA(VLOOKUP(E5282,#REF!,1,FALSE())),"?TYPE_IDENTIFIABLE","?REFERENTIAL"),"_")))))</f>
        <v> </v>
      </c>
      <c r="H5282" s="25" t="str">
        <f>IF(J5282&lt;&gt;1,"",IF(I5282="SBJ","CB","?"))</f>
        <v> </v>
      </c>
      <c r="I5282" s="26" t="str">
        <f>IF(OR(E5282="",E5282="!!!",F5282="NEW"),"",INDEX(B5281:B$2,-1+SUMPRODUCT(MAX(ROW(E5281:E$2)*(E5282=E5281:E$2)))))</f>
        <v> </v>
      </c>
      <c r="J5282" s="26" t="str">
        <f>IF(OR(E5282="",E5282="!!!",F5282="NEW"),"",COUNTBLANK(OFFSET(A$1,,,SUMPRODUCT(MAX(ROW(E$2:E5282)*(E5282=E$2:E5282)))))-COUNTBLANK(OFFSET(A$1,,,SUMPRODUCT(MAX(ROW(E$1:E5281)*(E2=E$1:E5281))))))</f>
        <v> </v>
      </c>
      <c r="K5282" s="26" t="str">
        <f>IF(OR(E5282="",E5282="!!!",F5282="NEW"),"",INDEX(J$1:J5281,SUMPRODUCT(MAX(ROW(E$1:E5281)*(E5282=E$1:E5281)))))</f>
        <v> </v>
      </c>
      <c r="L5282" s="27"/>
    </row>
    <row r="5283" spans="1:12">
      <c r="A5283" s="20" t="s">
        <v>2446</v>
      </c>
      <c r="E5283" s="22">
        <f>IF(D5283="?OLD","!!!","")</f>
        <v/>
      </c>
      <c r="F5283" s="23" t="str">
        <f>IF(OR(E5283="",E5283="!!!"),"",IF(NOT(ISNA(VLOOKUP(E5283,E$1:E5282,1,FALSE()))),"OLD",IF(AND(E5283&lt;&gt;"",E5283&lt;&gt;"!!!"),"NEW","")))</f>
        <v> </v>
      </c>
      <c r="G5283" s="24" t="str">
        <f>IF(OR(E5283="",E5283="!!!"),"",IF(OR(J5283=0,AND(J5283=1,K5283=1),AND(J5283=1,I5283="SBJ"),AND(J5283=1,I5283=0)),"?IN_FOCUS",IF(J5283&lt;=2,"?ACTIVATED",IF(J5283&lt;&gt;"","?FAMILIAR",IF(F5283="NEW",IF(ISNA(VLOOKUP(E5283,#REF!,1,FALSE())),"?TYPE_IDENTIFIABLE","?REFERENTIAL"),"_")))))</f>
        <v> </v>
      </c>
      <c r="H5283" s="25" t="str">
        <f>IF(J5283&lt;&gt;1,"",IF(I5283="SBJ","CB","?"))</f>
        <v> </v>
      </c>
      <c r="I5283" s="26" t="str">
        <f>IF(OR(E5283="",E5283="!!!",F5283="NEW"),"",INDEX(B5282:B$2,-1+SUMPRODUCT(MAX(ROW(E5282:E$2)*(E5283=E5282:E$2)))))</f>
        <v> </v>
      </c>
      <c r="J5283" s="26" t="str">
        <f>IF(OR(E5283="",E5283="!!!",F5283="NEW"),"",COUNTBLANK(OFFSET(A$1,,,SUMPRODUCT(MAX(ROW(E$2:E5283)*(E5283=E$2:E5283)))))-COUNTBLANK(OFFSET(A$1,,,SUMPRODUCT(MAX(ROW(E$1:E5282)*(E2=E$1:E5282))))))</f>
        <v> </v>
      </c>
      <c r="K5283" s="26" t="str">
        <f>IF(OR(E5283="",E5283="!!!",F5283="NEW"),"",INDEX(J$1:J5282,SUMPRODUCT(MAX(ROW(E$1:E5282)*(E5283=E$1:E5282)))))</f>
        <v> </v>
      </c>
      <c r="L5283" s="27"/>
    </row>
    <row r="5284" spans="1:12">
      <c r="A5284" s="20" t="s">
        <v>1027</v>
      </c>
      <c r="E5284" s="22">
        <f>IF(D5284="?OLD","!!!","")</f>
        <v/>
      </c>
      <c r="F5284" s="23" t="str">
        <f>IF(OR(E5284="",E5284="!!!"),"",IF(NOT(ISNA(VLOOKUP(E5284,E$1:E5283,1,FALSE()))),"OLD",IF(AND(E5284&lt;&gt;"",E5284&lt;&gt;"!!!"),"NEW","")))</f>
        <v> </v>
      </c>
      <c r="G5284" s="24" t="str">
        <f>IF(OR(E5284="",E5284="!!!"),"",IF(OR(J5284=0,AND(J5284=1,K5284=1),AND(J5284=1,I5284="SBJ"),AND(J5284=1,I5284=0)),"?IN_FOCUS",IF(J5284&lt;=2,"?ACTIVATED",IF(J5284&lt;&gt;"","?FAMILIAR",IF(F5284="NEW",IF(ISNA(VLOOKUP(E5284,#REF!,1,FALSE())),"?TYPE_IDENTIFIABLE","?REFERENTIAL"),"_")))))</f>
        <v> </v>
      </c>
      <c r="H5284" s="25" t="str">
        <f>IF(J5284&lt;&gt;1,"",IF(I5284="SBJ","CB","?"))</f>
        <v> </v>
      </c>
      <c r="I5284" s="26" t="str">
        <f>IF(OR(E5284="",E5284="!!!",F5284="NEW"),"",INDEX(B5283:B$2,-1+SUMPRODUCT(MAX(ROW(E5283:E$2)*(E5284=E5283:E$2)))))</f>
        <v> </v>
      </c>
      <c r="J5284" s="26" t="str">
        <f>IF(OR(E5284="",E5284="!!!",F5284="NEW"),"",COUNTBLANK(OFFSET(A$1,,,SUMPRODUCT(MAX(ROW(E$2:E5284)*(E5284=E$2:E5284)))))-COUNTBLANK(OFFSET(A$1,,,SUMPRODUCT(MAX(ROW(E$1:E5283)*(E2=E$1:E5283))))))</f>
        <v> </v>
      </c>
      <c r="K5284" s="26" t="str">
        <f>IF(OR(E5284="",E5284="!!!",F5284="NEW"),"",INDEX(J$1:J5283,SUMPRODUCT(MAX(ROW(E$1:E5283)*(E5284=E$1:E5283)))))</f>
        <v> </v>
      </c>
      <c r="L5284" s="27"/>
    </row>
    <row r="5285" spans="1:12">
      <c r="A5285" s="20" t="s">
        <v>1063</v>
      </c>
      <c r="B5285" s="21" t="s">
        <v>1085</v>
      </c>
      <c r="C5285" s="21" t="s">
        <v>1017</v>
      </c>
      <c r="D5285" s="21" t="s">
        <v>1007</v>
      </c>
      <c r="E5285" s="22">
        <f>IF(D5285="?OLD","!!!","")</f>
        <v/>
      </c>
      <c r="F5285" s="23" t="str">
        <f>IF(OR(E5285="",E5285="!!!"),"",IF(NOT(ISNA(VLOOKUP(E5285,E$1:E5284,1,FALSE()))),"OLD",IF(AND(E5285&lt;&gt;"",E5285&lt;&gt;"!!!"),"NEW","")))</f>
        <v> </v>
      </c>
      <c r="G5285" s="24" t="str">
        <f>IF(OR(E5285="",E5285="!!!"),"",IF(OR(J5285=0,AND(J5285=1,K5285=1),AND(J5285=1,I5285="SBJ"),AND(J5285=1,I5285=0)),"?IN_FOCUS",IF(J5285&lt;=2,"?ACTIVATED",IF(J5285&lt;&gt;"","?FAMILIAR",IF(F5285="NEW",IF(ISNA(VLOOKUP(E5285,#REF!,1,FALSE())),"?TYPE_IDENTIFIABLE","?REFERENTIAL"),"_")))))</f>
        <v> </v>
      </c>
      <c r="H5285" s="25" t="str">
        <f>IF(J5285&lt;&gt;1,"",IF(I5285="SBJ","CB","?"))</f>
        <v> </v>
      </c>
      <c r="I5285" s="26" t="str">
        <f>IF(OR(E5285="",E5285="!!!",F5285="NEW"),"",INDEX(B5284:B$2,-1+SUMPRODUCT(MAX(ROW(E5284:E$2)*(E5285=E5284:E$2)))))</f>
        <v> </v>
      </c>
      <c r="J5285" s="26" t="str">
        <f>IF(OR(E5285="",E5285="!!!",F5285="NEW"),"",COUNTBLANK(OFFSET(A$1,,,SUMPRODUCT(MAX(ROW(E$2:E5285)*(E5285=E$2:E5285)))))-COUNTBLANK(OFFSET(A$1,,,SUMPRODUCT(MAX(ROW(E$1:E5284)*(E2=E$1:E5284))))))</f>
        <v> </v>
      </c>
      <c r="K5285" s="26" t="str">
        <f>IF(OR(E5285="",E5285="!!!",F5285="NEW"),"",INDEX(J$1:J5284,SUMPRODUCT(MAX(ROW(E$1:E5284)*(E5285=E$1:E5284)))))</f>
        <v> </v>
      </c>
      <c r="L5285" s="27"/>
    </row>
    <row r="5286" spans="1:12">
      <c r="A5286" s="20" t="s">
        <v>1018</v>
      </c>
      <c r="E5286" s="22">
        <f>IF(D5286="?OLD","!!!","")</f>
        <v/>
      </c>
      <c r="F5286" s="23" t="str">
        <f>IF(OR(E5286="",E5286="!!!"),"",IF(NOT(ISNA(VLOOKUP(E5286,E$1:E5285,1,FALSE()))),"OLD",IF(AND(E5286&lt;&gt;"",E5286&lt;&gt;"!!!"),"NEW","")))</f>
        <v> </v>
      </c>
      <c r="G5286" s="24" t="str">
        <f>IF(OR(E5286="",E5286="!!!"),"",IF(OR(J5286=0,AND(J5286=1,K5286=1),AND(J5286=1,I5286="SBJ"),AND(J5286=1,I5286=0)),"?IN_FOCUS",IF(J5286&lt;=2,"?ACTIVATED",IF(J5286&lt;&gt;"","?FAMILIAR",IF(F5286="NEW",IF(ISNA(VLOOKUP(E5286,#REF!,1,FALSE())),"?TYPE_IDENTIFIABLE","?REFERENTIAL"),"_")))))</f>
        <v> </v>
      </c>
      <c r="H5286" s="25" t="str">
        <f>IF(J5286&lt;&gt;1,"",IF(I5286="SBJ","CB","?"))</f>
        <v> </v>
      </c>
      <c r="I5286" s="26" t="str">
        <f>IF(OR(E5286="",E5286="!!!",F5286="NEW"),"",INDEX(B5285:B$2,-1+SUMPRODUCT(MAX(ROW(E5285:E$2)*(E5286=E5285:E$2)))))</f>
        <v> </v>
      </c>
      <c r="J5286" s="26" t="str">
        <f>IF(OR(E5286="",E5286="!!!",F5286="NEW"),"",COUNTBLANK(OFFSET(A$1,,,SUMPRODUCT(MAX(ROW(E$2:E5286)*(E5286=E$2:E5286)))))-COUNTBLANK(OFFSET(A$1,,,SUMPRODUCT(MAX(ROW(E$1:E5285)*(E2=E$1:E5285))))))</f>
        <v> </v>
      </c>
      <c r="K5286" s="26" t="str">
        <f>IF(OR(E5286="",E5286="!!!",F5286="NEW"),"",INDEX(J$1:J5285,SUMPRODUCT(MAX(ROW(E$1:E5285)*(E5286=E$1:E5285)))))</f>
        <v> </v>
      </c>
      <c r="L5286" s="27"/>
    </row>
    <row r="5287" spans="1:12">
      <c r="A5287" s="20" t="s">
        <v>1114</v>
      </c>
      <c r="E5287" s="22">
        <f>IF(D5287="?OLD","!!!","")</f>
        <v/>
      </c>
      <c r="F5287" s="23" t="str">
        <f>IF(OR(E5287="",E5287="!!!"),"",IF(NOT(ISNA(VLOOKUP(E5287,E$1:E5286,1,FALSE()))),"OLD",IF(AND(E5287&lt;&gt;"",E5287&lt;&gt;"!!!"),"NEW","")))</f>
        <v> </v>
      </c>
      <c r="G5287" s="24" t="str">
        <f>IF(OR(E5287="",E5287="!!!"),"",IF(OR(J5287=0,AND(J5287=1,K5287=1),AND(J5287=1,I5287="SBJ"),AND(J5287=1,I5287=0)),"?IN_FOCUS",IF(J5287&lt;=2,"?ACTIVATED",IF(J5287&lt;&gt;"","?FAMILIAR",IF(F5287="NEW",IF(ISNA(VLOOKUP(E5287,#REF!,1,FALSE())),"?TYPE_IDENTIFIABLE","?REFERENTIAL"),"_")))))</f>
        <v> </v>
      </c>
      <c r="H5287" s="25" t="str">
        <f>IF(J5287&lt;&gt;1,"",IF(I5287="SBJ","CB","?"))</f>
        <v> </v>
      </c>
      <c r="I5287" s="26" t="str">
        <f>IF(OR(E5287="",E5287="!!!",F5287="NEW"),"",INDEX(B5286:B$2,-1+SUMPRODUCT(MAX(ROW(E5286:E$2)*(E5287=E5286:E$2)))))</f>
        <v> </v>
      </c>
      <c r="J5287" s="26" t="str">
        <f>IF(OR(E5287="",E5287="!!!",F5287="NEW"),"",COUNTBLANK(OFFSET(A$1,,,SUMPRODUCT(MAX(ROW(E$2:E5287)*(E5287=E$2:E5287)))))-COUNTBLANK(OFFSET(A$1,,,SUMPRODUCT(MAX(ROW(E$1:E5286)*(E2=E$1:E5286))))))</f>
        <v> </v>
      </c>
      <c r="K5287" s="26" t="str">
        <f>IF(OR(E5287="",E5287="!!!",F5287="NEW"),"",INDEX(J$1:J5286,SUMPRODUCT(MAX(ROW(E$1:E5286)*(E5287=E$1:E5286)))))</f>
        <v> </v>
      </c>
      <c r="L5287" s="27"/>
    </row>
    <row r="5288" spans="1:12">
      <c r="A5288" s="20" t="s">
        <v>1142</v>
      </c>
      <c r="E5288" s="22">
        <f>IF(D5288="?OLD","!!!","")</f>
        <v/>
      </c>
      <c r="F5288" s="23" t="str">
        <f>IF(OR(E5288="",E5288="!!!"),"",IF(NOT(ISNA(VLOOKUP(E5288,E$1:E5287,1,FALSE()))),"OLD",IF(AND(E5288&lt;&gt;"",E5288&lt;&gt;"!!!"),"NEW","")))</f>
        <v> </v>
      </c>
      <c r="G5288" s="24" t="str">
        <f>IF(OR(E5288="",E5288="!!!"),"",IF(OR(J5288=0,AND(J5288=1,K5288=1),AND(J5288=1,I5288="SBJ"),AND(J5288=1,I5288=0)),"?IN_FOCUS",IF(J5288&lt;=2,"?ACTIVATED",IF(J5288&lt;&gt;"","?FAMILIAR",IF(F5288="NEW",IF(ISNA(VLOOKUP(E5288,#REF!,1,FALSE())),"?TYPE_IDENTIFIABLE","?REFERENTIAL"),"_")))))</f>
        <v> </v>
      </c>
      <c r="H5288" s="25" t="str">
        <f>IF(J5288&lt;&gt;1,"",IF(I5288="SBJ","CB","?"))</f>
        <v> </v>
      </c>
      <c r="I5288" s="26" t="str">
        <f>IF(OR(E5288="",E5288="!!!",F5288="NEW"),"",INDEX(B5287:B$2,-1+SUMPRODUCT(MAX(ROW(E5287:E$2)*(E5288=E5287:E$2)))))</f>
        <v> </v>
      </c>
      <c r="J5288" s="26" t="str">
        <f>IF(OR(E5288="",E5288="!!!",F5288="NEW"),"",COUNTBLANK(OFFSET(A$1,,,SUMPRODUCT(MAX(ROW(E$2:E5288)*(E5288=E$2:E5288)))))-COUNTBLANK(OFFSET(A$1,,,SUMPRODUCT(MAX(ROW(E$1:E5287)*(E2=E$1:E5287))))))</f>
        <v> </v>
      </c>
      <c r="K5288" s="26" t="str">
        <f>IF(OR(E5288="",E5288="!!!",F5288="NEW"),"",INDEX(J$1:J5287,SUMPRODUCT(MAX(ROW(E$1:E5287)*(E5288=E$1:E5287)))))</f>
        <v> </v>
      </c>
      <c r="L5288" s="27"/>
    </row>
    <row r="5289" spans="1:12">
      <c r="A5289" s="20" t="s">
        <v>1030</v>
      </c>
      <c r="E5289" s="22">
        <f>IF(D5289="?OLD","!!!","")</f>
        <v/>
      </c>
      <c r="F5289" s="23" t="str">
        <f>IF(OR(E5289="",E5289="!!!"),"",IF(NOT(ISNA(VLOOKUP(E5289,E$1:E5288,1,FALSE()))),"OLD",IF(AND(E5289&lt;&gt;"",E5289&lt;&gt;"!!!"),"NEW","")))</f>
        <v> </v>
      </c>
      <c r="G5289" s="24" t="str">
        <f>IF(OR(E5289="",E5289="!!!"),"",IF(OR(J5289=0,AND(J5289=1,K5289=1),AND(J5289=1,I5289="SBJ"),AND(J5289=1,I5289=0)),"?IN_FOCUS",IF(J5289&lt;=2,"?ACTIVATED",IF(J5289&lt;&gt;"","?FAMILIAR",IF(F5289="NEW",IF(ISNA(VLOOKUP(E5289,#REF!,1,FALSE())),"?TYPE_IDENTIFIABLE","?REFERENTIAL"),"_")))))</f>
        <v> </v>
      </c>
      <c r="H5289" s="25" t="str">
        <f>IF(J5289&lt;&gt;1,"",IF(I5289="SBJ","CB","?"))</f>
        <v> </v>
      </c>
      <c r="I5289" s="26" t="str">
        <f>IF(OR(E5289="",E5289="!!!",F5289="NEW"),"",INDEX(B5288:B$2,-1+SUMPRODUCT(MAX(ROW(E5288:E$2)*(E5289=E5288:E$2)))))</f>
        <v> </v>
      </c>
      <c r="J5289" s="26" t="str">
        <f>IF(OR(E5289="",E5289="!!!",F5289="NEW"),"",COUNTBLANK(OFFSET(A$1,,,SUMPRODUCT(MAX(ROW(E$2:E5289)*(E5289=E$2:E5289)))))-COUNTBLANK(OFFSET(A$1,,,SUMPRODUCT(MAX(ROW(E$1:E5288)*(E2=E$1:E5288))))))</f>
        <v> </v>
      </c>
      <c r="K5289" s="26" t="str">
        <f>IF(OR(E5289="",E5289="!!!",F5289="NEW"),"",INDEX(J$1:J5288,SUMPRODUCT(MAX(ROW(E$1:E5288)*(E5289=E$1:E5288)))))</f>
        <v> </v>
      </c>
      <c r="L5289" s="27"/>
    </row>
    <row r="5290" spans="1:12">
      <c r="A5290" s="20" t="s">
        <v>1015</v>
      </c>
      <c r="E5290" s="22">
        <f>IF(D5290="?OLD","!!!","")</f>
        <v/>
      </c>
      <c r="F5290" s="23" t="str">
        <f>IF(OR(E5290="",E5290="!!!"),"",IF(NOT(ISNA(VLOOKUP(E5290,E$1:E5289,1,FALSE()))),"OLD",IF(AND(E5290&lt;&gt;"",E5290&lt;&gt;"!!!"),"NEW","")))</f>
        <v> </v>
      </c>
      <c r="G5290" s="24" t="str">
        <f>IF(OR(E5290="",E5290="!!!"),"",IF(OR(J5290=0,AND(J5290=1,K5290=1),AND(J5290=1,I5290="SBJ"),AND(J5290=1,I5290=0)),"?IN_FOCUS",IF(J5290&lt;=2,"?ACTIVATED",IF(J5290&lt;&gt;"","?FAMILIAR",IF(F5290="NEW",IF(ISNA(VLOOKUP(E5290,#REF!,1,FALSE())),"?TYPE_IDENTIFIABLE","?REFERENTIAL"),"_")))))</f>
        <v> </v>
      </c>
      <c r="H5290" s="25" t="str">
        <f>IF(J5290&lt;&gt;1,"",IF(I5290="SBJ","CB","?"))</f>
        <v> </v>
      </c>
      <c r="I5290" s="26" t="str">
        <f>IF(OR(E5290="",E5290="!!!",F5290="NEW"),"",INDEX(B5289:B$2,-1+SUMPRODUCT(MAX(ROW(E5289:E$2)*(E5290=E5289:E$2)))))</f>
        <v> </v>
      </c>
      <c r="J5290" s="26" t="str">
        <f>IF(OR(E5290="",E5290="!!!",F5290="NEW"),"",COUNTBLANK(OFFSET(A$1,,,SUMPRODUCT(MAX(ROW(E$2:E5290)*(E5290=E$2:E5290)))))-COUNTBLANK(OFFSET(A$1,,,SUMPRODUCT(MAX(ROW(E$1:E5289)*(E2=E$1:E5289))))))</f>
        <v> </v>
      </c>
      <c r="K5290" s="26" t="str">
        <f>IF(OR(E5290="",E5290="!!!",F5290="NEW"),"",INDEX(J$1:J5289,SUMPRODUCT(MAX(ROW(E$1:E5289)*(E5290=E$1:E5289)))))</f>
        <v> </v>
      </c>
      <c r="L5290" s="27"/>
    </row>
    <row r="5291" spans="1:12">
      <c r="A5291" s="20" t="s">
        <v>2447</v>
      </c>
      <c r="B5291" s="21" t="s">
        <v>1005</v>
      </c>
      <c r="C5291" s="21" t="s">
        <v>1017</v>
      </c>
      <c r="D5291" s="21" t="s">
        <v>1007</v>
      </c>
      <c r="E5291" s="22">
        <f>IF(D5291="?OLD","!!!","")</f>
        <v/>
      </c>
      <c r="F5291" s="23" t="str">
        <f>IF(OR(E5291="",E5291="!!!"),"",IF(NOT(ISNA(VLOOKUP(E5291,E$1:E5290,1,FALSE()))),"OLD",IF(AND(E5291&lt;&gt;"",E5291&lt;&gt;"!!!"),"NEW","")))</f>
        <v> </v>
      </c>
      <c r="G5291" s="24" t="str">
        <f>IF(OR(E5291="",E5291="!!!"),"",IF(OR(J5291=0,AND(J5291=1,K5291=1),AND(J5291=1,I5291="SBJ"),AND(J5291=1,I5291=0)),"?IN_FOCUS",IF(J5291&lt;=2,"?ACTIVATED",IF(J5291&lt;&gt;"","?FAMILIAR",IF(F5291="NEW",IF(ISNA(VLOOKUP(E5291,#REF!,1,FALSE())),"?TYPE_IDENTIFIABLE","?REFERENTIAL"),"_")))))</f>
        <v> </v>
      </c>
      <c r="H5291" s="25" t="str">
        <f>IF(J5291&lt;&gt;1,"",IF(I5291="SBJ","CB","?"))</f>
        <v> </v>
      </c>
      <c r="I5291" s="26" t="str">
        <f>IF(OR(E5291="",E5291="!!!",F5291="NEW"),"",INDEX(B5290:B$2,-1+SUMPRODUCT(MAX(ROW(E5290:E$2)*(E5291=E5290:E$2)))))</f>
        <v> </v>
      </c>
      <c r="J5291" s="26" t="str">
        <f>IF(OR(E5291="",E5291="!!!",F5291="NEW"),"",COUNTBLANK(OFFSET(A$1,,,SUMPRODUCT(MAX(ROW(E$2:E5291)*(E5291=E$2:E5291)))))-COUNTBLANK(OFFSET(A$1,,,SUMPRODUCT(MAX(ROW(E$1:E5290)*(E2=E$1:E5290))))))</f>
        <v> </v>
      </c>
      <c r="K5291" s="26" t="str">
        <f>IF(OR(E5291="",E5291="!!!",F5291="NEW"),"",INDEX(J$1:J5290,SUMPRODUCT(MAX(ROW(E$1:E5290)*(E5291=E$1:E5290)))))</f>
        <v> </v>
      </c>
      <c r="L5291" s="27"/>
    </row>
    <row r="5292" spans="1:12">
      <c r="A5292" s="20" t="s">
        <v>1097</v>
      </c>
      <c r="E5292" s="22">
        <f>IF(D5292="?OLD","!!!","")</f>
        <v/>
      </c>
      <c r="F5292" s="23" t="str">
        <f>IF(OR(E5292="",E5292="!!!"),"",IF(NOT(ISNA(VLOOKUP(E5292,E$1:E5291,1,FALSE()))),"OLD",IF(AND(E5292&lt;&gt;"",E5292&lt;&gt;"!!!"),"NEW","")))</f>
        <v> </v>
      </c>
      <c r="G5292" s="24" t="str">
        <f>IF(OR(E5292="",E5292="!!!"),"",IF(OR(J5292=0,AND(J5292=1,K5292=1),AND(J5292=1,I5292="SBJ"),AND(J5292=1,I5292=0)),"?IN_FOCUS",IF(J5292&lt;=2,"?ACTIVATED",IF(J5292&lt;&gt;"","?FAMILIAR",IF(F5292="NEW",IF(ISNA(VLOOKUP(E5292,#REF!,1,FALSE())),"?TYPE_IDENTIFIABLE","?REFERENTIAL"),"_")))))</f>
        <v> </v>
      </c>
      <c r="H5292" s="25" t="str">
        <f>IF(J5292&lt;&gt;1,"",IF(I5292="SBJ","CB","?"))</f>
        <v> </v>
      </c>
      <c r="I5292" s="26" t="str">
        <f>IF(OR(E5292="",E5292="!!!",F5292="NEW"),"",INDEX(B5291:B$2,-1+SUMPRODUCT(MAX(ROW(E5291:E$2)*(E5292=E5291:E$2)))))</f>
        <v> </v>
      </c>
      <c r="J5292" s="26" t="str">
        <f>IF(OR(E5292="",E5292="!!!",F5292="NEW"),"",COUNTBLANK(OFFSET(A$1,,,SUMPRODUCT(MAX(ROW(E$2:E5292)*(E5292=E$2:E5292)))))-COUNTBLANK(OFFSET(A$1,,,SUMPRODUCT(MAX(ROW(E$1:E5291)*(E2=E$1:E5291))))))</f>
        <v> </v>
      </c>
      <c r="K5292" s="26" t="str">
        <f>IF(OR(E5292="",E5292="!!!",F5292="NEW"),"",INDEX(J$1:J5291,SUMPRODUCT(MAX(ROW(E$1:E5291)*(E5292=E$1:E5291)))))</f>
        <v> </v>
      </c>
      <c r="L5292" s="27"/>
    </row>
    <row r="5293" spans="1:12">
      <c r="A5293" s="20" t="s">
        <v>110</v>
      </c>
      <c r="E5293" s="22">
        <f>IF(D5293="?OLD","!!!","")</f>
        <v/>
      </c>
      <c r="F5293" s="23" t="str">
        <f>IF(OR(E5293="",E5293="!!!"),"",IF(NOT(ISNA(VLOOKUP(E5293,E$1:E5292,1,FALSE()))),"OLD",IF(AND(E5293&lt;&gt;"",E5293&lt;&gt;"!!!"),"NEW","")))</f>
        <v> </v>
      </c>
      <c r="G5293" s="24" t="str">
        <f>IF(OR(E5293="",E5293="!!!"),"",IF(OR(J5293=0,AND(J5293=1,K5293=1),AND(J5293=1,I5293="SBJ"),AND(J5293=1,I5293=0)),"?IN_FOCUS",IF(J5293&lt;=2,"?ACTIVATED",IF(J5293&lt;&gt;"","?FAMILIAR",IF(F5293="NEW",IF(ISNA(VLOOKUP(E5293,#REF!,1,FALSE())),"?TYPE_IDENTIFIABLE","?REFERENTIAL"),"_")))))</f>
        <v> </v>
      </c>
      <c r="H5293" s="25" t="str">
        <f>IF(J5293&lt;&gt;1,"",IF(I5293="SBJ","CB","?"))</f>
        <v> </v>
      </c>
      <c r="I5293" s="26" t="str">
        <f>IF(OR(E5293="",E5293="!!!",F5293="NEW"),"",INDEX(B5292:B$2,-1+SUMPRODUCT(MAX(ROW(E5292:E$2)*(E5293=E5292:E$2)))))</f>
        <v> </v>
      </c>
      <c r="J5293" s="26" t="str">
        <f>IF(OR(E5293="",E5293="!!!",F5293="NEW"),"",COUNTBLANK(OFFSET(A$1,,,SUMPRODUCT(MAX(ROW(E$2:E5293)*(E5293=E$2:E5293)))))-COUNTBLANK(OFFSET(A$1,,,SUMPRODUCT(MAX(ROW(E$1:E5292)*(E2=E$1:E5292))))))</f>
        <v> </v>
      </c>
      <c r="K5293" s="26" t="str">
        <f>IF(OR(E5293="",E5293="!!!",F5293="NEW"),"",INDEX(J$1:J5292,SUMPRODUCT(MAX(ROW(E$1:E5292)*(E5293=E$1:E5292)))))</f>
        <v> </v>
      </c>
      <c r="L5293" s="27"/>
    </row>
    <row r="5294" spans="1:12">
      <c r="A5294" s="20" t="s">
        <v>1027</v>
      </c>
      <c r="E5294" s="22">
        <f>IF(D5294="?OLD","!!!","")</f>
        <v/>
      </c>
      <c r="F5294" s="23" t="str">
        <f>IF(OR(E5294="",E5294="!!!"),"",IF(NOT(ISNA(VLOOKUP(E5294,E$1:E5293,1,FALSE()))),"OLD",IF(AND(E5294&lt;&gt;"",E5294&lt;&gt;"!!!"),"NEW","")))</f>
        <v> </v>
      </c>
      <c r="G5294" s="24" t="str">
        <f>IF(OR(E5294="",E5294="!!!"),"",IF(OR(J5294=0,AND(J5294=1,K5294=1),AND(J5294=1,I5294="SBJ"),AND(J5294=1,I5294=0)),"?IN_FOCUS",IF(J5294&lt;=2,"?ACTIVATED",IF(J5294&lt;&gt;"","?FAMILIAR",IF(F5294="NEW",IF(ISNA(VLOOKUP(E5294,#REF!,1,FALSE())),"?TYPE_IDENTIFIABLE","?REFERENTIAL"),"_")))))</f>
        <v> </v>
      </c>
      <c r="H5294" s="25" t="str">
        <f>IF(J5294&lt;&gt;1,"",IF(I5294="SBJ","CB","?"))</f>
        <v> </v>
      </c>
      <c r="I5294" s="26" t="str">
        <f>IF(OR(E5294="",E5294="!!!",F5294="NEW"),"",INDEX(B5293:B$2,-1+SUMPRODUCT(MAX(ROW(E5293:E$2)*(E5294=E5293:E$2)))))</f>
        <v> </v>
      </c>
      <c r="J5294" s="26" t="str">
        <f>IF(OR(E5294="",E5294="!!!",F5294="NEW"),"",COUNTBLANK(OFFSET(A$1,,,SUMPRODUCT(MAX(ROW(E$2:E5294)*(E5294=E$2:E5294)))))-COUNTBLANK(OFFSET(A$1,,,SUMPRODUCT(MAX(ROW(E$1:E5293)*(E2=E$1:E5293))))))</f>
        <v> </v>
      </c>
      <c r="K5294" s="26" t="str">
        <f>IF(OR(E5294="",E5294="!!!",F5294="NEW"),"",INDEX(J$1:J5293,SUMPRODUCT(MAX(ROW(E$1:E5293)*(E5294=E$1:E5293)))))</f>
        <v> </v>
      </c>
      <c r="L5294" s="27"/>
    </row>
    <row r="5295" spans="1:12">
      <c r="A5295" s="20" t="s">
        <v>2448</v>
      </c>
      <c r="B5295" s="21" t="s">
        <v>1187</v>
      </c>
      <c r="C5295" s="21" t="s">
        <v>1017</v>
      </c>
      <c r="D5295" s="21" t="s">
        <v>1007</v>
      </c>
      <c r="E5295" s="22">
        <f>IF(D5295="?OLD","!!!","")</f>
        <v/>
      </c>
      <c r="F5295" s="23" t="str">
        <f>IF(OR(E5295="",E5295="!!!"),"",IF(NOT(ISNA(VLOOKUP(E5295,E$1:E5294,1,FALSE()))),"OLD",IF(AND(E5295&lt;&gt;"",E5295&lt;&gt;"!!!"),"NEW","")))</f>
        <v> </v>
      </c>
      <c r="G5295" s="24" t="str">
        <f>IF(OR(E5295="",E5295="!!!"),"",IF(OR(J5295=0,AND(J5295=1,K5295=1),AND(J5295=1,I5295="SBJ"),AND(J5295=1,I5295=0)),"?IN_FOCUS",IF(J5295&lt;=2,"?ACTIVATED",IF(J5295&lt;&gt;"","?FAMILIAR",IF(F5295="NEW",IF(ISNA(VLOOKUP(E5295,#REF!,1,FALSE())),"?TYPE_IDENTIFIABLE","?REFERENTIAL"),"_")))))</f>
        <v> </v>
      </c>
      <c r="H5295" s="25" t="str">
        <f>IF(J5295&lt;&gt;1,"",IF(I5295="SBJ","CB","?"))</f>
        <v> </v>
      </c>
      <c r="I5295" s="26" t="str">
        <f>IF(OR(E5295="",E5295="!!!",F5295="NEW"),"",INDEX(B5294:B$2,-1+SUMPRODUCT(MAX(ROW(E5294:E$2)*(E5295=E5294:E$2)))))</f>
        <v> </v>
      </c>
      <c r="J5295" s="26" t="str">
        <f>IF(OR(E5295="",E5295="!!!",F5295="NEW"),"",COUNTBLANK(OFFSET(A$1,,,SUMPRODUCT(MAX(ROW(E$2:E5295)*(E5295=E$2:E5295)))))-COUNTBLANK(OFFSET(A$1,,,SUMPRODUCT(MAX(ROW(E$1:E5294)*(E2=E$1:E5294))))))</f>
        <v> </v>
      </c>
      <c r="K5295" s="26" t="str">
        <f>IF(OR(E5295="",E5295="!!!",F5295="NEW"),"",INDEX(J$1:J5294,SUMPRODUCT(MAX(ROW(E$1:E5294)*(E5295=E$1:E5294)))))</f>
        <v> </v>
      </c>
      <c r="L5295" s="27"/>
    </row>
    <row r="5296" spans="1:12">
      <c r="A5296" s="20" t="s">
        <v>1065</v>
      </c>
      <c r="B5296" s="21" t="s">
        <v>1263</v>
      </c>
      <c r="E5296" s="22">
        <f>IF(D5296="?OLD","!!!","")</f>
        <v/>
      </c>
      <c r="F5296" s="23" t="str">
        <f>IF(OR(E5296="",E5296="!!!"),"",IF(NOT(ISNA(VLOOKUP(E5296,E$1:E5295,1,FALSE()))),"OLD",IF(AND(E5296&lt;&gt;"",E5296&lt;&gt;"!!!"),"NEW","")))</f>
        <v> </v>
      </c>
      <c r="G5296" s="24" t="str">
        <f>IF(OR(E5296="",E5296="!!!"),"",IF(OR(J5296=0,AND(J5296=1,K5296=1),AND(J5296=1,I5296="SBJ"),AND(J5296=1,I5296=0)),"?IN_FOCUS",IF(J5296&lt;=2,"?ACTIVATED",IF(J5296&lt;&gt;"","?FAMILIAR",IF(F5296="NEW",IF(ISNA(VLOOKUP(E5296,#REF!,1,FALSE())),"?TYPE_IDENTIFIABLE","?REFERENTIAL"),"_")))))</f>
        <v> </v>
      </c>
      <c r="H5296" s="25" t="str">
        <f>IF(J5296&lt;&gt;1,"",IF(I5296="SBJ","CB","?"))</f>
        <v> </v>
      </c>
      <c r="I5296" s="26" t="str">
        <f>IF(OR(E5296="",E5296="!!!",F5296="NEW"),"",INDEX(B5295:B$2,-1+SUMPRODUCT(MAX(ROW(E5295:E$2)*(E5296=E5295:E$2)))))</f>
        <v> </v>
      </c>
      <c r="J5296" s="26" t="str">
        <f>IF(OR(E5296="",E5296="!!!",F5296="NEW"),"",COUNTBLANK(OFFSET(A$1,,,SUMPRODUCT(MAX(ROW(E$2:E5296)*(E5296=E$2:E5296)))))-COUNTBLANK(OFFSET(A$1,,,SUMPRODUCT(MAX(ROW(E$1:E5295)*(E2=E$1:E5295))))))</f>
        <v> </v>
      </c>
      <c r="K5296" s="26" t="str">
        <f>IF(OR(E5296="",E5296="!!!",F5296="NEW"),"",INDEX(J$1:J5295,SUMPRODUCT(MAX(ROW(E$1:E5295)*(E5296=E$1:E5295)))))</f>
        <v> </v>
      </c>
      <c r="L5296" s="27"/>
    </row>
    <row r="5297" spans="1:12">
      <c r="A5297" s="20" t="s">
        <v>1075</v>
      </c>
      <c r="E5297" s="22">
        <f>IF(D5297="?OLD","!!!","")</f>
        <v/>
      </c>
      <c r="F5297" s="23" t="str">
        <f>IF(OR(E5297="",E5297="!!!"),"",IF(NOT(ISNA(VLOOKUP(E5297,E$1:E5296,1,FALSE()))),"OLD",IF(AND(E5297&lt;&gt;"",E5297&lt;&gt;"!!!"),"NEW","")))</f>
        <v> </v>
      </c>
      <c r="G5297" s="24" t="str">
        <f>IF(OR(E5297="",E5297="!!!"),"",IF(OR(J5297=0,AND(J5297=1,K5297=1),AND(J5297=1,I5297="SBJ"),AND(J5297=1,I5297=0)),"?IN_FOCUS",IF(J5297&lt;=2,"?ACTIVATED",IF(J5297&lt;&gt;"","?FAMILIAR",IF(F5297="NEW",IF(ISNA(VLOOKUP(E5297,#REF!,1,FALSE())),"?TYPE_IDENTIFIABLE","?REFERENTIAL"),"_")))))</f>
        <v> </v>
      </c>
      <c r="H5297" s="25" t="str">
        <f>IF(J5297&lt;&gt;1,"",IF(I5297="SBJ","CB","?"))</f>
        <v> </v>
      </c>
      <c r="I5297" s="26" t="str">
        <f>IF(OR(E5297="",E5297="!!!",F5297="NEW"),"",INDEX(B5296:B$2,-1+SUMPRODUCT(MAX(ROW(E5296:E$2)*(E5297=E5296:E$2)))))</f>
        <v> </v>
      </c>
      <c r="J5297" s="26" t="str">
        <f>IF(OR(E5297="",E5297="!!!",F5297="NEW"),"",COUNTBLANK(OFFSET(A$1,,,SUMPRODUCT(MAX(ROW(E$2:E5297)*(E5297=E$2:E5297)))))-COUNTBLANK(OFFSET(A$1,,,SUMPRODUCT(MAX(ROW(E$1:E5296)*(E2=E$1:E5296))))))</f>
        <v> </v>
      </c>
      <c r="K5297" s="26" t="str">
        <f>IF(OR(E5297="",E5297="!!!",F5297="NEW"),"",INDEX(J$1:J5296,SUMPRODUCT(MAX(ROW(E$1:E5296)*(E5297=E$1:E5296)))))</f>
        <v> </v>
      </c>
      <c r="L5297" s="27"/>
    </row>
    <row r="5298" spans="1:12">
      <c r="A5298" s="20" t="s">
        <v>1250</v>
      </c>
      <c r="E5298" s="22">
        <f>IF(D5298="?OLD","!!!","")</f>
        <v/>
      </c>
      <c r="F5298" s="23" t="str">
        <f>IF(OR(E5298="",E5298="!!!"),"",IF(NOT(ISNA(VLOOKUP(E5298,E$1:E5297,1,FALSE()))),"OLD",IF(AND(E5298&lt;&gt;"",E5298&lt;&gt;"!!!"),"NEW","")))</f>
        <v> </v>
      </c>
      <c r="G5298" s="24" t="str">
        <f>IF(OR(E5298="",E5298="!!!"),"",IF(OR(J5298=0,AND(J5298=1,K5298=1),AND(J5298=1,I5298="SBJ"),AND(J5298=1,I5298=0)),"?IN_FOCUS",IF(J5298&lt;=2,"?ACTIVATED",IF(J5298&lt;&gt;"","?FAMILIAR",IF(F5298="NEW",IF(ISNA(VLOOKUP(E5298,#REF!,1,FALSE())),"?TYPE_IDENTIFIABLE","?REFERENTIAL"),"_")))))</f>
        <v> </v>
      </c>
      <c r="H5298" s="25" t="str">
        <f>IF(J5298&lt;&gt;1,"",IF(I5298="SBJ","CB","?"))</f>
        <v> </v>
      </c>
      <c r="I5298" s="26" t="str">
        <f>IF(OR(E5298="",E5298="!!!",F5298="NEW"),"",INDEX(B5297:B$2,-1+SUMPRODUCT(MAX(ROW(E5297:E$2)*(E5298=E5297:E$2)))))</f>
        <v> </v>
      </c>
      <c r="J5298" s="26" t="str">
        <f>IF(OR(E5298="",E5298="!!!",F5298="NEW"),"",COUNTBLANK(OFFSET(A$1,,,SUMPRODUCT(MAX(ROW(E$2:E5298)*(E5298=E$2:E5298)))))-COUNTBLANK(OFFSET(A$1,,,SUMPRODUCT(MAX(ROW(E$1:E5297)*(E2=E$1:E5297))))))</f>
        <v> </v>
      </c>
      <c r="K5298" s="26" t="str">
        <f>IF(OR(E5298="",E5298="!!!",F5298="NEW"),"",INDEX(J$1:J5297,SUMPRODUCT(MAX(ROW(E$1:E5297)*(E5298=E$1:E5297)))))</f>
        <v> </v>
      </c>
      <c r="L5298" s="27"/>
    </row>
    <row r="5299" spans="1:12">
      <c r="A5299" s="20" t="s">
        <v>110</v>
      </c>
      <c r="E5299" s="22">
        <f>IF(D5299="?OLD","!!!","")</f>
        <v/>
      </c>
      <c r="F5299" s="23" t="str">
        <f>IF(OR(E5299="",E5299="!!!"),"",IF(NOT(ISNA(VLOOKUP(E5299,E$1:E5298,1,FALSE()))),"OLD",IF(AND(E5299&lt;&gt;"",E5299&lt;&gt;"!!!"),"NEW","")))</f>
        <v> </v>
      </c>
      <c r="G5299" s="24" t="str">
        <f>IF(OR(E5299="",E5299="!!!"),"",IF(OR(J5299=0,AND(J5299=1,K5299=1),AND(J5299=1,I5299="SBJ"),AND(J5299=1,I5299=0)),"?IN_FOCUS",IF(J5299&lt;=2,"?ACTIVATED",IF(J5299&lt;&gt;"","?FAMILIAR",IF(F5299="NEW",IF(ISNA(VLOOKUP(E5299,#REF!,1,FALSE())),"?TYPE_IDENTIFIABLE","?REFERENTIAL"),"_")))))</f>
        <v> </v>
      </c>
      <c r="H5299" s="25" t="str">
        <f>IF(J5299&lt;&gt;1,"",IF(I5299="SBJ","CB","?"))</f>
        <v> </v>
      </c>
      <c r="I5299" s="26" t="str">
        <f>IF(OR(E5299="",E5299="!!!",F5299="NEW"),"",INDEX(B5298:B$2,-1+SUMPRODUCT(MAX(ROW(E5298:E$2)*(E5299=E5298:E$2)))))</f>
        <v> </v>
      </c>
      <c r="J5299" s="26" t="str">
        <f>IF(OR(E5299="",E5299="!!!",F5299="NEW"),"",COUNTBLANK(OFFSET(A$1,,,SUMPRODUCT(MAX(ROW(E$2:E5299)*(E5299=E$2:E5299)))))-COUNTBLANK(OFFSET(A$1,,,SUMPRODUCT(MAX(ROW(E$1:E5298)*(E2=E$1:E5298))))))</f>
        <v> </v>
      </c>
      <c r="K5299" s="26" t="str">
        <f>IF(OR(E5299="",E5299="!!!",F5299="NEW"),"",INDEX(J$1:J5298,SUMPRODUCT(MAX(ROW(E$1:E5298)*(E5299=E$1:E5298)))))</f>
        <v> </v>
      </c>
      <c r="L5299" s="27"/>
    </row>
    <row r="5300" spans="1:12">
      <c r="A5300" s="20" t="s">
        <v>1097</v>
      </c>
      <c r="E5300" s="22">
        <f>IF(D5300="?OLD","!!!","")</f>
        <v/>
      </c>
      <c r="F5300" s="23" t="str">
        <f>IF(OR(E5300="",E5300="!!!"),"",IF(NOT(ISNA(VLOOKUP(E5300,E$1:E5299,1,FALSE()))),"OLD",IF(AND(E5300&lt;&gt;"",E5300&lt;&gt;"!!!"),"NEW","")))</f>
        <v> </v>
      </c>
      <c r="G5300" s="24" t="str">
        <f>IF(OR(E5300="",E5300="!!!"),"",IF(OR(J5300=0,AND(J5300=1,K5300=1),AND(J5300=1,I5300="SBJ"),AND(J5300=1,I5300=0)),"?IN_FOCUS",IF(J5300&lt;=2,"?ACTIVATED",IF(J5300&lt;&gt;"","?FAMILIAR",IF(F5300="NEW",IF(ISNA(VLOOKUP(E5300,#REF!,1,FALSE())),"?TYPE_IDENTIFIABLE","?REFERENTIAL"),"_")))))</f>
        <v> </v>
      </c>
      <c r="H5300" s="25" t="str">
        <f>IF(J5300&lt;&gt;1,"",IF(I5300="SBJ","CB","?"))</f>
        <v> </v>
      </c>
      <c r="I5300" s="26" t="str">
        <f>IF(OR(E5300="",E5300="!!!",F5300="NEW"),"",INDEX(B5299:B$2,-1+SUMPRODUCT(MAX(ROW(E5299:E$2)*(E5300=E5299:E$2)))))</f>
        <v> </v>
      </c>
      <c r="J5300" s="26" t="str">
        <f>IF(OR(E5300="",E5300="!!!",F5300="NEW"),"",COUNTBLANK(OFFSET(A$1,,,SUMPRODUCT(MAX(ROW(E$2:E5300)*(E5300=E$2:E5300)))))-COUNTBLANK(OFFSET(A$1,,,SUMPRODUCT(MAX(ROW(E$1:E5299)*(E2=E$1:E5299))))))</f>
        <v> </v>
      </c>
      <c r="K5300" s="26" t="str">
        <f>IF(OR(E5300="",E5300="!!!",F5300="NEW"),"",INDEX(J$1:J5299,SUMPRODUCT(MAX(ROW(E$1:E5299)*(E5300=E$1:E5299)))))</f>
        <v> </v>
      </c>
      <c r="L5300" s="27"/>
    </row>
    <row r="5301" spans="1:12">
      <c r="A5301" s="20" t="s">
        <v>2449</v>
      </c>
      <c r="E5301" s="22">
        <f>IF(D5301="?OLD","!!!","")</f>
        <v/>
      </c>
      <c r="F5301" s="23" t="str">
        <f>IF(OR(E5301="",E5301="!!!"),"",IF(NOT(ISNA(VLOOKUP(E5301,E$1:E5300,1,FALSE()))),"OLD",IF(AND(E5301&lt;&gt;"",E5301&lt;&gt;"!!!"),"NEW","")))</f>
        <v> </v>
      </c>
      <c r="G5301" s="24" t="str">
        <f>IF(OR(E5301="",E5301="!!!"),"",IF(OR(J5301=0,AND(J5301=1,K5301=1),AND(J5301=1,I5301="SBJ"),AND(J5301=1,I5301=0)),"?IN_FOCUS",IF(J5301&lt;=2,"?ACTIVATED",IF(J5301&lt;&gt;"","?FAMILIAR",IF(F5301="NEW",IF(ISNA(VLOOKUP(E5301,#REF!,1,FALSE())),"?TYPE_IDENTIFIABLE","?REFERENTIAL"),"_")))))</f>
        <v> </v>
      </c>
      <c r="H5301" s="25" t="str">
        <f>IF(J5301&lt;&gt;1,"",IF(I5301="SBJ","CB","?"))</f>
        <v> </v>
      </c>
      <c r="I5301" s="26" t="str">
        <f>IF(OR(E5301="",E5301="!!!",F5301="NEW"),"",INDEX(B5300:B$2,-1+SUMPRODUCT(MAX(ROW(E5300:E$2)*(E5301=E5300:E$2)))))</f>
        <v> </v>
      </c>
      <c r="J5301" s="26" t="str">
        <f>IF(OR(E5301="",E5301="!!!",F5301="NEW"),"",COUNTBLANK(OFFSET(A$1,,,SUMPRODUCT(MAX(ROW(E$2:E5301)*(E5301=E$2:E5301)))))-COUNTBLANK(OFFSET(A$1,,,SUMPRODUCT(MAX(ROW(E$1:E5300)*(E2=E$1:E5300))))))</f>
        <v> </v>
      </c>
      <c r="K5301" s="26" t="str">
        <f>IF(OR(E5301="",E5301="!!!",F5301="NEW"),"",INDEX(J$1:J5300,SUMPRODUCT(MAX(ROW(E$1:E5300)*(E5301=E$1:E5300)))))</f>
        <v> </v>
      </c>
      <c r="L5301" s="27"/>
    </row>
    <row r="5302" spans="1:12">
      <c r="A5302" s="20" t="s">
        <v>1324</v>
      </c>
      <c r="E5302" s="22">
        <f>IF(D5302="?OLD","!!!","")</f>
        <v/>
      </c>
      <c r="F5302" s="23" t="str">
        <f>IF(OR(E5302="",E5302="!!!"),"",IF(NOT(ISNA(VLOOKUP(E5302,E$1:E5301,1,FALSE()))),"OLD",IF(AND(E5302&lt;&gt;"",E5302&lt;&gt;"!!!"),"NEW","")))</f>
        <v> </v>
      </c>
      <c r="G5302" s="24" t="str">
        <f>IF(OR(E5302="",E5302="!!!"),"",IF(OR(J5302=0,AND(J5302=1,K5302=1),AND(J5302=1,I5302="SBJ"),AND(J5302=1,I5302=0)),"?IN_FOCUS",IF(J5302&lt;=2,"?ACTIVATED",IF(J5302&lt;&gt;"","?FAMILIAR",IF(F5302="NEW",IF(ISNA(VLOOKUP(E5302,#REF!,1,FALSE())),"?TYPE_IDENTIFIABLE","?REFERENTIAL"),"_")))))</f>
        <v> </v>
      </c>
      <c r="H5302" s="25" t="str">
        <f>IF(J5302&lt;&gt;1,"",IF(I5302="SBJ","CB","?"))</f>
        <v> </v>
      </c>
      <c r="I5302" s="26" t="str">
        <f>IF(OR(E5302="",E5302="!!!",F5302="NEW"),"",INDEX(B5301:B$2,-1+SUMPRODUCT(MAX(ROW(E5301:E$2)*(E5302=E5301:E$2)))))</f>
        <v> </v>
      </c>
      <c r="J5302" s="26" t="str">
        <f>IF(OR(E5302="",E5302="!!!",F5302="NEW"),"",COUNTBLANK(OFFSET(A$1,,,SUMPRODUCT(MAX(ROW(E$2:E5302)*(E5302=E$2:E5302)))))-COUNTBLANK(OFFSET(A$1,,,SUMPRODUCT(MAX(ROW(E$1:E5301)*(E2=E$1:E5301))))))</f>
        <v> </v>
      </c>
      <c r="K5302" s="26" t="str">
        <f>IF(OR(E5302="",E5302="!!!",F5302="NEW"),"",INDEX(J$1:J5301,SUMPRODUCT(MAX(ROW(E$1:E5301)*(E5302=E$1:E5301)))))</f>
        <v> </v>
      </c>
      <c r="L5302" s="27"/>
    </row>
    <row r="5303" spans="1:12">
      <c r="A5303" s="20" t="s">
        <v>1021</v>
      </c>
      <c r="B5303" s="21" t="s">
        <v>1253</v>
      </c>
      <c r="C5303" s="21" t="s">
        <v>1006</v>
      </c>
      <c r="D5303" s="21" t="s">
        <v>1007</v>
      </c>
      <c r="E5303" s="22">
        <f>IF(D5303="?OLD","!!!","")</f>
        <v/>
      </c>
      <c r="F5303" s="23" t="str">
        <f>IF(OR(E5303="",E5303="!!!"),"",IF(NOT(ISNA(VLOOKUP(E5303,E$1:E5302,1,FALSE()))),"OLD",IF(AND(E5303&lt;&gt;"",E5303&lt;&gt;"!!!"),"NEW","")))</f>
        <v> </v>
      </c>
      <c r="G5303" s="24" t="str">
        <f>IF(OR(E5303="",E5303="!!!"),"",IF(OR(J5303=0,AND(J5303=1,K5303=1),AND(J5303=1,I5303="SBJ"),AND(J5303=1,I5303=0)),"?IN_FOCUS",IF(J5303&lt;=2,"?ACTIVATED",IF(J5303&lt;&gt;"","?FAMILIAR",IF(F5303="NEW",IF(ISNA(VLOOKUP(E5303,#REF!,1,FALSE())),"?TYPE_IDENTIFIABLE","?REFERENTIAL"),"_")))))</f>
        <v> </v>
      </c>
      <c r="H5303" s="25" t="str">
        <f>IF(J5303&lt;&gt;1,"",IF(I5303="SBJ","CB","?"))</f>
        <v> </v>
      </c>
      <c r="I5303" s="26" t="str">
        <f>IF(OR(E5303="",E5303="!!!",F5303="NEW"),"",INDEX(B5302:B$2,-1+SUMPRODUCT(MAX(ROW(E5302:E$2)*(E5303=E5302:E$2)))))</f>
        <v> </v>
      </c>
      <c r="J5303" s="26" t="str">
        <f>IF(OR(E5303="",E5303="!!!",F5303="NEW"),"",COUNTBLANK(OFFSET(A$1,,,SUMPRODUCT(MAX(ROW(E$2:E5303)*(E5303=E$2:E5303)))))-COUNTBLANK(OFFSET(A$1,,,SUMPRODUCT(MAX(ROW(E$1:E5302)*(E2=E$1:E5302))))))</f>
        <v> </v>
      </c>
      <c r="K5303" s="26" t="str">
        <f>IF(OR(E5303="",E5303="!!!",F5303="NEW"),"",INDEX(J$1:J5302,SUMPRODUCT(MAX(ROW(E$1:E5302)*(E5303=E$1:E5302)))))</f>
        <v> </v>
      </c>
      <c r="L5303" s="27"/>
    </row>
    <row r="5304" spans="1:12">
      <c r="A5304" s="20" t="s">
        <v>1999</v>
      </c>
      <c r="E5304" s="22">
        <f>IF(D5304="?OLD","!!!","")</f>
        <v/>
      </c>
      <c r="F5304" s="23" t="str">
        <f>IF(OR(E5304="",E5304="!!!"),"",IF(NOT(ISNA(VLOOKUP(E5304,E$1:E5303,1,FALSE()))),"OLD",IF(AND(E5304&lt;&gt;"",E5304&lt;&gt;"!!!"),"NEW","")))</f>
        <v> </v>
      </c>
      <c r="G5304" s="24" t="str">
        <f>IF(OR(E5304="",E5304="!!!"),"",IF(OR(J5304=0,AND(J5304=1,K5304=1),AND(J5304=1,I5304="SBJ"),AND(J5304=1,I5304=0)),"?IN_FOCUS",IF(J5304&lt;=2,"?ACTIVATED",IF(J5304&lt;&gt;"","?FAMILIAR",IF(F5304="NEW",IF(ISNA(VLOOKUP(E5304,#REF!,1,FALSE())),"?TYPE_IDENTIFIABLE","?REFERENTIAL"),"_")))))</f>
        <v> </v>
      </c>
      <c r="H5304" s="25" t="str">
        <f>IF(J5304&lt;&gt;1,"",IF(I5304="SBJ","CB","?"))</f>
        <v> </v>
      </c>
      <c r="I5304" s="26" t="str">
        <f>IF(OR(E5304="",E5304="!!!",F5304="NEW"),"",INDEX(B5303:B$2,-1+SUMPRODUCT(MAX(ROW(E5303:E$2)*(E5304=E5303:E$2)))))</f>
        <v> </v>
      </c>
      <c r="J5304" s="26" t="str">
        <f>IF(OR(E5304="",E5304="!!!",F5304="NEW"),"",COUNTBLANK(OFFSET(A$1,,,SUMPRODUCT(MAX(ROW(E$2:E5304)*(E5304=E$2:E5304)))))-COUNTBLANK(OFFSET(A$1,,,SUMPRODUCT(MAX(ROW(E$1:E5303)*(E2=E$1:E5303))))))</f>
        <v> </v>
      </c>
      <c r="K5304" s="26" t="str">
        <f>IF(OR(E5304="",E5304="!!!",F5304="NEW"),"",INDEX(J$1:J5303,SUMPRODUCT(MAX(ROW(E$1:E5303)*(E5304=E$1:E5303)))))</f>
        <v> </v>
      </c>
      <c r="L5304" s="27"/>
    </row>
    <row r="5305" spans="1:12">
      <c r="A5305" s="20" t="s">
        <v>1018</v>
      </c>
      <c r="E5305" s="22">
        <f>IF(D5305="?OLD","!!!","")</f>
        <v/>
      </c>
      <c r="F5305" s="23" t="str">
        <f>IF(OR(E5305="",E5305="!!!"),"",IF(NOT(ISNA(VLOOKUP(E5305,E$1:E5304,1,FALSE()))),"OLD",IF(AND(E5305&lt;&gt;"",E5305&lt;&gt;"!!!"),"NEW","")))</f>
        <v> </v>
      </c>
      <c r="G5305" s="24" t="str">
        <f>IF(OR(E5305="",E5305="!!!"),"",IF(OR(J5305=0,AND(J5305=1,K5305=1),AND(J5305=1,I5305="SBJ"),AND(J5305=1,I5305=0)),"?IN_FOCUS",IF(J5305&lt;=2,"?ACTIVATED",IF(J5305&lt;&gt;"","?FAMILIAR",IF(F5305="NEW",IF(ISNA(VLOOKUP(E5305,#REF!,1,FALSE())),"?TYPE_IDENTIFIABLE","?REFERENTIAL"),"_")))))</f>
        <v> </v>
      </c>
      <c r="H5305" s="25" t="str">
        <f>IF(J5305&lt;&gt;1,"",IF(I5305="SBJ","CB","?"))</f>
        <v> </v>
      </c>
      <c r="I5305" s="26" t="str">
        <f>IF(OR(E5305="",E5305="!!!",F5305="NEW"),"",INDEX(B5304:B$2,-1+SUMPRODUCT(MAX(ROW(E5304:E$2)*(E5305=E5304:E$2)))))</f>
        <v> </v>
      </c>
      <c r="J5305" s="26" t="str">
        <f>IF(OR(E5305="",E5305="!!!",F5305="NEW"),"",COUNTBLANK(OFFSET(A$1,,,SUMPRODUCT(MAX(ROW(E$2:E5305)*(E5305=E$2:E5305)))))-COUNTBLANK(OFFSET(A$1,,,SUMPRODUCT(MAX(ROW(E$1:E5304)*(E2=E$1:E5304))))))</f>
        <v> </v>
      </c>
      <c r="K5305" s="26" t="str">
        <f>IF(OR(E5305="",E5305="!!!",F5305="NEW"),"",INDEX(J$1:J5304,SUMPRODUCT(MAX(ROW(E$1:E5304)*(E5305=E$1:E5304)))))</f>
        <v> </v>
      </c>
      <c r="L5305" s="27"/>
    </row>
    <row r="5306" spans="1:12">
      <c r="A5306" s="20" t="s">
        <v>1142</v>
      </c>
      <c r="E5306" s="22">
        <f>IF(D5306="?OLD","!!!","")</f>
        <v/>
      </c>
      <c r="F5306" s="23" t="str">
        <f>IF(OR(E5306="",E5306="!!!"),"",IF(NOT(ISNA(VLOOKUP(E5306,E$1:E5305,1,FALSE()))),"OLD",IF(AND(E5306&lt;&gt;"",E5306&lt;&gt;"!!!"),"NEW","")))</f>
        <v> </v>
      </c>
      <c r="G5306" s="24" t="str">
        <f>IF(OR(E5306="",E5306="!!!"),"",IF(OR(J5306=0,AND(J5306=1,K5306=1),AND(J5306=1,I5306="SBJ"),AND(J5306=1,I5306=0)),"?IN_FOCUS",IF(J5306&lt;=2,"?ACTIVATED",IF(J5306&lt;&gt;"","?FAMILIAR",IF(F5306="NEW",IF(ISNA(VLOOKUP(E5306,#REF!,1,FALSE())),"?TYPE_IDENTIFIABLE","?REFERENTIAL"),"_")))))</f>
        <v> </v>
      </c>
      <c r="H5306" s="25" t="str">
        <f>IF(J5306&lt;&gt;1,"",IF(I5306="SBJ","CB","?"))</f>
        <v> </v>
      </c>
      <c r="I5306" s="26" t="str">
        <f>IF(OR(E5306="",E5306="!!!",F5306="NEW"),"",INDEX(B5305:B$2,-1+SUMPRODUCT(MAX(ROW(E5305:E$2)*(E5306=E5305:E$2)))))</f>
        <v> </v>
      </c>
      <c r="J5306" s="26" t="str">
        <f>IF(OR(E5306="",E5306="!!!",F5306="NEW"),"",COUNTBLANK(OFFSET(A$1,,,SUMPRODUCT(MAX(ROW(E$2:E5306)*(E5306=E$2:E5306)))))-COUNTBLANK(OFFSET(A$1,,,SUMPRODUCT(MAX(ROW(E$1:E5305)*(E2=E$1:E5305))))))</f>
        <v> </v>
      </c>
      <c r="K5306" s="26" t="str">
        <f>IF(OR(E5306="",E5306="!!!",F5306="NEW"),"",INDEX(J$1:J5305,SUMPRODUCT(MAX(ROW(E$1:E5305)*(E5306=E$1:E5305)))))</f>
        <v> </v>
      </c>
      <c r="L5306" s="27"/>
    </row>
    <row r="5307" spans="1:12">
      <c r="A5307" s="20" t="s">
        <v>2432</v>
      </c>
      <c r="E5307" s="22">
        <f>IF(D5307="?OLD","!!!","")</f>
        <v/>
      </c>
      <c r="F5307" s="23" t="str">
        <f>IF(OR(E5307="",E5307="!!!"),"",IF(NOT(ISNA(VLOOKUP(E5307,E$1:E5306,1,FALSE()))),"OLD",IF(AND(E5307&lt;&gt;"",E5307&lt;&gt;"!!!"),"NEW","")))</f>
        <v> </v>
      </c>
      <c r="G5307" s="24" t="str">
        <f>IF(OR(E5307="",E5307="!!!"),"",IF(OR(J5307=0,AND(J5307=1,K5307=1),AND(J5307=1,I5307="SBJ"),AND(J5307=1,I5307=0)),"?IN_FOCUS",IF(J5307&lt;=2,"?ACTIVATED",IF(J5307&lt;&gt;"","?FAMILIAR",IF(F5307="NEW",IF(ISNA(VLOOKUP(E5307,#REF!,1,FALSE())),"?TYPE_IDENTIFIABLE","?REFERENTIAL"),"_")))))</f>
        <v> </v>
      </c>
      <c r="H5307" s="25" t="str">
        <f>IF(J5307&lt;&gt;1,"",IF(I5307="SBJ","CB","?"))</f>
        <v> </v>
      </c>
      <c r="I5307" s="26" t="str">
        <f>IF(OR(E5307="",E5307="!!!",F5307="NEW"),"",INDEX(B5306:B$2,-1+SUMPRODUCT(MAX(ROW(E5306:E$2)*(E5307=E5306:E$2)))))</f>
        <v> </v>
      </c>
      <c r="J5307" s="26" t="str">
        <f>IF(OR(E5307="",E5307="!!!",F5307="NEW"),"",COUNTBLANK(OFFSET(A$1,,,SUMPRODUCT(MAX(ROW(E$2:E5307)*(E5307=E$2:E5307)))))-COUNTBLANK(OFFSET(A$1,,,SUMPRODUCT(MAX(ROW(E$1:E5306)*(E2=E$1:E5306))))))</f>
        <v> </v>
      </c>
      <c r="K5307" s="26" t="str">
        <f>IF(OR(E5307="",E5307="!!!",F5307="NEW"),"",INDEX(J$1:J5306,SUMPRODUCT(MAX(ROW(E$1:E5306)*(E5307=E$1:E5306)))))</f>
        <v> </v>
      </c>
      <c r="L5307" s="27"/>
    </row>
    <row r="5308" spans="1:12">
      <c r="A5308" s="20" t="s">
        <v>1097</v>
      </c>
      <c r="E5308" s="22">
        <f>IF(D5308="?OLD","!!!","")</f>
        <v/>
      </c>
      <c r="F5308" s="23" t="str">
        <f>IF(OR(E5308="",E5308="!!!"),"",IF(NOT(ISNA(VLOOKUP(E5308,E$1:E5307,1,FALSE()))),"OLD",IF(AND(E5308&lt;&gt;"",E5308&lt;&gt;"!!!"),"NEW","")))</f>
        <v> </v>
      </c>
      <c r="G5308" s="24" t="str">
        <f>IF(OR(E5308="",E5308="!!!"),"",IF(OR(J5308=0,AND(J5308=1,K5308=1),AND(J5308=1,I5308="SBJ"),AND(J5308=1,I5308=0)),"?IN_FOCUS",IF(J5308&lt;=2,"?ACTIVATED",IF(J5308&lt;&gt;"","?FAMILIAR",IF(F5308="NEW",IF(ISNA(VLOOKUP(E5308,#REF!,1,FALSE())),"?TYPE_IDENTIFIABLE","?REFERENTIAL"),"_")))))</f>
        <v> </v>
      </c>
      <c r="H5308" s="25" t="str">
        <f>IF(J5308&lt;&gt;1,"",IF(I5308="SBJ","CB","?"))</f>
        <v> </v>
      </c>
      <c r="I5308" s="26" t="str">
        <f>IF(OR(E5308="",E5308="!!!",F5308="NEW"),"",INDEX(B5307:B$2,-1+SUMPRODUCT(MAX(ROW(E5307:E$2)*(E5308=E5307:E$2)))))</f>
        <v> </v>
      </c>
      <c r="J5308" s="26" t="str">
        <f>IF(OR(E5308="",E5308="!!!",F5308="NEW"),"",COUNTBLANK(OFFSET(A$1,,,SUMPRODUCT(MAX(ROW(E$2:E5308)*(E5308=E$2:E5308)))))-COUNTBLANK(OFFSET(A$1,,,SUMPRODUCT(MAX(ROW(E$1:E5307)*(E2=E$1:E5307))))))</f>
        <v> </v>
      </c>
      <c r="K5308" s="26" t="str">
        <f>IF(OR(E5308="",E5308="!!!",F5308="NEW"),"",INDEX(J$1:J5307,SUMPRODUCT(MAX(ROW(E$1:E5307)*(E5308=E$1:E5307)))))</f>
        <v> </v>
      </c>
      <c r="L5308" s="27"/>
    </row>
    <row r="5309" spans="1:12">
      <c r="A5309" s="20" t="s">
        <v>1669</v>
      </c>
      <c r="B5309" s="21" t="s">
        <v>1253</v>
      </c>
      <c r="C5309" s="21" t="s">
        <v>1082</v>
      </c>
      <c r="D5309" s="21" t="s">
        <v>1007</v>
      </c>
      <c r="E5309" s="22">
        <f>IF(D5309="?OLD","!!!","")</f>
        <v/>
      </c>
      <c r="F5309" s="23" t="str">
        <f>IF(OR(E5309="",E5309="!!!"),"",IF(NOT(ISNA(VLOOKUP(E5309,E$1:E5308,1,FALSE()))),"OLD",IF(AND(E5309&lt;&gt;"",E5309&lt;&gt;"!!!"),"NEW","")))</f>
        <v> </v>
      </c>
      <c r="G5309" s="24" t="str">
        <f>IF(OR(E5309="",E5309="!!!"),"",IF(OR(J5309=0,AND(J5309=1,K5309=1),AND(J5309=1,I5309="SBJ"),AND(J5309=1,I5309=0)),"?IN_FOCUS",IF(J5309&lt;=2,"?ACTIVATED",IF(J5309&lt;&gt;"","?FAMILIAR",IF(F5309="NEW",IF(ISNA(VLOOKUP(E5309,#REF!,1,FALSE())),"?TYPE_IDENTIFIABLE","?REFERENTIAL"),"_")))))</f>
        <v> </v>
      </c>
      <c r="H5309" s="25" t="str">
        <f>IF(J5309&lt;&gt;1,"",IF(I5309="SBJ","CB","?"))</f>
        <v> </v>
      </c>
      <c r="I5309" s="26" t="str">
        <f>IF(OR(E5309="",E5309="!!!",F5309="NEW"),"",INDEX(B5308:B$2,-1+SUMPRODUCT(MAX(ROW(E5308:E$2)*(E5309=E5308:E$2)))))</f>
        <v> </v>
      </c>
      <c r="J5309" s="26" t="str">
        <f>IF(OR(E5309="",E5309="!!!",F5309="NEW"),"",COUNTBLANK(OFFSET(A$1,,,SUMPRODUCT(MAX(ROW(E$2:E5309)*(E5309=E$2:E5309)))))-COUNTBLANK(OFFSET(A$1,,,SUMPRODUCT(MAX(ROW(E$1:E5308)*(E2=E$1:E5308))))))</f>
        <v> </v>
      </c>
      <c r="K5309" s="26" t="str">
        <f>IF(OR(E5309="",E5309="!!!",F5309="NEW"),"",INDEX(J$1:J5308,SUMPRODUCT(MAX(ROW(E$1:E5308)*(E5309=E$1:E5308)))))</f>
        <v> </v>
      </c>
      <c r="L5309" s="27"/>
    </row>
    <row r="5310" spans="1:12">
      <c r="A5310" s="20" t="s">
        <v>1018</v>
      </c>
      <c r="E5310" s="22">
        <f>IF(D5310="?OLD","!!!","")</f>
        <v/>
      </c>
      <c r="F5310" s="23" t="str">
        <f>IF(OR(E5310="",E5310="!!!"),"",IF(NOT(ISNA(VLOOKUP(E5310,E$1:E5309,1,FALSE()))),"OLD",IF(AND(E5310&lt;&gt;"",E5310&lt;&gt;"!!!"),"NEW","")))</f>
        <v> </v>
      </c>
      <c r="G5310" s="24" t="str">
        <f>IF(OR(E5310="",E5310="!!!"),"",IF(OR(J5310=0,AND(J5310=1,K5310=1),AND(J5310=1,I5310="SBJ"),AND(J5310=1,I5310=0)),"?IN_FOCUS",IF(J5310&lt;=2,"?ACTIVATED",IF(J5310&lt;&gt;"","?FAMILIAR",IF(F5310="NEW",IF(ISNA(VLOOKUP(E5310,#REF!,1,FALSE())),"?TYPE_IDENTIFIABLE","?REFERENTIAL"),"_")))))</f>
        <v> </v>
      </c>
      <c r="H5310" s="25" t="str">
        <f>IF(J5310&lt;&gt;1,"",IF(I5310="SBJ","CB","?"))</f>
        <v> </v>
      </c>
      <c r="I5310" s="26" t="str">
        <f>IF(OR(E5310="",E5310="!!!",F5310="NEW"),"",INDEX(B5309:B$2,-1+SUMPRODUCT(MAX(ROW(E5309:E$2)*(E5310=E5309:E$2)))))</f>
        <v> </v>
      </c>
      <c r="J5310" s="26" t="str">
        <f>IF(OR(E5310="",E5310="!!!",F5310="NEW"),"",COUNTBLANK(OFFSET(A$1,,,SUMPRODUCT(MAX(ROW(E$2:E5310)*(E5310=E$2:E5310)))))-COUNTBLANK(OFFSET(A$1,,,SUMPRODUCT(MAX(ROW(E$1:E5309)*(E2=E$1:E5309))))))</f>
        <v> </v>
      </c>
      <c r="K5310" s="26" t="str">
        <f>IF(OR(E5310="",E5310="!!!",F5310="NEW"),"",INDEX(J$1:J5309,SUMPRODUCT(MAX(ROW(E$1:E5309)*(E5310=E$1:E5309)))))</f>
        <v> </v>
      </c>
      <c r="L5310" s="27"/>
    </row>
    <row r="5311" spans="1:12">
      <c r="A5311" s="20" t="s">
        <v>1330</v>
      </c>
      <c r="E5311" s="22">
        <f>IF(D5311="?OLD","!!!","")</f>
        <v/>
      </c>
      <c r="F5311" s="23" t="str">
        <f>IF(OR(E5311="",E5311="!!!"),"",IF(NOT(ISNA(VLOOKUP(E5311,E$1:E5310,1,FALSE()))),"OLD",IF(AND(E5311&lt;&gt;"",E5311&lt;&gt;"!!!"),"NEW","")))</f>
        <v> </v>
      </c>
      <c r="G5311" s="24" t="str">
        <f>IF(OR(E5311="",E5311="!!!"),"",IF(OR(J5311=0,AND(J5311=1,K5311=1),AND(J5311=1,I5311="SBJ"),AND(J5311=1,I5311=0)),"?IN_FOCUS",IF(J5311&lt;=2,"?ACTIVATED",IF(J5311&lt;&gt;"","?FAMILIAR",IF(F5311="NEW",IF(ISNA(VLOOKUP(E5311,#REF!,1,FALSE())),"?TYPE_IDENTIFIABLE","?REFERENTIAL"),"_")))))</f>
        <v> </v>
      </c>
      <c r="H5311" s="25" t="str">
        <f>IF(J5311&lt;&gt;1,"",IF(I5311="SBJ","CB","?"))</f>
        <v> </v>
      </c>
      <c r="I5311" s="26" t="str">
        <f>IF(OR(E5311="",E5311="!!!",F5311="NEW"),"",INDEX(B5310:B$2,-1+SUMPRODUCT(MAX(ROW(E5310:E$2)*(E5311=E5310:E$2)))))</f>
        <v> </v>
      </c>
      <c r="J5311" s="26" t="str">
        <f>IF(OR(E5311="",E5311="!!!",F5311="NEW"),"",COUNTBLANK(OFFSET(A$1,,,SUMPRODUCT(MAX(ROW(E$2:E5311)*(E5311=E$2:E5311)))))-COUNTBLANK(OFFSET(A$1,,,SUMPRODUCT(MAX(ROW(E$1:E5310)*(E2=E$1:E5310))))))</f>
        <v> </v>
      </c>
      <c r="K5311" s="26" t="str">
        <f>IF(OR(E5311="",E5311="!!!",F5311="NEW"),"",INDEX(J$1:J5310,SUMPRODUCT(MAX(ROW(E$1:E5310)*(E5311=E$1:E5310)))))</f>
        <v> </v>
      </c>
      <c r="L5311" s="27"/>
    </row>
    <row r="5312" spans="1:12">
      <c r="A5312" s="20" t="s">
        <v>1097</v>
      </c>
      <c r="E5312" s="22">
        <f>IF(D5312="?OLD","!!!","")</f>
        <v/>
      </c>
      <c r="F5312" s="23" t="str">
        <f>IF(OR(E5312="",E5312="!!!"),"",IF(NOT(ISNA(VLOOKUP(E5312,E$1:E5311,1,FALSE()))),"OLD",IF(AND(E5312&lt;&gt;"",E5312&lt;&gt;"!!!"),"NEW","")))</f>
        <v> </v>
      </c>
      <c r="G5312" s="24" t="str">
        <f>IF(OR(E5312="",E5312="!!!"),"",IF(OR(J5312=0,AND(J5312=1,K5312=1),AND(J5312=1,I5312="SBJ"),AND(J5312=1,I5312=0)),"?IN_FOCUS",IF(J5312&lt;=2,"?ACTIVATED",IF(J5312&lt;&gt;"","?FAMILIAR",IF(F5312="NEW",IF(ISNA(VLOOKUP(E5312,#REF!,1,FALSE())),"?TYPE_IDENTIFIABLE","?REFERENTIAL"),"_")))))</f>
        <v> </v>
      </c>
      <c r="H5312" s="25" t="str">
        <f>IF(J5312&lt;&gt;1,"",IF(I5312="SBJ","CB","?"))</f>
        <v> </v>
      </c>
      <c r="I5312" s="26" t="str">
        <f>IF(OR(E5312="",E5312="!!!",F5312="NEW"),"",INDEX(B5311:B$2,-1+SUMPRODUCT(MAX(ROW(E5311:E$2)*(E5312=E5311:E$2)))))</f>
        <v> </v>
      </c>
      <c r="J5312" s="26" t="str">
        <f>IF(OR(E5312="",E5312="!!!",F5312="NEW"),"",COUNTBLANK(OFFSET(A$1,,,SUMPRODUCT(MAX(ROW(E$2:E5312)*(E5312=E$2:E5312)))))-COUNTBLANK(OFFSET(A$1,,,SUMPRODUCT(MAX(ROW(E$1:E5311)*(E2=E$1:E5311))))))</f>
        <v> </v>
      </c>
      <c r="K5312" s="26" t="str">
        <f>IF(OR(E5312="",E5312="!!!",F5312="NEW"),"",INDEX(J$1:J5311,SUMPRODUCT(MAX(ROW(E$1:E5311)*(E5312=E$1:E5311)))))</f>
        <v> </v>
      </c>
      <c r="L5312" s="27"/>
    </row>
    <row r="5313" spans="1:12">
      <c r="A5313" s="20" t="s">
        <v>1083</v>
      </c>
      <c r="E5313" s="22">
        <f>IF(D5313="?OLD","!!!","")</f>
        <v/>
      </c>
      <c r="F5313" s="23" t="str">
        <f>IF(OR(E5313="",E5313="!!!"),"",IF(NOT(ISNA(VLOOKUP(E5313,E$1:E5312,1,FALSE()))),"OLD",IF(AND(E5313&lt;&gt;"",E5313&lt;&gt;"!!!"),"NEW","")))</f>
        <v> </v>
      </c>
      <c r="G5313" s="24" t="str">
        <f>IF(OR(E5313="",E5313="!!!"),"",IF(OR(J5313=0,AND(J5313=1,K5313=1),AND(J5313=1,I5313="SBJ"),AND(J5313=1,I5313=0)),"?IN_FOCUS",IF(J5313&lt;=2,"?ACTIVATED",IF(J5313&lt;&gt;"","?FAMILIAR",IF(F5313="NEW",IF(ISNA(VLOOKUP(E5313,#REF!,1,FALSE())),"?TYPE_IDENTIFIABLE","?REFERENTIAL"),"_")))))</f>
        <v> </v>
      </c>
      <c r="H5313" s="25" t="str">
        <f>IF(J5313&lt;&gt;1,"",IF(I5313="SBJ","CB","?"))</f>
        <v> </v>
      </c>
      <c r="I5313" s="26" t="str">
        <f>IF(OR(E5313="",E5313="!!!",F5313="NEW"),"",INDEX(B5312:B$2,-1+SUMPRODUCT(MAX(ROW(E5312:E$2)*(E5313=E5312:E$2)))))</f>
        <v> </v>
      </c>
      <c r="J5313" s="26" t="str">
        <f>IF(OR(E5313="",E5313="!!!",F5313="NEW"),"",COUNTBLANK(OFFSET(A$1,,,SUMPRODUCT(MAX(ROW(E$2:E5313)*(E5313=E$2:E5313)))))-COUNTBLANK(OFFSET(A$1,,,SUMPRODUCT(MAX(ROW(E$1:E5312)*(E2=E$1:E5312))))))</f>
        <v> </v>
      </c>
      <c r="K5313" s="26" t="str">
        <f>IF(OR(E5313="",E5313="!!!",F5313="NEW"),"",INDEX(J$1:J5312,SUMPRODUCT(MAX(ROW(E$1:E5312)*(E5313=E$1:E5312)))))</f>
        <v> </v>
      </c>
      <c r="L5313" s="27"/>
    </row>
    <row r="5314" spans="1:12">
      <c r="A5314" s="20" t="s">
        <v>1020</v>
      </c>
      <c r="E5314" s="22">
        <f>IF(D5314="?OLD","!!!","")</f>
        <v/>
      </c>
      <c r="F5314" s="23" t="str">
        <f>IF(OR(E5314="",E5314="!!!"),"",IF(NOT(ISNA(VLOOKUP(E5314,E$1:E5313,1,FALSE()))),"OLD",IF(AND(E5314&lt;&gt;"",E5314&lt;&gt;"!!!"),"NEW","")))</f>
        <v> </v>
      </c>
      <c r="G5314" s="24" t="str">
        <f>IF(OR(E5314="",E5314="!!!"),"",IF(OR(J5314=0,AND(J5314=1,K5314=1),AND(J5314=1,I5314="SBJ"),AND(J5314=1,I5314=0)),"?IN_FOCUS",IF(J5314&lt;=2,"?ACTIVATED",IF(J5314&lt;&gt;"","?FAMILIAR",IF(F5314="NEW",IF(ISNA(VLOOKUP(E5314,#REF!,1,FALSE())),"?TYPE_IDENTIFIABLE","?REFERENTIAL"),"_")))))</f>
        <v> </v>
      </c>
      <c r="H5314" s="25" t="str">
        <f>IF(J5314&lt;&gt;1,"",IF(I5314="SBJ","CB","?"))</f>
        <v> </v>
      </c>
      <c r="I5314" s="26" t="str">
        <f>IF(OR(E5314="",E5314="!!!",F5314="NEW"),"",INDEX(B5313:B$2,-1+SUMPRODUCT(MAX(ROW(E5313:E$2)*(E5314=E5313:E$2)))))</f>
        <v> </v>
      </c>
      <c r="J5314" s="26" t="str">
        <f>IF(OR(E5314="",E5314="!!!",F5314="NEW"),"",COUNTBLANK(OFFSET(A$1,,,SUMPRODUCT(MAX(ROW(E$2:E5314)*(E5314=E$2:E5314)))))-COUNTBLANK(OFFSET(A$1,,,SUMPRODUCT(MAX(ROW(E$1:E5313)*(E2=E$1:E5313))))))</f>
        <v> </v>
      </c>
      <c r="K5314" s="26" t="str">
        <f>IF(OR(E5314="",E5314="!!!",F5314="NEW"),"",INDEX(J$1:J5313,SUMPRODUCT(MAX(ROW(E$1:E5313)*(E5314=E$1:E5313)))))</f>
        <v> </v>
      </c>
      <c r="L5314" s="27"/>
    </row>
    <row r="5315" spans="1:12">
      <c r="A5315" s="20" t="s">
        <v>1084</v>
      </c>
      <c r="B5315" s="21" t="s">
        <v>2314</v>
      </c>
      <c r="C5315" s="21" t="s">
        <v>1086</v>
      </c>
      <c r="E5315" s="22">
        <f>IF(D5315="?OLD","!!!","")</f>
        <v/>
      </c>
      <c r="F5315" s="23" t="str">
        <f>IF(OR(E5315="",E5315="!!!"),"",IF(NOT(ISNA(VLOOKUP(E5315,E$1:E5314,1,FALSE()))),"OLD",IF(AND(E5315&lt;&gt;"",E5315&lt;&gt;"!!!"),"NEW","")))</f>
        <v> </v>
      </c>
      <c r="G5315" s="24" t="str">
        <f>IF(OR(E5315="",E5315="!!!"),"",IF(OR(J5315=0,AND(J5315=1,K5315=1),AND(J5315=1,I5315="SBJ"),AND(J5315=1,I5315=0)),"?IN_FOCUS",IF(J5315&lt;=2,"?ACTIVATED",IF(J5315&lt;&gt;"","?FAMILIAR",IF(F5315="NEW",IF(ISNA(VLOOKUP(E5315,#REF!,1,FALSE())),"?TYPE_IDENTIFIABLE","?REFERENTIAL"),"_")))))</f>
        <v> </v>
      </c>
      <c r="H5315" s="25" t="str">
        <f>IF(J5315&lt;&gt;1,"",IF(I5315="SBJ","CB","?"))</f>
        <v> </v>
      </c>
      <c r="I5315" s="26" t="str">
        <f>IF(OR(E5315="",E5315="!!!",F5315="NEW"),"",INDEX(B5314:B$2,-1+SUMPRODUCT(MAX(ROW(E5314:E$2)*(E5315=E5314:E$2)))))</f>
        <v> </v>
      </c>
      <c r="J5315" s="26" t="str">
        <f>IF(OR(E5315="",E5315="!!!",F5315="NEW"),"",COUNTBLANK(OFFSET(A$1,,,SUMPRODUCT(MAX(ROW(E$2:E5315)*(E5315=E$2:E5315)))))-COUNTBLANK(OFFSET(A$1,,,SUMPRODUCT(MAX(ROW(E$1:E5314)*(E2=E$1:E5314))))))</f>
        <v> </v>
      </c>
      <c r="K5315" s="26" t="str">
        <f>IF(OR(E5315="",E5315="!!!",F5315="NEW"),"",INDEX(J$1:J5314,SUMPRODUCT(MAX(ROW(E$1:E5314)*(E5315=E$1:E5314)))))</f>
        <v> </v>
      </c>
      <c r="L5315" s="27"/>
    </row>
    <row r="5316" spans="1:12">
      <c r="A5316" s="20" t="s">
        <v>1018</v>
      </c>
      <c r="E5316" s="22">
        <f>IF(D5316="?OLD","!!!","")</f>
        <v/>
      </c>
      <c r="F5316" s="23" t="str">
        <f>IF(OR(E5316="",E5316="!!!"),"",IF(NOT(ISNA(VLOOKUP(E5316,E$1:E5315,1,FALSE()))),"OLD",IF(AND(E5316&lt;&gt;"",E5316&lt;&gt;"!!!"),"NEW","")))</f>
        <v> </v>
      </c>
      <c r="G5316" s="24" t="str">
        <f>IF(OR(E5316="",E5316="!!!"),"",IF(OR(J5316=0,AND(J5316=1,K5316=1),AND(J5316=1,I5316="SBJ"),AND(J5316=1,I5316=0)),"?IN_FOCUS",IF(J5316&lt;=2,"?ACTIVATED",IF(J5316&lt;&gt;"","?FAMILIAR",IF(F5316="NEW",IF(ISNA(VLOOKUP(E5316,#REF!,1,FALSE())),"?TYPE_IDENTIFIABLE","?REFERENTIAL"),"_")))))</f>
        <v> </v>
      </c>
      <c r="H5316" s="25" t="str">
        <f>IF(J5316&lt;&gt;1,"",IF(I5316="SBJ","CB","?"))</f>
        <v> </v>
      </c>
      <c r="I5316" s="26" t="str">
        <f>IF(OR(E5316="",E5316="!!!",F5316="NEW"),"",INDEX(B5315:B$2,-1+SUMPRODUCT(MAX(ROW(E5315:E$2)*(E5316=E5315:E$2)))))</f>
        <v> </v>
      </c>
      <c r="J5316" s="26" t="str">
        <f>IF(OR(E5316="",E5316="!!!",F5316="NEW"),"",COUNTBLANK(OFFSET(A$1,,,SUMPRODUCT(MAX(ROW(E$2:E5316)*(E5316=E$2:E5316)))))-COUNTBLANK(OFFSET(A$1,,,SUMPRODUCT(MAX(ROW(E$1:E5315)*(E2=E$1:E5315))))))</f>
        <v> </v>
      </c>
      <c r="K5316" s="26" t="str">
        <f>IF(OR(E5316="",E5316="!!!",F5316="NEW"),"",INDEX(J$1:J5315,SUMPRODUCT(MAX(ROW(E$1:E5315)*(E5316=E$1:E5315)))))</f>
        <v> </v>
      </c>
      <c r="L5316" s="27"/>
    </row>
    <row r="5317" spans="1:12">
      <c r="A5317" s="20" t="s">
        <v>1583</v>
      </c>
      <c r="E5317" s="22">
        <f>IF(D5317="?OLD","!!!","")</f>
        <v/>
      </c>
      <c r="F5317" s="23" t="str">
        <f>IF(OR(E5317="",E5317="!!!"),"",IF(NOT(ISNA(VLOOKUP(E5317,E$1:E5316,1,FALSE()))),"OLD",IF(AND(E5317&lt;&gt;"",E5317&lt;&gt;"!!!"),"NEW","")))</f>
        <v> </v>
      </c>
      <c r="G5317" s="24" t="str">
        <f>IF(OR(E5317="",E5317="!!!"),"",IF(OR(J5317=0,AND(J5317=1,K5317=1),AND(J5317=1,I5317="SBJ"),AND(J5317=1,I5317=0)),"?IN_FOCUS",IF(J5317&lt;=2,"?ACTIVATED",IF(J5317&lt;&gt;"","?FAMILIAR",IF(F5317="NEW",IF(ISNA(VLOOKUP(E5317,#REF!,1,FALSE())),"?TYPE_IDENTIFIABLE","?REFERENTIAL"),"_")))))</f>
        <v> </v>
      </c>
      <c r="H5317" s="25" t="str">
        <f>IF(J5317&lt;&gt;1,"",IF(I5317="SBJ","CB","?"))</f>
        <v> </v>
      </c>
      <c r="I5317" s="26" t="str">
        <f>IF(OR(E5317="",E5317="!!!",F5317="NEW"),"",INDEX(B5316:B$2,-1+SUMPRODUCT(MAX(ROW(E5316:E$2)*(E5317=E5316:E$2)))))</f>
        <v> </v>
      </c>
      <c r="J5317" s="26" t="str">
        <f>IF(OR(E5317="",E5317="!!!",F5317="NEW"),"",COUNTBLANK(OFFSET(A$1,,,SUMPRODUCT(MAX(ROW(E$2:E5317)*(E5317=E$2:E5317)))))-COUNTBLANK(OFFSET(A$1,,,SUMPRODUCT(MAX(ROW(E$1:E5316)*(E2=E$1:E5316))))))</f>
        <v> </v>
      </c>
      <c r="K5317" s="26" t="str">
        <f>IF(OR(E5317="",E5317="!!!",F5317="NEW"),"",INDEX(J$1:J5316,SUMPRODUCT(MAX(ROW(E$1:E5316)*(E5317=E$1:E5316)))))</f>
        <v> </v>
      </c>
      <c r="L5317" s="27"/>
    </row>
    <row r="5318" spans="1:12">
      <c r="A5318" s="20" t="s">
        <v>2450</v>
      </c>
      <c r="E5318" s="22">
        <f>IF(D5318="?OLD","!!!","")</f>
        <v/>
      </c>
      <c r="F5318" s="23" t="str">
        <f>IF(OR(E5318="",E5318="!!!"),"",IF(NOT(ISNA(VLOOKUP(E5318,E$1:E5317,1,FALSE()))),"OLD",IF(AND(E5318&lt;&gt;"",E5318&lt;&gt;"!!!"),"NEW","")))</f>
        <v> </v>
      </c>
      <c r="G5318" s="24" t="str">
        <f>IF(OR(E5318="",E5318="!!!"),"",IF(OR(J5318=0,AND(J5318=1,K5318=1),AND(J5318=1,I5318="SBJ"),AND(J5318=1,I5318=0)),"?IN_FOCUS",IF(J5318&lt;=2,"?ACTIVATED",IF(J5318&lt;&gt;"","?FAMILIAR",IF(F5318="NEW",IF(ISNA(VLOOKUP(E5318,#REF!,1,FALSE())),"?TYPE_IDENTIFIABLE","?REFERENTIAL"),"_")))))</f>
        <v> </v>
      </c>
      <c r="H5318" s="25" t="str">
        <f>IF(J5318&lt;&gt;1,"",IF(I5318="SBJ","CB","?"))</f>
        <v> </v>
      </c>
      <c r="I5318" s="26" t="str">
        <f>IF(OR(E5318="",E5318="!!!",F5318="NEW"),"",INDEX(B5317:B$2,-1+SUMPRODUCT(MAX(ROW(E5317:E$2)*(E5318=E5317:E$2)))))</f>
        <v> </v>
      </c>
      <c r="J5318" s="26" t="str">
        <f>IF(OR(E5318="",E5318="!!!",F5318="NEW"),"",COUNTBLANK(OFFSET(A$1,,,SUMPRODUCT(MAX(ROW(E$2:E5318)*(E5318=E$2:E5318)))))-COUNTBLANK(OFFSET(A$1,,,SUMPRODUCT(MAX(ROW(E$1:E5317)*(E2=E$1:E5317))))))</f>
        <v> </v>
      </c>
      <c r="K5318" s="26" t="str">
        <f>IF(OR(E5318="",E5318="!!!",F5318="NEW"),"",INDEX(J$1:J5317,SUMPRODUCT(MAX(ROW(E$1:E5317)*(E5318=E$1:E5317)))))</f>
        <v> </v>
      </c>
      <c r="L5318" s="27"/>
    </row>
    <row r="5319" spans="1:12">
      <c r="A5319" s="20" t="s">
        <v>1140</v>
      </c>
      <c r="B5319" s="21" t="s">
        <v>2451</v>
      </c>
      <c r="C5319" s="21" t="s">
        <v>1073</v>
      </c>
      <c r="D5319" s="21" t="s">
        <v>1007</v>
      </c>
      <c r="E5319" s="22">
        <f>IF(D5319="?OLD","!!!","")</f>
        <v/>
      </c>
      <c r="F5319" s="23" t="str">
        <f>IF(OR(E5319="",E5319="!!!"),"",IF(NOT(ISNA(VLOOKUP(E5319,E$1:E5318,1,FALSE()))),"OLD",IF(AND(E5319&lt;&gt;"",E5319&lt;&gt;"!!!"),"NEW","")))</f>
        <v> </v>
      </c>
      <c r="G5319" s="24" t="str">
        <f>IF(OR(E5319="",E5319="!!!"),"",IF(OR(J5319=0,AND(J5319=1,K5319=1),AND(J5319=1,I5319="SBJ"),AND(J5319=1,I5319=0)),"?IN_FOCUS",IF(J5319&lt;=2,"?ACTIVATED",IF(J5319&lt;&gt;"","?FAMILIAR",IF(F5319="NEW",IF(ISNA(VLOOKUP(E5319,#REF!,1,FALSE())),"?TYPE_IDENTIFIABLE","?REFERENTIAL"),"_")))))</f>
        <v> </v>
      </c>
      <c r="H5319" s="25" t="str">
        <f>IF(J5319&lt;&gt;1,"",IF(I5319="SBJ","CB","?"))</f>
        <v> </v>
      </c>
      <c r="I5319" s="26" t="str">
        <f>IF(OR(E5319="",E5319="!!!",F5319="NEW"),"",INDEX(B5318:B$2,-1+SUMPRODUCT(MAX(ROW(E5318:E$2)*(E5319=E5318:E$2)))))</f>
        <v> </v>
      </c>
      <c r="J5319" s="26" t="str">
        <f>IF(OR(E5319="",E5319="!!!",F5319="NEW"),"",COUNTBLANK(OFFSET(A$1,,,SUMPRODUCT(MAX(ROW(E$2:E5319)*(E5319=E$2:E5319)))))-COUNTBLANK(OFFSET(A$1,,,SUMPRODUCT(MAX(ROW(E$1:E5318)*(E2=E$1:E5318))))))</f>
        <v> </v>
      </c>
      <c r="K5319" s="26" t="str">
        <f>IF(OR(E5319="",E5319="!!!",F5319="NEW"),"",INDEX(J$1:J5318,SUMPRODUCT(MAX(ROW(E$1:E5318)*(E5319=E$1:E5318)))))</f>
        <v> </v>
      </c>
      <c r="L5319" s="27"/>
    </row>
    <row r="5320" spans="1:12">
      <c r="A5320" s="20" t="s">
        <v>1023</v>
      </c>
      <c r="E5320" s="22">
        <f>IF(D5320="?OLD","!!!","")</f>
        <v/>
      </c>
      <c r="F5320" s="23" t="str">
        <f>IF(OR(E5320="",E5320="!!!"),"",IF(NOT(ISNA(VLOOKUP(E5320,E$1:E5319,1,FALSE()))),"OLD",IF(AND(E5320&lt;&gt;"",E5320&lt;&gt;"!!!"),"NEW","")))</f>
        <v> </v>
      </c>
      <c r="G5320" s="24" t="str">
        <f>IF(OR(E5320="",E5320="!!!"),"",IF(OR(J5320=0,AND(J5320=1,K5320=1),AND(J5320=1,I5320="SBJ"),AND(J5320=1,I5320=0)),"?IN_FOCUS",IF(J5320&lt;=2,"?ACTIVATED",IF(J5320&lt;&gt;"","?FAMILIAR",IF(F5320="NEW",IF(ISNA(VLOOKUP(E5320,#REF!,1,FALSE())),"?TYPE_IDENTIFIABLE","?REFERENTIAL"),"_")))))</f>
        <v> </v>
      </c>
      <c r="H5320" s="25" t="str">
        <f>IF(J5320&lt;&gt;1,"",IF(I5320="SBJ","CB","?"))</f>
        <v> </v>
      </c>
      <c r="I5320" s="26" t="str">
        <f>IF(OR(E5320="",E5320="!!!",F5320="NEW"),"",INDEX(B5319:B$2,-1+SUMPRODUCT(MAX(ROW(E5319:E$2)*(E5320=E5319:E$2)))))</f>
        <v> </v>
      </c>
      <c r="J5320" s="26" t="str">
        <f>IF(OR(E5320="",E5320="!!!",F5320="NEW"),"",COUNTBLANK(OFFSET(A$1,,,SUMPRODUCT(MAX(ROW(E$2:E5320)*(E5320=E$2:E5320)))))-COUNTBLANK(OFFSET(A$1,,,SUMPRODUCT(MAX(ROW(E$1:E5319)*(E2=E$1:E5319))))))</f>
        <v> </v>
      </c>
      <c r="K5320" s="26" t="str">
        <f>IF(OR(E5320="",E5320="!!!",F5320="NEW"),"",INDEX(J$1:J5319,SUMPRODUCT(MAX(ROW(E$1:E5319)*(E5320=E$1:E5319)))))</f>
        <v> </v>
      </c>
      <c r="L5320" s="27"/>
    </row>
    <row r="5321" spans="1:12">
      <c r="A5321" s="20"/>
    </row>
    <row r="5322" spans="1:12">
      <c r="A5322" s="20" t="s">
        <v>2452</v>
      </c>
    </row>
    <row r="5323" spans="1:12">
      <c r="A5323" s="20" t="s">
        <v>2453</v>
      </c>
      <c r="E5323" s="22">
        <f>IF(D5323="?OLD","!!!","")</f>
        <v/>
      </c>
      <c r="F5323" s="23" t="str">
        <f>IF(OR(E5323="",E5323="!!!"),"",IF(NOT(ISNA(VLOOKUP(E5323,E$1:E5322,1,FALSE()))),"OLD",IF(AND(E5323&lt;&gt;"",E5323&lt;&gt;"!!!"),"NEW","")))</f>
        <v> </v>
      </c>
      <c r="G5323" s="24" t="str">
        <f>IF(OR(E5323="",E5323="!!!"),"",IF(OR(J5323=0,AND(J5323=1,K5323=1),AND(J5323=1,I5323="SBJ"),AND(J5323=1,I5323=0)),"?IN_FOCUS",IF(J5323&lt;=2,"?ACTIVATED",IF(J5323&lt;&gt;"","?FAMILIAR",IF(F5323="NEW",IF(ISNA(VLOOKUP(E5323,#REF!,1,FALSE())),"?TYPE_IDENTIFIABLE","?REFERENTIAL"),"_")))))</f>
        <v> </v>
      </c>
      <c r="H5323" s="25" t="str">
        <f>IF(J5323&lt;&gt;1,"",IF(I5323="SBJ","CB","?"))</f>
        <v> </v>
      </c>
      <c r="I5323" s="26" t="str">
        <f>IF(OR(E5323="",E5323="!!!",F5323="NEW"),"",INDEX(B5322:B$2,-1+SUMPRODUCT(MAX(ROW(E5322:E$2)*(E5323=E5322:E$2)))))</f>
        <v> </v>
      </c>
      <c r="J5323" s="26" t="str">
        <f>IF(OR(E5323="",E5323="!!!",F5323="NEW"),"",COUNTBLANK(OFFSET(A$1,,,SUMPRODUCT(MAX(ROW(E$2:E5323)*(E5323=E$2:E5323)))))-COUNTBLANK(OFFSET(A$1,,,SUMPRODUCT(MAX(ROW(E$1:E5322)*(E2=E$1:E5322))))))</f>
        <v> </v>
      </c>
      <c r="K5323" s="26" t="str">
        <f>IF(OR(E5323="",E5323="!!!",F5323="NEW"),"",INDEX(J$1:J5322,SUMPRODUCT(MAX(ROW(E$1:E5322)*(E5323=E$1:E5322)))))</f>
        <v> </v>
      </c>
      <c r="L5323" s="27"/>
    </row>
    <row r="5324" spans="1:12">
      <c r="A5324" s="20" t="s">
        <v>1324</v>
      </c>
      <c r="E5324" s="22">
        <f>IF(D5324="?OLD","!!!","")</f>
        <v/>
      </c>
      <c r="F5324" s="23" t="str">
        <f>IF(OR(E5324="",E5324="!!!"),"",IF(NOT(ISNA(VLOOKUP(E5324,E$1:E5323,1,FALSE()))),"OLD",IF(AND(E5324&lt;&gt;"",E5324&lt;&gt;"!!!"),"NEW","")))</f>
        <v> </v>
      </c>
      <c r="G5324" s="24" t="str">
        <f>IF(OR(E5324="",E5324="!!!"),"",IF(OR(J5324=0,AND(J5324=1,K5324=1),AND(J5324=1,I5324="SBJ"),AND(J5324=1,I5324=0)),"?IN_FOCUS",IF(J5324&lt;=2,"?ACTIVATED",IF(J5324&lt;&gt;"","?FAMILIAR",IF(F5324="NEW",IF(ISNA(VLOOKUP(E5324,#REF!,1,FALSE())),"?TYPE_IDENTIFIABLE","?REFERENTIAL"),"_")))))</f>
        <v> </v>
      </c>
      <c r="H5324" s="25" t="str">
        <f>IF(J5324&lt;&gt;1,"",IF(I5324="SBJ","CB","?"))</f>
        <v> </v>
      </c>
      <c r="I5324" s="26" t="str">
        <f>IF(OR(E5324="",E5324="!!!",F5324="NEW"),"",INDEX(B5323:B$2,-1+SUMPRODUCT(MAX(ROW(E5323:E$2)*(E5324=E5323:E$2)))))</f>
        <v> </v>
      </c>
      <c r="J5324" s="26" t="str">
        <f>IF(OR(E5324="",E5324="!!!",F5324="NEW"),"",COUNTBLANK(OFFSET(A$1,,,SUMPRODUCT(MAX(ROW(E$2:E5324)*(E5324=E$2:E5324)))))-COUNTBLANK(OFFSET(A$1,,,SUMPRODUCT(MAX(ROW(E$1:E5323)*(E2=E$1:E5323))))))</f>
        <v> </v>
      </c>
      <c r="K5324" s="26" t="str">
        <f>IF(OR(E5324="",E5324="!!!",F5324="NEW"),"",INDEX(J$1:J5323,SUMPRODUCT(MAX(ROW(E$1:E5323)*(E5324=E$1:E5323)))))</f>
        <v> </v>
      </c>
      <c r="L5324" s="27"/>
    </row>
    <row r="5325" spans="1:12">
      <c r="A5325" s="20" t="s">
        <v>2454</v>
      </c>
      <c r="B5325" s="21" t="s">
        <v>1005</v>
      </c>
      <c r="C5325" s="21" t="s">
        <v>1111</v>
      </c>
      <c r="E5325" s="22">
        <f>IF(D5325="?OLD","!!!","")</f>
        <v/>
      </c>
      <c r="F5325" s="23" t="str">
        <f>IF(OR(E5325="",E5325="!!!"),"",IF(NOT(ISNA(VLOOKUP(E5325,E$1:E5324,1,FALSE()))),"OLD",IF(AND(E5325&lt;&gt;"",E5325&lt;&gt;"!!!"),"NEW","")))</f>
        <v> </v>
      </c>
      <c r="G5325" s="24" t="str">
        <f>IF(OR(E5325="",E5325="!!!"),"",IF(OR(J5325=0,AND(J5325=1,K5325=1),AND(J5325=1,I5325="SBJ"),AND(J5325=1,I5325=0)),"?IN_FOCUS",IF(J5325&lt;=2,"?ACTIVATED",IF(J5325&lt;&gt;"","?FAMILIAR",IF(F5325="NEW",IF(ISNA(VLOOKUP(E5325,#REF!,1,FALSE())),"?TYPE_IDENTIFIABLE","?REFERENTIAL"),"_")))))</f>
        <v> </v>
      </c>
      <c r="H5325" s="25" t="str">
        <f>IF(J5325&lt;&gt;1,"",IF(I5325="SBJ","CB","?"))</f>
        <v> </v>
      </c>
      <c r="I5325" s="26" t="str">
        <f>IF(OR(E5325="",E5325="!!!",F5325="NEW"),"",INDEX(B5324:B$2,-1+SUMPRODUCT(MAX(ROW(E5324:E$2)*(E5325=E5324:E$2)))))</f>
        <v> </v>
      </c>
      <c r="J5325" s="26" t="str">
        <f>IF(OR(E5325="",E5325="!!!",F5325="NEW"),"",COUNTBLANK(OFFSET(A$1,,,SUMPRODUCT(MAX(ROW(E$2:E5325)*(E5325=E$2:E5325)))))-COUNTBLANK(OFFSET(A$1,,,SUMPRODUCT(MAX(ROW(E$1:E5324)*(E2=E$1:E5324))))))</f>
        <v> </v>
      </c>
      <c r="K5325" s="26" t="str">
        <f>IF(OR(E5325="",E5325="!!!",F5325="NEW"),"",INDEX(J$1:J5324,SUMPRODUCT(MAX(ROW(E$1:E5324)*(E5325=E$1:E5324)))))</f>
        <v> </v>
      </c>
      <c r="L5325" s="27"/>
    </row>
    <row r="5326" spans="1:12">
      <c r="A5326" s="20" t="s">
        <v>2455</v>
      </c>
      <c r="E5326" s="22">
        <f>IF(D5326="?OLD","!!!","")</f>
        <v/>
      </c>
      <c r="F5326" s="23" t="str">
        <f>IF(OR(E5326="",E5326="!!!"),"",IF(NOT(ISNA(VLOOKUP(E5326,E$1:E5325,1,FALSE()))),"OLD",IF(AND(E5326&lt;&gt;"",E5326&lt;&gt;"!!!"),"NEW","")))</f>
        <v> </v>
      </c>
      <c r="G5326" s="24" t="str">
        <f>IF(OR(E5326="",E5326="!!!"),"",IF(OR(J5326=0,AND(J5326=1,K5326=1),AND(J5326=1,I5326="SBJ"),AND(J5326=1,I5326=0)),"?IN_FOCUS",IF(J5326&lt;=2,"?ACTIVATED",IF(J5326&lt;&gt;"","?FAMILIAR",IF(F5326="NEW",IF(ISNA(VLOOKUP(E5326,#REF!,1,FALSE())),"?TYPE_IDENTIFIABLE","?REFERENTIAL"),"_")))))</f>
        <v> </v>
      </c>
      <c r="H5326" s="25" t="str">
        <f>IF(J5326&lt;&gt;1,"",IF(I5326="SBJ","CB","?"))</f>
        <v> </v>
      </c>
      <c r="I5326" s="26" t="str">
        <f>IF(OR(E5326="",E5326="!!!",F5326="NEW"),"",INDEX(B5325:B$2,-1+SUMPRODUCT(MAX(ROW(E5325:E$2)*(E5326=E5325:E$2)))))</f>
        <v> </v>
      </c>
      <c r="J5326" s="26" t="str">
        <f>IF(OR(E5326="",E5326="!!!",F5326="NEW"),"",COUNTBLANK(OFFSET(A$1,,,SUMPRODUCT(MAX(ROW(E$2:E5326)*(E5326=E$2:E5326)))))-COUNTBLANK(OFFSET(A$1,,,SUMPRODUCT(MAX(ROW(E$1:E5325)*(E2=E$1:E5325))))))</f>
        <v> </v>
      </c>
      <c r="K5326" s="26" t="str">
        <f>IF(OR(E5326="",E5326="!!!",F5326="NEW"),"",INDEX(J$1:J5325,SUMPRODUCT(MAX(ROW(E$1:E5325)*(E5326=E$1:E5325)))))</f>
        <v> </v>
      </c>
      <c r="L5326" s="27"/>
    </row>
    <row r="5327" spans="1:12">
      <c r="A5327" s="20" t="s">
        <v>1018</v>
      </c>
      <c r="E5327" s="22">
        <f>IF(D5327="?OLD","!!!","")</f>
        <v/>
      </c>
      <c r="F5327" s="23" t="str">
        <f>IF(OR(E5327="",E5327="!!!"),"",IF(NOT(ISNA(VLOOKUP(E5327,E$1:E5326,1,FALSE()))),"OLD",IF(AND(E5327&lt;&gt;"",E5327&lt;&gt;"!!!"),"NEW","")))</f>
        <v> </v>
      </c>
      <c r="G5327" s="24" t="str">
        <f>IF(OR(E5327="",E5327="!!!"),"",IF(OR(J5327=0,AND(J5327=1,K5327=1),AND(J5327=1,I5327="SBJ"),AND(J5327=1,I5327=0)),"?IN_FOCUS",IF(J5327&lt;=2,"?ACTIVATED",IF(J5327&lt;&gt;"","?FAMILIAR",IF(F5327="NEW",IF(ISNA(VLOOKUP(E5327,#REF!,1,FALSE())),"?TYPE_IDENTIFIABLE","?REFERENTIAL"),"_")))))</f>
        <v> </v>
      </c>
      <c r="H5327" s="25" t="str">
        <f>IF(J5327&lt;&gt;1,"",IF(I5327="SBJ","CB","?"))</f>
        <v> </v>
      </c>
      <c r="I5327" s="26" t="str">
        <f>IF(OR(E5327="",E5327="!!!",F5327="NEW"),"",INDEX(B5326:B$2,-1+SUMPRODUCT(MAX(ROW(E5326:E$2)*(E5327=E5326:E$2)))))</f>
        <v> </v>
      </c>
      <c r="J5327" s="26" t="str">
        <f>IF(OR(E5327="",E5327="!!!",F5327="NEW"),"",COUNTBLANK(OFFSET(A$1,,,SUMPRODUCT(MAX(ROW(E$2:E5327)*(E5327=E$2:E5327)))))-COUNTBLANK(OFFSET(A$1,,,SUMPRODUCT(MAX(ROW(E$1:E5326)*(E2=E$1:E5326))))))</f>
        <v> </v>
      </c>
      <c r="K5327" s="26" t="str">
        <f>IF(OR(E5327="",E5327="!!!",F5327="NEW"),"",INDEX(J$1:J5326,SUMPRODUCT(MAX(ROW(E$1:E5326)*(E5327=E$1:E5326)))))</f>
        <v> </v>
      </c>
      <c r="L5327" s="27"/>
    </row>
    <row r="5328" spans="1:12">
      <c r="A5328" s="20" t="s">
        <v>1142</v>
      </c>
      <c r="E5328" s="22">
        <f>IF(D5328="?OLD","!!!","")</f>
        <v/>
      </c>
      <c r="F5328" s="23" t="str">
        <f>IF(OR(E5328="",E5328="!!!"),"",IF(NOT(ISNA(VLOOKUP(E5328,E$1:E5327,1,FALSE()))),"OLD",IF(AND(E5328&lt;&gt;"",E5328&lt;&gt;"!!!"),"NEW","")))</f>
        <v> </v>
      </c>
      <c r="G5328" s="24" t="str">
        <f>IF(OR(E5328="",E5328="!!!"),"",IF(OR(J5328=0,AND(J5328=1,K5328=1),AND(J5328=1,I5328="SBJ"),AND(J5328=1,I5328=0)),"?IN_FOCUS",IF(J5328&lt;=2,"?ACTIVATED",IF(J5328&lt;&gt;"","?FAMILIAR",IF(F5328="NEW",IF(ISNA(VLOOKUP(E5328,#REF!,1,FALSE())),"?TYPE_IDENTIFIABLE","?REFERENTIAL"),"_")))))</f>
        <v> </v>
      </c>
      <c r="H5328" s="25" t="str">
        <f>IF(J5328&lt;&gt;1,"",IF(I5328="SBJ","CB","?"))</f>
        <v> </v>
      </c>
      <c r="I5328" s="26" t="str">
        <f>IF(OR(E5328="",E5328="!!!",F5328="NEW"),"",INDEX(B5327:B$2,-1+SUMPRODUCT(MAX(ROW(E5327:E$2)*(E5328=E5327:E$2)))))</f>
        <v> </v>
      </c>
      <c r="J5328" s="26" t="str">
        <f>IF(OR(E5328="",E5328="!!!",F5328="NEW"),"",COUNTBLANK(OFFSET(A$1,,,SUMPRODUCT(MAX(ROW(E$2:E5328)*(E5328=E$2:E5328)))))-COUNTBLANK(OFFSET(A$1,,,SUMPRODUCT(MAX(ROW(E$1:E5327)*(E2=E$1:E5327))))))</f>
        <v> </v>
      </c>
      <c r="K5328" s="26" t="str">
        <f>IF(OR(E5328="",E5328="!!!",F5328="NEW"),"",INDEX(J$1:J5327,SUMPRODUCT(MAX(ROW(E$1:E5327)*(E5328=E$1:E5327)))))</f>
        <v> </v>
      </c>
      <c r="L5328" s="27"/>
    </row>
    <row r="5329" spans="1:12">
      <c r="A5329" s="20" t="s">
        <v>1199</v>
      </c>
      <c r="E5329" s="22">
        <f>IF(D5329="?OLD","!!!","")</f>
        <v/>
      </c>
      <c r="F5329" s="23" t="str">
        <f>IF(OR(E5329="",E5329="!!!"),"",IF(NOT(ISNA(VLOOKUP(E5329,E$1:E5328,1,FALSE()))),"OLD",IF(AND(E5329&lt;&gt;"",E5329&lt;&gt;"!!!"),"NEW","")))</f>
        <v> </v>
      </c>
      <c r="G5329" s="24" t="str">
        <f>IF(OR(E5329="",E5329="!!!"),"",IF(OR(J5329=0,AND(J5329=1,K5329=1),AND(J5329=1,I5329="SBJ"),AND(J5329=1,I5329=0)),"?IN_FOCUS",IF(J5329&lt;=2,"?ACTIVATED",IF(J5329&lt;&gt;"","?FAMILIAR",IF(F5329="NEW",IF(ISNA(VLOOKUP(E5329,#REF!,1,FALSE())),"?TYPE_IDENTIFIABLE","?REFERENTIAL"),"_")))))</f>
        <v> </v>
      </c>
      <c r="H5329" s="25" t="str">
        <f>IF(J5329&lt;&gt;1,"",IF(I5329="SBJ","CB","?"))</f>
        <v> </v>
      </c>
      <c r="I5329" s="26" t="str">
        <f>IF(OR(E5329="",E5329="!!!",F5329="NEW"),"",INDEX(B5328:B$2,-1+SUMPRODUCT(MAX(ROW(E5328:E$2)*(E5329=E5328:E$2)))))</f>
        <v> </v>
      </c>
      <c r="J5329" s="26" t="str">
        <f>IF(OR(E5329="",E5329="!!!",F5329="NEW"),"",COUNTBLANK(OFFSET(A$1,,,SUMPRODUCT(MAX(ROW(E$2:E5329)*(E5329=E$2:E5329)))))-COUNTBLANK(OFFSET(A$1,,,SUMPRODUCT(MAX(ROW(E$1:E5328)*(E2=E$1:E5328))))))</f>
        <v> </v>
      </c>
      <c r="K5329" s="26" t="str">
        <f>IF(OR(E5329="",E5329="!!!",F5329="NEW"),"",INDEX(J$1:J5328,SUMPRODUCT(MAX(ROW(E$1:E5328)*(E5329=E$1:E5328)))))</f>
        <v> </v>
      </c>
      <c r="L5329" s="27"/>
    </row>
    <row r="5330" spans="1:12">
      <c r="A5330" s="20" t="s">
        <v>1097</v>
      </c>
      <c r="E5330" s="22">
        <f>IF(D5330="?OLD","!!!","")</f>
        <v/>
      </c>
      <c r="F5330" s="23" t="str">
        <f>IF(OR(E5330="",E5330="!!!"),"",IF(NOT(ISNA(VLOOKUP(E5330,E$1:E5329,1,FALSE()))),"OLD",IF(AND(E5330&lt;&gt;"",E5330&lt;&gt;"!!!"),"NEW","")))</f>
        <v> </v>
      </c>
      <c r="G5330" s="24" t="str">
        <f>IF(OR(E5330="",E5330="!!!"),"",IF(OR(J5330=0,AND(J5330=1,K5330=1),AND(J5330=1,I5330="SBJ"),AND(J5330=1,I5330=0)),"?IN_FOCUS",IF(J5330&lt;=2,"?ACTIVATED",IF(J5330&lt;&gt;"","?FAMILIAR",IF(F5330="NEW",IF(ISNA(VLOOKUP(E5330,#REF!,1,FALSE())),"?TYPE_IDENTIFIABLE","?REFERENTIAL"),"_")))))</f>
        <v> </v>
      </c>
      <c r="H5330" s="25" t="str">
        <f>IF(J5330&lt;&gt;1,"",IF(I5330="SBJ","CB","?"))</f>
        <v> </v>
      </c>
      <c r="I5330" s="26" t="str">
        <f>IF(OR(E5330="",E5330="!!!",F5330="NEW"),"",INDEX(B5329:B$2,-1+SUMPRODUCT(MAX(ROW(E5329:E$2)*(E5330=E5329:E$2)))))</f>
        <v> </v>
      </c>
      <c r="J5330" s="26" t="str">
        <f>IF(OR(E5330="",E5330="!!!",F5330="NEW"),"",COUNTBLANK(OFFSET(A$1,,,SUMPRODUCT(MAX(ROW(E$2:E5330)*(E5330=E$2:E5330)))))-COUNTBLANK(OFFSET(A$1,,,SUMPRODUCT(MAX(ROW(E$1:E5329)*(E2=E$1:E5329))))))</f>
        <v> </v>
      </c>
      <c r="K5330" s="26" t="str">
        <f>IF(OR(E5330="",E5330="!!!",F5330="NEW"),"",INDEX(J$1:J5329,SUMPRODUCT(MAX(ROW(E$1:E5329)*(E5330=E$1:E5329)))))</f>
        <v> </v>
      </c>
      <c r="L5330" s="27"/>
    </row>
    <row r="5331" spans="1:12">
      <c r="A5331" s="20" t="s">
        <v>1669</v>
      </c>
      <c r="B5331" s="21" t="s">
        <v>1005</v>
      </c>
      <c r="C5331" s="21" t="s">
        <v>1082</v>
      </c>
      <c r="D5331" s="21" t="s">
        <v>1007</v>
      </c>
      <c r="E5331" s="22">
        <f>IF(D5331="?OLD","!!!","")</f>
        <v/>
      </c>
      <c r="F5331" s="23" t="str">
        <f>IF(OR(E5331="",E5331="!!!"),"",IF(NOT(ISNA(VLOOKUP(E5331,E$1:E5330,1,FALSE()))),"OLD",IF(AND(E5331&lt;&gt;"",E5331&lt;&gt;"!!!"),"NEW","")))</f>
        <v> </v>
      </c>
      <c r="G5331" s="24" t="str">
        <f>IF(OR(E5331="",E5331="!!!"),"",IF(OR(J5331=0,AND(J5331=1,K5331=1),AND(J5331=1,I5331="SBJ"),AND(J5331=1,I5331=0)),"?IN_FOCUS",IF(J5331&lt;=2,"?ACTIVATED",IF(J5331&lt;&gt;"","?FAMILIAR",IF(F5331="NEW",IF(ISNA(VLOOKUP(E5331,#REF!,1,FALSE())),"?TYPE_IDENTIFIABLE","?REFERENTIAL"),"_")))))</f>
        <v> </v>
      </c>
      <c r="H5331" s="25" t="str">
        <f>IF(J5331&lt;&gt;1,"",IF(I5331="SBJ","CB","?"))</f>
        <v> </v>
      </c>
      <c r="I5331" s="26" t="str">
        <f>IF(OR(E5331="",E5331="!!!",F5331="NEW"),"",INDEX(B5330:B$2,-1+SUMPRODUCT(MAX(ROW(E5330:E$2)*(E5331=E5330:E$2)))))</f>
        <v> </v>
      </c>
      <c r="J5331" s="26" t="str">
        <f>IF(OR(E5331="",E5331="!!!",F5331="NEW"),"",COUNTBLANK(OFFSET(A$1,,,SUMPRODUCT(MAX(ROW(E$2:E5331)*(E5331=E$2:E5331)))))-COUNTBLANK(OFFSET(A$1,,,SUMPRODUCT(MAX(ROW(E$1:E5330)*(E2=E$1:E5330))))))</f>
        <v> </v>
      </c>
      <c r="K5331" s="26" t="str">
        <f>IF(OR(E5331="",E5331="!!!",F5331="NEW"),"",INDEX(J$1:J5330,SUMPRODUCT(MAX(ROW(E$1:E5330)*(E5331=E$1:E5330)))))</f>
        <v> </v>
      </c>
      <c r="L5331" s="27"/>
    </row>
    <row r="5332" spans="1:12">
      <c r="A5332" s="20" t="s">
        <v>1018</v>
      </c>
      <c r="E5332" s="22">
        <f>IF(D5332="?OLD","!!!","")</f>
        <v/>
      </c>
      <c r="F5332" s="23" t="str">
        <f>IF(OR(E5332="",E5332="!!!"),"",IF(NOT(ISNA(VLOOKUP(E5332,E$1:E5331,1,FALSE()))),"OLD",IF(AND(E5332&lt;&gt;"",E5332&lt;&gt;"!!!"),"NEW","")))</f>
        <v> </v>
      </c>
      <c r="G5332" s="24" t="str">
        <f>IF(OR(E5332="",E5332="!!!"),"",IF(OR(J5332=0,AND(J5332=1,K5332=1),AND(J5332=1,I5332="SBJ"),AND(J5332=1,I5332=0)),"?IN_FOCUS",IF(J5332&lt;=2,"?ACTIVATED",IF(J5332&lt;&gt;"","?FAMILIAR",IF(F5332="NEW",IF(ISNA(VLOOKUP(E5332,#REF!,1,FALSE())),"?TYPE_IDENTIFIABLE","?REFERENTIAL"),"_")))))</f>
        <v> </v>
      </c>
      <c r="H5332" s="25" t="str">
        <f>IF(J5332&lt;&gt;1,"",IF(I5332="SBJ","CB","?"))</f>
        <v> </v>
      </c>
      <c r="I5332" s="26" t="str">
        <f>IF(OR(E5332="",E5332="!!!",F5332="NEW"),"",INDEX(B5331:B$2,-1+SUMPRODUCT(MAX(ROW(E5331:E$2)*(E5332=E5331:E$2)))))</f>
        <v> </v>
      </c>
      <c r="J5332" s="26" t="str">
        <f>IF(OR(E5332="",E5332="!!!",F5332="NEW"),"",COUNTBLANK(OFFSET(A$1,,,SUMPRODUCT(MAX(ROW(E$2:E5332)*(E5332=E$2:E5332)))))-COUNTBLANK(OFFSET(A$1,,,SUMPRODUCT(MAX(ROW(E$1:E5331)*(E2=E$1:E5331))))))</f>
        <v> </v>
      </c>
      <c r="K5332" s="26" t="str">
        <f>IF(OR(E5332="",E5332="!!!",F5332="NEW"),"",INDEX(J$1:J5331,SUMPRODUCT(MAX(ROW(E$1:E5331)*(E5332=E$1:E5331)))))</f>
        <v> </v>
      </c>
      <c r="L5332" s="27"/>
    </row>
    <row r="5333" spans="1:12">
      <c r="A5333" s="20" t="s">
        <v>1330</v>
      </c>
      <c r="E5333" s="22">
        <f>IF(D5333="?OLD","!!!","")</f>
        <v/>
      </c>
      <c r="F5333" s="23" t="str">
        <f>IF(OR(E5333="",E5333="!!!"),"",IF(NOT(ISNA(VLOOKUP(E5333,E$1:E5332,1,FALSE()))),"OLD",IF(AND(E5333&lt;&gt;"",E5333&lt;&gt;"!!!"),"NEW","")))</f>
        <v> </v>
      </c>
      <c r="G5333" s="24" t="str">
        <f>IF(OR(E5333="",E5333="!!!"),"",IF(OR(J5333=0,AND(J5333=1,K5333=1),AND(J5333=1,I5333="SBJ"),AND(J5333=1,I5333=0)),"?IN_FOCUS",IF(J5333&lt;=2,"?ACTIVATED",IF(J5333&lt;&gt;"","?FAMILIAR",IF(F5333="NEW",IF(ISNA(VLOOKUP(E5333,#REF!,1,FALSE())),"?TYPE_IDENTIFIABLE","?REFERENTIAL"),"_")))))</f>
        <v> </v>
      </c>
      <c r="H5333" s="25" t="str">
        <f>IF(J5333&lt;&gt;1,"",IF(I5333="SBJ","CB","?"))</f>
        <v> </v>
      </c>
      <c r="I5333" s="26" t="str">
        <f>IF(OR(E5333="",E5333="!!!",F5333="NEW"),"",INDEX(B5332:B$2,-1+SUMPRODUCT(MAX(ROW(E5332:E$2)*(E5333=E5332:E$2)))))</f>
        <v> </v>
      </c>
      <c r="J5333" s="26" t="str">
        <f>IF(OR(E5333="",E5333="!!!",F5333="NEW"),"",COUNTBLANK(OFFSET(A$1,,,SUMPRODUCT(MAX(ROW(E$2:E5333)*(E5333=E$2:E5333)))))-COUNTBLANK(OFFSET(A$1,,,SUMPRODUCT(MAX(ROW(E$1:E5332)*(E2=E$1:E5332))))))</f>
        <v> </v>
      </c>
      <c r="K5333" s="26" t="str">
        <f>IF(OR(E5333="",E5333="!!!",F5333="NEW"),"",INDEX(J$1:J5332,SUMPRODUCT(MAX(ROW(E$1:E5332)*(E5333=E$1:E5332)))))</f>
        <v> </v>
      </c>
      <c r="L5333" s="27"/>
    </row>
    <row r="5334" spans="1:12">
      <c r="A5334" s="20" t="s">
        <v>1097</v>
      </c>
      <c r="E5334" s="22">
        <f>IF(D5334="?OLD","!!!","")</f>
        <v/>
      </c>
      <c r="F5334" s="23" t="str">
        <f>IF(OR(E5334="",E5334="!!!"),"",IF(NOT(ISNA(VLOOKUP(E5334,E$1:E5333,1,FALSE()))),"OLD",IF(AND(E5334&lt;&gt;"",E5334&lt;&gt;"!!!"),"NEW","")))</f>
        <v> </v>
      </c>
      <c r="G5334" s="24" t="str">
        <f>IF(OR(E5334="",E5334="!!!"),"",IF(OR(J5334=0,AND(J5334=1,K5334=1),AND(J5334=1,I5334="SBJ"),AND(J5334=1,I5334=0)),"?IN_FOCUS",IF(J5334&lt;=2,"?ACTIVATED",IF(J5334&lt;&gt;"","?FAMILIAR",IF(F5334="NEW",IF(ISNA(VLOOKUP(E5334,#REF!,1,FALSE())),"?TYPE_IDENTIFIABLE","?REFERENTIAL"),"_")))))</f>
        <v> </v>
      </c>
      <c r="H5334" s="25" t="str">
        <f>IF(J5334&lt;&gt;1,"",IF(I5334="SBJ","CB","?"))</f>
        <v> </v>
      </c>
      <c r="I5334" s="26" t="str">
        <f>IF(OR(E5334="",E5334="!!!",F5334="NEW"),"",INDEX(B5333:B$2,-1+SUMPRODUCT(MAX(ROW(E5333:E$2)*(E5334=E5333:E$2)))))</f>
        <v> </v>
      </c>
      <c r="J5334" s="26" t="str">
        <f>IF(OR(E5334="",E5334="!!!",F5334="NEW"),"",COUNTBLANK(OFFSET(A$1,,,SUMPRODUCT(MAX(ROW(E$2:E5334)*(E5334=E$2:E5334)))))-COUNTBLANK(OFFSET(A$1,,,SUMPRODUCT(MAX(ROW(E$1:E5333)*(E2=E$1:E5333))))))</f>
        <v> </v>
      </c>
      <c r="K5334" s="26" t="str">
        <f>IF(OR(E5334="",E5334="!!!",F5334="NEW"),"",INDEX(J$1:J5333,SUMPRODUCT(MAX(ROW(E$1:E5333)*(E5334=E$1:E5333)))))</f>
        <v> </v>
      </c>
      <c r="L5334" s="27"/>
    </row>
    <row r="5335" spans="1:12">
      <c r="A5335" s="20" t="s">
        <v>102</v>
      </c>
      <c r="E5335" s="22">
        <f>IF(D5335="?OLD","!!!","")</f>
        <v/>
      </c>
      <c r="F5335" s="23" t="str">
        <f>IF(OR(E5335="",E5335="!!!"),"",IF(NOT(ISNA(VLOOKUP(E5335,E$1:E5334,1,FALSE()))),"OLD",IF(AND(E5335&lt;&gt;"",E5335&lt;&gt;"!!!"),"NEW","")))</f>
        <v> </v>
      </c>
      <c r="G5335" s="24" t="str">
        <f>IF(OR(E5335="",E5335="!!!"),"",IF(OR(J5335=0,AND(J5335=1,K5335=1),AND(J5335=1,I5335="SBJ"),AND(J5335=1,I5335=0)),"?IN_FOCUS",IF(J5335&lt;=2,"?ACTIVATED",IF(J5335&lt;&gt;"","?FAMILIAR",IF(F5335="NEW",IF(ISNA(VLOOKUP(E5335,#REF!,1,FALSE())),"?TYPE_IDENTIFIABLE","?REFERENTIAL"),"_")))))</f>
        <v> </v>
      </c>
      <c r="H5335" s="25" t="str">
        <f>IF(J5335&lt;&gt;1,"",IF(I5335="SBJ","CB","?"))</f>
        <v> </v>
      </c>
      <c r="I5335" s="26" t="str">
        <f>IF(OR(E5335="",E5335="!!!",F5335="NEW"),"",INDEX(B5334:B$2,-1+SUMPRODUCT(MAX(ROW(E5334:E$2)*(E5335=E5334:E$2)))))</f>
        <v> </v>
      </c>
      <c r="J5335" s="26" t="str">
        <f>IF(OR(E5335="",E5335="!!!",F5335="NEW"),"",COUNTBLANK(OFFSET(A$1,,,SUMPRODUCT(MAX(ROW(E$2:E5335)*(E5335=E$2:E5335)))))-COUNTBLANK(OFFSET(A$1,,,SUMPRODUCT(MAX(ROW(E$1:E5334)*(E2=E$1:E5334))))))</f>
        <v> </v>
      </c>
      <c r="K5335" s="26" t="str">
        <f>IF(OR(E5335="",E5335="!!!",F5335="NEW"),"",INDEX(J$1:J5334,SUMPRODUCT(MAX(ROW(E$1:E5334)*(E5335=E$1:E5334)))))</f>
        <v> </v>
      </c>
      <c r="L5335" s="27"/>
    </row>
    <row r="5336" spans="1:12">
      <c r="A5336" s="20" t="s">
        <v>1156</v>
      </c>
      <c r="B5336" s="21" t="s">
        <v>1022</v>
      </c>
      <c r="C5336" s="21" t="s">
        <v>1017</v>
      </c>
      <c r="D5336" s="21" t="s">
        <v>1007</v>
      </c>
      <c r="E5336" s="22">
        <f>IF(D5336="?OLD","!!!","")</f>
        <v/>
      </c>
      <c r="F5336" s="23" t="str">
        <f>IF(OR(E5336="",E5336="!!!"),"",IF(NOT(ISNA(VLOOKUP(E5336,E$1:E5335,1,FALSE()))),"OLD",IF(AND(E5336&lt;&gt;"",E5336&lt;&gt;"!!!"),"NEW","")))</f>
        <v> </v>
      </c>
      <c r="G5336" s="24" t="str">
        <f>IF(OR(E5336="",E5336="!!!"),"",IF(OR(J5336=0,AND(J5336=1,K5336=1),AND(J5336=1,I5336="SBJ"),AND(J5336=1,I5336=0)),"?IN_FOCUS",IF(J5336&lt;=2,"?ACTIVATED",IF(J5336&lt;&gt;"","?FAMILIAR",IF(F5336="NEW",IF(ISNA(VLOOKUP(E5336,#REF!,1,FALSE())),"?TYPE_IDENTIFIABLE","?REFERENTIAL"),"_")))))</f>
        <v> </v>
      </c>
      <c r="H5336" s="25" t="str">
        <f>IF(J5336&lt;&gt;1,"",IF(I5336="SBJ","CB","?"))</f>
        <v> </v>
      </c>
      <c r="I5336" s="26" t="str">
        <f>IF(OR(E5336="",E5336="!!!",F5336="NEW"),"",INDEX(B5335:B$2,-1+SUMPRODUCT(MAX(ROW(E5335:E$2)*(E5336=E5335:E$2)))))</f>
        <v> </v>
      </c>
      <c r="J5336" s="26" t="str">
        <f>IF(OR(E5336="",E5336="!!!",F5336="NEW"),"",COUNTBLANK(OFFSET(A$1,,,SUMPRODUCT(MAX(ROW(E$2:E5336)*(E5336=E$2:E5336)))))-COUNTBLANK(OFFSET(A$1,,,SUMPRODUCT(MAX(ROW(E$1:E5335)*(E2=E$1:E5335))))))</f>
        <v> </v>
      </c>
      <c r="K5336" s="26" t="str">
        <f>IF(OR(E5336="",E5336="!!!",F5336="NEW"),"",INDEX(J$1:J5335,SUMPRODUCT(MAX(ROW(E$1:E5335)*(E5336=E$1:E5335)))))</f>
        <v> </v>
      </c>
      <c r="L5336" s="27"/>
    </row>
    <row r="5337" spans="1:12">
      <c r="A5337" s="20" t="s">
        <v>2035</v>
      </c>
      <c r="E5337" s="22">
        <f>IF(D5337="?OLD","!!!","")</f>
        <v/>
      </c>
      <c r="F5337" s="23" t="str">
        <f>IF(OR(E5337="",E5337="!!!"),"",IF(NOT(ISNA(VLOOKUP(E5337,E$1:E5336,1,FALSE()))),"OLD",IF(AND(E5337&lt;&gt;"",E5337&lt;&gt;"!!!"),"NEW","")))</f>
        <v> </v>
      </c>
      <c r="G5337" s="24" t="str">
        <f>IF(OR(E5337="",E5337="!!!"),"",IF(OR(J5337=0,AND(J5337=1,K5337=1),AND(J5337=1,I5337="SBJ"),AND(J5337=1,I5337=0)),"?IN_FOCUS",IF(J5337&lt;=2,"?ACTIVATED",IF(J5337&lt;&gt;"","?FAMILIAR",IF(F5337="NEW",IF(ISNA(VLOOKUP(E5337,#REF!,1,FALSE())),"?TYPE_IDENTIFIABLE","?REFERENTIAL"),"_")))))</f>
        <v> </v>
      </c>
      <c r="H5337" s="25" t="str">
        <f>IF(J5337&lt;&gt;1,"",IF(I5337="SBJ","CB","?"))</f>
        <v> </v>
      </c>
      <c r="I5337" s="26" t="str">
        <f>IF(OR(E5337="",E5337="!!!",F5337="NEW"),"",INDEX(B5336:B$2,-1+SUMPRODUCT(MAX(ROW(E5336:E$2)*(E5337=E5336:E$2)))))</f>
        <v> </v>
      </c>
      <c r="J5337" s="26" t="str">
        <f>IF(OR(E5337="",E5337="!!!",F5337="NEW"),"",COUNTBLANK(OFFSET(A$1,,,SUMPRODUCT(MAX(ROW(E$2:E5337)*(E5337=E$2:E5337)))))-COUNTBLANK(OFFSET(A$1,,,SUMPRODUCT(MAX(ROW(E$1:E5336)*(E2=E$1:E5336))))))</f>
        <v> </v>
      </c>
      <c r="K5337" s="26" t="str">
        <f>IF(OR(E5337="",E5337="!!!",F5337="NEW"),"",INDEX(J$1:J5336,SUMPRODUCT(MAX(ROW(E$1:E5336)*(E5337=E$1:E5336)))))</f>
        <v> </v>
      </c>
      <c r="L5337" s="27"/>
    </row>
    <row r="5338" spans="1:12">
      <c r="A5338" s="20" t="s">
        <v>1023</v>
      </c>
      <c r="E5338" s="22">
        <f>IF(D5338="?OLD","!!!","")</f>
        <v/>
      </c>
      <c r="F5338" s="23" t="str">
        <f>IF(OR(E5338="",E5338="!!!"),"",IF(NOT(ISNA(VLOOKUP(E5338,E$1:E5337,1,FALSE()))),"OLD",IF(AND(E5338&lt;&gt;"",E5338&lt;&gt;"!!!"),"NEW","")))</f>
        <v> </v>
      </c>
      <c r="G5338" s="24" t="str">
        <f>IF(OR(E5338="",E5338="!!!"),"",IF(OR(J5338=0,AND(J5338=1,K5338=1),AND(J5338=1,I5338="SBJ"),AND(J5338=1,I5338=0)),"?IN_FOCUS",IF(J5338&lt;=2,"?ACTIVATED",IF(J5338&lt;&gt;"","?FAMILIAR",IF(F5338="NEW",IF(ISNA(VLOOKUP(E5338,#REF!,1,FALSE())),"?TYPE_IDENTIFIABLE","?REFERENTIAL"),"_")))))</f>
        <v> </v>
      </c>
      <c r="H5338" s="25" t="str">
        <f>IF(J5338&lt;&gt;1,"",IF(I5338="SBJ","CB","?"))</f>
        <v> </v>
      </c>
      <c r="I5338" s="26" t="str">
        <f>IF(OR(E5338="",E5338="!!!",F5338="NEW"),"",INDEX(B5337:B$2,-1+SUMPRODUCT(MAX(ROW(E5337:E$2)*(E5338=E5337:E$2)))))</f>
        <v> </v>
      </c>
      <c r="J5338" s="26" t="str">
        <f>IF(OR(E5338="",E5338="!!!",F5338="NEW"),"",COUNTBLANK(OFFSET(A$1,,,SUMPRODUCT(MAX(ROW(E$2:E5338)*(E5338=E$2:E5338)))))-COUNTBLANK(OFFSET(A$1,,,SUMPRODUCT(MAX(ROW(E$1:E5337)*(E2=E$1:E5337))))))</f>
        <v> </v>
      </c>
      <c r="K5338" s="26" t="str">
        <f>IF(OR(E5338="",E5338="!!!",F5338="NEW"),"",INDEX(J$1:J5337,SUMPRODUCT(MAX(ROW(E$1:E5337)*(E5338=E$1:E5337)))))</f>
        <v> </v>
      </c>
      <c r="L5338" s="27"/>
    </row>
    <row r="5339" spans="1:12">
      <c r="A5339" s="20"/>
    </row>
    <row r="5340" spans="1:12">
      <c r="A5340" s="20" t="s">
        <v>2456</v>
      </c>
    </row>
    <row r="5341" spans="1:12">
      <c r="A5341" s="20" t="s">
        <v>1094</v>
      </c>
      <c r="E5341" s="22">
        <f>IF(D5341="?OLD","!!!","")</f>
        <v/>
      </c>
      <c r="F5341" s="23" t="str">
        <f>IF(OR(E5341="",E5341="!!!"),"",IF(NOT(ISNA(VLOOKUP(E5341,E$1:E5340,1,FALSE()))),"OLD",IF(AND(E5341&lt;&gt;"",E5341&lt;&gt;"!!!"),"NEW","")))</f>
        <v> </v>
      </c>
      <c r="G5341" s="24" t="str">
        <f>IF(OR(E5341="",E5341="!!!"),"",IF(OR(J5341=0,AND(J5341=1,K5341=1),AND(J5341=1,I5341="SBJ"),AND(J5341=1,I5341=0)),"?IN_FOCUS",IF(J5341&lt;=2,"?ACTIVATED",IF(J5341&lt;&gt;"","?FAMILIAR",IF(F5341="NEW",IF(ISNA(VLOOKUP(E5341,#REF!,1,FALSE())),"?TYPE_IDENTIFIABLE","?REFERENTIAL"),"_")))))</f>
        <v> </v>
      </c>
      <c r="H5341" s="25" t="str">
        <f>IF(J5341&lt;&gt;1,"",IF(I5341="SBJ","CB","?"))</f>
        <v> </v>
      </c>
      <c r="I5341" s="26" t="str">
        <f>IF(OR(E5341="",E5341="!!!",F5341="NEW"),"",INDEX(B5340:B$2,-1+SUMPRODUCT(MAX(ROW(E5340:E$2)*(E5341=E5340:E$2)))))</f>
        <v> </v>
      </c>
      <c r="J5341" s="26" t="str">
        <f>IF(OR(E5341="",E5341="!!!",F5341="NEW"),"",COUNTBLANK(OFFSET(A$1,,,SUMPRODUCT(MAX(ROW(E$2:E5341)*(E5341=E$2:E5341)))))-COUNTBLANK(OFFSET(A$1,,,SUMPRODUCT(MAX(ROW(E$1:E5340)*(E2=E$1:E5340))))))</f>
        <v> </v>
      </c>
      <c r="K5341" s="26" t="str">
        <f>IF(OR(E5341="",E5341="!!!",F5341="NEW"),"",INDEX(J$1:J5340,SUMPRODUCT(MAX(ROW(E$1:E5340)*(E5341=E$1:E5340)))))</f>
        <v> </v>
      </c>
      <c r="L5341" s="27"/>
    </row>
    <row r="5342" spans="1:12">
      <c r="A5342" s="20" t="s">
        <v>1009</v>
      </c>
      <c r="E5342" s="22">
        <f>IF(D5342="?OLD","!!!","")</f>
        <v/>
      </c>
      <c r="F5342" s="23" t="str">
        <f>IF(OR(E5342="",E5342="!!!"),"",IF(NOT(ISNA(VLOOKUP(E5342,E$1:E5341,1,FALSE()))),"OLD",IF(AND(E5342&lt;&gt;"",E5342&lt;&gt;"!!!"),"NEW","")))</f>
        <v> </v>
      </c>
      <c r="G5342" s="24" t="str">
        <f>IF(OR(E5342="",E5342="!!!"),"",IF(OR(J5342=0,AND(J5342=1,K5342=1),AND(J5342=1,I5342="SBJ"),AND(J5342=1,I5342=0)),"?IN_FOCUS",IF(J5342&lt;=2,"?ACTIVATED",IF(J5342&lt;&gt;"","?FAMILIAR",IF(F5342="NEW",IF(ISNA(VLOOKUP(E5342,#REF!,1,FALSE())),"?TYPE_IDENTIFIABLE","?REFERENTIAL"),"_")))))</f>
        <v> </v>
      </c>
      <c r="H5342" s="25" t="str">
        <f>IF(J5342&lt;&gt;1,"",IF(I5342="SBJ","CB","?"))</f>
        <v> </v>
      </c>
      <c r="I5342" s="26" t="str">
        <f>IF(OR(E5342="",E5342="!!!",F5342="NEW"),"",INDEX(B5341:B$2,-1+SUMPRODUCT(MAX(ROW(E5341:E$2)*(E5342=E5341:E$2)))))</f>
        <v> </v>
      </c>
      <c r="J5342" s="26" t="str">
        <f>IF(OR(E5342="",E5342="!!!",F5342="NEW"),"",COUNTBLANK(OFFSET(A$1,,,SUMPRODUCT(MAX(ROW(E$2:E5342)*(E5342=E$2:E5342)))))-COUNTBLANK(OFFSET(A$1,,,SUMPRODUCT(MAX(ROW(E$1:E5341)*(E2=E$1:E5341))))))</f>
        <v> </v>
      </c>
      <c r="K5342" s="26" t="str">
        <f>IF(OR(E5342="",E5342="!!!",F5342="NEW"),"",INDEX(J$1:J5341,SUMPRODUCT(MAX(ROW(E$1:E5341)*(E5342=E$1:E5341)))))</f>
        <v> </v>
      </c>
      <c r="L5342" s="27"/>
    </row>
    <row r="5343" spans="1:12">
      <c r="A5343" s="20" t="s">
        <v>1857</v>
      </c>
      <c r="E5343" s="22">
        <f>IF(D5343="?OLD","!!!","")</f>
        <v/>
      </c>
      <c r="F5343" s="23" t="str">
        <f>IF(OR(E5343="",E5343="!!!"),"",IF(NOT(ISNA(VLOOKUP(E5343,E$1:E5342,1,FALSE()))),"OLD",IF(AND(E5343&lt;&gt;"",E5343&lt;&gt;"!!!"),"NEW","")))</f>
        <v> </v>
      </c>
      <c r="G5343" s="24" t="str">
        <f>IF(OR(E5343="",E5343="!!!"),"",IF(OR(J5343=0,AND(J5343=1,K5343=1),AND(J5343=1,I5343="SBJ"),AND(J5343=1,I5343=0)),"?IN_FOCUS",IF(J5343&lt;=2,"?ACTIVATED",IF(J5343&lt;&gt;"","?FAMILIAR",IF(F5343="NEW",IF(ISNA(VLOOKUP(E5343,#REF!,1,FALSE())),"?TYPE_IDENTIFIABLE","?REFERENTIAL"),"_")))))</f>
        <v> </v>
      </c>
      <c r="H5343" s="25" t="str">
        <f>IF(J5343&lt;&gt;1,"",IF(I5343="SBJ","CB","?"))</f>
        <v> </v>
      </c>
      <c r="I5343" s="26" t="str">
        <f>IF(OR(E5343="",E5343="!!!",F5343="NEW"),"",INDEX(B5342:B$2,-1+SUMPRODUCT(MAX(ROW(E5342:E$2)*(E5343=E5342:E$2)))))</f>
        <v> </v>
      </c>
      <c r="J5343" s="26" t="str">
        <f>IF(OR(E5343="",E5343="!!!",F5343="NEW"),"",COUNTBLANK(OFFSET(A$1,,,SUMPRODUCT(MAX(ROW(E$2:E5343)*(E5343=E$2:E5343)))))-COUNTBLANK(OFFSET(A$1,,,SUMPRODUCT(MAX(ROW(E$1:E5342)*(E2=E$1:E5342))))))</f>
        <v> </v>
      </c>
      <c r="K5343" s="26" t="str">
        <f>IF(OR(E5343="",E5343="!!!",F5343="NEW"),"",INDEX(J$1:J5342,SUMPRODUCT(MAX(ROW(E$1:E5342)*(E5343=E$1:E5342)))))</f>
        <v> </v>
      </c>
      <c r="L5343" s="27"/>
    </row>
    <row r="5344" spans="1:12">
      <c r="A5344" s="20" t="s">
        <v>1018</v>
      </c>
      <c r="E5344" s="22">
        <f>IF(D5344="?OLD","!!!","")</f>
        <v/>
      </c>
      <c r="F5344" s="23" t="str">
        <f>IF(OR(E5344="",E5344="!!!"),"",IF(NOT(ISNA(VLOOKUP(E5344,E$1:E5343,1,FALSE()))),"OLD",IF(AND(E5344&lt;&gt;"",E5344&lt;&gt;"!!!"),"NEW","")))</f>
        <v> </v>
      </c>
      <c r="G5344" s="24" t="str">
        <f>IF(OR(E5344="",E5344="!!!"),"",IF(OR(J5344=0,AND(J5344=1,K5344=1),AND(J5344=1,I5344="SBJ"),AND(J5344=1,I5344=0)),"?IN_FOCUS",IF(J5344&lt;=2,"?ACTIVATED",IF(J5344&lt;&gt;"","?FAMILIAR",IF(F5344="NEW",IF(ISNA(VLOOKUP(E5344,#REF!,1,FALSE())),"?TYPE_IDENTIFIABLE","?REFERENTIAL"),"_")))))</f>
        <v> </v>
      </c>
      <c r="H5344" s="25" t="str">
        <f>IF(J5344&lt;&gt;1,"",IF(I5344="SBJ","CB","?"))</f>
        <v> </v>
      </c>
      <c r="I5344" s="26" t="str">
        <f>IF(OR(E5344="",E5344="!!!",F5344="NEW"),"",INDEX(B5343:B$2,-1+SUMPRODUCT(MAX(ROW(E5343:E$2)*(E5344=E5343:E$2)))))</f>
        <v> </v>
      </c>
      <c r="J5344" s="26" t="str">
        <f>IF(OR(E5344="",E5344="!!!",F5344="NEW"),"",COUNTBLANK(OFFSET(A$1,,,SUMPRODUCT(MAX(ROW(E$2:E5344)*(E5344=E$2:E5344)))))-COUNTBLANK(OFFSET(A$1,,,SUMPRODUCT(MAX(ROW(E$1:E5343)*(E2=E$1:E5343))))))</f>
        <v> </v>
      </c>
      <c r="K5344" s="26" t="str">
        <f>IF(OR(E5344="",E5344="!!!",F5344="NEW"),"",INDEX(J$1:J5343,SUMPRODUCT(MAX(ROW(E$1:E5343)*(E5344=E$1:E5343)))))</f>
        <v> </v>
      </c>
      <c r="L5344" s="27"/>
    </row>
    <row r="5345" spans="1:12">
      <c r="A5345" s="20" t="s">
        <v>1203</v>
      </c>
      <c r="E5345" s="22">
        <f>IF(D5345="?OLD","!!!","")</f>
        <v/>
      </c>
      <c r="F5345" s="23" t="str">
        <f>IF(OR(E5345="",E5345="!!!"),"",IF(NOT(ISNA(VLOOKUP(E5345,E$1:E5344,1,FALSE()))),"OLD",IF(AND(E5345&lt;&gt;"",E5345&lt;&gt;"!!!"),"NEW","")))</f>
        <v> </v>
      </c>
      <c r="G5345" s="24" t="str">
        <f>IF(OR(E5345="",E5345="!!!"),"",IF(OR(J5345=0,AND(J5345=1,K5345=1),AND(J5345=1,I5345="SBJ"),AND(J5345=1,I5345=0)),"?IN_FOCUS",IF(J5345&lt;=2,"?ACTIVATED",IF(J5345&lt;&gt;"","?FAMILIAR",IF(F5345="NEW",IF(ISNA(VLOOKUP(E5345,#REF!,1,FALSE())),"?TYPE_IDENTIFIABLE","?REFERENTIAL"),"_")))))</f>
        <v> </v>
      </c>
      <c r="H5345" s="25" t="str">
        <f>IF(J5345&lt;&gt;1,"",IF(I5345="SBJ","CB","?"))</f>
        <v> </v>
      </c>
      <c r="I5345" s="26" t="str">
        <f>IF(OR(E5345="",E5345="!!!",F5345="NEW"),"",INDEX(B5344:B$2,-1+SUMPRODUCT(MAX(ROW(E5344:E$2)*(E5345=E5344:E$2)))))</f>
        <v> </v>
      </c>
      <c r="J5345" s="26" t="str">
        <f>IF(OR(E5345="",E5345="!!!",F5345="NEW"),"",COUNTBLANK(OFFSET(A$1,,,SUMPRODUCT(MAX(ROW(E$2:E5345)*(E5345=E$2:E5345)))))-COUNTBLANK(OFFSET(A$1,,,SUMPRODUCT(MAX(ROW(E$1:E5344)*(E2=E$1:E5344))))))</f>
        <v> </v>
      </c>
      <c r="K5345" s="26" t="str">
        <f>IF(OR(E5345="",E5345="!!!",F5345="NEW"),"",INDEX(J$1:J5344,SUMPRODUCT(MAX(ROW(E$1:E5344)*(E5345=E$1:E5344)))))</f>
        <v> </v>
      </c>
      <c r="L5345" s="27"/>
    </row>
    <row r="5346" spans="1:12">
      <c r="A5346" s="20" t="s">
        <v>2457</v>
      </c>
      <c r="E5346" s="22">
        <f>IF(D5346="?OLD","!!!","")</f>
        <v/>
      </c>
      <c r="F5346" s="23" t="str">
        <f>IF(OR(E5346="",E5346="!!!"),"",IF(NOT(ISNA(VLOOKUP(E5346,E$1:E5345,1,FALSE()))),"OLD",IF(AND(E5346&lt;&gt;"",E5346&lt;&gt;"!!!"),"NEW","")))</f>
        <v> </v>
      </c>
      <c r="G5346" s="24" t="str">
        <f>IF(OR(E5346="",E5346="!!!"),"",IF(OR(J5346=0,AND(J5346=1,K5346=1),AND(J5346=1,I5346="SBJ"),AND(J5346=1,I5346=0)),"?IN_FOCUS",IF(J5346&lt;=2,"?ACTIVATED",IF(J5346&lt;&gt;"","?FAMILIAR",IF(F5346="NEW",IF(ISNA(VLOOKUP(E5346,#REF!,1,FALSE())),"?TYPE_IDENTIFIABLE","?REFERENTIAL"),"_")))))</f>
        <v> </v>
      </c>
      <c r="H5346" s="25" t="str">
        <f>IF(J5346&lt;&gt;1,"",IF(I5346="SBJ","CB","?"))</f>
        <v> </v>
      </c>
      <c r="I5346" s="26" t="str">
        <f>IF(OR(E5346="",E5346="!!!",F5346="NEW"),"",INDEX(B5345:B$2,-1+SUMPRODUCT(MAX(ROW(E5345:E$2)*(E5346=E5345:E$2)))))</f>
        <v> </v>
      </c>
      <c r="J5346" s="26" t="str">
        <f>IF(OR(E5346="",E5346="!!!",F5346="NEW"),"",COUNTBLANK(OFFSET(A$1,,,SUMPRODUCT(MAX(ROW(E$2:E5346)*(E5346=E$2:E5346)))))-COUNTBLANK(OFFSET(A$1,,,SUMPRODUCT(MAX(ROW(E$1:E5345)*(E2=E$1:E5345))))))</f>
        <v> </v>
      </c>
      <c r="K5346" s="26" t="str">
        <f>IF(OR(E5346="",E5346="!!!",F5346="NEW"),"",INDEX(J$1:J5345,SUMPRODUCT(MAX(ROW(E$1:E5345)*(E5346=E$1:E5345)))))</f>
        <v> </v>
      </c>
      <c r="L5346" s="27"/>
    </row>
    <row r="5347" spans="1:12">
      <c r="A5347" s="20" t="s">
        <v>1183</v>
      </c>
      <c r="B5347" s="21" t="s">
        <v>1022</v>
      </c>
      <c r="C5347" s="21" t="s">
        <v>1103</v>
      </c>
      <c r="E5347" s="22">
        <f>IF(D5347="?OLD","!!!","")</f>
        <v/>
      </c>
      <c r="F5347" s="23" t="str">
        <f>IF(OR(E5347="",E5347="!!!"),"",IF(NOT(ISNA(VLOOKUP(E5347,E$1:E5346,1,FALSE()))),"OLD",IF(AND(E5347&lt;&gt;"",E5347&lt;&gt;"!!!"),"NEW","")))</f>
        <v> </v>
      </c>
      <c r="G5347" s="24" t="str">
        <f>IF(OR(E5347="",E5347="!!!"),"",IF(OR(J5347=0,AND(J5347=1,K5347=1),AND(J5347=1,I5347="SBJ"),AND(J5347=1,I5347=0)),"?IN_FOCUS",IF(J5347&lt;=2,"?ACTIVATED",IF(J5347&lt;&gt;"","?FAMILIAR",IF(F5347="NEW",IF(ISNA(VLOOKUP(E5347,#REF!,1,FALSE())),"?TYPE_IDENTIFIABLE","?REFERENTIAL"),"_")))))</f>
        <v> </v>
      </c>
      <c r="H5347" s="25" t="str">
        <f>IF(J5347&lt;&gt;1,"",IF(I5347="SBJ","CB","?"))</f>
        <v> </v>
      </c>
      <c r="I5347" s="26" t="str">
        <f>IF(OR(E5347="",E5347="!!!",F5347="NEW"),"",INDEX(B5346:B$2,-1+SUMPRODUCT(MAX(ROW(E5346:E$2)*(E5347=E5346:E$2)))))</f>
        <v> </v>
      </c>
      <c r="J5347" s="26" t="str">
        <f>IF(OR(E5347="",E5347="!!!",F5347="NEW"),"",COUNTBLANK(OFFSET(A$1,,,SUMPRODUCT(MAX(ROW(E$2:E5347)*(E5347=E$2:E5347)))))-COUNTBLANK(OFFSET(A$1,,,SUMPRODUCT(MAX(ROW(E$1:E5346)*(E2=E$1:E5346))))))</f>
        <v> </v>
      </c>
      <c r="K5347" s="26" t="str">
        <f>IF(OR(E5347="",E5347="!!!",F5347="NEW"),"",INDEX(J$1:J5346,SUMPRODUCT(MAX(ROW(E$1:E5346)*(E5347=E$1:E5346)))))</f>
        <v> </v>
      </c>
      <c r="L5347" s="27"/>
    </row>
    <row r="5348" spans="1:12">
      <c r="A5348" s="20" t="s">
        <v>2248</v>
      </c>
      <c r="E5348" s="22">
        <f>IF(D5348="?OLD","!!!","")</f>
        <v/>
      </c>
      <c r="F5348" s="23" t="str">
        <f>IF(OR(E5348="",E5348="!!!"),"",IF(NOT(ISNA(VLOOKUP(E5348,E$1:E5347,1,FALSE()))),"OLD",IF(AND(E5348&lt;&gt;"",E5348&lt;&gt;"!!!"),"NEW","")))</f>
        <v> </v>
      </c>
      <c r="G5348" s="24" t="str">
        <f>IF(OR(E5348="",E5348="!!!"),"",IF(OR(J5348=0,AND(J5348=1,K5348=1),AND(J5348=1,I5348="SBJ"),AND(J5348=1,I5348=0)),"?IN_FOCUS",IF(J5348&lt;=2,"?ACTIVATED",IF(J5348&lt;&gt;"","?FAMILIAR",IF(F5348="NEW",IF(ISNA(VLOOKUP(E5348,#REF!,1,FALSE())),"?TYPE_IDENTIFIABLE","?REFERENTIAL"),"_")))))</f>
        <v> </v>
      </c>
      <c r="H5348" s="25" t="str">
        <f>IF(J5348&lt;&gt;1,"",IF(I5348="SBJ","CB","?"))</f>
        <v> </v>
      </c>
      <c r="I5348" s="26" t="str">
        <f>IF(OR(E5348="",E5348="!!!",F5348="NEW"),"",INDEX(B5347:B$2,-1+SUMPRODUCT(MAX(ROW(E5347:E$2)*(E5348=E5347:E$2)))))</f>
        <v> </v>
      </c>
      <c r="J5348" s="26" t="str">
        <f>IF(OR(E5348="",E5348="!!!",F5348="NEW"),"",COUNTBLANK(OFFSET(A$1,,,SUMPRODUCT(MAX(ROW(E$2:E5348)*(E5348=E$2:E5348)))))-COUNTBLANK(OFFSET(A$1,,,SUMPRODUCT(MAX(ROW(E$1:E5347)*(E2=E$1:E5347))))))</f>
        <v> </v>
      </c>
      <c r="K5348" s="26" t="str">
        <f>IF(OR(E5348="",E5348="!!!",F5348="NEW"),"",INDEX(J$1:J5347,SUMPRODUCT(MAX(ROW(E$1:E5347)*(E5348=E$1:E5347)))))</f>
        <v> </v>
      </c>
      <c r="L5348" s="27"/>
    </row>
    <row r="5349" spans="1:12">
      <c r="A5349" s="20" t="s">
        <v>1056</v>
      </c>
      <c r="E5349" s="22">
        <f>IF(D5349="?OLD","!!!","")</f>
        <v/>
      </c>
      <c r="F5349" s="23" t="str">
        <f>IF(OR(E5349="",E5349="!!!"),"",IF(NOT(ISNA(VLOOKUP(E5349,E$1:E5348,1,FALSE()))),"OLD",IF(AND(E5349&lt;&gt;"",E5349&lt;&gt;"!!!"),"NEW","")))</f>
        <v> </v>
      </c>
      <c r="G5349" s="24" t="str">
        <f>IF(OR(E5349="",E5349="!!!"),"",IF(OR(J5349=0,AND(J5349=1,K5349=1),AND(J5349=1,I5349="SBJ"),AND(J5349=1,I5349=0)),"?IN_FOCUS",IF(J5349&lt;=2,"?ACTIVATED",IF(J5349&lt;&gt;"","?FAMILIAR",IF(F5349="NEW",IF(ISNA(VLOOKUP(E5349,#REF!,1,FALSE())),"?TYPE_IDENTIFIABLE","?REFERENTIAL"),"_")))))</f>
        <v> </v>
      </c>
      <c r="H5349" s="25" t="str">
        <f>IF(J5349&lt;&gt;1,"",IF(I5349="SBJ","CB","?"))</f>
        <v> </v>
      </c>
      <c r="I5349" s="26" t="str">
        <f>IF(OR(E5349="",E5349="!!!",F5349="NEW"),"",INDEX(B5348:B$2,-1+SUMPRODUCT(MAX(ROW(E5348:E$2)*(E5349=E5348:E$2)))))</f>
        <v> </v>
      </c>
      <c r="J5349" s="26" t="str">
        <f>IF(OR(E5349="",E5349="!!!",F5349="NEW"),"",COUNTBLANK(OFFSET(A$1,,,SUMPRODUCT(MAX(ROW(E$2:E5349)*(E5349=E$2:E5349)))))-COUNTBLANK(OFFSET(A$1,,,SUMPRODUCT(MAX(ROW(E$1:E5348)*(E2=E$1:E5348))))))</f>
        <v> </v>
      </c>
      <c r="K5349" s="26" t="str">
        <f>IF(OR(E5349="",E5349="!!!",F5349="NEW"),"",INDEX(J$1:J5348,SUMPRODUCT(MAX(ROW(E$1:E5348)*(E5349=E$1:E5348)))))</f>
        <v> </v>
      </c>
      <c r="L5349" s="27"/>
    </row>
    <row r="5350" spans="1:12">
      <c r="A5350" s="20" t="s">
        <v>2458</v>
      </c>
      <c r="B5350" s="21" t="s">
        <v>1029</v>
      </c>
      <c r="C5350" s="21" t="s">
        <v>1013</v>
      </c>
      <c r="D5350" s="21" t="s">
        <v>1007</v>
      </c>
      <c r="E5350" s="22">
        <f>IF(D5350="?OLD","!!!","")</f>
        <v/>
      </c>
      <c r="F5350" s="23" t="str">
        <f>IF(OR(E5350="",E5350="!!!"),"",IF(NOT(ISNA(VLOOKUP(E5350,E$1:E5349,1,FALSE()))),"OLD",IF(AND(E5350&lt;&gt;"",E5350&lt;&gt;"!!!"),"NEW","")))</f>
        <v> </v>
      </c>
      <c r="G5350" s="24" t="str">
        <f>IF(OR(E5350="",E5350="!!!"),"",IF(OR(J5350=0,AND(J5350=1,K5350=1),AND(J5350=1,I5350="SBJ"),AND(J5350=1,I5350=0)),"?IN_FOCUS",IF(J5350&lt;=2,"?ACTIVATED",IF(J5350&lt;&gt;"","?FAMILIAR",IF(F5350="NEW",IF(ISNA(VLOOKUP(E5350,#REF!,1,FALSE())),"?TYPE_IDENTIFIABLE","?REFERENTIAL"),"_")))))</f>
        <v> </v>
      </c>
      <c r="H5350" s="25" t="str">
        <f>IF(J5350&lt;&gt;1,"",IF(I5350="SBJ","CB","?"))</f>
        <v> </v>
      </c>
      <c r="I5350" s="26" t="str">
        <f>IF(OR(E5350="",E5350="!!!",F5350="NEW"),"",INDEX(B5349:B$2,-1+SUMPRODUCT(MAX(ROW(E5349:E$2)*(E5350=E5349:E$2)))))</f>
        <v> </v>
      </c>
      <c r="J5350" s="26" t="str">
        <f>IF(OR(E5350="",E5350="!!!",F5350="NEW"),"",COUNTBLANK(OFFSET(A$1,,,SUMPRODUCT(MAX(ROW(E$2:E5350)*(E5350=E$2:E5350)))))-COUNTBLANK(OFFSET(A$1,,,SUMPRODUCT(MAX(ROW(E$1:E5349)*(E2=E$1:E5349))))))</f>
        <v> </v>
      </c>
      <c r="K5350" s="26" t="str">
        <f>IF(OR(E5350="",E5350="!!!",F5350="NEW"),"",INDEX(J$1:J5349,SUMPRODUCT(MAX(ROW(E$1:E5349)*(E5350=E$1:E5349)))))</f>
        <v> </v>
      </c>
      <c r="L5350" s="27"/>
    </row>
    <row r="5351" spans="1:12">
      <c r="A5351" s="20" t="s">
        <v>2459</v>
      </c>
      <c r="E5351" s="22">
        <f>IF(D5351="?OLD","!!!","")</f>
        <v/>
      </c>
      <c r="F5351" s="23" t="str">
        <f>IF(OR(E5351="",E5351="!!!"),"",IF(NOT(ISNA(VLOOKUP(E5351,E$1:E5350,1,FALSE()))),"OLD",IF(AND(E5351&lt;&gt;"",E5351&lt;&gt;"!!!"),"NEW","")))</f>
        <v> </v>
      </c>
      <c r="G5351" s="24" t="str">
        <f>IF(OR(E5351="",E5351="!!!"),"",IF(OR(J5351=0,AND(J5351=1,K5351=1),AND(J5351=1,I5351="SBJ"),AND(J5351=1,I5351=0)),"?IN_FOCUS",IF(J5351&lt;=2,"?ACTIVATED",IF(J5351&lt;&gt;"","?FAMILIAR",IF(F5351="NEW",IF(ISNA(VLOOKUP(E5351,#REF!,1,FALSE())),"?TYPE_IDENTIFIABLE","?REFERENTIAL"),"_")))))</f>
        <v> </v>
      </c>
      <c r="H5351" s="25" t="str">
        <f>IF(J5351&lt;&gt;1,"",IF(I5351="SBJ","CB","?"))</f>
        <v> </v>
      </c>
      <c r="I5351" s="26" t="str">
        <f>IF(OR(E5351="",E5351="!!!",F5351="NEW"),"",INDEX(B5350:B$2,-1+SUMPRODUCT(MAX(ROW(E5350:E$2)*(E5351=E5350:E$2)))))</f>
        <v> </v>
      </c>
      <c r="J5351" s="26" t="str">
        <f>IF(OR(E5351="",E5351="!!!",F5351="NEW"),"",COUNTBLANK(OFFSET(A$1,,,SUMPRODUCT(MAX(ROW(E$2:E5351)*(E5351=E$2:E5351)))))-COUNTBLANK(OFFSET(A$1,,,SUMPRODUCT(MAX(ROW(E$1:E5350)*(E2=E$1:E5350))))))</f>
        <v> </v>
      </c>
      <c r="K5351" s="26" t="str">
        <f>IF(OR(E5351="",E5351="!!!",F5351="NEW"),"",INDEX(J$1:J5350,SUMPRODUCT(MAX(ROW(E$1:E5350)*(E5351=E$1:E5350)))))</f>
        <v> </v>
      </c>
      <c r="L5351" s="27"/>
    </row>
    <row r="5352" spans="1:12">
      <c r="A5352" s="20" t="s">
        <v>1020</v>
      </c>
      <c r="E5352" s="22">
        <f>IF(D5352="?OLD","!!!","")</f>
        <v/>
      </c>
      <c r="F5352" s="23" t="str">
        <f>IF(OR(E5352="",E5352="!!!"),"",IF(NOT(ISNA(VLOOKUP(E5352,E$1:E5351,1,FALSE()))),"OLD",IF(AND(E5352&lt;&gt;"",E5352&lt;&gt;"!!!"),"NEW","")))</f>
        <v> </v>
      </c>
      <c r="G5352" s="24" t="str">
        <f>IF(OR(E5352="",E5352="!!!"),"",IF(OR(J5352=0,AND(J5352=1,K5352=1),AND(J5352=1,I5352="SBJ"),AND(J5352=1,I5352=0)),"?IN_FOCUS",IF(J5352&lt;=2,"?ACTIVATED",IF(J5352&lt;&gt;"","?FAMILIAR",IF(F5352="NEW",IF(ISNA(VLOOKUP(E5352,#REF!,1,FALSE())),"?TYPE_IDENTIFIABLE","?REFERENTIAL"),"_")))))</f>
        <v> </v>
      </c>
      <c r="H5352" s="25" t="str">
        <f>IF(J5352&lt;&gt;1,"",IF(I5352="SBJ","CB","?"))</f>
        <v> </v>
      </c>
      <c r="I5352" s="26" t="str">
        <f>IF(OR(E5352="",E5352="!!!",F5352="NEW"),"",INDEX(B5351:B$2,-1+SUMPRODUCT(MAX(ROW(E5351:E$2)*(E5352=E5351:E$2)))))</f>
        <v> </v>
      </c>
      <c r="J5352" s="26" t="str">
        <f>IF(OR(E5352="",E5352="!!!",F5352="NEW"),"",COUNTBLANK(OFFSET(A$1,,,SUMPRODUCT(MAX(ROW(E$2:E5352)*(E5352=E$2:E5352)))))-COUNTBLANK(OFFSET(A$1,,,SUMPRODUCT(MAX(ROW(E$1:E5351)*(E2=E$1:E5351))))))</f>
        <v> </v>
      </c>
      <c r="K5352" s="26" t="str">
        <f>IF(OR(E5352="",E5352="!!!",F5352="NEW"),"",INDEX(J$1:J5351,SUMPRODUCT(MAX(ROW(E$1:E5351)*(E5352=E$1:E5351)))))</f>
        <v> </v>
      </c>
      <c r="L5352" s="27"/>
    </row>
    <row r="5353" spans="1:12">
      <c r="A5353" s="20" t="s">
        <v>102</v>
      </c>
      <c r="E5353" s="22">
        <f>IF(D5353="?OLD","!!!","")</f>
        <v/>
      </c>
      <c r="F5353" s="23" t="str">
        <f>IF(OR(E5353="",E5353="!!!"),"",IF(NOT(ISNA(VLOOKUP(E5353,E$1:E5352,1,FALSE()))),"OLD",IF(AND(E5353&lt;&gt;"",E5353&lt;&gt;"!!!"),"NEW","")))</f>
        <v> </v>
      </c>
      <c r="G5353" s="24" t="str">
        <f>IF(OR(E5353="",E5353="!!!"),"",IF(OR(J5353=0,AND(J5353=1,K5353=1),AND(J5353=1,I5353="SBJ"),AND(J5353=1,I5353=0)),"?IN_FOCUS",IF(J5353&lt;=2,"?ACTIVATED",IF(J5353&lt;&gt;"","?FAMILIAR",IF(F5353="NEW",IF(ISNA(VLOOKUP(E5353,#REF!,1,FALSE())),"?TYPE_IDENTIFIABLE","?REFERENTIAL"),"_")))))</f>
        <v> </v>
      </c>
      <c r="H5353" s="25" t="str">
        <f>IF(J5353&lt;&gt;1,"",IF(I5353="SBJ","CB","?"))</f>
        <v> </v>
      </c>
      <c r="I5353" s="26" t="str">
        <f>IF(OR(E5353="",E5353="!!!",F5353="NEW"),"",INDEX(B5352:B$2,-1+SUMPRODUCT(MAX(ROW(E5352:E$2)*(E5353=E5352:E$2)))))</f>
        <v> </v>
      </c>
      <c r="J5353" s="26" t="str">
        <f>IF(OR(E5353="",E5353="!!!",F5353="NEW"),"",COUNTBLANK(OFFSET(A$1,,,SUMPRODUCT(MAX(ROW(E$2:E5353)*(E5353=E$2:E5353)))))-COUNTBLANK(OFFSET(A$1,,,SUMPRODUCT(MAX(ROW(E$1:E5352)*(E2=E$1:E5352))))))</f>
        <v> </v>
      </c>
      <c r="K5353" s="26" t="str">
        <f>IF(OR(E5353="",E5353="!!!",F5353="NEW"),"",INDEX(J$1:J5352,SUMPRODUCT(MAX(ROW(E$1:E5352)*(E5353=E$1:E5352)))))</f>
        <v> </v>
      </c>
      <c r="L5353" s="27"/>
    </row>
    <row r="5354" spans="1:12">
      <c r="A5354" s="20" t="s">
        <v>2460</v>
      </c>
      <c r="B5354" s="21" t="s">
        <v>1033</v>
      </c>
      <c r="C5354" s="21" t="s">
        <v>1013</v>
      </c>
      <c r="D5354" s="21" t="s">
        <v>1007</v>
      </c>
      <c r="E5354" s="22">
        <f>IF(D5354="?OLD","!!!","")</f>
        <v/>
      </c>
      <c r="F5354" s="23" t="str">
        <f>IF(OR(E5354="",E5354="!!!"),"",IF(NOT(ISNA(VLOOKUP(E5354,E$1:E5353,1,FALSE()))),"OLD",IF(AND(E5354&lt;&gt;"",E5354&lt;&gt;"!!!"),"NEW","")))</f>
        <v> </v>
      </c>
      <c r="G5354" s="24" t="str">
        <f>IF(OR(E5354="",E5354="!!!"),"",IF(OR(J5354=0,AND(J5354=1,K5354=1),AND(J5354=1,I5354="SBJ"),AND(J5354=1,I5354=0)),"?IN_FOCUS",IF(J5354&lt;=2,"?ACTIVATED",IF(J5354&lt;&gt;"","?FAMILIAR",IF(F5354="NEW",IF(ISNA(VLOOKUP(E5354,#REF!,1,FALSE())),"?TYPE_IDENTIFIABLE","?REFERENTIAL"),"_")))))</f>
        <v> </v>
      </c>
      <c r="H5354" s="25" t="str">
        <f>IF(J5354&lt;&gt;1,"",IF(I5354="SBJ","CB","?"))</f>
        <v> </v>
      </c>
      <c r="I5354" s="26" t="str">
        <f>IF(OR(E5354="",E5354="!!!",F5354="NEW"),"",INDEX(B5353:B$2,-1+SUMPRODUCT(MAX(ROW(E5353:E$2)*(E5354=E5353:E$2)))))</f>
        <v> </v>
      </c>
      <c r="J5354" s="26" t="str">
        <f>IF(OR(E5354="",E5354="!!!",F5354="NEW"),"",COUNTBLANK(OFFSET(A$1,,,SUMPRODUCT(MAX(ROW(E$2:E5354)*(E5354=E$2:E5354)))))-COUNTBLANK(OFFSET(A$1,,,SUMPRODUCT(MAX(ROW(E$1:E5353)*(E2=E$1:E5353))))))</f>
        <v> </v>
      </c>
      <c r="K5354" s="26" t="str">
        <f>IF(OR(E5354="",E5354="!!!",F5354="NEW"),"",INDEX(J$1:J5353,SUMPRODUCT(MAX(ROW(E$1:E5353)*(E5354=E$1:E5353)))))</f>
        <v> </v>
      </c>
      <c r="L5354" s="27"/>
    </row>
    <row r="5355" spans="1:12">
      <c r="A5355" s="20" t="s">
        <v>1014</v>
      </c>
      <c r="E5355" s="22">
        <f>IF(D5355="?OLD","!!!","")</f>
        <v/>
      </c>
      <c r="F5355" s="23" t="str">
        <f>IF(OR(E5355="",E5355="!!!"),"",IF(NOT(ISNA(VLOOKUP(E5355,E$1:E5354,1,FALSE()))),"OLD",IF(AND(E5355&lt;&gt;"",E5355&lt;&gt;"!!!"),"NEW","")))</f>
        <v> </v>
      </c>
      <c r="G5355" s="24" t="str">
        <f>IF(OR(E5355="",E5355="!!!"),"",IF(OR(J5355=0,AND(J5355=1,K5355=1),AND(J5355=1,I5355="SBJ"),AND(J5355=1,I5355=0)),"?IN_FOCUS",IF(J5355&lt;=2,"?ACTIVATED",IF(J5355&lt;&gt;"","?FAMILIAR",IF(F5355="NEW",IF(ISNA(VLOOKUP(E5355,#REF!,1,FALSE())),"?TYPE_IDENTIFIABLE","?REFERENTIAL"),"_")))))</f>
        <v> </v>
      </c>
      <c r="H5355" s="25" t="str">
        <f>IF(J5355&lt;&gt;1,"",IF(I5355="SBJ","CB","?"))</f>
        <v> </v>
      </c>
      <c r="I5355" s="26" t="str">
        <f>IF(OR(E5355="",E5355="!!!",F5355="NEW"),"",INDEX(B5354:B$2,-1+SUMPRODUCT(MAX(ROW(E5354:E$2)*(E5355=E5354:E$2)))))</f>
        <v> </v>
      </c>
      <c r="J5355" s="26" t="str">
        <f>IF(OR(E5355="",E5355="!!!",F5355="NEW"),"",COUNTBLANK(OFFSET(A$1,,,SUMPRODUCT(MAX(ROW(E$2:E5355)*(E5355=E$2:E5355)))))-COUNTBLANK(OFFSET(A$1,,,SUMPRODUCT(MAX(ROW(E$1:E5354)*(E2=E$1:E5354))))))</f>
        <v> </v>
      </c>
      <c r="K5355" s="26" t="str">
        <f>IF(OR(E5355="",E5355="!!!",F5355="NEW"),"",INDEX(J$1:J5354,SUMPRODUCT(MAX(ROW(E$1:E5354)*(E5355=E$1:E5354)))))</f>
        <v> </v>
      </c>
      <c r="L5355" s="27"/>
    </row>
    <row r="5356" spans="1:12">
      <c r="A5356" s="20" t="s">
        <v>1020</v>
      </c>
      <c r="E5356" s="22">
        <f>IF(D5356="?OLD","!!!","")</f>
        <v/>
      </c>
      <c r="F5356" s="23" t="str">
        <f>IF(OR(E5356="",E5356="!!!"),"",IF(NOT(ISNA(VLOOKUP(E5356,E$1:E5355,1,FALSE()))),"OLD",IF(AND(E5356&lt;&gt;"",E5356&lt;&gt;"!!!"),"NEW","")))</f>
        <v> </v>
      </c>
      <c r="G5356" s="24" t="str">
        <f>IF(OR(E5356="",E5356="!!!"),"",IF(OR(J5356=0,AND(J5356=1,K5356=1),AND(J5356=1,I5356="SBJ"),AND(J5356=1,I5356=0)),"?IN_FOCUS",IF(J5356&lt;=2,"?ACTIVATED",IF(J5356&lt;&gt;"","?FAMILIAR",IF(F5356="NEW",IF(ISNA(VLOOKUP(E5356,#REF!,1,FALSE())),"?TYPE_IDENTIFIABLE","?REFERENTIAL"),"_")))))</f>
        <v> </v>
      </c>
      <c r="H5356" s="25" t="str">
        <f>IF(J5356&lt;&gt;1,"",IF(I5356="SBJ","CB","?"))</f>
        <v> </v>
      </c>
      <c r="I5356" s="26" t="str">
        <f>IF(OR(E5356="",E5356="!!!",F5356="NEW"),"",INDEX(B5355:B$2,-1+SUMPRODUCT(MAX(ROW(E5355:E$2)*(E5356=E5355:E$2)))))</f>
        <v> </v>
      </c>
      <c r="J5356" s="26" t="str">
        <f>IF(OR(E5356="",E5356="!!!",F5356="NEW"),"",COUNTBLANK(OFFSET(A$1,,,SUMPRODUCT(MAX(ROW(E$2:E5356)*(E5356=E$2:E5356)))))-COUNTBLANK(OFFSET(A$1,,,SUMPRODUCT(MAX(ROW(E$1:E5355)*(E2=E$1:E5355))))))</f>
        <v> </v>
      </c>
      <c r="K5356" s="26" t="str">
        <f>IF(OR(E5356="",E5356="!!!",F5356="NEW"),"",INDEX(J$1:J5355,SUMPRODUCT(MAX(ROW(E$1:E5355)*(E5356=E$1:E5355)))))</f>
        <v> </v>
      </c>
      <c r="L5356" s="27"/>
    </row>
    <row r="5357" spans="1:12">
      <c r="A5357" s="20" t="s">
        <v>2461</v>
      </c>
      <c r="B5357" s="21" t="s">
        <v>1035</v>
      </c>
      <c r="C5357" s="21" t="s">
        <v>1017</v>
      </c>
      <c r="D5357" s="21" t="s">
        <v>1007</v>
      </c>
      <c r="E5357" s="22">
        <f>IF(D5357="?OLD","!!!","")</f>
        <v/>
      </c>
      <c r="F5357" s="23" t="str">
        <f>IF(OR(E5357="",E5357="!!!"),"",IF(NOT(ISNA(VLOOKUP(E5357,E$1:E5356,1,FALSE()))),"OLD",IF(AND(E5357&lt;&gt;"",E5357&lt;&gt;"!!!"),"NEW","")))</f>
        <v> </v>
      </c>
      <c r="G5357" s="24" t="str">
        <f>IF(OR(E5357="",E5357="!!!"),"",IF(OR(J5357=0,AND(J5357=1,K5357=1),AND(J5357=1,I5357="SBJ"),AND(J5357=1,I5357=0)),"?IN_FOCUS",IF(J5357&lt;=2,"?ACTIVATED",IF(J5357&lt;&gt;"","?FAMILIAR",IF(F5357="NEW",IF(ISNA(VLOOKUP(E5357,#REF!,1,FALSE())),"?TYPE_IDENTIFIABLE","?REFERENTIAL"),"_")))))</f>
        <v> </v>
      </c>
      <c r="H5357" s="25" t="str">
        <f>IF(J5357&lt;&gt;1,"",IF(I5357="SBJ","CB","?"))</f>
        <v> </v>
      </c>
      <c r="I5357" s="26" t="str">
        <f>IF(OR(E5357="",E5357="!!!",F5357="NEW"),"",INDEX(B5356:B$2,-1+SUMPRODUCT(MAX(ROW(E5356:E$2)*(E5357=E5356:E$2)))))</f>
        <v> </v>
      </c>
      <c r="J5357" s="26" t="str">
        <f>IF(OR(E5357="",E5357="!!!",F5357="NEW"),"",COUNTBLANK(OFFSET(A$1,,,SUMPRODUCT(MAX(ROW(E$2:E5357)*(E5357=E$2:E5357)))))-COUNTBLANK(OFFSET(A$1,,,SUMPRODUCT(MAX(ROW(E$1:E5356)*(E2=E$1:E5356))))))</f>
        <v> </v>
      </c>
      <c r="K5357" s="26" t="str">
        <f>IF(OR(E5357="",E5357="!!!",F5357="NEW"),"",INDEX(J$1:J5356,SUMPRODUCT(MAX(ROW(E$1:E5356)*(E5357=E$1:E5356)))))</f>
        <v> </v>
      </c>
      <c r="L5357" s="27"/>
    </row>
    <row r="5358" spans="1:12">
      <c r="A5358" s="20" t="s">
        <v>2462</v>
      </c>
      <c r="E5358" s="22">
        <f>IF(D5358="?OLD","!!!","")</f>
        <v/>
      </c>
      <c r="F5358" s="23" t="str">
        <f>IF(OR(E5358="",E5358="!!!"),"",IF(NOT(ISNA(VLOOKUP(E5358,E$1:E5357,1,FALSE()))),"OLD",IF(AND(E5358&lt;&gt;"",E5358&lt;&gt;"!!!"),"NEW","")))</f>
        <v> </v>
      </c>
      <c r="G5358" s="24" t="str">
        <f>IF(OR(E5358="",E5358="!!!"),"",IF(OR(J5358=0,AND(J5358=1,K5358=1),AND(J5358=1,I5358="SBJ"),AND(J5358=1,I5358=0)),"?IN_FOCUS",IF(J5358&lt;=2,"?ACTIVATED",IF(J5358&lt;&gt;"","?FAMILIAR",IF(F5358="NEW",IF(ISNA(VLOOKUP(E5358,#REF!,1,FALSE())),"?TYPE_IDENTIFIABLE","?REFERENTIAL"),"_")))))</f>
        <v> </v>
      </c>
      <c r="H5358" s="25" t="str">
        <f>IF(J5358&lt;&gt;1,"",IF(I5358="SBJ","CB","?"))</f>
        <v> </v>
      </c>
      <c r="I5358" s="26" t="str">
        <f>IF(OR(E5358="",E5358="!!!",F5358="NEW"),"",INDEX(B5357:B$2,-1+SUMPRODUCT(MAX(ROW(E5357:E$2)*(E5358=E5357:E$2)))))</f>
        <v> </v>
      </c>
      <c r="J5358" s="26" t="str">
        <f>IF(OR(E5358="",E5358="!!!",F5358="NEW"),"",COUNTBLANK(OFFSET(A$1,,,SUMPRODUCT(MAX(ROW(E$2:E5358)*(E5358=E$2:E5358)))))-COUNTBLANK(OFFSET(A$1,,,SUMPRODUCT(MAX(ROW(E$1:E5357)*(E2=E$1:E5357))))))</f>
        <v> </v>
      </c>
      <c r="K5358" s="26" t="str">
        <f>IF(OR(E5358="",E5358="!!!",F5358="NEW"),"",INDEX(J$1:J5357,SUMPRODUCT(MAX(ROW(E$1:E5357)*(E5358=E$1:E5357)))))</f>
        <v> </v>
      </c>
      <c r="L5358" s="27"/>
    </row>
    <row r="5359" spans="1:12">
      <c r="A5359" s="20" t="s">
        <v>1663</v>
      </c>
      <c r="E5359" s="22">
        <f>IF(D5359="?OLD","!!!","")</f>
        <v/>
      </c>
      <c r="F5359" s="23" t="str">
        <f>IF(OR(E5359="",E5359="!!!"),"",IF(NOT(ISNA(VLOOKUP(E5359,E$1:E5358,1,FALSE()))),"OLD",IF(AND(E5359&lt;&gt;"",E5359&lt;&gt;"!!!"),"NEW","")))</f>
        <v> </v>
      </c>
      <c r="G5359" s="24" t="str">
        <f>IF(OR(E5359="",E5359="!!!"),"",IF(OR(J5359=0,AND(J5359=1,K5359=1),AND(J5359=1,I5359="SBJ"),AND(J5359=1,I5359=0)),"?IN_FOCUS",IF(J5359&lt;=2,"?ACTIVATED",IF(J5359&lt;&gt;"","?FAMILIAR",IF(F5359="NEW",IF(ISNA(VLOOKUP(E5359,#REF!,1,FALSE())),"?TYPE_IDENTIFIABLE","?REFERENTIAL"),"_")))))</f>
        <v> </v>
      </c>
      <c r="H5359" s="25" t="str">
        <f>IF(J5359&lt;&gt;1,"",IF(I5359="SBJ","CB","?"))</f>
        <v> </v>
      </c>
      <c r="I5359" s="26" t="str">
        <f>IF(OR(E5359="",E5359="!!!",F5359="NEW"),"",INDEX(B5358:B$2,-1+SUMPRODUCT(MAX(ROW(E5358:E$2)*(E5359=E5358:E$2)))))</f>
        <v> </v>
      </c>
      <c r="J5359" s="26" t="str">
        <f>IF(OR(E5359="",E5359="!!!",F5359="NEW"),"",COUNTBLANK(OFFSET(A$1,,,SUMPRODUCT(MAX(ROW(E$2:E5359)*(E5359=E$2:E5359)))))-COUNTBLANK(OFFSET(A$1,,,SUMPRODUCT(MAX(ROW(E$1:E5358)*(E2=E$1:E5358))))))</f>
        <v> </v>
      </c>
      <c r="K5359" s="26" t="str">
        <f>IF(OR(E5359="",E5359="!!!",F5359="NEW"),"",INDEX(J$1:J5358,SUMPRODUCT(MAX(ROW(E$1:E5358)*(E5359=E$1:E5358)))))</f>
        <v> </v>
      </c>
      <c r="L5359" s="27"/>
    </row>
    <row r="5360" spans="1:12">
      <c r="A5360" s="20" t="s">
        <v>1018</v>
      </c>
      <c r="E5360" s="22">
        <f>IF(D5360="?OLD","!!!","")</f>
        <v/>
      </c>
      <c r="F5360" s="23" t="str">
        <f>IF(OR(E5360="",E5360="!!!"),"",IF(NOT(ISNA(VLOOKUP(E5360,E$1:E5359,1,FALSE()))),"OLD",IF(AND(E5360&lt;&gt;"",E5360&lt;&gt;"!!!"),"NEW","")))</f>
        <v> </v>
      </c>
      <c r="G5360" s="24" t="str">
        <f>IF(OR(E5360="",E5360="!!!"),"",IF(OR(J5360=0,AND(J5360=1,K5360=1),AND(J5360=1,I5360="SBJ"),AND(J5360=1,I5360=0)),"?IN_FOCUS",IF(J5360&lt;=2,"?ACTIVATED",IF(J5360&lt;&gt;"","?FAMILIAR",IF(F5360="NEW",IF(ISNA(VLOOKUP(E5360,#REF!,1,FALSE())),"?TYPE_IDENTIFIABLE","?REFERENTIAL"),"_")))))</f>
        <v> </v>
      </c>
      <c r="H5360" s="25" t="str">
        <f>IF(J5360&lt;&gt;1,"",IF(I5360="SBJ","CB","?"))</f>
        <v> </v>
      </c>
      <c r="I5360" s="26" t="str">
        <f>IF(OR(E5360="",E5360="!!!",F5360="NEW"),"",INDEX(B5359:B$2,-1+SUMPRODUCT(MAX(ROW(E5359:E$2)*(E5360=E5359:E$2)))))</f>
        <v> </v>
      </c>
      <c r="J5360" s="26" t="str">
        <f>IF(OR(E5360="",E5360="!!!",F5360="NEW"),"",COUNTBLANK(OFFSET(A$1,,,SUMPRODUCT(MAX(ROW(E$2:E5360)*(E5360=E$2:E5360)))))-COUNTBLANK(OFFSET(A$1,,,SUMPRODUCT(MAX(ROW(E$1:E5359)*(E2=E$1:E5359))))))</f>
        <v> </v>
      </c>
      <c r="K5360" s="26" t="str">
        <f>IF(OR(E5360="",E5360="!!!",F5360="NEW"),"",INDEX(J$1:J5359,SUMPRODUCT(MAX(ROW(E$1:E5359)*(E5360=E$1:E5359)))))</f>
        <v> </v>
      </c>
      <c r="L5360" s="27"/>
    </row>
    <row r="5361" spans="1:12">
      <c r="A5361" s="20" t="s">
        <v>1065</v>
      </c>
      <c r="B5361" s="21" t="s">
        <v>1067</v>
      </c>
      <c r="E5361" s="22">
        <f>IF(D5361="?OLD","!!!","")</f>
        <v/>
      </c>
      <c r="F5361" s="23" t="str">
        <f>IF(OR(E5361="",E5361="!!!"),"",IF(NOT(ISNA(VLOOKUP(E5361,E$1:E5360,1,FALSE()))),"OLD",IF(AND(E5361&lt;&gt;"",E5361&lt;&gt;"!!!"),"NEW","")))</f>
        <v> </v>
      </c>
      <c r="G5361" s="24" t="str">
        <f>IF(OR(E5361="",E5361="!!!"),"",IF(OR(J5361=0,AND(J5361=1,K5361=1),AND(J5361=1,I5361="SBJ"),AND(J5361=1,I5361=0)),"?IN_FOCUS",IF(J5361&lt;=2,"?ACTIVATED",IF(J5361&lt;&gt;"","?FAMILIAR",IF(F5361="NEW",IF(ISNA(VLOOKUP(E5361,#REF!,1,FALSE())),"?TYPE_IDENTIFIABLE","?REFERENTIAL"),"_")))))</f>
        <v> </v>
      </c>
      <c r="H5361" s="25" t="str">
        <f>IF(J5361&lt;&gt;1,"",IF(I5361="SBJ","CB","?"))</f>
        <v> </v>
      </c>
      <c r="I5361" s="26" t="str">
        <f>IF(OR(E5361="",E5361="!!!",F5361="NEW"),"",INDEX(B5360:B$2,-1+SUMPRODUCT(MAX(ROW(E5360:E$2)*(E5361=E5360:E$2)))))</f>
        <v> </v>
      </c>
      <c r="J5361" s="26" t="str">
        <f>IF(OR(E5361="",E5361="!!!",F5361="NEW"),"",COUNTBLANK(OFFSET(A$1,,,SUMPRODUCT(MAX(ROW(E$2:E5361)*(E5361=E$2:E5361)))))-COUNTBLANK(OFFSET(A$1,,,SUMPRODUCT(MAX(ROW(E$1:E5360)*(E2=E$1:E5360))))))</f>
        <v> </v>
      </c>
      <c r="K5361" s="26" t="str">
        <f>IF(OR(E5361="",E5361="!!!",F5361="NEW"),"",INDEX(J$1:J5360,SUMPRODUCT(MAX(ROW(E$1:E5360)*(E5361=E$1:E5360)))))</f>
        <v> </v>
      </c>
      <c r="L5361" s="27"/>
    </row>
    <row r="5362" spans="1:12">
      <c r="A5362" s="20" t="s">
        <v>1018</v>
      </c>
      <c r="E5362" s="22">
        <f>IF(D5362="?OLD","!!!","")</f>
        <v/>
      </c>
      <c r="F5362" s="23" t="str">
        <f>IF(OR(E5362="",E5362="!!!"),"",IF(NOT(ISNA(VLOOKUP(E5362,E$1:E5361,1,FALSE()))),"OLD",IF(AND(E5362&lt;&gt;"",E5362&lt;&gt;"!!!"),"NEW","")))</f>
        <v> </v>
      </c>
      <c r="G5362" s="24" t="str">
        <f>IF(OR(E5362="",E5362="!!!"),"",IF(OR(J5362=0,AND(J5362=1,K5362=1),AND(J5362=1,I5362="SBJ"),AND(J5362=1,I5362=0)),"?IN_FOCUS",IF(J5362&lt;=2,"?ACTIVATED",IF(J5362&lt;&gt;"","?FAMILIAR",IF(F5362="NEW",IF(ISNA(VLOOKUP(E5362,#REF!,1,FALSE())),"?TYPE_IDENTIFIABLE","?REFERENTIAL"),"_")))))</f>
        <v> </v>
      </c>
      <c r="H5362" s="25" t="str">
        <f>IF(J5362&lt;&gt;1,"",IF(I5362="SBJ","CB","?"))</f>
        <v> </v>
      </c>
      <c r="I5362" s="26" t="str">
        <f>IF(OR(E5362="",E5362="!!!",F5362="NEW"),"",INDEX(B5361:B$2,-1+SUMPRODUCT(MAX(ROW(E5361:E$2)*(E5362=E5361:E$2)))))</f>
        <v> </v>
      </c>
      <c r="J5362" s="26" t="str">
        <f>IF(OR(E5362="",E5362="!!!",F5362="NEW"),"",COUNTBLANK(OFFSET(A$1,,,SUMPRODUCT(MAX(ROW(E$2:E5362)*(E5362=E$2:E5362)))))-COUNTBLANK(OFFSET(A$1,,,SUMPRODUCT(MAX(ROW(E$1:E5361)*(E2=E$1:E5361))))))</f>
        <v> </v>
      </c>
      <c r="K5362" s="26" t="str">
        <f>IF(OR(E5362="",E5362="!!!",F5362="NEW"),"",INDEX(J$1:J5361,SUMPRODUCT(MAX(ROW(E$1:E5361)*(E5362=E$1:E5361)))))</f>
        <v> </v>
      </c>
      <c r="L5362" s="27"/>
    </row>
    <row r="5363" spans="1:12">
      <c r="A5363" s="20" t="s">
        <v>1612</v>
      </c>
      <c r="E5363" s="22">
        <f>IF(D5363="?OLD","!!!","")</f>
        <v/>
      </c>
      <c r="F5363" s="23" t="str">
        <f>IF(OR(E5363="",E5363="!!!"),"",IF(NOT(ISNA(VLOOKUP(E5363,E$1:E5362,1,FALSE()))),"OLD",IF(AND(E5363&lt;&gt;"",E5363&lt;&gt;"!!!"),"NEW","")))</f>
        <v> </v>
      </c>
      <c r="G5363" s="24" t="str">
        <f>IF(OR(E5363="",E5363="!!!"),"",IF(OR(J5363=0,AND(J5363=1,K5363=1),AND(J5363=1,I5363="SBJ"),AND(J5363=1,I5363=0)),"?IN_FOCUS",IF(J5363&lt;=2,"?ACTIVATED",IF(J5363&lt;&gt;"","?FAMILIAR",IF(F5363="NEW",IF(ISNA(VLOOKUP(E5363,#REF!,1,FALSE())),"?TYPE_IDENTIFIABLE","?REFERENTIAL"),"_")))))</f>
        <v> </v>
      </c>
      <c r="H5363" s="25" t="str">
        <f>IF(J5363&lt;&gt;1,"",IF(I5363="SBJ","CB","?"))</f>
        <v> </v>
      </c>
      <c r="I5363" s="26" t="str">
        <f>IF(OR(E5363="",E5363="!!!",F5363="NEW"),"",INDEX(B5362:B$2,-1+SUMPRODUCT(MAX(ROW(E5362:E$2)*(E5363=E5362:E$2)))))</f>
        <v> </v>
      </c>
      <c r="J5363" s="26" t="str">
        <f>IF(OR(E5363="",E5363="!!!",F5363="NEW"),"",COUNTBLANK(OFFSET(A$1,,,SUMPRODUCT(MAX(ROW(E$2:E5363)*(E5363=E$2:E5363)))))-COUNTBLANK(OFFSET(A$1,,,SUMPRODUCT(MAX(ROW(E$1:E5362)*(E2=E$1:E5362))))))</f>
        <v> </v>
      </c>
      <c r="K5363" s="26" t="str">
        <f>IF(OR(E5363="",E5363="!!!",F5363="NEW"),"",INDEX(J$1:J5362,SUMPRODUCT(MAX(ROW(E$1:E5362)*(E5363=E$1:E5362)))))</f>
        <v> </v>
      </c>
      <c r="L5363" s="27"/>
    </row>
    <row r="5364" spans="1:12">
      <c r="A5364" s="20" t="s">
        <v>1139</v>
      </c>
      <c r="B5364" s="21" t="s">
        <v>1040</v>
      </c>
      <c r="C5364" s="21" t="s">
        <v>1048</v>
      </c>
      <c r="E5364" s="22">
        <f>IF(D5364="?OLD","!!!","")</f>
        <v/>
      </c>
      <c r="F5364" s="23" t="str">
        <f>IF(OR(E5364="",E5364="!!!"),"",IF(NOT(ISNA(VLOOKUP(E5364,E$1:E5363,1,FALSE()))),"OLD",IF(AND(E5364&lt;&gt;"",E5364&lt;&gt;"!!!"),"NEW","")))</f>
        <v> </v>
      </c>
      <c r="G5364" s="24" t="str">
        <f>IF(OR(E5364="",E5364="!!!"),"",IF(OR(J5364=0,AND(J5364=1,K5364=1),AND(J5364=1,I5364="SBJ"),AND(J5364=1,I5364=0)),"?IN_FOCUS",IF(J5364&lt;=2,"?ACTIVATED",IF(J5364&lt;&gt;"","?FAMILIAR",IF(F5364="NEW",IF(ISNA(VLOOKUP(E5364,#REF!,1,FALSE())),"?TYPE_IDENTIFIABLE","?REFERENTIAL"),"_")))))</f>
        <v> </v>
      </c>
      <c r="H5364" s="25" t="str">
        <f>IF(J5364&lt;&gt;1,"",IF(I5364="SBJ","CB","?"))</f>
        <v> </v>
      </c>
      <c r="I5364" s="26" t="str">
        <f>IF(OR(E5364="",E5364="!!!",F5364="NEW"),"",INDEX(B5363:B$2,-1+SUMPRODUCT(MAX(ROW(E5363:E$2)*(E5364=E5363:E$2)))))</f>
        <v> </v>
      </c>
      <c r="J5364" s="26" t="str">
        <f>IF(OR(E5364="",E5364="!!!",F5364="NEW"),"",COUNTBLANK(OFFSET(A$1,,,SUMPRODUCT(MAX(ROW(E$2:E5364)*(E5364=E$2:E5364)))))-COUNTBLANK(OFFSET(A$1,,,SUMPRODUCT(MAX(ROW(E$1:E5363)*(E2=E$1:E5363))))))</f>
        <v> </v>
      </c>
      <c r="K5364" s="26" t="str">
        <f>IF(OR(E5364="",E5364="!!!",F5364="NEW"),"",INDEX(J$1:J5363,SUMPRODUCT(MAX(ROW(E$1:E5363)*(E5364=E$1:E5363)))))</f>
        <v> </v>
      </c>
      <c r="L5364" s="27"/>
    </row>
    <row r="5365" spans="1:12">
      <c r="A5365" s="20" t="s">
        <v>1018</v>
      </c>
      <c r="E5365" s="22">
        <f>IF(D5365="?OLD","!!!","")</f>
        <v/>
      </c>
      <c r="F5365" s="23" t="str">
        <f>IF(OR(E5365="",E5365="!!!"),"",IF(NOT(ISNA(VLOOKUP(E5365,E$1:E5364,1,FALSE()))),"OLD",IF(AND(E5365&lt;&gt;"",E5365&lt;&gt;"!!!"),"NEW","")))</f>
        <v> </v>
      </c>
      <c r="G5365" s="24" t="str">
        <f>IF(OR(E5365="",E5365="!!!"),"",IF(OR(J5365=0,AND(J5365=1,K5365=1),AND(J5365=1,I5365="SBJ"),AND(J5365=1,I5365=0)),"?IN_FOCUS",IF(J5365&lt;=2,"?ACTIVATED",IF(J5365&lt;&gt;"","?FAMILIAR",IF(F5365="NEW",IF(ISNA(VLOOKUP(E5365,#REF!,1,FALSE())),"?TYPE_IDENTIFIABLE","?REFERENTIAL"),"_")))))</f>
        <v> </v>
      </c>
      <c r="H5365" s="25" t="str">
        <f>IF(J5365&lt;&gt;1,"",IF(I5365="SBJ","CB","?"))</f>
        <v> </v>
      </c>
      <c r="I5365" s="26" t="str">
        <f>IF(OR(E5365="",E5365="!!!",F5365="NEW"),"",INDEX(B5364:B$2,-1+SUMPRODUCT(MAX(ROW(E5364:E$2)*(E5365=E5364:E$2)))))</f>
        <v> </v>
      </c>
      <c r="J5365" s="26" t="str">
        <f>IF(OR(E5365="",E5365="!!!",F5365="NEW"),"",COUNTBLANK(OFFSET(A$1,,,SUMPRODUCT(MAX(ROW(E$2:E5365)*(E5365=E$2:E5365)))))-COUNTBLANK(OFFSET(A$1,,,SUMPRODUCT(MAX(ROW(E$1:E5364)*(E2=E$1:E5364))))))</f>
        <v> </v>
      </c>
      <c r="K5365" s="26" t="str">
        <f>IF(OR(E5365="",E5365="!!!",F5365="NEW"),"",INDEX(J$1:J5364,SUMPRODUCT(MAX(ROW(E$1:E5364)*(E5365=E$1:E5364)))))</f>
        <v> </v>
      </c>
      <c r="L5365" s="27"/>
    </row>
    <row r="5366" spans="1:12">
      <c r="A5366" s="20" t="s">
        <v>1051</v>
      </c>
      <c r="E5366" s="22">
        <f>IF(D5366="?OLD","!!!","")</f>
        <v/>
      </c>
      <c r="F5366" s="23" t="str">
        <f>IF(OR(E5366="",E5366="!!!"),"",IF(NOT(ISNA(VLOOKUP(E5366,E$1:E5365,1,FALSE()))),"OLD",IF(AND(E5366&lt;&gt;"",E5366&lt;&gt;"!!!"),"NEW","")))</f>
        <v> </v>
      </c>
      <c r="G5366" s="24" t="str">
        <f>IF(OR(E5366="",E5366="!!!"),"",IF(OR(J5366=0,AND(J5366=1,K5366=1),AND(J5366=1,I5366="SBJ"),AND(J5366=1,I5366=0)),"?IN_FOCUS",IF(J5366&lt;=2,"?ACTIVATED",IF(J5366&lt;&gt;"","?FAMILIAR",IF(F5366="NEW",IF(ISNA(VLOOKUP(E5366,#REF!,1,FALSE())),"?TYPE_IDENTIFIABLE","?REFERENTIAL"),"_")))))</f>
        <v> </v>
      </c>
      <c r="H5366" s="25" t="str">
        <f>IF(J5366&lt;&gt;1,"",IF(I5366="SBJ","CB","?"))</f>
        <v> </v>
      </c>
      <c r="I5366" s="26" t="str">
        <f>IF(OR(E5366="",E5366="!!!",F5366="NEW"),"",INDEX(B5365:B$2,-1+SUMPRODUCT(MAX(ROW(E5365:E$2)*(E5366=E5365:E$2)))))</f>
        <v> </v>
      </c>
      <c r="J5366" s="26" t="str">
        <f>IF(OR(E5366="",E5366="!!!",F5366="NEW"),"",COUNTBLANK(OFFSET(A$1,,,SUMPRODUCT(MAX(ROW(E$2:E5366)*(E5366=E$2:E5366)))))-COUNTBLANK(OFFSET(A$1,,,SUMPRODUCT(MAX(ROW(E$1:E5365)*(E2=E$1:E5365))))))</f>
        <v> </v>
      </c>
      <c r="K5366" s="26" t="str">
        <f>IF(OR(E5366="",E5366="!!!",F5366="NEW"),"",INDEX(J$1:J5365,SUMPRODUCT(MAX(ROW(E$1:E5365)*(E5366=E$1:E5365)))))</f>
        <v> </v>
      </c>
      <c r="L5366" s="27"/>
    </row>
    <row r="5367" spans="1:12">
      <c r="A5367" s="20" t="s">
        <v>1163</v>
      </c>
      <c r="E5367" s="22">
        <f>IF(D5367="?OLD","!!!","")</f>
        <v/>
      </c>
      <c r="F5367" s="23" t="str">
        <f>IF(OR(E5367="",E5367="!!!"),"",IF(NOT(ISNA(VLOOKUP(E5367,E$1:E5366,1,FALSE()))),"OLD",IF(AND(E5367&lt;&gt;"",E5367&lt;&gt;"!!!"),"NEW","")))</f>
        <v> </v>
      </c>
      <c r="G5367" s="24" t="str">
        <f>IF(OR(E5367="",E5367="!!!"),"",IF(OR(J5367=0,AND(J5367=1,K5367=1),AND(J5367=1,I5367="SBJ"),AND(J5367=1,I5367=0)),"?IN_FOCUS",IF(J5367&lt;=2,"?ACTIVATED",IF(J5367&lt;&gt;"","?FAMILIAR",IF(F5367="NEW",IF(ISNA(VLOOKUP(E5367,#REF!,1,FALSE())),"?TYPE_IDENTIFIABLE","?REFERENTIAL"),"_")))))</f>
        <v> </v>
      </c>
      <c r="H5367" s="25" t="str">
        <f>IF(J5367&lt;&gt;1,"",IF(I5367="SBJ","CB","?"))</f>
        <v> </v>
      </c>
      <c r="I5367" s="26" t="str">
        <f>IF(OR(E5367="",E5367="!!!",F5367="NEW"),"",INDEX(B5366:B$2,-1+SUMPRODUCT(MAX(ROW(E5366:E$2)*(E5367=E5366:E$2)))))</f>
        <v> </v>
      </c>
      <c r="J5367" s="26" t="str">
        <f>IF(OR(E5367="",E5367="!!!",F5367="NEW"),"",COUNTBLANK(OFFSET(A$1,,,SUMPRODUCT(MAX(ROW(E$2:E5367)*(E5367=E$2:E5367)))))-COUNTBLANK(OFFSET(A$1,,,SUMPRODUCT(MAX(ROW(E$1:E5366)*(E2=E$1:E5366))))))</f>
        <v> </v>
      </c>
      <c r="K5367" s="26" t="str">
        <f>IF(OR(E5367="",E5367="!!!",F5367="NEW"),"",INDEX(J$1:J5366,SUMPRODUCT(MAX(ROW(E$1:E5366)*(E5367=E$1:E5366)))))</f>
        <v> </v>
      </c>
      <c r="L5367" s="27"/>
    </row>
    <row r="5368" spans="1:12">
      <c r="A5368" s="20" t="s">
        <v>2463</v>
      </c>
      <c r="E5368" s="22">
        <f>IF(D5368="?OLD","!!!","")</f>
        <v/>
      </c>
      <c r="F5368" s="23" t="str">
        <f>IF(OR(E5368="",E5368="!!!"),"",IF(NOT(ISNA(VLOOKUP(E5368,E$1:E5367,1,FALSE()))),"OLD",IF(AND(E5368&lt;&gt;"",E5368&lt;&gt;"!!!"),"NEW","")))</f>
        <v> </v>
      </c>
      <c r="G5368" s="24" t="str">
        <f>IF(OR(E5368="",E5368="!!!"),"",IF(OR(J5368=0,AND(J5368=1,K5368=1),AND(J5368=1,I5368="SBJ"),AND(J5368=1,I5368=0)),"?IN_FOCUS",IF(J5368&lt;=2,"?ACTIVATED",IF(J5368&lt;&gt;"","?FAMILIAR",IF(F5368="NEW",IF(ISNA(VLOOKUP(E5368,#REF!,1,FALSE())),"?TYPE_IDENTIFIABLE","?REFERENTIAL"),"_")))))</f>
        <v> </v>
      </c>
      <c r="H5368" s="25" t="str">
        <f>IF(J5368&lt;&gt;1,"",IF(I5368="SBJ","CB","?"))</f>
        <v> </v>
      </c>
      <c r="I5368" s="26" t="str">
        <f>IF(OR(E5368="",E5368="!!!",F5368="NEW"),"",INDEX(B5367:B$2,-1+SUMPRODUCT(MAX(ROW(E5367:E$2)*(E5368=E5367:E$2)))))</f>
        <v> </v>
      </c>
      <c r="J5368" s="26" t="str">
        <f>IF(OR(E5368="",E5368="!!!",F5368="NEW"),"",COUNTBLANK(OFFSET(A$1,,,SUMPRODUCT(MAX(ROW(E$2:E5368)*(E5368=E$2:E5368)))))-COUNTBLANK(OFFSET(A$1,,,SUMPRODUCT(MAX(ROW(E$1:E5367)*(E2=E$1:E5367))))))</f>
        <v> </v>
      </c>
      <c r="K5368" s="26" t="str">
        <f>IF(OR(E5368="",E5368="!!!",F5368="NEW"),"",INDEX(J$1:J5367,SUMPRODUCT(MAX(ROW(E$1:E5367)*(E5368=E$1:E5367)))))</f>
        <v> </v>
      </c>
      <c r="L5368" s="27"/>
    </row>
    <row r="5369" spans="1:12">
      <c r="A5369" s="20" t="s">
        <v>1009</v>
      </c>
      <c r="E5369" s="22">
        <f>IF(D5369="?OLD","!!!","")</f>
        <v/>
      </c>
      <c r="F5369" s="23" t="str">
        <f>IF(OR(E5369="",E5369="!!!"),"",IF(NOT(ISNA(VLOOKUP(E5369,E$1:E5368,1,FALSE()))),"OLD",IF(AND(E5369&lt;&gt;"",E5369&lt;&gt;"!!!"),"NEW","")))</f>
        <v> </v>
      </c>
      <c r="G5369" s="24" t="str">
        <f>IF(OR(E5369="",E5369="!!!"),"",IF(OR(J5369=0,AND(J5369=1,K5369=1),AND(J5369=1,I5369="SBJ"),AND(J5369=1,I5369=0)),"?IN_FOCUS",IF(J5369&lt;=2,"?ACTIVATED",IF(J5369&lt;&gt;"","?FAMILIAR",IF(F5369="NEW",IF(ISNA(VLOOKUP(E5369,#REF!,1,FALSE())),"?TYPE_IDENTIFIABLE","?REFERENTIAL"),"_")))))</f>
        <v> </v>
      </c>
      <c r="H5369" s="25" t="str">
        <f>IF(J5369&lt;&gt;1,"",IF(I5369="SBJ","CB","?"))</f>
        <v> </v>
      </c>
      <c r="I5369" s="26" t="str">
        <f>IF(OR(E5369="",E5369="!!!",F5369="NEW"),"",INDEX(B5368:B$2,-1+SUMPRODUCT(MAX(ROW(E5368:E$2)*(E5369=E5368:E$2)))))</f>
        <v> </v>
      </c>
      <c r="J5369" s="26" t="str">
        <f>IF(OR(E5369="",E5369="!!!",F5369="NEW"),"",COUNTBLANK(OFFSET(A$1,,,SUMPRODUCT(MAX(ROW(E$2:E5369)*(E5369=E$2:E5369)))))-COUNTBLANK(OFFSET(A$1,,,SUMPRODUCT(MAX(ROW(E$1:E5368)*(E2=E$1:E5368))))))</f>
        <v> </v>
      </c>
      <c r="K5369" s="26" t="str">
        <f>IF(OR(E5369="",E5369="!!!",F5369="NEW"),"",INDEX(J$1:J5368,SUMPRODUCT(MAX(ROW(E$1:E5368)*(E5369=E$1:E5368)))))</f>
        <v> </v>
      </c>
      <c r="L5369" s="27"/>
    </row>
    <row r="5370" spans="1:12">
      <c r="A5370" s="20"/>
    </row>
    <row r="5371" spans="1:12">
      <c r="A5371" s="20" t="s">
        <v>2464</v>
      </c>
    </row>
    <row r="5372" spans="1:12">
      <c r="A5372" s="20" t="s">
        <v>767</v>
      </c>
      <c r="B5372" s="21" t="s">
        <v>1005</v>
      </c>
      <c r="C5372" s="21" t="s">
        <v>1006</v>
      </c>
      <c r="D5372" s="21" t="s">
        <v>1007</v>
      </c>
      <c r="E5372" s="22">
        <f>IF(D5372="?OLD","!!!","")</f>
        <v/>
      </c>
      <c r="F5372" s="23" t="str">
        <f>IF(OR(E5372="",E5372="!!!"),"",IF(NOT(ISNA(VLOOKUP(E5372,E$1:E5371,1,FALSE()))),"OLD",IF(AND(E5372&lt;&gt;"",E5372&lt;&gt;"!!!"),"NEW","")))</f>
        <v> </v>
      </c>
      <c r="G5372" s="24" t="str">
        <f>IF(OR(E5372="",E5372="!!!"),"",IF(OR(J5372=0,AND(J5372=1,K5372=1),AND(J5372=1,I5372="SBJ"),AND(J5372=1,I5372=0)),"?IN_FOCUS",IF(J5372&lt;=2,"?ACTIVATED",IF(J5372&lt;&gt;"","?FAMILIAR",IF(F5372="NEW",IF(ISNA(VLOOKUP(E5372,#REF!,1,FALSE())),"?TYPE_IDENTIFIABLE","?REFERENTIAL"),"_")))))</f>
        <v> </v>
      </c>
      <c r="H5372" s="25" t="str">
        <f>IF(J5372&lt;&gt;1,"",IF(I5372="SBJ","CB","?"))</f>
        <v> </v>
      </c>
      <c r="I5372" s="26" t="str">
        <f>IF(OR(E5372="",E5372="!!!",F5372="NEW"),"",INDEX(B5371:B$2,-1+SUMPRODUCT(MAX(ROW(E5371:E$2)*(E5372=E5371:E$2)))))</f>
        <v> </v>
      </c>
      <c r="J5372" s="26" t="str">
        <f>IF(OR(E5372="",E5372="!!!",F5372="NEW"),"",COUNTBLANK(OFFSET(A$1,,,SUMPRODUCT(MAX(ROW(E$2:E5372)*(E5372=E$2:E5372)))))-COUNTBLANK(OFFSET(A$1,,,SUMPRODUCT(MAX(ROW(E$1:E5371)*(E2=E$1:E5371))))))</f>
        <v> </v>
      </c>
      <c r="K5372" s="26" t="str">
        <f>IF(OR(E5372="",E5372="!!!",F5372="NEW"),"",INDEX(J$1:J5371,SUMPRODUCT(MAX(ROW(E$1:E5371)*(E5372=E$1:E5371)))))</f>
        <v> </v>
      </c>
      <c r="L5372" s="27"/>
    </row>
    <row r="5373" spans="1:12">
      <c r="A5373" s="20" t="s">
        <v>788</v>
      </c>
      <c r="B5373" s="21" t="s">
        <v>1005</v>
      </c>
      <c r="C5373" s="21" t="s">
        <v>1006</v>
      </c>
      <c r="D5373" s="21" t="s">
        <v>1007</v>
      </c>
      <c r="E5373" s="22">
        <f>IF(D5373="?OLD","!!!","")</f>
        <v/>
      </c>
      <c r="F5373" s="23" t="str">
        <f>IF(OR(E5373="",E5373="!!!"),"",IF(NOT(ISNA(VLOOKUP(E5373,E$1:E5372,1,FALSE()))),"OLD",IF(AND(E5373&lt;&gt;"",E5373&lt;&gt;"!!!"),"NEW","")))</f>
        <v> </v>
      </c>
      <c r="G5373" s="24" t="str">
        <f>IF(OR(E5373="",E5373="!!!"),"",IF(OR(J5373=0,AND(J5373=1,K5373=1),AND(J5373=1,I5373="SBJ"),AND(J5373=1,I5373=0)),"?IN_FOCUS",IF(J5373&lt;=2,"?ACTIVATED",IF(J5373&lt;&gt;"","?FAMILIAR",IF(F5373="NEW",IF(ISNA(VLOOKUP(E5373,#REF!,1,FALSE())),"?TYPE_IDENTIFIABLE","?REFERENTIAL"),"_")))))</f>
        <v> </v>
      </c>
      <c r="H5373" s="25" t="str">
        <f>IF(J5373&lt;&gt;1,"",IF(I5373="SBJ","CB","?"))</f>
        <v> </v>
      </c>
      <c r="I5373" s="26" t="str">
        <f>IF(OR(E5373="",E5373="!!!",F5373="NEW"),"",INDEX(B5372:B$2,-1+SUMPRODUCT(MAX(ROW(E5372:E$2)*(E5373=E5372:E$2)))))</f>
        <v> </v>
      </c>
      <c r="J5373" s="26" t="str">
        <f>IF(OR(E5373="",E5373="!!!",F5373="NEW"),"",COUNTBLANK(OFFSET(A$1,,,SUMPRODUCT(MAX(ROW(E$2:E5373)*(E5373=E$2:E5373)))))-COUNTBLANK(OFFSET(A$1,,,SUMPRODUCT(MAX(ROW(E$1:E5372)*(E2=E$1:E5372))))))</f>
        <v> </v>
      </c>
      <c r="K5373" s="26" t="str">
        <f>IF(OR(E5373="",E5373="!!!",F5373="NEW"),"",INDEX(J$1:J5372,SUMPRODUCT(MAX(ROW(E$1:E5372)*(E5373=E$1:E5372)))))</f>
        <v> </v>
      </c>
      <c r="L5373" s="27"/>
    </row>
    <row r="5374" spans="1:12">
      <c r="A5374" s="20" t="s">
        <v>2465</v>
      </c>
      <c r="B5374" s="21" t="s">
        <v>1005</v>
      </c>
      <c r="C5374" s="21" t="s">
        <v>1006</v>
      </c>
      <c r="D5374" s="21" t="s">
        <v>1007</v>
      </c>
      <c r="E5374" s="22">
        <f>IF(D5374="?OLD","!!!","")</f>
        <v/>
      </c>
      <c r="F5374" s="23" t="str">
        <f>IF(OR(E5374="",E5374="!!!"),"",IF(NOT(ISNA(VLOOKUP(E5374,E$1:E5373,1,FALSE()))),"OLD",IF(AND(E5374&lt;&gt;"",E5374&lt;&gt;"!!!"),"NEW","")))</f>
        <v> </v>
      </c>
      <c r="G5374" s="24" t="str">
        <f>IF(OR(E5374="",E5374="!!!"),"",IF(OR(J5374=0,AND(J5374=1,K5374=1),AND(J5374=1,I5374="SBJ"),AND(J5374=1,I5374=0)),"?IN_FOCUS",IF(J5374&lt;=2,"?ACTIVATED",IF(J5374&lt;&gt;"","?FAMILIAR",IF(F5374="NEW",IF(ISNA(VLOOKUP(E5374,#REF!,1,FALSE())),"?TYPE_IDENTIFIABLE","?REFERENTIAL"),"_")))))</f>
        <v> </v>
      </c>
      <c r="H5374" s="25" t="str">
        <f>IF(J5374&lt;&gt;1,"",IF(I5374="SBJ","CB","?"))</f>
        <v> </v>
      </c>
      <c r="I5374" s="26" t="str">
        <f>IF(OR(E5374="",E5374="!!!",F5374="NEW"),"",INDEX(B5373:B$2,-1+SUMPRODUCT(MAX(ROW(E5373:E$2)*(E5374=E5373:E$2)))))</f>
        <v> </v>
      </c>
      <c r="J5374" s="26" t="str">
        <f>IF(OR(E5374="",E5374="!!!",F5374="NEW"),"",COUNTBLANK(OFFSET(A$1,,,SUMPRODUCT(MAX(ROW(E$2:E5374)*(E5374=E$2:E5374)))))-COUNTBLANK(OFFSET(A$1,,,SUMPRODUCT(MAX(ROW(E$1:E5373)*(E2=E$1:E5373))))))</f>
        <v> </v>
      </c>
      <c r="K5374" s="26" t="str">
        <f>IF(OR(E5374="",E5374="!!!",F5374="NEW"),"",INDEX(J$1:J5373,SUMPRODUCT(MAX(ROW(E$1:E5373)*(E5374=E$1:E5373)))))</f>
        <v> </v>
      </c>
      <c r="L5374" s="27"/>
    </row>
    <row r="5375" spans="1:12">
      <c r="A5375" s="20" t="s">
        <v>1023</v>
      </c>
      <c r="E5375" s="22">
        <f>IF(D5375="?OLD","!!!","")</f>
        <v/>
      </c>
      <c r="F5375" s="23" t="str">
        <f>IF(OR(E5375="",E5375="!!!"),"",IF(NOT(ISNA(VLOOKUP(E5375,E$1:E5374,1,FALSE()))),"OLD",IF(AND(E5375&lt;&gt;"",E5375&lt;&gt;"!!!"),"NEW","")))</f>
        <v> </v>
      </c>
      <c r="G5375" s="24" t="str">
        <f>IF(OR(E5375="",E5375="!!!"),"",IF(OR(J5375=0,AND(J5375=1,K5375=1),AND(J5375=1,I5375="SBJ"),AND(J5375=1,I5375=0)),"?IN_FOCUS",IF(J5375&lt;=2,"?ACTIVATED",IF(J5375&lt;&gt;"","?FAMILIAR",IF(F5375="NEW",IF(ISNA(VLOOKUP(E5375,#REF!,1,FALSE())),"?TYPE_IDENTIFIABLE","?REFERENTIAL"),"_")))))</f>
        <v> </v>
      </c>
      <c r="H5375" s="25" t="str">
        <f>IF(J5375&lt;&gt;1,"",IF(I5375="SBJ","CB","?"))</f>
        <v> </v>
      </c>
      <c r="I5375" s="26" t="str">
        <f>IF(OR(E5375="",E5375="!!!",F5375="NEW"),"",INDEX(B5374:B$2,-1+SUMPRODUCT(MAX(ROW(E5374:E$2)*(E5375=E5374:E$2)))))</f>
        <v> </v>
      </c>
      <c r="J5375" s="26" t="str">
        <f>IF(OR(E5375="",E5375="!!!",F5375="NEW"),"",COUNTBLANK(OFFSET(A$1,,,SUMPRODUCT(MAX(ROW(E$2:E5375)*(E5375=E$2:E5375)))))-COUNTBLANK(OFFSET(A$1,,,SUMPRODUCT(MAX(ROW(E$1:E5374)*(E2=E$1:E5374))))))</f>
        <v> </v>
      </c>
      <c r="K5375" s="26" t="str">
        <f>IF(OR(E5375="",E5375="!!!",F5375="NEW"),"",INDEX(J$1:J5374,SUMPRODUCT(MAX(ROW(E$1:E5374)*(E5375=E$1:E5374)))))</f>
        <v> </v>
      </c>
      <c r="L5375" s="27"/>
    </row>
    <row r="5376" spans="1:12">
      <c r="A5376" s="20"/>
    </row>
    <row r="5377" spans="1:12">
      <c r="A5377" s="20" t="s">
        <v>2466</v>
      </c>
    </row>
    <row r="5378" spans="1:12">
      <c r="A5378" s="20" t="s">
        <v>788</v>
      </c>
      <c r="E5378" s="22">
        <f>IF(D5378="?OLD","!!!","")</f>
        <v/>
      </c>
      <c r="F5378" s="23" t="str">
        <f>IF(OR(E5378="",E5378="!!!"),"",IF(NOT(ISNA(VLOOKUP(E5378,E$1:E5377,1,FALSE()))),"OLD",IF(AND(E5378&lt;&gt;"",E5378&lt;&gt;"!!!"),"NEW","")))</f>
        <v> </v>
      </c>
      <c r="G5378" s="24" t="str">
        <f>IF(OR(E5378="",E5378="!!!"),"",IF(OR(J5378=0,AND(J5378=1,K5378=1),AND(J5378=1,I5378="SBJ"),AND(J5378=1,I5378=0)),"?IN_FOCUS",IF(J5378&lt;=2,"?ACTIVATED",IF(J5378&lt;&gt;"","?FAMILIAR",IF(F5378="NEW",IF(ISNA(VLOOKUP(E5378,#REF!,1,FALSE())),"?TYPE_IDENTIFIABLE","?REFERENTIAL"),"_")))))</f>
        <v> </v>
      </c>
      <c r="H5378" s="25" t="str">
        <f>IF(J5378&lt;&gt;1,"",IF(I5378="SBJ","CB","?"))</f>
        <v> </v>
      </c>
      <c r="I5378" s="26" t="str">
        <f>IF(OR(E5378="",E5378="!!!",F5378="NEW"),"",INDEX(B5377:B$2,-1+SUMPRODUCT(MAX(ROW(E5377:E$2)*(E5378=E5377:E$2)))))</f>
        <v> </v>
      </c>
      <c r="J5378" s="26" t="str">
        <f>IF(OR(E5378="",E5378="!!!",F5378="NEW"),"",COUNTBLANK(OFFSET(A$1,,,SUMPRODUCT(MAX(ROW(E$2:E5378)*(E5378=E$2:E5378)))))-COUNTBLANK(OFFSET(A$1,,,SUMPRODUCT(MAX(ROW(E$1:E5377)*(E2=E$1:E5377))))))</f>
        <v> </v>
      </c>
      <c r="K5378" s="26" t="str">
        <f>IF(OR(E5378="",E5378="!!!",F5378="NEW"),"",INDEX(J$1:J5377,SUMPRODUCT(MAX(ROW(E$1:E5377)*(E5378=E$1:E5377)))))</f>
        <v> </v>
      </c>
      <c r="L5378" s="27"/>
    </row>
    <row r="5379" spans="1:12">
      <c r="A5379" s="20" t="s">
        <v>1018</v>
      </c>
      <c r="E5379" s="22">
        <f>IF(D5379="?OLD","!!!","")</f>
        <v/>
      </c>
      <c r="F5379" s="23" t="str">
        <f>IF(OR(E5379="",E5379="!!!"),"",IF(NOT(ISNA(VLOOKUP(E5379,E$1:E5378,1,FALSE()))),"OLD",IF(AND(E5379&lt;&gt;"",E5379&lt;&gt;"!!!"),"NEW","")))</f>
        <v> </v>
      </c>
      <c r="G5379" s="24" t="str">
        <f>IF(OR(E5379="",E5379="!!!"),"",IF(OR(J5379=0,AND(J5379=1,K5379=1),AND(J5379=1,I5379="SBJ"),AND(J5379=1,I5379=0)),"?IN_FOCUS",IF(J5379&lt;=2,"?ACTIVATED",IF(J5379&lt;&gt;"","?FAMILIAR",IF(F5379="NEW",IF(ISNA(VLOOKUP(E5379,#REF!,1,FALSE())),"?TYPE_IDENTIFIABLE","?REFERENTIAL"),"_")))))</f>
        <v> </v>
      </c>
      <c r="H5379" s="25" t="str">
        <f>IF(J5379&lt;&gt;1,"",IF(I5379="SBJ","CB","?"))</f>
        <v> </v>
      </c>
      <c r="I5379" s="26" t="str">
        <f>IF(OR(E5379="",E5379="!!!",F5379="NEW"),"",INDEX(B5378:B$2,-1+SUMPRODUCT(MAX(ROW(E5378:E$2)*(E5379=E5378:E$2)))))</f>
        <v> </v>
      </c>
      <c r="J5379" s="26" t="str">
        <f>IF(OR(E5379="",E5379="!!!",F5379="NEW"),"",COUNTBLANK(OFFSET(A$1,,,SUMPRODUCT(MAX(ROW(E$2:E5379)*(E5379=E$2:E5379)))))-COUNTBLANK(OFFSET(A$1,,,SUMPRODUCT(MAX(ROW(E$1:E5378)*(E2=E$1:E5378))))))</f>
        <v> </v>
      </c>
      <c r="K5379" s="26" t="str">
        <f>IF(OR(E5379="",E5379="!!!",F5379="NEW"),"",INDEX(J$1:J5378,SUMPRODUCT(MAX(ROW(E$1:E5378)*(E5379=E$1:E5378)))))</f>
        <v> </v>
      </c>
      <c r="L5379" s="27"/>
    </row>
    <row r="5380" spans="1:12">
      <c r="A5380" s="20" t="s">
        <v>2467</v>
      </c>
      <c r="E5380" s="22">
        <f>IF(D5380="?OLD","!!!","")</f>
        <v/>
      </c>
      <c r="F5380" s="23" t="str">
        <f>IF(OR(E5380="",E5380="!!!"),"",IF(NOT(ISNA(VLOOKUP(E5380,E$1:E5379,1,FALSE()))),"OLD",IF(AND(E5380&lt;&gt;"",E5380&lt;&gt;"!!!"),"NEW","")))</f>
        <v> </v>
      </c>
      <c r="G5380" s="24" t="str">
        <f>IF(OR(E5380="",E5380="!!!"),"",IF(OR(J5380=0,AND(J5380=1,K5380=1),AND(J5380=1,I5380="SBJ"),AND(J5380=1,I5380=0)),"?IN_FOCUS",IF(J5380&lt;=2,"?ACTIVATED",IF(J5380&lt;&gt;"","?FAMILIAR",IF(F5380="NEW",IF(ISNA(VLOOKUP(E5380,#REF!,1,FALSE())),"?TYPE_IDENTIFIABLE","?REFERENTIAL"),"_")))))</f>
        <v> </v>
      </c>
      <c r="H5380" s="25" t="str">
        <f>IF(J5380&lt;&gt;1,"",IF(I5380="SBJ","CB","?"))</f>
        <v> </v>
      </c>
      <c r="I5380" s="26" t="str">
        <f>IF(OR(E5380="",E5380="!!!",F5380="NEW"),"",INDEX(B5379:B$2,-1+SUMPRODUCT(MAX(ROW(E5379:E$2)*(E5380=E5379:E$2)))))</f>
        <v> </v>
      </c>
      <c r="J5380" s="26" t="str">
        <f>IF(OR(E5380="",E5380="!!!",F5380="NEW"),"",COUNTBLANK(OFFSET(A$1,,,SUMPRODUCT(MAX(ROW(E$2:E5380)*(E5380=E$2:E5380)))))-COUNTBLANK(OFFSET(A$1,,,SUMPRODUCT(MAX(ROW(E$1:E5379)*(E2=E$1:E5379))))))</f>
        <v> </v>
      </c>
      <c r="K5380" s="26" t="str">
        <f>IF(OR(E5380="",E5380="!!!",F5380="NEW"),"",INDEX(J$1:J5379,SUMPRODUCT(MAX(ROW(E$1:E5379)*(E5380=E$1:E5379)))))</f>
        <v> </v>
      </c>
      <c r="L5380" s="27"/>
    </row>
    <row r="5381" spans="1:12">
      <c r="A5381" s="20" t="s">
        <v>500</v>
      </c>
      <c r="E5381" s="22">
        <f>IF(D5381="?OLD","!!!","")</f>
        <v/>
      </c>
      <c r="F5381" s="23" t="str">
        <f>IF(OR(E5381="",E5381="!!!"),"",IF(NOT(ISNA(VLOOKUP(E5381,E$1:E5380,1,FALSE()))),"OLD",IF(AND(E5381&lt;&gt;"",E5381&lt;&gt;"!!!"),"NEW","")))</f>
        <v> </v>
      </c>
      <c r="G5381" s="24" t="str">
        <f>IF(OR(E5381="",E5381="!!!"),"",IF(OR(J5381=0,AND(J5381=1,K5381=1),AND(J5381=1,I5381="SBJ"),AND(J5381=1,I5381=0)),"?IN_FOCUS",IF(J5381&lt;=2,"?ACTIVATED",IF(J5381&lt;&gt;"","?FAMILIAR",IF(F5381="NEW",IF(ISNA(VLOOKUP(E5381,#REF!,1,FALSE())),"?TYPE_IDENTIFIABLE","?REFERENTIAL"),"_")))))</f>
        <v> </v>
      </c>
      <c r="H5381" s="25" t="str">
        <f>IF(J5381&lt;&gt;1,"",IF(I5381="SBJ","CB","?"))</f>
        <v> </v>
      </c>
      <c r="I5381" s="26" t="str">
        <f>IF(OR(E5381="",E5381="!!!",F5381="NEW"),"",INDEX(B5380:B$2,-1+SUMPRODUCT(MAX(ROW(E5380:E$2)*(E5381=E5380:E$2)))))</f>
        <v> </v>
      </c>
      <c r="J5381" s="26" t="str">
        <f>IF(OR(E5381="",E5381="!!!",F5381="NEW"),"",COUNTBLANK(OFFSET(A$1,,,SUMPRODUCT(MAX(ROW(E$2:E5381)*(E5381=E$2:E5381)))))-COUNTBLANK(OFFSET(A$1,,,SUMPRODUCT(MAX(ROW(E$1:E5380)*(E2=E$1:E5380))))))</f>
        <v> </v>
      </c>
      <c r="K5381" s="26" t="str">
        <f>IF(OR(E5381="",E5381="!!!",F5381="NEW"),"",INDEX(J$1:J5380,SUMPRODUCT(MAX(ROW(E$1:E5380)*(E5381=E$1:E5380)))))</f>
        <v> </v>
      </c>
      <c r="L5381" s="27"/>
    </row>
    <row r="5382" spans="1:12">
      <c r="A5382" s="20" t="s">
        <v>1163</v>
      </c>
      <c r="E5382" s="22">
        <f>IF(D5382="?OLD","!!!","")</f>
        <v/>
      </c>
      <c r="F5382" s="23" t="str">
        <f>IF(OR(E5382="",E5382="!!!"),"",IF(NOT(ISNA(VLOOKUP(E5382,E$1:E5381,1,FALSE()))),"OLD",IF(AND(E5382&lt;&gt;"",E5382&lt;&gt;"!!!"),"NEW","")))</f>
        <v> </v>
      </c>
      <c r="G5382" s="24" t="str">
        <f>IF(OR(E5382="",E5382="!!!"),"",IF(OR(J5382=0,AND(J5382=1,K5382=1),AND(J5382=1,I5382="SBJ"),AND(J5382=1,I5382=0)),"?IN_FOCUS",IF(J5382&lt;=2,"?ACTIVATED",IF(J5382&lt;&gt;"","?FAMILIAR",IF(F5382="NEW",IF(ISNA(VLOOKUP(E5382,#REF!,1,FALSE())),"?TYPE_IDENTIFIABLE","?REFERENTIAL"),"_")))))</f>
        <v> </v>
      </c>
      <c r="H5382" s="25" t="str">
        <f>IF(J5382&lt;&gt;1,"",IF(I5382="SBJ","CB","?"))</f>
        <v> </v>
      </c>
      <c r="I5382" s="26" t="str">
        <f>IF(OR(E5382="",E5382="!!!",F5382="NEW"),"",INDEX(B5381:B$2,-1+SUMPRODUCT(MAX(ROW(E5381:E$2)*(E5382=E5381:E$2)))))</f>
        <v> </v>
      </c>
      <c r="J5382" s="26" t="str">
        <f>IF(OR(E5382="",E5382="!!!",F5382="NEW"),"",COUNTBLANK(OFFSET(A$1,,,SUMPRODUCT(MAX(ROW(E$2:E5382)*(E5382=E$2:E5382)))))-COUNTBLANK(OFFSET(A$1,,,SUMPRODUCT(MAX(ROW(E$1:E5381)*(E2=E$1:E5381))))))</f>
        <v> </v>
      </c>
      <c r="K5382" s="26" t="str">
        <f>IF(OR(E5382="",E5382="!!!",F5382="NEW"),"",INDEX(J$1:J5381,SUMPRODUCT(MAX(ROW(E$1:E5381)*(E5382=E$1:E5381)))))</f>
        <v> </v>
      </c>
      <c r="L5382" s="27"/>
    </row>
    <row r="5383" spans="1:12">
      <c r="A5383" s="20" t="s">
        <v>56</v>
      </c>
      <c r="E5383" s="22">
        <f>IF(D5383="?OLD","!!!","")</f>
        <v/>
      </c>
      <c r="F5383" s="23" t="str">
        <f>IF(OR(E5383="",E5383="!!!"),"",IF(NOT(ISNA(VLOOKUP(E5383,E$1:E5382,1,FALSE()))),"OLD",IF(AND(E5383&lt;&gt;"",E5383&lt;&gt;"!!!"),"NEW","")))</f>
        <v> </v>
      </c>
      <c r="G5383" s="24" t="str">
        <f>IF(OR(E5383="",E5383="!!!"),"",IF(OR(J5383=0,AND(J5383=1,K5383=1),AND(J5383=1,I5383="SBJ"),AND(J5383=1,I5383=0)),"?IN_FOCUS",IF(J5383&lt;=2,"?ACTIVATED",IF(J5383&lt;&gt;"","?FAMILIAR",IF(F5383="NEW",IF(ISNA(VLOOKUP(E5383,#REF!,1,FALSE())),"?TYPE_IDENTIFIABLE","?REFERENTIAL"),"_")))))</f>
        <v> </v>
      </c>
      <c r="H5383" s="25" t="str">
        <f>IF(J5383&lt;&gt;1,"",IF(I5383="SBJ","CB","?"))</f>
        <v> </v>
      </c>
      <c r="I5383" s="26" t="str">
        <f>IF(OR(E5383="",E5383="!!!",F5383="NEW"),"",INDEX(B5382:B$2,-1+SUMPRODUCT(MAX(ROW(E5382:E$2)*(E5383=E5382:E$2)))))</f>
        <v> </v>
      </c>
      <c r="J5383" s="26" t="str">
        <f>IF(OR(E5383="",E5383="!!!",F5383="NEW"),"",COUNTBLANK(OFFSET(A$1,,,SUMPRODUCT(MAX(ROW(E$2:E5383)*(E5383=E$2:E5383)))))-COUNTBLANK(OFFSET(A$1,,,SUMPRODUCT(MAX(ROW(E$1:E5382)*(E2=E$1:E5382))))))</f>
        <v> </v>
      </c>
      <c r="K5383" s="26" t="str">
        <f>IF(OR(E5383="",E5383="!!!",F5383="NEW"),"",INDEX(J$1:J5382,SUMPRODUCT(MAX(ROW(E$1:E5382)*(E5383=E$1:E5382)))))</f>
        <v> </v>
      </c>
      <c r="L5383" s="27"/>
    </row>
    <row r="5384" spans="1:12">
      <c r="A5384" s="20" t="s">
        <v>93</v>
      </c>
      <c r="E5384" s="22">
        <f>IF(D5384="?OLD","!!!","")</f>
        <v/>
      </c>
      <c r="F5384" s="23" t="str">
        <f>IF(OR(E5384="",E5384="!!!"),"",IF(NOT(ISNA(VLOOKUP(E5384,E$1:E5383,1,FALSE()))),"OLD",IF(AND(E5384&lt;&gt;"",E5384&lt;&gt;"!!!"),"NEW","")))</f>
        <v> </v>
      </c>
      <c r="G5384" s="24" t="str">
        <f>IF(OR(E5384="",E5384="!!!"),"",IF(OR(J5384=0,AND(J5384=1,K5384=1),AND(J5384=1,I5384="SBJ"),AND(J5384=1,I5384=0)),"?IN_FOCUS",IF(J5384&lt;=2,"?ACTIVATED",IF(J5384&lt;&gt;"","?FAMILIAR",IF(F5384="NEW",IF(ISNA(VLOOKUP(E5384,#REF!,1,FALSE())),"?TYPE_IDENTIFIABLE","?REFERENTIAL"),"_")))))</f>
        <v> </v>
      </c>
      <c r="H5384" s="25" t="str">
        <f>IF(J5384&lt;&gt;1,"",IF(I5384="SBJ","CB","?"))</f>
        <v> </v>
      </c>
      <c r="I5384" s="26" t="str">
        <f>IF(OR(E5384="",E5384="!!!",F5384="NEW"),"",INDEX(B5383:B$2,-1+SUMPRODUCT(MAX(ROW(E5383:E$2)*(E5384=E5383:E$2)))))</f>
        <v> </v>
      </c>
      <c r="J5384" s="26" t="str">
        <f>IF(OR(E5384="",E5384="!!!",F5384="NEW"),"",COUNTBLANK(OFFSET(A$1,,,SUMPRODUCT(MAX(ROW(E$2:E5384)*(E5384=E$2:E5384)))))-COUNTBLANK(OFFSET(A$1,,,SUMPRODUCT(MAX(ROW(E$1:E5383)*(E2=E$1:E5383))))))</f>
        <v> </v>
      </c>
      <c r="K5384" s="26" t="str">
        <f>IF(OR(E5384="",E5384="!!!",F5384="NEW"),"",INDEX(J$1:J5383,SUMPRODUCT(MAX(ROW(E$1:E5383)*(E5384=E$1:E5383)))))</f>
        <v> </v>
      </c>
      <c r="L5384" s="27"/>
    </row>
    <row r="5385" spans="1:12">
      <c r="A5385" s="20" t="s">
        <v>1436</v>
      </c>
      <c r="E5385" s="22">
        <f>IF(D5385="?OLD","!!!","")</f>
        <v/>
      </c>
      <c r="F5385" s="23" t="str">
        <f>IF(OR(E5385="",E5385="!!!"),"",IF(NOT(ISNA(VLOOKUP(E5385,E$1:E5384,1,FALSE()))),"OLD",IF(AND(E5385&lt;&gt;"",E5385&lt;&gt;"!!!"),"NEW","")))</f>
        <v> </v>
      </c>
      <c r="G5385" s="24" t="str">
        <f>IF(OR(E5385="",E5385="!!!"),"",IF(OR(J5385=0,AND(J5385=1,K5385=1),AND(J5385=1,I5385="SBJ"),AND(J5385=1,I5385=0)),"?IN_FOCUS",IF(J5385&lt;=2,"?ACTIVATED",IF(J5385&lt;&gt;"","?FAMILIAR",IF(F5385="NEW",IF(ISNA(VLOOKUP(E5385,#REF!,1,FALSE())),"?TYPE_IDENTIFIABLE","?REFERENTIAL"),"_")))))</f>
        <v> </v>
      </c>
      <c r="H5385" s="25" t="str">
        <f>IF(J5385&lt;&gt;1,"",IF(I5385="SBJ","CB","?"))</f>
        <v> </v>
      </c>
      <c r="I5385" s="26" t="str">
        <f>IF(OR(E5385="",E5385="!!!",F5385="NEW"),"",INDEX(B5384:B$2,-1+SUMPRODUCT(MAX(ROW(E5384:E$2)*(E5385=E5384:E$2)))))</f>
        <v> </v>
      </c>
      <c r="J5385" s="26" t="str">
        <f>IF(OR(E5385="",E5385="!!!",F5385="NEW"),"",COUNTBLANK(OFFSET(A$1,,,SUMPRODUCT(MAX(ROW(E$2:E5385)*(E5385=E$2:E5385)))))-COUNTBLANK(OFFSET(A$1,,,SUMPRODUCT(MAX(ROW(E$1:E5384)*(E2=E$1:E5384))))))</f>
        <v> </v>
      </c>
      <c r="K5385" s="26" t="str">
        <f>IF(OR(E5385="",E5385="!!!",F5385="NEW"),"",INDEX(J$1:J5384,SUMPRODUCT(MAX(ROW(E$1:E5384)*(E5385=E$1:E5384)))))</f>
        <v> </v>
      </c>
      <c r="L5385" s="27"/>
    </row>
    <row r="5386" spans="1:12">
      <c r="A5386" s="20" t="s">
        <v>2468</v>
      </c>
      <c r="E5386" s="22">
        <f>IF(D5386="?OLD","!!!","")</f>
        <v/>
      </c>
      <c r="F5386" s="23" t="str">
        <f>IF(OR(E5386="",E5386="!!!"),"",IF(NOT(ISNA(VLOOKUP(E5386,E$1:E5385,1,FALSE()))),"OLD",IF(AND(E5386&lt;&gt;"",E5386&lt;&gt;"!!!"),"NEW","")))</f>
        <v> </v>
      </c>
      <c r="G5386" s="24" t="str">
        <f>IF(OR(E5386="",E5386="!!!"),"",IF(OR(J5386=0,AND(J5386=1,K5386=1),AND(J5386=1,I5386="SBJ"),AND(J5386=1,I5386=0)),"?IN_FOCUS",IF(J5386&lt;=2,"?ACTIVATED",IF(J5386&lt;&gt;"","?FAMILIAR",IF(F5386="NEW",IF(ISNA(VLOOKUP(E5386,#REF!,1,FALSE())),"?TYPE_IDENTIFIABLE","?REFERENTIAL"),"_")))))</f>
        <v> </v>
      </c>
      <c r="H5386" s="25" t="str">
        <f>IF(J5386&lt;&gt;1,"",IF(I5386="SBJ","CB","?"))</f>
        <v> </v>
      </c>
      <c r="I5386" s="26" t="str">
        <f>IF(OR(E5386="",E5386="!!!",F5386="NEW"),"",INDEX(B5385:B$2,-1+SUMPRODUCT(MAX(ROW(E5385:E$2)*(E5386=E5385:E$2)))))</f>
        <v> </v>
      </c>
      <c r="J5386" s="26" t="str">
        <f>IF(OR(E5386="",E5386="!!!",F5386="NEW"),"",COUNTBLANK(OFFSET(A$1,,,SUMPRODUCT(MAX(ROW(E$2:E5386)*(E5386=E$2:E5386)))))-COUNTBLANK(OFFSET(A$1,,,SUMPRODUCT(MAX(ROW(E$1:E5385)*(E2=E$1:E5385))))))</f>
        <v> </v>
      </c>
      <c r="K5386" s="26" t="str">
        <f>IF(OR(E5386="",E5386="!!!",F5386="NEW"),"",INDEX(J$1:J5385,SUMPRODUCT(MAX(ROW(E$1:E5385)*(E5386=E$1:E5385)))))</f>
        <v> </v>
      </c>
      <c r="L5386" s="27"/>
    </row>
    <row r="5387" spans="1:12">
      <c r="A5387" s="20" t="s">
        <v>1056</v>
      </c>
      <c r="E5387" s="22">
        <f>IF(D5387="?OLD","!!!","")</f>
        <v/>
      </c>
      <c r="F5387" s="23" t="str">
        <f>IF(OR(E5387="",E5387="!!!"),"",IF(NOT(ISNA(VLOOKUP(E5387,E$1:E5386,1,FALSE()))),"OLD",IF(AND(E5387&lt;&gt;"",E5387&lt;&gt;"!!!"),"NEW","")))</f>
        <v> </v>
      </c>
      <c r="G5387" s="24" t="str">
        <f>IF(OR(E5387="",E5387="!!!"),"",IF(OR(J5387=0,AND(J5387=1,K5387=1),AND(J5387=1,I5387="SBJ"),AND(J5387=1,I5387=0)),"?IN_FOCUS",IF(J5387&lt;=2,"?ACTIVATED",IF(J5387&lt;&gt;"","?FAMILIAR",IF(F5387="NEW",IF(ISNA(VLOOKUP(E5387,#REF!,1,FALSE())),"?TYPE_IDENTIFIABLE","?REFERENTIAL"),"_")))))</f>
        <v> </v>
      </c>
      <c r="H5387" s="25" t="str">
        <f>IF(J5387&lt;&gt;1,"",IF(I5387="SBJ","CB","?"))</f>
        <v> </v>
      </c>
      <c r="I5387" s="26" t="str">
        <f>IF(OR(E5387="",E5387="!!!",F5387="NEW"),"",INDEX(B5386:B$2,-1+SUMPRODUCT(MAX(ROW(E5386:E$2)*(E5387=E5386:E$2)))))</f>
        <v> </v>
      </c>
      <c r="J5387" s="26" t="str">
        <f>IF(OR(E5387="",E5387="!!!",F5387="NEW"),"",COUNTBLANK(OFFSET(A$1,,,SUMPRODUCT(MAX(ROW(E$2:E5387)*(E5387=E$2:E5387)))))-COUNTBLANK(OFFSET(A$1,,,SUMPRODUCT(MAX(ROW(E$1:E5386)*(E2=E$1:E5386))))))</f>
        <v> </v>
      </c>
      <c r="K5387" s="26" t="str">
        <f>IF(OR(E5387="",E5387="!!!",F5387="NEW"),"",INDEX(J$1:J5386,SUMPRODUCT(MAX(ROW(E$1:E5386)*(E5387=E$1:E5386)))))</f>
        <v> </v>
      </c>
      <c r="L5387" s="27"/>
    </row>
    <row r="5388" spans="1:12">
      <c r="A5388" s="20" t="s">
        <v>2469</v>
      </c>
      <c r="B5388" s="21" t="s">
        <v>1064</v>
      </c>
      <c r="C5388" s="21" t="s">
        <v>1013</v>
      </c>
      <c r="D5388" s="21" t="s">
        <v>1007</v>
      </c>
      <c r="E5388" s="22">
        <f>IF(D5388="?OLD","!!!","")</f>
        <v/>
      </c>
      <c r="F5388" s="23" t="str">
        <f>IF(OR(E5388="",E5388="!!!"),"",IF(NOT(ISNA(VLOOKUP(E5388,E$1:E5387,1,FALSE()))),"OLD",IF(AND(E5388&lt;&gt;"",E5388&lt;&gt;"!!!"),"NEW","")))</f>
        <v> </v>
      </c>
      <c r="G5388" s="24" t="str">
        <f>IF(OR(E5388="",E5388="!!!"),"",IF(OR(J5388=0,AND(J5388=1,K5388=1),AND(J5388=1,I5388="SBJ"),AND(J5388=1,I5388=0)),"?IN_FOCUS",IF(J5388&lt;=2,"?ACTIVATED",IF(J5388&lt;&gt;"","?FAMILIAR",IF(F5388="NEW",IF(ISNA(VLOOKUP(E5388,#REF!,1,FALSE())),"?TYPE_IDENTIFIABLE","?REFERENTIAL"),"_")))))</f>
        <v> </v>
      </c>
      <c r="H5388" s="25" t="str">
        <f>IF(J5388&lt;&gt;1,"",IF(I5388="SBJ","CB","?"))</f>
        <v> </v>
      </c>
      <c r="I5388" s="26" t="str">
        <f>IF(OR(E5388="",E5388="!!!",F5388="NEW"),"",INDEX(B5387:B$2,-1+SUMPRODUCT(MAX(ROW(E5387:E$2)*(E5388=E5387:E$2)))))</f>
        <v> </v>
      </c>
      <c r="J5388" s="26" t="str">
        <f>IF(OR(E5388="",E5388="!!!",F5388="NEW"),"",COUNTBLANK(OFFSET(A$1,,,SUMPRODUCT(MAX(ROW(E$2:E5388)*(E5388=E$2:E5388)))))-COUNTBLANK(OFFSET(A$1,,,SUMPRODUCT(MAX(ROW(E$1:E5387)*(E2=E$1:E5387))))))</f>
        <v> </v>
      </c>
      <c r="K5388" s="26" t="str">
        <f>IF(OR(E5388="",E5388="!!!",F5388="NEW"),"",INDEX(J$1:J5387,SUMPRODUCT(MAX(ROW(E$1:E5387)*(E5388=E$1:E5387)))))</f>
        <v> </v>
      </c>
      <c r="L5388" s="27"/>
    </row>
    <row r="5389" spans="1:12">
      <c r="A5389" s="20" t="s">
        <v>1097</v>
      </c>
      <c r="E5389" s="22">
        <f>IF(D5389="?OLD","!!!","")</f>
        <v/>
      </c>
      <c r="F5389" s="23" t="str">
        <f>IF(OR(E5389="",E5389="!!!"),"",IF(NOT(ISNA(VLOOKUP(E5389,E$1:E5388,1,FALSE()))),"OLD",IF(AND(E5389&lt;&gt;"",E5389&lt;&gt;"!!!"),"NEW","")))</f>
        <v> </v>
      </c>
      <c r="G5389" s="24" t="str">
        <f>IF(OR(E5389="",E5389="!!!"),"",IF(OR(J5389=0,AND(J5389=1,K5389=1),AND(J5389=1,I5389="SBJ"),AND(J5389=1,I5389=0)),"?IN_FOCUS",IF(J5389&lt;=2,"?ACTIVATED",IF(J5389&lt;&gt;"","?FAMILIAR",IF(F5389="NEW",IF(ISNA(VLOOKUP(E5389,#REF!,1,FALSE())),"?TYPE_IDENTIFIABLE","?REFERENTIAL"),"_")))))</f>
        <v> </v>
      </c>
      <c r="H5389" s="25" t="str">
        <f>IF(J5389&lt;&gt;1,"",IF(I5389="SBJ","CB","?"))</f>
        <v> </v>
      </c>
      <c r="I5389" s="26" t="str">
        <f>IF(OR(E5389="",E5389="!!!",F5389="NEW"),"",INDEX(B5388:B$2,-1+SUMPRODUCT(MAX(ROW(E5388:E$2)*(E5389=E5388:E$2)))))</f>
        <v> </v>
      </c>
      <c r="J5389" s="26" t="str">
        <f>IF(OR(E5389="",E5389="!!!",F5389="NEW"),"",COUNTBLANK(OFFSET(A$1,,,SUMPRODUCT(MAX(ROW(E$2:E5389)*(E5389=E$2:E5389)))))-COUNTBLANK(OFFSET(A$1,,,SUMPRODUCT(MAX(ROW(E$1:E5388)*(E2=E$1:E5388))))))</f>
        <v> </v>
      </c>
      <c r="K5389" s="26" t="str">
        <f>IF(OR(E5389="",E5389="!!!",F5389="NEW"),"",INDEX(J$1:J5388,SUMPRODUCT(MAX(ROW(E$1:E5388)*(E5389=E$1:E5388)))))</f>
        <v> </v>
      </c>
      <c r="L5389" s="27"/>
    </row>
    <row r="5390" spans="1:12">
      <c r="A5390" s="20" t="s">
        <v>788</v>
      </c>
      <c r="B5390" s="21" t="s">
        <v>1130</v>
      </c>
      <c r="C5390" s="21" t="s">
        <v>1006</v>
      </c>
      <c r="D5390" s="21" t="s">
        <v>1007</v>
      </c>
      <c r="E5390" s="22">
        <f>IF(D5390="?OLD","!!!","")</f>
        <v/>
      </c>
      <c r="F5390" s="23" t="str">
        <f>IF(OR(E5390="",E5390="!!!"),"",IF(NOT(ISNA(VLOOKUP(E5390,E$1:E5389,1,FALSE()))),"OLD",IF(AND(E5390&lt;&gt;"",E5390&lt;&gt;"!!!"),"NEW","")))</f>
        <v> </v>
      </c>
      <c r="G5390" s="24" t="str">
        <f>IF(OR(E5390="",E5390="!!!"),"",IF(OR(J5390=0,AND(J5390=1,K5390=1),AND(J5390=1,I5390="SBJ"),AND(J5390=1,I5390=0)),"?IN_FOCUS",IF(J5390&lt;=2,"?ACTIVATED",IF(J5390&lt;&gt;"","?FAMILIAR",IF(F5390="NEW",IF(ISNA(VLOOKUP(E5390,#REF!,1,FALSE())),"?TYPE_IDENTIFIABLE","?REFERENTIAL"),"_")))))</f>
        <v> </v>
      </c>
      <c r="H5390" s="25" t="str">
        <f>IF(J5390&lt;&gt;1,"",IF(I5390="SBJ","CB","?"))</f>
        <v> </v>
      </c>
      <c r="I5390" s="26" t="str">
        <f>IF(OR(E5390="",E5390="!!!",F5390="NEW"),"",INDEX(B5389:B$2,-1+SUMPRODUCT(MAX(ROW(E5389:E$2)*(E5390=E5389:E$2)))))</f>
        <v> </v>
      </c>
      <c r="J5390" s="26" t="str">
        <f>IF(OR(E5390="",E5390="!!!",F5390="NEW"),"",COUNTBLANK(OFFSET(A$1,,,SUMPRODUCT(MAX(ROW(E$2:E5390)*(E5390=E$2:E5390)))))-COUNTBLANK(OFFSET(A$1,,,SUMPRODUCT(MAX(ROW(E$1:E5389)*(E2=E$1:E5389))))))</f>
        <v> </v>
      </c>
      <c r="K5390" s="26" t="str">
        <f>IF(OR(E5390="",E5390="!!!",F5390="NEW"),"",INDEX(J$1:J5389,SUMPRODUCT(MAX(ROW(E$1:E5389)*(E5390=E$1:E5389)))))</f>
        <v> </v>
      </c>
      <c r="L5390" s="27"/>
    </row>
    <row r="5391" spans="1:12">
      <c r="A5391" s="20" t="s">
        <v>1077</v>
      </c>
      <c r="E5391" s="22">
        <f>IF(D5391="?OLD","!!!","")</f>
        <v/>
      </c>
      <c r="F5391" s="23" t="str">
        <f>IF(OR(E5391="",E5391="!!!"),"",IF(NOT(ISNA(VLOOKUP(E5391,E$1:E5390,1,FALSE()))),"OLD",IF(AND(E5391&lt;&gt;"",E5391&lt;&gt;"!!!"),"NEW","")))</f>
        <v> </v>
      </c>
      <c r="G5391" s="24" t="str">
        <f>IF(OR(E5391="",E5391="!!!"),"",IF(OR(J5391=0,AND(J5391=1,K5391=1),AND(J5391=1,I5391="SBJ"),AND(J5391=1,I5391=0)),"?IN_FOCUS",IF(J5391&lt;=2,"?ACTIVATED",IF(J5391&lt;&gt;"","?FAMILIAR",IF(F5391="NEW",IF(ISNA(VLOOKUP(E5391,#REF!,1,FALSE())),"?TYPE_IDENTIFIABLE","?REFERENTIAL"),"_")))))</f>
        <v> </v>
      </c>
      <c r="H5391" s="25" t="str">
        <f>IF(J5391&lt;&gt;1,"",IF(I5391="SBJ","CB","?"))</f>
        <v> </v>
      </c>
      <c r="I5391" s="26" t="str">
        <f>IF(OR(E5391="",E5391="!!!",F5391="NEW"),"",INDEX(B5390:B$2,-1+SUMPRODUCT(MAX(ROW(E5390:E$2)*(E5391=E5390:E$2)))))</f>
        <v> </v>
      </c>
      <c r="J5391" s="26" t="str">
        <f>IF(OR(E5391="",E5391="!!!",F5391="NEW"),"",COUNTBLANK(OFFSET(A$1,,,SUMPRODUCT(MAX(ROW(E$2:E5391)*(E5391=E$2:E5391)))))-COUNTBLANK(OFFSET(A$1,,,SUMPRODUCT(MAX(ROW(E$1:E5390)*(E2=E$1:E5390))))))</f>
        <v> </v>
      </c>
      <c r="K5391" s="26" t="str">
        <f>IF(OR(E5391="",E5391="!!!",F5391="NEW"),"",INDEX(J$1:J5390,SUMPRODUCT(MAX(ROW(E$1:E5390)*(E5391=E$1:E5390)))))</f>
        <v> </v>
      </c>
      <c r="L5391" s="27"/>
    </row>
    <row r="5392" spans="1:12">
      <c r="A5392" s="20"/>
    </row>
    <row r="5393" spans="1:12">
      <c r="A5393" s="20" t="s">
        <v>2470</v>
      </c>
    </row>
    <row r="5394" spans="1:12">
      <c r="A5394" s="20" t="s">
        <v>788</v>
      </c>
      <c r="E5394" s="22">
        <f>IF(D5394="?OLD","!!!","")</f>
        <v/>
      </c>
      <c r="F5394" s="23" t="str">
        <f>IF(OR(E5394="",E5394="!!!"),"",IF(NOT(ISNA(VLOOKUP(E5394,E$1:E5393,1,FALSE()))),"OLD",IF(AND(E5394&lt;&gt;"",E5394&lt;&gt;"!!!"),"NEW","")))</f>
        <v> </v>
      </c>
      <c r="G5394" s="24" t="str">
        <f>IF(OR(E5394="",E5394="!!!"),"",IF(OR(J5394=0,AND(J5394=1,K5394=1),AND(J5394=1,I5394="SBJ"),AND(J5394=1,I5394=0)),"?IN_FOCUS",IF(J5394&lt;=2,"?ACTIVATED",IF(J5394&lt;&gt;"","?FAMILIAR",IF(F5394="NEW",IF(ISNA(VLOOKUP(E5394,#REF!,1,FALSE())),"?TYPE_IDENTIFIABLE","?REFERENTIAL"),"_")))))</f>
        <v> </v>
      </c>
      <c r="H5394" s="25" t="str">
        <f>IF(J5394&lt;&gt;1,"",IF(I5394="SBJ","CB","?"))</f>
        <v> </v>
      </c>
      <c r="I5394" s="26" t="str">
        <f>IF(OR(E5394="",E5394="!!!",F5394="NEW"),"",INDEX(B5393:B$2,-1+SUMPRODUCT(MAX(ROW(E5393:E$2)*(E5394=E5393:E$2)))))</f>
        <v> </v>
      </c>
      <c r="J5394" s="26" t="str">
        <f>IF(OR(E5394="",E5394="!!!",F5394="NEW"),"",COUNTBLANK(OFFSET(A$1,,,SUMPRODUCT(MAX(ROW(E$2:E5394)*(E5394=E$2:E5394)))))-COUNTBLANK(OFFSET(A$1,,,SUMPRODUCT(MAX(ROW(E$1:E5393)*(E2=E$1:E5393))))))</f>
        <v> </v>
      </c>
      <c r="K5394" s="26" t="str">
        <f>IF(OR(E5394="",E5394="!!!",F5394="NEW"),"",INDEX(J$1:J5393,SUMPRODUCT(MAX(ROW(E$1:E5393)*(E5394=E$1:E5393)))))</f>
        <v> </v>
      </c>
      <c r="L5394" s="27"/>
    </row>
    <row r="5395" spans="1:12">
      <c r="A5395" s="20" t="s">
        <v>1018</v>
      </c>
      <c r="E5395" s="22">
        <f>IF(D5395="?OLD","!!!","")</f>
        <v/>
      </c>
      <c r="F5395" s="23" t="str">
        <f>IF(OR(E5395="",E5395="!!!"),"",IF(NOT(ISNA(VLOOKUP(E5395,E$1:E5394,1,FALSE()))),"OLD",IF(AND(E5395&lt;&gt;"",E5395&lt;&gt;"!!!"),"NEW","")))</f>
        <v> </v>
      </c>
      <c r="G5395" s="24" t="str">
        <f>IF(OR(E5395="",E5395="!!!"),"",IF(OR(J5395=0,AND(J5395=1,K5395=1),AND(J5395=1,I5395="SBJ"),AND(J5395=1,I5395=0)),"?IN_FOCUS",IF(J5395&lt;=2,"?ACTIVATED",IF(J5395&lt;&gt;"","?FAMILIAR",IF(F5395="NEW",IF(ISNA(VLOOKUP(E5395,#REF!,1,FALSE())),"?TYPE_IDENTIFIABLE","?REFERENTIAL"),"_")))))</f>
        <v> </v>
      </c>
      <c r="H5395" s="25" t="str">
        <f>IF(J5395&lt;&gt;1,"",IF(I5395="SBJ","CB","?"))</f>
        <v> </v>
      </c>
      <c r="I5395" s="26" t="str">
        <f>IF(OR(E5395="",E5395="!!!",F5395="NEW"),"",INDEX(B5394:B$2,-1+SUMPRODUCT(MAX(ROW(E5394:E$2)*(E5395=E5394:E$2)))))</f>
        <v> </v>
      </c>
      <c r="J5395" s="26" t="str">
        <f>IF(OR(E5395="",E5395="!!!",F5395="NEW"),"",COUNTBLANK(OFFSET(A$1,,,SUMPRODUCT(MAX(ROW(E$2:E5395)*(E5395=E$2:E5395)))))-COUNTBLANK(OFFSET(A$1,,,SUMPRODUCT(MAX(ROW(E$1:E5394)*(E2=E$1:E5394))))))</f>
        <v> </v>
      </c>
      <c r="K5395" s="26" t="str">
        <f>IF(OR(E5395="",E5395="!!!",F5395="NEW"),"",INDEX(J$1:J5394,SUMPRODUCT(MAX(ROW(E$1:E5394)*(E5395=E$1:E5394)))))</f>
        <v> </v>
      </c>
      <c r="L5395" s="27"/>
    </row>
    <row r="5396" spans="1:12">
      <c r="A5396" s="20" t="s">
        <v>774</v>
      </c>
      <c r="B5396" s="21" t="s">
        <v>1005</v>
      </c>
      <c r="C5396" s="21" t="s">
        <v>1013</v>
      </c>
      <c r="D5396" s="21" t="s">
        <v>1007</v>
      </c>
      <c r="E5396" s="22">
        <f>IF(D5396="?OLD","!!!","")</f>
        <v/>
      </c>
      <c r="F5396" s="23" t="str">
        <f>IF(OR(E5396="",E5396="!!!"),"",IF(NOT(ISNA(VLOOKUP(E5396,E$1:E5395,1,FALSE()))),"OLD",IF(AND(E5396&lt;&gt;"",E5396&lt;&gt;"!!!"),"NEW","")))</f>
        <v> </v>
      </c>
      <c r="G5396" s="24" t="str">
        <f>IF(OR(E5396="",E5396="!!!"),"",IF(OR(J5396=0,AND(J5396=1,K5396=1),AND(J5396=1,I5396="SBJ"),AND(J5396=1,I5396=0)),"?IN_FOCUS",IF(J5396&lt;=2,"?ACTIVATED",IF(J5396&lt;&gt;"","?FAMILIAR",IF(F5396="NEW",IF(ISNA(VLOOKUP(E5396,#REF!,1,FALSE())),"?TYPE_IDENTIFIABLE","?REFERENTIAL"),"_")))))</f>
        <v> </v>
      </c>
      <c r="H5396" s="25" t="str">
        <f>IF(J5396&lt;&gt;1,"",IF(I5396="SBJ","CB","?"))</f>
        <v> </v>
      </c>
      <c r="I5396" s="26" t="str">
        <f>IF(OR(E5396="",E5396="!!!",F5396="NEW"),"",INDEX(B5395:B$2,-1+SUMPRODUCT(MAX(ROW(E5395:E$2)*(E5396=E5395:E$2)))))</f>
        <v> </v>
      </c>
      <c r="J5396" s="26" t="str">
        <f>IF(OR(E5396="",E5396="!!!",F5396="NEW"),"",COUNTBLANK(OFFSET(A$1,,,SUMPRODUCT(MAX(ROW(E$2:E5396)*(E5396=E$2:E5396)))))-COUNTBLANK(OFFSET(A$1,,,SUMPRODUCT(MAX(ROW(E$1:E5395)*(E2=E$1:E5395))))))</f>
        <v> </v>
      </c>
      <c r="K5396" s="26" t="str">
        <f>IF(OR(E5396="",E5396="!!!",F5396="NEW"),"",INDEX(J$1:J5395,SUMPRODUCT(MAX(ROW(E$1:E5395)*(E5396=E$1:E5395)))))</f>
        <v> </v>
      </c>
      <c r="L5396" s="27"/>
    </row>
    <row r="5397" spans="1:12">
      <c r="A5397" s="20" t="s">
        <v>1030</v>
      </c>
      <c r="E5397" s="22">
        <f>IF(D5397="?OLD","!!!","")</f>
        <v/>
      </c>
      <c r="F5397" s="23" t="str">
        <f>IF(OR(E5397="",E5397="!!!"),"",IF(NOT(ISNA(VLOOKUP(E5397,E$1:E5396,1,FALSE()))),"OLD",IF(AND(E5397&lt;&gt;"",E5397&lt;&gt;"!!!"),"NEW","")))</f>
        <v> </v>
      </c>
      <c r="G5397" s="24" t="str">
        <f>IF(OR(E5397="",E5397="!!!"),"",IF(OR(J5397=0,AND(J5397=1,K5397=1),AND(J5397=1,I5397="SBJ"),AND(J5397=1,I5397=0)),"?IN_FOCUS",IF(J5397&lt;=2,"?ACTIVATED",IF(J5397&lt;&gt;"","?FAMILIAR",IF(F5397="NEW",IF(ISNA(VLOOKUP(E5397,#REF!,1,FALSE())),"?TYPE_IDENTIFIABLE","?REFERENTIAL"),"_")))))</f>
        <v> </v>
      </c>
      <c r="H5397" s="25" t="str">
        <f>IF(J5397&lt;&gt;1,"",IF(I5397="SBJ","CB","?"))</f>
        <v> </v>
      </c>
      <c r="I5397" s="26" t="str">
        <f>IF(OR(E5397="",E5397="!!!",F5397="NEW"),"",INDEX(B5396:B$2,-1+SUMPRODUCT(MAX(ROW(E5396:E$2)*(E5397=E5396:E$2)))))</f>
        <v> </v>
      </c>
      <c r="J5397" s="26" t="str">
        <f>IF(OR(E5397="",E5397="!!!",F5397="NEW"),"",COUNTBLANK(OFFSET(A$1,,,SUMPRODUCT(MAX(ROW(E$2:E5397)*(E5397=E$2:E5397)))))-COUNTBLANK(OFFSET(A$1,,,SUMPRODUCT(MAX(ROW(E$1:E5396)*(E2=E$1:E5396))))))</f>
        <v> </v>
      </c>
      <c r="K5397" s="26" t="str">
        <f>IF(OR(E5397="",E5397="!!!",F5397="NEW"),"",INDEX(J$1:J5396,SUMPRODUCT(MAX(ROW(E$1:E5396)*(E5397=E$1:E5396)))))</f>
        <v> </v>
      </c>
      <c r="L5397" s="27"/>
    </row>
    <row r="5398" spans="1:12">
      <c r="A5398" s="20" t="s">
        <v>1068</v>
      </c>
      <c r="B5398" s="21" t="s">
        <v>1005</v>
      </c>
      <c r="C5398" s="21" t="s">
        <v>1013</v>
      </c>
      <c r="D5398" s="21" t="s">
        <v>1007</v>
      </c>
      <c r="E5398" s="22">
        <f>IF(D5398="?OLD","!!!","")</f>
        <v/>
      </c>
      <c r="F5398" s="23" t="str">
        <f>IF(OR(E5398="",E5398="!!!"),"",IF(NOT(ISNA(VLOOKUP(E5398,E$1:E5397,1,FALSE()))),"OLD",IF(AND(E5398&lt;&gt;"",E5398&lt;&gt;"!!!"),"NEW","")))</f>
        <v> </v>
      </c>
      <c r="G5398" s="24" t="str">
        <f>IF(OR(E5398="",E5398="!!!"),"",IF(OR(J5398=0,AND(J5398=1,K5398=1),AND(J5398=1,I5398="SBJ"),AND(J5398=1,I5398=0)),"?IN_FOCUS",IF(J5398&lt;=2,"?ACTIVATED",IF(J5398&lt;&gt;"","?FAMILIAR",IF(F5398="NEW",IF(ISNA(VLOOKUP(E5398,#REF!,1,FALSE())),"?TYPE_IDENTIFIABLE","?REFERENTIAL"),"_")))))</f>
        <v> </v>
      </c>
      <c r="H5398" s="25" t="str">
        <f>IF(J5398&lt;&gt;1,"",IF(I5398="SBJ","CB","?"))</f>
        <v> </v>
      </c>
      <c r="I5398" s="26" t="str">
        <f>IF(OR(E5398="",E5398="!!!",F5398="NEW"),"",INDEX(B5397:B$2,-1+SUMPRODUCT(MAX(ROW(E5397:E$2)*(E5398=E5397:E$2)))))</f>
        <v> </v>
      </c>
      <c r="J5398" s="26" t="str">
        <f>IF(OR(E5398="",E5398="!!!",F5398="NEW"),"",COUNTBLANK(OFFSET(A$1,,,SUMPRODUCT(MAX(ROW(E$2:E5398)*(E5398=E$2:E5398)))))-COUNTBLANK(OFFSET(A$1,,,SUMPRODUCT(MAX(ROW(E$1:E5397)*(E2=E$1:E5397))))))</f>
        <v> </v>
      </c>
      <c r="K5398" s="26" t="str">
        <f>IF(OR(E5398="",E5398="!!!",F5398="NEW"),"",INDEX(J$1:J5397,SUMPRODUCT(MAX(ROW(E$1:E5397)*(E5398=E$1:E5397)))))</f>
        <v> </v>
      </c>
      <c r="L5398" s="27"/>
    </row>
    <row r="5399" spans="1:12">
      <c r="A5399" s="20" t="s">
        <v>2318</v>
      </c>
      <c r="B5399" s="21" t="s">
        <v>1022</v>
      </c>
      <c r="C5399" s="21" t="s">
        <v>1082</v>
      </c>
      <c r="D5399" s="21" t="s">
        <v>1007</v>
      </c>
      <c r="E5399" s="22">
        <f>IF(D5399="?OLD","!!!","")</f>
        <v/>
      </c>
      <c r="F5399" s="23" t="str">
        <f>IF(OR(E5399="",E5399="!!!"),"",IF(NOT(ISNA(VLOOKUP(E5399,E$1:E5398,1,FALSE()))),"OLD",IF(AND(E5399&lt;&gt;"",E5399&lt;&gt;"!!!"),"NEW","")))</f>
        <v> </v>
      </c>
      <c r="G5399" s="24" t="str">
        <f>IF(OR(E5399="",E5399="!!!"),"",IF(OR(J5399=0,AND(J5399=1,K5399=1),AND(J5399=1,I5399="SBJ"),AND(J5399=1,I5399=0)),"?IN_FOCUS",IF(J5399&lt;=2,"?ACTIVATED",IF(J5399&lt;&gt;"","?FAMILIAR",IF(F5399="NEW",IF(ISNA(VLOOKUP(E5399,#REF!,1,FALSE())),"?TYPE_IDENTIFIABLE","?REFERENTIAL"),"_")))))</f>
        <v> </v>
      </c>
      <c r="H5399" s="25" t="str">
        <f>IF(J5399&lt;&gt;1,"",IF(I5399="SBJ","CB","?"))</f>
        <v> </v>
      </c>
      <c r="I5399" s="26" t="str">
        <f>IF(OR(E5399="",E5399="!!!",F5399="NEW"),"",INDEX(B5398:B$2,-1+SUMPRODUCT(MAX(ROW(E5398:E$2)*(E5399=E5398:E$2)))))</f>
        <v> </v>
      </c>
      <c r="J5399" s="26" t="str">
        <f>IF(OR(E5399="",E5399="!!!",F5399="NEW"),"",COUNTBLANK(OFFSET(A$1,,,SUMPRODUCT(MAX(ROW(E$2:E5399)*(E5399=E$2:E5399)))))-COUNTBLANK(OFFSET(A$1,,,SUMPRODUCT(MAX(ROW(E$1:E5398)*(E2=E$1:E5398))))))</f>
        <v> </v>
      </c>
      <c r="K5399" s="26" t="str">
        <f>IF(OR(E5399="",E5399="!!!",F5399="NEW"),"",INDEX(J$1:J5398,SUMPRODUCT(MAX(ROW(E$1:E5398)*(E5399=E$1:E5398)))))</f>
        <v> </v>
      </c>
      <c r="L5399" s="27"/>
    </row>
    <row r="5400" spans="1:12">
      <c r="A5400" s="20" t="s">
        <v>1023</v>
      </c>
      <c r="E5400" s="22">
        <f>IF(D5400="?OLD","!!!","")</f>
        <v/>
      </c>
      <c r="F5400" s="23" t="str">
        <f>IF(OR(E5400="",E5400="!!!"),"",IF(NOT(ISNA(VLOOKUP(E5400,E$1:E5399,1,FALSE()))),"OLD",IF(AND(E5400&lt;&gt;"",E5400&lt;&gt;"!!!"),"NEW","")))</f>
        <v> </v>
      </c>
      <c r="G5400" s="24" t="str">
        <f>IF(OR(E5400="",E5400="!!!"),"",IF(OR(J5400=0,AND(J5400=1,K5400=1),AND(J5400=1,I5400="SBJ"),AND(J5400=1,I5400=0)),"?IN_FOCUS",IF(J5400&lt;=2,"?ACTIVATED",IF(J5400&lt;&gt;"","?FAMILIAR",IF(F5400="NEW",IF(ISNA(VLOOKUP(E5400,#REF!,1,FALSE())),"?TYPE_IDENTIFIABLE","?REFERENTIAL"),"_")))))</f>
        <v> </v>
      </c>
      <c r="H5400" s="25" t="str">
        <f>IF(J5400&lt;&gt;1,"",IF(I5400="SBJ","CB","?"))</f>
        <v> </v>
      </c>
      <c r="I5400" s="26" t="str">
        <f>IF(OR(E5400="",E5400="!!!",F5400="NEW"),"",INDEX(B5399:B$2,-1+SUMPRODUCT(MAX(ROW(E5399:E$2)*(E5400=E5399:E$2)))))</f>
        <v> </v>
      </c>
      <c r="J5400" s="26" t="str">
        <f>IF(OR(E5400="",E5400="!!!",F5400="NEW"),"",COUNTBLANK(OFFSET(A$1,,,SUMPRODUCT(MAX(ROW(E$2:E5400)*(E5400=E$2:E5400)))))-COUNTBLANK(OFFSET(A$1,,,SUMPRODUCT(MAX(ROW(E$1:E5399)*(E2=E$1:E5399))))))</f>
        <v> </v>
      </c>
      <c r="K5400" s="26" t="str">
        <f>IF(OR(E5400="",E5400="!!!",F5400="NEW"),"",INDEX(J$1:J5399,SUMPRODUCT(MAX(ROW(E$1:E5399)*(E5400=E$1:E5399)))))</f>
        <v> </v>
      </c>
      <c r="L5400" s="27"/>
    </row>
    <row r="5401" spans="1:12">
      <c r="A5401" s="20"/>
    </row>
    <row r="5402" spans="1:12">
      <c r="A5402" s="20" t="s">
        <v>2471</v>
      </c>
    </row>
    <row r="5403" spans="1:12">
      <c r="A5403" s="20" t="s">
        <v>2056</v>
      </c>
      <c r="E5403" s="22">
        <f>IF(D5403="?OLD","!!!","")</f>
        <v/>
      </c>
      <c r="F5403" s="23" t="str">
        <f>IF(OR(E5403="",E5403="!!!"),"",IF(NOT(ISNA(VLOOKUP(E5403,E$1:E5402,1,FALSE()))),"OLD",IF(AND(E5403&lt;&gt;"",E5403&lt;&gt;"!!!"),"NEW","")))</f>
        <v> </v>
      </c>
      <c r="G5403" s="24" t="str">
        <f>IF(OR(E5403="",E5403="!!!"),"",IF(OR(J5403=0,AND(J5403=1,K5403=1),AND(J5403=1,I5403="SBJ"),AND(J5403=1,I5403=0)),"?IN_FOCUS",IF(J5403&lt;=2,"?ACTIVATED",IF(J5403&lt;&gt;"","?FAMILIAR",IF(F5403="NEW",IF(ISNA(VLOOKUP(E5403,#REF!,1,FALSE())),"?TYPE_IDENTIFIABLE","?REFERENTIAL"),"_")))))</f>
        <v> </v>
      </c>
      <c r="H5403" s="25" t="str">
        <f>IF(J5403&lt;&gt;1,"",IF(I5403="SBJ","CB","?"))</f>
        <v> </v>
      </c>
      <c r="I5403" s="26" t="str">
        <f>IF(OR(E5403="",E5403="!!!",F5403="NEW"),"",INDEX(B5402:B$2,-1+SUMPRODUCT(MAX(ROW(E5402:E$2)*(E5403=E5402:E$2)))))</f>
        <v> </v>
      </c>
      <c r="J5403" s="26" t="str">
        <f>IF(OR(E5403="",E5403="!!!",F5403="NEW"),"",COUNTBLANK(OFFSET(A$1,,,SUMPRODUCT(MAX(ROW(E$2:E5403)*(E5403=E$2:E5403)))))-COUNTBLANK(OFFSET(A$1,,,SUMPRODUCT(MAX(ROW(E$1:E5402)*(E2=E$1:E5402))))))</f>
        <v> </v>
      </c>
      <c r="K5403" s="26" t="str">
        <f>IF(OR(E5403="",E5403="!!!",F5403="NEW"),"",INDEX(J$1:J5402,SUMPRODUCT(MAX(ROW(E$1:E5402)*(E5403=E$1:E5402)))))</f>
        <v> </v>
      </c>
      <c r="L5403" s="27"/>
    </row>
    <row r="5404" spans="1:12">
      <c r="A5404" s="20" t="s">
        <v>2057</v>
      </c>
      <c r="E5404" s="22">
        <f>IF(D5404="?OLD","!!!","")</f>
        <v/>
      </c>
      <c r="F5404" s="23" t="str">
        <f>IF(OR(E5404="",E5404="!!!"),"",IF(NOT(ISNA(VLOOKUP(E5404,E$1:E5403,1,FALSE()))),"OLD",IF(AND(E5404&lt;&gt;"",E5404&lt;&gt;"!!!"),"NEW","")))</f>
        <v> </v>
      </c>
      <c r="G5404" s="24" t="str">
        <f>IF(OR(E5404="",E5404="!!!"),"",IF(OR(J5404=0,AND(J5404=1,K5404=1),AND(J5404=1,I5404="SBJ"),AND(J5404=1,I5404=0)),"?IN_FOCUS",IF(J5404&lt;=2,"?ACTIVATED",IF(J5404&lt;&gt;"","?FAMILIAR",IF(F5404="NEW",IF(ISNA(VLOOKUP(E5404,#REF!,1,FALSE())),"?TYPE_IDENTIFIABLE","?REFERENTIAL"),"_")))))</f>
        <v> </v>
      </c>
      <c r="H5404" s="25" t="str">
        <f>IF(J5404&lt;&gt;1,"",IF(I5404="SBJ","CB","?"))</f>
        <v> </v>
      </c>
      <c r="I5404" s="26" t="str">
        <f>IF(OR(E5404="",E5404="!!!",F5404="NEW"),"",INDEX(B5403:B$2,-1+SUMPRODUCT(MAX(ROW(E5403:E$2)*(E5404=E5403:E$2)))))</f>
        <v> </v>
      </c>
      <c r="J5404" s="26" t="str">
        <f>IF(OR(E5404="",E5404="!!!",F5404="NEW"),"",COUNTBLANK(OFFSET(A$1,,,SUMPRODUCT(MAX(ROW(E$2:E5404)*(E5404=E$2:E5404)))))-COUNTBLANK(OFFSET(A$1,,,SUMPRODUCT(MAX(ROW(E$1:E5403)*(E2=E$1:E5403))))))</f>
        <v> </v>
      </c>
      <c r="K5404" s="26" t="str">
        <f>IF(OR(E5404="",E5404="!!!",F5404="NEW"),"",INDEX(J$1:J5403,SUMPRODUCT(MAX(ROW(E$1:E5403)*(E5404=E$1:E5403)))))</f>
        <v> </v>
      </c>
      <c r="L5404" s="27"/>
    </row>
    <row r="5405" spans="1:12">
      <c r="A5405" s="20" t="s">
        <v>2472</v>
      </c>
      <c r="E5405" s="22">
        <f>IF(D5405="?OLD","!!!","")</f>
        <v/>
      </c>
      <c r="F5405" s="23" t="str">
        <f>IF(OR(E5405="",E5405="!!!"),"",IF(NOT(ISNA(VLOOKUP(E5405,E$1:E5404,1,FALSE()))),"OLD",IF(AND(E5405&lt;&gt;"",E5405&lt;&gt;"!!!"),"NEW","")))</f>
        <v> </v>
      </c>
      <c r="G5405" s="24" t="str">
        <f>IF(OR(E5405="",E5405="!!!"),"",IF(OR(J5405=0,AND(J5405=1,K5405=1),AND(J5405=1,I5405="SBJ"),AND(J5405=1,I5405=0)),"?IN_FOCUS",IF(J5405&lt;=2,"?ACTIVATED",IF(J5405&lt;&gt;"","?FAMILIAR",IF(F5405="NEW",IF(ISNA(VLOOKUP(E5405,#REF!,1,FALSE())),"?TYPE_IDENTIFIABLE","?REFERENTIAL"),"_")))))</f>
        <v> </v>
      </c>
      <c r="H5405" s="25" t="str">
        <f>IF(J5405&lt;&gt;1,"",IF(I5405="SBJ","CB","?"))</f>
        <v> </v>
      </c>
      <c r="I5405" s="26" t="str">
        <f>IF(OR(E5405="",E5405="!!!",F5405="NEW"),"",INDEX(B5404:B$2,-1+SUMPRODUCT(MAX(ROW(E5404:E$2)*(E5405=E5404:E$2)))))</f>
        <v> </v>
      </c>
      <c r="J5405" s="26" t="str">
        <f>IF(OR(E5405="",E5405="!!!",F5405="NEW"),"",COUNTBLANK(OFFSET(A$1,,,SUMPRODUCT(MAX(ROW(E$2:E5405)*(E5405=E$2:E5405)))))-COUNTBLANK(OFFSET(A$1,,,SUMPRODUCT(MAX(ROW(E$1:E5404)*(E2=E$1:E5404))))))</f>
        <v> </v>
      </c>
      <c r="K5405" s="26" t="str">
        <f>IF(OR(E5405="",E5405="!!!",F5405="NEW"),"",INDEX(J$1:J5404,SUMPRODUCT(MAX(ROW(E$1:E5404)*(E5405=E$1:E5404)))))</f>
        <v> </v>
      </c>
      <c r="L5405" s="27"/>
    </row>
    <row r="5406" spans="1:12">
      <c r="A5406" s="20" t="s">
        <v>1023</v>
      </c>
      <c r="E5406" s="22">
        <f>IF(D5406="?OLD","!!!","")</f>
        <v/>
      </c>
      <c r="F5406" s="23" t="str">
        <f>IF(OR(E5406="",E5406="!!!"),"",IF(NOT(ISNA(VLOOKUP(E5406,E$1:E5405,1,FALSE()))),"OLD",IF(AND(E5406&lt;&gt;"",E5406&lt;&gt;"!!!"),"NEW","")))</f>
        <v> </v>
      </c>
      <c r="G5406" s="24" t="str">
        <f>IF(OR(E5406="",E5406="!!!"),"",IF(OR(J5406=0,AND(J5406=1,K5406=1),AND(J5406=1,I5406="SBJ"),AND(J5406=1,I5406=0)),"?IN_FOCUS",IF(J5406&lt;=2,"?ACTIVATED",IF(J5406&lt;&gt;"","?FAMILIAR",IF(F5406="NEW",IF(ISNA(VLOOKUP(E5406,#REF!,1,FALSE())),"?TYPE_IDENTIFIABLE","?REFERENTIAL"),"_")))))</f>
        <v> </v>
      </c>
      <c r="H5406" s="25" t="str">
        <f>IF(J5406&lt;&gt;1,"",IF(I5406="SBJ","CB","?"))</f>
        <v> </v>
      </c>
      <c r="I5406" s="26" t="str">
        <f>IF(OR(E5406="",E5406="!!!",F5406="NEW"),"",INDEX(B5405:B$2,-1+SUMPRODUCT(MAX(ROW(E5405:E$2)*(E5406=E5405:E$2)))))</f>
        <v> </v>
      </c>
      <c r="J5406" s="26" t="str">
        <f>IF(OR(E5406="",E5406="!!!",F5406="NEW"),"",COUNTBLANK(OFFSET(A$1,,,SUMPRODUCT(MAX(ROW(E$2:E5406)*(E5406=E$2:E5406)))))-COUNTBLANK(OFFSET(A$1,,,SUMPRODUCT(MAX(ROW(E$1:E5405)*(E2=E$1:E5405))))))</f>
        <v> </v>
      </c>
      <c r="K5406" s="26" t="str">
        <f>IF(OR(E5406="",E5406="!!!",F5406="NEW"),"",INDEX(J$1:J5405,SUMPRODUCT(MAX(ROW(E$1:E5405)*(E5406=E$1:E5405)))))</f>
        <v> </v>
      </c>
      <c r="L5406" s="27"/>
    </row>
    <row r="5407" spans="1:12">
      <c r="A5407" s="20"/>
    </row>
    <row r="5408" spans="1:12">
      <c r="A5408" s="20" t="s">
        <v>2473</v>
      </c>
    </row>
    <row r="5409" spans="1:12">
      <c r="A5409" s="20" t="s">
        <v>1400</v>
      </c>
      <c r="E5409" s="22">
        <f>IF(D5409="?OLD","!!!","")</f>
        <v/>
      </c>
      <c r="F5409" s="23" t="str">
        <f>IF(OR(E5409="",E5409="!!!"),"",IF(NOT(ISNA(VLOOKUP(E5409,E$1:E5408,1,FALSE()))),"OLD",IF(AND(E5409&lt;&gt;"",E5409&lt;&gt;"!!!"),"NEW","")))</f>
        <v> </v>
      </c>
      <c r="G5409" s="24" t="str">
        <f>IF(OR(E5409="",E5409="!!!"),"",IF(OR(J5409=0,AND(J5409=1,K5409=1),AND(J5409=1,I5409="SBJ"),AND(J5409=1,I5409=0)),"?IN_FOCUS",IF(J5409&lt;=2,"?ACTIVATED",IF(J5409&lt;&gt;"","?FAMILIAR",IF(F5409="NEW",IF(ISNA(VLOOKUP(E5409,#REF!,1,FALSE())),"?TYPE_IDENTIFIABLE","?REFERENTIAL"),"_")))))</f>
        <v> </v>
      </c>
      <c r="H5409" s="25" t="str">
        <f>IF(J5409&lt;&gt;1,"",IF(I5409="SBJ","CB","?"))</f>
        <v> </v>
      </c>
      <c r="I5409" s="26" t="str">
        <f>IF(OR(E5409="",E5409="!!!",F5409="NEW"),"",INDEX(B5408:B$2,-1+SUMPRODUCT(MAX(ROW(E5408:E$2)*(E5409=E5408:E$2)))))</f>
        <v> </v>
      </c>
      <c r="J5409" s="26" t="str">
        <f>IF(OR(E5409="",E5409="!!!",F5409="NEW"),"",COUNTBLANK(OFFSET(A$1,,,SUMPRODUCT(MAX(ROW(E$2:E5409)*(E5409=E$2:E5409)))))-COUNTBLANK(OFFSET(A$1,,,SUMPRODUCT(MAX(ROW(E$1:E5408)*(E2=E$1:E5408))))))</f>
        <v> </v>
      </c>
      <c r="K5409" s="26" t="str">
        <f>IF(OR(E5409="",E5409="!!!",F5409="NEW"),"",INDEX(J$1:J5408,SUMPRODUCT(MAX(ROW(E$1:E5408)*(E5409=E$1:E5408)))))</f>
        <v> </v>
      </c>
      <c r="L5409" s="27"/>
    </row>
    <row r="5410" spans="1:12">
      <c r="A5410" s="20" t="s">
        <v>781</v>
      </c>
      <c r="B5410" s="21" t="s">
        <v>1005</v>
      </c>
      <c r="C5410" s="21" t="s">
        <v>1048</v>
      </c>
      <c r="E5410" s="22">
        <f>IF(D5410="?OLD","!!!","")</f>
        <v/>
      </c>
      <c r="F5410" s="23" t="str">
        <f>IF(OR(E5410="",E5410="!!!"),"",IF(NOT(ISNA(VLOOKUP(E5410,E$1:E5409,1,FALSE()))),"OLD",IF(AND(E5410&lt;&gt;"",E5410&lt;&gt;"!!!"),"NEW","")))</f>
        <v> </v>
      </c>
      <c r="G5410" s="24" t="str">
        <f>IF(OR(E5410="",E5410="!!!"),"",IF(OR(J5410=0,AND(J5410=1,K5410=1),AND(J5410=1,I5410="SBJ"),AND(J5410=1,I5410=0)),"?IN_FOCUS",IF(J5410&lt;=2,"?ACTIVATED",IF(J5410&lt;&gt;"","?FAMILIAR",IF(F5410="NEW",IF(ISNA(VLOOKUP(E5410,#REF!,1,FALSE())),"?TYPE_IDENTIFIABLE","?REFERENTIAL"),"_")))))</f>
        <v> </v>
      </c>
      <c r="H5410" s="25" t="str">
        <f>IF(J5410&lt;&gt;1,"",IF(I5410="SBJ","CB","?"))</f>
        <v> </v>
      </c>
      <c r="I5410" s="26" t="str">
        <f>IF(OR(E5410="",E5410="!!!",F5410="NEW"),"",INDEX(B5409:B$2,-1+SUMPRODUCT(MAX(ROW(E5409:E$2)*(E5410=E5409:E$2)))))</f>
        <v> </v>
      </c>
      <c r="J5410" s="26" t="str">
        <f>IF(OR(E5410="",E5410="!!!",F5410="NEW"),"",COUNTBLANK(OFFSET(A$1,,,SUMPRODUCT(MAX(ROW(E$2:E5410)*(E5410=E$2:E5410)))))-COUNTBLANK(OFFSET(A$1,,,SUMPRODUCT(MAX(ROW(E$1:E5409)*(E2=E$1:E5409))))))</f>
        <v> </v>
      </c>
      <c r="K5410" s="26" t="str">
        <f>IF(OR(E5410="",E5410="!!!",F5410="NEW"),"",INDEX(J$1:J5409,SUMPRODUCT(MAX(ROW(E$1:E5409)*(E5410=E$1:E5409)))))</f>
        <v> </v>
      </c>
      <c r="L5410" s="27"/>
    </row>
    <row r="5411" spans="1:12">
      <c r="A5411" s="20" t="s">
        <v>1018</v>
      </c>
      <c r="E5411" s="22">
        <f>IF(D5411="?OLD","!!!","")</f>
        <v/>
      </c>
      <c r="F5411" s="23" t="str">
        <f>IF(OR(E5411="",E5411="!!!"),"",IF(NOT(ISNA(VLOOKUP(E5411,E$1:E5410,1,FALSE()))),"OLD",IF(AND(E5411&lt;&gt;"",E5411&lt;&gt;"!!!"),"NEW","")))</f>
        <v> </v>
      </c>
      <c r="G5411" s="24" t="str">
        <f>IF(OR(E5411="",E5411="!!!"),"",IF(OR(J5411=0,AND(J5411=1,K5411=1),AND(J5411=1,I5411="SBJ"),AND(J5411=1,I5411=0)),"?IN_FOCUS",IF(J5411&lt;=2,"?ACTIVATED",IF(J5411&lt;&gt;"","?FAMILIAR",IF(F5411="NEW",IF(ISNA(VLOOKUP(E5411,#REF!,1,FALSE())),"?TYPE_IDENTIFIABLE","?REFERENTIAL"),"_")))))</f>
        <v> </v>
      </c>
      <c r="H5411" s="25" t="str">
        <f>IF(J5411&lt;&gt;1,"",IF(I5411="SBJ","CB","?"))</f>
        <v> </v>
      </c>
      <c r="I5411" s="26" t="str">
        <f>IF(OR(E5411="",E5411="!!!",F5411="NEW"),"",INDEX(B5410:B$2,-1+SUMPRODUCT(MAX(ROW(E5410:E$2)*(E5411=E5410:E$2)))))</f>
        <v> </v>
      </c>
      <c r="J5411" s="26" t="str">
        <f>IF(OR(E5411="",E5411="!!!",F5411="NEW"),"",COUNTBLANK(OFFSET(A$1,,,SUMPRODUCT(MAX(ROW(E$2:E5411)*(E5411=E$2:E5411)))))-COUNTBLANK(OFFSET(A$1,,,SUMPRODUCT(MAX(ROW(E$1:E5410)*(E2=E$1:E5410))))))</f>
        <v> </v>
      </c>
      <c r="K5411" s="26" t="str">
        <f>IF(OR(E5411="",E5411="!!!",F5411="NEW"),"",INDEX(J$1:J5410,SUMPRODUCT(MAX(ROW(E$1:E5410)*(E5411=E$1:E5410)))))</f>
        <v> </v>
      </c>
      <c r="L5411" s="27"/>
    </row>
    <row r="5412" spans="1:12">
      <c r="A5412" s="20" t="s">
        <v>1030</v>
      </c>
      <c r="E5412" s="22">
        <f>IF(D5412="?OLD","!!!","")</f>
        <v/>
      </c>
      <c r="F5412" s="23" t="str">
        <f>IF(OR(E5412="",E5412="!!!"),"",IF(NOT(ISNA(VLOOKUP(E5412,E$1:E5411,1,FALSE()))),"OLD",IF(AND(E5412&lt;&gt;"",E5412&lt;&gt;"!!!"),"NEW","")))</f>
        <v> </v>
      </c>
      <c r="G5412" s="24" t="str">
        <f>IF(OR(E5412="",E5412="!!!"),"",IF(OR(J5412=0,AND(J5412=1,K5412=1),AND(J5412=1,I5412="SBJ"),AND(J5412=1,I5412=0)),"?IN_FOCUS",IF(J5412&lt;=2,"?ACTIVATED",IF(J5412&lt;&gt;"","?FAMILIAR",IF(F5412="NEW",IF(ISNA(VLOOKUP(E5412,#REF!,1,FALSE())),"?TYPE_IDENTIFIABLE","?REFERENTIAL"),"_")))))</f>
        <v> </v>
      </c>
      <c r="H5412" s="25" t="str">
        <f>IF(J5412&lt;&gt;1,"",IF(I5412="SBJ","CB","?"))</f>
        <v> </v>
      </c>
      <c r="I5412" s="26" t="str">
        <f>IF(OR(E5412="",E5412="!!!",F5412="NEW"),"",INDEX(B5411:B$2,-1+SUMPRODUCT(MAX(ROW(E5411:E$2)*(E5412=E5411:E$2)))))</f>
        <v> </v>
      </c>
      <c r="J5412" s="26" t="str">
        <f>IF(OR(E5412="",E5412="!!!",F5412="NEW"),"",COUNTBLANK(OFFSET(A$1,,,SUMPRODUCT(MAX(ROW(E$2:E5412)*(E5412=E$2:E5412)))))-COUNTBLANK(OFFSET(A$1,,,SUMPRODUCT(MAX(ROW(E$1:E5411)*(E2=E$1:E5411))))))</f>
        <v> </v>
      </c>
      <c r="K5412" s="26" t="str">
        <f>IF(OR(E5412="",E5412="!!!",F5412="NEW"),"",INDEX(J$1:J5411,SUMPRODUCT(MAX(ROW(E$1:E5411)*(E5412=E$1:E5411)))))</f>
        <v> </v>
      </c>
      <c r="L5412" s="27"/>
    </row>
    <row r="5413" spans="1:12">
      <c r="A5413" s="20" t="s">
        <v>1065</v>
      </c>
      <c r="E5413" s="22">
        <f>IF(D5413="?OLD","!!!","")</f>
        <v/>
      </c>
      <c r="F5413" s="23" t="str">
        <f>IF(OR(E5413="",E5413="!!!"),"",IF(NOT(ISNA(VLOOKUP(E5413,E$1:E5412,1,FALSE()))),"OLD",IF(AND(E5413&lt;&gt;"",E5413&lt;&gt;"!!!"),"NEW","")))</f>
        <v> </v>
      </c>
      <c r="G5413" s="24" t="str">
        <f>IF(OR(E5413="",E5413="!!!"),"",IF(OR(J5413=0,AND(J5413=1,K5413=1),AND(J5413=1,I5413="SBJ"),AND(J5413=1,I5413=0)),"?IN_FOCUS",IF(J5413&lt;=2,"?ACTIVATED",IF(J5413&lt;&gt;"","?FAMILIAR",IF(F5413="NEW",IF(ISNA(VLOOKUP(E5413,#REF!,1,FALSE())),"?TYPE_IDENTIFIABLE","?REFERENTIAL"),"_")))))</f>
        <v> </v>
      </c>
      <c r="H5413" s="25" t="str">
        <f>IF(J5413&lt;&gt;1,"",IF(I5413="SBJ","CB","?"))</f>
        <v> </v>
      </c>
      <c r="I5413" s="26" t="str">
        <f>IF(OR(E5413="",E5413="!!!",F5413="NEW"),"",INDEX(B5412:B$2,-1+SUMPRODUCT(MAX(ROW(E5412:E$2)*(E5413=E5412:E$2)))))</f>
        <v> </v>
      </c>
      <c r="J5413" s="26" t="str">
        <f>IF(OR(E5413="",E5413="!!!",F5413="NEW"),"",COUNTBLANK(OFFSET(A$1,,,SUMPRODUCT(MAX(ROW(E$2:E5413)*(E5413=E$2:E5413)))))-COUNTBLANK(OFFSET(A$1,,,SUMPRODUCT(MAX(ROW(E$1:E5412)*(E2=E$1:E5412))))))</f>
        <v> </v>
      </c>
      <c r="K5413" s="26" t="str">
        <f>IF(OR(E5413="",E5413="!!!",F5413="NEW"),"",INDEX(J$1:J5412,SUMPRODUCT(MAX(ROW(E$1:E5412)*(E5413=E$1:E5412)))))</f>
        <v> </v>
      </c>
      <c r="L5413" s="27"/>
    </row>
    <row r="5414" spans="1:12">
      <c r="A5414" s="20" t="s">
        <v>2474</v>
      </c>
      <c r="B5414" s="21" t="s">
        <v>1119</v>
      </c>
      <c r="C5414" s="21" t="s">
        <v>1048</v>
      </c>
      <c r="E5414" s="22">
        <f>IF(D5414="?OLD","!!!","")</f>
        <v/>
      </c>
      <c r="F5414" s="23" t="str">
        <f>IF(OR(E5414="",E5414="!!!"),"",IF(NOT(ISNA(VLOOKUP(E5414,E$1:E5413,1,FALSE()))),"OLD",IF(AND(E5414&lt;&gt;"",E5414&lt;&gt;"!!!"),"NEW","")))</f>
        <v> </v>
      </c>
      <c r="G5414" s="24" t="str">
        <f>IF(OR(E5414="",E5414="!!!"),"",IF(OR(J5414=0,AND(J5414=1,K5414=1),AND(J5414=1,I5414="SBJ"),AND(J5414=1,I5414=0)),"?IN_FOCUS",IF(J5414&lt;=2,"?ACTIVATED",IF(J5414&lt;&gt;"","?FAMILIAR",IF(F5414="NEW",IF(ISNA(VLOOKUP(E5414,#REF!,1,FALSE())),"?TYPE_IDENTIFIABLE","?REFERENTIAL"),"_")))))</f>
        <v> </v>
      </c>
      <c r="H5414" s="25" t="str">
        <f>IF(J5414&lt;&gt;1,"",IF(I5414="SBJ","CB","?"))</f>
        <v> </v>
      </c>
      <c r="I5414" s="26" t="str">
        <f>IF(OR(E5414="",E5414="!!!",F5414="NEW"),"",INDEX(B5413:B$2,-1+SUMPRODUCT(MAX(ROW(E5413:E$2)*(E5414=E5413:E$2)))))</f>
        <v> </v>
      </c>
      <c r="J5414" s="26" t="str">
        <f>IF(OR(E5414="",E5414="!!!",F5414="NEW"),"",COUNTBLANK(OFFSET(A$1,,,SUMPRODUCT(MAX(ROW(E$2:E5414)*(E5414=E$2:E5414)))))-COUNTBLANK(OFFSET(A$1,,,SUMPRODUCT(MAX(ROW(E$1:E5413)*(E2=E$1:E5413))))))</f>
        <v> </v>
      </c>
      <c r="K5414" s="26" t="str">
        <f>IF(OR(E5414="",E5414="!!!",F5414="NEW"),"",INDEX(J$1:J5413,SUMPRODUCT(MAX(ROW(E$1:E5413)*(E5414=E$1:E5413)))))</f>
        <v> </v>
      </c>
      <c r="L5414" s="27"/>
    </row>
    <row r="5415" spans="1:12">
      <c r="A5415" s="20" t="s">
        <v>1114</v>
      </c>
      <c r="E5415" s="22">
        <f>IF(D5415="?OLD","!!!","")</f>
        <v/>
      </c>
      <c r="F5415" s="23" t="str">
        <f>IF(OR(E5415="",E5415="!!!"),"",IF(NOT(ISNA(VLOOKUP(E5415,E$1:E5414,1,FALSE()))),"OLD",IF(AND(E5415&lt;&gt;"",E5415&lt;&gt;"!!!"),"NEW","")))</f>
        <v> </v>
      </c>
      <c r="G5415" s="24" t="str">
        <f>IF(OR(E5415="",E5415="!!!"),"",IF(OR(J5415=0,AND(J5415=1,K5415=1),AND(J5415=1,I5415="SBJ"),AND(J5415=1,I5415=0)),"?IN_FOCUS",IF(J5415&lt;=2,"?ACTIVATED",IF(J5415&lt;&gt;"","?FAMILIAR",IF(F5415="NEW",IF(ISNA(VLOOKUP(E5415,#REF!,1,FALSE())),"?TYPE_IDENTIFIABLE","?REFERENTIAL"),"_")))))</f>
        <v> </v>
      </c>
      <c r="H5415" s="25" t="str">
        <f>IF(J5415&lt;&gt;1,"",IF(I5415="SBJ","CB","?"))</f>
        <v> </v>
      </c>
      <c r="I5415" s="26" t="str">
        <f>IF(OR(E5415="",E5415="!!!",F5415="NEW"),"",INDEX(B5414:B$2,-1+SUMPRODUCT(MAX(ROW(E5414:E$2)*(E5415=E5414:E$2)))))</f>
        <v> </v>
      </c>
      <c r="J5415" s="26" t="str">
        <f>IF(OR(E5415="",E5415="!!!",F5415="NEW"),"",COUNTBLANK(OFFSET(A$1,,,SUMPRODUCT(MAX(ROW(E$2:E5415)*(E5415=E$2:E5415)))))-COUNTBLANK(OFFSET(A$1,,,SUMPRODUCT(MAX(ROW(E$1:E5414)*(E2=E$1:E5414))))))</f>
        <v> </v>
      </c>
      <c r="K5415" s="26" t="str">
        <f>IF(OR(E5415="",E5415="!!!",F5415="NEW"),"",INDEX(J$1:J5414,SUMPRODUCT(MAX(ROW(E$1:E5414)*(E5415=E$1:E5414)))))</f>
        <v> </v>
      </c>
      <c r="L5415" s="27"/>
    </row>
    <row r="5416" spans="1:12">
      <c r="A5416" s="20" t="s">
        <v>2475</v>
      </c>
      <c r="E5416" s="22">
        <f>IF(D5416="?OLD","!!!","")</f>
        <v/>
      </c>
      <c r="F5416" s="23" t="str">
        <f>IF(OR(E5416="",E5416="!!!"),"",IF(NOT(ISNA(VLOOKUP(E5416,E$1:E5415,1,FALSE()))),"OLD",IF(AND(E5416&lt;&gt;"",E5416&lt;&gt;"!!!"),"NEW","")))</f>
        <v> </v>
      </c>
      <c r="G5416" s="24" t="str">
        <f>IF(OR(E5416="",E5416="!!!"),"",IF(OR(J5416=0,AND(J5416=1,K5416=1),AND(J5416=1,I5416="SBJ"),AND(J5416=1,I5416=0)),"?IN_FOCUS",IF(J5416&lt;=2,"?ACTIVATED",IF(J5416&lt;&gt;"","?FAMILIAR",IF(F5416="NEW",IF(ISNA(VLOOKUP(E5416,#REF!,1,FALSE())),"?TYPE_IDENTIFIABLE","?REFERENTIAL"),"_")))))</f>
        <v> </v>
      </c>
      <c r="H5416" s="25" t="str">
        <f>IF(J5416&lt;&gt;1,"",IF(I5416="SBJ","CB","?"))</f>
        <v> </v>
      </c>
      <c r="I5416" s="26" t="str">
        <f>IF(OR(E5416="",E5416="!!!",F5416="NEW"),"",INDEX(B5415:B$2,-1+SUMPRODUCT(MAX(ROW(E5415:E$2)*(E5416=E5415:E$2)))))</f>
        <v> </v>
      </c>
      <c r="J5416" s="26" t="str">
        <f>IF(OR(E5416="",E5416="!!!",F5416="NEW"),"",COUNTBLANK(OFFSET(A$1,,,SUMPRODUCT(MAX(ROW(E$2:E5416)*(E5416=E$2:E5416)))))-COUNTBLANK(OFFSET(A$1,,,SUMPRODUCT(MAX(ROW(E$1:E5415)*(E2=E$1:E5415))))))</f>
        <v> </v>
      </c>
      <c r="K5416" s="26" t="str">
        <f>IF(OR(E5416="",E5416="!!!",F5416="NEW"),"",INDEX(J$1:J5415,SUMPRODUCT(MAX(ROW(E$1:E5415)*(E5416=E$1:E5415)))))</f>
        <v> </v>
      </c>
      <c r="L5416" s="27"/>
    </row>
    <row r="5417" spans="1:12">
      <c r="A5417" s="20" t="s">
        <v>1018</v>
      </c>
      <c r="E5417" s="22">
        <f>IF(D5417="?OLD","!!!","")</f>
        <v/>
      </c>
      <c r="F5417" s="23" t="str">
        <f>IF(OR(E5417="",E5417="!!!"),"",IF(NOT(ISNA(VLOOKUP(E5417,E$1:E5416,1,FALSE()))),"OLD",IF(AND(E5417&lt;&gt;"",E5417&lt;&gt;"!!!"),"NEW","")))</f>
        <v> </v>
      </c>
      <c r="G5417" s="24" t="str">
        <f>IF(OR(E5417="",E5417="!!!"),"",IF(OR(J5417=0,AND(J5417=1,K5417=1),AND(J5417=1,I5417="SBJ"),AND(J5417=1,I5417=0)),"?IN_FOCUS",IF(J5417&lt;=2,"?ACTIVATED",IF(J5417&lt;&gt;"","?FAMILIAR",IF(F5417="NEW",IF(ISNA(VLOOKUP(E5417,#REF!,1,FALSE())),"?TYPE_IDENTIFIABLE","?REFERENTIAL"),"_")))))</f>
        <v> </v>
      </c>
      <c r="H5417" s="25" t="str">
        <f>IF(J5417&lt;&gt;1,"",IF(I5417="SBJ","CB","?"))</f>
        <v> </v>
      </c>
      <c r="I5417" s="26" t="str">
        <f>IF(OR(E5417="",E5417="!!!",F5417="NEW"),"",INDEX(B5416:B$2,-1+SUMPRODUCT(MAX(ROW(E5416:E$2)*(E5417=E5416:E$2)))))</f>
        <v> </v>
      </c>
      <c r="J5417" s="26" t="str">
        <f>IF(OR(E5417="",E5417="!!!",F5417="NEW"),"",COUNTBLANK(OFFSET(A$1,,,SUMPRODUCT(MAX(ROW(E$2:E5417)*(E5417=E$2:E5417)))))-COUNTBLANK(OFFSET(A$1,,,SUMPRODUCT(MAX(ROW(E$1:E5416)*(E2=E$1:E5416))))))</f>
        <v> </v>
      </c>
      <c r="K5417" s="26" t="str">
        <f>IF(OR(E5417="",E5417="!!!",F5417="NEW"),"",INDEX(J$1:J5416,SUMPRODUCT(MAX(ROW(E$1:E5416)*(E5417=E$1:E5416)))))</f>
        <v> </v>
      </c>
      <c r="L5417" s="27"/>
    </row>
    <row r="5418" spans="1:12">
      <c r="A5418" s="20" t="s">
        <v>1109</v>
      </c>
      <c r="B5418" s="21" t="s">
        <v>1119</v>
      </c>
      <c r="C5418" s="21" t="s">
        <v>1048</v>
      </c>
      <c r="E5418" s="22">
        <f>IF(D5418="?OLD","!!!","")</f>
        <v/>
      </c>
      <c r="F5418" s="23" t="str">
        <f>IF(OR(E5418="",E5418="!!!"),"",IF(NOT(ISNA(VLOOKUP(E5418,E$1:E5417,1,FALSE()))),"OLD",IF(AND(E5418&lt;&gt;"",E5418&lt;&gt;"!!!"),"NEW","")))</f>
        <v> </v>
      </c>
      <c r="G5418" s="24" t="str">
        <f>IF(OR(E5418="",E5418="!!!"),"",IF(OR(J5418=0,AND(J5418=1,K5418=1),AND(J5418=1,I5418="SBJ"),AND(J5418=1,I5418=0)),"?IN_FOCUS",IF(J5418&lt;=2,"?ACTIVATED",IF(J5418&lt;&gt;"","?FAMILIAR",IF(F5418="NEW",IF(ISNA(VLOOKUP(E5418,#REF!,1,FALSE())),"?TYPE_IDENTIFIABLE","?REFERENTIAL"),"_")))))</f>
        <v> </v>
      </c>
      <c r="H5418" s="25" t="str">
        <f>IF(J5418&lt;&gt;1,"",IF(I5418="SBJ","CB","?"))</f>
        <v> </v>
      </c>
      <c r="I5418" s="26" t="str">
        <f>IF(OR(E5418="",E5418="!!!",F5418="NEW"),"",INDEX(B5417:B$2,-1+SUMPRODUCT(MAX(ROW(E5417:E$2)*(E5418=E5417:E$2)))))</f>
        <v> </v>
      </c>
      <c r="J5418" s="26" t="str">
        <f>IF(OR(E5418="",E5418="!!!",F5418="NEW"),"",COUNTBLANK(OFFSET(A$1,,,SUMPRODUCT(MAX(ROW(E$2:E5418)*(E5418=E$2:E5418)))))-COUNTBLANK(OFFSET(A$1,,,SUMPRODUCT(MAX(ROW(E$1:E5417)*(E2=E$1:E5417))))))</f>
        <v> </v>
      </c>
      <c r="K5418" s="26" t="str">
        <f>IF(OR(E5418="",E5418="!!!",F5418="NEW"),"",INDEX(J$1:J5417,SUMPRODUCT(MAX(ROW(E$1:E5417)*(E5418=E$1:E5417)))))</f>
        <v> </v>
      </c>
      <c r="L5418" s="27"/>
    </row>
    <row r="5419" spans="1:12">
      <c r="A5419" s="20" t="s">
        <v>1018</v>
      </c>
      <c r="E5419" s="22">
        <f>IF(D5419="?OLD","!!!","")</f>
        <v/>
      </c>
      <c r="F5419" s="23" t="str">
        <f>IF(OR(E5419="",E5419="!!!"),"",IF(NOT(ISNA(VLOOKUP(E5419,E$1:E5418,1,FALSE()))),"OLD",IF(AND(E5419&lt;&gt;"",E5419&lt;&gt;"!!!"),"NEW","")))</f>
        <v> </v>
      </c>
      <c r="G5419" s="24" t="str">
        <f>IF(OR(E5419="",E5419="!!!"),"",IF(OR(J5419=0,AND(J5419=1,K5419=1),AND(J5419=1,I5419="SBJ"),AND(J5419=1,I5419=0)),"?IN_FOCUS",IF(J5419&lt;=2,"?ACTIVATED",IF(J5419&lt;&gt;"","?FAMILIAR",IF(F5419="NEW",IF(ISNA(VLOOKUP(E5419,#REF!,1,FALSE())),"?TYPE_IDENTIFIABLE","?REFERENTIAL"),"_")))))</f>
        <v> </v>
      </c>
      <c r="H5419" s="25" t="str">
        <f>IF(J5419&lt;&gt;1,"",IF(I5419="SBJ","CB","?"))</f>
        <v> </v>
      </c>
      <c r="I5419" s="26" t="str">
        <f>IF(OR(E5419="",E5419="!!!",F5419="NEW"),"",INDEX(B5418:B$2,-1+SUMPRODUCT(MAX(ROW(E5418:E$2)*(E5419=E5418:E$2)))))</f>
        <v> </v>
      </c>
      <c r="J5419" s="26" t="str">
        <f>IF(OR(E5419="",E5419="!!!",F5419="NEW"),"",COUNTBLANK(OFFSET(A$1,,,SUMPRODUCT(MAX(ROW(E$2:E5419)*(E5419=E$2:E5419)))))-COUNTBLANK(OFFSET(A$1,,,SUMPRODUCT(MAX(ROW(E$1:E5418)*(E2=E$1:E5418))))))</f>
        <v> </v>
      </c>
      <c r="K5419" s="26" t="str">
        <f>IF(OR(E5419="",E5419="!!!",F5419="NEW"),"",INDEX(J$1:J5418,SUMPRODUCT(MAX(ROW(E$1:E5418)*(E5419=E$1:E5418)))))</f>
        <v> </v>
      </c>
      <c r="L5419" s="27"/>
    </row>
    <row r="5420" spans="1:12">
      <c r="A5420" s="20" t="s">
        <v>1110</v>
      </c>
      <c r="B5420" s="21" t="s">
        <v>1033</v>
      </c>
      <c r="C5420" s="21" t="s">
        <v>1048</v>
      </c>
      <c r="E5420" s="22">
        <f>IF(D5420="?OLD","!!!","")</f>
        <v/>
      </c>
      <c r="F5420" s="23" t="str">
        <f>IF(OR(E5420="",E5420="!!!"),"",IF(NOT(ISNA(VLOOKUP(E5420,E$1:E5419,1,FALSE()))),"OLD",IF(AND(E5420&lt;&gt;"",E5420&lt;&gt;"!!!"),"NEW","")))</f>
        <v> </v>
      </c>
      <c r="G5420" s="24" t="str">
        <f>IF(OR(E5420="",E5420="!!!"),"",IF(OR(J5420=0,AND(J5420=1,K5420=1),AND(J5420=1,I5420="SBJ"),AND(J5420=1,I5420=0)),"?IN_FOCUS",IF(J5420&lt;=2,"?ACTIVATED",IF(J5420&lt;&gt;"","?FAMILIAR",IF(F5420="NEW",IF(ISNA(VLOOKUP(E5420,#REF!,1,FALSE())),"?TYPE_IDENTIFIABLE","?REFERENTIAL"),"_")))))</f>
        <v> </v>
      </c>
      <c r="H5420" s="25" t="str">
        <f>IF(J5420&lt;&gt;1,"",IF(I5420="SBJ","CB","?"))</f>
        <v> </v>
      </c>
      <c r="I5420" s="26" t="str">
        <f>IF(OR(E5420="",E5420="!!!",F5420="NEW"),"",INDEX(B5419:B$2,-1+SUMPRODUCT(MAX(ROW(E5419:E$2)*(E5420=E5419:E$2)))))</f>
        <v> </v>
      </c>
      <c r="J5420" s="26" t="str">
        <f>IF(OR(E5420="",E5420="!!!",F5420="NEW"),"",COUNTBLANK(OFFSET(A$1,,,SUMPRODUCT(MAX(ROW(E$2:E5420)*(E5420=E$2:E5420)))))-COUNTBLANK(OFFSET(A$1,,,SUMPRODUCT(MAX(ROW(E$1:E5419)*(E2=E$1:E5419))))))</f>
        <v> </v>
      </c>
      <c r="K5420" s="26" t="str">
        <f>IF(OR(E5420="",E5420="!!!",F5420="NEW"),"",INDEX(J$1:J5419,SUMPRODUCT(MAX(ROW(E$1:E5419)*(E5420=E$1:E5419)))))</f>
        <v> </v>
      </c>
      <c r="L5420" s="27"/>
    </row>
    <row r="5421" spans="1:12">
      <c r="A5421" s="20" t="s">
        <v>1077</v>
      </c>
      <c r="E5421" s="22">
        <f>IF(D5421="?OLD","!!!","")</f>
        <v/>
      </c>
      <c r="F5421" s="23" t="str">
        <f>IF(OR(E5421="",E5421="!!!"),"",IF(NOT(ISNA(VLOOKUP(E5421,E$1:E5420,1,FALSE()))),"OLD",IF(AND(E5421&lt;&gt;"",E5421&lt;&gt;"!!!"),"NEW","")))</f>
        <v> </v>
      </c>
      <c r="G5421" s="24" t="str">
        <f>IF(OR(E5421="",E5421="!!!"),"",IF(OR(J5421=0,AND(J5421=1,K5421=1),AND(J5421=1,I5421="SBJ"),AND(J5421=1,I5421=0)),"?IN_FOCUS",IF(J5421&lt;=2,"?ACTIVATED",IF(J5421&lt;&gt;"","?FAMILIAR",IF(F5421="NEW",IF(ISNA(VLOOKUP(E5421,#REF!,1,FALSE())),"?TYPE_IDENTIFIABLE","?REFERENTIAL"),"_")))))</f>
        <v> </v>
      </c>
      <c r="H5421" s="25" t="str">
        <f>IF(J5421&lt;&gt;1,"",IF(I5421="SBJ","CB","?"))</f>
        <v> </v>
      </c>
      <c r="I5421" s="26" t="str">
        <f>IF(OR(E5421="",E5421="!!!",F5421="NEW"),"",INDEX(B5420:B$2,-1+SUMPRODUCT(MAX(ROW(E5420:E$2)*(E5421=E5420:E$2)))))</f>
        <v> </v>
      </c>
      <c r="J5421" s="26" t="str">
        <f>IF(OR(E5421="",E5421="!!!",F5421="NEW"),"",COUNTBLANK(OFFSET(A$1,,,SUMPRODUCT(MAX(ROW(E$2:E5421)*(E5421=E$2:E5421)))))-COUNTBLANK(OFFSET(A$1,,,SUMPRODUCT(MAX(ROW(E$1:E5420)*(E2=E$1:E5420))))))</f>
        <v> </v>
      </c>
      <c r="K5421" s="26" t="str">
        <f>IF(OR(E5421="",E5421="!!!",F5421="NEW"),"",INDEX(J$1:J5420,SUMPRODUCT(MAX(ROW(E$1:E5420)*(E5421=E$1:E5420)))))</f>
        <v> </v>
      </c>
      <c r="L5421" s="27"/>
    </row>
    <row r="5422" spans="1:12">
      <c r="A5422" s="20"/>
    </row>
    <row r="5423" spans="1:12">
      <c r="A5423" s="20" t="s">
        <v>2476</v>
      </c>
    </row>
    <row r="5424" spans="1:12">
      <c r="A5424" s="20" t="s">
        <v>1991</v>
      </c>
      <c r="B5424" s="21" t="s">
        <v>1050</v>
      </c>
      <c r="C5424" s="21" t="s">
        <v>1082</v>
      </c>
      <c r="D5424" s="21" t="s">
        <v>1007</v>
      </c>
      <c r="E5424" s="22">
        <f>IF(D5424="?OLD","!!!","")</f>
        <v/>
      </c>
      <c r="F5424" s="23" t="str">
        <f>IF(OR(E5424="",E5424="!!!"),"",IF(NOT(ISNA(VLOOKUP(E5424,E$1:E5423,1,FALSE()))),"OLD",IF(AND(E5424&lt;&gt;"",E5424&lt;&gt;"!!!"),"NEW","")))</f>
        <v> </v>
      </c>
      <c r="G5424" s="24" t="str">
        <f>IF(OR(E5424="",E5424="!!!"),"",IF(OR(J5424=0,AND(J5424=1,K5424=1),AND(J5424=1,I5424="SBJ"),AND(J5424=1,I5424=0)),"?IN_FOCUS",IF(J5424&lt;=2,"?ACTIVATED",IF(J5424&lt;&gt;"","?FAMILIAR",IF(F5424="NEW",IF(ISNA(VLOOKUP(E5424,#REF!,1,FALSE())),"?TYPE_IDENTIFIABLE","?REFERENTIAL"),"_")))))</f>
        <v> </v>
      </c>
      <c r="H5424" s="25" t="str">
        <f>IF(J5424&lt;&gt;1,"",IF(I5424="SBJ","CB","?"))</f>
        <v> </v>
      </c>
      <c r="I5424" s="26" t="str">
        <f>IF(OR(E5424="",E5424="!!!",F5424="NEW"),"",INDEX(B5423:B$2,-1+SUMPRODUCT(MAX(ROW(E5423:E$2)*(E5424=E5423:E$2)))))</f>
        <v> </v>
      </c>
      <c r="J5424" s="26" t="str">
        <f>IF(OR(E5424="",E5424="!!!",F5424="NEW"),"",COUNTBLANK(OFFSET(A$1,,,SUMPRODUCT(MAX(ROW(E$2:E5424)*(E5424=E$2:E5424)))))-COUNTBLANK(OFFSET(A$1,,,SUMPRODUCT(MAX(ROW(E$1:E5423)*(E2=E$1:E5423))))))</f>
        <v> </v>
      </c>
      <c r="K5424" s="26" t="str">
        <f>IF(OR(E5424="",E5424="!!!",F5424="NEW"),"",INDEX(J$1:J5423,SUMPRODUCT(MAX(ROW(E$1:E5423)*(E5424=E$1:E5423)))))</f>
        <v> </v>
      </c>
      <c r="L5424" s="27"/>
    </row>
    <row r="5425" spans="1:12">
      <c r="A5425" s="20" t="s">
        <v>2295</v>
      </c>
      <c r="E5425" s="22">
        <f>IF(D5425="?OLD","!!!","")</f>
        <v/>
      </c>
      <c r="F5425" s="23" t="str">
        <f>IF(OR(E5425="",E5425="!!!"),"",IF(NOT(ISNA(VLOOKUP(E5425,E$1:E5424,1,FALSE()))),"OLD",IF(AND(E5425&lt;&gt;"",E5425&lt;&gt;"!!!"),"NEW","")))</f>
        <v> </v>
      </c>
      <c r="G5425" s="24" t="str">
        <f>IF(OR(E5425="",E5425="!!!"),"",IF(OR(J5425=0,AND(J5425=1,K5425=1),AND(J5425=1,I5425="SBJ"),AND(J5425=1,I5425=0)),"?IN_FOCUS",IF(J5425&lt;=2,"?ACTIVATED",IF(J5425&lt;&gt;"","?FAMILIAR",IF(F5425="NEW",IF(ISNA(VLOOKUP(E5425,#REF!,1,FALSE())),"?TYPE_IDENTIFIABLE","?REFERENTIAL"),"_")))))</f>
        <v> </v>
      </c>
      <c r="H5425" s="25" t="str">
        <f>IF(J5425&lt;&gt;1,"",IF(I5425="SBJ","CB","?"))</f>
        <v> </v>
      </c>
      <c r="I5425" s="26" t="str">
        <f>IF(OR(E5425="",E5425="!!!",F5425="NEW"),"",INDEX(B5424:B$2,-1+SUMPRODUCT(MAX(ROW(E5424:E$2)*(E5425=E5424:E$2)))))</f>
        <v> </v>
      </c>
      <c r="J5425" s="26" t="str">
        <f>IF(OR(E5425="",E5425="!!!",F5425="NEW"),"",COUNTBLANK(OFFSET(A$1,,,SUMPRODUCT(MAX(ROW(E$2:E5425)*(E5425=E$2:E5425)))))-COUNTBLANK(OFFSET(A$1,,,SUMPRODUCT(MAX(ROW(E$1:E5424)*(E2=E$1:E5424))))))</f>
        <v> </v>
      </c>
      <c r="K5425" s="26" t="str">
        <f>IF(OR(E5425="",E5425="!!!",F5425="NEW"),"",INDEX(J$1:J5424,SUMPRODUCT(MAX(ROW(E$1:E5424)*(E5425=E$1:E5424)))))</f>
        <v> </v>
      </c>
      <c r="L5425" s="27"/>
    </row>
    <row r="5426" spans="1:12">
      <c r="A5426" s="20" t="s">
        <v>1324</v>
      </c>
      <c r="E5426" s="22">
        <f>IF(D5426="?OLD","!!!","")</f>
        <v/>
      </c>
      <c r="F5426" s="23" t="str">
        <f>IF(OR(E5426="",E5426="!!!"),"",IF(NOT(ISNA(VLOOKUP(E5426,E$1:E5425,1,FALSE()))),"OLD",IF(AND(E5426&lt;&gt;"",E5426&lt;&gt;"!!!"),"NEW","")))</f>
        <v> </v>
      </c>
      <c r="G5426" s="24" t="str">
        <f>IF(OR(E5426="",E5426="!!!"),"",IF(OR(J5426=0,AND(J5426=1,K5426=1),AND(J5426=1,I5426="SBJ"),AND(J5426=1,I5426=0)),"?IN_FOCUS",IF(J5426&lt;=2,"?ACTIVATED",IF(J5426&lt;&gt;"","?FAMILIAR",IF(F5426="NEW",IF(ISNA(VLOOKUP(E5426,#REF!,1,FALSE())),"?TYPE_IDENTIFIABLE","?REFERENTIAL"),"_")))))</f>
        <v> </v>
      </c>
      <c r="H5426" s="25" t="str">
        <f>IF(J5426&lt;&gt;1,"",IF(I5426="SBJ","CB","?"))</f>
        <v> </v>
      </c>
      <c r="I5426" s="26" t="str">
        <f>IF(OR(E5426="",E5426="!!!",F5426="NEW"),"",INDEX(B5425:B$2,-1+SUMPRODUCT(MAX(ROW(E5425:E$2)*(E5426=E5425:E$2)))))</f>
        <v> </v>
      </c>
      <c r="J5426" s="26" t="str">
        <f>IF(OR(E5426="",E5426="!!!",F5426="NEW"),"",COUNTBLANK(OFFSET(A$1,,,SUMPRODUCT(MAX(ROW(E$2:E5426)*(E5426=E$2:E5426)))))-COUNTBLANK(OFFSET(A$1,,,SUMPRODUCT(MAX(ROW(E$1:E5425)*(E2=E$1:E5425))))))</f>
        <v> </v>
      </c>
      <c r="K5426" s="26" t="str">
        <f>IF(OR(E5426="",E5426="!!!",F5426="NEW"),"",INDEX(J$1:J5425,SUMPRODUCT(MAX(ROW(E$1:E5425)*(E5426=E$1:E5425)))))</f>
        <v> </v>
      </c>
      <c r="L5426" s="27"/>
    </row>
    <row r="5427" spans="1:12">
      <c r="A5427" s="20" t="s">
        <v>2477</v>
      </c>
      <c r="B5427" s="21" t="s">
        <v>1085</v>
      </c>
      <c r="C5427" s="21" t="s">
        <v>1111</v>
      </c>
      <c r="E5427" s="22">
        <f>IF(D5427="?OLD","!!!","")</f>
        <v/>
      </c>
      <c r="F5427" s="23" t="str">
        <f>IF(OR(E5427="",E5427="!!!"),"",IF(NOT(ISNA(VLOOKUP(E5427,E$1:E5426,1,FALSE()))),"OLD",IF(AND(E5427&lt;&gt;"",E5427&lt;&gt;"!!!"),"NEW","")))</f>
        <v> </v>
      </c>
      <c r="G5427" s="24" t="str">
        <f>IF(OR(E5427="",E5427="!!!"),"",IF(OR(J5427=0,AND(J5427=1,K5427=1),AND(J5427=1,I5427="SBJ"),AND(J5427=1,I5427=0)),"?IN_FOCUS",IF(J5427&lt;=2,"?ACTIVATED",IF(J5427&lt;&gt;"","?FAMILIAR",IF(F5427="NEW",IF(ISNA(VLOOKUP(E5427,#REF!,1,FALSE())),"?TYPE_IDENTIFIABLE","?REFERENTIAL"),"_")))))</f>
        <v> </v>
      </c>
      <c r="H5427" s="25" t="str">
        <f>IF(J5427&lt;&gt;1,"",IF(I5427="SBJ","CB","?"))</f>
        <v> </v>
      </c>
      <c r="I5427" s="26" t="str">
        <f>IF(OR(E5427="",E5427="!!!",F5427="NEW"),"",INDEX(B5426:B$2,-1+SUMPRODUCT(MAX(ROW(E5426:E$2)*(E5427=E5426:E$2)))))</f>
        <v> </v>
      </c>
      <c r="J5427" s="26" t="str">
        <f>IF(OR(E5427="",E5427="!!!",F5427="NEW"),"",COUNTBLANK(OFFSET(A$1,,,SUMPRODUCT(MAX(ROW(E$2:E5427)*(E5427=E$2:E5427)))))-COUNTBLANK(OFFSET(A$1,,,SUMPRODUCT(MAX(ROW(E$1:E5426)*(E2=E$1:E5426))))))</f>
        <v> </v>
      </c>
      <c r="K5427" s="26" t="str">
        <f>IF(OR(E5427="",E5427="!!!",F5427="NEW"),"",INDEX(J$1:J5426,SUMPRODUCT(MAX(ROW(E$1:E5426)*(E5427=E$1:E5426)))))</f>
        <v> </v>
      </c>
      <c r="L5427" s="27"/>
    </row>
    <row r="5428" spans="1:12">
      <c r="A5428" s="20" t="s">
        <v>1018</v>
      </c>
      <c r="E5428" s="22">
        <f>IF(D5428="?OLD","!!!","")</f>
        <v/>
      </c>
      <c r="F5428" s="23" t="str">
        <f>IF(OR(E5428="",E5428="!!!"),"",IF(NOT(ISNA(VLOOKUP(E5428,E$1:E5427,1,FALSE()))),"OLD",IF(AND(E5428&lt;&gt;"",E5428&lt;&gt;"!!!"),"NEW","")))</f>
        <v> </v>
      </c>
      <c r="G5428" s="24" t="str">
        <f>IF(OR(E5428="",E5428="!!!"),"",IF(OR(J5428=0,AND(J5428=1,K5428=1),AND(J5428=1,I5428="SBJ"),AND(J5428=1,I5428=0)),"?IN_FOCUS",IF(J5428&lt;=2,"?ACTIVATED",IF(J5428&lt;&gt;"","?FAMILIAR",IF(F5428="NEW",IF(ISNA(VLOOKUP(E5428,#REF!,1,FALSE())),"?TYPE_IDENTIFIABLE","?REFERENTIAL"),"_")))))</f>
        <v> </v>
      </c>
      <c r="H5428" s="25" t="str">
        <f>IF(J5428&lt;&gt;1,"",IF(I5428="SBJ","CB","?"))</f>
        <v> </v>
      </c>
      <c r="I5428" s="26" t="str">
        <f>IF(OR(E5428="",E5428="!!!",F5428="NEW"),"",INDEX(B5427:B$2,-1+SUMPRODUCT(MAX(ROW(E5427:E$2)*(E5428=E5427:E$2)))))</f>
        <v> </v>
      </c>
      <c r="J5428" s="26" t="str">
        <f>IF(OR(E5428="",E5428="!!!",F5428="NEW"),"",COUNTBLANK(OFFSET(A$1,,,SUMPRODUCT(MAX(ROW(E$2:E5428)*(E5428=E$2:E5428)))))-COUNTBLANK(OFFSET(A$1,,,SUMPRODUCT(MAX(ROW(E$1:E5427)*(E2=E$1:E5427))))))</f>
        <v> </v>
      </c>
      <c r="K5428" s="26" t="str">
        <f>IF(OR(E5428="",E5428="!!!",F5428="NEW"),"",INDEX(J$1:J5427,SUMPRODUCT(MAX(ROW(E$1:E5427)*(E5428=E$1:E5427)))))</f>
        <v> </v>
      </c>
      <c r="L5428" s="27"/>
    </row>
    <row r="5429" spans="1:12">
      <c r="A5429" s="20" t="s">
        <v>1330</v>
      </c>
      <c r="E5429" s="22">
        <f>IF(D5429="?OLD","!!!","")</f>
        <v/>
      </c>
      <c r="F5429" s="23" t="str">
        <f>IF(OR(E5429="",E5429="!!!"),"",IF(NOT(ISNA(VLOOKUP(E5429,E$1:E5428,1,FALSE()))),"OLD",IF(AND(E5429&lt;&gt;"",E5429&lt;&gt;"!!!"),"NEW","")))</f>
        <v> </v>
      </c>
      <c r="G5429" s="24" t="str">
        <f>IF(OR(E5429="",E5429="!!!"),"",IF(OR(J5429=0,AND(J5429=1,K5429=1),AND(J5429=1,I5429="SBJ"),AND(J5429=1,I5429=0)),"?IN_FOCUS",IF(J5429&lt;=2,"?ACTIVATED",IF(J5429&lt;&gt;"","?FAMILIAR",IF(F5429="NEW",IF(ISNA(VLOOKUP(E5429,#REF!,1,FALSE())),"?TYPE_IDENTIFIABLE","?REFERENTIAL"),"_")))))</f>
        <v> </v>
      </c>
      <c r="H5429" s="25" t="str">
        <f>IF(J5429&lt;&gt;1,"",IF(I5429="SBJ","CB","?"))</f>
        <v> </v>
      </c>
      <c r="I5429" s="26" t="str">
        <f>IF(OR(E5429="",E5429="!!!",F5429="NEW"),"",INDEX(B5428:B$2,-1+SUMPRODUCT(MAX(ROW(E5428:E$2)*(E5429=E5428:E$2)))))</f>
        <v> </v>
      </c>
      <c r="J5429" s="26" t="str">
        <f>IF(OR(E5429="",E5429="!!!",F5429="NEW"),"",COUNTBLANK(OFFSET(A$1,,,SUMPRODUCT(MAX(ROW(E$2:E5429)*(E5429=E$2:E5429)))))-COUNTBLANK(OFFSET(A$1,,,SUMPRODUCT(MAX(ROW(E$1:E5428)*(E2=E$1:E5428))))))</f>
        <v> </v>
      </c>
      <c r="K5429" s="26" t="str">
        <f>IF(OR(E5429="",E5429="!!!",F5429="NEW"),"",INDEX(J$1:J5428,SUMPRODUCT(MAX(ROW(E$1:E5428)*(E5429=E$1:E5428)))))</f>
        <v> </v>
      </c>
      <c r="L5429" s="27"/>
    </row>
    <row r="5430" spans="1:12">
      <c r="A5430" s="20" t="s">
        <v>1107</v>
      </c>
      <c r="E5430" s="22">
        <f>IF(D5430="?OLD","!!!","")</f>
        <v/>
      </c>
      <c r="F5430" s="23" t="str">
        <f>IF(OR(E5430="",E5430="!!!"),"",IF(NOT(ISNA(VLOOKUP(E5430,E$1:E5429,1,FALSE()))),"OLD",IF(AND(E5430&lt;&gt;"",E5430&lt;&gt;"!!!"),"NEW","")))</f>
        <v> </v>
      </c>
      <c r="G5430" s="24" t="str">
        <f>IF(OR(E5430="",E5430="!!!"),"",IF(OR(J5430=0,AND(J5430=1,K5430=1),AND(J5430=1,I5430="SBJ"),AND(J5430=1,I5430=0)),"?IN_FOCUS",IF(J5430&lt;=2,"?ACTIVATED",IF(J5430&lt;&gt;"","?FAMILIAR",IF(F5430="NEW",IF(ISNA(VLOOKUP(E5430,#REF!,1,FALSE())),"?TYPE_IDENTIFIABLE","?REFERENTIAL"),"_")))))</f>
        <v> </v>
      </c>
      <c r="H5430" s="25" t="str">
        <f>IF(J5430&lt;&gt;1,"",IF(I5430="SBJ","CB","?"))</f>
        <v> </v>
      </c>
      <c r="I5430" s="26" t="str">
        <f>IF(OR(E5430="",E5430="!!!",F5430="NEW"),"",INDEX(B5429:B$2,-1+SUMPRODUCT(MAX(ROW(E5429:E$2)*(E5430=E5429:E$2)))))</f>
        <v> </v>
      </c>
      <c r="J5430" s="26" t="str">
        <f>IF(OR(E5430="",E5430="!!!",F5430="NEW"),"",COUNTBLANK(OFFSET(A$1,,,SUMPRODUCT(MAX(ROW(E$2:E5430)*(E5430=E$2:E5430)))))-COUNTBLANK(OFFSET(A$1,,,SUMPRODUCT(MAX(ROW(E$1:E5429)*(E2=E$1:E5429))))))</f>
        <v> </v>
      </c>
      <c r="K5430" s="26" t="str">
        <f>IF(OR(E5430="",E5430="!!!",F5430="NEW"),"",INDEX(J$1:J5429,SUMPRODUCT(MAX(ROW(E$1:E5429)*(E5430=E$1:E5429)))))</f>
        <v> </v>
      </c>
      <c r="L5430" s="27"/>
    </row>
    <row r="5431" spans="1:12">
      <c r="A5431" s="20"/>
    </row>
    <row r="5432" spans="1:12">
      <c r="A5432" s="20" t="s">
        <v>2478</v>
      </c>
    </row>
    <row r="5433" spans="1:12">
      <c r="A5433" s="20" t="s">
        <v>788</v>
      </c>
      <c r="B5433" s="21" t="s">
        <v>1005</v>
      </c>
      <c r="C5433" s="21" t="s">
        <v>1006</v>
      </c>
      <c r="D5433" s="21" t="s">
        <v>1007</v>
      </c>
      <c r="E5433" s="22">
        <f>IF(D5433="?OLD","!!!","")</f>
        <v/>
      </c>
      <c r="F5433" s="23" t="str">
        <f>IF(OR(E5433="",E5433="!!!"),"",IF(NOT(ISNA(VLOOKUP(E5433,E$1:E5432,1,FALSE()))),"OLD",IF(AND(E5433&lt;&gt;"",E5433&lt;&gt;"!!!"),"NEW","")))</f>
        <v> </v>
      </c>
      <c r="G5433" s="24" t="str">
        <f>IF(OR(E5433="",E5433="!!!"),"",IF(OR(J5433=0,AND(J5433=1,K5433=1),AND(J5433=1,I5433="SBJ"),AND(J5433=1,I5433=0)),"?IN_FOCUS",IF(J5433&lt;=2,"?ACTIVATED",IF(J5433&lt;&gt;"","?FAMILIAR",IF(F5433="NEW",IF(ISNA(VLOOKUP(E5433,#REF!,1,FALSE())),"?TYPE_IDENTIFIABLE","?REFERENTIAL"),"_")))))</f>
        <v> </v>
      </c>
      <c r="H5433" s="25" t="str">
        <f>IF(J5433&lt;&gt;1,"",IF(I5433="SBJ","CB","?"))</f>
        <v> </v>
      </c>
      <c r="I5433" s="26" t="str">
        <f>IF(OR(E5433="",E5433="!!!",F5433="NEW"),"",INDEX(B5432:B$2,-1+SUMPRODUCT(MAX(ROW(E5432:E$2)*(E5433=E5432:E$2)))))</f>
        <v> </v>
      </c>
      <c r="J5433" s="26" t="str">
        <f>IF(OR(E5433="",E5433="!!!",F5433="NEW"),"",COUNTBLANK(OFFSET(A$1,,,SUMPRODUCT(MAX(ROW(E$2:E5433)*(E5433=E$2:E5433)))))-COUNTBLANK(OFFSET(A$1,,,SUMPRODUCT(MAX(ROW(E$1:E5432)*(E2=E$1:E5432))))))</f>
        <v> </v>
      </c>
      <c r="K5433" s="26" t="str">
        <f>IF(OR(E5433="",E5433="!!!",F5433="NEW"),"",INDEX(J$1:J5432,SUMPRODUCT(MAX(ROW(E$1:E5432)*(E5433=E$1:E5432)))))</f>
        <v> </v>
      </c>
      <c r="L5433" s="27"/>
    </row>
    <row r="5434" spans="1:12">
      <c r="A5434" s="20" t="s">
        <v>2465</v>
      </c>
      <c r="B5434" s="21" t="s">
        <v>1005</v>
      </c>
      <c r="C5434" s="21" t="s">
        <v>1006</v>
      </c>
      <c r="D5434" s="21" t="s">
        <v>1007</v>
      </c>
      <c r="E5434" s="22">
        <f>IF(D5434="?OLD","!!!","")</f>
        <v/>
      </c>
      <c r="F5434" s="23" t="str">
        <f>IF(OR(E5434="",E5434="!!!"),"",IF(NOT(ISNA(VLOOKUP(E5434,E$1:E5433,1,FALSE()))),"OLD",IF(AND(E5434&lt;&gt;"",E5434&lt;&gt;"!!!"),"NEW","")))</f>
        <v> </v>
      </c>
      <c r="G5434" s="24" t="str">
        <f>IF(OR(E5434="",E5434="!!!"),"",IF(OR(J5434=0,AND(J5434=1,K5434=1),AND(J5434=1,I5434="SBJ"),AND(J5434=1,I5434=0)),"?IN_FOCUS",IF(J5434&lt;=2,"?ACTIVATED",IF(J5434&lt;&gt;"","?FAMILIAR",IF(F5434="NEW",IF(ISNA(VLOOKUP(E5434,#REF!,1,FALSE())),"?TYPE_IDENTIFIABLE","?REFERENTIAL"),"_")))))</f>
        <v> </v>
      </c>
      <c r="H5434" s="25" t="str">
        <f>IF(J5434&lt;&gt;1,"",IF(I5434="SBJ","CB","?"))</f>
        <v> </v>
      </c>
      <c r="I5434" s="26" t="str">
        <f>IF(OR(E5434="",E5434="!!!",F5434="NEW"),"",INDEX(B5433:B$2,-1+SUMPRODUCT(MAX(ROW(E5433:E$2)*(E5434=E5433:E$2)))))</f>
        <v> </v>
      </c>
      <c r="J5434" s="26" t="str">
        <f>IF(OR(E5434="",E5434="!!!",F5434="NEW"),"",COUNTBLANK(OFFSET(A$1,,,SUMPRODUCT(MAX(ROW(E$2:E5434)*(E5434=E$2:E5434)))))-COUNTBLANK(OFFSET(A$1,,,SUMPRODUCT(MAX(ROW(E$1:E5433)*(E2=E$1:E5433))))))</f>
        <v> </v>
      </c>
      <c r="K5434" s="26" t="str">
        <f>IF(OR(E5434="",E5434="!!!",F5434="NEW"),"",INDEX(J$1:J5433,SUMPRODUCT(MAX(ROW(E$1:E5433)*(E5434=E$1:E5433)))))</f>
        <v> </v>
      </c>
      <c r="L5434" s="27"/>
    </row>
    <row r="5435" spans="1:12">
      <c r="A5435" s="20" t="s">
        <v>1009</v>
      </c>
      <c r="E5435" s="22">
        <f>IF(D5435="?OLD","!!!","")</f>
        <v/>
      </c>
      <c r="F5435" s="23" t="str">
        <f>IF(OR(E5435="",E5435="!!!"),"",IF(NOT(ISNA(VLOOKUP(E5435,E$1:E5434,1,FALSE()))),"OLD",IF(AND(E5435&lt;&gt;"",E5435&lt;&gt;"!!!"),"NEW","")))</f>
        <v> </v>
      </c>
      <c r="G5435" s="24" t="str">
        <f>IF(OR(E5435="",E5435="!!!"),"",IF(OR(J5435=0,AND(J5435=1,K5435=1),AND(J5435=1,I5435="SBJ"),AND(J5435=1,I5435=0)),"?IN_FOCUS",IF(J5435&lt;=2,"?ACTIVATED",IF(J5435&lt;&gt;"","?FAMILIAR",IF(F5435="NEW",IF(ISNA(VLOOKUP(E5435,#REF!,1,FALSE())),"?TYPE_IDENTIFIABLE","?REFERENTIAL"),"_")))))</f>
        <v> </v>
      </c>
      <c r="H5435" s="25" t="str">
        <f>IF(J5435&lt;&gt;1,"",IF(I5435="SBJ","CB","?"))</f>
        <v> </v>
      </c>
      <c r="I5435" s="26" t="str">
        <f>IF(OR(E5435="",E5435="!!!",F5435="NEW"),"",INDEX(B5434:B$2,-1+SUMPRODUCT(MAX(ROW(E5434:E$2)*(E5435=E5434:E$2)))))</f>
        <v> </v>
      </c>
      <c r="J5435" s="26" t="str">
        <f>IF(OR(E5435="",E5435="!!!",F5435="NEW"),"",COUNTBLANK(OFFSET(A$1,,,SUMPRODUCT(MAX(ROW(E$2:E5435)*(E5435=E$2:E5435)))))-COUNTBLANK(OFFSET(A$1,,,SUMPRODUCT(MAX(ROW(E$1:E5434)*(E2=E$1:E5434))))))</f>
        <v> </v>
      </c>
      <c r="K5435" s="26" t="str">
        <f>IF(OR(E5435="",E5435="!!!",F5435="NEW"),"",INDEX(J$1:J5434,SUMPRODUCT(MAX(ROW(E$1:E5434)*(E5435=E$1:E5434)))))</f>
        <v> </v>
      </c>
      <c r="L5435" s="27"/>
    </row>
    <row r="5436" spans="1:12">
      <c r="A5436" s="20"/>
    </row>
    <row r="5437" spans="1:12">
      <c r="A5437" s="20" t="s">
        <v>1184</v>
      </c>
      <c r="E5437" s="22">
        <f>IF(D5437="?OLD","!!!","")</f>
        <v/>
      </c>
      <c r="F5437" s="23" t="str">
        <f>IF(OR(E5437="",E5437="!!!"),"",IF(NOT(ISNA(VLOOKUP(E5437,E$1:E5436,1,FALSE()))),"OLD",IF(AND(E5437&lt;&gt;"",E5437&lt;&gt;"!!!"),"NEW","")))</f>
        <v> </v>
      </c>
      <c r="G5437" s="24" t="str">
        <f>IF(OR(E5437="",E5437="!!!"),"",IF(OR(J5437=0,AND(J5437=1,K5437=1),AND(J5437=1,I5437="SBJ"),AND(J5437=1,I5437=0)),"?IN_FOCUS",IF(J5437&lt;=2,"?ACTIVATED",IF(J5437&lt;&gt;"","?FAMILIAR",IF(F5437="NEW",IF(ISNA(VLOOKUP(E5437,#REF!,1,FALSE())),"?TYPE_IDENTIFIABLE","?REFERENTIAL"),"_")))))</f>
        <v> </v>
      </c>
      <c r="H5437" s="25" t="str">
        <f>IF(J5437&lt;&gt;1,"",IF(I5437="SBJ","CB","?"))</f>
        <v> </v>
      </c>
      <c r="I5437" s="26" t="str">
        <f>IF(OR(E5437="",E5437="!!!",F5437="NEW"),"",INDEX(B5436:B$2,-1+SUMPRODUCT(MAX(ROW(E5436:E$2)*(E5437=E5436:E$2)))))</f>
        <v> </v>
      </c>
      <c r="J5437" s="26" t="str">
        <f>IF(OR(E5437="",E5437="!!!",F5437="NEW"),"",COUNTBLANK(OFFSET(A$1,,,SUMPRODUCT(MAX(ROW(E$2:E5437)*(E5437=E$2:E5437)))))-COUNTBLANK(OFFSET(A$1,,,SUMPRODUCT(MAX(ROW(E$1:E5436)*(E2=E$1:E5436))))))</f>
        <v> </v>
      </c>
      <c r="K5437" s="26" t="str">
        <f>IF(OR(E5437="",E5437="!!!",F5437="NEW"),"",INDEX(J$1:J5436,SUMPRODUCT(MAX(ROW(E$1:E5436)*(E5437=E$1:E5436)))))</f>
        <v> </v>
      </c>
      <c r="L5437" s="27"/>
    </row>
    <row r="5438" spans="1:12">
      <c r="A5438" s="20" t="s">
        <v>2479</v>
      </c>
    </row>
    <row r="5439" spans="1:12">
      <c r="A5439" s="20" t="s">
        <v>2480</v>
      </c>
      <c r="E5439" s="22">
        <f>IF(D5439="?OLD","!!!","")</f>
        <v/>
      </c>
      <c r="F5439" s="23" t="str">
        <f>IF(OR(E5439="",E5439="!!!"),"",IF(NOT(ISNA(VLOOKUP(E5439,E$1:E5438,1,FALSE()))),"OLD",IF(AND(E5439&lt;&gt;"",E5439&lt;&gt;"!!!"),"NEW","")))</f>
        <v> </v>
      </c>
      <c r="G5439" s="24" t="str">
        <f>IF(OR(E5439="",E5439="!!!"),"",IF(OR(J5439=0,AND(J5439=1,K5439=1),AND(J5439=1,I5439="SBJ"),AND(J5439=1,I5439=0)),"?IN_FOCUS",IF(J5439&lt;=2,"?ACTIVATED",IF(J5439&lt;&gt;"","?FAMILIAR",IF(F5439="NEW",IF(ISNA(VLOOKUP(E5439,#REF!,1,FALSE())),"?TYPE_IDENTIFIABLE","?REFERENTIAL"),"_")))))</f>
        <v> </v>
      </c>
      <c r="H5439" s="25" t="str">
        <f>IF(J5439&lt;&gt;1,"",IF(I5439="SBJ","CB","?"))</f>
        <v> </v>
      </c>
      <c r="I5439" s="26" t="str">
        <f>IF(OR(E5439="",E5439="!!!",F5439="NEW"),"",INDEX(B5438:B$2,-1+SUMPRODUCT(MAX(ROW(E5438:E$2)*(E5439=E5438:E$2)))))</f>
        <v> </v>
      </c>
      <c r="J5439" s="26" t="str">
        <f>IF(OR(E5439="",E5439="!!!",F5439="NEW"),"",COUNTBLANK(OFFSET(A$1,,,SUMPRODUCT(MAX(ROW(E$2:E5439)*(E5439=E$2:E5439)))))-COUNTBLANK(OFFSET(A$1,,,SUMPRODUCT(MAX(ROW(E$1:E5438)*(E2=E$1:E5438))))))</f>
        <v> </v>
      </c>
      <c r="K5439" s="26" t="str">
        <f>IF(OR(E5439="",E5439="!!!",F5439="NEW"),"",INDEX(J$1:J5438,SUMPRODUCT(MAX(ROW(E$1:E5438)*(E5439=E$1:E5438)))))</f>
        <v> </v>
      </c>
      <c r="L5439" s="27"/>
    </row>
    <row r="5440" spans="1:12">
      <c r="A5440" s="20" t="s">
        <v>1026</v>
      </c>
      <c r="E5440" s="22">
        <f>IF(D5440="?OLD","!!!","")</f>
        <v/>
      </c>
      <c r="F5440" s="23" t="str">
        <f>IF(OR(E5440="",E5440="!!!"),"",IF(NOT(ISNA(VLOOKUP(E5440,E$1:E5439,1,FALSE()))),"OLD",IF(AND(E5440&lt;&gt;"",E5440&lt;&gt;"!!!"),"NEW","")))</f>
        <v> </v>
      </c>
      <c r="G5440" s="24" t="str">
        <f>IF(OR(E5440="",E5440="!!!"),"",IF(OR(J5440=0,AND(J5440=1,K5440=1),AND(J5440=1,I5440="SBJ"),AND(J5440=1,I5440=0)),"?IN_FOCUS",IF(J5440&lt;=2,"?ACTIVATED",IF(J5440&lt;&gt;"","?FAMILIAR",IF(F5440="NEW",IF(ISNA(VLOOKUP(E5440,#REF!,1,FALSE())),"?TYPE_IDENTIFIABLE","?REFERENTIAL"),"_")))))</f>
        <v> </v>
      </c>
      <c r="H5440" s="25" t="str">
        <f>IF(J5440&lt;&gt;1,"",IF(I5440="SBJ","CB","?"))</f>
        <v> </v>
      </c>
      <c r="I5440" s="26" t="str">
        <f>IF(OR(E5440="",E5440="!!!",F5440="NEW"),"",INDEX(B5439:B$2,-1+SUMPRODUCT(MAX(ROW(E5439:E$2)*(E5440=E5439:E$2)))))</f>
        <v> </v>
      </c>
      <c r="J5440" s="26" t="str">
        <f>IF(OR(E5440="",E5440="!!!",F5440="NEW"),"",COUNTBLANK(OFFSET(A$1,,,SUMPRODUCT(MAX(ROW(E$2:E5440)*(E5440=E$2:E5440)))))-COUNTBLANK(OFFSET(A$1,,,SUMPRODUCT(MAX(ROW(E$1:E5439)*(E2=E$1:E5439))))))</f>
        <v> </v>
      </c>
      <c r="K5440" s="26" t="str">
        <f>IF(OR(E5440="",E5440="!!!",F5440="NEW"),"",INDEX(J$1:J5439,SUMPRODUCT(MAX(ROW(E$1:E5439)*(E5440=E$1:E5439)))))</f>
        <v> </v>
      </c>
      <c r="L5440" s="27"/>
    </row>
    <row r="5441" spans="1:12">
      <c r="A5441" s="20" t="s">
        <v>1324</v>
      </c>
      <c r="E5441" s="22">
        <f>IF(D5441="?OLD","!!!","")</f>
        <v/>
      </c>
      <c r="F5441" s="23" t="str">
        <f>IF(OR(E5441="",E5441="!!!"),"",IF(NOT(ISNA(VLOOKUP(E5441,E$1:E5440,1,FALSE()))),"OLD",IF(AND(E5441&lt;&gt;"",E5441&lt;&gt;"!!!"),"NEW","")))</f>
        <v> </v>
      </c>
      <c r="G5441" s="24" t="str">
        <f>IF(OR(E5441="",E5441="!!!"),"",IF(OR(J5441=0,AND(J5441=1,K5441=1),AND(J5441=1,I5441="SBJ"),AND(J5441=1,I5441=0)),"?IN_FOCUS",IF(J5441&lt;=2,"?ACTIVATED",IF(J5441&lt;&gt;"","?FAMILIAR",IF(F5441="NEW",IF(ISNA(VLOOKUP(E5441,#REF!,1,FALSE())),"?TYPE_IDENTIFIABLE","?REFERENTIAL"),"_")))))</f>
        <v> </v>
      </c>
      <c r="H5441" s="25" t="str">
        <f>IF(J5441&lt;&gt;1,"",IF(I5441="SBJ","CB","?"))</f>
        <v> </v>
      </c>
      <c r="I5441" s="26" t="str">
        <f>IF(OR(E5441="",E5441="!!!",F5441="NEW"),"",INDEX(B5440:B$2,-1+SUMPRODUCT(MAX(ROW(E5440:E$2)*(E5441=E5440:E$2)))))</f>
        <v> </v>
      </c>
      <c r="J5441" s="26" t="str">
        <f>IF(OR(E5441="",E5441="!!!",F5441="NEW"),"",COUNTBLANK(OFFSET(A$1,,,SUMPRODUCT(MAX(ROW(E$2:E5441)*(E5441=E$2:E5441)))))-COUNTBLANK(OFFSET(A$1,,,SUMPRODUCT(MAX(ROW(E$1:E5440)*(E2=E$1:E5440))))))</f>
        <v> </v>
      </c>
      <c r="K5441" s="26" t="str">
        <f>IF(OR(E5441="",E5441="!!!",F5441="NEW"),"",INDEX(J$1:J5440,SUMPRODUCT(MAX(ROW(E$1:E5440)*(E5441=E$1:E5440)))))</f>
        <v> </v>
      </c>
      <c r="L5441" s="27"/>
    </row>
    <row r="5442" spans="1:12">
      <c r="A5442" s="20" t="s">
        <v>1843</v>
      </c>
      <c r="B5442" s="21" t="s">
        <v>1029</v>
      </c>
      <c r="C5442" s="21" t="s">
        <v>1111</v>
      </c>
      <c r="E5442" s="22">
        <f>IF(D5442="?OLD","!!!","")</f>
        <v/>
      </c>
      <c r="F5442" s="23" t="str">
        <f>IF(OR(E5442="",E5442="!!!"),"",IF(NOT(ISNA(VLOOKUP(E5442,E$1:E5441,1,FALSE()))),"OLD",IF(AND(E5442&lt;&gt;"",E5442&lt;&gt;"!!!"),"NEW","")))</f>
        <v> </v>
      </c>
      <c r="G5442" s="24" t="str">
        <f>IF(OR(E5442="",E5442="!!!"),"",IF(OR(J5442=0,AND(J5442=1,K5442=1),AND(J5442=1,I5442="SBJ"),AND(J5442=1,I5442=0)),"?IN_FOCUS",IF(J5442&lt;=2,"?ACTIVATED",IF(J5442&lt;&gt;"","?FAMILIAR",IF(F5442="NEW",IF(ISNA(VLOOKUP(E5442,#REF!,1,FALSE())),"?TYPE_IDENTIFIABLE","?REFERENTIAL"),"_")))))</f>
        <v> </v>
      </c>
      <c r="H5442" s="25" t="str">
        <f>IF(J5442&lt;&gt;1,"",IF(I5442="SBJ","CB","?"))</f>
        <v> </v>
      </c>
      <c r="I5442" s="26" t="str">
        <f>IF(OR(E5442="",E5442="!!!",F5442="NEW"),"",INDEX(B5441:B$2,-1+SUMPRODUCT(MAX(ROW(E5441:E$2)*(E5442=E5441:E$2)))))</f>
        <v> </v>
      </c>
      <c r="J5442" s="26" t="str">
        <f>IF(OR(E5442="",E5442="!!!",F5442="NEW"),"",COUNTBLANK(OFFSET(A$1,,,SUMPRODUCT(MAX(ROW(E$2:E5442)*(E5442=E$2:E5442)))))-COUNTBLANK(OFFSET(A$1,,,SUMPRODUCT(MAX(ROW(E$1:E5441)*(E2=E$1:E5441))))))</f>
        <v> </v>
      </c>
      <c r="K5442" s="26" t="str">
        <f>IF(OR(E5442="",E5442="!!!",F5442="NEW"),"",INDEX(J$1:J5441,SUMPRODUCT(MAX(ROW(E$1:E5441)*(E5442=E$1:E5441)))))</f>
        <v> </v>
      </c>
      <c r="L5442" s="27"/>
    </row>
    <row r="5443" spans="1:12">
      <c r="A5443" s="20" t="s">
        <v>1476</v>
      </c>
      <c r="E5443" s="22">
        <f>IF(D5443="?OLD","!!!","")</f>
        <v/>
      </c>
      <c r="F5443" s="23" t="str">
        <f>IF(OR(E5443="",E5443="!!!"),"",IF(NOT(ISNA(VLOOKUP(E5443,E$1:E5442,1,FALSE()))),"OLD",IF(AND(E5443&lt;&gt;"",E5443&lt;&gt;"!!!"),"NEW","")))</f>
        <v> </v>
      </c>
      <c r="G5443" s="24" t="str">
        <f>IF(OR(E5443="",E5443="!!!"),"",IF(OR(J5443=0,AND(J5443=1,K5443=1),AND(J5443=1,I5443="SBJ"),AND(J5443=1,I5443=0)),"?IN_FOCUS",IF(J5443&lt;=2,"?ACTIVATED",IF(J5443&lt;&gt;"","?FAMILIAR",IF(F5443="NEW",IF(ISNA(VLOOKUP(E5443,#REF!,1,FALSE())),"?TYPE_IDENTIFIABLE","?REFERENTIAL"),"_")))))</f>
        <v> </v>
      </c>
      <c r="H5443" s="25" t="str">
        <f>IF(J5443&lt;&gt;1,"",IF(I5443="SBJ","CB","?"))</f>
        <v> </v>
      </c>
      <c r="I5443" s="26" t="str">
        <f>IF(OR(E5443="",E5443="!!!",F5443="NEW"),"",INDEX(B5442:B$2,-1+SUMPRODUCT(MAX(ROW(E5442:E$2)*(E5443=E5442:E$2)))))</f>
        <v> </v>
      </c>
      <c r="J5443" s="26" t="str">
        <f>IF(OR(E5443="",E5443="!!!",F5443="NEW"),"",COUNTBLANK(OFFSET(A$1,,,SUMPRODUCT(MAX(ROW(E$2:E5443)*(E5443=E$2:E5443)))))-COUNTBLANK(OFFSET(A$1,,,SUMPRODUCT(MAX(ROW(E$1:E5442)*(E2=E$1:E5442))))))</f>
        <v> </v>
      </c>
      <c r="K5443" s="26" t="str">
        <f>IF(OR(E5443="",E5443="!!!",F5443="NEW"),"",INDEX(J$1:J5442,SUMPRODUCT(MAX(ROW(E$1:E5442)*(E5443=E$1:E5442)))))</f>
        <v> </v>
      </c>
      <c r="L5443" s="27"/>
    </row>
    <row r="5444" spans="1:12">
      <c r="A5444" s="20" t="s">
        <v>1286</v>
      </c>
      <c r="E5444" s="22">
        <f>IF(D5444="?OLD","!!!","")</f>
        <v/>
      </c>
      <c r="F5444" s="23" t="str">
        <f>IF(OR(E5444="",E5444="!!!"),"",IF(NOT(ISNA(VLOOKUP(E5444,E$1:E5443,1,FALSE()))),"OLD",IF(AND(E5444&lt;&gt;"",E5444&lt;&gt;"!!!"),"NEW","")))</f>
        <v> </v>
      </c>
      <c r="G5444" s="24" t="str">
        <f>IF(OR(E5444="",E5444="!!!"),"",IF(OR(J5444=0,AND(J5444=1,K5444=1),AND(J5444=1,I5444="SBJ"),AND(J5444=1,I5444=0)),"?IN_FOCUS",IF(J5444&lt;=2,"?ACTIVATED",IF(J5444&lt;&gt;"","?FAMILIAR",IF(F5444="NEW",IF(ISNA(VLOOKUP(E5444,#REF!,1,FALSE())),"?TYPE_IDENTIFIABLE","?REFERENTIAL"),"_")))))</f>
        <v> </v>
      </c>
      <c r="H5444" s="25" t="str">
        <f>IF(J5444&lt;&gt;1,"",IF(I5444="SBJ","CB","?"))</f>
        <v> </v>
      </c>
      <c r="I5444" s="26" t="str">
        <f>IF(OR(E5444="",E5444="!!!",F5444="NEW"),"",INDEX(B5443:B$2,-1+SUMPRODUCT(MAX(ROW(E5443:E$2)*(E5444=E5443:E$2)))))</f>
        <v> </v>
      </c>
      <c r="J5444" s="26" t="str">
        <f>IF(OR(E5444="",E5444="!!!",F5444="NEW"),"",COUNTBLANK(OFFSET(A$1,,,SUMPRODUCT(MAX(ROW(E$2:E5444)*(E5444=E$2:E5444)))))-COUNTBLANK(OFFSET(A$1,,,SUMPRODUCT(MAX(ROW(E$1:E5443)*(E2=E$1:E5443))))))</f>
        <v> </v>
      </c>
      <c r="K5444" s="26" t="str">
        <f>IF(OR(E5444="",E5444="!!!",F5444="NEW"),"",INDEX(J$1:J5443,SUMPRODUCT(MAX(ROW(E$1:E5443)*(E5444=E$1:E5443)))))</f>
        <v> </v>
      </c>
      <c r="L5444" s="27"/>
    </row>
    <row r="5445" spans="1:12">
      <c r="A5445" s="20" t="s">
        <v>2481</v>
      </c>
      <c r="E5445" s="22">
        <f>IF(D5445="?OLD","!!!","")</f>
        <v/>
      </c>
      <c r="F5445" s="23" t="str">
        <f>IF(OR(E5445="",E5445="!!!"),"",IF(NOT(ISNA(VLOOKUP(E5445,E$1:E5444,1,FALSE()))),"OLD",IF(AND(E5445&lt;&gt;"",E5445&lt;&gt;"!!!"),"NEW","")))</f>
        <v> </v>
      </c>
      <c r="G5445" s="24" t="str">
        <f>IF(OR(E5445="",E5445="!!!"),"",IF(OR(J5445=0,AND(J5445=1,K5445=1),AND(J5445=1,I5445="SBJ"),AND(J5445=1,I5445=0)),"?IN_FOCUS",IF(J5445&lt;=2,"?ACTIVATED",IF(J5445&lt;&gt;"","?FAMILIAR",IF(F5445="NEW",IF(ISNA(VLOOKUP(E5445,#REF!,1,FALSE())),"?TYPE_IDENTIFIABLE","?REFERENTIAL"),"_")))))</f>
        <v> </v>
      </c>
      <c r="H5445" s="25" t="str">
        <f>IF(J5445&lt;&gt;1,"",IF(I5445="SBJ","CB","?"))</f>
        <v> </v>
      </c>
      <c r="I5445" s="26" t="str">
        <f>IF(OR(E5445="",E5445="!!!",F5445="NEW"),"",INDEX(B5444:B$2,-1+SUMPRODUCT(MAX(ROW(E5444:E$2)*(E5445=E5444:E$2)))))</f>
        <v> </v>
      </c>
      <c r="J5445" s="26" t="str">
        <f>IF(OR(E5445="",E5445="!!!",F5445="NEW"),"",COUNTBLANK(OFFSET(A$1,,,SUMPRODUCT(MAX(ROW(E$2:E5445)*(E5445=E$2:E5445)))))-COUNTBLANK(OFFSET(A$1,,,SUMPRODUCT(MAX(ROW(E$1:E5444)*(E2=E$1:E5444))))))</f>
        <v> </v>
      </c>
      <c r="K5445" s="26" t="str">
        <f>IF(OR(E5445="",E5445="!!!",F5445="NEW"),"",INDEX(J$1:J5444,SUMPRODUCT(MAX(ROW(E$1:E5444)*(E5445=E$1:E5444)))))</f>
        <v> </v>
      </c>
      <c r="L5445" s="27"/>
    </row>
    <row r="5446" spans="1:12">
      <c r="A5446" s="20" t="s">
        <v>1018</v>
      </c>
      <c r="E5446" s="22">
        <f>IF(D5446="?OLD","!!!","")</f>
        <v/>
      </c>
      <c r="F5446" s="23" t="str">
        <f>IF(OR(E5446="",E5446="!!!"),"",IF(NOT(ISNA(VLOOKUP(E5446,E$1:E5445,1,FALSE()))),"OLD",IF(AND(E5446&lt;&gt;"",E5446&lt;&gt;"!!!"),"NEW","")))</f>
        <v> </v>
      </c>
      <c r="G5446" s="24" t="str">
        <f>IF(OR(E5446="",E5446="!!!"),"",IF(OR(J5446=0,AND(J5446=1,K5446=1),AND(J5446=1,I5446="SBJ"),AND(J5446=1,I5446=0)),"?IN_FOCUS",IF(J5446&lt;=2,"?ACTIVATED",IF(J5446&lt;&gt;"","?FAMILIAR",IF(F5446="NEW",IF(ISNA(VLOOKUP(E5446,#REF!,1,FALSE())),"?TYPE_IDENTIFIABLE","?REFERENTIAL"),"_")))))</f>
        <v> </v>
      </c>
      <c r="H5446" s="25" t="str">
        <f>IF(J5446&lt;&gt;1,"",IF(I5446="SBJ","CB","?"))</f>
        <v> </v>
      </c>
      <c r="I5446" s="26" t="str">
        <f>IF(OR(E5446="",E5446="!!!",F5446="NEW"),"",INDEX(B5445:B$2,-1+SUMPRODUCT(MAX(ROW(E5445:E$2)*(E5446=E5445:E$2)))))</f>
        <v> </v>
      </c>
      <c r="J5446" s="26" t="str">
        <f>IF(OR(E5446="",E5446="!!!",F5446="NEW"),"",COUNTBLANK(OFFSET(A$1,,,SUMPRODUCT(MAX(ROW(E$2:E5446)*(E5446=E$2:E5446)))))-COUNTBLANK(OFFSET(A$1,,,SUMPRODUCT(MAX(ROW(E$1:E5445)*(E2=E$1:E5445))))))</f>
        <v> </v>
      </c>
      <c r="K5446" s="26" t="str">
        <f>IF(OR(E5446="",E5446="!!!",F5446="NEW"),"",INDEX(J$1:J5445,SUMPRODUCT(MAX(ROW(E$1:E5445)*(E5446=E$1:E5445)))))</f>
        <v> </v>
      </c>
      <c r="L5446" s="27"/>
    </row>
    <row r="5447" spans="1:12">
      <c r="A5447" s="20" t="s">
        <v>1330</v>
      </c>
      <c r="E5447" s="22">
        <f>IF(D5447="?OLD","!!!","")</f>
        <v/>
      </c>
      <c r="F5447" s="23" t="str">
        <f>IF(OR(E5447="",E5447="!!!"),"",IF(NOT(ISNA(VLOOKUP(E5447,E$1:E5446,1,FALSE()))),"OLD",IF(AND(E5447&lt;&gt;"",E5447&lt;&gt;"!!!"),"NEW","")))</f>
        <v> </v>
      </c>
      <c r="G5447" s="24" t="str">
        <f>IF(OR(E5447="",E5447="!!!"),"",IF(OR(J5447=0,AND(J5447=1,K5447=1),AND(J5447=1,I5447="SBJ"),AND(J5447=1,I5447=0)),"?IN_FOCUS",IF(J5447&lt;=2,"?ACTIVATED",IF(J5447&lt;&gt;"","?FAMILIAR",IF(F5447="NEW",IF(ISNA(VLOOKUP(E5447,#REF!,1,FALSE())),"?TYPE_IDENTIFIABLE","?REFERENTIAL"),"_")))))</f>
        <v> </v>
      </c>
      <c r="H5447" s="25" t="str">
        <f>IF(J5447&lt;&gt;1,"",IF(I5447="SBJ","CB","?"))</f>
        <v> </v>
      </c>
      <c r="I5447" s="26" t="str">
        <f>IF(OR(E5447="",E5447="!!!",F5447="NEW"),"",INDEX(B5446:B$2,-1+SUMPRODUCT(MAX(ROW(E5446:E$2)*(E5447=E5446:E$2)))))</f>
        <v> </v>
      </c>
      <c r="J5447" s="26" t="str">
        <f>IF(OR(E5447="",E5447="!!!",F5447="NEW"),"",COUNTBLANK(OFFSET(A$1,,,SUMPRODUCT(MAX(ROW(E$2:E5447)*(E5447=E$2:E5447)))))-COUNTBLANK(OFFSET(A$1,,,SUMPRODUCT(MAX(ROW(E$1:E5446)*(E2=E$1:E5446))))))</f>
        <v> </v>
      </c>
      <c r="K5447" s="26" t="str">
        <f>IF(OR(E5447="",E5447="!!!",F5447="NEW"),"",INDEX(J$1:J5446,SUMPRODUCT(MAX(ROW(E$1:E5446)*(E5447=E$1:E5446)))))</f>
        <v> </v>
      </c>
      <c r="L5447" s="27"/>
    </row>
    <row r="5448" spans="1:12">
      <c r="A5448" s="20" t="s">
        <v>1107</v>
      </c>
      <c r="E5448" s="22">
        <f>IF(D5448="?OLD","!!!","")</f>
        <v/>
      </c>
      <c r="F5448" s="23" t="str">
        <f>IF(OR(E5448="",E5448="!!!"),"",IF(NOT(ISNA(VLOOKUP(E5448,E$1:E5447,1,FALSE()))),"OLD",IF(AND(E5448&lt;&gt;"",E5448&lt;&gt;"!!!"),"NEW","")))</f>
        <v> </v>
      </c>
      <c r="G5448" s="24" t="str">
        <f>IF(OR(E5448="",E5448="!!!"),"",IF(OR(J5448=0,AND(J5448=1,K5448=1),AND(J5448=1,I5448="SBJ"),AND(J5448=1,I5448=0)),"?IN_FOCUS",IF(J5448&lt;=2,"?ACTIVATED",IF(J5448&lt;&gt;"","?FAMILIAR",IF(F5448="NEW",IF(ISNA(VLOOKUP(E5448,#REF!,1,FALSE())),"?TYPE_IDENTIFIABLE","?REFERENTIAL"),"_")))))</f>
        <v> </v>
      </c>
      <c r="H5448" s="25" t="str">
        <f>IF(J5448&lt;&gt;1,"",IF(I5448="SBJ","CB","?"))</f>
        <v> </v>
      </c>
      <c r="I5448" s="26" t="str">
        <f>IF(OR(E5448="",E5448="!!!",F5448="NEW"),"",INDEX(B5447:B$2,-1+SUMPRODUCT(MAX(ROW(E5447:E$2)*(E5448=E5447:E$2)))))</f>
        <v> </v>
      </c>
      <c r="J5448" s="26" t="str">
        <f>IF(OR(E5448="",E5448="!!!",F5448="NEW"),"",COUNTBLANK(OFFSET(A$1,,,SUMPRODUCT(MAX(ROW(E$2:E5448)*(E5448=E$2:E5448)))))-COUNTBLANK(OFFSET(A$1,,,SUMPRODUCT(MAX(ROW(E$1:E5447)*(E2=E$1:E5447))))))</f>
        <v> </v>
      </c>
      <c r="K5448" s="26" t="str">
        <f>IF(OR(E5448="",E5448="!!!",F5448="NEW"),"",INDEX(J$1:J5447,SUMPRODUCT(MAX(ROW(E$1:E5447)*(E5448=E$1:E5447)))))</f>
        <v> </v>
      </c>
      <c r="L5448" s="27"/>
    </row>
    <row r="5449" spans="1:12">
      <c r="A5449" s="20" t="s">
        <v>1189</v>
      </c>
      <c r="E5449" s="22">
        <f>IF(D5449="?OLD","!!!","")</f>
        <v/>
      </c>
      <c r="F5449" s="23" t="str">
        <f>IF(OR(E5449="",E5449="!!!"),"",IF(NOT(ISNA(VLOOKUP(E5449,E$1:E5448,1,FALSE()))),"OLD",IF(AND(E5449&lt;&gt;"",E5449&lt;&gt;"!!!"),"NEW","")))</f>
        <v> </v>
      </c>
      <c r="G5449" s="24" t="str">
        <f>IF(OR(E5449="",E5449="!!!"),"",IF(OR(J5449=0,AND(J5449=1,K5449=1),AND(J5449=1,I5449="SBJ"),AND(J5449=1,I5449=0)),"?IN_FOCUS",IF(J5449&lt;=2,"?ACTIVATED",IF(J5449&lt;&gt;"","?FAMILIAR",IF(F5449="NEW",IF(ISNA(VLOOKUP(E5449,#REF!,1,FALSE())),"?TYPE_IDENTIFIABLE","?REFERENTIAL"),"_")))))</f>
        <v> </v>
      </c>
      <c r="H5449" s="25" t="str">
        <f>IF(J5449&lt;&gt;1,"",IF(I5449="SBJ","CB","?"))</f>
        <v> </v>
      </c>
      <c r="I5449" s="26" t="str">
        <f>IF(OR(E5449="",E5449="!!!",F5449="NEW"),"",INDEX(B5448:B$2,-1+SUMPRODUCT(MAX(ROW(E5448:E$2)*(E5449=E5448:E$2)))))</f>
        <v> </v>
      </c>
      <c r="J5449" s="26" t="str">
        <f>IF(OR(E5449="",E5449="!!!",F5449="NEW"),"",COUNTBLANK(OFFSET(A$1,,,SUMPRODUCT(MAX(ROW(E$2:E5449)*(E5449=E$2:E5449)))))-COUNTBLANK(OFFSET(A$1,,,SUMPRODUCT(MAX(ROW(E$1:E5448)*(E2=E$1:E5448))))))</f>
        <v> </v>
      </c>
      <c r="K5449" s="26" t="str">
        <f>IF(OR(E5449="",E5449="!!!",F5449="NEW"),"",INDEX(J$1:J5448,SUMPRODUCT(MAX(ROW(E$1:E5448)*(E5449=E$1:E5448)))))</f>
        <v> </v>
      </c>
      <c r="L5449" s="27"/>
    </row>
    <row r="5450" spans="1:12">
      <c r="A5450" s="20" t="s">
        <v>1110</v>
      </c>
      <c r="B5450" s="21" t="s">
        <v>1005</v>
      </c>
      <c r="C5450" s="21" t="s">
        <v>1048</v>
      </c>
      <c r="E5450" s="22">
        <f>IF(D5450="?OLD","!!!","")</f>
        <v/>
      </c>
      <c r="F5450" s="23" t="str">
        <f>IF(OR(E5450="",E5450="!!!"),"",IF(NOT(ISNA(VLOOKUP(E5450,E$1:E5449,1,FALSE()))),"OLD",IF(AND(E5450&lt;&gt;"",E5450&lt;&gt;"!!!"),"NEW","")))</f>
        <v> </v>
      </c>
      <c r="G5450" s="24" t="str">
        <f>IF(OR(E5450="",E5450="!!!"),"",IF(OR(J5450=0,AND(J5450=1,K5450=1),AND(J5450=1,I5450="SBJ"),AND(J5450=1,I5450=0)),"?IN_FOCUS",IF(J5450&lt;=2,"?ACTIVATED",IF(J5450&lt;&gt;"","?FAMILIAR",IF(F5450="NEW",IF(ISNA(VLOOKUP(E5450,#REF!,1,FALSE())),"?TYPE_IDENTIFIABLE","?REFERENTIAL"),"_")))))</f>
        <v> </v>
      </c>
      <c r="H5450" s="25" t="str">
        <f>IF(J5450&lt;&gt;1,"",IF(I5450="SBJ","CB","?"))</f>
        <v> </v>
      </c>
      <c r="I5450" s="26" t="str">
        <f>IF(OR(E5450="",E5450="!!!",F5450="NEW"),"",INDEX(B5449:B$2,-1+SUMPRODUCT(MAX(ROW(E5449:E$2)*(E5450=E5449:E$2)))))</f>
        <v> </v>
      </c>
      <c r="J5450" s="26" t="str">
        <f>IF(OR(E5450="",E5450="!!!",F5450="NEW"),"",COUNTBLANK(OFFSET(A$1,,,SUMPRODUCT(MAX(ROW(E$2:E5450)*(E5450=E$2:E5450)))))-COUNTBLANK(OFFSET(A$1,,,SUMPRODUCT(MAX(ROW(E$1:E5449)*(E2=E$1:E5449))))))</f>
        <v> </v>
      </c>
      <c r="K5450" s="26" t="str">
        <f>IF(OR(E5450="",E5450="!!!",F5450="NEW"),"",INDEX(J$1:J5449,SUMPRODUCT(MAX(ROW(E$1:E5449)*(E5450=E$1:E5449)))))</f>
        <v> </v>
      </c>
      <c r="L5450" s="27"/>
    </row>
    <row r="5451" spans="1:12">
      <c r="A5451" s="20" t="s">
        <v>1189</v>
      </c>
      <c r="E5451" s="22">
        <f>IF(D5451="?OLD","!!!","")</f>
        <v/>
      </c>
      <c r="F5451" s="23" t="str">
        <f>IF(OR(E5451="",E5451="!!!"),"",IF(NOT(ISNA(VLOOKUP(E5451,E$1:E5450,1,FALSE()))),"OLD",IF(AND(E5451&lt;&gt;"",E5451&lt;&gt;"!!!"),"NEW","")))</f>
        <v> </v>
      </c>
      <c r="G5451" s="24" t="str">
        <f>IF(OR(E5451="",E5451="!!!"),"",IF(OR(J5451=0,AND(J5451=1,K5451=1),AND(J5451=1,I5451="SBJ"),AND(J5451=1,I5451=0)),"?IN_FOCUS",IF(J5451&lt;=2,"?ACTIVATED",IF(J5451&lt;&gt;"","?FAMILIAR",IF(F5451="NEW",IF(ISNA(VLOOKUP(E5451,#REF!,1,FALSE())),"?TYPE_IDENTIFIABLE","?REFERENTIAL"),"_")))))</f>
        <v> </v>
      </c>
      <c r="H5451" s="25" t="str">
        <f>IF(J5451&lt;&gt;1,"",IF(I5451="SBJ","CB","?"))</f>
        <v> </v>
      </c>
      <c r="I5451" s="26" t="str">
        <f>IF(OR(E5451="",E5451="!!!",F5451="NEW"),"",INDEX(B5450:B$2,-1+SUMPRODUCT(MAX(ROW(E5450:E$2)*(E5451=E5450:E$2)))))</f>
        <v> </v>
      </c>
      <c r="J5451" s="26" t="str">
        <f>IF(OR(E5451="",E5451="!!!",F5451="NEW"),"",COUNTBLANK(OFFSET(A$1,,,SUMPRODUCT(MAX(ROW(E$2:E5451)*(E5451=E$2:E5451)))))-COUNTBLANK(OFFSET(A$1,,,SUMPRODUCT(MAX(ROW(E$1:E5450)*(E2=E$1:E5450))))))</f>
        <v> </v>
      </c>
      <c r="K5451" s="26" t="str">
        <f>IF(OR(E5451="",E5451="!!!",F5451="NEW"),"",INDEX(J$1:J5450,SUMPRODUCT(MAX(ROW(E$1:E5450)*(E5451=E$1:E5450)))))</f>
        <v> </v>
      </c>
      <c r="L5451" s="27"/>
    </row>
    <row r="5452" spans="1:12">
      <c r="A5452" s="20" t="s">
        <v>1018</v>
      </c>
      <c r="E5452" s="22">
        <f>IF(D5452="?OLD","!!!","")</f>
        <v/>
      </c>
      <c r="F5452" s="23" t="str">
        <f>IF(OR(E5452="",E5452="!!!"),"",IF(NOT(ISNA(VLOOKUP(E5452,E$1:E5451,1,FALSE()))),"OLD",IF(AND(E5452&lt;&gt;"",E5452&lt;&gt;"!!!"),"NEW","")))</f>
        <v> </v>
      </c>
      <c r="G5452" s="24" t="str">
        <f>IF(OR(E5452="",E5452="!!!"),"",IF(OR(J5452=0,AND(J5452=1,K5452=1),AND(J5452=1,I5452="SBJ"),AND(J5452=1,I5452=0)),"?IN_FOCUS",IF(J5452&lt;=2,"?ACTIVATED",IF(J5452&lt;&gt;"","?FAMILIAR",IF(F5452="NEW",IF(ISNA(VLOOKUP(E5452,#REF!,1,FALSE())),"?TYPE_IDENTIFIABLE","?REFERENTIAL"),"_")))))</f>
        <v> </v>
      </c>
      <c r="H5452" s="25" t="str">
        <f>IF(J5452&lt;&gt;1,"",IF(I5452="SBJ","CB","?"))</f>
        <v> </v>
      </c>
      <c r="I5452" s="26" t="str">
        <f>IF(OR(E5452="",E5452="!!!",F5452="NEW"),"",INDEX(B5451:B$2,-1+SUMPRODUCT(MAX(ROW(E5451:E$2)*(E5452=E5451:E$2)))))</f>
        <v> </v>
      </c>
      <c r="J5452" s="26" t="str">
        <f>IF(OR(E5452="",E5452="!!!",F5452="NEW"),"",COUNTBLANK(OFFSET(A$1,,,SUMPRODUCT(MAX(ROW(E$2:E5452)*(E5452=E$2:E5452)))))-COUNTBLANK(OFFSET(A$1,,,SUMPRODUCT(MAX(ROW(E$1:E5451)*(E2=E$1:E5451))))))</f>
        <v> </v>
      </c>
      <c r="K5452" s="26" t="str">
        <f>IF(OR(E5452="",E5452="!!!",F5452="NEW"),"",INDEX(J$1:J5451,SUMPRODUCT(MAX(ROW(E$1:E5451)*(E5452=E$1:E5451)))))</f>
        <v> </v>
      </c>
      <c r="L5452" s="27"/>
    </row>
    <row r="5453" spans="1:12">
      <c r="A5453" s="20" t="s">
        <v>1739</v>
      </c>
      <c r="E5453" s="22">
        <f>IF(D5453="?OLD","!!!","")</f>
        <v/>
      </c>
      <c r="F5453" s="23" t="str">
        <f>IF(OR(E5453="",E5453="!!!"),"",IF(NOT(ISNA(VLOOKUP(E5453,E$1:E5452,1,FALSE()))),"OLD",IF(AND(E5453&lt;&gt;"",E5453&lt;&gt;"!!!"),"NEW","")))</f>
        <v> </v>
      </c>
      <c r="G5453" s="24" t="str">
        <f>IF(OR(E5453="",E5453="!!!"),"",IF(OR(J5453=0,AND(J5453=1,K5453=1),AND(J5453=1,I5453="SBJ"),AND(J5453=1,I5453=0)),"?IN_FOCUS",IF(J5453&lt;=2,"?ACTIVATED",IF(J5453&lt;&gt;"","?FAMILIAR",IF(F5453="NEW",IF(ISNA(VLOOKUP(E5453,#REF!,1,FALSE())),"?TYPE_IDENTIFIABLE","?REFERENTIAL"),"_")))))</f>
        <v> </v>
      </c>
      <c r="H5453" s="25" t="str">
        <f>IF(J5453&lt;&gt;1,"",IF(I5453="SBJ","CB","?"))</f>
        <v> </v>
      </c>
      <c r="I5453" s="26" t="str">
        <f>IF(OR(E5453="",E5453="!!!",F5453="NEW"),"",INDEX(B5452:B$2,-1+SUMPRODUCT(MAX(ROW(E5452:E$2)*(E5453=E5452:E$2)))))</f>
        <v> </v>
      </c>
      <c r="J5453" s="26" t="str">
        <f>IF(OR(E5453="",E5453="!!!",F5453="NEW"),"",COUNTBLANK(OFFSET(A$1,,,SUMPRODUCT(MAX(ROW(E$2:E5453)*(E5453=E$2:E5453)))))-COUNTBLANK(OFFSET(A$1,,,SUMPRODUCT(MAX(ROW(E$1:E5452)*(E2=E$1:E5452))))))</f>
        <v> </v>
      </c>
      <c r="K5453" s="26" t="str">
        <f>IF(OR(E5453="",E5453="!!!",F5453="NEW"),"",INDEX(J$1:J5452,SUMPRODUCT(MAX(ROW(E$1:E5452)*(E5453=E$1:E5452)))))</f>
        <v> </v>
      </c>
      <c r="L5453" s="27"/>
    </row>
    <row r="5454" spans="1:12">
      <c r="A5454" s="20" t="s">
        <v>1065</v>
      </c>
      <c r="E5454" s="22">
        <f>IF(D5454="?OLD","!!!","")</f>
        <v/>
      </c>
      <c r="F5454" s="23" t="str">
        <f>IF(OR(E5454="",E5454="!!!"),"",IF(NOT(ISNA(VLOOKUP(E5454,E$1:E5453,1,FALSE()))),"OLD",IF(AND(E5454&lt;&gt;"",E5454&lt;&gt;"!!!"),"NEW","")))</f>
        <v> </v>
      </c>
      <c r="G5454" s="24" t="str">
        <f>IF(OR(E5454="",E5454="!!!"),"",IF(OR(J5454=0,AND(J5454=1,K5454=1),AND(J5454=1,I5454="SBJ"),AND(J5454=1,I5454=0)),"?IN_FOCUS",IF(J5454&lt;=2,"?ACTIVATED",IF(J5454&lt;&gt;"","?FAMILIAR",IF(F5454="NEW",IF(ISNA(VLOOKUP(E5454,#REF!,1,FALSE())),"?TYPE_IDENTIFIABLE","?REFERENTIAL"),"_")))))</f>
        <v> </v>
      </c>
      <c r="H5454" s="25" t="str">
        <f>IF(J5454&lt;&gt;1,"",IF(I5454="SBJ","CB","?"))</f>
        <v> </v>
      </c>
      <c r="I5454" s="26" t="str">
        <f>IF(OR(E5454="",E5454="!!!",F5454="NEW"),"",INDEX(B5453:B$2,-1+SUMPRODUCT(MAX(ROW(E5453:E$2)*(E5454=E5453:E$2)))))</f>
        <v> </v>
      </c>
      <c r="J5454" s="26" t="str">
        <f>IF(OR(E5454="",E5454="!!!",F5454="NEW"),"",COUNTBLANK(OFFSET(A$1,,,SUMPRODUCT(MAX(ROW(E$2:E5454)*(E5454=E$2:E5454)))))-COUNTBLANK(OFFSET(A$1,,,SUMPRODUCT(MAX(ROW(E$1:E5453)*(E2=E$1:E5453))))))</f>
        <v> </v>
      </c>
      <c r="K5454" s="26" t="str">
        <f>IF(OR(E5454="",E5454="!!!",F5454="NEW"),"",INDEX(J$1:J5453,SUMPRODUCT(MAX(ROW(E$1:E5453)*(E5454=E$1:E5453)))))</f>
        <v> </v>
      </c>
      <c r="L5454" s="27"/>
    </row>
    <row r="5455" spans="1:12">
      <c r="A5455" s="20" t="s">
        <v>1150</v>
      </c>
      <c r="E5455" s="22">
        <f>IF(D5455="?OLD","!!!","")</f>
        <v/>
      </c>
      <c r="F5455" s="23" t="str">
        <f>IF(OR(E5455="",E5455="!!!"),"",IF(NOT(ISNA(VLOOKUP(E5455,E$1:E5454,1,FALSE()))),"OLD",IF(AND(E5455&lt;&gt;"",E5455&lt;&gt;"!!!"),"NEW","")))</f>
        <v> </v>
      </c>
      <c r="G5455" s="24" t="str">
        <f>IF(OR(E5455="",E5455="!!!"),"",IF(OR(J5455=0,AND(J5455=1,K5455=1),AND(J5455=1,I5455="SBJ"),AND(J5455=1,I5455=0)),"?IN_FOCUS",IF(J5455&lt;=2,"?ACTIVATED",IF(J5455&lt;&gt;"","?FAMILIAR",IF(F5455="NEW",IF(ISNA(VLOOKUP(E5455,#REF!,1,FALSE())),"?TYPE_IDENTIFIABLE","?REFERENTIAL"),"_")))))</f>
        <v> </v>
      </c>
      <c r="H5455" s="25" t="str">
        <f>IF(J5455&lt;&gt;1,"",IF(I5455="SBJ","CB","?"))</f>
        <v> </v>
      </c>
      <c r="I5455" s="26" t="str">
        <f>IF(OR(E5455="",E5455="!!!",F5455="NEW"),"",INDEX(B5454:B$2,-1+SUMPRODUCT(MAX(ROW(E5454:E$2)*(E5455=E5454:E$2)))))</f>
        <v> </v>
      </c>
      <c r="J5455" s="26" t="str">
        <f>IF(OR(E5455="",E5455="!!!",F5455="NEW"),"",COUNTBLANK(OFFSET(A$1,,,SUMPRODUCT(MAX(ROW(E$2:E5455)*(E5455=E$2:E5455)))))-COUNTBLANK(OFFSET(A$1,,,SUMPRODUCT(MAX(ROW(E$1:E5454)*(E2=E$1:E5454))))))</f>
        <v> </v>
      </c>
      <c r="K5455" s="26" t="str">
        <f>IF(OR(E5455="",E5455="!!!",F5455="NEW"),"",INDEX(J$1:J5454,SUMPRODUCT(MAX(ROW(E$1:E5454)*(E5455=E$1:E5454)))))</f>
        <v> </v>
      </c>
      <c r="L5455" s="27"/>
    </row>
    <row r="5456" spans="1:12">
      <c r="A5456" s="20" t="s">
        <v>987</v>
      </c>
      <c r="E5456" s="22">
        <f>IF(D5456="?OLD","!!!","")</f>
        <v/>
      </c>
      <c r="F5456" s="23" t="str">
        <f>IF(OR(E5456="",E5456="!!!"),"",IF(NOT(ISNA(VLOOKUP(E5456,E$1:E5455,1,FALSE()))),"OLD",IF(AND(E5456&lt;&gt;"",E5456&lt;&gt;"!!!"),"NEW","")))</f>
        <v> </v>
      </c>
      <c r="G5456" s="24" t="str">
        <f>IF(OR(E5456="",E5456="!!!"),"",IF(OR(J5456=0,AND(J5456=1,K5456=1),AND(J5456=1,I5456="SBJ"),AND(J5456=1,I5456=0)),"?IN_FOCUS",IF(J5456&lt;=2,"?ACTIVATED",IF(J5456&lt;&gt;"","?FAMILIAR",IF(F5456="NEW",IF(ISNA(VLOOKUP(E5456,#REF!,1,FALSE())),"?TYPE_IDENTIFIABLE","?REFERENTIAL"),"_")))))</f>
        <v> </v>
      </c>
      <c r="H5456" s="25" t="str">
        <f>IF(J5456&lt;&gt;1,"",IF(I5456="SBJ","CB","?"))</f>
        <v> </v>
      </c>
      <c r="I5456" s="26" t="str">
        <f>IF(OR(E5456="",E5456="!!!",F5456="NEW"),"",INDEX(B5455:B$2,-1+SUMPRODUCT(MAX(ROW(E5455:E$2)*(E5456=E5455:E$2)))))</f>
        <v> </v>
      </c>
      <c r="J5456" s="26" t="str">
        <f>IF(OR(E5456="",E5456="!!!",F5456="NEW"),"",COUNTBLANK(OFFSET(A$1,,,SUMPRODUCT(MAX(ROW(E$2:E5456)*(E5456=E$2:E5456)))))-COUNTBLANK(OFFSET(A$1,,,SUMPRODUCT(MAX(ROW(E$1:E5455)*(E2=E$1:E5455))))))</f>
        <v> </v>
      </c>
      <c r="K5456" s="26" t="str">
        <f>IF(OR(E5456="",E5456="!!!",F5456="NEW"),"",INDEX(J$1:J5455,SUMPRODUCT(MAX(ROW(E$1:E5455)*(E5456=E$1:E5455)))))</f>
        <v> </v>
      </c>
      <c r="L5456" s="27"/>
    </row>
    <row r="5457" spans="1:12">
      <c r="A5457" s="20" t="s">
        <v>1020</v>
      </c>
      <c r="E5457" s="22">
        <f>IF(D5457="?OLD","!!!","")</f>
        <v/>
      </c>
      <c r="F5457" s="23" t="str">
        <f>IF(OR(E5457="",E5457="!!!"),"",IF(NOT(ISNA(VLOOKUP(E5457,E$1:E5456,1,FALSE()))),"OLD",IF(AND(E5457&lt;&gt;"",E5457&lt;&gt;"!!!"),"NEW","")))</f>
        <v> </v>
      </c>
      <c r="G5457" s="24" t="str">
        <f>IF(OR(E5457="",E5457="!!!"),"",IF(OR(J5457=0,AND(J5457=1,K5457=1),AND(J5457=1,I5457="SBJ"),AND(J5457=1,I5457=0)),"?IN_FOCUS",IF(J5457&lt;=2,"?ACTIVATED",IF(J5457&lt;&gt;"","?FAMILIAR",IF(F5457="NEW",IF(ISNA(VLOOKUP(E5457,#REF!,1,FALSE())),"?TYPE_IDENTIFIABLE","?REFERENTIAL"),"_")))))</f>
        <v> </v>
      </c>
      <c r="H5457" s="25" t="str">
        <f>IF(J5457&lt;&gt;1,"",IF(I5457="SBJ","CB","?"))</f>
        <v> </v>
      </c>
      <c r="I5457" s="26" t="str">
        <f>IF(OR(E5457="",E5457="!!!",F5457="NEW"),"",INDEX(B5456:B$2,-1+SUMPRODUCT(MAX(ROW(E5456:E$2)*(E5457=E5456:E$2)))))</f>
        <v> </v>
      </c>
      <c r="J5457" s="26" t="str">
        <f>IF(OR(E5457="",E5457="!!!",F5457="NEW"),"",COUNTBLANK(OFFSET(A$1,,,SUMPRODUCT(MAX(ROW(E$2:E5457)*(E5457=E$2:E5457)))))-COUNTBLANK(OFFSET(A$1,,,SUMPRODUCT(MAX(ROW(E$1:E5456)*(E2=E$1:E5456))))))</f>
        <v> </v>
      </c>
      <c r="K5457" s="26" t="str">
        <f>IF(OR(E5457="",E5457="!!!",F5457="NEW"),"",INDEX(J$1:J5456,SUMPRODUCT(MAX(ROW(E$1:E5456)*(E5457=E$1:E5456)))))</f>
        <v> </v>
      </c>
      <c r="L5457" s="27"/>
    </row>
    <row r="5458" spans="1:12">
      <c r="A5458" s="20" t="s">
        <v>2482</v>
      </c>
      <c r="E5458" s="22">
        <f>IF(D5458="?OLD","!!!","")</f>
        <v/>
      </c>
      <c r="F5458" s="23" t="str">
        <f>IF(OR(E5458="",E5458="!!!"),"",IF(NOT(ISNA(VLOOKUP(E5458,E$1:E5457,1,FALSE()))),"OLD",IF(AND(E5458&lt;&gt;"",E5458&lt;&gt;"!!!"),"NEW","")))</f>
        <v> </v>
      </c>
      <c r="G5458" s="24" t="str">
        <f>IF(OR(E5458="",E5458="!!!"),"",IF(OR(J5458=0,AND(J5458=1,K5458=1),AND(J5458=1,I5458="SBJ"),AND(J5458=1,I5458=0)),"?IN_FOCUS",IF(J5458&lt;=2,"?ACTIVATED",IF(J5458&lt;&gt;"","?FAMILIAR",IF(F5458="NEW",IF(ISNA(VLOOKUP(E5458,#REF!,1,FALSE())),"?TYPE_IDENTIFIABLE","?REFERENTIAL"),"_")))))</f>
        <v> </v>
      </c>
      <c r="H5458" s="25" t="str">
        <f>IF(J5458&lt;&gt;1,"",IF(I5458="SBJ","CB","?"))</f>
        <v> </v>
      </c>
      <c r="I5458" s="26" t="str">
        <f>IF(OR(E5458="",E5458="!!!",F5458="NEW"),"",INDEX(B5457:B$2,-1+SUMPRODUCT(MAX(ROW(E5457:E$2)*(E5458=E5457:E$2)))))</f>
        <v> </v>
      </c>
      <c r="J5458" s="26" t="str">
        <f>IF(OR(E5458="",E5458="!!!",F5458="NEW"),"",COUNTBLANK(OFFSET(A$1,,,SUMPRODUCT(MAX(ROW(E$2:E5458)*(E5458=E$2:E5458)))))-COUNTBLANK(OFFSET(A$1,,,SUMPRODUCT(MAX(ROW(E$1:E5457)*(E2=E$1:E5457))))))</f>
        <v> </v>
      </c>
      <c r="K5458" s="26" t="str">
        <f>IF(OR(E5458="",E5458="!!!",F5458="NEW"),"",INDEX(J$1:J5457,SUMPRODUCT(MAX(ROW(E$1:E5457)*(E5458=E$1:E5457)))))</f>
        <v> </v>
      </c>
      <c r="L5458" s="27"/>
    </row>
    <row r="5459" spans="1:12">
      <c r="A5459" s="20" t="s">
        <v>1171</v>
      </c>
      <c r="E5459" s="22">
        <f>IF(D5459="?OLD","!!!","")</f>
        <v/>
      </c>
      <c r="F5459" s="23" t="str">
        <f>IF(OR(E5459="",E5459="!!!"),"",IF(NOT(ISNA(VLOOKUP(E5459,E$1:E5458,1,FALSE()))),"OLD",IF(AND(E5459&lt;&gt;"",E5459&lt;&gt;"!!!"),"NEW","")))</f>
        <v> </v>
      </c>
      <c r="G5459" s="24" t="str">
        <f>IF(OR(E5459="",E5459="!!!"),"",IF(OR(J5459=0,AND(J5459=1,K5459=1),AND(J5459=1,I5459="SBJ"),AND(J5459=1,I5459=0)),"?IN_FOCUS",IF(J5459&lt;=2,"?ACTIVATED",IF(J5459&lt;&gt;"","?FAMILIAR",IF(F5459="NEW",IF(ISNA(VLOOKUP(E5459,#REF!,1,FALSE())),"?TYPE_IDENTIFIABLE","?REFERENTIAL"),"_")))))</f>
        <v> </v>
      </c>
      <c r="H5459" s="25" t="str">
        <f>IF(J5459&lt;&gt;1,"",IF(I5459="SBJ","CB","?"))</f>
        <v> </v>
      </c>
      <c r="I5459" s="26" t="str">
        <f>IF(OR(E5459="",E5459="!!!",F5459="NEW"),"",INDEX(B5458:B$2,-1+SUMPRODUCT(MAX(ROW(E5458:E$2)*(E5459=E5458:E$2)))))</f>
        <v> </v>
      </c>
      <c r="J5459" s="26" t="str">
        <f>IF(OR(E5459="",E5459="!!!",F5459="NEW"),"",COUNTBLANK(OFFSET(A$1,,,SUMPRODUCT(MAX(ROW(E$2:E5459)*(E5459=E$2:E5459)))))-COUNTBLANK(OFFSET(A$1,,,SUMPRODUCT(MAX(ROW(E$1:E5458)*(E2=E$1:E5458))))))</f>
        <v> </v>
      </c>
      <c r="K5459" s="26" t="str">
        <f>IF(OR(E5459="",E5459="!!!",F5459="NEW"),"",INDEX(J$1:J5458,SUMPRODUCT(MAX(ROW(E$1:E5458)*(E5459=E$1:E5458)))))</f>
        <v> </v>
      </c>
      <c r="L5459" s="27"/>
    </row>
    <row r="5460" spans="1:12">
      <c r="A5460" s="20" t="s">
        <v>1027</v>
      </c>
      <c r="E5460" s="22">
        <f>IF(D5460="?OLD","!!!","")</f>
        <v/>
      </c>
      <c r="F5460" s="23" t="str">
        <f>IF(OR(E5460="",E5460="!!!"),"",IF(NOT(ISNA(VLOOKUP(E5460,E$1:E5459,1,FALSE()))),"OLD",IF(AND(E5460&lt;&gt;"",E5460&lt;&gt;"!!!"),"NEW","")))</f>
        <v> </v>
      </c>
      <c r="G5460" s="24" t="str">
        <f>IF(OR(E5460="",E5460="!!!"),"",IF(OR(J5460=0,AND(J5460=1,K5460=1),AND(J5460=1,I5460="SBJ"),AND(J5460=1,I5460=0)),"?IN_FOCUS",IF(J5460&lt;=2,"?ACTIVATED",IF(J5460&lt;&gt;"","?FAMILIAR",IF(F5460="NEW",IF(ISNA(VLOOKUP(E5460,#REF!,1,FALSE())),"?TYPE_IDENTIFIABLE","?REFERENTIAL"),"_")))))</f>
        <v> </v>
      </c>
      <c r="H5460" s="25" t="str">
        <f>IF(J5460&lt;&gt;1,"",IF(I5460="SBJ","CB","?"))</f>
        <v> </v>
      </c>
      <c r="I5460" s="26" t="str">
        <f>IF(OR(E5460="",E5460="!!!",F5460="NEW"),"",INDEX(B5459:B$2,-1+SUMPRODUCT(MAX(ROW(E5459:E$2)*(E5460=E5459:E$2)))))</f>
        <v> </v>
      </c>
      <c r="J5460" s="26" t="str">
        <f>IF(OR(E5460="",E5460="!!!",F5460="NEW"),"",COUNTBLANK(OFFSET(A$1,,,SUMPRODUCT(MAX(ROW(E$2:E5460)*(E5460=E$2:E5460)))))-COUNTBLANK(OFFSET(A$1,,,SUMPRODUCT(MAX(ROW(E$1:E5459)*(E2=E$1:E5459))))))</f>
        <v> </v>
      </c>
      <c r="K5460" s="26" t="str">
        <f>IF(OR(E5460="",E5460="!!!",F5460="NEW"),"",INDEX(J$1:J5459,SUMPRODUCT(MAX(ROW(E$1:E5459)*(E5460=E$1:E5459)))))</f>
        <v> </v>
      </c>
      <c r="L5460" s="27"/>
    </row>
    <row r="5461" spans="1:12">
      <c r="A5461" s="20" t="s">
        <v>1749</v>
      </c>
      <c r="E5461" s="22">
        <f>IF(D5461="?OLD","!!!","")</f>
        <v/>
      </c>
      <c r="F5461" s="23" t="str">
        <f>IF(OR(E5461="",E5461="!!!"),"",IF(NOT(ISNA(VLOOKUP(E5461,E$1:E5460,1,FALSE()))),"OLD",IF(AND(E5461&lt;&gt;"",E5461&lt;&gt;"!!!"),"NEW","")))</f>
        <v> </v>
      </c>
      <c r="G5461" s="24" t="str">
        <f>IF(OR(E5461="",E5461="!!!"),"",IF(OR(J5461=0,AND(J5461=1,K5461=1),AND(J5461=1,I5461="SBJ"),AND(J5461=1,I5461=0)),"?IN_FOCUS",IF(J5461&lt;=2,"?ACTIVATED",IF(J5461&lt;&gt;"","?FAMILIAR",IF(F5461="NEW",IF(ISNA(VLOOKUP(E5461,#REF!,1,FALSE())),"?TYPE_IDENTIFIABLE","?REFERENTIAL"),"_")))))</f>
        <v> </v>
      </c>
      <c r="H5461" s="25" t="str">
        <f>IF(J5461&lt;&gt;1,"",IF(I5461="SBJ","CB","?"))</f>
        <v> </v>
      </c>
      <c r="I5461" s="26" t="str">
        <f>IF(OR(E5461="",E5461="!!!",F5461="NEW"),"",INDEX(B5460:B$2,-1+SUMPRODUCT(MAX(ROW(E5460:E$2)*(E5461=E5460:E$2)))))</f>
        <v> </v>
      </c>
      <c r="J5461" s="26" t="str">
        <f>IF(OR(E5461="",E5461="!!!",F5461="NEW"),"",COUNTBLANK(OFFSET(A$1,,,SUMPRODUCT(MAX(ROW(E$2:E5461)*(E5461=E$2:E5461)))))-COUNTBLANK(OFFSET(A$1,,,SUMPRODUCT(MAX(ROW(E$1:E5460)*(E2=E$1:E5460))))))</f>
        <v> </v>
      </c>
      <c r="K5461" s="26" t="str">
        <f>IF(OR(E5461="",E5461="!!!",F5461="NEW"),"",INDEX(J$1:J5460,SUMPRODUCT(MAX(ROW(E$1:E5460)*(E5461=E$1:E5460)))))</f>
        <v> </v>
      </c>
      <c r="L5461" s="27"/>
    </row>
    <row r="5462" spans="1:12">
      <c r="A5462" s="20" t="s">
        <v>1023</v>
      </c>
      <c r="E5462" s="22">
        <f>IF(D5462="?OLD","!!!","")</f>
        <v/>
      </c>
      <c r="F5462" s="23" t="str">
        <f>IF(OR(E5462="",E5462="!!!"),"",IF(NOT(ISNA(VLOOKUP(E5462,E$1:E5461,1,FALSE()))),"OLD",IF(AND(E5462&lt;&gt;"",E5462&lt;&gt;"!!!"),"NEW","")))</f>
        <v> </v>
      </c>
      <c r="G5462" s="24" t="str">
        <f>IF(OR(E5462="",E5462="!!!"),"",IF(OR(J5462=0,AND(J5462=1,K5462=1),AND(J5462=1,I5462="SBJ"),AND(J5462=1,I5462=0)),"?IN_FOCUS",IF(J5462&lt;=2,"?ACTIVATED",IF(J5462&lt;&gt;"","?FAMILIAR",IF(F5462="NEW",IF(ISNA(VLOOKUP(E5462,#REF!,1,FALSE())),"?TYPE_IDENTIFIABLE","?REFERENTIAL"),"_")))))</f>
        <v> </v>
      </c>
      <c r="H5462" s="25" t="str">
        <f>IF(J5462&lt;&gt;1,"",IF(I5462="SBJ","CB","?"))</f>
        <v> </v>
      </c>
      <c r="I5462" s="26" t="str">
        <f>IF(OR(E5462="",E5462="!!!",F5462="NEW"),"",INDEX(B5461:B$2,-1+SUMPRODUCT(MAX(ROW(E5461:E$2)*(E5462=E5461:E$2)))))</f>
        <v> </v>
      </c>
      <c r="J5462" s="26" t="str">
        <f>IF(OR(E5462="",E5462="!!!",F5462="NEW"),"",COUNTBLANK(OFFSET(A$1,,,SUMPRODUCT(MAX(ROW(E$2:E5462)*(E5462=E$2:E5462)))))-COUNTBLANK(OFFSET(A$1,,,SUMPRODUCT(MAX(ROW(E$1:E5461)*(E2=E$1:E5461))))))</f>
        <v> </v>
      </c>
      <c r="K5462" s="26" t="str">
        <f>IF(OR(E5462="",E5462="!!!",F5462="NEW"),"",INDEX(J$1:J5461,SUMPRODUCT(MAX(ROW(E$1:E5461)*(E5462=E$1:E5461)))))</f>
        <v> </v>
      </c>
      <c r="L5462" s="27"/>
    </row>
    <row r="5463" spans="1:12">
      <c r="A5463" s="20"/>
    </row>
    <row r="5464" spans="1:12">
      <c r="A5464" s="20" t="s">
        <v>2483</v>
      </c>
    </row>
    <row r="5465" spans="1:12">
      <c r="A5465" s="20" t="s">
        <v>1094</v>
      </c>
      <c r="B5465" s="21" t="s">
        <v>1005</v>
      </c>
      <c r="C5465" s="21" t="s">
        <v>1048</v>
      </c>
      <c r="E5465" s="22">
        <f>IF(D5465="?OLD","!!!","")</f>
        <v/>
      </c>
      <c r="F5465" s="23" t="str">
        <f>IF(OR(E5465="",E5465="!!!"),"",IF(NOT(ISNA(VLOOKUP(E5465,E$1:E5464,1,FALSE()))),"OLD",IF(AND(E5465&lt;&gt;"",E5465&lt;&gt;"!!!"),"NEW","")))</f>
        <v> </v>
      </c>
      <c r="G5465" s="24" t="str">
        <f>IF(OR(E5465="",E5465="!!!"),"",IF(OR(J5465=0,AND(J5465=1,K5465=1),AND(J5465=1,I5465="SBJ"),AND(J5465=1,I5465=0)),"?IN_FOCUS",IF(J5465&lt;=2,"?ACTIVATED",IF(J5465&lt;&gt;"","?FAMILIAR",IF(F5465="NEW",IF(ISNA(VLOOKUP(E5465,#REF!,1,FALSE())),"?TYPE_IDENTIFIABLE","?REFERENTIAL"),"_")))))</f>
        <v> </v>
      </c>
      <c r="H5465" s="25" t="str">
        <f>IF(J5465&lt;&gt;1,"",IF(I5465="SBJ","CB","?"))</f>
        <v> </v>
      </c>
      <c r="I5465" s="26" t="str">
        <f>IF(OR(E5465="",E5465="!!!",F5465="NEW"),"",INDEX(B5464:B$2,-1+SUMPRODUCT(MAX(ROW(E5464:E$2)*(E5465=E5464:E$2)))))</f>
        <v> </v>
      </c>
      <c r="J5465" s="26" t="str">
        <f>IF(OR(E5465="",E5465="!!!",F5465="NEW"),"",COUNTBLANK(OFFSET(A$1,,,SUMPRODUCT(MAX(ROW(E$2:E5465)*(E5465=E$2:E5465)))))-COUNTBLANK(OFFSET(A$1,,,SUMPRODUCT(MAX(ROW(E$1:E5464)*(E2=E$1:E5464))))))</f>
        <v> </v>
      </c>
      <c r="K5465" s="26" t="str">
        <f>IF(OR(E5465="",E5465="!!!",F5465="NEW"),"",INDEX(J$1:J5464,SUMPRODUCT(MAX(ROW(E$1:E5464)*(E5465=E$1:E5464)))))</f>
        <v> </v>
      </c>
      <c r="L5465" s="27"/>
    </row>
    <row r="5466" spans="1:12">
      <c r="A5466" s="20" t="s">
        <v>1009</v>
      </c>
      <c r="E5466" s="22">
        <f>IF(D5466="?OLD","!!!","")</f>
        <v/>
      </c>
      <c r="F5466" s="23" t="str">
        <f>IF(OR(E5466="",E5466="!!!"),"",IF(NOT(ISNA(VLOOKUP(E5466,E$1:E5465,1,FALSE()))),"OLD",IF(AND(E5466&lt;&gt;"",E5466&lt;&gt;"!!!"),"NEW","")))</f>
        <v> </v>
      </c>
      <c r="G5466" s="24" t="str">
        <f>IF(OR(E5466="",E5466="!!!"),"",IF(OR(J5466=0,AND(J5466=1,K5466=1),AND(J5466=1,I5466="SBJ"),AND(J5466=1,I5466=0)),"?IN_FOCUS",IF(J5466&lt;=2,"?ACTIVATED",IF(J5466&lt;&gt;"","?FAMILIAR",IF(F5466="NEW",IF(ISNA(VLOOKUP(E5466,#REF!,1,FALSE())),"?TYPE_IDENTIFIABLE","?REFERENTIAL"),"_")))))</f>
        <v> </v>
      </c>
      <c r="H5466" s="25" t="str">
        <f>IF(J5466&lt;&gt;1,"",IF(I5466="SBJ","CB","?"))</f>
        <v> </v>
      </c>
      <c r="I5466" s="26" t="str">
        <f>IF(OR(E5466="",E5466="!!!",F5466="NEW"),"",INDEX(B5465:B$2,-1+SUMPRODUCT(MAX(ROW(E5465:E$2)*(E5466=E5465:E$2)))))</f>
        <v> </v>
      </c>
      <c r="J5466" s="26" t="str">
        <f>IF(OR(E5466="",E5466="!!!",F5466="NEW"),"",COUNTBLANK(OFFSET(A$1,,,SUMPRODUCT(MAX(ROW(E$2:E5466)*(E5466=E$2:E5466)))))-COUNTBLANK(OFFSET(A$1,,,SUMPRODUCT(MAX(ROW(E$1:E5465)*(E2=E$1:E5465))))))</f>
        <v> </v>
      </c>
      <c r="K5466" s="26" t="str">
        <f>IF(OR(E5466="",E5466="!!!",F5466="NEW"),"",INDEX(J$1:J5465,SUMPRODUCT(MAX(ROW(E$1:E5465)*(E5466=E$1:E5465)))))</f>
        <v> </v>
      </c>
      <c r="L5466" s="27"/>
    </row>
    <row r="5467" spans="1:12">
      <c r="A5467" s="20" t="s">
        <v>28</v>
      </c>
      <c r="B5467" s="21" t="s">
        <v>1005</v>
      </c>
      <c r="C5467" s="21" t="s">
        <v>1006</v>
      </c>
      <c r="D5467" s="21" t="s">
        <v>1007</v>
      </c>
      <c r="E5467" s="22">
        <f>IF(D5467="?OLD","!!!","")</f>
        <v/>
      </c>
      <c r="F5467" s="23" t="str">
        <f>IF(OR(E5467="",E5467="!!!"),"",IF(NOT(ISNA(VLOOKUP(E5467,E$1:E5466,1,FALSE()))),"OLD",IF(AND(E5467&lt;&gt;"",E5467&lt;&gt;"!!!"),"NEW","")))</f>
        <v> </v>
      </c>
      <c r="G5467" s="24" t="str">
        <f>IF(OR(E5467="",E5467="!!!"),"",IF(OR(J5467=0,AND(J5467=1,K5467=1),AND(J5467=1,I5467="SBJ"),AND(J5467=1,I5467=0)),"?IN_FOCUS",IF(J5467&lt;=2,"?ACTIVATED",IF(J5467&lt;&gt;"","?FAMILIAR",IF(F5467="NEW",IF(ISNA(VLOOKUP(E5467,#REF!,1,FALSE())),"?TYPE_IDENTIFIABLE","?REFERENTIAL"),"_")))))</f>
        <v> </v>
      </c>
      <c r="H5467" s="25" t="str">
        <f>IF(J5467&lt;&gt;1,"",IF(I5467="SBJ","CB","?"))</f>
        <v> </v>
      </c>
      <c r="I5467" s="26" t="str">
        <f>IF(OR(E5467="",E5467="!!!",F5467="NEW"),"",INDEX(B5466:B$2,-1+SUMPRODUCT(MAX(ROW(E5466:E$2)*(E5467=E5466:E$2)))))</f>
        <v> </v>
      </c>
      <c r="J5467" s="26" t="str">
        <f>IF(OR(E5467="",E5467="!!!",F5467="NEW"),"",COUNTBLANK(OFFSET(A$1,,,SUMPRODUCT(MAX(ROW(E$2:E5467)*(E5467=E$2:E5467)))))-COUNTBLANK(OFFSET(A$1,,,SUMPRODUCT(MAX(ROW(E$1:E5466)*(E2=E$1:E5466))))))</f>
        <v> </v>
      </c>
      <c r="K5467" s="26" t="str">
        <f>IF(OR(E5467="",E5467="!!!",F5467="NEW"),"",INDEX(J$1:J5466,SUMPRODUCT(MAX(ROW(E$1:E5466)*(E5467=E$1:E5466)))))</f>
        <v> </v>
      </c>
      <c r="L5467" s="27"/>
    </row>
    <row r="5468" spans="1:12">
      <c r="A5468" s="20" t="s">
        <v>1018</v>
      </c>
      <c r="E5468" s="22">
        <f>IF(D5468="?OLD","!!!","")</f>
        <v/>
      </c>
      <c r="F5468" s="23" t="str">
        <f>IF(OR(E5468="",E5468="!!!"),"",IF(NOT(ISNA(VLOOKUP(E5468,E$1:E5467,1,FALSE()))),"OLD",IF(AND(E5468&lt;&gt;"",E5468&lt;&gt;"!!!"),"NEW","")))</f>
        <v> </v>
      </c>
      <c r="G5468" s="24" t="str">
        <f>IF(OR(E5468="",E5468="!!!"),"",IF(OR(J5468=0,AND(J5468=1,K5468=1),AND(J5468=1,I5468="SBJ"),AND(J5468=1,I5468=0)),"?IN_FOCUS",IF(J5468&lt;=2,"?ACTIVATED",IF(J5468&lt;&gt;"","?FAMILIAR",IF(F5468="NEW",IF(ISNA(VLOOKUP(E5468,#REF!,1,FALSE())),"?TYPE_IDENTIFIABLE","?REFERENTIAL"),"_")))))</f>
        <v> </v>
      </c>
      <c r="H5468" s="25" t="str">
        <f>IF(J5468&lt;&gt;1,"",IF(I5468="SBJ","CB","?"))</f>
        <v> </v>
      </c>
      <c r="I5468" s="26" t="str">
        <f>IF(OR(E5468="",E5468="!!!",F5468="NEW"),"",INDEX(B5467:B$2,-1+SUMPRODUCT(MAX(ROW(E5467:E$2)*(E5468=E5467:E$2)))))</f>
        <v> </v>
      </c>
      <c r="J5468" s="26" t="str">
        <f>IF(OR(E5468="",E5468="!!!",F5468="NEW"),"",COUNTBLANK(OFFSET(A$1,,,SUMPRODUCT(MAX(ROW(E$2:E5468)*(E5468=E$2:E5468)))))-COUNTBLANK(OFFSET(A$1,,,SUMPRODUCT(MAX(ROW(E$1:E5467)*(E2=E$1:E5467))))))</f>
        <v> </v>
      </c>
      <c r="K5468" s="26" t="str">
        <f>IF(OR(E5468="",E5468="!!!",F5468="NEW"),"",INDEX(J$1:J5467,SUMPRODUCT(MAX(ROW(E$1:E5467)*(E5468=E$1:E5467)))))</f>
        <v> </v>
      </c>
      <c r="L5468" s="27"/>
    </row>
    <row r="5469" spans="1:12">
      <c r="A5469" s="20" t="s">
        <v>1141</v>
      </c>
      <c r="E5469" s="22">
        <f>IF(D5469="?OLD","!!!","")</f>
        <v/>
      </c>
      <c r="F5469" s="23" t="str">
        <f>IF(OR(E5469="",E5469="!!!"),"",IF(NOT(ISNA(VLOOKUP(E5469,E$1:E5468,1,FALSE()))),"OLD",IF(AND(E5469&lt;&gt;"",E5469&lt;&gt;"!!!"),"NEW","")))</f>
        <v> </v>
      </c>
      <c r="G5469" s="24" t="str">
        <f>IF(OR(E5469="",E5469="!!!"),"",IF(OR(J5469=0,AND(J5469=1,K5469=1),AND(J5469=1,I5469="SBJ"),AND(J5469=1,I5469=0)),"?IN_FOCUS",IF(J5469&lt;=2,"?ACTIVATED",IF(J5469&lt;&gt;"","?FAMILIAR",IF(F5469="NEW",IF(ISNA(VLOOKUP(E5469,#REF!,1,FALSE())),"?TYPE_IDENTIFIABLE","?REFERENTIAL"),"_")))))</f>
        <v> </v>
      </c>
      <c r="H5469" s="25" t="str">
        <f>IF(J5469&lt;&gt;1,"",IF(I5469="SBJ","CB","?"))</f>
        <v> </v>
      </c>
      <c r="I5469" s="26" t="str">
        <f>IF(OR(E5469="",E5469="!!!",F5469="NEW"),"",INDEX(B5468:B$2,-1+SUMPRODUCT(MAX(ROW(E5468:E$2)*(E5469=E5468:E$2)))))</f>
        <v> </v>
      </c>
      <c r="J5469" s="26" t="str">
        <f>IF(OR(E5469="",E5469="!!!",F5469="NEW"),"",COUNTBLANK(OFFSET(A$1,,,SUMPRODUCT(MAX(ROW(E$2:E5469)*(E5469=E$2:E5469)))))-COUNTBLANK(OFFSET(A$1,,,SUMPRODUCT(MAX(ROW(E$1:E5468)*(E2=E$1:E5468))))))</f>
        <v> </v>
      </c>
      <c r="K5469" s="26" t="str">
        <f>IF(OR(E5469="",E5469="!!!",F5469="NEW"),"",INDEX(J$1:J5468,SUMPRODUCT(MAX(ROW(E$1:E5468)*(E5469=E$1:E5468)))))</f>
        <v> </v>
      </c>
      <c r="L5469" s="27"/>
    </row>
    <row r="5470" spans="1:12">
      <c r="A5470" s="20" t="s">
        <v>1065</v>
      </c>
      <c r="E5470" s="22">
        <f>IF(D5470="?OLD","!!!","")</f>
        <v/>
      </c>
      <c r="F5470" s="23" t="str">
        <f>IF(OR(E5470="",E5470="!!!"),"",IF(NOT(ISNA(VLOOKUP(E5470,E$1:E5469,1,FALSE()))),"OLD",IF(AND(E5470&lt;&gt;"",E5470&lt;&gt;"!!!"),"NEW","")))</f>
        <v> </v>
      </c>
      <c r="G5470" s="24" t="str">
        <f>IF(OR(E5470="",E5470="!!!"),"",IF(OR(J5470=0,AND(J5470=1,K5470=1),AND(J5470=1,I5470="SBJ"),AND(J5470=1,I5470=0)),"?IN_FOCUS",IF(J5470&lt;=2,"?ACTIVATED",IF(J5470&lt;&gt;"","?FAMILIAR",IF(F5470="NEW",IF(ISNA(VLOOKUP(E5470,#REF!,1,FALSE())),"?TYPE_IDENTIFIABLE","?REFERENTIAL"),"_")))))</f>
        <v> </v>
      </c>
      <c r="H5470" s="25" t="str">
        <f>IF(J5470&lt;&gt;1,"",IF(I5470="SBJ","CB","?"))</f>
        <v> </v>
      </c>
      <c r="I5470" s="26" t="str">
        <f>IF(OR(E5470="",E5470="!!!",F5470="NEW"),"",INDEX(B5469:B$2,-1+SUMPRODUCT(MAX(ROW(E5469:E$2)*(E5470=E5469:E$2)))))</f>
        <v> </v>
      </c>
      <c r="J5470" s="26" t="str">
        <f>IF(OR(E5470="",E5470="!!!",F5470="NEW"),"",COUNTBLANK(OFFSET(A$1,,,SUMPRODUCT(MAX(ROW(E$2:E5470)*(E5470=E$2:E5470)))))-COUNTBLANK(OFFSET(A$1,,,SUMPRODUCT(MAX(ROW(E$1:E5469)*(E2=E$1:E5469))))))</f>
        <v> </v>
      </c>
      <c r="K5470" s="26" t="str">
        <f>IF(OR(E5470="",E5470="!!!",F5470="NEW"),"",INDEX(J$1:J5469,SUMPRODUCT(MAX(ROW(E$1:E5469)*(E5470=E$1:E5469)))))</f>
        <v> </v>
      </c>
      <c r="L5470" s="27"/>
    </row>
    <row r="5471" spans="1:12">
      <c r="A5471" s="20" t="s">
        <v>2484</v>
      </c>
      <c r="E5471" s="22">
        <f>IF(D5471="?OLD","!!!","")</f>
        <v/>
      </c>
      <c r="F5471" s="23" t="str">
        <f>IF(OR(E5471="",E5471="!!!"),"",IF(NOT(ISNA(VLOOKUP(E5471,E$1:E5470,1,FALSE()))),"OLD",IF(AND(E5471&lt;&gt;"",E5471&lt;&gt;"!!!"),"NEW","")))</f>
        <v> </v>
      </c>
      <c r="G5471" s="24" t="str">
        <f>IF(OR(E5471="",E5471="!!!"),"",IF(OR(J5471=0,AND(J5471=1,K5471=1),AND(J5471=1,I5471="SBJ"),AND(J5471=1,I5471=0)),"?IN_FOCUS",IF(J5471&lt;=2,"?ACTIVATED",IF(J5471&lt;&gt;"","?FAMILIAR",IF(F5471="NEW",IF(ISNA(VLOOKUP(E5471,#REF!,1,FALSE())),"?TYPE_IDENTIFIABLE","?REFERENTIAL"),"_")))))</f>
        <v> </v>
      </c>
      <c r="H5471" s="25" t="str">
        <f>IF(J5471&lt;&gt;1,"",IF(I5471="SBJ","CB","?"))</f>
        <v> </v>
      </c>
      <c r="I5471" s="26" t="str">
        <f>IF(OR(E5471="",E5471="!!!",F5471="NEW"),"",INDEX(B5470:B$2,-1+SUMPRODUCT(MAX(ROW(E5470:E$2)*(E5471=E5470:E$2)))))</f>
        <v> </v>
      </c>
      <c r="J5471" s="26" t="str">
        <f>IF(OR(E5471="",E5471="!!!",F5471="NEW"),"",COUNTBLANK(OFFSET(A$1,,,SUMPRODUCT(MAX(ROW(E$2:E5471)*(E5471=E$2:E5471)))))-COUNTBLANK(OFFSET(A$1,,,SUMPRODUCT(MAX(ROW(E$1:E5470)*(E2=E$1:E5470))))))</f>
        <v> </v>
      </c>
      <c r="K5471" s="26" t="str">
        <f>IF(OR(E5471="",E5471="!!!",F5471="NEW"),"",INDEX(J$1:J5470,SUMPRODUCT(MAX(ROW(E$1:E5470)*(E5471=E$1:E5470)))))</f>
        <v> </v>
      </c>
      <c r="L5471" s="27"/>
    </row>
    <row r="5472" spans="1:12">
      <c r="A5472" s="20" t="s">
        <v>1020</v>
      </c>
      <c r="E5472" s="22">
        <f>IF(D5472="?OLD","!!!","")</f>
        <v/>
      </c>
      <c r="F5472" s="23" t="str">
        <f>IF(OR(E5472="",E5472="!!!"),"",IF(NOT(ISNA(VLOOKUP(E5472,E$1:E5471,1,FALSE()))),"OLD",IF(AND(E5472&lt;&gt;"",E5472&lt;&gt;"!!!"),"NEW","")))</f>
        <v> </v>
      </c>
      <c r="G5472" s="24" t="str">
        <f>IF(OR(E5472="",E5472="!!!"),"",IF(OR(J5472=0,AND(J5472=1,K5472=1),AND(J5472=1,I5472="SBJ"),AND(J5472=1,I5472=0)),"?IN_FOCUS",IF(J5472&lt;=2,"?ACTIVATED",IF(J5472&lt;&gt;"","?FAMILIAR",IF(F5472="NEW",IF(ISNA(VLOOKUP(E5472,#REF!,1,FALSE())),"?TYPE_IDENTIFIABLE","?REFERENTIAL"),"_")))))</f>
        <v> </v>
      </c>
      <c r="H5472" s="25" t="str">
        <f>IF(J5472&lt;&gt;1,"",IF(I5472="SBJ","CB","?"))</f>
        <v> </v>
      </c>
      <c r="I5472" s="26" t="str">
        <f>IF(OR(E5472="",E5472="!!!",F5472="NEW"),"",INDEX(B5471:B$2,-1+SUMPRODUCT(MAX(ROW(E5471:E$2)*(E5472=E5471:E$2)))))</f>
        <v> </v>
      </c>
      <c r="J5472" s="26" t="str">
        <f>IF(OR(E5472="",E5472="!!!",F5472="NEW"),"",COUNTBLANK(OFFSET(A$1,,,SUMPRODUCT(MAX(ROW(E$2:E5472)*(E5472=E$2:E5472)))))-COUNTBLANK(OFFSET(A$1,,,SUMPRODUCT(MAX(ROW(E$1:E5471)*(E2=E$1:E5471))))))</f>
        <v> </v>
      </c>
      <c r="K5472" s="26" t="str">
        <f>IF(OR(E5472="",E5472="!!!",F5472="NEW"),"",INDEX(J$1:J5471,SUMPRODUCT(MAX(ROW(E$1:E5471)*(E5472=E$1:E5471)))))</f>
        <v> </v>
      </c>
      <c r="L5472" s="27"/>
    </row>
    <row r="5473" spans="1:12">
      <c r="A5473" s="20" t="s">
        <v>2485</v>
      </c>
      <c r="B5473" s="21" t="s">
        <v>1187</v>
      </c>
      <c r="C5473" s="21" t="s">
        <v>1017</v>
      </c>
      <c r="D5473" s="21" t="s">
        <v>1007</v>
      </c>
      <c r="E5473" s="22">
        <f>IF(D5473="?OLD","!!!","")</f>
        <v/>
      </c>
      <c r="F5473" s="23" t="str">
        <f>IF(OR(E5473="",E5473="!!!"),"",IF(NOT(ISNA(VLOOKUP(E5473,E$1:E5472,1,FALSE()))),"OLD",IF(AND(E5473&lt;&gt;"",E5473&lt;&gt;"!!!"),"NEW","")))</f>
        <v> </v>
      </c>
      <c r="G5473" s="24" t="str">
        <f>IF(OR(E5473="",E5473="!!!"),"",IF(OR(J5473=0,AND(J5473=1,K5473=1),AND(J5473=1,I5473="SBJ"),AND(J5473=1,I5473=0)),"?IN_FOCUS",IF(J5473&lt;=2,"?ACTIVATED",IF(J5473&lt;&gt;"","?FAMILIAR",IF(F5473="NEW",IF(ISNA(VLOOKUP(E5473,#REF!,1,FALSE())),"?TYPE_IDENTIFIABLE","?REFERENTIAL"),"_")))))</f>
        <v> </v>
      </c>
      <c r="H5473" s="25" t="str">
        <f>IF(J5473&lt;&gt;1,"",IF(I5473="SBJ","CB","?"))</f>
        <v> </v>
      </c>
      <c r="I5473" s="26" t="str">
        <f>IF(OR(E5473="",E5473="!!!",F5473="NEW"),"",INDEX(B5472:B$2,-1+SUMPRODUCT(MAX(ROW(E5472:E$2)*(E5473=E5472:E$2)))))</f>
        <v> </v>
      </c>
      <c r="J5473" s="26" t="str">
        <f>IF(OR(E5473="",E5473="!!!",F5473="NEW"),"",COUNTBLANK(OFFSET(A$1,,,SUMPRODUCT(MAX(ROW(E$2:E5473)*(E5473=E$2:E5473)))))-COUNTBLANK(OFFSET(A$1,,,SUMPRODUCT(MAX(ROW(E$1:E5472)*(E2=E$1:E5472))))))</f>
        <v> </v>
      </c>
      <c r="K5473" s="26" t="str">
        <f>IF(OR(E5473="",E5473="!!!",F5473="NEW"),"",INDEX(J$1:J5472,SUMPRODUCT(MAX(ROW(E$1:E5472)*(E5473=E$1:E5472)))))</f>
        <v> </v>
      </c>
      <c r="L5473" s="27"/>
    </row>
    <row r="5474" spans="1:12">
      <c r="A5474" s="20" t="s">
        <v>1014</v>
      </c>
      <c r="E5474" s="22">
        <f>IF(D5474="?OLD","!!!","")</f>
        <v/>
      </c>
      <c r="F5474" s="23" t="str">
        <f>IF(OR(E5474="",E5474="!!!"),"",IF(NOT(ISNA(VLOOKUP(E5474,E$1:E5473,1,FALSE()))),"OLD",IF(AND(E5474&lt;&gt;"",E5474&lt;&gt;"!!!"),"NEW","")))</f>
        <v> </v>
      </c>
      <c r="G5474" s="24" t="str">
        <f>IF(OR(E5474="",E5474="!!!"),"",IF(OR(J5474=0,AND(J5474=1,K5474=1),AND(J5474=1,I5474="SBJ"),AND(J5474=1,I5474=0)),"?IN_FOCUS",IF(J5474&lt;=2,"?ACTIVATED",IF(J5474&lt;&gt;"","?FAMILIAR",IF(F5474="NEW",IF(ISNA(VLOOKUP(E5474,#REF!,1,FALSE())),"?TYPE_IDENTIFIABLE","?REFERENTIAL"),"_")))))</f>
        <v> </v>
      </c>
      <c r="H5474" s="25" t="str">
        <f>IF(J5474&lt;&gt;1,"",IF(I5474="SBJ","CB","?"))</f>
        <v> </v>
      </c>
      <c r="I5474" s="26" t="str">
        <f>IF(OR(E5474="",E5474="!!!",F5474="NEW"),"",INDEX(B5473:B$2,-1+SUMPRODUCT(MAX(ROW(E5473:E$2)*(E5474=E5473:E$2)))))</f>
        <v> </v>
      </c>
      <c r="J5474" s="26" t="str">
        <f>IF(OR(E5474="",E5474="!!!",F5474="NEW"),"",COUNTBLANK(OFFSET(A$1,,,SUMPRODUCT(MAX(ROW(E$2:E5474)*(E5474=E$2:E5474)))))-COUNTBLANK(OFFSET(A$1,,,SUMPRODUCT(MAX(ROW(E$1:E5473)*(E2=E$1:E5473))))))</f>
        <v> </v>
      </c>
      <c r="K5474" s="26" t="str">
        <f>IF(OR(E5474="",E5474="!!!",F5474="NEW"),"",INDEX(J$1:J5473,SUMPRODUCT(MAX(ROW(E$1:E5473)*(E5474=E$1:E5473)))))</f>
        <v> </v>
      </c>
      <c r="L5474" s="27"/>
    </row>
    <row r="5475" spans="1:12">
      <c r="A5475" s="20" t="s">
        <v>1065</v>
      </c>
      <c r="E5475" s="22">
        <f>IF(D5475="?OLD","!!!","")</f>
        <v/>
      </c>
      <c r="F5475" s="23" t="str">
        <f>IF(OR(E5475="",E5475="!!!"),"",IF(NOT(ISNA(VLOOKUP(E5475,E$1:E5474,1,FALSE()))),"OLD",IF(AND(E5475&lt;&gt;"",E5475&lt;&gt;"!!!"),"NEW","")))</f>
        <v> </v>
      </c>
      <c r="G5475" s="24" t="str">
        <f>IF(OR(E5475="",E5475="!!!"),"",IF(OR(J5475=0,AND(J5475=1,K5475=1),AND(J5475=1,I5475="SBJ"),AND(J5475=1,I5475=0)),"?IN_FOCUS",IF(J5475&lt;=2,"?ACTIVATED",IF(J5475&lt;&gt;"","?FAMILIAR",IF(F5475="NEW",IF(ISNA(VLOOKUP(E5475,#REF!,1,FALSE())),"?TYPE_IDENTIFIABLE","?REFERENTIAL"),"_")))))</f>
        <v> </v>
      </c>
      <c r="H5475" s="25" t="str">
        <f>IF(J5475&lt;&gt;1,"",IF(I5475="SBJ","CB","?"))</f>
        <v> </v>
      </c>
      <c r="I5475" s="26" t="str">
        <f>IF(OR(E5475="",E5475="!!!",F5475="NEW"),"",INDEX(B5474:B$2,-1+SUMPRODUCT(MAX(ROW(E5474:E$2)*(E5475=E5474:E$2)))))</f>
        <v> </v>
      </c>
      <c r="J5475" s="26" t="str">
        <f>IF(OR(E5475="",E5475="!!!",F5475="NEW"),"",COUNTBLANK(OFFSET(A$1,,,SUMPRODUCT(MAX(ROW(E$2:E5475)*(E5475=E$2:E5475)))))-COUNTBLANK(OFFSET(A$1,,,SUMPRODUCT(MAX(ROW(E$1:E5474)*(E2=E$1:E5474))))))</f>
        <v> </v>
      </c>
      <c r="K5475" s="26" t="str">
        <f>IF(OR(E5475="",E5475="!!!",F5475="NEW"),"",INDEX(J$1:J5474,SUMPRODUCT(MAX(ROW(E$1:E5474)*(E5475=E$1:E5474)))))</f>
        <v> </v>
      </c>
      <c r="L5475" s="27"/>
    </row>
    <row r="5476" spans="1:12">
      <c r="A5476" s="20" t="s">
        <v>767</v>
      </c>
      <c r="E5476" s="22">
        <f>IF(D5476="?OLD","!!!","")</f>
        <v/>
      </c>
      <c r="F5476" s="23" t="str">
        <f>IF(OR(E5476="",E5476="!!!"),"",IF(NOT(ISNA(VLOOKUP(E5476,E$1:E5475,1,FALSE()))),"OLD",IF(AND(E5476&lt;&gt;"",E5476&lt;&gt;"!!!"),"NEW","")))</f>
        <v> </v>
      </c>
      <c r="G5476" s="24" t="str">
        <f>IF(OR(E5476="",E5476="!!!"),"",IF(OR(J5476=0,AND(J5476=1,K5476=1),AND(J5476=1,I5476="SBJ"),AND(J5476=1,I5476=0)),"?IN_FOCUS",IF(J5476&lt;=2,"?ACTIVATED",IF(J5476&lt;&gt;"","?FAMILIAR",IF(F5476="NEW",IF(ISNA(VLOOKUP(E5476,#REF!,1,FALSE())),"?TYPE_IDENTIFIABLE","?REFERENTIAL"),"_")))))</f>
        <v> </v>
      </c>
      <c r="H5476" s="25" t="str">
        <f>IF(J5476&lt;&gt;1,"",IF(I5476="SBJ","CB","?"))</f>
        <v> </v>
      </c>
      <c r="I5476" s="26" t="str">
        <f>IF(OR(E5476="",E5476="!!!",F5476="NEW"),"",INDEX(B5475:B$2,-1+SUMPRODUCT(MAX(ROW(E5475:E$2)*(E5476=E5475:E$2)))))</f>
        <v> </v>
      </c>
      <c r="J5476" s="26" t="str">
        <f>IF(OR(E5476="",E5476="!!!",F5476="NEW"),"",COUNTBLANK(OFFSET(A$1,,,SUMPRODUCT(MAX(ROW(E$2:E5476)*(E5476=E$2:E5476)))))-COUNTBLANK(OFFSET(A$1,,,SUMPRODUCT(MAX(ROW(E$1:E5475)*(E2=E$1:E5475))))))</f>
        <v> </v>
      </c>
      <c r="K5476" s="26" t="str">
        <f>IF(OR(E5476="",E5476="!!!",F5476="NEW"),"",INDEX(J$1:J5475,SUMPRODUCT(MAX(ROW(E$1:E5475)*(E5476=E$1:E5475)))))</f>
        <v> </v>
      </c>
      <c r="L5476" s="27"/>
    </row>
    <row r="5477" spans="1:12">
      <c r="A5477" s="20"/>
    </row>
    <row r="5478" spans="1:12">
      <c r="A5478" s="20" t="s">
        <v>2486</v>
      </c>
    </row>
    <row r="5479" spans="1:12">
      <c r="A5479" s="20" t="s">
        <v>788</v>
      </c>
      <c r="B5479" s="21" t="s">
        <v>1050</v>
      </c>
      <c r="C5479" s="21" t="s">
        <v>1006</v>
      </c>
      <c r="D5479" s="21" t="s">
        <v>1007</v>
      </c>
      <c r="E5479" s="22">
        <f>IF(D5479="?OLD","!!!","")</f>
        <v/>
      </c>
      <c r="F5479" s="23" t="str">
        <f>IF(OR(E5479="",E5479="!!!"),"",IF(NOT(ISNA(VLOOKUP(E5479,E$1:E5478,1,FALSE()))),"OLD",IF(AND(E5479&lt;&gt;"",E5479&lt;&gt;"!!!"),"NEW","")))</f>
        <v> </v>
      </c>
      <c r="G5479" s="24" t="str">
        <f>IF(OR(E5479="",E5479="!!!"),"",IF(OR(J5479=0,AND(J5479=1,K5479=1),AND(J5479=1,I5479="SBJ"),AND(J5479=1,I5479=0)),"?IN_FOCUS",IF(J5479&lt;=2,"?ACTIVATED",IF(J5479&lt;&gt;"","?FAMILIAR",IF(F5479="NEW",IF(ISNA(VLOOKUP(E5479,#REF!,1,FALSE())),"?TYPE_IDENTIFIABLE","?REFERENTIAL"),"_")))))</f>
        <v> </v>
      </c>
      <c r="H5479" s="25" t="str">
        <f>IF(J5479&lt;&gt;1,"",IF(I5479="SBJ","CB","?"))</f>
        <v> </v>
      </c>
      <c r="I5479" s="26" t="str">
        <f>IF(OR(E5479="",E5479="!!!",F5479="NEW"),"",INDEX(B5478:B$2,-1+SUMPRODUCT(MAX(ROW(E5478:E$2)*(E5479=E5478:E$2)))))</f>
        <v> </v>
      </c>
      <c r="J5479" s="26" t="str">
        <f>IF(OR(E5479="",E5479="!!!",F5479="NEW"),"",COUNTBLANK(OFFSET(A$1,,,SUMPRODUCT(MAX(ROW(E$2:E5479)*(E5479=E$2:E5479)))))-COUNTBLANK(OFFSET(A$1,,,SUMPRODUCT(MAX(ROW(E$1:E5478)*(E2=E$1:E5478))))))</f>
        <v> </v>
      </c>
      <c r="K5479" s="26" t="str">
        <f>IF(OR(E5479="",E5479="!!!",F5479="NEW"),"",INDEX(J$1:J5478,SUMPRODUCT(MAX(ROW(E$1:E5478)*(E5479=E$1:E5478)))))</f>
        <v> </v>
      </c>
      <c r="L5479" s="27"/>
    </row>
    <row r="5480" spans="1:12">
      <c r="A5480" s="20" t="s">
        <v>2487</v>
      </c>
      <c r="E5480" s="22">
        <f>IF(D5480="?OLD","!!!","")</f>
        <v/>
      </c>
      <c r="F5480" s="23" t="str">
        <f>IF(OR(E5480="",E5480="!!!"),"",IF(NOT(ISNA(VLOOKUP(E5480,E$1:E5479,1,FALSE()))),"OLD",IF(AND(E5480&lt;&gt;"",E5480&lt;&gt;"!!!"),"NEW","")))</f>
        <v> </v>
      </c>
      <c r="G5480" s="24" t="str">
        <f>IF(OR(E5480="",E5480="!!!"),"",IF(OR(J5480=0,AND(J5480=1,K5480=1),AND(J5480=1,I5480="SBJ"),AND(J5480=1,I5480=0)),"?IN_FOCUS",IF(J5480&lt;=2,"?ACTIVATED",IF(J5480&lt;&gt;"","?FAMILIAR",IF(F5480="NEW",IF(ISNA(VLOOKUP(E5480,#REF!,1,FALSE())),"?TYPE_IDENTIFIABLE","?REFERENTIAL"),"_")))))</f>
        <v> </v>
      </c>
      <c r="H5480" s="25" t="str">
        <f>IF(J5480&lt;&gt;1,"",IF(I5480="SBJ","CB","?"))</f>
        <v> </v>
      </c>
      <c r="I5480" s="26" t="str">
        <f>IF(OR(E5480="",E5480="!!!",F5480="NEW"),"",INDEX(B5479:B$2,-1+SUMPRODUCT(MAX(ROW(E5479:E$2)*(E5480=E5479:E$2)))))</f>
        <v> </v>
      </c>
      <c r="J5480" s="26" t="str">
        <f>IF(OR(E5480="",E5480="!!!",F5480="NEW"),"",COUNTBLANK(OFFSET(A$1,,,SUMPRODUCT(MAX(ROW(E$2:E5480)*(E5480=E$2:E5480)))))-COUNTBLANK(OFFSET(A$1,,,SUMPRODUCT(MAX(ROW(E$1:E5479)*(E2=E$1:E5479))))))</f>
        <v> </v>
      </c>
      <c r="K5480" s="26" t="str">
        <f>IF(OR(E5480="",E5480="!!!",F5480="NEW"),"",INDEX(J$1:J5479,SUMPRODUCT(MAX(ROW(E$1:E5479)*(E5480=E$1:E5479)))))</f>
        <v> </v>
      </c>
      <c r="L5480" s="27"/>
    </row>
    <row r="5481" spans="1:12">
      <c r="A5481" s="20" t="s">
        <v>1127</v>
      </c>
      <c r="E5481" s="22">
        <f>IF(D5481="?OLD","!!!","")</f>
        <v/>
      </c>
      <c r="F5481" s="23" t="str">
        <f>IF(OR(E5481="",E5481="!!!"),"",IF(NOT(ISNA(VLOOKUP(E5481,E$1:E5480,1,FALSE()))),"OLD",IF(AND(E5481&lt;&gt;"",E5481&lt;&gt;"!!!"),"NEW","")))</f>
        <v> </v>
      </c>
      <c r="G5481" s="24" t="str">
        <f>IF(OR(E5481="",E5481="!!!"),"",IF(OR(J5481=0,AND(J5481=1,K5481=1),AND(J5481=1,I5481="SBJ"),AND(J5481=1,I5481=0)),"?IN_FOCUS",IF(J5481&lt;=2,"?ACTIVATED",IF(J5481&lt;&gt;"","?FAMILIAR",IF(F5481="NEW",IF(ISNA(VLOOKUP(E5481,#REF!,1,FALSE())),"?TYPE_IDENTIFIABLE","?REFERENTIAL"),"_")))))</f>
        <v> </v>
      </c>
      <c r="H5481" s="25" t="str">
        <f>IF(J5481&lt;&gt;1,"",IF(I5481="SBJ","CB","?"))</f>
        <v> </v>
      </c>
      <c r="I5481" s="26" t="str">
        <f>IF(OR(E5481="",E5481="!!!",F5481="NEW"),"",INDEX(B5480:B$2,-1+SUMPRODUCT(MAX(ROW(E5480:E$2)*(E5481=E5480:E$2)))))</f>
        <v> </v>
      </c>
      <c r="J5481" s="26" t="str">
        <f>IF(OR(E5481="",E5481="!!!",F5481="NEW"),"",COUNTBLANK(OFFSET(A$1,,,SUMPRODUCT(MAX(ROW(E$2:E5481)*(E5481=E$2:E5481)))))-COUNTBLANK(OFFSET(A$1,,,SUMPRODUCT(MAX(ROW(E$1:E5480)*(E2=E$1:E5480))))))</f>
        <v> </v>
      </c>
      <c r="K5481" s="26" t="str">
        <f>IF(OR(E5481="",E5481="!!!",F5481="NEW"),"",INDEX(J$1:J5480,SUMPRODUCT(MAX(ROW(E$1:E5480)*(E5481=E$1:E5480)))))</f>
        <v> </v>
      </c>
      <c r="L5481" s="27"/>
    </row>
    <row r="5482" spans="1:12">
      <c r="A5482" s="20" t="s">
        <v>1324</v>
      </c>
      <c r="E5482" s="22">
        <f>IF(D5482="?OLD","!!!","")</f>
        <v/>
      </c>
      <c r="F5482" s="23" t="str">
        <f>IF(OR(E5482="",E5482="!!!"),"",IF(NOT(ISNA(VLOOKUP(E5482,E$1:E5481,1,FALSE()))),"OLD",IF(AND(E5482&lt;&gt;"",E5482&lt;&gt;"!!!"),"NEW","")))</f>
        <v> </v>
      </c>
      <c r="G5482" s="24" t="str">
        <f>IF(OR(E5482="",E5482="!!!"),"",IF(OR(J5482=0,AND(J5482=1,K5482=1),AND(J5482=1,I5482="SBJ"),AND(J5482=1,I5482=0)),"?IN_FOCUS",IF(J5482&lt;=2,"?ACTIVATED",IF(J5482&lt;&gt;"","?FAMILIAR",IF(F5482="NEW",IF(ISNA(VLOOKUP(E5482,#REF!,1,FALSE())),"?TYPE_IDENTIFIABLE","?REFERENTIAL"),"_")))))</f>
        <v> </v>
      </c>
      <c r="H5482" s="25" t="str">
        <f>IF(J5482&lt;&gt;1,"",IF(I5482="SBJ","CB","?"))</f>
        <v> </v>
      </c>
      <c r="I5482" s="26" t="str">
        <f>IF(OR(E5482="",E5482="!!!",F5482="NEW"),"",INDEX(B5481:B$2,-1+SUMPRODUCT(MAX(ROW(E5481:E$2)*(E5482=E5481:E$2)))))</f>
        <v> </v>
      </c>
      <c r="J5482" s="26" t="str">
        <f>IF(OR(E5482="",E5482="!!!",F5482="NEW"),"",COUNTBLANK(OFFSET(A$1,,,SUMPRODUCT(MAX(ROW(E$2:E5482)*(E5482=E$2:E5482)))))-COUNTBLANK(OFFSET(A$1,,,SUMPRODUCT(MAX(ROW(E$1:E5481)*(E2=E$1:E5481))))))</f>
        <v> </v>
      </c>
      <c r="K5482" s="26" t="str">
        <f>IF(OR(E5482="",E5482="!!!",F5482="NEW"),"",INDEX(J$1:J5481,SUMPRODUCT(MAX(ROW(E$1:E5481)*(E5482=E$1:E5481)))))</f>
        <v> </v>
      </c>
      <c r="L5482" s="27"/>
    </row>
    <row r="5483" spans="1:12">
      <c r="A5483" s="20" t="s">
        <v>2488</v>
      </c>
      <c r="E5483" s="22">
        <f>IF(D5483="?OLD","!!!","")</f>
        <v/>
      </c>
      <c r="F5483" s="23" t="str">
        <f>IF(OR(E5483="",E5483="!!!"),"",IF(NOT(ISNA(VLOOKUP(E5483,E$1:E5482,1,FALSE()))),"OLD",IF(AND(E5483&lt;&gt;"",E5483&lt;&gt;"!!!"),"NEW","")))</f>
        <v> </v>
      </c>
      <c r="G5483" s="24" t="str">
        <f>IF(OR(E5483="",E5483="!!!"),"",IF(OR(J5483=0,AND(J5483=1,K5483=1),AND(J5483=1,I5483="SBJ"),AND(J5483=1,I5483=0)),"?IN_FOCUS",IF(J5483&lt;=2,"?ACTIVATED",IF(J5483&lt;&gt;"","?FAMILIAR",IF(F5483="NEW",IF(ISNA(VLOOKUP(E5483,#REF!,1,FALSE())),"?TYPE_IDENTIFIABLE","?REFERENTIAL"),"_")))))</f>
        <v> </v>
      </c>
      <c r="H5483" s="25" t="str">
        <f>IF(J5483&lt;&gt;1,"",IF(I5483="SBJ","CB","?"))</f>
        <v> </v>
      </c>
      <c r="I5483" s="26" t="str">
        <f>IF(OR(E5483="",E5483="!!!",F5483="NEW"),"",INDEX(B5482:B$2,-1+SUMPRODUCT(MAX(ROW(E5482:E$2)*(E5483=E5482:E$2)))))</f>
        <v> </v>
      </c>
      <c r="J5483" s="26" t="str">
        <f>IF(OR(E5483="",E5483="!!!",F5483="NEW"),"",COUNTBLANK(OFFSET(A$1,,,SUMPRODUCT(MAX(ROW(E$2:E5483)*(E5483=E$2:E5483)))))-COUNTBLANK(OFFSET(A$1,,,SUMPRODUCT(MAX(ROW(E$1:E5482)*(E2=E$1:E5482))))))</f>
        <v> </v>
      </c>
      <c r="K5483" s="26" t="str">
        <f>IF(OR(E5483="",E5483="!!!",F5483="NEW"),"",INDEX(J$1:J5482,SUMPRODUCT(MAX(ROW(E$1:E5482)*(E5483=E$1:E5482)))))</f>
        <v> </v>
      </c>
      <c r="L5483" s="27"/>
    </row>
    <row r="5484" spans="1:12">
      <c r="A5484" s="20" t="s">
        <v>2489</v>
      </c>
      <c r="B5484" s="21" t="s">
        <v>1085</v>
      </c>
      <c r="C5484" s="21" t="s">
        <v>1006</v>
      </c>
      <c r="D5484" s="21" t="s">
        <v>1007</v>
      </c>
      <c r="E5484" s="22">
        <f>IF(D5484="?OLD","!!!","")</f>
        <v/>
      </c>
      <c r="F5484" s="23" t="str">
        <f>IF(OR(E5484="",E5484="!!!"),"",IF(NOT(ISNA(VLOOKUP(E5484,E$1:E5483,1,FALSE()))),"OLD",IF(AND(E5484&lt;&gt;"",E5484&lt;&gt;"!!!"),"NEW","")))</f>
        <v> </v>
      </c>
      <c r="G5484" s="24" t="str">
        <f>IF(OR(E5484="",E5484="!!!"),"",IF(OR(J5484=0,AND(J5484=1,K5484=1),AND(J5484=1,I5484="SBJ"),AND(J5484=1,I5484=0)),"?IN_FOCUS",IF(J5484&lt;=2,"?ACTIVATED",IF(J5484&lt;&gt;"","?FAMILIAR",IF(F5484="NEW",IF(ISNA(VLOOKUP(E5484,#REF!,1,FALSE())),"?TYPE_IDENTIFIABLE","?REFERENTIAL"),"_")))))</f>
        <v> </v>
      </c>
      <c r="H5484" s="25" t="str">
        <f>IF(J5484&lt;&gt;1,"",IF(I5484="SBJ","CB","?"))</f>
        <v> </v>
      </c>
      <c r="I5484" s="26" t="str">
        <f>IF(OR(E5484="",E5484="!!!",F5484="NEW"),"",INDEX(B5483:B$2,-1+SUMPRODUCT(MAX(ROW(E5483:E$2)*(E5484=E5483:E$2)))))</f>
        <v> </v>
      </c>
      <c r="J5484" s="26" t="str">
        <f>IF(OR(E5484="",E5484="!!!",F5484="NEW"),"",COUNTBLANK(OFFSET(A$1,,,SUMPRODUCT(MAX(ROW(E$2:E5484)*(E5484=E$2:E5484)))))-COUNTBLANK(OFFSET(A$1,,,SUMPRODUCT(MAX(ROW(E$1:E5483)*(E2=E$1:E5483))))))</f>
        <v> </v>
      </c>
      <c r="K5484" s="26" t="str">
        <f>IF(OR(E5484="",E5484="!!!",F5484="NEW"),"",INDEX(J$1:J5483,SUMPRODUCT(MAX(ROW(E$1:E5483)*(E5484=E$1:E5483)))))</f>
        <v> </v>
      </c>
      <c r="L5484" s="27"/>
    </row>
    <row r="5485" spans="1:12">
      <c r="A5485" s="20" t="s">
        <v>2490</v>
      </c>
      <c r="B5485" s="21" t="s">
        <v>1022</v>
      </c>
      <c r="C5485" s="21" t="s">
        <v>1006</v>
      </c>
      <c r="D5485" s="21" t="s">
        <v>1007</v>
      </c>
      <c r="E5485" s="22">
        <f>IF(D5485="?OLD","!!!","")</f>
        <v/>
      </c>
      <c r="F5485" s="23" t="str">
        <f>IF(OR(E5485="",E5485="!!!"),"",IF(NOT(ISNA(VLOOKUP(E5485,E$1:E5484,1,FALSE()))),"OLD",IF(AND(E5485&lt;&gt;"",E5485&lt;&gt;"!!!"),"NEW","")))</f>
        <v> </v>
      </c>
      <c r="G5485" s="24" t="str">
        <f>IF(OR(E5485="",E5485="!!!"),"",IF(OR(J5485=0,AND(J5485=1,K5485=1),AND(J5485=1,I5485="SBJ"),AND(J5485=1,I5485=0)),"?IN_FOCUS",IF(J5485&lt;=2,"?ACTIVATED",IF(J5485&lt;&gt;"","?FAMILIAR",IF(F5485="NEW",IF(ISNA(VLOOKUP(E5485,#REF!,1,FALSE())),"?TYPE_IDENTIFIABLE","?REFERENTIAL"),"_")))))</f>
        <v> </v>
      </c>
      <c r="H5485" s="25" t="str">
        <f>IF(J5485&lt;&gt;1,"",IF(I5485="SBJ","CB","?"))</f>
        <v> </v>
      </c>
      <c r="I5485" s="26" t="str">
        <f>IF(OR(E5485="",E5485="!!!",F5485="NEW"),"",INDEX(B5484:B$2,-1+SUMPRODUCT(MAX(ROW(E5484:E$2)*(E5485=E5484:E$2)))))</f>
        <v> </v>
      </c>
      <c r="J5485" s="26" t="str">
        <f>IF(OR(E5485="",E5485="!!!",F5485="NEW"),"",COUNTBLANK(OFFSET(A$1,,,SUMPRODUCT(MAX(ROW(E$2:E5485)*(E5485=E$2:E5485)))))-COUNTBLANK(OFFSET(A$1,,,SUMPRODUCT(MAX(ROW(E$1:E5484)*(E2=E$1:E5484))))))</f>
        <v> </v>
      </c>
      <c r="K5485" s="26" t="str">
        <f>IF(OR(E5485="",E5485="!!!",F5485="NEW"),"",INDEX(J$1:J5484,SUMPRODUCT(MAX(ROW(E$1:E5484)*(E5485=E$1:E5484)))))</f>
        <v> </v>
      </c>
      <c r="L5485" s="27"/>
    </row>
    <row r="5486" spans="1:12">
      <c r="A5486" s="20" t="s">
        <v>1097</v>
      </c>
      <c r="E5486" s="22">
        <f>IF(D5486="?OLD","!!!","")</f>
        <v/>
      </c>
      <c r="F5486" s="23" t="str">
        <f>IF(OR(E5486="",E5486="!!!"),"",IF(NOT(ISNA(VLOOKUP(E5486,E$1:E5485,1,FALSE()))),"OLD",IF(AND(E5486&lt;&gt;"",E5486&lt;&gt;"!!!"),"NEW","")))</f>
        <v> </v>
      </c>
      <c r="G5486" s="24" t="str">
        <f>IF(OR(E5486="",E5486="!!!"),"",IF(OR(J5486=0,AND(J5486=1,K5486=1),AND(J5486=1,I5486="SBJ"),AND(J5486=1,I5486=0)),"?IN_FOCUS",IF(J5486&lt;=2,"?ACTIVATED",IF(J5486&lt;&gt;"","?FAMILIAR",IF(F5486="NEW",IF(ISNA(VLOOKUP(E5486,#REF!,1,FALSE())),"?TYPE_IDENTIFIABLE","?REFERENTIAL"),"_")))))</f>
        <v> </v>
      </c>
      <c r="H5486" s="25" t="str">
        <f>IF(J5486&lt;&gt;1,"",IF(I5486="SBJ","CB","?"))</f>
        <v> </v>
      </c>
      <c r="I5486" s="26" t="str">
        <f>IF(OR(E5486="",E5486="!!!",F5486="NEW"),"",INDEX(B5485:B$2,-1+SUMPRODUCT(MAX(ROW(E5485:E$2)*(E5486=E5485:E$2)))))</f>
        <v> </v>
      </c>
      <c r="J5486" s="26" t="str">
        <f>IF(OR(E5486="",E5486="!!!",F5486="NEW"),"",COUNTBLANK(OFFSET(A$1,,,SUMPRODUCT(MAX(ROW(E$2:E5486)*(E5486=E$2:E5486)))))-COUNTBLANK(OFFSET(A$1,,,SUMPRODUCT(MAX(ROW(E$1:E5485)*(E2=E$1:E5485))))))</f>
        <v> </v>
      </c>
      <c r="K5486" s="26" t="str">
        <f>IF(OR(E5486="",E5486="!!!",F5486="NEW"),"",INDEX(J$1:J5485,SUMPRODUCT(MAX(ROW(E$1:E5485)*(E5486=E$1:E5485)))))</f>
        <v> </v>
      </c>
      <c r="L5486" s="27"/>
    </row>
    <row r="5487" spans="1:12">
      <c r="A5487" s="20" t="s">
        <v>2491</v>
      </c>
      <c r="E5487" s="22">
        <f>IF(D5487="?OLD","!!!","")</f>
        <v/>
      </c>
      <c r="F5487" s="23" t="str">
        <f>IF(OR(E5487="",E5487="!!!"),"",IF(NOT(ISNA(VLOOKUP(E5487,E$1:E5486,1,FALSE()))),"OLD",IF(AND(E5487&lt;&gt;"",E5487&lt;&gt;"!!!"),"NEW","")))</f>
        <v> </v>
      </c>
      <c r="G5487" s="24" t="str">
        <f>IF(OR(E5487="",E5487="!!!"),"",IF(OR(J5487=0,AND(J5487=1,K5487=1),AND(J5487=1,I5487="SBJ"),AND(J5487=1,I5487=0)),"?IN_FOCUS",IF(J5487&lt;=2,"?ACTIVATED",IF(J5487&lt;&gt;"","?FAMILIAR",IF(F5487="NEW",IF(ISNA(VLOOKUP(E5487,#REF!,1,FALSE())),"?TYPE_IDENTIFIABLE","?REFERENTIAL"),"_")))))</f>
        <v> </v>
      </c>
      <c r="H5487" s="25" t="str">
        <f>IF(J5487&lt;&gt;1,"",IF(I5487="SBJ","CB","?"))</f>
        <v> </v>
      </c>
      <c r="I5487" s="26" t="str">
        <f>IF(OR(E5487="",E5487="!!!",F5487="NEW"),"",INDEX(B5486:B$2,-1+SUMPRODUCT(MAX(ROW(E5486:E$2)*(E5487=E5486:E$2)))))</f>
        <v> </v>
      </c>
      <c r="J5487" s="26" t="str">
        <f>IF(OR(E5487="",E5487="!!!",F5487="NEW"),"",COUNTBLANK(OFFSET(A$1,,,SUMPRODUCT(MAX(ROW(E$2:E5487)*(E5487=E$2:E5487)))))-COUNTBLANK(OFFSET(A$1,,,SUMPRODUCT(MAX(ROW(E$1:E5486)*(E2=E$1:E5486))))))</f>
        <v> </v>
      </c>
      <c r="K5487" s="26" t="str">
        <f>IF(OR(E5487="",E5487="!!!",F5487="NEW"),"",INDEX(J$1:J5486,SUMPRODUCT(MAX(ROW(E$1:E5486)*(E5487=E$1:E5486)))))</f>
        <v> </v>
      </c>
      <c r="L5487" s="27"/>
    </row>
    <row r="5488" spans="1:12">
      <c r="A5488" s="20" t="s">
        <v>1020</v>
      </c>
      <c r="E5488" s="22">
        <f>IF(D5488="?OLD","!!!","")</f>
        <v/>
      </c>
      <c r="F5488" s="23" t="str">
        <f>IF(OR(E5488="",E5488="!!!"),"",IF(NOT(ISNA(VLOOKUP(E5488,E$1:E5487,1,FALSE()))),"OLD",IF(AND(E5488&lt;&gt;"",E5488&lt;&gt;"!!!"),"NEW","")))</f>
        <v> </v>
      </c>
      <c r="G5488" s="24" t="str">
        <f>IF(OR(E5488="",E5488="!!!"),"",IF(OR(J5488=0,AND(J5488=1,K5488=1),AND(J5488=1,I5488="SBJ"),AND(J5488=1,I5488=0)),"?IN_FOCUS",IF(J5488&lt;=2,"?ACTIVATED",IF(J5488&lt;&gt;"","?FAMILIAR",IF(F5488="NEW",IF(ISNA(VLOOKUP(E5488,#REF!,1,FALSE())),"?TYPE_IDENTIFIABLE","?REFERENTIAL"),"_")))))</f>
        <v> </v>
      </c>
      <c r="H5488" s="25" t="str">
        <f>IF(J5488&lt;&gt;1,"",IF(I5488="SBJ","CB","?"))</f>
        <v> </v>
      </c>
      <c r="I5488" s="26" t="str">
        <f>IF(OR(E5488="",E5488="!!!",F5488="NEW"),"",INDEX(B5487:B$2,-1+SUMPRODUCT(MAX(ROW(E5487:E$2)*(E5488=E5487:E$2)))))</f>
        <v> </v>
      </c>
      <c r="J5488" s="26" t="str">
        <f>IF(OR(E5488="",E5488="!!!",F5488="NEW"),"",COUNTBLANK(OFFSET(A$1,,,SUMPRODUCT(MAX(ROW(E$2:E5488)*(E5488=E$2:E5488)))))-COUNTBLANK(OFFSET(A$1,,,SUMPRODUCT(MAX(ROW(E$1:E5487)*(E2=E$1:E5487))))))</f>
        <v> </v>
      </c>
      <c r="K5488" s="26" t="str">
        <f>IF(OR(E5488="",E5488="!!!",F5488="NEW"),"",INDEX(J$1:J5487,SUMPRODUCT(MAX(ROW(E$1:E5487)*(E5488=E$1:E5487)))))</f>
        <v> </v>
      </c>
      <c r="L5488" s="27"/>
    </row>
    <row r="5489" spans="1:12">
      <c r="A5489" s="20" t="s">
        <v>1021</v>
      </c>
      <c r="B5489" s="21" t="s">
        <v>1029</v>
      </c>
      <c r="C5489" s="21" t="s">
        <v>1006</v>
      </c>
      <c r="D5489" s="21" t="s">
        <v>1007</v>
      </c>
      <c r="E5489" s="22">
        <f>IF(D5489="?OLD","!!!","")</f>
        <v/>
      </c>
      <c r="F5489" s="23" t="str">
        <f>IF(OR(E5489="",E5489="!!!"),"",IF(NOT(ISNA(VLOOKUP(E5489,E$1:E5488,1,FALSE()))),"OLD",IF(AND(E5489&lt;&gt;"",E5489&lt;&gt;"!!!"),"NEW","")))</f>
        <v> </v>
      </c>
      <c r="G5489" s="24" t="str">
        <f>IF(OR(E5489="",E5489="!!!"),"",IF(OR(J5489=0,AND(J5489=1,K5489=1),AND(J5489=1,I5489="SBJ"),AND(J5489=1,I5489=0)),"?IN_FOCUS",IF(J5489&lt;=2,"?ACTIVATED",IF(J5489&lt;&gt;"","?FAMILIAR",IF(F5489="NEW",IF(ISNA(VLOOKUP(E5489,#REF!,1,FALSE())),"?TYPE_IDENTIFIABLE","?REFERENTIAL"),"_")))))</f>
        <v> </v>
      </c>
      <c r="H5489" s="25" t="str">
        <f>IF(J5489&lt;&gt;1,"",IF(I5489="SBJ","CB","?"))</f>
        <v> </v>
      </c>
      <c r="I5489" s="26" t="str">
        <f>IF(OR(E5489="",E5489="!!!",F5489="NEW"),"",INDEX(B5488:B$2,-1+SUMPRODUCT(MAX(ROW(E5488:E$2)*(E5489=E5488:E$2)))))</f>
        <v> </v>
      </c>
      <c r="J5489" s="26" t="str">
        <f>IF(OR(E5489="",E5489="!!!",F5489="NEW"),"",COUNTBLANK(OFFSET(A$1,,,SUMPRODUCT(MAX(ROW(E$2:E5489)*(E5489=E$2:E5489)))))-COUNTBLANK(OFFSET(A$1,,,SUMPRODUCT(MAX(ROW(E$1:E5488)*(E2=E$1:E5488))))))</f>
        <v> </v>
      </c>
      <c r="K5489" s="26" t="str">
        <f>IF(OR(E5489="",E5489="!!!",F5489="NEW"),"",INDEX(J$1:J5488,SUMPRODUCT(MAX(ROW(E$1:E5488)*(E5489=E$1:E5488)))))</f>
        <v> </v>
      </c>
      <c r="L5489" s="27"/>
    </row>
    <row r="5490" spans="1:12">
      <c r="A5490" s="20" t="s">
        <v>1023</v>
      </c>
      <c r="E5490" s="22">
        <f>IF(D5490="?OLD","!!!","")</f>
        <v/>
      </c>
      <c r="F5490" s="23" t="str">
        <f>IF(OR(E5490="",E5490="!!!"),"",IF(NOT(ISNA(VLOOKUP(E5490,E$1:E5489,1,FALSE()))),"OLD",IF(AND(E5490&lt;&gt;"",E5490&lt;&gt;"!!!"),"NEW","")))</f>
        <v> </v>
      </c>
      <c r="G5490" s="24" t="str">
        <f>IF(OR(E5490="",E5490="!!!"),"",IF(OR(J5490=0,AND(J5490=1,K5490=1),AND(J5490=1,I5490="SBJ"),AND(J5490=1,I5490=0)),"?IN_FOCUS",IF(J5490&lt;=2,"?ACTIVATED",IF(J5490&lt;&gt;"","?FAMILIAR",IF(F5490="NEW",IF(ISNA(VLOOKUP(E5490,#REF!,1,FALSE())),"?TYPE_IDENTIFIABLE","?REFERENTIAL"),"_")))))</f>
        <v> </v>
      </c>
      <c r="H5490" s="25" t="str">
        <f>IF(J5490&lt;&gt;1,"",IF(I5490="SBJ","CB","?"))</f>
        <v> </v>
      </c>
      <c r="I5490" s="26" t="str">
        <f>IF(OR(E5490="",E5490="!!!",F5490="NEW"),"",INDEX(B5489:B$2,-1+SUMPRODUCT(MAX(ROW(E5489:E$2)*(E5490=E5489:E$2)))))</f>
        <v> </v>
      </c>
      <c r="J5490" s="26" t="str">
        <f>IF(OR(E5490="",E5490="!!!",F5490="NEW"),"",COUNTBLANK(OFFSET(A$1,,,SUMPRODUCT(MAX(ROW(E$2:E5490)*(E5490=E$2:E5490)))))-COUNTBLANK(OFFSET(A$1,,,SUMPRODUCT(MAX(ROW(E$1:E5489)*(E2=E$1:E5489))))))</f>
        <v> </v>
      </c>
      <c r="K5490" s="26" t="str">
        <f>IF(OR(E5490="",E5490="!!!",F5490="NEW"),"",INDEX(J$1:J5489,SUMPRODUCT(MAX(ROW(E$1:E5489)*(E5490=E$1:E5489)))))</f>
        <v> </v>
      </c>
      <c r="L5490" s="27"/>
    </row>
    <row r="5491" spans="1:12">
      <c r="A5491" s="20"/>
    </row>
    <row r="5492" spans="1:12">
      <c r="A5492" s="20" t="s">
        <v>2492</v>
      </c>
    </row>
    <row r="5493" spans="1:12">
      <c r="A5493" s="20" t="s">
        <v>2493</v>
      </c>
      <c r="E5493" s="22">
        <f>IF(D5493="?OLD","!!!","")</f>
        <v/>
      </c>
      <c r="F5493" s="23" t="str">
        <f>IF(OR(E5493="",E5493="!!!"),"",IF(NOT(ISNA(VLOOKUP(E5493,E$1:E5492,1,FALSE()))),"OLD",IF(AND(E5493&lt;&gt;"",E5493&lt;&gt;"!!!"),"NEW","")))</f>
        <v> </v>
      </c>
      <c r="G5493" s="24" t="str">
        <f>IF(OR(E5493="",E5493="!!!"),"",IF(OR(J5493=0,AND(J5493=1,K5493=1),AND(J5493=1,I5493="SBJ"),AND(J5493=1,I5493=0)),"?IN_FOCUS",IF(J5493&lt;=2,"?ACTIVATED",IF(J5493&lt;&gt;"","?FAMILIAR",IF(F5493="NEW",IF(ISNA(VLOOKUP(E5493,#REF!,1,FALSE())),"?TYPE_IDENTIFIABLE","?REFERENTIAL"),"_")))))</f>
        <v> </v>
      </c>
      <c r="H5493" s="25" t="str">
        <f>IF(J5493&lt;&gt;1,"",IF(I5493="SBJ","CB","?"))</f>
        <v> </v>
      </c>
      <c r="I5493" s="26" t="str">
        <f>IF(OR(E5493="",E5493="!!!",F5493="NEW"),"",INDEX(B5492:B$2,-1+SUMPRODUCT(MAX(ROW(E5492:E$2)*(E5493=E5492:E$2)))))</f>
        <v> </v>
      </c>
      <c r="J5493" s="26" t="str">
        <f>IF(OR(E5493="",E5493="!!!",F5493="NEW"),"",COUNTBLANK(OFFSET(A$1,,,SUMPRODUCT(MAX(ROW(E$2:E5493)*(E5493=E$2:E5493)))))-COUNTBLANK(OFFSET(A$1,,,SUMPRODUCT(MAX(ROW(E$1:E5492)*(E2=E$1:E5492))))))</f>
        <v> </v>
      </c>
      <c r="K5493" s="26" t="str">
        <f>IF(OR(E5493="",E5493="!!!",F5493="NEW"),"",INDEX(J$1:J5492,SUMPRODUCT(MAX(ROW(E$1:E5492)*(E5493=E$1:E5492)))))</f>
        <v> </v>
      </c>
      <c r="L5493" s="27"/>
    </row>
    <row r="5494" spans="1:12">
      <c r="A5494" s="20" t="s">
        <v>1065</v>
      </c>
      <c r="E5494" s="22">
        <f>IF(D5494="?OLD","!!!","")</f>
        <v/>
      </c>
      <c r="F5494" s="23" t="str">
        <f>IF(OR(E5494="",E5494="!!!"),"",IF(NOT(ISNA(VLOOKUP(E5494,E$1:E5493,1,FALSE()))),"OLD",IF(AND(E5494&lt;&gt;"",E5494&lt;&gt;"!!!"),"NEW","")))</f>
        <v> </v>
      </c>
      <c r="G5494" s="24" t="str">
        <f>IF(OR(E5494="",E5494="!!!"),"",IF(OR(J5494=0,AND(J5494=1,K5494=1),AND(J5494=1,I5494="SBJ"),AND(J5494=1,I5494=0)),"?IN_FOCUS",IF(J5494&lt;=2,"?ACTIVATED",IF(J5494&lt;&gt;"","?FAMILIAR",IF(F5494="NEW",IF(ISNA(VLOOKUP(E5494,#REF!,1,FALSE())),"?TYPE_IDENTIFIABLE","?REFERENTIAL"),"_")))))</f>
        <v> </v>
      </c>
      <c r="H5494" s="25" t="str">
        <f>IF(J5494&lt;&gt;1,"",IF(I5494="SBJ","CB","?"))</f>
        <v> </v>
      </c>
      <c r="I5494" s="26" t="str">
        <f>IF(OR(E5494="",E5494="!!!",F5494="NEW"),"",INDEX(B5493:B$2,-1+SUMPRODUCT(MAX(ROW(E5493:E$2)*(E5494=E5493:E$2)))))</f>
        <v> </v>
      </c>
      <c r="J5494" s="26" t="str">
        <f>IF(OR(E5494="",E5494="!!!",F5494="NEW"),"",COUNTBLANK(OFFSET(A$1,,,SUMPRODUCT(MAX(ROW(E$2:E5494)*(E5494=E$2:E5494)))))-COUNTBLANK(OFFSET(A$1,,,SUMPRODUCT(MAX(ROW(E$1:E5493)*(E2=E$1:E5493))))))</f>
        <v> </v>
      </c>
      <c r="K5494" s="26" t="str">
        <f>IF(OR(E5494="",E5494="!!!",F5494="NEW"),"",INDEX(J$1:J5493,SUMPRODUCT(MAX(ROW(E$1:E5493)*(E5494=E$1:E5493)))))</f>
        <v> </v>
      </c>
      <c r="L5494" s="27"/>
    </row>
    <row r="5495" spans="1:12">
      <c r="A5495" s="20" t="s">
        <v>1075</v>
      </c>
      <c r="E5495" s="22">
        <f>IF(D5495="?OLD","!!!","")</f>
        <v/>
      </c>
      <c r="F5495" s="23" t="str">
        <f>IF(OR(E5495="",E5495="!!!"),"",IF(NOT(ISNA(VLOOKUP(E5495,E$1:E5494,1,FALSE()))),"OLD",IF(AND(E5495&lt;&gt;"",E5495&lt;&gt;"!!!"),"NEW","")))</f>
        <v> </v>
      </c>
      <c r="G5495" s="24" t="str">
        <f>IF(OR(E5495="",E5495="!!!"),"",IF(OR(J5495=0,AND(J5495=1,K5495=1),AND(J5495=1,I5495="SBJ"),AND(J5495=1,I5495=0)),"?IN_FOCUS",IF(J5495&lt;=2,"?ACTIVATED",IF(J5495&lt;&gt;"","?FAMILIAR",IF(F5495="NEW",IF(ISNA(VLOOKUP(E5495,#REF!,1,FALSE())),"?TYPE_IDENTIFIABLE","?REFERENTIAL"),"_")))))</f>
        <v> </v>
      </c>
      <c r="H5495" s="25" t="str">
        <f>IF(J5495&lt;&gt;1,"",IF(I5495="SBJ","CB","?"))</f>
        <v> </v>
      </c>
      <c r="I5495" s="26" t="str">
        <f>IF(OR(E5495="",E5495="!!!",F5495="NEW"),"",INDEX(B5494:B$2,-1+SUMPRODUCT(MAX(ROW(E5494:E$2)*(E5495=E5494:E$2)))))</f>
        <v> </v>
      </c>
      <c r="J5495" s="26" t="str">
        <f>IF(OR(E5495="",E5495="!!!",F5495="NEW"),"",COUNTBLANK(OFFSET(A$1,,,SUMPRODUCT(MAX(ROW(E$2:E5495)*(E5495=E$2:E5495)))))-COUNTBLANK(OFFSET(A$1,,,SUMPRODUCT(MAX(ROW(E$1:E5494)*(E2=E$1:E5494))))))</f>
        <v> </v>
      </c>
      <c r="K5495" s="26" t="str">
        <f>IF(OR(E5495="",E5495="!!!",F5495="NEW"),"",INDEX(J$1:J5494,SUMPRODUCT(MAX(ROW(E$1:E5494)*(E5495=E$1:E5494)))))</f>
        <v> </v>
      </c>
      <c r="L5495" s="27"/>
    </row>
    <row r="5496" spans="1:12">
      <c r="A5496" s="20" t="s">
        <v>1324</v>
      </c>
      <c r="E5496" s="22">
        <f>IF(D5496="?OLD","!!!","")</f>
        <v/>
      </c>
      <c r="F5496" s="23" t="str">
        <f>IF(OR(E5496="",E5496="!!!"),"",IF(NOT(ISNA(VLOOKUP(E5496,E$1:E5495,1,FALSE()))),"OLD",IF(AND(E5496&lt;&gt;"",E5496&lt;&gt;"!!!"),"NEW","")))</f>
        <v> </v>
      </c>
      <c r="G5496" s="24" t="str">
        <f>IF(OR(E5496="",E5496="!!!"),"",IF(OR(J5496=0,AND(J5496=1,K5496=1),AND(J5496=1,I5496="SBJ"),AND(J5496=1,I5496=0)),"?IN_FOCUS",IF(J5496&lt;=2,"?ACTIVATED",IF(J5496&lt;&gt;"","?FAMILIAR",IF(F5496="NEW",IF(ISNA(VLOOKUP(E5496,#REF!,1,FALSE())),"?TYPE_IDENTIFIABLE","?REFERENTIAL"),"_")))))</f>
        <v> </v>
      </c>
      <c r="H5496" s="25" t="str">
        <f>IF(J5496&lt;&gt;1,"",IF(I5496="SBJ","CB","?"))</f>
        <v> </v>
      </c>
      <c r="I5496" s="26" t="str">
        <f>IF(OR(E5496="",E5496="!!!",F5496="NEW"),"",INDEX(B5495:B$2,-1+SUMPRODUCT(MAX(ROW(E5495:E$2)*(E5496=E5495:E$2)))))</f>
        <v> </v>
      </c>
      <c r="J5496" s="26" t="str">
        <f>IF(OR(E5496="",E5496="!!!",F5496="NEW"),"",COUNTBLANK(OFFSET(A$1,,,SUMPRODUCT(MAX(ROW(E$2:E5496)*(E5496=E$2:E5496)))))-COUNTBLANK(OFFSET(A$1,,,SUMPRODUCT(MAX(ROW(E$1:E5495)*(E2=E$1:E5495))))))</f>
        <v> </v>
      </c>
      <c r="K5496" s="26" t="str">
        <f>IF(OR(E5496="",E5496="!!!",F5496="NEW"),"",INDEX(J$1:J5495,SUMPRODUCT(MAX(ROW(E$1:E5495)*(E5496=E$1:E5495)))))</f>
        <v> </v>
      </c>
      <c r="L5496" s="27"/>
    </row>
    <row r="5497" spans="1:12">
      <c r="A5497" s="20" t="s">
        <v>193</v>
      </c>
      <c r="B5497" s="21" t="s">
        <v>1005</v>
      </c>
      <c r="C5497" s="21" t="s">
        <v>1111</v>
      </c>
      <c r="E5497" s="22">
        <f>IF(D5497="?OLD","!!!","")</f>
        <v/>
      </c>
      <c r="F5497" s="23" t="str">
        <f>IF(OR(E5497="",E5497="!!!"),"",IF(NOT(ISNA(VLOOKUP(E5497,E$1:E5496,1,FALSE()))),"OLD",IF(AND(E5497&lt;&gt;"",E5497&lt;&gt;"!!!"),"NEW","")))</f>
        <v> </v>
      </c>
      <c r="G5497" s="24" t="str">
        <f>IF(OR(E5497="",E5497="!!!"),"",IF(OR(J5497=0,AND(J5497=1,K5497=1),AND(J5497=1,I5497="SBJ"),AND(J5497=1,I5497=0)),"?IN_FOCUS",IF(J5497&lt;=2,"?ACTIVATED",IF(J5497&lt;&gt;"","?FAMILIAR",IF(F5497="NEW",IF(ISNA(VLOOKUP(E5497,#REF!,1,FALSE())),"?TYPE_IDENTIFIABLE","?REFERENTIAL"),"_")))))</f>
        <v> </v>
      </c>
      <c r="H5497" s="25" t="str">
        <f>IF(J5497&lt;&gt;1,"",IF(I5497="SBJ","CB","?"))</f>
        <v> </v>
      </c>
      <c r="I5497" s="26" t="str">
        <f>IF(OR(E5497="",E5497="!!!",F5497="NEW"),"",INDEX(B5496:B$2,-1+SUMPRODUCT(MAX(ROW(E5496:E$2)*(E5497=E5496:E$2)))))</f>
        <v> </v>
      </c>
      <c r="J5497" s="26" t="str">
        <f>IF(OR(E5497="",E5497="!!!",F5497="NEW"),"",COUNTBLANK(OFFSET(A$1,,,SUMPRODUCT(MAX(ROW(E$2:E5497)*(E5497=E$2:E5497)))))-COUNTBLANK(OFFSET(A$1,,,SUMPRODUCT(MAX(ROW(E$1:E5496)*(E2=E$1:E5496))))))</f>
        <v> </v>
      </c>
      <c r="K5497" s="26" t="str">
        <f>IF(OR(E5497="",E5497="!!!",F5497="NEW"),"",INDEX(J$1:J5496,SUMPRODUCT(MAX(ROW(E$1:E5496)*(E5497=E$1:E5496)))))</f>
        <v> </v>
      </c>
      <c r="L5497" s="27"/>
    </row>
    <row r="5498" spans="1:12">
      <c r="A5498" s="20" t="s">
        <v>1065</v>
      </c>
      <c r="B5498" s="21" t="s">
        <v>1154</v>
      </c>
      <c r="E5498" s="22">
        <f>IF(D5498="?OLD","!!!","")</f>
        <v/>
      </c>
      <c r="F5498" s="23" t="str">
        <f>IF(OR(E5498="",E5498="!!!"),"",IF(NOT(ISNA(VLOOKUP(E5498,E$1:E5497,1,FALSE()))),"OLD",IF(AND(E5498&lt;&gt;"",E5498&lt;&gt;"!!!"),"NEW","")))</f>
        <v> </v>
      </c>
      <c r="G5498" s="24" t="str">
        <f>IF(OR(E5498="",E5498="!!!"),"",IF(OR(J5498=0,AND(J5498=1,K5498=1),AND(J5498=1,I5498="SBJ"),AND(J5498=1,I5498=0)),"?IN_FOCUS",IF(J5498&lt;=2,"?ACTIVATED",IF(J5498&lt;&gt;"","?FAMILIAR",IF(F5498="NEW",IF(ISNA(VLOOKUP(E5498,#REF!,1,FALSE())),"?TYPE_IDENTIFIABLE","?REFERENTIAL"),"_")))))</f>
        <v> </v>
      </c>
      <c r="H5498" s="25" t="str">
        <f>IF(J5498&lt;&gt;1,"",IF(I5498="SBJ","CB","?"))</f>
        <v> </v>
      </c>
      <c r="I5498" s="26" t="str">
        <f>IF(OR(E5498="",E5498="!!!",F5498="NEW"),"",INDEX(B5497:B$2,-1+SUMPRODUCT(MAX(ROW(E5497:E$2)*(E5498=E5497:E$2)))))</f>
        <v> </v>
      </c>
      <c r="J5498" s="26" t="str">
        <f>IF(OR(E5498="",E5498="!!!",F5498="NEW"),"",COUNTBLANK(OFFSET(A$1,,,SUMPRODUCT(MAX(ROW(E$2:E5498)*(E5498=E$2:E5498)))))-COUNTBLANK(OFFSET(A$1,,,SUMPRODUCT(MAX(ROW(E$1:E5497)*(E2=E$1:E5497))))))</f>
        <v> </v>
      </c>
      <c r="K5498" s="26" t="str">
        <f>IF(OR(E5498="",E5498="!!!",F5498="NEW"),"",INDEX(J$1:J5497,SUMPRODUCT(MAX(ROW(E$1:E5497)*(E5498=E$1:E5497)))))</f>
        <v> </v>
      </c>
      <c r="L5498" s="27"/>
    </row>
    <row r="5499" spans="1:12">
      <c r="A5499" s="20" t="s">
        <v>1839</v>
      </c>
      <c r="E5499" s="22">
        <f>IF(D5499="?OLD","!!!","")</f>
        <v/>
      </c>
      <c r="F5499" s="23" t="str">
        <f>IF(OR(E5499="",E5499="!!!"),"",IF(NOT(ISNA(VLOOKUP(E5499,E$1:E5498,1,FALSE()))),"OLD",IF(AND(E5499&lt;&gt;"",E5499&lt;&gt;"!!!"),"NEW","")))</f>
        <v> </v>
      </c>
      <c r="G5499" s="24" t="str">
        <f>IF(OR(E5499="",E5499="!!!"),"",IF(OR(J5499=0,AND(J5499=1,K5499=1),AND(J5499=1,I5499="SBJ"),AND(J5499=1,I5499=0)),"?IN_FOCUS",IF(J5499&lt;=2,"?ACTIVATED",IF(J5499&lt;&gt;"","?FAMILIAR",IF(F5499="NEW",IF(ISNA(VLOOKUP(E5499,#REF!,1,FALSE())),"?TYPE_IDENTIFIABLE","?REFERENTIAL"),"_")))))</f>
        <v> </v>
      </c>
      <c r="H5499" s="25" t="str">
        <f>IF(J5499&lt;&gt;1,"",IF(I5499="SBJ","CB","?"))</f>
        <v> </v>
      </c>
      <c r="I5499" s="26" t="str">
        <f>IF(OR(E5499="",E5499="!!!",F5499="NEW"),"",INDEX(B5498:B$2,-1+SUMPRODUCT(MAX(ROW(E5498:E$2)*(E5499=E5498:E$2)))))</f>
        <v> </v>
      </c>
      <c r="J5499" s="26" t="str">
        <f>IF(OR(E5499="",E5499="!!!",F5499="NEW"),"",COUNTBLANK(OFFSET(A$1,,,SUMPRODUCT(MAX(ROW(E$2:E5499)*(E5499=E$2:E5499)))))-COUNTBLANK(OFFSET(A$1,,,SUMPRODUCT(MAX(ROW(E$1:E5498)*(E2=E$1:E5498))))))</f>
        <v> </v>
      </c>
      <c r="K5499" s="26" t="str">
        <f>IF(OR(E5499="",E5499="!!!",F5499="NEW"),"",INDEX(J$1:J5498,SUMPRODUCT(MAX(ROW(E$1:E5498)*(E5499=E$1:E5498)))))</f>
        <v> </v>
      </c>
      <c r="L5499" s="27"/>
    </row>
    <row r="5500" spans="1:12">
      <c r="A5500" s="20" t="s">
        <v>2494</v>
      </c>
      <c r="B5500" s="21" t="s">
        <v>1187</v>
      </c>
      <c r="C5500" s="21" t="s">
        <v>1048</v>
      </c>
      <c r="E5500" s="22">
        <f>IF(D5500="?OLD","!!!","")</f>
        <v/>
      </c>
      <c r="F5500" s="23" t="str">
        <f>IF(OR(E5500="",E5500="!!!"),"",IF(NOT(ISNA(VLOOKUP(E5500,E$1:E5499,1,FALSE()))),"OLD",IF(AND(E5500&lt;&gt;"",E5500&lt;&gt;"!!!"),"NEW","")))</f>
        <v> </v>
      </c>
      <c r="G5500" s="24" t="str">
        <f>IF(OR(E5500="",E5500="!!!"),"",IF(OR(J5500=0,AND(J5500=1,K5500=1),AND(J5500=1,I5500="SBJ"),AND(J5500=1,I5500=0)),"?IN_FOCUS",IF(J5500&lt;=2,"?ACTIVATED",IF(J5500&lt;&gt;"","?FAMILIAR",IF(F5500="NEW",IF(ISNA(VLOOKUP(E5500,#REF!,1,FALSE())),"?TYPE_IDENTIFIABLE","?REFERENTIAL"),"_")))))</f>
        <v> </v>
      </c>
      <c r="H5500" s="25" t="str">
        <f>IF(J5500&lt;&gt;1,"",IF(I5500="SBJ","CB","?"))</f>
        <v> </v>
      </c>
      <c r="I5500" s="26" t="str">
        <f>IF(OR(E5500="",E5500="!!!",F5500="NEW"),"",INDEX(B5499:B$2,-1+SUMPRODUCT(MAX(ROW(E5499:E$2)*(E5500=E5499:E$2)))))</f>
        <v> </v>
      </c>
      <c r="J5500" s="26" t="str">
        <f>IF(OR(E5500="",E5500="!!!",F5500="NEW"),"",COUNTBLANK(OFFSET(A$1,,,SUMPRODUCT(MAX(ROW(E$2:E5500)*(E5500=E$2:E5500)))))-COUNTBLANK(OFFSET(A$1,,,SUMPRODUCT(MAX(ROW(E$1:E5499)*(E2=E$1:E5499))))))</f>
        <v> </v>
      </c>
      <c r="K5500" s="26" t="str">
        <f>IF(OR(E5500="",E5500="!!!",F5500="NEW"),"",INDEX(J$1:J5499,SUMPRODUCT(MAX(ROW(E$1:E5499)*(E5500=E$1:E5499)))))</f>
        <v> </v>
      </c>
      <c r="L5500" s="27"/>
    </row>
    <row r="5501" spans="1:12">
      <c r="A5501" s="20" t="s">
        <v>1077</v>
      </c>
      <c r="E5501" s="22">
        <f>IF(D5501="?OLD","!!!","")</f>
        <v/>
      </c>
      <c r="F5501" s="23" t="str">
        <f>IF(OR(E5501="",E5501="!!!"),"",IF(NOT(ISNA(VLOOKUP(E5501,E$1:E5500,1,FALSE()))),"OLD",IF(AND(E5501&lt;&gt;"",E5501&lt;&gt;"!!!"),"NEW","")))</f>
        <v> </v>
      </c>
      <c r="G5501" s="24" t="str">
        <f>IF(OR(E5501="",E5501="!!!"),"",IF(OR(J5501=0,AND(J5501=1,K5501=1),AND(J5501=1,I5501="SBJ"),AND(J5501=1,I5501=0)),"?IN_FOCUS",IF(J5501&lt;=2,"?ACTIVATED",IF(J5501&lt;&gt;"","?FAMILIAR",IF(F5501="NEW",IF(ISNA(VLOOKUP(E5501,#REF!,1,FALSE())),"?TYPE_IDENTIFIABLE","?REFERENTIAL"),"_")))))</f>
        <v> </v>
      </c>
      <c r="H5501" s="25" t="str">
        <f>IF(J5501&lt;&gt;1,"",IF(I5501="SBJ","CB","?"))</f>
        <v> </v>
      </c>
      <c r="I5501" s="26" t="str">
        <f>IF(OR(E5501="",E5501="!!!",F5501="NEW"),"",INDEX(B5500:B$2,-1+SUMPRODUCT(MAX(ROW(E5500:E$2)*(E5501=E5500:E$2)))))</f>
        <v> </v>
      </c>
      <c r="J5501" s="26" t="str">
        <f>IF(OR(E5501="",E5501="!!!",F5501="NEW"),"",COUNTBLANK(OFFSET(A$1,,,SUMPRODUCT(MAX(ROW(E$2:E5501)*(E5501=E$2:E5501)))))-COUNTBLANK(OFFSET(A$1,,,SUMPRODUCT(MAX(ROW(E$1:E5500)*(E2=E$1:E5500))))))</f>
        <v> </v>
      </c>
      <c r="K5501" s="26" t="str">
        <f>IF(OR(E5501="",E5501="!!!",F5501="NEW"),"",INDEX(J$1:J5500,SUMPRODUCT(MAX(ROW(E$1:E5500)*(E5501=E$1:E5500)))))</f>
        <v> </v>
      </c>
      <c r="L5501" s="27"/>
    </row>
    <row r="5502" spans="1:12">
      <c r="A5502" s="20"/>
    </row>
    <row r="5503" spans="1:12">
      <c r="A5503" s="20" t="s">
        <v>2495</v>
      </c>
    </row>
    <row r="5504" spans="1:12">
      <c r="A5504" s="20" t="s">
        <v>1118</v>
      </c>
      <c r="B5504" s="21" t="s">
        <v>1005</v>
      </c>
      <c r="C5504" s="21" t="s">
        <v>1048</v>
      </c>
      <c r="E5504" s="22">
        <f>IF(D5504="?OLD","!!!","")</f>
        <v/>
      </c>
      <c r="F5504" s="23" t="str">
        <f>IF(OR(E5504="",E5504="!!!"),"",IF(NOT(ISNA(VLOOKUP(E5504,E$1:E5503,1,FALSE()))),"OLD",IF(AND(E5504&lt;&gt;"",E5504&lt;&gt;"!!!"),"NEW","")))</f>
        <v> </v>
      </c>
      <c r="G5504" s="24" t="str">
        <f>IF(OR(E5504="",E5504="!!!"),"",IF(OR(J5504=0,AND(J5504=1,K5504=1),AND(J5504=1,I5504="SBJ"),AND(J5504=1,I5504=0)),"?IN_FOCUS",IF(J5504&lt;=2,"?ACTIVATED",IF(J5504&lt;&gt;"","?FAMILIAR",IF(F5504="NEW",IF(ISNA(VLOOKUP(E5504,#REF!,1,FALSE())),"?TYPE_IDENTIFIABLE","?REFERENTIAL"),"_")))))</f>
        <v> </v>
      </c>
      <c r="H5504" s="25" t="str">
        <f>IF(J5504&lt;&gt;1,"",IF(I5504="SBJ","CB","?"))</f>
        <v> </v>
      </c>
      <c r="I5504" s="26" t="str">
        <f>IF(OR(E5504="",E5504="!!!",F5504="NEW"),"",INDEX(B5503:B$2,-1+SUMPRODUCT(MAX(ROW(E5503:E$2)*(E5504=E5503:E$2)))))</f>
        <v> </v>
      </c>
      <c r="J5504" s="26" t="str">
        <f>IF(OR(E5504="",E5504="!!!",F5504="NEW"),"",COUNTBLANK(OFFSET(A$1,,,SUMPRODUCT(MAX(ROW(E$2:E5504)*(E5504=E$2:E5504)))))-COUNTBLANK(OFFSET(A$1,,,SUMPRODUCT(MAX(ROW(E$1:E5503)*(E2=E$1:E5503))))))</f>
        <v> </v>
      </c>
      <c r="K5504" s="26" t="str">
        <f>IF(OR(E5504="",E5504="!!!",F5504="NEW"),"",INDEX(J$1:J5503,SUMPRODUCT(MAX(ROW(E$1:E5503)*(E5504=E$1:E5503)))))</f>
        <v> </v>
      </c>
      <c r="L5504" s="27"/>
    </row>
    <row r="5505" spans="1:12">
      <c r="A5505" s="20" t="s">
        <v>1009</v>
      </c>
      <c r="E5505" s="22">
        <f>IF(D5505="?OLD","!!!","")</f>
        <v/>
      </c>
      <c r="F5505" s="23" t="str">
        <f>IF(OR(E5505="",E5505="!!!"),"",IF(NOT(ISNA(VLOOKUP(E5505,E$1:E5504,1,FALSE()))),"OLD",IF(AND(E5505&lt;&gt;"",E5505&lt;&gt;"!!!"),"NEW","")))</f>
        <v> </v>
      </c>
      <c r="G5505" s="24" t="str">
        <f>IF(OR(E5505="",E5505="!!!"),"",IF(OR(J5505=0,AND(J5505=1,K5505=1),AND(J5505=1,I5505="SBJ"),AND(J5505=1,I5505=0)),"?IN_FOCUS",IF(J5505&lt;=2,"?ACTIVATED",IF(J5505&lt;&gt;"","?FAMILIAR",IF(F5505="NEW",IF(ISNA(VLOOKUP(E5505,#REF!,1,FALSE())),"?TYPE_IDENTIFIABLE","?REFERENTIAL"),"_")))))</f>
        <v> </v>
      </c>
      <c r="H5505" s="25" t="str">
        <f>IF(J5505&lt;&gt;1,"",IF(I5505="SBJ","CB","?"))</f>
        <v> </v>
      </c>
      <c r="I5505" s="26" t="str">
        <f>IF(OR(E5505="",E5505="!!!",F5505="NEW"),"",INDEX(B5504:B$2,-1+SUMPRODUCT(MAX(ROW(E5504:E$2)*(E5505=E5504:E$2)))))</f>
        <v> </v>
      </c>
      <c r="J5505" s="26" t="str">
        <f>IF(OR(E5505="",E5505="!!!",F5505="NEW"),"",COUNTBLANK(OFFSET(A$1,,,SUMPRODUCT(MAX(ROW(E$2:E5505)*(E5505=E$2:E5505)))))-COUNTBLANK(OFFSET(A$1,,,SUMPRODUCT(MAX(ROW(E$1:E5504)*(E2=E$1:E5504))))))</f>
        <v> </v>
      </c>
      <c r="K5505" s="26" t="str">
        <f>IF(OR(E5505="",E5505="!!!",F5505="NEW"),"",INDEX(J$1:J5504,SUMPRODUCT(MAX(ROW(E$1:E5504)*(E5505=E$1:E5504)))))</f>
        <v> </v>
      </c>
      <c r="L5505" s="27"/>
    </row>
    <row r="5506" spans="1:12">
      <c r="A5506" s="20" t="s">
        <v>2304</v>
      </c>
      <c r="E5506" s="22">
        <f>IF(D5506="?OLD","!!!","")</f>
        <v/>
      </c>
      <c r="F5506" s="23" t="str">
        <f>IF(OR(E5506="",E5506="!!!"),"",IF(NOT(ISNA(VLOOKUP(E5506,E$1:E5505,1,FALSE()))),"OLD",IF(AND(E5506&lt;&gt;"",E5506&lt;&gt;"!!!"),"NEW","")))</f>
        <v> </v>
      </c>
      <c r="G5506" s="24" t="str">
        <f>IF(OR(E5506="",E5506="!!!"),"",IF(OR(J5506=0,AND(J5506=1,K5506=1),AND(J5506=1,I5506="SBJ"),AND(J5506=1,I5506=0)),"?IN_FOCUS",IF(J5506&lt;=2,"?ACTIVATED",IF(J5506&lt;&gt;"","?FAMILIAR",IF(F5506="NEW",IF(ISNA(VLOOKUP(E5506,#REF!,1,FALSE())),"?TYPE_IDENTIFIABLE","?REFERENTIAL"),"_")))))</f>
        <v> </v>
      </c>
      <c r="H5506" s="25" t="str">
        <f>IF(J5506&lt;&gt;1,"",IF(I5506="SBJ","CB","?"))</f>
        <v> </v>
      </c>
      <c r="I5506" s="26" t="str">
        <f>IF(OR(E5506="",E5506="!!!",F5506="NEW"),"",INDEX(B5505:B$2,-1+SUMPRODUCT(MAX(ROW(E5505:E$2)*(E5506=E5505:E$2)))))</f>
        <v> </v>
      </c>
      <c r="J5506" s="26" t="str">
        <f>IF(OR(E5506="",E5506="!!!",F5506="NEW"),"",COUNTBLANK(OFFSET(A$1,,,SUMPRODUCT(MAX(ROW(E$2:E5506)*(E5506=E$2:E5506)))))-COUNTBLANK(OFFSET(A$1,,,SUMPRODUCT(MAX(ROW(E$1:E5505)*(E2=E$1:E5505))))))</f>
        <v> </v>
      </c>
      <c r="K5506" s="26" t="str">
        <f>IF(OR(E5506="",E5506="!!!",F5506="NEW"),"",INDEX(J$1:J5505,SUMPRODUCT(MAX(ROW(E$1:E5505)*(E5506=E$1:E5505)))))</f>
        <v> </v>
      </c>
      <c r="L5506" s="27"/>
    </row>
    <row r="5507" spans="1:12">
      <c r="A5507" s="20" t="s">
        <v>1023</v>
      </c>
      <c r="E5507" s="22">
        <f>IF(D5507="?OLD","!!!","")</f>
        <v/>
      </c>
      <c r="F5507" s="23" t="str">
        <f>IF(OR(E5507="",E5507="!!!"),"",IF(NOT(ISNA(VLOOKUP(E5507,E$1:E5506,1,FALSE()))),"OLD",IF(AND(E5507&lt;&gt;"",E5507&lt;&gt;"!!!"),"NEW","")))</f>
        <v> </v>
      </c>
      <c r="G5507" s="24" t="str">
        <f>IF(OR(E5507="",E5507="!!!"),"",IF(OR(J5507=0,AND(J5507=1,K5507=1),AND(J5507=1,I5507="SBJ"),AND(J5507=1,I5507=0)),"?IN_FOCUS",IF(J5507&lt;=2,"?ACTIVATED",IF(J5507&lt;&gt;"","?FAMILIAR",IF(F5507="NEW",IF(ISNA(VLOOKUP(E5507,#REF!,1,FALSE())),"?TYPE_IDENTIFIABLE","?REFERENTIAL"),"_")))))</f>
        <v> </v>
      </c>
      <c r="H5507" s="25" t="str">
        <f>IF(J5507&lt;&gt;1,"",IF(I5507="SBJ","CB","?"))</f>
        <v> </v>
      </c>
      <c r="I5507" s="26" t="str">
        <f>IF(OR(E5507="",E5507="!!!",F5507="NEW"),"",INDEX(B5506:B$2,-1+SUMPRODUCT(MAX(ROW(E5506:E$2)*(E5507=E5506:E$2)))))</f>
        <v> </v>
      </c>
      <c r="J5507" s="26" t="str">
        <f>IF(OR(E5507="",E5507="!!!",F5507="NEW"),"",COUNTBLANK(OFFSET(A$1,,,SUMPRODUCT(MAX(ROW(E$2:E5507)*(E5507=E$2:E5507)))))-COUNTBLANK(OFFSET(A$1,,,SUMPRODUCT(MAX(ROW(E$1:E5506)*(E2=E$1:E5506))))))</f>
        <v> </v>
      </c>
      <c r="K5507" s="26" t="str">
        <f>IF(OR(E5507="",E5507="!!!",F5507="NEW"),"",INDEX(J$1:J5506,SUMPRODUCT(MAX(ROW(E$1:E5506)*(E5507=E$1:E5506)))))</f>
        <v> </v>
      </c>
      <c r="L5507" s="27"/>
    </row>
    <row r="5508" spans="1:12">
      <c r="A5508" s="20"/>
    </row>
    <row r="5509" spans="1:12">
      <c r="A5509" s="20" t="s">
        <v>2496</v>
      </c>
    </row>
    <row r="5510" spans="1:12">
      <c r="A5510" s="20" t="s">
        <v>1400</v>
      </c>
      <c r="E5510" s="22">
        <f>IF(D5510="?OLD","!!!","")</f>
        <v/>
      </c>
      <c r="F5510" s="23" t="str">
        <f>IF(OR(E5510="",E5510="!!!"),"",IF(NOT(ISNA(VLOOKUP(E5510,E$1:E5509,1,FALSE()))),"OLD",IF(AND(E5510&lt;&gt;"",E5510&lt;&gt;"!!!"),"NEW","")))</f>
        <v> </v>
      </c>
      <c r="G5510" s="24" t="str">
        <f>IF(OR(E5510="",E5510="!!!"),"",IF(OR(J5510=0,AND(J5510=1,K5510=1),AND(J5510=1,I5510="SBJ"),AND(J5510=1,I5510=0)),"?IN_FOCUS",IF(J5510&lt;=2,"?ACTIVATED",IF(J5510&lt;&gt;"","?FAMILIAR",IF(F5510="NEW",IF(ISNA(VLOOKUP(E5510,#REF!,1,FALSE())),"?TYPE_IDENTIFIABLE","?REFERENTIAL"),"_")))))</f>
        <v> </v>
      </c>
      <c r="H5510" s="25" t="str">
        <f>IF(J5510&lt;&gt;1,"",IF(I5510="SBJ","CB","?"))</f>
        <v> </v>
      </c>
      <c r="I5510" s="26" t="str">
        <f>IF(OR(E5510="",E5510="!!!",F5510="NEW"),"",INDEX(B5509:B$2,-1+SUMPRODUCT(MAX(ROW(E5509:E$2)*(E5510=E5509:E$2)))))</f>
        <v> </v>
      </c>
      <c r="J5510" s="26" t="str">
        <f>IF(OR(E5510="",E5510="!!!",F5510="NEW"),"",COUNTBLANK(OFFSET(A$1,,,SUMPRODUCT(MAX(ROW(E$2:E5510)*(E5510=E$2:E5510)))))-COUNTBLANK(OFFSET(A$1,,,SUMPRODUCT(MAX(ROW(E$1:E5509)*(E2=E$1:E5509))))))</f>
        <v> </v>
      </c>
      <c r="K5510" s="26" t="str">
        <f>IF(OR(E5510="",E5510="!!!",F5510="NEW"),"",INDEX(J$1:J5509,SUMPRODUCT(MAX(ROW(E$1:E5509)*(E5510=E$1:E5509)))))</f>
        <v> </v>
      </c>
      <c r="L5510" s="27"/>
    </row>
    <row r="5511" spans="1:12">
      <c r="A5511" s="20" t="s">
        <v>1129</v>
      </c>
      <c r="B5511" s="21" t="s">
        <v>1005</v>
      </c>
      <c r="C5511" s="21" t="s">
        <v>1059</v>
      </c>
      <c r="D5511" s="21" t="s">
        <v>1007</v>
      </c>
      <c r="E5511" s="22">
        <f>IF(D5511="?OLD","!!!","")</f>
        <v/>
      </c>
      <c r="F5511" s="23" t="str">
        <f>IF(OR(E5511="",E5511="!!!"),"",IF(NOT(ISNA(VLOOKUP(E5511,E$1:E5510,1,FALSE()))),"OLD",IF(AND(E5511&lt;&gt;"",E5511&lt;&gt;"!!!"),"NEW","")))</f>
        <v> </v>
      </c>
      <c r="G5511" s="24" t="str">
        <f>IF(OR(E5511="",E5511="!!!"),"",IF(OR(J5511=0,AND(J5511=1,K5511=1),AND(J5511=1,I5511="SBJ"),AND(J5511=1,I5511=0)),"?IN_FOCUS",IF(J5511&lt;=2,"?ACTIVATED",IF(J5511&lt;&gt;"","?FAMILIAR",IF(F5511="NEW",IF(ISNA(VLOOKUP(E5511,#REF!,1,FALSE())),"?TYPE_IDENTIFIABLE","?REFERENTIAL"),"_")))))</f>
        <v> </v>
      </c>
      <c r="H5511" s="25" t="str">
        <f>IF(J5511&lt;&gt;1,"",IF(I5511="SBJ","CB","?"))</f>
        <v> </v>
      </c>
      <c r="I5511" s="26" t="str">
        <f>IF(OR(E5511="",E5511="!!!",F5511="NEW"),"",INDEX(B5510:B$2,-1+SUMPRODUCT(MAX(ROW(E5510:E$2)*(E5511=E5510:E$2)))))</f>
        <v> </v>
      </c>
      <c r="J5511" s="26" t="str">
        <f>IF(OR(E5511="",E5511="!!!",F5511="NEW"),"",COUNTBLANK(OFFSET(A$1,,,SUMPRODUCT(MAX(ROW(E$2:E5511)*(E5511=E$2:E5511)))))-COUNTBLANK(OFFSET(A$1,,,SUMPRODUCT(MAX(ROW(E$1:E5510)*(E2=E$1:E5510))))))</f>
        <v> </v>
      </c>
      <c r="K5511" s="26" t="str">
        <f>IF(OR(E5511="",E5511="!!!",F5511="NEW"),"",INDEX(J$1:J5510,SUMPRODUCT(MAX(ROW(E$1:E5510)*(E5511=E$1:E5510)))))</f>
        <v> </v>
      </c>
      <c r="L5511" s="27"/>
    </row>
    <row r="5512" spans="1:12">
      <c r="A5512" s="20" t="s">
        <v>808</v>
      </c>
      <c r="B5512" s="21" t="s">
        <v>1005</v>
      </c>
      <c r="C5512" s="21" t="s">
        <v>1017</v>
      </c>
      <c r="D5512" s="21" t="s">
        <v>1007</v>
      </c>
      <c r="E5512" s="22">
        <f>IF(D5512="?OLD","!!!","")</f>
        <v/>
      </c>
      <c r="F5512" s="23" t="str">
        <f>IF(OR(E5512="",E5512="!!!"),"",IF(NOT(ISNA(VLOOKUP(E5512,E$1:E5511,1,FALSE()))),"OLD",IF(AND(E5512&lt;&gt;"",E5512&lt;&gt;"!!!"),"NEW","")))</f>
        <v> </v>
      </c>
      <c r="G5512" s="24" t="str">
        <f>IF(OR(E5512="",E5512="!!!"),"",IF(OR(J5512=0,AND(J5512=1,K5512=1),AND(J5512=1,I5512="SBJ"),AND(J5512=1,I5512=0)),"?IN_FOCUS",IF(J5512&lt;=2,"?ACTIVATED",IF(J5512&lt;&gt;"","?FAMILIAR",IF(F5512="NEW",IF(ISNA(VLOOKUP(E5512,#REF!,1,FALSE())),"?TYPE_IDENTIFIABLE","?REFERENTIAL"),"_")))))</f>
        <v> </v>
      </c>
      <c r="H5512" s="25" t="str">
        <f>IF(J5512&lt;&gt;1,"",IF(I5512="SBJ","CB","?"))</f>
        <v> </v>
      </c>
      <c r="I5512" s="26" t="str">
        <f>IF(OR(E5512="",E5512="!!!",F5512="NEW"),"",INDEX(B5511:B$2,-1+SUMPRODUCT(MAX(ROW(E5511:E$2)*(E5512=E5511:E$2)))))</f>
        <v> </v>
      </c>
      <c r="J5512" s="26" t="str">
        <f>IF(OR(E5512="",E5512="!!!",F5512="NEW"),"",COUNTBLANK(OFFSET(A$1,,,SUMPRODUCT(MAX(ROW(E$2:E5512)*(E5512=E$2:E5512)))))-COUNTBLANK(OFFSET(A$1,,,SUMPRODUCT(MAX(ROW(E$1:E5511)*(E2=E$1:E5511))))))</f>
        <v> </v>
      </c>
      <c r="K5512" s="26" t="str">
        <f>IF(OR(E5512="",E5512="!!!",F5512="NEW"),"",INDEX(J$1:J5511,SUMPRODUCT(MAX(ROW(E$1:E5511)*(E5512=E$1:E5511)))))</f>
        <v> </v>
      </c>
      <c r="L5512" s="27"/>
    </row>
    <row r="5513" spans="1:12">
      <c r="A5513" s="20" t="s">
        <v>1107</v>
      </c>
      <c r="E5513" s="22">
        <f>IF(D5513="?OLD","!!!","")</f>
        <v/>
      </c>
      <c r="F5513" s="23" t="str">
        <f>IF(OR(E5513="",E5513="!!!"),"",IF(NOT(ISNA(VLOOKUP(E5513,E$1:E5512,1,FALSE()))),"OLD",IF(AND(E5513&lt;&gt;"",E5513&lt;&gt;"!!!"),"NEW","")))</f>
        <v> </v>
      </c>
      <c r="G5513" s="24" t="str">
        <f>IF(OR(E5513="",E5513="!!!"),"",IF(OR(J5513=0,AND(J5513=1,K5513=1),AND(J5513=1,I5513="SBJ"),AND(J5513=1,I5513=0)),"?IN_FOCUS",IF(J5513&lt;=2,"?ACTIVATED",IF(J5513&lt;&gt;"","?FAMILIAR",IF(F5513="NEW",IF(ISNA(VLOOKUP(E5513,#REF!,1,FALSE())),"?TYPE_IDENTIFIABLE","?REFERENTIAL"),"_")))))</f>
        <v> </v>
      </c>
      <c r="H5513" s="25" t="str">
        <f>IF(J5513&lt;&gt;1,"",IF(I5513="SBJ","CB","?"))</f>
        <v> </v>
      </c>
      <c r="I5513" s="26" t="str">
        <f>IF(OR(E5513="",E5513="!!!",F5513="NEW"),"",INDEX(B5512:B$2,-1+SUMPRODUCT(MAX(ROW(E5512:E$2)*(E5513=E5512:E$2)))))</f>
        <v> </v>
      </c>
      <c r="J5513" s="26" t="str">
        <f>IF(OR(E5513="",E5513="!!!",F5513="NEW"),"",COUNTBLANK(OFFSET(A$1,,,SUMPRODUCT(MAX(ROW(E$2:E5513)*(E5513=E$2:E5513)))))-COUNTBLANK(OFFSET(A$1,,,SUMPRODUCT(MAX(ROW(E$1:E5512)*(E2=E$1:E5512))))))</f>
        <v> </v>
      </c>
      <c r="K5513" s="26" t="str">
        <f>IF(OR(E5513="",E5513="!!!",F5513="NEW"),"",INDEX(J$1:J5512,SUMPRODUCT(MAX(ROW(E$1:E5512)*(E5513=E$1:E5512)))))</f>
        <v> </v>
      </c>
      <c r="L5513" s="27"/>
    </row>
    <row r="5514" spans="1:12">
      <c r="A5514" s="20"/>
    </row>
    <row r="5515" spans="1:12">
      <c r="A5515" s="20" t="s">
        <v>2497</v>
      </c>
    </row>
    <row r="5516" spans="1:12">
      <c r="A5516" s="20" t="s">
        <v>1991</v>
      </c>
      <c r="B5516" s="21" t="s">
        <v>1050</v>
      </c>
      <c r="C5516" s="21" t="s">
        <v>1082</v>
      </c>
      <c r="D5516" s="21" t="s">
        <v>1007</v>
      </c>
      <c r="E5516" s="22">
        <f>IF(D5516="?OLD","!!!","")</f>
        <v/>
      </c>
      <c r="F5516" s="23" t="str">
        <f>IF(OR(E5516="",E5516="!!!"),"",IF(NOT(ISNA(VLOOKUP(E5516,E$1:E5515,1,FALSE()))),"OLD",IF(AND(E5516&lt;&gt;"",E5516&lt;&gt;"!!!"),"NEW","")))</f>
        <v> </v>
      </c>
      <c r="G5516" s="24" t="str">
        <f>IF(OR(E5516="",E5516="!!!"),"",IF(OR(J5516=0,AND(J5516=1,K5516=1),AND(J5516=1,I5516="SBJ"),AND(J5516=1,I5516=0)),"?IN_FOCUS",IF(J5516&lt;=2,"?ACTIVATED",IF(J5516&lt;&gt;"","?FAMILIAR",IF(F5516="NEW",IF(ISNA(VLOOKUP(E5516,#REF!,1,FALSE())),"?TYPE_IDENTIFIABLE","?REFERENTIAL"),"_")))))</f>
        <v> </v>
      </c>
      <c r="H5516" s="25" t="str">
        <f>IF(J5516&lt;&gt;1,"",IF(I5516="SBJ","CB","?"))</f>
        <v> </v>
      </c>
      <c r="I5516" s="26" t="str">
        <f>IF(OR(E5516="",E5516="!!!",F5516="NEW"),"",INDEX(B5515:B$2,-1+SUMPRODUCT(MAX(ROW(E5515:E$2)*(E5516=E5515:E$2)))))</f>
        <v> </v>
      </c>
      <c r="J5516" s="26" t="str">
        <f>IF(OR(E5516="",E5516="!!!",F5516="NEW"),"",COUNTBLANK(OFFSET(A$1,,,SUMPRODUCT(MAX(ROW(E$2:E5516)*(E5516=E$2:E5516)))))-COUNTBLANK(OFFSET(A$1,,,SUMPRODUCT(MAX(ROW(E$1:E5515)*(E2=E$1:E5515))))))</f>
        <v> </v>
      </c>
      <c r="K5516" s="26" t="str">
        <f>IF(OR(E5516="",E5516="!!!",F5516="NEW"),"",INDEX(J$1:J5515,SUMPRODUCT(MAX(ROW(E$1:E5515)*(E5516=E$1:E5515)))))</f>
        <v> </v>
      </c>
      <c r="L5516" s="27"/>
    </row>
    <row r="5517" spans="1:12">
      <c r="A5517" s="20" t="s">
        <v>1142</v>
      </c>
      <c r="E5517" s="22">
        <f>IF(D5517="?OLD","!!!","")</f>
        <v/>
      </c>
      <c r="F5517" s="23" t="str">
        <f>IF(OR(E5517="",E5517="!!!"),"",IF(NOT(ISNA(VLOOKUP(E5517,E$1:E5516,1,FALSE()))),"OLD",IF(AND(E5517&lt;&gt;"",E5517&lt;&gt;"!!!"),"NEW","")))</f>
        <v> </v>
      </c>
      <c r="G5517" s="24" t="str">
        <f>IF(OR(E5517="",E5517="!!!"),"",IF(OR(J5517=0,AND(J5517=1,K5517=1),AND(J5517=1,I5517="SBJ"),AND(J5517=1,I5517=0)),"?IN_FOCUS",IF(J5517&lt;=2,"?ACTIVATED",IF(J5517&lt;&gt;"","?FAMILIAR",IF(F5517="NEW",IF(ISNA(VLOOKUP(E5517,#REF!,1,FALSE())),"?TYPE_IDENTIFIABLE","?REFERENTIAL"),"_")))))</f>
        <v> </v>
      </c>
      <c r="H5517" s="25" t="str">
        <f>IF(J5517&lt;&gt;1,"",IF(I5517="SBJ","CB","?"))</f>
        <v> </v>
      </c>
      <c r="I5517" s="26" t="str">
        <f>IF(OR(E5517="",E5517="!!!",F5517="NEW"),"",INDEX(B5516:B$2,-1+SUMPRODUCT(MAX(ROW(E5516:E$2)*(E5517=E5516:E$2)))))</f>
        <v> </v>
      </c>
      <c r="J5517" s="26" t="str">
        <f>IF(OR(E5517="",E5517="!!!",F5517="NEW"),"",COUNTBLANK(OFFSET(A$1,,,SUMPRODUCT(MAX(ROW(E$2:E5517)*(E5517=E$2:E5517)))))-COUNTBLANK(OFFSET(A$1,,,SUMPRODUCT(MAX(ROW(E$1:E5516)*(E2=E$1:E5516))))))</f>
        <v> </v>
      </c>
      <c r="K5517" s="26" t="str">
        <f>IF(OR(E5517="",E5517="!!!",F5517="NEW"),"",INDEX(J$1:J5516,SUMPRODUCT(MAX(ROW(E$1:E5516)*(E5517=E$1:E5516)))))</f>
        <v> </v>
      </c>
      <c r="L5517" s="27"/>
    </row>
    <row r="5518" spans="1:12">
      <c r="A5518" s="20" t="s">
        <v>2498</v>
      </c>
      <c r="E5518" s="22">
        <f>IF(D5518="?OLD","!!!","")</f>
        <v/>
      </c>
      <c r="F5518" s="23" t="str">
        <f>IF(OR(E5518="",E5518="!!!"),"",IF(NOT(ISNA(VLOOKUP(E5518,E$1:E5517,1,FALSE()))),"OLD",IF(AND(E5518&lt;&gt;"",E5518&lt;&gt;"!!!"),"NEW","")))</f>
        <v> </v>
      </c>
      <c r="G5518" s="24" t="str">
        <f>IF(OR(E5518="",E5518="!!!"),"",IF(OR(J5518=0,AND(J5518=1,K5518=1),AND(J5518=1,I5518="SBJ"),AND(J5518=1,I5518=0)),"?IN_FOCUS",IF(J5518&lt;=2,"?ACTIVATED",IF(J5518&lt;&gt;"","?FAMILIAR",IF(F5518="NEW",IF(ISNA(VLOOKUP(E5518,#REF!,1,FALSE())),"?TYPE_IDENTIFIABLE","?REFERENTIAL"),"_")))))</f>
        <v> </v>
      </c>
      <c r="H5518" s="25" t="str">
        <f>IF(J5518&lt;&gt;1,"",IF(I5518="SBJ","CB","?"))</f>
        <v> </v>
      </c>
      <c r="I5518" s="26" t="str">
        <f>IF(OR(E5518="",E5518="!!!",F5518="NEW"),"",INDEX(B5517:B$2,-1+SUMPRODUCT(MAX(ROW(E5517:E$2)*(E5518=E5517:E$2)))))</f>
        <v> </v>
      </c>
      <c r="J5518" s="26" t="str">
        <f>IF(OR(E5518="",E5518="!!!",F5518="NEW"),"",COUNTBLANK(OFFSET(A$1,,,SUMPRODUCT(MAX(ROW(E$2:E5518)*(E5518=E$2:E5518)))))-COUNTBLANK(OFFSET(A$1,,,SUMPRODUCT(MAX(ROW(E$1:E5517)*(E2=E$1:E5517))))))</f>
        <v> </v>
      </c>
      <c r="K5518" s="26" t="str">
        <f>IF(OR(E5518="",E5518="!!!",F5518="NEW"),"",INDEX(J$1:J5517,SUMPRODUCT(MAX(ROW(E$1:E5517)*(E5518=E$1:E5517)))))</f>
        <v> </v>
      </c>
      <c r="L5518" s="27"/>
    </row>
    <row r="5519" spans="1:12">
      <c r="A5519" s="20" t="s">
        <v>1020</v>
      </c>
      <c r="E5519" s="22">
        <f>IF(D5519="?OLD","!!!","")</f>
        <v/>
      </c>
      <c r="F5519" s="23" t="str">
        <f>IF(OR(E5519="",E5519="!!!"),"",IF(NOT(ISNA(VLOOKUP(E5519,E$1:E5518,1,FALSE()))),"OLD",IF(AND(E5519&lt;&gt;"",E5519&lt;&gt;"!!!"),"NEW","")))</f>
        <v> </v>
      </c>
      <c r="G5519" s="24" t="str">
        <f>IF(OR(E5519="",E5519="!!!"),"",IF(OR(J5519=0,AND(J5519=1,K5519=1),AND(J5519=1,I5519="SBJ"),AND(J5519=1,I5519=0)),"?IN_FOCUS",IF(J5519&lt;=2,"?ACTIVATED",IF(J5519&lt;&gt;"","?FAMILIAR",IF(F5519="NEW",IF(ISNA(VLOOKUP(E5519,#REF!,1,FALSE())),"?TYPE_IDENTIFIABLE","?REFERENTIAL"),"_")))))</f>
        <v> </v>
      </c>
      <c r="H5519" s="25" t="str">
        <f>IF(J5519&lt;&gt;1,"",IF(I5519="SBJ","CB","?"))</f>
        <v> </v>
      </c>
      <c r="I5519" s="26" t="str">
        <f>IF(OR(E5519="",E5519="!!!",F5519="NEW"),"",INDEX(B5518:B$2,-1+SUMPRODUCT(MAX(ROW(E5518:E$2)*(E5519=E5518:E$2)))))</f>
        <v> </v>
      </c>
      <c r="J5519" s="26" t="str">
        <f>IF(OR(E5519="",E5519="!!!",F5519="NEW"),"",COUNTBLANK(OFFSET(A$1,,,SUMPRODUCT(MAX(ROW(E$2:E5519)*(E5519=E$2:E5519)))))-COUNTBLANK(OFFSET(A$1,,,SUMPRODUCT(MAX(ROW(E$1:E5518)*(E2=E$1:E5518))))))</f>
        <v> </v>
      </c>
      <c r="K5519" s="26" t="str">
        <f>IF(OR(E5519="",E5519="!!!",F5519="NEW"),"",INDEX(J$1:J5518,SUMPRODUCT(MAX(ROW(E$1:E5518)*(E5519=E$1:E5518)))))</f>
        <v> </v>
      </c>
      <c r="L5519" s="27"/>
    </row>
    <row r="5520" spans="1:12">
      <c r="A5520" s="20" t="s">
        <v>186</v>
      </c>
      <c r="E5520" s="22">
        <f>IF(D5520="?OLD","!!!","")</f>
        <v/>
      </c>
      <c r="F5520" s="23" t="str">
        <f>IF(OR(E5520="",E5520="!!!"),"",IF(NOT(ISNA(VLOOKUP(E5520,E$1:E5519,1,FALSE()))),"OLD",IF(AND(E5520&lt;&gt;"",E5520&lt;&gt;"!!!"),"NEW","")))</f>
        <v> </v>
      </c>
      <c r="G5520" s="24" t="str">
        <f>IF(OR(E5520="",E5520="!!!"),"",IF(OR(J5520=0,AND(J5520=1,K5520=1),AND(J5520=1,I5520="SBJ"),AND(J5520=1,I5520=0)),"?IN_FOCUS",IF(J5520&lt;=2,"?ACTIVATED",IF(J5520&lt;&gt;"","?FAMILIAR",IF(F5520="NEW",IF(ISNA(VLOOKUP(E5520,#REF!,1,FALSE())),"?TYPE_IDENTIFIABLE","?REFERENTIAL"),"_")))))</f>
        <v> </v>
      </c>
      <c r="H5520" s="25" t="str">
        <f>IF(J5520&lt;&gt;1,"",IF(I5520="SBJ","CB","?"))</f>
        <v> </v>
      </c>
      <c r="I5520" s="26" t="str">
        <f>IF(OR(E5520="",E5520="!!!",F5520="NEW"),"",INDEX(B5519:B$2,-1+SUMPRODUCT(MAX(ROW(E5519:E$2)*(E5520=E5519:E$2)))))</f>
        <v> </v>
      </c>
      <c r="J5520" s="26" t="str">
        <f>IF(OR(E5520="",E5520="!!!",F5520="NEW"),"",COUNTBLANK(OFFSET(A$1,,,SUMPRODUCT(MAX(ROW(E$2:E5520)*(E5520=E$2:E5520)))))-COUNTBLANK(OFFSET(A$1,,,SUMPRODUCT(MAX(ROW(E$1:E5519)*(E2=E$1:E5519))))))</f>
        <v> </v>
      </c>
      <c r="K5520" s="26" t="str">
        <f>IF(OR(E5520="",E5520="!!!",F5520="NEW"),"",INDEX(J$1:J5519,SUMPRODUCT(MAX(ROW(E$1:E5519)*(E5520=E$1:E5519)))))</f>
        <v> </v>
      </c>
      <c r="L5520" s="27"/>
    </row>
    <row r="5521" spans="1:12">
      <c r="A5521" s="20" t="s">
        <v>1030</v>
      </c>
      <c r="E5521" s="22">
        <f>IF(D5521="?OLD","!!!","")</f>
        <v/>
      </c>
      <c r="F5521" s="23" t="str">
        <f>IF(OR(E5521="",E5521="!!!"),"",IF(NOT(ISNA(VLOOKUP(E5521,E$1:E5520,1,FALSE()))),"OLD",IF(AND(E5521&lt;&gt;"",E5521&lt;&gt;"!!!"),"NEW","")))</f>
        <v> </v>
      </c>
      <c r="G5521" s="24" t="str">
        <f>IF(OR(E5521="",E5521="!!!"),"",IF(OR(J5521=0,AND(J5521=1,K5521=1),AND(J5521=1,I5521="SBJ"),AND(J5521=1,I5521=0)),"?IN_FOCUS",IF(J5521&lt;=2,"?ACTIVATED",IF(J5521&lt;&gt;"","?FAMILIAR",IF(F5521="NEW",IF(ISNA(VLOOKUP(E5521,#REF!,1,FALSE())),"?TYPE_IDENTIFIABLE","?REFERENTIAL"),"_")))))</f>
        <v> </v>
      </c>
      <c r="H5521" s="25" t="str">
        <f>IF(J5521&lt;&gt;1,"",IF(I5521="SBJ","CB","?"))</f>
        <v> </v>
      </c>
      <c r="I5521" s="26" t="str">
        <f>IF(OR(E5521="",E5521="!!!",F5521="NEW"),"",INDEX(B5520:B$2,-1+SUMPRODUCT(MAX(ROW(E5520:E$2)*(E5521=E5520:E$2)))))</f>
        <v> </v>
      </c>
      <c r="J5521" s="26" t="str">
        <f>IF(OR(E5521="",E5521="!!!",F5521="NEW"),"",COUNTBLANK(OFFSET(A$1,,,SUMPRODUCT(MAX(ROW(E$2:E5521)*(E5521=E$2:E5521)))))-COUNTBLANK(OFFSET(A$1,,,SUMPRODUCT(MAX(ROW(E$1:E5520)*(E2=E$1:E5520))))))</f>
        <v> </v>
      </c>
      <c r="K5521" s="26" t="str">
        <f>IF(OR(E5521="",E5521="!!!",F5521="NEW"),"",INDEX(J$1:J5520,SUMPRODUCT(MAX(ROW(E$1:E5520)*(E5521=E$1:E5520)))))</f>
        <v> </v>
      </c>
      <c r="L5521" s="27"/>
    </row>
    <row r="5522" spans="1:12">
      <c r="A5522" s="20" t="s">
        <v>1020</v>
      </c>
      <c r="E5522" s="22">
        <f>IF(D5522="?OLD","!!!","")</f>
        <v/>
      </c>
      <c r="F5522" s="23" t="str">
        <f>IF(OR(E5522="",E5522="!!!"),"",IF(NOT(ISNA(VLOOKUP(E5522,E$1:E5521,1,FALSE()))),"OLD",IF(AND(E5522&lt;&gt;"",E5522&lt;&gt;"!!!"),"NEW","")))</f>
        <v> </v>
      </c>
      <c r="G5522" s="24" t="str">
        <f>IF(OR(E5522="",E5522="!!!"),"",IF(OR(J5522=0,AND(J5522=1,K5522=1),AND(J5522=1,I5522="SBJ"),AND(J5522=1,I5522=0)),"?IN_FOCUS",IF(J5522&lt;=2,"?ACTIVATED",IF(J5522&lt;&gt;"","?FAMILIAR",IF(F5522="NEW",IF(ISNA(VLOOKUP(E5522,#REF!,1,FALSE())),"?TYPE_IDENTIFIABLE","?REFERENTIAL"),"_")))))</f>
        <v> </v>
      </c>
      <c r="H5522" s="25" t="str">
        <f>IF(J5522&lt;&gt;1,"",IF(I5522="SBJ","CB","?"))</f>
        <v> </v>
      </c>
      <c r="I5522" s="26" t="str">
        <f>IF(OR(E5522="",E5522="!!!",F5522="NEW"),"",INDEX(B5521:B$2,-1+SUMPRODUCT(MAX(ROW(E5521:E$2)*(E5522=E5521:E$2)))))</f>
        <v> </v>
      </c>
      <c r="J5522" s="26" t="str">
        <f>IF(OR(E5522="",E5522="!!!",F5522="NEW"),"",COUNTBLANK(OFFSET(A$1,,,SUMPRODUCT(MAX(ROW(E$2:E5522)*(E5522=E$2:E5522)))))-COUNTBLANK(OFFSET(A$1,,,SUMPRODUCT(MAX(ROW(E$1:E5521)*(E2=E$1:E5521))))))</f>
        <v> </v>
      </c>
      <c r="K5522" s="26" t="str">
        <f>IF(OR(E5522="",E5522="!!!",F5522="NEW"),"",INDEX(J$1:J5521,SUMPRODUCT(MAX(ROW(E$1:E5521)*(E5522=E$1:E5521)))))</f>
        <v> </v>
      </c>
      <c r="L5522" s="27"/>
    </row>
    <row r="5523" spans="1:12">
      <c r="A5523" s="20" t="s">
        <v>1021</v>
      </c>
      <c r="B5523" s="21" t="s">
        <v>1029</v>
      </c>
      <c r="C5523" s="21" t="s">
        <v>1006</v>
      </c>
      <c r="D5523" s="21" t="s">
        <v>1007</v>
      </c>
      <c r="E5523" s="22">
        <f>IF(D5523="?OLD","!!!","")</f>
        <v/>
      </c>
      <c r="F5523" s="23" t="str">
        <f>IF(OR(E5523="",E5523="!!!"),"",IF(NOT(ISNA(VLOOKUP(E5523,E$1:E5522,1,FALSE()))),"OLD",IF(AND(E5523&lt;&gt;"",E5523&lt;&gt;"!!!"),"NEW","")))</f>
        <v> </v>
      </c>
      <c r="G5523" s="24" t="str">
        <f>IF(OR(E5523="",E5523="!!!"),"",IF(OR(J5523=0,AND(J5523=1,K5523=1),AND(J5523=1,I5523="SBJ"),AND(J5523=1,I5523=0)),"?IN_FOCUS",IF(J5523&lt;=2,"?ACTIVATED",IF(J5523&lt;&gt;"","?FAMILIAR",IF(F5523="NEW",IF(ISNA(VLOOKUP(E5523,#REF!,1,FALSE())),"?TYPE_IDENTIFIABLE","?REFERENTIAL"),"_")))))</f>
        <v> </v>
      </c>
      <c r="H5523" s="25" t="str">
        <f>IF(J5523&lt;&gt;1,"",IF(I5523="SBJ","CB","?"))</f>
        <v> </v>
      </c>
      <c r="I5523" s="26" t="str">
        <f>IF(OR(E5523="",E5523="!!!",F5523="NEW"),"",INDEX(B5522:B$2,-1+SUMPRODUCT(MAX(ROW(E5522:E$2)*(E5523=E5522:E$2)))))</f>
        <v> </v>
      </c>
      <c r="J5523" s="26" t="str">
        <f>IF(OR(E5523="",E5523="!!!",F5523="NEW"),"",COUNTBLANK(OFFSET(A$1,,,SUMPRODUCT(MAX(ROW(E$2:E5523)*(E5523=E$2:E5523)))))-COUNTBLANK(OFFSET(A$1,,,SUMPRODUCT(MAX(ROW(E$1:E5522)*(E2=E$1:E5522))))))</f>
        <v> </v>
      </c>
      <c r="K5523" s="26" t="str">
        <f>IF(OR(E5523="",E5523="!!!",F5523="NEW"),"",INDEX(J$1:J5522,SUMPRODUCT(MAX(ROW(E$1:E5522)*(E5523=E$1:E5522)))))</f>
        <v> </v>
      </c>
      <c r="L5523" s="27"/>
    </row>
    <row r="5524" spans="1:12">
      <c r="A5524" s="20" t="s">
        <v>1018</v>
      </c>
      <c r="E5524" s="22">
        <f>IF(D5524="?OLD","!!!","")</f>
        <v/>
      </c>
      <c r="F5524" s="23" t="str">
        <f>IF(OR(E5524="",E5524="!!!"),"",IF(NOT(ISNA(VLOOKUP(E5524,E$1:E5523,1,FALSE()))),"OLD",IF(AND(E5524&lt;&gt;"",E5524&lt;&gt;"!!!"),"NEW","")))</f>
        <v> </v>
      </c>
      <c r="G5524" s="24" t="str">
        <f>IF(OR(E5524="",E5524="!!!"),"",IF(OR(J5524=0,AND(J5524=1,K5524=1),AND(J5524=1,I5524="SBJ"),AND(J5524=1,I5524=0)),"?IN_FOCUS",IF(J5524&lt;=2,"?ACTIVATED",IF(J5524&lt;&gt;"","?FAMILIAR",IF(F5524="NEW",IF(ISNA(VLOOKUP(E5524,#REF!,1,FALSE())),"?TYPE_IDENTIFIABLE","?REFERENTIAL"),"_")))))</f>
        <v> </v>
      </c>
      <c r="H5524" s="25" t="str">
        <f>IF(J5524&lt;&gt;1,"",IF(I5524="SBJ","CB","?"))</f>
        <v> </v>
      </c>
      <c r="I5524" s="26" t="str">
        <f>IF(OR(E5524="",E5524="!!!",F5524="NEW"),"",INDEX(B5523:B$2,-1+SUMPRODUCT(MAX(ROW(E5523:E$2)*(E5524=E5523:E$2)))))</f>
        <v> </v>
      </c>
      <c r="J5524" s="26" t="str">
        <f>IF(OR(E5524="",E5524="!!!",F5524="NEW"),"",COUNTBLANK(OFFSET(A$1,,,SUMPRODUCT(MAX(ROW(E$2:E5524)*(E5524=E$2:E5524)))))-COUNTBLANK(OFFSET(A$1,,,SUMPRODUCT(MAX(ROW(E$1:E5523)*(E2=E$1:E5523))))))</f>
        <v> </v>
      </c>
      <c r="K5524" s="26" t="str">
        <f>IF(OR(E5524="",E5524="!!!",F5524="NEW"),"",INDEX(J$1:J5523,SUMPRODUCT(MAX(ROW(E$1:E5523)*(E5524=E$1:E5523)))))</f>
        <v> </v>
      </c>
      <c r="L5524" s="27"/>
    </row>
    <row r="5525" spans="1:12">
      <c r="A5525" s="20" t="s">
        <v>1138</v>
      </c>
      <c r="B5525" s="21" t="s">
        <v>1119</v>
      </c>
      <c r="C5525" s="21" t="s">
        <v>1082</v>
      </c>
      <c r="D5525" s="21" t="s">
        <v>1007</v>
      </c>
      <c r="E5525" s="22">
        <f>IF(D5525="?OLD","!!!","")</f>
        <v/>
      </c>
      <c r="F5525" s="23" t="str">
        <f>IF(OR(E5525="",E5525="!!!"),"",IF(NOT(ISNA(VLOOKUP(E5525,E$1:E5524,1,FALSE()))),"OLD",IF(AND(E5525&lt;&gt;"",E5525&lt;&gt;"!!!"),"NEW","")))</f>
        <v> </v>
      </c>
      <c r="G5525" s="24" t="str">
        <f>IF(OR(E5525="",E5525="!!!"),"",IF(OR(J5525=0,AND(J5525=1,K5525=1),AND(J5525=1,I5525="SBJ"),AND(J5525=1,I5525=0)),"?IN_FOCUS",IF(J5525&lt;=2,"?ACTIVATED",IF(J5525&lt;&gt;"","?FAMILIAR",IF(F5525="NEW",IF(ISNA(VLOOKUP(E5525,#REF!,1,FALSE())),"?TYPE_IDENTIFIABLE","?REFERENTIAL"),"_")))))</f>
        <v> </v>
      </c>
      <c r="H5525" s="25" t="str">
        <f>IF(J5525&lt;&gt;1,"",IF(I5525="SBJ","CB","?"))</f>
        <v> </v>
      </c>
      <c r="I5525" s="26" t="str">
        <f>IF(OR(E5525="",E5525="!!!",F5525="NEW"),"",INDEX(B5524:B$2,-1+SUMPRODUCT(MAX(ROW(E5524:E$2)*(E5525=E5524:E$2)))))</f>
        <v> </v>
      </c>
      <c r="J5525" s="26" t="str">
        <f>IF(OR(E5525="",E5525="!!!",F5525="NEW"),"",COUNTBLANK(OFFSET(A$1,,,SUMPRODUCT(MAX(ROW(E$2:E5525)*(E5525=E$2:E5525)))))-COUNTBLANK(OFFSET(A$1,,,SUMPRODUCT(MAX(ROW(E$1:E5524)*(E2=E$1:E5524))))))</f>
        <v> </v>
      </c>
      <c r="K5525" s="26" t="str">
        <f>IF(OR(E5525="",E5525="!!!",F5525="NEW"),"",INDEX(J$1:J5524,SUMPRODUCT(MAX(ROW(E$1:E5524)*(E5525=E$1:E5524)))))</f>
        <v> </v>
      </c>
      <c r="L5525" s="27"/>
    </row>
    <row r="5526" spans="1:12">
      <c r="A5526" s="20" t="s">
        <v>2498</v>
      </c>
      <c r="E5526" s="22">
        <f>IF(D5526="?OLD","!!!","")</f>
        <v/>
      </c>
      <c r="F5526" s="23" t="str">
        <f>IF(OR(E5526="",E5526="!!!"),"",IF(NOT(ISNA(VLOOKUP(E5526,E$1:E5525,1,FALSE()))),"OLD",IF(AND(E5526&lt;&gt;"",E5526&lt;&gt;"!!!"),"NEW","")))</f>
        <v> </v>
      </c>
      <c r="G5526" s="24" t="str">
        <f>IF(OR(E5526="",E5526="!!!"),"",IF(OR(J5526=0,AND(J5526=1,K5526=1),AND(J5526=1,I5526="SBJ"),AND(J5526=1,I5526=0)),"?IN_FOCUS",IF(J5526&lt;=2,"?ACTIVATED",IF(J5526&lt;&gt;"","?FAMILIAR",IF(F5526="NEW",IF(ISNA(VLOOKUP(E5526,#REF!,1,FALSE())),"?TYPE_IDENTIFIABLE","?REFERENTIAL"),"_")))))</f>
        <v> </v>
      </c>
      <c r="H5526" s="25" t="str">
        <f>IF(J5526&lt;&gt;1,"",IF(I5526="SBJ","CB","?"))</f>
        <v> </v>
      </c>
      <c r="I5526" s="26" t="str">
        <f>IF(OR(E5526="",E5526="!!!",F5526="NEW"),"",INDEX(B5525:B$2,-1+SUMPRODUCT(MAX(ROW(E5525:E$2)*(E5526=E5525:E$2)))))</f>
        <v> </v>
      </c>
      <c r="J5526" s="26" t="str">
        <f>IF(OR(E5526="",E5526="!!!",F5526="NEW"),"",COUNTBLANK(OFFSET(A$1,,,SUMPRODUCT(MAX(ROW(E$2:E5526)*(E5526=E$2:E5526)))))-COUNTBLANK(OFFSET(A$1,,,SUMPRODUCT(MAX(ROW(E$1:E5525)*(E2=E$1:E5525))))))</f>
        <v> </v>
      </c>
      <c r="K5526" s="26" t="str">
        <f>IF(OR(E5526="",E5526="!!!",F5526="NEW"),"",INDEX(J$1:J5525,SUMPRODUCT(MAX(ROW(E$1:E5525)*(E5526=E$1:E5525)))))</f>
        <v> </v>
      </c>
      <c r="L5526" s="27"/>
    </row>
    <row r="5527" spans="1:12">
      <c r="A5527" s="20" t="s">
        <v>1610</v>
      </c>
      <c r="E5527" s="22">
        <f>IF(D5527="?OLD","!!!","")</f>
        <v/>
      </c>
      <c r="F5527" s="23" t="str">
        <f>IF(OR(E5527="",E5527="!!!"),"",IF(NOT(ISNA(VLOOKUP(E5527,E$1:E5526,1,FALSE()))),"OLD",IF(AND(E5527&lt;&gt;"",E5527&lt;&gt;"!!!"),"NEW","")))</f>
        <v> </v>
      </c>
      <c r="G5527" s="24" t="str">
        <f>IF(OR(E5527="",E5527="!!!"),"",IF(OR(J5527=0,AND(J5527=1,K5527=1),AND(J5527=1,I5527="SBJ"),AND(J5527=1,I5527=0)),"?IN_FOCUS",IF(J5527&lt;=2,"?ACTIVATED",IF(J5527&lt;&gt;"","?FAMILIAR",IF(F5527="NEW",IF(ISNA(VLOOKUP(E5527,#REF!,1,FALSE())),"?TYPE_IDENTIFIABLE","?REFERENTIAL"),"_")))))</f>
        <v> </v>
      </c>
      <c r="H5527" s="25" t="str">
        <f>IF(J5527&lt;&gt;1,"",IF(I5527="SBJ","CB","?"))</f>
        <v> </v>
      </c>
      <c r="I5527" s="26" t="str">
        <f>IF(OR(E5527="",E5527="!!!",F5527="NEW"),"",INDEX(B5526:B$2,-1+SUMPRODUCT(MAX(ROW(E5526:E$2)*(E5527=E5526:E$2)))))</f>
        <v> </v>
      </c>
      <c r="J5527" s="26" t="str">
        <f>IF(OR(E5527="",E5527="!!!",F5527="NEW"),"",COUNTBLANK(OFFSET(A$1,,,SUMPRODUCT(MAX(ROW(E$2:E5527)*(E5527=E$2:E5527)))))-COUNTBLANK(OFFSET(A$1,,,SUMPRODUCT(MAX(ROW(E$1:E5526)*(E2=E$1:E5526))))))</f>
        <v> </v>
      </c>
      <c r="K5527" s="26" t="str">
        <f>IF(OR(E5527="",E5527="!!!",F5527="NEW"),"",INDEX(J$1:J5526,SUMPRODUCT(MAX(ROW(E$1:E5526)*(E5527=E$1:E5526)))))</f>
        <v> </v>
      </c>
      <c r="L5527" s="27"/>
    </row>
    <row r="5528" spans="1:12">
      <c r="A5528" s="20" t="s">
        <v>1014</v>
      </c>
      <c r="E5528" s="22">
        <f>IF(D5528="?OLD","!!!","")</f>
        <v/>
      </c>
      <c r="F5528" s="23" t="str">
        <f>IF(OR(E5528="",E5528="!!!"),"",IF(NOT(ISNA(VLOOKUP(E5528,E$1:E5527,1,FALSE()))),"OLD",IF(AND(E5528&lt;&gt;"",E5528&lt;&gt;"!!!"),"NEW","")))</f>
        <v> </v>
      </c>
      <c r="G5528" s="24" t="str">
        <f>IF(OR(E5528="",E5528="!!!"),"",IF(OR(J5528=0,AND(J5528=1,K5528=1),AND(J5528=1,I5528="SBJ"),AND(J5528=1,I5528=0)),"?IN_FOCUS",IF(J5528&lt;=2,"?ACTIVATED",IF(J5528&lt;&gt;"","?FAMILIAR",IF(F5528="NEW",IF(ISNA(VLOOKUP(E5528,#REF!,1,FALSE())),"?TYPE_IDENTIFIABLE","?REFERENTIAL"),"_")))))</f>
        <v> </v>
      </c>
      <c r="H5528" s="25" t="str">
        <f>IF(J5528&lt;&gt;1,"",IF(I5528="SBJ","CB","?"))</f>
        <v> </v>
      </c>
      <c r="I5528" s="26" t="str">
        <f>IF(OR(E5528="",E5528="!!!",F5528="NEW"),"",INDEX(B5527:B$2,-1+SUMPRODUCT(MAX(ROW(E5527:E$2)*(E5528=E5527:E$2)))))</f>
        <v> </v>
      </c>
      <c r="J5528" s="26" t="str">
        <f>IF(OR(E5528="",E5528="!!!",F5528="NEW"),"",COUNTBLANK(OFFSET(A$1,,,SUMPRODUCT(MAX(ROW(E$2:E5528)*(E5528=E$2:E5528)))))-COUNTBLANK(OFFSET(A$1,,,SUMPRODUCT(MAX(ROW(E$1:E5527)*(E2=E$1:E5527))))))</f>
        <v> </v>
      </c>
      <c r="K5528" s="26" t="str">
        <f>IF(OR(E5528="",E5528="!!!",F5528="NEW"),"",INDEX(J$1:J5527,SUMPRODUCT(MAX(ROW(E$1:E5527)*(E5528=E$1:E5527)))))</f>
        <v> </v>
      </c>
      <c r="L5528" s="27"/>
    </row>
    <row r="5529" spans="1:12">
      <c r="A5529" s="20" t="s">
        <v>1020</v>
      </c>
      <c r="E5529" s="22">
        <f>IF(D5529="?OLD","!!!","")</f>
        <v/>
      </c>
      <c r="F5529" s="23" t="str">
        <f>IF(OR(E5529="",E5529="!!!"),"",IF(NOT(ISNA(VLOOKUP(E5529,E$1:E5528,1,FALSE()))),"OLD",IF(AND(E5529&lt;&gt;"",E5529&lt;&gt;"!!!"),"NEW","")))</f>
        <v> </v>
      </c>
      <c r="G5529" s="24" t="str">
        <f>IF(OR(E5529="",E5529="!!!"),"",IF(OR(J5529=0,AND(J5529=1,K5529=1),AND(J5529=1,I5529="SBJ"),AND(J5529=1,I5529=0)),"?IN_FOCUS",IF(J5529&lt;=2,"?ACTIVATED",IF(J5529&lt;&gt;"","?FAMILIAR",IF(F5529="NEW",IF(ISNA(VLOOKUP(E5529,#REF!,1,FALSE())),"?TYPE_IDENTIFIABLE","?REFERENTIAL"),"_")))))</f>
        <v> </v>
      </c>
      <c r="H5529" s="25" t="str">
        <f>IF(J5529&lt;&gt;1,"",IF(I5529="SBJ","CB","?"))</f>
        <v> </v>
      </c>
      <c r="I5529" s="26" t="str">
        <f>IF(OR(E5529="",E5529="!!!",F5529="NEW"),"",INDEX(B5528:B$2,-1+SUMPRODUCT(MAX(ROW(E5528:E$2)*(E5529=E5528:E$2)))))</f>
        <v> </v>
      </c>
      <c r="J5529" s="26" t="str">
        <f>IF(OR(E5529="",E5529="!!!",F5529="NEW"),"",COUNTBLANK(OFFSET(A$1,,,SUMPRODUCT(MAX(ROW(E$2:E5529)*(E5529=E$2:E5529)))))-COUNTBLANK(OFFSET(A$1,,,SUMPRODUCT(MAX(ROW(E$1:E5528)*(E2=E$1:E5528))))))</f>
        <v> </v>
      </c>
      <c r="K5529" s="26" t="str">
        <f>IF(OR(E5529="",E5529="!!!",F5529="NEW"),"",INDEX(J$1:J5528,SUMPRODUCT(MAX(ROW(E$1:E5528)*(E5529=E$1:E5528)))))</f>
        <v> </v>
      </c>
      <c r="L5529" s="27"/>
    </row>
    <row r="5530" spans="1:12">
      <c r="A5530" s="20" t="s">
        <v>1021</v>
      </c>
      <c r="B5530" s="21" t="s">
        <v>1029</v>
      </c>
      <c r="C5530" s="21" t="s">
        <v>1006</v>
      </c>
      <c r="D5530" s="21" t="s">
        <v>1007</v>
      </c>
      <c r="E5530" s="22">
        <f>IF(D5530="?OLD","!!!","")</f>
        <v/>
      </c>
      <c r="F5530" s="23" t="str">
        <f>IF(OR(E5530="",E5530="!!!"),"",IF(NOT(ISNA(VLOOKUP(E5530,E$1:E5529,1,FALSE()))),"OLD",IF(AND(E5530&lt;&gt;"",E5530&lt;&gt;"!!!"),"NEW","")))</f>
        <v> </v>
      </c>
      <c r="G5530" s="24" t="str">
        <f>IF(OR(E5530="",E5530="!!!"),"",IF(OR(J5530=0,AND(J5530=1,K5530=1),AND(J5530=1,I5530="SBJ"),AND(J5530=1,I5530=0)),"?IN_FOCUS",IF(J5530&lt;=2,"?ACTIVATED",IF(J5530&lt;&gt;"","?FAMILIAR",IF(F5530="NEW",IF(ISNA(VLOOKUP(E5530,#REF!,1,FALSE())),"?TYPE_IDENTIFIABLE","?REFERENTIAL"),"_")))))</f>
        <v> </v>
      </c>
      <c r="H5530" s="25" t="str">
        <f>IF(J5530&lt;&gt;1,"",IF(I5530="SBJ","CB","?"))</f>
        <v> </v>
      </c>
      <c r="I5530" s="26" t="str">
        <f>IF(OR(E5530="",E5530="!!!",F5530="NEW"),"",INDEX(B5529:B$2,-1+SUMPRODUCT(MAX(ROW(E5529:E$2)*(E5530=E5529:E$2)))))</f>
        <v> </v>
      </c>
      <c r="J5530" s="26" t="str">
        <f>IF(OR(E5530="",E5530="!!!",F5530="NEW"),"",COUNTBLANK(OFFSET(A$1,,,SUMPRODUCT(MAX(ROW(E$2:E5530)*(E5530=E$2:E5530)))))-COUNTBLANK(OFFSET(A$1,,,SUMPRODUCT(MAX(ROW(E$1:E5529)*(E2=E$1:E5529))))))</f>
        <v> </v>
      </c>
      <c r="K5530" s="26" t="str">
        <f>IF(OR(E5530="",E5530="!!!",F5530="NEW"),"",INDEX(J$1:J5529,SUMPRODUCT(MAX(ROW(E$1:E5529)*(E5530=E$1:E5529)))))</f>
        <v> </v>
      </c>
      <c r="L5530" s="27"/>
    </row>
    <row r="5531" spans="1:12">
      <c r="A5531" s="20" t="s">
        <v>56</v>
      </c>
      <c r="E5531" s="22">
        <f>IF(D5531="?OLD","!!!","")</f>
        <v/>
      </c>
      <c r="F5531" s="23" t="str">
        <f>IF(OR(E5531="",E5531="!!!"),"",IF(NOT(ISNA(VLOOKUP(E5531,E$1:E5530,1,FALSE()))),"OLD",IF(AND(E5531&lt;&gt;"",E5531&lt;&gt;"!!!"),"NEW","")))</f>
        <v> </v>
      </c>
      <c r="G5531" s="24" t="str">
        <f>IF(OR(E5531="",E5531="!!!"),"",IF(OR(J5531=0,AND(J5531=1,K5531=1),AND(J5531=1,I5531="SBJ"),AND(J5531=1,I5531=0)),"?IN_FOCUS",IF(J5531&lt;=2,"?ACTIVATED",IF(J5531&lt;&gt;"","?FAMILIAR",IF(F5531="NEW",IF(ISNA(VLOOKUP(E5531,#REF!,1,FALSE())),"?TYPE_IDENTIFIABLE","?REFERENTIAL"),"_")))))</f>
        <v> </v>
      </c>
      <c r="H5531" s="25" t="str">
        <f>IF(J5531&lt;&gt;1,"",IF(I5531="SBJ","CB","?"))</f>
        <v> </v>
      </c>
      <c r="I5531" s="26" t="str">
        <f>IF(OR(E5531="",E5531="!!!",F5531="NEW"),"",INDEX(B5530:B$2,-1+SUMPRODUCT(MAX(ROW(E5530:E$2)*(E5531=E5530:E$2)))))</f>
        <v> </v>
      </c>
      <c r="J5531" s="26" t="str">
        <f>IF(OR(E5531="",E5531="!!!",F5531="NEW"),"",COUNTBLANK(OFFSET(A$1,,,SUMPRODUCT(MAX(ROW(E$2:E5531)*(E5531=E$2:E5531)))))-COUNTBLANK(OFFSET(A$1,,,SUMPRODUCT(MAX(ROW(E$1:E5530)*(E2=E$1:E5530))))))</f>
        <v> </v>
      </c>
      <c r="K5531" s="26" t="str">
        <f>IF(OR(E5531="",E5531="!!!",F5531="NEW"),"",INDEX(J$1:J5530,SUMPRODUCT(MAX(ROW(E$1:E5530)*(E5531=E$1:E5530)))))</f>
        <v> </v>
      </c>
      <c r="L5531" s="27"/>
    </row>
    <row r="5532" spans="1:12">
      <c r="A5532" s="20" t="s">
        <v>1018</v>
      </c>
      <c r="E5532" s="22">
        <f>IF(D5532="?OLD","!!!","")</f>
        <v/>
      </c>
      <c r="F5532" s="23" t="str">
        <f>IF(OR(E5532="",E5532="!!!"),"",IF(NOT(ISNA(VLOOKUP(E5532,E$1:E5531,1,FALSE()))),"OLD",IF(AND(E5532&lt;&gt;"",E5532&lt;&gt;"!!!"),"NEW","")))</f>
        <v> </v>
      </c>
      <c r="G5532" s="24" t="str">
        <f>IF(OR(E5532="",E5532="!!!"),"",IF(OR(J5532=0,AND(J5532=1,K5532=1),AND(J5532=1,I5532="SBJ"),AND(J5532=1,I5532=0)),"?IN_FOCUS",IF(J5532&lt;=2,"?ACTIVATED",IF(J5532&lt;&gt;"","?FAMILIAR",IF(F5532="NEW",IF(ISNA(VLOOKUP(E5532,#REF!,1,FALSE())),"?TYPE_IDENTIFIABLE","?REFERENTIAL"),"_")))))</f>
        <v> </v>
      </c>
      <c r="H5532" s="25" t="str">
        <f>IF(J5532&lt;&gt;1,"",IF(I5532="SBJ","CB","?"))</f>
        <v> </v>
      </c>
      <c r="I5532" s="26" t="str">
        <f>IF(OR(E5532="",E5532="!!!",F5532="NEW"),"",INDEX(B5531:B$2,-1+SUMPRODUCT(MAX(ROW(E5531:E$2)*(E5532=E5531:E$2)))))</f>
        <v> </v>
      </c>
      <c r="J5532" s="26" t="str">
        <f>IF(OR(E5532="",E5532="!!!",F5532="NEW"),"",COUNTBLANK(OFFSET(A$1,,,SUMPRODUCT(MAX(ROW(E$2:E5532)*(E5532=E$2:E5532)))))-COUNTBLANK(OFFSET(A$1,,,SUMPRODUCT(MAX(ROW(E$1:E5531)*(E2=E$1:E5531))))))</f>
        <v> </v>
      </c>
      <c r="K5532" s="26" t="str">
        <f>IF(OR(E5532="",E5532="!!!",F5532="NEW"),"",INDEX(J$1:J5531,SUMPRODUCT(MAX(ROW(E$1:E5531)*(E5532=E$1:E5531)))))</f>
        <v> </v>
      </c>
      <c r="L5532" s="27"/>
    </row>
    <row r="5533" spans="1:12">
      <c r="A5533" s="20" t="s">
        <v>2499</v>
      </c>
      <c r="E5533" s="22">
        <f>IF(D5533="?OLD","!!!","")</f>
        <v/>
      </c>
      <c r="F5533" s="23" t="str">
        <f>IF(OR(E5533="",E5533="!!!"),"",IF(NOT(ISNA(VLOOKUP(E5533,E$1:E5532,1,FALSE()))),"OLD",IF(AND(E5533&lt;&gt;"",E5533&lt;&gt;"!!!"),"NEW","")))</f>
        <v> </v>
      </c>
      <c r="G5533" s="24" t="str">
        <f>IF(OR(E5533="",E5533="!!!"),"",IF(OR(J5533=0,AND(J5533=1,K5533=1),AND(J5533=1,I5533="SBJ"),AND(J5533=1,I5533=0)),"?IN_FOCUS",IF(J5533&lt;=2,"?ACTIVATED",IF(J5533&lt;&gt;"","?FAMILIAR",IF(F5533="NEW",IF(ISNA(VLOOKUP(E5533,#REF!,1,FALSE())),"?TYPE_IDENTIFIABLE","?REFERENTIAL"),"_")))))</f>
        <v> </v>
      </c>
      <c r="H5533" s="25" t="str">
        <f>IF(J5533&lt;&gt;1,"",IF(I5533="SBJ","CB","?"))</f>
        <v> </v>
      </c>
      <c r="I5533" s="26" t="str">
        <f>IF(OR(E5533="",E5533="!!!",F5533="NEW"),"",INDEX(B5532:B$2,-1+SUMPRODUCT(MAX(ROW(E5532:E$2)*(E5533=E5532:E$2)))))</f>
        <v> </v>
      </c>
      <c r="J5533" s="26" t="str">
        <f>IF(OR(E5533="",E5533="!!!",F5533="NEW"),"",COUNTBLANK(OFFSET(A$1,,,SUMPRODUCT(MAX(ROW(E$2:E5533)*(E5533=E$2:E5533)))))-COUNTBLANK(OFFSET(A$1,,,SUMPRODUCT(MAX(ROW(E$1:E5532)*(E2=E$1:E5532))))))</f>
        <v> </v>
      </c>
      <c r="K5533" s="26" t="str">
        <f>IF(OR(E5533="",E5533="!!!",F5533="NEW"),"",INDEX(J$1:J5532,SUMPRODUCT(MAX(ROW(E$1:E5532)*(E5533=E$1:E5532)))))</f>
        <v> </v>
      </c>
      <c r="L5533" s="27"/>
    </row>
    <row r="5534" spans="1:12">
      <c r="A5534" s="20" t="s">
        <v>1142</v>
      </c>
      <c r="E5534" s="22">
        <f>IF(D5534="?OLD","!!!","")</f>
        <v/>
      </c>
      <c r="F5534" s="23" t="str">
        <f>IF(OR(E5534="",E5534="!!!"),"",IF(NOT(ISNA(VLOOKUP(E5534,E$1:E5533,1,FALSE()))),"OLD",IF(AND(E5534&lt;&gt;"",E5534&lt;&gt;"!!!"),"NEW","")))</f>
        <v> </v>
      </c>
      <c r="G5534" s="24" t="str">
        <f>IF(OR(E5534="",E5534="!!!"),"",IF(OR(J5534=0,AND(J5534=1,K5534=1),AND(J5534=1,I5534="SBJ"),AND(J5534=1,I5534=0)),"?IN_FOCUS",IF(J5534&lt;=2,"?ACTIVATED",IF(J5534&lt;&gt;"","?FAMILIAR",IF(F5534="NEW",IF(ISNA(VLOOKUP(E5534,#REF!,1,FALSE())),"?TYPE_IDENTIFIABLE","?REFERENTIAL"),"_")))))</f>
        <v> </v>
      </c>
      <c r="H5534" s="25" t="str">
        <f>IF(J5534&lt;&gt;1,"",IF(I5534="SBJ","CB","?"))</f>
        <v> </v>
      </c>
      <c r="I5534" s="26" t="str">
        <f>IF(OR(E5534="",E5534="!!!",F5534="NEW"),"",INDEX(B5533:B$2,-1+SUMPRODUCT(MAX(ROW(E5533:E$2)*(E5534=E5533:E$2)))))</f>
        <v> </v>
      </c>
      <c r="J5534" s="26" t="str">
        <f>IF(OR(E5534="",E5534="!!!",F5534="NEW"),"",COUNTBLANK(OFFSET(A$1,,,SUMPRODUCT(MAX(ROW(E$2:E5534)*(E5534=E$2:E5534)))))-COUNTBLANK(OFFSET(A$1,,,SUMPRODUCT(MAX(ROW(E$1:E5533)*(E2=E$1:E5533))))))</f>
        <v> </v>
      </c>
      <c r="K5534" s="26" t="str">
        <f>IF(OR(E5534="",E5534="!!!",F5534="NEW"),"",INDEX(J$1:J5533,SUMPRODUCT(MAX(ROW(E$1:E5533)*(E5534=E$1:E5533)))))</f>
        <v> </v>
      </c>
      <c r="L5534" s="27"/>
    </row>
    <row r="5535" spans="1:12">
      <c r="A5535" s="20" t="s">
        <v>2232</v>
      </c>
      <c r="E5535" s="22">
        <f>IF(D5535="?OLD","!!!","")</f>
        <v/>
      </c>
      <c r="F5535" s="23" t="str">
        <f>IF(OR(E5535="",E5535="!!!"),"",IF(NOT(ISNA(VLOOKUP(E5535,E$1:E5534,1,FALSE()))),"OLD",IF(AND(E5535&lt;&gt;"",E5535&lt;&gt;"!!!"),"NEW","")))</f>
        <v> </v>
      </c>
      <c r="G5535" s="24" t="str">
        <f>IF(OR(E5535="",E5535="!!!"),"",IF(OR(J5535=0,AND(J5535=1,K5535=1),AND(J5535=1,I5535="SBJ"),AND(J5535=1,I5535=0)),"?IN_FOCUS",IF(J5535&lt;=2,"?ACTIVATED",IF(J5535&lt;&gt;"","?FAMILIAR",IF(F5535="NEW",IF(ISNA(VLOOKUP(E5535,#REF!,1,FALSE())),"?TYPE_IDENTIFIABLE","?REFERENTIAL"),"_")))))</f>
        <v> </v>
      </c>
      <c r="H5535" s="25" t="str">
        <f>IF(J5535&lt;&gt;1,"",IF(I5535="SBJ","CB","?"))</f>
        <v> </v>
      </c>
      <c r="I5535" s="26" t="str">
        <f>IF(OR(E5535="",E5535="!!!",F5535="NEW"),"",INDEX(B5534:B$2,-1+SUMPRODUCT(MAX(ROW(E5534:E$2)*(E5535=E5534:E$2)))))</f>
        <v> </v>
      </c>
      <c r="J5535" s="26" t="str">
        <f>IF(OR(E5535="",E5535="!!!",F5535="NEW"),"",COUNTBLANK(OFFSET(A$1,,,SUMPRODUCT(MAX(ROW(E$2:E5535)*(E5535=E$2:E5535)))))-COUNTBLANK(OFFSET(A$1,,,SUMPRODUCT(MAX(ROW(E$1:E5534)*(E2=E$1:E5534))))))</f>
        <v> </v>
      </c>
      <c r="K5535" s="26" t="str">
        <f>IF(OR(E5535="",E5535="!!!",F5535="NEW"),"",INDEX(J$1:J5534,SUMPRODUCT(MAX(ROW(E$1:E5534)*(E5535=E$1:E5534)))))</f>
        <v> </v>
      </c>
      <c r="L5535" s="27"/>
    </row>
    <row r="5536" spans="1:12">
      <c r="A5536" s="20" t="s">
        <v>1020</v>
      </c>
      <c r="E5536" s="22">
        <f>IF(D5536="?OLD","!!!","")</f>
        <v/>
      </c>
      <c r="F5536" s="23" t="str">
        <f>IF(OR(E5536="",E5536="!!!"),"",IF(NOT(ISNA(VLOOKUP(E5536,E$1:E5535,1,FALSE()))),"OLD",IF(AND(E5536&lt;&gt;"",E5536&lt;&gt;"!!!"),"NEW","")))</f>
        <v> </v>
      </c>
      <c r="G5536" s="24" t="str">
        <f>IF(OR(E5536="",E5536="!!!"),"",IF(OR(J5536=0,AND(J5536=1,K5536=1),AND(J5536=1,I5536="SBJ"),AND(J5536=1,I5536=0)),"?IN_FOCUS",IF(J5536&lt;=2,"?ACTIVATED",IF(J5536&lt;&gt;"","?FAMILIAR",IF(F5536="NEW",IF(ISNA(VLOOKUP(E5536,#REF!,1,FALSE())),"?TYPE_IDENTIFIABLE","?REFERENTIAL"),"_")))))</f>
        <v> </v>
      </c>
      <c r="H5536" s="25" t="str">
        <f>IF(J5536&lt;&gt;1,"",IF(I5536="SBJ","CB","?"))</f>
        <v> </v>
      </c>
      <c r="I5536" s="26" t="str">
        <f>IF(OR(E5536="",E5536="!!!",F5536="NEW"),"",INDEX(B5535:B$2,-1+SUMPRODUCT(MAX(ROW(E5535:E$2)*(E5536=E5535:E$2)))))</f>
        <v> </v>
      </c>
      <c r="J5536" s="26" t="str">
        <f>IF(OR(E5536="",E5536="!!!",F5536="NEW"),"",COUNTBLANK(OFFSET(A$1,,,SUMPRODUCT(MAX(ROW(E$2:E5536)*(E5536=E$2:E5536)))))-COUNTBLANK(OFFSET(A$1,,,SUMPRODUCT(MAX(ROW(E$1:E5535)*(E2=E$1:E5535))))))</f>
        <v> </v>
      </c>
      <c r="K5536" s="26" t="str">
        <f>IF(OR(E5536="",E5536="!!!",F5536="NEW"),"",INDEX(J$1:J5535,SUMPRODUCT(MAX(ROW(E$1:E5535)*(E5536=E$1:E5535)))))</f>
        <v> </v>
      </c>
      <c r="L5536" s="27"/>
    </row>
    <row r="5537" spans="1:12">
      <c r="A5537" s="20" t="s">
        <v>1020</v>
      </c>
      <c r="E5537" s="22">
        <f>IF(D5537="?OLD","!!!","")</f>
        <v/>
      </c>
      <c r="F5537" s="23" t="str">
        <f>IF(OR(E5537="",E5537="!!!"),"",IF(NOT(ISNA(VLOOKUP(E5537,E$1:E5536,1,FALSE()))),"OLD",IF(AND(E5537&lt;&gt;"",E5537&lt;&gt;"!!!"),"NEW","")))</f>
        <v> </v>
      </c>
      <c r="G5537" s="24" t="str">
        <f>IF(OR(E5537="",E5537="!!!"),"",IF(OR(J5537=0,AND(J5537=1,K5537=1),AND(J5537=1,I5537="SBJ"),AND(J5537=1,I5537=0)),"?IN_FOCUS",IF(J5537&lt;=2,"?ACTIVATED",IF(J5537&lt;&gt;"","?FAMILIAR",IF(F5537="NEW",IF(ISNA(VLOOKUP(E5537,#REF!,1,FALSE())),"?TYPE_IDENTIFIABLE","?REFERENTIAL"),"_")))))</f>
        <v> </v>
      </c>
      <c r="H5537" s="25" t="str">
        <f>IF(J5537&lt;&gt;1,"",IF(I5537="SBJ","CB","?"))</f>
        <v> </v>
      </c>
      <c r="I5537" s="26" t="str">
        <f>IF(OR(E5537="",E5537="!!!",F5537="NEW"),"",INDEX(B5536:B$2,-1+SUMPRODUCT(MAX(ROW(E5536:E$2)*(E5537=E5536:E$2)))))</f>
        <v> </v>
      </c>
      <c r="J5537" s="26" t="str">
        <f>IF(OR(E5537="",E5537="!!!",F5537="NEW"),"",COUNTBLANK(OFFSET(A$1,,,SUMPRODUCT(MAX(ROW(E$2:E5537)*(E5537=E$2:E5537)))))-COUNTBLANK(OFFSET(A$1,,,SUMPRODUCT(MAX(ROW(E$1:E5536)*(E2=E$1:E5536))))))</f>
        <v> </v>
      </c>
      <c r="K5537" s="26" t="str">
        <f>IF(OR(E5537="",E5537="!!!",F5537="NEW"),"",INDEX(J$1:J5536,SUMPRODUCT(MAX(ROW(E$1:E5536)*(E5537=E$1:E5536)))))</f>
        <v> </v>
      </c>
      <c r="L5537" s="27"/>
    </row>
    <row r="5538" spans="1:12">
      <c r="A5538" s="20" t="s">
        <v>2500</v>
      </c>
      <c r="B5538" s="21" t="s">
        <v>1033</v>
      </c>
      <c r="C5538" s="21" t="s">
        <v>1017</v>
      </c>
      <c r="D5538" s="21" t="s">
        <v>1007</v>
      </c>
      <c r="E5538" s="22">
        <f>IF(D5538="?OLD","!!!","")</f>
        <v/>
      </c>
      <c r="F5538" s="23" t="str">
        <f>IF(OR(E5538="",E5538="!!!"),"",IF(NOT(ISNA(VLOOKUP(E5538,E$1:E5537,1,FALSE()))),"OLD",IF(AND(E5538&lt;&gt;"",E5538&lt;&gt;"!!!"),"NEW","")))</f>
        <v> </v>
      </c>
      <c r="G5538" s="24" t="str">
        <f>IF(OR(E5538="",E5538="!!!"),"",IF(OR(J5538=0,AND(J5538=1,K5538=1),AND(J5538=1,I5538="SBJ"),AND(J5538=1,I5538=0)),"?IN_FOCUS",IF(J5538&lt;=2,"?ACTIVATED",IF(J5538&lt;&gt;"","?FAMILIAR",IF(F5538="NEW",IF(ISNA(VLOOKUP(E5538,#REF!,1,FALSE())),"?TYPE_IDENTIFIABLE","?REFERENTIAL"),"_")))))</f>
        <v> </v>
      </c>
      <c r="H5538" s="25" t="str">
        <f>IF(J5538&lt;&gt;1,"",IF(I5538="SBJ","CB","?"))</f>
        <v> </v>
      </c>
      <c r="I5538" s="26" t="str">
        <f>IF(OR(E5538="",E5538="!!!",F5538="NEW"),"",INDEX(B5537:B$2,-1+SUMPRODUCT(MAX(ROW(E5537:E$2)*(E5538=E5537:E$2)))))</f>
        <v> </v>
      </c>
      <c r="J5538" s="26" t="str">
        <f>IF(OR(E5538="",E5538="!!!",F5538="NEW"),"",COUNTBLANK(OFFSET(A$1,,,SUMPRODUCT(MAX(ROW(E$2:E5538)*(E5538=E$2:E5538)))))-COUNTBLANK(OFFSET(A$1,,,SUMPRODUCT(MAX(ROW(E$1:E5537)*(E2=E$1:E5537))))))</f>
        <v> </v>
      </c>
      <c r="K5538" s="26" t="str">
        <f>IF(OR(E5538="",E5538="!!!",F5538="NEW"),"",INDEX(J$1:J5537,SUMPRODUCT(MAX(ROW(E$1:E5537)*(E5538=E$1:E5537)))))</f>
        <v> </v>
      </c>
      <c r="L5538" s="27"/>
    </row>
    <row r="5539" spans="1:12">
      <c r="A5539" s="20" t="s">
        <v>1014</v>
      </c>
      <c r="E5539" s="22">
        <f>IF(D5539="?OLD","!!!","")</f>
        <v/>
      </c>
      <c r="F5539" s="23" t="str">
        <f>IF(OR(E5539="",E5539="!!!"),"",IF(NOT(ISNA(VLOOKUP(E5539,E$1:E5538,1,FALSE()))),"OLD",IF(AND(E5539&lt;&gt;"",E5539&lt;&gt;"!!!"),"NEW","")))</f>
        <v> </v>
      </c>
      <c r="G5539" s="24" t="str">
        <f>IF(OR(E5539="",E5539="!!!"),"",IF(OR(J5539=0,AND(J5539=1,K5539=1),AND(J5539=1,I5539="SBJ"),AND(J5539=1,I5539=0)),"?IN_FOCUS",IF(J5539&lt;=2,"?ACTIVATED",IF(J5539&lt;&gt;"","?FAMILIAR",IF(F5539="NEW",IF(ISNA(VLOOKUP(E5539,#REF!,1,FALSE())),"?TYPE_IDENTIFIABLE","?REFERENTIAL"),"_")))))</f>
        <v> </v>
      </c>
      <c r="H5539" s="25" t="str">
        <f>IF(J5539&lt;&gt;1,"",IF(I5539="SBJ","CB","?"))</f>
        <v> </v>
      </c>
      <c r="I5539" s="26" t="str">
        <f>IF(OR(E5539="",E5539="!!!",F5539="NEW"),"",INDEX(B5538:B$2,-1+SUMPRODUCT(MAX(ROW(E5538:E$2)*(E5539=E5538:E$2)))))</f>
        <v> </v>
      </c>
      <c r="J5539" s="26" t="str">
        <f>IF(OR(E5539="",E5539="!!!",F5539="NEW"),"",COUNTBLANK(OFFSET(A$1,,,SUMPRODUCT(MAX(ROW(E$2:E5539)*(E5539=E$2:E5539)))))-COUNTBLANK(OFFSET(A$1,,,SUMPRODUCT(MAX(ROW(E$1:E5538)*(E2=E$1:E5538))))))</f>
        <v> </v>
      </c>
      <c r="K5539" s="26" t="str">
        <f>IF(OR(E5539="",E5539="!!!",F5539="NEW"),"",INDEX(J$1:J5538,SUMPRODUCT(MAX(ROW(E$1:E5538)*(E5539=E$1:E5538)))))</f>
        <v> </v>
      </c>
      <c r="L5539" s="27"/>
    </row>
    <row r="5540" spans="1:12">
      <c r="A5540" s="20" t="s">
        <v>98</v>
      </c>
      <c r="E5540" s="22">
        <f>IF(D5540="?OLD","!!!","")</f>
        <v/>
      </c>
      <c r="F5540" s="23" t="str">
        <f>IF(OR(E5540="",E5540="!!!"),"",IF(NOT(ISNA(VLOOKUP(E5540,E$1:E5539,1,FALSE()))),"OLD",IF(AND(E5540&lt;&gt;"",E5540&lt;&gt;"!!!"),"NEW","")))</f>
        <v> </v>
      </c>
      <c r="G5540" s="24" t="str">
        <f>IF(OR(E5540="",E5540="!!!"),"",IF(OR(J5540=0,AND(J5540=1,K5540=1),AND(J5540=1,I5540="SBJ"),AND(J5540=1,I5540=0)),"?IN_FOCUS",IF(J5540&lt;=2,"?ACTIVATED",IF(J5540&lt;&gt;"","?FAMILIAR",IF(F5540="NEW",IF(ISNA(VLOOKUP(E5540,#REF!,1,FALSE())),"?TYPE_IDENTIFIABLE","?REFERENTIAL"),"_")))))</f>
        <v> </v>
      </c>
      <c r="H5540" s="25" t="str">
        <f>IF(J5540&lt;&gt;1,"",IF(I5540="SBJ","CB","?"))</f>
        <v> </v>
      </c>
      <c r="I5540" s="26" t="str">
        <f>IF(OR(E5540="",E5540="!!!",F5540="NEW"),"",INDEX(B5539:B$2,-1+SUMPRODUCT(MAX(ROW(E5539:E$2)*(E5540=E5539:E$2)))))</f>
        <v> </v>
      </c>
      <c r="J5540" s="26" t="str">
        <f>IF(OR(E5540="",E5540="!!!",F5540="NEW"),"",COUNTBLANK(OFFSET(A$1,,,SUMPRODUCT(MAX(ROW(E$2:E5540)*(E5540=E$2:E5540)))))-COUNTBLANK(OFFSET(A$1,,,SUMPRODUCT(MAX(ROW(E$1:E5539)*(E2=E$1:E5539))))))</f>
        <v> </v>
      </c>
      <c r="K5540" s="26" t="str">
        <f>IF(OR(E5540="",E5540="!!!",F5540="NEW"),"",INDEX(J$1:J5539,SUMPRODUCT(MAX(ROW(E$1:E5539)*(E5540=E$1:E5539)))))</f>
        <v> </v>
      </c>
      <c r="L5540" s="27"/>
    </row>
    <row r="5541" spans="1:12">
      <c r="A5541" s="20" t="s">
        <v>1020</v>
      </c>
      <c r="E5541" s="22">
        <f>IF(D5541="?OLD","!!!","")</f>
        <v/>
      </c>
      <c r="F5541" s="23" t="str">
        <f>IF(OR(E5541="",E5541="!!!"),"",IF(NOT(ISNA(VLOOKUP(E5541,E$1:E5540,1,FALSE()))),"OLD",IF(AND(E5541&lt;&gt;"",E5541&lt;&gt;"!!!"),"NEW","")))</f>
        <v> </v>
      </c>
      <c r="G5541" s="24" t="str">
        <f>IF(OR(E5541="",E5541="!!!"),"",IF(OR(J5541=0,AND(J5541=1,K5541=1),AND(J5541=1,I5541="SBJ"),AND(J5541=1,I5541=0)),"?IN_FOCUS",IF(J5541&lt;=2,"?ACTIVATED",IF(J5541&lt;&gt;"","?FAMILIAR",IF(F5541="NEW",IF(ISNA(VLOOKUP(E5541,#REF!,1,FALSE())),"?TYPE_IDENTIFIABLE","?REFERENTIAL"),"_")))))</f>
        <v> </v>
      </c>
      <c r="H5541" s="25" t="str">
        <f>IF(J5541&lt;&gt;1,"",IF(I5541="SBJ","CB","?"))</f>
        <v> </v>
      </c>
      <c r="I5541" s="26" t="str">
        <f>IF(OR(E5541="",E5541="!!!",F5541="NEW"),"",INDEX(B5540:B$2,-1+SUMPRODUCT(MAX(ROW(E5540:E$2)*(E5541=E5540:E$2)))))</f>
        <v> </v>
      </c>
      <c r="J5541" s="26" t="str">
        <f>IF(OR(E5541="",E5541="!!!",F5541="NEW"),"",COUNTBLANK(OFFSET(A$1,,,SUMPRODUCT(MAX(ROW(E$2:E5541)*(E5541=E$2:E5541)))))-COUNTBLANK(OFFSET(A$1,,,SUMPRODUCT(MAX(ROW(E$1:E5540)*(E2=E$1:E5540))))))</f>
        <v> </v>
      </c>
      <c r="K5541" s="26" t="str">
        <f>IF(OR(E5541="",E5541="!!!",F5541="NEW"),"",INDEX(J$1:J5540,SUMPRODUCT(MAX(ROW(E$1:E5540)*(E5541=E$1:E5540)))))</f>
        <v> </v>
      </c>
      <c r="L5541" s="27"/>
    </row>
    <row r="5542" spans="1:12">
      <c r="A5542" s="20" t="s">
        <v>2501</v>
      </c>
      <c r="B5542" s="21" t="s">
        <v>1134</v>
      </c>
      <c r="C5542" s="21" t="s">
        <v>1017</v>
      </c>
      <c r="D5542" s="21" t="s">
        <v>1007</v>
      </c>
      <c r="E5542" s="22">
        <f>IF(D5542="?OLD","!!!","")</f>
        <v/>
      </c>
      <c r="F5542" s="23" t="str">
        <f>IF(OR(E5542="",E5542="!!!"),"",IF(NOT(ISNA(VLOOKUP(E5542,E$1:E5541,1,FALSE()))),"OLD",IF(AND(E5542&lt;&gt;"",E5542&lt;&gt;"!!!"),"NEW","")))</f>
        <v> </v>
      </c>
      <c r="G5542" s="24" t="str">
        <f>IF(OR(E5542="",E5542="!!!"),"",IF(OR(J5542=0,AND(J5542=1,K5542=1),AND(J5542=1,I5542="SBJ"),AND(J5542=1,I5542=0)),"?IN_FOCUS",IF(J5542&lt;=2,"?ACTIVATED",IF(J5542&lt;&gt;"","?FAMILIAR",IF(F5542="NEW",IF(ISNA(VLOOKUP(E5542,#REF!,1,FALSE())),"?TYPE_IDENTIFIABLE","?REFERENTIAL"),"_")))))</f>
        <v> </v>
      </c>
      <c r="H5542" s="25" t="str">
        <f>IF(J5542&lt;&gt;1,"",IF(I5542="SBJ","CB","?"))</f>
        <v> </v>
      </c>
      <c r="I5542" s="26" t="str">
        <f>IF(OR(E5542="",E5542="!!!",F5542="NEW"),"",INDEX(B5541:B$2,-1+SUMPRODUCT(MAX(ROW(E5541:E$2)*(E5542=E5541:E$2)))))</f>
        <v> </v>
      </c>
      <c r="J5542" s="26" t="str">
        <f>IF(OR(E5542="",E5542="!!!",F5542="NEW"),"",COUNTBLANK(OFFSET(A$1,,,SUMPRODUCT(MAX(ROW(E$2:E5542)*(E5542=E$2:E5542)))))-COUNTBLANK(OFFSET(A$1,,,SUMPRODUCT(MAX(ROW(E$1:E5541)*(E2=E$1:E5541))))))</f>
        <v> </v>
      </c>
      <c r="K5542" s="26" t="str">
        <f>IF(OR(E5542="",E5542="!!!",F5542="NEW"),"",INDEX(J$1:J5541,SUMPRODUCT(MAX(ROW(E$1:E5541)*(E5542=E$1:E5541)))))</f>
        <v> </v>
      </c>
      <c r="L5542" s="27"/>
    </row>
    <row r="5543" spans="1:12">
      <c r="A5543" s="20" t="s">
        <v>1014</v>
      </c>
      <c r="E5543" s="22">
        <f>IF(D5543="?OLD","!!!","")</f>
        <v/>
      </c>
      <c r="F5543" s="23" t="str">
        <f>IF(OR(E5543="",E5543="!!!"),"",IF(NOT(ISNA(VLOOKUP(E5543,E$1:E5542,1,FALSE()))),"OLD",IF(AND(E5543&lt;&gt;"",E5543&lt;&gt;"!!!"),"NEW","")))</f>
        <v> </v>
      </c>
      <c r="G5543" s="24" t="str">
        <f>IF(OR(E5543="",E5543="!!!"),"",IF(OR(J5543=0,AND(J5543=1,K5543=1),AND(J5543=1,I5543="SBJ"),AND(J5543=1,I5543=0)),"?IN_FOCUS",IF(J5543&lt;=2,"?ACTIVATED",IF(J5543&lt;&gt;"","?FAMILIAR",IF(F5543="NEW",IF(ISNA(VLOOKUP(E5543,#REF!,1,FALSE())),"?TYPE_IDENTIFIABLE","?REFERENTIAL"),"_")))))</f>
        <v> </v>
      </c>
      <c r="H5543" s="25" t="str">
        <f>IF(J5543&lt;&gt;1,"",IF(I5543="SBJ","CB","?"))</f>
        <v> </v>
      </c>
      <c r="I5543" s="26" t="str">
        <f>IF(OR(E5543="",E5543="!!!",F5543="NEW"),"",INDEX(B5542:B$2,-1+SUMPRODUCT(MAX(ROW(E5542:E$2)*(E5543=E5542:E$2)))))</f>
        <v> </v>
      </c>
      <c r="J5543" s="26" t="str">
        <f>IF(OR(E5543="",E5543="!!!",F5543="NEW"),"",COUNTBLANK(OFFSET(A$1,,,SUMPRODUCT(MAX(ROW(E$2:E5543)*(E5543=E$2:E5543)))))-COUNTBLANK(OFFSET(A$1,,,SUMPRODUCT(MAX(ROW(E$1:E5542)*(E2=E$1:E5542))))))</f>
        <v> </v>
      </c>
      <c r="K5543" s="26" t="str">
        <f>IF(OR(E5543="",E5543="!!!",F5543="NEW"),"",INDEX(J$1:J5542,SUMPRODUCT(MAX(ROW(E$1:E5542)*(E5543=E$1:E5542)))))</f>
        <v> </v>
      </c>
      <c r="L5543" s="27"/>
    </row>
    <row r="5544" spans="1:12">
      <c r="A5544" s="20" t="s">
        <v>2502</v>
      </c>
      <c r="E5544" s="22">
        <f>IF(D5544="?OLD","!!!","")</f>
        <v/>
      </c>
      <c r="F5544" s="23" t="str">
        <f>IF(OR(E5544="",E5544="!!!"),"",IF(NOT(ISNA(VLOOKUP(E5544,E$1:E5543,1,FALSE()))),"OLD",IF(AND(E5544&lt;&gt;"",E5544&lt;&gt;"!!!"),"NEW","")))</f>
        <v> </v>
      </c>
      <c r="G5544" s="24" t="str">
        <f>IF(OR(E5544="",E5544="!!!"),"",IF(OR(J5544=0,AND(J5544=1,K5544=1),AND(J5544=1,I5544="SBJ"),AND(J5544=1,I5544=0)),"?IN_FOCUS",IF(J5544&lt;=2,"?ACTIVATED",IF(J5544&lt;&gt;"","?FAMILIAR",IF(F5544="NEW",IF(ISNA(VLOOKUP(E5544,#REF!,1,FALSE())),"?TYPE_IDENTIFIABLE","?REFERENTIAL"),"_")))))</f>
        <v> </v>
      </c>
      <c r="H5544" s="25" t="str">
        <f>IF(J5544&lt;&gt;1,"",IF(I5544="SBJ","CB","?"))</f>
        <v> </v>
      </c>
      <c r="I5544" s="26" t="str">
        <f>IF(OR(E5544="",E5544="!!!",F5544="NEW"),"",INDEX(B5543:B$2,-1+SUMPRODUCT(MAX(ROW(E5543:E$2)*(E5544=E5543:E$2)))))</f>
        <v> </v>
      </c>
      <c r="J5544" s="26" t="str">
        <f>IF(OR(E5544="",E5544="!!!",F5544="NEW"),"",COUNTBLANK(OFFSET(A$1,,,SUMPRODUCT(MAX(ROW(E$2:E5544)*(E5544=E$2:E5544)))))-COUNTBLANK(OFFSET(A$1,,,SUMPRODUCT(MAX(ROW(E$1:E5543)*(E2=E$1:E5543))))))</f>
        <v> </v>
      </c>
      <c r="K5544" s="26" t="str">
        <f>IF(OR(E5544="",E5544="!!!",F5544="NEW"),"",INDEX(J$1:J5543,SUMPRODUCT(MAX(ROW(E$1:E5543)*(E5544=E$1:E5543)))))</f>
        <v> </v>
      </c>
      <c r="L5544" s="27"/>
    </row>
    <row r="5545" spans="1:12">
      <c r="A5545" s="20" t="s">
        <v>2503</v>
      </c>
      <c r="B5545" s="21" t="s">
        <v>1253</v>
      </c>
      <c r="C5545" s="21" t="s">
        <v>1082</v>
      </c>
      <c r="D5545" s="21" t="s">
        <v>1007</v>
      </c>
      <c r="E5545" s="22">
        <f>IF(D5545="?OLD","!!!","")</f>
        <v/>
      </c>
      <c r="F5545" s="23" t="str">
        <f>IF(OR(E5545="",E5545="!!!"),"",IF(NOT(ISNA(VLOOKUP(E5545,E$1:E5544,1,FALSE()))),"OLD",IF(AND(E5545&lt;&gt;"",E5545&lt;&gt;"!!!"),"NEW","")))</f>
        <v> </v>
      </c>
      <c r="G5545" s="24" t="str">
        <f>IF(OR(E5545="",E5545="!!!"),"",IF(OR(J5545=0,AND(J5545=1,K5545=1),AND(J5545=1,I5545="SBJ"),AND(J5545=1,I5545=0)),"?IN_FOCUS",IF(J5545&lt;=2,"?ACTIVATED",IF(J5545&lt;&gt;"","?FAMILIAR",IF(F5545="NEW",IF(ISNA(VLOOKUP(E5545,#REF!,1,FALSE())),"?TYPE_IDENTIFIABLE","?REFERENTIAL"),"_")))))</f>
        <v> </v>
      </c>
      <c r="H5545" s="25" t="str">
        <f>IF(J5545&lt;&gt;1,"",IF(I5545="SBJ","CB","?"))</f>
        <v> </v>
      </c>
      <c r="I5545" s="26" t="str">
        <f>IF(OR(E5545="",E5545="!!!",F5545="NEW"),"",INDEX(B5544:B$2,-1+SUMPRODUCT(MAX(ROW(E5544:E$2)*(E5545=E5544:E$2)))))</f>
        <v> </v>
      </c>
      <c r="J5545" s="26" t="str">
        <f>IF(OR(E5545="",E5545="!!!",F5545="NEW"),"",COUNTBLANK(OFFSET(A$1,,,SUMPRODUCT(MAX(ROW(E$2:E5545)*(E5545=E$2:E5545)))))-COUNTBLANK(OFFSET(A$1,,,SUMPRODUCT(MAX(ROW(E$1:E5544)*(E2=E$1:E5544))))))</f>
        <v> </v>
      </c>
      <c r="K5545" s="26" t="str">
        <f>IF(OR(E5545="",E5545="!!!",F5545="NEW"),"",INDEX(J$1:J5544,SUMPRODUCT(MAX(ROW(E$1:E5544)*(E5545=E$1:E5544)))))</f>
        <v> </v>
      </c>
      <c r="L5545" s="27"/>
    </row>
    <row r="5546" spans="1:12">
      <c r="A5546" s="20" t="s">
        <v>1014</v>
      </c>
      <c r="E5546" s="22">
        <f>IF(D5546="?OLD","!!!","")</f>
        <v/>
      </c>
      <c r="F5546" s="23" t="str">
        <f>IF(OR(E5546="",E5546="!!!"),"",IF(NOT(ISNA(VLOOKUP(E5546,E$1:E5545,1,FALSE()))),"OLD",IF(AND(E5546&lt;&gt;"",E5546&lt;&gt;"!!!"),"NEW","")))</f>
        <v> </v>
      </c>
      <c r="G5546" s="24" t="str">
        <f>IF(OR(E5546="",E5546="!!!"),"",IF(OR(J5546=0,AND(J5546=1,K5546=1),AND(J5546=1,I5546="SBJ"),AND(J5546=1,I5546=0)),"?IN_FOCUS",IF(J5546&lt;=2,"?ACTIVATED",IF(J5546&lt;&gt;"","?FAMILIAR",IF(F5546="NEW",IF(ISNA(VLOOKUP(E5546,#REF!,1,FALSE())),"?TYPE_IDENTIFIABLE","?REFERENTIAL"),"_")))))</f>
        <v> </v>
      </c>
      <c r="H5546" s="25" t="str">
        <f>IF(J5546&lt;&gt;1,"",IF(I5546="SBJ","CB","?"))</f>
        <v> </v>
      </c>
      <c r="I5546" s="26" t="str">
        <f>IF(OR(E5546="",E5546="!!!",F5546="NEW"),"",INDEX(B5545:B$2,-1+SUMPRODUCT(MAX(ROW(E5545:E$2)*(E5546=E5545:E$2)))))</f>
        <v> </v>
      </c>
      <c r="J5546" s="26" t="str">
        <f>IF(OR(E5546="",E5546="!!!",F5546="NEW"),"",COUNTBLANK(OFFSET(A$1,,,SUMPRODUCT(MAX(ROW(E$2:E5546)*(E5546=E$2:E5546)))))-COUNTBLANK(OFFSET(A$1,,,SUMPRODUCT(MAX(ROW(E$1:E5545)*(E2=E$1:E5545))))))</f>
        <v> </v>
      </c>
      <c r="K5546" s="26" t="str">
        <f>IF(OR(E5546="",E5546="!!!",F5546="NEW"),"",INDEX(J$1:J5545,SUMPRODUCT(MAX(ROW(E$1:E5545)*(E5546=E$1:E5545)))))</f>
        <v> </v>
      </c>
      <c r="L5546" s="27"/>
    </row>
    <row r="5547" spans="1:12">
      <c r="A5547" s="20" t="s">
        <v>2265</v>
      </c>
      <c r="B5547" s="21" t="s">
        <v>1042</v>
      </c>
      <c r="C5547" s="21" t="s">
        <v>1048</v>
      </c>
      <c r="E5547" s="22">
        <f>IF(D5547="?OLD","!!!","")</f>
        <v/>
      </c>
      <c r="F5547" s="23" t="str">
        <f>IF(OR(E5547="",E5547="!!!"),"",IF(NOT(ISNA(VLOOKUP(E5547,E$1:E5546,1,FALSE()))),"OLD",IF(AND(E5547&lt;&gt;"",E5547&lt;&gt;"!!!"),"NEW","")))</f>
        <v> </v>
      </c>
      <c r="G5547" s="24" t="str">
        <f>IF(OR(E5547="",E5547="!!!"),"",IF(OR(J5547=0,AND(J5547=1,K5547=1),AND(J5547=1,I5547="SBJ"),AND(J5547=1,I5547=0)),"?IN_FOCUS",IF(J5547&lt;=2,"?ACTIVATED",IF(J5547&lt;&gt;"","?FAMILIAR",IF(F5547="NEW",IF(ISNA(VLOOKUP(E5547,#REF!,1,FALSE())),"?TYPE_IDENTIFIABLE","?REFERENTIAL"),"_")))))</f>
        <v> </v>
      </c>
      <c r="H5547" s="25" t="str">
        <f>IF(J5547&lt;&gt;1,"",IF(I5547="SBJ","CB","?"))</f>
        <v> </v>
      </c>
      <c r="I5547" s="26" t="str">
        <f>IF(OR(E5547="",E5547="!!!",F5547="NEW"),"",INDEX(B5546:B$2,-1+SUMPRODUCT(MAX(ROW(E5546:E$2)*(E5547=E5546:E$2)))))</f>
        <v> </v>
      </c>
      <c r="J5547" s="26" t="str">
        <f>IF(OR(E5547="",E5547="!!!",F5547="NEW"),"",COUNTBLANK(OFFSET(A$1,,,SUMPRODUCT(MAX(ROW(E$2:E5547)*(E5547=E$2:E5547)))))-COUNTBLANK(OFFSET(A$1,,,SUMPRODUCT(MAX(ROW(E$1:E5546)*(E2=E$1:E5546))))))</f>
        <v> </v>
      </c>
      <c r="K5547" s="26" t="str">
        <f>IF(OR(E5547="",E5547="!!!",F5547="NEW"),"",INDEX(J$1:J5546,SUMPRODUCT(MAX(ROW(E$1:E5546)*(E5547=E$1:E5546)))))</f>
        <v> </v>
      </c>
      <c r="L5547" s="27"/>
    </row>
    <row r="5548" spans="1:12">
      <c r="A5548" s="20" t="s">
        <v>1596</v>
      </c>
      <c r="E5548" s="22">
        <f>IF(D5548="?OLD","!!!","")</f>
        <v/>
      </c>
      <c r="F5548" s="23" t="str">
        <f>IF(OR(E5548="",E5548="!!!"),"",IF(NOT(ISNA(VLOOKUP(E5548,E$1:E5547,1,FALSE()))),"OLD",IF(AND(E5548&lt;&gt;"",E5548&lt;&gt;"!!!"),"NEW","")))</f>
        <v> </v>
      </c>
      <c r="G5548" s="24" t="str">
        <f>IF(OR(E5548="",E5548="!!!"),"",IF(OR(J5548=0,AND(J5548=1,K5548=1),AND(J5548=1,I5548="SBJ"),AND(J5548=1,I5548=0)),"?IN_FOCUS",IF(J5548&lt;=2,"?ACTIVATED",IF(J5548&lt;&gt;"","?FAMILIAR",IF(F5548="NEW",IF(ISNA(VLOOKUP(E5548,#REF!,1,FALSE())),"?TYPE_IDENTIFIABLE","?REFERENTIAL"),"_")))))</f>
        <v> </v>
      </c>
      <c r="H5548" s="25" t="str">
        <f>IF(J5548&lt;&gt;1,"",IF(I5548="SBJ","CB","?"))</f>
        <v> </v>
      </c>
      <c r="I5548" s="26" t="str">
        <f>IF(OR(E5548="",E5548="!!!",F5548="NEW"),"",INDEX(B5547:B$2,-1+SUMPRODUCT(MAX(ROW(E5547:E$2)*(E5548=E5547:E$2)))))</f>
        <v> </v>
      </c>
      <c r="J5548" s="26" t="str">
        <f>IF(OR(E5548="",E5548="!!!",F5548="NEW"),"",COUNTBLANK(OFFSET(A$1,,,SUMPRODUCT(MAX(ROW(E$2:E5548)*(E5548=E$2:E5548)))))-COUNTBLANK(OFFSET(A$1,,,SUMPRODUCT(MAX(ROW(E$1:E5547)*(E2=E$1:E5547))))))</f>
        <v> </v>
      </c>
      <c r="K5548" s="26" t="str">
        <f>IF(OR(E5548="",E5548="!!!",F5548="NEW"),"",INDEX(J$1:J5547,SUMPRODUCT(MAX(ROW(E$1:E5547)*(E5548=E$1:E5547)))))</f>
        <v> </v>
      </c>
      <c r="L5548" s="27"/>
    </row>
    <row r="5549" spans="1:12">
      <c r="A5549" s="20" t="s">
        <v>1531</v>
      </c>
      <c r="E5549" s="22">
        <f>IF(D5549="?OLD","!!!","")</f>
        <v/>
      </c>
      <c r="F5549" s="23" t="str">
        <f>IF(OR(E5549="",E5549="!!!"),"",IF(NOT(ISNA(VLOOKUP(E5549,E$1:E5548,1,FALSE()))),"OLD",IF(AND(E5549&lt;&gt;"",E5549&lt;&gt;"!!!"),"NEW","")))</f>
        <v> </v>
      </c>
      <c r="G5549" s="24" t="str">
        <f>IF(OR(E5549="",E5549="!!!"),"",IF(OR(J5549=0,AND(J5549=1,K5549=1),AND(J5549=1,I5549="SBJ"),AND(J5549=1,I5549=0)),"?IN_FOCUS",IF(J5549&lt;=2,"?ACTIVATED",IF(J5549&lt;&gt;"","?FAMILIAR",IF(F5549="NEW",IF(ISNA(VLOOKUP(E5549,#REF!,1,FALSE())),"?TYPE_IDENTIFIABLE","?REFERENTIAL"),"_")))))</f>
        <v> </v>
      </c>
      <c r="H5549" s="25" t="str">
        <f>IF(J5549&lt;&gt;1,"",IF(I5549="SBJ","CB","?"))</f>
        <v> </v>
      </c>
      <c r="I5549" s="26" t="str">
        <f>IF(OR(E5549="",E5549="!!!",F5549="NEW"),"",INDEX(B5548:B$2,-1+SUMPRODUCT(MAX(ROW(E5548:E$2)*(E5549=E5548:E$2)))))</f>
        <v> </v>
      </c>
      <c r="J5549" s="26" t="str">
        <f>IF(OR(E5549="",E5549="!!!",F5549="NEW"),"",COUNTBLANK(OFFSET(A$1,,,SUMPRODUCT(MAX(ROW(E$2:E5549)*(E5549=E$2:E5549)))))-COUNTBLANK(OFFSET(A$1,,,SUMPRODUCT(MAX(ROW(E$1:E5548)*(E2=E$1:E5548))))))</f>
        <v> </v>
      </c>
      <c r="K5549" s="26" t="str">
        <f>IF(OR(E5549="",E5549="!!!",F5549="NEW"),"",INDEX(J$1:J5548,SUMPRODUCT(MAX(ROW(E$1:E5548)*(E5549=E$1:E5548)))))</f>
        <v> </v>
      </c>
      <c r="L5549" s="27"/>
    </row>
    <row r="5550" spans="1:12">
      <c r="A5550" s="20" t="s">
        <v>56</v>
      </c>
      <c r="E5550" s="22">
        <f>IF(D5550="?OLD","!!!","")</f>
        <v/>
      </c>
      <c r="F5550" s="23" t="str">
        <f>IF(OR(E5550="",E5550="!!!"),"",IF(NOT(ISNA(VLOOKUP(E5550,E$1:E5549,1,FALSE()))),"OLD",IF(AND(E5550&lt;&gt;"",E5550&lt;&gt;"!!!"),"NEW","")))</f>
        <v> </v>
      </c>
      <c r="G5550" s="24" t="str">
        <f>IF(OR(E5550="",E5550="!!!"),"",IF(OR(J5550=0,AND(J5550=1,K5550=1),AND(J5550=1,I5550="SBJ"),AND(J5550=1,I5550=0)),"?IN_FOCUS",IF(J5550&lt;=2,"?ACTIVATED",IF(J5550&lt;&gt;"","?FAMILIAR",IF(F5550="NEW",IF(ISNA(VLOOKUP(E5550,#REF!,1,FALSE())),"?TYPE_IDENTIFIABLE","?REFERENTIAL"),"_")))))</f>
        <v> </v>
      </c>
      <c r="H5550" s="25" t="str">
        <f>IF(J5550&lt;&gt;1,"",IF(I5550="SBJ","CB","?"))</f>
        <v> </v>
      </c>
      <c r="I5550" s="26" t="str">
        <f>IF(OR(E5550="",E5550="!!!",F5550="NEW"),"",INDEX(B5549:B$2,-1+SUMPRODUCT(MAX(ROW(E5549:E$2)*(E5550=E5549:E$2)))))</f>
        <v> </v>
      </c>
      <c r="J5550" s="26" t="str">
        <f>IF(OR(E5550="",E5550="!!!",F5550="NEW"),"",COUNTBLANK(OFFSET(A$1,,,SUMPRODUCT(MAX(ROW(E$2:E5550)*(E5550=E$2:E5550)))))-COUNTBLANK(OFFSET(A$1,,,SUMPRODUCT(MAX(ROW(E$1:E5549)*(E2=E$1:E5549))))))</f>
        <v> </v>
      </c>
      <c r="K5550" s="26" t="str">
        <f>IF(OR(E5550="",E5550="!!!",F5550="NEW"),"",INDEX(J$1:J5549,SUMPRODUCT(MAX(ROW(E$1:E5549)*(E5550=E$1:E5549)))))</f>
        <v> </v>
      </c>
      <c r="L5550" s="27"/>
    </row>
    <row r="5551" spans="1:12">
      <c r="A5551" s="20" t="s">
        <v>2504</v>
      </c>
      <c r="E5551" s="22">
        <f>IF(D5551="?OLD","!!!","")</f>
        <v/>
      </c>
      <c r="F5551" s="23" t="str">
        <f>IF(OR(E5551="",E5551="!!!"),"",IF(NOT(ISNA(VLOOKUP(E5551,E$1:E5550,1,FALSE()))),"OLD",IF(AND(E5551&lt;&gt;"",E5551&lt;&gt;"!!!"),"NEW","")))</f>
        <v> </v>
      </c>
      <c r="G5551" s="24" t="str">
        <f>IF(OR(E5551="",E5551="!!!"),"",IF(OR(J5551=0,AND(J5551=1,K5551=1),AND(J5551=1,I5551="SBJ"),AND(J5551=1,I5551=0)),"?IN_FOCUS",IF(J5551&lt;=2,"?ACTIVATED",IF(J5551&lt;&gt;"","?FAMILIAR",IF(F5551="NEW",IF(ISNA(VLOOKUP(E5551,#REF!,1,FALSE())),"?TYPE_IDENTIFIABLE","?REFERENTIAL"),"_")))))</f>
        <v> </v>
      </c>
      <c r="H5551" s="25" t="str">
        <f>IF(J5551&lt;&gt;1,"",IF(I5551="SBJ","CB","?"))</f>
        <v> </v>
      </c>
      <c r="I5551" s="26" t="str">
        <f>IF(OR(E5551="",E5551="!!!",F5551="NEW"),"",INDEX(B5550:B$2,-1+SUMPRODUCT(MAX(ROW(E5550:E$2)*(E5551=E5550:E$2)))))</f>
        <v> </v>
      </c>
      <c r="J5551" s="26" t="str">
        <f>IF(OR(E5551="",E5551="!!!",F5551="NEW"),"",COUNTBLANK(OFFSET(A$1,,,SUMPRODUCT(MAX(ROW(E$2:E5551)*(E5551=E$2:E5551)))))-COUNTBLANK(OFFSET(A$1,,,SUMPRODUCT(MAX(ROW(E$1:E5550)*(E2=E$1:E5550))))))</f>
        <v> </v>
      </c>
      <c r="K5551" s="26" t="str">
        <f>IF(OR(E5551="",E5551="!!!",F5551="NEW"),"",INDEX(J$1:J5550,SUMPRODUCT(MAX(ROW(E$1:E5550)*(E5551=E$1:E5550)))))</f>
        <v> </v>
      </c>
      <c r="L5551" s="27"/>
    </row>
    <row r="5552" spans="1:12">
      <c r="A5552" s="20" t="s">
        <v>56</v>
      </c>
      <c r="E5552" s="22">
        <f>IF(D5552="?OLD","!!!","")</f>
        <v/>
      </c>
      <c r="F5552" s="23" t="str">
        <f>IF(OR(E5552="",E5552="!!!"),"",IF(NOT(ISNA(VLOOKUP(E5552,E$1:E5551,1,FALSE()))),"OLD",IF(AND(E5552&lt;&gt;"",E5552&lt;&gt;"!!!"),"NEW","")))</f>
        <v> </v>
      </c>
      <c r="G5552" s="24" t="str">
        <f>IF(OR(E5552="",E5552="!!!"),"",IF(OR(J5552=0,AND(J5552=1,K5552=1),AND(J5552=1,I5552="SBJ"),AND(J5552=1,I5552=0)),"?IN_FOCUS",IF(J5552&lt;=2,"?ACTIVATED",IF(J5552&lt;&gt;"","?FAMILIAR",IF(F5552="NEW",IF(ISNA(VLOOKUP(E5552,#REF!,1,FALSE())),"?TYPE_IDENTIFIABLE","?REFERENTIAL"),"_")))))</f>
        <v> </v>
      </c>
      <c r="H5552" s="25" t="str">
        <f>IF(J5552&lt;&gt;1,"",IF(I5552="SBJ","CB","?"))</f>
        <v> </v>
      </c>
      <c r="I5552" s="26" t="str">
        <f>IF(OR(E5552="",E5552="!!!",F5552="NEW"),"",INDEX(B5551:B$2,-1+SUMPRODUCT(MAX(ROW(E5551:E$2)*(E5552=E5551:E$2)))))</f>
        <v> </v>
      </c>
      <c r="J5552" s="26" t="str">
        <f>IF(OR(E5552="",E5552="!!!",F5552="NEW"),"",COUNTBLANK(OFFSET(A$1,,,SUMPRODUCT(MAX(ROW(E$2:E5552)*(E5552=E$2:E5552)))))-COUNTBLANK(OFFSET(A$1,,,SUMPRODUCT(MAX(ROW(E$1:E5551)*(E2=E$1:E5551))))))</f>
        <v> </v>
      </c>
      <c r="K5552" s="26" t="str">
        <f>IF(OR(E5552="",E5552="!!!",F5552="NEW"),"",INDEX(J$1:J5551,SUMPRODUCT(MAX(ROW(E$1:E5551)*(E5552=E$1:E5551)))))</f>
        <v> </v>
      </c>
      <c r="L5552" s="27"/>
    </row>
    <row r="5553" spans="1:12">
      <c r="A5553" s="20" t="s">
        <v>2505</v>
      </c>
      <c r="E5553" s="22">
        <f>IF(D5553="?OLD","!!!","")</f>
        <v/>
      </c>
      <c r="F5553" s="23" t="str">
        <f>IF(OR(E5553="",E5553="!!!"),"",IF(NOT(ISNA(VLOOKUP(E5553,E$1:E5552,1,FALSE()))),"OLD",IF(AND(E5553&lt;&gt;"",E5553&lt;&gt;"!!!"),"NEW","")))</f>
        <v> </v>
      </c>
      <c r="G5553" s="24" t="str">
        <f>IF(OR(E5553="",E5553="!!!"),"",IF(OR(J5553=0,AND(J5553=1,K5553=1),AND(J5553=1,I5553="SBJ"),AND(J5553=1,I5553=0)),"?IN_FOCUS",IF(J5553&lt;=2,"?ACTIVATED",IF(J5553&lt;&gt;"","?FAMILIAR",IF(F5553="NEW",IF(ISNA(VLOOKUP(E5553,#REF!,1,FALSE())),"?TYPE_IDENTIFIABLE","?REFERENTIAL"),"_")))))</f>
        <v> </v>
      </c>
      <c r="H5553" s="25" t="str">
        <f>IF(J5553&lt;&gt;1,"",IF(I5553="SBJ","CB","?"))</f>
        <v> </v>
      </c>
      <c r="I5553" s="26" t="str">
        <f>IF(OR(E5553="",E5553="!!!",F5553="NEW"),"",INDEX(B5552:B$2,-1+SUMPRODUCT(MAX(ROW(E5552:E$2)*(E5553=E5552:E$2)))))</f>
        <v> </v>
      </c>
      <c r="J5553" s="26" t="str">
        <f>IF(OR(E5553="",E5553="!!!",F5553="NEW"),"",COUNTBLANK(OFFSET(A$1,,,SUMPRODUCT(MAX(ROW(E$2:E5553)*(E5553=E$2:E5553)))))-COUNTBLANK(OFFSET(A$1,,,SUMPRODUCT(MAX(ROW(E$1:E5552)*(E2=E$1:E5552))))))</f>
        <v> </v>
      </c>
      <c r="K5553" s="26" t="str">
        <f>IF(OR(E5553="",E5553="!!!",F5553="NEW"),"",INDEX(J$1:J5552,SUMPRODUCT(MAX(ROW(E$1:E5552)*(E5553=E$1:E5552)))))</f>
        <v> </v>
      </c>
      <c r="L5553" s="27"/>
    </row>
    <row r="5554" spans="1:12">
      <c r="A5554" s="20" t="s">
        <v>2503</v>
      </c>
      <c r="B5554" s="21" t="s">
        <v>1066</v>
      </c>
      <c r="C5554" s="21" t="s">
        <v>1082</v>
      </c>
      <c r="D5554" s="21" t="s">
        <v>1007</v>
      </c>
      <c r="E5554" s="22">
        <f>IF(D5554="?OLD","!!!","")</f>
        <v/>
      </c>
      <c r="F5554" s="23" t="str">
        <f>IF(OR(E5554="",E5554="!!!"),"",IF(NOT(ISNA(VLOOKUP(E5554,E$1:E5553,1,FALSE()))),"OLD",IF(AND(E5554&lt;&gt;"",E5554&lt;&gt;"!!!"),"NEW","")))</f>
        <v> </v>
      </c>
      <c r="G5554" s="24" t="str">
        <f>IF(OR(E5554="",E5554="!!!"),"",IF(OR(J5554=0,AND(J5554=1,K5554=1),AND(J5554=1,I5554="SBJ"),AND(J5554=1,I5554=0)),"?IN_FOCUS",IF(J5554&lt;=2,"?ACTIVATED",IF(J5554&lt;&gt;"","?FAMILIAR",IF(F5554="NEW",IF(ISNA(VLOOKUP(E5554,#REF!,1,FALSE())),"?TYPE_IDENTIFIABLE","?REFERENTIAL"),"_")))))</f>
        <v> </v>
      </c>
      <c r="H5554" s="25" t="str">
        <f>IF(J5554&lt;&gt;1,"",IF(I5554="SBJ","CB","?"))</f>
        <v> </v>
      </c>
      <c r="I5554" s="26" t="str">
        <f>IF(OR(E5554="",E5554="!!!",F5554="NEW"),"",INDEX(B5553:B$2,-1+SUMPRODUCT(MAX(ROW(E5553:E$2)*(E5554=E5553:E$2)))))</f>
        <v> </v>
      </c>
      <c r="J5554" s="26" t="str">
        <f>IF(OR(E5554="",E5554="!!!",F5554="NEW"),"",COUNTBLANK(OFFSET(A$1,,,SUMPRODUCT(MAX(ROW(E$2:E5554)*(E5554=E$2:E5554)))))-COUNTBLANK(OFFSET(A$1,,,SUMPRODUCT(MAX(ROW(E$1:E5553)*(E2=E$1:E5553))))))</f>
        <v> </v>
      </c>
      <c r="K5554" s="26" t="str">
        <f>IF(OR(E5554="",E5554="!!!",F5554="NEW"),"",INDEX(J$1:J5553,SUMPRODUCT(MAX(ROW(E$1:E5553)*(E5554=E$1:E5553)))))</f>
        <v> </v>
      </c>
      <c r="L5554" s="27"/>
    </row>
    <row r="5555" spans="1:12">
      <c r="A5555" s="20" t="s">
        <v>1014</v>
      </c>
      <c r="E5555" s="22">
        <f>IF(D5555="?OLD","!!!","")</f>
        <v/>
      </c>
      <c r="F5555" s="23" t="str">
        <f>IF(OR(E5555="",E5555="!!!"),"",IF(NOT(ISNA(VLOOKUP(E5555,E$1:E5554,1,FALSE()))),"OLD",IF(AND(E5555&lt;&gt;"",E5555&lt;&gt;"!!!"),"NEW","")))</f>
        <v> </v>
      </c>
      <c r="G5555" s="24" t="str">
        <f>IF(OR(E5555="",E5555="!!!"),"",IF(OR(J5555=0,AND(J5555=1,K5555=1),AND(J5555=1,I5555="SBJ"),AND(J5555=1,I5555=0)),"?IN_FOCUS",IF(J5555&lt;=2,"?ACTIVATED",IF(J5555&lt;&gt;"","?FAMILIAR",IF(F5555="NEW",IF(ISNA(VLOOKUP(E5555,#REF!,1,FALSE())),"?TYPE_IDENTIFIABLE","?REFERENTIAL"),"_")))))</f>
        <v> </v>
      </c>
      <c r="H5555" s="25" t="str">
        <f>IF(J5555&lt;&gt;1,"",IF(I5555="SBJ","CB","?"))</f>
        <v> </v>
      </c>
      <c r="I5555" s="26" t="str">
        <f>IF(OR(E5555="",E5555="!!!",F5555="NEW"),"",INDEX(B5554:B$2,-1+SUMPRODUCT(MAX(ROW(E5554:E$2)*(E5555=E5554:E$2)))))</f>
        <v> </v>
      </c>
      <c r="J5555" s="26" t="str">
        <f>IF(OR(E5555="",E5555="!!!",F5555="NEW"),"",COUNTBLANK(OFFSET(A$1,,,SUMPRODUCT(MAX(ROW(E$2:E5555)*(E5555=E$2:E5555)))))-COUNTBLANK(OFFSET(A$1,,,SUMPRODUCT(MAX(ROW(E$1:E5554)*(E2=E$1:E5554))))))</f>
        <v> </v>
      </c>
      <c r="K5555" s="26" t="str">
        <f>IF(OR(E5555="",E5555="!!!",F5555="NEW"),"",INDEX(J$1:J5554,SUMPRODUCT(MAX(ROW(E$1:E5554)*(E5555=E$1:E5554)))))</f>
        <v> </v>
      </c>
      <c r="L5555" s="27"/>
    </row>
    <row r="5556" spans="1:12">
      <c r="A5556" s="20" t="s">
        <v>1122</v>
      </c>
      <c r="E5556" s="22">
        <f>IF(D5556="?OLD","!!!","")</f>
        <v/>
      </c>
      <c r="F5556" s="23" t="str">
        <f>IF(OR(E5556="",E5556="!!!"),"",IF(NOT(ISNA(VLOOKUP(E5556,E$1:E5555,1,FALSE()))),"OLD",IF(AND(E5556&lt;&gt;"",E5556&lt;&gt;"!!!"),"NEW","")))</f>
        <v> </v>
      </c>
      <c r="G5556" s="24" t="str">
        <f>IF(OR(E5556="",E5556="!!!"),"",IF(OR(J5556=0,AND(J5556=1,K5556=1),AND(J5556=1,I5556="SBJ"),AND(J5556=1,I5556=0)),"?IN_FOCUS",IF(J5556&lt;=2,"?ACTIVATED",IF(J5556&lt;&gt;"","?FAMILIAR",IF(F5556="NEW",IF(ISNA(VLOOKUP(E5556,#REF!,1,FALSE())),"?TYPE_IDENTIFIABLE","?REFERENTIAL"),"_")))))</f>
        <v> </v>
      </c>
      <c r="H5556" s="25" t="str">
        <f>IF(J5556&lt;&gt;1,"",IF(I5556="SBJ","CB","?"))</f>
        <v> </v>
      </c>
      <c r="I5556" s="26" t="str">
        <f>IF(OR(E5556="",E5556="!!!",F5556="NEW"),"",INDEX(B5555:B$2,-1+SUMPRODUCT(MAX(ROW(E5555:E$2)*(E5556=E5555:E$2)))))</f>
        <v> </v>
      </c>
      <c r="J5556" s="26" t="str">
        <f>IF(OR(E5556="",E5556="!!!",F5556="NEW"),"",COUNTBLANK(OFFSET(A$1,,,SUMPRODUCT(MAX(ROW(E$2:E5556)*(E5556=E$2:E5556)))))-COUNTBLANK(OFFSET(A$1,,,SUMPRODUCT(MAX(ROW(E$1:E5555)*(E2=E$1:E5555))))))</f>
        <v> </v>
      </c>
      <c r="K5556" s="26" t="str">
        <f>IF(OR(E5556="",E5556="!!!",F5556="NEW"),"",INDEX(J$1:J5555,SUMPRODUCT(MAX(ROW(E$1:E5555)*(E5556=E$1:E5555)))))</f>
        <v> </v>
      </c>
      <c r="L5556" s="27"/>
    </row>
    <row r="5557" spans="1:12">
      <c r="A5557" s="20" t="s">
        <v>2265</v>
      </c>
      <c r="B5557" s="21" t="s">
        <v>1040</v>
      </c>
      <c r="C5557" s="21" t="s">
        <v>1041</v>
      </c>
      <c r="D5557" s="21" t="s">
        <v>1007</v>
      </c>
      <c r="E5557" s="22">
        <f>IF(D5557="?OLD","!!!","")</f>
        <v/>
      </c>
      <c r="F5557" s="23" t="str">
        <f>IF(OR(E5557="",E5557="!!!"),"",IF(NOT(ISNA(VLOOKUP(E5557,E$1:E5556,1,FALSE()))),"OLD",IF(AND(E5557&lt;&gt;"",E5557&lt;&gt;"!!!"),"NEW","")))</f>
        <v> </v>
      </c>
      <c r="G5557" s="24" t="str">
        <f>IF(OR(E5557="",E5557="!!!"),"",IF(OR(J5557=0,AND(J5557=1,K5557=1),AND(J5557=1,I5557="SBJ"),AND(J5557=1,I5557=0)),"?IN_FOCUS",IF(J5557&lt;=2,"?ACTIVATED",IF(J5557&lt;&gt;"","?FAMILIAR",IF(F5557="NEW",IF(ISNA(VLOOKUP(E5557,#REF!,1,FALSE())),"?TYPE_IDENTIFIABLE","?REFERENTIAL"),"_")))))</f>
        <v> </v>
      </c>
      <c r="H5557" s="25" t="str">
        <f>IF(J5557&lt;&gt;1,"",IF(I5557="SBJ","CB","?"))</f>
        <v> </v>
      </c>
      <c r="I5557" s="26" t="str">
        <f>IF(OR(E5557="",E5557="!!!",F5557="NEW"),"",INDEX(B5556:B$2,-1+SUMPRODUCT(MAX(ROW(E5556:E$2)*(E5557=E5556:E$2)))))</f>
        <v> </v>
      </c>
      <c r="J5557" s="26" t="str">
        <f>IF(OR(E5557="",E5557="!!!",F5557="NEW"),"",COUNTBLANK(OFFSET(A$1,,,SUMPRODUCT(MAX(ROW(E$2:E5557)*(E5557=E$2:E5557)))))-COUNTBLANK(OFFSET(A$1,,,SUMPRODUCT(MAX(ROW(E$1:E5556)*(E2=E$1:E5556))))))</f>
        <v> </v>
      </c>
      <c r="K5557" s="26" t="str">
        <f>IF(OR(E5557="",E5557="!!!",F5557="NEW"),"",INDEX(J$1:J5556,SUMPRODUCT(MAX(ROW(E$1:E5556)*(E5557=E$1:E5556)))))</f>
        <v> </v>
      </c>
      <c r="L5557" s="27"/>
    </row>
    <row r="5558" spans="1:12">
      <c r="A5558" s="20" t="s">
        <v>2506</v>
      </c>
      <c r="E5558" s="22">
        <f>IF(D5558="?OLD","!!!","")</f>
        <v/>
      </c>
      <c r="F5558" s="23" t="str">
        <f>IF(OR(E5558="",E5558="!!!"),"",IF(NOT(ISNA(VLOOKUP(E5558,E$1:E5557,1,FALSE()))),"OLD",IF(AND(E5558&lt;&gt;"",E5558&lt;&gt;"!!!"),"NEW","")))</f>
        <v> </v>
      </c>
      <c r="G5558" s="24" t="str">
        <f>IF(OR(E5558="",E5558="!!!"),"",IF(OR(J5558=0,AND(J5558=1,K5558=1),AND(J5558=1,I5558="SBJ"),AND(J5558=1,I5558=0)),"?IN_FOCUS",IF(J5558&lt;=2,"?ACTIVATED",IF(J5558&lt;&gt;"","?FAMILIAR",IF(F5558="NEW",IF(ISNA(VLOOKUP(E5558,#REF!,1,FALSE())),"?TYPE_IDENTIFIABLE","?REFERENTIAL"),"_")))))</f>
        <v> </v>
      </c>
      <c r="H5558" s="25" t="str">
        <f>IF(J5558&lt;&gt;1,"",IF(I5558="SBJ","CB","?"))</f>
        <v> </v>
      </c>
      <c r="I5558" s="26" t="str">
        <f>IF(OR(E5558="",E5558="!!!",F5558="NEW"),"",INDEX(B5557:B$2,-1+SUMPRODUCT(MAX(ROW(E5557:E$2)*(E5558=E5557:E$2)))))</f>
        <v> </v>
      </c>
      <c r="J5558" s="26" t="str">
        <f>IF(OR(E5558="",E5558="!!!",F5558="NEW"),"",COUNTBLANK(OFFSET(A$1,,,SUMPRODUCT(MAX(ROW(E$2:E5558)*(E5558=E$2:E5558)))))-COUNTBLANK(OFFSET(A$1,,,SUMPRODUCT(MAX(ROW(E$1:E5557)*(E2=E$1:E5557))))))</f>
        <v> </v>
      </c>
      <c r="K5558" s="26" t="str">
        <f>IF(OR(E5558="",E5558="!!!",F5558="NEW"),"",INDEX(J$1:J5557,SUMPRODUCT(MAX(ROW(E$1:E5557)*(E5558=E$1:E5557)))))</f>
        <v> </v>
      </c>
      <c r="L5558" s="27"/>
    </row>
    <row r="5559" spans="1:12">
      <c r="A5559" s="20" t="s">
        <v>1018</v>
      </c>
      <c r="E5559" s="22">
        <f>IF(D5559="?OLD","!!!","")</f>
        <v/>
      </c>
      <c r="F5559" s="23" t="str">
        <f>IF(OR(E5559="",E5559="!!!"),"",IF(NOT(ISNA(VLOOKUP(E5559,E$1:E5558,1,FALSE()))),"OLD",IF(AND(E5559&lt;&gt;"",E5559&lt;&gt;"!!!"),"NEW","")))</f>
        <v> </v>
      </c>
      <c r="G5559" s="24" t="str">
        <f>IF(OR(E5559="",E5559="!!!"),"",IF(OR(J5559=0,AND(J5559=1,K5559=1),AND(J5559=1,I5559="SBJ"),AND(J5559=1,I5559=0)),"?IN_FOCUS",IF(J5559&lt;=2,"?ACTIVATED",IF(J5559&lt;&gt;"","?FAMILIAR",IF(F5559="NEW",IF(ISNA(VLOOKUP(E5559,#REF!,1,FALSE())),"?TYPE_IDENTIFIABLE","?REFERENTIAL"),"_")))))</f>
        <v> </v>
      </c>
      <c r="H5559" s="25" t="str">
        <f>IF(J5559&lt;&gt;1,"",IF(I5559="SBJ","CB","?"))</f>
        <v> </v>
      </c>
      <c r="I5559" s="26" t="str">
        <f>IF(OR(E5559="",E5559="!!!",F5559="NEW"),"",INDEX(B5558:B$2,-1+SUMPRODUCT(MAX(ROW(E5558:E$2)*(E5559=E5558:E$2)))))</f>
        <v> </v>
      </c>
      <c r="J5559" s="26" t="str">
        <f>IF(OR(E5559="",E5559="!!!",F5559="NEW"),"",COUNTBLANK(OFFSET(A$1,,,SUMPRODUCT(MAX(ROW(E$2:E5559)*(E5559=E$2:E5559)))))-COUNTBLANK(OFFSET(A$1,,,SUMPRODUCT(MAX(ROW(E$1:E5558)*(E2=E$1:E5558))))))</f>
        <v> </v>
      </c>
      <c r="K5559" s="26" t="str">
        <f>IF(OR(E5559="",E5559="!!!",F5559="NEW"),"",INDEX(J$1:J5558,SUMPRODUCT(MAX(ROW(E$1:E5558)*(E5559=E$1:E5558)))))</f>
        <v> </v>
      </c>
      <c r="L5559" s="27"/>
    </row>
    <row r="5560" spans="1:12">
      <c r="A5560" s="20" t="s">
        <v>2414</v>
      </c>
      <c r="E5560" s="22">
        <f>IF(D5560="?OLD","!!!","")</f>
        <v/>
      </c>
      <c r="F5560" s="23" t="str">
        <f>IF(OR(E5560="",E5560="!!!"),"",IF(NOT(ISNA(VLOOKUP(E5560,E$1:E5559,1,FALSE()))),"OLD",IF(AND(E5560&lt;&gt;"",E5560&lt;&gt;"!!!"),"NEW","")))</f>
        <v> </v>
      </c>
      <c r="G5560" s="24" t="str">
        <f>IF(OR(E5560="",E5560="!!!"),"",IF(OR(J5560=0,AND(J5560=1,K5560=1),AND(J5560=1,I5560="SBJ"),AND(J5560=1,I5560=0)),"?IN_FOCUS",IF(J5560&lt;=2,"?ACTIVATED",IF(J5560&lt;&gt;"","?FAMILIAR",IF(F5560="NEW",IF(ISNA(VLOOKUP(E5560,#REF!,1,FALSE())),"?TYPE_IDENTIFIABLE","?REFERENTIAL"),"_")))))</f>
        <v> </v>
      </c>
      <c r="H5560" s="25" t="str">
        <f>IF(J5560&lt;&gt;1,"",IF(I5560="SBJ","CB","?"))</f>
        <v> </v>
      </c>
      <c r="I5560" s="26" t="str">
        <f>IF(OR(E5560="",E5560="!!!",F5560="NEW"),"",INDEX(B5559:B$2,-1+SUMPRODUCT(MAX(ROW(E5559:E$2)*(E5560=E5559:E$2)))))</f>
        <v> </v>
      </c>
      <c r="J5560" s="26" t="str">
        <f>IF(OR(E5560="",E5560="!!!",F5560="NEW"),"",COUNTBLANK(OFFSET(A$1,,,SUMPRODUCT(MAX(ROW(E$2:E5560)*(E5560=E$2:E5560)))))-COUNTBLANK(OFFSET(A$1,,,SUMPRODUCT(MAX(ROW(E$1:E5559)*(E2=E$1:E5559))))))</f>
        <v> </v>
      </c>
      <c r="K5560" s="26" t="str">
        <f>IF(OR(E5560="",E5560="!!!",F5560="NEW"),"",INDEX(J$1:J5559,SUMPRODUCT(MAX(ROW(E$1:E5559)*(E5560=E$1:E5559)))))</f>
        <v> </v>
      </c>
      <c r="L5560" s="27"/>
    </row>
    <row r="5561" spans="1:12">
      <c r="A5561" s="20" t="s">
        <v>2507</v>
      </c>
      <c r="E5561" s="22">
        <f>IF(D5561="?OLD","!!!","")</f>
        <v/>
      </c>
      <c r="F5561" s="23" t="str">
        <f>IF(OR(E5561="",E5561="!!!"),"",IF(NOT(ISNA(VLOOKUP(E5561,E$1:E5560,1,FALSE()))),"OLD",IF(AND(E5561&lt;&gt;"",E5561&lt;&gt;"!!!"),"NEW","")))</f>
        <v> </v>
      </c>
      <c r="G5561" s="24" t="str">
        <f>IF(OR(E5561="",E5561="!!!"),"",IF(OR(J5561=0,AND(J5561=1,K5561=1),AND(J5561=1,I5561="SBJ"),AND(J5561=1,I5561=0)),"?IN_FOCUS",IF(J5561&lt;=2,"?ACTIVATED",IF(J5561&lt;&gt;"","?FAMILIAR",IF(F5561="NEW",IF(ISNA(VLOOKUP(E5561,#REF!,1,FALSE())),"?TYPE_IDENTIFIABLE","?REFERENTIAL"),"_")))))</f>
        <v> </v>
      </c>
      <c r="H5561" s="25" t="str">
        <f>IF(J5561&lt;&gt;1,"",IF(I5561="SBJ","CB","?"))</f>
        <v> </v>
      </c>
      <c r="I5561" s="26" t="str">
        <f>IF(OR(E5561="",E5561="!!!",F5561="NEW"),"",INDEX(B5560:B$2,-1+SUMPRODUCT(MAX(ROW(E5560:E$2)*(E5561=E5560:E$2)))))</f>
        <v> </v>
      </c>
      <c r="J5561" s="26" t="str">
        <f>IF(OR(E5561="",E5561="!!!",F5561="NEW"),"",COUNTBLANK(OFFSET(A$1,,,SUMPRODUCT(MAX(ROW(E$2:E5561)*(E5561=E$2:E5561)))))-COUNTBLANK(OFFSET(A$1,,,SUMPRODUCT(MAX(ROW(E$1:E5560)*(E2=E$1:E5560))))))</f>
        <v> </v>
      </c>
      <c r="K5561" s="26" t="str">
        <f>IF(OR(E5561="",E5561="!!!",F5561="NEW"),"",INDEX(J$1:J5560,SUMPRODUCT(MAX(ROW(E$1:E5560)*(E5561=E$1:E5560)))))</f>
        <v> </v>
      </c>
      <c r="L5561" s="27"/>
    </row>
    <row r="5562" spans="1:12">
      <c r="A5562" s="20" t="s">
        <v>1018</v>
      </c>
      <c r="E5562" s="22">
        <f>IF(D5562="?OLD","!!!","")</f>
        <v/>
      </c>
      <c r="F5562" s="23" t="str">
        <f>IF(OR(E5562="",E5562="!!!"),"",IF(NOT(ISNA(VLOOKUP(E5562,E$1:E5561,1,FALSE()))),"OLD",IF(AND(E5562&lt;&gt;"",E5562&lt;&gt;"!!!"),"NEW","")))</f>
        <v> </v>
      </c>
      <c r="G5562" s="24" t="str">
        <f>IF(OR(E5562="",E5562="!!!"),"",IF(OR(J5562=0,AND(J5562=1,K5562=1),AND(J5562=1,I5562="SBJ"),AND(J5562=1,I5562=0)),"?IN_FOCUS",IF(J5562&lt;=2,"?ACTIVATED",IF(J5562&lt;&gt;"","?FAMILIAR",IF(F5562="NEW",IF(ISNA(VLOOKUP(E5562,#REF!,1,FALSE())),"?TYPE_IDENTIFIABLE","?REFERENTIAL"),"_")))))</f>
        <v> </v>
      </c>
      <c r="H5562" s="25" t="str">
        <f>IF(J5562&lt;&gt;1,"",IF(I5562="SBJ","CB","?"))</f>
        <v> </v>
      </c>
      <c r="I5562" s="26" t="str">
        <f>IF(OR(E5562="",E5562="!!!",F5562="NEW"),"",INDEX(B5561:B$2,-1+SUMPRODUCT(MAX(ROW(E5561:E$2)*(E5562=E5561:E$2)))))</f>
        <v> </v>
      </c>
      <c r="J5562" s="26" t="str">
        <f>IF(OR(E5562="",E5562="!!!",F5562="NEW"),"",COUNTBLANK(OFFSET(A$1,,,SUMPRODUCT(MAX(ROW(E$2:E5562)*(E5562=E$2:E5562)))))-COUNTBLANK(OFFSET(A$1,,,SUMPRODUCT(MAX(ROW(E$1:E5561)*(E2=E$1:E5561))))))</f>
        <v> </v>
      </c>
      <c r="K5562" s="26" t="str">
        <f>IF(OR(E5562="",E5562="!!!",F5562="NEW"),"",INDEX(J$1:J5561,SUMPRODUCT(MAX(ROW(E$1:E5561)*(E5562=E$1:E5561)))))</f>
        <v> </v>
      </c>
      <c r="L5562" s="27"/>
    </row>
    <row r="5563" spans="1:12">
      <c r="A5563" s="20" t="s">
        <v>1141</v>
      </c>
      <c r="E5563" s="22">
        <f>IF(D5563="?OLD","!!!","")</f>
        <v/>
      </c>
      <c r="F5563" s="23" t="str">
        <f>IF(OR(E5563="",E5563="!!!"),"",IF(NOT(ISNA(VLOOKUP(E5563,E$1:E5562,1,FALSE()))),"OLD",IF(AND(E5563&lt;&gt;"",E5563&lt;&gt;"!!!"),"NEW","")))</f>
        <v> </v>
      </c>
      <c r="G5563" s="24" t="str">
        <f>IF(OR(E5563="",E5563="!!!"),"",IF(OR(J5563=0,AND(J5563=1,K5563=1),AND(J5563=1,I5563="SBJ"),AND(J5563=1,I5563=0)),"?IN_FOCUS",IF(J5563&lt;=2,"?ACTIVATED",IF(J5563&lt;&gt;"","?FAMILIAR",IF(F5563="NEW",IF(ISNA(VLOOKUP(E5563,#REF!,1,FALSE())),"?TYPE_IDENTIFIABLE","?REFERENTIAL"),"_")))))</f>
        <v> </v>
      </c>
      <c r="H5563" s="25" t="str">
        <f>IF(J5563&lt;&gt;1,"",IF(I5563="SBJ","CB","?"))</f>
        <v> </v>
      </c>
      <c r="I5563" s="26" t="str">
        <f>IF(OR(E5563="",E5563="!!!",F5563="NEW"),"",INDEX(B5562:B$2,-1+SUMPRODUCT(MAX(ROW(E5562:E$2)*(E5563=E5562:E$2)))))</f>
        <v> </v>
      </c>
      <c r="J5563" s="26" t="str">
        <f>IF(OR(E5563="",E5563="!!!",F5563="NEW"),"",COUNTBLANK(OFFSET(A$1,,,SUMPRODUCT(MAX(ROW(E$2:E5563)*(E5563=E$2:E5563)))))-COUNTBLANK(OFFSET(A$1,,,SUMPRODUCT(MAX(ROW(E$1:E5562)*(E2=E$1:E5562))))))</f>
        <v> </v>
      </c>
      <c r="K5563" s="26" t="str">
        <f>IF(OR(E5563="",E5563="!!!",F5563="NEW"),"",INDEX(J$1:J5562,SUMPRODUCT(MAX(ROW(E$1:E5562)*(E5563=E$1:E5562)))))</f>
        <v> </v>
      </c>
      <c r="L5563" s="27"/>
    </row>
    <row r="5564" spans="1:12">
      <c r="A5564" s="20" t="s">
        <v>1065</v>
      </c>
      <c r="E5564" s="22">
        <f>IF(D5564="?OLD","!!!","")</f>
        <v/>
      </c>
      <c r="F5564" s="23" t="str">
        <f>IF(OR(E5564="",E5564="!!!"),"",IF(NOT(ISNA(VLOOKUP(E5564,E$1:E5563,1,FALSE()))),"OLD",IF(AND(E5564&lt;&gt;"",E5564&lt;&gt;"!!!"),"NEW","")))</f>
        <v> </v>
      </c>
      <c r="G5564" s="24" t="str">
        <f>IF(OR(E5564="",E5564="!!!"),"",IF(OR(J5564=0,AND(J5564=1,K5564=1),AND(J5564=1,I5564="SBJ"),AND(J5564=1,I5564=0)),"?IN_FOCUS",IF(J5564&lt;=2,"?ACTIVATED",IF(J5564&lt;&gt;"","?FAMILIAR",IF(F5564="NEW",IF(ISNA(VLOOKUP(E5564,#REF!,1,FALSE())),"?TYPE_IDENTIFIABLE","?REFERENTIAL"),"_")))))</f>
        <v> </v>
      </c>
      <c r="H5564" s="25" t="str">
        <f>IF(J5564&lt;&gt;1,"",IF(I5564="SBJ","CB","?"))</f>
        <v> </v>
      </c>
      <c r="I5564" s="26" t="str">
        <f>IF(OR(E5564="",E5564="!!!",F5564="NEW"),"",INDEX(B5563:B$2,-1+SUMPRODUCT(MAX(ROW(E5563:E$2)*(E5564=E5563:E$2)))))</f>
        <v> </v>
      </c>
      <c r="J5564" s="26" t="str">
        <f>IF(OR(E5564="",E5564="!!!",F5564="NEW"),"",COUNTBLANK(OFFSET(A$1,,,SUMPRODUCT(MAX(ROW(E$2:E5564)*(E5564=E$2:E5564)))))-COUNTBLANK(OFFSET(A$1,,,SUMPRODUCT(MAX(ROW(E$1:E5563)*(E2=E$1:E5563))))))</f>
        <v> </v>
      </c>
      <c r="K5564" s="26" t="str">
        <f>IF(OR(E5564="",E5564="!!!",F5564="NEW"),"",INDEX(J$1:J5563,SUMPRODUCT(MAX(ROW(E$1:E5563)*(E5564=E$1:E5563)))))</f>
        <v> </v>
      </c>
      <c r="L5564" s="27"/>
    </row>
    <row r="5565" spans="1:12">
      <c r="A5565" s="20" t="s">
        <v>1203</v>
      </c>
      <c r="E5565" s="22">
        <f>IF(D5565="?OLD","!!!","")</f>
        <v/>
      </c>
      <c r="F5565" s="23" t="str">
        <f>IF(OR(E5565="",E5565="!!!"),"",IF(NOT(ISNA(VLOOKUP(E5565,E$1:E5564,1,FALSE()))),"OLD",IF(AND(E5565&lt;&gt;"",E5565&lt;&gt;"!!!"),"NEW","")))</f>
        <v> </v>
      </c>
      <c r="G5565" s="24" t="str">
        <f>IF(OR(E5565="",E5565="!!!"),"",IF(OR(J5565=0,AND(J5565=1,K5565=1),AND(J5565=1,I5565="SBJ"),AND(J5565=1,I5565=0)),"?IN_FOCUS",IF(J5565&lt;=2,"?ACTIVATED",IF(J5565&lt;&gt;"","?FAMILIAR",IF(F5565="NEW",IF(ISNA(VLOOKUP(E5565,#REF!,1,FALSE())),"?TYPE_IDENTIFIABLE","?REFERENTIAL"),"_")))))</f>
        <v> </v>
      </c>
      <c r="H5565" s="25" t="str">
        <f>IF(J5565&lt;&gt;1,"",IF(I5565="SBJ","CB","?"))</f>
        <v> </v>
      </c>
      <c r="I5565" s="26" t="str">
        <f>IF(OR(E5565="",E5565="!!!",F5565="NEW"),"",INDEX(B5564:B$2,-1+SUMPRODUCT(MAX(ROW(E5564:E$2)*(E5565=E5564:E$2)))))</f>
        <v> </v>
      </c>
      <c r="J5565" s="26" t="str">
        <f>IF(OR(E5565="",E5565="!!!",F5565="NEW"),"",COUNTBLANK(OFFSET(A$1,,,SUMPRODUCT(MAX(ROW(E$2:E5565)*(E5565=E$2:E5565)))))-COUNTBLANK(OFFSET(A$1,,,SUMPRODUCT(MAX(ROW(E$1:E5564)*(E2=E$1:E5564))))))</f>
        <v> </v>
      </c>
      <c r="K5565" s="26" t="str">
        <f>IF(OR(E5565="",E5565="!!!",F5565="NEW"),"",INDEX(J$1:J5564,SUMPRODUCT(MAX(ROW(E$1:E5564)*(E5565=E$1:E5564)))))</f>
        <v> </v>
      </c>
      <c r="L5565" s="27"/>
    </row>
    <row r="5566" spans="1:12">
      <c r="A5566" s="20" t="s">
        <v>2508</v>
      </c>
      <c r="B5566" s="21" t="s">
        <v>1064</v>
      </c>
      <c r="C5566" s="21" t="s">
        <v>1086</v>
      </c>
      <c r="E5566" s="22">
        <f>IF(D5566="?OLD","!!!","")</f>
        <v/>
      </c>
      <c r="F5566" s="23" t="str">
        <f>IF(OR(E5566="",E5566="!!!"),"",IF(NOT(ISNA(VLOOKUP(E5566,E$1:E5565,1,FALSE()))),"OLD",IF(AND(E5566&lt;&gt;"",E5566&lt;&gt;"!!!"),"NEW","")))</f>
        <v> </v>
      </c>
      <c r="G5566" s="24" t="str">
        <f>IF(OR(E5566="",E5566="!!!"),"",IF(OR(J5566=0,AND(J5566=1,K5566=1),AND(J5566=1,I5566="SBJ"),AND(J5566=1,I5566=0)),"?IN_FOCUS",IF(J5566&lt;=2,"?ACTIVATED",IF(J5566&lt;&gt;"","?FAMILIAR",IF(F5566="NEW",IF(ISNA(VLOOKUP(E5566,#REF!,1,FALSE())),"?TYPE_IDENTIFIABLE","?REFERENTIAL"),"_")))))</f>
        <v> </v>
      </c>
      <c r="H5566" s="25" t="str">
        <f>IF(J5566&lt;&gt;1,"",IF(I5566="SBJ","CB","?"))</f>
        <v> </v>
      </c>
      <c r="I5566" s="26" t="str">
        <f>IF(OR(E5566="",E5566="!!!",F5566="NEW"),"",INDEX(B5565:B$2,-1+SUMPRODUCT(MAX(ROW(E5565:E$2)*(E5566=E5565:E$2)))))</f>
        <v> </v>
      </c>
      <c r="J5566" s="26" t="str">
        <f>IF(OR(E5566="",E5566="!!!",F5566="NEW"),"",COUNTBLANK(OFFSET(A$1,,,SUMPRODUCT(MAX(ROW(E$2:E5566)*(E5566=E$2:E5566)))))-COUNTBLANK(OFFSET(A$1,,,SUMPRODUCT(MAX(ROW(E$1:E5565)*(E2=E$1:E5565))))))</f>
        <v> </v>
      </c>
      <c r="K5566" s="26" t="str">
        <f>IF(OR(E5566="",E5566="!!!",F5566="NEW"),"",INDEX(J$1:J5565,SUMPRODUCT(MAX(ROW(E$1:E5565)*(E5566=E$1:E5565)))))</f>
        <v> </v>
      </c>
      <c r="L5566" s="27"/>
    </row>
    <row r="5567" spans="1:12">
      <c r="A5567" s="20" t="s">
        <v>1014</v>
      </c>
      <c r="E5567" s="22">
        <f>IF(D5567="?OLD","!!!","")</f>
        <v/>
      </c>
      <c r="F5567" s="23" t="str">
        <f>IF(OR(E5567="",E5567="!!!"),"",IF(NOT(ISNA(VLOOKUP(E5567,E$1:E5566,1,FALSE()))),"OLD",IF(AND(E5567&lt;&gt;"",E5567&lt;&gt;"!!!"),"NEW","")))</f>
        <v> </v>
      </c>
      <c r="G5567" s="24" t="str">
        <f>IF(OR(E5567="",E5567="!!!"),"",IF(OR(J5567=0,AND(J5567=1,K5567=1),AND(J5567=1,I5567="SBJ"),AND(J5567=1,I5567=0)),"?IN_FOCUS",IF(J5567&lt;=2,"?ACTIVATED",IF(J5567&lt;&gt;"","?FAMILIAR",IF(F5567="NEW",IF(ISNA(VLOOKUP(E5567,#REF!,1,FALSE())),"?TYPE_IDENTIFIABLE","?REFERENTIAL"),"_")))))</f>
        <v> </v>
      </c>
      <c r="H5567" s="25" t="str">
        <f>IF(J5567&lt;&gt;1,"",IF(I5567="SBJ","CB","?"))</f>
        <v> </v>
      </c>
      <c r="I5567" s="26" t="str">
        <f>IF(OR(E5567="",E5567="!!!",F5567="NEW"),"",INDEX(B5566:B$2,-1+SUMPRODUCT(MAX(ROW(E5566:E$2)*(E5567=E5566:E$2)))))</f>
        <v> </v>
      </c>
      <c r="J5567" s="26" t="str">
        <f>IF(OR(E5567="",E5567="!!!",F5567="NEW"),"",COUNTBLANK(OFFSET(A$1,,,SUMPRODUCT(MAX(ROW(E$2:E5567)*(E5567=E$2:E5567)))))-COUNTBLANK(OFFSET(A$1,,,SUMPRODUCT(MAX(ROW(E$1:E5566)*(E2=E$1:E5566))))))</f>
        <v> </v>
      </c>
      <c r="K5567" s="26" t="str">
        <f>IF(OR(E5567="",E5567="!!!",F5567="NEW"),"",INDEX(J$1:J5566,SUMPRODUCT(MAX(ROW(E$1:E5566)*(E5567=E$1:E5566)))))</f>
        <v> </v>
      </c>
      <c r="L5567" s="27"/>
    </row>
    <row r="5568" spans="1:12">
      <c r="A5568" s="20" t="s">
        <v>2509</v>
      </c>
      <c r="E5568" s="22">
        <f>IF(D5568="?OLD","!!!","")</f>
        <v/>
      </c>
      <c r="F5568" s="23" t="str">
        <f>IF(OR(E5568="",E5568="!!!"),"",IF(NOT(ISNA(VLOOKUP(E5568,E$1:E5567,1,FALSE()))),"OLD",IF(AND(E5568&lt;&gt;"",E5568&lt;&gt;"!!!"),"NEW","")))</f>
        <v> </v>
      </c>
      <c r="G5568" s="24" t="str">
        <f>IF(OR(E5568="",E5568="!!!"),"",IF(OR(J5568=0,AND(J5568=1,K5568=1),AND(J5568=1,I5568="SBJ"),AND(J5568=1,I5568=0)),"?IN_FOCUS",IF(J5568&lt;=2,"?ACTIVATED",IF(J5568&lt;&gt;"","?FAMILIAR",IF(F5568="NEW",IF(ISNA(VLOOKUP(E5568,#REF!,1,FALSE())),"?TYPE_IDENTIFIABLE","?REFERENTIAL"),"_")))))</f>
        <v> </v>
      </c>
      <c r="H5568" s="25" t="str">
        <f>IF(J5568&lt;&gt;1,"",IF(I5568="SBJ","CB","?"))</f>
        <v> </v>
      </c>
      <c r="I5568" s="26" t="str">
        <f>IF(OR(E5568="",E5568="!!!",F5568="NEW"),"",INDEX(B5567:B$2,-1+SUMPRODUCT(MAX(ROW(E5567:E$2)*(E5568=E5567:E$2)))))</f>
        <v> </v>
      </c>
      <c r="J5568" s="26" t="str">
        <f>IF(OR(E5568="",E5568="!!!",F5568="NEW"),"",COUNTBLANK(OFFSET(A$1,,,SUMPRODUCT(MAX(ROW(E$2:E5568)*(E5568=E$2:E5568)))))-COUNTBLANK(OFFSET(A$1,,,SUMPRODUCT(MAX(ROW(E$1:E5567)*(E2=E$1:E5567))))))</f>
        <v> </v>
      </c>
      <c r="K5568" s="26" t="str">
        <f>IF(OR(E5568="",E5568="!!!",F5568="NEW"),"",INDEX(J$1:J5567,SUMPRODUCT(MAX(ROW(E$1:E5567)*(E5568=E$1:E5567)))))</f>
        <v> </v>
      </c>
      <c r="L5568" s="27"/>
    </row>
    <row r="5569" spans="1:12">
      <c r="A5569" s="20" t="s">
        <v>1030</v>
      </c>
      <c r="E5569" s="22">
        <f>IF(D5569="?OLD","!!!","")</f>
        <v/>
      </c>
      <c r="F5569" s="23" t="str">
        <f>IF(OR(E5569="",E5569="!!!"),"",IF(NOT(ISNA(VLOOKUP(E5569,E$1:E5568,1,FALSE()))),"OLD",IF(AND(E5569&lt;&gt;"",E5569&lt;&gt;"!!!"),"NEW","")))</f>
        <v> </v>
      </c>
      <c r="G5569" s="24" t="str">
        <f>IF(OR(E5569="",E5569="!!!"),"",IF(OR(J5569=0,AND(J5569=1,K5569=1),AND(J5569=1,I5569="SBJ"),AND(J5569=1,I5569=0)),"?IN_FOCUS",IF(J5569&lt;=2,"?ACTIVATED",IF(J5569&lt;&gt;"","?FAMILIAR",IF(F5569="NEW",IF(ISNA(VLOOKUP(E5569,#REF!,1,FALSE())),"?TYPE_IDENTIFIABLE","?REFERENTIAL"),"_")))))</f>
        <v> </v>
      </c>
      <c r="H5569" s="25" t="str">
        <f>IF(J5569&lt;&gt;1,"",IF(I5569="SBJ","CB","?"))</f>
        <v> </v>
      </c>
      <c r="I5569" s="26" t="str">
        <f>IF(OR(E5569="",E5569="!!!",F5569="NEW"),"",INDEX(B5568:B$2,-1+SUMPRODUCT(MAX(ROW(E5568:E$2)*(E5569=E5568:E$2)))))</f>
        <v> </v>
      </c>
      <c r="J5569" s="26" t="str">
        <f>IF(OR(E5569="",E5569="!!!",F5569="NEW"),"",COUNTBLANK(OFFSET(A$1,,,SUMPRODUCT(MAX(ROW(E$2:E5569)*(E5569=E$2:E5569)))))-COUNTBLANK(OFFSET(A$1,,,SUMPRODUCT(MAX(ROW(E$1:E5568)*(E2=E$1:E5568))))))</f>
        <v> </v>
      </c>
      <c r="K5569" s="26" t="str">
        <f>IF(OR(E5569="",E5569="!!!",F5569="NEW"),"",INDEX(J$1:J5568,SUMPRODUCT(MAX(ROW(E$1:E5568)*(E5569=E$1:E5568)))))</f>
        <v> </v>
      </c>
      <c r="L5569" s="27"/>
    </row>
    <row r="5570" spans="1:12">
      <c r="A5570" s="20" t="s">
        <v>102</v>
      </c>
      <c r="E5570" s="22">
        <f>IF(D5570="?OLD","!!!","")</f>
        <v/>
      </c>
      <c r="F5570" s="23" t="str">
        <f>IF(OR(E5570="",E5570="!!!"),"",IF(NOT(ISNA(VLOOKUP(E5570,E$1:E5569,1,FALSE()))),"OLD",IF(AND(E5570&lt;&gt;"",E5570&lt;&gt;"!!!"),"NEW","")))</f>
        <v> </v>
      </c>
      <c r="G5570" s="24" t="str">
        <f>IF(OR(E5570="",E5570="!!!"),"",IF(OR(J5570=0,AND(J5570=1,K5570=1),AND(J5570=1,I5570="SBJ"),AND(J5570=1,I5570=0)),"?IN_FOCUS",IF(J5570&lt;=2,"?ACTIVATED",IF(J5570&lt;&gt;"","?FAMILIAR",IF(F5570="NEW",IF(ISNA(VLOOKUP(E5570,#REF!,1,FALSE())),"?TYPE_IDENTIFIABLE","?REFERENTIAL"),"_")))))</f>
        <v> </v>
      </c>
      <c r="H5570" s="25" t="str">
        <f>IF(J5570&lt;&gt;1,"",IF(I5570="SBJ","CB","?"))</f>
        <v> </v>
      </c>
      <c r="I5570" s="26" t="str">
        <f>IF(OR(E5570="",E5570="!!!",F5570="NEW"),"",INDEX(B5569:B$2,-1+SUMPRODUCT(MAX(ROW(E5569:E$2)*(E5570=E5569:E$2)))))</f>
        <v> </v>
      </c>
      <c r="J5570" s="26" t="str">
        <f>IF(OR(E5570="",E5570="!!!",F5570="NEW"),"",COUNTBLANK(OFFSET(A$1,,,SUMPRODUCT(MAX(ROW(E$2:E5570)*(E5570=E$2:E5570)))))-COUNTBLANK(OFFSET(A$1,,,SUMPRODUCT(MAX(ROW(E$1:E5569)*(E2=E$1:E5569))))))</f>
        <v> </v>
      </c>
      <c r="K5570" s="26" t="str">
        <f>IF(OR(E5570="",E5570="!!!",F5570="NEW"),"",INDEX(J$1:J5569,SUMPRODUCT(MAX(ROW(E$1:E5569)*(E5570=E$1:E5569)))))</f>
        <v> </v>
      </c>
      <c r="L5570" s="27"/>
    </row>
    <row r="5571" spans="1:12">
      <c r="A5571" s="20" t="s">
        <v>1801</v>
      </c>
      <c r="B5571" s="21" t="s">
        <v>1035</v>
      </c>
      <c r="C5571" s="21" t="s">
        <v>1017</v>
      </c>
      <c r="D5571" s="21" t="s">
        <v>1007</v>
      </c>
      <c r="E5571" s="22">
        <f>IF(D5571="?OLD","!!!","")</f>
        <v/>
      </c>
      <c r="F5571" s="23" t="str">
        <f>IF(OR(E5571="",E5571="!!!"),"",IF(NOT(ISNA(VLOOKUP(E5571,E$1:E5570,1,FALSE()))),"OLD",IF(AND(E5571&lt;&gt;"",E5571&lt;&gt;"!!!"),"NEW","")))</f>
        <v> </v>
      </c>
      <c r="G5571" s="24" t="str">
        <f>IF(OR(E5571="",E5571="!!!"),"",IF(OR(J5571=0,AND(J5571=1,K5571=1),AND(J5571=1,I5571="SBJ"),AND(J5571=1,I5571=0)),"?IN_FOCUS",IF(J5571&lt;=2,"?ACTIVATED",IF(J5571&lt;&gt;"","?FAMILIAR",IF(F5571="NEW",IF(ISNA(VLOOKUP(E5571,#REF!,1,FALSE())),"?TYPE_IDENTIFIABLE","?REFERENTIAL"),"_")))))</f>
        <v> </v>
      </c>
      <c r="H5571" s="25" t="str">
        <f>IF(J5571&lt;&gt;1,"",IF(I5571="SBJ","CB","?"))</f>
        <v> </v>
      </c>
      <c r="I5571" s="26" t="str">
        <f>IF(OR(E5571="",E5571="!!!",F5571="NEW"),"",INDEX(B5570:B$2,-1+SUMPRODUCT(MAX(ROW(E5570:E$2)*(E5571=E5570:E$2)))))</f>
        <v> </v>
      </c>
      <c r="J5571" s="26" t="str">
        <f>IF(OR(E5571="",E5571="!!!",F5571="NEW"),"",COUNTBLANK(OFFSET(A$1,,,SUMPRODUCT(MAX(ROW(E$2:E5571)*(E5571=E$2:E5571)))))-COUNTBLANK(OFFSET(A$1,,,SUMPRODUCT(MAX(ROW(E$1:E5570)*(E2=E$1:E5570))))))</f>
        <v> </v>
      </c>
      <c r="K5571" s="26" t="str">
        <f>IF(OR(E5571="",E5571="!!!",F5571="NEW"),"",INDEX(J$1:J5570,SUMPRODUCT(MAX(ROW(E$1:E5570)*(E5571=E$1:E5570)))))</f>
        <v> </v>
      </c>
      <c r="L5571" s="27"/>
    </row>
    <row r="5572" spans="1:12">
      <c r="A5572" s="20" t="s">
        <v>1014</v>
      </c>
      <c r="E5572" s="22">
        <f>IF(D5572="?OLD","!!!","")</f>
        <v/>
      </c>
      <c r="F5572" s="23" t="str">
        <f>IF(OR(E5572="",E5572="!!!"),"",IF(NOT(ISNA(VLOOKUP(E5572,E$1:E5571,1,FALSE()))),"OLD",IF(AND(E5572&lt;&gt;"",E5572&lt;&gt;"!!!"),"NEW","")))</f>
        <v> </v>
      </c>
      <c r="G5572" s="24" t="str">
        <f>IF(OR(E5572="",E5572="!!!"),"",IF(OR(J5572=0,AND(J5572=1,K5572=1),AND(J5572=1,I5572="SBJ"),AND(J5572=1,I5572=0)),"?IN_FOCUS",IF(J5572&lt;=2,"?ACTIVATED",IF(J5572&lt;&gt;"","?FAMILIAR",IF(F5572="NEW",IF(ISNA(VLOOKUP(E5572,#REF!,1,FALSE())),"?TYPE_IDENTIFIABLE","?REFERENTIAL"),"_")))))</f>
        <v> </v>
      </c>
      <c r="H5572" s="25" t="str">
        <f>IF(J5572&lt;&gt;1,"",IF(I5572="SBJ","CB","?"))</f>
        <v> </v>
      </c>
      <c r="I5572" s="26" t="str">
        <f>IF(OR(E5572="",E5572="!!!",F5572="NEW"),"",INDEX(B5571:B$2,-1+SUMPRODUCT(MAX(ROW(E5571:E$2)*(E5572=E5571:E$2)))))</f>
        <v> </v>
      </c>
      <c r="J5572" s="26" t="str">
        <f>IF(OR(E5572="",E5572="!!!",F5572="NEW"),"",COUNTBLANK(OFFSET(A$1,,,SUMPRODUCT(MAX(ROW(E$2:E5572)*(E5572=E$2:E5572)))))-COUNTBLANK(OFFSET(A$1,,,SUMPRODUCT(MAX(ROW(E$1:E5571)*(E2=E$1:E5571))))))</f>
        <v> </v>
      </c>
      <c r="K5572" s="26" t="str">
        <f>IF(OR(E5572="",E5572="!!!",F5572="NEW"),"",INDEX(J$1:J5571,SUMPRODUCT(MAX(ROW(E$1:E5571)*(E5572=E$1:E5571)))))</f>
        <v> </v>
      </c>
      <c r="L5572" s="27"/>
    </row>
    <row r="5573" spans="1:12">
      <c r="A5573" s="20" t="s">
        <v>1056</v>
      </c>
      <c r="B5573" s="21" t="s">
        <v>1067</v>
      </c>
      <c r="E5573" s="22">
        <f>IF(D5573="?OLD","!!!","")</f>
        <v/>
      </c>
      <c r="F5573" s="23" t="str">
        <f>IF(OR(E5573="",E5573="!!!"),"",IF(NOT(ISNA(VLOOKUP(E5573,E$1:E5572,1,FALSE()))),"OLD",IF(AND(E5573&lt;&gt;"",E5573&lt;&gt;"!!!"),"NEW","")))</f>
        <v> </v>
      </c>
      <c r="G5573" s="24" t="str">
        <f>IF(OR(E5573="",E5573="!!!"),"",IF(OR(J5573=0,AND(J5573=1,K5573=1),AND(J5573=1,I5573="SBJ"),AND(J5573=1,I5573=0)),"?IN_FOCUS",IF(J5573&lt;=2,"?ACTIVATED",IF(J5573&lt;&gt;"","?FAMILIAR",IF(F5573="NEW",IF(ISNA(VLOOKUP(E5573,#REF!,1,FALSE())),"?TYPE_IDENTIFIABLE","?REFERENTIAL"),"_")))))</f>
        <v> </v>
      </c>
      <c r="H5573" s="25" t="str">
        <f>IF(J5573&lt;&gt;1,"",IF(I5573="SBJ","CB","?"))</f>
        <v> </v>
      </c>
      <c r="I5573" s="26" t="str">
        <f>IF(OR(E5573="",E5573="!!!",F5573="NEW"),"",INDEX(B5572:B$2,-1+SUMPRODUCT(MAX(ROW(E5572:E$2)*(E5573=E5572:E$2)))))</f>
        <v> </v>
      </c>
      <c r="J5573" s="26" t="str">
        <f>IF(OR(E5573="",E5573="!!!",F5573="NEW"),"",COUNTBLANK(OFFSET(A$1,,,SUMPRODUCT(MAX(ROW(E$2:E5573)*(E5573=E$2:E5573)))))-COUNTBLANK(OFFSET(A$1,,,SUMPRODUCT(MAX(ROW(E$1:E5572)*(E2=E$1:E5572))))))</f>
        <v> </v>
      </c>
      <c r="K5573" s="26" t="str">
        <f>IF(OR(E5573="",E5573="!!!",F5573="NEW"),"",INDEX(J$1:J5572,SUMPRODUCT(MAX(ROW(E$1:E5572)*(E5573=E$1:E5572)))))</f>
        <v> </v>
      </c>
      <c r="L5573" s="27"/>
    </row>
    <row r="5574" spans="1:12">
      <c r="A5574" s="20" t="s">
        <v>1014</v>
      </c>
      <c r="E5574" s="22">
        <f>IF(D5574="?OLD","!!!","")</f>
        <v/>
      </c>
      <c r="F5574" s="23" t="str">
        <f>IF(OR(E5574="",E5574="!!!"),"",IF(NOT(ISNA(VLOOKUP(E5574,E$1:E5573,1,FALSE()))),"OLD",IF(AND(E5574&lt;&gt;"",E5574&lt;&gt;"!!!"),"NEW","")))</f>
        <v> </v>
      </c>
      <c r="G5574" s="24" t="str">
        <f>IF(OR(E5574="",E5574="!!!"),"",IF(OR(J5574=0,AND(J5574=1,K5574=1),AND(J5574=1,I5574="SBJ"),AND(J5574=1,I5574=0)),"?IN_FOCUS",IF(J5574&lt;=2,"?ACTIVATED",IF(J5574&lt;&gt;"","?FAMILIAR",IF(F5574="NEW",IF(ISNA(VLOOKUP(E5574,#REF!,1,FALSE())),"?TYPE_IDENTIFIABLE","?REFERENTIAL"),"_")))))</f>
        <v> </v>
      </c>
      <c r="H5574" s="25" t="str">
        <f>IF(J5574&lt;&gt;1,"",IF(I5574="SBJ","CB","?"))</f>
        <v> </v>
      </c>
      <c r="I5574" s="26" t="str">
        <f>IF(OR(E5574="",E5574="!!!",F5574="NEW"),"",INDEX(B5573:B$2,-1+SUMPRODUCT(MAX(ROW(E5573:E$2)*(E5574=E5573:E$2)))))</f>
        <v> </v>
      </c>
      <c r="J5574" s="26" t="str">
        <f>IF(OR(E5574="",E5574="!!!",F5574="NEW"),"",COUNTBLANK(OFFSET(A$1,,,SUMPRODUCT(MAX(ROW(E$2:E5574)*(E5574=E$2:E5574)))))-COUNTBLANK(OFFSET(A$1,,,SUMPRODUCT(MAX(ROW(E$1:E5573)*(E2=E$1:E5573))))))</f>
        <v> </v>
      </c>
      <c r="K5574" s="26" t="str">
        <f>IF(OR(E5574="",E5574="!!!",F5574="NEW"),"",INDEX(J$1:J5573,SUMPRODUCT(MAX(ROW(E$1:E5573)*(E5574=E$1:E5573)))))</f>
        <v> </v>
      </c>
      <c r="L5574" s="27"/>
    </row>
    <row r="5575" spans="1:12">
      <c r="A5575" s="20" t="s">
        <v>1015</v>
      </c>
      <c r="E5575" s="22">
        <f>IF(D5575="?OLD","!!!","")</f>
        <v/>
      </c>
      <c r="F5575" s="23" t="str">
        <f>IF(OR(E5575="",E5575="!!!"),"",IF(NOT(ISNA(VLOOKUP(E5575,E$1:E5574,1,FALSE()))),"OLD",IF(AND(E5575&lt;&gt;"",E5575&lt;&gt;"!!!"),"NEW","")))</f>
        <v> </v>
      </c>
      <c r="G5575" s="24" t="str">
        <f>IF(OR(E5575="",E5575="!!!"),"",IF(OR(J5575=0,AND(J5575=1,K5575=1),AND(J5575=1,I5575="SBJ"),AND(J5575=1,I5575=0)),"?IN_FOCUS",IF(J5575&lt;=2,"?ACTIVATED",IF(J5575&lt;&gt;"","?FAMILIAR",IF(F5575="NEW",IF(ISNA(VLOOKUP(E5575,#REF!,1,FALSE())),"?TYPE_IDENTIFIABLE","?REFERENTIAL"),"_")))))</f>
        <v> </v>
      </c>
      <c r="H5575" s="25" t="str">
        <f>IF(J5575&lt;&gt;1,"",IF(I5575="SBJ","CB","?"))</f>
        <v> </v>
      </c>
      <c r="I5575" s="26" t="str">
        <f>IF(OR(E5575="",E5575="!!!",F5575="NEW"),"",INDEX(B5574:B$2,-1+SUMPRODUCT(MAX(ROW(E5574:E$2)*(E5575=E5574:E$2)))))</f>
        <v> </v>
      </c>
      <c r="J5575" s="26" t="str">
        <f>IF(OR(E5575="",E5575="!!!",F5575="NEW"),"",COUNTBLANK(OFFSET(A$1,,,SUMPRODUCT(MAX(ROW(E$2:E5575)*(E5575=E$2:E5575)))))-COUNTBLANK(OFFSET(A$1,,,SUMPRODUCT(MAX(ROW(E$1:E5574)*(E2=E$1:E5574))))))</f>
        <v> </v>
      </c>
      <c r="K5575" s="26" t="str">
        <f>IF(OR(E5575="",E5575="!!!",F5575="NEW"),"",INDEX(J$1:J5574,SUMPRODUCT(MAX(ROW(E$1:E5574)*(E5575=E$1:E5574)))))</f>
        <v> </v>
      </c>
      <c r="L5575" s="27"/>
    </row>
    <row r="5576" spans="1:12">
      <c r="A5576" s="20" t="s">
        <v>2510</v>
      </c>
      <c r="B5576" s="21" t="s">
        <v>1042</v>
      </c>
      <c r="C5576" s="21" t="s">
        <v>1013</v>
      </c>
      <c r="D5576" s="21" t="s">
        <v>1007</v>
      </c>
      <c r="E5576" s="22">
        <f>IF(D5576="?OLD","!!!","")</f>
        <v/>
      </c>
      <c r="F5576" s="23" t="str">
        <f>IF(OR(E5576="",E5576="!!!"),"",IF(NOT(ISNA(VLOOKUP(E5576,E$1:E5575,1,FALSE()))),"OLD",IF(AND(E5576&lt;&gt;"",E5576&lt;&gt;"!!!"),"NEW","")))</f>
        <v> </v>
      </c>
      <c r="G5576" s="24" t="str">
        <f>IF(OR(E5576="",E5576="!!!"),"",IF(OR(J5576=0,AND(J5576=1,K5576=1),AND(J5576=1,I5576="SBJ"),AND(J5576=1,I5576=0)),"?IN_FOCUS",IF(J5576&lt;=2,"?ACTIVATED",IF(J5576&lt;&gt;"","?FAMILIAR",IF(F5576="NEW",IF(ISNA(VLOOKUP(E5576,#REF!,1,FALSE())),"?TYPE_IDENTIFIABLE","?REFERENTIAL"),"_")))))</f>
        <v> </v>
      </c>
      <c r="H5576" s="25" t="str">
        <f>IF(J5576&lt;&gt;1,"",IF(I5576="SBJ","CB","?"))</f>
        <v> </v>
      </c>
      <c r="I5576" s="26" t="str">
        <f>IF(OR(E5576="",E5576="!!!",F5576="NEW"),"",INDEX(B5575:B$2,-1+SUMPRODUCT(MAX(ROW(E5575:E$2)*(E5576=E5575:E$2)))))</f>
        <v> </v>
      </c>
      <c r="J5576" s="26" t="str">
        <f>IF(OR(E5576="",E5576="!!!",F5576="NEW"),"",COUNTBLANK(OFFSET(A$1,,,SUMPRODUCT(MAX(ROW(E$2:E5576)*(E5576=E$2:E5576)))))-COUNTBLANK(OFFSET(A$1,,,SUMPRODUCT(MAX(ROW(E$1:E5575)*(E2=E$1:E5575))))))</f>
        <v> </v>
      </c>
      <c r="K5576" s="26" t="str">
        <f>IF(OR(E5576="",E5576="!!!",F5576="NEW"),"",INDEX(J$1:J5575,SUMPRODUCT(MAX(ROW(E$1:E5575)*(E5576=E$1:E5575)))))</f>
        <v> </v>
      </c>
      <c r="L5576" s="27"/>
    </row>
    <row r="5577" spans="1:12">
      <c r="A5577" s="20" t="s">
        <v>1014</v>
      </c>
      <c r="E5577" s="22">
        <f>IF(D5577="?OLD","!!!","")</f>
        <v/>
      </c>
      <c r="F5577" s="23" t="str">
        <f>IF(OR(E5577="",E5577="!!!"),"",IF(NOT(ISNA(VLOOKUP(E5577,E$1:E5576,1,FALSE()))),"OLD",IF(AND(E5577&lt;&gt;"",E5577&lt;&gt;"!!!"),"NEW","")))</f>
        <v> </v>
      </c>
      <c r="G5577" s="24" t="str">
        <f>IF(OR(E5577="",E5577="!!!"),"",IF(OR(J5577=0,AND(J5577=1,K5577=1),AND(J5577=1,I5577="SBJ"),AND(J5577=1,I5577=0)),"?IN_FOCUS",IF(J5577&lt;=2,"?ACTIVATED",IF(J5577&lt;&gt;"","?FAMILIAR",IF(F5577="NEW",IF(ISNA(VLOOKUP(E5577,#REF!,1,FALSE())),"?TYPE_IDENTIFIABLE","?REFERENTIAL"),"_")))))</f>
        <v> </v>
      </c>
      <c r="H5577" s="25" t="str">
        <f>IF(J5577&lt;&gt;1,"",IF(I5577="SBJ","CB","?"))</f>
        <v> </v>
      </c>
      <c r="I5577" s="26" t="str">
        <f>IF(OR(E5577="",E5577="!!!",F5577="NEW"),"",INDEX(B5576:B$2,-1+SUMPRODUCT(MAX(ROW(E5576:E$2)*(E5577=E5576:E$2)))))</f>
        <v> </v>
      </c>
      <c r="J5577" s="26" t="str">
        <f>IF(OR(E5577="",E5577="!!!",F5577="NEW"),"",COUNTBLANK(OFFSET(A$1,,,SUMPRODUCT(MAX(ROW(E$2:E5577)*(E5577=E$2:E5577)))))-COUNTBLANK(OFFSET(A$1,,,SUMPRODUCT(MAX(ROW(E$1:E5576)*(E2=E$1:E5576))))))</f>
        <v> </v>
      </c>
      <c r="K5577" s="26" t="str">
        <f>IF(OR(E5577="",E5577="!!!",F5577="NEW"),"",INDEX(J$1:J5576,SUMPRODUCT(MAX(ROW(E$1:E5576)*(E5577=E$1:E5576)))))</f>
        <v> </v>
      </c>
      <c r="L5577" s="27"/>
    </row>
    <row r="5578" spans="1:12">
      <c r="A5578" s="20" t="s">
        <v>1020</v>
      </c>
      <c r="E5578" s="22">
        <f>IF(D5578="?OLD","!!!","")</f>
        <v/>
      </c>
      <c r="F5578" s="23" t="str">
        <f>IF(OR(E5578="",E5578="!!!"),"",IF(NOT(ISNA(VLOOKUP(E5578,E$1:E5577,1,FALSE()))),"OLD",IF(AND(E5578&lt;&gt;"",E5578&lt;&gt;"!!!"),"NEW","")))</f>
        <v> </v>
      </c>
      <c r="G5578" s="24" t="str">
        <f>IF(OR(E5578="",E5578="!!!"),"",IF(OR(J5578=0,AND(J5578=1,K5578=1),AND(J5578=1,I5578="SBJ"),AND(J5578=1,I5578=0)),"?IN_FOCUS",IF(J5578&lt;=2,"?ACTIVATED",IF(J5578&lt;&gt;"","?FAMILIAR",IF(F5578="NEW",IF(ISNA(VLOOKUP(E5578,#REF!,1,FALSE())),"?TYPE_IDENTIFIABLE","?REFERENTIAL"),"_")))))</f>
        <v> </v>
      </c>
      <c r="H5578" s="25" t="str">
        <f>IF(J5578&lt;&gt;1,"",IF(I5578="SBJ","CB","?"))</f>
        <v> </v>
      </c>
      <c r="I5578" s="26" t="str">
        <f>IF(OR(E5578="",E5578="!!!",F5578="NEW"),"",INDEX(B5577:B$2,-1+SUMPRODUCT(MAX(ROW(E5577:E$2)*(E5578=E5577:E$2)))))</f>
        <v> </v>
      </c>
      <c r="J5578" s="26" t="str">
        <f>IF(OR(E5578="",E5578="!!!",F5578="NEW"),"",COUNTBLANK(OFFSET(A$1,,,SUMPRODUCT(MAX(ROW(E$2:E5578)*(E5578=E$2:E5578)))))-COUNTBLANK(OFFSET(A$1,,,SUMPRODUCT(MAX(ROW(E$1:E5577)*(E2=E$1:E5577))))))</f>
        <v> </v>
      </c>
      <c r="K5578" s="26" t="str">
        <f>IF(OR(E5578="",E5578="!!!",F5578="NEW"),"",INDEX(J$1:J5577,SUMPRODUCT(MAX(ROW(E$1:E5577)*(E5578=E$1:E5577)))))</f>
        <v> </v>
      </c>
      <c r="L5578" s="27"/>
    </row>
    <row r="5579" spans="1:12">
      <c r="A5579" s="20" t="s">
        <v>1021</v>
      </c>
      <c r="B5579" s="21" t="s">
        <v>1044</v>
      </c>
      <c r="C5579" s="21" t="s">
        <v>1006</v>
      </c>
      <c r="D5579" s="21" t="s">
        <v>1007</v>
      </c>
      <c r="E5579" s="22">
        <f>IF(D5579="?OLD","!!!","")</f>
        <v/>
      </c>
      <c r="F5579" s="23" t="str">
        <f>IF(OR(E5579="",E5579="!!!"),"",IF(NOT(ISNA(VLOOKUP(E5579,E$1:E5578,1,FALSE()))),"OLD",IF(AND(E5579&lt;&gt;"",E5579&lt;&gt;"!!!"),"NEW","")))</f>
        <v> </v>
      </c>
      <c r="G5579" s="24" t="str">
        <f>IF(OR(E5579="",E5579="!!!"),"",IF(OR(J5579=0,AND(J5579=1,K5579=1),AND(J5579=1,I5579="SBJ"),AND(J5579=1,I5579=0)),"?IN_FOCUS",IF(J5579&lt;=2,"?ACTIVATED",IF(J5579&lt;&gt;"","?FAMILIAR",IF(F5579="NEW",IF(ISNA(VLOOKUP(E5579,#REF!,1,FALSE())),"?TYPE_IDENTIFIABLE","?REFERENTIAL"),"_")))))</f>
        <v> </v>
      </c>
      <c r="H5579" s="25" t="str">
        <f>IF(J5579&lt;&gt;1,"",IF(I5579="SBJ","CB","?"))</f>
        <v> </v>
      </c>
      <c r="I5579" s="26" t="str">
        <f>IF(OR(E5579="",E5579="!!!",F5579="NEW"),"",INDEX(B5578:B$2,-1+SUMPRODUCT(MAX(ROW(E5578:E$2)*(E5579=E5578:E$2)))))</f>
        <v> </v>
      </c>
      <c r="J5579" s="26" t="str">
        <f>IF(OR(E5579="",E5579="!!!",F5579="NEW"),"",COUNTBLANK(OFFSET(A$1,,,SUMPRODUCT(MAX(ROW(E$2:E5579)*(E5579=E$2:E5579)))))-COUNTBLANK(OFFSET(A$1,,,SUMPRODUCT(MAX(ROW(E$1:E5578)*(E2=E$1:E5578))))))</f>
        <v> </v>
      </c>
      <c r="K5579" s="26" t="str">
        <f>IF(OR(E5579="",E5579="!!!",F5579="NEW"),"",INDEX(J$1:J5578,SUMPRODUCT(MAX(ROW(E$1:E5578)*(E5579=E$1:E5578)))))</f>
        <v> </v>
      </c>
      <c r="L5579" s="27"/>
    </row>
    <row r="5580" spans="1:12">
      <c r="A5580" s="20" t="s">
        <v>1114</v>
      </c>
      <c r="E5580" s="22">
        <f>IF(D5580="?OLD","!!!","")</f>
        <v/>
      </c>
      <c r="F5580" s="23" t="str">
        <f>IF(OR(E5580="",E5580="!!!"),"",IF(NOT(ISNA(VLOOKUP(E5580,E$1:E5579,1,FALSE()))),"OLD",IF(AND(E5580&lt;&gt;"",E5580&lt;&gt;"!!!"),"NEW","")))</f>
        <v> </v>
      </c>
      <c r="G5580" s="24" t="str">
        <f>IF(OR(E5580="",E5580="!!!"),"",IF(OR(J5580=0,AND(J5580=1,K5580=1),AND(J5580=1,I5580="SBJ"),AND(J5580=1,I5580=0)),"?IN_FOCUS",IF(J5580&lt;=2,"?ACTIVATED",IF(J5580&lt;&gt;"","?FAMILIAR",IF(F5580="NEW",IF(ISNA(VLOOKUP(E5580,#REF!,1,FALSE())),"?TYPE_IDENTIFIABLE","?REFERENTIAL"),"_")))))</f>
        <v> </v>
      </c>
      <c r="H5580" s="25" t="str">
        <f>IF(J5580&lt;&gt;1,"",IF(I5580="SBJ","CB","?"))</f>
        <v> </v>
      </c>
      <c r="I5580" s="26" t="str">
        <f>IF(OR(E5580="",E5580="!!!",F5580="NEW"),"",INDEX(B5579:B$2,-1+SUMPRODUCT(MAX(ROW(E5579:E$2)*(E5580=E5579:E$2)))))</f>
        <v> </v>
      </c>
      <c r="J5580" s="26" t="str">
        <f>IF(OR(E5580="",E5580="!!!",F5580="NEW"),"",COUNTBLANK(OFFSET(A$1,,,SUMPRODUCT(MAX(ROW(E$2:E5580)*(E5580=E$2:E5580)))))-COUNTBLANK(OFFSET(A$1,,,SUMPRODUCT(MAX(ROW(E$1:E5579)*(E2=E$1:E5579))))))</f>
        <v> </v>
      </c>
      <c r="K5580" s="26" t="str">
        <f>IF(OR(E5580="",E5580="!!!",F5580="NEW"),"",INDEX(J$1:J5579,SUMPRODUCT(MAX(ROW(E$1:E5579)*(E5580=E$1:E5579)))))</f>
        <v> </v>
      </c>
      <c r="L5580" s="27"/>
    </row>
    <row r="5581" spans="1:12">
      <c r="A5581" s="20" t="s">
        <v>98</v>
      </c>
      <c r="E5581" s="22">
        <f>IF(D5581="?OLD","!!!","")</f>
        <v/>
      </c>
      <c r="F5581" s="23" t="str">
        <f>IF(OR(E5581="",E5581="!!!"),"",IF(NOT(ISNA(VLOOKUP(E5581,E$1:E5580,1,FALSE()))),"OLD",IF(AND(E5581&lt;&gt;"",E5581&lt;&gt;"!!!"),"NEW","")))</f>
        <v> </v>
      </c>
      <c r="G5581" s="24" t="str">
        <f>IF(OR(E5581="",E5581="!!!"),"",IF(OR(J5581=0,AND(J5581=1,K5581=1),AND(J5581=1,I5581="SBJ"),AND(J5581=1,I5581=0)),"?IN_FOCUS",IF(J5581&lt;=2,"?ACTIVATED",IF(J5581&lt;&gt;"","?FAMILIAR",IF(F5581="NEW",IF(ISNA(VLOOKUP(E5581,#REF!,1,FALSE())),"?TYPE_IDENTIFIABLE","?REFERENTIAL"),"_")))))</f>
        <v> </v>
      </c>
      <c r="H5581" s="25" t="str">
        <f>IF(J5581&lt;&gt;1,"",IF(I5581="SBJ","CB","?"))</f>
        <v> </v>
      </c>
      <c r="I5581" s="26" t="str">
        <f>IF(OR(E5581="",E5581="!!!",F5581="NEW"),"",INDEX(B5580:B$2,-1+SUMPRODUCT(MAX(ROW(E5580:E$2)*(E5581=E5580:E$2)))))</f>
        <v> </v>
      </c>
      <c r="J5581" s="26" t="str">
        <f>IF(OR(E5581="",E5581="!!!",F5581="NEW"),"",COUNTBLANK(OFFSET(A$1,,,SUMPRODUCT(MAX(ROW(E$2:E5581)*(E5581=E$2:E5581)))))-COUNTBLANK(OFFSET(A$1,,,SUMPRODUCT(MAX(ROW(E$1:E5580)*(E2=E$1:E5580))))))</f>
        <v> </v>
      </c>
      <c r="K5581" s="26" t="str">
        <f>IF(OR(E5581="",E5581="!!!",F5581="NEW"),"",INDEX(J$1:J5580,SUMPRODUCT(MAX(ROW(E$1:E5580)*(E5581=E$1:E5580)))))</f>
        <v> </v>
      </c>
      <c r="L5581" s="27"/>
    </row>
    <row r="5582" spans="1:12">
      <c r="A5582" s="20" t="s">
        <v>2511</v>
      </c>
      <c r="E5582" s="22">
        <f>IF(D5582="?OLD","!!!","")</f>
        <v/>
      </c>
      <c r="F5582" s="23" t="str">
        <f>IF(OR(E5582="",E5582="!!!"),"",IF(NOT(ISNA(VLOOKUP(E5582,E$1:E5581,1,FALSE()))),"OLD",IF(AND(E5582&lt;&gt;"",E5582&lt;&gt;"!!!"),"NEW","")))</f>
        <v> </v>
      </c>
      <c r="G5582" s="24" t="str">
        <f>IF(OR(E5582="",E5582="!!!"),"",IF(OR(J5582=0,AND(J5582=1,K5582=1),AND(J5582=1,I5582="SBJ"),AND(J5582=1,I5582=0)),"?IN_FOCUS",IF(J5582&lt;=2,"?ACTIVATED",IF(J5582&lt;&gt;"","?FAMILIAR",IF(F5582="NEW",IF(ISNA(VLOOKUP(E5582,#REF!,1,FALSE())),"?TYPE_IDENTIFIABLE","?REFERENTIAL"),"_")))))</f>
        <v> </v>
      </c>
      <c r="H5582" s="25" t="str">
        <f>IF(J5582&lt;&gt;1,"",IF(I5582="SBJ","CB","?"))</f>
        <v> </v>
      </c>
      <c r="I5582" s="26" t="str">
        <f>IF(OR(E5582="",E5582="!!!",F5582="NEW"),"",INDEX(B5581:B$2,-1+SUMPRODUCT(MAX(ROW(E5581:E$2)*(E5582=E5581:E$2)))))</f>
        <v> </v>
      </c>
      <c r="J5582" s="26" t="str">
        <f>IF(OR(E5582="",E5582="!!!",F5582="NEW"),"",COUNTBLANK(OFFSET(A$1,,,SUMPRODUCT(MAX(ROW(E$2:E5582)*(E5582=E$2:E5582)))))-COUNTBLANK(OFFSET(A$1,,,SUMPRODUCT(MAX(ROW(E$1:E5581)*(E2=E$1:E5581))))))</f>
        <v> </v>
      </c>
      <c r="K5582" s="26" t="str">
        <f>IF(OR(E5582="",E5582="!!!",F5582="NEW"),"",INDEX(J$1:J5581,SUMPRODUCT(MAX(ROW(E$1:E5581)*(E5582=E$1:E5581)))))</f>
        <v> </v>
      </c>
      <c r="L5582" s="27"/>
    </row>
    <row r="5583" spans="1:12">
      <c r="A5583" s="20" t="s">
        <v>2512</v>
      </c>
      <c r="B5583" s="21" t="s">
        <v>1066</v>
      </c>
      <c r="C5583" s="21" t="s">
        <v>1013</v>
      </c>
      <c r="D5583" s="21" t="s">
        <v>1007</v>
      </c>
      <c r="E5583" s="22">
        <f>IF(D5583="?OLD","!!!","")</f>
        <v/>
      </c>
      <c r="F5583" s="23" t="str">
        <f>IF(OR(E5583="",E5583="!!!"),"",IF(NOT(ISNA(VLOOKUP(E5583,E$1:E5582,1,FALSE()))),"OLD",IF(AND(E5583&lt;&gt;"",E5583&lt;&gt;"!!!"),"NEW","")))</f>
        <v> </v>
      </c>
      <c r="G5583" s="24" t="str">
        <f>IF(OR(E5583="",E5583="!!!"),"",IF(OR(J5583=0,AND(J5583=1,K5583=1),AND(J5583=1,I5583="SBJ"),AND(J5583=1,I5583=0)),"?IN_FOCUS",IF(J5583&lt;=2,"?ACTIVATED",IF(J5583&lt;&gt;"","?FAMILIAR",IF(F5583="NEW",IF(ISNA(VLOOKUP(E5583,#REF!,1,FALSE())),"?TYPE_IDENTIFIABLE","?REFERENTIAL"),"_")))))</f>
        <v> </v>
      </c>
      <c r="H5583" s="25" t="str">
        <f>IF(J5583&lt;&gt;1,"",IF(I5583="SBJ","CB","?"))</f>
        <v> </v>
      </c>
      <c r="I5583" s="26" t="str">
        <f>IF(OR(E5583="",E5583="!!!",F5583="NEW"),"",INDEX(B5582:B$2,-1+SUMPRODUCT(MAX(ROW(E5582:E$2)*(E5583=E5582:E$2)))))</f>
        <v> </v>
      </c>
      <c r="J5583" s="26" t="str">
        <f>IF(OR(E5583="",E5583="!!!",F5583="NEW"),"",COUNTBLANK(OFFSET(A$1,,,SUMPRODUCT(MAX(ROW(E$2:E5583)*(E5583=E$2:E5583)))))-COUNTBLANK(OFFSET(A$1,,,SUMPRODUCT(MAX(ROW(E$1:E5582)*(E2=E$1:E5582))))))</f>
        <v> </v>
      </c>
      <c r="K5583" s="26" t="str">
        <f>IF(OR(E5583="",E5583="!!!",F5583="NEW"),"",INDEX(J$1:J5582,SUMPRODUCT(MAX(ROW(E$1:E5582)*(E5583=E$1:E5582)))))</f>
        <v> </v>
      </c>
      <c r="L5583" s="27"/>
    </row>
    <row r="5584" spans="1:12">
      <c r="A5584" s="20" t="s">
        <v>1014</v>
      </c>
      <c r="E5584" s="22">
        <f>IF(D5584="?OLD","!!!","")</f>
        <v/>
      </c>
      <c r="F5584" s="23" t="str">
        <f>IF(OR(E5584="",E5584="!!!"),"",IF(NOT(ISNA(VLOOKUP(E5584,E$1:E5583,1,FALSE()))),"OLD",IF(AND(E5584&lt;&gt;"",E5584&lt;&gt;"!!!"),"NEW","")))</f>
        <v> </v>
      </c>
      <c r="G5584" s="24" t="str">
        <f>IF(OR(E5584="",E5584="!!!"),"",IF(OR(J5584=0,AND(J5584=1,K5584=1),AND(J5584=1,I5584="SBJ"),AND(J5584=1,I5584=0)),"?IN_FOCUS",IF(J5584&lt;=2,"?ACTIVATED",IF(J5584&lt;&gt;"","?FAMILIAR",IF(F5584="NEW",IF(ISNA(VLOOKUP(E5584,#REF!,1,FALSE())),"?TYPE_IDENTIFIABLE","?REFERENTIAL"),"_")))))</f>
        <v> </v>
      </c>
      <c r="H5584" s="25" t="str">
        <f>IF(J5584&lt;&gt;1,"",IF(I5584="SBJ","CB","?"))</f>
        <v> </v>
      </c>
      <c r="I5584" s="26" t="str">
        <f>IF(OR(E5584="",E5584="!!!",F5584="NEW"),"",INDEX(B5583:B$2,-1+SUMPRODUCT(MAX(ROW(E5583:E$2)*(E5584=E5583:E$2)))))</f>
        <v> </v>
      </c>
      <c r="J5584" s="26" t="str">
        <f>IF(OR(E5584="",E5584="!!!",F5584="NEW"),"",COUNTBLANK(OFFSET(A$1,,,SUMPRODUCT(MAX(ROW(E$2:E5584)*(E5584=E$2:E5584)))))-COUNTBLANK(OFFSET(A$1,,,SUMPRODUCT(MAX(ROW(E$1:E5583)*(E2=E$1:E5583))))))</f>
        <v> </v>
      </c>
      <c r="K5584" s="26" t="str">
        <f>IF(OR(E5584="",E5584="!!!",F5584="NEW"),"",INDEX(J$1:J5583,SUMPRODUCT(MAX(ROW(E$1:E5583)*(E5584=E$1:E5583)))))</f>
        <v> </v>
      </c>
      <c r="L5584" s="27"/>
    </row>
    <row r="5585" spans="1:12">
      <c r="A5585" s="20" t="s">
        <v>1020</v>
      </c>
      <c r="E5585" s="22">
        <f>IF(D5585="?OLD","!!!","")</f>
        <v/>
      </c>
      <c r="F5585" s="23" t="str">
        <f>IF(OR(E5585="",E5585="!!!"),"",IF(NOT(ISNA(VLOOKUP(E5585,E$1:E5584,1,FALSE()))),"OLD",IF(AND(E5585&lt;&gt;"",E5585&lt;&gt;"!!!"),"NEW","")))</f>
        <v> </v>
      </c>
      <c r="G5585" s="24" t="str">
        <f>IF(OR(E5585="",E5585="!!!"),"",IF(OR(J5585=0,AND(J5585=1,K5585=1),AND(J5585=1,I5585="SBJ"),AND(J5585=1,I5585=0)),"?IN_FOCUS",IF(J5585&lt;=2,"?ACTIVATED",IF(J5585&lt;&gt;"","?FAMILIAR",IF(F5585="NEW",IF(ISNA(VLOOKUP(E5585,#REF!,1,FALSE())),"?TYPE_IDENTIFIABLE","?REFERENTIAL"),"_")))))</f>
        <v> </v>
      </c>
      <c r="H5585" s="25" t="str">
        <f>IF(J5585&lt;&gt;1,"",IF(I5585="SBJ","CB","?"))</f>
        <v> </v>
      </c>
      <c r="I5585" s="26" t="str">
        <f>IF(OR(E5585="",E5585="!!!",F5585="NEW"),"",INDEX(B5584:B$2,-1+SUMPRODUCT(MAX(ROW(E5584:E$2)*(E5585=E5584:E$2)))))</f>
        <v> </v>
      </c>
      <c r="J5585" s="26" t="str">
        <f>IF(OR(E5585="",E5585="!!!",F5585="NEW"),"",COUNTBLANK(OFFSET(A$1,,,SUMPRODUCT(MAX(ROW(E$2:E5585)*(E5585=E$2:E5585)))))-COUNTBLANK(OFFSET(A$1,,,SUMPRODUCT(MAX(ROW(E$1:E5584)*(E2=E$1:E5584))))))</f>
        <v> </v>
      </c>
      <c r="K5585" s="26" t="str">
        <f>IF(OR(E5585="",E5585="!!!",F5585="NEW"),"",INDEX(J$1:J5584,SUMPRODUCT(MAX(ROW(E$1:E5584)*(E5585=E$1:E5584)))))</f>
        <v> </v>
      </c>
      <c r="L5585" s="27"/>
    </row>
    <row r="5586" spans="1:12">
      <c r="A5586" s="20" t="s">
        <v>1021</v>
      </c>
      <c r="B5586" s="21" t="s">
        <v>1042</v>
      </c>
      <c r="C5586" s="21" t="s">
        <v>1006</v>
      </c>
      <c r="D5586" s="21" t="s">
        <v>1007</v>
      </c>
      <c r="E5586" s="22">
        <f>IF(D5586="?OLD","!!!","")</f>
        <v/>
      </c>
      <c r="F5586" s="23" t="str">
        <f>IF(OR(E5586="",E5586="!!!"),"",IF(NOT(ISNA(VLOOKUP(E5586,E$1:E5585,1,FALSE()))),"OLD",IF(AND(E5586&lt;&gt;"",E5586&lt;&gt;"!!!"),"NEW","")))</f>
        <v> </v>
      </c>
      <c r="G5586" s="24" t="str">
        <f>IF(OR(E5586="",E5586="!!!"),"",IF(OR(J5586=0,AND(J5586=1,K5586=1),AND(J5586=1,I5586="SBJ"),AND(J5586=1,I5586=0)),"?IN_FOCUS",IF(J5586&lt;=2,"?ACTIVATED",IF(J5586&lt;&gt;"","?FAMILIAR",IF(F5586="NEW",IF(ISNA(VLOOKUP(E5586,#REF!,1,FALSE())),"?TYPE_IDENTIFIABLE","?REFERENTIAL"),"_")))))</f>
        <v> </v>
      </c>
      <c r="H5586" s="25" t="str">
        <f>IF(J5586&lt;&gt;1,"",IF(I5586="SBJ","CB","?"))</f>
        <v> </v>
      </c>
      <c r="I5586" s="26" t="str">
        <f>IF(OR(E5586="",E5586="!!!",F5586="NEW"),"",INDEX(B5585:B$2,-1+SUMPRODUCT(MAX(ROW(E5585:E$2)*(E5586=E5585:E$2)))))</f>
        <v> </v>
      </c>
      <c r="J5586" s="26" t="str">
        <f>IF(OR(E5586="",E5586="!!!",F5586="NEW"),"",COUNTBLANK(OFFSET(A$1,,,SUMPRODUCT(MAX(ROW(E$2:E5586)*(E5586=E$2:E5586)))))-COUNTBLANK(OFFSET(A$1,,,SUMPRODUCT(MAX(ROW(E$1:E5585)*(E2=E$1:E5585))))))</f>
        <v> </v>
      </c>
      <c r="K5586" s="26" t="str">
        <f>IF(OR(E5586="",E5586="!!!",F5586="NEW"),"",INDEX(J$1:J5585,SUMPRODUCT(MAX(ROW(E$1:E5585)*(E5586=E$1:E5585)))))</f>
        <v> </v>
      </c>
      <c r="L5586" s="27"/>
    </row>
    <row r="5587" spans="1:12">
      <c r="A5587" s="20" t="s">
        <v>1030</v>
      </c>
      <c r="E5587" s="22">
        <f>IF(D5587="?OLD","!!!","")</f>
        <v/>
      </c>
      <c r="F5587" s="23" t="str">
        <f>IF(OR(E5587="",E5587="!!!"),"",IF(NOT(ISNA(VLOOKUP(E5587,E$1:E5586,1,FALSE()))),"OLD",IF(AND(E5587&lt;&gt;"",E5587&lt;&gt;"!!!"),"NEW","")))</f>
        <v> </v>
      </c>
      <c r="G5587" s="24" t="str">
        <f>IF(OR(E5587="",E5587="!!!"),"",IF(OR(J5587=0,AND(J5587=1,K5587=1),AND(J5587=1,I5587="SBJ"),AND(J5587=1,I5587=0)),"?IN_FOCUS",IF(J5587&lt;=2,"?ACTIVATED",IF(J5587&lt;&gt;"","?FAMILIAR",IF(F5587="NEW",IF(ISNA(VLOOKUP(E5587,#REF!,1,FALSE())),"?TYPE_IDENTIFIABLE","?REFERENTIAL"),"_")))))</f>
        <v> </v>
      </c>
      <c r="H5587" s="25" t="str">
        <f>IF(J5587&lt;&gt;1,"",IF(I5587="SBJ","CB","?"))</f>
        <v> </v>
      </c>
      <c r="I5587" s="26" t="str">
        <f>IF(OR(E5587="",E5587="!!!",F5587="NEW"),"",INDEX(B5586:B$2,-1+SUMPRODUCT(MAX(ROW(E5586:E$2)*(E5587=E5586:E$2)))))</f>
        <v> </v>
      </c>
      <c r="J5587" s="26" t="str">
        <f>IF(OR(E5587="",E5587="!!!",F5587="NEW"),"",COUNTBLANK(OFFSET(A$1,,,SUMPRODUCT(MAX(ROW(E$2:E5587)*(E5587=E$2:E5587)))))-COUNTBLANK(OFFSET(A$1,,,SUMPRODUCT(MAX(ROW(E$1:E5586)*(E2=E$1:E5586))))))</f>
        <v> </v>
      </c>
      <c r="K5587" s="26" t="str">
        <f>IF(OR(E5587="",E5587="!!!",F5587="NEW"),"",INDEX(J$1:J5586,SUMPRODUCT(MAX(ROW(E$1:E5586)*(E5587=E$1:E5586)))))</f>
        <v> </v>
      </c>
      <c r="L5587" s="27"/>
    </row>
    <row r="5588" spans="1:12">
      <c r="A5588" s="20" t="s">
        <v>2513</v>
      </c>
      <c r="B5588" s="21" t="s">
        <v>1040</v>
      </c>
      <c r="C5588" s="21" t="s">
        <v>1013</v>
      </c>
      <c r="D5588" s="21" t="s">
        <v>1007</v>
      </c>
      <c r="E5588" s="22">
        <f>IF(D5588="?OLD","!!!","")</f>
        <v/>
      </c>
      <c r="F5588" s="23" t="str">
        <f>IF(OR(E5588="",E5588="!!!"),"",IF(NOT(ISNA(VLOOKUP(E5588,E$1:E5587,1,FALSE()))),"OLD",IF(AND(E5588&lt;&gt;"",E5588&lt;&gt;"!!!"),"NEW","")))</f>
        <v> </v>
      </c>
      <c r="G5588" s="24" t="str">
        <f>IF(OR(E5588="",E5588="!!!"),"",IF(OR(J5588=0,AND(J5588=1,K5588=1),AND(J5588=1,I5588="SBJ"),AND(J5588=1,I5588=0)),"?IN_FOCUS",IF(J5588&lt;=2,"?ACTIVATED",IF(J5588&lt;&gt;"","?FAMILIAR",IF(F5588="NEW",IF(ISNA(VLOOKUP(E5588,#REF!,1,FALSE())),"?TYPE_IDENTIFIABLE","?REFERENTIAL"),"_")))))</f>
        <v> </v>
      </c>
      <c r="H5588" s="25" t="str">
        <f>IF(J5588&lt;&gt;1,"",IF(I5588="SBJ","CB","?"))</f>
        <v> </v>
      </c>
      <c r="I5588" s="26" t="str">
        <f>IF(OR(E5588="",E5588="!!!",F5588="NEW"),"",INDEX(B5587:B$2,-1+SUMPRODUCT(MAX(ROW(E5587:E$2)*(E5588=E5587:E$2)))))</f>
        <v> </v>
      </c>
      <c r="J5588" s="26" t="str">
        <f>IF(OR(E5588="",E5588="!!!",F5588="NEW"),"",COUNTBLANK(OFFSET(A$1,,,SUMPRODUCT(MAX(ROW(E$2:E5588)*(E5588=E$2:E5588)))))-COUNTBLANK(OFFSET(A$1,,,SUMPRODUCT(MAX(ROW(E$1:E5587)*(E2=E$1:E5587))))))</f>
        <v> </v>
      </c>
      <c r="K5588" s="26" t="str">
        <f>IF(OR(E5588="",E5588="!!!",F5588="NEW"),"",INDEX(J$1:J5587,SUMPRODUCT(MAX(ROW(E$1:E5587)*(E5588=E$1:E5587)))))</f>
        <v> </v>
      </c>
      <c r="L5588" s="27"/>
    </row>
    <row r="5589" spans="1:12">
      <c r="A5589" s="20" t="s">
        <v>1014</v>
      </c>
      <c r="E5589" s="22">
        <f>IF(D5589="?OLD","!!!","")</f>
        <v/>
      </c>
      <c r="F5589" s="23" t="str">
        <f>IF(OR(E5589="",E5589="!!!"),"",IF(NOT(ISNA(VLOOKUP(E5589,E$1:E5588,1,FALSE()))),"OLD",IF(AND(E5589&lt;&gt;"",E5589&lt;&gt;"!!!"),"NEW","")))</f>
        <v> </v>
      </c>
      <c r="G5589" s="24" t="str">
        <f>IF(OR(E5589="",E5589="!!!"),"",IF(OR(J5589=0,AND(J5589=1,K5589=1),AND(J5589=1,I5589="SBJ"),AND(J5589=1,I5589=0)),"?IN_FOCUS",IF(J5589&lt;=2,"?ACTIVATED",IF(J5589&lt;&gt;"","?FAMILIAR",IF(F5589="NEW",IF(ISNA(VLOOKUP(E5589,#REF!,1,FALSE())),"?TYPE_IDENTIFIABLE","?REFERENTIAL"),"_")))))</f>
        <v> </v>
      </c>
      <c r="H5589" s="25" t="str">
        <f>IF(J5589&lt;&gt;1,"",IF(I5589="SBJ","CB","?"))</f>
        <v> </v>
      </c>
      <c r="I5589" s="26" t="str">
        <f>IF(OR(E5589="",E5589="!!!",F5589="NEW"),"",INDEX(B5588:B$2,-1+SUMPRODUCT(MAX(ROW(E5588:E$2)*(E5589=E5588:E$2)))))</f>
        <v> </v>
      </c>
      <c r="J5589" s="26" t="str">
        <f>IF(OR(E5589="",E5589="!!!",F5589="NEW"),"",COUNTBLANK(OFFSET(A$1,,,SUMPRODUCT(MAX(ROW(E$2:E5589)*(E5589=E$2:E5589)))))-COUNTBLANK(OFFSET(A$1,,,SUMPRODUCT(MAX(ROW(E$1:E5588)*(E2=E$1:E5588))))))</f>
        <v> </v>
      </c>
      <c r="K5589" s="26" t="str">
        <f>IF(OR(E5589="",E5589="!!!",F5589="NEW"),"",INDEX(J$1:J5588,SUMPRODUCT(MAX(ROW(E$1:E5588)*(E5589=E$1:E5588)))))</f>
        <v> </v>
      </c>
      <c r="L5589" s="27"/>
    </row>
    <row r="5590" spans="1:12">
      <c r="A5590" s="20" t="s">
        <v>1020</v>
      </c>
      <c r="E5590" s="22">
        <f>IF(D5590="?OLD","!!!","")</f>
        <v/>
      </c>
      <c r="F5590" s="23" t="str">
        <f>IF(OR(E5590="",E5590="!!!"),"",IF(NOT(ISNA(VLOOKUP(E5590,E$1:E5589,1,FALSE()))),"OLD",IF(AND(E5590&lt;&gt;"",E5590&lt;&gt;"!!!"),"NEW","")))</f>
        <v> </v>
      </c>
      <c r="G5590" s="24" t="str">
        <f>IF(OR(E5590="",E5590="!!!"),"",IF(OR(J5590=0,AND(J5590=1,K5590=1),AND(J5590=1,I5590="SBJ"),AND(J5590=1,I5590=0)),"?IN_FOCUS",IF(J5590&lt;=2,"?ACTIVATED",IF(J5590&lt;&gt;"","?FAMILIAR",IF(F5590="NEW",IF(ISNA(VLOOKUP(E5590,#REF!,1,FALSE())),"?TYPE_IDENTIFIABLE","?REFERENTIAL"),"_")))))</f>
        <v> </v>
      </c>
      <c r="H5590" s="25" t="str">
        <f>IF(J5590&lt;&gt;1,"",IF(I5590="SBJ","CB","?"))</f>
        <v> </v>
      </c>
      <c r="I5590" s="26" t="str">
        <f>IF(OR(E5590="",E5590="!!!",F5590="NEW"),"",INDEX(B5589:B$2,-1+SUMPRODUCT(MAX(ROW(E5589:E$2)*(E5590=E5589:E$2)))))</f>
        <v> </v>
      </c>
      <c r="J5590" s="26" t="str">
        <f>IF(OR(E5590="",E5590="!!!",F5590="NEW"),"",COUNTBLANK(OFFSET(A$1,,,SUMPRODUCT(MAX(ROW(E$2:E5590)*(E5590=E$2:E5590)))))-COUNTBLANK(OFFSET(A$1,,,SUMPRODUCT(MAX(ROW(E$1:E5589)*(E2=E$1:E5589))))))</f>
        <v> </v>
      </c>
      <c r="K5590" s="26" t="str">
        <f>IF(OR(E5590="",E5590="!!!",F5590="NEW"),"",INDEX(J$1:J5589,SUMPRODUCT(MAX(ROW(E$1:E5589)*(E5590=E$1:E5589)))))</f>
        <v> </v>
      </c>
      <c r="L5590" s="27"/>
    </row>
    <row r="5591" spans="1:12">
      <c r="A5591" s="20" t="s">
        <v>2078</v>
      </c>
      <c r="B5591" s="21" t="s">
        <v>1044</v>
      </c>
      <c r="C5591" s="21" t="s">
        <v>1059</v>
      </c>
      <c r="D5591" s="21" t="s">
        <v>1007</v>
      </c>
      <c r="E5591" s="22">
        <f>IF(D5591="?OLD","!!!","")</f>
        <v/>
      </c>
      <c r="F5591" s="23" t="str">
        <f>IF(OR(E5591="",E5591="!!!"),"",IF(NOT(ISNA(VLOOKUP(E5591,E$1:E5590,1,FALSE()))),"OLD",IF(AND(E5591&lt;&gt;"",E5591&lt;&gt;"!!!"),"NEW","")))</f>
        <v> </v>
      </c>
      <c r="G5591" s="24" t="str">
        <f>IF(OR(E5591="",E5591="!!!"),"",IF(OR(J5591=0,AND(J5591=1,K5591=1),AND(J5591=1,I5591="SBJ"),AND(J5591=1,I5591=0)),"?IN_FOCUS",IF(J5591&lt;=2,"?ACTIVATED",IF(J5591&lt;&gt;"","?FAMILIAR",IF(F5591="NEW",IF(ISNA(VLOOKUP(E5591,#REF!,1,FALSE())),"?TYPE_IDENTIFIABLE","?REFERENTIAL"),"_")))))</f>
        <v> </v>
      </c>
      <c r="H5591" s="25" t="str">
        <f>IF(J5591&lt;&gt;1,"",IF(I5591="SBJ","CB","?"))</f>
        <v> </v>
      </c>
      <c r="I5591" s="26" t="str">
        <f>IF(OR(E5591="",E5591="!!!",F5591="NEW"),"",INDEX(B5590:B$2,-1+SUMPRODUCT(MAX(ROW(E5590:E$2)*(E5591=E5590:E$2)))))</f>
        <v> </v>
      </c>
      <c r="J5591" s="26" t="str">
        <f>IF(OR(E5591="",E5591="!!!",F5591="NEW"),"",COUNTBLANK(OFFSET(A$1,,,SUMPRODUCT(MAX(ROW(E$2:E5591)*(E5591=E$2:E5591)))))-COUNTBLANK(OFFSET(A$1,,,SUMPRODUCT(MAX(ROW(E$1:E5590)*(E2=E$1:E5590))))))</f>
        <v> </v>
      </c>
      <c r="K5591" s="26" t="str">
        <f>IF(OR(E5591="",E5591="!!!",F5591="NEW"),"",INDEX(J$1:J5590,SUMPRODUCT(MAX(ROW(E$1:E5590)*(E5591=E$1:E5590)))))</f>
        <v> </v>
      </c>
      <c r="L5591" s="27"/>
    </row>
    <row r="5592" spans="1:12">
      <c r="A5592" s="20" t="s">
        <v>2514</v>
      </c>
      <c r="B5592" s="21" t="s">
        <v>1042</v>
      </c>
      <c r="C5592" s="21" t="s">
        <v>1017</v>
      </c>
      <c r="D5592" s="21" t="s">
        <v>1007</v>
      </c>
      <c r="E5592" s="22">
        <f>IF(D5592="?OLD","!!!","")</f>
        <v/>
      </c>
      <c r="F5592" s="23" t="str">
        <f>IF(OR(E5592="",E5592="!!!"),"",IF(NOT(ISNA(VLOOKUP(E5592,E$1:E5591,1,FALSE()))),"OLD",IF(AND(E5592&lt;&gt;"",E5592&lt;&gt;"!!!"),"NEW","")))</f>
        <v> </v>
      </c>
      <c r="G5592" s="24" t="str">
        <f>IF(OR(E5592="",E5592="!!!"),"",IF(OR(J5592=0,AND(J5592=1,K5592=1),AND(J5592=1,I5592="SBJ"),AND(J5592=1,I5592=0)),"?IN_FOCUS",IF(J5592&lt;=2,"?ACTIVATED",IF(J5592&lt;&gt;"","?FAMILIAR",IF(F5592="NEW",IF(ISNA(VLOOKUP(E5592,#REF!,1,FALSE())),"?TYPE_IDENTIFIABLE","?REFERENTIAL"),"_")))))</f>
        <v> </v>
      </c>
      <c r="H5592" s="25" t="str">
        <f>IF(J5592&lt;&gt;1,"",IF(I5592="SBJ","CB","?"))</f>
        <v> </v>
      </c>
      <c r="I5592" s="26" t="str">
        <f>IF(OR(E5592="",E5592="!!!",F5592="NEW"),"",INDEX(B5591:B$2,-1+SUMPRODUCT(MAX(ROW(E5591:E$2)*(E5592=E5591:E$2)))))</f>
        <v> </v>
      </c>
      <c r="J5592" s="26" t="str">
        <f>IF(OR(E5592="",E5592="!!!",F5592="NEW"),"",COUNTBLANK(OFFSET(A$1,,,SUMPRODUCT(MAX(ROW(E$2:E5592)*(E5592=E$2:E5592)))))-COUNTBLANK(OFFSET(A$1,,,SUMPRODUCT(MAX(ROW(E$1:E5591)*(E2=E$1:E5591))))))</f>
        <v> </v>
      </c>
      <c r="K5592" s="26" t="str">
        <f>IF(OR(E5592="",E5592="!!!",F5592="NEW"),"",INDEX(J$1:J5591,SUMPRODUCT(MAX(ROW(E$1:E5591)*(E5592=E$1:E5591)))))</f>
        <v> </v>
      </c>
      <c r="L5592" s="27"/>
    </row>
    <row r="5593" spans="1:12">
      <c r="A5593" s="20" t="s">
        <v>2515</v>
      </c>
      <c r="E5593" s="22">
        <f>IF(D5593="?OLD","!!!","")</f>
        <v/>
      </c>
      <c r="F5593" s="23" t="str">
        <f>IF(OR(E5593="",E5593="!!!"),"",IF(NOT(ISNA(VLOOKUP(E5593,E$1:E5592,1,FALSE()))),"OLD",IF(AND(E5593&lt;&gt;"",E5593&lt;&gt;"!!!"),"NEW","")))</f>
        <v> </v>
      </c>
      <c r="G5593" s="24" t="str">
        <f>IF(OR(E5593="",E5593="!!!"),"",IF(OR(J5593=0,AND(J5593=1,K5593=1),AND(J5593=1,I5593="SBJ"),AND(J5593=1,I5593=0)),"?IN_FOCUS",IF(J5593&lt;=2,"?ACTIVATED",IF(J5593&lt;&gt;"","?FAMILIAR",IF(F5593="NEW",IF(ISNA(VLOOKUP(E5593,#REF!,1,FALSE())),"?TYPE_IDENTIFIABLE","?REFERENTIAL"),"_")))))</f>
        <v> </v>
      </c>
      <c r="H5593" s="25" t="str">
        <f>IF(J5593&lt;&gt;1,"",IF(I5593="SBJ","CB","?"))</f>
        <v> </v>
      </c>
      <c r="I5593" s="26" t="str">
        <f>IF(OR(E5593="",E5593="!!!",F5593="NEW"),"",INDEX(B5592:B$2,-1+SUMPRODUCT(MAX(ROW(E5592:E$2)*(E5593=E5592:E$2)))))</f>
        <v> </v>
      </c>
      <c r="J5593" s="26" t="str">
        <f>IF(OR(E5593="",E5593="!!!",F5593="NEW"),"",COUNTBLANK(OFFSET(A$1,,,SUMPRODUCT(MAX(ROW(E$2:E5593)*(E5593=E$2:E5593)))))-COUNTBLANK(OFFSET(A$1,,,SUMPRODUCT(MAX(ROW(E$1:E5592)*(E2=E$1:E5592))))))</f>
        <v> </v>
      </c>
      <c r="K5593" s="26" t="str">
        <f>IF(OR(E5593="",E5593="!!!",F5593="NEW"),"",INDEX(J$1:J5592,SUMPRODUCT(MAX(ROW(E$1:E5592)*(E5593=E$1:E5592)))))</f>
        <v> </v>
      </c>
      <c r="L5593" s="27"/>
    </row>
    <row r="5594" spans="1:12">
      <c r="A5594" s="20" t="s">
        <v>1023</v>
      </c>
      <c r="E5594" s="22">
        <f>IF(D5594="?OLD","!!!","")</f>
        <v/>
      </c>
      <c r="F5594" s="23" t="str">
        <f>IF(OR(E5594="",E5594="!!!"),"",IF(NOT(ISNA(VLOOKUP(E5594,E$1:E5593,1,FALSE()))),"OLD",IF(AND(E5594&lt;&gt;"",E5594&lt;&gt;"!!!"),"NEW","")))</f>
        <v> </v>
      </c>
      <c r="G5594" s="24" t="str">
        <f>IF(OR(E5594="",E5594="!!!"),"",IF(OR(J5594=0,AND(J5594=1,K5594=1),AND(J5594=1,I5594="SBJ"),AND(J5594=1,I5594=0)),"?IN_FOCUS",IF(J5594&lt;=2,"?ACTIVATED",IF(J5594&lt;&gt;"","?FAMILIAR",IF(F5594="NEW",IF(ISNA(VLOOKUP(E5594,#REF!,1,FALSE())),"?TYPE_IDENTIFIABLE","?REFERENTIAL"),"_")))))</f>
        <v> </v>
      </c>
      <c r="H5594" s="25" t="str">
        <f>IF(J5594&lt;&gt;1,"",IF(I5594="SBJ","CB","?"))</f>
        <v> </v>
      </c>
      <c r="I5594" s="26" t="str">
        <f>IF(OR(E5594="",E5594="!!!",F5594="NEW"),"",INDEX(B5593:B$2,-1+SUMPRODUCT(MAX(ROW(E5593:E$2)*(E5594=E5593:E$2)))))</f>
        <v> </v>
      </c>
      <c r="J5594" s="26" t="str">
        <f>IF(OR(E5594="",E5594="!!!",F5594="NEW"),"",COUNTBLANK(OFFSET(A$1,,,SUMPRODUCT(MAX(ROW(E$2:E5594)*(E5594=E$2:E5594)))))-COUNTBLANK(OFFSET(A$1,,,SUMPRODUCT(MAX(ROW(E$1:E5593)*(E2=E$1:E5593))))))</f>
        <v> </v>
      </c>
      <c r="K5594" s="26" t="str">
        <f>IF(OR(E5594="",E5594="!!!",F5594="NEW"),"",INDEX(J$1:J5593,SUMPRODUCT(MAX(ROW(E$1:E5593)*(E5594=E$1:E5593)))))</f>
        <v> </v>
      </c>
      <c r="L5594" s="27"/>
    </row>
    <row r="5595" spans="1:12">
      <c r="A5595" s="20"/>
    </row>
    <row r="5596" spans="1:12">
      <c r="A5596" s="20" t="s">
        <v>2516</v>
      </c>
    </row>
    <row r="5597" spans="1:12">
      <c r="A5597" s="20" t="s">
        <v>1175</v>
      </c>
      <c r="E5597" s="22">
        <f>IF(D5597="?OLD","!!!","")</f>
        <v/>
      </c>
      <c r="F5597" s="23" t="str">
        <f>IF(OR(E5597="",E5597="!!!"),"",IF(NOT(ISNA(VLOOKUP(E5597,E$1:E5596,1,FALSE()))),"OLD",IF(AND(E5597&lt;&gt;"",E5597&lt;&gt;"!!!"),"NEW","")))</f>
        <v> </v>
      </c>
      <c r="G5597" s="24" t="str">
        <f>IF(OR(E5597="",E5597="!!!"),"",IF(OR(J5597=0,AND(J5597=1,K5597=1),AND(J5597=1,I5597="SBJ"),AND(J5597=1,I5597=0)),"?IN_FOCUS",IF(J5597&lt;=2,"?ACTIVATED",IF(J5597&lt;&gt;"","?FAMILIAR",IF(F5597="NEW",IF(ISNA(VLOOKUP(E5597,#REF!,1,FALSE())),"?TYPE_IDENTIFIABLE","?REFERENTIAL"),"_")))))</f>
        <v> </v>
      </c>
      <c r="H5597" s="25" t="str">
        <f>IF(J5597&lt;&gt;1,"",IF(I5597="SBJ","CB","?"))</f>
        <v> </v>
      </c>
      <c r="I5597" s="26" t="str">
        <f>IF(OR(E5597="",E5597="!!!",F5597="NEW"),"",INDEX(B5596:B$2,-1+SUMPRODUCT(MAX(ROW(E5596:E$2)*(E5597=E5596:E$2)))))</f>
        <v> </v>
      </c>
      <c r="J5597" s="26" t="str">
        <f>IF(OR(E5597="",E5597="!!!",F5597="NEW"),"",COUNTBLANK(OFFSET(A$1,,,SUMPRODUCT(MAX(ROW(E$2:E5597)*(E5597=E$2:E5597)))))-COUNTBLANK(OFFSET(A$1,,,SUMPRODUCT(MAX(ROW(E$1:E5596)*(E2=E$1:E5596))))))</f>
        <v> </v>
      </c>
      <c r="K5597" s="26" t="str">
        <f>IF(OR(E5597="",E5597="!!!",F5597="NEW"),"",INDEX(J$1:J5596,SUMPRODUCT(MAX(ROW(E$1:E5596)*(E5597=E$1:E5596)))))</f>
        <v> </v>
      </c>
      <c r="L5597" s="27"/>
    </row>
    <row r="5598" spans="1:12">
      <c r="A5598" s="20" t="s">
        <v>1141</v>
      </c>
      <c r="E5598" s="22">
        <f>IF(D5598="?OLD","!!!","")</f>
        <v/>
      </c>
      <c r="F5598" s="23" t="str">
        <f>IF(OR(E5598="",E5598="!!!"),"",IF(NOT(ISNA(VLOOKUP(E5598,E$1:E5597,1,FALSE()))),"OLD",IF(AND(E5598&lt;&gt;"",E5598&lt;&gt;"!!!"),"NEW","")))</f>
        <v> </v>
      </c>
      <c r="G5598" s="24" t="str">
        <f>IF(OR(E5598="",E5598="!!!"),"",IF(OR(J5598=0,AND(J5598=1,K5598=1),AND(J5598=1,I5598="SBJ"),AND(J5598=1,I5598=0)),"?IN_FOCUS",IF(J5598&lt;=2,"?ACTIVATED",IF(J5598&lt;&gt;"","?FAMILIAR",IF(F5598="NEW",IF(ISNA(VLOOKUP(E5598,#REF!,1,FALSE())),"?TYPE_IDENTIFIABLE","?REFERENTIAL"),"_")))))</f>
        <v> </v>
      </c>
      <c r="H5598" s="25" t="str">
        <f>IF(J5598&lt;&gt;1,"",IF(I5598="SBJ","CB","?"))</f>
        <v> </v>
      </c>
      <c r="I5598" s="26" t="str">
        <f>IF(OR(E5598="",E5598="!!!",F5598="NEW"),"",INDEX(B5597:B$2,-1+SUMPRODUCT(MAX(ROW(E5597:E$2)*(E5598=E5597:E$2)))))</f>
        <v> </v>
      </c>
      <c r="J5598" s="26" t="str">
        <f>IF(OR(E5598="",E5598="!!!",F5598="NEW"),"",COUNTBLANK(OFFSET(A$1,,,SUMPRODUCT(MAX(ROW(E$2:E5598)*(E5598=E$2:E5598)))))-COUNTBLANK(OFFSET(A$1,,,SUMPRODUCT(MAX(ROW(E$1:E5597)*(E2=E$1:E5597))))))</f>
        <v> </v>
      </c>
      <c r="K5598" s="26" t="str">
        <f>IF(OR(E5598="",E5598="!!!",F5598="NEW"),"",INDEX(J$1:J5597,SUMPRODUCT(MAX(ROW(E$1:E5597)*(E5598=E$1:E5597)))))</f>
        <v> </v>
      </c>
      <c r="L5598" s="27"/>
    </row>
    <row r="5599" spans="1:12">
      <c r="A5599" s="20" t="s">
        <v>1065</v>
      </c>
      <c r="E5599" s="22">
        <f>IF(D5599="?OLD","!!!","")</f>
        <v/>
      </c>
      <c r="F5599" s="23" t="str">
        <f>IF(OR(E5599="",E5599="!!!"),"",IF(NOT(ISNA(VLOOKUP(E5599,E$1:E5598,1,FALSE()))),"OLD",IF(AND(E5599&lt;&gt;"",E5599&lt;&gt;"!!!"),"NEW","")))</f>
        <v> </v>
      </c>
      <c r="G5599" s="24" t="str">
        <f>IF(OR(E5599="",E5599="!!!"),"",IF(OR(J5599=0,AND(J5599=1,K5599=1),AND(J5599=1,I5599="SBJ"),AND(J5599=1,I5599=0)),"?IN_FOCUS",IF(J5599&lt;=2,"?ACTIVATED",IF(J5599&lt;&gt;"","?FAMILIAR",IF(F5599="NEW",IF(ISNA(VLOOKUP(E5599,#REF!,1,FALSE())),"?TYPE_IDENTIFIABLE","?REFERENTIAL"),"_")))))</f>
        <v> </v>
      </c>
      <c r="H5599" s="25" t="str">
        <f>IF(J5599&lt;&gt;1,"",IF(I5599="SBJ","CB","?"))</f>
        <v> </v>
      </c>
      <c r="I5599" s="26" t="str">
        <f>IF(OR(E5599="",E5599="!!!",F5599="NEW"),"",INDEX(B5598:B$2,-1+SUMPRODUCT(MAX(ROW(E5598:E$2)*(E5599=E5598:E$2)))))</f>
        <v> </v>
      </c>
      <c r="J5599" s="26" t="str">
        <f>IF(OR(E5599="",E5599="!!!",F5599="NEW"),"",COUNTBLANK(OFFSET(A$1,,,SUMPRODUCT(MAX(ROW(E$2:E5599)*(E5599=E$2:E5599)))))-COUNTBLANK(OFFSET(A$1,,,SUMPRODUCT(MAX(ROW(E$1:E5598)*(E2=E$1:E5598))))))</f>
        <v> </v>
      </c>
      <c r="K5599" s="26" t="str">
        <f>IF(OR(E5599="",E5599="!!!",F5599="NEW"),"",INDEX(J$1:J5598,SUMPRODUCT(MAX(ROW(E$1:E5598)*(E5599=E$1:E5598)))))</f>
        <v> </v>
      </c>
      <c r="L5599" s="27"/>
    </row>
    <row r="5600" spans="1:12">
      <c r="A5600" s="20" t="s">
        <v>1324</v>
      </c>
      <c r="E5600" s="22">
        <f>IF(D5600="?OLD","!!!","")</f>
        <v/>
      </c>
      <c r="F5600" s="23" t="str">
        <f>IF(OR(E5600="",E5600="!!!"),"",IF(NOT(ISNA(VLOOKUP(E5600,E$1:E5599,1,FALSE()))),"OLD",IF(AND(E5600&lt;&gt;"",E5600&lt;&gt;"!!!"),"NEW","")))</f>
        <v> </v>
      </c>
      <c r="G5600" s="24" t="str">
        <f>IF(OR(E5600="",E5600="!!!"),"",IF(OR(J5600=0,AND(J5600=1,K5600=1),AND(J5600=1,I5600="SBJ"),AND(J5600=1,I5600=0)),"?IN_FOCUS",IF(J5600&lt;=2,"?ACTIVATED",IF(J5600&lt;&gt;"","?FAMILIAR",IF(F5600="NEW",IF(ISNA(VLOOKUP(E5600,#REF!,1,FALSE())),"?TYPE_IDENTIFIABLE","?REFERENTIAL"),"_")))))</f>
        <v> </v>
      </c>
      <c r="H5600" s="25" t="str">
        <f>IF(J5600&lt;&gt;1,"",IF(I5600="SBJ","CB","?"))</f>
        <v> </v>
      </c>
      <c r="I5600" s="26" t="str">
        <f>IF(OR(E5600="",E5600="!!!",F5600="NEW"),"",INDEX(B5599:B$2,-1+SUMPRODUCT(MAX(ROW(E5599:E$2)*(E5600=E5599:E$2)))))</f>
        <v> </v>
      </c>
      <c r="J5600" s="26" t="str">
        <f>IF(OR(E5600="",E5600="!!!",F5600="NEW"),"",COUNTBLANK(OFFSET(A$1,,,SUMPRODUCT(MAX(ROW(E$2:E5600)*(E5600=E$2:E5600)))))-COUNTBLANK(OFFSET(A$1,,,SUMPRODUCT(MAX(ROW(E$1:E5599)*(E2=E$1:E5599))))))</f>
        <v> </v>
      </c>
      <c r="K5600" s="26" t="str">
        <f>IF(OR(E5600="",E5600="!!!",F5600="NEW"),"",INDEX(J$1:J5599,SUMPRODUCT(MAX(ROW(E$1:E5599)*(E5600=E$1:E5599)))))</f>
        <v> </v>
      </c>
      <c r="L5600" s="27"/>
    </row>
    <row r="5601" spans="1:12">
      <c r="A5601" s="20" t="s">
        <v>2489</v>
      </c>
      <c r="B5601" s="21" t="s">
        <v>1119</v>
      </c>
      <c r="C5601" s="21" t="s">
        <v>1006</v>
      </c>
      <c r="D5601" s="21" t="s">
        <v>1007</v>
      </c>
      <c r="E5601" s="22">
        <f>IF(D5601="?OLD","!!!","")</f>
        <v/>
      </c>
      <c r="F5601" s="23" t="str">
        <f>IF(OR(E5601="",E5601="!!!"),"",IF(NOT(ISNA(VLOOKUP(E5601,E$1:E5600,1,FALSE()))),"OLD",IF(AND(E5601&lt;&gt;"",E5601&lt;&gt;"!!!"),"NEW","")))</f>
        <v> </v>
      </c>
      <c r="G5601" s="24" t="str">
        <f>IF(OR(E5601="",E5601="!!!"),"",IF(OR(J5601=0,AND(J5601=1,K5601=1),AND(J5601=1,I5601="SBJ"),AND(J5601=1,I5601=0)),"?IN_FOCUS",IF(J5601&lt;=2,"?ACTIVATED",IF(J5601&lt;&gt;"","?FAMILIAR",IF(F5601="NEW",IF(ISNA(VLOOKUP(E5601,#REF!,1,FALSE())),"?TYPE_IDENTIFIABLE","?REFERENTIAL"),"_")))))</f>
        <v> </v>
      </c>
      <c r="H5601" s="25" t="str">
        <f>IF(J5601&lt;&gt;1,"",IF(I5601="SBJ","CB","?"))</f>
        <v> </v>
      </c>
      <c r="I5601" s="26" t="str">
        <f>IF(OR(E5601="",E5601="!!!",F5601="NEW"),"",INDEX(B5600:B$2,-1+SUMPRODUCT(MAX(ROW(E5600:E$2)*(E5601=E5600:E$2)))))</f>
        <v> </v>
      </c>
      <c r="J5601" s="26" t="str">
        <f>IF(OR(E5601="",E5601="!!!",F5601="NEW"),"",COUNTBLANK(OFFSET(A$1,,,SUMPRODUCT(MAX(ROW(E$2:E5601)*(E5601=E$2:E5601)))))-COUNTBLANK(OFFSET(A$1,,,SUMPRODUCT(MAX(ROW(E$1:E5600)*(E2=E$1:E5600))))))</f>
        <v> </v>
      </c>
      <c r="K5601" s="26" t="str">
        <f>IF(OR(E5601="",E5601="!!!",F5601="NEW"),"",INDEX(J$1:J5600,SUMPRODUCT(MAX(ROW(E$1:E5600)*(E5601=E$1:E5600)))))</f>
        <v> </v>
      </c>
      <c r="L5601" s="27"/>
    </row>
    <row r="5602" spans="1:12">
      <c r="A5602" s="20" t="s">
        <v>2490</v>
      </c>
      <c r="B5602" s="21" t="s">
        <v>1033</v>
      </c>
      <c r="C5602" s="21" t="s">
        <v>1006</v>
      </c>
      <c r="D5602" s="21" t="s">
        <v>1007</v>
      </c>
      <c r="E5602" s="22">
        <f>IF(D5602="?OLD","!!!","")</f>
        <v/>
      </c>
      <c r="F5602" s="23" t="str">
        <f>IF(OR(E5602="",E5602="!!!"),"",IF(NOT(ISNA(VLOOKUP(E5602,E$1:E5601,1,FALSE()))),"OLD",IF(AND(E5602&lt;&gt;"",E5602&lt;&gt;"!!!"),"NEW","")))</f>
        <v> </v>
      </c>
      <c r="G5602" s="24" t="str">
        <f>IF(OR(E5602="",E5602="!!!"),"",IF(OR(J5602=0,AND(J5602=1,K5602=1),AND(J5602=1,I5602="SBJ"),AND(J5602=1,I5602=0)),"?IN_FOCUS",IF(J5602&lt;=2,"?ACTIVATED",IF(J5602&lt;&gt;"","?FAMILIAR",IF(F5602="NEW",IF(ISNA(VLOOKUP(E5602,#REF!,1,FALSE())),"?TYPE_IDENTIFIABLE","?REFERENTIAL"),"_")))))</f>
        <v> </v>
      </c>
      <c r="H5602" s="25" t="str">
        <f>IF(J5602&lt;&gt;1,"",IF(I5602="SBJ","CB","?"))</f>
        <v> </v>
      </c>
      <c r="I5602" s="26" t="str">
        <f>IF(OR(E5602="",E5602="!!!",F5602="NEW"),"",INDEX(B5601:B$2,-1+SUMPRODUCT(MAX(ROW(E5601:E$2)*(E5602=E5601:E$2)))))</f>
        <v> </v>
      </c>
      <c r="J5602" s="26" t="str">
        <f>IF(OR(E5602="",E5602="!!!",F5602="NEW"),"",COUNTBLANK(OFFSET(A$1,,,SUMPRODUCT(MAX(ROW(E$2:E5602)*(E5602=E$2:E5602)))))-COUNTBLANK(OFFSET(A$1,,,SUMPRODUCT(MAX(ROW(E$1:E5601)*(E2=E$1:E5601))))))</f>
        <v> </v>
      </c>
      <c r="K5602" s="26" t="str">
        <f>IF(OR(E5602="",E5602="!!!",F5602="NEW"),"",INDEX(J$1:J5601,SUMPRODUCT(MAX(ROW(E$1:E5601)*(E5602=E$1:E5601)))))</f>
        <v> </v>
      </c>
      <c r="L5602" s="27"/>
    </row>
    <row r="5603" spans="1:12">
      <c r="A5603" s="20" t="s">
        <v>1097</v>
      </c>
      <c r="E5603" s="22">
        <f>IF(D5603="?OLD","!!!","")</f>
        <v/>
      </c>
      <c r="F5603" s="23" t="str">
        <f>IF(OR(E5603="",E5603="!!!"),"",IF(NOT(ISNA(VLOOKUP(E5603,E$1:E5602,1,FALSE()))),"OLD",IF(AND(E5603&lt;&gt;"",E5603&lt;&gt;"!!!"),"NEW","")))</f>
        <v> </v>
      </c>
      <c r="G5603" s="24" t="str">
        <f>IF(OR(E5603="",E5603="!!!"),"",IF(OR(J5603=0,AND(J5603=1,K5603=1),AND(J5603=1,I5603="SBJ"),AND(J5603=1,I5603=0)),"?IN_FOCUS",IF(J5603&lt;=2,"?ACTIVATED",IF(J5603&lt;&gt;"","?FAMILIAR",IF(F5603="NEW",IF(ISNA(VLOOKUP(E5603,#REF!,1,FALSE())),"?TYPE_IDENTIFIABLE","?REFERENTIAL"),"_")))))</f>
        <v> </v>
      </c>
      <c r="H5603" s="25" t="str">
        <f>IF(J5603&lt;&gt;1,"",IF(I5603="SBJ","CB","?"))</f>
        <v> </v>
      </c>
      <c r="I5603" s="26" t="str">
        <f>IF(OR(E5603="",E5603="!!!",F5603="NEW"),"",INDEX(B5602:B$2,-1+SUMPRODUCT(MAX(ROW(E5602:E$2)*(E5603=E5602:E$2)))))</f>
        <v> </v>
      </c>
      <c r="J5603" s="26" t="str">
        <f>IF(OR(E5603="",E5603="!!!",F5603="NEW"),"",COUNTBLANK(OFFSET(A$1,,,SUMPRODUCT(MAX(ROW(E$2:E5603)*(E5603=E$2:E5603)))))-COUNTBLANK(OFFSET(A$1,,,SUMPRODUCT(MAX(ROW(E$1:E5602)*(E2=E$1:E5602))))))</f>
        <v> </v>
      </c>
      <c r="K5603" s="26" t="str">
        <f>IF(OR(E5603="",E5603="!!!",F5603="NEW"),"",INDEX(J$1:J5602,SUMPRODUCT(MAX(ROW(E$1:E5602)*(E5603=E$1:E5602)))))</f>
        <v> </v>
      </c>
      <c r="L5603" s="27"/>
    </row>
    <row r="5604" spans="1:12">
      <c r="A5604" s="20" t="s">
        <v>1020</v>
      </c>
      <c r="E5604" s="22">
        <f>IF(D5604="?OLD","!!!","")</f>
        <v/>
      </c>
      <c r="F5604" s="23" t="str">
        <f>IF(OR(E5604="",E5604="!!!"),"",IF(NOT(ISNA(VLOOKUP(E5604,E$1:E5603,1,FALSE()))),"OLD",IF(AND(E5604&lt;&gt;"",E5604&lt;&gt;"!!!"),"NEW","")))</f>
        <v> </v>
      </c>
      <c r="G5604" s="24" t="str">
        <f>IF(OR(E5604="",E5604="!!!"),"",IF(OR(J5604=0,AND(J5604=1,K5604=1),AND(J5604=1,I5604="SBJ"),AND(J5604=1,I5604=0)),"?IN_FOCUS",IF(J5604&lt;=2,"?ACTIVATED",IF(J5604&lt;&gt;"","?FAMILIAR",IF(F5604="NEW",IF(ISNA(VLOOKUP(E5604,#REF!,1,FALSE())),"?TYPE_IDENTIFIABLE","?REFERENTIAL"),"_")))))</f>
        <v> </v>
      </c>
      <c r="H5604" s="25" t="str">
        <f>IF(J5604&lt;&gt;1,"",IF(I5604="SBJ","CB","?"))</f>
        <v> </v>
      </c>
      <c r="I5604" s="26" t="str">
        <f>IF(OR(E5604="",E5604="!!!",F5604="NEW"),"",INDEX(B5603:B$2,-1+SUMPRODUCT(MAX(ROW(E5603:E$2)*(E5604=E5603:E$2)))))</f>
        <v> </v>
      </c>
      <c r="J5604" s="26" t="str">
        <f>IF(OR(E5604="",E5604="!!!",F5604="NEW"),"",COUNTBLANK(OFFSET(A$1,,,SUMPRODUCT(MAX(ROW(E$2:E5604)*(E5604=E$2:E5604)))))-COUNTBLANK(OFFSET(A$1,,,SUMPRODUCT(MAX(ROW(E$1:E5603)*(E2=E$1:E5603))))))</f>
        <v> </v>
      </c>
      <c r="K5604" s="26" t="str">
        <f>IF(OR(E5604="",E5604="!!!",F5604="NEW"),"",INDEX(J$1:J5603,SUMPRODUCT(MAX(ROW(E$1:E5603)*(E5604=E$1:E5603)))))</f>
        <v> </v>
      </c>
      <c r="L5604" s="27"/>
    </row>
    <row r="5605" spans="1:12">
      <c r="A5605" s="20" t="s">
        <v>1021</v>
      </c>
      <c r="B5605" s="21" t="s">
        <v>1033</v>
      </c>
      <c r="C5605" s="21" t="s">
        <v>1006</v>
      </c>
      <c r="D5605" s="21" t="s">
        <v>1007</v>
      </c>
      <c r="E5605" s="22">
        <f>IF(D5605="?OLD","!!!","")</f>
        <v/>
      </c>
      <c r="F5605" s="23" t="str">
        <f>IF(OR(E5605="",E5605="!!!"),"",IF(NOT(ISNA(VLOOKUP(E5605,E$1:E5604,1,FALSE()))),"OLD",IF(AND(E5605&lt;&gt;"",E5605&lt;&gt;"!!!"),"NEW","")))</f>
        <v> </v>
      </c>
      <c r="G5605" s="24" t="str">
        <f>IF(OR(E5605="",E5605="!!!"),"",IF(OR(J5605=0,AND(J5605=1,K5605=1),AND(J5605=1,I5605="SBJ"),AND(J5605=1,I5605=0)),"?IN_FOCUS",IF(J5605&lt;=2,"?ACTIVATED",IF(J5605&lt;&gt;"","?FAMILIAR",IF(F5605="NEW",IF(ISNA(VLOOKUP(E5605,#REF!,1,FALSE())),"?TYPE_IDENTIFIABLE","?REFERENTIAL"),"_")))))</f>
        <v> </v>
      </c>
      <c r="H5605" s="25" t="str">
        <f>IF(J5605&lt;&gt;1,"",IF(I5605="SBJ","CB","?"))</f>
        <v> </v>
      </c>
      <c r="I5605" s="26" t="str">
        <f>IF(OR(E5605="",E5605="!!!",F5605="NEW"),"",INDEX(B5604:B$2,-1+SUMPRODUCT(MAX(ROW(E5604:E$2)*(E5605=E5604:E$2)))))</f>
        <v> </v>
      </c>
      <c r="J5605" s="26" t="str">
        <f>IF(OR(E5605="",E5605="!!!",F5605="NEW"),"",COUNTBLANK(OFFSET(A$1,,,SUMPRODUCT(MAX(ROW(E$2:E5605)*(E5605=E$2:E5605)))))-COUNTBLANK(OFFSET(A$1,,,SUMPRODUCT(MAX(ROW(E$1:E5604)*(E2=E$1:E5604))))))</f>
        <v> </v>
      </c>
      <c r="K5605" s="26" t="str">
        <f>IF(OR(E5605="",E5605="!!!",F5605="NEW"),"",INDEX(J$1:J5604,SUMPRODUCT(MAX(ROW(E$1:E5604)*(E5605=E$1:E5604)))))</f>
        <v> </v>
      </c>
      <c r="L5605" s="27"/>
    </row>
    <row r="5606" spans="1:12">
      <c r="A5606" s="20" t="s">
        <v>1075</v>
      </c>
      <c r="E5606" s="22">
        <f>IF(D5606="?OLD","!!!","")</f>
        <v/>
      </c>
      <c r="F5606" s="23" t="str">
        <f>IF(OR(E5606="",E5606="!!!"),"",IF(NOT(ISNA(VLOOKUP(E5606,E$1:E5605,1,FALSE()))),"OLD",IF(AND(E5606&lt;&gt;"",E5606&lt;&gt;"!!!"),"NEW","")))</f>
        <v> </v>
      </c>
      <c r="G5606" s="24" t="str">
        <f>IF(OR(E5606="",E5606="!!!"),"",IF(OR(J5606=0,AND(J5606=1,K5606=1),AND(J5606=1,I5606="SBJ"),AND(J5606=1,I5606=0)),"?IN_FOCUS",IF(J5606&lt;=2,"?ACTIVATED",IF(J5606&lt;&gt;"","?FAMILIAR",IF(F5606="NEW",IF(ISNA(VLOOKUP(E5606,#REF!,1,FALSE())),"?TYPE_IDENTIFIABLE","?REFERENTIAL"),"_")))))</f>
        <v> </v>
      </c>
      <c r="H5606" s="25" t="str">
        <f>IF(J5606&lt;&gt;1,"",IF(I5606="SBJ","CB","?"))</f>
        <v> </v>
      </c>
      <c r="I5606" s="26" t="str">
        <f>IF(OR(E5606="",E5606="!!!",F5606="NEW"),"",INDEX(B5605:B$2,-1+SUMPRODUCT(MAX(ROW(E5605:E$2)*(E5606=E5605:E$2)))))</f>
        <v> </v>
      </c>
      <c r="J5606" s="26" t="str">
        <f>IF(OR(E5606="",E5606="!!!",F5606="NEW"),"",COUNTBLANK(OFFSET(A$1,,,SUMPRODUCT(MAX(ROW(E$2:E5606)*(E5606=E$2:E5606)))))-COUNTBLANK(OFFSET(A$1,,,SUMPRODUCT(MAX(ROW(E$1:E5605)*(E2=E$1:E5605))))))</f>
        <v> </v>
      </c>
      <c r="K5606" s="26" t="str">
        <f>IF(OR(E5606="",E5606="!!!",F5606="NEW"),"",INDEX(J$1:J5605,SUMPRODUCT(MAX(ROW(E$1:E5605)*(E5606=E$1:E5605)))))</f>
        <v> </v>
      </c>
      <c r="L5606" s="27"/>
    </row>
    <row r="5607" spans="1:12">
      <c r="A5607" s="20" t="s">
        <v>2517</v>
      </c>
      <c r="E5607" s="22">
        <f>IF(D5607="?OLD","!!!","")</f>
        <v/>
      </c>
      <c r="F5607" s="23" t="str">
        <f>IF(OR(E5607="",E5607="!!!"),"",IF(NOT(ISNA(VLOOKUP(E5607,E$1:E5606,1,FALSE()))),"OLD",IF(AND(E5607&lt;&gt;"",E5607&lt;&gt;"!!!"),"NEW","")))</f>
        <v> </v>
      </c>
      <c r="G5607" s="24" t="str">
        <f>IF(OR(E5607="",E5607="!!!"),"",IF(OR(J5607=0,AND(J5607=1,K5607=1),AND(J5607=1,I5607="SBJ"),AND(J5607=1,I5607=0)),"?IN_FOCUS",IF(J5607&lt;=2,"?ACTIVATED",IF(J5607&lt;&gt;"","?FAMILIAR",IF(F5607="NEW",IF(ISNA(VLOOKUP(E5607,#REF!,1,FALSE())),"?TYPE_IDENTIFIABLE","?REFERENTIAL"),"_")))))</f>
        <v> </v>
      </c>
      <c r="H5607" s="25" t="str">
        <f>IF(J5607&lt;&gt;1,"",IF(I5607="SBJ","CB","?"))</f>
        <v> </v>
      </c>
      <c r="I5607" s="26" t="str">
        <f>IF(OR(E5607="",E5607="!!!",F5607="NEW"),"",INDEX(B5606:B$2,-1+SUMPRODUCT(MAX(ROW(E5606:E$2)*(E5607=E5606:E$2)))))</f>
        <v> </v>
      </c>
      <c r="J5607" s="26" t="str">
        <f>IF(OR(E5607="",E5607="!!!",F5607="NEW"),"",COUNTBLANK(OFFSET(A$1,,,SUMPRODUCT(MAX(ROW(E$2:E5607)*(E5607=E$2:E5607)))))-COUNTBLANK(OFFSET(A$1,,,SUMPRODUCT(MAX(ROW(E$1:E5606)*(E2=E$1:E5606))))))</f>
        <v> </v>
      </c>
      <c r="K5607" s="26" t="str">
        <f>IF(OR(E5607="",E5607="!!!",F5607="NEW"),"",INDEX(J$1:J5606,SUMPRODUCT(MAX(ROW(E$1:E5606)*(E5607=E$1:E5606)))))</f>
        <v> </v>
      </c>
      <c r="L5607" s="27"/>
    </row>
    <row r="5608" spans="1:12">
      <c r="A5608" s="20" t="s">
        <v>2518</v>
      </c>
      <c r="B5608" s="21" t="s">
        <v>1005</v>
      </c>
      <c r="C5608" s="21" t="s">
        <v>1073</v>
      </c>
      <c r="D5608" s="21" t="s">
        <v>1007</v>
      </c>
      <c r="E5608" s="22">
        <f>IF(D5608="?OLD","!!!","")</f>
        <v/>
      </c>
      <c r="F5608" s="23" t="str">
        <f>IF(OR(E5608="",E5608="!!!"),"",IF(NOT(ISNA(VLOOKUP(E5608,E$1:E5607,1,FALSE()))),"OLD",IF(AND(E5608&lt;&gt;"",E5608&lt;&gt;"!!!"),"NEW","")))</f>
        <v> </v>
      </c>
      <c r="G5608" s="24" t="str">
        <f>IF(OR(E5608="",E5608="!!!"),"",IF(OR(J5608=0,AND(J5608=1,K5608=1),AND(J5608=1,I5608="SBJ"),AND(J5608=1,I5608=0)),"?IN_FOCUS",IF(J5608&lt;=2,"?ACTIVATED",IF(J5608&lt;&gt;"","?FAMILIAR",IF(F5608="NEW",IF(ISNA(VLOOKUP(E5608,#REF!,1,FALSE())),"?TYPE_IDENTIFIABLE","?REFERENTIAL"),"_")))))</f>
        <v> </v>
      </c>
      <c r="H5608" s="25" t="str">
        <f>IF(J5608&lt;&gt;1,"",IF(I5608="SBJ","CB","?"))</f>
        <v> </v>
      </c>
      <c r="I5608" s="26" t="str">
        <f>IF(OR(E5608="",E5608="!!!",F5608="NEW"),"",INDEX(B5607:B$2,-1+SUMPRODUCT(MAX(ROW(E5607:E$2)*(E5608=E5607:E$2)))))</f>
        <v> </v>
      </c>
      <c r="J5608" s="26" t="str">
        <f>IF(OR(E5608="",E5608="!!!",F5608="NEW"),"",COUNTBLANK(OFFSET(A$1,,,SUMPRODUCT(MAX(ROW(E$2:E5608)*(E5608=E$2:E5608)))))-COUNTBLANK(OFFSET(A$1,,,SUMPRODUCT(MAX(ROW(E$1:E5607)*(E2=E$1:E5607))))))</f>
        <v> </v>
      </c>
      <c r="K5608" s="26" t="str">
        <f>IF(OR(E5608="",E5608="!!!",F5608="NEW"),"",INDEX(J$1:J5607,SUMPRODUCT(MAX(ROW(E$1:E5607)*(E5608=E$1:E5607)))))</f>
        <v> </v>
      </c>
      <c r="L5608" s="27"/>
    </row>
    <row r="5609" spans="1:12">
      <c r="A5609" s="20" t="s">
        <v>1014</v>
      </c>
      <c r="E5609" s="22">
        <f>IF(D5609="?OLD","!!!","")</f>
        <v/>
      </c>
      <c r="F5609" s="23" t="str">
        <f>IF(OR(E5609="",E5609="!!!"),"",IF(NOT(ISNA(VLOOKUP(E5609,E$1:E5608,1,FALSE()))),"OLD",IF(AND(E5609&lt;&gt;"",E5609&lt;&gt;"!!!"),"NEW","")))</f>
        <v> </v>
      </c>
      <c r="G5609" s="24" t="str">
        <f>IF(OR(E5609="",E5609="!!!"),"",IF(OR(J5609=0,AND(J5609=1,K5609=1),AND(J5609=1,I5609="SBJ"),AND(J5609=1,I5609=0)),"?IN_FOCUS",IF(J5609&lt;=2,"?ACTIVATED",IF(J5609&lt;&gt;"","?FAMILIAR",IF(F5609="NEW",IF(ISNA(VLOOKUP(E5609,#REF!,1,FALSE())),"?TYPE_IDENTIFIABLE","?REFERENTIAL"),"_")))))</f>
        <v> </v>
      </c>
      <c r="H5609" s="25" t="str">
        <f>IF(J5609&lt;&gt;1,"",IF(I5609="SBJ","CB","?"))</f>
        <v> </v>
      </c>
      <c r="I5609" s="26" t="str">
        <f>IF(OR(E5609="",E5609="!!!",F5609="NEW"),"",INDEX(B5608:B$2,-1+SUMPRODUCT(MAX(ROW(E5608:E$2)*(E5609=E5608:E$2)))))</f>
        <v> </v>
      </c>
      <c r="J5609" s="26" t="str">
        <f>IF(OR(E5609="",E5609="!!!",F5609="NEW"),"",COUNTBLANK(OFFSET(A$1,,,SUMPRODUCT(MAX(ROW(E$2:E5609)*(E5609=E$2:E5609)))))-COUNTBLANK(OFFSET(A$1,,,SUMPRODUCT(MAX(ROW(E$1:E5608)*(E2=E$1:E5608))))))</f>
        <v> </v>
      </c>
      <c r="K5609" s="26" t="str">
        <f>IF(OR(E5609="",E5609="!!!",F5609="NEW"),"",INDEX(J$1:J5608,SUMPRODUCT(MAX(ROW(E$1:E5608)*(E5609=E$1:E5608)))))</f>
        <v> </v>
      </c>
      <c r="L5609" s="27"/>
    </row>
    <row r="5610" spans="1:12">
      <c r="A5610" s="20" t="s">
        <v>1065</v>
      </c>
      <c r="E5610" s="22">
        <f>IF(D5610="?OLD","!!!","")</f>
        <v/>
      </c>
      <c r="F5610" s="23" t="str">
        <f>IF(OR(E5610="",E5610="!!!"),"",IF(NOT(ISNA(VLOOKUP(E5610,E$1:E5609,1,FALSE()))),"OLD",IF(AND(E5610&lt;&gt;"",E5610&lt;&gt;"!!!"),"NEW","")))</f>
        <v> </v>
      </c>
      <c r="G5610" s="24" t="str">
        <f>IF(OR(E5610="",E5610="!!!"),"",IF(OR(J5610=0,AND(J5610=1,K5610=1),AND(J5610=1,I5610="SBJ"),AND(J5610=1,I5610=0)),"?IN_FOCUS",IF(J5610&lt;=2,"?ACTIVATED",IF(J5610&lt;&gt;"","?FAMILIAR",IF(F5610="NEW",IF(ISNA(VLOOKUP(E5610,#REF!,1,FALSE())),"?TYPE_IDENTIFIABLE","?REFERENTIAL"),"_")))))</f>
        <v> </v>
      </c>
      <c r="H5610" s="25" t="str">
        <f>IF(J5610&lt;&gt;1,"",IF(I5610="SBJ","CB","?"))</f>
        <v> </v>
      </c>
      <c r="I5610" s="26" t="str">
        <f>IF(OR(E5610="",E5610="!!!",F5610="NEW"),"",INDEX(B5609:B$2,-1+SUMPRODUCT(MAX(ROW(E5609:E$2)*(E5610=E5609:E$2)))))</f>
        <v> </v>
      </c>
      <c r="J5610" s="26" t="str">
        <f>IF(OR(E5610="",E5610="!!!",F5610="NEW"),"",COUNTBLANK(OFFSET(A$1,,,SUMPRODUCT(MAX(ROW(E$2:E5610)*(E5610=E$2:E5610)))))-COUNTBLANK(OFFSET(A$1,,,SUMPRODUCT(MAX(ROW(E$1:E5609)*(E2=E$1:E5609))))))</f>
        <v> </v>
      </c>
      <c r="K5610" s="26" t="str">
        <f>IF(OR(E5610="",E5610="!!!",F5610="NEW"),"",INDEX(J$1:J5609,SUMPRODUCT(MAX(ROW(E$1:E5609)*(E5610=E$1:E5609)))))</f>
        <v> </v>
      </c>
      <c r="L5610" s="27"/>
    </row>
    <row r="5611" spans="1:12">
      <c r="A5611" s="20" t="s">
        <v>1616</v>
      </c>
      <c r="E5611" s="22">
        <f>IF(D5611="?OLD","!!!","")</f>
        <v/>
      </c>
      <c r="F5611" s="23" t="str">
        <f>IF(OR(E5611="",E5611="!!!"),"",IF(NOT(ISNA(VLOOKUP(E5611,E$1:E5610,1,FALSE()))),"OLD",IF(AND(E5611&lt;&gt;"",E5611&lt;&gt;"!!!"),"NEW","")))</f>
        <v> </v>
      </c>
      <c r="G5611" s="24" t="str">
        <f>IF(OR(E5611="",E5611="!!!"),"",IF(OR(J5611=0,AND(J5611=1,K5611=1),AND(J5611=1,I5611="SBJ"),AND(J5611=1,I5611=0)),"?IN_FOCUS",IF(J5611&lt;=2,"?ACTIVATED",IF(J5611&lt;&gt;"","?FAMILIAR",IF(F5611="NEW",IF(ISNA(VLOOKUP(E5611,#REF!,1,FALSE())),"?TYPE_IDENTIFIABLE","?REFERENTIAL"),"_")))))</f>
        <v> </v>
      </c>
      <c r="H5611" s="25" t="str">
        <f>IF(J5611&lt;&gt;1,"",IF(I5611="SBJ","CB","?"))</f>
        <v> </v>
      </c>
      <c r="I5611" s="26" t="str">
        <f>IF(OR(E5611="",E5611="!!!",F5611="NEW"),"",INDEX(B5610:B$2,-1+SUMPRODUCT(MAX(ROW(E5610:E$2)*(E5611=E5610:E$2)))))</f>
        <v> </v>
      </c>
      <c r="J5611" s="26" t="str">
        <f>IF(OR(E5611="",E5611="!!!",F5611="NEW"),"",COUNTBLANK(OFFSET(A$1,,,SUMPRODUCT(MAX(ROW(E$2:E5611)*(E5611=E$2:E5611)))))-COUNTBLANK(OFFSET(A$1,,,SUMPRODUCT(MAX(ROW(E$1:E5610)*(E2=E$1:E5610))))))</f>
        <v> </v>
      </c>
      <c r="K5611" s="26" t="str">
        <f>IF(OR(E5611="",E5611="!!!",F5611="NEW"),"",INDEX(J$1:J5610,SUMPRODUCT(MAX(ROW(E$1:E5610)*(E5611=E$1:E5610)))))</f>
        <v> </v>
      </c>
      <c r="L5611" s="27"/>
    </row>
    <row r="5612" spans="1:12">
      <c r="A5612" s="20" t="s">
        <v>1023</v>
      </c>
      <c r="E5612" s="22">
        <f>IF(D5612="?OLD","!!!","")</f>
        <v/>
      </c>
      <c r="F5612" s="23" t="str">
        <f>IF(OR(E5612="",E5612="!!!"),"",IF(NOT(ISNA(VLOOKUP(E5612,E$1:E5611,1,FALSE()))),"OLD",IF(AND(E5612&lt;&gt;"",E5612&lt;&gt;"!!!"),"NEW","")))</f>
        <v> </v>
      </c>
      <c r="G5612" s="24" t="str">
        <f>IF(OR(E5612="",E5612="!!!"),"",IF(OR(J5612=0,AND(J5612=1,K5612=1),AND(J5612=1,I5612="SBJ"),AND(J5612=1,I5612=0)),"?IN_FOCUS",IF(J5612&lt;=2,"?ACTIVATED",IF(J5612&lt;&gt;"","?FAMILIAR",IF(F5612="NEW",IF(ISNA(VLOOKUP(E5612,#REF!,1,FALSE())),"?TYPE_IDENTIFIABLE","?REFERENTIAL"),"_")))))</f>
        <v> </v>
      </c>
      <c r="H5612" s="25" t="str">
        <f>IF(J5612&lt;&gt;1,"",IF(I5612="SBJ","CB","?"))</f>
        <v> </v>
      </c>
      <c r="I5612" s="26" t="str">
        <f>IF(OR(E5612="",E5612="!!!",F5612="NEW"),"",INDEX(B5611:B$2,-1+SUMPRODUCT(MAX(ROW(E5611:E$2)*(E5612=E5611:E$2)))))</f>
        <v> </v>
      </c>
      <c r="J5612" s="26" t="str">
        <f>IF(OR(E5612="",E5612="!!!",F5612="NEW"),"",COUNTBLANK(OFFSET(A$1,,,SUMPRODUCT(MAX(ROW(E$2:E5612)*(E5612=E$2:E5612)))))-COUNTBLANK(OFFSET(A$1,,,SUMPRODUCT(MAX(ROW(E$1:E5611)*(E2=E$1:E5611))))))</f>
        <v> </v>
      </c>
      <c r="K5612" s="26" t="str">
        <f>IF(OR(E5612="",E5612="!!!",F5612="NEW"),"",INDEX(J$1:J5611,SUMPRODUCT(MAX(ROW(E$1:E5611)*(E5612=E$1:E5611)))))</f>
        <v> </v>
      </c>
      <c r="L5612" s="27"/>
    </row>
    <row r="5613" spans="1:12">
      <c r="A5613" s="20"/>
    </row>
    <row r="5614" spans="1:12">
      <c r="A5614" s="20" t="s">
        <v>2519</v>
      </c>
    </row>
    <row r="5615" spans="1:12">
      <c r="A5615" s="20" t="s">
        <v>2520</v>
      </c>
      <c r="E5615" s="22">
        <f>IF(D5615="?OLD","!!!","")</f>
        <v/>
      </c>
      <c r="F5615" s="23" t="str">
        <f>IF(OR(E5615="",E5615="!!!"),"",IF(NOT(ISNA(VLOOKUP(E5615,E$1:E5614,1,FALSE()))),"OLD",IF(AND(E5615&lt;&gt;"",E5615&lt;&gt;"!!!"),"NEW","")))</f>
        <v> </v>
      </c>
      <c r="G5615" s="24" t="str">
        <f>IF(OR(E5615="",E5615="!!!"),"",IF(OR(J5615=0,AND(J5615=1,K5615=1),AND(J5615=1,I5615="SBJ"),AND(J5615=1,I5615=0)),"?IN_FOCUS",IF(J5615&lt;=2,"?ACTIVATED",IF(J5615&lt;&gt;"","?FAMILIAR",IF(F5615="NEW",IF(ISNA(VLOOKUP(E5615,#REF!,1,FALSE())),"?TYPE_IDENTIFIABLE","?REFERENTIAL"),"_")))))</f>
        <v> </v>
      </c>
      <c r="H5615" s="25" t="str">
        <f>IF(J5615&lt;&gt;1,"",IF(I5615="SBJ","CB","?"))</f>
        <v> </v>
      </c>
      <c r="I5615" s="26" t="str">
        <f>IF(OR(E5615="",E5615="!!!",F5615="NEW"),"",INDEX(B5614:B$2,-1+SUMPRODUCT(MAX(ROW(E5614:E$2)*(E5615=E5614:E$2)))))</f>
        <v> </v>
      </c>
      <c r="J5615" s="26" t="str">
        <f>IF(OR(E5615="",E5615="!!!",F5615="NEW"),"",COUNTBLANK(OFFSET(A$1,,,SUMPRODUCT(MAX(ROW(E$2:E5615)*(E5615=E$2:E5615)))))-COUNTBLANK(OFFSET(A$1,,,SUMPRODUCT(MAX(ROW(E$1:E5614)*(E2=E$1:E5614))))))</f>
        <v> </v>
      </c>
      <c r="K5615" s="26" t="str">
        <f>IF(OR(E5615="",E5615="!!!",F5615="NEW"),"",INDEX(J$1:J5614,SUMPRODUCT(MAX(ROW(E$1:E5614)*(E5615=E$1:E5614)))))</f>
        <v> </v>
      </c>
      <c r="L5615" s="27"/>
    </row>
    <row r="5616" spans="1:12">
      <c r="A5616" s="20" t="s">
        <v>1014</v>
      </c>
      <c r="E5616" s="22">
        <f>IF(D5616="?OLD","!!!","")</f>
        <v/>
      </c>
      <c r="F5616" s="23" t="str">
        <f>IF(OR(E5616="",E5616="!!!"),"",IF(NOT(ISNA(VLOOKUP(E5616,E$1:E5615,1,FALSE()))),"OLD",IF(AND(E5616&lt;&gt;"",E5616&lt;&gt;"!!!"),"NEW","")))</f>
        <v> </v>
      </c>
      <c r="G5616" s="24" t="str">
        <f>IF(OR(E5616="",E5616="!!!"),"",IF(OR(J5616=0,AND(J5616=1,K5616=1),AND(J5616=1,I5616="SBJ"),AND(J5616=1,I5616=0)),"?IN_FOCUS",IF(J5616&lt;=2,"?ACTIVATED",IF(J5616&lt;&gt;"","?FAMILIAR",IF(F5616="NEW",IF(ISNA(VLOOKUP(E5616,#REF!,1,FALSE())),"?TYPE_IDENTIFIABLE","?REFERENTIAL"),"_")))))</f>
        <v> </v>
      </c>
      <c r="H5616" s="25" t="str">
        <f>IF(J5616&lt;&gt;1,"",IF(I5616="SBJ","CB","?"))</f>
        <v> </v>
      </c>
      <c r="I5616" s="26" t="str">
        <f>IF(OR(E5616="",E5616="!!!",F5616="NEW"),"",INDEX(B5615:B$2,-1+SUMPRODUCT(MAX(ROW(E5615:E$2)*(E5616=E5615:E$2)))))</f>
        <v> </v>
      </c>
      <c r="J5616" s="26" t="str">
        <f>IF(OR(E5616="",E5616="!!!",F5616="NEW"),"",COUNTBLANK(OFFSET(A$1,,,SUMPRODUCT(MAX(ROW(E$2:E5616)*(E5616=E$2:E5616)))))-COUNTBLANK(OFFSET(A$1,,,SUMPRODUCT(MAX(ROW(E$1:E5615)*(E2=E$1:E5615))))))</f>
        <v> </v>
      </c>
      <c r="K5616" s="26" t="str">
        <f>IF(OR(E5616="",E5616="!!!",F5616="NEW"),"",INDEX(J$1:J5615,SUMPRODUCT(MAX(ROW(E$1:E5615)*(E5616=E$1:E5615)))))</f>
        <v> </v>
      </c>
      <c r="L5616" s="27"/>
    </row>
    <row r="5617" spans="1:12">
      <c r="A5617" s="20" t="s">
        <v>1056</v>
      </c>
      <c r="E5617" s="22">
        <f>IF(D5617="?OLD","!!!","")</f>
        <v/>
      </c>
      <c r="F5617" s="23" t="str">
        <f>IF(OR(E5617="",E5617="!!!"),"",IF(NOT(ISNA(VLOOKUP(E5617,E$1:E5616,1,FALSE()))),"OLD",IF(AND(E5617&lt;&gt;"",E5617&lt;&gt;"!!!"),"NEW","")))</f>
        <v> </v>
      </c>
      <c r="G5617" s="24" t="str">
        <f>IF(OR(E5617="",E5617="!!!"),"",IF(OR(J5617=0,AND(J5617=1,K5617=1),AND(J5617=1,I5617="SBJ"),AND(J5617=1,I5617=0)),"?IN_FOCUS",IF(J5617&lt;=2,"?ACTIVATED",IF(J5617&lt;&gt;"","?FAMILIAR",IF(F5617="NEW",IF(ISNA(VLOOKUP(E5617,#REF!,1,FALSE())),"?TYPE_IDENTIFIABLE","?REFERENTIAL"),"_")))))</f>
        <v> </v>
      </c>
      <c r="H5617" s="25" t="str">
        <f>IF(J5617&lt;&gt;1,"",IF(I5617="SBJ","CB","?"))</f>
        <v> </v>
      </c>
      <c r="I5617" s="26" t="str">
        <f>IF(OR(E5617="",E5617="!!!",F5617="NEW"),"",INDEX(B5616:B$2,-1+SUMPRODUCT(MAX(ROW(E5616:E$2)*(E5617=E5616:E$2)))))</f>
        <v> </v>
      </c>
      <c r="J5617" s="26" t="str">
        <f>IF(OR(E5617="",E5617="!!!",F5617="NEW"),"",COUNTBLANK(OFFSET(A$1,,,SUMPRODUCT(MAX(ROW(E$2:E5617)*(E5617=E$2:E5617)))))-COUNTBLANK(OFFSET(A$1,,,SUMPRODUCT(MAX(ROW(E$1:E5616)*(E2=E$1:E5616))))))</f>
        <v> </v>
      </c>
      <c r="K5617" s="26" t="str">
        <f>IF(OR(E5617="",E5617="!!!",F5617="NEW"),"",INDEX(J$1:J5616,SUMPRODUCT(MAX(ROW(E$1:E5616)*(E5617=E$1:E5616)))))</f>
        <v> </v>
      </c>
      <c r="L5617" s="27"/>
    </row>
    <row r="5618" spans="1:12">
      <c r="A5618" s="20" t="s">
        <v>2521</v>
      </c>
      <c r="B5618" s="21" t="s">
        <v>1085</v>
      </c>
      <c r="C5618" s="21" t="s">
        <v>1013</v>
      </c>
      <c r="D5618" s="21" t="s">
        <v>1007</v>
      </c>
      <c r="E5618" s="22">
        <f>IF(D5618="?OLD","!!!","")</f>
        <v/>
      </c>
      <c r="F5618" s="23" t="str">
        <f>IF(OR(E5618="",E5618="!!!"),"",IF(NOT(ISNA(VLOOKUP(E5618,E$1:E5617,1,FALSE()))),"OLD",IF(AND(E5618&lt;&gt;"",E5618&lt;&gt;"!!!"),"NEW","")))</f>
        <v> </v>
      </c>
      <c r="G5618" s="24" t="str">
        <f>IF(OR(E5618="",E5618="!!!"),"",IF(OR(J5618=0,AND(J5618=1,K5618=1),AND(J5618=1,I5618="SBJ"),AND(J5618=1,I5618=0)),"?IN_FOCUS",IF(J5618&lt;=2,"?ACTIVATED",IF(J5618&lt;&gt;"","?FAMILIAR",IF(F5618="NEW",IF(ISNA(VLOOKUP(E5618,#REF!,1,FALSE())),"?TYPE_IDENTIFIABLE","?REFERENTIAL"),"_")))))</f>
        <v> </v>
      </c>
      <c r="H5618" s="25" t="str">
        <f>IF(J5618&lt;&gt;1,"",IF(I5618="SBJ","CB","?"))</f>
        <v> </v>
      </c>
      <c r="I5618" s="26" t="str">
        <f>IF(OR(E5618="",E5618="!!!",F5618="NEW"),"",INDEX(B5617:B$2,-1+SUMPRODUCT(MAX(ROW(E5617:E$2)*(E5618=E5617:E$2)))))</f>
        <v> </v>
      </c>
      <c r="J5618" s="26" t="str">
        <f>IF(OR(E5618="",E5618="!!!",F5618="NEW"),"",COUNTBLANK(OFFSET(A$1,,,SUMPRODUCT(MAX(ROW(E$2:E5618)*(E5618=E$2:E5618)))))-COUNTBLANK(OFFSET(A$1,,,SUMPRODUCT(MAX(ROW(E$1:E5617)*(E2=E$1:E5617))))))</f>
        <v> </v>
      </c>
      <c r="K5618" s="26" t="str">
        <f>IF(OR(E5618="",E5618="!!!",F5618="NEW"),"",INDEX(J$1:J5617,SUMPRODUCT(MAX(ROW(E$1:E5617)*(E5618=E$1:E5617)))))</f>
        <v> </v>
      </c>
      <c r="L5618" s="27"/>
    </row>
    <row r="5619" spans="1:12">
      <c r="A5619" s="20" t="s">
        <v>1097</v>
      </c>
      <c r="E5619" s="22">
        <f>IF(D5619="?OLD","!!!","")</f>
        <v/>
      </c>
      <c r="F5619" s="23" t="str">
        <f>IF(OR(E5619="",E5619="!!!"),"",IF(NOT(ISNA(VLOOKUP(E5619,E$1:E5618,1,FALSE()))),"OLD",IF(AND(E5619&lt;&gt;"",E5619&lt;&gt;"!!!"),"NEW","")))</f>
        <v> </v>
      </c>
      <c r="G5619" s="24" t="str">
        <f>IF(OR(E5619="",E5619="!!!"),"",IF(OR(J5619=0,AND(J5619=1,K5619=1),AND(J5619=1,I5619="SBJ"),AND(J5619=1,I5619=0)),"?IN_FOCUS",IF(J5619&lt;=2,"?ACTIVATED",IF(J5619&lt;&gt;"","?FAMILIAR",IF(F5619="NEW",IF(ISNA(VLOOKUP(E5619,#REF!,1,FALSE())),"?TYPE_IDENTIFIABLE","?REFERENTIAL"),"_")))))</f>
        <v> </v>
      </c>
      <c r="H5619" s="25" t="str">
        <f>IF(J5619&lt;&gt;1,"",IF(I5619="SBJ","CB","?"))</f>
        <v> </v>
      </c>
      <c r="I5619" s="26" t="str">
        <f>IF(OR(E5619="",E5619="!!!",F5619="NEW"),"",INDEX(B5618:B$2,-1+SUMPRODUCT(MAX(ROW(E5618:E$2)*(E5619=E5618:E$2)))))</f>
        <v> </v>
      </c>
      <c r="J5619" s="26" t="str">
        <f>IF(OR(E5619="",E5619="!!!",F5619="NEW"),"",COUNTBLANK(OFFSET(A$1,,,SUMPRODUCT(MAX(ROW(E$2:E5619)*(E5619=E$2:E5619)))))-COUNTBLANK(OFFSET(A$1,,,SUMPRODUCT(MAX(ROW(E$1:E5618)*(E2=E$1:E5618))))))</f>
        <v> </v>
      </c>
      <c r="K5619" s="26" t="str">
        <f>IF(OR(E5619="",E5619="!!!",F5619="NEW"),"",INDEX(J$1:J5618,SUMPRODUCT(MAX(ROW(E$1:E5618)*(E5619=E$1:E5618)))))</f>
        <v> </v>
      </c>
      <c r="L5619" s="27"/>
    </row>
    <row r="5620" spans="1:12">
      <c r="A5620" s="20" t="s">
        <v>1015</v>
      </c>
      <c r="E5620" s="22">
        <f>IF(D5620="?OLD","!!!","")</f>
        <v/>
      </c>
      <c r="F5620" s="23" t="str">
        <f>IF(OR(E5620="",E5620="!!!"),"",IF(NOT(ISNA(VLOOKUP(E5620,E$1:E5619,1,FALSE()))),"OLD",IF(AND(E5620&lt;&gt;"",E5620&lt;&gt;"!!!"),"NEW","")))</f>
        <v> </v>
      </c>
      <c r="G5620" s="24" t="str">
        <f>IF(OR(E5620="",E5620="!!!"),"",IF(OR(J5620=0,AND(J5620=1,K5620=1),AND(J5620=1,I5620="SBJ"),AND(J5620=1,I5620=0)),"?IN_FOCUS",IF(J5620&lt;=2,"?ACTIVATED",IF(J5620&lt;&gt;"","?FAMILIAR",IF(F5620="NEW",IF(ISNA(VLOOKUP(E5620,#REF!,1,FALSE())),"?TYPE_IDENTIFIABLE","?REFERENTIAL"),"_")))))</f>
        <v> </v>
      </c>
      <c r="H5620" s="25" t="str">
        <f>IF(J5620&lt;&gt;1,"",IF(I5620="SBJ","CB","?"))</f>
        <v> </v>
      </c>
      <c r="I5620" s="26" t="str">
        <f>IF(OR(E5620="",E5620="!!!",F5620="NEW"),"",INDEX(B5619:B$2,-1+SUMPRODUCT(MAX(ROW(E5619:E$2)*(E5620=E5619:E$2)))))</f>
        <v> </v>
      </c>
      <c r="J5620" s="26" t="str">
        <f>IF(OR(E5620="",E5620="!!!",F5620="NEW"),"",COUNTBLANK(OFFSET(A$1,,,SUMPRODUCT(MAX(ROW(E$2:E5620)*(E5620=E$2:E5620)))))-COUNTBLANK(OFFSET(A$1,,,SUMPRODUCT(MAX(ROW(E$1:E5619)*(E2=E$1:E5619))))))</f>
        <v> </v>
      </c>
      <c r="K5620" s="26" t="str">
        <f>IF(OR(E5620="",E5620="!!!",F5620="NEW"),"",INDEX(J$1:J5619,SUMPRODUCT(MAX(ROW(E$1:E5619)*(E5620=E$1:E5619)))))</f>
        <v> </v>
      </c>
      <c r="L5620" s="27"/>
    </row>
    <row r="5621" spans="1:12">
      <c r="A5621" s="20" t="s">
        <v>1269</v>
      </c>
      <c r="B5621" s="21" t="s">
        <v>1033</v>
      </c>
      <c r="C5621" s="21" t="s">
        <v>1059</v>
      </c>
      <c r="D5621" s="21" t="s">
        <v>1007</v>
      </c>
      <c r="E5621" s="22">
        <f>IF(D5621="?OLD","!!!","")</f>
        <v/>
      </c>
      <c r="F5621" s="23" t="str">
        <f>IF(OR(E5621="",E5621="!!!"),"",IF(NOT(ISNA(VLOOKUP(E5621,E$1:E5620,1,FALSE()))),"OLD",IF(AND(E5621&lt;&gt;"",E5621&lt;&gt;"!!!"),"NEW","")))</f>
        <v> </v>
      </c>
      <c r="G5621" s="24" t="str">
        <f>IF(OR(E5621="",E5621="!!!"),"",IF(OR(J5621=0,AND(J5621=1,K5621=1),AND(J5621=1,I5621="SBJ"),AND(J5621=1,I5621=0)),"?IN_FOCUS",IF(J5621&lt;=2,"?ACTIVATED",IF(J5621&lt;&gt;"","?FAMILIAR",IF(F5621="NEW",IF(ISNA(VLOOKUP(E5621,#REF!,1,FALSE())),"?TYPE_IDENTIFIABLE","?REFERENTIAL"),"_")))))</f>
        <v> </v>
      </c>
      <c r="H5621" s="25" t="str">
        <f>IF(J5621&lt;&gt;1,"",IF(I5621="SBJ","CB","?"))</f>
        <v> </v>
      </c>
      <c r="I5621" s="26" t="str">
        <f>IF(OR(E5621="",E5621="!!!",F5621="NEW"),"",INDEX(B5620:B$2,-1+SUMPRODUCT(MAX(ROW(E5620:E$2)*(E5621=E5620:E$2)))))</f>
        <v> </v>
      </c>
      <c r="J5621" s="26" t="str">
        <f>IF(OR(E5621="",E5621="!!!",F5621="NEW"),"",COUNTBLANK(OFFSET(A$1,,,SUMPRODUCT(MAX(ROW(E$2:E5621)*(E5621=E$2:E5621)))))-COUNTBLANK(OFFSET(A$1,,,SUMPRODUCT(MAX(ROW(E$1:E5620)*(E2=E$1:E5620))))))</f>
        <v> </v>
      </c>
      <c r="K5621" s="26" t="str">
        <f>IF(OR(E5621="",E5621="!!!",F5621="NEW"),"",INDEX(J$1:J5620,SUMPRODUCT(MAX(ROW(E$1:E5620)*(E5621=E$1:E5620)))))</f>
        <v> </v>
      </c>
      <c r="L5621" s="27"/>
    </row>
    <row r="5622" spans="1:12">
      <c r="A5622" s="20" t="s">
        <v>2522</v>
      </c>
      <c r="B5622" s="21" t="s">
        <v>1022</v>
      </c>
      <c r="C5622" s="21" t="s">
        <v>1017</v>
      </c>
      <c r="D5622" s="21" t="s">
        <v>1007</v>
      </c>
      <c r="E5622" s="22">
        <f>IF(D5622="?OLD","!!!","")</f>
        <v/>
      </c>
      <c r="F5622" s="23" t="str">
        <f>IF(OR(E5622="",E5622="!!!"),"",IF(NOT(ISNA(VLOOKUP(E5622,E$1:E5621,1,FALSE()))),"OLD",IF(AND(E5622&lt;&gt;"",E5622&lt;&gt;"!!!"),"NEW","")))</f>
        <v> </v>
      </c>
      <c r="G5622" s="24" t="str">
        <f>IF(OR(E5622="",E5622="!!!"),"",IF(OR(J5622=0,AND(J5622=1,K5622=1),AND(J5622=1,I5622="SBJ"),AND(J5622=1,I5622=0)),"?IN_FOCUS",IF(J5622&lt;=2,"?ACTIVATED",IF(J5622&lt;&gt;"","?FAMILIAR",IF(F5622="NEW",IF(ISNA(VLOOKUP(E5622,#REF!,1,FALSE())),"?TYPE_IDENTIFIABLE","?REFERENTIAL"),"_")))))</f>
        <v> </v>
      </c>
      <c r="H5622" s="25" t="str">
        <f>IF(J5622&lt;&gt;1,"",IF(I5622="SBJ","CB","?"))</f>
        <v> </v>
      </c>
      <c r="I5622" s="26" t="str">
        <f>IF(OR(E5622="",E5622="!!!",F5622="NEW"),"",INDEX(B5621:B$2,-1+SUMPRODUCT(MAX(ROW(E5621:E$2)*(E5622=E5621:E$2)))))</f>
        <v> </v>
      </c>
      <c r="J5622" s="26" t="str">
        <f>IF(OR(E5622="",E5622="!!!",F5622="NEW"),"",COUNTBLANK(OFFSET(A$1,,,SUMPRODUCT(MAX(ROW(E$2:E5622)*(E5622=E$2:E5622)))))-COUNTBLANK(OFFSET(A$1,,,SUMPRODUCT(MAX(ROW(E$1:E5621)*(E2=E$1:E5621))))))</f>
        <v> </v>
      </c>
      <c r="K5622" s="26" t="str">
        <f>IF(OR(E5622="",E5622="!!!",F5622="NEW"),"",INDEX(J$1:J5621,SUMPRODUCT(MAX(ROW(E$1:E5621)*(E5622=E$1:E5621)))))</f>
        <v> </v>
      </c>
      <c r="L5622" s="27"/>
    </row>
    <row r="5623" spans="1:12">
      <c r="A5623" s="20" t="s">
        <v>1142</v>
      </c>
      <c r="E5623" s="22">
        <f>IF(D5623="?OLD","!!!","")</f>
        <v/>
      </c>
      <c r="F5623" s="23" t="str">
        <f>IF(OR(E5623="",E5623="!!!"),"",IF(NOT(ISNA(VLOOKUP(E5623,E$1:E5622,1,FALSE()))),"OLD",IF(AND(E5623&lt;&gt;"",E5623&lt;&gt;"!!!"),"NEW","")))</f>
        <v> </v>
      </c>
      <c r="G5623" s="24" t="str">
        <f>IF(OR(E5623="",E5623="!!!"),"",IF(OR(J5623=0,AND(J5623=1,K5623=1),AND(J5623=1,I5623="SBJ"),AND(J5623=1,I5623=0)),"?IN_FOCUS",IF(J5623&lt;=2,"?ACTIVATED",IF(J5623&lt;&gt;"","?FAMILIAR",IF(F5623="NEW",IF(ISNA(VLOOKUP(E5623,#REF!,1,FALSE())),"?TYPE_IDENTIFIABLE","?REFERENTIAL"),"_")))))</f>
        <v> </v>
      </c>
      <c r="H5623" s="25" t="str">
        <f>IF(J5623&lt;&gt;1,"",IF(I5623="SBJ","CB","?"))</f>
        <v> </v>
      </c>
      <c r="I5623" s="26" t="str">
        <f>IF(OR(E5623="",E5623="!!!",F5623="NEW"),"",INDEX(B5622:B$2,-1+SUMPRODUCT(MAX(ROW(E5622:E$2)*(E5623=E5622:E$2)))))</f>
        <v> </v>
      </c>
      <c r="J5623" s="26" t="str">
        <f>IF(OR(E5623="",E5623="!!!",F5623="NEW"),"",COUNTBLANK(OFFSET(A$1,,,SUMPRODUCT(MAX(ROW(E$2:E5623)*(E5623=E$2:E5623)))))-COUNTBLANK(OFFSET(A$1,,,SUMPRODUCT(MAX(ROW(E$1:E5622)*(E2=E$1:E5622))))))</f>
        <v> </v>
      </c>
      <c r="K5623" s="26" t="str">
        <f>IF(OR(E5623="",E5623="!!!",F5623="NEW"),"",INDEX(J$1:J5622,SUMPRODUCT(MAX(ROW(E$1:E5622)*(E5623=E$1:E5622)))))</f>
        <v> </v>
      </c>
      <c r="L5623" s="27"/>
    </row>
    <row r="5624" spans="1:12">
      <c r="A5624" s="20" t="s">
        <v>2432</v>
      </c>
      <c r="E5624" s="22">
        <f>IF(D5624="?OLD","!!!","")</f>
        <v/>
      </c>
      <c r="F5624" s="23" t="str">
        <f>IF(OR(E5624="",E5624="!!!"),"",IF(NOT(ISNA(VLOOKUP(E5624,E$1:E5623,1,FALSE()))),"OLD",IF(AND(E5624&lt;&gt;"",E5624&lt;&gt;"!!!"),"NEW","")))</f>
        <v> </v>
      </c>
      <c r="G5624" s="24" t="str">
        <f>IF(OR(E5624="",E5624="!!!"),"",IF(OR(J5624=0,AND(J5624=1,K5624=1),AND(J5624=1,I5624="SBJ"),AND(J5624=1,I5624=0)),"?IN_FOCUS",IF(J5624&lt;=2,"?ACTIVATED",IF(J5624&lt;&gt;"","?FAMILIAR",IF(F5624="NEW",IF(ISNA(VLOOKUP(E5624,#REF!,1,FALSE())),"?TYPE_IDENTIFIABLE","?REFERENTIAL"),"_")))))</f>
        <v> </v>
      </c>
      <c r="H5624" s="25" t="str">
        <f>IF(J5624&lt;&gt;1,"",IF(I5624="SBJ","CB","?"))</f>
        <v> </v>
      </c>
      <c r="I5624" s="26" t="str">
        <f>IF(OR(E5624="",E5624="!!!",F5624="NEW"),"",INDEX(B5623:B$2,-1+SUMPRODUCT(MAX(ROW(E5623:E$2)*(E5624=E5623:E$2)))))</f>
        <v> </v>
      </c>
      <c r="J5624" s="26" t="str">
        <f>IF(OR(E5624="",E5624="!!!",F5624="NEW"),"",COUNTBLANK(OFFSET(A$1,,,SUMPRODUCT(MAX(ROW(E$2:E5624)*(E5624=E$2:E5624)))))-COUNTBLANK(OFFSET(A$1,,,SUMPRODUCT(MAX(ROW(E$1:E5623)*(E2=E$1:E5623))))))</f>
        <v> </v>
      </c>
      <c r="K5624" s="26" t="str">
        <f>IF(OR(E5624="",E5624="!!!",F5624="NEW"),"",INDEX(J$1:J5623,SUMPRODUCT(MAX(ROW(E$1:E5623)*(E5624=E$1:E5623)))))</f>
        <v> </v>
      </c>
      <c r="L5624" s="27"/>
    </row>
    <row r="5625" spans="1:12">
      <c r="A5625" s="20" t="s">
        <v>1036</v>
      </c>
      <c r="E5625" s="22">
        <f>IF(D5625="?OLD","!!!","")</f>
        <v/>
      </c>
      <c r="F5625" s="23" t="str">
        <f>IF(OR(E5625="",E5625="!!!"),"",IF(NOT(ISNA(VLOOKUP(E5625,E$1:E5624,1,FALSE()))),"OLD",IF(AND(E5625&lt;&gt;"",E5625&lt;&gt;"!!!"),"NEW","")))</f>
        <v> </v>
      </c>
      <c r="G5625" s="24" t="str">
        <f>IF(OR(E5625="",E5625="!!!"),"",IF(OR(J5625=0,AND(J5625=1,K5625=1),AND(J5625=1,I5625="SBJ"),AND(J5625=1,I5625=0)),"?IN_FOCUS",IF(J5625&lt;=2,"?ACTIVATED",IF(J5625&lt;&gt;"","?FAMILIAR",IF(F5625="NEW",IF(ISNA(VLOOKUP(E5625,#REF!,1,FALSE())),"?TYPE_IDENTIFIABLE","?REFERENTIAL"),"_")))))</f>
        <v> </v>
      </c>
      <c r="H5625" s="25" t="str">
        <f>IF(J5625&lt;&gt;1,"",IF(I5625="SBJ","CB","?"))</f>
        <v> </v>
      </c>
      <c r="I5625" s="26" t="str">
        <f>IF(OR(E5625="",E5625="!!!",F5625="NEW"),"",INDEX(B5624:B$2,-1+SUMPRODUCT(MAX(ROW(E5624:E$2)*(E5625=E5624:E$2)))))</f>
        <v> </v>
      </c>
      <c r="J5625" s="26" t="str">
        <f>IF(OR(E5625="",E5625="!!!",F5625="NEW"),"",COUNTBLANK(OFFSET(A$1,,,SUMPRODUCT(MAX(ROW(E$2:E5625)*(E5625=E$2:E5625)))))-COUNTBLANK(OFFSET(A$1,,,SUMPRODUCT(MAX(ROW(E$1:E5624)*(E2=E$1:E5624))))))</f>
        <v> </v>
      </c>
      <c r="K5625" s="26" t="str">
        <f>IF(OR(E5625="",E5625="!!!",F5625="NEW"),"",INDEX(J$1:J5624,SUMPRODUCT(MAX(ROW(E$1:E5624)*(E5625=E$1:E5624)))))</f>
        <v> </v>
      </c>
      <c r="L5625" s="27"/>
    </row>
    <row r="5626" spans="1:12">
      <c r="A5626" s="20" t="s">
        <v>2523</v>
      </c>
      <c r="E5626" s="22">
        <f>IF(D5626="?OLD","!!!","")</f>
        <v/>
      </c>
      <c r="F5626" s="23" t="str">
        <f>IF(OR(E5626="",E5626="!!!"),"",IF(NOT(ISNA(VLOOKUP(E5626,E$1:E5625,1,FALSE()))),"OLD",IF(AND(E5626&lt;&gt;"",E5626&lt;&gt;"!!!"),"NEW","")))</f>
        <v> </v>
      </c>
      <c r="G5626" s="24" t="str">
        <f>IF(OR(E5626="",E5626="!!!"),"",IF(OR(J5626=0,AND(J5626=1,K5626=1),AND(J5626=1,I5626="SBJ"),AND(J5626=1,I5626=0)),"?IN_FOCUS",IF(J5626&lt;=2,"?ACTIVATED",IF(J5626&lt;&gt;"","?FAMILIAR",IF(F5626="NEW",IF(ISNA(VLOOKUP(E5626,#REF!,1,FALSE())),"?TYPE_IDENTIFIABLE","?REFERENTIAL"),"_")))))</f>
        <v> </v>
      </c>
      <c r="H5626" s="25" t="str">
        <f>IF(J5626&lt;&gt;1,"",IF(I5626="SBJ","CB","?"))</f>
        <v> </v>
      </c>
      <c r="I5626" s="26" t="str">
        <f>IF(OR(E5626="",E5626="!!!",F5626="NEW"),"",INDEX(B5625:B$2,-1+SUMPRODUCT(MAX(ROW(E5625:E$2)*(E5626=E5625:E$2)))))</f>
        <v> </v>
      </c>
      <c r="J5626" s="26" t="str">
        <f>IF(OR(E5626="",E5626="!!!",F5626="NEW"),"",COUNTBLANK(OFFSET(A$1,,,SUMPRODUCT(MAX(ROW(E$2:E5626)*(E5626=E$2:E5626)))))-COUNTBLANK(OFFSET(A$1,,,SUMPRODUCT(MAX(ROW(E$1:E5625)*(E2=E$1:E5625))))))</f>
        <v> </v>
      </c>
      <c r="K5626" s="26" t="str">
        <f>IF(OR(E5626="",E5626="!!!",F5626="NEW"),"",INDEX(J$1:J5625,SUMPRODUCT(MAX(ROW(E$1:E5625)*(E5626=E$1:E5625)))))</f>
        <v> </v>
      </c>
      <c r="L5626" s="27"/>
    </row>
    <row r="5627" spans="1:12">
      <c r="A5627" s="20" t="s">
        <v>1330</v>
      </c>
      <c r="E5627" s="22">
        <f>IF(D5627="?OLD","!!!","")</f>
        <v/>
      </c>
      <c r="F5627" s="23" t="str">
        <f>IF(OR(E5627="",E5627="!!!"),"",IF(NOT(ISNA(VLOOKUP(E5627,E$1:E5626,1,FALSE()))),"OLD",IF(AND(E5627&lt;&gt;"",E5627&lt;&gt;"!!!"),"NEW","")))</f>
        <v> </v>
      </c>
      <c r="G5627" s="24" t="str">
        <f>IF(OR(E5627="",E5627="!!!"),"",IF(OR(J5627=0,AND(J5627=1,K5627=1),AND(J5627=1,I5627="SBJ"),AND(J5627=1,I5627=0)),"?IN_FOCUS",IF(J5627&lt;=2,"?ACTIVATED",IF(J5627&lt;&gt;"","?FAMILIAR",IF(F5627="NEW",IF(ISNA(VLOOKUP(E5627,#REF!,1,FALSE())),"?TYPE_IDENTIFIABLE","?REFERENTIAL"),"_")))))</f>
        <v> </v>
      </c>
      <c r="H5627" s="25" t="str">
        <f>IF(J5627&lt;&gt;1,"",IF(I5627="SBJ","CB","?"))</f>
        <v> </v>
      </c>
      <c r="I5627" s="26" t="str">
        <f>IF(OR(E5627="",E5627="!!!",F5627="NEW"),"",INDEX(B5626:B$2,-1+SUMPRODUCT(MAX(ROW(E5626:E$2)*(E5627=E5626:E$2)))))</f>
        <v> </v>
      </c>
      <c r="J5627" s="26" t="str">
        <f>IF(OR(E5627="",E5627="!!!",F5627="NEW"),"",COUNTBLANK(OFFSET(A$1,,,SUMPRODUCT(MAX(ROW(E$2:E5627)*(E5627=E$2:E5627)))))-COUNTBLANK(OFFSET(A$1,,,SUMPRODUCT(MAX(ROW(E$1:E5626)*(E2=E$1:E5626))))))</f>
        <v> </v>
      </c>
      <c r="K5627" s="26" t="str">
        <f>IF(OR(E5627="",E5627="!!!",F5627="NEW"),"",INDEX(J$1:J5626,SUMPRODUCT(MAX(ROW(E$1:E5626)*(E5627=E$1:E5626)))))</f>
        <v> </v>
      </c>
      <c r="L5627" s="27"/>
    </row>
    <row r="5628" spans="1:12">
      <c r="A5628" s="20" t="s">
        <v>2524</v>
      </c>
      <c r="E5628" s="22">
        <f>IF(D5628="?OLD","!!!","")</f>
        <v/>
      </c>
      <c r="F5628" s="23" t="str">
        <f>IF(OR(E5628="",E5628="!!!"),"",IF(NOT(ISNA(VLOOKUP(E5628,E$1:E5627,1,FALSE()))),"OLD",IF(AND(E5628&lt;&gt;"",E5628&lt;&gt;"!!!"),"NEW","")))</f>
        <v> </v>
      </c>
      <c r="G5628" s="24" t="str">
        <f>IF(OR(E5628="",E5628="!!!"),"",IF(OR(J5628=0,AND(J5628=1,K5628=1),AND(J5628=1,I5628="SBJ"),AND(J5628=1,I5628=0)),"?IN_FOCUS",IF(J5628&lt;=2,"?ACTIVATED",IF(J5628&lt;&gt;"","?FAMILIAR",IF(F5628="NEW",IF(ISNA(VLOOKUP(E5628,#REF!,1,FALSE())),"?TYPE_IDENTIFIABLE","?REFERENTIAL"),"_")))))</f>
        <v> </v>
      </c>
      <c r="H5628" s="25" t="str">
        <f>IF(J5628&lt;&gt;1,"",IF(I5628="SBJ","CB","?"))</f>
        <v> </v>
      </c>
      <c r="I5628" s="26" t="str">
        <f>IF(OR(E5628="",E5628="!!!",F5628="NEW"),"",INDEX(B5627:B$2,-1+SUMPRODUCT(MAX(ROW(E5627:E$2)*(E5628=E5627:E$2)))))</f>
        <v> </v>
      </c>
      <c r="J5628" s="26" t="str">
        <f>IF(OR(E5628="",E5628="!!!",F5628="NEW"),"",COUNTBLANK(OFFSET(A$1,,,SUMPRODUCT(MAX(ROW(E$2:E5628)*(E5628=E$2:E5628)))))-COUNTBLANK(OFFSET(A$1,,,SUMPRODUCT(MAX(ROW(E$1:E5627)*(E2=E$1:E5627))))))</f>
        <v> </v>
      </c>
      <c r="K5628" s="26" t="str">
        <f>IF(OR(E5628="",E5628="!!!",F5628="NEW"),"",INDEX(J$1:J5627,SUMPRODUCT(MAX(ROW(E$1:E5627)*(E5628=E$1:E5627)))))</f>
        <v> </v>
      </c>
      <c r="L5628" s="27"/>
    </row>
    <row r="5629" spans="1:12">
      <c r="A5629" s="20" t="s">
        <v>1030</v>
      </c>
      <c r="E5629" s="22">
        <f>IF(D5629="?OLD","!!!","")</f>
        <v/>
      </c>
      <c r="F5629" s="23" t="str">
        <f>IF(OR(E5629="",E5629="!!!"),"",IF(NOT(ISNA(VLOOKUP(E5629,E$1:E5628,1,FALSE()))),"OLD",IF(AND(E5629&lt;&gt;"",E5629&lt;&gt;"!!!"),"NEW","")))</f>
        <v> </v>
      </c>
      <c r="G5629" s="24" t="str">
        <f>IF(OR(E5629="",E5629="!!!"),"",IF(OR(J5629=0,AND(J5629=1,K5629=1),AND(J5629=1,I5629="SBJ"),AND(J5629=1,I5629=0)),"?IN_FOCUS",IF(J5629&lt;=2,"?ACTIVATED",IF(J5629&lt;&gt;"","?FAMILIAR",IF(F5629="NEW",IF(ISNA(VLOOKUP(E5629,#REF!,1,FALSE())),"?TYPE_IDENTIFIABLE","?REFERENTIAL"),"_")))))</f>
        <v> </v>
      </c>
      <c r="H5629" s="25" t="str">
        <f>IF(J5629&lt;&gt;1,"",IF(I5629="SBJ","CB","?"))</f>
        <v> </v>
      </c>
      <c r="I5629" s="26" t="str">
        <f>IF(OR(E5629="",E5629="!!!",F5629="NEW"),"",INDEX(B5628:B$2,-1+SUMPRODUCT(MAX(ROW(E5628:E$2)*(E5629=E5628:E$2)))))</f>
        <v> </v>
      </c>
      <c r="J5629" s="26" t="str">
        <f>IF(OR(E5629="",E5629="!!!",F5629="NEW"),"",COUNTBLANK(OFFSET(A$1,,,SUMPRODUCT(MAX(ROW(E$2:E5629)*(E5629=E$2:E5629)))))-COUNTBLANK(OFFSET(A$1,,,SUMPRODUCT(MAX(ROW(E$1:E5628)*(E2=E$1:E5628))))))</f>
        <v> </v>
      </c>
      <c r="K5629" s="26" t="str">
        <f>IF(OR(E5629="",E5629="!!!",F5629="NEW"),"",INDEX(J$1:J5628,SUMPRODUCT(MAX(ROW(E$1:E5628)*(E5629=E$1:E5628)))))</f>
        <v> </v>
      </c>
      <c r="L5629" s="27"/>
    </row>
    <row r="5630" spans="1:12">
      <c r="A5630" s="20" t="s">
        <v>1020</v>
      </c>
      <c r="E5630" s="22">
        <f>IF(D5630="?OLD","!!!","")</f>
        <v/>
      </c>
      <c r="F5630" s="23" t="str">
        <f>IF(OR(E5630="",E5630="!!!"),"",IF(NOT(ISNA(VLOOKUP(E5630,E$1:E5629,1,FALSE()))),"OLD",IF(AND(E5630&lt;&gt;"",E5630&lt;&gt;"!!!"),"NEW","")))</f>
        <v> </v>
      </c>
      <c r="G5630" s="24" t="str">
        <f>IF(OR(E5630="",E5630="!!!"),"",IF(OR(J5630=0,AND(J5630=1,K5630=1),AND(J5630=1,I5630="SBJ"),AND(J5630=1,I5630=0)),"?IN_FOCUS",IF(J5630&lt;=2,"?ACTIVATED",IF(J5630&lt;&gt;"","?FAMILIAR",IF(F5630="NEW",IF(ISNA(VLOOKUP(E5630,#REF!,1,FALSE())),"?TYPE_IDENTIFIABLE","?REFERENTIAL"),"_")))))</f>
        <v> </v>
      </c>
      <c r="H5630" s="25" t="str">
        <f>IF(J5630&lt;&gt;1,"",IF(I5630="SBJ","CB","?"))</f>
        <v> </v>
      </c>
      <c r="I5630" s="26" t="str">
        <f>IF(OR(E5630="",E5630="!!!",F5630="NEW"),"",INDEX(B5629:B$2,-1+SUMPRODUCT(MAX(ROW(E5629:E$2)*(E5630=E5629:E$2)))))</f>
        <v> </v>
      </c>
      <c r="J5630" s="26" t="str">
        <f>IF(OR(E5630="",E5630="!!!",F5630="NEW"),"",COUNTBLANK(OFFSET(A$1,,,SUMPRODUCT(MAX(ROW(E$2:E5630)*(E5630=E$2:E5630)))))-COUNTBLANK(OFFSET(A$1,,,SUMPRODUCT(MAX(ROW(E$1:E5629)*(E2=E$1:E5629))))))</f>
        <v> </v>
      </c>
      <c r="K5630" s="26" t="str">
        <f>IF(OR(E5630="",E5630="!!!",F5630="NEW"),"",INDEX(J$1:J5629,SUMPRODUCT(MAX(ROW(E$1:E5629)*(E5630=E$1:E5629)))))</f>
        <v> </v>
      </c>
      <c r="L5630" s="27"/>
    </row>
    <row r="5631" spans="1:12">
      <c r="A5631" s="20" t="s">
        <v>2525</v>
      </c>
      <c r="B5631" s="21" t="s">
        <v>1130</v>
      </c>
      <c r="C5631" s="21" t="s">
        <v>1013</v>
      </c>
      <c r="D5631" s="21" t="s">
        <v>1007</v>
      </c>
      <c r="E5631" s="22">
        <f>IF(D5631="?OLD","!!!","")</f>
        <v/>
      </c>
      <c r="F5631" s="23" t="str">
        <f>IF(OR(E5631="",E5631="!!!"),"",IF(NOT(ISNA(VLOOKUP(E5631,E$1:E5630,1,FALSE()))),"OLD",IF(AND(E5631&lt;&gt;"",E5631&lt;&gt;"!!!"),"NEW","")))</f>
        <v> </v>
      </c>
      <c r="G5631" s="24" t="str">
        <f>IF(OR(E5631="",E5631="!!!"),"",IF(OR(J5631=0,AND(J5631=1,K5631=1),AND(J5631=1,I5631="SBJ"),AND(J5631=1,I5631=0)),"?IN_FOCUS",IF(J5631&lt;=2,"?ACTIVATED",IF(J5631&lt;&gt;"","?FAMILIAR",IF(F5631="NEW",IF(ISNA(VLOOKUP(E5631,#REF!,1,FALSE())),"?TYPE_IDENTIFIABLE","?REFERENTIAL"),"_")))))</f>
        <v> </v>
      </c>
      <c r="H5631" s="25" t="str">
        <f>IF(J5631&lt;&gt;1,"",IF(I5631="SBJ","CB","?"))</f>
        <v> </v>
      </c>
      <c r="I5631" s="26" t="str">
        <f>IF(OR(E5631="",E5631="!!!",F5631="NEW"),"",INDEX(B5630:B$2,-1+SUMPRODUCT(MAX(ROW(E5630:E$2)*(E5631=E5630:E$2)))))</f>
        <v> </v>
      </c>
      <c r="J5631" s="26" t="str">
        <f>IF(OR(E5631="",E5631="!!!",F5631="NEW"),"",COUNTBLANK(OFFSET(A$1,,,SUMPRODUCT(MAX(ROW(E$2:E5631)*(E5631=E$2:E5631)))))-COUNTBLANK(OFFSET(A$1,,,SUMPRODUCT(MAX(ROW(E$1:E5630)*(E2=E$1:E5630))))))</f>
        <v> </v>
      </c>
      <c r="K5631" s="26" t="str">
        <f>IF(OR(E5631="",E5631="!!!",F5631="NEW"),"",INDEX(J$1:J5630,SUMPRODUCT(MAX(ROW(E$1:E5630)*(E5631=E$1:E5630)))))</f>
        <v> </v>
      </c>
      <c r="L5631" s="27"/>
    </row>
    <row r="5632" spans="1:12">
      <c r="A5632" s="20" t="s">
        <v>1014</v>
      </c>
      <c r="E5632" s="22">
        <f>IF(D5632="?OLD","!!!","")</f>
        <v/>
      </c>
      <c r="F5632" s="23" t="str">
        <f>IF(OR(E5632="",E5632="!!!"),"",IF(NOT(ISNA(VLOOKUP(E5632,E$1:E5631,1,FALSE()))),"OLD",IF(AND(E5632&lt;&gt;"",E5632&lt;&gt;"!!!"),"NEW","")))</f>
        <v> </v>
      </c>
      <c r="G5632" s="24" t="str">
        <f>IF(OR(E5632="",E5632="!!!"),"",IF(OR(J5632=0,AND(J5632=1,K5632=1),AND(J5632=1,I5632="SBJ"),AND(J5632=1,I5632=0)),"?IN_FOCUS",IF(J5632&lt;=2,"?ACTIVATED",IF(J5632&lt;&gt;"","?FAMILIAR",IF(F5632="NEW",IF(ISNA(VLOOKUP(E5632,#REF!,1,FALSE())),"?TYPE_IDENTIFIABLE","?REFERENTIAL"),"_")))))</f>
        <v> </v>
      </c>
      <c r="H5632" s="25" t="str">
        <f>IF(J5632&lt;&gt;1,"",IF(I5632="SBJ","CB","?"))</f>
        <v> </v>
      </c>
      <c r="I5632" s="26" t="str">
        <f>IF(OR(E5632="",E5632="!!!",F5632="NEW"),"",INDEX(B5631:B$2,-1+SUMPRODUCT(MAX(ROW(E5631:E$2)*(E5632=E5631:E$2)))))</f>
        <v> </v>
      </c>
      <c r="J5632" s="26" t="str">
        <f>IF(OR(E5632="",E5632="!!!",F5632="NEW"),"",COUNTBLANK(OFFSET(A$1,,,SUMPRODUCT(MAX(ROW(E$2:E5632)*(E5632=E$2:E5632)))))-COUNTBLANK(OFFSET(A$1,,,SUMPRODUCT(MAX(ROW(E$1:E5631)*(E2=E$1:E5631))))))</f>
        <v> </v>
      </c>
      <c r="K5632" s="26" t="str">
        <f>IF(OR(E5632="",E5632="!!!",F5632="NEW"),"",INDEX(J$1:J5631,SUMPRODUCT(MAX(ROW(E$1:E5631)*(E5632=E$1:E5631)))))</f>
        <v> </v>
      </c>
      <c r="L5632" s="27"/>
    </row>
    <row r="5633" spans="1:12">
      <c r="A5633" s="20" t="s">
        <v>1020</v>
      </c>
      <c r="E5633" s="22">
        <f>IF(D5633="?OLD","!!!","")</f>
        <v/>
      </c>
      <c r="F5633" s="23" t="str">
        <f>IF(OR(E5633="",E5633="!!!"),"",IF(NOT(ISNA(VLOOKUP(E5633,E$1:E5632,1,FALSE()))),"OLD",IF(AND(E5633&lt;&gt;"",E5633&lt;&gt;"!!!"),"NEW","")))</f>
        <v> </v>
      </c>
      <c r="G5633" s="24" t="str">
        <f>IF(OR(E5633="",E5633="!!!"),"",IF(OR(J5633=0,AND(J5633=1,K5633=1),AND(J5633=1,I5633="SBJ"),AND(J5633=1,I5633=0)),"?IN_FOCUS",IF(J5633&lt;=2,"?ACTIVATED",IF(J5633&lt;&gt;"","?FAMILIAR",IF(F5633="NEW",IF(ISNA(VLOOKUP(E5633,#REF!,1,FALSE())),"?TYPE_IDENTIFIABLE","?REFERENTIAL"),"_")))))</f>
        <v> </v>
      </c>
      <c r="H5633" s="25" t="str">
        <f>IF(J5633&lt;&gt;1,"",IF(I5633="SBJ","CB","?"))</f>
        <v> </v>
      </c>
      <c r="I5633" s="26" t="str">
        <f>IF(OR(E5633="",E5633="!!!",F5633="NEW"),"",INDEX(B5632:B$2,-1+SUMPRODUCT(MAX(ROW(E5632:E$2)*(E5633=E5632:E$2)))))</f>
        <v> </v>
      </c>
      <c r="J5633" s="26" t="str">
        <f>IF(OR(E5633="",E5633="!!!",F5633="NEW"),"",COUNTBLANK(OFFSET(A$1,,,SUMPRODUCT(MAX(ROW(E$2:E5633)*(E5633=E$2:E5633)))))-COUNTBLANK(OFFSET(A$1,,,SUMPRODUCT(MAX(ROW(E$1:E5632)*(E2=E$1:E5632))))))</f>
        <v> </v>
      </c>
      <c r="K5633" s="26" t="str">
        <f>IF(OR(E5633="",E5633="!!!",F5633="NEW"),"",INDEX(J$1:J5632,SUMPRODUCT(MAX(ROW(E$1:E5632)*(E5633=E$1:E5632)))))</f>
        <v> </v>
      </c>
      <c r="L5633" s="27"/>
    </row>
    <row r="5634" spans="1:12">
      <c r="A5634" s="20" t="s">
        <v>1021</v>
      </c>
      <c r="B5634" s="21" t="s">
        <v>1040</v>
      </c>
      <c r="C5634" s="21" t="s">
        <v>1006</v>
      </c>
      <c r="D5634" s="21" t="s">
        <v>1007</v>
      </c>
      <c r="E5634" s="22">
        <f>IF(D5634="?OLD","!!!","")</f>
        <v/>
      </c>
      <c r="F5634" s="23" t="str">
        <f>IF(OR(E5634="",E5634="!!!"),"",IF(NOT(ISNA(VLOOKUP(E5634,E$1:E5633,1,FALSE()))),"OLD",IF(AND(E5634&lt;&gt;"",E5634&lt;&gt;"!!!"),"NEW","")))</f>
        <v> </v>
      </c>
      <c r="G5634" s="24" t="str">
        <f>IF(OR(E5634="",E5634="!!!"),"",IF(OR(J5634=0,AND(J5634=1,K5634=1),AND(J5634=1,I5634="SBJ"),AND(J5634=1,I5634=0)),"?IN_FOCUS",IF(J5634&lt;=2,"?ACTIVATED",IF(J5634&lt;&gt;"","?FAMILIAR",IF(F5634="NEW",IF(ISNA(VLOOKUP(E5634,#REF!,1,FALSE())),"?TYPE_IDENTIFIABLE","?REFERENTIAL"),"_")))))</f>
        <v> </v>
      </c>
      <c r="H5634" s="25" t="str">
        <f>IF(J5634&lt;&gt;1,"",IF(I5634="SBJ","CB","?"))</f>
        <v> </v>
      </c>
      <c r="I5634" s="26" t="str">
        <f>IF(OR(E5634="",E5634="!!!",F5634="NEW"),"",INDEX(B5633:B$2,-1+SUMPRODUCT(MAX(ROW(E5633:E$2)*(E5634=E5633:E$2)))))</f>
        <v> </v>
      </c>
      <c r="J5634" s="26" t="str">
        <f>IF(OR(E5634="",E5634="!!!",F5634="NEW"),"",COUNTBLANK(OFFSET(A$1,,,SUMPRODUCT(MAX(ROW(E$2:E5634)*(E5634=E$2:E5634)))))-COUNTBLANK(OFFSET(A$1,,,SUMPRODUCT(MAX(ROW(E$1:E5633)*(E2=E$1:E5633))))))</f>
        <v> </v>
      </c>
      <c r="K5634" s="26" t="str">
        <f>IF(OR(E5634="",E5634="!!!",F5634="NEW"),"",INDEX(J$1:J5633,SUMPRODUCT(MAX(ROW(E$1:E5633)*(E5634=E$1:E5633)))))</f>
        <v> </v>
      </c>
      <c r="L5634" s="27"/>
    </row>
    <row r="5635" spans="1:12">
      <c r="A5635" s="20" t="s">
        <v>1018</v>
      </c>
      <c r="E5635" s="22">
        <f>IF(D5635="?OLD","!!!","")</f>
        <v/>
      </c>
      <c r="F5635" s="23" t="str">
        <f>IF(OR(E5635="",E5635="!!!"),"",IF(NOT(ISNA(VLOOKUP(E5635,E$1:E5634,1,FALSE()))),"OLD",IF(AND(E5635&lt;&gt;"",E5635&lt;&gt;"!!!"),"NEW","")))</f>
        <v> </v>
      </c>
      <c r="G5635" s="24" t="str">
        <f>IF(OR(E5635="",E5635="!!!"),"",IF(OR(J5635=0,AND(J5635=1,K5635=1),AND(J5635=1,I5635="SBJ"),AND(J5635=1,I5635=0)),"?IN_FOCUS",IF(J5635&lt;=2,"?ACTIVATED",IF(J5635&lt;&gt;"","?FAMILIAR",IF(F5635="NEW",IF(ISNA(VLOOKUP(E5635,#REF!,1,FALSE())),"?TYPE_IDENTIFIABLE","?REFERENTIAL"),"_")))))</f>
        <v> </v>
      </c>
      <c r="H5635" s="25" t="str">
        <f>IF(J5635&lt;&gt;1,"",IF(I5635="SBJ","CB","?"))</f>
        <v> </v>
      </c>
      <c r="I5635" s="26" t="str">
        <f>IF(OR(E5635="",E5635="!!!",F5635="NEW"),"",INDEX(B5634:B$2,-1+SUMPRODUCT(MAX(ROW(E5634:E$2)*(E5635=E5634:E$2)))))</f>
        <v> </v>
      </c>
      <c r="J5635" s="26" t="str">
        <f>IF(OR(E5635="",E5635="!!!",F5635="NEW"),"",COUNTBLANK(OFFSET(A$1,,,SUMPRODUCT(MAX(ROW(E$2:E5635)*(E5635=E$2:E5635)))))-COUNTBLANK(OFFSET(A$1,,,SUMPRODUCT(MAX(ROW(E$1:E5634)*(E2=E$1:E5634))))))</f>
        <v> </v>
      </c>
      <c r="K5635" s="26" t="str">
        <f>IF(OR(E5635="",E5635="!!!",F5635="NEW"),"",INDEX(J$1:J5634,SUMPRODUCT(MAX(ROW(E$1:E5634)*(E5635=E$1:E5634)))))</f>
        <v> </v>
      </c>
      <c r="L5635" s="27"/>
    </row>
    <row r="5636" spans="1:12">
      <c r="A5636" s="20" t="s">
        <v>56</v>
      </c>
      <c r="E5636" s="22">
        <f>IF(D5636="?OLD","!!!","")</f>
        <v/>
      </c>
      <c r="F5636" s="23" t="str">
        <f>IF(OR(E5636="",E5636="!!!"),"",IF(NOT(ISNA(VLOOKUP(E5636,E$1:E5635,1,FALSE()))),"OLD",IF(AND(E5636&lt;&gt;"",E5636&lt;&gt;"!!!"),"NEW","")))</f>
        <v> </v>
      </c>
      <c r="G5636" s="24" t="str">
        <f>IF(OR(E5636="",E5636="!!!"),"",IF(OR(J5636=0,AND(J5636=1,K5636=1),AND(J5636=1,I5636="SBJ"),AND(J5636=1,I5636=0)),"?IN_FOCUS",IF(J5636&lt;=2,"?ACTIVATED",IF(J5636&lt;&gt;"","?FAMILIAR",IF(F5636="NEW",IF(ISNA(VLOOKUP(E5636,#REF!,1,FALSE())),"?TYPE_IDENTIFIABLE","?REFERENTIAL"),"_")))))</f>
        <v> </v>
      </c>
      <c r="H5636" s="25" t="str">
        <f>IF(J5636&lt;&gt;1,"",IF(I5636="SBJ","CB","?"))</f>
        <v> </v>
      </c>
      <c r="I5636" s="26" t="str">
        <f>IF(OR(E5636="",E5636="!!!",F5636="NEW"),"",INDEX(B5635:B$2,-1+SUMPRODUCT(MAX(ROW(E5635:E$2)*(E5636=E5635:E$2)))))</f>
        <v> </v>
      </c>
      <c r="J5636" s="26" t="str">
        <f>IF(OR(E5636="",E5636="!!!",F5636="NEW"),"",COUNTBLANK(OFFSET(A$1,,,SUMPRODUCT(MAX(ROW(E$2:E5636)*(E5636=E$2:E5636)))))-COUNTBLANK(OFFSET(A$1,,,SUMPRODUCT(MAX(ROW(E$1:E5635)*(E2=E$1:E5635))))))</f>
        <v> </v>
      </c>
      <c r="K5636" s="26" t="str">
        <f>IF(OR(E5636="",E5636="!!!",F5636="NEW"),"",INDEX(J$1:J5635,SUMPRODUCT(MAX(ROW(E$1:E5635)*(E5636=E$1:E5635)))))</f>
        <v> </v>
      </c>
      <c r="L5636" s="27"/>
    </row>
    <row r="5637" spans="1:12">
      <c r="A5637" s="20" t="s">
        <v>1075</v>
      </c>
      <c r="E5637" s="22">
        <f>IF(D5637="?OLD","!!!","")</f>
        <v/>
      </c>
      <c r="F5637" s="23" t="str">
        <f>IF(OR(E5637="",E5637="!!!"),"",IF(NOT(ISNA(VLOOKUP(E5637,E$1:E5636,1,FALSE()))),"OLD",IF(AND(E5637&lt;&gt;"",E5637&lt;&gt;"!!!"),"NEW","")))</f>
        <v> </v>
      </c>
      <c r="G5637" s="24" t="str">
        <f>IF(OR(E5637="",E5637="!!!"),"",IF(OR(J5637=0,AND(J5637=1,K5637=1),AND(J5637=1,I5637="SBJ"),AND(J5637=1,I5637=0)),"?IN_FOCUS",IF(J5637&lt;=2,"?ACTIVATED",IF(J5637&lt;&gt;"","?FAMILIAR",IF(F5637="NEW",IF(ISNA(VLOOKUP(E5637,#REF!,1,FALSE())),"?TYPE_IDENTIFIABLE","?REFERENTIAL"),"_")))))</f>
        <v> </v>
      </c>
      <c r="H5637" s="25" t="str">
        <f>IF(J5637&lt;&gt;1,"",IF(I5637="SBJ","CB","?"))</f>
        <v> </v>
      </c>
      <c r="I5637" s="26" t="str">
        <f>IF(OR(E5637="",E5637="!!!",F5637="NEW"),"",INDEX(B5636:B$2,-1+SUMPRODUCT(MAX(ROW(E5636:E$2)*(E5637=E5636:E$2)))))</f>
        <v> </v>
      </c>
      <c r="J5637" s="26" t="str">
        <f>IF(OR(E5637="",E5637="!!!",F5637="NEW"),"",COUNTBLANK(OFFSET(A$1,,,SUMPRODUCT(MAX(ROW(E$2:E5637)*(E5637=E$2:E5637)))))-COUNTBLANK(OFFSET(A$1,,,SUMPRODUCT(MAX(ROW(E$1:E5636)*(E2=E$1:E5636))))))</f>
        <v> </v>
      </c>
      <c r="K5637" s="26" t="str">
        <f>IF(OR(E5637="",E5637="!!!",F5637="NEW"),"",INDEX(J$1:J5636,SUMPRODUCT(MAX(ROW(E$1:E5636)*(E5637=E$1:E5636)))))</f>
        <v> </v>
      </c>
      <c r="L5637" s="27"/>
    </row>
    <row r="5638" spans="1:12">
      <c r="A5638" s="20" t="s">
        <v>1324</v>
      </c>
      <c r="E5638" s="22">
        <f>IF(D5638="?OLD","!!!","")</f>
        <v/>
      </c>
      <c r="F5638" s="23" t="str">
        <f>IF(OR(E5638="",E5638="!!!"),"",IF(NOT(ISNA(VLOOKUP(E5638,E$1:E5637,1,FALSE()))),"OLD",IF(AND(E5638&lt;&gt;"",E5638&lt;&gt;"!!!"),"NEW","")))</f>
        <v> </v>
      </c>
      <c r="G5638" s="24" t="str">
        <f>IF(OR(E5638="",E5638="!!!"),"",IF(OR(J5638=0,AND(J5638=1,K5638=1),AND(J5638=1,I5638="SBJ"),AND(J5638=1,I5638=0)),"?IN_FOCUS",IF(J5638&lt;=2,"?ACTIVATED",IF(J5638&lt;&gt;"","?FAMILIAR",IF(F5638="NEW",IF(ISNA(VLOOKUP(E5638,#REF!,1,FALSE())),"?TYPE_IDENTIFIABLE","?REFERENTIAL"),"_")))))</f>
        <v> </v>
      </c>
      <c r="H5638" s="25" t="str">
        <f>IF(J5638&lt;&gt;1,"",IF(I5638="SBJ","CB","?"))</f>
        <v> </v>
      </c>
      <c r="I5638" s="26" t="str">
        <f>IF(OR(E5638="",E5638="!!!",F5638="NEW"),"",INDEX(B5637:B$2,-1+SUMPRODUCT(MAX(ROW(E5637:E$2)*(E5638=E5637:E$2)))))</f>
        <v> </v>
      </c>
      <c r="J5638" s="26" t="str">
        <f>IF(OR(E5638="",E5638="!!!",F5638="NEW"),"",COUNTBLANK(OFFSET(A$1,,,SUMPRODUCT(MAX(ROW(E$2:E5638)*(E5638=E$2:E5638)))))-COUNTBLANK(OFFSET(A$1,,,SUMPRODUCT(MAX(ROW(E$1:E5637)*(E2=E$1:E5637))))))</f>
        <v> </v>
      </c>
      <c r="K5638" s="26" t="str">
        <f>IF(OR(E5638="",E5638="!!!",F5638="NEW"),"",INDEX(J$1:J5637,SUMPRODUCT(MAX(ROW(E$1:E5637)*(E5638=E$1:E5637)))))</f>
        <v> </v>
      </c>
      <c r="L5638" s="27"/>
    </row>
    <row r="5639" spans="1:12">
      <c r="A5639" s="20" t="s">
        <v>193</v>
      </c>
      <c r="B5639" s="21" t="s">
        <v>1130</v>
      </c>
      <c r="C5639" s="21" t="s">
        <v>1111</v>
      </c>
      <c r="E5639" s="22">
        <f>IF(D5639="?OLD","!!!","")</f>
        <v/>
      </c>
      <c r="F5639" s="23" t="str">
        <f>IF(OR(E5639="",E5639="!!!"),"",IF(NOT(ISNA(VLOOKUP(E5639,E$1:E5638,1,FALSE()))),"OLD",IF(AND(E5639&lt;&gt;"",E5639&lt;&gt;"!!!"),"NEW","")))</f>
        <v> </v>
      </c>
      <c r="G5639" s="24" t="str">
        <f>IF(OR(E5639="",E5639="!!!"),"",IF(OR(J5639=0,AND(J5639=1,K5639=1),AND(J5639=1,I5639="SBJ"),AND(J5639=1,I5639=0)),"?IN_FOCUS",IF(J5639&lt;=2,"?ACTIVATED",IF(J5639&lt;&gt;"","?FAMILIAR",IF(F5639="NEW",IF(ISNA(VLOOKUP(E5639,#REF!,1,FALSE())),"?TYPE_IDENTIFIABLE","?REFERENTIAL"),"_")))))</f>
        <v> </v>
      </c>
      <c r="H5639" s="25" t="str">
        <f>IF(J5639&lt;&gt;1,"",IF(I5639="SBJ","CB","?"))</f>
        <v> </v>
      </c>
      <c r="I5639" s="26" t="str">
        <f>IF(OR(E5639="",E5639="!!!",F5639="NEW"),"",INDEX(B5638:B$2,-1+SUMPRODUCT(MAX(ROW(E5638:E$2)*(E5639=E5638:E$2)))))</f>
        <v> </v>
      </c>
      <c r="J5639" s="26" t="str">
        <f>IF(OR(E5639="",E5639="!!!",F5639="NEW"),"",COUNTBLANK(OFFSET(A$1,,,SUMPRODUCT(MAX(ROW(E$2:E5639)*(E5639=E$2:E5639)))))-COUNTBLANK(OFFSET(A$1,,,SUMPRODUCT(MAX(ROW(E$1:E5638)*(E2=E$1:E5638))))))</f>
        <v> </v>
      </c>
      <c r="K5639" s="26" t="str">
        <f>IF(OR(E5639="",E5639="!!!",F5639="NEW"),"",INDEX(J$1:J5638,SUMPRODUCT(MAX(ROW(E$1:E5638)*(E5639=E$1:E5638)))))</f>
        <v> </v>
      </c>
      <c r="L5639" s="27"/>
    </row>
    <row r="5640" spans="1:12">
      <c r="A5640" s="20" t="s">
        <v>1065</v>
      </c>
      <c r="B5640" s="21" t="s">
        <v>1253</v>
      </c>
      <c r="E5640" s="22">
        <f>IF(D5640="?OLD","!!!","")</f>
        <v/>
      </c>
      <c r="F5640" s="23" t="str">
        <f>IF(OR(E5640="",E5640="!!!"),"",IF(NOT(ISNA(VLOOKUP(E5640,E$1:E5639,1,FALSE()))),"OLD",IF(AND(E5640&lt;&gt;"",E5640&lt;&gt;"!!!"),"NEW","")))</f>
        <v> </v>
      </c>
      <c r="G5640" s="24" t="str">
        <f>IF(OR(E5640="",E5640="!!!"),"",IF(OR(J5640=0,AND(J5640=1,K5640=1),AND(J5640=1,I5640="SBJ"),AND(J5640=1,I5640=0)),"?IN_FOCUS",IF(J5640&lt;=2,"?ACTIVATED",IF(J5640&lt;&gt;"","?FAMILIAR",IF(F5640="NEW",IF(ISNA(VLOOKUP(E5640,#REF!,1,FALSE())),"?TYPE_IDENTIFIABLE","?REFERENTIAL"),"_")))))</f>
        <v> </v>
      </c>
      <c r="H5640" s="25" t="str">
        <f>IF(J5640&lt;&gt;1,"",IF(I5640="SBJ","CB","?"))</f>
        <v> </v>
      </c>
      <c r="I5640" s="26" t="str">
        <f>IF(OR(E5640="",E5640="!!!",F5640="NEW"),"",INDEX(B5639:B$2,-1+SUMPRODUCT(MAX(ROW(E5639:E$2)*(E5640=E5639:E$2)))))</f>
        <v> </v>
      </c>
      <c r="J5640" s="26" t="str">
        <f>IF(OR(E5640="",E5640="!!!",F5640="NEW"),"",COUNTBLANK(OFFSET(A$1,,,SUMPRODUCT(MAX(ROW(E$2:E5640)*(E5640=E$2:E5640)))))-COUNTBLANK(OFFSET(A$1,,,SUMPRODUCT(MAX(ROW(E$1:E5639)*(E2=E$1:E5639))))))</f>
        <v> </v>
      </c>
      <c r="K5640" s="26" t="str">
        <f>IF(OR(E5640="",E5640="!!!",F5640="NEW"),"",INDEX(J$1:J5639,SUMPRODUCT(MAX(ROW(E$1:E5639)*(E5640=E$1:E5639)))))</f>
        <v> </v>
      </c>
      <c r="L5640" s="27"/>
    </row>
    <row r="5641" spans="1:12">
      <c r="A5641" s="20" t="s">
        <v>2526</v>
      </c>
      <c r="E5641" s="22">
        <f>IF(D5641="?OLD","!!!","")</f>
        <v/>
      </c>
      <c r="F5641" s="23" t="str">
        <f>IF(OR(E5641="",E5641="!!!"),"",IF(NOT(ISNA(VLOOKUP(E5641,E$1:E5640,1,FALSE()))),"OLD",IF(AND(E5641&lt;&gt;"",E5641&lt;&gt;"!!!"),"NEW","")))</f>
        <v> </v>
      </c>
      <c r="G5641" s="24" t="str">
        <f>IF(OR(E5641="",E5641="!!!"),"",IF(OR(J5641=0,AND(J5641=1,K5641=1),AND(J5641=1,I5641="SBJ"),AND(J5641=1,I5641=0)),"?IN_FOCUS",IF(J5641&lt;=2,"?ACTIVATED",IF(J5641&lt;&gt;"","?FAMILIAR",IF(F5641="NEW",IF(ISNA(VLOOKUP(E5641,#REF!,1,FALSE())),"?TYPE_IDENTIFIABLE","?REFERENTIAL"),"_")))))</f>
        <v> </v>
      </c>
      <c r="H5641" s="25" t="str">
        <f>IF(J5641&lt;&gt;1,"",IF(I5641="SBJ","CB","?"))</f>
        <v> </v>
      </c>
      <c r="I5641" s="26" t="str">
        <f>IF(OR(E5641="",E5641="!!!",F5641="NEW"),"",INDEX(B5640:B$2,-1+SUMPRODUCT(MAX(ROW(E5640:E$2)*(E5641=E5640:E$2)))))</f>
        <v> </v>
      </c>
      <c r="J5641" s="26" t="str">
        <f>IF(OR(E5641="",E5641="!!!",F5641="NEW"),"",COUNTBLANK(OFFSET(A$1,,,SUMPRODUCT(MAX(ROW(E$2:E5641)*(E5641=E$2:E5641)))))-COUNTBLANK(OFFSET(A$1,,,SUMPRODUCT(MAX(ROW(E$1:E5640)*(E2=E$1:E5640))))))</f>
        <v> </v>
      </c>
      <c r="K5641" s="26" t="str">
        <f>IF(OR(E5641="",E5641="!!!",F5641="NEW"),"",INDEX(J$1:J5640,SUMPRODUCT(MAX(ROW(E$1:E5640)*(E5641=E$1:E5640)))))</f>
        <v> </v>
      </c>
      <c r="L5641" s="27"/>
    </row>
    <row r="5642" spans="1:12">
      <c r="A5642" s="20" t="s">
        <v>1023</v>
      </c>
      <c r="E5642" s="22">
        <f>IF(D5642="?OLD","!!!","")</f>
        <v/>
      </c>
      <c r="F5642" s="23" t="str">
        <f>IF(OR(E5642="",E5642="!!!"),"",IF(NOT(ISNA(VLOOKUP(E5642,E$1:E5641,1,FALSE()))),"OLD",IF(AND(E5642&lt;&gt;"",E5642&lt;&gt;"!!!"),"NEW","")))</f>
        <v> </v>
      </c>
      <c r="G5642" s="24" t="str">
        <f>IF(OR(E5642="",E5642="!!!"),"",IF(OR(J5642=0,AND(J5642=1,K5642=1),AND(J5642=1,I5642="SBJ"),AND(J5642=1,I5642=0)),"?IN_FOCUS",IF(J5642&lt;=2,"?ACTIVATED",IF(J5642&lt;&gt;"","?FAMILIAR",IF(F5642="NEW",IF(ISNA(VLOOKUP(E5642,#REF!,1,FALSE())),"?TYPE_IDENTIFIABLE","?REFERENTIAL"),"_")))))</f>
        <v> </v>
      </c>
      <c r="H5642" s="25" t="str">
        <f>IF(J5642&lt;&gt;1,"",IF(I5642="SBJ","CB","?"))</f>
        <v> </v>
      </c>
      <c r="I5642" s="26" t="str">
        <f>IF(OR(E5642="",E5642="!!!",F5642="NEW"),"",INDEX(B5641:B$2,-1+SUMPRODUCT(MAX(ROW(E5641:E$2)*(E5642=E5641:E$2)))))</f>
        <v> </v>
      </c>
      <c r="J5642" s="26" t="str">
        <f>IF(OR(E5642="",E5642="!!!",F5642="NEW"),"",COUNTBLANK(OFFSET(A$1,,,SUMPRODUCT(MAX(ROW(E$2:E5642)*(E5642=E$2:E5642)))))-COUNTBLANK(OFFSET(A$1,,,SUMPRODUCT(MAX(ROW(E$1:E5641)*(E2=E$1:E5641))))))</f>
        <v> </v>
      </c>
      <c r="K5642" s="26" t="str">
        <f>IF(OR(E5642="",E5642="!!!",F5642="NEW"),"",INDEX(J$1:J5641,SUMPRODUCT(MAX(ROW(E$1:E5641)*(E5642=E$1:E5641)))))</f>
        <v> </v>
      </c>
      <c r="L5642" s="27"/>
    </row>
    <row r="5643" spans="1:12">
      <c r="A5643" s="20"/>
    </row>
    <row r="5644" spans="1:12">
      <c r="A5644" s="20" t="s">
        <v>2527</v>
      </c>
    </row>
    <row r="5645" spans="1:12">
      <c r="A5645" s="20" t="s">
        <v>2528</v>
      </c>
      <c r="E5645" s="22">
        <f>IF(D5645="?OLD","!!!","")</f>
        <v/>
      </c>
      <c r="F5645" s="23" t="str">
        <f>IF(OR(E5645="",E5645="!!!"),"",IF(NOT(ISNA(VLOOKUP(E5645,E$1:E5644,1,FALSE()))),"OLD",IF(AND(E5645&lt;&gt;"",E5645&lt;&gt;"!!!"),"NEW","")))</f>
        <v> </v>
      </c>
      <c r="G5645" s="24" t="str">
        <f>IF(OR(E5645="",E5645="!!!"),"",IF(OR(J5645=0,AND(J5645=1,K5645=1),AND(J5645=1,I5645="SBJ"),AND(J5645=1,I5645=0)),"?IN_FOCUS",IF(J5645&lt;=2,"?ACTIVATED",IF(J5645&lt;&gt;"","?FAMILIAR",IF(F5645="NEW",IF(ISNA(VLOOKUP(E5645,#REF!,1,FALSE())),"?TYPE_IDENTIFIABLE","?REFERENTIAL"),"_")))))</f>
        <v> </v>
      </c>
      <c r="H5645" s="25" t="str">
        <f>IF(J5645&lt;&gt;1,"",IF(I5645="SBJ","CB","?"))</f>
        <v> </v>
      </c>
      <c r="I5645" s="26" t="str">
        <f>IF(OR(E5645="",E5645="!!!",F5645="NEW"),"",INDEX(B5644:B$2,-1+SUMPRODUCT(MAX(ROW(E5644:E$2)*(E5645=E5644:E$2)))))</f>
        <v> </v>
      </c>
      <c r="J5645" s="26" t="str">
        <f>IF(OR(E5645="",E5645="!!!",F5645="NEW"),"",COUNTBLANK(OFFSET(A$1,,,SUMPRODUCT(MAX(ROW(E$2:E5645)*(E5645=E$2:E5645)))))-COUNTBLANK(OFFSET(A$1,,,SUMPRODUCT(MAX(ROW(E$1:E5644)*(E2=E$1:E5644))))))</f>
        <v> </v>
      </c>
      <c r="K5645" s="26" t="str">
        <f>IF(OR(E5645="",E5645="!!!",F5645="NEW"),"",INDEX(J$1:J5644,SUMPRODUCT(MAX(ROW(E$1:E5644)*(E5645=E$1:E5644)))))</f>
        <v> </v>
      </c>
      <c r="L5645" s="27"/>
    </row>
    <row r="5646" spans="1:12">
      <c r="A5646" s="20" t="s">
        <v>1083</v>
      </c>
      <c r="E5646" s="22">
        <f>IF(D5646="?OLD","!!!","")</f>
        <v/>
      </c>
      <c r="F5646" s="23" t="str">
        <f>IF(OR(E5646="",E5646="!!!"),"",IF(NOT(ISNA(VLOOKUP(E5646,E$1:E5645,1,FALSE()))),"OLD",IF(AND(E5646&lt;&gt;"",E5646&lt;&gt;"!!!"),"NEW","")))</f>
        <v> </v>
      </c>
      <c r="G5646" s="24" t="str">
        <f>IF(OR(E5646="",E5646="!!!"),"",IF(OR(J5646=0,AND(J5646=1,K5646=1),AND(J5646=1,I5646="SBJ"),AND(J5646=1,I5646=0)),"?IN_FOCUS",IF(J5646&lt;=2,"?ACTIVATED",IF(J5646&lt;&gt;"","?FAMILIAR",IF(F5646="NEW",IF(ISNA(VLOOKUP(E5646,#REF!,1,FALSE())),"?TYPE_IDENTIFIABLE","?REFERENTIAL"),"_")))))</f>
        <v> </v>
      </c>
      <c r="H5646" s="25" t="str">
        <f>IF(J5646&lt;&gt;1,"",IF(I5646="SBJ","CB","?"))</f>
        <v> </v>
      </c>
      <c r="I5646" s="26" t="str">
        <f>IF(OR(E5646="",E5646="!!!",F5646="NEW"),"",INDEX(B5645:B$2,-1+SUMPRODUCT(MAX(ROW(E5645:E$2)*(E5646=E5645:E$2)))))</f>
        <v> </v>
      </c>
      <c r="J5646" s="26" t="str">
        <f>IF(OR(E5646="",E5646="!!!",F5646="NEW"),"",COUNTBLANK(OFFSET(A$1,,,SUMPRODUCT(MAX(ROW(E$2:E5646)*(E5646=E$2:E5646)))))-COUNTBLANK(OFFSET(A$1,,,SUMPRODUCT(MAX(ROW(E$1:E5645)*(E2=E$1:E5645))))))</f>
        <v> </v>
      </c>
      <c r="K5646" s="26" t="str">
        <f>IF(OR(E5646="",E5646="!!!",F5646="NEW"),"",INDEX(J$1:J5645,SUMPRODUCT(MAX(ROW(E$1:E5645)*(E5646=E$1:E5645)))))</f>
        <v> </v>
      </c>
      <c r="L5646" s="27"/>
    </row>
    <row r="5647" spans="1:12">
      <c r="A5647" s="20" t="s">
        <v>1020</v>
      </c>
      <c r="E5647" s="22">
        <f>IF(D5647="?OLD","!!!","")</f>
        <v/>
      </c>
      <c r="F5647" s="23" t="str">
        <f>IF(OR(E5647="",E5647="!!!"),"",IF(NOT(ISNA(VLOOKUP(E5647,E$1:E5646,1,FALSE()))),"OLD",IF(AND(E5647&lt;&gt;"",E5647&lt;&gt;"!!!"),"NEW","")))</f>
        <v> </v>
      </c>
      <c r="G5647" s="24" t="str">
        <f>IF(OR(E5647="",E5647="!!!"),"",IF(OR(J5647=0,AND(J5647=1,K5647=1),AND(J5647=1,I5647="SBJ"),AND(J5647=1,I5647=0)),"?IN_FOCUS",IF(J5647&lt;=2,"?ACTIVATED",IF(J5647&lt;&gt;"","?FAMILIAR",IF(F5647="NEW",IF(ISNA(VLOOKUP(E5647,#REF!,1,FALSE())),"?TYPE_IDENTIFIABLE","?REFERENTIAL"),"_")))))</f>
        <v> </v>
      </c>
      <c r="H5647" s="25" t="str">
        <f>IF(J5647&lt;&gt;1,"",IF(I5647="SBJ","CB","?"))</f>
        <v> </v>
      </c>
      <c r="I5647" s="26" t="str">
        <f>IF(OR(E5647="",E5647="!!!",F5647="NEW"),"",INDEX(B5646:B$2,-1+SUMPRODUCT(MAX(ROW(E5646:E$2)*(E5647=E5646:E$2)))))</f>
        <v> </v>
      </c>
      <c r="J5647" s="26" t="str">
        <f>IF(OR(E5647="",E5647="!!!",F5647="NEW"),"",COUNTBLANK(OFFSET(A$1,,,SUMPRODUCT(MAX(ROW(E$2:E5647)*(E5647=E$2:E5647)))))-COUNTBLANK(OFFSET(A$1,,,SUMPRODUCT(MAX(ROW(E$1:E5646)*(E2=E$1:E5646))))))</f>
        <v> </v>
      </c>
      <c r="K5647" s="26" t="str">
        <f>IF(OR(E5647="",E5647="!!!",F5647="NEW"),"",INDEX(J$1:J5646,SUMPRODUCT(MAX(ROW(E$1:E5646)*(E5647=E$1:E5646)))))</f>
        <v> </v>
      </c>
      <c r="L5647" s="27"/>
    </row>
    <row r="5648" spans="1:12">
      <c r="A5648" s="20" t="s">
        <v>822</v>
      </c>
      <c r="B5648" s="21" t="s">
        <v>1005</v>
      </c>
      <c r="C5648" s="21" t="s">
        <v>1205</v>
      </c>
      <c r="E5648" s="22">
        <f>IF(D5648="?OLD","!!!","")</f>
        <v/>
      </c>
      <c r="F5648" s="23" t="str">
        <f>IF(OR(E5648="",E5648="!!!"),"",IF(NOT(ISNA(VLOOKUP(E5648,E$1:E5647,1,FALSE()))),"OLD",IF(AND(E5648&lt;&gt;"",E5648&lt;&gt;"!!!"),"NEW","")))</f>
        <v> </v>
      </c>
      <c r="G5648" s="24" t="str">
        <f>IF(OR(E5648="",E5648="!!!"),"",IF(OR(J5648=0,AND(J5648=1,K5648=1),AND(J5648=1,I5648="SBJ"),AND(J5648=1,I5648=0)),"?IN_FOCUS",IF(J5648&lt;=2,"?ACTIVATED",IF(J5648&lt;&gt;"","?FAMILIAR",IF(F5648="NEW",IF(ISNA(VLOOKUP(E5648,#REF!,1,FALSE())),"?TYPE_IDENTIFIABLE","?REFERENTIAL"),"_")))))</f>
        <v> </v>
      </c>
      <c r="H5648" s="25" t="str">
        <f>IF(J5648&lt;&gt;1,"",IF(I5648="SBJ","CB","?"))</f>
        <v> </v>
      </c>
      <c r="I5648" s="26" t="str">
        <f>IF(OR(E5648="",E5648="!!!",F5648="NEW"),"",INDEX(B5647:B$2,-1+SUMPRODUCT(MAX(ROW(E5647:E$2)*(E5648=E5647:E$2)))))</f>
        <v> </v>
      </c>
      <c r="J5648" s="26" t="str">
        <f>IF(OR(E5648="",E5648="!!!",F5648="NEW"),"",COUNTBLANK(OFFSET(A$1,,,SUMPRODUCT(MAX(ROW(E$2:E5648)*(E5648=E$2:E5648)))))-COUNTBLANK(OFFSET(A$1,,,SUMPRODUCT(MAX(ROW(E$1:E5647)*(E2=E$1:E5647))))))</f>
        <v> </v>
      </c>
      <c r="K5648" s="26" t="str">
        <f>IF(OR(E5648="",E5648="!!!",F5648="NEW"),"",INDEX(J$1:J5647,SUMPRODUCT(MAX(ROW(E$1:E5647)*(E5648=E$1:E5647)))))</f>
        <v> </v>
      </c>
      <c r="L5648" s="27"/>
    </row>
    <row r="5649" spans="1:12">
      <c r="A5649" s="20" t="s">
        <v>1018</v>
      </c>
      <c r="E5649" s="22">
        <f>IF(D5649="?OLD","!!!","")</f>
        <v/>
      </c>
      <c r="F5649" s="23" t="str">
        <f>IF(OR(E5649="",E5649="!!!"),"",IF(NOT(ISNA(VLOOKUP(E5649,E$1:E5648,1,FALSE()))),"OLD",IF(AND(E5649&lt;&gt;"",E5649&lt;&gt;"!!!"),"NEW","")))</f>
        <v> </v>
      </c>
      <c r="G5649" s="24" t="str">
        <f>IF(OR(E5649="",E5649="!!!"),"",IF(OR(J5649=0,AND(J5649=1,K5649=1),AND(J5649=1,I5649="SBJ"),AND(J5649=1,I5649=0)),"?IN_FOCUS",IF(J5649&lt;=2,"?ACTIVATED",IF(J5649&lt;&gt;"","?FAMILIAR",IF(F5649="NEW",IF(ISNA(VLOOKUP(E5649,#REF!,1,FALSE())),"?TYPE_IDENTIFIABLE","?REFERENTIAL"),"_")))))</f>
        <v> </v>
      </c>
      <c r="H5649" s="25" t="str">
        <f>IF(J5649&lt;&gt;1,"",IF(I5649="SBJ","CB","?"))</f>
        <v> </v>
      </c>
      <c r="I5649" s="26" t="str">
        <f>IF(OR(E5649="",E5649="!!!",F5649="NEW"),"",INDEX(B5648:B$2,-1+SUMPRODUCT(MAX(ROW(E5648:E$2)*(E5649=E5648:E$2)))))</f>
        <v> </v>
      </c>
      <c r="J5649" s="26" t="str">
        <f>IF(OR(E5649="",E5649="!!!",F5649="NEW"),"",COUNTBLANK(OFFSET(A$1,,,SUMPRODUCT(MAX(ROW(E$2:E5649)*(E5649=E$2:E5649)))))-COUNTBLANK(OFFSET(A$1,,,SUMPRODUCT(MAX(ROW(E$1:E5648)*(E2=E$1:E5648))))))</f>
        <v> </v>
      </c>
      <c r="K5649" s="26" t="str">
        <f>IF(OR(E5649="",E5649="!!!",F5649="NEW"),"",INDEX(J$1:J5648,SUMPRODUCT(MAX(ROW(E$1:E5648)*(E5649=E$1:E5648)))))</f>
        <v> </v>
      </c>
      <c r="L5649" s="27"/>
    </row>
    <row r="5650" spans="1:12">
      <c r="A5650" s="20" t="s">
        <v>1142</v>
      </c>
      <c r="E5650" s="22">
        <f>IF(D5650="?OLD","!!!","")</f>
        <v/>
      </c>
      <c r="F5650" s="23" t="str">
        <f>IF(OR(E5650="",E5650="!!!"),"",IF(NOT(ISNA(VLOOKUP(E5650,E$1:E5649,1,FALSE()))),"OLD",IF(AND(E5650&lt;&gt;"",E5650&lt;&gt;"!!!"),"NEW","")))</f>
        <v> </v>
      </c>
      <c r="G5650" s="24" t="str">
        <f>IF(OR(E5650="",E5650="!!!"),"",IF(OR(J5650=0,AND(J5650=1,K5650=1),AND(J5650=1,I5650="SBJ"),AND(J5650=1,I5650=0)),"?IN_FOCUS",IF(J5650&lt;=2,"?ACTIVATED",IF(J5650&lt;&gt;"","?FAMILIAR",IF(F5650="NEW",IF(ISNA(VLOOKUP(E5650,#REF!,1,FALSE())),"?TYPE_IDENTIFIABLE","?REFERENTIAL"),"_")))))</f>
        <v> </v>
      </c>
      <c r="H5650" s="25" t="str">
        <f>IF(J5650&lt;&gt;1,"",IF(I5650="SBJ","CB","?"))</f>
        <v> </v>
      </c>
      <c r="I5650" s="26" t="str">
        <f>IF(OR(E5650="",E5650="!!!",F5650="NEW"),"",INDEX(B5649:B$2,-1+SUMPRODUCT(MAX(ROW(E5649:E$2)*(E5650=E5649:E$2)))))</f>
        <v> </v>
      </c>
      <c r="J5650" s="26" t="str">
        <f>IF(OR(E5650="",E5650="!!!",F5650="NEW"),"",COUNTBLANK(OFFSET(A$1,,,SUMPRODUCT(MAX(ROW(E$2:E5650)*(E5650=E$2:E5650)))))-COUNTBLANK(OFFSET(A$1,,,SUMPRODUCT(MAX(ROW(E$1:E5649)*(E2=E$1:E5649))))))</f>
        <v> </v>
      </c>
      <c r="K5650" s="26" t="str">
        <f>IF(OR(E5650="",E5650="!!!",F5650="NEW"),"",INDEX(J$1:J5649,SUMPRODUCT(MAX(ROW(E$1:E5649)*(E5650=E$1:E5649)))))</f>
        <v> </v>
      </c>
      <c r="L5650" s="27"/>
    </row>
    <row r="5651" spans="1:12">
      <c r="A5651" s="20" t="s">
        <v>2432</v>
      </c>
      <c r="E5651" s="22">
        <f>IF(D5651="?OLD","!!!","")</f>
        <v/>
      </c>
      <c r="F5651" s="23" t="str">
        <f>IF(OR(E5651="",E5651="!!!"),"",IF(NOT(ISNA(VLOOKUP(E5651,E$1:E5650,1,FALSE()))),"OLD",IF(AND(E5651&lt;&gt;"",E5651&lt;&gt;"!!!"),"NEW","")))</f>
        <v> </v>
      </c>
      <c r="G5651" s="24" t="str">
        <f>IF(OR(E5651="",E5651="!!!"),"",IF(OR(J5651=0,AND(J5651=1,K5651=1),AND(J5651=1,I5651="SBJ"),AND(J5651=1,I5651=0)),"?IN_FOCUS",IF(J5651&lt;=2,"?ACTIVATED",IF(J5651&lt;&gt;"","?FAMILIAR",IF(F5651="NEW",IF(ISNA(VLOOKUP(E5651,#REF!,1,FALSE())),"?TYPE_IDENTIFIABLE","?REFERENTIAL"),"_")))))</f>
        <v> </v>
      </c>
      <c r="H5651" s="25" t="str">
        <f>IF(J5651&lt;&gt;1,"",IF(I5651="SBJ","CB","?"))</f>
        <v> </v>
      </c>
      <c r="I5651" s="26" t="str">
        <f>IF(OR(E5651="",E5651="!!!",F5651="NEW"),"",INDEX(B5650:B$2,-1+SUMPRODUCT(MAX(ROW(E5650:E$2)*(E5651=E5650:E$2)))))</f>
        <v> </v>
      </c>
      <c r="J5651" s="26" t="str">
        <f>IF(OR(E5651="",E5651="!!!",F5651="NEW"),"",COUNTBLANK(OFFSET(A$1,,,SUMPRODUCT(MAX(ROW(E$2:E5651)*(E5651=E$2:E5651)))))-COUNTBLANK(OFFSET(A$1,,,SUMPRODUCT(MAX(ROW(E$1:E5650)*(E2=E$1:E5650))))))</f>
        <v> </v>
      </c>
      <c r="K5651" s="26" t="str">
        <f>IF(OR(E5651="",E5651="!!!",F5651="NEW"),"",INDEX(J$1:J5650,SUMPRODUCT(MAX(ROW(E$1:E5650)*(E5651=E$1:E5650)))))</f>
        <v> </v>
      </c>
      <c r="L5651" s="27"/>
    </row>
    <row r="5652" spans="1:12">
      <c r="A5652" s="20" t="s">
        <v>1163</v>
      </c>
      <c r="E5652" s="22">
        <f>IF(D5652="?OLD","!!!","")</f>
        <v/>
      </c>
      <c r="F5652" s="23" t="str">
        <f>IF(OR(E5652="",E5652="!!!"),"",IF(NOT(ISNA(VLOOKUP(E5652,E$1:E5651,1,FALSE()))),"OLD",IF(AND(E5652&lt;&gt;"",E5652&lt;&gt;"!!!"),"NEW","")))</f>
        <v> </v>
      </c>
      <c r="G5652" s="24" t="str">
        <f>IF(OR(E5652="",E5652="!!!"),"",IF(OR(J5652=0,AND(J5652=1,K5652=1),AND(J5652=1,I5652="SBJ"),AND(J5652=1,I5652=0)),"?IN_FOCUS",IF(J5652&lt;=2,"?ACTIVATED",IF(J5652&lt;&gt;"","?FAMILIAR",IF(F5652="NEW",IF(ISNA(VLOOKUP(E5652,#REF!,1,FALSE())),"?TYPE_IDENTIFIABLE","?REFERENTIAL"),"_")))))</f>
        <v> </v>
      </c>
      <c r="H5652" s="25" t="str">
        <f>IF(J5652&lt;&gt;1,"",IF(I5652="SBJ","CB","?"))</f>
        <v> </v>
      </c>
      <c r="I5652" s="26" t="str">
        <f>IF(OR(E5652="",E5652="!!!",F5652="NEW"),"",INDEX(B5651:B$2,-1+SUMPRODUCT(MAX(ROW(E5651:E$2)*(E5652=E5651:E$2)))))</f>
        <v> </v>
      </c>
      <c r="J5652" s="26" t="str">
        <f>IF(OR(E5652="",E5652="!!!",F5652="NEW"),"",COUNTBLANK(OFFSET(A$1,,,SUMPRODUCT(MAX(ROW(E$2:E5652)*(E5652=E$2:E5652)))))-COUNTBLANK(OFFSET(A$1,,,SUMPRODUCT(MAX(ROW(E$1:E5651)*(E2=E$1:E5651))))))</f>
        <v> </v>
      </c>
      <c r="K5652" s="26" t="str">
        <f>IF(OR(E5652="",E5652="!!!",F5652="NEW"),"",INDEX(J$1:J5651,SUMPRODUCT(MAX(ROW(E$1:E5651)*(E5652=E$1:E5651)))))</f>
        <v> </v>
      </c>
      <c r="L5652" s="27"/>
    </row>
    <row r="5653" spans="1:12">
      <c r="A5653" s="20" t="s">
        <v>1030</v>
      </c>
      <c r="E5653" s="22">
        <f>IF(D5653="?OLD","!!!","")</f>
        <v/>
      </c>
      <c r="F5653" s="23" t="str">
        <f>IF(OR(E5653="",E5653="!!!"),"",IF(NOT(ISNA(VLOOKUP(E5653,E$1:E5652,1,FALSE()))),"OLD",IF(AND(E5653&lt;&gt;"",E5653&lt;&gt;"!!!"),"NEW","")))</f>
        <v> </v>
      </c>
      <c r="G5653" s="24" t="str">
        <f>IF(OR(E5653="",E5653="!!!"),"",IF(OR(J5653=0,AND(J5653=1,K5653=1),AND(J5653=1,I5653="SBJ"),AND(J5653=1,I5653=0)),"?IN_FOCUS",IF(J5653&lt;=2,"?ACTIVATED",IF(J5653&lt;&gt;"","?FAMILIAR",IF(F5653="NEW",IF(ISNA(VLOOKUP(E5653,#REF!,1,FALSE())),"?TYPE_IDENTIFIABLE","?REFERENTIAL"),"_")))))</f>
        <v> </v>
      </c>
      <c r="H5653" s="25" t="str">
        <f>IF(J5653&lt;&gt;1,"",IF(I5653="SBJ","CB","?"))</f>
        <v> </v>
      </c>
      <c r="I5653" s="26" t="str">
        <f>IF(OR(E5653="",E5653="!!!",F5653="NEW"),"",INDEX(B5652:B$2,-1+SUMPRODUCT(MAX(ROW(E5652:E$2)*(E5653=E5652:E$2)))))</f>
        <v> </v>
      </c>
      <c r="J5653" s="26" t="str">
        <f>IF(OR(E5653="",E5653="!!!",F5653="NEW"),"",COUNTBLANK(OFFSET(A$1,,,SUMPRODUCT(MAX(ROW(E$2:E5653)*(E5653=E$2:E5653)))))-COUNTBLANK(OFFSET(A$1,,,SUMPRODUCT(MAX(ROW(E$1:E5652)*(E2=E$1:E5652))))))</f>
        <v> </v>
      </c>
      <c r="K5653" s="26" t="str">
        <f>IF(OR(E5653="",E5653="!!!",F5653="NEW"),"",INDEX(J$1:J5652,SUMPRODUCT(MAX(ROW(E$1:E5652)*(E5653=E$1:E5652)))))</f>
        <v> </v>
      </c>
      <c r="L5653" s="27"/>
    </row>
    <row r="5654" spans="1:12">
      <c r="A5654" s="20" t="s">
        <v>2529</v>
      </c>
      <c r="B5654" s="21" t="s">
        <v>1022</v>
      </c>
      <c r="C5654" s="21" t="s">
        <v>1006</v>
      </c>
      <c r="D5654" s="21" t="s">
        <v>1007</v>
      </c>
      <c r="E5654" s="22">
        <f>IF(D5654="?OLD","!!!","")</f>
        <v/>
      </c>
      <c r="F5654" s="23" t="str">
        <f>IF(OR(E5654="",E5654="!!!"),"",IF(NOT(ISNA(VLOOKUP(E5654,E$1:E5653,1,FALSE()))),"OLD",IF(AND(E5654&lt;&gt;"",E5654&lt;&gt;"!!!"),"NEW","")))</f>
        <v> </v>
      </c>
      <c r="G5654" s="24" t="str">
        <f>IF(OR(E5654="",E5654="!!!"),"",IF(OR(J5654=0,AND(J5654=1,K5654=1),AND(J5654=1,I5654="SBJ"),AND(J5654=1,I5654=0)),"?IN_FOCUS",IF(J5654&lt;=2,"?ACTIVATED",IF(J5654&lt;&gt;"","?FAMILIAR",IF(F5654="NEW",IF(ISNA(VLOOKUP(E5654,#REF!,1,FALSE())),"?TYPE_IDENTIFIABLE","?REFERENTIAL"),"_")))))</f>
        <v> </v>
      </c>
      <c r="H5654" s="25" t="str">
        <f>IF(J5654&lt;&gt;1,"",IF(I5654="SBJ","CB","?"))</f>
        <v> </v>
      </c>
      <c r="I5654" s="26" t="str">
        <f>IF(OR(E5654="",E5654="!!!",F5654="NEW"),"",INDEX(B5653:B$2,-1+SUMPRODUCT(MAX(ROW(E5653:E$2)*(E5654=E5653:E$2)))))</f>
        <v> </v>
      </c>
      <c r="J5654" s="26" t="str">
        <f>IF(OR(E5654="",E5654="!!!",F5654="NEW"),"",COUNTBLANK(OFFSET(A$1,,,SUMPRODUCT(MAX(ROW(E$2:E5654)*(E5654=E$2:E5654)))))-COUNTBLANK(OFFSET(A$1,,,SUMPRODUCT(MAX(ROW(E$1:E5653)*(E2=E$1:E5653))))))</f>
        <v> </v>
      </c>
      <c r="K5654" s="26" t="str">
        <f>IF(OR(E5654="",E5654="!!!",F5654="NEW"),"",INDEX(J$1:J5653,SUMPRODUCT(MAX(ROW(E$1:E5653)*(E5654=E$1:E5653)))))</f>
        <v> </v>
      </c>
      <c r="L5654" s="27"/>
    </row>
    <row r="5655" spans="1:12">
      <c r="A5655" s="20" t="s">
        <v>1018</v>
      </c>
      <c r="E5655" s="22">
        <f>IF(D5655="?OLD","!!!","")</f>
        <v/>
      </c>
      <c r="F5655" s="23" t="str">
        <f>IF(OR(E5655="",E5655="!!!"),"",IF(NOT(ISNA(VLOOKUP(E5655,E$1:E5654,1,FALSE()))),"OLD",IF(AND(E5655&lt;&gt;"",E5655&lt;&gt;"!!!"),"NEW","")))</f>
        <v> </v>
      </c>
      <c r="G5655" s="24" t="str">
        <f>IF(OR(E5655="",E5655="!!!"),"",IF(OR(J5655=0,AND(J5655=1,K5655=1),AND(J5655=1,I5655="SBJ"),AND(J5655=1,I5655=0)),"?IN_FOCUS",IF(J5655&lt;=2,"?ACTIVATED",IF(J5655&lt;&gt;"","?FAMILIAR",IF(F5655="NEW",IF(ISNA(VLOOKUP(E5655,#REF!,1,FALSE())),"?TYPE_IDENTIFIABLE","?REFERENTIAL"),"_")))))</f>
        <v> </v>
      </c>
      <c r="H5655" s="25" t="str">
        <f>IF(J5655&lt;&gt;1,"",IF(I5655="SBJ","CB","?"))</f>
        <v> </v>
      </c>
      <c r="I5655" s="26" t="str">
        <f>IF(OR(E5655="",E5655="!!!",F5655="NEW"),"",INDEX(B5654:B$2,-1+SUMPRODUCT(MAX(ROW(E5654:E$2)*(E5655=E5654:E$2)))))</f>
        <v> </v>
      </c>
      <c r="J5655" s="26" t="str">
        <f>IF(OR(E5655="",E5655="!!!",F5655="NEW"),"",COUNTBLANK(OFFSET(A$1,,,SUMPRODUCT(MAX(ROW(E$2:E5655)*(E5655=E$2:E5655)))))-COUNTBLANK(OFFSET(A$1,,,SUMPRODUCT(MAX(ROW(E$1:E5654)*(E2=E$1:E5654))))))</f>
        <v> </v>
      </c>
      <c r="K5655" s="26" t="str">
        <f>IF(OR(E5655="",E5655="!!!",F5655="NEW"),"",INDEX(J$1:J5654,SUMPRODUCT(MAX(ROW(E$1:E5654)*(E5655=E$1:E5654)))))</f>
        <v> </v>
      </c>
      <c r="L5655" s="27"/>
    </row>
    <row r="5656" spans="1:12">
      <c r="A5656" s="20" t="s">
        <v>1330</v>
      </c>
      <c r="E5656" s="22">
        <f>IF(D5656="?OLD","!!!","")</f>
        <v/>
      </c>
      <c r="F5656" s="23" t="str">
        <f>IF(OR(E5656="",E5656="!!!"),"",IF(NOT(ISNA(VLOOKUP(E5656,E$1:E5655,1,FALSE()))),"OLD",IF(AND(E5656&lt;&gt;"",E5656&lt;&gt;"!!!"),"NEW","")))</f>
        <v> </v>
      </c>
      <c r="G5656" s="24" t="str">
        <f>IF(OR(E5656="",E5656="!!!"),"",IF(OR(J5656=0,AND(J5656=1,K5656=1),AND(J5656=1,I5656="SBJ"),AND(J5656=1,I5656=0)),"?IN_FOCUS",IF(J5656&lt;=2,"?ACTIVATED",IF(J5656&lt;&gt;"","?FAMILIAR",IF(F5656="NEW",IF(ISNA(VLOOKUP(E5656,#REF!,1,FALSE())),"?TYPE_IDENTIFIABLE","?REFERENTIAL"),"_")))))</f>
        <v> </v>
      </c>
      <c r="H5656" s="25" t="str">
        <f>IF(J5656&lt;&gt;1,"",IF(I5656="SBJ","CB","?"))</f>
        <v> </v>
      </c>
      <c r="I5656" s="26" t="str">
        <f>IF(OR(E5656="",E5656="!!!",F5656="NEW"),"",INDEX(B5655:B$2,-1+SUMPRODUCT(MAX(ROW(E5655:E$2)*(E5656=E5655:E$2)))))</f>
        <v> </v>
      </c>
      <c r="J5656" s="26" t="str">
        <f>IF(OR(E5656="",E5656="!!!",F5656="NEW"),"",COUNTBLANK(OFFSET(A$1,,,SUMPRODUCT(MAX(ROW(E$2:E5656)*(E5656=E$2:E5656)))))-COUNTBLANK(OFFSET(A$1,,,SUMPRODUCT(MAX(ROW(E$1:E5655)*(E2=E$1:E5655))))))</f>
        <v> </v>
      </c>
      <c r="K5656" s="26" t="str">
        <f>IF(OR(E5656="",E5656="!!!",F5656="NEW"),"",INDEX(J$1:J5655,SUMPRODUCT(MAX(ROW(E$1:E5655)*(E5656=E$1:E5655)))))</f>
        <v> </v>
      </c>
      <c r="L5656" s="27"/>
    </row>
    <row r="5657" spans="1:12">
      <c r="A5657" s="20" t="s">
        <v>1030</v>
      </c>
      <c r="E5657" s="22">
        <f>IF(D5657="?OLD","!!!","")</f>
        <v/>
      </c>
      <c r="F5657" s="23" t="str">
        <f>IF(OR(E5657="",E5657="!!!"),"",IF(NOT(ISNA(VLOOKUP(E5657,E$1:E5656,1,FALSE()))),"OLD",IF(AND(E5657&lt;&gt;"",E5657&lt;&gt;"!!!"),"NEW","")))</f>
        <v> </v>
      </c>
      <c r="G5657" s="24" t="str">
        <f>IF(OR(E5657="",E5657="!!!"),"",IF(OR(J5657=0,AND(J5657=1,K5657=1),AND(J5657=1,I5657="SBJ"),AND(J5657=1,I5657=0)),"?IN_FOCUS",IF(J5657&lt;=2,"?ACTIVATED",IF(J5657&lt;&gt;"","?FAMILIAR",IF(F5657="NEW",IF(ISNA(VLOOKUP(E5657,#REF!,1,FALSE())),"?TYPE_IDENTIFIABLE","?REFERENTIAL"),"_")))))</f>
        <v> </v>
      </c>
      <c r="H5657" s="25" t="str">
        <f>IF(J5657&lt;&gt;1,"",IF(I5657="SBJ","CB","?"))</f>
        <v> </v>
      </c>
      <c r="I5657" s="26" t="str">
        <f>IF(OR(E5657="",E5657="!!!",F5657="NEW"),"",INDEX(B5656:B$2,-1+SUMPRODUCT(MAX(ROW(E5656:E$2)*(E5657=E5656:E$2)))))</f>
        <v> </v>
      </c>
      <c r="J5657" s="26" t="str">
        <f>IF(OR(E5657="",E5657="!!!",F5657="NEW"),"",COUNTBLANK(OFFSET(A$1,,,SUMPRODUCT(MAX(ROW(E$2:E5657)*(E5657=E$2:E5657)))))-COUNTBLANK(OFFSET(A$1,,,SUMPRODUCT(MAX(ROW(E$1:E5656)*(E2=E$1:E5656))))))</f>
        <v> </v>
      </c>
      <c r="K5657" s="26" t="str">
        <f>IF(OR(E5657="",E5657="!!!",F5657="NEW"),"",INDEX(J$1:J5656,SUMPRODUCT(MAX(ROW(E$1:E5656)*(E5657=E$1:E5656)))))</f>
        <v> </v>
      </c>
      <c r="L5657" s="27"/>
    </row>
    <row r="5658" spans="1:12">
      <c r="A5658" s="20" t="s">
        <v>1433</v>
      </c>
      <c r="E5658" s="22">
        <f>IF(D5658="?OLD","!!!","")</f>
        <v/>
      </c>
      <c r="F5658" s="23" t="str">
        <f>IF(OR(E5658="",E5658="!!!"),"",IF(NOT(ISNA(VLOOKUP(E5658,E$1:E5657,1,FALSE()))),"OLD",IF(AND(E5658&lt;&gt;"",E5658&lt;&gt;"!!!"),"NEW","")))</f>
        <v> </v>
      </c>
      <c r="G5658" s="24" t="str">
        <f>IF(OR(E5658="",E5658="!!!"),"",IF(OR(J5658=0,AND(J5658=1,K5658=1),AND(J5658=1,I5658="SBJ"),AND(J5658=1,I5658=0)),"?IN_FOCUS",IF(J5658&lt;=2,"?ACTIVATED",IF(J5658&lt;&gt;"","?FAMILIAR",IF(F5658="NEW",IF(ISNA(VLOOKUP(E5658,#REF!,1,FALSE())),"?TYPE_IDENTIFIABLE","?REFERENTIAL"),"_")))))</f>
        <v> </v>
      </c>
      <c r="H5658" s="25" t="str">
        <f>IF(J5658&lt;&gt;1,"",IF(I5658="SBJ","CB","?"))</f>
        <v> </v>
      </c>
      <c r="I5658" s="26" t="str">
        <f>IF(OR(E5658="",E5658="!!!",F5658="NEW"),"",INDEX(B5657:B$2,-1+SUMPRODUCT(MAX(ROW(E5657:E$2)*(E5658=E5657:E$2)))))</f>
        <v> </v>
      </c>
      <c r="J5658" s="26" t="str">
        <f>IF(OR(E5658="",E5658="!!!",F5658="NEW"),"",COUNTBLANK(OFFSET(A$1,,,SUMPRODUCT(MAX(ROW(E$2:E5658)*(E5658=E$2:E5658)))))-COUNTBLANK(OFFSET(A$1,,,SUMPRODUCT(MAX(ROW(E$1:E5657)*(E2=E$1:E5657))))))</f>
        <v> </v>
      </c>
      <c r="K5658" s="26" t="str">
        <f>IF(OR(E5658="",E5658="!!!",F5658="NEW"),"",INDEX(J$1:J5657,SUMPRODUCT(MAX(ROW(E$1:E5657)*(E5658=E$1:E5657)))))</f>
        <v> </v>
      </c>
      <c r="L5658" s="27"/>
    </row>
    <row r="5659" spans="1:12">
      <c r="A5659" s="20" t="s">
        <v>102</v>
      </c>
      <c r="E5659" s="22">
        <f>IF(D5659="?OLD","!!!","")</f>
        <v/>
      </c>
      <c r="F5659" s="23" t="str">
        <f>IF(OR(E5659="",E5659="!!!"),"",IF(NOT(ISNA(VLOOKUP(E5659,E$1:E5658,1,FALSE()))),"OLD",IF(AND(E5659&lt;&gt;"",E5659&lt;&gt;"!!!"),"NEW","")))</f>
        <v> </v>
      </c>
      <c r="G5659" s="24" t="str">
        <f>IF(OR(E5659="",E5659="!!!"),"",IF(OR(J5659=0,AND(J5659=1,K5659=1),AND(J5659=1,I5659="SBJ"),AND(J5659=1,I5659=0)),"?IN_FOCUS",IF(J5659&lt;=2,"?ACTIVATED",IF(J5659&lt;&gt;"","?FAMILIAR",IF(F5659="NEW",IF(ISNA(VLOOKUP(E5659,#REF!,1,FALSE())),"?TYPE_IDENTIFIABLE","?REFERENTIAL"),"_")))))</f>
        <v> </v>
      </c>
      <c r="H5659" s="25" t="str">
        <f>IF(J5659&lt;&gt;1,"",IF(I5659="SBJ","CB","?"))</f>
        <v> </v>
      </c>
      <c r="I5659" s="26" t="str">
        <f>IF(OR(E5659="",E5659="!!!",F5659="NEW"),"",INDEX(B5658:B$2,-1+SUMPRODUCT(MAX(ROW(E5658:E$2)*(E5659=E5658:E$2)))))</f>
        <v> </v>
      </c>
      <c r="J5659" s="26" t="str">
        <f>IF(OR(E5659="",E5659="!!!",F5659="NEW"),"",COUNTBLANK(OFFSET(A$1,,,SUMPRODUCT(MAX(ROW(E$2:E5659)*(E5659=E$2:E5659)))))-COUNTBLANK(OFFSET(A$1,,,SUMPRODUCT(MAX(ROW(E$1:E5658)*(E2=E$1:E5658))))))</f>
        <v> </v>
      </c>
      <c r="K5659" s="26" t="str">
        <f>IF(OR(E5659="",E5659="!!!",F5659="NEW"),"",INDEX(J$1:J5658,SUMPRODUCT(MAX(ROW(E$1:E5658)*(E5659=E$1:E5658)))))</f>
        <v> </v>
      </c>
      <c r="L5659" s="27"/>
    </row>
    <row r="5660" spans="1:12">
      <c r="A5660" s="20" t="s">
        <v>1156</v>
      </c>
      <c r="B5660" s="21" t="s">
        <v>1022</v>
      </c>
      <c r="C5660" s="21" t="s">
        <v>1017</v>
      </c>
      <c r="D5660" s="21" t="s">
        <v>1007</v>
      </c>
      <c r="E5660" s="22">
        <f>IF(D5660="?OLD","!!!","")</f>
        <v/>
      </c>
      <c r="F5660" s="23" t="str">
        <f>IF(OR(E5660="",E5660="!!!"),"",IF(NOT(ISNA(VLOOKUP(E5660,E$1:E5659,1,FALSE()))),"OLD",IF(AND(E5660&lt;&gt;"",E5660&lt;&gt;"!!!"),"NEW","")))</f>
        <v> </v>
      </c>
      <c r="G5660" s="24" t="str">
        <f>IF(OR(E5660="",E5660="!!!"),"",IF(OR(J5660=0,AND(J5660=1,K5660=1),AND(J5660=1,I5660="SBJ"),AND(J5660=1,I5660=0)),"?IN_FOCUS",IF(J5660&lt;=2,"?ACTIVATED",IF(J5660&lt;&gt;"","?FAMILIAR",IF(F5660="NEW",IF(ISNA(VLOOKUP(E5660,#REF!,1,FALSE())),"?TYPE_IDENTIFIABLE","?REFERENTIAL"),"_")))))</f>
        <v> </v>
      </c>
      <c r="H5660" s="25" t="str">
        <f>IF(J5660&lt;&gt;1,"",IF(I5660="SBJ","CB","?"))</f>
        <v> </v>
      </c>
      <c r="I5660" s="26" t="str">
        <f>IF(OR(E5660="",E5660="!!!",F5660="NEW"),"",INDEX(B5659:B$2,-1+SUMPRODUCT(MAX(ROW(E5659:E$2)*(E5660=E5659:E$2)))))</f>
        <v> </v>
      </c>
      <c r="J5660" s="26" t="str">
        <f>IF(OR(E5660="",E5660="!!!",F5660="NEW"),"",COUNTBLANK(OFFSET(A$1,,,SUMPRODUCT(MAX(ROW(E$2:E5660)*(E5660=E$2:E5660)))))-COUNTBLANK(OFFSET(A$1,,,SUMPRODUCT(MAX(ROW(E$1:E5659)*(E2=E$1:E5659))))))</f>
        <v> </v>
      </c>
      <c r="K5660" s="26" t="str">
        <f>IF(OR(E5660="",E5660="!!!",F5660="NEW"),"",INDEX(J$1:J5659,SUMPRODUCT(MAX(ROW(E$1:E5659)*(E5660=E$1:E5659)))))</f>
        <v> </v>
      </c>
      <c r="L5660" s="27"/>
    </row>
    <row r="5661" spans="1:12">
      <c r="A5661" s="20" t="s">
        <v>1018</v>
      </c>
      <c r="E5661" s="22">
        <f>IF(D5661="?OLD","!!!","")</f>
        <v/>
      </c>
      <c r="F5661" s="23" t="str">
        <f>IF(OR(E5661="",E5661="!!!"),"",IF(NOT(ISNA(VLOOKUP(E5661,E$1:E5660,1,FALSE()))),"OLD",IF(AND(E5661&lt;&gt;"",E5661&lt;&gt;"!!!"),"NEW","")))</f>
        <v> </v>
      </c>
      <c r="G5661" s="24" t="str">
        <f>IF(OR(E5661="",E5661="!!!"),"",IF(OR(J5661=0,AND(J5661=1,K5661=1),AND(J5661=1,I5661="SBJ"),AND(J5661=1,I5661=0)),"?IN_FOCUS",IF(J5661&lt;=2,"?ACTIVATED",IF(J5661&lt;&gt;"","?FAMILIAR",IF(F5661="NEW",IF(ISNA(VLOOKUP(E5661,#REF!,1,FALSE())),"?TYPE_IDENTIFIABLE","?REFERENTIAL"),"_")))))</f>
        <v> </v>
      </c>
      <c r="H5661" s="25" t="str">
        <f>IF(J5661&lt;&gt;1,"",IF(I5661="SBJ","CB","?"))</f>
        <v> </v>
      </c>
      <c r="I5661" s="26" t="str">
        <f>IF(OR(E5661="",E5661="!!!",F5661="NEW"),"",INDEX(B5660:B$2,-1+SUMPRODUCT(MAX(ROW(E5660:E$2)*(E5661=E5660:E$2)))))</f>
        <v> </v>
      </c>
      <c r="J5661" s="26" t="str">
        <f>IF(OR(E5661="",E5661="!!!",F5661="NEW"),"",COUNTBLANK(OFFSET(A$1,,,SUMPRODUCT(MAX(ROW(E$2:E5661)*(E5661=E$2:E5661)))))-COUNTBLANK(OFFSET(A$1,,,SUMPRODUCT(MAX(ROW(E$1:E5660)*(E2=E$1:E5660))))))</f>
        <v> </v>
      </c>
      <c r="K5661" s="26" t="str">
        <f>IF(OR(E5661="",E5661="!!!",F5661="NEW"),"",INDEX(J$1:J5660,SUMPRODUCT(MAX(ROW(E$1:E5660)*(E5661=E$1:E5660)))))</f>
        <v> </v>
      </c>
      <c r="L5661" s="27"/>
    </row>
    <row r="5662" spans="1:12">
      <c r="A5662" s="20" t="s">
        <v>1020</v>
      </c>
      <c r="E5662" s="22">
        <f>IF(D5662="?OLD","!!!","")</f>
        <v/>
      </c>
      <c r="F5662" s="23" t="str">
        <f>IF(OR(E5662="",E5662="!!!"),"",IF(NOT(ISNA(VLOOKUP(E5662,E$1:E5661,1,FALSE()))),"OLD",IF(AND(E5662&lt;&gt;"",E5662&lt;&gt;"!!!"),"NEW","")))</f>
        <v> </v>
      </c>
      <c r="G5662" s="24" t="str">
        <f>IF(OR(E5662="",E5662="!!!"),"",IF(OR(J5662=0,AND(J5662=1,K5662=1),AND(J5662=1,I5662="SBJ"),AND(J5662=1,I5662=0)),"?IN_FOCUS",IF(J5662&lt;=2,"?ACTIVATED",IF(J5662&lt;&gt;"","?FAMILIAR",IF(F5662="NEW",IF(ISNA(VLOOKUP(E5662,#REF!,1,FALSE())),"?TYPE_IDENTIFIABLE","?REFERENTIAL"),"_")))))</f>
        <v> </v>
      </c>
      <c r="H5662" s="25" t="str">
        <f>IF(J5662&lt;&gt;1,"",IF(I5662="SBJ","CB","?"))</f>
        <v> </v>
      </c>
      <c r="I5662" s="26" t="str">
        <f>IF(OR(E5662="",E5662="!!!",F5662="NEW"),"",INDEX(B5661:B$2,-1+SUMPRODUCT(MAX(ROW(E5661:E$2)*(E5662=E5661:E$2)))))</f>
        <v> </v>
      </c>
      <c r="J5662" s="26" t="str">
        <f>IF(OR(E5662="",E5662="!!!",F5662="NEW"),"",COUNTBLANK(OFFSET(A$1,,,SUMPRODUCT(MAX(ROW(E$2:E5662)*(E5662=E$2:E5662)))))-COUNTBLANK(OFFSET(A$1,,,SUMPRODUCT(MAX(ROW(E$1:E5661)*(E2=E$1:E5661))))))</f>
        <v> </v>
      </c>
      <c r="K5662" s="26" t="str">
        <f>IF(OR(E5662="",E5662="!!!",F5662="NEW"),"",INDEX(J$1:J5661,SUMPRODUCT(MAX(ROW(E$1:E5661)*(E5662=E$1:E5661)))))</f>
        <v> </v>
      </c>
      <c r="L5662" s="27"/>
    </row>
    <row r="5663" spans="1:12">
      <c r="A5663" s="20" t="s">
        <v>2530</v>
      </c>
      <c r="E5663" s="22">
        <f>IF(D5663="?OLD","!!!","")</f>
        <v/>
      </c>
      <c r="F5663" s="23" t="str">
        <f>IF(OR(E5663="",E5663="!!!"),"",IF(NOT(ISNA(VLOOKUP(E5663,E$1:E5662,1,FALSE()))),"OLD",IF(AND(E5663&lt;&gt;"",E5663&lt;&gt;"!!!"),"NEW","")))</f>
        <v> </v>
      </c>
      <c r="G5663" s="24" t="str">
        <f>IF(OR(E5663="",E5663="!!!"),"",IF(OR(J5663=0,AND(J5663=1,K5663=1),AND(J5663=1,I5663="SBJ"),AND(J5663=1,I5663=0)),"?IN_FOCUS",IF(J5663&lt;=2,"?ACTIVATED",IF(J5663&lt;&gt;"","?FAMILIAR",IF(F5663="NEW",IF(ISNA(VLOOKUP(E5663,#REF!,1,FALSE())),"?TYPE_IDENTIFIABLE","?REFERENTIAL"),"_")))))</f>
        <v> </v>
      </c>
      <c r="H5663" s="25" t="str">
        <f>IF(J5663&lt;&gt;1,"",IF(I5663="SBJ","CB","?"))</f>
        <v> </v>
      </c>
      <c r="I5663" s="26" t="str">
        <f>IF(OR(E5663="",E5663="!!!",F5663="NEW"),"",INDEX(B5662:B$2,-1+SUMPRODUCT(MAX(ROW(E5662:E$2)*(E5663=E5662:E$2)))))</f>
        <v> </v>
      </c>
      <c r="J5663" s="26" t="str">
        <f>IF(OR(E5663="",E5663="!!!",F5663="NEW"),"",COUNTBLANK(OFFSET(A$1,,,SUMPRODUCT(MAX(ROW(E$2:E5663)*(E5663=E$2:E5663)))))-COUNTBLANK(OFFSET(A$1,,,SUMPRODUCT(MAX(ROW(E$1:E5662)*(E2=E$1:E5662))))))</f>
        <v> </v>
      </c>
      <c r="K5663" s="26" t="str">
        <f>IF(OR(E5663="",E5663="!!!",F5663="NEW"),"",INDEX(J$1:J5662,SUMPRODUCT(MAX(ROW(E$1:E5662)*(E5663=E$1:E5662)))))</f>
        <v> </v>
      </c>
      <c r="L5663" s="27"/>
    </row>
    <row r="5664" spans="1:12">
      <c r="A5664" s="20" t="s">
        <v>56</v>
      </c>
      <c r="E5664" s="22">
        <f>IF(D5664="?OLD","!!!","")</f>
        <v/>
      </c>
      <c r="F5664" s="23" t="str">
        <f>IF(OR(E5664="",E5664="!!!"),"",IF(NOT(ISNA(VLOOKUP(E5664,E$1:E5663,1,FALSE()))),"OLD",IF(AND(E5664&lt;&gt;"",E5664&lt;&gt;"!!!"),"NEW","")))</f>
        <v> </v>
      </c>
      <c r="G5664" s="24" t="str">
        <f>IF(OR(E5664="",E5664="!!!"),"",IF(OR(J5664=0,AND(J5664=1,K5664=1),AND(J5664=1,I5664="SBJ"),AND(J5664=1,I5664=0)),"?IN_FOCUS",IF(J5664&lt;=2,"?ACTIVATED",IF(J5664&lt;&gt;"","?FAMILIAR",IF(F5664="NEW",IF(ISNA(VLOOKUP(E5664,#REF!,1,FALSE())),"?TYPE_IDENTIFIABLE","?REFERENTIAL"),"_")))))</f>
        <v> </v>
      </c>
      <c r="H5664" s="25" t="str">
        <f>IF(J5664&lt;&gt;1,"",IF(I5664="SBJ","CB","?"))</f>
        <v> </v>
      </c>
      <c r="I5664" s="26" t="str">
        <f>IF(OR(E5664="",E5664="!!!",F5664="NEW"),"",INDEX(B5663:B$2,-1+SUMPRODUCT(MAX(ROW(E5663:E$2)*(E5664=E5663:E$2)))))</f>
        <v> </v>
      </c>
      <c r="J5664" s="26" t="str">
        <f>IF(OR(E5664="",E5664="!!!",F5664="NEW"),"",COUNTBLANK(OFFSET(A$1,,,SUMPRODUCT(MAX(ROW(E$2:E5664)*(E5664=E$2:E5664)))))-COUNTBLANK(OFFSET(A$1,,,SUMPRODUCT(MAX(ROW(E$1:E5663)*(E2=E$1:E5663))))))</f>
        <v> </v>
      </c>
      <c r="K5664" s="26" t="str">
        <f>IF(OR(E5664="",E5664="!!!",F5664="NEW"),"",INDEX(J$1:J5663,SUMPRODUCT(MAX(ROW(E$1:E5663)*(E5664=E$1:E5663)))))</f>
        <v> </v>
      </c>
      <c r="L5664" s="27"/>
    </row>
    <row r="5665" spans="1:12">
      <c r="A5665" s="20" t="s">
        <v>1020</v>
      </c>
      <c r="E5665" s="22">
        <f>IF(D5665="?OLD","!!!","")</f>
        <v/>
      </c>
      <c r="F5665" s="23" t="str">
        <f>IF(OR(E5665="",E5665="!!!"),"",IF(NOT(ISNA(VLOOKUP(E5665,E$1:E5664,1,FALSE()))),"OLD",IF(AND(E5665&lt;&gt;"",E5665&lt;&gt;"!!!"),"NEW","")))</f>
        <v> </v>
      </c>
      <c r="G5665" s="24" t="str">
        <f>IF(OR(E5665="",E5665="!!!"),"",IF(OR(J5665=0,AND(J5665=1,K5665=1),AND(J5665=1,I5665="SBJ"),AND(J5665=1,I5665=0)),"?IN_FOCUS",IF(J5665&lt;=2,"?ACTIVATED",IF(J5665&lt;&gt;"","?FAMILIAR",IF(F5665="NEW",IF(ISNA(VLOOKUP(E5665,#REF!,1,FALSE())),"?TYPE_IDENTIFIABLE","?REFERENTIAL"),"_")))))</f>
        <v> </v>
      </c>
      <c r="H5665" s="25" t="str">
        <f>IF(J5665&lt;&gt;1,"",IF(I5665="SBJ","CB","?"))</f>
        <v> </v>
      </c>
      <c r="I5665" s="26" t="str">
        <f>IF(OR(E5665="",E5665="!!!",F5665="NEW"),"",INDEX(B5664:B$2,-1+SUMPRODUCT(MAX(ROW(E5664:E$2)*(E5665=E5664:E$2)))))</f>
        <v> </v>
      </c>
      <c r="J5665" s="26" t="str">
        <f>IF(OR(E5665="",E5665="!!!",F5665="NEW"),"",COUNTBLANK(OFFSET(A$1,,,SUMPRODUCT(MAX(ROW(E$2:E5665)*(E5665=E$2:E5665)))))-COUNTBLANK(OFFSET(A$1,,,SUMPRODUCT(MAX(ROW(E$1:E5664)*(E2=E$1:E5664))))))</f>
        <v> </v>
      </c>
      <c r="K5665" s="26" t="str">
        <f>IF(OR(E5665="",E5665="!!!",F5665="NEW"),"",INDEX(J$1:J5664,SUMPRODUCT(MAX(ROW(E$1:E5664)*(E5665=E$1:E5664)))))</f>
        <v> </v>
      </c>
      <c r="L5665" s="27"/>
    </row>
    <row r="5666" spans="1:12">
      <c r="A5666" s="20" t="s">
        <v>2531</v>
      </c>
      <c r="E5666" s="22">
        <f>IF(D5666="?OLD","!!!","")</f>
        <v/>
      </c>
      <c r="F5666" s="23" t="str">
        <f>IF(OR(E5666="",E5666="!!!"),"",IF(NOT(ISNA(VLOOKUP(E5666,E$1:E5665,1,FALSE()))),"OLD",IF(AND(E5666&lt;&gt;"",E5666&lt;&gt;"!!!"),"NEW","")))</f>
        <v> </v>
      </c>
      <c r="G5666" s="24" t="str">
        <f>IF(OR(E5666="",E5666="!!!"),"",IF(OR(J5666=0,AND(J5666=1,K5666=1),AND(J5666=1,I5666="SBJ"),AND(J5666=1,I5666=0)),"?IN_FOCUS",IF(J5666&lt;=2,"?ACTIVATED",IF(J5666&lt;&gt;"","?FAMILIAR",IF(F5666="NEW",IF(ISNA(VLOOKUP(E5666,#REF!,1,FALSE())),"?TYPE_IDENTIFIABLE","?REFERENTIAL"),"_")))))</f>
        <v> </v>
      </c>
      <c r="H5666" s="25" t="str">
        <f>IF(J5666&lt;&gt;1,"",IF(I5666="SBJ","CB","?"))</f>
        <v> </v>
      </c>
      <c r="I5666" s="26" t="str">
        <f>IF(OR(E5666="",E5666="!!!",F5666="NEW"),"",INDEX(B5665:B$2,-1+SUMPRODUCT(MAX(ROW(E5665:E$2)*(E5666=E5665:E$2)))))</f>
        <v> </v>
      </c>
      <c r="J5666" s="26" t="str">
        <f>IF(OR(E5666="",E5666="!!!",F5666="NEW"),"",COUNTBLANK(OFFSET(A$1,,,SUMPRODUCT(MAX(ROW(E$2:E5666)*(E5666=E$2:E5666)))))-COUNTBLANK(OFFSET(A$1,,,SUMPRODUCT(MAX(ROW(E$1:E5665)*(E2=E$1:E5665))))))</f>
        <v> </v>
      </c>
      <c r="K5666" s="26" t="str">
        <f>IF(OR(E5666="",E5666="!!!",F5666="NEW"),"",INDEX(J$1:J5665,SUMPRODUCT(MAX(ROW(E$1:E5665)*(E5666=E$1:E5665)))))</f>
        <v> </v>
      </c>
      <c r="L5666" s="27"/>
    </row>
    <row r="5667" spans="1:12">
      <c r="A5667" s="20" t="s">
        <v>1023</v>
      </c>
      <c r="E5667" s="22">
        <f>IF(D5667="?OLD","!!!","")</f>
        <v/>
      </c>
      <c r="F5667" s="23" t="str">
        <f>IF(OR(E5667="",E5667="!!!"),"",IF(NOT(ISNA(VLOOKUP(E5667,E$1:E5666,1,FALSE()))),"OLD",IF(AND(E5667&lt;&gt;"",E5667&lt;&gt;"!!!"),"NEW","")))</f>
        <v> </v>
      </c>
      <c r="G5667" s="24" t="str">
        <f>IF(OR(E5667="",E5667="!!!"),"",IF(OR(J5667=0,AND(J5667=1,K5667=1),AND(J5667=1,I5667="SBJ"),AND(J5667=1,I5667=0)),"?IN_FOCUS",IF(J5667&lt;=2,"?ACTIVATED",IF(J5667&lt;&gt;"","?FAMILIAR",IF(F5667="NEW",IF(ISNA(VLOOKUP(E5667,#REF!,1,FALSE())),"?TYPE_IDENTIFIABLE","?REFERENTIAL"),"_")))))</f>
        <v> </v>
      </c>
      <c r="H5667" s="25" t="str">
        <f>IF(J5667&lt;&gt;1,"",IF(I5667="SBJ","CB","?"))</f>
        <v> </v>
      </c>
      <c r="I5667" s="26" t="str">
        <f>IF(OR(E5667="",E5667="!!!",F5667="NEW"),"",INDEX(B5666:B$2,-1+SUMPRODUCT(MAX(ROW(E5666:E$2)*(E5667=E5666:E$2)))))</f>
        <v> </v>
      </c>
      <c r="J5667" s="26" t="str">
        <f>IF(OR(E5667="",E5667="!!!",F5667="NEW"),"",COUNTBLANK(OFFSET(A$1,,,SUMPRODUCT(MAX(ROW(E$2:E5667)*(E5667=E$2:E5667)))))-COUNTBLANK(OFFSET(A$1,,,SUMPRODUCT(MAX(ROW(E$1:E5666)*(E2=E$1:E5666))))))</f>
        <v> </v>
      </c>
      <c r="K5667" s="26" t="str">
        <f>IF(OR(E5667="",E5667="!!!",F5667="NEW"),"",INDEX(J$1:J5666,SUMPRODUCT(MAX(ROW(E$1:E5666)*(E5667=E$1:E5666)))))</f>
        <v> </v>
      </c>
      <c r="L5667" s="27"/>
    </row>
    <row r="5668" spans="1:12">
      <c r="A5668" s="20"/>
    </row>
    <row r="5669" spans="1:12">
      <c r="A5669" s="20" t="s">
        <v>2532</v>
      </c>
    </row>
    <row r="5670" spans="1:12">
      <c r="A5670" s="20" t="s">
        <v>1094</v>
      </c>
      <c r="E5670" s="22">
        <f>IF(D5670="?OLD","!!!","")</f>
        <v/>
      </c>
      <c r="F5670" s="23" t="str">
        <f>IF(OR(E5670="",E5670="!!!"),"",IF(NOT(ISNA(VLOOKUP(E5670,E$1:E5669,1,FALSE()))),"OLD",IF(AND(E5670&lt;&gt;"",E5670&lt;&gt;"!!!"),"NEW","")))</f>
        <v> </v>
      </c>
      <c r="G5670" s="24" t="str">
        <f>IF(OR(E5670="",E5670="!!!"),"",IF(OR(J5670=0,AND(J5670=1,K5670=1),AND(J5670=1,I5670="SBJ"),AND(J5670=1,I5670=0)),"?IN_FOCUS",IF(J5670&lt;=2,"?ACTIVATED",IF(J5670&lt;&gt;"","?FAMILIAR",IF(F5670="NEW",IF(ISNA(VLOOKUP(E5670,#REF!,1,FALSE())),"?TYPE_IDENTIFIABLE","?REFERENTIAL"),"_")))))</f>
        <v> </v>
      </c>
      <c r="H5670" s="25" t="str">
        <f>IF(J5670&lt;&gt;1,"",IF(I5670="SBJ","CB","?"))</f>
        <v> </v>
      </c>
      <c r="I5670" s="26" t="str">
        <f>IF(OR(E5670="",E5670="!!!",F5670="NEW"),"",INDEX(B5669:B$2,-1+SUMPRODUCT(MAX(ROW(E5669:E$2)*(E5670=E5669:E$2)))))</f>
        <v> </v>
      </c>
      <c r="J5670" s="26" t="str">
        <f>IF(OR(E5670="",E5670="!!!",F5670="NEW"),"",COUNTBLANK(OFFSET(A$1,,,SUMPRODUCT(MAX(ROW(E$2:E5670)*(E5670=E$2:E5670)))))-COUNTBLANK(OFFSET(A$1,,,SUMPRODUCT(MAX(ROW(E$1:E5669)*(E2=E$1:E5669))))))</f>
        <v> </v>
      </c>
      <c r="K5670" s="26" t="str">
        <f>IF(OR(E5670="",E5670="!!!",F5670="NEW"),"",INDEX(J$1:J5669,SUMPRODUCT(MAX(ROW(E$1:E5669)*(E5670=E$1:E5669)))))</f>
        <v> </v>
      </c>
      <c r="L5670" s="27"/>
    </row>
    <row r="5671" spans="1:12">
      <c r="A5671" s="20" t="s">
        <v>1009</v>
      </c>
      <c r="E5671" s="22">
        <f>IF(D5671="?OLD","!!!","")</f>
        <v/>
      </c>
      <c r="F5671" s="23" t="str">
        <f>IF(OR(E5671="",E5671="!!!"),"",IF(NOT(ISNA(VLOOKUP(E5671,E$1:E5670,1,FALSE()))),"OLD",IF(AND(E5671&lt;&gt;"",E5671&lt;&gt;"!!!"),"NEW","")))</f>
        <v> </v>
      </c>
      <c r="G5671" s="24" t="str">
        <f>IF(OR(E5671="",E5671="!!!"),"",IF(OR(J5671=0,AND(J5671=1,K5671=1),AND(J5671=1,I5671="SBJ"),AND(J5671=1,I5671=0)),"?IN_FOCUS",IF(J5671&lt;=2,"?ACTIVATED",IF(J5671&lt;&gt;"","?FAMILIAR",IF(F5671="NEW",IF(ISNA(VLOOKUP(E5671,#REF!,1,FALSE())),"?TYPE_IDENTIFIABLE","?REFERENTIAL"),"_")))))</f>
        <v> </v>
      </c>
      <c r="H5671" s="25" t="str">
        <f>IF(J5671&lt;&gt;1,"",IF(I5671="SBJ","CB","?"))</f>
        <v> </v>
      </c>
      <c r="I5671" s="26" t="str">
        <f>IF(OR(E5671="",E5671="!!!",F5671="NEW"),"",INDEX(B5670:B$2,-1+SUMPRODUCT(MAX(ROW(E5670:E$2)*(E5671=E5670:E$2)))))</f>
        <v> </v>
      </c>
      <c r="J5671" s="26" t="str">
        <f>IF(OR(E5671="",E5671="!!!",F5671="NEW"),"",COUNTBLANK(OFFSET(A$1,,,SUMPRODUCT(MAX(ROW(E$2:E5671)*(E5671=E$2:E5671)))))-COUNTBLANK(OFFSET(A$1,,,SUMPRODUCT(MAX(ROW(E$1:E5670)*(E2=E$1:E5670))))))</f>
        <v> </v>
      </c>
      <c r="K5671" s="26" t="str">
        <f>IF(OR(E5671="",E5671="!!!",F5671="NEW"),"",INDEX(J$1:J5670,SUMPRODUCT(MAX(ROW(E$1:E5670)*(E5671=E$1:E5670)))))</f>
        <v> </v>
      </c>
      <c r="L5671" s="27"/>
    </row>
    <row r="5672" spans="1:12">
      <c r="A5672" s="20" t="s">
        <v>1416</v>
      </c>
      <c r="E5672" s="22">
        <f>IF(D5672="?OLD","!!!","")</f>
        <v/>
      </c>
      <c r="F5672" s="23" t="str">
        <f>IF(OR(E5672="",E5672="!!!"),"",IF(NOT(ISNA(VLOOKUP(E5672,E$1:E5671,1,FALSE()))),"OLD",IF(AND(E5672&lt;&gt;"",E5672&lt;&gt;"!!!"),"NEW","")))</f>
        <v> </v>
      </c>
      <c r="G5672" s="24" t="str">
        <f>IF(OR(E5672="",E5672="!!!"),"",IF(OR(J5672=0,AND(J5672=1,K5672=1),AND(J5672=1,I5672="SBJ"),AND(J5672=1,I5672=0)),"?IN_FOCUS",IF(J5672&lt;=2,"?ACTIVATED",IF(J5672&lt;&gt;"","?FAMILIAR",IF(F5672="NEW",IF(ISNA(VLOOKUP(E5672,#REF!,1,FALSE())),"?TYPE_IDENTIFIABLE","?REFERENTIAL"),"_")))))</f>
        <v> </v>
      </c>
      <c r="H5672" s="25" t="str">
        <f>IF(J5672&lt;&gt;1,"",IF(I5672="SBJ","CB","?"))</f>
        <v> </v>
      </c>
      <c r="I5672" s="26" t="str">
        <f>IF(OR(E5672="",E5672="!!!",F5672="NEW"),"",INDEX(B5671:B$2,-1+SUMPRODUCT(MAX(ROW(E5671:E$2)*(E5672=E5671:E$2)))))</f>
        <v> </v>
      </c>
      <c r="J5672" s="26" t="str">
        <f>IF(OR(E5672="",E5672="!!!",F5672="NEW"),"",COUNTBLANK(OFFSET(A$1,,,SUMPRODUCT(MAX(ROW(E$2:E5672)*(E5672=E$2:E5672)))))-COUNTBLANK(OFFSET(A$1,,,SUMPRODUCT(MAX(ROW(E$1:E5671)*(E2=E$1:E5671))))))</f>
        <v> </v>
      </c>
      <c r="K5672" s="26" t="str">
        <f>IF(OR(E5672="",E5672="!!!",F5672="NEW"),"",INDEX(J$1:J5671,SUMPRODUCT(MAX(ROW(E$1:E5671)*(E5672=E$1:E5671)))))</f>
        <v> </v>
      </c>
      <c r="L5672" s="27"/>
    </row>
    <row r="5673" spans="1:12">
      <c r="A5673" s="20" t="s">
        <v>1587</v>
      </c>
      <c r="E5673" s="22">
        <f>IF(D5673="?OLD","!!!","")</f>
        <v/>
      </c>
      <c r="F5673" s="23" t="str">
        <f>IF(OR(E5673="",E5673="!!!"),"",IF(NOT(ISNA(VLOOKUP(E5673,E$1:E5672,1,FALSE()))),"OLD",IF(AND(E5673&lt;&gt;"",E5673&lt;&gt;"!!!"),"NEW","")))</f>
        <v> </v>
      </c>
      <c r="G5673" s="24" t="str">
        <f>IF(OR(E5673="",E5673="!!!"),"",IF(OR(J5673=0,AND(J5673=1,K5673=1),AND(J5673=1,I5673="SBJ"),AND(J5673=1,I5673=0)),"?IN_FOCUS",IF(J5673&lt;=2,"?ACTIVATED",IF(J5673&lt;&gt;"","?FAMILIAR",IF(F5673="NEW",IF(ISNA(VLOOKUP(E5673,#REF!,1,FALSE())),"?TYPE_IDENTIFIABLE","?REFERENTIAL"),"_")))))</f>
        <v> </v>
      </c>
      <c r="H5673" s="25" t="str">
        <f>IF(J5673&lt;&gt;1,"",IF(I5673="SBJ","CB","?"))</f>
        <v> </v>
      </c>
      <c r="I5673" s="26" t="str">
        <f>IF(OR(E5673="",E5673="!!!",F5673="NEW"),"",INDEX(B5672:B$2,-1+SUMPRODUCT(MAX(ROW(E5672:E$2)*(E5673=E5672:E$2)))))</f>
        <v> </v>
      </c>
      <c r="J5673" s="26" t="str">
        <f>IF(OR(E5673="",E5673="!!!",F5673="NEW"),"",COUNTBLANK(OFFSET(A$1,,,SUMPRODUCT(MAX(ROW(E$2:E5673)*(E5673=E$2:E5673)))))-COUNTBLANK(OFFSET(A$1,,,SUMPRODUCT(MAX(ROW(E$1:E5672)*(E2=E$1:E5672))))))</f>
        <v> </v>
      </c>
      <c r="K5673" s="26" t="str">
        <f>IF(OR(E5673="",E5673="!!!",F5673="NEW"),"",INDEX(J$1:J5672,SUMPRODUCT(MAX(ROW(E$1:E5672)*(E5673=E$1:E5672)))))</f>
        <v> </v>
      </c>
      <c r="L5673" s="27"/>
    </row>
    <row r="5674" spans="1:12">
      <c r="A5674" s="20" t="s">
        <v>2059</v>
      </c>
      <c r="B5674" s="21" t="s">
        <v>1029</v>
      </c>
      <c r="C5674" s="21" t="s">
        <v>1103</v>
      </c>
      <c r="E5674" s="22">
        <f>IF(D5674="?OLD","!!!","")</f>
        <v/>
      </c>
      <c r="F5674" s="23" t="str">
        <f>IF(OR(E5674="",E5674="!!!"),"",IF(NOT(ISNA(VLOOKUP(E5674,E$1:E5673,1,FALSE()))),"OLD",IF(AND(E5674&lt;&gt;"",E5674&lt;&gt;"!!!"),"NEW","")))</f>
        <v> </v>
      </c>
      <c r="G5674" s="24" t="str">
        <f>IF(OR(E5674="",E5674="!!!"),"",IF(OR(J5674=0,AND(J5674=1,K5674=1),AND(J5674=1,I5674="SBJ"),AND(J5674=1,I5674=0)),"?IN_FOCUS",IF(J5674&lt;=2,"?ACTIVATED",IF(J5674&lt;&gt;"","?FAMILIAR",IF(F5674="NEW",IF(ISNA(VLOOKUP(E5674,#REF!,1,FALSE())),"?TYPE_IDENTIFIABLE","?REFERENTIAL"),"_")))))</f>
        <v> </v>
      </c>
      <c r="H5674" s="25" t="str">
        <f>IF(J5674&lt;&gt;1,"",IF(I5674="SBJ","CB","?"))</f>
        <v> </v>
      </c>
      <c r="I5674" s="26" t="str">
        <f>IF(OR(E5674="",E5674="!!!",F5674="NEW"),"",INDEX(B5673:B$2,-1+SUMPRODUCT(MAX(ROW(E5673:E$2)*(E5674=E5673:E$2)))))</f>
        <v> </v>
      </c>
      <c r="J5674" s="26" t="str">
        <f>IF(OR(E5674="",E5674="!!!",F5674="NEW"),"",COUNTBLANK(OFFSET(A$1,,,SUMPRODUCT(MAX(ROW(E$2:E5674)*(E5674=E$2:E5674)))))-COUNTBLANK(OFFSET(A$1,,,SUMPRODUCT(MAX(ROW(E$1:E5673)*(E2=E$1:E5673))))))</f>
        <v> </v>
      </c>
      <c r="K5674" s="26" t="str">
        <f>IF(OR(E5674="",E5674="!!!",F5674="NEW"),"",INDEX(J$1:J5673,SUMPRODUCT(MAX(ROW(E$1:E5673)*(E5674=E$1:E5673)))))</f>
        <v> </v>
      </c>
      <c r="L5674" s="27"/>
    </row>
    <row r="5675" spans="1:12">
      <c r="A5675" s="20" t="s">
        <v>1020</v>
      </c>
      <c r="E5675" s="22">
        <f>IF(D5675="?OLD","!!!","")</f>
        <v/>
      </c>
      <c r="F5675" s="23" t="str">
        <f>IF(OR(E5675="",E5675="!!!"),"",IF(NOT(ISNA(VLOOKUP(E5675,E$1:E5674,1,FALSE()))),"OLD",IF(AND(E5675&lt;&gt;"",E5675&lt;&gt;"!!!"),"NEW","")))</f>
        <v> </v>
      </c>
      <c r="G5675" s="24" t="str">
        <f>IF(OR(E5675="",E5675="!!!"),"",IF(OR(J5675=0,AND(J5675=1,K5675=1),AND(J5675=1,I5675="SBJ"),AND(J5675=1,I5675=0)),"?IN_FOCUS",IF(J5675&lt;=2,"?ACTIVATED",IF(J5675&lt;&gt;"","?FAMILIAR",IF(F5675="NEW",IF(ISNA(VLOOKUP(E5675,#REF!,1,FALSE())),"?TYPE_IDENTIFIABLE","?REFERENTIAL"),"_")))))</f>
        <v> </v>
      </c>
      <c r="H5675" s="25" t="str">
        <f>IF(J5675&lt;&gt;1,"",IF(I5675="SBJ","CB","?"))</f>
        <v> </v>
      </c>
      <c r="I5675" s="26" t="str">
        <f>IF(OR(E5675="",E5675="!!!",F5675="NEW"),"",INDEX(B5674:B$2,-1+SUMPRODUCT(MAX(ROW(E5674:E$2)*(E5675=E5674:E$2)))))</f>
        <v> </v>
      </c>
      <c r="J5675" s="26" t="str">
        <f>IF(OR(E5675="",E5675="!!!",F5675="NEW"),"",COUNTBLANK(OFFSET(A$1,,,SUMPRODUCT(MAX(ROW(E$2:E5675)*(E5675=E$2:E5675)))))-COUNTBLANK(OFFSET(A$1,,,SUMPRODUCT(MAX(ROW(E$1:E5674)*(E2=E$1:E5674))))))</f>
        <v> </v>
      </c>
      <c r="K5675" s="26" t="str">
        <f>IF(OR(E5675="",E5675="!!!",F5675="NEW"),"",INDEX(J$1:J5674,SUMPRODUCT(MAX(ROW(E$1:E5674)*(E5675=E$1:E5674)))))</f>
        <v> </v>
      </c>
      <c r="L5675" s="27"/>
    </row>
    <row r="5676" spans="1:12">
      <c r="A5676" s="20" t="s">
        <v>110</v>
      </c>
      <c r="E5676" s="22">
        <f>IF(D5676="?OLD","!!!","")</f>
        <v/>
      </c>
      <c r="F5676" s="23" t="str">
        <f>IF(OR(E5676="",E5676="!!!"),"",IF(NOT(ISNA(VLOOKUP(E5676,E$1:E5675,1,FALSE()))),"OLD",IF(AND(E5676&lt;&gt;"",E5676&lt;&gt;"!!!"),"NEW","")))</f>
        <v> </v>
      </c>
      <c r="G5676" s="24" t="str">
        <f>IF(OR(E5676="",E5676="!!!"),"",IF(OR(J5676=0,AND(J5676=1,K5676=1),AND(J5676=1,I5676="SBJ"),AND(J5676=1,I5676=0)),"?IN_FOCUS",IF(J5676&lt;=2,"?ACTIVATED",IF(J5676&lt;&gt;"","?FAMILIAR",IF(F5676="NEW",IF(ISNA(VLOOKUP(E5676,#REF!,1,FALSE())),"?TYPE_IDENTIFIABLE","?REFERENTIAL"),"_")))))</f>
        <v> </v>
      </c>
      <c r="H5676" s="25" t="str">
        <f>IF(J5676&lt;&gt;1,"",IF(I5676="SBJ","CB","?"))</f>
        <v> </v>
      </c>
      <c r="I5676" s="26" t="str">
        <f>IF(OR(E5676="",E5676="!!!",F5676="NEW"),"",INDEX(B5675:B$2,-1+SUMPRODUCT(MAX(ROW(E5675:E$2)*(E5676=E5675:E$2)))))</f>
        <v> </v>
      </c>
      <c r="J5676" s="26" t="str">
        <f>IF(OR(E5676="",E5676="!!!",F5676="NEW"),"",COUNTBLANK(OFFSET(A$1,,,SUMPRODUCT(MAX(ROW(E$2:E5676)*(E5676=E$2:E5676)))))-COUNTBLANK(OFFSET(A$1,,,SUMPRODUCT(MAX(ROW(E$1:E5675)*(E2=E$1:E5675))))))</f>
        <v> </v>
      </c>
      <c r="K5676" s="26" t="str">
        <f>IF(OR(E5676="",E5676="!!!",F5676="NEW"),"",INDEX(J$1:J5675,SUMPRODUCT(MAX(ROW(E$1:E5675)*(E5676=E$1:E5675)))))</f>
        <v> </v>
      </c>
      <c r="L5676" s="27"/>
    </row>
    <row r="5677" spans="1:12">
      <c r="A5677" s="20" t="s">
        <v>1020</v>
      </c>
      <c r="E5677" s="22">
        <f>IF(D5677="?OLD","!!!","")</f>
        <v/>
      </c>
      <c r="F5677" s="23" t="str">
        <f>IF(OR(E5677="",E5677="!!!"),"",IF(NOT(ISNA(VLOOKUP(E5677,E$1:E5676,1,FALSE()))),"OLD",IF(AND(E5677&lt;&gt;"",E5677&lt;&gt;"!!!"),"NEW","")))</f>
        <v> </v>
      </c>
      <c r="G5677" s="24" t="str">
        <f>IF(OR(E5677="",E5677="!!!"),"",IF(OR(J5677=0,AND(J5677=1,K5677=1),AND(J5677=1,I5677="SBJ"),AND(J5677=1,I5677=0)),"?IN_FOCUS",IF(J5677&lt;=2,"?ACTIVATED",IF(J5677&lt;&gt;"","?FAMILIAR",IF(F5677="NEW",IF(ISNA(VLOOKUP(E5677,#REF!,1,FALSE())),"?TYPE_IDENTIFIABLE","?REFERENTIAL"),"_")))))</f>
        <v> </v>
      </c>
      <c r="H5677" s="25" t="str">
        <f>IF(J5677&lt;&gt;1,"",IF(I5677="SBJ","CB","?"))</f>
        <v> </v>
      </c>
      <c r="I5677" s="26" t="str">
        <f>IF(OR(E5677="",E5677="!!!",F5677="NEW"),"",INDEX(B5676:B$2,-1+SUMPRODUCT(MAX(ROW(E5676:E$2)*(E5677=E5676:E$2)))))</f>
        <v> </v>
      </c>
      <c r="J5677" s="26" t="str">
        <f>IF(OR(E5677="",E5677="!!!",F5677="NEW"),"",COUNTBLANK(OFFSET(A$1,,,SUMPRODUCT(MAX(ROW(E$2:E5677)*(E5677=E$2:E5677)))))-COUNTBLANK(OFFSET(A$1,,,SUMPRODUCT(MAX(ROW(E$1:E5676)*(E2=E$1:E5676))))))</f>
        <v> </v>
      </c>
      <c r="K5677" s="26" t="str">
        <f>IF(OR(E5677="",E5677="!!!",F5677="NEW"),"",INDEX(J$1:J5676,SUMPRODUCT(MAX(ROW(E$1:E5676)*(E5677=E$1:E5676)))))</f>
        <v> </v>
      </c>
      <c r="L5677" s="27"/>
    </row>
    <row r="5678" spans="1:12">
      <c r="A5678" s="20" t="s">
        <v>2533</v>
      </c>
      <c r="E5678" s="22">
        <f>IF(D5678="?OLD","!!!","")</f>
        <v/>
      </c>
      <c r="F5678" s="23" t="str">
        <f>IF(OR(E5678="",E5678="!!!"),"",IF(NOT(ISNA(VLOOKUP(E5678,E$1:E5677,1,FALSE()))),"OLD",IF(AND(E5678&lt;&gt;"",E5678&lt;&gt;"!!!"),"NEW","")))</f>
        <v> </v>
      </c>
      <c r="G5678" s="24" t="str">
        <f>IF(OR(E5678="",E5678="!!!"),"",IF(OR(J5678=0,AND(J5678=1,K5678=1),AND(J5678=1,I5678="SBJ"),AND(J5678=1,I5678=0)),"?IN_FOCUS",IF(J5678&lt;=2,"?ACTIVATED",IF(J5678&lt;&gt;"","?FAMILIAR",IF(F5678="NEW",IF(ISNA(VLOOKUP(E5678,#REF!,1,FALSE())),"?TYPE_IDENTIFIABLE","?REFERENTIAL"),"_")))))</f>
        <v> </v>
      </c>
      <c r="H5678" s="25" t="str">
        <f>IF(J5678&lt;&gt;1,"",IF(I5678="SBJ","CB","?"))</f>
        <v> </v>
      </c>
      <c r="I5678" s="26" t="str">
        <f>IF(OR(E5678="",E5678="!!!",F5678="NEW"),"",INDEX(B5677:B$2,-1+SUMPRODUCT(MAX(ROW(E5677:E$2)*(E5678=E5677:E$2)))))</f>
        <v> </v>
      </c>
      <c r="J5678" s="26" t="str">
        <f>IF(OR(E5678="",E5678="!!!",F5678="NEW"),"",COUNTBLANK(OFFSET(A$1,,,SUMPRODUCT(MAX(ROW(E$2:E5678)*(E5678=E$2:E5678)))))-COUNTBLANK(OFFSET(A$1,,,SUMPRODUCT(MAX(ROW(E$1:E5677)*(E2=E$1:E5677))))))</f>
        <v> </v>
      </c>
      <c r="K5678" s="26" t="str">
        <f>IF(OR(E5678="",E5678="!!!",F5678="NEW"),"",INDEX(J$1:J5677,SUMPRODUCT(MAX(ROW(E$1:E5677)*(E5678=E$1:E5677)))))</f>
        <v> </v>
      </c>
      <c r="L5678" s="27"/>
    </row>
    <row r="5679" spans="1:12">
      <c r="A5679" s="20" t="s">
        <v>2534</v>
      </c>
      <c r="B5679" s="21" t="s">
        <v>1187</v>
      </c>
      <c r="C5679" s="21" t="s">
        <v>1006</v>
      </c>
      <c r="D5679" s="21" t="s">
        <v>1007</v>
      </c>
      <c r="E5679" s="22">
        <f>IF(D5679="?OLD","!!!","")</f>
        <v/>
      </c>
      <c r="F5679" s="23" t="str">
        <f>IF(OR(E5679="",E5679="!!!"),"",IF(NOT(ISNA(VLOOKUP(E5679,E$1:E5678,1,FALSE()))),"OLD",IF(AND(E5679&lt;&gt;"",E5679&lt;&gt;"!!!"),"NEW","")))</f>
        <v> </v>
      </c>
      <c r="G5679" s="24" t="str">
        <f>IF(OR(E5679="",E5679="!!!"),"",IF(OR(J5679=0,AND(J5679=1,K5679=1),AND(J5679=1,I5679="SBJ"),AND(J5679=1,I5679=0)),"?IN_FOCUS",IF(J5679&lt;=2,"?ACTIVATED",IF(J5679&lt;&gt;"","?FAMILIAR",IF(F5679="NEW",IF(ISNA(VLOOKUP(E5679,#REF!,1,FALSE())),"?TYPE_IDENTIFIABLE","?REFERENTIAL"),"_")))))</f>
        <v> </v>
      </c>
      <c r="H5679" s="25" t="str">
        <f>IF(J5679&lt;&gt;1,"",IF(I5679="SBJ","CB","?"))</f>
        <v> </v>
      </c>
      <c r="I5679" s="26" t="str">
        <f>IF(OR(E5679="",E5679="!!!",F5679="NEW"),"",INDEX(B5678:B$2,-1+SUMPRODUCT(MAX(ROW(E5678:E$2)*(E5679=E5678:E$2)))))</f>
        <v> </v>
      </c>
      <c r="J5679" s="26" t="str">
        <f>IF(OR(E5679="",E5679="!!!",F5679="NEW"),"",COUNTBLANK(OFFSET(A$1,,,SUMPRODUCT(MAX(ROW(E$2:E5679)*(E5679=E$2:E5679)))))-COUNTBLANK(OFFSET(A$1,,,SUMPRODUCT(MAX(ROW(E$1:E5678)*(E2=E$1:E5678))))))</f>
        <v> </v>
      </c>
      <c r="K5679" s="26" t="str">
        <f>IF(OR(E5679="",E5679="!!!",F5679="NEW"),"",INDEX(J$1:J5678,SUMPRODUCT(MAX(ROW(E$1:E5678)*(E5679=E$1:E5678)))))</f>
        <v> </v>
      </c>
      <c r="L5679" s="27"/>
    </row>
    <row r="5680" spans="1:12">
      <c r="A5680" s="20" t="s">
        <v>1009</v>
      </c>
      <c r="E5680" s="22">
        <f>IF(D5680="?OLD","!!!","")</f>
        <v/>
      </c>
      <c r="F5680" s="23" t="str">
        <f>IF(OR(E5680="",E5680="!!!"),"",IF(NOT(ISNA(VLOOKUP(E5680,E$1:E5679,1,FALSE()))),"OLD",IF(AND(E5680&lt;&gt;"",E5680&lt;&gt;"!!!"),"NEW","")))</f>
        <v> </v>
      </c>
      <c r="G5680" s="24" t="str">
        <f>IF(OR(E5680="",E5680="!!!"),"",IF(OR(J5680=0,AND(J5680=1,K5680=1),AND(J5680=1,I5680="SBJ"),AND(J5680=1,I5680=0)),"?IN_FOCUS",IF(J5680&lt;=2,"?ACTIVATED",IF(J5680&lt;&gt;"","?FAMILIAR",IF(F5680="NEW",IF(ISNA(VLOOKUP(E5680,#REF!,1,FALSE())),"?TYPE_IDENTIFIABLE","?REFERENTIAL"),"_")))))</f>
        <v> </v>
      </c>
      <c r="H5680" s="25" t="str">
        <f>IF(J5680&lt;&gt;1,"",IF(I5680="SBJ","CB","?"))</f>
        <v> </v>
      </c>
      <c r="I5680" s="26" t="str">
        <f>IF(OR(E5680="",E5680="!!!",F5680="NEW"),"",INDEX(B5679:B$2,-1+SUMPRODUCT(MAX(ROW(E5679:E$2)*(E5680=E5679:E$2)))))</f>
        <v> </v>
      </c>
      <c r="J5680" s="26" t="str">
        <f>IF(OR(E5680="",E5680="!!!",F5680="NEW"),"",COUNTBLANK(OFFSET(A$1,,,SUMPRODUCT(MAX(ROW(E$2:E5680)*(E5680=E$2:E5680)))))-COUNTBLANK(OFFSET(A$1,,,SUMPRODUCT(MAX(ROW(E$1:E5679)*(E2=E$1:E5679))))))</f>
        <v> </v>
      </c>
      <c r="K5680" s="26" t="str">
        <f>IF(OR(E5680="",E5680="!!!",F5680="NEW"),"",INDEX(J$1:J5679,SUMPRODUCT(MAX(ROW(E$1:E5679)*(E5680=E$1:E5679)))))</f>
        <v> </v>
      </c>
      <c r="L5680" s="27"/>
    </row>
    <row r="5681" spans="1:12">
      <c r="A5681" s="20"/>
    </row>
    <row r="5682" spans="1:12">
      <c r="A5682" s="20" t="s">
        <v>2535</v>
      </c>
    </row>
    <row r="5683" spans="1:12">
      <c r="A5683" s="20" t="s">
        <v>2536</v>
      </c>
      <c r="E5683" s="22">
        <f>IF(D5683="?OLD","!!!","")</f>
        <v/>
      </c>
      <c r="F5683" s="23" t="str">
        <f>IF(OR(E5683="",E5683="!!!"),"",IF(NOT(ISNA(VLOOKUP(E5683,E$1:E5682,1,FALSE()))),"OLD",IF(AND(E5683&lt;&gt;"",E5683&lt;&gt;"!!!"),"NEW","")))</f>
        <v> </v>
      </c>
      <c r="G5683" s="24" t="str">
        <f>IF(OR(E5683="",E5683="!!!"),"",IF(OR(J5683=0,AND(J5683=1,K5683=1),AND(J5683=1,I5683="SBJ"),AND(J5683=1,I5683=0)),"?IN_FOCUS",IF(J5683&lt;=2,"?ACTIVATED",IF(J5683&lt;&gt;"","?FAMILIAR",IF(F5683="NEW",IF(ISNA(VLOOKUP(E5683,#REF!,1,FALSE())),"?TYPE_IDENTIFIABLE","?REFERENTIAL"),"_")))))</f>
        <v> </v>
      </c>
      <c r="H5683" s="25" t="str">
        <f>IF(J5683&lt;&gt;1,"",IF(I5683="SBJ","CB","?"))</f>
        <v> </v>
      </c>
      <c r="I5683" s="26" t="str">
        <f>IF(OR(E5683="",E5683="!!!",F5683="NEW"),"",INDEX(B5682:B$2,-1+SUMPRODUCT(MAX(ROW(E5682:E$2)*(E5683=E5682:E$2)))))</f>
        <v> </v>
      </c>
      <c r="J5683" s="26" t="str">
        <f>IF(OR(E5683="",E5683="!!!",F5683="NEW"),"",COUNTBLANK(OFFSET(A$1,,,SUMPRODUCT(MAX(ROW(E$2:E5683)*(E5683=E$2:E5683)))))-COUNTBLANK(OFFSET(A$1,,,SUMPRODUCT(MAX(ROW(E$1:E5682)*(E2=E$1:E5682))))))</f>
        <v> </v>
      </c>
      <c r="K5683" s="26" t="str">
        <f>IF(OR(E5683="",E5683="!!!",F5683="NEW"),"",INDEX(J$1:J5682,SUMPRODUCT(MAX(ROW(E$1:E5682)*(E5683=E$1:E5682)))))</f>
        <v> </v>
      </c>
      <c r="L5683" s="27"/>
    </row>
    <row r="5684" spans="1:12">
      <c r="A5684" s="20" t="s">
        <v>1096</v>
      </c>
      <c r="B5684" s="21" t="s">
        <v>1119</v>
      </c>
      <c r="C5684" s="21" t="s">
        <v>1205</v>
      </c>
      <c r="E5684" s="22">
        <f>IF(D5684="?OLD","!!!","")</f>
        <v/>
      </c>
      <c r="F5684" s="23" t="str">
        <f>IF(OR(E5684="",E5684="!!!"),"",IF(NOT(ISNA(VLOOKUP(E5684,E$1:E5683,1,FALSE()))),"OLD",IF(AND(E5684&lt;&gt;"",E5684&lt;&gt;"!!!"),"NEW","")))</f>
        <v> </v>
      </c>
      <c r="G5684" s="24" t="str">
        <f>IF(OR(E5684="",E5684="!!!"),"",IF(OR(J5684=0,AND(J5684=1,K5684=1),AND(J5684=1,I5684="SBJ"),AND(J5684=1,I5684=0)),"?IN_FOCUS",IF(J5684&lt;=2,"?ACTIVATED",IF(J5684&lt;&gt;"","?FAMILIAR",IF(F5684="NEW",IF(ISNA(VLOOKUP(E5684,#REF!,1,FALSE())),"?TYPE_IDENTIFIABLE","?REFERENTIAL"),"_")))))</f>
        <v> </v>
      </c>
      <c r="H5684" s="25" t="str">
        <f>IF(J5684&lt;&gt;1,"",IF(I5684="SBJ","CB","?"))</f>
        <v> </v>
      </c>
      <c r="I5684" s="26" t="str">
        <f>IF(OR(E5684="",E5684="!!!",F5684="NEW"),"",INDEX(B5683:B$2,-1+SUMPRODUCT(MAX(ROW(E5683:E$2)*(E5684=E5683:E$2)))))</f>
        <v> </v>
      </c>
      <c r="J5684" s="26" t="str">
        <f>IF(OR(E5684="",E5684="!!!",F5684="NEW"),"",COUNTBLANK(OFFSET(A$1,,,SUMPRODUCT(MAX(ROW(E$2:E5684)*(E5684=E$2:E5684)))))-COUNTBLANK(OFFSET(A$1,,,SUMPRODUCT(MAX(ROW(E$1:E5683)*(E2=E$1:E5683))))))</f>
        <v> </v>
      </c>
      <c r="K5684" s="26" t="str">
        <f>IF(OR(E5684="",E5684="!!!",F5684="NEW"),"",INDEX(J$1:J5683,SUMPRODUCT(MAX(ROW(E$1:E5683)*(E5684=E$1:E5683)))))</f>
        <v> </v>
      </c>
      <c r="L5684" s="27"/>
    </row>
    <row r="5685" spans="1:12">
      <c r="A5685" s="20" t="s">
        <v>1018</v>
      </c>
      <c r="E5685" s="22">
        <f>IF(D5685="?OLD","!!!","")</f>
        <v/>
      </c>
      <c r="F5685" s="23" t="str">
        <f>IF(OR(E5685="",E5685="!!!"),"",IF(NOT(ISNA(VLOOKUP(E5685,E$1:E5684,1,FALSE()))),"OLD",IF(AND(E5685&lt;&gt;"",E5685&lt;&gt;"!!!"),"NEW","")))</f>
        <v> </v>
      </c>
      <c r="G5685" s="24" t="str">
        <f>IF(OR(E5685="",E5685="!!!"),"",IF(OR(J5685=0,AND(J5685=1,K5685=1),AND(J5685=1,I5685="SBJ"),AND(J5685=1,I5685=0)),"?IN_FOCUS",IF(J5685&lt;=2,"?ACTIVATED",IF(J5685&lt;&gt;"","?FAMILIAR",IF(F5685="NEW",IF(ISNA(VLOOKUP(E5685,#REF!,1,FALSE())),"?TYPE_IDENTIFIABLE","?REFERENTIAL"),"_")))))</f>
        <v> </v>
      </c>
      <c r="H5685" s="25" t="str">
        <f>IF(J5685&lt;&gt;1,"",IF(I5685="SBJ","CB","?"))</f>
        <v> </v>
      </c>
      <c r="I5685" s="26" t="str">
        <f>IF(OR(E5685="",E5685="!!!",F5685="NEW"),"",INDEX(B5684:B$2,-1+SUMPRODUCT(MAX(ROW(E5684:E$2)*(E5685=E5684:E$2)))))</f>
        <v> </v>
      </c>
      <c r="J5685" s="26" t="str">
        <f>IF(OR(E5685="",E5685="!!!",F5685="NEW"),"",COUNTBLANK(OFFSET(A$1,,,SUMPRODUCT(MAX(ROW(E$2:E5685)*(E5685=E$2:E5685)))))-COUNTBLANK(OFFSET(A$1,,,SUMPRODUCT(MAX(ROW(E$1:E5684)*(E2=E$1:E5684))))))</f>
        <v> </v>
      </c>
      <c r="K5685" s="26" t="str">
        <f>IF(OR(E5685="",E5685="!!!",F5685="NEW"),"",INDEX(J$1:J5684,SUMPRODUCT(MAX(ROW(E$1:E5684)*(E5685=E$1:E5684)))))</f>
        <v> </v>
      </c>
      <c r="L5685" s="27"/>
    </row>
    <row r="5686" spans="1:12">
      <c r="A5686" s="20" t="s">
        <v>1324</v>
      </c>
      <c r="E5686" s="22">
        <f>IF(D5686="?OLD","!!!","")</f>
        <v/>
      </c>
      <c r="F5686" s="23" t="str">
        <f>IF(OR(E5686="",E5686="!!!"),"",IF(NOT(ISNA(VLOOKUP(E5686,E$1:E5685,1,FALSE()))),"OLD",IF(AND(E5686&lt;&gt;"",E5686&lt;&gt;"!!!"),"NEW","")))</f>
        <v> </v>
      </c>
      <c r="G5686" s="24" t="str">
        <f>IF(OR(E5686="",E5686="!!!"),"",IF(OR(J5686=0,AND(J5686=1,K5686=1),AND(J5686=1,I5686="SBJ"),AND(J5686=1,I5686=0)),"?IN_FOCUS",IF(J5686&lt;=2,"?ACTIVATED",IF(J5686&lt;&gt;"","?FAMILIAR",IF(F5686="NEW",IF(ISNA(VLOOKUP(E5686,#REF!,1,FALSE())),"?TYPE_IDENTIFIABLE","?REFERENTIAL"),"_")))))</f>
        <v> </v>
      </c>
      <c r="H5686" s="25" t="str">
        <f>IF(J5686&lt;&gt;1,"",IF(I5686="SBJ","CB","?"))</f>
        <v> </v>
      </c>
      <c r="I5686" s="26" t="str">
        <f>IF(OR(E5686="",E5686="!!!",F5686="NEW"),"",INDEX(B5685:B$2,-1+SUMPRODUCT(MAX(ROW(E5685:E$2)*(E5686=E5685:E$2)))))</f>
        <v> </v>
      </c>
      <c r="J5686" s="26" t="str">
        <f>IF(OR(E5686="",E5686="!!!",F5686="NEW"),"",COUNTBLANK(OFFSET(A$1,,,SUMPRODUCT(MAX(ROW(E$2:E5686)*(E5686=E$2:E5686)))))-COUNTBLANK(OFFSET(A$1,,,SUMPRODUCT(MAX(ROW(E$1:E5685)*(E2=E$1:E5685))))))</f>
        <v> </v>
      </c>
      <c r="K5686" s="26" t="str">
        <f>IF(OR(E5686="",E5686="!!!",F5686="NEW"),"",INDEX(J$1:J5685,SUMPRODUCT(MAX(ROW(E$1:E5685)*(E5686=E$1:E5685)))))</f>
        <v> </v>
      </c>
      <c r="L5686" s="27"/>
    </row>
    <row r="5687" spans="1:12">
      <c r="A5687" s="20" t="s">
        <v>2059</v>
      </c>
      <c r="B5687" s="21" t="s">
        <v>1033</v>
      </c>
      <c r="C5687" s="21" t="s">
        <v>1013</v>
      </c>
      <c r="D5687" s="21" t="s">
        <v>1007</v>
      </c>
      <c r="E5687" s="22">
        <f>IF(D5687="?OLD","!!!","")</f>
        <v/>
      </c>
      <c r="F5687" s="23" t="str">
        <f>IF(OR(E5687="",E5687="!!!"),"",IF(NOT(ISNA(VLOOKUP(E5687,E$1:E5686,1,FALSE()))),"OLD",IF(AND(E5687&lt;&gt;"",E5687&lt;&gt;"!!!"),"NEW","")))</f>
        <v> </v>
      </c>
      <c r="G5687" s="24" t="str">
        <f>IF(OR(E5687="",E5687="!!!"),"",IF(OR(J5687=0,AND(J5687=1,K5687=1),AND(J5687=1,I5687="SBJ"),AND(J5687=1,I5687=0)),"?IN_FOCUS",IF(J5687&lt;=2,"?ACTIVATED",IF(J5687&lt;&gt;"","?FAMILIAR",IF(F5687="NEW",IF(ISNA(VLOOKUP(E5687,#REF!,1,FALSE())),"?TYPE_IDENTIFIABLE","?REFERENTIAL"),"_")))))</f>
        <v> </v>
      </c>
      <c r="H5687" s="25" t="str">
        <f>IF(J5687&lt;&gt;1,"",IF(I5687="SBJ","CB","?"))</f>
        <v> </v>
      </c>
      <c r="I5687" s="26" t="str">
        <f>IF(OR(E5687="",E5687="!!!",F5687="NEW"),"",INDEX(B5686:B$2,-1+SUMPRODUCT(MAX(ROW(E5686:E$2)*(E5687=E5686:E$2)))))</f>
        <v> </v>
      </c>
      <c r="J5687" s="26" t="str">
        <f>IF(OR(E5687="",E5687="!!!",F5687="NEW"),"",COUNTBLANK(OFFSET(A$1,,,SUMPRODUCT(MAX(ROW(E$2:E5687)*(E5687=E$2:E5687)))))-COUNTBLANK(OFFSET(A$1,,,SUMPRODUCT(MAX(ROW(E$1:E5686)*(E2=E$1:E5686))))))</f>
        <v> </v>
      </c>
      <c r="K5687" s="26" t="str">
        <f>IF(OR(E5687="",E5687="!!!",F5687="NEW"),"",INDEX(J$1:J5686,SUMPRODUCT(MAX(ROW(E$1:E5686)*(E5687=E$1:E5686)))))</f>
        <v> </v>
      </c>
      <c r="L5687" s="27"/>
    </row>
    <row r="5688" spans="1:12">
      <c r="A5688" s="20" t="s">
        <v>1014</v>
      </c>
      <c r="E5688" s="22">
        <f>IF(D5688="?OLD","!!!","")</f>
        <v/>
      </c>
      <c r="F5688" s="23" t="str">
        <f>IF(OR(E5688="",E5688="!!!"),"",IF(NOT(ISNA(VLOOKUP(E5688,E$1:E5687,1,FALSE()))),"OLD",IF(AND(E5688&lt;&gt;"",E5688&lt;&gt;"!!!"),"NEW","")))</f>
        <v> </v>
      </c>
      <c r="G5688" s="24" t="str">
        <f>IF(OR(E5688="",E5688="!!!"),"",IF(OR(J5688=0,AND(J5688=1,K5688=1),AND(J5688=1,I5688="SBJ"),AND(J5688=1,I5688=0)),"?IN_FOCUS",IF(J5688&lt;=2,"?ACTIVATED",IF(J5688&lt;&gt;"","?FAMILIAR",IF(F5688="NEW",IF(ISNA(VLOOKUP(E5688,#REF!,1,FALSE())),"?TYPE_IDENTIFIABLE","?REFERENTIAL"),"_")))))</f>
        <v> </v>
      </c>
      <c r="H5688" s="25" t="str">
        <f>IF(J5688&lt;&gt;1,"",IF(I5688="SBJ","CB","?"))</f>
        <v> </v>
      </c>
      <c r="I5688" s="26" t="str">
        <f>IF(OR(E5688="",E5688="!!!",F5688="NEW"),"",INDEX(B5687:B$2,-1+SUMPRODUCT(MAX(ROW(E5687:E$2)*(E5688=E5687:E$2)))))</f>
        <v> </v>
      </c>
      <c r="J5688" s="26" t="str">
        <f>IF(OR(E5688="",E5688="!!!",F5688="NEW"),"",COUNTBLANK(OFFSET(A$1,,,SUMPRODUCT(MAX(ROW(E$2:E5688)*(E5688=E$2:E5688)))))-COUNTBLANK(OFFSET(A$1,,,SUMPRODUCT(MAX(ROW(E$1:E5687)*(E2=E$1:E5687))))))</f>
        <v> </v>
      </c>
      <c r="K5688" s="26" t="str">
        <f>IF(OR(E5688="",E5688="!!!",F5688="NEW"),"",INDEX(J$1:J5687,SUMPRODUCT(MAX(ROW(E$1:E5687)*(E5688=E$1:E5687)))))</f>
        <v> </v>
      </c>
      <c r="L5688" s="27"/>
    </row>
    <row r="5689" spans="1:12">
      <c r="A5689" s="20" t="s">
        <v>2537</v>
      </c>
      <c r="B5689" s="21" t="s">
        <v>1035</v>
      </c>
      <c r="C5689" s="21" t="s">
        <v>1048</v>
      </c>
      <c r="E5689" s="22">
        <f>IF(D5689="?OLD","!!!","")</f>
        <v/>
      </c>
      <c r="F5689" s="23" t="str">
        <f>IF(OR(E5689="",E5689="!!!"),"",IF(NOT(ISNA(VLOOKUP(E5689,E$1:E5688,1,FALSE()))),"OLD",IF(AND(E5689&lt;&gt;"",E5689&lt;&gt;"!!!"),"NEW","")))</f>
        <v> </v>
      </c>
      <c r="G5689" s="24" t="str">
        <f>IF(OR(E5689="",E5689="!!!"),"",IF(OR(J5689=0,AND(J5689=1,K5689=1),AND(J5689=1,I5689="SBJ"),AND(J5689=1,I5689=0)),"?IN_FOCUS",IF(J5689&lt;=2,"?ACTIVATED",IF(J5689&lt;&gt;"","?FAMILIAR",IF(F5689="NEW",IF(ISNA(VLOOKUP(E5689,#REF!,1,FALSE())),"?TYPE_IDENTIFIABLE","?REFERENTIAL"),"_")))))</f>
        <v> </v>
      </c>
      <c r="H5689" s="25" t="str">
        <f>IF(J5689&lt;&gt;1,"",IF(I5689="SBJ","CB","?"))</f>
        <v> </v>
      </c>
      <c r="I5689" s="26" t="str">
        <f>IF(OR(E5689="",E5689="!!!",F5689="NEW"),"",INDEX(B5688:B$2,-1+SUMPRODUCT(MAX(ROW(E5688:E$2)*(E5689=E5688:E$2)))))</f>
        <v> </v>
      </c>
      <c r="J5689" s="26" t="str">
        <f>IF(OR(E5689="",E5689="!!!",F5689="NEW"),"",COUNTBLANK(OFFSET(A$1,,,SUMPRODUCT(MAX(ROW(E$2:E5689)*(E5689=E$2:E5689)))))-COUNTBLANK(OFFSET(A$1,,,SUMPRODUCT(MAX(ROW(E$1:E5688)*(E2=E$1:E5688))))))</f>
        <v> </v>
      </c>
      <c r="K5689" s="26" t="str">
        <f>IF(OR(E5689="",E5689="!!!",F5689="NEW"),"",INDEX(J$1:J5688,SUMPRODUCT(MAX(ROW(E$1:E5688)*(E5689=E$1:E5688)))))</f>
        <v> </v>
      </c>
      <c r="L5689" s="27"/>
    </row>
    <row r="5690" spans="1:12">
      <c r="A5690" s="20" t="s">
        <v>2538</v>
      </c>
      <c r="E5690" s="22">
        <f>IF(D5690="?OLD","!!!","")</f>
        <v/>
      </c>
      <c r="F5690" s="23" t="str">
        <f>IF(OR(E5690="",E5690="!!!"),"",IF(NOT(ISNA(VLOOKUP(E5690,E$1:E5689,1,FALSE()))),"OLD",IF(AND(E5690&lt;&gt;"",E5690&lt;&gt;"!!!"),"NEW","")))</f>
        <v> </v>
      </c>
      <c r="G5690" s="24" t="str">
        <f>IF(OR(E5690="",E5690="!!!"),"",IF(OR(J5690=0,AND(J5690=1,K5690=1),AND(J5690=1,I5690="SBJ"),AND(J5690=1,I5690=0)),"?IN_FOCUS",IF(J5690&lt;=2,"?ACTIVATED",IF(J5690&lt;&gt;"","?FAMILIAR",IF(F5690="NEW",IF(ISNA(VLOOKUP(E5690,#REF!,1,FALSE())),"?TYPE_IDENTIFIABLE","?REFERENTIAL"),"_")))))</f>
        <v> </v>
      </c>
      <c r="H5690" s="25" t="str">
        <f>IF(J5690&lt;&gt;1,"",IF(I5690="SBJ","CB","?"))</f>
        <v> </v>
      </c>
      <c r="I5690" s="26" t="str">
        <f>IF(OR(E5690="",E5690="!!!",F5690="NEW"),"",INDEX(B5689:B$2,-1+SUMPRODUCT(MAX(ROW(E5689:E$2)*(E5690=E5689:E$2)))))</f>
        <v> </v>
      </c>
      <c r="J5690" s="26" t="str">
        <f>IF(OR(E5690="",E5690="!!!",F5690="NEW"),"",COUNTBLANK(OFFSET(A$1,,,SUMPRODUCT(MAX(ROW(E$2:E5690)*(E5690=E$2:E5690)))))-COUNTBLANK(OFFSET(A$1,,,SUMPRODUCT(MAX(ROW(E$1:E5689)*(E2=E$1:E5689))))))</f>
        <v> </v>
      </c>
      <c r="K5690" s="26" t="str">
        <f>IF(OR(E5690="",E5690="!!!",F5690="NEW"),"",INDEX(J$1:J5689,SUMPRODUCT(MAX(ROW(E$1:E5689)*(E5690=E$1:E5689)))))</f>
        <v> </v>
      </c>
      <c r="L5690" s="27"/>
    </row>
    <row r="5691" spans="1:12">
      <c r="A5691" s="20" t="s">
        <v>1107</v>
      </c>
      <c r="E5691" s="22">
        <f>IF(D5691="?OLD","!!!","")</f>
        <v/>
      </c>
      <c r="F5691" s="23" t="str">
        <f>IF(OR(E5691="",E5691="!!!"),"",IF(NOT(ISNA(VLOOKUP(E5691,E$1:E5690,1,FALSE()))),"OLD",IF(AND(E5691&lt;&gt;"",E5691&lt;&gt;"!!!"),"NEW","")))</f>
        <v> </v>
      </c>
      <c r="G5691" s="24" t="str">
        <f>IF(OR(E5691="",E5691="!!!"),"",IF(OR(J5691=0,AND(J5691=1,K5691=1),AND(J5691=1,I5691="SBJ"),AND(J5691=1,I5691=0)),"?IN_FOCUS",IF(J5691&lt;=2,"?ACTIVATED",IF(J5691&lt;&gt;"","?FAMILIAR",IF(F5691="NEW",IF(ISNA(VLOOKUP(E5691,#REF!,1,FALSE())),"?TYPE_IDENTIFIABLE","?REFERENTIAL"),"_")))))</f>
        <v> </v>
      </c>
      <c r="H5691" s="25" t="str">
        <f>IF(J5691&lt;&gt;1,"",IF(I5691="SBJ","CB","?"))</f>
        <v> </v>
      </c>
      <c r="I5691" s="26" t="str">
        <f>IF(OR(E5691="",E5691="!!!",F5691="NEW"),"",INDEX(B5690:B$2,-1+SUMPRODUCT(MAX(ROW(E5690:E$2)*(E5691=E5690:E$2)))))</f>
        <v> </v>
      </c>
      <c r="J5691" s="26" t="str">
        <f>IF(OR(E5691="",E5691="!!!",F5691="NEW"),"",COUNTBLANK(OFFSET(A$1,,,SUMPRODUCT(MAX(ROW(E$2:E5691)*(E5691=E$2:E5691)))))-COUNTBLANK(OFFSET(A$1,,,SUMPRODUCT(MAX(ROW(E$1:E5690)*(E2=E$1:E5690))))))</f>
        <v> </v>
      </c>
      <c r="K5691" s="26" t="str">
        <f>IF(OR(E5691="",E5691="!!!",F5691="NEW"),"",INDEX(J$1:J5690,SUMPRODUCT(MAX(ROW(E$1:E5690)*(E5691=E$1:E5690)))))</f>
        <v> </v>
      </c>
      <c r="L5691" s="27"/>
    </row>
    <row r="5692" spans="1:12">
      <c r="A5692" s="20" t="s">
        <v>1094</v>
      </c>
      <c r="B5692" s="21" t="s">
        <v>1033</v>
      </c>
      <c r="C5692" s="21" t="s">
        <v>1006</v>
      </c>
      <c r="D5692" s="21" t="s">
        <v>1007</v>
      </c>
      <c r="E5692" s="22">
        <f>IF(D5692="?OLD","!!!","")</f>
        <v/>
      </c>
      <c r="F5692" s="23" t="str">
        <f>IF(OR(E5692="",E5692="!!!"),"",IF(NOT(ISNA(VLOOKUP(E5692,E$1:E5691,1,FALSE()))),"OLD",IF(AND(E5692&lt;&gt;"",E5692&lt;&gt;"!!!"),"NEW","")))</f>
        <v> </v>
      </c>
      <c r="G5692" s="24" t="str">
        <f>IF(OR(E5692="",E5692="!!!"),"",IF(OR(J5692=0,AND(J5692=1,K5692=1),AND(J5692=1,I5692="SBJ"),AND(J5692=1,I5692=0)),"?IN_FOCUS",IF(J5692&lt;=2,"?ACTIVATED",IF(J5692&lt;&gt;"","?FAMILIAR",IF(F5692="NEW",IF(ISNA(VLOOKUP(E5692,#REF!,1,FALSE())),"?TYPE_IDENTIFIABLE","?REFERENTIAL"),"_")))))</f>
        <v> </v>
      </c>
      <c r="H5692" s="25" t="str">
        <f>IF(J5692&lt;&gt;1,"",IF(I5692="SBJ","CB","?"))</f>
        <v> </v>
      </c>
      <c r="I5692" s="26" t="str">
        <f>IF(OR(E5692="",E5692="!!!",F5692="NEW"),"",INDEX(B5691:B$2,-1+SUMPRODUCT(MAX(ROW(E5691:E$2)*(E5692=E5691:E$2)))))</f>
        <v> </v>
      </c>
      <c r="J5692" s="26" t="str">
        <f>IF(OR(E5692="",E5692="!!!",F5692="NEW"),"",COUNTBLANK(OFFSET(A$1,,,SUMPRODUCT(MAX(ROW(E$2:E5692)*(E5692=E$2:E5692)))))-COUNTBLANK(OFFSET(A$1,,,SUMPRODUCT(MAX(ROW(E$1:E5691)*(E2=E$1:E5691))))))</f>
        <v> </v>
      </c>
      <c r="K5692" s="26" t="str">
        <f>IF(OR(E5692="",E5692="!!!",F5692="NEW"),"",INDEX(J$1:J5691,SUMPRODUCT(MAX(ROW(E$1:E5691)*(E5692=E$1:E5691)))))</f>
        <v> </v>
      </c>
      <c r="L5692" s="27"/>
    </row>
    <row r="5693" spans="1:12">
      <c r="A5693" s="20" t="s">
        <v>1009</v>
      </c>
      <c r="E5693" s="22">
        <f>IF(D5693="?OLD","!!!","")</f>
        <v/>
      </c>
      <c r="F5693" s="23" t="str">
        <f>IF(OR(E5693="",E5693="!!!"),"",IF(NOT(ISNA(VLOOKUP(E5693,E$1:E5692,1,FALSE()))),"OLD",IF(AND(E5693&lt;&gt;"",E5693&lt;&gt;"!!!"),"NEW","")))</f>
        <v> </v>
      </c>
      <c r="G5693" s="24" t="str">
        <f>IF(OR(E5693="",E5693="!!!"),"",IF(OR(J5693=0,AND(J5693=1,K5693=1),AND(J5693=1,I5693="SBJ"),AND(J5693=1,I5693=0)),"?IN_FOCUS",IF(J5693&lt;=2,"?ACTIVATED",IF(J5693&lt;&gt;"","?FAMILIAR",IF(F5693="NEW",IF(ISNA(VLOOKUP(E5693,#REF!,1,FALSE())),"?TYPE_IDENTIFIABLE","?REFERENTIAL"),"_")))))</f>
        <v> </v>
      </c>
      <c r="H5693" s="25" t="str">
        <f>IF(J5693&lt;&gt;1,"",IF(I5693="SBJ","CB","?"))</f>
        <v> </v>
      </c>
      <c r="I5693" s="26" t="str">
        <f>IF(OR(E5693="",E5693="!!!",F5693="NEW"),"",INDEX(B5692:B$2,-1+SUMPRODUCT(MAX(ROW(E5692:E$2)*(E5693=E5692:E$2)))))</f>
        <v> </v>
      </c>
      <c r="J5693" s="26" t="str">
        <f>IF(OR(E5693="",E5693="!!!",F5693="NEW"),"",COUNTBLANK(OFFSET(A$1,,,SUMPRODUCT(MAX(ROW(E$2:E5693)*(E5693=E$2:E5693)))))-COUNTBLANK(OFFSET(A$1,,,SUMPRODUCT(MAX(ROW(E$1:E5692)*(E2=E$1:E5692))))))</f>
        <v> </v>
      </c>
      <c r="K5693" s="26" t="str">
        <f>IF(OR(E5693="",E5693="!!!",F5693="NEW"),"",INDEX(J$1:J5692,SUMPRODUCT(MAX(ROW(E$1:E5692)*(E5693=E$1:E5692)))))</f>
        <v> </v>
      </c>
      <c r="L5693" s="27"/>
    </row>
    <row r="5694" spans="1:12">
      <c r="A5694" s="20" t="s">
        <v>28</v>
      </c>
      <c r="B5694" s="21" t="s">
        <v>1035</v>
      </c>
      <c r="C5694" s="21" t="s">
        <v>1006</v>
      </c>
      <c r="D5694" s="21" t="s">
        <v>1007</v>
      </c>
      <c r="E5694" s="22">
        <f>IF(D5694="?OLD","!!!","")</f>
        <v/>
      </c>
      <c r="F5694" s="23" t="str">
        <f>IF(OR(E5694="",E5694="!!!"),"",IF(NOT(ISNA(VLOOKUP(E5694,E$1:E5693,1,FALSE()))),"OLD",IF(AND(E5694&lt;&gt;"",E5694&lt;&gt;"!!!"),"NEW","")))</f>
        <v> </v>
      </c>
      <c r="G5694" s="24" t="str">
        <f>IF(OR(E5694="",E5694="!!!"),"",IF(OR(J5694=0,AND(J5694=1,K5694=1),AND(J5694=1,I5694="SBJ"),AND(J5694=1,I5694=0)),"?IN_FOCUS",IF(J5694&lt;=2,"?ACTIVATED",IF(J5694&lt;&gt;"","?FAMILIAR",IF(F5694="NEW",IF(ISNA(VLOOKUP(E5694,#REF!,1,FALSE())),"?TYPE_IDENTIFIABLE","?REFERENTIAL"),"_")))))</f>
        <v> </v>
      </c>
      <c r="H5694" s="25" t="str">
        <f>IF(J5694&lt;&gt;1,"",IF(I5694="SBJ","CB","?"))</f>
        <v> </v>
      </c>
      <c r="I5694" s="26" t="str">
        <f>IF(OR(E5694="",E5694="!!!",F5694="NEW"),"",INDEX(B5693:B$2,-1+SUMPRODUCT(MAX(ROW(E5693:E$2)*(E5694=E5693:E$2)))))</f>
        <v> </v>
      </c>
      <c r="J5694" s="26" t="str">
        <f>IF(OR(E5694="",E5694="!!!",F5694="NEW"),"",COUNTBLANK(OFFSET(A$1,,,SUMPRODUCT(MAX(ROW(E$2:E5694)*(E5694=E$2:E5694)))))-COUNTBLANK(OFFSET(A$1,,,SUMPRODUCT(MAX(ROW(E$1:E5693)*(E2=E$1:E5693))))))</f>
        <v> </v>
      </c>
      <c r="K5694" s="26" t="str">
        <f>IF(OR(E5694="",E5694="!!!",F5694="NEW"),"",INDEX(J$1:J5693,SUMPRODUCT(MAX(ROW(E$1:E5693)*(E5694=E$1:E5693)))))</f>
        <v> </v>
      </c>
      <c r="L5694" s="27"/>
    </row>
    <row r="5695" spans="1:12">
      <c r="A5695" s="20" t="s">
        <v>1018</v>
      </c>
      <c r="E5695" s="22">
        <f>IF(D5695="?OLD","!!!","")</f>
        <v/>
      </c>
      <c r="F5695" s="23" t="str">
        <f>IF(OR(E5695="",E5695="!!!"),"",IF(NOT(ISNA(VLOOKUP(E5695,E$1:E5694,1,FALSE()))),"OLD",IF(AND(E5695&lt;&gt;"",E5695&lt;&gt;"!!!"),"NEW","")))</f>
        <v> </v>
      </c>
      <c r="G5695" s="24" t="str">
        <f>IF(OR(E5695="",E5695="!!!"),"",IF(OR(J5695=0,AND(J5695=1,K5695=1),AND(J5695=1,I5695="SBJ"),AND(J5695=1,I5695=0)),"?IN_FOCUS",IF(J5695&lt;=2,"?ACTIVATED",IF(J5695&lt;&gt;"","?FAMILIAR",IF(F5695="NEW",IF(ISNA(VLOOKUP(E5695,#REF!,1,FALSE())),"?TYPE_IDENTIFIABLE","?REFERENTIAL"),"_")))))</f>
        <v> </v>
      </c>
      <c r="H5695" s="25" t="str">
        <f>IF(J5695&lt;&gt;1,"",IF(I5695="SBJ","CB","?"))</f>
        <v> </v>
      </c>
      <c r="I5695" s="26" t="str">
        <f>IF(OR(E5695="",E5695="!!!",F5695="NEW"),"",INDEX(B5694:B$2,-1+SUMPRODUCT(MAX(ROW(E5694:E$2)*(E5695=E5694:E$2)))))</f>
        <v> </v>
      </c>
      <c r="J5695" s="26" t="str">
        <f>IF(OR(E5695="",E5695="!!!",F5695="NEW"),"",COUNTBLANK(OFFSET(A$1,,,SUMPRODUCT(MAX(ROW(E$2:E5695)*(E5695=E$2:E5695)))))-COUNTBLANK(OFFSET(A$1,,,SUMPRODUCT(MAX(ROW(E$1:E5694)*(E2=E$1:E5694))))))</f>
        <v> </v>
      </c>
      <c r="K5695" s="26" t="str">
        <f>IF(OR(E5695="",E5695="!!!",F5695="NEW"),"",INDEX(J$1:J5694,SUMPRODUCT(MAX(ROW(E$1:E5694)*(E5695=E$1:E5694)))))</f>
        <v> </v>
      </c>
      <c r="L5695" s="27"/>
    </row>
    <row r="5696" spans="1:12">
      <c r="A5696" s="20" t="s">
        <v>2054</v>
      </c>
      <c r="E5696" s="22">
        <f>IF(D5696="?OLD","!!!","")</f>
        <v/>
      </c>
      <c r="F5696" s="23" t="str">
        <f>IF(OR(E5696="",E5696="!!!"),"",IF(NOT(ISNA(VLOOKUP(E5696,E$1:E5695,1,FALSE()))),"OLD",IF(AND(E5696&lt;&gt;"",E5696&lt;&gt;"!!!"),"NEW","")))</f>
        <v> </v>
      </c>
      <c r="G5696" s="24" t="str">
        <f>IF(OR(E5696="",E5696="!!!"),"",IF(OR(J5696=0,AND(J5696=1,K5696=1),AND(J5696=1,I5696="SBJ"),AND(J5696=1,I5696=0)),"?IN_FOCUS",IF(J5696&lt;=2,"?ACTIVATED",IF(J5696&lt;&gt;"","?FAMILIAR",IF(F5696="NEW",IF(ISNA(VLOOKUP(E5696,#REF!,1,FALSE())),"?TYPE_IDENTIFIABLE","?REFERENTIAL"),"_")))))</f>
        <v> </v>
      </c>
      <c r="H5696" s="25" t="str">
        <f>IF(J5696&lt;&gt;1,"",IF(I5696="SBJ","CB","?"))</f>
        <v> </v>
      </c>
      <c r="I5696" s="26" t="str">
        <f>IF(OR(E5696="",E5696="!!!",F5696="NEW"),"",INDEX(B5695:B$2,-1+SUMPRODUCT(MAX(ROW(E5695:E$2)*(E5696=E5695:E$2)))))</f>
        <v> </v>
      </c>
      <c r="J5696" s="26" t="str">
        <f>IF(OR(E5696="",E5696="!!!",F5696="NEW"),"",COUNTBLANK(OFFSET(A$1,,,SUMPRODUCT(MAX(ROW(E$2:E5696)*(E5696=E$2:E5696)))))-COUNTBLANK(OFFSET(A$1,,,SUMPRODUCT(MAX(ROW(E$1:E5695)*(E2=E$1:E5695))))))</f>
        <v> </v>
      </c>
      <c r="K5696" s="26" t="str">
        <f>IF(OR(E5696="",E5696="!!!",F5696="NEW"),"",INDEX(J$1:J5695,SUMPRODUCT(MAX(ROW(E$1:E5695)*(E5696=E$1:E5695)))))</f>
        <v> </v>
      </c>
      <c r="L5696" s="27"/>
    </row>
    <row r="5697" spans="1:12">
      <c r="A5697" s="20" t="s">
        <v>1051</v>
      </c>
      <c r="E5697" s="22">
        <f>IF(D5697="?OLD","!!!","")</f>
        <v/>
      </c>
      <c r="F5697" s="23" t="str">
        <f>IF(OR(E5697="",E5697="!!!"),"",IF(NOT(ISNA(VLOOKUP(E5697,E$1:E5696,1,FALSE()))),"OLD",IF(AND(E5697&lt;&gt;"",E5697&lt;&gt;"!!!"),"NEW","")))</f>
        <v> </v>
      </c>
      <c r="G5697" s="24" t="str">
        <f>IF(OR(E5697="",E5697="!!!"),"",IF(OR(J5697=0,AND(J5697=1,K5697=1),AND(J5697=1,I5697="SBJ"),AND(J5697=1,I5697=0)),"?IN_FOCUS",IF(J5697&lt;=2,"?ACTIVATED",IF(J5697&lt;&gt;"","?FAMILIAR",IF(F5697="NEW",IF(ISNA(VLOOKUP(E5697,#REF!,1,FALSE())),"?TYPE_IDENTIFIABLE","?REFERENTIAL"),"_")))))</f>
        <v> </v>
      </c>
      <c r="H5697" s="25" t="str">
        <f>IF(J5697&lt;&gt;1,"",IF(I5697="SBJ","CB","?"))</f>
        <v> </v>
      </c>
      <c r="I5697" s="26" t="str">
        <f>IF(OR(E5697="",E5697="!!!",F5697="NEW"),"",INDEX(B5696:B$2,-1+SUMPRODUCT(MAX(ROW(E5696:E$2)*(E5697=E5696:E$2)))))</f>
        <v> </v>
      </c>
      <c r="J5697" s="26" t="str">
        <f>IF(OR(E5697="",E5697="!!!",F5697="NEW"),"",COUNTBLANK(OFFSET(A$1,,,SUMPRODUCT(MAX(ROW(E$2:E5697)*(E5697=E$2:E5697)))))-COUNTBLANK(OFFSET(A$1,,,SUMPRODUCT(MAX(ROW(E$1:E5696)*(E2=E$1:E5696))))))</f>
        <v> </v>
      </c>
      <c r="K5697" s="26" t="str">
        <f>IF(OR(E5697="",E5697="!!!",F5697="NEW"),"",INDEX(J$1:J5696,SUMPRODUCT(MAX(ROW(E$1:E5696)*(E5697=E$1:E5696)))))</f>
        <v> </v>
      </c>
      <c r="L5697" s="27"/>
    </row>
    <row r="5698" spans="1:12">
      <c r="A5698" s="20" t="s">
        <v>1020</v>
      </c>
      <c r="E5698" s="22">
        <f>IF(D5698="?OLD","!!!","")</f>
        <v/>
      </c>
      <c r="F5698" s="23" t="str">
        <f>IF(OR(E5698="",E5698="!!!"),"",IF(NOT(ISNA(VLOOKUP(E5698,E$1:E5697,1,FALSE()))),"OLD",IF(AND(E5698&lt;&gt;"",E5698&lt;&gt;"!!!"),"NEW","")))</f>
        <v> </v>
      </c>
      <c r="G5698" s="24" t="str">
        <f>IF(OR(E5698="",E5698="!!!"),"",IF(OR(J5698=0,AND(J5698=1,K5698=1),AND(J5698=1,I5698="SBJ"),AND(J5698=1,I5698=0)),"?IN_FOCUS",IF(J5698&lt;=2,"?ACTIVATED",IF(J5698&lt;&gt;"","?FAMILIAR",IF(F5698="NEW",IF(ISNA(VLOOKUP(E5698,#REF!,1,FALSE())),"?TYPE_IDENTIFIABLE","?REFERENTIAL"),"_")))))</f>
        <v> </v>
      </c>
      <c r="H5698" s="25" t="str">
        <f>IF(J5698&lt;&gt;1,"",IF(I5698="SBJ","CB","?"))</f>
        <v> </v>
      </c>
      <c r="I5698" s="26" t="str">
        <f>IF(OR(E5698="",E5698="!!!",F5698="NEW"),"",INDEX(B5697:B$2,-1+SUMPRODUCT(MAX(ROW(E5697:E$2)*(E5698=E5697:E$2)))))</f>
        <v> </v>
      </c>
      <c r="J5698" s="26" t="str">
        <f>IF(OR(E5698="",E5698="!!!",F5698="NEW"),"",COUNTBLANK(OFFSET(A$1,,,SUMPRODUCT(MAX(ROW(E$2:E5698)*(E5698=E$2:E5698)))))-COUNTBLANK(OFFSET(A$1,,,SUMPRODUCT(MAX(ROW(E$1:E5697)*(E2=E$1:E5697))))))</f>
        <v> </v>
      </c>
      <c r="K5698" s="26" t="str">
        <f>IF(OR(E5698="",E5698="!!!",F5698="NEW"),"",INDEX(J$1:J5697,SUMPRODUCT(MAX(ROW(E$1:E5697)*(E5698=E$1:E5697)))))</f>
        <v> </v>
      </c>
      <c r="L5698" s="27"/>
    </row>
    <row r="5699" spans="1:12">
      <c r="A5699" s="20" t="s">
        <v>417</v>
      </c>
      <c r="E5699" s="22">
        <f>IF(D5699="?OLD","!!!","")</f>
        <v/>
      </c>
      <c r="F5699" s="23" t="str">
        <f>IF(OR(E5699="",E5699="!!!"),"",IF(NOT(ISNA(VLOOKUP(E5699,E$1:E5698,1,FALSE()))),"OLD",IF(AND(E5699&lt;&gt;"",E5699&lt;&gt;"!!!"),"NEW","")))</f>
        <v> </v>
      </c>
      <c r="G5699" s="24" t="str">
        <f>IF(OR(E5699="",E5699="!!!"),"",IF(OR(J5699=0,AND(J5699=1,K5699=1),AND(J5699=1,I5699="SBJ"),AND(J5699=1,I5699=0)),"?IN_FOCUS",IF(J5699&lt;=2,"?ACTIVATED",IF(J5699&lt;&gt;"","?FAMILIAR",IF(F5699="NEW",IF(ISNA(VLOOKUP(E5699,#REF!,1,FALSE())),"?TYPE_IDENTIFIABLE","?REFERENTIAL"),"_")))))</f>
        <v> </v>
      </c>
      <c r="H5699" s="25" t="str">
        <f>IF(J5699&lt;&gt;1,"",IF(I5699="SBJ","CB","?"))</f>
        <v> </v>
      </c>
      <c r="I5699" s="26" t="str">
        <f>IF(OR(E5699="",E5699="!!!",F5699="NEW"),"",INDEX(B5698:B$2,-1+SUMPRODUCT(MAX(ROW(E5698:E$2)*(E5699=E5698:E$2)))))</f>
        <v> </v>
      </c>
      <c r="J5699" s="26" t="str">
        <f>IF(OR(E5699="",E5699="!!!",F5699="NEW"),"",COUNTBLANK(OFFSET(A$1,,,SUMPRODUCT(MAX(ROW(E$2:E5699)*(E5699=E$2:E5699)))))-COUNTBLANK(OFFSET(A$1,,,SUMPRODUCT(MAX(ROW(E$1:E5698)*(E2=E$1:E5698))))))</f>
        <v> </v>
      </c>
      <c r="K5699" s="26" t="str">
        <f>IF(OR(E5699="",E5699="!!!",F5699="NEW"),"",INDEX(J$1:J5698,SUMPRODUCT(MAX(ROW(E$1:E5698)*(E5699=E$1:E5698)))))</f>
        <v> </v>
      </c>
      <c r="L5699" s="27"/>
    </row>
    <row r="5700" spans="1:12">
      <c r="A5700" s="20" t="s">
        <v>1321</v>
      </c>
      <c r="B5700" s="21" t="s">
        <v>1029</v>
      </c>
      <c r="C5700" s="21" t="s">
        <v>1082</v>
      </c>
      <c r="D5700" s="21" t="s">
        <v>1007</v>
      </c>
      <c r="E5700" s="22">
        <f>IF(D5700="?OLD","!!!","")</f>
        <v/>
      </c>
      <c r="F5700" s="23" t="str">
        <f>IF(OR(E5700="",E5700="!!!"),"",IF(NOT(ISNA(VLOOKUP(E5700,E$1:E5699,1,FALSE()))),"OLD",IF(AND(E5700&lt;&gt;"",E5700&lt;&gt;"!!!"),"NEW","")))</f>
        <v> </v>
      </c>
      <c r="G5700" s="24" t="str">
        <f>IF(OR(E5700="",E5700="!!!"),"",IF(OR(J5700=0,AND(J5700=1,K5700=1),AND(J5700=1,I5700="SBJ"),AND(J5700=1,I5700=0)),"?IN_FOCUS",IF(J5700&lt;=2,"?ACTIVATED",IF(J5700&lt;&gt;"","?FAMILIAR",IF(F5700="NEW",IF(ISNA(VLOOKUP(E5700,#REF!,1,FALSE())),"?TYPE_IDENTIFIABLE","?REFERENTIAL"),"_")))))</f>
        <v> </v>
      </c>
      <c r="H5700" s="25" t="str">
        <f>IF(J5700&lt;&gt;1,"",IF(I5700="SBJ","CB","?"))</f>
        <v> </v>
      </c>
      <c r="I5700" s="26" t="str">
        <f>IF(OR(E5700="",E5700="!!!",F5700="NEW"),"",INDEX(B5699:B$2,-1+SUMPRODUCT(MAX(ROW(E5699:E$2)*(E5700=E5699:E$2)))))</f>
        <v> </v>
      </c>
      <c r="J5700" s="26" t="str">
        <f>IF(OR(E5700="",E5700="!!!",F5700="NEW"),"",COUNTBLANK(OFFSET(A$1,,,SUMPRODUCT(MAX(ROW(E$2:E5700)*(E5700=E$2:E5700)))))-COUNTBLANK(OFFSET(A$1,,,SUMPRODUCT(MAX(ROW(E$1:E5699)*(E2=E$1:E5699))))))</f>
        <v> </v>
      </c>
      <c r="K5700" s="26" t="str">
        <f>IF(OR(E5700="",E5700="!!!",F5700="NEW"),"",INDEX(J$1:J5699,SUMPRODUCT(MAX(ROW(E$1:E5699)*(E5700=E$1:E5699)))))</f>
        <v> </v>
      </c>
      <c r="L5700" s="27"/>
    </row>
    <row r="5701" spans="1:12">
      <c r="A5701" s="20" t="s">
        <v>1077</v>
      </c>
      <c r="E5701" s="22">
        <f>IF(D5701="?OLD","!!!","")</f>
        <v/>
      </c>
      <c r="F5701" s="23" t="str">
        <f>IF(OR(E5701="",E5701="!!!"),"",IF(NOT(ISNA(VLOOKUP(E5701,E$1:E5700,1,FALSE()))),"OLD",IF(AND(E5701&lt;&gt;"",E5701&lt;&gt;"!!!"),"NEW","")))</f>
        <v> </v>
      </c>
      <c r="G5701" s="24" t="str">
        <f>IF(OR(E5701="",E5701="!!!"),"",IF(OR(J5701=0,AND(J5701=1,K5701=1),AND(J5701=1,I5701="SBJ"),AND(J5701=1,I5701=0)),"?IN_FOCUS",IF(J5701&lt;=2,"?ACTIVATED",IF(J5701&lt;&gt;"","?FAMILIAR",IF(F5701="NEW",IF(ISNA(VLOOKUP(E5701,#REF!,1,FALSE())),"?TYPE_IDENTIFIABLE","?REFERENTIAL"),"_")))))</f>
        <v> </v>
      </c>
      <c r="H5701" s="25" t="str">
        <f>IF(J5701&lt;&gt;1,"",IF(I5701="SBJ","CB","?"))</f>
        <v> </v>
      </c>
      <c r="I5701" s="26" t="str">
        <f>IF(OR(E5701="",E5701="!!!",F5701="NEW"),"",INDEX(B5700:B$2,-1+SUMPRODUCT(MAX(ROW(E5700:E$2)*(E5701=E5700:E$2)))))</f>
        <v> </v>
      </c>
      <c r="J5701" s="26" t="str">
        <f>IF(OR(E5701="",E5701="!!!",F5701="NEW"),"",COUNTBLANK(OFFSET(A$1,,,SUMPRODUCT(MAX(ROW(E$2:E5701)*(E5701=E$2:E5701)))))-COUNTBLANK(OFFSET(A$1,,,SUMPRODUCT(MAX(ROW(E$1:E5700)*(E2=E$1:E5700))))))</f>
        <v> </v>
      </c>
      <c r="K5701" s="26" t="str">
        <f>IF(OR(E5701="",E5701="!!!",F5701="NEW"),"",INDEX(J$1:J5700,SUMPRODUCT(MAX(ROW(E$1:E5700)*(E5701=E$1:E5700)))))</f>
        <v> </v>
      </c>
      <c r="L5701" s="27"/>
    </row>
    <row r="5702" spans="1:12">
      <c r="A5702" s="20"/>
    </row>
    <row r="5703" spans="1:12">
      <c r="A5703" s="20" t="s">
        <v>2539</v>
      </c>
    </row>
    <row r="5704" spans="1:12">
      <c r="A5704" s="20" t="s">
        <v>1118</v>
      </c>
      <c r="B5704" s="21" t="s">
        <v>1085</v>
      </c>
      <c r="C5704" s="21" t="s">
        <v>1048</v>
      </c>
      <c r="E5704" s="22">
        <f>IF(D5704="?OLD","!!!","")</f>
        <v/>
      </c>
      <c r="F5704" s="23" t="str">
        <f>IF(OR(E5704="",E5704="!!!"),"",IF(NOT(ISNA(VLOOKUP(E5704,E$1:E5703,1,FALSE()))),"OLD",IF(AND(E5704&lt;&gt;"",E5704&lt;&gt;"!!!"),"NEW","")))</f>
        <v> </v>
      </c>
      <c r="G5704" s="24" t="str">
        <f>IF(OR(E5704="",E5704="!!!"),"",IF(OR(J5704=0,AND(J5704=1,K5704=1),AND(J5704=1,I5704="SBJ"),AND(J5704=1,I5704=0)),"?IN_FOCUS",IF(J5704&lt;=2,"?ACTIVATED",IF(J5704&lt;&gt;"","?FAMILIAR",IF(F5704="NEW",IF(ISNA(VLOOKUP(E5704,#REF!,1,FALSE())),"?TYPE_IDENTIFIABLE","?REFERENTIAL"),"_")))))</f>
        <v> </v>
      </c>
      <c r="H5704" s="25" t="str">
        <f>IF(J5704&lt;&gt;1,"",IF(I5704="SBJ","CB","?"))</f>
        <v> </v>
      </c>
      <c r="I5704" s="26" t="str">
        <f>IF(OR(E5704="",E5704="!!!",F5704="NEW"),"",INDEX(B5703:B$2,-1+SUMPRODUCT(MAX(ROW(E5703:E$2)*(E5704=E5703:E$2)))))</f>
        <v> </v>
      </c>
      <c r="J5704" s="26" t="str">
        <f>IF(OR(E5704="",E5704="!!!",F5704="NEW"),"",COUNTBLANK(OFFSET(A$1,,,SUMPRODUCT(MAX(ROW(E$2:E5704)*(E5704=E$2:E5704)))))-COUNTBLANK(OFFSET(A$1,,,SUMPRODUCT(MAX(ROW(E$1:E5703)*(E2=E$1:E5703))))))</f>
        <v> </v>
      </c>
      <c r="K5704" s="26" t="str">
        <f>IF(OR(E5704="",E5704="!!!",F5704="NEW"),"",INDEX(J$1:J5703,SUMPRODUCT(MAX(ROW(E$1:E5703)*(E5704=E$1:E5703)))))</f>
        <v> </v>
      </c>
      <c r="L5704" s="27"/>
    </row>
    <row r="5705" spans="1:12">
      <c r="A5705" s="20" t="s">
        <v>1009</v>
      </c>
      <c r="E5705" s="22">
        <f>IF(D5705="?OLD","!!!","")</f>
        <v/>
      </c>
      <c r="F5705" s="23" t="str">
        <f>IF(OR(E5705="",E5705="!!!"),"",IF(NOT(ISNA(VLOOKUP(E5705,E$1:E5704,1,FALSE()))),"OLD",IF(AND(E5705&lt;&gt;"",E5705&lt;&gt;"!!!"),"NEW","")))</f>
        <v> </v>
      </c>
      <c r="G5705" s="24" t="str">
        <f>IF(OR(E5705="",E5705="!!!"),"",IF(OR(J5705=0,AND(J5705=1,K5705=1),AND(J5705=1,I5705="SBJ"),AND(J5705=1,I5705=0)),"?IN_FOCUS",IF(J5705&lt;=2,"?ACTIVATED",IF(J5705&lt;&gt;"","?FAMILIAR",IF(F5705="NEW",IF(ISNA(VLOOKUP(E5705,#REF!,1,FALSE())),"?TYPE_IDENTIFIABLE","?REFERENTIAL"),"_")))))</f>
        <v> </v>
      </c>
      <c r="H5705" s="25" t="str">
        <f>IF(J5705&lt;&gt;1,"",IF(I5705="SBJ","CB","?"))</f>
        <v> </v>
      </c>
      <c r="I5705" s="26" t="str">
        <f>IF(OR(E5705="",E5705="!!!",F5705="NEW"),"",INDEX(B5704:B$2,-1+SUMPRODUCT(MAX(ROW(E5704:E$2)*(E5705=E5704:E$2)))))</f>
        <v> </v>
      </c>
      <c r="J5705" s="26" t="str">
        <f>IF(OR(E5705="",E5705="!!!",F5705="NEW"),"",COUNTBLANK(OFFSET(A$1,,,SUMPRODUCT(MAX(ROW(E$2:E5705)*(E5705=E$2:E5705)))))-COUNTBLANK(OFFSET(A$1,,,SUMPRODUCT(MAX(ROW(E$1:E5704)*(E2=E$1:E5704))))))</f>
        <v> </v>
      </c>
      <c r="K5705" s="26" t="str">
        <f>IF(OR(E5705="",E5705="!!!",F5705="NEW"),"",INDEX(J$1:J5704,SUMPRODUCT(MAX(ROW(E$1:E5704)*(E5705=E$1:E5704)))))</f>
        <v> </v>
      </c>
      <c r="L5705" s="27"/>
    </row>
    <row r="5706" spans="1:12">
      <c r="A5706" s="20" t="s">
        <v>2540</v>
      </c>
      <c r="E5706" s="22">
        <f>IF(D5706="?OLD","!!!","")</f>
        <v/>
      </c>
      <c r="F5706" s="23" t="str">
        <f>IF(OR(E5706="",E5706="!!!"),"",IF(NOT(ISNA(VLOOKUP(E5706,E$1:E5705,1,FALSE()))),"OLD",IF(AND(E5706&lt;&gt;"",E5706&lt;&gt;"!!!"),"NEW","")))</f>
        <v> </v>
      </c>
      <c r="G5706" s="24" t="str">
        <f>IF(OR(E5706="",E5706="!!!"),"",IF(OR(J5706=0,AND(J5706=1,K5706=1),AND(J5706=1,I5706="SBJ"),AND(J5706=1,I5706=0)),"?IN_FOCUS",IF(J5706&lt;=2,"?ACTIVATED",IF(J5706&lt;&gt;"","?FAMILIAR",IF(F5706="NEW",IF(ISNA(VLOOKUP(E5706,#REF!,1,FALSE())),"?TYPE_IDENTIFIABLE","?REFERENTIAL"),"_")))))</f>
        <v> </v>
      </c>
      <c r="H5706" s="25" t="str">
        <f>IF(J5706&lt;&gt;1,"",IF(I5706="SBJ","CB","?"))</f>
        <v> </v>
      </c>
      <c r="I5706" s="26" t="str">
        <f>IF(OR(E5706="",E5706="!!!",F5706="NEW"),"",INDEX(B5705:B$2,-1+SUMPRODUCT(MAX(ROW(E5705:E$2)*(E5706=E5705:E$2)))))</f>
        <v> </v>
      </c>
      <c r="J5706" s="26" t="str">
        <f>IF(OR(E5706="",E5706="!!!",F5706="NEW"),"",COUNTBLANK(OFFSET(A$1,,,SUMPRODUCT(MAX(ROW(E$2:E5706)*(E5706=E$2:E5706)))))-COUNTBLANK(OFFSET(A$1,,,SUMPRODUCT(MAX(ROW(E$1:E5705)*(E2=E$1:E5705))))))</f>
        <v> </v>
      </c>
      <c r="K5706" s="26" t="str">
        <f>IF(OR(E5706="",E5706="!!!",F5706="NEW"),"",INDEX(J$1:J5705,SUMPRODUCT(MAX(ROW(E$1:E5705)*(E5706=E$1:E5705)))))</f>
        <v> </v>
      </c>
      <c r="L5706" s="27"/>
    </row>
    <row r="5707" spans="1:12">
      <c r="A5707" s="20" t="s">
        <v>1018</v>
      </c>
      <c r="E5707" s="22">
        <f>IF(D5707="?OLD","!!!","")</f>
        <v/>
      </c>
      <c r="F5707" s="23" t="str">
        <f>IF(OR(E5707="",E5707="!!!"),"",IF(NOT(ISNA(VLOOKUP(E5707,E$1:E5706,1,FALSE()))),"OLD",IF(AND(E5707&lt;&gt;"",E5707&lt;&gt;"!!!"),"NEW","")))</f>
        <v> </v>
      </c>
      <c r="G5707" s="24" t="str">
        <f>IF(OR(E5707="",E5707="!!!"),"",IF(OR(J5707=0,AND(J5707=1,K5707=1),AND(J5707=1,I5707="SBJ"),AND(J5707=1,I5707=0)),"?IN_FOCUS",IF(J5707&lt;=2,"?ACTIVATED",IF(J5707&lt;&gt;"","?FAMILIAR",IF(F5707="NEW",IF(ISNA(VLOOKUP(E5707,#REF!,1,FALSE())),"?TYPE_IDENTIFIABLE","?REFERENTIAL"),"_")))))</f>
        <v> </v>
      </c>
      <c r="H5707" s="25" t="str">
        <f>IF(J5707&lt;&gt;1,"",IF(I5707="SBJ","CB","?"))</f>
        <v> </v>
      </c>
      <c r="I5707" s="26" t="str">
        <f>IF(OR(E5707="",E5707="!!!",F5707="NEW"),"",INDEX(B5706:B$2,-1+SUMPRODUCT(MAX(ROW(E5706:E$2)*(E5707=E5706:E$2)))))</f>
        <v> </v>
      </c>
      <c r="J5707" s="26" t="str">
        <f>IF(OR(E5707="",E5707="!!!",F5707="NEW"),"",COUNTBLANK(OFFSET(A$1,,,SUMPRODUCT(MAX(ROW(E$2:E5707)*(E5707=E$2:E5707)))))-COUNTBLANK(OFFSET(A$1,,,SUMPRODUCT(MAX(ROW(E$1:E5706)*(E2=E$1:E5706))))))</f>
        <v> </v>
      </c>
      <c r="K5707" s="26" t="str">
        <f>IF(OR(E5707="",E5707="!!!",F5707="NEW"),"",INDEX(J$1:J5706,SUMPRODUCT(MAX(ROW(E$1:E5706)*(E5707=E$1:E5706)))))</f>
        <v> </v>
      </c>
      <c r="L5707" s="27"/>
    </row>
    <row r="5708" spans="1:12">
      <c r="A5708" s="20" t="s">
        <v>2392</v>
      </c>
      <c r="E5708" s="22">
        <f>IF(D5708="?OLD","!!!","")</f>
        <v/>
      </c>
      <c r="F5708" s="23" t="str">
        <f>IF(OR(E5708="",E5708="!!!"),"",IF(NOT(ISNA(VLOOKUP(E5708,E$1:E5707,1,FALSE()))),"OLD",IF(AND(E5708&lt;&gt;"",E5708&lt;&gt;"!!!"),"NEW","")))</f>
        <v> </v>
      </c>
      <c r="G5708" s="24" t="str">
        <f>IF(OR(E5708="",E5708="!!!"),"",IF(OR(J5708=0,AND(J5708=1,K5708=1),AND(J5708=1,I5708="SBJ"),AND(J5708=1,I5708=0)),"?IN_FOCUS",IF(J5708&lt;=2,"?ACTIVATED",IF(J5708&lt;&gt;"","?FAMILIAR",IF(F5708="NEW",IF(ISNA(VLOOKUP(E5708,#REF!,1,FALSE())),"?TYPE_IDENTIFIABLE","?REFERENTIAL"),"_")))))</f>
        <v> </v>
      </c>
      <c r="H5708" s="25" t="str">
        <f>IF(J5708&lt;&gt;1,"",IF(I5708="SBJ","CB","?"))</f>
        <v> </v>
      </c>
      <c r="I5708" s="26" t="str">
        <f>IF(OR(E5708="",E5708="!!!",F5708="NEW"),"",INDEX(B5707:B$2,-1+SUMPRODUCT(MAX(ROW(E5707:E$2)*(E5708=E5707:E$2)))))</f>
        <v> </v>
      </c>
      <c r="J5708" s="26" t="str">
        <f>IF(OR(E5708="",E5708="!!!",F5708="NEW"),"",COUNTBLANK(OFFSET(A$1,,,SUMPRODUCT(MAX(ROW(E$2:E5708)*(E5708=E$2:E5708)))))-COUNTBLANK(OFFSET(A$1,,,SUMPRODUCT(MAX(ROW(E$1:E5707)*(E2=E$1:E5707))))))</f>
        <v> </v>
      </c>
      <c r="K5708" s="26" t="str">
        <f>IF(OR(E5708="",E5708="!!!",F5708="NEW"),"",INDEX(J$1:J5707,SUMPRODUCT(MAX(ROW(E$1:E5707)*(E5708=E$1:E5707)))))</f>
        <v> </v>
      </c>
      <c r="L5708" s="27"/>
    </row>
    <row r="5709" spans="1:12">
      <c r="A5709" s="20" t="s">
        <v>1020</v>
      </c>
      <c r="E5709" s="22">
        <f>IF(D5709="?OLD","!!!","")</f>
        <v/>
      </c>
      <c r="F5709" s="23" t="str">
        <f>IF(OR(E5709="",E5709="!!!"),"",IF(NOT(ISNA(VLOOKUP(E5709,E$1:E5708,1,FALSE()))),"OLD",IF(AND(E5709&lt;&gt;"",E5709&lt;&gt;"!!!"),"NEW","")))</f>
        <v> </v>
      </c>
      <c r="G5709" s="24" t="str">
        <f>IF(OR(E5709="",E5709="!!!"),"",IF(OR(J5709=0,AND(J5709=1,K5709=1),AND(J5709=1,I5709="SBJ"),AND(J5709=1,I5709=0)),"?IN_FOCUS",IF(J5709&lt;=2,"?ACTIVATED",IF(J5709&lt;&gt;"","?FAMILIAR",IF(F5709="NEW",IF(ISNA(VLOOKUP(E5709,#REF!,1,FALSE())),"?TYPE_IDENTIFIABLE","?REFERENTIAL"),"_")))))</f>
        <v> </v>
      </c>
      <c r="H5709" s="25" t="str">
        <f>IF(J5709&lt;&gt;1,"",IF(I5709="SBJ","CB","?"))</f>
        <v> </v>
      </c>
      <c r="I5709" s="26" t="str">
        <f>IF(OR(E5709="",E5709="!!!",F5709="NEW"),"",INDEX(B5708:B$2,-1+SUMPRODUCT(MAX(ROW(E5708:E$2)*(E5709=E5708:E$2)))))</f>
        <v> </v>
      </c>
      <c r="J5709" s="26" t="str">
        <f>IF(OR(E5709="",E5709="!!!",F5709="NEW"),"",COUNTBLANK(OFFSET(A$1,,,SUMPRODUCT(MAX(ROW(E$2:E5709)*(E5709=E$2:E5709)))))-COUNTBLANK(OFFSET(A$1,,,SUMPRODUCT(MAX(ROW(E$1:E5708)*(E2=E$1:E5708))))))</f>
        <v> </v>
      </c>
      <c r="K5709" s="26" t="str">
        <f>IF(OR(E5709="",E5709="!!!",F5709="NEW"),"",INDEX(J$1:J5708,SUMPRODUCT(MAX(ROW(E$1:E5708)*(E5709=E$1:E5708)))))</f>
        <v> </v>
      </c>
      <c r="L5709" s="27"/>
    </row>
    <row r="5710" spans="1:12">
      <c r="A5710" s="20" t="s">
        <v>417</v>
      </c>
      <c r="E5710" s="22">
        <f>IF(D5710="?OLD","!!!","")</f>
        <v/>
      </c>
      <c r="F5710" s="23" t="str">
        <f>IF(OR(E5710="",E5710="!!!"),"",IF(NOT(ISNA(VLOOKUP(E5710,E$1:E5709,1,FALSE()))),"OLD",IF(AND(E5710&lt;&gt;"",E5710&lt;&gt;"!!!"),"NEW","")))</f>
        <v> </v>
      </c>
      <c r="G5710" s="24" t="str">
        <f>IF(OR(E5710="",E5710="!!!"),"",IF(OR(J5710=0,AND(J5710=1,K5710=1),AND(J5710=1,I5710="SBJ"),AND(J5710=1,I5710=0)),"?IN_FOCUS",IF(J5710&lt;=2,"?ACTIVATED",IF(J5710&lt;&gt;"","?FAMILIAR",IF(F5710="NEW",IF(ISNA(VLOOKUP(E5710,#REF!,1,FALSE())),"?TYPE_IDENTIFIABLE","?REFERENTIAL"),"_")))))</f>
        <v> </v>
      </c>
      <c r="H5710" s="25" t="str">
        <f>IF(J5710&lt;&gt;1,"",IF(I5710="SBJ","CB","?"))</f>
        <v> </v>
      </c>
      <c r="I5710" s="26" t="str">
        <f>IF(OR(E5710="",E5710="!!!",F5710="NEW"),"",INDEX(B5709:B$2,-1+SUMPRODUCT(MAX(ROW(E5709:E$2)*(E5710=E5709:E$2)))))</f>
        <v> </v>
      </c>
      <c r="J5710" s="26" t="str">
        <f>IF(OR(E5710="",E5710="!!!",F5710="NEW"),"",COUNTBLANK(OFFSET(A$1,,,SUMPRODUCT(MAX(ROW(E$2:E5710)*(E5710=E$2:E5710)))))-COUNTBLANK(OFFSET(A$1,,,SUMPRODUCT(MAX(ROW(E$1:E5709)*(E2=E$1:E5709))))))</f>
        <v> </v>
      </c>
      <c r="K5710" s="26" t="str">
        <f>IF(OR(E5710="",E5710="!!!",F5710="NEW"),"",INDEX(J$1:J5709,SUMPRODUCT(MAX(ROW(E$1:E5709)*(E5710=E$1:E5709)))))</f>
        <v> </v>
      </c>
      <c r="L5710" s="27"/>
    </row>
    <row r="5711" spans="1:12">
      <c r="A5711" s="20" t="s">
        <v>1023</v>
      </c>
      <c r="E5711" s="22">
        <f>IF(D5711="?OLD","!!!","")</f>
        <v/>
      </c>
      <c r="F5711" s="23" t="str">
        <f>IF(OR(E5711="",E5711="!!!"),"",IF(NOT(ISNA(VLOOKUP(E5711,E$1:E5710,1,FALSE()))),"OLD",IF(AND(E5711&lt;&gt;"",E5711&lt;&gt;"!!!"),"NEW","")))</f>
        <v> </v>
      </c>
      <c r="G5711" s="24" t="str">
        <f>IF(OR(E5711="",E5711="!!!"),"",IF(OR(J5711=0,AND(J5711=1,K5711=1),AND(J5711=1,I5711="SBJ"),AND(J5711=1,I5711=0)),"?IN_FOCUS",IF(J5711&lt;=2,"?ACTIVATED",IF(J5711&lt;&gt;"","?FAMILIAR",IF(F5711="NEW",IF(ISNA(VLOOKUP(E5711,#REF!,1,FALSE())),"?TYPE_IDENTIFIABLE","?REFERENTIAL"),"_")))))</f>
        <v> </v>
      </c>
      <c r="H5711" s="25" t="str">
        <f>IF(J5711&lt;&gt;1,"",IF(I5711="SBJ","CB","?"))</f>
        <v> </v>
      </c>
      <c r="I5711" s="26" t="str">
        <f>IF(OR(E5711="",E5711="!!!",F5711="NEW"),"",INDEX(B5710:B$2,-1+SUMPRODUCT(MAX(ROW(E5710:E$2)*(E5711=E5710:E$2)))))</f>
        <v> </v>
      </c>
      <c r="J5711" s="26" t="str">
        <f>IF(OR(E5711="",E5711="!!!",F5711="NEW"),"",COUNTBLANK(OFFSET(A$1,,,SUMPRODUCT(MAX(ROW(E$2:E5711)*(E5711=E$2:E5711)))))-COUNTBLANK(OFFSET(A$1,,,SUMPRODUCT(MAX(ROW(E$1:E5710)*(E2=E$1:E5710))))))</f>
        <v> </v>
      </c>
      <c r="K5711" s="26" t="str">
        <f>IF(OR(E5711="",E5711="!!!",F5711="NEW"),"",INDEX(J$1:J5710,SUMPRODUCT(MAX(ROW(E$1:E5710)*(E5711=E$1:E5710)))))</f>
        <v> </v>
      </c>
      <c r="L5711" s="27"/>
    </row>
    <row r="5712" spans="1:12">
      <c r="A5712" s="20"/>
    </row>
    <row r="5713" spans="1:12">
      <c r="A5713" s="20" t="s">
        <v>2541</v>
      </c>
    </row>
    <row r="5714" spans="1:12">
      <c r="A5714" s="20" t="s">
        <v>1094</v>
      </c>
      <c r="E5714" s="22">
        <f>IF(D5714="?OLD","!!!","")</f>
        <v/>
      </c>
      <c r="F5714" s="23" t="str">
        <f>IF(OR(E5714="",E5714="!!!"),"",IF(NOT(ISNA(VLOOKUP(E5714,E$1:E5713,1,FALSE()))),"OLD",IF(AND(E5714&lt;&gt;"",E5714&lt;&gt;"!!!"),"NEW","")))</f>
        <v> </v>
      </c>
      <c r="G5714" s="24" t="str">
        <f>IF(OR(E5714="",E5714="!!!"),"",IF(OR(J5714=0,AND(J5714=1,K5714=1),AND(J5714=1,I5714="SBJ"),AND(J5714=1,I5714=0)),"?IN_FOCUS",IF(J5714&lt;=2,"?ACTIVATED",IF(J5714&lt;&gt;"","?FAMILIAR",IF(F5714="NEW",IF(ISNA(VLOOKUP(E5714,#REF!,1,FALSE())),"?TYPE_IDENTIFIABLE","?REFERENTIAL"),"_")))))</f>
        <v> </v>
      </c>
      <c r="H5714" s="25" t="str">
        <f>IF(J5714&lt;&gt;1,"",IF(I5714="SBJ","CB","?"))</f>
        <v> </v>
      </c>
      <c r="I5714" s="26" t="str">
        <f>IF(OR(E5714="",E5714="!!!",F5714="NEW"),"",INDEX(B5713:B$2,-1+SUMPRODUCT(MAX(ROW(E5713:E$2)*(E5714=E5713:E$2)))))</f>
        <v> </v>
      </c>
      <c r="J5714" s="26" t="str">
        <f>IF(OR(E5714="",E5714="!!!",F5714="NEW"),"",COUNTBLANK(OFFSET(A$1,,,SUMPRODUCT(MAX(ROW(E$2:E5714)*(E5714=E$2:E5714)))))-COUNTBLANK(OFFSET(A$1,,,SUMPRODUCT(MAX(ROW(E$1:E5713)*(E2=E$1:E5713))))))</f>
        <v> </v>
      </c>
      <c r="K5714" s="26" t="str">
        <f>IF(OR(E5714="",E5714="!!!",F5714="NEW"),"",INDEX(J$1:J5713,SUMPRODUCT(MAX(ROW(E$1:E5713)*(E5714=E$1:E5713)))))</f>
        <v> </v>
      </c>
      <c r="L5714" s="27"/>
    </row>
    <row r="5715" spans="1:12">
      <c r="A5715" s="20" t="s">
        <v>1009</v>
      </c>
      <c r="E5715" s="22">
        <f>IF(D5715="?OLD","!!!","")</f>
        <v/>
      </c>
      <c r="F5715" s="23" t="str">
        <f>IF(OR(E5715="",E5715="!!!"),"",IF(NOT(ISNA(VLOOKUP(E5715,E$1:E5714,1,FALSE()))),"OLD",IF(AND(E5715&lt;&gt;"",E5715&lt;&gt;"!!!"),"NEW","")))</f>
        <v> </v>
      </c>
      <c r="G5715" s="24" t="str">
        <f>IF(OR(E5715="",E5715="!!!"),"",IF(OR(J5715=0,AND(J5715=1,K5715=1),AND(J5715=1,I5715="SBJ"),AND(J5715=1,I5715=0)),"?IN_FOCUS",IF(J5715&lt;=2,"?ACTIVATED",IF(J5715&lt;&gt;"","?FAMILIAR",IF(F5715="NEW",IF(ISNA(VLOOKUP(E5715,#REF!,1,FALSE())),"?TYPE_IDENTIFIABLE","?REFERENTIAL"),"_")))))</f>
        <v> </v>
      </c>
      <c r="H5715" s="25" t="str">
        <f>IF(J5715&lt;&gt;1,"",IF(I5715="SBJ","CB","?"))</f>
        <v> </v>
      </c>
      <c r="I5715" s="26" t="str">
        <f>IF(OR(E5715="",E5715="!!!",F5715="NEW"),"",INDEX(B5714:B$2,-1+SUMPRODUCT(MAX(ROW(E5714:E$2)*(E5715=E5714:E$2)))))</f>
        <v> </v>
      </c>
      <c r="J5715" s="26" t="str">
        <f>IF(OR(E5715="",E5715="!!!",F5715="NEW"),"",COUNTBLANK(OFFSET(A$1,,,SUMPRODUCT(MAX(ROW(E$2:E5715)*(E5715=E$2:E5715)))))-COUNTBLANK(OFFSET(A$1,,,SUMPRODUCT(MAX(ROW(E$1:E5714)*(E2=E$1:E5714))))))</f>
        <v> </v>
      </c>
      <c r="K5715" s="26" t="str">
        <f>IF(OR(E5715="",E5715="!!!",F5715="NEW"),"",INDEX(J$1:J5714,SUMPRODUCT(MAX(ROW(E$1:E5714)*(E5715=E$1:E5714)))))</f>
        <v> </v>
      </c>
      <c r="L5715" s="27"/>
    </row>
    <row r="5716" spans="1:12">
      <c r="A5716" s="20" t="s">
        <v>2542</v>
      </c>
      <c r="B5716" s="21" t="s">
        <v>1029</v>
      </c>
      <c r="E5716" s="22">
        <f>IF(D5716="?OLD","!!!","")</f>
        <v/>
      </c>
      <c r="F5716" s="23" t="str">
        <f>IF(OR(E5716="",E5716="!!!"),"",IF(NOT(ISNA(VLOOKUP(E5716,E$1:E5715,1,FALSE()))),"OLD",IF(AND(E5716&lt;&gt;"",E5716&lt;&gt;"!!!"),"NEW","")))</f>
        <v> </v>
      </c>
      <c r="G5716" s="24" t="str">
        <f>IF(OR(E5716="",E5716="!!!"),"",IF(OR(J5716=0,AND(J5716=1,K5716=1),AND(J5716=1,I5716="SBJ"),AND(J5716=1,I5716=0)),"?IN_FOCUS",IF(J5716&lt;=2,"?ACTIVATED",IF(J5716&lt;&gt;"","?FAMILIAR",IF(F5716="NEW",IF(ISNA(VLOOKUP(E5716,#REF!,1,FALSE())),"?TYPE_IDENTIFIABLE","?REFERENTIAL"),"_")))))</f>
        <v> </v>
      </c>
      <c r="H5716" s="25" t="str">
        <f>IF(J5716&lt;&gt;1,"",IF(I5716="SBJ","CB","?"))</f>
        <v> </v>
      </c>
      <c r="I5716" s="26" t="str">
        <f>IF(OR(E5716="",E5716="!!!",F5716="NEW"),"",INDEX(B5715:B$2,-1+SUMPRODUCT(MAX(ROW(E5715:E$2)*(E5716=E5715:E$2)))))</f>
        <v> </v>
      </c>
      <c r="J5716" s="26" t="str">
        <f>IF(OR(E5716="",E5716="!!!",F5716="NEW"),"",COUNTBLANK(OFFSET(A$1,,,SUMPRODUCT(MAX(ROW(E$2:E5716)*(E5716=E$2:E5716)))))-COUNTBLANK(OFFSET(A$1,,,SUMPRODUCT(MAX(ROW(E$1:E5715)*(E2=E$1:E5715))))))</f>
        <v> </v>
      </c>
      <c r="K5716" s="26" t="str">
        <f>IF(OR(E5716="",E5716="!!!",F5716="NEW"),"",INDEX(J$1:J5715,SUMPRODUCT(MAX(ROW(E$1:E5715)*(E5716=E$1:E5715)))))</f>
        <v> </v>
      </c>
      <c r="L5716" s="27"/>
    </row>
    <row r="5717" spans="1:12">
      <c r="A5717" s="20" t="s">
        <v>1018</v>
      </c>
      <c r="E5717" s="22">
        <f>IF(D5717="?OLD","!!!","")</f>
        <v/>
      </c>
      <c r="F5717" s="23" t="str">
        <f>IF(OR(E5717="",E5717="!!!"),"",IF(NOT(ISNA(VLOOKUP(E5717,E$1:E5716,1,FALSE()))),"OLD",IF(AND(E5717&lt;&gt;"",E5717&lt;&gt;"!!!"),"NEW","")))</f>
        <v> </v>
      </c>
      <c r="G5717" s="24" t="str">
        <f>IF(OR(E5717="",E5717="!!!"),"",IF(OR(J5717=0,AND(J5717=1,K5717=1),AND(J5717=1,I5717="SBJ"),AND(J5717=1,I5717=0)),"?IN_FOCUS",IF(J5717&lt;=2,"?ACTIVATED",IF(J5717&lt;&gt;"","?FAMILIAR",IF(F5717="NEW",IF(ISNA(VLOOKUP(E5717,#REF!,1,FALSE())),"?TYPE_IDENTIFIABLE","?REFERENTIAL"),"_")))))</f>
        <v> </v>
      </c>
      <c r="H5717" s="25" t="str">
        <f>IF(J5717&lt;&gt;1,"",IF(I5717="SBJ","CB","?"))</f>
        <v> </v>
      </c>
      <c r="I5717" s="26" t="str">
        <f>IF(OR(E5717="",E5717="!!!",F5717="NEW"),"",INDEX(B5716:B$2,-1+SUMPRODUCT(MAX(ROW(E5716:E$2)*(E5717=E5716:E$2)))))</f>
        <v> </v>
      </c>
      <c r="J5717" s="26" t="str">
        <f>IF(OR(E5717="",E5717="!!!",F5717="NEW"),"",COUNTBLANK(OFFSET(A$1,,,SUMPRODUCT(MAX(ROW(E$2:E5717)*(E5717=E$2:E5717)))))-COUNTBLANK(OFFSET(A$1,,,SUMPRODUCT(MAX(ROW(E$1:E5716)*(E2=E$1:E5716))))))</f>
        <v> </v>
      </c>
      <c r="K5717" s="26" t="str">
        <f>IF(OR(E5717="",E5717="!!!",F5717="NEW"),"",INDEX(J$1:J5716,SUMPRODUCT(MAX(ROW(E$1:E5716)*(E5717=E$1:E5716)))))</f>
        <v> </v>
      </c>
      <c r="L5717" s="27"/>
    </row>
    <row r="5718" spans="1:12">
      <c r="A5718" s="20" t="s">
        <v>1739</v>
      </c>
      <c r="E5718" s="22">
        <f>IF(D5718="?OLD","!!!","")</f>
        <v/>
      </c>
      <c r="F5718" s="23" t="str">
        <f>IF(OR(E5718="",E5718="!!!"),"",IF(NOT(ISNA(VLOOKUP(E5718,E$1:E5717,1,FALSE()))),"OLD",IF(AND(E5718&lt;&gt;"",E5718&lt;&gt;"!!!"),"NEW","")))</f>
        <v> </v>
      </c>
      <c r="G5718" s="24" t="str">
        <f>IF(OR(E5718="",E5718="!!!"),"",IF(OR(J5718=0,AND(J5718=1,K5718=1),AND(J5718=1,I5718="SBJ"),AND(J5718=1,I5718=0)),"?IN_FOCUS",IF(J5718&lt;=2,"?ACTIVATED",IF(J5718&lt;&gt;"","?FAMILIAR",IF(F5718="NEW",IF(ISNA(VLOOKUP(E5718,#REF!,1,FALSE())),"?TYPE_IDENTIFIABLE","?REFERENTIAL"),"_")))))</f>
        <v> </v>
      </c>
      <c r="H5718" s="25" t="str">
        <f>IF(J5718&lt;&gt;1,"",IF(I5718="SBJ","CB","?"))</f>
        <v> </v>
      </c>
      <c r="I5718" s="26" t="str">
        <f>IF(OR(E5718="",E5718="!!!",F5718="NEW"),"",INDEX(B5717:B$2,-1+SUMPRODUCT(MAX(ROW(E5717:E$2)*(E5718=E5717:E$2)))))</f>
        <v> </v>
      </c>
      <c r="J5718" s="26" t="str">
        <f>IF(OR(E5718="",E5718="!!!",F5718="NEW"),"",COUNTBLANK(OFFSET(A$1,,,SUMPRODUCT(MAX(ROW(E$2:E5718)*(E5718=E$2:E5718)))))-COUNTBLANK(OFFSET(A$1,,,SUMPRODUCT(MAX(ROW(E$1:E5717)*(E2=E$1:E5717))))))</f>
        <v> </v>
      </c>
      <c r="K5718" s="26" t="str">
        <f>IF(OR(E5718="",E5718="!!!",F5718="NEW"),"",INDEX(J$1:J5717,SUMPRODUCT(MAX(ROW(E$1:E5717)*(E5718=E$1:E5717)))))</f>
        <v> </v>
      </c>
      <c r="L5718" s="27"/>
    </row>
    <row r="5719" spans="1:12">
      <c r="A5719" s="20" t="s">
        <v>2543</v>
      </c>
      <c r="E5719" s="22">
        <f>IF(D5719="?OLD","!!!","")</f>
        <v/>
      </c>
      <c r="F5719" s="23" t="str">
        <f>IF(OR(E5719="",E5719="!!!"),"",IF(NOT(ISNA(VLOOKUP(E5719,E$1:E5718,1,FALSE()))),"OLD",IF(AND(E5719&lt;&gt;"",E5719&lt;&gt;"!!!"),"NEW","")))</f>
        <v> </v>
      </c>
      <c r="G5719" s="24" t="str">
        <f>IF(OR(E5719="",E5719="!!!"),"",IF(OR(J5719=0,AND(J5719=1,K5719=1),AND(J5719=1,I5719="SBJ"),AND(J5719=1,I5719=0)),"?IN_FOCUS",IF(J5719&lt;=2,"?ACTIVATED",IF(J5719&lt;&gt;"","?FAMILIAR",IF(F5719="NEW",IF(ISNA(VLOOKUP(E5719,#REF!,1,FALSE())),"?TYPE_IDENTIFIABLE","?REFERENTIAL"),"_")))))</f>
        <v> </v>
      </c>
      <c r="H5719" s="25" t="str">
        <f>IF(J5719&lt;&gt;1,"",IF(I5719="SBJ","CB","?"))</f>
        <v> </v>
      </c>
      <c r="I5719" s="26" t="str">
        <f>IF(OR(E5719="",E5719="!!!",F5719="NEW"),"",INDEX(B5718:B$2,-1+SUMPRODUCT(MAX(ROW(E5718:E$2)*(E5719=E5718:E$2)))))</f>
        <v> </v>
      </c>
      <c r="J5719" s="26" t="str">
        <f>IF(OR(E5719="",E5719="!!!",F5719="NEW"),"",COUNTBLANK(OFFSET(A$1,,,SUMPRODUCT(MAX(ROW(E$2:E5719)*(E5719=E$2:E5719)))))-COUNTBLANK(OFFSET(A$1,,,SUMPRODUCT(MAX(ROW(E$1:E5718)*(E2=E$1:E5718))))))</f>
        <v> </v>
      </c>
      <c r="K5719" s="26" t="str">
        <f>IF(OR(E5719="",E5719="!!!",F5719="NEW"),"",INDEX(J$1:J5718,SUMPRODUCT(MAX(ROW(E$1:E5718)*(E5719=E$1:E5718)))))</f>
        <v> </v>
      </c>
      <c r="L5719" s="27"/>
    </row>
    <row r="5720" spans="1:12">
      <c r="A5720" s="20" t="s">
        <v>1023</v>
      </c>
      <c r="E5720" s="22">
        <f>IF(D5720="?OLD","!!!","")</f>
        <v/>
      </c>
      <c r="F5720" s="23" t="str">
        <f>IF(OR(E5720="",E5720="!!!"),"",IF(NOT(ISNA(VLOOKUP(E5720,E$1:E5719,1,FALSE()))),"OLD",IF(AND(E5720&lt;&gt;"",E5720&lt;&gt;"!!!"),"NEW","")))</f>
        <v> </v>
      </c>
      <c r="G5720" s="24" t="str">
        <f>IF(OR(E5720="",E5720="!!!"),"",IF(OR(J5720=0,AND(J5720=1,K5720=1),AND(J5720=1,I5720="SBJ"),AND(J5720=1,I5720=0)),"?IN_FOCUS",IF(J5720&lt;=2,"?ACTIVATED",IF(J5720&lt;&gt;"","?FAMILIAR",IF(F5720="NEW",IF(ISNA(VLOOKUP(E5720,#REF!,1,FALSE())),"?TYPE_IDENTIFIABLE","?REFERENTIAL"),"_")))))</f>
        <v> </v>
      </c>
      <c r="H5720" s="25" t="str">
        <f>IF(J5720&lt;&gt;1,"",IF(I5720="SBJ","CB","?"))</f>
        <v> </v>
      </c>
      <c r="I5720" s="26" t="str">
        <f>IF(OR(E5720="",E5720="!!!",F5720="NEW"),"",INDEX(B5719:B$2,-1+SUMPRODUCT(MAX(ROW(E5719:E$2)*(E5720=E5719:E$2)))))</f>
        <v> </v>
      </c>
      <c r="J5720" s="26" t="str">
        <f>IF(OR(E5720="",E5720="!!!",F5720="NEW"),"",COUNTBLANK(OFFSET(A$1,,,SUMPRODUCT(MAX(ROW(E$2:E5720)*(E5720=E$2:E5720)))))-COUNTBLANK(OFFSET(A$1,,,SUMPRODUCT(MAX(ROW(E$1:E5719)*(E2=E$1:E5719))))))</f>
        <v> </v>
      </c>
      <c r="K5720" s="26" t="str">
        <f>IF(OR(E5720="",E5720="!!!",F5720="NEW"),"",INDEX(J$1:J5719,SUMPRODUCT(MAX(ROW(E$1:E5719)*(E5720=E$1:E5719)))))</f>
        <v> </v>
      </c>
      <c r="L5720" s="27"/>
    </row>
    <row r="5721" spans="1:12">
      <c r="A5721" s="20"/>
    </row>
    <row r="5722" spans="1:12">
      <c r="A5722" s="20" t="s">
        <v>2544</v>
      </c>
    </row>
    <row r="5723" spans="1:12">
      <c r="A5723" s="20" t="s">
        <v>2534</v>
      </c>
      <c r="E5723" s="22">
        <f>IF(D5723="?OLD","!!!","")</f>
        <v/>
      </c>
      <c r="F5723" s="23" t="str">
        <f>IF(OR(E5723="",E5723="!!!"),"",IF(NOT(ISNA(VLOOKUP(E5723,E$1:E5722,1,FALSE()))),"OLD",IF(AND(E5723&lt;&gt;"",E5723&lt;&gt;"!!!"),"NEW","")))</f>
        <v> </v>
      </c>
      <c r="G5723" s="24" t="str">
        <f>IF(OR(E5723="",E5723="!!!"),"",IF(OR(J5723=0,AND(J5723=1,K5723=1),AND(J5723=1,I5723="SBJ"),AND(J5723=1,I5723=0)),"?IN_FOCUS",IF(J5723&lt;=2,"?ACTIVATED",IF(J5723&lt;&gt;"","?FAMILIAR",IF(F5723="NEW",IF(ISNA(VLOOKUP(E5723,#REF!,1,FALSE())),"?TYPE_IDENTIFIABLE","?REFERENTIAL"),"_")))))</f>
        <v> </v>
      </c>
      <c r="H5723" s="25" t="str">
        <f>IF(J5723&lt;&gt;1,"",IF(I5723="SBJ","CB","?"))</f>
        <v> </v>
      </c>
      <c r="I5723" s="26" t="str">
        <f>IF(OR(E5723="",E5723="!!!",F5723="NEW"),"",INDEX(B5722:B$2,-1+SUMPRODUCT(MAX(ROW(E5722:E$2)*(E5723=E5722:E$2)))))</f>
        <v> </v>
      </c>
      <c r="J5723" s="26" t="str">
        <f>IF(OR(E5723="",E5723="!!!",F5723="NEW"),"",COUNTBLANK(OFFSET(A$1,,,SUMPRODUCT(MAX(ROW(E$2:E5723)*(E5723=E$2:E5723)))))-COUNTBLANK(OFFSET(A$1,,,SUMPRODUCT(MAX(ROW(E$1:E5722)*(E2=E$1:E5722))))))</f>
        <v> </v>
      </c>
      <c r="K5723" s="26" t="str">
        <f>IF(OR(E5723="",E5723="!!!",F5723="NEW"),"",INDEX(J$1:J5722,SUMPRODUCT(MAX(ROW(E$1:E5722)*(E5723=E$1:E5722)))))</f>
        <v> </v>
      </c>
      <c r="L5723" s="27"/>
    </row>
    <row r="5724" spans="1:12">
      <c r="A5724" s="20" t="s">
        <v>1009</v>
      </c>
      <c r="E5724" s="22">
        <f>IF(D5724="?OLD","!!!","")</f>
        <v/>
      </c>
      <c r="F5724" s="23" t="str">
        <f>IF(OR(E5724="",E5724="!!!"),"",IF(NOT(ISNA(VLOOKUP(E5724,E$1:E5723,1,FALSE()))),"OLD",IF(AND(E5724&lt;&gt;"",E5724&lt;&gt;"!!!"),"NEW","")))</f>
        <v> </v>
      </c>
      <c r="G5724" s="24" t="str">
        <f>IF(OR(E5724="",E5724="!!!"),"",IF(OR(J5724=0,AND(J5724=1,K5724=1),AND(J5724=1,I5724="SBJ"),AND(J5724=1,I5724=0)),"?IN_FOCUS",IF(J5724&lt;=2,"?ACTIVATED",IF(J5724&lt;&gt;"","?FAMILIAR",IF(F5724="NEW",IF(ISNA(VLOOKUP(E5724,#REF!,1,FALSE())),"?TYPE_IDENTIFIABLE","?REFERENTIAL"),"_")))))</f>
        <v> </v>
      </c>
      <c r="H5724" s="25" t="str">
        <f>IF(J5724&lt;&gt;1,"",IF(I5724="SBJ","CB","?"))</f>
        <v> </v>
      </c>
      <c r="I5724" s="26" t="str">
        <f>IF(OR(E5724="",E5724="!!!",F5724="NEW"),"",INDEX(B5723:B$2,-1+SUMPRODUCT(MAX(ROW(E5723:E$2)*(E5724=E5723:E$2)))))</f>
        <v> </v>
      </c>
      <c r="J5724" s="26" t="str">
        <f>IF(OR(E5724="",E5724="!!!",F5724="NEW"),"",COUNTBLANK(OFFSET(A$1,,,SUMPRODUCT(MAX(ROW(E$2:E5724)*(E5724=E$2:E5724)))))-COUNTBLANK(OFFSET(A$1,,,SUMPRODUCT(MAX(ROW(E$1:E5723)*(E2=E$1:E5723))))))</f>
        <v> </v>
      </c>
      <c r="K5724" s="26" t="str">
        <f>IF(OR(E5724="",E5724="!!!",F5724="NEW"),"",INDEX(J$1:J5723,SUMPRODUCT(MAX(ROW(E$1:E5723)*(E5724=E$1:E5723)))))</f>
        <v> </v>
      </c>
      <c r="L5724" s="27"/>
    </row>
    <row r="5725" spans="1:12">
      <c r="A5725" s="20" t="s">
        <v>1400</v>
      </c>
      <c r="E5725" s="22">
        <f>IF(D5725="?OLD","!!!","")</f>
        <v/>
      </c>
      <c r="F5725" s="23" t="str">
        <f>IF(OR(E5725="",E5725="!!!"),"",IF(NOT(ISNA(VLOOKUP(E5725,E$1:E5724,1,FALSE()))),"OLD",IF(AND(E5725&lt;&gt;"",E5725&lt;&gt;"!!!"),"NEW","")))</f>
        <v> </v>
      </c>
      <c r="G5725" s="24" t="str">
        <f>IF(OR(E5725="",E5725="!!!"),"",IF(OR(J5725=0,AND(J5725=1,K5725=1),AND(J5725=1,I5725="SBJ"),AND(J5725=1,I5725=0)),"?IN_FOCUS",IF(J5725&lt;=2,"?ACTIVATED",IF(J5725&lt;&gt;"","?FAMILIAR",IF(F5725="NEW",IF(ISNA(VLOOKUP(E5725,#REF!,1,FALSE())),"?TYPE_IDENTIFIABLE","?REFERENTIAL"),"_")))))</f>
        <v> </v>
      </c>
      <c r="H5725" s="25" t="str">
        <f>IF(J5725&lt;&gt;1,"",IF(I5725="SBJ","CB","?"))</f>
        <v> </v>
      </c>
      <c r="I5725" s="26" t="str">
        <f>IF(OR(E5725="",E5725="!!!",F5725="NEW"),"",INDEX(B5724:B$2,-1+SUMPRODUCT(MAX(ROW(E5724:E$2)*(E5725=E5724:E$2)))))</f>
        <v> </v>
      </c>
      <c r="J5725" s="26" t="str">
        <f>IF(OR(E5725="",E5725="!!!",F5725="NEW"),"",COUNTBLANK(OFFSET(A$1,,,SUMPRODUCT(MAX(ROW(E$2:E5725)*(E5725=E$2:E5725)))))-COUNTBLANK(OFFSET(A$1,,,SUMPRODUCT(MAX(ROW(E$1:E5724)*(E2=E$1:E5724))))))</f>
        <v> </v>
      </c>
      <c r="K5725" s="26" t="str">
        <f>IF(OR(E5725="",E5725="!!!",F5725="NEW"),"",INDEX(J$1:J5724,SUMPRODUCT(MAX(ROW(E$1:E5724)*(E5725=E$1:E5724)))))</f>
        <v> </v>
      </c>
      <c r="L5725" s="27"/>
    </row>
    <row r="5726" spans="1:12">
      <c r="A5726" s="20" t="s">
        <v>1427</v>
      </c>
      <c r="B5726" s="21" t="s">
        <v>1050</v>
      </c>
      <c r="C5726" s="21" t="s">
        <v>1013</v>
      </c>
      <c r="D5726" s="21" t="s">
        <v>1007</v>
      </c>
      <c r="E5726" s="22">
        <f>IF(D5726="?OLD","!!!","")</f>
        <v/>
      </c>
      <c r="F5726" s="23" t="str">
        <f>IF(OR(E5726="",E5726="!!!"),"",IF(NOT(ISNA(VLOOKUP(E5726,E$1:E5725,1,FALSE()))),"OLD",IF(AND(E5726&lt;&gt;"",E5726&lt;&gt;"!!!"),"NEW","")))</f>
        <v> </v>
      </c>
      <c r="G5726" s="24" t="str">
        <f>IF(OR(E5726="",E5726="!!!"),"",IF(OR(J5726=0,AND(J5726=1,K5726=1),AND(J5726=1,I5726="SBJ"),AND(J5726=1,I5726=0)),"?IN_FOCUS",IF(J5726&lt;=2,"?ACTIVATED",IF(J5726&lt;&gt;"","?FAMILIAR",IF(F5726="NEW",IF(ISNA(VLOOKUP(E5726,#REF!,1,FALSE())),"?TYPE_IDENTIFIABLE","?REFERENTIAL"),"_")))))</f>
        <v> </v>
      </c>
      <c r="H5726" s="25" t="str">
        <f>IF(J5726&lt;&gt;1,"",IF(I5726="SBJ","CB","?"))</f>
        <v> </v>
      </c>
      <c r="I5726" s="26" t="str">
        <f>IF(OR(E5726="",E5726="!!!",F5726="NEW"),"",INDEX(B5725:B$2,-1+SUMPRODUCT(MAX(ROW(E5725:E$2)*(E5726=E5725:E$2)))))</f>
        <v> </v>
      </c>
      <c r="J5726" s="26" t="str">
        <f>IF(OR(E5726="",E5726="!!!",F5726="NEW"),"",COUNTBLANK(OFFSET(A$1,,,SUMPRODUCT(MAX(ROW(E$2:E5726)*(E5726=E$2:E5726)))))-COUNTBLANK(OFFSET(A$1,,,SUMPRODUCT(MAX(ROW(E$1:E5725)*(E2=E$1:E5725))))))</f>
        <v> </v>
      </c>
      <c r="K5726" s="26" t="str">
        <f>IF(OR(E5726="",E5726="!!!",F5726="NEW"),"",INDEX(J$1:J5725,SUMPRODUCT(MAX(ROW(E$1:E5725)*(E5726=E$1:E5725)))))</f>
        <v> </v>
      </c>
      <c r="L5726" s="27"/>
    </row>
    <row r="5727" spans="1:12">
      <c r="A5727" s="20" t="s">
        <v>1030</v>
      </c>
      <c r="E5727" s="22">
        <f>IF(D5727="?OLD","!!!","")</f>
        <v/>
      </c>
      <c r="F5727" s="23" t="str">
        <f>IF(OR(E5727="",E5727="!!!"),"",IF(NOT(ISNA(VLOOKUP(E5727,E$1:E5726,1,FALSE()))),"OLD",IF(AND(E5727&lt;&gt;"",E5727&lt;&gt;"!!!"),"NEW","")))</f>
        <v> </v>
      </c>
      <c r="G5727" s="24" t="str">
        <f>IF(OR(E5727="",E5727="!!!"),"",IF(OR(J5727=0,AND(J5727=1,K5727=1),AND(J5727=1,I5727="SBJ"),AND(J5727=1,I5727=0)),"?IN_FOCUS",IF(J5727&lt;=2,"?ACTIVATED",IF(J5727&lt;&gt;"","?FAMILIAR",IF(F5727="NEW",IF(ISNA(VLOOKUP(E5727,#REF!,1,FALSE())),"?TYPE_IDENTIFIABLE","?REFERENTIAL"),"_")))))</f>
        <v> </v>
      </c>
      <c r="H5727" s="25" t="str">
        <f>IF(J5727&lt;&gt;1,"",IF(I5727="SBJ","CB","?"))</f>
        <v> </v>
      </c>
      <c r="I5727" s="26" t="str">
        <f>IF(OR(E5727="",E5727="!!!",F5727="NEW"),"",INDEX(B5726:B$2,-1+SUMPRODUCT(MAX(ROW(E5726:E$2)*(E5727=E5726:E$2)))))</f>
        <v> </v>
      </c>
      <c r="J5727" s="26" t="str">
        <f>IF(OR(E5727="",E5727="!!!",F5727="NEW"),"",COUNTBLANK(OFFSET(A$1,,,SUMPRODUCT(MAX(ROW(E$2:E5727)*(E5727=E$2:E5727)))))-COUNTBLANK(OFFSET(A$1,,,SUMPRODUCT(MAX(ROW(E$1:E5726)*(E2=E$1:E5726))))))</f>
        <v> </v>
      </c>
      <c r="K5727" s="26" t="str">
        <f>IF(OR(E5727="",E5727="!!!",F5727="NEW"),"",INDEX(J$1:J5726,SUMPRODUCT(MAX(ROW(E$1:E5726)*(E5727=E$1:E5726)))))</f>
        <v> </v>
      </c>
      <c r="L5727" s="27"/>
    </row>
    <row r="5728" spans="1:12">
      <c r="A5728" s="20" t="s">
        <v>1020</v>
      </c>
      <c r="E5728" s="22">
        <f>IF(D5728="?OLD","!!!","")</f>
        <v/>
      </c>
      <c r="F5728" s="23" t="str">
        <f>IF(OR(E5728="",E5728="!!!"),"",IF(NOT(ISNA(VLOOKUP(E5728,E$1:E5727,1,FALSE()))),"OLD",IF(AND(E5728&lt;&gt;"",E5728&lt;&gt;"!!!"),"NEW","")))</f>
        <v> </v>
      </c>
      <c r="G5728" s="24" t="str">
        <f>IF(OR(E5728="",E5728="!!!"),"",IF(OR(J5728=0,AND(J5728=1,K5728=1),AND(J5728=1,I5728="SBJ"),AND(J5728=1,I5728=0)),"?IN_FOCUS",IF(J5728&lt;=2,"?ACTIVATED",IF(J5728&lt;&gt;"","?FAMILIAR",IF(F5728="NEW",IF(ISNA(VLOOKUP(E5728,#REF!,1,FALSE())),"?TYPE_IDENTIFIABLE","?REFERENTIAL"),"_")))))</f>
        <v> </v>
      </c>
      <c r="H5728" s="25" t="str">
        <f>IF(J5728&lt;&gt;1,"",IF(I5728="SBJ","CB","?"))</f>
        <v> </v>
      </c>
      <c r="I5728" s="26" t="str">
        <f>IF(OR(E5728="",E5728="!!!",F5728="NEW"),"",INDEX(B5727:B$2,-1+SUMPRODUCT(MAX(ROW(E5727:E$2)*(E5728=E5727:E$2)))))</f>
        <v> </v>
      </c>
      <c r="J5728" s="26" t="str">
        <f>IF(OR(E5728="",E5728="!!!",F5728="NEW"),"",COUNTBLANK(OFFSET(A$1,,,SUMPRODUCT(MAX(ROW(E$2:E5728)*(E5728=E$2:E5728)))))-COUNTBLANK(OFFSET(A$1,,,SUMPRODUCT(MAX(ROW(E$1:E5727)*(E2=E$1:E5727))))))</f>
        <v> </v>
      </c>
      <c r="K5728" s="26" t="str">
        <f>IF(OR(E5728="",E5728="!!!",F5728="NEW"),"",INDEX(J$1:J5727,SUMPRODUCT(MAX(ROW(E$1:E5727)*(E5728=E$1:E5727)))))</f>
        <v> </v>
      </c>
      <c r="L5728" s="27"/>
    </row>
    <row r="5729" spans="1:12">
      <c r="A5729" s="20" t="s">
        <v>2078</v>
      </c>
      <c r="B5729" s="21" t="s">
        <v>1033</v>
      </c>
      <c r="C5729" s="21" t="s">
        <v>1059</v>
      </c>
      <c r="D5729" s="21" t="s">
        <v>1007</v>
      </c>
      <c r="E5729" s="22">
        <f>IF(D5729="?OLD","!!!","")</f>
        <v/>
      </c>
      <c r="F5729" s="23" t="str">
        <f>IF(OR(E5729="",E5729="!!!"),"",IF(NOT(ISNA(VLOOKUP(E5729,E$1:E5728,1,FALSE()))),"OLD",IF(AND(E5729&lt;&gt;"",E5729&lt;&gt;"!!!"),"NEW","")))</f>
        <v> </v>
      </c>
      <c r="G5729" s="24" t="str">
        <f>IF(OR(E5729="",E5729="!!!"),"",IF(OR(J5729=0,AND(J5729=1,K5729=1),AND(J5729=1,I5729="SBJ"),AND(J5729=1,I5729=0)),"?IN_FOCUS",IF(J5729&lt;=2,"?ACTIVATED",IF(J5729&lt;&gt;"","?FAMILIAR",IF(F5729="NEW",IF(ISNA(VLOOKUP(E5729,#REF!,1,FALSE())),"?TYPE_IDENTIFIABLE","?REFERENTIAL"),"_")))))</f>
        <v> </v>
      </c>
      <c r="H5729" s="25" t="str">
        <f>IF(J5729&lt;&gt;1,"",IF(I5729="SBJ","CB","?"))</f>
        <v> </v>
      </c>
      <c r="I5729" s="26" t="str">
        <f>IF(OR(E5729="",E5729="!!!",F5729="NEW"),"",INDEX(B5728:B$2,-1+SUMPRODUCT(MAX(ROW(E5728:E$2)*(E5729=E5728:E$2)))))</f>
        <v> </v>
      </c>
      <c r="J5729" s="26" t="str">
        <f>IF(OR(E5729="",E5729="!!!",F5729="NEW"),"",COUNTBLANK(OFFSET(A$1,,,SUMPRODUCT(MAX(ROW(E$2:E5729)*(E5729=E$2:E5729)))))-COUNTBLANK(OFFSET(A$1,,,SUMPRODUCT(MAX(ROW(E$1:E5728)*(E2=E$1:E5728))))))</f>
        <v> </v>
      </c>
      <c r="K5729" s="26" t="str">
        <f>IF(OR(E5729="",E5729="!!!",F5729="NEW"),"",INDEX(J$1:J5728,SUMPRODUCT(MAX(ROW(E$1:E5728)*(E5729=E$1:E5728)))))</f>
        <v> </v>
      </c>
      <c r="L5729" s="27"/>
    </row>
    <row r="5730" spans="1:12">
      <c r="A5730" s="20" t="s">
        <v>2545</v>
      </c>
      <c r="B5730" s="21" t="s">
        <v>1022</v>
      </c>
      <c r="C5730" s="21" t="s">
        <v>1017</v>
      </c>
      <c r="D5730" s="21" t="s">
        <v>1007</v>
      </c>
      <c r="E5730" s="22">
        <f>IF(D5730="?OLD","!!!","")</f>
        <v/>
      </c>
      <c r="F5730" s="23" t="str">
        <f>IF(OR(E5730="",E5730="!!!"),"",IF(NOT(ISNA(VLOOKUP(E5730,E$1:E5729,1,FALSE()))),"OLD",IF(AND(E5730&lt;&gt;"",E5730&lt;&gt;"!!!"),"NEW","")))</f>
        <v> </v>
      </c>
      <c r="G5730" s="24" t="str">
        <f>IF(OR(E5730="",E5730="!!!"),"",IF(OR(J5730=0,AND(J5730=1,K5730=1),AND(J5730=1,I5730="SBJ"),AND(J5730=1,I5730=0)),"?IN_FOCUS",IF(J5730&lt;=2,"?ACTIVATED",IF(J5730&lt;&gt;"","?FAMILIAR",IF(F5730="NEW",IF(ISNA(VLOOKUP(E5730,#REF!,1,FALSE())),"?TYPE_IDENTIFIABLE","?REFERENTIAL"),"_")))))</f>
        <v> </v>
      </c>
      <c r="H5730" s="25" t="str">
        <f>IF(J5730&lt;&gt;1,"",IF(I5730="SBJ","CB","?"))</f>
        <v> </v>
      </c>
      <c r="I5730" s="26" t="str">
        <f>IF(OR(E5730="",E5730="!!!",F5730="NEW"),"",INDEX(B5729:B$2,-1+SUMPRODUCT(MAX(ROW(E5729:E$2)*(E5730=E5729:E$2)))))</f>
        <v> </v>
      </c>
      <c r="J5730" s="26" t="str">
        <f>IF(OR(E5730="",E5730="!!!",F5730="NEW"),"",COUNTBLANK(OFFSET(A$1,,,SUMPRODUCT(MAX(ROW(E$2:E5730)*(E5730=E$2:E5730)))))-COUNTBLANK(OFFSET(A$1,,,SUMPRODUCT(MAX(ROW(E$1:E5729)*(E2=E$1:E5729))))))</f>
        <v> </v>
      </c>
      <c r="K5730" s="26" t="str">
        <f>IF(OR(E5730="",E5730="!!!",F5730="NEW"),"",INDEX(J$1:J5729,SUMPRODUCT(MAX(ROW(E$1:E5729)*(E5730=E$1:E5729)))))</f>
        <v> </v>
      </c>
      <c r="L5730" s="27"/>
    </row>
    <row r="5731" spans="1:12">
      <c r="A5731" s="20" t="s">
        <v>2308</v>
      </c>
      <c r="E5731" s="22">
        <f>IF(D5731="?OLD","!!!","")</f>
        <v/>
      </c>
      <c r="F5731" s="23" t="str">
        <f>IF(OR(E5731="",E5731="!!!"),"",IF(NOT(ISNA(VLOOKUP(E5731,E$1:E5730,1,FALSE()))),"OLD",IF(AND(E5731&lt;&gt;"",E5731&lt;&gt;"!!!"),"NEW","")))</f>
        <v> </v>
      </c>
      <c r="G5731" s="24" t="str">
        <f>IF(OR(E5731="",E5731="!!!"),"",IF(OR(J5731=0,AND(J5731=1,K5731=1),AND(J5731=1,I5731="SBJ"),AND(J5731=1,I5731=0)),"?IN_FOCUS",IF(J5731&lt;=2,"?ACTIVATED",IF(J5731&lt;&gt;"","?FAMILIAR",IF(F5731="NEW",IF(ISNA(VLOOKUP(E5731,#REF!,1,FALSE())),"?TYPE_IDENTIFIABLE","?REFERENTIAL"),"_")))))</f>
        <v> </v>
      </c>
      <c r="H5731" s="25" t="str">
        <f>IF(J5731&lt;&gt;1,"",IF(I5731="SBJ","CB","?"))</f>
        <v> </v>
      </c>
      <c r="I5731" s="26" t="str">
        <f>IF(OR(E5731="",E5731="!!!",F5731="NEW"),"",INDEX(B5730:B$2,-1+SUMPRODUCT(MAX(ROW(E5730:E$2)*(E5731=E5730:E$2)))))</f>
        <v> </v>
      </c>
      <c r="J5731" s="26" t="str">
        <f>IF(OR(E5731="",E5731="!!!",F5731="NEW"),"",COUNTBLANK(OFFSET(A$1,,,SUMPRODUCT(MAX(ROW(E$2:E5731)*(E5731=E$2:E5731)))))-COUNTBLANK(OFFSET(A$1,,,SUMPRODUCT(MAX(ROW(E$1:E5730)*(E2=E$1:E5730))))))</f>
        <v> </v>
      </c>
      <c r="K5731" s="26" t="str">
        <f>IF(OR(E5731="",E5731="!!!",F5731="NEW"),"",INDEX(J$1:J5730,SUMPRODUCT(MAX(ROW(E$1:E5730)*(E5731=E$1:E5730)))))</f>
        <v> </v>
      </c>
      <c r="L5731" s="27"/>
    </row>
    <row r="5732" spans="1:12">
      <c r="A5732" s="20" t="s">
        <v>1324</v>
      </c>
      <c r="E5732" s="22">
        <f>IF(D5732="?OLD","!!!","")</f>
        <v/>
      </c>
      <c r="F5732" s="23" t="str">
        <f>IF(OR(E5732="",E5732="!!!"),"",IF(NOT(ISNA(VLOOKUP(E5732,E$1:E5731,1,FALSE()))),"OLD",IF(AND(E5732&lt;&gt;"",E5732&lt;&gt;"!!!"),"NEW","")))</f>
        <v> </v>
      </c>
      <c r="G5732" s="24" t="str">
        <f>IF(OR(E5732="",E5732="!!!"),"",IF(OR(J5732=0,AND(J5732=1,K5732=1),AND(J5732=1,I5732="SBJ"),AND(J5732=1,I5732=0)),"?IN_FOCUS",IF(J5732&lt;=2,"?ACTIVATED",IF(J5732&lt;&gt;"","?FAMILIAR",IF(F5732="NEW",IF(ISNA(VLOOKUP(E5732,#REF!,1,FALSE())),"?TYPE_IDENTIFIABLE","?REFERENTIAL"),"_")))))</f>
        <v> </v>
      </c>
      <c r="H5732" s="25" t="str">
        <f>IF(J5732&lt;&gt;1,"",IF(I5732="SBJ","CB","?"))</f>
        <v> </v>
      </c>
      <c r="I5732" s="26" t="str">
        <f>IF(OR(E5732="",E5732="!!!",F5732="NEW"),"",INDEX(B5731:B$2,-1+SUMPRODUCT(MAX(ROW(E5731:E$2)*(E5732=E5731:E$2)))))</f>
        <v> </v>
      </c>
      <c r="J5732" s="26" t="str">
        <f>IF(OR(E5732="",E5732="!!!",F5732="NEW"),"",COUNTBLANK(OFFSET(A$1,,,SUMPRODUCT(MAX(ROW(E$2:E5732)*(E5732=E$2:E5732)))))-COUNTBLANK(OFFSET(A$1,,,SUMPRODUCT(MAX(ROW(E$1:E5731)*(E2=E$1:E5731))))))</f>
        <v> </v>
      </c>
      <c r="K5732" s="26" t="str">
        <f>IF(OR(E5732="",E5732="!!!",F5732="NEW"),"",INDEX(J$1:J5731,SUMPRODUCT(MAX(ROW(E$1:E5731)*(E5732=E$1:E5731)))))</f>
        <v> </v>
      </c>
      <c r="L5732" s="27"/>
    </row>
    <row r="5733" spans="1:12">
      <c r="A5733" s="20" t="s">
        <v>2546</v>
      </c>
      <c r="E5733" s="22">
        <f>IF(D5733="?OLD","!!!","")</f>
        <v/>
      </c>
      <c r="F5733" s="23" t="str">
        <f>IF(OR(E5733="",E5733="!!!"),"",IF(NOT(ISNA(VLOOKUP(E5733,E$1:E5732,1,FALSE()))),"OLD",IF(AND(E5733&lt;&gt;"",E5733&lt;&gt;"!!!"),"NEW","")))</f>
        <v> </v>
      </c>
      <c r="G5733" s="24" t="str">
        <f>IF(OR(E5733="",E5733="!!!"),"",IF(OR(J5733=0,AND(J5733=1,K5733=1),AND(J5733=1,I5733="SBJ"),AND(J5733=1,I5733=0)),"?IN_FOCUS",IF(J5733&lt;=2,"?ACTIVATED",IF(J5733&lt;&gt;"","?FAMILIAR",IF(F5733="NEW",IF(ISNA(VLOOKUP(E5733,#REF!,1,FALSE())),"?TYPE_IDENTIFIABLE","?REFERENTIAL"),"_")))))</f>
        <v> </v>
      </c>
      <c r="H5733" s="25" t="str">
        <f>IF(J5733&lt;&gt;1,"",IF(I5733="SBJ","CB","?"))</f>
        <v> </v>
      </c>
      <c r="I5733" s="26" t="str">
        <f>IF(OR(E5733="",E5733="!!!",F5733="NEW"),"",INDEX(B5732:B$2,-1+SUMPRODUCT(MAX(ROW(E5732:E$2)*(E5733=E5732:E$2)))))</f>
        <v> </v>
      </c>
      <c r="J5733" s="26" t="str">
        <f>IF(OR(E5733="",E5733="!!!",F5733="NEW"),"",COUNTBLANK(OFFSET(A$1,,,SUMPRODUCT(MAX(ROW(E$2:E5733)*(E5733=E$2:E5733)))))-COUNTBLANK(OFFSET(A$1,,,SUMPRODUCT(MAX(ROW(E$1:E5732)*(E2=E$1:E5732))))))</f>
        <v> </v>
      </c>
      <c r="K5733" s="26" t="str">
        <f>IF(OR(E5733="",E5733="!!!",F5733="NEW"),"",INDEX(J$1:J5732,SUMPRODUCT(MAX(ROW(E$1:E5732)*(E5733=E$1:E5732)))))</f>
        <v> </v>
      </c>
      <c r="L5733" s="27"/>
    </row>
    <row r="5734" spans="1:12">
      <c r="A5734" s="20" t="s">
        <v>2547</v>
      </c>
      <c r="B5734" s="21" t="s">
        <v>1085</v>
      </c>
      <c r="C5734" s="21" t="s">
        <v>1111</v>
      </c>
      <c r="E5734" s="22">
        <f>IF(D5734="?OLD","!!!","")</f>
        <v/>
      </c>
      <c r="F5734" s="23" t="str">
        <f>IF(OR(E5734="",E5734="!!!"),"",IF(NOT(ISNA(VLOOKUP(E5734,E$1:E5733,1,FALSE()))),"OLD",IF(AND(E5734&lt;&gt;"",E5734&lt;&gt;"!!!"),"NEW","")))</f>
        <v> </v>
      </c>
      <c r="G5734" s="24" t="str">
        <f>IF(OR(E5734="",E5734="!!!"),"",IF(OR(J5734=0,AND(J5734=1,K5734=1),AND(J5734=1,I5734="SBJ"),AND(J5734=1,I5734=0)),"?IN_FOCUS",IF(J5734&lt;=2,"?ACTIVATED",IF(J5734&lt;&gt;"","?FAMILIAR",IF(F5734="NEW",IF(ISNA(VLOOKUP(E5734,#REF!,1,FALSE())),"?TYPE_IDENTIFIABLE","?REFERENTIAL"),"_")))))</f>
        <v> </v>
      </c>
      <c r="H5734" s="25" t="str">
        <f>IF(J5734&lt;&gt;1,"",IF(I5734="SBJ","CB","?"))</f>
        <v> </v>
      </c>
      <c r="I5734" s="26" t="str">
        <f>IF(OR(E5734="",E5734="!!!",F5734="NEW"),"",INDEX(B5733:B$2,-1+SUMPRODUCT(MAX(ROW(E5733:E$2)*(E5734=E5733:E$2)))))</f>
        <v> </v>
      </c>
      <c r="J5734" s="26" t="str">
        <f>IF(OR(E5734="",E5734="!!!",F5734="NEW"),"",COUNTBLANK(OFFSET(A$1,,,SUMPRODUCT(MAX(ROW(E$2:E5734)*(E5734=E$2:E5734)))))-COUNTBLANK(OFFSET(A$1,,,SUMPRODUCT(MAX(ROW(E$1:E5733)*(E2=E$1:E5733))))))</f>
        <v> </v>
      </c>
      <c r="K5734" s="26" t="str">
        <f>IF(OR(E5734="",E5734="!!!",F5734="NEW"),"",INDEX(J$1:J5733,SUMPRODUCT(MAX(ROW(E$1:E5733)*(E5734=E$1:E5733)))))</f>
        <v> </v>
      </c>
      <c r="L5734" s="27"/>
    </row>
    <row r="5735" spans="1:12">
      <c r="A5735" s="20" t="s">
        <v>1036</v>
      </c>
      <c r="E5735" s="22">
        <f>IF(D5735="?OLD","!!!","")</f>
        <v/>
      </c>
      <c r="F5735" s="23" t="str">
        <f>IF(OR(E5735="",E5735="!!!"),"",IF(NOT(ISNA(VLOOKUP(E5735,E$1:E5734,1,FALSE()))),"OLD",IF(AND(E5735&lt;&gt;"",E5735&lt;&gt;"!!!"),"NEW","")))</f>
        <v> </v>
      </c>
      <c r="G5735" s="24" t="str">
        <f>IF(OR(E5735="",E5735="!!!"),"",IF(OR(J5735=0,AND(J5735=1,K5735=1),AND(J5735=1,I5735="SBJ"),AND(J5735=1,I5735=0)),"?IN_FOCUS",IF(J5735&lt;=2,"?ACTIVATED",IF(J5735&lt;&gt;"","?FAMILIAR",IF(F5735="NEW",IF(ISNA(VLOOKUP(E5735,#REF!,1,FALSE())),"?TYPE_IDENTIFIABLE","?REFERENTIAL"),"_")))))</f>
        <v> </v>
      </c>
      <c r="H5735" s="25" t="str">
        <f>IF(J5735&lt;&gt;1,"",IF(I5735="SBJ","CB","?"))</f>
        <v> </v>
      </c>
      <c r="I5735" s="26" t="str">
        <f>IF(OR(E5735="",E5735="!!!",F5735="NEW"),"",INDEX(B5734:B$2,-1+SUMPRODUCT(MAX(ROW(E5734:E$2)*(E5735=E5734:E$2)))))</f>
        <v> </v>
      </c>
      <c r="J5735" s="26" t="str">
        <f>IF(OR(E5735="",E5735="!!!",F5735="NEW"),"",COUNTBLANK(OFFSET(A$1,,,SUMPRODUCT(MAX(ROW(E$2:E5735)*(E5735=E$2:E5735)))))-COUNTBLANK(OFFSET(A$1,,,SUMPRODUCT(MAX(ROW(E$1:E5734)*(E2=E$1:E5734))))))</f>
        <v> </v>
      </c>
      <c r="K5735" s="26" t="str">
        <f>IF(OR(E5735="",E5735="!!!",F5735="NEW"),"",INDEX(J$1:J5734,SUMPRODUCT(MAX(ROW(E$1:E5734)*(E5735=E$1:E5734)))))</f>
        <v> </v>
      </c>
      <c r="L5735" s="27"/>
    </row>
    <row r="5736" spans="1:12">
      <c r="A5736" s="20" t="s">
        <v>2548</v>
      </c>
      <c r="B5736" s="21" t="s">
        <v>1005</v>
      </c>
      <c r="C5736" s="21" t="s">
        <v>1048</v>
      </c>
      <c r="E5736" s="22">
        <f>IF(D5736="?OLD","!!!","")</f>
        <v/>
      </c>
      <c r="F5736" s="23" t="str">
        <f>IF(OR(E5736="",E5736="!!!"),"",IF(NOT(ISNA(VLOOKUP(E5736,E$1:E5735,1,FALSE()))),"OLD",IF(AND(E5736&lt;&gt;"",E5736&lt;&gt;"!!!"),"NEW","")))</f>
        <v> </v>
      </c>
      <c r="G5736" s="24" t="str">
        <f>IF(OR(E5736="",E5736="!!!"),"",IF(OR(J5736=0,AND(J5736=1,K5736=1),AND(J5736=1,I5736="SBJ"),AND(J5736=1,I5736=0)),"?IN_FOCUS",IF(J5736&lt;=2,"?ACTIVATED",IF(J5736&lt;&gt;"","?FAMILIAR",IF(F5736="NEW",IF(ISNA(VLOOKUP(E5736,#REF!,1,FALSE())),"?TYPE_IDENTIFIABLE","?REFERENTIAL"),"_")))))</f>
        <v> </v>
      </c>
      <c r="H5736" s="25" t="str">
        <f>IF(J5736&lt;&gt;1,"",IF(I5736="SBJ","CB","?"))</f>
        <v> </v>
      </c>
      <c r="I5736" s="26" t="str">
        <f>IF(OR(E5736="",E5736="!!!",F5736="NEW"),"",INDEX(B5735:B$2,-1+SUMPRODUCT(MAX(ROW(E5735:E$2)*(E5736=E5735:E$2)))))</f>
        <v> </v>
      </c>
      <c r="J5736" s="26" t="str">
        <f>IF(OR(E5736="",E5736="!!!",F5736="NEW"),"",COUNTBLANK(OFFSET(A$1,,,SUMPRODUCT(MAX(ROW(E$2:E5736)*(E5736=E$2:E5736)))))-COUNTBLANK(OFFSET(A$1,,,SUMPRODUCT(MAX(ROW(E$1:E5735)*(E2=E$1:E5735))))))</f>
        <v> </v>
      </c>
      <c r="K5736" s="26" t="str">
        <f>IF(OR(E5736="",E5736="!!!",F5736="NEW"),"",INDEX(J$1:J5735,SUMPRODUCT(MAX(ROW(E$1:E5735)*(E5736=E$1:E5735)))))</f>
        <v> </v>
      </c>
      <c r="L5736" s="27"/>
    </row>
    <row r="5737" spans="1:12">
      <c r="A5737" s="20" t="s">
        <v>1023</v>
      </c>
      <c r="E5737" s="22">
        <f>IF(D5737="?OLD","!!!","")</f>
        <v/>
      </c>
      <c r="F5737" s="23" t="str">
        <f>IF(OR(E5737="",E5737="!!!"),"",IF(NOT(ISNA(VLOOKUP(E5737,E$1:E5736,1,FALSE()))),"OLD",IF(AND(E5737&lt;&gt;"",E5737&lt;&gt;"!!!"),"NEW","")))</f>
        <v> </v>
      </c>
      <c r="G5737" s="24" t="str">
        <f>IF(OR(E5737="",E5737="!!!"),"",IF(OR(J5737=0,AND(J5737=1,K5737=1),AND(J5737=1,I5737="SBJ"),AND(J5737=1,I5737=0)),"?IN_FOCUS",IF(J5737&lt;=2,"?ACTIVATED",IF(J5737&lt;&gt;"","?FAMILIAR",IF(F5737="NEW",IF(ISNA(VLOOKUP(E5737,#REF!,1,FALSE())),"?TYPE_IDENTIFIABLE","?REFERENTIAL"),"_")))))</f>
        <v> </v>
      </c>
      <c r="H5737" s="25" t="str">
        <f>IF(J5737&lt;&gt;1,"",IF(I5737="SBJ","CB","?"))</f>
        <v> </v>
      </c>
      <c r="I5737" s="26" t="str">
        <f>IF(OR(E5737="",E5737="!!!",F5737="NEW"),"",INDEX(B5736:B$2,-1+SUMPRODUCT(MAX(ROW(E5736:E$2)*(E5737=E5736:E$2)))))</f>
        <v> </v>
      </c>
      <c r="J5737" s="26" t="str">
        <f>IF(OR(E5737="",E5737="!!!",F5737="NEW"),"",COUNTBLANK(OFFSET(A$1,,,SUMPRODUCT(MAX(ROW(E$2:E5737)*(E5737=E$2:E5737)))))-COUNTBLANK(OFFSET(A$1,,,SUMPRODUCT(MAX(ROW(E$1:E5736)*(E2=E$1:E5736))))))</f>
        <v> </v>
      </c>
      <c r="K5737" s="26" t="str">
        <f>IF(OR(E5737="",E5737="!!!",F5737="NEW"),"",INDEX(J$1:J5736,SUMPRODUCT(MAX(ROW(E$1:E5736)*(E5737=E$1:E5736)))))</f>
        <v> </v>
      </c>
      <c r="L5737" s="27"/>
    </row>
    <row r="5738" spans="1:12">
      <c r="A5738" s="20"/>
    </row>
    <row r="5739" spans="1:12">
      <c r="A5739" s="20" t="s">
        <v>2549</v>
      </c>
    </row>
    <row r="5740" spans="1:12">
      <c r="A5740" s="20" t="s">
        <v>1118</v>
      </c>
      <c r="B5740" s="21" t="s">
        <v>1005</v>
      </c>
      <c r="C5740" s="21" t="s">
        <v>1048</v>
      </c>
      <c r="E5740" s="22">
        <f>IF(D5740="?OLD","!!!","")</f>
        <v/>
      </c>
      <c r="F5740" s="23" t="str">
        <f>IF(OR(E5740="",E5740="!!!"),"",IF(NOT(ISNA(VLOOKUP(E5740,E$1:E5739,1,FALSE()))),"OLD",IF(AND(E5740&lt;&gt;"",E5740&lt;&gt;"!!!"),"NEW","")))</f>
        <v> </v>
      </c>
      <c r="G5740" s="24" t="str">
        <f>IF(OR(E5740="",E5740="!!!"),"",IF(OR(J5740=0,AND(J5740=1,K5740=1),AND(J5740=1,I5740="SBJ"),AND(J5740=1,I5740=0)),"?IN_FOCUS",IF(J5740&lt;=2,"?ACTIVATED",IF(J5740&lt;&gt;"","?FAMILIAR",IF(F5740="NEW",IF(ISNA(VLOOKUP(E5740,#REF!,1,FALSE())),"?TYPE_IDENTIFIABLE","?REFERENTIAL"),"_")))))</f>
        <v> </v>
      </c>
      <c r="H5740" s="25" t="str">
        <f>IF(J5740&lt;&gt;1,"",IF(I5740="SBJ","CB","?"))</f>
        <v> </v>
      </c>
      <c r="I5740" s="26" t="str">
        <f>IF(OR(E5740="",E5740="!!!",F5740="NEW"),"",INDEX(B5739:B$2,-1+SUMPRODUCT(MAX(ROW(E5739:E$2)*(E5740=E5739:E$2)))))</f>
        <v> </v>
      </c>
      <c r="J5740" s="26" t="str">
        <f>IF(OR(E5740="",E5740="!!!",F5740="NEW"),"",COUNTBLANK(OFFSET(A$1,,,SUMPRODUCT(MAX(ROW(E$2:E5740)*(E5740=E$2:E5740)))))-COUNTBLANK(OFFSET(A$1,,,SUMPRODUCT(MAX(ROW(E$1:E5739)*(E2=E$1:E5739))))))</f>
        <v> </v>
      </c>
      <c r="K5740" s="26" t="str">
        <f>IF(OR(E5740="",E5740="!!!",F5740="NEW"),"",INDEX(J$1:J5739,SUMPRODUCT(MAX(ROW(E$1:E5739)*(E5740=E$1:E5739)))))</f>
        <v> </v>
      </c>
      <c r="L5740" s="27"/>
    </row>
    <row r="5741" spans="1:12">
      <c r="A5741" s="20" t="s">
        <v>1009</v>
      </c>
      <c r="E5741" s="22">
        <f>IF(D5741="?OLD","!!!","")</f>
        <v/>
      </c>
      <c r="F5741" s="23" t="str">
        <f>IF(OR(E5741="",E5741="!!!"),"",IF(NOT(ISNA(VLOOKUP(E5741,E$1:E5740,1,FALSE()))),"OLD",IF(AND(E5741&lt;&gt;"",E5741&lt;&gt;"!!!"),"NEW","")))</f>
        <v> </v>
      </c>
      <c r="G5741" s="24" t="str">
        <f>IF(OR(E5741="",E5741="!!!"),"",IF(OR(J5741=0,AND(J5741=1,K5741=1),AND(J5741=1,I5741="SBJ"),AND(J5741=1,I5741=0)),"?IN_FOCUS",IF(J5741&lt;=2,"?ACTIVATED",IF(J5741&lt;&gt;"","?FAMILIAR",IF(F5741="NEW",IF(ISNA(VLOOKUP(E5741,#REF!,1,FALSE())),"?TYPE_IDENTIFIABLE","?REFERENTIAL"),"_")))))</f>
        <v> </v>
      </c>
      <c r="H5741" s="25" t="str">
        <f>IF(J5741&lt;&gt;1,"",IF(I5741="SBJ","CB","?"))</f>
        <v> </v>
      </c>
      <c r="I5741" s="26" t="str">
        <f>IF(OR(E5741="",E5741="!!!",F5741="NEW"),"",INDEX(B5740:B$2,-1+SUMPRODUCT(MAX(ROW(E5740:E$2)*(E5741=E5740:E$2)))))</f>
        <v> </v>
      </c>
      <c r="J5741" s="26" t="str">
        <f>IF(OR(E5741="",E5741="!!!",F5741="NEW"),"",COUNTBLANK(OFFSET(A$1,,,SUMPRODUCT(MAX(ROW(E$2:E5741)*(E5741=E$2:E5741)))))-COUNTBLANK(OFFSET(A$1,,,SUMPRODUCT(MAX(ROW(E$1:E5740)*(E2=E$1:E5740))))))</f>
        <v> </v>
      </c>
      <c r="K5741" s="26" t="str">
        <f>IF(OR(E5741="",E5741="!!!",F5741="NEW"),"",INDEX(J$1:J5740,SUMPRODUCT(MAX(ROW(E$1:E5740)*(E5741=E$1:E5740)))))</f>
        <v> </v>
      </c>
      <c r="L5741" s="27"/>
    </row>
    <row r="5742" spans="1:12">
      <c r="A5742" s="20" t="s">
        <v>1449</v>
      </c>
      <c r="E5742" s="22">
        <f>IF(D5742="?OLD","!!!","")</f>
        <v/>
      </c>
      <c r="F5742" s="23" t="str">
        <f>IF(OR(E5742="",E5742="!!!"),"",IF(NOT(ISNA(VLOOKUP(E5742,E$1:E5741,1,FALSE()))),"OLD",IF(AND(E5742&lt;&gt;"",E5742&lt;&gt;"!!!"),"NEW","")))</f>
        <v> </v>
      </c>
      <c r="G5742" s="24" t="str">
        <f>IF(OR(E5742="",E5742="!!!"),"",IF(OR(J5742=0,AND(J5742=1,K5742=1),AND(J5742=1,I5742="SBJ"),AND(J5742=1,I5742=0)),"?IN_FOCUS",IF(J5742&lt;=2,"?ACTIVATED",IF(J5742&lt;&gt;"","?FAMILIAR",IF(F5742="NEW",IF(ISNA(VLOOKUP(E5742,#REF!,1,FALSE())),"?TYPE_IDENTIFIABLE","?REFERENTIAL"),"_")))))</f>
        <v> </v>
      </c>
      <c r="H5742" s="25" t="str">
        <f>IF(J5742&lt;&gt;1,"",IF(I5742="SBJ","CB","?"))</f>
        <v> </v>
      </c>
      <c r="I5742" s="26" t="str">
        <f>IF(OR(E5742="",E5742="!!!",F5742="NEW"),"",INDEX(B5741:B$2,-1+SUMPRODUCT(MAX(ROW(E5741:E$2)*(E5742=E5741:E$2)))))</f>
        <v> </v>
      </c>
      <c r="J5742" s="26" t="str">
        <f>IF(OR(E5742="",E5742="!!!",F5742="NEW"),"",COUNTBLANK(OFFSET(A$1,,,SUMPRODUCT(MAX(ROW(E$2:E5742)*(E5742=E$2:E5742)))))-COUNTBLANK(OFFSET(A$1,,,SUMPRODUCT(MAX(ROW(E$1:E5741)*(E2=E$1:E5741))))))</f>
        <v> </v>
      </c>
      <c r="K5742" s="26" t="str">
        <f>IF(OR(E5742="",E5742="!!!",F5742="NEW"),"",INDEX(J$1:J5741,SUMPRODUCT(MAX(ROW(E$1:E5741)*(E5742=E$1:E5741)))))</f>
        <v> </v>
      </c>
      <c r="L5742" s="27"/>
    </row>
    <row r="5743" spans="1:12">
      <c r="A5743" s="20" t="s">
        <v>1056</v>
      </c>
      <c r="E5743" s="22">
        <f>IF(D5743="?OLD","!!!","")</f>
        <v/>
      </c>
      <c r="F5743" s="23" t="str">
        <f>IF(OR(E5743="",E5743="!!!"),"",IF(NOT(ISNA(VLOOKUP(E5743,E$1:E5742,1,FALSE()))),"OLD",IF(AND(E5743&lt;&gt;"",E5743&lt;&gt;"!!!"),"NEW","")))</f>
        <v> </v>
      </c>
      <c r="G5743" s="24" t="str">
        <f>IF(OR(E5743="",E5743="!!!"),"",IF(OR(J5743=0,AND(J5743=1,K5743=1),AND(J5743=1,I5743="SBJ"),AND(J5743=1,I5743=0)),"?IN_FOCUS",IF(J5743&lt;=2,"?ACTIVATED",IF(J5743&lt;&gt;"","?FAMILIAR",IF(F5743="NEW",IF(ISNA(VLOOKUP(E5743,#REF!,1,FALSE())),"?TYPE_IDENTIFIABLE","?REFERENTIAL"),"_")))))</f>
        <v> </v>
      </c>
      <c r="H5743" s="25" t="str">
        <f>IF(J5743&lt;&gt;1,"",IF(I5743="SBJ","CB","?"))</f>
        <v> </v>
      </c>
      <c r="I5743" s="26" t="str">
        <f>IF(OR(E5743="",E5743="!!!",F5743="NEW"),"",INDEX(B5742:B$2,-1+SUMPRODUCT(MAX(ROW(E5742:E$2)*(E5743=E5742:E$2)))))</f>
        <v> </v>
      </c>
      <c r="J5743" s="26" t="str">
        <f>IF(OR(E5743="",E5743="!!!",F5743="NEW"),"",COUNTBLANK(OFFSET(A$1,,,SUMPRODUCT(MAX(ROW(E$2:E5743)*(E5743=E$2:E5743)))))-COUNTBLANK(OFFSET(A$1,,,SUMPRODUCT(MAX(ROW(E$1:E5742)*(E2=E$1:E5742))))))</f>
        <v> </v>
      </c>
      <c r="K5743" s="26" t="str">
        <f>IF(OR(E5743="",E5743="!!!",F5743="NEW"),"",INDEX(J$1:J5742,SUMPRODUCT(MAX(ROW(E$1:E5742)*(E5743=E$1:E5742)))))</f>
        <v> </v>
      </c>
      <c r="L5743" s="27"/>
    </row>
    <row r="5744" spans="1:12">
      <c r="A5744" s="20" t="s">
        <v>2457</v>
      </c>
      <c r="E5744" s="22">
        <f>IF(D5744="?OLD","!!!","")</f>
        <v/>
      </c>
      <c r="F5744" s="23" t="str">
        <f>IF(OR(E5744="",E5744="!!!"),"",IF(NOT(ISNA(VLOOKUP(E5744,E$1:E5743,1,FALSE()))),"OLD",IF(AND(E5744&lt;&gt;"",E5744&lt;&gt;"!!!"),"NEW","")))</f>
        <v> </v>
      </c>
      <c r="G5744" s="24" t="str">
        <f>IF(OR(E5744="",E5744="!!!"),"",IF(OR(J5744=0,AND(J5744=1,K5744=1),AND(J5744=1,I5744="SBJ"),AND(J5744=1,I5744=0)),"?IN_FOCUS",IF(J5744&lt;=2,"?ACTIVATED",IF(J5744&lt;&gt;"","?FAMILIAR",IF(F5744="NEW",IF(ISNA(VLOOKUP(E5744,#REF!,1,FALSE())),"?TYPE_IDENTIFIABLE","?REFERENTIAL"),"_")))))</f>
        <v> </v>
      </c>
      <c r="H5744" s="25" t="str">
        <f>IF(J5744&lt;&gt;1,"",IF(I5744="SBJ","CB","?"))</f>
        <v> </v>
      </c>
      <c r="I5744" s="26" t="str">
        <f>IF(OR(E5744="",E5744="!!!",F5744="NEW"),"",INDEX(B5743:B$2,-1+SUMPRODUCT(MAX(ROW(E5743:E$2)*(E5744=E5743:E$2)))))</f>
        <v> </v>
      </c>
      <c r="J5744" s="26" t="str">
        <f>IF(OR(E5744="",E5744="!!!",F5744="NEW"),"",COUNTBLANK(OFFSET(A$1,,,SUMPRODUCT(MAX(ROW(E$2:E5744)*(E5744=E$2:E5744)))))-COUNTBLANK(OFFSET(A$1,,,SUMPRODUCT(MAX(ROW(E$1:E5743)*(E2=E$1:E5743))))))</f>
        <v> </v>
      </c>
      <c r="K5744" s="26" t="str">
        <f>IF(OR(E5744="",E5744="!!!",F5744="NEW"),"",INDEX(J$1:J5743,SUMPRODUCT(MAX(ROW(E$1:E5743)*(E5744=E$1:E5743)))))</f>
        <v> </v>
      </c>
      <c r="L5744" s="27"/>
    </row>
    <row r="5745" spans="1:12">
      <c r="A5745" s="20" t="s">
        <v>2550</v>
      </c>
      <c r="E5745" s="22">
        <f>IF(D5745="?OLD","!!!","")</f>
        <v/>
      </c>
      <c r="F5745" s="23" t="str">
        <f>IF(OR(E5745="",E5745="!!!"),"",IF(NOT(ISNA(VLOOKUP(E5745,E$1:E5744,1,FALSE()))),"OLD",IF(AND(E5745&lt;&gt;"",E5745&lt;&gt;"!!!"),"NEW","")))</f>
        <v> </v>
      </c>
      <c r="G5745" s="24" t="str">
        <f>IF(OR(E5745="",E5745="!!!"),"",IF(OR(J5745=0,AND(J5745=1,K5745=1),AND(J5745=1,I5745="SBJ"),AND(J5745=1,I5745=0)),"?IN_FOCUS",IF(J5745&lt;=2,"?ACTIVATED",IF(J5745&lt;&gt;"","?FAMILIAR",IF(F5745="NEW",IF(ISNA(VLOOKUP(E5745,#REF!,1,FALSE())),"?TYPE_IDENTIFIABLE","?REFERENTIAL"),"_")))))</f>
        <v> </v>
      </c>
      <c r="H5745" s="25" t="str">
        <f>IF(J5745&lt;&gt;1,"",IF(I5745="SBJ","CB","?"))</f>
        <v> </v>
      </c>
      <c r="I5745" s="26" t="str">
        <f>IF(OR(E5745="",E5745="!!!",F5745="NEW"),"",INDEX(B5744:B$2,-1+SUMPRODUCT(MAX(ROW(E5744:E$2)*(E5745=E5744:E$2)))))</f>
        <v> </v>
      </c>
      <c r="J5745" s="26" t="str">
        <f>IF(OR(E5745="",E5745="!!!",F5745="NEW"),"",COUNTBLANK(OFFSET(A$1,,,SUMPRODUCT(MAX(ROW(E$2:E5745)*(E5745=E$2:E5745)))))-COUNTBLANK(OFFSET(A$1,,,SUMPRODUCT(MAX(ROW(E$1:E5744)*(E2=E$1:E5744))))))</f>
        <v> </v>
      </c>
      <c r="K5745" s="26" t="str">
        <f>IF(OR(E5745="",E5745="!!!",F5745="NEW"),"",INDEX(J$1:J5744,SUMPRODUCT(MAX(ROW(E$1:E5744)*(E5745=E$1:E5744)))))</f>
        <v> </v>
      </c>
      <c r="L5745" s="27"/>
    </row>
    <row r="5746" spans="1:12">
      <c r="A5746" s="20" t="s">
        <v>1182</v>
      </c>
      <c r="E5746" s="22">
        <f>IF(D5746="?OLD","!!!","")</f>
        <v/>
      </c>
      <c r="F5746" s="23" t="str">
        <f>IF(OR(E5746="",E5746="!!!"),"",IF(NOT(ISNA(VLOOKUP(E5746,E$1:E5745,1,FALSE()))),"OLD",IF(AND(E5746&lt;&gt;"",E5746&lt;&gt;"!!!"),"NEW","")))</f>
        <v> </v>
      </c>
      <c r="G5746" s="24" t="str">
        <f>IF(OR(E5746="",E5746="!!!"),"",IF(OR(J5746=0,AND(J5746=1,K5746=1),AND(J5746=1,I5746="SBJ"),AND(J5746=1,I5746=0)),"?IN_FOCUS",IF(J5746&lt;=2,"?ACTIVATED",IF(J5746&lt;&gt;"","?FAMILIAR",IF(F5746="NEW",IF(ISNA(VLOOKUP(E5746,#REF!,1,FALSE())),"?TYPE_IDENTIFIABLE","?REFERENTIAL"),"_")))))</f>
        <v> </v>
      </c>
      <c r="H5746" s="25" t="str">
        <f>IF(J5746&lt;&gt;1,"",IF(I5746="SBJ","CB","?"))</f>
        <v> </v>
      </c>
      <c r="I5746" s="26" t="str">
        <f>IF(OR(E5746="",E5746="!!!",F5746="NEW"),"",INDEX(B5745:B$2,-1+SUMPRODUCT(MAX(ROW(E5745:E$2)*(E5746=E5745:E$2)))))</f>
        <v> </v>
      </c>
      <c r="J5746" s="26" t="str">
        <f>IF(OR(E5746="",E5746="!!!",F5746="NEW"),"",COUNTBLANK(OFFSET(A$1,,,SUMPRODUCT(MAX(ROW(E$2:E5746)*(E5746=E$2:E5746)))))-COUNTBLANK(OFFSET(A$1,,,SUMPRODUCT(MAX(ROW(E$1:E5745)*(E2=E$1:E5745))))))</f>
        <v> </v>
      </c>
      <c r="K5746" s="26" t="str">
        <f>IF(OR(E5746="",E5746="!!!",F5746="NEW"),"",INDEX(J$1:J5745,SUMPRODUCT(MAX(ROW(E$1:E5745)*(E5746=E$1:E5745)))))</f>
        <v> </v>
      </c>
      <c r="L5746" s="27"/>
    </row>
    <row r="5747" spans="1:12">
      <c r="A5747" s="20" t="s">
        <v>1020</v>
      </c>
      <c r="E5747" s="22">
        <f>IF(D5747="?OLD","!!!","")</f>
        <v/>
      </c>
      <c r="F5747" s="23" t="str">
        <f>IF(OR(E5747="",E5747="!!!"),"",IF(NOT(ISNA(VLOOKUP(E5747,E$1:E5746,1,FALSE()))),"OLD",IF(AND(E5747&lt;&gt;"",E5747&lt;&gt;"!!!"),"NEW","")))</f>
        <v> </v>
      </c>
      <c r="G5747" s="24" t="str">
        <f>IF(OR(E5747="",E5747="!!!"),"",IF(OR(J5747=0,AND(J5747=1,K5747=1),AND(J5747=1,I5747="SBJ"),AND(J5747=1,I5747=0)),"?IN_FOCUS",IF(J5747&lt;=2,"?ACTIVATED",IF(J5747&lt;&gt;"","?FAMILIAR",IF(F5747="NEW",IF(ISNA(VLOOKUP(E5747,#REF!,1,FALSE())),"?TYPE_IDENTIFIABLE","?REFERENTIAL"),"_")))))</f>
        <v> </v>
      </c>
      <c r="H5747" s="25" t="str">
        <f>IF(J5747&lt;&gt;1,"",IF(I5747="SBJ","CB","?"))</f>
        <v> </v>
      </c>
      <c r="I5747" s="26" t="str">
        <f>IF(OR(E5747="",E5747="!!!",F5747="NEW"),"",INDEX(B5746:B$2,-1+SUMPRODUCT(MAX(ROW(E5746:E$2)*(E5747=E5746:E$2)))))</f>
        <v> </v>
      </c>
      <c r="J5747" s="26" t="str">
        <f>IF(OR(E5747="",E5747="!!!",F5747="NEW"),"",COUNTBLANK(OFFSET(A$1,,,SUMPRODUCT(MAX(ROW(E$2:E5747)*(E5747=E$2:E5747)))))-COUNTBLANK(OFFSET(A$1,,,SUMPRODUCT(MAX(ROW(E$1:E5746)*(E2=E$1:E5746))))))</f>
        <v> </v>
      </c>
      <c r="K5747" s="26" t="str">
        <f>IF(OR(E5747="",E5747="!!!",F5747="NEW"),"",INDEX(J$1:J5746,SUMPRODUCT(MAX(ROW(E$1:E5746)*(E5747=E$1:E5746)))))</f>
        <v> </v>
      </c>
      <c r="L5747" s="27"/>
    </row>
    <row r="5748" spans="1:12">
      <c r="A5748" s="20" t="s">
        <v>1211</v>
      </c>
      <c r="B5748" s="21" t="s">
        <v>1022</v>
      </c>
      <c r="C5748" s="21" t="s">
        <v>1006</v>
      </c>
      <c r="D5748" s="21" t="s">
        <v>1007</v>
      </c>
      <c r="E5748" s="22">
        <f>IF(D5748="?OLD","!!!","")</f>
        <v/>
      </c>
      <c r="F5748" s="23" t="str">
        <f>IF(OR(E5748="",E5748="!!!"),"",IF(NOT(ISNA(VLOOKUP(E5748,E$1:E5747,1,FALSE()))),"OLD",IF(AND(E5748&lt;&gt;"",E5748&lt;&gt;"!!!"),"NEW","")))</f>
        <v> </v>
      </c>
      <c r="G5748" s="24" t="str">
        <f>IF(OR(E5748="",E5748="!!!"),"",IF(OR(J5748=0,AND(J5748=1,K5748=1),AND(J5748=1,I5748="SBJ"),AND(J5748=1,I5748=0)),"?IN_FOCUS",IF(J5748&lt;=2,"?ACTIVATED",IF(J5748&lt;&gt;"","?FAMILIAR",IF(F5748="NEW",IF(ISNA(VLOOKUP(E5748,#REF!,1,FALSE())),"?TYPE_IDENTIFIABLE","?REFERENTIAL"),"_")))))</f>
        <v> </v>
      </c>
      <c r="H5748" s="25" t="str">
        <f>IF(J5748&lt;&gt;1,"",IF(I5748="SBJ","CB","?"))</f>
        <v> </v>
      </c>
      <c r="I5748" s="26" t="str">
        <f>IF(OR(E5748="",E5748="!!!",F5748="NEW"),"",INDEX(B5747:B$2,-1+SUMPRODUCT(MAX(ROW(E5747:E$2)*(E5748=E5747:E$2)))))</f>
        <v> </v>
      </c>
      <c r="J5748" s="26" t="str">
        <f>IF(OR(E5748="",E5748="!!!",F5748="NEW"),"",COUNTBLANK(OFFSET(A$1,,,SUMPRODUCT(MAX(ROW(E$2:E5748)*(E5748=E$2:E5748)))))-COUNTBLANK(OFFSET(A$1,,,SUMPRODUCT(MAX(ROW(E$1:E5747)*(E2=E$1:E5747))))))</f>
        <v> </v>
      </c>
      <c r="K5748" s="26" t="str">
        <f>IF(OR(E5748="",E5748="!!!",F5748="NEW"),"",INDEX(J$1:J5747,SUMPRODUCT(MAX(ROW(E$1:E5747)*(E5748=E$1:E5747)))))</f>
        <v> </v>
      </c>
      <c r="L5748" s="27"/>
    </row>
    <row r="5749" spans="1:12">
      <c r="A5749" s="20" t="s">
        <v>1023</v>
      </c>
      <c r="E5749" s="22">
        <f>IF(D5749="?OLD","!!!","")</f>
        <v/>
      </c>
      <c r="F5749" s="23" t="str">
        <f>IF(OR(E5749="",E5749="!!!"),"",IF(NOT(ISNA(VLOOKUP(E5749,E$1:E5748,1,FALSE()))),"OLD",IF(AND(E5749&lt;&gt;"",E5749&lt;&gt;"!!!"),"NEW","")))</f>
        <v> </v>
      </c>
      <c r="G5749" s="24" t="str">
        <f>IF(OR(E5749="",E5749="!!!"),"",IF(OR(J5749=0,AND(J5749=1,K5749=1),AND(J5749=1,I5749="SBJ"),AND(J5749=1,I5749=0)),"?IN_FOCUS",IF(J5749&lt;=2,"?ACTIVATED",IF(J5749&lt;&gt;"","?FAMILIAR",IF(F5749="NEW",IF(ISNA(VLOOKUP(E5749,#REF!,1,FALSE())),"?TYPE_IDENTIFIABLE","?REFERENTIAL"),"_")))))</f>
        <v> </v>
      </c>
      <c r="H5749" s="25" t="str">
        <f>IF(J5749&lt;&gt;1,"",IF(I5749="SBJ","CB","?"))</f>
        <v> </v>
      </c>
      <c r="I5749" s="26" t="str">
        <f>IF(OR(E5749="",E5749="!!!",F5749="NEW"),"",INDEX(B5748:B$2,-1+SUMPRODUCT(MAX(ROW(E5748:E$2)*(E5749=E5748:E$2)))))</f>
        <v> </v>
      </c>
      <c r="J5749" s="26" t="str">
        <f>IF(OR(E5749="",E5749="!!!",F5749="NEW"),"",COUNTBLANK(OFFSET(A$1,,,SUMPRODUCT(MAX(ROW(E$2:E5749)*(E5749=E$2:E5749)))))-COUNTBLANK(OFFSET(A$1,,,SUMPRODUCT(MAX(ROW(E$1:E5748)*(E2=E$1:E5748))))))</f>
        <v> </v>
      </c>
      <c r="K5749" s="26" t="str">
        <f>IF(OR(E5749="",E5749="!!!",F5749="NEW"),"",INDEX(J$1:J5748,SUMPRODUCT(MAX(ROW(E$1:E5748)*(E5749=E$1:E5748)))))</f>
        <v> </v>
      </c>
      <c r="L5749" s="27"/>
    </row>
    <row r="5750" spans="1:12">
      <c r="A5750" s="20"/>
    </row>
    <row r="5751" spans="1:12">
      <c r="A5751" s="20" t="s">
        <v>2551</v>
      </c>
    </row>
    <row r="5752" spans="1:12">
      <c r="A5752" s="20" t="s">
        <v>2534</v>
      </c>
      <c r="E5752" s="22">
        <f>IF(D5752="?OLD","!!!","")</f>
        <v/>
      </c>
      <c r="F5752" s="23" t="str">
        <f>IF(OR(E5752="",E5752="!!!"),"",IF(NOT(ISNA(VLOOKUP(E5752,E$1:E5751,1,FALSE()))),"OLD",IF(AND(E5752&lt;&gt;"",E5752&lt;&gt;"!!!"),"NEW","")))</f>
        <v> </v>
      </c>
      <c r="G5752" s="24" t="str">
        <f>IF(OR(E5752="",E5752="!!!"),"",IF(OR(J5752=0,AND(J5752=1,K5752=1),AND(J5752=1,I5752="SBJ"),AND(J5752=1,I5752=0)),"?IN_FOCUS",IF(J5752&lt;=2,"?ACTIVATED",IF(J5752&lt;&gt;"","?FAMILIAR",IF(F5752="NEW",IF(ISNA(VLOOKUP(E5752,#REF!,1,FALSE())),"?TYPE_IDENTIFIABLE","?REFERENTIAL"),"_")))))</f>
        <v> </v>
      </c>
      <c r="H5752" s="25" t="str">
        <f>IF(J5752&lt;&gt;1,"",IF(I5752="SBJ","CB","?"))</f>
        <v> </v>
      </c>
      <c r="I5752" s="26" t="str">
        <f>IF(OR(E5752="",E5752="!!!",F5752="NEW"),"",INDEX(B5751:B$2,-1+SUMPRODUCT(MAX(ROW(E5751:E$2)*(E5752=E5751:E$2)))))</f>
        <v> </v>
      </c>
      <c r="J5752" s="26" t="str">
        <f>IF(OR(E5752="",E5752="!!!",F5752="NEW"),"",COUNTBLANK(OFFSET(A$1,,,SUMPRODUCT(MAX(ROW(E$2:E5752)*(E5752=E$2:E5752)))))-COUNTBLANK(OFFSET(A$1,,,SUMPRODUCT(MAX(ROW(E$1:E5751)*(E2=E$1:E5751))))))</f>
        <v> </v>
      </c>
      <c r="K5752" s="26" t="str">
        <f>IF(OR(E5752="",E5752="!!!",F5752="NEW"),"",INDEX(J$1:J5751,SUMPRODUCT(MAX(ROW(E$1:E5751)*(E5752=E$1:E5751)))))</f>
        <v> </v>
      </c>
      <c r="L5752" s="27"/>
    </row>
    <row r="5753" spans="1:12">
      <c r="A5753" s="20" t="s">
        <v>1009</v>
      </c>
      <c r="E5753" s="22">
        <f>IF(D5753="?OLD","!!!","")</f>
        <v/>
      </c>
      <c r="F5753" s="23" t="str">
        <f>IF(OR(E5753="",E5753="!!!"),"",IF(NOT(ISNA(VLOOKUP(E5753,E$1:E5752,1,FALSE()))),"OLD",IF(AND(E5753&lt;&gt;"",E5753&lt;&gt;"!!!"),"NEW","")))</f>
        <v> </v>
      </c>
      <c r="G5753" s="24" t="str">
        <f>IF(OR(E5753="",E5753="!!!"),"",IF(OR(J5753=0,AND(J5753=1,K5753=1),AND(J5753=1,I5753="SBJ"),AND(J5753=1,I5753=0)),"?IN_FOCUS",IF(J5753&lt;=2,"?ACTIVATED",IF(J5753&lt;&gt;"","?FAMILIAR",IF(F5753="NEW",IF(ISNA(VLOOKUP(E5753,#REF!,1,FALSE())),"?TYPE_IDENTIFIABLE","?REFERENTIAL"),"_")))))</f>
        <v> </v>
      </c>
      <c r="H5753" s="25" t="str">
        <f>IF(J5753&lt;&gt;1,"",IF(I5753="SBJ","CB","?"))</f>
        <v> </v>
      </c>
      <c r="I5753" s="26" t="str">
        <f>IF(OR(E5753="",E5753="!!!",F5753="NEW"),"",INDEX(B5752:B$2,-1+SUMPRODUCT(MAX(ROW(E5752:E$2)*(E5753=E5752:E$2)))))</f>
        <v> </v>
      </c>
      <c r="J5753" s="26" t="str">
        <f>IF(OR(E5753="",E5753="!!!",F5753="NEW"),"",COUNTBLANK(OFFSET(A$1,,,SUMPRODUCT(MAX(ROW(E$2:E5753)*(E5753=E$2:E5753)))))-COUNTBLANK(OFFSET(A$1,,,SUMPRODUCT(MAX(ROW(E$1:E5752)*(E2=E$1:E5752))))))</f>
        <v> </v>
      </c>
      <c r="K5753" s="26" t="str">
        <f>IF(OR(E5753="",E5753="!!!",F5753="NEW"),"",INDEX(J$1:J5752,SUMPRODUCT(MAX(ROW(E$1:E5752)*(E5753=E$1:E5752)))))</f>
        <v> </v>
      </c>
      <c r="L5753" s="27"/>
    </row>
    <row r="5754" spans="1:12">
      <c r="A5754" s="20" t="s">
        <v>1400</v>
      </c>
      <c r="E5754" s="22">
        <f>IF(D5754="?OLD","!!!","")</f>
        <v/>
      </c>
      <c r="F5754" s="23" t="str">
        <f>IF(OR(E5754="",E5754="!!!"),"",IF(NOT(ISNA(VLOOKUP(E5754,E$1:E5753,1,FALSE()))),"OLD",IF(AND(E5754&lt;&gt;"",E5754&lt;&gt;"!!!"),"NEW","")))</f>
        <v> </v>
      </c>
      <c r="G5754" s="24" t="str">
        <f>IF(OR(E5754="",E5754="!!!"),"",IF(OR(J5754=0,AND(J5754=1,K5754=1),AND(J5754=1,I5754="SBJ"),AND(J5754=1,I5754=0)),"?IN_FOCUS",IF(J5754&lt;=2,"?ACTIVATED",IF(J5754&lt;&gt;"","?FAMILIAR",IF(F5754="NEW",IF(ISNA(VLOOKUP(E5754,#REF!,1,FALSE())),"?TYPE_IDENTIFIABLE","?REFERENTIAL"),"_")))))</f>
        <v> </v>
      </c>
      <c r="H5754" s="25" t="str">
        <f>IF(J5754&lt;&gt;1,"",IF(I5754="SBJ","CB","?"))</f>
        <v> </v>
      </c>
      <c r="I5754" s="26" t="str">
        <f>IF(OR(E5754="",E5754="!!!",F5754="NEW"),"",INDEX(B5753:B$2,-1+SUMPRODUCT(MAX(ROW(E5753:E$2)*(E5754=E5753:E$2)))))</f>
        <v> </v>
      </c>
      <c r="J5754" s="26" t="str">
        <f>IF(OR(E5754="",E5754="!!!",F5754="NEW"),"",COUNTBLANK(OFFSET(A$1,,,SUMPRODUCT(MAX(ROW(E$2:E5754)*(E5754=E$2:E5754)))))-COUNTBLANK(OFFSET(A$1,,,SUMPRODUCT(MAX(ROW(E$1:E5753)*(E2=E$1:E5753))))))</f>
        <v> </v>
      </c>
      <c r="K5754" s="26" t="str">
        <f>IF(OR(E5754="",E5754="!!!",F5754="NEW"),"",INDEX(J$1:J5753,SUMPRODUCT(MAX(ROW(E$1:E5753)*(E5754=E$1:E5753)))))</f>
        <v> </v>
      </c>
      <c r="L5754" s="27"/>
    </row>
    <row r="5755" spans="1:12">
      <c r="A5755" s="20" t="s">
        <v>102</v>
      </c>
      <c r="E5755" s="22">
        <f>IF(D5755="?OLD","!!!","")</f>
        <v/>
      </c>
      <c r="F5755" s="23" t="str">
        <f>IF(OR(E5755="",E5755="!!!"),"",IF(NOT(ISNA(VLOOKUP(E5755,E$1:E5754,1,FALSE()))),"OLD",IF(AND(E5755&lt;&gt;"",E5755&lt;&gt;"!!!"),"NEW","")))</f>
        <v> </v>
      </c>
      <c r="G5755" s="24" t="str">
        <f>IF(OR(E5755="",E5755="!!!"),"",IF(OR(J5755=0,AND(J5755=1,K5755=1),AND(J5755=1,I5755="SBJ"),AND(J5755=1,I5755=0)),"?IN_FOCUS",IF(J5755&lt;=2,"?ACTIVATED",IF(J5755&lt;&gt;"","?FAMILIAR",IF(F5755="NEW",IF(ISNA(VLOOKUP(E5755,#REF!,1,FALSE())),"?TYPE_IDENTIFIABLE","?REFERENTIAL"),"_")))))</f>
        <v> </v>
      </c>
      <c r="H5755" s="25" t="str">
        <f>IF(J5755&lt;&gt;1,"",IF(I5755="SBJ","CB","?"))</f>
        <v> </v>
      </c>
      <c r="I5755" s="26" t="str">
        <f>IF(OR(E5755="",E5755="!!!",F5755="NEW"),"",INDEX(B5754:B$2,-1+SUMPRODUCT(MAX(ROW(E5754:E$2)*(E5755=E5754:E$2)))))</f>
        <v> </v>
      </c>
      <c r="J5755" s="26" t="str">
        <f>IF(OR(E5755="",E5755="!!!",F5755="NEW"),"",COUNTBLANK(OFFSET(A$1,,,SUMPRODUCT(MAX(ROW(E$2:E5755)*(E5755=E$2:E5755)))))-COUNTBLANK(OFFSET(A$1,,,SUMPRODUCT(MAX(ROW(E$1:E5754)*(E2=E$1:E5754))))))</f>
        <v> </v>
      </c>
      <c r="K5755" s="26" t="str">
        <f>IF(OR(E5755="",E5755="!!!",F5755="NEW"),"",INDEX(J$1:J5754,SUMPRODUCT(MAX(ROW(E$1:E5754)*(E5755=E$1:E5754)))))</f>
        <v> </v>
      </c>
      <c r="L5755" s="27"/>
    </row>
    <row r="5756" spans="1:12">
      <c r="A5756" s="20" t="s">
        <v>1499</v>
      </c>
      <c r="B5756" s="21" t="s">
        <v>1022</v>
      </c>
      <c r="C5756" s="21" t="s">
        <v>1013</v>
      </c>
      <c r="D5756" s="21" t="s">
        <v>1007</v>
      </c>
      <c r="E5756" s="22">
        <f>IF(D5756="?OLD","!!!","")</f>
        <v/>
      </c>
      <c r="F5756" s="23" t="str">
        <f>IF(OR(E5756="",E5756="!!!"),"",IF(NOT(ISNA(VLOOKUP(E5756,E$1:E5755,1,FALSE()))),"OLD",IF(AND(E5756&lt;&gt;"",E5756&lt;&gt;"!!!"),"NEW","")))</f>
        <v> </v>
      </c>
      <c r="G5756" s="24" t="str">
        <f>IF(OR(E5756="",E5756="!!!"),"",IF(OR(J5756=0,AND(J5756=1,K5756=1),AND(J5756=1,I5756="SBJ"),AND(J5756=1,I5756=0)),"?IN_FOCUS",IF(J5756&lt;=2,"?ACTIVATED",IF(J5756&lt;&gt;"","?FAMILIAR",IF(F5756="NEW",IF(ISNA(VLOOKUP(E5756,#REF!,1,FALSE())),"?TYPE_IDENTIFIABLE","?REFERENTIAL"),"_")))))</f>
        <v> </v>
      </c>
      <c r="H5756" s="25" t="str">
        <f>IF(J5756&lt;&gt;1,"",IF(I5756="SBJ","CB","?"))</f>
        <v> </v>
      </c>
      <c r="I5756" s="26" t="str">
        <f>IF(OR(E5756="",E5756="!!!",F5756="NEW"),"",INDEX(B5755:B$2,-1+SUMPRODUCT(MAX(ROW(E5755:E$2)*(E5756=E5755:E$2)))))</f>
        <v> </v>
      </c>
      <c r="J5756" s="26" t="str">
        <f>IF(OR(E5756="",E5756="!!!",F5756="NEW"),"",COUNTBLANK(OFFSET(A$1,,,SUMPRODUCT(MAX(ROW(E$2:E5756)*(E5756=E$2:E5756)))))-COUNTBLANK(OFFSET(A$1,,,SUMPRODUCT(MAX(ROW(E$1:E5755)*(E2=E$1:E5755))))))</f>
        <v> </v>
      </c>
      <c r="K5756" s="26" t="str">
        <f>IF(OR(E5756="",E5756="!!!",F5756="NEW"),"",INDEX(J$1:J5755,SUMPRODUCT(MAX(ROW(E$1:E5755)*(E5756=E$1:E5755)))))</f>
        <v> </v>
      </c>
      <c r="L5756" s="27"/>
    </row>
    <row r="5757" spans="1:12">
      <c r="A5757" s="20" t="s">
        <v>1014</v>
      </c>
      <c r="E5757" s="22">
        <f>IF(D5757="?OLD","!!!","")</f>
        <v/>
      </c>
      <c r="F5757" s="23" t="str">
        <f>IF(OR(E5757="",E5757="!!!"),"",IF(NOT(ISNA(VLOOKUP(E5757,E$1:E5756,1,FALSE()))),"OLD",IF(AND(E5757&lt;&gt;"",E5757&lt;&gt;"!!!"),"NEW","")))</f>
        <v> </v>
      </c>
      <c r="G5757" s="24" t="str">
        <f>IF(OR(E5757="",E5757="!!!"),"",IF(OR(J5757=0,AND(J5757=1,K5757=1),AND(J5757=1,I5757="SBJ"),AND(J5757=1,I5757=0)),"?IN_FOCUS",IF(J5757&lt;=2,"?ACTIVATED",IF(J5757&lt;&gt;"","?FAMILIAR",IF(F5757="NEW",IF(ISNA(VLOOKUP(E5757,#REF!,1,FALSE())),"?TYPE_IDENTIFIABLE","?REFERENTIAL"),"_")))))</f>
        <v> </v>
      </c>
      <c r="H5757" s="25" t="str">
        <f>IF(J5757&lt;&gt;1,"",IF(I5757="SBJ","CB","?"))</f>
        <v> </v>
      </c>
      <c r="I5757" s="26" t="str">
        <f>IF(OR(E5757="",E5757="!!!",F5757="NEW"),"",INDEX(B5756:B$2,-1+SUMPRODUCT(MAX(ROW(E5756:E$2)*(E5757=E5756:E$2)))))</f>
        <v> </v>
      </c>
      <c r="J5757" s="26" t="str">
        <f>IF(OR(E5757="",E5757="!!!",F5757="NEW"),"",COUNTBLANK(OFFSET(A$1,,,SUMPRODUCT(MAX(ROW(E$2:E5757)*(E5757=E$2:E5757)))))-COUNTBLANK(OFFSET(A$1,,,SUMPRODUCT(MAX(ROW(E$1:E5756)*(E2=E$1:E5756))))))</f>
        <v> </v>
      </c>
      <c r="K5757" s="26" t="str">
        <f>IF(OR(E5757="",E5757="!!!",F5757="NEW"),"",INDEX(J$1:J5756,SUMPRODUCT(MAX(ROW(E$1:E5756)*(E5757=E$1:E5756)))))</f>
        <v> </v>
      </c>
      <c r="L5757" s="27"/>
    </row>
    <row r="5758" spans="1:12">
      <c r="A5758" s="20" t="s">
        <v>1485</v>
      </c>
      <c r="E5758" s="22">
        <f>IF(D5758="?OLD","!!!","")</f>
        <v/>
      </c>
      <c r="F5758" s="23" t="str">
        <f>IF(OR(E5758="",E5758="!!!"),"",IF(NOT(ISNA(VLOOKUP(E5758,E$1:E5757,1,FALSE()))),"OLD",IF(AND(E5758&lt;&gt;"",E5758&lt;&gt;"!!!"),"NEW","")))</f>
        <v> </v>
      </c>
      <c r="G5758" s="24" t="str">
        <f>IF(OR(E5758="",E5758="!!!"),"",IF(OR(J5758=0,AND(J5758=1,K5758=1),AND(J5758=1,I5758="SBJ"),AND(J5758=1,I5758=0)),"?IN_FOCUS",IF(J5758&lt;=2,"?ACTIVATED",IF(J5758&lt;&gt;"","?FAMILIAR",IF(F5758="NEW",IF(ISNA(VLOOKUP(E5758,#REF!,1,FALSE())),"?TYPE_IDENTIFIABLE","?REFERENTIAL"),"_")))))</f>
        <v> </v>
      </c>
      <c r="H5758" s="25" t="str">
        <f>IF(J5758&lt;&gt;1,"",IF(I5758="SBJ","CB","?"))</f>
        <v> </v>
      </c>
      <c r="I5758" s="26" t="str">
        <f>IF(OR(E5758="",E5758="!!!",F5758="NEW"),"",INDEX(B5757:B$2,-1+SUMPRODUCT(MAX(ROW(E5757:E$2)*(E5758=E5757:E$2)))))</f>
        <v> </v>
      </c>
      <c r="J5758" s="26" t="str">
        <f>IF(OR(E5758="",E5758="!!!",F5758="NEW"),"",COUNTBLANK(OFFSET(A$1,,,SUMPRODUCT(MAX(ROW(E$2:E5758)*(E5758=E$2:E5758)))))-COUNTBLANK(OFFSET(A$1,,,SUMPRODUCT(MAX(ROW(E$1:E5757)*(E2=E$1:E5757))))))</f>
        <v> </v>
      </c>
      <c r="K5758" s="26" t="str">
        <f>IF(OR(E5758="",E5758="!!!",F5758="NEW"),"",INDEX(J$1:J5757,SUMPRODUCT(MAX(ROW(E$1:E5757)*(E5758=E$1:E5757)))))</f>
        <v> </v>
      </c>
      <c r="L5758" s="27"/>
    </row>
    <row r="5759" spans="1:12">
      <c r="A5759" s="20" t="s">
        <v>96</v>
      </c>
      <c r="E5759" s="22">
        <f>IF(D5759="?OLD","!!!","")</f>
        <v/>
      </c>
      <c r="F5759" s="23" t="str">
        <f>IF(OR(E5759="",E5759="!!!"),"",IF(NOT(ISNA(VLOOKUP(E5759,E$1:E5758,1,FALSE()))),"OLD",IF(AND(E5759&lt;&gt;"",E5759&lt;&gt;"!!!"),"NEW","")))</f>
        <v> </v>
      </c>
      <c r="G5759" s="24" t="str">
        <f>IF(OR(E5759="",E5759="!!!"),"",IF(OR(J5759=0,AND(J5759=1,K5759=1),AND(J5759=1,I5759="SBJ"),AND(J5759=1,I5759=0)),"?IN_FOCUS",IF(J5759&lt;=2,"?ACTIVATED",IF(J5759&lt;&gt;"","?FAMILIAR",IF(F5759="NEW",IF(ISNA(VLOOKUP(E5759,#REF!,1,FALSE())),"?TYPE_IDENTIFIABLE","?REFERENTIAL"),"_")))))</f>
        <v> </v>
      </c>
      <c r="H5759" s="25" t="str">
        <f>IF(J5759&lt;&gt;1,"",IF(I5759="SBJ","CB","?"))</f>
        <v> </v>
      </c>
      <c r="I5759" s="26" t="str">
        <f>IF(OR(E5759="",E5759="!!!",F5759="NEW"),"",INDEX(B5758:B$2,-1+SUMPRODUCT(MAX(ROW(E5758:E$2)*(E5759=E5758:E$2)))))</f>
        <v> </v>
      </c>
      <c r="J5759" s="26" t="str">
        <f>IF(OR(E5759="",E5759="!!!",F5759="NEW"),"",COUNTBLANK(OFFSET(A$1,,,SUMPRODUCT(MAX(ROW(E$2:E5759)*(E5759=E$2:E5759)))))-COUNTBLANK(OFFSET(A$1,,,SUMPRODUCT(MAX(ROW(E$1:E5758)*(E2=E$1:E5758))))))</f>
        <v> </v>
      </c>
      <c r="K5759" s="26" t="str">
        <f>IF(OR(E5759="",E5759="!!!",F5759="NEW"),"",INDEX(J$1:J5758,SUMPRODUCT(MAX(ROW(E$1:E5758)*(E5759=E$1:E5758)))))</f>
        <v> </v>
      </c>
      <c r="L5759" s="27"/>
    </row>
    <row r="5760" spans="1:12">
      <c r="A5760" s="20" t="s">
        <v>1240</v>
      </c>
      <c r="B5760" s="21" t="s">
        <v>1033</v>
      </c>
      <c r="C5760" s="21" t="s">
        <v>1041</v>
      </c>
      <c r="D5760" s="21" t="s">
        <v>1007</v>
      </c>
      <c r="E5760" s="22">
        <f>IF(D5760="?OLD","!!!","")</f>
        <v/>
      </c>
      <c r="F5760" s="23" t="str">
        <f>IF(OR(E5760="",E5760="!!!"),"",IF(NOT(ISNA(VLOOKUP(E5760,E$1:E5759,1,FALSE()))),"OLD",IF(AND(E5760&lt;&gt;"",E5760&lt;&gt;"!!!"),"NEW","")))</f>
        <v> </v>
      </c>
      <c r="G5760" s="24" t="str">
        <f>IF(OR(E5760="",E5760="!!!"),"",IF(OR(J5760=0,AND(J5760=1,K5760=1),AND(J5760=1,I5760="SBJ"),AND(J5760=1,I5760=0)),"?IN_FOCUS",IF(J5760&lt;=2,"?ACTIVATED",IF(J5760&lt;&gt;"","?FAMILIAR",IF(F5760="NEW",IF(ISNA(VLOOKUP(E5760,#REF!,1,FALSE())),"?TYPE_IDENTIFIABLE","?REFERENTIAL"),"_")))))</f>
        <v> </v>
      </c>
      <c r="H5760" s="25" t="str">
        <f>IF(J5760&lt;&gt;1,"",IF(I5760="SBJ","CB","?"))</f>
        <v> </v>
      </c>
      <c r="I5760" s="26" t="str">
        <f>IF(OR(E5760="",E5760="!!!",F5760="NEW"),"",INDEX(B5759:B$2,-1+SUMPRODUCT(MAX(ROW(E5759:E$2)*(E5760=E5759:E$2)))))</f>
        <v> </v>
      </c>
      <c r="J5760" s="26" t="str">
        <f>IF(OR(E5760="",E5760="!!!",F5760="NEW"),"",COUNTBLANK(OFFSET(A$1,,,SUMPRODUCT(MAX(ROW(E$2:E5760)*(E5760=E$2:E5760)))))-COUNTBLANK(OFFSET(A$1,,,SUMPRODUCT(MAX(ROW(E$1:E5759)*(E2=E$1:E5759))))))</f>
        <v> </v>
      </c>
      <c r="K5760" s="26" t="str">
        <f>IF(OR(E5760="",E5760="!!!",F5760="NEW"),"",INDEX(J$1:J5759,SUMPRODUCT(MAX(ROW(E$1:E5759)*(E5760=E$1:E5759)))))</f>
        <v> </v>
      </c>
      <c r="L5760" s="27"/>
    </row>
    <row r="5761" spans="1:12">
      <c r="A5761" s="20" t="s">
        <v>1018</v>
      </c>
      <c r="E5761" s="22">
        <f>IF(D5761="?OLD","!!!","")</f>
        <v/>
      </c>
      <c r="F5761" s="23" t="str">
        <f>IF(OR(E5761="",E5761="!!!"),"",IF(NOT(ISNA(VLOOKUP(E5761,E$1:E5760,1,FALSE()))),"OLD",IF(AND(E5761&lt;&gt;"",E5761&lt;&gt;"!!!"),"NEW","")))</f>
        <v> </v>
      </c>
      <c r="G5761" s="24" t="str">
        <f>IF(OR(E5761="",E5761="!!!"),"",IF(OR(J5761=0,AND(J5761=1,K5761=1),AND(J5761=1,I5761="SBJ"),AND(J5761=1,I5761=0)),"?IN_FOCUS",IF(J5761&lt;=2,"?ACTIVATED",IF(J5761&lt;&gt;"","?FAMILIAR",IF(F5761="NEW",IF(ISNA(VLOOKUP(E5761,#REF!,1,FALSE())),"?TYPE_IDENTIFIABLE","?REFERENTIAL"),"_")))))</f>
        <v> </v>
      </c>
      <c r="H5761" s="25" t="str">
        <f>IF(J5761&lt;&gt;1,"",IF(I5761="SBJ","CB","?"))</f>
        <v> </v>
      </c>
      <c r="I5761" s="26" t="str">
        <f>IF(OR(E5761="",E5761="!!!",F5761="NEW"),"",INDEX(B5760:B$2,-1+SUMPRODUCT(MAX(ROW(E5760:E$2)*(E5761=E5760:E$2)))))</f>
        <v> </v>
      </c>
      <c r="J5761" s="26" t="str">
        <f>IF(OR(E5761="",E5761="!!!",F5761="NEW"),"",COUNTBLANK(OFFSET(A$1,,,SUMPRODUCT(MAX(ROW(E$2:E5761)*(E5761=E$2:E5761)))))-COUNTBLANK(OFFSET(A$1,,,SUMPRODUCT(MAX(ROW(E$1:E5760)*(E2=E$1:E5760))))))</f>
        <v> </v>
      </c>
      <c r="K5761" s="26" t="str">
        <f>IF(OR(E5761="",E5761="!!!",F5761="NEW"),"",INDEX(J$1:J5760,SUMPRODUCT(MAX(ROW(E$1:E5760)*(E5761=E$1:E5760)))))</f>
        <v> </v>
      </c>
      <c r="L5761" s="27"/>
    </row>
    <row r="5762" spans="1:12">
      <c r="A5762" s="20" t="s">
        <v>2552</v>
      </c>
      <c r="E5762" s="22">
        <f>IF(D5762="?OLD","!!!","")</f>
        <v/>
      </c>
      <c r="F5762" s="23" t="str">
        <f>IF(OR(E5762="",E5762="!!!"),"",IF(NOT(ISNA(VLOOKUP(E5762,E$1:E5761,1,FALSE()))),"OLD",IF(AND(E5762&lt;&gt;"",E5762&lt;&gt;"!!!"),"NEW","")))</f>
        <v> </v>
      </c>
      <c r="G5762" s="24" t="str">
        <f>IF(OR(E5762="",E5762="!!!"),"",IF(OR(J5762=0,AND(J5762=1,K5762=1),AND(J5762=1,I5762="SBJ"),AND(J5762=1,I5762=0)),"?IN_FOCUS",IF(J5762&lt;=2,"?ACTIVATED",IF(J5762&lt;&gt;"","?FAMILIAR",IF(F5762="NEW",IF(ISNA(VLOOKUP(E5762,#REF!,1,FALSE())),"?TYPE_IDENTIFIABLE","?REFERENTIAL"),"_")))))</f>
        <v> </v>
      </c>
      <c r="H5762" s="25" t="str">
        <f>IF(J5762&lt;&gt;1,"",IF(I5762="SBJ","CB","?"))</f>
        <v> </v>
      </c>
      <c r="I5762" s="26" t="str">
        <f>IF(OR(E5762="",E5762="!!!",F5762="NEW"),"",INDEX(B5761:B$2,-1+SUMPRODUCT(MAX(ROW(E5761:E$2)*(E5762=E5761:E$2)))))</f>
        <v> </v>
      </c>
      <c r="J5762" s="26" t="str">
        <f>IF(OR(E5762="",E5762="!!!",F5762="NEW"),"",COUNTBLANK(OFFSET(A$1,,,SUMPRODUCT(MAX(ROW(E$2:E5762)*(E5762=E$2:E5762)))))-COUNTBLANK(OFFSET(A$1,,,SUMPRODUCT(MAX(ROW(E$1:E5761)*(E2=E$1:E5761))))))</f>
        <v> </v>
      </c>
      <c r="K5762" s="26" t="str">
        <f>IF(OR(E5762="",E5762="!!!",F5762="NEW"),"",INDEX(J$1:J5761,SUMPRODUCT(MAX(ROW(E$1:E5761)*(E5762=E$1:E5761)))))</f>
        <v> </v>
      </c>
      <c r="L5762" s="27"/>
    </row>
    <row r="5763" spans="1:12">
      <c r="A5763" s="20" t="s">
        <v>1097</v>
      </c>
      <c r="E5763" s="22">
        <f>IF(D5763="?OLD","!!!","")</f>
        <v/>
      </c>
      <c r="F5763" s="23" t="str">
        <f>IF(OR(E5763="",E5763="!!!"),"",IF(NOT(ISNA(VLOOKUP(E5763,E$1:E5762,1,FALSE()))),"OLD",IF(AND(E5763&lt;&gt;"",E5763&lt;&gt;"!!!"),"NEW","")))</f>
        <v> </v>
      </c>
      <c r="G5763" s="24" t="str">
        <f>IF(OR(E5763="",E5763="!!!"),"",IF(OR(J5763=0,AND(J5763=1,K5763=1),AND(J5763=1,I5763="SBJ"),AND(J5763=1,I5763=0)),"?IN_FOCUS",IF(J5763&lt;=2,"?ACTIVATED",IF(J5763&lt;&gt;"","?FAMILIAR",IF(F5763="NEW",IF(ISNA(VLOOKUP(E5763,#REF!,1,FALSE())),"?TYPE_IDENTIFIABLE","?REFERENTIAL"),"_")))))</f>
        <v> </v>
      </c>
      <c r="H5763" s="25" t="str">
        <f>IF(J5763&lt;&gt;1,"",IF(I5763="SBJ","CB","?"))</f>
        <v> </v>
      </c>
      <c r="I5763" s="26" t="str">
        <f>IF(OR(E5763="",E5763="!!!",F5763="NEW"),"",INDEX(B5762:B$2,-1+SUMPRODUCT(MAX(ROW(E5762:E$2)*(E5763=E5762:E$2)))))</f>
        <v> </v>
      </c>
      <c r="J5763" s="26" t="str">
        <f>IF(OR(E5763="",E5763="!!!",F5763="NEW"),"",COUNTBLANK(OFFSET(A$1,,,SUMPRODUCT(MAX(ROW(E$2:E5763)*(E5763=E$2:E5763)))))-COUNTBLANK(OFFSET(A$1,,,SUMPRODUCT(MAX(ROW(E$1:E5762)*(E2=E$1:E5762))))))</f>
        <v> </v>
      </c>
      <c r="K5763" s="26" t="str">
        <f>IF(OR(E5763="",E5763="!!!",F5763="NEW"),"",INDEX(J$1:J5762,SUMPRODUCT(MAX(ROW(E$1:E5762)*(E5763=E$1:E5762)))))</f>
        <v> </v>
      </c>
      <c r="L5763" s="27"/>
    </row>
    <row r="5764" spans="1:12">
      <c r="A5764" s="20" t="s">
        <v>2553</v>
      </c>
      <c r="E5764" s="22">
        <f>IF(D5764="?OLD","!!!","")</f>
        <v/>
      </c>
      <c r="F5764" s="23" t="str">
        <f>IF(OR(E5764="",E5764="!!!"),"",IF(NOT(ISNA(VLOOKUP(E5764,E$1:E5763,1,FALSE()))),"OLD",IF(AND(E5764&lt;&gt;"",E5764&lt;&gt;"!!!"),"NEW","")))</f>
        <v> </v>
      </c>
      <c r="G5764" s="24" t="str">
        <f>IF(OR(E5764="",E5764="!!!"),"",IF(OR(J5764=0,AND(J5764=1,K5764=1),AND(J5764=1,I5764="SBJ"),AND(J5764=1,I5764=0)),"?IN_FOCUS",IF(J5764&lt;=2,"?ACTIVATED",IF(J5764&lt;&gt;"","?FAMILIAR",IF(F5764="NEW",IF(ISNA(VLOOKUP(E5764,#REF!,1,FALSE())),"?TYPE_IDENTIFIABLE","?REFERENTIAL"),"_")))))</f>
        <v> </v>
      </c>
      <c r="H5764" s="25" t="str">
        <f>IF(J5764&lt;&gt;1,"",IF(I5764="SBJ","CB","?"))</f>
        <v> </v>
      </c>
      <c r="I5764" s="26" t="str">
        <f>IF(OR(E5764="",E5764="!!!",F5764="NEW"),"",INDEX(B5763:B$2,-1+SUMPRODUCT(MAX(ROW(E5763:E$2)*(E5764=E5763:E$2)))))</f>
        <v> </v>
      </c>
      <c r="J5764" s="26" t="str">
        <f>IF(OR(E5764="",E5764="!!!",F5764="NEW"),"",COUNTBLANK(OFFSET(A$1,,,SUMPRODUCT(MAX(ROW(E$2:E5764)*(E5764=E$2:E5764)))))-COUNTBLANK(OFFSET(A$1,,,SUMPRODUCT(MAX(ROW(E$1:E5763)*(E2=E$1:E5763))))))</f>
        <v> </v>
      </c>
      <c r="K5764" s="26" t="str">
        <f>IF(OR(E5764="",E5764="!!!",F5764="NEW"),"",INDEX(J$1:J5763,SUMPRODUCT(MAX(ROW(E$1:E5763)*(E5764=E$1:E5763)))))</f>
        <v> </v>
      </c>
      <c r="L5764" s="27"/>
    </row>
    <row r="5765" spans="1:12">
      <c r="A5765" s="20" t="s">
        <v>56</v>
      </c>
      <c r="E5765" s="22">
        <f>IF(D5765="?OLD","!!!","")</f>
        <v/>
      </c>
      <c r="F5765" s="23" t="str">
        <f>IF(OR(E5765="",E5765="!!!"),"",IF(NOT(ISNA(VLOOKUP(E5765,E$1:E5764,1,FALSE()))),"OLD",IF(AND(E5765&lt;&gt;"",E5765&lt;&gt;"!!!"),"NEW","")))</f>
        <v> </v>
      </c>
      <c r="G5765" s="24" t="str">
        <f>IF(OR(E5765="",E5765="!!!"),"",IF(OR(J5765=0,AND(J5765=1,K5765=1),AND(J5765=1,I5765="SBJ"),AND(J5765=1,I5765=0)),"?IN_FOCUS",IF(J5765&lt;=2,"?ACTIVATED",IF(J5765&lt;&gt;"","?FAMILIAR",IF(F5765="NEW",IF(ISNA(VLOOKUP(E5765,#REF!,1,FALSE())),"?TYPE_IDENTIFIABLE","?REFERENTIAL"),"_")))))</f>
        <v> </v>
      </c>
      <c r="H5765" s="25" t="str">
        <f>IF(J5765&lt;&gt;1,"",IF(I5765="SBJ","CB","?"))</f>
        <v> </v>
      </c>
      <c r="I5765" s="26" t="str">
        <f>IF(OR(E5765="",E5765="!!!",F5765="NEW"),"",INDEX(B5764:B$2,-1+SUMPRODUCT(MAX(ROW(E5764:E$2)*(E5765=E5764:E$2)))))</f>
        <v> </v>
      </c>
      <c r="J5765" s="26" t="str">
        <f>IF(OR(E5765="",E5765="!!!",F5765="NEW"),"",COUNTBLANK(OFFSET(A$1,,,SUMPRODUCT(MAX(ROW(E$2:E5765)*(E5765=E$2:E5765)))))-COUNTBLANK(OFFSET(A$1,,,SUMPRODUCT(MAX(ROW(E$1:E5764)*(E2=E$1:E5764))))))</f>
        <v> </v>
      </c>
      <c r="K5765" s="26" t="str">
        <f>IF(OR(E5765="",E5765="!!!",F5765="NEW"),"",INDEX(J$1:J5764,SUMPRODUCT(MAX(ROW(E$1:E5764)*(E5765=E$1:E5764)))))</f>
        <v> </v>
      </c>
      <c r="L5765" s="27"/>
    </row>
    <row r="5766" spans="1:12">
      <c r="A5766" s="20" t="s">
        <v>2554</v>
      </c>
      <c r="E5766" s="22">
        <f>IF(D5766="?OLD","!!!","")</f>
        <v/>
      </c>
      <c r="F5766" s="23" t="str">
        <f>IF(OR(E5766="",E5766="!!!"),"",IF(NOT(ISNA(VLOOKUP(E5766,E$1:E5765,1,FALSE()))),"OLD",IF(AND(E5766&lt;&gt;"",E5766&lt;&gt;"!!!"),"NEW","")))</f>
        <v> </v>
      </c>
      <c r="G5766" s="24" t="str">
        <f>IF(OR(E5766="",E5766="!!!"),"",IF(OR(J5766=0,AND(J5766=1,K5766=1),AND(J5766=1,I5766="SBJ"),AND(J5766=1,I5766=0)),"?IN_FOCUS",IF(J5766&lt;=2,"?ACTIVATED",IF(J5766&lt;&gt;"","?FAMILIAR",IF(F5766="NEW",IF(ISNA(VLOOKUP(E5766,#REF!,1,FALSE())),"?TYPE_IDENTIFIABLE","?REFERENTIAL"),"_")))))</f>
        <v> </v>
      </c>
      <c r="H5766" s="25" t="str">
        <f>IF(J5766&lt;&gt;1,"",IF(I5766="SBJ","CB","?"))</f>
        <v> </v>
      </c>
      <c r="I5766" s="26" t="str">
        <f>IF(OR(E5766="",E5766="!!!",F5766="NEW"),"",INDEX(B5765:B$2,-1+SUMPRODUCT(MAX(ROW(E5765:E$2)*(E5766=E5765:E$2)))))</f>
        <v> </v>
      </c>
      <c r="J5766" s="26" t="str">
        <f>IF(OR(E5766="",E5766="!!!",F5766="NEW"),"",COUNTBLANK(OFFSET(A$1,,,SUMPRODUCT(MAX(ROW(E$2:E5766)*(E5766=E$2:E5766)))))-COUNTBLANK(OFFSET(A$1,,,SUMPRODUCT(MAX(ROW(E$1:E5765)*(E2=E$1:E5765))))))</f>
        <v> </v>
      </c>
      <c r="K5766" s="26" t="str">
        <f>IF(OR(E5766="",E5766="!!!",F5766="NEW"),"",INDEX(J$1:J5765,SUMPRODUCT(MAX(ROW(E$1:E5765)*(E5766=E$1:E5765)))))</f>
        <v> </v>
      </c>
      <c r="L5766" s="27"/>
    </row>
    <row r="5767" spans="1:12">
      <c r="A5767" s="20" t="s">
        <v>1018</v>
      </c>
      <c r="E5767" s="22">
        <f>IF(D5767="?OLD","!!!","")</f>
        <v/>
      </c>
      <c r="F5767" s="23" t="str">
        <f>IF(OR(E5767="",E5767="!!!"),"",IF(NOT(ISNA(VLOOKUP(E5767,E$1:E5766,1,FALSE()))),"OLD",IF(AND(E5767&lt;&gt;"",E5767&lt;&gt;"!!!"),"NEW","")))</f>
        <v> </v>
      </c>
      <c r="G5767" s="24" t="str">
        <f>IF(OR(E5767="",E5767="!!!"),"",IF(OR(J5767=0,AND(J5767=1,K5767=1),AND(J5767=1,I5767="SBJ"),AND(J5767=1,I5767=0)),"?IN_FOCUS",IF(J5767&lt;=2,"?ACTIVATED",IF(J5767&lt;&gt;"","?FAMILIAR",IF(F5767="NEW",IF(ISNA(VLOOKUP(E5767,#REF!,1,FALSE())),"?TYPE_IDENTIFIABLE","?REFERENTIAL"),"_")))))</f>
        <v> </v>
      </c>
      <c r="H5767" s="25" t="str">
        <f>IF(J5767&lt;&gt;1,"",IF(I5767="SBJ","CB","?"))</f>
        <v> </v>
      </c>
      <c r="I5767" s="26" t="str">
        <f>IF(OR(E5767="",E5767="!!!",F5767="NEW"),"",INDEX(B5766:B$2,-1+SUMPRODUCT(MAX(ROW(E5766:E$2)*(E5767=E5766:E$2)))))</f>
        <v> </v>
      </c>
      <c r="J5767" s="26" t="str">
        <f>IF(OR(E5767="",E5767="!!!",F5767="NEW"),"",COUNTBLANK(OFFSET(A$1,,,SUMPRODUCT(MAX(ROW(E$2:E5767)*(E5767=E$2:E5767)))))-COUNTBLANK(OFFSET(A$1,,,SUMPRODUCT(MAX(ROW(E$1:E5766)*(E2=E$1:E5766))))))</f>
        <v> </v>
      </c>
      <c r="K5767" s="26" t="str">
        <f>IF(OR(E5767="",E5767="!!!",F5767="NEW"),"",INDEX(J$1:J5766,SUMPRODUCT(MAX(ROW(E$1:E5766)*(E5767=E$1:E5766)))))</f>
        <v> </v>
      </c>
      <c r="L5767" s="27"/>
    </row>
    <row r="5768" spans="1:12">
      <c r="A5768" s="20" t="s">
        <v>102</v>
      </c>
      <c r="B5768" s="21" t="s">
        <v>1035</v>
      </c>
      <c r="C5768" s="21" t="s">
        <v>1073</v>
      </c>
      <c r="D5768" s="21" t="s">
        <v>1007</v>
      </c>
      <c r="E5768" s="22">
        <f>IF(D5768="?OLD","!!!","")</f>
        <v/>
      </c>
      <c r="F5768" s="23" t="str">
        <f>IF(OR(E5768="",E5768="!!!"),"",IF(NOT(ISNA(VLOOKUP(E5768,E$1:E5767,1,FALSE()))),"OLD",IF(AND(E5768&lt;&gt;"",E5768&lt;&gt;"!!!"),"NEW","")))</f>
        <v> </v>
      </c>
      <c r="G5768" s="24" t="str">
        <f>IF(OR(E5768="",E5768="!!!"),"",IF(OR(J5768=0,AND(J5768=1,K5768=1),AND(J5768=1,I5768="SBJ"),AND(J5768=1,I5768=0)),"?IN_FOCUS",IF(J5768&lt;=2,"?ACTIVATED",IF(J5768&lt;&gt;"","?FAMILIAR",IF(F5768="NEW",IF(ISNA(VLOOKUP(E5768,#REF!,1,FALSE())),"?TYPE_IDENTIFIABLE","?REFERENTIAL"),"_")))))</f>
        <v> </v>
      </c>
      <c r="H5768" s="25" t="str">
        <f>IF(J5768&lt;&gt;1,"",IF(I5768="SBJ","CB","?"))</f>
        <v> </v>
      </c>
      <c r="I5768" s="26" t="str">
        <f>IF(OR(E5768="",E5768="!!!",F5768="NEW"),"",INDEX(B5767:B$2,-1+SUMPRODUCT(MAX(ROW(E5767:E$2)*(E5768=E5767:E$2)))))</f>
        <v> </v>
      </c>
      <c r="J5768" s="26" t="str">
        <f>IF(OR(E5768="",E5768="!!!",F5768="NEW"),"",COUNTBLANK(OFFSET(A$1,,,SUMPRODUCT(MAX(ROW(E$2:E5768)*(E5768=E$2:E5768)))))-COUNTBLANK(OFFSET(A$1,,,SUMPRODUCT(MAX(ROW(E$1:E5767)*(E2=E$1:E5767))))))</f>
        <v> </v>
      </c>
      <c r="K5768" s="26" t="str">
        <f>IF(OR(E5768="",E5768="!!!",F5768="NEW"),"",INDEX(J$1:J5767,SUMPRODUCT(MAX(ROW(E$1:E5767)*(E5768=E$1:E5767)))))</f>
        <v> </v>
      </c>
      <c r="L5768" s="27"/>
    </row>
    <row r="5769" spans="1:12">
      <c r="A5769" s="20" t="s">
        <v>1065</v>
      </c>
      <c r="B5769" s="21" t="s">
        <v>1154</v>
      </c>
      <c r="C5769" s="21" t="s">
        <v>1074</v>
      </c>
      <c r="E5769" s="22">
        <f>IF(D5769="?OLD","!!!","")</f>
        <v/>
      </c>
      <c r="F5769" s="23" t="str">
        <f>IF(OR(E5769="",E5769="!!!"),"",IF(NOT(ISNA(VLOOKUP(E5769,E$1:E5768,1,FALSE()))),"OLD",IF(AND(E5769&lt;&gt;"",E5769&lt;&gt;"!!!"),"NEW","")))</f>
        <v> </v>
      </c>
      <c r="G5769" s="24" t="str">
        <f>IF(OR(E5769="",E5769="!!!"),"",IF(OR(J5769=0,AND(J5769=1,K5769=1),AND(J5769=1,I5769="SBJ"),AND(J5769=1,I5769=0)),"?IN_FOCUS",IF(J5769&lt;=2,"?ACTIVATED",IF(J5769&lt;&gt;"","?FAMILIAR",IF(F5769="NEW",IF(ISNA(VLOOKUP(E5769,#REF!,1,FALSE())),"?TYPE_IDENTIFIABLE","?REFERENTIAL"),"_")))))</f>
        <v> </v>
      </c>
      <c r="H5769" s="25" t="str">
        <f>IF(J5769&lt;&gt;1,"",IF(I5769="SBJ","CB","?"))</f>
        <v> </v>
      </c>
      <c r="I5769" s="26" t="str">
        <f>IF(OR(E5769="",E5769="!!!",F5769="NEW"),"",INDEX(B5768:B$2,-1+SUMPRODUCT(MAX(ROW(E5768:E$2)*(E5769=E5768:E$2)))))</f>
        <v> </v>
      </c>
      <c r="J5769" s="26" t="str">
        <f>IF(OR(E5769="",E5769="!!!",F5769="NEW"),"",COUNTBLANK(OFFSET(A$1,,,SUMPRODUCT(MAX(ROW(E$2:E5769)*(E5769=E$2:E5769)))))-COUNTBLANK(OFFSET(A$1,,,SUMPRODUCT(MAX(ROW(E$1:E5768)*(E2=E$1:E5768))))))</f>
        <v> </v>
      </c>
      <c r="K5769" s="26" t="str">
        <f>IF(OR(E5769="",E5769="!!!",F5769="NEW"),"",INDEX(J$1:J5768,SUMPRODUCT(MAX(ROW(E$1:E5768)*(E5769=E$1:E5768)))))</f>
        <v> </v>
      </c>
      <c r="L5769" s="27"/>
    </row>
    <row r="5770" spans="1:12">
      <c r="A5770" s="20" t="s">
        <v>1075</v>
      </c>
      <c r="E5770" s="22">
        <f>IF(D5770="?OLD","!!!","")</f>
        <v/>
      </c>
      <c r="F5770" s="23" t="str">
        <f>IF(OR(E5770="",E5770="!!!"),"",IF(NOT(ISNA(VLOOKUP(E5770,E$1:E5769,1,FALSE()))),"OLD",IF(AND(E5770&lt;&gt;"",E5770&lt;&gt;"!!!"),"NEW","")))</f>
        <v> </v>
      </c>
      <c r="G5770" s="24" t="str">
        <f>IF(OR(E5770="",E5770="!!!"),"",IF(OR(J5770=0,AND(J5770=1,K5770=1),AND(J5770=1,I5770="SBJ"),AND(J5770=1,I5770=0)),"?IN_FOCUS",IF(J5770&lt;=2,"?ACTIVATED",IF(J5770&lt;&gt;"","?FAMILIAR",IF(F5770="NEW",IF(ISNA(VLOOKUP(E5770,#REF!,1,FALSE())),"?TYPE_IDENTIFIABLE","?REFERENTIAL"),"_")))))</f>
        <v> </v>
      </c>
      <c r="H5770" s="25" t="str">
        <f>IF(J5770&lt;&gt;1,"",IF(I5770="SBJ","CB","?"))</f>
        <v> </v>
      </c>
      <c r="I5770" s="26" t="str">
        <f>IF(OR(E5770="",E5770="!!!",F5770="NEW"),"",INDEX(B5769:B$2,-1+SUMPRODUCT(MAX(ROW(E5769:E$2)*(E5770=E5769:E$2)))))</f>
        <v> </v>
      </c>
      <c r="J5770" s="26" t="str">
        <f>IF(OR(E5770="",E5770="!!!",F5770="NEW"),"",COUNTBLANK(OFFSET(A$1,,,SUMPRODUCT(MAX(ROW(E$2:E5770)*(E5770=E$2:E5770)))))-COUNTBLANK(OFFSET(A$1,,,SUMPRODUCT(MAX(ROW(E$1:E5769)*(E2=E$1:E5769))))))</f>
        <v> </v>
      </c>
      <c r="K5770" s="26" t="str">
        <f>IF(OR(E5770="",E5770="!!!",F5770="NEW"),"",INDEX(J$1:J5769,SUMPRODUCT(MAX(ROW(E$1:E5769)*(E5770=E$1:E5769)))))</f>
        <v> </v>
      </c>
      <c r="L5770" s="27"/>
    </row>
    <row r="5771" spans="1:12">
      <c r="A5771" s="20" t="s">
        <v>1065</v>
      </c>
      <c r="E5771" s="22">
        <f>IF(D5771="?OLD","!!!","")</f>
        <v/>
      </c>
      <c r="F5771" s="23" t="str">
        <f>IF(OR(E5771="",E5771="!!!"),"",IF(NOT(ISNA(VLOOKUP(E5771,E$1:E5770,1,FALSE()))),"OLD",IF(AND(E5771&lt;&gt;"",E5771&lt;&gt;"!!!"),"NEW","")))</f>
        <v> </v>
      </c>
      <c r="G5771" s="24" t="str">
        <f>IF(OR(E5771="",E5771="!!!"),"",IF(OR(J5771=0,AND(J5771=1,K5771=1),AND(J5771=1,I5771="SBJ"),AND(J5771=1,I5771=0)),"?IN_FOCUS",IF(J5771&lt;=2,"?ACTIVATED",IF(J5771&lt;&gt;"","?FAMILIAR",IF(F5771="NEW",IF(ISNA(VLOOKUP(E5771,#REF!,1,FALSE())),"?TYPE_IDENTIFIABLE","?REFERENTIAL"),"_")))))</f>
        <v> </v>
      </c>
      <c r="H5771" s="25" t="str">
        <f>IF(J5771&lt;&gt;1,"",IF(I5771="SBJ","CB","?"))</f>
        <v> </v>
      </c>
      <c r="I5771" s="26" t="str">
        <f>IF(OR(E5771="",E5771="!!!",F5771="NEW"),"",INDEX(B5770:B$2,-1+SUMPRODUCT(MAX(ROW(E5770:E$2)*(E5771=E5770:E$2)))))</f>
        <v> </v>
      </c>
      <c r="J5771" s="26" t="str">
        <f>IF(OR(E5771="",E5771="!!!",F5771="NEW"),"",COUNTBLANK(OFFSET(A$1,,,SUMPRODUCT(MAX(ROW(E$2:E5771)*(E5771=E$2:E5771)))))-COUNTBLANK(OFFSET(A$1,,,SUMPRODUCT(MAX(ROW(E$1:E5770)*(E2=E$1:E5770))))))</f>
        <v> </v>
      </c>
      <c r="K5771" s="26" t="str">
        <f>IF(OR(E5771="",E5771="!!!",F5771="NEW"),"",INDEX(J$1:J5770,SUMPRODUCT(MAX(ROW(E$1:E5770)*(E5771=E$1:E5770)))))</f>
        <v> </v>
      </c>
      <c r="L5771" s="27"/>
    </row>
    <row r="5772" spans="1:12">
      <c r="A5772" s="20" t="s">
        <v>1948</v>
      </c>
      <c r="E5772" s="22">
        <f>IF(D5772="?OLD","!!!","")</f>
        <v/>
      </c>
      <c r="F5772" s="23" t="str">
        <f>IF(OR(E5772="",E5772="!!!"),"",IF(NOT(ISNA(VLOOKUP(E5772,E$1:E5771,1,FALSE()))),"OLD",IF(AND(E5772&lt;&gt;"",E5772&lt;&gt;"!!!"),"NEW","")))</f>
        <v> </v>
      </c>
      <c r="G5772" s="24" t="str">
        <f>IF(OR(E5772="",E5772="!!!"),"",IF(OR(J5772=0,AND(J5772=1,K5772=1),AND(J5772=1,I5772="SBJ"),AND(J5772=1,I5772=0)),"?IN_FOCUS",IF(J5772&lt;=2,"?ACTIVATED",IF(J5772&lt;&gt;"","?FAMILIAR",IF(F5772="NEW",IF(ISNA(VLOOKUP(E5772,#REF!,1,FALSE())),"?TYPE_IDENTIFIABLE","?REFERENTIAL"),"_")))))</f>
        <v> </v>
      </c>
      <c r="H5772" s="25" t="str">
        <f>IF(J5772&lt;&gt;1,"",IF(I5772="SBJ","CB","?"))</f>
        <v> </v>
      </c>
      <c r="I5772" s="26" t="str">
        <f>IF(OR(E5772="",E5772="!!!",F5772="NEW"),"",INDEX(B5771:B$2,-1+SUMPRODUCT(MAX(ROW(E5771:E$2)*(E5772=E5771:E$2)))))</f>
        <v> </v>
      </c>
      <c r="J5772" s="26" t="str">
        <f>IF(OR(E5772="",E5772="!!!",F5772="NEW"),"",COUNTBLANK(OFFSET(A$1,,,SUMPRODUCT(MAX(ROW(E$2:E5772)*(E5772=E$2:E5772)))))-COUNTBLANK(OFFSET(A$1,,,SUMPRODUCT(MAX(ROW(E$1:E5771)*(E2=E$1:E5771))))))</f>
        <v> </v>
      </c>
      <c r="K5772" s="26" t="str">
        <f>IF(OR(E5772="",E5772="!!!",F5772="NEW"),"",INDEX(J$1:J5771,SUMPRODUCT(MAX(ROW(E$1:E5771)*(E5772=E$1:E5771)))))</f>
        <v> </v>
      </c>
      <c r="L5772" s="27"/>
    </row>
    <row r="5773" spans="1:12">
      <c r="A5773" s="20" t="s">
        <v>1065</v>
      </c>
      <c r="E5773" s="22">
        <f>IF(D5773="?OLD","!!!","")</f>
        <v/>
      </c>
      <c r="F5773" s="23" t="str">
        <f>IF(OR(E5773="",E5773="!!!"),"",IF(NOT(ISNA(VLOOKUP(E5773,E$1:E5772,1,FALSE()))),"OLD",IF(AND(E5773&lt;&gt;"",E5773&lt;&gt;"!!!"),"NEW","")))</f>
        <v> </v>
      </c>
      <c r="G5773" s="24" t="str">
        <f>IF(OR(E5773="",E5773="!!!"),"",IF(OR(J5773=0,AND(J5773=1,K5773=1),AND(J5773=1,I5773="SBJ"),AND(J5773=1,I5773=0)),"?IN_FOCUS",IF(J5773&lt;=2,"?ACTIVATED",IF(J5773&lt;&gt;"","?FAMILIAR",IF(F5773="NEW",IF(ISNA(VLOOKUP(E5773,#REF!,1,FALSE())),"?TYPE_IDENTIFIABLE","?REFERENTIAL"),"_")))))</f>
        <v> </v>
      </c>
      <c r="H5773" s="25" t="str">
        <f>IF(J5773&lt;&gt;1,"",IF(I5773="SBJ","CB","?"))</f>
        <v> </v>
      </c>
      <c r="I5773" s="26" t="str">
        <f>IF(OR(E5773="",E5773="!!!",F5773="NEW"),"",INDEX(B5772:B$2,-1+SUMPRODUCT(MAX(ROW(E5772:E$2)*(E5773=E5772:E$2)))))</f>
        <v> </v>
      </c>
      <c r="J5773" s="26" t="str">
        <f>IF(OR(E5773="",E5773="!!!",F5773="NEW"),"",COUNTBLANK(OFFSET(A$1,,,SUMPRODUCT(MAX(ROW(E$2:E5773)*(E5773=E$2:E5773)))))-COUNTBLANK(OFFSET(A$1,,,SUMPRODUCT(MAX(ROW(E$1:E5772)*(E2=E$1:E5772))))))</f>
        <v> </v>
      </c>
      <c r="K5773" s="26" t="str">
        <f>IF(OR(E5773="",E5773="!!!",F5773="NEW"),"",INDEX(J$1:J5772,SUMPRODUCT(MAX(ROW(E$1:E5772)*(E5773=E$1:E5772)))))</f>
        <v> </v>
      </c>
      <c r="L5773" s="27"/>
    </row>
    <row r="5774" spans="1:12">
      <c r="A5774" s="20" t="s">
        <v>2555</v>
      </c>
      <c r="E5774" s="22">
        <f>IF(D5774="?OLD","!!!","")</f>
        <v/>
      </c>
      <c r="F5774" s="23" t="str">
        <f>IF(OR(E5774="",E5774="!!!"),"",IF(NOT(ISNA(VLOOKUP(E5774,E$1:E5773,1,FALSE()))),"OLD",IF(AND(E5774&lt;&gt;"",E5774&lt;&gt;"!!!"),"NEW","")))</f>
        <v> </v>
      </c>
      <c r="G5774" s="24" t="str">
        <f>IF(OR(E5774="",E5774="!!!"),"",IF(OR(J5774=0,AND(J5774=1,K5774=1),AND(J5774=1,I5774="SBJ"),AND(J5774=1,I5774=0)),"?IN_FOCUS",IF(J5774&lt;=2,"?ACTIVATED",IF(J5774&lt;&gt;"","?FAMILIAR",IF(F5774="NEW",IF(ISNA(VLOOKUP(E5774,#REF!,1,FALSE())),"?TYPE_IDENTIFIABLE","?REFERENTIAL"),"_")))))</f>
        <v> </v>
      </c>
      <c r="H5774" s="25" t="str">
        <f>IF(J5774&lt;&gt;1,"",IF(I5774="SBJ","CB","?"))</f>
        <v> </v>
      </c>
      <c r="I5774" s="26" t="str">
        <f>IF(OR(E5774="",E5774="!!!",F5774="NEW"),"",INDEX(B5773:B$2,-1+SUMPRODUCT(MAX(ROW(E5773:E$2)*(E5774=E5773:E$2)))))</f>
        <v> </v>
      </c>
      <c r="J5774" s="26" t="str">
        <f>IF(OR(E5774="",E5774="!!!",F5774="NEW"),"",COUNTBLANK(OFFSET(A$1,,,SUMPRODUCT(MAX(ROW(E$2:E5774)*(E5774=E$2:E5774)))))-COUNTBLANK(OFFSET(A$1,,,SUMPRODUCT(MAX(ROW(E$1:E5773)*(E2=E$1:E5773))))))</f>
        <v> </v>
      </c>
      <c r="K5774" s="26" t="str">
        <f>IF(OR(E5774="",E5774="!!!",F5774="NEW"),"",INDEX(J$1:J5773,SUMPRODUCT(MAX(ROW(E$1:E5773)*(E5774=E$1:E5773)))))</f>
        <v> </v>
      </c>
      <c r="L5774" s="27"/>
    </row>
    <row r="5775" spans="1:12">
      <c r="A5775" s="20" t="s">
        <v>102</v>
      </c>
      <c r="E5775" s="22">
        <f>IF(D5775="?OLD","!!!","")</f>
        <v/>
      </c>
      <c r="F5775" s="23" t="str">
        <f>IF(OR(E5775="",E5775="!!!"),"",IF(NOT(ISNA(VLOOKUP(E5775,E$1:E5774,1,FALSE()))),"OLD",IF(AND(E5775&lt;&gt;"",E5775&lt;&gt;"!!!"),"NEW","")))</f>
        <v> </v>
      </c>
      <c r="G5775" s="24" t="str">
        <f>IF(OR(E5775="",E5775="!!!"),"",IF(OR(J5775=0,AND(J5775=1,K5775=1),AND(J5775=1,I5775="SBJ"),AND(J5775=1,I5775=0)),"?IN_FOCUS",IF(J5775&lt;=2,"?ACTIVATED",IF(J5775&lt;&gt;"","?FAMILIAR",IF(F5775="NEW",IF(ISNA(VLOOKUP(E5775,#REF!,1,FALSE())),"?TYPE_IDENTIFIABLE","?REFERENTIAL"),"_")))))</f>
        <v> </v>
      </c>
      <c r="H5775" s="25" t="str">
        <f>IF(J5775&lt;&gt;1,"",IF(I5775="SBJ","CB","?"))</f>
        <v> </v>
      </c>
      <c r="I5775" s="26" t="str">
        <f>IF(OR(E5775="",E5775="!!!",F5775="NEW"),"",INDEX(B5774:B$2,-1+SUMPRODUCT(MAX(ROW(E5774:E$2)*(E5775=E5774:E$2)))))</f>
        <v> </v>
      </c>
      <c r="J5775" s="26" t="str">
        <f>IF(OR(E5775="",E5775="!!!",F5775="NEW"),"",COUNTBLANK(OFFSET(A$1,,,SUMPRODUCT(MAX(ROW(E$2:E5775)*(E5775=E$2:E5775)))))-COUNTBLANK(OFFSET(A$1,,,SUMPRODUCT(MAX(ROW(E$1:E5774)*(E2=E$1:E5774))))))</f>
        <v> </v>
      </c>
      <c r="K5775" s="26" t="str">
        <f>IF(OR(E5775="",E5775="!!!",F5775="NEW"),"",INDEX(J$1:J5774,SUMPRODUCT(MAX(ROW(E$1:E5774)*(E5775=E$1:E5774)))))</f>
        <v> </v>
      </c>
      <c r="L5775" s="27"/>
    </row>
    <row r="5776" spans="1:12">
      <c r="A5776" s="20" t="s">
        <v>1401</v>
      </c>
      <c r="E5776" s="22">
        <f>IF(D5776="?OLD","!!!","")</f>
        <v/>
      </c>
      <c r="F5776" s="23" t="str">
        <f>IF(OR(E5776="",E5776="!!!"),"",IF(NOT(ISNA(VLOOKUP(E5776,E$1:E5775,1,FALSE()))),"OLD",IF(AND(E5776&lt;&gt;"",E5776&lt;&gt;"!!!"),"NEW","")))</f>
        <v> </v>
      </c>
      <c r="G5776" s="24" t="str">
        <f>IF(OR(E5776="",E5776="!!!"),"",IF(OR(J5776=0,AND(J5776=1,K5776=1),AND(J5776=1,I5776="SBJ"),AND(J5776=1,I5776=0)),"?IN_FOCUS",IF(J5776&lt;=2,"?ACTIVATED",IF(J5776&lt;&gt;"","?FAMILIAR",IF(F5776="NEW",IF(ISNA(VLOOKUP(E5776,#REF!,1,FALSE())),"?TYPE_IDENTIFIABLE","?REFERENTIAL"),"_")))))</f>
        <v> </v>
      </c>
      <c r="H5776" s="25" t="str">
        <f>IF(J5776&lt;&gt;1,"",IF(I5776="SBJ","CB","?"))</f>
        <v> </v>
      </c>
      <c r="I5776" s="26" t="str">
        <f>IF(OR(E5776="",E5776="!!!",F5776="NEW"),"",INDEX(B5775:B$2,-1+SUMPRODUCT(MAX(ROW(E5775:E$2)*(E5776=E5775:E$2)))))</f>
        <v> </v>
      </c>
      <c r="J5776" s="26" t="str">
        <f>IF(OR(E5776="",E5776="!!!",F5776="NEW"),"",COUNTBLANK(OFFSET(A$1,,,SUMPRODUCT(MAX(ROW(E$2:E5776)*(E5776=E$2:E5776)))))-COUNTBLANK(OFFSET(A$1,,,SUMPRODUCT(MAX(ROW(E$1:E5775)*(E2=E$1:E5775))))))</f>
        <v> </v>
      </c>
      <c r="K5776" s="26" t="str">
        <f>IF(OR(E5776="",E5776="!!!",F5776="NEW"),"",INDEX(J$1:J5775,SUMPRODUCT(MAX(ROW(E$1:E5775)*(E5776=E$1:E5775)))))</f>
        <v> </v>
      </c>
      <c r="L5776" s="27"/>
    </row>
    <row r="5777" spans="1:12">
      <c r="A5777" s="20" t="s">
        <v>1065</v>
      </c>
      <c r="E5777" s="22">
        <f>IF(D5777="?OLD","!!!","")</f>
        <v/>
      </c>
      <c r="F5777" s="23" t="str">
        <f>IF(OR(E5777="",E5777="!!!"),"",IF(NOT(ISNA(VLOOKUP(E5777,E$1:E5776,1,FALSE()))),"OLD",IF(AND(E5777&lt;&gt;"",E5777&lt;&gt;"!!!"),"NEW","")))</f>
        <v> </v>
      </c>
      <c r="G5777" s="24" t="str">
        <f>IF(OR(E5777="",E5777="!!!"),"",IF(OR(J5777=0,AND(J5777=1,K5777=1),AND(J5777=1,I5777="SBJ"),AND(J5777=1,I5777=0)),"?IN_FOCUS",IF(J5777&lt;=2,"?ACTIVATED",IF(J5777&lt;&gt;"","?FAMILIAR",IF(F5777="NEW",IF(ISNA(VLOOKUP(E5777,#REF!,1,FALSE())),"?TYPE_IDENTIFIABLE","?REFERENTIAL"),"_")))))</f>
        <v> </v>
      </c>
      <c r="H5777" s="25" t="str">
        <f>IF(J5777&lt;&gt;1,"",IF(I5777="SBJ","CB","?"))</f>
        <v> </v>
      </c>
      <c r="I5777" s="26" t="str">
        <f>IF(OR(E5777="",E5777="!!!",F5777="NEW"),"",INDEX(B5776:B$2,-1+SUMPRODUCT(MAX(ROW(E5776:E$2)*(E5777=E5776:E$2)))))</f>
        <v> </v>
      </c>
      <c r="J5777" s="26" t="str">
        <f>IF(OR(E5777="",E5777="!!!",F5777="NEW"),"",COUNTBLANK(OFFSET(A$1,,,SUMPRODUCT(MAX(ROW(E$2:E5777)*(E5777=E$2:E5777)))))-COUNTBLANK(OFFSET(A$1,,,SUMPRODUCT(MAX(ROW(E$1:E5776)*(E2=E$1:E5776))))))</f>
        <v> </v>
      </c>
      <c r="K5777" s="26" t="str">
        <f>IF(OR(E5777="",E5777="!!!",F5777="NEW"),"",INDEX(J$1:J5776,SUMPRODUCT(MAX(ROW(E$1:E5776)*(E5777=E$1:E5776)))))</f>
        <v> </v>
      </c>
      <c r="L5777" s="27"/>
    </row>
    <row r="5778" spans="1:12">
      <c r="A5778" s="20" t="s">
        <v>1333</v>
      </c>
      <c r="E5778" s="22">
        <f>IF(D5778="?OLD","!!!","")</f>
        <v/>
      </c>
      <c r="F5778" s="23" t="str">
        <f>IF(OR(E5778="",E5778="!!!"),"",IF(NOT(ISNA(VLOOKUP(E5778,E$1:E5777,1,FALSE()))),"OLD",IF(AND(E5778&lt;&gt;"",E5778&lt;&gt;"!!!"),"NEW","")))</f>
        <v> </v>
      </c>
      <c r="G5778" s="24" t="str">
        <f>IF(OR(E5778="",E5778="!!!"),"",IF(OR(J5778=0,AND(J5778=1,K5778=1),AND(J5778=1,I5778="SBJ"),AND(J5778=1,I5778=0)),"?IN_FOCUS",IF(J5778&lt;=2,"?ACTIVATED",IF(J5778&lt;&gt;"","?FAMILIAR",IF(F5778="NEW",IF(ISNA(VLOOKUP(E5778,#REF!,1,FALSE())),"?TYPE_IDENTIFIABLE","?REFERENTIAL"),"_")))))</f>
        <v> </v>
      </c>
      <c r="H5778" s="25" t="str">
        <f>IF(J5778&lt;&gt;1,"",IF(I5778="SBJ","CB","?"))</f>
        <v> </v>
      </c>
      <c r="I5778" s="26" t="str">
        <f>IF(OR(E5778="",E5778="!!!",F5778="NEW"),"",INDEX(B5777:B$2,-1+SUMPRODUCT(MAX(ROW(E5777:E$2)*(E5778=E5777:E$2)))))</f>
        <v> </v>
      </c>
      <c r="J5778" s="26" t="str">
        <f>IF(OR(E5778="",E5778="!!!",F5778="NEW"),"",COUNTBLANK(OFFSET(A$1,,,SUMPRODUCT(MAX(ROW(E$2:E5778)*(E5778=E$2:E5778)))))-COUNTBLANK(OFFSET(A$1,,,SUMPRODUCT(MAX(ROW(E$1:E5777)*(E2=E$1:E5777))))))</f>
        <v> </v>
      </c>
      <c r="K5778" s="26" t="str">
        <f>IF(OR(E5778="",E5778="!!!",F5778="NEW"),"",INDEX(J$1:J5777,SUMPRODUCT(MAX(ROW(E$1:E5777)*(E5778=E$1:E5777)))))</f>
        <v> </v>
      </c>
      <c r="L5778" s="27"/>
    </row>
    <row r="5779" spans="1:12">
      <c r="A5779" s="20" t="s">
        <v>970</v>
      </c>
      <c r="E5779" s="22">
        <f>IF(D5779="?OLD","!!!","")</f>
        <v/>
      </c>
      <c r="F5779" s="23" t="str">
        <f>IF(OR(E5779="",E5779="!!!"),"",IF(NOT(ISNA(VLOOKUP(E5779,E$1:E5778,1,FALSE()))),"OLD",IF(AND(E5779&lt;&gt;"",E5779&lt;&gt;"!!!"),"NEW","")))</f>
        <v> </v>
      </c>
      <c r="G5779" s="24" t="str">
        <f>IF(OR(E5779="",E5779="!!!"),"",IF(OR(J5779=0,AND(J5779=1,K5779=1),AND(J5779=1,I5779="SBJ"),AND(J5779=1,I5779=0)),"?IN_FOCUS",IF(J5779&lt;=2,"?ACTIVATED",IF(J5779&lt;&gt;"","?FAMILIAR",IF(F5779="NEW",IF(ISNA(VLOOKUP(E5779,#REF!,1,FALSE())),"?TYPE_IDENTIFIABLE","?REFERENTIAL"),"_")))))</f>
        <v> </v>
      </c>
      <c r="H5779" s="25" t="str">
        <f>IF(J5779&lt;&gt;1,"",IF(I5779="SBJ","CB","?"))</f>
        <v> </v>
      </c>
      <c r="I5779" s="26" t="str">
        <f>IF(OR(E5779="",E5779="!!!",F5779="NEW"),"",INDEX(B5778:B$2,-1+SUMPRODUCT(MAX(ROW(E5778:E$2)*(E5779=E5778:E$2)))))</f>
        <v> </v>
      </c>
      <c r="J5779" s="26" t="str">
        <f>IF(OR(E5779="",E5779="!!!",F5779="NEW"),"",COUNTBLANK(OFFSET(A$1,,,SUMPRODUCT(MAX(ROW(E$2:E5779)*(E5779=E$2:E5779)))))-COUNTBLANK(OFFSET(A$1,,,SUMPRODUCT(MAX(ROW(E$1:E5778)*(E2=E$1:E5778))))))</f>
        <v> </v>
      </c>
      <c r="K5779" s="26" t="str">
        <f>IF(OR(E5779="",E5779="!!!",F5779="NEW"),"",INDEX(J$1:J5778,SUMPRODUCT(MAX(ROW(E$1:E5778)*(E5779=E$1:E5778)))))</f>
        <v> </v>
      </c>
      <c r="L5779" s="27"/>
    </row>
    <row r="5780" spans="1:12">
      <c r="A5780" s="20" t="s">
        <v>1014</v>
      </c>
      <c r="E5780" s="22">
        <f>IF(D5780="?OLD","!!!","")</f>
        <v/>
      </c>
      <c r="F5780" s="23" t="str">
        <f>IF(OR(E5780="",E5780="!!!"),"",IF(NOT(ISNA(VLOOKUP(E5780,E$1:E5779,1,FALSE()))),"OLD",IF(AND(E5780&lt;&gt;"",E5780&lt;&gt;"!!!"),"NEW","")))</f>
        <v> </v>
      </c>
      <c r="G5780" s="24" t="str">
        <f>IF(OR(E5780="",E5780="!!!"),"",IF(OR(J5780=0,AND(J5780=1,K5780=1),AND(J5780=1,I5780="SBJ"),AND(J5780=1,I5780=0)),"?IN_FOCUS",IF(J5780&lt;=2,"?ACTIVATED",IF(J5780&lt;&gt;"","?FAMILIAR",IF(F5780="NEW",IF(ISNA(VLOOKUP(E5780,#REF!,1,FALSE())),"?TYPE_IDENTIFIABLE","?REFERENTIAL"),"_")))))</f>
        <v> </v>
      </c>
      <c r="H5780" s="25" t="str">
        <f>IF(J5780&lt;&gt;1,"",IF(I5780="SBJ","CB","?"))</f>
        <v> </v>
      </c>
      <c r="I5780" s="26" t="str">
        <f>IF(OR(E5780="",E5780="!!!",F5780="NEW"),"",INDEX(B5779:B$2,-1+SUMPRODUCT(MAX(ROW(E5779:E$2)*(E5780=E5779:E$2)))))</f>
        <v> </v>
      </c>
      <c r="J5780" s="26" t="str">
        <f>IF(OR(E5780="",E5780="!!!",F5780="NEW"),"",COUNTBLANK(OFFSET(A$1,,,SUMPRODUCT(MAX(ROW(E$2:E5780)*(E5780=E$2:E5780)))))-COUNTBLANK(OFFSET(A$1,,,SUMPRODUCT(MAX(ROW(E$1:E5779)*(E2=E$1:E5779))))))</f>
        <v> </v>
      </c>
      <c r="K5780" s="26" t="str">
        <f>IF(OR(E5780="",E5780="!!!",F5780="NEW"),"",INDEX(J$1:J5779,SUMPRODUCT(MAX(ROW(E$1:E5779)*(E5780=E$1:E5779)))))</f>
        <v> </v>
      </c>
      <c r="L5780" s="27"/>
    </row>
    <row r="5781" spans="1:12">
      <c r="A5781" s="20" t="s">
        <v>1357</v>
      </c>
      <c r="E5781" s="22">
        <f>IF(D5781="?OLD","!!!","")</f>
        <v/>
      </c>
      <c r="F5781" s="23" t="str">
        <f>IF(OR(E5781="",E5781="!!!"),"",IF(NOT(ISNA(VLOOKUP(E5781,E$1:E5780,1,FALSE()))),"OLD",IF(AND(E5781&lt;&gt;"",E5781&lt;&gt;"!!!"),"NEW","")))</f>
        <v> </v>
      </c>
      <c r="G5781" s="24" t="str">
        <f>IF(OR(E5781="",E5781="!!!"),"",IF(OR(J5781=0,AND(J5781=1,K5781=1),AND(J5781=1,I5781="SBJ"),AND(J5781=1,I5781=0)),"?IN_FOCUS",IF(J5781&lt;=2,"?ACTIVATED",IF(J5781&lt;&gt;"","?FAMILIAR",IF(F5781="NEW",IF(ISNA(VLOOKUP(E5781,#REF!,1,FALSE())),"?TYPE_IDENTIFIABLE","?REFERENTIAL"),"_")))))</f>
        <v> </v>
      </c>
      <c r="H5781" s="25" t="str">
        <f>IF(J5781&lt;&gt;1,"",IF(I5781="SBJ","CB","?"))</f>
        <v> </v>
      </c>
      <c r="I5781" s="26" t="str">
        <f>IF(OR(E5781="",E5781="!!!",F5781="NEW"),"",INDEX(B5780:B$2,-1+SUMPRODUCT(MAX(ROW(E5780:E$2)*(E5781=E5780:E$2)))))</f>
        <v> </v>
      </c>
      <c r="J5781" s="26" t="str">
        <f>IF(OR(E5781="",E5781="!!!",F5781="NEW"),"",COUNTBLANK(OFFSET(A$1,,,SUMPRODUCT(MAX(ROW(E$2:E5781)*(E5781=E$2:E5781)))))-COUNTBLANK(OFFSET(A$1,,,SUMPRODUCT(MAX(ROW(E$1:E5780)*(E2=E$1:E5780))))))</f>
        <v> </v>
      </c>
      <c r="K5781" s="26" t="str">
        <f>IF(OR(E5781="",E5781="!!!",F5781="NEW"),"",INDEX(J$1:J5780,SUMPRODUCT(MAX(ROW(E$1:E5780)*(E5781=E$1:E5780)))))</f>
        <v> </v>
      </c>
      <c r="L5781" s="27"/>
    </row>
    <row r="5782" spans="1:12">
      <c r="A5782" s="20" t="s">
        <v>1015</v>
      </c>
      <c r="E5782" s="22">
        <f>IF(D5782="?OLD","!!!","")</f>
        <v/>
      </c>
      <c r="F5782" s="23" t="str">
        <f>IF(OR(E5782="",E5782="!!!"),"",IF(NOT(ISNA(VLOOKUP(E5782,E$1:E5781,1,FALSE()))),"OLD",IF(AND(E5782&lt;&gt;"",E5782&lt;&gt;"!!!"),"NEW","")))</f>
        <v> </v>
      </c>
      <c r="G5782" s="24" t="str">
        <f>IF(OR(E5782="",E5782="!!!"),"",IF(OR(J5782=0,AND(J5782=1,K5782=1),AND(J5782=1,I5782="SBJ"),AND(J5782=1,I5782=0)),"?IN_FOCUS",IF(J5782&lt;=2,"?ACTIVATED",IF(J5782&lt;&gt;"","?FAMILIAR",IF(F5782="NEW",IF(ISNA(VLOOKUP(E5782,#REF!,1,FALSE())),"?TYPE_IDENTIFIABLE","?REFERENTIAL"),"_")))))</f>
        <v> </v>
      </c>
      <c r="H5782" s="25" t="str">
        <f>IF(J5782&lt;&gt;1,"",IF(I5782="SBJ","CB","?"))</f>
        <v> </v>
      </c>
      <c r="I5782" s="26" t="str">
        <f>IF(OR(E5782="",E5782="!!!",F5782="NEW"),"",INDEX(B5781:B$2,-1+SUMPRODUCT(MAX(ROW(E5781:E$2)*(E5782=E5781:E$2)))))</f>
        <v> </v>
      </c>
      <c r="J5782" s="26" t="str">
        <f>IF(OR(E5782="",E5782="!!!",F5782="NEW"),"",COUNTBLANK(OFFSET(A$1,,,SUMPRODUCT(MAX(ROW(E$2:E5782)*(E5782=E$2:E5782)))))-COUNTBLANK(OFFSET(A$1,,,SUMPRODUCT(MAX(ROW(E$1:E5781)*(E2=E$1:E5781))))))</f>
        <v> </v>
      </c>
      <c r="K5782" s="26" t="str">
        <f>IF(OR(E5782="",E5782="!!!",F5782="NEW"),"",INDEX(J$1:J5781,SUMPRODUCT(MAX(ROW(E$1:E5781)*(E5782=E$1:E5781)))))</f>
        <v> </v>
      </c>
      <c r="L5782" s="27"/>
    </row>
    <row r="5783" spans="1:12">
      <c r="A5783" s="20" t="s">
        <v>2556</v>
      </c>
      <c r="B5783" s="21" t="s">
        <v>1066</v>
      </c>
      <c r="C5783" s="21" t="s">
        <v>1205</v>
      </c>
      <c r="E5783" s="22">
        <f>IF(D5783="?OLD","!!!","")</f>
        <v/>
      </c>
      <c r="F5783" s="23" t="str">
        <f>IF(OR(E5783="",E5783="!!!"),"",IF(NOT(ISNA(VLOOKUP(E5783,E$1:E5782,1,FALSE()))),"OLD",IF(AND(E5783&lt;&gt;"",E5783&lt;&gt;"!!!"),"NEW","")))</f>
        <v> </v>
      </c>
      <c r="G5783" s="24" t="str">
        <f>IF(OR(E5783="",E5783="!!!"),"",IF(OR(J5783=0,AND(J5783=1,K5783=1),AND(J5783=1,I5783="SBJ"),AND(J5783=1,I5783=0)),"?IN_FOCUS",IF(J5783&lt;=2,"?ACTIVATED",IF(J5783&lt;&gt;"","?FAMILIAR",IF(F5783="NEW",IF(ISNA(VLOOKUP(E5783,#REF!,1,FALSE())),"?TYPE_IDENTIFIABLE","?REFERENTIAL"),"_")))))</f>
        <v> </v>
      </c>
      <c r="H5783" s="25" t="str">
        <f>IF(J5783&lt;&gt;1,"",IF(I5783="SBJ","CB","?"))</f>
        <v> </v>
      </c>
      <c r="I5783" s="26" t="str">
        <f>IF(OR(E5783="",E5783="!!!",F5783="NEW"),"",INDEX(B5782:B$2,-1+SUMPRODUCT(MAX(ROW(E5782:E$2)*(E5783=E5782:E$2)))))</f>
        <v> </v>
      </c>
      <c r="J5783" s="26" t="str">
        <f>IF(OR(E5783="",E5783="!!!",F5783="NEW"),"",COUNTBLANK(OFFSET(A$1,,,SUMPRODUCT(MAX(ROW(E$2:E5783)*(E5783=E$2:E5783)))))-COUNTBLANK(OFFSET(A$1,,,SUMPRODUCT(MAX(ROW(E$1:E5782)*(E2=E$1:E5782))))))</f>
        <v> </v>
      </c>
      <c r="K5783" s="26" t="str">
        <f>IF(OR(E5783="",E5783="!!!",F5783="NEW"),"",INDEX(J$1:J5782,SUMPRODUCT(MAX(ROW(E$1:E5782)*(E5783=E$1:E5782)))))</f>
        <v> </v>
      </c>
      <c r="L5783" s="27"/>
    </row>
    <row r="5784" spans="1:12">
      <c r="A5784" s="20" t="s">
        <v>1065</v>
      </c>
      <c r="B5784" s="21" t="s">
        <v>1437</v>
      </c>
      <c r="E5784" s="22">
        <f>IF(D5784="?OLD","!!!","")</f>
        <v/>
      </c>
      <c r="F5784" s="23" t="str">
        <f>IF(OR(E5784="",E5784="!!!"),"",IF(NOT(ISNA(VLOOKUP(E5784,E$1:E5783,1,FALSE()))),"OLD",IF(AND(E5784&lt;&gt;"",E5784&lt;&gt;"!!!"),"NEW","")))</f>
        <v> </v>
      </c>
      <c r="G5784" s="24" t="str">
        <f>IF(OR(E5784="",E5784="!!!"),"",IF(OR(J5784=0,AND(J5784=1,K5784=1),AND(J5784=1,I5784="SBJ"),AND(J5784=1,I5784=0)),"?IN_FOCUS",IF(J5784&lt;=2,"?ACTIVATED",IF(J5784&lt;&gt;"","?FAMILIAR",IF(F5784="NEW",IF(ISNA(VLOOKUP(E5784,#REF!,1,FALSE())),"?TYPE_IDENTIFIABLE","?REFERENTIAL"),"_")))))</f>
        <v> </v>
      </c>
      <c r="H5784" s="25" t="str">
        <f>IF(J5784&lt;&gt;1,"",IF(I5784="SBJ","CB","?"))</f>
        <v> </v>
      </c>
      <c r="I5784" s="26" t="str">
        <f>IF(OR(E5784="",E5784="!!!",F5784="NEW"),"",INDEX(B5783:B$2,-1+SUMPRODUCT(MAX(ROW(E5783:E$2)*(E5784=E5783:E$2)))))</f>
        <v> </v>
      </c>
      <c r="J5784" s="26" t="str">
        <f>IF(OR(E5784="",E5784="!!!",F5784="NEW"),"",COUNTBLANK(OFFSET(A$1,,,SUMPRODUCT(MAX(ROW(E$2:E5784)*(E5784=E$2:E5784)))))-COUNTBLANK(OFFSET(A$1,,,SUMPRODUCT(MAX(ROW(E$1:E5783)*(E2=E$1:E5783))))))</f>
        <v> </v>
      </c>
      <c r="K5784" s="26" t="str">
        <f>IF(OR(E5784="",E5784="!!!",F5784="NEW"),"",INDEX(J$1:J5783,SUMPRODUCT(MAX(ROW(E$1:E5783)*(E5784=E$1:E5783)))))</f>
        <v> </v>
      </c>
      <c r="L5784" s="27"/>
    </row>
    <row r="5785" spans="1:12">
      <c r="A5785" s="20" t="s">
        <v>1178</v>
      </c>
      <c r="E5785" s="22">
        <f>IF(D5785="?OLD","!!!","")</f>
        <v/>
      </c>
      <c r="F5785" s="23" t="str">
        <f>IF(OR(E5785="",E5785="!!!"),"",IF(NOT(ISNA(VLOOKUP(E5785,E$1:E5784,1,FALSE()))),"OLD",IF(AND(E5785&lt;&gt;"",E5785&lt;&gt;"!!!"),"NEW","")))</f>
        <v> </v>
      </c>
      <c r="G5785" s="24" t="str">
        <f>IF(OR(E5785="",E5785="!!!"),"",IF(OR(J5785=0,AND(J5785=1,K5785=1),AND(J5785=1,I5785="SBJ"),AND(J5785=1,I5785=0)),"?IN_FOCUS",IF(J5785&lt;=2,"?ACTIVATED",IF(J5785&lt;&gt;"","?FAMILIAR",IF(F5785="NEW",IF(ISNA(VLOOKUP(E5785,#REF!,1,FALSE())),"?TYPE_IDENTIFIABLE","?REFERENTIAL"),"_")))))</f>
        <v> </v>
      </c>
      <c r="H5785" s="25" t="str">
        <f>IF(J5785&lt;&gt;1,"",IF(I5785="SBJ","CB","?"))</f>
        <v> </v>
      </c>
      <c r="I5785" s="26" t="str">
        <f>IF(OR(E5785="",E5785="!!!",F5785="NEW"),"",INDEX(B5784:B$2,-1+SUMPRODUCT(MAX(ROW(E5784:E$2)*(E5785=E5784:E$2)))))</f>
        <v> </v>
      </c>
      <c r="J5785" s="26" t="str">
        <f>IF(OR(E5785="",E5785="!!!",F5785="NEW"),"",COUNTBLANK(OFFSET(A$1,,,SUMPRODUCT(MAX(ROW(E$2:E5785)*(E5785=E$2:E5785)))))-COUNTBLANK(OFFSET(A$1,,,SUMPRODUCT(MAX(ROW(E$1:E5784)*(E2=E$1:E5784))))))</f>
        <v> </v>
      </c>
      <c r="K5785" s="26" t="str">
        <f>IF(OR(E5785="",E5785="!!!",F5785="NEW"),"",INDEX(J$1:J5784,SUMPRODUCT(MAX(ROW(E$1:E5784)*(E5785=E$1:E5784)))))</f>
        <v> </v>
      </c>
      <c r="L5785" s="27"/>
    </row>
    <row r="5786" spans="1:12">
      <c r="A5786" s="20" t="s">
        <v>2557</v>
      </c>
      <c r="E5786" s="22">
        <f>IF(D5786="?OLD","!!!","")</f>
        <v/>
      </c>
      <c r="F5786" s="23" t="str">
        <f>IF(OR(E5786="",E5786="!!!"),"",IF(NOT(ISNA(VLOOKUP(E5786,E$1:E5785,1,FALSE()))),"OLD",IF(AND(E5786&lt;&gt;"",E5786&lt;&gt;"!!!"),"NEW","")))</f>
        <v> </v>
      </c>
      <c r="G5786" s="24" t="str">
        <f>IF(OR(E5786="",E5786="!!!"),"",IF(OR(J5786=0,AND(J5786=1,K5786=1),AND(J5786=1,I5786="SBJ"),AND(J5786=1,I5786=0)),"?IN_FOCUS",IF(J5786&lt;=2,"?ACTIVATED",IF(J5786&lt;&gt;"","?FAMILIAR",IF(F5786="NEW",IF(ISNA(VLOOKUP(E5786,#REF!,1,FALSE())),"?TYPE_IDENTIFIABLE","?REFERENTIAL"),"_")))))</f>
        <v> </v>
      </c>
      <c r="H5786" s="25" t="str">
        <f>IF(J5786&lt;&gt;1,"",IF(I5786="SBJ","CB","?"))</f>
        <v> </v>
      </c>
      <c r="I5786" s="26" t="str">
        <f>IF(OR(E5786="",E5786="!!!",F5786="NEW"),"",INDEX(B5785:B$2,-1+SUMPRODUCT(MAX(ROW(E5785:E$2)*(E5786=E5785:E$2)))))</f>
        <v> </v>
      </c>
      <c r="J5786" s="26" t="str">
        <f>IF(OR(E5786="",E5786="!!!",F5786="NEW"),"",COUNTBLANK(OFFSET(A$1,,,SUMPRODUCT(MAX(ROW(E$2:E5786)*(E5786=E$2:E5786)))))-COUNTBLANK(OFFSET(A$1,,,SUMPRODUCT(MAX(ROW(E$1:E5785)*(E2=E$1:E5785))))))</f>
        <v> </v>
      </c>
      <c r="K5786" s="26" t="str">
        <f>IF(OR(E5786="",E5786="!!!",F5786="NEW"),"",INDEX(J$1:J5785,SUMPRODUCT(MAX(ROW(E$1:E5785)*(E5786=E$1:E5785)))))</f>
        <v> </v>
      </c>
      <c r="L5786" s="27"/>
    </row>
    <row r="5787" spans="1:12">
      <c r="A5787" s="20" t="s">
        <v>1127</v>
      </c>
      <c r="E5787" s="22">
        <f>IF(D5787="?OLD","!!!","")</f>
        <v/>
      </c>
      <c r="F5787" s="23" t="str">
        <f>IF(OR(E5787="",E5787="!!!"),"",IF(NOT(ISNA(VLOOKUP(E5787,E$1:E5786,1,FALSE()))),"OLD",IF(AND(E5787&lt;&gt;"",E5787&lt;&gt;"!!!"),"NEW","")))</f>
        <v> </v>
      </c>
      <c r="G5787" s="24" t="str">
        <f>IF(OR(E5787="",E5787="!!!"),"",IF(OR(J5787=0,AND(J5787=1,K5787=1),AND(J5787=1,I5787="SBJ"),AND(J5787=1,I5787=0)),"?IN_FOCUS",IF(J5787&lt;=2,"?ACTIVATED",IF(J5787&lt;&gt;"","?FAMILIAR",IF(F5787="NEW",IF(ISNA(VLOOKUP(E5787,#REF!,1,FALSE())),"?TYPE_IDENTIFIABLE","?REFERENTIAL"),"_")))))</f>
        <v> </v>
      </c>
      <c r="H5787" s="25" t="str">
        <f>IF(J5787&lt;&gt;1,"",IF(I5787="SBJ","CB","?"))</f>
        <v> </v>
      </c>
      <c r="I5787" s="26" t="str">
        <f>IF(OR(E5787="",E5787="!!!",F5787="NEW"),"",INDEX(B5786:B$2,-1+SUMPRODUCT(MAX(ROW(E5786:E$2)*(E5787=E5786:E$2)))))</f>
        <v> </v>
      </c>
      <c r="J5787" s="26" t="str">
        <f>IF(OR(E5787="",E5787="!!!",F5787="NEW"),"",COUNTBLANK(OFFSET(A$1,,,SUMPRODUCT(MAX(ROW(E$2:E5787)*(E5787=E$2:E5787)))))-COUNTBLANK(OFFSET(A$1,,,SUMPRODUCT(MAX(ROW(E$1:E5786)*(E2=E$1:E5786))))))</f>
        <v> </v>
      </c>
      <c r="K5787" s="26" t="str">
        <f>IF(OR(E5787="",E5787="!!!",F5787="NEW"),"",INDEX(J$1:J5786,SUMPRODUCT(MAX(ROW(E$1:E5786)*(E5787=E$1:E5786)))))</f>
        <v> </v>
      </c>
      <c r="L5787" s="27"/>
    </row>
    <row r="5788" spans="1:12">
      <c r="A5788" s="20" t="s">
        <v>1020</v>
      </c>
      <c r="E5788" s="22">
        <f>IF(D5788="?OLD","!!!","")</f>
        <v/>
      </c>
      <c r="F5788" s="23" t="str">
        <f>IF(OR(E5788="",E5788="!!!"),"",IF(NOT(ISNA(VLOOKUP(E5788,E$1:E5787,1,FALSE()))),"OLD",IF(AND(E5788&lt;&gt;"",E5788&lt;&gt;"!!!"),"NEW","")))</f>
        <v> </v>
      </c>
      <c r="G5788" s="24" t="str">
        <f>IF(OR(E5788="",E5788="!!!"),"",IF(OR(J5788=0,AND(J5788=1,K5788=1),AND(J5788=1,I5788="SBJ"),AND(J5788=1,I5788=0)),"?IN_FOCUS",IF(J5788&lt;=2,"?ACTIVATED",IF(J5788&lt;&gt;"","?FAMILIAR",IF(F5788="NEW",IF(ISNA(VLOOKUP(E5788,#REF!,1,FALSE())),"?TYPE_IDENTIFIABLE","?REFERENTIAL"),"_")))))</f>
        <v> </v>
      </c>
      <c r="H5788" s="25" t="str">
        <f>IF(J5788&lt;&gt;1,"",IF(I5788="SBJ","CB","?"))</f>
        <v> </v>
      </c>
      <c r="I5788" s="26" t="str">
        <f>IF(OR(E5788="",E5788="!!!",F5788="NEW"),"",INDEX(B5787:B$2,-1+SUMPRODUCT(MAX(ROW(E5787:E$2)*(E5788=E5787:E$2)))))</f>
        <v> </v>
      </c>
      <c r="J5788" s="26" t="str">
        <f>IF(OR(E5788="",E5788="!!!",F5788="NEW"),"",COUNTBLANK(OFFSET(A$1,,,SUMPRODUCT(MAX(ROW(E$2:E5788)*(E5788=E$2:E5788)))))-COUNTBLANK(OFFSET(A$1,,,SUMPRODUCT(MAX(ROW(E$1:E5787)*(E2=E$1:E5787))))))</f>
        <v> </v>
      </c>
      <c r="K5788" s="26" t="str">
        <f>IF(OR(E5788="",E5788="!!!",F5788="NEW"),"",INDEX(J$1:J5787,SUMPRODUCT(MAX(ROW(E$1:E5787)*(E5788=E$1:E5787)))))</f>
        <v> </v>
      </c>
      <c r="L5788" s="27"/>
    </row>
    <row r="5789" spans="1:12">
      <c r="A5789" s="20" t="s">
        <v>2462</v>
      </c>
      <c r="B5789" s="21" t="s">
        <v>1487</v>
      </c>
      <c r="C5789" s="21" t="s">
        <v>1017</v>
      </c>
      <c r="D5789" s="21" t="s">
        <v>1007</v>
      </c>
      <c r="E5789" s="22">
        <f>IF(D5789="?OLD","!!!","")</f>
        <v/>
      </c>
      <c r="F5789" s="23" t="str">
        <f>IF(OR(E5789="",E5789="!!!"),"",IF(NOT(ISNA(VLOOKUP(E5789,E$1:E5788,1,FALSE()))),"OLD",IF(AND(E5789&lt;&gt;"",E5789&lt;&gt;"!!!"),"NEW","")))</f>
        <v> </v>
      </c>
      <c r="G5789" s="24" t="str">
        <f>IF(OR(E5789="",E5789="!!!"),"",IF(OR(J5789=0,AND(J5789=1,K5789=1),AND(J5789=1,I5789="SBJ"),AND(J5789=1,I5789=0)),"?IN_FOCUS",IF(J5789&lt;=2,"?ACTIVATED",IF(J5789&lt;&gt;"","?FAMILIAR",IF(F5789="NEW",IF(ISNA(VLOOKUP(E5789,#REF!,1,FALSE())),"?TYPE_IDENTIFIABLE","?REFERENTIAL"),"_")))))</f>
        <v> </v>
      </c>
      <c r="H5789" s="25" t="str">
        <f>IF(J5789&lt;&gt;1,"",IF(I5789="SBJ","CB","?"))</f>
        <v> </v>
      </c>
      <c r="I5789" s="26" t="str">
        <f>IF(OR(E5789="",E5789="!!!",F5789="NEW"),"",INDEX(B5788:B$2,-1+SUMPRODUCT(MAX(ROW(E5788:E$2)*(E5789=E5788:E$2)))))</f>
        <v> </v>
      </c>
      <c r="J5789" s="26" t="str">
        <f>IF(OR(E5789="",E5789="!!!",F5789="NEW"),"",COUNTBLANK(OFFSET(A$1,,,SUMPRODUCT(MAX(ROW(E$2:E5789)*(E5789=E$2:E5789)))))-COUNTBLANK(OFFSET(A$1,,,SUMPRODUCT(MAX(ROW(E$1:E5788)*(E2=E$1:E5788))))))</f>
        <v> </v>
      </c>
      <c r="K5789" s="26" t="str">
        <f>IF(OR(E5789="",E5789="!!!",F5789="NEW"),"",INDEX(J$1:J5788,SUMPRODUCT(MAX(ROW(E$1:E5788)*(E5789=E$1:E5788)))))</f>
        <v> </v>
      </c>
      <c r="L5789" s="27"/>
    </row>
    <row r="5790" spans="1:12">
      <c r="A5790" s="20" t="s">
        <v>1065</v>
      </c>
      <c r="B5790" s="21" t="s">
        <v>2451</v>
      </c>
      <c r="E5790" s="22">
        <f>IF(D5790="?OLD","!!!","")</f>
        <v/>
      </c>
      <c r="F5790" s="23" t="str">
        <f>IF(OR(E5790="",E5790="!!!"),"",IF(NOT(ISNA(VLOOKUP(E5790,E$1:E5789,1,FALSE()))),"OLD",IF(AND(E5790&lt;&gt;"",E5790&lt;&gt;"!!!"),"NEW","")))</f>
        <v> </v>
      </c>
      <c r="G5790" s="24" t="str">
        <f>IF(OR(E5790="",E5790="!!!"),"",IF(OR(J5790=0,AND(J5790=1,K5790=1),AND(J5790=1,I5790="SBJ"),AND(J5790=1,I5790=0)),"?IN_FOCUS",IF(J5790&lt;=2,"?ACTIVATED",IF(J5790&lt;&gt;"","?FAMILIAR",IF(F5790="NEW",IF(ISNA(VLOOKUP(E5790,#REF!,1,FALSE())),"?TYPE_IDENTIFIABLE","?REFERENTIAL"),"_")))))</f>
        <v> </v>
      </c>
      <c r="H5790" s="25" t="str">
        <f>IF(J5790&lt;&gt;1,"",IF(I5790="SBJ","CB","?"))</f>
        <v> </v>
      </c>
      <c r="I5790" s="26" t="str">
        <f>IF(OR(E5790="",E5790="!!!",F5790="NEW"),"",INDEX(B5789:B$2,-1+SUMPRODUCT(MAX(ROW(E5789:E$2)*(E5790=E5789:E$2)))))</f>
        <v> </v>
      </c>
      <c r="J5790" s="26" t="str">
        <f>IF(OR(E5790="",E5790="!!!",F5790="NEW"),"",COUNTBLANK(OFFSET(A$1,,,SUMPRODUCT(MAX(ROW(E$2:E5790)*(E5790=E$2:E5790)))))-COUNTBLANK(OFFSET(A$1,,,SUMPRODUCT(MAX(ROW(E$1:E5789)*(E2=E$1:E5789))))))</f>
        <v> </v>
      </c>
      <c r="K5790" s="26" t="str">
        <f>IF(OR(E5790="",E5790="!!!",F5790="NEW"),"",INDEX(J$1:J5789,SUMPRODUCT(MAX(ROW(E$1:E5789)*(E5790=E$1:E5789)))))</f>
        <v> </v>
      </c>
      <c r="L5790" s="27"/>
    </row>
    <row r="5791" spans="1:12">
      <c r="A5791" s="20" t="s">
        <v>1169</v>
      </c>
      <c r="E5791" s="22">
        <f>IF(D5791="?OLD","!!!","")</f>
        <v/>
      </c>
      <c r="F5791" s="23" t="str">
        <f>IF(OR(E5791="",E5791="!!!"),"",IF(NOT(ISNA(VLOOKUP(E5791,E$1:E5790,1,FALSE()))),"OLD",IF(AND(E5791&lt;&gt;"",E5791&lt;&gt;"!!!"),"NEW","")))</f>
        <v> </v>
      </c>
      <c r="G5791" s="24" t="str">
        <f>IF(OR(E5791="",E5791="!!!"),"",IF(OR(J5791=0,AND(J5791=1,K5791=1),AND(J5791=1,I5791="SBJ"),AND(J5791=1,I5791=0)),"?IN_FOCUS",IF(J5791&lt;=2,"?ACTIVATED",IF(J5791&lt;&gt;"","?FAMILIAR",IF(F5791="NEW",IF(ISNA(VLOOKUP(E5791,#REF!,1,FALSE())),"?TYPE_IDENTIFIABLE","?REFERENTIAL"),"_")))))</f>
        <v> </v>
      </c>
      <c r="H5791" s="25" t="str">
        <f>IF(J5791&lt;&gt;1,"",IF(I5791="SBJ","CB","?"))</f>
        <v> </v>
      </c>
      <c r="I5791" s="26" t="str">
        <f>IF(OR(E5791="",E5791="!!!",F5791="NEW"),"",INDEX(B5790:B$2,-1+SUMPRODUCT(MAX(ROW(E5790:E$2)*(E5791=E5790:E$2)))))</f>
        <v> </v>
      </c>
      <c r="J5791" s="26" t="str">
        <f>IF(OR(E5791="",E5791="!!!",F5791="NEW"),"",COUNTBLANK(OFFSET(A$1,,,SUMPRODUCT(MAX(ROW(E$2:E5791)*(E5791=E$2:E5791)))))-COUNTBLANK(OFFSET(A$1,,,SUMPRODUCT(MAX(ROW(E$1:E5790)*(E2=E$1:E5790))))))</f>
        <v> </v>
      </c>
      <c r="K5791" s="26" t="str">
        <f>IF(OR(E5791="",E5791="!!!",F5791="NEW"),"",INDEX(J$1:J5790,SUMPRODUCT(MAX(ROW(E$1:E5790)*(E5791=E$1:E5790)))))</f>
        <v> </v>
      </c>
      <c r="L5791" s="27"/>
    </row>
    <row r="5792" spans="1:12">
      <c r="A5792" s="20" t="s">
        <v>1077</v>
      </c>
      <c r="E5792" s="22">
        <f>IF(D5792="?OLD","!!!","")</f>
        <v/>
      </c>
      <c r="F5792" s="23" t="str">
        <f>IF(OR(E5792="",E5792="!!!"),"",IF(NOT(ISNA(VLOOKUP(E5792,E$1:E5791,1,FALSE()))),"OLD",IF(AND(E5792&lt;&gt;"",E5792&lt;&gt;"!!!"),"NEW","")))</f>
        <v> </v>
      </c>
      <c r="G5792" s="24" t="str">
        <f>IF(OR(E5792="",E5792="!!!"),"",IF(OR(J5792=0,AND(J5792=1,K5792=1),AND(J5792=1,I5792="SBJ"),AND(J5792=1,I5792=0)),"?IN_FOCUS",IF(J5792&lt;=2,"?ACTIVATED",IF(J5792&lt;&gt;"","?FAMILIAR",IF(F5792="NEW",IF(ISNA(VLOOKUP(E5792,#REF!,1,FALSE())),"?TYPE_IDENTIFIABLE","?REFERENTIAL"),"_")))))</f>
        <v> </v>
      </c>
      <c r="H5792" s="25" t="str">
        <f>IF(J5792&lt;&gt;1,"",IF(I5792="SBJ","CB","?"))</f>
        <v> </v>
      </c>
      <c r="I5792" s="26" t="str">
        <f>IF(OR(E5792="",E5792="!!!",F5792="NEW"),"",INDEX(B5791:B$2,-1+SUMPRODUCT(MAX(ROW(E5791:E$2)*(E5792=E5791:E$2)))))</f>
        <v> </v>
      </c>
      <c r="J5792" s="26" t="str">
        <f>IF(OR(E5792="",E5792="!!!",F5792="NEW"),"",COUNTBLANK(OFFSET(A$1,,,SUMPRODUCT(MAX(ROW(E$2:E5792)*(E5792=E$2:E5792)))))-COUNTBLANK(OFFSET(A$1,,,SUMPRODUCT(MAX(ROW(E$1:E5791)*(E2=E$1:E5791))))))</f>
        <v> </v>
      </c>
      <c r="K5792" s="26" t="str">
        <f>IF(OR(E5792="",E5792="!!!",F5792="NEW"),"",INDEX(J$1:J5791,SUMPRODUCT(MAX(ROW(E$1:E5791)*(E5792=E$1:E5791)))))</f>
        <v> </v>
      </c>
      <c r="L5792" s="27"/>
    </row>
    <row r="5793" spans="1:12">
      <c r="A5793" s="20"/>
    </row>
    <row r="5794" spans="1:12">
      <c r="A5794" s="20" t="s">
        <v>2325</v>
      </c>
    </row>
    <row r="5795" spans="1:12">
      <c r="A5795" s="20" t="s">
        <v>1118</v>
      </c>
      <c r="B5795" s="21" t="s">
        <v>1005</v>
      </c>
      <c r="C5795" s="21" t="s">
        <v>1048</v>
      </c>
      <c r="E5795" s="22">
        <f>IF(D5795="?OLD","!!!","")</f>
        <v/>
      </c>
      <c r="F5795" s="23" t="str">
        <f>IF(OR(E5795="",E5795="!!!"),"",IF(NOT(ISNA(VLOOKUP(E5795,E$1:E5794,1,FALSE()))),"OLD",IF(AND(E5795&lt;&gt;"",E5795&lt;&gt;"!!!"),"NEW","")))</f>
        <v> </v>
      </c>
      <c r="G5795" s="24" t="str">
        <f>IF(OR(E5795="",E5795="!!!"),"",IF(OR(J5795=0,AND(J5795=1,K5795=1),AND(J5795=1,I5795="SBJ"),AND(J5795=1,I5795=0)),"?IN_FOCUS",IF(J5795&lt;=2,"?ACTIVATED",IF(J5795&lt;&gt;"","?FAMILIAR",IF(F5795="NEW",IF(ISNA(VLOOKUP(E5795,#REF!,1,FALSE())),"?TYPE_IDENTIFIABLE","?REFERENTIAL"),"_")))))</f>
        <v> </v>
      </c>
      <c r="H5795" s="25" t="str">
        <f>IF(J5795&lt;&gt;1,"",IF(I5795="SBJ","CB","?"))</f>
        <v> </v>
      </c>
      <c r="I5795" s="26" t="str">
        <f>IF(OR(E5795="",E5795="!!!",F5795="NEW"),"",INDEX(B5794:B$2,-1+SUMPRODUCT(MAX(ROW(E5794:E$2)*(E5795=E5794:E$2)))))</f>
        <v> </v>
      </c>
      <c r="J5795" s="26" t="str">
        <f>IF(OR(E5795="",E5795="!!!",F5795="NEW"),"",COUNTBLANK(OFFSET(A$1,,,SUMPRODUCT(MAX(ROW(E$2:E5795)*(E5795=E$2:E5795)))))-COUNTBLANK(OFFSET(A$1,,,SUMPRODUCT(MAX(ROW(E$1:E5794)*(E2=E$1:E5794))))))</f>
        <v> </v>
      </c>
      <c r="K5795" s="26" t="str">
        <f>IF(OR(E5795="",E5795="!!!",F5795="NEW"),"",INDEX(J$1:J5794,SUMPRODUCT(MAX(ROW(E$1:E5794)*(E5795=E$1:E5794)))))</f>
        <v> </v>
      </c>
      <c r="L5795" s="27"/>
    </row>
    <row r="5796" spans="1:12">
      <c r="A5796" s="20" t="s">
        <v>1009</v>
      </c>
      <c r="E5796" s="22">
        <f>IF(D5796="?OLD","!!!","")</f>
        <v/>
      </c>
      <c r="F5796" s="23" t="str">
        <f>IF(OR(E5796="",E5796="!!!"),"",IF(NOT(ISNA(VLOOKUP(E5796,E$1:E5795,1,FALSE()))),"OLD",IF(AND(E5796&lt;&gt;"",E5796&lt;&gt;"!!!"),"NEW","")))</f>
        <v> </v>
      </c>
      <c r="G5796" s="24" t="str">
        <f>IF(OR(E5796="",E5796="!!!"),"",IF(OR(J5796=0,AND(J5796=1,K5796=1),AND(J5796=1,I5796="SBJ"),AND(J5796=1,I5796=0)),"?IN_FOCUS",IF(J5796&lt;=2,"?ACTIVATED",IF(J5796&lt;&gt;"","?FAMILIAR",IF(F5796="NEW",IF(ISNA(VLOOKUP(E5796,#REF!,1,FALSE())),"?TYPE_IDENTIFIABLE","?REFERENTIAL"),"_")))))</f>
        <v> </v>
      </c>
      <c r="H5796" s="25" t="str">
        <f>IF(J5796&lt;&gt;1,"",IF(I5796="SBJ","CB","?"))</f>
        <v> </v>
      </c>
      <c r="I5796" s="26" t="str">
        <f>IF(OR(E5796="",E5796="!!!",F5796="NEW"),"",INDEX(B5795:B$2,-1+SUMPRODUCT(MAX(ROW(E5795:E$2)*(E5796=E5795:E$2)))))</f>
        <v> </v>
      </c>
      <c r="J5796" s="26" t="str">
        <f>IF(OR(E5796="",E5796="!!!",F5796="NEW"),"",COUNTBLANK(OFFSET(A$1,,,SUMPRODUCT(MAX(ROW(E$2:E5796)*(E5796=E$2:E5796)))))-COUNTBLANK(OFFSET(A$1,,,SUMPRODUCT(MAX(ROW(E$1:E5795)*(E2=E$1:E5795))))))</f>
        <v> </v>
      </c>
      <c r="K5796" s="26" t="str">
        <f>IF(OR(E5796="",E5796="!!!",F5796="NEW"),"",INDEX(J$1:J5795,SUMPRODUCT(MAX(ROW(E$1:E5795)*(E5796=E$1:E5795)))))</f>
        <v> </v>
      </c>
      <c r="L5796" s="27"/>
    </row>
    <row r="5797" spans="1:12">
      <c r="A5797" s="20"/>
    </row>
    <row r="5798" spans="1:12">
      <c r="A5798" s="20" t="s">
        <v>2558</v>
      </c>
    </row>
    <row r="5799" spans="1:12">
      <c r="A5799" s="20" t="s">
        <v>1153</v>
      </c>
      <c r="E5799" s="22">
        <f>IF(D5799="?OLD","!!!","")</f>
        <v/>
      </c>
      <c r="F5799" s="23" t="str">
        <f>IF(OR(E5799="",E5799="!!!"),"",IF(NOT(ISNA(VLOOKUP(E5799,E$1:E5798,1,FALSE()))),"OLD",IF(AND(E5799&lt;&gt;"",E5799&lt;&gt;"!!!"),"NEW","")))</f>
        <v> </v>
      </c>
      <c r="G5799" s="24" t="str">
        <f>IF(OR(E5799="",E5799="!!!"),"",IF(OR(J5799=0,AND(J5799=1,K5799=1),AND(J5799=1,I5799="SBJ"),AND(J5799=1,I5799=0)),"?IN_FOCUS",IF(J5799&lt;=2,"?ACTIVATED",IF(J5799&lt;&gt;"","?FAMILIAR",IF(F5799="NEW",IF(ISNA(VLOOKUP(E5799,#REF!,1,FALSE())),"?TYPE_IDENTIFIABLE","?REFERENTIAL"),"_")))))</f>
        <v> </v>
      </c>
      <c r="H5799" s="25" t="str">
        <f>IF(J5799&lt;&gt;1,"",IF(I5799="SBJ","CB","?"))</f>
        <v> </v>
      </c>
      <c r="I5799" s="26" t="str">
        <f>IF(OR(E5799="",E5799="!!!",F5799="NEW"),"",INDEX(B5798:B$2,-1+SUMPRODUCT(MAX(ROW(E5798:E$2)*(E5799=E5798:E$2)))))</f>
        <v> </v>
      </c>
      <c r="J5799" s="26" t="str">
        <f>IF(OR(E5799="",E5799="!!!",F5799="NEW"),"",COUNTBLANK(OFFSET(A$1,,,SUMPRODUCT(MAX(ROW(E$2:E5799)*(E5799=E$2:E5799)))))-COUNTBLANK(OFFSET(A$1,,,SUMPRODUCT(MAX(ROW(E$1:E5798)*(E2=E$1:E5798))))))</f>
        <v> </v>
      </c>
      <c r="K5799" s="26" t="str">
        <f>IF(OR(E5799="",E5799="!!!",F5799="NEW"),"",INDEX(J$1:J5798,SUMPRODUCT(MAX(ROW(E$1:E5798)*(E5799=E$1:E5798)))))</f>
        <v> </v>
      </c>
      <c r="L5799" s="27"/>
    </row>
    <row r="5800" spans="1:12">
      <c r="A5800" s="20" t="s">
        <v>2559</v>
      </c>
      <c r="E5800" s="22">
        <f>IF(D5800="?OLD","!!!","")</f>
        <v/>
      </c>
      <c r="F5800" s="23" t="str">
        <f>IF(OR(E5800="",E5800="!!!"),"",IF(NOT(ISNA(VLOOKUP(E5800,E$1:E5799,1,FALSE()))),"OLD",IF(AND(E5800&lt;&gt;"",E5800&lt;&gt;"!!!"),"NEW","")))</f>
        <v> </v>
      </c>
      <c r="G5800" s="24" t="str">
        <f>IF(OR(E5800="",E5800="!!!"),"",IF(OR(J5800=0,AND(J5800=1,K5800=1),AND(J5800=1,I5800="SBJ"),AND(J5800=1,I5800=0)),"?IN_FOCUS",IF(J5800&lt;=2,"?ACTIVATED",IF(J5800&lt;&gt;"","?FAMILIAR",IF(F5800="NEW",IF(ISNA(VLOOKUP(E5800,#REF!,1,FALSE())),"?TYPE_IDENTIFIABLE","?REFERENTIAL"),"_")))))</f>
        <v> </v>
      </c>
      <c r="H5800" s="25" t="str">
        <f>IF(J5800&lt;&gt;1,"",IF(I5800="SBJ","CB","?"))</f>
        <v> </v>
      </c>
      <c r="I5800" s="26" t="str">
        <f>IF(OR(E5800="",E5800="!!!",F5800="NEW"),"",INDEX(B5799:B$2,-1+SUMPRODUCT(MAX(ROW(E5799:E$2)*(E5800=E5799:E$2)))))</f>
        <v> </v>
      </c>
      <c r="J5800" s="26" t="str">
        <f>IF(OR(E5800="",E5800="!!!",F5800="NEW"),"",COUNTBLANK(OFFSET(A$1,,,SUMPRODUCT(MAX(ROW(E$2:E5800)*(E5800=E$2:E5800)))))-COUNTBLANK(OFFSET(A$1,,,SUMPRODUCT(MAX(ROW(E$1:E5799)*(E2=E$1:E5799))))))</f>
        <v> </v>
      </c>
      <c r="K5800" s="26" t="str">
        <f>IF(OR(E5800="",E5800="!!!",F5800="NEW"),"",INDEX(J$1:J5799,SUMPRODUCT(MAX(ROW(E$1:E5799)*(E5800=E$1:E5799)))))</f>
        <v> </v>
      </c>
      <c r="L5800" s="27"/>
    </row>
    <row r="5801" spans="1:12">
      <c r="A5801" s="20" t="s">
        <v>1694</v>
      </c>
      <c r="E5801" s="22">
        <f>IF(D5801="?OLD","!!!","")</f>
        <v/>
      </c>
      <c r="F5801" s="23" t="str">
        <f>IF(OR(E5801="",E5801="!!!"),"",IF(NOT(ISNA(VLOOKUP(E5801,E$1:E5800,1,FALSE()))),"OLD",IF(AND(E5801&lt;&gt;"",E5801&lt;&gt;"!!!"),"NEW","")))</f>
        <v> </v>
      </c>
      <c r="G5801" s="24" t="str">
        <f>IF(OR(E5801="",E5801="!!!"),"",IF(OR(J5801=0,AND(J5801=1,K5801=1),AND(J5801=1,I5801="SBJ"),AND(J5801=1,I5801=0)),"?IN_FOCUS",IF(J5801&lt;=2,"?ACTIVATED",IF(J5801&lt;&gt;"","?FAMILIAR",IF(F5801="NEW",IF(ISNA(VLOOKUP(E5801,#REF!,1,FALSE())),"?TYPE_IDENTIFIABLE","?REFERENTIAL"),"_")))))</f>
        <v> </v>
      </c>
      <c r="H5801" s="25" t="str">
        <f>IF(J5801&lt;&gt;1,"",IF(I5801="SBJ","CB","?"))</f>
        <v> </v>
      </c>
      <c r="I5801" s="26" t="str">
        <f>IF(OR(E5801="",E5801="!!!",F5801="NEW"),"",INDEX(B5800:B$2,-1+SUMPRODUCT(MAX(ROW(E5800:E$2)*(E5801=E5800:E$2)))))</f>
        <v> </v>
      </c>
      <c r="J5801" s="26" t="str">
        <f>IF(OR(E5801="",E5801="!!!",F5801="NEW"),"",COUNTBLANK(OFFSET(A$1,,,SUMPRODUCT(MAX(ROW(E$2:E5801)*(E5801=E$2:E5801)))))-COUNTBLANK(OFFSET(A$1,,,SUMPRODUCT(MAX(ROW(E$1:E5800)*(E2=E$1:E5800))))))</f>
        <v> </v>
      </c>
      <c r="K5801" s="26" t="str">
        <f>IF(OR(E5801="",E5801="!!!",F5801="NEW"),"",INDEX(J$1:J5800,SUMPRODUCT(MAX(ROW(E$1:E5800)*(E5801=E$1:E5800)))))</f>
        <v> </v>
      </c>
      <c r="L5801" s="27"/>
    </row>
    <row r="5802" spans="1:12">
      <c r="A5802" s="20" t="s">
        <v>1442</v>
      </c>
      <c r="B5802" s="21" t="s">
        <v>1035</v>
      </c>
      <c r="C5802" s="21" t="s">
        <v>1048</v>
      </c>
      <c r="E5802" s="22">
        <f>IF(D5802="?OLD","!!!","")</f>
        <v/>
      </c>
      <c r="F5802" s="23" t="str">
        <f>IF(OR(E5802="",E5802="!!!"),"",IF(NOT(ISNA(VLOOKUP(E5802,E$1:E5801,1,FALSE()))),"OLD",IF(AND(E5802&lt;&gt;"",E5802&lt;&gt;"!!!"),"NEW","")))</f>
        <v> </v>
      </c>
      <c r="G5802" s="24" t="str">
        <f>IF(OR(E5802="",E5802="!!!"),"",IF(OR(J5802=0,AND(J5802=1,K5802=1),AND(J5802=1,I5802="SBJ"),AND(J5802=1,I5802=0)),"?IN_FOCUS",IF(J5802&lt;=2,"?ACTIVATED",IF(J5802&lt;&gt;"","?FAMILIAR",IF(F5802="NEW",IF(ISNA(VLOOKUP(E5802,#REF!,1,FALSE())),"?TYPE_IDENTIFIABLE","?REFERENTIAL"),"_")))))</f>
        <v> </v>
      </c>
      <c r="H5802" s="25" t="str">
        <f>IF(J5802&lt;&gt;1,"",IF(I5802="SBJ","CB","?"))</f>
        <v> </v>
      </c>
      <c r="I5802" s="26" t="str">
        <f>IF(OR(E5802="",E5802="!!!",F5802="NEW"),"",INDEX(B5801:B$2,-1+SUMPRODUCT(MAX(ROW(E5801:E$2)*(E5802=E5801:E$2)))))</f>
        <v> </v>
      </c>
      <c r="J5802" s="26" t="str">
        <f>IF(OR(E5802="",E5802="!!!",F5802="NEW"),"",COUNTBLANK(OFFSET(A$1,,,SUMPRODUCT(MAX(ROW(E$2:E5802)*(E5802=E$2:E5802)))))-COUNTBLANK(OFFSET(A$1,,,SUMPRODUCT(MAX(ROW(E$1:E5801)*(E2=E$1:E5801))))))</f>
        <v> </v>
      </c>
      <c r="K5802" s="26" t="str">
        <f>IF(OR(E5802="",E5802="!!!",F5802="NEW"),"",INDEX(J$1:J5801,SUMPRODUCT(MAX(ROW(E$1:E5801)*(E5802=E$1:E5801)))))</f>
        <v> </v>
      </c>
      <c r="L5802" s="27"/>
    </row>
    <row r="5803" spans="1:12">
      <c r="A5803" s="20" t="s">
        <v>1333</v>
      </c>
      <c r="E5803" s="22">
        <f>IF(D5803="?OLD","!!!","")</f>
        <v/>
      </c>
      <c r="F5803" s="23" t="str">
        <f>IF(OR(E5803="",E5803="!!!"),"",IF(NOT(ISNA(VLOOKUP(E5803,E$1:E5802,1,FALSE()))),"OLD",IF(AND(E5803&lt;&gt;"",E5803&lt;&gt;"!!!"),"NEW","")))</f>
        <v> </v>
      </c>
      <c r="G5803" s="24" t="str">
        <f>IF(OR(E5803="",E5803="!!!"),"",IF(OR(J5803=0,AND(J5803=1,K5803=1),AND(J5803=1,I5803="SBJ"),AND(J5803=1,I5803=0)),"?IN_FOCUS",IF(J5803&lt;=2,"?ACTIVATED",IF(J5803&lt;&gt;"","?FAMILIAR",IF(F5803="NEW",IF(ISNA(VLOOKUP(E5803,#REF!,1,FALSE())),"?TYPE_IDENTIFIABLE","?REFERENTIAL"),"_")))))</f>
        <v> </v>
      </c>
      <c r="H5803" s="25" t="str">
        <f>IF(J5803&lt;&gt;1,"",IF(I5803="SBJ","CB","?"))</f>
        <v> </v>
      </c>
      <c r="I5803" s="26" t="str">
        <f>IF(OR(E5803="",E5803="!!!",F5803="NEW"),"",INDEX(B5802:B$2,-1+SUMPRODUCT(MAX(ROW(E5802:E$2)*(E5803=E5802:E$2)))))</f>
        <v> </v>
      </c>
      <c r="J5803" s="26" t="str">
        <f>IF(OR(E5803="",E5803="!!!",F5803="NEW"),"",COUNTBLANK(OFFSET(A$1,,,SUMPRODUCT(MAX(ROW(E$2:E5803)*(E5803=E$2:E5803)))))-COUNTBLANK(OFFSET(A$1,,,SUMPRODUCT(MAX(ROW(E$1:E5802)*(E2=E$1:E5802))))))</f>
        <v> </v>
      </c>
      <c r="K5803" s="26" t="str">
        <f>IF(OR(E5803="",E5803="!!!",F5803="NEW"),"",INDEX(J$1:J5802,SUMPRODUCT(MAX(ROW(E$1:E5802)*(E5803=E$1:E5802)))))</f>
        <v> </v>
      </c>
      <c r="L5803" s="27"/>
    </row>
    <row r="5804" spans="1:12">
      <c r="A5804" s="20" t="s">
        <v>2560</v>
      </c>
      <c r="E5804" s="22">
        <f>IF(D5804="?OLD","!!!","")</f>
        <v/>
      </c>
      <c r="F5804" s="23" t="str">
        <f>IF(OR(E5804="",E5804="!!!"),"",IF(NOT(ISNA(VLOOKUP(E5804,E$1:E5803,1,FALSE()))),"OLD",IF(AND(E5804&lt;&gt;"",E5804&lt;&gt;"!!!"),"NEW","")))</f>
        <v> </v>
      </c>
      <c r="G5804" s="24" t="str">
        <f>IF(OR(E5804="",E5804="!!!"),"",IF(OR(J5804=0,AND(J5804=1,K5804=1),AND(J5804=1,I5804="SBJ"),AND(J5804=1,I5804=0)),"?IN_FOCUS",IF(J5804&lt;=2,"?ACTIVATED",IF(J5804&lt;&gt;"","?FAMILIAR",IF(F5804="NEW",IF(ISNA(VLOOKUP(E5804,#REF!,1,FALSE())),"?TYPE_IDENTIFIABLE","?REFERENTIAL"),"_")))))</f>
        <v> </v>
      </c>
      <c r="H5804" s="25" t="str">
        <f>IF(J5804&lt;&gt;1,"",IF(I5804="SBJ","CB","?"))</f>
        <v> </v>
      </c>
      <c r="I5804" s="26" t="str">
        <f>IF(OR(E5804="",E5804="!!!",F5804="NEW"),"",INDEX(B5803:B$2,-1+SUMPRODUCT(MAX(ROW(E5803:E$2)*(E5804=E5803:E$2)))))</f>
        <v> </v>
      </c>
      <c r="J5804" s="26" t="str">
        <f>IF(OR(E5804="",E5804="!!!",F5804="NEW"),"",COUNTBLANK(OFFSET(A$1,,,SUMPRODUCT(MAX(ROW(E$2:E5804)*(E5804=E$2:E5804)))))-COUNTBLANK(OFFSET(A$1,,,SUMPRODUCT(MAX(ROW(E$1:E5803)*(E2=E$1:E5803))))))</f>
        <v> </v>
      </c>
      <c r="K5804" s="26" t="str">
        <f>IF(OR(E5804="",E5804="!!!",F5804="NEW"),"",INDEX(J$1:J5803,SUMPRODUCT(MAX(ROW(E$1:E5803)*(E5804=E$1:E5803)))))</f>
        <v> </v>
      </c>
      <c r="L5804" s="27"/>
    </row>
    <row r="5805" spans="1:12">
      <c r="A5805" s="20" t="s">
        <v>1018</v>
      </c>
      <c r="E5805" s="22">
        <f>IF(D5805="?OLD","!!!","")</f>
        <v/>
      </c>
      <c r="F5805" s="23" t="str">
        <f>IF(OR(E5805="",E5805="!!!"),"",IF(NOT(ISNA(VLOOKUP(E5805,E$1:E5804,1,FALSE()))),"OLD",IF(AND(E5805&lt;&gt;"",E5805&lt;&gt;"!!!"),"NEW","")))</f>
        <v> </v>
      </c>
      <c r="G5805" s="24" t="str">
        <f>IF(OR(E5805="",E5805="!!!"),"",IF(OR(J5805=0,AND(J5805=1,K5805=1),AND(J5805=1,I5805="SBJ"),AND(J5805=1,I5805=0)),"?IN_FOCUS",IF(J5805&lt;=2,"?ACTIVATED",IF(J5805&lt;&gt;"","?FAMILIAR",IF(F5805="NEW",IF(ISNA(VLOOKUP(E5805,#REF!,1,FALSE())),"?TYPE_IDENTIFIABLE","?REFERENTIAL"),"_")))))</f>
        <v> </v>
      </c>
      <c r="H5805" s="25" t="str">
        <f>IF(J5805&lt;&gt;1,"",IF(I5805="SBJ","CB","?"))</f>
        <v> </v>
      </c>
      <c r="I5805" s="26" t="str">
        <f>IF(OR(E5805="",E5805="!!!",F5805="NEW"),"",INDEX(B5804:B$2,-1+SUMPRODUCT(MAX(ROW(E5804:E$2)*(E5805=E5804:E$2)))))</f>
        <v> </v>
      </c>
      <c r="J5805" s="26" t="str">
        <f>IF(OR(E5805="",E5805="!!!",F5805="NEW"),"",COUNTBLANK(OFFSET(A$1,,,SUMPRODUCT(MAX(ROW(E$2:E5805)*(E5805=E$2:E5805)))))-COUNTBLANK(OFFSET(A$1,,,SUMPRODUCT(MAX(ROW(E$1:E5804)*(E2=E$1:E5804))))))</f>
        <v> </v>
      </c>
      <c r="K5805" s="26" t="str">
        <f>IF(OR(E5805="",E5805="!!!",F5805="NEW"),"",INDEX(J$1:J5804,SUMPRODUCT(MAX(ROW(E$1:E5804)*(E5805=E$1:E5804)))))</f>
        <v> </v>
      </c>
      <c r="L5805" s="27"/>
    </row>
    <row r="5806" spans="1:12">
      <c r="A5806" s="20" t="s">
        <v>1139</v>
      </c>
      <c r="E5806" s="22">
        <f>IF(D5806="?OLD","!!!","")</f>
        <v/>
      </c>
      <c r="F5806" s="23" t="str">
        <f>IF(OR(E5806="",E5806="!!!"),"",IF(NOT(ISNA(VLOOKUP(E5806,E$1:E5805,1,FALSE()))),"OLD",IF(AND(E5806&lt;&gt;"",E5806&lt;&gt;"!!!"),"NEW","")))</f>
        <v> </v>
      </c>
      <c r="G5806" s="24" t="str">
        <f>IF(OR(E5806="",E5806="!!!"),"",IF(OR(J5806=0,AND(J5806=1,K5806=1),AND(J5806=1,I5806="SBJ"),AND(J5806=1,I5806=0)),"?IN_FOCUS",IF(J5806&lt;=2,"?ACTIVATED",IF(J5806&lt;&gt;"","?FAMILIAR",IF(F5806="NEW",IF(ISNA(VLOOKUP(E5806,#REF!,1,FALSE())),"?TYPE_IDENTIFIABLE","?REFERENTIAL"),"_")))))</f>
        <v> </v>
      </c>
      <c r="H5806" s="25" t="str">
        <f>IF(J5806&lt;&gt;1,"",IF(I5806="SBJ","CB","?"))</f>
        <v> </v>
      </c>
      <c r="I5806" s="26" t="str">
        <f>IF(OR(E5806="",E5806="!!!",F5806="NEW"),"",INDEX(B5805:B$2,-1+SUMPRODUCT(MAX(ROW(E5805:E$2)*(E5806=E5805:E$2)))))</f>
        <v> </v>
      </c>
      <c r="J5806" s="26" t="str">
        <f>IF(OR(E5806="",E5806="!!!",F5806="NEW"),"",COUNTBLANK(OFFSET(A$1,,,SUMPRODUCT(MAX(ROW(E$2:E5806)*(E5806=E$2:E5806)))))-COUNTBLANK(OFFSET(A$1,,,SUMPRODUCT(MAX(ROW(E$1:E5805)*(E2=E$1:E5805))))))</f>
        <v> </v>
      </c>
      <c r="K5806" s="26" t="str">
        <f>IF(OR(E5806="",E5806="!!!",F5806="NEW"),"",INDEX(J$1:J5805,SUMPRODUCT(MAX(ROW(E$1:E5805)*(E5806=E$1:E5805)))))</f>
        <v> </v>
      </c>
      <c r="L5806" s="27"/>
    </row>
    <row r="5807" spans="1:12">
      <c r="A5807" s="20" t="s">
        <v>1065</v>
      </c>
      <c r="E5807" s="22">
        <f>IF(D5807="?OLD","!!!","")</f>
        <v/>
      </c>
      <c r="F5807" s="23" t="str">
        <f>IF(OR(E5807="",E5807="!!!"),"",IF(NOT(ISNA(VLOOKUP(E5807,E$1:E5806,1,FALSE()))),"OLD",IF(AND(E5807&lt;&gt;"",E5807&lt;&gt;"!!!"),"NEW","")))</f>
        <v> </v>
      </c>
      <c r="G5807" s="24" t="str">
        <f>IF(OR(E5807="",E5807="!!!"),"",IF(OR(J5807=0,AND(J5807=1,K5807=1),AND(J5807=1,I5807="SBJ"),AND(J5807=1,I5807=0)),"?IN_FOCUS",IF(J5807&lt;=2,"?ACTIVATED",IF(J5807&lt;&gt;"","?FAMILIAR",IF(F5807="NEW",IF(ISNA(VLOOKUP(E5807,#REF!,1,FALSE())),"?TYPE_IDENTIFIABLE","?REFERENTIAL"),"_")))))</f>
        <v> </v>
      </c>
      <c r="H5807" s="25" t="str">
        <f>IF(J5807&lt;&gt;1,"",IF(I5807="SBJ","CB","?"))</f>
        <v> </v>
      </c>
      <c r="I5807" s="26" t="str">
        <f>IF(OR(E5807="",E5807="!!!",F5807="NEW"),"",INDEX(B5806:B$2,-1+SUMPRODUCT(MAX(ROW(E5806:E$2)*(E5807=E5806:E$2)))))</f>
        <v> </v>
      </c>
      <c r="J5807" s="26" t="str">
        <f>IF(OR(E5807="",E5807="!!!",F5807="NEW"),"",COUNTBLANK(OFFSET(A$1,,,SUMPRODUCT(MAX(ROW(E$2:E5807)*(E5807=E$2:E5807)))))-COUNTBLANK(OFFSET(A$1,,,SUMPRODUCT(MAX(ROW(E$1:E5806)*(E2=E$1:E5806))))))</f>
        <v> </v>
      </c>
      <c r="K5807" s="26" t="str">
        <f>IF(OR(E5807="",E5807="!!!",F5807="NEW"),"",INDEX(J$1:J5806,SUMPRODUCT(MAX(ROW(E$1:E5806)*(E5807=E$1:E5806)))))</f>
        <v> </v>
      </c>
      <c r="L5807" s="27"/>
    </row>
    <row r="5808" spans="1:12">
      <c r="A5808" s="20" t="s">
        <v>1075</v>
      </c>
      <c r="E5808" s="22">
        <f>IF(D5808="?OLD","!!!","")</f>
        <v/>
      </c>
      <c r="F5808" s="23" t="str">
        <f>IF(OR(E5808="",E5808="!!!"),"",IF(NOT(ISNA(VLOOKUP(E5808,E$1:E5807,1,FALSE()))),"OLD",IF(AND(E5808&lt;&gt;"",E5808&lt;&gt;"!!!"),"NEW","")))</f>
        <v> </v>
      </c>
      <c r="G5808" s="24" t="str">
        <f>IF(OR(E5808="",E5808="!!!"),"",IF(OR(J5808=0,AND(J5808=1,K5808=1),AND(J5808=1,I5808="SBJ"),AND(J5808=1,I5808=0)),"?IN_FOCUS",IF(J5808&lt;=2,"?ACTIVATED",IF(J5808&lt;&gt;"","?FAMILIAR",IF(F5808="NEW",IF(ISNA(VLOOKUP(E5808,#REF!,1,FALSE())),"?TYPE_IDENTIFIABLE","?REFERENTIAL"),"_")))))</f>
        <v> </v>
      </c>
      <c r="H5808" s="25" t="str">
        <f>IF(J5808&lt;&gt;1,"",IF(I5808="SBJ","CB","?"))</f>
        <v> </v>
      </c>
      <c r="I5808" s="26" t="str">
        <f>IF(OR(E5808="",E5808="!!!",F5808="NEW"),"",INDEX(B5807:B$2,-1+SUMPRODUCT(MAX(ROW(E5807:E$2)*(E5808=E5807:E$2)))))</f>
        <v> </v>
      </c>
      <c r="J5808" s="26" t="str">
        <f>IF(OR(E5808="",E5808="!!!",F5808="NEW"),"",COUNTBLANK(OFFSET(A$1,,,SUMPRODUCT(MAX(ROW(E$2:E5808)*(E5808=E$2:E5808)))))-COUNTBLANK(OFFSET(A$1,,,SUMPRODUCT(MAX(ROW(E$1:E5807)*(E2=E$1:E5807))))))</f>
        <v> </v>
      </c>
      <c r="K5808" s="26" t="str">
        <f>IF(OR(E5808="",E5808="!!!",F5808="NEW"),"",INDEX(J$1:J5807,SUMPRODUCT(MAX(ROW(E$1:E5807)*(E5808=E$1:E5807)))))</f>
        <v> </v>
      </c>
      <c r="L5808" s="27"/>
    </row>
    <row r="5809" spans="1:12">
      <c r="A5809" s="20" t="s">
        <v>1324</v>
      </c>
      <c r="E5809" s="22">
        <f>IF(D5809="?OLD","!!!","")</f>
        <v/>
      </c>
      <c r="F5809" s="23" t="str">
        <f>IF(OR(E5809="",E5809="!!!"),"",IF(NOT(ISNA(VLOOKUP(E5809,E$1:E5808,1,FALSE()))),"OLD",IF(AND(E5809&lt;&gt;"",E5809&lt;&gt;"!!!"),"NEW","")))</f>
        <v> </v>
      </c>
      <c r="G5809" s="24" t="str">
        <f>IF(OR(E5809="",E5809="!!!"),"",IF(OR(J5809=0,AND(J5809=1,K5809=1),AND(J5809=1,I5809="SBJ"),AND(J5809=1,I5809=0)),"?IN_FOCUS",IF(J5809&lt;=2,"?ACTIVATED",IF(J5809&lt;&gt;"","?FAMILIAR",IF(F5809="NEW",IF(ISNA(VLOOKUP(E5809,#REF!,1,FALSE())),"?TYPE_IDENTIFIABLE","?REFERENTIAL"),"_")))))</f>
        <v> </v>
      </c>
      <c r="H5809" s="25" t="str">
        <f>IF(J5809&lt;&gt;1,"",IF(I5809="SBJ","CB","?"))</f>
        <v> </v>
      </c>
      <c r="I5809" s="26" t="str">
        <f>IF(OR(E5809="",E5809="!!!",F5809="NEW"),"",INDEX(B5808:B$2,-1+SUMPRODUCT(MAX(ROW(E5808:E$2)*(E5809=E5808:E$2)))))</f>
        <v> </v>
      </c>
      <c r="J5809" s="26" t="str">
        <f>IF(OR(E5809="",E5809="!!!",F5809="NEW"),"",COUNTBLANK(OFFSET(A$1,,,SUMPRODUCT(MAX(ROW(E$2:E5809)*(E5809=E$2:E5809)))))-COUNTBLANK(OFFSET(A$1,,,SUMPRODUCT(MAX(ROW(E$1:E5808)*(E2=E$1:E5808))))))</f>
        <v> </v>
      </c>
      <c r="K5809" s="26" t="str">
        <f>IF(OR(E5809="",E5809="!!!",F5809="NEW"),"",INDEX(J$1:J5808,SUMPRODUCT(MAX(ROW(E$1:E5808)*(E5809=E$1:E5808)))))</f>
        <v> </v>
      </c>
      <c r="L5809" s="27"/>
    </row>
    <row r="5810" spans="1:12">
      <c r="A5810" s="20" t="s">
        <v>1144</v>
      </c>
      <c r="B5810" s="21" t="s">
        <v>1005</v>
      </c>
      <c r="C5810" s="21" t="s">
        <v>1111</v>
      </c>
      <c r="E5810" s="22">
        <f>IF(D5810="?OLD","!!!","")</f>
        <v/>
      </c>
      <c r="F5810" s="23" t="str">
        <f>IF(OR(E5810="",E5810="!!!"),"",IF(NOT(ISNA(VLOOKUP(E5810,E$1:E5809,1,FALSE()))),"OLD",IF(AND(E5810&lt;&gt;"",E5810&lt;&gt;"!!!"),"NEW","")))</f>
        <v> </v>
      </c>
      <c r="G5810" s="24" t="str">
        <f>IF(OR(E5810="",E5810="!!!"),"",IF(OR(J5810=0,AND(J5810=1,K5810=1),AND(J5810=1,I5810="SBJ"),AND(J5810=1,I5810=0)),"?IN_FOCUS",IF(J5810&lt;=2,"?ACTIVATED",IF(J5810&lt;&gt;"","?FAMILIAR",IF(F5810="NEW",IF(ISNA(VLOOKUP(E5810,#REF!,1,FALSE())),"?TYPE_IDENTIFIABLE","?REFERENTIAL"),"_")))))</f>
        <v> </v>
      </c>
      <c r="H5810" s="25" t="str">
        <f>IF(J5810&lt;&gt;1,"",IF(I5810="SBJ","CB","?"))</f>
        <v> </v>
      </c>
      <c r="I5810" s="26" t="str">
        <f>IF(OR(E5810="",E5810="!!!",F5810="NEW"),"",INDEX(B5809:B$2,-1+SUMPRODUCT(MAX(ROW(E5809:E$2)*(E5810=E5809:E$2)))))</f>
        <v> </v>
      </c>
      <c r="J5810" s="26" t="str">
        <f>IF(OR(E5810="",E5810="!!!",F5810="NEW"),"",COUNTBLANK(OFFSET(A$1,,,SUMPRODUCT(MAX(ROW(E$2:E5810)*(E5810=E$2:E5810)))))-COUNTBLANK(OFFSET(A$1,,,SUMPRODUCT(MAX(ROW(E$1:E5809)*(E2=E$1:E5809))))))</f>
        <v> </v>
      </c>
      <c r="K5810" s="26" t="str">
        <f>IF(OR(E5810="",E5810="!!!",F5810="NEW"),"",INDEX(J$1:J5809,SUMPRODUCT(MAX(ROW(E$1:E5809)*(E5810=E$1:E5809)))))</f>
        <v> </v>
      </c>
      <c r="L5810" s="27"/>
    </row>
    <row r="5811" spans="1:12">
      <c r="A5811" s="20" t="s">
        <v>1065</v>
      </c>
      <c r="B5811" s="21" t="s">
        <v>1154</v>
      </c>
      <c r="E5811" s="22">
        <f>IF(D5811="?OLD","!!!","")</f>
        <v/>
      </c>
      <c r="F5811" s="23" t="str">
        <f>IF(OR(E5811="",E5811="!!!"),"",IF(NOT(ISNA(VLOOKUP(E5811,E$1:E5810,1,FALSE()))),"OLD",IF(AND(E5811&lt;&gt;"",E5811&lt;&gt;"!!!"),"NEW","")))</f>
        <v> </v>
      </c>
      <c r="G5811" s="24" t="str">
        <f>IF(OR(E5811="",E5811="!!!"),"",IF(OR(J5811=0,AND(J5811=1,K5811=1),AND(J5811=1,I5811="SBJ"),AND(J5811=1,I5811=0)),"?IN_FOCUS",IF(J5811&lt;=2,"?ACTIVATED",IF(J5811&lt;&gt;"","?FAMILIAR",IF(F5811="NEW",IF(ISNA(VLOOKUP(E5811,#REF!,1,FALSE())),"?TYPE_IDENTIFIABLE","?REFERENTIAL"),"_")))))</f>
        <v> </v>
      </c>
      <c r="H5811" s="25" t="str">
        <f>IF(J5811&lt;&gt;1,"",IF(I5811="SBJ","CB","?"))</f>
        <v> </v>
      </c>
      <c r="I5811" s="26" t="str">
        <f>IF(OR(E5811="",E5811="!!!",F5811="NEW"),"",INDEX(B5810:B$2,-1+SUMPRODUCT(MAX(ROW(E5810:E$2)*(E5811=E5810:E$2)))))</f>
        <v> </v>
      </c>
      <c r="J5811" s="26" t="str">
        <f>IF(OR(E5811="",E5811="!!!",F5811="NEW"),"",COUNTBLANK(OFFSET(A$1,,,SUMPRODUCT(MAX(ROW(E$2:E5811)*(E5811=E$2:E5811)))))-COUNTBLANK(OFFSET(A$1,,,SUMPRODUCT(MAX(ROW(E$1:E5810)*(E2=E$1:E5810))))))</f>
        <v> </v>
      </c>
      <c r="K5811" s="26" t="str">
        <f>IF(OR(E5811="",E5811="!!!",F5811="NEW"),"",INDEX(J$1:J5810,SUMPRODUCT(MAX(ROW(E$1:E5810)*(E5811=E$1:E5810)))))</f>
        <v> </v>
      </c>
      <c r="L5811" s="27"/>
    </row>
    <row r="5812" spans="1:12">
      <c r="A5812" s="20" t="s">
        <v>1199</v>
      </c>
      <c r="E5812" s="22">
        <f>IF(D5812="?OLD","!!!","")</f>
        <v/>
      </c>
      <c r="F5812" s="23" t="str">
        <f>IF(OR(E5812="",E5812="!!!"),"",IF(NOT(ISNA(VLOOKUP(E5812,E$1:E5811,1,FALSE()))),"OLD",IF(AND(E5812&lt;&gt;"",E5812&lt;&gt;"!!!"),"NEW","")))</f>
        <v> </v>
      </c>
      <c r="G5812" s="24" t="str">
        <f>IF(OR(E5812="",E5812="!!!"),"",IF(OR(J5812=0,AND(J5812=1,K5812=1),AND(J5812=1,I5812="SBJ"),AND(J5812=1,I5812=0)),"?IN_FOCUS",IF(J5812&lt;=2,"?ACTIVATED",IF(J5812&lt;&gt;"","?FAMILIAR",IF(F5812="NEW",IF(ISNA(VLOOKUP(E5812,#REF!,1,FALSE())),"?TYPE_IDENTIFIABLE","?REFERENTIAL"),"_")))))</f>
        <v> </v>
      </c>
      <c r="H5812" s="25" t="str">
        <f>IF(J5812&lt;&gt;1,"",IF(I5812="SBJ","CB","?"))</f>
        <v> </v>
      </c>
      <c r="I5812" s="26" t="str">
        <f>IF(OR(E5812="",E5812="!!!",F5812="NEW"),"",INDEX(B5811:B$2,-1+SUMPRODUCT(MAX(ROW(E5811:E$2)*(E5812=E5811:E$2)))))</f>
        <v> </v>
      </c>
      <c r="J5812" s="26" t="str">
        <f>IF(OR(E5812="",E5812="!!!",F5812="NEW"),"",COUNTBLANK(OFFSET(A$1,,,SUMPRODUCT(MAX(ROW(E$2:E5812)*(E5812=E$2:E5812)))))-COUNTBLANK(OFFSET(A$1,,,SUMPRODUCT(MAX(ROW(E$1:E5811)*(E2=E$1:E5811))))))</f>
        <v> </v>
      </c>
      <c r="K5812" s="26" t="str">
        <f>IF(OR(E5812="",E5812="!!!",F5812="NEW"),"",INDEX(J$1:J5811,SUMPRODUCT(MAX(ROW(E$1:E5811)*(E5812=E$1:E5811)))))</f>
        <v> </v>
      </c>
      <c r="L5812" s="27"/>
    </row>
    <row r="5813" spans="1:12">
      <c r="A5813" s="20" t="s">
        <v>1051</v>
      </c>
      <c r="E5813" s="22">
        <f>IF(D5813="?OLD","!!!","")</f>
        <v/>
      </c>
      <c r="F5813" s="23" t="str">
        <f>IF(OR(E5813="",E5813="!!!"),"",IF(NOT(ISNA(VLOOKUP(E5813,E$1:E5812,1,FALSE()))),"OLD",IF(AND(E5813&lt;&gt;"",E5813&lt;&gt;"!!!"),"NEW","")))</f>
        <v> </v>
      </c>
      <c r="G5813" s="24" t="str">
        <f>IF(OR(E5813="",E5813="!!!"),"",IF(OR(J5813=0,AND(J5813=1,K5813=1),AND(J5813=1,I5813="SBJ"),AND(J5813=1,I5813=0)),"?IN_FOCUS",IF(J5813&lt;=2,"?ACTIVATED",IF(J5813&lt;&gt;"","?FAMILIAR",IF(F5813="NEW",IF(ISNA(VLOOKUP(E5813,#REF!,1,FALSE())),"?TYPE_IDENTIFIABLE","?REFERENTIAL"),"_")))))</f>
        <v> </v>
      </c>
      <c r="H5813" s="25" t="str">
        <f>IF(J5813&lt;&gt;1,"",IF(I5813="SBJ","CB","?"))</f>
        <v> </v>
      </c>
      <c r="I5813" s="26" t="str">
        <f>IF(OR(E5813="",E5813="!!!",F5813="NEW"),"",INDEX(B5812:B$2,-1+SUMPRODUCT(MAX(ROW(E5812:E$2)*(E5813=E5812:E$2)))))</f>
        <v> </v>
      </c>
      <c r="J5813" s="26" t="str">
        <f>IF(OR(E5813="",E5813="!!!",F5813="NEW"),"",COUNTBLANK(OFFSET(A$1,,,SUMPRODUCT(MAX(ROW(E$2:E5813)*(E5813=E$2:E5813)))))-COUNTBLANK(OFFSET(A$1,,,SUMPRODUCT(MAX(ROW(E$1:E5812)*(E2=E$1:E5812))))))</f>
        <v> </v>
      </c>
      <c r="K5813" s="26" t="str">
        <f>IF(OR(E5813="",E5813="!!!",F5813="NEW"),"",INDEX(J$1:J5812,SUMPRODUCT(MAX(ROW(E$1:E5812)*(E5813=E$1:E5812)))))</f>
        <v> </v>
      </c>
      <c r="L5813" s="27"/>
    </row>
    <row r="5814" spans="1:12">
      <c r="A5814" s="20" t="s">
        <v>2561</v>
      </c>
      <c r="E5814" s="22">
        <f>IF(D5814="?OLD","!!!","")</f>
        <v/>
      </c>
      <c r="F5814" s="23" t="str">
        <f>IF(OR(E5814="",E5814="!!!"),"",IF(NOT(ISNA(VLOOKUP(E5814,E$1:E5813,1,FALSE()))),"OLD",IF(AND(E5814&lt;&gt;"",E5814&lt;&gt;"!!!"),"NEW","")))</f>
        <v> </v>
      </c>
      <c r="G5814" s="24" t="str">
        <f>IF(OR(E5814="",E5814="!!!"),"",IF(OR(J5814=0,AND(J5814=1,K5814=1),AND(J5814=1,I5814="SBJ"),AND(J5814=1,I5814=0)),"?IN_FOCUS",IF(J5814&lt;=2,"?ACTIVATED",IF(J5814&lt;&gt;"","?FAMILIAR",IF(F5814="NEW",IF(ISNA(VLOOKUP(E5814,#REF!,1,FALSE())),"?TYPE_IDENTIFIABLE","?REFERENTIAL"),"_")))))</f>
        <v> </v>
      </c>
      <c r="H5814" s="25" t="str">
        <f>IF(J5814&lt;&gt;1,"",IF(I5814="SBJ","CB","?"))</f>
        <v> </v>
      </c>
      <c r="I5814" s="26" t="str">
        <f>IF(OR(E5814="",E5814="!!!",F5814="NEW"),"",INDEX(B5813:B$2,-1+SUMPRODUCT(MAX(ROW(E5813:E$2)*(E5814=E5813:E$2)))))</f>
        <v> </v>
      </c>
      <c r="J5814" s="26" t="str">
        <f>IF(OR(E5814="",E5814="!!!",F5814="NEW"),"",COUNTBLANK(OFFSET(A$1,,,SUMPRODUCT(MAX(ROW(E$2:E5814)*(E5814=E$2:E5814)))))-COUNTBLANK(OFFSET(A$1,,,SUMPRODUCT(MAX(ROW(E$1:E5813)*(E2=E$1:E5813))))))</f>
        <v> </v>
      </c>
      <c r="K5814" s="26" t="str">
        <f>IF(OR(E5814="",E5814="!!!",F5814="NEW"),"",INDEX(J$1:J5813,SUMPRODUCT(MAX(ROW(E$1:E5813)*(E5814=E$1:E5813)))))</f>
        <v> </v>
      </c>
      <c r="L5814" s="27"/>
    </row>
    <row r="5815" spans="1:12">
      <c r="A5815" s="20" t="s">
        <v>1036</v>
      </c>
      <c r="E5815" s="22">
        <f>IF(D5815="?OLD","!!!","")</f>
        <v/>
      </c>
      <c r="F5815" s="23" t="str">
        <f>IF(OR(E5815="",E5815="!!!"),"",IF(NOT(ISNA(VLOOKUP(E5815,E$1:E5814,1,FALSE()))),"OLD",IF(AND(E5815&lt;&gt;"",E5815&lt;&gt;"!!!"),"NEW","")))</f>
        <v> </v>
      </c>
      <c r="G5815" s="24" t="str">
        <f>IF(OR(E5815="",E5815="!!!"),"",IF(OR(J5815=0,AND(J5815=1,K5815=1),AND(J5815=1,I5815="SBJ"),AND(J5815=1,I5815=0)),"?IN_FOCUS",IF(J5815&lt;=2,"?ACTIVATED",IF(J5815&lt;&gt;"","?FAMILIAR",IF(F5815="NEW",IF(ISNA(VLOOKUP(E5815,#REF!,1,FALSE())),"?TYPE_IDENTIFIABLE","?REFERENTIAL"),"_")))))</f>
        <v> </v>
      </c>
      <c r="H5815" s="25" t="str">
        <f>IF(J5815&lt;&gt;1,"",IF(I5815="SBJ","CB","?"))</f>
        <v> </v>
      </c>
      <c r="I5815" s="26" t="str">
        <f>IF(OR(E5815="",E5815="!!!",F5815="NEW"),"",INDEX(B5814:B$2,-1+SUMPRODUCT(MAX(ROW(E5814:E$2)*(E5815=E5814:E$2)))))</f>
        <v> </v>
      </c>
      <c r="J5815" s="26" t="str">
        <f>IF(OR(E5815="",E5815="!!!",F5815="NEW"),"",COUNTBLANK(OFFSET(A$1,,,SUMPRODUCT(MAX(ROW(E$2:E5815)*(E5815=E$2:E5815)))))-COUNTBLANK(OFFSET(A$1,,,SUMPRODUCT(MAX(ROW(E$1:E5814)*(E2=E$1:E5814))))))</f>
        <v> </v>
      </c>
      <c r="K5815" s="26" t="str">
        <f>IF(OR(E5815="",E5815="!!!",F5815="NEW"),"",INDEX(J$1:J5814,SUMPRODUCT(MAX(ROW(E$1:E5814)*(E5815=E$1:E5814)))))</f>
        <v> </v>
      </c>
      <c r="L5815" s="27"/>
    </row>
    <row r="5816" spans="1:12">
      <c r="A5816" s="20" t="s">
        <v>102</v>
      </c>
      <c r="B5816" s="21" t="s">
        <v>1033</v>
      </c>
      <c r="C5816" s="21" t="s">
        <v>1073</v>
      </c>
      <c r="D5816" s="21" t="s">
        <v>1007</v>
      </c>
      <c r="E5816" s="22">
        <f>IF(D5816="?OLD","!!!","")</f>
        <v/>
      </c>
      <c r="F5816" s="23" t="str">
        <f>IF(OR(E5816="",E5816="!!!"),"",IF(NOT(ISNA(VLOOKUP(E5816,E$1:E5815,1,FALSE()))),"OLD",IF(AND(E5816&lt;&gt;"",E5816&lt;&gt;"!!!"),"NEW","")))</f>
        <v> </v>
      </c>
      <c r="G5816" s="24" t="str">
        <f>IF(OR(E5816="",E5816="!!!"),"",IF(OR(J5816=0,AND(J5816=1,K5816=1),AND(J5816=1,I5816="SBJ"),AND(J5816=1,I5816=0)),"?IN_FOCUS",IF(J5816&lt;=2,"?ACTIVATED",IF(J5816&lt;&gt;"","?FAMILIAR",IF(F5816="NEW",IF(ISNA(VLOOKUP(E5816,#REF!,1,FALSE())),"?TYPE_IDENTIFIABLE","?REFERENTIAL"),"_")))))</f>
        <v> </v>
      </c>
      <c r="H5816" s="25" t="str">
        <f>IF(J5816&lt;&gt;1,"",IF(I5816="SBJ","CB","?"))</f>
        <v> </v>
      </c>
      <c r="I5816" s="26" t="str">
        <f>IF(OR(E5816="",E5816="!!!",F5816="NEW"),"",INDEX(B5815:B$2,-1+SUMPRODUCT(MAX(ROW(E5815:E$2)*(E5816=E5815:E$2)))))</f>
        <v> </v>
      </c>
      <c r="J5816" s="26" t="str">
        <f>IF(OR(E5816="",E5816="!!!",F5816="NEW"),"",COUNTBLANK(OFFSET(A$1,,,SUMPRODUCT(MAX(ROW(E$2:E5816)*(E5816=E$2:E5816)))))-COUNTBLANK(OFFSET(A$1,,,SUMPRODUCT(MAX(ROW(E$1:E5815)*(E2=E$1:E5815))))))</f>
        <v> </v>
      </c>
      <c r="K5816" s="26" t="str">
        <f>IF(OR(E5816="",E5816="!!!",F5816="NEW"),"",INDEX(J$1:J5815,SUMPRODUCT(MAX(ROW(E$1:E5815)*(E5816=E$1:E5815)))))</f>
        <v> </v>
      </c>
      <c r="L5816" s="27"/>
    </row>
    <row r="5817" spans="1:12">
      <c r="A5817" s="20" t="s">
        <v>1065</v>
      </c>
      <c r="B5817" s="21" t="s">
        <v>1263</v>
      </c>
      <c r="E5817" s="22">
        <f>IF(D5817="?OLD","!!!","")</f>
        <v/>
      </c>
      <c r="F5817" s="23" t="str">
        <f>IF(OR(E5817="",E5817="!!!"),"",IF(NOT(ISNA(VLOOKUP(E5817,E$1:E5816,1,FALSE()))),"OLD",IF(AND(E5817&lt;&gt;"",E5817&lt;&gt;"!!!"),"NEW","")))</f>
        <v> </v>
      </c>
      <c r="G5817" s="24" t="str">
        <f>IF(OR(E5817="",E5817="!!!"),"",IF(OR(J5817=0,AND(J5817=1,K5817=1),AND(J5817=1,I5817="SBJ"),AND(J5817=1,I5817=0)),"?IN_FOCUS",IF(J5817&lt;=2,"?ACTIVATED",IF(J5817&lt;&gt;"","?FAMILIAR",IF(F5817="NEW",IF(ISNA(VLOOKUP(E5817,#REF!,1,FALSE())),"?TYPE_IDENTIFIABLE","?REFERENTIAL"),"_")))))</f>
        <v> </v>
      </c>
      <c r="H5817" s="25" t="str">
        <f>IF(J5817&lt;&gt;1,"",IF(I5817="SBJ","CB","?"))</f>
        <v> </v>
      </c>
      <c r="I5817" s="26" t="str">
        <f>IF(OR(E5817="",E5817="!!!",F5817="NEW"),"",INDEX(B5816:B$2,-1+SUMPRODUCT(MAX(ROW(E5816:E$2)*(E5817=E5816:E$2)))))</f>
        <v> </v>
      </c>
      <c r="J5817" s="26" t="str">
        <f>IF(OR(E5817="",E5817="!!!",F5817="NEW"),"",COUNTBLANK(OFFSET(A$1,,,SUMPRODUCT(MAX(ROW(E$2:E5817)*(E5817=E$2:E5817)))))-COUNTBLANK(OFFSET(A$1,,,SUMPRODUCT(MAX(ROW(E$1:E5816)*(E2=E$1:E5816))))))</f>
        <v> </v>
      </c>
      <c r="K5817" s="26" t="str">
        <f>IF(OR(E5817="",E5817="!!!",F5817="NEW"),"",INDEX(J$1:J5816,SUMPRODUCT(MAX(ROW(E$1:E5816)*(E5817=E$1:E5816)))))</f>
        <v> </v>
      </c>
      <c r="L5817" s="27"/>
    </row>
    <row r="5818" spans="1:12">
      <c r="A5818" s="20" t="s">
        <v>1438</v>
      </c>
      <c r="E5818" s="22">
        <f>IF(D5818="?OLD","!!!","")</f>
        <v/>
      </c>
      <c r="F5818" s="23" t="str">
        <f>IF(OR(E5818="",E5818="!!!"),"",IF(NOT(ISNA(VLOOKUP(E5818,E$1:E5817,1,FALSE()))),"OLD",IF(AND(E5818&lt;&gt;"",E5818&lt;&gt;"!!!"),"NEW","")))</f>
        <v> </v>
      </c>
      <c r="G5818" s="24" t="str">
        <f>IF(OR(E5818="",E5818="!!!"),"",IF(OR(J5818=0,AND(J5818=1,K5818=1),AND(J5818=1,I5818="SBJ"),AND(J5818=1,I5818=0)),"?IN_FOCUS",IF(J5818&lt;=2,"?ACTIVATED",IF(J5818&lt;&gt;"","?FAMILIAR",IF(F5818="NEW",IF(ISNA(VLOOKUP(E5818,#REF!,1,FALSE())),"?TYPE_IDENTIFIABLE","?REFERENTIAL"),"_")))))</f>
        <v> </v>
      </c>
      <c r="H5818" s="25" t="str">
        <f>IF(J5818&lt;&gt;1,"",IF(I5818="SBJ","CB","?"))</f>
        <v> </v>
      </c>
      <c r="I5818" s="26" t="str">
        <f>IF(OR(E5818="",E5818="!!!",F5818="NEW"),"",INDEX(B5817:B$2,-1+SUMPRODUCT(MAX(ROW(E5817:E$2)*(E5818=E5817:E$2)))))</f>
        <v> </v>
      </c>
      <c r="J5818" s="26" t="str">
        <f>IF(OR(E5818="",E5818="!!!",F5818="NEW"),"",COUNTBLANK(OFFSET(A$1,,,SUMPRODUCT(MAX(ROW(E$2:E5818)*(E5818=E$2:E5818)))))-COUNTBLANK(OFFSET(A$1,,,SUMPRODUCT(MAX(ROW(E$1:E5817)*(E2=E$1:E5817))))))</f>
        <v> </v>
      </c>
      <c r="K5818" s="26" t="str">
        <f>IF(OR(E5818="",E5818="!!!",F5818="NEW"),"",INDEX(J$1:J5817,SUMPRODUCT(MAX(ROW(E$1:E5817)*(E5818=E$1:E5817)))))</f>
        <v> </v>
      </c>
      <c r="L5818" s="27"/>
    </row>
    <row r="5819" spans="1:12">
      <c r="A5819" s="20" t="s">
        <v>2342</v>
      </c>
      <c r="E5819" s="22">
        <f>IF(D5819="?OLD","!!!","")</f>
        <v/>
      </c>
      <c r="F5819" s="23" t="str">
        <f>IF(OR(E5819="",E5819="!!!"),"",IF(NOT(ISNA(VLOOKUP(E5819,E$1:E5818,1,FALSE()))),"OLD",IF(AND(E5819&lt;&gt;"",E5819&lt;&gt;"!!!"),"NEW","")))</f>
        <v> </v>
      </c>
      <c r="G5819" s="24" t="str">
        <f>IF(OR(E5819="",E5819="!!!"),"",IF(OR(J5819=0,AND(J5819=1,K5819=1),AND(J5819=1,I5819="SBJ"),AND(J5819=1,I5819=0)),"?IN_FOCUS",IF(J5819&lt;=2,"?ACTIVATED",IF(J5819&lt;&gt;"","?FAMILIAR",IF(F5819="NEW",IF(ISNA(VLOOKUP(E5819,#REF!,1,FALSE())),"?TYPE_IDENTIFIABLE","?REFERENTIAL"),"_")))))</f>
        <v> </v>
      </c>
      <c r="H5819" s="25" t="str">
        <f>IF(J5819&lt;&gt;1,"",IF(I5819="SBJ","CB","?"))</f>
        <v> </v>
      </c>
      <c r="I5819" s="26" t="str">
        <f>IF(OR(E5819="",E5819="!!!",F5819="NEW"),"",INDEX(B5818:B$2,-1+SUMPRODUCT(MAX(ROW(E5818:E$2)*(E5819=E5818:E$2)))))</f>
        <v> </v>
      </c>
      <c r="J5819" s="26" t="str">
        <f>IF(OR(E5819="",E5819="!!!",F5819="NEW"),"",COUNTBLANK(OFFSET(A$1,,,SUMPRODUCT(MAX(ROW(E$2:E5819)*(E5819=E$2:E5819)))))-COUNTBLANK(OFFSET(A$1,,,SUMPRODUCT(MAX(ROW(E$1:E5818)*(E2=E$1:E5818))))))</f>
        <v> </v>
      </c>
      <c r="K5819" s="26" t="str">
        <f>IF(OR(E5819="",E5819="!!!",F5819="NEW"),"",INDEX(J$1:J5818,SUMPRODUCT(MAX(ROW(E$1:E5818)*(E5819=E$1:E5818)))))</f>
        <v> </v>
      </c>
      <c r="L5819" s="27"/>
    </row>
    <row r="5820" spans="1:12">
      <c r="A5820" s="20" t="s">
        <v>1020</v>
      </c>
      <c r="E5820" s="22">
        <f>IF(D5820="?OLD","!!!","")</f>
        <v/>
      </c>
      <c r="F5820" s="23" t="str">
        <f>IF(OR(E5820="",E5820="!!!"),"",IF(NOT(ISNA(VLOOKUP(E5820,E$1:E5819,1,FALSE()))),"OLD",IF(AND(E5820&lt;&gt;"",E5820&lt;&gt;"!!!"),"NEW","")))</f>
        <v> </v>
      </c>
      <c r="G5820" s="24" t="str">
        <f>IF(OR(E5820="",E5820="!!!"),"",IF(OR(J5820=0,AND(J5820=1,K5820=1),AND(J5820=1,I5820="SBJ"),AND(J5820=1,I5820=0)),"?IN_FOCUS",IF(J5820&lt;=2,"?ACTIVATED",IF(J5820&lt;&gt;"","?FAMILIAR",IF(F5820="NEW",IF(ISNA(VLOOKUP(E5820,#REF!,1,FALSE())),"?TYPE_IDENTIFIABLE","?REFERENTIAL"),"_")))))</f>
        <v> </v>
      </c>
      <c r="H5820" s="25" t="str">
        <f>IF(J5820&lt;&gt;1,"",IF(I5820="SBJ","CB","?"))</f>
        <v> </v>
      </c>
      <c r="I5820" s="26" t="str">
        <f>IF(OR(E5820="",E5820="!!!",F5820="NEW"),"",INDEX(B5819:B$2,-1+SUMPRODUCT(MAX(ROW(E5819:E$2)*(E5820=E5819:E$2)))))</f>
        <v> </v>
      </c>
      <c r="J5820" s="26" t="str">
        <f>IF(OR(E5820="",E5820="!!!",F5820="NEW"),"",COUNTBLANK(OFFSET(A$1,,,SUMPRODUCT(MAX(ROW(E$2:E5820)*(E5820=E$2:E5820)))))-COUNTBLANK(OFFSET(A$1,,,SUMPRODUCT(MAX(ROW(E$1:E5819)*(E2=E$1:E5819))))))</f>
        <v> </v>
      </c>
      <c r="K5820" s="26" t="str">
        <f>IF(OR(E5820="",E5820="!!!",F5820="NEW"),"",INDEX(J$1:J5819,SUMPRODUCT(MAX(ROW(E$1:E5819)*(E5820=E$1:E5819)))))</f>
        <v> </v>
      </c>
      <c r="L5820" s="27"/>
    </row>
    <row r="5821" spans="1:12">
      <c r="A5821" s="20" t="s">
        <v>2562</v>
      </c>
      <c r="E5821" s="22">
        <f>IF(D5821="?OLD","!!!","")</f>
        <v/>
      </c>
      <c r="F5821" s="23" t="str">
        <f>IF(OR(E5821="",E5821="!!!"),"",IF(NOT(ISNA(VLOOKUP(E5821,E$1:E5820,1,FALSE()))),"OLD",IF(AND(E5821&lt;&gt;"",E5821&lt;&gt;"!!!"),"NEW","")))</f>
        <v> </v>
      </c>
      <c r="G5821" s="24" t="str">
        <f>IF(OR(E5821="",E5821="!!!"),"",IF(OR(J5821=0,AND(J5821=1,K5821=1),AND(J5821=1,I5821="SBJ"),AND(J5821=1,I5821=0)),"?IN_FOCUS",IF(J5821&lt;=2,"?ACTIVATED",IF(J5821&lt;&gt;"","?FAMILIAR",IF(F5821="NEW",IF(ISNA(VLOOKUP(E5821,#REF!,1,FALSE())),"?TYPE_IDENTIFIABLE","?REFERENTIAL"),"_")))))</f>
        <v> </v>
      </c>
      <c r="H5821" s="25" t="str">
        <f>IF(J5821&lt;&gt;1,"",IF(I5821="SBJ","CB","?"))</f>
        <v> </v>
      </c>
      <c r="I5821" s="26" t="str">
        <f>IF(OR(E5821="",E5821="!!!",F5821="NEW"),"",INDEX(B5820:B$2,-1+SUMPRODUCT(MAX(ROW(E5820:E$2)*(E5821=E5820:E$2)))))</f>
        <v> </v>
      </c>
      <c r="J5821" s="26" t="str">
        <f>IF(OR(E5821="",E5821="!!!",F5821="NEW"),"",COUNTBLANK(OFFSET(A$1,,,SUMPRODUCT(MAX(ROW(E$2:E5821)*(E5821=E$2:E5821)))))-COUNTBLANK(OFFSET(A$1,,,SUMPRODUCT(MAX(ROW(E$1:E5820)*(E2=E$1:E5820))))))</f>
        <v> </v>
      </c>
      <c r="K5821" s="26" t="str">
        <f>IF(OR(E5821="",E5821="!!!",F5821="NEW"),"",INDEX(J$1:J5820,SUMPRODUCT(MAX(ROW(E$1:E5820)*(E5821=E$1:E5820)))))</f>
        <v> </v>
      </c>
      <c r="L5821" s="27"/>
    </row>
    <row r="5822" spans="1:12">
      <c r="A5822" s="20" t="s">
        <v>1023</v>
      </c>
      <c r="E5822" s="22">
        <f>IF(D5822="?OLD","!!!","")</f>
        <v/>
      </c>
      <c r="F5822" s="23" t="str">
        <f>IF(OR(E5822="",E5822="!!!"),"",IF(NOT(ISNA(VLOOKUP(E5822,E$1:E5821,1,FALSE()))),"OLD",IF(AND(E5822&lt;&gt;"",E5822&lt;&gt;"!!!"),"NEW","")))</f>
        <v> </v>
      </c>
      <c r="G5822" s="24" t="str">
        <f>IF(OR(E5822="",E5822="!!!"),"",IF(OR(J5822=0,AND(J5822=1,K5822=1),AND(J5822=1,I5822="SBJ"),AND(J5822=1,I5822=0)),"?IN_FOCUS",IF(J5822&lt;=2,"?ACTIVATED",IF(J5822&lt;&gt;"","?FAMILIAR",IF(F5822="NEW",IF(ISNA(VLOOKUP(E5822,#REF!,1,FALSE())),"?TYPE_IDENTIFIABLE","?REFERENTIAL"),"_")))))</f>
        <v> </v>
      </c>
      <c r="H5822" s="25" t="str">
        <f>IF(J5822&lt;&gt;1,"",IF(I5822="SBJ","CB","?"))</f>
        <v> </v>
      </c>
      <c r="I5822" s="26" t="str">
        <f>IF(OR(E5822="",E5822="!!!",F5822="NEW"),"",INDEX(B5821:B$2,-1+SUMPRODUCT(MAX(ROW(E5821:E$2)*(E5822=E5821:E$2)))))</f>
        <v> </v>
      </c>
      <c r="J5822" s="26" t="str">
        <f>IF(OR(E5822="",E5822="!!!",F5822="NEW"),"",COUNTBLANK(OFFSET(A$1,,,SUMPRODUCT(MAX(ROW(E$2:E5822)*(E5822=E$2:E5822)))))-COUNTBLANK(OFFSET(A$1,,,SUMPRODUCT(MAX(ROW(E$1:E5821)*(E2=E$1:E5821))))))</f>
        <v> </v>
      </c>
      <c r="K5822" s="26" t="str">
        <f>IF(OR(E5822="",E5822="!!!",F5822="NEW"),"",INDEX(J$1:J5821,SUMPRODUCT(MAX(ROW(E$1:E5821)*(E5822=E$1:E5821)))))</f>
        <v> </v>
      </c>
      <c r="L5822" s="27"/>
    </row>
    <row r="5823" spans="1:12">
      <c r="A5823" s="20"/>
    </row>
    <row r="5824" spans="1:12">
      <c r="A5824" s="20" t="s">
        <v>2563</v>
      </c>
    </row>
    <row r="5825" spans="1:12">
      <c r="A5825" s="20" t="s">
        <v>1861</v>
      </c>
      <c r="E5825" s="22">
        <f>IF(D5825="?OLD","!!!","")</f>
        <v/>
      </c>
      <c r="F5825" s="23" t="str">
        <f>IF(OR(E5825="",E5825="!!!"),"",IF(NOT(ISNA(VLOOKUP(E5825,E$1:E5824,1,FALSE()))),"OLD",IF(AND(E5825&lt;&gt;"",E5825&lt;&gt;"!!!"),"NEW","")))</f>
        <v> </v>
      </c>
      <c r="G5825" s="24" t="str">
        <f>IF(OR(E5825="",E5825="!!!"),"",IF(OR(J5825=0,AND(J5825=1,K5825=1),AND(J5825=1,I5825="SBJ"),AND(J5825=1,I5825=0)),"?IN_FOCUS",IF(J5825&lt;=2,"?ACTIVATED",IF(J5825&lt;&gt;"","?FAMILIAR",IF(F5825="NEW",IF(ISNA(VLOOKUP(E5825,#REF!,1,FALSE())),"?TYPE_IDENTIFIABLE","?REFERENTIAL"),"_")))))</f>
        <v> </v>
      </c>
      <c r="H5825" s="25" t="str">
        <f>IF(J5825&lt;&gt;1,"",IF(I5825="SBJ","CB","?"))</f>
        <v> </v>
      </c>
      <c r="I5825" s="26" t="str">
        <f>IF(OR(E5825="",E5825="!!!",F5825="NEW"),"",INDEX(B5824:B$2,-1+SUMPRODUCT(MAX(ROW(E5824:E$2)*(E5825=E5824:E$2)))))</f>
        <v> </v>
      </c>
      <c r="J5825" s="26" t="str">
        <f>IF(OR(E5825="",E5825="!!!",F5825="NEW"),"",COUNTBLANK(OFFSET(A$1,,,SUMPRODUCT(MAX(ROW(E$2:E5825)*(E5825=E$2:E5825)))))-COUNTBLANK(OFFSET(A$1,,,SUMPRODUCT(MAX(ROW(E$1:E5824)*(E2=E$1:E5824))))))</f>
        <v> </v>
      </c>
      <c r="K5825" s="26" t="str">
        <f>IF(OR(E5825="",E5825="!!!",F5825="NEW"),"",INDEX(J$1:J5824,SUMPRODUCT(MAX(ROW(E$1:E5824)*(E5825=E$1:E5824)))))</f>
        <v> </v>
      </c>
      <c r="L5825" s="27"/>
    </row>
    <row r="5826" spans="1:12">
      <c r="A5826" s="20" t="s">
        <v>1065</v>
      </c>
      <c r="E5826" s="22">
        <f>IF(D5826="?OLD","!!!","")</f>
        <v/>
      </c>
      <c r="F5826" s="23" t="str">
        <f>IF(OR(E5826="",E5826="!!!"),"",IF(NOT(ISNA(VLOOKUP(E5826,E$1:E5825,1,FALSE()))),"OLD",IF(AND(E5826&lt;&gt;"",E5826&lt;&gt;"!!!"),"NEW","")))</f>
        <v> </v>
      </c>
      <c r="G5826" s="24" t="str">
        <f>IF(OR(E5826="",E5826="!!!"),"",IF(OR(J5826=0,AND(J5826=1,K5826=1),AND(J5826=1,I5826="SBJ"),AND(J5826=1,I5826=0)),"?IN_FOCUS",IF(J5826&lt;=2,"?ACTIVATED",IF(J5826&lt;&gt;"","?FAMILIAR",IF(F5826="NEW",IF(ISNA(VLOOKUP(E5826,#REF!,1,FALSE())),"?TYPE_IDENTIFIABLE","?REFERENTIAL"),"_")))))</f>
        <v> </v>
      </c>
      <c r="H5826" s="25" t="str">
        <f>IF(J5826&lt;&gt;1,"",IF(I5826="SBJ","CB","?"))</f>
        <v> </v>
      </c>
      <c r="I5826" s="26" t="str">
        <f>IF(OR(E5826="",E5826="!!!",F5826="NEW"),"",INDEX(B5825:B$2,-1+SUMPRODUCT(MAX(ROW(E5825:E$2)*(E5826=E5825:E$2)))))</f>
        <v> </v>
      </c>
      <c r="J5826" s="26" t="str">
        <f>IF(OR(E5826="",E5826="!!!",F5826="NEW"),"",COUNTBLANK(OFFSET(A$1,,,SUMPRODUCT(MAX(ROW(E$2:E5826)*(E5826=E$2:E5826)))))-COUNTBLANK(OFFSET(A$1,,,SUMPRODUCT(MAX(ROW(E$1:E5825)*(E2=E$1:E5825))))))</f>
        <v> </v>
      </c>
      <c r="K5826" s="26" t="str">
        <f>IF(OR(E5826="",E5826="!!!",F5826="NEW"),"",INDEX(J$1:J5825,SUMPRODUCT(MAX(ROW(E$1:E5825)*(E5826=E$1:E5825)))))</f>
        <v> </v>
      </c>
      <c r="L5826" s="27"/>
    </row>
    <row r="5827" spans="1:12">
      <c r="A5827" s="20" t="s">
        <v>1020</v>
      </c>
      <c r="E5827" s="22">
        <f>IF(D5827="?OLD","!!!","")</f>
        <v/>
      </c>
      <c r="F5827" s="23" t="str">
        <f>IF(OR(E5827="",E5827="!!!"),"",IF(NOT(ISNA(VLOOKUP(E5827,E$1:E5826,1,FALSE()))),"OLD",IF(AND(E5827&lt;&gt;"",E5827&lt;&gt;"!!!"),"NEW","")))</f>
        <v> </v>
      </c>
      <c r="G5827" s="24" t="str">
        <f>IF(OR(E5827="",E5827="!!!"),"",IF(OR(J5827=0,AND(J5827=1,K5827=1),AND(J5827=1,I5827="SBJ"),AND(J5827=1,I5827=0)),"?IN_FOCUS",IF(J5827&lt;=2,"?ACTIVATED",IF(J5827&lt;&gt;"","?FAMILIAR",IF(F5827="NEW",IF(ISNA(VLOOKUP(E5827,#REF!,1,FALSE())),"?TYPE_IDENTIFIABLE","?REFERENTIAL"),"_")))))</f>
        <v> </v>
      </c>
      <c r="H5827" s="25" t="str">
        <f>IF(J5827&lt;&gt;1,"",IF(I5827="SBJ","CB","?"))</f>
        <v> </v>
      </c>
      <c r="I5827" s="26" t="str">
        <f>IF(OR(E5827="",E5827="!!!",F5827="NEW"),"",INDEX(B5826:B$2,-1+SUMPRODUCT(MAX(ROW(E5826:E$2)*(E5827=E5826:E$2)))))</f>
        <v> </v>
      </c>
      <c r="J5827" s="26" t="str">
        <f>IF(OR(E5827="",E5827="!!!",F5827="NEW"),"",COUNTBLANK(OFFSET(A$1,,,SUMPRODUCT(MAX(ROW(E$2:E5827)*(E5827=E$2:E5827)))))-COUNTBLANK(OFFSET(A$1,,,SUMPRODUCT(MAX(ROW(E$1:E5826)*(E2=E$1:E5826))))))</f>
        <v> </v>
      </c>
      <c r="K5827" s="26" t="str">
        <f>IF(OR(E5827="",E5827="!!!",F5827="NEW"),"",INDEX(J$1:J5826,SUMPRODUCT(MAX(ROW(E$1:E5826)*(E5827=E$1:E5826)))))</f>
        <v> </v>
      </c>
      <c r="L5827" s="27"/>
    </row>
    <row r="5828" spans="1:12">
      <c r="A5828" s="20" t="s">
        <v>1021</v>
      </c>
      <c r="B5828" s="21" t="s">
        <v>1119</v>
      </c>
      <c r="C5828" s="21" t="s">
        <v>1006</v>
      </c>
      <c r="D5828" s="21" t="s">
        <v>1007</v>
      </c>
      <c r="E5828" s="22">
        <f>IF(D5828="?OLD","!!!","")</f>
        <v/>
      </c>
      <c r="F5828" s="23" t="str">
        <f>IF(OR(E5828="",E5828="!!!"),"",IF(NOT(ISNA(VLOOKUP(E5828,E$1:E5827,1,FALSE()))),"OLD",IF(AND(E5828&lt;&gt;"",E5828&lt;&gt;"!!!"),"NEW","")))</f>
        <v> </v>
      </c>
      <c r="G5828" s="24" t="str">
        <f>IF(OR(E5828="",E5828="!!!"),"",IF(OR(J5828=0,AND(J5828=1,K5828=1),AND(J5828=1,I5828="SBJ"),AND(J5828=1,I5828=0)),"?IN_FOCUS",IF(J5828&lt;=2,"?ACTIVATED",IF(J5828&lt;&gt;"","?FAMILIAR",IF(F5828="NEW",IF(ISNA(VLOOKUP(E5828,#REF!,1,FALSE())),"?TYPE_IDENTIFIABLE","?REFERENTIAL"),"_")))))</f>
        <v> </v>
      </c>
      <c r="H5828" s="25" t="str">
        <f>IF(J5828&lt;&gt;1,"",IF(I5828="SBJ","CB","?"))</f>
        <v> </v>
      </c>
      <c r="I5828" s="26" t="str">
        <f>IF(OR(E5828="",E5828="!!!",F5828="NEW"),"",INDEX(B5827:B$2,-1+SUMPRODUCT(MAX(ROW(E5827:E$2)*(E5828=E5827:E$2)))))</f>
        <v> </v>
      </c>
      <c r="J5828" s="26" t="str">
        <f>IF(OR(E5828="",E5828="!!!",F5828="NEW"),"",COUNTBLANK(OFFSET(A$1,,,SUMPRODUCT(MAX(ROW(E$2:E5828)*(E5828=E$2:E5828)))))-COUNTBLANK(OFFSET(A$1,,,SUMPRODUCT(MAX(ROW(E$1:E5827)*(E2=E$1:E5827))))))</f>
        <v> </v>
      </c>
      <c r="K5828" s="26" t="str">
        <f>IF(OR(E5828="",E5828="!!!",F5828="NEW"),"",INDEX(J$1:J5827,SUMPRODUCT(MAX(ROW(E$1:E5827)*(E5828=E$1:E5827)))))</f>
        <v> </v>
      </c>
      <c r="L5828" s="27"/>
    </row>
    <row r="5829" spans="1:12">
      <c r="A5829" s="20" t="s">
        <v>1014</v>
      </c>
      <c r="E5829" s="22">
        <f>IF(D5829="?OLD","!!!","")</f>
        <v/>
      </c>
      <c r="F5829" s="23" t="str">
        <f>IF(OR(E5829="",E5829="!!!"),"",IF(NOT(ISNA(VLOOKUP(E5829,E$1:E5828,1,FALSE()))),"OLD",IF(AND(E5829&lt;&gt;"",E5829&lt;&gt;"!!!"),"NEW","")))</f>
        <v> </v>
      </c>
      <c r="G5829" s="24" t="str">
        <f>IF(OR(E5829="",E5829="!!!"),"",IF(OR(J5829=0,AND(J5829=1,K5829=1),AND(J5829=1,I5829="SBJ"),AND(J5829=1,I5829=0)),"?IN_FOCUS",IF(J5829&lt;=2,"?ACTIVATED",IF(J5829&lt;&gt;"","?FAMILIAR",IF(F5829="NEW",IF(ISNA(VLOOKUP(E5829,#REF!,1,FALSE())),"?TYPE_IDENTIFIABLE","?REFERENTIAL"),"_")))))</f>
        <v> </v>
      </c>
      <c r="H5829" s="25" t="str">
        <f>IF(J5829&lt;&gt;1,"",IF(I5829="SBJ","CB","?"))</f>
        <v> </v>
      </c>
      <c r="I5829" s="26" t="str">
        <f>IF(OR(E5829="",E5829="!!!",F5829="NEW"),"",INDEX(B5828:B$2,-1+SUMPRODUCT(MAX(ROW(E5828:E$2)*(E5829=E5828:E$2)))))</f>
        <v> </v>
      </c>
      <c r="J5829" s="26" t="str">
        <f>IF(OR(E5829="",E5829="!!!",F5829="NEW"),"",COUNTBLANK(OFFSET(A$1,,,SUMPRODUCT(MAX(ROW(E$2:E5829)*(E5829=E$2:E5829)))))-COUNTBLANK(OFFSET(A$1,,,SUMPRODUCT(MAX(ROW(E$1:E5828)*(E2=E$1:E5828))))))</f>
        <v> </v>
      </c>
      <c r="K5829" s="26" t="str">
        <f>IF(OR(E5829="",E5829="!!!",F5829="NEW"),"",INDEX(J$1:J5828,SUMPRODUCT(MAX(ROW(E$1:E5828)*(E5829=E$1:E5828)))))</f>
        <v> </v>
      </c>
      <c r="L5829" s="27"/>
    </row>
    <row r="5830" spans="1:12">
      <c r="A5830" s="20" t="s">
        <v>1065</v>
      </c>
      <c r="E5830" s="22">
        <f>IF(D5830="?OLD","!!!","")</f>
        <v/>
      </c>
      <c r="F5830" s="23" t="str">
        <f>IF(OR(E5830="",E5830="!!!"),"",IF(NOT(ISNA(VLOOKUP(E5830,E$1:E5829,1,FALSE()))),"OLD",IF(AND(E5830&lt;&gt;"",E5830&lt;&gt;"!!!"),"NEW","")))</f>
        <v> </v>
      </c>
      <c r="G5830" s="24" t="str">
        <f>IF(OR(E5830="",E5830="!!!"),"",IF(OR(J5830=0,AND(J5830=1,K5830=1),AND(J5830=1,I5830="SBJ"),AND(J5830=1,I5830=0)),"?IN_FOCUS",IF(J5830&lt;=2,"?ACTIVATED",IF(J5830&lt;&gt;"","?FAMILIAR",IF(F5830="NEW",IF(ISNA(VLOOKUP(E5830,#REF!,1,FALSE())),"?TYPE_IDENTIFIABLE","?REFERENTIAL"),"_")))))</f>
        <v> </v>
      </c>
      <c r="H5830" s="25" t="str">
        <f>IF(J5830&lt;&gt;1,"",IF(I5830="SBJ","CB","?"))</f>
        <v> </v>
      </c>
      <c r="I5830" s="26" t="str">
        <f>IF(OR(E5830="",E5830="!!!",F5830="NEW"),"",INDEX(B5829:B$2,-1+SUMPRODUCT(MAX(ROW(E5829:E$2)*(E5830=E5829:E$2)))))</f>
        <v> </v>
      </c>
      <c r="J5830" s="26" t="str">
        <f>IF(OR(E5830="",E5830="!!!",F5830="NEW"),"",COUNTBLANK(OFFSET(A$1,,,SUMPRODUCT(MAX(ROW(E$2:E5830)*(E5830=E$2:E5830)))))-COUNTBLANK(OFFSET(A$1,,,SUMPRODUCT(MAX(ROW(E$1:E5829)*(E2=E$1:E5829))))))</f>
        <v> </v>
      </c>
      <c r="K5830" s="26" t="str">
        <f>IF(OR(E5830="",E5830="!!!",F5830="NEW"),"",INDEX(J$1:J5829,SUMPRODUCT(MAX(ROW(E$1:E5829)*(E5830=E$1:E5829)))))</f>
        <v> </v>
      </c>
      <c r="L5830" s="27"/>
    </row>
    <row r="5831" spans="1:12">
      <c r="A5831" s="20" t="s">
        <v>2564</v>
      </c>
      <c r="E5831" s="22">
        <f>IF(D5831="?OLD","!!!","")</f>
        <v/>
      </c>
      <c r="F5831" s="23" t="str">
        <f>IF(OR(E5831="",E5831="!!!"),"",IF(NOT(ISNA(VLOOKUP(E5831,E$1:E5830,1,FALSE()))),"OLD",IF(AND(E5831&lt;&gt;"",E5831&lt;&gt;"!!!"),"NEW","")))</f>
        <v> </v>
      </c>
      <c r="G5831" s="24" t="str">
        <f>IF(OR(E5831="",E5831="!!!"),"",IF(OR(J5831=0,AND(J5831=1,K5831=1),AND(J5831=1,I5831="SBJ"),AND(J5831=1,I5831=0)),"?IN_FOCUS",IF(J5831&lt;=2,"?ACTIVATED",IF(J5831&lt;&gt;"","?FAMILIAR",IF(F5831="NEW",IF(ISNA(VLOOKUP(E5831,#REF!,1,FALSE())),"?TYPE_IDENTIFIABLE","?REFERENTIAL"),"_")))))</f>
        <v> </v>
      </c>
      <c r="H5831" s="25" t="str">
        <f>IF(J5831&lt;&gt;1,"",IF(I5831="SBJ","CB","?"))</f>
        <v> </v>
      </c>
      <c r="I5831" s="26" t="str">
        <f>IF(OR(E5831="",E5831="!!!",F5831="NEW"),"",INDEX(B5830:B$2,-1+SUMPRODUCT(MAX(ROW(E5830:E$2)*(E5831=E5830:E$2)))))</f>
        <v> </v>
      </c>
      <c r="J5831" s="26" t="str">
        <f>IF(OR(E5831="",E5831="!!!",F5831="NEW"),"",COUNTBLANK(OFFSET(A$1,,,SUMPRODUCT(MAX(ROW(E$2:E5831)*(E5831=E$2:E5831)))))-COUNTBLANK(OFFSET(A$1,,,SUMPRODUCT(MAX(ROW(E$1:E5830)*(E2=E$1:E5830))))))</f>
        <v> </v>
      </c>
      <c r="K5831" s="26" t="str">
        <f>IF(OR(E5831="",E5831="!!!",F5831="NEW"),"",INDEX(J$1:J5830,SUMPRODUCT(MAX(ROW(E$1:E5830)*(E5831=E$1:E5830)))))</f>
        <v> </v>
      </c>
      <c r="L5831" s="27"/>
    </row>
    <row r="5832" spans="1:12">
      <c r="A5832" s="20" t="s">
        <v>1030</v>
      </c>
      <c r="E5832" s="22">
        <f>IF(D5832="?OLD","!!!","")</f>
        <v/>
      </c>
      <c r="F5832" s="23" t="str">
        <f>IF(OR(E5832="",E5832="!!!"),"",IF(NOT(ISNA(VLOOKUP(E5832,E$1:E5831,1,FALSE()))),"OLD",IF(AND(E5832&lt;&gt;"",E5832&lt;&gt;"!!!"),"NEW","")))</f>
        <v> </v>
      </c>
      <c r="G5832" s="24" t="str">
        <f>IF(OR(E5832="",E5832="!!!"),"",IF(OR(J5832=0,AND(J5832=1,K5832=1),AND(J5832=1,I5832="SBJ"),AND(J5832=1,I5832=0)),"?IN_FOCUS",IF(J5832&lt;=2,"?ACTIVATED",IF(J5832&lt;&gt;"","?FAMILIAR",IF(F5832="NEW",IF(ISNA(VLOOKUP(E5832,#REF!,1,FALSE())),"?TYPE_IDENTIFIABLE","?REFERENTIAL"),"_")))))</f>
        <v> </v>
      </c>
      <c r="H5832" s="25" t="str">
        <f>IF(J5832&lt;&gt;1,"",IF(I5832="SBJ","CB","?"))</f>
        <v> </v>
      </c>
      <c r="I5832" s="26" t="str">
        <f>IF(OR(E5832="",E5832="!!!",F5832="NEW"),"",INDEX(B5831:B$2,-1+SUMPRODUCT(MAX(ROW(E5831:E$2)*(E5832=E5831:E$2)))))</f>
        <v> </v>
      </c>
      <c r="J5832" s="26" t="str">
        <f>IF(OR(E5832="",E5832="!!!",F5832="NEW"),"",COUNTBLANK(OFFSET(A$1,,,SUMPRODUCT(MAX(ROW(E$2:E5832)*(E5832=E$2:E5832)))))-COUNTBLANK(OFFSET(A$1,,,SUMPRODUCT(MAX(ROW(E$1:E5831)*(E2=E$1:E5831))))))</f>
        <v> </v>
      </c>
      <c r="K5832" s="26" t="str">
        <f>IF(OR(E5832="",E5832="!!!",F5832="NEW"),"",INDEX(J$1:J5831,SUMPRODUCT(MAX(ROW(E$1:E5831)*(E5832=E$1:E5831)))))</f>
        <v> </v>
      </c>
      <c r="L5832" s="27"/>
    </row>
    <row r="5833" spans="1:12">
      <c r="A5833" s="20" t="s">
        <v>102</v>
      </c>
      <c r="E5833" s="22">
        <f>IF(D5833="?OLD","!!!","")</f>
        <v/>
      </c>
      <c r="F5833" s="23" t="str">
        <f>IF(OR(E5833="",E5833="!!!"),"",IF(NOT(ISNA(VLOOKUP(E5833,E$1:E5832,1,FALSE()))),"OLD",IF(AND(E5833&lt;&gt;"",E5833&lt;&gt;"!!!"),"NEW","")))</f>
        <v> </v>
      </c>
      <c r="G5833" s="24" t="str">
        <f>IF(OR(E5833="",E5833="!!!"),"",IF(OR(J5833=0,AND(J5833=1,K5833=1),AND(J5833=1,I5833="SBJ"),AND(J5833=1,I5833=0)),"?IN_FOCUS",IF(J5833&lt;=2,"?ACTIVATED",IF(J5833&lt;&gt;"","?FAMILIAR",IF(F5833="NEW",IF(ISNA(VLOOKUP(E5833,#REF!,1,FALSE())),"?TYPE_IDENTIFIABLE","?REFERENTIAL"),"_")))))</f>
        <v> </v>
      </c>
      <c r="H5833" s="25" t="str">
        <f>IF(J5833&lt;&gt;1,"",IF(I5833="SBJ","CB","?"))</f>
        <v> </v>
      </c>
      <c r="I5833" s="26" t="str">
        <f>IF(OR(E5833="",E5833="!!!",F5833="NEW"),"",INDEX(B5832:B$2,-1+SUMPRODUCT(MAX(ROW(E5832:E$2)*(E5833=E5832:E$2)))))</f>
        <v> </v>
      </c>
      <c r="J5833" s="26" t="str">
        <f>IF(OR(E5833="",E5833="!!!",F5833="NEW"),"",COUNTBLANK(OFFSET(A$1,,,SUMPRODUCT(MAX(ROW(E$2:E5833)*(E5833=E$2:E5833)))))-COUNTBLANK(OFFSET(A$1,,,SUMPRODUCT(MAX(ROW(E$1:E5832)*(E2=E$1:E5832))))))</f>
        <v> </v>
      </c>
      <c r="K5833" s="26" t="str">
        <f>IF(OR(E5833="",E5833="!!!",F5833="NEW"),"",INDEX(J$1:J5832,SUMPRODUCT(MAX(ROW(E$1:E5832)*(E5833=E$1:E5832)))))</f>
        <v> </v>
      </c>
      <c r="L5833" s="27"/>
    </row>
    <row r="5834" spans="1:12">
      <c r="A5834" s="20" t="s">
        <v>1595</v>
      </c>
      <c r="B5834" s="21" t="s">
        <v>1035</v>
      </c>
      <c r="C5834" s="21" t="s">
        <v>1017</v>
      </c>
      <c r="D5834" s="21" t="s">
        <v>1007</v>
      </c>
      <c r="E5834" s="22">
        <f>IF(D5834="?OLD","!!!","")</f>
        <v/>
      </c>
      <c r="F5834" s="23" t="str">
        <f>IF(OR(E5834="",E5834="!!!"),"",IF(NOT(ISNA(VLOOKUP(E5834,E$1:E5833,1,FALSE()))),"OLD",IF(AND(E5834&lt;&gt;"",E5834&lt;&gt;"!!!"),"NEW","")))</f>
        <v> </v>
      </c>
      <c r="G5834" s="24" t="str">
        <f>IF(OR(E5834="",E5834="!!!"),"",IF(OR(J5834=0,AND(J5834=1,K5834=1),AND(J5834=1,I5834="SBJ"),AND(J5834=1,I5834=0)),"?IN_FOCUS",IF(J5834&lt;=2,"?ACTIVATED",IF(J5834&lt;&gt;"","?FAMILIAR",IF(F5834="NEW",IF(ISNA(VLOOKUP(E5834,#REF!,1,FALSE())),"?TYPE_IDENTIFIABLE","?REFERENTIAL"),"_")))))</f>
        <v> </v>
      </c>
      <c r="H5834" s="25" t="str">
        <f>IF(J5834&lt;&gt;1,"",IF(I5834="SBJ","CB","?"))</f>
        <v> </v>
      </c>
      <c r="I5834" s="26" t="str">
        <f>IF(OR(E5834="",E5834="!!!",F5834="NEW"),"",INDEX(B5833:B$2,-1+SUMPRODUCT(MAX(ROW(E5833:E$2)*(E5834=E5833:E$2)))))</f>
        <v> </v>
      </c>
      <c r="J5834" s="26" t="str">
        <f>IF(OR(E5834="",E5834="!!!",F5834="NEW"),"",COUNTBLANK(OFFSET(A$1,,,SUMPRODUCT(MAX(ROW(E$2:E5834)*(E5834=E$2:E5834)))))-COUNTBLANK(OFFSET(A$1,,,SUMPRODUCT(MAX(ROW(E$1:E5833)*(E2=E$1:E5833))))))</f>
        <v> </v>
      </c>
      <c r="K5834" s="26" t="str">
        <f>IF(OR(E5834="",E5834="!!!",F5834="NEW"),"",INDEX(J$1:J5833,SUMPRODUCT(MAX(ROW(E$1:E5833)*(E5834=E$1:E5833)))))</f>
        <v> </v>
      </c>
      <c r="L5834" s="27"/>
    </row>
    <row r="5835" spans="1:12">
      <c r="A5835" s="20" t="s">
        <v>1075</v>
      </c>
      <c r="E5835" s="22">
        <f>IF(D5835="?OLD","!!!","")</f>
        <v/>
      </c>
      <c r="F5835" s="23" t="str">
        <f>IF(OR(E5835="",E5835="!!!"),"",IF(NOT(ISNA(VLOOKUP(E5835,E$1:E5834,1,FALSE()))),"OLD",IF(AND(E5835&lt;&gt;"",E5835&lt;&gt;"!!!"),"NEW","")))</f>
        <v> </v>
      </c>
      <c r="G5835" s="24" t="str">
        <f>IF(OR(E5835="",E5835="!!!"),"",IF(OR(J5835=0,AND(J5835=1,K5835=1),AND(J5835=1,I5835="SBJ"),AND(J5835=1,I5835=0)),"?IN_FOCUS",IF(J5835&lt;=2,"?ACTIVATED",IF(J5835&lt;&gt;"","?FAMILIAR",IF(F5835="NEW",IF(ISNA(VLOOKUP(E5835,#REF!,1,FALSE())),"?TYPE_IDENTIFIABLE","?REFERENTIAL"),"_")))))</f>
        <v> </v>
      </c>
      <c r="H5835" s="25" t="str">
        <f>IF(J5835&lt;&gt;1,"",IF(I5835="SBJ","CB","?"))</f>
        <v> </v>
      </c>
      <c r="I5835" s="26" t="str">
        <f>IF(OR(E5835="",E5835="!!!",F5835="NEW"),"",INDEX(B5834:B$2,-1+SUMPRODUCT(MAX(ROW(E5834:E$2)*(E5835=E5834:E$2)))))</f>
        <v> </v>
      </c>
      <c r="J5835" s="26" t="str">
        <f>IF(OR(E5835="",E5835="!!!",F5835="NEW"),"",COUNTBLANK(OFFSET(A$1,,,SUMPRODUCT(MAX(ROW(E$2:E5835)*(E5835=E$2:E5835)))))-COUNTBLANK(OFFSET(A$1,,,SUMPRODUCT(MAX(ROW(E$1:E5834)*(E2=E$1:E5834))))))</f>
        <v> </v>
      </c>
      <c r="K5835" s="26" t="str">
        <f>IF(OR(E5835="",E5835="!!!",F5835="NEW"),"",INDEX(J$1:J5834,SUMPRODUCT(MAX(ROW(E$1:E5834)*(E5835=E$1:E5834)))))</f>
        <v> </v>
      </c>
      <c r="L5835" s="27"/>
    </row>
    <row r="5836" spans="1:12">
      <c r="A5836" s="20" t="s">
        <v>2517</v>
      </c>
      <c r="E5836" s="22">
        <f>IF(D5836="?OLD","!!!","")</f>
        <v/>
      </c>
      <c r="F5836" s="23" t="str">
        <f>IF(OR(E5836="",E5836="!!!"),"",IF(NOT(ISNA(VLOOKUP(E5836,E$1:E5835,1,FALSE()))),"OLD",IF(AND(E5836&lt;&gt;"",E5836&lt;&gt;"!!!"),"NEW","")))</f>
        <v> </v>
      </c>
      <c r="G5836" s="24" t="str">
        <f>IF(OR(E5836="",E5836="!!!"),"",IF(OR(J5836=0,AND(J5836=1,K5836=1),AND(J5836=1,I5836="SBJ"),AND(J5836=1,I5836=0)),"?IN_FOCUS",IF(J5836&lt;=2,"?ACTIVATED",IF(J5836&lt;&gt;"","?FAMILIAR",IF(F5836="NEW",IF(ISNA(VLOOKUP(E5836,#REF!,1,FALSE())),"?TYPE_IDENTIFIABLE","?REFERENTIAL"),"_")))))</f>
        <v> </v>
      </c>
      <c r="H5836" s="25" t="str">
        <f>IF(J5836&lt;&gt;1,"",IF(I5836="SBJ","CB","?"))</f>
        <v> </v>
      </c>
      <c r="I5836" s="26" t="str">
        <f>IF(OR(E5836="",E5836="!!!",F5836="NEW"),"",INDEX(B5835:B$2,-1+SUMPRODUCT(MAX(ROW(E5835:E$2)*(E5836=E5835:E$2)))))</f>
        <v> </v>
      </c>
      <c r="J5836" s="26" t="str">
        <f>IF(OR(E5836="",E5836="!!!",F5836="NEW"),"",COUNTBLANK(OFFSET(A$1,,,SUMPRODUCT(MAX(ROW(E$2:E5836)*(E5836=E$2:E5836)))))-COUNTBLANK(OFFSET(A$1,,,SUMPRODUCT(MAX(ROW(E$1:E5835)*(E2=E$1:E5835))))))</f>
        <v> </v>
      </c>
      <c r="K5836" s="26" t="str">
        <f>IF(OR(E5836="",E5836="!!!",F5836="NEW"),"",INDEX(J$1:J5835,SUMPRODUCT(MAX(ROW(E$1:E5835)*(E5836=E$1:E5835)))))</f>
        <v> </v>
      </c>
      <c r="L5836" s="27"/>
    </row>
    <row r="5837" spans="1:12">
      <c r="A5837" s="20" t="s">
        <v>2518</v>
      </c>
      <c r="B5837" s="21" t="s">
        <v>1005</v>
      </c>
      <c r="C5837" s="21" t="s">
        <v>1073</v>
      </c>
      <c r="D5837" s="21" t="s">
        <v>1007</v>
      </c>
      <c r="E5837" s="22">
        <f>IF(D5837="?OLD","!!!","")</f>
        <v/>
      </c>
      <c r="F5837" s="23" t="str">
        <f>IF(OR(E5837="",E5837="!!!"),"",IF(NOT(ISNA(VLOOKUP(E5837,E$1:E5836,1,FALSE()))),"OLD",IF(AND(E5837&lt;&gt;"",E5837&lt;&gt;"!!!"),"NEW","")))</f>
        <v> </v>
      </c>
      <c r="G5837" s="24" t="str">
        <f>IF(OR(E5837="",E5837="!!!"),"",IF(OR(J5837=0,AND(J5837=1,K5837=1),AND(J5837=1,I5837="SBJ"),AND(J5837=1,I5837=0)),"?IN_FOCUS",IF(J5837&lt;=2,"?ACTIVATED",IF(J5837&lt;&gt;"","?FAMILIAR",IF(F5837="NEW",IF(ISNA(VLOOKUP(E5837,#REF!,1,FALSE())),"?TYPE_IDENTIFIABLE","?REFERENTIAL"),"_")))))</f>
        <v> </v>
      </c>
      <c r="H5837" s="25" t="str">
        <f>IF(J5837&lt;&gt;1,"",IF(I5837="SBJ","CB","?"))</f>
        <v> </v>
      </c>
      <c r="I5837" s="26" t="str">
        <f>IF(OR(E5837="",E5837="!!!",F5837="NEW"),"",INDEX(B5836:B$2,-1+SUMPRODUCT(MAX(ROW(E5836:E$2)*(E5837=E5836:E$2)))))</f>
        <v> </v>
      </c>
      <c r="J5837" s="26" t="str">
        <f>IF(OR(E5837="",E5837="!!!",F5837="NEW"),"",COUNTBLANK(OFFSET(A$1,,,SUMPRODUCT(MAX(ROW(E$2:E5837)*(E5837=E$2:E5837)))))-COUNTBLANK(OFFSET(A$1,,,SUMPRODUCT(MAX(ROW(E$1:E5836)*(E2=E$1:E5836))))))</f>
        <v> </v>
      </c>
      <c r="K5837" s="26" t="str">
        <f>IF(OR(E5837="",E5837="!!!",F5837="NEW"),"",INDEX(J$1:J5836,SUMPRODUCT(MAX(ROW(E$1:E5836)*(E5837=E$1:E5836)))))</f>
        <v> </v>
      </c>
      <c r="L5837" s="27"/>
    </row>
    <row r="5838" spans="1:12">
      <c r="A5838" s="20" t="s">
        <v>1014</v>
      </c>
      <c r="E5838" s="22">
        <f>IF(D5838="?OLD","!!!","")</f>
        <v/>
      </c>
      <c r="F5838" s="23" t="str">
        <f>IF(OR(E5838="",E5838="!!!"),"",IF(NOT(ISNA(VLOOKUP(E5838,E$1:E5837,1,FALSE()))),"OLD",IF(AND(E5838&lt;&gt;"",E5838&lt;&gt;"!!!"),"NEW","")))</f>
        <v> </v>
      </c>
      <c r="G5838" s="24" t="str">
        <f>IF(OR(E5838="",E5838="!!!"),"",IF(OR(J5838=0,AND(J5838=1,K5838=1),AND(J5838=1,I5838="SBJ"),AND(J5838=1,I5838=0)),"?IN_FOCUS",IF(J5838&lt;=2,"?ACTIVATED",IF(J5838&lt;&gt;"","?FAMILIAR",IF(F5838="NEW",IF(ISNA(VLOOKUP(E5838,#REF!,1,FALSE())),"?TYPE_IDENTIFIABLE","?REFERENTIAL"),"_")))))</f>
        <v> </v>
      </c>
      <c r="H5838" s="25" t="str">
        <f>IF(J5838&lt;&gt;1,"",IF(I5838="SBJ","CB","?"))</f>
        <v> </v>
      </c>
      <c r="I5838" s="26" t="str">
        <f>IF(OR(E5838="",E5838="!!!",F5838="NEW"),"",INDEX(B5837:B$2,-1+SUMPRODUCT(MAX(ROW(E5837:E$2)*(E5838=E5837:E$2)))))</f>
        <v> </v>
      </c>
      <c r="J5838" s="26" t="str">
        <f>IF(OR(E5838="",E5838="!!!",F5838="NEW"),"",COUNTBLANK(OFFSET(A$1,,,SUMPRODUCT(MAX(ROW(E$2:E5838)*(E5838=E$2:E5838)))))-COUNTBLANK(OFFSET(A$1,,,SUMPRODUCT(MAX(ROW(E$1:E5837)*(E2=E$1:E5837))))))</f>
        <v> </v>
      </c>
      <c r="K5838" s="26" t="str">
        <f>IF(OR(E5838="",E5838="!!!",F5838="NEW"),"",INDEX(J$1:J5837,SUMPRODUCT(MAX(ROW(E$1:E5837)*(E5838=E$1:E5837)))))</f>
        <v> </v>
      </c>
      <c r="L5838" s="27"/>
    </row>
    <row r="5839" spans="1:12">
      <c r="A5839" s="20" t="s">
        <v>1065</v>
      </c>
      <c r="E5839" s="22">
        <f>IF(D5839="?OLD","!!!","")</f>
        <v/>
      </c>
      <c r="F5839" s="23" t="str">
        <f>IF(OR(E5839="",E5839="!!!"),"",IF(NOT(ISNA(VLOOKUP(E5839,E$1:E5838,1,FALSE()))),"OLD",IF(AND(E5839&lt;&gt;"",E5839&lt;&gt;"!!!"),"NEW","")))</f>
        <v> </v>
      </c>
      <c r="G5839" s="24" t="str">
        <f>IF(OR(E5839="",E5839="!!!"),"",IF(OR(J5839=0,AND(J5839=1,K5839=1),AND(J5839=1,I5839="SBJ"),AND(J5839=1,I5839=0)),"?IN_FOCUS",IF(J5839&lt;=2,"?ACTIVATED",IF(J5839&lt;&gt;"","?FAMILIAR",IF(F5839="NEW",IF(ISNA(VLOOKUP(E5839,#REF!,1,FALSE())),"?TYPE_IDENTIFIABLE","?REFERENTIAL"),"_")))))</f>
        <v> </v>
      </c>
      <c r="H5839" s="25" t="str">
        <f>IF(J5839&lt;&gt;1,"",IF(I5839="SBJ","CB","?"))</f>
        <v> </v>
      </c>
      <c r="I5839" s="26" t="str">
        <f>IF(OR(E5839="",E5839="!!!",F5839="NEW"),"",INDEX(B5838:B$2,-1+SUMPRODUCT(MAX(ROW(E5838:E$2)*(E5839=E5838:E$2)))))</f>
        <v> </v>
      </c>
      <c r="J5839" s="26" t="str">
        <f>IF(OR(E5839="",E5839="!!!",F5839="NEW"),"",COUNTBLANK(OFFSET(A$1,,,SUMPRODUCT(MAX(ROW(E$2:E5839)*(E5839=E$2:E5839)))))-COUNTBLANK(OFFSET(A$1,,,SUMPRODUCT(MAX(ROW(E$1:E5838)*(E2=E$1:E5838))))))</f>
        <v> </v>
      </c>
      <c r="K5839" s="26" t="str">
        <f>IF(OR(E5839="",E5839="!!!",F5839="NEW"),"",INDEX(J$1:J5838,SUMPRODUCT(MAX(ROW(E$1:E5838)*(E5839=E$1:E5838)))))</f>
        <v> </v>
      </c>
      <c r="L5839" s="27"/>
    </row>
    <row r="5840" spans="1:12">
      <c r="A5840" s="20" t="s">
        <v>1616</v>
      </c>
      <c r="E5840" s="22">
        <f>IF(D5840="?OLD","!!!","")</f>
        <v/>
      </c>
      <c r="F5840" s="23" t="str">
        <f>IF(OR(E5840="",E5840="!!!"),"",IF(NOT(ISNA(VLOOKUP(E5840,E$1:E5839,1,FALSE()))),"OLD",IF(AND(E5840&lt;&gt;"",E5840&lt;&gt;"!!!"),"NEW","")))</f>
        <v> </v>
      </c>
      <c r="G5840" s="24" t="str">
        <f>IF(OR(E5840="",E5840="!!!"),"",IF(OR(J5840=0,AND(J5840=1,K5840=1),AND(J5840=1,I5840="SBJ"),AND(J5840=1,I5840=0)),"?IN_FOCUS",IF(J5840&lt;=2,"?ACTIVATED",IF(J5840&lt;&gt;"","?FAMILIAR",IF(F5840="NEW",IF(ISNA(VLOOKUP(E5840,#REF!,1,FALSE())),"?TYPE_IDENTIFIABLE","?REFERENTIAL"),"_")))))</f>
        <v> </v>
      </c>
      <c r="H5840" s="25" t="str">
        <f>IF(J5840&lt;&gt;1,"",IF(I5840="SBJ","CB","?"))</f>
        <v> </v>
      </c>
      <c r="I5840" s="26" t="str">
        <f>IF(OR(E5840="",E5840="!!!",F5840="NEW"),"",INDEX(B5839:B$2,-1+SUMPRODUCT(MAX(ROW(E5839:E$2)*(E5840=E5839:E$2)))))</f>
        <v> </v>
      </c>
      <c r="J5840" s="26" t="str">
        <f>IF(OR(E5840="",E5840="!!!",F5840="NEW"),"",COUNTBLANK(OFFSET(A$1,,,SUMPRODUCT(MAX(ROW(E$2:E5840)*(E5840=E$2:E5840)))))-COUNTBLANK(OFFSET(A$1,,,SUMPRODUCT(MAX(ROW(E$1:E5839)*(E2=E$1:E5839))))))</f>
        <v> </v>
      </c>
      <c r="K5840" s="26" t="str">
        <f>IF(OR(E5840="",E5840="!!!",F5840="NEW"),"",INDEX(J$1:J5839,SUMPRODUCT(MAX(ROW(E$1:E5839)*(E5840=E$1:E5839)))))</f>
        <v> </v>
      </c>
      <c r="L5840" s="27"/>
    </row>
    <row r="5841" spans="1:12">
      <c r="A5841" s="20" t="s">
        <v>1018</v>
      </c>
      <c r="E5841" s="22">
        <f>IF(D5841="?OLD","!!!","")</f>
        <v/>
      </c>
      <c r="F5841" s="23" t="str">
        <f>IF(OR(E5841="",E5841="!!!"),"",IF(NOT(ISNA(VLOOKUP(E5841,E$1:E5840,1,FALSE()))),"OLD",IF(AND(E5841&lt;&gt;"",E5841&lt;&gt;"!!!"),"NEW","")))</f>
        <v> </v>
      </c>
      <c r="G5841" s="24" t="str">
        <f>IF(OR(E5841="",E5841="!!!"),"",IF(OR(J5841=0,AND(J5841=1,K5841=1),AND(J5841=1,I5841="SBJ"),AND(J5841=1,I5841=0)),"?IN_FOCUS",IF(J5841&lt;=2,"?ACTIVATED",IF(J5841&lt;&gt;"","?FAMILIAR",IF(F5841="NEW",IF(ISNA(VLOOKUP(E5841,#REF!,1,FALSE())),"?TYPE_IDENTIFIABLE","?REFERENTIAL"),"_")))))</f>
        <v> </v>
      </c>
      <c r="H5841" s="25" t="str">
        <f>IF(J5841&lt;&gt;1,"",IF(I5841="SBJ","CB","?"))</f>
        <v> </v>
      </c>
      <c r="I5841" s="26" t="str">
        <f>IF(OR(E5841="",E5841="!!!",F5841="NEW"),"",INDEX(B5840:B$2,-1+SUMPRODUCT(MAX(ROW(E5840:E$2)*(E5841=E5840:E$2)))))</f>
        <v> </v>
      </c>
      <c r="J5841" s="26" t="str">
        <f>IF(OR(E5841="",E5841="!!!",F5841="NEW"),"",COUNTBLANK(OFFSET(A$1,,,SUMPRODUCT(MAX(ROW(E$2:E5841)*(E5841=E$2:E5841)))))-COUNTBLANK(OFFSET(A$1,,,SUMPRODUCT(MAX(ROW(E$1:E5840)*(E2=E$1:E5840))))))</f>
        <v> </v>
      </c>
      <c r="K5841" s="26" t="str">
        <f>IF(OR(E5841="",E5841="!!!",F5841="NEW"),"",INDEX(J$1:J5840,SUMPRODUCT(MAX(ROW(E$1:E5840)*(E5841=E$1:E5840)))))</f>
        <v> </v>
      </c>
      <c r="L5841" s="27"/>
    </row>
    <row r="5842" spans="1:12">
      <c r="A5842" s="20" t="s">
        <v>1142</v>
      </c>
      <c r="E5842" s="22">
        <f>IF(D5842="?OLD","!!!","")</f>
        <v/>
      </c>
      <c r="F5842" s="23" t="str">
        <f>IF(OR(E5842="",E5842="!!!"),"",IF(NOT(ISNA(VLOOKUP(E5842,E$1:E5841,1,FALSE()))),"OLD",IF(AND(E5842&lt;&gt;"",E5842&lt;&gt;"!!!"),"NEW","")))</f>
        <v> </v>
      </c>
      <c r="G5842" s="24" t="str">
        <f>IF(OR(E5842="",E5842="!!!"),"",IF(OR(J5842=0,AND(J5842=1,K5842=1),AND(J5842=1,I5842="SBJ"),AND(J5842=1,I5842=0)),"?IN_FOCUS",IF(J5842&lt;=2,"?ACTIVATED",IF(J5842&lt;&gt;"","?FAMILIAR",IF(F5842="NEW",IF(ISNA(VLOOKUP(E5842,#REF!,1,FALSE())),"?TYPE_IDENTIFIABLE","?REFERENTIAL"),"_")))))</f>
        <v> </v>
      </c>
      <c r="H5842" s="25" t="str">
        <f>IF(J5842&lt;&gt;1,"",IF(I5842="SBJ","CB","?"))</f>
        <v> </v>
      </c>
      <c r="I5842" s="26" t="str">
        <f>IF(OR(E5842="",E5842="!!!",F5842="NEW"),"",INDEX(B5841:B$2,-1+SUMPRODUCT(MAX(ROW(E5841:E$2)*(E5842=E5841:E$2)))))</f>
        <v> </v>
      </c>
      <c r="J5842" s="26" t="str">
        <f>IF(OR(E5842="",E5842="!!!",F5842="NEW"),"",COUNTBLANK(OFFSET(A$1,,,SUMPRODUCT(MAX(ROW(E$2:E5842)*(E5842=E$2:E5842)))))-COUNTBLANK(OFFSET(A$1,,,SUMPRODUCT(MAX(ROW(E$1:E5841)*(E2=E$1:E5841))))))</f>
        <v> </v>
      </c>
      <c r="K5842" s="26" t="str">
        <f>IF(OR(E5842="",E5842="!!!",F5842="NEW"),"",INDEX(J$1:J5841,SUMPRODUCT(MAX(ROW(E$1:E5841)*(E5842=E$1:E5841)))))</f>
        <v> </v>
      </c>
      <c r="L5842" s="27"/>
    </row>
    <row r="5843" spans="1:12">
      <c r="A5843" s="20" t="s">
        <v>1199</v>
      </c>
      <c r="E5843" s="22">
        <f>IF(D5843="?OLD","!!!","")</f>
        <v/>
      </c>
      <c r="F5843" s="23" t="str">
        <f>IF(OR(E5843="",E5843="!!!"),"",IF(NOT(ISNA(VLOOKUP(E5843,E$1:E5842,1,FALSE()))),"OLD",IF(AND(E5843&lt;&gt;"",E5843&lt;&gt;"!!!"),"NEW","")))</f>
        <v> </v>
      </c>
      <c r="G5843" s="24" t="str">
        <f>IF(OR(E5843="",E5843="!!!"),"",IF(OR(J5843=0,AND(J5843=1,K5843=1),AND(J5843=1,I5843="SBJ"),AND(J5843=1,I5843=0)),"?IN_FOCUS",IF(J5843&lt;=2,"?ACTIVATED",IF(J5843&lt;&gt;"","?FAMILIAR",IF(F5843="NEW",IF(ISNA(VLOOKUP(E5843,#REF!,1,FALSE())),"?TYPE_IDENTIFIABLE","?REFERENTIAL"),"_")))))</f>
        <v> </v>
      </c>
      <c r="H5843" s="25" t="str">
        <f>IF(J5843&lt;&gt;1,"",IF(I5843="SBJ","CB","?"))</f>
        <v> </v>
      </c>
      <c r="I5843" s="26" t="str">
        <f>IF(OR(E5843="",E5843="!!!",F5843="NEW"),"",INDEX(B5842:B$2,-1+SUMPRODUCT(MAX(ROW(E5842:E$2)*(E5843=E5842:E$2)))))</f>
        <v> </v>
      </c>
      <c r="J5843" s="26" t="str">
        <f>IF(OR(E5843="",E5843="!!!",F5843="NEW"),"",COUNTBLANK(OFFSET(A$1,,,SUMPRODUCT(MAX(ROW(E$2:E5843)*(E5843=E$2:E5843)))))-COUNTBLANK(OFFSET(A$1,,,SUMPRODUCT(MAX(ROW(E$1:E5842)*(E2=E$1:E5842))))))</f>
        <v> </v>
      </c>
      <c r="K5843" s="26" t="str">
        <f>IF(OR(E5843="",E5843="!!!",F5843="NEW"),"",INDEX(J$1:J5842,SUMPRODUCT(MAX(ROW(E$1:E5842)*(E5843=E$1:E5842)))))</f>
        <v> </v>
      </c>
      <c r="L5843" s="27"/>
    </row>
    <row r="5844" spans="1:12">
      <c r="A5844" s="20" t="s">
        <v>1290</v>
      </c>
      <c r="E5844" s="22">
        <f>IF(D5844="?OLD","!!!","")</f>
        <v/>
      </c>
      <c r="F5844" s="23" t="str">
        <f>IF(OR(E5844="",E5844="!!!"),"",IF(NOT(ISNA(VLOOKUP(E5844,E$1:E5843,1,FALSE()))),"OLD",IF(AND(E5844&lt;&gt;"",E5844&lt;&gt;"!!!"),"NEW","")))</f>
        <v> </v>
      </c>
      <c r="G5844" s="24" t="str">
        <f>IF(OR(E5844="",E5844="!!!"),"",IF(OR(J5844=0,AND(J5844=1,K5844=1),AND(J5844=1,I5844="SBJ"),AND(J5844=1,I5844=0)),"?IN_FOCUS",IF(J5844&lt;=2,"?ACTIVATED",IF(J5844&lt;&gt;"","?FAMILIAR",IF(F5844="NEW",IF(ISNA(VLOOKUP(E5844,#REF!,1,FALSE())),"?TYPE_IDENTIFIABLE","?REFERENTIAL"),"_")))))</f>
        <v> </v>
      </c>
      <c r="H5844" s="25" t="str">
        <f>IF(J5844&lt;&gt;1,"",IF(I5844="SBJ","CB","?"))</f>
        <v> </v>
      </c>
      <c r="I5844" s="26" t="str">
        <f>IF(OR(E5844="",E5844="!!!",F5844="NEW"),"",INDEX(B5843:B$2,-1+SUMPRODUCT(MAX(ROW(E5843:E$2)*(E5844=E5843:E$2)))))</f>
        <v> </v>
      </c>
      <c r="J5844" s="26" t="str">
        <f>IF(OR(E5844="",E5844="!!!",F5844="NEW"),"",COUNTBLANK(OFFSET(A$1,,,SUMPRODUCT(MAX(ROW(E$2:E5844)*(E5844=E$2:E5844)))))-COUNTBLANK(OFFSET(A$1,,,SUMPRODUCT(MAX(ROW(E$1:E5843)*(E2=E$1:E5843))))))</f>
        <v> </v>
      </c>
      <c r="K5844" s="26" t="str">
        <f>IF(OR(E5844="",E5844="!!!",F5844="NEW"),"",INDEX(J$1:J5843,SUMPRODUCT(MAX(ROW(E$1:E5843)*(E5844=E$1:E5843)))))</f>
        <v> </v>
      </c>
      <c r="L5844" s="27"/>
    </row>
    <row r="5845" spans="1:12">
      <c r="A5845" s="20" t="s">
        <v>1998</v>
      </c>
      <c r="B5845" s="21" t="s">
        <v>1187</v>
      </c>
      <c r="C5845" s="21" t="s">
        <v>1048</v>
      </c>
      <c r="E5845" s="22">
        <f>IF(D5845="?OLD","!!!","")</f>
        <v/>
      </c>
      <c r="F5845" s="23" t="str">
        <f>IF(OR(E5845="",E5845="!!!"),"",IF(NOT(ISNA(VLOOKUP(E5845,E$1:E5844,1,FALSE()))),"OLD",IF(AND(E5845&lt;&gt;"",E5845&lt;&gt;"!!!"),"NEW","")))</f>
        <v> </v>
      </c>
      <c r="G5845" s="24" t="str">
        <f>IF(OR(E5845="",E5845="!!!"),"",IF(OR(J5845=0,AND(J5845=1,K5845=1),AND(J5845=1,I5845="SBJ"),AND(J5845=1,I5845=0)),"?IN_FOCUS",IF(J5845&lt;=2,"?ACTIVATED",IF(J5845&lt;&gt;"","?FAMILIAR",IF(F5845="NEW",IF(ISNA(VLOOKUP(E5845,#REF!,1,FALSE())),"?TYPE_IDENTIFIABLE","?REFERENTIAL"),"_")))))</f>
        <v> </v>
      </c>
      <c r="H5845" s="25" t="str">
        <f>IF(J5845&lt;&gt;1,"",IF(I5845="SBJ","CB","?"))</f>
        <v> </v>
      </c>
      <c r="I5845" s="26" t="str">
        <f>IF(OR(E5845="",E5845="!!!",F5845="NEW"),"",INDEX(B5844:B$2,-1+SUMPRODUCT(MAX(ROW(E5844:E$2)*(E5845=E5844:E$2)))))</f>
        <v> </v>
      </c>
      <c r="J5845" s="26" t="str">
        <f>IF(OR(E5845="",E5845="!!!",F5845="NEW"),"",COUNTBLANK(OFFSET(A$1,,,SUMPRODUCT(MAX(ROW(E$2:E5845)*(E5845=E$2:E5845)))))-COUNTBLANK(OFFSET(A$1,,,SUMPRODUCT(MAX(ROW(E$1:E5844)*(E2=E$1:E5844))))))</f>
        <v> </v>
      </c>
      <c r="K5845" s="26" t="str">
        <f>IF(OR(E5845="",E5845="!!!",F5845="NEW"),"",INDEX(J$1:J5844,SUMPRODUCT(MAX(ROW(E$1:E5844)*(E5845=E$1:E5844)))))</f>
        <v> </v>
      </c>
      <c r="L5845" s="27"/>
    </row>
    <row r="5846" spans="1:12">
      <c r="A5846" s="20" t="s">
        <v>1018</v>
      </c>
      <c r="E5846" s="22">
        <f>IF(D5846="?OLD","!!!","")</f>
        <v/>
      </c>
      <c r="F5846" s="23" t="str">
        <f>IF(OR(E5846="",E5846="!!!"),"",IF(NOT(ISNA(VLOOKUP(E5846,E$1:E5845,1,FALSE()))),"OLD",IF(AND(E5846&lt;&gt;"",E5846&lt;&gt;"!!!"),"NEW","")))</f>
        <v> </v>
      </c>
      <c r="G5846" s="24" t="str">
        <f>IF(OR(E5846="",E5846="!!!"),"",IF(OR(J5846=0,AND(J5846=1,K5846=1),AND(J5846=1,I5846="SBJ"),AND(J5846=1,I5846=0)),"?IN_FOCUS",IF(J5846&lt;=2,"?ACTIVATED",IF(J5846&lt;&gt;"","?FAMILIAR",IF(F5846="NEW",IF(ISNA(VLOOKUP(E5846,#REF!,1,FALSE())),"?TYPE_IDENTIFIABLE","?REFERENTIAL"),"_")))))</f>
        <v> </v>
      </c>
      <c r="H5846" s="25" t="str">
        <f>IF(J5846&lt;&gt;1,"",IF(I5846="SBJ","CB","?"))</f>
        <v> </v>
      </c>
      <c r="I5846" s="26" t="str">
        <f>IF(OR(E5846="",E5846="!!!",F5846="NEW"),"",INDEX(B5845:B$2,-1+SUMPRODUCT(MAX(ROW(E5845:E$2)*(E5846=E5845:E$2)))))</f>
        <v> </v>
      </c>
      <c r="J5846" s="26" t="str">
        <f>IF(OR(E5846="",E5846="!!!",F5846="NEW"),"",COUNTBLANK(OFFSET(A$1,,,SUMPRODUCT(MAX(ROW(E$2:E5846)*(E5846=E$2:E5846)))))-COUNTBLANK(OFFSET(A$1,,,SUMPRODUCT(MAX(ROW(E$1:E5845)*(E2=E$1:E5845))))))</f>
        <v> </v>
      </c>
      <c r="K5846" s="26" t="str">
        <f>IF(OR(E5846="",E5846="!!!",F5846="NEW"),"",INDEX(J$1:J5845,SUMPRODUCT(MAX(ROW(E$1:E5845)*(E5846=E$1:E5845)))))</f>
        <v> </v>
      </c>
      <c r="L5846" s="27"/>
    </row>
    <row r="5847" spans="1:12">
      <c r="A5847" s="20" t="s">
        <v>1330</v>
      </c>
      <c r="E5847" s="22">
        <f>IF(D5847="?OLD","!!!","")</f>
        <v/>
      </c>
      <c r="F5847" s="23" t="str">
        <f>IF(OR(E5847="",E5847="!!!"),"",IF(NOT(ISNA(VLOOKUP(E5847,E$1:E5846,1,FALSE()))),"OLD",IF(AND(E5847&lt;&gt;"",E5847&lt;&gt;"!!!"),"NEW","")))</f>
        <v> </v>
      </c>
      <c r="G5847" s="24" t="str">
        <f>IF(OR(E5847="",E5847="!!!"),"",IF(OR(J5847=0,AND(J5847=1,K5847=1),AND(J5847=1,I5847="SBJ"),AND(J5847=1,I5847=0)),"?IN_FOCUS",IF(J5847&lt;=2,"?ACTIVATED",IF(J5847&lt;&gt;"","?FAMILIAR",IF(F5847="NEW",IF(ISNA(VLOOKUP(E5847,#REF!,1,FALSE())),"?TYPE_IDENTIFIABLE","?REFERENTIAL"),"_")))))</f>
        <v> </v>
      </c>
      <c r="H5847" s="25" t="str">
        <f>IF(J5847&lt;&gt;1,"",IF(I5847="SBJ","CB","?"))</f>
        <v> </v>
      </c>
      <c r="I5847" s="26" t="str">
        <f>IF(OR(E5847="",E5847="!!!",F5847="NEW"),"",INDEX(B5846:B$2,-1+SUMPRODUCT(MAX(ROW(E5846:E$2)*(E5847=E5846:E$2)))))</f>
        <v> </v>
      </c>
      <c r="J5847" s="26" t="str">
        <f>IF(OR(E5847="",E5847="!!!",F5847="NEW"),"",COUNTBLANK(OFFSET(A$1,,,SUMPRODUCT(MAX(ROW(E$2:E5847)*(E5847=E$2:E5847)))))-COUNTBLANK(OFFSET(A$1,,,SUMPRODUCT(MAX(ROW(E$1:E5846)*(E2=E$1:E5846))))))</f>
        <v> </v>
      </c>
      <c r="K5847" s="26" t="str">
        <f>IF(OR(E5847="",E5847="!!!",F5847="NEW"),"",INDEX(J$1:J5846,SUMPRODUCT(MAX(ROW(E$1:E5846)*(E5847=E$1:E5846)))))</f>
        <v> </v>
      </c>
      <c r="L5847" s="27"/>
    </row>
    <row r="5848" spans="1:12">
      <c r="A5848" s="20" t="s">
        <v>1097</v>
      </c>
      <c r="E5848" s="22">
        <f>IF(D5848="?OLD","!!!","")</f>
        <v/>
      </c>
      <c r="F5848" s="23" t="str">
        <f>IF(OR(E5848="",E5848="!!!"),"",IF(NOT(ISNA(VLOOKUP(E5848,E$1:E5847,1,FALSE()))),"OLD",IF(AND(E5848&lt;&gt;"",E5848&lt;&gt;"!!!"),"NEW","")))</f>
        <v> </v>
      </c>
      <c r="G5848" s="24" t="str">
        <f>IF(OR(E5848="",E5848="!!!"),"",IF(OR(J5848=0,AND(J5848=1,K5848=1),AND(J5848=1,I5848="SBJ"),AND(J5848=1,I5848=0)),"?IN_FOCUS",IF(J5848&lt;=2,"?ACTIVATED",IF(J5848&lt;&gt;"","?FAMILIAR",IF(F5848="NEW",IF(ISNA(VLOOKUP(E5848,#REF!,1,FALSE())),"?TYPE_IDENTIFIABLE","?REFERENTIAL"),"_")))))</f>
        <v> </v>
      </c>
      <c r="H5848" s="25" t="str">
        <f>IF(J5848&lt;&gt;1,"",IF(I5848="SBJ","CB","?"))</f>
        <v> </v>
      </c>
      <c r="I5848" s="26" t="str">
        <f>IF(OR(E5848="",E5848="!!!",F5848="NEW"),"",INDEX(B5847:B$2,-1+SUMPRODUCT(MAX(ROW(E5847:E$2)*(E5848=E5847:E$2)))))</f>
        <v> </v>
      </c>
      <c r="J5848" s="26" t="str">
        <f>IF(OR(E5848="",E5848="!!!",F5848="NEW"),"",COUNTBLANK(OFFSET(A$1,,,SUMPRODUCT(MAX(ROW(E$2:E5848)*(E5848=E$2:E5848)))))-COUNTBLANK(OFFSET(A$1,,,SUMPRODUCT(MAX(ROW(E$1:E5847)*(E2=E$1:E5847))))))</f>
        <v> </v>
      </c>
      <c r="K5848" s="26" t="str">
        <f>IF(OR(E5848="",E5848="!!!",F5848="NEW"),"",INDEX(J$1:J5847,SUMPRODUCT(MAX(ROW(E$1:E5847)*(E5848=E$1:E5847)))))</f>
        <v> </v>
      </c>
      <c r="L5848" s="27"/>
    </row>
    <row r="5849" spans="1:12">
      <c r="A5849" s="20" t="s">
        <v>1027</v>
      </c>
      <c r="E5849" s="22">
        <f>IF(D5849="?OLD","!!!","")</f>
        <v/>
      </c>
      <c r="F5849" s="23" t="str">
        <f>IF(OR(E5849="",E5849="!!!"),"",IF(NOT(ISNA(VLOOKUP(E5849,E$1:E5848,1,FALSE()))),"OLD",IF(AND(E5849&lt;&gt;"",E5849&lt;&gt;"!!!"),"NEW","")))</f>
        <v> </v>
      </c>
      <c r="G5849" s="24" t="str">
        <f>IF(OR(E5849="",E5849="!!!"),"",IF(OR(J5849=0,AND(J5849=1,K5849=1),AND(J5849=1,I5849="SBJ"),AND(J5849=1,I5849=0)),"?IN_FOCUS",IF(J5849&lt;=2,"?ACTIVATED",IF(J5849&lt;&gt;"","?FAMILIAR",IF(F5849="NEW",IF(ISNA(VLOOKUP(E5849,#REF!,1,FALSE())),"?TYPE_IDENTIFIABLE","?REFERENTIAL"),"_")))))</f>
        <v> </v>
      </c>
      <c r="H5849" s="25" t="str">
        <f>IF(J5849&lt;&gt;1,"",IF(I5849="SBJ","CB","?"))</f>
        <v> </v>
      </c>
      <c r="I5849" s="26" t="str">
        <f>IF(OR(E5849="",E5849="!!!",F5849="NEW"),"",INDEX(B5848:B$2,-1+SUMPRODUCT(MAX(ROW(E5848:E$2)*(E5849=E5848:E$2)))))</f>
        <v> </v>
      </c>
      <c r="J5849" s="26" t="str">
        <f>IF(OR(E5849="",E5849="!!!",F5849="NEW"),"",COUNTBLANK(OFFSET(A$1,,,SUMPRODUCT(MAX(ROW(E$2:E5849)*(E5849=E$2:E5849)))))-COUNTBLANK(OFFSET(A$1,,,SUMPRODUCT(MAX(ROW(E$1:E5848)*(E2=E$1:E5848))))))</f>
        <v> </v>
      </c>
      <c r="K5849" s="26" t="str">
        <f>IF(OR(E5849="",E5849="!!!",F5849="NEW"),"",INDEX(J$1:J5848,SUMPRODUCT(MAX(ROW(E$1:E5848)*(E5849=E$1:E5848)))))</f>
        <v> </v>
      </c>
      <c r="L5849" s="27"/>
    </row>
    <row r="5850" spans="1:12">
      <c r="A5850" s="20" t="s">
        <v>1172</v>
      </c>
      <c r="B5850" s="21" t="s">
        <v>1035</v>
      </c>
      <c r="C5850" s="21" t="s">
        <v>1013</v>
      </c>
      <c r="D5850" s="21" t="s">
        <v>1007</v>
      </c>
      <c r="E5850" s="22">
        <f>IF(D5850="?OLD","!!!","")</f>
        <v/>
      </c>
      <c r="F5850" s="23" t="str">
        <f>IF(OR(E5850="",E5850="!!!"),"",IF(NOT(ISNA(VLOOKUP(E5850,E$1:E5849,1,FALSE()))),"OLD",IF(AND(E5850&lt;&gt;"",E5850&lt;&gt;"!!!"),"NEW","")))</f>
        <v> </v>
      </c>
      <c r="G5850" s="24" t="str">
        <f>IF(OR(E5850="",E5850="!!!"),"",IF(OR(J5850=0,AND(J5850=1,K5850=1),AND(J5850=1,I5850="SBJ"),AND(J5850=1,I5850=0)),"?IN_FOCUS",IF(J5850&lt;=2,"?ACTIVATED",IF(J5850&lt;&gt;"","?FAMILIAR",IF(F5850="NEW",IF(ISNA(VLOOKUP(E5850,#REF!,1,FALSE())),"?TYPE_IDENTIFIABLE","?REFERENTIAL"),"_")))))</f>
        <v> </v>
      </c>
      <c r="H5850" s="25" t="str">
        <f>IF(J5850&lt;&gt;1,"",IF(I5850="SBJ","CB","?"))</f>
        <v> </v>
      </c>
      <c r="I5850" s="26" t="str">
        <f>IF(OR(E5850="",E5850="!!!",F5850="NEW"),"",INDEX(B5849:B$2,-1+SUMPRODUCT(MAX(ROW(E5849:E$2)*(E5850=E5849:E$2)))))</f>
        <v> </v>
      </c>
      <c r="J5850" s="26" t="str">
        <f>IF(OR(E5850="",E5850="!!!",F5850="NEW"),"",COUNTBLANK(OFFSET(A$1,,,SUMPRODUCT(MAX(ROW(E$2:E5850)*(E5850=E$2:E5850)))))-COUNTBLANK(OFFSET(A$1,,,SUMPRODUCT(MAX(ROW(E$1:E5849)*(E2=E$1:E5849))))))</f>
        <v> </v>
      </c>
      <c r="K5850" s="26" t="str">
        <f>IF(OR(E5850="",E5850="!!!",F5850="NEW"),"",INDEX(J$1:J5849,SUMPRODUCT(MAX(ROW(E$1:E5849)*(E5850=E$1:E5849)))))</f>
        <v> </v>
      </c>
      <c r="L5850" s="27"/>
    </row>
    <row r="5851" spans="1:12">
      <c r="A5851" s="20" t="s">
        <v>1014</v>
      </c>
      <c r="E5851" s="22">
        <f>IF(D5851="?OLD","!!!","")</f>
        <v/>
      </c>
      <c r="F5851" s="23" t="str">
        <f>IF(OR(E5851="",E5851="!!!"),"",IF(NOT(ISNA(VLOOKUP(E5851,E$1:E5850,1,FALSE()))),"OLD",IF(AND(E5851&lt;&gt;"",E5851&lt;&gt;"!!!"),"NEW","")))</f>
        <v> </v>
      </c>
      <c r="G5851" s="24" t="str">
        <f>IF(OR(E5851="",E5851="!!!"),"",IF(OR(J5851=0,AND(J5851=1,K5851=1),AND(J5851=1,I5851="SBJ"),AND(J5851=1,I5851=0)),"?IN_FOCUS",IF(J5851&lt;=2,"?ACTIVATED",IF(J5851&lt;&gt;"","?FAMILIAR",IF(F5851="NEW",IF(ISNA(VLOOKUP(E5851,#REF!,1,FALSE())),"?TYPE_IDENTIFIABLE","?REFERENTIAL"),"_")))))</f>
        <v> </v>
      </c>
      <c r="H5851" s="25" t="str">
        <f>IF(J5851&lt;&gt;1,"",IF(I5851="SBJ","CB","?"))</f>
        <v> </v>
      </c>
      <c r="I5851" s="26" t="str">
        <f>IF(OR(E5851="",E5851="!!!",F5851="NEW"),"",INDEX(B5850:B$2,-1+SUMPRODUCT(MAX(ROW(E5850:E$2)*(E5851=E5850:E$2)))))</f>
        <v> </v>
      </c>
      <c r="J5851" s="26" t="str">
        <f>IF(OR(E5851="",E5851="!!!",F5851="NEW"),"",COUNTBLANK(OFFSET(A$1,,,SUMPRODUCT(MAX(ROW(E$2:E5851)*(E5851=E$2:E5851)))))-COUNTBLANK(OFFSET(A$1,,,SUMPRODUCT(MAX(ROW(E$1:E5850)*(E2=E$1:E5850))))))</f>
        <v> </v>
      </c>
      <c r="K5851" s="26" t="str">
        <f>IF(OR(E5851="",E5851="!!!",F5851="NEW"),"",INDEX(J$1:J5850,SUMPRODUCT(MAX(ROW(E$1:E5850)*(E5851=E$1:E5850)))))</f>
        <v> </v>
      </c>
      <c r="L5851" s="27"/>
    </row>
    <row r="5852" spans="1:12">
      <c r="A5852" s="20" t="s">
        <v>102</v>
      </c>
      <c r="E5852" s="22">
        <f>IF(D5852="?OLD","!!!","")</f>
        <v/>
      </c>
      <c r="F5852" s="23" t="str">
        <f>IF(OR(E5852="",E5852="!!!"),"",IF(NOT(ISNA(VLOOKUP(E5852,E$1:E5851,1,FALSE()))),"OLD",IF(AND(E5852&lt;&gt;"",E5852&lt;&gt;"!!!"),"NEW","")))</f>
        <v> </v>
      </c>
      <c r="G5852" s="24" t="str">
        <f>IF(OR(E5852="",E5852="!!!"),"",IF(OR(J5852=0,AND(J5852=1,K5852=1),AND(J5852=1,I5852="SBJ"),AND(J5852=1,I5852=0)),"?IN_FOCUS",IF(J5852&lt;=2,"?ACTIVATED",IF(J5852&lt;&gt;"","?FAMILIAR",IF(F5852="NEW",IF(ISNA(VLOOKUP(E5852,#REF!,1,FALSE())),"?TYPE_IDENTIFIABLE","?REFERENTIAL"),"_")))))</f>
        <v> </v>
      </c>
      <c r="H5852" s="25" t="str">
        <f>IF(J5852&lt;&gt;1,"",IF(I5852="SBJ","CB","?"))</f>
        <v> </v>
      </c>
      <c r="I5852" s="26" t="str">
        <f>IF(OR(E5852="",E5852="!!!",F5852="NEW"),"",INDEX(B5851:B$2,-1+SUMPRODUCT(MAX(ROW(E5851:E$2)*(E5852=E5851:E$2)))))</f>
        <v> </v>
      </c>
      <c r="J5852" s="26" t="str">
        <f>IF(OR(E5852="",E5852="!!!",F5852="NEW"),"",COUNTBLANK(OFFSET(A$1,,,SUMPRODUCT(MAX(ROW(E$2:E5852)*(E5852=E$2:E5852)))))-COUNTBLANK(OFFSET(A$1,,,SUMPRODUCT(MAX(ROW(E$1:E5851)*(E2=E$1:E5851))))))</f>
        <v> </v>
      </c>
      <c r="K5852" s="26" t="str">
        <f>IF(OR(E5852="",E5852="!!!",F5852="NEW"),"",INDEX(J$1:J5851,SUMPRODUCT(MAX(ROW(E$1:E5851)*(E5852=E$1:E5851)))))</f>
        <v> </v>
      </c>
      <c r="L5852" s="27"/>
    </row>
    <row r="5853" spans="1:12">
      <c r="A5853" s="20" t="s">
        <v>1156</v>
      </c>
      <c r="B5853" s="21" t="s">
        <v>1130</v>
      </c>
      <c r="C5853" s="21" t="s">
        <v>1017</v>
      </c>
      <c r="D5853" s="21" t="s">
        <v>1007</v>
      </c>
      <c r="E5853" s="22">
        <f>IF(D5853="?OLD","!!!","")</f>
        <v/>
      </c>
      <c r="F5853" s="23" t="str">
        <f>IF(OR(E5853="",E5853="!!!"),"",IF(NOT(ISNA(VLOOKUP(E5853,E$1:E5852,1,FALSE()))),"OLD",IF(AND(E5853&lt;&gt;"",E5853&lt;&gt;"!!!"),"NEW","")))</f>
        <v> </v>
      </c>
      <c r="G5853" s="24" t="str">
        <f>IF(OR(E5853="",E5853="!!!"),"",IF(OR(J5853=0,AND(J5853=1,K5853=1),AND(J5853=1,I5853="SBJ"),AND(J5853=1,I5853=0)),"?IN_FOCUS",IF(J5853&lt;=2,"?ACTIVATED",IF(J5853&lt;&gt;"","?FAMILIAR",IF(F5853="NEW",IF(ISNA(VLOOKUP(E5853,#REF!,1,FALSE())),"?TYPE_IDENTIFIABLE","?REFERENTIAL"),"_")))))</f>
        <v> </v>
      </c>
      <c r="H5853" s="25" t="str">
        <f>IF(J5853&lt;&gt;1,"",IF(I5853="SBJ","CB","?"))</f>
        <v> </v>
      </c>
      <c r="I5853" s="26" t="str">
        <f>IF(OR(E5853="",E5853="!!!",F5853="NEW"),"",INDEX(B5852:B$2,-1+SUMPRODUCT(MAX(ROW(E5852:E$2)*(E5853=E5852:E$2)))))</f>
        <v> </v>
      </c>
      <c r="J5853" s="26" t="str">
        <f>IF(OR(E5853="",E5853="!!!",F5853="NEW"),"",COUNTBLANK(OFFSET(A$1,,,SUMPRODUCT(MAX(ROW(E$2:E5853)*(E5853=E$2:E5853)))))-COUNTBLANK(OFFSET(A$1,,,SUMPRODUCT(MAX(ROW(E$1:E5852)*(E2=E$1:E5852))))))</f>
        <v> </v>
      </c>
      <c r="K5853" s="26" t="str">
        <f>IF(OR(E5853="",E5853="!!!",F5853="NEW"),"",INDEX(J$1:J5852,SUMPRODUCT(MAX(ROW(E$1:E5852)*(E5853=E$1:E5852)))))</f>
        <v> </v>
      </c>
      <c r="L5853" s="27"/>
    </row>
    <row r="5854" spans="1:12">
      <c r="A5854" s="20" t="s">
        <v>2035</v>
      </c>
      <c r="E5854" s="22">
        <f>IF(D5854="?OLD","!!!","")</f>
        <v/>
      </c>
      <c r="F5854" s="23" t="str">
        <f>IF(OR(E5854="",E5854="!!!"),"",IF(NOT(ISNA(VLOOKUP(E5854,E$1:E5853,1,FALSE()))),"OLD",IF(AND(E5854&lt;&gt;"",E5854&lt;&gt;"!!!"),"NEW","")))</f>
        <v> </v>
      </c>
      <c r="G5854" s="24" t="str">
        <f>IF(OR(E5854="",E5854="!!!"),"",IF(OR(J5854=0,AND(J5854=1,K5854=1),AND(J5854=1,I5854="SBJ"),AND(J5854=1,I5854=0)),"?IN_FOCUS",IF(J5854&lt;=2,"?ACTIVATED",IF(J5854&lt;&gt;"","?FAMILIAR",IF(F5854="NEW",IF(ISNA(VLOOKUP(E5854,#REF!,1,FALSE())),"?TYPE_IDENTIFIABLE","?REFERENTIAL"),"_")))))</f>
        <v> </v>
      </c>
      <c r="H5854" s="25" t="str">
        <f>IF(J5854&lt;&gt;1,"",IF(I5854="SBJ","CB","?"))</f>
        <v> </v>
      </c>
      <c r="I5854" s="26" t="str">
        <f>IF(OR(E5854="",E5854="!!!",F5854="NEW"),"",INDEX(B5853:B$2,-1+SUMPRODUCT(MAX(ROW(E5853:E$2)*(E5854=E5853:E$2)))))</f>
        <v> </v>
      </c>
      <c r="J5854" s="26" t="str">
        <f>IF(OR(E5854="",E5854="!!!",F5854="NEW"),"",COUNTBLANK(OFFSET(A$1,,,SUMPRODUCT(MAX(ROW(E$2:E5854)*(E5854=E$2:E5854)))))-COUNTBLANK(OFFSET(A$1,,,SUMPRODUCT(MAX(ROW(E$1:E5853)*(E2=E$1:E5853))))))</f>
        <v> </v>
      </c>
      <c r="K5854" s="26" t="str">
        <f>IF(OR(E5854="",E5854="!!!",F5854="NEW"),"",INDEX(J$1:J5853,SUMPRODUCT(MAX(ROW(E$1:E5853)*(E5854=E$1:E5853)))))</f>
        <v> </v>
      </c>
      <c r="L5854" s="27"/>
    </row>
    <row r="5855" spans="1:12">
      <c r="A5855" s="20" t="s">
        <v>1023</v>
      </c>
      <c r="E5855" s="22">
        <f>IF(D5855="?OLD","!!!","")</f>
        <v/>
      </c>
      <c r="F5855" s="23" t="str">
        <f>IF(OR(E5855="",E5855="!!!"),"",IF(NOT(ISNA(VLOOKUP(E5855,E$1:E5854,1,FALSE()))),"OLD",IF(AND(E5855&lt;&gt;"",E5855&lt;&gt;"!!!"),"NEW","")))</f>
        <v> </v>
      </c>
      <c r="G5855" s="24" t="str">
        <f>IF(OR(E5855="",E5855="!!!"),"",IF(OR(J5855=0,AND(J5855=1,K5855=1),AND(J5855=1,I5855="SBJ"),AND(J5855=1,I5855=0)),"?IN_FOCUS",IF(J5855&lt;=2,"?ACTIVATED",IF(J5855&lt;&gt;"","?FAMILIAR",IF(F5855="NEW",IF(ISNA(VLOOKUP(E5855,#REF!,1,FALSE())),"?TYPE_IDENTIFIABLE","?REFERENTIAL"),"_")))))</f>
        <v> </v>
      </c>
      <c r="H5855" s="25" t="str">
        <f>IF(J5855&lt;&gt;1,"",IF(I5855="SBJ","CB","?"))</f>
        <v> </v>
      </c>
      <c r="I5855" s="26" t="str">
        <f>IF(OR(E5855="",E5855="!!!",F5855="NEW"),"",INDEX(B5854:B$2,-1+SUMPRODUCT(MAX(ROW(E5854:E$2)*(E5855=E5854:E$2)))))</f>
        <v> </v>
      </c>
      <c r="J5855" s="26" t="str">
        <f>IF(OR(E5855="",E5855="!!!",F5855="NEW"),"",COUNTBLANK(OFFSET(A$1,,,SUMPRODUCT(MAX(ROW(E$2:E5855)*(E5855=E$2:E5855)))))-COUNTBLANK(OFFSET(A$1,,,SUMPRODUCT(MAX(ROW(E$1:E5854)*(E2=E$1:E5854))))))</f>
        <v> </v>
      </c>
      <c r="K5855" s="26" t="str">
        <f>IF(OR(E5855="",E5855="!!!",F5855="NEW"),"",INDEX(J$1:J5854,SUMPRODUCT(MAX(ROW(E$1:E5854)*(E5855=E$1:E5854)))))</f>
        <v> </v>
      </c>
      <c r="L5855" s="27"/>
    </row>
    <row r="5856" spans="1:12">
      <c r="A5856" s="20"/>
    </row>
    <row r="5857" spans="1:12">
      <c r="A5857" s="20" t="s">
        <v>2565</v>
      </c>
    </row>
    <row r="5858" spans="1:12">
      <c r="A5858" s="20" t="s">
        <v>1175</v>
      </c>
      <c r="E5858" s="22">
        <f>IF(D5858="?OLD","!!!","")</f>
        <v/>
      </c>
      <c r="F5858" s="23" t="str">
        <f>IF(OR(E5858="",E5858="!!!"),"",IF(NOT(ISNA(VLOOKUP(E5858,E$1:E5857,1,FALSE()))),"OLD",IF(AND(E5858&lt;&gt;"",E5858&lt;&gt;"!!!"),"NEW","")))</f>
        <v> </v>
      </c>
      <c r="G5858" s="24" t="str">
        <f>IF(OR(E5858="",E5858="!!!"),"",IF(OR(J5858=0,AND(J5858=1,K5858=1),AND(J5858=1,I5858="SBJ"),AND(J5858=1,I5858=0)),"?IN_FOCUS",IF(J5858&lt;=2,"?ACTIVATED",IF(J5858&lt;&gt;"","?FAMILIAR",IF(F5858="NEW",IF(ISNA(VLOOKUP(E5858,#REF!,1,FALSE())),"?TYPE_IDENTIFIABLE","?REFERENTIAL"),"_")))))</f>
        <v> </v>
      </c>
      <c r="H5858" s="25" t="str">
        <f>IF(J5858&lt;&gt;1,"",IF(I5858="SBJ","CB","?"))</f>
        <v> </v>
      </c>
      <c r="I5858" s="26" t="str">
        <f>IF(OR(E5858="",E5858="!!!",F5858="NEW"),"",INDEX(B5857:B$2,-1+SUMPRODUCT(MAX(ROW(E5857:E$2)*(E5858=E5857:E$2)))))</f>
        <v> </v>
      </c>
      <c r="J5858" s="26" t="str">
        <f>IF(OR(E5858="",E5858="!!!",F5858="NEW"),"",COUNTBLANK(OFFSET(A$1,,,SUMPRODUCT(MAX(ROW(E$2:E5858)*(E5858=E$2:E5858)))))-COUNTBLANK(OFFSET(A$1,,,SUMPRODUCT(MAX(ROW(E$1:E5857)*(E2=E$1:E5857))))))</f>
        <v> </v>
      </c>
      <c r="K5858" s="26" t="str">
        <f>IF(OR(E5858="",E5858="!!!",F5858="NEW"),"",INDEX(J$1:J5857,SUMPRODUCT(MAX(ROW(E$1:E5857)*(E5858=E$1:E5857)))))</f>
        <v> </v>
      </c>
      <c r="L5858" s="27"/>
    </row>
    <row r="5859" spans="1:12">
      <c r="A5859" s="20" t="s">
        <v>1018</v>
      </c>
      <c r="E5859" s="22">
        <f>IF(D5859="?OLD","!!!","")</f>
        <v/>
      </c>
      <c r="F5859" s="23" t="str">
        <f>IF(OR(E5859="",E5859="!!!"),"",IF(NOT(ISNA(VLOOKUP(E5859,E$1:E5858,1,FALSE()))),"OLD",IF(AND(E5859&lt;&gt;"",E5859&lt;&gt;"!!!"),"NEW","")))</f>
        <v> </v>
      </c>
      <c r="G5859" s="24" t="str">
        <f>IF(OR(E5859="",E5859="!!!"),"",IF(OR(J5859=0,AND(J5859=1,K5859=1),AND(J5859=1,I5859="SBJ"),AND(J5859=1,I5859=0)),"?IN_FOCUS",IF(J5859&lt;=2,"?ACTIVATED",IF(J5859&lt;&gt;"","?FAMILIAR",IF(F5859="NEW",IF(ISNA(VLOOKUP(E5859,#REF!,1,FALSE())),"?TYPE_IDENTIFIABLE","?REFERENTIAL"),"_")))))</f>
        <v> </v>
      </c>
      <c r="H5859" s="25" t="str">
        <f>IF(J5859&lt;&gt;1,"",IF(I5859="SBJ","CB","?"))</f>
        <v> </v>
      </c>
      <c r="I5859" s="26" t="str">
        <f>IF(OR(E5859="",E5859="!!!",F5859="NEW"),"",INDEX(B5858:B$2,-1+SUMPRODUCT(MAX(ROW(E5858:E$2)*(E5859=E5858:E$2)))))</f>
        <v> </v>
      </c>
      <c r="J5859" s="26" t="str">
        <f>IF(OR(E5859="",E5859="!!!",F5859="NEW"),"",COUNTBLANK(OFFSET(A$1,,,SUMPRODUCT(MAX(ROW(E$2:E5859)*(E5859=E$2:E5859)))))-COUNTBLANK(OFFSET(A$1,,,SUMPRODUCT(MAX(ROW(E$1:E5858)*(E2=E$1:E5858))))))</f>
        <v> </v>
      </c>
      <c r="K5859" s="26" t="str">
        <f>IF(OR(E5859="",E5859="!!!",F5859="NEW"),"",INDEX(J$1:J5858,SUMPRODUCT(MAX(ROW(E$1:E5858)*(E5859=E$1:E5858)))))</f>
        <v> </v>
      </c>
      <c r="L5859" s="27"/>
    </row>
    <row r="5860" spans="1:12">
      <c r="A5860" s="20" t="s">
        <v>2566</v>
      </c>
      <c r="E5860" s="22">
        <f>IF(D5860="?OLD","!!!","")</f>
        <v/>
      </c>
      <c r="F5860" s="23" t="str">
        <f>IF(OR(E5860="",E5860="!!!"),"",IF(NOT(ISNA(VLOOKUP(E5860,E$1:E5859,1,FALSE()))),"OLD",IF(AND(E5860&lt;&gt;"",E5860&lt;&gt;"!!!"),"NEW","")))</f>
        <v> </v>
      </c>
      <c r="G5860" s="24" t="str">
        <f>IF(OR(E5860="",E5860="!!!"),"",IF(OR(J5860=0,AND(J5860=1,K5860=1),AND(J5860=1,I5860="SBJ"),AND(J5860=1,I5860=0)),"?IN_FOCUS",IF(J5860&lt;=2,"?ACTIVATED",IF(J5860&lt;&gt;"","?FAMILIAR",IF(F5860="NEW",IF(ISNA(VLOOKUP(E5860,#REF!,1,FALSE())),"?TYPE_IDENTIFIABLE","?REFERENTIAL"),"_")))))</f>
        <v> </v>
      </c>
      <c r="H5860" s="25" t="str">
        <f>IF(J5860&lt;&gt;1,"",IF(I5860="SBJ","CB","?"))</f>
        <v> </v>
      </c>
      <c r="I5860" s="26" t="str">
        <f>IF(OR(E5860="",E5860="!!!",F5860="NEW"),"",INDEX(B5859:B$2,-1+SUMPRODUCT(MAX(ROW(E5859:E$2)*(E5860=E5859:E$2)))))</f>
        <v> </v>
      </c>
      <c r="J5860" s="26" t="str">
        <f>IF(OR(E5860="",E5860="!!!",F5860="NEW"),"",COUNTBLANK(OFFSET(A$1,,,SUMPRODUCT(MAX(ROW(E$2:E5860)*(E5860=E$2:E5860)))))-COUNTBLANK(OFFSET(A$1,,,SUMPRODUCT(MAX(ROW(E$1:E5859)*(E2=E$1:E5859))))))</f>
        <v> </v>
      </c>
      <c r="K5860" s="26" t="str">
        <f>IF(OR(E5860="",E5860="!!!",F5860="NEW"),"",INDEX(J$1:J5859,SUMPRODUCT(MAX(ROW(E$1:E5859)*(E5860=E$1:E5859)))))</f>
        <v> </v>
      </c>
      <c r="L5860" s="27"/>
    </row>
    <row r="5861" spans="1:12">
      <c r="A5861" s="20" t="s">
        <v>1018</v>
      </c>
      <c r="E5861" s="22">
        <f>IF(D5861="?OLD","!!!","")</f>
        <v/>
      </c>
      <c r="F5861" s="23" t="str">
        <f>IF(OR(E5861="",E5861="!!!"),"",IF(NOT(ISNA(VLOOKUP(E5861,E$1:E5860,1,FALSE()))),"OLD",IF(AND(E5861&lt;&gt;"",E5861&lt;&gt;"!!!"),"NEW","")))</f>
        <v> </v>
      </c>
      <c r="G5861" s="24" t="str">
        <f>IF(OR(E5861="",E5861="!!!"),"",IF(OR(J5861=0,AND(J5861=1,K5861=1),AND(J5861=1,I5861="SBJ"),AND(J5861=1,I5861=0)),"?IN_FOCUS",IF(J5861&lt;=2,"?ACTIVATED",IF(J5861&lt;&gt;"","?FAMILIAR",IF(F5861="NEW",IF(ISNA(VLOOKUP(E5861,#REF!,1,FALSE())),"?TYPE_IDENTIFIABLE","?REFERENTIAL"),"_")))))</f>
        <v> </v>
      </c>
      <c r="H5861" s="25" t="str">
        <f>IF(J5861&lt;&gt;1,"",IF(I5861="SBJ","CB","?"))</f>
        <v> </v>
      </c>
      <c r="I5861" s="26" t="str">
        <f>IF(OR(E5861="",E5861="!!!",F5861="NEW"),"",INDEX(B5860:B$2,-1+SUMPRODUCT(MAX(ROW(E5860:E$2)*(E5861=E5860:E$2)))))</f>
        <v> </v>
      </c>
      <c r="J5861" s="26" t="str">
        <f>IF(OR(E5861="",E5861="!!!",F5861="NEW"),"",COUNTBLANK(OFFSET(A$1,,,SUMPRODUCT(MAX(ROW(E$2:E5861)*(E5861=E$2:E5861)))))-COUNTBLANK(OFFSET(A$1,,,SUMPRODUCT(MAX(ROW(E$1:E5860)*(E2=E$1:E5860))))))</f>
        <v> </v>
      </c>
      <c r="K5861" s="26" t="str">
        <f>IF(OR(E5861="",E5861="!!!",F5861="NEW"),"",INDEX(J$1:J5860,SUMPRODUCT(MAX(ROW(E$1:E5860)*(E5861=E$1:E5860)))))</f>
        <v> </v>
      </c>
      <c r="L5861" s="27"/>
    </row>
    <row r="5862" spans="1:12">
      <c r="A5862" s="20" t="s">
        <v>2567</v>
      </c>
      <c r="E5862" s="22">
        <f>IF(D5862="?OLD","!!!","")</f>
        <v/>
      </c>
      <c r="F5862" s="23" t="str">
        <f>IF(OR(E5862="",E5862="!!!"),"",IF(NOT(ISNA(VLOOKUP(E5862,E$1:E5861,1,FALSE()))),"OLD",IF(AND(E5862&lt;&gt;"",E5862&lt;&gt;"!!!"),"NEW","")))</f>
        <v> </v>
      </c>
      <c r="G5862" s="24" t="str">
        <f>IF(OR(E5862="",E5862="!!!"),"",IF(OR(J5862=0,AND(J5862=1,K5862=1),AND(J5862=1,I5862="SBJ"),AND(J5862=1,I5862=0)),"?IN_FOCUS",IF(J5862&lt;=2,"?ACTIVATED",IF(J5862&lt;&gt;"","?FAMILIAR",IF(F5862="NEW",IF(ISNA(VLOOKUP(E5862,#REF!,1,FALSE())),"?TYPE_IDENTIFIABLE","?REFERENTIAL"),"_")))))</f>
        <v> </v>
      </c>
      <c r="H5862" s="25" t="str">
        <f>IF(J5862&lt;&gt;1,"",IF(I5862="SBJ","CB","?"))</f>
        <v> </v>
      </c>
      <c r="I5862" s="26" t="str">
        <f>IF(OR(E5862="",E5862="!!!",F5862="NEW"),"",INDEX(B5861:B$2,-1+SUMPRODUCT(MAX(ROW(E5861:E$2)*(E5862=E5861:E$2)))))</f>
        <v> </v>
      </c>
      <c r="J5862" s="26" t="str">
        <f>IF(OR(E5862="",E5862="!!!",F5862="NEW"),"",COUNTBLANK(OFFSET(A$1,,,SUMPRODUCT(MAX(ROW(E$2:E5862)*(E5862=E$2:E5862)))))-COUNTBLANK(OFFSET(A$1,,,SUMPRODUCT(MAX(ROW(E$1:E5861)*(E2=E$1:E5861))))))</f>
        <v> </v>
      </c>
      <c r="K5862" s="26" t="str">
        <f>IF(OR(E5862="",E5862="!!!",F5862="NEW"),"",INDEX(J$1:J5861,SUMPRODUCT(MAX(ROW(E$1:E5861)*(E5862=E$1:E5861)))))</f>
        <v> </v>
      </c>
      <c r="L5862" s="27"/>
    </row>
    <row r="5863" spans="1:12">
      <c r="A5863" s="20" t="s">
        <v>1142</v>
      </c>
      <c r="E5863" s="22">
        <f>IF(D5863="?OLD","!!!","")</f>
        <v/>
      </c>
      <c r="F5863" s="23" t="str">
        <f>IF(OR(E5863="",E5863="!!!"),"",IF(NOT(ISNA(VLOOKUP(E5863,E$1:E5862,1,FALSE()))),"OLD",IF(AND(E5863&lt;&gt;"",E5863&lt;&gt;"!!!"),"NEW","")))</f>
        <v> </v>
      </c>
      <c r="G5863" s="24" t="str">
        <f>IF(OR(E5863="",E5863="!!!"),"",IF(OR(J5863=0,AND(J5863=1,K5863=1),AND(J5863=1,I5863="SBJ"),AND(J5863=1,I5863=0)),"?IN_FOCUS",IF(J5863&lt;=2,"?ACTIVATED",IF(J5863&lt;&gt;"","?FAMILIAR",IF(F5863="NEW",IF(ISNA(VLOOKUP(E5863,#REF!,1,FALSE())),"?TYPE_IDENTIFIABLE","?REFERENTIAL"),"_")))))</f>
        <v> </v>
      </c>
      <c r="H5863" s="25" t="str">
        <f>IF(J5863&lt;&gt;1,"",IF(I5863="SBJ","CB","?"))</f>
        <v> </v>
      </c>
      <c r="I5863" s="26" t="str">
        <f>IF(OR(E5863="",E5863="!!!",F5863="NEW"),"",INDEX(B5862:B$2,-1+SUMPRODUCT(MAX(ROW(E5862:E$2)*(E5863=E5862:E$2)))))</f>
        <v> </v>
      </c>
      <c r="J5863" s="26" t="str">
        <f>IF(OR(E5863="",E5863="!!!",F5863="NEW"),"",COUNTBLANK(OFFSET(A$1,,,SUMPRODUCT(MAX(ROW(E$2:E5863)*(E5863=E$2:E5863)))))-COUNTBLANK(OFFSET(A$1,,,SUMPRODUCT(MAX(ROW(E$1:E5862)*(E2=E$1:E5862))))))</f>
        <v> </v>
      </c>
      <c r="K5863" s="26" t="str">
        <f>IF(OR(E5863="",E5863="!!!",F5863="NEW"),"",INDEX(J$1:J5862,SUMPRODUCT(MAX(ROW(E$1:E5862)*(E5863=E$1:E5862)))))</f>
        <v> </v>
      </c>
      <c r="L5863" s="27"/>
    </row>
    <row r="5864" spans="1:12">
      <c r="A5864" s="20" t="s">
        <v>1199</v>
      </c>
      <c r="E5864" s="22">
        <f>IF(D5864="?OLD","!!!","")</f>
        <v/>
      </c>
      <c r="F5864" s="23" t="str">
        <f>IF(OR(E5864="",E5864="!!!"),"",IF(NOT(ISNA(VLOOKUP(E5864,E$1:E5863,1,FALSE()))),"OLD",IF(AND(E5864&lt;&gt;"",E5864&lt;&gt;"!!!"),"NEW","")))</f>
        <v> </v>
      </c>
      <c r="G5864" s="24" t="str">
        <f>IF(OR(E5864="",E5864="!!!"),"",IF(OR(J5864=0,AND(J5864=1,K5864=1),AND(J5864=1,I5864="SBJ"),AND(J5864=1,I5864=0)),"?IN_FOCUS",IF(J5864&lt;=2,"?ACTIVATED",IF(J5864&lt;&gt;"","?FAMILIAR",IF(F5864="NEW",IF(ISNA(VLOOKUP(E5864,#REF!,1,FALSE())),"?TYPE_IDENTIFIABLE","?REFERENTIAL"),"_")))))</f>
        <v> </v>
      </c>
      <c r="H5864" s="25" t="str">
        <f>IF(J5864&lt;&gt;1,"",IF(I5864="SBJ","CB","?"))</f>
        <v> </v>
      </c>
      <c r="I5864" s="26" t="str">
        <f>IF(OR(E5864="",E5864="!!!",F5864="NEW"),"",INDEX(B5863:B$2,-1+SUMPRODUCT(MAX(ROW(E5863:E$2)*(E5864=E5863:E$2)))))</f>
        <v> </v>
      </c>
      <c r="J5864" s="26" t="str">
        <f>IF(OR(E5864="",E5864="!!!",F5864="NEW"),"",COUNTBLANK(OFFSET(A$1,,,SUMPRODUCT(MAX(ROW(E$2:E5864)*(E5864=E$2:E5864)))))-COUNTBLANK(OFFSET(A$1,,,SUMPRODUCT(MAX(ROW(E$1:E5863)*(E2=E$1:E5863))))))</f>
        <v> </v>
      </c>
      <c r="K5864" s="26" t="str">
        <f>IF(OR(E5864="",E5864="!!!",F5864="NEW"),"",INDEX(J$1:J5863,SUMPRODUCT(MAX(ROW(E$1:E5863)*(E5864=E$1:E5863)))))</f>
        <v> </v>
      </c>
      <c r="L5864" s="27"/>
    </row>
    <row r="5865" spans="1:12">
      <c r="A5865" s="20" t="s">
        <v>1027</v>
      </c>
      <c r="E5865" s="22">
        <f>IF(D5865="?OLD","!!!","")</f>
        <v/>
      </c>
      <c r="F5865" s="23" t="str">
        <f>IF(OR(E5865="",E5865="!!!"),"",IF(NOT(ISNA(VLOOKUP(E5865,E$1:E5864,1,FALSE()))),"OLD",IF(AND(E5865&lt;&gt;"",E5865&lt;&gt;"!!!"),"NEW","")))</f>
        <v> </v>
      </c>
      <c r="G5865" s="24" t="str">
        <f>IF(OR(E5865="",E5865="!!!"),"",IF(OR(J5865=0,AND(J5865=1,K5865=1),AND(J5865=1,I5865="SBJ"),AND(J5865=1,I5865=0)),"?IN_FOCUS",IF(J5865&lt;=2,"?ACTIVATED",IF(J5865&lt;&gt;"","?FAMILIAR",IF(F5865="NEW",IF(ISNA(VLOOKUP(E5865,#REF!,1,FALSE())),"?TYPE_IDENTIFIABLE","?REFERENTIAL"),"_")))))</f>
        <v> </v>
      </c>
      <c r="H5865" s="25" t="str">
        <f>IF(J5865&lt;&gt;1,"",IF(I5865="SBJ","CB","?"))</f>
        <v> </v>
      </c>
      <c r="I5865" s="26" t="str">
        <f>IF(OR(E5865="",E5865="!!!",F5865="NEW"),"",INDEX(B5864:B$2,-1+SUMPRODUCT(MAX(ROW(E5864:E$2)*(E5865=E5864:E$2)))))</f>
        <v> </v>
      </c>
      <c r="J5865" s="26" t="str">
        <f>IF(OR(E5865="",E5865="!!!",F5865="NEW"),"",COUNTBLANK(OFFSET(A$1,,,SUMPRODUCT(MAX(ROW(E$2:E5865)*(E5865=E$2:E5865)))))-COUNTBLANK(OFFSET(A$1,,,SUMPRODUCT(MAX(ROW(E$1:E5864)*(E2=E$1:E5864))))))</f>
        <v> </v>
      </c>
      <c r="K5865" s="26" t="str">
        <f>IF(OR(E5865="",E5865="!!!",F5865="NEW"),"",INDEX(J$1:J5864,SUMPRODUCT(MAX(ROW(E$1:E5864)*(E5865=E$1:E5864)))))</f>
        <v> </v>
      </c>
      <c r="L5865" s="27"/>
    </row>
    <row r="5866" spans="1:12">
      <c r="A5866" s="20" t="s">
        <v>2568</v>
      </c>
      <c r="B5866" s="21" t="s">
        <v>1085</v>
      </c>
      <c r="C5866" s="21" t="s">
        <v>1013</v>
      </c>
      <c r="D5866" s="21" t="s">
        <v>1007</v>
      </c>
      <c r="E5866" s="22">
        <f>IF(D5866="?OLD","!!!","")</f>
        <v/>
      </c>
      <c r="F5866" s="23" t="str">
        <f>IF(OR(E5866="",E5866="!!!"),"",IF(NOT(ISNA(VLOOKUP(E5866,E$1:E5865,1,FALSE()))),"OLD",IF(AND(E5866&lt;&gt;"",E5866&lt;&gt;"!!!"),"NEW","")))</f>
        <v> </v>
      </c>
      <c r="G5866" s="24" t="str">
        <f>IF(OR(E5866="",E5866="!!!"),"",IF(OR(J5866=0,AND(J5866=1,K5866=1),AND(J5866=1,I5866="SBJ"),AND(J5866=1,I5866=0)),"?IN_FOCUS",IF(J5866&lt;=2,"?ACTIVATED",IF(J5866&lt;&gt;"","?FAMILIAR",IF(F5866="NEW",IF(ISNA(VLOOKUP(E5866,#REF!,1,FALSE())),"?TYPE_IDENTIFIABLE","?REFERENTIAL"),"_")))))</f>
        <v> </v>
      </c>
      <c r="H5866" s="25" t="str">
        <f>IF(J5866&lt;&gt;1,"",IF(I5866="SBJ","CB","?"))</f>
        <v> </v>
      </c>
      <c r="I5866" s="26" t="str">
        <f>IF(OR(E5866="",E5866="!!!",F5866="NEW"),"",INDEX(B5865:B$2,-1+SUMPRODUCT(MAX(ROW(E5865:E$2)*(E5866=E5865:E$2)))))</f>
        <v> </v>
      </c>
      <c r="J5866" s="26" t="str">
        <f>IF(OR(E5866="",E5866="!!!",F5866="NEW"),"",COUNTBLANK(OFFSET(A$1,,,SUMPRODUCT(MAX(ROW(E$2:E5866)*(E5866=E$2:E5866)))))-COUNTBLANK(OFFSET(A$1,,,SUMPRODUCT(MAX(ROW(E$1:E5865)*(E2=E$1:E5865))))))</f>
        <v> </v>
      </c>
      <c r="K5866" s="26" t="str">
        <f>IF(OR(E5866="",E5866="!!!",F5866="NEW"),"",INDEX(J$1:J5865,SUMPRODUCT(MAX(ROW(E$1:E5865)*(E5866=E$1:E5865)))))</f>
        <v> </v>
      </c>
      <c r="L5866" s="27"/>
    </row>
    <row r="5867" spans="1:12">
      <c r="A5867" s="20" t="s">
        <v>2569</v>
      </c>
      <c r="E5867" s="22">
        <f>IF(D5867="?OLD","!!!","")</f>
        <v/>
      </c>
      <c r="F5867" s="23" t="str">
        <f>IF(OR(E5867="",E5867="!!!"),"",IF(NOT(ISNA(VLOOKUP(E5867,E$1:E5866,1,FALSE()))),"OLD",IF(AND(E5867&lt;&gt;"",E5867&lt;&gt;"!!!"),"NEW","")))</f>
        <v> </v>
      </c>
      <c r="G5867" s="24" t="str">
        <f>IF(OR(E5867="",E5867="!!!"),"",IF(OR(J5867=0,AND(J5867=1,K5867=1),AND(J5867=1,I5867="SBJ"),AND(J5867=1,I5867=0)),"?IN_FOCUS",IF(J5867&lt;=2,"?ACTIVATED",IF(J5867&lt;&gt;"","?FAMILIAR",IF(F5867="NEW",IF(ISNA(VLOOKUP(E5867,#REF!,1,FALSE())),"?TYPE_IDENTIFIABLE","?REFERENTIAL"),"_")))))</f>
        <v> </v>
      </c>
      <c r="H5867" s="25" t="str">
        <f>IF(J5867&lt;&gt;1,"",IF(I5867="SBJ","CB","?"))</f>
        <v> </v>
      </c>
      <c r="I5867" s="26" t="str">
        <f>IF(OR(E5867="",E5867="!!!",F5867="NEW"),"",INDEX(B5866:B$2,-1+SUMPRODUCT(MAX(ROW(E5866:E$2)*(E5867=E5866:E$2)))))</f>
        <v> </v>
      </c>
      <c r="J5867" s="26" t="str">
        <f>IF(OR(E5867="",E5867="!!!",F5867="NEW"),"",COUNTBLANK(OFFSET(A$1,,,SUMPRODUCT(MAX(ROW(E$2:E5867)*(E5867=E$2:E5867)))))-COUNTBLANK(OFFSET(A$1,,,SUMPRODUCT(MAX(ROW(E$1:E5866)*(E2=E$1:E5866))))))</f>
        <v> </v>
      </c>
      <c r="K5867" s="26" t="str">
        <f>IF(OR(E5867="",E5867="!!!",F5867="NEW"),"",INDEX(J$1:J5866,SUMPRODUCT(MAX(ROW(E$1:E5866)*(E5867=E$1:E5866)))))</f>
        <v> </v>
      </c>
      <c r="L5867" s="27"/>
    </row>
    <row r="5868" spans="1:12">
      <c r="A5868" s="20" t="s">
        <v>1014</v>
      </c>
      <c r="E5868" s="22">
        <f>IF(D5868="?OLD","!!!","")</f>
        <v/>
      </c>
      <c r="F5868" s="23" t="str">
        <f>IF(OR(E5868="",E5868="!!!"),"",IF(NOT(ISNA(VLOOKUP(E5868,E$1:E5867,1,FALSE()))),"OLD",IF(AND(E5868&lt;&gt;"",E5868&lt;&gt;"!!!"),"NEW","")))</f>
        <v> </v>
      </c>
      <c r="G5868" s="24" t="str">
        <f>IF(OR(E5868="",E5868="!!!"),"",IF(OR(J5868=0,AND(J5868=1,K5868=1),AND(J5868=1,I5868="SBJ"),AND(J5868=1,I5868=0)),"?IN_FOCUS",IF(J5868&lt;=2,"?ACTIVATED",IF(J5868&lt;&gt;"","?FAMILIAR",IF(F5868="NEW",IF(ISNA(VLOOKUP(E5868,#REF!,1,FALSE())),"?TYPE_IDENTIFIABLE","?REFERENTIAL"),"_")))))</f>
        <v> </v>
      </c>
      <c r="H5868" s="25" t="str">
        <f>IF(J5868&lt;&gt;1,"",IF(I5868="SBJ","CB","?"))</f>
        <v> </v>
      </c>
      <c r="I5868" s="26" t="str">
        <f>IF(OR(E5868="",E5868="!!!",F5868="NEW"),"",INDEX(B5867:B$2,-1+SUMPRODUCT(MAX(ROW(E5867:E$2)*(E5868=E5867:E$2)))))</f>
        <v> </v>
      </c>
      <c r="J5868" s="26" t="str">
        <f>IF(OR(E5868="",E5868="!!!",F5868="NEW"),"",COUNTBLANK(OFFSET(A$1,,,SUMPRODUCT(MAX(ROW(E$2:E5868)*(E5868=E$2:E5868)))))-COUNTBLANK(OFFSET(A$1,,,SUMPRODUCT(MAX(ROW(E$1:E5867)*(E2=E$1:E5867))))))</f>
        <v> </v>
      </c>
      <c r="K5868" s="26" t="str">
        <f>IF(OR(E5868="",E5868="!!!",F5868="NEW"),"",INDEX(J$1:J5867,SUMPRODUCT(MAX(ROW(E$1:E5867)*(E5868=E$1:E5867)))))</f>
        <v> </v>
      </c>
      <c r="L5868" s="27"/>
    </row>
    <row r="5869" spans="1:12">
      <c r="A5869" s="20" t="s">
        <v>1020</v>
      </c>
      <c r="E5869" s="22">
        <f>IF(D5869="?OLD","!!!","")</f>
        <v/>
      </c>
      <c r="F5869" s="23" t="str">
        <f>IF(OR(E5869="",E5869="!!!"),"",IF(NOT(ISNA(VLOOKUP(E5869,E$1:E5868,1,FALSE()))),"OLD",IF(AND(E5869&lt;&gt;"",E5869&lt;&gt;"!!!"),"NEW","")))</f>
        <v> </v>
      </c>
      <c r="G5869" s="24" t="str">
        <f>IF(OR(E5869="",E5869="!!!"),"",IF(OR(J5869=0,AND(J5869=1,K5869=1),AND(J5869=1,I5869="SBJ"),AND(J5869=1,I5869=0)),"?IN_FOCUS",IF(J5869&lt;=2,"?ACTIVATED",IF(J5869&lt;&gt;"","?FAMILIAR",IF(F5869="NEW",IF(ISNA(VLOOKUP(E5869,#REF!,1,FALSE())),"?TYPE_IDENTIFIABLE","?REFERENTIAL"),"_")))))</f>
        <v> </v>
      </c>
      <c r="H5869" s="25" t="str">
        <f>IF(J5869&lt;&gt;1,"",IF(I5869="SBJ","CB","?"))</f>
        <v> </v>
      </c>
      <c r="I5869" s="26" t="str">
        <f>IF(OR(E5869="",E5869="!!!",F5869="NEW"),"",INDEX(B5868:B$2,-1+SUMPRODUCT(MAX(ROW(E5868:E$2)*(E5869=E5868:E$2)))))</f>
        <v> </v>
      </c>
      <c r="J5869" s="26" t="str">
        <f>IF(OR(E5869="",E5869="!!!",F5869="NEW"),"",COUNTBLANK(OFFSET(A$1,,,SUMPRODUCT(MAX(ROW(E$2:E5869)*(E5869=E$2:E5869)))))-COUNTBLANK(OFFSET(A$1,,,SUMPRODUCT(MAX(ROW(E$1:E5868)*(E2=E$1:E5868))))))</f>
        <v> </v>
      </c>
      <c r="K5869" s="26" t="str">
        <f>IF(OR(E5869="",E5869="!!!",F5869="NEW"),"",INDEX(J$1:J5868,SUMPRODUCT(MAX(ROW(E$1:E5868)*(E5869=E$1:E5868)))))</f>
        <v> </v>
      </c>
      <c r="L5869" s="27"/>
    </row>
    <row r="5870" spans="1:12">
      <c r="A5870" s="20" t="s">
        <v>2021</v>
      </c>
      <c r="B5870" s="21" t="s">
        <v>1022</v>
      </c>
      <c r="C5870" s="21" t="s">
        <v>1017</v>
      </c>
      <c r="D5870" s="21" t="s">
        <v>1007</v>
      </c>
      <c r="E5870" s="22">
        <f>IF(D5870="?OLD","!!!","")</f>
        <v/>
      </c>
      <c r="F5870" s="23" t="str">
        <f>IF(OR(E5870="",E5870="!!!"),"",IF(NOT(ISNA(VLOOKUP(E5870,E$1:E5869,1,FALSE()))),"OLD",IF(AND(E5870&lt;&gt;"",E5870&lt;&gt;"!!!"),"NEW","")))</f>
        <v> </v>
      </c>
      <c r="G5870" s="24" t="str">
        <f>IF(OR(E5870="",E5870="!!!"),"",IF(OR(J5870=0,AND(J5870=1,K5870=1),AND(J5870=1,I5870="SBJ"),AND(J5870=1,I5870=0)),"?IN_FOCUS",IF(J5870&lt;=2,"?ACTIVATED",IF(J5870&lt;&gt;"","?FAMILIAR",IF(F5870="NEW",IF(ISNA(VLOOKUP(E5870,#REF!,1,FALSE())),"?TYPE_IDENTIFIABLE","?REFERENTIAL"),"_")))))</f>
        <v> </v>
      </c>
      <c r="H5870" s="25" t="str">
        <f>IF(J5870&lt;&gt;1,"",IF(I5870="SBJ","CB","?"))</f>
        <v> </v>
      </c>
      <c r="I5870" s="26" t="str">
        <f>IF(OR(E5870="",E5870="!!!",F5870="NEW"),"",INDEX(B5869:B$2,-1+SUMPRODUCT(MAX(ROW(E5869:E$2)*(E5870=E5869:E$2)))))</f>
        <v> </v>
      </c>
      <c r="J5870" s="26" t="str">
        <f>IF(OR(E5870="",E5870="!!!",F5870="NEW"),"",COUNTBLANK(OFFSET(A$1,,,SUMPRODUCT(MAX(ROW(E$2:E5870)*(E5870=E$2:E5870)))))-COUNTBLANK(OFFSET(A$1,,,SUMPRODUCT(MAX(ROW(E$1:E5869)*(E2=E$1:E5869))))))</f>
        <v> </v>
      </c>
      <c r="K5870" s="26" t="str">
        <f>IF(OR(E5870="",E5870="!!!",F5870="NEW"),"",INDEX(J$1:J5869,SUMPRODUCT(MAX(ROW(E$1:E5869)*(E5870=E$1:E5869)))))</f>
        <v> </v>
      </c>
      <c r="L5870" s="27"/>
    </row>
    <row r="5871" spans="1:12">
      <c r="A5871" s="20" t="s">
        <v>1330</v>
      </c>
      <c r="E5871" s="22">
        <f>IF(D5871="?OLD","!!!","")</f>
        <v/>
      </c>
      <c r="F5871" s="23" t="str">
        <f>IF(OR(E5871="",E5871="!!!"),"",IF(NOT(ISNA(VLOOKUP(E5871,E$1:E5870,1,FALSE()))),"OLD",IF(AND(E5871&lt;&gt;"",E5871&lt;&gt;"!!!"),"NEW","")))</f>
        <v> </v>
      </c>
      <c r="G5871" s="24" t="str">
        <f>IF(OR(E5871="",E5871="!!!"),"",IF(OR(J5871=0,AND(J5871=1,K5871=1),AND(J5871=1,I5871="SBJ"),AND(J5871=1,I5871=0)),"?IN_FOCUS",IF(J5871&lt;=2,"?ACTIVATED",IF(J5871&lt;&gt;"","?FAMILIAR",IF(F5871="NEW",IF(ISNA(VLOOKUP(E5871,#REF!,1,FALSE())),"?TYPE_IDENTIFIABLE","?REFERENTIAL"),"_")))))</f>
        <v> </v>
      </c>
      <c r="H5871" s="25" t="str">
        <f>IF(J5871&lt;&gt;1,"",IF(I5871="SBJ","CB","?"))</f>
        <v> </v>
      </c>
      <c r="I5871" s="26" t="str">
        <f>IF(OR(E5871="",E5871="!!!",F5871="NEW"),"",INDEX(B5870:B$2,-1+SUMPRODUCT(MAX(ROW(E5870:E$2)*(E5871=E5870:E$2)))))</f>
        <v> </v>
      </c>
      <c r="J5871" s="26" t="str">
        <f>IF(OR(E5871="",E5871="!!!",F5871="NEW"),"",COUNTBLANK(OFFSET(A$1,,,SUMPRODUCT(MAX(ROW(E$2:E5871)*(E5871=E$2:E5871)))))-COUNTBLANK(OFFSET(A$1,,,SUMPRODUCT(MAX(ROW(E$1:E5870)*(E2=E$1:E5870))))))</f>
        <v> </v>
      </c>
      <c r="K5871" s="26" t="str">
        <f>IF(OR(E5871="",E5871="!!!",F5871="NEW"),"",INDEX(J$1:J5870,SUMPRODUCT(MAX(ROW(E$1:E5870)*(E5871=E$1:E5870)))))</f>
        <v> </v>
      </c>
      <c r="L5871" s="27"/>
    </row>
    <row r="5872" spans="1:12">
      <c r="A5872" s="20" t="s">
        <v>1018</v>
      </c>
      <c r="E5872" s="22">
        <f>IF(D5872="?OLD","!!!","")</f>
        <v/>
      </c>
      <c r="F5872" s="23" t="str">
        <f>IF(OR(E5872="",E5872="!!!"),"",IF(NOT(ISNA(VLOOKUP(E5872,E$1:E5871,1,FALSE()))),"OLD",IF(AND(E5872&lt;&gt;"",E5872&lt;&gt;"!!!"),"NEW","")))</f>
        <v> </v>
      </c>
      <c r="G5872" s="24" t="str">
        <f>IF(OR(E5872="",E5872="!!!"),"",IF(OR(J5872=0,AND(J5872=1,K5872=1),AND(J5872=1,I5872="SBJ"),AND(J5872=1,I5872=0)),"?IN_FOCUS",IF(J5872&lt;=2,"?ACTIVATED",IF(J5872&lt;&gt;"","?FAMILIAR",IF(F5872="NEW",IF(ISNA(VLOOKUP(E5872,#REF!,1,FALSE())),"?TYPE_IDENTIFIABLE","?REFERENTIAL"),"_")))))</f>
        <v> </v>
      </c>
      <c r="H5872" s="25" t="str">
        <f>IF(J5872&lt;&gt;1,"",IF(I5872="SBJ","CB","?"))</f>
        <v> </v>
      </c>
      <c r="I5872" s="26" t="str">
        <f>IF(OR(E5872="",E5872="!!!",F5872="NEW"),"",INDEX(B5871:B$2,-1+SUMPRODUCT(MAX(ROW(E5871:E$2)*(E5872=E5871:E$2)))))</f>
        <v> </v>
      </c>
      <c r="J5872" s="26" t="str">
        <f>IF(OR(E5872="",E5872="!!!",F5872="NEW"),"",COUNTBLANK(OFFSET(A$1,,,SUMPRODUCT(MAX(ROW(E$2:E5872)*(E5872=E$2:E5872)))))-COUNTBLANK(OFFSET(A$1,,,SUMPRODUCT(MAX(ROW(E$1:E5871)*(E2=E$1:E5871))))))</f>
        <v> </v>
      </c>
      <c r="K5872" s="26" t="str">
        <f>IF(OR(E5872="",E5872="!!!",F5872="NEW"),"",INDEX(J$1:J5871,SUMPRODUCT(MAX(ROW(E$1:E5871)*(E5872=E$1:E5871)))))</f>
        <v> </v>
      </c>
      <c r="L5872" s="27"/>
    </row>
    <row r="5873" spans="1:12">
      <c r="A5873" s="20" t="s">
        <v>1132</v>
      </c>
      <c r="E5873" s="22">
        <f>IF(D5873="?OLD","!!!","")</f>
        <v/>
      </c>
      <c r="F5873" s="23" t="str">
        <f>IF(OR(E5873="",E5873="!!!"),"",IF(NOT(ISNA(VLOOKUP(E5873,E$1:E5872,1,FALSE()))),"OLD",IF(AND(E5873&lt;&gt;"",E5873&lt;&gt;"!!!"),"NEW","")))</f>
        <v> </v>
      </c>
      <c r="G5873" s="24" t="str">
        <f>IF(OR(E5873="",E5873="!!!"),"",IF(OR(J5873=0,AND(J5873=1,K5873=1),AND(J5873=1,I5873="SBJ"),AND(J5873=1,I5873=0)),"?IN_FOCUS",IF(J5873&lt;=2,"?ACTIVATED",IF(J5873&lt;&gt;"","?FAMILIAR",IF(F5873="NEW",IF(ISNA(VLOOKUP(E5873,#REF!,1,FALSE())),"?TYPE_IDENTIFIABLE","?REFERENTIAL"),"_")))))</f>
        <v> </v>
      </c>
      <c r="H5873" s="25" t="str">
        <f>IF(J5873&lt;&gt;1,"",IF(I5873="SBJ","CB","?"))</f>
        <v> </v>
      </c>
      <c r="I5873" s="26" t="str">
        <f>IF(OR(E5873="",E5873="!!!",F5873="NEW"),"",INDEX(B5872:B$2,-1+SUMPRODUCT(MAX(ROW(E5872:E$2)*(E5873=E5872:E$2)))))</f>
        <v> </v>
      </c>
      <c r="J5873" s="26" t="str">
        <f>IF(OR(E5873="",E5873="!!!",F5873="NEW"),"",COUNTBLANK(OFFSET(A$1,,,SUMPRODUCT(MAX(ROW(E$2:E5873)*(E5873=E$2:E5873)))))-COUNTBLANK(OFFSET(A$1,,,SUMPRODUCT(MAX(ROW(E$1:E5872)*(E2=E$1:E5872))))))</f>
        <v> </v>
      </c>
      <c r="K5873" s="26" t="str">
        <f>IF(OR(E5873="",E5873="!!!",F5873="NEW"),"",INDEX(J$1:J5872,SUMPRODUCT(MAX(ROW(E$1:E5872)*(E5873=E$1:E5872)))))</f>
        <v> </v>
      </c>
      <c r="L5873" s="27"/>
    </row>
    <row r="5874" spans="1:12">
      <c r="A5874" s="20" t="s">
        <v>885</v>
      </c>
      <c r="B5874" s="21" t="s">
        <v>1120</v>
      </c>
      <c r="C5874" s="21" t="s">
        <v>1082</v>
      </c>
      <c r="D5874" s="21" t="s">
        <v>1007</v>
      </c>
      <c r="E5874" s="22">
        <f>IF(D5874="?OLD","!!!","")</f>
        <v/>
      </c>
      <c r="F5874" s="23" t="str">
        <f>IF(OR(E5874="",E5874="!!!"),"",IF(NOT(ISNA(VLOOKUP(E5874,E$1:E5873,1,FALSE()))),"OLD",IF(AND(E5874&lt;&gt;"",E5874&lt;&gt;"!!!"),"NEW","")))</f>
        <v> </v>
      </c>
      <c r="G5874" s="24" t="str">
        <f>IF(OR(E5874="",E5874="!!!"),"",IF(OR(J5874=0,AND(J5874=1,K5874=1),AND(J5874=1,I5874="SBJ"),AND(J5874=1,I5874=0)),"?IN_FOCUS",IF(J5874&lt;=2,"?ACTIVATED",IF(J5874&lt;&gt;"","?FAMILIAR",IF(F5874="NEW",IF(ISNA(VLOOKUP(E5874,#REF!,1,FALSE())),"?TYPE_IDENTIFIABLE","?REFERENTIAL"),"_")))))</f>
        <v> </v>
      </c>
      <c r="H5874" s="25" t="str">
        <f>IF(J5874&lt;&gt;1,"",IF(I5874="SBJ","CB","?"))</f>
        <v> </v>
      </c>
      <c r="I5874" s="26" t="str">
        <f>IF(OR(E5874="",E5874="!!!",F5874="NEW"),"",INDEX(B5873:B$2,-1+SUMPRODUCT(MAX(ROW(E5873:E$2)*(E5874=E5873:E$2)))))</f>
        <v> </v>
      </c>
      <c r="J5874" s="26" t="str">
        <f>IF(OR(E5874="",E5874="!!!",F5874="NEW"),"",COUNTBLANK(OFFSET(A$1,,,SUMPRODUCT(MAX(ROW(E$2:E5874)*(E5874=E$2:E5874)))))-COUNTBLANK(OFFSET(A$1,,,SUMPRODUCT(MAX(ROW(E$1:E5873)*(E2=E$1:E5873))))))</f>
        <v> </v>
      </c>
      <c r="K5874" s="26" t="str">
        <f>IF(OR(E5874="",E5874="!!!",F5874="NEW"),"",INDEX(J$1:J5873,SUMPRODUCT(MAX(ROW(E$1:E5873)*(E5874=E$1:E5873)))))</f>
        <v> </v>
      </c>
      <c r="L5874" s="27"/>
    </row>
    <row r="5875" spans="1:12">
      <c r="A5875" s="20" t="s">
        <v>1937</v>
      </c>
      <c r="E5875" s="22">
        <f>IF(D5875="?OLD","!!!","")</f>
        <v/>
      </c>
      <c r="F5875" s="23" t="str">
        <f>IF(OR(E5875="",E5875="!!!"),"",IF(NOT(ISNA(VLOOKUP(E5875,E$1:E5874,1,FALSE()))),"OLD",IF(AND(E5875&lt;&gt;"",E5875&lt;&gt;"!!!"),"NEW","")))</f>
        <v> </v>
      </c>
      <c r="G5875" s="24" t="str">
        <f>IF(OR(E5875="",E5875="!!!"),"",IF(OR(J5875=0,AND(J5875=1,K5875=1),AND(J5875=1,I5875="SBJ"),AND(J5875=1,I5875=0)),"?IN_FOCUS",IF(J5875&lt;=2,"?ACTIVATED",IF(J5875&lt;&gt;"","?FAMILIAR",IF(F5875="NEW",IF(ISNA(VLOOKUP(E5875,#REF!,1,FALSE())),"?TYPE_IDENTIFIABLE","?REFERENTIAL"),"_")))))</f>
        <v> </v>
      </c>
      <c r="H5875" s="25" t="str">
        <f>IF(J5875&lt;&gt;1,"",IF(I5875="SBJ","CB","?"))</f>
        <v> </v>
      </c>
      <c r="I5875" s="26" t="str">
        <f>IF(OR(E5875="",E5875="!!!",F5875="NEW"),"",INDEX(B5874:B$2,-1+SUMPRODUCT(MAX(ROW(E5874:E$2)*(E5875=E5874:E$2)))))</f>
        <v> </v>
      </c>
      <c r="J5875" s="26" t="str">
        <f>IF(OR(E5875="",E5875="!!!",F5875="NEW"),"",COUNTBLANK(OFFSET(A$1,,,SUMPRODUCT(MAX(ROW(E$2:E5875)*(E5875=E$2:E5875)))))-COUNTBLANK(OFFSET(A$1,,,SUMPRODUCT(MAX(ROW(E$1:E5874)*(E2=E$1:E5874))))))</f>
        <v> </v>
      </c>
      <c r="K5875" s="26" t="str">
        <f>IF(OR(E5875="",E5875="!!!",F5875="NEW"),"",INDEX(J$1:J5874,SUMPRODUCT(MAX(ROW(E$1:E5874)*(E5875=E$1:E5874)))))</f>
        <v> </v>
      </c>
      <c r="L5875" s="27"/>
    </row>
    <row r="5876" spans="1:12">
      <c r="A5876" s="20" t="s">
        <v>1018</v>
      </c>
      <c r="E5876" s="22">
        <f>IF(D5876="?OLD","!!!","")</f>
        <v/>
      </c>
      <c r="F5876" s="23" t="str">
        <f>IF(OR(E5876="",E5876="!!!"),"",IF(NOT(ISNA(VLOOKUP(E5876,E$1:E5875,1,FALSE()))),"OLD",IF(AND(E5876&lt;&gt;"",E5876&lt;&gt;"!!!"),"NEW","")))</f>
        <v> </v>
      </c>
      <c r="G5876" s="24" t="str">
        <f>IF(OR(E5876="",E5876="!!!"),"",IF(OR(J5876=0,AND(J5876=1,K5876=1),AND(J5876=1,I5876="SBJ"),AND(J5876=1,I5876=0)),"?IN_FOCUS",IF(J5876&lt;=2,"?ACTIVATED",IF(J5876&lt;&gt;"","?FAMILIAR",IF(F5876="NEW",IF(ISNA(VLOOKUP(E5876,#REF!,1,FALSE())),"?TYPE_IDENTIFIABLE","?REFERENTIAL"),"_")))))</f>
        <v> </v>
      </c>
      <c r="H5876" s="25" t="str">
        <f>IF(J5876&lt;&gt;1,"",IF(I5876="SBJ","CB","?"))</f>
        <v> </v>
      </c>
      <c r="I5876" s="26" t="str">
        <f>IF(OR(E5876="",E5876="!!!",F5876="NEW"),"",INDEX(B5875:B$2,-1+SUMPRODUCT(MAX(ROW(E5875:E$2)*(E5876=E5875:E$2)))))</f>
        <v> </v>
      </c>
      <c r="J5876" s="26" t="str">
        <f>IF(OR(E5876="",E5876="!!!",F5876="NEW"),"",COUNTBLANK(OFFSET(A$1,,,SUMPRODUCT(MAX(ROW(E$2:E5876)*(E5876=E$2:E5876)))))-COUNTBLANK(OFFSET(A$1,,,SUMPRODUCT(MAX(ROW(E$1:E5875)*(E2=E$1:E5875))))))</f>
        <v> </v>
      </c>
      <c r="K5876" s="26" t="str">
        <f>IF(OR(E5876="",E5876="!!!",F5876="NEW"),"",INDEX(J$1:J5875,SUMPRODUCT(MAX(ROW(E$1:E5875)*(E5876=E$1:E5875)))))</f>
        <v> </v>
      </c>
      <c r="L5876" s="27"/>
    </row>
    <row r="5877" spans="1:12">
      <c r="A5877" s="20" t="s">
        <v>1015</v>
      </c>
      <c r="E5877" s="22">
        <f>IF(D5877="?OLD","!!!","")</f>
        <v/>
      </c>
      <c r="F5877" s="23" t="str">
        <f>IF(OR(E5877="",E5877="!!!"),"",IF(NOT(ISNA(VLOOKUP(E5877,E$1:E5876,1,FALSE()))),"OLD",IF(AND(E5877&lt;&gt;"",E5877&lt;&gt;"!!!"),"NEW","")))</f>
        <v> </v>
      </c>
      <c r="G5877" s="24" t="str">
        <f>IF(OR(E5877="",E5877="!!!"),"",IF(OR(J5877=0,AND(J5877=1,K5877=1),AND(J5877=1,I5877="SBJ"),AND(J5877=1,I5877=0)),"?IN_FOCUS",IF(J5877&lt;=2,"?ACTIVATED",IF(J5877&lt;&gt;"","?FAMILIAR",IF(F5877="NEW",IF(ISNA(VLOOKUP(E5877,#REF!,1,FALSE())),"?TYPE_IDENTIFIABLE","?REFERENTIAL"),"_")))))</f>
        <v> </v>
      </c>
      <c r="H5877" s="25" t="str">
        <f>IF(J5877&lt;&gt;1,"",IF(I5877="SBJ","CB","?"))</f>
        <v> </v>
      </c>
      <c r="I5877" s="26" t="str">
        <f>IF(OR(E5877="",E5877="!!!",F5877="NEW"),"",INDEX(B5876:B$2,-1+SUMPRODUCT(MAX(ROW(E5876:E$2)*(E5877=E5876:E$2)))))</f>
        <v> </v>
      </c>
      <c r="J5877" s="26" t="str">
        <f>IF(OR(E5877="",E5877="!!!",F5877="NEW"),"",COUNTBLANK(OFFSET(A$1,,,SUMPRODUCT(MAX(ROW(E$2:E5877)*(E5877=E$2:E5877)))))-COUNTBLANK(OFFSET(A$1,,,SUMPRODUCT(MAX(ROW(E$1:E5876)*(E2=E$1:E5876))))))</f>
        <v> </v>
      </c>
      <c r="K5877" s="26" t="str">
        <f>IF(OR(E5877="",E5877="!!!",F5877="NEW"),"",INDEX(J$1:J5876,SUMPRODUCT(MAX(ROW(E$1:E5876)*(E5877=E$1:E5876)))))</f>
        <v> </v>
      </c>
      <c r="L5877" s="27"/>
    </row>
    <row r="5878" spans="1:12">
      <c r="A5878" s="20" t="s">
        <v>1589</v>
      </c>
      <c r="B5878" s="21" t="s">
        <v>1064</v>
      </c>
      <c r="C5878" s="21" t="s">
        <v>1017</v>
      </c>
      <c r="D5878" s="21" t="s">
        <v>1007</v>
      </c>
      <c r="E5878" s="22">
        <f>IF(D5878="?OLD","!!!","")</f>
        <v/>
      </c>
      <c r="F5878" s="23" t="str">
        <f>IF(OR(E5878="",E5878="!!!"),"",IF(NOT(ISNA(VLOOKUP(E5878,E$1:E5877,1,FALSE()))),"OLD",IF(AND(E5878&lt;&gt;"",E5878&lt;&gt;"!!!"),"NEW","")))</f>
        <v> </v>
      </c>
      <c r="G5878" s="24" t="str">
        <f>IF(OR(E5878="",E5878="!!!"),"",IF(OR(J5878=0,AND(J5878=1,K5878=1),AND(J5878=1,I5878="SBJ"),AND(J5878=1,I5878=0)),"?IN_FOCUS",IF(J5878&lt;=2,"?ACTIVATED",IF(J5878&lt;&gt;"","?FAMILIAR",IF(F5878="NEW",IF(ISNA(VLOOKUP(E5878,#REF!,1,FALSE())),"?TYPE_IDENTIFIABLE","?REFERENTIAL"),"_")))))</f>
        <v> </v>
      </c>
      <c r="H5878" s="25" t="str">
        <f>IF(J5878&lt;&gt;1,"",IF(I5878="SBJ","CB","?"))</f>
        <v> </v>
      </c>
      <c r="I5878" s="26" t="str">
        <f>IF(OR(E5878="",E5878="!!!",F5878="NEW"),"",INDEX(B5877:B$2,-1+SUMPRODUCT(MAX(ROW(E5877:E$2)*(E5878=E5877:E$2)))))</f>
        <v> </v>
      </c>
      <c r="J5878" s="26" t="str">
        <f>IF(OR(E5878="",E5878="!!!",F5878="NEW"),"",COUNTBLANK(OFFSET(A$1,,,SUMPRODUCT(MAX(ROW(E$2:E5878)*(E5878=E$2:E5878)))))-COUNTBLANK(OFFSET(A$1,,,SUMPRODUCT(MAX(ROW(E$1:E5877)*(E2=E$1:E5877))))))</f>
        <v> </v>
      </c>
      <c r="K5878" s="26" t="str">
        <f>IF(OR(E5878="",E5878="!!!",F5878="NEW"),"",INDEX(J$1:J5877,SUMPRODUCT(MAX(ROW(E$1:E5877)*(E5878=E$1:E5877)))))</f>
        <v> </v>
      </c>
      <c r="L5878" s="27"/>
    </row>
    <row r="5879" spans="1:12">
      <c r="A5879" s="20" t="s">
        <v>1023</v>
      </c>
      <c r="E5879" s="22">
        <f>IF(D5879="?OLD","!!!","")</f>
        <v/>
      </c>
      <c r="F5879" s="23" t="str">
        <f>IF(OR(E5879="",E5879="!!!"),"",IF(NOT(ISNA(VLOOKUP(E5879,E$1:E5878,1,FALSE()))),"OLD",IF(AND(E5879&lt;&gt;"",E5879&lt;&gt;"!!!"),"NEW","")))</f>
        <v> </v>
      </c>
      <c r="G5879" s="24" t="str">
        <f>IF(OR(E5879="",E5879="!!!"),"",IF(OR(J5879=0,AND(J5879=1,K5879=1),AND(J5879=1,I5879="SBJ"),AND(J5879=1,I5879=0)),"?IN_FOCUS",IF(J5879&lt;=2,"?ACTIVATED",IF(J5879&lt;&gt;"","?FAMILIAR",IF(F5879="NEW",IF(ISNA(VLOOKUP(E5879,#REF!,1,FALSE())),"?TYPE_IDENTIFIABLE","?REFERENTIAL"),"_")))))</f>
        <v> </v>
      </c>
      <c r="H5879" s="25" t="str">
        <f>IF(J5879&lt;&gt;1,"",IF(I5879="SBJ","CB","?"))</f>
        <v> </v>
      </c>
      <c r="I5879" s="26" t="str">
        <f>IF(OR(E5879="",E5879="!!!",F5879="NEW"),"",INDEX(B5878:B$2,-1+SUMPRODUCT(MAX(ROW(E5878:E$2)*(E5879=E5878:E$2)))))</f>
        <v> </v>
      </c>
      <c r="J5879" s="26" t="str">
        <f>IF(OR(E5879="",E5879="!!!",F5879="NEW"),"",COUNTBLANK(OFFSET(A$1,,,SUMPRODUCT(MAX(ROW(E$2:E5879)*(E5879=E$2:E5879)))))-COUNTBLANK(OFFSET(A$1,,,SUMPRODUCT(MAX(ROW(E$1:E5878)*(E2=E$1:E5878))))))</f>
        <v> </v>
      </c>
      <c r="K5879" s="26" t="str">
        <f>IF(OR(E5879="",E5879="!!!",F5879="NEW"),"",INDEX(J$1:J5878,SUMPRODUCT(MAX(ROW(E$1:E5878)*(E5879=E$1:E5878)))))</f>
        <v> </v>
      </c>
      <c r="L5879" s="27"/>
    </row>
    <row r="5880" spans="1:12">
      <c r="A5880" s="20"/>
    </row>
    <row r="5881" spans="1:12">
      <c r="A5881" s="20" t="s">
        <v>2570</v>
      </c>
    </row>
    <row r="5882" spans="1:12">
      <c r="A5882" s="20" t="s">
        <v>1027</v>
      </c>
      <c r="E5882" s="22">
        <f>IF(D5882="?OLD","!!!","")</f>
        <v/>
      </c>
      <c r="F5882" s="23" t="str">
        <f>IF(OR(E5882="",E5882="!!!"),"",IF(NOT(ISNA(VLOOKUP(E5882,E$1:E5881,1,FALSE()))),"OLD",IF(AND(E5882&lt;&gt;"",E5882&lt;&gt;"!!!"),"NEW","")))</f>
        <v> </v>
      </c>
      <c r="G5882" s="24" t="str">
        <f>IF(OR(E5882="",E5882="!!!"),"",IF(OR(J5882=0,AND(J5882=1,K5882=1),AND(J5882=1,I5882="SBJ"),AND(J5882=1,I5882=0)),"?IN_FOCUS",IF(J5882&lt;=2,"?ACTIVATED",IF(J5882&lt;&gt;"","?FAMILIAR",IF(F5882="NEW",IF(ISNA(VLOOKUP(E5882,#REF!,1,FALSE())),"?TYPE_IDENTIFIABLE","?REFERENTIAL"),"_")))))</f>
        <v> </v>
      </c>
      <c r="H5882" s="25" t="str">
        <f>IF(J5882&lt;&gt;1,"",IF(I5882="SBJ","CB","?"))</f>
        <v> </v>
      </c>
      <c r="I5882" s="26" t="str">
        <f>IF(OR(E5882="",E5882="!!!",F5882="NEW"),"",INDEX(B5881:B$2,-1+SUMPRODUCT(MAX(ROW(E5881:E$2)*(E5882=E5881:E$2)))))</f>
        <v> </v>
      </c>
      <c r="J5882" s="26" t="str">
        <f>IF(OR(E5882="",E5882="!!!",F5882="NEW"),"",COUNTBLANK(OFFSET(A$1,,,SUMPRODUCT(MAX(ROW(E$2:E5882)*(E5882=E$2:E5882)))))-COUNTBLANK(OFFSET(A$1,,,SUMPRODUCT(MAX(ROW(E$1:E5881)*(E2=E$1:E5881))))))</f>
        <v> </v>
      </c>
      <c r="K5882" s="26" t="str">
        <f>IF(OR(E5882="",E5882="!!!",F5882="NEW"),"",INDEX(J$1:J5881,SUMPRODUCT(MAX(ROW(E$1:E5881)*(E5882=E$1:E5881)))))</f>
        <v> </v>
      </c>
      <c r="L5882" s="27"/>
    </row>
    <row r="5883" spans="1:12">
      <c r="A5883" s="20" t="s">
        <v>1172</v>
      </c>
      <c r="B5883" s="21" t="s">
        <v>1005</v>
      </c>
      <c r="C5883" s="21" t="s">
        <v>1013</v>
      </c>
      <c r="D5883" s="21" t="s">
        <v>1007</v>
      </c>
      <c r="E5883" s="22">
        <f>IF(D5883="?OLD","!!!","")</f>
        <v/>
      </c>
      <c r="F5883" s="23" t="str">
        <f>IF(OR(E5883="",E5883="!!!"),"",IF(NOT(ISNA(VLOOKUP(E5883,E$1:E5882,1,FALSE()))),"OLD",IF(AND(E5883&lt;&gt;"",E5883&lt;&gt;"!!!"),"NEW","")))</f>
        <v> </v>
      </c>
      <c r="G5883" s="24" t="str">
        <f>IF(OR(E5883="",E5883="!!!"),"",IF(OR(J5883=0,AND(J5883=1,K5883=1),AND(J5883=1,I5883="SBJ"),AND(J5883=1,I5883=0)),"?IN_FOCUS",IF(J5883&lt;=2,"?ACTIVATED",IF(J5883&lt;&gt;"","?FAMILIAR",IF(F5883="NEW",IF(ISNA(VLOOKUP(E5883,#REF!,1,FALSE())),"?TYPE_IDENTIFIABLE","?REFERENTIAL"),"_")))))</f>
        <v> </v>
      </c>
      <c r="H5883" s="25" t="str">
        <f>IF(J5883&lt;&gt;1,"",IF(I5883="SBJ","CB","?"))</f>
        <v> </v>
      </c>
      <c r="I5883" s="26" t="str">
        <f>IF(OR(E5883="",E5883="!!!",F5883="NEW"),"",INDEX(B5882:B$2,-1+SUMPRODUCT(MAX(ROW(E5882:E$2)*(E5883=E5882:E$2)))))</f>
        <v> </v>
      </c>
      <c r="J5883" s="26" t="str">
        <f>IF(OR(E5883="",E5883="!!!",F5883="NEW"),"",COUNTBLANK(OFFSET(A$1,,,SUMPRODUCT(MAX(ROW(E$2:E5883)*(E5883=E$2:E5883)))))-COUNTBLANK(OFFSET(A$1,,,SUMPRODUCT(MAX(ROW(E$1:E5882)*(E2=E$1:E5882))))))</f>
        <v> </v>
      </c>
      <c r="K5883" s="26" t="str">
        <f>IF(OR(E5883="",E5883="!!!",F5883="NEW"),"",INDEX(J$1:J5882,SUMPRODUCT(MAX(ROW(E$1:E5882)*(E5883=E$1:E5882)))))</f>
        <v> </v>
      </c>
      <c r="L5883" s="27"/>
    </row>
    <row r="5884" spans="1:12">
      <c r="A5884" s="20" t="s">
        <v>1014</v>
      </c>
      <c r="E5884" s="22">
        <f>IF(D5884="?OLD","!!!","")</f>
        <v/>
      </c>
      <c r="F5884" s="23" t="str">
        <f>IF(OR(E5884="",E5884="!!!"),"",IF(NOT(ISNA(VLOOKUP(E5884,E$1:E5883,1,FALSE()))),"OLD",IF(AND(E5884&lt;&gt;"",E5884&lt;&gt;"!!!"),"NEW","")))</f>
        <v> </v>
      </c>
      <c r="G5884" s="24" t="str">
        <f>IF(OR(E5884="",E5884="!!!"),"",IF(OR(J5884=0,AND(J5884=1,K5884=1),AND(J5884=1,I5884="SBJ"),AND(J5884=1,I5884=0)),"?IN_FOCUS",IF(J5884&lt;=2,"?ACTIVATED",IF(J5884&lt;&gt;"","?FAMILIAR",IF(F5884="NEW",IF(ISNA(VLOOKUP(E5884,#REF!,1,FALSE())),"?TYPE_IDENTIFIABLE","?REFERENTIAL"),"_")))))</f>
        <v> </v>
      </c>
      <c r="H5884" s="25" t="str">
        <f>IF(J5884&lt;&gt;1,"",IF(I5884="SBJ","CB","?"))</f>
        <v> </v>
      </c>
      <c r="I5884" s="26" t="str">
        <f>IF(OR(E5884="",E5884="!!!",F5884="NEW"),"",INDEX(B5883:B$2,-1+SUMPRODUCT(MAX(ROW(E5883:E$2)*(E5884=E5883:E$2)))))</f>
        <v> </v>
      </c>
      <c r="J5884" s="26" t="str">
        <f>IF(OR(E5884="",E5884="!!!",F5884="NEW"),"",COUNTBLANK(OFFSET(A$1,,,SUMPRODUCT(MAX(ROW(E$2:E5884)*(E5884=E$2:E5884)))))-COUNTBLANK(OFFSET(A$1,,,SUMPRODUCT(MAX(ROW(E$1:E5883)*(E2=E$1:E5883))))))</f>
        <v> </v>
      </c>
      <c r="K5884" s="26" t="str">
        <f>IF(OR(E5884="",E5884="!!!",F5884="NEW"),"",INDEX(J$1:J5883,SUMPRODUCT(MAX(ROW(E$1:E5883)*(E5884=E$1:E5883)))))</f>
        <v> </v>
      </c>
      <c r="L5884" s="27"/>
    </row>
    <row r="5885" spans="1:12">
      <c r="A5885" s="20" t="s">
        <v>102</v>
      </c>
      <c r="E5885" s="22">
        <f>IF(D5885="?OLD","!!!","")</f>
        <v/>
      </c>
      <c r="F5885" s="23" t="str">
        <f>IF(OR(E5885="",E5885="!!!"),"",IF(NOT(ISNA(VLOOKUP(E5885,E$1:E5884,1,FALSE()))),"OLD",IF(AND(E5885&lt;&gt;"",E5885&lt;&gt;"!!!"),"NEW","")))</f>
        <v> </v>
      </c>
      <c r="G5885" s="24" t="str">
        <f>IF(OR(E5885="",E5885="!!!"),"",IF(OR(J5885=0,AND(J5885=1,K5885=1),AND(J5885=1,I5885="SBJ"),AND(J5885=1,I5885=0)),"?IN_FOCUS",IF(J5885&lt;=2,"?ACTIVATED",IF(J5885&lt;&gt;"","?FAMILIAR",IF(F5885="NEW",IF(ISNA(VLOOKUP(E5885,#REF!,1,FALSE())),"?TYPE_IDENTIFIABLE","?REFERENTIAL"),"_")))))</f>
        <v> </v>
      </c>
      <c r="H5885" s="25" t="str">
        <f>IF(J5885&lt;&gt;1,"",IF(I5885="SBJ","CB","?"))</f>
        <v> </v>
      </c>
      <c r="I5885" s="26" t="str">
        <f>IF(OR(E5885="",E5885="!!!",F5885="NEW"),"",INDEX(B5884:B$2,-1+SUMPRODUCT(MAX(ROW(E5884:E$2)*(E5885=E5884:E$2)))))</f>
        <v> </v>
      </c>
      <c r="J5885" s="26" t="str">
        <f>IF(OR(E5885="",E5885="!!!",F5885="NEW"),"",COUNTBLANK(OFFSET(A$1,,,SUMPRODUCT(MAX(ROW(E$2:E5885)*(E5885=E$2:E5885)))))-COUNTBLANK(OFFSET(A$1,,,SUMPRODUCT(MAX(ROW(E$1:E5884)*(E2=E$1:E5884))))))</f>
        <v> </v>
      </c>
      <c r="K5885" s="26" t="str">
        <f>IF(OR(E5885="",E5885="!!!",F5885="NEW"),"",INDEX(J$1:J5884,SUMPRODUCT(MAX(ROW(E$1:E5884)*(E5885=E$1:E5884)))))</f>
        <v> </v>
      </c>
      <c r="L5885" s="27"/>
    </row>
    <row r="5886" spans="1:12">
      <c r="A5886" s="20" t="s">
        <v>1156</v>
      </c>
      <c r="B5886" s="21" t="s">
        <v>1005</v>
      </c>
      <c r="C5886" s="21" t="s">
        <v>1017</v>
      </c>
      <c r="D5886" s="21" t="s">
        <v>1007</v>
      </c>
      <c r="E5886" s="22">
        <f>IF(D5886="?OLD","!!!","")</f>
        <v/>
      </c>
      <c r="F5886" s="23" t="str">
        <f>IF(OR(E5886="",E5886="!!!"),"",IF(NOT(ISNA(VLOOKUP(E5886,E$1:E5885,1,FALSE()))),"OLD",IF(AND(E5886&lt;&gt;"",E5886&lt;&gt;"!!!"),"NEW","")))</f>
        <v> </v>
      </c>
      <c r="G5886" s="24" t="str">
        <f>IF(OR(E5886="",E5886="!!!"),"",IF(OR(J5886=0,AND(J5886=1,K5886=1),AND(J5886=1,I5886="SBJ"),AND(J5886=1,I5886=0)),"?IN_FOCUS",IF(J5886&lt;=2,"?ACTIVATED",IF(J5886&lt;&gt;"","?FAMILIAR",IF(F5886="NEW",IF(ISNA(VLOOKUP(E5886,#REF!,1,FALSE())),"?TYPE_IDENTIFIABLE","?REFERENTIAL"),"_")))))</f>
        <v> </v>
      </c>
      <c r="H5886" s="25" t="str">
        <f>IF(J5886&lt;&gt;1,"",IF(I5886="SBJ","CB","?"))</f>
        <v> </v>
      </c>
      <c r="I5886" s="26" t="str">
        <f>IF(OR(E5886="",E5886="!!!",F5886="NEW"),"",INDEX(B5885:B$2,-1+SUMPRODUCT(MAX(ROW(E5885:E$2)*(E5886=E5885:E$2)))))</f>
        <v> </v>
      </c>
      <c r="J5886" s="26" t="str">
        <f>IF(OR(E5886="",E5886="!!!",F5886="NEW"),"",COUNTBLANK(OFFSET(A$1,,,SUMPRODUCT(MAX(ROW(E$2:E5886)*(E5886=E$2:E5886)))))-COUNTBLANK(OFFSET(A$1,,,SUMPRODUCT(MAX(ROW(E$1:E5885)*(E2=E$1:E5885))))))</f>
        <v> </v>
      </c>
      <c r="K5886" s="26" t="str">
        <f>IF(OR(E5886="",E5886="!!!",F5886="NEW"),"",INDEX(J$1:J5885,SUMPRODUCT(MAX(ROW(E$1:E5885)*(E5886=E$1:E5885)))))</f>
        <v> </v>
      </c>
      <c r="L5886" s="27"/>
    </row>
    <row r="5887" spans="1:12">
      <c r="A5887" s="20" t="s">
        <v>2035</v>
      </c>
      <c r="E5887" s="22">
        <f>IF(D5887="?OLD","!!!","")</f>
        <v/>
      </c>
      <c r="F5887" s="23" t="str">
        <f>IF(OR(E5887="",E5887="!!!"),"",IF(NOT(ISNA(VLOOKUP(E5887,E$1:E5886,1,FALSE()))),"OLD",IF(AND(E5887&lt;&gt;"",E5887&lt;&gt;"!!!"),"NEW","")))</f>
        <v> </v>
      </c>
      <c r="G5887" s="24" t="str">
        <f>IF(OR(E5887="",E5887="!!!"),"",IF(OR(J5887=0,AND(J5887=1,K5887=1),AND(J5887=1,I5887="SBJ"),AND(J5887=1,I5887=0)),"?IN_FOCUS",IF(J5887&lt;=2,"?ACTIVATED",IF(J5887&lt;&gt;"","?FAMILIAR",IF(F5887="NEW",IF(ISNA(VLOOKUP(E5887,#REF!,1,FALSE())),"?TYPE_IDENTIFIABLE","?REFERENTIAL"),"_")))))</f>
        <v> </v>
      </c>
      <c r="H5887" s="25" t="str">
        <f>IF(J5887&lt;&gt;1,"",IF(I5887="SBJ","CB","?"))</f>
        <v> </v>
      </c>
      <c r="I5887" s="26" t="str">
        <f>IF(OR(E5887="",E5887="!!!",F5887="NEW"),"",INDEX(B5886:B$2,-1+SUMPRODUCT(MAX(ROW(E5886:E$2)*(E5887=E5886:E$2)))))</f>
        <v> </v>
      </c>
      <c r="J5887" s="26" t="str">
        <f>IF(OR(E5887="",E5887="!!!",F5887="NEW"),"",COUNTBLANK(OFFSET(A$1,,,SUMPRODUCT(MAX(ROW(E$2:E5887)*(E5887=E$2:E5887)))))-COUNTBLANK(OFFSET(A$1,,,SUMPRODUCT(MAX(ROW(E$1:E5886)*(E2=E$1:E5886))))))</f>
        <v> </v>
      </c>
      <c r="K5887" s="26" t="str">
        <f>IF(OR(E5887="",E5887="!!!",F5887="NEW"),"",INDEX(J$1:J5886,SUMPRODUCT(MAX(ROW(E$1:E5886)*(E5887=E$1:E5886)))))</f>
        <v> </v>
      </c>
      <c r="L5887" s="27"/>
    </row>
    <row r="5888" spans="1:12">
      <c r="A5888" s="20" t="s">
        <v>1065</v>
      </c>
      <c r="B5888" s="21" t="s">
        <v>1119</v>
      </c>
      <c r="E5888" s="22">
        <f>IF(D5888="?OLD","!!!","")</f>
        <v/>
      </c>
      <c r="F5888" s="23" t="str">
        <f>IF(OR(E5888="",E5888="!!!"),"",IF(NOT(ISNA(VLOOKUP(E5888,E$1:E5887,1,FALSE()))),"OLD",IF(AND(E5888&lt;&gt;"",E5888&lt;&gt;"!!!"),"NEW","")))</f>
        <v> </v>
      </c>
      <c r="G5888" s="24" t="str">
        <f>IF(OR(E5888="",E5888="!!!"),"",IF(OR(J5888=0,AND(J5888=1,K5888=1),AND(J5888=1,I5888="SBJ"),AND(J5888=1,I5888=0)),"?IN_FOCUS",IF(J5888&lt;=2,"?ACTIVATED",IF(J5888&lt;&gt;"","?FAMILIAR",IF(F5888="NEW",IF(ISNA(VLOOKUP(E5888,#REF!,1,FALSE())),"?TYPE_IDENTIFIABLE","?REFERENTIAL"),"_")))))</f>
        <v> </v>
      </c>
      <c r="H5888" s="25" t="str">
        <f>IF(J5888&lt;&gt;1,"",IF(I5888="SBJ","CB","?"))</f>
        <v> </v>
      </c>
      <c r="I5888" s="26" t="str">
        <f>IF(OR(E5888="",E5888="!!!",F5888="NEW"),"",INDEX(B5887:B$2,-1+SUMPRODUCT(MAX(ROW(E5887:E$2)*(E5888=E5887:E$2)))))</f>
        <v> </v>
      </c>
      <c r="J5888" s="26" t="str">
        <f>IF(OR(E5888="",E5888="!!!",F5888="NEW"),"",COUNTBLANK(OFFSET(A$1,,,SUMPRODUCT(MAX(ROW(E$2:E5888)*(E5888=E$2:E5888)))))-COUNTBLANK(OFFSET(A$1,,,SUMPRODUCT(MAX(ROW(E$1:E5887)*(E2=E$1:E5887))))))</f>
        <v> </v>
      </c>
      <c r="K5888" s="26" t="str">
        <f>IF(OR(E5888="",E5888="!!!",F5888="NEW"),"",INDEX(J$1:J5887,SUMPRODUCT(MAX(ROW(E$1:E5887)*(E5888=E$1:E5887)))))</f>
        <v> </v>
      </c>
      <c r="L5888" s="27"/>
    </row>
    <row r="5889" spans="1:12">
      <c r="A5889" s="20" t="s">
        <v>2571</v>
      </c>
      <c r="E5889" s="22">
        <f>IF(D5889="?OLD","!!!","")</f>
        <v/>
      </c>
      <c r="F5889" s="23" t="str">
        <f>IF(OR(E5889="",E5889="!!!"),"",IF(NOT(ISNA(VLOOKUP(E5889,E$1:E5888,1,FALSE()))),"OLD",IF(AND(E5889&lt;&gt;"",E5889&lt;&gt;"!!!"),"NEW","")))</f>
        <v> </v>
      </c>
      <c r="G5889" s="24" t="str">
        <f>IF(OR(E5889="",E5889="!!!"),"",IF(OR(J5889=0,AND(J5889=1,K5889=1),AND(J5889=1,I5889="SBJ"),AND(J5889=1,I5889=0)),"?IN_FOCUS",IF(J5889&lt;=2,"?ACTIVATED",IF(J5889&lt;&gt;"","?FAMILIAR",IF(F5889="NEW",IF(ISNA(VLOOKUP(E5889,#REF!,1,FALSE())),"?TYPE_IDENTIFIABLE","?REFERENTIAL"),"_")))))</f>
        <v> </v>
      </c>
      <c r="H5889" s="25" t="str">
        <f>IF(J5889&lt;&gt;1,"",IF(I5889="SBJ","CB","?"))</f>
        <v> </v>
      </c>
      <c r="I5889" s="26" t="str">
        <f>IF(OR(E5889="",E5889="!!!",F5889="NEW"),"",INDEX(B5888:B$2,-1+SUMPRODUCT(MAX(ROW(E5888:E$2)*(E5889=E5888:E$2)))))</f>
        <v> </v>
      </c>
      <c r="J5889" s="26" t="str">
        <f>IF(OR(E5889="",E5889="!!!",F5889="NEW"),"",COUNTBLANK(OFFSET(A$1,,,SUMPRODUCT(MAX(ROW(E$2:E5889)*(E5889=E$2:E5889)))))-COUNTBLANK(OFFSET(A$1,,,SUMPRODUCT(MAX(ROW(E$1:E5888)*(E2=E$1:E5888))))))</f>
        <v> </v>
      </c>
      <c r="K5889" s="26" t="str">
        <f>IF(OR(E5889="",E5889="!!!",F5889="NEW"),"",INDEX(J$1:J5888,SUMPRODUCT(MAX(ROW(E$1:E5888)*(E5889=E$1:E5888)))))</f>
        <v> </v>
      </c>
      <c r="L5889" s="27"/>
    </row>
    <row r="5890" spans="1:12">
      <c r="A5890" s="20" t="s">
        <v>1450</v>
      </c>
      <c r="E5890" s="22">
        <f>IF(D5890="?OLD","!!!","")</f>
        <v/>
      </c>
      <c r="F5890" s="23" t="str">
        <f>IF(OR(E5890="",E5890="!!!"),"",IF(NOT(ISNA(VLOOKUP(E5890,E$1:E5889,1,FALSE()))),"OLD",IF(AND(E5890&lt;&gt;"",E5890&lt;&gt;"!!!"),"NEW","")))</f>
        <v> </v>
      </c>
      <c r="G5890" s="24" t="str">
        <f>IF(OR(E5890="",E5890="!!!"),"",IF(OR(J5890=0,AND(J5890=1,K5890=1),AND(J5890=1,I5890="SBJ"),AND(J5890=1,I5890=0)),"?IN_FOCUS",IF(J5890&lt;=2,"?ACTIVATED",IF(J5890&lt;&gt;"","?FAMILIAR",IF(F5890="NEW",IF(ISNA(VLOOKUP(E5890,#REF!,1,FALSE())),"?TYPE_IDENTIFIABLE","?REFERENTIAL"),"_")))))</f>
        <v> </v>
      </c>
      <c r="H5890" s="25" t="str">
        <f>IF(J5890&lt;&gt;1,"",IF(I5890="SBJ","CB","?"))</f>
        <v> </v>
      </c>
      <c r="I5890" s="26" t="str">
        <f>IF(OR(E5890="",E5890="!!!",F5890="NEW"),"",INDEX(B5889:B$2,-1+SUMPRODUCT(MAX(ROW(E5889:E$2)*(E5890=E5889:E$2)))))</f>
        <v> </v>
      </c>
      <c r="J5890" s="26" t="str">
        <f>IF(OR(E5890="",E5890="!!!",F5890="NEW"),"",COUNTBLANK(OFFSET(A$1,,,SUMPRODUCT(MAX(ROW(E$2:E5890)*(E5890=E$2:E5890)))))-COUNTBLANK(OFFSET(A$1,,,SUMPRODUCT(MAX(ROW(E$1:E5889)*(E2=E$1:E5889))))))</f>
        <v> </v>
      </c>
      <c r="K5890" s="26" t="str">
        <f>IF(OR(E5890="",E5890="!!!",F5890="NEW"),"",INDEX(J$1:J5889,SUMPRODUCT(MAX(ROW(E$1:E5889)*(E5890=E$1:E5889)))))</f>
        <v> </v>
      </c>
      <c r="L5890" s="27"/>
    </row>
    <row r="5891" spans="1:12">
      <c r="A5891" s="20" t="s">
        <v>1014</v>
      </c>
      <c r="E5891" s="22">
        <f>IF(D5891="?OLD","!!!","")</f>
        <v/>
      </c>
      <c r="F5891" s="23" t="str">
        <f>IF(OR(E5891="",E5891="!!!"),"",IF(NOT(ISNA(VLOOKUP(E5891,E$1:E5890,1,FALSE()))),"OLD",IF(AND(E5891&lt;&gt;"",E5891&lt;&gt;"!!!"),"NEW","")))</f>
        <v> </v>
      </c>
      <c r="G5891" s="24" t="str">
        <f>IF(OR(E5891="",E5891="!!!"),"",IF(OR(J5891=0,AND(J5891=1,K5891=1),AND(J5891=1,I5891="SBJ"),AND(J5891=1,I5891=0)),"?IN_FOCUS",IF(J5891&lt;=2,"?ACTIVATED",IF(J5891&lt;&gt;"","?FAMILIAR",IF(F5891="NEW",IF(ISNA(VLOOKUP(E5891,#REF!,1,FALSE())),"?TYPE_IDENTIFIABLE","?REFERENTIAL"),"_")))))</f>
        <v> </v>
      </c>
      <c r="H5891" s="25" t="str">
        <f>IF(J5891&lt;&gt;1,"",IF(I5891="SBJ","CB","?"))</f>
        <v> </v>
      </c>
      <c r="I5891" s="26" t="str">
        <f>IF(OR(E5891="",E5891="!!!",F5891="NEW"),"",INDEX(B5890:B$2,-1+SUMPRODUCT(MAX(ROW(E5890:E$2)*(E5891=E5890:E$2)))))</f>
        <v> </v>
      </c>
      <c r="J5891" s="26" t="str">
        <f>IF(OR(E5891="",E5891="!!!",F5891="NEW"),"",COUNTBLANK(OFFSET(A$1,,,SUMPRODUCT(MAX(ROW(E$2:E5891)*(E5891=E$2:E5891)))))-COUNTBLANK(OFFSET(A$1,,,SUMPRODUCT(MAX(ROW(E$1:E5890)*(E2=E$1:E5890))))))</f>
        <v> </v>
      </c>
      <c r="K5891" s="26" t="str">
        <f>IF(OR(E5891="",E5891="!!!",F5891="NEW"),"",INDEX(J$1:J5890,SUMPRODUCT(MAX(ROW(E$1:E5890)*(E5891=E$1:E5890)))))</f>
        <v> </v>
      </c>
      <c r="L5891" s="27"/>
    </row>
    <row r="5892" spans="1:12">
      <c r="A5892" s="20" t="s">
        <v>1020</v>
      </c>
      <c r="E5892" s="22">
        <f>IF(D5892="?OLD","!!!","")</f>
        <v/>
      </c>
      <c r="F5892" s="23" t="str">
        <f>IF(OR(E5892="",E5892="!!!"),"",IF(NOT(ISNA(VLOOKUP(E5892,E$1:E5891,1,FALSE()))),"OLD",IF(AND(E5892&lt;&gt;"",E5892&lt;&gt;"!!!"),"NEW","")))</f>
        <v> </v>
      </c>
      <c r="G5892" s="24" t="str">
        <f>IF(OR(E5892="",E5892="!!!"),"",IF(OR(J5892=0,AND(J5892=1,K5892=1),AND(J5892=1,I5892="SBJ"),AND(J5892=1,I5892=0)),"?IN_FOCUS",IF(J5892&lt;=2,"?ACTIVATED",IF(J5892&lt;&gt;"","?FAMILIAR",IF(F5892="NEW",IF(ISNA(VLOOKUP(E5892,#REF!,1,FALSE())),"?TYPE_IDENTIFIABLE","?REFERENTIAL"),"_")))))</f>
        <v> </v>
      </c>
      <c r="H5892" s="25" t="str">
        <f>IF(J5892&lt;&gt;1,"",IF(I5892="SBJ","CB","?"))</f>
        <v> </v>
      </c>
      <c r="I5892" s="26" t="str">
        <f>IF(OR(E5892="",E5892="!!!",F5892="NEW"),"",INDEX(B5891:B$2,-1+SUMPRODUCT(MAX(ROW(E5891:E$2)*(E5892=E5891:E$2)))))</f>
        <v> </v>
      </c>
      <c r="J5892" s="26" t="str">
        <f>IF(OR(E5892="",E5892="!!!",F5892="NEW"),"",COUNTBLANK(OFFSET(A$1,,,SUMPRODUCT(MAX(ROW(E$2:E5892)*(E5892=E$2:E5892)))))-COUNTBLANK(OFFSET(A$1,,,SUMPRODUCT(MAX(ROW(E$1:E5891)*(E2=E$1:E5891))))))</f>
        <v> </v>
      </c>
      <c r="K5892" s="26" t="str">
        <f>IF(OR(E5892="",E5892="!!!",F5892="NEW"),"",INDEX(J$1:J5891,SUMPRODUCT(MAX(ROW(E$1:E5891)*(E5892=E$1:E5891)))))</f>
        <v> </v>
      </c>
      <c r="L5892" s="27"/>
    </row>
    <row r="5893" spans="1:12">
      <c r="A5893" s="20" t="s">
        <v>1021</v>
      </c>
      <c r="B5893" s="21" t="s">
        <v>1033</v>
      </c>
      <c r="C5893" s="21" t="s">
        <v>1006</v>
      </c>
      <c r="D5893" s="21" t="s">
        <v>1007</v>
      </c>
      <c r="E5893" s="22">
        <f>IF(D5893="?OLD","!!!","")</f>
        <v/>
      </c>
      <c r="F5893" s="23" t="str">
        <f>IF(OR(E5893="",E5893="!!!"),"",IF(NOT(ISNA(VLOOKUP(E5893,E$1:E5892,1,FALSE()))),"OLD",IF(AND(E5893&lt;&gt;"",E5893&lt;&gt;"!!!"),"NEW","")))</f>
        <v> </v>
      </c>
      <c r="G5893" s="24" t="str">
        <f>IF(OR(E5893="",E5893="!!!"),"",IF(OR(J5893=0,AND(J5893=1,K5893=1),AND(J5893=1,I5893="SBJ"),AND(J5893=1,I5893=0)),"?IN_FOCUS",IF(J5893&lt;=2,"?ACTIVATED",IF(J5893&lt;&gt;"","?FAMILIAR",IF(F5893="NEW",IF(ISNA(VLOOKUP(E5893,#REF!,1,FALSE())),"?TYPE_IDENTIFIABLE","?REFERENTIAL"),"_")))))</f>
        <v> </v>
      </c>
      <c r="H5893" s="25" t="str">
        <f>IF(J5893&lt;&gt;1,"",IF(I5893="SBJ","CB","?"))</f>
        <v> </v>
      </c>
      <c r="I5893" s="26" t="str">
        <f>IF(OR(E5893="",E5893="!!!",F5893="NEW"),"",INDEX(B5892:B$2,-1+SUMPRODUCT(MAX(ROW(E5892:E$2)*(E5893=E5892:E$2)))))</f>
        <v> </v>
      </c>
      <c r="J5893" s="26" t="str">
        <f>IF(OR(E5893="",E5893="!!!",F5893="NEW"),"",COUNTBLANK(OFFSET(A$1,,,SUMPRODUCT(MAX(ROW(E$2:E5893)*(E5893=E$2:E5893)))))-COUNTBLANK(OFFSET(A$1,,,SUMPRODUCT(MAX(ROW(E$1:E5892)*(E2=E$1:E5892))))))</f>
        <v> </v>
      </c>
      <c r="K5893" s="26" t="str">
        <f>IF(OR(E5893="",E5893="!!!",F5893="NEW"),"",INDEX(J$1:J5892,SUMPRODUCT(MAX(ROW(E$1:E5892)*(E5893=E$1:E5892)))))</f>
        <v> </v>
      </c>
      <c r="L5893" s="27"/>
    </row>
    <row r="5894" spans="1:12">
      <c r="A5894" s="20" t="s">
        <v>1018</v>
      </c>
      <c r="E5894" s="22">
        <f>IF(D5894="?OLD","!!!","")</f>
        <v/>
      </c>
      <c r="F5894" s="23" t="str">
        <f>IF(OR(E5894="",E5894="!!!"),"",IF(NOT(ISNA(VLOOKUP(E5894,E$1:E5893,1,FALSE()))),"OLD",IF(AND(E5894&lt;&gt;"",E5894&lt;&gt;"!!!"),"NEW","")))</f>
        <v> </v>
      </c>
      <c r="G5894" s="24" t="str">
        <f>IF(OR(E5894="",E5894="!!!"),"",IF(OR(J5894=0,AND(J5894=1,K5894=1),AND(J5894=1,I5894="SBJ"),AND(J5894=1,I5894=0)),"?IN_FOCUS",IF(J5894&lt;=2,"?ACTIVATED",IF(J5894&lt;&gt;"","?FAMILIAR",IF(F5894="NEW",IF(ISNA(VLOOKUP(E5894,#REF!,1,FALSE())),"?TYPE_IDENTIFIABLE","?REFERENTIAL"),"_")))))</f>
        <v> </v>
      </c>
      <c r="H5894" s="25" t="str">
        <f>IF(J5894&lt;&gt;1,"",IF(I5894="SBJ","CB","?"))</f>
        <v> </v>
      </c>
      <c r="I5894" s="26" t="str">
        <f>IF(OR(E5894="",E5894="!!!",F5894="NEW"),"",INDEX(B5893:B$2,-1+SUMPRODUCT(MAX(ROW(E5893:E$2)*(E5894=E5893:E$2)))))</f>
        <v> </v>
      </c>
      <c r="J5894" s="26" t="str">
        <f>IF(OR(E5894="",E5894="!!!",F5894="NEW"),"",COUNTBLANK(OFFSET(A$1,,,SUMPRODUCT(MAX(ROW(E$2:E5894)*(E5894=E$2:E5894)))))-COUNTBLANK(OFFSET(A$1,,,SUMPRODUCT(MAX(ROW(E$1:E5893)*(E2=E$1:E5893))))))</f>
        <v> </v>
      </c>
      <c r="K5894" s="26" t="str">
        <f>IF(OR(E5894="",E5894="!!!",F5894="NEW"),"",INDEX(J$1:J5893,SUMPRODUCT(MAX(ROW(E$1:E5893)*(E5894=E$1:E5893)))))</f>
        <v> </v>
      </c>
      <c r="L5894" s="27"/>
    </row>
    <row r="5895" spans="1:12">
      <c r="A5895" s="20" t="s">
        <v>1450</v>
      </c>
      <c r="E5895" s="22">
        <f>IF(D5895="?OLD","!!!","")</f>
        <v/>
      </c>
      <c r="F5895" s="23" t="str">
        <f>IF(OR(E5895="",E5895="!!!"),"",IF(NOT(ISNA(VLOOKUP(E5895,E$1:E5894,1,FALSE()))),"OLD",IF(AND(E5895&lt;&gt;"",E5895&lt;&gt;"!!!"),"NEW","")))</f>
        <v> </v>
      </c>
      <c r="G5895" s="24" t="str">
        <f>IF(OR(E5895="",E5895="!!!"),"",IF(OR(J5895=0,AND(J5895=1,K5895=1),AND(J5895=1,I5895="SBJ"),AND(J5895=1,I5895=0)),"?IN_FOCUS",IF(J5895&lt;=2,"?ACTIVATED",IF(J5895&lt;&gt;"","?FAMILIAR",IF(F5895="NEW",IF(ISNA(VLOOKUP(E5895,#REF!,1,FALSE())),"?TYPE_IDENTIFIABLE","?REFERENTIAL"),"_")))))</f>
        <v> </v>
      </c>
      <c r="H5895" s="25" t="str">
        <f>IF(J5895&lt;&gt;1,"",IF(I5895="SBJ","CB","?"))</f>
        <v> </v>
      </c>
      <c r="I5895" s="26" t="str">
        <f>IF(OR(E5895="",E5895="!!!",F5895="NEW"),"",INDEX(B5894:B$2,-1+SUMPRODUCT(MAX(ROW(E5894:E$2)*(E5895=E5894:E$2)))))</f>
        <v> </v>
      </c>
      <c r="J5895" s="26" t="str">
        <f>IF(OR(E5895="",E5895="!!!",F5895="NEW"),"",COUNTBLANK(OFFSET(A$1,,,SUMPRODUCT(MAX(ROW(E$2:E5895)*(E5895=E$2:E5895)))))-COUNTBLANK(OFFSET(A$1,,,SUMPRODUCT(MAX(ROW(E$1:E5894)*(E2=E$1:E5894))))))</f>
        <v> </v>
      </c>
      <c r="K5895" s="26" t="str">
        <f>IF(OR(E5895="",E5895="!!!",F5895="NEW"),"",INDEX(J$1:J5894,SUMPRODUCT(MAX(ROW(E$1:E5894)*(E5895=E$1:E5894)))))</f>
        <v> </v>
      </c>
      <c r="L5895" s="27"/>
    </row>
    <row r="5896" spans="1:12">
      <c r="A5896" s="20" t="s">
        <v>1014</v>
      </c>
      <c r="E5896" s="22">
        <f>IF(D5896="?OLD","!!!","")</f>
        <v/>
      </c>
      <c r="F5896" s="23" t="str">
        <f>IF(OR(E5896="",E5896="!!!"),"",IF(NOT(ISNA(VLOOKUP(E5896,E$1:E5895,1,FALSE()))),"OLD",IF(AND(E5896&lt;&gt;"",E5896&lt;&gt;"!!!"),"NEW","")))</f>
        <v> </v>
      </c>
      <c r="G5896" s="24" t="str">
        <f>IF(OR(E5896="",E5896="!!!"),"",IF(OR(J5896=0,AND(J5896=1,K5896=1),AND(J5896=1,I5896="SBJ"),AND(J5896=1,I5896=0)),"?IN_FOCUS",IF(J5896&lt;=2,"?ACTIVATED",IF(J5896&lt;&gt;"","?FAMILIAR",IF(F5896="NEW",IF(ISNA(VLOOKUP(E5896,#REF!,1,FALSE())),"?TYPE_IDENTIFIABLE","?REFERENTIAL"),"_")))))</f>
        <v> </v>
      </c>
      <c r="H5896" s="25" t="str">
        <f>IF(J5896&lt;&gt;1,"",IF(I5896="SBJ","CB","?"))</f>
        <v> </v>
      </c>
      <c r="I5896" s="26" t="str">
        <f>IF(OR(E5896="",E5896="!!!",F5896="NEW"),"",INDEX(B5895:B$2,-1+SUMPRODUCT(MAX(ROW(E5895:E$2)*(E5896=E5895:E$2)))))</f>
        <v> </v>
      </c>
      <c r="J5896" s="26" t="str">
        <f>IF(OR(E5896="",E5896="!!!",F5896="NEW"),"",COUNTBLANK(OFFSET(A$1,,,SUMPRODUCT(MAX(ROW(E$2:E5896)*(E5896=E$2:E5896)))))-COUNTBLANK(OFFSET(A$1,,,SUMPRODUCT(MAX(ROW(E$1:E5895)*(E2=E$1:E5895))))))</f>
        <v> </v>
      </c>
      <c r="K5896" s="26" t="str">
        <f>IF(OR(E5896="",E5896="!!!",F5896="NEW"),"",INDEX(J$1:J5895,SUMPRODUCT(MAX(ROW(E$1:E5895)*(E5896=E$1:E5895)))))</f>
        <v> </v>
      </c>
      <c r="L5896" s="27"/>
    </row>
    <row r="5897" spans="1:12">
      <c r="A5897" s="20" t="s">
        <v>1027</v>
      </c>
      <c r="E5897" s="22">
        <f>IF(D5897="?OLD","!!!","")</f>
        <v/>
      </c>
      <c r="F5897" s="23" t="str">
        <f>IF(OR(E5897="",E5897="!!!"),"",IF(NOT(ISNA(VLOOKUP(E5897,E$1:E5896,1,FALSE()))),"OLD",IF(AND(E5897&lt;&gt;"",E5897&lt;&gt;"!!!"),"NEW","")))</f>
        <v> </v>
      </c>
      <c r="G5897" s="24" t="str">
        <f>IF(OR(E5897="",E5897="!!!"),"",IF(OR(J5897=0,AND(J5897=1,K5897=1),AND(J5897=1,I5897="SBJ"),AND(J5897=1,I5897=0)),"?IN_FOCUS",IF(J5897&lt;=2,"?ACTIVATED",IF(J5897&lt;&gt;"","?FAMILIAR",IF(F5897="NEW",IF(ISNA(VLOOKUP(E5897,#REF!,1,FALSE())),"?TYPE_IDENTIFIABLE","?REFERENTIAL"),"_")))))</f>
        <v> </v>
      </c>
      <c r="H5897" s="25" t="str">
        <f>IF(J5897&lt;&gt;1,"",IF(I5897="SBJ","CB","?"))</f>
        <v> </v>
      </c>
      <c r="I5897" s="26" t="str">
        <f>IF(OR(E5897="",E5897="!!!",F5897="NEW"),"",INDEX(B5896:B$2,-1+SUMPRODUCT(MAX(ROW(E5896:E$2)*(E5897=E5896:E$2)))))</f>
        <v> </v>
      </c>
      <c r="J5897" s="26" t="str">
        <f>IF(OR(E5897="",E5897="!!!",F5897="NEW"),"",COUNTBLANK(OFFSET(A$1,,,SUMPRODUCT(MAX(ROW(E$2:E5897)*(E5897=E$2:E5897)))))-COUNTBLANK(OFFSET(A$1,,,SUMPRODUCT(MAX(ROW(E$1:E5896)*(E2=E$1:E5896))))))</f>
        <v> </v>
      </c>
      <c r="K5897" s="26" t="str">
        <f>IF(OR(E5897="",E5897="!!!",F5897="NEW"),"",INDEX(J$1:J5896,SUMPRODUCT(MAX(ROW(E$1:E5896)*(E5897=E$1:E5896)))))</f>
        <v> </v>
      </c>
      <c r="L5897" s="27"/>
    </row>
    <row r="5898" spans="1:12">
      <c r="A5898" s="20" t="s">
        <v>2572</v>
      </c>
      <c r="B5898" s="21" t="s">
        <v>1033</v>
      </c>
      <c r="C5898" s="21" t="s">
        <v>1017</v>
      </c>
      <c r="D5898" s="21" t="s">
        <v>1007</v>
      </c>
      <c r="E5898" s="22">
        <f>IF(D5898="?OLD","!!!","")</f>
        <v/>
      </c>
      <c r="F5898" s="23" t="str">
        <f>IF(OR(E5898="",E5898="!!!"),"",IF(NOT(ISNA(VLOOKUP(E5898,E$1:E5897,1,FALSE()))),"OLD",IF(AND(E5898&lt;&gt;"",E5898&lt;&gt;"!!!"),"NEW","")))</f>
        <v> </v>
      </c>
      <c r="G5898" s="24" t="str">
        <f>IF(OR(E5898="",E5898="!!!"),"",IF(OR(J5898=0,AND(J5898=1,K5898=1),AND(J5898=1,I5898="SBJ"),AND(J5898=1,I5898=0)),"?IN_FOCUS",IF(J5898&lt;=2,"?ACTIVATED",IF(J5898&lt;&gt;"","?FAMILIAR",IF(F5898="NEW",IF(ISNA(VLOOKUP(E5898,#REF!,1,FALSE())),"?TYPE_IDENTIFIABLE","?REFERENTIAL"),"_")))))</f>
        <v> </v>
      </c>
      <c r="H5898" s="25" t="str">
        <f>IF(J5898&lt;&gt;1,"",IF(I5898="SBJ","CB","?"))</f>
        <v> </v>
      </c>
      <c r="I5898" s="26" t="str">
        <f>IF(OR(E5898="",E5898="!!!",F5898="NEW"),"",INDEX(B5897:B$2,-1+SUMPRODUCT(MAX(ROW(E5897:E$2)*(E5898=E5897:E$2)))))</f>
        <v> </v>
      </c>
      <c r="J5898" s="26" t="str">
        <f>IF(OR(E5898="",E5898="!!!",F5898="NEW"),"",COUNTBLANK(OFFSET(A$1,,,SUMPRODUCT(MAX(ROW(E$2:E5898)*(E5898=E$2:E5898)))))-COUNTBLANK(OFFSET(A$1,,,SUMPRODUCT(MAX(ROW(E$1:E5897)*(E2=E$1:E5897))))))</f>
        <v> </v>
      </c>
      <c r="K5898" s="26" t="str">
        <f>IF(OR(E5898="",E5898="!!!",F5898="NEW"),"",INDEX(J$1:J5897,SUMPRODUCT(MAX(ROW(E$1:E5897)*(E5898=E$1:E5897)))))</f>
        <v> </v>
      </c>
      <c r="L5898" s="27"/>
    </row>
    <row r="5899" spans="1:12">
      <c r="A5899" s="20" t="s">
        <v>2573</v>
      </c>
      <c r="E5899" s="22">
        <f>IF(D5899="?OLD","!!!","")</f>
        <v/>
      </c>
      <c r="F5899" s="23" t="str">
        <f>IF(OR(E5899="",E5899="!!!"),"",IF(NOT(ISNA(VLOOKUP(E5899,E$1:E5898,1,FALSE()))),"OLD",IF(AND(E5899&lt;&gt;"",E5899&lt;&gt;"!!!"),"NEW","")))</f>
        <v> </v>
      </c>
      <c r="G5899" s="24" t="str">
        <f>IF(OR(E5899="",E5899="!!!"),"",IF(OR(J5899=0,AND(J5899=1,K5899=1),AND(J5899=1,I5899="SBJ"),AND(J5899=1,I5899=0)),"?IN_FOCUS",IF(J5899&lt;=2,"?ACTIVATED",IF(J5899&lt;&gt;"","?FAMILIAR",IF(F5899="NEW",IF(ISNA(VLOOKUP(E5899,#REF!,1,FALSE())),"?TYPE_IDENTIFIABLE","?REFERENTIAL"),"_")))))</f>
        <v> </v>
      </c>
      <c r="H5899" s="25" t="str">
        <f>IF(J5899&lt;&gt;1,"",IF(I5899="SBJ","CB","?"))</f>
        <v> </v>
      </c>
      <c r="I5899" s="26" t="str">
        <f>IF(OR(E5899="",E5899="!!!",F5899="NEW"),"",INDEX(B5898:B$2,-1+SUMPRODUCT(MAX(ROW(E5898:E$2)*(E5899=E5898:E$2)))))</f>
        <v> </v>
      </c>
      <c r="J5899" s="26" t="str">
        <f>IF(OR(E5899="",E5899="!!!",F5899="NEW"),"",COUNTBLANK(OFFSET(A$1,,,SUMPRODUCT(MAX(ROW(E$2:E5899)*(E5899=E$2:E5899)))))-COUNTBLANK(OFFSET(A$1,,,SUMPRODUCT(MAX(ROW(E$1:E5898)*(E2=E$1:E5898))))))</f>
        <v> </v>
      </c>
      <c r="K5899" s="26" t="str">
        <f>IF(OR(E5899="",E5899="!!!",F5899="NEW"),"",INDEX(J$1:J5898,SUMPRODUCT(MAX(ROW(E$1:E5898)*(E5899=E$1:E5898)))))</f>
        <v> </v>
      </c>
      <c r="L5899" s="27"/>
    </row>
    <row r="5900" spans="1:12">
      <c r="A5900" s="20" t="s">
        <v>1018</v>
      </c>
      <c r="E5900" s="22">
        <f>IF(D5900="?OLD","!!!","")</f>
        <v/>
      </c>
      <c r="F5900" s="23" t="str">
        <f>IF(OR(E5900="",E5900="!!!"),"",IF(NOT(ISNA(VLOOKUP(E5900,E$1:E5899,1,FALSE()))),"OLD",IF(AND(E5900&lt;&gt;"",E5900&lt;&gt;"!!!"),"NEW","")))</f>
        <v> </v>
      </c>
      <c r="G5900" s="24" t="str">
        <f>IF(OR(E5900="",E5900="!!!"),"",IF(OR(J5900=0,AND(J5900=1,K5900=1),AND(J5900=1,I5900="SBJ"),AND(J5900=1,I5900=0)),"?IN_FOCUS",IF(J5900&lt;=2,"?ACTIVATED",IF(J5900&lt;&gt;"","?FAMILIAR",IF(F5900="NEW",IF(ISNA(VLOOKUP(E5900,#REF!,1,FALSE())),"?TYPE_IDENTIFIABLE","?REFERENTIAL"),"_")))))</f>
        <v> </v>
      </c>
      <c r="H5900" s="25" t="str">
        <f>IF(J5900&lt;&gt;1,"",IF(I5900="SBJ","CB","?"))</f>
        <v> </v>
      </c>
      <c r="I5900" s="26" t="str">
        <f>IF(OR(E5900="",E5900="!!!",F5900="NEW"),"",INDEX(B5899:B$2,-1+SUMPRODUCT(MAX(ROW(E5899:E$2)*(E5900=E5899:E$2)))))</f>
        <v> </v>
      </c>
      <c r="J5900" s="26" t="str">
        <f>IF(OR(E5900="",E5900="!!!",F5900="NEW"),"",COUNTBLANK(OFFSET(A$1,,,SUMPRODUCT(MAX(ROW(E$2:E5900)*(E5900=E$2:E5900)))))-COUNTBLANK(OFFSET(A$1,,,SUMPRODUCT(MAX(ROW(E$1:E5899)*(E2=E$1:E5899))))))</f>
        <v> </v>
      </c>
      <c r="K5900" s="26" t="str">
        <f>IF(OR(E5900="",E5900="!!!",F5900="NEW"),"",INDEX(J$1:J5899,SUMPRODUCT(MAX(ROW(E$1:E5899)*(E5900=E$1:E5899)))))</f>
        <v> </v>
      </c>
      <c r="L5900" s="27"/>
    </row>
    <row r="5901" spans="1:12">
      <c r="A5901" s="20" t="s">
        <v>1027</v>
      </c>
      <c r="B5901" s="21" t="s">
        <v>1005</v>
      </c>
      <c r="C5901" s="21" t="s">
        <v>1073</v>
      </c>
      <c r="D5901" s="21" t="s">
        <v>1007</v>
      </c>
      <c r="E5901" s="22">
        <f>IF(D5901="?OLD","!!!","")</f>
        <v/>
      </c>
      <c r="F5901" s="23" t="str">
        <f>IF(OR(E5901="",E5901="!!!"),"",IF(NOT(ISNA(VLOOKUP(E5901,E$1:E5900,1,FALSE()))),"OLD",IF(AND(E5901&lt;&gt;"",E5901&lt;&gt;"!!!"),"NEW","")))</f>
        <v> </v>
      </c>
      <c r="G5901" s="24" t="str">
        <f>IF(OR(E5901="",E5901="!!!"),"",IF(OR(J5901=0,AND(J5901=1,K5901=1),AND(J5901=1,I5901="SBJ"),AND(J5901=1,I5901=0)),"?IN_FOCUS",IF(J5901&lt;=2,"?ACTIVATED",IF(J5901&lt;&gt;"","?FAMILIAR",IF(F5901="NEW",IF(ISNA(VLOOKUP(E5901,#REF!,1,FALSE())),"?TYPE_IDENTIFIABLE","?REFERENTIAL"),"_")))))</f>
        <v> </v>
      </c>
      <c r="H5901" s="25" t="str">
        <f>IF(J5901&lt;&gt;1,"",IF(I5901="SBJ","CB","?"))</f>
        <v> </v>
      </c>
      <c r="I5901" s="26" t="str">
        <f>IF(OR(E5901="",E5901="!!!",F5901="NEW"),"",INDEX(B5900:B$2,-1+SUMPRODUCT(MAX(ROW(E5900:E$2)*(E5901=E5900:E$2)))))</f>
        <v> </v>
      </c>
      <c r="J5901" s="26" t="str">
        <f>IF(OR(E5901="",E5901="!!!",F5901="NEW"),"",COUNTBLANK(OFFSET(A$1,,,SUMPRODUCT(MAX(ROW(E$2:E5901)*(E5901=E$2:E5901)))))-COUNTBLANK(OFFSET(A$1,,,SUMPRODUCT(MAX(ROW(E$1:E5900)*(E2=E$1:E5900))))))</f>
        <v> </v>
      </c>
      <c r="K5901" s="26" t="str">
        <f>IF(OR(E5901="",E5901="!!!",F5901="NEW"),"",INDEX(J$1:J5900,SUMPRODUCT(MAX(ROW(E$1:E5900)*(E5901=E$1:E5900)))))</f>
        <v> </v>
      </c>
      <c r="L5901" s="27"/>
    </row>
    <row r="5902" spans="1:12">
      <c r="A5902" s="20" t="s">
        <v>1065</v>
      </c>
      <c r="B5902" s="21" t="s">
        <v>1154</v>
      </c>
      <c r="E5902" s="22">
        <f>IF(D5902="?OLD","!!!","")</f>
        <v/>
      </c>
      <c r="F5902" s="23" t="str">
        <f>IF(OR(E5902="",E5902="!!!"),"",IF(NOT(ISNA(VLOOKUP(E5902,E$1:E5901,1,FALSE()))),"OLD",IF(AND(E5902&lt;&gt;"",E5902&lt;&gt;"!!!"),"NEW","")))</f>
        <v> </v>
      </c>
      <c r="G5902" s="24" t="str">
        <f>IF(OR(E5902="",E5902="!!!"),"",IF(OR(J5902=0,AND(J5902=1,K5902=1),AND(J5902=1,I5902="SBJ"),AND(J5902=1,I5902=0)),"?IN_FOCUS",IF(J5902&lt;=2,"?ACTIVATED",IF(J5902&lt;&gt;"","?FAMILIAR",IF(F5902="NEW",IF(ISNA(VLOOKUP(E5902,#REF!,1,FALSE())),"?TYPE_IDENTIFIABLE","?REFERENTIAL"),"_")))))</f>
        <v> </v>
      </c>
      <c r="H5902" s="25" t="str">
        <f>IF(J5902&lt;&gt;1,"",IF(I5902="SBJ","CB","?"))</f>
        <v> </v>
      </c>
      <c r="I5902" s="26" t="str">
        <f>IF(OR(E5902="",E5902="!!!",F5902="NEW"),"",INDEX(B5901:B$2,-1+SUMPRODUCT(MAX(ROW(E5901:E$2)*(E5902=E5901:E$2)))))</f>
        <v> </v>
      </c>
      <c r="J5902" s="26" t="str">
        <f>IF(OR(E5902="",E5902="!!!",F5902="NEW"),"",COUNTBLANK(OFFSET(A$1,,,SUMPRODUCT(MAX(ROW(E$2:E5902)*(E5902=E$2:E5902)))))-COUNTBLANK(OFFSET(A$1,,,SUMPRODUCT(MAX(ROW(E$1:E5901)*(E2=E$1:E5901))))))</f>
        <v> </v>
      </c>
      <c r="K5902" s="26" t="str">
        <f>IF(OR(E5902="",E5902="!!!",F5902="NEW"),"",INDEX(J$1:J5901,SUMPRODUCT(MAX(ROW(E$1:E5901)*(E5902=E$1:E5901)))))</f>
        <v> </v>
      </c>
      <c r="L5902" s="27"/>
    </row>
    <row r="5903" spans="1:12">
      <c r="A5903" s="20" t="s">
        <v>2432</v>
      </c>
      <c r="E5903" s="22">
        <f>IF(D5903="?OLD","!!!","")</f>
        <v/>
      </c>
      <c r="F5903" s="23" t="str">
        <f>IF(OR(E5903="",E5903="!!!"),"",IF(NOT(ISNA(VLOOKUP(E5903,E$1:E5902,1,FALSE()))),"OLD",IF(AND(E5903&lt;&gt;"",E5903&lt;&gt;"!!!"),"NEW","")))</f>
        <v> </v>
      </c>
      <c r="G5903" s="24" t="str">
        <f>IF(OR(E5903="",E5903="!!!"),"",IF(OR(J5903=0,AND(J5903=1,K5903=1),AND(J5903=1,I5903="SBJ"),AND(J5903=1,I5903=0)),"?IN_FOCUS",IF(J5903&lt;=2,"?ACTIVATED",IF(J5903&lt;&gt;"","?FAMILIAR",IF(F5903="NEW",IF(ISNA(VLOOKUP(E5903,#REF!,1,FALSE())),"?TYPE_IDENTIFIABLE","?REFERENTIAL"),"_")))))</f>
        <v> </v>
      </c>
      <c r="H5903" s="25" t="str">
        <f>IF(J5903&lt;&gt;1,"",IF(I5903="SBJ","CB","?"))</f>
        <v> </v>
      </c>
      <c r="I5903" s="26" t="str">
        <f>IF(OR(E5903="",E5903="!!!",F5903="NEW"),"",INDEX(B5902:B$2,-1+SUMPRODUCT(MAX(ROW(E5902:E$2)*(E5903=E5902:E$2)))))</f>
        <v> </v>
      </c>
      <c r="J5903" s="26" t="str">
        <f>IF(OR(E5903="",E5903="!!!",F5903="NEW"),"",COUNTBLANK(OFFSET(A$1,,,SUMPRODUCT(MAX(ROW(E$2:E5903)*(E5903=E$2:E5903)))))-COUNTBLANK(OFFSET(A$1,,,SUMPRODUCT(MAX(ROW(E$1:E5902)*(E2=E$1:E5902))))))</f>
        <v> </v>
      </c>
      <c r="K5903" s="26" t="str">
        <f>IF(OR(E5903="",E5903="!!!",F5903="NEW"),"",INDEX(J$1:J5902,SUMPRODUCT(MAX(ROW(E$1:E5902)*(E5903=E$1:E5902)))))</f>
        <v> </v>
      </c>
      <c r="L5903" s="27"/>
    </row>
    <row r="5904" spans="1:12">
      <c r="A5904" s="20" t="s">
        <v>2574</v>
      </c>
      <c r="E5904" s="22">
        <f>IF(D5904="?OLD","!!!","")</f>
        <v/>
      </c>
      <c r="F5904" s="23" t="str">
        <f>IF(OR(E5904="",E5904="!!!"),"",IF(NOT(ISNA(VLOOKUP(E5904,E$1:E5903,1,FALSE()))),"OLD",IF(AND(E5904&lt;&gt;"",E5904&lt;&gt;"!!!"),"NEW","")))</f>
        <v> </v>
      </c>
      <c r="G5904" s="24" t="str">
        <f>IF(OR(E5904="",E5904="!!!"),"",IF(OR(J5904=0,AND(J5904=1,K5904=1),AND(J5904=1,I5904="SBJ"),AND(J5904=1,I5904=0)),"?IN_FOCUS",IF(J5904&lt;=2,"?ACTIVATED",IF(J5904&lt;&gt;"","?FAMILIAR",IF(F5904="NEW",IF(ISNA(VLOOKUP(E5904,#REF!,1,FALSE())),"?TYPE_IDENTIFIABLE","?REFERENTIAL"),"_")))))</f>
        <v> </v>
      </c>
      <c r="H5904" s="25" t="str">
        <f>IF(J5904&lt;&gt;1,"",IF(I5904="SBJ","CB","?"))</f>
        <v> </v>
      </c>
      <c r="I5904" s="26" t="str">
        <f>IF(OR(E5904="",E5904="!!!",F5904="NEW"),"",INDEX(B5903:B$2,-1+SUMPRODUCT(MAX(ROW(E5903:E$2)*(E5904=E5903:E$2)))))</f>
        <v> </v>
      </c>
      <c r="J5904" s="26" t="str">
        <f>IF(OR(E5904="",E5904="!!!",F5904="NEW"),"",COUNTBLANK(OFFSET(A$1,,,SUMPRODUCT(MAX(ROW(E$2:E5904)*(E5904=E$2:E5904)))))-COUNTBLANK(OFFSET(A$1,,,SUMPRODUCT(MAX(ROW(E$1:E5903)*(E2=E$1:E5903))))))</f>
        <v> </v>
      </c>
      <c r="K5904" s="26" t="str">
        <f>IF(OR(E5904="",E5904="!!!",F5904="NEW"),"",INDEX(J$1:J5903,SUMPRODUCT(MAX(ROW(E$1:E5903)*(E5904=E$1:E5903)))))</f>
        <v> </v>
      </c>
      <c r="L5904" s="27"/>
    </row>
    <row r="5905" spans="1:12">
      <c r="A5905" s="20" t="s">
        <v>102</v>
      </c>
      <c r="E5905" s="22">
        <f>IF(D5905="?OLD","!!!","")</f>
        <v/>
      </c>
      <c r="F5905" s="23" t="str">
        <f>IF(OR(E5905="",E5905="!!!"),"",IF(NOT(ISNA(VLOOKUP(E5905,E$1:E5904,1,FALSE()))),"OLD",IF(AND(E5905&lt;&gt;"",E5905&lt;&gt;"!!!"),"NEW","")))</f>
        <v> </v>
      </c>
      <c r="G5905" s="24" t="str">
        <f>IF(OR(E5905="",E5905="!!!"),"",IF(OR(J5905=0,AND(J5905=1,K5905=1),AND(J5905=1,I5905="SBJ"),AND(J5905=1,I5905=0)),"?IN_FOCUS",IF(J5905&lt;=2,"?ACTIVATED",IF(J5905&lt;&gt;"","?FAMILIAR",IF(F5905="NEW",IF(ISNA(VLOOKUP(E5905,#REF!,1,FALSE())),"?TYPE_IDENTIFIABLE","?REFERENTIAL"),"_")))))</f>
        <v> </v>
      </c>
      <c r="H5905" s="25" t="str">
        <f>IF(J5905&lt;&gt;1,"",IF(I5905="SBJ","CB","?"))</f>
        <v> </v>
      </c>
      <c r="I5905" s="26" t="str">
        <f>IF(OR(E5905="",E5905="!!!",F5905="NEW"),"",INDEX(B5904:B$2,-1+SUMPRODUCT(MAX(ROW(E5904:E$2)*(E5905=E5904:E$2)))))</f>
        <v> </v>
      </c>
      <c r="J5905" s="26" t="str">
        <f>IF(OR(E5905="",E5905="!!!",F5905="NEW"),"",COUNTBLANK(OFFSET(A$1,,,SUMPRODUCT(MAX(ROW(E$2:E5905)*(E5905=E$2:E5905)))))-COUNTBLANK(OFFSET(A$1,,,SUMPRODUCT(MAX(ROW(E$1:E5904)*(E2=E$1:E5904))))))</f>
        <v> </v>
      </c>
      <c r="K5905" s="26" t="str">
        <f>IF(OR(E5905="",E5905="!!!",F5905="NEW"),"",INDEX(J$1:J5904,SUMPRODUCT(MAX(ROW(E$1:E5904)*(E5905=E$1:E5904)))))</f>
        <v> </v>
      </c>
      <c r="L5905" s="27"/>
    </row>
    <row r="5906" spans="1:12">
      <c r="A5906" s="20" t="s">
        <v>1183</v>
      </c>
      <c r="B5906" s="21" t="s">
        <v>1187</v>
      </c>
      <c r="C5906" s="21" t="s">
        <v>1017</v>
      </c>
      <c r="D5906" s="21" t="s">
        <v>1007</v>
      </c>
      <c r="E5906" s="22">
        <f>IF(D5906="?OLD","!!!","")</f>
        <v/>
      </c>
      <c r="F5906" s="23" t="str">
        <f>IF(OR(E5906="",E5906="!!!"),"",IF(NOT(ISNA(VLOOKUP(E5906,E$1:E5905,1,FALSE()))),"OLD",IF(AND(E5906&lt;&gt;"",E5906&lt;&gt;"!!!"),"NEW","")))</f>
        <v> </v>
      </c>
      <c r="G5906" s="24" t="str">
        <f>IF(OR(E5906="",E5906="!!!"),"",IF(OR(J5906=0,AND(J5906=1,K5906=1),AND(J5906=1,I5906="SBJ"),AND(J5906=1,I5906=0)),"?IN_FOCUS",IF(J5906&lt;=2,"?ACTIVATED",IF(J5906&lt;&gt;"","?FAMILIAR",IF(F5906="NEW",IF(ISNA(VLOOKUP(E5906,#REF!,1,FALSE())),"?TYPE_IDENTIFIABLE","?REFERENTIAL"),"_")))))</f>
        <v> </v>
      </c>
      <c r="H5906" s="25" t="str">
        <f>IF(J5906&lt;&gt;1,"",IF(I5906="SBJ","CB","?"))</f>
        <v> </v>
      </c>
      <c r="I5906" s="26" t="str">
        <f>IF(OR(E5906="",E5906="!!!",F5906="NEW"),"",INDEX(B5905:B$2,-1+SUMPRODUCT(MAX(ROW(E5905:E$2)*(E5906=E5905:E$2)))))</f>
        <v> </v>
      </c>
      <c r="J5906" s="26" t="str">
        <f>IF(OR(E5906="",E5906="!!!",F5906="NEW"),"",COUNTBLANK(OFFSET(A$1,,,SUMPRODUCT(MAX(ROW(E$2:E5906)*(E5906=E$2:E5906)))))-COUNTBLANK(OFFSET(A$1,,,SUMPRODUCT(MAX(ROW(E$1:E5905)*(E2=E$1:E5905))))))</f>
        <v> </v>
      </c>
      <c r="K5906" s="26" t="str">
        <f>IF(OR(E5906="",E5906="!!!",F5906="NEW"),"",INDEX(J$1:J5905,SUMPRODUCT(MAX(ROW(E$1:E5905)*(E5906=E$1:E5905)))))</f>
        <v> </v>
      </c>
      <c r="L5906" s="27"/>
    </row>
    <row r="5907" spans="1:12">
      <c r="A5907" s="20" t="s">
        <v>1018</v>
      </c>
      <c r="E5907" s="22">
        <f>IF(D5907="?OLD","!!!","")</f>
        <v/>
      </c>
      <c r="F5907" s="23" t="str">
        <f>IF(OR(E5907="",E5907="!!!"),"",IF(NOT(ISNA(VLOOKUP(E5907,E$1:E5906,1,FALSE()))),"OLD",IF(AND(E5907&lt;&gt;"",E5907&lt;&gt;"!!!"),"NEW","")))</f>
        <v> </v>
      </c>
      <c r="G5907" s="24" t="str">
        <f>IF(OR(E5907="",E5907="!!!"),"",IF(OR(J5907=0,AND(J5907=1,K5907=1),AND(J5907=1,I5907="SBJ"),AND(J5907=1,I5907=0)),"?IN_FOCUS",IF(J5907&lt;=2,"?ACTIVATED",IF(J5907&lt;&gt;"","?FAMILIAR",IF(F5907="NEW",IF(ISNA(VLOOKUP(E5907,#REF!,1,FALSE())),"?TYPE_IDENTIFIABLE","?REFERENTIAL"),"_")))))</f>
        <v> </v>
      </c>
      <c r="H5907" s="25" t="str">
        <f>IF(J5907&lt;&gt;1,"",IF(I5907="SBJ","CB","?"))</f>
        <v> </v>
      </c>
      <c r="I5907" s="26" t="str">
        <f>IF(OR(E5907="",E5907="!!!",F5907="NEW"),"",INDEX(B5906:B$2,-1+SUMPRODUCT(MAX(ROW(E5906:E$2)*(E5907=E5906:E$2)))))</f>
        <v> </v>
      </c>
      <c r="J5907" s="26" t="str">
        <f>IF(OR(E5907="",E5907="!!!",F5907="NEW"),"",COUNTBLANK(OFFSET(A$1,,,SUMPRODUCT(MAX(ROW(E$2:E5907)*(E5907=E$2:E5907)))))-COUNTBLANK(OFFSET(A$1,,,SUMPRODUCT(MAX(ROW(E$1:E5906)*(E2=E$1:E5906))))))</f>
        <v> </v>
      </c>
      <c r="K5907" s="26" t="str">
        <f>IF(OR(E5907="",E5907="!!!",F5907="NEW"),"",INDEX(J$1:J5906,SUMPRODUCT(MAX(ROW(E$1:E5906)*(E5907=E$1:E5906)))))</f>
        <v> </v>
      </c>
      <c r="L5907" s="27"/>
    </row>
    <row r="5908" spans="1:12">
      <c r="A5908" s="20" t="s">
        <v>1027</v>
      </c>
      <c r="B5908" s="21" t="s">
        <v>1022</v>
      </c>
      <c r="C5908" s="21" t="s">
        <v>1073</v>
      </c>
      <c r="D5908" s="21" t="s">
        <v>1007</v>
      </c>
      <c r="E5908" s="22">
        <f>IF(D5908="?OLD","!!!","")</f>
        <v/>
      </c>
      <c r="F5908" s="23" t="str">
        <f>IF(OR(E5908="",E5908="!!!"),"",IF(NOT(ISNA(VLOOKUP(E5908,E$1:E5907,1,FALSE()))),"OLD",IF(AND(E5908&lt;&gt;"",E5908&lt;&gt;"!!!"),"NEW","")))</f>
        <v> </v>
      </c>
      <c r="G5908" s="24" t="str">
        <f>IF(OR(E5908="",E5908="!!!"),"",IF(OR(J5908=0,AND(J5908=1,K5908=1),AND(J5908=1,I5908="SBJ"),AND(J5908=1,I5908=0)),"?IN_FOCUS",IF(J5908&lt;=2,"?ACTIVATED",IF(J5908&lt;&gt;"","?FAMILIAR",IF(F5908="NEW",IF(ISNA(VLOOKUP(E5908,#REF!,1,FALSE())),"?TYPE_IDENTIFIABLE","?REFERENTIAL"),"_")))))</f>
        <v> </v>
      </c>
      <c r="H5908" s="25" t="str">
        <f>IF(J5908&lt;&gt;1,"",IF(I5908="SBJ","CB","?"))</f>
        <v> </v>
      </c>
      <c r="I5908" s="26" t="str">
        <f>IF(OR(E5908="",E5908="!!!",F5908="NEW"),"",INDEX(B5907:B$2,-1+SUMPRODUCT(MAX(ROW(E5907:E$2)*(E5908=E5907:E$2)))))</f>
        <v> </v>
      </c>
      <c r="J5908" s="26" t="str">
        <f>IF(OR(E5908="",E5908="!!!",F5908="NEW"),"",COUNTBLANK(OFFSET(A$1,,,SUMPRODUCT(MAX(ROW(E$2:E5908)*(E5908=E$2:E5908)))))-COUNTBLANK(OFFSET(A$1,,,SUMPRODUCT(MAX(ROW(E$1:E5907)*(E2=E$1:E5907))))))</f>
        <v> </v>
      </c>
      <c r="K5908" s="26" t="str">
        <f>IF(OR(E5908="",E5908="!!!",F5908="NEW"),"",INDEX(J$1:J5907,SUMPRODUCT(MAX(ROW(E$1:E5907)*(E5908=E$1:E5907)))))</f>
        <v> </v>
      </c>
      <c r="L5908" s="27"/>
    </row>
    <row r="5909" spans="1:12">
      <c r="A5909" s="20" t="s">
        <v>1065</v>
      </c>
      <c r="B5909" s="21" t="s">
        <v>1120</v>
      </c>
      <c r="E5909" s="22">
        <f>IF(D5909="?OLD","!!!","")</f>
        <v/>
      </c>
      <c r="F5909" s="23" t="str">
        <f>IF(OR(E5909="",E5909="!!!"),"",IF(NOT(ISNA(VLOOKUP(E5909,E$1:E5908,1,FALSE()))),"OLD",IF(AND(E5909&lt;&gt;"",E5909&lt;&gt;"!!!"),"NEW","")))</f>
        <v> </v>
      </c>
      <c r="G5909" s="24" t="str">
        <f>IF(OR(E5909="",E5909="!!!"),"",IF(OR(J5909=0,AND(J5909=1,K5909=1),AND(J5909=1,I5909="SBJ"),AND(J5909=1,I5909=0)),"?IN_FOCUS",IF(J5909&lt;=2,"?ACTIVATED",IF(J5909&lt;&gt;"","?FAMILIAR",IF(F5909="NEW",IF(ISNA(VLOOKUP(E5909,#REF!,1,FALSE())),"?TYPE_IDENTIFIABLE","?REFERENTIAL"),"_")))))</f>
        <v> </v>
      </c>
      <c r="H5909" s="25" t="str">
        <f>IF(J5909&lt;&gt;1,"",IF(I5909="SBJ","CB","?"))</f>
        <v> </v>
      </c>
      <c r="I5909" s="26" t="str">
        <f>IF(OR(E5909="",E5909="!!!",F5909="NEW"),"",INDEX(B5908:B$2,-1+SUMPRODUCT(MAX(ROW(E5908:E$2)*(E5909=E5908:E$2)))))</f>
        <v> </v>
      </c>
      <c r="J5909" s="26" t="str">
        <f>IF(OR(E5909="",E5909="!!!",F5909="NEW"),"",COUNTBLANK(OFFSET(A$1,,,SUMPRODUCT(MAX(ROW(E$2:E5909)*(E5909=E$2:E5909)))))-COUNTBLANK(OFFSET(A$1,,,SUMPRODUCT(MAX(ROW(E$1:E5908)*(E2=E$1:E5908))))))</f>
        <v> </v>
      </c>
      <c r="K5909" s="26" t="str">
        <f>IF(OR(E5909="",E5909="!!!",F5909="NEW"),"",INDEX(J$1:J5908,SUMPRODUCT(MAX(ROW(E$1:E5908)*(E5909=E$1:E5908)))))</f>
        <v> </v>
      </c>
      <c r="L5909" s="27"/>
    </row>
    <row r="5910" spans="1:12">
      <c r="A5910" s="20" t="s">
        <v>2575</v>
      </c>
      <c r="E5910" s="22">
        <f>IF(D5910="?OLD","!!!","")</f>
        <v/>
      </c>
      <c r="F5910" s="23" t="str">
        <f>IF(OR(E5910="",E5910="!!!"),"",IF(NOT(ISNA(VLOOKUP(E5910,E$1:E5909,1,FALSE()))),"OLD",IF(AND(E5910&lt;&gt;"",E5910&lt;&gt;"!!!"),"NEW","")))</f>
        <v> </v>
      </c>
      <c r="G5910" s="24" t="str">
        <f>IF(OR(E5910="",E5910="!!!"),"",IF(OR(J5910=0,AND(J5910=1,K5910=1),AND(J5910=1,I5910="SBJ"),AND(J5910=1,I5910=0)),"?IN_FOCUS",IF(J5910&lt;=2,"?ACTIVATED",IF(J5910&lt;&gt;"","?FAMILIAR",IF(F5910="NEW",IF(ISNA(VLOOKUP(E5910,#REF!,1,FALSE())),"?TYPE_IDENTIFIABLE","?REFERENTIAL"),"_")))))</f>
        <v> </v>
      </c>
      <c r="H5910" s="25" t="str">
        <f>IF(J5910&lt;&gt;1,"",IF(I5910="SBJ","CB","?"))</f>
        <v> </v>
      </c>
      <c r="I5910" s="26" t="str">
        <f>IF(OR(E5910="",E5910="!!!",F5910="NEW"),"",INDEX(B5909:B$2,-1+SUMPRODUCT(MAX(ROW(E5909:E$2)*(E5910=E5909:E$2)))))</f>
        <v> </v>
      </c>
      <c r="J5910" s="26" t="str">
        <f>IF(OR(E5910="",E5910="!!!",F5910="NEW"),"",COUNTBLANK(OFFSET(A$1,,,SUMPRODUCT(MAX(ROW(E$2:E5910)*(E5910=E$2:E5910)))))-COUNTBLANK(OFFSET(A$1,,,SUMPRODUCT(MAX(ROW(E$1:E5909)*(E2=E$1:E5909))))))</f>
        <v> </v>
      </c>
      <c r="K5910" s="26" t="str">
        <f>IF(OR(E5910="",E5910="!!!",F5910="NEW"),"",INDEX(J$1:J5909,SUMPRODUCT(MAX(ROW(E$1:E5909)*(E5910=E$1:E5909)))))</f>
        <v> </v>
      </c>
      <c r="L5910" s="27"/>
    </row>
    <row r="5911" spans="1:12">
      <c r="A5911" s="20" t="s">
        <v>1030</v>
      </c>
      <c r="E5911" s="22">
        <f>IF(D5911="?OLD","!!!","")</f>
        <v/>
      </c>
      <c r="F5911" s="23" t="str">
        <f>IF(OR(E5911="",E5911="!!!"),"",IF(NOT(ISNA(VLOOKUP(E5911,E$1:E5910,1,FALSE()))),"OLD",IF(AND(E5911&lt;&gt;"",E5911&lt;&gt;"!!!"),"NEW","")))</f>
        <v> </v>
      </c>
      <c r="G5911" s="24" t="str">
        <f>IF(OR(E5911="",E5911="!!!"),"",IF(OR(J5911=0,AND(J5911=1,K5911=1),AND(J5911=1,I5911="SBJ"),AND(J5911=1,I5911=0)),"?IN_FOCUS",IF(J5911&lt;=2,"?ACTIVATED",IF(J5911&lt;&gt;"","?FAMILIAR",IF(F5911="NEW",IF(ISNA(VLOOKUP(E5911,#REF!,1,FALSE())),"?TYPE_IDENTIFIABLE","?REFERENTIAL"),"_")))))</f>
        <v> </v>
      </c>
      <c r="H5911" s="25" t="str">
        <f>IF(J5911&lt;&gt;1,"",IF(I5911="SBJ","CB","?"))</f>
        <v> </v>
      </c>
      <c r="I5911" s="26" t="str">
        <f>IF(OR(E5911="",E5911="!!!",F5911="NEW"),"",INDEX(B5910:B$2,-1+SUMPRODUCT(MAX(ROW(E5910:E$2)*(E5911=E5910:E$2)))))</f>
        <v> </v>
      </c>
      <c r="J5911" s="26" t="str">
        <f>IF(OR(E5911="",E5911="!!!",F5911="NEW"),"",COUNTBLANK(OFFSET(A$1,,,SUMPRODUCT(MAX(ROW(E$2:E5911)*(E5911=E$2:E5911)))))-COUNTBLANK(OFFSET(A$1,,,SUMPRODUCT(MAX(ROW(E$1:E5910)*(E2=E$1:E5910))))))</f>
        <v> </v>
      </c>
      <c r="K5911" s="26" t="str">
        <f>IF(OR(E5911="",E5911="!!!",F5911="NEW"),"",INDEX(J$1:J5910,SUMPRODUCT(MAX(ROW(E$1:E5910)*(E5911=E$1:E5910)))))</f>
        <v> </v>
      </c>
      <c r="L5911" s="27"/>
    </row>
    <row r="5912" spans="1:12">
      <c r="A5912" s="20" t="s">
        <v>1604</v>
      </c>
      <c r="B5912" s="21" t="s">
        <v>1035</v>
      </c>
      <c r="C5912" s="21" t="s">
        <v>1082</v>
      </c>
      <c r="D5912" s="21" t="s">
        <v>1007</v>
      </c>
      <c r="E5912" s="22">
        <f>IF(D5912="?OLD","!!!","")</f>
        <v/>
      </c>
      <c r="F5912" s="23" t="str">
        <f>IF(OR(E5912="",E5912="!!!"),"",IF(NOT(ISNA(VLOOKUP(E5912,E$1:E5911,1,FALSE()))),"OLD",IF(AND(E5912&lt;&gt;"",E5912&lt;&gt;"!!!"),"NEW","")))</f>
        <v> </v>
      </c>
      <c r="G5912" s="24" t="str">
        <f>IF(OR(E5912="",E5912="!!!"),"",IF(OR(J5912=0,AND(J5912=1,K5912=1),AND(J5912=1,I5912="SBJ"),AND(J5912=1,I5912=0)),"?IN_FOCUS",IF(J5912&lt;=2,"?ACTIVATED",IF(J5912&lt;&gt;"","?FAMILIAR",IF(F5912="NEW",IF(ISNA(VLOOKUP(E5912,#REF!,1,FALSE())),"?TYPE_IDENTIFIABLE","?REFERENTIAL"),"_")))))</f>
        <v> </v>
      </c>
      <c r="H5912" s="25" t="str">
        <f>IF(J5912&lt;&gt;1,"",IF(I5912="SBJ","CB","?"))</f>
        <v> </v>
      </c>
      <c r="I5912" s="26" t="str">
        <f>IF(OR(E5912="",E5912="!!!",F5912="NEW"),"",INDEX(B5911:B$2,-1+SUMPRODUCT(MAX(ROW(E5911:E$2)*(E5912=E5911:E$2)))))</f>
        <v> </v>
      </c>
      <c r="J5912" s="26" t="str">
        <f>IF(OR(E5912="",E5912="!!!",F5912="NEW"),"",COUNTBLANK(OFFSET(A$1,,,SUMPRODUCT(MAX(ROW(E$2:E5912)*(E5912=E$2:E5912)))))-COUNTBLANK(OFFSET(A$1,,,SUMPRODUCT(MAX(ROW(E$1:E5911)*(E2=E$1:E5911))))))</f>
        <v> </v>
      </c>
      <c r="K5912" s="26" t="str">
        <f>IF(OR(E5912="",E5912="!!!",F5912="NEW"),"",INDEX(J$1:J5911,SUMPRODUCT(MAX(ROW(E$1:E5911)*(E5912=E$1:E5911)))))</f>
        <v> </v>
      </c>
      <c r="L5912" s="27"/>
    </row>
    <row r="5913" spans="1:12">
      <c r="A5913" s="20" t="s">
        <v>1357</v>
      </c>
      <c r="E5913" s="22">
        <f>IF(D5913="?OLD","!!!","")</f>
        <v/>
      </c>
      <c r="F5913" s="23" t="str">
        <f>IF(OR(E5913="",E5913="!!!"),"",IF(NOT(ISNA(VLOOKUP(E5913,E$1:E5912,1,FALSE()))),"OLD",IF(AND(E5913&lt;&gt;"",E5913&lt;&gt;"!!!"),"NEW","")))</f>
        <v> </v>
      </c>
      <c r="G5913" s="24" t="str">
        <f>IF(OR(E5913="",E5913="!!!"),"",IF(OR(J5913=0,AND(J5913=1,K5913=1),AND(J5913=1,I5913="SBJ"),AND(J5913=1,I5913=0)),"?IN_FOCUS",IF(J5913&lt;=2,"?ACTIVATED",IF(J5913&lt;&gt;"","?FAMILIAR",IF(F5913="NEW",IF(ISNA(VLOOKUP(E5913,#REF!,1,FALSE())),"?TYPE_IDENTIFIABLE","?REFERENTIAL"),"_")))))</f>
        <v> </v>
      </c>
      <c r="H5913" s="25" t="str">
        <f>IF(J5913&lt;&gt;1,"",IF(I5913="SBJ","CB","?"))</f>
        <v> </v>
      </c>
      <c r="I5913" s="26" t="str">
        <f>IF(OR(E5913="",E5913="!!!",F5913="NEW"),"",INDEX(B5912:B$2,-1+SUMPRODUCT(MAX(ROW(E5912:E$2)*(E5913=E5912:E$2)))))</f>
        <v> </v>
      </c>
      <c r="J5913" s="26" t="str">
        <f>IF(OR(E5913="",E5913="!!!",F5913="NEW"),"",COUNTBLANK(OFFSET(A$1,,,SUMPRODUCT(MAX(ROW(E$2:E5913)*(E5913=E$2:E5913)))))-COUNTBLANK(OFFSET(A$1,,,SUMPRODUCT(MAX(ROW(E$1:E5912)*(E2=E$1:E5912))))))</f>
        <v> </v>
      </c>
      <c r="K5913" s="26" t="str">
        <f>IF(OR(E5913="",E5913="!!!",F5913="NEW"),"",INDEX(J$1:J5912,SUMPRODUCT(MAX(ROW(E$1:E5912)*(E5913=E$1:E5912)))))</f>
        <v> </v>
      </c>
      <c r="L5913" s="27"/>
    </row>
    <row r="5914" spans="1:12">
      <c r="A5914" s="20" t="s">
        <v>1015</v>
      </c>
      <c r="E5914" s="22">
        <f>IF(D5914="?OLD","!!!","")</f>
        <v/>
      </c>
      <c r="F5914" s="23" t="str">
        <f>IF(OR(E5914="",E5914="!!!"),"",IF(NOT(ISNA(VLOOKUP(E5914,E$1:E5913,1,FALSE()))),"OLD",IF(AND(E5914&lt;&gt;"",E5914&lt;&gt;"!!!"),"NEW","")))</f>
        <v> </v>
      </c>
      <c r="G5914" s="24" t="str">
        <f>IF(OR(E5914="",E5914="!!!"),"",IF(OR(J5914=0,AND(J5914=1,K5914=1),AND(J5914=1,I5914="SBJ"),AND(J5914=1,I5914=0)),"?IN_FOCUS",IF(J5914&lt;=2,"?ACTIVATED",IF(J5914&lt;&gt;"","?FAMILIAR",IF(F5914="NEW",IF(ISNA(VLOOKUP(E5914,#REF!,1,FALSE())),"?TYPE_IDENTIFIABLE","?REFERENTIAL"),"_")))))</f>
        <v> </v>
      </c>
      <c r="H5914" s="25" t="str">
        <f>IF(J5914&lt;&gt;1,"",IF(I5914="SBJ","CB","?"))</f>
        <v> </v>
      </c>
      <c r="I5914" s="26" t="str">
        <f>IF(OR(E5914="",E5914="!!!",F5914="NEW"),"",INDEX(B5913:B$2,-1+SUMPRODUCT(MAX(ROW(E5913:E$2)*(E5914=E5913:E$2)))))</f>
        <v> </v>
      </c>
      <c r="J5914" s="26" t="str">
        <f>IF(OR(E5914="",E5914="!!!",F5914="NEW"),"",COUNTBLANK(OFFSET(A$1,,,SUMPRODUCT(MAX(ROW(E$2:E5914)*(E5914=E$2:E5914)))))-COUNTBLANK(OFFSET(A$1,,,SUMPRODUCT(MAX(ROW(E$1:E5913)*(E2=E$1:E5913))))))</f>
        <v> </v>
      </c>
      <c r="K5914" s="26" t="str">
        <f>IF(OR(E5914="",E5914="!!!",F5914="NEW"),"",INDEX(J$1:J5913,SUMPRODUCT(MAX(ROW(E$1:E5913)*(E5914=E$1:E5913)))))</f>
        <v> </v>
      </c>
      <c r="L5914" s="27"/>
    </row>
    <row r="5915" spans="1:12">
      <c r="A5915" s="20" t="s">
        <v>2334</v>
      </c>
      <c r="B5915" s="21" t="s">
        <v>1064</v>
      </c>
      <c r="C5915" s="21" t="s">
        <v>1017</v>
      </c>
      <c r="D5915" s="21" t="s">
        <v>1007</v>
      </c>
      <c r="E5915" s="22">
        <f>IF(D5915="?OLD","!!!","")</f>
        <v/>
      </c>
      <c r="F5915" s="23" t="str">
        <f>IF(OR(E5915="",E5915="!!!"),"",IF(NOT(ISNA(VLOOKUP(E5915,E$1:E5914,1,FALSE()))),"OLD",IF(AND(E5915&lt;&gt;"",E5915&lt;&gt;"!!!"),"NEW","")))</f>
        <v> </v>
      </c>
      <c r="G5915" s="24" t="str">
        <f>IF(OR(E5915="",E5915="!!!"),"",IF(OR(J5915=0,AND(J5915=1,K5915=1),AND(J5915=1,I5915="SBJ"),AND(J5915=1,I5915=0)),"?IN_FOCUS",IF(J5915&lt;=2,"?ACTIVATED",IF(J5915&lt;&gt;"","?FAMILIAR",IF(F5915="NEW",IF(ISNA(VLOOKUP(E5915,#REF!,1,FALSE())),"?TYPE_IDENTIFIABLE","?REFERENTIAL"),"_")))))</f>
        <v> </v>
      </c>
      <c r="H5915" s="25" t="str">
        <f>IF(J5915&lt;&gt;1,"",IF(I5915="SBJ","CB","?"))</f>
        <v> </v>
      </c>
      <c r="I5915" s="26" t="str">
        <f>IF(OR(E5915="",E5915="!!!",F5915="NEW"),"",INDEX(B5914:B$2,-1+SUMPRODUCT(MAX(ROW(E5914:E$2)*(E5915=E5914:E$2)))))</f>
        <v> </v>
      </c>
      <c r="J5915" s="26" t="str">
        <f>IF(OR(E5915="",E5915="!!!",F5915="NEW"),"",COUNTBLANK(OFFSET(A$1,,,SUMPRODUCT(MAX(ROW(E$2:E5915)*(E5915=E$2:E5915)))))-COUNTBLANK(OFFSET(A$1,,,SUMPRODUCT(MAX(ROW(E$1:E5914)*(E2=E$1:E5914))))))</f>
        <v> </v>
      </c>
      <c r="K5915" s="26" t="str">
        <f>IF(OR(E5915="",E5915="!!!",F5915="NEW"),"",INDEX(J$1:J5914,SUMPRODUCT(MAX(ROW(E$1:E5914)*(E5915=E$1:E5914)))))</f>
        <v> </v>
      </c>
      <c r="L5915" s="27"/>
    </row>
    <row r="5916" spans="1:12">
      <c r="A5916" s="20" t="s">
        <v>1018</v>
      </c>
      <c r="E5916" s="22">
        <f>IF(D5916="?OLD","!!!","")</f>
        <v/>
      </c>
      <c r="F5916" s="23" t="str">
        <f>IF(OR(E5916="",E5916="!!!"),"",IF(NOT(ISNA(VLOOKUP(E5916,E$1:E5915,1,FALSE()))),"OLD",IF(AND(E5916&lt;&gt;"",E5916&lt;&gt;"!!!"),"NEW","")))</f>
        <v> </v>
      </c>
      <c r="G5916" s="24" t="str">
        <f>IF(OR(E5916="",E5916="!!!"),"",IF(OR(J5916=0,AND(J5916=1,K5916=1),AND(J5916=1,I5916="SBJ"),AND(J5916=1,I5916=0)),"?IN_FOCUS",IF(J5916&lt;=2,"?ACTIVATED",IF(J5916&lt;&gt;"","?FAMILIAR",IF(F5916="NEW",IF(ISNA(VLOOKUP(E5916,#REF!,1,FALSE())),"?TYPE_IDENTIFIABLE","?REFERENTIAL"),"_")))))</f>
        <v> </v>
      </c>
      <c r="H5916" s="25" t="str">
        <f>IF(J5916&lt;&gt;1,"",IF(I5916="SBJ","CB","?"))</f>
        <v> </v>
      </c>
      <c r="I5916" s="26" t="str">
        <f>IF(OR(E5916="",E5916="!!!",F5916="NEW"),"",INDEX(B5915:B$2,-1+SUMPRODUCT(MAX(ROW(E5915:E$2)*(E5916=E5915:E$2)))))</f>
        <v> </v>
      </c>
      <c r="J5916" s="26" t="str">
        <f>IF(OR(E5916="",E5916="!!!",F5916="NEW"),"",COUNTBLANK(OFFSET(A$1,,,SUMPRODUCT(MAX(ROW(E$2:E5916)*(E5916=E$2:E5916)))))-COUNTBLANK(OFFSET(A$1,,,SUMPRODUCT(MAX(ROW(E$1:E5915)*(E2=E$1:E5915))))))</f>
        <v> </v>
      </c>
      <c r="K5916" s="26" t="str">
        <f>IF(OR(E5916="",E5916="!!!",F5916="NEW"),"",INDEX(J$1:J5915,SUMPRODUCT(MAX(ROW(E$1:E5915)*(E5916=E$1:E5915)))))</f>
        <v> </v>
      </c>
      <c r="L5916" s="27"/>
    </row>
    <row r="5917" spans="1:12">
      <c r="A5917" s="20" t="s">
        <v>1132</v>
      </c>
      <c r="E5917" s="22">
        <f>IF(D5917="?OLD","!!!","")</f>
        <v/>
      </c>
      <c r="F5917" s="23" t="str">
        <f>IF(OR(E5917="",E5917="!!!"),"",IF(NOT(ISNA(VLOOKUP(E5917,E$1:E5916,1,FALSE()))),"OLD",IF(AND(E5917&lt;&gt;"",E5917&lt;&gt;"!!!"),"NEW","")))</f>
        <v> </v>
      </c>
      <c r="G5917" s="24" t="str">
        <f>IF(OR(E5917="",E5917="!!!"),"",IF(OR(J5917=0,AND(J5917=1,K5917=1),AND(J5917=1,I5917="SBJ"),AND(J5917=1,I5917=0)),"?IN_FOCUS",IF(J5917&lt;=2,"?ACTIVATED",IF(J5917&lt;&gt;"","?FAMILIAR",IF(F5917="NEW",IF(ISNA(VLOOKUP(E5917,#REF!,1,FALSE())),"?TYPE_IDENTIFIABLE","?REFERENTIAL"),"_")))))</f>
        <v> </v>
      </c>
      <c r="H5917" s="25" t="str">
        <f>IF(J5917&lt;&gt;1,"",IF(I5917="SBJ","CB","?"))</f>
        <v> </v>
      </c>
      <c r="I5917" s="26" t="str">
        <f>IF(OR(E5917="",E5917="!!!",F5917="NEW"),"",INDEX(B5916:B$2,-1+SUMPRODUCT(MAX(ROW(E5916:E$2)*(E5917=E5916:E$2)))))</f>
        <v> </v>
      </c>
      <c r="J5917" s="26" t="str">
        <f>IF(OR(E5917="",E5917="!!!",F5917="NEW"),"",COUNTBLANK(OFFSET(A$1,,,SUMPRODUCT(MAX(ROW(E$2:E5917)*(E5917=E$2:E5917)))))-COUNTBLANK(OFFSET(A$1,,,SUMPRODUCT(MAX(ROW(E$1:E5916)*(E2=E$1:E5916))))))</f>
        <v> </v>
      </c>
      <c r="K5917" s="26" t="str">
        <f>IF(OR(E5917="",E5917="!!!",F5917="NEW"),"",INDEX(J$1:J5916,SUMPRODUCT(MAX(ROW(E$1:E5916)*(E5917=E$1:E5916)))))</f>
        <v> </v>
      </c>
      <c r="L5917" s="27"/>
    </row>
    <row r="5918" spans="1:12">
      <c r="A5918" s="20" t="s">
        <v>2576</v>
      </c>
      <c r="E5918" s="22">
        <f>IF(D5918="?OLD","!!!","")</f>
        <v/>
      </c>
      <c r="F5918" s="23" t="str">
        <f>IF(OR(E5918="",E5918="!!!"),"",IF(NOT(ISNA(VLOOKUP(E5918,E$1:E5917,1,FALSE()))),"OLD",IF(AND(E5918&lt;&gt;"",E5918&lt;&gt;"!!!"),"NEW","")))</f>
        <v> </v>
      </c>
      <c r="G5918" s="24" t="str">
        <f>IF(OR(E5918="",E5918="!!!"),"",IF(OR(J5918=0,AND(J5918=1,K5918=1),AND(J5918=1,I5918="SBJ"),AND(J5918=1,I5918=0)),"?IN_FOCUS",IF(J5918&lt;=2,"?ACTIVATED",IF(J5918&lt;&gt;"","?FAMILIAR",IF(F5918="NEW",IF(ISNA(VLOOKUP(E5918,#REF!,1,FALSE())),"?TYPE_IDENTIFIABLE","?REFERENTIAL"),"_")))))</f>
        <v> </v>
      </c>
      <c r="H5918" s="25" t="str">
        <f>IF(J5918&lt;&gt;1,"",IF(I5918="SBJ","CB","?"))</f>
        <v> </v>
      </c>
      <c r="I5918" s="26" t="str">
        <f>IF(OR(E5918="",E5918="!!!",F5918="NEW"),"",INDEX(B5917:B$2,-1+SUMPRODUCT(MAX(ROW(E5917:E$2)*(E5918=E5917:E$2)))))</f>
        <v> </v>
      </c>
      <c r="J5918" s="26" t="str">
        <f>IF(OR(E5918="",E5918="!!!",F5918="NEW"),"",COUNTBLANK(OFFSET(A$1,,,SUMPRODUCT(MAX(ROW(E$2:E5918)*(E5918=E$2:E5918)))))-COUNTBLANK(OFFSET(A$1,,,SUMPRODUCT(MAX(ROW(E$1:E5917)*(E2=E$1:E5917))))))</f>
        <v> </v>
      </c>
      <c r="K5918" s="26" t="str">
        <f>IF(OR(E5918="",E5918="!!!",F5918="NEW"),"",INDEX(J$1:J5917,SUMPRODUCT(MAX(ROW(E$1:E5917)*(E5918=E$1:E5917)))))</f>
        <v> </v>
      </c>
      <c r="L5918" s="27"/>
    </row>
    <row r="5919" spans="1:12">
      <c r="A5919" s="20" t="s">
        <v>1410</v>
      </c>
      <c r="B5919" s="21" t="s">
        <v>1134</v>
      </c>
      <c r="C5919" s="21" t="s">
        <v>1013</v>
      </c>
      <c r="D5919" s="21" t="s">
        <v>1007</v>
      </c>
      <c r="E5919" s="22">
        <f>IF(D5919="?OLD","!!!","")</f>
        <v/>
      </c>
      <c r="F5919" s="23" t="str">
        <f>IF(OR(E5919="",E5919="!!!"),"",IF(NOT(ISNA(VLOOKUP(E5919,E$1:E5918,1,FALSE()))),"OLD",IF(AND(E5919&lt;&gt;"",E5919&lt;&gt;"!!!"),"NEW","")))</f>
        <v> </v>
      </c>
      <c r="G5919" s="24" t="str">
        <f>IF(OR(E5919="",E5919="!!!"),"",IF(OR(J5919=0,AND(J5919=1,K5919=1),AND(J5919=1,I5919="SBJ"),AND(J5919=1,I5919=0)),"?IN_FOCUS",IF(J5919&lt;=2,"?ACTIVATED",IF(J5919&lt;&gt;"","?FAMILIAR",IF(F5919="NEW",IF(ISNA(VLOOKUP(E5919,#REF!,1,FALSE())),"?TYPE_IDENTIFIABLE","?REFERENTIAL"),"_")))))</f>
        <v> </v>
      </c>
      <c r="H5919" s="25" t="str">
        <f>IF(J5919&lt;&gt;1,"",IF(I5919="SBJ","CB","?"))</f>
        <v> </v>
      </c>
      <c r="I5919" s="26" t="str">
        <f>IF(OR(E5919="",E5919="!!!",F5919="NEW"),"",INDEX(B5918:B$2,-1+SUMPRODUCT(MAX(ROW(E5918:E$2)*(E5919=E5918:E$2)))))</f>
        <v> </v>
      </c>
      <c r="J5919" s="26" t="str">
        <f>IF(OR(E5919="",E5919="!!!",F5919="NEW"),"",COUNTBLANK(OFFSET(A$1,,,SUMPRODUCT(MAX(ROW(E$2:E5919)*(E5919=E$2:E5919)))))-COUNTBLANK(OFFSET(A$1,,,SUMPRODUCT(MAX(ROW(E$1:E5918)*(E2=E$1:E5918))))))</f>
        <v> </v>
      </c>
      <c r="K5919" s="26" t="str">
        <f>IF(OR(E5919="",E5919="!!!",F5919="NEW"),"",INDEX(J$1:J5918,SUMPRODUCT(MAX(ROW(E$1:E5918)*(E5919=E$1:E5918)))))</f>
        <v> </v>
      </c>
      <c r="L5919" s="27"/>
    </row>
    <row r="5920" spans="1:12">
      <c r="A5920" s="20" t="s">
        <v>1014</v>
      </c>
      <c r="E5920" s="22">
        <f>IF(D5920="?OLD","!!!","")</f>
        <v/>
      </c>
      <c r="F5920" s="23" t="str">
        <f>IF(OR(E5920="",E5920="!!!"),"",IF(NOT(ISNA(VLOOKUP(E5920,E$1:E5919,1,FALSE()))),"OLD",IF(AND(E5920&lt;&gt;"",E5920&lt;&gt;"!!!"),"NEW","")))</f>
        <v> </v>
      </c>
      <c r="G5920" s="24" t="str">
        <f>IF(OR(E5920="",E5920="!!!"),"",IF(OR(J5920=0,AND(J5920=1,K5920=1),AND(J5920=1,I5920="SBJ"),AND(J5920=1,I5920=0)),"?IN_FOCUS",IF(J5920&lt;=2,"?ACTIVATED",IF(J5920&lt;&gt;"","?FAMILIAR",IF(F5920="NEW",IF(ISNA(VLOOKUP(E5920,#REF!,1,FALSE())),"?TYPE_IDENTIFIABLE","?REFERENTIAL"),"_")))))</f>
        <v> </v>
      </c>
      <c r="H5920" s="25" t="str">
        <f>IF(J5920&lt;&gt;1,"",IF(I5920="SBJ","CB","?"))</f>
        <v> </v>
      </c>
      <c r="I5920" s="26" t="str">
        <f>IF(OR(E5920="",E5920="!!!",F5920="NEW"),"",INDEX(B5919:B$2,-1+SUMPRODUCT(MAX(ROW(E5919:E$2)*(E5920=E5919:E$2)))))</f>
        <v> </v>
      </c>
      <c r="J5920" s="26" t="str">
        <f>IF(OR(E5920="",E5920="!!!",F5920="NEW"),"",COUNTBLANK(OFFSET(A$1,,,SUMPRODUCT(MAX(ROW(E$2:E5920)*(E5920=E$2:E5920)))))-COUNTBLANK(OFFSET(A$1,,,SUMPRODUCT(MAX(ROW(E$1:E5919)*(E2=E$1:E5919))))))</f>
        <v> </v>
      </c>
      <c r="K5920" s="26" t="str">
        <f>IF(OR(E5920="",E5920="!!!",F5920="NEW"),"",INDEX(J$1:J5919,SUMPRODUCT(MAX(ROW(E$1:E5919)*(E5920=E$1:E5919)))))</f>
        <v> </v>
      </c>
      <c r="L5920" s="27"/>
    </row>
    <row r="5921" spans="1:12">
      <c r="A5921" s="20" t="s">
        <v>1020</v>
      </c>
      <c r="E5921" s="22">
        <f>IF(D5921="?OLD","!!!","")</f>
        <v/>
      </c>
      <c r="F5921" s="23" t="str">
        <f>IF(OR(E5921="",E5921="!!!"),"",IF(NOT(ISNA(VLOOKUP(E5921,E$1:E5920,1,FALSE()))),"OLD",IF(AND(E5921&lt;&gt;"",E5921&lt;&gt;"!!!"),"NEW","")))</f>
        <v> </v>
      </c>
      <c r="G5921" s="24" t="str">
        <f>IF(OR(E5921="",E5921="!!!"),"",IF(OR(J5921=0,AND(J5921=1,K5921=1),AND(J5921=1,I5921="SBJ"),AND(J5921=1,I5921=0)),"?IN_FOCUS",IF(J5921&lt;=2,"?ACTIVATED",IF(J5921&lt;&gt;"","?FAMILIAR",IF(F5921="NEW",IF(ISNA(VLOOKUP(E5921,#REF!,1,FALSE())),"?TYPE_IDENTIFIABLE","?REFERENTIAL"),"_")))))</f>
        <v> </v>
      </c>
      <c r="H5921" s="25" t="str">
        <f>IF(J5921&lt;&gt;1,"",IF(I5921="SBJ","CB","?"))</f>
        <v> </v>
      </c>
      <c r="I5921" s="26" t="str">
        <f>IF(OR(E5921="",E5921="!!!",F5921="NEW"),"",INDEX(B5920:B$2,-1+SUMPRODUCT(MAX(ROW(E5920:E$2)*(E5921=E5920:E$2)))))</f>
        <v> </v>
      </c>
      <c r="J5921" s="26" t="str">
        <f>IF(OR(E5921="",E5921="!!!",F5921="NEW"),"",COUNTBLANK(OFFSET(A$1,,,SUMPRODUCT(MAX(ROW(E$2:E5921)*(E5921=E$2:E5921)))))-COUNTBLANK(OFFSET(A$1,,,SUMPRODUCT(MAX(ROW(E$1:E5920)*(E2=E$1:E5920))))))</f>
        <v> </v>
      </c>
      <c r="K5921" s="26" t="str">
        <f>IF(OR(E5921="",E5921="!!!",F5921="NEW"),"",INDEX(J$1:J5920,SUMPRODUCT(MAX(ROW(E$1:E5920)*(E5921=E$1:E5920)))))</f>
        <v> </v>
      </c>
      <c r="L5921" s="27"/>
    </row>
    <row r="5922" spans="1:12">
      <c r="A5922" s="20" t="s">
        <v>2078</v>
      </c>
      <c r="B5922" s="21" t="s">
        <v>1042</v>
      </c>
      <c r="C5922" s="21" t="s">
        <v>1059</v>
      </c>
      <c r="D5922" s="21" t="s">
        <v>1007</v>
      </c>
      <c r="E5922" s="22">
        <f>IF(D5922="?OLD","!!!","")</f>
        <v/>
      </c>
      <c r="F5922" s="23" t="str">
        <f>IF(OR(E5922="",E5922="!!!"),"",IF(NOT(ISNA(VLOOKUP(E5922,E$1:E5921,1,FALSE()))),"OLD",IF(AND(E5922&lt;&gt;"",E5922&lt;&gt;"!!!"),"NEW","")))</f>
        <v> </v>
      </c>
      <c r="G5922" s="24" t="str">
        <f>IF(OR(E5922="",E5922="!!!"),"",IF(OR(J5922=0,AND(J5922=1,K5922=1),AND(J5922=1,I5922="SBJ"),AND(J5922=1,I5922=0)),"?IN_FOCUS",IF(J5922&lt;=2,"?ACTIVATED",IF(J5922&lt;&gt;"","?FAMILIAR",IF(F5922="NEW",IF(ISNA(VLOOKUP(E5922,#REF!,1,FALSE())),"?TYPE_IDENTIFIABLE","?REFERENTIAL"),"_")))))</f>
        <v> </v>
      </c>
      <c r="H5922" s="25" t="str">
        <f>IF(J5922&lt;&gt;1,"",IF(I5922="SBJ","CB","?"))</f>
        <v> </v>
      </c>
      <c r="I5922" s="26" t="str">
        <f>IF(OR(E5922="",E5922="!!!",F5922="NEW"),"",INDEX(B5921:B$2,-1+SUMPRODUCT(MAX(ROW(E5921:E$2)*(E5922=E5921:E$2)))))</f>
        <v> </v>
      </c>
      <c r="J5922" s="26" t="str">
        <f>IF(OR(E5922="",E5922="!!!",F5922="NEW"),"",COUNTBLANK(OFFSET(A$1,,,SUMPRODUCT(MAX(ROW(E$2:E5922)*(E5922=E$2:E5922)))))-COUNTBLANK(OFFSET(A$1,,,SUMPRODUCT(MAX(ROW(E$1:E5921)*(E2=E$1:E5921))))))</f>
        <v> </v>
      </c>
      <c r="K5922" s="26" t="str">
        <f>IF(OR(E5922="",E5922="!!!",F5922="NEW"),"",INDEX(J$1:J5921,SUMPRODUCT(MAX(ROW(E$1:E5921)*(E5922=E$1:E5921)))))</f>
        <v> </v>
      </c>
      <c r="L5922" s="27"/>
    </row>
    <row r="5923" spans="1:12">
      <c r="A5923" s="20" t="s">
        <v>2577</v>
      </c>
      <c r="B5923" s="21" t="s">
        <v>1040</v>
      </c>
      <c r="C5923" s="21" t="s">
        <v>1017</v>
      </c>
      <c r="D5923" s="21" t="s">
        <v>1007</v>
      </c>
      <c r="E5923" s="22">
        <f>IF(D5923="?OLD","!!!","")</f>
        <v/>
      </c>
      <c r="F5923" s="23" t="str">
        <f>IF(OR(E5923="",E5923="!!!"),"",IF(NOT(ISNA(VLOOKUP(E5923,E$1:E5922,1,FALSE()))),"OLD",IF(AND(E5923&lt;&gt;"",E5923&lt;&gt;"!!!"),"NEW","")))</f>
        <v> </v>
      </c>
      <c r="G5923" s="24" t="str">
        <f>IF(OR(E5923="",E5923="!!!"),"",IF(OR(J5923=0,AND(J5923=1,K5923=1),AND(J5923=1,I5923="SBJ"),AND(J5923=1,I5923=0)),"?IN_FOCUS",IF(J5923&lt;=2,"?ACTIVATED",IF(J5923&lt;&gt;"","?FAMILIAR",IF(F5923="NEW",IF(ISNA(VLOOKUP(E5923,#REF!,1,FALSE())),"?TYPE_IDENTIFIABLE","?REFERENTIAL"),"_")))))</f>
        <v> </v>
      </c>
      <c r="H5923" s="25" t="str">
        <f>IF(J5923&lt;&gt;1,"",IF(I5923="SBJ","CB","?"))</f>
        <v> </v>
      </c>
      <c r="I5923" s="26" t="str">
        <f>IF(OR(E5923="",E5923="!!!",F5923="NEW"),"",INDEX(B5922:B$2,-1+SUMPRODUCT(MAX(ROW(E5922:E$2)*(E5923=E5922:E$2)))))</f>
        <v> </v>
      </c>
      <c r="J5923" s="26" t="str">
        <f>IF(OR(E5923="",E5923="!!!",F5923="NEW"),"",COUNTBLANK(OFFSET(A$1,,,SUMPRODUCT(MAX(ROW(E$2:E5923)*(E5923=E$2:E5923)))))-COUNTBLANK(OFFSET(A$1,,,SUMPRODUCT(MAX(ROW(E$1:E5922)*(E2=E$1:E5922))))))</f>
        <v> </v>
      </c>
      <c r="K5923" s="26" t="str">
        <f>IF(OR(E5923="",E5923="!!!",F5923="NEW"),"",INDEX(J$1:J5922,SUMPRODUCT(MAX(ROW(E$1:E5922)*(E5923=E$1:E5922)))))</f>
        <v> </v>
      </c>
      <c r="L5923" s="27"/>
    </row>
    <row r="5924" spans="1:12">
      <c r="A5924" s="20" t="s">
        <v>1018</v>
      </c>
      <c r="E5924" s="22">
        <f>IF(D5924="?OLD","!!!","")</f>
        <v/>
      </c>
      <c r="F5924" s="23" t="str">
        <f>IF(OR(E5924="",E5924="!!!"),"",IF(NOT(ISNA(VLOOKUP(E5924,E$1:E5923,1,FALSE()))),"OLD",IF(AND(E5924&lt;&gt;"",E5924&lt;&gt;"!!!"),"NEW","")))</f>
        <v> </v>
      </c>
      <c r="G5924" s="24" t="str">
        <f>IF(OR(E5924="",E5924="!!!"),"",IF(OR(J5924=0,AND(J5924=1,K5924=1),AND(J5924=1,I5924="SBJ"),AND(J5924=1,I5924=0)),"?IN_FOCUS",IF(J5924&lt;=2,"?ACTIVATED",IF(J5924&lt;&gt;"","?FAMILIAR",IF(F5924="NEW",IF(ISNA(VLOOKUP(E5924,#REF!,1,FALSE())),"?TYPE_IDENTIFIABLE","?REFERENTIAL"),"_")))))</f>
        <v> </v>
      </c>
      <c r="H5924" s="25" t="str">
        <f>IF(J5924&lt;&gt;1,"",IF(I5924="SBJ","CB","?"))</f>
        <v> </v>
      </c>
      <c r="I5924" s="26" t="str">
        <f>IF(OR(E5924="",E5924="!!!",F5924="NEW"),"",INDEX(B5923:B$2,-1+SUMPRODUCT(MAX(ROW(E5923:E$2)*(E5924=E5923:E$2)))))</f>
        <v> </v>
      </c>
      <c r="J5924" s="26" t="str">
        <f>IF(OR(E5924="",E5924="!!!",F5924="NEW"),"",COUNTBLANK(OFFSET(A$1,,,SUMPRODUCT(MAX(ROW(E$2:E5924)*(E5924=E$2:E5924)))))-COUNTBLANK(OFFSET(A$1,,,SUMPRODUCT(MAX(ROW(E$1:E5923)*(E2=E$1:E5923))))))</f>
        <v> </v>
      </c>
      <c r="K5924" s="26" t="str">
        <f>IF(OR(E5924="",E5924="!!!",F5924="NEW"),"",INDEX(J$1:J5923,SUMPRODUCT(MAX(ROW(E$1:E5923)*(E5924=E$1:E5923)))))</f>
        <v> </v>
      </c>
      <c r="L5924" s="27"/>
    </row>
    <row r="5925" spans="1:12">
      <c r="A5925" s="20" t="s">
        <v>1097</v>
      </c>
      <c r="E5925" s="22">
        <f>IF(D5925="?OLD","!!!","")</f>
        <v/>
      </c>
      <c r="F5925" s="23" t="str">
        <f>IF(OR(E5925="",E5925="!!!"),"",IF(NOT(ISNA(VLOOKUP(E5925,E$1:E5924,1,FALSE()))),"OLD",IF(AND(E5925&lt;&gt;"",E5925&lt;&gt;"!!!"),"NEW","")))</f>
        <v> </v>
      </c>
      <c r="G5925" s="24" t="str">
        <f>IF(OR(E5925="",E5925="!!!"),"",IF(OR(J5925=0,AND(J5925=1,K5925=1),AND(J5925=1,I5925="SBJ"),AND(J5925=1,I5925=0)),"?IN_FOCUS",IF(J5925&lt;=2,"?ACTIVATED",IF(J5925&lt;&gt;"","?FAMILIAR",IF(F5925="NEW",IF(ISNA(VLOOKUP(E5925,#REF!,1,FALSE())),"?TYPE_IDENTIFIABLE","?REFERENTIAL"),"_")))))</f>
        <v> </v>
      </c>
      <c r="H5925" s="25" t="str">
        <f>IF(J5925&lt;&gt;1,"",IF(I5925="SBJ","CB","?"))</f>
        <v> </v>
      </c>
      <c r="I5925" s="26" t="str">
        <f>IF(OR(E5925="",E5925="!!!",F5925="NEW"),"",INDEX(B5924:B$2,-1+SUMPRODUCT(MAX(ROW(E5924:E$2)*(E5925=E5924:E$2)))))</f>
        <v> </v>
      </c>
      <c r="J5925" s="26" t="str">
        <f>IF(OR(E5925="",E5925="!!!",F5925="NEW"),"",COUNTBLANK(OFFSET(A$1,,,SUMPRODUCT(MAX(ROW(E$2:E5925)*(E5925=E$2:E5925)))))-COUNTBLANK(OFFSET(A$1,,,SUMPRODUCT(MAX(ROW(E$1:E5924)*(E2=E$1:E5924))))))</f>
        <v> </v>
      </c>
      <c r="K5925" s="26" t="str">
        <f>IF(OR(E5925="",E5925="!!!",F5925="NEW"),"",INDEX(J$1:J5924,SUMPRODUCT(MAX(ROW(E$1:E5924)*(E5925=E$1:E5924)))))</f>
        <v> </v>
      </c>
      <c r="L5925" s="27"/>
    </row>
    <row r="5926" spans="1:12">
      <c r="A5926" s="20" t="s">
        <v>444</v>
      </c>
      <c r="E5926" s="22">
        <f>IF(D5926="?OLD","!!!","")</f>
        <v/>
      </c>
      <c r="F5926" s="23" t="str">
        <f>IF(OR(E5926="",E5926="!!!"),"",IF(NOT(ISNA(VLOOKUP(E5926,E$1:E5925,1,FALSE()))),"OLD",IF(AND(E5926&lt;&gt;"",E5926&lt;&gt;"!!!"),"NEW","")))</f>
        <v> </v>
      </c>
      <c r="G5926" s="24" t="str">
        <f>IF(OR(E5926="",E5926="!!!"),"",IF(OR(J5926=0,AND(J5926=1,K5926=1),AND(J5926=1,I5926="SBJ"),AND(J5926=1,I5926=0)),"?IN_FOCUS",IF(J5926&lt;=2,"?ACTIVATED",IF(J5926&lt;&gt;"","?FAMILIAR",IF(F5926="NEW",IF(ISNA(VLOOKUP(E5926,#REF!,1,FALSE())),"?TYPE_IDENTIFIABLE","?REFERENTIAL"),"_")))))</f>
        <v> </v>
      </c>
      <c r="H5926" s="25" t="str">
        <f>IF(J5926&lt;&gt;1,"",IF(I5926="SBJ","CB","?"))</f>
        <v> </v>
      </c>
      <c r="I5926" s="26" t="str">
        <f>IF(OR(E5926="",E5926="!!!",F5926="NEW"),"",INDEX(B5925:B$2,-1+SUMPRODUCT(MAX(ROW(E5925:E$2)*(E5926=E5925:E$2)))))</f>
        <v> </v>
      </c>
      <c r="J5926" s="26" t="str">
        <f>IF(OR(E5926="",E5926="!!!",F5926="NEW"),"",COUNTBLANK(OFFSET(A$1,,,SUMPRODUCT(MAX(ROW(E$2:E5926)*(E5926=E$2:E5926)))))-COUNTBLANK(OFFSET(A$1,,,SUMPRODUCT(MAX(ROW(E$1:E5925)*(E2=E$1:E5925))))))</f>
        <v> </v>
      </c>
      <c r="K5926" s="26" t="str">
        <f>IF(OR(E5926="",E5926="!!!",F5926="NEW"),"",INDEX(J$1:J5925,SUMPRODUCT(MAX(ROW(E$1:E5925)*(E5926=E$1:E5925)))))</f>
        <v> </v>
      </c>
      <c r="L5926" s="27"/>
    </row>
    <row r="5927" spans="1:12">
      <c r="A5927" s="20" t="s">
        <v>1140</v>
      </c>
      <c r="B5927" s="21" t="s">
        <v>1064</v>
      </c>
      <c r="C5927" s="21" t="s">
        <v>1073</v>
      </c>
      <c r="D5927" s="21" t="s">
        <v>1007</v>
      </c>
      <c r="E5927" s="22">
        <f>IF(D5927="?OLD","!!!","")</f>
        <v/>
      </c>
      <c r="F5927" s="23" t="str">
        <f>IF(OR(E5927="",E5927="!!!"),"",IF(NOT(ISNA(VLOOKUP(E5927,E$1:E5926,1,FALSE()))),"OLD",IF(AND(E5927&lt;&gt;"",E5927&lt;&gt;"!!!"),"NEW","")))</f>
        <v> </v>
      </c>
      <c r="G5927" s="24" t="str">
        <f>IF(OR(E5927="",E5927="!!!"),"",IF(OR(J5927=0,AND(J5927=1,K5927=1),AND(J5927=1,I5927="SBJ"),AND(J5927=1,I5927=0)),"?IN_FOCUS",IF(J5927&lt;=2,"?ACTIVATED",IF(J5927&lt;&gt;"","?FAMILIAR",IF(F5927="NEW",IF(ISNA(VLOOKUP(E5927,#REF!,1,FALSE())),"?TYPE_IDENTIFIABLE","?REFERENTIAL"),"_")))))</f>
        <v> </v>
      </c>
      <c r="H5927" s="25" t="str">
        <f>IF(J5927&lt;&gt;1,"",IF(I5927="SBJ","CB","?"))</f>
        <v> </v>
      </c>
      <c r="I5927" s="26" t="str">
        <f>IF(OR(E5927="",E5927="!!!",F5927="NEW"),"",INDEX(B5926:B$2,-1+SUMPRODUCT(MAX(ROW(E5926:E$2)*(E5927=E5926:E$2)))))</f>
        <v> </v>
      </c>
      <c r="J5927" s="26" t="str">
        <f>IF(OR(E5927="",E5927="!!!",F5927="NEW"),"",COUNTBLANK(OFFSET(A$1,,,SUMPRODUCT(MAX(ROW(E$2:E5927)*(E5927=E$2:E5927)))))-COUNTBLANK(OFFSET(A$1,,,SUMPRODUCT(MAX(ROW(E$1:E5926)*(E2=E$1:E5926))))))</f>
        <v> </v>
      </c>
      <c r="K5927" s="26" t="str">
        <f>IF(OR(E5927="",E5927="!!!",F5927="NEW"),"",INDEX(J$1:J5926,SUMPRODUCT(MAX(ROW(E$1:E5926)*(E5927=E$1:E5926)))))</f>
        <v> </v>
      </c>
      <c r="L5927" s="27"/>
    </row>
    <row r="5928" spans="1:12">
      <c r="A5928" s="20" t="s">
        <v>1023</v>
      </c>
      <c r="E5928" s="22">
        <f>IF(D5928="?OLD","!!!","")</f>
        <v/>
      </c>
      <c r="F5928" s="23" t="str">
        <f>IF(OR(E5928="",E5928="!!!"),"",IF(NOT(ISNA(VLOOKUP(E5928,E$1:E5927,1,FALSE()))),"OLD",IF(AND(E5928&lt;&gt;"",E5928&lt;&gt;"!!!"),"NEW","")))</f>
        <v> </v>
      </c>
      <c r="G5928" s="24" t="str">
        <f>IF(OR(E5928="",E5928="!!!"),"",IF(OR(J5928=0,AND(J5928=1,K5928=1),AND(J5928=1,I5928="SBJ"),AND(J5928=1,I5928=0)),"?IN_FOCUS",IF(J5928&lt;=2,"?ACTIVATED",IF(J5928&lt;&gt;"","?FAMILIAR",IF(F5928="NEW",IF(ISNA(VLOOKUP(E5928,#REF!,1,FALSE())),"?TYPE_IDENTIFIABLE","?REFERENTIAL"),"_")))))</f>
        <v> </v>
      </c>
      <c r="H5928" s="25" t="str">
        <f>IF(J5928&lt;&gt;1,"",IF(I5928="SBJ","CB","?"))</f>
        <v> </v>
      </c>
      <c r="I5928" s="26" t="str">
        <f>IF(OR(E5928="",E5928="!!!",F5928="NEW"),"",INDEX(B5927:B$2,-1+SUMPRODUCT(MAX(ROW(E5927:E$2)*(E5928=E5927:E$2)))))</f>
        <v> </v>
      </c>
      <c r="J5928" s="26" t="str">
        <f>IF(OR(E5928="",E5928="!!!",F5928="NEW"),"",COUNTBLANK(OFFSET(A$1,,,SUMPRODUCT(MAX(ROW(E$2:E5928)*(E5928=E$2:E5928)))))-COUNTBLANK(OFFSET(A$1,,,SUMPRODUCT(MAX(ROW(E$1:E5927)*(E2=E$1:E5927))))))</f>
        <v> </v>
      </c>
      <c r="K5928" s="26" t="str">
        <f>IF(OR(E5928="",E5928="!!!",F5928="NEW"),"",INDEX(J$1:J5927,SUMPRODUCT(MAX(ROW(E$1:E5927)*(E5928=E$1:E5927)))))</f>
        <v> </v>
      </c>
      <c r="L5928" s="27"/>
    </row>
    <row r="5929" spans="1:12">
      <c r="A5929" s="20"/>
    </row>
    <row r="5930" spans="1:12">
      <c r="A5930" s="20" t="s">
        <v>2578</v>
      </c>
    </row>
    <row r="5931" spans="1:12">
      <c r="A5931" s="20" t="s">
        <v>1147</v>
      </c>
      <c r="E5931" s="22">
        <f>IF(D5931="?OLD","!!!","")</f>
        <v/>
      </c>
      <c r="F5931" s="23" t="str">
        <f>IF(OR(E5931="",E5931="!!!"),"",IF(NOT(ISNA(VLOOKUP(E5931,E$1:E5930,1,FALSE()))),"OLD",IF(AND(E5931&lt;&gt;"",E5931&lt;&gt;"!!!"),"NEW","")))</f>
        <v> </v>
      </c>
      <c r="G5931" s="24" t="str">
        <f>IF(OR(E5931="",E5931="!!!"),"",IF(OR(J5931=0,AND(J5931=1,K5931=1),AND(J5931=1,I5931="SBJ"),AND(J5931=1,I5931=0)),"?IN_FOCUS",IF(J5931&lt;=2,"?ACTIVATED",IF(J5931&lt;&gt;"","?FAMILIAR",IF(F5931="NEW",IF(ISNA(VLOOKUP(E5931,#REF!,1,FALSE())),"?TYPE_IDENTIFIABLE","?REFERENTIAL"),"_")))))</f>
        <v> </v>
      </c>
      <c r="H5931" s="25" t="str">
        <f>IF(J5931&lt;&gt;1,"",IF(I5931="SBJ","CB","?"))</f>
        <v> </v>
      </c>
      <c r="I5931" s="26" t="str">
        <f>IF(OR(E5931="",E5931="!!!",F5931="NEW"),"",INDEX(B5930:B$2,-1+SUMPRODUCT(MAX(ROW(E5930:E$2)*(E5931=E5930:E$2)))))</f>
        <v> </v>
      </c>
      <c r="J5931" s="26" t="str">
        <f>IF(OR(E5931="",E5931="!!!",F5931="NEW"),"",COUNTBLANK(OFFSET(A$1,,,SUMPRODUCT(MAX(ROW(E$2:E5931)*(E5931=E$2:E5931)))))-COUNTBLANK(OFFSET(A$1,,,SUMPRODUCT(MAX(ROW(E$1:E5930)*(E2=E$1:E5930))))))</f>
        <v> </v>
      </c>
      <c r="K5931" s="26" t="str">
        <f>IF(OR(E5931="",E5931="!!!",F5931="NEW"),"",INDEX(J$1:J5930,SUMPRODUCT(MAX(ROW(E$1:E5930)*(E5931=E$1:E5930)))))</f>
        <v> </v>
      </c>
      <c r="L5931" s="27"/>
    </row>
    <row r="5932" spans="1:12">
      <c r="A5932" s="20" t="s">
        <v>1199</v>
      </c>
      <c r="E5932" s="22">
        <f>IF(D5932="?OLD","!!!","")</f>
        <v/>
      </c>
      <c r="F5932" s="23" t="str">
        <f>IF(OR(E5932="",E5932="!!!"),"",IF(NOT(ISNA(VLOOKUP(E5932,E$1:E5931,1,FALSE()))),"OLD",IF(AND(E5932&lt;&gt;"",E5932&lt;&gt;"!!!"),"NEW","")))</f>
        <v> </v>
      </c>
      <c r="G5932" s="24" t="str">
        <f>IF(OR(E5932="",E5932="!!!"),"",IF(OR(J5932=0,AND(J5932=1,K5932=1),AND(J5932=1,I5932="SBJ"),AND(J5932=1,I5932=0)),"?IN_FOCUS",IF(J5932&lt;=2,"?ACTIVATED",IF(J5932&lt;&gt;"","?FAMILIAR",IF(F5932="NEW",IF(ISNA(VLOOKUP(E5932,#REF!,1,FALSE())),"?TYPE_IDENTIFIABLE","?REFERENTIAL"),"_")))))</f>
        <v> </v>
      </c>
      <c r="H5932" s="25" t="str">
        <f>IF(J5932&lt;&gt;1,"",IF(I5932="SBJ","CB","?"))</f>
        <v> </v>
      </c>
      <c r="I5932" s="26" t="str">
        <f>IF(OR(E5932="",E5932="!!!",F5932="NEW"),"",INDEX(B5931:B$2,-1+SUMPRODUCT(MAX(ROW(E5931:E$2)*(E5932=E5931:E$2)))))</f>
        <v> </v>
      </c>
      <c r="J5932" s="26" t="str">
        <f>IF(OR(E5932="",E5932="!!!",F5932="NEW"),"",COUNTBLANK(OFFSET(A$1,,,SUMPRODUCT(MAX(ROW(E$2:E5932)*(E5932=E$2:E5932)))))-COUNTBLANK(OFFSET(A$1,,,SUMPRODUCT(MAX(ROW(E$1:E5931)*(E2=E$1:E5931))))))</f>
        <v> </v>
      </c>
      <c r="K5932" s="26" t="str">
        <f>IF(OR(E5932="",E5932="!!!",F5932="NEW"),"",INDEX(J$1:J5931,SUMPRODUCT(MAX(ROW(E$1:E5931)*(E5932=E$1:E5931)))))</f>
        <v> </v>
      </c>
      <c r="L5932" s="27"/>
    </row>
    <row r="5933" spans="1:12">
      <c r="A5933" s="20" t="s">
        <v>2579</v>
      </c>
      <c r="E5933" s="22">
        <f>IF(D5933="?OLD","!!!","")</f>
        <v/>
      </c>
      <c r="F5933" s="23" t="str">
        <f>IF(OR(E5933="",E5933="!!!"),"",IF(NOT(ISNA(VLOOKUP(E5933,E$1:E5932,1,FALSE()))),"OLD",IF(AND(E5933&lt;&gt;"",E5933&lt;&gt;"!!!"),"NEW","")))</f>
        <v> </v>
      </c>
      <c r="G5933" s="24" t="str">
        <f>IF(OR(E5933="",E5933="!!!"),"",IF(OR(J5933=0,AND(J5933=1,K5933=1),AND(J5933=1,I5933="SBJ"),AND(J5933=1,I5933=0)),"?IN_FOCUS",IF(J5933&lt;=2,"?ACTIVATED",IF(J5933&lt;&gt;"","?FAMILIAR",IF(F5933="NEW",IF(ISNA(VLOOKUP(E5933,#REF!,1,FALSE())),"?TYPE_IDENTIFIABLE","?REFERENTIAL"),"_")))))</f>
        <v> </v>
      </c>
      <c r="H5933" s="25" t="str">
        <f>IF(J5933&lt;&gt;1,"",IF(I5933="SBJ","CB","?"))</f>
        <v> </v>
      </c>
      <c r="I5933" s="26" t="str">
        <f>IF(OR(E5933="",E5933="!!!",F5933="NEW"),"",INDEX(B5932:B$2,-1+SUMPRODUCT(MAX(ROW(E5932:E$2)*(E5933=E5932:E$2)))))</f>
        <v> </v>
      </c>
      <c r="J5933" s="26" t="str">
        <f>IF(OR(E5933="",E5933="!!!",F5933="NEW"),"",COUNTBLANK(OFFSET(A$1,,,SUMPRODUCT(MAX(ROW(E$2:E5933)*(E5933=E$2:E5933)))))-COUNTBLANK(OFFSET(A$1,,,SUMPRODUCT(MAX(ROW(E$1:E5932)*(E2=E$1:E5932))))))</f>
        <v> </v>
      </c>
      <c r="K5933" s="26" t="str">
        <f>IF(OR(E5933="",E5933="!!!",F5933="NEW"),"",INDEX(J$1:J5932,SUMPRODUCT(MAX(ROW(E$1:E5932)*(E5933=E$1:E5932)))))</f>
        <v> </v>
      </c>
      <c r="L5933" s="27"/>
    </row>
    <row r="5934" spans="1:12">
      <c r="A5934" s="20" t="s">
        <v>1020</v>
      </c>
      <c r="E5934" s="22">
        <f>IF(D5934="?OLD","!!!","")</f>
        <v/>
      </c>
      <c r="F5934" s="23" t="str">
        <f>IF(OR(E5934="",E5934="!!!"),"",IF(NOT(ISNA(VLOOKUP(E5934,E$1:E5933,1,FALSE()))),"OLD",IF(AND(E5934&lt;&gt;"",E5934&lt;&gt;"!!!"),"NEW","")))</f>
        <v> </v>
      </c>
      <c r="G5934" s="24" t="str">
        <f>IF(OR(E5934="",E5934="!!!"),"",IF(OR(J5934=0,AND(J5934=1,K5934=1),AND(J5934=1,I5934="SBJ"),AND(J5934=1,I5934=0)),"?IN_FOCUS",IF(J5934&lt;=2,"?ACTIVATED",IF(J5934&lt;&gt;"","?FAMILIAR",IF(F5934="NEW",IF(ISNA(VLOOKUP(E5934,#REF!,1,FALSE())),"?TYPE_IDENTIFIABLE","?REFERENTIAL"),"_")))))</f>
        <v> </v>
      </c>
      <c r="H5934" s="25" t="str">
        <f>IF(J5934&lt;&gt;1,"",IF(I5934="SBJ","CB","?"))</f>
        <v> </v>
      </c>
      <c r="I5934" s="26" t="str">
        <f>IF(OR(E5934="",E5934="!!!",F5934="NEW"),"",INDEX(B5933:B$2,-1+SUMPRODUCT(MAX(ROW(E5933:E$2)*(E5934=E5933:E$2)))))</f>
        <v> </v>
      </c>
      <c r="J5934" s="26" t="str">
        <f>IF(OR(E5934="",E5934="!!!",F5934="NEW"),"",COUNTBLANK(OFFSET(A$1,,,SUMPRODUCT(MAX(ROW(E$2:E5934)*(E5934=E$2:E5934)))))-COUNTBLANK(OFFSET(A$1,,,SUMPRODUCT(MAX(ROW(E$1:E5933)*(E2=E$1:E5933))))))</f>
        <v> </v>
      </c>
      <c r="K5934" s="26" t="str">
        <f>IF(OR(E5934="",E5934="!!!",F5934="NEW"),"",INDEX(J$1:J5933,SUMPRODUCT(MAX(ROW(E$1:E5933)*(E5934=E$1:E5933)))))</f>
        <v> </v>
      </c>
      <c r="L5934" s="27"/>
    </row>
    <row r="5935" spans="1:12">
      <c r="A5935" s="20" t="s">
        <v>1021</v>
      </c>
      <c r="B5935" s="21" t="s">
        <v>1085</v>
      </c>
      <c r="C5935" s="21" t="s">
        <v>1006</v>
      </c>
      <c r="D5935" s="21" t="s">
        <v>1007</v>
      </c>
      <c r="E5935" s="22">
        <f>IF(D5935="?OLD","!!!","")</f>
        <v/>
      </c>
      <c r="F5935" s="23" t="str">
        <f>IF(OR(E5935="",E5935="!!!"),"",IF(NOT(ISNA(VLOOKUP(E5935,E$1:E5934,1,FALSE()))),"OLD",IF(AND(E5935&lt;&gt;"",E5935&lt;&gt;"!!!"),"NEW","")))</f>
        <v> </v>
      </c>
      <c r="G5935" s="24" t="str">
        <f>IF(OR(E5935="",E5935="!!!"),"",IF(OR(J5935=0,AND(J5935=1,K5935=1),AND(J5935=1,I5935="SBJ"),AND(J5935=1,I5935=0)),"?IN_FOCUS",IF(J5935&lt;=2,"?ACTIVATED",IF(J5935&lt;&gt;"","?FAMILIAR",IF(F5935="NEW",IF(ISNA(VLOOKUP(E5935,#REF!,1,FALSE())),"?TYPE_IDENTIFIABLE","?REFERENTIAL"),"_")))))</f>
        <v> </v>
      </c>
      <c r="H5935" s="25" t="str">
        <f>IF(J5935&lt;&gt;1,"",IF(I5935="SBJ","CB","?"))</f>
        <v> </v>
      </c>
      <c r="I5935" s="26" t="str">
        <f>IF(OR(E5935="",E5935="!!!",F5935="NEW"),"",INDEX(B5934:B$2,-1+SUMPRODUCT(MAX(ROW(E5934:E$2)*(E5935=E5934:E$2)))))</f>
        <v> </v>
      </c>
      <c r="J5935" s="26" t="str">
        <f>IF(OR(E5935="",E5935="!!!",F5935="NEW"),"",COUNTBLANK(OFFSET(A$1,,,SUMPRODUCT(MAX(ROW(E$2:E5935)*(E5935=E$2:E5935)))))-COUNTBLANK(OFFSET(A$1,,,SUMPRODUCT(MAX(ROW(E$1:E5934)*(E2=E$1:E5934))))))</f>
        <v> </v>
      </c>
      <c r="K5935" s="26" t="str">
        <f>IF(OR(E5935="",E5935="!!!",F5935="NEW"),"",INDEX(J$1:J5934,SUMPRODUCT(MAX(ROW(E$1:E5934)*(E5935=E$1:E5934)))))</f>
        <v> </v>
      </c>
      <c r="L5935" s="27"/>
    </row>
    <row r="5936" spans="1:12">
      <c r="A5936" s="20" t="s">
        <v>1065</v>
      </c>
      <c r="E5936" s="22">
        <f>IF(D5936="?OLD","!!!","")</f>
        <v/>
      </c>
      <c r="F5936" s="23" t="str">
        <f>IF(OR(E5936="",E5936="!!!"),"",IF(NOT(ISNA(VLOOKUP(E5936,E$1:E5935,1,FALSE()))),"OLD",IF(AND(E5936&lt;&gt;"",E5936&lt;&gt;"!!!"),"NEW","")))</f>
        <v> </v>
      </c>
      <c r="G5936" s="24" t="str">
        <f>IF(OR(E5936="",E5936="!!!"),"",IF(OR(J5936=0,AND(J5936=1,K5936=1),AND(J5936=1,I5936="SBJ"),AND(J5936=1,I5936=0)),"?IN_FOCUS",IF(J5936&lt;=2,"?ACTIVATED",IF(J5936&lt;&gt;"","?FAMILIAR",IF(F5936="NEW",IF(ISNA(VLOOKUP(E5936,#REF!,1,FALSE())),"?TYPE_IDENTIFIABLE","?REFERENTIAL"),"_")))))</f>
        <v> </v>
      </c>
      <c r="H5936" s="25" t="str">
        <f>IF(J5936&lt;&gt;1,"",IF(I5936="SBJ","CB","?"))</f>
        <v> </v>
      </c>
      <c r="I5936" s="26" t="str">
        <f>IF(OR(E5936="",E5936="!!!",F5936="NEW"),"",INDEX(B5935:B$2,-1+SUMPRODUCT(MAX(ROW(E5935:E$2)*(E5936=E5935:E$2)))))</f>
        <v> </v>
      </c>
      <c r="J5936" s="26" t="str">
        <f>IF(OR(E5936="",E5936="!!!",F5936="NEW"),"",COUNTBLANK(OFFSET(A$1,,,SUMPRODUCT(MAX(ROW(E$2:E5936)*(E5936=E$2:E5936)))))-COUNTBLANK(OFFSET(A$1,,,SUMPRODUCT(MAX(ROW(E$1:E5935)*(E2=E$1:E5935))))))</f>
        <v> </v>
      </c>
      <c r="K5936" s="26" t="str">
        <f>IF(OR(E5936="",E5936="!!!",F5936="NEW"),"",INDEX(J$1:J5935,SUMPRODUCT(MAX(ROW(E$1:E5935)*(E5936=E$1:E5935)))))</f>
        <v> </v>
      </c>
      <c r="L5936" s="27"/>
    </row>
    <row r="5937" spans="1:12">
      <c r="A5937" s="20" t="s">
        <v>2580</v>
      </c>
      <c r="E5937" s="22">
        <f>IF(D5937="?OLD","!!!","")</f>
        <v/>
      </c>
      <c r="F5937" s="23" t="str">
        <f>IF(OR(E5937="",E5937="!!!"),"",IF(NOT(ISNA(VLOOKUP(E5937,E$1:E5936,1,FALSE()))),"OLD",IF(AND(E5937&lt;&gt;"",E5937&lt;&gt;"!!!"),"NEW","")))</f>
        <v> </v>
      </c>
      <c r="G5937" s="24" t="str">
        <f>IF(OR(E5937="",E5937="!!!"),"",IF(OR(J5937=0,AND(J5937=1,K5937=1),AND(J5937=1,I5937="SBJ"),AND(J5937=1,I5937=0)),"?IN_FOCUS",IF(J5937&lt;=2,"?ACTIVATED",IF(J5937&lt;&gt;"","?FAMILIAR",IF(F5937="NEW",IF(ISNA(VLOOKUP(E5937,#REF!,1,FALSE())),"?TYPE_IDENTIFIABLE","?REFERENTIAL"),"_")))))</f>
        <v> </v>
      </c>
      <c r="H5937" s="25" t="str">
        <f>IF(J5937&lt;&gt;1,"",IF(I5937="SBJ","CB","?"))</f>
        <v> </v>
      </c>
      <c r="I5937" s="26" t="str">
        <f>IF(OR(E5937="",E5937="!!!",F5937="NEW"),"",INDEX(B5936:B$2,-1+SUMPRODUCT(MAX(ROW(E5936:E$2)*(E5937=E5936:E$2)))))</f>
        <v> </v>
      </c>
      <c r="J5937" s="26" t="str">
        <f>IF(OR(E5937="",E5937="!!!",F5937="NEW"),"",COUNTBLANK(OFFSET(A$1,,,SUMPRODUCT(MAX(ROW(E$2:E5937)*(E5937=E$2:E5937)))))-COUNTBLANK(OFFSET(A$1,,,SUMPRODUCT(MAX(ROW(E$1:E5936)*(E2=E$1:E5936))))))</f>
        <v> </v>
      </c>
      <c r="K5937" s="26" t="str">
        <f>IF(OR(E5937="",E5937="!!!",F5937="NEW"),"",INDEX(J$1:J5936,SUMPRODUCT(MAX(ROW(E$1:E5936)*(E5937=E$1:E5936)))))</f>
        <v> </v>
      </c>
      <c r="L5937" s="27"/>
    </row>
    <row r="5938" spans="1:12">
      <c r="A5938" s="20" t="s">
        <v>1018</v>
      </c>
      <c r="E5938" s="22">
        <f>IF(D5938="?OLD","!!!","")</f>
        <v/>
      </c>
      <c r="F5938" s="23" t="str">
        <f>IF(OR(E5938="",E5938="!!!"),"",IF(NOT(ISNA(VLOOKUP(E5938,E$1:E5937,1,FALSE()))),"OLD",IF(AND(E5938&lt;&gt;"",E5938&lt;&gt;"!!!"),"NEW","")))</f>
        <v> </v>
      </c>
      <c r="G5938" s="24" t="str">
        <f>IF(OR(E5938="",E5938="!!!"),"",IF(OR(J5938=0,AND(J5938=1,K5938=1),AND(J5938=1,I5938="SBJ"),AND(J5938=1,I5938=0)),"?IN_FOCUS",IF(J5938&lt;=2,"?ACTIVATED",IF(J5938&lt;&gt;"","?FAMILIAR",IF(F5938="NEW",IF(ISNA(VLOOKUP(E5938,#REF!,1,FALSE())),"?TYPE_IDENTIFIABLE","?REFERENTIAL"),"_")))))</f>
        <v> </v>
      </c>
      <c r="H5938" s="25" t="str">
        <f>IF(J5938&lt;&gt;1,"",IF(I5938="SBJ","CB","?"))</f>
        <v> </v>
      </c>
      <c r="I5938" s="26" t="str">
        <f>IF(OR(E5938="",E5938="!!!",F5938="NEW"),"",INDEX(B5937:B$2,-1+SUMPRODUCT(MAX(ROW(E5937:E$2)*(E5938=E5937:E$2)))))</f>
        <v> </v>
      </c>
      <c r="J5938" s="26" t="str">
        <f>IF(OR(E5938="",E5938="!!!",F5938="NEW"),"",COUNTBLANK(OFFSET(A$1,,,SUMPRODUCT(MAX(ROW(E$2:E5938)*(E5938=E$2:E5938)))))-COUNTBLANK(OFFSET(A$1,,,SUMPRODUCT(MAX(ROW(E$1:E5937)*(E2=E$1:E5937))))))</f>
        <v> </v>
      </c>
      <c r="K5938" s="26" t="str">
        <f>IF(OR(E5938="",E5938="!!!",F5938="NEW"),"",INDEX(J$1:J5937,SUMPRODUCT(MAX(ROW(E$1:E5937)*(E5938=E$1:E5937)))))</f>
        <v> </v>
      </c>
      <c r="L5938" s="27"/>
    </row>
    <row r="5939" spans="1:12">
      <c r="A5939" s="20" t="s">
        <v>1330</v>
      </c>
      <c r="E5939" s="22">
        <f>IF(D5939="?OLD","!!!","")</f>
        <v/>
      </c>
      <c r="F5939" s="23" t="str">
        <f>IF(OR(E5939="",E5939="!!!"),"",IF(NOT(ISNA(VLOOKUP(E5939,E$1:E5938,1,FALSE()))),"OLD",IF(AND(E5939&lt;&gt;"",E5939&lt;&gt;"!!!"),"NEW","")))</f>
        <v> </v>
      </c>
      <c r="G5939" s="24" t="str">
        <f>IF(OR(E5939="",E5939="!!!"),"",IF(OR(J5939=0,AND(J5939=1,K5939=1),AND(J5939=1,I5939="SBJ"),AND(J5939=1,I5939=0)),"?IN_FOCUS",IF(J5939&lt;=2,"?ACTIVATED",IF(J5939&lt;&gt;"","?FAMILIAR",IF(F5939="NEW",IF(ISNA(VLOOKUP(E5939,#REF!,1,FALSE())),"?TYPE_IDENTIFIABLE","?REFERENTIAL"),"_")))))</f>
        <v> </v>
      </c>
      <c r="H5939" s="25" t="str">
        <f>IF(J5939&lt;&gt;1,"",IF(I5939="SBJ","CB","?"))</f>
        <v> </v>
      </c>
      <c r="I5939" s="26" t="str">
        <f>IF(OR(E5939="",E5939="!!!",F5939="NEW"),"",INDEX(B5938:B$2,-1+SUMPRODUCT(MAX(ROW(E5938:E$2)*(E5939=E5938:E$2)))))</f>
        <v> </v>
      </c>
      <c r="J5939" s="26" t="str">
        <f>IF(OR(E5939="",E5939="!!!",F5939="NEW"),"",COUNTBLANK(OFFSET(A$1,,,SUMPRODUCT(MAX(ROW(E$2:E5939)*(E5939=E$2:E5939)))))-COUNTBLANK(OFFSET(A$1,,,SUMPRODUCT(MAX(ROW(E$1:E5938)*(E2=E$1:E5938))))))</f>
        <v> </v>
      </c>
      <c r="K5939" s="26" t="str">
        <f>IF(OR(E5939="",E5939="!!!",F5939="NEW"),"",INDEX(J$1:J5938,SUMPRODUCT(MAX(ROW(E$1:E5938)*(E5939=E$1:E5938)))))</f>
        <v> </v>
      </c>
      <c r="L5939" s="27"/>
    </row>
    <row r="5940" spans="1:12">
      <c r="A5940" s="20" t="s">
        <v>1324</v>
      </c>
      <c r="E5940" s="22">
        <f>IF(D5940="?OLD","!!!","")</f>
        <v/>
      </c>
      <c r="F5940" s="23" t="str">
        <f>IF(OR(E5940="",E5940="!!!"),"",IF(NOT(ISNA(VLOOKUP(E5940,E$1:E5939,1,FALSE()))),"OLD",IF(AND(E5940&lt;&gt;"",E5940&lt;&gt;"!!!"),"NEW","")))</f>
        <v> </v>
      </c>
      <c r="G5940" s="24" t="str">
        <f>IF(OR(E5940="",E5940="!!!"),"",IF(OR(J5940=0,AND(J5940=1,K5940=1),AND(J5940=1,I5940="SBJ"),AND(J5940=1,I5940=0)),"?IN_FOCUS",IF(J5940&lt;=2,"?ACTIVATED",IF(J5940&lt;&gt;"","?FAMILIAR",IF(F5940="NEW",IF(ISNA(VLOOKUP(E5940,#REF!,1,FALSE())),"?TYPE_IDENTIFIABLE","?REFERENTIAL"),"_")))))</f>
        <v> </v>
      </c>
      <c r="H5940" s="25" t="str">
        <f>IF(J5940&lt;&gt;1,"",IF(I5940="SBJ","CB","?"))</f>
        <v> </v>
      </c>
      <c r="I5940" s="26" t="str">
        <f>IF(OR(E5940="",E5940="!!!",F5940="NEW"),"",INDEX(B5939:B$2,-1+SUMPRODUCT(MAX(ROW(E5939:E$2)*(E5940=E5939:E$2)))))</f>
        <v> </v>
      </c>
      <c r="J5940" s="26" t="str">
        <f>IF(OR(E5940="",E5940="!!!",F5940="NEW"),"",COUNTBLANK(OFFSET(A$1,,,SUMPRODUCT(MAX(ROW(E$2:E5940)*(E5940=E$2:E5940)))))-COUNTBLANK(OFFSET(A$1,,,SUMPRODUCT(MAX(ROW(E$1:E5939)*(E2=E$1:E5939))))))</f>
        <v> </v>
      </c>
      <c r="K5940" s="26" t="str">
        <f>IF(OR(E5940="",E5940="!!!",F5940="NEW"),"",INDEX(J$1:J5939,SUMPRODUCT(MAX(ROW(E$1:E5939)*(E5940=E$1:E5939)))))</f>
        <v> </v>
      </c>
      <c r="L5940" s="27"/>
    </row>
    <row r="5941" spans="1:12">
      <c r="A5941" s="20" t="s">
        <v>1021</v>
      </c>
      <c r="B5941" s="21" t="s">
        <v>1005</v>
      </c>
      <c r="C5941" s="21" t="s">
        <v>1006</v>
      </c>
      <c r="D5941" s="21" t="s">
        <v>1007</v>
      </c>
      <c r="E5941" s="22">
        <f>IF(D5941="?OLD","!!!","")</f>
        <v/>
      </c>
      <c r="F5941" s="23" t="str">
        <f>IF(OR(E5941="",E5941="!!!"),"",IF(NOT(ISNA(VLOOKUP(E5941,E$1:E5940,1,FALSE()))),"OLD",IF(AND(E5941&lt;&gt;"",E5941&lt;&gt;"!!!"),"NEW","")))</f>
        <v> </v>
      </c>
      <c r="G5941" s="24" t="str">
        <f>IF(OR(E5941="",E5941="!!!"),"",IF(OR(J5941=0,AND(J5941=1,K5941=1),AND(J5941=1,I5941="SBJ"),AND(J5941=1,I5941=0)),"?IN_FOCUS",IF(J5941&lt;=2,"?ACTIVATED",IF(J5941&lt;&gt;"","?FAMILIAR",IF(F5941="NEW",IF(ISNA(VLOOKUP(E5941,#REF!,1,FALSE())),"?TYPE_IDENTIFIABLE","?REFERENTIAL"),"_")))))</f>
        <v> </v>
      </c>
      <c r="H5941" s="25" t="str">
        <f>IF(J5941&lt;&gt;1,"",IF(I5941="SBJ","CB","?"))</f>
        <v> </v>
      </c>
      <c r="I5941" s="26" t="str">
        <f>IF(OR(E5941="",E5941="!!!",F5941="NEW"),"",INDEX(B5940:B$2,-1+SUMPRODUCT(MAX(ROW(E5940:E$2)*(E5941=E5940:E$2)))))</f>
        <v> </v>
      </c>
      <c r="J5941" s="26" t="str">
        <f>IF(OR(E5941="",E5941="!!!",F5941="NEW"),"",COUNTBLANK(OFFSET(A$1,,,SUMPRODUCT(MAX(ROW(E$2:E5941)*(E5941=E$2:E5941)))))-COUNTBLANK(OFFSET(A$1,,,SUMPRODUCT(MAX(ROW(E$1:E5940)*(E2=E$1:E5940))))))</f>
        <v> </v>
      </c>
      <c r="K5941" s="26" t="str">
        <f>IF(OR(E5941="",E5941="!!!",F5941="NEW"),"",INDEX(J$1:J5940,SUMPRODUCT(MAX(ROW(E$1:E5940)*(E5941=E$1:E5940)))))</f>
        <v> </v>
      </c>
      <c r="L5941" s="27"/>
    </row>
    <row r="5942" spans="1:12">
      <c r="A5942" s="20" t="s">
        <v>1401</v>
      </c>
      <c r="E5942" s="22">
        <f>IF(D5942="?OLD","!!!","")</f>
        <v/>
      </c>
      <c r="F5942" s="23" t="str">
        <f>IF(OR(E5942="",E5942="!!!"),"",IF(NOT(ISNA(VLOOKUP(E5942,E$1:E5941,1,FALSE()))),"OLD",IF(AND(E5942&lt;&gt;"",E5942&lt;&gt;"!!!"),"NEW","")))</f>
        <v> </v>
      </c>
      <c r="G5942" s="24" t="str">
        <f>IF(OR(E5942="",E5942="!!!"),"",IF(OR(J5942=0,AND(J5942=1,K5942=1),AND(J5942=1,I5942="SBJ"),AND(J5942=1,I5942=0)),"?IN_FOCUS",IF(J5942&lt;=2,"?ACTIVATED",IF(J5942&lt;&gt;"","?FAMILIAR",IF(F5942="NEW",IF(ISNA(VLOOKUP(E5942,#REF!,1,FALSE())),"?TYPE_IDENTIFIABLE","?REFERENTIAL"),"_")))))</f>
        <v> </v>
      </c>
      <c r="H5942" s="25" t="str">
        <f>IF(J5942&lt;&gt;1,"",IF(I5942="SBJ","CB","?"))</f>
        <v> </v>
      </c>
      <c r="I5942" s="26" t="str">
        <f>IF(OR(E5942="",E5942="!!!",F5942="NEW"),"",INDEX(B5941:B$2,-1+SUMPRODUCT(MAX(ROW(E5941:E$2)*(E5942=E5941:E$2)))))</f>
        <v> </v>
      </c>
      <c r="J5942" s="26" t="str">
        <f>IF(OR(E5942="",E5942="!!!",F5942="NEW"),"",COUNTBLANK(OFFSET(A$1,,,SUMPRODUCT(MAX(ROW(E$2:E5942)*(E5942=E$2:E5942)))))-COUNTBLANK(OFFSET(A$1,,,SUMPRODUCT(MAX(ROW(E$1:E5941)*(E2=E$1:E5941))))))</f>
        <v> </v>
      </c>
      <c r="K5942" s="26" t="str">
        <f>IF(OR(E5942="",E5942="!!!",F5942="NEW"),"",INDEX(J$1:J5941,SUMPRODUCT(MAX(ROW(E$1:E5941)*(E5942=E$1:E5941)))))</f>
        <v> </v>
      </c>
      <c r="L5942" s="27"/>
    </row>
    <row r="5943" spans="1:12">
      <c r="A5943" s="20" t="s">
        <v>1018</v>
      </c>
      <c r="E5943" s="22">
        <f>IF(D5943="?OLD","!!!","")</f>
        <v/>
      </c>
      <c r="F5943" s="23" t="str">
        <f>IF(OR(E5943="",E5943="!!!"),"",IF(NOT(ISNA(VLOOKUP(E5943,E$1:E5942,1,FALSE()))),"OLD",IF(AND(E5943&lt;&gt;"",E5943&lt;&gt;"!!!"),"NEW","")))</f>
        <v> </v>
      </c>
      <c r="G5943" s="24" t="str">
        <f>IF(OR(E5943="",E5943="!!!"),"",IF(OR(J5943=0,AND(J5943=1,K5943=1),AND(J5943=1,I5943="SBJ"),AND(J5943=1,I5943=0)),"?IN_FOCUS",IF(J5943&lt;=2,"?ACTIVATED",IF(J5943&lt;&gt;"","?FAMILIAR",IF(F5943="NEW",IF(ISNA(VLOOKUP(E5943,#REF!,1,FALSE())),"?TYPE_IDENTIFIABLE","?REFERENTIAL"),"_")))))</f>
        <v> </v>
      </c>
      <c r="H5943" s="25" t="str">
        <f>IF(J5943&lt;&gt;1,"",IF(I5943="SBJ","CB","?"))</f>
        <v> </v>
      </c>
      <c r="I5943" s="26" t="str">
        <f>IF(OR(E5943="",E5943="!!!",F5943="NEW"),"",INDEX(B5942:B$2,-1+SUMPRODUCT(MAX(ROW(E5942:E$2)*(E5943=E5942:E$2)))))</f>
        <v> </v>
      </c>
      <c r="J5943" s="26" t="str">
        <f>IF(OR(E5943="",E5943="!!!",F5943="NEW"),"",COUNTBLANK(OFFSET(A$1,,,SUMPRODUCT(MAX(ROW(E$2:E5943)*(E5943=E$2:E5943)))))-COUNTBLANK(OFFSET(A$1,,,SUMPRODUCT(MAX(ROW(E$1:E5942)*(E2=E$1:E5942))))))</f>
        <v> </v>
      </c>
      <c r="K5943" s="26" t="str">
        <f>IF(OR(E5943="",E5943="!!!",F5943="NEW"),"",INDEX(J$1:J5942,SUMPRODUCT(MAX(ROW(E$1:E5942)*(E5943=E$1:E5942)))))</f>
        <v> </v>
      </c>
      <c r="L5943" s="27"/>
    </row>
    <row r="5944" spans="1:12">
      <c r="A5944" s="20" t="s">
        <v>2054</v>
      </c>
      <c r="E5944" s="22">
        <f>IF(D5944="?OLD","!!!","")</f>
        <v/>
      </c>
      <c r="F5944" s="23" t="str">
        <f>IF(OR(E5944="",E5944="!!!"),"",IF(NOT(ISNA(VLOOKUP(E5944,E$1:E5943,1,FALSE()))),"OLD",IF(AND(E5944&lt;&gt;"",E5944&lt;&gt;"!!!"),"NEW","")))</f>
        <v> </v>
      </c>
      <c r="G5944" s="24" t="str">
        <f>IF(OR(E5944="",E5944="!!!"),"",IF(OR(J5944=0,AND(J5944=1,K5944=1),AND(J5944=1,I5944="SBJ"),AND(J5944=1,I5944=0)),"?IN_FOCUS",IF(J5944&lt;=2,"?ACTIVATED",IF(J5944&lt;&gt;"","?FAMILIAR",IF(F5944="NEW",IF(ISNA(VLOOKUP(E5944,#REF!,1,FALSE())),"?TYPE_IDENTIFIABLE","?REFERENTIAL"),"_")))))</f>
        <v> </v>
      </c>
      <c r="H5944" s="25" t="str">
        <f>IF(J5944&lt;&gt;1,"",IF(I5944="SBJ","CB","?"))</f>
        <v> </v>
      </c>
      <c r="I5944" s="26" t="str">
        <f>IF(OR(E5944="",E5944="!!!",F5944="NEW"),"",INDEX(B5943:B$2,-1+SUMPRODUCT(MAX(ROW(E5943:E$2)*(E5944=E5943:E$2)))))</f>
        <v> </v>
      </c>
      <c r="J5944" s="26" t="str">
        <f>IF(OR(E5944="",E5944="!!!",F5944="NEW"),"",COUNTBLANK(OFFSET(A$1,,,SUMPRODUCT(MAX(ROW(E$2:E5944)*(E5944=E$2:E5944)))))-COUNTBLANK(OFFSET(A$1,,,SUMPRODUCT(MAX(ROW(E$1:E5943)*(E2=E$1:E5943))))))</f>
        <v> </v>
      </c>
      <c r="K5944" s="26" t="str">
        <f>IF(OR(E5944="",E5944="!!!",F5944="NEW"),"",INDEX(J$1:J5943,SUMPRODUCT(MAX(ROW(E$1:E5943)*(E5944=E$1:E5943)))))</f>
        <v> </v>
      </c>
      <c r="L5944" s="27"/>
    </row>
    <row r="5945" spans="1:12">
      <c r="A5945" s="20" t="s">
        <v>1401</v>
      </c>
      <c r="E5945" s="22">
        <f>IF(D5945="?OLD","!!!","")</f>
        <v/>
      </c>
      <c r="F5945" s="23" t="str">
        <f>IF(OR(E5945="",E5945="!!!"),"",IF(NOT(ISNA(VLOOKUP(E5945,E$1:E5944,1,FALSE()))),"OLD",IF(AND(E5945&lt;&gt;"",E5945&lt;&gt;"!!!"),"NEW","")))</f>
        <v> </v>
      </c>
      <c r="G5945" s="24" t="str">
        <f>IF(OR(E5945="",E5945="!!!"),"",IF(OR(J5945=0,AND(J5945=1,K5945=1),AND(J5945=1,I5945="SBJ"),AND(J5945=1,I5945=0)),"?IN_FOCUS",IF(J5945&lt;=2,"?ACTIVATED",IF(J5945&lt;&gt;"","?FAMILIAR",IF(F5945="NEW",IF(ISNA(VLOOKUP(E5945,#REF!,1,FALSE())),"?TYPE_IDENTIFIABLE","?REFERENTIAL"),"_")))))</f>
        <v> </v>
      </c>
      <c r="H5945" s="25" t="str">
        <f>IF(J5945&lt;&gt;1,"",IF(I5945="SBJ","CB","?"))</f>
        <v> </v>
      </c>
      <c r="I5945" s="26" t="str">
        <f>IF(OR(E5945="",E5945="!!!",F5945="NEW"),"",INDEX(B5944:B$2,-1+SUMPRODUCT(MAX(ROW(E5944:E$2)*(E5945=E5944:E$2)))))</f>
        <v> </v>
      </c>
      <c r="J5945" s="26" t="str">
        <f>IF(OR(E5945="",E5945="!!!",F5945="NEW"),"",COUNTBLANK(OFFSET(A$1,,,SUMPRODUCT(MAX(ROW(E$2:E5945)*(E5945=E$2:E5945)))))-COUNTBLANK(OFFSET(A$1,,,SUMPRODUCT(MAX(ROW(E$1:E5944)*(E2=E$1:E5944))))))</f>
        <v> </v>
      </c>
      <c r="K5945" s="26" t="str">
        <f>IF(OR(E5945="",E5945="!!!",F5945="NEW"),"",INDEX(J$1:J5944,SUMPRODUCT(MAX(ROW(E$1:E5944)*(E5945=E$1:E5944)))))</f>
        <v> </v>
      </c>
      <c r="L5945" s="27"/>
    </row>
    <row r="5946" spans="1:12">
      <c r="A5946" s="20" t="s">
        <v>1018</v>
      </c>
      <c r="E5946" s="22">
        <f>IF(D5946="?OLD","!!!","")</f>
        <v/>
      </c>
      <c r="F5946" s="23" t="str">
        <f>IF(OR(E5946="",E5946="!!!"),"",IF(NOT(ISNA(VLOOKUP(E5946,E$1:E5945,1,FALSE()))),"OLD",IF(AND(E5946&lt;&gt;"",E5946&lt;&gt;"!!!"),"NEW","")))</f>
        <v> </v>
      </c>
      <c r="G5946" s="24" t="str">
        <f>IF(OR(E5946="",E5946="!!!"),"",IF(OR(J5946=0,AND(J5946=1,K5946=1),AND(J5946=1,I5946="SBJ"),AND(J5946=1,I5946=0)),"?IN_FOCUS",IF(J5946&lt;=2,"?ACTIVATED",IF(J5946&lt;&gt;"","?FAMILIAR",IF(F5946="NEW",IF(ISNA(VLOOKUP(E5946,#REF!,1,FALSE())),"?TYPE_IDENTIFIABLE","?REFERENTIAL"),"_")))))</f>
        <v> </v>
      </c>
      <c r="H5946" s="25" t="str">
        <f>IF(J5946&lt;&gt;1,"",IF(I5946="SBJ","CB","?"))</f>
        <v> </v>
      </c>
      <c r="I5946" s="26" t="str">
        <f>IF(OR(E5946="",E5946="!!!",F5946="NEW"),"",INDEX(B5945:B$2,-1+SUMPRODUCT(MAX(ROW(E5945:E$2)*(E5946=E5945:E$2)))))</f>
        <v> </v>
      </c>
      <c r="J5946" s="26" t="str">
        <f>IF(OR(E5946="",E5946="!!!",F5946="NEW"),"",COUNTBLANK(OFFSET(A$1,,,SUMPRODUCT(MAX(ROW(E$2:E5946)*(E5946=E$2:E5946)))))-COUNTBLANK(OFFSET(A$1,,,SUMPRODUCT(MAX(ROW(E$1:E5945)*(E2=E$1:E5945))))))</f>
        <v> </v>
      </c>
      <c r="K5946" s="26" t="str">
        <f>IF(OR(E5946="",E5946="!!!",F5946="NEW"),"",INDEX(J$1:J5945,SUMPRODUCT(MAX(ROW(E$1:E5945)*(E5946=E$1:E5945)))))</f>
        <v> </v>
      </c>
      <c r="L5946" s="27"/>
    </row>
    <row r="5947" spans="1:12">
      <c r="A5947" s="20" t="s">
        <v>1324</v>
      </c>
      <c r="E5947" s="22">
        <f>IF(D5947="?OLD","!!!","")</f>
        <v/>
      </c>
      <c r="F5947" s="23" t="str">
        <f>IF(OR(E5947="",E5947="!!!"),"",IF(NOT(ISNA(VLOOKUP(E5947,E$1:E5946,1,FALSE()))),"OLD",IF(AND(E5947&lt;&gt;"",E5947&lt;&gt;"!!!"),"NEW","")))</f>
        <v> </v>
      </c>
      <c r="G5947" s="24" t="str">
        <f>IF(OR(E5947="",E5947="!!!"),"",IF(OR(J5947=0,AND(J5947=1,K5947=1),AND(J5947=1,I5947="SBJ"),AND(J5947=1,I5947=0)),"?IN_FOCUS",IF(J5947&lt;=2,"?ACTIVATED",IF(J5947&lt;&gt;"","?FAMILIAR",IF(F5947="NEW",IF(ISNA(VLOOKUP(E5947,#REF!,1,FALSE())),"?TYPE_IDENTIFIABLE","?REFERENTIAL"),"_")))))</f>
        <v> </v>
      </c>
      <c r="H5947" s="25" t="str">
        <f>IF(J5947&lt;&gt;1,"",IF(I5947="SBJ","CB","?"))</f>
        <v> </v>
      </c>
      <c r="I5947" s="26" t="str">
        <f>IF(OR(E5947="",E5947="!!!",F5947="NEW"),"",INDEX(B5946:B$2,-1+SUMPRODUCT(MAX(ROW(E5946:E$2)*(E5947=E5946:E$2)))))</f>
        <v> </v>
      </c>
      <c r="J5947" s="26" t="str">
        <f>IF(OR(E5947="",E5947="!!!",F5947="NEW"),"",COUNTBLANK(OFFSET(A$1,,,SUMPRODUCT(MAX(ROW(E$2:E5947)*(E5947=E$2:E5947)))))-COUNTBLANK(OFFSET(A$1,,,SUMPRODUCT(MAX(ROW(E$1:E5946)*(E2=E$1:E5946))))))</f>
        <v> </v>
      </c>
      <c r="K5947" s="26" t="str">
        <f>IF(OR(E5947="",E5947="!!!",F5947="NEW"),"",INDEX(J$1:J5946,SUMPRODUCT(MAX(ROW(E$1:E5946)*(E5947=E$1:E5946)))))</f>
        <v> </v>
      </c>
      <c r="L5947" s="27"/>
    </row>
    <row r="5948" spans="1:12">
      <c r="A5948" s="20" t="s">
        <v>193</v>
      </c>
      <c r="B5948" s="21" t="s">
        <v>1022</v>
      </c>
      <c r="C5948" s="21" t="s">
        <v>1111</v>
      </c>
      <c r="E5948" s="22">
        <f>IF(D5948="?OLD","!!!","")</f>
        <v/>
      </c>
      <c r="F5948" s="23" t="str">
        <f>IF(OR(E5948="",E5948="!!!"),"",IF(NOT(ISNA(VLOOKUP(E5948,E$1:E5947,1,FALSE()))),"OLD",IF(AND(E5948&lt;&gt;"",E5948&lt;&gt;"!!!"),"NEW","")))</f>
        <v> </v>
      </c>
      <c r="G5948" s="24" t="str">
        <f>IF(OR(E5948="",E5948="!!!"),"",IF(OR(J5948=0,AND(J5948=1,K5948=1),AND(J5948=1,I5948="SBJ"),AND(J5948=1,I5948=0)),"?IN_FOCUS",IF(J5948&lt;=2,"?ACTIVATED",IF(J5948&lt;&gt;"","?FAMILIAR",IF(F5948="NEW",IF(ISNA(VLOOKUP(E5948,#REF!,1,FALSE())),"?TYPE_IDENTIFIABLE","?REFERENTIAL"),"_")))))</f>
        <v> </v>
      </c>
      <c r="H5948" s="25" t="str">
        <f>IF(J5948&lt;&gt;1,"",IF(I5948="SBJ","CB","?"))</f>
        <v> </v>
      </c>
      <c r="I5948" s="26" t="str">
        <f>IF(OR(E5948="",E5948="!!!",F5948="NEW"),"",INDEX(B5947:B$2,-1+SUMPRODUCT(MAX(ROW(E5947:E$2)*(E5948=E5947:E$2)))))</f>
        <v> </v>
      </c>
      <c r="J5948" s="26" t="str">
        <f>IF(OR(E5948="",E5948="!!!",F5948="NEW"),"",COUNTBLANK(OFFSET(A$1,,,SUMPRODUCT(MAX(ROW(E$2:E5948)*(E5948=E$2:E5948)))))-COUNTBLANK(OFFSET(A$1,,,SUMPRODUCT(MAX(ROW(E$1:E5947)*(E2=E$1:E5947))))))</f>
        <v> </v>
      </c>
      <c r="K5948" s="26" t="str">
        <f>IF(OR(E5948="",E5948="!!!",F5948="NEW"),"",INDEX(J$1:J5947,SUMPRODUCT(MAX(ROW(E$1:E5947)*(E5948=E$1:E5947)))))</f>
        <v> </v>
      </c>
      <c r="L5948" s="27"/>
    </row>
    <row r="5949" spans="1:12">
      <c r="A5949" s="20" t="s">
        <v>1065</v>
      </c>
      <c r="B5949" s="21" t="s">
        <v>1134</v>
      </c>
      <c r="E5949" s="22">
        <f>IF(D5949="?OLD","!!!","")</f>
        <v/>
      </c>
      <c r="F5949" s="23" t="str">
        <f>IF(OR(E5949="",E5949="!!!"),"",IF(NOT(ISNA(VLOOKUP(E5949,E$1:E5948,1,FALSE()))),"OLD",IF(AND(E5949&lt;&gt;"",E5949&lt;&gt;"!!!"),"NEW","")))</f>
        <v> </v>
      </c>
      <c r="G5949" s="24" t="str">
        <f>IF(OR(E5949="",E5949="!!!"),"",IF(OR(J5949=0,AND(J5949=1,K5949=1),AND(J5949=1,I5949="SBJ"),AND(J5949=1,I5949=0)),"?IN_FOCUS",IF(J5949&lt;=2,"?ACTIVATED",IF(J5949&lt;&gt;"","?FAMILIAR",IF(F5949="NEW",IF(ISNA(VLOOKUP(E5949,#REF!,1,FALSE())),"?TYPE_IDENTIFIABLE","?REFERENTIAL"),"_")))))</f>
        <v> </v>
      </c>
      <c r="H5949" s="25" t="str">
        <f>IF(J5949&lt;&gt;1,"",IF(I5949="SBJ","CB","?"))</f>
        <v> </v>
      </c>
      <c r="I5949" s="26" t="str">
        <f>IF(OR(E5949="",E5949="!!!",F5949="NEW"),"",INDEX(B5948:B$2,-1+SUMPRODUCT(MAX(ROW(E5948:E$2)*(E5949=E5948:E$2)))))</f>
        <v> </v>
      </c>
      <c r="J5949" s="26" t="str">
        <f>IF(OR(E5949="",E5949="!!!",F5949="NEW"),"",COUNTBLANK(OFFSET(A$1,,,SUMPRODUCT(MAX(ROW(E$2:E5949)*(E5949=E$2:E5949)))))-COUNTBLANK(OFFSET(A$1,,,SUMPRODUCT(MAX(ROW(E$1:E5948)*(E2=E$1:E5948))))))</f>
        <v> </v>
      </c>
      <c r="K5949" s="26" t="str">
        <f>IF(OR(E5949="",E5949="!!!",F5949="NEW"),"",INDEX(J$1:J5948,SUMPRODUCT(MAX(ROW(E$1:E5948)*(E5949=E$1:E5948)))))</f>
        <v> </v>
      </c>
      <c r="L5949" s="27"/>
    </row>
    <row r="5950" spans="1:12">
      <c r="A5950" s="20" t="s">
        <v>1333</v>
      </c>
      <c r="E5950" s="22">
        <f>IF(D5950="?OLD","!!!","")</f>
        <v/>
      </c>
      <c r="F5950" s="23" t="str">
        <f>IF(OR(E5950="",E5950="!!!"),"",IF(NOT(ISNA(VLOOKUP(E5950,E$1:E5949,1,FALSE()))),"OLD",IF(AND(E5950&lt;&gt;"",E5950&lt;&gt;"!!!"),"NEW","")))</f>
        <v> </v>
      </c>
      <c r="G5950" s="24" t="str">
        <f>IF(OR(E5950="",E5950="!!!"),"",IF(OR(J5950=0,AND(J5950=1,K5950=1),AND(J5950=1,I5950="SBJ"),AND(J5950=1,I5950=0)),"?IN_FOCUS",IF(J5950&lt;=2,"?ACTIVATED",IF(J5950&lt;&gt;"","?FAMILIAR",IF(F5950="NEW",IF(ISNA(VLOOKUP(E5950,#REF!,1,FALSE())),"?TYPE_IDENTIFIABLE","?REFERENTIAL"),"_")))))</f>
        <v> </v>
      </c>
      <c r="H5950" s="25" t="str">
        <f>IF(J5950&lt;&gt;1,"",IF(I5950="SBJ","CB","?"))</f>
        <v> </v>
      </c>
      <c r="I5950" s="26" t="str">
        <f>IF(OR(E5950="",E5950="!!!",F5950="NEW"),"",INDEX(B5949:B$2,-1+SUMPRODUCT(MAX(ROW(E5949:E$2)*(E5950=E5949:E$2)))))</f>
        <v> </v>
      </c>
      <c r="J5950" s="26" t="str">
        <f>IF(OR(E5950="",E5950="!!!",F5950="NEW"),"",COUNTBLANK(OFFSET(A$1,,,SUMPRODUCT(MAX(ROW(E$2:E5950)*(E5950=E$2:E5950)))))-COUNTBLANK(OFFSET(A$1,,,SUMPRODUCT(MAX(ROW(E$1:E5949)*(E2=E$1:E5949))))))</f>
        <v> </v>
      </c>
      <c r="K5950" s="26" t="str">
        <f>IF(OR(E5950="",E5950="!!!",F5950="NEW"),"",INDEX(J$1:J5949,SUMPRODUCT(MAX(ROW(E$1:E5949)*(E5950=E$1:E5949)))))</f>
        <v> </v>
      </c>
      <c r="L5950" s="27"/>
    </row>
    <row r="5951" spans="1:12">
      <c r="A5951" s="20" t="s">
        <v>86</v>
      </c>
      <c r="E5951" s="22">
        <f>IF(D5951="?OLD","!!!","")</f>
        <v/>
      </c>
      <c r="F5951" s="23" t="str">
        <f>IF(OR(E5951="",E5951="!!!"),"",IF(NOT(ISNA(VLOOKUP(E5951,E$1:E5950,1,FALSE()))),"OLD",IF(AND(E5951&lt;&gt;"",E5951&lt;&gt;"!!!"),"NEW","")))</f>
        <v> </v>
      </c>
      <c r="G5951" s="24" t="str">
        <f>IF(OR(E5951="",E5951="!!!"),"",IF(OR(J5951=0,AND(J5951=1,K5951=1),AND(J5951=1,I5951="SBJ"),AND(J5951=1,I5951=0)),"?IN_FOCUS",IF(J5951&lt;=2,"?ACTIVATED",IF(J5951&lt;&gt;"","?FAMILIAR",IF(F5951="NEW",IF(ISNA(VLOOKUP(E5951,#REF!,1,FALSE())),"?TYPE_IDENTIFIABLE","?REFERENTIAL"),"_")))))</f>
        <v> </v>
      </c>
      <c r="H5951" s="25" t="str">
        <f>IF(J5951&lt;&gt;1,"",IF(I5951="SBJ","CB","?"))</f>
        <v> </v>
      </c>
      <c r="I5951" s="26" t="str">
        <f>IF(OR(E5951="",E5951="!!!",F5951="NEW"),"",INDEX(B5950:B$2,-1+SUMPRODUCT(MAX(ROW(E5950:E$2)*(E5951=E5950:E$2)))))</f>
        <v> </v>
      </c>
      <c r="J5951" s="26" t="str">
        <f>IF(OR(E5951="",E5951="!!!",F5951="NEW"),"",COUNTBLANK(OFFSET(A$1,,,SUMPRODUCT(MAX(ROW(E$2:E5951)*(E5951=E$2:E5951)))))-COUNTBLANK(OFFSET(A$1,,,SUMPRODUCT(MAX(ROW(E$1:E5950)*(E2=E$1:E5950))))))</f>
        <v> </v>
      </c>
      <c r="K5951" s="26" t="str">
        <f>IF(OR(E5951="",E5951="!!!",F5951="NEW"),"",INDEX(J$1:J5950,SUMPRODUCT(MAX(ROW(E$1:E5950)*(E5951=E$1:E5950)))))</f>
        <v> </v>
      </c>
      <c r="L5951" s="27"/>
    </row>
    <row r="5952" spans="1:12">
      <c r="A5952" s="20" t="s">
        <v>1097</v>
      </c>
      <c r="E5952" s="22">
        <f>IF(D5952="?OLD","!!!","")</f>
        <v/>
      </c>
      <c r="F5952" s="23" t="str">
        <f>IF(OR(E5952="",E5952="!!!"),"",IF(NOT(ISNA(VLOOKUP(E5952,E$1:E5951,1,FALSE()))),"OLD",IF(AND(E5952&lt;&gt;"",E5952&lt;&gt;"!!!"),"NEW","")))</f>
        <v> </v>
      </c>
      <c r="G5952" s="24" t="str">
        <f>IF(OR(E5952="",E5952="!!!"),"",IF(OR(J5952=0,AND(J5952=1,K5952=1),AND(J5952=1,I5952="SBJ"),AND(J5952=1,I5952=0)),"?IN_FOCUS",IF(J5952&lt;=2,"?ACTIVATED",IF(J5952&lt;&gt;"","?FAMILIAR",IF(F5952="NEW",IF(ISNA(VLOOKUP(E5952,#REF!,1,FALSE())),"?TYPE_IDENTIFIABLE","?REFERENTIAL"),"_")))))</f>
        <v> </v>
      </c>
      <c r="H5952" s="25" t="str">
        <f>IF(J5952&lt;&gt;1,"",IF(I5952="SBJ","CB","?"))</f>
        <v> </v>
      </c>
      <c r="I5952" s="26" t="str">
        <f>IF(OR(E5952="",E5952="!!!",F5952="NEW"),"",INDEX(B5951:B$2,-1+SUMPRODUCT(MAX(ROW(E5951:E$2)*(E5952=E5951:E$2)))))</f>
        <v> </v>
      </c>
      <c r="J5952" s="26" t="str">
        <f>IF(OR(E5952="",E5952="!!!",F5952="NEW"),"",COUNTBLANK(OFFSET(A$1,,,SUMPRODUCT(MAX(ROW(E$2:E5952)*(E5952=E$2:E5952)))))-COUNTBLANK(OFFSET(A$1,,,SUMPRODUCT(MAX(ROW(E$1:E5951)*(E2=E$1:E5951))))))</f>
        <v> </v>
      </c>
      <c r="K5952" s="26" t="str">
        <f>IF(OR(E5952="",E5952="!!!",F5952="NEW"),"",INDEX(J$1:J5951,SUMPRODUCT(MAX(ROW(E$1:E5951)*(E5952=E$1:E5951)))))</f>
        <v> </v>
      </c>
      <c r="L5952" s="27"/>
    </row>
    <row r="5953" spans="1:12">
      <c r="A5953" s="20" t="s">
        <v>2115</v>
      </c>
      <c r="E5953" s="22">
        <f>IF(D5953="?OLD","!!!","")</f>
        <v/>
      </c>
      <c r="F5953" s="23" t="str">
        <f>IF(OR(E5953="",E5953="!!!"),"",IF(NOT(ISNA(VLOOKUP(E5953,E$1:E5952,1,FALSE()))),"OLD",IF(AND(E5953&lt;&gt;"",E5953&lt;&gt;"!!!"),"NEW","")))</f>
        <v> </v>
      </c>
      <c r="G5953" s="24" t="str">
        <f>IF(OR(E5953="",E5953="!!!"),"",IF(OR(J5953=0,AND(J5953=1,K5953=1),AND(J5953=1,I5953="SBJ"),AND(J5953=1,I5953=0)),"?IN_FOCUS",IF(J5953&lt;=2,"?ACTIVATED",IF(J5953&lt;&gt;"","?FAMILIAR",IF(F5953="NEW",IF(ISNA(VLOOKUP(E5953,#REF!,1,FALSE())),"?TYPE_IDENTIFIABLE","?REFERENTIAL"),"_")))))</f>
        <v> </v>
      </c>
      <c r="H5953" s="25" t="str">
        <f>IF(J5953&lt;&gt;1,"",IF(I5953="SBJ","CB","?"))</f>
        <v> </v>
      </c>
      <c r="I5953" s="26" t="str">
        <f>IF(OR(E5953="",E5953="!!!",F5953="NEW"),"",INDEX(B5952:B$2,-1+SUMPRODUCT(MAX(ROW(E5952:E$2)*(E5953=E5952:E$2)))))</f>
        <v> </v>
      </c>
      <c r="J5953" s="26" t="str">
        <f>IF(OR(E5953="",E5953="!!!",F5953="NEW"),"",COUNTBLANK(OFFSET(A$1,,,SUMPRODUCT(MAX(ROW(E$2:E5953)*(E5953=E$2:E5953)))))-COUNTBLANK(OFFSET(A$1,,,SUMPRODUCT(MAX(ROW(E$1:E5952)*(E2=E$1:E5952))))))</f>
        <v> </v>
      </c>
      <c r="K5953" s="26" t="str">
        <f>IF(OR(E5953="",E5953="!!!",F5953="NEW"),"",INDEX(J$1:J5952,SUMPRODUCT(MAX(ROW(E$1:E5952)*(E5953=E$1:E5952)))))</f>
        <v> </v>
      </c>
      <c r="L5953" s="27"/>
    </row>
    <row r="5954" spans="1:12">
      <c r="A5954" s="20" t="s">
        <v>1056</v>
      </c>
      <c r="E5954" s="22">
        <f>IF(D5954="?OLD","!!!","")</f>
        <v/>
      </c>
      <c r="F5954" s="23" t="str">
        <f>IF(OR(E5954="",E5954="!!!"),"",IF(NOT(ISNA(VLOOKUP(E5954,E$1:E5953,1,FALSE()))),"OLD",IF(AND(E5954&lt;&gt;"",E5954&lt;&gt;"!!!"),"NEW","")))</f>
        <v> </v>
      </c>
      <c r="G5954" s="24" t="str">
        <f>IF(OR(E5954="",E5954="!!!"),"",IF(OR(J5954=0,AND(J5954=1,K5954=1),AND(J5954=1,I5954="SBJ"),AND(J5954=1,I5954=0)),"?IN_FOCUS",IF(J5954&lt;=2,"?ACTIVATED",IF(J5954&lt;&gt;"","?FAMILIAR",IF(F5954="NEW",IF(ISNA(VLOOKUP(E5954,#REF!,1,FALSE())),"?TYPE_IDENTIFIABLE","?REFERENTIAL"),"_")))))</f>
        <v> </v>
      </c>
      <c r="H5954" s="25" t="str">
        <f>IF(J5954&lt;&gt;1,"",IF(I5954="SBJ","CB","?"))</f>
        <v> </v>
      </c>
      <c r="I5954" s="26" t="str">
        <f>IF(OR(E5954="",E5954="!!!",F5954="NEW"),"",INDEX(B5953:B$2,-1+SUMPRODUCT(MAX(ROW(E5953:E$2)*(E5954=E5953:E$2)))))</f>
        <v> </v>
      </c>
      <c r="J5954" s="26" t="str">
        <f>IF(OR(E5954="",E5954="!!!",F5954="NEW"),"",COUNTBLANK(OFFSET(A$1,,,SUMPRODUCT(MAX(ROW(E$2:E5954)*(E5954=E$2:E5954)))))-COUNTBLANK(OFFSET(A$1,,,SUMPRODUCT(MAX(ROW(E$1:E5953)*(E2=E$1:E5953))))))</f>
        <v> </v>
      </c>
      <c r="K5954" s="26" t="str">
        <f>IF(OR(E5954="",E5954="!!!",F5954="NEW"),"",INDEX(J$1:J5953,SUMPRODUCT(MAX(ROW(E$1:E5953)*(E5954=E$1:E5953)))))</f>
        <v> </v>
      </c>
      <c r="L5954" s="27"/>
    </row>
    <row r="5955" spans="1:12">
      <c r="A5955" s="20" t="s">
        <v>1019</v>
      </c>
      <c r="B5955" s="21" t="s">
        <v>1066</v>
      </c>
      <c r="C5955" s="21" t="s">
        <v>1111</v>
      </c>
      <c r="E5955" s="22">
        <f>IF(D5955="?OLD","!!!","")</f>
        <v/>
      </c>
      <c r="F5955" s="23" t="str">
        <f>IF(OR(E5955="",E5955="!!!"),"",IF(NOT(ISNA(VLOOKUP(E5955,E$1:E5954,1,FALSE()))),"OLD",IF(AND(E5955&lt;&gt;"",E5955&lt;&gt;"!!!"),"NEW","")))</f>
        <v> </v>
      </c>
      <c r="G5955" s="24" t="str">
        <f>IF(OR(E5955="",E5955="!!!"),"",IF(OR(J5955=0,AND(J5955=1,K5955=1),AND(J5955=1,I5955="SBJ"),AND(J5955=1,I5955=0)),"?IN_FOCUS",IF(J5955&lt;=2,"?ACTIVATED",IF(J5955&lt;&gt;"","?FAMILIAR",IF(F5955="NEW",IF(ISNA(VLOOKUP(E5955,#REF!,1,FALSE())),"?TYPE_IDENTIFIABLE","?REFERENTIAL"),"_")))))</f>
        <v> </v>
      </c>
      <c r="H5955" s="25" t="str">
        <f>IF(J5955&lt;&gt;1,"",IF(I5955="SBJ","CB","?"))</f>
        <v> </v>
      </c>
      <c r="I5955" s="26" t="str">
        <f>IF(OR(E5955="",E5955="!!!",F5955="NEW"),"",INDEX(B5954:B$2,-1+SUMPRODUCT(MAX(ROW(E5954:E$2)*(E5955=E5954:E$2)))))</f>
        <v> </v>
      </c>
      <c r="J5955" s="26" t="str">
        <f>IF(OR(E5955="",E5955="!!!",F5955="NEW"),"",COUNTBLANK(OFFSET(A$1,,,SUMPRODUCT(MAX(ROW(E$2:E5955)*(E5955=E$2:E5955)))))-COUNTBLANK(OFFSET(A$1,,,SUMPRODUCT(MAX(ROW(E$1:E5954)*(E2=E$1:E5954))))))</f>
        <v> </v>
      </c>
      <c r="K5955" s="26" t="str">
        <f>IF(OR(E5955="",E5955="!!!",F5955="NEW"),"",INDEX(J$1:J5954,SUMPRODUCT(MAX(ROW(E$1:E5954)*(E5955=E$1:E5954)))))</f>
        <v> </v>
      </c>
      <c r="L5955" s="27"/>
    </row>
    <row r="5956" spans="1:12">
      <c r="A5956" s="20" t="s">
        <v>1065</v>
      </c>
      <c r="B5956" s="21" t="s">
        <v>1437</v>
      </c>
      <c r="E5956" s="22">
        <f>IF(D5956="?OLD","!!!","")</f>
        <v/>
      </c>
      <c r="F5956" s="23" t="str">
        <f>IF(OR(E5956="",E5956="!!!"),"",IF(NOT(ISNA(VLOOKUP(E5956,E$1:E5955,1,FALSE()))),"OLD",IF(AND(E5956&lt;&gt;"",E5956&lt;&gt;"!!!"),"NEW","")))</f>
        <v> </v>
      </c>
      <c r="G5956" s="24" t="str">
        <f>IF(OR(E5956="",E5956="!!!"),"",IF(OR(J5956=0,AND(J5956=1,K5956=1),AND(J5956=1,I5956="SBJ"),AND(J5956=1,I5956=0)),"?IN_FOCUS",IF(J5956&lt;=2,"?ACTIVATED",IF(J5956&lt;&gt;"","?FAMILIAR",IF(F5956="NEW",IF(ISNA(VLOOKUP(E5956,#REF!,1,FALSE())),"?TYPE_IDENTIFIABLE","?REFERENTIAL"),"_")))))</f>
        <v> </v>
      </c>
      <c r="H5956" s="25" t="str">
        <f>IF(J5956&lt;&gt;1,"",IF(I5956="SBJ","CB","?"))</f>
        <v> </v>
      </c>
      <c r="I5956" s="26" t="str">
        <f>IF(OR(E5956="",E5956="!!!",F5956="NEW"),"",INDEX(B5955:B$2,-1+SUMPRODUCT(MAX(ROW(E5955:E$2)*(E5956=E5955:E$2)))))</f>
        <v> </v>
      </c>
      <c r="J5956" s="26" t="str">
        <f>IF(OR(E5956="",E5956="!!!",F5956="NEW"),"",COUNTBLANK(OFFSET(A$1,,,SUMPRODUCT(MAX(ROW(E$2:E5956)*(E5956=E$2:E5956)))))-COUNTBLANK(OFFSET(A$1,,,SUMPRODUCT(MAX(ROW(E$1:E5955)*(E2=E$1:E5955))))))</f>
        <v> </v>
      </c>
      <c r="K5956" s="26" t="str">
        <f>IF(OR(E5956="",E5956="!!!",F5956="NEW"),"",INDEX(J$1:J5955,SUMPRODUCT(MAX(ROW(E$1:E5955)*(E5956=E$1:E5955)))))</f>
        <v> </v>
      </c>
      <c r="L5956" s="27"/>
    </row>
    <row r="5957" spans="1:12">
      <c r="A5957" s="20" t="s">
        <v>2555</v>
      </c>
      <c r="E5957" s="22">
        <f>IF(D5957="?OLD","!!!","")</f>
        <v/>
      </c>
      <c r="F5957" s="23" t="str">
        <f>IF(OR(E5957="",E5957="!!!"),"",IF(NOT(ISNA(VLOOKUP(E5957,E$1:E5956,1,FALSE()))),"OLD",IF(AND(E5957&lt;&gt;"",E5957&lt;&gt;"!!!"),"NEW","")))</f>
        <v> </v>
      </c>
      <c r="G5957" s="24" t="str">
        <f>IF(OR(E5957="",E5957="!!!"),"",IF(OR(J5957=0,AND(J5957=1,K5957=1),AND(J5957=1,I5957="SBJ"),AND(J5957=1,I5957=0)),"?IN_FOCUS",IF(J5957&lt;=2,"?ACTIVATED",IF(J5957&lt;&gt;"","?FAMILIAR",IF(F5957="NEW",IF(ISNA(VLOOKUP(E5957,#REF!,1,FALSE())),"?TYPE_IDENTIFIABLE","?REFERENTIAL"),"_")))))</f>
        <v> </v>
      </c>
      <c r="H5957" s="25" t="str">
        <f>IF(J5957&lt;&gt;1,"",IF(I5957="SBJ","CB","?"))</f>
        <v> </v>
      </c>
      <c r="I5957" s="26" t="str">
        <f>IF(OR(E5957="",E5957="!!!",F5957="NEW"),"",INDEX(B5956:B$2,-1+SUMPRODUCT(MAX(ROW(E5956:E$2)*(E5957=E5956:E$2)))))</f>
        <v> </v>
      </c>
      <c r="J5957" s="26" t="str">
        <f>IF(OR(E5957="",E5957="!!!",F5957="NEW"),"",COUNTBLANK(OFFSET(A$1,,,SUMPRODUCT(MAX(ROW(E$2:E5957)*(E5957=E$2:E5957)))))-COUNTBLANK(OFFSET(A$1,,,SUMPRODUCT(MAX(ROW(E$1:E5956)*(E2=E$1:E5956))))))</f>
        <v> </v>
      </c>
      <c r="K5957" s="26" t="str">
        <f>IF(OR(E5957="",E5957="!!!",F5957="NEW"),"",INDEX(J$1:J5956,SUMPRODUCT(MAX(ROW(E$1:E5956)*(E5957=E$1:E5956)))))</f>
        <v> </v>
      </c>
      <c r="L5957" s="27"/>
    </row>
    <row r="5958" spans="1:12">
      <c r="A5958" s="20" t="s">
        <v>1401</v>
      </c>
      <c r="E5958" s="22">
        <f>IF(D5958="?OLD","!!!","")</f>
        <v/>
      </c>
      <c r="F5958" s="23" t="str">
        <f>IF(OR(E5958="",E5958="!!!"),"",IF(NOT(ISNA(VLOOKUP(E5958,E$1:E5957,1,FALSE()))),"OLD",IF(AND(E5958&lt;&gt;"",E5958&lt;&gt;"!!!"),"NEW","")))</f>
        <v> </v>
      </c>
      <c r="G5958" s="24" t="str">
        <f>IF(OR(E5958="",E5958="!!!"),"",IF(OR(J5958=0,AND(J5958=1,K5958=1),AND(J5958=1,I5958="SBJ"),AND(J5958=1,I5958=0)),"?IN_FOCUS",IF(J5958&lt;=2,"?ACTIVATED",IF(J5958&lt;&gt;"","?FAMILIAR",IF(F5958="NEW",IF(ISNA(VLOOKUP(E5958,#REF!,1,FALSE())),"?TYPE_IDENTIFIABLE","?REFERENTIAL"),"_")))))</f>
        <v> </v>
      </c>
      <c r="H5958" s="25" t="str">
        <f>IF(J5958&lt;&gt;1,"",IF(I5958="SBJ","CB","?"))</f>
        <v> </v>
      </c>
      <c r="I5958" s="26" t="str">
        <f>IF(OR(E5958="",E5958="!!!",F5958="NEW"),"",INDEX(B5957:B$2,-1+SUMPRODUCT(MAX(ROW(E5957:E$2)*(E5958=E5957:E$2)))))</f>
        <v> </v>
      </c>
      <c r="J5958" s="26" t="str">
        <f>IF(OR(E5958="",E5958="!!!",F5958="NEW"),"",COUNTBLANK(OFFSET(A$1,,,SUMPRODUCT(MAX(ROW(E$2:E5958)*(E5958=E$2:E5958)))))-COUNTBLANK(OFFSET(A$1,,,SUMPRODUCT(MAX(ROW(E$1:E5957)*(E2=E$1:E5957))))))</f>
        <v> </v>
      </c>
      <c r="K5958" s="26" t="str">
        <f>IF(OR(E5958="",E5958="!!!",F5958="NEW"),"",INDEX(J$1:J5957,SUMPRODUCT(MAX(ROW(E$1:E5957)*(E5958=E$1:E5957)))))</f>
        <v> </v>
      </c>
      <c r="L5958" s="27"/>
    </row>
    <row r="5959" spans="1:12">
      <c r="A5959" s="20" t="s">
        <v>1142</v>
      </c>
      <c r="E5959" s="22">
        <f>IF(D5959="?OLD","!!!","")</f>
        <v/>
      </c>
      <c r="F5959" s="23" t="str">
        <f>IF(OR(E5959="",E5959="!!!"),"",IF(NOT(ISNA(VLOOKUP(E5959,E$1:E5958,1,FALSE()))),"OLD",IF(AND(E5959&lt;&gt;"",E5959&lt;&gt;"!!!"),"NEW","")))</f>
        <v> </v>
      </c>
      <c r="G5959" s="24" t="str">
        <f>IF(OR(E5959="",E5959="!!!"),"",IF(OR(J5959=0,AND(J5959=1,K5959=1),AND(J5959=1,I5959="SBJ"),AND(J5959=1,I5959=0)),"?IN_FOCUS",IF(J5959&lt;=2,"?ACTIVATED",IF(J5959&lt;&gt;"","?FAMILIAR",IF(F5959="NEW",IF(ISNA(VLOOKUP(E5959,#REF!,1,FALSE())),"?TYPE_IDENTIFIABLE","?REFERENTIAL"),"_")))))</f>
        <v> </v>
      </c>
      <c r="H5959" s="25" t="str">
        <f>IF(J5959&lt;&gt;1,"",IF(I5959="SBJ","CB","?"))</f>
        <v> </v>
      </c>
      <c r="I5959" s="26" t="str">
        <f>IF(OR(E5959="",E5959="!!!",F5959="NEW"),"",INDEX(B5958:B$2,-1+SUMPRODUCT(MAX(ROW(E5958:E$2)*(E5959=E5958:E$2)))))</f>
        <v> </v>
      </c>
      <c r="J5959" s="26" t="str">
        <f>IF(OR(E5959="",E5959="!!!",F5959="NEW"),"",COUNTBLANK(OFFSET(A$1,,,SUMPRODUCT(MAX(ROW(E$2:E5959)*(E5959=E$2:E5959)))))-COUNTBLANK(OFFSET(A$1,,,SUMPRODUCT(MAX(ROW(E$1:E5958)*(E2=E$1:E5958))))))</f>
        <v> </v>
      </c>
      <c r="K5959" s="26" t="str">
        <f>IF(OR(E5959="",E5959="!!!",F5959="NEW"),"",INDEX(J$1:J5958,SUMPRODUCT(MAX(ROW(E$1:E5958)*(E5959=E$1:E5958)))))</f>
        <v> </v>
      </c>
      <c r="L5959" s="27"/>
    </row>
    <row r="5960" spans="1:12">
      <c r="A5960" s="20" t="s">
        <v>2432</v>
      </c>
      <c r="E5960" s="22">
        <f>IF(D5960="?OLD","!!!","")</f>
        <v/>
      </c>
      <c r="F5960" s="23" t="str">
        <f>IF(OR(E5960="",E5960="!!!"),"",IF(NOT(ISNA(VLOOKUP(E5960,E$1:E5959,1,FALSE()))),"OLD",IF(AND(E5960&lt;&gt;"",E5960&lt;&gt;"!!!"),"NEW","")))</f>
        <v> </v>
      </c>
      <c r="G5960" s="24" t="str">
        <f>IF(OR(E5960="",E5960="!!!"),"",IF(OR(J5960=0,AND(J5960=1,K5960=1),AND(J5960=1,I5960="SBJ"),AND(J5960=1,I5960=0)),"?IN_FOCUS",IF(J5960&lt;=2,"?ACTIVATED",IF(J5960&lt;&gt;"","?FAMILIAR",IF(F5960="NEW",IF(ISNA(VLOOKUP(E5960,#REF!,1,FALSE())),"?TYPE_IDENTIFIABLE","?REFERENTIAL"),"_")))))</f>
        <v> </v>
      </c>
      <c r="H5960" s="25" t="str">
        <f>IF(J5960&lt;&gt;1,"",IF(I5960="SBJ","CB","?"))</f>
        <v> </v>
      </c>
      <c r="I5960" s="26" t="str">
        <f>IF(OR(E5960="",E5960="!!!",F5960="NEW"),"",INDEX(B5959:B$2,-1+SUMPRODUCT(MAX(ROW(E5959:E$2)*(E5960=E5959:E$2)))))</f>
        <v> </v>
      </c>
      <c r="J5960" s="26" t="str">
        <f>IF(OR(E5960="",E5960="!!!",F5960="NEW"),"",COUNTBLANK(OFFSET(A$1,,,SUMPRODUCT(MAX(ROW(E$2:E5960)*(E5960=E$2:E5960)))))-COUNTBLANK(OFFSET(A$1,,,SUMPRODUCT(MAX(ROW(E$1:E5959)*(E2=E$1:E5959))))))</f>
        <v> </v>
      </c>
      <c r="K5960" s="26" t="str">
        <f>IF(OR(E5960="",E5960="!!!",F5960="NEW"),"",INDEX(J$1:J5959,SUMPRODUCT(MAX(ROW(E$1:E5959)*(E5960=E$1:E5959)))))</f>
        <v> </v>
      </c>
      <c r="L5960" s="27"/>
    </row>
    <row r="5961" spans="1:12">
      <c r="A5961" s="20" t="s">
        <v>1014</v>
      </c>
      <c r="E5961" s="22">
        <f>IF(D5961="?OLD","!!!","")</f>
        <v/>
      </c>
      <c r="F5961" s="23" t="str">
        <f>IF(OR(E5961="",E5961="!!!"),"",IF(NOT(ISNA(VLOOKUP(E5961,E$1:E5960,1,FALSE()))),"OLD",IF(AND(E5961&lt;&gt;"",E5961&lt;&gt;"!!!"),"NEW","")))</f>
        <v> </v>
      </c>
      <c r="G5961" s="24" t="str">
        <f>IF(OR(E5961="",E5961="!!!"),"",IF(OR(J5961=0,AND(J5961=1,K5961=1),AND(J5961=1,I5961="SBJ"),AND(J5961=1,I5961=0)),"?IN_FOCUS",IF(J5961&lt;=2,"?ACTIVATED",IF(J5961&lt;&gt;"","?FAMILIAR",IF(F5961="NEW",IF(ISNA(VLOOKUP(E5961,#REF!,1,FALSE())),"?TYPE_IDENTIFIABLE","?REFERENTIAL"),"_")))))</f>
        <v> </v>
      </c>
      <c r="H5961" s="25" t="str">
        <f>IF(J5961&lt;&gt;1,"",IF(I5961="SBJ","CB","?"))</f>
        <v> </v>
      </c>
      <c r="I5961" s="26" t="str">
        <f>IF(OR(E5961="",E5961="!!!",F5961="NEW"),"",INDEX(B5960:B$2,-1+SUMPRODUCT(MAX(ROW(E5960:E$2)*(E5961=E5960:E$2)))))</f>
        <v> </v>
      </c>
      <c r="J5961" s="26" t="str">
        <f>IF(OR(E5961="",E5961="!!!",F5961="NEW"),"",COUNTBLANK(OFFSET(A$1,,,SUMPRODUCT(MAX(ROW(E$2:E5961)*(E5961=E$2:E5961)))))-COUNTBLANK(OFFSET(A$1,,,SUMPRODUCT(MAX(ROW(E$1:E5960)*(E2=E$1:E5960))))))</f>
        <v> </v>
      </c>
      <c r="K5961" s="26" t="str">
        <f>IF(OR(E5961="",E5961="!!!",F5961="NEW"),"",INDEX(J$1:J5960,SUMPRODUCT(MAX(ROW(E$1:E5960)*(E5961=E$1:E5960)))))</f>
        <v> </v>
      </c>
      <c r="L5961" s="27"/>
    </row>
    <row r="5962" spans="1:12">
      <c r="A5962" s="20" t="s">
        <v>102</v>
      </c>
      <c r="B5962" s="21" t="s">
        <v>1217</v>
      </c>
      <c r="C5962" s="21" t="s">
        <v>1073</v>
      </c>
      <c r="D5962" s="21" t="s">
        <v>1007</v>
      </c>
      <c r="E5962" s="22">
        <f>IF(D5962="?OLD","!!!","")</f>
        <v/>
      </c>
      <c r="F5962" s="23" t="str">
        <f>IF(OR(E5962="",E5962="!!!"),"",IF(NOT(ISNA(VLOOKUP(E5962,E$1:E5961,1,FALSE()))),"OLD",IF(AND(E5962&lt;&gt;"",E5962&lt;&gt;"!!!"),"NEW","")))</f>
        <v> </v>
      </c>
      <c r="G5962" s="24" t="str">
        <f>IF(OR(E5962="",E5962="!!!"),"",IF(OR(J5962=0,AND(J5962=1,K5962=1),AND(J5962=1,I5962="SBJ"),AND(J5962=1,I5962=0)),"?IN_FOCUS",IF(J5962&lt;=2,"?ACTIVATED",IF(J5962&lt;&gt;"","?FAMILIAR",IF(F5962="NEW",IF(ISNA(VLOOKUP(E5962,#REF!,1,FALSE())),"?TYPE_IDENTIFIABLE","?REFERENTIAL"),"_")))))</f>
        <v> </v>
      </c>
      <c r="H5962" s="25" t="str">
        <f>IF(J5962&lt;&gt;1,"",IF(I5962="SBJ","CB","?"))</f>
        <v> </v>
      </c>
      <c r="I5962" s="26" t="str">
        <f>IF(OR(E5962="",E5962="!!!",F5962="NEW"),"",INDEX(B5961:B$2,-1+SUMPRODUCT(MAX(ROW(E5961:E$2)*(E5962=E5961:E$2)))))</f>
        <v> </v>
      </c>
      <c r="J5962" s="26" t="str">
        <f>IF(OR(E5962="",E5962="!!!",F5962="NEW"),"",COUNTBLANK(OFFSET(A$1,,,SUMPRODUCT(MAX(ROW(E$2:E5962)*(E5962=E$2:E5962)))))-COUNTBLANK(OFFSET(A$1,,,SUMPRODUCT(MAX(ROW(E$1:E5961)*(E2=E$1:E5961))))))</f>
        <v> </v>
      </c>
      <c r="K5962" s="26" t="str">
        <f>IF(OR(E5962="",E5962="!!!",F5962="NEW"),"",INDEX(J$1:J5961,SUMPRODUCT(MAX(ROW(E$1:E5961)*(E5962=E$1:E5961)))))</f>
        <v> </v>
      </c>
      <c r="L5962" s="27"/>
    </row>
    <row r="5963" spans="1:12">
      <c r="A5963" s="20" t="s">
        <v>1065</v>
      </c>
      <c r="E5963" s="22">
        <f>IF(D5963="?OLD","!!!","")</f>
        <v/>
      </c>
      <c r="F5963" s="23" t="str">
        <f>IF(OR(E5963="",E5963="!!!"),"",IF(NOT(ISNA(VLOOKUP(E5963,E$1:E5962,1,FALSE()))),"OLD",IF(AND(E5963&lt;&gt;"",E5963&lt;&gt;"!!!"),"NEW","")))</f>
        <v> </v>
      </c>
      <c r="G5963" s="24" t="str">
        <f>IF(OR(E5963="",E5963="!!!"),"",IF(OR(J5963=0,AND(J5963=1,K5963=1),AND(J5963=1,I5963="SBJ"),AND(J5963=1,I5963=0)),"?IN_FOCUS",IF(J5963&lt;=2,"?ACTIVATED",IF(J5963&lt;&gt;"","?FAMILIAR",IF(F5963="NEW",IF(ISNA(VLOOKUP(E5963,#REF!,1,FALSE())),"?TYPE_IDENTIFIABLE","?REFERENTIAL"),"_")))))</f>
        <v> </v>
      </c>
      <c r="H5963" s="25" t="str">
        <f>IF(J5963&lt;&gt;1,"",IF(I5963="SBJ","CB","?"))</f>
        <v> </v>
      </c>
      <c r="I5963" s="26" t="str">
        <f>IF(OR(E5963="",E5963="!!!",F5963="NEW"),"",INDEX(B5962:B$2,-1+SUMPRODUCT(MAX(ROW(E5962:E$2)*(E5963=E5962:E$2)))))</f>
        <v> </v>
      </c>
      <c r="J5963" s="26" t="str">
        <f>IF(OR(E5963="",E5963="!!!",F5963="NEW"),"",COUNTBLANK(OFFSET(A$1,,,SUMPRODUCT(MAX(ROW(E$2:E5963)*(E5963=E$2:E5963)))))-COUNTBLANK(OFFSET(A$1,,,SUMPRODUCT(MAX(ROW(E$1:E5962)*(E2=E$1:E5962))))))</f>
        <v> </v>
      </c>
      <c r="K5963" s="26" t="str">
        <f>IF(OR(E5963="",E5963="!!!",F5963="NEW"),"",INDEX(J$1:J5962,SUMPRODUCT(MAX(ROW(E$1:E5962)*(E5963=E$1:E5962)))))</f>
        <v> </v>
      </c>
      <c r="L5963" s="27"/>
    </row>
    <row r="5964" spans="1:12">
      <c r="A5964" s="20" t="s">
        <v>2581</v>
      </c>
      <c r="E5964" s="22">
        <f>IF(D5964="?OLD","!!!","")</f>
        <v/>
      </c>
      <c r="F5964" s="23" t="str">
        <f>IF(OR(E5964="",E5964="!!!"),"",IF(NOT(ISNA(VLOOKUP(E5964,E$1:E5963,1,FALSE()))),"OLD",IF(AND(E5964&lt;&gt;"",E5964&lt;&gt;"!!!"),"NEW","")))</f>
        <v> </v>
      </c>
      <c r="G5964" s="24" t="str">
        <f>IF(OR(E5964="",E5964="!!!"),"",IF(OR(J5964=0,AND(J5964=1,K5964=1),AND(J5964=1,I5964="SBJ"),AND(J5964=1,I5964=0)),"?IN_FOCUS",IF(J5964&lt;=2,"?ACTIVATED",IF(J5964&lt;&gt;"","?FAMILIAR",IF(F5964="NEW",IF(ISNA(VLOOKUP(E5964,#REF!,1,FALSE())),"?TYPE_IDENTIFIABLE","?REFERENTIAL"),"_")))))</f>
        <v> </v>
      </c>
      <c r="H5964" s="25" t="str">
        <f>IF(J5964&lt;&gt;1,"",IF(I5964="SBJ","CB","?"))</f>
        <v> </v>
      </c>
      <c r="I5964" s="26" t="str">
        <f>IF(OR(E5964="",E5964="!!!",F5964="NEW"),"",INDEX(B5963:B$2,-1+SUMPRODUCT(MAX(ROW(E5963:E$2)*(E5964=E5963:E$2)))))</f>
        <v> </v>
      </c>
      <c r="J5964" s="26" t="str">
        <f>IF(OR(E5964="",E5964="!!!",F5964="NEW"),"",COUNTBLANK(OFFSET(A$1,,,SUMPRODUCT(MAX(ROW(E$2:E5964)*(E5964=E$2:E5964)))))-COUNTBLANK(OFFSET(A$1,,,SUMPRODUCT(MAX(ROW(E$1:E5963)*(E2=E$1:E5963))))))</f>
        <v> </v>
      </c>
      <c r="K5964" s="26" t="str">
        <f>IF(OR(E5964="",E5964="!!!",F5964="NEW"),"",INDEX(J$1:J5963,SUMPRODUCT(MAX(ROW(E$1:E5963)*(E5964=E$1:E5963)))))</f>
        <v> </v>
      </c>
      <c r="L5964" s="27"/>
    </row>
    <row r="5965" spans="1:12">
      <c r="A5965" s="20" t="s">
        <v>1330</v>
      </c>
      <c r="E5965" s="22">
        <f>IF(D5965="?OLD","!!!","")</f>
        <v/>
      </c>
      <c r="F5965" s="23" t="str">
        <f>IF(OR(E5965="",E5965="!!!"),"",IF(NOT(ISNA(VLOOKUP(E5965,E$1:E5964,1,FALSE()))),"OLD",IF(AND(E5965&lt;&gt;"",E5965&lt;&gt;"!!!"),"NEW","")))</f>
        <v> </v>
      </c>
      <c r="G5965" s="24" t="str">
        <f>IF(OR(E5965="",E5965="!!!"),"",IF(OR(J5965=0,AND(J5965=1,K5965=1),AND(J5965=1,I5965="SBJ"),AND(J5965=1,I5965=0)),"?IN_FOCUS",IF(J5965&lt;=2,"?ACTIVATED",IF(J5965&lt;&gt;"","?FAMILIAR",IF(F5965="NEW",IF(ISNA(VLOOKUP(E5965,#REF!,1,FALSE())),"?TYPE_IDENTIFIABLE","?REFERENTIAL"),"_")))))</f>
        <v> </v>
      </c>
      <c r="H5965" s="25" t="str">
        <f>IF(J5965&lt;&gt;1,"",IF(I5965="SBJ","CB","?"))</f>
        <v> </v>
      </c>
      <c r="I5965" s="26" t="str">
        <f>IF(OR(E5965="",E5965="!!!",F5965="NEW"),"",INDEX(B5964:B$2,-1+SUMPRODUCT(MAX(ROW(E5964:E$2)*(E5965=E5964:E$2)))))</f>
        <v> </v>
      </c>
      <c r="J5965" s="26" t="str">
        <f>IF(OR(E5965="",E5965="!!!",F5965="NEW"),"",COUNTBLANK(OFFSET(A$1,,,SUMPRODUCT(MAX(ROW(E$2:E5965)*(E5965=E$2:E5965)))))-COUNTBLANK(OFFSET(A$1,,,SUMPRODUCT(MAX(ROW(E$1:E5964)*(E2=E$1:E5964))))))</f>
        <v> </v>
      </c>
      <c r="K5965" s="26" t="str">
        <f>IF(OR(E5965="",E5965="!!!",F5965="NEW"),"",INDEX(J$1:J5964,SUMPRODUCT(MAX(ROW(E$1:E5964)*(E5965=E$1:E5964)))))</f>
        <v> </v>
      </c>
      <c r="L5965" s="27"/>
    </row>
    <row r="5966" spans="1:12">
      <c r="A5966" s="20" t="s">
        <v>1401</v>
      </c>
      <c r="E5966" s="22">
        <f>IF(D5966="?OLD","!!!","")</f>
        <v/>
      </c>
      <c r="F5966" s="23" t="str">
        <f>IF(OR(E5966="",E5966="!!!"),"",IF(NOT(ISNA(VLOOKUP(E5966,E$1:E5965,1,FALSE()))),"OLD",IF(AND(E5966&lt;&gt;"",E5966&lt;&gt;"!!!"),"NEW","")))</f>
        <v> </v>
      </c>
      <c r="G5966" s="24" t="str">
        <f>IF(OR(E5966="",E5966="!!!"),"",IF(OR(J5966=0,AND(J5966=1,K5966=1),AND(J5966=1,I5966="SBJ"),AND(J5966=1,I5966=0)),"?IN_FOCUS",IF(J5966&lt;=2,"?ACTIVATED",IF(J5966&lt;&gt;"","?FAMILIAR",IF(F5966="NEW",IF(ISNA(VLOOKUP(E5966,#REF!,1,FALSE())),"?TYPE_IDENTIFIABLE","?REFERENTIAL"),"_")))))</f>
        <v> </v>
      </c>
      <c r="H5966" s="25" t="str">
        <f>IF(J5966&lt;&gt;1,"",IF(I5966="SBJ","CB","?"))</f>
        <v> </v>
      </c>
      <c r="I5966" s="26" t="str">
        <f>IF(OR(E5966="",E5966="!!!",F5966="NEW"),"",INDEX(B5965:B$2,-1+SUMPRODUCT(MAX(ROW(E5965:E$2)*(E5966=E5965:E$2)))))</f>
        <v> </v>
      </c>
      <c r="J5966" s="26" t="str">
        <f>IF(OR(E5966="",E5966="!!!",F5966="NEW"),"",COUNTBLANK(OFFSET(A$1,,,SUMPRODUCT(MAX(ROW(E$2:E5966)*(E5966=E$2:E5966)))))-COUNTBLANK(OFFSET(A$1,,,SUMPRODUCT(MAX(ROW(E$1:E5965)*(E2=E$1:E5965))))))</f>
        <v> </v>
      </c>
      <c r="K5966" s="26" t="str">
        <f>IF(OR(E5966="",E5966="!!!",F5966="NEW"),"",INDEX(J$1:J5965,SUMPRODUCT(MAX(ROW(E$1:E5965)*(E5966=E$1:E5965)))))</f>
        <v> </v>
      </c>
      <c r="L5966" s="27"/>
    </row>
    <row r="5967" spans="1:12">
      <c r="A5967" s="20" t="s">
        <v>1014</v>
      </c>
      <c r="E5967" s="22">
        <f>IF(D5967="?OLD","!!!","")</f>
        <v/>
      </c>
      <c r="F5967" s="23" t="str">
        <f>IF(OR(E5967="",E5967="!!!"),"",IF(NOT(ISNA(VLOOKUP(E5967,E$1:E5966,1,FALSE()))),"OLD",IF(AND(E5967&lt;&gt;"",E5967&lt;&gt;"!!!"),"NEW","")))</f>
        <v> </v>
      </c>
      <c r="G5967" s="24" t="str">
        <f>IF(OR(E5967="",E5967="!!!"),"",IF(OR(J5967=0,AND(J5967=1,K5967=1),AND(J5967=1,I5967="SBJ"),AND(J5967=1,I5967=0)),"?IN_FOCUS",IF(J5967&lt;=2,"?ACTIVATED",IF(J5967&lt;&gt;"","?FAMILIAR",IF(F5967="NEW",IF(ISNA(VLOOKUP(E5967,#REF!,1,FALSE())),"?TYPE_IDENTIFIABLE","?REFERENTIAL"),"_")))))</f>
        <v> </v>
      </c>
      <c r="H5967" s="25" t="str">
        <f>IF(J5967&lt;&gt;1,"",IF(I5967="SBJ","CB","?"))</f>
        <v> </v>
      </c>
      <c r="I5967" s="26" t="str">
        <f>IF(OR(E5967="",E5967="!!!",F5967="NEW"),"",INDEX(B5966:B$2,-1+SUMPRODUCT(MAX(ROW(E5966:E$2)*(E5967=E5966:E$2)))))</f>
        <v> </v>
      </c>
      <c r="J5967" s="26" t="str">
        <f>IF(OR(E5967="",E5967="!!!",F5967="NEW"),"",COUNTBLANK(OFFSET(A$1,,,SUMPRODUCT(MAX(ROW(E$2:E5967)*(E5967=E$2:E5967)))))-COUNTBLANK(OFFSET(A$1,,,SUMPRODUCT(MAX(ROW(E$1:E5966)*(E2=E$1:E5966))))))</f>
        <v> </v>
      </c>
      <c r="K5967" s="26" t="str">
        <f>IF(OR(E5967="",E5967="!!!",F5967="NEW"),"",INDEX(J$1:J5966,SUMPRODUCT(MAX(ROW(E$1:E5966)*(E5967=E$1:E5966)))))</f>
        <v> </v>
      </c>
      <c r="L5967" s="27"/>
    </row>
    <row r="5968" spans="1:12">
      <c r="A5968" s="20" t="s">
        <v>102</v>
      </c>
      <c r="B5968" s="21" t="s">
        <v>2315</v>
      </c>
      <c r="C5968" s="21" t="s">
        <v>1073</v>
      </c>
      <c r="D5968" s="21" t="s">
        <v>1007</v>
      </c>
      <c r="E5968" s="22">
        <f>IF(D5968="?OLD","!!!","")</f>
        <v/>
      </c>
      <c r="F5968" s="23" t="str">
        <f>IF(OR(E5968="",E5968="!!!"),"",IF(NOT(ISNA(VLOOKUP(E5968,E$1:E5967,1,FALSE()))),"OLD",IF(AND(E5968&lt;&gt;"",E5968&lt;&gt;"!!!"),"NEW","")))</f>
        <v> </v>
      </c>
      <c r="G5968" s="24" t="str">
        <f>IF(OR(E5968="",E5968="!!!"),"",IF(OR(J5968=0,AND(J5968=1,K5968=1),AND(J5968=1,I5968="SBJ"),AND(J5968=1,I5968=0)),"?IN_FOCUS",IF(J5968&lt;=2,"?ACTIVATED",IF(J5968&lt;&gt;"","?FAMILIAR",IF(F5968="NEW",IF(ISNA(VLOOKUP(E5968,#REF!,1,FALSE())),"?TYPE_IDENTIFIABLE","?REFERENTIAL"),"_")))))</f>
        <v> </v>
      </c>
      <c r="H5968" s="25" t="str">
        <f>IF(J5968&lt;&gt;1,"",IF(I5968="SBJ","CB","?"))</f>
        <v> </v>
      </c>
      <c r="I5968" s="26" t="str">
        <f>IF(OR(E5968="",E5968="!!!",F5968="NEW"),"",INDEX(B5967:B$2,-1+SUMPRODUCT(MAX(ROW(E5967:E$2)*(E5968=E5967:E$2)))))</f>
        <v> </v>
      </c>
      <c r="J5968" s="26" t="str">
        <f>IF(OR(E5968="",E5968="!!!",F5968="NEW"),"",COUNTBLANK(OFFSET(A$1,,,SUMPRODUCT(MAX(ROW(E$2:E5968)*(E5968=E$2:E5968)))))-COUNTBLANK(OFFSET(A$1,,,SUMPRODUCT(MAX(ROW(E$1:E5967)*(E2=E$1:E5967))))))</f>
        <v> </v>
      </c>
      <c r="K5968" s="26" t="str">
        <f>IF(OR(E5968="",E5968="!!!",F5968="NEW"),"",INDEX(J$1:J5967,SUMPRODUCT(MAX(ROW(E$1:E5967)*(E5968=E$1:E5967)))))</f>
        <v> </v>
      </c>
      <c r="L5968" s="27"/>
    </row>
    <row r="5969" spans="1:12">
      <c r="A5969" s="20" t="s">
        <v>1065</v>
      </c>
      <c r="E5969" s="22">
        <f>IF(D5969="?OLD","!!!","")</f>
        <v/>
      </c>
      <c r="F5969" s="23" t="str">
        <f>IF(OR(E5969="",E5969="!!!"),"",IF(NOT(ISNA(VLOOKUP(E5969,E$1:E5968,1,FALSE()))),"OLD",IF(AND(E5969&lt;&gt;"",E5969&lt;&gt;"!!!"),"NEW","")))</f>
        <v> </v>
      </c>
      <c r="G5969" s="24" t="str">
        <f>IF(OR(E5969="",E5969="!!!"),"",IF(OR(J5969=0,AND(J5969=1,K5969=1),AND(J5969=1,I5969="SBJ"),AND(J5969=1,I5969=0)),"?IN_FOCUS",IF(J5969&lt;=2,"?ACTIVATED",IF(J5969&lt;&gt;"","?FAMILIAR",IF(F5969="NEW",IF(ISNA(VLOOKUP(E5969,#REF!,1,FALSE())),"?TYPE_IDENTIFIABLE","?REFERENTIAL"),"_")))))</f>
        <v> </v>
      </c>
      <c r="H5969" s="25" t="str">
        <f>IF(J5969&lt;&gt;1,"",IF(I5969="SBJ","CB","?"))</f>
        <v> </v>
      </c>
      <c r="I5969" s="26" t="str">
        <f>IF(OR(E5969="",E5969="!!!",F5969="NEW"),"",INDEX(B5968:B$2,-1+SUMPRODUCT(MAX(ROW(E5968:E$2)*(E5969=E5968:E$2)))))</f>
        <v> </v>
      </c>
      <c r="J5969" s="26" t="str">
        <f>IF(OR(E5969="",E5969="!!!",F5969="NEW"),"",COUNTBLANK(OFFSET(A$1,,,SUMPRODUCT(MAX(ROW(E$2:E5969)*(E5969=E$2:E5969)))))-COUNTBLANK(OFFSET(A$1,,,SUMPRODUCT(MAX(ROW(E$1:E5968)*(E2=E$1:E5968))))))</f>
        <v> </v>
      </c>
      <c r="K5969" s="26" t="str">
        <f>IF(OR(E5969="",E5969="!!!",F5969="NEW"),"",INDEX(J$1:J5968,SUMPRODUCT(MAX(ROW(E$1:E5968)*(E5969=E$1:E5968)))))</f>
        <v> </v>
      </c>
      <c r="L5969" s="27"/>
    </row>
    <row r="5970" spans="1:12">
      <c r="A5970" s="20" t="s">
        <v>2582</v>
      </c>
      <c r="E5970" s="22">
        <f>IF(D5970="?OLD","!!!","")</f>
        <v/>
      </c>
      <c r="F5970" s="23" t="str">
        <f>IF(OR(E5970="",E5970="!!!"),"",IF(NOT(ISNA(VLOOKUP(E5970,E$1:E5969,1,FALSE()))),"OLD",IF(AND(E5970&lt;&gt;"",E5970&lt;&gt;"!!!"),"NEW","")))</f>
        <v> </v>
      </c>
      <c r="G5970" s="24" t="str">
        <f>IF(OR(E5970="",E5970="!!!"),"",IF(OR(J5970=0,AND(J5970=1,K5970=1),AND(J5970=1,I5970="SBJ"),AND(J5970=1,I5970=0)),"?IN_FOCUS",IF(J5970&lt;=2,"?ACTIVATED",IF(J5970&lt;&gt;"","?FAMILIAR",IF(F5970="NEW",IF(ISNA(VLOOKUP(E5970,#REF!,1,FALSE())),"?TYPE_IDENTIFIABLE","?REFERENTIAL"),"_")))))</f>
        <v> </v>
      </c>
      <c r="H5970" s="25" t="str">
        <f>IF(J5970&lt;&gt;1,"",IF(I5970="SBJ","CB","?"))</f>
        <v> </v>
      </c>
      <c r="I5970" s="26" t="str">
        <f>IF(OR(E5970="",E5970="!!!",F5970="NEW"),"",INDEX(B5969:B$2,-1+SUMPRODUCT(MAX(ROW(E5969:E$2)*(E5970=E5969:E$2)))))</f>
        <v> </v>
      </c>
      <c r="J5970" s="26" t="str">
        <f>IF(OR(E5970="",E5970="!!!",F5970="NEW"),"",COUNTBLANK(OFFSET(A$1,,,SUMPRODUCT(MAX(ROW(E$2:E5970)*(E5970=E$2:E5970)))))-COUNTBLANK(OFFSET(A$1,,,SUMPRODUCT(MAX(ROW(E$1:E5969)*(E2=E$1:E5969))))))</f>
        <v> </v>
      </c>
      <c r="K5970" s="26" t="str">
        <f>IF(OR(E5970="",E5970="!!!",F5970="NEW"),"",INDEX(J$1:J5969,SUMPRODUCT(MAX(ROW(E$1:E5969)*(E5970=E$1:E5969)))))</f>
        <v> </v>
      </c>
      <c r="L5970" s="27"/>
    </row>
    <row r="5971" spans="1:12">
      <c r="A5971" s="20" t="s">
        <v>2583</v>
      </c>
      <c r="E5971" s="22">
        <f>IF(D5971="?OLD","!!!","")</f>
        <v/>
      </c>
      <c r="F5971" s="23" t="str">
        <f>IF(OR(E5971="",E5971="!!!"),"",IF(NOT(ISNA(VLOOKUP(E5971,E$1:E5970,1,FALSE()))),"OLD",IF(AND(E5971&lt;&gt;"",E5971&lt;&gt;"!!!"),"NEW","")))</f>
        <v> </v>
      </c>
      <c r="G5971" s="24" t="str">
        <f>IF(OR(E5971="",E5971="!!!"),"",IF(OR(J5971=0,AND(J5971=1,K5971=1),AND(J5971=1,I5971="SBJ"),AND(J5971=1,I5971=0)),"?IN_FOCUS",IF(J5971&lt;=2,"?ACTIVATED",IF(J5971&lt;&gt;"","?FAMILIAR",IF(F5971="NEW",IF(ISNA(VLOOKUP(E5971,#REF!,1,FALSE())),"?TYPE_IDENTIFIABLE","?REFERENTIAL"),"_")))))</f>
        <v> </v>
      </c>
      <c r="H5971" s="25" t="str">
        <f>IF(J5971&lt;&gt;1,"",IF(I5971="SBJ","CB","?"))</f>
        <v> </v>
      </c>
      <c r="I5971" s="26" t="str">
        <f>IF(OR(E5971="",E5971="!!!",F5971="NEW"),"",INDEX(B5970:B$2,-1+SUMPRODUCT(MAX(ROW(E5970:E$2)*(E5971=E5970:E$2)))))</f>
        <v> </v>
      </c>
      <c r="J5971" s="26" t="str">
        <f>IF(OR(E5971="",E5971="!!!",F5971="NEW"),"",COUNTBLANK(OFFSET(A$1,,,SUMPRODUCT(MAX(ROW(E$2:E5971)*(E5971=E$2:E5971)))))-COUNTBLANK(OFFSET(A$1,,,SUMPRODUCT(MAX(ROW(E$1:E5970)*(E2=E$1:E5970))))))</f>
        <v> </v>
      </c>
      <c r="K5971" s="26" t="str">
        <f>IF(OR(E5971="",E5971="!!!",F5971="NEW"),"",INDEX(J$1:J5970,SUMPRODUCT(MAX(ROW(E$1:E5970)*(E5971=E$1:E5970)))))</f>
        <v> </v>
      </c>
      <c r="L5971" s="27"/>
    </row>
    <row r="5972" spans="1:12">
      <c r="A5972" s="20" t="s">
        <v>1023</v>
      </c>
      <c r="E5972" s="22">
        <f>IF(D5972="?OLD","!!!","")</f>
        <v/>
      </c>
      <c r="F5972" s="23" t="str">
        <f>IF(OR(E5972="",E5972="!!!"),"",IF(NOT(ISNA(VLOOKUP(E5972,E$1:E5971,1,FALSE()))),"OLD",IF(AND(E5972&lt;&gt;"",E5972&lt;&gt;"!!!"),"NEW","")))</f>
        <v> </v>
      </c>
      <c r="G5972" s="24" t="str">
        <f>IF(OR(E5972="",E5972="!!!"),"",IF(OR(J5972=0,AND(J5972=1,K5972=1),AND(J5972=1,I5972="SBJ"),AND(J5972=1,I5972=0)),"?IN_FOCUS",IF(J5972&lt;=2,"?ACTIVATED",IF(J5972&lt;&gt;"","?FAMILIAR",IF(F5972="NEW",IF(ISNA(VLOOKUP(E5972,#REF!,1,FALSE())),"?TYPE_IDENTIFIABLE","?REFERENTIAL"),"_")))))</f>
        <v> </v>
      </c>
      <c r="H5972" s="25" t="str">
        <f>IF(J5972&lt;&gt;1,"",IF(I5972="SBJ","CB","?"))</f>
        <v> </v>
      </c>
      <c r="I5972" s="26" t="str">
        <f>IF(OR(E5972="",E5972="!!!",F5972="NEW"),"",INDEX(B5971:B$2,-1+SUMPRODUCT(MAX(ROW(E5971:E$2)*(E5972=E5971:E$2)))))</f>
        <v> </v>
      </c>
      <c r="J5972" s="26" t="str">
        <f>IF(OR(E5972="",E5972="!!!",F5972="NEW"),"",COUNTBLANK(OFFSET(A$1,,,SUMPRODUCT(MAX(ROW(E$2:E5972)*(E5972=E$2:E5972)))))-COUNTBLANK(OFFSET(A$1,,,SUMPRODUCT(MAX(ROW(E$1:E5971)*(E2=E$1:E5971))))))</f>
        <v> </v>
      </c>
      <c r="K5972" s="26" t="str">
        <f>IF(OR(E5972="",E5972="!!!",F5972="NEW"),"",INDEX(J$1:J5971,SUMPRODUCT(MAX(ROW(E$1:E5971)*(E5972=E$1:E5971)))))</f>
        <v> </v>
      </c>
      <c r="L5972" s="27"/>
    </row>
    <row r="5973" spans="1:12">
      <c r="A5973" s="20"/>
    </row>
    <row r="5974" spans="1:12">
      <c r="A5974" s="20" t="s">
        <v>2584</v>
      </c>
    </row>
    <row r="5975" spans="1:12">
      <c r="A5975" s="20" t="s">
        <v>1094</v>
      </c>
      <c r="E5975" s="22">
        <f>IF(D5975="?OLD","!!!","")</f>
        <v/>
      </c>
      <c r="F5975" s="23" t="str">
        <f>IF(OR(E5975="",E5975="!!!"),"",IF(NOT(ISNA(VLOOKUP(E5975,E$1:E5974,1,FALSE()))),"OLD",IF(AND(E5975&lt;&gt;"",E5975&lt;&gt;"!!!"),"NEW","")))</f>
        <v> </v>
      </c>
      <c r="G5975" s="24" t="str">
        <f>IF(OR(E5975="",E5975="!!!"),"",IF(OR(J5975=0,AND(J5975=1,K5975=1),AND(J5975=1,I5975="SBJ"),AND(J5975=1,I5975=0)),"?IN_FOCUS",IF(J5975&lt;=2,"?ACTIVATED",IF(J5975&lt;&gt;"","?FAMILIAR",IF(F5975="NEW",IF(ISNA(VLOOKUP(E5975,#REF!,1,FALSE())),"?TYPE_IDENTIFIABLE","?REFERENTIAL"),"_")))))</f>
        <v> </v>
      </c>
      <c r="H5975" s="25" t="str">
        <f>IF(J5975&lt;&gt;1,"",IF(I5975="SBJ","CB","?"))</f>
        <v> </v>
      </c>
      <c r="I5975" s="26" t="str">
        <f>IF(OR(E5975="",E5975="!!!",F5975="NEW"),"",INDEX(B5974:B$2,-1+SUMPRODUCT(MAX(ROW(E5974:E$2)*(E5975=E5974:E$2)))))</f>
        <v> </v>
      </c>
      <c r="J5975" s="26" t="str">
        <f>IF(OR(E5975="",E5975="!!!",F5975="NEW"),"",COUNTBLANK(OFFSET(A$1,,,SUMPRODUCT(MAX(ROW(E$2:E5975)*(E5975=E$2:E5975)))))-COUNTBLANK(OFFSET(A$1,,,SUMPRODUCT(MAX(ROW(E$1:E5974)*(E2=E$1:E5974))))))</f>
        <v> </v>
      </c>
      <c r="K5975" s="26" t="str">
        <f>IF(OR(E5975="",E5975="!!!",F5975="NEW"),"",INDEX(J$1:J5974,SUMPRODUCT(MAX(ROW(E$1:E5974)*(E5975=E$1:E5974)))))</f>
        <v> </v>
      </c>
      <c r="L5975" s="27"/>
    </row>
    <row r="5976" spans="1:12">
      <c r="A5976" s="20" t="s">
        <v>1009</v>
      </c>
      <c r="E5976" s="22">
        <f>IF(D5976="?OLD","!!!","")</f>
        <v/>
      </c>
      <c r="F5976" s="23" t="str">
        <f>IF(OR(E5976="",E5976="!!!"),"",IF(NOT(ISNA(VLOOKUP(E5976,E$1:E5975,1,FALSE()))),"OLD",IF(AND(E5976&lt;&gt;"",E5976&lt;&gt;"!!!"),"NEW","")))</f>
        <v> </v>
      </c>
      <c r="G5976" s="24" t="str">
        <f>IF(OR(E5976="",E5976="!!!"),"",IF(OR(J5976=0,AND(J5976=1,K5976=1),AND(J5976=1,I5976="SBJ"),AND(J5976=1,I5976=0)),"?IN_FOCUS",IF(J5976&lt;=2,"?ACTIVATED",IF(J5976&lt;&gt;"","?FAMILIAR",IF(F5976="NEW",IF(ISNA(VLOOKUP(E5976,#REF!,1,FALSE())),"?TYPE_IDENTIFIABLE","?REFERENTIAL"),"_")))))</f>
        <v> </v>
      </c>
      <c r="H5976" s="25" t="str">
        <f>IF(J5976&lt;&gt;1,"",IF(I5976="SBJ","CB","?"))</f>
        <v> </v>
      </c>
      <c r="I5976" s="26" t="str">
        <f>IF(OR(E5976="",E5976="!!!",F5976="NEW"),"",INDEX(B5975:B$2,-1+SUMPRODUCT(MAX(ROW(E5975:E$2)*(E5976=E5975:E$2)))))</f>
        <v> </v>
      </c>
      <c r="J5976" s="26" t="str">
        <f>IF(OR(E5976="",E5976="!!!",F5976="NEW"),"",COUNTBLANK(OFFSET(A$1,,,SUMPRODUCT(MAX(ROW(E$2:E5976)*(E5976=E$2:E5976)))))-COUNTBLANK(OFFSET(A$1,,,SUMPRODUCT(MAX(ROW(E$1:E5975)*(E2=E$1:E5975))))))</f>
        <v> </v>
      </c>
      <c r="K5976" s="26" t="str">
        <f>IF(OR(E5976="",E5976="!!!",F5976="NEW"),"",INDEX(J$1:J5975,SUMPRODUCT(MAX(ROW(E$1:E5975)*(E5976=E$1:E5975)))))</f>
        <v> </v>
      </c>
      <c r="L5976" s="27"/>
    </row>
    <row r="5977" spans="1:12">
      <c r="A5977" s="20" t="s">
        <v>1259</v>
      </c>
      <c r="E5977" s="22">
        <f>IF(D5977="?OLD","!!!","")</f>
        <v/>
      </c>
      <c r="F5977" s="23" t="str">
        <f>IF(OR(E5977="",E5977="!!!"),"",IF(NOT(ISNA(VLOOKUP(E5977,E$1:E5976,1,FALSE()))),"OLD",IF(AND(E5977&lt;&gt;"",E5977&lt;&gt;"!!!"),"NEW","")))</f>
        <v> </v>
      </c>
      <c r="G5977" s="24" t="str">
        <f>IF(OR(E5977="",E5977="!!!"),"",IF(OR(J5977=0,AND(J5977=1,K5977=1),AND(J5977=1,I5977="SBJ"),AND(J5977=1,I5977=0)),"?IN_FOCUS",IF(J5977&lt;=2,"?ACTIVATED",IF(J5977&lt;&gt;"","?FAMILIAR",IF(F5977="NEW",IF(ISNA(VLOOKUP(E5977,#REF!,1,FALSE())),"?TYPE_IDENTIFIABLE","?REFERENTIAL"),"_")))))</f>
        <v> </v>
      </c>
      <c r="H5977" s="25" t="str">
        <f>IF(J5977&lt;&gt;1,"",IF(I5977="SBJ","CB","?"))</f>
        <v> </v>
      </c>
      <c r="I5977" s="26" t="str">
        <f>IF(OR(E5977="",E5977="!!!",F5977="NEW"),"",INDEX(B5976:B$2,-1+SUMPRODUCT(MAX(ROW(E5976:E$2)*(E5977=E5976:E$2)))))</f>
        <v> </v>
      </c>
      <c r="J5977" s="26" t="str">
        <f>IF(OR(E5977="",E5977="!!!",F5977="NEW"),"",COUNTBLANK(OFFSET(A$1,,,SUMPRODUCT(MAX(ROW(E$2:E5977)*(E5977=E$2:E5977)))))-COUNTBLANK(OFFSET(A$1,,,SUMPRODUCT(MAX(ROW(E$1:E5976)*(E2=E$1:E5976))))))</f>
        <v> </v>
      </c>
      <c r="K5977" s="26" t="str">
        <f>IF(OR(E5977="",E5977="!!!",F5977="NEW"),"",INDEX(J$1:J5976,SUMPRODUCT(MAX(ROW(E$1:E5976)*(E5977=E$1:E5976)))))</f>
        <v> </v>
      </c>
      <c r="L5977" s="27"/>
    </row>
    <row r="5978" spans="1:12">
      <c r="A5978" s="20" t="s">
        <v>113</v>
      </c>
      <c r="E5978" s="22">
        <f>IF(D5978="?OLD","!!!","")</f>
        <v/>
      </c>
      <c r="F5978" s="23" t="str">
        <f>IF(OR(E5978="",E5978="!!!"),"",IF(NOT(ISNA(VLOOKUP(E5978,E$1:E5977,1,FALSE()))),"OLD",IF(AND(E5978&lt;&gt;"",E5978&lt;&gt;"!!!"),"NEW","")))</f>
        <v> </v>
      </c>
      <c r="G5978" s="24" t="str">
        <f>IF(OR(E5978="",E5978="!!!"),"",IF(OR(J5978=0,AND(J5978=1,K5978=1),AND(J5978=1,I5978="SBJ"),AND(J5978=1,I5978=0)),"?IN_FOCUS",IF(J5978&lt;=2,"?ACTIVATED",IF(J5978&lt;&gt;"","?FAMILIAR",IF(F5978="NEW",IF(ISNA(VLOOKUP(E5978,#REF!,1,FALSE())),"?TYPE_IDENTIFIABLE","?REFERENTIAL"),"_")))))</f>
        <v> </v>
      </c>
      <c r="H5978" s="25" t="str">
        <f>IF(J5978&lt;&gt;1,"",IF(I5978="SBJ","CB","?"))</f>
        <v> </v>
      </c>
      <c r="I5978" s="26" t="str">
        <f>IF(OR(E5978="",E5978="!!!",F5978="NEW"),"",INDEX(B5977:B$2,-1+SUMPRODUCT(MAX(ROW(E5977:E$2)*(E5978=E5977:E$2)))))</f>
        <v> </v>
      </c>
      <c r="J5978" s="26" t="str">
        <f>IF(OR(E5978="",E5978="!!!",F5978="NEW"),"",COUNTBLANK(OFFSET(A$1,,,SUMPRODUCT(MAX(ROW(E$2:E5978)*(E5978=E$2:E5978)))))-COUNTBLANK(OFFSET(A$1,,,SUMPRODUCT(MAX(ROW(E$1:E5977)*(E2=E$1:E5977))))))</f>
        <v> </v>
      </c>
      <c r="K5978" s="26" t="str">
        <f>IF(OR(E5978="",E5978="!!!",F5978="NEW"),"",INDEX(J$1:J5977,SUMPRODUCT(MAX(ROW(E$1:E5977)*(E5978=E$1:E5977)))))</f>
        <v> </v>
      </c>
      <c r="L5978" s="27"/>
    </row>
    <row r="5979" spans="1:12">
      <c r="A5979" s="20" t="s">
        <v>1240</v>
      </c>
      <c r="B5979" s="21" t="s">
        <v>1085</v>
      </c>
      <c r="C5979" s="21" t="s">
        <v>1205</v>
      </c>
      <c r="E5979" s="22">
        <f>IF(D5979="?OLD","!!!","")</f>
        <v/>
      </c>
      <c r="F5979" s="23" t="str">
        <f>IF(OR(E5979="",E5979="!!!"),"",IF(NOT(ISNA(VLOOKUP(E5979,E$1:E5978,1,FALSE()))),"OLD",IF(AND(E5979&lt;&gt;"",E5979&lt;&gt;"!!!"),"NEW","")))</f>
        <v> </v>
      </c>
      <c r="G5979" s="24" t="str">
        <f>IF(OR(E5979="",E5979="!!!"),"",IF(OR(J5979=0,AND(J5979=1,K5979=1),AND(J5979=1,I5979="SBJ"),AND(J5979=1,I5979=0)),"?IN_FOCUS",IF(J5979&lt;=2,"?ACTIVATED",IF(J5979&lt;&gt;"","?FAMILIAR",IF(F5979="NEW",IF(ISNA(VLOOKUP(E5979,#REF!,1,FALSE())),"?TYPE_IDENTIFIABLE","?REFERENTIAL"),"_")))))</f>
        <v> </v>
      </c>
      <c r="H5979" s="25" t="str">
        <f>IF(J5979&lt;&gt;1,"",IF(I5979="SBJ","CB","?"))</f>
        <v> </v>
      </c>
      <c r="I5979" s="26" t="str">
        <f>IF(OR(E5979="",E5979="!!!",F5979="NEW"),"",INDEX(B5978:B$2,-1+SUMPRODUCT(MAX(ROW(E5978:E$2)*(E5979=E5978:E$2)))))</f>
        <v> </v>
      </c>
      <c r="J5979" s="26" t="str">
        <f>IF(OR(E5979="",E5979="!!!",F5979="NEW"),"",COUNTBLANK(OFFSET(A$1,,,SUMPRODUCT(MAX(ROW(E$2:E5979)*(E5979=E$2:E5979)))))-COUNTBLANK(OFFSET(A$1,,,SUMPRODUCT(MAX(ROW(E$1:E5978)*(E2=E$1:E5978))))))</f>
        <v> </v>
      </c>
      <c r="K5979" s="26" t="str">
        <f>IF(OR(E5979="",E5979="!!!",F5979="NEW"),"",INDEX(J$1:J5978,SUMPRODUCT(MAX(ROW(E$1:E5978)*(E5979=E$1:E5978)))))</f>
        <v> </v>
      </c>
      <c r="L5979" s="27"/>
    </row>
    <row r="5980" spans="1:12">
      <c r="A5980" s="20" t="s">
        <v>1065</v>
      </c>
      <c r="B5980" s="21" t="s">
        <v>1154</v>
      </c>
      <c r="E5980" s="22">
        <f>IF(D5980="?OLD","!!!","")</f>
        <v/>
      </c>
      <c r="F5980" s="23" t="str">
        <f>IF(OR(E5980="",E5980="!!!"),"",IF(NOT(ISNA(VLOOKUP(E5980,E$1:E5979,1,FALSE()))),"OLD",IF(AND(E5980&lt;&gt;"",E5980&lt;&gt;"!!!"),"NEW","")))</f>
        <v> </v>
      </c>
      <c r="G5980" s="24" t="str">
        <f>IF(OR(E5980="",E5980="!!!"),"",IF(OR(J5980=0,AND(J5980=1,K5980=1),AND(J5980=1,I5980="SBJ"),AND(J5980=1,I5980=0)),"?IN_FOCUS",IF(J5980&lt;=2,"?ACTIVATED",IF(J5980&lt;&gt;"","?FAMILIAR",IF(F5980="NEW",IF(ISNA(VLOOKUP(E5980,#REF!,1,FALSE())),"?TYPE_IDENTIFIABLE","?REFERENTIAL"),"_")))))</f>
        <v> </v>
      </c>
      <c r="H5980" s="25" t="str">
        <f>IF(J5980&lt;&gt;1,"",IF(I5980="SBJ","CB","?"))</f>
        <v> </v>
      </c>
      <c r="I5980" s="26" t="str">
        <f>IF(OR(E5980="",E5980="!!!",F5980="NEW"),"",INDEX(B5979:B$2,-1+SUMPRODUCT(MAX(ROW(E5979:E$2)*(E5980=E5979:E$2)))))</f>
        <v> </v>
      </c>
      <c r="J5980" s="26" t="str">
        <f>IF(OR(E5980="",E5980="!!!",F5980="NEW"),"",COUNTBLANK(OFFSET(A$1,,,SUMPRODUCT(MAX(ROW(E$2:E5980)*(E5980=E$2:E5980)))))-COUNTBLANK(OFFSET(A$1,,,SUMPRODUCT(MAX(ROW(E$1:E5979)*(E2=E$1:E5979))))))</f>
        <v> </v>
      </c>
      <c r="K5980" s="26" t="str">
        <f>IF(OR(E5980="",E5980="!!!",F5980="NEW"),"",INDEX(J$1:J5979,SUMPRODUCT(MAX(ROW(E$1:E5979)*(E5980=E$1:E5979)))))</f>
        <v> </v>
      </c>
      <c r="L5980" s="27"/>
    </row>
    <row r="5981" spans="1:12">
      <c r="A5981" s="20" t="s">
        <v>1397</v>
      </c>
      <c r="E5981" s="22">
        <f>IF(D5981="?OLD","!!!","")</f>
        <v/>
      </c>
      <c r="F5981" s="23" t="str">
        <f>IF(OR(E5981="",E5981="!!!"),"",IF(NOT(ISNA(VLOOKUP(E5981,E$1:E5980,1,FALSE()))),"OLD",IF(AND(E5981&lt;&gt;"",E5981&lt;&gt;"!!!"),"NEW","")))</f>
        <v> </v>
      </c>
      <c r="G5981" s="24" t="str">
        <f>IF(OR(E5981="",E5981="!!!"),"",IF(OR(J5981=0,AND(J5981=1,K5981=1),AND(J5981=1,I5981="SBJ"),AND(J5981=1,I5981=0)),"?IN_FOCUS",IF(J5981&lt;=2,"?ACTIVATED",IF(J5981&lt;&gt;"","?FAMILIAR",IF(F5981="NEW",IF(ISNA(VLOOKUP(E5981,#REF!,1,FALSE())),"?TYPE_IDENTIFIABLE","?REFERENTIAL"),"_")))))</f>
        <v> </v>
      </c>
      <c r="H5981" s="25" t="str">
        <f>IF(J5981&lt;&gt;1,"",IF(I5981="SBJ","CB","?"))</f>
        <v> </v>
      </c>
      <c r="I5981" s="26" t="str">
        <f>IF(OR(E5981="",E5981="!!!",F5981="NEW"),"",INDEX(B5980:B$2,-1+SUMPRODUCT(MAX(ROW(E5980:E$2)*(E5981=E5980:E$2)))))</f>
        <v> </v>
      </c>
      <c r="J5981" s="26" t="str">
        <f>IF(OR(E5981="",E5981="!!!",F5981="NEW"),"",COUNTBLANK(OFFSET(A$1,,,SUMPRODUCT(MAX(ROW(E$2:E5981)*(E5981=E$2:E5981)))))-COUNTBLANK(OFFSET(A$1,,,SUMPRODUCT(MAX(ROW(E$1:E5980)*(E2=E$1:E5980))))))</f>
        <v> </v>
      </c>
      <c r="K5981" s="26" t="str">
        <f>IF(OR(E5981="",E5981="!!!",F5981="NEW"),"",INDEX(J$1:J5980,SUMPRODUCT(MAX(ROW(E$1:E5980)*(E5981=E$1:E5980)))))</f>
        <v> </v>
      </c>
      <c r="L5981" s="27"/>
    </row>
    <row r="5982" spans="1:12">
      <c r="A5982" s="20" t="s">
        <v>2585</v>
      </c>
      <c r="E5982" s="22">
        <f>IF(D5982="?OLD","!!!","")</f>
        <v/>
      </c>
      <c r="F5982" s="23" t="str">
        <f>IF(OR(E5982="",E5982="!!!"),"",IF(NOT(ISNA(VLOOKUP(E5982,E$1:E5981,1,FALSE()))),"OLD",IF(AND(E5982&lt;&gt;"",E5982&lt;&gt;"!!!"),"NEW","")))</f>
        <v> </v>
      </c>
      <c r="G5982" s="24" t="str">
        <f>IF(OR(E5982="",E5982="!!!"),"",IF(OR(J5982=0,AND(J5982=1,K5982=1),AND(J5982=1,I5982="SBJ"),AND(J5982=1,I5982=0)),"?IN_FOCUS",IF(J5982&lt;=2,"?ACTIVATED",IF(J5982&lt;&gt;"","?FAMILIAR",IF(F5982="NEW",IF(ISNA(VLOOKUP(E5982,#REF!,1,FALSE())),"?TYPE_IDENTIFIABLE","?REFERENTIAL"),"_")))))</f>
        <v> </v>
      </c>
      <c r="H5982" s="25" t="str">
        <f>IF(J5982&lt;&gt;1,"",IF(I5982="SBJ","CB","?"))</f>
        <v> </v>
      </c>
      <c r="I5982" s="26" t="str">
        <f>IF(OR(E5982="",E5982="!!!",F5982="NEW"),"",INDEX(B5981:B$2,-1+SUMPRODUCT(MAX(ROW(E5981:E$2)*(E5982=E5981:E$2)))))</f>
        <v> </v>
      </c>
      <c r="J5982" s="26" t="str">
        <f>IF(OR(E5982="",E5982="!!!",F5982="NEW"),"",COUNTBLANK(OFFSET(A$1,,,SUMPRODUCT(MAX(ROW(E$2:E5982)*(E5982=E$2:E5982)))))-COUNTBLANK(OFFSET(A$1,,,SUMPRODUCT(MAX(ROW(E$1:E5981)*(E2=E$1:E5981))))))</f>
        <v> </v>
      </c>
      <c r="K5982" s="26" t="str">
        <f>IF(OR(E5982="",E5982="!!!",F5982="NEW"),"",INDEX(J$1:J5981,SUMPRODUCT(MAX(ROW(E$1:E5981)*(E5982=E$1:E5981)))))</f>
        <v> </v>
      </c>
      <c r="L5982" s="27"/>
    </row>
    <row r="5983" spans="1:12">
      <c r="A5983" s="20" t="s">
        <v>1020</v>
      </c>
      <c r="E5983" s="22">
        <f>IF(D5983="?OLD","!!!","")</f>
        <v/>
      </c>
      <c r="F5983" s="23" t="str">
        <f>IF(OR(E5983="",E5983="!!!"),"",IF(NOT(ISNA(VLOOKUP(E5983,E$1:E5982,1,FALSE()))),"OLD",IF(AND(E5983&lt;&gt;"",E5983&lt;&gt;"!!!"),"NEW","")))</f>
        <v> </v>
      </c>
      <c r="G5983" s="24" t="str">
        <f>IF(OR(E5983="",E5983="!!!"),"",IF(OR(J5983=0,AND(J5983=1,K5983=1),AND(J5983=1,I5983="SBJ"),AND(J5983=1,I5983=0)),"?IN_FOCUS",IF(J5983&lt;=2,"?ACTIVATED",IF(J5983&lt;&gt;"","?FAMILIAR",IF(F5983="NEW",IF(ISNA(VLOOKUP(E5983,#REF!,1,FALSE())),"?TYPE_IDENTIFIABLE","?REFERENTIAL"),"_")))))</f>
        <v> </v>
      </c>
      <c r="H5983" s="25" t="str">
        <f>IF(J5983&lt;&gt;1,"",IF(I5983="SBJ","CB","?"))</f>
        <v> </v>
      </c>
      <c r="I5983" s="26" t="str">
        <f>IF(OR(E5983="",E5983="!!!",F5983="NEW"),"",INDEX(B5982:B$2,-1+SUMPRODUCT(MAX(ROW(E5982:E$2)*(E5983=E5982:E$2)))))</f>
        <v> </v>
      </c>
      <c r="J5983" s="26" t="str">
        <f>IF(OR(E5983="",E5983="!!!",F5983="NEW"),"",COUNTBLANK(OFFSET(A$1,,,SUMPRODUCT(MAX(ROW(E$2:E5983)*(E5983=E$2:E5983)))))-COUNTBLANK(OFFSET(A$1,,,SUMPRODUCT(MAX(ROW(E$1:E5982)*(E2=E$1:E5982))))))</f>
        <v> </v>
      </c>
      <c r="K5983" s="26" t="str">
        <f>IF(OR(E5983="",E5983="!!!",F5983="NEW"),"",INDEX(J$1:J5982,SUMPRODUCT(MAX(ROW(E$1:E5982)*(E5983=E$1:E5982)))))</f>
        <v> </v>
      </c>
      <c r="L5983" s="27"/>
    </row>
    <row r="5984" spans="1:12">
      <c r="A5984" s="20" t="s">
        <v>1032</v>
      </c>
      <c r="B5984" s="21" t="s">
        <v>1033</v>
      </c>
      <c r="C5984" s="21" t="s">
        <v>1006</v>
      </c>
      <c r="D5984" s="21" t="s">
        <v>1007</v>
      </c>
      <c r="E5984" s="22">
        <f>IF(D5984="?OLD","!!!","")</f>
        <v/>
      </c>
      <c r="F5984" s="23" t="str">
        <f>IF(OR(E5984="",E5984="!!!"),"",IF(NOT(ISNA(VLOOKUP(E5984,E$1:E5983,1,FALSE()))),"OLD",IF(AND(E5984&lt;&gt;"",E5984&lt;&gt;"!!!"),"NEW","")))</f>
        <v> </v>
      </c>
      <c r="G5984" s="24" t="str">
        <f>IF(OR(E5984="",E5984="!!!"),"",IF(OR(J5984=0,AND(J5984=1,K5984=1),AND(J5984=1,I5984="SBJ"),AND(J5984=1,I5984=0)),"?IN_FOCUS",IF(J5984&lt;=2,"?ACTIVATED",IF(J5984&lt;&gt;"","?FAMILIAR",IF(F5984="NEW",IF(ISNA(VLOOKUP(E5984,#REF!,1,FALSE())),"?TYPE_IDENTIFIABLE","?REFERENTIAL"),"_")))))</f>
        <v> </v>
      </c>
      <c r="H5984" s="25" t="str">
        <f>IF(J5984&lt;&gt;1,"",IF(I5984="SBJ","CB","?"))</f>
        <v> </v>
      </c>
      <c r="I5984" s="26" t="str">
        <f>IF(OR(E5984="",E5984="!!!",F5984="NEW"),"",INDEX(B5983:B$2,-1+SUMPRODUCT(MAX(ROW(E5983:E$2)*(E5984=E5983:E$2)))))</f>
        <v> </v>
      </c>
      <c r="J5984" s="26" t="str">
        <f>IF(OR(E5984="",E5984="!!!",F5984="NEW"),"",COUNTBLANK(OFFSET(A$1,,,SUMPRODUCT(MAX(ROW(E$2:E5984)*(E5984=E$2:E5984)))))-COUNTBLANK(OFFSET(A$1,,,SUMPRODUCT(MAX(ROW(E$1:E5983)*(E2=E$1:E5983))))))</f>
        <v> </v>
      </c>
      <c r="K5984" s="26" t="str">
        <f>IF(OR(E5984="",E5984="!!!",F5984="NEW"),"",INDEX(J$1:J5983,SUMPRODUCT(MAX(ROW(E$1:E5983)*(E5984=E$1:E5983)))))</f>
        <v> </v>
      </c>
      <c r="L5984" s="27"/>
    </row>
    <row r="5985" spans="1:12">
      <c r="A5985" s="20" t="s">
        <v>1018</v>
      </c>
      <c r="E5985" s="22">
        <f>IF(D5985="?OLD","!!!","")</f>
        <v/>
      </c>
      <c r="F5985" s="23" t="str">
        <f>IF(OR(E5985="",E5985="!!!"),"",IF(NOT(ISNA(VLOOKUP(E5985,E$1:E5984,1,FALSE()))),"OLD",IF(AND(E5985&lt;&gt;"",E5985&lt;&gt;"!!!"),"NEW","")))</f>
        <v> </v>
      </c>
      <c r="G5985" s="24" t="str">
        <f>IF(OR(E5985="",E5985="!!!"),"",IF(OR(J5985=0,AND(J5985=1,K5985=1),AND(J5985=1,I5985="SBJ"),AND(J5985=1,I5985=0)),"?IN_FOCUS",IF(J5985&lt;=2,"?ACTIVATED",IF(J5985&lt;&gt;"","?FAMILIAR",IF(F5985="NEW",IF(ISNA(VLOOKUP(E5985,#REF!,1,FALSE())),"?TYPE_IDENTIFIABLE","?REFERENTIAL"),"_")))))</f>
        <v> </v>
      </c>
      <c r="H5985" s="25" t="str">
        <f>IF(J5985&lt;&gt;1,"",IF(I5985="SBJ","CB","?"))</f>
        <v> </v>
      </c>
      <c r="I5985" s="26" t="str">
        <f>IF(OR(E5985="",E5985="!!!",F5985="NEW"),"",INDEX(B5984:B$2,-1+SUMPRODUCT(MAX(ROW(E5984:E$2)*(E5985=E5984:E$2)))))</f>
        <v> </v>
      </c>
      <c r="J5985" s="26" t="str">
        <f>IF(OR(E5985="",E5985="!!!",F5985="NEW"),"",COUNTBLANK(OFFSET(A$1,,,SUMPRODUCT(MAX(ROW(E$2:E5985)*(E5985=E$2:E5985)))))-COUNTBLANK(OFFSET(A$1,,,SUMPRODUCT(MAX(ROW(E$1:E5984)*(E2=E$1:E5984))))))</f>
        <v> </v>
      </c>
      <c r="K5985" s="26" t="str">
        <f>IF(OR(E5985="",E5985="!!!",F5985="NEW"),"",INDEX(J$1:J5984,SUMPRODUCT(MAX(ROW(E$1:E5984)*(E5985=E$1:E5984)))))</f>
        <v> </v>
      </c>
      <c r="L5985" s="27"/>
    </row>
    <row r="5986" spans="1:12">
      <c r="A5986" s="20" t="s">
        <v>1030</v>
      </c>
      <c r="E5986" s="22">
        <f>IF(D5986="?OLD","!!!","")</f>
        <v/>
      </c>
      <c r="F5986" s="23" t="str">
        <f>IF(OR(E5986="",E5986="!!!"),"",IF(NOT(ISNA(VLOOKUP(E5986,E$1:E5985,1,FALSE()))),"OLD",IF(AND(E5986&lt;&gt;"",E5986&lt;&gt;"!!!"),"NEW","")))</f>
        <v> </v>
      </c>
      <c r="G5986" s="24" t="str">
        <f>IF(OR(E5986="",E5986="!!!"),"",IF(OR(J5986=0,AND(J5986=1,K5986=1),AND(J5986=1,I5986="SBJ"),AND(J5986=1,I5986=0)),"?IN_FOCUS",IF(J5986&lt;=2,"?ACTIVATED",IF(J5986&lt;&gt;"","?FAMILIAR",IF(F5986="NEW",IF(ISNA(VLOOKUP(E5986,#REF!,1,FALSE())),"?TYPE_IDENTIFIABLE","?REFERENTIAL"),"_")))))</f>
        <v> </v>
      </c>
      <c r="H5986" s="25" t="str">
        <f>IF(J5986&lt;&gt;1,"",IF(I5986="SBJ","CB","?"))</f>
        <v> </v>
      </c>
      <c r="I5986" s="26" t="str">
        <f>IF(OR(E5986="",E5986="!!!",F5986="NEW"),"",INDEX(B5985:B$2,-1+SUMPRODUCT(MAX(ROW(E5985:E$2)*(E5986=E5985:E$2)))))</f>
        <v> </v>
      </c>
      <c r="J5986" s="26" t="str">
        <f>IF(OR(E5986="",E5986="!!!",F5986="NEW"),"",COUNTBLANK(OFFSET(A$1,,,SUMPRODUCT(MAX(ROW(E$2:E5986)*(E5986=E$2:E5986)))))-COUNTBLANK(OFFSET(A$1,,,SUMPRODUCT(MAX(ROW(E$1:E5985)*(E2=E$1:E5985))))))</f>
        <v> </v>
      </c>
      <c r="K5986" s="26" t="str">
        <f>IF(OR(E5986="",E5986="!!!",F5986="NEW"),"",INDEX(J$1:J5985,SUMPRODUCT(MAX(ROW(E$1:E5985)*(E5986=E$1:E5985)))))</f>
        <v> </v>
      </c>
      <c r="L5986" s="27"/>
    </row>
    <row r="5987" spans="1:12">
      <c r="A5987" s="20" t="s">
        <v>2586</v>
      </c>
      <c r="E5987" s="22">
        <f>IF(D5987="?OLD","!!!","")</f>
        <v/>
      </c>
      <c r="F5987" s="23" t="str">
        <f>IF(OR(E5987="",E5987="!!!"),"",IF(NOT(ISNA(VLOOKUP(E5987,E$1:E5986,1,FALSE()))),"OLD",IF(AND(E5987&lt;&gt;"",E5987&lt;&gt;"!!!"),"NEW","")))</f>
        <v> </v>
      </c>
      <c r="G5987" s="24" t="str">
        <f>IF(OR(E5987="",E5987="!!!"),"",IF(OR(J5987=0,AND(J5987=1,K5987=1),AND(J5987=1,I5987="SBJ"),AND(J5987=1,I5987=0)),"?IN_FOCUS",IF(J5987&lt;=2,"?ACTIVATED",IF(J5987&lt;&gt;"","?FAMILIAR",IF(F5987="NEW",IF(ISNA(VLOOKUP(E5987,#REF!,1,FALSE())),"?TYPE_IDENTIFIABLE","?REFERENTIAL"),"_")))))</f>
        <v> </v>
      </c>
      <c r="H5987" s="25" t="str">
        <f>IF(J5987&lt;&gt;1,"",IF(I5987="SBJ","CB","?"))</f>
        <v> </v>
      </c>
      <c r="I5987" s="26" t="str">
        <f>IF(OR(E5987="",E5987="!!!",F5987="NEW"),"",INDEX(B5986:B$2,-1+SUMPRODUCT(MAX(ROW(E5986:E$2)*(E5987=E5986:E$2)))))</f>
        <v> </v>
      </c>
      <c r="J5987" s="26" t="str">
        <f>IF(OR(E5987="",E5987="!!!",F5987="NEW"),"",COUNTBLANK(OFFSET(A$1,,,SUMPRODUCT(MAX(ROW(E$2:E5987)*(E5987=E$2:E5987)))))-COUNTBLANK(OFFSET(A$1,,,SUMPRODUCT(MAX(ROW(E$1:E5986)*(E2=E$1:E5986))))))</f>
        <v> </v>
      </c>
      <c r="K5987" s="26" t="str">
        <f>IF(OR(E5987="",E5987="!!!",F5987="NEW"),"",INDEX(J$1:J5986,SUMPRODUCT(MAX(ROW(E$1:E5986)*(E5987=E$1:E5986)))))</f>
        <v> </v>
      </c>
      <c r="L5987" s="27"/>
    </row>
    <row r="5988" spans="1:12">
      <c r="A5988" s="20" t="s">
        <v>1023</v>
      </c>
      <c r="E5988" s="22">
        <f>IF(D5988="?OLD","!!!","")</f>
        <v/>
      </c>
      <c r="F5988" s="23" t="str">
        <f>IF(OR(E5988="",E5988="!!!"),"",IF(NOT(ISNA(VLOOKUP(E5988,E$1:E5987,1,FALSE()))),"OLD",IF(AND(E5988&lt;&gt;"",E5988&lt;&gt;"!!!"),"NEW","")))</f>
        <v> </v>
      </c>
      <c r="G5988" s="24" t="str">
        <f>IF(OR(E5988="",E5988="!!!"),"",IF(OR(J5988=0,AND(J5988=1,K5988=1),AND(J5988=1,I5988="SBJ"),AND(J5988=1,I5988=0)),"?IN_FOCUS",IF(J5988&lt;=2,"?ACTIVATED",IF(J5988&lt;&gt;"","?FAMILIAR",IF(F5988="NEW",IF(ISNA(VLOOKUP(E5988,#REF!,1,FALSE())),"?TYPE_IDENTIFIABLE","?REFERENTIAL"),"_")))))</f>
        <v> </v>
      </c>
      <c r="H5988" s="25" t="str">
        <f>IF(J5988&lt;&gt;1,"",IF(I5988="SBJ","CB","?"))</f>
        <v> </v>
      </c>
      <c r="I5988" s="26" t="str">
        <f>IF(OR(E5988="",E5988="!!!",F5988="NEW"),"",INDEX(B5987:B$2,-1+SUMPRODUCT(MAX(ROW(E5987:E$2)*(E5988=E5987:E$2)))))</f>
        <v> </v>
      </c>
      <c r="J5988" s="26" t="str">
        <f>IF(OR(E5988="",E5988="!!!",F5988="NEW"),"",COUNTBLANK(OFFSET(A$1,,,SUMPRODUCT(MAX(ROW(E$2:E5988)*(E5988=E$2:E5988)))))-COUNTBLANK(OFFSET(A$1,,,SUMPRODUCT(MAX(ROW(E$1:E5987)*(E2=E$1:E5987))))))</f>
        <v> </v>
      </c>
      <c r="K5988" s="26" t="str">
        <f>IF(OR(E5988="",E5988="!!!",F5988="NEW"),"",INDEX(J$1:J5987,SUMPRODUCT(MAX(ROW(E$1:E5987)*(E5988=E$1:E5987)))))</f>
        <v> </v>
      </c>
      <c r="L5988" s="27"/>
    </row>
    <row r="5989" spans="1:12">
      <c r="A5989" s="20"/>
    </row>
    <row r="5990" spans="1:12">
      <c r="A5990" s="20" t="s">
        <v>2587</v>
      </c>
    </row>
    <row r="5991" spans="1:12">
      <c r="A5991" s="20" t="s">
        <v>2588</v>
      </c>
      <c r="E5991" s="22">
        <f>IF(D5991="?OLD","!!!","")</f>
        <v/>
      </c>
      <c r="F5991" s="23" t="str">
        <f>IF(OR(E5991="",E5991="!!!"),"",IF(NOT(ISNA(VLOOKUP(E5991,E$1:E5990,1,FALSE()))),"OLD",IF(AND(E5991&lt;&gt;"",E5991&lt;&gt;"!!!"),"NEW","")))</f>
        <v> </v>
      </c>
      <c r="G5991" s="24" t="str">
        <f>IF(OR(E5991="",E5991="!!!"),"",IF(OR(J5991=0,AND(J5991=1,K5991=1),AND(J5991=1,I5991="SBJ"),AND(J5991=1,I5991=0)),"?IN_FOCUS",IF(J5991&lt;=2,"?ACTIVATED",IF(J5991&lt;&gt;"","?FAMILIAR",IF(F5991="NEW",IF(ISNA(VLOOKUP(E5991,#REF!,1,FALSE())),"?TYPE_IDENTIFIABLE","?REFERENTIAL"),"_")))))</f>
        <v> </v>
      </c>
      <c r="H5991" s="25" t="str">
        <f>IF(J5991&lt;&gt;1,"",IF(I5991="SBJ","CB","?"))</f>
        <v> </v>
      </c>
      <c r="I5991" s="26" t="str">
        <f>IF(OR(E5991="",E5991="!!!",F5991="NEW"),"",INDEX(B5990:B$2,-1+SUMPRODUCT(MAX(ROW(E5990:E$2)*(E5991=E5990:E$2)))))</f>
        <v> </v>
      </c>
      <c r="J5991" s="26" t="str">
        <f>IF(OR(E5991="",E5991="!!!",F5991="NEW"),"",COUNTBLANK(OFFSET(A$1,,,SUMPRODUCT(MAX(ROW(E$2:E5991)*(E5991=E$2:E5991)))))-COUNTBLANK(OFFSET(A$1,,,SUMPRODUCT(MAX(ROW(E$1:E5990)*(E2=E$1:E5990))))))</f>
        <v> </v>
      </c>
      <c r="K5991" s="26" t="str">
        <f>IF(OR(E5991="",E5991="!!!",F5991="NEW"),"",INDEX(J$1:J5990,SUMPRODUCT(MAX(ROW(E$1:E5990)*(E5991=E$1:E5990)))))</f>
        <v> </v>
      </c>
      <c r="L5991" s="27"/>
    </row>
    <row r="5992" spans="1:12">
      <c r="A5992" s="20" t="s">
        <v>2589</v>
      </c>
      <c r="B5992" s="21" t="s">
        <v>1005</v>
      </c>
      <c r="C5992" s="21" t="s">
        <v>1048</v>
      </c>
      <c r="E5992" s="22">
        <f>IF(D5992="?OLD","!!!","")</f>
        <v/>
      </c>
      <c r="F5992" s="23" t="str">
        <f>IF(OR(E5992="",E5992="!!!"),"",IF(NOT(ISNA(VLOOKUP(E5992,E$1:E5991,1,FALSE()))),"OLD",IF(AND(E5992&lt;&gt;"",E5992&lt;&gt;"!!!"),"NEW","")))</f>
        <v> </v>
      </c>
      <c r="G5992" s="24" t="str">
        <f>IF(OR(E5992="",E5992="!!!"),"",IF(OR(J5992=0,AND(J5992=1,K5992=1),AND(J5992=1,I5992="SBJ"),AND(J5992=1,I5992=0)),"?IN_FOCUS",IF(J5992&lt;=2,"?ACTIVATED",IF(J5992&lt;&gt;"","?FAMILIAR",IF(F5992="NEW",IF(ISNA(VLOOKUP(E5992,#REF!,1,FALSE())),"?TYPE_IDENTIFIABLE","?REFERENTIAL"),"_")))))</f>
        <v> </v>
      </c>
      <c r="H5992" s="25" t="str">
        <f>IF(J5992&lt;&gt;1,"",IF(I5992="SBJ","CB","?"))</f>
        <v> </v>
      </c>
      <c r="I5992" s="26" t="str">
        <f>IF(OR(E5992="",E5992="!!!",F5992="NEW"),"",INDEX(B5991:B$2,-1+SUMPRODUCT(MAX(ROW(E5991:E$2)*(E5992=E5991:E$2)))))</f>
        <v> </v>
      </c>
      <c r="J5992" s="26" t="str">
        <f>IF(OR(E5992="",E5992="!!!",F5992="NEW"),"",COUNTBLANK(OFFSET(A$1,,,SUMPRODUCT(MAX(ROW(E$2:E5992)*(E5992=E$2:E5992)))))-COUNTBLANK(OFFSET(A$1,,,SUMPRODUCT(MAX(ROW(E$1:E5991)*(E2=E$1:E5991))))))</f>
        <v> </v>
      </c>
      <c r="K5992" s="26" t="str">
        <f>IF(OR(E5992="",E5992="!!!",F5992="NEW"),"",INDEX(J$1:J5991,SUMPRODUCT(MAX(ROW(E$1:E5991)*(E5992=E$1:E5991)))))</f>
        <v> </v>
      </c>
      <c r="L5992" s="27"/>
    </row>
    <row r="5993" spans="1:12">
      <c r="A5993" s="20" t="s">
        <v>1124</v>
      </c>
      <c r="E5993" s="22">
        <f>IF(D5993="?OLD","!!!","")</f>
        <v/>
      </c>
      <c r="F5993" s="23" t="str">
        <f>IF(OR(E5993="",E5993="!!!"),"",IF(NOT(ISNA(VLOOKUP(E5993,E$1:E5992,1,FALSE()))),"OLD",IF(AND(E5993&lt;&gt;"",E5993&lt;&gt;"!!!"),"NEW","")))</f>
        <v> </v>
      </c>
      <c r="G5993" s="24" t="str">
        <f>IF(OR(E5993="",E5993="!!!"),"",IF(OR(J5993=0,AND(J5993=1,K5993=1),AND(J5993=1,I5993="SBJ"),AND(J5993=1,I5993=0)),"?IN_FOCUS",IF(J5993&lt;=2,"?ACTIVATED",IF(J5993&lt;&gt;"","?FAMILIAR",IF(F5993="NEW",IF(ISNA(VLOOKUP(E5993,#REF!,1,FALSE())),"?TYPE_IDENTIFIABLE","?REFERENTIAL"),"_")))))</f>
        <v> </v>
      </c>
      <c r="H5993" s="25" t="str">
        <f>IF(J5993&lt;&gt;1,"",IF(I5993="SBJ","CB","?"))</f>
        <v> </v>
      </c>
      <c r="I5993" s="26" t="str">
        <f>IF(OR(E5993="",E5993="!!!",F5993="NEW"),"",INDEX(B5992:B$2,-1+SUMPRODUCT(MAX(ROW(E5992:E$2)*(E5993=E5992:E$2)))))</f>
        <v> </v>
      </c>
      <c r="J5993" s="26" t="str">
        <f>IF(OR(E5993="",E5993="!!!",F5993="NEW"),"",COUNTBLANK(OFFSET(A$1,,,SUMPRODUCT(MAX(ROW(E$2:E5993)*(E5993=E$2:E5993)))))-COUNTBLANK(OFFSET(A$1,,,SUMPRODUCT(MAX(ROW(E$1:E5992)*(E2=E$1:E5992))))))</f>
        <v> </v>
      </c>
      <c r="K5993" s="26" t="str">
        <f>IF(OR(E5993="",E5993="!!!",F5993="NEW"),"",INDEX(J$1:J5992,SUMPRODUCT(MAX(ROW(E$1:E5992)*(E5993=E$1:E5992)))))</f>
        <v> </v>
      </c>
      <c r="L5993" s="27"/>
    </row>
    <row r="5994" spans="1:12">
      <c r="A5994" s="20" t="s">
        <v>1403</v>
      </c>
      <c r="E5994" s="22">
        <f>IF(D5994="?OLD","!!!","")</f>
        <v/>
      </c>
      <c r="F5994" s="23" t="str">
        <f>IF(OR(E5994="",E5994="!!!"),"",IF(NOT(ISNA(VLOOKUP(E5994,E$1:E5993,1,FALSE()))),"OLD",IF(AND(E5994&lt;&gt;"",E5994&lt;&gt;"!!!"),"NEW","")))</f>
        <v> </v>
      </c>
      <c r="G5994" s="24" t="str">
        <f>IF(OR(E5994="",E5994="!!!"),"",IF(OR(J5994=0,AND(J5994=1,K5994=1),AND(J5994=1,I5994="SBJ"),AND(J5994=1,I5994=0)),"?IN_FOCUS",IF(J5994&lt;=2,"?ACTIVATED",IF(J5994&lt;&gt;"","?FAMILIAR",IF(F5994="NEW",IF(ISNA(VLOOKUP(E5994,#REF!,1,FALSE())),"?TYPE_IDENTIFIABLE","?REFERENTIAL"),"_")))))</f>
        <v> </v>
      </c>
      <c r="H5994" s="25" t="str">
        <f>IF(J5994&lt;&gt;1,"",IF(I5994="SBJ","CB","?"))</f>
        <v> </v>
      </c>
      <c r="I5994" s="26" t="str">
        <f>IF(OR(E5994="",E5994="!!!",F5994="NEW"),"",INDEX(B5993:B$2,-1+SUMPRODUCT(MAX(ROW(E5993:E$2)*(E5994=E5993:E$2)))))</f>
        <v> </v>
      </c>
      <c r="J5994" s="26" t="str">
        <f>IF(OR(E5994="",E5994="!!!",F5994="NEW"),"",COUNTBLANK(OFFSET(A$1,,,SUMPRODUCT(MAX(ROW(E$2:E5994)*(E5994=E$2:E5994)))))-COUNTBLANK(OFFSET(A$1,,,SUMPRODUCT(MAX(ROW(E$1:E5993)*(E2=E$1:E5993))))))</f>
        <v> </v>
      </c>
      <c r="K5994" s="26" t="str">
        <f>IF(OR(E5994="",E5994="!!!",F5994="NEW"),"",INDEX(J$1:J5993,SUMPRODUCT(MAX(ROW(E$1:E5993)*(E5994=E$1:E5993)))))</f>
        <v> </v>
      </c>
      <c r="L5994" s="27"/>
    </row>
    <row r="5995" spans="1:12">
      <c r="A5995" s="20" t="s">
        <v>1102</v>
      </c>
      <c r="E5995" s="22">
        <f>IF(D5995="?OLD","!!!","")</f>
        <v/>
      </c>
      <c r="F5995" s="23" t="str">
        <f>IF(OR(E5995="",E5995="!!!"),"",IF(NOT(ISNA(VLOOKUP(E5995,E$1:E5994,1,FALSE()))),"OLD",IF(AND(E5995&lt;&gt;"",E5995&lt;&gt;"!!!"),"NEW","")))</f>
        <v> </v>
      </c>
      <c r="G5995" s="24" t="str">
        <f>IF(OR(E5995="",E5995="!!!"),"",IF(OR(J5995=0,AND(J5995=1,K5995=1),AND(J5995=1,I5995="SBJ"),AND(J5995=1,I5995=0)),"?IN_FOCUS",IF(J5995&lt;=2,"?ACTIVATED",IF(J5995&lt;&gt;"","?FAMILIAR",IF(F5995="NEW",IF(ISNA(VLOOKUP(E5995,#REF!,1,FALSE())),"?TYPE_IDENTIFIABLE","?REFERENTIAL"),"_")))))</f>
        <v> </v>
      </c>
      <c r="H5995" s="25" t="str">
        <f>IF(J5995&lt;&gt;1,"",IF(I5995="SBJ","CB","?"))</f>
        <v> </v>
      </c>
      <c r="I5995" s="26" t="str">
        <f>IF(OR(E5995="",E5995="!!!",F5995="NEW"),"",INDEX(B5994:B$2,-1+SUMPRODUCT(MAX(ROW(E5994:E$2)*(E5995=E5994:E$2)))))</f>
        <v> </v>
      </c>
      <c r="J5995" s="26" t="str">
        <f>IF(OR(E5995="",E5995="!!!",F5995="NEW"),"",COUNTBLANK(OFFSET(A$1,,,SUMPRODUCT(MAX(ROW(E$2:E5995)*(E5995=E$2:E5995)))))-COUNTBLANK(OFFSET(A$1,,,SUMPRODUCT(MAX(ROW(E$1:E5994)*(E2=E$1:E5994))))))</f>
        <v> </v>
      </c>
      <c r="K5995" s="26" t="str">
        <f>IF(OR(E5995="",E5995="!!!",F5995="NEW"),"",INDEX(J$1:J5994,SUMPRODUCT(MAX(ROW(E$1:E5994)*(E5995=E$1:E5994)))))</f>
        <v> </v>
      </c>
      <c r="L5995" s="27"/>
    </row>
    <row r="5996" spans="1:12">
      <c r="A5996" s="20" t="s">
        <v>2590</v>
      </c>
      <c r="B5996" s="21" t="s">
        <v>1085</v>
      </c>
      <c r="C5996" s="21" t="s">
        <v>1103</v>
      </c>
      <c r="E5996" s="22">
        <f>IF(D5996="?OLD","!!!","")</f>
        <v/>
      </c>
      <c r="F5996" s="23" t="str">
        <f>IF(OR(E5996="",E5996="!!!"),"",IF(NOT(ISNA(VLOOKUP(E5996,E$1:E5995,1,FALSE()))),"OLD",IF(AND(E5996&lt;&gt;"",E5996&lt;&gt;"!!!"),"NEW","")))</f>
        <v> </v>
      </c>
      <c r="G5996" s="24" t="str">
        <f>IF(OR(E5996="",E5996="!!!"),"",IF(OR(J5996=0,AND(J5996=1,K5996=1),AND(J5996=1,I5996="SBJ"),AND(J5996=1,I5996=0)),"?IN_FOCUS",IF(J5996&lt;=2,"?ACTIVATED",IF(J5996&lt;&gt;"","?FAMILIAR",IF(F5996="NEW",IF(ISNA(VLOOKUP(E5996,#REF!,1,FALSE())),"?TYPE_IDENTIFIABLE","?REFERENTIAL"),"_")))))</f>
        <v> </v>
      </c>
      <c r="H5996" s="25" t="str">
        <f>IF(J5996&lt;&gt;1,"",IF(I5996="SBJ","CB","?"))</f>
        <v> </v>
      </c>
      <c r="I5996" s="26" t="str">
        <f>IF(OR(E5996="",E5996="!!!",F5996="NEW"),"",INDEX(B5995:B$2,-1+SUMPRODUCT(MAX(ROW(E5995:E$2)*(E5996=E5995:E$2)))))</f>
        <v> </v>
      </c>
      <c r="J5996" s="26" t="str">
        <f>IF(OR(E5996="",E5996="!!!",F5996="NEW"),"",COUNTBLANK(OFFSET(A$1,,,SUMPRODUCT(MAX(ROW(E$2:E5996)*(E5996=E$2:E5996)))))-COUNTBLANK(OFFSET(A$1,,,SUMPRODUCT(MAX(ROW(E$1:E5995)*(E2=E$1:E5995))))))</f>
        <v> </v>
      </c>
      <c r="K5996" s="26" t="str">
        <f>IF(OR(E5996="",E5996="!!!",F5996="NEW"),"",INDEX(J$1:J5995,SUMPRODUCT(MAX(ROW(E$1:E5995)*(E5996=E$1:E5995)))))</f>
        <v> </v>
      </c>
      <c r="L5996" s="27"/>
    </row>
    <row r="5997" spans="1:12">
      <c r="A5997" s="20" t="s">
        <v>2002</v>
      </c>
      <c r="E5997" s="22">
        <f>IF(D5997="?OLD","!!!","")</f>
        <v/>
      </c>
      <c r="F5997" s="23" t="str">
        <f>IF(OR(E5997="",E5997="!!!"),"",IF(NOT(ISNA(VLOOKUP(E5997,E$1:E5996,1,FALSE()))),"OLD",IF(AND(E5997&lt;&gt;"",E5997&lt;&gt;"!!!"),"NEW","")))</f>
        <v> </v>
      </c>
      <c r="G5997" s="24" t="str">
        <f>IF(OR(E5997="",E5997="!!!"),"",IF(OR(J5997=0,AND(J5997=1,K5997=1),AND(J5997=1,I5997="SBJ"),AND(J5997=1,I5997=0)),"?IN_FOCUS",IF(J5997&lt;=2,"?ACTIVATED",IF(J5997&lt;&gt;"","?FAMILIAR",IF(F5997="NEW",IF(ISNA(VLOOKUP(E5997,#REF!,1,FALSE())),"?TYPE_IDENTIFIABLE","?REFERENTIAL"),"_")))))</f>
        <v> </v>
      </c>
      <c r="H5997" s="25" t="str">
        <f>IF(J5997&lt;&gt;1,"",IF(I5997="SBJ","CB","?"))</f>
        <v> </v>
      </c>
      <c r="I5997" s="26" t="str">
        <f>IF(OR(E5997="",E5997="!!!",F5997="NEW"),"",INDEX(B5996:B$2,-1+SUMPRODUCT(MAX(ROW(E5996:E$2)*(E5997=E5996:E$2)))))</f>
        <v> </v>
      </c>
      <c r="J5997" s="26" t="str">
        <f>IF(OR(E5997="",E5997="!!!",F5997="NEW"),"",COUNTBLANK(OFFSET(A$1,,,SUMPRODUCT(MAX(ROW(E$2:E5997)*(E5997=E$2:E5997)))))-COUNTBLANK(OFFSET(A$1,,,SUMPRODUCT(MAX(ROW(E$1:E5996)*(E2=E$1:E5996))))))</f>
        <v> </v>
      </c>
      <c r="K5997" s="26" t="str">
        <f>IF(OR(E5997="",E5997="!!!",F5997="NEW"),"",INDEX(J$1:J5996,SUMPRODUCT(MAX(ROW(E$1:E5996)*(E5997=E$1:E5996)))))</f>
        <v> </v>
      </c>
      <c r="L5997" s="27"/>
    </row>
    <row r="5998" spans="1:12">
      <c r="A5998" s="20" t="s">
        <v>2591</v>
      </c>
      <c r="E5998" s="22">
        <f>IF(D5998="?OLD","!!!","")</f>
        <v/>
      </c>
      <c r="F5998" s="23" t="str">
        <f>IF(OR(E5998="",E5998="!!!"),"",IF(NOT(ISNA(VLOOKUP(E5998,E$1:E5997,1,FALSE()))),"OLD",IF(AND(E5998&lt;&gt;"",E5998&lt;&gt;"!!!"),"NEW","")))</f>
        <v> </v>
      </c>
      <c r="G5998" s="24" t="str">
        <f>IF(OR(E5998="",E5998="!!!"),"",IF(OR(J5998=0,AND(J5998=1,K5998=1),AND(J5998=1,I5998="SBJ"),AND(J5998=1,I5998=0)),"?IN_FOCUS",IF(J5998&lt;=2,"?ACTIVATED",IF(J5998&lt;&gt;"","?FAMILIAR",IF(F5998="NEW",IF(ISNA(VLOOKUP(E5998,#REF!,1,FALSE())),"?TYPE_IDENTIFIABLE","?REFERENTIAL"),"_")))))</f>
        <v> </v>
      </c>
      <c r="H5998" s="25" t="str">
        <f>IF(J5998&lt;&gt;1,"",IF(I5998="SBJ","CB","?"))</f>
        <v> </v>
      </c>
      <c r="I5998" s="26" t="str">
        <f>IF(OR(E5998="",E5998="!!!",F5998="NEW"),"",INDEX(B5997:B$2,-1+SUMPRODUCT(MAX(ROW(E5997:E$2)*(E5998=E5997:E$2)))))</f>
        <v> </v>
      </c>
      <c r="J5998" s="26" t="str">
        <f>IF(OR(E5998="",E5998="!!!",F5998="NEW"),"",COUNTBLANK(OFFSET(A$1,,,SUMPRODUCT(MAX(ROW(E$2:E5998)*(E5998=E$2:E5998)))))-COUNTBLANK(OFFSET(A$1,,,SUMPRODUCT(MAX(ROW(E$1:E5997)*(E2=E$1:E5997))))))</f>
        <v> </v>
      </c>
      <c r="K5998" s="26" t="str">
        <f>IF(OR(E5998="",E5998="!!!",F5998="NEW"),"",INDEX(J$1:J5997,SUMPRODUCT(MAX(ROW(E$1:E5997)*(E5998=E$1:E5997)))))</f>
        <v> </v>
      </c>
      <c r="L5998" s="27"/>
    </row>
    <row r="5999" spans="1:12">
      <c r="A5999" s="20" t="s">
        <v>1030</v>
      </c>
      <c r="E5999" s="22">
        <f>IF(D5999="?OLD","!!!","")</f>
        <v/>
      </c>
      <c r="F5999" s="23" t="str">
        <f>IF(OR(E5999="",E5999="!!!"),"",IF(NOT(ISNA(VLOOKUP(E5999,E$1:E5998,1,FALSE()))),"OLD",IF(AND(E5999&lt;&gt;"",E5999&lt;&gt;"!!!"),"NEW","")))</f>
        <v> </v>
      </c>
      <c r="G5999" s="24" t="str">
        <f>IF(OR(E5999="",E5999="!!!"),"",IF(OR(J5999=0,AND(J5999=1,K5999=1),AND(J5999=1,I5999="SBJ"),AND(J5999=1,I5999=0)),"?IN_FOCUS",IF(J5999&lt;=2,"?ACTIVATED",IF(J5999&lt;&gt;"","?FAMILIAR",IF(F5999="NEW",IF(ISNA(VLOOKUP(E5999,#REF!,1,FALSE())),"?TYPE_IDENTIFIABLE","?REFERENTIAL"),"_")))))</f>
        <v> </v>
      </c>
      <c r="H5999" s="25" t="str">
        <f>IF(J5999&lt;&gt;1,"",IF(I5999="SBJ","CB","?"))</f>
        <v> </v>
      </c>
      <c r="I5999" s="26" t="str">
        <f>IF(OR(E5999="",E5999="!!!",F5999="NEW"),"",INDEX(B5998:B$2,-1+SUMPRODUCT(MAX(ROW(E5998:E$2)*(E5999=E5998:E$2)))))</f>
        <v> </v>
      </c>
      <c r="J5999" s="26" t="str">
        <f>IF(OR(E5999="",E5999="!!!",F5999="NEW"),"",COUNTBLANK(OFFSET(A$1,,,SUMPRODUCT(MAX(ROW(E$2:E5999)*(E5999=E$2:E5999)))))-COUNTBLANK(OFFSET(A$1,,,SUMPRODUCT(MAX(ROW(E$1:E5998)*(E2=E$1:E5998))))))</f>
        <v> </v>
      </c>
      <c r="K5999" s="26" t="str">
        <f>IF(OR(E5999="",E5999="!!!",F5999="NEW"),"",INDEX(J$1:J5998,SUMPRODUCT(MAX(ROW(E$1:E5998)*(E5999=E$1:E5998)))))</f>
        <v> </v>
      </c>
      <c r="L5999" s="27"/>
    </row>
    <row r="6000" spans="1:12">
      <c r="A6000" s="20" t="s">
        <v>1020</v>
      </c>
      <c r="E6000" s="22">
        <f>IF(D6000="?OLD","!!!","")</f>
        <v/>
      </c>
      <c r="F6000" s="23" t="str">
        <f>IF(OR(E6000="",E6000="!!!"),"",IF(NOT(ISNA(VLOOKUP(E6000,E$1:E5999,1,FALSE()))),"OLD",IF(AND(E6000&lt;&gt;"",E6000&lt;&gt;"!!!"),"NEW","")))</f>
        <v> </v>
      </c>
      <c r="G6000" s="24" t="str">
        <f>IF(OR(E6000="",E6000="!!!"),"",IF(OR(J6000=0,AND(J6000=1,K6000=1),AND(J6000=1,I6000="SBJ"),AND(J6000=1,I6000=0)),"?IN_FOCUS",IF(J6000&lt;=2,"?ACTIVATED",IF(J6000&lt;&gt;"","?FAMILIAR",IF(F6000="NEW",IF(ISNA(VLOOKUP(E6000,#REF!,1,FALSE())),"?TYPE_IDENTIFIABLE","?REFERENTIAL"),"_")))))</f>
        <v> </v>
      </c>
      <c r="H6000" s="25" t="str">
        <f>IF(J6000&lt;&gt;1,"",IF(I6000="SBJ","CB","?"))</f>
        <v> </v>
      </c>
      <c r="I6000" s="26" t="str">
        <f>IF(OR(E6000="",E6000="!!!",F6000="NEW"),"",INDEX(B5999:B$2,-1+SUMPRODUCT(MAX(ROW(E5999:E$2)*(E6000=E5999:E$2)))))</f>
        <v> </v>
      </c>
      <c r="J6000" s="26" t="str">
        <f>IF(OR(E6000="",E6000="!!!",F6000="NEW"),"",COUNTBLANK(OFFSET(A$1,,,SUMPRODUCT(MAX(ROW(E$2:E6000)*(E6000=E$2:E6000)))))-COUNTBLANK(OFFSET(A$1,,,SUMPRODUCT(MAX(ROW(E$1:E5999)*(E2=E$1:E5999))))))</f>
        <v> </v>
      </c>
      <c r="K6000" s="26" t="str">
        <f>IF(OR(E6000="",E6000="!!!",F6000="NEW"),"",INDEX(J$1:J5999,SUMPRODUCT(MAX(ROW(E$1:E5999)*(E6000=E$1:E5999)))))</f>
        <v> </v>
      </c>
      <c r="L6000" s="27"/>
    </row>
    <row r="6001" spans="1:12">
      <c r="A6001" s="20" t="s">
        <v>2545</v>
      </c>
      <c r="B6001" s="21" t="s">
        <v>1033</v>
      </c>
      <c r="C6001" s="21" t="s">
        <v>1017</v>
      </c>
      <c r="D6001" s="21" t="s">
        <v>1007</v>
      </c>
      <c r="E6001" s="22">
        <f>IF(D6001="?OLD","!!!","")</f>
        <v/>
      </c>
      <c r="F6001" s="23" t="str">
        <f>IF(OR(E6001="",E6001="!!!"),"",IF(NOT(ISNA(VLOOKUP(E6001,E$1:E6000,1,FALSE()))),"OLD",IF(AND(E6001&lt;&gt;"",E6001&lt;&gt;"!!!"),"NEW","")))</f>
        <v> </v>
      </c>
      <c r="G6001" s="24" t="str">
        <f>IF(OR(E6001="",E6001="!!!"),"",IF(OR(J6001=0,AND(J6001=1,K6001=1),AND(J6001=1,I6001="SBJ"),AND(J6001=1,I6001=0)),"?IN_FOCUS",IF(J6001&lt;=2,"?ACTIVATED",IF(J6001&lt;&gt;"","?FAMILIAR",IF(F6001="NEW",IF(ISNA(VLOOKUP(E6001,#REF!,1,FALSE())),"?TYPE_IDENTIFIABLE","?REFERENTIAL"),"_")))))</f>
        <v> </v>
      </c>
      <c r="H6001" s="25" t="str">
        <f>IF(J6001&lt;&gt;1,"",IF(I6001="SBJ","CB","?"))</f>
        <v> </v>
      </c>
      <c r="I6001" s="26" t="str">
        <f>IF(OR(E6001="",E6001="!!!",F6001="NEW"),"",INDEX(B6000:B$2,-1+SUMPRODUCT(MAX(ROW(E6000:E$2)*(E6001=E6000:E$2)))))</f>
        <v> </v>
      </c>
      <c r="J6001" s="26" t="str">
        <f>IF(OR(E6001="",E6001="!!!",F6001="NEW"),"",COUNTBLANK(OFFSET(A$1,,,SUMPRODUCT(MAX(ROW(E$2:E6001)*(E6001=E$2:E6001)))))-COUNTBLANK(OFFSET(A$1,,,SUMPRODUCT(MAX(ROW(E$1:E6000)*(E2=E$1:E6000))))))</f>
        <v> </v>
      </c>
      <c r="K6001" s="26" t="str">
        <f>IF(OR(E6001="",E6001="!!!",F6001="NEW"),"",INDEX(J$1:J6000,SUMPRODUCT(MAX(ROW(E$1:E6000)*(E6001=E$1:E6000)))))</f>
        <v> </v>
      </c>
      <c r="L6001" s="27"/>
    </row>
    <row r="6002" spans="1:12">
      <c r="A6002" s="20" t="s">
        <v>1014</v>
      </c>
      <c r="E6002" s="22">
        <f>IF(D6002="?OLD","!!!","")</f>
        <v/>
      </c>
      <c r="F6002" s="23" t="str">
        <f>IF(OR(E6002="",E6002="!!!"),"",IF(NOT(ISNA(VLOOKUP(E6002,E$1:E6001,1,FALSE()))),"OLD",IF(AND(E6002&lt;&gt;"",E6002&lt;&gt;"!!!"),"NEW","")))</f>
        <v> </v>
      </c>
      <c r="G6002" s="24" t="str">
        <f>IF(OR(E6002="",E6002="!!!"),"",IF(OR(J6002=0,AND(J6002=1,K6002=1),AND(J6002=1,I6002="SBJ"),AND(J6002=1,I6002=0)),"?IN_FOCUS",IF(J6002&lt;=2,"?ACTIVATED",IF(J6002&lt;&gt;"","?FAMILIAR",IF(F6002="NEW",IF(ISNA(VLOOKUP(E6002,#REF!,1,FALSE())),"?TYPE_IDENTIFIABLE","?REFERENTIAL"),"_")))))</f>
        <v> </v>
      </c>
      <c r="H6002" s="25" t="str">
        <f>IF(J6002&lt;&gt;1,"",IF(I6002="SBJ","CB","?"))</f>
        <v> </v>
      </c>
      <c r="I6002" s="26" t="str">
        <f>IF(OR(E6002="",E6002="!!!",F6002="NEW"),"",INDEX(B6001:B$2,-1+SUMPRODUCT(MAX(ROW(E6001:E$2)*(E6002=E6001:E$2)))))</f>
        <v> </v>
      </c>
      <c r="J6002" s="26" t="str">
        <f>IF(OR(E6002="",E6002="!!!",F6002="NEW"),"",COUNTBLANK(OFFSET(A$1,,,SUMPRODUCT(MAX(ROW(E$2:E6002)*(E6002=E$2:E6002)))))-COUNTBLANK(OFFSET(A$1,,,SUMPRODUCT(MAX(ROW(E$1:E6001)*(E2=E$1:E6001))))))</f>
        <v> </v>
      </c>
      <c r="K6002" s="26" t="str">
        <f>IF(OR(E6002="",E6002="!!!",F6002="NEW"),"",INDEX(J$1:J6001,SUMPRODUCT(MAX(ROW(E$1:E6001)*(E6002=E$1:E6001)))))</f>
        <v> </v>
      </c>
      <c r="L6002" s="27"/>
    </row>
    <row r="6003" spans="1:12">
      <c r="A6003" s="20" t="s">
        <v>1065</v>
      </c>
      <c r="E6003" s="22">
        <f>IF(D6003="?OLD","!!!","")</f>
        <v/>
      </c>
      <c r="F6003" s="23" t="str">
        <f>IF(OR(E6003="",E6003="!!!"),"",IF(NOT(ISNA(VLOOKUP(E6003,E$1:E6002,1,FALSE()))),"OLD",IF(AND(E6003&lt;&gt;"",E6003&lt;&gt;"!!!"),"NEW","")))</f>
        <v> </v>
      </c>
      <c r="G6003" s="24" t="str">
        <f>IF(OR(E6003="",E6003="!!!"),"",IF(OR(J6003=0,AND(J6003=1,K6003=1),AND(J6003=1,I6003="SBJ"),AND(J6003=1,I6003=0)),"?IN_FOCUS",IF(J6003&lt;=2,"?ACTIVATED",IF(J6003&lt;&gt;"","?FAMILIAR",IF(F6003="NEW",IF(ISNA(VLOOKUP(E6003,#REF!,1,FALSE())),"?TYPE_IDENTIFIABLE","?REFERENTIAL"),"_")))))</f>
        <v> </v>
      </c>
      <c r="H6003" s="25" t="str">
        <f>IF(J6003&lt;&gt;1,"",IF(I6003="SBJ","CB","?"))</f>
        <v> </v>
      </c>
      <c r="I6003" s="26" t="str">
        <f>IF(OR(E6003="",E6003="!!!",F6003="NEW"),"",INDEX(B6002:B$2,-1+SUMPRODUCT(MAX(ROW(E6002:E$2)*(E6003=E6002:E$2)))))</f>
        <v> </v>
      </c>
      <c r="J6003" s="26" t="str">
        <f>IF(OR(E6003="",E6003="!!!",F6003="NEW"),"",COUNTBLANK(OFFSET(A$1,,,SUMPRODUCT(MAX(ROW(E$2:E6003)*(E6003=E$2:E6003)))))-COUNTBLANK(OFFSET(A$1,,,SUMPRODUCT(MAX(ROW(E$1:E6002)*(E2=E$1:E6002))))))</f>
        <v> </v>
      </c>
      <c r="K6003" s="26" t="str">
        <f>IF(OR(E6003="",E6003="!!!",F6003="NEW"),"",INDEX(J$1:J6002,SUMPRODUCT(MAX(ROW(E$1:E6002)*(E6003=E$1:E6002)))))</f>
        <v> </v>
      </c>
      <c r="L6003" s="27"/>
    </row>
    <row r="6004" spans="1:12">
      <c r="A6004" s="20" t="s">
        <v>2592</v>
      </c>
      <c r="B6004" s="21" t="s">
        <v>1263</v>
      </c>
      <c r="C6004" s="21" t="s">
        <v>1006</v>
      </c>
      <c r="D6004" s="21" t="s">
        <v>1007</v>
      </c>
      <c r="E6004" s="22">
        <f>IF(D6004="?OLD","!!!","")</f>
        <v/>
      </c>
      <c r="F6004" s="23" t="str">
        <f>IF(OR(E6004="",E6004="!!!"),"",IF(NOT(ISNA(VLOOKUP(E6004,E$1:E6003,1,FALSE()))),"OLD",IF(AND(E6004&lt;&gt;"",E6004&lt;&gt;"!!!"),"NEW","")))</f>
        <v> </v>
      </c>
      <c r="G6004" s="24" t="str">
        <f>IF(OR(E6004="",E6004="!!!"),"",IF(OR(J6004=0,AND(J6004=1,K6004=1),AND(J6004=1,I6004="SBJ"),AND(J6004=1,I6004=0)),"?IN_FOCUS",IF(J6004&lt;=2,"?ACTIVATED",IF(J6004&lt;&gt;"","?FAMILIAR",IF(F6004="NEW",IF(ISNA(VLOOKUP(E6004,#REF!,1,FALSE())),"?TYPE_IDENTIFIABLE","?REFERENTIAL"),"_")))))</f>
        <v> </v>
      </c>
      <c r="H6004" s="25" t="str">
        <f>IF(J6004&lt;&gt;1,"",IF(I6004="SBJ","CB","?"))</f>
        <v> </v>
      </c>
      <c r="I6004" s="26" t="str">
        <f>IF(OR(E6004="",E6004="!!!",F6004="NEW"),"",INDEX(B6003:B$2,-1+SUMPRODUCT(MAX(ROW(E6003:E$2)*(E6004=E6003:E$2)))))</f>
        <v> </v>
      </c>
      <c r="J6004" s="26" t="str">
        <f>IF(OR(E6004="",E6004="!!!",F6004="NEW"),"",COUNTBLANK(OFFSET(A$1,,,SUMPRODUCT(MAX(ROW(E$2:E6004)*(E6004=E$2:E6004)))))-COUNTBLANK(OFFSET(A$1,,,SUMPRODUCT(MAX(ROW(E$1:E6003)*(E2=E$1:E6003))))))</f>
        <v> </v>
      </c>
      <c r="K6004" s="26" t="str">
        <f>IF(OR(E6004="",E6004="!!!",F6004="NEW"),"",INDEX(J$1:J6003,SUMPRODUCT(MAX(ROW(E$1:E6003)*(E6004=E$1:E6003)))))</f>
        <v> </v>
      </c>
      <c r="L6004" s="27"/>
    </row>
    <row r="6005" spans="1:12">
      <c r="A6005" s="20" t="s">
        <v>2593</v>
      </c>
      <c r="B6005" s="21" t="s">
        <v>1040</v>
      </c>
      <c r="C6005" s="21" t="s">
        <v>1006</v>
      </c>
      <c r="D6005" s="21" t="s">
        <v>1007</v>
      </c>
      <c r="E6005" s="22">
        <f>IF(D6005="?OLD","!!!","")</f>
        <v/>
      </c>
      <c r="F6005" s="23" t="str">
        <f>IF(OR(E6005="",E6005="!!!"),"",IF(NOT(ISNA(VLOOKUP(E6005,E$1:E6004,1,FALSE()))),"OLD",IF(AND(E6005&lt;&gt;"",E6005&lt;&gt;"!!!"),"NEW","")))</f>
        <v> </v>
      </c>
      <c r="G6005" s="24" t="str">
        <f>IF(OR(E6005="",E6005="!!!"),"",IF(OR(J6005=0,AND(J6005=1,K6005=1),AND(J6005=1,I6005="SBJ"),AND(J6005=1,I6005=0)),"?IN_FOCUS",IF(J6005&lt;=2,"?ACTIVATED",IF(J6005&lt;&gt;"","?FAMILIAR",IF(F6005="NEW",IF(ISNA(VLOOKUP(E6005,#REF!,1,FALSE())),"?TYPE_IDENTIFIABLE","?REFERENTIAL"),"_")))))</f>
        <v> </v>
      </c>
      <c r="H6005" s="25" t="str">
        <f>IF(J6005&lt;&gt;1,"",IF(I6005="SBJ","CB","?"))</f>
        <v> </v>
      </c>
      <c r="I6005" s="26" t="str">
        <f>IF(OR(E6005="",E6005="!!!",F6005="NEW"),"",INDEX(B6004:B$2,-1+SUMPRODUCT(MAX(ROW(E6004:E$2)*(E6005=E6004:E$2)))))</f>
        <v> </v>
      </c>
      <c r="J6005" s="26" t="str">
        <f>IF(OR(E6005="",E6005="!!!",F6005="NEW"),"",COUNTBLANK(OFFSET(A$1,,,SUMPRODUCT(MAX(ROW(E$2:E6005)*(E6005=E$2:E6005)))))-COUNTBLANK(OFFSET(A$1,,,SUMPRODUCT(MAX(ROW(E$1:E6004)*(E2=E$1:E6004))))))</f>
        <v> </v>
      </c>
      <c r="K6005" s="26" t="str">
        <f>IF(OR(E6005="",E6005="!!!",F6005="NEW"),"",INDEX(J$1:J6004,SUMPRODUCT(MAX(ROW(E$1:E6004)*(E6005=E$1:E6004)))))</f>
        <v> </v>
      </c>
      <c r="L6005" s="27"/>
    </row>
    <row r="6006" spans="1:12">
      <c r="A6006" s="20" t="s">
        <v>2594</v>
      </c>
      <c r="E6006" s="22">
        <f>IF(D6006="?OLD","!!!","")</f>
        <v/>
      </c>
      <c r="F6006" s="23" t="str">
        <f>IF(OR(E6006="",E6006="!!!"),"",IF(NOT(ISNA(VLOOKUP(E6006,E$1:E6005,1,FALSE()))),"OLD",IF(AND(E6006&lt;&gt;"",E6006&lt;&gt;"!!!"),"NEW","")))</f>
        <v> </v>
      </c>
      <c r="G6006" s="24" t="str">
        <f>IF(OR(E6006="",E6006="!!!"),"",IF(OR(J6006=0,AND(J6006=1,K6006=1),AND(J6006=1,I6006="SBJ"),AND(J6006=1,I6006=0)),"?IN_FOCUS",IF(J6006&lt;=2,"?ACTIVATED",IF(J6006&lt;&gt;"","?FAMILIAR",IF(F6006="NEW",IF(ISNA(VLOOKUP(E6006,#REF!,1,FALSE())),"?TYPE_IDENTIFIABLE","?REFERENTIAL"),"_")))))</f>
        <v> </v>
      </c>
      <c r="H6006" s="25" t="str">
        <f>IF(J6006&lt;&gt;1,"",IF(I6006="SBJ","CB","?"))</f>
        <v> </v>
      </c>
      <c r="I6006" s="26" t="str">
        <f>IF(OR(E6006="",E6006="!!!",F6006="NEW"),"",INDEX(B6005:B$2,-1+SUMPRODUCT(MAX(ROW(E6005:E$2)*(E6006=E6005:E$2)))))</f>
        <v> </v>
      </c>
      <c r="J6006" s="26" t="str">
        <f>IF(OR(E6006="",E6006="!!!",F6006="NEW"),"",COUNTBLANK(OFFSET(A$1,,,SUMPRODUCT(MAX(ROW(E$2:E6006)*(E6006=E$2:E6006)))))-COUNTBLANK(OFFSET(A$1,,,SUMPRODUCT(MAX(ROW(E$1:E6005)*(E2=E$1:E6005))))))</f>
        <v> </v>
      </c>
      <c r="K6006" s="26" t="str">
        <f>IF(OR(E6006="",E6006="!!!",F6006="NEW"),"",INDEX(J$1:J6005,SUMPRODUCT(MAX(ROW(E$1:E6005)*(E6006=E$1:E6005)))))</f>
        <v> </v>
      </c>
      <c r="L6006" s="27"/>
    </row>
    <row r="6007" spans="1:12">
      <c r="A6007" s="20" t="s">
        <v>1206</v>
      </c>
      <c r="E6007" s="22">
        <f>IF(D6007="?OLD","!!!","")</f>
        <v/>
      </c>
      <c r="F6007" s="23" t="str">
        <f>IF(OR(E6007="",E6007="!!!"),"",IF(NOT(ISNA(VLOOKUP(E6007,E$1:E6006,1,FALSE()))),"OLD",IF(AND(E6007&lt;&gt;"",E6007&lt;&gt;"!!!"),"NEW","")))</f>
        <v> </v>
      </c>
      <c r="G6007" s="24" t="str">
        <f>IF(OR(E6007="",E6007="!!!"),"",IF(OR(J6007=0,AND(J6007=1,K6007=1),AND(J6007=1,I6007="SBJ"),AND(J6007=1,I6007=0)),"?IN_FOCUS",IF(J6007&lt;=2,"?ACTIVATED",IF(J6007&lt;&gt;"","?FAMILIAR",IF(F6007="NEW",IF(ISNA(VLOOKUP(E6007,#REF!,1,FALSE())),"?TYPE_IDENTIFIABLE","?REFERENTIAL"),"_")))))</f>
        <v> </v>
      </c>
      <c r="H6007" s="25" t="str">
        <f>IF(J6007&lt;&gt;1,"",IF(I6007="SBJ","CB","?"))</f>
        <v> </v>
      </c>
      <c r="I6007" s="26" t="str">
        <f>IF(OR(E6007="",E6007="!!!",F6007="NEW"),"",INDEX(B6006:B$2,-1+SUMPRODUCT(MAX(ROW(E6006:E$2)*(E6007=E6006:E$2)))))</f>
        <v> </v>
      </c>
      <c r="J6007" s="26" t="str">
        <f>IF(OR(E6007="",E6007="!!!",F6007="NEW"),"",COUNTBLANK(OFFSET(A$1,,,SUMPRODUCT(MAX(ROW(E$2:E6007)*(E6007=E$2:E6007)))))-COUNTBLANK(OFFSET(A$1,,,SUMPRODUCT(MAX(ROW(E$1:E6006)*(E2=E$1:E6006))))))</f>
        <v> </v>
      </c>
      <c r="K6007" s="26" t="str">
        <f>IF(OR(E6007="",E6007="!!!",F6007="NEW"),"",INDEX(J$1:J6006,SUMPRODUCT(MAX(ROW(E$1:E6006)*(E6007=E$1:E6006)))))</f>
        <v> </v>
      </c>
      <c r="L6007" s="27"/>
    </row>
    <row r="6008" spans="1:12">
      <c r="A6008" s="20" t="s">
        <v>1852</v>
      </c>
      <c r="E6008" s="22">
        <f>IF(D6008="?OLD","!!!","")</f>
        <v/>
      </c>
      <c r="F6008" s="23" t="str">
        <f>IF(OR(E6008="",E6008="!!!"),"",IF(NOT(ISNA(VLOOKUP(E6008,E$1:E6007,1,FALSE()))),"OLD",IF(AND(E6008&lt;&gt;"",E6008&lt;&gt;"!!!"),"NEW","")))</f>
        <v> </v>
      </c>
      <c r="G6008" s="24" t="str">
        <f>IF(OR(E6008="",E6008="!!!"),"",IF(OR(J6008=0,AND(J6008=1,K6008=1),AND(J6008=1,I6008="SBJ"),AND(J6008=1,I6008=0)),"?IN_FOCUS",IF(J6008&lt;=2,"?ACTIVATED",IF(J6008&lt;&gt;"","?FAMILIAR",IF(F6008="NEW",IF(ISNA(VLOOKUP(E6008,#REF!,1,FALSE())),"?TYPE_IDENTIFIABLE","?REFERENTIAL"),"_")))))</f>
        <v> </v>
      </c>
      <c r="H6008" s="25" t="str">
        <f>IF(J6008&lt;&gt;1,"",IF(I6008="SBJ","CB","?"))</f>
        <v> </v>
      </c>
      <c r="I6008" s="26" t="str">
        <f>IF(OR(E6008="",E6008="!!!",F6008="NEW"),"",INDEX(B6007:B$2,-1+SUMPRODUCT(MAX(ROW(E6007:E$2)*(E6008=E6007:E$2)))))</f>
        <v> </v>
      </c>
      <c r="J6008" s="26" t="str">
        <f>IF(OR(E6008="",E6008="!!!",F6008="NEW"),"",COUNTBLANK(OFFSET(A$1,,,SUMPRODUCT(MAX(ROW(E$2:E6008)*(E6008=E$2:E6008)))))-COUNTBLANK(OFFSET(A$1,,,SUMPRODUCT(MAX(ROW(E$1:E6007)*(E2=E$1:E6007))))))</f>
        <v> </v>
      </c>
      <c r="K6008" s="26" t="str">
        <f>IF(OR(E6008="",E6008="!!!",F6008="NEW"),"",INDEX(J$1:J6007,SUMPRODUCT(MAX(ROW(E$1:E6007)*(E6008=E$1:E6007)))))</f>
        <v> </v>
      </c>
      <c r="L6008" s="27"/>
    </row>
    <row r="6009" spans="1:12">
      <c r="A6009" s="20" t="s">
        <v>1023</v>
      </c>
      <c r="E6009" s="22">
        <f>IF(D6009="?OLD","!!!","")</f>
        <v/>
      </c>
      <c r="F6009" s="23" t="str">
        <f>IF(OR(E6009="",E6009="!!!"),"",IF(NOT(ISNA(VLOOKUP(E6009,E$1:E6008,1,FALSE()))),"OLD",IF(AND(E6009&lt;&gt;"",E6009&lt;&gt;"!!!"),"NEW","")))</f>
        <v> </v>
      </c>
      <c r="G6009" s="24" t="str">
        <f>IF(OR(E6009="",E6009="!!!"),"",IF(OR(J6009=0,AND(J6009=1,K6009=1),AND(J6009=1,I6009="SBJ"),AND(J6009=1,I6009=0)),"?IN_FOCUS",IF(J6009&lt;=2,"?ACTIVATED",IF(J6009&lt;&gt;"","?FAMILIAR",IF(F6009="NEW",IF(ISNA(VLOOKUP(E6009,#REF!,1,FALSE())),"?TYPE_IDENTIFIABLE","?REFERENTIAL"),"_")))))</f>
        <v> </v>
      </c>
      <c r="H6009" s="25" t="str">
        <f>IF(J6009&lt;&gt;1,"",IF(I6009="SBJ","CB","?"))</f>
        <v> </v>
      </c>
      <c r="I6009" s="26" t="str">
        <f>IF(OR(E6009="",E6009="!!!",F6009="NEW"),"",INDEX(B6008:B$2,-1+SUMPRODUCT(MAX(ROW(E6008:E$2)*(E6009=E6008:E$2)))))</f>
        <v> </v>
      </c>
      <c r="J6009" s="26" t="str">
        <f>IF(OR(E6009="",E6009="!!!",F6009="NEW"),"",COUNTBLANK(OFFSET(A$1,,,SUMPRODUCT(MAX(ROW(E$2:E6009)*(E6009=E$2:E6009)))))-COUNTBLANK(OFFSET(A$1,,,SUMPRODUCT(MAX(ROW(E$1:E6008)*(E2=E$1:E6008))))))</f>
        <v> </v>
      </c>
      <c r="K6009" s="26" t="str">
        <f>IF(OR(E6009="",E6009="!!!",F6009="NEW"),"",INDEX(J$1:J6008,SUMPRODUCT(MAX(ROW(E$1:E6008)*(E6009=E$1:E6008)))))</f>
        <v> </v>
      </c>
      <c r="L6009" s="27"/>
    </row>
    <row r="6010" spans="1:12">
      <c r="A6010" s="20"/>
    </row>
    <row r="6011" spans="1:12">
      <c r="A6011" s="20" t="s">
        <v>2595</v>
      </c>
    </row>
    <row r="6012" spans="1:12">
      <c r="A6012" s="20" t="s">
        <v>1147</v>
      </c>
      <c r="E6012" s="22">
        <f>IF(D6012="?OLD","!!!","")</f>
        <v/>
      </c>
      <c r="F6012" s="23" t="str">
        <f>IF(OR(E6012="",E6012="!!!"),"",IF(NOT(ISNA(VLOOKUP(E6012,E$1:E6011,1,FALSE()))),"OLD",IF(AND(E6012&lt;&gt;"",E6012&lt;&gt;"!!!"),"NEW","")))</f>
        <v> </v>
      </c>
      <c r="G6012" s="24" t="str">
        <f>IF(OR(E6012="",E6012="!!!"),"",IF(OR(J6012=0,AND(J6012=1,K6012=1),AND(J6012=1,I6012="SBJ"),AND(J6012=1,I6012=0)),"?IN_FOCUS",IF(J6012&lt;=2,"?ACTIVATED",IF(J6012&lt;&gt;"","?FAMILIAR",IF(F6012="NEW",IF(ISNA(VLOOKUP(E6012,#REF!,1,FALSE())),"?TYPE_IDENTIFIABLE","?REFERENTIAL"),"_")))))</f>
        <v> </v>
      </c>
      <c r="H6012" s="25" t="str">
        <f>IF(J6012&lt;&gt;1,"",IF(I6012="SBJ","CB","?"))</f>
        <v> </v>
      </c>
      <c r="I6012" s="26" t="str">
        <f>IF(OR(E6012="",E6012="!!!",F6012="NEW"),"",INDEX(B6011:B$2,-1+SUMPRODUCT(MAX(ROW(E6011:E$2)*(E6012=E6011:E$2)))))</f>
        <v> </v>
      </c>
      <c r="J6012" s="26" t="str">
        <f>IF(OR(E6012="",E6012="!!!",F6012="NEW"),"",COUNTBLANK(OFFSET(A$1,,,SUMPRODUCT(MAX(ROW(E$2:E6012)*(E6012=E$2:E6012)))))-COUNTBLANK(OFFSET(A$1,,,SUMPRODUCT(MAX(ROW(E$1:E6011)*(E2=E$1:E6011))))))</f>
        <v> </v>
      </c>
      <c r="K6012" s="26" t="str">
        <f>IF(OR(E6012="",E6012="!!!",F6012="NEW"),"",INDEX(J$1:J6011,SUMPRODUCT(MAX(ROW(E$1:E6011)*(E6012=E$1:E6011)))))</f>
        <v> </v>
      </c>
      <c r="L6012" s="27"/>
    </row>
    <row r="6013" spans="1:12">
      <c r="A6013" s="20" t="s">
        <v>1075</v>
      </c>
      <c r="E6013" s="22">
        <f>IF(D6013="?OLD","!!!","")</f>
        <v/>
      </c>
      <c r="F6013" s="23" t="str">
        <f>IF(OR(E6013="",E6013="!!!"),"",IF(NOT(ISNA(VLOOKUP(E6013,E$1:E6012,1,FALSE()))),"OLD",IF(AND(E6013&lt;&gt;"",E6013&lt;&gt;"!!!"),"NEW","")))</f>
        <v> </v>
      </c>
      <c r="G6013" s="24" t="str">
        <f>IF(OR(E6013="",E6013="!!!"),"",IF(OR(J6013=0,AND(J6013=1,K6013=1),AND(J6013=1,I6013="SBJ"),AND(J6013=1,I6013=0)),"?IN_FOCUS",IF(J6013&lt;=2,"?ACTIVATED",IF(J6013&lt;&gt;"","?FAMILIAR",IF(F6013="NEW",IF(ISNA(VLOOKUP(E6013,#REF!,1,FALSE())),"?TYPE_IDENTIFIABLE","?REFERENTIAL"),"_")))))</f>
        <v> </v>
      </c>
      <c r="H6013" s="25" t="str">
        <f>IF(J6013&lt;&gt;1,"",IF(I6013="SBJ","CB","?"))</f>
        <v> </v>
      </c>
      <c r="I6013" s="26" t="str">
        <f>IF(OR(E6013="",E6013="!!!",F6013="NEW"),"",INDEX(B6012:B$2,-1+SUMPRODUCT(MAX(ROW(E6012:E$2)*(E6013=E6012:E$2)))))</f>
        <v> </v>
      </c>
      <c r="J6013" s="26" t="str">
        <f>IF(OR(E6013="",E6013="!!!",F6013="NEW"),"",COUNTBLANK(OFFSET(A$1,,,SUMPRODUCT(MAX(ROW(E$2:E6013)*(E6013=E$2:E6013)))))-COUNTBLANK(OFFSET(A$1,,,SUMPRODUCT(MAX(ROW(E$1:E6012)*(E2=E$1:E6012))))))</f>
        <v> </v>
      </c>
      <c r="K6013" s="26" t="str">
        <f>IF(OR(E6013="",E6013="!!!",F6013="NEW"),"",INDEX(J$1:J6012,SUMPRODUCT(MAX(ROW(E$1:E6012)*(E6013=E$1:E6012)))))</f>
        <v> </v>
      </c>
      <c r="L6013" s="27"/>
    </row>
    <row r="6014" spans="1:12">
      <c r="A6014" s="20" t="s">
        <v>102</v>
      </c>
      <c r="E6014" s="22">
        <f>IF(D6014="?OLD","!!!","")</f>
        <v/>
      </c>
      <c r="F6014" s="23" t="str">
        <f>IF(OR(E6014="",E6014="!!!"),"",IF(NOT(ISNA(VLOOKUP(E6014,E$1:E6013,1,FALSE()))),"OLD",IF(AND(E6014&lt;&gt;"",E6014&lt;&gt;"!!!"),"NEW","")))</f>
        <v> </v>
      </c>
      <c r="G6014" s="24" t="str">
        <f>IF(OR(E6014="",E6014="!!!"),"",IF(OR(J6014=0,AND(J6014=1,K6014=1),AND(J6014=1,I6014="SBJ"),AND(J6014=1,I6014=0)),"?IN_FOCUS",IF(J6014&lt;=2,"?ACTIVATED",IF(J6014&lt;&gt;"","?FAMILIAR",IF(F6014="NEW",IF(ISNA(VLOOKUP(E6014,#REF!,1,FALSE())),"?TYPE_IDENTIFIABLE","?REFERENTIAL"),"_")))))</f>
        <v> </v>
      </c>
      <c r="H6014" s="25" t="str">
        <f>IF(J6014&lt;&gt;1,"",IF(I6014="SBJ","CB","?"))</f>
        <v> </v>
      </c>
      <c r="I6014" s="26" t="str">
        <f>IF(OR(E6014="",E6014="!!!",F6014="NEW"),"",INDEX(B6013:B$2,-1+SUMPRODUCT(MAX(ROW(E6013:E$2)*(E6014=E6013:E$2)))))</f>
        <v> </v>
      </c>
      <c r="J6014" s="26" t="str">
        <f>IF(OR(E6014="",E6014="!!!",F6014="NEW"),"",COUNTBLANK(OFFSET(A$1,,,SUMPRODUCT(MAX(ROW(E$2:E6014)*(E6014=E$2:E6014)))))-COUNTBLANK(OFFSET(A$1,,,SUMPRODUCT(MAX(ROW(E$1:E6013)*(E2=E$1:E6013))))))</f>
        <v> </v>
      </c>
      <c r="K6014" s="26" t="str">
        <f>IF(OR(E6014="",E6014="!!!",F6014="NEW"),"",INDEX(J$1:J6013,SUMPRODUCT(MAX(ROW(E$1:E6013)*(E6014=E$1:E6013)))))</f>
        <v> </v>
      </c>
      <c r="L6014" s="27"/>
    </row>
    <row r="6015" spans="1:12">
      <c r="A6015" s="20" t="s">
        <v>2596</v>
      </c>
      <c r="B6015" s="21" t="s">
        <v>1022</v>
      </c>
      <c r="C6015" s="21" t="s">
        <v>1006</v>
      </c>
      <c r="D6015" s="21" t="s">
        <v>1007</v>
      </c>
      <c r="E6015" s="22">
        <f>IF(D6015="?OLD","!!!","")</f>
        <v/>
      </c>
      <c r="F6015" s="23" t="str">
        <f>IF(OR(E6015="",E6015="!!!"),"",IF(NOT(ISNA(VLOOKUP(E6015,E$1:E6014,1,FALSE()))),"OLD",IF(AND(E6015&lt;&gt;"",E6015&lt;&gt;"!!!"),"NEW","")))</f>
        <v> </v>
      </c>
      <c r="G6015" s="24" t="str">
        <f>IF(OR(E6015="",E6015="!!!"),"",IF(OR(J6015=0,AND(J6015=1,K6015=1),AND(J6015=1,I6015="SBJ"),AND(J6015=1,I6015=0)),"?IN_FOCUS",IF(J6015&lt;=2,"?ACTIVATED",IF(J6015&lt;&gt;"","?FAMILIAR",IF(F6015="NEW",IF(ISNA(VLOOKUP(E6015,#REF!,1,FALSE())),"?TYPE_IDENTIFIABLE","?REFERENTIAL"),"_")))))</f>
        <v> </v>
      </c>
      <c r="H6015" s="25" t="str">
        <f>IF(J6015&lt;&gt;1,"",IF(I6015="SBJ","CB","?"))</f>
        <v> </v>
      </c>
      <c r="I6015" s="26" t="str">
        <f>IF(OR(E6015="",E6015="!!!",F6015="NEW"),"",INDEX(B6014:B$2,-1+SUMPRODUCT(MAX(ROW(E6014:E$2)*(E6015=E6014:E$2)))))</f>
        <v> </v>
      </c>
      <c r="J6015" s="26" t="str">
        <f>IF(OR(E6015="",E6015="!!!",F6015="NEW"),"",COUNTBLANK(OFFSET(A$1,,,SUMPRODUCT(MAX(ROW(E$2:E6015)*(E6015=E$2:E6015)))))-COUNTBLANK(OFFSET(A$1,,,SUMPRODUCT(MAX(ROW(E$1:E6014)*(E2=E$1:E6014))))))</f>
        <v> </v>
      </c>
      <c r="K6015" s="26" t="str">
        <f>IF(OR(E6015="",E6015="!!!",F6015="NEW"),"",INDEX(J$1:J6014,SUMPRODUCT(MAX(ROW(E$1:E6014)*(E6015=E$1:E6014)))))</f>
        <v> </v>
      </c>
      <c r="L6015" s="27"/>
    </row>
    <row r="6016" spans="1:12">
      <c r="A6016" s="20" t="s">
        <v>2597</v>
      </c>
      <c r="B6016" s="21" t="s">
        <v>1033</v>
      </c>
      <c r="C6016" s="21" t="s">
        <v>1006</v>
      </c>
      <c r="D6016" s="21" t="s">
        <v>1007</v>
      </c>
      <c r="E6016" s="22">
        <f>IF(D6016="?OLD","!!!","")</f>
        <v/>
      </c>
      <c r="F6016" s="23" t="str">
        <f>IF(OR(E6016="",E6016="!!!"),"",IF(NOT(ISNA(VLOOKUP(E6016,E$1:E6015,1,FALSE()))),"OLD",IF(AND(E6016&lt;&gt;"",E6016&lt;&gt;"!!!"),"NEW","")))</f>
        <v> </v>
      </c>
      <c r="G6016" s="24" t="str">
        <f>IF(OR(E6016="",E6016="!!!"),"",IF(OR(J6016=0,AND(J6016=1,K6016=1),AND(J6016=1,I6016="SBJ"),AND(J6016=1,I6016=0)),"?IN_FOCUS",IF(J6016&lt;=2,"?ACTIVATED",IF(J6016&lt;&gt;"","?FAMILIAR",IF(F6016="NEW",IF(ISNA(VLOOKUP(E6016,#REF!,1,FALSE())),"?TYPE_IDENTIFIABLE","?REFERENTIAL"),"_")))))</f>
        <v> </v>
      </c>
      <c r="H6016" s="25" t="str">
        <f>IF(J6016&lt;&gt;1,"",IF(I6016="SBJ","CB","?"))</f>
        <v> </v>
      </c>
      <c r="I6016" s="26" t="str">
        <f>IF(OR(E6016="",E6016="!!!",F6016="NEW"),"",INDEX(B6015:B$2,-1+SUMPRODUCT(MAX(ROW(E6015:E$2)*(E6016=E6015:E$2)))))</f>
        <v> </v>
      </c>
      <c r="J6016" s="26" t="str">
        <f>IF(OR(E6016="",E6016="!!!",F6016="NEW"),"",COUNTBLANK(OFFSET(A$1,,,SUMPRODUCT(MAX(ROW(E$2:E6016)*(E6016=E$2:E6016)))))-COUNTBLANK(OFFSET(A$1,,,SUMPRODUCT(MAX(ROW(E$1:E6015)*(E2=E$1:E6015))))))</f>
        <v> </v>
      </c>
      <c r="K6016" s="26" t="str">
        <f>IF(OR(E6016="",E6016="!!!",F6016="NEW"),"",INDEX(J$1:J6015,SUMPRODUCT(MAX(ROW(E$1:E6015)*(E6016=E$1:E6015)))))</f>
        <v> </v>
      </c>
      <c r="L6016" s="27"/>
    </row>
    <row r="6017" spans="1:12">
      <c r="A6017" s="20" t="s">
        <v>1065</v>
      </c>
      <c r="E6017" s="22">
        <f>IF(D6017="?OLD","!!!","")</f>
        <v/>
      </c>
      <c r="F6017" s="23" t="str">
        <f>IF(OR(E6017="",E6017="!!!"),"",IF(NOT(ISNA(VLOOKUP(E6017,E$1:E6016,1,FALSE()))),"OLD",IF(AND(E6017&lt;&gt;"",E6017&lt;&gt;"!!!"),"NEW","")))</f>
        <v> </v>
      </c>
      <c r="G6017" s="24" t="str">
        <f>IF(OR(E6017="",E6017="!!!"),"",IF(OR(J6017=0,AND(J6017=1,K6017=1),AND(J6017=1,I6017="SBJ"),AND(J6017=1,I6017=0)),"?IN_FOCUS",IF(J6017&lt;=2,"?ACTIVATED",IF(J6017&lt;&gt;"","?FAMILIAR",IF(F6017="NEW",IF(ISNA(VLOOKUP(E6017,#REF!,1,FALSE())),"?TYPE_IDENTIFIABLE","?REFERENTIAL"),"_")))))</f>
        <v> </v>
      </c>
      <c r="H6017" s="25" t="str">
        <f>IF(J6017&lt;&gt;1,"",IF(I6017="SBJ","CB","?"))</f>
        <v> </v>
      </c>
      <c r="I6017" s="26" t="str">
        <f>IF(OR(E6017="",E6017="!!!",F6017="NEW"),"",INDEX(B6016:B$2,-1+SUMPRODUCT(MAX(ROW(E6016:E$2)*(E6017=E6016:E$2)))))</f>
        <v> </v>
      </c>
      <c r="J6017" s="26" t="str">
        <f>IF(OR(E6017="",E6017="!!!",F6017="NEW"),"",COUNTBLANK(OFFSET(A$1,,,SUMPRODUCT(MAX(ROW(E$2:E6017)*(E6017=E$2:E6017)))))-COUNTBLANK(OFFSET(A$1,,,SUMPRODUCT(MAX(ROW(E$1:E6016)*(E2=E$1:E6016))))))</f>
        <v> </v>
      </c>
      <c r="K6017" s="26" t="str">
        <f>IF(OR(E6017="",E6017="!!!",F6017="NEW"),"",INDEX(J$1:J6016,SUMPRODUCT(MAX(ROW(E$1:E6016)*(E6017=E$1:E6016)))))</f>
        <v> </v>
      </c>
      <c r="L6017" s="27"/>
    </row>
    <row r="6018" spans="1:12">
      <c r="A6018" s="20" t="s">
        <v>1030</v>
      </c>
      <c r="E6018" s="22">
        <f>IF(D6018="?OLD","!!!","")</f>
        <v/>
      </c>
      <c r="F6018" s="23" t="str">
        <f>IF(OR(E6018="",E6018="!!!"),"",IF(NOT(ISNA(VLOOKUP(E6018,E$1:E6017,1,FALSE()))),"OLD",IF(AND(E6018&lt;&gt;"",E6018&lt;&gt;"!!!"),"NEW","")))</f>
        <v> </v>
      </c>
      <c r="G6018" s="24" t="str">
        <f>IF(OR(E6018="",E6018="!!!"),"",IF(OR(J6018=0,AND(J6018=1,K6018=1),AND(J6018=1,I6018="SBJ"),AND(J6018=1,I6018=0)),"?IN_FOCUS",IF(J6018&lt;=2,"?ACTIVATED",IF(J6018&lt;&gt;"","?FAMILIAR",IF(F6018="NEW",IF(ISNA(VLOOKUP(E6018,#REF!,1,FALSE())),"?TYPE_IDENTIFIABLE","?REFERENTIAL"),"_")))))</f>
        <v> </v>
      </c>
      <c r="H6018" s="25" t="str">
        <f>IF(J6018&lt;&gt;1,"",IF(I6018="SBJ","CB","?"))</f>
        <v> </v>
      </c>
      <c r="I6018" s="26" t="str">
        <f>IF(OR(E6018="",E6018="!!!",F6018="NEW"),"",INDEX(B6017:B$2,-1+SUMPRODUCT(MAX(ROW(E6017:E$2)*(E6018=E6017:E$2)))))</f>
        <v> </v>
      </c>
      <c r="J6018" s="26" t="str">
        <f>IF(OR(E6018="",E6018="!!!",F6018="NEW"),"",COUNTBLANK(OFFSET(A$1,,,SUMPRODUCT(MAX(ROW(E$2:E6018)*(E6018=E$2:E6018)))))-COUNTBLANK(OFFSET(A$1,,,SUMPRODUCT(MAX(ROW(E$1:E6017)*(E2=E$1:E6017))))))</f>
        <v> </v>
      </c>
      <c r="K6018" s="26" t="str">
        <f>IF(OR(E6018="",E6018="!!!",F6018="NEW"),"",INDEX(J$1:J6017,SUMPRODUCT(MAX(ROW(E$1:E6017)*(E6018=E$1:E6017)))))</f>
        <v> </v>
      </c>
      <c r="L6018" s="27"/>
    </row>
    <row r="6019" spans="1:12">
      <c r="A6019" s="20" t="s">
        <v>1015</v>
      </c>
      <c r="B6019" s="21" t="s">
        <v>1119</v>
      </c>
      <c r="C6019" s="21" t="s">
        <v>1073</v>
      </c>
      <c r="D6019" s="21" t="s">
        <v>1007</v>
      </c>
      <c r="E6019" s="22">
        <f>IF(D6019="?OLD","!!!","")</f>
        <v/>
      </c>
      <c r="F6019" s="23" t="str">
        <f>IF(OR(E6019="",E6019="!!!"),"",IF(NOT(ISNA(VLOOKUP(E6019,E$1:E6018,1,FALSE()))),"OLD",IF(AND(E6019&lt;&gt;"",E6019&lt;&gt;"!!!"),"NEW","")))</f>
        <v> </v>
      </c>
      <c r="G6019" s="24" t="str">
        <f>IF(OR(E6019="",E6019="!!!"),"",IF(OR(J6019=0,AND(J6019=1,K6019=1),AND(J6019=1,I6019="SBJ"),AND(J6019=1,I6019=0)),"?IN_FOCUS",IF(J6019&lt;=2,"?ACTIVATED",IF(J6019&lt;&gt;"","?FAMILIAR",IF(F6019="NEW",IF(ISNA(VLOOKUP(E6019,#REF!,1,FALSE())),"?TYPE_IDENTIFIABLE","?REFERENTIAL"),"_")))))</f>
        <v> </v>
      </c>
      <c r="H6019" s="25" t="str">
        <f>IF(J6019&lt;&gt;1,"",IF(I6019="SBJ","CB","?"))</f>
        <v> </v>
      </c>
      <c r="I6019" s="26" t="str">
        <f>IF(OR(E6019="",E6019="!!!",F6019="NEW"),"",INDEX(B6018:B$2,-1+SUMPRODUCT(MAX(ROW(E6018:E$2)*(E6019=E6018:E$2)))))</f>
        <v> </v>
      </c>
      <c r="J6019" s="26" t="str">
        <f>IF(OR(E6019="",E6019="!!!",F6019="NEW"),"",COUNTBLANK(OFFSET(A$1,,,SUMPRODUCT(MAX(ROW(E$2:E6019)*(E6019=E$2:E6019)))))-COUNTBLANK(OFFSET(A$1,,,SUMPRODUCT(MAX(ROW(E$1:E6018)*(E2=E$1:E6018))))))</f>
        <v> </v>
      </c>
      <c r="K6019" s="26" t="str">
        <f>IF(OR(E6019="",E6019="!!!",F6019="NEW"),"",INDEX(J$1:J6018,SUMPRODUCT(MAX(ROW(E$1:E6018)*(E6019=E$1:E6018)))))</f>
        <v> </v>
      </c>
      <c r="L6019" s="27"/>
    </row>
    <row r="6020" spans="1:12">
      <c r="A6020" s="20" t="s">
        <v>1051</v>
      </c>
      <c r="E6020" s="22">
        <f>IF(D6020="?OLD","!!!","")</f>
        <v/>
      </c>
      <c r="F6020" s="23" t="str">
        <f>IF(OR(E6020="",E6020="!!!"),"",IF(NOT(ISNA(VLOOKUP(E6020,E$1:E6019,1,FALSE()))),"OLD",IF(AND(E6020&lt;&gt;"",E6020&lt;&gt;"!!!"),"NEW","")))</f>
        <v> </v>
      </c>
      <c r="G6020" s="24" t="str">
        <f>IF(OR(E6020="",E6020="!!!"),"",IF(OR(J6020=0,AND(J6020=1,K6020=1),AND(J6020=1,I6020="SBJ"),AND(J6020=1,I6020=0)),"?IN_FOCUS",IF(J6020&lt;=2,"?ACTIVATED",IF(J6020&lt;&gt;"","?FAMILIAR",IF(F6020="NEW",IF(ISNA(VLOOKUP(E6020,#REF!,1,FALSE())),"?TYPE_IDENTIFIABLE","?REFERENTIAL"),"_")))))</f>
        <v> </v>
      </c>
      <c r="H6020" s="25" t="str">
        <f>IF(J6020&lt;&gt;1,"",IF(I6020="SBJ","CB","?"))</f>
        <v> </v>
      </c>
      <c r="I6020" s="26" t="str">
        <f>IF(OR(E6020="",E6020="!!!",F6020="NEW"),"",INDEX(B6019:B$2,-1+SUMPRODUCT(MAX(ROW(E6019:E$2)*(E6020=E6019:E$2)))))</f>
        <v> </v>
      </c>
      <c r="J6020" s="26" t="str">
        <f>IF(OR(E6020="",E6020="!!!",F6020="NEW"),"",COUNTBLANK(OFFSET(A$1,,,SUMPRODUCT(MAX(ROW(E$2:E6020)*(E6020=E$2:E6020)))))-COUNTBLANK(OFFSET(A$1,,,SUMPRODUCT(MAX(ROW(E$1:E6019)*(E2=E$1:E6019))))))</f>
        <v> </v>
      </c>
      <c r="K6020" s="26" t="str">
        <f>IF(OR(E6020="",E6020="!!!",F6020="NEW"),"",INDEX(J$1:J6019,SUMPRODUCT(MAX(ROW(E$1:E6019)*(E6020=E$1:E6019)))))</f>
        <v> </v>
      </c>
      <c r="L6020" s="27"/>
    </row>
    <row r="6021" spans="1:12">
      <c r="A6021" s="20" t="s">
        <v>1020</v>
      </c>
      <c r="E6021" s="22">
        <f>IF(D6021="?OLD","!!!","")</f>
        <v/>
      </c>
      <c r="F6021" s="23" t="str">
        <f>IF(OR(E6021="",E6021="!!!"),"",IF(NOT(ISNA(VLOOKUP(E6021,E$1:E6020,1,FALSE()))),"OLD",IF(AND(E6021&lt;&gt;"",E6021&lt;&gt;"!!!"),"NEW","")))</f>
        <v> </v>
      </c>
      <c r="G6021" s="24" t="str">
        <f>IF(OR(E6021="",E6021="!!!"),"",IF(OR(J6021=0,AND(J6021=1,K6021=1),AND(J6021=1,I6021="SBJ"),AND(J6021=1,I6021=0)),"?IN_FOCUS",IF(J6021&lt;=2,"?ACTIVATED",IF(J6021&lt;&gt;"","?FAMILIAR",IF(F6021="NEW",IF(ISNA(VLOOKUP(E6021,#REF!,1,FALSE())),"?TYPE_IDENTIFIABLE","?REFERENTIAL"),"_")))))</f>
        <v> </v>
      </c>
      <c r="H6021" s="25" t="str">
        <f>IF(J6021&lt;&gt;1,"",IF(I6021="SBJ","CB","?"))</f>
        <v> </v>
      </c>
      <c r="I6021" s="26" t="str">
        <f>IF(OR(E6021="",E6021="!!!",F6021="NEW"),"",INDEX(B6020:B$2,-1+SUMPRODUCT(MAX(ROW(E6020:E$2)*(E6021=E6020:E$2)))))</f>
        <v> </v>
      </c>
      <c r="J6021" s="26" t="str">
        <f>IF(OR(E6021="",E6021="!!!",F6021="NEW"),"",COUNTBLANK(OFFSET(A$1,,,SUMPRODUCT(MAX(ROW(E$2:E6021)*(E6021=E$2:E6021)))))-COUNTBLANK(OFFSET(A$1,,,SUMPRODUCT(MAX(ROW(E$1:E6020)*(E2=E$1:E6020))))))</f>
        <v> </v>
      </c>
      <c r="K6021" s="26" t="str">
        <f>IF(OR(E6021="",E6021="!!!",F6021="NEW"),"",INDEX(J$1:J6020,SUMPRODUCT(MAX(ROW(E$1:E6020)*(E6021=E$1:E6020)))))</f>
        <v> </v>
      </c>
      <c r="L6021" s="27"/>
    </row>
    <row r="6022" spans="1:12">
      <c r="A6022" s="20" t="s">
        <v>2598</v>
      </c>
      <c r="E6022" s="22">
        <f>IF(D6022="?OLD","!!!","")</f>
        <v/>
      </c>
      <c r="F6022" s="23" t="str">
        <f>IF(OR(E6022="",E6022="!!!"),"",IF(NOT(ISNA(VLOOKUP(E6022,E$1:E6021,1,FALSE()))),"OLD",IF(AND(E6022&lt;&gt;"",E6022&lt;&gt;"!!!"),"NEW","")))</f>
        <v> </v>
      </c>
      <c r="G6022" s="24" t="str">
        <f>IF(OR(E6022="",E6022="!!!"),"",IF(OR(J6022=0,AND(J6022=1,K6022=1),AND(J6022=1,I6022="SBJ"),AND(J6022=1,I6022=0)),"?IN_FOCUS",IF(J6022&lt;=2,"?ACTIVATED",IF(J6022&lt;&gt;"","?FAMILIAR",IF(F6022="NEW",IF(ISNA(VLOOKUP(E6022,#REF!,1,FALSE())),"?TYPE_IDENTIFIABLE","?REFERENTIAL"),"_")))))</f>
        <v> </v>
      </c>
      <c r="H6022" s="25" t="str">
        <f>IF(J6022&lt;&gt;1,"",IF(I6022="SBJ","CB","?"))</f>
        <v> </v>
      </c>
      <c r="I6022" s="26" t="str">
        <f>IF(OR(E6022="",E6022="!!!",F6022="NEW"),"",INDEX(B6021:B$2,-1+SUMPRODUCT(MAX(ROW(E6021:E$2)*(E6022=E6021:E$2)))))</f>
        <v> </v>
      </c>
      <c r="J6022" s="26" t="str">
        <f>IF(OR(E6022="",E6022="!!!",F6022="NEW"),"",COUNTBLANK(OFFSET(A$1,,,SUMPRODUCT(MAX(ROW(E$2:E6022)*(E6022=E$2:E6022)))))-COUNTBLANK(OFFSET(A$1,,,SUMPRODUCT(MAX(ROW(E$1:E6021)*(E2=E$1:E6021))))))</f>
        <v> </v>
      </c>
      <c r="K6022" s="26" t="str">
        <f>IF(OR(E6022="",E6022="!!!",F6022="NEW"),"",INDEX(J$1:J6021,SUMPRODUCT(MAX(ROW(E$1:E6021)*(E6022=E$1:E6021)))))</f>
        <v> </v>
      </c>
      <c r="L6022" s="27"/>
    </row>
    <row r="6023" spans="1:12">
      <c r="A6023" s="20" t="s">
        <v>1023</v>
      </c>
      <c r="E6023" s="22">
        <f>IF(D6023="?OLD","!!!","")</f>
        <v/>
      </c>
      <c r="F6023" s="23" t="str">
        <f>IF(OR(E6023="",E6023="!!!"),"",IF(NOT(ISNA(VLOOKUP(E6023,E$1:E6022,1,FALSE()))),"OLD",IF(AND(E6023&lt;&gt;"",E6023&lt;&gt;"!!!"),"NEW","")))</f>
        <v> </v>
      </c>
      <c r="G6023" s="24" t="str">
        <f>IF(OR(E6023="",E6023="!!!"),"",IF(OR(J6023=0,AND(J6023=1,K6023=1),AND(J6023=1,I6023="SBJ"),AND(J6023=1,I6023=0)),"?IN_FOCUS",IF(J6023&lt;=2,"?ACTIVATED",IF(J6023&lt;&gt;"","?FAMILIAR",IF(F6023="NEW",IF(ISNA(VLOOKUP(E6023,#REF!,1,FALSE())),"?TYPE_IDENTIFIABLE","?REFERENTIAL"),"_")))))</f>
        <v> </v>
      </c>
      <c r="H6023" s="25" t="str">
        <f>IF(J6023&lt;&gt;1,"",IF(I6023="SBJ","CB","?"))</f>
        <v> </v>
      </c>
      <c r="I6023" s="26" t="str">
        <f>IF(OR(E6023="",E6023="!!!",F6023="NEW"),"",INDEX(B6022:B$2,-1+SUMPRODUCT(MAX(ROW(E6022:E$2)*(E6023=E6022:E$2)))))</f>
        <v> </v>
      </c>
      <c r="J6023" s="26" t="str">
        <f>IF(OR(E6023="",E6023="!!!",F6023="NEW"),"",COUNTBLANK(OFFSET(A$1,,,SUMPRODUCT(MAX(ROW(E$2:E6023)*(E6023=E$2:E6023)))))-COUNTBLANK(OFFSET(A$1,,,SUMPRODUCT(MAX(ROW(E$1:E6022)*(E2=E$1:E6022))))))</f>
        <v> </v>
      </c>
      <c r="K6023" s="26" t="str">
        <f>IF(OR(E6023="",E6023="!!!",F6023="NEW"),"",INDEX(J$1:J6022,SUMPRODUCT(MAX(ROW(E$1:E6022)*(E6023=E$1:E6022)))))</f>
        <v> </v>
      </c>
      <c r="L6023" s="27"/>
    </row>
    <row r="6024" spans="1:12">
      <c r="A6024" s="20"/>
    </row>
    <row r="6025" spans="1:12">
      <c r="A6025" s="20" t="s">
        <v>2599</v>
      </c>
    </row>
    <row r="6026" spans="1:12">
      <c r="A6026" s="20" t="s">
        <v>2600</v>
      </c>
      <c r="E6026" s="22">
        <f>IF(D6026="?OLD","!!!","")</f>
        <v/>
      </c>
      <c r="F6026" s="23" t="str">
        <f>IF(OR(E6026="",E6026="!!!"),"",IF(NOT(ISNA(VLOOKUP(E6026,E$1:E6025,1,FALSE()))),"OLD",IF(AND(E6026&lt;&gt;"",E6026&lt;&gt;"!!!"),"NEW","")))</f>
        <v> </v>
      </c>
      <c r="G6026" s="24" t="str">
        <f>IF(OR(E6026="",E6026="!!!"),"",IF(OR(J6026=0,AND(J6026=1,K6026=1),AND(J6026=1,I6026="SBJ"),AND(J6026=1,I6026=0)),"?IN_FOCUS",IF(J6026&lt;=2,"?ACTIVATED",IF(J6026&lt;&gt;"","?FAMILIAR",IF(F6026="NEW",IF(ISNA(VLOOKUP(E6026,#REF!,1,FALSE())),"?TYPE_IDENTIFIABLE","?REFERENTIAL"),"_")))))</f>
        <v> </v>
      </c>
      <c r="H6026" s="25" t="str">
        <f>IF(J6026&lt;&gt;1,"",IF(I6026="SBJ","CB","?"))</f>
        <v> </v>
      </c>
      <c r="I6026" s="26" t="str">
        <f>IF(OR(E6026="",E6026="!!!",F6026="NEW"),"",INDEX(B6025:B$2,-1+SUMPRODUCT(MAX(ROW(E6025:E$2)*(E6026=E6025:E$2)))))</f>
        <v> </v>
      </c>
      <c r="J6026" s="26" t="str">
        <f>IF(OR(E6026="",E6026="!!!",F6026="NEW"),"",COUNTBLANK(OFFSET(A$1,,,SUMPRODUCT(MAX(ROW(E$2:E6026)*(E6026=E$2:E6026)))))-COUNTBLANK(OFFSET(A$1,,,SUMPRODUCT(MAX(ROW(E$1:E6025)*(E2=E$1:E6025))))))</f>
        <v> </v>
      </c>
      <c r="K6026" s="26" t="str">
        <f>IF(OR(E6026="",E6026="!!!",F6026="NEW"),"",INDEX(J$1:J6025,SUMPRODUCT(MAX(ROW(E$1:E6025)*(E6026=E$1:E6025)))))</f>
        <v> </v>
      </c>
      <c r="L6026" s="27"/>
    </row>
    <row r="6027" spans="1:12">
      <c r="A6027" s="20" t="s">
        <v>1669</v>
      </c>
      <c r="B6027" s="21" t="s">
        <v>1005</v>
      </c>
      <c r="C6027" s="21" t="s">
        <v>1082</v>
      </c>
      <c r="D6027" s="21" t="s">
        <v>1007</v>
      </c>
      <c r="E6027" s="22">
        <f>IF(D6027="?OLD","!!!","")</f>
        <v/>
      </c>
      <c r="F6027" s="23" t="str">
        <f>IF(OR(E6027="",E6027="!!!"),"",IF(NOT(ISNA(VLOOKUP(E6027,E$1:E6026,1,FALSE()))),"OLD",IF(AND(E6027&lt;&gt;"",E6027&lt;&gt;"!!!"),"NEW","")))</f>
        <v> </v>
      </c>
      <c r="G6027" s="24" t="str">
        <f>IF(OR(E6027="",E6027="!!!"),"",IF(OR(J6027=0,AND(J6027=1,K6027=1),AND(J6027=1,I6027="SBJ"),AND(J6027=1,I6027=0)),"?IN_FOCUS",IF(J6027&lt;=2,"?ACTIVATED",IF(J6027&lt;&gt;"","?FAMILIAR",IF(F6027="NEW",IF(ISNA(VLOOKUP(E6027,#REF!,1,FALSE())),"?TYPE_IDENTIFIABLE","?REFERENTIAL"),"_")))))</f>
        <v> </v>
      </c>
      <c r="H6027" s="25" t="str">
        <f>IF(J6027&lt;&gt;1,"",IF(I6027="SBJ","CB","?"))</f>
        <v> </v>
      </c>
      <c r="I6027" s="26" t="str">
        <f>IF(OR(E6027="",E6027="!!!",F6027="NEW"),"",INDEX(B6026:B$2,-1+SUMPRODUCT(MAX(ROW(E6026:E$2)*(E6027=E6026:E$2)))))</f>
        <v> </v>
      </c>
      <c r="J6027" s="26" t="str">
        <f>IF(OR(E6027="",E6027="!!!",F6027="NEW"),"",COUNTBLANK(OFFSET(A$1,,,SUMPRODUCT(MAX(ROW(E$2:E6027)*(E6027=E$2:E6027)))))-COUNTBLANK(OFFSET(A$1,,,SUMPRODUCT(MAX(ROW(E$1:E6026)*(E2=E$1:E6026))))))</f>
        <v> </v>
      </c>
      <c r="K6027" s="26" t="str">
        <f>IF(OR(E6027="",E6027="!!!",F6027="NEW"),"",INDEX(J$1:J6026,SUMPRODUCT(MAX(ROW(E$1:E6026)*(E6027=E$1:E6026)))))</f>
        <v> </v>
      </c>
      <c r="L6027" s="27"/>
    </row>
    <row r="6028" spans="1:12">
      <c r="A6028" s="20" t="s">
        <v>1018</v>
      </c>
      <c r="E6028" s="22">
        <f>IF(D6028="?OLD","!!!","")</f>
        <v/>
      </c>
      <c r="F6028" s="23" t="str">
        <f>IF(OR(E6028="",E6028="!!!"),"",IF(NOT(ISNA(VLOOKUP(E6028,E$1:E6027,1,FALSE()))),"OLD",IF(AND(E6028&lt;&gt;"",E6028&lt;&gt;"!!!"),"NEW","")))</f>
        <v> </v>
      </c>
      <c r="G6028" s="24" t="str">
        <f>IF(OR(E6028="",E6028="!!!"),"",IF(OR(J6028=0,AND(J6028=1,K6028=1),AND(J6028=1,I6028="SBJ"),AND(J6028=1,I6028=0)),"?IN_FOCUS",IF(J6028&lt;=2,"?ACTIVATED",IF(J6028&lt;&gt;"","?FAMILIAR",IF(F6028="NEW",IF(ISNA(VLOOKUP(E6028,#REF!,1,FALSE())),"?TYPE_IDENTIFIABLE","?REFERENTIAL"),"_")))))</f>
        <v> </v>
      </c>
      <c r="H6028" s="25" t="str">
        <f>IF(J6028&lt;&gt;1,"",IF(I6028="SBJ","CB","?"))</f>
        <v> </v>
      </c>
      <c r="I6028" s="26" t="str">
        <f>IF(OR(E6028="",E6028="!!!",F6028="NEW"),"",INDEX(B6027:B$2,-1+SUMPRODUCT(MAX(ROW(E6027:E$2)*(E6028=E6027:E$2)))))</f>
        <v> </v>
      </c>
      <c r="J6028" s="26" t="str">
        <f>IF(OR(E6028="",E6028="!!!",F6028="NEW"),"",COUNTBLANK(OFFSET(A$1,,,SUMPRODUCT(MAX(ROW(E$2:E6028)*(E6028=E$2:E6028)))))-COUNTBLANK(OFFSET(A$1,,,SUMPRODUCT(MAX(ROW(E$1:E6027)*(E2=E$1:E6027))))))</f>
        <v> </v>
      </c>
      <c r="K6028" s="26" t="str">
        <f>IF(OR(E6028="",E6028="!!!",F6028="NEW"),"",INDEX(J$1:J6027,SUMPRODUCT(MAX(ROW(E$1:E6027)*(E6028=E$1:E6027)))))</f>
        <v> </v>
      </c>
      <c r="L6028" s="27"/>
    </row>
    <row r="6029" spans="1:12">
      <c r="A6029" s="20" t="s">
        <v>1036</v>
      </c>
      <c r="E6029" s="22">
        <f>IF(D6029="?OLD","!!!","")</f>
        <v/>
      </c>
      <c r="F6029" s="23" t="str">
        <f>IF(OR(E6029="",E6029="!!!"),"",IF(NOT(ISNA(VLOOKUP(E6029,E$1:E6028,1,FALSE()))),"OLD",IF(AND(E6029&lt;&gt;"",E6029&lt;&gt;"!!!"),"NEW","")))</f>
        <v> </v>
      </c>
      <c r="G6029" s="24" t="str">
        <f>IF(OR(E6029="",E6029="!!!"),"",IF(OR(J6029=0,AND(J6029=1,K6029=1),AND(J6029=1,I6029="SBJ"),AND(J6029=1,I6029=0)),"?IN_FOCUS",IF(J6029&lt;=2,"?ACTIVATED",IF(J6029&lt;&gt;"","?FAMILIAR",IF(F6029="NEW",IF(ISNA(VLOOKUP(E6029,#REF!,1,FALSE())),"?TYPE_IDENTIFIABLE","?REFERENTIAL"),"_")))))</f>
        <v> </v>
      </c>
      <c r="H6029" s="25" t="str">
        <f>IF(J6029&lt;&gt;1,"",IF(I6029="SBJ","CB","?"))</f>
        <v> </v>
      </c>
      <c r="I6029" s="26" t="str">
        <f>IF(OR(E6029="",E6029="!!!",F6029="NEW"),"",INDEX(B6028:B$2,-1+SUMPRODUCT(MAX(ROW(E6028:E$2)*(E6029=E6028:E$2)))))</f>
        <v> </v>
      </c>
      <c r="J6029" s="26" t="str">
        <f>IF(OR(E6029="",E6029="!!!",F6029="NEW"),"",COUNTBLANK(OFFSET(A$1,,,SUMPRODUCT(MAX(ROW(E$2:E6029)*(E6029=E$2:E6029)))))-COUNTBLANK(OFFSET(A$1,,,SUMPRODUCT(MAX(ROW(E$1:E6028)*(E2=E$1:E6028))))))</f>
        <v> </v>
      </c>
      <c r="K6029" s="26" t="str">
        <f>IF(OR(E6029="",E6029="!!!",F6029="NEW"),"",INDEX(J$1:J6028,SUMPRODUCT(MAX(ROW(E$1:E6028)*(E6029=E$1:E6028)))))</f>
        <v> </v>
      </c>
      <c r="L6029" s="27"/>
    </row>
    <row r="6030" spans="1:12">
      <c r="A6030" s="20" t="s">
        <v>102</v>
      </c>
      <c r="E6030" s="22">
        <f>IF(D6030="?OLD","!!!","")</f>
        <v/>
      </c>
      <c r="F6030" s="23" t="str">
        <f>IF(OR(E6030="",E6030="!!!"),"",IF(NOT(ISNA(VLOOKUP(E6030,E$1:E6029,1,FALSE()))),"OLD",IF(AND(E6030&lt;&gt;"",E6030&lt;&gt;"!!!"),"NEW","")))</f>
        <v> </v>
      </c>
      <c r="G6030" s="24" t="str">
        <f>IF(OR(E6030="",E6030="!!!"),"",IF(OR(J6030=0,AND(J6030=1,K6030=1),AND(J6030=1,I6030="SBJ"),AND(J6030=1,I6030=0)),"?IN_FOCUS",IF(J6030&lt;=2,"?ACTIVATED",IF(J6030&lt;&gt;"","?FAMILIAR",IF(F6030="NEW",IF(ISNA(VLOOKUP(E6030,#REF!,1,FALSE())),"?TYPE_IDENTIFIABLE","?REFERENTIAL"),"_")))))</f>
        <v> </v>
      </c>
      <c r="H6030" s="25" t="str">
        <f>IF(J6030&lt;&gt;1,"",IF(I6030="SBJ","CB","?"))</f>
        <v> </v>
      </c>
      <c r="I6030" s="26" t="str">
        <f>IF(OR(E6030="",E6030="!!!",F6030="NEW"),"",INDEX(B6029:B$2,-1+SUMPRODUCT(MAX(ROW(E6029:E$2)*(E6030=E6029:E$2)))))</f>
        <v> </v>
      </c>
      <c r="J6030" s="26" t="str">
        <f>IF(OR(E6030="",E6030="!!!",F6030="NEW"),"",COUNTBLANK(OFFSET(A$1,,,SUMPRODUCT(MAX(ROW(E$2:E6030)*(E6030=E$2:E6030)))))-COUNTBLANK(OFFSET(A$1,,,SUMPRODUCT(MAX(ROW(E$1:E6029)*(E2=E$1:E6029))))))</f>
        <v> </v>
      </c>
      <c r="K6030" s="26" t="str">
        <f>IF(OR(E6030="",E6030="!!!",F6030="NEW"),"",INDEX(J$1:J6029,SUMPRODUCT(MAX(ROW(E$1:E6029)*(E6030=E$1:E6029)))))</f>
        <v> </v>
      </c>
      <c r="L6030" s="27"/>
    </row>
    <row r="6031" spans="1:12">
      <c r="A6031" s="20" t="s">
        <v>70</v>
      </c>
      <c r="B6031" s="21" t="s">
        <v>1005</v>
      </c>
      <c r="C6031" s="21" t="s">
        <v>1013</v>
      </c>
      <c r="D6031" s="21" t="s">
        <v>1007</v>
      </c>
      <c r="E6031" s="22">
        <f>IF(D6031="?OLD","!!!","")</f>
        <v/>
      </c>
      <c r="F6031" s="23" t="str">
        <f>IF(OR(E6031="",E6031="!!!"),"",IF(NOT(ISNA(VLOOKUP(E6031,E$1:E6030,1,FALSE()))),"OLD",IF(AND(E6031&lt;&gt;"",E6031&lt;&gt;"!!!"),"NEW","")))</f>
        <v> </v>
      </c>
      <c r="G6031" s="24" t="str">
        <f>IF(OR(E6031="",E6031="!!!"),"",IF(OR(J6031=0,AND(J6031=1,K6031=1),AND(J6031=1,I6031="SBJ"),AND(J6031=1,I6031=0)),"?IN_FOCUS",IF(J6031&lt;=2,"?ACTIVATED",IF(J6031&lt;&gt;"","?FAMILIAR",IF(F6031="NEW",IF(ISNA(VLOOKUP(E6031,#REF!,1,FALSE())),"?TYPE_IDENTIFIABLE","?REFERENTIAL"),"_")))))</f>
        <v> </v>
      </c>
      <c r="H6031" s="25" t="str">
        <f>IF(J6031&lt;&gt;1,"",IF(I6031="SBJ","CB","?"))</f>
        <v> </v>
      </c>
      <c r="I6031" s="26" t="str">
        <f>IF(OR(E6031="",E6031="!!!",F6031="NEW"),"",INDEX(B6030:B$2,-1+SUMPRODUCT(MAX(ROW(E6030:E$2)*(E6031=E6030:E$2)))))</f>
        <v> </v>
      </c>
      <c r="J6031" s="26" t="str">
        <f>IF(OR(E6031="",E6031="!!!",F6031="NEW"),"",COUNTBLANK(OFFSET(A$1,,,SUMPRODUCT(MAX(ROW(E$2:E6031)*(E6031=E$2:E6031)))))-COUNTBLANK(OFFSET(A$1,,,SUMPRODUCT(MAX(ROW(E$1:E6030)*(E2=E$1:E6030))))))</f>
        <v> </v>
      </c>
      <c r="K6031" s="26" t="str">
        <f>IF(OR(E6031="",E6031="!!!",F6031="NEW"),"",INDEX(J$1:J6030,SUMPRODUCT(MAX(ROW(E$1:E6030)*(E6031=E$1:E6030)))))</f>
        <v> </v>
      </c>
      <c r="L6031" s="27"/>
    </row>
    <row r="6032" spans="1:12">
      <c r="A6032" s="20" t="s">
        <v>1014</v>
      </c>
      <c r="E6032" s="22">
        <f>IF(D6032="?OLD","!!!","")</f>
        <v/>
      </c>
      <c r="F6032" s="23" t="str">
        <f>IF(OR(E6032="",E6032="!!!"),"",IF(NOT(ISNA(VLOOKUP(E6032,E$1:E6031,1,FALSE()))),"OLD",IF(AND(E6032&lt;&gt;"",E6032&lt;&gt;"!!!"),"NEW","")))</f>
        <v> </v>
      </c>
      <c r="G6032" s="24" t="str">
        <f>IF(OR(E6032="",E6032="!!!"),"",IF(OR(J6032=0,AND(J6032=1,K6032=1),AND(J6032=1,I6032="SBJ"),AND(J6032=1,I6032=0)),"?IN_FOCUS",IF(J6032&lt;=2,"?ACTIVATED",IF(J6032&lt;&gt;"","?FAMILIAR",IF(F6032="NEW",IF(ISNA(VLOOKUP(E6032,#REF!,1,FALSE())),"?TYPE_IDENTIFIABLE","?REFERENTIAL"),"_")))))</f>
        <v> </v>
      </c>
      <c r="H6032" s="25" t="str">
        <f>IF(J6032&lt;&gt;1,"",IF(I6032="SBJ","CB","?"))</f>
        <v> </v>
      </c>
      <c r="I6032" s="26" t="str">
        <f>IF(OR(E6032="",E6032="!!!",F6032="NEW"),"",INDEX(B6031:B$2,-1+SUMPRODUCT(MAX(ROW(E6031:E$2)*(E6032=E6031:E$2)))))</f>
        <v> </v>
      </c>
      <c r="J6032" s="26" t="str">
        <f>IF(OR(E6032="",E6032="!!!",F6032="NEW"),"",COUNTBLANK(OFFSET(A$1,,,SUMPRODUCT(MAX(ROW(E$2:E6032)*(E6032=E$2:E6032)))))-COUNTBLANK(OFFSET(A$1,,,SUMPRODUCT(MAX(ROW(E$1:E6031)*(E2=E$1:E6031))))))</f>
        <v> </v>
      </c>
      <c r="K6032" s="26" t="str">
        <f>IF(OR(E6032="",E6032="!!!",F6032="NEW"),"",INDEX(J$1:J6031,SUMPRODUCT(MAX(ROW(E$1:E6031)*(E6032=E$1:E6031)))))</f>
        <v> </v>
      </c>
      <c r="L6032" s="27"/>
    </row>
    <row r="6033" spans="1:12">
      <c r="A6033" s="20" t="s">
        <v>1020</v>
      </c>
      <c r="E6033" s="22">
        <f>IF(D6033="?OLD","!!!","")</f>
        <v/>
      </c>
      <c r="F6033" s="23" t="str">
        <f>IF(OR(E6033="",E6033="!!!"),"",IF(NOT(ISNA(VLOOKUP(E6033,E$1:E6032,1,FALSE()))),"OLD",IF(AND(E6033&lt;&gt;"",E6033&lt;&gt;"!!!"),"NEW","")))</f>
        <v> </v>
      </c>
      <c r="G6033" s="24" t="str">
        <f>IF(OR(E6033="",E6033="!!!"),"",IF(OR(J6033=0,AND(J6033=1,K6033=1),AND(J6033=1,I6033="SBJ"),AND(J6033=1,I6033=0)),"?IN_FOCUS",IF(J6033&lt;=2,"?ACTIVATED",IF(J6033&lt;&gt;"","?FAMILIAR",IF(F6033="NEW",IF(ISNA(VLOOKUP(E6033,#REF!,1,FALSE())),"?TYPE_IDENTIFIABLE","?REFERENTIAL"),"_")))))</f>
        <v> </v>
      </c>
      <c r="H6033" s="25" t="str">
        <f>IF(J6033&lt;&gt;1,"",IF(I6033="SBJ","CB","?"))</f>
        <v> </v>
      </c>
      <c r="I6033" s="26" t="str">
        <f>IF(OR(E6033="",E6033="!!!",F6033="NEW"),"",INDEX(B6032:B$2,-1+SUMPRODUCT(MAX(ROW(E6032:E$2)*(E6033=E6032:E$2)))))</f>
        <v> </v>
      </c>
      <c r="J6033" s="26" t="str">
        <f>IF(OR(E6033="",E6033="!!!",F6033="NEW"),"",COUNTBLANK(OFFSET(A$1,,,SUMPRODUCT(MAX(ROW(E$2:E6033)*(E6033=E$2:E6033)))))-COUNTBLANK(OFFSET(A$1,,,SUMPRODUCT(MAX(ROW(E$1:E6032)*(E2=E$1:E6032))))))</f>
        <v> </v>
      </c>
      <c r="K6033" s="26" t="str">
        <f>IF(OR(E6033="",E6033="!!!",F6033="NEW"),"",INDEX(J$1:J6032,SUMPRODUCT(MAX(ROW(E$1:E6032)*(E6033=E$1:E6032)))))</f>
        <v> </v>
      </c>
      <c r="L6033" s="27"/>
    </row>
    <row r="6034" spans="1:12">
      <c r="A6034" s="20" t="s">
        <v>2462</v>
      </c>
      <c r="B6034" s="21" t="s">
        <v>1022</v>
      </c>
      <c r="C6034" s="21" t="s">
        <v>1017</v>
      </c>
      <c r="D6034" s="21" t="s">
        <v>1007</v>
      </c>
      <c r="E6034" s="22">
        <f>IF(D6034="?OLD","!!!","")</f>
        <v/>
      </c>
      <c r="F6034" s="23" t="str">
        <f>IF(OR(E6034="",E6034="!!!"),"",IF(NOT(ISNA(VLOOKUP(E6034,E$1:E6033,1,FALSE()))),"OLD",IF(AND(E6034&lt;&gt;"",E6034&lt;&gt;"!!!"),"NEW","")))</f>
        <v> </v>
      </c>
      <c r="G6034" s="24" t="str">
        <f>IF(OR(E6034="",E6034="!!!"),"",IF(OR(J6034=0,AND(J6034=1,K6034=1),AND(J6034=1,I6034="SBJ"),AND(J6034=1,I6034=0)),"?IN_FOCUS",IF(J6034&lt;=2,"?ACTIVATED",IF(J6034&lt;&gt;"","?FAMILIAR",IF(F6034="NEW",IF(ISNA(VLOOKUP(E6034,#REF!,1,FALSE())),"?TYPE_IDENTIFIABLE","?REFERENTIAL"),"_")))))</f>
        <v> </v>
      </c>
      <c r="H6034" s="25" t="str">
        <f>IF(J6034&lt;&gt;1,"",IF(I6034="SBJ","CB","?"))</f>
        <v> </v>
      </c>
      <c r="I6034" s="26" t="str">
        <f>IF(OR(E6034="",E6034="!!!",F6034="NEW"),"",INDEX(B6033:B$2,-1+SUMPRODUCT(MAX(ROW(E6033:E$2)*(E6034=E6033:E$2)))))</f>
        <v> </v>
      </c>
      <c r="J6034" s="26" t="str">
        <f>IF(OR(E6034="",E6034="!!!",F6034="NEW"),"",COUNTBLANK(OFFSET(A$1,,,SUMPRODUCT(MAX(ROW(E$2:E6034)*(E6034=E$2:E6034)))))-COUNTBLANK(OFFSET(A$1,,,SUMPRODUCT(MAX(ROW(E$1:E6033)*(E2=E$1:E6033))))))</f>
        <v> </v>
      </c>
      <c r="K6034" s="26" t="str">
        <f>IF(OR(E6034="",E6034="!!!",F6034="NEW"),"",INDEX(J$1:J6033,SUMPRODUCT(MAX(ROW(E$1:E6033)*(E6034=E$1:E6033)))))</f>
        <v> </v>
      </c>
      <c r="L6034" s="27"/>
    </row>
    <row r="6035" spans="1:12">
      <c r="A6035" s="20" t="s">
        <v>56</v>
      </c>
      <c r="E6035" s="22">
        <f>IF(D6035="?OLD","!!!","")</f>
        <v/>
      </c>
      <c r="F6035" s="23" t="str">
        <f>IF(OR(E6035="",E6035="!!!"),"",IF(NOT(ISNA(VLOOKUP(E6035,E$1:E6034,1,FALSE()))),"OLD",IF(AND(E6035&lt;&gt;"",E6035&lt;&gt;"!!!"),"NEW","")))</f>
        <v> </v>
      </c>
      <c r="G6035" s="24" t="str">
        <f>IF(OR(E6035="",E6035="!!!"),"",IF(OR(J6035=0,AND(J6035=1,K6035=1),AND(J6035=1,I6035="SBJ"),AND(J6035=1,I6035=0)),"?IN_FOCUS",IF(J6035&lt;=2,"?ACTIVATED",IF(J6035&lt;&gt;"","?FAMILIAR",IF(F6035="NEW",IF(ISNA(VLOOKUP(E6035,#REF!,1,FALSE())),"?TYPE_IDENTIFIABLE","?REFERENTIAL"),"_")))))</f>
        <v> </v>
      </c>
      <c r="H6035" s="25" t="str">
        <f>IF(J6035&lt;&gt;1,"",IF(I6035="SBJ","CB","?"))</f>
        <v> </v>
      </c>
      <c r="I6035" s="26" t="str">
        <f>IF(OR(E6035="",E6035="!!!",F6035="NEW"),"",INDEX(B6034:B$2,-1+SUMPRODUCT(MAX(ROW(E6034:E$2)*(E6035=E6034:E$2)))))</f>
        <v> </v>
      </c>
      <c r="J6035" s="26" t="str">
        <f>IF(OR(E6035="",E6035="!!!",F6035="NEW"),"",COUNTBLANK(OFFSET(A$1,,,SUMPRODUCT(MAX(ROW(E$2:E6035)*(E6035=E$2:E6035)))))-COUNTBLANK(OFFSET(A$1,,,SUMPRODUCT(MAX(ROW(E$1:E6034)*(E2=E$1:E6034))))))</f>
        <v> </v>
      </c>
      <c r="K6035" s="26" t="str">
        <f>IF(OR(E6035="",E6035="!!!",F6035="NEW"),"",INDEX(J$1:J6034,SUMPRODUCT(MAX(ROW(E$1:E6034)*(E6035=E$1:E6034)))))</f>
        <v> </v>
      </c>
      <c r="L6035" s="27"/>
    </row>
    <row r="6036" spans="1:12">
      <c r="A6036" s="20" t="s">
        <v>1014</v>
      </c>
      <c r="E6036" s="22">
        <f>IF(D6036="?OLD","!!!","")</f>
        <v/>
      </c>
      <c r="F6036" s="23" t="str">
        <f>IF(OR(E6036="",E6036="!!!"),"",IF(NOT(ISNA(VLOOKUP(E6036,E$1:E6035,1,FALSE()))),"OLD",IF(AND(E6036&lt;&gt;"",E6036&lt;&gt;"!!!"),"NEW","")))</f>
        <v> </v>
      </c>
      <c r="G6036" s="24" t="str">
        <f>IF(OR(E6036="",E6036="!!!"),"",IF(OR(J6036=0,AND(J6036=1,K6036=1),AND(J6036=1,I6036="SBJ"),AND(J6036=1,I6036=0)),"?IN_FOCUS",IF(J6036&lt;=2,"?ACTIVATED",IF(J6036&lt;&gt;"","?FAMILIAR",IF(F6036="NEW",IF(ISNA(VLOOKUP(E6036,#REF!,1,FALSE())),"?TYPE_IDENTIFIABLE","?REFERENTIAL"),"_")))))</f>
        <v> </v>
      </c>
      <c r="H6036" s="25" t="str">
        <f>IF(J6036&lt;&gt;1,"",IF(I6036="SBJ","CB","?"))</f>
        <v> </v>
      </c>
      <c r="I6036" s="26" t="str">
        <f>IF(OR(E6036="",E6036="!!!",F6036="NEW"),"",INDEX(B6035:B$2,-1+SUMPRODUCT(MAX(ROW(E6035:E$2)*(E6036=E6035:E$2)))))</f>
        <v> </v>
      </c>
      <c r="J6036" s="26" t="str">
        <f>IF(OR(E6036="",E6036="!!!",F6036="NEW"),"",COUNTBLANK(OFFSET(A$1,,,SUMPRODUCT(MAX(ROW(E$2:E6036)*(E6036=E$2:E6036)))))-COUNTBLANK(OFFSET(A$1,,,SUMPRODUCT(MAX(ROW(E$1:E6035)*(E2=E$1:E6035))))))</f>
        <v> </v>
      </c>
      <c r="K6036" s="26" t="str">
        <f>IF(OR(E6036="",E6036="!!!",F6036="NEW"),"",INDEX(J$1:J6035,SUMPRODUCT(MAX(ROW(E$1:E6035)*(E6036=E$1:E6035)))))</f>
        <v> </v>
      </c>
      <c r="L6036" s="27"/>
    </row>
    <row r="6037" spans="1:12">
      <c r="A6037" s="20" t="s">
        <v>1020</v>
      </c>
      <c r="E6037" s="22">
        <f>IF(D6037="?OLD","!!!","")</f>
        <v/>
      </c>
      <c r="F6037" s="23" t="str">
        <f>IF(OR(E6037="",E6037="!!!"),"",IF(NOT(ISNA(VLOOKUP(E6037,E$1:E6036,1,FALSE()))),"OLD",IF(AND(E6037&lt;&gt;"",E6037&lt;&gt;"!!!"),"NEW","")))</f>
        <v> </v>
      </c>
      <c r="G6037" s="24" t="str">
        <f>IF(OR(E6037="",E6037="!!!"),"",IF(OR(J6037=0,AND(J6037=1,K6037=1),AND(J6037=1,I6037="SBJ"),AND(J6037=1,I6037=0)),"?IN_FOCUS",IF(J6037&lt;=2,"?ACTIVATED",IF(J6037&lt;&gt;"","?FAMILIAR",IF(F6037="NEW",IF(ISNA(VLOOKUP(E6037,#REF!,1,FALSE())),"?TYPE_IDENTIFIABLE","?REFERENTIAL"),"_")))))</f>
        <v> </v>
      </c>
      <c r="H6037" s="25" t="str">
        <f>IF(J6037&lt;&gt;1,"",IF(I6037="SBJ","CB","?"))</f>
        <v> </v>
      </c>
      <c r="I6037" s="26" t="str">
        <f>IF(OR(E6037="",E6037="!!!",F6037="NEW"),"",INDEX(B6036:B$2,-1+SUMPRODUCT(MAX(ROW(E6036:E$2)*(E6037=E6036:E$2)))))</f>
        <v> </v>
      </c>
      <c r="J6037" s="26" t="str">
        <f>IF(OR(E6037="",E6037="!!!",F6037="NEW"),"",COUNTBLANK(OFFSET(A$1,,,SUMPRODUCT(MAX(ROW(E$2:E6037)*(E6037=E$2:E6037)))))-COUNTBLANK(OFFSET(A$1,,,SUMPRODUCT(MAX(ROW(E$1:E6036)*(E2=E$1:E6036))))))</f>
        <v> </v>
      </c>
      <c r="K6037" s="26" t="str">
        <f>IF(OR(E6037="",E6037="!!!",F6037="NEW"),"",INDEX(J$1:J6036,SUMPRODUCT(MAX(ROW(E$1:E6036)*(E6037=E$1:E6036)))))</f>
        <v> </v>
      </c>
      <c r="L6037" s="27"/>
    </row>
    <row r="6038" spans="1:12">
      <c r="A6038" s="20" t="s">
        <v>2601</v>
      </c>
      <c r="B6038" s="21" t="s">
        <v>1033</v>
      </c>
      <c r="C6038" s="21" t="s">
        <v>1017</v>
      </c>
      <c r="D6038" s="21" t="s">
        <v>1007</v>
      </c>
      <c r="E6038" s="22">
        <f>IF(D6038="?OLD","!!!","")</f>
        <v/>
      </c>
      <c r="F6038" s="23" t="str">
        <f>IF(OR(E6038="",E6038="!!!"),"",IF(NOT(ISNA(VLOOKUP(E6038,E$1:E6037,1,FALSE()))),"OLD",IF(AND(E6038&lt;&gt;"",E6038&lt;&gt;"!!!"),"NEW","")))</f>
        <v> </v>
      </c>
      <c r="G6038" s="24" t="str">
        <f>IF(OR(E6038="",E6038="!!!"),"",IF(OR(J6038=0,AND(J6038=1,K6038=1),AND(J6038=1,I6038="SBJ"),AND(J6038=1,I6038=0)),"?IN_FOCUS",IF(J6038&lt;=2,"?ACTIVATED",IF(J6038&lt;&gt;"","?FAMILIAR",IF(F6038="NEW",IF(ISNA(VLOOKUP(E6038,#REF!,1,FALSE())),"?TYPE_IDENTIFIABLE","?REFERENTIAL"),"_")))))</f>
        <v> </v>
      </c>
      <c r="H6038" s="25" t="str">
        <f>IF(J6038&lt;&gt;1,"",IF(I6038="SBJ","CB","?"))</f>
        <v> </v>
      </c>
      <c r="I6038" s="26" t="str">
        <f>IF(OR(E6038="",E6038="!!!",F6038="NEW"),"",INDEX(B6037:B$2,-1+SUMPRODUCT(MAX(ROW(E6037:E$2)*(E6038=E6037:E$2)))))</f>
        <v> </v>
      </c>
      <c r="J6038" s="26" t="str">
        <f>IF(OR(E6038="",E6038="!!!",F6038="NEW"),"",COUNTBLANK(OFFSET(A$1,,,SUMPRODUCT(MAX(ROW(E$2:E6038)*(E6038=E$2:E6038)))))-COUNTBLANK(OFFSET(A$1,,,SUMPRODUCT(MAX(ROW(E$1:E6037)*(E2=E$1:E6037))))))</f>
        <v> </v>
      </c>
      <c r="K6038" s="26" t="str">
        <f>IF(OR(E6038="",E6038="!!!",F6038="NEW"),"",INDEX(J$1:J6037,SUMPRODUCT(MAX(ROW(E$1:E6037)*(E6038=E$1:E6037)))))</f>
        <v> </v>
      </c>
      <c r="L6038" s="27"/>
    </row>
    <row r="6039" spans="1:12">
      <c r="A6039" s="20" t="s">
        <v>1018</v>
      </c>
      <c r="E6039" s="22">
        <f>IF(D6039="?OLD","!!!","")</f>
        <v/>
      </c>
      <c r="F6039" s="23" t="str">
        <f>IF(OR(E6039="",E6039="!!!"),"",IF(NOT(ISNA(VLOOKUP(E6039,E$1:E6038,1,FALSE()))),"OLD",IF(AND(E6039&lt;&gt;"",E6039&lt;&gt;"!!!"),"NEW","")))</f>
        <v> </v>
      </c>
      <c r="G6039" s="24" t="str">
        <f>IF(OR(E6039="",E6039="!!!"),"",IF(OR(J6039=0,AND(J6039=1,K6039=1),AND(J6039=1,I6039="SBJ"),AND(J6039=1,I6039=0)),"?IN_FOCUS",IF(J6039&lt;=2,"?ACTIVATED",IF(J6039&lt;&gt;"","?FAMILIAR",IF(F6039="NEW",IF(ISNA(VLOOKUP(E6039,#REF!,1,FALSE())),"?TYPE_IDENTIFIABLE","?REFERENTIAL"),"_")))))</f>
        <v> </v>
      </c>
      <c r="H6039" s="25" t="str">
        <f>IF(J6039&lt;&gt;1,"",IF(I6039="SBJ","CB","?"))</f>
        <v> </v>
      </c>
      <c r="I6039" s="26" t="str">
        <f>IF(OR(E6039="",E6039="!!!",F6039="NEW"),"",INDEX(B6038:B$2,-1+SUMPRODUCT(MAX(ROW(E6038:E$2)*(E6039=E6038:E$2)))))</f>
        <v> </v>
      </c>
      <c r="J6039" s="26" t="str">
        <f>IF(OR(E6039="",E6039="!!!",F6039="NEW"),"",COUNTBLANK(OFFSET(A$1,,,SUMPRODUCT(MAX(ROW(E$2:E6039)*(E6039=E$2:E6039)))))-COUNTBLANK(OFFSET(A$1,,,SUMPRODUCT(MAX(ROW(E$1:E6038)*(E2=E$1:E6038))))))</f>
        <v> </v>
      </c>
      <c r="K6039" s="26" t="str">
        <f>IF(OR(E6039="",E6039="!!!",F6039="NEW"),"",INDEX(J$1:J6038,SUMPRODUCT(MAX(ROW(E$1:E6038)*(E6039=E$1:E6038)))))</f>
        <v> </v>
      </c>
      <c r="L6039" s="27"/>
    </row>
    <row r="6040" spans="1:12">
      <c r="A6040" s="20" t="s">
        <v>1065</v>
      </c>
      <c r="B6040" s="21" t="s">
        <v>1263</v>
      </c>
      <c r="E6040" s="22">
        <f>IF(D6040="?OLD","!!!","")</f>
        <v/>
      </c>
      <c r="F6040" s="23" t="str">
        <f>IF(OR(E6040="",E6040="!!!"),"",IF(NOT(ISNA(VLOOKUP(E6040,E$1:E6039,1,FALSE()))),"OLD",IF(AND(E6040&lt;&gt;"",E6040&lt;&gt;"!!!"),"NEW","")))</f>
        <v> </v>
      </c>
      <c r="G6040" s="24" t="str">
        <f>IF(OR(E6040="",E6040="!!!"),"",IF(OR(J6040=0,AND(J6040=1,K6040=1),AND(J6040=1,I6040="SBJ"),AND(J6040=1,I6040=0)),"?IN_FOCUS",IF(J6040&lt;=2,"?ACTIVATED",IF(J6040&lt;&gt;"","?FAMILIAR",IF(F6040="NEW",IF(ISNA(VLOOKUP(E6040,#REF!,1,FALSE())),"?TYPE_IDENTIFIABLE","?REFERENTIAL"),"_")))))</f>
        <v> </v>
      </c>
      <c r="H6040" s="25" t="str">
        <f>IF(J6040&lt;&gt;1,"",IF(I6040="SBJ","CB","?"))</f>
        <v> </v>
      </c>
      <c r="I6040" s="26" t="str">
        <f>IF(OR(E6040="",E6040="!!!",F6040="NEW"),"",INDEX(B6039:B$2,-1+SUMPRODUCT(MAX(ROW(E6039:E$2)*(E6040=E6039:E$2)))))</f>
        <v> </v>
      </c>
      <c r="J6040" s="26" t="str">
        <f>IF(OR(E6040="",E6040="!!!",F6040="NEW"),"",COUNTBLANK(OFFSET(A$1,,,SUMPRODUCT(MAX(ROW(E$2:E6040)*(E6040=E$2:E6040)))))-COUNTBLANK(OFFSET(A$1,,,SUMPRODUCT(MAX(ROW(E$1:E6039)*(E2=E$1:E6039))))))</f>
        <v> </v>
      </c>
      <c r="K6040" s="26" t="str">
        <f>IF(OR(E6040="",E6040="!!!",F6040="NEW"),"",INDEX(J$1:J6039,SUMPRODUCT(MAX(ROW(E$1:E6039)*(E6040=E$1:E6039)))))</f>
        <v> </v>
      </c>
      <c r="L6040" s="27"/>
    </row>
    <row r="6041" spans="1:12">
      <c r="A6041" s="20" t="s">
        <v>1438</v>
      </c>
      <c r="E6041" s="22">
        <f>IF(D6041="?OLD","!!!","")</f>
        <v/>
      </c>
      <c r="F6041" s="23" t="str">
        <f>IF(OR(E6041="",E6041="!!!"),"",IF(NOT(ISNA(VLOOKUP(E6041,E$1:E6040,1,FALSE()))),"OLD",IF(AND(E6041&lt;&gt;"",E6041&lt;&gt;"!!!"),"NEW","")))</f>
        <v> </v>
      </c>
      <c r="G6041" s="24" t="str">
        <f>IF(OR(E6041="",E6041="!!!"),"",IF(OR(J6041=0,AND(J6041=1,K6041=1),AND(J6041=1,I6041="SBJ"),AND(J6041=1,I6041=0)),"?IN_FOCUS",IF(J6041&lt;=2,"?ACTIVATED",IF(J6041&lt;&gt;"","?FAMILIAR",IF(F6041="NEW",IF(ISNA(VLOOKUP(E6041,#REF!,1,FALSE())),"?TYPE_IDENTIFIABLE","?REFERENTIAL"),"_")))))</f>
        <v> </v>
      </c>
      <c r="H6041" s="25" t="str">
        <f>IF(J6041&lt;&gt;1,"",IF(I6041="SBJ","CB","?"))</f>
        <v> </v>
      </c>
      <c r="I6041" s="26" t="str">
        <f>IF(OR(E6041="",E6041="!!!",F6041="NEW"),"",INDEX(B6040:B$2,-1+SUMPRODUCT(MAX(ROW(E6040:E$2)*(E6041=E6040:E$2)))))</f>
        <v> </v>
      </c>
      <c r="J6041" s="26" t="str">
        <f>IF(OR(E6041="",E6041="!!!",F6041="NEW"),"",COUNTBLANK(OFFSET(A$1,,,SUMPRODUCT(MAX(ROW(E$2:E6041)*(E6041=E$2:E6041)))))-COUNTBLANK(OFFSET(A$1,,,SUMPRODUCT(MAX(ROW(E$1:E6040)*(E2=E$1:E6040))))))</f>
        <v> </v>
      </c>
      <c r="K6041" s="26" t="str">
        <f>IF(OR(E6041="",E6041="!!!",F6041="NEW"),"",INDEX(J$1:J6040,SUMPRODUCT(MAX(ROW(E$1:E6040)*(E6041=E$1:E6040)))))</f>
        <v> </v>
      </c>
      <c r="L6041" s="27"/>
    </row>
    <row r="6042" spans="1:12">
      <c r="A6042" s="20" t="s">
        <v>1020</v>
      </c>
      <c r="E6042" s="22">
        <f>IF(D6042="?OLD","!!!","")</f>
        <v/>
      </c>
      <c r="F6042" s="23" t="str">
        <f>IF(OR(E6042="",E6042="!!!"),"",IF(NOT(ISNA(VLOOKUP(E6042,E$1:E6041,1,FALSE()))),"OLD",IF(AND(E6042&lt;&gt;"",E6042&lt;&gt;"!!!"),"NEW","")))</f>
        <v> </v>
      </c>
      <c r="G6042" s="24" t="str">
        <f>IF(OR(E6042="",E6042="!!!"),"",IF(OR(J6042=0,AND(J6042=1,K6042=1),AND(J6042=1,I6042="SBJ"),AND(J6042=1,I6042=0)),"?IN_FOCUS",IF(J6042&lt;=2,"?ACTIVATED",IF(J6042&lt;&gt;"","?FAMILIAR",IF(F6042="NEW",IF(ISNA(VLOOKUP(E6042,#REF!,1,FALSE())),"?TYPE_IDENTIFIABLE","?REFERENTIAL"),"_")))))</f>
        <v> </v>
      </c>
      <c r="H6042" s="25" t="str">
        <f>IF(J6042&lt;&gt;1,"",IF(I6042="SBJ","CB","?"))</f>
        <v> </v>
      </c>
      <c r="I6042" s="26" t="str">
        <f>IF(OR(E6042="",E6042="!!!",F6042="NEW"),"",INDEX(B6041:B$2,-1+SUMPRODUCT(MAX(ROW(E6041:E$2)*(E6042=E6041:E$2)))))</f>
        <v> </v>
      </c>
      <c r="J6042" s="26" t="str">
        <f>IF(OR(E6042="",E6042="!!!",F6042="NEW"),"",COUNTBLANK(OFFSET(A$1,,,SUMPRODUCT(MAX(ROW(E$2:E6042)*(E6042=E$2:E6042)))))-COUNTBLANK(OFFSET(A$1,,,SUMPRODUCT(MAX(ROW(E$1:E6041)*(E2=E$1:E6041))))))</f>
        <v> </v>
      </c>
      <c r="K6042" s="26" t="str">
        <f>IF(OR(E6042="",E6042="!!!",F6042="NEW"),"",INDEX(J$1:J6041,SUMPRODUCT(MAX(ROW(E$1:E6041)*(E6042=E$1:E6041)))))</f>
        <v> </v>
      </c>
      <c r="L6042" s="27"/>
    </row>
    <row r="6043" spans="1:12">
      <c r="A6043" s="20" t="s">
        <v>2598</v>
      </c>
      <c r="E6043" s="22">
        <f>IF(D6043="?OLD","!!!","")</f>
        <v/>
      </c>
      <c r="F6043" s="23" t="str">
        <f>IF(OR(E6043="",E6043="!!!"),"",IF(NOT(ISNA(VLOOKUP(E6043,E$1:E6042,1,FALSE()))),"OLD",IF(AND(E6043&lt;&gt;"",E6043&lt;&gt;"!!!"),"NEW","")))</f>
        <v> </v>
      </c>
      <c r="G6043" s="24" t="str">
        <f>IF(OR(E6043="",E6043="!!!"),"",IF(OR(J6043=0,AND(J6043=1,K6043=1),AND(J6043=1,I6043="SBJ"),AND(J6043=1,I6043=0)),"?IN_FOCUS",IF(J6043&lt;=2,"?ACTIVATED",IF(J6043&lt;&gt;"","?FAMILIAR",IF(F6043="NEW",IF(ISNA(VLOOKUP(E6043,#REF!,1,FALSE())),"?TYPE_IDENTIFIABLE","?REFERENTIAL"),"_")))))</f>
        <v> </v>
      </c>
      <c r="H6043" s="25" t="str">
        <f>IF(J6043&lt;&gt;1,"",IF(I6043="SBJ","CB","?"))</f>
        <v> </v>
      </c>
      <c r="I6043" s="26" t="str">
        <f>IF(OR(E6043="",E6043="!!!",F6043="NEW"),"",INDEX(B6042:B$2,-1+SUMPRODUCT(MAX(ROW(E6042:E$2)*(E6043=E6042:E$2)))))</f>
        <v> </v>
      </c>
      <c r="J6043" s="26" t="str">
        <f>IF(OR(E6043="",E6043="!!!",F6043="NEW"),"",COUNTBLANK(OFFSET(A$1,,,SUMPRODUCT(MAX(ROW(E$2:E6043)*(E6043=E$2:E6043)))))-COUNTBLANK(OFFSET(A$1,,,SUMPRODUCT(MAX(ROW(E$1:E6042)*(E2=E$1:E6042))))))</f>
        <v> </v>
      </c>
      <c r="K6043" s="26" t="str">
        <f>IF(OR(E6043="",E6043="!!!",F6043="NEW"),"",INDEX(J$1:J6042,SUMPRODUCT(MAX(ROW(E$1:E6042)*(E6043=E$1:E6042)))))</f>
        <v> </v>
      </c>
      <c r="L6043" s="27"/>
    </row>
    <row r="6044" spans="1:12">
      <c r="A6044" s="20" t="s">
        <v>102</v>
      </c>
      <c r="E6044" s="22">
        <f>IF(D6044="?OLD","!!!","")</f>
        <v/>
      </c>
      <c r="F6044" s="23" t="str">
        <f>IF(OR(E6044="",E6044="!!!"),"",IF(NOT(ISNA(VLOOKUP(E6044,E$1:E6043,1,FALSE()))),"OLD",IF(AND(E6044&lt;&gt;"",E6044&lt;&gt;"!!!"),"NEW","")))</f>
        <v> </v>
      </c>
      <c r="G6044" s="24" t="str">
        <f>IF(OR(E6044="",E6044="!!!"),"",IF(OR(J6044=0,AND(J6044=1,K6044=1),AND(J6044=1,I6044="SBJ"),AND(J6044=1,I6044=0)),"?IN_FOCUS",IF(J6044&lt;=2,"?ACTIVATED",IF(J6044&lt;&gt;"","?FAMILIAR",IF(F6044="NEW",IF(ISNA(VLOOKUP(E6044,#REF!,1,FALSE())),"?TYPE_IDENTIFIABLE","?REFERENTIAL"),"_")))))</f>
        <v> </v>
      </c>
      <c r="H6044" s="25" t="str">
        <f>IF(J6044&lt;&gt;1,"",IF(I6044="SBJ","CB","?"))</f>
        <v> </v>
      </c>
      <c r="I6044" s="26" t="str">
        <f>IF(OR(E6044="",E6044="!!!",F6044="NEW"),"",INDEX(B6043:B$2,-1+SUMPRODUCT(MAX(ROW(E6043:E$2)*(E6044=E6043:E$2)))))</f>
        <v> </v>
      </c>
      <c r="J6044" s="26" t="str">
        <f>IF(OR(E6044="",E6044="!!!",F6044="NEW"),"",COUNTBLANK(OFFSET(A$1,,,SUMPRODUCT(MAX(ROW(E$2:E6044)*(E6044=E$2:E6044)))))-COUNTBLANK(OFFSET(A$1,,,SUMPRODUCT(MAX(ROW(E$1:E6043)*(E2=E$1:E6043))))))</f>
        <v> </v>
      </c>
      <c r="K6044" s="26" t="str">
        <f>IF(OR(E6044="",E6044="!!!",F6044="NEW"),"",INDEX(J$1:J6043,SUMPRODUCT(MAX(ROW(E$1:E6043)*(E6044=E$1:E6043)))))</f>
        <v> </v>
      </c>
      <c r="L6044" s="27"/>
    </row>
    <row r="6045" spans="1:12">
      <c r="A6045" s="20" t="s">
        <v>2596</v>
      </c>
      <c r="B6045" s="21" t="s">
        <v>1134</v>
      </c>
      <c r="C6045" s="21" t="s">
        <v>1006</v>
      </c>
      <c r="D6045" s="21" t="s">
        <v>1007</v>
      </c>
      <c r="E6045" s="22">
        <f>IF(D6045="?OLD","!!!","")</f>
        <v/>
      </c>
      <c r="F6045" s="23" t="str">
        <f>IF(OR(E6045="",E6045="!!!"),"",IF(NOT(ISNA(VLOOKUP(E6045,E$1:E6044,1,FALSE()))),"OLD",IF(AND(E6045&lt;&gt;"",E6045&lt;&gt;"!!!"),"NEW","")))</f>
        <v> </v>
      </c>
      <c r="G6045" s="24" t="str">
        <f>IF(OR(E6045="",E6045="!!!"),"",IF(OR(J6045=0,AND(J6045=1,K6045=1),AND(J6045=1,I6045="SBJ"),AND(J6045=1,I6045=0)),"?IN_FOCUS",IF(J6045&lt;=2,"?ACTIVATED",IF(J6045&lt;&gt;"","?FAMILIAR",IF(F6045="NEW",IF(ISNA(VLOOKUP(E6045,#REF!,1,FALSE())),"?TYPE_IDENTIFIABLE","?REFERENTIAL"),"_")))))</f>
        <v> </v>
      </c>
      <c r="H6045" s="25" t="str">
        <f>IF(J6045&lt;&gt;1,"",IF(I6045="SBJ","CB","?"))</f>
        <v> </v>
      </c>
      <c r="I6045" s="26" t="str">
        <f>IF(OR(E6045="",E6045="!!!",F6045="NEW"),"",INDEX(B6044:B$2,-1+SUMPRODUCT(MAX(ROW(E6044:E$2)*(E6045=E6044:E$2)))))</f>
        <v> </v>
      </c>
      <c r="J6045" s="26" t="str">
        <f>IF(OR(E6045="",E6045="!!!",F6045="NEW"),"",COUNTBLANK(OFFSET(A$1,,,SUMPRODUCT(MAX(ROW(E$2:E6045)*(E6045=E$2:E6045)))))-COUNTBLANK(OFFSET(A$1,,,SUMPRODUCT(MAX(ROW(E$1:E6044)*(E2=E$1:E6044))))))</f>
        <v> </v>
      </c>
      <c r="K6045" s="26" t="str">
        <f>IF(OR(E6045="",E6045="!!!",F6045="NEW"),"",INDEX(J$1:J6044,SUMPRODUCT(MAX(ROW(E$1:E6044)*(E6045=E$1:E6044)))))</f>
        <v> </v>
      </c>
      <c r="L6045" s="27"/>
    </row>
    <row r="6046" spans="1:12">
      <c r="A6046" s="20" t="s">
        <v>2597</v>
      </c>
      <c r="B6046" s="21" t="s">
        <v>1040</v>
      </c>
      <c r="C6046" s="21" t="s">
        <v>1006</v>
      </c>
      <c r="D6046" s="21" t="s">
        <v>1007</v>
      </c>
      <c r="E6046" s="22">
        <f>IF(D6046="?OLD","!!!","")</f>
        <v/>
      </c>
      <c r="F6046" s="23" t="str">
        <f>IF(OR(E6046="",E6046="!!!"),"",IF(NOT(ISNA(VLOOKUP(E6046,E$1:E6045,1,FALSE()))),"OLD",IF(AND(E6046&lt;&gt;"",E6046&lt;&gt;"!!!"),"NEW","")))</f>
        <v> </v>
      </c>
      <c r="G6046" s="24" t="str">
        <f>IF(OR(E6046="",E6046="!!!"),"",IF(OR(J6046=0,AND(J6046=1,K6046=1),AND(J6046=1,I6046="SBJ"),AND(J6046=1,I6046=0)),"?IN_FOCUS",IF(J6046&lt;=2,"?ACTIVATED",IF(J6046&lt;&gt;"","?FAMILIAR",IF(F6046="NEW",IF(ISNA(VLOOKUP(E6046,#REF!,1,FALSE())),"?TYPE_IDENTIFIABLE","?REFERENTIAL"),"_")))))</f>
        <v> </v>
      </c>
      <c r="H6046" s="25" t="str">
        <f>IF(J6046&lt;&gt;1,"",IF(I6046="SBJ","CB","?"))</f>
        <v> </v>
      </c>
      <c r="I6046" s="26" t="str">
        <f>IF(OR(E6046="",E6046="!!!",F6046="NEW"),"",INDEX(B6045:B$2,-1+SUMPRODUCT(MAX(ROW(E6045:E$2)*(E6046=E6045:E$2)))))</f>
        <v> </v>
      </c>
      <c r="J6046" s="26" t="str">
        <f>IF(OR(E6046="",E6046="!!!",F6046="NEW"),"",COUNTBLANK(OFFSET(A$1,,,SUMPRODUCT(MAX(ROW(E$2:E6046)*(E6046=E$2:E6046)))))-COUNTBLANK(OFFSET(A$1,,,SUMPRODUCT(MAX(ROW(E$1:E6045)*(E2=E$1:E6045))))))</f>
        <v> </v>
      </c>
      <c r="K6046" s="26" t="str">
        <f>IF(OR(E6046="",E6046="!!!",F6046="NEW"),"",INDEX(J$1:J6045,SUMPRODUCT(MAX(ROW(E$1:E6045)*(E6046=E$1:E6045)))))</f>
        <v> </v>
      </c>
      <c r="L6046" s="27"/>
    </row>
    <row r="6047" spans="1:12">
      <c r="A6047" s="20" t="s">
        <v>1023</v>
      </c>
      <c r="E6047" s="22">
        <f>IF(D6047="?OLD","!!!","")</f>
        <v/>
      </c>
      <c r="F6047" s="23" t="str">
        <f>IF(OR(E6047="",E6047="!!!"),"",IF(NOT(ISNA(VLOOKUP(E6047,E$1:E6046,1,FALSE()))),"OLD",IF(AND(E6047&lt;&gt;"",E6047&lt;&gt;"!!!"),"NEW","")))</f>
        <v> </v>
      </c>
      <c r="G6047" s="24" t="str">
        <f>IF(OR(E6047="",E6047="!!!"),"",IF(OR(J6047=0,AND(J6047=1,K6047=1),AND(J6047=1,I6047="SBJ"),AND(J6047=1,I6047=0)),"?IN_FOCUS",IF(J6047&lt;=2,"?ACTIVATED",IF(J6047&lt;&gt;"","?FAMILIAR",IF(F6047="NEW",IF(ISNA(VLOOKUP(E6047,#REF!,1,FALSE())),"?TYPE_IDENTIFIABLE","?REFERENTIAL"),"_")))))</f>
        <v> </v>
      </c>
      <c r="H6047" s="25" t="str">
        <f>IF(J6047&lt;&gt;1,"",IF(I6047="SBJ","CB","?"))</f>
        <v> </v>
      </c>
      <c r="I6047" s="26" t="str">
        <f>IF(OR(E6047="",E6047="!!!",F6047="NEW"),"",INDEX(B6046:B$2,-1+SUMPRODUCT(MAX(ROW(E6046:E$2)*(E6047=E6046:E$2)))))</f>
        <v> </v>
      </c>
      <c r="J6047" s="26" t="str">
        <f>IF(OR(E6047="",E6047="!!!",F6047="NEW"),"",COUNTBLANK(OFFSET(A$1,,,SUMPRODUCT(MAX(ROW(E$2:E6047)*(E6047=E$2:E6047)))))-COUNTBLANK(OFFSET(A$1,,,SUMPRODUCT(MAX(ROW(E$1:E6046)*(E2=E$1:E6046))))))</f>
        <v> </v>
      </c>
      <c r="K6047" s="26" t="str">
        <f>IF(OR(E6047="",E6047="!!!",F6047="NEW"),"",INDEX(J$1:J6046,SUMPRODUCT(MAX(ROW(E$1:E6046)*(E6047=E$1:E6046)))))</f>
        <v> </v>
      </c>
      <c r="L6047" s="27"/>
    </row>
    <row r="6048" spans="1:12">
      <c r="A6048" s="20"/>
    </row>
    <row r="6049" spans="1:12">
      <c r="A6049" s="20" t="s">
        <v>2602</v>
      </c>
    </row>
    <row r="6050" spans="1:12">
      <c r="A6050" s="20" t="s">
        <v>1879</v>
      </c>
      <c r="E6050" s="22">
        <f>IF(D6050="?OLD","!!!","")</f>
        <v/>
      </c>
      <c r="F6050" s="23" t="str">
        <f>IF(OR(E6050="",E6050="!!!"),"",IF(NOT(ISNA(VLOOKUP(E6050,E$1:E6049,1,FALSE()))),"OLD",IF(AND(E6050&lt;&gt;"",E6050&lt;&gt;"!!!"),"NEW","")))</f>
        <v> </v>
      </c>
      <c r="G6050" s="24" t="str">
        <f>IF(OR(E6050="",E6050="!!!"),"",IF(OR(J6050=0,AND(J6050=1,K6050=1),AND(J6050=1,I6050="SBJ"),AND(J6050=1,I6050=0)),"?IN_FOCUS",IF(J6050&lt;=2,"?ACTIVATED",IF(J6050&lt;&gt;"","?FAMILIAR",IF(F6050="NEW",IF(ISNA(VLOOKUP(E6050,#REF!,1,FALSE())),"?TYPE_IDENTIFIABLE","?REFERENTIAL"),"_")))))</f>
        <v> </v>
      </c>
      <c r="H6050" s="25" t="str">
        <f>IF(J6050&lt;&gt;1,"",IF(I6050="SBJ","CB","?"))</f>
        <v> </v>
      </c>
      <c r="I6050" s="26" t="str">
        <f>IF(OR(E6050="",E6050="!!!",F6050="NEW"),"",INDEX(B6049:B$2,-1+SUMPRODUCT(MAX(ROW(E6049:E$2)*(E6050=E6049:E$2)))))</f>
        <v> </v>
      </c>
      <c r="J6050" s="26" t="str">
        <f>IF(OR(E6050="",E6050="!!!",F6050="NEW"),"",COUNTBLANK(OFFSET(A$1,,,SUMPRODUCT(MAX(ROW(E$2:E6050)*(E6050=E$2:E6050)))))-COUNTBLANK(OFFSET(A$1,,,SUMPRODUCT(MAX(ROW(E$1:E6049)*(E2=E$1:E6049))))))</f>
        <v> </v>
      </c>
      <c r="K6050" s="26" t="str">
        <f>IF(OR(E6050="",E6050="!!!",F6050="NEW"),"",INDEX(J$1:J6049,SUMPRODUCT(MAX(ROW(E$1:E6049)*(E6050=E$1:E6049)))))</f>
        <v> </v>
      </c>
      <c r="L6050" s="27"/>
    </row>
    <row r="6051" spans="1:12">
      <c r="A6051" s="20" t="s">
        <v>1803</v>
      </c>
      <c r="B6051" s="21" t="s">
        <v>1022</v>
      </c>
      <c r="C6051" s="21" t="s">
        <v>1059</v>
      </c>
      <c r="D6051" s="21" t="s">
        <v>1007</v>
      </c>
      <c r="E6051" s="22">
        <f>IF(D6051="?OLD","!!!","")</f>
        <v/>
      </c>
      <c r="F6051" s="23" t="str">
        <f>IF(OR(E6051="",E6051="!!!"),"",IF(NOT(ISNA(VLOOKUP(E6051,E$1:E6050,1,FALSE()))),"OLD",IF(AND(E6051&lt;&gt;"",E6051&lt;&gt;"!!!"),"NEW","")))</f>
        <v> </v>
      </c>
      <c r="G6051" s="24" t="str">
        <f>IF(OR(E6051="",E6051="!!!"),"",IF(OR(J6051=0,AND(J6051=1,K6051=1),AND(J6051=1,I6051="SBJ"),AND(J6051=1,I6051=0)),"?IN_FOCUS",IF(J6051&lt;=2,"?ACTIVATED",IF(J6051&lt;&gt;"","?FAMILIAR",IF(F6051="NEW",IF(ISNA(VLOOKUP(E6051,#REF!,1,FALSE())),"?TYPE_IDENTIFIABLE","?REFERENTIAL"),"_")))))</f>
        <v> </v>
      </c>
      <c r="H6051" s="25" t="str">
        <f>IF(J6051&lt;&gt;1,"",IF(I6051="SBJ","CB","?"))</f>
        <v> </v>
      </c>
      <c r="I6051" s="26" t="str">
        <f>IF(OR(E6051="",E6051="!!!",F6051="NEW"),"",INDEX(B6050:B$2,-1+SUMPRODUCT(MAX(ROW(E6050:E$2)*(E6051=E6050:E$2)))))</f>
        <v> </v>
      </c>
      <c r="J6051" s="26" t="str">
        <f>IF(OR(E6051="",E6051="!!!",F6051="NEW"),"",COUNTBLANK(OFFSET(A$1,,,SUMPRODUCT(MAX(ROW(E$2:E6051)*(E6051=E$2:E6051)))))-COUNTBLANK(OFFSET(A$1,,,SUMPRODUCT(MAX(ROW(E$1:E6050)*(E2=E$1:E6050))))))</f>
        <v> </v>
      </c>
      <c r="K6051" s="26" t="str">
        <f>IF(OR(E6051="",E6051="!!!",F6051="NEW"),"",INDEX(J$1:J6050,SUMPRODUCT(MAX(ROW(E$1:E6050)*(E6051=E$1:E6050)))))</f>
        <v> </v>
      </c>
      <c r="L6051" s="27"/>
    </row>
    <row r="6052" spans="1:12">
      <c r="A6052" s="20" t="s">
        <v>1039</v>
      </c>
      <c r="B6052" s="21" t="s">
        <v>1050</v>
      </c>
      <c r="C6052" s="21" t="s">
        <v>1017</v>
      </c>
      <c r="D6052" s="21" t="s">
        <v>1007</v>
      </c>
      <c r="E6052" s="22">
        <f>IF(D6052="?OLD","!!!","")</f>
        <v/>
      </c>
      <c r="F6052" s="23" t="str">
        <f>IF(OR(E6052="",E6052="!!!"),"",IF(NOT(ISNA(VLOOKUP(E6052,E$1:E6051,1,FALSE()))),"OLD",IF(AND(E6052&lt;&gt;"",E6052&lt;&gt;"!!!"),"NEW","")))</f>
        <v> </v>
      </c>
      <c r="G6052" s="24" t="str">
        <f>IF(OR(E6052="",E6052="!!!"),"",IF(OR(J6052=0,AND(J6052=1,K6052=1),AND(J6052=1,I6052="SBJ"),AND(J6052=1,I6052=0)),"?IN_FOCUS",IF(J6052&lt;=2,"?ACTIVATED",IF(J6052&lt;&gt;"","?FAMILIAR",IF(F6052="NEW",IF(ISNA(VLOOKUP(E6052,#REF!,1,FALSE())),"?TYPE_IDENTIFIABLE","?REFERENTIAL"),"_")))))</f>
        <v> </v>
      </c>
      <c r="H6052" s="25" t="str">
        <f>IF(J6052&lt;&gt;1,"",IF(I6052="SBJ","CB","?"))</f>
        <v> </v>
      </c>
      <c r="I6052" s="26" t="str">
        <f>IF(OR(E6052="",E6052="!!!",F6052="NEW"),"",INDEX(B6051:B$2,-1+SUMPRODUCT(MAX(ROW(E6051:E$2)*(E6052=E6051:E$2)))))</f>
        <v> </v>
      </c>
      <c r="J6052" s="26" t="str">
        <f>IF(OR(E6052="",E6052="!!!",F6052="NEW"),"",COUNTBLANK(OFFSET(A$1,,,SUMPRODUCT(MAX(ROW(E$2:E6052)*(E6052=E$2:E6052)))))-COUNTBLANK(OFFSET(A$1,,,SUMPRODUCT(MAX(ROW(E$1:E6051)*(E2=E$1:E6051))))))</f>
        <v> </v>
      </c>
      <c r="K6052" s="26" t="str">
        <f>IF(OR(E6052="",E6052="!!!",F6052="NEW"),"",INDEX(J$1:J6051,SUMPRODUCT(MAX(ROW(E$1:E6051)*(E6052=E$1:E6051)))))</f>
        <v> </v>
      </c>
      <c r="L6052" s="27"/>
    </row>
    <row r="6053" spans="1:12">
      <c r="A6053" s="20" t="s">
        <v>1361</v>
      </c>
      <c r="E6053" s="22">
        <f>IF(D6053="?OLD","!!!","")</f>
        <v/>
      </c>
      <c r="F6053" s="23" t="str">
        <f>IF(OR(E6053="",E6053="!!!"),"",IF(NOT(ISNA(VLOOKUP(E6053,E$1:E6052,1,FALSE()))),"OLD",IF(AND(E6053&lt;&gt;"",E6053&lt;&gt;"!!!"),"NEW","")))</f>
        <v> </v>
      </c>
      <c r="G6053" s="24" t="str">
        <f>IF(OR(E6053="",E6053="!!!"),"",IF(OR(J6053=0,AND(J6053=1,K6053=1),AND(J6053=1,I6053="SBJ"),AND(J6053=1,I6053=0)),"?IN_FOCUS",IF(J6053&lt;=2,"?ACTIVATED",IF(J6053&lt;&gt;"","?FAMILIAR",IF(F6053="NEW",IF(ISNA(VLOOKUP(E6053,#REF!,1,FALSE())),"?TYPE_IDENTIFIABLE","?REFERENTIAL"),"_")))))</f>
        <v> </v>
      </c>
      <c r="H6053" s="25" t="str">
        <f>IF(J6053&lt;&gt;1,"",IF(I6053="SBJ","CB","?"))</f>
        <v> </v>
      </c>
      <c r="I6053" s="26" t="str">
        <f>IF(OR(E6053="",E6053="!!!",F6053="NEW"),"",INDEX(B6052:B$2,-1+SUMPRODUCT(MAX(ROW(E6052:E$2)*(E6053=E6052:E$2)))))</f>
        <v> </v>
      </c>
      <c r="J6053" s="26" t="str">
        <f>IF(OR(E6053="",E6053="!!!",F6053="NEW"),"",COUNTBLANK(OFFSET(A$1,,,SUMPRODUCT(MAX(ROW(E$2:E6053)*(E6053=E$2:E6053)))))-COUNTBLANK(OFFSET(A$1,,,SUMPRODUCT(MAX(ROW(E$1:E6052)*(E2=E$1:E6052))))))</f>
        <v> </v>
      </c>
      <c r="K6053" s="26" t="str">
        <f>IF(OR(E6053="",E6053="!!!",F6053="NEW"),"",INDEX(J$1:J6052,SUMPRODUCT(MAX(ROW(E$1:E6052)*(E6053=E$1:E6052)))))</f>
        <v> </v>
      </c>
      <c r="L6053" s="27"/>
    </row>
    <row r="6054" spans="1:12">
      <c r="A6054" s="20" t="s">
        <v>1132</v>
      </c>
      <c r="E6054" s="22">
        <f>IF(D6054="?OLD","!!!","")</f>
        <v/>
      </c>
      <c r="F6054" s="23" t="str">
        <f>IF(OR(E6054="",E6054="!!!"),"",IF(NOT(ISNA(VLOOKUP(E6054,E$1:E6053,1,FALSE()))),"OLD",IF(AND(E6054&lt;&gt;"",E6054&lt;&gt;"!!!"),"NEW","")))</f>
        <v> </v>
      </c>
      <c r="G6054" s="24" t="str">
        <f>IF(OR(E6054="",E6054="!!!"),"",IF(OR(J6054=0,AND(J6054=1,K6054=1),AND(J6054=1,I6054="SBJ"),AND(J6054=1,I6054=0)),"?IN_FOCUS",IF(J6054&lt;=2,"?ACTIVATED",IF(J6054&lt;&gt;"","?FAMILIAR",IF(F6054="NEW",IF(ISNA(VLOOKUP(E6054,#REF!,1,FALSE())),"?TYPE_IDENTIFIABLE","?REFERENTIAL"),"_")))))</f>
        <v> </v>
      </c>
      <c r="H6054" s="25" t="str">
        <f>IF(J6054&lt;&gt;1,"",IF(I6054="SBJ","CB","?"))</f>
        <v> </v>
      </c>
      <c r="I6054" s="26" t="str">
        <f>IF(OR(E6054="",E6054="!!!",F6054="NEW"),"",INDEX(B6053:B$2,-1+SUMPRODUCT(MAX(ROW(E6053:E$2)*(E6054=E6053:E$2)))))</f>
        <v> </v>
      </c>
      <c r="J6054" s="26" t="str">
        <f>IF(OR(E6054="",E6054="!!!",F6054="NEW"),"",COUNTBLANK(OFFSET(A$1,,,SUMPRODUCT(MAX(ROW(E$2:E6054)*(E6054=E$2:E6054)))))-COUNTBLANK(OFFSET(A$1,,,SUMPRODUCT(MAX(ROW(E$1:E6053)*(E2=E$1:E6053))))))</f>
        <v> </v>
      </c>
      <c r="K6054" s="26" t="str">
        <f>IF(OR(E6054="",E6054="!!!",F6054="NEW"),"",INDEX(J$1:J6053,SUMPRODUCT(MAX(ROW(E$1:E6053)*(E6054=E$1:E6053)))))</f>
        <v> </v>
      </c>
      <c r="L6054" s="27"/>
    </row>
    <row r="6055" spans="1:12">
      <c r="A6055" s="20" t="s">
        <v>1324</v>
      </c>
      <c r="E6055" s="22">
        <f>IF(D6055="?OLD","!!!","")</f>
        <v/>
      </c>
      <c r="F6055" s="23" t="str">
        <f>IF(OR(E6055="",E6055="!!!"),"",IF(NOT(ISNA(VLOOKUP(E6055,E$1:E6054,1,FALSE()))),"OLD",IF(AND(E6055&lt;&gt;"",E6055&lt;&gt;"!!!"),"NEW","")))</f>
        <v> </v>
      </c>
      <c r="G6055" s="24" t="str">
        <f>IF(OR(E6055="",E6055="!!!"),"",IF(OR(J6055=0,AND(J6055=1,K6055=1),AND(J6055=1,I6055="SBJ"),AND(J6055=1,I6055=0)),"?IN_FOCUS",IF(J6055&lt;=2,"?ACTIVATED",IF(J6055&lt;&gt;"","?FAMILIAR",IF(F6055="NEW",IF(ISNA(VLOOKUP(E6055,#REF!,1,FALSE())),"?TYPE_IDENTIFIABLE","?REFERENTIAL"),"_")))))</f>
        <v> </v>
      </c>
      <c r="H6055" s="25" t="str">
        <f>IF(J6055&lt;&gt;1,"",IF(I6055="SBJ","CB","?"))</f>
        <v> </v>
      </c>
      <c r="I6055" s="26" t="str">
        <f>IF(OR(E6055="",E6055="!!!",F6055="NEW"),"",INDEX(B6054:B$2,-1+SUMPRODUCT(MAX(ROW(E6054:E$2)*(E6055=E6054:E$2)))))</f>
        <v> </v>
      </c>
      <c r="J6055" s="26" t="str">
        <f>IF(OR(E6055="",E6055="!!!",F6055="NEW"),"",COUNTBLANK(OFFSET(A$1,,,SUMPRODUCT(MAX(ROW(E$2:E6055)*(E6055=E$2:E6055)))))-COUNTBLANK(OFFSET(A$1,,,SUMPRODUCT(MAX(ROW(E$1:E6054)*(E2=E$1:E6054))))))</f>
        <v> </v>
      </c>
      <c r="K6055" s="26" t="str">
        <f>IF(OR(E6055="",E6055="!!!",F6055="NEW"),"",INDEX(J$1:J6054,SUMPRODUCT(MAX(ROW(E$1:E6054)*(E6055=E$1:E6054)))))</f>
        <v> </v>
      </c>
      <c r="L6055" s="27"/>
    </row>
    <row r="6056" spans="1:12">
      <c r="A6056" s="20" t="s">
        <v>2603</v>
      </c>
      <c r="B6056" s="21" t="s">
        <v>1005</v>
      </c>
      <c r="C6056" s="21" t="s">
        <v>1111</v>
      </c>
      <c r="E6056" s="22">
        <f>IF(D6056="?OLD","!!!","")</f>
        <v/>
      </c>
      <c r="F6056" s="23" t="str">
        <f>IF(OR(E6056="",E6056="!!!"),"",IF(NOT(ISNA(VLOOKUP(E6056,E$1:E6055,1,FALSE()))),"OLD",IF(AND(E6056&lt;&gt;"",E6056&lt;&gt;"!!!"),"NEW","")))</f>
        <v> </v>
      </c>
      <c r="G6056" s="24" t="str">
        <f>IF(OR(E6056="",E6056="!!!"),"",IF(OR(J6056=0,AND(J6056=1,K6056=1),AND(J6056=1,I6056="SBJ"),AND(J6056=1,I6056=0)),"?IN_FOCUS",IF(J6056&lt;=2,"?ACTIVATED",IF(J6056&lt;&gt;"","?FAMILIAR",IF(F6056="NEW",IF(ISNA(VLOOKUP(E6056,#REF!,1,FALSE())),"?TYPE_IDENTIFIABLE","?REFERENTIAL"),"_")))))</f>
        <v> </v>
      </c>
      <c r="H6056" s="25" t="str">
        <f>IF(J6056&lt;&gt;1,"",IF(I6056="SBJ","CB","?"))</f>
        <v> </v>
      </c>
      <c r="I6056" s="26" t="str">
        <f>IF(OR(E6056="",E6056="!!!",F6056="NEW"),"",INDEX(B6055:B$2,-1+SUMPRODUCT(MAX(ROW(E6055:E$2)*(E6056=E6055:E$2)))))</f>
        <v> </v>
      </c>
      <c r="J6056" s="26" t="str">
        <f>IF(OR(E6056="",E6056="!!!",F6056="NEW"),"",COUNTBLANK(OFFSET(A$1,,,SUMPRODUCT(MAX(ROW(E$2:E6056)*(E6056=E$2:E6056)))))-COUNTBLANK(OFFSET(A$1,,,SUMPRODUCT(MAX(ROW(E$1:E6055)*(E2=E$1:E6055))))))</f>
        <v> </v>
      </c>
      <c r="K6056" s="26" t="str">
        <f>IF(OR(E6056="",E6056="!!!",F6056="NEW"),"",INDEX(J$1:J6055,SUMPRODUCT(MAX(ROW(E$1:E6055)*(E6056=E$1:E6055)))))</f>
        <v> </v>
      </c>
      <c r="L6056" s="27"/>
    </row>
    <row r="6057" spans="1:12">
      <c r="A6057" s="20" t="s">
        <v>2604</v>
      </c>
      <c r="E6057" s="22">
        <f>IF(D6057="?OLD","!!!","")</f>
        <v/>
      </c>
      <c r="F6057" s="23" t="str">
        <f>IF(OR(E6057="",E6057="!!!"),"",IF(NOT(ISNA(VLOOKUP(E6057,E$1:E6056,1,FALSE()))),"OLD",IF(AND(E6057&lt;&gt;"",E6057&lt;&gt;"!!!"),"NEW","")))</f>
        <v> </v>
      </c>
      <c r="G6057" s="24" t="str">
        <f>IF(OR(E6057="",E6057="!!!"),"",IF(OR(J6057=0,AND(J6057=1,K6057=1),AND(J6057=1,I6057="SBJ"),AND(J6057=1,I6057=0)),"?IN_FOCUS",IF(J6057&lt;=2,"?ACTIVATED",IF(J6057&lt;&gt;"","?FAMILIAR",IF(F6057="NEW",IF(ISNA(VLOOKUP(E6057,#REF!,1,FALSE())),"?TYPE_IDENTIFIABLE","?REFERENTIAL"),"_")))))</f>
        <v> </v>
      </c>
      <c r="H6057" s="25" t="str">
        <f>IF(J6057&lt;&gt;1,"",IF(I6057="SBJ","CB","?"))</f>
        <v> </v>
      </c>
      <c r="I6057" s="26" t="str">
        <f>IF(OR(E6057="",E6057="!!!",F6057="NEW"),"",INDEX(B6056:B$2,-1+SUMPRODUCT(MAX(ROW(E6056:E$2)*(E6057=E6056:E$2)))))</f>
        <v> </v>
      </c>
      <c r="J6057" s="26" t="str">
        <f>IF(OR(E6057="",E6057="!!!",F6057="NEW"),"",COUNTBLANK(OFFSET(A$1,,,SUMPRODUCT(MAX(ROW(E$2:E6057)*(E6057=E$2:E6057)))))-COUNTBLANK(OFFSET(A$1,,,SUMPRODUCT(MAX(ROW(E$1:E6056)*(E2=E$1:E6056))))))</f>
        <v> </v>
      </c>
      <c r="K6057" s="26" t="str">
        <f>IF(OR(E6057="",E6057="!!!",F6057="NEW"),"",INDEX(J$1:J6056,SUMPRODUCT(MAX(ROW(E$1:E6056)*(E6057=E$1:E6056)))))</f>
        <v> </v>
      </c>
      <c r="L6057" s="27"/>
    </row>
    <row r="6058" spans="1:12">
      <c r="A6058" s="20" t="s">
        <v>1030</v>
      </c>
      <c r="E6058" s="22">
        <f>IF(D6058="?OLD","!!!","")</f>
        <v/>
      </c>
      <c r="F6058" s="23" t="str">
        <f>IF(OR(E6058="",E6058="!!!"),"",IF(NOT(ISNA(VLOOKUP(E6058,E$1:E6057,1,FALSE()))),"OLD",IF(AND(E6058&lt;&gt;"",E6058&lt;&gt;"!!!"),"NEW","")))</f>
        <v> </v>
      </c>
      <c r="G6058" s="24" t="str">
        <f>IF(OR(E6058="",E6058="!!!"),"",IF(OR(J6058=0,AND(J6058=1,K6058=1),AND(J6058=1,I6058="SBJ"),AND(J6058=1,I6058=0)),"?IN_FOCUS",IF(J6058&lt;=2,"?ACTIVATED",IF(J6058&lt;&gt;"","?FAMILIAR",IF(F6058="NEW",IF(ISNA(VLOOKUP(E6058,#REF!,1,FALSE())),"?TYPE_IDENTIFIABLE","?REFERENTIAL"),"_")))))</f>
        <v> </v>
      </c>
      <c r="H6058" s="25" t="str">
        <f>IF(J6058&lt;&gt;1,"",IF(I6058="SBJ","CB","?"))</f>
        <v> </v>
      </c>
      <c r="I6058" s="26" t="str">
        <f>IF(OR(E6058="",E6058="!!!",F6058="NEW"),"",INDEX(B6057:B$2,-1+SUMPRODUCT(MAX(ROW(E6057:E$2)*(E6058=E6057:E$2)))))</f>
        <v> </v>
      </c>
      <c r="J6058" s="26" t="str">
        <f>IF(OR(E6058="",E6058="!!!",F6058="NEW"),"",COUNTBLANK(OFFSET(A$1,,,SUMPRODUCT(MAX(ROW(E$2:E6058)*(E6058=E$2:E6058)))))-COUNTBLANK(OFFSET(A$1,,,SUMPRODUCT(MAX(ROW(E$1:E6057)*(E2=E$1:E6057))))))</f>
        <v> </v>
      </c>
      <c r="K6058" s="26" t="str">
        <f>IF(OR(E6058="",E6058="!!!",F6058="NEW"),"",INDEX(J$1:J6057,SUMPRODUCT(MAX(ROW(E$1:E6057)*(E6058=E$1:E6057)))))</f>
        <v> </v>
      </c>
      <c r="L6058" s="27"/>
    </row>
    <row r="6059" spans="1:12">
      <c r="A6059" s="20" t="s">
        <v>102</v>
      </c>
      <c r="E6059" s="22">
        <f>IF(D6059="?OLD","!!!","")</f>
        <v/>
      </c>
      <c r="F6059" s="23" t="str">
        <f>IF(OR(E6059="",E6059="!!!"),"",IF(NOT(ISNA(VLOOKUP(E6059,E$1:E6058,1,FALSE()))),"OLD",IF(AND(E6059&lt;&gt;"",E6059&lt;&gt;"!!!"),"NEW","")))</f>
        <v> </v>
      </c>
      <c r="G6059" s="24" t="str">
        <f>IF(OR(E6059="",E6059="!!!"),"",IF(OR(J6059=0,AND(J6059=1,K6059=1),AND(J6059=1,I6059="SBJ"),AND(J6059=1,I6059=0)),"?IN_FOCUS",IF(J6059&lt;=2,"?ACTIVATED",IF(J6059&lt;&gt;"","?FAMILIAR",IF(F6059="NEW",IF(ISNA(VLOOKUP(E6059,#REF!,1,FALSE())),"?TYPE_IDENTIFIABLE","?REFERENTIAL"),"_")))))</f>
        <v> </v>
      </c>
      <c r="H6059" s="25" t="str">
        <f>IF(J6059&lt;&gt;1,"",IF(I6059="SBJ","CB","?"))</f>
        <v> </v>
      </c>
      <c r="I6059" s="26" t="str">
        <f>IF(OR(E6059="",E6059="!!!",F6059="NEW"),"",INDEX(B6058:B$2,-1+SUMPRODUCT(MAX(ROW(E6058:E$2)*(E6059=E6058:E$2)))))</f>
        <v> </v>
      </c>
      <c r="J6059" s="26" t="str">
        <f>IF(OR(E6059="",E6059="!!!",F6059="NEW"),"",COUNTBLANK(OFFSET(A$1,,,SUMPRODUCT(MAX(ROW(E$2:E6059)*(E6059=E$2:E6059)))))-COUNTBLANK(OFFSET(A$1,,,SUMPRODUCT(MAX(ROW(E$1:E6058)*(E2=E$1:E6058))))))</f>
        <v> </v>
      </c>
      <c r="K6059" s="26" t="str">
        <f>IF(OR(E6059="",E6059="!!!",F6059="NEW"),"",INDEX(J$1:J6058,SUMPRODUCT(MAX(ROW(E$1:E6058)*(E6059=E$1:E6058)))))</f>
        <v> </v>
      </c>
      <c r="L6059" s="27"/>
    </row>
    <row r="6060" spans="1:12">
      <c r="A6060" s="20" t="s">
        <v>2605</v>
      </c>
      <c r="B6060" s="21" t="s">
        <v>1022</v>
      </c>
      <c r="C6060" s="21" t="s">
        <v>1013</v>
      </c>
      <c r="D6060" s="21" t="s">
        <v>1007</v>
      </c>
      <c r="E6060" s="22">
        <f>IF(D6060="?OLD","!!!","")</f>
        <v/>
      </c>
      <c r="F6060" s="23" t="str">
        <f>IF(OR(E6060="",E6060="!!!"),"",IF(NOT(ISNA(VLOOKUP(E6060,E$1:E6059,1,FALSE()))),"OLD",IF(AND(E6060&lt;&gt;"",E6060&lt;&gt;"!!!"),"NEW","")))</f>
        <v> </v>
      </c>
      <c r="G6060" s="24" t="str">
        <f>IF(OR(E6060="",E6060="!!!"),"",IF(OR(J6060=0,AND(J6060=1,K6060=1),AND(J6060=1,I6060="SBJ"),AND(J6060=1,I6060=0)),"?IN_FOCUS",IF(J6060&lt;=2,"?ACTIVATED",IF(J6060&lt;&gt;"","?FAMILIAR",IF(F6060="NEW",IF(ISNA(VLOOKUP(E6060,#REF!,1,FALSE())),"?TYPE_IDENTIFIABLE","?REFERENTIAL"),"_")))))</f>
        <v> </v>
      </c>
      <c r="H6060" s="25" t="str">
        <f>IF(J6060&lt;&gt;1,"",IF(I6060="SBJ","CB","?"))</f>
        <v> </v>
      </c>
      <c r="I6060" s="26" t="str">
        <f>IF(OR(E6060="",E6060="!!!",F6060="NEW"),"",INDEX(B6059:B$2,-1+SUMPRODUCT(MAX(ROW(E6059:E$2)*(E6060=E6059:E$2)))))</f>
        <v> </v>
      </c>
      <c r="J6060" s="26" t="str">
        <f>IF(OR(E6060="",E6060="!!!",F6060="NEW"),"",COUNTBLANK(OFFSET(A$1,,,SUMPRODUCT(MAX(ROW(E$2:E6060)*(E6060=E$2:E6060)))))-COUNTBLANK(OFFSET(A$1,,,SUMPRODUCT(MAX(ROW(E$1:E6059)*(E2=E$1:E6059))))))</f>
        <v> </v>
      </c>
      <c r="K6060" s="26" t="str">
        <f>IF(OR(E6060="",E6060="!!!",F6060="NEW"),"",INDEX(J$1:J6059,SUMPRODUCT(MAX(ROW(E$1:E6059)*(E6060=E$1:E6059)))))</f>
        <v> </v>
      </c>
      <c r="L6060" s="27"/>
    </row>
    <row r="6061" spans="1:12">
      <c r="A6061" s="20" t="s">
        <v>1014</v>
      </c>
      <c r="E6061" s="22">
        <f>IF(D6061="?OLD","!!!","")</f>
        <v/>
      </c>
      <c r="F6061" s="23" t="str">
        <f>IF(OR(E6061="",E6061="!!!"),"",IF(NOT(ISNA(VLOOKUP(E6061,E$1:E6060,1,FALSE()))),"OLD",IF(AND(E6061&lt;&gt;"",E6061&lt;&gt;"!!!"),"NEW","")))</f>
        <v> </v>
      </c>
      <c r="G6061" s="24" t="str">
        <f>IF(OR(E6061="",E6061="!!!"),"",IF(OR(J6061=0,AND(J6061=1,K6061=1),AND(J6061=1,I6061="SBJ"),AND(J6061=1,I6061=0)),"?IN_FOCUS",IF(J6061&lt;=2,"?ACTIVATED",IF(J6061&lt;&gt;"","?FAMILIAR",IF(F6061="NEW",IF(ISNA(VLOOKUP(E6061,#REF!,1,FALSE())),"?TYPE_IDENTIFIABLE","?REFERENTIAL"),"_")))))</f>
        <v> </v>
      </c>
      <c r="H6061" s="25" t="str">
        <f>IF(J6061&lt;&gt;1,"",IF(I6061="SBJ","CB","?"))</f>
        <v> </v>
      </c>
      <c r="I6061" s="26" t="str">
        <f>IF(OR(E6061="",E6061="!!!",F6061="NEW"),"",INDEX(B6060:B$2,-1+SUMPRODUCT(MAX(ROW(E6060:E$2)*(E6061=E6060:E$2)))))</f>
        <v> </v>
      </c>
      <c r="J6061" s="26" t="str">
        <f>IF(OR(E6061="",E6061="!!!",F6061="NEW"),"",COUNTBLANK(OFFSET(A$1,,,SUMPRODUCT(MAX(ROW(E$2:E6061)*(E6061=E$2:E6061)))))-COUNTBLANK(OFFSET(A$1,,,SUMPRODUCT(MAX(ROW(E$1:E6060)*(E2=E$1:E6060))))))</f>
        <v> </v>
      </c>
      <c r="K6061" s="26" t="str">
        <f>IF(OR(E6061="",E6061="!!!",F6061="NEW"),"",INDEX(J$1:J6060,SUMPRODUCT(MAX(ROW(E$1:E6060)*(E6061=E$1:E6060)))))</f>
        <v> </v>
      </c>
      <c r="L6061" s="27"/>
    </row>
    <row r="6062" spans="1:12">
      <c r="A6062" s="20" t="s">
        <v>1143</v>
      </c>
      <c r="E6062" s="22">
        <f>IF(D6062="?OLD","!!!","")</f>
        <v/>
      </c>
      <c r="F6062" s="23" t="str">
        <f>IF(OR(E6062="",E6062="!!!"),"",IF(NOT(ISNA(VLOOKUP(E6062,E$1:E6061,1,FALSE()))),"OLD",IF(AND(E6062&lt;&gt;"",E6062&lt;&gt;"!!!"),"NEW","")))</f>
        <v> </v>
      </c>
      <c r="G6062" s="24" t="str">
        <f>IF(OR(E6062="",E6062="!!!"),"",IF(OR(J6062=0,AND(J6062=1,K6062=1),AND(J6062=1,I6062="SBJ"),AND(J6062=1,I6062=0)),"?IN_FOCUS",IF(J6062&lt;=2,"?ACTIVATED",IF(J6062&lt;&gt;"","?FAMILIAR",IF(F6062="NEW",IF(ISNA(VLOOKUP(E6062,#REF!,1,FALSE())),"?TYPE_IDENTIFIABLE","?REFERENTIAL"),"_")))))</f>
        <v> </v>
      </c>
      <c r="H6062" s="25" t="str">
        <f>IF(J6062&lt;&gt;1,"",IF(I6062="SBJ","CB","?"))</f>
        <v> </v>
      </c>
      <c r="I6062" s="26" t="str">
        <f>IF(OR(E6062="",E6062="!!!",F6062="NEW"),"",INDEX(B6061:B$2,-1+SUMPRODUCT(MAX(ROW(E6061:E$2)*(E6062=E6061:E$2)))))</f>
        <v> </v>
      </c>
      <c r="J6062" s="26" t="str">
        <f>IF(OR(E6062="",E6062="!!!",F6062="NEW"),"",COUNTBLANK(OFFSET(A$1,,,SUMPRODUCT(MAX(ROW(E$2:E6062)*(E6062=E$2:E6062)))))-COUNTBLANK(OFFSET(A$1,,,SUMPRODUCT(MAX(ROW(E$1:E6061)*(E2=E$1:E6061))))))</f>
        <v> </v>
      </c>
      <c r="K6062" s="26" t="str">
        <f>IF(OR(E6062="",E6062="!!!",F6062="NEW"),"",INDEX(J$1:J6061,SUMPRODUCT(MAX(ROW(E$1:E6061)*(E6062=E$1:E6061)))))</f>
        <v> </v>
      </c>
      <c r="L6062" s="27"/>
    </row>
    <row r="6063" spans="1:12">
      <c r="A6063" s="20" t="s">
        <v>2606</v>
      </c>
      <c r="B6063" s="21" t="s">
        <v>1033</v>
      </c>
      <c r="C6063" s="21" t="s">
        <v>1041</v>
      </c>
      <c r="D6063" s="21" t="s">
        <v>1007</v>
      </c>
      <c r="E6063" s="22">
        <f>IF(D6063="?OLD","!!!","")</f>
        <v/>
      </c>
      <c r="F6063" s="23" t="str">
        <f>IF(OR(E6063="",E6063="!!!"),"",IF(NOT(ISNA(VLOOKUP(E6063,E$1:E6062,1,FALSE()))),"OLD",IF(AND(E6063&lt;&gt;"",E6063&lt;&gt;"!!!"),"NEW","")))</f>
        <v> </v>
      </c>
      <c r="G6063" s="24" t="str">
        <f>IF(OR(E6063="",E6063="!!!"),"",IF(OR(J6063=0,AND(J6063=1,K6063=1),AND(J6063=1,I6063="SBJ"),AND(J6063=1,I6063=0)),"?IN_FOCUS",IF(J6063&lt;=2,"?ACTIVATED",IF(J6063&lt;&gt;"","?FAMILIAR",IF(F6063="NEW",IF(ISNA(VLOOKUP(E6063,#REF!,1,FALSE())),"?TYPE_IDENTIFIABLE","?REFERENTIAL"),"_")))))</f>
        <v> </v>
      </c>
      <c r="H6063" s="25" t="str">
        <f>IF(J6063&lt;&gt;1,"",IF(I6063="SBJ","CB","?"))</f>
        <v> </v>
      </c>
      <c r="I6063" s="26" t="str">
        <f>IF(OR(E6063="",E6063="!!!",F6063="NEW"),"",INDEX(B6062:B$2,-1+SUMPRODUCT(MAX(ROW(E6062:E$2)*(E6063=E6062:E$2)))))</f>
        <v> </v>
      </c>
      <c r="J6063" s="26" t="str">
        <f>IF(OR(E6063="",E6063="!!!",F6063="NEW"),"",COUNTBLANK(OFFSET(A$1,,,SUMPRODUCT(MAX(ROW(E$2:E6063)*(E6063=E$2:E6063)))))-COUNTBLANK(OFFSET(A$1,,,SUMPRODUCT(MAX(ROW(E$1:E6062)*(E2=E$1:E6062))))))</f>
        <v> </v>
      </c>
      <c r="K6063" s="26" t="str">
        <f>IF(OR(E6063="",E6063="!!!",F6063="NEW"),"",INDEX(J$1:J6062,SUMPRODUCT(MAX(ROW(E$1:E6062)*(E6063=E$1:E6062)))))</f>
        <v> </v>
      </c>
      <c r="L6063" s="27"/>
    </row>
    <row r="6064" spans="1:12">
      <c r="A6064" s="20" t="s">
        <v>2301</v>
      </c>
      <c r="E6064" s="22">
        <f>IF(D6064="?OLD","!!!","")</f>
        <v/>
      </c>
      <c r="F6064" s="23" t="str">
        <f>IF(OR(E6064="",E6064="!!!"),"",IF(NOT(ISNA(VLOOKUP(E6064,E$1:E6063,1,FALSE()))),"OLD",IF(AND(E6064&lt;&gt;"",E6064&lt;&gt;"!!!"),"NEW","")))</f>
        <v> </v>
      </c>
      <c r="G6064" s="24" t="str">
        <f>IF(OR(E6064="",E6064="!!!"),"",IF(OR(J6064=0,AND(J6064=1,K6064=1),AND(J6064=1,I6064="SBJ"),AND(J6064=1,I6064=0)),"?IN_FOCUS",IF(J6064&lt;=2,"?ACTIVATED",IF(J6064&lt;&gt;"","?FAMILIAR",IF(F6064="NEW",IF(ISNA(VLOOKUP(E6064,#REF!,1,FALSE())),"?TYPE_IDENTIFIABLE","?REFERENTIAL"),"_")))))</f>
        <v> </v>
      </c>
      <c r="H6064" s="25" t="str">
        <f>IF(J6064&lt;&gt;1,"",IF(I6064="SBJ","CB","?"))</f>
        <v> </v>
      </c>
      <c r="I6064" s="26" t="str">
        <f>IF(OR(E6064="",E6064="!!!",F6064="NEW"),"",INDEX(B6063:B$2,-1+SUMPRODUCT(MAX(ROW(E6063:E$2)*(E6064=E6063:E$2)))))</f>
        <v> </v>
      </c>
      <c r="J6064" s="26" t="str">
        <f>IF(OR(E6064="",E6064="!!!",F6064="NEW"),"",COUNTBLANK(OFFSET(A$1,,,SUMPRODUCT(MAX(ROW(E$2:E6064)*(E6064=E$2:E6064)))))-COUNTBLANK(OFFSET(A$1,,,SUMPRODUCT(MAX(ROW(E$1:E6063)*(E2=E$1:E6063))))))</f>
        <v> </v>
      </c>
      <c r="K6064" s="26" t="str">
        <f>IF(OR(E6064="",E6064="!!!",F6064="NEW"),"",INDEX(J$1:J6063,SUMPRODUCT(MAX(ROW(E$1:E6063)*(E6064=E$1:E6063)))))</f>
        <v> </v>
      </c>
      <c r="L6064" s="27"/>
    </row>
    <row r="6065" spans="1:12">
      <c r="A6065" s="20" t="s">
        <v>2607</v>
      </c>
      <c r="E6065" s="22">
        <f>IF(D6065="?OLD","!!!","")</f>
        <v/>
      </c>
      <c r="F6065" s="23" t="str">
        <f>IF(OR(E6065="",E6065="!!!"),"",IF(NOT(ISNA(VLOOKUP(E6065,E$1:E6064,1,FALSE()))),"OLD",IF(AND(E6065&lt;&gt;"",E6065&lt;&gt;"!!!"),"NEW","")))</f>
        <v> </v>
      </c>
      <c r="G6065" s="24" t="str">
        <f>IF(OR(E6065="",E6065="!!!"),"",IF(OR(J6065=0,AND(J6065=1,K6065=1),AND(J6065=1,I6065="SBJ"),AND(J6065=1,I6065=0)),"?IN_FOCUS",IF(J6065&lt;=2,"?ACTIVATED",IF(J6065&lt;&gt;"","?FAMILIAR",IF(F6065="NEW",IF(ISNA(VLOOKUP(E6065,#REF!,1,FALSE())),"?TYPE_IDENTIFIABLE","?REFERENTIAL"),"_")))))</f>
        <v> </v>
      </c>
      <c r="H6065" s="25" t="str">
        <f>IF(J6065&lt;&gt;1,"",IF(I6065="SBJ","CB","?"))</f>
        <v> </v>
      </c>
      <c r="I6065" s="26" t="str">
        <f>IF(OR(E6065="",E6065="!!!",F6065="NEW"),"",INDEX(B6064:B$2,-1+SUMPRODUCT(MAX(ROW(E6064:E$2)*(E6065=E6064:E$2)))))</f>
        <v> </v>
      </c>
      <c r="J6065" s="26" t="str">
        <f>IF(OR(E6065="",E6065="!!!",F6065="NEW"),"",COUNTBLANK(OFFSET(A$1,,,SUMPRODUCT(MAX(ROW(E$2:E6065)*(E6065=E$2:E6065)))))-COUNTBLANK(OFFSET(A$1,,,SUMPRODUCT(MAX(ROW(E$1:E6064)*(E2=E$1:E6064))))))</f>
        <v> </v>
      </c>
      <c r="K6065" s="26" t="str">
        <f>IF(OR(E6065="",E6065="!!!",F6065="NEW"),"",INDEX(J$1:J6064,SUMPRODUCT(MAX(ROW(E$1:E6064)*(E6065=E$1:E6064)))))</f>
        <v> </v>
      </c>
      <c r="L6065" s="27"/>
    </row>
    <row r="6066" spans="1:12">
      <c r="A6066" s="20" t="s">
        <v>1018</v>
      </c>
      <c r="E6066" s="22">
        <f>IF(D6066="?OLD","!!!","")</f>
        <v/>
      </c>
      <c r="F6066" s="23" t="str">
        <f>IF(OR(E6066="",E6066="!!!"),"",IF(NOT(ISNA(VLOOKUP(E6066,E$1:E6065,1,FALSE()))),"OLD",IF(AND(E6066&lt;&gt;"",E6066&lt;&gt;"!!!"),"NEW","")))</f>
        <v> </v>
      </c>
      <c r="G6066" s="24" t="str">
        <f>IF(OR(E6066="",E6066="!!!"),"",IF(OR(J6066=0,AND(J6066=1,K6066=1),AND(J6066=1,I6066="SBJ"),AND(J6066=1,I6066=0)),"?IN_FOCUS",IF(J6066&lt;=2,"?ACTIVATED",IF(J6066&lt;&gt;"","?FAMILIAR",IF(F6066="NEW",IF(ISNA(VLOOKUP(E6066,#REF!,1,FALSE())),"?TYPE_IDENTIFIABLE","?REFERENTIAL"),"_")))))</f>
        <v> </v>
      </c>
      <c r="H6066" s="25" t="str">
        <f>IF(J6066&lt;&gt;1,"",IF(I6066="SBJ","CB","?"))</f>
        <v> </v>
      </c>
      <c r="I6066" s="26" t="str">
        <f>IF(OR(E6066="",E6066="!!!",F6066="NEW"),"",INDEX(B6065:B$2,-1+SUMPRODUCT(MAX(ROW(E6065:E$2)*(E6066=E6065:E$2)))))</f>
        <v> </v>
      </c>
      <c r="J6066" s="26" t="str">
        <f>IF(OR(E6066="",E6066="!!!",F6066="NEW"),"",COUNTBLANK(OFFSET(A$1,,,SUMPRODUCT(MAX(ROW(E$2:E6066)*(E6066=E$2:E6066)))))-COUNTBLANK(OFFSET(A$1,,,SUMPRODUCT(MAX(ROW(E$1:E6065)*(E2=E$1:E6065))))))</f>
        <v> </v>
      </c>
      <c r="K6066" s="26" t="str">
        <f>IF(OR(E6066="",E6066="!!!",F6066="NEW"),"",INDEX(J$1:J6065,SUMPRODUCT(MAX(ROW(E$1:E6065)*(E6066=E$1:E6065)))))</f>
        <v> </v>
      </c>
      <c r="L6066" s="27"/>
    </row>
    <row r="6067" spans="1:12">
      <c r="A6067" s="20" t="s">
        <v>1330</v>
      </c>
      <c r="E6067" s="22">
        <f>IF(D6067="?OLD","!!!","")</f>
        <v/>
      </c>
      <c r="F6067" s="23" t="str">
        <f>IF(OR(E6067="",E6067="!!!"),"",IF(NOT(ISNA(VLOOKUP(E6067,E$1:E6066,1,FALSE()))),"OLD",IF(AND(E6067&lt;&gt;"",E6067&lt;&gt;"!!!"),"NEW","")))</f>
        <v> </v>
      </c>
      <c r="G6067" s="24" t="str">
        <f>IF(OR(E6067="",E6067="!!!"),"",IF(OR(J6067=0,AND(J6067=1,K6067=1),AND(J6067=1,I6067="SBJ"),AND(J6067=1,I6067=0)),"?IN_FOCUS",IF(J6067&lt;=2,"?ACTIVATED",IF(J6067&lt;&gt;"","?FAMILIAR",IF(F6067="NEW",IF(ISNA(VLOOKUP(E6067,#REF!,1,FALSE())),"?TYPE_IDENTIFIABLE","?REFERENTIAL"),"_")))))</f>
        <v> </v>
      </c>
      <c r="H6067" s="25" t="str">
        <f>IF(J6067&lt;&gt;1,"",IF(I6067="SBJ","CB","?"))</f>
        <v> </v>
      </c>
      <c r="I6067" s="26" t="str">
        <f>IF(OR(E6067="",E6067="!!!",F6067="NEW"),"",INDEX(B6066:B$2,-1+SUMPRODUCT(MAX(ROW(E6066:E$2)*(E6067=E6066:E$2)))))</f>
        <v> </v>
      </c>
      <c r="J6067" s="26" t="str">
        <f>IF(OR(E6067="",E6067="!!!",F6067="NEW"),"",COUNTBLANK(OFFSET(A$1,,,SUMPRODUCT(MAX(ROW(E$2:E6067)*(E6067=E$2:E6067)))))-COUNTBLANK(OFFSET(A$1,,,SUMPRODUCT(MAX(ROW(E$1:E6066)*(E2=E$1:E6066))))))</f>
        <v> </v>
      </c>
      <c r="K6067" s="26" t="str">
        <f>IF(OR(E6067="",E6067="!!!",F6067="NEW"),"",INDEX(J$1:J6066,SUMPRODUCT(MAX(ROW(E$1:E6066)*(E6067=E$1:E6066)))))</f>
        <v> </v>
      </c>
      <c r="L6067" s="27"/>
    </row>
    <row r="6068" spans="1:12">
      <c r="A6068" s="20" t="s">
        <v>885</v>
      </c>
      <c r="B6068" s="21" t="s">
        <v>1119</v>
      </c>
      <c r="C6068" s="21" t="s">
        <v>1082</v>
      </c>
      <c r="D6068" s="21" t="s">
        <v>1007</v>
      </c>
      <c r="E6068" s="22">
        <f>IF(D6068="?OLD","!!!","")</f>
        <v/>
      </c>
      <c r="F6068" s="23" t="str">
        <f>IF(OR(E6068="",E6068="!!!"),"",IF(NOT(ISNA(VLOOKUP(E6068,E$1:E6067,1,FALSE()))),"OLD",IF(AND(E6068&lt;&gt;"",E6068&lt;&gt;"!!!"),"NEW","")))</f>
        <v> </v>
      </c>
      <c r="G6068" s="24" t="str">
        <f>IF(OR(E6068="",E6068="!!!"),"",IF(OR(J6068=0,AND(J6068=1,K6068=1),AND(J6068=1,I6068="SBJ"),AND(J6068=1,I6068=0)),"?IN_FOCUS",IF(J6068&lt;=2,"?ACTIVATED",IF(J6068&lt;&gt;"","?FAMILIAR",IF(F6068="NEW",IF(ISNA(VLOOKUP(E6068,#REF!,1,FALSE())),"?TYPE_IDENTIFIABLE","?REFERENTIAL"),"_")))))</f>
        <v> </v>
      </c>
      <c r="H6068" s="25" t="str">
        <f>IF(J6068&lt;&gt;1,"",IF(I6068="SBJ","CB","?"))</f>
        <v> </v>
      </c>
      <c r="I6068" s="26" t="str">
        <f>IF(OR(E6068="",E6068="!!!",F6068="NEW"),"",INDEX(B6067:B$2,-1+SUMPRODUCT(MAX(ROW(E6067:E$2)*(E6068=E6067:E$2)))))</f>
        <v> </v>
      </c>
      <c r="J6068" s="26" t="str">
        <f>IF(OR(E6068="",E6068="!!!",F6068="NEW"),"",COUNTBLANK(OFFSET(A$1,,,SUMPRODUCT(MAX(ROW(E$2:E6068)*(E6068=E$2:E6068)))))-COUNTBLANK(OFFSET(A$1,,,SUMPRODUCT(MAX(ROW(E$1:E6067)*(E2=E$1:E6067))))))</f>
        <v> </v>
      </c>
      <c r="K6068" s="26" t="str">
        <f>IF(OR(E6068="",E6068="!!!",F6068="NEW"),"",INDEX(J$1:J6067,SUMPRODUCT(MAX(ROW(E$1:E6067)*(E6068=E$1:E6067)))))</f>
        <v> </v>
      </c>
      <c r="L6068" s="27"/>
    </row>
    <row r="6069" spans="1:12">
      <c r="A6069" s="20" t="s">
        <v>2054</v>
      </c>
      <c r="E6069" s="22">
        <f>IF(D6069="?OLD","!!!","")</f>
        <v/>
      </c>
      <c r="F6069" s="23" t="str">
        <f>IF(OR(E6069="",E6069="!!!"),"",IF(NOT(ISNA(VLOOKUP(E6069,E$1:E6068,1,FALSE()))),"OLD",IF(AND(E6069&lt;&gt;"",E6069&lt;&gt;"!!!"),"NEW","")))</f>
        <v> </v>
      </c>
      <c r="G6069" s="24" t="str">
        <f>IF(OR(E6069="",E6069="!!!"),"",IF(OR(J6069=0,AND(J6069=1,K6069=1),AND(J6069=1,I6069="SBJ"),AND(J6069=1,I6069=0)),"?IN_FOCUS",IF(J6069&lt;=2,"?ACTIVATED",IF(J6069&lt;&gt;"","?FAMILIAR",IF(F6069="NEW",IF(ISNA(VLOOKUP(E6069,#REF!,1,FALSE())),"?TYPE_IDENTIFIABLE","?REFERENTIAL"),"_")))))</f>
        <v> </v>
      </c>
      <c r="H6069" s="25" t="str">
        <f>IF(J6069&lt;&gt;1,"",IF(I6069="SBJ","CB","?"))</f>
        <v> </v>
      </c>
      <c r="I6069" s="26" t="str">
        <f>IF(OR(E6069="",E6069="!!!",F6069="NEW"),"",INDEX(B6068:B$2,-1+SUMPRODUCT(MAX(ROW(E6068:E$2)*(E6069=E6068:E$2)))))</f>
        <v> </v>
      </c>
      <c r="J6069" s="26" t="str">
        <f>IF(OR(E6069="",E6069="!!!",F6069="NEW"),"",COUNTBLANK(OFFSET(A$1,,,SUMPRODUCT(MAX(ROW(E$2:E6069)*(E6069=E$2:E6069)))))-COUNTBLANK(OFFSET(A$1,,,SUMPRODUCT(MAX(ROW(E$1:E6068)*(E2=E$1:E6068))))))</f>
        <v> </v>
      </c>
      <c r="K6069" s="26" t="str">
        <f>IF(OR(E6069="",E6069="!!!",F6069="NEW"),"",INDEX(J$1:J6068,SUMPRODUCT(MAX(ROW(E$1:E6068)*(E6069=E$1:E6068)))))</f>
        <v> </v>
      </c>
      <c r="L6069" s="27"/>
    </row>
    <row r="6070" spans="1:12">
      <c r="A6070" s="20" t="s">
        <v>2435</v>
      </c>
      <c r="E6070" s="22">
        <f>IF(D6070="?OLD","!!!","")</f>
        <v/>
      </c>
      <c r="F6070" s="23" t="str">
        <f>IF(OR(E6070="",E6070="!!!"),"",IF(NOT(ISNA(VLOOKUP(E6070,E$1:E6069,1,FALSE()))),"OLD",IF(AND(E6070&lt;&gt;"",E6070&lt;&gt;"!!!"),"NEW","")))</f>
        <v> </v>
      </c>
      <c r="G6070" s="24" t="str">
        <f>IF(OR(E6070="",E6070="!!!"),"",IF(OR(J6070=0,AND(J6070=1,K6070=1),AND(J6070=1,I6070="SBJ"),AND(J6070=1,I6070=0)),"?IN_FOCUS",IF(J6070&lt;=2,"?ACTIVATED",IF(J6070&lt;&gt;"","?FAMILIAR",IF(F6070="NEW",IF(ISNA(VLOOKUP(E6070,#REF!,1,FALSE())),"?TYPE_IDENTIFIABLE","?REFERENTIAL"),"_")))))</f>
        <v> </v>
      </c>
      <c r="H6070" s="25" t="str">
        <f>IF(J6070&lt;&gt;1,"",IF(I6070="SBJ","CB","?"))</f>
        <v> </v>
      </c>
      <c r="I6070" s="26" t="str">
        <f>IF(OR(E6070="",E6070="!!!",F6070="NEW"),"",INDEX(B6069:B$2,-1+SUMPRODUCT(MAX(ROW(E6069:E$2)*(E6070=E6069:E$2)))))</f>
        <v> </v>
      </c>
      <c r="J6070" s="26" t="str">
        <f>IF(OR(E6070="",E6070="!!!",F6070="NEW"),"",COUNTBLANK(OFFSET(A$1,,,SUMPRODUCT(MAX(ROW(E$2:E6070)*(E6070=E$2:E6070)))))-COUNTBLANK(OFFSET(A$1,,,SUMPRODUCT(MAX(ROW(E$1:E6069)*(E2=E$1:E6069))))))</f>
        <v> </v>
      </c>
      <c r="K6070" s="26" t="str">
        <f>IF(OR(E6070="",E6070="!!!",F6070="NEW"),"",INDEX(J$1:J6069,SUMPRODUCT(MAX(ROW(E$1:E6069)*(E6070=E$1:E6069)))))</f>
        <v> </v>
      </c>
      <c r="L6070" s="27"/>
    </row>
    <row r="6071" spans="1:12">
      <c r="A6071" s="20" t="s">
        <v>1065</v>
      </c>
      <c r="E6071" s="22">
        <f>IF(D6071="?OLD","!!!","")</f>
        <v/>
      </c>
      <c r="F6071" s="23" t="str">
        <f>IF(OR(E6071="",E6071="!!!"),"",IF(NOT(ISNA(VLOOKUP(E6071,E$1:E6070,1,FALSE()))),"OLD",IF(AND(E6071&lt;&gt;"",E6071&lt;&gt;"!!!"),"NEW","")))</f>
        <v> </v>
      </c>
      <c r="G6071" s="24" t="str">
        <f>IF(OR(E6071="",E6071="!!!"),"",IF(OR(J6071=0,AND(J6071=1,K6071=1),AND(J6071=1,I6071="SBJ"),AND(J6071=1,I6071=0)),"?IN_FOCUS",IF(J6071&lt;=2,"?ACTIVATED",IF(J6071&lt;&gt;"","?FAMILIAR",IF(F6071="NEW",IF(ISNA(VLOOKUP(E6071,#REF!,1,FALSE())),"?TYPE_IDENTIFIABLE","?REFERENTIAL"),"_")))))</f>
        <v> </v>
      </c>
      <c r="H6071" s="25" t="str">
        <f>IF(J6071&lt;&gt;1,"",IF(I6071="SBJ","CB","?"))</f>
        <v> </v>
      </c>
      <c r="I6071" s="26" t="str">
        <f>IF(OR(E6071="",E6071="!!!",F6071="NEW"),"",INDEX(B6070:B$2,-1+SUMPRODUCT(MAX(ROW(E6070:E$2)*(E6071=E6070:E$2)))))</f>
        <v> </v>
      </c>
      <c r="J6071" s="26" t="str">
        <f>IF(OR(E6071="",E6071="!!!",F6071="NEW"),"",COUNTBLANK(OFFSET(A$1,,,SUMPRODUCT(MAX(ROW(E$2:E6071)*(E6071=E$2:E6071)))))-COUNTBLANK(OFFSET(A$1,,,SUMPRODUCT(MAX(ROW(E$1:E6070)*(E2=E$1:E6070))))))</f>
        <v> </v>
      </c>
      <c r="K6071" s="26" t="str">
        <f>IF(OR(E6071="",E6071="!!!",F6071="NEW"),"",INDEX(J$1:J6070,SUMPRODUCT(MAX(ROW(E$1:E6070)*(E6071=E$1:E6070)))))</f>
        <v> </v>
      </c>
      <c r="L6071" s="27"/>
    </row>
    <row r="6072" spans="1:12">
      <c r="A6072" s="20" t="s">
        <v>1203</v>
      </c>
      <c r="E6072" s="22">
        <f>IF(D6072="?OLD","!!!","")</f>
        <v/>
      </c>
      <c r="F6072" s="23" t="str">
        <f>IF(OR(E6072="",E6072="!!!"),"",IF(NOT(ISNA(VLOOKUP(E6072,E$1:E6071,1,FALSE()))),"OLD",IF(AND(E6072&lt;&gt;"",E6072&lt;&gt;"!!!"),"NEW","")))</f>
        <v> </v>
      </c>
      <c r="G6072" s="24" t="str">
        <f>IF(OR(E6072="",E6072="!!!"),"",IF(OR(J6072=0,AND(J6072=1,K6072=1),AND(J6072=1,I6072="SBJ"),AND(J6072=1,I6072=0)),"?IN_FOCUS",IF(J6072&lt;=2,"?ACTIVATED",IF(J6072&lt;&gt;"","?FAMILIAR",IF(F6072="NEW",IF(ISNA(VLOOKUP(E6072,#REF!,1,FALSE())),"?TYPE_IDENTIFIABLE","?REFERENTIAL"),"_")))))</f>
        <v> </v>
      </c>
      <c r="H6072" s="25" t="str">
        <f>IF(J6072&lt;&gt;1,"",IF(I6072="SBJ","CB","?"))</f>
        <v> </v>
      </c>
      <c r="I6072" s="26" t="str">
        <f>IF(OR(E6072="",E6072="!!!",F6072="NEW"),"",INDEX(B6071:B$2,-1+SUMPRODUCT(MAX(ROW(E6071:E$2)*(E6072=E6071:E$2)))))</f>
        <v> </v>
      </c>
      <c r="J6072" s="26" t="str">
        <f>IF(OR(E6072="",E6072="!!!",F6072="NEW"),"",COUNTBLANK(OFFSET(A$1,,,SUMPRODUCT(MAX(ROW(E$2:E6072)*(E6072=E$2:E6072)))))-COUNTBLANK(OFFSET(A$1,,,SUMPRODUCT(MAX(ROW(E$1:E6071)*(E2=E$1:E6071))))))</f>
        <v> </v>
      </c>
      <c r="K6072" s="26" t="str">
        <f>IF(OR(E6072="",E6072="!!!",F6072="NEW"),"",INDEX(J$1:J6071,SUMPRODUCT(MAX(ROW(E$1:E6071)*(E6072=E$1:E6071)))))</f>
        <v> </v>
      </c>
      <c r="L6072" s="27"/>
    </row>
    <row r="6073" spans="1:12">
      <c r="A6073" s="20" t="s">
        <v>1285</v>
      </c>
      <c r="B6073" s="21" t="s">
        <v>1187</v>
      </c>
      <c r="C6073" s="21" t="s">
        <v>1048</v>
      </c>
      <c r="E6073" s="22">
        <f>IF(D6073="?OLD","!!!","")</f>
        <v/>
      </c>
      <c r="F6073" s="23" t="str">
        <f>IF(OR(E6073="",E6073="!!!"),"",IF(NOT(ISNA(VLOOKUP(E6073,E$1:E6072,1,FALSE()))),"OLD",IF(AND(E6073&lt;&gt;"",E6073&lt;&gt;"!!!"),"NEW","")))</f>
        <v> </v>
      </c>
      <c r="G6073" s="24" t="str">
        <f>IF(OR(E6073="",E6073="!!!"),"",IF(OR(J6073=0,AND(J6073=1,K6073=1),AND(J6073=1,I6073="SBJ"),AND(J6073=1,I6073=0)),"?IN_FOCUS",IF(J6073&lt;=2,"?ACTIVATED",IF(J6073&lt;&gt;"","?FAMILIAR",IF(F6073="NEW",IF(ISNA(VLOOKUP(E6073,#REF!,1,FALSE())),"?TYPE_IDENTIFIABLE","?REFERENTIAL"),"_")))))</f>
        <v> </v>
      </c>
      <c r="H6073" s="25" t="str">
        <f>IF(J6073&lt;&gt;1,"",IF(I6073="SBJ","CB","?"))</f>
        <v> </v>
      </c>
      <c r="I6073" s="26" t="str">
        <f>IF(OR(E6073="",E6073="!!!",F6073="NEW"),"",INDEX(B6072:B$2,-1+SUMPRODUCT(MAX(ROW(E6072:E$2)*(E6073=E6072:E$2)))))</f>
        <v> </v>
      </c>
      <c r="J6073" s="26" t="str">
        <f>IF(OR(E6073="",E6073="!!!",F6073="NEW"),"",COUNTBLANK(OFFSET(A$1,,,SUMPRODUCT(MAX(ROW(E$2:E6073)*(E6073=E$2:E6073)))))-COUNTBLANK(OFFSET(A$1,,,SUMPRODUCT(MAX(ROW(E$1:E6072)*(E2=E$1:E6072))))))</f>
        <v> </v>
      </c>
      <c r="K6073" s="26" t="str">
        <f>IF(OR(E6073="",E6073="!!!",F6073="NEW"),"",INDEX(J$1:J6072,SUMPRODUCT(MAX(ROW(E$1:E6072)*(E6073=E$1:E6072)))))</f>
        <v> </v>
      </c>
      <c r="L6073" s="27"/>
    </row>
    <row r="6074" spans="1:12">
      <c r="A6074" s="20" t="s">
        <v>1014</v>
      </c>
      <c r="E6074" s="22">
        <f>IF(D6074="?OLD","!!!","")</f>
        <v/>
      </c>
      <c r="F6074" s="23" t="str">
        <f>IF(OR(E6074="",E6074="!!!"),"",IF(NOT(ISNA(VLOOKUP(E6074,E$1:E6073,1,FALSE()))),"OLD",IF(AND(E6074&lt;&gt;"",E6074&lt;&gt;"!!!"),"NEW","")))</f>
        <v> </v>
      </c>
      <c r="G6074" s="24" t="str">
        <f>IF(OR(E6074="",E6074="!!!"),"",IF(OR(J6074=0,AND(J6074=1,K6074=1),AND(J6074=1,I6074="SBJ"),AND(J6074=1,I6074=0)),"?IN_FOCUS",IF(J6074&lt;=2,"?ACTIVATED",IF(J6074&lt;&gt;"","?FAMILIAR",IF(F6074="NEW",IF(ISNA(VLOOKUP(E6074,#REF!,1,FALSE())),"?TYPE_IDENTIFIABLE","?REFERENTIAL"),"_")))))</f>
        <v> </v>
      </c>
      <c r="H6074" s="25" t="str">
        <f>IF(J6074&lt;&gt;1,"",IF(I6074="SBJ","CB","?"))</f>
        <v> </v>
      </c>
      <c r="I6074" s="26" t="str">
        <f>IF(OR(E6074="",E6074="!!!",F6074="NEW"),"",INDEX(B6073:B$2,-1+SUMPRODUCT(MAX(ROW(E6073:E$2)*(E6074=E6073:E$2)))))</f>
        <v> </v>
      </c>
      <c r="J6074" s="26" t="str">
        <f>IF(OR(E6074="",E6074="!!!",F6074="NEW"),"",COUNTBLANK(OFFSET(A$1,,,SUMPRODUCT(MAX(ROW(E$2:E6074)*(E6074=E$2:E6074)))))-COUNTBLANK(OFFSET(A$1,,,SUMPRODUCT(MAX(ROW(E$1:E6073)*(E2=E$1:E6073))))))</f>
        <v> </v>
      </c>
      <c r="K6074" s="26" t="str">
        <f>IF(OR(E6074="",E6074="!!!",F6074="NEW"),"",INDEX(J$1:J6073,SUMPRODUCT(MAX(ROW(E$1:E6073)*(E6074=E$1:E6073)))))</f>
        <v> </v>
      </c>
      <c r="L6074" s="27"/>
    </row>
    <row r="6075" spans="1:12">
      <c r="A6075" s="20" t="s">
        <v>110</v>
      </c>
      <c r="E6075" s="22">
        <f>IF(D6075="?OLD","!!!","")</f>
        <v/>
      </c>
      <c r="F6075" s="23" t="str">
        <f>IF(OR(E6075="",E6075="!!!"),"",IF(NOT(ISNA(VLOOKUP(E6075,E$1:E6074,1,FALSE()))),"OLD",IF(AND(E6075&lt;&gt;"",E6075&lt;&gt;"!!!"),"NEW","")))</f>
        <v> </v>
      </c>
      <c r="G6075" s="24" t="str">
        <f>IF(OR(E6075="",E6075="!!!"),"",IF(OR(J6075=0,AND(J6075=1,K6075=1),AND(J6075=1,I6075="SBJ"),AND(J6075=1,I6075=0)),"?IN_FOCUS",IF(J6075&lt;=2,"?ACTIVATED",IF(J6075&lt;&gt;"","?FAMILIAR",IF(F6075="NEW",IF(ISNA(VLOOKUP(E6075,#REF!,1,FALSE())),"?TYPE_IDENTIFIABLE","?REFERENTIAL"),"_")))))</f>
        <v> </v>
      </c>
      <c r="H6075" s="25" t="str">
        <f>IF(J6075&lt;&gt;1,"",IF(I6075="SBJ","CB","?"))</f>
        <v> </v>
      </c>
      <c r="I6075" s="26" t="str">
        <f>IF(OR(E6075="",E6075="!!!",F6075="NEW"),"",INDEX(B6074:B$2,-1+SUMPRODUCT(MAX(ROW(E6074:E$2)*(E6075=E6074:E$2)))))</f>
        <v> </v>
      </c>
      <c r="J6075" s="26" t="str">
        <f>IF(OR(E6075="",E6075="!!!",F6075="NEW"),"",COUNTBLANK(OFFSET(A$1,,,SUMPRODUCT(MAX(ROW(E$2:E6075)*(E6075=E$2:E6075)))))-COUNTBLANK(OFFSET(A$1,,,SUMPRODUCT(MAX(ROW(E$1:E6074)*(E2=E$1:E6074))))))</f>
        <v> </v>
      </c>
      <c r="K6075" s="26" t="str">
        <f>IF(OR(E6075="",E6075="!!!",F6075="NEW"),"",INDEX(J$1:J6074,SUMPRODUCT(MAX(ROW(E$1:E6074)*(E6075=E$1:E6074)))))</f>
        <v> </v>
      </c>
      <c r="L6075" s="27"/>
    </row>
    <row r="6076" spans="1:12">
      <c r="A6076" s="20" t="s">
        <v>2508</v>
      </c>
      <c r="B6076" s="21" t="s">
        <v>1134</v>
      </c>
      <c r="C6076" s="21" t="s">
        <v>1086</v>
      </c>
      <c r="E6076" s="22">
        <f>IF(D6076="?OLD","!!!","")</f>
        <v/>
      </c>
      <c r="F6076" s="23" t="str">
        <f>IF(OR(E6076="",E6076="!!!"),"",IF(NOT(ISNA(VLOOKUP(E6076,E$1:E6075,1,FALSE()))),"OLD",IF(AND(E6076&lt;&gt;"",E6076&lt;&gt;"!!!"),"NEW","")))</f>
        <v> </v>
      </c>
      <c r="G6076" s="24" t="str">
        <f>IF(OR(E6076="",E6076="!!!"),"",IF(OR(J6076=0,AND(J6076=1,K6076=1),AND(J6076=1,I6076="SBJ"),AND(J6076=1,I6076=0)),"?IN_FOCUS",IF(J6076&lt;=2,"?ACTIVATED",IF(J6076&lt;&gt;"","?FAMILIAR",IF(F6076="NEW",IF(ISNA(VLOOKUP(E6076,#REF!,1,FALSE())),"?TYPE_IDENTIFIABLE","?REFERENTIAL"),"_")))))</f>
        <v> </v>
      </c>
      <c r="H6076" s="25" t="str">
        <f>IF(J6076&lt;&gt;1,"",IF(I6076="SBJ","CB","?"))</f>
        <v> </v>
      </c>
      <c r="I6076" s="26" t="str">
        <f>IF(OR(E6076="",E6076="!!!",F6076="NEW"),"",INDEX(B6075:B$2,-1+SUMPRODUCT(MAX(ROW(E6075:E$2)*(E6076=E6075:E$2)))))</f>
        <v> </v>
      </c>
      <c r="J6076" s="26" t="str">
        <f>IF(OR(E6076="",E6076="!!!",F6076="NEW"),"",COUNTBLANK(OFFSET(A$1,,,SUMPRODUCT(MAX(ROW(E$2:E6076)*(E6076=E$2:E6076)))))-COUNTBLANK(OFFSET(A$1,,,SUMPRODUCT(MAX(ROW(E$1:E6075)*(E2=E$1:E6075))))))</f>
        <v> </v>
      </c>
      <c r="K6076" s="26" t="str">
        <f>IF(OR(E6076="",E6076="!!!",F6076="NEW"),"",INDEX(J$1:J6075,SUMPRODUCT(MAX(ROW(E$1:E6075)*(E6076=E$1:E6075)))))</f>
        <v> </v>
      </c>
      <c r="L6076" s="27"/>
    </row>
    <row r="6077" spans="1:12">
      <c r="A6077" s="20" t="s">
        <v>1127</v>
      </c>
      <c r="E6077" s="22">
        <f>IF(D6077="?OLD","!!!","")</f>
        <v/>
      </c>
      <c r="F6077" s="23" t="str">
        <f>IF(OR(E6077="",E6077="!!!"),"",IF(NOT(ISNA(VLOOKUP(E6077,E$1:E6076,1,FALSE()))),"OLD",IF(AND(E6077&lt;&gt;"",E6077&lt;&gt;"!!!"),"NEW","")))</f>
        <v> </v>
      </c>
      <c r="G6077" s="24" t="str">
        <f>IF(OR(E6077="",E6077="!!!"),"",IF(OR(J6077=0,AND(J6077=1,K6077=1),AND(J6077=1,I6077="SBJ"),AND(J6077=1,I6077=0)),"?IN_FOCUS",IF(J6077&lt;=2,"?ACTIVATED",IF(J6077&lt;&gt;"","?FAMILIAR",IF(F6077="NEW",IF(ISNA(VLOOKUP(E6077,#REF!,1,FALSE())),"?TYPE_IDENTIFIABLE","?REFERENTIAL"),"_")))))</f>
        <v> </v>
      </c>
      <c r="H6077" s="25" t="str">
        <f>IF(J6077&lt;&gt;1,"",IF(I6077="SBJ","CB","?"))</f>
        <v> </v>
      </c>
      <c r="I6077" s="26" t="str">
        <f>IF(OR(E6077="",E6077="!!!",F6077="NEW"),"",INDEX(B6076:B$2,-1+SUMPRODUCT(MAX(ROW(E6076:E$2)*(E6077=E6076:E$2)))))</f>
        <v> </v>
      </c>
      <c r="J6077" s="26" t="str">
        <f>IF(OR(E6077="",E6077="!!!",F6077="NEW"),"",COUNTBLANK(OFFSET(A$1,,,SUMPRODUCT(MAX(ROW(E$2:E6077)*(E6077=E$2:E6077)))))-COUNTBLANK(OFFSET(A$1,,,SUMPRODUCT(MAX(ROW(E$1:E6076)*(E2=E$1:E6076))))))</f>
        <v> </v>
      </c>
      <c r="K6077" s="26" t="str">
        <f>IF(OR(E6077="",E6077="!!!",F6077="NEW"),"",INDEX(J$1:J6076,SUMPRODUCT(MAX(ROW(E$1:E6076)*(E6077=E$1:E6076)))))</f>
        <v> </v>
      </c>
      <c r="L6077" s="27"/>
    </row>
    <row r="6078" spans="1:12">
      <c r="A6078" s="20" t="s">
        <v>1140</v>
      </c>
      <c r="B6078" s="21" t="s">
        <v>1040</v>
      </c>
      <c r="C6078" s="21" t="s">
        <v>1073</v>
      </c>
      <c r="D6078" s="21" t="s">
        <v>1007</v>
      </c>
      <c r="E6078" s="22">
        <f>IF(D6078="?OLD","!!!","")</f>
        <v/>
      </c>
      <c r="F6078" s="23" t="str">
        <f>IF(OR(E6078="",E6078="!!!"),"",IF(NOT(ISNA(VLOOKUP(E6078,E$1:E6077,1,FALSE()))),"OLD",IF(AND(E6078&lt;&gt;"",E6078&lt;&gt;"!!!"),"NEW","")))</f>
        <v> </v>
      </c>
      <c r="G6078" s="24" t="str">
        <f>IF(OR(E6078="",E6078="!!!"),"",IF(OR(J6078=0,AND(J6078=1,K6078=1),AND(J6078=1,I6078="SBJ"),AND(J6078=1,I6078=0)),"?IN_FOCUS",IF(J6078&lt;=2,"?ACTIVATED",IF(J6078&lt;&gt;"","?FAMILIAR",IF(F6078="NEW",IF(ISNA(VLOOKUP(E6078,#REF!,1,FALSE())),"?TYPE_IDENTIFIABLE","?REFERENTIAL"),"_")))))</f>
        <v> </v>
      </c>
      <c r="H6078" s="25" t="str">
        <f>IF(J6078&lt;&gt;1,"",IF(I6078="SBJ","CB","?"))</f>
        <v> </v>
      </c>
      <c r="I6078" s="26" t="str">
        <f>IF(OR(E6078="",E6078="!!!",F6078="NEW"),"",INDEX(B6077:B$2,-1+SUMPRODUCT(MAX(ROW(E6077:E$2)*(E6078=E6077:E$2)))))</f>
        <v> </v>
      </c>
      <c r="J6078" s="26" t="str">
        <f>IF(OR(E6078="",E6078="!!!",F6078="NEW"),"",COUNTBLANK(OFFSET(A$1,,,SUMPRODUCT(MAX(ROW(E$2:E6078)*(E6078=E$2:E6078)))))-COUNTBLANK(OFFSET(A$1,,,SUMPRODUCT(MAX(ROW(E$1:E6077)*(E2=E$1:E6077))))))</f>
        <v> </v>
      </c>
      <c r="K6078" s="26" t="str">
        <f>IF(OR(E6078="",E6078="!!!",F6078="NEW"),"",INDEX(J$1:J6077,SUMPRODUCT(MAX(ROW(E$1:E6077)*(E6078=E$1:E6077)))))</f>
        <v> </v>
      </c>
      <c r="L6078" s="27"/>
    </row>
    <row r="6079" spans="1:12">
      <c r="A6079" s="20" t="s">
        <v>1023</v>
      </c>
      <c r="E6079" s="22">
        <f>IF(D6079="?OLD","!!!","")</f>
        <v/>
      </c>
      <c r="F6079" s="23" t="str">
        <f>IF(OR(E6079="",E6079="!!!"),"",IF(NOT(ISNA(VLOOKUP(E6079,E$1:E6078,1,FALSE()))),"OLD",IF(AND(E6079&lt;&gt;"",E6079&lt;&gt;"!!!"),"NEW","")))</f>
        <v> </v>
      </c>
      <c r="G6079" s="24" t="str">
        <f>IF(OR(E6079="",E6079="!!!"),"",IF(OR(J6079=0,AND(J6079=1,K6079=1),AND(J6079=1,I6079="SBJ"),AND(J6079=1,I6079=0)),"?IN_FOCUS",IF(J6079&lt;=2,"?ACTIVATED",IF(J6079&lt;&gt;"","?FAMILIAR",IF(F6079="NEW",IF(ISNA(VLOOKUP(E6079,#REF!,1,FALSE())),"?TYPE_IDENTIFIABLE","?REFERENTIAL"),"_")))))</f>
        <v> </v>
      </c>
      <c r="H6079" s="25" t="str">
        <f>IF(J6079&lt;&gt;1,"",IF(I6079="SBJ","CB","?"))</f>
        <v> </v>
      </c>
      <c r="I6079" s="26" t="str">
        <f>IF(OR(E6079="",E6079="!!!",F6079="NEW"),"",INDEX(B6078:B$2,-1+SUMPRODUCT(MAX(ROW(E6078:E$2)*(E6079=E6078:E$2)))))</f>
        <v> </v>
      </c>
      <c r="J6079" s="26" t="str">
        <f>IF(OR(E6079="",E6079="!!!",F6079="NEW"),"",COUNTBLANK(OFFSET(A$1,,,SUMPRODUCT(MAX(ROW(E$2:E6079)*(E6079=E$2:E6079)))))-COUNTBLANK(OFFSET(A$1,,,SUMPRODUCT(MAX(ROW(E$1:E6078)*(E2=E$1:E6078))))))</f>
        <v> </v>
      </c>
      <c r="K6079" s="26" t="str">
        <f>IF(OR(E6079="",E6079="!!!",F6079="NEW"),"",INDEX(J$1:J6078,SUMPRODUCT(MAX(ROW(E$1:E6078)*(E6079=E$1:E6078)))))</f>
        <v> </v>
      </c>
      <c r="L6079" s="27"/>
    </row>
    <row r="6080" spans="1:12">
      <c r="A6080" s="20"/>
    </row>
    <row r="6081" spans="1:12">
      <c r="A6081" s="20" t="s">
        <v>2608</v>
      </c>
    </row>
    <row r="6082" spans="1:12">
      <c r="A6082" s="20" t="s">
        <v>1175</v>
      </c>
      <c r="E6082" s="22">
        <f>IF(D6082="?OLD","!!!","")</f>
        <v/>
      </c>
      <c r="F6082" s="23" t="str">
        <f>IF(OR(E6082="",E6082="!!!"),"",IF(NOT(ISNA(VLOOKUP(E6082,E$1:E6081,1,FALSE()))),"OLD",IF(AND(E6082&lt;&gt;"",E6082&lt;&gt;"!!!"),"NEW","")))</f>
        <v> </v>
      </c>
      <c r="G6082" s="24" t="str">
        <f>IF(OR(E6082="",E6082="!!!"),"",IF(OR(J6082=0,AND(J6082=1,K6082=1),AND(J6082=1,I6082="SBJ"),AND(J6082=1,I6082=0)),"?IN_FOCUS",IF(J6082&lt;=2,"?ACTIVATED",IF(J6082&lt;&gt;"","?FAMILIAR",IF(F6082="NEW",IF(ISNA(VLOOKUP(E6082,#REF!,1,FALSE())),"?TYPE_IDENTIFIABLE","?REFERENTIAL"),"_")))))</f>
        <v> </v>
      </c>
      <c r="H6082" s="25" t="str">
        <f>IF(J6082&lt;&gt;1,"",IF(I6082="SBJ","CB","?"))</f>
        <v> </v>
      </c>
      <c r="I6082" s="26" t="str">
        <f>IF(OR(E6082="",E6082="!!!",F6082="NEW"),"",INDEX(B6081:B$2,-1+SUMPRODUCT(MAX(ROW(E6081:E$2)*(E6082=E6081:E$2)))))</f>
        <v> </v>
      </c>
      <c r="J6082" s="26" t="str">
        <f>IF(OR(E6082="",E6082="!!!",F6082="NEW"),"",COUNTBLANK(OFFSET(A$1,,,SUMPRODUCT(MAX(ROW(E$2:E6082)*(E6082=E$2:E6082)))))-COUNTBLANK(OFFSET(A$1,,,SUMPRODUCT(MAX(ROW(E$1:E6081)*(E2=E$1:E6081))))))</f>
        <v> </v>
      </c>
      <c r="K6082" s="26" t="str">
        <f>IF(OR(E6082="",E6082="!!!",F6082="NEW"),"",INDEX(J$1:J6081,SUMPRODUCT(MAX(ROW(E$1:E6081)*(E6082=E$1:E6081)))))</f>
        <v> </v>
      </c>
      <c r="L6082" s="27"/>
    </row>
    <row r="6083" spans="1:12">
      <c r="A6083" s="20" t="s">
        <v>885</v>
      </c>
      <c r="B6083" s="21" t="s">
        <v>1005</v>
      </c>
      <c r="C6083" s="21" t="s">
        <v>1082</v>
      </c>
      <c r="D6083" s="21" t="s">
        <v>1007</v>
      </c>
      <c r="E6083" s="22">
        <f>IF(D6083="?OLD","!!!","")</f>
        <v/>
      </c>
      <c r="F6083" s="23" t="str">
        <f>IF(OR(E6083="",E6083="!!!"),"",IF(NOT(ISNA(VLOOKUP(E6083,E$1:E6082,1,FALSE()))),"OLD",IF(AND(E6083&lt;&gt;"",E6083&lt;&gt;"!!!"),"NEW","")))</f>
        <v> </v>
      </c>
      <c r="G6083" s="24" t="str">
        <f>IF(OR(E6083="",E6083="!!!"),"",IF(OR(J6083=0,AND(J6083=1,K6083=1),AND(J6083=1,I6083="SBJ"),AND(J6083=1,I6083=0)),"?IN_FOCUS",IF(J6083&lt;=2,"?ACTIVATED",IF(J6083&lt;&gt;"","?FAMILIAR",IF(F6083="NEW",IF(ISNA(VLOOKUP(E6083,#REF!,1,FALSE())),"?TYPE_IDENTIFIABLE","?REFERENTIAL"),"_")))))</f>
        <v> </v>
      </c>
      <c r="H6083" s="25" t="str">
        <f>IF(J6083&lt;&gt;1,"",IF(I6083="SBJ","CB","?"))</f>
        <v> </v>
      </c>
      <c r="I6083" s="26" t="str">
        <f>IF(OR(E6083="",E6083="!!!",F6083="NEW"),"",INDEX(B6082:B$2,-1+SUMPRODUCT(MAX(ROW(E6082:E$2)*(E6083=E6082:E$2)))))</f>
        <v> </v>
      </c>
      <c r="J6083" s="26" t="str">
        <f>IF(OR(E6083="",E6083="!!!",F6083="NEW"),"",COUNTBLANK(OFFSET(A$1,,,SUMPRODUCT(MAX(ROW(E$2:E6083)*(E6083=E$2:E6083)))))-COUNTBLANK(OFFSET(A$1,,,SUMPRODUCT(MAX(ROW(E$1:E6082)*(E2=E$1:E6082))))))</f>
        <v> </v>
      </c>
      <c r="K6083" s="26" t="str">
        <f>IF(OR(E6083="",E6083="!!!",F6083="NEW"),"",INDEX(J$1:J6082,SUMPRODUCT(MAX(ROW(E$1:E6082)*(E6083=E$1:E6082)))))</f>
        <v> </v>
      </c>
      <c r="L6083" s="27"/>
    </row>
    <row r="6084" spans="1:12">
      <c r="A6084" s="20" t="s">
        <v>1255</v>
      </c>
      <c r="E6084" s="22">
        <f>IF(D6084="?OLD","!!!","")</f>
        <v/>
      </c>
      <c r="F6084" s="23" t="str">
        <f>IF(OR(E6084="",E6084="!!!"),"",IF(NOT(ISNA(VLOOKUP(E6084,E$1:E6083,1,FALSE()))),"OLD",IF(AND(E6084&lt;&gt;"",E6084&lt;&gt;"!!!"),"NEW","")))</f>
        <v> </v>
      </c>
      <c r="G6084" s="24" t="str">
        <f>IF(OR(E6084="",E6084="!!!"),"",IF(OR(J6084=0,AND(J6084=1,K6084=1),AND(J6084=1,I6084="SBJ"),AND(J6084=1,I6084=0)),"?IN_FOCUS",IF(J6084&lt;=2,"?ACTIVATED",IF(J6084&lt;&gt;"","?FAMILIAR",IF(F6084="NEW",IF(ISNA(VLOOKUP(E6084,#REF!,1,FALSE())),"?TYPE_IDENTIFIABLE","?REFERENTIAL"),"_")))))</f>
        <v> </v>
      </c>
      <c r="H6084" s="25" t="str">
        <f>IF(J6084&lt;&gt;1,"",IF(I6084="SBJ","CB","?"))</f>
        <v> </v>
      </c>
      <c r="I6084" s="26" t="str">
        <f>IF(OR(E6084="",E6084="!!!",F6084="NEW"),"",INDEX(B6083:B$2,-1+SUMPRODUCT(MAX(ROW(E6083:E$2)*(E6084=E6083:E$2)))))</f>
        <v> </v>
      </c>
      <c r="J6084" s="26" t="str">
        <f>IF(OR(E6084="",E6084="!!!",F6084="NEW"),"",COUNTBLANK(OFFSET(A$1,,,SUMPRODUCT(MAX(ROW(E$2:E6084)*(E6084=E$2:E6084)))))-COUNTBLANK(OFFSET(A$1,,,SUMPRODUCT(MAX(ROW(E$1:E6083)*(E2=E$1:E6083))))))</f>
        <v> </v>
      </c>
      <c r="K6084" s="26" t="str">
        <f>IF(OR(E6084="",E6084="!!!",F6084="NEW"),"",INDEX(J$1:J6083,SUMPRODUCT(MAX(ROW(E$1:E6083)*(E6084=E$1:E6083)))))</f>
        <v> </v>
      </c>
      <c r="L6084" s="27"/>
    </row>
    <row r="6085" spans="1:12">
      <c r="A6085" s="20" t="s">
        <v>1023</v>
      </c>
      <c r="E6085" s="22">
        <f>IF(D6085="?OLD","!!!","")</f>
        <v/>
      </c>
      <c r="F6085" s="23" t="str">
        <f>IF(OR(E6085="",E6085="!!!"),"",IF(NOT(ISNA(VLOOKUP(E6085,E$1:E6084,1,FALSE()))),"OLD",IF(AND(E6085&lt;&gt;"",E6085&lt;&gt;"!!!"),"NEW","")))</f>
        <v> </v>
      </c>
      <c r="G6085" s="24" t="str">
        <f>IF(OR(E6085="",E6085="!!!"),"",IF(OR(J6085=0,AND(J6085=1,K6085=1),AND(J6085=1,I6085="SBJ"),AND(J6085=1,I6085=0)),"?IN_FOCUS",IF(J6085&lt;=2,"?ACTIVATED",IF(J6085&lt;&gt;"","?FAMILIAR",IF(F6085="NEW",IF(ISNA(VLOOKUP(E6085,#REF!,1,FALSE())),"?TYPE_IDENTIFIABLE","?REFERENTIAL"),"_")))))</f>
        <v> </v>
      </c>
      <c r="H6085" s="25" t="str">
        <f>IF(J6085&lt;&gt;1,"",IF(I6085="SBJ","CB","?"))</f>
        <v> </v>
      </c>
      <c r="I6085" s="26" t="str">
        <f>IF(OR(E6085="",E6085="!!!",F6085="NEW"),"",INDEX(B6084:B$2,-1+SUMPRODUCT(MAX(ROW(E6084:E$2)*(E6085=E6084:E$2)))))</f>
        <v> </v>
      </c>
      <c r="J6085" s="26" t="str">
        <f>IF(OR(E6085="",E6085="!!!",F6085="NEW"),"",COUNTBLANK(OFFSET(A$1,,,SUMPRODUCT(MAX(ROW(E$2:E6085)*(E6085=E$2:E6085)))))-COUNTBLANK(OFFSET(A$1,,,SUMPRODUCT(MAX(ROW(E$1:E6084)*(E2=E$1:E6084))))))</f>
        <v> </v>
      </c>
      <c r="K6085" s="26" t="str">
        <f>IF(OR(E6085="",E6085="!!!",F6085="NEW"),"",INDEX(J$1:J6084,SUMPRODUCT(MAX(ROW(E$1:E6084)*(E6085=E$1:E6084)))))</f>
        <v> </v>
      </c>
      <c r="L6085" s="27"/>
    </row>
    <row r="6086" spans="1:12">
      <c r="A6086" s="20"/>
    </row>
    <row r="6087" spans="1:12">
      <c r="A6087" s="20" t="s">
        <v>2609</v>
      </c>
    </row>
    <row r="6088" spans="1:12">
      <c r="A6088" s="20" t="s">
        <v>1118</v>
      </c>
      <c r="B6088" s="21" t="s">
        <v>1050</v>
      </c>
      <c r="C6088" s="21" t="s">
        <v>1048</v>
      </c>
      <c r="E6088" s="22">
        <f>IF(D6088="?OLD","!!!","")</f>
        <v/>
      </c>
      <c r="F6088" s="23" t="str">
        <f>IF(OR(E6088="",E6088="!!!"),"",IF(NOT(ISNA(VLOOKUP(E6088,E$1:E6087,1,FALSE()))),"OLD",IF(AND(E6088&lt;&gt;"",E6088&lt;&gt;"!!!"),"NEW","")))</f>
        <v> </v>
      </c>
      <c r="G6088" s="24" t="str">
        <f>IF(OR(E6088="",E6088="!!!"),"",IF(OR(J6088=0,AND(J6088=1,K6088=1),AND(J6088=1,I6088="SBJ"),AND(J6088=1,I6088=0)),"?IN_FOCUS",IF(J6088&lt;=2,"?ACTIVATED",IF(J6088&lt;&gt;"","?FAMILIAR",IF(F6088="NEW",IF(ISNA(VLOOKUP(E6088,#REF!,1,FALSE())),"?TYPE_IDENTIFIABLE","?REFERENTIAL"),"_")))))</f>
        <v> </v>
      </c>
      <c r="H6088" s="25" t="str">
        <f>IF(J6088&lt;&gt;1,"",IF(I6088="SBJ","CB","?"))</f>
        <v> </v>
      </c>
      <c r="I6088" s="26" t="str">
        <f>IF(OR(E6088="",E6088="!!!",F6088="NEW"),"",INDEX(B6087:B$2,-1+SUMPRODUCT(MAX(ROW(E6087:E$2)*(E6088=E6087:E$2)))))</f>
        <v> </v>
      </c>
      <c r="J6088" s="26" t="str">
        <f>IF(OR(E6088="",E6088="!!!",F6088="NEW"),"",COUNTBLANK(OFFSET(A$1,,,SUMPRODUCT(MAX(ROW(E$2:E6088)*(E6088=E$2:E6088)))))-COUNTBLANK(OFFSET(A$1,,,SUMPRODUCT(MAX(ROW(E$1:E6087)*(E2=E$1:E6087))))))</f>
        <v> </v>
      </c>
      <c r="K6088" s="26" t="str">
        <f>IF(OR(E6088="",E6088="!!!",F6088="NEW"),"",INDEX(J$1:J6087,SUMPRODUCT(MAX(ROW(E$1:E6087)*(E6088=E$1:E6087)))))</f>
        <v> </v>
      </c>
      <c r="L6088" s="27"/>
    </row>
    <row r="6089" spans="1:12">
      <c r="A6089" s="20" t="s">
        <v>1009</v>
      </c>
      <c r="E6089" s="22">
        <f>IF(D6089="?OLD","!!!","")</f>
        <v/>
      </c>
      <c r="F6089" s="23" t="str">
        <f>IF(OR(E6089="",E6089="!!!"),"",IF(NOT(ISNA(VLOOKUP(E6089,E$1:E6088,1,FALSE()))),"OLD",IF(AND(E6089&lt;&gt;"",E6089&lt;&gt;"!!!"),"NEW","")))</f>
        <v> </v>
      </c>
      <c r="G6089" s="24" t="str">
        <f>IF(OR(E6089="",E6089="!!!"),"",IF(OR(J6089=0,AND(J6089=1,K6089=1),AND(J6089=1,I6089="SBJ"),AND(J6089=1,I6089=0)),"?IN_FOCUS",IF(J6089&lt;=2,"?ACTIVATED",IF(J6089&lt;&gt;"","?FAMILIAR",IF(F6089="NEW",IF(ISNA(VLOOKUP(E6089,#REF!,1,FALSE())),"?TYPE_IDENTIFIABLE","?REFERENTIAL"),"_")))))</f>
        <v> </v>
      </c>
      <c r="H6089" s="25" t="str">
        <f>IF(J6089&lt;&gt;1,"",IF(I6089="SBJ","CB","?"))</f>
        <v> </v>
      </c>
      <c r="I6089" s="26" t="str">
        <f>IF(OR(E6089="",E6089="!!!",F6089="NEW"),"",INDEX(B6088:B$2,-1+SUMPRODUCT(MAX(ROW(E6088:E$2)*(E6089=E6088:E$2)))))</f>
        <v> </v>
      </c>
      <c r="J6089" s="26" t="str">
        <f>IF(OR(E6089="",E6089="!!!",F6089="NEW"),"",COUNTBLANK(OFFSET(A$1,,,SUMPRODUCT(MAX(ROW(E$2:E6089)*(E6089=E$2:E6089)))))-COUNTBLANK(OFFSET(A$1,,,SUMPRODUCT(MAX(ROW(E$1:E6088)*(E2=E$1:E6088))))))</f>
        <v> </v>
      </c>
      <c r="K6089" s="26" t="str">
        <f>IF(OR(E6089="",E6089="!!!",F6089="NEW"),"",INDEX(J$1:J6088,SUMPRODUCT(MAX(ROW(E$1:E6088)*(E6089=E$1:E6088)))))</f>
        <v> </v>
      </c>
      <c r="L6089" s="27"/>
    </row>
    <row r="6090" spans="1:12">
      <c r="A6090" s="20" t="s">
        <v>1527</v>
      </c>
      <c r="E6090" s="22">
        <f>IF(D6090="?OLD","!!!","")</f>
        <v/>
      </c>
      <c r="F6090" s="23" t="str">
        <f>IF(OR(E6090="",E6090="!!!"),"",IF(NOT(ISNA(VLOOKUP(E6090,E$1:E6089,1,FALSE()))),"OLD",IF(AND(E6090&lt;&gt;"",E6090&lt;&gt;"!!!"),"NEW","")))</f>
        <v> </v>
      </c>
      <c r="G6090" s="24" t="str">
        <f>IF(OR(E6090="",E6090="!!!"),"",IF(OR(J6090=0,AND(J6090=1,K6090=1),AND(J6090=1,I6090="SBJ"),AND(J6090=1,I6090=0)),"?IN_FOCUS",IF(J6090&lt;=2,"?ACTIVATED",IF(J6090&lt;&gt;"","?FAMILIAR",IF(F6090="NEW",IF(ISNA(VLOOKUP(E6090,#REF!,1,FALSE())),"?TYPE_IDENTIFIABLE","?REFERENTIAL"),"_")))))</f>
        <v> </v>
      </c>
      <c r="H6090" s="25" t="str">
        <f>IF(J6090&lt;&gt;1,"",IF(I6090="SBJ","CB","?"))</f>
        <v> </v>
      </c>
      <c r="I6090" s="26" t="str">
        <f>IF(OR(E6090="",E6090="!!!",F6090="NEW"),"",INDEX(B6089:B$2,-1+SUMPRODUCT(MAX(ROW(E6089:E$2)*(E6090=E6089:E$2)))))</f>
        <v> </v>
      </c>
      <c r="J6090" s="26" t="str">
        <f>IF(OR(E6090="",E6090="!!!",F6090="NEW"),"",COUNTBLANK(OFFSET(A$1,,,SUMPRODUCT(MAX(ROW(E$2:E6090)*(E6090=E$2:E6090)))))-COUNTBLANK(OFFSET(A$1,,,SUMPRODUCT(MAX(ROW(E$1:E6089)*(E2=E$1:E6089))))))</f>
        <v> </v>
      </c>
      <c r="K6090" s="26" t="str">
        <f>IF(OR(E6090="",E6090="!!!",F6090="NEW"),"",INDEX(J$1:J6089,SUMPRODUCT(MAX(ROW(E$1:E6089)*(E6090=E$1:E6089)))))</f>
        <v> </v>
      </c>
      <c r="L6090" s="27"/>
    </row>
    <row r="6091" spans="1:12">
      <c r="A6091" s="20" t="s">
        <v>1018</v>
      </c>
      <c r="E6091" s="22">
        <f>IF(D6091="?OLD","!!!","")</f>
        <v/>
      </c>
      <c r="F6091" s="23" t="str">
        <f>IF(OR(E6091="",E6091="!!!"),"",IF(NOT(ISNA(VLOOKUP(E6091,E$1:E6090,1,FALSE()))),"OLD",IF(AND(E6091&lt;&gt;"",E6091&lt;&gt;"!!!"),"NEW","")))</f>
        <v> </v>
      </c>
      <c r="G6091" s="24" t="str">
        <f>IF(OR(E6091="",E6091="!!!"),"",IF(OR(J6091=0,AND(J6091=1,K6091=1),AND(J6091=1,I6091="SBJ"),AND(J6091=1,I6091=0)),"?IN_FOCUS",IF(J6091&lt;=2,"?ACTIVATED",IF(J6091&lt;&gt;"","?FAMILIAR",IF(F6091="NEW",IF(ISNA(VLOOKUP(E6091,#REF!,1,FALSE())),"?TYPE_IDENTIFIABLE","?REFERENTIAL"),"_")))))</f>
        <v> </v>
      </c>
      <c r="H6091" s="25" t="str">
        <f>IF(J6091&lt;&gt;1,"",IF(I6091="SBJ","CB","?"))</f>
        <v> </v>
      </c>
      <c r="I6091" s="26" t="str">
        <f>IF(OR(E6091="",E6091="!!!",F6091="NEW"),"",INDEX(B6090:B$2,-1+SUMPRODUCT(MAX(ROW(E6090:E$2)*(E6091=E6090:E$2)))))</f>
        <v> </v>
      </c>
      <c r="J6091" s="26" t="str">
        <f>IF(OR(E6091="",E6091="!!!",F6091="NEW"),"",COUNTBLANK(OFFSET(A$1,,,SUMPRODUCT(MAX(ROW(E$2:E6091)*(E6091=E$2:E6091)))))-COUNTBLANK(OFFSET(A$1,,,SUMPRODUCT(MAX(ROW(E$1:E6090)*(E2=E$1:E6090))))))</f>
        <v> </v>
      </c>
      <c r="K6091" s="26" t="str">
        <f>IF(OR(E6091="",E6091="!!!",F6091="NEW"),"",INDEX(J$1:J6090,SUMPRODUCT(MAX(ROW(E$1:E6090)*(E6091=E$1:E6090)))))</f>
        <v> </v>
      </c>
      <c r="L6091" s="27"/>
    </row>
    <row r="6092" spans="1:12">
      <c r="A6092" s="20" t="s">
        <v>1203</v>
      </c>
      <c r="E6092" s="22">
        <f>IF(D6092="?OLD","!!!","")</f>
        <v/>
      </c>
      <c r="F6092" s="23" t="str">
        <f>IF(OR(E6092="",E6092="!!!"),"",IF(NOT(ISNA(VLOOKUP(E6092,E$1:E6091,1,FALSE()))),"OLD",IF(AND(E6092&lt;&gt;"",E6092&lt;&gt;"!!!"),"NEW","")))</f>
        <v> </v>
      </c>
      <c r="G6092" s="24" t="str">
        <f>IF(OR(E6092="",E6092="!!!"),"",IF(OR(J6092=0,AND(J6092=1,K6092=1),AND(J6092=1,I6092="SBJ"),AND(J6092=1,I6092=0)),"?IN_FOCUS",IF(J6092&lt;=2,"?ACTIVATED",IF(J6092&lt;&gt;"","?FAMILIAR",IF(F6092="NEW",IF(ISNA(VLOOKUP(E6092,#REF!,1,FALSE())),"?TYPE_IDENTIFIABLE","?REFERENTIAL"),"_")))))</f>
        <v> </v>
      </c>
      <c r="H6092" s="25" t="str">
        <f>IF(J6092&lt;&gt;1,"",IF(I6092="SBJ","CB","?"))</f>
        <v> </v>
      </c>
      <c r="I6092" s="26" t="str">
        <f>IF(OR(E6092="",E6092="!!!",F6092="NEW"),"",INDEX(B6091:B$2,-1+SUMPRODUCT(MAX(ROW(E6091:E$2)*(E6092=E6091:E$2)))))</f>
        <v> </v>
      </c>
      <c r="J6092" s="26" t="str">
        <f>IF(OR(E6092="",E6092="!!!",F6092="NEW"),"",COUNTBLANK(OFFSET(A$1,,,SUMPRODUCT(MAX(ROW(E$2:E6092)*(E6092=E$2:E6092)))))-COUNTBLANK(OFFSET(A$1,,,SUMPRODUCT(MAX(ROW(E$1:E6091)*(E2=E$1:E6091))))))</f>
        <v> </v>
      </c>
      <c r="K6092" s="26" t="str">
        <f>IF(OR(E6092="",E6092="!!!",F6092="NEW"),"",INDEX(J$1:J6091,SUMPRODUCT(MAX(ROW(E$1:E6091)*(E6092=E$1:E6091)))))</f>
        <v> </v>
      </c>
      <c r="L6092" s="27"/>
    </row>
    <row r="6093" spans="1:12">
      <c r="A6093" s="20" t="s">
        <v>1065</v>
      </c>
      <c r="E6093" s="22">
        <f>IF(D6093="?OLD","!!!","")</f>
        <v/>
      </c>
      <c r="F6093" s="23" t="str">
        <f>IF(OR(E6093="",E6093="!!!"),"",IF(NOT(ISNA(VLOOKUP(E6093,E$1:E6092,1,FALSE()))),"OLD",IF(AND(E6093&lt;&gt;"",E6093&lt;&gt;"!!!"),"NEW","")))</f>
        <v> </v>
      </c>
      <c r="G6093" s="24" t="str">
        <f>IF(OR(E6093="",E6093="!!!"),"",IF(OR(J6093=0,AND(J6093=1,K6093=1),AND(J6093=1,I6093="SBJ"),AND(J6093=1,I6093=0)),"?IN_FOCUS",IF(J6093&lt;=2,"?ACTIVATED",IF(J6093&lt;&gt;"","?FAMILIAR",IF(F6093="NEW",IF(ISNA(VLOOKUP(E6093,#REF!,1,FALSE())),"?TYPE_IDENTIFIABLE","?REFERENTIAL"),"_")))))</f>
        <v> </v>
      </c>
      <c r="H6093" s="25" t="str">
        <f>IF(J6093&lt;&gt;1,"",IF(I6093="SBJ","CB","?"))</f>
        <v> </v>
      </c>
      <c r="I6093" s="26" t="str">
        <f>IF(OR(E6093="",E6093="!!!",F6093="NEW"),"",INDEX(B6092:B$2,-1+SUMPRODUCT(MAX(ROW(E6092:E$2)*(E6093=E6092:E$2)))))</f>
        <v> </v>
      </c>
      <c r="J6093" s="26" t="str">
        <f>IF(OR(E6093="",E6093="!!!",F6093="NEW"),"",COUNTBLANK(OFFSET(A$1,,,SUMPRODUCT(MAX(ROW(E$2:E6093)*(E6093=E$2:E6093)))))-COUNTBLANK(OFFSET(A$1,,,SUMPRODUCT(MAX(ROW(E$1:E6092)*(E2=E$1:E6092))))))</f>
        <v> </v>
      </c>
      <c r="K6093" s="26" t="str">
        <f>IF(OR(E6093="",E6093="!!!",F6093="NEW"),"",INDEX(J$1:J6092,SUMPRODUCT(MAX(ROW(E$1:E6092)*(E6093=E$1:E6092)))))</f>
        <v> </v>
      </c>
      <c r="L6093" s="27"/>
    </row>
    <row r="6094" spans="1:12">
      <c r="A6094" s="20" t="s">
        <v>889</v>
      </c>
      <c r="E6094" s="22">
        <f>IF(D6094="?OLD","!!!","")</f>
        <v/>
      </c>
      <c r="F6094" s="23" t="str">
        <f>IF(OR(E6094="",E6094="!!!"),"",IF(NOT(ISNA(VLOOKUP(E6094,E$1:E6093,1,FALSE()))),"OLD",IF(AND(E6094&lt;&gt;"",E6094&lt;&gt;"!!!"),"NEW","")))</f>
        <v> </v>
      </c>
      <c r="G6094" s="24" t="str">
        <f>IF(OR(E6094="",E6094="!!!"),"",IF(OR(J6094=0,AND(J6094=1,K6094=1),AND(J6094=1,I6094="SBJ"),AND(J6094=1,I6094=0)),"?IN_FOCUS",IF(J6094&lt;=2,"?ACTIVATED",IF(J6094&lt;&gt;"","?FAMILIAR",IF(F6094="NEW",IF(ISNA(VLOOKUP(E6094,#REF!,1,FALSE())),"?TYPE_IDENTIFIABLE","?REFERENTIAL"),"_")))))</f>
        <v> </v>
      </c>
      <c r="H6094" s="25" t="str">
        <f>IF(J6094&lt;&gt;1,"",IF(I6094="SBJ","CB","?"))</f>
        <v> </v>
      </c>
      <c r="I6094" s="26" t="str">
        <f>IF(OR(E6094="",E6094="!!!",F6094="NEW"),"",INDEX(B6093:B$2,-1+SUMPRODUCT(MAX(ROW(E6093:E$2)*(E6094=E6093:E$2)))))</f>
        <v> </v>
      </c>
      <c r="J6094" s="26" t="str">
        <f>IF(OR(E6094="",E6094="!!!",F6094="NEW"),"",COUNTBLANK(OFFSET(A$1,,,SUMPRODUCT(MAX(ROW(E$2:E6094)*(E6094=E$2:E6094)))))-COUNTBLANK(OFFSET(A$1,,,SUMPRODUCT(MAX(ROW(E$1:E6093)*(E2=E$1:E6093))))))</f>
        <v> </v>
      </c>
      <c r="K6094" s="26" t="str">
        <f>IF(OR(E6094="",E6094="!!!",F6094="NEW"),"",INDEX(J$1:J6093,SUMPRODUCT(MAX(ROW(E$1:E6093)*(E6094=E$1:E6093)))))</f>
        <v> </v>
      </c>
      <c r="L6094" s="27"/>
    </row>
    <row r="6095" spans="1:12">
      <c r="A6095" s="20" t="s">
        <v>1065</v>
      </c>
      <c r="E6095" s="22">
        <f>IF(D6095="?OLD","!!!","")</f>
        <v/>
      </c>
      <c r="F6095" s="23" t="str">
        <f>IF(OR(E6095="",E6095="!!!"),"",IF(NOT(ISNA(VLOOKUP(E6095,E$1:E6094,1,FALSE()))),"OLD",IF(AND(E6095&lt;&gt;"",E6095&lt;&gt;"!!!"),"NEW","")))</f>
        <v> </v>
      </c>
      <c r="G6095" s="24" t="str">
        <f>IF(OR(E6095="",E6095="!!!"),"",IF(OR(J6095=0,AND(J6095=1,K6095=1),AND(J6095=1,I6095="SBJ"),AND(J6095=1,I6095=0)),"?IN_FOCUS",IF(J6095&lt;=2,"?ACTIVATED",IF(J6095&lt;&gt;"","?FAMILIAR",IF(F6095="NEW",IF(ISNA(VLOOKUP(E6095,#REF!,1,FALSE())),"?TYPE_IDENTIFIABLE","?REFERENTIAL"),"_")))))</f>
        <v> </v>
      </c>
      <c r="H6095" s="25" t="str">
        <f>IF(J6095&lt;&gt;1,"",IF(I6095="SBJ","CB","?"))</f>
        <v> </v>
      </c>
      <c r="I6095" s="26" t="str">
        <f>IF(OR(E6095="",E6095="!!!",F6095="NEW"),"",INDEX(B6094:B$2,-1+SUMPRODUCT(MAX(ROW(E6094:E$2)*(E6095=E6094:E$2)))))</f>
        <v> </v>
      </c>
      <c r="J6095" s="26" t="str">
        <f>IF(OR(E6095="",E6095="!!!",F6095="NEW"),"",COUNTBLANK(OFFSET(A$1,,,SUMPRODUCT(MAX(ROW(E$2:E6095)*(E6095=E$2:E6095)))))-COUNTBLANK(OFFSET(A$1,,,SUMPRODUCT(MAX(ROW(E$1:E6094)*(E2=E$1:E6094))))))</f>
        <v> </v>
      </c>
      <c r="K6095" s="26" t="str">
        <f>IF(OR(E6095="",E6095="!!!",F6095="NEW"),"",INDEX(J$1:J6094,SUMPRODUCT(MAX(ROW(E$1:E6094)*(E6095=E$1:E6094)))))</f>
        <v> </v>
      </c>
      <c r="L6095" s="27"/>
    </row>
    <row r="6096" spans="1:12">
      <c r="A6096" s="20" t="s">
        <v>1015</v>
      </c>
      <c r="E6096" s="22">
        <f>IF(D6096="?OLD","!!!","")</f>
        <v/>
      </c>
      <c r="F6096" s="23" t="str">
        <f>IF(OR(E6096="",E6096="!!!"),"",IF(NOT(ISNA(VLOOKUP(E6096,E$1:E6095,1,FALSE()))),"OLD",IF(AND(E6096&lt;&gt;"",E6096&lt;&gt;"!!!"),"NEW","")))</f>
        <v> </v>
      </c>
      <c r="G6096" s="24" t="str">
        <f>IF(OR(E6096="",E6096="!!!"),"",IF(OR(J6096=0,AND(J6096=1,K6096=1),AND(J6096=1,I6096="SBJ"),AND(J6096=1,I6096=0)),"?IN_FOCUS",IF(J6096&lt;=2,"?ACTIVATED",IF(J6096&lt;&gt;"","?FAMILIAR",IF(F6096="NEW",IF(ISNA(VLOOKUP(E6096,#REF!,1,FALSE())),"?TYPE_IDENTIFIABLE","?REFERENTIAL"),"_")))))</f>
        <v> </v>
      </c>
      <c r="H6096" s="25" t="str">
        <f>IF(J6096&lt;&gt;1,"",IF(I6096="SBJ","CB","?"))</f>
        <v> </v>
      </c>
      <c r="I6096" s="26" t="str">
        <f>IF(OR(E6096="",E6096="!!!",F6096="NEW"),"",INDEX(B6095:B$2,-1+SUMPRODUCT(MAX(ROW(E6095:E$2)*(E6096=E6095:E$2)))))</f>
        <v> </v>
      </c>
      <c r="J6096" s="26" t="str">
        <f>IF(OR(E6096="",E6096="!!!",F6096="NEW"),"",COUNTBLANK(OFFSET(A$1,,,SUMPRODUCT(MAX(ROW(E$2:E6096)*(E6096=E$2:E6096)))))-COUNTBLANK(OFFSET(A$1,,,SUMPRODUCT(MAX(ROW(E$1:E6095)*(E2=E$1:E6095))))))</f>
        <v> </v>
      </c>
      <c r="K6096" s="26" t="str">
        <f>IF(OR(E6096="",E6096="!!!",F6096="NEW"),"",INDEX(J$1:J6095,SUMPRODUCT(MAX(ROW(E$1:E6095)*(E6096=E$1:E6095)))))</f>
        <v> </v>
      </c>
      <c r="L6096" s="27"/>
    </row>
    <row r="6097" spans="1:12">
      <c r="A6097" s="20" t="s">
        <v>2263</v>
      </c>
      <c r="B6097" s="21" t="s">
        <v>1119</v>
      </c>
      <c r="C6097" s="21" t="s">
        <v>1013</v>
      </c>
      <c r="D6097" s="21" t="s">
        <v>1007</v>
      </c>
      <c r="E6097" s="22">
        <f>IF(D6097="?OLD","!!!","")</f>
        <v/>
      </c>
      <c r="F6097" s="23" t="str">
        <f>IF(OR(E6097="",E6097="!!!"),"",IF(NOT(ISNA(VLOOKUP(E6097,E$1:E6096,1,FALSE()))),"OLD",IF(AND(E6097&lt;&gt;"",E6097&lt;&gt;"!!!"),"NEW","")))</f>
        <v> </v>
      </c>
      <c r="G6097" s="24" t="str">
        <f>IF(OR(E6097="",E6097="!!!"),"",IF(OR(J6097=0,AND(J6097=1,K6097=1),AND(J6097=1,I6097="SBJ"),AND(J6097=1,I6097=0)),"?IN_FOCUS",IF(J6097&lt;=2,"?ACTIVATED",IF(J6097&lt;&gt;"","?FAMILIAR",IF(F6097="NEW",IF(ISNA(VLOOKUP(E6097,#REF!,1,FALSE())),"?TYPE_IDENTIFIABLE","?REFERENTIAL"),"_")))))</f>
        <v> </v>
      </c>
      <c r="H6097" s="25" t="str">
        <f>IF(J6097&lt;&gt;1,"",IF(I6097="SBJ","CB","?"))</f>
        <v> </v>
      </c>
      <c r="I6097" s="26" t="str">
        <f>IF(OR(E6097="",E6097="!!!",F6097="NEW"),"",INDEX(B6096:B$2,-1+SUMPRODUCT(MAX(ROW(E6096:E$2)*(E6097=E6096:E$2)))))</f>
        <v> </v>
      </c>
      <c r="J6097" s="26" t="str">
        <f>IF(OR(E6097="",E6097="!!!",F6097="NEW"),"",COUNTBLANK(OFFSET(A$1,,,SUMPRODUCT(MAX(ROW(E$2:E6097)*(E6097=E$2:E6097)))))-COUNTBLANK(OFFSET(A$1,,,SUMPRODUCT(MAX(ROW(E$1:E6096)*(E2=E$1:E6096))))))</f>
        <v> </v>
      </c>
      <c r="K6097" s="26" t="str">
        <f>IF(OR(E6097="",E6097="!!!",F6097="NEW"),"",INDEX(J$1:J6096,SUMPRODUCT(MAX(ROW(E$1:E6096)*(E6097=E$1:E6096)))))</f>
        <v> </v>
      </c>
      <c r="L6097" s="27"/>
    </row>
    <row r="6098" spans="1:12">
      <c r="A6098" s="20" t="s">
        <v>1014</v>
      </c>
      <c r="E6098" s="22">
        <f>IF(D6098="?OLD","!!!","")</f>
        <v/>
      </c>
      <c r="F6098" s="23" t="str">
        <f>IF(OR(E6098="",E6098="!!!"),"",IF(NOT(ISNA(VLOOKUP(E6098,E$1:E6097,1,FALSE()))),"OLD",IF(AND(E6098&lt;&gt;"",E6098&lt;&gt;"!!!"),"NEW","")))</f>
        <v> </v>
      </c>
      <c r="G6098" s="24" t="str">
        <f>IF(OR(E6098="",E6098="!!!"),"",IF(OR(J6098=0,AND(J6098=1,K6098=1),AND(J6098=1,I6098="SBJ"),AND(J6098=1,I6098=0)),"?IN_FOCUS",IF(J6098&lt;=2,"?ACTIVATED",IF(J6098&lt;&gt;"","?FAMILIAR",IF(F6098="NEW",IF(ISNA(VLOOKUP(E6098,#REF!,1,FALSE())),"?TYPE_IDENTIFIABLE","?REFERENTIAL"),"_")))))</f>
        <v> </v>
      </c>
      <c r="H6098" s="25" t="str">
        <f>IF(J6098&lt;&gt;1,"",IF(I6098="SBJ","CB","?"))</f>
        <v> </v>
      </c>
      <c r="I6098" s="26" t="str">
        <f>IF(OR(E6098="",E6098="!!!",F6098="NEW"),"",INDEX(B6097:B$2,-1+SUMPRODUCT(MAX(ROW(E6097:E$2)*(E6098=E6097:E$2)))))</f>
        <v> </v>
      </c>
      <c r="J6098" s="26" t="str">
        <f>IF(OR(E6098="",E6098="!!!",F6098="NEW"),"",COUNTBLANK(OFFSET(A$1,,,SUMPRODUCT(MAX(ROW(E$2:E6098)*(E6098=E$2:E6098)))))-COUNTBLANK(OFFSET(A$1,,,SUMPRODUCT(MAX(ROW(E$1:E6097)*(E2=E$1:E6097))))))</f>
        <v> </v>
      </c>
      <c r="K6098" s="26" t="str">
        <f>IF(OR(E6098="",E6098="!!!",F6098="NEW"),"",INDEX(J$1:J6097,SUMPRODUCT(MAX(ROW(E$1:E6097)*(E6098=E$1:E6097)))))</f>
        <v> </v>
      </c>
      <c r="L6098" s="27"/>
    </row>
    <row r="6099" spans="1:12">
      <c r="A6099" s="20" t="s">
        <v>102</v>
      </c>
      <c r="E6099" s="22">
        <f>IF(D6099="?OLD","!!!","")</f>
        <v/>
      </c>
      <c r="F6099" s="23" t="str">
        <f>IF(OR(E6099="",E6099="!!!"),"",IF(NOT(ISNA(VLOOKUP(E6099,E$1:E6098,1,FALSE()))),"OLD",IF(AND(E6099&lt;&gt;"",E6099&lt;&gt;"!!!"),"NEW","")))</f>
        <v> </v>
      </c>
      <c r="G6099" s="24" t="str">
        <f>IF(OR(E6099="",E6099="!!!"),"",IF(OR(J6099=0,AND(J6099=1,K6099=1),AND(J6099=1,I6099="SBJ"),AND(J6099=1,I6099=0)),"?IN_FOCUS",IF(J6099&lt;=2,"?ACTIVATED",IF(J6099&lt;&gt;"","?FAMILIAR",IF(F6099="NEW",IF(ISNA(VLOOKUP(E6099,#REF!,1,FALSE())),"?TYPE_IDENTIFIABLE","?REFERENTIAL"),"_")))))</f>
        <v> </v>
      </c>
      <c r="H6099" s="25" t="str">
        <f>IF(J6099&lt;&gt;1,"",IF(I6099="SBJ","CB","?"))</f>
        <v> </v>
      </c>
      <c r="I6099" s="26" t="str">
        <f>IF(OR(E6099="",E6099="!!!",F6099="NEW"),"",INDEX(B6098:B$2,-1+SUMPRODUCT(MAX(ROW(E6098:E$2)*(E6099=E6098:E$2)))))</f>
        <v> </v>
      </c>
      <c r="J6099" s="26" t="str">
        <f>IF(OR(E6099="",E6099="!!!",F6099="NEW"),"",COUNTBLANK(OFFSET(A$1,,,SUMPRODUCT(MAX(ROW(E$2:E6099)*(E6099=E$2:E6099)))))-COUNTBLANK(OFFSET(A$1,,,SUMPRODUCT(MAX(ROW(E$1:E6098)*(E2=E$1:E6098))))))</f>
        <v> </v>
      </c>
      <c r="K6099" s="26" t="str">
        <f>IF(OR(E6099="",E6099="!!!",F6099="NEW"),"",INDEX(J$1:J6098,SUMPRODUCT(MAX(ROW(E$1:E6098)*(E6099=E$1:E6098)))))</f>
        <v> </v>
      </c>
      <c r="L6099" s="27"/>
    </row>
    <row r="6100" spans="1:12">
      <c r="A6100" s="20" t="s">
        <v>2596</v>
      </c>
      <c r="B6100" s="21" t="s">
        <v>1033</v>
      </c>
      <c r="C6100" s="21" t="s">
        <v>1006</v>
      </c>
      <c r="D6100" s="21" t="s">
        <v>1007</v>
      </c>
      <c r="E6100" s="22">
        <f>IF(D6100="?OLD","!!!","")</f>
        <v/>
      </c>
      <c r="F6100" s="23" t="str">
        <f>IF(OR(E6100="",E6100="!!!"),"",IF(NOT(ISNA(VLOOKUP(E6100,E$1:E6099,1,FALSE()))),"OLD",IF(AND(E6100&lt;&gt;"",E6100&lt;&gt;"!!!"),"NEW","")))</f>
        <v> </v>
      </c>
      <c r="G6100" s="24" t="str">
        <f>IF(OR(E6100="",E6100="!!!"),"",IF(OR(J6100=0,AND(J6100=1,K6100=1),AND(J6100=1,I6100="SBJ"),AND(J6100=1,I6100=0)),"?IN_FOCUS",IF(J6100&lt;=2,"?ACTIVATED",IF(J6100&lt;&gt;"","?FAMILIAR",IF(F6100="NEW",IF(ISNA(VLOOKUP(E6100,#REF!,1,FALSE())),"?TYPE_IDENTIFIABLE","?REFERENTIAL"),"_")))))</f>
        <v> </v>
      </c>
      <c r="H6100" s="25" t="str">
        <f>IF(J6100&lt;&gt;1,"",IF(I6100="SBJ","CB","?"))</f>
        <v> </v>
      </c>
      <c r="I6100" s="26" t="str">
        <f>IF(OR(E6100="",E6100="!!!",F6100="NEW"),"",INDEX(B6099:B$2,-1+SUMPRODUCT(MAX(ROW(E6099:E$2)*(E6100=E6099:E$2)))))</f>
        <v> </v>
      </c>
      <c r="J6100" s="26" t="str">
        <f>IF(OR(E6100="",E6100="!!!",F6100="NEW"),"",COUNTBLANK(OFFSET(A$1,,,SUMPRODUCT(MAX(ROW(E$2:E6100)*(E6100=E$2:E6100)))))-COUNTBLANK(OFFSET(A$1,,,SUMPRODUCT(MAX(ROW(E$1:E6099)*(E2=E$1:E6099))))))</f>
        <v> </v>
      </c>
      <c r="K6100" s="26" t="str">
        <f>IF(OR(E6100="",E6100="!!!",F6100="NEW"),"",INDEX(J$1:J6099,SUMPRODUCT(MAX(ROW(E$1:E6099)*(E6100=E$1:E6099)))))</f>
        <v> </v>
      </c>
      <c r="L6100" s="27"/>
    </row>
    <row r="6101" spans="1:12">
      <c r="A6101" s="20" t="s">
        <v>2597</v>
      </c>
      <c r="B6101" s="21" t="s">
        <v>1035</v>
      </c>
      <c r="C6101" s="21" t="s">
        <v>1006</v>
      </c>
      <c r="D6101" s="21" t="s">
        <v>1007</v>
      </c>
      <c r="E6101" s="22">
        <f>IF(D6101="?OLD","!!!","")</f>
        <v/>
      </c>
      <c r="F6101" s="23" t="str">
        <f>IF(OR(E6101="",E6101="!!!"),"",IF(NOT(ISNA(VLOOKUP(E6101,E$1:E6100,1,FALSE()))),"OLD",IF(AND(E6101&lt;&gt;"",E6101&lt;&gt;"!!!"),"NEW","")))</f>
        <v> </v>
      </c>
      <c r="G6101" s="24" t="str">
        <f>IF(OR(E6101="",E6101="!!!"),"",IF(OR(J6101=0,AND(J6101=1,K6101=1),AND(J6101=1,I6101="SBJ"),AND(J6101=1,I6101=0)),"?IN_FOCUS",IF(J6101&lt;=2,"?ACTIVATED",IF(J6101&lt;&gt;"","?FAMILIAR",IF(F6101="NEW",IF(ISNA(VLOOKUP(E6101,#REF!,1,FALSE())),"?TYPE_IDENTIFIABLE","?REFERENTIAL"),"_")))))</f>
        <v> </v>
      </c>
      <c r="H6101" s="25" t="str">
        <f>IF(J6101&lt;&gt;1,"",IF(I6101="SBJ","CB","?"))</f>
        <v> </v>
      </c>
      <c r="I6101" s="26" t="str">
        <f>IF(OR(E6101="",E6101="!!!",F6101="NEW"),"",INDEX(B6100:B$2,-1+SUMPRODUCT(MAX(ROW(E6100:E$2)*(E6101=E6100:E$2)))))</f>
        <v> </v>
      </c>
      <c r="J6101" s="26" t="str">
        <f>IF(OR(E6101="",E6101="!!!",F6101="NEW"),"",COUNTBLANK(OFFSET(A$1,,,SUMPRODUCT(MAX(ROW(E$2:E6101)*(E6101=E$2:E6101)))))-COUNTBLANK(OFFSET(A$1,,,SUMPRODUCT(MAX(ROW(E$1:E6100)*(E2=E$1:E6100))))))</f>
        <v> </v>
      </c>
      <c r="K6101" s="26" t="str">
        <f>IF(OR(E6101="",E6101="!!!",F6101="NEW"),"",INDEX(J$1:J6100,SUMPRODUCT(MAX(ROW(E$1:E6100)*(E6101=E$1:E6100)))))</f>
        <v> </v>
      </c>
      <c r="L6101" s="27"/>
    </row>
    <row r="6102" spans="1:12">
      <c r="A6102" s="20" t="s">
        <v>2610</v>
      </c>
      <c r="E6102" s="22">
        <f>IF(D6102="?OLD","!!!","")</f>
        <v/>
      </c>
      <c r="F6102" s="23" t="str">
        <f>IF(OR(E6102="",E6102="!!!"),"",IF(NOT(ISNA(VLOOKUP(E6102,E$1:E6101,1,FALSE()))),"OLD",IF(AND(E6102&lt;&gt;"",E6102&lt;&gt;"!!!"),"NEW","")))</f>
        <v> </v>
      </c>
      <c r="G6102" s="24" t="str">
        <f>IF(OR(E6102="",E6102="!!!"),"",IF(OR(J6102=0,AND(J6102=1,K6102=1),AND(J6102=1,I6102="SBJ"),AND(J6102=1,I6102=0)),"?IN_FOCUS",IF(J6102&lt;=2,"?ACTIVATED",IF(J6102&lt;&gt;"","?FAMILIAR",IF(F6102="NEW",IF(ISNA(VLOOKUP(E6102,#REF!,1,FALSE())),"?TYPE_IDENTIFIABLE","?REFERENTIAL"),"_")))))</f>
        <v> </v>
      </c>
      <c r="H6102" s="25" t="str">
        <f>IF(J6102&lt;&gt;1,"",IF(I6102="SBJ","CB","?"))</f>
        <v> </v>
      </c>
      <c r="I6102" s="26" t="str">
        <f>IF(OR(E6102="",E6102="!!!",F6102="NEW"),"",INDEX(B6101:B$2,-1+SUMPRODUCT(MAX(ROW(E6101:E$2)*(E6102=E6101:E$2)))))</f>
        <v> </v>
      </c>
      <c r="J6102" s="26" t="str">
        <f>IF(OR(E6102="",E6102="!!!",F6102="NEW"),"",COUNTBLANK(OFFSET(A$1,,,SUMPRODUCT(MAX(ROW(E$2:E6102)*(E6102=E$2:E6102)))))-COUNTBLANK(OFFSET(A$1,,,SUMPRODUCT(MAX(ROW(E$1:E6101)*(E2=E$1:E6101))))))</f>
        <v> </v>
      </c>
      <c r="K6102" s="26" t="str">
        <f>IF(OR(E6102="",E6102="!!!",F6102="NEW"),"",INDEX(J$1:J6101,SUMPRODUCT(MAX(ROW(E$1:E6101)*(E6102=E$1:E6101)))))</f>
        <v> </v>
      </c>
      <c r="L6102" s="27"/>
    </row>
    <row r="6103" spans="1:12">
      <c r="A6103" s="20" t="s">
        <v>2611</v>
      </c>
      <c r="E6103" s="22">
        <f>IF(D6103="?OLD","!!!","")</f>
        <v/>
      </c>
      <c r="F6103" s="23" t="str">
        <f>IF(OR(E6103="",E6103="!!!"),"",IF(NOT(ISNA(VLOOKUP(E6103,E$1:E6102,1,FALSE()))),"OLD",IF(AND(E6103&lt;&gt;"",E6103&lt;&gt;"!!!"),"NEW","")))</f>
        <v> </v>
      </c>
      <c r="G6103" s="24" t="str">
        <f>IF(OR(E6103="",E6103="!!!"),"",IF(OR(J6103=0,AND(J6103=1,K6103=1),AND(J6103=1,I6103="SBJ"),AND(J6103=1,I6103=0)),"?IN_FOCUS",IF(J6103&lt;=2,"?ACTIVATED",IF(J6103&lt;&gt;"","?FAMILIAR",IF(F6103="NEW",IF(ISNA(VLOOKUP(E6103,#REF!,1,FALSE())),"?TYPE_IDENTIFIABLE","?REFERENTIAL"),"_")))))</f>
        <v> </v>
      </c>
      <c r="H6103" s="25" t="str">
        <f>IF(J6103&lt;&gt;1,"",IF(I6103="SBJ","CB","?"))</f>
        <v> </v>
      </c>
      <c r="I6103" s="26" t="str">
        <f>IF(OR(E6103="",E6103="!!!",F6103="NEW"),"",INDEX(B6102:B$2,-1+SUMPRODUCT(MAX(ROW(E6102:E$2)*(E6103=E6102:E$2)))))</f>
        <v> </v>
      </c>
      <c r="J6103" s="26" t="str">
        <f>IF(OR(E6103="",E6103="!!!",F6103="NEW"),"",COUNTBLANK(OFFSET(A$1,,,SUMPRODUCT(MAX(ROW(E$2:E6103)*(E6103=E$2:E6103)))))-COUNTBLANK(OFFSET(A$1,,,SUMPRODUCT(MAX(ROW(E$1:E6102)*(E2=E$1:E6102))))))</f>
        <v> </v>
      </c>
      <c r="K6103" s="26" t="str">
        <f>IF(OR(E6103="",E6103="!!!",F6103="NEW"),"",INDEX(J$1:J6102,SUMPRODUCT(MAX(ROW(E$1:E6102)*(E6103=E$1:E6102)))))</f>
        <v> </v>
      </c>
      <c r="L6103" s="27"/>
    </row>
    <row r="6104" spans="1:12">
      <c r="A6104" s="20" t="s">
        <v>1023</v>
      </c>
      <c r="E6104" s="22">
        <f>IF(D6104="?OLD","!!!","")</f>
        <v/>
      </c>
      <c r="F6104" s="23" t="str">
        <f>IF(OR(E6104="",E6104="!!!"),"",IF(NOT(ISNA(VLOOKUP(E6104,E$1:E6103,1,FALSE()))),"OLD",IF(AND(E6104&lt;&gt;"",E6104&lt;&gt;"!!!"),"NEW","")))</f>
        <v> </v>
      </c>
      <c r="G6104" s="24" t="str">
        <f>IF(OR(E6104="",E6104="!!!"),"",IF(OR(J6104=0,AND(J6104=1,K6104=1),AND(J6104=1,I6104="SBJ"),AND(J6104=1,I6104=0)),"?IN_FOCUS",IF(J6104&lt;=2,"?ACTIVATED",IF(J6104&lt;&gt;"","?FAMILIAR",IF(F6104="NEW",IF(ISNA(VLOOKUP(E6104,#REF!,1,FALSE())),"?TYPE_IDENTIFIABLE","?REFERENTIAL"),"_")))))</f>
        <v> </v>
      </c>
      <c r="H6104" s="25" t="str">
        <f>IF(J6104&lt;&gt;1,"",IF(I6104="SBJ","CB","?"))</f>
        <v> </v>
      </c>
      <c r="I6104" s="26" t="str">
        <f>IF(OR(E6104="",E6104="!!!",F6104="NEW"),"",INDEX(B6103:B$2,-1+SUMPRODUCT(MAX(ROW(E6103:E$2)*(E6104=E6103:E$2)))))</f>
        <v> </v>
      </c>
      <c r="J6104" s="26" t="str">
        <f>IF(OR(E6104="",E6104="!!!",F6104="NEW"),"",COUNTBLANK(OFFSET(A$1,,,SUMPRODUCT(MAX(ROW(E$2:E6104)*(E6104=E$2:E6104)))))-COUNTBLANK(OFFSET(A$1,,,SUMPRODUCT(MAX(ROW(E$1:E6103)*(E2=E$1:E6103))))))</f>
        <v> </v>
      </c>
      <c r="K6104" s="26" t="str">
        <f>IF(OR(E6104="",E6104="!!!",F6104="NEW"),"",INDEX(J$1:J6103,SUMPRODUCT(MAX(ROW(E$1:E6103)*(E6104=E$1:E6103)))))</f>
        <v> </v>
      </c>
      <c r="L6104" s="27"/>
    </row>
    <row r="6105" spans="1:12">
      <c r="A6105" s="20"/>
    </row>
    <row r="6106" spans="1:12">
      <c r="A6106" s="20" t="s">
        <v>2612</v>
      </c>
    </row>
    <row r="6107" spans="1:12">
      <c r="A6107" s="20" t="s">
        <v>2613</v>
      </c>
      <c r="E6107" s="22">
        <f>IF(D6107="?OLD","!!!","")</f>
        <v/>
      </c>
      <c r="F6107" s="23" t="str">
        <f>IF(OR(E6107="",E6107="!!!"),"",IF(NOT(ISNA(VLOOKUP(E6107,E$1:E6106,1,FALSE()))),"OLD",IF(AND(E6107&lt;&gt;"",E6107&lt;&gt;"!!!"),"NEW","")))</f>
        <v> </v>
      </c>
      <c r="G6107" s="24" t="str">
        <f>IF(OR(E6107="",E6107="!!!"),"",IF(OR(J6107=0,AND(J6107=1,K6107=1),AND(J6107=1,I6107="SBJ"),AND(J6107=1,I6107=0)),"?IN_FOCUS",IF(J6107&lt;=2,"?ACTIVATED",IF(J6107&lt;&gt;"","?FAMILIAR",IF(F6107="NEW",IF(ISNA(VLOOKUP(E6107,#REF!,1,FALSE())),"?TYPE_IDENTIFIABLE","?REFERENTIAL"),"_")))))</f>
        <v> </v>
      </c>
      <c r="H6107" s="25" t="str">
        <f>IF(J6107&lt;&gt;1,"",IF(I6107="SBJ","CB","?"))</f>
        <v> </v>
      </c>
      <c r="I6107" s="26" t="str">
        <f>IF(OR(E6107="",E6107="!!!",F6107="NEW"),"",INDEX(B6106:B$2,-1+SUMPRODUCT(MAX(ROW(E6106:E$2)*(E6107=E6106:E$2)))))</f>
        <v> </v>
      </c>
      <c r="J6107" s="26" t="str">
        <f>IF(OR(E6107="",E6107="!!!",F6107="NEW"),"",COUNTBLANK(OFFSET(A$1,,,SUMPRODUCT(MAX(ROW(E$2:E6107)*(E6107=E$2:E6107)))))-COUNTBLANK(OFFSET(A$1,,,SUMPRODUCT(MAX(ROW(E$1:E6106)*(E2=E$1:E6106))))))</f>
        <v> </v>
      </c>
      <c r="K6107" s="26" t="str">
        <f>IF(OR(E6107="",E6107="!!!",F6107="NEW"),"",INDEX(J$1:J6106,SUMPRODUCT(MAX(ROW(E$1:E6106)*(E6107=E$1:E6106)))))</f>
        <v> </v>
      </c>
      <c r="L6107" s="27"/>
    </row>
    <row r="6108" spans="1:12">
      <c r="A6108" s="20" t="s">
        <v>1933</v>
      </c>
      <c r="E6108" s="22">
        <f>IF(D6108="?OLD","!!!","")</f>
        <v/>
      </c>
      <c r="F6108" s="23" t="str">
        <f>IF(OR(E6108="",E6108="!!!"),"",IF(NOT(ISNA(VLOOKUP(E6108,E$1:E6107,1,FALSE()))),"OLD",IF(AND(E6108&lt;&gt;"",E6108&lt;&gt;"!!!"),"NEW","")))</f>
        <v> </v>
      </c>
      <c r="G6108" s="24" t="str">
        <f>IF(OR(E6108="",E6108="!!!"),"",IF(OR(J6108=0,AND(J6108=1,K6108=1),AND(J6108=1,I6108="SBJ"),AND(J6108=1,I6108=0)),"?IN_FOCUS",IF(J6108&lt;=2,"?ACTIVATED",IF(J6108&lt;&gt;"","?FAMILIAR",IF(F6108="NEW",IF(ISNA(VLOOKUP(E6108,#REF!,1,FALSE())),"?TYPE_IDENTIFIABLE","?REFERENTIAL"),"_")))))</f>
        <v> </v>
      </c>
      <c r="H6108" s="25" t="str">
        <f>IF(J6108&lt;&gt;1,"",IF(I6108="SBJ","CB","?"))</f>
        <v> </v>
      </c>
      <c r="I6108" s="26" t="str">
        <f>IF(OR(E6108="",E6108="!!!",F6108="NEW"),"",INDEX(B6107:B$2,-1+SUMPRODUCT(MAX(ROW(E6107:E$2)*(E6108=E6107:E$2)))))</f>
        <v> </v>
      </c>
      <c r="J6108" s="26" t="str">
        <f>IF(OR(E6108="",E6108="!!!",F6108="NEW"),"",COUNTBLANK(OFFSET(A$1,,,SUMPRODUCT(MAX(ROW(E$2:E6108)*(E6108=E$2:E6108)))))-COUNTBLANK(OFFSET(A$1,,,SUMPRODUCT(MAX(ROW(E$1:E6107)*(E2=E$1:E6107))))))</f>
        <v> </v>
      </c>
      <c r="K6108" s="26" t="str">
        <f>IF(OR(E6108="",E6108="!!!",F6108="NEW"),"",INDEX(J$1:J6107,SUMPRODUCT(MAX(ROW(E$1:E6107)*(E6108=E$1:E6107)))))</f>
        <v> </v>
      </c>
      <c r="L6108" s="27"/>
    </row>
    <row r="6109" spans="1:12">
      <c r="A6109" s="20" t="s">
        <v>1056</v>
      </c>
      <c r="E6109" s="22">
        <f>IF(D6109="?OLD","!!!","")</f>
        <v/>
      </c>
      <c r="F6109" s="23" t="str">
        <f>IF(OR(E6109="",E6109="!!!"),"",IF(NOT(ISNA(VLOOKUP(E6109,E$1:E6108,1,FALSE()))),"OLD",IF(AND(E6109&lt;&gt;"",E6109&lt;&gt;"!!!"),"NEW","")))</f>
        <v> </v>
      </c>
      <c r="G6109" s="24" t="str">
        <f>IF(OR(E6109="",E6109="!!!"),"",IF(OR(J6109=0,AND(J6109=1,K6109=1),AND(J6109=1,I6109="SBJ"),AND(J6109=1,I6109=0)),"?IN_FOCUS",IF(J6109&lt;=2,"?ACTIVATED",IF(J6109&lt;&gt;"","?FAMILIAR",IF(F6109="NEW",IF(ISNA(VLOOKUP(E6109,#REF!,1,FALSE())),"?TYPE_IDENTIFIABLE","?REFERENTIAL"),"_")))))</f>
        <v> </v>
      </c>
      <c r="H6109" s="25" t="str">
        <f>IF(J6109&lt;&gt;1,"",IF(I6109="SBJ","CB","?"))</f>
        <v> </v>
      </c>
      <c r="I6109" s="26" t="str">
        <f>IF(OR(E6109="",E6109="!!!",F6109="NEW"),"",INDEX(B6108:B$2,-1+SUMPRODUCT(MAX(ROW(E6108:E$2)*(E6109=E6108:E$2)))))</f>
        <v> </v>
      </c>
      <c r="J6109" s="26" t="str">
        <f>IF(OR(E6109="",E6109="!!!",F6109="NEW"),"",COUNTBLANK(OFFSET(A$1,,,SUMPRODUCT(MAX(ROW(E$2:E6109)*(E6109=E$2:E6109)))))-COUNTBLANK(OFFSET(A$1,,,SUMPRODUCT(MAX(ROW(E$1:E6108)*(E2=E$1:E6108))))))</f>
        <v> </v>
      </c>
      <c r="K6109" s="26" t="str">
        <f>IF(OR(E6109="",E6109="!!!",F6109="NEW"),"",INDEX(J$1:J6108,SUMPRODUCT(MAX(ROW(E$1:E6108)*(E6109=E$1:E6108)))))</f>
        <v> </v>
      </c>
      <c r="L6109" s="27"/>
    </row>
    <row r="6110" spans="1:12">
      <c r="A6110" s="20" t="s">
        <v>2312</v>
      </c>
      <c r="B6110" s="21" t="s">
        <v>1050</v>
      </c>
      <c r="C6110" s="21" t="s">
        <v>1013</v>
      </c>
      <c r="D6110" s="21" t="s">
        <v>1007</v>
      </c>
      <c r="E6110" s="22">
        <f>IF(D6110="?OLD","!!!","")</f>
        <v/>
      </c>
      <c r="F6110" s="23" t="str">
        <f>IF(OR(E6110="",E6110="!!!"),"",IF(NOT(ISNA(VLOOKUP(E6110,E$1:E6109,1,FALSE()))),"OLD",IF(AND(E6110&lt;&gt;"",E6110&lt;&gt;"!!!"),"NEW","")))</f>
        <v> </v>
      </c>
      <c r="G6110" s="24" t="str">
        <f>IF(OR(E6110="",E6110="!!!"),"",IF(OR(J6110=0,AND(J6110=1,K6110=1),AND(J6110=1,I6110="SBJ"),AND(J6110=1,I6110=0)),"?IN_FOCUS",IF(J6110&lt;=2,"?ACTIVATED",IF(J6110&lt;&gt;"","?FAMILIAR",IF(F6110="NEW",IF(ISNA(VLOOKUP(E6110,#REF!,1,FALSE())),"?TYPE_IDENTIFIABLE","?REFERENTIAL"),"_")))))</f>
        <v> </v>
      </c>
      <c r="H6110" s="25" t="str">
        <f>IF(J6110&lt;&gt;1,"",IF(I6110="SBJ","CB","?"))</f>
        <v> </v>
      </c>
      <c r="I6110" s="26" t="str">
        <f>IF(OR(E6110="",E6110="!!!",F6110="NEW"),"",INDEX(B6109:B$2,-1+SUMPRODUCT(MAX(ROW(E6109:E$2)*(E6110=E6109:E$2)))))</f>
        <v> </v>
      </c>
      <c r="J6110" s="26" t="str">
        <f>IF(OR(E6110="",E6110="!!!",F6110="NEW"),"",COUNTBLANK(OFFSET(A$1,,,SUMPRODUCT(MAX(ROW(E$2:E6110)*(E6110=E$2:E6110)))))-COUNTBLANK(OFFSET(A$1,,,SUMPRODUCT(MAX(ROW(E$1:E6109)*(E2=E$1:E6109))))))</f>
        <v> </v>
      </c>
      <c r="K6110" s="26" t="str">
        <f>IF(OR(E6110="",E6110="!!!",F6110="NEW"),"",INDEX(J$1:J6109,SUMPRODUCT(MAX(ROW(E$1:E6109)*(E6110=E$1:E6109)))))</f>
        <v> </v>
      </c>
      <c r="L6110" s="27"/>
    </row>
    <row r="6111" spans="1:12">
      <c r="A6111" s="20" t="s">
        <v>1030</v>
      </c>
      <c r="E6111" s="22">
        <f>IF(D6111="?OLD","!!!","")</f>
        <v/>
      </c>
      <c r="F6111" s="23" t="str">
        <f>IF(OR(E6111="",E6111="!!!"),"",IF(NOT(ISNA(VLOOKUP(E6111,E$1:E6110,1,FALSE()))),"OLD",IF(AND(E6111&lt;&gt;"",E6111&lt;&gt;"!!!"),"NEW","")))</f>
        <v> </v>
      </c>
      <c r="G6111" s="24" t="str">
        <f>IF(OR(E6111="",E6111="!!!"),"",IF(OR(J6111=0,AND(J6111=1,K6111=1),AND(J6111=1,I6111="SBJ"),AND(J6111=1,I6111=0)),"?IN_FOCUS",IF(J6111&lt;=2,"?ACTIVATED",IF(J6111&lt;&gt;"","?FAMILIAR",IF(F6111="NEW",IF(ISNA(VLOOKUP(E6111,#REF!,1,FALSE())),"?TYPE_IDENTIFIABLE","?REFERENTIAL"),"_")))))</f>
        <v> </v>
      </c>
      <c r="H6111" s="25" t="str">
        <f>IF(J6111&lt;&gt;1,"",IF(I6111="SBJ","CB","?"))</f>
        <v> </v>
      </c>
      <c r="I6111" s="26" t="str">
        <f>IF(OR(E6111="",E6111="!!!",F6111="NEW"),"",INDEX(B6110:B$2,-1+SUMPRODUCT(MAX(ROW(E6110:E$2)*(E6111=E6110:E$2)))))</f>
        <v> </v>
      </c>
      <c r="J6111" s="26" t="str">
        <f>IF(OR(E6111="",E6111="!!!",F6111="NEW"),"",COUNTBLANK(OFFSET(A$1,,,SUMPRODUCT(MAX(ROW(E$2:E6111)*(E6111=E$2:E6111)))))-COUNTBLANK(OFFSET(A$1,,,SUMPRODUCT(MAX(ROW(E$1:E6110)*(E2=E$1:E6110))))))</f>
        <v> </v>
      </c>
      <c r="K6111" s="26" t="str">
        <f>IF(OR(E6111="",E6111="!!!",F6111="NEW"),"",INDEX(J$1:J6110,SUMPRODUCT(MAX(ROW(E$1:E6110)*(E6111=E$1:E6110)))))</f>
        <v> </v>
      </c>
      <c r="L6111" s="27"/>
    </row>
    <row r="6112" spans="1:12">
      <c r="A6112" s="20" t="s">
        <v>2614</v>
      </c>
      <c r="B6112" s="21" t="s">
        <v>1022</v>
      </c>
      <c r="C6112" s="21" t="s">
        <v>1006</v>
      </c>
      <c r="D6112" s="21" t="s">
        <v>1007</v>
      </c>
      <c r="E6112" s="22">
        <f>IF(D6112="?OLD","!!!","")</f>
        <v/>
      </c>
      <c r="F6112" s="23" t="str">
        <f>IF(OR(E6112="",E6112="!!!"),"",IF(NOT(ISNA(VLOOKUP(E6112,E$1:E6111,1,FALSE()))),"OLD",IF(AND(E6112&lt;&gt;"",E6112&lt;&gt;"!!!"),"NEW","")))</f>
        <v> </v>
      </c>
      <c r="G6112" s="24" t="str">
        <f>IF(OR(E6112="",E6112="!!!"),"",IF(OR(J6112=0,AND(J6112=1,K6112=1),AND(J6112=1,I6112="SBJ"),AND(J6112=1,I6112=0)),"?IN_FOCUS",IF(J6112&lt;=2,"?ACTIVATED",IF(J6112&lt;&gt;"","?FAMILIAR",IF(F6112="NEW",IF(ISNA(VLOOKUP(E6112,#REF!,1,FALSE())),"?TYPE_IDENTIFIABLE","?REFERENTIAL"),"_")))))</f>
        <v> </v>
      </c>
      <c r="H6112" s="25" t="str">
        <f>IF(J6112&lt;&gt;1,"",IF(I6112="SBJ","CB","?"))</f>
        <v> </v>
      </c>
      <c r="I6112" s="26" t="str">
        <f>IF(OR(E6112="",E6112="!!!",F6112="NEW"),"",INDEX(B6111:B$2,-1+SUMPRODUCT(MAX(ROW(E6111:E$2)*(E6112=E6111:E$2)))))</f>
        <v> </v>
      </c>
      <c r="J6112" s="26" t="str">
        <f>IF(OR(E6112="",E6112="!!!",F6112="NEW"),"",COUNTBLANK(OFFSET(A$1,,,SUMPRODUCT(MAX(ROW(E$2:E6112)*(E6112=E$2:E6112)))))-COUNTBLANK(OFFSET(A$1,,,SUMPRODUCT(MAX(ROW(E$1:E6111)*(E2=E$1:E6111))))))</f>
        <v> </v>
      </c>
      <c r="K6112" s="26" t="str">
        <f>IF(OR(E6112="",E6112="!!!",F6112="NEW"),"",INDEX(J$1:J6111,SUMPRODUCT(MAX(ROW(E$1:E6111)*(E6112=E$1:E6111)))))</f>
        <v> </v>
      </c>
      <c r="L6112" s="27"/>
    </row>
    <row r="6113" spans="1:12">
      <c r="A6113" s="20" t="s">
        <v>1065</v>
      </c>
      <c r="B6113" s="21" t="s">
        <v>1154</v>
      </c>
      <c r="E6113" s="22">
        <f>IF(D6113="?OLD","!!!","")</f>
        <v/>
      </c>
      <c r="F6113" s="23" t="str">
        <f>IF(OR(E6113="",E6113="!!!"),"",IF(NOT(ISNA(VLOOKUP(E6113,E$1:E6112,1,FALSE()))),"OLD",IF(AND(E6113&lt;&gt;"",E6113&lt;&gt;"!!!"),"NEW","")))</f>
        <v> </v>
      </c>
      <c r="G6113" s="24" t="str">
        <f>IF(OR(E6113="",E6113="!!!"),"",IF(OR(J6113=0,AND(J6113=1,K6113=1),AND(J6113=1,I6113="SBJ"),AND(J6113=1,I6113=0)),"?IN_FOCUS",IF(J6113&lt;=2,"?ACTIVATED",IF(J6113&lt;&gt;"","?FAMILIAR",IF(F6113="NEW",IF(ISNA(VLOOKUP(E6113,#REF!,1,FALSE())),"?TYPE_IDENTIFIABLE","?REFERENTIAL"),"_")))))</f>
        <v> </v>
      </c>
      <c r="H6113" s="25" t="str">
        <f>IF(J6113&lt;&gt;1,"",IF(I6113="SBJ","CB","?"))</f>
        <v> </v>
      </c>
      <c r="I6113" s="26" t="str">
        <f>IF(OR(E6113="",E6113="!!!",F6113="NEW"),"",INDEX(B6112:B$2,-1+SUMPRODUCT(MAX(ROW(E6112:E$2)*(E6113=E6112:E$2)))))</f>
        <v> </v>
      </c>
      <c r="J6113" s="26" t="str">
        <f>IF(OR(E6113="",E6113="!!!",F6113="NEW"),"",COUNTBLANK(OFFSET(A$1,,,SUMPRODUCT(MAX(ROW(E$2:E6113)*(E6113=E$2:E6113)))))-COUNTBLANK(OFFSET(A$1,,,SUMPRODUCT(MAX(ROW(E$1:E6112)*(E2=E$1:E6112))))))</f>
        <v> </v>
      </c>
      <c r="K6113" s="26" t="str">
        <f>IF(OR(E6113="",E6113="!!!",F6113="NEW"),"",INDEX(J$1:J6112,SUMPRODUCT(MAX(ROW(E$1:E6112)*(E6113=E$1:E6112)))))</f>
        <v> </v>
      </c>
      <c r="L6113" s="27"/>
    </row>
    <row r="6114" spans="1:12">
      <c r="A6114" s="20" t="s">
        <v>2615</v>
      </c>
      <c r="E6114" s="22">
        <f>IF(D6114="?OLD","!!!","")</f>
        <v/>
      </c>
      <c r="F6114" s="23" t="str">
        <f>IF(OR(E6114="",E6114="!!!"),"",IF(NOT(ISNA(VLOOKUP(E6114,E$1:E6113,1,FALSE()))),"OLD",IF(AND(E6114&lt;&gt;"",E6114&lt;&gt;"!!!"),"NEW","")))</f>
        <v> </v>
      </c>
      <c r="G6114" s="24" t="str">
        <f>IF(OR(E6114="",E6114="!!!"),"",IF(OR(J6114=0,AND(J6114=1,K6114=1),AND(J6114=1,I6114="SBJ"),AND(J6114=1,I6114=0)),"?IN_FOCUS",IF(J6114&lt;=2,"?ACTIVATED",IF(J6114&lt;&gt;"","?FAMILIAR",IF(F6114="NEW",IF(ISNA(VLOOKUP(E6114,#REF!,1,FALSE())),"?TYPE_IDENTIFIABLE","?REFERENTIAL"),"_")))))</f>
        <v> </v>
      </c>
      <c r="H6114" s="25" t="str">
        <f>IF(J6114&lt;&gt;1,"",IF(I6114="SBJ","CB","?"))</f>
        <v> </v>
      </c>
      <c r="I6114" s="26" t="str">
        <f>IF(OR(E6114="",E6114="!!!",F6114="NEW"),"",INDEX(B6113:B$2,-1+SUMPRODUCT(MAX(ROW(E6113:E$2)*(E6114=E6113:E$2)))))</f>
        <v> </v>
      </c>
      <c r="J6114" s="26" t="str">
        <f>IF(OR(E6114="",E6114="!!!",F6114="NEW"),"",COUNTBLANK(OFFSET(A$1,,,SUMPRODUCT(MAX(ROW(E$2:E6114)*(E6114=E$2:E6114)))))-COUNTBLANK(OFFSET(A$1,,,SUMPRODUCT(MAX(ROW(E$1:E6113)*(E2=E$1:E6113))))))</f>
        <v> </v>
      </c>
      <c r="K6114" s="26" t="str">
        <f>IF(OR(E6114="",E6114="!!!",F6114="NEW"),"",INDEX(J$1:J6113,SUMPRODUCT(MAX(ROW(E$1:E6113)*(E6114=E$1:E6113)))))</f>
        <v> </v>
      </c>
      <c r="L6114" s="27"/>
    </row>
    <row r="6115" spans="1:12">
      <c r="A6115" s="20" t="s">
        <v>1324</v>
      </c>
      <c r="E6115" s="22">
        <f>IF(D6115="?OLD","!!!","")</f>
        <v/>
      </c>
      <c r="F6115" s="23" t="str">
        <f>IF(OR(E6115="",E6115="!!!"),"",IF(NOT(ISNA(VLOOKUP(E6115,E$1:E6114,1,FALSE()))),"OLD",IF(AND(E6115&lt;&gt;"",E6115&lt;&gt;"!!!"),"NEW","")))</f>
        <v> </v>
      </c>
      <c r="G6115" s="24" t="str">
        <f>IF(OR(E6115="",E6115="!!!"),"",IF(OR(J6115=0,AND(J6115=1,K6115=1),AND(J6115=1,I6115="SBJ"),AND(J6115=1,I6115=0)),"?IN_FOCUS",IF(J6115&lt;=2,"?ACTIVATED",IF(J6115&lt;&gt;"","?FAMILIAR",IF(F6115="NEW",IF(ISNA(VLOOKUP(E6115,#REF!,1,FALSE())),"?TYPE_IDENTIFIABLE","?REFERENTIAL"),"_")))))</f>
        <v> </v>
      </c>
      <c r="H6115" s="25" t="str">
        <f>IF(J6115&lt;&gt;1,"",IF(I6115="SBJ","CB","?"))</f>
        <v> </v>
      </c>
      <c r="I6115" s="26" t="str">
        <f>IF(OR(E6115="",E6115="!!!",F6115="NEW"),"",INDEX(B6114:B$2,-1+SUMPRODUCT(MAX(ROW(E6114:E$2)*(E6115=E6114:E$2)))))</f>
        <v> </v>
      </c>
      <c r="J6115" s="26" t="str">
        <f>IF(OR(E6115="",E6115="!!!",F6115="NEW"),"",COUNTBLANK(OFFSET(A$1,,,SUMPRODUCT(MAX(ROW(E$2:E6115)*(E6115=E$2:E6115)))))-COUNTBLANK(OFFSET(A$1,,,SUMPRODUCT(MAX(ROW(E$1:E6114)*(E2=E$1:E6114))))))</f>
        <v> </v>
      </c>
      <c r="K6115" s="26" t="str">
        <f>IF(OR(E6115="",E6115="!!!",F6115="NEW"),"",INDEX(J$1:J6114,SUMPRODUCT(MAX(ROW(E$1:E6114)*(E6115=E$1:E6114)))))</f>
        <v> </v>
      </c>
      <c r="L6115" s="27"/>
    </row>
    <row r="6116" spans="1:12">
      <c r="A6116" s="20" t="s">
        <v>193</v>
      </c>
      <c r="B6116" s="21" t="s">
        <v>1187</v>
      </c>
      <c r="C6116" s="21" t="s">
        <v>1111</v>
      </c>
      <c r="E6116" s="22">
        <f>IF(D6116="?OLD","!!!","")</f>
        <v/>
      </c>
      <c r="F6116" s="23" t="str">
        <f>IF(OR(E6116="",E6116="!!!"),"",IF(NOT(ISNA(VLOOKUP(E6116,E$1:E6115,1,FALSE()))),"OLD",IF(AND(E6116&lt;&gt;"",E6116&lt;&gt;"!!!"),"NEW","")))</f>
        <v> </v>
      </c>
      <c r="G6116" s="24" t="str">
        <f>IF(OR(E6116="",E6116="!!!"),"",IF(OR(J6116=0,AND(J6116=1,K6116=1),AND(J6116=1,I6116="SBJ"),AND(J6116=1,I6116=0)),"?IN_FOCUS",IF(J6116&lt;=2,"?ACTIVATED",IF(J6116&lt;&gt;"","?FAMILIAR",IF(F6116="NEW",IF(ISNA(VLOOKUP(E6116,#REF!,1,FALSE())),"?TYPE_IDENTIFIABLE","?REFERENTIAL"),"_")))))</f>
        <v> </v>
      </c>
      <c r="H6116" s="25" t="str">
        <f>IF(J6116&lt;&gt;1,"",IF(I6116="SBJ","CB","?"))</f>
        <v> </v>
      </c>
      <c r="I6116" s="26" t="str">
        <f>IF(OR(E6116="",E6116="!!!",F6116="NEW"),"",INDEX(B6115:B$2,-1+SUMPRODUCT(MAX(ROW(E6115:E$2)*(E6116=E6115:E$2)))))</f>
        <v> </v>
      </c>
      <c r="J6116" s="26" t="str">
        <f>IF(OR(E6116="",E6116="!!!",F6116="NEW"),"",COUNTBLANK(OFFSET(A$1,,,SUMPRODUCT(MAX(ROW(E$2:E6116)*(E6116=E$2:E6116)))))-COUNTBLANK(OFFSET(A$1,,,SUMPRODUCT(MAX(ROW(E$1:E6115)*(E2=E$1:E6115))))))</f>
        <v> </v>
      </c>
      <c r="K6116" s="26" t="str">
        <f>IF(OR(E6116="",E6116="!!!",F6116="NEW"),"",INDEX(J$1:J6115,SUMPRODUCT(MAX(ROW(E$1:E6115)*(E6116=E$1:E6115)))))</f>
        <v> </v>
      </c>
      <c r="L6116" s="27"/>
    </row>
    <row r="6117" spans="1:12">
      <c r="A6117" s="20" t="s">
        <v>1421</v>
      </c>
      <c r="E6117" s="22">
        <f>IF(D6117="?OLD","!!!","")</f>
        <v/>
      </c>
      <c r="F6117" s="23" t="str">
        <f>IF(OR(E6117="",E6117="!!!"),"",IF(NOT(ISNA(VLOOKUP(E6117,E$1:E6116,1,FALSE()))),"OLD",IF(AND(E6117&lt;&gt;"",E6117&lt;&gt;"!!!"),"NEW","")))</f>
        <v> </v>
      </c>
      <c r="G6117" s="24" t="str">
        <f>IF(OR(E6117="",E6117="!!!"),"",IF(OR(J6117=0,AND(J6117=1,K6117=1),AND(J6117=1,I6117="SBJ"),AND(J6117=1,I6117=0)),"?IN_FOCUS",IF(J6117&lt;=2,"?ACTIVATED",IF(J6117&lt;&gt;"","?FAMILIAR",IF(F6117="NEW",IF(ISNA(VLOOKUP(E6117,#REF!,1,FALSE())),"?TYPE_IDENTIFIABLE","?REFERENTIAL"),"_")))))</f>
        <v> </v>
      </c>
      <c r="H6117" s="25" t="str">
        <f>IF(J6117&lt;&gt;1,"",IF(I6117="SBJ","CB","?"))</f>
        <v> </v>
      </c>
      <c r="I6117" s="26" t="str">
        <f>IF(OR(E6117="",E6117="!!!",F6117="NEW"),"",INDEX(B6116:B$2,-1+SUMPRODUCT(MAX(ROW(E6116:E$2)*(E6117=E6116:E$2)))))</f>
        <v> </v>
      </c>
      <c r="J6117" s="26" t="str">
        <f>IF(OR(E6117="",E6117="!!!",F6117="NEW"),"",COUNTBLANK(OFFSET(A$1,,,SUMPRODUCT(MAX(ROW(E$2:E6117)*(E6117=E$2:E6117)))))-COUNTBLANK(OFFSET(A$1,,,SUMPRODUCT(MAX(ROW(E$1:E6116)*(E2=E$1:E6116))))))</f>
        <v> </v>
      </c>
      <c r="K6117" s="26" t="str">
        <f>IF(OR(E6117="",E6117="!!!",F6117="NEW"),"",INDEX(J$1:J6116,SUMPRODUCT(MAX(ROW(E$1:E6116)*(E6117=E$1:E6116)))))</f>
        <v> </v>
      </c>
      <c r="L6117" s="27"/>
    </row>
    <row r="6118" spans="1:12">
      <c r="A6118" s="20" t="s">
        <v>102</v>
      </c>
      <c r="E6118" s="22">
        <f>IF(D6118="?OLD","!!!","")</f>
        <v/>
      </c>
      <c r="F6118" s="23" t="str">
        <f>IF(OR(E6118="",E6118="!!!"),"",IF(NOT(ISNA(VLOOKUP(E6118,E$1:E6117,1,FALSE()))),"OLD",IF(AND(E6118&lt;&gt;"",E6118&lt;&gt;"!!!"),"NEW","")))</f>
        <v> </v>
      </c>
      <c r="G6118" s="24" t="str">
        <f>IF(OR(E6118="",E6118="!!!"),"",IF(OR(J6118=0,AND(J6118=1,K6118=1),AND(J6118=1,I6118="SBJ"),AND(J6118=1,I6118=0)),"?IN_FOCUS",IF(J6118&lt;=2,"?ACTIVATED",IF(J6118&lt;&gt;"","?FAMILIAR",IF(F6118="NEW",IF(ISNA(VLOOKUP(E6118,#REF!,1,FALSE())),"?TYPE_IDENTIFIABLE","?REFERENTIAL"),"_")))))</f>
        <v> </v>
      </c>
      <c r="H6118" s="25" t="str">
        <f>IF(J6118&lt;&gt;1,"",IF(I6118="SBJ","CB","?"))</f>
        <v> </v>
      </c>
      <c r="I6118" s="26" t="str">
        <f>IF(OR(E6118="",E6118="!!!",F6118="NEW"),"",INDEX(B6117:B$2,-1+SUMPRODUCT(MAX(ROW(E6117:E$2)*(E6118=E6117:E$2)))))</f>
        <v> </v>
      </c>
      <c r="J6118" s="26" t="str">
        <f>IF(OR(E6118="",E6118="!!!",F6118="NEW"),"",COUNTBLANK(OFFSET(A$1,,,SUMPRODUCT(MAX(ROW(E$2:E6118)*(E6118=E$2:E6118)))))-COUNTBLANK(OFFSET(A$1,,,SUMPRODUCT(MAX(ROW(E$1:E6117)*(E2=E$1:E6117))))))</f>
        <v> </v>
      </c>
      <c r="K6118" s="26" t="str">
        <f>IF(OR(E6118="",E6118="!!!",F6118="NEW"),"",INDEX(J$1:J6117,SUMPRODUCT(MAX(ROW(E$1:E6117)*(E6118=E$1:E6117)))))</f>
        <v> </v>
      </c>
      <c r="L6118" s="27"/>
    </row>
    <row r="6119" spans="1:12">
      <c r="A6119" s="20" t="s">
        <v>2616</v>
      </c>
      <c r="B6119" s="21" t="s">
        <v>1120</v>
      </c>
      <c r="C6119" s="21" t="s">
        <v>1006</v>
      </c>
      <c r="D6119" s="21" t="s">
        <v>1007</v>
      </c>
      <c r="E6119" s="22">
        <f>IF(D6119="?OLD","!!!","")</f>
        <v/>
      </c>
      <c r="F6119" s="23" t="str">
        <f>IF(OR(E6119="",E6119="!!!"),"",IF(NOT(ISNA(VLOOKUP(E6119,E$1:E6118,1,FALSE()))),"OLD",IF(AND(E6119&lt;&gt;"",E6119&lt;&gt;"!!!"),"NEW","")))</f>
        <v> </v>
      </c>
      <c r="G6119" s="24" t="str">
        <f>IF(OR(E6119="",E6119="!!!"),"",IF(OR(J6119=0,AND(J6119=1,K6119=1),AND(J6119=1,I6119="SBJ"),AND(J6119=1,I6119=0)),"?IN_FOCUS",IF(J6119&lt;=2,"?ACTIVATED",IF(J6119&lt;&gt;"","?FAMILIAR",IF(F6119="NEW",IF(ISNA(VLOOKUP(E6119,#REF!,1,FALSE())),"?TYPE_IDENTIFIABLE","?REFERENTIAL"),"_")))))</f>
        <v> </v>
      </c>
      <c r="H6119" s="25" t="str">
        <f>IF(J6119&lt;&gt;1,"",IF(I6119="SBJ","CB","?"))</f>
        <v> </v>
      </c>
      <c r="I6119" s="26" t="str">
        <f>IF(OR(E6119="",E6119="!!!",F6119="NEW"),"",INDEX(B6118:B$2,-1+SUMPRODUCT(MAX(ROW(E6118:E$2)*(E6119=E6118:E$2)))))</f>
        <v> </v>
      </c>
      <c r="J6119" s="26" t="str">
        <f>IF(OR(E6119="",E6119="!!!",F6119="NEW"),"",COUNTBLANK(OFFSET(A$1,,,SUMPRODUCT(MAX(ROW(E$2:E6119)*(E6119=E$2:E6119)))))-COUNTBLANK(OFFSET(A$1,,,SUMPRODUCT(MAX(ROW(E$1:E6118)*(E2=E$1:E6118))))))</f>
        <v> </v>
      </c>
      <c r="K6119" s="26" t="str">
        <f>IF(OR(E6119="",E6119="!!!",F6119="NEW"),"",INDEX(J$1:J6118,SUMPRODUCT(MAX(ROW(E$1:E6118)*(E6119=E$1:E6118)))))</f>
        <v> </v>
      </c>
      <c r="L6119" s="27"/>
    </row>
    <row r="6120" spans="1:12">
      <c r="A6120" s="20" t="s">
        <v>1014</v>
      </c>
      <c r="E6120" s="22">
        <f>IF(D6120="?OLD","!!!","")</f>
        <v/>
      </c>
      <c r="F6120" s="23" t="str">
        <f>IF(OR(E6120="",E6120="!!!"),"",IF(NOT(ISNA(VLOOKUP(E6120,E$1:E6119,1,FALSE()))),"OLD",IF(AND(E6120&lt;&gt;"",E6120&lt;&gt;"!!!"),"NEW","")))</f>
        <v> </v>
      </c>
      <c r="G6120" s="24" t="str">
        <f>IF(OR(E6120="",E6120="!!!"),"",IF(OR(J6120=0,AND(J6120=1,K6120=1),AND(J6120=1,I6120="SBJ"),AND(J6120=1,I6120=0)),"?IN_FOCUS",IF(J6120&lt;=2,"?ACTIVATED",IF(J6120&lt;&gt;"","?FAMILIAR",IF(F6120="NEW",IF(ISNA(VLOOKUP(E6120,#REF!,1,FALSE())),"?TYPE_IDENTIFIABLE","?REFERENTIAL"),"_")))))</f>
        <v> </v>
      </c>
      <c r="H6120" s="25" t="str">
        <f>IF(J6120&lt;&gt;1,"",IF(I6120="SBJ","CB","?"))</f>
        <v> </v>
      </c>
      <c r="I6120" s="26" t="str">
        <f>IF(OR(E6120="",E6120="!!!",F6120="NEW"),"",INDEX(B6119:B$2,-1+SUMPRODUCT(MAX(ROW(E6119:E$2)*(E6120=E6119:E$2)))))</f>
        <v> </v>
      </c>
      <c r="J6120" s="26" t="str">
        <f>IF(OR(E6120="",E6120="!!!",F6120="NEW"),"",COUNTBLANK(OFFSET(A$1,,,SUMPRODUCT(MAX(ROW(E$2:E6120)*(E6120=E$2:E6120)))))-COUNTBLANK(OFFSET(A$1,,,SUMPRODUCT(MAX(ROW(E$1:E6119)*(E2=E$1:E6119))))))</f>
        <v> </v>
      </c>
      <c r="K6120" s="26" t="str">
        <f>IF(OR(E6120="",E6120="!!!",F6120="NEW"),"",INDEX(J$1:J6119,SUMPRODUCT(MAX(ROW(E$1:E6119)*(E6120=E$1:E6119)))))</f>
        <v> </v>
      </c>
      <c r="L6120" s="27"/>
    </row>
    <row r="6121" spans="1:12">
      <c r="A6121" s="20" t="s">
        <v>2617</v>
      </c>
      <c r="B6121" s="21" t="s">
        <v>1130</v>
      </c>
      <c r="C6121" s="21" t="s">
        <v>1006</v>
      </c>
      <c r="D6121" s="21" t="s">
        <v>1007</v>
      </c>
      <c r="E6121" s="22">
        <f>IF(D6121="?OLD","!!!","")</f>
        <v/>
      </c>
      <c r="F6121" s="23" t="str">
        <f>IF(OR(E6121="",E6121="!!!"),"",IF(NOT(ISNA(VLOOKUP(E6121,E$1:E6120,1,FALSE()))),"OLD",IF(AND(E6121&lt;&gt;"",E6121&lt;&gt;"!!!"),"NEW","")))</f>
        <v> </v>
      </c>
      <c r="G6121" s="24" t="str">
        <f>IF(OR(E6121="",E6121="!!!"),"",IF(OR(J6121=0,AND(J6121=1,K6121=1),AND(J6121=1,I6121="SBJ"),AND(J6121=1,I6121=0)),"?IN_FOCUS",IF(J6121&lt;=2,"?ACTIVATED",IF(J6121&lt;&gt;"","?FAMILIAR",IF(F6121="NEW",IF(ISNA(VLOOKUP(E6121,#REF!,1,FALSE())),"?TYPE_IDENTIFIABLE","?REFERENTIAL"),"_")))))</f>
        <v> </v>
      </c>
      <c r="H6121" s="25" t="str">
        <f>IF(J6121&lt;&gt;1,"",IF(I6121="SBJ","CB","?"))</f>
        <v> </v>
      </c>
      <c r="I6121" s="26" t="str">
        <f>IF(OR(E6121="",E6121="!!!",F6121="NEW"),"",INDEX(B6120:B$2,-1+SUMPRODUCT(MAX(ROW(E6120:E$2)*(E6121=E6120:E$2)))))</f>
        <v> </v>
      </c>
      <c r="J6121" s="26" t="str">
        <f>IF(OR(E6121="",E6121="!!!",F6121="NEW"),"",COUNTBLANK(OFFSET(A$1,,,SUMPRODUCT(MAX(ROW(E$2:E6121)*(E6121=E$2:E6121)))))-COUNTBLANK(OFFSET(A$1,,,SUMPRODUCT(MAX(ROW(E$1:E6120)*(E2=E$1:E6120))))))</f>
        <v> </v>
      </c>
      <c r="K6121" s="26" t="str">
        <f>IF(OR(E6121="",E6121="!!!",F6121="NEW"),"",INDEX(J$1:J6120,SUMPRODUCT(MAX(ROW(E$1:E6120)*(E6121=E$1:E6120)))))</f>
        <v> </v>
      </c>
      <c r="L6121" s="27"/>
    </row>
    <row r="6122" spans="1:12">
      <c r="A6122" s="20" t="s">
        <v>1018</v>
      </c>
      <c r="E6122" s="22">
        <f>IF(D6122="?OLD","!!!","")</f>
        <v/>
      </c>
      <c r="F6122" s="23" t="str">
        <f>IF(OR(E6122="",E6122="!!!"),"",IF(NOT(ISNA(VLOOKUP(E6122,E$1:E6121,1,FALSE()))),"OLD",IF(AND(E6122&lt;&gt;"",E6122&lt;&gt;"!!!"),"NEW","")))</f>
        <v> </v>
      </c>
      <c r="G6122" s="24" t="str">
        <f>IF(OR(E6122="",E6122="!!!"),"",IF(OR(J6122=0,AND(J6122=1,K6122=1),AND(J6122=1,I6122="SBJ"),AND(J6122=1,I6122=0)),"?IN_FOCUS",IF(J6122&lt;=2,"?ACTIVATED",IF(J6122&lt;&gt;"","?FAMILIAR",IF(F6122="NEW",IF(ISNA(VLOOKUP(E6122,#REF!,1,FALSE())),"?TYPE_IDENTIFIABLE","?REFERENTIAL"),"_")))))</f>
        <v> </v>
      </c>
      <c r="H6122" s="25" t="str">
        <f>IF(J6122&lt;&gt;1,"",IF(I6122="SBJ","CB","?"))</f>
        <v> </v>
      </c>
      <c r="I6122" s="26" t="str">
        <f>IF(OR(E6122="",E6122="!!!",F6122="NEW"),"",INDEX(B6121:B$2,-1+SUMPRODUCT(MAX(ROW(E6121:E$2)*(E6122=E6121:E$2)))))</f>
        <v> </v>
      </c>
      <c r="J6122" s="26" t="str">
        <f>IF(OR(E6122="",E6122="!!!",F6122="NEW"),"",COUNTBLANK(OFFSET(A$1,,,SUMPRODUCT(MAX(ROW(E$2:E6122)*(E6122=E$2:E6122)))))-COUNTBLANK(OFFSET(A$1,,,SUMPRODUCT(MAX(ROW(E$1:E6121)*(E2=E$1:E6121))))))</f>
        <v> </v>
      </c>
      <c r="K6122" s="26" t="str">
        <f>IF(OR(E6122="",E6122="!!!",F6122="NEW"),"",INDEX(J$1:J6121,SUMPRODUCT(MAX(ROW(E$1:E6121)*(E6122=E$1:E6121)))))</f>
        <v> </v>
      </c>
      <c r="L6122" s="27"/>
    </row>
    <row r="6123" spans="1:12">
      <c r="A6123" s="20" t="s">
        <v>1065</v>
      </c>
      <c r="B6123" s="21" t="s">
        <v>1067</v>
      </c>
      <c r="E6123" s="22">
        <f>IF(D6123="?OLD","!!!","")</f>
        <v/>
      </c>
      <c r="F6123" s="23" t="str">
        <f>IF(OR(E6123="",E6123="!!!"),"",IF(NOT(ISNA(VLOOKUP(E6123,E$1:E6122,1,FALSE()))),"OLD",IF(AND(E6123&lt;&gt;"",E6123&lt;&gt;"!!!"),"NEW","")))</f>
        <v> </v>
      </c>
      <c r="G6123" s="24" t="str">
        <f>IF(OR(E6123="",E6123="!!!"),"",IF(OR(J6123=0,AND(J6123=1,K6123=1),AND(J6123=1,I6123="SBJ"),AND(J6123=1,I6123=0)),"?IN_FOCUS",IF(J6123&lt;=2,"?ACTIVATED",IF(J6123&lt;&gt;"","?FAMILIAR",IF(F6123="NEW",IF(ISNA(VLOOKUP(E6123,#REF!,1,FALSE())),"?TYPE_IDENTIFIABLE","?REFERENTIAL"),"_")))))</f>
        <v> </v>
      </c>
      <c r="H6123" s="25" t="str">
        <f>IF(J6123&lt;&gt;1,"",IF(I6123="SBJ","CB","?"))</f>
        <v> </v>
      </c>
      <c r="I6123" s="26" t="str">
        <f>IF(OR(E6123="",E6123="!!!",F6123="NEW"),"",INDEX(B6122:B$2,-1+SUMPRODUCT(MAX(ROW(E6122:E$2)*(E6123=E6122:E$2)))))</f>
        <v> </v>
      </c>
      <c r="J6123" s="26" t="str">
        <f>IF(OR(E6123="",E6123="!!!",F6123="NEW"),"",COUNTBLANK(OFFSET(A$1,,,SUMPRODUCT(MAX(ROW(E$2:E6123)*(E6123=E$2:E6123)))))-COUNTBLANK(OFFSET(A$1,,,SUMPRODUCT(MAX(ROW(E$1:E6122)*(E2=E$1:E6122))))))</f>
        <v> </v>
      </c>
      <c r="K6123" s="26" t="str">
        <f>IF(OR(E6123="",E6123="!!!",F6123="NEW"),"",INDEX(J$1:J6122,SUMPRODUCT(MAX(ROW(E$1:E6122)*(E6123=E$1:E6122)))))</f>
        <v> </v>
      </c>
      <c r="L6123" s="27"/>
    </row>
    <row r="6124" spans="1:12">
      <c r="A6124" s="20" t="s">
        <v>1752</v>
      </c>
      <c r="E6124" s="22">
        <f>IF(D6124="?OLD","!!!","")</f>
        <v/>
      </c>
      <c r="F6124" s="23" t="str">
        <f>IF(OR(E6124="",E6124="!!!"),"",IF(NOT(ISNA(VLOOKUP(E6124,E$1:E6123,1,FALSE()))),"OLD",IF(AND(E6124&lt;&gt;"",E6124&lt;&gt;"!!!"),"NEW","")))</f>
        <v> </v>
      </c>
      <c r="G6124" s="24" t="str">
        <f>IF(OR(E6124="",E6124="!!!"),"",IF(OR(J6124=0,AND(J6124=1,K6124=1),AND(J6124=1,I6124="SBJ"),AND(J6124=1,I6124=0)),"?IN_FOCUS",IF(J6124&lt;=2,"?ACTIVATED",IF(J6124&lt;&gt;"","?FAMILIAR",IF(F6124="NEW",IF(ISNA(VLOOKUP(E6124,#REF!,1,FALSE())),"?TYPE_IDENTIFIABLE","?REFERENTIAL"),"_")))))</f>
        <v> </v>
      </c>
      <c r="H6124" s="25" t="str">
        <f>IF(J6124&lt;&gt;1,"",IF(I6124="SBJ","CB","?"))</f>
        <v> </v>
      </c>
      <c r="I6124" s="26" t="str">
        <f>IF(OR(E6124="",E6124="!!!",F6124="NEW"),"",INDEX(B6123:B$2,-1+SUMPRODUCT(MAX(ROW(E6123:E$2)*(E6124=E6123:E$2)))))</f>
        <v> </v>
      </c>
      <c r="J6124" s="26" t="str">
        <f>IF(OR(E6124="",E6124="!!!",F6124="NEW"),"",COUNTBLANK(OFFSET(A$1,,,SUMPRODUCT(MAX(ROW(E$2:E6124)*(E6124=E$2:E6124)))))-COUNTBLANK(OFFSET(A$1,,,SUMPRODUCT(MAX(ROW(E$1:E6123)*(E2=E$1:E6123))))))</f>
        <v> </v>
      </c>
      <c r="K6124" s="26" t="str">
        <f>IF(OR(E6124="",E6124="!!!",F6124="NEW"),"",INDEX(J$1:J6123,SUMPRODUCT(MAX(ROW(E$1:E6123)*(E6124=E$1:E6123)))))</f>
        <v> </v>
      </c>
      <c r="L6124" s="27"/>
    </row>
    <row r="6125" spans="1:12">
      <c r="A6125" s="20" t="s">
        <v>1065</v>
      </c>
      <c r="E6125" s="22">
        <f>IF(D6125="?OLD","!!!","")</f>
        <v/>
      </c>
      <c r="F6125" s="23" t="str">
        <f>IF(OR(E6125="",E6125="!!!"),"",IF(NOT(ISNA(VLOOKUP(E6125,E$1:E6124,1,FALSE()))),"OLD",IF(AND(E6125&lt;&gt;"",E6125&lt;&gt;"!!!"),"NEW","")))</f>
        <v> </v>
      </c>
      <c r="G6125" s="24" t="str">
        <f>IF(OR(E6125="",E6125="!!!"),"",IF(OR(J6125=0,AND(J6125=1,K6125=1),AND(J6125=1,I6125="SBJ"),AND(J6125=1,I6125=0)),"?IN_FOCUS",IF(J6125&lt;=2,"?ACTIVATED",IF(J6125&lt;&gt;"","?FAMILIAR",IF(F6125="NEW",IF(ISNA(VLOOKUP(E6125,#REF!,1,FALSE())),"?TYPE_IDENTIFIABLE","?REFERENTIAL"),"_")))))</f>
        <v> </v>
      </c>
      <c r="H6125" s="25" t="str">
        <f>IF(J6125&lt;&gt;1,"",IF(I6125="SBJ","CB","?"))</f>
        <v> </v>
      </c>
      <c r="I6125" s="26" t="str">
        <f>IF(OR(E6125="",E6125="!!!",F6125="NEW"),"",INDEX(B6124:B$2,-1+SUMPRODUCT(MAX(ROW(E6124:E$2)*(E6125=E6124:E$2)))))</f>
        <v> </v>
      </c>
      <c r="J6125" s="26" t="str">
        <f>IF(OR(E6125="",E6125="!!!",F6125="NEW"),"",COUNTBLANK(OFFSET(A$1,,,SUMPRODUCT(MAX(ROW(E$2:E6125)*(E6125=E$2:E6125)))))-COUNTBLANK(OFFSET(A$1,,,SUMPRODUCT(MAX(ROW(E$1:E6124)*(E2=E$1:E6124))))))</f>
        <v> </v>
      </c>
      <c r="K6125" s="26" t="str">
        <f>IF(OR(E6125="",E6125="!!!",F6125="NEW"),"",INDEX(J$1:J6124,SUMPRODUCT(MAX(ROW(E$1:E6124)*(E6125=E$1:E6124)))))</f>
        <v> </v>
      </c>
      <c r="L6125" s="27"/>
    </row>
    <row r="6126" spans="1:12">
      <c r="A6126" s="20" t="s">
        <v>1020</v>
      </c>
      <c r="E6126" s="22">
        <f>IF(D6126="?OLD","!!!","")</f>
        <v/>
      </c>
      <c r="F6126" s="23" t="str">
        <f>IF(OR(E6126="",E6126="!!!"),"",IF(NOT(ISNA(VLOOKUP(E6126,E$1:E6125,1,FALSE()))),"OLD",IF(AND(E6126&lt;&gt;"",E6126&lt;&gt;"!!!"),"NEW","")))</f>
        <v> </v>
      </c>
      <c r="G6126" s="24" t="str">
        <f>IF(OR(E6126="",E6126="!!!"),"",IF(OR(J6126=0,AND(J6126=1,K6126=1),AND(J6126=1,I6126="SBJ"),AND(J6126=1,I6126=0)),"?IN_FOCUS",IF(J6126&lt;=2,"?ACTIVATED",IF(J6126&lt;&gt;"","?FAMILIAR",IF(F6126="NEW",IF(ISNA(VLOOKUP(E6126,#REF!,1,FALSE())),"?TYPE_IDENTIFIABLE","?REFERENTIAL"),"_")))))</f>
        <v> </v>
      </c>
      <c r="H6126" s="25" t="str">
        <f>IF(J6126&lt;&gt;1,"",IF(I6126="SBJ","CB","?"))</f>
        <v> </v>
      </c>
      <c r="I6126" s="26" t="str">
        <f>IF(OR(E6126="",E6126="!!!",F6126="NEW"),"",INDEX(B6125:B$2,-1+SUMPRODUCT(MAX(ROW(E6125:E$2)*(E6126=E6125:E$2)))))</f>
        <v> </v>
      </c>
      <c r="J6126" s="26" t="str">
        <f>IF(OR(E6126="",E6126="!!!",F6126="NEW"),"",COUNTBLANK(OFFSET(A$1,,,SUMPRODUCT(MAX(ROW(E$2:E6126)*(E6126=E$2:E6126)))))-COUNTBLANK(OFFSET(A$1,,,SUMPRODUCT(MAX(ROW(E$1:E6125)*(E2=E$1:E6125))))))</f>
        <v> </v>
      </c>
      <c r="K6126" s="26" t="str">
        <f>IF(OR(E6126="",E6126="!!!",F6126="NEW"),"",INDEX(J$1:J6125,SUMPRODUCT(MAX(ROW(E$1:E6125)*(E6126=E$1:E6125)))))</f>
        <v> </v>
      </c>
      <c r="L6126" s="27"/>
    </row>
    <row r="6127" spans="1:12">
      <c r="A6127" s="20" t="s">
        <v>1873</v>
      </c>
      <c r="B6127" s="21" t="s">
        <v>1044</v>
      </c>
      <c r="C6127" s="21" t="s">
        <v>1059</v>
      </c>
      <c r="D6127" s="21" t="s">
        <v>1007</v>
      </c>
      <c r="E6127" s="22">
        <f>IF(D6127="?OLD","!!!","")</f>
        <v/>
      </c>
      <c r="F6127" s="23" t="str">
        <f>IF(OR(E6127="",E6127="!!!"),"",IF(NOT(ISNA(VLOOKUP(E6127,E$1:E6126,1,FALSE()))),"OLD",IF(AND(E6127&lt;&gt;"",E6127&lt;&gt;"!!!"),"NEW","")))</f>
        <v> </v>
      </c>
      <c r="G6127" s="24" t="str">
        <f>IF(OR(E6127="",E6127="!!!"),"",IF(OR(J6127=0,AND(J6127=1,K6127=1),AND(J6127=1,I6127="SBJ"),AND(J6127=1,I6127=0)),"?IN_FOCUS",IF(J6127&lt;=2,"?ACTIVATED",IF(J6127&lt;&gt;"","?FAMILIAR",IF(F6127="NEW",IF(ISNA(VLOOKUP(E6127,#REF!,1,FALSE())),"?TYPE_IDENTIFIABLE","?REFERENTIAL"),"_")))))</f>
        <v> </v>
      </c>
      <c r="H6127" s="25" t="str">
        <f>IF(J6127&lt;&gt;1,"",IF(I6127="SBJ","CB","?"))</f>
        <v> </v>
      </c>
      <c r="I6127" s="26" t="str">
        <f>IF(OR(E6127="",E6127="!!!",F6127="NEW"),"",INDEX(B6126:B$2,-1+SUMPRODUCT(MAX(ROW(E6126:E$2)*(E6127=E6126:E$2)))))</f>
        <v> </v>
      </c>
      <c r="J6127" s="26" t="str">
        <f>IF(OR(E6127="",E6127="!!!",F6127="NEW"),"",COUNTBLANK(OFFSET(A$1,,,SUMPRODUCT(MAX(ROW(E$2:E6127)*(E6127=E$2:E6127)))))-COUNTBLANK(OFFSET(A$1,,,SUMPRODUCT(MAX(ROW(E$1:E6126)*(E2=E$1:E6126))))))</f>
        <v> </v>
      </c>
      <c r="K6127" s="26" t="str">
        <f>IF(OR(E6127="",E6127="!!!",F6127="NEW"),"",INDEX(J$1:J6126,SUMPRODUCT(MAX(ROW(E$1:E6126)*(E6127=E$1:E6126)))))</f>
        <v> </v>
      </c>
      <c r="L6127" s="27"/>
    </row>
    <row r="6128" spans="1:12">
      <c r="A6128" s="20" t="s">
        <v>2618</v>
      </c>
      <c r="B6128" s="21" t="s">
        <v>1251</v>
      </c>
      <c r="C6128" s="21" t="s">
        <v>1013</v>
      </c>
      <c r="D6128" s="21" t="s">
        <v>1007</v>
      </c>
      <c r="E6128" s="22">
        <f>IF(D6128="?OLD","!!!","")</f>
        <v/>
      </c>
      <c r="F6128" s="23" t="str">
        <f>IF(OR(E6128="",E6128="!!!"),"",IF(NOT(ISNA(VLOOKUP(E6128,E$1:E6127,1,FALSE()))),"OLD",IF(AND(E6128&lt;&gt;"",E6128&lt;&gt;"!!!"),"NEW","")))</f>
        <v> </v>
      </c>
      <c r="G6128" s="24" t="str">
        <f>IF(OR(E6128="",E6128="!!!"),"",IF(OR(J6128=0,AND(J6128=1,K6128=1),AND(J6128=1,I6128="SBJ"),AND(J6128=1,I6128=0)),"?IN_FOCUS",IF(J6128&lt;=2,"?ACTIVATED",IF(J6128&lt;&gt;"","?FAMILIAR",IF(F6128="NEW",IF(ISNA(VLOOKUP(E6128,#REF!,1,FALSE())),"?TYPE_IDENTIFIABLE","?REFERENTIAL"),"_")))))</f>
        <v> </v>
      </c>
      <c r="H6128" s="25" t="str">
        <f>IF(J6128&lt;&gt;1,"",IF(I6128="SBJ","CB","?"))</f>
        <v> </v>
      </c>
      <c r="I6128" s="26" t="str">
        <f>IF(OR(E6128="",E6128="!!!",F6128="NEW"),"",INDEX(B6127:B$2,-1+SUMPRODUCT(MAX(ROW(E6127:E$2)*(E6128=E6127:E$2)))))</f>
        <v> </v>
      </c>
      <c r="J6128" s="26" t="str">
        <f>IF(OR(E6128="",E6128="!!!",F6128="NEW"),"",COUNTBLANK(OFFSET(A$1,,,SUMPRODUCT(MAX(ROW(E$2:E6128)*(E6128=E$2:E6128)))))-COUNTBLANK(OFFSET(A$1,,,SUMPRODUCT(MAX(ROW(E$1:E6127)*(E2=E$1:E6127))))))</f>
        <v> </v>
      </c>
      <c r="K6128" s="26" t="str">
        <f>IF(OR(E6128="",E6128="!!!",F6128="NEW"),"",INDEX(J$1:J6127,SUMPRODUCT(MAX(ROW(E$1:E6127)*(E6128=E$1:E6127)))))</f>
        <v> </v>
      </c>
      <c r="L6128" s="27"/>
    </row>
    <row r="6129" spans="1:12">
      <c r="A6129" s="20" t="s">
        <v>1014</v>
      </c>
      <c r="E6129" s="22">
        <f>IF(D6129="?OLD","!!!","")</f>
        <v/>
      </c>
      <c r="F6129" s="23" t="str">
        <f>IF(OR(E6129="",E6129="!!!"),"",IF(NOT(ISNA(VLOOKUP(E6129,E$1:E6128,1,FALSE()))),"OLD",IF(AND(E6129&lt;&gt;"",E6129&lt;&gt;"!!!"),"NEW","")))</f>
        <v> </v>
      </c>
      <c r="G6129" s="24" t="str">
        <f>IF(OR(E6129="",E6129="!!!"),"",IF(OR(J6129=0,AND(J6129=1,K6129=1),AND(J6129=1,I6129="SBJ"),AND(J6129=1,I6129=0)),"?IN_FOCUS",IF(J6129&lt;=2,"?ACTIVATED",IF(J6129&lt;&gt;"","?FAMILIAR",IF(F6129="NEW",IF(ISNA(VLOOKUP(E6129,#REF!,1,FALSE())),"?TYPE_IDENTIFIABLE","?REFERENTIAL"),"_")))))</f>
        <v> </v>
      </c>
      <c r="H6129" s="25" t="str">
        <f>IF(J6129&lt;&gt;1,"",IF(I6129="SBJ","CB","?"))</f>
        <v> </v>
      </c>
      <c r="I6129" s="26" t="str">
        <f>IF(OR(E6129="",E6129="!!!",F6129="NEW"),"",INDEX(B6128:B$2,-1+SUMPRODUCT(MAX(ROW(E6128:E$2)*(E6129=E6128:E$2)))))</f>
        <v> </v>
      </c>
      <c r="J6129" s="26" t="str">
        <f>IF(OR(E6129="",E6129="!!!",F6129="NEW"),"",COUNTBLANK(OFFSET(A$1,,,SUMPRODUCT(MAX(ROW(E$2:E6129)*(E6129=E$2:E6129)))))-COUNTBLANK(OFFSET(A$1,,,SUMPRODUCT(MAX(ROW(E$1:E6128)*(E2=E$1:E6128))))))</f>
        <v> </v>
      </c>
      <c r="K6129" s="26" t="str">
        <f>IF(OR(E6129="",E6129="!!!",F6129="NEW"),"",INDEX(J$1:J6128,SUMPRODUCT(MAX(ROW(E$1:E6128)*(E6129=E$1:E6128)))))</f>
        <v> </v>
      </c>
      <c r="L6129" s="27"/>
    </row>
    <row r="6130" spans="1:12">
      <c r="A6130" s="20" t="s">
        <v>1691</v>
      </c>
      <c r="B6130" s="21" t="s">
        <v>1044</v>
      </c>
      <c r="C6130" s="21" t="s">
        <v>1048</v>
      </c>
      <c r="E6130" s="22">
        <f>IF(D6130="?OLD","!!!","")</f>
        <v/>
      </c>
      <c r="F6130" s="23" t="str">
        <f>IF(OR(E6130="",E6130="!!!"),"",IF(NOT(ISNA(VLOOKUP(E6130,E$1:E6129,1,FALSE()))),"OLD",IF(AND(E6130&lt;&gt;"",E6130&lt;&gt;"!!!"),"NEW","")))</f>
        <v> </v>
      </c>
      <c r="G6130" s="24" t="str">
        <f>IF(OR(E6130="",E6130="!!!"),"",IF(OR(J6130=0,AND(J6130=1,K6130=1),AND(J6130=1,I6130="SBJ"),AND(J6130=1,I6130=0)),"?IN_FOCUS",IF(J6130&lt;=2,"?ACTIVATED",IF(J6130&lt;&gt;"","?FAMILIAR",IF(F6130="NEW",IF(ISNA(VLOOKUP(E6130,#REF!,1,FALSE())),"?TYPE_IDENTIFIABLE","?REFERENTIAL"),"_")))))</f>
        <v> </v>
      </c>
      <c r="H6130" s="25" t="str">
        <f>IF(J6130&lt;&gt;1,"",IF(I6130="SBJ","CB","?"))</f>
        <v> </v>
      </c>
      <c r="I6130" s="26" t="str">
        <f>IF(OR(E6130="",E6130="!!!",F6130="NEW"),"",INDEX(B6129:B$2,-1+SUMPRODUCT(MAX(ROW(E6129:E$2)*(E6130=E6129:E$2)))))</f>
        <v> </v>
      </c>
      <c r="J6130" s="26" t="str">
        <f>IF(OR(E6130="",E6130="!!!",F6130="NEW"),"",COUNTBLANK(OFFSET(A$1,,,SUMPRODUCT(MAX(ROW(E$2:E6130)*(E6130=E$2:E6130)))))-COUNTBLANK(OFFSET(A$1,,,SUMPRODUCT(MAX(ROW(E$1:E6129)*(E2=E$1:E6129))))))</f>
        <v> </v>
      </c>
      <c r="K6130" s="26" t="str">
        <f>IF(OR(E6130="",E6130="!!!",F6130="NEW"),"",INDEX(J$1:J6129,SUMPRODUCT(MAX(ROW(E$1:E6129)*(E6130=E$1:E6129)))))</f>
        <v> </v>
      </c>
      <c r="L6130" s="27"/>
    </row>
    <row r="6131" spans="1:12">
      <c r="A6131" s="20" t="s">
        <v>1075</v>
      </c>
      <c r="E6131" s="22">
        <f>IF(D6131="?OLD","!!!","")</f>
        <v/>
      </c>
      <c r="F6131" s="23" t="str">
        <f>IF(OR(E6131="",E6131="!!!"),"",IF(NOT(ISNA(VLOOKUP(E6131,E$1:E6130,1,FALSE()))),"OLD",IF(AND(E6131&lt;&gt;"",E6131&lt;&gt;"!!!"),"NEW","")))</f>
        <v> </v>
      </c>
      <c r="G6131" s="24" t="str">
        <f>IF(OR(E6131="",E6131="!!!"),"",IF(OR(J6131=0,AND(J6131=1,K6131=1),AND(J6131=1,I6131="SBJ"),AND(J6131=1,I6131=0)),"?IN_FOCUS",IF(J6131&lt;=2,"?ACTIVATED",IF(J6131&lt;&gt;"","?FAMILIAR",IF(F6131="NEW",IF(ISNA(VLOOKUP(E6131,#REF!,1,FALSE())),"?TYPE_IDENTIFIABLE","?REFERENTIAL"),"_")))))</f>
        <v> </v>
      </c>
      <c r="H6131" s="25" t="str">
        <f>IF(J6131&lt;&gt;1,"",IF(I6131="SBJ","CB","?"))</f>
        <v> </v>
      </c>
      <c r="I6131" s="26" t="str">
        <f>IF(OR(E6131="",E6131="!!!",F6131="NEW"),"",INDEX(B6130:B$2,-1+SUMPRODUCT(MAX(ROW(E6130:E$2)*(E6131=E6130:E$2)))))</f>
        <v> </v>
      </c>
      <c r="J6131" s="26" t="str">
        <f>IF(OR(E6131="",E6131="!!!",F6131="NEW"),"",COUNTBLANK(OFFSET(A$1,,,SUMPRODUCT(MAX(ROW(E$2:E6131)*(E6131=E$2:E6131)))))-COUNTBLANK(OFFSET(A$1,,,SUMPRODUCT(MAX(ROW(E$1:E6130)*(E2=E$1:E6130))))))</f>
        <v> </v>
      </c>
      <c r="K6131" s="26" t="str">
        <f>IF(OR(E6131="",E6131="!!!",F6131="NEW"),"",INDEX(J$1:J6130,SUMPRODUCT(MAX(ROW(E$1:E6130)*(E6131=E$1:E6130)))))</f>
        <v> </v>
      </c>
      <c r="L6131" s="27"/>
    </row>
    <row r="6132" spans="1:12">
      <c r="A6132" s="20" t="s">
        <v>2619</v>
      </c>
      <c r="E6132" s="22">
        <f>IF(D6132="?OLD","!!!","")</f>
        <v/>
      </c>
      <c r="F6132" s="23" t="str">
        <f>IF(OR(E6132="",E6132="!!!"),"",IF(NOT(ISNA(VLOOKUP(E6132,E$1:E6131,1,FALSE()))),"OLD",IF(AND(E6132&lt;&gt;"",E6132&lt;&gt;"!!!"),"NEW","")))</f>
        <v> </v>
      </c>
      <c r="G6132" s="24" t="str">
        <f>IF(OR(E6132="",E6132="!!!"),"",IF(OR(J6132=0,AND(J6132=1,K6132=1),AND(J6132=1,I6132="SBJ"),AND(J6132=1,I6132=0)),"?IN_FOCUS",IF(J6132&lt;=2,"?ACTIVATED",IF(J6132&lt;&gt;"","?FAMILIAR",IF(F6132="NEW",IF(ISNA(VLOOKUP(E6132,#REF!,1,FALSE())),"?TYPE_IDENTIFIABLE","?REFERENTIAL"),"_")))))</f>
        <v> </v>
      </c>
      <c r="H6132" s="25" t="str">
        <f>IF(J6132&lt;&gt;1,"",IF(I6132="SBJ","CB","?"))</f>
        <v> </v>
      </c>
      <c r="I6132" s="26" t="str">
        <f>IF(OR(E6132="",E6132="!!!",F6132="NEW"),"",INDEX(B6131:B$2,-1+SUMPRODUCT(MAX(ROW(E6131:E$2)*(E6132=E6131:E$2)))))</f>
        <v> </v>
      </c>
      <c r="J6132" s="26" t="str">
        <f>IF(OR(E6132="",E6132="!!!",F6132="NEW"),"",COUNTBLANK(OFFSET(A$1,,,SUMPRODUCT(MAX(ROW(E$2:E6132)*(E6132=E$2:E6132)))))-COUNTBLANK(OFFSET(A$1,,,SUMPRODUCT(MAX(ROW(E$1:E6131)*(E2=E$1:E6131))))))</f>
        <v> </v>
      </c>
      <c r="K6132" s="26" t="str">
        <f>IF(OR(E6132="",E6132="!!!",F6132="NEW"),"",INDEX(J$1:J6131,SUMPRODUCT(MAX(ROW(E$1:E6131)*(E6132=E$1:E6131)))))</f>
        <v> </v>
      </c>
      <c r="L6132" s="27"/>
    </row>
    <row r="6133" spans="1:12">
      <c r="A6133" s="20" t="s">
        <v>1137</v>
      </c>
      <c r="E6133" s="22">
        <f>IF(D6133="?OLD","!!!","")</f>
        <v/>
      </c>
      <c r="F6133" s="23" t="str">
        <f>IF(OR(E6133="",E6133="!!!"),"",IF(NOT(ISNA(VLOOKUP(E6133,E$1:E6132,1,FALSE()))),"OLD",IF(AND(E6133&lt;&gt;"",E6133&lt;&gt;"!!!"),"NEW","")))</f>
        <v> </v>
      </c>
      <c r="G6133" s="24" t="str">
        <f>IF(OR(E6133="",E6133="!!!"),"",IF(OR(J6133=0,AND(J6133=1,K6133=1),AND(J6133=1,I6133="SBJ"),AND(J6133=1,I6133=0)),"?IN_FOCUS",IF(J6133&lt;=2,"?ACTIVATED",IF(J6133&lt;&gt;"","?FAMILIAR",IF(F6133="NEW",IF(ISNA(VLOOKUP(E6133,#REF!,1,FALSE())),"?TYPE_IDENTIFIABLE","?REFERENTIAL"),"_")))))</f>
        <v> </v>
      </c>
      <c r="H6133" s="25" t="str">
        <f>IF(J6133&lt;&gt;1,"",IF(I6133="SBJ","CB","?"))</f>
        <v> </v>
      </c>
      <c r="I6133" s="26" t="str">
        <f>IF(OR(E6133="",E6133="!!!",F6133="NEW"),"",INDEX(B6132:B$2,-1+SUMPRODUCT(MAX(ROW(E6132:E$2)*(E6133=E6132:E$2)))))</f>
        <v> </v>
      </c>
      <c r="J6133" s="26" t="str">
        <f>IF(OR(E6133="",E6133="!!!",F6133="NEW"),"",COUNTBLANK(OFFSET(A$1,,,SUMPRODUCT(MAX(ROW(E$2:E6133)*(E6133=E$2:E6133)))))-COUNTBLANK(OFFSET(A$1,,,SUMPRODUCT(MAX(ROW(E$1:E6132)*(E2=E$1:E6132))))))</f>
        <v> </v>
      </c>
      <c r="K6133" s="26" t="str">
        <f>IF(OR(E6133="",E6133="!!!",F6133="NEW"),"",INDEX(J$1:J6132,SUMPRODUCT(MAX(ROW(E$1:E6132)*(E6133=E$1:E6132)))))</f>
        <v> </v>
      </c>
      <c r="L6133" s="27"/>
    </row>
    <row r="6134" spans="1:12">
      <c r="A6134" s="20" t="s">
        <v>1020</v>
      </c>
      <c r="E6134" s="22">
        <f>IF(D6134="?OLD","!!!","")</f>
        <v/>
      </c>
      <c r="F6134" s="23" t="str">
        <f>IF(OR(E6134="",E6134="!!!"),"",IF(NOT(ISNA(VLOOKUP(E6134,E$1:E6133,1,FALSE()))),"OLD",IF(AND(E6134&lt;&gt;"",E6134&lt;&gt;"!!!"),"NEW","")))</f>
        <v> </v>
      </c>
      <c r="G6134" s="24" t="str">
        <f>IF(OR(E6134="",E6134="!!!"),"",IF(OR(J6134=0,AND(J6134=1,K6134=1),AND(J6134=1,I6134="SBJ"),AND(J6134=1,I6134=0)),"?IN_FOCUS",IF(J6134&lt;=2,"?ACTIVATED",IF(J6134&lt;&gt;"","?FAMILIAR",IF(F6134="NEW",IF(ISNA(VLOOKUP(E6134,#REF!,1,FALSE())),"?TYPE_IDENTIFIABLE","?REFERENTIAL"),"_")))))</f>
        <v> </v>
      </c>
      <c r="H6134" s="25" t="str">
        <f>IF(J6134&lt;&gt;1,"",IF(I6134="SBJ","CB","?"))</f>
        <v> </v>
      </c>
      <c r="I6134" s="26" t="str">
        <f>IF(OR(E6134="",E6134="!!!",F6134="NEW"),"",INDEX(B6133:B$2,-1+SUMPRODUCT(MAX(ROW(E6133:E$2)*(E6134=E6133:E$2)))))</f>
        <v> </v>
      </c>
      <c r="J6134" s="26" t="str">
        <f>IF(OR(E6134="",E6134="!!!",F6134="NEW"),"",COUNTBLANK(OFFSET(A$1,,,SUMPRODUCT(MAX(ROW(E$2:E6134)*(E6134=E$2:E6134)))))-COUNTBLANK(OFFSET(A$1,,,SUMPRODUCT(MAX(ROW(E$1:E6133)*(E2=E$1:E6133))))))</f>
        <v> </v>
      </c>
      <c r="K6134" s="26" t="str">
        <f>IF(OR(E6134="",E6134="!!!",F6134="NEW"),"",INDEX(J$1:J6133,SUMPRODUCT(MAX(ROW(E$1:E6133)*(E6134=E$1:E6133)))))</f>
        <v> </v>
      </c>
      <c r="L6134" s="27"/>
    </row>
    <row r="6135" spans="1:12">
      <c r="A6135" s="20" t="s">
        <v>1738</v>
      </c>
      <c r="B6135" s="21" t="s">
        <v>1437</v>
      </c>
      <c r="C6135" s="21" t="s">
        <v>1013</v>
      </c>
      <c r="D6135" s="21" t="s">
        <v>1007</v>
      </c>
      <c r="E6135" s="22">
        <f>IF(D6135="?OLD","!!!","")</f>
        <v/>
      </c>
      <c r="F6135" s="23" t="str">
        <f>IF(OR(E6135="",E6135="!!!"),"",IF(NOT(ISNA(VLOOKUP(E6135,E$1:E6134,1,FALSE()))),"OLD",IF(AND(E6135&lt;&gt;"",E6135&lt;&gt;"!!!"),"NEW","")))</f>
        <v> </v>
      </c>
      <c r="G6135" s="24" t="str">
        <f>IF(OR(E6135="",E6135="!!!"),"",IF(OR(J6135=0,AND(J6135=1,K6135=1),AND(J6135=1,I6135="SBJ"),AND(J6135=1,I6135=0)),"?IN_FOCUS",IF(J6135&lt;=2,"?ACTIVATED",IF(J6135&lt;&gt;"","?FAMILIAR",IF(F6135="NEW",IF(ISNA(VLOOKUP(E6135,#REF!,1,FALSE())),"?TYPE_IDENTIFIABLE","?REFERENTIAL"),"_")))))</f>
        <v> </v>
      </c>
      <c r="H6135" s="25" t="str">
        <f>IF(J6135&lt;&gt;1,"",IF(I6135="SBJ","CB","?"))</f>
        <v> </v>
      </c>
      <c r="I6135" s="26" t="str">
        <f>IF(OR(E6135="",E6135="!!!",F6135="NEW"),"",INDEX(B6134:B$2,-1+SUMPRODUCT(MAX(ROW(E6134:E$2)*(E6135=E6134:E$2)))))</f>
        <v> </v>
      </c>
      <c r="J6135" s="26" t="str">
        <f>IF(OR(E6135="",E6135="!!!",F6135="NEW"),"",COUNTBLANK(OFFSET(A$1,,,SUMPRODUCT(MAX(ROW(E$2:E6135)*(E6135=E$2:E6135)))))-COUNTBLANK(OFFSET(A$1,,,SUMPRODUCT(MAX(ROW(E$1:E6134)*(E2=E$1:E6134))))))</f>
        <v> </v>
      </c>
      <c r="K6135" s="26" t="str">
        <f>IF(OR(E6135="",E6135="!!!",F6135="NEW"),"",INDEX(J$1:J6134,SUMPRODUCT(MAX(ROW(E$1:E6134)*(E6135=E$1:E6134)))))</f>
        <v> </v>
      </c>
      <c r="L6135" s="27"/>
    </row>
    <row r="6136" spans="1:12">
      <c r="A6136" s="20" t="s">
        <v>1014</v>
      </c>
      <c r="E6136" s="22">
        <f>IF(D6136="?OLD","!!!","")</f>
        <v/>
      </c>
      <c r="F6136" s="23" t="str">
        <f>IF(OR(E6136="",E6136="!!!"),"",IF(NOT(ISNA(VLOOKUP(E6136,E$1:E6135,1,FALSE()))),"OLD",IF(AND(E6136&lt;&gt;"",E6136&lt;&gt;"!!!"),"NEW","")))</f>
        <v> </v>
      </c>
      <c r="G6136" s="24" t="str">
        <f>IF(OR(E6136="",E6136="!!!"),"",IF(OR(J6136=0,AND(J6136=1,K6136=1),AND(J6136=1,I6136="SBJ"),AND(J6136=1,I6136=0)),"?IN_FOCUS",IF(J6136&lt;=2,"?ACTIVATED",IF(J6136&lt;&gt;"","?FAMILIAR",IF(F6136="NEW",IF(ISNA(VLOOKUP(E6136,#REF!,1,FALSE())),"?TYPE_IDENTIFIABLE","?REFERENTIAL"),"_")))))</f>
        <v> </v>
      </c>
      <c r="H6136" s="25" t="str">
        <f>IF(J6136&lt;&gt;1,"",IF(I6136="SBJ","CB","?"))</f>
        <v> </v>
      </c>
      <c r="I6136" s="26" t="str">
        <f>IF(OR(E6136="",E6136="!!!",F6136="NEW"),"",INDEX(B6135:B$2,-1+SUMPRODUCT(MAX(ROW(E6135:E$2)*(E6136=E6135:E$2)))))</f>
        <v> </v>
      </c>
      <c r="J6136" s="26" t="str">
        <f>IF(OR(E6136="",E6136="!!!",F6136="NEW"),"",COUNTBLANK(OFFSET(A$1,,,SUMPRODUCT(MAX(ROW(E$2:E6136)*(E6136=E$2:E6136)))))-COUNTBLANK(OFFSET(A$1,,,SUMPRODUCT(MAX(ROW(E$1:E6135)*(E2=E$1:E6135))))))</f>
        <v> </v>
      </c>
      <c r="K6136" s="26" t="str">
        <f>IF(OR(E6136="",E6136="!!!",F6136="NEW"),"",INDEX(J$1:J6135,SUMPRODUCT(MAX(ROW(E$1:E6135)*(E6136=E$1:E6135)))))</f>
        <v> </v>
      </c>
      <c r="L6136" s="27"/>
    </row>
    <row r="6137" spans="1:12">
      <c r="A6137" s="20" t="s">
        <v>1429</v>
      </c>
      <c r="B6137" s="21" t="s">
        <v>1215</v>
      </c>
      <c r="C6137" s="21" t="s">
        <v>1013</v>
      </c>
      <c r="D6137" s="21" t="s">
        <v>1007</v>
      </c>
      <c r="E6137" s="22">
        <f>IF(D6137="?OLD","!!!","")</f>
        <v/>
      </c>
      <c r="F6137" s="23" t="str">
        <f>IF(OR(E6137="",E6137="!!!"),"",IF(NOT(ISNA(VLOOKUP(E6137,E$1:E6136,1,FALSE()))),"OLD",IF(AND(E6137&lt;&gt;"",E6137&lt;&gt;"!!!"),"NEW","")))</f>
        <v> </v>
      </c>
      <c r="G6137" s="24" t="str">
        <f>IF(OR(E6137="",E6137="!!!"),"",IF(OR(J6137=0,AND(J6137=1,K6137=1),AND(J6137=1,I6137="SBJ"),AND(J6137=1,I6137=0)),"?IN_FOCUS",IF(J6137&lt;=2,"?ACTIVATED",IF(J6137&lt;&gt;"","?FAMILIAR",IF(F6137="NEW",IF(ISNA(VLOOKUP(E6137,#REF!,1,FALSE())),"?TYPE_IDENTIFIABLE","?REFERENTIAL"),"_")))))</f>
        <v> </v>
      </c>
      <c r="H6137" s="25" t="str">
        <f>IF(J6137&lt;&gt;1,"",IF(I6137="SBJ","CB","?"))</f>
        <v> </v>
      </c>
      <c r="I6137" s="26" t="str">
        <f>IF(OR(E6137="",E6137="!!!",F6137="NEW"),"",INDEX(B6136:B$2,-1+SUMPRODUCT(MAX(ROW(E6136:E$2)*(E6137=E6136:E$2)))))</f>
        <v> </v>
      </c>
      <c r="J6137" s="26" t="str">
        <f>IF(OR(E6137="",E6137="!!!",F6137="NEW"),"",COUNTBLANK(OFFSET(A$1,,,SUMPRODUCT(MAX(ROW(E$2:E6137)*(E6137=E$2:E6137)))))-COUNTBLANK(OFFSET(A$1,,,SUMPRODUCT(MAX(ROW(E$1:E6136)*(E2=E$1:E6136))))))</f>
        <v> </v>
      </c>
      <c r="K6137" s="26" t="str">
        <f>IF(OR(E6137="",E6137="!!!",F6137="NEW"),"",INDEX(J$1:J6136,SUMPRODUCT(MAX(ROW(E$1:E6136)*(E6137=E$1:E6136)))))</f>
        <v> </v>
      </c>
      <c r="L6137" s="27"/>
    </row>
    <row r="6138" spans="1:12">
      <c r="A6138" s="20" t="s">
        <v>1014</v>
      </c>
      <c r="E6138" s="22">
        <f>IF(D6138="?OLD","!!!","")</f>
        <v/>
      </c>
      <c r="F6138" s="23" t="str">
        <f>IF(OR(E6138="",E6138="!!!"),"",IF(NOT(ISNA(VLOOKUP(E6138,E$1:E6137,1,FALSE()))),"OLD",IF(AND(E6138&lt;&gt;"",E6138&lt;&gt;"!!!"),"NEW","")))</f>
        <v> </v>
      </c>
      <c r="G6138" s="24" t="str">
        <f>IF(OR(E6138="",E6138="!!!"),"",IF(OR(J6138=0,AND(J6138=1,K6138=1),AND(J6138=1,I6138="SBJ"),AND(J6138=1,I6138=0)),"?IN_FOCUS",IF(J6138&lt;=2,"?ACTIVATED",IF(J6138&lt;&gt;"","?FAMILIAR",IF(F6138="NEW",IF(ISNA(VLOOKUP(E6138,#REF!,1,FALSE())),"?TYPE_IDENTIFIABLE","?REFERENTIAL"),"_")))))</f>
        <v> </v>
      </c>
      <c r="H6138" s="25" t="str">
        <f>IF(J6138&lt;&gt;1,"",IF(I6138="SBJ","CB","?"))</f>
        <v> </v>
      </c>
      <c r="I6138" s="26" t="str">
        <f>IF(OR(E6138="",E6138="!!!",F6138="NEW"),"",INDEX(B6137:B$2,-1+SUMPRODUCT(MAX(ROW(E6137:E$2)*(E6138=E6137:E$2)))))</f>
        <v> </v>
      </c>
      <c r="J6138" s="26" t="str">
        <f>IF(OR(E6138="",E6138="!!!",F6138="NEW"),"",COUNTBLANK(OFFSET(A$1,,,SUMPRODUCT(MAX(ROW(E$2:E6138)*(E6138=E$2:E6138)))))-COUNTBLANK(OFFSET(A$1,,,SUMPRODUCT(MAX(ROW(E$1:E6137)*(E2=E$1:E6137))))))</f>
        <v> </v>
      </c>
      <c r="K6138" s="26" t="str">
        <f>IF(OR(E6138="",E6138="!!!",F6138="NEW"),"",INDEX(J$1:J6137,SUMPRODUCT(MAX(ROW(E$1:E6137)*(E6138=E$1:E6137)))))</f>
        <v> </v>
      </c>
      <c r="L6138" s="27"/>
    </row>
    <row r="6139" spans="1:12">
      <c r="A6139" s="20" t="s">
        <v>102</v>
      </c>
      <c r="E6139" s="22">
        <f>IF(D6139="?OLD","!!!","")</f>
        <v/>
      </c>
      <c r="F6139" s="23" t="str">
        <f>IF(OR(E6139="",E6139="!!!"),"",IF(NOT(ISNA(VLOOKUP(E6139,E$1:E6138,1,FALSE()))),"OLD",IF(AND(E6139&lt;&gt;"",E6139&lt;&gt;"!!!"),"NEW","")))</f>
        <v> </v>
      </c>
      <c r="G6139" s="24" t="str">
        <f>IF(OR(E6139="",E6139="!!!"),"",IF(OR(J6139=0,AND(J6139=1,K6139=1),AND(J6139=1,I6139="SBJ"),AND(J6139=1,I6139=0)),"?IN_FOCUS",IF(J6139&lt;=2,"?ACTIVATED",IF(J6139&lt;&gt;"","?FAMILIAR",IF(F6139="NEW",IF(ISNA(VLOOKUP(E6139,#REF!,1,FALSE())),"?TYPE_IDENTIFIABLE","?REFERENTIAL"),"_")))))</f>
        <v> </v>
      </c>
      <c r="H6139" s="25" t="str">
        <f>IF(J6139&lt;&gt;1,"",IF(I6139="SBJ","CB","?"))</f>
        <v> </v>
      </c>
      <c r="I6139" s="26" t="str">
        <f>IF(OR(E6139="",E6139="!!!",F6139="NEW"),"",INDEX(B6138:B$2,-1+SUMPRODUCT(MAX(ROW(E6138:E$2)*(E6139=E6138:E$2)))))</f>
        <v> </v>
      </c>
      <c r="J6139" s="26" t="str">
        <f>IF(OR(E6139="",E6139="!!!",F6139="NEW"),"",COUNTBLANK(OFFSET(A$1,,,SUMPRODUCT(MAX(ROW(E$2:E6139)*(E6139=E$2:E6139)))))-COUNTBLANK(OFFSET(A$1,,,SUMPRODUCT(MAX(ROW(E$1:E6138)*(E2=E$1:E6138))))))</f>
        <v> </v>
      </c>
      <c r="K6139" s="26" t="str">
        <f>IF(OR(E6139="",E6139="!!!",F6139="NEW"),"",INDEX(J$1:J6138,SUMPRODUCT(MAX(ROW(E$1:E6138)*(E6139=E$1:E6138)))))</f>
        <v> </v>
      </c>
      <c r="L6139" s="27"/>
    </row>
    <row r="6140" spans="1:12">
      <c r="A6140" s="20" t="s">
        <v>1168</v>
      </c>
      <c r="B6140" s="21" t="s">
        <v>1217</v>
      </c>
      <c r="C6140" s="21" t="s">
        <v>1017</v>
      </c>
      <c r="D6140" s="21" t="s">
        <v>1007</v>
      </c>
      <c r="E6140" s="22">
        <f>IF(D6140="?OLD","!!!","")</f>
        <v/>
      </c>
      <c r="F6140" s="23" t="str">
        <f>IF(OR(E6140="",E6140="!!!"),"",IF(NOT(ISNA(VLOOKUP(E6140,E$1:E6139,1,FALSE()))),"OLD",IF(AND(E6140&lt;&gt;"",E6140&lt;&gt;"!!!"),"NEW","")))</f>
        <v> </v>
      </c>
      <c r="G6140" s="24" t="str">
        <f>IF(OR(E6140="",E6140="!!!"),"",IF(OR(J6140=0,AND(J6140=1,K6140=1),AND(J6140=1,I6140="SBJ"),AND(J6140=1,I6140=0)),"?IN_FOCUS",IF(J6140&lt;=2,"?ACTIVATED",IF(J6140&lt;&gt;"","?FAMILIAR",IF(F6140="NEW",IF(ISNA(VLOOKUP(E6140,#REF!,1,FALSE())),"?TYPE_IDENTIFIABLE","?REFERENTIAL"),"_")))))</f>
        <v> </v>
      </c>
      <c r="H6140" s="25" t="str">
        <f>IF(J6140&lt;&gt;1,"",IF(I6140="SBJ","CB","?"))</f>
        <v> </v>
      </c>
      <c r="I6140" s="26" t="str">
        <f>IF(OR(E6140="",E6140="!!!",F6140="NEW"),"",INDEX(B6139:B$2,-1+SUMPRODUCT(MAX(ROW(E6139:E$2)*(E6140=E6139:E$2)))))</f>
        <v> </v>
      </c>
      <c r="J6140" s="26" t="str">
        <f>IF(OR(E6140="",E6140="!!!",F6140="NEW"),"",COUNTBLANK(OFFSET(A$1,,,SUMPRODUCT(MAX(ROW(E$2:E6140)*(E6140=E$2:E6140)))))-COUNTBLANK(OFFSET(A$1,,,SUMPRODUCT(MAX(ROW(E$1:E6139)*(E2=E$1:E6139))))))</f>
        <v> </v>
      </c>
      <c r="K6140" s="26" t="str">
        <f>IF(OR(E6140="",E6140="!!!",F6140="NEW"),"",INDEX(J$1:J6139,SUMPRODUCT(MAX(ROW(E$1:E6139)*(E6140=E$1:E6139)))))</f>
        <v> </v>
      </c>
      <c r="L6140" s="27"/>
    </row>
    <row r="6141" spans="1:12">
      <c r="A6141" s="20" t="s">
        <v>1114</v>
      </c>
      <c r="E6141" s="22">
        <f>IF(D6141="?OLD","!!!","")</f>
        <v/>
      </c>
      <c r="F6141" s="23" t="str">
        <f>IF(OR(E6141="",E6141="!!!"),"",IF(NOT(ISNA(VLOOKUP(E6141,E$1:E6140,1,FALSE()))),"OLD",IF(AND(E6141&lt;&gt;"",E6141&lt;&gt;"!!!"),"NEW","")))</f>
        <v> </v>
      </c>
      <c r="G6141" s="24" t="str">
        <f>IF(OR(E6141="",E6141="!!!"),"",IF(OR(J6141=0,AND(J6141=1,K6141=1),AND(J6141=1,I6141="SBJ"),AND(J6141=1,I6141=0)),"?IN_FOCUS",IF(J6141&lt;=2,"?ACTIVATED",IF(J6141&lt;&gt;"","?FAMILIAR",IF(F6141="NEW",IF(ISNA(VLOOKUP(E6141,#REF!,1,FALSE())),"?TYPE_IDENTIFIABLE","?REFERENTIAL"),"_")))))</f>
        <v> </v>
      </c>
      <c r="H6141" s="25" t="str">
        <f>IF(J6141&lt;&gt;1,"",IF(I6141="SBJ","CB","?"))</f>
        <v> </v>
      </c>
      <c r="I6141" s="26" t="str">
        <f>IF(OR(E6141="",E6141="!!!",F6141="NEW"),"",INDEX(B6140:B$2,-1+SUMPRODUCT(MAX(ROW(E6140:E$2)*(E6141=E6140:E$2)))))</f>
        <v> </v>
      </c>
      <c r="J6141" s="26" t="str">
        <f>IF(OR(E6141="",E6141="!!!",F6141="NEW"),"",COUNTBLANK(OFFSET(A$1,,,SUMPRODUCT(MAX(ROW(E$2:E6141)*(E6141=E$2:E6141)))))-COUNTBLANK(OFFSET(A$1,,,SUMPRODUCT(MAX(ROW(E$1:E6140)*(E2=E$1:E6140))))))</f>
        <v> </v>
      </c>
      <c r="K6141" s="26" t="str">
        <f>IF(OR(E6141="",E6141="!!!",F6141="NEW"),"",INDEX(J$1:J6140,SUMPRODUCT(MAX(ROW(E$1:E6140)*(E6141=E$1:E6140)))))</f>
        <v> </v>
      </c>
      <c r="L6141" s="27"/>
    </row>
    <row r="6142" spans="1:12">
      <c r="A6142" s="20" t="s">
        <v>2009</v>
      </c>
      <c r="E6142" s="22">
        <f>IF(D6142="?OLD","!!!","")</f>
        <v/>
      </c>
      <c r="F6142" s="23" t="str">
        <f>IF(OR(E6142="",E6142="!!!"),"",IF(NOT(ISNA(VLOOKUP(E6142,E$1:E6141,1,FALSE()))),"OLD",IF(AND(E6142&lt;&gt;"",E6142&lt;&gt;"!!!"),"NEW","")))</f>
        <v> </v>
      </c>
      <c r="G6142" s="24" t="str">
        <f>IF(OR(E6142="",E6142="!!!"),"",IF(OR(J6142=0,AND(J6142=1,K6142=1),AND(J6142=1,I6142="SBJ"),AND(J6142=1,I6142=0)),"?IN_FOCUS",IF(J6142&lt;=2,"?ACTIVATED",IF(J6142&lt;&gt;"","?FAMILIAR",IF(F6142="NEW",IF(ISNA(VLOOKUP(E6142,#REF!,1,FALSE())),"?TYPE_IDENTIFIABLE","?REFERENTIAL"),"_")))))</f>
        <v> </v>
      </c>
      <c r="H6142" s="25" t="str">
        <f>IF(J6142&lt;&gt;1,"",IF(I6142="SBJ","CB","?"))</f>
        <v> </v>
      </c>
      <c r="I6142" s="26" t="str">
        <f>IF(OR(E6142="",E6142="!!!",F6142="NEW"),"",INDEX(B6141:B$2,-1+SUMPRODUCT(MAX(ROW(E6141:E$2)*(E6142=E6141:E$2)))))</f>
        <v> </v>
      </c>
      <c r="J6142" s="26" t="str">
        <f>IF(OR(E6142="",E6142="!!!",F6142="NEW"),"",COUNTBLANK(OFFSET(A$1,,,SUMPRODUCT(MAX(ROW(E$2:E6142)*(E6142=E$2:E6142)))))-COUNTBLANK(OFFSET(A$1,,,SUMPRODUCT(MAX(ROW(E$1:E6141)*(E2=E$1:E6141))))))</f>
        <v> </v>
      </c>
      <c r="K6142" s="26" t="str">
        <f>IF(OR(E6142="",E6142="!!!",F6142="NEW"),"",INDEX(J$1:J6141,SUMPRODUCT(MAX(ROW(E$1:E6141)*(E6142=E$1:E6141)))))</f>
        <v> </v>
      </c>
      <c r="L6142" s="27"/>
    </row>
    <row r="6143" spans="1:12">
      <c r="A6143" s="20" t="s">
        <v>2620</v>
      </c>
      <c r="E6143" s="22">
        <f>IF(D6143="?OLD","!!!","")</f>
        <v/>
      </c>
      <c r="F6143" s="23" t="str">
        <f>IF(OR(E6143="",E6143="!!!"),"",IF(NOT(ISNA(VLOOKUP(E6143,E$1:E6142,1,FALSE()))),"OLD",IF(AND(E6143&lt;&gt;"",E6143&lt;&gt;"!!!"),"NEW","")))</f>
        <v> </v>
      </c>
      <c r="G6143" s="24" t="str">
        <f>IF(OR(E6143="",E6143="!!!"),"",IF(OR(J6143=0,AND(J6143=1,K6143=1),AND(J6143=1,I6143="SBJ"),AND(J6143=1,I6143=0)),"?IN_FOCUS",IF(J6143&lt;=2,"?ACTIVATED",IF(J6143&lt;&gt;"","?FAMILIAR",IF(F6143="NEW",IF(ISNA(VLOOKUP(E6143,#REF!,1,FALSE())),"?TYPE_IDENTIFIABLE","?REFERENTIAL"),"_")))))</f>
        <v> </v>
      </c>
      <c r="H6143" s="25" t="str">
        <f>IF(J6143&lt;&gt;1,"",IF(I6143="SBJ","CB","?"))</f>
        <v> </v>
      </c>
      <c r="I6143" s="26" t="str">
        <f>IF(OR(E6143="",E6143="!!!",F6143="NEW"),"",INDEX(B6142:B$2,-1+SUMPRODUCT(MAX(ROW(E6142:E$2)*(E6143=E6142:E$2)))))</f>
        <v> </v>
      </c>
      <c r="J6143" s="26" t="str">
        <f>IF(OR(E6143="",E6143="!!!",F6143="NEW"),"",COUNTBLANK(OFFSET(A$1,,,SUMPRODUCT(MAX(ROW(E$2:E6143)*(E6143=E$2:E6143)))))-COUNTBLANK(OFFSET(A$1,,,SUMPRODUCT(MAX(ROW(E$1:E6142)*(E2=E$1:E6142))))))</f>
        <v> </v>
      </c>
      <c r="K6143" s="26" t="str">
        <f>IF(OR(E6143="",E6143="!!!",F6143="NEW"),"",INDEX(J$1:J6142,SUMPRODUCT(MAX(ROW(E$1:E6142)*(E6143=E$1:E6142)))))</f>
        <v> </v>
      </c>
      <c r="L6143" s="27"/>
    </row>
    <row r="6144" spans="1:12">
      <c r="A6144" s="20" t="s">
        <v>1030</v>
      </c>
      <c r="E6144" s="22">
        <f>IF(D6144="?OLD","!!!","")</f>
        <v/>
      </c>
      <c r="F6144" s="23" t="str">
        <f>IF(OR(E6144="",E6144="!!!"),"",IF(NOT(ISNA(VLOOKUP(E6144,E$1:E6143,1,FALSE()))),"OLD",IF(AND(E6144&lt;&gt;"",E6144&lt;&gt;"!!!"),"NEW","")))</f>
        <v> </v>
      </c>
      <c r="G6144" s="24" t="str">
        <f>IF(OR(E6144="",E6144="!!!"),"",IF(OR(J6144=0,AND(J6144=1,K6144=1),AND(J6144=1,I6144="SBJ"),AND(J6144=1,I6144=0)),"?IN_FOCUS",IF(J6144&lt;=2,"?ACTIVATED",IF(J6144&lt;&gt;"","?FAMILIAR",IF(F6144="NEW",IF(ISNA(VLOOKUP(E6144,#REF!,1,FALSE())),"?TYPE_IDENTIFIABLE","?REFERENTIAL"),"_")))))</f>
        <v> </v>
      </c>
      <c r="H6144" s="25" t="str">
        <f>IF(J6144&lt;&gt;1,"",IF(I6144="SBJ","CB","?"))</f>
        <v> </v>
      </c>
      <c r="I6144" s="26" t="str">
        <f>IF(OR(E6144="",E6144="!!!",F6144="NEW"),"",INDEX(B6143:B$2,-1+SUMPRODUCT(MAX(ROW(E6143:E$2)*(E6144=E6143:E$2)))))</f>
        <v> </v>
      </c>
      <c r="J6144" s="26" t="str">
        <f>IF(OR(E6144="",E6144="!!!",F6144="NEW"),"",COUNTBLANK(OFFSET(A$1,,,SUMPRODUCT(MAX(ROW(E$2:E6144)*(E6144=E$2:E6144)))))-COUNTBLANK(OFFSET(A$1,,,SUMPRODUCT(MAX(ROW(E$1:E6143)*(E2=E$1:E6143))))))</f>
        <v> </v>
      </c>
      <c r="K6144" s="26" t="str">
        <f>IF(OR(E6144="",E6144="!!!",F6144="NEW"),"",INDEX(J$1:J6143,SUMPRODUCT(MAX(ROW(E$1:E6143)*(E6144=E$1:E6143)))))</f>
        <v> </v>
      </c>
      <c r="L6144" s="27"/>
    </row>
    <row r="6145" spans="1:12">
      <c r="A6145" s="20" t="s">
        <v>1324</v>
      </c>
      <c r="E6145" s="22">
        <f>IF(D6145="?OLD","!!!","")</f>
        <v/>
      </c>
      <c r="F6145" s="23" t="str">
        <f>IF(OR(E6145="",E6145="!!!"),"",IF(NOT(ISNA(VLOOKUP(E6145,E$1:E6144,1,FALSE()))),"OLD",IF(AND(E6145&lt;&gt;"",E6145&lt;&gt;"!!!"),"NEW","")))</f>
        <v> </v>
      </c>
      <c r="G6145" s="24" t="str">
        <f>IF(OR(E6145="",E6145="!!!"),"",IF(OR(J6145=0,AND(J6145=1,K6145=1),AND(J6145=1,I6145="SBJ"),AND(J6145=1,I6145=0)),"?IN_FOCUS",IF(J6145&lt;=2,"?ACTIVATED",IF(J6145&lt;&gt;"","?FAMILIAR",IF(F6145="NEW",IF(ISNA(VLOOKUP(E6145,#REF!,1,FALSE())),"?TYPE_IDENTIFIABLE","?REFERENTIAL"),"_")))))</f>
        <v> </v>
      </c>
      <c r="H6145" s="25" t="str">
        <f>IF(J6145&lt;&gt;1,"",IF(I6145="SBJ","CB","?"))</f>
        <v> </v>
      </c>
      <c r="I6145" s="26" t="str">
        <f>IF(OR(E6145="",E6145="!!!",F6145="NEW"),"",INDEX(B6144:B$2,-1+SUMPRODUCT(MAX(ROW(E6144:E$2)*(E6145=E6144:E$2)))))</f>
        <v> </v>
      </c>
      <c r="J6145" s="26" t="str">
        <f>IF(OR(E6145="",E6145="!!!",F6145="NEW"),"",COUNTBLANK(OFFSET(A$1,,,SUMPRODUCT(MAX(ROW(E$2:E6145)*(E6145=E$2:E6145)))))-COUNTBLANK(OFFSET(A$1,,,SUMPRODUCT(MAX(ROW(E$1:E6144)*(E2=E$1:E6144))))))</f>
        <v> </v>
      </c>
      <c r="K6145" s="26" t="str">
        <f>IF(OR(E6145="",E6145="!!!",F6145="NEW"),"",INDEX(J$1:J6144,SUMPRODUCT(MAX(ROW(E$1:E6144)*(E6145=E$1:E6144)))))</f>
        <v> </v>
      </c>
      <c r="L6145" s="27"/>
    </row>
    <row r="6146" spans="1:12">
      <c r="A6146" s="20" t="s">
        <v>2537</v>
      </c>
      <c r="B6146" s="21" t="s">
        <v>1487</v>
      </c>
      <c r="C6146" s="21" t="s">
        <v>1013</v>
      </c>
      <c r="D6146" s="21" t="s">
        <v>1007</v>
      </c>
      <c r="E6146" s="22">
        <f>IF(D6146="?OLD","!!!","")</f>
        <v/>
      </c>
      <c r="F6146" s="23" t="str">
        <f>IF(OR(E6146="",E6146="!!!"),"",IF(NOT(ISNA(VLOOKUP(E6146,E$1:E6145,1,FALSE()))),"OLD",IF(AND(E6146&lt;&gt;"",E6146&lt;&gt;"!!!"),"NEW","")))</f>
        <v> </v>
      </c>
      <c r="G6146" s="24" t="str">
        <f>IF(OR(E6146="",E6146="!!!"),"",IF(OR(J6146=0,AND(J6146=1,K6146=1),AND(J6146=1,I6146="SBJ"),AND(J6146=1,I6146=0)),"?IN_FOCUS",IF(J6146&lt;=2,"?ACTIVATED",IF(J6146&lt;&gt;"","?FAMILIAR",IF(F6146="NEW",IF(ISNA(VLOOKUP(E6146,#REF!,1,FALSE())),"?TYPE_IDENTIFIABLE","?REFERENTIAL"),"_")))))</f>
        <v> </v>
      </c>
      <c r="H6146" s="25" t="str">
        <f>IF(J6146&lt;&gt;1,"",IF(I6146="SBJ","CB","?"))</f>
        <v> </v>
      </c>
      <c r="I6146" s="26" t="str">
        <f>IF(OR(E6146="",E6146="!!!",F6146="NEW"),"",INDEX(B6145:B$2,-1+SUMPRODUCT(MAX(ROW(E6145:E$2)*(E6146=E6145:E$2)))))</f>
        <v> </v>
      </c>
      <c r="J6146" s="26" t="str">
        <f>IF(OR(E6146="",E6146="!!!",F6146="NEW"),"",COUNTBLANK(OFFSET(A$1,,,SUMPRODUCT(MAX(ROW(E$2:E6146)*(E6146=E$2:E6146)))))-COUNTBLANK(OFFSET(A$1,,,SUMPRODUCT(MAX(ROW(E$1:E6145)*(E2=E$1:E6145))))))</f>
        <v> </v>
      </c>
      <c r="K6146" s="26" t="str">
        <f>IF(OR(E6146="",E6146="!!!",F6146="NEW"),"",INDEX(J$1:J6145,SUMPRODUCT(MAX(ROW(E$1:E6145)*(E6146=E$1:E6145)))))</f>
        <v> </v>
      </c>
      <c r="L6146" s="27"/>
    </row>
    <row r="6147" spans="1:12">
      <c r="A6147" s="20" t="s">
        <v>1014</v>
      </c>
      <c r="E6147" s="22">
        <f>IF(D6147="?OLD","!!!","")</f>
        <v/>
      </c>
      <c r="F6147" s="23" t="str">
        <f>IF(OR(E6147="",E6147="!!!"),"",IF(NOT(ISNA(VLOOKUP(E6147,E$1:E6146,1,FALSE()))),"OLD",IF(AND(E6147&lt;&gt;"",E6147&lt;&gt;"!!!"),"NEW","")))</f>
        <v> </v>
      </c>
      <c r="G6147" s="24" t="str">
        <f>IF(OR(E6147="",E6147="!!!"),"",IF(OR(J6147=0,AND(J6147=1,K6147=1),AND(J6147=1,I6147="SBJ"),AND(J6147=1,I6147=0)),"?IN_FOCUS",IF(J6147&lt;=2,"?ACTIVATED",IF(J6147&lt;&gt;"","?FAMILIAR",IF(F6147="NEW",IF(ISNA(VLOOKUP(E6147,#REF!,1,FALSE())),"?TYPE_IDENTIFIABLE","?REFERENTIAL"),"_")))))</f>
        <v> </v>
      </c>
      <c r="H6147" s="25" t="str">
        <f>IF(J6147&lt;&gt;1,"",IF(I6147="SBJ","CB","?"))</f>
        <v> </v>
      </c>
      <c r="I6147" s="26" t="str">
        <f>IF(OR(E6147="",E6147="!!!",F6147="NEW"),"",INDEX(B6146:B$2,-1+SUMPRODUCT(MAX(ROW(E6146:E$2)*(E6147=E6146:E$2)))))</f>
        <v> </v>
      </c>
      <c r="J6147" s="26" t="str">
        <f>IF(OR(E6147="",E6147="!!!",F6147="NEW"),"",COUNTBLANK(OFFSET(A$1,,,SUMPRODUCT(MAX(ROW(E$2:E6147)*(E6147=E$2:E6147)))))-COUNTBLANK(OFFSET(A$1,,,SUMPRODUCT(MAX(ROW(E$1:E6146)*(E2=E$1:E6146))))))</f>
        <v> </v>
      </c>
      <c r="K6147" s="26" t="str">
        <f>IF(OR(E6147="",E6147="!!!",F6147="NEW"),"",INDEX(J$1:J6146,SUMPRODUCT(MAX(ROW(E$1:E6146)*(E6147=E$1:E6146)))))</f>
        <v> </v>
      </c>
      <c r="L6147" s="27"/>
    </row>
    <row r="6148" spans="1:12">
      <c r="A6148" s="20" t="s">
        <v>2621</v>
      </c>
      <c r="B6148" s="21" t="s">
        <v>1215</v>
      </c>
      <c r="C6148" s="21" t="s">
        <v>1048</v>
      </c>
      <c r="E6148" s="22">
        <f>IF(D6148="?OLD","!!!","")</f>
        <v/>
      </c>
      <c r="F6148" s="23" t="str">
        <f>IF(OR(E6148="",E6148="!!!"),"",IF(NOT(ISNA(VLOOKUP(E6148,E$1:E6147,1,FALSE()))),"OLD",IF(AND(E6148&lt;&gt;"",E6148&lt;&gt;"!!!"),"NEW","")))</f>
        <v> </v>
      </c>
      <c r="G6148" s="24" t="str">
        <f>IF(OR(E6148="",E6148="!!!"),"",IF(OR(J6148=0,AND(J6148=1,K6148=1),AND(J6148=1,I6148="SBJ"),AND(J6148=1,I6148=0)),"?IN_FOCUS",IF(J6148&lt;=2,"?ACTIVATED",IF(J6148&lt;&gt;"","?FAMILIAR",IF(F6148="NEW",IF(ISNA(VLOOKUP(E6148,#REF!,1,FALSE())),"?TYPE_IDENTIFIABLE","?REFERENTIAL"),"_")))))</f>
        <v> </v>
      </c>
      <c r="H6148" s="25" t="str">
        <f>IF(J6148&lt;&gt;1,"",IF(I6148="SBJ","CB","?"))</f>
        <v> </v>
      </c>
      <c r="I6148" s="26" t="str">
        <f>IF(OR(E6148="",E6148="!!!",F6148="NEW"),"",INDEX(B6147:B$2,-1+SUMPRODUCT(MAX(ROW(E6147:E$2)*(E6148=E6147:E$2)))))</f>
        <v> </v>
      </c>
      <c r="J6148" s="26" t="str">
        <f>IF(OR(E6148="",E6148="!!!",F6148="NEW"),"",COUNTBLANK(OFFSET(A$1,,,SUMPRODUCT(MAX(ROW(E$2:E6148)*(E6148=E$2:E6148)))))-COUNTBLANK(OFFSET(A$1,,,SUMPRODUCT(MAX(ROW(E$1:E6147)*(E2=E$1:E6147))))))</f>
        <v> </v>
      </c>
      <c r="K6148" s="26" t="str">
        <f>IF(OR(E6148="",E6148="!!!",F6148="NEW"),"",INDEX(J$1:J6147,SUMPRODUCT(MAX(ROW(E$1:E6147)*(E6148=E$1:E6147)))))</f>
        <v> </v>
      </c>
      <c r="L6148" s="27"/>
    </row>
    <row r="6149" spans="1:12">
      <c r="A6149" s="20" t="s">
        <v>1018</v>
      </c>
      <c r="E6149" s="22">
        <f>IF(D6149="?OLD","!!!","")</f>
        <v/>
      </c>
      <c r="F6149" s="23" t="str">
        <f>IF(OR(E6149="",E6149="!!!"),"",IF(NOT(ISNA(VLOOKUP(E6149,E$1:E6148,1,FALSE()))),"OLD",IF(AND(E6149&lt;&gt;"",E6149&lt;&gt;"!!!"),"NEW","")))</f>
        <v> </v>
      </c>
      <c r="G6149" s="24" t="str">
        <f>IF(OR(E6149="",E6149="!!!"),"",IF(OR(J6149=0,AND(J6149=1,K6149=1),AND(J6149=1,I6149="SBJ"),AND(J6149=1,I6149=0)),"?IN_FOCUS",IF(J6149&lt;=2,"?ACTIVATED",IF(J6149&lt;&gt;"","?FAMILIAR",IF(F6149="NEW",IF(ISNA(VLOOKUP(E6149,#REF!,1,FALSE())),"?TYPE_IDENTIFIABLE","?REFERENTIAL"),"_")))))</f>
        <v> </v>
      </c>
      <c r="H6149" s="25" t="str">
        <f>IF(J6149&lt;&gt;1,"",IF(I6149="SBJ","CB","?"))</f>
        <v> </v>
      </c>
      <c r="I6149" s="26" t="str">
        <f>IF(OR(E6149="",E6149="!!!",F6149="NEW"),"",INDEX(B6148:B$2,-1+SUMPRODUCT(MAX(ROW(E6148:E$2)*(E6149=E6148:E$2)))))</f>
        <v> </v>
      </c>
      <c r="J6149" s="26" t="str">
        <f>IF(OR(E6149="",E6149="!!!",F6149="NEW"),"",COUNTBLANK(OFFSET(A$1,,,SUMPRODUCT(MAX(ROW(E$2:E6149)*(E6149=E$2:E6149)))))-COUNTBLANK(OFFSET(A$1,,,SUMPRODUCT(MAX(ROW(E$1:E6148)*(E2=E$1:E6148))))))</f>
        <v> </v>
      </c>
      <c r="K6149" s="26" t="str">
        <f>IF(OR(E6149="",E6149="!!!",F6149="NEW"),"",INDEX(J$1:J6148,SUMPRODUCT(MAX(ROW(E$1:E6148)*(E6149=E$1:E6148)))))</f>
        <v> </v>
      </c>
      <c r="L6149" s="27"/>
    </row>
    <row r="6150" spans="1:12">
      <c r="A6150" s="20" t="s">
        <v>56</v>
      </c>
      <c r="E6150" s="22">
        <f>IF(D6150="?OLD","!!!","")</f>
        <v/>
      </c>
      <c r="F6150" s="23" t="str">
        <f>IF(OR(E6150="",E6150="!!!"),"",IF(NOT(ISNA(VLOOKUP(E6150,E$1:E6149,1,FALSE()))),"OLD",IF(AND(E6150&lt;&gt;"",E6150&lt;&gt;"!!!"),"NEW","")))</f>
        <v> </v>
      </c>
      <c r="G6150" s="24" t="str">
        <f>IF(OR(E6150="",E6150="!!!"),"",IF(OR(J6150=0,AND(J6150=1,K6150=1),AND(J6150=1,I6150="SBJ"),AND(J6150=1,I6150=0)),"?IN_FOCUS",IF(J6150&lt;=2,"?ACTIVATED",IF(J6150&lt;&gt;"","?FAMILIAR",IF(F6150="NEW",IF(ISNA(VLOOKUP(E6150,#REF!,1,FALSE())),"?TYPE_IDENTIFIABLE","?REFERENTIAL"),"_")))))</f>
        <v> </v>
      </c>
      <c r="H6150" s="25" t="str">
        <f>IF(J6150&lt;&gt;1,"",IF(I6150="SBJ","CB","?"))</f>
        <v> </v>
      </c>
      <c r="I6150" s="26" t="str">
        <f>IF(OR(E6150="",E6150="!!!",F6150="NEW"),"",INDEX(B6149:B$2,-1+SUMPRODUCT(MAX(ROW(E6149:E$2)*(E6150=E6149:E$2)))))</f>
        <v> </v>
      </c>
      <c r="J6150" s="26" t="str">
        <f>IF(OR(E6150="",E6150="!!!",F6150="NEW"),"",COUNTBLANK(OFFSET(A$1,,,SUMPRODUCT(MAX(ROW(E$2:E6150)*(E6150=E$2:E6150)))))-COUNTBLANK(OFFSET(A$1,,,SUMPRODUCT(MAX(ROW(E$1:E6149)*(E2=E$1:E6149))))))</f>
        <v> </v>
      </c>
      <c r="K6150" s="26" t="str">
        <f>IF(OR(E6150="",E6150="!!!",F6150="NEW"),"",INDEX(J$1:J6149,SUMPRODUCT(MAX(ROW(E$1:E6149)*(E6150=E$1:E6149)))))</f>
        <v> </v>
      </c>
      <c r="L6150" s="27"/>
    </row>
    <row r="6151" spans="1:12">
      <c r="A6151" s="20" t="s">
        <v>1018</v>
      </c>
      <c r="E6151" s="22">
        <f>IF(D6151="?OLD","!!!","")</f>
        <v/>
      </c>
      <c r="F6151" s="23" t="str">
        <f>IF(OR(E6151="",E6151="!!!"),"",IF(NOT(ISNA(VLOOKUP(E6151,E$1:E6150,1,FALSE()))),"OLD",IF(AND(E6151&lt;&gt;"",E6151&lt;&gt;"!!!"),"NEW","")))</f>
        <v> </v>
      </c>
      <c r="G6151" s="24" t="str">
        <f>IF(OR(E6151="",E6151="!!!"),"",IF(OR(J6151=0,AND(J6151=1,K6151=1),AND(J6151=1,I6151="SBJ"),AND(J6151=1,I6151=0)),"?IN_FOCUS",IF(J6151&lt;=2,"?ACTIVATED",IF(J6151&lt;&gt;"","?FAMILIAR",IF(F6151="NEW",IF(ISNA(VLOOKUP(E6151,#REF!,1,FALSE())),"?TYPE_IDENTIFIABLE","?REFERENTIAL"),"_")))))</f>
        <v> </v>
      </c>
      <c r="H6151" s="25" t="str">
        <f>IF(J6151&lt;&gt;1,"",IF(I6151="SBJ","CB","?"))</f>
        <v> </v>
      </c>
      <c r="I6151" s="26" t="str">
        <f>IF(OR(E6151="",E6151="!!!",F6151="NEW"),"",INDEX(B6150:B$2,-1+SUMPRODUCT(MAX(ROW(E6150:E$2)*(E6151=E6150:E$2)))))</f>
        <v> </v>
      </c>
      <c r="J6151" s="26" t="str">
        <f>IF(OR(E6151="",E6151="!!!",F6151="NEW"),"",COUNTBLANK(OFFSET(A$1,,,SUMPRODUCT(MAX(ROW(E$2:E6151)*(E6151=E$2:E6151)))))-COUNTBLANK(OFFSET(A$1,,,SUMPRODUCT(MAX(ROW(E$1:E6150)*(E2=E$1:E6150))))))</f>
        <v> </v>
      </c>
      <c r="K6151" s="26" t="str">
        <f>IF(OR(E6151="",E6151="!!!",F6151="NEW"),"",INDEX(J$1:J6150,SUMPRODUCT(MAX(ROW(E$1:E6150)*(E6151=E$1:E6150)))))</f>
        <v> </v>
      </c>
      <c r="L6151" s="27"/>
    </row>
    <row r="6152" spans="1:12">
      <c r="A6152" s="20" t="s">
        <v>1646</v>
      </c>
      <c r="E6152" s="22">
        <f>IF(D6152="?OLD","!!!","")</f>
        <v/>
      </c>
      <c r="F6152" s="23" t="str">
        <f>IF(OR(E6152="",E6152="!!!"),"",IF(NOT(ISNA(VLOOKUP(E6152,E$1:E6151,1,FALSE()))),"OLD",IF(AND(E6152&lt;&gt;"",E6152&lt;&gt;"!!!"),"NEW","")))</f>
        <v> </v>
      </c>
      <c r="G6152" s="24" t="str">
        <f>IF(OR(E6152="",E6152="!!!"),"",IF(OR(J6152=0,AND(J6152=1,K6152=1),AND(J6152=1,I6152="SBJ"),AND(J6152=1,I6152=0)),"?IN_FOCUS",IF(J6152&lt;=2,"?ACTIVATED",IF(J6152&lt;&gt;"","?FAMILIAR",IF(F6152="NEW",IF(ISNA(VLOOKUP(E6152,#REF!,1,FALSE())),"?TYPE_IDENTIFIABLE","?REFERENTIAL"),"_")))))</f>
        <v> </v>
      </c>
      <c r="H6152" s="25" t="str">
        <f>IF(J6152&lt;&gt;1,"",IF(I6152="SBJ","CB","?"))</f>
        <v> </v>
      </c>
      <c r="I6152" s="26" t="str">
        <f>IF(OR(E6152="",E6152="!!!",F6152="NEW"),"",INDEX(B6151:B$2,-1+SUMPRODUCT(MAX(ROW(E6151:E$2)*(E6152=E6151:E$2)))))</f>
        <v> </v>
      </c>
      <c r="J6152" s="26" t="str">
        <f>IF(OR(E6152="",E6152="!!!",F6152="NEW"),"",COUNTBLANK(OFFSET(A$1,,,SUMPRODUCT(MAX(ROW(E$2:E6152)*(E6152=E$2:E6152)))))-COUNTBLANK(OFFSET(A$1,,,SUMPRODUCT(MAX(ROW(E$1:E6151)*(E2=E$1:E6151))))))</f>
        <v> </v>
      </c>
      <c r="K6152" s="26" t="str">
        <f>IF(OR(E6152="",E6152="!!!",F6152="NEW"),"",INDEX(J$1:J6151,SUMPRODUCT(MAX(ROW(E$1:E6151)*(E6152=E$1:E6151)))))</f>
        <v> </v>
      </c>
      <c r="L6152" s="27"/>
    </row>
    <row r="6153" spans="1:12">
      <c r="A6153" s="20" t="s">
        <v>1346</v>
      </c>
      <c r="B6153" s="21" t="s">
        <v>1217</v>
      </c>
      <c r="C6153" s="21" t="s">
        <v>1103</v>
      </c>
      <c r="E6153" s="22">
        <f>IF(D6153="?OLD","!!!","")</f>
        <v/>
      </c>
      <c r="F6153" s="23" t="str">
        <f>IF(OR(E6153="",E6153="!!!"),"",IF(NOT(ISNA(VLOOKUP(E6153,E$1:E6152,1,FALSE()))),"OLD",IF(AND(E6153&lt;&gt;"",E6153&lt;&gt;"!!!"),"NEW","")))</f>
        <v> </v>
      </c>
      <c r="G6153" s="24" t="str">
        <f>IF(OR(E6153="",E6153="!!!"),"",IF(OR(J6153=0,AND(J6153=1,K6153=1),AND(J6153=1,I6153="SBJ"),AND(J6153=1,I6153=0)),"?IN_FOCUS",IF(J6153&lt;=2,"?ACTIVATED",IF(J6153&lt;&gt;"","?FAMILIAR",IF(F6153="NEW",IF(ISNA(VLOOKUP(E6153,#REF!,1,FALSE())),"?TYPE_IDENTIFIABLE","?REFERENTIAL"),"_")))))</f>
        <v> </v>
      </c>
      <c r="H6153" s="25" t="str">
        <f>IF(J6153&lt;&gt;1,"",IF(I6153="SBJ","CB","?"))</f>
        <v> </v>
      </c>
      <c r="I6153" s="26" t="str">
        <f>IF(OR(E6153="",E6153="!!!",F6153="NEW"),"",INDEX(B6152:B$2,-1+SUMPRODUCT(MAX(ROW(E6152:E$2)*(E6153=E6152:E$2)))))</f>
        <v> </v>
      </c>
      <c r="J6153" s="26" t="str">
        <f>IF(OR(E6153="",E6153="!!!",F6153="NEW"),"",COUNTBLANK(OFFSET(A$1,,,SUMPRODUCT(MAX(ROW(E$2:E6153)*(E6153=E$2:E6153)))))-COUNTBLANK(OFFSET(A$1,,,SUMPRODUCT(MAX(ROW(E$1:E6152)*(E2=E$1:E6152))))))</f>
        <v> </v>
      </c>
      <c r="K6153" s="26" t="str">
        <f>IF(OR(E6153="",E6153="!!!",F6153="NEW"),"",INDEX(J$1:J6152,SUMPRODUCT(MAX(ROW(E$1:E6152)*(E6153=E$1:E6152)))))</f>
        <v> </v>
      </c>
      <c r="L6153" s="27"/>
    </row>
    <row r="6154" spans="1:12">
      <c r="A6154" s="20" t="s">
        <v>1065</v>
      </c>
      <c r="E6154" s="22">
        <f>IF(D6154="?OLD","!!!","")</f>
        <v/>
      </c>
      <c r="F6154" s="23" t="str">
        <f>IF(OR(E6154="",E6154="!!!"),"",IF(NOT(ISNA(VLOOKUP(E6154,E$1:E6153,1,FALSE()))),"OLD",IF(AND(E6154&lt;&gt;"",E6154&lt;&gt;"!!!"),"NEW","")))</f>
        <v> </v>
      </c>
      <c r="G6154" s="24" t="str">
        <f>IF(OR(E6154="",E6154="!!!"),"",IF(OR(J6154=0,AND(J6154=1,K6154=1),AND(J6154=1,I6154="SBJ"),AND(J6154=1,I6154=0)),"?IN_FOCUS",IF(J6154&lt;=2,"?ACTIVATED",IF(J6154&lt;&gt;"","?FAMILIAR",IF(F6154="NEW",IF(ISNA(VLOOKUP(E6154,#REF!,1,FALSE())),"?TYPE_IDENTIFIABLE","?REFERENTIAL"),"_")))))</f>
        <v> </v>
      </c>
      <c r="H6154" s="25" t="str">
        <f>IF(J6154&lt;&gt;1,"",IF(I6154="SBJ","CB","?"))</f>
        <v> </v>
      </c>
      <c r="I6154" s="26" t="str">
        <f>IF(OR(E6154="",E6154="!!!",F6154="NEW"),"",INDEX(B6153:B$2,-1+SUMPRODUCT(MAX(ROW(E6153:E$2)*(E6154=E6153:E$2)))))</f>
        <v> </v>
      </c>
      <c r="J6154" s="26" t="str">
        <f>IF(OR(E6154="",E6154="!!!",F6154="NEW"),"",COUNTBLANK(OFFSET(A$1,,,SUMPRODUCT(MAX(ROW(E$2:E6154)*(E6154=E$2:E6154)))))-COUNTBLANK(OFFSET(A$1,,,SUMPRODUCT(MAX(ROW(E$1:E6153)*(E2=E$1:E6153))))))</f>
        <v> </v>
      </c>
      <c r="K6154" s="26" t="str">
        <f>IF(OR(E6154="",E6154="!!!",F6154="NEW"),"",INDEX(J$1:J6153,SUMPRODUCT(MAX(ROW(E$1:E6153)*(E6154=E$1:E6153)))))</f>
        <v> </v>
      </c>
      <c r="L6154" s="27"/>
    </row>
    <row r="6155" spans="1:12">
      <c r="A6155" s="20" t="s">
        <v>1140</v>
      </c>
      <c r="B6155" s="21" t="s">
        <v>1795</v>
      </c>
      <c r="C6155" s="21" t="s">
        <v>1073</v>
      </c>
      <c r="D6155" s="21" t="s">
        <v>1007</v>
      </c>
      <c r="E6155" s="22">
        <f>IF(D6155="?OLD","!!!","")</f>
        <v/>
      </c>
      <c r="F6155" s="23" t="str">
        <f>IF(OR(E6155="",E6155="!!!"),"",IF(NOT(ISNA(VLOOKUP(E6155,E$1:E6154,1,FALSE()))),"OLD",IF(AND(E6155&lt;&gt;"",E6155&lt;&gt;"!!!"),"NEW","")))</f>
        <v> </v>
      </c>
      <c r="G6155" s="24" t="str">
        <f>IF(OR(E6155="",E6155="!!!"),"",IF(OR(J6155=0,AND(J6155=1,K6155=1),AND(J6155=1,I6155="SBJ"),AND(J6155=1,I6155=0)),"?IN_FOCUS",IF(J6155&lt;=2,"?ACTIVATED",IF(J6155&lt;&gt;"","?FAMILIAR",IF(F6155="NEW",IF(ISNA(VLOOKUP(E6155,#REF!,1,FALSE())),"?TYPE_IDENTIFIABLE","?REFERENTIAL"),"_")))))</f>
        <v> </v>
      </c>
      <c r="H6155" s="25" t="str">
        <f>IF(J6155&lt;&gt;1,"",IF(I6155="SBJ","CB","?"))</f>
        <v> </v>
      </c>
      <c r="I6155" s="26" t="str">
        <f>IF(OR(E6155="",E6155="!!!",F6155="NEW"),"",INDEX(B6154:B$2,-1+SUMPRODUCT(MAX(ROW(E6154:E$2)*(E6155=E6154:E$2)))))</f>
        <v> </v>
      </c>
      <c r="J6155" s="26" t="str">
        <f>IF(OR(E6155="",E6155="!!!",F6155="NEW"),"",COUNTBLANK(OFFSET(A$1,,,SUMPRODUCT(MAX(ROW(E$2:E6155)*(E6155=E$2:E6155)))))-COUNTBLANK(OFFSET(A$1,,,SUMPRODUCT(MAX(ROW(E$1:E6154)*(E2=E$1:E6154))))))</f>
        <v> </v>
      </c>
      <c r="K6155" s="26" t="str">
        <f>IF(OR(E6155="",E6155="!!!",F6155="NEW"),"",INDEX(J$1:J6154,SUMPRODUCT(MAX(ROW(E$1:E6154)*(E6155=E$1:E6154)))))</f>
        <v> </v>
      </c>
      <c r="L6155" s="27"/>
    </row>
    <row r="6156" spans="1:12">
      <c r="A6156" s="20" t="s">
        <v>1759</v>
      </c>
      <c r="E6156" s="22">
        <f>IF(D6156="?OLD","!!!","")</f>
        <v/>
      </c>
      <c r="F6156" s="23" t="str">
        <f>IF(OR(E6156="",E6156="!!!"),"",IF(NOT(ISNA(VLOOKUP(E6156,E$1:E6155,1,FALSE()))),"OLD",IF(AND(E6156&lt;&gt;"",E6156&lt;&gt;"!!!"),"NEW","")))</f>
        <v> </v>
      </c>
      <c r="G6156" s="24" t="str">
        <f>IF(OR(E6156="",E6156="!!!"),"",IF(OR(J6156=0,AND(J6156=1,K6156=1),AND(J6156=1,I6156="SBJ"),AND(J6156=1,I6156=0)),"?IN_FOCUS",IF(J6156&lt;=2,"?ACTIVATED",IF(J6156&lt;&gt;"","?FAMILIAR",IF(F6156="NEW",IF(ISNA(VLOOKUP(E6156,#REF!,1,FALSE())),"?TYPE_IDENTIFIABLE","?REFERENTIAL"),"_")))))</f>
        <v> </v>
      </c>
      <c r="H6156" s="25" t="str">
        <f>IF(J6156&lt;&gt;1,"",IF(I6156="SBJ","CB","?"))</f>
        <v> </v>
      </c>
      <c r="I6156" s="26" t="str">
        <f>IF(OR(E6156="",E6156="!!!",F6156="NEW"),"",INDEX(B6155:B$2,-1+SUMPRODUCT(MAX(ROW(E6155:E$2)*(E6156=E6155:E$2)))))</f>
        <v> </v>
      </c>
      <c r="J6156" s="26" t="str">
        <f>IF(OR(E6156="",E6156="!!!",F6156="NEW"),"",COUNTBLANK(OFFSET(A$1,,,SUMPRODUCT(MAX(ROW(E$2:E6156)*(E6156=E$2:E6156)))))-COUNTBLANK(OFFSET(A$1,,,SUMPRODUCT(MAX(ROW(E$1:E6155)*(E2=E$1:E6155))))))</f>
        <v> </v>
      </c>
      <c r="K6156" s="26" t="str">
        <f>IF(OR(E6156="",E6156="!!!",F6156="NEW"),"",INDEX(J$1:J6155,SUMPRODUCT(MAX(ROW(E$1:E6155)*(E6156=E$1:E6155)))))</f>
        <v> </v>
      </c>
      <c r="L6156" s="27"/>
    </row>
    <row r="6157" spans="1:12">
      <c r="A6157" s="20" t="s">
        <v>1018</v>
      </c>
      <c r="E6157" s="22">
        <f>IF(D6157="?OLD","!!!","")</f>
        <v/>
      </c>
      <c r="F6157" s="23" t="str">
        <f>IF(OR(E6157="",E6157="!!!"),"",IF(NOT(ISNA(VLOOKUP(E6157,E$1:E6156,1,FALSE()))),"OLD",IF(AND(E6157&lt;&gt;"",E6157&lt;&gt;"!!!"),"NEW","")))</f>
        <v> </v>
      </c>
      <c r="G6157" s="24" t="str">
        <f>IF(OR(E6157="",E6157="!!!"),"",IF(OR(J6157=0,AND(J6157=1,K6157=1),AND(J6157=1,I6157="SBJ"),AND(J6157=1,I6157=0)),"?IN_FOCUS",IF(J6157&lt;=2,"?ACTIVATED",IF(J6157&lt;&gt;"","?FAMILIAR",IF(F6157="NEW",IF(ISNA(VLOOKUP(E6157,#REF!,1,FALSE())),"?TYPE_IDENTIFIABLE","?REFERENTIAL"),"_")))))</f>
        <v> </v>
      </c>
      <c r="H6157" s="25" t="str">
        <f>IF(J6157&lt;&gt;1,"",IF(I6157="SBJ","CB","?"))</f>
        <v> </v>
      </c>
      <c r="I6157" s="26" t="str">
        <f>IF(OR(E6157="",E6157="!!!",F6157="NEW"),"",INDEX(B6156:B$2,-1+SUMPRODUCT(MAX(ROW(E6156:E$2)*(E6157=E6156:E$2)))))</f>
        <v> </v>
      </c>
      <c r="J6157" s="26" t="str">
        <f>IF(OR(E6157="",E6157="!!!",F6157="NEW"),"",COUNTBLANK(OFFSET(A$1,,,SUMPRODUCT(MAX(ROW(E$2:E6157)*(E6157=E$2:E6157)))))-COUNTBLANK(OFFSET(A$1,,,SUMPRODUCT(MAX(ROW(E$1:E6156)*(E2=E$1:E6156))))))</f>
        <v> </v>
      </c>
      <c r="K6157" s="26" t="str">
        <f>IF(OR(E6157="",E6157="!!!",F6157="NEW"),"",INDEX(J$1:J6156,SUMPRODUCT(MAX(ROW(E$1:E6156)*(E6157=E$1:E6156)))))</f>
        <v> </v>
      </c>
      <c r="L6157" s="27"/>
    </row>
    <row r="6158" spans="1:12">
      <c r="A6158" s="20" t="s">
        <v>1616</v>
      </c>
      <c r="E6158" s="22">
        <f>IF(D6158="?OLD","!!!","")</f>
        <v/>
      </c>
      <c r="F6158" s="23" t="str">
        <f>IF(OR(E6158="",E6158="!!!"),"",IF(NOT(ISNA(VLOOKUP(E6158,E$1:E6157,1,FALSE()))),"OLD",IF(AND(E6158&lt;&gt;"",E6158&lt;&gt;"!!!"),"NEW","")))</f>
        <v> </v>
      </c>
      <c r="G6158" s="24" t="str">
        <f>IF(OR(E6158="",E6158="!!!"),"",IF(OR(J6158=0,AND(J6158=1,K6158=1),AND(J6158=1,I6158="SBJ"),AND(J6158=1,I6158=0)),"?IN_FOCUS",IF(J6158&lt;=2,"?ACTIVATED",IF(J6158&lt;&gt;"","?FAMILIAR",IF(F6158="NEW",IF(ISNA(VLOOKUP(E6158,#REF!,1,FALSE())),"?TYPE_IDENTIFIABLE","?REFERENTIAL"),"_")))))</f>
        <v> </v>
      </c>
      <c r="H6158" s="25" t="str">
        <f>IF(J6158&lt;&gt;1,"",IF(I6158="SBJ","CB","?"))</f>
        <v> </v>
      </c>
      <c r="I6158" s="26" t="str">
        <f>IF(OR(E6158="",E6158="!!!",F6158="NEW"),"",INDEX(B6157:B$2,-1+SUMPRODUCT(MAX(ROW(E6157:E$2)*(E6158=E6157:E$2)))))</f>
        <v> </v>
      </c>
      <c r="J6158" s="26" t="str">
        <f>IF(OR(E6158="",E6158="!!!",F6158="NEW"),"",COUNTBLANK(OFFSET(A$1,,,SUMPRODUCT(MAX(ROW(E$2:E6158)*(E6158=E$2:E6158)))))-COUNTBLANK(OFFSET(A$1,,,SUMPRODUCT(MAX(ROW(E$1:E6157)*(E2=E$1:E6157))))))</f>
        <v> </v>
      </c>
      <c r="K6158" s="26" t="str">
        <f>IF(OR(E6158="",E6158="!!!",F6158="NEW"),"",INDEX(J$1:J6157,SUMPRODUCT(MAX(ROW(E$1:E6157)*(E6158=E$1:E6157)))))</f>
        <v> </v>
      </c>
      <c r="L6158" s="27"/>
    </row>
    <row r="6159" spans="1:12">
      <c r="A6159" s="20" t="s">
        <v>1014</v>
      </c>
      <c r="E6159" s="22">
        <f>IF(D6159="?OLD","!!!","")</f>
        <v/>
      </c>
      <c r="F6159" s="23" t="str">
        <f>IF(OR(E6159="",E6159="!!!"),"",IF(NOT(ISNA(VLOOKUP(E6159,E$1:E6158,1,FALSE()))),"OLD",IF(AND(E6159&lt;&gt;"",E6159&lt;&gt;"!!!"),"NEW","")))</f>
        <v> </v>
      </c>
      <c r="G6159" s="24" t="str">
        <f>IF(OR(E6159="",E6159="!!!"),"",IF(OR(J6159=0,AND(J6159=1,K6159=1),AND(J6159=1,I6159="SBJ"),AND(J6159=1,I6159=0)),"?IN_FOCUS",IF(J6159&lt;=2,"?ACTIVATED",IF(J6159&lt;&gt;"","?FAMILIAR",IF(F6159="NEW",IF(ISNA(VLOOKUP(E6159,#REF!,1,FALSE())),"?TYPE_IDENTIFIABLE","?REFERENTIAL"),"_")))))</f>
        <v> </v>
      </c>
      <c r="H6159" s="25" t="str">
        <f>IF(J6159&lt;&gt;1,"",IF(I6159="SBJ","CB","?"))</f>
        <v> </v>
      </c>
      <c r="I6159" s="26" t="str">
        <f>IF(OR(E6159="",E6159="!!!",F6159="NEW"),"",INDEX(B6158:B$2,-1+SUMPRODUCT(MAX(ROW(E6158:E$2)*(E6159=E6158:E$2)))))</f>
        <v> </v>
      </c>
      <c r="J6159" s="26" t="str">
        <f>IF(OR(E6159="",E6159="!!!",F6159="NEW"),"",COUNTBLANK(OFFSET(A$1,,,SUMPRODUCT(MAX(ROW(E$2:E6159)*(E6159=E$2:E6159)))))-COUNTBLANK(OFFSET(A$1,,,SUMPRODUCT(MAX(ROW(E$1:E6158)*(E2=E$1:E6158))))))</f>
        <v> </v>
      </c>
      <c r="K6159" s="26" t="str">
        <f>IF(OR(E6159="",E6159="!!!",F6159="NEW"),"",INDEX(J$1:J6158,SUMPRODUCT(MAX(ROW(E$1:E6158)*(E6159=E$1:E6158)))))</f>
        <v> </v>
      </c>
      <c r="L6159" s="27"/>
    </row>
    <row r="6160" spans="1:12">
      <c r="A6160" s="20" t="s">
        <v>2622</v>
      </c>
      <c r="E6160" s="22">
        <f>IF(D6160="?OLD","!!!","")</f>
        <v/>
      </c>
      <c r="F6160" s="23" t="str">
        <f>IF(OR(E6160="",E6160="!!!"),"",IF(NOT(ISNA(VLOOKUP(E6160,E$1:E6159,1,FALSE()))),"OLD",IF(AND(E6160&lt;&gt;"",E6160&lt;&gt;"!!!"),"NEW","")))</f>
        <v> </v>
      </c>
      <c r="G6160" s="24" t="str">
        <f>IF(OR(E6160="",E6160="!!!"),"",IF(OR(J6160=0,AND(J6160=1,K6160=1),AND(J6160=1,I6160="SBJ"),AND(J6160=1,I6160=0)),"?IN_FOCUS",IF(J6160&lt;=2,"?ACTIVATED",IF(J6160&lt;&gt;"","?FAMILIAR",IF(F6160="NEW",IF(ISNA(VLOOKUP(E6160,#REF!,1,FALSE())),"?TYPE_IDENTIFIABLE","?REFERENTIAL"),"_")))))</f>
        <v> </v>
      </c>
      <c r="H6160" s="25" t="str">
        <f>IF(J6160&lt;&gt;1,"",IF(I6160="SBJ","CB","?"))</f>
        <v> </v>
      </c>
      <c r="I6160" s="26" t="str">
        <f>IF(OR(E6160="",E6160="!!!",F6160="NEW"),"",INDEX(B6159:B$2,-1+SUMPRODUCT(MAX(ROW(E6159:E$2)*(E6160=E6159:E$2)))))</f>
        <v> </v>
      </c>
      <c r="J6160" s="26" t="str">
        <f>IF(OR(E6160="",E6160="!!!",F6160="NEW"),"",COUNTBLANK(OFFSET(A$1,,,SUMPRODUCT(MAX(ROW(E$2:E6160)*(E6160=E$2:E6160)))))-COUNTBLANK(OFFSET(A$1,,,SUMPRODUCT(MAX(ROW(E$1:E6159)*(E2=E$1:E6159))))))</f>
        <v> </v>
      </c>
      <c r="K6160" s="26" t="str">
        <f>IF(OR(E6160="",E6160="!!!",F6160="NEW"),"",INDEX(J$1:J6159,SUMPRODUCT(MAX(ROW(E$1:E6159)*(E6160=E$1:E6159)))))</f>
        <v> </v>
      </c>
      <c r="L6160" s="27"/>
    </row>
    <row r="6161" spans="1:12">
      <c r="A6161" s="20" t="s">
        <v>56</v>
      </c>
      <c r="E6161" s="22">
        <f>IF(D6161="?OLD","!!!","")</f>
        <v/>
      </c>
      <c r="F6161" s="23" t="str">
        <f>IF(OR(E6161="",E6161="!!!"),"",IF(NOT(ISNA(VLOOKUP(E6161,E$1:E6160,1,FALSE()))),"OLD",IF(AND(E6161&lt;&gt;"",E6161&lt;&gt;"!!!"),"NEW","")))</f>
        <v> </v>
      </c>
      <c r="G6161" s="24" t="str">
        <f>IF(OR(E6161="",E6161="!!!"),"",IF(OR(J6161=0,AND(J6161=1,K6161=1),AND(J6161=1,I6161="SBJ"),AND(J6161=1,I6161=0)),"?IN_FOCUS",IF(J6161&lt;=2,"?ACTIVATED",IF(J6161&lt;&gt;"","?FAMILIAR",IF(F6161="NEW",IF(ISNA(VLOOKUP(E6161,#REF!,1,FALSE())),"?TYPE_IDENTIFIABLE","?REFERENTIAL"),"_")))))</f>
        <v> </v>
      </c>
      <c r="H6161" s="25" t="str">
        <f>IF(J6161&lt;&gt;1,"",IF(I6161="SBJ","CB","?"))</f>
        <v> </v>
      </c>
      <c r="I6161" s="26" t="str">
        <f>IF(OR(E6161="",E6161="!!!",F6161="NEW"),"",INDEX(B6160:B$2,-1+SUMPRODUCT(MAX(ROW(E6160:E$2)*(E6161=E6160:E$2)))))</f>
        <v> </v>
      </c>
      <c r="J6161" s="26" t="str">
        <f>IF(OR(E6161="",E6161="!!!",F6161="NEW"),"",COUNTBLANK(OFFSET(A$1,,,SUMPRODUCT(MAX(ROW(E$2:E6161)*(E6161=E$2:E6161)))))-COUNTBLANK(OFFSET(A$1,,,SUMPRODUCT(MAX(ROW(E$1:E6160)*(E2=E$1:E6160))))))</f>
        <v> </v>
      </c>
      <c r="K6161" s="26" t="str">
        <f>IF(OR(E6161="",E6161="!!!",F6161="NEW"),"",INDEX(J$1:J6160,SUMPRODUCT(MAX(ROW(E$1:E6160)*(E6161=E$1:E6160)))))</f>
        <v> </v>
      </c>
      <c r="L6161" s="27"/>
    </row>
    <row r="6162" spans="1:12">
      <c r="A6162" s="20" t="s">
        <v>1014</v>
      </c>
      <c r="E6162" s="22">
        <f>IF(D6162="?OLD","!!!","")</f>
        <v/>
      </c>
      <c r="F6162" s="23" t="str">
        <f>IF(OR(E6162="",E6162="!!!"),"",IF(NOT(ISNA(VLOOKUP(E6162,E$1:E6161,1,FALSE()))),"OLD",IF(AND(E6162&lt;&gt;"",E6162&lt;&gt;"!!!"),"NEW","")))</f>
        <v> </v>
      </c>
      <c r="G6162" s="24" t="str">
        <f>IF(OR(E6162="",E6162="!!!"),"",IF(OR(J6162=0,AND(J6162=1,K6162=1),AND(J6162=1,I6162="SBJ"),AND(J6162=1,I6162=0)),"?IN_FOCUS",IF(J6162&lt;=2,"?ACTIVATED",IF(J6162&lt;&gt;"","?FAMILIAR",IF(F6162="NEW",IF(ISNA(VLOOKUP(E6162,#REF!,1,FALSE())),"?TYPE_IDENTIFIABLE","?REFERENTIAL"),"_")))))</f>
        <v> </v>
      </c>
      <c r="H6162" s="25" t="str">
        <f>IF(J6162&lt;&gt;1,"",IF(I6162="SBJ","CB","?"))</f>
        <v> </v>
      </c>
      <c r="I6162" s="26" t="str">
        <f>IF(OR(E6162="",E6162="!!!",F6162="NEW"),"",INDEX(B6161:B$2,-1+SUMPRODUCT(MAX(ROW(E6161:E$2)*(E6162=E6161:E$2)))))</f>
        <v> </v>
      </c>
      <c r="J6162" s="26" t="str">
        <f>IF(OR(E6162="",E6162="!!!",F6162="NEW"),"",COUNTBLANK(OFFSET(A$1,,,SUMPRODUCT(MAX(ROW(E$2:E6162)*(E6162=E$2:E6162)))))-COUNTBLANK(OFFSET(A$1,,,SUMPRODUCT(MAX(ROW(E$1:E6161)*(E2=E$1:E6161))))))</f>
        <v> </v>
      </c>
      <c r="K6162" s="26" t="str">
        <f>IF(OR(E6162="",E6162="!!!",F6162="NEW"),"",INDEX(J$1:J6161,SUMPRODUCT(MAX(ROW(E$1:E6161)*(E6162=E$1:E6161)))))</f>
        <v> </v>
      </c>
      <c r="L6162" s="27"/>
    </row>
    <row r="6163" spans="1:12">
      <c r="A6163" s="20" t="s">
        <v>2623</v>
      </c>
      <c r="E6163" s="22">
        <f>IF(D6163="?OLD","!!!","")</f>
        <v/>
      </c>
      <c r="F6163" s="23" t="str">
        <f>IF(OR(E6163="",E6163="!!!"),"",IF(NOT(ISNA(VLOOKUP(E6163,E$1:E6162,1,FALSE()))),"OLD",IF(AND(E6163&lt;&gt;"",E6163&lt;&gt;"!!!"),"NEW","")))</f>
        <v> </v>
      </c>
      <c r="G6163" s="24" t="str">
        <f>IF(OR(E6163="",E6163="!!!"),"",IF(OR(J6163=0,AND(J6163=1,K6163=1),AND(J6163=1,I6163="SBJ"),AND(J6163=1,I6163=0)),"?IN_FOCUS",IF(J6163&lt;=2,"?ACTIVATED",IF(J6163&lt;&gt;"","?FAMILIAR",IF(F6163="NEW",IF(ISNA(VLOOKUP(E6163,#REF!,1,FALSE())),"?TYPE_IDENTIFIABLE","?REFERENTIAL"),"_")))))</f>
        <v> </v>
      </c>
      <c r="H6163" s="25" t="str">
        <f>IF(J6163&lt;&gt;1,"",IF(I6163="SBJ","CB","?"))</f>
        <v> </v>
      </c>
      <c r="I6163" s="26" t="str">
        <f>IF(OR(E6163="",E6163="!!!",F6163="NEW"),"",INDEX(B6162:B$2,-1+SUMPRODUCT(MAX(ROW(E6162:E$2)*(E6163=E6162:E$2)))))</f>
        <v> </v>
      </c>
      <c r="J6163" s="26" t="str">
        <f>IF(OR(E6163="",E6163="!!!",F6163="NEW"),"",COUNTBLANK(OFFSET(A$1,,,SUMPRODUCT(MAX(ROW(E$2:E6163)*(E6163=E$2:E6163)))))-COUNTBLANK(OFFSET(A$1,,,SUMPRODUCT(MAX(ROW(E$1:E6162)*(E2=E$1:E6162))))))</f>
        <v> </v>
      </c>
      <c r="K6163" s="26" t="str">
        <f>IF(OR(E6163="",E6163="!!!",F6163="NEW"),"",INDEX(J$1:J6162,SUMPRODUCT(MAX(ROW(E$1:E6162)*(E6163=E$1:E6162)))))</f>
        <v> </v>
      </c>
      <c r="L6163" s="27"/>
    </row>
    <row r="6164" spans="1:12">
      <c r="A6164" s="20" t="s">
        <v>1015</v>
      </c>
      <c r="E6164" s="22">
        <f>IF(D6164="?OLD","!!!","")</f>
        <v/>
      </c>
      <c r="F6164" s="23" t="str">
        <f>IF(OR(E6164="",E6164="!!!"),"",IF(NOT(ISNA(VLOOKUP(E6164,E$1:E6163,1,FALSE()))),"OLD",IF(AND(E6164&lt;&gt;"",E6164&lt;&gt;"!!!"),"NEW","")))</f>
        <v> </v>
      </c>
      <c r="G6164" s="24" t="str">
        <f>IF(OR(E6164="",E6164="!!!"),"",IF(OR(J6164=0,AND(J6164=1,K6164=1),AND(J6164=1,I6164="SBJ"),AND(J6164=1,I6164=0)),"?IN_FOCUS",IF(J6164&lt;=2,"?ACTIVATED",IF(J6164&lt;&gt;"","?FAMILIAR",IF(F6164="NEW",IF(ISNA(VLOOKUP(E6164,#REF!,1,FALSE())),"?TYPE_IDENTIFIABLE","?REFERENTIAL"),"_")))))</f>
        <v> </v>
      </c>
      <c r="H6164" s="25" t="str">
        <f>IF(J6164&lt;&gt;1,"",IF(I6164="SBJ","CB","?"))</f>
        <v> </v>
      </c>
      <c r="I6164" s="26" t="str">
        <f>IF(OR(E6164="",E6164="!!!",F6164="NEW"),"",INDEX(B6163:B$2,-1+SUMPRODUCT(MAX(ROW(E6163:E$2)*(E6164=E6163:E$2)))))</f>
        <v> </v>
      </c>
      <c r="J6164" s="26" t="str">
        <f>IF(OR(E6164="",E6164="!!!",F6164="NEW"),"",COUNTBLANK(OFFSET(A$1,,,SUMPRODUCT(MAX(ROW(E$2:E6164)*(E6164=E$2:E6164)))))-COUNTBLANK(OFFSET(A$1,,,SUMPRODUCT(MAX(ROW(E$1:E6163)*(E2=E$1:E6163))))))</f>
        <v> </v>
      </c>
      <c r="K6164" s="26" t="str">
        <f>IF(OR(E6164="",E6164="!!!",F6164="NEW"),"",INDEX(J$1:J6163,SUMPRODUCT(MAX(ROW(E$1:E6163)*(E6164=E$1:E6163)))))</f>
        <v> </v>
      </c>
      <c r="L6164" s="27"/>
    </row>
    <row r="6165" spans="1:12">
      <c r="A6165" s="20" t="s">
        <v>1269</v>
      </c>
      <c r="B6165" s="21" t="s">
        <v>1792</v>
      </c>
      <c r="C6165" s="21" t="s">
        <v>1059</v>
      </c>
      <c r="D6165" s="21" t="s">
        <v>1007</v>
      </c>
      <c r="E6165" s="22">
        <f>IF(D6165="?OLD","!!!","")</f>
        <v/>
      </c>
      <c r="F6165" s="23" t="str">
        <f>IF(OR(E6165="",E6165="!!!"),"",IF(NOT(ISNA(VLOOKUP(E6165,E$1:E6164,1,FALSE()))),"OLD",IF(AND(E6165&lt;&gt;"",E6165&lt;&gt;"!!!"),"NEW","")))</f>
        <v> </v>
      </c>
      <c r="G6165" s="24" t="str">
        <f>IF(OR(E6165="",E6165="!!!"),"",IF(OR(J6165=0,AND(J6165=1,K6165=1),AND(J6165=1,I6165="SBJ"),AND(J6165=1,I6165=0)),"?IN_FOCUS",IF(J6165&lt;=2,"?ACTIVATED",IF(J6165&lt;&gt;"","?FAMILIAR",IF(F6165="NEW",IF(ISNA(VLOOKUP(E6165,#REF!,1,FALSE())),"?TYPE_IDENTIFIABLE","?REFERENTIAL"),"_")))))</f>
        <v> </v>
      </c>
      <c r="H6165" s="25" t="str">
        <f>IF(J6165&lt;&gt;1,"",IF(I6165="SBJ","CB","?"))</f>
        <v> </v>
      </c>
      <c r="I6165" s="26" t="str">
        <f>IF(OR(E6165="",E6165="!!!",F6165="NEW"),"",INDEX(B6164:B$2,-1+SUMPRODUCT(MAX(ROW(E6164:E$2)*(E6165=E6164:E$2)))))</f>
        <v> </v>
      </c>
      <c r="J6165" s="26" t="str">
        <f>IF(OR(E6165="",E6165="!!!",F6165="NEW"),"",COUNTBLANK(OFFSET(A$1,,,SUMPRODUCT(MAX(ROW(E$2:E6165)*(E6165=E$2:E6165)))))-COUNTBLANK(OFFSET(A$1,,,SUMPRODUCT(MAX(ROW(E$1:E6164)*(E2=E$1:E6164))))))</f>
        <v> </v>
      </c>
      <c r="K6165" s="26" t="str">
        <f>IF(OR(E6165="",E6165="!!!",F6165="NEW"),"",INDEX(J$1:J6164,SUMPRODUCT(MAX(ROW(E$1:E6164)*(E6165=E$1:E6164)))))</f>
        <v> </v>
      </c>
      <c r="L6165" s="27"/>
    </row>
    <row r="6166" spans="1:12">
      <c r="A6166" s="20" t="s">
        <v>1012</v>
      </c>
      <c r="B6166" s="21" t="s">
        <v>1791</v>
      </c>
      <c r="C6166" s="21" t="s">
        <v>1013</v>
      </c>
      <c r="D6166" s="21" t="s">
        <v>1007</v>
      </c>
      <c r="E6166" s="22">
        <f>IF(D6166="?OLD","!!!","")</f>
        <v/>
      </c>
      <c r="F6166" s="23" t="str">
        <f>IF(OR(E6166="",E6166="!!!"),"",IF(NOT(ISNA(VLOOKUP(E6166,E$1:E6165,1,FALSE()))),"OLD",IF(AND(E6166&lt;&gt;"",E6166&lt;&gt;"!!!"),"NEW","")))</f>
        <v> </v>
      </c>
      <c r="G6166" s="24" t="str">
        <f>IF(OR(E6166="",E6166="!!!"),"",IF(OR(J6166=0,AND(J6166=1,K6166=1),AND(J6166=1,I6166="SBJ"),AND(J6166=1,I6166=0)),"?IN_FOCUS",IF(J6166&lt;=2,"?ACTIVATED",IF(J6166&lt;&gt;"","?FAMILIAR",IF(F6166="NEW",IF(ISNA(VLOOKUP(E6166,#REF!,1,FALSE())),"?TYPE_IDENTIFIABLE","?REFERENTIAL"),"_")))))</f>
        <v> </v>
      </c>
      <c r="H6166" s="25" t="str">
        <f>IF(J6166&lt;&gt;1,"",IF(I6166="SBJ","CB","?"))</f>
        <v> </v>
      </c>
      <c r="I6166" s="26" t="str">
        <f>IF(OR(E6166="",E6166="!!!",F6166="NEW"),"",INDEX(B6165:B$2,-1+SUMPRODUCT(MAX(ROW(E6165:E$2)*(E6166=E6165:E$2)))))</f>
        <v> </v>
      </c>
      <c r="J6166" s="26" t="str">
        <f>IF(OR(E6166="",E6166="!!!",F6166="NEW"),"",COUNTBLANK(OFFSET(A$1,,,SUMPRODUCT(MAX(ROW(E$2:E6166)*(E6166=E$2:E6166)))))-COUNTBLANK(OFFSET(A$1,,,SUMPRODUCT(MAX(ROW(E$1:E6165)*(E2=E$1:E6165))))))</f>
        <v> </v>
      </c>
      <c r="K6166" s="26" t="str">
        <f>IF(OR(E6166="",E6166="!!!",F6166="NEW"),"",INDEX(J$1:J6165,SUMPRODUCT(MAX(ROW(E$1:E6165)*(E6166=E$1:E6165)))))</f>
        <v> </v>
      </c>
      <c r="L6166" s="27"/>
    </row>
    <row r="6167" spans="1:12">
      <c r="A6167" s="20" t="s">
        <v>1014</v>
      </c>
      <c r="E6167" s="22">
        <f>IF(D6167="?OLD","!!!","")</f>
        <v/>
      </c>
      <c r="F6167" s="23" t="str">
        <f>IF(OR(E6167="",E6167="!!!"),"",IF(NOT(ISNA(VLOOKUP(E6167,E$1:E6166,1,FALSE()))),"OLD",IF(AND(E6167&lt;&gt;"",E6167&lt;&gt;"!!!"),"NEW","")))</f>
        <v> </v>
      </c>
      <c r="G6167" s="24" t="str">
        <f>IF(OR(E6167="",E6167="!!!"),"",IF(OR(J6167=0,AND(J6167=1,K6167=1),AND(J6167=1,I6167="SBJ"),AND(J6167=1,I6167=0)),"?IN_FOCUS",IF(J6167&lt;=2,"?ACTIVATED",IF(J6167&lt;&gt;"","?FAMILIAR",IF(F6167="NEW",IF(ISNA(VLOOKUP(E6167,#REF!,1,FALSE())),"?TYPE_IDENTIFIABLE","?REFERENTIAL"),"_")))))</f>
        <v> </v>
      </c>
      <c r="H6167" s="25" t="str">
        <f>IF(J6167&lt;&gt;1,"",IF(I6167="SBJ","CB","?"))</f>
        <v> </v>
      </c>
      <c r="I6167" s="26" t="str">
        <f>IF(OR(E6167="",E6167="!!!",F6167="NEW"),"",INDEX(B6166:B$2,-1+SUMPRODUCT(MAX(ROW(E6166:E$2)*(E6167=E6166:E$2)))))</f>
        <v> </v>
      </c>
      <c r="J6167" s="26" t="str">
        <f>IF(OR(E6167="",E6167="!!!",F6167="NEW"),"",COUNTBLANK(OFFSET(A$1,,,SUMPRODUCT(MAX(ROW(E$2:E6167)*(E6167=E$2:E6167)))))-COUNTBLANK(OFFSET(A$1,,,SUMPRODUCT(MAX(ROW(E$1:E6166)*(E2=E$1:E6166))))))</f>
        <v> </v>
      </c>
      <c r="K6167" s="26" t="str">
        <f>IF(OR(E6167="",E6167="!!!",F6167="NEW"),"",INDEX(J$1:J6166,SUMPRODUCT(MAX(ROW(E$1:E6166)*(E6167=E$1:E6166)))))</f>
        <v> </v>
      </c>
      <c r="L6167" s="27"/>
    </row>
    <row r="6168" spans="1:12">
      <c r="A6168" s="20" t="s">
        <v>1691</v>
      </c>
      <c r="B6168" s="21" t="s">
        <v>1792</v>
      </c>
      <c r="C6168" s="21" t="s">
        <v>1048</v>
      </c>
      <c r="E6168" s="22">
        <f>IF(D6168="?OLD","!!!","")</f>
        <v/>
      </c>
      <c r="F6168" s="23" t="str">
        <f>IF(OR(E6168="",E6168="!!!"),"",IF(NOT(ISNA(VLOOKUP(E6168,E$1:E6167,1,FALSE()))),"OLD",IF(AND(E6168&lt;&gt;"",E6168&lt;&gt;"!!!"),"NEW","")))</f>
        <v> </v>
      </c>
      <c r="G6168" s="24" t="str">
        <f>IF(OR(E6168="",E6168="!!!"),"",IF(OR(J6168=0,AND(J6168=1,K6168=1),AND(J6168=1,I6168="SBJ"),AND(J6168=1,I6168=0)),"?IN_FOCUS",IF(J6168&lt;=2,"?ACTIVATED",IF(J6168&lt;&gt;"","?FAMILIAR",IF(F6168="NEW",IF(ISNA(VLOOKUP(E6168,#REF!,1,FALSE())),"?TYPE_IDENTIFIABLE","?REFERENTIAL"),"_")))))</f>
        <v> </v>
      </c>
      <c r="H6168" s="25" t="str">
        <f>IF(J6168&lt;&gt;1,"",IF(I6168="SBJ","CB","?"))</f>
        <v> </v>
      </c>
      <c r="I6168" s="26" t="str">
        <f>IF(OR(E6168="",E6168="!!!",F6168="NEW"),"",INDEX(B6167:B$2,-1+SUMPRODUCT(MAX(ROW(E6167:E$2)*(E6168=E6167:E$2)))))</f>
        <v> </v>
      </c>
      <c r="J6168" s="26" t="str">
        <f>IF(OR(E6168="",E6168="!!!",F6168="NEW"),"",COUNTBLANK(OFFSET(A$1,,,SUMPRODUCT(MAX(ROW(E$2:E6168)*(E6168=E$2:E6168)))))-COUNTBLANK(OFFSET(A$1,,,SUMPRODUCT(MAX(ROW(E$1:E6167)*(E2=E$1:E6167))))))</f>
        <v> </v>
      </c>
      <c r="K6168" s="26" t="str">
        <f>IF(OR(E6168="",E6168="!!!",F6168="NEW"),"",INDEX(J$1:J6167,SUMPRODUCT(MAX(ROW(E$1:E6167)*(E6168=E$1:E6167)))))</f>
        <v> </v>
      </c>
      <c r="L6168" s="27"/>
    </row>
    <row r="6169" spans="1:12">
      <c r="A6169" s="20" t="s">
        <v>1023</v>
      </c>
      <c r="E6169" s="22">
        <f>IF(D6169="?OLD","!!!","")</f>
        <v/>
      </c>
      <c r="F6169" s="23" t="str">
        <f>IF(OR(E6169="",E6169="!!!"),"",IF(NOT(ISNA(VLOOKUP(E6169,E$1:E6168,1,FALSE()))),"OLD",IF(AND(E6169&lt;&gt;"",E6169&lt;&gt;"!!!"),"NEW","")))</f>
        <v> </v>
      </c>
      <c r="G6169" s="24" t="str">
        <f>IF(OR(E6169="",E6169="!!!"),"",IF(OR(J6169=0,AND(J6169=1,K6169=1),AND(J6169=1,I6169="SBJ"),AND(J6169=1,I6169=0)),"?IN_FOCUS",IF(J6169&lt;=2,"?ACTIVATED",IF(J6169&lt;&gt;"","?FAMILIAR",IF(F6169="NEW",IF(ISNA(VLOOKUP(E6169,#REF!,1,FALSE())),"?TYPE_IDENTIFIABLE","?REFERENTIAL"),"_")))))</f>
        <v> </v>
      </c>
      <c r="H6169" s="25" t="str">
        <f>IF(J6169&lt;&gt;1,"",IF(I6169="SBJ","CB","?"))</f>
        <v> </v>
      </c>
      <c r="I6169" s="26" t="str">
        <f>IF(OR(E6169="",E6169="!!!",F6169="NEW"),"",INDEX(B6168:B$2,-1+SUMPRODUCT(MAX(ROW(E6168:E$2)*(E6169=E6168:E$2)))))</f>
        <v> </v>
      </c>
      <c r="J6169" s="26" t="str">
        <f>IF(OR(E6169="",E6169="!!!",F6169="NEW"),"",COUNTBLANK(OFFSET(A$1,,,SUMPRODUCT(MAX(ROW(E$2:E6169)*(E6169=E$2:E6169)))))-COUNTBLANK(OFFSET(A$1,,,SUMPRODUCT(MAX(ROW(E$1:E6168)*(E2=E$1:E6168))))))</f>
        <v> </v>
      </c>
      <c r="K6169" s="26" t="str">
        <f>IF(OR(E6169="",E6169="!!!",F6169="NEW"),"",INDEX(J$1:J6168,SUMPRODUCT(MAX(ROW(E$1:E6168)*(E6169=E$1:E6168)))))</f>
        <v> </v>
      </c>
      <c r="L6169" s="27"/>
    </row>
    <row r="6170" spans="1:12">
      <c r="A6170" s="20"/>
    </row>
    <row r="6171" spans="1:12">
      <c r="A6171" s="20" t="s">
        <v>2624</v>
      </c>
    </row>
    <row r="6172" spans="1:12">
      <c r="A6172" s="20" t="s">
        <v>2625</v>
      </c>
      <c r="E6172" s="22">
        <f>IF(D6172="?OLD","!!!","")</f>
        <v/>
      </c>
      <c r="F6172" s="23" t="str">
        <f>IF(OR(E6172="",E6172="!!!"),"",IF(NOT(ISNA(VLOOKUP(E6172,E$1:E6171,1,FALSE()))),"OLD",IF(AND(E6172&lt;&gt;"",E6172&lt;&gt;"!!!"),"NEW","")))</f>
        <v> </v>
      </c>
      <c r="G6172" s="24" t="str">
        <f>IF(OR(E6172="",E6172="!!!"),"",IF(OR(J6172=0,AND(J6172=1,K6172=1),AND(J6172=1,I6172="SBJ"),AND(J6172=1,I6172=0)),"?IN_FOCUS",IF(J6172&lt;=2,"?ACTIVATED",IF(J6172&lt;&gt;"","?FAMILIAR",IF(F6172="NEW",IF(ISNA(VLOOKUP(E6172,#REF!,1,FALSE())),"?TYPE_IDENTIFIABLE","?REFERENTIAL"),"_")))))</f>
        <v> </v>
      </c>
      <c r="H6172" s="25" t="str">
        <f>IF(J6172&lt;&gt;1,"",IF(I6172="SBJ","CB","?"))</f>
        <v> </v>
      </c>
      <c r="I6172" s="26" t="str">
        <f>IF(OR(E6172="",E6172="!!!",F6172="NEW"),"",INDEX(B6171:B$2,-1+SUMPRODUCT(MAX(ROW(E6171:E$2)*(E6172=E6171:E$2)))))</f>
        <v> </v>
      </c>
      <c r="J6172" s="26" t="str">
        <f>IF(OR(E6172="",E6172="!!!",F6172="NEW"),"",COUNTBLANK(OFFSET(A$1,,,SUMPRODUCT(MAX(ROW(E$2:E6172)*(E6172=E$2:E6172)))))-COUNTBLANK(OFFSET(A$1,,,SUMPRODUCT(MAX(ROW(E$1:E6171)*(E2=E$1:E6171))))))</f>
        <v> </v>
      </c>
      <c r="K6172" s="26" t="str">
        <f>IF(OR(E6172="",E6172="!!!",F6172="NEW"),"",INDEX(J$1:J6171,SUMPRODUCT(MAX(ROW(E$1:E6171)*(E6172=E$1:E6171)))))</f>
        <v> </v>
      </c>
      <c r="L6172" s="27"/>
    </row>
    <row r="6173" spans="1:12">
      <c r="A6173" s="20" t="s">
        <v>1018</v>
      </c>
      <c r="E6173" s="22">
        <f>IF(D6173="?OLD","!!!","")</f>
        <v/>
      </c>
      <c r="F6173" s="23" t="str">
        <f>IF(OR(E6173="",E6173="!!!"),"",IF(NOT(ISNA(VLOOKUP(E6173,E$1:E6172,1,FALSE()))),"OLD",IF(AND(E6173&lt;&gt;"",E6173&lt;&gt;"!!!"),"NEW","")))</f>
        <v> </v>
      </c>
      <c r="G6173" s="24" t="str">
        <f>IF(OR(E6173="",E6173="!!!"),"",IF(OR(J6173=0,AND(J6173=1,K6173=1),AND(J6173=1,I6173="SBJ"),AND(J6173=1,I6173=0)),"?IN_FOCUS",IF(J6173&lt;=2,"?ACTIVATED",IF(J6173&lt;&gt;"","?FAMILIAR",IF(F6173="NEW",IF(ISNA(VLOOKUP(E6173,#REF!,1,FALSE())),"?TYPE_IDENTIFIABLE","?REFERENTIAL"),"_")))))</f>
        <v> </v>
      </c>
      <c r="H6173" s="25" t="str">
        <f>IF(J6173&lt;&gt;1,"",IF(I6173="SBJ","CB","?"))</f>
        <v> </v>
      </c>
      <c r="I6173" s="26" t="str">
        <f>IF(OR(E6173="",E6173="!!!",F6173="NEW"),"",INDEX(B6172:B$2,-1+SUMPRODUCT(MAX(ROW(E6172:E$2)*(E6173=E6172:E$2)))))</f>
        <v> </v>
      </c>
      <c r="J6173" s="26" t="str">
        <f>IF(OR(E6173="",E6173="!!!",F6173="NEW"),"",COUNTBLANK(OFFSET(A$1,,,SUMPRODUCT(MAX(ROW(E$2:E6173)*(E6173=E$2:E6173)))))-COUNTBLANK(OFFSET(A$1,,,SUMPRODUCT(MAX(ROW(E$1:E6172)*(E2=E$1:E6172))))))</f>
        <v> </v>
      </c>
      <c r="K6173" s="26" t="str">
        <f>IF(OR(E6173="",E6173="!!!",F6173="NEW"),"",INDEX(J$1:J6172,SUMPRODUCT(MAX(ROW(E$1:E6172)*(E6173=E$1:E6172)))))</f>
        <v> </v>
      </c>
      <c r="L6173" s="27"/>
    </row>
    <row r="6174" spans="1:12">
      <c r="A6174" s="20" t="s">
        <v>1140</v>
      </c>
      <c r="B6174" s="21" t="s">
        <v>1050</v>
      </c>
      <c r="C6174" s="21" t="s">
        <v>1073</v>
      </c>
      <c r="D6174" s="21" t="s">
        <v>1007</v>
      </c>
      <c r="E6174" s="22">
        <f>IF(D6174="?OLD","!!!","")</f>
        <v/>
      </c>
      <c r="F6174" s="23" t="str">
        <f>IF(OR(E6174="",E6174="!!!"),"",IF(NOT(ISNA(VLOOKUP(E6174,E$1:E6173,1,FALSE()))),"OLD",IF(AND(E6174&lt;&gt;"",E6174&lt;&gt;"!!!"),"NEW","")))</f>
        <v> </v>
      </c>
      <c r="G6174" s="24" t="str">
        <f>IF(OR(E6174="",E6174="!!!"),"",IF(OR(J6174=0,AND(J6174=1,K6174=1),AND(J6174=1,I6174="SBJ"),AND(J6174=1,I6174=0)),"?IN_FOCUS",IF(J6174&lt;=2,"?ACTIVATED",IF(J6174&lt;&gt;"","?FAMILIAR",IF(F6174="NEW",IF(ISNA(VLOOKUP(E6174,#REF!,1,FALSE())),"?TYPE_IDENTIFIABLE","?REFERENTIAL"),"_")))))</f>
        <v> </v>
      </c>
      <c r="H6174" s="25" t="str">
        <f>IF(J6174&lt;&gt;1,"",IF(I6174="SBJ","CB","?"))</f>
        <v> </v>
      </c>
      <c r="I6174" s="26" t="str">
        <f>IF(OR(E6174="",E6174="!!!",F6174="NEW"),"",INDEX(B6173:B$2,-1+SUMPRODUCT(MAX(ROW(E6173:E$2)*(E6174=E6173:E$2)))))</f>
        <v> </v>
      </c>
      <c r="J6174" s="26" t="str">
        <f>IF(OR(E6174="",E6174="!!!",F6174="NEW"),"",COUNTBLANK(OFFSET(A$1,,,SUMPRODUCT(MAX(ROW(E$2:E6174)*(E6174=E$2:E6174)))))-COUNTBLANK(OFFSET(A$1,,,SUMPRODUCT(MAX(ROW(E$1:E6173)*(E2=E$1:E6173))))))</f>
        <v> </v>
      </c>
      <c r="K6174" s="26" t="str">
        <f>IF(OR(E6174="",E6174="!!!",F6174="NEW"),"",INDEX(J$1:J6173,SUMPRODUCT(MAX(ROW(E$1:E6173)*(E6174=E$1:E6173)))))</f>
        <v> </v>
      </c>
      <c r="L6174" s="27"/>
    </row>
    <row r="6175" spans="1:12">
      <c r="A6175" s="20" t="s">
        <v>1142</v>
      </c>
      <c r="E6175" s="22">
        <f>IF(D6175="?OLD","!!!","")</f>
        <v/>
      </c>
      <c r="F6175" s="23" t="str">
        <f>IF(OR(E6175="",E6175="!!!"),"",IF(NOT(ISNA(VLOOKUP(E6175,E$1:E6174,1,FALSE()))),"OLD",IF(AND(E6175&lt;&gt;"",E6175&lt;&gt;"!!!"),"NEW","")))</f>
        <v> </v>
      </c>
      <c r="G6175" s="24" t="str">
        <f>IF(OR(E6175="",E6175="!!!"),"",IF(OR(J6175=0,AND(J6175=1,K6175=1),AND(J6175=1,I6175="SBJ"),AND(J6175=1,I6175=0)),"?IN_FOCUS",IF(J6175&lt;=2,"?ACTIVATED",IF(J6175&lt;&gt;"","?FAMILIAR",IF(F6175="NEW",IF(ISNA(VLOOKUP(E6175,#REF!,1,FALSE())),"?TYPE_IDENTIFIABLE","?REFERENTIAL"),"_")))))</f>
        <v> </v>
      </c>
      <c r="H6175" s="25" t="str">
        <f>IF(J6175&lt;&gt;1,"",IF(I6175="SBJ","CB","?"))</f>
        <v> </v>
      </c>
      <c r="I6175" s="26" t="str">
        <f>IF(OR(E6175="",E6175="!!!",F6175="NEW"),"",INDEX(B6174:B$2,-1+SUMPRODUCT(MAX(ROW(E6174:E$2)*(E6175=E6174:E$2)))))</f>
        <v> </v>
      </c>
      <c r="J6175" s="26" t="str">
        <f>IF(OR(E6175="",E6175="!!!",F6175="NEW"),"",COUNTBLANK(OFFSET(A$1,,,SUMPRODUCT(MAX(ROW(E$2:E6175)*(E6175=E$2:E6175)))))-COUNTBLANK(OFFSET(A$1,,,SUMPRODUCT(MAX(ROW(E$1:E6174)*(E2=E$1:E6174))))))</f>
        <v> </v>
      </c>
      <c r="K6175" s="26" t="str">
        <f>IF(OR(E6175="",E6175="!!!",F6175="NEW"),"",INDEX(J$1:J6174,SUMPRODUCT(MAX(ROW(E$1:E6174)*(E6175=E$1:E6174)))))</f>
        <v> </v>
      </c>
      <c r="L6175" s="27"/>
    </row>
    <row r="6176" spans="1:12">
      <c r="A6176" s="20" t="s">
        <v>1124</v>
      </c>
      <c r="E6176" s="22">
        <f>IF(D6176="?OLD","!!!","")</f>
        <v/>
      </c>
      <c r="F6176" s="23" t="str">
        <f>IF(OR(E6176="",E6176="!!!"),"",IF(NOT(ISNA(VLOOKUP(E6176,E$1:E6175,1,FALSE()))),"OLD",IF(AND(E6176&lt;&gt;"",E6176&lt;&gt;"!!!"),"NEW","")))</f>
        <v> </v>
      </c>
      <c r="G6176" s="24" t="str">
        <f>IF(OR(E6176="",E6176="!!!"),"",IF(OR(J6176=0,AND(J6176=1,K6176=1),AND(J6176=1,I6176="SBJ"),AND(J6176=1,I6176=0)),"?IN_FOCUS",IF(J6176&lt;=2,"?ACTIVATED",IF(J6176&lt;&gt;"","?FAMILIAR",IF(F6176="NEW",IF(ISNA(VLOOKUP(E6176,#REF!,1,FALSE())),"?TYPE_IDENTIFIABLE","?REFERENTIAL"),"_")))))</f>
        <v> </v>
      </c>
      <c r="H6176" s="25" t="str">
        <f>IF(J6176&lt;&gt;1,"",IF(I6176="SBJ","CB","?"))</f>
        <v> </v>
      </c>
      <c r="I6176" s="26" t="str">
        <f>IF(OR(E6176="",E6176="!!!",F6176="NEW"),"",INDEX(B6175:B$2,-1+SUMPRODUCT(MAX(ROW(E6175:E$2)*(E6176=E6175:E$2)))))</f>
        <v> </v>
      </c>
      <c r="J6176" s="26" t="str">
        <f>IF(OR(E6176="",E6176="!!!",F6176="NEW"),"",COUNTBLANK(OFFSET(A$1,,,SUMPRODUCT(MAX(ROW(E$2:E6176)*(E6176=E$2:E6176)))))-COUNTBLANK(OFFSET(A$1,,,SUMPRODUCT(MAX(ROW(E$1:E6175)*(E2=E$1:E6175))))))</f>
        <v> </v>
      </c>
      <c r="K6176" s="26" t="str">
        <f>IF(OR(E6176="",E6176="!!!",F6176="NEW"),"",INDEX(J$1:J6175,SUMPRODUCT(MAX(ROW(E$1:E6175)*(E6176=E$1:E6175)))))</f>
        <v> </v>
      </c>
      <c r="L6176" s="27"/>
    </row>
    <row r="6177" spans="1:12">
      <c r="A6177" s="20" t="s">
        <v>2626</v>
      </c>
      <c r="E6177" s="22">
        <f>IF(D6177="?OLD","!!!","")</f>
        <v/>
      </c>
      <c r="F6177" s="23" t="str">
        <f>IF(OR(E6177="",E6177="!!!"),"",IF(NOT(ISNA(VLOOKUP(E6177,E$1:E6176,1,FALSE()))),"OLD",IF(AND(E6177&lt;&gt;"",E6177&lt;&gt;"!!!"),"NEW","")))</f>
        <v> </v>
      </c>
      <c r="G6177" s="24" t="str">
        <f>IF(OR(E6177="",E6177="!!!"),"",IF(OR(J6177=0,AND(J6177=1,K6177=1),AND(J6177=1,I6177="SBJ"),AND(J6177=1,I6177=0)),"?IN_FOCUS",IF(J6177&lt;=2,"?ACTIVATED",IF(J6177&lt;&gt;"","?FAMILIAR",IF(F6177="NEW",IF(ISNA(VLOOKUP(E6177,#REF!,1,FALSE())),"?TYPE_IDENTIFIABLE","?REFERENTIAL"),"_")))))</f>
        <v> </v>
      </c>
      <c r="H6177" s="25" t="str">
        <f>IF(J6177&lt;&gt;1,"",IF(I6177="SBJ","CB","?"))</f>
        <v> </v>
      </c>
      <c r="I6177" s="26" t="str">
        <f>IF(OR(E6177="",E6177="!!!",F6177="NEW"),"",INDEX(B6176:B$2,-1+SUMPRODUCT(MAX(ROW(E6176:E$2)*(E6177=E6176:E$2)))))</f>
        <v> </v>
      </c>
      <c r="J6177" s="26" t="str">
        <f>IF(OR(E6177="",E6177="!!!",F6177="NEW"),"",COUNTBLANK(OFFSET(A$1,,,SUMPRODUCT(MAX(ROW(E$2:E6177)*(E6177=E$2:E6177)))))-COUNTBLANK(OFFSET(A$1,,,SUMPRODUCT(MAX(ROW(E$1:E6176)*(E2=E$1:E6176))))))</f>
        <v> </v>
      </c>
      <c r="K6177" s="26" t="str">
        <f>IF(OR(E6177="",E6177="!!!",F6177="NEW"),"",INDEX(J$1:J6176,SUMPRODUCT(MAX(ROW(E$1:E6176)*(E6177=E$1:E6176)))))</f>
        <v> </v>
      </c>
      <c r="L6177" s="27"/>
    </row>
    <row r="6178" spans="1:12">
      <c r="A6178" s="20" t="s">
        <v>2627</v>
      </c>
      <c r="E6178" s="22">
        <f>IF(D6178="?OLD","!!!","")</f>
        <v/>
      </c>
      <c r="F6178" s="23" t="str">
        <f>IF(OR(E6178="",E6178="!!!"),"",IF(NOT(ISNA(VLOOKUP(E6178,E$1:E6177,1,FALSE()))),"OLD",IF(AND(E6178&lt;&gt;"",E6178&lt;&gt;"!!!"),"NEW","")))</f>
        <v> </v>
      </c>
      <c r="G6178" s="24" t="str">
        <f>IF(OR(E6178="",E6178="!!!"),"",IF(OR(J6178=0,AND(J6178=1,K6178=1),AND(J6178=1,I6178="SBJ"),AND(J6178=1,I6178=0)),"?IN_FOCUS",IF(J6178&lt;=2,"?ACTIVATED",IF(J6178&lt;&gt;"","?FAMILIAR",IF(F6178="NEW",IF(ISNA(VLOOKUP(E6178,#REF!,1,FALSE())),"?TYPE_IDENTIFIABLE","?REFERENTIAL"),"_")))))</f>
        <v> </v>
      </c>
      <c r="H6178" s="25" t="str">
        <f>IF(J6178&lt;&gt;1,"",IF(I6178="SBJ","CB","?"))</f>
        <v> </v>
      </c>
      <c r="I6178" s="26" t="str">
        <f>IF(OR(E6178="",E6178="!!!",F6178="NEW"),"",INDEX(B6177:B$2,-1+SUMPRODUCT(MAX(ROW(E6177:E$2)*(E6178=E6177:E$2)))))</f>
        <v> </v>
      </c>
      <c r="J6178" s="26" t="str">
        <f>IF(OR(E6178="",E6178="!!!",F6178="NEW"),"",COUNTBLANK(OFFSET(A$1,,,SUMPRODUCT(MAX(ROW(E$2:E6178)*(E6178=E$2:E6178)))))-COUNTBLANK(OFFSET(A$1,,,SUMPRODUCT(MAX(ROW(E$1:E6177)*(E2=E$1:E6177))))))</f>
        <v> </v>
      </c>
      <c r="K6178" s="26" t="str">
        <f>IF(OR(E6178="",E6178="!!!",F6178="NEW"),"",INDEX(J$1:J6177,SUMPRODUCT(MAX(ROW(E$1:E6177)*(E6178=E$1:E6177)))))</f>
        <v> </v>
      </c>
      <c r="L6178" s="27"/>
    </row>
    <row r="6179" spans="1:12">
      <c r="A6179" s="20" t="s">
        <v>1065</v>
      </c>
      <c r="E6179" s="22">
        <f>IF(D6179="?OLD","!!!","")</f>
        <v/>
      </c>
      <c r="F6179" s="23" t="str">
        <f>IF(OR(E6179="",E6179="!!!"),"",IF(NOT(ISNA(VLOOKUP(E6179,E$1:E6178,1,FALSE()))),"OLD",IF(AND(E6179&lt;&gt;"",E6179&lt;&gt;"!!!"),"NEW","")))</f>
        <v> </v>
      </c>
      <c r="G6179" s="24" t="str">
        <f>IF(OR(E6179="",E6179="!!!"),"",IF(OR(J6179=0,AND(J6179=1,K6179=1),AND(J6179=1,I6179="SBJ"),AND(J6179=1,I6179=0)),"?IN_FOCUS",IF(J6179&lt;=2,"?ACTIVATED",IF(J6179&lt;&gt;"","?FAMILIAR",IF(F6179="NEW",IF(ISNA(VLOOKUP(E6179,#REF!,1,FALSE())),"?TYPE_IDENTIFIABLE","?REFERENTIAL"),"_")))))</f>
        <v> </v>
      </c>
      <c r="H6179" s="25" t="str">
        <f>IF(J6179&lt;&gt;1,"",IF(I6179="SBJ","CB","?"))</f>
        <v> </v>
      </c>
      <c r="I6179" s="26" t="str">
        <f>IF(OR(E6179="",E6179="!!!",F6179="NEW"),"",INDEX(B6178:B$2,-1+SUMPRODUCT(MAX(ROW(E6178:E$2)*(E6179=E6178:E$2)))))</f>
        <v> </v>
      </c>
      <c r="J6179" s="26" t="str">
        <f>IF(OR(E6179="",E6179="!!!",F6179="NEW"),"",COUNTBLANK(OFFSET(A$1,,,SUMPRODUCT(MAX(ROW(E$2:E6179)*(E6179=E$2:E6179)))))-COUNTBLANK(OFFSET(A$1,,,SUMPRODUCT(MAX(ROW(E$1:E6178)*(E2=E$1:E6178))))))</f>
        <v> </v>
      </c>
      <c r="K6179" s="26" t="str">
        <f>IF(OR(E6179="",E6179="!!!",F6179="NEW"),"",INDEX(J$1:J6178,SUMPRODUCT(MAX(ROW(E$1:E6178)*(E6179=E$1:E6178)))))</f>
        <v> </v>
      </c>
      <c r="L6179" s="27"/>
    </row>
    <row r="6180" spans="1:12">
      <c r="A6180" s="20" t="s">
        <v>1015</v>
      </c>
      <c r="E6180" s="22">
        <f>IF(D6180="?OLD","!!!","")</f>
        <v/>
      </c>
      <c r="F6180" s="23" t="str">
        <f>IF(OR(E6180="",E6180="!!!"),"",IF(NOT(ISNA(VLOOKUP(E6180,E$1:E6179,1,FALSE()))),"OLD",IF(AND(E6180&lt;&gt;"",E6180&lt;&gt;"!!!"),"NEW","")))</f>
        <v> </v>
      </c>
      <c r="G6180" s="24" t="str">
        <f>IF(OR(E6180="",E6180="!!!"),"",IF(OR(J6180=0,AND(J6180=1,K6180=1),AND(J6180=1,I6180="SBJ"),AND(J6180=1,I6180=0)),"?IN_FOCUS",IF(J6180&lt;=2,"?ACTIVATED",IF(J6180&lt;&gt;"","?FAMILIAR",IF(F6180="NEW",IF(ISNA(VLOOKUP(E6180,#REF!,1,FALSE())),"?TYPE_IDENTIFIABLE","?REFERENTIAL"),"_")))))</f>
        <v> </v>
      </c>
      <c r="H6180" s="25" t="str">
        <f>IF(J6180&lt;&gt;1,"",IF(I6180="SBJ","CB","?"))</f>
        <v> </v>
      </c>
      <c r="I6180" s="26" t="str">
        <f>IF(OR(E6180="",E6180="!!!",F6180="NEW"),"",INDEX(B6179:B$2,-1+SUMPRODUCT(MAX(ROW(E6179:E$2)*(E6180=E6179:E$2)))))</f>
        <v> </v>
      </c>
      <c r="J6180" s="26" t="str">
        <f>IF(OR(E6180="",E6180="!!!",F6180="NEW"),"",COUNTBLANK(OFFSET(A$1,,,SUMPRODUCT(MAX(ROW(E$2:E6180)*(E6180=E$2:E6180)))))-COUNTBLANK(OFFSET(A$1,,,SUMPRODUCT(MAX(ROW(E$1:E6179)*(E2=E$1:E6179))))))</f>
        <v> </v>
      </c>
      <c r="K6180" s="26" t="str">
        <f>IF(OR(E6180="",E6180="!!!",F6180="NEW"),"",INDEX(J$1:J6179,SUMPRODUCT(MAX(ROW(E$1:E6179)*(E6180=E$1:E6179)))))</f>
        <v> </v>
      </c>
      <c r="L6180" s="27"/>
    </row>
    <row r="6181" spans="1:12">
      <c r="A6181" s="20" t="s">
        <v>2263</v>
      </c>
      <c r="B6181" s="21" t="s">
        <v>1119</v>
      </c>
      <c r="C6181" s="21" t="s">
        <v>1017</v>
      </c>
      <c r="D6181" s="21" t="s">
        <v>1007</v>
      </c>
      <c r="E6181" s="22">
        <f>IF(D6181="?OLD","!!!","")</f>
        <v/>
      </c>
      <c r="F6181" s="23" t="str">
        <f>IF(OR(E6181="",E6181="!!!"),"",IF(NOT(ISNA(VLOOKUP(E6181,E$1:E6180,1,FALSE()))),"OLD",IF(AND(E6181&lt;&gt;"",E6181&lt;&gt;"!!!"),"NEW","")))</f>
        <v> </v>
      </c>
      <c r="G6181" s="24" t="str">
        <f>IF(OR(E6181="",E6181="!!!"),"",IF(OR(J6181=0,AND(J6181=1,K6181=1),AND(J6181=1,I6181="SBJ"),AND(J6181=1,I6181=0)),"?IN_FOCUS",IF(J6181&lt;=2,"?ACTIVATED",IF(J6181&lt;&gt;"","?FAMILIAR",IF(F6181="NEW",IF(ISNA(VLOOKUP(E6181,#REF!,1,FALSE())),"?TYPE_IDENTIFIABLE","?REFERENTIAL"),"_")))))</f>
        <v> </v>
      </c>
      <c r="H6181" s="25" t="str">
        <f>IF(J6181&lt;&gt;1,"",IF(I6181="SBJ","CB","?"))</f>
        <v> </v>
      </c>
      <c r="I6181" s="26" t="str">
        <f>IF(OR(E6181="",E6181="!!!",F6181="NEW"),"",INDEX(B6180:B$2,-1+SUMPRODUCT(MAX(ROW(E6180:E$2)*(E6181=E6180:E$2)))))</f>
        <v> </v>
      </c>
      <c r="J6181" s="26" t="str">
        <f>IF(OR(E6181="",E6181="!!!",F6181="NEW"),"",COUNTBLANK(OFFSET(A$1,,,SUMPRODUCT(MAX(ROW(E$2:E6181)*(E6181=E$2:E6181)))))-COUNTBLANK(OFFSET(A$1,,,SUMPRODUCT(MAX(ROW(E$1:E6180)*(E2=E$1:E6180))))))</f>
        <v> </v>
      </c>
      <c r="K6181" s="26" t="str">
        <f>IF(OR(E6181="",E6181="!!!",F6181="NEW"),"",INDEX(J$1:J6180,SUMPRODUCT(MAX(ROW(E$1:E6180)*(E6181=E$1:E6180)))))</f>
        <v> </v>
      </c>
      <c r="L6181" s="27"/>
    </row>
    <row r="6182" spans="1:12">
      <c r="A6182" s="20" t="s">
        <v>2610</v>
      </c>
      <c r="E6182" s="22">
        <f>IF(D6182="?OLD","!!!","")</f>
        <v/>
      </c>
      <c r="F6182" s="23" t="str">
        <f>IF(OR(E6182="",E6182="!!!"),"",IF(NOT(ISNA(VLOOKUP(E6182,E$1:E6181,1,FALSE()))),"OLD",IF(AND(E6182&lt;&gt;"",E6182&lt;&gt;"!!!"),"NEW","")))</f>
        <v> </v>
      </c>
      <c r="G6182" s="24" t="str">
        <f>IF(OR(E6182="",E6182="!!!"),"",IF(OR(J6182=0,AND(J6182=1,K6182=1),AND(J6182=1,I6182="SBJ"),AND(J6182=1,I6182=0)),"?IN_FOCUS",IF(J6182&lt;=2,"?ACTIVATED",IF(J6182&lt;&gt;"","?FAMILIAR",IF(F6182="NEW",IF(ISNA(VLOOKUP(E6182,#REF!,1,FALSE())),"?TYPE_IDENTIFIABLE","?REFERENTIAL"),"_")))))</f>
        <v> </v>
      </c>
      <c r="H6182" s="25" t="str">
        <f>IF(J6182&lt;&gt;1,"",IF(I6182="SBJ","CB","?"))</f>
        <v> </v>
      </c>
      <c r="I6182" s="26" t="str">
        <f>IF(OR(E6182="",E6182="!!!",F6182="NEW"),"",INDEX(B6181:B$2,-1+SUMPRODUCT(MAX(ROW(E6181:E$2)*(E6182=E6181:E$2)))))</f>
        <v> </v>
      </c>
      <c r="J6182" s="26" t="str">
        <f>IF(OR(E6182="",E6182="!!!",F6182="NEW"),"",COUNTBLANK(OFFSET(A$1,,,SUMPRODUCT(MAX(ROW(E$2:E6182)*(E6182=E$2:E6182)))))-COUNTBLANK(OFFSET(A$1,,,SUMPRODUCT(MAX(ROW(E$1:E6181)*(E2=E$1:E6181))))))</f>
        <v> </v>
      </c>
      <c r="K6182" s="26" t="str">
        <f>IF(OR(E6182="",E6182="!!!",F6182="NEW"),"",INDEX(J$1:J6181,SUMPRODUCT(MAX(ROW(E$1:E6181)*(E6182=E$1:E6181)))))</f>
        <v> </v>
      </c>
      <c r="L6182" s="27"/>
    </row>
    <row r="6183" spans="1:12">
      <c r="A6183" s="20" t="s">
        <v>1903</v>
      </c>
      <c r="E6183" s="22">
        <f>IF(D6183="?OLD","!!!","")</f>
        <v/>
      </c>
      <c r="F6183" s="23" t="str">
        <f>IF(OR(E6183="",E6183="!!!"),"",IF(NOT(ISNA(VLOOKUP(E6183,E$1:E6182,1,FALSE()))),"OLD",IF(AND(E6183&lt;&gt;"",E6183&lt;&gt;"!!!"),"NEW","")))</f>
        <v> </v>
      </c>
      <c r="G6183" s="24" t="str">
        <f>IF(OR(E6183="",E6183="!!!"),"",IF(OR(J6183=0,AND(J6183=1,K6183=1),AND(J6183=1,I6183="SBJ"),AND(J6183=1,I6183=0)),"?IN_FOCUS",IF(J6183&lt;=2,"?ACTIVATED",IF(J6183&lt;&gt;"","?FAMILIAR",IF(F6183="NEW",IF(ISNA(VLOOKUP(E6183,#REF!,1,FALSE())),"?TYPE_IDENTIFIABLE","?REFERENTIAL"),"_")))))</f>
        <v> </v>
      </c>
      <c r="H6183" s="25" t="str">
        <f>IF(J6183&lt;&gt;1,"",IF(I6183="SBJ","CB","?"))</f>
        <v> </v>
      </c>
      <c r="I6183" s="26" t="str">
        <f>IF(OR(E6183="",E6183="!!!",F6183="NEW"),"",INDEX(B6182:B$2,-1+SUMPRODUCT(MAX(ROW(E6182:E$2)*(E6183=E6182:E$2)))))</f>
        <v> </v>
      </c>
      <c r="J6183" s="26" t="str">
        <f>IF(OR(E6183="",E6183="!!!",F6183="NEW"),"",COUNTBLANK(OFFSET(A$1,,,SUMPRODUCT(MAX(ROW(E$2:E6183)*(E6183=E$2:E6183)))))-COUNTBLANK(OFFSET(A$1,,,SUMPRODUCT(MAX(ROW(E$1:E6182)*(E2=E$1:E6182))))))</f>
        <v> </v>
      </c>
      <c r="K6183" s="26" t="str">
        <f>IF(OR(E6183="",E6183="!!!",F6183="NEW"),"",INDEX(J$1:J6182,SUMPRODUCT(MAX(ROW(E$1:E6182)*(E6183=E$1:E6182)))))</f>
        <v> </v>
      </c>
      <c r="L6183" s="27"/>
    </row>
    <row r="6184" spans="1:12">
      <c r="A6184" s="20" t="s">
        <v>2628</v>
      </c>
      <c r="B6184" s="21" t="s">
        <v>1029</v>
      </c>
      <c r="C6184" s="21" t="s">
        <v>1013</v>
      </c>
      <c r="D6184" s="21" t="s">
        <v>1007</v>
      </c>
      <c r="E6184" s="22">
        <f>IF(D6184="?OLD","!!!","")</f>
        <v/>
      </c>
      <c r="F6184" s="23" t="str">
        <f>IF(OR(E6184="",E6184="!!!"),"",IF(NOT(ISNA(VLOOKUP(E6184,E$1:E6183,1,FALSE()))),"OLD",IF(AND(E6184&lt;&gt;"",E6184&lt;&gt;"!!!"),"NEW","")))</f>
        <v> </v>
      </c>
      <c r="G6184" s="24" t="str">
        <f>IF(OR(E6184="",E6184="!!!"),"",IF(OR(J6184=0,AND(J6184=1,K6184=1),AND(J6184=1,I6184="SBJ"),AND(J6184=1,I6184=0)),"?IN_FOCUS",IF(J6184&lt;=2,"?ACTIVATED",IF(J6184&lt;&gt;"","?FAMILIAR",IF(F6184="NEW",IF(ISNA(VLOOKUP(E6184,#REF!,1,FALSE())),"?TYPE_IDENTIFIABLE","?REFERENTIAL"),"_")))))</f>
        <v> </v>
      </c>
      <c r="H6184" s="25" t="str">
        <f>IF(J6184&lt;&gt;1,"",IF(I6184="SBJ","CB","?"))</f>
        <v> </v>
      </c>
      <c r="I6184" s="26" t="str">
        <f>IF(OR(E6184="",E6184="!!!",F6184="NEW"),"",INDEX(B6183:B$2,-1+SUMPRODUCT(MAX(ROW(E6183:E$2)*(E6184=E6183:E$2)))))</f>
        <v> </v>
      </c>
      <c r="J6184" s="26" t="str">
        <f>IF(OR(E6184="",E6184="!!!",F6184="NEW"),"",COUNTBLANK(OFFSET(A$1,,,SUMPRODUCT(MAX(ROW(E$2:E6184)*(E6184=E$2:E6184)))))-COUNTBLANK(OFFSET(A$1,,,SUMPRODUCT(MAX(ROW(E$1:E6183)*(E2=E$1:E6183))))))</f>
        <v> </v>
      </c>
      <c r="K6184" s="26" t="str">
        <f>IF(OR(E6184="",E6184="!!!",F6184="NEW"),"",INDEX(J$1:J6183,SUMPRODUCT(MAX(ROW(E$1:E6183)*(E6184=E$1:E6183)))))</f>
        <v> </v>
      </c>
      <c r="L6184" s="27"/>
    </row>
    <row r="6185" spans="1:12">
      <c r="A6185" s="20" t="s">
        <v>1014</v>
      </c>
      <c r="E6185" s="22">
        <f>IF(D6185="?OLD","!!!","")</f>
        <v/>
      </c>
      <c r="F6185" s="23" t="str">
        <f>IF(OR(E6185="",E6185="!!!"),"",IF(NOT(ISNA(VLOOKUP(E6185,E$1:E6184,1,FALSE()))),"OLD",IF(AND(E6185&lt;&gt;"",E6185&lt;&gt;"!!!"),"NEW","")))</f>
        <v> </v>
      </c>
      <c r="G6185" s="24" t="str">
        <f>IF(OR(E6185="",E6185="!!!"),"",IF(OR(J6185=0,AND(J6185=1,K6185=1),AND(J6185=1,I6185="SBJ"),AND(J6185=1,I6185=0)),"?IN_FOCUS",IF(J6185&lt;=2,"?ACTIVATED",IF(J6185&lt;&gt;"","?FAMILIAR",IF(F6185="NEW",IF(ISNA(VLOOKUP(E6185,#REF!,1,FALSE())),"?TYPE_IDENTIFIABLE","?REFERENTIAL"),"_")))))</f>
        <v> </v>
      </c>
      <c r="H6185" s="25" t="str">
        <f>IF(J6185&lt;&gt;1,"",IF(I6185="SBJ","CB","?"))</f>
        <v> </v>
      </c>
      <c r="I6185" s="26" t="str">
        <f>IF(OR(E6185="",E6185="!!!",F6185="NEW"),"",INDEX(B6184:B$2,-1+SUMPRODUCT(MAX(ROW(E6184:E$2)*(E6185=E6184:E$2)))))</f>
        <v> </v>
      </c>
      <c r="J6185" s="26" t="str">
        <f>IF(OR(E6185="",E6185="!!!",F6185="NEW"),"",COUNTBLANK(OFFSET(A$1,,,SUMPRODUCT(MAX(ROW(E$2:E6185)*(E6185=E$2:E6185)))))-COUNTBLANK(OFFSET(A$1,,,SUMPRODUCT(MAX(ROW(E$1:E6184)*(E2=E$1:E6184))))))</f>
        <v> </v>
      </c>
      <c r="K6185" s="26" t="str">
        <f>IF(OR(E6185="",E6185="!!!",F6185="NEW"),"",INDEX(J$1:J6184,SUMPRODUCT(MAX(ROW(E$1:E6184)*(E6185=E$1:E6184)))))</f>
        <v> </v>
      </c>
      <c r="L6185" s="27"/>
    </row>
    <row r="6186" spans="1:12">
      <c r="A6186" s="20" t="s">
        <v>2621</v>
      </c>
      <c r="B6186" s="21" t="s">
        <v>1033</v>
      </c>
      <c r="C6186" s="21" t="s">
        <v>1048</v>
      </c>
      <c r="E6186" s="22">
        <f>IF(D6186="?OLD","!!!","")</f>
        <v/>
      </c>
      <c r="F6186" s="23" t="str">
        <f>IF(OR(E6186="",E6186="!!!"),"",IF(NOT(ISNA(VLOOKUP(E6186,E$1:E6185,1,FALSE()))),"OLD",IF(AND(E6186&lt;&gt;"",E6186&lt;&gt;"!!!"),"NEW","")))</f>
        <v> </v>
      </c>
      <c r="G6186" s="24" t="str">
        <f>IF(OR(E6186="",E6186="!!!"),"",IF(OR(J6186=0,AND(J6186=1,K6186=1),AND(J6186=1,I6186="SBJ"),AND(J6186=1,I6186=0)),"?IN_FOCUS",IF(J6186&lt;=2,"?ACTIVATED",IF(J6186&lt;&gt;"","?FAMILIAR",IF(F6186="NEW",IF(ISNA(VLOOKUP(E6186,#REF!,1,FALSE())),"?TYPE_IDENTIFIABLE","?REFERENTIAL"),"_")))))</f>
        <v> </v>
      </c>
      <c r="H6186" s="25" t="str">
        <f>IF(J6186&lt;&gt;1,"",IF(I6186="SBJ","CB","?"))</f>
        <v> </v>
      </c>
      <c r="I6186" s="26" t="str">
        <f>IF(OR(E6186="",E6186="!!!",F6186="NEW"),"",INDEX(B6185:B$2,-1+SUMPRODUCT(MAX(ROW(E6185:E$2)*(E6186=E6185:E$2)))))</f>
        <v> </v>
      </c>
      <c r="J6186" s="26" t="str">
        <f>IF(OR(E6186="",E6186="!!!",F6186="NEW"),"",COUNTBLANK(OFFSET(A$1,,,SUMPRODUCT(MAX(ROW(E$2:E6186)*(E6186=E$2:E6186)))))-COUNTBLANK(OFFSET(A$1,,,SUMPRODUCT(MAX(ROW(E$1:E6185)*(E2=E$1:E6185))))))</f>
        <v> </v>
      </c>
      <c r="K6186" s="26" t="str">
        <f>IF(OR(E6186="",E6186="!!!",F6186="NEW"),"",INDEX(J$1:J6185,SUMPRODUCT(MAX(ROW(E$1:E6185)*(E6186=E$1:E6185)))))</f>
        <v> </v>
      </c>
      <c r="L6186" s="27"/>
    </row>
    <row r="6187" spans="1:12">
      <c r="A6187" s="20" t="s">
        <v>1018</v>
      </c>
      <c r="E6187" s="22">
        <f>IF(D6187="?OLD","!!!","")</f>
        <v/>
      </c>
      <c r="F6187" s="23" t="str">
        <f>IF(OR(E6187="",E6187="!!!"),"",IF(NOT(ISNA(VLOOKUP(E6187,E$1:E6186,1,FALSE()))),"OLD",IF(AND(E6187&lt;&gt;"",E6187&lt;&gt;"!!!"),"NEW","")))</f>
        <v> </v>
      </c>
      <c r="G6187" s="24" t="str">
        <f>IF(OR(E6187="",E6187="!!!"),"",IF(OR(J6187=0,AND(J6187=1,K6187=1),AND(J6187=1,I6187="SBJ"),AND(J6187=1,I6187=0)),"?IN_FOCUS",IF(J6187&lt;=2,"?ACTIVATED",IF(J6187&lt;&gt;"","?FAMILIAR",IF(F6187="NEW",IF(ISNA(VLOOKUP(E6187,#REF!,1,FALSE())),"?TYPE_IDENTIFIABLE","?REFERENTIAL"),"_")))))</f>
        <v> </v>
      </c>
      <c r="H6187" s="25" t="str">
        <f>IF(J6187&lt;&gt;1,"",IF(I6187="SBJ","CB","?"))</f>
        <v> </v>
      </c>
      <c r="I6187" s="26" t="str">
        <f>IF(OR(E6187="",E6187="!!!",F6187="NEW"),"",INDEX(B6186:B$2,-1+SUMPRODUCT(MAX(ROW(E6186:E$2)*(E6187=E6186:E$2)))))</f>
        <v> </v>
      </c>
      <c r="J6187" s="26" t="str">
        <f>IF(OR(E6187="",E6187="!!!",F6187="NEW"),"",COUNTBLANK(OFFSET(A$1,,,SUMPRODUCT(MAX(ROW(E$2:E6187)*(E6187=E$2:E6187)))))-COUNTBLANK(OFFSET(A$1,,,SUMPRODUCT(MAX(ROW(E$1:E6186)*(E2=E$1:E6186))))))</f>
        <v> </v>
      </c>
      <c r="K6187" s="26" t="str">
        <f>IF(OR(E6187="",E6187="!!!",F6187="NEW"),"",INDEX(J$1:J6186,SUMPRODUCT(MAX(ROW(E$1:E6186)*(E6187=E$1:E6186)))))</f>
        <v> </v>
      </c>
      <c r="L6187" s="27"/>
    </row>
    <row r="6188" spans="1:12">
      <c r="A6188" s="20" t="s">
        <v>56</v>
      </c>
      <c r="E6188" s="22">
        <f>IF(D6188="?OLD","!!!","")</f>
        <v/>
      </c>
      <c r="F6188" s="23" t="str">
        <f>IF(OR(E6188="",E6188="!!!"),"",IF(NOT(ISNA(VLOOKUP(E6188,E$1:E6187,1,FALSE()))),"OLD",IF(AND(E6188&lt;&gt;"",E6188&lt;&gt;"!!!"),"NEW","")))</f>
        <v> </v>
      </c>
      <c r="G6188" s="24" t="str">
        <f>IF(OR(E6188="",E6188="!!!"),"",IF(OR(J6188=0,AND(J6188=1,K6188=1),AND(J6188=1,I6188="SBJ"),AND(J6188=1,I6188=0)),"?IN_FOCUS",IF(J6188&lt;=2,"?ACTIVATED",IF(J6188&lt;&gt;"","?FAMILIAR",IF(F6188="NEW",IF(ISNA(VLOOKUP(E6188,#REF!,1,FALSE())),"?TYPE_IDENTIFIABLE","?REFERENTIAL"),"_")))))</f>
        <v> </v>
      </c>
      <c r="H6188" s="25" t="str">
        <f>IF(J6188&lt;&gt;1,"",IF(I6188="SBJ","CB","?"))</f>
        <v> </v>
      </c>
      <c r="I6188" s="26" t="str">
        <f>IF(OR(E6188="",E6188="!!!",F6188="NEW"),"",INDEX(B6187:B$2,-1+SUMPRODUCT(MAX(ROW(E6187:E$2)*(E6188=E6187:E$2)))))</f>
        <v> </v>
      </c>
      <c r="J6188" s="26" t="str">
        <f>IF(OR(E6188="",E6188="!!!",F6188="NEW"),"",COUNTBLANK(OFFSET(A$1,,,SUMPRODUCT(MAX(ROW(E$2:E6188)*(E6188=E$2:E6188)))))-COUNTBLANK(OFFSET(A$1,,,SUMPRODUCT(MAX(ROW(E$1:E6187)*(E2=E$1:E6187))))))</f>
        <v> </v>
      </c>
      <c r="K6188" s="26" t="str">
        <f>IF(OR(E6188="",E6188="!!!",F6188="NEW"),"",INDEX(J$1:J6187,SUMPRODUCT(MAX(ROW(E$1:E6187)*(E6188=E$1:E6187)))))</f>
        <v> </v>
      </c>
      <c r="L6188" s="27"/>
    </row>
    <row r="6189" spans="1:12">
      <c r="A6189" s="20" t="s">
        <v>1075</v>
      </c>
      <c r="E6189" s="22">
        <f>IF(D6189="?OLD","!!!","")</f>
        <v/>
      </c>
      <c r="F6189" s="23" t="str">
        <f>IF(OR(E6189="",E6189="!!!"),"",IF(NOT(ISNA(VLOOKUP(E6189,E$1:E6188,1,FALSE()))),"OLD",IF(AND(E6189&lt;&gt;"",E6189&lt;&gt;"!!!"),"NEW","")))</f>
        <v> </v>
      </c>
      <c r="G6189" s="24" t="str">
        <f>IF(OR(E6189="",E6189="!!!"),"",IF(OR(J6189=0,AND(J6189=1,K6189=1),AND(J6189=1,I6189="SBJ"),AND(J6189=1,I6189=0)),"?IN_FOCUS",IF(J6189&lt;=2,"?ACTIVATED",IF(J6189&lt;&gt;"","?FAMILIAR",IF(F6189="NEW",IF(ISNA(VLOOKUP(E6189,#REF!,1,FALSE())),"?TYPE_IDENTIFIABLE","?REFERENTIAL"),"_")))))</f>
        <v> </v>
      </c>
      <c r="H6189" s="25" t="str">
        <f>IF(J6189&lt;&gt;1,"",IF(I6189="SBJ","CB","?"))</f>
        <v> </v>
      </c>
      <c r="I6189" s="26" t="str">
        <f>IF(OR(E6189="",E6189="!!!",F6189="NEW"),"",INDEX(B6188:B$2,-1+SUMPRODUCT(MAX(ROW(E6188:E$2)*(E6189=E6188:E$2)))))</f>
        <v> </v>
      </c>
      <c r="J6189" s="26" t="str">
        <f>IF(OR(E6189="",E6189="!!!",F6189="NEW"),"",COUNTBLANK(OFFSET(A$1,,,SUMPRODUCT(MAX(ROW(E$2:E6189)*(E6189=E$2:E6189)))))-COUNTBLANK(OFFSET(A$1,,,SUMPRODUCT(MAX(ROW(E$1:E6188)*(E2=E$1:E6188))))))</f>
        <v> </v>
      </c>
      <c r="K6189" s="26" t="str">
        <f>IF(OR(E6189="",E6189="!!!",F6189="NEW"),"",INDEX(J$1:J6188,SUMPRODUCT(MAX(ROW(E$1:E6188)*(E6189=E$1:E6188)))))</f>
        <v> </v>
      </c>
      <c r="L6189" s="27"/>
    </row>
    <row r="6190" spans="1:12">
      <c r="A6190" s="20" t="s">
        <v>1036</v>
      </c>
      <c r="E6190" s="22">
        <f>IF(D6190="?OLD","!!!","")</f>
        <v/>
      </c>
      <c r="F6190" s="23" t="str">
        <f>IF(OR(E6190="",E6190="!!!"),"",IF(NOT(ISNA(VLOOKUP(E6190,E$1:E6189,1,FALSE()))),"OLD",IF(AND(E6190&lt;&gt;"",E6190&lt;&gt;"!!!"),"NEW","")))</f>
        <v> </v>
      </c>
      <c r="G6190" s="24" t="str">
        <f>IF(OR(E6190="",E6190="!!!"),"",IF(OR(J6190=0,AND(J6190=1,K6190=1),AND(J6190=1,I6190="SBJ"),AND(J6190=1,I6190=0)),"?IN_FOCUS",IF(J6190&lt;=2,"?ACTIVATED",IF(J6190&lt;&gt;"","?FAMILIAR",IF(F6190="NEW",IF(ISNA(VLOOKUP(E6190,#REF!,1,FALSE())),"?TYPE_IDENTIFIABLE","?REFERENTIAL"),"_")))))</f>
        <v> </v>
      </c>
      <c r="H6190" s="25" t="str">
        <f>IF(J6190&lt;&gt;1,"",IF(I6190="SBJ","CB","?"))</f>
        <v> </v>
      </c>
      <c r="I6190" s="26" t="str">
        <f>IF(OR(E6190="",E6190="!!!",F6190="NEW"),"",INDEX(B6189:B$2,-1+SUMPRODUCT(MAX(ROW(E6189:E$2)*(E6190=E6189:E$2)))))</f>
        <v> </v>
      </c>
      <c r="J6190" s="26" t="str">
        <f>IF(OR(E6190="",E6190="!!!",F6190="NEW"),"",COUNTBLANK(OFFSET(A$1,,,SUMPRODUCT(MAX(ROW(E$2:E6190)*(E6190=E$2:E6190)))))-COUNTBLANK(OFFSET(A$1,,,SUMPRODUCT(MAX(ROW(E$1:E6189)*(E2=E$1:E6189))))))</f>
        <v> </v>
      </c>
      <c r="K6190" s="26" t="str">
        <f>IF(OR(E6190="",E6190="!!!",F6190="NEW"),"",INDEX(J$1:J6189,SUMPRODUCT(MAX(ROW(E$1:E6189)*(E6190=E$1:E6189)))))</f>
        <v> </v>
      </c>
      <c r="L6190" s="27"/>
    </row>
    <row r="6191" spans="1:12">
      <c r="A6191" s="20" t="s">
        <v>1140</v>
      </c>
      <c r="B6191" s="21" t="s">
        <v>1022</v>
      </c>
      <c r="C6191" s="21" t="s">
        <v>1073</v>
      </c>
      <c r="D6191" s="21" t="s">
        <v>1007</v>
      </c>
      <c r="E6191" s="22">
        <f>IF(D6191="?OLD","!!!","")</f>
        <v/>
      </c>
      <c r="F6191" s="23" t="str">
        <f>IF(OR(E6191="",E6191="!!!"),"",IF(NOT(ISNA(VLOOKUP(E6191,E$1:E6190,1,FALSE()))),"OLD",IF(AND(E6191&lt;&gt;"",E6191&lt;&gt;"!!!"),"NEW","")))</f>
        <v> </v>
      </c>
      <c r="G6191" s="24" t="str">
        <f>IF(OR(E6191="",E6191="!!!"),"",IF(OR(J6191=0,AND(J6191=1,K6191=1),AND(J6191=1,I6191="SBJ"),AND(J6191=1,I6191=0)),"?IN_FOCUS",IF(J6191&lt;=2,"?ACTIVATED",IF(J6191&lt;&gt;"","?FAMILIAR",IF(F6191="NEW",IF(ISNA(VLOOKUP(E6191,#REF!,1,FALSE())),"?TYPE_IDENTIFIABLE","?REFERENTIAL"),"_")))))</f>
        <v> </v>
      </c>
      <c r="H6191" s="25" t="str">
        <f>IF(J6191&lt;&gt;1,"",IF(I6191="SBJ","CB","?"))</f>
        <v> </v>
      </c>
      <c r="I6191" s="26" t="str">
        <f>IF(OR(E6191="",E6191="!!!",F6191="NEW"),"",INDEX(B6190:B$2,-1+SUMPRODUCT(MAX(ROW(E6190:E$2)*(E6191=E6190:E$2)))))</f>
        <v> </v>
      </c>
      <c r="J6191" s="26" t="str">
        <f>IF(OR(E6191="",E6191="!!!",F6191="NEW"),"",COUNTBLANK(OFFSET(A$1,,,SUMPRODUCT(MAX(ROW(E$2:E6191)*(E6191=E$2:E6191)))))-COUNTBLANK(OFFSET(A$1,,,SUMPRODUCT(MAX(ROW(E$1:E6190)*(E2=E$1:E6190))))))</f>
        <v> </v>
      </c>
      <c r="K6191" s="26" t="str">
        <f>IF(OR(E6191="",E6191="!!!",F6191="NEW"),"",INDEX(J$1:J6190,SUMPRODUCT(MAX(ROW(E$1:E6190)*(E6191=E$1:E6190)))))</f>
        <v> </v>
      </c>
      <c r="L6191" s="27"/>
    </row>
    <row r="6192" spans="1:12">
      <c r="A6192" s="20" t="s">
        <v>1065</v>
      </c>
      <c r="E6192" s="22">
        <f>IF(D6192="?OLD","!!!","")</f>
        <v/>
      </c>
      <c r="F6192" s="23" t="str">
        <f>IF(OR(E6192="",E6192="!!!"),"",IF(NOT(ISNA(VLOOKUP(E6192,E$1:E6191,1,FALSE()))),"OLD",IF(AND(E6192&lt;&gt;"",E6192&lt;&gt;"!!!"),"NEW","")))</f>
        <v> </v>
      </c>
      <c r="G6192" s="24" t="str">
        <f>IF(OR(E6192="",E6192="!!!"),"",IF(OR(J6192=0,AND(J6192=1,K6192=1),AND(J6192=1,I6192="SBJ"),AND(J6192=1,I6192=0)),"?IN_FOCUS",IF(J6192&lt;=2,"?ACTIVATED",IF(J6192&lt;&gt;"","?FAMILIAR",IF(F6192="NEW",IF(ISNA(VLOOKUP(E6192,#REF!,1,FALSE())),"?TYPE_IDENTIFIABLE","?REFERENTIAL"),"_")))))</f>
        <v> </v>
      </c>
      <c r="H6192" s="25" t="str">
        <f>IF(J6192&lt;&gt;1,"",IF(I6192="SBJ","CB","?"))</f>
        <v> </v>
      </c>
      <c r="I6192" s="26" t="str">
        <f>IF(OR(E6192="",E6192="!!!",F6192="NEW"),"",INDEX(B6191:B$2,-1+SUMPRODUCT(MAX(ROW(E6191:E$2)*(E6192=E6191:E$2)))))</f>
        <v> </v>
      </c>
      <c r="J6192" s="26" t="str">
        <f>IF(OR(E6192="",E6192="!!!",F6192="NEW"),"",COUNTBLANK(OFFSET(A$1,,,SUMPRODUCT(MAX(ROW(E$2:E6192)*(E6192=E$2:E6192)))))-COUNTBLANK(OFFSET(A$1,,,SUMPRODUCT(MAX(ROW(E$1:E6191)*(E2=E$1:E6191))))))</f>
        <v> </v>
      </c>
      <c r="K6192" s="26" t="str">
        <f>IF(OR(E6192="",E6192="!!!",F6192="NEW"),"",INDEX(J$1:J6191,SUMPRODUCT(MAX(ROW(E$1:E6191)*(E6192=E$1:E6191)))))</f>
        <v> </v>
      </c>
      <c r="L6192" s="27"/>
    </row>
    <row r="6193" spans="1:12">
      <c r="A6193" s="20" t="s">
        <v>1030</v>
      </c>
      <c r="E6193" s="22">
        <f>IF(D6193="?OLD","!!!","")</f>
        <v/>
      </c>
      <c r="F6193" s="23" t="str">
        <f>IF(OR(E6193="",E6193="!!!"),"",IF(NOT(ISNA(VLOOKUP(E6193,E$1:E6192,1,FALSE()))),"OLD",IF(AND(E6193&lt;&gt;"",E6193&lt;&gt;"!!!"),"NEW","")))</f>
        <v> </v>
      </c>
      <c r="G6193" s="24" t="str">
        <f>IF(OR(E6193="",E6193="!!!"),"",IF(OR(J6193=0,AND(J6193=1,K6193=1),AND(J6193=1,I6193="SBJ"),AND(J6193=1,I6193=0)),"?IN_FOCUS",IF(J6193&lt;=2,"?ACTIVATED",IF(J6193&lt;&gt;"","?FAMILIAR",IF(F6193="NEW",IF(ISNA(VLOOKUP(E6193,#REF!,1,FALSE())),"?TYPE_IDENTIFIABLE","?REFERENTIAL"),"_")))))</f>
        <v> </v>
      </c>
      <c r="H6193" s="25" t="str">
        <f>IF(J6193&lt;&gt;1,"",IF(I6193="SBJ","CB","?"))</f>
        <v> </v>
      </c>
      <c r="I6193" s="26" t="str">
        <f>IF(OR(E6193="",E6193="!!!",F6193="NEW"),"",INDEX(B6192:B$2,-1+SUMPRODUCT(MAX(ROW(E6192:E$2)*(E6193=E6192:E$2)))))</f>
        <v> </v>
      </c>
      <c r="J6193" s="26" t="str">
        <f>IF(OR(E6193="",E6193="!!!",F6193="NEW"),"",COUNTBLANK(OFFSET(A$1,,,SUMPRODUCT(MAX(ROW(E$2:E6193)*(E6193=E$2:E6193)))))-COUNTBLANK(OFFSET(A$1,,,SUMPRODUCT(MAX(ROW(E$1:E6192)*(E2=E$1:E6192))))))</f>
        <v> </v>
      </c>
      <c r="K6193" s="26" t="str">
        <f>IF(OR(E6193="",E6193="!!!",F6193="NEW"),"",INDEX(J$1:J6192,SUMPRODUCT(MAX(ROW(E$1:E6192)*(E6193=E$1:E6192)))))</f>
        <v> </v>
      </c>
      <c r="L6193" s="27"/>
    </row>
    <row r="6194" spans="1:12">
      <c r="A6194" s="20" t="s">
        <v>1015</v>
      </c>
      <c r="B6194" s="21" t="s">
        <v>1035</v>
      </c>
      <c r="C6194" s="21" t="s">
        <v>1082</v>
      </c>
      <c r="D6194" s="21" t="s">
        <v>1007</v>
      </c>
      <c r="E6194" s="22">
        <f>IF(D6194="?OLD","!!!","")</f>
        <v/>
      </c>
      <c r="F6194" s="23" t="str">
        <f>IF(OR(E6194="",E6194="!!!"),"",IF(NOT(ISNA(VLOOKUP(E6194,E$1:E6193,1,FALSE()))),"OLD",IF(AND(E6194&lt;&gt;"",E6194&lt;&gt;"!!!"),"NEW","")))</f>
        <v> </v>
      </c>
      <c r="G6194" s="24" t="str">
        <f>IF(OR(E6194="",E6194="!!!"),"",IF(OR(J6194=0,AND(J6194=1,K6194=1),AND(J6194=1,I6194="SBJ"),AND(J6194=1,I6194=0)),"?IN_FOCUS",IF(J6194&lt;=2,"?ACTIVATED",IF(J6194&lt;&gt;"","?FAMILIAR",IF(F6194="NEW",IF(ISNA(VLOOKUP(E6194,#REF!,1,FALSE())),"?TYPE_IDENTIFIABLE","?REFERENTIAL"),"_")))))</f>
        <v> </v>
      </c>
      <c r="H6194" s="25" t="str">
        <f>IF(J6194&lt;&gt;1,"",IF(I6194="SBJ","CB","?"))</f>
        <v> </v>
      </c>
      <c r="I6194" s="26" t="str">
        <f>IF(OR(E6194="",E6194="!!!",F6194="NEW"),"",INDEX(B6193:B$2,-1+SUMPRODUCT(MAX(ROW(E6193:E$2)*(E6194=E6193:E$2)))))</f>
        <v> </v>
      </c>
      <c r="J6194" s="26" t="str">
        <f>IF(OR(E6194="",E6194="!!!",F6194="NEW"),"",COUNTBLANK(OFFSET(A$1,,,SUMPRODUCT(MAX(ROW(E$2:E6194)*(E6194=E$2:E6194)))))-COUNTBLANK(OFFSET(A$1,,,SUMPRODUCT(MAX(ROW(E$1:E6193)*(E2=E$1:E6193))))))</f>
        <v> </v>
      </c>
      <c r="K6194" s="26" t="str">
        <f>IF(OR(E6194="",E6194="!!!",F6194="NEW"),"",INDEX(J$1:J6193,SUMPRODUCT(MAX(ROW(E$1:E6193)*(E6194=E$1:E6193)))))</f>
        <v> </v>
      </c>
      <c r="L6194" s="27"/>
    </row>
    <row r="6195" spans="1:12">
      <c r="A6195" s="20" t="s">
        <v>2629</v>
      </c>
      <c r="E6195" s="22">
        <f>IF(D6195="?OLD","!!!","")</f>
        <v/>
      </c>
      <c r="F6195" s="23" t="str">
        <f>IF(OR(E6195="",E6195="!!!"),"",IF(NOT(ISNA(VLOOKUP(E6195,E$1:E6194,1,FALSE()))),"OLD",IF(AND(E6195&lt;&gt;"",E6195&lt;&gt;"!!!"),"NEW","")))</f>
        <v> </v>
      </c>
      <c r="G6195" s="24" t="str">
        <f>IF(OR(E6195="",E6195="!!!"),"",IF(OR(J6195=0,AND(J6195=1,K6195=1),AND(J6195=1,I6195="SBJ"),AND(J6195=1,I6195=0)),"?IN_FOCUS",IF(J6195&lt;=2,"?ACTIVATED",IF(J6195&lt;&gt;"","?FAMILIAR",IF(F6195="NEW",IF(ISNA(VLOOKUP(E6195,#REF!,1,FALSE())),"?TYPE_IDENTIFIABLE","?REFERENTIAL"),"_")))))</f>
        <v> </v>
      </c>
      <c r="H6195" s="25" t="str">
        <f>IF(J6195&lt;&gt;1,"",IF(I6195="SBJ","CB","?"))</f>
        <v> </v>
      </c>
      <c r="I6195" s="26" t="str">
        <f>IF(OR(E6195="",E6195="!!!",F6195="NEW"),"",INDEX(B6194:B$2,-1+SUMPRODUCT(MAX(ROW(E6194:E$2)*(E6195=E6194:E$2)))))</f>
        <v> </v>
      </c>
      <c r="J6195" s="26" t="str">
        <f>IF(OR(E6195="",E6195="!!!",F6195="NEW"),"",COUNTBLANK(OFFSET(A$1,,,SUMPRODUCT(MAX(ROW(E$2:E6195)*(E6195=E$2:E6195)))))-COUNTBLANK(OFFSET(A$1,,,SUMPRODUCT(MAX(ROW(E$1:E6194)*(E2=E$1:E6194))))))</f>
        <v> </v>
      </c>
      <c r="K6195" s="26" t="str">
        <f>IF(OR(E6195="",E6195="!!!",F6195="NEW"),"",INDEX(J$1:J6194,SUMPRODUCT(MAX(ROW(E$1:E6194)*(E6195=E$1:E6194)))))</f>
        <v> </v>
      </c>
      <c r="L6195" s="27"/>
    </row>
    <row r="6196" spans="1:12">
      <c r="A6196" s="20" t="s">
        <v>1978</v>
      </c>
      <c r="E6196" s="22">
        <f>IF(D6196="?OLD","!!!","")</f>
        <v/>
      </c>
      <c r="F6196" s="23" t="str">
        <f>IF(OR(E6196="",E6196="!!!"),"",IF(NOT(ISNA(VLOOKUP(E6196,E$1:E6195,1,FALSE()))),"OLD",IF(AND(E6196&lt;&gt;"",E6196&lt;&gt;"!!!"),"NEW","")))</f>
        <v> </v>
      </c>
      <c r="G6196" s="24" t="str">
        <f>IF(OR(E6196="",E6196="!!!"),"",IF(OR(J6196=0,AND(J6196=1,K6196=1),AND(J6196=1,I6196="SBJ"),AND(J6196=1,I6196=0)),"?IN_FOCUS",IF(J6196&lt;=2,"?ACTIVATED",IF(J6196&lt;&gt;"","?FAMILIAR",IF(F6196="NEW",IF(ISNA(VLOOKUP(E6196,#REF!,1,FALSE())),"?TYPE_IDENTIFIABLE","?REFERENTIAL"),"_")))))</f>
        <v> </v>
      </c>
      <c r="H6196" s="25" t="str">
        <f>IF(J6196&lt;&gt;1,"",IF(I6196="SBJ","CB","?"))</f>
        <v> </v>
      </c>
      <c r="I6196" s="26" t="str">
        <f>IF(OR(E6196="",E6196="!!!",F6196="NEW"),"",INDEX(B6195:B$2,-1+SUMPRODUCT(MAX(ROW(E6195:E$2)*(E6196=E6195:E$2)))))</f>
        <v> </v>
      </c>
      <c r="J6196" s="26" t="str">
        <f>IF(OR(E6196="",E6196="!!!",F6196="NEW"),"",COUNTBLANK(OFFSET(A$1,,,SUMPRODUCT(MAX(ROW(E$2:E6196)*(E6196=E$2:E6196)))))-COUNTBLANK(OFFSET(A$1,,,SUMPRODUCT(MAX(ROW(E$1:E6195)*(E2=E$1:E6195))))))</f>
        <v> </v>
      </c>
      <c r="K6196" s="26" t="str">
        <f>IF(OR(E6196="",E6196="!!!",F6196="NEW"),"",INDEX(J$1:J6195,SUMPRODUCT(MAX(ROW(E$1:E6195)*(E6196=E$1:E6195)))))</f>
        <v> </v>
      </c>
      <c r="L6196" s="27"/>
    </row>
    <row r="6197" spans="1:12">
      <c r="A6197" s="20" t="s">
        <v>1182</v>
      </c>
      <c r="E6197" s="22">
        <f>IF(D6197="?OLD","!!!","")</f>
        <v/>
      </c>
      <c r="F6197" s="23" t="str">
        <f>IF(OR(E6197="",E6197="!!!"),"",IF(NOT(ISNA(VLOOKUP(E6197,E$1:E6196,1,FALSE()))),"OLD",IF(AND(E6197&lt;&gt;"",E6197&lt;&gt;"!!!"),"NEW","")))</f>
        <v> </v>
      </c>
      <c r="G6197" s="24" t="str">
        <f>IF(OR(E6197="",E6197="!!!"),"",IF(OR(J6197=0,AND(J6197=1,K6197=1),AND(J6197=1,I6197="SBJ"),AND(J6197=1,I6197=0)),"?IN_FOCUS",IF(J6197&lt;=2,"?ACTIVATED",IF(J6197&lt;&gt;"","?FAMILIAR",IF(F6197="NEW",IF(ISNA(VLOOKUP(E6197,#REF!,1,FALSE())),"?TYPE_IDENTIFIABLE","?REFERENTIAL"),"_")))))</f>
        <v> </v>
      </c>
      <c r="H6197" s="25" t="str">
        <f>IF(J6197&lt;&gt;1,"",IF(I6197="SBJ","CB","?"))</f>
        <v> </v>
      </c>
      <c r="I6197" s="26" t="str">
        <f>IF(OR(E6197="",E6197="!!!",F6197="NEW"),"",INDEX(B6196:B$2,-1+SUMPRODUCT(MAX(ROW(E6196:E$2)*(E6197=E6196:E$2)))))</f>
        <v> </v>
      </c>
      <c r="J6197" s="26" t="str">
        <f>IF(OR(E6197="",E6197="!!!",F6197="NEW"),"",COUNTBLANK(OFFSET(A$1,,,SUMPRODUCT(MAX(ROW(E$2:E6197)*(E6197=E$2:E6197)))))-COUNTBLANK(OFFSET(A$1,,,SUMPRODUCT(MAX(ROW(E$1:E6196)*(E2=E$1:E6196))))))</f>
        <v> </v>
      </c>
      <c r="K6197" s="26" t="str">
        <f>IF(OR(E6197="",E6197="!!!",F6197="NEW"),"",INDEX(J$1:J6196,SUMPRODUCT(MAX(ROW(E$1:E6196)*(E6197=E$1:E6196)))))</f>
        <v> </v>
      </c>
      <c r="L6197" s="27"/>
    </row>
    <row r="6198" spans="1:12">
      <c r="A6198" s="20" t="s">
        <v>1122</v>
      </c>
      <c r="E6198" s="22">
        <f>IF(D6198="?OLD","!!!","")</f>
        <v/>
      </c>
      <c r="F6198" s="23" t="str">
        <f>IF(OR(E6198="",E6198="!!!"),"",IF(NOT(ISNA(VLOOKUP(E6198,E$1:E6197,1,FALSE()))),"OLD",IF(AND(E6198&lt;&gt;"",E6198&lt;&gt;"!!!"),"NEW","")))</f>
        <v> </v>
      </c>
      <c r="G6198" s="24" t="str">
        <f>IF(OR(E6198="",E6198="!!!"),"",IF(OR(J6198=0,AND(J6198=1,K6198=1),AND(J6198=1,I6198="SBJ"),AND(J6198=1,I6198=0)),"?IN_FOCUS",IF(J6198&lt;=2,"?ACTIVATED",IF(J6198&lt;&gt;"","?FAMILIAR",IF(F6198="NEW",IF(ISNA(VLOOKUP(E6198,#REF!,1,FALSE())),"?TYPE_IDENTIFIABLE","?REFERENTIAL"),"_")))))</f>
        <v> </v>
      </c>
      <c r="H6198" s="25" t="str">
        <f>IF(J6198&lt;&gt;1,"",IF(I6198="SBJ","CB","?"))</f>
        <v> </v>
      </c>
      <c r="I6198" s="26" t="str">
        <f>IF(OR(E6198="",E6198="!!!",F6198="NEW"),"",INDEX(B6197:B$2,-1+SUMPRODUCT(MAX(ROW(E6197:E$2)*(E6198=E6197:E$2)))))</f>
        <v> </v>
      </c>
      <c r="J6198" s="26" t="str">
        <f>IF(OR(E6198="",E6198="!!!",F6198="NEW"),"",COUNTBLANK(OFFSET(A$1,,,SUMPRODUCT(MAX(ROW(E$2:E6198)*(E6198=E$2:E6198)))))-COUNTBLANK(OFFSET(A$1,,,SUMPRODUCT(MAX(ROW(E$1:E6197)*(E2=E$1:E6197))))))</f>
        <v> </v>
      </c>
      <c r="K6198" s="26" t="str">
        <f>IF(OR(E6198="",E6198="!!!",F6198="NEW"),"",INDEX(J$1:J6197,SUMPRODUCT(MAX(ROW(E$1:E6197)*(E6198=E$1:E6197)))))</f>
        <v> </v>
      </c>
      <c r="L6198" s="27"/>
    </row>
    <row r="6199" spans="1:12">
      <c r="A6199" s="20" t="s">
        <v>2630</v>
      </c>
      <c r="B6199" s="21" t="s">
        <v>1035</v>
      </c>
      <c r="C6199" s="21" t="s">
        <v>1041</v>
      </c>
      <c r="D6199" s="21" t="s">
        <v>1007</v>
      </c>
      <c r="E6199" s="22">
        <f>IF(D6199="?OLD","!!!","")</f>
        <v/>
      </c>
      <c r="F6199" s="23" t="str">
        <f>IF(OR(E6199="",E6199="!!!"),"",IF(NOT(ISNA(VLOOKUP(E6199,E$1:E6198,1,FALSE()))),"OLD",IF(AND(E6199&lt;&gt;"",E6199&lt;&gt;"!!!"),"NEW","")))</f>
        <v> </v>
      </c>
      <c r="G6199" s="24" t="str">
        <f>IF(OR(E6199="",E6199="!!!"),"",IF(OR(J6199=0,AND(J6199=1,K6199=1),AND(J6199=1,I6199="SBJ"),AND(J6199=1,I6199=0)),"?IN_FOCUS",IF(J6199&lt;=2,"?ACTIVATED",IF(J6199&lt;&gt;"","?FAMILIAR",IF(F6199="NEW",IF(ISNA(VLOOKUP(E6199,#REF!,1,FALSE())),"?TYPE_IDENTIFIABLE","?REFERENTIAL"),"_")))))</f>
        <v> </v>
      </c>
      <c r="H6199" s="25" t="str">
        <f>IF(J6199&lt;&gt;1,"",IF(I6199="SBJ","CB","?"))</f>
        <v> </v>
      </c>
      <c r="I6199" s="26" t="str">
        <f>IF(OR(E6199="",E6199="!!!",F6199="NEW"),"",INDEX(B6198:B$2,-1+SUMPRODUCT(MAX(ROW(E6198:E$2)*(E6199=E6198:E$2)))))</f>
        <v> </v>
      </c>
      <c r="J6199" s="26" t="str">
        <f>IF(OR(E6199="",E6199="!!!",F6199="NEW"),"",COUNTBLANK(OFFSET(A$1,,,SUMPRODUCT(MAX(ROW(E$2:E6199)*(E6199=E$2:E6199)))))-COUNTBLANK(OFFSET(A$1,,,SUMPRODUCT(MAX(ROW(E$1:E6198)*(E2=E$1:E6198))))))</f>
        <v> </v>
      </c>
      <c r="K6199" s="26" t="str">
        <f>IF(OR(E6199="",E6199="!!!",F6199="NEW"),"",INDEX(J$1:J6198,SUMPRODUCT(MAX(ROW(E$1:E6198)*(E6199=E$1:E6198)))))</f>
        <v> </v>
      </c>
      <c r="L6199" s="27"/>
    </row>
    <row r="6200" spans="1:12">
      <c r="A6200" s="20" t="s">
        <v>1330</v>
      </c>
      <c r="E6200" s="22">
        <f>IF(D6200="?OLD","!!!","")</f>
        <v/>
      </c>
      <c r="F6200" s="23" t="str">
        <f>IF(OR(E6200="",E6200="!!!"),"",IF(NOT(ISNA(VLOOKUP(E6200,E$1:E6199,1,FALSE()))),"OLD",IF(AND(E6200&lt;&gt;"",E6200&lt;&gt;"!!!"),"NEW","")))</f>
        <v> </v>
      </c>
      <c r="G6200" s="24" t="str">
        <f>IF(OR(E6200="",E6200="!!!"),"",IF(OR(J6200=0,AND(J6200=1,K6200=1),AND(J6200=1,I6200="SBJ"),AND(J6200=1,I6200=0)),"?IN_FOCUS",IF(J6200&lt;=2,"?ACTIVATED",IF(J6200&lt;&gt;"","?FAMILIAR",IF(F6200="NEW",IF(ISNA(VLOOKUP(E6200,#REF!,1,FALSE())),"?TYPE_IDENTIFIABLE","?REFERENTIAL"),"_")))))</f>
        <v> </v>
      </c>
      <c r="H6200" s="25" t="str">
        <f>IF(J6200&lt;&gt;1,"",IF(I6200="SBJ","CB","?"))</f>
        <v> </v>
      </c>
      <c r="I6200" s="26" t="str">
        <f>IF(OR(E6200="",E6200="!!!",F6200="NEW"),"",INDEX(B6199:B$2,-1+SUMPRODUCT(MAX(ROW(E6199:E$2)*(E6200=E6199:E$2)))))</f>
        <v> </v>
      </c>
      <c r="J6200" s="26" t="str">
        <f>IF(OR(E6200="",E6200="!!!",F6200="NEW"),"",COUNTBLANK(OFFSET(A$1,,,SUMPRODUCT(MAX(ROW(E$2:E6200)*(E6200=E$2:E6200)))))-COUNTBLANK(OFFSET(A$1,,,SUMPRODUCT(MAX(ROW(E$1:E6199)*(E2=E$1:E6199))))))</f>
        <v> </v>
      </c>
      <c r="K6200" s="26" t="str">
        <f>IF(OR(E6200="",E6200="!!!",F6200="NEW"),"",INDEX(J$1:J6199,SUMPRODUCT(MAX(ROW(E$1:E6199)*(E6200=E$1:E6199)))))</f>
        <v> </v>
      </c>
      <c r="L6200" s="27"/>
    </row>
    <row r="6201" spans="1:12">
      <c r="A6201" s="20" t="s">
        <v>2054</v>
      </c>
      <c r="E6201" s="22">
        <f>IF(D6201="?OLD","!!!","")</f>
        <v/>
      </c>
      <c r="F6201" s="23" t="str">
        <f>IF(OR(E6201="",E6201="!!!"),"",IF(NOT(ISNA(VLOOKUP(E6201,E$1:E6200,1,FALSE()))),"OLD",IF(AND(E6201&lt;&gt;"",E6201&lt;&gt;"!!!"),"NEW","")))</f>
        <v> </v>
      </c>
      <c r="G6201" s="24" t="str">
        <f>IF(OR(E6201="",E6201="!!!"),"",IF(OR(J6201=0,AND(J6201=1,K6201=1),AND(J6201=1,I6201="SBJ"),AND(J6201=1,I6201=0)),"?IN_FOCUS",IF(J6201&lt;=2,"?ACTIVATED",IF(J6201&lt;&gt;"","?FAMILIAR",IF(F6201="NEW",IF(ISNA(VLOOKUP(E6201,#REF!,1,FALSE())),"?TYPE_IDENTIFIABLE","?REFERENTIAL"),"_")))))</f>
        <v> </v>
      </c>
      <c r="H6201" s="25" t="str">
        <f>IF(J6201&lt;&gt;1,"",IF(I6201="SBJ","CB","?"))</f>
        <v> </v>
      </c>
      <c r="I6201" s="26" t="str">
        <f>IF(OR(E6201="",E6201="!!!",F6201="NEW"),"",INDEX(B6200:B$2,-1+SUMPRODUCT(MAX(ROW(E6200:E$2)*(E6201=E6200:E$2)))))</f>
        <v> </v>
      </c>
      <c r="J6201" s="26" t="str">
        <f>IF(OR(E6201="",E6201="!!!",F6201="NEW"),"",COUNTBLANK(OFFSET(A$1,,,SUMPRODUCT(MAX(ROW(E$2:E6201)*(E6201=E$2:E6201)))))-COUNTBLANK(OFFSET(A$1,,,SUMPRODUCT(MAX(ROW(E$1:E6200)*(E2=E$1:E6200))))))</f>
        <v> </v>
      </c>
      <c r="K6201" s="26" t="str">
        <f>IF(OR(E6201="",E6201="!!!",F6201="NEW"),"",INDEX(J$1:J6200,SUMPRODUCT(MAX(ROW(E$1:E6200)*(E6201=E$1:E6200)))))</f>
        <v> </v>
      </c>
      <c r="L6201" s="27"/>
    </row>
    <row r="6202" spans="1:12">
      <c r="A6202" s="20" t="s">
        <v>1203</v>
      </c>
      <c r="E6202" s="22">
        <f>IF(D6202="?OLD","!!!","")</f>
        <v/>
      </c>
      <c r="F6202" s="23" t="str">
        <f>IF(OR(E6202="",E6202="!!!"),"",IF(NOT(ISNA(VLOOKUP(E6202,E$1:E6201,1,FALSE()))),"OLD",IF(AND(E6202&lt;&gt;"",E6202&lt;&gt;"!!!"),"NEW","")))</f>
        <v> </v>
      </c>
      <c r="G6202" s="24" t="str">
        <f>IF(OR(E6202="",E6202="!!!"),"",IF(OR(J6202=0,AND(J6202=1,K6202=1),AND(J6202=1,I6202="SBJ"),AND(J6202=1,I6202=0)),"?IN_FOCUS",IF(J6202&lt;=2,"?ACTIVATED",IF(J6202&lt;&gt;"","?FAMILIAR",IF(F6202="NEW",IF(ISNA(VLOOKUP(E6202,#REF!,1,FALSE())),"?TYPE_IDENTIFIABLE","?REFERENTIAL"),"_")))))</f>
        <v> </v>
      </c>
      <c r="H6202" s="25" t="str">
        <f>IF(J6202&lt;&gt;1,"",IF(I6202="SBJ","CB","?"))</f>
        <v> </v>
      </c>
      <c r="I6202" s="26" t="str">
        <f>IF(OR(E6202="",E6202="!!!",F6202="NEW"),"",INDEX(B6201:B$2,-1+SUMPRODUCT(MAX(ROW(E6201:E$2)*(E6202=E6201:E$2)))))</f>
        <v> </v>
      </c>
      <c r="J6202" s="26" t="str">
        <f>IF(OR(E6202="",E6202="!!!",F6202="NEW"),"",COUNTBLANK(OFFSET(A$1,,,SUMPRODUCT(MAX(ROW(E$2:E6202)*(E6202=E$2:E6202)))))-COUNTBLANK(OFFSET(A$1,,,SUMPRODUCT(MAX(ROW(E$1:E6201)*(E2=E$1:E6201))))))</f>
        <v> </v>
      </c>
      <c r="K6202" s="26" t="str">
        <f>IF(OR(E6202="",E6202="!!!",F6202="NEW"),"",INDEX(J$1:J6201,SUMPRODUCT(MAX(ROW(E$1:E6201)*(E6202=E$1:E6201)))))</f>
        <v> </v>
      </c>
      <c r="L6202" s="27"/>
    </row>
    <row r="6203" spans="1:12">
      <c r="A6203" s="20" t="s">
        <v>2631</v>
      </c>
      <c r="B6203" s="21" t="s">
        <v>1134</v>
      </c>
      <c r="C6203" s="21" t="s">
        <v>1048</v>
      </c>
      <c r="E6203" s="22">
        <f>IF(D6203="?OLD","!!!","")</f>
        <v/>
      </c>
      <c r="F6203" s="23" t="str">
        <f>IF(OR(E6203="",E6203="!!!"),"",IF(NOT(ISNA(VLOOKUP(E6203,E$1:E6202,1,FALSE()))),"OLD",IF(AND(E6203&lt;&gt;"",E6203&lt;&gt;"!!!"),"NEW","")))</f>
        <v> </v>
      </c>
      <c r="G6203" s="24" t="str">
        <f>IF(OR(E6203="",E6203="!!!"),"",IF(OR(J6203=0,AND(J6203=1,K6203=1),AND(J6203=1,I6203="SBJ"),AND(J6203=1,I6203=0)),"?IN_FOCUS",IF(J6203&lt;=2,"?ACTIVATED",IF(J6203&lt;&gt;"","?FAMILIAR",IF(F6203="NEW",IF(ISNA(VLOOKUP(E6203,#REF!,1,FALSE())),"?TYPE_IDENTIFIABLE","?REFERENTIAL"),"_")))))</f>
        <v> </v>
      </c>
      <c r="H6203" s="25" t="str">
        <f>IF(J6203&lt;&gt;1,"",IF(I6203="SBJ","CB","?"))</f>
        <v> </v>
      </c>
      <c r="I6203" s="26" t="str">
        <f>IF(OR(E6203="",E6203="!!!",F6203="NEW"),"",INDEX(B6202:B$2,-1+SUMPRODUCT(MAX(ROW(E6202:E$2)*(E6203=E6202:E$2)))))</f>
        <v> </v>
      </c>
      <c r="J6203" s="26" t="str">
        <f>IF(OR(E6203="",E6203="!!!",F6203="NEW"),"",COUNTBLANK(OFFSET(A$1,,,SUMPRODUCT(MAX(ROW(E$2:E6203)*(E6203=E$2:E6203)))))-COUNTBLANK(OFFSET(A$1,,,SUMPRODUCT(MAX(ROW(E$1:E6202)*(E2=E$1:E6202))))))</f>
        <v> </v>
      </c>
      <c r="K6203" s="26" t="str">
        <f>IF(OR(E6203="",E6203="!!!",F6203="NEW"),"",INDEX(J$1:J6202,SUMPRODUCT(MAX(ROW(E$1:E6202)*(E6203=E$1:E6202)))))</f>
        <v> </v>
      </c>
      <c r="L6203" s="27"/>
    </row>
    <row r="6204" spans="1:12">
      <c r="A6204" s="20" t="s">
        <v>1018</v>
      </c>
      <c r="E6204" s="22">
        <f>IF(D6204="?OLD","!!!","")</f>
        <v/>
      </c>
      <c r="F6204" s="23" t="str">
        <f>IF(OR(E6204="",E6204="!!!"),"",IF(NOT(ISNA(VLOOKUP(E6204,E$1:E6203,1,FALSE()))),"OLD",IF(AND(E6204&lt;&gt;"",E6204&lt;&gt;"!!!"),"NEW","")))</f>
        <v> </v>
      </c>
      <c r="G6204" s="24" t="str">
        <f>IF(OR(E6204="",E6204="!!!"),"",IF(OR(J6204=0,AND(J6204=1,K6204=1),AND(J6204=1,I6204="SBJ"),AND(J6204=1,I6204=0)),"?IN_FOCUS",IF(J6204&lt;=2,"?ACTIVATED",IF(J6204&lt;&gt;"","?FAMILIAR",IF(F6204="NEW",IF(ISNA(VLOOKUP(E6204,#REF!,1,FALSE())),"?TYPE_IDENTIFIABLE","?REFERENTIAL"),"_")))))</f>
        <v> </v>
      </c>
      <c r="H6204" s="25" t="str">
        <f>IF(J6204&lt;&gt;1,"",IF(I6204="SBJ","CB","?"))</f>
        <v> </v>
      </c>
      <c r="I6204" s="26" t="str">
        <f>IF(OR(E6204="",E6204="!!!",F6204="NEW"),"",INDEX(B6203:B$2,-1+SUMPRODUCT(MAX(ROW(E6203:E$2)*(E6204=E6203:E$2)))))</f>
        <v> </v>
      </c>
      <c r="J6204" s="26" t="str">
        <f>IF(OR(E6204="",E6204="!!!",F6204="NEW"),"",COUNTBLANK(OFFSET(A$1,,,SUMPRODUCT(MAX(ROW(E$2:E6204)*(E6204=E$2:E6204)))))-COUNTBLANK(OFFSET(A$1,,,SUMPRODUCT(MAX(ROW(E$1:E6203)*(E2=E$1:E6203))))))</f>
        <v> </v>
      </c>
      <c r="K6204" s="26" t="str">
        <f>IF(OR(E6204="",E6204="!!!",F6204="NEW"),"",INDEX(J$1:J6203,SUMPRODUCT(MAX(ROW(E$1:E6203)*(E6204=E$1:E6203)))))</f>
        <v> </v>
      </c>
      <c r="L6204" s="27"/>
    </row>
    <row r="6205" spans="1:12">
      <c r="A6205" s="20" t="s">
        <v>1299</v>
      </c>
      <c r="E6205" s="22">
        <f>IF(D6205="?OLD","!!!","")</f>
        <v/>
      </c>
      <c r="F6205" s="23" t="str">
        <f>IF(OR(E6205="",E6205="!!!"),"",IF(NOT(ISNA(VLOOKUP(E6205,E$1:E6204,1,FALSE()))),"OLD",IF(AND(E6205&lt;&gt;"",E6205&lt;&gt;"!!!"),"NEW","")))</f>
        <v> </v>
      </c>
      <c r="G6205" s="24" t="str">
        <f>IF(OR(E6205="",E6205="!!!"),"",IF(OR(J6205=0,AND(J6205=1,K6205=1),AND(J6205=1,I6205="SBJ"),AND(J6205=1,I6205=0)),"?IN_FOCUS",IF(J6205&lt;=2,"?ACTIVATED",IF(J6205&lt;&gt;"","?FAMILIAR",IF(F6205="NEW",IF(ISNA(VLOOKUP(E6205,#REF!,1,FALSE())),"?TYPE_IDENTIFIABLE","?REFERENTIAL"),"_")))))</f>
        <v> </v>
      </c>
      <c r="H6205" s="25" t="str">
        <f>IF(J6205&lt;&gt;1,"",IF(I6205="SBJ","CB","?"))</f>
        <v> </v>
      </c>
      <c r="I6205" s="26" t="str">
        <f>IF(OR(E6205="",E6205="!!!",F6205="NEW"),"",INDEX(B6204:B$2,-1+SUMPRODUCT(MAX(ROW(E6204:E$2)*(E6205=E6204:E$2)))))</f>
        <v> </v>
      </c>
      <c r="J6205" s="26" t="str">
        <f>IF(OR(E6205="",E6205="!!!",F6205="NEW"),"",COUNTBLANK(OFFSET(A$1,,,SUMPRODUCT(MAX(ROW(E$2:E6205)*(E6205=E$2:E6205)))))-COUNTBLANK(OFFSET(A$1,,,SUMPRODUCT(MAX(ROW(E$1:E6204)*(E2=E$1:E6204))))))</f>
        <v> </v>
      </c>
      <c r="K6205" s="26" t="str">
        <f>IF(OR(E6205="",E6205="!!!",F6205="NEW"),"",INDEX(J$1:J6204,SUMPRODUCT(MAX(ROW(E$1:E6204)*(E6205=E$1:E6204)))))</f>
        <v> </v>
      </c>
      <c r="L6205" s="27"/>
    </row>
    <row r="6206" spans="1:12">
      <c r="A6206" s="20" t="s">
        <v>102</v>
      </c>
      <c r="E6206" s="22">
        <f>IF(D6206="?OLD","!!!","")</f>
        <v/>
      </c>
      <c r="F6206" s="23" t="str">
        <f>IF(OR(E6206="",E6206="!!!"),"",IF(NOT(ISNA(VLOOKUP(E6206,E$1:E6205,1,FALSE()))),"OLD",IF(AND(E6206&lt;&gt;"",E6206&lt;&gt;"!!!"),"NEW","")))</f>
        <v> </v>
      </c>
      <c r="G6206" s="24" t="str">
        <f>IF(OR(E6206="",E6206="!!!"),"",IF(OR(J6206=0,AND(J6206=1,K6206=1),AND(J6206=1,I6206="SBJ"),AND(J6206=1,I6206=0)),"?IN_FOCUS",IF(J6206&lt;=2,"?ACTIVATED",IF(J6206&lt;&gt;"","?FAMILIAR",IF(F6206="NEW",IF(ISNA(VLOOKUP(E6206,#REF!,1,FALSE())),"?TYPE_IDENTIFIABLE","?REFERENTIAL"),"_")))))</f>
        <v> </v>
      </c>
      <c r="H6206" s="25" t="str">
        <f>IF(J6206&lt;&gt;1,"",IF(I6206="SBJ","CB","?"))</f>
        <v> </v>
      </c>
      <c r="I6206" s="26" t="str">
        <f>IF(OR(E6206="",E6206="!!!",F6206="NEW"),"",INDEX(B6205:B$2,-1+SUMPRODUCT(MAX(ROW(E6205:E$2)*(E6206=E6205:E$2)))))</f>
        <v> </v>
      </c>
      <c r="J6206" s="26" t="str">
        <f>IF(OR(E6206="",E6206="!!!",F6206="NEW"),"",COUNTBLANK(OFFSET(A$1,,,SUMPRODUCT(MAX(ROW(E$2:E6206)*(E6206=E$2:E6206)))))-COUNTBLANK(OFFSET(A$1,,,SUMPRODUCT(MAX(ROW(E$1:E6205)*(E2=E$1:E6205))))))</f>
        <v> </v>
      </c>
      <c r="K6206" s="26" t="str">
        <f>IF(OR(E6206="",E6206="!!!",F6206="NEW"),"",INDEX(J$1:J6205,SUMPRODUCT(MAX(ROW(E$1:E6205)*(E6206=E$1:E6205)))))</f>
        <v> </v>
      </c>
      <c r="L6206" s="27"/>
    </row>
    <row r="6207" spans="1:12">
      <c r="A6207" s="20" t="s">
        <v>70</v>
      </c>
      <c r="B6207" s="21" t="s">
        <v>1119</v>
      </c>
      <c r="C6207" s="21" t="s">
        <v>1013</v>
      </c>
      <c r="D6207" s="21" t="s">
        <v>1007</v>
      </c>
      <c r="E6207" s="22">
        <f>IF(D6207="?OLD","!!!","")</f>
        <v/>
      </c>
      <c r="F6207" s="23" t="str">
        <f>IF(OR(E6207="",E6207="!!!"),"",IF(NOT(ISNA(VLOOKUP(E6207,E$1:E6206,1,FALSE()))),"OLD",IF(AND(E6207&lt;&gt;"",E6207&lt;&gt;"!!!"),"NEW","")))</f>
        <v> </v>
      </c>
      <c r="G6207" s="24" t="str">
        <f>IF(OR(E6207="",E6207="!!!"),"",IF(OR(J6207=0,AND(J6207=1,K6207=1),AND(J6207=1,I6207="SBJ"),AND(J6207=1,I6207=0)),"?IN_FOCUS",IF(J6207&lt;=2,"?ACTIVATED",IF(J6207&lt;&gt;"","?FAMILIAR",IF(F6207="NEW",IF(ISNA(VLOOKUP(E6207,#REF!,1,FALSE())),"?TYPE_IDENTIFIABLE","?REFERENTIAL"),"_")))))</f>
        <v> </v>
      </c>
      <c r="H6207" s="25" t="str">
        <f>IF(J6207&lt;&gt;1,"",IF(I6207="SBJ","CB","?"))</f>
        <v> </v>
      </c>
      <c r="I6207" s="26" t="str">
        <f>IF(OR(E6207="",E6207="!!!",F6207="NEW"),"",INDEX(B6206:B$2,-1+SUMPRODUCT(MAX(ROW(E6206:E$2)*(E6207=E6206:E$2)))))</f>
        <v> </v>
      </c>
      <c r="J6207" s="26" t="str">
        <f>IF(OR(E6207="",E6207="!!!",F6207="NEW"),"",COUNTBLANK(OFFSET(A$1,,,SUMPRODUCT(MAX(ROW(E$2:E6207)*(E6207=E$2:E6207)))))-COUNTBLANK(OFFSET(A$1,,,SUMPRODUCT(MAX(ROW(E$1:E6206)*(E2=E$1:E6206))))))</f>
        <v> </v>
      </c>
      <c r="K6207" s="26" t="str">
        <f>IF(OR(E6207="",E6207="!!!",F6207="NEW"),"",INDEX(J$1:J6206,SUMPRODUCT(MAX(ROW(E$1:E6206)*(E6207=E$1:E6206)))))</f>
        <v> </v>
      </c>
      <c r="L6207" s="27"/>
    </row>
    <row r="6208" spans="1:12">
      <c r="A6208" s="20" t="s">
        <v>1014</v>
      </c>
      <c r="E6208" s="22">
        <f>IF(D6208="?OLD","!!!","")</f>
        <v/>
      </c>
      <c r="F6208" s="23" t="str">
        <f>IF(OR(E6208="",E6208="!!!"),"",IF(NOT(ISNA(VLOOKUP(E6208,E$1:E6207,1,FALSE()))),"OLD",IF(AND(E6208&lt;&gt;"",E6208&lt;&gt;"!!!"),"NEW","")))</f>
        <v> </v>
      </c>
      <c r="G6208" s="24" t="str">
        <f>IF(OR(E6208="",E6208="!!!"),"",IF(OR(J6208=0,AND(J6208=1,K6208=1),AND(J6208=1,I6208="SBJ"),AND(J6208=1,I6208=0)),"?IN_FOCUS",IF(J6208&lt;=2,"?ACTIVATED",IF(J6208&lt;&gt;"","?FAMILIAR",IF(F6208="NEW",IF(ISNA(VLOOKUP(E6208,#REF!,1,FALSE())),"?TYPE_IDENTIFIABLE","?REFERENTIAL"),"_")))))</f>
        <v> </v>
      </c>
      <c r="H6208" s="25" t="str">
        <f>IF(J6208&lt;&gt;1,"",IF(I6208="SBJ","CB","?"))</f>
        <v> </v>
      </c>
      <c r="I6208" s="26" t="str">
        <f>IF(OR(E6208="",E6208="!!!",F6208="NEW"),"",INDEX(B6207:B$2,-1+SUMPRODUCT(MAX(ROW(E6207:E$2)*(E6208=E6207:E$2)))))</f>
        <v> </v>
      </c>
      <c r="J6208" s="26" t="str">
        <f>IF(OR(E6208="",E6208="!!!",F6208="NEW"),"",COUNTBLANK(OFFSET(A$1,,,SUMPRODUCT(MAX(ROW(E$2:E6208)*(E6208=E$2:E6208)))))-COUNTBLANK(OFFSET(A$1,,,SUMPRODUCT(MAX(ROW(E$1:E6207)*(E2=E$1:E6207))))))</f>
        <v> </v>
      </c>
      <c r="K6208" s="26" t="str">
        <f>IF(OR(E6208="",E6208="!!!",F6208="NEW"),"",INDEX(J$1:J6207,SUMPRODUCT(MAX(ROW(E$1:E6207)*(E6208=E$1:E6207)))))</f>
        <v> </v>
      </c>
      <c r="L6208" s="27"/>
    </row>
    <row r="6209" spans="1:12">
      <c r="A6209" s="20" t="s">
        <v>1015</v>
      </c>
      <c r="E6209" s="22">
        <f>IF(D6209="?OLD","!!!","")</f>
        <v/>
      </c>
      <c r="F6209" s="23" t="str">
        <f>IF(OR(E6209="",E6209="!!!"),"",IF(NOT(ISNA(VLOOKUP(E6209,E$1:E6208,1,FALSE()))),"OLD",IF(AND(E6209&lt;&gt;"",E6209&lt;&gt;"!!!"),"NEW","")))</f>
        <v> </v>
      </c>
      <c r="G6209" s="24" t="str">
        <f>IF(OR(E6209="",E6209="!!!"),"",IF(OR(J6209=0,AND(J6209=1,K6209=1),AND(J6209=1,I6209="SBJ"),AND(J6209=1,I6209=0)),"?IN_FOCUS",IF(J6209&lt;=2,"?ACTIVATED",IF(J6209&lt;&gt;"","?FAMILIAR",IF(F6209="NEW",IF(ISNA(VLOOKUP(E6209,#REF!,1,FALSE())),"?TYPE_IDENTIFIABLE","?REFERENTIAL"),"_")))))</f>
        <v> </v>
      </c>
      <c r="H6209" s="25" t="str">
        <f>IF(J6209&lt;&gt;1,"",IF(I6209="SBJ","CB","?"))</f>
        <v> </v>
      </c>
      <c r="I6209" s="26" t="str">
        <f>IF(OR(E6209="",E6209="!!!",F6209="NEW"),"",INDEX(B6208:B$2,-1+SUMPRODUCT(MAX(ROW(E6208:E$2)*(E6209=E6208:E$2)))))</f>
        <v> </v>
      </c>
      <c r="J6209" s="26" t="str">
        <f>IF(OR(E6209="",E6209="!!!",F6209="NEW"),"",COUNTBLANK(OFFSET(A$1,,,SUMPRODUCT(MAX(ROW(E$2:E6209)*(E6209=E$2:E6209)))))-COUNTBLANK(OFFSET(A$1,,,SUMPRODUCT(MAX(ROW(E$1:E6208)*(E2=E$1:E6208))))))</f>
        <v> </v>
      </c>
      <c r="K6209" s="26" t="str">
        <f>IF(OR(E6209="",E6209="!!!",F6209="NEW"),"",INDEX(J$1:J6208,SUMPRODUCT(MAX(ROW(E$1:E6208)*(E6209=E$1:E6208)))))</f>
        <v> </v>
      </c>
      <c r="L6209" s="27"/>
    </row>
    <row r="6210" spans="1:12">
      <c r="A6210" s="20" t="s">
        <v>2632</v>
      </c>
      <c r="B6210" s="21" t="s">
        <v>1033</v>
      </c>
      <c r="C6210" s="21" t="s">
        <v>1017</v>
      </c>
      <c r="D6210" s="21" t="s">
        <v>1007</v>
      </c>
      <c r="E6210" s="22">
        <f>IF(D6210="?OLD","!!!","")</f>
        <v/>
      </c>
      <c r="F6210" s="23" t="str">
        <f>IF(OR(E6210="",E6210="!!!"),"",IF(NOT(ISNA(VLOOKUP(E6210,E$1:E6209,1,FALSE()))),"OLD",IF(AND(E6210&lt;&gt;"",E6210&lt;&gt;"!!!"),"NEW","")))</f>
        <v> </v>
      </c>
      <c r="G6210" s="24" t="str">
        <f>IF(OR(E6210="",E6210="!!!"),"",IF(OR(J6210=0,AND(J6210=1,K6210=1),AND(J6210=1,I6210="SBJ"),AND(J6210=1,I6210=0)),"?IN_FOCUS",IF(J6210&lt;=2,"?ACTIVATED",IF(J6210&lt;&gt;"","?FAMILIAR",IF(F6210="NEW",IF(ISNA(VLOOKUP(E6210,#REF!,1,FALSE())),"?TYPE_IDENTIFIABLE","?REFERENTIAL"),"_")))))</f>
        <v> </v>
      </c>
      <c r="H6210" s="25" t="str">
        <f>IF(J6210&lt;&gt;1,"",IF(I6210="SBJ","CB","?"))</f>
        <v> </v>
      </c>
      <c r="I6210" s="26" t="str">
        <f>IF(OR(E6210="",E6210="!!!",F6210="NEW"),"",INDEX(B6209:B$2,-1+SUMPRODUCT(MAX(ROW(E6209:E$2)*(E6210=E6209:E$2)))))</f>
        <v> </v>
      </c>
      <c r="J6210" s="26" t="str">
        <f>IF(OR(E6210="",E6210="!!!",F6210="NEW"),"",COUNTBLANK(OFFSET(A$1,,,SUMPRODUCT(MAX(ROW(E$2:E6210)*(E6210=E$2:E6210)))))-COUNTBLANK(OFFSET(A$1,,,SUMPRODUCT(MAX(ROW(E$1:E6209)*(E2=E$1:E6209))))))</f>
        <v> </v>
      </c>
      <c r="K6210" s="26" t="str">
        <f>IF(OR(E6210="",E6210="!!!",F6210="NEW"),"",INDEX(J$1:J6209,SUMPRODUCT(MAX(ROW(E$1:E6209)*(E6210=E$1:E6209)))))</f>
        <v> </v>
      </c>
      <c r="L6210" s="27"/>
    </row>
    <row r="6211" spans="1:12">
      <c r="A6211" s="20" t="s">
        <v>1255</v>
      </c>
      <c r="E6211" s="22">
        <f>IF(D6211="?OLD","!!!","")</f>
        <v/>
      </c>
      <c r="F6211" s="23" t="str">
        <f>IF(OR(E6211="",E6211="!!!"),"",IF(NOT(ISNA(VLOOKUP(E6211,E$1:E6210,1,FALSE()))),"OLD",IF(AND(E6211&lt;&gt;"",E6211&lt;&gt;"!!!"),"NEW","")))</f>
        <v> </v>
      </c>
      <c r="G6211" s="24" t="str">
        <f>IF(OR(E6211="",E6211="!!!"),"",IF(OR(J6211=0,AND(J6211=1,K6211=1),AND(J6211=1,I6211="SBJ"),AND(J6211=1,I6211=0)),"?IN_FOCUS",IF(J6211&lt;=2,"?ACTIVATED",IF(J6211&lt;&gt;"","?FAMILIAR",IF(F6211="NEW",IF(ISNA(VLOOKUP(E6211,#REF!,1,FALSE())),"?TYPE_IDENTIFIABLE","?REFERENTIAL"),"_")))))</f>
        <v> </v>
      </c>
      <c r="H6211" s="25" t="str">
        <f>IF(J6211&lt;&gt;1,"",IF(I6211="SBJ","CB","?"))</f>
        <v> </v>
      </c>
      <c r="I6211" s="26" t="str">
        <f>IF(OR(E6211="",E6211="!!!",F6211="NEW"),"",INDEX(B6210:B$2,-1+SUMPRODUCT(MAX(ROW(E6210:E$2)*(E6211=E6210:E$2)))))</f>
        <v> </v>
      </c>
      <c r="J6211" s="26" t="str">
        <f>IF(OR(E6211="",E6211="!!!",F6211="NEW"),"",COUNTBLANK(OFFSET(A$1,,,SUMPRODUCT(MAX(ROW(E$2:E6211)*(E6211=E$2:E6211)))))-COUNTBLANK(OFFSET(A$1,,,SUMPRODUCT(MAX(ROW(E$1:E6210)*(E2=E$1:E6210))))))</f>
        <v> </v>
      </c>
      <c r="K6211" s="26" t="str">
        <f>IF(OR(E6211="",E6211="!!!",F6211="NEW"),"",INDEX(J$1:J6210,SUMPRODUCT(MAX(ROW(E$1:E6210)*(E6211=E$1:E6210)))))</f>
        <v> </v>
      </c>
      <c r="L6211" s="27"/>
    </row>
    <row r="6212" spans="1:12">
      <c r="A6212" s="20" t="s">
        <v>1124</v>
      </c>
      <c r="E6212" s="22">
        <f>IF(D6212="?OLD","!!!","")</f>
        <v/>
      </c>
      <c r="F6212" s="23" t="str">
        <f>IF(OR(E6212="",E6212="!!!"),"",IF(NOT(ISNA(VLOOKUP(E6212,E$1:E6211,1,FALSE()))),"OLD",IF(AND(E6212&lt;&gt;"",E6212&lt;&gt;"!!!"),"NEW","")))</f>
        <v> </v>
      </c>
      <c r="G6212" s="24" t="str">
        <f>IF(OR(E6212="",E6212="!!!"),"",IF(OR(J6212=0,AND(J6212=1,K6212=1),AND(J6212=1,I6212="SBJ"),AND(J6212=1,I6212=0)),"?IN_FOCUS",IF(J6212&lt;=2,"?ACTIVATED",IF(J6212&lt;&gt;"","?FAMILIAR",IF(F6212="NEW",IF(ISNA(VLOOKUP(E6212,#REF!,1,FALSE())),"?TYPE_IDENTIFIABLE","?REFERENTIAL"),"_")))))</f>
        <v> </v>
      </c>
      <c r="H6212" s="25" t="str">
        <f>IF(J6212&lt;&gt;1,"",IF(I6212="SBJ","CB","?"))</f>
        <v> </v>
      </c>
      <c r="I6212" s="26" t="str">
        <f>IF(OR(E6212="",E6212="!!!",F6212="NEW"),"",INDEX(B6211:B$2,-1+SUMPRODUCT(MAX(ROW(E6211:E$2)*(E6212=E6211:E$2)))))</f>
        <v> </v>
      </c>
      <c r="J6212" s="26" t="str">
        <f>IF(OR(E6212="",E6212="!!!",F6212="NEW"),"",COUNTBLANK(OFFSET(A$1,,,SUMPRODUCT(MAX(ROW(E$2:E6212)*(E6212=E$2:E6212)))))-COUNTBLANK(OFFSET(A$1,,,SUMPRODUCT(MAX(ROW(E$1:E6211)*(E2=E$1:E6211))))))</f>
        <v> </v>
      </c>
      <c r="K6212" s="26" t="str">
        <f>IF(OR(E6212="",E6212="!!!",F6212="NEW"),"",INDEX(J$1:J6211,SUMPRODUCT(MAX(ROW(E$1:E6211)*(E6212=E$1:E6211)))))</f>
        <v> </v>
      </c>
      <c r="L6212" s="27"/>
    </row>
    <row r="6213" spans="1:12">
      <c r="A6213" s="20" t="s">
        <v>2633</v>
      </c>
      <c r="E6213" s="22">
        <f>IF(D6213="?OLD","!!!","")</f>
        <v/>
      </c>
      <c r="F6213" s="23" t="str">
        <f>IF(OR(E6213="",E6213="!!!"),"",IF(NOT(ISNA(VLOOKUP(E6213,E$1:E6212,1,FALSE()))),"OLD",IF(AND(E6213&lt;&gt;"",E6213&lt;&gt;"!!!"),"NEW","")))</f>
        <v> </v>
      </c>
      <c r="G6213" s="24" t="str">
        <f>IF(OR(E6213="",E6213="!!!"),"",IF(OR(J6213=0,AND(J6213=1,K6213=1),AND(J6213=1,I6213="SBJ"),AND(J6213=1,I6213=0)),"?IN_FOCUS",IF(J6213&lt;=2,"?ACTIVATED",IF(J6213&lt;&gt;"","?FAMILIAR",IF(F6213="NEW",IF(ISNA(VLOOKUP(E6213,#REF!,1,FALSE())),"?TYPE_IDENTIFIABLE","?REFERENTIAL"),"_")))))</f>
        <v> </v>
      </c>
      <c r="H6213" s="25" t="str">
        <f>IF(J6213&lt;&gt;1,"",IF(I6213="SBJ","CB","?"))</f>
        <v> </v>
      </c>
      <c r="I6213" s="26" t="str">
        <f>IF(OR(E6213="",E6213="!!!",F6213="NEW"),"",INDEX(B6212:B$2,-1+SUMPRODUCT(MAX(ROW(E6212:E$2)*(E6213=E6212:E$2)))))</f>
        <v> </v>
      </c>
      <c r="J6213" s="26" t="str">
        <f>IF(OR(E6213="",E6213="!!!",F6213="NEW"),"",COUNTBLANK(OFFSET(A$1,,,SUMPRODUCT(MAX(ROW(E$2:E6213)*(E6213=E$2:E6213)))))-COUNTBLANK(OFFSET(A$1,,,SUMPRODUCT(MAX(ROW(E$1:E6212)*(E2=E$1:E6212))))))</f>
        <v> </v>
      </c>
      <c r="K6213" s="26" t="str">
        <f>IF(OR(E6213="",E6213="!!!",F6213="NEW"),"",INDEX(J$1:J6212,SUMPRODUCT(MAX(ROW(E$1:E6212)*(E6213=E$1:E6212)))))</f>
        <v> </v>
      </c>
      <c r="L6213" s="27"/>
    </row>
    <row r="6214" spans="1:12">
      <c r="A6214" s="20" t="s">
        <v>1450</v>
      </c>
      <c r="E6214" s="22">
        <f>IF(D6214="?OLD","!!!","")</f>
        <v/>
      </c>
      <c r="F6214" s="23" t="str">
        <f>IF(OR(E6214="",E6214="!!!"),"",IF(NOT(ISNA(VLOOKUP(E6214,E$1:E6213,1,FALSE()))),"OLD",IF(AND(E6214&lt;&gt;"",E6214&lt;&gt;"!!!"),"NEW","")))</f>
        <v> </v>
      </c>
      <c r="G6214" s="24" t="str">
        <f>IF(OR(E6214="",E6214="!!!"),"",IF(OR(J6214=0,AND(J6214=1,K6214=1),AND(J6214=1,I6214="SBJ"),AND(J6214=1,I6214=0)),"?IN_FOCUS",IF(J6214&lt;=2,"?ACTIVATED",IF(J6214&lt;&gt;"","?FAMILIAR",IF(F6214="NEW",IF(ISNA(VLOOKUP(E6214,#REF!,1,FALSE())),"?TYPE_IDENTIFIABLE","?REFERENTIAL"),"_")))))</f>
        <v> </v>
      </c>
      <c r="H6214" s="25" t="str">
        <f>IF(J6214&lt;&gt;1,"",IF(I6214="SBJ","CB","?"))</f>
        <v> </v>
      </c>
      <c r="I6214" s="26" t="str">
        <f>IF(OR(E6214="",E6214="!!!",F6214="NEW"),"",INDEX(B6213:B$2,-1+SUMPRODUCT(MAX(ROW(E6213:E$2)*(E6214=E6213:E$2)))))</f>
        <v> </v>
      </c>
      <c r="J6214" s="26" t="str">
        <f>IF(OR(E6214="",E6214="!!!",F6214="NEW"),"",COUNTBLANK(OFFSET(A$1,,,SUMPRODUCT(MAX(ROW(E$2:E6214)*(E6214=E$2:E6214)))))-COUNTBLANK(OFFSET(A$1,,,SUMPRODUCT(MAX(ROW(E$1:E6213)*(E2=E$1:E6213))))))</f>
        <v> </v>
      </c>
      <c r="K6214" s="26" t="str">
        <f>IF(OR(E6214="",E6214="!!!",F6214="NEW"),"",INDEX(J$1:J6213,SUMPRODUCT(MAX(ROW(E$1:E6213)*(E6214=E$1:E6213)))))</f>
        <v> </v>
      </c>
      <c r="L6214" s="27"/>
    </row>
    <row r="6215" spans="1:12">
      <c r="A6215" s="20" t="s">
        <v>1014</v>
      </c>
      <c r="E6215" s="22">
        <f>IF(D6215="?OLD","!!!","")</f>
        <v/>
      </c>
      <c r="F6215" s="23" t="str">
        <f>IF(OR(E6215="",E6215="!!!"),"",IF(NOT(ISNA(VLOOKUP(E6215,E$1:E6214,1,FALSE()))),"OLD",IF(AND(E6215&lt;&gt;"",E6215&lt;&gt;"!!!"),"NEW","")))</f>
        <v> </v>
      </c>
      <c r="G6215" s="24" t="str">
        <f>IF(OR(E6215="",E6215="!!!"),"",IF(OR(J6215=0,AND(J6215=1,K6215=1),AND(J6215=1,I6215="SBJ"),AND(J6215=1,I6215=0)),"?IN_FOCUS",IF(J6215&lt;=2,"?ACTIVATED",IF(J6215&lt;&gt;"","?FAMILIAR",IF(F6215="NEW",IF(ISNA(VLOOKUP(E6215,#REF!,1,FALSE())),"?TYPE_IDENTIFIABLE","?REFERENTIAL"),"_")))))</f>
        <v> </v>
      </c>
      <c r="H6215" s="25" t="str">
        <f>IF(J6215&lt;&gt;1,"",IF(I6215="SBJ","CB","?"))</f>
        <v> </v>
      </c>
      <c r="I6215" s="26" t="str">
        <f>IF(OR(E6215="",E6215="!!!",F6215="NEW"),"",INDEX(B6214:B$2,-1+SUMPRODUCT(MAX(ROW(E6214:E$2)*(E6215=E6214:E$2)))))</f>
        <v> </v>
      </c>
      <c r="J6215" s="26" t="str">
        <f>IF(OR(E6215="",E6215="!!!",F6215="NEW"),"",COUNTBLANK(OFFSET(A$1,,,SUMPRODUCT(MAX(ROW(E$2:E6215)*(E6215=E$2:E6215)))))-COUNTBLANK(OFFSET(A$1,,,SUMPRODUCT(MAX(ROW(E$1:E6214)*(E2=E$1:E6214))))))</f>
        <v> </v>
      </c>
      <c r="K6215" s="26" t="str">
        <f>IF(OR(E6215="",E6215="!!!",F6215="NEW"),"",INDEX(J$1:J6214,SUMPRODUCT(MAX(ROW(E$1:E6214)*(E6215=E$1:E6214)))))</f>
        <v> </v>
      </c>
      <c r="L6215" s="27"/>
    </row>
    <row r="6216" spans="1:12">
      <c r="A6216" s="20" t="s">
        <v>1020</v>
      </c>
      <c r="E6216" s="22">
        <f>IF(D6216="?OLD","!!!","")</f>
        <v/>
      </c>
      <c r="F6216" s="23" t="str">
        <f>IF(OR(E6216="",E6216="!!!"),"",IF(NOT(ISNA(VLOOKUP(E6216,E$1:E6215,1,FALSE()))),"OLD",IF(AND(E6216&lt;&gt;"",E6216&lt;&gt;"!!!"),"NEW","")))</f>
        <v> </v>
      </c>
      <c r="G6216" s="24" t="str">
        <f>IF(OR(E6216="",E6216="!!!"),"",IF(OR(J6216=0,AND(J6216=1,K6216=1),AND(J6216=1,I6216="SBJ"),AND(J6216=1,I6216=0)),"?IN_FOCUS",IF(J6216&lt;=2,"?ACTIVATED",IF(J6216&lt;&gt;"","?FAMILIAR",IF(F6216="NEW",IF(ISNA(VLOOKUP(E6216,#REF!,1,FALSE())),"?TYPE_IDENTIFIABLE","?REFERENTIAL"),"_")))))</f>
        <v> </v>
      </c>
      <c r="H6216" s="25" t="str">
        <f>IF(J6216&lt;&gt;1,"",IF(I6216="SBJ","CB","?"))</f>
        <v> </v>
      </c>
      <c r="I6216" s="26" t="str">
        <f>IF(OR(E6216="",E6216="!!!",F6216="NEW"),"",INDEX(B6215:B$2,-1+SUMPRODUCT(MAX(ROW(E6215:E$2)*(E6216=E6215:E$2)))))</f>
        <v> </v>
      </c>
      <c r="J6216" s="26" t="str">
        <f>IF(OR(E6216="",E6216="!!!",F6216="NEW"),"",COUNTBLANK(OFFSET(A$1,,,SUMPRODUCT(MAX(ROW(E$2:E6216)*(E6216=E$2:E6216)))))-COUNTBLANK(OFFSET(A$1,,,SUMPRODUCT(MAX(ROW(E$1:E6215)*(E2=E$1:E6215))))))</f>
        <v> </v>
      </c>
      <c r="K6216" s="26" t="str">
        <f>IF(OR(E6216="",E6216="!!!",F6216="NEW"),"",INDEX(J$1:J6215,SUMPRODUCT(MAX(ROW(E$1:E6215)*(E6216=E$1:E6215)))))</f>
        <v> </v>
      </c>
      <c r="L6216" s="27"/>
    </row>
    <row r="6217" spans="1:12">
      <c r="A6217" s="20" t="s">
        <v>1513</v>
      </c>
      <c r="B6217" s="21" t="s">
        <v>1033</v>
      </c>
      <c r="C6217" s="21" t="s">
        <v>1017</v>
      </c>
      <c r="D6217" s="21" t="s">
        <v>1007</v>
      </c>
      <c r="E6217" s="22">
        <f>IF(D6217="?OLD","!!!","")</f>
        <v/>
      </c>
      <c r="F6217" s="23" t="str">
        <f>IF(OR(E6217="",E6217="!!!"),"",IF(NOT(ISNA(VLOOKUP(E6217,E$1:E6216,1,FALSE()))),"OLD",IF(AND(E6217&lt;&gt;"",E6217&lt;&gt;"!!!"),"NEW","")))</f>
        <v> </v>
      </c>
      <c r="G6217" s="24" t="str">
        <f>IF(OR(E6217="",E6217="!!!"),"",IF(OR(J6217=0,AND(J6217=1,K6217=1),AND(J6217=1,I6217="SBJ"),AND(J6217=1,I6217=0)),"?IN_FOCUS",IF(J6217&lt;=2,"?ACTIVATED",IF(J6217&lt;&gt;"","?FAMILIAR",IF(F6217="NEW",IF(ISNA(VLOOKUP(E6217,#REF!,1,FALSE())),"?TYPE_IDENTIFIABLE","?REFERENTIAL"),"_")))))</f>
        <v> </v>
      </c>
      <c r="H6217" s="25" t="str">
        <f>IF(J6217&lt;&gt;1,"",IF(I6217="SBJ","CB","?"))</f>
        <v> </v>
      </c>
      <c r="I6217" s="26" t="str">
        <f>IF(OR(E6217="",E6217="!!!",F6217="NEW"),"",INDEX(B6216:B$2,-1+SUMPRODUCT(MAX(ROW(E6216:E$2)*(E6217=E6216:E$2)))))</f>
        <v> </v>
      </c>
      <c r="J6217" s="26" t="str">
        <f>IF(OR(E6217="",E6217="!!!",F6217="NEW"),"",COUNTBLANK(OFFSET(A$1,,,SUMPRODUCT(MAX(ROW(E$2:E6217)*(E6217=E$2:E6217)))))-COUNTBLANK(OFFSET(A$1,,,SUMPRODUCT(MAX(ROW(E$1:E6216)*(E2=E$1:E6216))))))</f>
        <v> </v>
      </c>
      <c r="K6217" s="26" t="str">
        <f>IF(OR(E6217="",E6217="!!!",F6217="NEW"),"",INDEX(J$1:J6216,SUMPRODUCT(MAX(ROW(E$1:E6216)*(E6217=E$1:E6216)))))</f>
        <v> </v>
      </c>
      <c r="L6217" s="27"/>
    </row>
    <row r="6218" spans="1:12">
      <c r="A6218" s="20" t="s">
        <v>1023</v>
      </c>
      <c r="E6218" s="22">
        <f>IF(D6218="?OLD","!!!","")</f>
        <v/>
      </c>
      <c r="F6218" s="23" t="str">
        <f>IF(OR(E6218="",E6218="!!!"),"",IF(NOT(ISNA(VLOOKUP(E6218,E$1:E6217,1,FALSE()))),"OLD",IF(AND(E6218&lt;&gt;"",E6218&lt;&gt;"!!!"),"NEW","")))</f>
        <v> </v>
      </c>
      <c r="G6218" s="24" t="str">
        <f>IF(OR(E6218="",E6218="!!!"),"",IF(OR(J6218=0,AND(J6218=1,K6218=1),AND(J6218=1,I6218="SBJ"),AND(J6218=1,I6218=0)),"?IN_FOCUS",IF(J6218&lt;=2,"?ACTIVATED",IF(J6218&lt;&gt;"","?FAMILIAR",IF(F6218="NEW",IF(ISNA(VLOOKUP(E6218,#REF!,1,FALSE())),"?TYPE_IDENTIFIABLE","?REFERENTIAL"),"_")))))</f>
        <v> </v>
      </c>
      <c r="H6218" s="25" t="str">
        <f>IF(J6218&lt;&gt;1,"",IF(I6218="SBJ","CB","?"))</f>
        <v> </v>
      </c>
      <c r="I6218" s="26" t="str">
        <f>IF(OR(E6218="",E6218="!!!",F6218="NEW"),"",INDEX(B6217:B$2,-1+SUMPRODUCT(MAX(ROW(E6217:E$2)*(E6218=E6217:E$2)))))</f>
        <v> </v>
      </c>
      <c r="J6218" s="26" t="str">
        <f>IF(OR(E6218="",E6218="!!!",F6218="NEW"),"",COUNTBLANK(OFFSET(A$1,,,SUMPRODUCT(MAX(ROW(E$2:E6218)*(E6218=E$2:E6218)))))-COUNTBLANK(OFFSET(A$1,,,SUMPRODUCT(MAX(ROW(E$1:E6217)*(E2=E$1:E6217))))))</f>
        <v> </v>
      </c>
      <c r="K6218" s="26" t="str">
        <f>IF(OR(E6218="",E6218="!!!",F6218="NEW"),"",INDEX(J$1:J6217,SUMPRODUCT(MAX(ROW(E$1:E6217)*(E6218=E$1:E6217)))))</f>
        <v> </v>
      </c>
      <c r="L6218" s="27"/>
    </row>
    <row r="6219" spans="1:12">
      <c r="A6219" s="20"/>
    </row>
    <row r="6220" spans="1:12">
      <c r="A6220" s="20" t="s">
        <v>2634</v>
      </c>
    </row>
    <row r="6221" spans="1:12">
      <c r="A6221" s="20" t="s">
        <v>1991</v>
      </c>
      <c r="B6221" s="21" t="s">
        <v>1050</v>
      </c>
      <c r="C6221" s="21" t="s">
        <v>1082</v>
      </c>
      <c r="D6221" s="21" t="s">
        <v>1007</v>
      </c>
      <c r="E6221" s="22">
        <f>IF(D6221="?OLD","!!!","")</f>
        <v/>
      </c>
      <c r="F6221" s="23" t="str">
        <f>IF(OR(E6221="",E6221="!!!"),"",IF(NOT(ISNA(VLOOKUP(E6221,E$1:E6220,1,FALSE()))),"OLD",IF(AND(E6221&lt;&gt;"",E6221&lt;&gt;"!!!"),"NEW","")))</f>
        <v> </v>
      </c>
      <c r="G6221" s="24" t="str">
        <f>IF(OR(E6221="",E6221="!!!"),"",IF(OR(J6221=0,AND(J6221=1,K6221=1),AND(J6221=1,I6221="SBJ"),AND(J6221=1,I6221=0)),"?IN_FOCUS",IF(J6221&lt;=2,"?ACTIVATED",IF(J6221&lt;&gt;"","?FAMILIAR",IF(F6221="NEW",IF(ISNA(VLOOKUP(E6221,#REF!,1,FALSE())),"?TYPE_IDENTIFIABLE","?REFERENTIAL"),"_")))))</f>
        <v> </v>
      </c>
      <c r="H6221" s="25" t="str">
        <f>IF(J6221&lt;&gt;1,"",IF(I6221="SBJ","CB","?"))</f>
        <v> </v>
      </c>
      <c r="I6221" s="26" t="str">
        <f>IF(OR(E6221="",E6221="!!!",F6221="NEW"),"",INDEX(B6220:B$2,-1+SUMPRODUCT(MAX(ROW(E6220:E$2)*(E6221=E6220:E$2)))))</f>
        <v> </v>
      </c>
      <c r="J6221" s="26" t="str">
        <f>IF(OR(E6221="",E6221="!!!",F6221="NEW"),"",COUNTBLANK(OFFSET(A$1,,,SUMPRODUCT(MAX(ROW(E$2:E6221)*(E6221=E$2:E6221)))))-COUNTBLANK(OFFSET(A$1,,,SUMPRODUCT(MAX(ROW(E$1:E6220)*(E2=E$1:E6220))))))</f>
        <v> </v>
      </c>
      <c r="K6221" s="26" t="str">
        <f>IF(OR(E6221="",E6221="!!!",F6221="NEW"),"",INDEX(J$1:J6220,SUMPRODUCT(MAX(ROW(E$1:E6220)*(E6221=E$1:E6220)))))</f>
        <v> </v>
      </c>
      <c r="L6221" s="27"/>
    </row>
    <row r="6222" spans="1:12">
      <c r="A6222" s="20" t="s">
        <v>1150</v>
      </c>
      <c r="E6222" s="22">
        <f>IF(D6222="?OLD","!!!","")</f>
        <v/>
      </c>
      <c r="F6222" s="23" t="str">
        <f>IF(OR(E6222="",E6222="!!!"),"",IF(NOT(ISNA(VLOOKUP(E6222,E$1:E6221,1,FALSE()))),"OLD",IF(AND(E6222&lt;&gt;"",E6222&lt;&gt;"!!!"),"NEW","")))</f>
        <v> </v>
      </c>
      <c r="G6222" s="24" t="str">
        <f>IF(OR(E6222="",E6222="!!!"),"",IF(OR(J6222=0,AND(J6222=1,K6222=1),AND(J6222=1,I6222="SBJ"),AND(J6222=1,I6222=0)),"?IN_FOCUS",IF(J6222&lt;=2,"?ACTIVATED",IF(J6222&lt;&gt;"","?FAMILIAR",IF(F6222="NEW",IF(ISNA(VLOOKUP(E6222,#REF!,1,FALSE())),"?TYPE_IDENTIFIABLE","?REFERENTIAL"),"_")))))</f>
        <v> </v>
      </c>
      <c r="H6222" s="25" t="str">
        <f>IF(J6222&lt;&gt;1,"",IF(I6222="SBJ","CB","?"))</f>
        <v> </v>
      </c>
      <c r="I6222" s="26" t="str">
        <f>IF(OR(E6222="",E6222="!!!",F6222="NEW"),"",INDEX(B6221:B$2,-1+SUMPRODUCT(MAX(ROW(E6221:E$2)*(E6222=E6221:E$2)))))</f>
        <v> </v>
      </c>
      <c r="J6222" s="26" t="str">
        <f>IF(OR(E6222="",E6222="!!!",F6222="NEW"),"",COUNTBLANK(OFFSET(A$1,,,SUMPRODUCT(MAX(ROW(E$2:E6222)*(E6222=E$2:E6222)))))-COUNTBLANK(OFFSET(A$1,,,SUMPRODUCT(MAX(ROW(E$1:E6221)*(E2=E$1:E6221))))))</f>
        <v> </v>
      </c>
      <c r="K6222" s="26" t="str">
        <f>IF(OR(E6222="",E6222="!!!",F6222="NEW"),"",INDEX(J$1:J6221,SUMPRODUCT(MAX(ROW(E$1:E6221)*(E6222=E$1:E6221)))))</f>
        <v> </v>
      </c>
      <c r="L6222" s="27"/>
    </row>
    <row r="6223" spans="1:12">
      <c r="A6223" s="20" t="s">
        <v>1324</v>
      </c>
      <c r="E6223" s="22">
        <f>IF(D6223="?OLD","!!!","")</f>
        <v/>
      </c>
      <c r="F6223" s="23" t="str">
        <f>IF(OR(E6223="",E6223="!!!"),"",IF(NOT(ISNA(VLOOKUP(E6223,E$1:E6222,1,FALSE()))),"OLD",IF(AND(E6223&lt;&gt;"",E6223&lt;&gt;"!!!"),"NEW","")))</f>
        <v> </v>
      </c>
      <c r="G6223" s="24" t="str">
        <f>IF(OR(E6223="",E6223="!!!"),"",IF(OR(J6223=0,AND(J6223=1,K6223=1),AND(J6223=1,I6223="SBJ"),AND(J6223=1,I6223=0)),"?IN_FOCUS",IF(J6223&lt;=2,"?ACTIVATED",IF(J6223&lt;&gt;"","?FAMILIAR",IF(F6223="NEW",IF(ISNA(VLOOKUP(E6223,#REF!,1,FALSE())),"?TYPE_IDENTIFIABLE","?REFERENTIAL"),"_")))))</f>
        <v> </v>
      </c>
      <c r="H6223" s="25" t="str">
        <f>IF(J6223&lt;&gt;1,"",IF(I6223="SBJ","CB","?"))</f>
        <v> </v>
      </c>
      <c r="I6223" s="26" t="str">
        <f>IF(OR(E6223="",E6223="!!!",F6223="NEW"),"",INDEX(B6222:B$2,-1+SUMPRODUCT(MAX(ROW(E6222:E$2)*(E6223=E6222:E$2)))))</f>
        <v> </v>
      </c>
      <c r="J6223" s="26" t="str">
        <f>IF(OR(E6223="",E6223="!!!",F6223="NEW"),"",COUNTBLANK(OFFSET(A$1,,,SUMPRODUCT(MAX(ROW(E$2:E6223)*(E6223=E$2:E6223)))))-COUNTBLANK(OFFSET(A$1,,,SUMPRODUCT(MAX(ROW(E$1:E6222)*(E2=E$1:E6222))))))</f>
        <v> </v>
      </c>
      <c r="K6223" s="26" t="str">
        <f>IF(OR(E6223="",E6223="!!!",F6223="NEW"),"",INDEX(J$1:J6222,SUMPRODUCT(MAX(ROW(E$1:E6222)*(E6223=E$1:E6222)))))</f>
        <v> </v>
      </c>
      <c r="L6223" s="27"/>
    </row>
    <row r="6224" spans="1:12">
      <c r="A6224" s="20" t="s">
        <v>2635</v>
      </c>
      <c r="B6224" s="21" t="s">
        <v>1005</v>
      </c>
      <c r="C6224" s="21" t="s">
        <v>1111</v>
      </c>
      <c r="E6224" s="22">
        <f>IF(D6224="?OLD","!!!","")</f>
        <v/>
      </c>
      <c r="F6224" s="23" t="str">
        <f>IF(OR(E6224="",E6224="!!!"),"",IF(NOT(ISNA(VLOOKUP(E6224,E$1:E6223,1,FALSE()))),"OLD",IF(AND(E6224&lt;&gt;"",E6224&lt;&gt;"!!!"),"NEW","")))</f>
        <v> </v>
      </c>
      <c r="G6224" s="24" t="str">
        <f>IF(OR(E6224="",E6224="!!!"),"",IF(OR(J6224=0,AND(J6224=1,K6224=1),AND(J6224=1,I6224="SBJ"),AND(J6224=1,I6224=0)),"?IN_FOCUS",IF(J6224&lt;=2,"?ACTIVATED",IF(J6224&lt;&gt;"","?FAMILIAR",IF(F6224="NEW",IF(ISNA(VLOOKUP(E6224,#REF!,1,FALSE())),"?TYPE_IDENTIFIABLE","?REFERENTIAL"),"_")))))</f>
        <v> </v>
      </c>
      <c r="H6224" s="25" t="str">
        <f>IF(J6224&lt;&gt;1,"",IF(I6224="SBJ","CB","?"))</f>
        <v> </v>
      </c>
      <c r="I6224" s="26" t="str">
        <f>IF(OR(E6224="",E6224="!!!",F6224="NEW"),"",INDEX(B6223:B$2,-1+SUMPRODUCT(MAX(ROW(E6223:E$2)*(E6224=E6223:E$2)))))</f>
        <v> </v>
      </c>
      <c r="J6224" s="26" t="str">
        <f>IF(OR(E6224="",E6224="!!!",F6224="NEW"),"",COUNTBLANK(OFFSET(A$1,,,SUMPRODUCT(MAX(ROW(E$2:E6224)*(E6224=E$2:E6224)))))-COUNTBLANK(OFFSET(A$1,,,SUMPRODUCT(MAX(ROW(E$1:E6223)*(E2=E$1:E6223))))))</f>
        <v> </v>
      </c>
      <c r="K6224" s="26" t="str">
        <f>IF(OR(E6224="",E6224="!!!",F6224="NEW"),"",INDEX(J$1:J6223,SUMPRODUCT(MAX(ROW(E$1:E6223)*(E6224=E$1:E6223)))))</f>
        <v> </v>
      </c>
      <c r="L6224" s="27"/>
    </row>
    <row r="6225" spans="1:12">
      <c r="A6225" s="20" t="s">
        <v>2636</v>
      </c>
      <c r="E6225" s="22">
        <f>IF(D6225="?OLD","!!!","")</f>
        <v/>
      </c>
      <c r="F6225" s="23" t="str">
        <f>IF(OR(E6225="",E6225="!!!"),"",IF(NOT(ISNA(VLOOKUP(E6225,E$1:E6224,1,FALSE()))),"OLD",IF(AND(E6225&lt;&gt;"",E6225&lt;&gt;"!!!"),"NEW","")))</f>
        <v> </v>
      </c>
      <c r="G6225" s="24" t="str">
        <f>IF(OR(E6225="",E6225="!!!"),"",IF(OR(J6225=0,AND(J6225=1,K6225=1),AND(J6225=1,I6225="SBJ"),AND(J6225=1,I6225=0)),"?IN_FOCUS",IF(J6225&lt;=2,"?ACTIVATED",IF(J6225&lt;&gt;"","?FAMILIAR",IF(F6225="NEW",IF(ISNA(VLOOKUP(E6225,#REF!,1,FALSE())),"?TYPE_IDENTIFIABLE","?REFERENTIAL"),"_")))))</f>
        <v> </v>
      </c>
      <c r="H6225" s="25" t="str">
        <f>IF(J6225&lt;&gt;1,"",IF(I6225="SBJ","CB","?"))</f>
        <v> </v>
      </c>
      <c r="I6225" s="26" t="str">
        <f>IF(OR(E6225="",E6225="!!!",F6225="NEW"),"",INDEX(B6224:B$2,-1+SUMPRODUCT(MAX(ROW(E6224:E$2)*(E6225=E6224:E$2)))))</f>
        <v> </v>
      </c>
      <c r="J6225" s="26" t="str">
        <f>IF(OR(E6225="",E6225="!!!",F6225="NEW"),"",COUNTBLANK(OFFSET(A$1,,,SUMPRODUCT(MAX(ROW(E$2:E6225)*(E6225=E$2:E6225)))))-COUNTBLANK(OFFSET(A$1,,,SUMPRODUCT(MAX(ROW(E$1:E6224)*(E2=E$1:E6224))))))</f>
        <v> </v>
      </c>
      <c r="K6225" s="26" t="str">
        <f>IF(OR(E6225="",E6225="!!!",F6225="NEW"),"",INDEX(J$1:J6224,SUMPRODUCT(MAX(ROW(E$1:E6224)*(E6225=E$1:E6224)))))</f>
        <v> </v>
      </c>
      <c r="L6225" s="27"/>
    </row>
    <row r="6226" spans="1:12">
      <c r="A6226" s="20" t="s">
        <v>1014</v>
      </c>
      <c r="E6226" s="22">
        <f>IF(D6226="?OLD","!!!","")</f>
        <v/>
      </c>
      <c r="F6226" s="23" t="str">
        <f>IF(OR(E6226="",E6226="!!!"),"",IF(NOT(ISNA(VLOOKUP(E6226,E$1:E6225,1,FALSE()))),"OLD",IF(AND(E6226&lt;&gt;"",E6226&lt;&gt;"!!!"),"NEW","")))</f>
        <v> </v>
      </c>
      <c r="G6226" s="24" t="str">
        <f>IF(OR(E6226="",E6226="!!!"),"",IF(OR(J6226=0,AND(J6226=1,K6226=1),AND(J6226=1,I6226="SBJ"),AND(J6226=1,I6226=0)),"?IN_FOCUS",IF(J6226&lt;=2,"?ACTIVATED",IF(J6226&lt;&gt;"","?FAMILIAR",IF(F6226="NEW",IF(ISNA(VLOOKUP(E6226,#REF!,1,FALSE())),"?TYPE_IDENTIFIABLE","?REFERENTIAL"),"_")))))</f>
        <v> </v>
      </c>
      <c r="H6226" s="25" t="str">
        <f>IF(J6226&lt;&gt;1,"",IF(I6226="SBJ","CB","?"))</f>
        <v> </v>
      </c>
      <c r="I6226" s="26" t="str">
        <f>IF(OR(E6226="",E6226="!!!",F6226="NEW"),"",INDEX(B6225:B$2,-1+SUMPRODUCT(MAX(ROW(E6225:E$2)*(E6226=E6225:E$2)))))</f>
        <v> </v>
      </c>
      <c r="J6226" s="26" t="str">
        <f>IF(OR(E6226="",E6226="!!!",F6226="NEW"),"",COUNTBLANK(OFFSET(A$1,,,SUMPRODUCT(MAX(ROW(E$2:E6226)*(E6226=E$2:E6226)))))-COUNTBLANK(OFFSET(A$1,,,SUMPRODUCT(MAX(ROW(E$1:E6225)*(E2=E$1:E6225))))))</f>
        <v> </v>
      </c>
      <c r="K6226" s="26" t="str">
        <f>IF(OR(E6226="",E6226="!!!",F6226="NEW"),"",INDEX(J$1:J6225,SUMPRODUCT(MAX(ROW(E$1:E6225)*(E6226=E$1:E6225)))))</f>
        <v> </v>
      </c>
      <c r="L6226" s="27"/>
    </row>
    <row r="6227" spans="1:12">
      <c r="A6227" s="20" t="s">
        <v>1065</v>
      </c>
      <c r="E6227" s="22">
        <f>IF(D6227="?OLD","!!!","")</f>
        <v/>
      </c>
      <c r="F6227" s="23" t="str">
        <f>IF(OR(E6227="",E6227="!!!"),"",IF(NOT(ISNA(VLOOKUP(E6227,E$1:E6226,1,FALSE()))),"OLD",IF(AND(E6227&lt;&gt;"",E6227&lt;&gt;"!!!"),"NEW","")))</f>
        <v> </v>
      </c>
      <c r="G6227" s="24" t="str">
        <f>IF(OR(E6227="",E6227="!!!"),"",IF(OR(J6227=0,AND(J6227=1,K6227=1),AND(J6227=1,I6227="SBJ"),AND(J6227=1,I6227=0)),"?IN_FOCUS",IF(J6227&lt;=2,"?ACTIVATED",IF(J6227&lt;&gt;"","?FAMILIAR",IF(F6227="NEW",IF(ISNA(VLOOKUP(E6227,#REF!,1,FALSE())),"?TYPE_IDENTIFIABLE","?REFERENTIAL"),"_")))))</f>
        <v> </v>
      </c>
      <c r="H6227" s="25" t="str">
        <f>IF(J6227&lt;&gt;1,"",IF(I6227="SBJ","CB","?"))</f>
        <v> </v>
      </c>
      <c r="I6227" s="26" t="str">
        <f>IF(OR(E6227="",E6227="!!!",F6227="NEW"),"",INDEX(B6226:B$2,-1+SUMPRODUCT(MAX(ROW(E6226:E$2)*(E6227=E6226:E$2)))))</f>
        <v> </v>
      </c>
      <c r="J6227" s="26" t="str">
        <f>IF(OR(E6227="",E6227="!!!",F6227="NEW"),"",COUNTBLANK(OFFSET(A$1,,,SUMPRODUCT(MAX(ROW(E$2:E6227)*(E6227=E$2:E6227)))))-COUNTBLANK(OFFSET(A$1,,,SUMPRODUCT(MAX(ROW(E$1:E6226)*(E2=E$1:E6226))))))</f>
        <v> </v>
      </c>
      <c r="K6227" s="26" t="str">
        <f>IF(OR(E6227="",E6227="!!!",F6227="NEW"),"",INDEX(J$1:J6226,SUMPRODUCT(MAX(ROW(E$1:E6226)*(E6227=E$1:E6226)))))</f>
        <v> </v>
      </c>
      <c r="L6227" s="27"/>
    </row>
    <row r="6228" spans="1:12">
      <c r="A6228" s="20" t="s">
        <v>1056</v>
      </c>
      <c r="E6228" s="22">
        <f>IF(D6228="?OLD","!!!","")</f>
        <v/>
      </c>
      <c r="F6228" s="23" t="str">
        <f>IF(OR(E6228="",E6228="!!!"),"",IF(NOT(ISNA(VLOOKUP(E6228,E$1:E6227,1,FALSE()))),"OLD",IF(AND(E6228&lt;&gt;"",E6228&lt;&gt;"!!!"),"NEW","")))</f>
        <v> </v>
      </c>
      <c r="G6228" s="24" t="str">
        <f>IF(OR(E6228="",E6228="!!!"),"",IF(OR(J6228=0,AND(J6228=1,K6228=1),AND(J6228=1,I6228="SBJ"),AND(J6228=1,I6228=0)),"?IN_FOCUS",IF(J6228&lt;=2,"?ACTIVATED",IF(J6228&lt;&gt;"","?FAMILIAR",IF(F6228="NEW",IF(ISNA(VLOOKUP(E6228,#REF!,1,FALSE())),"?TYPE_IDENTIFIABLE","?REFERENTIAL"),"_")))))</f>
        <v> </v>
      </c>
      <c r="H6228" s="25" t="str">
        <f>IF(J6228&lt;&gt;1,"",IF(I6228="SBJ","CB","?"))</f>
        <v> </v>
      </c>
      <c r="I6228" s="26" t="str">
        <f>IF(OR(E6228="",E6228="!!!",F6228="NEW"),"",INDEX(B6227:B$2,-1+SUMPRODUCT(MAX(ROW(E6227:E$2)*(E6228=E6227:E$2)))))</f>
        <v> </v>
      </c>
      <c r="J6228" s="26" t="str">
        <f>IF(OR(E6228="",E6228="!!!",F6228="NEW"),"",COUNTBLANK(OFFSET(A$1,,,SUMPRODUCT(MAX(ROW(E$2:E6228)*(E6228=E$2:E6228)))))-COUNTBLANK(OFFSET(A$1,,,SUMPRODUCT(MAX(ROW(E$1:E6227)*(E2=E$1:E6227))))))</f>
        <v> </v>
      </c>
      <c r="K6228" s="26" t="str">
        <f>IF(OR(E6228="",E6228="!!!",F6228="NEW"),"",INDEX(J$1:J6227,SUMPRODUCT(MAX(ROW(E$1:E6227)*(E6228=E$1:E6227)))))</f>
        <v> </v>
      </c>
      <c r="L6228" s="27"/>
    </row>
    <row r="6229" spans="1:12">
      <c r="A6229" s="20" t="s">
        <v>2637</v>
      </c>
      <c r="B6229" s="21" t="s">
        <v>1154</v>
      </c>
      <c r="C6229" s="21" t="s">
        <v>1111</v>
      </c>
      <c r="E6229" s="22">
        <f>IF(D6229="?OLD","!!!","")</f>
        <v/>
      </c>
      <c r="F6229" s="23" t="str">
        <f>IF(OR(E6229="",E6229="!!!"),"",IF(NOT(ISNA(VLOOKUP(E6229,E$1:E6228,1,FALSE()))),"OLD",IF(AND(E6229&lt;&gt;"",E6229&lt;&gt;"!!!"),"NEW","")))</f>
        <v> </v>
      </c>
      <c r="G6229" s="24" t="str">
        <f>IF(OR(E6229="",E6229="!!!"),"",IF(OR(J6229=0,AND(J6229=1,K6229=1),AND(J6229=1,I6229="SBJ"),AND(J6229=1,I6229=0)),"?IN_FOCUS",IF(J6229&lt;=2,"?ACTIVATED",IF(J6229&lt;&gt;"","?FAMILIAR",IF(F6229="NEW",IF(ISNA(VLOOKUP(E6229,#REF!,1,FALSE())),"?TYPE_IDENTIFIABLE","?REFERENTIAL"),"_")))))</f>
        <v> </v>
      </c>
      <c r="H6229" s="25" t="str">
        <f>IF(J6229&lt;&gt;1,"",IF(I6229="SBJ","CB","?"))</f>
        <v> </v>
      </c>
      <c r="I6229" s="26" t="str">
        <f>IF(OR(E6229="",E6229="!!!",F6229="NEW"),"",INDEX(B6228:B$2,-1+SUMPRODUCT(MAX(ROW(E6228:E$2)*(E6229=E6228:E$2)))))</f>
        <v> </v>
      </c>
      <c r="J6229" s="26" t="str">
        <f>IF(OR(E6229="",E6229="!!!",F6229="NEW"),"",COUNTBLANK(OFFSET(A$1,,,SUMPRODUCT(MAX(ROW(E$2:E6229)*(E6229=E$2:E6229)))))-COUNTBLANK(OFFSET(A$1,,,SUMPRODUCT(MAX(ROW(E$1:E6228)*(E2=E$1:E6228))))))</f>
        <v> </v>
      </c>
      <c r="K6229" s="26" t="str">
        <f>IF(OR(E6229="",E6229="!!!",F6229="NEW"),"",INDEX(J$1:J6228,SUMPRODUCT(MAX(ROW(E$1:E6228)*(E6229=E$1:E6228)))))</f>
        <v> </v>
      </c>
      <c r="L6229" s="27"/>
    </row>
    <row r="6230" spans="1:12">
      <c r="A6230" s="20" t="s">
        <v>1061</v>
      </c>
      <c r="E6230" s="22">
        <f>IF(D6230="?OLD","!!!","")</f>
        <v/>
      </c>
      <c r="F6230" s="23" t="str">
        <f>IF(OR(E6230="",E6230="!!!"),"",IF(NOT(ISNA(VLOOKUP(E6230,E$1:E6229,1,FALSE()))),"OLD",IF(AND(E6230&lt;&gt;"",E6230&lt;&gt;"!!!"),"NEW","")))</f>
        <v> </v>
      </c>
      <c r="G6230" s="24" t="str">
        <f>IF(OR(E6230="",E6230="!!!"),"",IF(OR(J6230=0,AND(J6230=1,K6230=1),AND(J6230=1,I6230="SBJ"),AND(J6230=1,I6230=0)),"?IN_FOCUS",IF(J6230&lt;=2,"?ACTIVATED",IF(J6230&lt;&gt;"","?FAMILIAR",IF(F6230="NEW",IF(ISNA(VLOOKUP(E6230,#REF!,1,FALSE())),"?TYPE_IDENTIFIABLE","?REFERENTIAL"),"_")))))</f>
        <v> </v>
      </c>
      <c r="H6230" s="25" t="str">
        <f>IF(J6230&lt;&gt;1,"",IF(I6230="SBJ","CB","?"))</f>
        <v> </v>
      </c>
      <c r="I6230" s="26" t="str">
        <f>IF(OR(E6230="",E6230="!!!",F6230="NEW"),"",INDEX(B6229:B$2,-1+SUMPRODUCT(MAX(ROW(E6229:E$2)*(E6230=E6229:E$2)))))</f>
        <v> </v>
      </c>
      <c r="J6230" s="26" t="str">
        <f>IF(OR(E6230="",E6230="!!!",F6230="NEW"),"",COUNTBLANK(OFFSET(A$1,,,SUMPRODUCT(MAX(ROW(E$2:E6230)*(E6230=E$2:E6230)))))-COUNTBLANK(OFFSET(A$1,,,SUMPRODUCT(MAX(ROW(E$1:E6229)*(E2=E$1:E6229))))))</f>
        <v> </v>
      </c>
      <c r="K6230" s="26" t="str">
        <f>IF(OR(E6230="",E6230="!!!",F6230="NEW"),"",INDEX(J$1:J6229,SUMPRODUCT(MAX(ROW(E$1:E6229)*(E6230=E$1:E6229)))))</f>
        <v> </v>
      </c>
      <c r="L6230" s="27"/>
    </row>
    <row r="6231" spans="1:12">
      <c r="A6231" s="20" t="s">
        <v>2638</v>
      </c>
      <c r="E6231" s="22">
        <f>IF(D6231="?OLD","!!!","")</f>
        <v/>
      </c>
      <c r="F6231" s="23" t="str">
        <f>IF(OR(E6231="",E6231="!!!"),"",IF(NOT(ISNA(VLOOKUP(E6231,E$1:E6230,1,FALSE()))),"OLD",IF(AND(E6231&lt;&gt;"",E6231&lt;&gt;"!!!"),"NEW","")))</f>
        <v> </v>
      </c>
      <c r="G6231" s="24" t="str">
        <f>IF(OR(E6231="",E6231="!!!"),"",IF(OR(J6231=0,AND(J6231=1,K6231=1),AND(J6231=1,I6231="SBJ"),AND(J6231=1,I6231=0)),"?IN_FOCUS",IF(J6231&lt;=2,"?ACTIVATED",IF(J6231&lt;&gt;"","?FAMILIAR",IF(F6231="NEW",IF(ISNA(VLOOKUP(E6231,#REF!,1,FALSE())),"?TYPE_IDENTIFIABLE","?REFERENTIAL"),"_")))))</f>
        <v> </v>
      </c>
      <c r="H6231" s="25" t="str">
        <f>IF(J6231&lt;&gt;1,"",IF(I6231="SBJ","CB","?"))</f>
        <v> </v>
      </c>
      <c r="I6231" s="26" t="str">
        <f>IF(OR(E6231="",E6231="!!!",F6231="NEW"),"",INDEX(B6230:B$2,-1+SUMPRODUCT(MAX(ROW(E6230:E$2)*(E6231=E6230:E$2)))))</f>
        <v> </v>
      </c>
      <c r="J6231" s="26" t="str">
        <f>IF(OR(E6231="",E6231="!!!",F6231="NEW"),"",COUNTBLANK(OFFSET(A$1,,,SUMPRODUCT(MAX(ROW(E$2:E6231)*(E6231=E$2:E6231)))))-COUNTBLANK(OFFSET(A$1,,,SUMPRODUCT(MAX(ROW(E$1:E6230)*(E2=E$1:E6230))))))</f>
        <v> </v>
      </c>
      <c r="K6231" s="26" t="str">
        <f>IF(OR(E6231="",E6231="!!!",F6231="NEW"),"",INDEX(J$1:J6230,SUMPRODUCT(MAX(ROW(E$1:E6230)*(E6231=E$1:E6230)))))</f>
        <v> </v>
      </c>
      <c r="L6231" s="27"/>
    </row>
    <row r="6232" spans="1:12">
      <c r="A6232" s="20" t="s">
        <v>1114</v>
      </c>
      <c r="B6232" s="21" t="s">
        <v>1187</v>
      </c>
      <c r="C6232" s="21" t="s">
        <v>1082</v>
      </c>
      <c r="D6232" s="21" t="s">
        <v>1007</v>
      </c>
      <c r="E6232" s="22">
        <f>IF(D6232="?OLD","!!!","")</f>
        <v/>
      </c>
      <c r="F6232" s="23" t="str">
        <f>IF(OR(E6232="",E6232="!!!"),"",IF(NOT(ISNA(VLOOKUP(E6232,E$1:E6231,1,FALSE()))),"OLD",IF(AND(E6232&lt;&gt;"",E6232&lt;&gt;"!!!"),"NEW","")))</f>
        <v> </v>
      </c>
      <c r="G6232" s="24" t="str">
        <f>IF(OR(E6232="",E6232="!!!"),"",IF(OR(J6232=0,AND(J6232=1,K6232=1),AND(J6232=1,I6232="SBJ"),AND(J6232=1,I6232=0)),"?IN_FOCUS",IF(J6232&lt;=2,"?ACTIVATED",IF(J6232&lt;&gt;"","?FAMILIAR",IF(F6232="NEW",IF(ISNA(VLOOKUP(E6232,#REF!,1,FALSE())),"?TYPE_IDENTIFIABLE","?REFERENTIAL"),"_")))))</f>
        <v> </v>
      </c>
      <c r="H6232" s="25" t="str">
        <f>IF(J6232&lt;&gt;1,"",IF(I6232="SBJ","CB","?"))</f>
        <v> </v>
      </c>
      <c r="I6232" s="26" t="str">
        <f>IF(OR(E6232="",E6232="!!!",F6232="NEW"),"",INDEX(B6231:B$2,-1+SUMPRODUCT(MAX(ROW(E6231:E$2)*(E6232=E6231:E$2)))))</f>
        <v> </v>
      </c>
      <c r="J6232" s="26" t="str">
        <f>IF(OR(E6232="",E6232="!!!",F6232="NEW"),"",COUNTBLANK(OFFSET(A$1,,,SUMPRODUCT(MAX(ROW(E$2:E6232)*(E6232=E$2:E6232)))))-COUNTBLANK(OFFSET(A$1,,,SUMPRODUCT(MAX(ROW(E$1:E6231)*(E2=E$1:E6231))))))</f>
        <v> </v>
      </c>
      <c r="K6232" s="26" t="str">
        <f>IF(OR(E6232="",E6232="!!!",F6232="NEW"),"",INDEX(J$1:J6231,SUMPRODUCT(MAX(ROW(E$1:E6231)*(E6232=E$1:E6231)))))</f>
        <v> </v>
      </c>
      <c r="L6232" s="27"/>
    </row>
    <row r="6233" spans="1:12">
      <c r="A6233" s="20" t="s">
        <v>1030</v>
      </c>
      <c r="E6233" s="22">
        <f>IF(D6233="?OLD","!!!","")</f>
        <v/>
      </c>
      <c r="F6233" s="23" t="str">
        <f>IF(OR(E6233="",E6233="!!!"),"",IF(NOT(ISNA(VLOOKUP(E6233,E$1:E6232,1,FALSE()))),"OLD",IF(AND(E6233&lt;&gt;"",E6233&lt;&gt;"!!!"),"NEW","")))</f>
        <v> </v>
      </c>
      <c r="G6233" s="24" t="str">
        <f>IF(OR(E6233="",E6233="!!!"),"",IF(OR(J6233=0,AND(J6233=1,K6233=1),AND(J6233=1,I6233="SBJ"),AND(J6233=1,I6233=0)),"?IN_FOCUS",IF(J6233&lt;=2,"?ACTIVATED",IF(J6233&lt;&gt;"","?FAMILIAR",IF(F6233="NEW",IF(ISNA(VLOOKUP(E6233,#REF!,1,FALSE())),"?TYPE_IDENTIFIABLE","?REFERENTIAL"),"_")))))</f>
        <v> </v>
      </c>
      <c r="H6233" s="25" t="str">
        <f>IF(J6233&lt;&gt;1,"",IF(I6233="SBJ","CB","?"))</f>
        <v> </v>
      </c>
      <c r="I6233" s="26" t="str">
        <f>IF(OR(E6233="",E6233="!!!",F6233="NEW"),"",INDEX(B6232:B$2,-1+SUMPRODUCT(MAX(ROW(E6232:E$2)*(E6233=E6232:E$2)))))</f>
        <v> </v>
      </c>
      <c r="J6233" s="26" t="str">
        <f>IF(OR(E6233="",E6233="!!!",F6233="NEW"),"",COUNTBLANK(OFFSET(A$1,,,SUMPRODUCT(MAX(ROW(E$2:E6233)*(E6233=E$2:E6233)))))-COUNTBLANK(OFFSET(A$1,,,SUMPRODUCT(MAX(ROW(E$1:E6232)*(E2=E$1:E6232))))))</f>
        <v> </v>
      </c>
      <c r="K6233" s="26" t="str">
        <f>IF(OR(E6233="",E6233="!!!",F6233="NEW"),"",INDEX(J$1:J6232,SUMPRODUCT(MAX(ROW(E$1:E6232)*(E6233=E$1:E6232)))))</f>
        <v> </v>
      </c>
      <c r="L6233" s="27"/>
    </row>
    <row r="6234" spans="1:12">
      <c r="A6234" s="20" t="s">
        <v>2639</v>
      </c>
      <c r="B6234" s="21" t="s">
        <v>1033</v>
      </c>
      <c r="C6234" s="21" t="s">
        <v>1013</v>
      </c>
      <c r="D6234" s="21" t="s">
        <v>1007</v>
      </c>
      <c r="E6234" s="22">
        <f>IF(D6234="?OLD","!!!","")</f>
        <v/>
      </c>
      <c r="F6234" s="23" t="str">
        <f>IF(OR(E6234="",E6234="!!!"),"",IF(NOT(ISNA(VLOOKUP(E6234,E$1:E6233,1,FALSE()))),"OLD",IF(AND(E6234&lt;&gt;"",E6234&lt;&gt;"!!!"),"NEW","")))</f>
        <v> </v>
      </c>
      <c r="G6234" s="24" t="str">
        <f>IF(OR(E6234="",E6234="!!!"),"",IF(OR(J6234=0,AND(J6234=1,K6234=1),AND(J6234=1,I6234="SBJ"),AND(J6234=1,I6234=0)),"?IN_FOCUS",IF(J6234&lt;=2,"?ACTIVATED",IF(J6234&lt;&gt;"","?FAMILIAR",IF(F6234="NEW",IF(ISNA(VLOOKUP(E6234,#REF!,1,FALSE())),"?TYPE_IDENTIFIABLE","?REFERENTIAL"),"_")))))</f>
        <v> </v>
      </c>
      <c r="H6234" s="25" t="str">
        <f>IF(J6234&lt;&gt;1,"",IF(I6234="SBJ","CB","?"))</f>
        <v> </v>
      </c>
      <c r="I6234" s="26" t="str">
        <f>IF(OR(E6234="",E6234="!!!",F6234="NEW"),"",INDEX(B6233:B$2,-1+SUMPRODUCT(MAX(ROW(E6233:E$2)*(E6234=E6233:E$2)))))</f>
        <v> </v>
      </c>
      <c r="J6234" s="26" t="str">
        <f>IF(OR(E6234="",E6234="!!!",F6234="NEW"),"",COUNTBLANK(OFFSET(A$1,,,SUMPRODUCT(MAX(ROW(E$2:E6234)*(E6234=E$2:E6234)))))-COUNTBLANK(OFFSET(A$1,,,SUMPRODUCT(MAX(ROW(E$1:E6233)*(E2=E$1:E6233))))))</f>
        <v> </v>
      </c>
      <c r="K6234" s="26" t="str">
        <f>IF(OR(E6234="",E6234="!!!",F6234="NEW"),"",INDEX(J$1:J6233,SUMPRODUCT(MAX(ROW(E$1:E6233)*(E6234=E$1:E6233)))))</f>
        <v> </v>
      </c>
      <c r="L6234" s="27"/>
    </row>
    <row r="6235" spans="1:12">
      <c r="A6235" s="20" t="s">
        <v>1014</v>
      </c>
      <c r="E6235" s="22">
        <f>IF(D6235="?OLD","!!!","")</f>
        <v/>
      </c>
      <c r="F6235" s="23" t="str">
        <f>IF(OR(E6235="",E6235="!!!"),"",IF(NOT(ISNA(VLOOKUP(E6235,E$1:E6234,1,FALSE()))),"OLD",IF(AND(E6235&lt;&gt;"",E6235&lt;&gt;"!!!"),"NEW","")))</f>
        <v> </v>
      </c>
      <c r="G6235" s="24" t="str">
        <f>IF(OR(E6235="",E6235="!!!"),"",IF(OR(J6235=0,AND(J6235=1,K6235=1),AND(J6235=1,I6235="SBJ"),AND(J6235=1,I6235=0)),"?IN_FOCUS",IF(J6235&lt;=2,"?ACTIVATED",IF(J6235&lt;&gt;"","?FAMILIAR",IF(F6235="NEW",IF(ISNA(VLOOKUP(E6235,#REF!,1,FALSE())),"?TYPE_IDENTIFIABLE","?REFERENTIAL"),"_")))))</f>
        <v> </v>
      </c>
      <c r="H6235" s="25" t="str">
        <f>IF(J6235&lt;&gt;1,"",IF(I6235="SBJ","CB","?"))</f>
        <v> </v>
      </c>
      <c r="I6235" s="26" t="str">
        <f>IF(OR(E6235="",E6235="!!!",F6235="NEW"),"",INDEX(B6234:B$2,-1+SUMPRODUCT(MAX(ROW(E6234:E$2)*(E6235=E6234:E$2)))))</f>
        <v> </v>
      </c>
      <c r="J6235" s="26" t="str">
        <f>IF(OR(E6235="",E6235="!!!",F6235="NEW"),"",COUNTBLANK(OFFSET(A$1,,,SUMPRODUCT(MAX(ROW(E$2:E6235)*(E6235=E$2:E6235)))))-COUNTBLANK(OFFSET(A$1,,,SUMPRODUCT(MAX(ROW(E$1:E6234)*(E2=E$1:E6234))))))</f>
        <v> </v>
      </c>
      <c r="K6235" s="26" t="str">
        <f>IF(OR(E6235="",E6235="!!!",F6235="NEW"),"",INDEX(J$1:J6234,SUMPRODUCT(MAX(ROW(E$1:E6234)*(E6235=E$1:E6234)))))</f>
        <v> </v>
      </c>
      <c r="L6235" s="27"/>
    </row>
    <row r="6236" spans="1:12">
      <c r="A6236" s="20" t="s">
        <v>2640</v>
      </c>
      <c r="B6236" s="21" t="s">
        <v>1035</v>
      </c>
      <c r="C6236" s="21" t="s">
        <v>1013</v>
      </c>
      <c r="D6236" s="21" t="s">
        <v>1007</v>
      </c>
      <c r="E6236" s="22">
        <f>IF(D6236="?OLD","!!!","")</f>
        <v/>
      </c>
      <c r="F6236" s="23" t="str">
        <f>IF(OR(E6236="",E6236="!!!"),"",IF(NOT(ISNA(VLOOKUP(E6236,E$1:E6235,1,FALSE()))),"OLD",IF(AND(E6236&lt;&gt;"",E6236&lt;&gt;"!!!"),"NEW","")))</f>
        <v> </v>
      </c>
      <c r="G6236" s="24" t="str">
        <f>IF(OR(E6236="",E6236="!!!"),"",IF(OR(J6236=0,AND(J6236=1,K6236=1),AND(J6236=1,I6236="SBJ"),AND(J6236=1,I6236=0)),"?IN_FOCUS",IF(J6236&lt;=2,"?ACTIVATED",IF(J6236&lt;&gt;"","?FAMILIAR",IF(F6236="NEW",IF(ISNA(VLOOKUP(E6236,#REF!,1,FALSE())),"?TYPE_IDENTIFIABLE","?REFERENTIAL"),"_")))))</f>
        <v> </v>
      </c>
      <c r="H6236" s="25" t="str">
        <f>IF(J6236&lt;&gt;1,"",IF(I6236="SBJ","CB","?"))</f>
        <v> </v>
      </c>
      <c r="I6236" s="26" t="str">
        <f>IF(OR(E6236="",E6236="!!!",F6236="NEW"),"",INDEX(B6235:B$2,-1+SUMPRODUCT(MAX(ROW(E6235:E$2)*(E6236=E6235:E$2)))))</f>
        <v> </v>
      </c>
      <c r="J6236" s="26" t="str">
        <f>IF(OR(E6236="",E6236="!!!",F6236="NEW"),"",COUNTBLANK(OFFSET(A$1,,,SUMPRODUCT(MAX(ROW(E$2:E6236)*(E6236=E$2:E6236)))))-COUNTBLANK(OFFSET(A$1,,,SUMPRODUCT(MAX(ROW(E$1:E6235)*(E2=E$1:E6235))))))</f>
        <v> </v>
      </c>
      <c r="K6236" s="26" t="str">
        <f>IF(OR(E6236="",E6236="!!!",F6236="NEW"),"",INDEX(J$1:J6235,SUMPRODUCT(MAX(ROW(E$1:E6235)*(E6236=E$1:E6235)))))</f>
        <v> </v>
      </c>
      <c r="L6236" s="27"/>
    </row>
    <row r="6237" spans="1:12">
      <c r="A6237" s="20" t="s">
        <v>2195</v>
      </c>
      <c r="E6237" s="22">
        <f>IF(D6237="?OLD","!!!","")</f>
        <v/>
      </c>
      <c r="F6237" s="23" t="str">
        <f>IF(OR(E6237="",E6237="!!!"),"",IF(NOT(ISNA(VLOOKUP(E6237,E$1:E6236,1,FALSE()))),"OLD",IF(AND(E6237&lt;&gt;"",E6237&lt;&gt;"!!!"),"NEW","")))</f>
        <v> </v>
      </c>
      <c r="G6237" s="24" t="str">
        <f>IF(OR(E6237="",E6237="!!!"),"",IF(OR(J6237=0,AND(J6237=1,K6237=1),AND(J6237=1,I6237="SBJ"),AND(J6237=1,I6237=0)),"?IN_FOCUS",IF(J6237&lt;=2,"?ACTIVATED",IF(J6237&lt;&gt;"","?FAMILIAR",IF(F6237="NEW",IF(ISNA(VLOOKUP(E6237,#REF!,1,FALSE())),"?TYPE_IDENTIFIABLE","?REFERENTIAL"),"_")))))</f>
        <v> </v>
      </c>
      <c r="H6237" s="25" t="str">
        <f>IF(J6237&lt;&gt;1,"",IF(I6237="SBJ","CB","?"))</f>
        <v> </v>
      </c>
      <c r="I6237" s="26" t="str">
        <f>IF(OR(E6237="",E6237="!!!",F6237="NEW"),"",INDEX(B6236:B$2,-1+SUMPRODUCT(MAX(ROW(E6236:E$2)*(E6237=E6236:E$2)))))</f>
        <v> </v>
      </c>
      <c r="J6237" s="26" t="str">
        <f>IF(OR(E6237="",E6237="!!!",F6237="NEW"),"",COUNTBLANK(OFFSET(A$1,,,SUMPRODUCT(MAX(ROW(E$2:E6237)*(E6237=E$2:E6237)))))-COUNTBLANK(OFFSET(A$1,,,SUMPRODUCT(MAX(ROW(E$1:E6236)*(E2=E$1:E6236))))))</f>
        <v> </v>
      </c>
      <c r="K6237" s="26" t="str">
        <f>IF(OR(E6237="",E6237="!!!",F6237="NEW"),"",INDEX(J$1:J6236,SUMPRODUCT(MAX(ROW(E$1:E6236)*(E6237=E$1:E6236)))))</f>
        <v> </v>
      </c>
      <c r="L6237" s="27"/>
    </row>
    <row r="6238" spans="1:12">
      <c r="A6238" s="20" t="s">
        <v>1015</v>
      </c>
      <c r="E6238" s="22">
        <f>IF(D6238="?OLD","!!!","")</f>
        <v/>
      </c>
      <c r="F6238" s="23" t="str">
        <f>IF(OR(E6238="",E6238="!!!"),"",IF(NOT(ISNA(VLOOKUP(E6238,E$1:E6237,1,FALSE()))),"OLD",IF(AND(E6238&lt;&gt;"",E6238&lt;&gt;"!!!"),"NEW","")))</f>
        <v> </v>
      </c>
      <c r="G6238" s="24" t="str">
        <f>IF(OR(E6238="",E6238="!!!"),"",IF(OR(J6238=0,AND(J6238=1,K6238=1),AND(J6238=1,I6238="SBJ"),AND(J6238=1,I6238=0)),"?IN_FOCUS",IF(J6238&lt;=2,"?ACTIVATED",IF(J6238&lt;&gt;"","?FAMILIAR",IF(F6238="NEW",IF(ISNA(VLOOKUP(E6238,#REF!,1,FALSE())),"?TYPE_IDENTIFIABLE","?REFERENTIAL"),"_")))))</f>
        <v> </v>
      </c>
      <c r="H6238" s="25" t="str">
        <f>IF(J6238&lt;&gt;1,"",IF(I6238="SBJ","CB","?"))</f>
        <v> </v>
      </c>
      <c r="I6238" s="26" t="str">
        <f>IF(OR(E6238="",E6238="!!!",F6238="NEW"),"",INDEX(B6237:B$2,-1+SUMPRODUCT(MAX(ROW(E6237:E$2)*(E6238=E6237:E$2)))))</f>
        <v> </v>
      </c>
      <c r="J6238" s="26" t="str">
        <f>IF(OR(E6238="",E6238="!!!",F6238="NEW"),"",COUNTBLANK(OFFSET(A$1,,,SUMPRODUCT(MAX(ROW(E$2:E6238)*(E6238=E$2:E6238)))))-COUNTBLANK(OFFSET(A$1,,,SUMPRODUCT(MAX(ROW(E$1:E6237)*(E2=E$1:E6237))))))</f>
        <v> </v>
      </c>
      <c r="K6238" s="26" t="str">
        <f>IF(OR(E6238="",E6238="!!!",F6238="NEW"),"",INDEX(J$1:J6237,SUMPRODUCT(MAX(ROW(E$1:E6237)*(E6238=E$1:E6237)))))</f>
        <v> </v>
      </c>
      <c r="L6238" s="27"/>
    </row>
    <row r="6239" spans="1:12">
      <c r="A6239" s="20" t="s">
        <v>2641</v>
      </c>
      <c r="B6239" s="21" t="s">
        <v>1130</v>
      </c>
      <c r="C6239" s="21" t="s">
        <v>1017</v>
      </c>
      <c r="D6239" s="21" t="s">
        <v>1007</v>
      </c>
      <c r="E6239" s="22">
        <f>IF(D6239="?OLD","!!!","")</f>
        <v/>
      </c>
      <c r="F6239" s="23" t="str">
        <f>IF(OR(E6239="",E6239="!!!"),"",IF(NOT(ISNA(VLOOKUP(E6239,E$1:E6238,1,FALSE()))),"OLD",IF(AND(E6239&lt;&gt;"",E6239&lt;&gt;"!!!"),"NEW","")))</f>
        <v> </v>
      </c>
      <c r="G6239" s="24" t="str">
        <f>IF(OR(E6239="",E6239="!!!"),"",IF(OR(J6239=0,AND(J6239=1,K6239=1),AND(J6239=1,I6239="SBJ"),AND(J6239=1,I6239=0)),"?IN_FOCUS",IF(J6239&lt;=2,"?ACTIVATED",IF(J6239&lt;&gt;"","?FAMILIAR",IF(F6239="NEW",IF(ISNA(VLOOKUP(E6239,#REF!,1,FALSE())),"?TYPE_IDENTIFIABLE","?REFERENTIAL"),"_")))))</f>
        <v> </v>
      </c>
      <c r="H6239" s="25" t="str">
        <f>IF(J6239&lt;&gt;1,"",IF(I6239="SBJ","CB","?"))</f>
        <v> </v>
      </c>
      <c r="I6239" s="26" t="str">
        <f>IF(OR(E6239="",E6239="!!!",F6239="NEW"),"",INDEX(B6238:B$2,-1+SUMPRODUCT(MAX(ROW(E6238:E$2)*(E6239=E6238:E$2)))))</f>
        <v> </v>
      </c>
      <c r="J6239" s="26" t="str">
        <f>IF(OR(E6239="",E6239="!!!",F6239="NEW"),"",COUNTBLANK(OFFSET(A$1,,,SUMPRODUCT(MAX(ROW(E$2:E6239)*(E6239=E$2:E6239)))))-COUNTBLANK(OFFSET(A$1,,,SUMPRODUCT(MAX(ROW(E$1:E6238)*(E2=E$1:E6238))))))</f>
        <v> </v>
      </c>
      <c r="K6239" s="26" t="str">
        <f>IF(OR(E6239="",E6239="!!!",F6239="NEW"),"",INDEX(J$1:J6238,SUMPRODUCT(MAX(ROW(E$1:E6238)*(E6239=E$1:E6238)))))</f>
        <v> </v>
      </c>
      <c r="L6239" s="27"/>
    </row>
    <row r="6240" spans="1:12">
      <c r="A6240" s="20" t="s">
        <v>1286</v>
      </c>
      <c r="E6240" s="22">
        <f>IF(D6240="?OLD","!!!","")</f>
        <v/>
      </c>
      <c r="F6240" s="23" t="str">
        <f>IF(OR(E6240="",E6240="!!!"),"",IF(NOT(ISNA(VLOOKUP(E6240,E$1:E6239,1,FALSE()))),"OLD",IF(AND(E6240&lt;&gt;"",E6240&lt;&gt;"!!!"),"NEW","")))</f>
        <v> </v>
      </c>
      <c r="G6240" s="24" t="str">
        <f>IF(OR(E6240="",E6240="!!!"),"",IF(OR(J6240=0,AND(J6240=1,K6240=1),AND(J6240=1,I6240="SBJ"),AND(J6240=1,I6240=0)),"?IN_FOCUS",IF(J6240&lt;=2,"?ACTIVATED",IF(J6240&lt;&gt;"","?FAMILIAR",IF(F6240="NEW",IF(ISNA(VLOOKUP(E6240,#REF!,1,FALSE())),"?TYPE_IDENTIFIABLE","?REFERENTIAL"),"_")))))</f>
        <v> </v>
      </c>
      <c r="H6240" s="25" t="str">
        <f>IF(J6240&lt;&gt;1,"",IF(I6240="SBJ","CB","?"))</f>
        <v> </v>
      </c>
      <c r="I6240" s="26" t="str">
        <f>IF(OR(E6240="",E6240="!!!",F6240="NEW"),"",INDEX(B6239:B$2,-1+SUMPRODUCT(MAX(ROW(E6239:E$2)*(E6240=E6239:E$2)))))</f>
        <v> </v>
      </c>
      <c r="J6240" s="26" t="str">
        <f>IF(OR(E6240="",E6240="!!!",F6240="NEW"),"",COUNTBLANK(OFFSET(A$1,,,SUMPRODUCT(MAX(ROW(E$2:E6240)*(E6240=E$2:E6240)))))-COUNTBLANK(OFFSET(A$1,,,SUMPRODUCT(MAX(ROW(E$1:E6239)*(E2=E$1:E6239))))))</f>
        <v> </v>
      </c>
      <c r="K6240" s="26" t="str">
        <f>IF(OR(E6240="",E6240="!!!",F6240="NEW"),"",INDEX(J$1:J6239,SUMPRODUCT(MAX(ROW(E$1:E6239)*(E6240=E$1:E6239)))))</f>
        <v> </v>
      </c>
      <c r="L6240" s="27"/>
    </row>
    <row r="6241" spans="1:12">
      <c r="A6241" s="20" t="s">
        <v>2642</v>
      </c>
      <c r="E6241" s="22">
        <f>IF(D6241="?OLD","!!!","")</f>
        <v/>
      </c>
      <c r="F6241" s="23" t="str">
        <f>IF(OR(E6241="",E6241="!!!"),"",IF(NOT(ISNA(VLOOKUP(E6241,E$1:E6240,1,FALSE()))),"OLD",IF(AND(E6241&lt;&gt;"",E6241&lt;&gt;"!!!"),"NEW","")))</f>
        <v> </v>
      </c>
      <c r="G6241" s="24" t="str">
        <f>IF(OR(E6241="",E6241="!!!"),"",IF(OR(J6241=0,AND(J6241=1,K6241=1),AND(J6241=1,I6241="SBJ"),AND(J6241=1,I6241=0)),"?IN_FOCUS",IF(J6241&lt;=2,"?ACTIVATED",IF(J6241&lt;&gt;"","?FAMILIAR",IF(F6241="NEW",IF(ISNA(VLOOKUP(E6241,#REF!,1,FALSE())),"?TYPE_IDENTIFIABLE","?REFERENTIAL"),"_")))))</f>
        <v> </v>
      </c>
      <c r="H6241" s="25" t="str">
        <f>IF(J6241&lt;&gt;1,"",IF(I6241="SBJ","CB","?"))</f>
        <v> </v>
      </c>
      <c r="I6241" s="26" t="str">
        <f>IF(OR(E6241="",E6241="!!!",F6241="NEW"),"",INDEX(B6240:B$2,-1+SUMPRODUCT(MAX(ROW(E6240:E$2)*(E6241=E6240:E$2)))))</f>
        <v> </v>
      </c>
      <c r="J6241" s="26" t="str">
        <f>IF(OR(E6241="",E6241="!!!",F6241="NEW"),"",COUNTBLANK(OFFSET(A$1,,,SUMPRODUCT(MAX(ROW(E$2:E6241)*(E6241=E$2:E6241)))))-COUNTBLANK(OFFSET(A$1,,,SUMPRODUCT(MAX(ROW(E$1:E6240)*(E2=E$1:E6240))))))</f>
        <v> </v>
      </c>
      <c r="K6241" s="26" t="str">
        <f>IF(OR(E6241="",E6241="!!!",F6241="NEW"),"",INDEX(J$1:J6240,SUMPRODUCT(MAX(ROW(E$1:E6240)*(E6241=E$1:E6240)))))</f>
        <v> </v>
      </c>
      <c r="L6241" s="27"/>
    </row>
    <row r="6242" spans="1:12">
      <c r="A6242" s="20" t="s">
        <v>56</v>
      </c>
      <c r="E6242" s="22">
        <f>IF(D6242="?OLD","!!!","")</f>
        <v/>
      </c>
      <c r="F6242" s="23" t="str">
        <f>IF(OR(E6242="",E6242="!!!"),"",IF(NOT(ISNA(VLOOKUP(E6242,E$1:E6241,1,FALSE()))),"OLD",IF(AND(E6242&lt;&gt;"",E6242&lt;&gt;"!!!"),"NEW","")))</f>
        <v> </v>
      </c>
      <c r="G6242" s="24" t="str">
        <f>IF(OR(E6242="",E6242="!!!"),"",IF(OR(J6242=0,AND(J6242=1,K6242=1),AND(J6242=1,I6242="SBJ"),AND(J6242=1,I6242=0)),"?IN_FOCUS",IF(J6242&lt;=2,"?ACTIVATED",IF(J6242&lt;&gt;"","?FAMILIAR",IF(F6242="NEW",IF(ISNA(VLOOKUP(E6242,#REF!,1,FALSE())),"?TYPE_IDENTIFIABLE","?REFERENTIAL"),"_")))))</f>
        <v> </v>
      </c>
      <c r="H6242" s="25" t="str">
        <f>IF(J6242&lt;&gt;1,"",IF(I6242="SBJ","CB","?"))</f>
        <v> </v>
      </c>
      <c r="I6242" s="26" t="str">
        <f>IF(OR(E6242="",E6242="!!!",F6242="NEW"),"",INDEX(B6241:B$2,-1+SUMPRODUCT(MAX(ROW(E6241:E$2)*(E6242=E6241:E$2)))))</f>
        <v> </v>
      </c>
      <c r="J6242" s="26" t="str">
        <f>IF(OR(E6242="",E6242="!!!",F6242="NEW"),"",COUNTBLANK(OFFSET(A$1,,,SUMPRODUCT(MAX(ROW(E$2:E6242)*(E6242=E$2:E6242)))))-COUNTBLANK(OFFSET(A$1,,,SUMPRODUCT(MAX(ROW(E$1:E6241)*(E2=E$1:E6241))))))</f>
        <v> </v>
      </c>
      <c r="K6242" s="26" t="str">
        <f>IF(OR(E6242="",E6242="!!!",F6242="NEW"),"",INDEX(J$1:J6241,SUMPRODUCT(MAX(ROW(E$1:E6241)*(E6242=E$1:E6241)))))</f>
        <v> </v>
      </c>
      <c r="L6242" s="27"/>
    </row>
    <row r="6243" spans="1:12">
      <c r="A6243" s="20" t="s">
        <v>2195</v>
      </c>
      <c r="E6243" s="22">
        <f>IF(D6243="?OLD","!!!","")</f>
        <v/>
      </c>
      <c r="F6243" s="23" t="str">
        <f>IF(OR(E6243="",E6243="!!!"),"",IF(NOT(ISNA(VLOOKUP(E6243,E$1:E6242,1,FALSE()))),"OLD",IF(AND(E6243&lt;&gt;"",E6243&lt;&gt;"!!!"),"NEW","")))</f>
        <v> </v>
      </c>
      <c r="G6243" s="24" t="str">
        <f>IF(OR(E6243="",E6243="!!!"),"",IF(OR(J6243=0,AND(J6243=1,K6243=1),AND(J6243=1,I6243="SBJ"),AND(J6243=1,I6243=0)),"?IN_FOCUS",IF(J6243&lt;=2,"?ACTIVATED",IF(J6243&lt;&gt;"","?FAMILIAR",IF(F6243="NEW",IF(ISNA(VLOOKUP(E6243,#REF!,1,FALSE())),"?TYPE_IDENTIFIABLE","?REFERENTIAL"),"_")))))</f>
        <v> </v>
      </c>
      <c r="H6243" s="25" t="str">
        <f>IF(J6243&lt;&gt;1,"",IF(I6243="SBJ","CB","?"))</f>
        <v> </v>
      </c>
      <c r="I6243" s="26" t="str">
        <f>IF(OR(E6243="",E6243="!!!",F6243="NEW"),"",INDEX(B6242:B$2,-1+SUMPRODUCT(MAX(ROW(E6242:E$2)*(E6243=E6242:E$2)))))</f>
        <v> </v>
      </c>
      <c r="J6243" s="26" t="str">
        <f>IF(OR(E6243="",E6243="!!!",F6243="NEW"),"",COUNTBLANK(OFFSET(A$1,,,SUMPRODUCT(MAX(ROW(E$2:E6243)*(E6243=E$2:E6243)))))-COUNTBLANK(OFFSET(A$1,,,SUMPRODUCT(MAX(ROW(E$1:E6242)*(E2=E$1:E6242))))))</f>
        <v> </v>
      </c>
      <c r="K6243" s="26" t="str">
        <f>IF(OR(E6243="",E6243="!!!",F6243="NEW"),"",INDEX(J$1:J6242,SUMPRODUCT(MAX(ROW(E$1:E6242)*(E6243=E$1:E6242)))))</f>
        <v> </v>
      </c>
      <c r="L6243" s="27"/>
    </row>
    <row r="6244" spans="1:12">
      <c r="A6244" s="20" t="s">
        <v>1027</v>
      </c>
      <c r="E6244" s="22">
        <f>IF(D6244="?OLD","!!!","")</f>
        <v/>
      </c>
      <c r="F6244" s="23" t="str">
        <f>IF(OR(E6244="",E6244="!!!"),"",IF(NOT(ISNA(VLOOKUP(E6244,E$1:E6243,1,FALSE()))),"OLD",IF(AND(E6244&lt;&gt;"",E6244&lt;&gt;"!!!"),"NEW","")))</f>
        <v> </v>
      </c>
      <c r="G6244" s="24" t="str">
        <f>IF(OR(E6244="",E6244="!!!"),"",IF(OR(J6244=0,AND(J6244=1,K6244=1),AND(J6244=1,I6244="SBJ"),AND(J6244=1,I6244=0)),"?IN_FOCUS",IF(J6244&lt;=2,"?ACTIVATED",IF(J6244&lt;&gt;"","?FAMILIAR",IF(F6244="NEW",IF(ISNA(VLOOKUP(E6244,#REF!,1,FALSE())),"?TYPE_IDENTIFIABLE","?REFERENTIAL"),"_")))))</f>
        <v> </v>
      </c>
      <c r="H6244" s="25" t="str">
        <f>IF(J6244&lt;&gt;1,"",IF(I6244="SBJ","CB","?"))</f>
        <v> </v>
      </c>
      <c r="I6244" s="26" t="str">
        <f>IF(OR(E6244="",E6244="!!!",F6244="NEW"),"",INDEX(B6243:B$2,-1+SUMPRODUCT(MAX(ROW(E6243:E$2)*(E6244=E6243:E$2)))))</f>
        <v> </v>
      </c>
      <c r="J6244" s="26" t="str">
        <f>IF(OR(E6244="",E6244="!!!",F6244="NEW"),"",COUNTBLANK(OFFSET(A$1,,,SUMPRODUCT(MAX(ROW(E$2:E6244)*(E6244=E$2:E6244)))))-COUNTBLANK(OFFSET(A$1,,,SUMPRODUCT(MAX(ROW(E$1:E6243)*(E2=E$1:E6243))))))</f>
        <v> </v>
      </c>
      <c r="K6244" s="26" t="str">
        <f>IF(OR(E6244="",E6244="!!!",F6244="NEW"),"",INDEX(J$1:J6243,SUMPRODUCT(MAX(ROW(E$1:E6243)*(E6244=E$1:E6243)))))</f>
        <v> </v>
      </c>
      <c r="L6244" s="27"/>
    </row>
    <row r="6245" spans="1:12">
      <c r="A6245" s="20" t="s">
        <v>1286</v>
      </c>
      <c r="E6245" s="22">
        <f>IF(D6245="?OLD","!!!","")</f>
        <v/>
      </c>
      <c r="F6245" s="23" t="str">
        <f>IF(OR(E6245="",E6245="!!!"),"",IF(NOT(ISNA(VLOOKUP(E6245,E$1:E6244,1,FALSE()))),"OLD",IF(AND(E6245&lt;&gt;"",E6245&lt;&gt;"!!!"),"NEW","")))</f>
        <v> </v>
      </c>
      <c r="G6245" s="24" t="str">
        <f>IF(OR(E6245="",E6245="!!!"),"",IF(OR(J6245=0,AND(J6245=1,K6245=1),AND(J6245=1,I6245="SBJ"),AND(J6245=1,I6245=0)),"?IN_FOCUS",IF(J6245&lt;=2,"?ACTIVATED",IF(J6245&lt;&gt;"","?FAMILIAR",IF(F6245="NEW",IF(ISNA(VLOOKUP(E6245,#REF!,1,FALSE())),"?TYPE_IDENTIFIABLE","?REFERENTIAL"),"_")))))</f>
        <v> </v>
      </c>
      <c r="H6245" s="25" t="str">
        <f>IF(J6245&lt;&gt;1,"",IF(I6245="SBJ","CB","?"))</f>
        <v> </v>
      </c>
      <c r="I6245" s="26" t="str">
        <f>IF(OR(E6245="",E6245="!!!",F6245="NEW"),"",INDEX(B6244:B$2,-1+SUMPRODUCT(MAX(ROW(E6244:E$2)*(E6245=E6244:E$2)))))</f>
        <v> </v>
      </c>
      <c r="J6245" s="26" t="str">
        <f>IF(OR(E6245="",E6245="!!!",F6245="NEW"),"",COUNTBLANK(OFFSET(A$1,,,SUMPRODUCT(MAX(ROW(E$2:E6245)*(E6245=E$2:E6245)))))-COUNTBLANK(OFFSET(A$1,,,SUMPRODUCT(MAX(ROW(E$1:E6244)*(E2=E$1:E6244))))))</f>
        <v> </v>
      </c>
      <c r="K6245" s="26" t="str">
        <f>IF(OR(E6245="",E6245="!!!",F6245="NEW"),"",INDEX(J$1:J6244,SUMPRODUCT(MAX(ROW(E$1:E6244)*(E6245=E$1:E6244)))))</f>
        <v> </v>
      </c>
      <c r="L6245" s="27"/>
    </row>
    <row r="6246" spans="1:12">
      <c r="A6246" s="20" t="s">
        <v>2643</v>
      </c>
      <c r="E6246" s="22">
        <f>IF(D6246="?OLD","!!!","")</f>
        <v/>
      </c>
      <c r="F6246" s="23" t="str">
        <f>IF(OR(E6246="",E6246="!!!"),"",IF(NOT(ISNA(VLOOKUP(E6246,E$1:E6245,1,FALSE()))),"OLD",IF(AND(E6246&lt;&gt;"",E6246&lt;&gt;"!!!"),"NEW","")))</f>
        <v> </v>
      </c>
      <c r="G6246" s="24" t="str">
        <f>IF(OR(E6246="",E6246="!!!"),"",IF(OR(J6246=0,AND(J6246=1,K6246=1),AND(J6246=1,I6246="SBJ"),AND(J6246=1,I6246=0)),"?IN_FOCUS",IF(J6246&lt;=2,"?ACTIVATED",IF(J6246&lt;&gt;"","?FAMILIAR",IF(F6246="NEW",IF(ISNA(VLOOKUP(E6246,#REF!,1,FALSE())),"?TYPE_IDENTIFIABLE","?REFERENTIAL"),"_")))))</f>
        <v> </v>
      </c>
      <c r="H6246" s="25" t="str">
        <f>IF(J6246&lt;&gt;1,"",IF(I6246="SBJ","CB","?"))</f>
        <v> </v>
      </c>
      <c r="I6246" s="26" t="str">
        <f>IF(OR(E6246="",E6246="!!!",F6246="NEW"),"",INDEX(B6245:B$2,-1+SUMPRODUCT(MAX(ROW(E6245:E$2)*(E6246=E6245:E$2)))))</f>
        <v> </v>
      </c>
      <c r="J6246" s="26" t="str">
        <f>IF(OR(E6246="",E6246="!!!",F6246="NEW"),"",COUNTBLANK(OFFSET(A$1,,,SUMPRODUCT(MAX(ROW(E$2:E6246)*(E6246=E$2:E6246)))))-COUNTBLANK(OFFSET(A$1,,,SUMPRODUCT(MAX(ROW(E$1:E6245)*(E2=E$1:E6245))))))</f>
        <v> </v>
      </c>
      <c r="K6246" s="26" t="str">
        <f>IF(OR(E6246="",E6246="!!!",F6246="NEW"),"",INDEX(J$1:J6245,SUMPRODUCT(MAX(ROW(E$1:E6245)*(E6246=E$1:E6245)))))</f>
        <v> </v>
      </c>
      <c r="L6246" s="27"/>
    </row>
    <row r="6247" spans="1:12">
      <c r="A6247" s="20" t="s">
        <v>2644</v>
      </c>
      <c r="B6247" s="21" t="s">
        <v>1042</v>
      </c>
      <c r="C6247" s="21" t="s">
        <v>1013</v>
      </c>
      <c r="D6247" s="21" t="s">
        <v>1007</v>
      </c>
      <c r="E6247" s="22">
        <f>IF(D6247="?OLD","!!!","")</f>
        <v/>
      </c>
      <c r="F6247" s="23" t="str">
        <f>IF(OR(E6247="",E6247="!!!"),"",IF(NOT(ISNA(VLOOKUP(E6247,E$1:E6246,1,FALSE()))),"OLD",IF(AND(E6247&lt;&gt;"",E6247&lt;&gt;"!!!"),"NEW","")))</f>
        <v> </v>
      </c>
      <c r="G6247" s="24" t="str">
        <f>IF(OR(E6247="",E6247="!!!"),"",IF(OR(J6247=0,AND(J6247=1,K6247=1),AND(J6247=1,I6247="SBJ"),AND(J6247=1,I6247=0)),"?IN_FOCUS",IF(J6247&lt;=2,"?ACTIVATED",IF(J6247&lt;&gt;"","?FAMILIAR",IF(F6247="NEW",IF(ISNA(VLOOKUP(E6247,#REF!,1,FALSE())),"?TYPE_IDENTIFIABLE","?REFERENTIAL"),"_")))))</f>
        <v> </v>
      </c>
      <c r="H6247" s="25" t="str">
        <f>IF(J6247&lt;&gt;1,"",IF(I6247="SBJ","CB","?"))</f>
        <v> </v>
      </c>
      <c r="I6247" s="26" t="str">
        <f>IF(OR(E6247="",E6247="!!!",F6247="NEW"),"",INDEX(B6246:B$2,-1+SUMPRODUCT(MAX(ROW(E6246:E$2)*(E6247=E6246:E$2)))))</f>
        <v> </v>
      </c>
      <c r="J6247" s="26" t="str">
        <f>IF(OR(E6247="",E6247="!!!",F6247="NEW"),"",COUNTBLANK(OFFSET(A$1,,,SUMPRODUCT(MAX(ROW(E$2:E6247)*(E6247=E$2:E6247)))))-COUNTBLANK(OFFSET(A$1,,,SUMPRODUCT(MAX(ROW(E$1:E6246)*(E2=E$1:E6246))))))</f>
        <v> </v>
      </c>
      <c r="K6247" s="26" t="str">
        <f>IF(OR(E6247="",E6247="!!!",F6247="NEW"),"",INDEX(J$1:J6246,SUMPRODUCT(MAX(ROW(E$1:E6246)*(E6247=E$1:E6246)))))</f>
        <v> </v>
      </c>
      <c r="L6247" s="27"/>
    </row>
    <row r="6248" spans="1:12">
      <c r="A6248" s="20" t="s">
        <v>1014</v>
      </c>
      <c r="E6248" s="22">
        <f>IF(D6248="?OLD","!!!","")</f>
        <v/>
      </c>
      <c r="F6248" s="23" t="str">
        <f>IF(OR(E6248="",E6248="!!!"),"",IF(NOT(ISNA(VLOOKUP(E6248,E$1:E6247,1,FALSE()))),"OLD",IF(AND(E6248&lt;&gt;"",E6248&lt;&gt;"!!!"),"NEW","")))</f>
        <v> </v>
      </c>
      <c r="G6248" s="24" t="str">
        <f>IF(OR(E6248="",E6248="!!!"),"",IF(OR(J6248=0,AND(J6248=1,K6248=1),AND(J6248=1,I6248="SBJ"),AND(J6248=1,I6248=0)),"?IN_FOCUS",IF(J6248&lt;=2,"?ACTIVATED",IF(J6248&lt;&gt;"","?FAMILIAR",IF(F6248="NEW",IF(ISNA(VLOOKUP(E6248,#REF!,1,FALSE())),"?TYPE_IDENTIFIABLE","?REFERENTIAL"),"_")))))</f>
        <v> </v>
      </c>
      <c r="H6248" s="25" t="str">
        <f>IF(J6248&lt;&gt;1,"",IF(I6248="SBJ","CB","?"))</f>
        <v> </v>
      </c>
      <c r="I6248" s="26" t="str">
        <f>IF(OR(E6248="",E6248="!!!",F6248="NEW"),"",INDEX(B6247:B$2,-1+SUMPRODUCT(MAX(ROW(E6247:E$2)*(E6248=E6247:E$2)))))</f>
        <v> </v>
      </c>
      <c r="J6248" s="26" t="str">
        <f>IF(OR(E6248="",E6248="!!!",F6248="NEW"),"",COUNTBLANK(OFFSET(A$1,,,SUMPRODUCT(MAX(ROW(E$2:E6248)*(E6248=E$2:E6248)))))-COUNTBLANK(OFFSET(A$1,,,SUMPRODUCT(MAX(ROW(E$1:E6247)*(E2=E$1:E6247))))))</f>
        <v> </v>
      </c>
      <c r="K6248" s="26" t="str">
        <f>IF(OR(E6248="",E6248="!!!",F6248="NEW"),"",INDEX(J$1:J6247,SUMPRODUCT(MAX(ROW(E$1:E6247)*(E6248=E$1:E6247)))))</f>
        <v> </v>
      </c>
      <c r="L6248" s="27"/>
    </row>
    <row r="6249" spans="1:12">
      <c r="A6249" s="20" t="s">
        <v>1243</v>
      </c>
      <c r="B6249" s="21" t="s">
        <v>1044</v>
      </c>
      <c r="C6249" s="21" t="s">
        <v>1013</v>
      </c>
      <c r="D6249" s="21" t="s">
        <v>1007</v>
      </c>
      <c r="E6249" s="22">
        <f>IF(D6249="?OLD","!!!","")</f>
        <v/>
      </c>
      <c r="F6249" s="23" t="str">
        <f>IF(OR(E6249="",E6249="!!!"),"",IF(NOT(ISNA(VLOOKUP(E6249,E$1:E6248,1,FALSE()))),"OLD",IF(AND(E6249&lt;&gt;"",E6249&lt;&gt;"!!!"),"NEW","")))</f>
        <v> </v>
      </c>
      <c r="G6249" s="24" t="str">
        <f>IF(OR(E6249="",E6249="!!!"),"",IF(OR(J6249=0,AND(J6249=1,K6249=1),AND(J6249=1,I6249="SBJ"),AND(J6249=1,I6249=0)),"?IN_FOCUS",IF(J6249&lt;=2,"?ACTIVATED",IF(J6249&lt;&gt;"","?FAMILIAR",IF(F6249="NEW",IF(ISNA(VLOOKUP(E6249,#REF!,1,FALSE())),"?TYPE_IDENTIFIABLE","?REFERENTIAL"),"_")))))</f>
        <v> </v>
      </c>
      <c r="H6249" s="25" t="str">
        <f>IF(J6249&lt;&gt;1,"",IF(I6249="SBJ","CB","?"))</f>
        <v> </v>
      </c>
      <c r="I6249" s="26" t="str">
        <f>IF(OR(E6249="",E6249="!!!",F6249="NEW"),"",INDEX(B6248:B$2,-1+SUMPRODUCT(MAX(ROW(E6248:E$2)*(E6249=E6248:E$2)))))</f>
        <v> </v>
      </c>
      <c r="J6249" s="26" t="str">
        <f>IF(OR(E6249="",E6249="!!!",F6249="NEW"),"",COUNTBLANK(OFFSET(A$1,,,SUMPRODUCT(MAX(ROW(E$2:E6249)*(E6249=E$2:E6249)))))-COUNTBLANK(OFFSET(A$1,,,SUMPRODUCT(MAX(ROW(E$1:E6248)*(E2=E$1:E6248))))))</f>
        <v> </v>
      </c>
      <c r="K6249" s="26" t="str">
        <f>IF(OR(E6249="",E6249="!!!",F6249="NEW"),"",INDEX(J$1:J6248,SUMPRODUCT(MAX(ROW(E$1:E6248)*(E6249=E$1:E6248)))))</f>
        <v> </v>
      </c>
      <c r="L6249" s="27"/>
    </row>
    <row r="6250" spans="1:12">
      <c r="A6250" s="20" t="s">
        <v>1030</v>
      </c>
      <c r="E6250" s="22">
        <f>IF(D6250="?OLD","!!!","")</f>
        <v/>
      </c>
      <c r="F6250" s="23" t="str">
        <f>IF(OR(E6250="",E6250="!!!"),"",IF(NOT(ISNA(VLOOKUP(E6250,E$1:E6249,1,FALSE()))),"OLD",IF(AND(E6250&lt;&gt;"",E6250&lt;&gt;"!!!"),"NEW","")))</f>
        <v> </v>
      </c>
      <c r="G6250" s="24" t="str">
        <f>IF(OR(E6250="",E6250="!!!"),"",IF(OR(J6250=0,AND(J6250=1,K6250=1),AND(J6250=1,I6250="SBJ"),AND(J6250=1,I6250=0)),"?IN_FOCUS",IF(J6250&lt;=2,"?ACTIVATED",IF(J6250&lt;&gt;"","?FAMILIAR",IF(F6250="NEW",IF(ISNA(VLOOKUP(E6250,#REF!,1,FALSE())),"?TYPE_IDENTIFIABLE","?REFERENTIAL"),"_")))))</f>
        <v> </v>
      </c>
      <c r="H6250" s="25" t="str">
        <f>IF(J6250&lt;&gt;1,"",IF(I6250="SBJ","CB","?"))</f>
        <v> </v>
      </c>
      <c r="I6250" s="26" t="str">
        <f>IF(OR(E6250="",E6250="!!!",F6250="NEW"),"",INDEX(B6249:B$2,-1+SUMPRODUCT(MAX(ROW(E6249:E$2)*(E6250=E6249:E$2)))))</f>
        <v> </v>
      </c>
      <c r="J6250" s="26" t="str">
        <f>IF(OR(E6250="",E6250="!!!",F6250="NEW"),"",COUNTBLANK(OFFSET(A$1,,,SUMPRODUCT(MAX(ROW(E$2:E6250)*(E6250=E$2:E6250)))))-COUNTBLANK(OFFSET(A$1,,,SUMPRODUCT(MAX(ROW(E$1:E6249)*(E2=E$1:E6249))))))</f>
        <v> </v>
      </c>
      <c r="K6250" s="26" t="str">
        <f>IF(OR(E6250="",E6250="!!!",F6250="NEW"),"",INDEX(J$1:J6249,SUMPRODUCT(MAX(ROW(E$1:E6249)*(E6250=E$1:E6249)))))</f>
        <v> </v>
      </c>
      <c r="L6250" s="27"/>
    </row>
    <row r="6251" spans="1:12">
      <c r="A6251" s="20" t="s">
        <v>1433</v>
      </c>
      <c r="E6251" s="22">
        <f>IF(D6251="?OLD","!!!","")</f>
        <v/>
      </c>
      <c r="F6251" s="23" t="str">
        <f>IF(OR(E6251="",E6251="!!!"),"",IF(NOT(ISNA(VLOOKUP(E6251,E$1:E6250,1,FALSE()))),"OLD",IF(AND(E6251&lt;&gt;"",E6251&lt;&gt;"!!!"),"NEW","")))</f>
        <v> </v>
      </c>
      <c r="G6251" s="24" t="str">
        <f>IF(OR(E6251="",E6251="!!!"),"",IF(OR(J6251=0,AND(J6251=1,K6251=1),AND(J6251=1,I6251="SBJ"),AND(J6251=1,I6251=0)),"?IN_FOCUS",IF(J6251&lt;=2,"?ACTIVATED",IF(J6251&lt;&gt;"","?FAMILIAR",IF(F6251="NEW",IF(ISNA(VLOOKUP(E6251,#REF!,1,FALSE())),"?TYPE_IDENTIFIABLE","?REFERENTIAL"),"_")))))</f>
        <v> </v>
      </c>
      <c r="H6251" s="25" t="str">
        <f>IF(J6251&lt;&gt;1,"",IF(I6251="SBJ","CB","?"))</f>
        <v> </v>
      </c>
      <c r="I6251" s="26" t="str">
        <f>IF(OR(E6251="",E6251="!!!",F6251="NEW"),"",INDEX(B6250:B$2,-1+SUMPRODUCT(MAX(ROW(E6250:E$2)*(E6251=E6250:E$2)))))</f>
        <v> </v>
      </c>
      <c r="J6251" s="26" t="str">
        <f>IF(OR(E6251="",E6251="!!!",F6251="NEW"),"",COUNTBLANK(OFFSET(A$1,,,SUMPRODUCT(MAX(ROW(E$2:E6251)*(E6251=E$2:E6251)))))-COUNTBLANK(OFFSET(A$1,,,SUMPRODUCT(MAX(ROW(E$1:E6250)*(E2=E$1:E6250))))))</f>
        <v> </v>
      </c>
      <c r="K6251" s="26" t="str">
        <f>IF(OR(E6251="",E6251="!!!",F6251="NEW"),"",INDEX(J$1:J6250,SUMPRODUCT(MAX(ROW(E$1:E6250)*(E6251=E$1:E6250)))))</f>
        <v> </v>
      </c>
      <c r="L6251" s="27"/>
    </row>
    <row r="6252" spans="1:12">
      <c r="A6252" s="20" t="s">
        <v>102</v>
      </c>
      <c r="E6252" s="22">
        <f>IF(D6252="?OLD","!!!","")</f>
        <v/>
      </c>
      <c r="F6252" s="23" t="str">
        <f>IF(OR(E6252="",E6252="!!!"),"",IF(NOT(ISNA(VLOOKUP(E6252,E$1:E6251,1,FALSE()))),"OLD",IF(AND(E6252&lt;&gt;"",E6252&lt;&gt;"!!!"),"NEW","")))</f>
        <v> </v>
      </c>
      <c r="G6252" s="24" t="str">
        <f>IF(OR(E6252="",E6252="!!!"),"",IF(OR(J6252=0,AND(J6252=1,K6252=1),AND(J6252=1,I6252="SBJ"),AND(J6252=1,I6252=0)),"?IN_FOCUS",IF(J6252&lt;=2,"?ACTIVATED",IF(J6252&lt;&gt;"","?FAMILIAR",IF(F6252="NEW",IF(ISNA(VLOOKUP(E6252,#REF!,1,FALSE())),"?TYPE_IDENTIFIABLE","?REFERENTIAL"),"_")))))</f>
        <v> </v>
      </c>
      <c r="H6252" s="25" t="str">
        <f>IF(J6252&lt;&gt;1,"",IF(I6252="SBJ","CB","?"))</f>
        <v> </v>
      </c>
      <c r="I6252" s="26" t="str">
        <f>IF(OR(E6252="",E6252="!!!",F6252="NEW"),"",INDEX(B6251:B$2,-1+SUMPRODUCT(MAX(ROW(E6251:E$2)*(E6252=E6251:E$2)))))</f>
        <v> </v>
      </c>
      <c r="J6252" s="26" t="str">
        <f>IF(OR(E6252="",E6252="!!!",F6252="NEW"),"",COUNTBLANK(OFFSET(A$1,,,SUMPRODUCT(MAX(ROW(E$2:E6252)*(E6252=E$2:E6252)))))-COUNTBLANK(OFFSET(A$1,,,SUMPRODUCT(MAX(ROW(E$1:E6251)*(E2=E$1:E6251))))))</f>
        <v> </v>
      </c>
      <c r="K6252" s="26" t="str">
        <f>IF(OR(E6252="",E6252="!!!",F6252="NEW"),"",INDEX(J$1:J6251,SUMPRODUCT(MAX(ROW(E$1:E6251)*(E6252=E$1:E6251)))))</f>
        <v> </v>
      </c>
      <c r="L6252" s="27"/>
    </row>
    <row r="6253" spans="1:12">
      <c r="A6253" s="20" t="s">
        <v>1156</v>
      </c>
      <c r="B6253" s="21" t="s">
        <v>1215</v>
      </c>
      <c r="C6253" s="21" t="s">
        <v>1017</v>
      </c>
      <c r="D6253" s="21" t="s">
        <v>1007</v>
      </c>
      <c r="E6253" s="22">
        <f>IF(D6253="?OLD","!!!","")</f>
        <v/>
      </c>
      <c r="F6253" s="23" t="str">
        <f>IF(OR(E6253="",E6253="!!!"),"",IF(NOT(ISNA(VLOOKUP(E6253,E$1:E6252,1,FALSE()))),"OLD",IF(AND(E6253&lt;&gt;"",E6253&lt;&gt;"!!!"),"NEW","")))</f>
        <v> </v>
      </c>
      <c r="G6253" s="24" t="str">
        <f>IF(OR(E6253="",E6253="!!!"),"",IF(OR(J6253=0,AND(J6253=1,K6253=1),AND(J6253=1,I6253="SBJ"),AND(J6253=1,I6253=0)),"?IN_FOCUS",IF(J6253&lt;=2,"?ACTIVATED",IF(J6253&lt;&gt;"","?FAMILIAR",IF(F6253="NEW",IF(ISNA(VLOOKUP(E6253,#REF!,1,FALSE())),"?TYPE_IDENTIFIABLE","?REFERENTIAL"),"_")))))</f>
        <v> </v>
      </c>
      <c r="H6253" s="25" t="str">
        <f>IF(J6253&lt;&gt;1,"",IF(I6253="SBJ","CB","?"))</f>
        <v> </v>
      </c>
      <c r="I6253" s="26" t="str">
        <f>IF(OR(E6253="",E6253="!!!",F6253="NEW"),"",INDEX(B6252:B$2,-1+SUMPRODUCT(MAX(ROW(E6252:E$2)*(E6253=E6252:E$2)))))</f>
        <v> </v>
      </c>
      <c r="J6253" s="26" t="str">
        <f>IF(OR(E6253="",E6253="!!!",F6253="NEW"),"",COUNTBLANK(OFFSET(A$1,,,SUMPRODUCT(MAX(ROW(E$2:E6253)*(E6253=E$2:E6253)))))-COUNTBLANK(OFFSET(A$1,,,SUMPRODUCT(MAX(ROW(E$1:E6252)*(E2=E$1:E6252))))))</f>
        <v> </v>
      </c>
      <c r="K6253" s="26" t="str">
        <f>IF(OR(E6253="",E6253="!!!",F6253="NEW"),"",INDEX(J$1:J6252,SUMPRODUCT(MAX(ROW(E$1:E6252)*(E6253=E$1:E6252)))))</f>
        <v> </v>
      </c>
      <c r="L6253" s="27"/>
    </row>
    <row r="6254" spans="1:12">
      <c r="A6254" s="20" t="s">
        <v>1018</v>
      </c>
      <c r="E6254" s="22">
        <f>IF(D6254="?OLD","!!!","")</f>
        <v/>
      </c>
      <c r="F6254" s="23" t="str">
        <f>IF(OR(E6254="",E6254="!!!"),"",IF(NOT(ISNA(VLOOKUP(E6254,E$1:E6253,1,FALSE()))),"OLD",IF(AND(E6254&lt;&gt;"",E6254&lt;&gt;"!!!"),"NEW","")))</f>
        <v> </v>
      </c>
      <c r="G6254" s="24" t="str">
        <f>IF(OR(E6254="",E6254="!!!"),"",IF(OR(J6254=0,AND(J6254=1,K6254=1),AND(J6254=1,I6254="SBJ"),AND(J6254=1,I6254=0)),"?IN_FOCUS",IF(J6254&lt;=2,"?ACTIVATED",IF(J6254&lt;&gt;"","?FAMILIAR",IF(F6254="NEW",IF(ISNA(VLOOKUP(E6254,#REF!,1,FALSE())),"?TYPE_IDENTIFIABLE","?REFERENTIAL"),"_")))))</f>
        <v> </v>
      </c>
      <c r="H6254" s="25" t="str">
        <f>IF(J6254&lt;&gt;1,"",IF(I6254="SBJ","CB","?"))</f>
        <v> </v>
      </c>
      <c r="I6254" s="26" t="str">
        <f>IF(OR(E6254="",E6254="!!!",F6254="NEW"),"",INDEX(B6253:B$2,-1+SUMPRODUCT(MAX(ROW(E6253:E$2)*(E6254=E6253:E$2)))))</f>
        <v> </v>
      </c>
      <c r="J6254" s="26" t="str">
        <f>IF(OR(E6254="",E6254="!!!",F6254="NEW"),"",COUNTBLANK(OFFSET(A$1,,,SUMPRODUCT(MAX(ROW(E$2:E6254)*(E6254=E$2:E6254)))))-COUNTBLANK(OFFSET(A$1,,,SUMPRODUCT(MAX(ROW(E$1:E6253)*(E2=E$1:E6253))))))</f>
        <v> </v>
      </c>
      <c r="K6254" s="26" t="str">
        <f>IF(OR(E6254="",E6254="!!!",F6254="NEW"),"",INDEX(J$1:J6253,SUMPRODUCT(MAX(ROW(E$1:E6253)*(E6254=E$1:E6253)))))</f>
        <v> </v>
      </c>
      <c r="L6254" s="27"/>
    </row>
    <row r="6255" spans="1:12">
      <c r="A6255" s="20" t="s">
        <v>56</v>
      </c>
      <c r="E6255" s="22">
        <f>IF(D6255="?OLD","!!!","")</f>
        <v/>
      </c>
      <c r="F6255" s="23" t="str">
        <f>IF(OR(E6255="",E6255="!!!"),"",IF(NOT(ISNA(VLOOKUP(E6255,E$1:E6254,1,FALSE()))),"OLD",IF(AND(E6255&lt;&gt;"",E6255&lt;&gt;"!!!"),"NEW","")))</f>
        <v> </v>
      </c>
      <c r="G6255" s="24" t="str">
        <f>IF(OR(E6255="",E6255="!!!"),"",IF(OR(J6255=0,AND(J6255=1,K6255=1),AND(J6255=1,I6255="SBJ"),AND(J6255=1,I6255=0)),"?IN_FOCUS",IF(J6255&lt;=2,"?ACTIVATED",IF(J6255&lt;&gt;"","?FAMILIAR",IF(F6255="NEW",IF(ISNA(VLOOKUP(E6255,#REF!,1,FALSE())),"?TYPE_IDENTIFIABLE","?REFERENTIAL"),"_")))))</f>
        <v> </v>
      </c>
      <c r="H6255" s="25" t="str">
        <f>IF(J6255&lt;&gt;1,"",IF(I6255="SBJ","CB","?"))</f>
        <v> </v>
      </c>
      <c r="I6255" s="26" t="str">
        <f>IF(OR(E6255="",E6255="!!!",F6255="NEW"),"",INDEX(B6254:B$2,-1+SUMPRODUCT(MAX(ROW(E6254:E$2)*(E6255=E6254:E$2)))))</f>
        <v> </v>
      </c>
      <c r="J6255" s="26" t="str">
        <f>IF(OR(E6255="",E6255="!!!",F6255="NEW"),"",COUNTBLANK(OFFSET(A$1,,,SUMPRODUCT(MAX(ROW(E$2:E6255)*(E6255=E$2:E6255)))))-COUNTBLANK(OFFSET(A$1,,,SUMPRODUCT(MAX(ROW(E$1:E6254)*(E2=E$1:E6254))))))</f>
        <v> </v>
      </c>
      <c r="K6255" s="26" t="str">
        <f>IF(OR(E6255="",E6255="!!!",F6255="NEW"),"",INDEX(J$1:J6254,SUMPRODUCT(MAX(ROW(E$1:E6254)*(E6255=E$1:E6254)))))</f>
        <v> </v>
      </c>
      <c r="L6255" s="27"/>
    </row>
    <row r="6256" spans="1:12">
      <c r="A6256" s="20" t="s">
        <v>2645</v>
      </c>
      <c r="E6256" s="22">
        <f>IF(D6256="?OLD","!!!","")</f>
        <v/>
      </c>
      <c r="F6256" s="23" t="str">
        <f>IF(OR(E6256="",E6256="!!!"),"",IF(NOT(ISNA(VLOOKUP(E6256,E$1:E6255,1,FALSE()))),"OLD",IF(AND(E6256&lt;&gt;"",E6256&lt;&gt;"!!!"),"NEW","")))</f>
        <v> </v>
      </c>
      <c r="G6256" s="24" t="str">
        <f>IF(OR(E6256="",E6256="!!!"),"",IF(OR(J6256=0,AND(J6256=1,K6256=1),AND(J6256=1,I6256="SBJ"),AND(J6256=1,I6256=0)),"?IN_FOCUS",IF(J6256&lt;=2,"?ACTIVATED",IF(J6256&lt;&gt;"","?FAMILIAR",IF(F6256="NEW",IF(ISNA(VLOOKUP(E6256,#REF!,1,FALSE())),"?TYPE_IDENTIFIABLE","?REFERENTIAL"),"_")))))</f>
        <v> </v>
      </c>
      <c r="H6256" s="25" t="str">
        <f>IF(J6256&lt;&gt;1,"",IF(I6256="SBJ","CB","?"))</f>
        <v> </v>
      </c>
      <c r="I6256" s="26" t="str">
        <f>IF(OR(E6256="",E6256="!!!",F6256="NEW"),"",INDEX(B6255:B$2,-1+SUMPRODUCT(MAX(ROW(E6255:E$2)*(E6256=E6255:E$2)))))</f>
        <v> </v>
      </c>
      <c r="J6256" s="26" t="str">
        <f>IF(OR(E6256="",E6256="!!!",F6256="NEW"),"",COUNTBLANK(OFFSET(A$1,,,SUMPRODUCT(MAX(ROW(E$2:E6256)*(E6256=E$2:E6256)))))-COUNTBLANK(OFFSET(A$1,,,SUMPRODUCT(MAX(ROW(E$1:E6255)*(E2=E$1:E6255))))))</f>
        <v> </v>
      </c>
      <c r="K6256" s="26" t="str">
        <f>IF(OR(E6256="",E6256="!!!",F6256="NEW"),"",INDEX(J$1:J6255,SUMPRODUCT(MAX(ROW(E$1:E6255)*(E6256=E$1:E6255)))))</f>
        <v> </v>
      </c>
      <c r="L6256" s="27"/>
    </row>
    <row r="6257" spans="1:12">
      <c r="A6257" s="20" t="s">
        <v>1023</v>
      </c>
      <c r="E6257" s="22">
        <f>IF(D6257="?OLD","!!!","")</f>
        <v/>
      </c>
      <c r="F6257" s="23" t="str">
        <f>IF(OR(E6257="",E6257="!!!"),"",IF(NOT(ISNA(VLOOKUP(E6257,E$1:E6256,1,FALSE()))),"OLD",IF(AND(E6257&lt;&gt;"",E6257&lt;&gt;"!!!"),"NEW","")))</f>
        <v> </v>
      </c>
      <c r="G6257" s="24" t="str">
        <f>IF(OR(E6257="",E6257="!!!"),"",IF(OR(J6257=0,AND(J6257=1,K6257=1),AND(J6257=1,I6257="SBJ"),AND(J6257=1,I6257=0)),"?IN_FOCUS",IF(J6257&lt;=2,"?ACTIVATED",IF(J6257&lt;&gt;"","?FAMILIAR",IF(F6257="NEW",IF(ISNA(VLOOKUP(E6257,#REF!,1,FALSE())),"?TYPE_IDENTIFIABLE","?REFERENTIAL"),"_")))))</f>
        <v> </v>
      </c>
      <c r="H6257" s="25" t="str">
        <f>IF(J6257&lt;&gt;1,"",IF(I6257="SBJ","CB","?"))</f>
        <v> </v>
      </c>
      <c r="I6257" s="26" t="str">
        <f>IF(OR(E6257="",E6257="!!!",F6257="NEW"),"",INDEX(B6256:B$2,-1+SUMPRODUCT(MAX(ROW(E6256:E$2)*(E6257=E6256:E$2)))))</f>
        <v> </v>
      </c>
      <c r="J6257" s="26" t="str">
        <f>IF(OR(E6257="",E6257="!!!",F6257="NEW"),"",COUNTBLANK(OFFSET(A$1,,,SUMPRODUCT(MAX(ROW(E$2:E6257)*(E6257=E$2:E6257)))))-COUNTBLANK(OFFSET(A$1,,,SUMPRODUCT(MAX(ROW(E$1:E6256)*(E2=E$1:E6256))))))</f>
        <v> </v>
      </c>
      <c r="K6257" s="26" t="str">
        <f>IF(OR(E6257="",E6257="!!!",F6257="NEW"),"",INDEX(J$1:J6256,SUMPRODUCT(MAX(ROW(E$1:E6256)*(E6257=E$1:E6256)))))</f>
        <v> </v>
      </c>
      <c r="L6257" s="27"/>
    </row>
    <row r="6258" spans="1:12">
      <c r="A6258" s="20"/>
    </row>
    <row r="6259" spans="1:12">
      <c r="A6259" s="20" t="s">
        <v>2646</v>
      </c>
    </row>
    <row r="6260" spans="1:12">
      <c r="A6260" s="20" t="s">
        <v>1175</v>
      </c>
      <c r="E6260" s="22">
        <f>IF(D6260="?OLD","!!!","")</f>
        <v/>
      </c>
      <c r="F6260" s="23" t="str">
        <f>IF(OR(E6260="",E6260="!!!"),"",IF(NOT(ISNA(VLOOKUP(E6260,E$1:E6259,1,FALSE()))),"OLD",IF(AND(E6260&lt;&gt;"",E6260&lt;&gt;"!!!"),"NEW","")))</f>
        <v> </v>
      </c>
      <c r="G6260" s="24" t="str">
        <f>IF(OR(E6260="",E6260="!!!"),"",IF(OR(J6260=0,AND(J6260=1,K6260=1),AND(J6260=1,I6260="SBJ"),AND(J6260=1,I6260=0)),"?IN_FOCUS",IF(J6260&lt;=2,"?ACTIVATED",IF(J6260&lt;&gt;"","?FAMILIAR",IF(F6260="NEW",IF(ISNA(VLOOKUP(E6260,#REF!,1,FALSE())),"?TYPE_IDENTIFIABLE","?REFERENTIAL"),"_")))))</f>
        <v> </v>
      </c>
      <c r="H6260" s="25" t="str">
        <f>IF(J6260&lt;&gt;1,"",IF(I6260="SBJ","CB","?"))</f>
        <v> </v>
      </c>
      <c r="I6260" s="26" t="str">
        <f>IF(OR(E6260="",E6260="!!!",F6260="NEW"),"",INDEX(B6259:B$2,-1+SUMPRODUCT(MAX(ROW(E6259:E$2)*(E6260=E6259:E$2)))))</f>
        <v> </v>
      </c>
      <c r="J6260" s="26" t="str">
        <f>IF(OR(E6260="",E6260="!!!",F6260="NEW"),"",COUNTBLANK(OFFSET(A$1,,,SUMPRODUCT(MAX(ROW(E$2:E6260)*(E6260=E$2:E6260)))))-COUNTBLANK(OFFSET(A$1,,,SUMPRODUCT(MAX(ROW(E$1:E6259)*(E2=E$1:E6259))))))</f>
        <v> </v>
      </c>
      <c r="K6260" s="26" t="str">
        <f>IF(OR(E6260="",E6260="!!!",F6260="NEW"),"",INDEX(J$1:J6259,SUMPRODUCT(MAX(ROW(E$1:E6259)*(E6260=E$1:E6259)))))</f>
        <v> </v>
      </c>
      <c r="L6260" s="27"/>
    </row>
    <row r="6261" spans="1:12">
      <c r="A6261" s="20" t="s">
        <v>1139</v>
      </c>
      <c r="E6261" s="22">
        <f>IF(D6261="?OLD","!!!","")</f>
        <v/>
      </c>
      <c r="F6261" s="23" t="str">
        <f>IF(OR(E6261="",E6261="!!!"),"",IF(NOT(ISNA(VLOOKUP(E6261,E$1:E6260,1,FALSE()))),"OLD",IF(AND(E6261&lt;&gt;"",E6261&lt;&gt;"!!!"),"NEW","")))</f>
        <v> </v>
      </c>
      <c r="G6261" s="24" t="str">
        <f>IF(OR(E6261="",E6261="!!!"),"",IF(OR(J6261=0,AND(J6261=1,K6261=1),AND(J6261=1,I6261="SBJ"),AND(J6261=1,I6261=0)),"?IN_FOCUS",IF(J6261&lt;=2,"?ACTIVATED",IF(J6261&lt;&gt;"","?FAMILIAR",IF(F6261="NEW",IF(ISNA(VLOOKUP(E6261,#REF!,1,FALSE())),"?TYPE_IDENTIFIABLE","?REFERENTIAL"),"_")))))</f>
        <v> </v>
      </c>
      <c r="H6261" s="25" t="str">
        <f>IF(J6261&lt;&gt;1,"",IF(I6261="SBJ","CB","?"))</f>
        <v> </v>
      </c>
      <c r="I6261" s="26" t="str">
        <f>IF(OR(E6261="",E6261="!!!",F6261="NEW"),"",INDEX(B6260:B$2,-1+SUMPRODUCT(MAX(ROW(E6260:E$2)*(E6261=E6260:E$2)))))</f>
        <v> </v>
      </c>
      <c r="J6261" s="26" t="str">
        <f>IF(OR(E6261="",E6261="!!!",F6261="NEW"),"",COUNTBLANK(OFFSET(A$1,,,SUMPRODUCT(MAX(ROW(E$2:E6261)*(E6261=E$2:E6261)))))-COUNTBLANK(OFFSET(A$1,,,SUMPRODUCT(MAX(ROW(E$1:E6260)*(E2=E$1:E6260))))))</f>
        <v> </v>
      </c>
      <c r="K6261" s="26" t="str">
        <f>IF(OR(E6261="",E6261="!!!",F6261="NEW"),"",INDEX(J$1:J6260,SUMPRODUCT(MAX(ROW(E$1:E6260)*(E6261=E$1:E6260)))))</f>
        <v> </v>
      </c>
      <c r="L6261" s="27"/>
    </row>
    <row r="6262" spans="1:12">
      <c r="A6262" s="20" t="s">
        <v>1065</v>
      </c>
      <c r="E6262" s="22">
        <f>IF(D6262="?OLD","!!!","")</f>
        <v/>
      </c>
      <c r="F6262" s="23" t="str">
        <f>IF(OR(E6262="",E6262="!!!"),"",IF(NOT(ISNA(VLOOKUP(E6262,E$1:E6261,1,FALSE()))),"OLD",IF(AND(E6262&lt;&gt;"",E6262&lt;&gt;"!!!"),"NEW","")))</f>
        <v> </v>
      </c>
      <c r="G6262" s="24" t="str">
        <f>IF(OR(E6262="",E6262="!!!"),"",IF(OR(J6262=0,AND(J6262=1,K6262=1),AND(J6262=1,I6262="SBJ"),AND(J6262=1,I6262=0)),"?IN_FOCUS",IF(J6262&lt;=2,"?ACTIVATED",IF(J6262&lt;&gt;"","?FAMILIAR",IF(F6262="NEW",IF(ISNA(VLOOKUP(E6262,#REF!,1,FALSE())),"?TYPE_IDENTIFIABLE","?REFERENTIAL"),"_")))))</f>
        <v> </v>
      </c>
      <c r="H6262" s="25" t="str">
        <f>IF(J6262&lt;&gt;1,"",IF(I6262="SBJ","CB","?"))</f>
        <v> </v>
      </c>
      <c r="I6262" s="26" t="str">
        <f>IF(OR(E6262="",E6262="!!!",F6262="NEW"),"",INDEX(B6261:B$2,-1+SUMPRODUCT(MAX(ROW(E6261:E$2)*(E6262=E6261:E$2)))))</f>
        <v> </v>
      </c>
      <c r="J6262" s="26" t="str">
        <f>IF(OR(E6262="",E6262="!!!",F6262="NEW"),"",COUNTBLANK(OFFSET(A$1,,,SUMPRODUCT(MAX(ROW(E$2:E6262)*(E6262=E$2:E6262)))))-COUNTBLANK(OFFSET(A$1,,,SUMPRODUCT(MAX(ROW(E$1:E6261)*(E2=E$1:E6261))))))</f>
        <v> </v>
      </c>
      <c r="K6262" s="26" t="str">
        <f>IF(OR(E6262="",E6262="!!!",F6262="NEW"),"",INDEX(J$1:J6261,SUMPRODUCT(MAX(ROW(E$1:E6261)*(E6262=E$1:E6261)))))</f>
        <v> </v>
      </c>
      <c r="L6262" s="27"/>
    </row>
    <row r="6263" spans="1:12">
      <c r="A6263" s="20" t="s">
        <v>1140</v>
      </c>
      <c r="B6263" s="21" t="s">
        <v>1119</v>
      </c>
      <c r="C6263" s="21" t="s">
        <v>1073</v>
      </c>
      <c r="D6263" s="21" t="s">
        <v>1007</v>
      </c>
      <c r="E6263" s="22">
        <f>IF(D6263="?OLD","!!!","")</f>
        <v/>
      </c>
      <c r="F6263" s="23" t="str">
        <f>IF(OR(E6263="",E6263="!!!"),"",IF(NOT(ISNA(VLOOKUP(E6263,E$1:E6262,1,FALSE()))),"OLD",IF(AND(E6263&lt;&gt;"",E6263&lt;&gt;"!!!"),"NEW","")))</f>
        <v> </v>
      </c>
      <c r="G6263" s="24" t="str">
        <f>IF(OR(E6263="",E6263="!!!"),"",IF(OR(J6263=0,AND(J6263=1,K6263=1),AND(J6263=1,I6263="SBJ"),AND(J6263=1,I6263=0)),"?IN_FOCUS",IF(J6263&lt;=2,"?ACTIVATED",IF(J6263&lt;&gt;"","?FAMILIAR",IF(F6263="NEW",IF(ISNA(VLOOKUP(E6263,#REF!,1,FALSE())),"?TYPE_IDENTIFIABLE","?REFERENTIAL"),"_")))))</f>
        <v> </v>
      </c>
      <c r="H6263" s="25" t="str">
        <f>IF(J6263&lt;&gt;1,"",IF(I6263="SBJ","CB","?"))</f>
        <v> </v>
      </c>
      <c r="I6263" s="26" t="str">
        <f>IF(OR(E6263="",E6263="!!!",F6263="NEW"),"",INDEX(B6262:B$2,-1+SUMPRODUCT(MAX(ROW(E6262:E$2)*(E6263=E6262:E$2)))))</f>
        <v> </v>
      </c>
      <c r="J6263" s="26" t="str">
        <f>IF(OR(E6263="",E6263="!!!",F6263="NEW"),"",COUNTBLANK(OFFSET(A$1,,,SUMPRODUCT(MAX(ROW(E$2:E6263)*(E6263=E$2:E6263)))))-COUNTBLANK(OFFSET(A$1,,,SUMPRODUCT(MAX(ROW(E$1:E6262)*(E2=E$1:E6262))))))</f>
        <v> </v>
      </c>
      <c r="K6263" s="26" t="str">
        <f>IF(OR(E6263="",E6263="!!!",F6263="NEW"),"",INDEX(J$1:J6262,SUMPRODUCT(MAX(ROW(E$1:E6262)*(E6263=E$1:E6262)))))</f>
        <v> </v>
      </c>
      <c r="L6263" s="27"/>
    </row>
    <row r="6264" spans="1:12">
      <c r="A6264" s="20" t="s">
        <v>1075</v>
      </c>
      <c r="E6264" s="22">
        <f>IF(D6264="?OLD","!!!","")</f>
        <v/>
      </c>
      <c r="F6264" s="23" t="str">
        <f>IF(OR(E6264="",E6264="!!!"),"",IF(NOT(ISNA(VLOOKUP(E6264,E$1:E6263,1,FALSE()))),"OLD",IF(AND(E6264&lt;&gt;"",E6264&lt;&gt;"!!!"),"NEW","")))</f>
        <v> </v>
      </c>
      <c r="G6264" s="24" t="str">
        <f>IF(OR(E6264="",E6264="!!!"),"",IF(OR(J6264=0,AND(J6264=1,K6264=1),AND(J6264=1,I6264="SBJ"),AND(J6264=1,I6264=0)),"?IN_FOCUS",IF(J6264&lt;=2,"?ACTIVATED",IF(J6264&lt;&gt;"","?FAMILIAR",IF(F6264="NEW",IF(ISNA(VLOOKUP(E6264,#REF!,1,FALSE())),"?TYPE_IDENTIFIABLE","?REFERENTIAL"),"_")))))</f>
        <v> </v>
      </c>
      <c r="H6264" s="25" t="str">
        <f>IF(J6264&lt;&gt;1,"",IF(I6264="SBJ","CB","?"))</f>
        <v> </v>
      </c>
      <c r="I6264" s="26" t="str">
        <f>IF(OR(E6264="",E6264="!!!",F6264="NEW"),"",INDEX(B6263:B$2,-1+SUMPRODUCT(MAX(ROW(E6263:E$2)*(E6264=E6263:E$2)))))</f>
        <v> </v>
      </c>
      <c r="J6264" s="26" t="str">
        <f>IF(OR(E6264="",E6264="!!!",F6264="NEW"),"",COUNTBLANK(OFFSET(A$1,,,SUMPRODUCT(MAX(ROW(E$2:E6264)*(E6264=E$2:E6264)))))-COUNTBLANK(OFFSET(A$1,,,SUMPRODUCT(MAX(ROW(E$1:E6263)*(E2=E$1:E6263))))))</f>
        <v> </v>
      </c>
      <c r="K6264" s="26" t="str">
        <f>IF(OR(E6264="",E6264="!!!",F6264="NEW"),"",INDEX(J$1:J6263,SUMPRODUCT(MAX(ROW(E$1:E6263)*(E6264=E$1:E6263)))))</f>
        <v> </v>
      </c>
      <c r="L6264" s="27"/>
    </row>
    <row r="6265" spans="1:12">
      <c r="A6265" s="20" t="s">
        <v>1324</v>
      </c>
      <c r="E6265" s="22">
        <f>IF(D6265="?OLD","!!!","")</f>
        <v/>
      </c>
      <c r="F6265" s="23" t="str">
        <f>IF(OR(E6265="",E6265="!!!"),"",IF(NOT(ISNA(VLOOKUP(E6265,E$1:E6264,1,FALSE()))),"OLD",IF(AND(E6265&lt;&gt;"",E6265&lt;&gt;"!!!"),"NEW","")))</f>
        <v> </v>
      </c>
      <c r="G6265" s="24" t="str">
        <f>IF(OR(E6265="",E6265="!!!"),"",IF(OR(J6265=0,AND(J6265=1,K6265=1),AND(J6265=1,I6265="SBJ"),AND(J6265=1,I6265=0)),"?IN_FOCUS",IF(J6265&lt;=2,"?ACTIVATED",IF(J6265&lt;&gt;"","?FAMILIAR",IF(F6265="NEW",IF(ISNA(VLOOKUP(E6265,#REF!,1,FALSE())),"?TYPE_IDENTIFIABLE","?REFERENTIAL"),"_")))))</f>
        <v> </v>
      </c>
      <c r="H6265" s="25" t="str">
        <f>IF(J6265&lt;&gt;1,"",IF(I6265="SBJ","CB","?"))</f>
        <v> </v>
      </c>
      <c r="I6265" s="26" t="str">
        <f>IF(OR(E6265="",E6265="!!!",F6265="NEW"),"",INDEX(B6264:B$2,-1+SUMPRODUCT(MAX(ROW(E6264:E$2)*(E6265=E6264:E$2)))))</f>
        <v> </v>
      </c>
      <c r="J6265" s="26" t="str">
        <f>IF(OR(E6265="",E6265="!!!",F6265="NEW"),"",COUNTBLANK(OFFSET(A$1,,,SUMPRODUCT(MAX(ROW(E$2:E6265)*(E6265=E$2:E6265)))))-COUNTBLANK(OFFSET(A$1,,,SUMPRODUCT(MAX(ROW(E$1:E6264)*(E2=E$1:E6264))))))</f>
        <v> </v>
      </c>
      <c r="K6265" s="26" t="str">
        <f>IF(OR(E6265="",E6265="!!!",F6265="NEW"),"",INDEX(J$1:J6264,SUMPRODUCT(MAX(ROW(E$1:E6264)*(E6265=E$1:E6264)))))</f>
        <v> </v>
      </c>
      <c r="L6265" s="27"/>
    </row>
    <row r="6266" spans="1:12">
      <c r="A6266" s="20" t="s">
        <v>193</v>
      </c>
      <c r="B6266" s="21" t="s">
        <v>1005</v>
      </c>
      <c r="C6266" s="21" t="s">
        <v>1111</v>
      </c>
      <c r="E6266" s="22">
        <f>IF(D6266="?OLD","!!!","")</f>
        <v/>
      </c>
      <c r="F6266" s="23" t="str">
        <f>IF(OR(E6266="",E6266="!!!"),"",IF(NOT(ISNA(VLOOKUP(E6266,E$1:E6265,1,FALSE()))),"OLD",IF(AND(E6266&lt;&gt;"",E6266&lt;&gt;"!!!"),"NEW","")))</f>
        <v> </v>
      </c>
      <c r="G6266" s="24" t="str">
        <f>IF(OR(E6266="",E6266="!!!"),"",IF(OR(J6266=0,AND(J6266=1,K6266=1),AND(J6266=1,I6266="SBJ"),AND(J6266=1,I6266=0)),"?IN_FOCUS",IF(J6266&lt;=2,"?ACTIVATED",IF(J6266&lt;&gt;"","?FAMILIAR",IF(F6266="NEW",IF(ISNA(VLOOKUP(E6266,#REF!,1,FALSE())),"?TYPE_IDENTIFIABLE","?REFERENTIAL"),"_")))))</f>
        <v> </v>
      </c>
      <c r="H6266" s="25" t="str">
        <f>IF(J6266&lt;&gt;1,"",IF(I6266="SBJ","CB","?"))</f>
        <v> </v>
      </c>
      <c r="I6266" s="26" t="str">
        <f>IF(OR(E6266="",E6266="!!!",F6266="NEW"),"",INDEX(B6265:B$2,-1+SUMPRODUCT(MAX(ROW(E6265:E$2)*(E6266=E6265:E$2)))))</f>
        <v> </v>
      </c>
      <c r="J6266" s="26" t="str">
        <f>IF(OR(E6266="",E6266="!!!",F6266="NEW"),"",COUNTBLANK(OFFSET(A$1,,,SUMPRODUCT(MAX(ROW(E$2:E6266)*(E6266=E$2:E6266)))))-COUNTBLANK(OFFSET(A$1,,,SUMPRODUCT(MAX(ROW(E$1:E6265)*(E2=E$1:E6265))))))</f>
        <v> </v>
      </c>
      <c r="K6266" s="26" t="str">
        <f>IF(OR(E6266="",E6266="!!!",F6266="NEW"),"",INDEX(J$1:J6265,SUMPRODUCT(MAX(ROW(E$1:E6265)*(E6266=E$1:E6265)))))</f>
        <v> </v>
      </c>
      <c r="L6266" s="27"/>
    </row>
    <row r="6267" spans="1:12">
      <c r="A6267" s="20" t="s">
        <v>1065</v>
      </c>
      <c r="B6267" s="21" t="s">
        <v>1154</v>
      </c>
      <c r="E6267" s="22">
        <f>IF(D6267="?OLD","!!!","")</f>
        <v/>
      </c>
      <c r="F6267" s="23" t="str">
        <f>IF(OR(E6267="",E6267="!!!"),"",IF(NOT(ISNA(VLOOKUP(E6267,E$1:E6266,1,FALSE()))),"OLD",IF(AND(E6267&lt;&gt;"",E6267&lt;&gt;"!!!"),"NEW","")))</f>
        <v> </v>
      </c>
      <c r="G6267" s="24" t="str">
        <f>IF(OR(E6267="",E6267="!!!"),"",IF(OR(J6267=0,AND(J6267=1,K6267=1),AND(J6267=1,I6267="SBJ"),AND(J6267=1,I6267=0)),"?IN_FOCUS",IF(J6267&lt;=2,"?ACTIVATED",IF(J6267&lt;&gt;"","?FAMILIAR",IF(F6267="NEW",IF(ISNA(VLOOKUP(E6267,#REF!,1,FALSE())),"?TYPE_IDENTIFIABLE","?REFERENTIAL"),"_")))))</f>
        <v> </v>
      </c>
      <c r="H6267" s="25" t="str">
        <f>IF(J6267&lt;&gt;1,"",IF(I6267="SBJ","CB","?"))</f>
        <v> </v>
      </c>
      <c r="I6267" s="26" t="str">
        <f>IF(OR(E6267="",E6267="!!!",F6267="NEW"),"",INDEX(B6266:B$2,-1+SUMPRODUCT(MAX(ROW(E6266:E$2)*(E6267=E6266:E$2)))))</f>
        <v> </v>
      </c>
      <c r="J6267" s="26" t="str">
        <f>IF(OR(E6267="",E6267="!!!",F6267="NEW"),"",COUNTBLANK(OFFSET(A$1,,,SUMPRODUCT(MAX(ROW(E$2:E6267)*(E6267=E$2:E6267)))))-COUNTBLANK(OFFSET(A$1,,,SUMPRODUCT(MAX(ROW(E$1:E6266)*(E2=E$1:E6266))))))</f>
        <v> </v>
      </c>
      <c r="K6267" s="26" t="str">
        <f>IF(OR(E6267="",E6267="!!!",F6267="NEW"),"",INDEX(J$1:J6266,SUMPRODUCT(MAX(ROW(E$1:E6266)*(E6267=E$1:E6266)))))</f>
        <v> </v>
      </c>
      <c r="L6267" s="27"/>
    </row>
    <row r="6268" spans="1:12">
      <c r="A6268" s="20" t="s">
        <v>1030</v>
      </c>
      <c r="E6268" s="22">
        <f>IF(D6268="?OLD","!!!","")</f>
        <v/>
      </c>
      <c r="F6268" s="23" t="str">
        <f>IF(OR(E6268="",E6268="!!!"),"",IF(NOT(ISNA(VLOOKUP(E6268,E$1:E6267,1,FALSE()))),"OLD",IF(AND(E6268&lt;&gt;"",E6268&lt;&gt;"!!!"),"NEW","")))</f>
        <v> </v>
      </c>
      <c r="G6268" s="24" t="str">
        <f>IF(OR(E6268="",E6268="!!!"),"",IF(OR(J6268=0,AND(J6268=1,K6268=1),AND(J6268=1,I6268="SBJ"),AND(J6268=1,I6268=0)),"?IN_FOCUS",IF(J6268&lt;=2,"?ACTIVATED",IF(J6268&lt;&gt;"","?FAMILIAR",IF(F6268="NEW",IF(ISNA(VLOOKUP(E6268,#REF!,1,FALSE())),"?TYPE_IDENTIFIABLE","?REFERENTIAL"),"_")))))</f>
        <v> </v>
      </c>
      <c r="H6268" s="25" t="str">
        <f>IF(J6268&lt;&gt;1,"",IF(I6268="SBJ","CB","?"))</f>
        <v> </v>
      </c>
      <c r="I6268" s="26" t="str">
        <f>IF(OR(E6268="",E6268="!!!",F6268="NEW"),"",INDEX(B6267:B$2,-1+SUMPRODUCT(MAX(ROW(E6267:E$2)*(E6268=E6267:E$2)))))</f>
        <v> </v>
      </c>
      <c r="J6268" s="26" t="str">
        <f>IF(OR(E6268="",E6268="!!!",F6268="NEW"),"",COUNTBLANK(OFFSET(A$1,,,SUMPRODUCT(MAX(ROW(E$2:E6268)*(E6268=E$2:E6268)))))-COUNTBLANK(OFFSET(A$1,,,SUMPRODUCT(MAX(ROW(E$1:E6267)*(E2=E$1:E6267))))))</f>
        <v> </v>
      </c>
      <c r="K6268" s="26" t="str">
        <f>IF(OR(E6268="",E6268="!!!",F6268="NEW"),"",INDEX(J$1:J6267,SUMPRODUCT(MAX(ROW(E$1:E6267)*(E6268=E$1:E6267)))))</f>
        <v> </v>
      </c>
      <c r="L6268" s="27"/>
    </row>
    <row r="6269" spans="1:12">
      <c r="A6269" s="20" t="s">
        <v>1015</v>
      </c>
      <c r="E6269" s="22">
        <f>IF(D6269="?OLD","!!!","")</f>
        <v/>
      </c>
      <c r="F6269" s="23" t="str">
        <f>IF(OR(E6269="",E6269="!!!"),"",IF(NOT(ISNA(VLOOKUP(E6269,E$1:E6268,1,FALSE()))),"OLD",IF(AND(E6269&lt;&gt;"",E6269&lt;&gt;"!!!"),"NEW","")))</f>
        <v> </v>
      </c>
      <c r="G6269" s="24" t="str">
        <f>IF(OR(E6269="",E6269="!!!"),"",IF(OR(J6269=0,AND(J6269=1,K6269=1),AND(J6269=1,I6269="SBJ"),AND(J6269=1,I6269=0)),"?IN_FOCUS",IF(J6269&lt;=2,"?ACTIVATED",IF(J6269&lt;&gt;"","?FAMILIAR",IF(F6269="NEW",IF(ISNA(VLOOKUP(E6269,#REF!,1,FALSE())),"?TYPE_IDENTIFIABLE","?REFERENTIAL"),"_")))))</f>
        <v> </v>
      </c>
      <c r="H6269" s="25" t="str">
        <f>IF(J6269&lt;&gt;1,"",IF(I6269="SBJ","CB","?"))</f>
        <v> </v>
      </c>
      <c r="I6269" s="26" t="str">
        <f>IF(OR(E6269="",E6269="!!!",F6269="NEW"),"",INDEX(B6268:B$2,-1+SUMPRODUCT(MAX(ROW(E6268:E$2)*(E6269=E6268:E$2)))))</f>
        <v> </v>
      </c>
      <c r="J6269" s="26" t="str">
        <f>IF(OR(E6269="",E6269="!!!",F6269="NEW"),"",COUNTBLANK(OFFSET(A$1,,,SUMPRODUCT(MAX(ROW(E$2:E6269)*(E6269=E$2:E6269)))))-COUNTBLANK(OFFSET(A$1,,,SUMPRODUCT(MAX(ROW(E$1:E6268)*(E2=E$1:E6268))))))</f>
        <v> </v>
      </c>
      <c r="K6269" s="26" t="str">
        <f>IF(OR(E6269="",E6269="!!!",F6269="NEW"),"",INDEX(J$1:J6268,SUMPRODUCT(MAX(ROW(E$1:E6268)*(E6269=E$1:E6268)))))</f>
        <v> </v>
      </c>
      <c r="L6269" s="27"/>
    </row>
    <row r="6270" spans="1:12">
      <c r="A6270" s="20" t="s">
        <v>1425</v>
      </c>
      <c r="B6270" s="21" t="s">
        <v>1033</v>
      </c>
      <c r="C6270" s="21" t="s">
        <v>1017</v>
      </c>
      <c r="D6270" s="21" t="s">
        <v>1007</v>
      </c>
      <c r="E6270" s="22">
        <f>IF(D6270="?OLD","!!!","")</f>
        <v/>
      </c>
      <c r="F6270" s="23" t="str">
        <f>IF(OR(E6270="",E6270="!!!"),"",IF(NOT(ISNA(VLOOKUP(E6270,E$1:E6269,1,FALSE()))),"OLD",IF(AND(E6270&lt;&gt;"",E6270&lt;&gt;"!!!"),"NEW","")))</f>
        <v> </v>
      </c>
      <c r="G6270" s="24" t="str">
        <f>IF(OR(E6270="",E6270="!!!"),"",IF(OR(J6270=0,AND(J6270=1,K6270=1),AND(J6270=1,I6270="SBJ"),AND(J6270=1,I6270=0)),"?IN_FOCUS",IF(J6270&lt;=2,"?ACTIVATED",IF(J6270&lt;&gt;"","?FAMILIAR",IF(F6270="NEW",IF(ISNA(VLOOKUP(E6270,#REF!,1,FALSE())),"?TYPE_IDENTIFIABLE","?REFERENTIAL"),"_")))))</f>
        <v> </v>
      </c>
      <c r="H6270" s="25" t="str">
        <f>IF(J6270&lt;&gt;1,"",IF(I6270="SBJ","CB","?"))</f>
        <v> </v>
      </c>
      <c r="I6270" s="26" t="str">
        <f>IF(OR(E6270="",E6270="!!!",F6270="NEW"),"",INDEX(B6269:B$2,-1+SUMPRODUCT(MAX(ROW(E6269:E$2)*(E6270=E6269:E$2)))))</f>
        <v> </v>
      </c>
      <c r="J6270" s="26" t="str">
        <f>IF(OR(E6270="",E6270="!!!",F6270="NEW"),"",COUNTBLANK(OFFSET(A$1,,,SUMPRODUCT(MAX(ROW(E$2:E6270)*(E6270=E$2:E6270)))))-COUNTBLANK(OFFSET(A$1,,,SUMPRODUCT(MAX(ROW(E$1:E6269)*(E2=E$1:E6269))))))</f>
        <v> </v>
      </c>
      <c r="K6270" s="26" t="str">
        <f>IF(OR(E6270="",E6270="!!!",F6270="NEW"),"",INDEX(J$1:J6269,SUMPRODUCT(MAX(ROW(E$1:E6269)*(E6270=E$1:E6269)))))</f>
        <v> </v>
      </c>
      <c r="L6270" s="27"/>
    </row>
    <row r="6271" spans="1:12">
      <c r="A6271" s="20" t="s">
        <v>98</v>
      </c>
      <c r="E6271" s="22">
        <f>IF(D6271="?OLD","!!!","")</f>
        <v/>
      </c>
      <c r="F6271" s="23" t="str">
        <f>IF(OR(E6271="",E6271="!!!"),"",IF(NOT(ISNA(VLOOKUP(E6271,E$1:E6270,1,FALSE()))),"OLD",IF(AND(E6271&lt;&gt;"",E6271&lt;&gt;"!!!"),"NEW","")))</f>
        <v> </v>
      </c>
      <c r="G6271" s="24" t="str">
        <f>IF(OR(E6271="",E6271="!!!"),"",IF(OR(J6271=0,AND(J6271=1,K6271=1),AND(J6271=1,I6271="SBJ"),AND(J6271=1,I6271=0)),"?IN_FOCUS",IF(J6271&lt;=2,"?ACTIVATED",IF(J6271&lt;&gt;"","?FAMILIAR",IF(F6271="NEW",IF(ISNA(VLOOKUP(E6271,#REF!,1,FALSE())),"?TYPE_IDENTIFIABLE","?REFERENTIAL"),"_")))))</f>
        <v> </v>
      </c>
      <c r="H6271" s="25" t="str">
        <f>IF(J6271&lt;&gt;1,"",IF(I6271="SBJ","CB","?"))</f>
        <v> </v>
      </c>
      <c r="I6271" s="26" t="str">
        <f>IF(OR(E6271="",E6271="!!!",F6271="NEW"),"",INDEX(B6270:B$2,-1+SUMPRODUCT(MAX(ROW(E6270:E$2)*(E6271=E6270:E$2)))))</f>
        <v> </v>
      </c>
      <c r="J6271" s="26" t="str">
        <f>IF(OR(E6271="",E6271="!!!",F6271="NEW"),"",COUNTBLANK(OFFSET(A$1,,,SUMPRODUCT(MAX(ROW(E$2:E6271)*(E6271=E$2:E6271)))))-COUNTBLANK(OFFSET(A$1,,,SUMPRODUCT(MAX(ROW(E$1:E6270)*(E2=E$1:E6270))))))</f>
        <v> </v>
      </c>
      <c r="K6271" s="26" t="str">
        <f>IF(OR(E6271="",E6271="!!!",F6271="NEW"),"",INDEX(J$1:J6270,SUMPRODUCT(MAX(ROW(E$1:E6270)*(E6271=E$1:E6270)))))</f>
        <v> </v>
      </c>
      <c r="L6271" s="27"/>
    </row>
    <row r="6272" spans="1:12">
      <c r="A6272" s="20" t="s">
        <v>2631</v>
      </c>
      <c r="B6272" s="21" t="s">
        <v>1120</v>
      </c>
      <c r="C6272" s="21" t="s">
        <v>1048</v>
      </c>
      <c r="E6272" s="22">
        <f>IF(D6272="?OLD","!!!","")</f>
        <v/>
      </c>
      <c r="F6272" s="23" t="str">
        <f>IF(OR(E6272="",E6272="!!!"),"",IF(NOT(ISNA(VLOOKUP(E6272,E$1:E6271,1,FALSE()))),"OLD",IF(AND(E6272&lt;&gt;"",E6272&lt;&gt;"!!!"),"NEW","")))</f>
        <v> </v>
      </c>
      <c r="G6272" s="24" t="str">
        <f>IF(OR(E6272="",E6272="!!!"),"",IF(OR(J6272=0,AND(J6272=1,K6272=1),AND(J6272=1,I6272="SBJ"),AND(J6272=1,I6272=0)),"?IN_FOCUS",IF(J6272&lt;=2,"?ACTIVATED",IF(J6272&lt;&gt;"","?FAMILIAR",IF(F6272="NEW",IF(ISNA(VLOOKUP(E6272,#REF!,1,FALSE())),"?TYPE_IDENTIFIABLE","?REFERENTIAL"),"_")))))</f>
        <v> </v>
      </c>
      <c r="H6272" s="25" t="str">
        <f>IF(J6272&lt;&gt;1,"",IF(I6272="SBJ","CB","?"))</f>
        <v> </v>
      </c>
      <c r="I6272" s="26" t="str">
        <f>IF(OR(E6272="",E6272="!!!",F6272="NEW"),"",INDEX(B6271:B$2,-1+SUMPRODUCT(MAX(ROW(E6271:E$2)*(E6272=E6271:E$2)))))</f>
        <v> </v>
      </c>
      <c r="J6272" s="26" t="str">
        <f>IF(OR(E6272="",E6272="!!!",F6272="NEW"),"",COUNTBLANK(OFFSET(A$1,,,SUMPRODUCT(MAX(ROW(E$2:E6272)*(E6272=E$2:E6272)))))-COUNTBLANK(OFFSET(A$1,,,SUMPRODUCT(MAX(ROW(E$1:E6271)*(E2=E$1:E6271))))))</f>
        <v> </v>
      </c>
      <c r="K6272" s="26" t="str">
        <f>IF(OR(E6272="",E6272="!!!",F6272="NEW"),"",INDEX(J$1:J6271,SUMPRODUCT(MAX(ROW(E$1:E6271)*(E6272=E$1:E6271)))))</f>
        <v> </v>
      </c>
      <c r="L6272" s="27"/>
    </row>
    <row r="6273" spans="1:12">
      <c r="A6273" s="20" t="s">
        <v>2520</v>
      </c>
      <c r="E6273" s="22">
        <f>IF(D6273="?OLD","!!!","")</f>
        <v/>
      </c>
      <c r="F6273" s="23" t="str">
        <f>IF(OR(E6273="",E6273="!!!"),"",IF(NOT(ISNA(VLOOKUP(E6273,E$1:E6272,1,FALSE()))),"OLD",IF(AND(E6273&lt;&gt;"",E6273&lt;&gt;"!!!"),"NEW","")))</f>
        <v> </v>
      </c>
      <c r="G6273" s="24" t="str">
        <f>IF(OR(E6273="",E6273="!!!"),"",IF(OR(J6273=0,AND(J6273=1,K6273=1),AND(J6273=1,I6273="SBJ"),AND(J6273=1,I6273=0)),"?IN_FOCUS",IF(J6273&lt;=2,"?ACTIVATED",IF(J6273&lt;&gt;"","?FAMILIAR",IF(F6273="NEW",IF(ISNA(VLOOKUP(E6273,#REF!,1,FALSE())),"?TYPE_IDENTIFIABLE","?REFERENTIAL"),"_")))))</f>
        <v> </v>
      </c>
      <c r="H6273" s="25" t="str">
        <f>IF(J6273&lt;&gt;1,"",IF(I6273="SBJ","CB","?"))</f>
        <v> </v>
      </c>
      <c r="I6273" s="26" t="str">
        <f>IF(OR(E6273="",E6273="!!!",F6273="NEW"),"",INDEX(B6272:B$2,-1+SUMPRODUCT(MAX(ROW(E6272:E$2)*(E6273=E6272:E$2)))))</f>
        <v> </v>
      </c>
      <c r="J6273" s="26" t="str">
        <f>IF(OR(E6273="",E6273="!!!",F6273="NEW"),"",COUNTBLANK(OFFSET(A$1,,,SUMPRODUCT(MAX(ROW(E$2:E6273)*(E6273=E$2:E6273)))))-COUNTBLANK(OFFSET(A$1,,,SUMPRODUCT(MAX(ROW(E$1:E6272)*(E2=E$1:E6272))))))</f>
        <v> </v>
      </c>
      <c r="K6273" s="26" t="str">
        <f>IF(OR(E6273="",E6273="!!!",F6273="NEW"),"",INDEX(J$1:J6272,SUMPRODUCT(MAX(ROW(E$1:E6272)*(E6273=E$1:E6272)))))</f>
        <v> </v>
      </c>
      <c r="L6273" s="27"/>
    </row>
    <row r="6274" spans="1:12">
      <c r="A6274" s="20" t="s">
        <v>1014</v>
      </c>
      <c r="E6274" s="22">
        <f>IF(D6274="?OLD","!!!","")</f>
        <v/>
      </c>
      <c r="F6274" s="23" t="str">
        <f>IF(OR(E6274="",E6274="!!!"),"",IF(NOT(ISNA(VLOOKUP(E6274,E$1:E6273,1,FALSE()))),"OLD",IF(AND(E6274&lt;&gt;"",E6274&lt;&gt;"!!!"),"NEW","")))</f>
        <v> </v>
      </c>
      <c r="G6274" s="24" t="str">
        <f>IF(OR(E6274="",E6274="!!!"),"",IF(OR(J6274=0,AND(J6274=1,K6274=1),AND(J6274=1,I6274="SBJ"),AND(J6274=1,I6274=0)),"?IN_FOCUS",IF(J6274&lt;=2,"?ACTIVATED",IF(J6274&lt;&gt;"","?FAMILIAR",IF(F6274="NEW",IF(ISNA(VLOOKUP(E6274,#REF!,1,FALSE())),"?TYPE_IDENTIFIABLE","?REFERENTIAL"),"_")))))</f>
        <v> </v>
      </c>
      <c r="H6274" s="25" t="str">
        <f>IF(J6274&lt;&gt;1,"",IF(I6274="SBJ","CB","?"))</f>
        <v> </v>
      </c>
      <c r="I6274" s="26" t="str">
        <f>IF(OR(E6274="",E6274="!!!",F6274="NEW"),"",INDEX(B6273:B$2,-1+SUMPRODUCT(MAX(ROW(E6273:E$2)*(E6274=E6273:E$2)))))</f>
        <v> </v>
      </c>
      <c r="J6274" s="26" t="str">
        <f>IF(OR(E6274="",E6274="!!!",F6274="NEW"),"",COUNTBLANK(OFFSET(A$1,,,SUMPRODUCT(MAX(ROW(E$2:E6274)*(E6274=E$2:E6274)))))-COUNTBLANK(OFFSET(A$1,,,SUMPRODUCT(MAX(ROW(E$1:E6273)*(E2=E$1:E6273))))))</f>
        <v> </v>
      </c>
      <c r="K6274" s="26" t="str">
        <f>IF(OR(E6274="",E6274="!!!",F6274="NEW"),"",INDEX(J$1:J6273,SUMPRODUCT(MAX(ROW(E$1:E6273)*(E6274=E$1:E6273)))))</f>
        <v> </v>
      </c>
      <c r="L6274" s="27"/>
    </row>
    <row r="6275" spans="1:12">
      <c r="A6275" s="20" t="s">
        <v>2647</v>
      </c>
      <c r="E6275" s="22">
        <f>IF(D6275="?OLD","!!!","")</f>
        <v/>
      </c>
      <c r="F6275" s="23" t="str">
        <f>IF(OR(E6275="",E6275="!!!"),"",IF(NOT(ISNA(VLOOKUP(E6275,E$1:E6274,1,FALSE()))),"OLD",IF(AND(E6275&lt;&gt;"",E6275&lt;&gt;"!!!"),"NEW","")))</f>
        <v> </v>
      </c>
      <c r="G6275" s="24" t="str">
        <f>IF(OR(E6275="",E6275="!!!"),"",IF(OR(J6275=0,AND(J6275=1,K6275=1),AND(J6275=1,I6275="SBJ"),AND(J6275=1,I6275=0)),"?IN_FOCUS",IF(J6275&lt;=2,"?ACTIVATED",IF(J6275&lt;&gt;"","?FAMILIAR",IF(F6275="NEW",IF(ISNA(VLOOKUP(E6275,#REF!,1,FALSE())),"?TYPE_IDENTIFIABLE","?REFERENTIAL"),"_")))))</f>
        <v> </v>
      </c>
      <c r="H6275" s="25" t="str">
        <f>IF(J6275&lt;&gt;1,"",IF(I6275="SBJ","CB","?"))</f>
        <v> </v>
      </c>
      <c r="I6275" s="26" t="str">
        <f>IF(OR(E6275="",E6275="!!!",F6275="NEW"),"",INDEX(B6274:B$2,-1+SUMPRODUCT(MAX(ROW(E6274:E$2)*(E6275=E6274:E$2)))))</f>
        <v> </v>
      </c>
      <c r="J6275" s="26" t="str">
        <f>IF(OR(E6275="",E6275="!!!",F6275="NEW"),"",COUNTBLANK(OFFSET(A$1,,,SUMPRODUCT(MAX(ROW(E$2:E6275)*(E6275=E$2:E6275)))))-COUNTBLANK(OFFSET(A$1,,,SUMPRODUCT(MAX(ROW(E$1:E6274)*(E2=E$1:E6274))))))</f>
        <v> </v>
      </c>
      <c r="K6275" s="26" t="str">
        <f>IF(OR(E6275="",E6275="!!!",F6275="NEW"),"",INDEX(J$1:J6274,SUMPRODUCT(MAX(ROW(E$1:E6274)*(E6275=E$1:E6274)))))</f>
        <v> </v>
      </c>
      <c r="L6275" s="27"/>
    </row>
    <row r="6276" spans="1:12">
      <c r="A6276" s="20" t="s">
        <v>2503</v>
      </c>
      <c r="B6276" s="21" t="s">
        <v>1064</v>
      </c>
      <c r="C6276" s="21" t="s">
        <v>1082</v>
      </c>
      <c r="D6276" s="21" t="s">
        <v>1007</v>
      </c>
      <c r="E6276" s="22">
        <f>IF(D6276="?OLD","!!!","")</f>
        <v/>
      </c>
      <c r="F6276" s="23" t="str">
        <f>IF(OR(E6276="",E6276="!!!"),"",IF(NOT(ISNA(VLOOKUP(E6276,E$1:E6275,1,FALSE()))),"OLD",IF(AND(E6276&lt;&gt;"",E6276&lt;&gt;"!!!"),"NEW","")))</f>
        <v> </v>
      </c>
      <c r="G6276" s="24" t="str">
        <f>IF(OR(E6276="",E6276="!!!"),"",IF(OR(J6276=0,AND(J6276=1,K6276=1),AND(J6276=1,I6276="SBJ"),AND(J6276=1,I6276=0)),"?IN_FOCUS",IF(J6276&lt;=2,"?ACTIVATED",IF(J6276&lt;&gt;"","?FAMILIAR",IF(F6276="NEW",IF(ISNA(VLOOKUP(E6276,#REF!,1,FALSE())),"?TYPE_IDENTIFIABLE","?REFERENTIAL"),"_")))))</f>
        <v> </v>
      </c>
      <c r="H6276" s="25" t="str">
        <f>IF(J6276&lt;&gt;1,"",IF(I6276="SBJ","CB","?"))</f>
        <v> </v>
      </c>
      <c r="I6276" s="26" t="str">
        <f>IF(OR(E6276="",E6276="!!!",F6276="NEW"),"",INDEX(B6275:B$2,-1+SUMPRODUCT(MAX(ROW(E6275:E$2)*(E6276=E6275:E$2)))))</f>
        <v> </v>
      </c>
      <c r="J6276" s="26" t="str">
        <f>IF(OR(E6276="",E6276="!!!",F6276="NEW"),"",COUNTBLANK(OFFSET(A$1,,,SUMPRODUCT(MAX(ROW(E$2:E6276)*(E6276=E$2:E6276)))))-COUNTBLANK(OFFSET(A$1,,,SUMPRODUCT(MAX(ROW(E$1:E6275)*(E2=E$1:E6275))))))</f>
        <v> </v>
      </c>
      <c r="K6276" s="26" t="str">
        <f>IF(OR(E6276="",E6276="!!!",F6276="NEW"),"",INDEX(J$1:J6275,SUMPRODUCT(MAX(ROW(E$1:E6275)*(E6276=E$1:E6275)))))</f>
        <v> </v>
      </c>
      <c r="L6276" s="27"/>
    </row>
    <row r="6277" spans="1:12">
      <c r="A6277" s="20" t="s">
        <v>1097</v>
      </c>
      <c r="E6277" s="22">
        <f>IF(D6277="?OLD","!!!","")</f>
        <v/>
      </c>
      <c r="F6277" s="23" t="str">
        <f>IF(OR(E6277="",E6277="!!!"),"",IF(NOT(ISNA(VLOOKUP(E6277,E$1:E6276,1,FALSE()))),"OLD",IF(AND(E6277&lt;&gt;"",E6277&lt;&gt;"!!!"),"NEW","")))</f>
        <v> </v>
      </c>
      <c r="G6277" s="24" t="str">
        <f>IF(OR(E6277="",E6277="!!!"),"",IF(OR(J6277=0,AND(J6277=1,K6277=1),AND(J6277=1,I6277="SBJ"),AND(J6277=1,I6277=0)),"?IN_FOCUS",IF(J6277&lt;=2,"?ACTIVATED",IF(J6277&lt;&gt;"","?FAMILIAR",IF(F6277="NEW",IF(ISNA(VLOOKUP(E6277,#REF!,1,FALSE())),"?TYPE_IDENTIFIABLE","?REFERENTIAL"),"_")))))</f>
        <v> </v>
      </c>
      <c r="H6277" s="25" t="str">
        <f>IF(J6277&lt;&gt;1,"",IF(I6277="SBJ","CB","?"))</f>
        <v> </v>
      </c>
      <c r="I6277" s="26" t="str">
        <f>IF(OR(E6277="",E6277="!!!",F6277="NEW"),"",INDEX(B6276:B$2,-1+SUMPRODUCT(MAX(ROW(E6276:E$2)*(E6277=E6276:E$2)))))</f>
        <v> </v>
      </c>
      <c r="J6277" s="26" t="str">
        <f>IF(OR(E6277="",E6277="!!!",F6277="NEW"),"",COUNTBLANK(OFFSET(A$1,,,SUMPRODUCT(MAX(ROW(E$2:E6277)*(E6277=E$2:E6277)))))-COUNTBLANK(OFFSET(A$1,,,SUMPRODUCT(MAX(ROW(E$1:E6276)*(E2=E$1:E6276))))))</f>
        <v> </v>
      </c>
      <c r="K6277" s="26" t="str">
        <f>IF(OR(E6277="",E6277="!!!",F6277="NEW"),"",INDEX(J$1:J6276,SUMPRODUCT(MAX(ROW(E$1:E6276)*(E6277=E$1:E6276)))))</f>
        <v> </v>
      </c>
      <c r="L6277" s="27"/>
    </row>
    <row r="6278" spans="1:12">
      <c r="A6278" s="20" t="s">
        <v>2648</v>
      </c>
      <c r="E6278" s="22">
        <f>IF(D6278="?OLD","!!!","")</f>
        <v/>
      </c>
      <c r="F6278" s="23" t="str">
        <f>IF(OR(E6278="",E6278="!!!"),"",IF(NOT(ISNA(VLOOKUP(E6278,E$1:E6277,1,FALSE()))),"OLD",IF(AND(E6278&lt;&gt;"",E6278&lt;&gt;"!!!"),"NEW","")))</f>
        <v> </v>
      </c>
      <c r="G6278" s="24" t="str">
        <f>IF(OR(E6278="",E6278="!!!"),"",IF(OR(J6278=0,AND(J6278=1,K6278=1),AND(J6278=1,I6278="SBJ"),AND(J6278=1,I6278=0)),"?IN_FOCUS",IF(J6278&lt;=2,"?ACTIVATED",IF(J6278&lt;&gt;"","?FAMILIAR",IF(F6278="NEW",IF(ISNA(VLOOKUP(E6278,#REF!,1,FALSE())),"?TYPE_IDENTIFIABLE","?REFERENTIAL"),"_")))))</f>
        <v> </v>
      </c>
      <c r="H6278" s="25" t="str">
        <f>IF(J6278&lt;&gt;1,"",IF(I6278="SBJ","CB","?"))</f>
        <v> </v>
      </c>
      <c r="I6278" s="26" t="str">
        <f>IF(OR(E6278="",E6278="!!!",F6278="NEW"),"",INDEX(B6277:B$2,-1+SUMPRODUCT(MAX(ROW(E6277:E$2)*(E6278=E6277:E$2)))))</f>
        <v> </v>
      </c>
      <c r="J6278" s="26" t="str">
        <f>IF(OR(E6278="",E6278="!!!",F6278="NEW"),"",COUNTBLANK(OFFSET(A$1,,,SUMPRODUCT(MAX(ROW(E$2:E6278)*(E6278=E$2:E6278)))))-COUNTBLANK(OFFSET(A$1,,,SUMPRODUCT(MAX(ROW(E$1:E6277)*(E2=E$1:E6277))))))</f>
        <v> </v>
      </c>
      <c r="K6278" s="26" t="str">
        <f>IF(OR(E6278="",E6278="!!!",F6278="NEW"),"",INDEX(J$1:J6277,SUMPRODUCT(MAX(ROW(E$1:E6277)*(E6278=E$1:E6277)))))</f>
        <v> </v>
      </c>
      <c r="L6278" s="27"/>
    </row>
    <row r="6279" spans="1:12">
      <c r="A6279" s="20" t="s">
        <v>2503</v>
      </c>
      <c r="B6279" s="21" t="s">
        <v>1134</v>
      </c>
      <c r="C6279" s="21" t="s">
        <v>1082</v>
      </c>
      <c r="D6279" s="21" t="s">
        <v>1007</v>
      </c>
      <c r="E6279" s="22">
        <f>IF(D6279="?OLD","!!!","")</f>
        <v/>
      </c>
      <c r="F6279" s="23" t="str">
        <f>IF(OR(E6279="",E6279="!!!"),"",IF(NOT(ISNA(VLOOKUP(E6279,E$1:E6278,1,FALSE()))),"OLD",IF(AND(E6279&lt;&gt;"",E6279&lt;&gt;"!!!"),"NEW","")))</f>
        <v> </v>
      </c>
      <c r="G6279" s="24" t="str">
        <f>IF(OR(E6279="",E6279="!!!"),"",IF(OR(J6279=0,AND(J6279=1,K6279=1),AND(J6279=1,I6279="SBJ"),AND(J6279=1,I6279=0)),"?IN_FOCUS",IF(J6279&lt;=2,"?ACTIVATED",IF(J6279&lt;&gt;"","?FAMILIAR",IF(F6279="NEW",IF(ISNA(VLOOKUP(E6279,#REF!,1,FALSE())),"?TYPE_IDENTIFIABLE","?REFERENTIAL"),"_")))))</f>
        <v> </v>
      </c>
      <c r="H6279" s="25" t="str">
        <f>IF(J6279&lt;&gt;1,"",IF(I6279="SBJ","CB","?"))</f>
        <v> </v>
      </c>
      <c r="I6279" s="26" t="str">
        <f>IF(OR(E6279="",E6279="!!!",F6279="NEW"),"",INDEX(B6278:B$2,-1+SUMPRODUCT(MAX(ROW(E6278:E$2)*(E6279=E6278:E$2)))))</f>
        <v> </v>
      </c>
      <c r="J6279" s="26" t="str">
        <f>IF(OR(E6279="",E6279="!!!",F6279="NEW"),"",COUNTBLANK(OFFSET(A$1,,,SUMPRODUCT(MAX(ROW(E$2:E6279)*(E6279=E$2:E6279)))))-COUNTBLANK(OFFSET(A$1,,,SUMPRODUCT(MAX(ROW(E$1:E6278)*(E2=E$1:E6278))))))</f>
        <v> </v>
      </c>
      <c r="K6279" s="26" t="str">
        <f>IF(OR(E6279="",E6279="!!!",F6279="NEW"),"",INDEX(J$1:J6278,SUMPRODUCT(MAX(ROW(E$1:E6278)*(E6279=E$1:E6278)))))</f>
        <v> </v>
      </c>
      <c r="L6279" s="27"/>
    </row>
    <row r="6280" spans="1:12">
      <c r="A6280" s="20" t="s">
        <v>2649</v>
      </c>
      <c r="E6280" s="22">
        <f>IF(D6280="?OLD","!!!","")</f>
        <v/>
      </c>
      <c r="F6280" s="23" t="str">
        <f>IF(OR(E6280="",E6280="!!!"),"",IF(NOT(ISNA(VLOOKUP(E6280,E$1:E6279,1,FALSE()))),"OLD",IF(AND(E6280&lt;&gt;"",E6280&lt;&gt;"!!!"),"NEW","")))</f>
        <v> </v>
      </c>
      <c r="G6280" s="24" t="str">
        <f>IF(OR(E6280="",E6280="!!!"),"",IF(OR(J6280=0,AND(J6280=1,K6280=1),AND(J6280=1,I6280="SBJ"),AND(J6280=1,I6280=0)),"?IN_FOCUS",IF(J6280&lt;=2,"?ACTIVATED",IF(J6280&lt;&gt;"","?FAMILIAR",IF(F6280="NEW",IF(ISNA(VLOOKUP(E6280,#REF!,1,FALSE())),"?TYPE_IDENTIFIABLE","?REFERENTIAL"),"_")))))</f>
        <v> </v>
      </c>
      <c r="H6280" s="25" t="str">
        <f>IF(J6280&lt;&gt;1,"",IF(I6280="SBJ","CB","?"))</f>
        <v> </v>
      </c>
      <c r="I6280" s="26" t="str">
        <f>IF(OR(E6280="",E6280="!!!",F6280="NEW"),"",INDEX(B6279:B$2,-1+SUMPRODUCT(MAX(ROW(E6279:E$2)*(E6280=E6279:E$2)))))</f>
        <v> </v>
      </c>
      <c r="J6280" s="26" t="str">
        <f>IF(OR(E6280="",E6280="!!!",F6280="NEW"),"",COUNTBLANK(OFFSET(A$1,,,SUMPRODUCT(MAX(ROW(E$2:E6280)*(E6280=E$2:E6280)))))-COUNTBLANK(OFFSET(A$1,,,SUMPRODUCT(MAX(ROW(E$1:E6279)*(E2=E$1:E6279))))))</f>
        <v> </v>
      </c>
      <c r="K6280" s="26" t="str">
        <f>IF(OR(E6280="",E6280="!!!",F6280="NEW"),"",INDEX(J$1:J6279,SUMPRODUCT(MAX(ROW(E$1:E6279)*(E6280=E$1:E6279)))))</f>
        <v> </v>
      </c>
      <c r="L6280" s="27"/>
    </row>
    <row r="6281" spans="1:12">
      <c r="A6281" s="20" t="s">
        <v>1018</v>
      </c>
      <c r="E6281" s="22">
        <f>IF(D6281="?OLD","!!!","")</f>
        <v/>
      </c>
      <c r="F6281" s="23" t="str">
        <f>IF(OR(E6281="",E6281="!!!"),"",IF(NOT(ISNA(VLOOKUP(E6281,E$1:E6280,1,FALSE()))),"OLD",IF(AND(E6281&lt;&gt;"",E6281&lt;&gt;"!!!"),"NEW","")))</f>
        <v> </v>
      </c>
      <c r="G6281" s="24" t="str">
        <f>IF(OR(E6281="",E6281="!!!"),"",IF(OR(J6281=0,AND(J6281=1,K6281=1),AND(J6281=1,I6281="SBJ"),AND(J6281=1,I6281=0)),"?IN_FOCUS",IF(J6281&lt;=2,"?ACTIVATED",IF(J6281&lt;&gt;"","?FAMILIAR",IF(F6281="NEW",IF(ISNA(VLOOKUP(E6281,#REF!,1,FALSE())),"?TYPE_IDENTIFIABLE","?REFERENTIAL"),"_")))))</f>
        <v> </v>
      </c>
      <c r="H6281" s="25" t="str">
        <f>IF(J6281&lt;&gt;1,"",IF(I6281="SBJ","CB","?"))</f>
        <v> </v>
      </c>
      <c r="I6281" s="26" t="str">
        <f>IF(OR(E6281="",E6281="!!!",F6281="NEW"),"",INDEX(B6280:B$2,-1+SUMPRODUCT(MAX(ROW(E6280:E$2)*(E6281=E6280:E$2)))))</f>
        <v> </v>
      </c>
      <c r="J6281" s="26" t="str">
        <f>IF(OR(E6281="",E6281="!!!",F6281="NEW"),"",COUNTBLANK(OFFSET(A$1,,,SUMPRODUCT(MAX(ROW(E$2:E6281)*(E6281=E$2:E6281)))))-COUNTBLANK(OFFSET(A$1,,,SUMPRODUCT(MAX(ROW(E$1:E6280)*(E2=E$1:E6280))))))</f>
        <v> </v>
      </c>
      <c r="K6281" s="26" t="str">
        <f>IF(OR(E6281="",E6281="!!!",F6281="NEW"),"",INDEX(J$1:J6280,SUMPRODUCT(MAX(ROW(E$1:E6280)*(E6281=E$1:E6280)))))</f>
        <v> </v>
      </c>
      <c r="L6281" s="27"/>
    </row>
    <row r="6282" spans="1:12">
      <c r="A6282" s="20" t="s">
        <v>1142</v>
      </c>
      <c r="E6282" s="22">
        <f>IF(D6282="?OLD","!!!","")</f>
        <v/>
      </c>
      <c r="F6282" s="23" t="str">
        <f>IF(OR(E6282="",E6282="!!!"),"",IF(NOT(ISNA(VLOOKUP(E6282,E$1:E6281,1,FALSE()))),"OLD",IF(AND(E6282&lt;&gt;"",E6282&lt;&gt;"!!!"),"NEW","")))</f>
        <v> </v>
      </c>
      <c r="G6282" s="24" t="str">
        <f>IF(OR(E6282="",E6282="!!!"),"",IF(OR(J6282=0,AND(J6282=1,K6282=1),AND(J6282=1,I6282="SBJ"),AND(J6282=1,I6282=0)),"?IN_FOCUS",IF(J6282&lt;=2,"?ACTIVATED",IF(J6282&lt;&gt;"","?FAMILIAR",IF(F6282="NEW",IF(ISNA(VLOOKUP(E6282,#REF!,1,FALSE())),"?TYPE_IDENTIFIABLE","?REFERENTIAL"),"_")))))</f>
        <v> </v>
      </c>
      <c r="H6282" s="25" t="str">
        <f>IF(J6282&lt;&gt;1,"",IF(I6282="SBJ","CB","?"))</f>
        <v> </v>
      </c>
      <c r="I6282" s="26" t="str">
        <f>IF(OR(E6282="",E6282="!!!",F6282="NEW"),"",INDEX(B6281:B$2,-1+SUMPRODUCT(MAX(ROW(E6281:E$2)*(E6282=E6281:E$2)))))</f>
        <v> </v>
      </c>
      <c r="J6282" s="26" t="str">
        <f>IF(OR(E6282="",E6282="!!!",F6282="NEW"),"",COUNTBLANK(OFFSET(A$1,,,SUMPRODUCT(MAX(ROW(E$2:E6282)*(E6282=E$2:E6282)))))-COUNTBLANK(OFFSET(A$1,,,SUMPRODUCT(MAX(ROW(E$1:E6281)*(E2=E$1:E6281))))))</f>
        <v> </v>
      </c>
      <c r="K6282" s="26" t="str">
        <f>IF(OR(E6282="",E6282="!!!",F6282="NEW"),"",INDEX(J$1:J6281,SUMPRODUCT(MAX(ROW(E$1:E6281)*(E6282=E$1:E6281)))))</f>
        <v> </v>
      </c>
      <c r="L6282" s="27"/>
    </row>
    <row r="6283" spans="1:12">
      <c r="A6283" s="20" t="s">
        <v>2432</v>
      </c>
      <c r="E6283" s="22">
        <f>IF(D6283="?OLD","!!!","")</f>
        <v/>
      </c>
      <c r="F6283" s="23" t="str">
        <f>IF(OR(E6283="",E6283="!!!"),"",IF(NOT(ISNA(VLOOKUP(E6283,E$1:E6282,1,FALSE()))),"OLD",IF(AND(E6283&lt;&gt;"",E6283&lt;&gt;"!!!"),"NEW","")))</f>
        <v> </v>
      </c>
      <c r="G6283" s="24" t="str">
        <f>IF(OR(E6283="",E6283="!!!"),"",IF(OR(J6283=0,AND(J6283=1,K6283=1),AND(J6283=1,I6283="SBJ"),AND(J6283=1,I6283=0)),"?IN_FOCUS",IF(J6283&lt;=2,"?ACTIVATED",IF(J6283&lt;&gt;"","?FAMILIAR",IF(F6283="NEW",IF(ISNA(VLOOKUP(E6283,#REF!,1,FALSE())),"?TYPE_IDENTIFIABLE","?REFERENTIAL"),"_")))))</f>
        <v> </v>
      </c>
      <c r="H6283" s="25" t="str">
        <f>IF(J6283&lt;&gt;1,"",IF(I6283="SBJ","CB","?"))</f>
        <v> </v>
      </c>
      <c r="I6283" s="26" t="str">
        <f>IF(OR(E6283="",E6283="!!!",F6283="NEW"),"",INDEX(B6282:B$2,-1+SUMPRODUCT(MAX(ROW(E6282:E$2)*(E6283=E6282:E$2)))))</f>
        <v> </v>
      </c>
      <c r="J6283" s="26" t="str">
        <f>IF(OR(E6283="",E6283="!!!",F6283="NEW"),"",COUNTBLANK(OFFSET(A$1,,,SUMPRODUCT(MAX(ROW(E$2:E6283)*(E6283=E$2:E6283)))))-COUNTBLANK(OFFSET(A$1,,,SUMPRODUCT(MAX(ROW(E$1:E6282)*(E2=E$1:E6282))))))</f>
        <v> </v>
      </c>
      <c r="K6283" s="26" t="str">
        <f>IF(OR(E6283="",E6283="!!!",F6283="NEW"),"",INDEX(J$1:J6282,SUMPRODUCT(MAX(ROW(E$1:E6282)*(E6283=E$1:E6282)))))</f>
        <v> </v>
      </c>
      <c r="L6283" s="27"/>
    </row>
    <row r="6284" spans="1:12">
      <c r="A6284" s="20" t="s">
        <v>1020</v>
      </c>
      <c r="E6284" s="22">
        <f>IF(D6284="?OLD","!!!","")</f>
        <v/>
      </c>
      <c r="F6284" s="23" t="str">
        <f>IF(OR(E6284="",E6284="!!!"),"",IF(NOT(ISNA(VLOOKUP(E6284,E$1:E6283,1,FALSE()))),"OLD",IF(AND(E6284&lt;&gt;"",E6284&lt;&gt;"!!!"),"NEW","")))</f>
        <v> </v>
      </c>
      <c r="G6284" s="24" t="str">
        <f>IF(OR(E6284="",E6284="!!!"),"",IF(OR(J6284=0,AND(J6284=1,K6284=1),AND(J6284=1,I6284="SBJ"),AND(J6284=1,I6284=0)),"?IN_FOCUS",IF(J6284&lt;=2,"?ACTIVATED",IF(J6284&lt;&gt;"","?FAMILIAR",IF(F6284="NEW",IF(ISNA(VLOOKUP(E6284,#REF!,1,FALSE())),"?TYPE_IDENTIFIABLE","?REFERENTIAL"),"_")))))</f>
        <v> </v>
      </c>
      <c r="H6284" s="25" t="str">
        <f>IF(J6284&lt;&gt;1,"",IF(I6284="SBJ","CB","?"))</f>
        <v> </v>
      </c>
      <c r="I6284" s="26" t="str">
        <f>IF(OR(E6284="",E6284="!!!",F6284="NEW"),"",INDEX(B6283:B$2,-1+SUMPRODUCT(MAX(ROW(E6283:E$2)*(E6284=E6283:E$2)))))</f>
        <v> </v>
      </c>
      <c r="J6284" s="26" t="str">
        <f>IF(OR(E6284="",E6284="!!!",F6284="NEW"),"",COUNTBLANK(OFFSET(A$1,,,SUMPRODUCT(MAX(ROW(E$2:E6284)*(E6284=E$2:E6284)))))-COUNTBLANK(OFFSET(A$1,,,SUMPRODUCT(MAX(ROW(E$1:E6283)*(E2=E$1:E6283))))))</f>
        <v> </v>
      </c>
      <c r="K6284" s="26" t="str">
        <f>IF(OR(E6284="",E6284="!!!",F6284="NEW"),"",INDEX(J$1:J6283,SUMPRODUCT(MAX(ROW(E$1:E6283)*(E6284=E$1:E6283)))))</f>
        <v> </v>
      </c>
      <c r="L6284" s="27"/>
    </row>
    <row r="6285" spans="1:12">
      <c r="A6285" s="20" t="s">
        <v>1015</v>
      </c>
      <c r="E6285" s="22">
        <f>IF(D6285="?OLD","!!!","")</f>
        <v/>
      </c>
      <c r="F6285" s="23" t="str">
        <f>IF(OR(E6285="",E6285="!!!"),"",IF(NOT(ISNA(VLOOKUP(E6285,E$1:E6284,1,FALSE()))),"OLD",IF(AND(E6285&lt;&gt;"",E6285&lt;&gt;"!!!"),"NEW","")))</f>
        <v> </v>
      </c>
      <c r="G6285" s="24" t="str">
        <f>IF(OR(E6285="",E6285="!!!"),"",IF(OR(J6285=0,AND(J6285=1,K6285=1),AND(J6285=1,I6285="SBJ"),AND(J6285=1,I6285=0)),"?IN_FOCUS",IF(J6285&lt;=2,"?ACTIVATED",IF(J6285&lt;&gt;"","?FAMILIAR",IF(F6285="NEW",IF(ISNA(VLOOKUP(E6285,#REF!,1,FALSE())),"?TYPE_IDENTIFIABLE","?REFERENTIAL"),"_")))))</f>
        <v> </v>
      </c>
      <c r="H6285" s="25" t="str">
        <f>IF(J6285&lt;&gt;1,"",IF(I6285="SBJ","CB","?"))</f>
        <v> </v>
      </c>
      <c r="I6285" s="26" t="str">
        <f>IF(OR(E6285="",E6285="!!!",F6285="NEW"),"",INDEX(B6284:B$2,-1+SUMPRODUCT(MAX(ROW(E6284:E$2)*(E6285=E6284:E$2)))))</f>
        <v> </v>
      </c>
      <c r="J6285" s="26" t="str">
        <f>IF(OR(E6285="",E6285="!!!",F6285="NEW"),"",COUNTBLANK(OFFSET(A$1,,,SUMPRODUCT(MAX(ROW(E$2:E6285)*(E6285=E$2:E6285)))))-COUNTBLANK(OFFSET(A$1,,,SUMPRODUCT(MAX(ROW(E$1:E6284)*(E2=E$1:E6284))))))</f>
        <v> </v>
      </c>
      <c r="K6285" s="26" t="str">
        <f>IF(OR(E6285="",E6285="!!!",F6285="NEW"),"",INDEX(J$1:J6284,SUMPRODUCT(MAX(ROW(E$1:E6284)*(E6285=E$1:E6284)))))</f>
        <v> </v>
      </c>
      <c r="L6285" s="27"/>
    </row>
    <row r="6286" spans="1:12">
      <c r="A6286" s="20" t="s">
        <v>2650</v>
      </c>
      <c r="B6286" s="21" t="s">
        <v>1085</v>
      </c>
      <c r="C6286" s="21" t="s">
        <v>1017</v>
      </c>
      <c r="D6286" s="21" t="s">
        <v>1007</v>
      </c>
      <c r="E6286" s="22">
        <f>IF(D6286="?OLD","!!!","")</f>
        <v/>
      </c>
      <c r="F6286" s="23" t="str">
        <f>IF(OR(E6286="",E6286="!!!"),"",IF(NOT(ISNA(VLOOKUP(E6286,E$1:E6285,1,FALSE()))),"OLD",IF(AND(E6286&lt;&gt;"",E6286&lt;&gt;"!!!"),"NEW","")))</f>
        <v> </v>
      </c>
      <c r="G6286" s="24" t="str">
        <f>IF(OR(E6286="",E6286="!!!"),"",IF(OR(J6286=0,AND(J6286=1,K6286=1),AND(J6286=1,I6286="SBJ"),AND(J6286=1,I6286=0)),"?IN_FOCUS",IF(J6286&lt;=2,"?ACTIVATED",IF(J6286&lt;&gt;"","?FAMILIAR",IF(F6286="NEW",IF(ISNA(VLOOKUP(E6286,#REF!,1,FALSE())),"?TYPE_IDENTIFIABLE","?REFERENTIAL"),"_")))))</f>
        <v> </v>
      </c>
      <c r="H6286" s="25" t="str">
        <f>IF(J6286&lt;&gt;1,"",IF(I6286="SBJ","CB","?"))</f>
        <v> </v>
      </c>
      <c r="I6286" s="26" t="str">
        <f>IF(OR(E6286="",E6286="!!!",F6286="NEW"),"",INDEX(B6285:B$2,-1+SUMPRODUCT(MAX(ROW(E6285:E$2)*(E6286=E6285:E$2)))))</f>
        <v> </v>
      </c>
      <c r="J6286" s="26" t="str">
        <f>IF(OR(E6286="",E6286="!!!",F6286="NEW"),"",COUNTBLANK(OFFSET(A$1,,,SUMPRODUCT(MAX(ROW(E$2:E6286)*(E6286=E$2:E6286)))))-COUNTBLANK(OFFSET(A$1,,,SUMPRODUCT(MAX(ROW(E$1:E6285)*(E2=E$1:E6285))))))</f>
        <v> </v>
      </c>
      <c r="K6286" s="26" t="str">
        <f>IF(OR(E6286="",E6286="!!!",F6286="NEW"),"",INDEX(J$1:J6285,SUMPRODUCT(MAX(ROW(E$1:E6285)*(E6286=E$1:E6285)))))</f>
        <v> </v>
      </c>
      <c r="L6286" s="27"/>
    </row>
    <row r="6287" spans="1:12">
      <c r="A6287" s="20" t="s">
        <v>2067</v>
      </c>
      <c r="E6287" s="22">
        <f>IF(D6287="?OLD","!!!","")</f>
        <v/>
      </c>
      <c r="F6287" s="23" t="str">
        <f>IF(OR(E6287="",E6287="!!!"),"",IF(NOT(ISNA(VLOOKUP(E6287,E$1:E6286,1,FALSE()))),"OLD",IF(AND(E6287&lt;&gt;"",E6287&lt;&gt;"!!!"),"NEW","")))</f>
        <v> </v>
      </c>
      <c r="G6287" s="24" t="str">
        <f>IF(OR(E6287="",E6287="!!!"),"",IF(OR(J6287=0,AND(J6287=1,K6287=1),AND(J6287=1,I6287="SBJ"),AND(J6287=1,I6287=0)),"?IN_FOCUS",IF(J6287&lt;=2,"?ACTIVATED",IF(J6287&lt;&gt;"","?FAMILIAR",IF(F6287="NEW",IF(ISNA(VLOOKUP(E6287,#REF!,1,FALSE())),"?TYPE_IDENTIFIABLE","?REFERENTIAL"),"_")))))</f>
        <v> </v>
      </c>
      <c r="H6287" s="25" t="str">
        <f>IF(J6287&lt;&gt;1,"",IF(I6287="SBJ","CB","?"))</f>
        <v> </v>
      </c>
      <c r="I6287" s="26" t="str">
        <f>IF(OR(E6287="",E6287="!!!",F6287="NEW"),"",INDEX(B6286:B$2,-1+SUMPRODUCT(MAX(ROW(E6286:E$2)*(E6287=E6286:E$2)))))</f>
        <v> </v>
      </c>
      <c r="J6287" s="26" t="str">
        <f>IF(OR(E6287="",E6287="!!!",F6287="NEW"),"",COUNTBLANK(OFFSET(A$1,,,SUMPRODUCT(MAX(ROW(E$2:E6287)*(E6287=E$2:E6287)))))-COUNTBLANK(OFFSET(A$1,,,SUMPRODUCT(MAX(ROW(E$1:E6286)*(E2=E$1:E6286))))))</f>
        <v> </v>
      </c>
      <c r="K6287" s="26" t="str">
        <f>IF(OR(E6287="",E6287="!!!",F6287="NEW"),"",INDEX(J$1:J6286,SUMPRODUCT(MAX(ROW(E$1:E6286)*(E6287=E$1:E6286)))))</f>
        <v> </v>
      </c>
      <c r="L6287" s="27"/>
    </row>
    <row r="6288" spans="1:12">
      <c r="A6288" s="20" t="s">
        <v>1018</v>
      </c>
      <c r="E6288" s="22">
        <f>IF(D6288="?OLD","!!!","")</f>
        <v/>
      </c>
      <c r="F6288" s="23" t="str">
        <f>IF(OR(E6288="",E6288="!!!"),"",IF(NOT(ISNA(VLOOKUP(E6288,E$1:E6287,1,FALSE()))),"OLD",IF(AND(E6288&lt;&gt;"",E6288&lt;&gt;"!!!"),"NEW","")))</f>
        <v> </v>
      </c>
      <c r="G6288" s="24" t="str">
        <f>IF(OR(E6288="",E6288="!!!"),"",IF(OR(J6288=0,AND(J6288=1,K6288=1),AND(J6288=1,I6288="SBJ"),AND(J6288=1,I6288=0)),"?IN_FOCUS",IF(J6288&lt;=2,"?ACTIVATED",IF(J6288&lt;&gt;"","?FAMILIAR",IF(F6288="NEW",IF(ISNA(VLOOKUP(E6288,#REF!,1,FALSE())),"?TYPE_IDENTIFIABLE","?REFERENTIAL"),"_")))))</f>
        <v> </v>
      </c>
      <c r="H6288" s="25" t="str">
        <f>IF(J6288&lt;&gt;1,"",IF(I6288="SBJ","CB","?"))</f>
        <v> </v>
      </c>
      <c r="I6288" s="26" t="str">
        <f>IF(OR(E6288="",E6288="!!!",F6288="NEW"),"",INDEX(B6287:B$2,-1+SUMPRODUCT(MAX(ROW(E6287:E$2)*(E6288=E6287:E$2)))))</f>
        <v> </v>
      </c>
      <c r="J6288" s="26" t="str">
        <f>IF(OR(E6288="",E6288="!!!",F6288="NEW"),"",COUNTBLANK(OFFSET(A$1,,,SUMPRODUCT(MAX(ROW(E$2:E6288)*(E6288=E$2:E6288)))))-COUNTBLANK(OFFSET(A$1,,,SUMPRODUCT(MAX(ROW(E$1:E6287)*(E2=E$1:E6287))))))</f>
        <v> </v>
      </c>
      <c r="K6288" s="26" t="str">
        <f>IF(OR(E6288="",E6288="!!!",F6288="NEW"),"",INDEX(J$1:J6287,SUMPRODUCT(MAX(ROW(E$1:E6287)*(E6288=E$1:E6287)))))</f>
        <v> </v>
      </c>
      <c r="L6288" s="27"/>
    </row>
    <row r="6289" spans="1:12">
      <c r="A6289" s="20" t="s">
        <v>1330</v>
      </c>
      <c r="E6289" s="22">
        <f>IF(D6289="?OLD","!!!","")</f>
        <v/>
      </c>
      <c r="F6289" s="23" t="str">
        <f>IF(OR(E6289="",E6289="!!!"),"",IF(NOT(ISNA(VLOOKUP(E6289,E$1:E6288,1,FALSE()))),"OLD",IF(AND(E6289&lt;&gt;"",E6289&lt;&gt;"!!!"),"NEW","")))</f>
        <v> </v>
      </c>
      <c r="G6289" s="24" t="str">
        <f>IF(OR(E6289="",E6289="!!!"),"",IF(OR(J6289=0,AND(J6289=1,K6289=1),AND(J6289=1,I6289="SBJ"),AND(J6289=1,I6289=0)),"?IN_FOCUS",IF(J6289&lt;=2,"?ACTIVATED",IF(J6289&lt;&gt;"","?FAMILIAR",IF(F6289="NEW",IF(ISNA(VLOOKUP(E6289,#REF!,1,FALSE())),"?TYPE_IDENTIFIABLE","?REFERENTIAL"),"_")))))</f>
        <v> </v>
      </c>
      <c r="H6289" s="25" t="str">
        <f>IF(J6289&lt;&gt;1,"",IF(I6289="SBJ","CB","?"))</f>
        <v> </v>
      </c>
      <c r="I6289" s="26" t="str">
        <f>IF(OR(E6289="",E6289="!!!",F6289="NEW"),"",INDEX(B6288:B$2,-1+SUMPRODUCT(MAX(ROW(E6288:E$2)*(E6289=E6288:E$2)))))</f>
        <v> </v>
      </c>
      <c r="J6289" s="26" t="str">
        <f>IF(OR(E6289="",E6289="!!!",F6289="NEW"),"",COUNTBLANK(OFFSET(A$1,,,SUMPRODUCT(MAX(ROW(E$2:E6289)*(E6289=E$2:E6289)))))-COUNTBLANK(OFFSET(A$1,,,SUMPRODUCT(MAX(ROW(E$1:E6288)*(E2=E$1:E6288))))))</f>
        <v> </v>
      </c>
      <c r="K6289" s="26" t="str">
        <f>IF(OR(E6289="",E6289="!!!",F6289="NEW"),"",INDEX(J$1:J6288,SUMPRODUCT(MAX(ROW(E$1:E6288)*(E6289=E$1:E6288)))))</f>
        <v> </v>
      </c>
      <c r="L6289" s="27"/>
    </row>
    <row r="6290" spans="1:12">
      <c r="A6290" s="20" t="s">
        <v>1020</v>
      </c>
      <c r="E6290" s="22">
        <f>IF(D6290="?OLD","!!!","")</f>
        <v/>
      </c>
      <c r="F6290" s="23" t="str">
        <f>IF(OR(E6290="",E6290="!!!"),"",IF(NOT(ISNA(VLOOKUP(E6290,E$1:E6289,1,FALSE()))),"OLD",IF(AND(E6290&lt;&gt;"",E6290&lt;&gt;"!!!"),"NEW","")))</f>
        <v> </v>
      </c>
      <c r="G6290" s="24" t="str">
        <f>IF(OR(E6290="",E6290="!!!"),"",IF(OR(J6290=0,AND(J6290=1,K6290=1),AND(J6290=1,I6290="SBJ"),AND(J6290=1,I6290=0)),"?IN_FOCUS",IF(J6290&lt;=2,"?ACTIVATED",IF(J6290&lt;&gt;"","?FAMILIAR",IF(F6290="NEW",IF(ISNA(VLOOKUP(E6290,#REF!,1,FALSE())),"?TYPE_IDENTIFIABLE","?REFERENTIAL"),"_")))))</f>
        <v> </v>
      </c>
      <c r="H6290" s="25" t="str">
        <f>IF(J6290&lt;&gt;1,"",IF(I6290="SBJ","CB","?"))</f>
        <v> </v>
      </c>
      <c r="I6290" s="26" t="str">
        <f>IF(OR(E6290="",E6290="!!!",F6290="NEW"),"",INDEX(B6289:B$2,-1+SUMPRODUCT(MAX(ROW(E6289:E$2)*(E6290=E6289:E$2)))))</f>
        <v> </v>
      </c>
      <c r="J6290" s="26" t="str">
        <f>IF(OR(E6290="",E6290="!!!",F6290="NEW"),"",COUNTBLANK(OFFSET(A$1,,,SUMPRODUCT(MAX(ROW(E$2:E6290)*(E6290=E$2:E6290)))))-COUNTBLANK(OFFSET(A$1,,,SUMPRODUCT(MAX(ROW(E$1:E6289)*(E2=E$1:E6289))))))</f>
        <v> </v>
      </c>
      <c r="K6290" s="26" t="str">
        <f>IF(OR(E6290="",E6290="!!!",F6290="NEW"),"",INDEX(J$1:J6289,SUMPRODUCT(MAX(ROW(E$1:E6289)*(E6290=E$1:E6289)))))</f>
        <v> </v>
      </c>
      <c r="L6290" s="27"/>
    </row>
    <row r="6291" spans="1:12">
      <c r="A6291" s="20" t="s">
        <v>102</v>
      </c>
      <c r="E6291" s="22">
        <f>IF(D6291="?OLD","!!!","")</f>
        <v/>
      </c>
      <c r="F6291" s="23" t="str">
        <f>IF(OR(E6291="",E6291="!!!"),"",IF(NOT(ISNA(VLOOKUP(E6291,E$1:E6290,1,FALSE()))),"OLD",IF(AND(E6291&lt;&gt;"",E6291&lt;&gt;"!!!"),"NEW","")))</f>
        <v> </v>
      </c>
      <c r="G6291" s="24" t="str">
        <f>IF(OR(E6291="",E6291="!!!"),"",IF(OR(J6291=0,AND(J6291=1,K6291=1),AND(J6291=1,I6291="SBJ"),AND(J6291=1,I6291=0)),"?IN_FOCUS",IF(J6291&lt;=2,"?ACTIVATED",IF(J6291&lt;&gt;"","?FAMILIAR",IF(F6291="NEW",IF(ISNA(VLOOKUP(E6291,#REF!,1,FALSE())),"?TYPE_IDENTIFIABLE","?REFERENTIAL"),"_")))))</f>
        <v> </v>
      </c>
      <c r="H6291" s="25" t="str">
        <f>IF(J6291&lt;&gt;1,"",IF(I6291="SBJ","CB","?"))</f>
        <v> </v>
      </c>
      <c r="I6291" s="26" t="str">
        <f>IF(OR(E6291="",E6291="!!!",F6291="NEW"),"",INDEX(B6290:B$2,-1+SUMPRODUCT(MAX(ROW(E6290:E$2)*(E6291=E6290:E$2)))))</f>
        <v> </v>
      </c>
      <c r="J6291" s="26" t="str">
        <f>IF(OR(E6291="",E6291="!!!",F6291="NEW"),"",COUNTBLANK(OFFSET(A$1,,,SUMPRODUCT(MAX(ROW(E$2:E6291)*(E6291=E$2:E6291)))))-COUNTBLANK(OFFSET(A$1,,,SUMPRODUCT(MAX(ROW(E$1:E6290)*(E2=E$1:E6290))))))</f>
        <v> </v>
      </c>
      <c r="K6291" s="26" t="str">
        <f>IF(OR(E6291="",E6291="!!!",F6291="NEW"),"",INDEX(J$1:J6290,SUMPRODUCT(MAX(ROW(E$1:E6290)*(E6291=E$1:E6290)))))</f>
        <v> </v>
      </c>
      <c r="L6291" s="27"/>
    </row>
    <row r="6292" spans="1:12">
      <c r="A6292" s="20" t="s">
        <v>1195</v>
      </c>
      <c r="B6292" s="21" t="s">
        <v>1022</v>
      </c>
      <c r="C6292" s="21" t="s">
        <v>1013</v>
      </c>
      <c r="D6292" s="21" t="s">
        <v>1007</v>
      </c>
      <c r="E6292" s="22">
        <f>IF(D6292="?OLD","!!!","")</f>
        <v/>
      </c>
      <c r="F6292" s="23" t="str">
        <f>IF(OR(E6292="",E6292="!!!"),"",IF(NOT(ISNA(VLOOKUP(E6292,E$1:E6291,1,FALSE()))),"OLD",IF(AND(E6292&lt;&gt;"",E6292&lt;&gt;"!!!"),"NEW","")))</f>
        <v> </v>
      </c>
      <c r="G6292" s="24" t="str">
        <f>IF(OR(E6292="",E6292="!!!"),"",IF(OR(J6292=0,AND(J6292=1,K6292=1),AND(J6292=1,I6292="SBJ"),AND(J6292=1,I6292=0)),"?IN_FOCUS",IF(J6292&lt;=2,"?ACTIVATED",IF(J6292&lt;&gt;"","?FAMILIAR",IF(F6292="NEW",IF(ISNA(VLOOKUP(E6292,#REF!,1,FALSE())),"?TYPE_IDENTIFIABLE","?REFERENTIAL"),"_")))))</f>
        <v> </v>
      </c>
      <c r="H6292" s="25" t="str">
        <f>IF(J6292&lt;&gt;1,"",IF(I6292="SBJ","CB","?"))</f>
        <v> </v>
      </c>
      <c r="I6292" s="26" t="str">
        <f>IF(OR(E6292="",E6292="!!!",F6292="NEW"),"",INDEX(B6291:B$2,-1+SUMPRODUCT(MAX(ROW(E6291:E$2)*(E6292=E6291:E$2)))))</f>
        <v> </v>
      </c>
      <c r="J6292" s="26" t="str">
        <f>IF(OR(E6292="",E6292="!!!",F6292="NEW"),"",COUNTBLANK(OFFSET(A$1,,,SUMPRODUCT(MAX(ROW(E$2:E6292)*(E6292=E$2:E6292)))))-COUNTBLANK(OFFSET(A$1,,,SUMPRODUCT(MAX(ROW(E$1:E6291)*(E2=E$1:E6291))))))</f>
        <v> </v>
      </c>
      <c r="K6292" s="26" t="str">
        <f>IF(OR(E6292="",E6292="!!!",F6292="NEW"),"",INDEX(J$1:J6291,SUMPRODUCT(MAX(ROW(E$1:E6291)*(E6292=E$1:E6291)))))</f>
        <v> </v>
      </c>
      <c r="L6292" s="27"/>
    </row>
    <row r="6293" spans="1:12">
      <c r="A6293" s="20" t="s">
        <v>2651</v>
      </c>
      <c r="E6293" s="22">
        <f>IF(D6293="?OLD","!!!","")</f>
        <v/>
      </c>
      <c r="F6293" s="23" t="str">
        <f>IF(OR(E6293="",E6293="!!!"),"",IF(NOT(ISNA(VLOOKUP(E6293,E$1:E6292,1,FALSE()))),"OLD",IF(AND(E6293&lt;&gt;"",E6293&lt;&gt;"!!!"),"NEW","")))</f>
        <v> </v>
      </c>
      <c r="G6293" s="24" t="str">
        <f>IF(OR(E6293="",E6293="!!!"),"",IF(OR(J6293=0,AND(J6293=1,K6293=1),AND(J6293=1,I6293="SBJ"),AND(J6293=1,I6293=0)),"?IN_FOCUS",IF(J6293&lt;=2,"?ACTIVATED",IF(J6293&lt;&gt;"","?FAMILIAR",IF(F6293="NEW",IF(ISNA(VLOOKUP(E6293,#REF!,1,FALSE())),"?TYPE_IDENTIFIABLE","?REFERENTIAL"),"_")))))</f>
        <v> </v>
      </c>
      <c r="H6293" s="25" t="str">
        <f>IF(J6293&lt;&gt;1,"",IF(I6293="SBJ","CB","?"))</f>
        <v> </v>
      </c>
      <c r="I6293" s="26" t="str">
        <f>IF(OR(E6293="",E6293="!!!",F6293="NEW"),"",INDEX(B6292:B$2,-1+SUMPRODUCT(MAX(ROW(E6292:E$2)*(E6293=E6292:E$2)))))</f>
        <v> </v>
      </c>
      <c r="J6293" s="26" t="str">
        <f>IF(OR(E6293="",E6293="!!!",F6293="NEW"),"",COUNTBLANK(OFFSET(A$1,,,SUMPRODUCT(MAX(ROW(E$2:E6293)*(E6293=E$2:E6293)))))-COUNTBLANK(OFFSET(A$1,,,SUMPRODUCT(MAX(ROW(E$1:E6292)*(E2=E$1:E6292))))))</f>
        <v> </v>
      </c>
      <c r="K6293" s="26" t="str">
        <f>IF(OR(E6293="",E6293="!!!",F6293="NEW"),"",INDEX(J$1:J6292,SUMPRODUCT(MAX(ROW(E$1:E6292)*(E6293=E$1:E6292)))))</f>
        <v> </v>
      </c>
      <c r="L6293" s="27"/>
    </row>
    <row r="6294" spans="1:12">
      <c r="A6294" s="20" t="s">
        <v>1030</v>
      </c>
      <c r="E6294" s="22">
        <f>IF(D6294="?OLD","!!!","")</f>
        <v/>
      </c>
      <c r="F6294" s="23" t="str">
        <f>IF(OR(E6294="",E6294="!!!"),"",IF(NOT(ISNA(VLOOKUP(E6294,E$1:E6293,1,FALSE()))),"OLD",IF(AND(E6294&lt;&gt;"",E6294&lt;&gt;"!!!"),"NEW","")))</f>
        <v> </v>
      </c>
      <c r="G6294" s="24" t="str">
        <f>IF(OR(E6294="",E6294="!!!"),"",IF(OR(J6294=0,AND(J6294=1,K6294=1),AND(J6294=1,I6294="SBJ"),AND(J6294=1,I6294=0)),"?IN_FOCUS",IF(J6294&lt;=2,"?ACTIVATED",IF(J6294&lt;&gt;"","?FAMILIAR",IF(F6294="NEW",IF(ISNA(VLOOKUP(E6294,#REF!,1,FALSE())),"?TYPE_IDENTIFIABLE","?REFERENTIAL"),"_")))))</f>
        <v> </v>
      </c>
      <c r="H6294" s="25" t="str">
        <f>IF(J6294&lt;&gt;1,"",IF(I6294="SBJ","CB","?"))</f>
        <v> </v>
      </c>
      <c r="I6294" s="26" t="str">
        <f>IF(OR(E6294="",E6294="!!!",F6294="NEW"),"",INDEX(B6293:B$2,-1+SUMPRODUCT(MAX(ROW(E6293:E$2)*(E6294=E6293:E$2)))))</f>
        <v> </v>
      </c>
      <c r="J6294" s="26" t="str">
        <f>IF(OR(E6294="",E6294="!!!",F6294="NEW"),"",COUNTBLANK(OFFSET(A$1,,,SUMPRODUCT(MAX(ROW(E$2:E6294)*(E6294=E$2:E6294)))))-COUNTBLANK(OFFSET(A$1,,,SUMPRODUCT(MAX(ROW(E$1:E6293)*(E2=E$1:E6293))))))</f>
        <v> </v>
      </c>
      <c r="K6294" s="26" t="str">
        <f>IF(OR(E6294="",E6294="!!!",F6294="NEW"),"",INDEX(J$1:J6293,SUMPRODUCT(MAX(ROW(E$1:E6293)*(E6294=E$1:E6293)))))</f>
        <v> </v>
      </c>
      <c r="L6294" s="27"/>
    </row>
    <row r="6295" spans="1:12">
      <c r="A6295" s="20" t="s">
        <v>102</v>
      </c>
      <c r="E6295" s="22">
        <f>IF(D6295="?OLD","!!!","")</f>
        <v/>
      </c>
      <c r="F6295" s="23" t="str">
        <f>IF(OR(E6295="",E6295="!!!"),"",IF(NOT(ISNA(VLOOKUP(E6295,E$1:E6294,1,FALSE()))),"OLD",IF(AND(E6295&lt;&gt;"",E6295&lt;&gt;"!!!"),"NEW","")))</f>
        <v> </v>
      </c>
      <c r="G6295" s="24" t="str">
        <f>IF(OR(E6295="",E6295="!!!"),"",IF(OR(J6295=0,AND(J6295=1,K6295=1),AND(J6295=1,I6295="SBJ"),AND(J6295=1,I6295=0)),"?IN_FOCUS",IF(J6295&lt;=2,"?ACTIVATED",IF(J6295&lt;&gt;"","?FAMILIAR",IF(F6295="NEW",IF(ISNA(VLOOKUP(E6295,#REF!,1,FALSE())),"?TYPE_IDENTIFIABLE","?REFERENTIAL"),"_")))))</f>
        <v> </v>
      </c>
      <c r="H6295" s="25" t="str">
        <f>IF(J6295&lt;&gt;1,"",IF(I6295="SBJ","CB","?"))</f>
        <v> </v>
      </c>
      <c r="I6295" s="26" t="str">
        <f>IF(OR(E6295="",E6295="!!!",F6295="NEW"),"",INDEX(B6294:B$2,-1+SUMPRODUCT(MAX(ROW(E6294:E$2)*(E6295=E6294:E$2)))))</f>
        <v> </v>
      </c>
      <c r="J6295" s="26" t="str">
        <f>IF(OR(E6295="",E6295="!!!",F6295="NEW"),"",COUNTBLANK(OFFSET(A$1,,,SUMPRODUCT(MAX(ROW(E$2:E6295)*(E6295=E$2:E6295)))))-COUNTBLANK(OFFSET(A$1,,,SUMPRODUCT(MAX(ROW(E$1:E6294)*(E2=E$1:E6294))))))</f>
        <v> </v>
      </c>
      <c r="K6295" s="26" t="str">
        <f>IF(OR(E6295="",E6295="!!!",F6295="NEW"),"",INDEX(J$1:J6294,SUMPRODUCT(MAX(ROW(E$1:E6294)*(E6295=E$1:E6294)))))</f>
        <v> </v>
      </c>
      <c r="L6295" s="27"/>
    </row>
    <row r="6296" spans="1:12">
      <c r="A6296" s="20" t="s">
        <v>1156</v>
      </c>
      <c r="B6296" s="21" t="s">
        <v>1033</v>
      </c>
      <c r="C6296" s="21" t="s">
        <v>1017</v>
      </c>
      <c r="D6296" s="21" t="s">
        <v>1007</v>
      </c>
      <c r="E6296" s="22">
        <f>IF(D6296="?OLD","!!!","")</f>
        <v/>
      </c>
      <c r="F6296" s="23" t="str">
        <f>IF(OR(E6296="",E6296="!!!"),"",IF(NOT(ISNA(VLOOKUP(E6296,E$1:E6295,1,FALSE()))),"OLD",IF(AND(E6296&lt;&gt;"",E6296&lt;&gt;"!!!"),"NEW","")))</f>
        <v> </v>
      </c>
      <c r="G6296" s="24" t="str">
        <f>IF(OR(E6296="",E6296="!!!"),"",IF(OR(J6296=0,AND(J6296=1,K6296=1),AND(J6296=1,I6296="SBJ"),AND(J6296=1,I6296=0)),"?IN_FOCUS",IF(J6296&lt;=2,"?ACTIVATED",IF(J6296&lt;&gt;"","?FAMILIAR",IF(F6296="NEW",IF(ISNA(VLOOKUP(E6296,#REF!,1,FALSE())),"?TYPE_IDENTIFIABLE","?REFERENTIAL"),"_")))))</f>
        <v> </v>
      </c>
      <c r="H6296" s="25" t="str">
        <f>IF(J6296&lt;&gt;1,"",IF(I6296="SBJ","CB","?"))</f>
        <v> </v>
      </c>
      <c r="I6296" s="26" t="str">
        <f>IF(OR(E6296="",E6296="!!!",F6296="NEW"),"",INDEX(B6295:B$2,-1+SUMPRODUCT(MAX(ROW(E6295:E$2)*(E6296=E6295:E$2)))))</f>
        <v> </v>
      </c>
      <c r="J6296" s="26" t="str">
        <f>IF(OR(E6296="",E6296="!!!",F6296="NEW"),"",COUNTBLANK(OFFSET(A$1,,,SUMPRODUCT(MAX(ROW(E$2:E6296)*(E6296=E$2:E6296)))))-COUNTBLANK(OFFSET(A$1,,,SUMPRODUCT(MAX(ROW(E$1:E6295)*(E2=E$1:E6295))))))</f>
        <v> </v>
      </c>
      <c r="K6296" s="26" t="str">
        <f>IF(OR(E6296="",E6296="!!!",F6296="NEW"),"",INDEX(J$1:J6295,SUMPRODUCT(MAX(ROW(E$1:E6295)*(E6296=E$1:E6295)))))</f>
        <v> </v>
      </c>
      <c r="L6296" s="27"/>
    </row>
    <row r="6297" spans="1:12">
      <c r="A6297" s="20" t="s">
        <v>2035</v>
      </c>
      <c r="E6297" s="22">
        <f>IF(D6297="?OLD","!!!","")</f>
        <v/>
      </c>
      <c r="F6297" s="23" t="str">
        <f>IF(OR(E6297="",E6297="!!!"),"",IF(NOT(ISNA(VLOOKUP(E6297,E$1:E6296,1,FALSE()))),"OLD",IF(AND(E6297&lt;&gt;"",E6297&lt;&gt;"!!!"),"NEW","")))</f>
        <v> </v>
      </c>
      <c r="G6297" s="24" t="str">
        <f>IF(OR(E6297="",E6297="!!!"),"",IF(OR(J6297=0,AND(J6297=1,K6297=1),AND(J6297=1,I6297="SBJ"),AND(J6297=1,I6297=0)),"?IN_FOCUS",IF(J6297&lt;=2,"?ACTIVATED",IF(J6297&lt;&gt;"","?FAMILIAR",IF(F6297="NEW",IF(ISNA(VLOOKUP(E6297,#REF!,1,FALSE())),"?TYPE_IDENTIFIABLE","?REFERENTIAL"),"_")))))</f>
        <v> </v>
      </c>
      <c r="H6297" s="25" t="str">
        <f>IF(J6297&lt;&gt;1,"",IF(I6297="SBJ","CB","?"))</f>
        <v> </v>
      </c>
      <c r="I6297" s="26" t="str">
        <f>IF(OR(E6297="",E6297="!!!",F6297="NEW"),"",INDEX(B6296:B$2,-1+SUMPRODUCT(MAX(ROW(E6296:E$2)*(E6297=E6296:E$2)))))</f>
        <v> </v>
      </c>
      <c r="J6297" s="26" t="str">
        <f>IF(OR(E6297="",E6297="!!!",F6297="NEW"),"",COUNTBLANK(OFFSET(A$1,,,SUMPRODUCT(MAX(ROW(E$2:E6297)*(E6297=E$2:E6297)))))-COUNTBLANK(OFFSET(A$1,,,SUMPRODUCT(MAX(ROW(E$1:E6296)*(E2=E$1:E6296))))))</f>
        <v> </v>
      </c>
      <c r="K6297" s="26" t="str">
        <f>IF(OR(E6297="",E6297="!!!",F6297="NEW"),"",INDEX(J$1:J6296,SUMPRODUCT(MAX(ROW(E$1:E6296)*(E6297=E$1:E6296)))))</f>
        <v> </v>
      </c>
      <c r="L6297" s="27"/>
    </row>
    <row r="6298" spans="1:12">
      <c r="A6298" s="20" t="s">
        <v>1023</v>
      </c>
      <c r="E6298" s="22">
        <f>IF(D6298="?OLD","!!!","")</f>
        <v/>
      </c>
      <c r="F6298" s="23" t="str">
        <f>IF(OR(E6298="",E6298="!!!"),"",IF(NOT(ISNA(VLOOKUP(E6298,E$1:E6297,1,FALSE()))),"OLD",IF(AND(E6298&lt;&gt;"",E6298&lt;&gt;"!!!"),"NEW","")))</f>
        <v> </v>
      </c>
      <c r="G6298" s="24" t="str">
        <f>IF(OR(E6298="",E6298="!!!"),"",IF(OR(J6298=0,AND(J6298=1,K6298=1),AND(J6298=1,I6298="SBJ"),AND(J6298=1,I6298=0)),"?IN_FOCUS",IF(J6298&lt;=2,"?ACTIVATED",IF(J6298&lt;&gt;"","?FAMILIAR",IF(F6298="NEW",IF(ISNA(VLOOKUP(E6298,#REF!,1,FALSE())),"?TYPE_IDENTIFIABLE","?REFERENTIAL"),"_")))))</f>
        <v> </v>
      </c>
      <c r="H6298" s="25" t="str">
        <f>IF(J6298&lt;&gt;1,"",IF(I6298="SBJ","CB","?"))</f>
        <v> </v>
      </c>
      <c r="I6298" s="26" t="str">
        <f>IF(OR(E6298="",E6298="!!!",F6298="NEW"),"",INDEX(B6297:B$2,-1+SUMPRODUCT(MAX(ROW(E6297:E$2)*(E6298=E6297:E$2)))))</f>
        <v> </v>
      </c>
      <c r="J6298" s="26" t="str">
        <f>IF(OR(E6298="",E6298="!!!",F6298="NEW"),"",COUNTBLANK(OFFSET(A$1,,,SUMPRODUCT(MAX(ROW(E$2:E6298)*(E6298=E$2:E6298)))))-COUNTBLANK(OFFSET(A$1,,,SUMPRODUCT(MAX(ROW(E$1:E6297)*(E2=E$1:E6297))))))</f>
        <v> </v>
      </c>
      <c r="K6298" s="26" t="str">
        <f>IF(OR(E6298="",E6298="!!!",F6298="NEW"),"",INDEX(J$1:J6297,SUMPRODUCT(MAX(ROW(E$1:E6297)*(E6298=E$1:E6297)))))</f>
        <v> </v>
      </c>
      <c r="L6298" s="27"/>
    </row>
    <row r="6299" spans="1:12">
      <c r="A6299" s="20"/>
    </row>
    <row r="6300" spans="1:12">
      <c r="A6300" s="20" t="s">
        <v>2652</v>
      </c>
    </row>
    <row r="6301" spans="1:12">
      <c r="A6301" s="20" t="s">
        <v>11</v>
      </c>
      <c r="E6301" s="22">
        <f>IF(D6301="?OLD","!!!","")</f>
        <v/>
      </c>
      <c r="F6301" s="23" t="str">
        <f>IF(OR(E6301="",E6301="!!!"),"",IF(NOT(ISNA(VLOOKUP(E6301,E$1:E6300,1,FALSE()))),"OLD",IF(AND(E6301&lt;&gt;"",E6301&lt;&gt;"!!!"),"NEW","")))</f>
        <v> </v>
      </c>
      <c r="G6301" s="24" t="str">
        <f>IF(OR(E6301="",E6301="!!!"),"",IF(OR(J6301=0,AND(J6301=1,K6301=1),AND(J6301=1,I6301="SBJ"),AND(J6301=1,I6301=0)),"?IN_FOCUS",IF(J6301&lt;=2,"?ACTIVATED",IF(J6301&lt;&gt;"","?FAMILIAR",IF(F6301="NEW",IF(ISNA(VLOOKUP(E6301,#REF!,1,FALSE())),"?TYPE_IDENTIFIABLE","?REFERENTIAL"),"_")))))</f>
        <v> </v>
      </c>
      <c r="H6301" s="25" t="str">
        <f>IF(J6301&lt;&gt;1,"",IF(I6301="SBJ","CB","?"))</f>
        <v> </v>
      </c>
      <c r="I6301" s="26" t="str">
        <f>IF(OR(E6301="",E6301="!!!",F6301="NEW"),"",INDEX(B6300:B$2,-1+SUMPRODUCT(MAX(ROW(E6300:E$2)*(E6301=E6300:E$2)))))</f>
        <v> </v>
      </c>
      <c r="J6301" s="26" t="str">
        <f>IF(OR(E6301="",E6301="!!!",F6301="NEW"),"",COUNTBLANK(OFFSET(A$1,,,SUMPRODUCT(MAX(ROW(E$2:E6301)*(E6301=E$2:E6301)))))-COUNTBLANK(OFFSET(A$1,,,SUMPRODUCT(MAX(ROW(E$1:E6300)*(E2=E$1:E6300))))))</f>
        <v> </v>
      </c>
      <c r="K6301" s="26" t="str">
        <f>IF(OR(E6301="",E6301="!!!",F6301="NEW"),"",INDEX(J$1:J6300,SUMPRODUCT(MAX(ROW(E$1:E6300)*(E6301=E$1:E6300)))))</f>
        <v> </v>
      </c>
      <c r="L6301" s="27"/>
    </row>
    <row r="6302" spans="1:12">
      <c r="A6302" s="20" t="s">
        <v>2354</v>
      </c>
      <c r="B6302" s="21" t="s">
        <v>1119</v>
      </c>
      <c r="C6302" s="21" t="s">
        <v>1017</v>
      </c>
      <c r="D6302" s="21" t="s">
        <v>1007</v>
      </c>
      <c r="E6302" s="22">
        <f>IF(D6302="?OLD","!!!","")</f>
        <v/>
      </c>
      <c r="F6302" s="23" t="str">
        <f>IF(OR(E6302="",E6302="!!!"),"",IF(NOT(ISNA(VLOOKUP(E6302,E$1:E6301,1,FALSE()))),"OLD",IF(AND(E6302&lt;&gt;"",E6302&lt;&gt;"!!!"),"NEW","")))</f>
        <v> </v>
      </c>
      <c r="G6302" s="24" t="str">
        <f>IF(OR(E6302="",E6302="!!!"),"",IF(OR(J6302=0,AND(J6302=1,K6302=1),AND(J6302=1,I6302="SBJ"),AND(J6302=1,I6302=0)),"?IN_FOCUS",IF(J6302&lt;=2,"?ACTIVATED",IF(J6302&lt;&gt;"","?FAMILIAR",IF(F6302="NEW",IF(ISNA(VLOOKUP(E6302,#REF!,1,FALSE())),"?TYPE_IDENTIFIABLE","?REFERENTIAL"),"_")))))</f>
        <v> </v>
      </c>
      <c r="H6302" s="25" t="str">
        <f>IF(J6302&lt;&gt;1,"",IF(I6302="SBJ","CB","?"))</f>
        <v> </v>
      </c>
      <c r="I6302" s="26" t="str">
        <f>IF(OR(E6302="",E6302="!!!",F6302="NEW"),"",INDEX(B6301:B$2,-1+SUMPRODUCT(MAX(ROW(E6301:E$2)*(E6302=E6301:E$2)))))</f>
        <v> </v>
      </c>
      <c r="J6302" s="26" t="str">
        <f>IF(OR(E6302="",E6302="!!!",F6302="NEW"),"",COUNTBLANK(OFFSET(A$1,,,SUMPRODUCT(MAX(ROW(E$2:E6302)*(E6302=E$2:E6302)))))-COUNTBLANK(OFFSET(A$1,,,SUMPRODUCT(MAX(ROW(E$1:E6301)*(E2=E$1:E6301))))))</f>
        <v> </v>
      </c>
      <c r="K6302" s="26" t="str">
        <f>IF(OR(E6302="",E6302="!!!",F6302="NEW"),"",INDEX(J$1:J6301,SUMPRODUCT(MAX(ROW(E$1:E6301)*(E6302=E$1:E6301)))))</f>
        <v> </v>
      </c>
      <c r="L6302" s="27"/>
    </row>
    <row r="6303" spans="1:12">
      <c r="A6303" s="20" t="s">
        <v>1142</v>
      </c>
      <c r="E6303" s="22">
        <f>IF(D6303="?OLD","!!!","")</f>
        <v/>
      </c>
      <c r="F6303" s="23" t="str">
        <f>IF(OR(E6303="",E6303="!!!"),"",IF(NOT(ISNA(VLOOKUP(E6303,E$1:E6302,1,FALSE()))),"OLD",IF(AND(E6303&lt;&gt;"",E6303&lt;&gt;"!!!"),"NEW","")))</f>
        <v> </v>
      </c>
      <c r="G6303" s="24" t="str">
        <f>IF(OR(E6303="",E6303="!!!"),"",IF(OR(J6303=0,AND(J6303=1,K6303=1),AND(J6303=1,I6303="SBJ"),AND(J6303=1,I6303=0)),"?IN_FOCUS",IF(J6303&lt;=2,"?ACTIVATED",IF(J6303&lt;&gt;"","?FAMILIAR",IF(F6303="NEW",IF(ISNA(VLOOKUP(E6303,#REF!,1,FALSE())),"?TYPE_IDENTIFIABLE","?REFERENTIAL"),"_")))))</f>
        <v> </v>
      </c>
      <c r="H6303" s="25" t="str">
        <f>IF(J6303&lt;&gt;1,"",IF(I6303="SBJ","CB","?"))</f>
        <v> </v>
      </c>
      <c r="I6303" s="26" t="str">
        <f>IF(OR(E6303="",E6303="!!!",F6303="NEW"),"",INDEX(B6302:B$2,-1+SUMPRODUCT(MAX(ROW(E6302:E$2)*(E6303=E6302:E$2)))))</f>
        <v> </v>
      </c>
      <c r="J6303" s="26" t="str">
        <f>IF(OR(E6303="",E6303="!!!",F6303="NEW"),"",COUNTBLANK(OFFSET(A$1,,,SUMPRODUCT(MAX(ROW(E$2:E6303)*(E6303=E$2:E6303)))))-COUNTBLANK(OFFSET(A$1,,,SUMPRODUCT(MAX(ROW(E$1:E6302)*(E2=E$1:E6302))))))</f>
        <v> </v>
      </c>
      <c r="K6303" s="26" t="str">
        <f>IF(OR(E6303="",E6303="!!!",F6303="NEW"),"",INDEX(J$1:J6302,SUMPRODUCT(MAX(ROW(E$1:E6302)*(E6303=E$1:E6302)))))</f>
        <v> </v>
      </c>
      <c r="L6303" s="27"/>
    </row>
    <row r="6304" spans="1:12">
      <c r="A6304" s="20" t="s">
        <v>1075</v>
      </c>
      <c r="E6304" s="22">
        <f>IF(D6304="?OLD","!!!","")</f>
        <v/>
      </c>
      <c r="F6304" s="23" t="str">
        <f>IF(OR(E6304="",E6304="!!!"),"",IF(NOT(ISNA(VLOOKUP(E6304,E$1:E6303,1,FALSE()))),"OLD",IF(AND(E6304&lt;&gt;"",E6304&lt;&gt;"!!!"),"NEW","")))</f>
        <v> </v>
      </c>
      <c r="G6304" s="24" t="str">
        <f>IF(OR(E6304="",E6304="!!!"),"",IF(OR(J6304=0,AND(J6304=1,K6304=1),AND(J6304=1,I6304="SBJ"),AND(J6304=1,I6304=0)),"?IN_FOCUS",IF(J6304&lt;=2,"?ACTIVATED",IF(J6304&lt;&gt;"","?FAMILIAR",IF(F6304="NEW",IF(ISNA(VLOOKUP(E6304,#REF!,1,FALSE())),"?TYPE_IDENTIFIABLE","?REFERENTIAL"),"_")))))</f>
        <v> </v>
      </c>
      <c r="H6304" s="25" t="str">
        <f>IF(J6304&lt;&gt;1,"",IF(I6304="SBJ","CB","?"))</f>
        <v> </v>
      </c>
      <c r="I6304" s="26" t="str">
        <f>IF(OR(E6304="",E6304="!!!",F6304="NEW"),"",INDEX(B6303:B$2,-1+SUMPRODUCT(MAX(ROW(E6303:E$2)*(E6304=E6303:E$2)))))</f>
        <v> </v>
      </c>
      <c r="J6304" s="26" t="str">
        <f>IF(OR(E6304="",E6304="!!!",F6304="NEW"),"",COUNTBLANK(OFFSET(A$1,,,SUMPRODUCT(MAX(ROW(E$2:E6304)*(E6304=E$2:E6304)))))-COUNTBLANK(OFFSET(A$1,,,SUMPRODUCT(MAX(ROW(E$1:E6303)*(E2=E$1:E6303))))))</f>
        <v> </v>
      </c>
      <c r="K6304" s="26" t="str">
        <f>IF(OR(E6304="",E6304="!!!",F6304="NEW"),"",INDEX(J$1:J6303,SUMPRODUCT(MAX(ROW(E$1:E6303)*(E6304=E$1:E6303)))))</f>
        <v> </v>
      </c>
      <c r="L6304" s="27"/>
    </row>
    <row r="6305" spans="1:12">
      <c r="A6305" s="20" t="s">
        <v>1056</v>
      </c>
      <c r="E6305" s="22">
        <f>IF(D6305="?OLD","!!!","")</f>
        <v/>
      </c>
      <c r="F6305" s="23" t="str">
        <f>IF(OR(E6305="",E6305="!!!"),"",IF(NOT(ISNA(VLOOKUP(E6305,E$1:E6304,1,FALSE()))),"OLD",IF(AND(E6305&lt;&gt;"",E6305&lt;&gt;"!!!"),"NEW","")))</f>
        <v> </v>
      </c>
      <c r="G6305" s="24" t="str">
        <f>IF(OR(E6305="",E6305="!!!"),"",IF(OR(J6305=0,AND(J6305=1,K6305=1),AND(J6305=1,I6305="SBJ"),AND(J6305=1,I6305=0)),"?IN_FOCUS",IF(J6305&lt;=2,"?ACTIVATED",IF(J6305&lt;&gt;"","?FAMILIAR",IF(F6305="NEW",IF(ISNA(VLOOKUP(E6305,#REF!,1,FALSE())),"?TYPE_IDENTIFIABLE","?REFERENTIAL"),"_")))))</f>
        <v> </v>
      </c>
      <c r="H6305" s="25" t="str">
        <f>IF(J6305&lt;&gt;1,"",IF(I6305="SBJ","CB","?"))</f>
        <v> </v>
      </c>
      <c r="I6305" s="26" t="str">
        <f>IF(OR(E6305="",E6305="!!!",F6305="NEW"),"",INDEX(B6304:B$2,-1+SUMPRODUCT(MAX(ROW(E6304:E$2)*(E6305=E6304:E$2)))))</f>
        <v> </v>
      </c>
      <c r="J6305" s="26" t="str">
        <f>IF(OR(E6305="",E6305="!!!",F6305="NEW"),"",COUNTBLANK(OFFSET(A$1,,,SUMPRODUCT(MAX(ROW(E$2:E6305)*(E6305=E$2:E6305)))))-COUNTBLANK(OFFSET(A$1,,,SUMPRODUCT(MAX(ROW(E$1:E6304)*(E2=E$1:E6304))))))</f>
        <v> </v>
      </c>
      <c r="K6305" s="26" t="str">
        <f>IF(OR(E6305="",E6305="!!!",F6305="NEW"),"",INDEX(J$1:J6304,SUMPRODUCT(MAX(ROW(E$1:E6304)*(E6305=E$1:E6304)))))</f>
        <v> </v>
      </c>
      <c r="L6305" s="27"/>
    </row>
    <row r="6306" spans="1:12">
      <c r="A6306" s="20" t="s">
        <v>2653</v>
      </c>
      <c r="B6306" s="21" t="s">
        <v>1050</v>
      </c>
      <c r="C6306" s="21" t="s">
        <v>1111</v>
      </c>
      <c r="E6306" s="22">
        <f>IF(D6306="?OLD","!!!","")</f>
        <v/>
      </c>
      <c r="F6306" s="23" t="str">
        <f>IF(OR(E6306="",E6306="!!!"),"",IF(NOT(ISNA(VLOOKUP(E6306,E$1:E6305,1,FALSE()))),"OLD",IF(AND(E6306&lt;&gt;"",E6306&lt;&gt;"!!!"),"NEW","")))</f>
        <v> </v>
      </c>
      <c r="G6306" s="24" t="str">
        <f>IF(OR(E6306="",E6306="!!!"),"",IF(OR(J6306=0,AND(J6306=1,K6306=1),AND(J6306=1,I6306="SBJ"),AND(J6306=1,I6306=0)),"?IN_FOCUS",IF(J6306&lt;=2,"?ACTIVATED",IF(J6306&lt;&gt;"","?FAMILIAR",IF(F6306="NEW",IF(ISNA(VLOOKUP(E6306,#REF!,1,FALSE())),"?TYPE_IDENTIFIABLE","?REFERENTIAL"),"_")))))</f>
        <v> </v>
      </c>
      <c r="H6306" s="25" t="str">
        <f>IF(J6306&lt;&gt;1,"",IF(I6306="SBJ","CB","?"))</f>
        <v> </v>
      </c>
      <c r="I6306" s="26" t="str">
        <f>IF(OR(E6306="",E6306="!!!",F6306="NEW"),"",INDEX(B6305:B$2,-1+SUMPRODUCT(MAX(ROW(E6305:E$2)*(E6306=E6305:E$2)))))</f>
        <v> </v>
      </c>
      <c r="J6306" s="26" t="str">
        <f>IF(OR(E6306="",E6306="!!!",F6306="NEW"),"",COUNTBLANK(OFFSET(A$1,,,SUMPRODUCT(MAX(ROW(E$2:E6306)*(E6306=E$2:E6306)))))-COUNTBLANK(OFFSET(A$1,,,SUMPRODUCT(MAX(ROW(E$1:E6305)*(E2=E$1:E6305))))))</f>
        <v> </v>
      </c>
      <c r="K6306" s="26" t="str">
        <f>IF(OR(E6306="",E6306="!!!",F6306="NEW"),"",INDEX(J$1:J6305,SUMPRODUCT(MAX(ROW(E$1:E6305)*(E6306=E$1:E6305)))))</f>
        <v> </v>
      </c>
      <c r="L6306" s="27"/>
    </row>
    <row r="6307" spans="1:12">
      <c r="A6307" s="20" t="s">
        <v>1018</v>
      </c>
      <c r="E6307" s="22">
        <f>IF(D6307="?OLD","!!!","")</f>
        <v/>
      </c>
      <c r="F6307" s="23" t="str">
        <f>IF(OR(E6307="",E6307="!!!"),"",IF(NOT(ISNA(VLOOKUP(E6307,E$1:E6306,1,FALSE()))),"OLD",IF(AND(E6307&lt;&gt;"",E6307&lt;&gt;"!!!"),"NEW","")))</f>
        <v> </v>
      </c>
      <c r="G6307" s="24" t="str">
        <f>IF(OR(E6307="",E6307="!!!"),"",IF(OR(J6307=0,AND(J6307=1,K6307=1),AND(J6307=1,I6307="SBJ"),AND(J6307=1,I6307=0)),"?IN_FOCUS",IF(J6307&lt;=2,"?ACTIVATED",IF(J6307&lt;&gt;"","?FAMILIAR",IF(F6307="NEW",IF(ISNA(VLOOKUP(E6307,#REF!,1,FALSE())),"?TYPE_IDENTIFIABLE","?REFERENTIAL"),"_")))))</f>
        <v> </v>
      </c>
      <c r="H6307" s="25" t="str">
        <f>IF(J6307&lt;&gt;1,"",IF(I6307="SBJ","CB","?"))</f>
        <v> </v>
      </c>
      <c r="I6307" s="26" t="str">
        <f>IF(OR(E6307="",E6307="!!!",F6307="NEW"),"",INDEX(B6306:B$2,-1+SUMPRODUCT(MAX(ROW(E6306:E$2)*(E6307=E6306:E$2)))))</f>
        <v> </v>
      </c>
      <c r="J6307" s="26" t="str">
        <f>IF(OR(E6307="",E6307="!!!",F6307="NEW"),"",COUNTBLANK(OFFSET(A$1,,,SUMPRODUCT(MAX(ROW(E$2:E6307)*(E6307=E$2:E6307)))))-COUNTBLANK(OFFSET(A$1,,,SUMPRODUCT(MAX(ROW(E$1:E6306)*(E2=E$1:E6306))))))</f>
        <v> </v>
      </c>
      <c r="K6307" s="26" t="str">
        <f>IF(OR(E6307="",E6307="!!!",F6307="NEW"),"",INDEX(J$1:J6306,SUMPRODUCT(MAX(ROW(E$1:E6306)*(E6307=E$1:E6306)))))</f>
        <v> </v>
      </c>
      <c r="L6307" s="27"/>
    </row>
    <row r="6308" spans="1:12">
      <c r="A6308" s="20" t="s">
        <v>1020</v>
      </c>
      <c r="E6308" s="22">
        <f>IF(D6308="?OLD","!!!","")</f>
        <v/>
      </c>
      <c r="F6308" s="23" t="str">
        <f>IF(OR(E6308="",E6308="!!!"),"",IF(NOT(ISNA(VLOOKUP(E6308,E$1:E6307,1,FALSE()))),"OLD",IF(AND(E6308&lt;&gt;"",E6308&lt;&gt;"!!!"),"NEW","")))</f>
        <v> </v>
      </c>
      <c r="G6308" s="24" t="str">
        <f>IF(OR(E6308="",E6308="!!!"),"",IF(OR(J6308=0,AND(J6308=1,K6308=1),AND(J6308=1,I6308="SBJ"),AND(J6308=1,I6308=0)),"?IN_FOCUS",IF(J6308&lt;=2,"?ACTIVATED",IF(J6308&lt;&gt;"","?FAMILIAR",IF(F6308="NEW",IF(ISNA(VLOOKUP(E6308,#REF!,1,FALSE())),"?TYPE_IDENTIFIABLE","?REFERENTIAL"),"_")))))</f>
        <v> </v>
      </c>
      <c r="H6308" s="25" t="str">
        <f>IF(J6308&lt;&gt;1,"",IF(I6308="SBJ","CB","?"))</f>
        <v> </v>
      </c>
      <c r="I6308" s="26" t="str">
        <f>IF(OR(E6308="",E6308="!!!",F6308="NEW"),"",INDEX(B6307:B$2,-1+SUMPRODUCT(MAX(ROW(E6307:E$2)*(E6308=E6307:E$2)))))</f>
        <v> </v>
      </c>
      <c r="J6308" s="26" t="str">
        <f>IF(OR(E6308="",E6308="!!!",F6308="NEW"),"",COUNTBLANK(OFFSET(A$1,,,SUMPRODUCT(MAX(ROW(E$2:E6308)*(E6308=E$2:E6308)))))-COUNTBLANK(OFFSET(A$1,,,SUMPRODUCT(MAX(ROW(E$1:E6307)*(E2=E$1:E6307))))))</f>
        <v> </v>
      </c>
      <c r="K6308" s="26" t="str">
        <f>IF(OR(E6308="",E6308="!!!",F6308="NEW"),"",INDEX(J$1:J6307,SUMPRODUCT(MAX(ROW(E$1:E6307)*(E6308=E$1:E6307)))))</f>
        <v> </v>
      </c>
      <c r="L6308" s="27"/>
    </row>
    <row r="6309" spans="1:12">
      <c r="A6309" s="20" t="s">
        <v>1751</v>
      </c>
      <c r="B6309" s="21" t="s">
        <v>1022</v>
      </c>
      <c r="C6309" s="21" t="s">
        <v>1017</v>
      </c>
      <c r="D6309" s="21" t="s">
        <v>1007</v>
      </c>
      <c r="E6309" s="22">
        <f>IF(D6309="?OLD","!!!","")</f>
        <v/>
      </c>
      <c r="F6309" s="23" t="str">
        <f>IF(OR(E6309="",E6309="!!!"),"",IF(NOT(ISNA(VLOOKUP(E6309,E$1:E6308,1,FALSE()))),"OLD",IF(AND(E6309&lt;&gt;"",E6309&lt;&gt;"!!!"),"NEW","")))</f>
        <v> </v>
      </c>
      <c r="G6309" s="24" t="str">
        <f>IF(OR(E6309="",E6309="!!!"),"",IF(OR(J6309=0,AND(J6309=1,K6309=1),AND(J6309=1,I6309="SBJ"),AND(J6309=1,I6309=0)),"?IN_FOCUS",IF(J6309&lt;=2,"?ACTIVATED",IF(J6309&lt;&gt;"","?FAMILIAR",IF(F6309="NEW",IF(ISNA(VLOOKUP(E6309,#REF!,1,FALSE())),"?TYPE_IDENTIFIABLE","?REFERENTIAL"),"_")))))</f>
        <v> </v>
      </c>
      <c r="H6309" s="25" t="str">
        <f>IF(J6309&lt;&gt;1,"",IF(I6309="SBJ","CB","?"))</f>
        <v> </v>
      </c>
      <c r="I6309" s="26" t="str">
        <f>IF(OR(E6309="",E6309="!!!",F6309="NEW"),"",INDEX(B6308:B$2,-1+SUMPRODUCT(MAX(ROW(E6308:E$2)*(E6309=E6308:E$2)))))</f>
        <v> </v>
      </c>
      <c r="J6309" s="26" t="str">
        <f>IF(OR(E6309="",E6309="!!!",F6309="NEW"),"",COUNTBLANK(OFFSET(A$1,,,SUMPRODUCT(MAX(ROW(E$2:E6309)*(E6309=E$2:E6309)))))-COUNTBLANK(OFFSET(A$1,,,SUMPRODUCT(MAX(ROW(E$1:E6308)*(E2=E$1:E6308))))))</f>
        <v> </v>
      </c>
      <c r="K6309" s="26" t="str">
        <f>IF(OR(E6309="",E6309="!!!",F6309="NEW"),"",INDEX(J$1:J6308,SUMPRODUCT(MAX(ROW(E$1:E6308)*(E6309=E$1:E6308)))))</f>
        <v> </v>
      </c>
      <c r="L6309" s="27"/>
    </row>
    <row r="6310" spans="1:12">
      <c r="A6310" s="20" t="s">
        <v>1142</v>
      </c>
      <c r="E6310" s="22">
        <f>IF(D6310="?OLD","!!!","")</f>
        <v/>
      </c>
      <c r="F6310" s="23" t="str">
        <f>IF(OR(E6310="",E6310="!!!"),"",IF(NOT(ISNA(VLOOKUP(E6310,E$1:E6309,1,FALSE()))),"OLD",IF(AND(E6310&lt;&gt;"",E6310&lt;&gt;"!!!"),"NEW","")))</f>
        <v> </v>
      </c>
      <c r="G6310" s="24" t="str">
        <f>IF(OR(E6310="",E6310="!!!"),"",IF(OR(J6310=0,AND(J6310=1,K6310=1),AND(J6310=1,I6310="SBJ"),AND(J6310=1,I6310=0)),"?IN_FOCUS",IF(J6310&lt;=2,"?ACTIVATED",IF(J6310&lt;&gt;"","?FAMILIAR",IF(F6310="NEW",IF(ISNA(VLOOKUP(E6310,#REF!,1,FALSE())),"?TYPE_IDENTIFIABLE","?REFERENTIAL"),"_")))))</f>
        <v> </v>
      </c>
      <c r="H6310" s="25" t="str">
        <f>IF(J6310&lt;&gt;1,"",IF(I6310="SBJ","CB","?"))</f>
        <v> </v>
      </c>
      <c r="I6310" s="26" t="str">
        <f>IF(OR(E6310="",E6310="!!!",F6310="NEW"),"",INDEX(B6309:B$2,-1+SUMPRODUCT(MAX(ROW(E6309:E$2)*(E6310=E6309:E$2)))))</f>
        <v> </v>
      </c>
      <c r="J6310" s="26" t="str">
        <f>IF(OR(E6310="",E6310="!!!",F6310="NEW"),"",COUNTBLANK(OFFSET(A$1,,,SUMPRODUCT(MAX(ROW(E$2:E6310)*(E6310=E$2:E6310)))))-COUNTBLANK(OFFSET(A$1,,,SUMPRODUCT(MAX(ROW(E$1:E6309)*(E2=E$1:E6309))))))</f>
        <v> </v>
      </c>
      <c r="K6310" s="26" t="str">
        <f>IF(OR(E6310="",E6310="!!!",F6310="NEW"),"",INDEX(J$1:J6309,SUMPRODUCT(MAX(ROW(E$1:E6309)*(E6310=E$1:E6309)))))</f>
        <v> </v>
      </c>
      <c r="L6310" s="27"/>
    </row>
    <row r="6311" spans="1:12">
      <c r="A6311" s="20" t="s">
        <v>1075</v>
      </c>
      <c r="E6311" s="22">
        <f>IF(D6311="?OLD","!!!","")</f>
        <v/>
      </c>
      <c r="F6311" s="23" t="str">
        <f>IF(OR(E6311="",E6311="!!!"),"",IF(NOT(ISNA(VLOOKUP(E6311,E$1:E6310,1,FALSE()))),"OLD",IF(AND(E6311&lt;&gt;"",E6311&lt;&gt;"!!!"),"NEW","")))</f>
        <v> </v>
      </c>
      <c r="G6311" s="24" t="str">
        <f>IF(OR(E6311="",E6311="!!!"),"",IF(OR(J6311=0,AND(J6311=1,K6311=1),AND(J6311=1,I6311="SBJ"),AND(J6311=1,I6311=0)),"?IN_FOCUS",IF(J6311&lt;=2,"?ACTIVATED",IF(J6311&lt;&gt;"","?FAMILIAR",IF(F6311="NEW",IF(ISNA(VLOOKUP(E6311,#REF!,1,FALSE())),"?TYPE_IDENTIFIABLE","?REFERENTIAL"),"_")))))</f>
        <v> </v>
      </c>
      <c r="H6311" s="25" t="str">
        <f>IF(J6311&lt;&gt;1,"",IF(I6311="SBJ","CB","?"))</f>
        <v> </v>
      </c>
      <c r="I6311" s="26" t="str">
        <f>IF(OR(E6311="",E6311="!!!",F6311="NEW"),"",INDEX(B6310:B$2,-1+SUMPRODUCT(MAX(ROW(E6310:E$2)*(E6311=E6310:E$2)))))</f>
        <v> </v>
      </c>
      <c r="J6311" s="26" t="str">
        <f>IF(OR(E6311="",E6311="!!!",F6311="NEW"),"",COUNTBLANK(OFFSET(A$1,,,SUMPRODUCT(MAX(ROW(E$2:E6311)*(E6311=E$2:E6311)))))-COUNTBLANK(OFFSET(A$1,,,SUMPRODUCT(MAX(ROW(E$1:E6310)*(E2=E$1:E6310))))))</f>
        <v> </v>
      </c>
      <c r="K6311" s="26" t="str">
        <f>IF(OR(E6311="",E6311="!!!",F6311="NEW"),"",INDEX(J$1:J6310,SUMPRODUCT(MAX(ROW(E$1:E6310)*(E6311=E$1:E6310)))))</f>
        <v> </v>
      </c>
      <c r="L6311" s="27"/>
    </row>
    <row r="6312" spans="1:12">
      <c r="A6312" s="20" t="s">
        <v>1056</v>
      </c>
      <c r="E6312" s="22">
        <f>IF(D6312="?OLD","!!!","")</f>
        <v/>
      </c>
      <c r="F6312" s="23" t="str">
        <f>IF(OR(E6312="",E6312="!!!"),"",IF(NOT(ISNA(VLOOKUP(E6312,E$1:E6311,1,FALSE()))),"OLD",IF(AND(E6312&lt;&gt;"",E6312&lt;&gt;"!!!"),"NEW","")))</f>
        <v> </v>
      </c>
      <c r="G6312" s="24" t="str">
        <f>IF(OR(E6312="",E6312="!!!"),"",IF(OR(J6312=0,AND(J6312=1,K6312=1),AND(J6312=1,I6312="SBJ"),AND(J6312=1,I6312=0)),"?IN_FOCUS",IF(J6312&lt;=2,"?ACTIVATED",IF(J6312&lt;&gt;"","?FAMILIAR",IF(F6312="NEW",IF(ISNA(VLOOKUP(E6312,#REF!,1,FALSE())),"?TYPE_IDENTIFIABLE","?REFERENTIAL"),"_")))))</f>
        <v> </v>
      </c>
      <c r="H6312" s="25" t="str">
        <f>IF(J6312&lt;&gt;1,"",IF(I6312="SBJ","CB","?"))</f>
        <v> </v>
      </c>
      <c r="I6312" s="26" t="str">
        <f>IF(OR(E6312="",E6312="!!!",F6312="NEW"),"",INDEX(B6311:B$2,-1+SUMPRODUCT(MAX(ROW(E6311:E$2)*(E6312=E6311:E$2)))))</f>
        <v> </v>
      </c>
      <c r="J6312" s="26" t="str">
        <f>IF(OR(E6312="",E6312="!!!",F6312="NEW"),"",COUNTBLANK(OFFSET(A$1,,,SUMPRODUCT(MAX(ROW(E$2:E6312)*(E6312=E$2:E6312)))))-COUNTBLANK(OFFSET(A$1,,,SUMPRODUCT(MAX(ROW(E$1:E6311)*(E2=E$1:E6311))))))</f>
        <v> </v>
      </c>
      <c r="K6312" s="26" t="str">
        <f>IF(OR(E6312="",E6312="!!!",F6312="NEW"),"",INDEX(J$1:J6311,SUMPRODUCT(MAX(ROW(E$1:E6311)*(E6312=E$1:E6311)))))</f>
        <v> </v>
      </c>
      <c r="L6312" s="27"/>
    </row>
    <row r="6313" spans="1:12">
      <c r="A6313" s="20" t="s">
        <v>2653</v>
      </c>
      <c r="B6313" s="21" t="s">
        <v>1005</v>
      </c>
      <c r="C6313" s="21" t="s">
        <v>1111</v>
      </c>
      <c r="E6313" s="22">
        <f>IF(D6313="?OLD","!!!","")</f>
        <v/>
      </c>
      <c r="F6313" s="23" t="str">
        <f>IF(OR(E6313="",E6313="!!!"),"",IF(NOT(ISNA(VLOOKUP(E6313,E$1:E6312,1,FALSE()))),"OLD",IF(AND(E6313&lt;&gt;"",E6313&lt;&gt;"!!!"),"NEW","")))</f>
        <v> </v>
      </c>
      <c r="G6313" s="24" t="str">
        <f>IF(OR(E6313="",E6313="!!!"),"",IF(OR(J6313=0,AND(J6313=1,K6313=1),AND(J6313=1,I6313="SBJ"),AND(J6313=1,I6313=0)),"?IN_FOCUS",IF(J6313&lt;=2,"?ACTIVATED",IF(J6313&lt;&gt;"","?FAMILIAR",IF(F6313="NEW",IF(ISNA(VLOOKUP(E6313,#REF!,1,FALSE())),"?TYPE_IDENTIFIABLE","?REFERENTIAL"),"_")))))</f>
        <v> </v>
      </c>
      <c r="H6313" s="25" t="str">
        <f>IF(J6313&lt;&gt;1,"",IF(I6313="SBJ","CB","?"))</f>
        <v> </v>
      </c>
      <c r="I6313" s="26" t="str">
        <f>IF(OR(E6313="",E6313="!!!",F6313="NEW"),"",INDEX(B6312:B$2,-1+SUMPRODUCT(MAX(ROW(E6312:E$2)*(E6313=E6312:E$2)))))</f>
        <v> </v>
      </c>
      <c r="J6313" s="26" t="str">
        <f>IF(OR(E6313="",E6313="!!!",F6313="NEW"),"",COUNTBLANK(OFFSET(A$1,,,SUMPRODUCT(MAX(ROW(E$2:E6313)*(E6313=E$2:E6313)))))-COUNTBLANK(OFFSET(A$1,,,SUMPRODUCT(MAX(ROW(E$1:E6312)*(E2=E$1:E6312))))))</f>
        <v> </v>
      </c>
      <c r="K6313" s="26" t="str">
        <f>IF(OR(E6313="",E6313="!!!",F6313="NEW"),"",INDEX(J$1:J6312,SUMPRODUCT(MAX(ROW(E$1:E6312)*(E6313=E$1:E6312)))))</f>
        <v> </v>
      </c>
      <c r="L6313" s="27"/>
    </row>
    <row r="6314" spans="1:12">
      <c r="A6314" s="20" t="s">
        <v>1018</v>
      </c>
      <c r="E6314" s="22">
        <f>IF(D6314="?OLD","!!!","")</f>
        <v/>
      </c>
      <c r="F6314" s="23" t="str">
        <f>IF(OR(E6314="",E6314="!!!"),"",IF(NOT(ISNA(VLOOKUP(E6314,E$1:E6313,1,FALSE()))),"OLD",IF(AND(E6314&lt;&gt;"",E6314&lt;&gt;"!!!"),"NEW","")))</f>
        <v> </v>
      </c>
      <c r="G6314" s="24" t="str">
        <f>IF(OR(E6314="",E6314="!!!"),"",IF(OR(J6314=0,AND(J6314=1,K6314=1),AND(J6314=1,I6314="SBJ"),AND(J6314=1,I6314=0)),"?IN_FOCUS",IF(J6314&lt;=2,"?ACTIVATED",IF(J6314&lt;&gt;"","?FAMILIAR",IF(F6314="NEW",IF(ISNA(VLOOKUP(E6314,#REF!,1,FALSE())),"?TYPE_IDENTIFIABLE","?REFERENTIAL"),"_")))))</f>
        <v> </v>
      </c>
      <c r="H6314" s="25" t="str">
        <f>IF(J6314&lt;&gt;1,"",IF(I6314="SBJ","CB","?"))</f>
        <v> </v>
      </c>
      <c r="I6314" s="26" t="str">
        <f>IF(OR(E6314="",E6314="!!!",F6314="NEW"),"",INDEX(B6313:B$2,-1+SUMPRODUCT(MAX(ROW(E6313:E$2)*(E6314=E6313:E$2)))))</f>
        <v> </v>
      </c>
      <c r="J6314" s="26" t="str">
        <f>IF(OR(E6314="",E6314="!!!",F6314="NEW"),"",COUNTBLANK(OFFSET(A$1,,,SUMPRODUCT(MAX(ROW(E$2:E6314)*(E6314=E$2:E6314)))))-COUNTBLANK(OFFSET(A$1,,,SUMPRODUCT(MAX(ROW(E$1:E6313)*(E2=E$1:E6313))))))</f>
        <v> </v>
      </c>
      <c r="K6314" s="26" t="str">
        <f>IF(OR(E6314="",E6314="!!!",F6314="NEW"),"",INDEX(J$1:J6313,SUMPRODUCT(MAX(ROW(E$1:E6313)*(E6314=E$1:E6313)))))</f>
        <v> </v>
      </c>
      <c r="L6314" s="27"/>
    </row>
    <row r="6315" spans="1:12">
      <c r="A6315" s="20" t="s">
        <v>56</v>
      </c>
      <c r="E6315" s="22">
        <f>IF(D6315="?OLD","!!!","")</f>
        <v/>
      </c>
      <c r="F6315" s="23" t="str">
        <f>IF(OR(E6315="",E6315="!!!"),"",IF(NOT(ISNA(VLOOKUP(E6315,E$1:E6314,1,FALSE()))),"OLD",IF(AND(E6315&lt;&gt;"",E6315&lt;&gt;"!!!"),"NEW","")))</f>
        <v> </v>
      </c>
      <c r="G6315" s="24" t="str">
        <f>IF(OR(E6315="",E6315="!!!"),"",IF(OR(J6315=0,AND(J6315=1,K6315=1),AND(J6315=1,I6315="SBJ"),AND(J6315=1,I6315=0)),"?IN_FOCUS",IF(J6315&lt;=2,"?ACTIVATED",IF(J6315&lt;&gt;"","?FAMILIAR",IF(F6315="NEW",IF(ISNA(VLOOKUP(E6315,#REF!,1,FALSE())),"?TYPE_IDENTIFIABLE","?REFERENTIAL"),"_")))))</f>
        <v> </v>
      </c>
      <c r="H6315" s="25" t="str">
        <f>IF(J6315&lt;&gt;1,"",IF(I6315="SBJ","CB","?"))</f>
        <v> </v>
      </c>
      <c r="I6315" s="26" t="str">
        <f>IF(OR(E6315="",E6315="!!!",F6315="NEW"),"",INDEX(B6314:B$2,-1+SUMPRODUCT(MAX(ROW(E6314:E$2)*(E6315=E6314:E$2)))))</f>
        <v> </v>
      </c>
      <c r="J6315" s="26" t="str">
        <f>IF(OR(E6315="",E6315="!!!",F6315="NEW"),"",COUNTBLANK(OFFSET(A$1,,,SUMPRODUCT(MAX(ROW(E$2:E6315)*(E6315=E$2:E6315)))))-COUNTBLANK(OFFSET(A$1,,,SUMPRODUCT(MAX(ROW(E$1:E6314)*(E2=E$1:E6314))))))</f>
        <v> </v>
      </c>
      <c r="K6315" s="26" t="str">
        <f>IF(OR(E6315="",E6315="!!!",F6315="NEW"),"",INDEX(J$1:J6314,SUMPRODUCT(MAX(ROW(E$1:E6314)*(E6315=E$1:E6314)))))</f>
        <v> </v>
      </c>
      <c r="L6315" s="27"/>
    </row>
    <row r="6316" spans="1:12">
      <c r="A6316" s="20" t="s">
        <v>1142</v>
      </c>
      <c r="E6316" s="22">
        <f>IF(D6316="?OLD","!!!","")</f>
        <v/>
      </c>
      <c r="F6316" s="23" t="str">
        <f>IF(OR(E6316="",E6316="!!!"),"",IF(NOT(ISNA(VLOOKUP(E6316,E$1:E6315,1,FALSE()))),"OLD",IF(AND(E6316&lt;&gt;"",E6316&lt;&gt;"!!!"),"NEW","")))</f>
        <v> </v>
      </c>
      <c r="G6316" s="24" t="str">
        <f>IF(OR(E6316="",E6316="!!!"),"",IF(OR(J6316=0,AND(J6316=1,K6316=1),AND(J6316=1,I6316="SBJ"),AND(J6316=1,I6316=0)),"?IN_FOCUS",IF(J6316&lt;=2,"?ACTIVATED",IF(J6316&lt;&gt;"","?FAMILIAR",IF(F6316="NEW",IF(ISNA(VLOOKUP(E6316,#REF!,1,FALSE())),"?TYPE_IDENTIFIABLE","?REFERENTIAL"),"_")))))</f>
        <v> </v>
      </c>
      <c r="H6316" s="25" t="str">
        <f>IF(J6316&lt;&gt;1,"",IF(I6316="SBJ","CB","?"))</f>
        <v> </v>
      </c>
      <c r="I6316" s="26" t="str">
        <f>IF(OR(E6316="",E6316="!!!",F6316="NEW"),"",INDEX(B6315:B$2,-1+SUMPRODUCT(MAX(ROW(E6315:E$2)*(E6316=E6315:E$2)))))</f>
        <v> </v>
      </c>
      <c r="J6316" s="26" t="str">
        <f>IF(OR(E6316="",E6316="!!!",F6316="NEW"),"",COUNTBLANK(OFFSET(A$1,,,SUMPRODUCT(MAX(ROW(E$2:E6316)*(E6316=E$2:E6316)))))-COUNTBLANK(OFFSET(A$1,,,SUMPRODUCT(MAX(ROW(E$1:E6315)*(E2=E$1:E6315))))))</f>
        <v> </v>
      </c>
      <c r="K6316" s="26" t="str">
        <f>IF(OR(E6316="",E6316="!!!",F6316="NEW"),"",INDEX(J$1:J6315,SUMPRODUCT(MAX(ROW(E$1:E6315)*(E6316=E$1:E6315)))))</f>
        <v> </v>
      </c>
      <c r="L6316" s="27"/>
    </row>
    <row r="6317" spans="1:12">
      <c r="A6317" s="20" t="s">
        <v>1846</v>
      </c>
      <c r="E6317" s="22">
        <f>IF(D6317="?OLD","!!!","")</f>
        <v/>
      </c>
      <c r="F6317" s="23" t="str">
        <f>IF(OR(E6317="",E6317="!!!"),"",IF(NOT(ISNA(VLOOKUP(E6317,E$1:E6316,1,FALSE()))),"OLD",IF(AND(E6317&lt;&gt;"",E6317&lt;&gt;"!!!"),"NEW","")))</f>
        <v> </v>
      </c>
      <c r="G6317" s="24" t="str">
        <f>IF(OR(E6317="",E6317="!!!"),"",IF(OR(J6317=0,AND(J6317=1,K6317=1),AND(J6317=1,I6317="SBJ"),AND(J6317=1,I6317=0)),"?IN_FOCUS",IF(J6317&lt;=2,"?ACTIVATED",IF(J6317&lt;&gt;"","?FAMILIAR",IF(F6317="NEW",IF(ISNA(VLOOKUP(E6317,#REF!,1,FALSE())),"?TYPE_IDENTIFIABLE","?REFERENTIAL"),"_")))))</f>
        <v> </v>
      </c>
      <c r="H6317" s="25" t="str">
        <f>IF(J6317&lt;&gt;1,"",IF(I6317="SBJ","CB","?"))</f>
        <v> </v>
      </c>
      <c r="I6317" s="26" t="str">
        <f>IF(OR(E6317="",E6317="!!!",F6317="NEW"),"",INDEX(B6316:B$2,-1+SUMPRODUCT(MAX(ROW(E6316:E$2)*(E6317=E6316:E$2)))))</f>
        <v> </v>
      </c>
      <c r="J6317" s="26" t="str">
        <f>IF(OR(E6317="",E6317="!!!",F6317="NEW"),"",COUNTBLANK(OFFSET(A$1,,,SUMPRODUCT(MAX(ROW(E$2:E6317)*(E6317=E$2:E6317)))))-COUNTBLANK(OFFSET(A$1,,,SUMPRODUCT(MAX(ROW(E$1:E6316)*(E2=E$1:E6316))))))</f>
        <v> </v>
      </c>
      <c r="K6317" s="26" t="str">
        <f>IF(OR(E6317="",E6317="!!!",F6317="NEW"),"",INDEX(J$1:J6316,SUMPRODUCT(MAX(ROW(E$1:E6316)*(E6317=E$1:E6316)))))</f>
        <v> </v>
      </c>
      <c r="L6317" s="27"/>
    </row>
    <row r="6318" spans="1:12">
      <c r="A6318" s="20" t="s">
        <v>238</v>
      </c>
      <c r="E6318" s="22">
        <f>IF(D6318="?OLD","!!!","")</f>
        <v/>
      </c>
      <c r="F6318" s="23" t="str">
        <f>IF(OR(E6318="",E6318="!!!"),"",IF(NOT(ISNA(VLOOKUP(E6318,E$1:E6317,1,FALSE()))),"OLD",IF(AND(E6318&lt;&gt;"",E6318&lt;&gt;"!!!"),"NEW","")))</f>
        <v> </v>
      </c>
      <c r="G6318" s="24" t="str">
        <f>IF(OR(E6318="",E6318="!!!"),"",IF(OR(J6318=0,AND(J6318=1,K6318=1),AND(J6318=1,I6318="SBJ"),AND(J6318=1,I6318=0)),"?IN_FOCUS",IF(J6318&lt;=2,"?ACTIVATED",IF(J6318&lt;&gt;"","?FAMILIAR",IF(F6318="NEW",IF(ISNA(VLOOKUP(E6318,#REF!,1,FALSE())),"?TYPE_IDENTIFIABLE","?REFERENTIAL"),"_")))))</f>
        <v> </v>
      </c>
      <c r="H6318" s="25" t="str">
        <f>IF(J6318&lt;&gt;1,"",IF(I6318="SBJ","CB","?"))</f>
        <v> </v>
      </c>
      <c r="I6318" s="26" t="str">
        <f>IF(OR(E6318="",E6318="!!!",F6318="NEW"),"",INDEX(B6317:B$2,-1+SUMPRODUCT(MAX(ROW(E6317:E$2)*(E6318=E6317:E$2)))))</f>
        <v> </v>
      </c>
      <c r="J6318" s="26" t="str">
        <f>IF(OR(E6318="",E6318="!!!",F6318="NEW"),"",COUNTBLANK(OFFSET(A$1,,,SUMPRODUCT(MAX(ROW(E$2:E6318)*(E6318=E$2:E6318)))))-COUNTBLANK(OFFSET(A$1,,,SUMPRODUCT(MAX(ROW(E$1:E6317)*(E2=E$1:E6317))))))</f>
        <v> </v>
      </c>
      <c r="K6318" s="26" t="str">
        <f>IF(OR(E6318="",E6318="!!!",F6318="NEW"),"",INDEX(J$1:J6317,SUMPRODUCT(MAX(ROW(E$1:E6317)*(E6318=E$1:E6317)))))</f>
        <v> </v>
      </c>
      <c r="L6318" s="27"/>
    </row>
    <row r="6319" spans="1:12">
      <c r="A6319" s="20" t="s">
        <v>2654</v>
      </c>
      <c r="E6319" s="22">
        <f>IF(D6319="?OLD","!!!","")</f>
        <v/>
      </c>
      <c r="F6319" s="23" t="str">
        <f>IF(OR(E6319="",E6319="!!!"),"",IF(NOT(ISNA(VLOOKUP(E6319,E$1:E6318,1,FALSE()))),"OLD",IF(AND(E6319&lt;&gt;"",E6319&lt;&gt;"!!!"),"NEW","")))</f>
        <v> </v>
      </c>
      <c r="G6319" s="24" t="str">
        <f>IF(OR(E6319="",E6319="!!!"),"",IF(OR(J6319=0,AND(J6319=1,K6319=1),AND(J6319=1,I6319="SBJ"),AND(J6319=1,I6319=0)),"?IN_FOCUS",IF(J6319&lt;=2,"?ACTIVATED",IF(J6319&lt;&gt;"","?FAMILIAR",IF(F6319="NEW",IF(ISNA(VLOOKUP(E6319,#REF!,1,FALSE())),"?TYPE_IDENTIFIABLE","?REFERENTIAL"),"_")))))</f>
        <v> </v>
      </c>
      <c r="H6319" s="25" t="str">
        <f>IF(J6319&lt;&gt;1,"",IF(I6319="SBJ","CB","?"))</f>
        <v> </v>
      </c>
      <c r="I6319" s="26" t="str">
        <f>IF(OR(E6319="",E6319="!!!",F6319="NEW"),"",INDEX(B6318:B$2,-1+SUMPRODUCT(MAX(ROW(E6318:E$2)*(E6319=E6318:E$2)))))</f>
        <v> </v>
      </c>
      <c r="J6319" s="26" t="str">
        <f>IF(OR(E6319="",E6319="!!!",F6319="NEW"),"",COUNTBLANK(OFFSET(A$1,,,SUMPRODUCT(MAX(ROW(E$2:E6319)*(E6319=E$2:E6319)))))-COUNTBLANK(OFFSET(A$1,,,SUMPRODUCT(MAX(ROW(E$1:E6318)*(E2=E$1:E6318))))))</f>
        <v> </v>
      </c>
      <c r="K6319" s="26" t="str">
        <f>IF(OR(E6319="",E6319="!!!",F6319="NEW"),"",INDEX(J$1:J6318,SUMPRODUCT(MAX(ROW(E$1:E6318)*(E6319=E$1:E6318)))))</f>
        <v> </v>
      </c>
      <c r="L6319" s="27"/>
    </row>
    <row r="6320" spans="1:12">
      <c r="A6320" s="20" t="s">
        <v>1030</v>
      </c>
      <c r="E6320" s="22">
        <f>IF(D6320="?OLD","!!!","")</f>
        <v/>
      </c>
      <c r="F6320" s="23" t="str">
        <f>IF(OR(E6320="",E6320="!!!"),"",IF(NOT(ISNA(VLOOKUP(E6320,E$1:E6319,1,FALSE()))),"OLD",IF(AND(E6320&lt;&gt;"",E6320&lt;&gt;"!!!"),"NEW","")))</f>
        <v> </v>
      </c>
      <c r="G6320" s="24" t="str">
        <f>IF(OR(E6320="",E6320="!!!"),"",IF(OR(J6320=0,AND(J6320=1,K6320=1),AND(J6320=1,I6320="SBJ"),AND(J6320=1,I6320=0)),"?IN_FOCUS",IF(J6320&lt;=2,"?ACTIVATED",IF(J6320&lt;&gt;"","?FAMILIAR",IF(F6320="NEW",IF(ISNA(VLOOKUP(E6320,#REF!,1,FALSE())),"?TYPE_IDENTIFIABLE","?REFERENTIAL"),"_")))))</f>
        <v> </v>
      </c>
      <c r="H6320" s="25" t="str">
        <f>IF(J6320&lt;&gt;1,"",IF(I6320="SBJ","CB","?"))</f>
        <v> </v>
      </c>
      <c r="I6320" s="26" t="str">
        <f>IF(OR(E6320="",E6320="!!!",F6320="NEW"),"",INDEX(B6319:B$2,-1+SUMPRODUCT(MAX(ROW(E6319:E$2)*(E6320=E6319:E$2)))))</f>
        <v> </v>
      </c>
      <c r="J6320" s="26" t="str">
        <f>IF(OR(E6320="",E6320="!!!",F6320="NEW"),"",COUNTBLANK(OFFSET(A$1,,,SUMPRODUCT(MAX(ROW(E$2:E6320)*(E6320=E$2:E6320)))))-COUNTBLANK(OFFSET(A$1,,,SUMPRODUCT(MAX(ROW(E$1:E6319)*(E2=E$1:E6319))))))</f>
        <v> </v>
      </c>
      <c r="K6320" s="26" t="str">
        <f>IF(OR(E6320="",E6320="!!!",F6320="NEW"),"",INDEX(J$1:J6319,SUMPRODUCT(MAX(ROW(E$1:E6319)*(E6320=E$1:E6319)))))</f>
        <v> </v>
      </c>
      <c r="L6320" s="27"/>
    </row>
    <row r="6321" spans="1:12">
      <c r="A6321" s="20" t="s">
        <v>1027</v>
      </c>
      <c r="E6321" s="22">
        <f>IF(D6321="?OLD","!!!","")</f>
        <v/>
      </c>
      <c r="F6321" s="23" t="str">
        <f>IF(OR(E6321="",E6321="!!!"),"",IF(NOT(ISNA(VLOOKUP(E6321,E$1:E6320,1,FALSE()))),"OLD",IF(AND(E6321&lt;&gt;"",E6321&lt;&gt;"!!!"),"NEW","")))</f>
        <v> </v>
      </c>
      <c r="G6321" s="24" t="str">
        <f>IF(OR(E6321="",E6321="!!!"),"",IF(OR(J6321=0,AND(J6321=1,K6321=1),AND(J6321=1,I6321="SBJ"),AND(J6321=1,I6321=0)),"?IN_FOCUS",IF(J6321&lt;=2,"?ACTIVATED",IF(J6321&lt;&gt;"","?FAMILIAR",IF(F6321="NEW",IF(ISNA(VLOOKUP(E6321,#REF!,1,FALSE())),"?TYPE_IDENTIFIABLE","?REFERENTIAL"),"_")))))</f>
        <v> </v>
      </c>
      <c r="H6321" s="25" t="str">
        <f>IF(J6321&lt;&gt;1,"",IF(I6321="SBJ","CB","?"))</f>
        <v> </v>
      </c>
      <c r="I6321" s="26" t="str">
        <f>IF(OR(E6321="",E6321="!!!",F6321="NEW"),"",INDEX(B6320:B$2,-1+SUMPRODUCT(MAX(ROW(E6320:E$2)*(E6321=E6320:E$2)))))</f>
        <v> </v>
      </c>
      <c r="J6321" s="26" t="str">
        <f>IF(OR(E6321="",E6321="!!!",F6321="NEW"),"",COUNTBLANK(OFFSET(A$1,,,SUMPRODUCT(MAX(ROW(E$2:E6321)*(E6321=E$2:E6321)))))-COUNTBLANK(OFFSET(A$1,,,SUMPRODUCT(MAX(ROW(E$1:E6320)*(E2=E$1:E6320))))))</f>
        <v> </v>
      </c>
      <c r="K6321" s="26" t="str">
        <f>IF(OR(E6321="",E6321="!!!",F6321="NEW"),"",INDEX(J$1:J6320,SUMPRODUCT(MAX(ROW(E$1:E6320)*(E6321=E$1:E6320)))))</f>
        <v> </v>
      </c>
      <c r="L6321" s="27"/>
    </row>
    <row r="6322" spans="1:12">
      <c r="A6322" s="20" t="s">
        <v>1617</v>
      </c>
      <c r="B6322" s="21" t="s">
        <v>1035</v>
      </c>
      <c r="C6322" s="21" t="s">
        <v>1059</v>
      </c>
      <c r="D6322" s="21" t="s">
        <v>1007</v>
      </c>
      <c r="E6322" s="22">
        <f>IF(D6322="?OLD","!!!","")</f>
        <v/>
      </c>
      <c r="F6322" s="23" t="str">
        <f>IF(OR(E6322="",E6322="!!!"),"",IF(NOT(ISNA(VLOOKUP(E6322,E$1:E6321,1,FALSE()))),"OLD",IF(AND(E6322&lt;&gt;"",E6322&lt;&gt;"!!!"),"NEW","")))</f>
        <v> </v>
      </c>
      <c r="G6322" s="24" t="str">
        <f>IF(OR(E6322="",E6322="!!!"),"",IF(OR(J6322=0,AND(J6322=1,K6322=1),AND(J6322=1,I6322="SBJ"),AND(J6322=1,I6322=0)),"?IN_FOCUS",IF(J6322&lt;=2,"?ACTIVATED",IF(J6322&lt;&gt;"","?FAMILIAR",IF(F6322="NEW",IF(ISNA(VLOOKUP(E6322,#REF!,1,FALSE())),"?TYPE_IDENTIFIABLE","?REFERENTIAL"),"_")))))</f>
        <v> </v>
      </c>
      <c r="H6322" s="25" t="str">
        <f>IF(J6322&lt;&gt;1,"",IF(I6322="SBJ","CB","?"))</f>
        <v> </v>
      </c>
      <c r="I6322" s="26" t="str">
        <f>IF(OR(E6322="",E6322="!!!",F6322="NEW"),"",INDEX(B6321:B$2,-1+SUMPRODUCT(MAX(ROW(E6321:E$2)*(E6322=E6321:E$2)))))</f>
        <v> </v>
      </c>
      <c r="J6322" s="26" t="str">
        <f>IF(OR(E6322="",E6322="!!!",F6322="NEW"),"",COUNTBLANK(OFFSET(A$1,,,SUMPRODUCT(MAX(ROW(E$2:E6322)*(E6322=E$2:E6322)))))-COUNTBLANK(OFFSET(A$1,,,SUMPRODUCT(MAX(ROW(E$1:E6321)*(E2=E$1:E6321))))))</f>
        <v> </v>
      </c>
      <c r="K6322" s="26" t="str">
        <f>IF(OR(E6322="",E6322="!!!",F6322="NEW"),"",INDEX(J$1:J6321,SUMPRODUCT(MAX(ROW(E$1:E6321)*(E6322=E$1:E6321)))))</f>
        <v> </v>
      </c>
      <c r="L6322" s="27"/>
    </row>
    <row r="6323" spans="1:12">
      <c r="A6323" s="20" t="s">
        <v>2655</v>
      </c>
      <c r="B6323" s="21" t="s">
        <v>1033</v>
      </c>
      <c r="C6323" s="21" t="s">
        <v>1017</v>
      </c>
      <c r="D6323" s="21" t="s">
        <v>1007</v>
      </c>
      <c r="E6323" s="22">
        <f>IF(D6323="?OLD","!!!","")</f>
        <v/>
      </c>
      <c r="F6323" s="23" t="str">
        <f>IF(OR(E6323="",E6323="!!!"),"",IF(NOT(ISNA(VLOOKUP(E6323,E$1:E6322,1,FALSE()))),"OLD",IF(AND(E6323&lt;&gt;"",E6323&lt;&gt;"!!!"),"NEW","")))</f>
        <v> </v>
      </c>
      <c r="G6323" s="24" t="str">
        <f>IF(OR(E6323="",E6323="!!!"),"",IF(OR(J6323=0,AND(J6323=1,K6323=1),AND(J6323=1,I6323="SBJ"),AND(J6323=1,I6323=0)),"?IN_FOCUS",IF(J6323&lt;=2,"?ACTIVATED",IF(J6323&lt;&gt;"","?FAMILIAR",IF(F6323="NEW",IF(ISNA(VLOOKUP(E6323,#REF!,1,FALSE())),"?TYPE_IDENTIFIABLE","?REFERENTIAL"),"_")))))</f>
        <v> </v>
      </c>
      <c r="H6323" s="25" t="str">
        <f>IF(J6323&lt;&gt;1,"",IF(I6323="SBJ","CB","?"))</f>
        <v> </v>
      </c>
      <c r="I6323" s="26" t="str">
        <f>IF(OR(E6323="",E6323="!!!",F6323="NEW"),"",INDEX(B6322:B$2,-1+SUMPRODUCT(MAX(ROW(E6322:E$2)*(E6323=E6322:E$2)))))</f>
        <v> </v>
      </c>
      <c r="J6323" s="26" t="str">
        <f>IF(OR(E6323="",E6323="!!!",F6323="NEW"),"",COUNTBLANK(OFFSET(A$1,,,SUMPRODUCT(MAX(ROW(E$2:E6323)*(E6323=E$2:E6323)))))-COUNTBLANK(OFFSET(A$1,,,SUMPRODUCT(MAX(ROW(E$1:E6322)*(E2=E$1:E6322))))))</f>
        <v> </v>
      </c>
      <c r="K6323" s="26" t="str">
        <f>IF(OR(E6323="",E6323="!!!",F6323="NEW"),"",INDEX(J$1:J6322,SUMPRODUCT(MAX(ROW(E$1:E6322)*(E6323=E$1:E6322)))))</f>
        <v> </v>
      </c>
      <c r="L6323" s="27"/>
    </row>
    <row r="6324" spans="1:12">
      <c r="A6324" s="20" t="s">
        <v>2656</v>
      </c>
      <c r="E6324" s="22">
        <f>IF(D6324="?OLD","!!!","")</f>
        <v/>
      </c>
      <c r="F6324" s="23" t="str">
        <f>IF(OR(E6324="",E6324="!!!"),"",IF(NOT(ISNA(VLOOKUP(E6324,E$1:E6323,1,FALSE()))),"OLD",IF(AND(E6324&lt;&gt;"",E6324&lt;&gt;"!!!"),"NEW","")))</f>
        <v> </v>
      </c>
      <c r="G6324" s="24" t="str">
        <f>IF(OR(E6324="",E6324="!!!"),"",IF(OR(J6324=0,AND(J6324=1,K6324=1),AND(J6324=1,I6324="SBJ"),AND(J6324=1,I6324=0)),"?IN_FOCUS",IF(J6324&lt;=2,"?ACTIVATED",IF(J6324&lt;&gt;"","?FAMILIAR",IF(F6324="NEW",IF(ISNA(VLOOKUP(E6324,#REF!,1,FALSE())),"?TYPE_IDENTIFIABLE","?REFERENTIAL"),"_")))))</f>
        <v> </v>
      </c>
      <c r="H6324" s="25" t="str">
        <f>IF(J6324&lt;&gt;1,"",IF(I6324="SBJ","CB","?"))</f>
        <v> </v>
      </c>
      <c r="I6324" s="26" t="str">
        <f>IF(OR(E6324="",E6324="!!!",F6324="NEW"),"",INDEX(B6323:B$2,-1+SUMPRODUCT(MAX(ROW(E6323:E$2)*(E6324=E6323:E$2)))))</f>
        <v> </v>
      </c>
      <c r="J6324" s="26" t="str">
        <f>IF(OR(E6324="",E6324="!!!",F6324="NEW"),"",COUNTBLANK(OFFSET(A$1,,,SUMPRODUCT(MAX(ROW(E$2:E6324)*(E6324=E$2:E6324)))))-COUNTBLANK(OFFSET(A$1,,,SUMPRODUCT(MAX(ROW(E$1:E6323)*(E2=E$1:E6323))))))</f>
        <v> </v>
      </c>
      <c r="K6324" s="26" t="str">
        <f>IF(OR(E6324="",E6324="!!!",F6324="NEW"),"",INDEX(J$1:J6323,SUMPRODUCT(MAX(ROW(E$1:E6323)*(E6324=E$1:E6323)))))</f>
        <v> </v>
      </c>
      <c r="L6324" s="27"/>
    </row>
    <row r="6325" spans="1:12">
      <c r="A6325" s="20" t="s">
        <v>1023</v>
      </c>
      <c r="E6325" s="22">
        <f>IF(D6325="?OLD","!!!","")</f>
        <v/>
      </c>
      <c r="F6325" s="23" t="str">
        <f>IF(OR(E6325="",E6325="!!!"),"",IF(NOT(ISNA(VLOOKUP(E6325,E$1:E6324,1,FALSE()))),"OLD",IF(AND(E6325&lt;&gt;"",E6325&lt;&gt;"!!!"),"NEW","")))</f>
        <v> </v>
      </c>
      <c r="G6325" s="24" t="str">
        <f>IF(OR(E6325="",E6325="!!!"),"",IF(OR(J6325=0,AND(J6325=1,K6325=1),AND(J6325=1,I6325="SBJ"),AND(J6325=1,I6325=0)),"?IN_FOCUS",IF(J6325&lt;=2,"?ACTIVATED",IF(J6325&lt;&gt;"","?FAMILIAR",IF(F6325="NEW",IF(ISNA(VLOOKUP(E6325,#REF!,1,FALSE())),"?TYPE_IDENTIFIABLE","?REFERENTIAL"),"_")))))</f>
        <v> </v>
      </c>
      <c r="H6325" s="25" t="str">
        <f>IF(J6325&lt;&gt;1,"",IF(I6325="SBJ","CB","?"))</f>
        <v> </v>
      </c>
      <c r="I6325" s="26" t="str">
        <f>IF(OR(E6325="",E6325="!!!",F6325="NEW"),"",INDEX(B6324:B$2,-1+SUMPRODUCT(MAX(ROW(E6324:E$2)*(E6325=E6324:E$2)))))</f>
        <v> </v>
      </c>
      <c r="J6325" s="26" t="str">
        <f>IF(OR(E6325="",E6325="!!!",F6325="NEW"),"",COUNTBLANK(OFFSET(A$1,,,SUMPRODUCT(MAX(ROW(E$2:E6325)*(E6325=E$2:E6325)))))-COUNTBLANK(OFFSET(A$1,,,SUMPRODUCT(MAX(ROW(E$1:E6324)*(E2=E$1:E6324))))))</f>
        <v> </v>
      </c>
      <c r="K6325" s="26" t="str">
        <f>IF(OR(E6325="",E6325="!!!",F6325="NEW"),"",INDEX(J$1:J6324,SUMPRODUCT(MAX(ROW(E$1:E6324)*(E6325=E$1:E6324)))))</f>
        <v> </v>
      </c>
      <c r="L6325" s="27"/>
    </row>
    <row r="6326" spans="1:12">
      <c r="A6326" s="20"/>
    </row>
    <row r="6327" spans="1:12">
      <c r="A6327" s="20" t="s">
        <v>2657</v>
      </c>
    </row>
    <row r="6328" spans="1:12">
      <c r="A6328" s="20" t="s">
        <v>1094</v>
      </c>
      <c r="E6328" s="22">
        <f>IF(D6328="?OLD","!!!","")</f>
        <v/>
      </c>
      <c r="F6328" s="23" t="str">
        <f>IF(OR(E6328="",E6328="!!!"),"",IF(NOT(ISNA(VLOOKUP(E6328,E$1:E6327,1,FALSE()))),"OLD",IF(AND(E6328&lt;&gt;"",E6328&lt;&gt;"!!!"),"NEW","")))</f>
        <v> </v>
      </c>
      <c r="G6328" s="24" t="str">
        <f>IF(OR(E6328="",E6328="!!!"),"",IF(OR(J6328=0,AND(J6328=1,K6328=1),AND(J6328=1,I6328="SBJ"),AND(J6328=1,I6328=0)),"?IN_FOCUS",IF(J6328&lt;=2,"?ACTIVATED",IF(J6328&lt;&gt;"","?FAMILIAR",IF(F6328="NEW",IF(ISNA(VLOOKUP(E6328,#REF!,1,FALSE())),"?TYPE_IDENTIFIABLE","?REFERENTIAL"),"_")))))</f>
        <v> </v>
      </c>
      <c r="H6328" s="25" t="str">
        <f>IF(J6328&lt;&gt;1,"",IF(I6328="SBJ","CB","?"))</f>
        <v> </v>
      </c>
      <c r="I6328" s="26" t="str">
        <f>IF(OR(E6328="",E6328="!!!",F6328="NEW"),"",INDEX(B6327:B$2,-1+SUMPRODUCT(MAX(ROW(E6327:E$2)*(E6328=E6327:E$2)))))</f>
        <v> </v>
      </c>
      <c r="J6328" s="26" t="str">
        <f>IF(OR(E6328="",E6328="!!!",F6328="NEW"),"",COUNTBLANK(OFFSET(A$1,,,SUMPRODUCT(MAX(ROW(E$2:E6328)*(E6328=E$2:E6328)))))-COUNTBLANK(OFFSET(A$1,,,SUMPRODUCT(MAX(ROW(E$1:E6327)*(E2=E$1:E6327))))))</f>
        <v> </v>
      </c>
      <c r="K6328" s="26" t="str">
        <f>IF(OR(E6328="",E6328="!!!",F6328="NEW"),"",INDEX(J$1:J6327,SUMPRODUCT(MAX(ROW(E$1:E6327)*(E6328=E$1:E6327)))))</f>
        <v> </v>
      </c>
      <c r="L6328" s="27"/>
    </row>
    <row r="6329" spans="1:12">
      <c r="A6329" s="20" t="s">
        <v>1009</v>
      </c>
      <c r="E6329" s="22">
        <f>IF(D6329="?OLD","!!!","")</f>
        <v/>
      </c>
      <c r="F6329" s="23" t="str">
        <f>IF(OR(E6329="",E6329="!!!"),"",IF(NOT(ISNA(VLOOKUP(E6329,E$1:E6328,1,FALSE()))),"OLD",IF(AND(E6329&lt;&gt;"",E6329&lt;&gt;"!!!"),"NEW","")))</f>
        <v> </v>
      </c>
      <c r="G6329" s="24" t="str">
        <f>IF(OR(E6329="",E6329="!!!"),"",IF(OR(J6329=0,AND(J6329=1,K6329=1),AND(J6329=1,I6329="SBJ"),AND(J6329=1,I6329=0)),"?IN_FOCUS",IF(J6329&lt;=2,"?ACTIVATED",IF(J6329&lt;&gt;"","?FAMILIAR",IF(F6329="NEW",IF(ISNA(VLOOKUP(E6329,#REF!,1,FALSE())),"?TYPE_IDENTIFIABLE","?REFERENTIAL"),"_")))))</f>
        <v> </v>
      </c>
      <c r="H6329" s="25" t="str">
        <f>IF(J6329&lt;&gt;1,"",IF(I6329="SBJ","CB","?"))</f>
        <v> </v>
      </c>
      <c r="I6329" s="26" t="str">
        <f>IF(OR(E6329="",E6329="!!!",F6329="NEW"),"",INDEX(B6328:B$2,-1+SUMPRODUCT(MAX(ROW(E6328:E$2)*(E6329=E6328:E$2)))))</f>
        <v> </v>
      </c>
      <c r="J6329" s="26" t="str">
        <f>IF(OR(E6329="",E6329="!!!",F6329="NEW"),"",COUNTBLANK(OFFSET(A$1,,,SUMPRODUCT(MAX(ROW(E$2:E6329)*(E6329=E$2:E6329)))))-COUNTBLANK(OFFSET(A$1,,,SUMPRODUCT(MAX(ROW(E$1:E6328)*(E2=E$1:E6328))))))</f>
        <v> </v>
      </c>
      <c r="K6329" s="26" t="str">
        <f>IF(OR(E6329="",E6329="!!!",F6329="NEW"),"",INDEX(J$1:J6328,SUMPRODUCT(MAX(ROW(E$1:E6328)*(E6329=E$1:E6328)))))</f>
        <v> </v>
      </c>
      <c r="L6329" s="27"/>
    </row>
    <row r="6330" spans="1:12">
      <c r="A6330" s="20" t="s">
        <v>1147</v>
      </c>
      <c r="E6330" s="22">
        <f>IF(D6330="?OLD","!!!","")</f>
        <v/>
      </c>
      <c r="F6330" s="23" t="str">
        <f>IF(OR(E6330="",E6330="!!!"),"",IF(NOT(ISNA(VLOOKUP(E6330,E$1:E6329,1,FALSE()))),"OLD",IF(AND(E6330&lt;&gt;"",E6330&lt;&gt;"!!!"),"NEW","")))</f>
        <v> </v>
      </c>
      <c r="G6330" s="24" t="str">
        <f>IF(OR(E6330="",E6330="!!!"),"",IF(OR(J6330=0,AND(J6330=1,K6330=1),AND(J6330=1,I6330="SBJ"),AND(J6330=1,I6330=0)),"?IN_FOCUS",IF(J6330&lt;=2,"?ACTIVATED",IF(J6330&lt;&gt;"","?FAMILIAR",IF(F6330="NEW",IF(ISNA(VLOOKUP(E6330,#REF!,1,FALSE())),"?TYPE_IDENTIFIABLE","?REFERENTIAL"),"_")))))</f>
        <v> </v>
      </c>
      <c r="H6330" s="25" t="str">
        <f>IF(J6330&lt;&gt;1,"",IF(I6330="SBJ","CB","?"))</f>
        <v> </v>
      </c>
      <c r="I6330" s="26" t="str">
        <f>IF(OR(E6330="",E6330="!!!",F6330="NEW"),"",INDEX(B6329:B$2,-1+SUMPRODUCT(MAX(ROW(E6329:E$2)*(E6330=E6329:E$2)))))</f>
        <v> </v>
      </c>
      <c r="J6330" s="26" t="str">
        <f>IF(OR(E6330="",E6330="!!!",F6330="NEW"),"",COUNTBLANK(OFFSET(A$1,,,SUMPRODUCT(MAX(ROW(E$2:E6330)*(E6330=E$2:E6330)))))-COUNTBLANK(OFFSET(A$1,,,SUMPRODUCT(MAX(ROW(E$1:E6329)*(E2=E$1:E6329))))))</f>
        <v> </v>
      </c>
      <c r="K6330" s="26" t="str">
        <f>IF(OR(E6330="",E6330="!!!",F6330="NEW"),"",INDEX(J$1:J6329,SUMPRODUCT(MAX(ROW(E$1:E6329)*(E6330=E$1:E6329)))))</f>
        <v> </v>
      </c>
      <c r="L6330" s="27"/>
    </row>
    <row r="6331" spans="1:12">
      <c r="A6331" s="20" t="s">
        <v>1386</v>
      </c>
      <c r="E6331" s="22">
        <f>IF(D6331="?OLD","!!!","")</f>
        <v/>
      </c>
      <c r="F6331" s="23" t="str">
        <f>IF(OR(E6331="",E6331="!!!"),"",IF(NOT(ISNA(VLOOKUP(E6331,E$1:E6330,1,FALSE()))),"OLD",IF(AND(E6331&lt;&gt;"",E6331&lt;&gt;"!!!"),"NEW","")))</f>
        <v> </v>
      </c>
      <c r="G6331" s="24" t="str">
        <f>IF(OR(E6331="",E6331="!!!"),"",IF(OR(J6331=0,AND(J6331=1,K6331=1),AND(J6331=1,I6331="SBJ"),AND(J6331=1,I6331=0)),"?IN_FOCUS",IF(J6331&lt;=2,"?ACTIVATED",IF(J6331&lt;&gt;"","?FAMILIAR",IF(F6331="NEW",IF(ISNA(VLOOKUP(E6331,#REF!,1,FALSE())),"?TYPE_IDENTIFIABLE","?REFERENTIAL"),"_")))))</f>
        <v> </v>
      </c>
      <c r="H6331" s="25" t="str">
        <f>IF(J6331&lt;&gt;1,"",IF(I6331="SBJ","CB","?"))</f>
        <v> </v>
      </c>
      <c r="I6331" s="26" t="str">
        <f>IF(OR(E6331="",E6331="!!!",F6331="NEW"),"",INDEX(B6330:B$2,-1+SUMPRODUCT(MAX(ROW(E6330:E$2)*(E6331=E6330:E$2)))))</f>
        <v> </v>
      </c>
      <c r="J6331" s="26" t="str">
        <f>IF(OR(E6331="",E6331="!!!",F6331="NEW"),"",COUNTBLANK(OFFSET(A$1,,,SUMPRODUCT(MAX(ROW(E$2:E6331)*(E6331=E$2:E6331)))))-COUNTBLANK(OFFSET(A$1,,,SUMPRODUCT(MAX(ROW(E$1:E6330)*(E2=E$1:E6330))))))</f>
        <v> </v>
      </c>
      <c r="K6331" s="26" t="str">
        <f>IF(OR(E6331="",E6331="!!!",F6331="NEW"),"",INDEX(J$1:J6330,SUMPRODUCT(MAX(ROW(E$1:E6330)*(E6331=E$1:E6330)))))</f>
        <v> </v>
      </c>
      <c r="L6331" s="27"/>
    </row>
    <row r="6332" spans="1:12">
      <c r="A6332" s="20" t="s">
        <v>1476</v>
      </c>
      <c r="E6332" s="22">
        <f>IF(D6332="?OLD","!!!","")</f>
        <v/>
      </c>
      <c r="F6332" s="23" t="str">
        <f>IF(OR(E6332="",E6332="!!!"),"",IF(NOT(ISNA(VLOOKUP(E6332,E$1:E6331,1,FALSE()))),"OLD",IF(AND(E6332&lt;&gt;"",E6332&lt;&gt;"!!!"),"NEW","")))</f>
        <v> </v>
      </c>
      <c r="G6332" s="24" t="str">
        <f>IF(OR(E6332="",E6332="!!!"),"",IF(OR(J6332=0,AND(J6332=1,K6332=1),AND(J6332=1,I6332="SBJ"),AND(J6332=1,I6332=0)),"?IN_FOCUS",IF(J6332&lt;=2,"?ACTIVATED",IF(J6332&lt;&gt;"","?FAMILIAR",IF(F6332="NEW",IF(ISNA(VLOOKUP(E6332,#REF!,1,FALSE())),"?TYPE_IDENTIFIABLE","?REFERENTIAL"),"_")))))</f>
        <v> </v>
      </c>
      <c r="H6332" s="25" t="str">
        <f>IF(J6332&lt;&gt;1,"",IF(I6332="SBJ","CB","?"))</f>
        <v> </v>
      </c>
      <c r="I6332" s="26" t="str">
        <f>IF(OR(E6332="",E6332="!!!",F6332="NEW"),"",INDEX(B6331:B$2,-1+SUMPRODUCT(MAX(ROW(E6331:E$2)*(E6332=E6331:E$2)))))</f>
        <v> </v>
      </c>
      <c r="J6332" s="26" t="str">
        <f>IF(OR(E6332="",E6332="!!!",F6332="NEW"),"",COUNTBLANK(OFFSET(A$1,,,SUMPRODUCT(MAX(ROW(E$2:E6332)*(E6332=E$2:E6332)))))-COUNTBLANK(OFFSET(A$1,,,SUMPRODUCT(MAX(ROW(E$1:E6331)*(E2=E$1:E6331))))))</f>
        <v> </v>
      </c>
      <c r="K6332" s="26" t="str">
        <f>IF(OR(E6332="",E6332="!!!",F6332="NEW"),"",INDEX(J$1:J6331,SUMPRODUCT(MAX(ROW(E$1:E6331)*(E6332=E$1:E6331)))))</f>
        <v> </v>
      </c>
      <c r="L6332" s="27"/>
    </row>
    <row r="6333" spans="1:12">
      <c r="A6333" s="20" t="s">
        <v>1597</v>
      </c>
      <c r="E6333" s="22">
        <f>IF(D6333="?OLD","!!!","")</f>
        <v/>
      </c>
      <c r="F6333" s="23" t="str">
        <f>IF(OR(E6333="",E6333="!!!"),"",IF(NOT(ISNA(VLOOKUP(E6333,E$1:E6332,1,FALSE()))),"OLD",IF(AND(E6333&lt;&gt;"",E6333&lt;&gt;"!!!"),"NEW","")))</f>
        <v> </v>
      </c>
      <c r="G6333" s="24" t="str">
        <f>IF(OR(E6333="",E6333="!!!"),"",IF(OR(J6333=0,AND(J6333=1,K6333=1),AND(J6333=1,I6333="SBJ"),AND(J6333=1,I6333=0)),"?IN_FOCUS",IF(J6333&lt;=2,"?ACTIVATED",IF(J6333&lt;&gt;"","?FAMILIAR",IF(F6333="NEW",IF(ISNA(VLOOKUP(E6333,#REF!,1,FALSE())),"?TYPE_IDENTIFIABLE","?REFERENTIAL"),"_")))))</f>
        <v> </v>
      </c>
      <c r="H6333" s="25" t="str">
        <f>IF(J6333&lt;&gt;1,"",IF(I6333="SBJ","CB","?"))</f>
        <v> </v>
      </c>
      <c r="I6333" s="26" t="str">
        <f>IF(OR(E6333="",E6333="!!!",F6333="NEW"),"",INDEX(B6332:B$2,-1+SUMPRODUCT(MAX(ROW(E6332:E$2)*(E6333=E6332:E$2)))))</f>
        <v> </v>
      </c>
      <c r="J6333" s="26" t="str">
        <f>IF(OR(E6333="",E6333="!!!",F6333="NEW"),"",COUNTBLANK(OFFSET(A$1,,,SUMPRODUCT(MAX(ROW(E$2:E6333)*(E6333=E$2:E6333)))))-COUNTBLANK(OFFSET(A$1,,,SUMPRODUCT(MAX(ROW(E$1:E6332)*(E2=E$1:E6332))))))</f>
        <v> </v>
      </c>
      <c r="K6333" s="26" t="str">
        <f>IF(OR(E6333="",E6333="!!!",F6333="NEW"),"",INDEX(J$1:J6332,SUMPRODUCT(MAX(ROW(E$1:E6332)*(E6333=E$1:E6332)))))</f>
        <v> </v>
      </c>
      <c r="L6333" s="27"/>
    </row>
    <row r="6334" spans="1:12">
      <c r="A6334" s="20" t="s">
        <v>1132</v>
      </c>
      <c r="E6334" s="22">
        <f>IF(D6334="?OLD","!!!","")</f>
        <v/>
      </c>
      <c r="F6334" s="23" t="str">
        <f>IF(OR(E6334="",E6334="!!!"),"",IF(NOT(ISNA(VLOOKUP(E6334,E$1:E6333,1,FALSE()))),"OLD",IF(AND(E6334&lt;&gt;"",E6334&lt;&gt;"!!!"),"NEW","")))</f>
        <v> </v>
      </c>
      <c r="G6334" s="24" t="str">
        <f>IF(OR(E6334="",E6334="!!!"),"",IF(OR(J6334=0,AND(J6334=1,K6334=1),AND(J6334=1,I6334="SBJ"),AND(J6334=1,I6334=0)),"?IN_FOCUS",IF(J6334&lt;=2,"?ACTIVATED",IF(J6334&lt;&gt;"","?FAMILIAR",IF(F6334="NEW",IF(ISNA(VLOOKUP(E6334,#REF!,1,FALSE())),"?TYPE_IDENTIFIABLE","?REFERENTIAL"),"_")))))</f>
        <v> </v>
      </c>
      <c r="H6334" s="25" t="str">
        <f>IF(J6334&lt;&gt;1,"",IF(I6334="SBJ","CB","?"))</f>
        <v> </v>
      </c>
      <c r="I6334" s="26" t="str">
        <f>IF(OR(E6334="",E6334="!!!",F6334="NEW"),"",INDEX(B6333:B$2,-1+SUMPRODUCT(MAX(ROW(E6333:E$2)*(E6334=E6333:E$2)))))</f>
        <v> </v>
      </c>
      <c r="J6334" s="26" t="str">
        <f>IF(OR(E6334="",E6334="!!!",F6334="NEW"),"",COUNTBLANK(OFFSET(A$1,,,SUMPRODUCT(MAX(ROW(E$2:E6334)*(E6334=E$2:E6334)))))-COUNTBLANK(OFFSET(A$1,,,SUMPRODUCT(MAX(ROW(E$1:E6333)*(E2=E$1:E6333))))))</f>
        <v> </v>
      </c>
      <c r="K6334" s="26" t="str">
        <f>IF(OR(E6334="",E6334="!!!",F6334="NEW"),"",INDEX(J$1:J6333,SUMPRODUCT(MAX(ROW(E$1:E6333)*(E6334=E$1:E6333)))))</f>
        <v> </v>
      </c>
      <c r="L6334" s="27"/>
    </row>
    <row r="6335" spans="1:12">
      <c r="A6335" s="20" t="s">
        <v>1114</v>
      </c>
      <c r="B6335" s="21" t="s">
        <v>1154</v>
      </c>
      <c r="C6335" s="21" t="s">
        <v>1082</v>
      </c>
      <c r="D6335" s="21" t="s">
        <v>1007</v>
      </c>
      <c r="E6335" s="22">
        <f>IF(D6335="?OLD","!!!","")</f>
        <v/>
      </c>
      <c r="F6335" s="23" t="str">
        <f>IF(OR(E6335="",E6335="!!!"),"",IF(NOT(ISNA(VLOOKUP(E6335,E$1:E6334,1,FALSE()))),"OLD",IF(AND(E6335&lt;&gt;"",E6335&lt;&gt;"!!!"),"NEW","")))</f>
        <v> </v>
      </c>
      <c r="G6335" s="24" t="str">
        <f>IF(OR(E6335="",E6335="!!!"),"",IF(OR(J6335=0,AND(J6335=1,K6335=1),AND(J6335=1,I6335="SBJ"),AND(J6335=1,I6335=0)),"?IN_FOCUS",IF(J6335&lt;=2,"?ACTIVATED",IF(J6335&lt;&gt;"","?FAMILIAR",IF(F6335="NEW",IF(ISNA(VLOOKUP(E6335,#REF!,1,FALSE())),"?TYPE_IDENTIFIABLE","?REFERENTIAL"),"_")))))</f>
        <v> </v>
      </c>
      <c r="H6335" s="25" t="str">
        <f>IF(J6335&lt;&gt;1,"",IF(I6335="SBJ","CB","?"))</f>
        <v> </v>
      </c>
      <c r="I6335" s="26" t="str">
        <f>IF(OR(E6335="",E6335="!!!",F6335="NEW"),"",INDEX(B6334:B$2,-1+SUMPRODUCT(MAX(ROW(E6334:E$2)*(E6335=E6334:E$2)))))</f>
        <v> </v>
      </c>
      <c r="J6335" s="26" t="str">
        <f>IF(OR(E6335="",E6335="!!!",F6335="NEW"),"",COUNTBLANK(OFFSET(A$1,,,SUMPRODUCT(MAX(ROW(E$2:E6335)*(E6335=E$2:E6335)))))-COUNTBLANK(OFFSET(A$1,,,SUMPRODUCT(MAX(ROW(E$1:E6334)*(E2=E$1:E6334))))))</f>
        <v> </v>
      </c>
      <c r="K6335" s="26" t="str">
        <f>IF(OR(E6335="",E6335="!!!",F6335="NEW"),"",INDEX(J$1:J6334,SUMPRODUCT(MAX(ROW(E$1:E6334)*(E6335=E$1:E6334)))))</f>
        <v> </v>
      </c>
      <c r="L6335" s="27"/>
    </row>
    <row r="6336" spans="1:12">
      <c r="A6336" s="20" t="s">
        <v>2658</v>
      </c>
      <c r="E6336" s="22">
        <f>IF(D6336="?OLD","!!!","")</f>
        <v/>
      </c>
      <c r="F6336" s="23" t="str">
        <f>IF(OR(E6336="",E6336="!!!"),"",IF(NOT(ISNA(VLOOKUP(E6336,E$1:E6335,1,FALSE()))),"OLD",IF(AND(E6336&lt;&gt;"",E6336&lt;&gt;"!!!"),"NEW","")))</f>
        <v> </v>
      </c>
      <c r="G6336" s="24" t="str">
        <f>IF(OR(E6336="",E6336="!!!"),"",IF(OR(J6336=0,AND(J6336=1,K6336=1),AND(J6336=1,I6336="SBJ"),AND(J6336=1,I6336=0)),"?IN_FOCUS",IF(J6336&lt;=2,"?ACTIVATED",IF(J6336&lt;&gt;"","?FAMILIAR",IF(F6336="NEW",IF(ISNA(VLOOKUP(E6336,#REF!,1,FALSE())),"?TYPE_IDENTIFIABLE","?REFERENTIAL"),"_")))))</f>
        <v> </v>
      </c>
      <c r="H6336" s="25" t="str">
        <f>IF(J6336&lt;&gt;1,"",IF(I6336="SBJ","CB","?"))</f>
        <v> </v>
      </c>
      <c r="I6336" s="26" t="str">
        <f>IF(OR(E6336="",E6336="!!!",F6336="NEW"),"",INDEX(B6335:B$2,-1+SUMPRODUCT(MAX(ROW(E6335:E$2)*(E6336=E6335:E$2)))))</f>
        <v> </v>
      </c>
      <c r="J6336" s="26" t="str">
        <f>IF(OR(E6336="",E6336="!!!",F6336="NEW"),"",COUNTBLANK(OFFSET(A$1,,,SUMPRODUCT(MAX(ROW(E$2:E6336)*(E6336=E$2:E6336)))))-COUNTBLANK(OFFSET(A$1,,,SUMPRODUCT(MAX(ROW(E$1:E6335)*(E2=E$1:E6335))))))</f>
        <v> </v>
      </c>
      <c r="K6336" s="26" t="str">
        <f>IF(OR(E6336="",E6336="!!!",F6336="NEW"),"",INDEX(J$1:J6335,SUMPRODUCT(MAX(ROW(E$1:E6335)*(E6336=E$1:E6335)))))</f>
        <v> </v>
      </c>
      <c r="L6336" s="27"/>
    </row>
    <row r="6337" spans="1:12">
      <c r="A6337" s="20" t="s">
        <v>1020</v>
      </c>
      <c r="E6337" s="22">
        <f>IF(D6337="?OLD","!!!","")</f>
        <v/>
      </c>
      <c r="F6337" s="23" t="str">
        <f>IF(OR(E6337="",E6337="!!!"),"",IF(NOT(ISNA(VLOOKUP(E6337,E$1:E6336,1,FALSE()))),"OLD",IF(AND(E6337&lt;&gt;"",E6337&lt;&gt;"!!!"),"NEW","")))</f>
        <v> </v>
      </c>
      <c r="G6337" s="24" t="str">
        <f>IF(OR(E6337="",E6337="!!!"),"",IF(OR(J6337=0,AND(J6337=1,K6337=1),AND(J6337=1,I6337="SBJ"),AND(J6337=1,I6337=0)),"?IN_FOCUS",IF(J6337&lt;=2,"?ACTIVATED",IF(J6337&lt;&gt;"","?FAMILIAR",IF(F6337="NEW",IF(ISNA(VLOOKUP(E6337,#REF!,1,FALSE())),"?TYPE_IDENTIFIABLE","?REFERENTIAL"),"_")))))</f>
        <v> </v>
      </c>
      <c r="H6337" s="25" t="str">
        <f>IF(J6337&lt;&gt;1,"",IF(I6337="SBJ","CB","?"))</f>
        <v> </v>
      </c>
      <c r="I6337" s="26" t="str">
        <f>IF(OR(E6337="",E6337="!!!",F6337="NEW"),"",INDEX(B6336:B$2,-1+SUMPRODUCT(MAX(ROW(E6336:E$2)*(E6337=E6336:E$2)))))</f>
        <v> </v>
      </c>
      <c r="J6337" s="26" t="str">
        <f>IF(OR(E6337="",E6337="!!!",F6337="NEW"),"",COUNTBLANK(OFFSET(A$1,,,SUMPRODUCT(MAX(ROW(E$2:E6337)*(E6337=E$2:E6337)))))-COUNTBLANK(OFFSET(A$1,,,SUMPRODUCT(MAX(ROW(E$1:E6336)*(E2=E$1:E6336))))))</f>
        <v> </v>
      </c>
      <c r="K6337" s="26" t="str">
        <f>IF(OR(E6337="",E6337="!!!",F6337="NEW"),"",INDEX(J$1:J6336,SUMPRODUCT(MAX(ROW(E$1:E6336)*(E6337=E$1:E6336)))))</f>
        <v> </v>
      </c>
      <c r="L6337" s="27"/>
    </row>
    <row r="6338" spans="1:12">
      <c r="A6338" s="20" t="s">
        <v>705</v>
      </c>
      <c r="B6338" s="21" t="s">
        <v>1187</v>
      </c>
      <c r="C6338" s="21" t="s">
        <v>1017</v>
      </c>
      <c r="D6338" s="21" t="s">
        <v>1007</v>
      </c>
      <c r="E6338" s="22">
        <f>IF(D6338="?OLD","!!!","")</f>
        <v/>
      </c>
      <c r="F6338" s="23" t="str">
        <f>IF(OR(E6338="",E6338="!!!"),"",IF(NOT(ISNA(VLOOKUP(E6338,E$1:E6337,1,FALSE()))),"OLD",IF(AND(E6338&lt;&gt;"",E6338&lt;&gt;"!!!"),"NEW","")))</f>
        <v> </v>
      </c>
      <c r="G6338" s="24" t="str">
        <f>IF(OR(E6338="",E6338="!!!"),"",IF(OR(J6338=0,AND(J6338=1,K6338=1),AND(J6338=1,I6338="SBJ"),AND(J6338=1,I6338=0)),"?IN_FOCUS",IF(J6338&lt;=2,"?ACTIVATED",IF(J6338&lt;&gt;"","?FAMILIAR",IF(F6338="NEW",IF(ISNA(VLOOKUP(E6338,#REF!,1,FALSE())),"?TYPE_IDENTIFIABLE","?REFERENTIAL"),"_")))))</f>
        <v> </v>
      </c>
      <c r="H6338" s="25" t="str">
        <f>IF(J6338&lt;&gt;1,"",IF(I6338="SBJ","CB","?"))</f>
        <v> </v>
      </c>
      <c r="I6338" s="26" t="str">
        <f>IF(OR(E6338="",E6338="!!!",F6338="NEW"),"",INDEX(B6337:B$2,-1+SUMPRODUCT(MAX(ROW(E6337:E$2)*(E6338=E6337:E$2)))))</f>
        <v> </v>
      </c>
      <c r="J6338" s="26" t="str">
        <f>IF(OR(E6338="",E6338="!!!",F6338="NEW"),"",COUNTBLANK(OFFSET(A$1,,,SUMPRODUCT(MAX(ROW(E$2:E6338)*(E6338=E$2:E6338)))))-COUNTBLANK(OFFSET(A$1,,,SUMPRODUCT(MAX(ROW(E$1:E6337)*(E2=E$1:E6337))))))</f>
        <v> </v>
      </c>
      <c r="K6338" s="26" t="str">
        <f>IF(OR(E6338="",E6338="!!!",F6338="NEW"),"",INDEX(J$1:J6337,SUMPRODUCT(MAX(ROW(E$1:E6337)*(E6338=E$1:E6337)))))</f>
        <v> </v>
      </c>
      <c r="L6338" s="27"/>
    </row>
    <row r="6339" spans="1:12">
      <c r="A6339" s="20" t="s">
        <v>1020</v>
      </c>
      <c r="E6339" s="22">
        <f>IF(D6339="?OLD","!!!","")</f>
        <v/>
      </c>
      <c r="F6339" s="23" t="str">
        <f>IF(OR(E6339="",E6339="!!!"),"",IF(NOT(ISNA(VLOOKUP(E6339,E$1:E6338,1,FALSE()))),"OLD",IF(AND(E6339&lt;&gt;"",E6339&lt;&gt;"!!!"),"NEW","")))</f>
        <v> </v>
      </c>
      <c r="G6339" s="24" t="str">
        <f>IF(OR(E6339="",E6339="!!!"),"",IF(OR(J6339=0,AND(J6339=1,K6339=1),AND(J6339=1,I6339="SBJ"),AND(J6339=1,I6339=0)),"?IN_FOCUS",IF(J6339&lt;=2,"?ACTIVATED",IF(J6339&lt;&gt;"","?FAMILIAR",IF(F6339="NEW",IF(ISNA(VLOOKUP(E6339,#REF!,1,FALSE())),"?TYPE_IDENTIFIABLE","?REFERENTIAL"),"_")))))</f>
        <v> </v>
      </c>
      <c r="H6339" s="25" t="str">
        <f>IF(J6339&lt;&gt;1,"",IF(I6339="SBJ","CB","?"))</f>
        <v> </v>
      </c>
      <c r="I6339" s="26" t="str">
        <f>IF(OR(E6339="",E6339="!!!",F6339="NEW"),"",INDEX(B6338:B$2,-1+SUMPRODUCT(MAX(ROW(E6338:E$2)*(E6339=E6338:E$2)))))</f>
        <v> </v>
      </c>
      <c r="J6339" s="26" t="str">
        <f>IF(OR(E6339="",E6339="!!!",F6339="NEW"),"",COUNTBLANK(OFFSET(A$1,,,SUMPRODUCT(MAX(ROW(E$2:E6339)*(E6339=E$2:E6339)))))-COUNTBLANK(OFFSET(A$1,,,SUMPRODUCT(MAX(ROW(E$1:E6338)*(E2=E$1:E6338))))))</f>
        <v> </v>
      </c>
      <c r="K6339" s="26" t="str">
        <f>IF(OR(E6339="",E6339="!!!",F6339="NEW"),"",INDEX(J$1:J6338,SUMPRODUCT(MAX(ROW(E$1:E6338)*(E6339=E$1:E6338)))))</f>
        <v> </v>
      </c>
      <c r="L6339" s="27"/>
    </row>
    <row r="6340" spans="1:12">
      <c r="A6340" s="20" t="s">
        <v>1056</v>
      </c>
      <c r="E6340" s="22">
        <f>IF(D6340="?OLD","!!!","")</f>
        <v/>
      </c>
      <c r="F6340" s="23" t="str">
        <f>IF(OR(E6340="",E6340="!!!"),"",IF(NOT(ISNA(VLOOKUP(E6340,E$1:E6339,1,FALSE()))),"OLD",IF(AND(E6340&lt;&gt;"",E6340&lt;&gt;"!!!"),"NEW","")))</f>
        <v> </v>
      </c>
      <c r="G6340" s="24" t="str">
        <f>IF(OR(E6340="",E6340="!!!"),"",IF(OR(J6340=0,AND(J6340=1,K6340=1),AND(J6340=1,I6340="SBJ"),AND(J6340=1,I6340=0)),"?IN_FOCUS",IF(J6340&lt;=2,"?ACTIVATED",IF(J6340&lt;&gt;"","?FAMILIAR",IF(F6340="NEW",IF(ISNA(VLOOKUP(E6340,#REF!,1,FALSE())),"?TYPE_IDENTIFIABLE","?REFERENTIAL"),"_")))))</f>
        <v> </v>
      </c>
      <c r="H6340" s="25" t="str">
        <f>IF(J6340&lt;&gt;1,"",IF(I6340="SBJ","CB","?"))</f>
        <v> </v>
      </c>
      <c r="I6340" s="26" t="str">
        <f>IF(OR(E6340="",E6340="!!!",F6340="NEW"),"",INDEX(B6339:B$2,-1+SUMPRODUCT(MAX(ROW(E6339:E$2)*(E6340=E6339:E$2)))))</f>
        <v> </v>
      </c>
      <c r="J6340" s="26" t="str">
        <f>IF(OR(E6340="",E6340="!!!",F6340="NEW"),"",COUNTBLANK(OFFSET(A$1,,,SUMPRODUCT(MAX(ROW(E$2:E6340)*(E6340=E$2:E6340)))))-COUNTBLANK(OFFSET(A$1,,,SUMPRODUCT(MAX(ROW(E$1:E6339)*(E2=E$1:E6339))))))</f>
        <v> </v>
      </c>
      <c r="K6340" s="26" t="str">
        <f>IF(OR(E6340="",E6340="!!!",F6340="NEW"),"",INDEX(J$1:J6339,SUMPRODUCT(MAX(ROW(E$1:E6339)*(E6340=E$1:E6339)))))</f>
        <v> </v>
      </c>
      <c r="L6340" s="27"/>
    </row>
    <row r="6341" spans="1:12">
      <c r="A6341" s="20" t="s">
        <v>1057</v>
      </c>
      <c r="B6341" s="21" t="s">
        <v>1033</v>
      </c>
      <c r="C6341" s="21" t="s">
        <v>1111</v>
      </c>
      <c r="E6341" s="22">
        <f>IF(D6341="?OLD","!!!","")</f>
        <v/>
      </c>
      <c r="F6341" s="23" t="str">
        <f>IF(OR(E6341="",E6341="!!!"),"",IF(NOT(ISNA(VLOOKUP(E6341,E$1:E6340,1,FALSE()))),"OLD",IF(AND(E6341&lt;&gt;"",E6341&lt;&gt;"!!!"),"NEW","")))</f>
        <v> </v>
      </c>
      <c r="G6341" s="24" t="str">
        <f>IF(OR(E6341="",E6341="!!!"),"",IF(OR(J6341=0,AND(J6341=1,K6341=1),AND(J6341=1,I6341="SBJ"),AND(J6341=1,I6341=0)),"?IN_FOCUS",IF(J6341&lt;=2,"?ACTIVATED",IF(J6341&lt;&gt;"","?FAMILIAR",IF(F6341="NEW",IF(ISNA(VLOOKUP(E6341,#REF!,1,FALSE())),"?TYPE_IDENTIFIABLE","?REFERENTIAL"),"_")))))</f>
        <v> </v>
      </c>
      <c r="H6341" s="25" t="str">
        <f>IF(J6341&lt;&gt;1,"",IF(I6341="SBJ","CB","?"))</f>
        <v> </v>
      </c>
      <c r="I6341" s="26" t="str">
        <f>IF(OR(E6341="",E6341="!!!",F6341="NEW"),"",INDEX(B6340:B$2,-1+SUMPRODUCT(MAX(ROW(E6340:E$2)*(E6341=E6340:E$2)))))</f>
        <v> </v>
      </c>
      <c r="J6341" s="26" t="str">
        <f>IF(OR(E6341="",E6341="!!!",F6341="NEW"),"",COUNTBLANK(OFFSET(A$1,,,SUMPRODUCT(MAX(ROW(E$2:E6341)*(E6341=E$2:E6341)))))-COUNTBLANK(OFFSET(A$1,,,SUMPRODUCT(MAX(ROW(E$1:E6340)*(E2=E$1:E6340))))))</f>
        <v> </v>
      </c>
      <c r="K6341" s="26" t="str">
        <f>IF(OR(E6341="",E6341="!!!",F6341="NEW"),"",INDEX(J$1:J6340,SUMPRODUCT(MAX(ROW(E$1:E6340)*(E6341=E$1:E6340)))))</f>
        <v> </v>
      </c>
      <c r="L6341" s="27"/>
    </row>
    <row r="6342" spans="1:12">
      <c r="A6342" s="20" t="s">
        <v>1023</v>
      </c>
      <c r="E6342" s="22">
        <f>IF(D6342="?OLD","!!!","")</f>
        <v/>
      </c>
      <c r="F6342" s="23" t="str">
        <f>IF(OR(E6342="",E6342="!!!"),"",IF(NOT(ISNA(VLOOKUP(E6342,E$1:E6341,1,FALSE()))),"OLD",IF(AND(E6342&lt;&gt;"",E6342&lt;&gt;"!!!"),"NEW","")))</f>
        <v> </v>
      </c>
      <c r="G6342" s="24" t="str">
        <f>IF(OR(E6342="",E6342="!!!"),"",IF(OR(J6342=0,AND(J6342=1,K6342=1),AND(J6342=1,I6342="SBJ"),AND(J6342=1,I6342=0)),"?IN_FOCUS",IF(J6342&lt;=2,"?ACTIVATED",IF(J6342&lt;&gt;"","?FAMILIAR",IF(F6342="NEW",IF(ISNA(VLOOKUP(E6342,#REF!,1,FALSE())),"?TYPE_IDENTIFIABLE","?REFERENTIAL"),"_")))))</f>
        <v> </v>
      </c>
      <c r="H6342" s="25" t="str">
        <f>IF(J6342&lt;&gt;1,"",IF(I6342="SBJ","CB","?"))</f>
        <v> </v>
      </c>
      <c r="I6342" s="26" t="str">
        <f>IF(OR(E6342="",E6342="!!!",F6342="NEW"),"",INDEX(B6341:B$2,-1+SUMPRODUCT(MAX(ROW(E6341:E$2)*(E6342=E6341:E$2)))))</f>
        <v> </v>
      </c>
      <c r="J6342" s="26" t="str">
        <f>IF(OR(E6342="",E6342="!!!",F6342="NEW"),"",COUNTBLANK(OFFSET(A$1,,,SUMPRODUCT(MAX(ROW(E$2:E6342)*(E6342=E$2:E6342)))))-COUNTBLANK(OFFSET(A$1,,,SUMPRODUCT(MAX(ROW(E$1:E6341)*(E2=E$1:E6341))))))</f>
        <v> </v>
      </c>
      <c r="K6342" s="26" t="str">
        <f>IF(OR(E6342="",E6342="!!!",F6342="NEW"),"",INDEX(J$1:J6341,SUMPRODUCT(MAX(ROW(E$1:E6341)*(E6342=E$1:E6341)))))</f>
        <v> </v>
      </c>
      <c r="L6342" s="27"/>
    </row>
    <row r="6343" spans="1:12">
      <c r="A6343" s="20"/>
    </row>
    <row r="6344" spans="1:12">
      <c r="A6344" s="20" t="s">
        <v>2659</v>
      </c>
    </row>
    <row r="6345" spans="1:12">
      <c r="A6345" s="20" t="s">
        <v>1330</v>
      </c>
      <c r="E6345" s="22">
        <f>IF(D6345="?OLD","!!!","")</f>
        <v/>
      </c>
      <c r="F6345" s="23" t="str">
        <f>IF(OR(E6345="",E6345="!!!"),"",IF(NOT(ISNA(VLOOKUP(E6345,E$1:E6344,1,FALSE()))),"OLD",IF(AND(E6345&lt;&gt;"",E6345&lt;&gt;"!!!"),"NEW","")))</f>
        <v> </v>
      </c>
      <c r="G6345" s="24" t="str">
        <f>IF(OR(E6345="",E6345="!!!"),"",IF(OR(J6345=0,AND(J6345=1,K6345=1),AND(J6345=1,I6345="SBJ"),AND(J6345=1,I6345=0)),"?IN_FOCUS",IF(J6345&lt;=2,"?ACTIVATED",IF(J6345&lt;&gt;"","?FAMILIAR",IF(F6345="NEW",IF(ISNA(VLOOKUP(E6345,#REF!,1,FALSE())),"?TYPE_IDENTIFIABLE","?REFERENTIAL"),"_")))))</f>
        <v> </v>
      </c>
      <c r="H6345" s="25" t="str">
        <f>IF(J6345&lt;&gt;1,"",IF(I6345="SBJ","CB","?"))</f>
        <v> </v>
      </c>
      <c r="I6345" s="26" t="str">
        <f>IF(OR(E6345="",E6345="!!!",F6345="NEW"),"",INDEX(B6344:B$2,-1+SUMPRODUCT(MAX(ROW(E6344:E$2)*(E6345=E6344:E$2)))))</f>
        <v> </v>
      </c>
      <c r="J6345" s="26" t="str">
        <f>IF(OR(E6345="",E6345="!!!",F6345="NEW"),"",COUNTBLANK(OFFSET(A$1,,,SUMPRODUCT(MAX(ROW(E$2:E6345)*(E6345=E$2:E6345)))))-COUNTBLANK(OFFSET(A$1,,,SUMPRODUCT(MAX(ROW(E$1:E6344)*(E2=E$1:E6344))))))</f>
        <v> </v>
      </c>
      <c r="K6345" s="26" t="str">
        <f>IF(OR(E6345="",E6345="!!!",F6345="NEW"),"",INDEX(J$1:J6344,SUMPRODUCT(MAX(ROW(E$1:E6344)*(E6345=E$1:E6344)))))</f>
        <v> </v>
      </c>
      <c r="L6345" s="27"/>
    </row>
    <row r="6346" spans="1:12">
      <c r="A6346" s="20" t="s">
        <v>2660</v>
      </c>
      <c r="E6346" s="22">
        <f>IF(D6346="?OLD","!!!","")</f>
        <v/>
      </c>
      <c r="F6346" s="23" t="str">
        <f>IF(OR(E6346="",E6346="!!!"),"",IF(NOT(ISNA(VLOOKUP(E6346,E$1:E6345,1,FALSE()))),"OLD",IF(AND(E6346&lt;&gt;"",E6346&lt;&gt;"!!!"),"NEW","")))</f>
        <v> </v>
      </c>
      <c r="G6346" s="24" t="str">
        <f>IF(OR(E6346="",E6346="!!!"),"",IF(OR(J6346=0,AND(J6346=1,K6346=1),AND(J6346=1,I6346="SBJ"),AND(J6346=1,I6346=0)),"?IN_FOCUS",IF(J6346&lt;=2,"?ACTIVATED",IF(J6346&lt;&gt;"","?FAMILIAR",IF(F6346="NEW",IF(ISNA(VLOOKUP(E6346,#REF!,1,FALSE())),"?TYPE_IDENTIFIABLE","?REFERENTIAL"),"_")))))</f>
        <v> </v>
      </c>
      <c r="H6346" s="25" t="str">
        <f>IF(J6346&lt;&gt;1,"",IF(I6346="SBJ","CB","?"))</f>
        <v> </v>
      </c>
      <c r="I6346" s="26" t="str">
        <f>IF(OR(E6346="",E6346="!!!",F6346="NEW"),"",INDEX(B6345:B$2,-1+SUMPRODUCT(MAX(ROW(E6345:E$2)*(E6346=E6345:E$2)))))</f>
        <v> </v>
      </c>
      <c r="J6346" s="26" t="str">
        <f>IF(OR(E6346="",E6346="!!!",F6346="NEW"),"",COUNTBLANK(OFFSET(A$1,,,SUMPRODUCT(MAX(ROW(E$2:E6346)*(E6346=E$2:E6346)))))-COUNTBLANK(OFFSET(A$1,,,SUMPRODUCT(MAX(ROW(E$1:E6345)*(E2=E$1:E6345))))))</f>
        <v> </v>
      </c>
      <c r="K6346" s="26" t="str">
        <f>IF(OR(E6346="",E6346="!!!",F6346="NEW"),"",INDEX(J$1:J6345,SUMPRODUCT(MAX(ROW(E$1:E6345)*(E6346=E$1:E6345)))))</f>
        <v> </v>
      </c>
      <c r="L6346" s="27"/>
    </row>
    <row r="6347" spans="1:12">
      <c r="A6347" s="20" t="s">
        <v>1065</v>
      </c>
      <c r="E6347" s="22">
        <f>IF(D6347="?OLD","!!!","")</f>
        <v/>
      </c>
      <c r="F6347" s="23" t="str">
        <f>IF(OR(E6347="",E6347="!!!"),"",IF(NOT(ISNA(VLOOKUP(E6347,E$1:E6346,1,FALSE()))),"OLD",IF(AND(E6347&lt;&gt;"",E6347&lt;&gt;"!!!"),"NEW","")))</f>
        <v> </v>
      </c>
      <c r="G6347" s="24" t="str">
        <f>IF(OR(E6347="",E6347="!!!"),"",IF(OR(J6347=0,AND(J6347=1,K6347=1),AND(J6347=1,I6347="SBJ"),AND(J6347=1,I6347=0)),"?IN_FOCUS",IF(J6347&lt;=2,"?ACTIVATED",IF(J6347&lt;&gt;"","?FAMILIAR",IF(F6347="NEW",IF(ISNA(VLOOKUP(E6347,#REF!,1,FALSE())),"?TYPE_IDENTIFIABLE","?REFERENTIAL"),"_")))))</f>
        <v> </v>
      </c>
      <c r="H6347" s="25" t="str">
        <f>IF(J6347&lt;&gt;1,"",IF(I6347="SBJ","CB","?"))</f>
        <v> </v>
      </c>
      <c r="I6347" s="26" t="str">
        <f>IF(OR(E6347="",E6347="!!!",F6347="NEW"),"",INDEX(B6346:B$2,-1+SUMPRODUCT(MAX(ROW(E6346:E$2)*(E6347=E6346:E$2)))))</f>
        <v> </v>
      </c>
      <c r="J6347" s="26" t="str">
        <f>IF(OR(E6347="",E6347="!!!",F6347="NEW"),"",COUNTBLANK(OFFSET(A$1,,,SUMPRODUCT(MAX(ROW(E$2:E6347)*(E6347=E$2:E6347)))))-COUNTBLANK(OFFSET(A$1,,,SUMPRODUCT(MAX(ROW(E$1:E6346)*(E2=E$1:E6346))))))</f>
        <v> </v>
      </c>
      <c r="K6347" s="26" t="str">
        <f>IF(OR(E6347="",E6347="!!!",F6347="NEW"),"",INDEX(J$1:J6346,SUMPRODUCT(MAX(ROW(E$1:E6346)*(E6347=E$1:E6346)))))</f>
        <v> </v>
      </c>
      <c r="L6347" s="27"/>
    </row>
    <row r="6348" spans="1:12">
      <c r="A6348" s="20" t="s">
        <v>1020</v>
      </c>
      <c r="E6348" s="22">
        <f>IF(D6348="?OLD","!!!","")</f>
        <v/>
      </c>
      <c r="F6348" s="23" t="str">
        <f>IF(OR(E6348="",E6348="!!!"),"",IF(NOT(ISNA(VLOOKUP(E6348,E$1:E6347,1,FALSE()))),"OLD",IF(AND(E6348&lt;&gt;"",E6348&lt;&gt;"!!!"),"NEW","")))</f>
        <v> </v>
      </c>
      <c r="G6348" s="24" t="str">
        <f>IF(OR(E6348="",E6348="!!!"),"",IF(OR(J6348=0,AND(J6348=1,K6348=1),AND(J6348=1,I6348="SBJ"),AND(J6348=1,I6348=0)),"?IN_FOCUS",IF(J6348&lt;=2,"?ACTIVATED",IF(J6348&lt;&gt;"","?FAMILIAR",IF(F6348="NEW",IF(ISNA(VLOOKUP(E6348,#REF!,1,FALSE())),"?TYPE_IDENTIFIABLE","?REFERENTIAL"),"_")))))</f>
        <v> </v>
      </c>
      <c r="H6348" s="25" t="str">
        <f>IF(J6348&lt;&gt;1,"",IF(I6348="SBJ","CB","?"))</f>
        <v> </v>
      </c>
      <c r="I6348" s="26" t="str">
        <f>IF(OR(E6348="",E6348="!!!",F6348="NEW"),"",INDEX(B6347:B$2,-1+SUMPRODUCT(MAX(ROW(E6347:E$2)*(E6348=E6347:E$2)))))</f>
        <v> </v>
      </c>
      <c r="J6348" s="26" t="str">
        <f>IF(OR(E6348="",E6348="!!!",F6348="NEW"),"",COUNTBLANK(OFFSET(A$1,,,SUMPRODUCT(MAX(ROW(E$2:E6348)*(E6348=E$2:E6348)))))-COUNTBLANK(OFFSET(A$1,,,SUMPRODUCT(MAX(ROW(E$1:E6347)*(E2=E$1:E6347))))))</f>
        <v> </v>
      </c>
      <c r="K6348" s="26" t="str">
        <f>IF(OR(E6348="",E6348="!!!",F6348="NEW"),"",INDEX(J$1:J6347,SUMPRODUCT(MAX(ROW(E$1:E6347)*(E6348=E$1:E6347)))))</f>
        <v> </v>
      </c>
      <c r="L6348" s="27"/>
    </row>
    <row r="6349" spans="1:12">
      <c r="A6349" s="20" t="s">
        <v>705</v>
      </c>
      <c r="B6349" s="21" t="s">
        <v>1119</v>
      </c>
      <c r="C6349" s="21" t="s">
        <v>1017</v>
      </c>
      <c r="D6349" s="21" t="s">
        <v>1007</v>
      </c>
      <c r="E6349" s="22">
        <f>IF(D6349="?OLD","!!!","")</f>
        <v/>
      </c>
      <c r="F6349" s="23" t="str">
        <f>IF(OR(E6349="",E6349="!!!"),"",IF(NOT(ISNA(VLOOKUP(E6349,E$1:E6348,1,FALSE()))),"OLD",IF(AND(E6349&lt;&gt;"",E6349&lt;&gt;"!!!"),"NEW","")))</f>
        <v> </v>
      </c>
      <c r="G6349" s="24" t="str">
        <f>IF(OR(E6349="",E6349="!!!"),"",IF(OR(J6349=0,AND(J6349=1,K6349=1),AND(J6349=1,I6349="SBJ"),AND(J6349=1,I6349=0)),"?IN_FOCUS",IF(J6349&lt;=2,"?ACTIVATED",IF(J6349&lt;&gt;"","?FAMILIAR",IF(F6349="NEW",IF(ISNA(VLOOKUP(E6349,#REF!,1,FALSE())),"?TYPE_IDENTIFIABLE","?REFERENTIAL"),"_")))))</f>
        <v> </v>
      </c>
      <c r="H6349" s="25" t="str">
        <f>IF(J6349&lt;&gt;1,"",IF(I6349="SBJ","CB","?"))</f>
        <v> </v>
      </c>
      <c r="I6349" s="26" t="str">
        <f>IF(OR(E6349="",E6349="!!!",F6349="NEW"),"",INDEX(B6348:B$2,-1+SUMPRODUCT(MAX(ROW(E6348:E$2)*(E6349=E6348:E$2)))))</f>
        <v> </v>
      </c>
      <c r="J6349" s="26" t="str">
        <f>IF(OR(E6349="",E6349="!!!",F6349="NEW"),"",COUNTBLANK(OFFSET(A$1,,,SUMPRODUCT(MAX(ROW(E$2:E6349)*(E6349=E$2:E6349)))))-COUNTBLANK(OFFSET(A$1,,,SUMPRODUCT(MAX(ROW(E$1:E6348)*(E2=E$1:E6348))))))</f>
        <v> </v>
      </c>
      <c r="K6349" s="26" t="str">
        <f>IF(OR(E6349="",E6349="!!!",F6349="NEW"),"",INDEX(J$1:J6348,SUMPRODUCT(MAX(ROW(E$1:E6348)*(E6349=E$1:E6348)))))</f>
        <v> </v>
      </c>
      <c r="L6349" s="27"/>
    </row>
    <row r="6350" spans="1:12">
      <c r="A6350" s="20" t="s">
        <v>1051</v>
      </c>
      <c r="E6350" s="22">
        <f>IF(D6350="?OLD","!!!","")</f>
        <v/>
      </c>
      <c r="F6350" s="23" t="str">
        <f>IF(OR(E6350="",E6350="!!!"),"",IF(NOT(ISNA(VLOOKUP(E6350,E$1:E6349,1,FALSE()))),"OLD",IF(AND(E6350&lt;&gt;"",E6350&lt;&gt;"!!!"),"NEW","")))</f>
        <v> </v>
      </c>
      <c r="G6350" s="24" t="str">
        <f>IF(OR(E6350="",E6350="!!!"),"",IF(OR(J6350=0,AND(J6350=1,K6350=1),AND(J6350=1,I6350="SBJ"),AND(J6350=1,I6350=0)),"?IN_FOCUS",IF(J6350&lt;=2,"?ACTIVATED",IF(J6350&lt;&gt;"","?FAMILIAR",IF(F6350="NEW",IF(ISNA(VLOOKUP(E6350,#REF!,1,FALSE())),"?TYPE_IDENTIFIABLE","?REFERENTIAL"),"_")))))</f>
        <v> </v>
      </c>
      <c r="H6350" s="25" t="str">
        <f>IF(J6350&lt;&gt;1,"",IF(I6350="SBJ","CB","?"))</f>
        <v> </v>
      </c>
      <c r="I6350" s="26" t="str">
        <f>IF(OR(E6350="",E6350="!!!",F6350="NEW"),"",INDEX(B6349:B$2,-1+SUMPRODUCT(MAX(ROW(E6349:E$2)*(E6350=E6349:E$2)))))</f>
        <v> </v>
      </c>
      <c r="J6350" s="26" t="str">
        <f>IF(OR(E6350="",E6350="!!!",F6350="NEW"),"",COUNTBLANK(OFFSET(A$1,,,SUMPRODUCT(MAX(ROW(E$2:E6350)*(E6350=E$2:E6350)))))-COUNTBLANK(OFFSET(A$1,,,SUMPRODUCT(MAX(ROW(E$1:E6349)*(E2=E$1:E6349))))))</f>
        <v> </v>
      </c>
      <c r="K6350" s="26" t="str">
        <f>IF(OR(E6350="",E6350="!!!",F6350="NEW"),"",INDEX(J$1:J6349,SUMPRODUCT(MAX(ROW(E$1:E6349)*(E6350=E$1:E6349)))))</f>
        <v> </v>
      </c>
      <c r="L6350" s="27"/>
    </row>
    <row r="6351" spans="1:12">
      <c r="A6351" s="20" t="s">
        <v>1163</v>
      </c>
      <c r="E6351" s="22">
        <f>IF(D6351="?OLD","!!!","")</f>
        <v/>
      </c>
      <c r="F6351" s="23" t="str">
        <f>IF(OR(E6351="",E6351="!!!"),"",IF(NOT(ISNA(VLOOKUP(E6351,E$1:E6350,1,FALSE()))),"OLD",IF(AND(E6351&lt;&gt;"",E6351&lt;&gt;"!!!"),"NEW","")))</f>
        <v> </v>
      </c>
      <c r="G6351" s="24" t="str">
        <f>IF(OR(E6351="",E6351="!!!"),"",IF(OR(J6351=0,AND(J6351=1,K6351=1),AND(J6351=1,I6351="SBJ"),AND(J6351=1,I6351=0)),"?IN_FOCUS",IF(J6351&lt;=2,"?ACTIVATED",IF(J6351&lt;&gt;"","?FAMILIAR",IF(F6351="NEW",IF(ISNA(VLOOKUP(E6351,#REF!,1,FALSE())),"?TYPE_IDENTIFIABLE","?REFERENTIAL"),"_")))))</f>
        <v> </v>
      </c>
      <c r="H6351" s="25" t="str">
        <f>IF(J6351&lt;&gt;1,"",IF(I6351="SBJ","CB","?"))</f>
        <v> </v>
      </c>
      <c r="I6351" s="26" t="str">
        <f>IF(OR(E6351="",E6351="!!!",F6351="NEW"),"",INDEX(B6350:B$2,-1+SUMPRODUCT(MAX(ROW(E6350:E$2)*(E6351=E6350:E$2)))))</f>
        <v> </v>
      </c>
      <c r="J6351" s="26" t="str">
        <f>IF(OR(E6351="",E6351="!!!",F6351="NEW"),"",COUNTBLANK(OFFSET(A$1,,,SUMPRODUCT(MAX(ROW(E$2:E6351)*(E6351=E$2:E6351)))))-COUNTBLANK(OFFSET(A$1,,,SUMPRODUCT(MAX(ROW(E$1:E6350)*(E2=E$1:E6350))))))</f>
        <v> </v>
      </c>
      <c r="K6351" s="26" t="str">
        <f>IF(OR(E6351="",E6351="!!!",F6351="NEW"),"",INDEX(J$1:J6350,SUMPRODUCT(MAX(ROW(E$1:E6350)*(E6351=E$1:E6350)))))</f>
        <v> </v>
      </c>
      <c r="L6351" s="27"/>
    </row>
    <row r="6352" spans="1:12">
      <c r="A6352" s="20" t="s">
        <v>1023</v>
      </c>
      <c r="E6352" s="22">
        <f>IF(D6352="?OLD","!!!","")</f>
        <v/>
      </c>
      <c r="F6352" s="23" t="str">
        <f>IF(OR(E6352="",E6352="!!!"),"",IF(NOT(ISNA(VLOOKUP(E6352,E$1:E6351,1,FALSE()))),"OLD",IF(AND(E6352&lt;&gt;"",E6352&lt;&gt;"!!!"),"NEW","")))</f>
        <v> </v>
      </c>
      <c r="G6352" s="24" t="str">
        <f>IF(OR(E6352="",E6352="!!!"),"",IF(OR(J6352=0,AND(J6352=1,K6352=1),AND(J6352=1,I6352="SBJ"),AND(J6352=1,I6352=0)),"?IN_FOCUS",IF(J6352&lt;=2,"?ACTIVATED",IF(J6352&lt;&gt;"","?FAMILIAR",IF(F6352="NEW",IF(ISNA(VLOOKUP(E6352,#REF!,1,FALSE())),"?TYPE_IDENTIFIABLE","?REFERENTIAL"),"_")))))</f>
        <v> </v>
      </c>
      <c r="H6352" s="25" t="str">
        <f>IF(J6352&lt;&gt;1,"",IF(I6352="SBJ","CB","?"))</f>
        <v> </v>
      </c>
      <c r="I6352" s="26" t="str">
        <f>IF(OR(E6352="",E6352="!!!",F6352="NEW"),"",INDEX(B6351:B$2,-1+SUMPRODUCT(MAX(ROW(E6351:E$2)*(E6352=E6351:E$2)))))</f>
        <v> </v>
      </c>
      <c r="J6352" s="26" t="str">
        <f>IF(OR(E6352="",E6352="!!!",F6352="NEW"),"",COUNTBLANK(OFFSET(A$1,,,SUMPRODUCT(MAX(ROW(E$2:E6352)*(E6352=E$2:E6352)))))-COUNTBLANK(OFFSET(A$1,,,SUMPRODUCT(MAX(ROW(E$1:E6351)*(E2=E$1:E6351))))))</f>
        <v> </v>
      </c>
      <c r="K6352" s="26" t="str">
        <f>IF(OR(E6352="",E6352="!!!",F6352="NEW"),"",INDEX(J$1:J6351,SUMPRODUCT(MAX(ROW(E$1:E6351)*(E6352=E$1:E6351)))))</f>
        <v> </v>
      </c>
      <c r="L6352" s="27"/>
    </row>
    <row r="6353" spans="1:12">
      <c r="A6353" s="20"/>
    </row>
    <row r="6354" spans="1:12">
      <c r="A6354" s="20" t="s">
        <v>2661</v>
      </c>
    </row>
    <row r="6355" spans="1:12">
      <c r="A6355" s="20" t="s">
        <v>2534</v>
      </c>
      <c r="E6355" s="22">
        <f>IF(D6355="?OLD","!!!","")</f>
        <v/>
      </c>
      <c r="F6355" s="23" t="str">
        <f>IF(OR(E6355="",E6355="!!!"),"",IF(NOT(ISNA(VLOOKUP(E6355,E$1:E6354,1,FALSE()))),"OLD",IF(AND(E6355&lt;&gt;"",E6355&lt;&gt;"!!!"),"NEW","")))</f>
        <v> </v>
      </c>
      <c r="G6355" s="24" t="str">
        <f>IF(OR(E6355="",E6355="!!!"),"",IF(OR(J6355=0,AND(J6355=1,K6355=1),AND(J6355=1,I6355="SBJ"),AND(J6355=1,I6355=0)),"?IN_FOCUS",IF(J6355&lt;=2,"?ACTIVATED",IF(J6355&lt;&gt;"","?FAMILIAR",IF(F6355="NEW",IF(ISNA(VLOOKUP(E6355,#REF!,1,FALSE())),"?TYPE_IDENTIFIABLE","?REFERENTIAL"),"_")))))</f>
        <v> </v>
      </c>
      <c r="H6355" s="25" t="str">
        <f>IF(J6355&lt;&gt;1,"",IF(I6355="SBJ","CB","?"))</f>
        <v> </v>
      </c>
      <c r="I6355" s="26" t="str">
        <f>IF(OR(E6355="",E6355="!!!",F6355="NEW"),"",INDEX(B6354:B$2,-1+SUMPRODUCT(MAX(ROW(E6354:E$2)*(E6355=E6354:E$2)))))</f>
        <v> </v>
      </c>
      <c r="J6355" s="26" t="str">
        <f>IF(OR(E6355="",E6355="!!!",F6355="NEW"),"",COUNTBLANK(OFFSET(A$1,,,SUMPRODUCT(MAX(ROW(E$2:E6355)*(E6355=E$2:E6355)))))-COUNTBLANK(OFFSET(A$1,,,SUMPRODUCT(MAX(ROW(E$1:E6354)*(E2=E$1:E6354))))))</f>
        <v> </v>
      </c>
      <c r="K6355" s="26" t="str">
        <f>IF(OR(E6355="",E6355="!!!",F6355="NEW"),"",INDEX(J$1:J6354,SUMPRODUCT(MAX(ROW(E$1:E6354)*(E6355=E$1:E6354)))))</f>
        <v> </v>
      </c>
      <c r="L6355" s="27"/>
    </row>
    <row r="6356" spans="1:12">
      <c r="A6356" s="20" t="s">
        <v>1009</v>
      </c>
      <c r="E6356" s="22">
        <f>IF(D6356="?OLD","!!!","")</f>
        <v/>
      </c>
      <c r="F6356" s="23" t="str">
        <f>IF(OR(E6356="",E6356="!!!"),"",IF(NOT(ISNA(VLOOKUP(E6356,E$1:E6355,1,FALSE()))),"OLD",IF(AND(E6356&lt;&gt;"",E6356&lt;&gt;"!!!"),"NEW","")))</f>
        <v> </v>
      </c>
      <c r="G6356" s="24" t="str">
        <f>IF(OR(E6356="",E6356="!!!"),"",IF(OR(J6356=0,AND(J6356=1,K6356=1),AND(J6356=1,I6356="SBJ"),AND(J6356=1,I6356=0)),"?IN_FOCUS",IF(J6356&lt;=2,"?ACTIVATED",IF(J6356&lt;&gt;"","?FAMILIAR",IF(F6356="NEW",IF(ISNA(VLOOKUP(E6356,#REF!,1,FALSE())),"?TYPE_IDENTIFIABLE","?REFERENTIAL"),"_")))))</f>
        <v> </v>
      </c>
      <c r="H6356" s="25" t="str">
        <f>IF(J6356&lt;&gt;1,"",IF(I6356="SBJ","CB","?"))</f>
        <v> </v>
      </c>
      <c r="I6356" s="26" t="str">
        <f>IF(OR(E6356="",E6356="!!!",F6356="NEW"),"",INDEX(B6355:B$2,-1+SUMPRODUCT(MAX(ROW(E6355:E$2)*(E6356=E6355:E$2)))))</f>
        <v> </v>
      </c>
      <c r="J6356" s="26" t="str">
        <f>IF(OR(E6356="",E6356="!!!",F6356="NEW"),"",COUNTBLANK(OFFSET(A$1,,,SUMPRODUCT(MAX(ROW(E$2:E6356)*(E6356=E$2:E6356)))))-COUNTBLANK(OFFSET(A$1,,,SUMPRODUCT(MAX(ROW(E$1:E6355)*(E2=E$1:E6355))))))</f>
        <v> </v>
      </c>
      <c r="K6356" s="26" t="str">
        <f>IF(OR(E6356="",E6356="!!!",F6356="NEW"),"",INDEX(J$1:J6355,SUMPRODUCT(MAX(ROW(E$1:E6355)*(E6356=E$1:E6355)))))</f>
        <v> </v>
      </c>
      <c r="L6356" s="27"/>
    </row>
    <row r="6357" spans="1:12">
      <c r="A6357" s="20" t="s">
        <v>1247</v>
      </c>
      <c r="E6357" s="22">
        <f>IF(D6357="?OLD","!!!","")</f>
        <v/>
      </c>
      <c r="F6357" s="23" t="str">
        <f>IF(OR(E6357="",E6357="!!!"),"",IF(NOT(ISNA(VLOOKUP(E6357,E$1:E6356,1,FALSE()))),"OLD",IF(AND(E6357&lt;&gt;"",E6357&lt;&gt;"!!!"),"NEW","")))</f>
        <v> </v>
      </c>
      <c r="G6357" s="24" t="str">
        <f>IF(OR(E6357="",E6357="!!!"),"",IF(OR(J6357=0,AND(J6357=1,K6357=1),AND(J6357=1,I6357="SBJ"),AND(J6357=1,I6357=0)),"?IN_FOCUS",IF(J6357&lt;=2,"?ACTIVATED",IF(J6357&lt;&gt;"","?FAMILIAR",IF(F6357="NEW",IF(ISNA(VLOOKUP(E6357,#REF!,1,FALSE())),"?TYPE_IDENTIFIABLE","?REFERENTIAL"),"_")))))</f>
        <v> </v>
      </c>
      <c r="H6357" s="25" t="str">
        <f>IF(J6357&lt;&gt;1,"",IF(I6357="SBJ","CB","?"))</f>
        <v> </v>
      </c>
      <c r="I6357" s="26" t="str">
        <f>IF(OR(E6357="",E6357="!!!",F6357="NEW"),"",INDEX(B6356:B$2,-1+SUMPRODUCT(MAX(ROW(E6356:E$2)*(E6357=E6356:E$2)))))</f>
        <v> </v>
      </c>
      <c r="J6357" s="26" t="str">
        <f>IF(OR(E6357="",E6357="!!!",F6357="NEW"),"",COUNTBLANK(OFFSET(A$1,,,SUMPRODUCT(MAX(ROW(E$2:E6357)*(E6357=E$2:E6357)))))-COUNTBLANK(OFFSET(A$1,,,SUMPRODUCT(MAX(ROW(E$1:E6356)*(E2=E$1:E6356))))))</f>
        <v> </v>
      </c>
      <c r="K6357" s="26" t="str">
        <f>IF(OR(E6357="",E6357="!!!",F6357="NEW"),"",INDEX(J$1:J6356,SUMPRODUCT(MAX(ROW(E$1:E6356)*(E6357=E$1:E6356)))))</f>
        <v> </v>
      </c>
      <c r="L6357" s="27"/>
    </row>
    <row r="6358" spans="1:12">
      <c r="A6358" s="20" t="s">
        <v>2662</v>
      </c>
      <c r="B6358" s="21" t="s">
        <v>1022</v>
      </c>
      <c r="C6358" s="21" t="s">
        <v>1048</v>
      </c>
      <c r="E6358" s="22">
        <f>IF(D6358="?OLD","!!!","")</f>
        <v/>
      </c>
      <c r="F6358" s="23" t="str">
        <f>IF(OR(E6358="",E6358="!!!"),"",IF(NOT(ISNA(VLOOKUP(E6358,E$1:E6357,1,FALSE()))),"OLD",IF(AND(E6358&lt;&gt;"",E6358&lt;&gt;"!!!"),"NEW","")))</f>
        <v> </v>
      </c>
      <c r="G6358" s="24" t="str">
        <f>IF(OR(E6358="",E6358="!!!"),"",IF(OR(J6358=0,AND(J6358=1,K6358=1),AND(J6358=1,I6358="SBJ"),AND(J6358=1,I6358=0)),"?IN_FOCUS",IF(J6358&lt;=2,"?ACTIVATED",IF(J6358&lt;&gt;"","?FAMILIAR",IF(F6358="NEW",IF(ISNA(VLOOKUP(E6358,#REF!,1,FALSE())),"?TYPE_IDENTIFIABLE","?REFERENTIAL"),"_")))))</f>
        <v> </v>
      </c>
      <c r="H6358" s="25" t="str">
        <f>IF(J6358&lt;&gt;1,"",IF(I6358="SBJ","CB","?"))</f>
        <v> </v>
      </c>
      <c r="I6358" s="26" t="str">
        <f>IF(OR(E6358="",E6358="!!!",F6358="NEW"),"",INDEX(B6357:B$2,-1+SUMPRODUCT(MAX(ROW(E6357:E$2)*(E6358=E6357:E$2)))))</f>
        <v> </v>
      </c>
      <c r="J6358" s="26" t="str">
        <f>IF(OR(E6358="",E6358="!!!",F6358="NEW"),"",COUNTBLANK(OFFSET(A$1,,,SUMPRODUCT(MAX(ROW(E$2:E6358)*(E6358=E$2:E6358)))))-COUNTBLANK(OFFSET(A$1,,,SUMPRODUCT(MAX(ROW(E$1:E6357)*(E2=E$1:E6357))))))</f>
        <v> </v>
      </c>
      <c r="K6358" s="26" t="str">
        <f>IF(OR(E6358="",E6358="!!!",F6358="NEW"),"",INDEX(J$1:J6357,SUMPRODUCT(MAX(ROW(E$1:E6357)*(E6358=E$1:E6357)))))</f>
        <v> </v>
      </c>
      <c r="L6358" s="27"/>
    </row>
    <row r="6359" spans="1:12">
      <c r="A6359" s="20" t="s">
        <v>2663</v>
      </c>
      <c r="E6359" s="22">
        <f>IF(D6359="?OLD","!!!","")</f>
        <v/>
      </c>
      <c r="F6359" s="23" t="str">
        <f>IF(OR(E6359="",E6359="!!!"),"",IF(NOT(ISNA(VLOOKUP(E6359,E$1:E6358,1,FALSE()))),"OLD",IF(AND(E6359&lt;&gt;"",E6359&lt;&gt;"!!!"),"NEW","")))</f>
        <v> </v>
      </c>
      <c r="G6359" s="24" t="str">
        <f>IF(OR(E6359="",E6359="!!!"),"",IF(OR(J6359=0,AND(J6359=1,K6359=1),AND(J6359=1,I6359="SBJ"),AND(J6359=1,I6359=0)),"?IN_FOCUS",IF(J6359&lt;=2,"?ACTIVATED",IF(J6359&lt;&gt;"","?FAMILIAR",IF(F6359="NEW",IF(ISNA(VLOOKUP(E6359,#REF!,1,FALSE())),"?TYPE_IDENTIFIABLE","?REFERENTIAL"),"_")))))</f>
        <v> </v>
      </c>
      <c r="H6359" s="25" t="str">
        <f>IF(J6359&lt;&gt;1,"",IF(I6359="SBJ","CB","?"))</f>
        <v> </v>
      </c>
      <c r="I6359" s="26" t="str">
        <f>IF(OR(E6359="",E6359="!!!",F6359="NEW"),"",INDEX(B6358:B$2,-1+SUMPRODUCT(MAX(ROW(E6358:E$2)*(E6359=E6358:E$2)))))</f>
        <v> </v>
      </c>
      <c r="J6359" s="26" t="str">
        <f>IF(OR(E6359="",E6359="!!!",F6359="NEW"),"",COUNTBLANK(OFFSET(A$1,,,SUMPRODUCT(MAX(ROW(E$2:E6359)*(E6359=E$2:E6359)))))-COUNTBLANK(OFFSET(A$1,,,SUMPRODUCT(MAX(ROW(E$1:E6358)*(E2=E$1:E6358))))))</f>
        <v> </v>
      </c>
      <c r="K6359" s="26" t="str">
        <f>IF(OR(E6359="",E6359="!!!",F6359="NEW"),"",INDEX(J$1:J6358,SUMPRODUCT(MAX(ROW(E$1:E6358)*(E6359=E$1:E6358)))))</f>
        <v> </v>
      </c>
      <c r="L6359" s="27"/>
    </row>
    <row r="6360" spans="1:12">
      <c r="A6360" s="20" t="s">
        <v>1023</v>
      </c>
      <c r="E6360" s="22">
        <f>IF(D6360="?OLD","!!!","")</f>
        <v/>
      </c>
      <c r="F6360" s="23" t="str">
        <f>IF(OR(E6360="",E6360="!!!"),"",IF(NOT(ISNA(VLOOKUP(E6360,E$1:E6359,1,FALSE()))),"OLD",IF(AND(E6360&lt;&gt;"",E6360&lt;&gt;"!!!"),"NEW","")))</f>
        <v> </v>
      </c>
      <c r="G6360" s="24" t="str">
        <f>IF(OR(E6360="",E6360="!!!"),"",IF(OR(J6360=0,AND(J6360=1,K6360=1),AND(J6360=1,I6360="SBJ"),AND(J6360=1,I6360=0)),"?IN_FOCUS",IF(J6360&lt;=2,"?ACTIVATED",IF(J6360&lt;&gt;"","?FAMILIAR",IF(F6360="NEW",IF(ISNA(VLOOKUP(E6360,#REF!,1,FALSE())),"?TYPE_IDENTIFIABLE","?REFERENTIAL"),"_")))))</f>
        <v> </v>
      </c>
      <c r="H6360" s="25" t="str">
        <f>IF(J6360&lt;&gt;1,"",IF(I6360="SBJ","CB","?"))</f>
        <v> </v>
      </c>
      <c r="I6360" s="26" t="str">
        <f>IF(OR(E6360="",E6360="!!!",F6360="NEW"),"",INDEX(B6359:B$2,-1+SUMPRODUCT(MAX(ROW(E6359:E$2)*(E6360=E6359:E$2)))))</f>
        <v> </v>
      </c>
      <c r="J6360" s="26" t="str">
        <f>IF(OR(E6360="",E6360="!!!",F6360="NEW"),"",COUNTBLANK(OFFSET(A$1,,,SUMPRODUCT(MAX(ROW(E$2:E6360)*(E6360=E$2:E6360)))))-COUNTBLANK(OFFSET(A$1,,,SUMPRODUCT(MAX(ROW(E$1:E6359)*(E2=E$1:E6359))))))</f>
        <v> </v>
      </c>
      <c r="K6360" s="26" t="str">
        <f>IF(OR(E6360="",E6360="!!!",F6360="NEW"),"",INDEX(J$1:J6359,SUMPRODUCT(MAX(ROW(E$1:E6359)*(E6360=E$1:E6359)))))</f>
        <v> </v>
      </c>
      <c r="L6360" s="27"/>
    </row>
    <row r="6361" spans="1:12">
      <c r="A6361" s="20"/>
    </row>
    <row r="6362" spans="1:12">
      <c r="A6362" s="20" t="s">
        <v>2664</v>
      </c>
    </row>
    <row r="6363" spans="1:12">
      <c r="A6363" s="20" t="s">
        <v>1118</v>
      </c>
      <c r="B6363" s="21" t="s">
        <v>1050</v>
      </c>
      <c r="C6363" s="21" t="s">
        <v>1048</v>
      </c>
      <c r="E6363" s="22">
        <f>IF(D6363="?OLD","!!!","")</f>
        <v/>
      </c>
      <c r="F6363" s="23" t="str">
        <f>IF(OR(E6363="",E6363="!!!"),"",IF(NOT(ISNA(VLOOKUP(E6363,E$1:E6362,1,FALSE()))),"OLD",IF(AND(E6363&lt;&gt;"",E6363&lt;&gt;"!!!"),"NEW","")))</f>
        <v> </v>
      </c>
      <c r="G6363" s="24" t="str">
        <f>IF(OR(E6363="",E6363="!!!"),"",IF(OR(J6363=0,AND(J6363=1,K6363=1),AND(J6363=1,I6363="SBJ"),AND(J6363=1,I6363=0)),"?IN_FOCUS",IF(J6363&lt;=2,"?ACTIVATED",IF(J6363&lt;&gt;"","?FAMILIAR",IF(F6363="NEW",IF(ISNA(VLOOKUP(E6363,#REF!,1,FALSE())),"?TYPE_IDENTIFIABLE","?REFERENTIAL"),"_")))))</f>
        <v> </v>
      </c>
      <c r="H6363" s="25" t="str">
        <f>IF(J6363&lt;&gt;1,"",IF(I6363="SBJ","CB","?"))</f>
        <v> </v>
      </c>
      <c r="I6363" s="26" t="str">
        <f>IF(OR(E6363="",E6363="!!!",F6363="NEW"),"",INDEX(B6362:B$2,-1+SUMPRODUCT(MAX(ROW(E6362:E$2)*(E6363=E6362:E$2)))))</f>
        <v> </v>
      </c>
      <c r="J6363" s="26" t="str">
        <f>IF(OR(E6363="",E6363="!!!",F6363="NEW"),"",COUNTBLANK(OFFSET(A$1,,,SUMPRODUCT(MAX(ROW(E$2:E6363)*(E6363=E$2:E6363)))))-COUNTBLANK(OFFSET(A$1,,,SUMPRODUCT(MAX(ROW(E$1:E6362)*(E2=E$1:E6362))))))</f>
        <v> </v>
      </c>
      <c r="K6363" s="26" t="str">
        <f>IF(OR(E6363="",E6363="!!!",F6363="NEW"),"",INDEX(J$1:J6362,SUMPRODUCT(MAX(ROW(E$1:E6362)*(E6363=E$1:E6362)))))</f>
        <v> </v>
      </c>
      <c r="L6363" s="27"/>
    </row>
    <row r="6364" spans="1:12">
      <c r="A6364" s="20" t="s">
        <v>1009</v>
      </c>
      <c r="E6364" s="22">
        <f>IF(D6364="?OLD","!!!","")</f>
        <v/>
      </c>
      <c r="F6364" s="23" t="str">
        <f>IF(OR(E6364="",E6364="!!!"),"",IF(NOT(ISNA(VLOOKUP(E6364,E$1:E6363,1,FALSE()))),"OLD",IF(AND(E6364&lt;&gt;"",E6364&lt;&gt;"!!!"),"NEW","")))</f>
        <v> </v>
      </c>
      <c r="G6364" s="24" t="str">
        <f>IF(OR(E6364="",E6364="!!!"),"",IF(OR(J6364=0,AND(J6364=1,K6364=1),AND(J6364=1,I6364="SBJ"),AND(J6364=1,I6364=0)),"?IN_FOCUS",IF(J6364&lt;=2,"?ACTIVATED",IF(J6364&lt;&gt;"","?FAMILIAR",IF(F6364="NEW",IF(ISNA(VLOOKUP(E6364,#REF!,1,FALSE())),"?TYPE_IDENTIFIABLE","?REFERENTIAL"),"_")))))</f>
        <v> </v>
      </c>
      <c r="H6364" s="25" t="str">
        <f>IF(J6364&lt;&gt;1,"",IF(I6364="SBJ","CB","?"))</f>
        <v> </v>
      </c>
      <c r="I6364" s="26" t="str">
        <f>IF(OR(E6364="",E6364="!!!",F6364="NEW"),"",INDEX(B6363:B$2,-1+SUMPRODUCT(MAX(ROW(E6363:E$2)*(E6364=E6363:E$2)))))</f>
        <v> </v>
      </c>
      <c r="J6364" s="26" t="str">
        <f>IF(OR(E6364="",E6364="!!!",F6364="NEW"),"",COUNTBLANK(OFFSET(A$1,,,SUMPRODUCT(MAX(ROW(E$2:E6364)*(E6364=E$2:E6364)))))-COUNTBLANK(OFFSET(A$1,,,SUMPRODUCT(MAX(ROW(E$1:E6363)*(E2=E$1:E6363))))))</f>
        <v> </v>
      </c>
      <c r="K6364" s="26" t="str">
        <f>IF(OR(E6364="",E6364="!!!",F6364="NEW"),"",INDEX(J$1:J6363,SUMPRODUCT(MAX(ROW(E$1:E6363)*(E6364=E$1:E6363)))))</f>
        <v> </v>
      </c>
      <c r="L6364" s="27"/>
    </row>
    <row r="6365" spans="1:12">
      <c r="A6365" s="20" t="s">
        <v>2665</v>
      </c>
      <c r="E6365" s="22">
        <f>IF(D6365="?OLD","!!!","")</f>
        <v/>
      </c>
      <c r="F6365" s="23" t="str">
        <f>IF(OR(E6365="",E6365="!!!"),"",IF(NOT(ISNA(VLOOKUP(E6365,E$1:E6364,1,FALSE()))),"OLD",IF(AND(E6365&lt;&gt;"",E6365&lt;&gt;"!!!"),"NEW","")))</f>
        <v> </v>
      </c>
      <c r="G6365" s="24" t="str">
        <f>IF(OR(E6365="",E6365="!!!"),"",IF(OR(J6365=0,AND(J6365=1,K6365=1),AND(J6365=1,I6365="SBJ"),AND(J6365=1,I6365=0)),"?IN_FOCUS",IF(J6365&lt;=2,"?ACTIVATED",IF(J6365&lt;&gt;"","?FAMILIAR",IF(F6365="NEW",IF(ISNA(VLOOKUP(E6365,#REF!,1,FALSE())),"?TYPE_IDENTIFIABLE","?REFERENTIAL"),"_")))))</f>
        <v> </v>
      </c>
      <c r="H6365" s="25" t="str">
        <f>IF(J6365&lt;&gt;1,"",IF(I6365="SBJ","CB","?"))</f>
        <v> </v>
      </c>
      <c r="I6365" s="26" t="str">
        <f>IF(OR(E6365="",E6365="!!!",F6365="NEW"),"",INDEX(B6364:B$2,-1+SUMPRODUCT(MAX(ROW(E6364:E$2)*(E6365=E6364:E$2)))))</f>
        <v> </v>
      </c>
      <c r="J6365" s="26" t="str">
        <f>IF(OR(E6365="",E6365="!!!",F6365="NEW"),"",COUNTBLANK(OFFSET(A$1,,,SUMPRODUCT(MAX(ROW(E$2:E6365)*(E6365=E$2:E6365)))))-COUNTBLANK(OFFSET(A$1,,,SUMPRODUCT(MAX(ROW(E$1:E6364)*(E2=E$1:E6364))))))</f>
        <v> </v>
      </c>
      <c r="K6365" s="26" t="str">
        <f>IF(OR(E6365="",E6365="!!!",F6365="NEW"),"",INDEX(J$1:J6364,SUMPRODUCT(MAX(ROW(E$1:E6364)*(E6365=E$1:E6364)))))</f>
        <v> </v>
      </c>
      <c r="L6365" s="27"/>
    </row>
    <row r="6366" spans="1:12">
      <c r="A6366" s="20" t="s">
        <v>1056</v>
      </c>
      <c r="E6366" s="22">
        <f>IF(D6366="?OLD","!!!","")</f>
        <v/>
      </c>
      <c r="F6366" s="23" t="str">
        <f>IF(OR(E6366="",E6366="!!!"),"",IF(NOT(ISNA(VLOOKUP(E6366,E$1:E6365,1,FALSE()))),"OLD",IF(AND(E6366&lt;&gt;"",E6366&lt;&gt;"!!!"),"NEW","")))</f>
        <v> </v>
      </c>
      <c r="G6366" s="24" t="str">
        <f>IF(OR(E6366="",E6366="!!!"),"",IF(OR(J6366=0,AND(J6366=1,K6366=1),AND(J6366=1,I6366="SBJ"),AND(J6366=1,I6366=0)),"?IN_FOCUS",IF(J6366&lt;=2,"?ACTIVATED",IF(J6366&lt;&gt;"","?FAMILIAR",IF(F6366="NEW",IF(ISNA(VLOOKUP(E6366,#REF!,1,FALSE())),"?TYPE_IDENTIFIABLE","?REFERENTIAL"),"_")))))</f>
        <v> </v>
      </c>
      <c r="H6366" s="25" t="str">
        <f>IF(J6366&lt;&gt;1,"",IF(I6366="SBJ","CB","?"))</f>
        <v> </v>
      </c>
      <c r="I6366" s="26" t="str">
        <f>IF(OR(E6366="",E6366="!!!",F6366="NEW"),"",INDEX(B6365:B$2,-1+SUMPRODUCT(MAX(ROW(E6365:E$2)*(E6366=E6365:E$2)))))</f>
        <v> </v>
      </c>
      <c r="J6366" s="26" t="str">
        <f>IF(OR(E6366="",E6366="!!!",F6366="NEW"),"",COUNTBLANK(OFFSET(A$1,,,SUMPRODUCT(MAX(ROW(E$2:E6366)*(E6366=E$2:E6366)))))-COUNTBLANK(OFFSET(A$1,,,SUMPRODUCT(MAX(ROW(E$1:E6365)*(E2=E$1:E6365))))))</f>
        <v> </v>
      </c>
      <c r="K6366" s="26" t="str">
        <f>IF(OR(E6366="",E6366="!!!",F6366="NEW"),"",INDEX(J$1:J6365,SUMPRODUCT(MAX(ROW(E$1:E6365)*(E6366=E$1:E6365)))))</f>
        <v> </v>
      </c>
      <c r="L6366" s="27"/>
    </row>
    <row r="6367" spans="1:12">
      <c r="A6367" s="20" t="s">
        <v>774</v>
      </c>
      <c r="B6367" s="21" t="s">
        <v>1005</v>
      </c>
      <c r="C6367" s="21" t="s">
        <v>1111</v>
      </c>
      <c r="E6367" s="22">
        <f>IF(D6367="?OLD","!!!","")</f>
        <v/>
      </c>
      <c r="F6367" s="23" t="str">
        <f>IF(OR(E6367="",E6367="!!!"),"",IF(NOT(ISNA(VLOOKUP(E6367,E$1:E6366,1,FALSE()))),"OLD",IF(AND(E6367&lt;&gt;"",E6367&lt;&gt;"!!!"),"NEW","")))</f>
        <v> </v>
      </c>
      <c r="G6367" s="24" t="str">
        <f>IF(OR(E6367="",E6367="!!!"),"",IF(OR(J6367=0,AND(J6367=1,K6367=1),AND(J6367=1,I6367="SBJ"),AND(J6367=1,I6367=0)),"?IN_FOCUS",IF(J6367&lt;=2,"?ACTIVATED",IF(J6367&lt;&gt;"","?FAMILIAR",IF(F6367="NEW",IF(ISNA(VLOOKUP(E6367,#REF!,1,FALSE())),"?TYPE_IDENTIFIABLE","?REFERENTIAL"),"_")))))</f>
        <v> </v>
      </c>
      <c r="H6367" s="25" t="str">
        <f>IF(J6367&lt;&gt;1,"",IF(I6367="SBJ","CB","?"))</f>
        <v> </v>
      </c>
      <c r="I6367" s="26" t="str">
        <f>IF(OR(E6367="",E6367="!!!",F6367="NEW"),"",INDEX(B6366:B$2,-1+SUMPRODUCT(MAX(ROW(E6366:E$2)*(E6367=E6366:E$2)))))</f>
        <v> </v>
      </c>
      <c r="J6367" s="26" t="str">
        <f>IF(OR(E6367="",E6367="!!!",F6367="NEW"),"",COUNTBLANK(OFFSET(A$1,,,SUMPRODUCT(MAX(ROW(E$2:E6367)*(E6367=E$2:E6367)))))-COUNTBLANK(OFFSET(A$1,,,SUMPRODUCT(MAX(ROW(E$1:E6366)*(E2=E$1:E6366))))))</f>
        <v> </v>
      </c>
      <c r="K6367" s="26" t="str">
        <f>IF(OR(E6367="",E6367="!!!",F6367="NEW"),"",INDEX(J$1:J6366,SUMPRODUCT(MAX(ROW(E$1:E6366)*(E6367=E$1:E6366)))))</f>
        <v> </v>
      </c>
      <c r="L6367" s="27"/>
    </row>
    <row r="6368" spans="1:12">
      <c r="A6368" s="20" t="s">
        <v>2666</v>
      </c>
      <c r="E6368" s="22">
        <f>IF(D6368="?OLD","!!!","")</f>
        <v/>
      </c>
      <c r="F6368" s="23" t="str">
        <f>IF(OR(E6368="",E6368="!!!"),"",IF(NOT(ISNA(VLOOKUP(E6368,E$1:E6367,1,FALSE()))),"OLD",IF(AND(E6368&lt;&gt;"",E6368&lt;&gt;"!!!"),"NEW","")))</f>
        <v> </v>
      </c>
      <c r="G6368" s="24" t="str">
        <f>IF(OR(E6368="",E6368="!!!"),"",IF(OR(J6368=0,AND(J6368=1,K6368=1),AND(J6368=1,I6368="SBJ"),AND(J6368=1,I6368=0)),"?IN_FOCUS",IF(J6368&lt;=2,"?ACTIVATED",IF(J6368&lt;&gt;"","?FAMILIAR",IF(F6368="NEW",IF(ISNA(VLOOKUP(E6368,#REF!,1,FALSE())),"?TYPE_IDENTIFIABLE","?REFERENTIAL"),"_")))))</f>
        <v> </v>
      </c>
      <c r="H6368" s="25" t="str">
        <f>IF(J6368&lt;&gt;1,"",IF(I6368="SBJ","CB","?"))</f>
        <v> </v>
      </c>
      <c r="I6368" s="26" t="str">
        <f>IF(OR(E6368="",E6368="!!!",F6368="NEW"),"",INDEX(B6367:B$2,-1+SUMPRODUCT(MAX(ROW(E6367:E$2)*(E6368=E6367:E$2)))))</f>
        <v> </v>
      </c>
      <c r="J6368" s="26" t="str">
        <f>IF(OR(E6368="",E6368="!!!",F6368="NEW"),"",COUNTBLANK(OFFSET(A$1,,,SUMPRODUCT(MAX(ROW(E$2:E6368)*(E6368=E$2:E6368)))))-COUNTBLANK(OFFSET(A$1,,,SUMPRODUCT(MAX(ROW(E$1:E6367)*(E2=E$1:E6367))))))</f>
        <v> </v>
      </c>
      <c r="K6368" s="26" t="str">
        <f>IF(OR(E6368="",E6368="!!!",F6368="NEW"),"",INDEX(J$1:J6367,SUMPRODUCT(MAX(ROW(E$1:E6367)*(E6368=E$1:E6367)))))</f>
        <v> </v>
      </c>
      <c r="L6368" s="27"/>
    </row>
    <row r="6369" spans="1:12">
      <c r="A6369" s="20" t="s">
        <v>2667</v>
      </c>
      <c r="B6369" s="21" t="s">
        <v>1029</v>
      </c>
      <c r="C6369" s="21" t="s">
        <v>1082</v>
      </c>
      <c r="D6369" s="21" t="s">
        <v>1007</v>
      </c>
      <c r="E6369" s="22">
        <f>IF(D6369="?OLD","!!!","")</f>
        <v/>
      </c>
      <c r="F6369" s="23" t="str">
        <f>IF(OR(E6369="",E6369="!!!"),"",IF(NOT(ISNA(VLOOKUP(E6369,E$1:E6368,1,FALSE()))),"OLD",IF(AND(E6369&lt;&gt;"",E6369&lt;&gt;"!!!"),"NEW","")))</f>
        <v> </v>
      </c>
      <c r="G6369" s="24" t="str">
        <f>IF(OR(E6369="",E6369="!!!"),"",IF(OR(J6369=0,AND(J6369=1,K6369=1),AND(J6369=1,I6369="SBJ"),AND(J6369=1,I6369=0)),"?IN_FOCUS",IF(J6369&lt;=2,"?ACTIVATED",IF(J6369&lt;&gt;"","?FAMILIAR",IF(F6369="NEW",IF(ISNA(VLOOKUP(E6369,#REF!,1,FALSE())),"?TYPE_IDENTIFIABLE","?REFERENTIAL"),"_")))))</f>
        <v> </v>
      </c>
      <c r="H6369" s="25" t="str">
        <f>IF(J6369&lt;&gt;1,"",IF(I6369="SBJ","CB","?"))</f>
        <v> </v>
      </c>
      <c r="I6369" s="26" t="str">
        <f>IF(OR(E6369="",E6369="!!!",F6369="NEW"),"",INDEX(B6368:B$2,-1+SUMPRODUCT(MAX(ROW(E6368:E$2)*(E6369=E6368:E$2)))))</f>
        <v> </v>
      </c>
      <c r="J6369" s="26" t="str">
        <f>IF(OR(E6369="",E6369="!!!",F6369="NEW"),"",COUNTBLANK(OFFSET(A$1,,,SUMPRODUCT(MAX(ROW(E$2:E6369)*(E6369=E$2:E6369)))))-COUNTBLANK(OFFSET(A$1,,,SUMPRODUCT(MAX(ROW(E$1:E6368)*(E2=E$1:E6368))))))</f>
        <v> </v>
      </c>
      <c r="K6369" s="26" t="str">
        <f>IF(OR(E6369="",E6369="!!!",F6369="NEW"),"",INDEX(J$1:J6368,SUMPRODUCT(MAX(ROW(E$1:E6368)*(E6369=E$1:E6368)))))</f>
        <v> </v>
      </c>
      <c r="L6369" s="27"/>
    </row>
    <row r="6370" spans="1:12">
      <c r="A6370" s="20" t="s">
        <v>1018</v>
      </c>
      <c r="E6370" s="22">
        <f>IF(D6370="?OLD","!!!","")</f>
        <v/>
      </c>
      <c r="F6370" s="23" t="str">
        <f>IF(OR(E6370="",E6370="!!!"),"",IF(NOT(ISNA(VLOOKUP(E6370,E$1:E6369,1,FALSE()))),"OLD",IF(AND(E6370&lt;&gt;"",E6370&lt;&gt;"!!!"),"NEW","")))</f>
        <v> </v>
      </c>
      <c r="G6370" s="24" t="str">
        <f>IF(OR(E6370="",E6370="!!!"),"",IF(OR(J6370=0,AND(J6370=1,K6370=1),AND(J6370=1,I6370="SBJ"),AND(J6370=1,I6370=0)),"?IN_FOCUS",IF(J6370&lt;=2,"?ACTIVATED",IF(J6370&lt;&gt;"","?FAMILIAR",IF(F6370="NEW",IF(ISNA(VLOOKUP(E6370,#REF!,1,FALSE())),"?TYPE_IDENTIFIABLE","?REFERENTIAL"),"_")))))</f>
        <v> </v>
      </c>
      <c r="H6370" s="25" t="str">
        <f>IF(J6370&lt;&gt;1,"",IF(I6370="SBJ","CB","?"))</f>
        <v> </v>
      </c>
      <c r="I6370" s="26" t="str">
        <f>IF(OR(E6370="",E6370="!!!",F6370="NEW"),"",INDEX(B6369:B$2,-1+SUMPRODUCT(MAX(ROW(E6369:E$2)*(E6370=E6369:E$2)))))</f>
        <v> </v>
      </c>
      <c r="J6370" s="26" t="str">
        <f>IF(OR(E6370="",E6370="!!!",F6370="NEW"),"",COUNTBLANK(OFFSET(A$1,,,SUMPRODUCT(MAX(ROW(E$2:E6370)*(E6370=E$2:E6370)))))-COUNTBLANK(OFFSET(A$1,,,SUMPRODUCT(MAX(ROW(E$1:E6369)*(E2=E$1:E6369))))))</f>
        <v> </v>
      </c>
      <c r="K6370" s="26" t="str">
        <f>IF(OR(E6370="",E6370="!!!",F6370="NEW"),"",INDEX(J$1:J6369,SUMPRODUCT(MAX(ROW(E$1:E6369)*(E6370=E$1:E6369)))))</f>
        <v> </v>
      </c>
      <c r="L6370" s="27"/>
    </row>
    <row r="6371" spans="1:12">
      <c r="A6371" s="20" t="s">
        <v>56</v>
      </c>
      <c r="E6371" s="22">
        <f>IF(D6371="?OLD","!!!","")</f>
        <v/>
      </c>
      <c r="F6371" s="23" t="str">
        <f>IF(OR(E6371="",E6371="!!!"),"",IF(NOT(ISNA(VLOOKUP(E6371,E$1:E6370,1,FALSE()))),"OLD",IF(AND(E6371&lt;&gt;"",E6371&lt;&gt;"!!!"),"NEW","")))</f>
        <v> </v>
      </c>
      <c r="G6371" s="24" t="str">
        <f>IF(OR(E6371="",E6371="!!!"),"",IF(OR(J6371=0,AND(J6371=1,K6371=1),AND(J6371=1,I6371="SBJ"),AND(J6371=1,I6371=0)),"?IN_FOCUS",IF(J6371&lt;=2,"?ACTIVATED",IF(J6371&lt;&gt;"","?FAMILIAR",IF(F6371="NEW",IF(ISNA(VLOOKUP(E6371,#REF!,1,FALSE())),"?TYPE_IDENTIFIABLE","?REFERENTIAL"),"_")))))</f>
        <v> </v>
      </c>
      <c r="H6371" s="25" t="str">
        <f>IF(J6371&lt;&gt;1,"",IF(I6371="SBJ","CB","?"))</f>
        <v> </v>
      </c>
      <c r="I6371" s="26" t="str">
        <f>IF(OR(E6371="",E6371="!!!",F6371="NEW"),"",INDEX(B6370:B$2,-1+SUMPRODUCT(MAX(ROW(E6370:E$2)*(E6371=E6370:E$2)))))</f>
        <v> </v>
      </c>
      <c r="J6371" s="26" t="str">
        <f>IF(OR(E6371="",E6371="!!!",F6371="NEW"),"",COUNTBLANK(OFFSET(A$1,,,SUMPRODUCT(MAX(ROW(E$2:E6371)*(E6371=E$2:E6371)))))-COUNTBLANK(OFFSET(A$1,,,SUMPRODUCT(MAX(ROW(E$1:E6370)*(E2=E$1:E6370))))))</f>
        <v> </v>
      </c>
      <c r="K6371" s="26" t="str">
        <f>IF(OR(E6371="",E6371="!!!",F6371="NEW"),"",INDEX(J$1:J6370,SUMPRODUCT(MAX(ROW(E$1:E6370)*(E6371=E$1:E6370)))))</f>
        <v> </v>
      </c>
      <c r="L6371" s="27"/>
    </row>
    <row r="6372" spans="1:12">
      <c r="A6372" s="20" t="s">
        <v>1176</v>
      </c>
      <c r="E6372" s="22">
        <f>IF(D6372="?OLD","!!!","")</f>
        <v/>
      </c>
      <c r="F6372" s="23" t="str">
        <f>IF(OR(E6372="",E6372="!!!"),"",IF(NOT(ISNA(VLOOKUP(E6372,E$1:E6371,1,FALSE()))),"OLD",IF(AND(E6372&lt;&gt;"",E6372&lt;&gt;"!!!"),"NEW","")))</f>
        <v> </v>
      </c>
      <c r="G6372" s="24" t="str">
        <f>IF(OR(E6372="",E6372="!!!"),"",IF(OR(J6372=0,AND(J6372=1,K6372=1),AND(J6372=1,I6372="SBJ"),AND(J6372=1,I6372=0)),"?IN_FOCUS",IF(J6372&lt;=2,"?ACTIVATED",IF(J6372&lt;&gt;"","?FAMILIAR",IF(F6372="NEW",IF(ISNA(VLOOKUP(E6372,#REF!,1,FALSE())),"?TYPE_IDENTIFIABLE","?REFERENTIAL"),"_")))))</f>
        <v> </v>
      </c>
      <c r="H6372" s="25" t="str">
        <f>IF(J6372&lt;&gt;1,"",IF(I6372="SBJ","CB","?"))</f>
        <v> </v>
      </c>
      <c r="I6372" s="26" t="str">
        <f>IF(OR(E6372="",E6372="!!!",F6372="NEW"),"",INDEX(B6371:B$2,-1+SUMPRODUCT(MAX(ROW(E6371:E$2)*(E6372=E6371:E$2)))))</f>
        <v> </v>
      </c>
      <c r="J6372" s="26" t="str">
        <f>IF(OR(E6372="",E6372="!!!",F6372="NEW"),"",COUNTBLANK(OFFSET(A$1,,,SUMPRODUCT(MAX(ROW(E$2:E6372)*(E6372=E$2:E6372)))))-COUNTBLANK(OFFSET(A$1,,,SUMPRODUCT(MAX(ROW(E$1:E6371)*(E2=E$1:E6371))))))</f>
        <v> </v>
      </c>
      <c r="K6372" s="26" t="str">
        <f>IF(OR(E6372="",E6372="!!!",F6372="NEW"),"",INDEX(J$1:J6371,SUMPRODUCT(MAX(ROW(E$1:E6371)*(E6372=E$1:E6371)))))</f>
        <v> </v>
      </c>
      <c r="L6372" s="27"/>
    </row>
    <row r="6373" spans="1:12">
      <c r="A6373" s="20" t="s">
        <v>1065</v>
      </c>
      <c r="E6373" s="22">
        <f>IF(D6373="?OLD","!!!","")</f>
        <v/>
      </c>
      <c r="F6373" s="23" t="str">
        <f>IF(OR(E6373="",E6373="!!!"),"",IF(NOT(ISNA(VLOOKUP(E6373,E$1:E6372,1,FALSE()))),"OLD",IF(AND(E6373&lt;&gt;"",E6373&lt;&gt;"!!!"),"NEW","")))</f>
        <v> </v>
      </c>
      <c r="G6373" s="24" t="str">
        <f>IF(OR(E6373="",E6373="!!!"),"",IF(OR(J6373=0,AND(J6373=1,K6373=1),AND(J6373=1,I6373="SBJ"),AND(J6373=1,I6373=0)),"?IN_FOCUS",IF(J6373&lt;=2,"?ACTIVATED",IF(J6373&lt;&gt;"","?FAMILIAR",IF(F6373="NEW",IF(ISNA(VLOOKUP(E6373,#REF!,1,FALSE())),"?TYPE_IDENTIFIABLE","?REFERENTIAL"),"_")))))</f>
        <v> </v>
      </c>
      <c r="H6373" s="25" t="str">
        <f>IF(J6373&lt;&gt;1,"",IF(I6373="SBJ","CB","?"))</f>
        <v> </v>
      </c>
      <c r="I6373" s="26" t="str">
        <f>IF(OR(E6373="",E6373="!!!",F6373="NEW"),"",INDEX(B6372:B$2,-1+SUMPRODUCT(MAX(ROW(E6372:E$2)*(E6373=E6372:E$2)))))</f>
        <v> </v>
      </c>
      <c r="J6373" s="26" t="str">
        <f>IF(OR(E6373="",E6373="!!!",F6373="NEW"),"",COUNTBLANK(OFFSET(A$1,,,SUMPRODUCT(MAX(ROW(E$2:E6373)*(E6373=E$2:E6373)))))-COUNTBLANK(OFFSET(A$1,,,SUMPRODUCT(MAX(ROW(E$1:E6372)*(E2=E$1:E6372))))))</f>
        <v> </v>
      </c>
      <c r="K6373" s="26" t="str">
        <f>IF(OR(E6373="",E6373="!!!",F6373="NEW"),"",INDEX(J$1:J6372,SUMPRODUCT(MAX(ROW(E$1:E6372)*(E6373=E$1:E6372)))))</f>
        <v> </v>
      </c>
      <c r="L6373" s="27"/>
    </row>
    <row r="6374" spans="1:12">
      <c r="A6374" s="20" t="s">
        <v>1020</v>
      </c>
      <c r="E6374" s="22">
        <f>IF(D6374="?OLD","!!!","")</f>
        <v/>
      </c>
      <c r="F6374" s="23" t="str">
        <f>IF(OR(E6374="",E6374="!!!"),"",IF(NOT(ISNA(VLOOKUP(E6374,E$1:E6373,1,FALSE()))),"OLD",IF(AND(E6374&lt;&gt;"",E6374&lt;&gt;"!!!"),"NEW","")))</f>
        <v> </v>
      </c>
      <c r="G6374" s="24" t="str">
        <f>IF(OR(E6374="",E6374="!!!"),"",IF(OR(J6374=0,AND(J6374=1,K6374=1),AND(J6374=1,I6374="SBJ"),AND(J6374=1,I6374=0)),"?IN_FOCUS",IF(J6374&lt;=2,"?ACTIVATED",IF(J6374&lt;&gt;"","?FAMILIAR",IF(F6374="NEW",IF(ISNA(VLOOKUP(E6374,#REF!,1,FALSE())),"?TYPE_IDENTIFIABLE","?REFERENTIAL"),"_")))))</f>
        <v> </v>
      </c>
      <c r="H6374" s="25" t="str">
        <f>IF(J6374&lt;&gt;1,"",IF(I6374="SBJ","CB","?"))</f>
        <v> </v>
      </c>
      <c r="I6374" s="26" t="str">
        <f>IF(OR(E6374="",E6374="!!!",F6374="NEW"),"",INDEX(B6373:B$2,-1+SUMPRODUCT(MAX(ROW(E6373:E$2)*(E6374=E6373:E$2)))))</f>
        <v> </v>
      </c>
      <c r="J6374" s="26" t="str">
        <f>IF(OR(E6374="",E6374="!!!",F6374="NEW"),"",COUNTBLANK(OFFSET(A$1,,,SUMPRODUCT(MAX(ROW(E$2:E6374)*(E6374=E$2:E6374)))))-COUNTBLANK(OFFSET(A$1,,,SUMPRODUCT(MAX(ROW(E$1:E6373)*(E2=E$1:E6373))))))</f>
        <v> </v>
      </c>
      <c r="K6374" s="26" t="str">
        <f>IF(OR(E6374="",E6374="!!!",F6374="NEW"),"",INDEX(J$1:J6373,SUMPRODUCT(MAX(ROW(E$1:E6373)*(E6374=E$1:E6373)))))</f>
        <v> </v>
      </c>
      <c r="L6374" s="27"/>
    </row>
    <row r="6375" spans="1:12">
      <c r="A6375" s="20" t="s">
        <v>1129</v>
      </c>
      <c r="B6375" s="21" t="s">
        <v>1130</v>
      </c>
      <c r="C6375" s="21" t="s">
        <v>1059</v>
      </c>
      <c r="D6375" s="21" t="s">
        <v>1007</v>
      </c>
      <c r="E6375" s="22">
        <f>IF(D6375="?OLD","!!!","")</f>
        <v/>
      </c>
      <c r="F6375" s="23" t="str">
        <f>IF(OR(E6375="",E6375="!!!"),"",IF(NOT(ISNA(VLOOKUP(E6375,E$1:E6374,1,FALSE()))),"OLD",IF(AND(E6375&lt;&gt;"",E6375&lt;&gt;"!!!"),"NEW","")))</f>
        <v> </v>
      </c>
      <c r="G6375" s="24" t="str">
        <f>IF(OR(E6375="",E6375="!!!"),"",IF(OR(J6375=0,AND(J6375=1,K6375=1),AND(J6375=1,I6375="SBJ"),AND(J6375=1,I6375=0)),"?IN_FOCUS",IF(J6375&lt;=2,"?ACTIVATED",IF(J6375&lt;&gt;"","?FAMILIAR",IF(F6375="NEW",IF(ISNA(VLOOKUP(E6375,#REF!,1,FALSE())),"?TYPE_IDENTIFIABLE","?REFERENTIAL"),"_")))))</f>
        <v> </v>
      </c>
      <c r="H6375" s="25" t="str">
        <f>IF(J6375&lt;&gt;1,"",IF(I6375="SBJ","CB","?"))</f>
        <v> </v>
      </c>
      <c r="I6375" s="26" t="str">
        <f>IF(OR(E6375="",E6375="!!!",F6375="NEW"),"",INDEX(B6374:B$2,-1+SUMPRODUCT(MAX(ROW(E6374:E$2)*(E6375=E6374:E$2)))))</f>
        <v> </v>
      </c>
      <c r="J6375" s="26" t="str">
        <f>IF(OR(E6375="",E6375="!!!",F6375="NEW"),"",COUNTBLANK(OFFSET(A$1,,,SUMPRODUCT(MAX(ROW(E$2:E6375)*(E6375=E$2:E6375)))))-COUNTBLANK(OFFSET(A$1,,,SUMPRODUCT(MAX(ROW(E$1:E6374)*(E2=E$1:E6374))))))</f>
        <v> </v>
      </c>
      <c r="K6375" s="26" t="str">
        <f>IF(OR(E6375="",E6375="!!!",F6375="NEW"),"",INDEX(J$1:J6374,SUMPRODUCT(MAX(ROW(E$1:E6374)*(E6375=E$1:E6374)))))</f>
        <v> </v>
      </c>
      <c r="L6375" s="27"/>
    </row>
    <row r="6376" spans="1:12">
      <c r="A6376" s="20" t="s">
        <v>2668</v>
      </c>
      <c r="B6376" s="21" t="s">
        <v>1120</v>
      </c>
      <c r="C6376" s="21" t="s">
        <v>1017</v>
      </c>
      <c r="D6376" s="21" t="s">
        <v>1007</v>
      </c>
      <c r="E6376" s="22">
        <f>IF(D6376="?OLD","!!!","")</f>
        <v/>
      </c>
      <c r="F6376" s="23" t="str">
        <f>IF(OR(E6376="",E6376="!!!"),"",IF(NOT(ISNA(VLOOKUP(E6376,E$1:E6375,1,FALSE()))),"OLD",IF(AND(E6376&lt;&gt;"",E6376&lt;&gt;"!!!"),"NEW","")))</f>
        <v> </v>
      </c>
      <c r="G6376" s="24" t="str">
        <f>IF(OR(E6376="",E6376="!!!"),"",IF(OR(J6376=0,AND(J6376=1,K6376=1),AND(J6376=1,I6376="SBJ"),AND(J6376=1,I6376=0)),"?IN_FOCUS",IF(J6376&lt;=2,"?ACTIVATED",IF(J6376&lt;&gt;"","?FAMILIAR",IF(F6376="NEW",IF(ISNA(VLOOKUP(E6376,#REF!,1,FALSE())),"?TYPE_IDENTIFIABLE","?REFERENTIAL"),"_")))))</f>
        <v> </v>
      </c>
      <c r="H6376" s="25" t="str">
        <f>IF(J6376&lt;&gt;1,"",IF(I6376="SBJ","CB","?"))</f>
        <v> </v>
      </c>
      <c r="I6376" s="26" t="str">
        <f>IF(OR(E6376="",E6376="!!!",F6376="NEW"),"",INDEX(B6375:B$2,-1+SUMPRODUCT(MAX(ROW(E6375:E$2)*(E6376=E6375:E$2)))))</f>
        <v> </v>
      </c>
      <c r="J6376" s="26" t="str">
        <f>IF(OR(E6376="",E6376="!!!",F6376="NEW"),"",COUNTBLANK(OFFSET(A$1,,,SUMPRODUCT(MAX(ROW(E$2:E6376)*(E6376=E$2:E6376)))))-COUNTBLANK(OFFSET(A$1,,,SUMPRODUCT(MAX(ROW(E$1:E6375)*(E2=E$1:E6375))))))</f>
        <v> </v>
      </c>
      <c r="K6376" s="26" t="str">
        <f>IF(OR(E6376="",E6376="!!!",F6376="NEW"),"",INDEX(J$1:J6375,SUMPRODUCT(MAX(ROW(E$1:E6375)*(E6376=E$1:E6375)))))</f>
        <v> </v>
      </c>
      <c r="L6376" s="27"/>
    </row>
    <row r="6377" spans="1:12">
      <c r="A6377" s="20" t="s">
        <v>1070</v>
      </c>
      <c r="E6377" s="22">
        <f>IF(D6377="?OLD","!!!","")</f>
        <v/>
      </c>
      <c r="F6377" s="23" t="str">
        <f>IF(OR(E6377="",E6377="!!!"),"",IF(NOT(ISNA(VLOOKUP(E6377,E$1:E6376,1,FALSE()))),"OLD",IF(AND(E6377&lt;&gt;"",E6377&lt;&gt;"!!!"),"NEW","")))</f>
        <v> </v>
      </c>
      <c r="G6377" s="24" t="str">
        <f>IF(OR(E6377="",E6377="!!!"),"",IF(OR(J6377=0,AND(J6377=1,K6377=1),AND(J6377=1,I6377="SBJ"),AND(J6377=1,I6377=0)),"?IN_FOCUS",IF(J6377&lt;=2,"?ACTIVATED",IF(J6377&lt;&gt;"","?FAMILIAR",IF(F6377="NEW",IF(ISNA(VLOOKUP(E6377,#REF!,1,FALSE())),"?TYPE_IDENTIFIABLE","?REFERENTIAL"),"_")))))</f>
        <v> </v>
      </c>
      <c r="H6377" s="25" t="str">
        <f>IF(J6377&lt;&gt;1,"",IF(I6377="SBJ","CB","?"))</f>
        <v> </v>
      </c>
      <c r="I6377" s="26" t="str">
        <f>IF(OR(E6377="",E6377="!!!",F6377="NEW"),"",INDEX(B6376:B$2,-1+SUMPRODUCT(MAX(ROW(E6376:E$2)*(E6377=E6376:E$2)))))</f>
        <v> </v>
      </c>
      <c r="J6377" s="26" t="str">
        <f>IF(OR(E6377="",E6377="!!!",F6377="NEW"),"",COUNTBLANK(OFFSET(A$1,,,SUMPRODUCT(MAX(ROW(E$2:E6377)*(E6377=E$2:E6377)))))-COUNTBLANK(OFFSET(A$1,,,SUMPRODUCT(MAX(ROW(E$1:E6376)*(E2=E$1:E6376))))))</f>
        <v> </v>
      </c>
      <c r="K6377" s="26" t="str">
        <f>IF(OR(E6377="",E6377="!!!",F6377="NEW"),"",INDEX(J$1:J6376,SUMPRODUCT(MAX(ROW(E$1:E6376)*(E6377=E$1:E6376)))))</f>
        <v> </v>
      </c>
      <c r="L6377" s="27"/>
    </row>
    <row r="6378" spans="1:12">
      <c r="A6378" s="20" t="s">
        <v>1596</v>
      </c>
      <c r="E6378" s="22">
        <f>IF(D6378="?OLD","!!!","")</f>
        <v/>
      </c>
      <c r="F6378" s="23" t="str">
        <f>IF(OR(E6378="",E6378="!!!"),"",IF(NOT(ISNA(VLOOKUP(E6378,E$1:E6377,1,FALSE()))),"OLD",IF(AND(E6378&lt;&gt;"",E6378&lt;&gt;"!!!"),"NEW","")))</f>
        <v> </v>
      </c>
      <c r="G6378" s="24" t="str">
        <f>IF(OR(E6378="",E6378="!!!"),"",IF(OR(J6378=0,AND(J6378=1,K6378=1),AND(J6378=1,I6378="SBJ"),AND(J6378=1,I6378=0)),"?IN_FOCUS",IF(J6378&lt;=2,"?ACTIVATED",IF(J6378&lt;&gt;"","?FAMILIAR",IF(F6378="NEW",IF(ISNA(VLOOKUP(E6378,#REF!,1,FALSE())),"?TYPE_IDENTIFIABLE","?REFERENTIAL"),"_")))))</f>
        <v> </v>
      </c>
      <c r="H6378" s="25" t="str">
        <f>IF(J6378&lt;&gt;1,"",IF(I6378="SBJ","CB","?"))</f>
        <v> </v>
      </c>
      <c r="I6378" s="26" t="str">
        <f>IF(OR(E6378="",E6378="!!!",F6378="NEW"),"",INDEX(B6377:B$2,-1+SUMPRODUCT(MAX(ROW(E6377:E$2)*(E6378=E6377:E$2)))))</f>
        <v> </v>
      </c>
      <c r="J6378" s="26" t="str">
        <f>IF(OR(E6378="",E6378="!!!",F6378="NEW"),"",COUNTBLANK(OFFSET(A$1,,,SUMPRODUCT(MAX(ROW(E$2:E6378)*(E6378=E$2:E6378)))))-COUNTBLANK(OFFSET(A$1,,,SUMPRODUCT(MAX(ROW(E$1:E6377)*(E2=E$1:E6377))))))</f>
        <v> </v>
      </c>
      <c r="K6378" s="26" t="str">
        <f>IF(OR(E6378="",E6378="!!!",F6378="NEW"),"",INDEX(J$1:J6377,SUMPRODUCT(MAX(ROW(E$1:E6377)*(E6378=E$1:E6377)))))</f>
        <v> </v>
      </c>
      <c r="L6378" s="27"/>
    </row>
    <row r="6379" spans="1:12">
      <c r="A6379" s="20" t="s">
        <v>1926</v>
      </c>
      <c r="E6379" s="22">
        <f>IF(D6379="?OLD","!!!","")</f>
        <v/>
      </c>
      <c r="F6379" s="23" t="str">
        <f>IF(OR(E6379="",E6379="!!!"),"",IF(NOT(ISNA(VLOOKUP(E6379,E$1:E6378,1,FALSE()))),"OLD",IF(AND(E6379&lt;&gt;"",E6379&lt;&gt;"!!!"),"NEW","")))</f>
        <v> </v>
      </c>
      <c r="G6379" s="24" t="str">
        <f>IF(OR(E6379="",E6379="!!!"),"",IF(OR(J6379=0,AND(J6379=1,K6379=1),AND(J6379=1,I6379="SBJ"),AND(J6379=1,I6379=0)),"?IN_FOCUS",IF(J6379&lt;=2,"?ACTIVATED",IF(J6379&lt;&gt;"","?FAMILIAR",IF(F6379="NEW",IF(ISNA(VLOOKUP(E6379,#REF!,1,FALSE())),"?TYPE_IDENTIFIABLE","?REFERENTIAL"),"_")))))</f>
        <v> </v>
      </c>
      <c r="H6379" s="25" t="str">
        <f>IF(J6379&lt;&gt;1,"",IF(I6379="SBJ","CB","?"))</f>
        <v> </v>
      </c>
      <c r="I6379" s="26" t="str">
        <f>IF(OR(E6379="",E6379="!!!",F6379="NEW"),"",INDEX(B6378:B$2,-1+SUMPRODUCT(MAX(ROW(E6378:E$2)*(E6379=E6378:E$2)))))</f>
        <v> </v>
      </c>
      <c r="J6379" s="26" t="str">
        <f>IF(OR(E6379="",E6379="!!!",F6379="NEW"),"",COUNTBLANK(OFFSET(A$1,,,SUMPRODUCT(MAX(ROW(E$2:E6379)*(E6379=E$2:E6379)))))-COUNTBLANK(OFFSET(A$1,,,SUMPRODUCT(MAX(ROW(E$1:E6378)*(E2=E$1:E6378))))))</f>
        <v> </v>
      </c>
      <c r="K6379" s="26" t="str">
        <f>IF(OR(E6379="",E6379="!!!",F6379="NEW"),"",INDEX(J$1:J6378,SUMPRODUCT(MAX(ROW(E$1:E6378)*(E6379=E$1:E6378)))))</f>
        <v> </v>
      </c>
      <c r="L6379" s="27"/>
    </row>
    <row r="6380" spans="1:12">
      <c r="A6380" s="20" t="s">
        <v>1132</v>
      </c>
      <c r="E6380" s="22">
        <f>IF(D6380="?OLD","!!!","")</f>
        <v/>
      </c>
      <c r="F6380" s="23" t="str">
        <f>IF(OR(E6380="",E6380="!!!"),"",IF(NOT(ISNA(VLOOKUP(E6380,E$1:E6379,1,FALSE()))),"OLD",IF(AND(E6380&lt;&gt;"",E6380&lt;&gt;"!!!"),"NEW","")))</f>
        <v> </v>
      </c>
      <c r="G6380" s="24" t="str">
        <f>IF(OR(E6380="",E6380="!!!"),"",IF(OR(J6380=0,AND(J6380=1,K6380=1),AND(J6380=1,I6380="SBJ"),AND(J6380=1,I6380=0)),"?IN_FOCUS",IF(J6380&lt;=2,"?ACTIVATED",IF(J6380&lt;&gt;"","?FAMILIAR",IF(F6380="NEW",IF(ISNA(VLOOKUP(E6380,#REF!,1,FALSE())),"?TYPE_IDENTIFIABLE","?REFERENTIAL"),"_")))))</f>
        <v> </v>
      </c>
      <c r="H6380" s="25" t="str">
        <f>IF(J6380&lt;&gt;1,"",IF(I6380="SBJ","CB","?"))</f>
        <v> </v>
      </c>
      <c r="I6380" s="26" t="str">
        <f>IF(OR(E6380="",E6380="!!!",F6380="NEW"),"",INDEX(B6379:B$2,-1+SUMPRODUCT(MAX(ROW(E6379:E$2)*(E6380=E6379:E$2)))))</f>
        <v> </v>
      </c>
      <c r="J6380" s="26" t="str">
        <f>IF(OR(E6380="",E6380="!!!",F6380="NEW"),"",COUNTBLANK(OFFSET(A$1,,,SUMPRODUCT(MAX(ROW(E$2:E6380)*(E6380=E$2:E6380)))))-COUNTBLANK(OFFSET(A$1,,,SUMPRODUCT(MAX(ROW(E$1:E6379)*(E2=E$1:E6379))))))</f>
        <v> </v>
      </c>
      <c r="K6380" s="26" t="str">
        <f>IF(OR(E6380="",E6380="!!!",F6380="NEW"),"",INDEX(J$1:J6379,SUMPRODUCT(MAX(ROW(E$1:E6379)*(E6380=E$1:E6379)))))</f>
        <v> </v>
      </c>
      <c r="L6380" s="27"/>
    </row>
    <row r="6381" spans="1:12">
      <c r="A6381" s="20" t="s">
        <v>1020</v>
      </c>
      <c r="B6381" s="21" t="s">
        <v>1033</v>
      </c>
      <c r="C6381" s="21" t="s">
        <v>1073</v>
      </c>
      <c r="D6381" s="21" t="s">
        <v>1007</v>
      </c>
      <c r="E6381" s="22">
        <f>IF(D6381="?OLD","!!!","")</f>
        <v/>
      </c>
      <c r="F6381" s="23" t="str">
        <f>IF(OR(E6381="",E6381="!!!"),"",IF(NOT(ISNA(VLOOKUP(E6381,E$1:E6380,1,FALSE()))),"OLD",IF(AND(E6381&lt;&gt;"",E6381&lt;&gt;"!!!"),"NEW","")))</f>
        <v> </v>
      </c>
      <c r="G6381" s="24" t="str">
        <f>IF(OR(E6381="",E6381="!!!"),"",IF(OR(J6381=0,AND(J6381=1,K6381=1),AND(J6381=1,I6381="SBJ"),AND(J6381=1,I6381=0)),"?IN_FOCUS",IF(J6381&lt;=2,"?ACTIVATED",IF(J6381&lt;&gt;"","?FAMILIAR",IF(F6381="NEW",IF(ISNA(VLOOKUP(E6381,#REF!,1,FALSE())),"?TYPE_IDENTIFIABLE","?REFERENTIAL"),"_")))))</f>
        <v> </v>
      </c>
      <c r="H6381" s="25" t="str">
        <f>IF(J6381&lt;&gt;1,"",IF(I6381="SBJ","CB","?"))</f>
        <v> </v>
      </c>
      <c r="I6381" s="26" t="str">
        <f>IF(OR(E6381="",E6381="!!!",F6381="NEW"),"",INDEX(B6380:B$2,-1+SUMPRODUCT(MAX(ROW(E6380:E$2)*(E6381=E6380:E$2)))))</f>
        <v> </v>
      </c>
      <c r="J6381" s="26" t="str">
        <f>IF(OR(E6381="",E6381="!!!",F6381="NEW"),"",COUNTBLANK(OFFSET(A$1,,,SUMPRODUCT(MAX(ROW(E$2:E6381)*(E6381=E$2:E6381)))))-COUNTBLANK(OFFSET(A$1,,,SUMPRODUCT(MAX(ROW(E$1:E6380)*(E2=E$1:E6380))))))</f>
        <v> </v>
      </c>
      <c r="K6381" s="26" t="str">
        <f>IF(OR(E6381="",E6381="!!!",F6381="NEW"),"",INDEX(J$1:J6380,SUMPRODUCT(MAX(ROW(E$1:E6380)*(E6381=E$1:E6380)))))</f>
        <v> </v>
      </c>
      <c r="L6381" s="27"/>
    </row>
    <row r="6382" spans="1:12">
      <c r="A6382" s="20" t="s">
        <v>1065</v>
      </c>
      <c r="B6382" s="21" t="s">
        <v>1134</v>
      </c>
      <c r="E6382" s="22">
        <f>IF(D6382="?OLD","!!!","")</f>
        <v/>
      </c>
      <c r="F6382" s="23" t="str">
        <f>IF(OR(E6382="",E6382="!!!"),"",IF(NOT(ISNA(VLOOKUP(E6382,E$1:E6381,1,FALSE()))),"OLD",IF(AND(E6382&lt;&gt;"",E6382&lt;&gt;"!!!"),"NEW","")))</f>
        <v> </v>
      </c>
      <c r="G6382" s="24" t="str">
        <f>IF(OR(E6382="",E6382="!!!"),"",IF(OR(J6382=0,AND(J6382=1,K6382=1),AND(J6382=1,I6382="SBJ"),AND(J6382=1,I6382=0)),"?IN_FOCUS",IF(J6382&lt;=2,"?ACTIVATED",IF(J6382&lt;&gt;"","?FAMILIAR",IF(F6382="NEW",IF(ISNA(VLOOKUP(E6382,#REF!,1,FALSE())),"?TYPE_IDENTIFIABLE","?REFERENTIAL"),"_")))))</f>
        <v> </v>
      </c>
      <c r="H6382" s="25" t="str">
        <f>IF(J6382&lt;&gt;1,"",IF(I6382="SBJ","CB","?"))</f>
        <v> </v>
      </c>
      <c r="I6382" s="26" t="str">
        <f>IF(OR(E6382="",E6382="!!!",F6382="NEW"),"",INDEX(B6381:B$2,-1+SUMPRODUCT(MAX(ROW(E6381:E$2)*(E6382=E6381:E$2)))))</f>
        <v> </v>
      </c>
      <c r="J6382" s="26" t="str">
        <f>IF(OR(E6382="",E6382="!!!",F6382="NEW"),"",COUNTBLANK(OFFSET(A$1,,,SUMPRODUCT(MAX(ROW(E$2:E6382)*(E6382=E$2:E6382)))))-COUNTBLANK(OFFSET(A$1,,,SUMPRODUCT(MAX(ROW(E$1:E6381)*(E2=E$1:E6381))))))</f>
        <v> </v>
      </c>
      <c r="K6382" s="26" t="str">
        <f>IF(OR(E6382="",E6382="!!!",F6382="NEW"),"",INDEX(J$1:J6381,SUMPRODUCT(MAX(ROW(E$1:E6381)*(E6382=E$1:E6381)))))</f>
        <v> </v>
      </c>
      <c r="L6382" s="27"/>
    </row>
    <row r="6383" spans="1:12">
      <c r="A6383" s="20" t="s">
        <v>1138</v>
      </c>
      <c r="B6383" s="21" t="s">
        <v>1263</v>
      </c>
      <c r="C6383" s="21" t="s">
        <v>1082</v>
      </c>
      <c r="D6383" s="21" t="s">
        <v>1007</v>
      </c>
      <c r="E6383" s="22">
        <f>IF(D6383="?OLD","!!!","")</f>
        <v/>
      </c>
      <c r="F6383" s="23" t="str">
        <f>IF(OR(E6383="",E6383="!!!"),"",IF(NOT(ISNA(VLOOKUP(E6383,E$1:E6382,1,FALSE()))),"OLD",IF(AND(E6383&lt;&gt;"",E6383&lt;&gt;"!!!"),"NEW","")))</f>
        <v> </v>
      </c>
      <c r="G6383" s="24" t="str">
        <f>IF(OR(E6383="",E6383="!!!"),"",IF(OR(J6383=0,AND(J6383=1,K6383=1),AND(J6383=1,I6383="SBJ"),AND(J6383=1,I6383=0)),"?IN_FOCUS",IF(J6383&lt;=2,"?ACTIVATED",IF(J6383&lt;&gt;"","?FAMILIAR",IF(F6383="NEW",IF(ISNA(VLOOKUP(E6383,#REF!,1,FALSE())),"?TYPE_IDENTIFIABLE","?REFERENTIAL"),"_")))))</f>
        <v> </v>
      </c>
      <c r="H6383" s="25" t="str">
        <f>IF(J6383&lt;&gt;1,"",IF(I6383="SBJ","CB","?"))</f>
        <v> </v>
      </c>
      <c r="I6383" s="26" t="str">
        <f>IF(OR(E6383="",E6383="!!!",F6383="NEW"),"",INDEX(B6382:B$2,-1+SUMPRODUCT(MAX(ROW(E6382:E$2)*(E6383=E6382:E$2)))))</f>
        <v> </v>
      </c>
      <c r="J6383" s="26" t="str">
        <f>IF(OR(E6383="",E6383="!!!",F6383="NEW"),"",COUNTBLANK(OFFSET(A$1,,,SUMPRODUCT(MAX(ROW(E$2:E6383)*(E6383=E$2:E6383)))))-COUNTBLANK(OFFSET(A$1,,,SUMPRODUCT(MAX(ROW(E$1:E6382)*(E2=E$1:E6382))))))</f>
        <v> </v>
      </c>
      <c r="K6383" s="26" t="str">
        <f>IF(OR(E6383="",E6383="!!!",F6383="NEW"),"",INDEX(J$1:J6382,SUMPRODUCT(MAX(ROW(E$1:E6382)*(E6383=E$1:E6382)))))</f>
        <v> </v>
      </c>
      <c r="L6383" s="27"/>
    </row>
    <row r="6384" spans="1:12">
      <c r="A6384" s="20" t="s">
        <v>2295</v>
      </c>
      <c r="E6384" s="22">
        <f>IF(D6384="?OLD","!!!","")</f>
        <v/>
      </c>
      <c r="F6384" s="23" t="str">
        <f>IF(OR(E6384="",E6384="!!!"),"",IF(NOT(ISNA(VLOOKUP(E6384,E$1:E6383,1,FALSE()))),"OLD",IF(AND(E6384&lt;&gt;"",E6384&lt;&gt;"!!!"),"NEW","")))</f>
        <v> </v>
      </c>
      <c r="G6384" s="24" t="str">
        <f>IF(OR(E6384="",E6384="!!!"),"",IF(OR(J6384=0,AND(J6384=1,K6384=1),AND(J6384=1,I6384="SBJ"),AND(J6384=1,I6384=0)),"?IN_FOCUS",IF(J6384&lt;=2,"?ACTIVATED",IF(J6384&lt;&gt;"","?FAMILIAR",IF(F6384="NEW",IF(ISNA(VLOOKUP(E6384,#REF!,1,FALSE())),"?TYPE_IDENTIFIABLE","?REFERENTIAL"),"_")))))</f>
        <v> </v>
      </c>
      <c r="H6384" s="25" t="str">
        <f>IF(J6384&lt;&gt;1,"",IF(I6384="SBJ","CB","?"))</f>
        <v> </v>
      </c>
      <c r="I6384" s="26" t="str">
        <f>IF(OR(E6384="",E6384="!!!",F6384="NEW"),"",INDEX(B6383:B$2,-1+SUMPRODUCT(MAX(ROW(E6383:E$2)*(E6384=E6383:E$2)))))</f>
        <v> </v>
      </c>
      <c r="J6384" s="26" t="str">
        <f>IF(OR(E6384="",E6384="!!!",F6384="NEW"),"",COUNTBLANK(OFFSET(A$1,,,SUMPRODUCT(MAX(ROW(E$2:E6384)*(E6384=E$2:E6384)))))-COUNTBLANK(OFFSET(A$1,,,SUMPRODUCT(MAX(ROW(E$1:E6383)*(E2=E$1:E6383))))))</f>
        <v> </v>
      </c>
      <c r="K6384" s="26" t="str">
        <f>IF(OR(E6384="",E6384="!!!",F6384="NEW"),"",INDEX(J$1:J6383,SUMPRODUCT(MAX(ROW(E$1:E6383)*(E6384=E$1:E6383)))))</f>
        <v> </v>
      </c>
      <c r="L6384" s="27"/>
    </row>
    <row r="6385" spans="1:12">
      <c r="A6385" s="20" t="s">
        <v>1014</v>
      </c>
      <c r="E6385" s="22">
        <f>IF(D6385="?OLD","!!!","")</f>
        <v/>
      </c>
      <c r="F6385" s="23" t="str">
        <f>IF(OR(E6385="",E6385="!!!"),"",IF(NOT(ISNA(VLOOKUP(E6385,E$1:E6384,1,FALSE()))),"OLD",IF(AND(E6385&lt;&gt;"",E6385&lt;&gt;"!!!"),"NEW","")))</f>
        <v> </v>
      </c>
      <c r="G6385" s="24" t="str">
        <f>IF(OR(E6385="",E6385="!!!"),"",IF(OR(J6385=0,AND(J6385=1,K6385=1),AND(J6385=1,I6385="SBJ"),AND(J6385=1,I6385=0)),"?IN_FOCUS",IF(J6385&lt;=2,"?ACTIVATED",IF(J6385&lt;&gt;"","?FAMILIAR",IF(F6385="NEW",IF(ISNA(VLOOKUP(E6385,#REF!,1,FALSE())),"?TYPE_IDENTIFIABLE","?REFERENTIAL"),"_")))))</f>
        <v> </v>
      </c>
      <c r="H6385" s="25" t="str">
        <f>IF(J6385&lt;&gt;1,"",IF(I6385="SBJ","CB","?"))</f>
        <v> </v>
      </c>
      <c r="I6385" s="26" t="str">
        <f>IF(OR(E6385="",E6385="!!!",F6385="NEW"),"",INDEX(B6384:B$2,-1+SUMPRODUCT(MAX(ROW(E6384:E$2)*(E6385=E6384:E$2)))))</f>
        <v> </v>
      </c>
      <c r="J6385" s="26" t="str">
        <f>IF(OR(E6385="",E6385="!!!",F6385="NEW"),"",COUNTBLANK(OFFSET(A$1,,,SUMPRODUCT(MAX(ROW(E$2:E6385)*(E6385=E$2:E6385)))))-COUNTBLANK(OFFSET(A$1,,,SUMPRODUCT(MAX(ROW(E$1:E6384)*(E2=E$1:E6384))))))</f>
        <v> </v>
      </c>
      <c r="K6385" s="26" t="str">
        <f>IF(OR(E6385="",E6385="!!!",F6385="NEW"),"",INDEX(J$1:J6384,SUMPRODUCT(MAX(ROW(E$1:E6384)*(E6385=E$1:E6384)))))</f>
        <v> </v>
      </c>
      <c r="L6385" s="27"/>
    </row>
    <row r="6386" spans="1:12">
      <c r="A6386" s="20" t="s">
        <v>1357</v>
      </c>
      <c r="E6386" s="22">
        <f>IF(D6386="?OLD","!!!","")</f>
        <v/>
      </c>
      <c r="F6386" s="23" t="str">
        <f>IF(OR(E6386="",E6386="!!!"),"",IF(NOT(ISNA(VLOOKUP(E6386,E$1:E6385,1,FALSE()))),"OLD",IF(AND(E6386&lt;&gt;"",E6386&lt;&gt;"!!!"),"NEW","")))</f>
        <v> </v>
      </c>
      <c r="G6386" s="24" t="str">
        <f>IF(OR(E6386="",E6386="!!!"),"",IF(OR(J6386=0,AND(J6386=1,K6386=1),AND(J6386=1,I6386="SBJ"),AND(J6386=1,I6386=0)),"?IN_FOCUS",IF(J6386&lt;=2,"?ACTIVATED",IF(J6386&lt;&gt;"","?FAMILIAR",IF(F6386="NEW",IF(ISNA(VLOOKUP(E6386,#REF!,1,FALSE())),"?TYPE_IDENTIFIABLE","?REFERENTIAL"),"_")))))</f>
        <v> </v>
      </c>
      <c r="H6386" s="25" t="str">
        <f>IF(J6386&lt;&gt;1,"",IF(I6386="SBJ","CB","?"))</f>
        <v> </v>
      </c>
      <c r="I6386" s="26" t="str">
        <f>IF(OR(E6386="",E6386="!!!",F6386="NEW"),"",INDEX(B6385:B$2,-1+SUMPRODUCT(MAX(ROW(E6385:E$2)*(E6386=E6385:E$2)))))</f>
        <v> </v>
      </c>
      <c r="J6386" s="26" t="str">
        <f>IF(OR(E6386="",E6386="!!!",F6386="NEW"),"",COUNTBLANK(OFFSET(A$1,,,SUMPRODUCT(MAX(ROW(E$2:E6386)*(E6386=E$2:E6386)))))-COUNTBLANK(OFFSET(A$1,,,SUMPRODUCT(MAX(ROW(E$1:E6385)*(E2=E$1:E6385))))))</f>
        <v> </v>
      </c>
      <c r="K6386" s="26" t="str">
        <f>IF(OR(E6386="",E6386="!!!",F6386="NEW"),"",INDEX(J$1:J6385,SUMPRODUCT(MAX(ROW(E$1:E6385)*(E6386=E$1:E6385)))))</f>
        <v> </v>
      </c>
      <c r="L6386" s="27"/>
    </row>
    <row r="6387" spans="1:12">
      <c r="A6387" s="20" t="s">
        <v>2669</v>
      </c>
      <c r="B6387" s="21" t="s">
        <v>1134</v>
      </c>
      <c r="C6387" s="21" t="s">
        <v>1082</v>
      </c>
      <c r="D6387" s="21" t="s">
        <v>1007</v>
      </c>
      <c r="E6387" s="22">
        <f>IF(D6387="?OLD","!!!","")</f>
        <v/>
      </c>
      <c r="F6387" s="23" t="str">
        <f>IF(OR(E6387="",E6387="!!!"),"",IF(NOT(ISNA(VLOOKUP(E6387,E$1:E6386,1,FALSE()))),"OLD",IF(AND(E6387&lt;&gt;"",E6387&lt;&gt;"!!!"),"NEW","")))</f>
        <v> </v>
      </c>
      <c r="G6387" s="24" t="str">
        <f>IF(OR(E6387="",E6387="!!!"),"",IF(OR(J6387=0,AND(J6387=1,K6387=1),AND(J6387=1,I6387="SBJ"),AND(J6387=1,I6387=0)),"?IN_FOCUS",IF(J6387&lt;=2,"?ACTIVATED",IF(J6387&lt;&gt;"","?FAMILIAR",IF(F6387="NEW",IF(ISNA(VLOOKUP(E6387,#REF!,1,FALSE())),"?TYPE_IDENTIFIABLE","?REFERENTIAL"),"_")))))</f>
        <v> </v>
      </c>
      <c r="H6387" s="25" t="str">
        <f>IF(J6387&lt;&gt;1,"",IF(I6387="SBJ","CB","?"))</f>
        <v> </v>
      </c>
      <c r="I6387" s="26" t="str">
        <f>IF(OR(E6387="",E6387="!!!",F6387="NEW"),"",INDEX(B6386:B$2,-1+SUMPRODUCT(MAX(ROW(E6386:E$2)*(E6387=E6386:E$2)))))</f>
        <v> </v>
      </c>
      <c r="J6387" s="26" t="str">
        <f>IF(OR(E6387="",E6387="!!!",F6387="NEW"),"",COUNTBLANK(OFFSET(A$1,,,SUMPRODUCT(MAX(ROW(E$2:E6387)*(E6387=E$2:E6387)))))-COUNTBLANK(OFFSET(A$1,,,SUMPRODUCT(MAX(ROW(E$1:E6386)*(E2=E$1:E6386))))))</f>
        <v> </v>
      </c>
      <c r="K6387" s="26" t="str">
        <f>IF(OR(E6387="",E6387="!!!",F6387="NEW"),"",INDEX(J$1:J6386,SUMPRODUCT(MAX(ROW(E$1:E6386)*(E6387=E$1:E6386)))))</f>
        <v> </v>
      </c>
      <c r="L6387" s="27"/>
    </row>
    <row r="6388" spans="1:12">
      <c r="A6388" s="20" t="s">
        <v>1023</v>
      </c>
      <c r="E6388" s="22">
        <f>IF(D6388="?OLD","!!!","")</f>
        <v/>
      </c>
      <c r="F6388" s="23" t="str">
        <f>IF(OR(E6388="",E6388="!!!"),"",IF(NOT(ISNA(VLOOKUP(E6388,E$1:E6387,1,FALSE()))),"OLD",IF(AND(E6388&lt;&gt;"",E6388&lt;&gt;"!!!"),"NEW","")))</f>
        <v> </v>
      </c>
      <c r="G6388" s="24" t="str">
        <f>IF(OR(E6388="",E6388="!!!"),"",IF(OR(J6388=0,AND(J6388=1,K6388=1),AND(J6388=1,I6388="SBJ"),AND(J6388=1,I6388=0)),"?IN_FOCUS",IF(J6388&lt;=2,"?ACTIVATED",IF(J6388&lt;&gt;"","?FAMILIAR",IF(F6388="NEW",IF(ISNA(VLOOKUP(E6388,#REF!,1,FALSE())),"?TYPE_IDENTIFIABLE","?REFERENTIAL"),"_")))))</f>
        <v> </v>
      </c>
      <c r="H6388" s="25" t="str">
        <f>IF(J6388&lt;&gt;1,"",IF(I6388="SBJ","CB","?"))</f>
        <v> </v>
      </c>
      <c r="I6388" s="26" t="str">
        <f>IF(OR(E6388="",E6388="!!!",F6388="NEW"),"",INDEX(B6387:B$2,-1+SUMPRODUCT(MAX(ROW(E6387:E$2)*(E6388=E6387:E$2)))))</f>
        <v> </v>
      </c>
      <c r="J6388" s="26" t="str">
        <f>IF(OR(E6388="",E6388="!!!",F6388="NEW"),"",COUNTBLANK(OFFSET(A$1,,,SUMPRODUCT(MAX(ROW(E$2:E6388)*(E6388=E$2:E6388)))))-COUNTBLANK(OFFSET(A$1,,,SUMPRODUCT(MAX(ROW(E$1:E6387)*(E2=E$1:E6387))))))</f>
        <v> </v>
      </c>
      <c r="K6388" s="26" t="str">
        <f>IF(OR(E6388="",E6388="!!!",F6388="NEW"),"",INDEX(J$1:J6387,SUMPRODUCT(MAX(ROW(E$1:E6387)*(E6388=E$1:E6387)))))</f>
        <v> </v>
      </c>
      <c r="L6388" s="27"/>
    </row>
    <row r="6389" spans="1:12">
      <c r="A6389" s="20"/>
    </row>
    <row r="6390" spans="1:12">
      <c r="A6390" s="20" t="s">
        <v>2670</v>
      </c>
    </row>
    <row r="6391" spans="1:12">
      <c r="A6391" s="20" t="s">
        <v>1094</v>
      </c>
      <c r="E6391" s="22">
        <f>IF(D6391="?OLD","!!!","")</f>
        <v/>
      </c>
      <c r="F6391" s="23" t="str">
        <f>IF(OR(E6391="",E6391="!!!"),"",IF(NOT(ISNA(VLOOKUP(E6391,E$1:E6390,1,FALSE()))),"OLD",IF(AND(E6391&lt;&gt;"",E6391&lt;&gt;"!!!"),"NEW","")))</f>
        <v> </v>
      </c>
      <c r="G6391" s="24" t="str">
        <f>IF(OR(E6391="",E6391="!!!"),"",IF(OR(J6391=0,AND(J6391=1,K6391=1),AND(J6391=1,I6391="SBJ"),AND(J6391=1,I6391=0)),"?IN_FOCUS",IF(J6391&lt;=2,"?ACTIVATED",IF(J6391&lt;&gt;"","?FAMILIAR",IF(F6391="NEW",IF(ISNA(VLOOKUP(E6391,#REF!,1,FALSE())),"?TYPE_IDENTIFIABLE","?REFERENTIAL"),"_")))))</f>
        <v> </v>
      </c>
      <c r="H6391" s="25" t="str">
        <f>IF(J6391&lt;&gt;1,"",IF(I6391="SBJ","CB","?"))</f>
        <v> </v>
      </c>
      <c r="I6391" s="26" t="str">
        <f>IF(OR(E6391="",E6391="!!!",F6391="NEW"),"",INDEX(B6390:B$2,-1+SUMPRODUCT(MAX(ROW(E6390:E$2)*(E6391=E6390:E$2)))))</f>
        <v> </v>
      </c>
      <c r="J6391" s="26" t="str">
        <f>IF(OR(E6391="",E6391="!!!",F6391="NEW"),"",COUNTBLANK(OFFSET(A$1,,,SUMPRODUCT(MAX(ROW(E$2:E6391)*(E6391=E$2:E6391)))))-COUNTBLANK(OFFSET(A$1,,,SUMPRODUCT(MAX(ROW(E$1:E6390)*(E2=E$1:E6390))))))</f>
        <v> </v>
      </c>
      <c r="K6391" s="26" t="str">
        <f>IF(OR(E6391="",E6391="!!!",F6391="NEW"),"",INDEX(J$1:J6390,SUMPRODUCT(MAX(ROW(E$1:E6390)*(E6391=E$1:E6390)))))</f>
        <v> </v>
      </c>
      <c r="L6391" s="27"/>
    </row>
    <row r="6392" spans="1:12">
      <c r="A6392" s="20" t="s">
        <v>1009</v>
      </c>
      <c r="E6392" s="22">
        <f>IF(D6392="?OLD","!!!","")</f>
        <v/>
      </c>
      <c r="F6392" s="23" t="str">
        <f>IF(OR(E6392="",E6392="!!!"),"",IF(NOT(ISNA(VLOOKUP(E6392,E$1:E6391,1,FALSE()))),"OLD",IF(AND(E6392&lt;&gt;"",E6392&lt;&gt;"!!!"),"NEW","")))</f>
        <v> </v>
      </c>
      <c r="G6392" s="24" t="str">
        <f>IF(OR(E6392="",E6392="!!!"),"",IF(OR(J6392=0,AND(J6392=1,K6392=1),AND(J6392=1,I6392="SBJ"),AND(J6392=1,I6392=0)),"?IN_FOCUS",IF(J6392&lt;=2,"?ACTIVATED",IF(J6392&lt;&gt;"","?FAMILIAR",IF(F6392="NEW",IF(ISNA(VLOOKUP(E6392,#REF!,1,FALSE())),"?TYPE_IDENTIFIABLE","?REFERENTIAL"),"_")))))</f>
        <v> </v>
      </c>
      <c r="H6392" s="25" t="str">
        <f>IF(J6392&lt;&gt;1,"",IF(I6392="SBJ","CB","?"))</f>
        <v> </v>
      </c>
      <c r="I6392" s="26" t="str">
        <f>IF(OR(E6392="",E6392="!!!",F6392="NEW"),"",INDEX(B6391:B$2,-1+SUMPRODUCT(MAX(ROW(E6391:E$2)*(E6392=E6391:E$2)))))</f>
        <v> </v>
      </c>
      <c r="J6392" s="26" t="str">
        <f>IF(OR(E6392="",E6392="!!!",F6392="NEW"),"",COUNTBLANK(OFFSET(A$1,,,SUMPRODUCT(MAX(ROW(E$2:E6392)*(E6392=E$2:E6392)))))-COUNTBLANK(OFFSET(A$1,,,SUMPRODUCT(MAX(ROW(E$1:E6391)*(E2=E$1:E6391))))))</f>
        <v> </v>
      </c>
      <c r="K6392" s="26" t="str">
        <f>IF(OR(E6392="",E6392="!!!",F6392="NEW"),"",INDEX(J$1:J6391,SUMPRODUCT(MAX(ROW(E$1:E6391)*(E6392=E$1:E6391)))))</f>
        <v> </v>
      </c>
      <c r="L6392" s="27"/>
    </row>
    <row r="6393" spans="1:12">
      <c r="A6393" s="20" t="s">
        <v>1960</v>
      </c>
      <c r="E6393" s="22">
        <f>IF(D6393="?OLD","!!!","")</f>
        <v/>
      </c>
      <c r="F6393" s="23" t="str">
        <f>IF(OR(E6393="",E6393="!!!"),"",IF(NOT(ISNA(VLOOKUP(E6393,E$1:E6392,1,FALSE()))),"OLD",IF(AND(E6393&lt;&gt;"",E6393&lt;&gt;"!!!"),"NEW","")))</f>
        <v> </v>
      </c>
      <c r="G6393" s="24" t="str">
        <f>IF(OR(E6393="",E6393="!!!"),"",IF(OR(J6393=0,AND(J6393=1,K6393=1),AND(J6393=1,I6393="SBJ"),AND(J6393=1,I6393=0)),"?IN_FOCUS",IF(J6393&lt;=2,"?ACTIVATED",IF(J6393&lt;&gt;"","?FAMILIAR",IF(F6393="NEW",IF(ISNA(VLOOKUP(E6393,#REF!,1,FALSE())),"?TYPE_IDENTIFIABLE","?REFERENTIAL"),"_")))))</f>
        <v> </v>
      </c>
      <c r="H6393" s="25" t="str">
        <f>IF(J6393&lt;&gt;1,"",IF(I6393="SBJ","CB","?"))</f>
        <v> </v>
      </c>
      <c r="I6393" s="26" t="str">
        <f>IF(OR(E6393="",E6393="!!!",F6393="NEW"),"",INDEX(B6392:B$2,-1+SUMPRODUCT(MAX(ROW(E6392:E$2)*(E6393=E6392:E$2)))))</f>
        <v> </v>
      </c>
      <c r="J6393" s="26" t="str">
        <f>IF(OR(E6393="",E6393="!!!",F6393="NEW"),"",COUNTBLANK(OFFSET(A$1,,,SUMPRODUCT(MAX(ROW(E$2:E6393)*(E6393=E$2:E6393)))))-COUNTBLANK(OFFSET(A$1,,,SUMPRODUCT(MAX(ROW(E$1:E6392)*(E2=E$1:E6392))))))</f>
        <v> </v>
      </c>
      <c r="K6393" s="26" t="str">
        <f>IF(OR(E6393="",E6393="!!!",F6393="NEW"),"",INDEX(J$1:J6392,SUMPRODUCT(MAX(ROW(E$1:E6392)*(E6393=E$1:E6392)))))</f>
        <v> </v>
      </c>
      <c r="L6393" s="27"/>
    </row>
    <row r="6394" spans="1:12">
      <c r="A6394" s="20" t="s">
        <v>1018</v>
      </c>
      <c r="E6394" s="22">
        <f>IF(D6394="?OLD","!!!","")</f>
        <v/>
      </c>
      <c r="F6394" s="23" t="str">
        <f>IF(OR(E6394="",E6394="!!!"),"",IF(NOT(ISNA(VLOOKUP(E6394,E$1:E6393,1,FALSE()))),"OLD",IF(AND(E6394&lt;&gt;"",E6394&lt;&gt;"!!!"),"NEW","")))</f>
        <v> </v>
      </c>
      <c r="G6394" s="24" t="str">
        <f>IF(OR(E6394="",E6394="!!!"),"",IF(OR(J6394=0,AND(J6394=1,K6394=1),AND(J6394=1,I6394="SBJ"),AND(J6394=1,I6394=0)),"?IN_FOCUS",IF(J6394&lt;=2,"?ACTIVATED",IF(J6394&lt;&gt;"","?FAMILIAR",IF(F6394="NEW",IF(ISNA(VLOOKUP(E6394,#REF!,1,FALSE())),"?TYPE_IDENTIFIABLE","?REFERENTIAL"),"_")))))</f>
        <v> </v>
      </c>
      <c r="H6394" s="25" t="str">
        <f>IF(J6394&lt;&gt;1,"",IF(I6394="SBJ","CB","?"))</f>
        <v> </v>
      </c>
      <c r="I6394" s="26" t="str">
        <f>IF(OR(E6394="",E6394="!!!",F6394="NEW"),"",INDEX(B6393:B$2,-1+SUMPRODUCT(MAX(ROW(E6393:E$2)*(E6394=E6393:E$2)))))</f>
        <v> </v>
      </c>
      <c r="J6394" s="26" t="str">
        <f>IF(OR(E6394="",E6394="!!!",F6394="NEW"),"",COUNTBLANK(OFFSET(A$1,,,SUMPRODUCT(MAX(ROW(E$2:E6394)*(E6394=E$2:E6394)))))-COUNTBLANK(OFFSET(A$1,,,SUMPRODUCT(MAX(ROW(E$1:E6393)*(E2=E$1:E6393))))))</f>
        <v> </v>
      </c>
      <c r="K6394" s="26" t="str">
        <f>IF(OR(E6394="",E6394="!!!",F6394="NEW"),"",INDEX(J$1:J6393,SUMPRODUCT(MAX(ROW(E$1:E6393)*(E6394=E$1:E6393)))))</f>
        <v> </v>
      </c>
      <c r="L6394" s="27"/>
    </row>
    <row r="6395" spans="1:12">
      <c r="A6395" s="20" t="s">
        <v>788</v>
      </c>
      <c r="B6395" s="21" t="s">
        <v>1005</v>
      </c>
      <c r="C6395" s="21" t="s">
        <v>1006</v>
      </c>
      <c r="D6395" s="21" t="s">
        <v>1007</v>
      </c>
      <c r="E6395" s="22">
        <f>IF(D6395="?OLD","!!!","")</f>
        <v/>
      </c>
      <c r="F6395" s="23" t="str">
        <f>IF(OR(E6395="",E6395="!!!"),"",IF(NOT(ISNA(VLOOKUP(E6395,E$1:E6394,1,FALSE()))),"OLD",IF(AND(E6395&lt;&gt;"",E6395&lt;&gt;"!!!"),"NEW","")))</f>
        <v> </v>
      </c>
      <c r="G6395" s="24" t="str">
        <f>IF(OR(E6395="",E6395="!!!"),"",IF(OR(J6395=0,AND(J6395=1,K6395=1),AND(J6395=1,I6395="SBJ"),AND(J6395=1,I6395=0)),"?IN_FOCUS",IF(J6395&lt;=2,"?ACTIVATED",IF(J6395&lt;&gt;"","?FAMILIAR",IF(F6395="NEW",IF(ISNA(VLOOKUP(E6395,#REF!,1,FALSE())),"?TYPE_IDENTIFIABLE","?REFERENTIAL"),"_")))))</f>
        <v> </v>
      </c>
      <c r="H6395" s="25" t="str">
        <f>IF(J6395&lt;&gt;1,"",IF(I6395="SBJ","CB","?"))</f>
        <v> </v>
      </c>
      <c r="I6395" s="26" t="str">
        <f>IF(OR(E6395="",E6395="!!!",F6395="NEW"),"",INDEX(B6394:B$2,-1+SUMPRODUCT(MAX(ROW(E6394:E$2)*(E6395=E6394:E$2)))))</f>
        <v> </v>
      </c>
      <c r="J6395" s="26" t="str">
        <f>IF(OR(E6395="",E6395="!!!",F6395="NEW"),"",COUNTBLANK(OFFSET(A$1,,,SUMPRODUCT(MAX(ROW(E$2:E6395)*(E6395=E$2:E6395)))))-COUNTBLANK(OFFSET(A$1,,,SUMPRODUCT(MAX(ROW(E$1:E6394)*(E2=E$1:E6394))))))</f>
        <v> </v>
      </c>
      <c r="K6395" s="26" t="str">
        <f>IF(OR(E6395="",E6395="!!!",F6395="NEW"),"",INDEX(J$1:J6394,SUMPRODUCT(MAX(ROW(E$1:E6394)*(E6395=E$1:E6394)))))</f>
        <v> </v>
      </c>
      <c r="L6395" s="27"/>
    </row>
    <row r="6396" spans="1:12">
      <c r="A6396" s="20" t="s">
        <v>1023</v>
      </c>
      <c r="E6396" s="22">
        <f>IF(D6396="?OLD","!!!","")</f>
        <v/>
      </c>
      <c r="F6396" s="23" t="str">
        <f>IF(OR(E6396="",E6396="!!!"),"",IF(NOT(ISNA(VLOOKUP(E6396,E$1:E6395,1,FALSE()))),"OLD",IF(AND(E6396&lt;&gt;"",E6396&lt;&gt;"!!!"),"NEW","")))</f>
        <v> </v>
      </c>
      <c r="G6396" s="24" t="str">
        <f>IF(OR(E6396="",E6396="!!!"),"",IF(OR(J6396=0,AND(J6396=1,K6396=1),AND(J6396=1,I6396="SBJ"),AND(J6396=1,I6396=0)),"?IN_FOCUS",IF(J6396&lt;=2,"?ACTIVATED",IF(J6396&lt;&gt;"","?FAMILIAR",IF(F6396="NEW",IF(ISNA(VLOOKUP(E6396,#REF!,1,FALSE())),"?TYPE_IDENTIFIABLE","?REFERENTIAL"),"_")))))</f>
        <v> </v>
      </c>
      <c r="H6396" s="25" t="str">
        <f>IF(J6396&lt;&gt;1,"",IF(I6396="SBJ","CB","?"))</f>
        <v> </v>
      </c>
      <c r="I6396" s="26" t="str">
        <f>IF(OR(E6396="",E6396="!!!",F6396="NEW"),"",INDEX(B6395:B$2,-1+SUMPRODUCT(MAX(ROW(E6395:E$2)*(E6396=E6395:E$2)))))</f>
        <v> </v>
      </c>
      <c r="J6396" s="26" t="str">
        <f>IF(OR(E6396="",E6396="!!!",F6396="NEW"),"",COUNTBLANK(OFFSET(A$1,,,SUMPRODUCT(MAX(ROW(E$2:E6396)*(E6396=E$2:E6396)))))-COUNTBLANK(OFFSET(A$1,,,SUMPRODUCT(MAX(ROW(E$1:E6395)*(E2=E$1:E6395))))))</f>
        <v> </v>
      </c>
      <c r="K6396" s="26" t="str">
        <f>IF(OR(E6396="",E6396="!!!",F6396="NEW"),"",INDEX(J$1:J6395,SUMPRODUCT(MAX(ROW(E$1:E6395)*(E6396=E$1:E6395)))))</f>
        <v> </v>
      </c>
      <c r="L6396" s="27"/>
    </row>
    <row r="6397" spans="1:12">
      <c r="A6397" s="20"/>
    </row>
    <row r="6398" spans="1:12">
      <c r="A6398" s="20" t="s">
        <v>2671</v>
      </c>
    </row>
    <row r="6399" spans="1:12">
      <c r="A6399" s="20" t="s">
        <v>11</v>
      </c>
      <c r="E6399" s="22">
        <f>IF(D6399="?OLD","!!!","")</f>
        <v/>
      </c>
      <c r="F6399" s="23" t="str">
        <f>IF(OR(E6399="",E6399="!!!"),"",IF(NOT(ISNA(VLOOKUP(E6399,E$1:E6398,1,FALSE()))),"OLD",IF(AND(E6399&lt;&gt;"",E6399&lt;&gt;"!!!"),"NEW","")))</f>
        <v> </v>
      </c>
      <c r="G6399" s="24" t="str">
        <f>IF(OR(E6399="",E6399="!!!"),"",IF(OR(J6399=0,AND(J6399=1,K6399=1),AND(J6399=1,I6399="SBJ"),AND(J6399=1,I6399=0)),"?IN_FOCUS",IF(J6399&lt;=2,"?ACTIVATED",IF(J6399&lt;&gt;"","?FAMILIAR",IF(F6399="NEW",IF(ISNA(VLOOKUP(E6399,#REF!,1,FALSE())),"?TYPE_IDENTIFIABLE","?REFERENTIAL"),"_")))))</f>
        <v> </v>
      </c>
      <c r="H6399" s="25" t="str">
        <f>IF(J6399&lt;&gt;1,"",IF(I6399="SBJ","CB","?"))</f>
        <v> </v>
      </c>
      <c r="I6399" s="26" t="str">
        <f>IF(OR(E6399="",E6399="!!!",F6399="NEW"),"",INDEX(B6398:B$2,-1+SUMPRODUCT(MAX(ROW(E6398:E$2)*(E6399=E6398:E$2)))))</f>
        <v> </v>
      </c>
      <c r="J6399" s="26" t="str">
        <f>IF(OR(E6399="",E6399="!!!",F6399="NEW"),"",COUNTBLANK(OFFSET(A$1,,,SUMPRODUCT(MAX(ROW(E$2:E6399)*(E6399=E$2:E6399)))))-COUNTBLANK(OFFSET(A$1,,,SUMPRODUCT(MAX(ROW(E$1:E6398)*(E2=E$1:E6398))))))</f>
        <v> </v>
      </c>
      <c r="K6399" s="26" t="str">
        <f>IF(OR(E6399="",E6399="!!!",F6399="NEW"),"",INDEX(J$1:J6398,SUMPRODUCT(MAX(ROW(E$1:E6398)*(E6399=E$1:E6398)))))</f>
        <v> </v>
      </c>
      <c r="L6399" s="27"/>
    </row>
    <row r="6400" spans="1:12">
      <c r="A6400" s="20" t="s">
        <v>2672</v>
      </c>
      <c r="B6400" s="21" t="s">
        <v>1050</v>
      </c>
      <c r="C6400" s="21" t="s">
        <v>1006</v>
      </c>
      <c r="D6400" s="21" t="s">
        <v>1007</v>
      </c>
      <c r="E6400" s="22">
        <f>IF(D6400="?OLD","!!!","")</f>
        <v/>
      </c>
      <c r="F6400" s="23" t="str">
        <f>IF(OR(E6400="",E6400="!!!"),"",IF(NOT(ISNA(VLOOKUP(E6400,E$1:E6399,1,FALSE()))),"OLD",IF(AND(E6400&lt;&gt;"",E6400&lt;&gt;"!!!"),"NEW","")))</f>
        <v> </v>
      </c>
      <c r="G6400" s="24" t="str">
        <f>IF(OR(E6400="",E6400="!!!"),"",IF(OR(J6400=0,AND(J6400=1,K6400=1),AND(J6400=1,I6400="SBJ"),AND(J6400=1,I6400=0)),"?IN_FOCUS",IF(J6400&lt;=2,"?ACTIVATED",IF(J6400&lt;&gt;"","?FAMILIAR",IF(F6400="NEW",IF(ISNA(VLOOKUP(E6400,#REF!,1,FALSE())),"?TYPE_IDENTIFIABLE","?REFERENTIAL"),"_")))))</f>
        <v> </v>
      </c>
      <c r="H6400" s="25" t="str">
        <f>IF(J6400&lt;&gt;1,"",IF(I6400="SBJ","CB","?"))</f>
        <v> </v>
      </c>
      <c r="I6400" s="26" t="str">
        <f>IF(OR(E6400="",E6400="!!!",F6400="NEW"),"",INDEX(B6399:B$2,-1+SUMPRODUCT(MAX(ROW(E6399:E$2)*(E6400=E6399:E$2)))))</f>
        <v> </v>
      </c>
      <c r="J6400" s="26" t="str">
        <f>IF(OR(E6400="",E6400="!!!",F6400="NEW"),"",COUNTBLANK(OFFSET(A$1,,,SUMPRODUCT(MAX(ROW(E$2:E6400)*(E6400=E$2:E6400)))))-COUNTBLANK(OFFSET(A$1,,,SUMPRODUCT(MAX(ROW(E$1:E6399)*(E2=E$1:E6399))))))</f>
        <v> </v>
      </c>
      <c r="K6400" s="26" t="str">
        <f>IF(OR(E6400="",E6400="!!!",F6400="NEW"),"",INDEX(J$1:J6399,SUMPRODUCT(MAX(ROW(E$1:E6399)*(E6400=E$1:E6399)))))</f>
        <v> </v>
      </c>
      <c r="L6400" s="27"/>
    </row>
    <row r="6401" spans="1:12">
      <c r="A6401" s="20" t="s">
        <v>2673</v>
      </c>
      <c r="B6401" s="21" t="s">
        <v>1022</v>
      </c>
      <c r="C6401" s="21" t="s">
        <v>1006</v>
      </c>
      <c r="D6401" s="21" t="s">
        <v>1007</v>
      </c>
      <c r="E6401" s="22">
        <f>IF(D6401="?OLD","!!!","")</f>
        <v/>
      </c>
      <c r="F6401" s="23" t="str">
        <f>IF(OR(E6401="",E6401="!!!"),"",IF(NOT(ISNA(VLOOKUP(E6401,E$1:E6400,1,FALSE()))),"OLD",IF(AND(E6401&lt;&gt;"",E6401&lt;&gt;"!!!"),"NEW","")))</f>
        <v> </v>
      </c>
      <c r="G6401" s="24" t="str">
        <f>IF(OR(E6401="",E6401="!!!"),"",IF(OR(J6401=0,AND(J6401=1,K6401=1),AND(J6401=1,I6401="SBJ"),AND(J6401=1,I6401=0)),"?IN_FOCUS",IF(J6401&lt;=2,"?ACTIVATED",IF(J6401&lt;&gt;"","?FAMILIAR",IF(F6401="NEW",IF(ISNA(VLOOKUP(E6401,#REF!,1,FALSE())),"?TYPE_IDENTIFIABLE","?REFERENTIAL"),"_")))))</f>
        <v> </v>
      </c>
      <c r="H6401" s="25" t="str">
        <f>IF(J6401&lt;&gt;1,"",IF(I6401="SBJ","CB","?"))</f>
        <v> </v>
      </c>
      <c r="I6401" s="26" t="str">
        <f>IF(OR(E6401="",E6401="!!!",F6401="NEW"),"",INDEX(B6400:B$2,-1+SUMPRODUCT(MAX(ROW(E6400:E$2)*(E6401=E6400:E$2)))))</f>
        <v> </v>
      </c>
      <c r="J6401" s="26" t="str">
        <f>IF(OR(E6401="",E6401="!!!",F6401="NEW"),"",COUNTBLANK(OFFSET(A$1,,,SUMPRODUCT(MAX(ROW(E$2:E6401)*(E6401=E$2:E6401)))))-COUNTBLANK(OFFSET(A$1,,,SUMPRODUCT(MAX(ROW(E$1:E6400)*(E2=E$1:E6400))))))</f>
        <v> </v>
      </c>
      <c r="K6401" s="26" t="str">
        <f>IF(OR(E6401="",E6401="!!!",F6401="NEW"),"",INDEX(J$1:J6400,SUMPRODUCT(MAX(ROW(E$1:E6400)*(E6401=E$1:E6400)))))</f>
        <v> </v>
      </c>
      <c r="L6401" s="27"/>
    </row>
    <row r="6402" spans="1:12">
      <c r="A6402" s="20" t="s">
        <v>2674</v>
      </c>
      <c r="B6402" s="21" t="s">
        <v>1022</v>
      </c>
      <c r="C6402" s="21" t="s">
        <v>1006</v>
      </c>
      <c r="D6402" s="21" t="s">
        <v>1007</v>
      </c>
      <c r="E6402" s="22">
        <f>IF(D6402="?OLD","!!!","")</f>
        <v/>
      </c>
      <c r="F6402" s="23" t="str">
        <f>IF(OR(E6402="",E6402="!!!"),"",IF(NOT(ISNA(VLOOKUP(E6402,E$1:E6401,1,FALSE()))),"OLD",IF(AND(E6402&lt;&gt;"",E6402&lt;&gt;"!!!"),"NEW","")))</f>
        <v> </v>
      </c>
      <c r="G6402" s="24" t="str">
        <f>IF(OR(E6402="",E6402="!!!"),"",IF(OR(J6402=0,AND(J6402=1,K6402=1),AND(J6402=1,I6402="SBJ"),AND(J6402=1,I6402=0)),"?IN_FOCUS",IF(J6402&lt;=2,"?ACTIVATED",IF(J6402&lt;&gt;"","?FAMILIAR",IF(F6402="NEW",IF(ISNA(VLOOKUP(E6402,#REF!,1,FALSE())),"?TYPE_IDENTIFIABLE","?REFERENTIAL"),"_")))))</f>
        <v> </v>
      </c>
      <c r="H6402" s="25" t="str">
        <f>IF(J6402&lt;&gt;1,"",IF(I6402="SBJ","CB","?"))</f>
        <v> </v>
      </c>
      <c r="I6402" s="26" t="str">
        <f>IF(OR(E6402="",E6402="!!!",F6402="NEW"),"",INDEX(B6401:B$2,-1+SUMPRODUCT(MAX(ROW(E6401:E$2)*(E6402=E6401:E$2)))))</f>
        <v> </v>
      </c>
      <c r="J6402" s="26" t="str">
        <f>IF(OR(E6402="",E6402="!!!",F6402="NEW"),"",COUNTBLANK(OFFSET(A$1,,,SUMPRODUCT(MAX(ROW(E$2:E6402)*(E6402=E$2:E6402)))))-COUNTBLANK(OFFSET(A$1,,,SUMPRODUCT(MAX(ROW(E$1:E6401)*(E2=E$1:E6401))))))</f>
        <v> </v>
      </c>
      <c r="K6402" s="26" t="str">
        <f>IF(OR(E6402="",E6402="!!!",F6402="NEW"),"",INDEX(J$1:J6401,SUMPRODUCT(MAX(ROW(E$1:E6401)*(E6402=E$1:E6401)))))</f>
        <v> </v>
      </c>
      <c r="L6402" s="27"/>
    </row>
    <row r="6403" spans="1:12">
      <c r="A6403" s="20" t="s">
        <v>1933</v>
      </c>
      <c r="E6403" s="22">
        <f>IF(D6403="?OLD","!!!","")</f>
        <v/>
      </c>
      <c r="F6403" s="23" t="str">
        <f>IF(OR(E6403="",E6403="!!!"),"",IF(NOT(ISNA(VLOOKUP(E6403,E$1:E6402,1,FALSE()))),"OLD",IF(AND(E6403&lt;&gt;"",E6403&lt;&gt;"!!!"),"NEW","")))</f>
        <v> </v>
      </c>
      <c r="G6403" s="24" t="str">
        <f>IF(OR(E6403="",E6403="!!!"),"",IF(OR(J6403=0,AND(J6403=1,K6403=1),AND(J6403=1,I6403="SBJ"),AND(J6403=1,I6403=0)),"?IN_FOCUS",IF(J6403&lt;=2,"?ACTIVATED",IF(J6403&lt;&gt;"","?FAMILIAR",IF(F6403="NEW",IF(ISNA(VLOOKUP(E6403,#REF!,1,FALSE())),"?TYPE_IDENTIFIABLE","?REFERENTIAL"),"_")))))</f>
        <v> </v>
      </c>
      <c r="H6403" s="25" t="str">
        <f>IF(J6403&lt;&gt;1,"",IF(I6403="SBJ","CB","?"))</f>
        <v> </v>
      </c>
      <c r="I6403" s="26" t="str">
        <f>IF(OR(E6403="",E6403="!!!",F6403="NEW"),"",INDEX(B6402:B$2,-1+SUMPRODUCT(MAX(ROW(E6402:E$2)*(E6403=E6402:E$2)))))</f>
        <v> </v>
      </c>
      <c r="J6403" s="26" t="str">
        <f>IF(OR(E6403="",E6403="!!!",F6403="NEW"),"",COUNTBLANK(OFFSET(A$1,,,SUMPRODUCT(MAX(ROW(E$2:E6403)*(E6403=E$2:E6403)))))-COUNTBLANK(OFFSET(A$1,,,SUMPRODUCT(MAX(ROW(E$1:E6402)*(E2=E$1:E6402))))))</f>
        <v> </v>
      </c>
      <c r="K6403" s="26" t="str">
        <f>IF(OR(E6403="",E6403="!!!",F6403="NEW"),"",INDEX(J$1:J6402,SUMPRODUCT(MAX(ROW(E$1:E6402)*(E6403=E$1:E6402)))))</f>
        <v> </v>
      </c>
      <c r="L6403" s="27"/>
    </row>
    <row r="6404" spans="1:12">
      <c r="A6404" s="20" t="s">
        <v>2267</v>
      </c>
      <c r="E6404" s="22">
        <f>IF(D6404="?OLD","!!!","")</f>
        <v/>
      </c>
      <c r="F6404" s="23" t="str">
        <f>IF(OR(E6404="",E6404="!!!"),"",IF(NOT(ISNA(VLOOKUP(E6404,E$1:E6403,1,FALSE()))),"OLD",IF(AND(E6404&lt;&gt;"",E6404&lt;&gt;"!!!"),"NEW","")))</f>
        <v> </v>
      </c>
      <c r="G6404" s="24" t="str">
        <f>IF(OR(E6404="",E6404="!!!"),"",IF(OR(J6404=0,AND(J6404=1,K6404=1),AND(J6404=1,I6404="SBJ"),AND(J6404=1,I6404=0)),"?IN_FOCUS",IF(J6404&lt;=2,"?ACTIVATED",IF(J6404&lt;&gt;"","?FAMILIAR",IF(F6404="NEW",IF(ISNA(VLOOKUP(E6404,#REF!,1,FALSE())),"?TYPE_IDENTIFIABLE","?REFERENTIAL"),"_")))))</f>
        <v> </v>
      </c>
      <c r="H6404" s="25" t="str">
        <f>IF(J6404&lt;&gt;1,"",IF(I6404="SBJ","CB","?"))</f>
        <v> </v>
      </c>
      <c r="I6404" s="26" t="str">
        <f>IF(OR(E6404="",E6404="!!!",F6404="NEW"),"",INDEX(B6403:B$2,-1+SUMPRODUCT(MAX(ROW(E6403:E$2)*(E6404=E6403:E$2)))))</f>
        <v> </v>
      </c>
      <c r="J6404" s="26" t="str">
        <f>IF(OR(E6404="",E6404="!!!",F6404="NEW"),"",COUNTBLANK(OFFSET(A$1,,,SUMPRODUCT(MAX(ROW(E$2:E6404)*(E6404=E$2:E6404)))))-COUNTBLANK(OFFSET(A$1,,,SUMPRODUCT(MAX(ROW(E$1:E6403)*(E2=E$1:E6403))))))</f>
        <v> </v>
      </c>
      <c r="K6404" s="26" t="str">
        <f>IF(OR(E6404="",E6404="!!!",F6404="NEW"),"",INDEX(J$1:J6403,SUMPRODUCT(MAX(ROW(E$1:E6403)*(E6404=E$1:E6403)))))</f>
        <v> </v>
      </c>
      <c r="L6404" s="27"/>
    </row>
    <row r="6405" spans="1:12">
      <c r="A6405" s="20" t="s">
        <v>1324</v>
      </c>
      <c r="E6405" s="22">
        <f>IF(D6405="?OLD","!!!","")</f>
        <v/>
      </c>
      <c r="F6405" s="23" t="str">
        <f>IF(OR(E6405="",E6405="!!!"),"",IF(NOT(ISNA(VLOOKUP(E6405,E$1:E6404,1,FALSE()))),"OLD",IF(AND(E6405&lt;&gt;"",E6405&lt;&gt;"!!!"),"NEW","")))</f>
        <v> </v>
      </c>
      <c r="G6405" s="24" t="str">
        <f>IF(OR(E6405="",E6405="!!!"),"",IF(OR(J6405=0,AND(J6405=1,K6405=1),AND(J6405=1,I6405="SBJ"),AND(J6405=1,I6405=0)),"?IN_FOCUS",IF(J6405&lt;=2,"?ACTIVATED",IF(J6405&lt;&gt;"","?FAMILIAR",IF(F6405="NEW",IF(ISNA(VLOOKUP(E6405,#REF!,1,FALSE())),"?TYPE_IDENTIFIABLE","?REFERENTIAL"),"_")))))</f>
        <v> </v>
      </c>
      <c r="H6405" s="25" t="str">
        <f>IF(J6405&lt;&gt;1,"",IF(I6405="SBJ","CB","?"))</f>
        <v> </v>
      </c>
      <c r="I6405" s="26" t="str">
        <f>IF(OR(E6405="",E6405="!!!",F6405="NEW"),"",INDEX(B6404:B$2,-1+SUMPRODUCT(MAX(ROW(E6404:E$2)*(E6405=E6404:E$2)))))</f>
        <v> </v>
      </c>
      <c r="J6405" s="26" t="str">
        <f>IF(OR(E6405="",E6405="!!!",F6405="NEW"),"",COUNTBLANK(OFFSET(A$1,,,SUMPRODUCT(MAX(ROW(E$2:E6405)*(E6405=E$2:E6405)))))-COUNTBLANK(OFFSET(A$1,,,SUMPRODUCT(MAX(ROW(E$1:E6404)*(E2=E$1:E6404))))))</f>
        <v> </v>
      </c>
      <c r="K6405" s="26" t="str">
        <f>IF(OR(E6405="",E6405="!!!",F6405="NEW"),"",INDEX(J$1:J6404,SUMPRODUCT(MAX(ROW(E$1:E6404)*(E6405=E$1:E6404)))))</f>
        <v> </v>
      </c>
      <c r="L6405" s="27"/>
    </row>
    <row r="6406" spans="1:12">
      <c r="A6406" s="20" t="s">
        <v>2675</v>
      </c>
      <c r="B6406" s="21" t="s">
        <v>1085</v>
      </c>
      <c r="C6406" s="21" t="s">
        <v>1013</v>
      </c>
      <c r="D6406" s="21" t="s">
        <v>1007</v>
      </c>
      <c r="E6406" s="22">
        <f>IF(D6406="?OLD","!!!","")</f>
        <v/>
      </c>
      <c r="F6406" s="23" t="str">
        <f>IF(OR(E6406="",E6406="!!!"),"",IF(NOT(ISNA(VLOOKUP(E6406,E$1:E6405,1,FALSE()))),"OLD",IF(AND(E6406&lt;&gt;"",E6406&lt;&gt;"!!!"),"NEW","")))</f>
        <v> </v>
      </c>
      <c r="G6406" s="24" t="str">
        <f>IF(OR(E6406="",E6406="!!!"),"",IF(OR(J6406=0,AND(J6406=1,K6406=1),AND(J6406=1,I6406="SBJ"),AND(J6406=1,I6406=0)),"?IN_FOCUS",IF(J6406&lt;=2,"?ACTIVATED",IF(J6406&lt;&gt;"","?FAMILIAR",IF(F6406="NEW",IF(ISNA(VLOOKUP(E6406,#REF!,1,FALSE())),"?TYPE_IDENTIFIABLE","?REFERENTIAL"),"_")))))</f>
        <v> </v>
      </c>
      <c r="H6406" s="25" t="str">
        <f>IF(J6406&lt;&gt;1,"",IF(I6406="SBJ","CB","?"))</f>
        <v> </v>
      </c>
      <c r="I6406" s="26" t="str">
        <f>IF(OR(E6406="",E6406="!!!",F6406="NEW"),"",INDEX(B6405:B$2,-1+SUMPRODUCT(MAX(ROW(E6405:E$2)*(E6406=E6405:E$2)))))</f>
        <v> </v>
      </c>
      <c r="J6406" s="26" t="str">
        <f>IF(OR(E6406="",E6406="!!!",F6406="NEW"),"",COUNTBLANK(OFFSET(A$1,,,SUMPRODUCT(MAX(ROW(E$2:E6406)*(E6406=E$2:E6406)))))-COUNTBLANK(OFFSET(A$1,,,SUMPRODUCT(MAX(ROW(E$1:E6405)*(E2=E$1:E6405))))))</f>
        <v> </v>
      </c>
      <c r="K6406" s="26" t="str">
        <f>IF(OR(E6406="",E6406="!!!",F6406="NEW"),"",INDEX(J$1:J6405,SUMPRODUCT(MAX(ROW(E$1:E6405)*(E6406=E$1:E6405)))))</f>
        <v> </v>
      </c>
      <c r="L6406" s="27"/>
    </row>
    <row r="6407" spans="1:12">
      <c r="A6407" s="20" t="s">
        <v>1097</v>
      </c>
      <c r="E6407" s="22">
        <f>IF(D6407="?OLD","!!!","")</f>
        <v/>
      </c>
      <c r="F6407" s="23" t="str">
        <f>IF(OR(E6407="",E6407="!!!"),"",IF(NOT(ISNA(VLOOKUP(E6407,E$1:E6406,1,FALSE()))),"OLD",IF(AND(E6407&lt;&gt;"",E6407&lt;&gt;"!!!"),"NEW","")))</f>
        <v> </v>
      </c>
      <c r="G6407" s="24" t="str">
        <f>IF(OR(E6407="",E6407="!!!"),"",IF(OR(J6407=0,AND(J6407=1,K6407=1),AND(J6407=1,I6407="SBJ"),AND(J6407=1,I6407=0)),"?IN_FOCUS",IF(J6407&lt;=2,"?ACTIVATED",IF(J6407&lt;&gt;"","?FAMILIAR",IF(F6407="NEW",IF(ISNA(VLOOKUP(E6407,#REF!,1,FALSE())),"?TYPE_IDENTIFIABLE","?REFERENTIAL"),"_")))))</f>
        <v> </v>
      </c>
      <c r="H6407" s="25" t="str">
        <f>IF(J6407&lt;&gt;1,"",IF(I6407="SBJ","CB","?"))</f>
        <v> </v>
      </c>
      <c r="I6407" s="26" t="str">
        <f>IF(OR(E6407="",E6407="!!!",F6407="NEW"),"",INDEX(B6406:B$2,-1+SUMPRODUCT(MAX(ROW(E6406:E$2)*(E6407=E6406:E$2)))))</f>
        <v> </v>
      </c>
      <c r="J6407" s="26" t="str">
        <f>IF(OR(E6407="",E6407="!!!",F6407="NEW"),"",COUNTBLANK(OFFSET(A$1,,,SUMPRODUCT(MAX(ROW(E$2:E6407)*(E6407=E$2:E6407)))))-COUNTBLANK(OFFSET(A$1,,,SUMPRODUCT(MAX(ROW(E$1:E6406)*(E2=E$1:E6406))))))</f>
        <v> </v>
      </c>
      <c r="K6407" s="26" t="str">
        <f>IF(OR(E6407="",E6407="!!!",F6407="NEW"),"",INDEX(J$1:J6406,SUMPRODUCT(MAX(ROW(E$1:E6406)*(E6407=E$1:E6406)))))</f>
        <v> </v>
      </c>
      <c r="L6407" s="27"/>
    </row>
    <row r="6408" spans="1:12">
      <c r="A6408" s="20" t="s">
        <v>1081</v>
      </c>
      <c r="B6408" s="21" t="s">
        <v>1022</v>
      </c>
      <c r="C6408" s="21" t="s">
        <v>1082</v>
      </c>
      <c r="D6408" s="21" t="s">
        <v>1007</v>
      </c>
      <c r="E6408" s="22">
        <f>IF(D6408="?OLD","!!!","")</f>
        <v/>
      </c>
      <c r="F6408" s="23" t="str">
        <f>IF(OR(E6408="",E6408="!!!"),"",IF(NOT(ISNA(VLOOKUP(E6408,E$1:E6407,1,FALSE()))),"OLD",IF(AND(E6408&lt;&gt;"",E6408&lt;&gt;"!!!"),"NEW","")))</f>
        <v> </v>
      </c>
      <c r="G6408" s="24" t="str">
        <f>IF(OR(E6408="",E6408="!!!"),"",IF(OR(J6408=0,AND(J6408=1,K6408=1),AND(J6408=1,I6408="SBJ"),AND(J6408=1,I6408=0)),"?IN_FOCUS",IF(J6408&lt;=2,"?ACTIVATED",IF(J6408&lt;&gt;"","?FAMILIAR",IF(F6408="NEW",IF(ISNA(VLOOKUP(E6408,#REF!,1,FALSE())),"?TYPE_IDENTIFIABLE","?REFERENTIAL"),"_")))))</f>
        <v> </v>
      </c>
      <c r="H6408" s="25" t="str">
        <f>IF(J6408&lt;&gt;1,"",IF(I6408="SBJ","CB","?"))</f>
        <v> </v>
      </c>
      <c r="I6408" s="26" t="str">
        <f>IF(OR(E6408="",E6408="!!!",F6408="NEW"),"",INDEX(B6407:B$2,-1+SUMPRODUCT(MAX(ROW(E6407:E$2)*(E6408=E6407:E$2)))))</f>
        <v> </v>
      </c>
      <c r="J6408" s="26" t="str">
        <f>IF(OR(E6408="",E6408="!!!",F6408="NEW"),"",COUNTBLANK(OFFSET(A$1,,,SUMPRODUCT(MAX(ROW(E$2:E6408)*(E6408=E$2:E6408)))))-COUNTBLANK(OFFSET(A$1,,,SUMPRODUCT(MAX(ROW(E$1:E6407)*(E2=E$1:E6407))))))</f>
        <v> </v>
      </c>
      <c r="K6408" s="26" t="str">
        <f>IF(OR(E6408="",E6408="!!!",F6408="NEW"),"",INDEX(J$1:J6407,SUMPRODUCT(MAX(ROW(E$1:E6407)*(E6408=E$1:E6407)))))</f>
        <v> </v>
      </c>
      <c r="L6408" s="27"/>
    </row>
    <row r="6409" spans="1:12">
      <c r="A6409" s="20" t="s">
        <v>1023</v>
      </c>
      <c r="E6409" s="22">
        <f>IF(D6409="?OLD","!!!","")</f>
        <v/>
      </c>
      <c r="F6409" s="23" t="str">
        <f>IF(OR(E6409="",E6409="!!!"),"",IF(NOT(ISNA(VLOOKUP(E6409,E$1:E6408,1,FALSE()))),"OLD",IF(AND(E6409&lt;&gt;"",E6409&lt;&gt;"!!!"),"NEW","")))</f>
        <v> </v>
      </c>
      <c r="G6409" s="24" t="str">
        <f>IF(OR(E6409="",E6409="!!!"),"",IF(OR(J6409=0,AND(J6409=1,K6409=1),AND(J6409=1,I6409="SBJ"),AND(J6409=1,I6409=0)),"?IN_FOCUS",IF(J6409&lt;=2,"?ACTIVATED",IF(J6409&lt;&gt;"","?FAMILIAR",IF(F6409="NEW",IF(ISNA(VLOOKUP(E6409,#REF!,1,FALSE())),"?TYPE_IDENTIFIABLE","?REFERENTIAL"),"_")))))</f>
        <v> </v>
      </c>
      <c r="H6409" s="25" t="str">
        <f>IF(J6409&lt;&gt;1,"",IF(I6409="SBJ","CB","?"))</f>
        <v> </v>
      </c>
      <c r="I6409" s="26" t="str">
        <f>IF(OR(E6409="",E6409="!!!",F6409="NEW"),"",INDEX(B6408:B$2,-1+SUMPRODUCT(MAX(ROW(E6408:E$2)*(E6409=E6408:E$2)))))</f>
        <v> </v>
      </c>
      <c r="J6409" s="26" t="str">
        <f>IF(OR(E6409="",E6409="!!!",F6409="NEW"),"",COUNTBLANK(OFFSET(A$1,,,SUMPRODUCT(MAX(ROW(E$2:E6409)*(E6409=E$2:E6409)))))-COUNTBLANK(OFFSET(A$1,,,SUMPRODUCT(MAX(ROW(E$1:E6408)*(E2=E$1:E6408))))))</f>
        <v> </v>
      </c>
      <c r="K6409" s="26" t="str">
        <f>IF(OR(E6409="",E6409="!!!",F6409="NEW"),"",INDEX(J$1:J6408,SUMPRODUCT(MAX(ROW(E$1:E6408)*(E6409=E$1:E6408)))))</f>
        <v> </v>
      </c>
      <c r="L6409" s="27"/>
    </row>
    <row r="6410" spans="1:12">
      <c r="A6410" s="20"/>
    </row>
    <row r="6411" spans="1:12">
      <c r="A6411" s="20" t="s">
        <v>2676</v>
      </c>
    </row>
    <row r="6412" spans="1:12">
      <c r="A6412" s="20" t="s">
        <v>1025</v>
      </c>
      <c r="E6412" s="22">
        <f>IF(D6412="?OLD","!!!","")</f>
        <v/>
      </c>
      <c r="F6412" s="23" t="str">
        <f>IF(OR(E6412="",E6412="!!!"),"",IF(NOT(ISNA(VLOOKUP(E6412,E$1:E6411,1,FALSE()))),"OLD",IF(AND(E6412&lt;&gt;"",E6412&lt;&gt;"!!!"),"NEW","")))</f>
        <v> </v>
      </c>
      <c r="G6412" s="24" t="str">
        <f>IF(OR(E6412="",E6412="!!!"),"",IF(OR(J6412=0,AND(J6412=1,K6412=1),AND(J6412=1,I6412="SBJ"),AND(J6412=1,I6412=0)),"?IN_FOCUS",IF(J6412&lt;=2,"?ACTIVATED",IF(J6412&lt;&gt;"","?FAMILIAR",IF(F6412="NEW",IF(ISNA(VLOOKUP(E6412,#REF!,1,FALSE())),"?TYPE_IDENTIFIABLE","?REFERENTIAL"),"_")))))</f>
        <v> </v>
      </c>
      <c r="H6412" s="25" t="str">
        <f>IF(J6412&lt;&gt;1,"",IF(I6412="SBJ","CB","?"))</f>
        <v> </v>
      </c>
      <c r="I6412" s="26" t="str">
        <f>IF(OR(E6412="",E6412="!!!",F6412="NEW"),"",INDEX(B6411:B$2,-1+SUMPRODUCT(MAX(ROW(E6411:E$2)*(E6412=E6411:E$2)))))</f>
        <v> </v>
      </c>
      <c r="J6412" s="26" t="str">
        <f>IF(OR(E6412="",E6412="!!!",F6412="NEW"),"",COUNTBLANK(OFFSET(A$1,,,SUMPRODUCT(MAX(ROW(E$2:E6412)*(E6412=E$2:E6412)))))-COUNTBLANK(OFFSET(A$1,,,SUMPRODUCT(MAX(ROW(E$1:E6411)*(E2=E$1:E6411))))))</f>
        <v> </v>
      </c>
      <c r="K6412" s="26" t="str">
        <f>IF(OR(E6412="",E6412="!!!",F6412="NEW"),"",INDEX(J$1:J6411,SUMPRODUCT(MAX(ROW(E$1:E6411)*(E6412=E$1:E6411)))))</f>
        <v> </v>
      </c>
      <c r="L6412" s="27"/>
    </row>
    <row r="6413" spans="1:12">
      <c r="A6413" s="20" t="s">
        <v>1014</v>
      </c>
      <c r="E6413" s="22">
        <f>IF(D6413="?OLD","!!!","")</f>
        <v/>
      </c>
      <c r="F6413" s="23" t="str">
        <f>IF(OR(E6413="",E6413="!!!"),"",IF(NOT(ISNA(VLOOKUP(E6413,E$1:E6412,1,FALSE()))),"OLD",IF(AND(E6413&lt;&gt;"",E6413&lt;&gt;"!!!"),"NEW","")))</f>
        <v> </v>
      </c>
      <c r="G6413" s="24" t="str">
        <f>IF(OR(E6413="",E6413="!!!"),"",IF(OR(J6413=0,AND(J6413=1,K6413=1),AND(J6413=1,I6413="SBJ"),AND(J6413=1,I6413=0)),"?IN_FOCUS",IF(J6413&lt;=2,"?ACTIVATED",IF(J6413&lt;&gt;"","?FAMILIAR",IF(F6413="NEW",IF(ISNA(VLOOKUP(E6413,#REF!,1,FALSE())),"?TYPE_IDENTIFIABLE","?REFERENTIAL"),"_")))))</f>
        <v> </v>
      </c>
      <c r="H6413" s="25" t="str">
        <f>IF(J6413&lt;&gt;1,"",IF(I6413="SBJ","CB","?"))</f>
        <v> </v>
      </c>
      <c r="I6413" s="26" t="str">
        <f>IF(OR(E6413="",E6413="!!!",F6413="NEW"),"",INDEX(B6412:B$2,-1+SUMPRODUCT(MAX(ROW(E6412:E$2)*(E6413=E6412:E$2)))))</f>
        <v> </v>
      </c>
      <c r="J6413" s="26" t="str">
        <f>IF(OR(E6413="",E6413="!!!",F6413="NEW"),"",COUNTBLANK(OFFSET(A$1,,,SUMPRODUCT(MAX(ROW(E$2:E6413)*(E6413=E$2:E6413)))))-COUNTBLANK(OFFSET(A$1,,,SUMPRODUCT(MAX(ROW(E$1:E6412)*(E2=E$1:E6412))))))</f>
        <v> </v>
      </c>
      <c r="K6413" s="26" t="str">
        <f>IF(OR(E6413="",E6413="!!!",F6413="NEW"),"",INDEX(J$1:J6412,SUMPRODUCT(MAX(ROW(E$1:E6412)*(E6413=E$1:E6412)))))</f>
        <v> </v>
      </c>
      <c r="L6413" s="27"/>
    </row>
    <row r="6414" spans="1:12">
      <c r="A6414" s="20" t="s">
        <v>98</v>
      </c>
      <c r="E6414" s="22">
        <f>IF(D6414="?OLD","!!!","")</f>
        <v/>
      </c>
      <c r="F6414" s="23" t="str">
        <f>IF(OR(E6414="",E6414="!!!"),"",IF(NOT(ISNA(VLOOKUP(E6414,E$1:E6413,1,FALSE()))),"OLD",IF(AND(E6414&lt;&gt;"",E6414&lt;&gt;"!!!"),"NEW","")))</f>
        <v> </v>
      </c>
      <c r="G6414" s="24" t="str">
        <f>IF(OR(E6414="",E6414="!!!"),"",IF(OR(J6414=0,AND(J6414=1,K6414=1),AND(J6414=1,I6414="SBJ"),AND(J6414=1,I6414=0)),"?IN_FOCUS",IF(J6414&lt;=2,"?ACTIVATED",IF(J6414&lt;&gt;"","?FAMILIAR",IF(F6414="NEW",IF(ISNA(VLOOKUP(E6414,#REF!,1,FALSE())),"?TYPE_IDENTIFIABLE","?REFERENTIAL"),"_")))))</f>
        <v> </v>
      </c>
      <c r="H6414" s="25" t="str">
        <f>IF(J6414&lt;&gt;1,"",IF(I6414="SBJ","CB","?"))</f>
        <v> </v>
      </c>
      <c r="I6414" s="26" t="str">
        <f>IF(OR(E6414="",E6414="!!!",F6414="NEW"),"",INDEX(B6413:B$2,-1+SUMPRODUCT(MAX(ROW(E6413:E$2)*(E6414=E6413:E$2)))))</f>
        <v> </v>
      </c>
      <c r="J6414" s="26" t="str">
        <f>IF(OR(E6414="",E6414="!!!",F6414="NEW"),"",COUNTBLANK(OFFSET(A$1,,,SUMPRODUCT(MAX(ROW(E$2:E6414)*(E6414=E$2:E6414)))))-COUNTBLANK(OFFSET(A$1,,,SUMPRODUCT(MAX(ROW(E$1:E6413)*(E2=E$1:E6413))))))</f>
        <v> </v>
      </c>
      <c r="K6414" s="26" t="str">
        <f>IF(OR(E6414="",E6414="!!!",F6414="NEW"),"",INDEX(J$1:J6413,SUMPRODUCT(MAX(ROW(E$1:E6413)*(E6414=E$1:E6413)))))</f>
        <v> </v>
      </c>
      <c r="L6414" s="27"/>
    </row>
    <row r="6415" spans="1:12">
      <c r="A6415" s="20" t="s">
        <v>2501</v>
      </c>
      <c r="B6415" s="21" t="s">
        <v>1029</v>
      </c>
      <c r="C6415" s="21" t="s">
        <v>1048</v>
      </c>
      <c r="E6415" s="22">
        <f>IF(D6415="?OLD","!!!","")</f>
        <v/>
      </c>
      <c r="F6415" s="23" t="str">
        <f>IF(OR(E6415="",E6415="!!!"),"",IF(NOT(ISNA(VLOOKUP(E6415,E$1:E6414,1,FALSE()))),"OLD",IF(AND(E6415&lt;&gt;"",E6415&lt;&gt;"!!!"),"NEW","")))</f>
        <v> </v>
      </c>
      <c r="G6415" s="24" t="str">
        <f>IF(OR(E6415="",E6415="!!!"),"",IF(OR(J6415=0,AND(J6415=1,K6415=1),AND(J6415=1,I6415="SBJ"),AND(J6415=1,I6415=0)),"?IN_FOCUS",IF(J6415&lt;=2,"?ACTIVATED",IF(J6415&lt;&gt;"","?FAMILIAR",IF(F6415="NEW",IF(ISNA(VLOOKUP(E6415,#REF!,1,FALSE())),"?TYPE_IDENTIFIABLE","?REFERENTIAL"),"_")))))</f>
        <v> </v>
      </c>
      <c r="H6415" s="25" t="str">
        <f>IF(J6415&lt;&gt;1,"",IF(I6415="SBJ","CB","?"))</f>
        <v> </v>
      </c>
      <c r="I6415" s="26" t="str">
        <f>IF(OR(E6415="",E6415="!!!",F6415="NEW"),"",INDEX(B6414:B$2,-1+SUMPRODUCT(MAX(ROW(E6414:E$2)*(E6415=E6414:E$2)))))</f>
        <v> </v>
      </c>
      <c r="J6415" s="26" t="str">
        <f>IF(OR(E6415="",E6415="!!!",F6415="NEW"),"",COUNTBLANK(OFFSET(A$1,,,SUMPRODUCT(MAX(ROW(E$2:E6415)*(E6415=E$2:E6415)))))-COUNTBLANK(OFFSET(A$1,,,SUMPRODUCT(MAX(ROW(E$1:E6414)*(E2=E$1:E6414))))))</f>
        <v> </v>
      </c>
      <c r="K6415" s="26" t="str">
        <f>IF(OR(E6415="",E6415="!!!",F6415="NEW"),"",INDEX(J$1:J6414,SUMPRODUCT(MAX(ROW(E$1:E6414)*(E6415=E$1:E6414)))))</f>
        <v> </v>
      </c>
      <c r="L6415" s="27"/>
    </row>
    <row r="6416" spans="1:12">
      <c r="A6416" s="20" t="s">
        <v>1014</v>
      </c>
      <c r="E6416" s="22">
        <f>IF(D6416="?OLD","!!!","")</f>
        <v/>
      </c>
      <c r="F6416" s="23" t="str">
        <f>IF(OR(E6416="",E6416="!!!"),"",IF(NOT(ISNA(VLOOKUP(E6416,E$1:E6415,1,FALSE()))),"OLD",IF(AND(E6416&lt;&gt;"",E6416&lt;&gt;"!!!"),"NEW","")))</f>
        <v> </v>
      </c>
      <c r="G6416" s="24" t="str">
        <f>IF(OR(E6416="",E6416="!!!"),"",IF(OR(J6416=0,AND(J6416=1,K6416=1),AND(J6416=1,I6416="SBJ"),AND(J6416=1,I6416=0)),"?IN_FOCUS",IF(J6416&lt;=2,"?ACTIVATED",IF(J6416&lt;&gt;"","?FAMILIAR",IF(F6416="NEW",IF(ISNA(VLOOKUP(E6416,#REF!,1,FALSE())),"?TYPE_IDENTIFIABLE","?REFERENTIAL"),"_")))))</f>
        <v> </v>
      </c>
      <c r="H6416" s="25" t="str">
        <f>IF(J6416&lt;&gt;1,"",IF(I6416="SBJ","CB","?"))</f>
        <v> </v>
      </c>
      <c r="I6416" s="26" t="str">
        <f>IF(OR(E6416="",E6416="!!!",F6416="NEW"),"",INDEX(B6415:B$2,-1+SUMPRODUCT(MAX(ROW(E6415:E$2)*(E6416=E6415:E$2)))))</f>
        <v> </v>
      </c>
      <c r="J6416" s="26" t="str">
        <f>IF(OR(E6416="",E6416="!!!",F6416="NEW"),"",COUNTBLANK(OFFSET(A$1,,,SUMPRODUCT(MAX(ROW(E$2:E6416)*(E6416=E$2:E6416)))))-COUNTBLANK(OFFSET(A$1,,,SUMPRODUCT(MAX(ROW(E$1:E6415)*(E2=E$1:E6415))))))</f>
        <v> </v>
      </c>
      <c r="K6416" s="26" t="str">
        <f>IF(OR(E6416="",E6416="!!!",F6416="NEW"),"",INDEX(J$1:J6415,SUMPRODUCT(MAX(ROW(E$1:E6415)*(E6416=E$1:E6415)))))</f>
        <v> </v>
      </c>
      <c r="L6416" s="27"/>
    </row>
    <row r="6417" spans="1:12">
      <c r="A6417" s="20" t="s">
        <v>2677</v>
      </c>
      <c r="E6417" s="22">
        <f>IF(D6417="?OLD","!!!","")</f>
        <v/>
      </c>
      <c r="F6417" s="23" t="str">
        <f>IF(OR(E6417="",E6417="!!!"),"",IF(NOT(ISNA(VLOOKUP(E6417,E$1:E6416,1,FALSE()))),"OLD",IF(AND(E6417&lt;&gt;"",E6417&lt;&gt;"!!!"),"NEW","")))</f>
        <v> </v>
      </c>
      <c r="G6417" s="24" t="str">
        <f>IF(OR(E6417="",E6417="!!!"),"",IF(OR(J6417=0,AND(J6417=1,K6417=1),AND(J6417=1,I6417="SBJ"),AND(J6417=1,I6417=0)),"?IN_FOCUS",IF(J6417&lt;=2,"?ACTIVATED",IF(J6417&lt;&gt;"","?FAMILIAR",IF(F6417="NEW",IF(ISNA(VLOOKUP(E6417,#REF!,1,FALSE())),"?TYPE_IDENTIFIABLE","?REFERENTIAL"),"_")))))</f>
        <v> </v>
      </c>
      <c r="H6417" s="25" t="str">
        <f>IF(J6417&lt;&gt;1,"",IF(I6417="SBJ","CB","?"))</f>
        <v> </v>
      </c>
      <c r="I6417" s="26" t="str">
        <f>IF(OR(E6417="",E6417="!!!",F6417="NEW"),"",INDEX(B6416:B$2,-1+SUMPRODUCT(MAX(ROW(E6416:E$2)*(E6417=E6416:E$2)))))</f>
        <v> </v>
      </c>
      <c r="J6417" s="26" t="str">
        <f>IF(OR(E6417="",E6417="!!!",F6417="NEW"),"",COUNTBLANK(OFFSET(A$1,,,SUMPRODUCT(MAX(ROW(E$2:E6417)*(E6417=E$2:E6417)))))-COUNTBLANK(OFFSET(A$1,,,SUMPRODUCT(MAX(ROW(E$1:E6416)*(E2=E$1:E6416))))))</f>
        <v> </v>
      </c>
      <c r="K6417" s="26" t="str">
        <f>IF(OR(E6417="",E6417="!!!",F6417="NEW"),"",INDEX(J$1:J6416,SUMPRODUCT(MAX(ROW(E$1:E6416)*(E6417=E$1:E6416)))))</f>
        <v> </v>
      </c>
      <c r="L6417" s="27"/>
    </row>
    <row r="6418" spans="1:12">
      <c r="A6418" s="20" t="s">
        <v>1020</v>
      </c>
      <c r="E6418" s="22">
        <f>IF(D6418="?OLD","!!!","")</f>
        <v/>
      </c>
      <c r="F6418" s="23" t="str">
        <f>IF(OR(E6418="",E6418="!!!"),"",IF(NOT(ISNA(VLOOKUP(E6418,E$1:E6417,1,FALSE()))),"OLD",IF(AND(E6418&lt;&gt;"",E6418&lt;&gt;"!!!"),"NEW","")))</f>
        <v> </v>
      </c>
      <c r="G6418" s="24" t="str">
        <f>IF(OR(E6418="",E6418="!!!"),"",IF(OR(J6418=0,AND(J6418=1,K6418=1),AND(J6418=1,I6418="SBJ"),AND(J6418=1,I6418=0)),"?IN_FOCUS",IF(J6418&lt;=2,"?ACTIVATED",IF(J6418&lt;&gt;"","?FAMILIAR",IF(F6418="NEW",IF(ISNA(VLOOKUP(E6418,#REF!,1,FALSE())),"?TYPE_IDENTIFIABLE","?REFERENTIAL"),"_")))))</f>
        <v> </v>
      </c>
      <c r="H6418" s="25" t="str">
        <f>IF(J6418&lt;&gt;1,"",IF(I6418="SBJ","CB","?"))</f>
        <v> </v>
      </c>
      <c r="I6418" s="26" t="str">
        <f>IF(OR(E6418="",E6418="!!!",F6418="NEW"),"",INDEX(B6417:B$2,-1+SUMPRODUCT(MAX(ROW(E6417:E$2)*(E6418=E6417:E$2)))))</f>
        <v> </v>
      </c>
      <c r="J6418" s="26" t="str">
        <f>IF(OR(E6418="",E6418="!!!",F6418="NEW"),"",COUNTBLANK(OFFSET(A$1,,,SUMPRODUCT(MAX(ROW(E$2:E6418)*(E6418=E$2:E6418)))))-COUNTBLANK(OFFSET(A$1,,,SUMPRODUCT(MAX(ROW(E$1:E6417)*(E2=E$1:E6417))))))</f>
        <v> </v>
      </c>
      <c r="K6418" s="26" t="str">
        <f>IF(OR(E6418="",E6418="!!!",F6418="NEW"),"",INDEX(J$1:J6417,SUMPRODUCT(MAX(ROW(E$1:E6417)*(E6418=E$1:E6417)))))</f>
        <v> </v>
      </c>
      <c r="L6418" s="27"/>
    </row>
    <row r="6419" spans="1:12">
      <c r="A6419" s="20" t="s">
        <v>1020</v>
      </c>
      <c r="E6419" s="22">
        <f>IF(D6419="?OLD","!!!","")</f>
        <v/>
      </c>
      <c r="F6419" s="23" t="str">
        <f>IF(OR(E6419="",E6419="!!!"),"",IF(NOT(ISNA(VLOOKUP(E6419,E$1:E6418,1,FALSE()))),"OLD",IF(AND(E6419&lt;&gt;"",E6419&lt;&gt;"!!!"),"NEW","")))</f>
        <v> </v>
      </c>
      <c r="G6419" s="24" t="str">
        <f>IF(OR(E6419="",E6419="!!!"),"",IF(OR(J6419=0,AND(J6419=1,K6419=1),AND(J6419=1,I6419="SBJ"),AND(J6419=1,I6419=0)),"?IN_FOCUS",IF(J6419&lt;=2,"?ACTIVATED",IF(J6419&lt;&gt;"","?FAMILIAR",IF(F6419="NEW",IF(ISNA(VLOOKUP(E6419,#REF!,1,FALSE())),"?TYPE_IDENTIFIABLE","?REFERENTIAL"),"_")))))</f>
        <v> </v>
      </c>
      <c r="H6419" s="25" t="str">
        <f>IF(J6419&lt;&gt;1,"",IF(I6419="SBJ","CB","?"))</f>
        <v> </v>
      </c>
      <c r="I6419" s="26" t="str">
        <f>IF(OR(E6419="",E6419="!!!",F6419="NEW"),"",INDEX(B6418:B$2,-1+SUMPRODUCT(MAX(ROW(E6418:E$2)*(E6419=E6418:E$2)))))</f>
        <v> </v>
      </c>
      <c r="J6419" s="26" t="str">
        <f>IF(OR(E6419="",E6419="!!!",F6419="NEW"),"",COUNTBLANK(OFFSET(A$1,,,SUMPRODUCT(MAX(ROW(E$2:E6419)*(E6419=E$2:E6419)))))-COUNTBLANK(OFFSET(A$1,,,SUMPRODUCT(MAX(ROW(E$1:E6418)*(E2=E$1:E6418))))))</f>
        <v> </v>
      </c>
      <c r="K6419" s="26" t="str">
        <f>IF(OR(E6419="",E6419="!!!",F6419="NEW"),"",INDEX(J$1:J6418,SUMPRODUCT(MAX(ROW(E$1:E6418)*(E6419=E$1:E6418)))))</f>
        <v> </v>
      </c>
      <c r="L6419" s="27"/>
    </row>
    <row r="6420" spans="1:12">
      <c r="A6420" s="20" t="s">
        <v>1638</v>
      </c>
      <c r="B6420" s="21" t="s">
        <v>1035</v>
      </c>
      <c r="C6420" s="21" t="s">
        <v>1006</v>
      </c>
      <c r="D6420" s="21" t="s">
        <v>1007</v>
      </c>
      <c r="E6420" s="22">
        <f>IF(D6420="?OLD","!!!","")</f>
        <v/>
      </c>
      <c r="F6420" s="23" t="str">
        <f>IF(OR(E6420="",E6420="!!!"),"",IF(NOT(ISNA(VLOOKUP(E6420,E$1:E6419,1,FALSE()))),"OLD",IF(AND(E6420&lt;&gt;"",E6420&lt;&gt;"!!!"),"NEW","")))</f>
        <v> </v>
      </c>
      <c r="G6420" s="24" t="str">
        <f>IF(OR(E6420="",E6420="!!!"),"",IF(OR(J6420=0,AND(J6420=1,K6420=1),AND(J6420=1,I6420="SBJ"),AND(J6420=1,I6420=0)),"?IN_FOCUS",IF(J6420&lt;=2,"?ACTIVATED",IF(J6420&lt;&gt;"","?FAMILIAR",IF(F6420="NEW",IF(ISNA(VLOOKUP(E6420,#REF!,1,FALSE())),"?TYPE_IDENTIFIABLE","?REFERENTIAL"),"_")))))</f>
        <v> </v>
      </c>
      <c r="H6420" s="25" t="str">
        <f>IF(J6420&lt;&gt;1,"",IF(I6420="SBJ","CB","?"))</f>
        <v> </v>
      </c>
      <c r="I6420" s="26" t="str">
        <f>IF(OR(E6420="",E6420="!!!",F6420="NEW"),"",INDEX(B6419:B$2,-1+SUMPRODUCT(MAX(ROW(E6419:E$2)*(E6420=E6419:E$2)))))</f>
        <v> </v>
      </c>
      <c r="J6420" s="26" t="str">
        <f>IF(OR(E6420="",E6420="!!!",F6420="NEW"),"",COUNTBLANK(OFFSET(A$1,,,SUMPRODUCT(MAX(ROW(E$2:E6420)*(E6420=E$2:E6420)))))-COUNTBLANK(OFFSET(A$1,,,SUMPRODUCT(MAX(ROW(E$1:E6419)*(E2=E$1:E6419))))))</f>
        <v> </v>
      </c>
      <c r="K6420" s="26" t="str">
        <f>IF(OR(E6420="",E6420="!!!",F6420="NEW"),"",INDEX(J$1:J6419,SUMPRODUCT(MAX(ROW(E$1:E6419)*(E6420=E$1:E6419)))))</f>
        <v> </v>
      </c>
      <c r="L6420" s="27"/>
    </row>
    <row r="6421" spans="1:12">
      <c r="A6421" s="20" t="s">
        <v>1077</v>
      </c>
      <c r="E6421" s="22">
        <f>IF(D6421="?OLD","!!!","")</f>
        <v/>
      </c>
      <c r="F6421" s="23" t="str">
        <f>IF(OR(E6421="",E6421="!!!"),"",IF(NOT(ISNA(VLOOKUP(E6421,E$1:E6420,1,FALSE()))),"OLD",IF(AND(E6421&lt;&gt;"",E6421&lt;&gt;"!!!"),"NEW","")))</f>
        <v> </v>
      </c>
      <c r="G6421" s="24" t="str">
        <f>IF(OR(E6421="",E6421="!!!"),"",IF(OR(J6421=0,AND(J6421=1,K6421=1),AND(J6421=1,I6421="SBJ"),AND(J6421=1,I6421=0)),"?IN_FOCUS",IF(J6421&lt;=2,"?ACTIVATED",IF(J6421&lt;&gt;"","?FAMILIAR",IF(F6421="NEW",IF(ISNA(VLOOKUP(E6421,#REF!,1,FALSE())),"?TYPE_IDENTIFIABLE","?REFERENTIAL"),"_")))))</f>
        <v> </v>
      </c>
      <c r="H6421" s="25" t="str">
        <f>IF(J6421&lt;&gt;1,"",IF(I6421="SBJ","CB","?"))</f>
        <v> </v>
      </c>
      <c r="I6421" s="26" t="str">
        <f>IF(OR(E6421="",E6421="!!!",F6421="NEW"),"",INDEX(B6420:B$2,-1+SUMPRODUCT(MAX(ROW(E6420:E$2)*(E6421=E6420:E$2)))))</f>
        <v> </v>
      </c>
      <c r="J6421" s="26" t="str">
        <f>IF(OR(E6421="",E6421="!!!",F6421="NEW"),"",COUNTBLANK(OFFSET(A$1,,,SUMPRODUCT(MAX(ROW(E$2:E6421)*(E6421=E$2:E6421)))))-COUNTBLANK(OFFSET(A$1,,,SUMPRODUCT(MAX(ROW(E$1:E6420)*(E2=E$1:E6420))))))</f>
        <v> </v>
      </c>
      <c r="K6421" s="26" t="str">
        <f>IF(OR(E6421="",E6421="!!!",F6421="NEW"),"",INDEX(J$1:J6420,SUMPRODUCT(MAX(ROW(E$1:E6420)*(E6421=E$1:E6420)))))</f>
        <v> </v>
      </c>
      <c r="L6421" s="27"/>
    </row>
    <row r="6422" spans="1:12">
      <c r="A6422" s="20"/>
    </row>
    <row r="6423" spans="1:12">
      <c r="A6423" s="20" t="s">
        <v>2678</v>
      </c>
    </row>
    <row r="6424" spans="1:12">
      <c r="A6424" s="20" t="s">
        <v>1118</v>
      </c>
      <c r="B6424" s="21" t="s">
        <v>1005</v>
      </c>
      <c r="C6424" s="21" t="s">
        <v>1048</v>
      </c>
      <c r="E6424" s="22">
        <f>IF(D6424="?OLD","!!!","")</f>
        <v/>
      </c>
      <c r="F6424" s="23" t="str">
        <f>IF(OR(E6424="",E6424="!!!"),"",IF(NOT(ISNA(VLOOKUP(E6424,E$1:E6423,1,FALSE()))),"OLD",IF(AND(E6424&lt;&gt;"",E6424&lt;&gt;"!!!"),"NEW","")))</f>
        <v> </v>
      </c>
      <c r="G6424" s="24" t="str">
        <f>IF(OR(E6424="",E6424="!!!"),"",IF(OR(J6424=0,AND(J6424=1,K6424=1),AND(J6424=1,I6424="SBJ"),AND(J6424=1,I6424=0)),"?IN_FOCUS",IF(J6424&lt;=2,"?ACTIVATED",IF(J6424&lt;&gt;"","?FAMILIAR",IF(F6424="NEW",IF(ISNA(VLOOKUP(E6424,#REF!,1,FALSE())),"?TYPE_IDENTIFIABLE","?REFERENTIAL"),"_")))))</f>
        <v> </v>
      </c>
      <c r="H6424" s="25" t="str">
        <f>IF(J6424&lt;&gt;1,"",IF(I6424="SBJ","CB","?"))</f>
        <v> </v>
      </c>
      <c r="I6424" s="26" t="str">
        <f>IF(OR(E6424="",E6424="!!!",F6424="NEW"),"",INDEX(B6423:B$2,-1+SUMPRODUCT(MAX(ROW(E6423:E$2)*(E6424=E6423:E$2)))))</f>
        <v> </v>
      </c>
      <c r="J6424" s="26" t="str">
        <f>IF(OR(E6424="",E6424="!!!",F6424="NEW"),"",COUNTBLANK(OFFSET(A$1,,,SUMPRODUCT(MAX(ROW(E$2:E6424)*(E6424=E$2:E6424)))))-COUNTBLANK(OFFSET(A$1,,,SUMPRODUCT(MAX(ROW(E$1:E6423)*(E2=E$1:E6423))))))</f>
        <v> </v>
      </c>
      <c r="K6424" s="26" t="str">
        <f>IF(OR(E6424="",E6424="!!!",F6424="NEW"),"",INDEX(J$1:J6423,SUMPRODUCT(MAX(ROW(E$1:E6423)*(E6424=E$1:E6423)))))</f>
        <v> </v>
      </c>
      <c r="L6424" s="27"/>
    </row>
    <row r="6425" spans="1:12">
      <c r="A6425" s="20" t="s">
        <v>1009</v>
      </c>
      <c r="E6425" s="22">
        <f>IF(D6425="?OLD","!!!","")</f>
        <v/>
      </c>
      <c r="F6425" s="23" t="str">
        <f>IF(OR(E6425="",E6425="!!!"),"",IF(NOT(ISNA(VLOOKUP(E6425,E$1:E6424,1,FALSE()))),"OLD",IF(AND(E6425&lt;&gt;"",E6425&lt;&gt;"!!!"),"NEW","")))</f>
        <v> </v>
      </c>
      <c r="G6425" s="24" t="str">
        <f>IF(OR(E6425="",E6425="!!!"),"",IF(OR(J6425=0,AND(J6425=1,K6425=1),AND(J6425=1,I6425="SBJ"),AND(J6425=1,I6425=0)),"?IN_FOCUS",IF(J6425&lt;=2,"?ACTIVATED",IF(J6425&lt;&gt;"","?FAMILIAR",IF(F6425="NEW",IF(ISNA(VLOOKUP(E6425,#REF!,1,FALSE())),"?TYPE_IDENTIFIABLE","?REFERENTIAL"),"_")))))</f>
        <v> </v>
      </c>
      <c r="H6425" s="25" t="str">
        <f>IF(J6425&lt;&gt;1,"",IF(I6425="SBJ","CB","?"))</f>
        <v> </v>
      </c>
      <c r="I6425" s="26" t="str">
        <f>IF(OR(E6425="",E6425="!!!",F6425="NEW"),"",INDEX(B6424:B$2,-1+SUMPRODUCT(MAX(ROW(E6424:E$2)*(E6425=E6424:E$2)))))</f>
        <v> </v>
      </c>
      <c r="J6425" s="26" t="str">
        <f>IF(OR(E6425="",E6425="!!!",F6425="NEW"),"",COUNTBLANK(OFFSET(A$1,,,SUMPRODUCT(MAX(ROW(E$2:E6425)*(E6425=E$2:E6425)))))-COUNTBLANK(OFFSET(A$1,,,SUMPRODUCT(MAX(ROW(E$1:E6424)*(E2=E$1:E6424))))))</f>
        <v> </v>
      </c>
      <c r="K6425" s="26" t="str">
        <f>IF(OR(E6425="",E6425="!!!",F6425="NEW"),"",INDEX(J$1:J6424,SUMPRODUCT(MAX(ROW(E$1:E6424)*(E6425=E$1:E6424)))))</f>
        <v> </v>
      </c>
      <c r="L6425" s="27"/>
    </row>
    <row r="6426" spans="1:12">
      <c r="A6426" s="20" t="s">
        <v>2679</v>
      </c>
      <c r="E6426" s="22">
        <f>IF(D6426="?OLD","!!!","")</f>
        <v/>
      </c>
      <c r="F6426" s="23" t="str">
        <f>IF(OR(E6426="",E6426="!!!"),"",IF(NOT(ISNA(VLOOKUP(E6426,E$1:E6425,1,FALSE()))),"OLD",IF(AND(E6426&lt;&gt;"",E6426&lt;&gt;"!!!"),"NEW","")))</f>
        <v> </v>
      </c>
      <c r="G6426" s="24" t="str">
        <f>IF(OR(E6426="",E6426="!!!"),"",IF(OR(J6426=0,AND(J6426=1,K6426=1),AND(J6426=1,I6426="SBJ"),AND(J6426=1,I6426=0)),"?IN_FOCUS",IF(J6426&lt;=2,"?ACTIVATED",IF(J6426&lt;&gt;"","?FAMILIAR",IF(F6426="NEW",IF(ISNA(VLOOKUP(E6426,#REF!,1,FALSE())),"?TYPE_IDENTIFIABLE","?REFERENTIAL"),"_")))))</f>
        <v> </v>
      </c>
      <c r="H6426" s="25" t="str">
        <f>IF(J6426&lt;&gt;1,"",IF(I6426="SBJ","CB","?"))</f>
        <v> </v>
      </c>
      <c r="I6426" s="26" t="str">
        <f>IF(OR(E6426="",E6426="!!!",F6426="NEW"),"",INDEX(B6425:B$2,-1+SUMPRODUCT(MAX(ROW(E6425:E$2)*(E6426=E6425:E$2)))))</f>
        <v> </v>
      </c>
      <c r="J6426" s="26" t="str">
        <f>IF(OR(E6426="",E6426="!!!",F6426="NEW"),"",COUNTBLANK(OFFSET(A$1,,,SUMPRODUCT(MAX(ROW(E$2:E6426)*(E6426=E$2:E6426)))))-COUNTBLANK(OFFSET(A$1,,,SUMPRODUCT(MAX(ROW(E$1:E6425)*(E2=E$1:E6425))))))</f>
        <v> </v>
      </c>
      <c r="K6426" s="26" t="str">
        <f>IF(OR(E6426="",E6426="!!!",F6426="NEW"),"",INDEX(J$1:J6425,SUMPRODUCT(MAX(ROW(E$1:E6425)*(E6426=E$1:E6425)))))</f>
        <v> </v>
      </c>
      <c r="L6426" s="27"/>
    </row>
    <row r="6427" spans="1:12">
      <c r="A6427" s="20" t="s">
        <v>1023</v>
      </c>
      <c r="E6427" s="22">
        <f>IF(D6427="?OLD","!!!","")</f>
        <v/>
      </c>
      <c r="F6427" s="23" t="str">
        <f>IF(OR(E6427="",E6427="!!!"),"",IF(NOT(ISNA(VLOOKUP(E6427,E$1:E6426,1,FALSE()))),"OLD",IF(AND(E6427&lt;&gt;"",E6427&lt;&gt;"!!!"),"NEW","")))</f>
        <v> </v>
      </c>
      <c r="G6427" s="24" t="str">
        <f>IF(OR(E6427="",E6427="!!!"),"",IF(OR(J6427=0,AND(J6427=1,K6427=1),AND(J6427=1,I6427="SBJ"),AND(J6427=1,I6427=0)),"?IN_FOCUS",IF(J6427&lt;=2,"?ACTIVATED",IF(J6427&lt;&gt;"","?FAMILIAR",IF(F6427="NEW",IF(ISNA(VLOOKUP(E6427,#REF!,1,FALSE())),"?TYPE_IDENTIFIABLE","?REFERENTIAL"),"_")))))</f>
        <v> </v>
      </c>
      <c r="H6427" s="25" t="str">
        <f>IF(J6427&lt;&gt;1,"",IF(I6427="SBJ","CB","?"))</f>
        <v> </v>
      </c>
      <c r="I6427" s="26" t="str">
        <f>IF(OR(E6427="",E6427="!!!",F6427="NEW"),"",INDEX(B6426:B$2,-1+SUMPRODUCT(MAX(ROW(E6426:E$2)*(E6427=E6426:E$2)))))</f>
        <v> </v>
      </c>
      <c r="J6427" s="26" t="str">
        <f>IF(OR(E6427="",E6427="!!!",F6427="NEW"),"",COUNTBLANK(OFFSET(A$1,,,SUMPRODUCT(MAX(ROW(E$2:E6427)*(E6427=E$2:E6427)))))-COUNTBLANK(OFFSET(A$1,,,SUMPRODUCT(MAX(ROW(E$1:E6426)*(E2=E$1:E6426))))))</f>
        <v> </v>
      </c>
      <c r="K6427" s="26" t="str">
        <f>IF(OR(E6427="",E6427="!!!",F6427="NEW"),"",INDEX(J$1:J6426,SUMPRODUCT(MAX(ROW(E$1:E6426)*(E6427=E$1:E6426)))))</f>
        <v> </v>
      </c>
      <c r="L6427" s="27"/>
    </row>
    <row r="6428" spans="1:12">
      <c r="A6428" s="20"/>
    </row>
    <row r="6429" spans="1:12">
      <c r="A6429" s="20" t="s">
        <v>1184</v>
      </c>
      <c r="E6429" s="22">
        <f>IF(D6429="?OLD","!!!","")</f>
        <v/>
      </c>
      <c r="F6429" s="23" t="str">
        <f>IF(OR(E6429="",E6429="!!!"),"",IF(NOT(ISNA(VLOOKUP(E6429,E$1:E6428,1,FALSE()))),"OLD",IF(AND(E6429&lt;&gt;"",E6429&lt;&gt;"!!!"),"NEW","")))</f>
        <v> </v>
      </c>
      <c r="G6429" s="24" t="str">
        <f>IF(OR(E6429="",E6429="!!!"),"",IF(OR(J6429=0,AND(J6429=1,K6429=1),AND(J6429=1,I6429="SBJ"),AND(J6429=1,I6429=0)),"?IN_FOCUS",IF(J6429&lt;=2,"?ACTIVATED",IF(J6429&lt;&gt;"","?FAMILIAR",IF(F6429="NEW",IF(ISNA(VLOOKUP(E6429,#REF!,1,FALSE())),"?TYPE_IDENTIFIABLE","?REFERENTIAL"),"_")))))</f>
        <v> </v>
      </c>
      <c r="H6429" s="25" t="str">
        <f>IF(J6429&lt;&gt;1,"",IF(I6429="SBJ","CB","?"))</f>
        <v> </v>
      </c>
      <c r="I6429" s="26" t="str">
        <f>IF(OR(E6429="",E6429="!!!",F6429="NEW"),"",INDEX(B6428:B$2,-1+SUMPRODUCT(MAX(ROW(E6428:E$2)*(E6429=E6428:E$2)))))</f>
        <v> </v>
      </c>
      <c r="J6429" s="26" t="str">
        <f>IF(OR(E6429="",E6429="!!!",F6429="NEW"),"",COUNTBLANK(OFFSET(A$1,,,SUMPRODUCT(MAX(ROW(E$2:E6429)*(E6429=E$2:E6429)))))-COUNTBLANK(OFFSET(A$1,,,SUMPRODUCT(MAX(ROW(E$1:E6428)*(E2=E$1:E6428))))))</f>
        <v> </v>
      </c>
      <c r="K6429" s="26" t="str">
        <f>IF(OR(E6429="",E6429="!!!",F6429="NEW"),"",INDEX(J$1:J6428,SUMPRODUCT(MAX(ROW(E$1:E6428)*(E6429=E$1:E6428)))))</f>
        <v> </v>
      </c>
      <c r="L6429" s="27"/>
    </row>
    <row r="6430" spans="1:12">
      <c r="A6430" s="20" t="s">
        <v>2680</v>
      </c>
    </row>
    <row r="6431" spans="1:12">
      <c r="A6431" s="20" t="s">
        <v>1247</v>
      </c>
      <c r="E6431" s="22">
        <f>IF(D6431="?OLD","!!!","")</f>
        <v/>
      </c>
      <c r="F6431" s="23" t="str">
        <f>IF(OR(E6431="",E6431="!!!"),"",IF(NOT(ISNA(VLOOKUP(E6431,E$1:E6430,1,FALSE()))),"OLD",IF(AND(E6431&lt;&gt;"",E6431&lt;&gt;"!!!"),"NEW","")))</f>
        <v> </v>
      </c>
      <c r="G6431" s="24" t="str">
        <f>IF(OR(E6431="",E6431="!!!"),"",IF(OR(J6431=0,AND(J6431=1,K6431=1),AND(J6431=1,I6431="SBJ"),AND(J6431=1,I6431=0)),"?IN_FOCUS",IF(J6431&lt;=2,"?ACTIVATED",IF(J6431&lt;&gt;"","?FAMILIAR",IF(F6431="NEW",IF(ISNA(VLOOKUP(E6431,#REF!,1,FALSE())),"?TYPE_IDENTIFIABLE","?REFERENTIAL"),"_")))))</f>
        <v> </v>
      </c>
      <c r="H6431" s="25" t="str">
        <f>IF(J6431&lt;&gt;1,"",IF(I6431="SBJ","CB","?"))</f>
        <v> </v>
      </c>
      <c r="I6431" s="26" t="str">
        <f>IF(OR(E6431="",E6431="!!!",F6431="NEW"),"",INDEX(B6430:B$2,-1+SUMPRODUCT(MAX(ROW(E6430:E$2)*(E6431=E6430:E$2)))))</f>
        <v> </v>
      </c>
      <c r="J6431" s="26" t="str">
        <f>IF(OR(E6431="",E6431="!!!",F6431="NEW"),"",COUNTBLANK(OFFSET(A$1,,,SUMPRODUCT(MAX(ROW(E$2:E6431)*(E6431=E$2:E6431)))))-COUNTBLANK(OFFSET(A$1,,,SUMPRODUCT(MAX(ROW(E$1:E6430)*(E2=E$1:E6430))))))</f>
        <v> </v>
      </c>
      <c r="K6431" s="26" t="str">
        <f>IF(OR(E6431="",E6431="!!!",F6431="NEW"),"",INDEX(J$1:J6430,SUMPRODUCT(MAX(ROW(E$1:E6430)*(E6431=E$1:E6430)))))</f>
        <v> </v>
      </c>
      <c r="L6431" s="27"/>
    </row>
    <row r="6432" spans="1:12">
      <c r="A6432" s="20" t="s">
        <v>1020</v>
      </c>
      <c r="E6432" s="22">
        <f>IF(D6432="?OLD","!!!","")</f>
        <v/>
      </c>
      <c r="F6432" s="23" t="str">
        <f>IF(OR(E6432="",E6432="!!!"),"",IF(NOT(ISNA(VLOOKUP(E6432,E$1:E6431,1,FALSE()))),"OLD",IF(AND(E6432&lt;&gt;"",E6432&lt;&gt;"!!!"),"NEW","")))</f>
        <v> </v>
      </c>
      <c r="G6432" s="24" t="str">
        <f>IF(OR(E6432="",E6432="!!!"),"",IF(OR(J6432=0,AND(J6432=1,K6432=1),AND(J6432=1,I6432="SBJ"),AND(J6432=1,I6432=0)),"?IN_FOCUS",IF(J6432&lt;=2,"?ACTIVATED",IF(J6432&lt;&gt;"","?FAMILIAR",IF(F6432="NEW",IF(ISNA(VLOOKUP(E6432,#REF!,1,FALSE())),"?TYPE_IDENTIFIABLE","?REFERENTIAL"),"_")))))</f>
        <v> </v>
      </c>
      <c r="H6432" s="25" t="str">
        <f>IF(J6432&lt;&gt;1,"",IF(I6432="SBJ","CB","?"))</f>
        <v> </v>
      </c>
      <c r="I6432" s="26" t="str">
        <f>IF(OR(E6432="",E6432="!!!",F6432="NEW"),"",INDEX(B6431:B$2,-1+SUMPRODUCT(MAX(ROW(E6431:E$2)*(E6432=E6431:E$2)))))</f>
        <v> </v>
      </c>
      <c r="J6432" s="26" t="str">
        <f>IF(OR(E6432="",E6432="!!!",F6432="NEW"),"",COUNTBLANK(OFFSET(A$1,,,SUMPRODUCT(MAX(ROW(E$2:E6432)*(E6432=E$2:E6432)))))-COUNTBLANK(OFFSET(A$1,,,SUMPRODUCT(MAX(ROW(E$1:E6431)*(E2=E$1:E6431))))))</f>
        <v> </v>
      </c>
      <c r="K6432" s="26" t="str">
        <f>IF(OR(E6432="",E6432="!!!",F6432="NEW"),"",INDEX(J$1:J6431,SUMPRODUCT(MAX(ROW(E$1:E6431)*(E6432=E$1:E6431)))))</f>
        <v> </v>
      </c>
      <c r="L6432" s="27"/>
    </row>
    <row r="6433" spans="1:12">
      <c r="A6433" s="20" t="s">
        <v>2109</v>
      </c>
      <c r="B6433" s="21" t="s">
        <v>1022</v>
      </c>
      <c r="C6433" s="21" t="s">
        <v>1017</v>
      </c>
      <c r="D6433" s="21" t="s">
        <v>1007</v>
      </c>
      <c r="E6433" s="22">
        <f>IF(D6433="?OLD","!!!","")</f>
        <v/>
      </c>
      <c r="F6433" s="23" t="str">
        <f>IF(OR(E6433="",E6433="!!!"),"",IF(NOT(ISNA(VLOOKUP(E6433,E$1:E6432,1,FALSE()))),"OLD",IF(AND(E6433&lt;&gt;"",E6433&lt;&gt;"!!!"),"NEW","")))</f>
        <v> </v>
      </c>
      <c r="G6433" s="24" t="str">
        <f>IF(OR(E6433="",E6433="!!!"),"",IF(OR(J6433=0,AND(J6433=1,K6433=1),AND(J6433=1,I6433="SBJ"),AND(J6433=1,I6433=0)),"?IN_FOCUS",IF(J6433&lt;=2,"?ACTIVATED",IF(J6433&lt;&gt;"","?FAMILIAR",IF(F6433="NEW",IF(ISNA(VLOOKUP(E6433,#REF!,1,FALSE())),"?TYPE_IDENTIFIABLE","?REFERENTIAL"),"_")))))</f>
        <v> </v>
      </c>
      <c r="H6433" s="25" t="str">
        <f>IF(J6433&lt;&gt;1,"",IF(I6433="SBJ","CB","?"))</f>
        <v> </v>
      </c>
      <c r="I6433" s="26" t="str">
        <f>IF(OR(E6433="",E6433="!!!",F6433="NEW"),"",INDEX(B6432:B$2,-1+SUMPRODUCT(MAX(ROW(E6432:E$2)*(E6433=E6432:E$2)))))</f>
        <v> </v>
      </c>
      <c r="J6433" s="26" t="str">
        <f>IF(OR(E6433="",E6433="!!!",F6433="NEW"),"",COUNTBLANK(OFFSET(A$1,,,SUMPRODUCT(MAX(ROW(E$2:E6433)*(E6433=E$2:E6433)))))-COUNTBLANK(OFFSET(A$1,,,SUMPRODUCT(MAX(ROW(E$1:E6432)*(E2=E$1:E6432))))))</f>
        <v> </v>
      </c>
      <c r="K6433" s="26" t="str">
        <f>IF(OR(E6433="",E6433="!!!",F6433="NEW"),"",INDEX(J$1:J6432,SUMPRODUCT(MAX(ROW(E$1:E6432)*(E6433=E$1:E6432)))))</f>
        <v> </v>
      </c>
      <c r="L6433" s="27"/>
    </row>
    <row r="6434" spans="1:12">
      <c r="A6434" s="20" t="s">
        <v>1142</v>
      </c>
      <c r="E6434" s="22">
        <f>IF(D6434="?OLD","!!!","")</f>
        <v/>
      </c>
      <c r="F6434" s="23" t="str">
        <f>IF(OR(E6434="",E6434="!!!"),"",IF(NOT(ISNA(VLOOKUP(E6434,E$1:E6433,1,FALSE()))),"OLD",IF(AND(E6434&lt;&gt;"",E6434&lt;&gt;"!!!"),"NEW","")))</f>
        <v> </v>
      </c>
      <c r="G6434" s="24" t="str">
        <f>IF(OR(E6434="",E6434="!!!"),"",IF(OR(J6434=0,AND(J6434=1,K6434=1),AND(J6434=1,I6434="SBJ"),AND(J6434=1,I6434=0)),"?IN_FOCUS",IF(J6434&lt;=2,"?ACTIVATED",IF(J6434&lt;&gt;"","?FAMILIAR",IF(F6434="NEW",IF(ISNA(VLOOKUP(E6434,#REF!,1,FALSE())),"?TYPE_IDENTIFIABLE","?REFERENTIAL"),"_")))))</f>
        <v> </v>
      </c>
      <c r="H6434" s="25" t="str">
        <f>IF(J6434&lt;&gt;1,"",IF(I6434="SBJ","CB","?"))</f>
        <v> </v>
      </c>
      <c r="I6434" s="26" t="str">
        <f>IF(OR(E6434="",E6434="!!!",F6434="NEW"),"",INDEX(B6433:B$2,-1+SUMPRODUCT(MAX(ROW(E6433:E$2)*(E6434=E6433:E$2)))))</f>
        <v> </v>
      </c>
      <c r="J6434" s="26" t="str">
        <f>IF(OR(E6434="",E6434="!!!",F6434="NEW"),"",COUNTBLANK(OFFSET(A$1,,,SUMPRODUCT(MAX(ROW(E$2:E6434)*(E6434=E$2:E6434)))))-COUNTBLANK(OFFSET(A$1,,,SUMPRODUCT(MAX(ROW(E$1:E6433)*(E2=E$1:E6433))))))</f>
        <v> </v>
      </c>
      <c r="K6434" s="26" t="str">
        <f>IF(OR(E6434="",E6434="!!!",F6434="NEW"),"",INDEX(J$1:J6433,SUMPRODUCT(MAX(ROW(E$1:E6433)*(E6434=E$1:E6433)))))</f>
        <v> </v>
      </c>
      <c r="L6434" s="27"/>
    </row>
    <row r="6435" spans="1:12">
      <c r="A6435" s="20" t="s">
        <v>1203</v>
      </c>
      <c r="E6435" s="22">
        <f>IF(D6435="?OLD","!!!","")</f>
        <v/>
      </c>
      <c r="F6435" s="23" t="str">
        <f>IF(OR(E6435="",E6435="!!!"),"",IF(NOT(ISNA(VLOOKUP(E6435,E$1:E6434,1,FALSE()))),"OLD",IF(AND(E6435&lt;&gt;"",E6435&lt;&gt;"!!!"),"NEW","")))</f>
        <v> </v>
      </c>
      <c r="G6435" s="24" t="str">
        <f>IF(OR(E6435="",E6435="!!!"),"",IF(OR(J6435=0,AND(J6435=1,K6435=1),AND(J6435=1,I6435="SBJ"),AND(J6435=1,I6435=0)),"?IN_FOCUS",IF(J6435&lt;=2,"?ACTIVATED",IF(J6435&lt;&gt;"","?FAMILIAR",IF(F6435="NEW",IF(ISNA(VLOOKUP(E6435,#REF!,1,FALSE())),"?TYPE_IDENTIFIABLE","?REFERENTIAL"),"_")))))</f>
        <v> </v>
      </c>
      <c r="H6435" s="25" t="str">
        <f>IF(J6435&lt;&gt;1,"",IF(I6435="SBJ","CB","?"))</f>
        <v> </v>
      </c>
      <c r="I6435" s="26" t="str">
        <f>IF(OR(E6435="",E6435="!!!",F6435="NEW"),"",INDEX(B6434:B$2,-1+SUMPRODUCT(MAX(ROW(E6434:E$2)*(E6435=E6434:E$2)))))</f>
        <v> </v>
      </c>
      <c r="J6435" s="26" t="str">
        <f>IF(OR(E6435="",E6435="!!!",F6435="NEW"),"",COUNTBLANK(OFFSET(A$1,,,SUMPRODUCT(MAX(ROW(E$2:E6435)*(E6435=E$2:E6435)))))-COUNTBLANK(OFFSET(A$1,,,SUMPRODUCT(MAX(ROW(E$1:E6434)*(E2=E$1:E6434))))))</f>
        <v> </v>
      </c>
      <c r="K6435" s="26" t="str">
        <f>IF(OR(E6435="",E6435="!!!",F6435="NEW"),"",INDEX(J$1:J6434,SUMPRODUCT(MAX(ROW(E$1:E6434)*(E6435=E$1:E6434)))))</f>
        <v> </v>
      </c>
      <c r="L6435" s="27"/>
    </row>
    <row r="6436" spans="1:12">
      <c r="A6436" s="20" t="s">
        <v>2199</v>
      </c>
      <c r="B6436" s="21" t="s">
        <v>1029</v>
      </c>
      <c r="C6436" s="21" t="s">
        <v>1048</v>
      </c>
      <c r="E6436" s="22">
        <f>IF(D6436="?OLD","!!!","")</f>
        <v/>
      </c>
      <c r="F6436" s="23" t="str">
        <f>IF(OR(E6436="",E6436="!!!"),"",IF(NOT(ISNA(VLOOKUP(E6436,E$1:E6435,1,FALSE()))),"OLD",IF(AND(E6436&lt;&gt;"",E6436&lt;&gt;"!!!"),"NEW","")))</f>
        <v> </v>
      </c>
      <c r="G6436" s="24" t="str">
        <f>IF(OR(E6436="",E6436="!!!"),"",IF(OR(J6436=0,AND(J6436=1,K6436=1),AND(J6436=1,I6436="SBJ"),AND(J6436=1,I6436=0)),"?IN_FOCUS",IF(J6436&lt;=2,"?ACTIVATED",IF(J6436&lt;&gt;"","?FAMILIAR",IF(F6436="NEW",IF(ISNA(VLOOKUP(E6436,#REF!,1,FALSE())),"?TYPE_IDENTIFIABLE","?REFERENTIAL"),"_")))))</f>
        <v> </v>
      </c>
      <c r="H6436" s="25" t="str">
        <f>IF(J6436&lt;&gt;1,"",IF(I6436="SBJ","CB","?"))</f>
        <v> </v>
      </c>
      <c r="I6436" s="26" t="str">
        <f>IF(OR(E6436="",E6436="!!!",F6436="NEW"),"",INDEX(B6435:B$2,-1+SUMPRODUCT(MAX(ROW(E6435:E$2)*(E6436=E6435:E$2)))))</f>
        <v> </v>
      </c>
      <c r="J6436" s="26" t="str">
        <f>IF(OR(E6436="",E6436="!!!",F6436="NEW"),"",COUNTBLANK(OFFSET(A$1,,,SUMPRODUCT(MAX(ROW(E$2:E6436)*(E6436=E$2:E6436)))))-COUNTBLANK(OFFSET(A$1,,,SUMPRODUCT(MAX(ROW(E$1:E6435)*(E2=E$1:E6435))))))</f>
        <v> </v>
      </c>
      <c r="K6436" s="26" t="str">
        <f>IF(OR(E6436="",E6436="!!!",F6436="NEW"),"",INDEX(J$1:J6435,SUMPRODUCT(MAX(ROW(E$1:E6435)*(E6436=E$1:E6435)))))</f>
        <v> </v>
      </c>
      <c r="L6436" s="27"/>
    </row>
    <row r="6437" spans="1:12">
      <c r="A6437" s="20" t="s">
        <v>1014</v>
      </c>
      <c r="E6437" s="22">
        <f>IF(D6437="?OLD","!!!","")</f>
        <v/>
      </c>
      <c r="F6437" s="23" t="str">
        <f>IF(OR(E6437="",E6437="!!!"),"",IF(NOT(ISNA(VLOOKUP(E6437,E$1:E6436,1,FALSE()))),"OLD",IF(AND(E6437&lt;&gt;"",E6437&lt;&gt;"!!!"),"NEW","")))</f>
        <v> </v>
      </c>
      <c r="G6437" s="24" t="str">
        <f>IF(OR(E6437="",E6437="!!!"),"",IF(OR(J6437=0,AND(J6437=1,K6437=1),AND(J6437=1,I6437="SBJ"),AND(J6437=1,I6437=0)),"?IN_FOCUS",IF(J6437&lt;=2,"?ACTIVATED",IF(J6437&lt;&gt;"","?FAMILIAR",IF(F6437="NEW",IF(ISNA(VLOOKUP(E6437,#REF!,1,FALSE())),"?TYPE_IDENTIFIABLE","?REFERENTIAL"),"_")))))</f>
        <v> </v>
      </c>
      <c r="H6437" s="25" t="str">
        <f>IF(J6437&lt;&gt;1,"",IF(I6437="SBJ","CB","?"))</f>
        <v> </v>
      </c>
      <c r="I6437" s="26" t="str">
        <f>IF(OR(E6437="",E6437="!!!",F6437="NEW"),"",INDEX(B6436:B$2,-1+SUMPRODUCT(MAX(ROW(E6436:E$2)*(E6437=E6436:E$2)))))</f>
        <v> </v>
      </c>
      <c r="J6437" s="26" t="str">
        <f>IF(OR(E6437="",E6437="!!!",F6437="NEW"),"",COUNTBLANK(OFFSET(A$1,,,SUMPRODUCT(MAX(ROW(E$2:E6437)*(E6437=E$2:E6437)))))-COUNTBLANK(OFFSET(A$1,,,SUMPRODUCT(MAX(ROW(E$1:E6436)*(E2=E$1:E6436))))))</f>
        <v> </v>
      </c>
      <c r="K6437" s="26" t="str">
        <f>IF(OR(E6437="",E6437="!!!",F6437="NEW"),"",INDEX(J$1:J6436,SUMPRODUCT(MAX(ROW(E$1:E6436)*(E6437=E$1:E6436)))))</f>
        <v> </v>
      </c>
      <c r="L6437" s="27"/>
    </row>
    <row r="6438" spans="1:12">
      <c r="A6438" s="20" t="s">
        <v>1065</v>
      </c>
      <c r="E6438" s="22">
        <f>IF(D6438="?OLD","!!!","")</f>
        <v/>
      </c>
      <c r="F6438" s="23" t="str">
        <f>IF(OR(E6438="",E6438="!!!"),"",IF(NOT(ISNA(VLOOKUP(E6438,E$1:E6437,1,FALSE()))),"OLD",IF(AND(E6438&lt;&gt;"",E6438&lt;&gt;"!!!"),"NEW","")))</f>
        <v> </v>
      </c>
      <c r="G6438" s="24" t="str">
        <f>IF(OR(E6438="",E6438="!!!"),"",IF(OR(J6438=0,AND(J6438=1,K6438=1),AND(J6438=1,I6438="SBJ"),AND(J6438=1,I6438=0)),"?IN_FOCUS",IF(J6438&lt;=2,"?ACTIVATED",IF(J6438&lt;&gt;"","?FAMILIAR",IF(F6438="NEW",IF(ISNA(VLOOKUP(E6438,#REF!,1,FALSE())),"?TYPE_IDENTIFIABLE","?REFERENTIAL"),"_")))))</f>
        <v> </v>
      </c>
      <c r="H6438" s="25" t="str">
        <f>IF(J6438&lt;&gt;1,"",IF(I6438="SBJ","CB","?"))</f>
        <v> </v>
      </c>
      <c r="I6438" s="26" t="str">
        <f>IF(OR(E6438="",E6438="!!!",F6438="NEW"),"",INDEX(B6437:B$2,-1+SUMPRODUCT(MAX(ROW(E6437:E$2)*(E6438=E6437:E$2)))))</f>
        <v> </v>
      </c>
      <c r="J6438" s="26" t="str">
        <f>IF(OR(E6438="",E6438="!!!",F6438="NEW"),"",COUNTBLANK(OFFSET(A$1,,,SUMPRODUCT(MAX(ROW(E$2:E6438)*(E6438=E$2:E6438)))))-COUNTBLANK(OFFSET(A$1,,,SUMPRODUCT(MAX(ROW(E$1:E6437)*(E2=E$1:E6437))))))</f>
        <v> </v>
      </c>
      <c r="K6438" s="26" t="str">
        <f>IF(OR(E6438="",E6438="!!!",F6438="NEW"),"",INDEX(J$1:J6437,SUMPRODUCT(MAX(ROW(E$1:E6437)*(E6438=E$1:E6437)))))</f>
        <v> </v>
      </c>
      <c r="L6438" s="27"/>
    </row>
    <row r="6439" spans="1:12">
      <c r="A6439" s="20" t="s">
        <v>1015</v>
      </c>
      <c r="E6439" s="22">
        <f>IF(D6439="?OLD","!!!","")</f>
        <v/>
      </c>
      <c r="F6439" s="23" t="str">
        <f>IF(OR(E6439="",E6439="!!!"),"",IF(NOT(ISNA(VLOOKUP(E6439,E$1:E6438,1,FALSE()))),"OLD",IF(AND(E6439&lt;&gt;"",E6439&lt;&gt;"!!!"),"NEW","")))</f>
        <v> </v>
      </c>
      <c r="G6439" s="24" t="str">
        <f>IF(OR(E6439="",E6439="!!!"),"",IF(OR(J6439=0,AND(J6439=1,K6439=1),AND(J6439=1,I6439="SBJ"),AND(J6439=1,I6439=0)),"?IN_FOCUS",IF(J6439&lt;=2,"?ACTIVATED",IF(J6439&lt;&gt;"","?FAMILIAR",IF(F6439="NEW",IF(ISNA(VLOOKUP(E6439,#REF!,1,FALSE())),"?TYPE_IDENTIFIABLE","?REFERENTIAL"),"_")))))</f>
        <v> </v>
      </c>
      <c r="H6439" s="25" t="str">
        <f>IF(J6439&lt;&gt;1,"",IF(I6439="SBJ","CB","?"))</f>
        <v> </v>
      </c>
      <c r="I6439" s="26" t="str">
        <f>IF(OR(E6439="",E6439="!!!",F6439="NEW"),"",INDEX(B6438:B$2,-1+SUMPRODUCT(MAX(ROW(E6438:E$2)*(E6439=E6438:E$2)))))</f>
        <v> </v>
      </c>
      <c r="J6439" s="26" t="str">
        <f>IF(OR(E6439="",E6439="!!!",F6439="NEW"),"",COUNTBLANK(OFFSET(A$1,,,SUMPRODUCT(MAX(ROW(E$2:E6439)*(E6439=E$2:E6439)))))-COUNTBLANK(OFFSET(A$1,,,SUMPRODUCT(MAX(ROW(E$1:E6438)*(E2=E$1:E6438))))))</f>
        <v> </v>
      </c>
      <c r="K6439" s="26" t="str">
        <f>IF(OR(E6439="",E6439="!!!",F6439="NEW"),"",INDEX(J$1:J6438,SUMPRODUCT(MAX(ROW(E$1:E6438)*(E6439=E$1:E6438)))))</f>
        <v> </v>
      </c>
      <c r="L6439" s="27"/>
    </row>
    <row r="6440" spans="1:12">
      <c r="A6440" s="20" t="s">
        <v>2681</v>
      </c>
      <c r="B6440" s="21" t="s">
        <v>1120</v>
      </c>
      <c r="C6440" s="21" t="s">
        <v>1017</v>
      </c>
      <c r="D6440" s="21" t="s">
        <v>1007</v>
      </c>
      <c r="E6440" s="22">
        <f>IF(D6440="?OLD","!!!","")</f>
        <v/>
      </c>
      <c r="F6440" s="23" t="str">
        <f>IF(OR(E6440="",E6440="!!!"),"",IF(NOT(ISNA(VLOOKUP(E6440,E$1:E6439,1,FALSE()))),"OLD",IF(AND(E6440&lt;&gt;"",E6440&lt;&gt;"!!!"),"NEW","")))</f>
        <v> </v>
      </c>
      <c r="G6440" s="24" t="str">
        <f>IF(OR(E6440="",E6440="!!!"),"",IF(OR(J6440=0,AND(J6440=1,K6440=1),AND(J6440=1,I6440="SBJ"),AND(J6440=1,I6440=0)),"?IN_FOCUS",IF(J6440&lt;=2,"?ACTIVATED",IF(J6440&lt;&gt;"","?FAMILIAR",IF(F6440="NEW",IF(ISNA(VLOOKUP(E6440,#REF!,1,FALSE())),"?TYPE_IDENTIFIABLE","?REFERENTIAL"),"_")))))</f>
        <v> </v>
      </c>
      <c r="H6440" s="25" t="str">
        <f>IF(J6440&lt;&gt;1,"",IF(I6440="SBJ","CB","?"))</f>
        <v> </v>
      </c>
      <c r="I6440" s="26" t="str">
        <f>IF(OR(E6440="",E6440="!!!",F6440="NEW"),"",INDEX(B6439:B$2,-1+SUMPRODUCT(MAX(ROW(E6439:E$2)*(E6440=E6439:E$2)))))</f>
        <v> </v>
      </c>
      <c r="J6440" s="26" t="str">
        <f>IF(OR(E6440="",E6440="!!!",F6440="NEW"),"",COUNTBLANK(OFFSET(A$1,,,SUMPRODUCT(MAX(ROW(E$2:E6440)*(E6440=E$2:E6440)))))-COUNTBLANK(OFFSET(A$1,,,SUMPRODUCT(MAX(ROW(E$1:E6439)*(E2=E$1:E6439))))))</f>
        <v> </v>
      </c>
      <c r="K6440" s="26" t="str">
        <f>IF(OR(E6440="",E6440="!!!",F6440="NEW"),"",INDEX(J$1:J6439,SUMPRODUCT(MAX(ROW(E$1:E6439)*(E6440=E$1:E6439)))))</f>
        <v> </v>
      </c>
      <c r="L6440" s="27"/>
    </row>
    <row r="6441" spans="1:12">
      <c r="A6441" s="20" t="s">
        <v>1065</v>
      </c>
      <c r="B6441" s="21" t="s">
        <v>1067</v>
      </c>
      <c r="E6441" s="22">
        <f>IF(D6441="?OLD","!!!","")</f>
        <v/>
      </c>
      <c r="F6441" s="23" t="str">
        <f>IF(OR(E6441="",E6441="!!!"),"",IF(NOT(ISNA(VLOOKUP(E6441,E$1:E6440,1,FALSE()))),"OLD",IF(AND(E6441&lt;&gt;"",E6441&lt;&gt;"!!!"),"NEW","")))</f>
        <v> </v>
      </c>
      <c r="G6441" s="24" t="str">
        <f>IF(OR(E6441="",E6441="!!!"),"",IF(OR(J6441=0,AND(J6441=1,K6441=1),AND(J6441=1,I6441="SBJ"),AND(J6441=1,I6441=0)),"?IN_FOCUS",IF(J6441&lt;=2,"?ACTIVATED",IF(J6441&lt;&gt;"","?FAMILIAR",IF(F6441="NEW",IF(ISNA(VLOOKUP(E6441,#REF!,1,FALSE())),"?TYPE_IDENTIFIABLE","?REFERENTIAL"),"_")))))</f>
        <v> </v>
      </c>
      <c r="H6441" s="25" t="str">
        <f>IF(J6441&lt;&gt;1,"",IF(I6441="SBJ","CB","?"))</f>
        <v> </v>
      </c>
      <c r="I6441" s="26" t="str">
        <f>IF(OR(E6441="",E6441="!!!",F6441="NEW"),"",INDEX(B6440:B$2,-1+SUMPRODUCT(MAX(ROW(E6440:E$2)*(E6441=E6440:E$2)))))</f>
        <v> </v>
      </c>
      <c r="J6441" s="26" t="str">
        <f>IF(OR(E6441="",E6441="!!!",F6441="NEW"),"",COUNTBLANK(OFFSET(A$1,,,SUMPRODUCT(MAX(ROW(E$2:E6441)*(E6441=E$2:E6441)))))-COUNTBLANK(OFFSET(A$1,,,SUMPRODUCT(MAX(ROW(E$1:E6440)*(E2=E$1:E6440))))))</f>
        <v> </v>
      </c>
      <c r="K6441" s="26" t="str">
        <f>IF(OR(E6441="",E6441="!!!",F6441="NEW"),"",INDEX(J$1:J6440,SUMPRODUCT(MAX(ROW(E$1:E6440)*(E6441=E$1:E6440)))))</f>
        <v> </v>
      </c>
      <c r="L6441" s="27"/>
    </row>
    <row r="6442" spans="1:12">
      <c r="A6442" s="20" t="s">
        <v>2682</v>
      </c>
      <c r="E6442" s="22">
        <f>IF(D6442="?OLD","!!!","")</f>
        <v/>
      </c>
      <c r="F6442" s="23" t="str">
        <f>IF(OR(E6442="",E6442="!!!"),"",IF(NOT(ISNA(VLOOKUP(E6442,E$1:E6441,1,FALSE()))),"OLD",IF(AND(E6442&lt;&gt;"",E6442&lt;&gt;"!!!"),"NEW","")))</f>
        <v> </v>
      </c>
      <c r="G6442" s="24" t="str">
        <f>IF(OR(E6442="",E6442="!!!"),"",IF(OR(J6442=0,AND(J6442=1,K6442=1),AND(J6442=1,I6442="SBJ"),AND(J6442=1,I6442=0)),"?IN_FOCUS",IF(J6442&lt;=2,"?ACTIVATED",IF(J6442&lt;&gt;"","?FAMILIAR",IF(F6442="NEW",IF(ISNA(VLOOKUP(E6442,#REF!,1,FALSE())),"?TYPE_IDENTIFIABLE","?REFERENTIAL"),"_")))))</f>
        <v> </v>
      </c>
      <c r="H6442" s="25" t="str">
        <f>IF(J6442&lt;&gt;1,"",IF(I6442="SBJ","CB","?"))</f>
        <v> </v>
      </c>
      <c r="I6442" s="26" t="str">
        <f>IF(OR(E6442="",E6442="!!!",F6442="NEW"),"",INDEX(B6441:B$2,-1+SUMPRODUCT(MAX(ROW(E6441:E$2)*(E6442=E6441:E$2)))))</f>
        <v> </v>
      </c>
      <c r="J6442" s="26" t="str">
        <f>IF(OR(E6442="",E6442="!!!",F6442="NEW"),"",COUNTBLANK(OFFSET(A$1,,,SUMPRODUCT(MAX(ROW(E$2:E6442)*(E6442=E$2:E6442)))))-COUNTBLANK(OFFSET(A$1,,,SUMPRODUCT(MAX(ROW(E$1:E6441)*(E2=E$1:E6441))))))</f>
        <v> </v>
      </c>
      <c r="K6442" s="26" t="str">
        <f>IF(OR(E6442="",E6442="!!!",F6442="NEW"),"",INDEX(J$1:J6441,SUMPRODUCT(MAX(ROW(E$1:E6441)*(E6442=E$1:E6441)))))</f>
        <v> </v>
      </c>
      <c r="L6442" s="27"/>
    </row>
    <row r="6443" spans="1:12">
      <c r="A6443" s="20" t="s">
        <v>1030</v>
      </c>
      <c r="E6443" s="22">
        <f>IF(D6443="?OLD","!!!","")</f>
        <v/>
      </c>
      <c r="F6443" s="23" t="str">
        <f>IF(OR(E6443="",E6443="!!!"),"",IF(NOT(ISNA(VLOOKUP(E6443,E$1:E6442,1,FALSE()))),"OLD",IF(AND(E6443&lt;&gt;"",E6443&lt;&gt;"!!!"),"NEW","")))</f>
        <v> </v>
      </c>
      <c r="G6443" s="24" t="str">
        <f>IF(OR(E6443="",E6443="!!!"),"",IF(OR(J6443=0,AND(J6443=1,K6443=1),AND(J6443=1,I6443="SBJ"),AND(J6443=1,I6443=0)),"?IN_FOCUS",IF(J6443&lt;=2,"?ACTIVATED",IF(J6443&lt;&gt;"","?FAMILIAR",IF(F6443="NEW",IF(ISNA(VLOOKUP(E6443,#REF!,1,FALSE())),"?TYPE_IDENTIFIABLE","?REFERENTIAL"),"_")))))</f>
        <v> </v>
      </c>
      <c r="H6443" s="25" t="str">
        <f>IF(J6443&lt;&gt;1,"",IF(I6443="SBJ","CB","?"))</f>
        <v> </v>
      </c>
      <c r="I6443" s="26" t="str">
        <f>IF(OR(E6443="",E6443="!!!",F6443="NEW"),"",INDEX(B6442:B$2,-1+SUMPRODUCT(MAX(ROW(E6442:E$2)*(E6443=E6442:E$2)))))</f>
        <v> </v>
      </c>
      <c r="J6443" s="26" t="str">
        <f>IF(OR(E6443="",E6443="!!!",F6443="NEW"),"",COUNTBLANK(OFFSET(A$1,,,SUMPRODUCT(MAX(ROW(E$2:E6443)*(E6443=E$2:E6443)))))-COUNTBLANK(OFFSET(A$1,,,SUMPRODUCT(MAX(ROW(E$1:E6442)*(E2=E$1:E6442))))))</f>
        <v> </v>
      </c>
      <c r="K6443" s="26" t="str">
        <f>IF(OR(E6443="",E6443="!!!",F6443="NEW"),"",INDEX(J$1:J6442,SUMPRODUCT(MAX(ROW(E$1:E6442)*(E6443=E$1:E6442)))))</f>
        <v> </v>
      </c>
      <c r="L6443" s="27"/>
    </row>
    <row r="6444" spans="1:12">
      <c r="A6444" s="20" t="s">
        <v>1020</v>
      </c>
      <c r="E6444" s="22">
        <f>IF(D6444="?OLD","!!!","")</f>
        <v/>
      </c>
      <c r="F6444" s="23" t="str">
        <f>IF(OR(E6444="",E6444="!!!"),"",IF(NOT(ISNA(VLOOKUP(E6444,E$1:E6443,1,FALSE()))),"OLD",IF(AND(E6444&lt;&gt;"",E6444&lt;&gt;"!!!"),"NEW","")))</f>
        <v> </v>
      </c>
      <c r="G6444" s="24" t="str">
        <f>IF(OR(E6444="",E6444="!!!"),"",IF(OR(J6444=0,AND(J6444=1,K6444=1),AND(J6444=1,I6444="SBJ"),AND(J6444=1,I6444=0)),"?IN_FOCUS",IF(J6444&lt;=2,"?ACTIVATED",IF(J6444&lt;&gt;"","?FAMILIAR",IF(F6444="NEW",IF(ISNA(VLOOKUP(E6444,#REF!,1,FALSE())),"?TYPE_IDENTIFIABLE","?REFERENTIAL"),"_")))))</f>
        <v> </v>
      </c>
      <c r="H6444" s="25" t="str">
        <f>IF(J6444&lt;&gt;1,"",IF(I6444="SBJ","CB","?"))</f>
        <v> </v>
      </c>
      <c r="I6444" s="26" t="str">
        <f>IF(OR(E6444="",E6444="!!!",F6444="NEW"),"",INDEX(B6443:B$2,-1+SUMPRODUCT(MAX(ROW(E6443:E$2)*(E6444=E6443:E$2)))))</f>
        <v> </v>
      </c>
      <c r="J6444" s="26" t="str">
        <f>IF(OR(E6444="",E6444="!!!",F6444="NEW"),"",COUNTBLANK(OFFSET(A$1,,,SUMPRODUCT(MAX(ROW(E$2:E6444)*(E6444=E$2:E6444)))))-COUNTBLANK(OFFSET(A$1,,,SUMPRODUCT(MAX(ROW(E$1:E6443)*(E2=E$1:E6443))))))</f>
        <v> </v>
      </c>
      <c r="K6444" s="26" t="str">
        <f>IF(OR(E6444="",E6444="!!!",F6444="NEW"),"",INDEX(J$1:J6443,SUMPRODUCT(MAX(ROW(E$1:E6443)*(E6444=E$1:E6443)))))</f>
        <v> </v>
      </c>
      <c r="L6444" s="27"/>
    </row>
    <row r="6445" spans="1:12">
      <c r="A6445" s="20" t="s">
        <v>1493</v>
      </c>
      <c r="B6445" s="21" t="s">
        <v>1130</v>
      </c>
      <c r="C6445" s="21" t="s">
        <v>1013</v>
      </c>
      <c r="D6445" s="21" t="s">
        <v>1007</v>
      </c>
      <c r="E6445" s="22">
        <f>IF(D6445="?OLD","!!!","")</f>
        <v/>
      </c>
      <c r="F6445" s="23" t="str">
        <f>IF(OR(E6445="",E6445="!!!"),"",IF(NOT(ISNA(VLOOKUP(E6445,E$1:E6444,1,FALSE()))),"OLD",IF(AND(E6445&lt;&gt;"",E6445&lt;&gt;"!!!"),"NEW","")))</f>
        <v> </v>
      </c>
      <c r="G6445" s="24" t="str">
        <f>IF(OR(E6445="",E6445="!!!"),"",IF(OR(J6445=0,AND(J6445=1,K6445=1),AND(J6445=1,I6445="SBJ"),AND(J6445=1,I6445=0)),"?IN_FOCUS",IF(J6445&lt;=2,"?ACTIVATED",IF(J6445&lt;&gt;"","?FAMILIAR",IF(F6445="NEW",IF(ISNA(VLOOKUP(E6445,#REF!,1,FALSE())),"?TYPE_IDENTIFIABLE","?REFERENTIAL"),"_")))))</f>
        <v> </v>
      </c>
      <c r="H6445" s="25" t="str">
        <f>IF(J6445&lt;&gt;1,"",IF(I6445="SBJ","CB","?"))</f>
        <v> </v>
      </c>
      <c r="I6445" s="26" t="str">
        <f>IF(OR(E6445="",E6445="!!!",F6445="NEW"),"",INDEX(B6444:B$2,-1+SUMPRODUCT(MAX(ROW(E6444:E$2)*(E6445=E6444:E$2)))))</f>
        <v> </v>
      </c>
      <c r="J6445" s="26" t="str">
        <f>IF(OR(E6445="",E6445="!!!",F6445="NEW"),"",COUNTBLANK(OFFSET(A$1,,,SUMPRODUCT(MAX(ROW(E$2:E6445)*(E6445=E$2:E6445)))))-COUNTBLANK(OFFSET(A$1,,,SUMPRODUCT(MAX(ROW(E$1:E6444)*(E2=E$1:E6444))))))</f>
        <v> </v>
      </c>
      <c r="K6445" s="26" t="str">
        <f>IF(OR(E6445="",E6445="!!!",F6445="NEW"),"",INDEX(J$1:J6444,SUMPRODUCT(MAX(ROW(E$1:E6444)*(E6445=E$1:E6444)))))</f>
        <v> </v>
      </c>
      <c r="L6445" s="27"/>
    </row>
    <row r="6446" spans="1:12">
      <c r="A6446" s="20" t="s">
        <v>1014</v>
      </c>
      <c r="E6446" s="22">
        <f>IF(D6446="?OLD","!!!","")</f>
        <v/>
      </c>
      <c r="F6446" s="23" t="str">
        <f>IF(OR(E6446="",E6446="!!!"),"",IF(NOT(ISNA(VLOOKUP(E6446,E$1:E6445,1,FALSE()))),"OLD",IF(AND(E6446&lt;&gt;"",E6446&lt;&gt;"!!!"),"NEW","")))</f>
        <v> </v>
      </c>
      <c r="G6446" s="24" t="str">
        <f>IF(OR(E6446="",E6446="!!!"),"",IF(OR(J6446=0,AND(J6446=1,K6446=1),AND(J6446=1,I6446="SBJ"),AND(J6446=1,I6446=0)),"?IN_FOCUS",IF(J6446&lt;=2,"?ACTIVATED",IF(J6446&lt;&gt;"","?FAMILIAR",IF(F6446="NEW",IF(ISNA(VLOOKUP(E6446,#REF!,1,FALSE())),"?TYPE_IDENTIFIABLE","?REFERENTIAL"),"_")))))</f>
        <v> </v>
      </c>
      <c r="H6446" s="25" t="str">
        <f>IF(J6446&lt;&gt;1,"",IF(I6446="SBJ","CB","?"))</f>
        <v> </v>
      </c>
      <c r="I6446" s="26" t="str">
        <f>IF(OR(E6446="",E6446="!!!",F6446="NEW"),"",INDEX(B6445:B$2,-1+SUMPRODUCT(MAX(ROW(E6445:E$2)*(E6446=E6445:E$2)))))</f>
        <v> </v>
      </c>
      <c r="J6446" s="26" t="str">
        <f>IF(OR(E6446="",E6446="!!!",F6446="NEW"),"",COUNTBLANK(OFFSET(A$1,,,SUMPRODUCT(MAX(ROW(E$2:E6446)*(E6446=E$2:E6446)))))-COUNTBLANK(OFFSET(A$1,,,SUMPRODUCT(MAX(ROW(E$1:E6445)*(E2=E$1:E6445))))))</f>
        <v> </v>
      </c>
      <c r="K6446" s="26" t="str">
        <f>IF(OR(E6446="",E6446="!!!",F6446="NEW"),"",INDEX(J$1:J6445,SUMPRODUCT(MAX(ROW(E$1:E6445)*(E6446=E$1:E6445)))))</f>
        <v> </v>
      </c>
      <c r="L6446" s="27"/>
    </row>
    <row r="6447" spans="1:12">
      <c r="A6447" s="20" t="s">
        <v>1122</v>
      </c>
      <c r="E6447" s="22">
        <f>IF(D6447="?OLD","!!!","")</f>
        <v/>
      </c>
      <c r="F6447" s="23" t="str">
        <f>IF(OR(E6447="",E6447="!!!"),"",IF(NOT(ISNA(VLOOKUP(E6447,E$1:E6446,1,FALSE()))),"OLD",IF(AND(E6447&lt;&gt;"",E6447&lt;&gt;"!!!"),"NEW","")))</f>
        <v> </v>
      </c>
      <c r="G6447" s="24" t="str">
        <f>IF(OR(E6447="",E6447="!!!"),"",IF(OR(J6447=0,AND(J6447=1,K6447=1),AND(J6447=1,I6447="SBJ"),AND(J6447=1,I6447=0)),"?IN_FOCUS",IF(J6447&lt;=2,"?ACTIVATED",IF(J6447&lt;&gt;"","?FAMILIAR",IF(F6447="NEW",IF(ISNA(VLOOKUP(E6447,#REF!,1,FALSE())),"?TYPE_IDENTIFIABLE","?REFERENTIAL"),"_")))))</f>
        <v> </v>
      </c>
      <c r="H6447" s="25" t="str">
        <f>IF(J6447&lt;&gt;1,"",IF(I6447="SBJ","CB","?"))</f>
        <v> </v>
      </c>
      <c r="I6447" s="26" t="str">
        <f>IF(OR(E6447="",E6447="!!!",F6447="NEW"),"",INDEX(B6446:B$2,-1+SUMPRODUCT(MAX(ROW(E6446:E$2)*(E6447=E6446:E$2)))))</f>
        <v> </v>
      </c>
      <c r="J6447" s="26" t="str">
        <f>IF(OR(E6447="",E6447="!!!",F6447="NEW"),"",COUNTBLANK(OFFSET(A$1,,,SUMPRODUCT(MAX(ROW(E$2:E6447)*(E6447=E$2:E6447)))))-COUNTBLANK(OFFSET(A$1,,,SUMPRODUCT(MAX(ROW(E$1:E6446)*(E2=E$1:E6446))))))</f>
        <v> </v>
      </c>
      <c r="K6447" s="26" t="str">
        <f>IF(OR(E6447="",E6447="!!!",F6447="NEW"),"",INDEX(J$1:J6446,SUMPRODUCT(MAX(ROW(E$1:E6446)*(E6447=E$1:E6446)))))</f>
        <v> </v>
      </c>
      <c r="L6447" s="27"/>
    </row>
    <row r="6448" spans="1:12">
      <c r="A6448" s="20" t="s">
        <v>2683</v>
      </c>
      <c r="B6448" s="21" t="s">
        <v>1040</v>
      </c>
      <c r="C6448" s="21" t="s">
        <v>1041</v>
      </c>
      <c r="D6448" s="21" t="s">
        <v>1007</v>
      </c>
      <c r="E6448" s="22">
        <f>IF(D6448="?OLD","!!!","")</f>
        <v/>
      </c>
      <c r="F6448" s="23" t="str">
        <f>IF(OR(E6448="",E6448="!!!"),"",IF(NOT(ISNA(VLOOKUP(E6448,E$1:E6447,1,FALSE()))),"OLD",IF(AND(E6448&lt;&gt;"",E6448&lt;&gt;"!!!"),"NEW","")))</f>
        <v> </v>
      </c>
      <c r="G6448" s="24" t="str">
        <f>IF(OR(E6448="",E6448="!!!"),"",IF(OR(J6448=0,AND(J6448=1,K6448=1),AND(J6448=1,I6448="SBJ"),AND(J6448=1,I6448=0)),"?IN_FOCUS",IF(J6448&lt;=2,"?ACTIVATED",IF(J6448&lt;&gt;"","?FAMILIAR",IF(F6448="NEW",IF(ISNA(VLOOKUP(E6448,#REF!,1,FALSE())),"?TYPE_IDENTIFIABLE","?REFERENTIAL"),"_")))))</f>
        <v> </v>
      </c>
      <c r="H6448" s="25" t="str">
        <f>IF(J6448&lt;&gt;1,"",IF(I6448="SBJ","CB","?"))</f>
        <v> </v>
      </c>
      <c r="I6448" s="26" t="str">
        <f>IF(OR(E6448="",E6448="!!!",F6448="NEW"),"",INDEX(B6447:B$2,-1+SUMPRODUCT(MAX(ROW(E6447:E$2)*(E6448=E6447:E$2)))))</f>
        <v> </v>
      </c>
      <c r="J6448" s="26" t="str">
        <f>IF(OR(E6448="",E6448="!!!",F6448="NEW"),"",COUNTBLANK(OFFSET(A$1,,,SUMPRODUCT(MAX(ROW(E$2:E6448)*(E6448=E$2:E6448)))))-COUNTBLANK(OFFSET(A$1,,,SUMPRODUCT(MAX(ROW(E$1:E6447)*(E2=E$1:E6447))))))</f>
        <v> </v>
      </c>
      <c r="K6448" s="26" t="str">
        <f>IF(OR(E6448="",E6448="!!!",F6448="NEW"),"",INDEX(J$1:J6447,SUMPRODUCT(MAX(ROW(E$1:E6447)*(E6448=E$1:E6447)))))</f>
        <v> </v>
      </c>
      <c r="L6448" s="27"/>
    </row>
    <row r="6449" spans="1:12">
      <c r="A6449" s="20" t="s">
        <v>1361</v>
      </c>
      <c r="E6449" s="22">
        <f>IF(D6449="?OLD","!!!","")</f>
        <v/>
      </c>
      <c r="F6449" s="23" t="str">
        <f>IF(OR(E6449="",E6449="!!!"),"",IF(NOT(ISNA(VLOOKUP(E6449,E$1:E6448,1,FALSE()))),"OLD",IF(AND(E6449&lt;&gt;"",E6449&lt;&gt;"!!!"),"NEW","")))</f>
        <v> </v>
      </c>
      <c r="G6449" s="24" t="str">
        <f>IF(OR(E6449="",E6449="!!!"),"",IF(OR(J6449=0,AND(J6449=1,K6449=1),AND(J6449=1,I6449="SBJ"),AND(J6449=1,I6449=0)),"?IN_FOCUS",IF(J6449&lt;=2,"?ACTIVATED",IF(J6449&lt;&gt;"","?FAMILIAR",IF(F6449="NEW",IF(ISNA(VLOOKUP(E6449,#REF!,1,FALSE())),"?TYPE_IDENTIFIABLE","?REFERENTIAL"),"_")))))</f>
        <v> </v>
      </c>
      <c r="H6449" s="25" t="str">
        <f>IF(J6449&lt;&gt;1,"",IF(I6449="SBJ","CB","?"))</f>
        <v> </v>
      </c>
      <c r="I6449" s="26" t="str">
        <f>IF(OR(E6449="",E6449="!!!",F6449="NEW"),"",INDEX(B6448:B$2,-1+SUMPRODUCT(MAX(ROW(E6448:E$2)*(E6449=E6448:E$2)))))</f>
        <v> </v>
      </c>
      <c r="J6449" s="26" t="str">
        <f>IF(OR(E6449="",E6449="!!!",F6449="NEW"),"",COUNTBLANK(OFFSET(A$1,,,SUMPRODUCT(MAX(ROW(E$2:E6449)*(E6449=E$2:E6449)))))-COUNTBLANK(OFFSET(A$1,,,SUMPRODUCT(MAX(ROW(E$1:E6448)*(E2=E$1:E6448))))))</f>
        <v> </v>
      </c>
      <c r="K6449" s="26" t="str">
        <f>IF(OR(E6449="",E6449="!!!",F6449="NEW"),"",INDEX(J$1:J6448,SUMPRODUCT(MAX(ROW(E$1:E6448)*(E6449=E$1:E6448)))))</f>
        <v> </v>
      </c>
      <c r="L6449" s="27"/>
    </row>
    <row r="6450" spans="1:12">
      <c r="A6450" s="20" t="s">
        <v>1014</v>
      </c>
      <c r="E6450" s="22">
        <f>IF(D6450="?OLD","!!!","")</f>
        <v/>
      </c>
      <c r="F6450" s="23" t="str">
        <f>IF(OR(E6450="",E6450="!!!"),"",IF(NOT(ISNA(VLOOKUP(E6450,E$1:E6449,1,FALSE()))),"OLD",IF(AND(E6450&lt;&gt;"",E6450&lt;&gt;"!!!"),"NEW","")))</f>
        <v> </v>
      </c>
      <c r="G6450" s="24" t="str">
        <f>IF(OR(E6450="",E6450="!!!"),"",IF(OR(J6450=0,AND(J6450=1,K6450=1),AND(J6450=1,I6450="SBJ"),AND(J6450=1,I6450=0)),"?IN_FOCUS",IF(J6450&lt;=2,"?ACTIVATED",IF(J6450&lt;&gt;"","?FAMILIAR",IF(F6450="NEW",IF(ISNA(VLOOKUP(E6450,#REF!,1,FALSE())),"?TYPE_IDENTIFIABLE","?REFERENTIAL"),"_")))))</f>
        <v> </v>
      </c>
      <c r="H6450" s="25" t="str">
        <f>IF(J6450&lt;&gt;1,"",IF(I6450="SBJ","CB","?"))</f>
        <v> </v>
      </c>
      <c r="I6450" s="26" t="str">
        <f>IF(OR(E6450="",E6450="!!!",F6450="NEW"),"",INDEX(B6449:B$2,-1+SUMPRODUCT(MAX(ROW(E6449:E$2)*(E6450=E6449:E$2)))))</f>
        <v> </v>
      </c>
      <c r="J6450" s="26" t="str">
        <f>IF(OR(E6450="",E6450="!!!",F6450="NEW"),"",COUNTBLANK(OFFSET(A$1,,,SUMPRODUCT(MAX(ROW(E$2:E6450)*(E6450=E$2:E6450)))))-COUNTBLANK(OFFSET(A$1,,,SUMPRODUCT(MAX(ROW(E$1:E6449)*(E2=E$1:E6449))))))</f>
        <v> </v>
      </c>
      <c r="K6450" s="26" t="str">
        <f>IF(OR(E6450="",E6450="!!!",F6450="NEW"),"",INDEX(J$1:J6449,SUMPRODUCT(MAX(ROW(E$1:E6449)*(E6450=E$1:E6449)))))</f>
        <v> </v>
      </c>
      <c r="L6450" s="27"/>
    </row>
    <row r="6451" spans="1:12">
      <c r="A6451" s="20" t="s">
        <v>102</v>
      </c>
      <c r="E6451" s="22">
        <f>IF(D6451="?OLD","!!!","")</f>
        <v/>
      </c>
      <c r="F6451" s="23" t="str">
        <f>IF(OR(E6451="",E6451="!!!"),"",IF(NOT(ISNA(VLOOKUP(E6451,E$1:E6450,1,FALSE()))),"OLD",IF(AND(E6451&lt;&gt;"",E6451&lt;&gt;"!!!"),"NEW","")))</f>
        <v> </v>
      </c>
      <c r="G6451" s="24" t="str">
        <f>IF(OR(E6451="",E6451="!!!"),"",IF(OR(J6451=0,AND(J6451=1,K6451=1),AND(J6451=1,I6451="SBJ"),AND(J6451=1,I6451=0)),"?IN_FOCUS",IF(J6451&lt;=2,"?ACTIVATED",IF(J6451&lt;&gt;"","?FAMILIAR",IF(F6451="NEW",IF(ISNA(VLOOKUP(E6451,#REF!,1,FALSE())),"?TYPE_IDENTIFIABLE","?REFERENTIAL"),"_")))))</f>
        <v> </v>
      </c>
      <c r="H6451" s="25" t="str">
        <f>IF(J6451&lt;&gt;1,"",IF(I6451="SBJ","CB","?"))</f>
        <v> </v>
      </c>
      <c r="I6451" s="26" t="str">
        <f>IF(OR(E6451="",E6451="!!!",F6451="NEW"),"",INDEX(B6450:B$2,-1+SUMPRODUCT(MAX(ROW(E6450:E$2)*(E6451=E6450:E$2)))))</f>
        <v> </v>
      </c>
      <c r="J6451" s="26" t="str">
        <f>IF(OR(E6451="",E6451="!!!",F6451="NEW"),"",COUNTBLANK(OFFSET(A$1,,,SUMPRODUCT(MAX(ROW(E$2:E6451)*(E6451=E$2:E6451)))))-COUNTBLANK(OFFSET(A$1,,,SUMPRODUCT(MAX(ROW(E$1:E6450)*(E2=E$1:E6450))))))</f>
        <v> </v>
      </c>
      <c r="K6451" s="26" t="str">
        <f>IF(OR(E6451="",E6451="!!!",F6451="NEW"),"",INDEX(J$1:J6450,SUMPRODUCT(MAX(ROW(E$1:E6450)*(E6451=E$1:E6450)))))</f>
        <v> </v>
      </c>
      <c r="L6451" s="27"/>
    </row>
    <row r="6452" spans="1:12">
      <c r="A6452" s="20" t="s">
        <v>2001</v>
      </c>
      <c r="B6452" s="21" t="s">
        <v>1033</v>
      </c>
      <c r="C6452" s="21" t="s">
        <v>1017</v>
      </c>
      <c r="D6452" s="21" t="s">
        <v>1007</v>
      </c>
      <c r="E6452" s="22">
        <f>IF(D6452="?OLD","!!!","")</f>
        <v/>
      </c>
      <c r="F6452" s="23" t="str">
        <f>IF(OR(E6452="",E6452="!!!"),"",IF(NOT(ISNA(VLOOKUP(E6452,E$1:E6451,1,FALSE()))),"OLD",IF(AND(E6452&lt;&gt;"",E6452&lt;&gt;"!!!"),"NEW","")))</f>
        <v> </v>
      </c>
      <c r="G6452" s="24" t="str">
        <f>IF(OR(E6452="",E6452="!!!"),"",IF(OR(J6452=0,AND(J6452=1,K6452=1),AND(J6452=1,I6452="SBJ"),AND(J6452=1,I6452=0)),"?IN_FOCUS",IF(J6452&lt;=2,"?ACTIVATED",IF(J6452&lt;&gt;"","?FAMILIAR",IF(F6452="NEW",IF(ISNA(VLOOKUP(E6452,#REF!,1,FALSE())),"?TYPE_IDENTIFIABLE","?REFERENTIAL"),"_")))))</f>
        <v> </v>
      </c>
      <c r="H6452" s="25" t="str">
        <f>IF(J6452&lt;&gt;1,"",IF(I6452="SBJ","CB","?"))</f>
        <v> </v>
      </c>
      <c r="I6452" s="26" t="str">
        <f>IF(OR(E6452="",E6452="!!!",F6452="NEW"),"",INDEX(B6451:B$2,-1+SUMPRODUCT(MAX(ROW(E6451:E$2)*(E6452=E6451:E$2)))))</f>
        <v> </v>
      </c>
      <c r="J6452" s="26" t="str">
        <f>IF(OR(E6452="",E6452="!!!",F6452="NEW"),"",COUNTBLANK(OFFSET(A$1,,,SUMPRODUCT(MAX(ROW(E$2:E6452)*(E6452=E$2:E6452)))))-COUNTBLANK(OFFSET(A$1,,,SUMPRODUCT(MAX(ROW(E$1:E6451)*(E2=E$1:E6451))))))</f>
        <v> </v>
      </c>
      <c r="K6452" s="26" t="str">
        <f>IF(OR(E6452="",E6452="!!!",F6452="NEW"),"",INDEX(J$1:J6451,SUMPRODUCT(MAX(ROW(E$1:E6451)*(E6452=E$1:E6451)))))</f>
        <v> </v>
      </c>
      <c r="L6452" s="27"/>
    </row>
    <row r="6453" spans="1:12">
      <c r="A6453" s="20" t="s">
        <v>1267</v>
      </c>
      <c r="E6453" s="22">
        <f>IF(D6453="?OLD","!!!","")</f>
        <v/>
      </c>
      <c r="F6453" s="23" t="str">
        <f>IF(OR(E6453="",E6453="!!!"),"",IF(NOT(ISNA(VLOOKUP(E6453,E$1:E6452,1,FALSE()))),"OLD",IF(AND(E6453&lt;&gt;"",E6453&lt;&gt;"!!!"),"NEW","")))</f>
        <v> </v>
      </c>
      <c r="G6453" s="24" t="str">
        <f>IF(OR(E6453="",E6453="!!!"),"",IF(OR(J6453=0,AND(J6453=1,K6453=1),AND(J6453=1,I6453="SBJ"),AND(J6453=1,I6453=0)),"?IN_FOCUS",IF(J6453&lt;=2,"?ACTIVATED",IF(J6453&lt;&gt;"","?FAMILIAR",IF(F6453="NEW",IF(ISNA(VLOOKUP(E6453,#REF!,1,FALSE())),"?TYPE_IDENTIFIABLE","?REFERENTIAL"),"_")))))</f>
        <v> </v>
      </c>
      <c r="H6453" s="25" t="str">
        <f>IF(J6453&lt;&gt;1,"",IF(I6453="SBJ","CB","?"))</f>
        <v> </v>
      </c>
      <c r="I6453" s="26" t="str">
        <f>IF(OR(E6453="",E6453="!!!",F6453="NEW"),"",INDEX(B6452:B$2,-1+SUMPRODUCT(MAX(ROW(E6452:E$2)*(E6453=E6452:E$2)))))</f>
        <v> </v>
      </c>
      <c r="J6453" s="26" t="str">
        <f>IF(OR(E6453="",E6453="!!!",F6453="NEW"),"",COUNTBLANK(OFFSET(A$1,,,SUMPRODUCT(MAX(ROW(E$2:E6453)*(E6453=E$2:E6453)))))-COUNTBLANK(OFFSET(A$1,,,SUMPRODUCT(MAX(ROW(E$1:E6452)*(E2=E$1:E6452))))))</f>
        <v> </v>
      </c>
      <c r="K6453" s="26" t="str">
        <f>IF(OR(E6453="",E6453="!!!",F6453="NEW"),"",INDEX(J$1:J6452,SUMPRODUCT(MAX(ROW(E$1:E6452)*(E6453=E$1:E6452)))))</f>
        <v> </v>
      </c>
      <c r="L6453" s="27"/>
    </row>
    <row r="6454" spans="1:12">
      <c r="A6454" s="20" t="s">
        <v>56</v>
      </c>
      <c r="E6454" s="22">
        <f>IF(D6454="?OLD","!!!","")</f>
        <v/>
      </c>
      <c r="F6454" s="23" t="str">
        <f>IF(OR(E6454="",E6454="!!!"),"",IF(NOT(ISNA(VLOOKUP(E6454,E$1:E6453,1,FALSE()))),"OLD",IF(AND(E6454&lt;&gt;"",E6454&lt;&gt;"!!!"),"NEW","")))</f>
        <v> </v>
      </c>
      <c r="G6454" s="24" t="str">
        <f>IF(OR(E6454="",E6454="!!!"),"",IF(OR(J6454=0,AND(J6454=1,K6454=1),AND(J6454=1,I6454="SBJ"),AND(J6454=1,I6454=0)),"?IN_FOCUS",IF(J6454&lt;=2,"?ACTIVATED",IF(J6454&lt;&gt;"","?FAMILIAR",IF(F6454="NEW",IF(ISNA(VLOOKUP(E6454,#REF!,1,FALSE())),"?TYPE_IDENTIFIABLE","?REFERENTIAL"),"_")))))</f>
        <v> </v>
      </c>
      <c r="H6454" s="25" t="str">
        <f>IF(J6454&lt;&gt;1,"",IF(I6454="SBJ","CB","?"))</f>
        <v> </v>
      </c>
      <c r="I6454" s="26" t="str">
        <f>IF(OR(E6454="",E6454="!!!",F6454="NEW"),"",INDEX(B6453:B$2,-1+SUMPRODUCT(MAX(ROW(E6453:E$2)*(E6454=E6453:E$2)))))</f>
        <v> </v>
      </c>
      <c r="J6454" s="26" t="str">
        <f>IF(OR(E6454="",E6454="!!!",F6454="NEW"),"",COUNTBLANK(OFFSET(A$1,,,SUMPRODUCT(MAX(ROW(E$2:E6454)*(E6454=E$2:E6454)))))-COUNTBLANK(OFFSET(A$1,,,SUMPRODUCT(MAX(ROW(E$1:E6453)*(E2=E$1:E6453))))))</f>
        <v> </v>
      </c>
      <c r="K6454" s="26" t="str">
        <f>IF(OR(E6454="",E6454="!!!",F6454="NEW"),"",INDEX(J$1:J6453,SUMPRODUCT(MAX(ROW(E$1:E6453)*(E6454=E$1:E6453)))))</f>
        <v> </v>
      </c>
      <c r="L6454" s="27"/>
    </row>
    <row r="6455" spans="1:12">
      <c r="A6455" s="20" t="s">
        <v>1014</v>
      </c>
      <c r="E6455" s="22">
        <f>IF(D6455="?OLD","!!!","")</f>
        <v/>
      </c>
      <c r="F6455" s="23" t="str">
        <f>IF(OR(E6455="",E6455="!!!"),"",IF(NOT(ISNA(VLOOKUP(E6455,E$1:E6454,1,FALSE()))),"OLD",IF(AND(E6455&lt;&gt;"",E6455&lt;&gt;"!!!"),"NEW","")))</f>
        <v> </v>
      </c>
      <c r="G6455" s="24" t="str">
        <f>IF(OR(E6455="",E6455="!!!"),"",IF(OR(J6455=0,AND(J6455=1,K6455=1),AND(J6455=1,I6455="SBJ"),AND(J6455=1,I6455=0)),"?IN_FOCUS",IF(J6455&lt;=2,"?ACTIVATED",IF(J6455&lt;&gt;"","?FAMILIAR",IF(F6455="NEW",IF(ISNA(VLOOKUP(E6455,#REF!,1,FALSE())),"?TYPE_IDENTIFIABLE","?REFERENTIAL"),"_")))))</f>
        <v> </v>
      </c>
      <c r="H6455" s="25" t="str">
        <f>IF(J6455&lt;&gt;1,"",IF(I6455="SBJ","CB","?"))</f>
        <v> </v>
      </c>
      <c r="I6455" s="26" t="str">
        <f>IF(OR(E6455="",E6455="!!!",F6455="NEW"),"",INDEX(B6454:B$2,-1+SUMPRODUCT(MAX(ROW(E6454:E$2)*(E6455=E6454:E$2)))))</f>
        <v> </v>
      </c>
      <c r="J6455" s="26" t="str">
        <f>IF(OR(E6455="",E6455="!!!",F6455="NEW"),"",COUNTBLANK(OFFSET(A$1,,,SUMPRODUCT(MAX(ROW(E$2:E6455)*(E6455=E$2:E6455)))))-COUNTBLANK(OFFSET(A$1,,,SUMPRODUCT(MAX(ROW(E$1:E6454)*(E2=E$1:E6454))))))</f>
        <v> </v>
      </c>
      <c r="K6455" s="26" t="str">
        <f>IF(OR(E6455="",E6455="!!!",F6455="NEW"),"",INDEX(J$1:J6454,SUMPRODUCT(MAX(ROW(E$1:E6454)*(E6455=E$1:E6454)))))</f>
        <v> </v>
      </c>
      <c r="L6455" s="27"/>
    </row>
    <row r="6456" spans="1:12">
      <c r="A6456" s="20" t="s">
        <v>1015</v>
      </c>
      <c r="E6456" s="22">
        <f>IF(D6456="?OLD","!!!","")</f>
        <v/>
      </c>
      <c r="F6456" s="23" t="str">
        <f>IF(OR(E6456="",E6456="!!!"),"",IF(NOT(ISNA(VLOOKUP(E6456,E$1:E6455,1,FALSE()))),"OLD",IF(AND(E6456&lt;&gt;"",E6456&lt;&gt;"!!!"),"NEW","")))</f>
        <v> </v>
      </c>
      <c r="G6456" s="24" t="str">
        <f>IF(OR(E6456="",E6456="!!!"),"",IF(OR(J6456=0,AND(J6456=1,K6456=1),AND(J6456=1,I6456="SBJ"),AND(J6456=1,I6456=0)),"?IN_FOCUS",IF(J6456&lt;=2,"?ACTIVATED",IF(J6456&lt;&gt;"","?FAMILIAR",IF(F6456="NEW",IF(ISNA(VLOOKUP(E6456,#REF!,1,FALSE())),"?TYPE_IDENTIFIABLE","?REFERENTIAL"),"_")))))</f>
        <v> </v>
      </c>
      <c r="H6456" s="25" t="str">
        <f>IF(J6456&lt;&gt;1,"",IF(I6456="SBJ","CB","?"))</f>
        <v> </v>
      </c>
      <c r="I6456" s="26" t="str">
        <f>IF(OR(E6456="",E6456="!!!",F6456="NEW"),"",INDEX(B6455:B$2,-1+SUMPRODUCT(MAX(ROW(E6455:E$2)*(E6456=E6455:E$2)))))</f>
        <v> </v>
      </c>
      <c r="J6456" s="26" t="str">
        <f>IF(OR(E6456="",E6456="!!!",F6456="NEW"),"",COUNTBLANK(OFFSET(A$1,,,SUMPRODUCT(MAX(ROW(E$2:E6456)*(E6456=E$2:E6456)))))-COUNTBLANK(OFFSET(A$1,,,SUMPRODUCT(MAX(ROW(E$1:E6455)*(E2=E$1:E6455))))))</f>
        <v> </v>
      </c>
      <c r="K6456" s="26" t="str">
        <f>IF(OR(E6456="",E6456="!!!",F6456="NEW"),"",INDEX(J$1:J6455,SUMPRODUCT(MAX(ROW(E$1:E6455)*(E6456=E$1:E6455)))))</f>
        <v> </v>
      </c>
      <c r="L6456" s="27"/>
    </row>
    <row r="6457" spans="1:12">
      <c r="A6457" s="20" t="s">
        <v>2681</v>
      </c>
      <c r="B6457" s="21" t="s">
        <v>1035</v>
      </c>
      <c r="C6457" s="21" t="s">
        <v>1013</v>
      </c>
      <c r="D6457" s="21" t="s">
        <v>1007</v>
      </c>
      <c r="E6457" s="22">
        <f>IF(D6457="?OLD","!!!","")</f>
        <v/>
      </c>
      <c r="F6457" s="23" t="str">
        <f>IF(OR(E6457="",E6457="!!!"),"",IF(NOT(ISNA(VLOOKUP(E6457,E$1:E6456,1,FALSE()))),"OLD",IF(AND(E6457&lt;&gt;"",E6457&lt;&gt;"!!!"),"NEW","")))</f>
        <v> </v>
      </c>
      <c r="G6457" s="24" t="str">
        <f>IF(OR(E6457="",E6457="!!!"),"",IF(OR(J6457=0,AND(J6457=1,K6457=1),AND(J6457=1,I6457="SBJ"),AND(J6457=1,I6457=0)),"?IN_FOCUS",IF(J6457&lt;=2,"?ACTIVATED",IF(J6457&lt;&gt;"","?FAMILIAR",IF(F6457="NEW",IF(ISNA(VLOOKUP(E6457,#REF!,1,FALSE())),"?TYPE_IDENTIFIABLE","?REFERENTIAL"),"_")))))</f>
        <v> </v>
      </c>
      <c r="H6457" s="25" t="str">
        <f>IF(J6457&lt;&gt;1,"",IF(I6457="SBJ","CB","?"))</f>
        <v> </v>
      </c>
      <c r="I6457" s="26" t="str">
        <f>IF(OR(E6457="",E6457="!!!",F6457="NEW"),"",INDEX(B6456:B$2,-1+SUMPRODUCT(MAX(ROW(E6456:E$2)*(E6457=E6456:E$2)))))</f>
        <v> </v>
      </c>
      <c r="J6457" s="26" t="str">
        <f>IF(OR(E6457="",E6457="!!!",F6457="NEW"),"",COUNTBLANK(OFFSET(A$1,,,SUMPRODUCT(MAX(ROW(E$2:E6457)*(E6457=E$2:E6457)))))-COUNTBLANK(OFFSET(A$1,,,SUMPRODUCT(MAX(ROW(E$1:E6456)*(E2=E$1:E6456))))))</f>
        <v> </v>
      </c>
      <c r="K6457" s="26" t="str">
        <f>IF(OR(E6457="",E6457="!!!",F6457="NEW"),"",INDEX(J$1:J6456,SUMPRODUCT(MAX(ROW(E$1:E6456)*(E6457=E$1:E6456)))))</f>
        <v> </v>
      </c>
      <c r="L6457" s="27"/>
    </row>
    <row r="6458" spans="1:12">
      <c r="A6458" s="20" t="s">
        <v>2684</v>
      </c>
      <c r="E6458" s="22">
        <f>IF(D6458="?OLD","!!!","")</f>
        <v/>
      </c>
      <c r="F6458" s="23" t="str">
        <f>IF(OR(E6458="",E6458="!!!"),"",IF(NOT(ISNA(VLOOKUP(E6458,E$1:E6457,1,FALSE()))),"OLD",IF(AND(E6458&lt;&gt;"",E6458&lt;&gt;"!!!"),"NEW","")))</f>
        <v> </v>
      </c>
      <c r="G6458" s="24" t="str">
        <f>IF(OR(E6458="",E6458="!!!"),"",IF(OR(J6458=0,AND(J6458=1,K6458=1),AND(J6458=1,I6458="SBJ"),AND(J6458=1,I6458=0)),"?IN_FOCUS",IF(J6458&lt;=2,"?ACTIVATED",IF(J6458&lt;&gt;"","?FAMILIAR",IF(F6458="NEW",IF(ISNA(VLOOKUP(E6458,#REF!,1,FALSE())),"?TYPE_IDENTIFIABLE","?REFERENTIAL"),"_")))))</f>
        <v> </v>
      </c>
      <c r="H6458" s="25" t="str">
        <f>IF(J6458&lt;&gt;1,"",IF(I6458="SBJ","CB","?"))</f>
        <v> </v>
      </c>
      <c r="I6458" s="26" t="str">
        <f>IF(OR(E6458="",E6458="!!!",F6458="NEW"),"",INDEX(B6457:B$2,-1+SUMPRODUCT(MAX(ROW(E6457:E$2)*(E6458=E6457:E$2)))))</f>
        <v> </v>
      </c>
      <c r="J6458" s="26" t="str">
        <f>IF(OR(E6458="",E6458="!!!",F6458="NEW"),"",COUNTBLANK(OFFSET(A$1,,,SUMPRODUCT(MAX(ROW(E$2:E6458)*(E6458=E$2:E6458)))))-COUNTBLANK(OFFSET(A$1,,,SUMPRODUCT(MAX(ROW(E$1:E6457)*(E2=E$1:E6457))))))</f>
        <v> </v>
      </c>
      <c r="K6458" s="26" t="str">
        <f>IF(OR(E6458="",E6458="!!!",F6458="NEW"),"",INDEX(J$1:J6457,SUMPRODUCT(MAX(ROW(E$1:E6457)*(E6458=E$1:E6457)))))</f>
        <v> </v>
      </c>
      <c r="L6458" s="27"/>
    </row>
    <row r="6459" spans="1:12">
      <c r="A6459" s="20" t="s">
        <v>1020</v>
      </c>
      <c r="E6459" s="22">
        <f>IF(D6459="?OLD","!!!","")</f>
        <v/>
      </c>
      <c r="F6459" s="23" t="str">
        <f>IF(OR(E6459="",E6459="!!!"),"",IF(NOT(ISNA(VLOOKUP(E6459,E$1:E6458,1,FALSE()))),"OLD",IF(AND(E6459&lt;&gt;"",E6459&lt;&gt;"!!!"),"NEW","")))</f>
        <v> </v>
      </c>
      <c r="G6459" s="24" t="str">
        <f>IF(OR(E6459="",E6459="!!!"),"",IF(OR(J6459=0,AND(J6459=1,K6459=1),AND(J6459=1,I6459="SBJ"),AND(J6459=1,I6459=0)),"?IN_FOCUS",IF(J6459&lt;=2,"?ACTIVATED",IF(J6459&lt;&gt;"","?FAMILIAR",IF(F6459="NEW",IF(ISNA(VLOOKUP(E6459,#REF!,1,FALSE())),"?TYPE_IDENTIFIABLE","?REFERENTIAL"),"_")))))</f>
        <v> </v>
      </c>
      <c r="H6459" s="25" t="str">
        <f>IF(J6459&lt;&gt;1,"",IF(I6459="SBJ","CB","?"))</f>
        <v> </v>
      </c>
      <c r="I6459" s="26" t="str">
        <f>IF(OR(E6459="",E6459="!!!",F6459="NEW"),"",INDEX(B6458:B$2,-1+SUMPRODUCT(MAX(ROW(E6458:E$2)*(E6459=E6458:E$2)))))</f>
        <v> </v>
      </c>
      <c r="J6459" s="26" t="str">
        <f>IF(OR(E6459="",E6459="!!!",F6459="NEW"),"",COUNTBLANK(OFFSET(A$1,,,SUMPRODUCT(MAX(ROW(E$2:E6459)*(E6459=E$2:E6459)))))-COUNTBLANK(OFFSET(A$1,,,SUMPRODUCT(MAX(ROW(E$1:E6458)*(E2=E$1:E6458))))))</f>
        <v> </v>
      </c>
      <c r="K6459" s="26" t="str">
        <f>IF(OR(E6459="",E6459="!!!",F6459="NEW"),"",INDEX(J$1:J6458,SUMPRODUCT(MAX(ROW(E$1:E6458)*(E6459=E$1:E6458)))))</f>
        <v> </v>
      </c>
      <c r="L6459" s="27"/>
    </row>
    <row r="6460" spans="1:12">
      <c r="A6460" s="20" t="s">
        <v>1020</v>
      </c>
      <c r="E6460" s="22">
        <f>IF(D6460="?OLD","!!!","")</f>
        <v/>
      </c>
      <c r="F6460" s="23" t="str">
        <f>IF(OR(E6460="",E6460="!!!"),"",IF(NOT(ISNA(VLOOKUP(E6460,E$1:E6459,1,FALSE()))),"OLD",IF(AND(E6460&lt;&gt;"",E6460&lt;&gt;"!!!"),"NEW","")))</f>
        <v> </v>
      </c>
      <c r="G6460" s="24" t="str">
        <f>IF(OR(E6460="",E6460="!!!"),"",IF(OR(J6460=0,AND(J6460=1,K6460=1),AND(J6460=1,I6460="SBJ"),AND(J6460=1,I6460=0)),"?IN_FOCUS",IF(J6460&lt;=2,"?ACTIVATED",IF(J6460&lt;&gt;"","?FAMILIAR",IF(F6460="NEW",IF(ISNA(VLOOKUP(E6460,#REF!,1,FALSE())),"?TYPE_IDENTIFIABLE","?REFERENTIAL"),"_")))))</f>
        <v> </v>
      </c>
      <c r="H6460" s="25" t="str">
        <f>IF(J6460&lt;&gt;1,"",IF(I6460="SBJ","CB","?"))</f>
        <v> </v>
      </c>
      <c r="I6460" s="26" t="str">
        <f>IF(OR(E6460="",E6460="!!!",F6460="NEW"),"",INDEX(B6459:B$2,-1+SUMPRODUCT(MAX(ROW(E6459:E$2)*(E6460=E6459:E$2)))))</f>
        <v> </v>
      </c>
      <c r="J6460" s="26" t="str">
        <f>IF(OR(E6460="",E6460="!!!",F6460="NEW"),"",COUNTBLANK(OFFSET(A$1,,,SUMPRODUCT(MAX(ROW(E$2:E6460)*(E6460=E$2:E6460)))))-COUNTBLANK(OFFSET(A$1,,,SUMPRODUCT(MAX(ROW(E$1:E6459)*(E2=E$1:E6459))))))</f>
        <v> </v>
      </c>
      <c r="K6460" s="26" t="str">
        <f>IF(OR(E6460="",E6460="!!!",F6460="NEW"),"",INDEX(J$1:J6459,SUMPRODUCT(MAX(ROW(E$1:E6459)*(E6460=E$1:E6459)))))</f>
        <v> </v>
      </c>
      <c r="L6460" s="27"/>
    </row>
    <row r="6461" spans="1:12">
      <c r="A6461" s="20" t="s">
        <v>2685</v>
      </c>
      <c r="B6461" s="21" t="s">
        <v>1130</v>
      </c>
      <c r="C6461" s="21" t="s">
        <v>1013</v>
      </c>
      <c r="D6461" s="21" t="s">
        <v>1007</v>
      </c>
      <c r="E6461" s="22">
        <f>IF(D6461="?OLD","!!!","")</f>
        <v/>
      </c>
      <c r="F6461" s="23" t="str">
        <f>IF(OR(E6461="",E6461="!!!"),"",IF(NOT(ISNA(VLOOKUP(E6461,E$1:E6460,1,FALSE()))),"OLD",IF(AND(E6461&lt;&gt;"",E6461&lt;&gt;"!!!"),"NEW","")))</f>
        <v> </v>
      </c>
      <c r="G6461" s="24" t="str">
        <f>IF(OR(E6461="",E6461="!!!"),"",IF(OR(J6461=0,AND(J6461=1,K6461=1),AND(J6461=1,I6461="SBJ"),AND(J6461=1,I6461=0)),"?IN_FOCUS",IF(J6461&lt;=2,"?ACTIVATED",IF(J6461&lt;&gt;"","?FAMILIAR",IF(F6461="NEW",IF(ISNA(VLOOKUP(E6461,#REF!,1,FALSE())),"?TYPE_IDENTIFIABLE","?REFERENTIAL"),"_")))))</f>
        <v> </v>
      </c>
      <c r="H6461" s="25" t="str">
        <f>IF(J6461&lt;&gt;1,"",IF(I6461="SBJ","CB","?"))</f>
        <v> </v>
      </c>
      <c r="I6461" s="26" t="str">
        <f>IF(OR(E6461="",E6461="!!!",F6461="NEW"),"",INDEX(B6460:B$2,-1+SUMPRODUCT(MAX(ROW(E6460:E$2)*(E6461=E6460:E$2)))))</f>
        <v> </v>
      </c>
      <c r="J6461" s="26" t="str">
        <f>IF(OR(E6461="",E6461="!!!",F6461="NEW"),"",COUNTBLANK(OFFSET(A$1,,,SUMPRODUCT(MAX(ROW(E$2:E6461)*(E6461=E$2:E6461)))))-COUNTBLANK(OFFSET(A$1,,,SUMPRODUCT(MAX(ROW(E$1:E6460)*(E2=E$1:E6460))))))</f>
        <v> </v>
      </c>
      <c r="K6461" s="26" t="str">
        <f>IF(OR(E6461="",E6461="!!!",F6461="NEW"),"",INDEX(J$1:J6460,SUMPRODUCT(MAX(ROW(E$1:E6460)*(E6461=E$1:E6460)))))</f>
        <v> </v>
      </c>
      <c r="L6461" s="27"/>
    </row>
    <row r="6462" spans="1:12">
      <c r="A6462" s="20" t="s">
        <v>2686</v>
      </c>
      <c r="E6462" s="22">
        <f>IF(D6462="?OLD","!!!","")</f>
        <v/>
      </c>
      <c r="F6462" s="23" t="str">
        <f>IF(OR(E6462="",E6462="!!!"),"",IF(NOT(ISNA(VLOOKUP(E6462,E$1:E6461,1,FALSE()))),"OLD",IF(AND(E6462&lt;&gt;"",E6462&lt;&gt;"!!!"),"NEW","")))</f>
        <v> </v>
      </c>
      <c r="G6462" s="24" t="str">
        <f>IF(OR(E6462="",E6462="!!!"),"",IF(OR(J6462=0,AND(J6462=1,K6462=1),AND(J6462=1,I6462="SBJ"),AND(J6462=1,I6462=0)),"?IN_FOCUS",IF(J6462&lt;=2,"?ACTIVATED",IF(J6462&lt;&gt;"","?FAMILIAR",IF(F6462="NEW",IF(ISNA(VLOOKUP(E6462,#REF!,1,FALSE())),"?TYPE_IDENTIFIABLE","?REFERENTIAL"),"_")))))</f>
        <v> </v>
      </c>
      <c r="H6462" s="25" t="str">
        <f>IF(J6462&lt;&gt;1,"",IF(I6462="SBJ","CB","?"))</f>
        <v> </v>
      </c>
      <c r="I6462" s="26" t="str">
        <f>IF(OR(E6462="",E6462="!!!",F6462="NEW"),"",INDEX(B6461:B$2,-1+SUMPRODUCT(MAX(ROW(E6461:E$2)*(E6462=E6461:E$2)))))</f>
        <v> </v>
      </c>
      <c r="J6462" s="26" t="str">
        <f>IF(OR(E6462="",E6462="!!!",F6462="NEW"),"",COUNTBLANK(OFFSET(A$1,,,SUMPRODUCT(MAX(ROW(E$2:E6462)*(E6462=E$2:E6462)))))-COUNTBLANK(OFFSET(A$1,,,SUMPRODUCT(MAX(ROW(E$1:E6461)*(E2=E$1:E6461))))))</f>
        <v> </v>
      </c>
      <c r="K6462" s="26" t="str">
        <f>IF(OR(E6462="",E6462="!!!",F6462="NEW"),"",INDEX(J$1:J6461,SUMPRODUCT(MAX(ROW(E$1:E6461)*(E6462=E$1:E6461)))))</f>
        <v> </v>
      </c>
      <c r="L6462" s="27"/>
    </row>
    <row r="6463" spans="1:12">
      <c r="A6463" s="20" t="s">
        <v>1030</v>
      </c>
      <c r="E6463" s="22">
        <f>IF(D6463="?OLD","!!!","")</f>
        <v/>
      </c>
      <c r="F6463" s="23" t="str">
        <f>IF(OR(E6463="",E6463="!!!"),"",IF(NOT(ISNA(VLOOKUP(E6463,E$1:E6462,1,FALSE()))),"OLD",IF(AND(E6463&lt;&gt;"",E6463&lt;&gt;"!!!"),"NEW","")))</f>
        <v> </v>
      </c>
      <c r="G6463" s="24" t="str">
        <f>IF(OR(E6463="",E6463="!!!"),"",IF(OR(J6463=0,AND(J6463=1,K6463=1),AND(J6463=1,I6463="SBJ"),AND(J6463=1,I6463=0)),"?IN_FOCUS",IF(J6463&lt;=2,"?ACTIVATED",IF(J6463&lt;&gt;"","?FAMILIAR",IF(F6463="NEW",IF(ISNA(VLOOKUP(E6463,#REF!,1,FALSE())),"?TYPE_IDENTIFIABLE","?REFERENTIAL"),"_")))))</f>
        <v> </v>
      </c>
      <c r="H6463" s="25" t="str">
        <f>IF(J6463&lt;&gt;1,"",IF(I6463="SBJ","CB","?"))</f>
        <v> </v>
      </c>
      <c r="I6463" s="26" t="str">
        <f>IF(OR(E6463="",E6463="!!!",F6463="NEW"),"",INDEX(B6462:B$2,-1+SUMPRODUCT(MAX(ROW(E6462:E$2)*(E6463=E6462:E$2)))))</f>
        <v> </v>
      </c>
      <c r="J6463" s="26" t="str">
        <f>IF(OR(E6463="",E6463="!!!",F6463="NEW"),"",COUNTBLANK(OFFSET(A$1,,,SUMPRODUCT(MAX(ROW(E$2:E6463)*(E6463=E$2:E6463)))))-COUNTBLANK(OFFSET(A$1,,,SUMPRODUCT(MAX(ROW(E$1:E6462)*(E2=E$1:E6462))))))</f>
        <v> </v>
      </c>
      <c r="K6463" s="26" t="str">
        <f>IF(OR(E6463="",E6463="!!!",F6463="NEW"),"",INDEX(J$1:J6462,SUMPRODUCT(MAX(ROW(E$1:E6462)*(E6463=E$1:E6462)))))</f>
        <v> </v>
      </c>
      <c r="L6463" s="27"/>
    </row>
    <row r="6464" spans="1:12">
      <c r="A6464" s="20" t="s">
        <v>1015</v>
      </c>
      <c r="E6464" s="22">
        <f>IF(D6464="?OLD","!!!","")</f>
        <v/>
      </c>
      <c r="F6464" s="23" t="str">
        <f>IF(OR(E6464="",E6464="!!!"),"",IF(NOT(ISNA(VLOOKUP(E6464,E$1:E6463,1,FALSE()))),"OLD",IF(AND(E6464&lt;&gt;"",E6464&lt;&gt;"!!!"),"NEW","")))</f>
        <v> </v>
      </c>
      <c r="G6464" s="24" t="str">
        <f>IF(OR(E6464="",E6464="!!!"),"",IF(OR(J6464=0,AND(J6464=1,K6464=1),AND(J6464=1,I6464="SBJ"),AND(J6464=1,I6464=0)),"?IN_FOCUS",IF(J6464&lt;=2,"?ACTIVATED",IF(J6464&lt;&gt;"","?FAMILIAR",IF(F6464="NEW",IF(ISNA(VLOOKUP(E6464,#REF!,1,FALSE())),"?TYPE_IDENTIFIABLE","?REFERENTIAL"),"_")))))</f>
        <v> </v>
      </c>
      <c r="H6464" s="25" t="str">
        <f>IF(J6464&lt;&gt;1,"",IF(I6464="SBJ","CB","?"))</f>
        <v> </v>
      </c>
      <c r="I6464" s="26" t="str">
        <f>IF(OR(E6464="",E6464="!!!",F6464="NEW"),"",INDEX(B6463:B$2,-1+SUMPRODUCT(MAX(ROW(E6463:E$2)*(E6464=E6463:E$2)))))</f>
        <v> </v>
      </c>
      <c r="J6464" s="26" t="str">
        <f>IF(OR(E6464="",E6464="!!!",F6464="NEW"),"",COUNTBLANK(OFFSET(A$1,,,SUMPRODUCT(MAX(ROW(E$2:E6464)*(E6464=E$2:E6464)))))-COUNTBLANK(OFFSET(A$1,,,SUMPRODUCT(MAX(ROW(E$1:E6463)*(E2=E$1:E6463))))))</f>
        <v> </v>
      </c>
      <c r="K6464" s="26" t="str">
        <f>IF(OR(E6464="",E6464="!!!",F6464="NEW"),"",INDEX(J$1:J6463,SUMPRODUCT(MAX(ROW(E$1:E6463)*(E6464=E$1:E6463)))))</f>
        <v> </v>
      </c>
      <c r="L6464" s="27"/>
    </row>
    <row r="6465" spans="1:12">
      <c r="A6465" s="20" t="s">
        <v>1318</v>
      </c>
      <c r="B6465" s="21" t="s">
        <v>1040</v>
      </c>
      <c r="C6465" s="21" t="s">
        <v>1006</v>
      </c>
      <c r="D6465" s="21" t="s">
        <v>1007</v>
      </c>
      <c r="E6465" s="22">
        <f>IF(D6465="?OLD","!!!","")</f>
        <v/>
      </c>
      <c r="F6465" s="23" t="str">
        <f>IF(OR(E6465="",E6465="!!!"),"",IF(NOT(ISNA(VLOOKUP(E6465,E$1:E6464,1,FALSE()))),"OLD",IF(AND(E6465&lt;&gt;"",E6465&lt;&gt;"!!!"),"NEW","")))</f>
        <v> </v>
      </c>
      <c r="G6465" s="24" t="str">
        <f>IF(OR(E6465="",E6465="!!!"),"",IF(OR(J6465=0,AND(J6465=1,K6465=1),AND(J6465=1,I6465="SBJ"),AND(J6465=1,I6465=0)),"?IN_FOCUS",IF(J6465&lt;=2,"?ACTIVATED",IF(J6465&lt;&gt;"","?FAMILIAR",IF(F6465="NEW",IF(ISNA(VLOOKUP(E6465,#REF!,1,FALSE())),"?TYPE_IDENTIFIABLE","?REFERENTIAL"),"_")))))</f>
        <v> </v>
      </c>
      <c r="H6465" s="25" t="str">
        <f>IF(J6465&lt;&gt;1,"",IF(I6465="SBJ","CB","?"))</f>
        <v> </v>
      </c>
      <c r="I6465" s="26" t="str">
        <f>IF(OR(E6465="",E6465="!!!",F6465="NEW"),"",INDEX(B6464:B$2,-1+SUMPRODUCT(MAX(ROW(E6464:E$2)*(E6465=E6464:E$2)))))</f>
        <v> </v>
      </c>
      <c r="J6465" s="26" t="str">
        <f>IF(OR(E6465="",E6465="!!!",F6465="NEW"),"",COUNTBLANK(OFFSET(A$1,,,SUMPRODUCT(MAX(ROW(E$2:E6465)*(E6465=E$2:E6465)))))-COUNTBLANK(OFFSET(A$1,,,SUMPRODUCT(MAX(ROW(E$1:E6464)*(E2=E$1:E6464))))))</f>
        <v> </v>
      </c>
      <c r="K6465" s="26" t="str">
        <f>IF(OR(E6465="",E6465="!!!",F6465="NEW"),"",INDEX(J$1:J6464,SUMPRODUCT(MAX(ROW(E$1:E6464)*(E6465=E$1:E6464)))))</f>
        <v> </v>
      </c>
      <c r="L6465" s="27"/>
    </row>
    <row r="6466" spans="1:12">
      <c r="A6466" s="20" t="s">
        <v>1319</v>
      </c>
      <c r="B6466" s="21" t="s">
        <v>1042</v>
      </c>
      <c r="C6466" s="21" t="s">
        <v>1006</v>
      </c>
      <c r="D6466" s="21" t="s">
        <v>1007</v>
      </c>
      <c r="E6466" s="22">
        <f>IF(D6466="?OLD","!!!","")</f>
        <v/>
      </c>
      <c r="F6466" s="23" t="str">
        <f>IF(OR(E6466="",E6466="!!!"),"",IF(NOT(ISNA(VLOOKUP(E6466,E$1:E6465,1,FALSE()))),"OLD",IF(AND(E6466&lt;&gt;"",E6466&lt;&gt;"!!!"),"NEW","")))</f>
        <v> </v>
      </c>
      <c r="G6466" s="24" t="str">
        <f>IF(OR(E6466="",E6466="!!!"),"",IF(OR(J6466=0,AND(J6466=1,K6466=1),AND(J6466=1,I6466="SBJ"),AND(J6466=1,I6466=0)),"?IN_FOCUS",IF(J6466&lt;=2,"?ACTIVATED",IF(J6466&lt;&gt;"","?FAMILIAR",IF(F6466="NEW",IF(ISNA(VLOOKUP(E6466,#REF!,1,FALSE())),"?TYPE_IDENTIFIABLE","?REFERENTIAL"),"_")))))</f>
        <v> </v>
      </c>
      <c r="H6466" s="25" t="str">
        <f>IF(J6466&lt;&gt;1,"",IF(I6466="SBJ","CB","?"))</f>
        <v> </v>
      </c>
      <c r="I6466" s="26" t="str">
        <f>IF(OR(E6466="",E6466="!!!",F6466="NEW"),"",INDEX(B6465:B$2,-1+SUMPRODUCT(MAX(ROW(E6465:E$2)*(E6466=E6465:E$2)))))</f>
        <v> </v>
      </c>
      <c r="J6466" s="26" t="str">
        <f>IF(OR(E6466="",E6466="!!!",F6466="NEW"),"",COUNTBLANK(OFFSET(A$1,,,SUMPRODUCT(MAX(ROW(E$2:E6466)*(E6466=E$2:E6466)))))-COUNTBLANK(OFFSET(A$1,,,SUMPRODUCT(MAX(ROW(E$1:E6465)*(E2=E$1:E6465))))))</f>
        <v> </v>
      </c>
      <c r="K6466" s="26" t="str">
        <f>IF(OR(E6466="",E6466="!!!",F6466="NEW"),"",INDEX(J$1:J6465,SUMPRODUCT(MAX(ROW(E$1:E6465)*(E6466=E$1:E6465)))))</f>
        <v> </v>
      </c>
      <c r="L6466" s="27"/>
    </row>
    <row r="6467" spans="1:12">
      <c r="A6467" s="20" t="s">
        <v>56</v>
      </c>
      <c r="E6467" s="22">
        <f>IF(D6467="?OLD","!!!","")</f>
        <v/>
      </c>
      <c r="F6467" s="23" t="str">
        <f>IF(OR(E6467="",E6467="!!!"),"",IF(NOT(ISNA(VLOOKUP(E6467,E$1:E6466,1,FALSE()))),"OLD",IF(AND(E6467&lt;&gt;"",E6467&lt;&gt;"!!!"),"NEW","")))</f>
        <v> </v>
      </c>
      <c r="G6467" s="24" t="str">
        <f>IF(OR(E6467="",E6467="!!!"),"",IF(OR(J6467=0,AND(J6467=1,K6467=1),AND(J6467=1,I6467="SBJ"),AND(J6467=1,I6467=0)),"?IN_FOCUS",IF(J6467&lt;=2,"?ACTIVATED",IF(J6467&lt;&gt;"","?FAMILIAR",IF(F6467="NEW",IF(ISNA(VLOOKUP(E6467,#REF!,1,FALSE())),"?TYPE_IDENTIFIABLE","?REFERENTIAL"),"_")))))</f>
        <v> </v>
      </c>
      <c r="H6467" s="25" t="str">
        <f>IF(J6467&lt;&gt;1,"",IF(I6467="SBJ","CB","?"))</f>
        <v> </v>
      </c>
      <c r="I6467" s="26" t="str">
        <f>IF(OR(E6467="",E6467="!!!",F6467="NEW"),"",INDEX(B6466:B$2,-1+SUMPRODUCT(MAX(ROW(E6466:E$2)*(E6467=E6466:E$2)))))</f>
        <v> </v>
      </c>
      <c r="J6467" s="26" t="str">
        <f>IF(OR(E6467="",E6467="!!!",F6467="NEW"),"",COUNTBLANK(OFFSET(A$1,,,SUMPRODUCT(MAX(ROW(E$2:E6467)*(E6467=E$2:E6467)))))-COUNTBLANK(OFFSET(A$1,,,SUMPRODUCT(MAX(ROW(E$1:E6466)*(E2=E$1:E6466))))))</f>
        <v> </v>
      </c>
      <c r="K6467" s="26" t="str">
        <f>IF(OR(E6467="",E6467="!!!",F6467="NEW"),"",INDEX(J$1:J6466,SUMPRODUCT(MAX(ROW(E$1:E6466)*(E6467=E$1:E6466)))))</f>
        <v> </v>
      </c>
      <c r="L6467" s="27"/>
    </row>
    <row r="6468" spans="1:12">
      <c r="A6468" s="20" t="s">
        <v>1030</v>
      </c>
      <c r="E6468" s="22">
        <f>IF(D6468="?OLD","!!!","")</f>
        <v/>
      </c>
      <c r="F6468" s="23" t="str">
        <f>IF(OR(E6468="",E6468="!!!"),"",IF(NOT(ISNA(VLOOKUP(E6468,E$1:E6467,1,FALSE()))),"OLD",IF(AND(E6468&lt;&gt;"",E6468&lt;&gt;"!!!"),"NEW","")))</f>
        <v> </v>
      </c>
      <c r="G6468" s="24" t="str">
        <f>IF(OR(E6468="",E6468="!!!"),"",IF(OR(J6468=0,AND(J6468=1,K6468=1),AND(J6468=1,I6468="SBJ"),AND(J6468=1,I6468=0)),"?IN_FOCUS",IF(J6468&lt;=2,"?ACTIVATED",IF(J6468&lt;&gt;"","?FAMILIAR",IF(F6468="NEW",IF(ISNA(VLOOKUP(E6468,#REF!,1,FALSE())),"?TYPE_IDENTIFIABLE","?REFERENTIAL"),"_")))))</f>
        <v> </v>
      </c>
      <c r="H6468" s="25" t="str">
        <f>IF(J6468&lt;&gt;1,"",IF(I6468="SBJ","CB","?"))</f>
        <v> </v>
      </c>
      <c r="I6468" s="26" t="str">
        <f>IF(OR(E6468="",E6468="!!!",F6468="NEW"),"",INDEX(B6467:B$2,-1+SUMPRODUCT(MAX(ROW(E6467:E$2)*(E6468=E6467:E$2)))))</f>
        <v> </v>
      </c>
      <c r="J6468" s="26" t="str">
        <f>IF(OR(E6468="",E6468="!!!",F6468="NEW"),"",COUNTBLANK(OFFSET(A$1,,,SUMPRODUCT(MAX(ROW(E$2:E6468)*(E6468=E$2:E6468)))))-COUNTBLANK(OFFSET(A$1,,,SUMPRODUCT(MAX(ROW(E$1:E6467)*(E2=E$1:E6467))))))</f>
        <v> </v>
      </c>
      <c r="K6468" s="26" t="str">
        <f>IF(OR(E6468="",E6468="!!!",F6468="NEW"),"",INDEX(J$1:J6467,SUMPRODUCT(MAX(ROW(E$1:E6467)*(E6468=E$1:E6467)))))</f>
        <v> </v>
      </c>
      <c r="L6468" s="27"/>
    </row>
    <row r="6469" spans="1:12">
      <c r="A6469" s="20" t="s">
        <v>1433</v>
      </c>
      <c r="E6469" s="22">
        <f>IF(D6469="?OLD","!!!","")</f>
        <v/>
      </c>
      <c r="F6469" s="23" t="str">
        <f>IF(OR(E6469="",E6469="!!!"),"",IF(NOT(ISNA(VLOOKUP(E6469,E$1:E6468,1,FALSE()))),"OLD",IF(AND(E6469&lt;&gt;"",E6469&lt;&gt;"!!!"),"NEW","")))</f>
        <v> </v>
      </c>
      <c r="G6469" s="24" t="str">
        <f>IF(OR(E6469="",E6469="!!!"),"",IF(OR(J6469=0,AND(J6469=1,K6469=1),AND(J6469=1,I6469="SBJ"),AND(J6469=1,I6469=0)),"?IN_FOCUS",IF(J6469&lt;=2,"?ACTIVATED",IF(J6469&lt;&gt;"","?FAMILIAR",IF(F6469="NEW",IF(ISNA(VLOOKUP(E6469,#REF!,1,FALSE())),"?TYPE_IDENTIFIABLE","?REFERENTIAL"),"_")))))</f>
        <v> </v>
      </c>
      <c r="H6469" s="25" t="str">
        <f>IF(J6469&lt;&gt;1,"",IF(I6469="SBJ","CB","?"))</f>
        <v> </v>
      </c>
      <c r="I6469" s="26" t="str">
        <f>IF(OR(E6469="",E6469="!!!",F6469="NEW"),"",INDEX(B6468:B$2,-1+SUMPRODUCT(MAX(ROW(E6468:E$2)*(E6469=E6468:E$2)))))</f>
        <v> </v>
      </c>
      <c r="J6469" s="26" t="str">
        <f>IF(OR(E6469="",E6469="!!!",F6469="NEW"),"",COUNTBLANK(OFFSET(A$1,,,SUMPRODUCT(MAX(ROW(E$2:E6469)*(E6469=E$2:E6469)))))-COUNTBLANK(OFFSET(A$1,,,SUMPRODUCT(MAX(ROW(E$1:E6468)*(E2=E$1:E6468))))))</f>
        <v> </v>
      </c>
      <c r="K6469" s="26" t="str">
        <f>IF(OR(E6469="",E6469="!!!",F6469="NEW"),"",INDEX(J$1:J6468,SUMPRODUCT(MAX(ROW(E$1:E6468)*(E6469=E$1:E6468)))))</f>
        <v> </v>
      </c>
      <c r="L6469" s="27"/>
    </row>
    <row r="6470" spans="1:12">
      <c r="A6470" s="20" t="s">
        <v>102</v>
      </c>
      <c r="E6470" s="22">
        <f>IF(D6470="?OLD","!!!","")</f>
        <v/>
      </c>
      <c r="F6470" s="23" t="str">
        <f>IF(OR(E6470="",E6470="!!!"),"",IF(NOT(ISNA(VLOOKUP(E6470,E$1:E6469,1,FALSE()))),"OLD",IF(AND(E6470&lt;&gt;"",E6470&lt;&gt;"!!!"),"NEW","")))</f>
        <v> </v>
      </c>
      <c r="G6470" s="24" t="str">
        <f>IF(OR(E6470="",E6470="!!!"),"",IF(OR(J6470=0,AND(J6470=1,K6470=1),AND(J6470=1,I6470="SBJ"),AND(J6470=1,I6470=0)),"?IN_FOCUS",IF(J6470&lt;=2,"?ACTIVATED",IF(J6470&lt;&gt;"","?FAMILIAR",IF(F6470="NEW",IF(ISNA(VLOOKUP(E6470,#REF!,1,FALSE())),"?TYPE_IDENTIFIABLE","?REFERENTIAL"),"_")))))</f>
        <v> </v>
      </c>
      <c r="H6470" s="25" t="str">
        <f>IF(J6470&lt;&gt;1,"",IF(I6470="SBJ","CB","?"))</f>
        <v> </v>
      </c>
      <c r="I6470" s="26" t="str">
        <f>IF(OR(E6470="",E6470="!!!",F6470="NEW"),"",INDEX(B6469:B$2,-1+SUMPRODUCT(MAX(ROW(E6469:E$2)*(E6470=E6469:E$2)))))</f>
        <v> </v>
      </c>
      <c r="J6470" s="26" t="str">
        <f>IF(OR(E6470="",E6470="!!!",F6470="NEW"),"",COUNTBLANK(OFFSET(A$1,,,SUMPRODUCT(MAX(ROW(E$2:E6470)*(E6470=E$2:E6470)))))-COUNTBLANK(OFFSET(A$1,,,SUMPRODUCT(MAX(ROW(E$1:E6469)*(E2=E$1:E6469))))))</f>
        <v> </v>
      </c>
      <c r="K6470" s="26" t="str">
        <f>IF(OR(E6470="",E6470="!!!",F6470="NEW"),"",INDEX(J$1:J6469,SUMPRODUCT(MAX(ROW(E$1:E6469)*(E6470=E$1:E6469)))))</f>
        <v> </v>
      </c>
      <c r="L6470" s="27"/>
    </row>
    <row r="6471" spans="1:12">
      <c r="A6471" s="20" t="s">
        <v>1156</v>
      </c>
      <c r="B6471" s="21" t="s">
        <v>1040</v>
      </c>
      <c r="C6471" s="21" t="s">
        <v>1017</v>
      </c>
      <c r="D6471" s="21" t="s">
        <v>1007</v>
      </c>
      <c r="E6471" s="22">
        <f>IF(D6471="?OLD","!!!","")</f>
        <v/>
      </c>
      <c r="F6471" s="23" t="str">
        <f>IF(OR(E6471="",E6471="!!!"),"",IF(NOT(ISNA(VLOOKUP(E6471,E$1:E6470,1,FALSE()))),"OLD",IF(AND(E6471&lt;&gt;"",E6471&lt;&gt;"!!!"),"NEW","")))</f>
        <v> </v>
      </c>
      <c r="G6471" s="24" t="str">
        <f>IF(OR(E6471="",E6471="!!!"),"",IF(OR(J6471=0,AND(J6471=1,K6471=1),AND(J6471=1,I6471="SBJ"),AND(J6471=1,I6471=0)),"?IN_FOCUS",IF(J6471&lt;=2,"?ACTIVATED",IF(J6471&lt;&gt;"","?FAMILIAR",IF(F6471="NEW",IF(ISNA(VLOOKUP(E6471,#REF!,1,FALSE())),"?TYPE_IDENTIFIABLE","?REFERENTIAL"),"_")))))</f>
        <v> </v>
      </c>
      <c r="H6471" s="25" t="str">
        <f>IF(J6471&lt;&gt;1,"",IF(I6471="SBJ","CB","?"))</f>
        <v> </v>
      </c>
      <c r="I6471" s="26" t="str">
        <f>IF(OR(E6471="",E6471="!!!",F6471="NEW"),"",INDEX(B6470:B$2,-1+SUMPRODUCT(MAX(ROW(E6470:E$2)*(E6471=E6470:E$2)))))</f>
        <v> </v>
      </c>
      <c r="J6471" s="26" t="str">
        <f>IF(OR(E6471="",E6471="!!!",F6471="NEW"),"",COUNTBLANK(OFFSET(A$1,,,SUMPRODUCT(MAX(ROW(E$2:E6471)*(E6471=E$2:E6471)))))-COUNTBLANK(OFFSET(A$1,,,SUMPRODUCT(MAX(ROW(E$1:E6470)*(E2=E$1:E6470))))))</f>
        <v> </v>
      </c>
      <c r="K6471" s="26" t="str">
        <f>IF(OR(E6471="",E6471="!!!",F6471="NEW"),"",INDEX(J$1:J6470,SUMPRODUCT(MAX(ROW(E$1:E6470)*(E6471=E$1:E6470)))))</f>
        <v> </v>
      </c>
      <c r="L6471" s="27"/>
    </row>
    <row r="6472" spans="1:12">
      <c r="A6472" s="20" t="s">
        <v>1018</v>
      </c>
      <c r="E6472" s="22">
        <f>IF(D6472="?OLD","!!!","")</f>
        <v/>
      </c>
      <c r="F6472" s="23" t="str">
        <f>IF(OR(E6472="",E6472="!!!"),"",IF(NOT(ISNA(VLOOKUP(E6472,E$1:E6471,1,FALSE()))),"OLD",IF(AND(E6472&lt;&gt;"",E6472&lt;&gt;"!!!"),"NEW","")))</f>
        <v> </v>
      </c>
      <c r="G6472" s="24" t="str">
        <f>IF(OR(E6472="",E6472="!!!"),"",IF(OR(J6472=0,AND(J6472=1,K6472=1),AND(J6472=1,I6472="SBJ"),AND(J6472=1,I6472=0)),"?IN_FOCUS",IF(J6472&lt;=2,"?ACTIVATED",IF(J6472&lt;&gt;"","?FAMILIAR",IF(F6472="NEW",IF(ISNA(VLOOKUP(E6472,#REF!,1,FALSE())),"?TYPE_IDENTIFIABLE","?REFERENTIAL"),"_")))))</f>
        <v> </v>
      </c>
      <c r="H6472" s="25" t="str">
        <f>IF(J6472&lt;&gt;1,"",IF(I6472="SBJ","CB","?"))</f>
        <v> </v>
      </c>
      <c r="I6472" s="26" t="str">
        <f>IF(OR(E6472="",E6472="!!!",F6472="NEW"),"",INDEX(B6471:B$2,-1+SUMPRODUCT(MAX(ROW(E6471:E$2)*(E6472=E6471:E$2)))))</f>
        <v> </v>
      </c>
      <c r="J6472" s="26" t="str">
        <f>IF(OR(E6472="",E6472="!!!",F6472="NEW"),"",COUNTBLANK(OFFSET(A$1,,,SUMPRODUCT(MAX(ROW(E$2:E6472)*(E6472=E$2:E6472)))))-COUNTBLANK(OFFSET(A$1,,,SUMPRODUCT(MAX(ROW(E$1:E6471)*(E2=E$1:E6471))))))</f>
        <v> </v>
      </c>
      <c r="K6472" s="26" t="str">
        <f>IF(OR(E6472="",E6472="!!!",F6472="NEW"),"",INDEX(J$1:J6471,SUMPRODUCT(MAX(ROW(E$1:E6471)*(E6472=E$1:E6471)))))</f>
        <v> </v>
      </c>
      <c r="L6472" s="27"/>
    </row>
    <row r="6473" spans="1:12">
      <c r="A6473" s="20" t="s">
        <v>56</v>
      </c>
      <c r="E6473" s="22">
        <f>IF(D6473="?OLD","!!!","")</f>
        <v/>
      </c>
      <c r="F6473" s="23" t="str">
        <f>IF(OR(E6473="",E6473="!!!"),"",IF(NOT(ISNA(VLOOKUP(E6473,E$1:E6472,1,FALSE()))),"OLD",IF(AND(E6473&lt;&gt;"",E6473&lt;&gt;"!!!"),"NEW","")))</f>
        <v> </v>
      </c>
      <c r="G6473" s="24" t="str">
        <f>IF(OR(E6473="",E6473="!!!"),"",IF(OR(J6473=0,AND(J6473=1,K6473=1),AND(J6473=1,I6473="SBJ"),AND(J6473=1,I6473=0)),"?IN_FOCUS",IF(J6473&lt;=2,"?ACTIVATED",IF(J6473&lt;&gt;"","?FAMILIAR",IF(F6473="NEW",IF(ISNA(VLOOKUP(E6473,#REF!,1,FALSE())),"?TYPE_IDENTIFIABLE","?REFERENTIAL"),"_")))))</f>
        <v> </v>
      </c>
      <c r="H6473" s="25" t="str">
        <f>IF(J6473&lt;&gt;1,"",IF(I6473="SBJ","CB","?"))</f>
        <v> </v>
      </c>
      <c r="I6473" s="26" t="str">
        <f>IF(OR(E6473="",E6473="!!!",F6473="NEW"),"",INDEX(B6472:B$2,-1+SUMPRODUCT(MAX(ROW(E6472:E$2)*(E6473=E6472:E$2)))))</f>
        <v> </v>
      </c>
      <c r="J6473" s="26" t="str">
        <f>IF(OR(E6473="",E6473="!!!",F6473="NEW"),"",COUNTBLANK(OFFSET(A$1,,,SUMPRODUCT(MAX(ROW(E$2:E6473)*(E6473=E$2:E6473)))))-COUNTBLANK(OFFSET(A$1,,,SUMPRODUCT(MAX(ROW(E$1:E6472)*(E2=E$1:E6472))))))</f>
        <v> </v>
      </c>
      <c r="K6473" s="26" t="str">
        <f>IF(OR(E6473="",E6473="!!!",F6473="NEW"),"",INDEX(J$1:J6472,SUMPRODUCT(MAX(ROW(E$1:E6472)*(E6473=E$1:E6472)))))</f>
        <v> </v>
      </c>
      <c r="L6473" s="27"/>
    </row>
    <row r="6474" spans="1:12">
      <c r="A6474" s="20" t="s">
        <v>1139</v>
      </c>
      <c r="E6474" s="22">
        <f>IF(D6474="?OLD","!!!","")</f>
        <v/>
      </c>
      <c r="F6474" s="23" t="str">
        <f>IF(OR(E6474="",E6474="!!!"),"",IF(NOT(ISNA(VLOOKUP(E6474,E$1:E6473,1,FALSE()))),"OLD",IF(AND(E6474&lt;&gt;"",E6474&lt;&gt;"!!!"),"NEW","")))</f>
        <v> </v>
      </c>
      <c r="G6474" s="24" t="str">
        <f>IF(OR(E6474="",E6474="!!!"),"",IF(OR(J6474=0,AND(J6474=1,K6474=1),AND(J6474=1,I6474="SBJ"),AND(J6474=1,I6474=0)),"?IN_FOCUS",IF(J6474&lt;=2,"?ACTIVATED",IF(J6474&lt;&gt;"","?FAMILIAR",IF(F6474="NEW",IF(ISNA(VLOOKUP(E6474,#REF!,1,FALSE())),"?TYPE_IDENTIFIABLE","?REFERENTIAL"),"_")))))</f>
        <v> </v>
      </c>
      <c r="H6474" s="25" t="str">
        <f>IF(J6474&lt;&gt;1,"",IF(I6474="SBJ","CB","?"))</f>
        <v> </v>
      </c>
      <c r="I6474" s="26" t="str">
        <f>IF(OR(E6474="",E6474="!!!",F6474="NEW"),"",INDEX(B6473:B$2,-1+SUMPRODUCT(MAX(ROW(E6473:E$2)*(E6474=E6473:E$2)))))</f>
        <v> </v>
      </c>
      <c r="J6474" s="26" t="str">
        <f>IF(OR(E6474="",E6474="!!!",F6474="NEW"),"",COUNTBLANK(OFFSET(A$1,,,SUMPRODUCT(MAX(ROW(E$2:E6474)*(E6474=E$2:E6474)))))-COUNTBLANK(OFFSET(A$1,,,SUMPRODUCT(MAX(ROW(E$1:E6473)*(E2=E$1:E6473))))))</f>
        <v> </v>
      </c>
      <c r="K6474" s="26" t="str">
        <f>IF(OR(E6474="",E6474="!!!",F6474="NEW"),"",INDEX(J$1:J6473,SUMPRODUCT(MAX(ROW(E$1:E6473)*(E6474=E$1:E6473)))))</f>
        <v> </v>
      </c>
      <c r="L6474" s="27"/>
    </row>
    <row r="6475" spans="1:12">
      <c r="A6475" s="20" t="s">
        <v>1065</v>
      </c>
      <c r="E6475" s="22">
        <f>IF(D6475="?OLD","!!!","")</f>
        <v/>
      </c>
      <c r="F6475" s="23" t="str">
        <f>IF(OR(E6475="",E6475="!!!"),"",IF(NOT(ISNA(VLOOKUP(E6475,E$1:E6474,1,FALSE()))),"OLD",IF(AND(E6475&lt;&gt;"",E6475&lt;&gt;"!!!"),"NEW","")))</f>
        <v> </v>
      </c>
      <c r="G6475" s="24" t="str">
        <f>IF(OR(E6475="",E6475="!!!"),"",IF(OR(J6475=0,AND(J6475=1,K6475=1),AND(J6475=1,I6475="SBJ"),AND(J6475=1,I6475=0)),"?IN_FOCUS",IF(J6475&lt;=2,"?ACTIVATED",IF(J6475&lt;&gt;"","?FAMILIAR",IF(F6475="NEW",IF(ISNA(VLOOKUP(E6475,#REF!,1,FALSE())),"?TYPE_IDENTIFIABLE","?REFERENTIAL"),"_")))))</f>
        <v> </v>
      </c>
      <c r="H6475" s="25" t="str">
        <f>IF(J6475&lt;&gt;1,"",IF(I6475="SBJ","CB","?"))</f>
        <v> </v>
      </c>
      <c r="I6475" s="26" t="str">
        <f>IF(OR(E6475="",E6475="!!!",F6475="NEW"),"",INDEX(B6474:B$2,-1+SUMPRODUCT(MAX(ROW(E6474:E$2)*(E6475=E6474:E$2)))))</f>
        <v> </v>
      </c>
      <c r="J6475" s="26" t="str">
        <f>IF(OR(E6475="",E6475="!!!",F6475="NEW"),"",COUNTBLANK(OFFSET(A$1,,,SUMPRODUCT(MAX(ROW(E$2:E6475)*(E6475=E$2:E6475)))))-COUNTBLANK(OFFSET(A$1,,,SUMPRODUCT(MAX(ROW(E$1:E6474)*(E2=E$1:E6474))))))</f>
        <v> </v>
      </c>
      <c r="K6475" s="26" t="str">
        <f>IF(OR(E6475="",E6475="!!!",F6475="NEW"),"",INDEX(J$1:J6474,SUMPRODUCT(MAX(ROW(E$1:E6474)*(E6475=E$1:E6474)))))</f>
        <v> </v>
      </c>
      <c r="L6475" s="27"/>
    </row>
    <row r="6476" spans="1:12">
      <c r="A6476" s="20" t="s">
        <v>1018</v>
      </c>
      <c r="E6476" s="22">
        <f>IF(D6476="?OLD","!!!","")</f>
        <v/>
      </c>
      <c r="F6476" s="23" t="str">
        <f>IF(OR(E6476="",E6476="!!!"),"",IF(NOT(ISNA(VLOOKUP(E6476,E$1:E6475,1,FALSE()))),"OLD",IF(AND(E6476&lt;&gt;"",E6476&lt;&gt;"!!!"),"NEW","")))</f>
        <v> </v>
      </c>
      <c r="G6476" s="24" t="str">
        <f>IF(OR(E6476="",E6476="!!!"),"",IF(OR(J6476=0,AND(J6476=1,K6476=1),AND(J6476=1,I6476="SBJ"),AND(J6476=1,I6476=0)),"?IN_FOCUS",IF(J6476&lt;=2,"?ACTIVATED",IF(J6476&lt;&gt;"","?FAMILIAR",IF(F6476="NEW",IF(ISNA(VLOOKUP(E6476,#REF!,1,FALSE())),"?TYPE_IDENTIFIABLE","?REFERENTIAL"),"_")))))</f>
        <v> </v>
      </c>
      <c r="H6476" s="25" t="str">
        <f>IF(J6476&lt;&gt;1,"",IF(I6476="SBJ","CB","?"))</f>
        <v> </v>
      </c>
      <c r="I6476" s="26" t="str">
        <f>IF(OR(E6476="",E6476="!!!",F6476="NEW"),"",INDEX(B6475:B$2,-1+SUMPRODUCT(MAX(ROW(E6475:E$2)*(E6476=E6475:E$2)))))</f>
        <v> </v>
      </c>
      <c r="J6476" s="26" t="str">
        <f>IF(OR(E6476="",E6476="!!!",F6476="NEW"),"",COUNTBLANK(OFFSET(A$1,,,SUMPRODUCT(MAX(ROW(E$2:E6476)*(E6476=E$2:E6476)))))-COUNTBLANK(OFFSET(A$1,,,SUMPRODUCT(MAX(ROW(E$1:E6475)*(E2=E$1:E6475))))))</f>
        <v> </v>
      </c>
      <c r="K6476" s="26" t="str">
        <f>IF(OR(E6476="",E6476="!!!",F6476="NEW"),"",INDEX(J$1:J6475,SUMPRODUCT(MAX(ROW(E$1:E6475)*(E6476=E$1:E6475)))))</f>
        <v> </v>
      </c>
      <c r="L6476" s="27"/>
    </row>
    <row r="6477" spans="1:12">
      <c r="A6477" s="20" t="s">
        <v>1114</v>
      </c>
      <c r="E6477" s="22">
        <f>IF(D6477="?OLD","!!!","")</f>
        <v/>
      </c>
      <c r="F6477" s="23" t="str">
        <f>IF(OR(E6477="",E6477="!!!"),"",IF(NOT(ISNA(VLOOKUP(E6477,E$1:E6476,1,FALSE()))),"OLD",IF(AND(E6477&lt;&gt;"",E6477&lt;&gt;"!!!"),"NEW","")))</f>
        <v> </v>
      </c>
      <c r="G6477" s="24" t="str">
        <f>IF(OR(E6477="",E6477="!!!"),"",IF(OR(J6477=0,AND(J6477=1,K6477=1),AND(J6477=1,I6477="SBJ"),AND(J6477=1,I6477=0)),"?IN_FOCUS",IF(J6477&lt;=2,"?ACTIVATED",IF(J6477&lt;&gt;"","?FAMILIAR",IF(F6477="NEW",IF(ISNA(VLOOKUP(E6477,#REF!,1,FALSE())),"?TYPE_IDENTIFIABLE","?REFERENTIAL"),"_")))))</f>
        <v> </v>
      </c>
      <c r="H6477" s="25" t="str">
        <f>IF(J6477&lt;&gt;1,"",IF(I6477="SBJ","CB","?"))</f>
        <v> </v>
      </c>
      <c r="I6477" s="26" t="str">
        <f>IF(OR(E6477="",E6477="!!!",F6477="NEW"),"",INDEX(B6476:B$2,-1+SUMPRODUCT(MAX(ROW(E6476:E$2)*(E6477=E6476:E$2)))))</f>
        <v> </v>
      </c>
      <c r="J6477" s="26" t="str">
        <f>IF(OR(E6477="",E6477="!!!",F6477="NEW"),"",COUNTBLANK(OFFSET(A$1,,,SUMPRODUCT(MAX(ROW(E$2:E6477)*(E6477=E$2:E6477)))))-COUNTBLANK(OFFSET(A$1,,,SUMPRODUCT(MAX(ROW(E$1:E6476)*(E2=E$1:E6476))))))</f>
        <v> </v>
      </c>
      <c r="K6477" s="26" t="str">
        <f>IF(OR(E6477="",E6477="!!!",F6477="NEW"),"",INDEX(J$1:J6476,SUMPRODUCT(MAX(ROW(E$1:E6476)*(E6477=E$1:E6476)))))</f>
        <v> </v>
      </c>
      <c r="L6477" s="27"/>
    </row>
    <row r="6478" spans="1:12">
      <c r="A6478" s="20" t="s">
        <v>1020</v>
      </c>
      <c r="E6478" s="22">
        <f>IF(D6478="?OLD","!!!","")</f>
        <v/>
      </c>
      <c r="F6478" s="23" t="str">
        <f>IF(OR(E6478="",E6478="!!!"),"",IF(NOT(ISNA(VLOOKUP(E6478,E$1:E6477,1,FALSE()))),"OLD",IF(AND(E6478&lt;&gt;"",E6478&lt;&gt;"!!!"),"NEW","")))</f>
        <v> </v>
      </c>
      <c r="G6478" s="24" t="str">
        <f>IF(OR(E6478="",E6478="!!!"),"",IF(OR(J6478=0,AND(J6478=1,K6478=1),AND(J6478=1,I6478="SBJ"),AND(J6478=1,I6478=0)),"?IN_FOCUS",IF(J6478&lt;=2,"?ACTIVATED",IF(J6478&lt;&gt;"","?FAMILIAR",IF(F6478="NEW",IF(ISNA(VLOOKUP(E6478,#REF!,1,FALSE())),"?TYPE_IDENTIFIABLE","?REFERENTIAL"),"_")))))</f>
        <v> </v>
      </c>
      <c r="H6478" s="25" t="str">
        <f>IF(J6478&lt;&gt;1,"",IF(I6478="SBJ","CB","?"))</f>
        <v> </v>
      </c>
      <c r="I6478" s="26" t="str">
        <f>IF(OR(E6478="",E6478="!!!",F6478="NEW"),"",INDEX(B6477:B$2,-1+SUMPRODUCT(MAX(ROW(E6477:E$2)*(E6478=E6477:E$2)))))</f>
        <v> </v>
      </c>
      <c r="J6478" s="26" t="str">
        <f>IF(OR(E6478="",E6478="!!!",F6478="NEW"),"",COUNTBLANK(OFFSET(A$1,,,SUMPRODUCT(MAX(ROW(E$2:E6478)*(E6478=E$2:E6478)))))-COUNTBLANK(OFFSET(A$1,,,SUMPRODUCT(MAX(ROW(E$1:E6477)*(E2=E$1:E6477))))))</f>
        <v> </v>
      </c>
      <c r="K6478" s="26" t="str">
        <f>IF(OR(E6478="",E6478="!!!",F6478="NEW"),"",INDEX(J$1:J6477,SUMPRODUCT(MAX(ROW(E$1:E6477)*(E6478=E$1:E6477)))))</f>
        <v> </v>
      </c>
      <c r="L6478" s="27"/>
    </row>
    <row r="6479" spans="1:12">
      <c r="A6479" s="20" t="s">
        <v>1323</v>
      </c>
      <c r="B6479" s="21" t="s">
        <v>1263</v>
      </c>
      <c r="C6479" s="21" t="s">
        <v>1017</v>
      </c>
      <c r="D6479" s="21" t="s">
        <v>1007</v>
      </c>
      <c r="E6479" s="22">
        <f>IF(D6479="?OLD","!!!","")</f>
        <v/>
      </c>
      <c r="F6479" s="23" t="str">
        <f>IF(OR(E6479="",E6479="!!!"),"",IF(NOT(ISNA(VLOOKUP(E6479,E$1:E6478,1,FALSE()))),"OLD",IF(AND(E6479&lt;&gt;"",E6479&lt;&gt;"!!!"),"NEW","")))</f>
        <v> </v>
      </c>
      <c r="G6479" s="24" t="str">
        <f>IF(OR(E6479="",E6479="!!!"),"",IF(OR(J6479=0,AND(J6479=1,K6479=1),AND(J6479=1,I6479="SBJ"),AND(J6479=1,I6479=0)),"?IN_FOCUS",IF(J6479&lt;=2,"?ACTIVATED",IF(J6479&lt;&gt;"","?FAMILIAR",IF(F6479="NEW",IF(ISNA(VLOOKUP(E6479,#REF!,1,FALSE())),"?TYPE_IDENTIFIABLE","?REFERENTIAL"),"_")))))</f>
        <v> </v>
      </c>
      <c r="H6479" s="25" t="str">
        <f>IF(J6479&lt;&gt;1,"",IF(I6479="SBJ","CB","?"))</f>
        <v> </v>
      </c>
      <c r="I6479" s="26" t="str">
        <f>IF(OR(E6479="",E6479="!!!",F6479="NEW"),"",INDEX(B6478:B$2,-1+SUMPRODUCT(MAX(ROW(E6478:E$2)*(E6479=E6478:E$2)))))</f>
        <v> </v>
      </c>
      <c r="J6479" s="26" t="str">
        <f>IF(OR(E6479="",E6479="!!!",F6479="NEW"),"",COUNTBLANK(OFFSET(A$1,,,SUMPRODUCT(MAX(ROW(E$2:E6479)*(E6479=E$2:E6479)))))-COUNTBLANK(OFFSET(A$1,,,SUMPRODUCT(MAX(ROW(E$1:E6478)*(E2=E$1:E6478))))))</f>
        <v> </v>
      </c>
      <c r="K6479" s="26" t="str">
        <f>IF(OR(E6479="",E6479="!!!",F6479="NEW"),"",INDEX(J$1:J6478,SUMPRODUCT(MAX(ROW(E$1:E6478)*(E6479=E$1:E6478)))))</f>
        <v> </v>
      </c>
      <c r="L6479" s="27"/>
    </row>
    <row r="6480" spans="1:12">
      <c r="A6480" s="20" t="s">
        <v>1979</v>
      </c>
      <c r="E6480" s="22">
        <f>IF(D6480="?OLD","!!!","")</f>
        <v/>
      </c>
      <c r="F6480" s="23" t="str">
        <f>IF(OR(E6480="",E6480="!!!"),"",IF(NOT(ISNA(VLOOKUP(E6480,E$1:E6479,1,FALSE()))),"OLD",IF(AND(E6480&lt;&gt;"",E6480&lt;&gt;"!!!"),"NEW","")))</f>
        <v> </v>
      </c>
      <c r="G6480" s="24" t="str">
        <f>IF(OR(E6480="",E6480="!!!"),"",IF(OR(J6480=0,AND(J6480=1,K6480=1),AND(J6480=1,I6480="SBJ"),AND(J6480=1,I6480=0)),"?IN_FOCUS",IF(J6480&lt;=2,"?ACTIVATED",IF(J6480&lt;&gt;"","?FAMILIAR",IF(F6480="NEW",IF(ISNA(VLOOKUP(E6480,#REF!,1,FALSE())),"?TYPE_IDENTIFIABLE","?REFERENTIAL"),"_")))))</f>
        <v> </v>
      </c>
      <c r="H6480" s="25" t="str">
        <f>IF(J6480&lt;&gt;1,"",IF(I6480="SBJ","CB","?"))</f>
        <v> </v>
      </c>
      <c r="I6480" s="26" t="str">
        <f>IF(OR(E6480="",E6480="!!!",F6480="NEW"),"",INDEX(B6479:B$2,-1+SUMPRODUCT(MAX(ROW(E6479:E$2)*(E6480=E6479:E$2)))))</f>
        <v> </v>
      </c>
      <c r="J6480" s="26" t="str">
        <f>IF(OR(E6480="",E6480="!!!",F6480="NEW"),"",COUNTBLANK(OFFSET(A$1,,,SUMPRODUCT(MAX(ROW(E$2:E6480)*(E6480=E$2:E6480)))))-COUNTBLANK(OFFSET(A$1,,,SUMPRODUCT(MAX(ROW(E$1:E6479)*(E2=E$1:E6479))))))</f>
        <v> </v>
      </c>
      <c r="K6480" s="26" t="str">
        <f>IF(OR(E6480="",E6480="!!!",F6480="NEW"),"",INDEX(J$1:J6479,SUMPRODUCT(MAX(ROW(E$1:E6479)*(E6480=E$1:E6479)))))</f>
        <v> </v>
      </c>
      <c r="L6480" s="27"/>
    </row>
    <row r="6481" spans="1:12">
      <c r="A6481" s="20" t="s">
        <v>1978</v>
      </c>
      <c r="E6481" s="22">
        <f>IF(D6481="?OLD","!!!","")</f>
        <v/>
      </c>
      <c r="F6481" s="23" t="str">
        <f>IF(OR(E6481="",E6481="!!!"),"",IF(NOT(ISNA(VLOOKUP(E6481,E$1:E6480,1,FALSE()))),"OLD",IF(AND(E6481&lt;&gt;"",E6481&lt;&gt;"!!!"),"NEW","")))</f>
        <v> </v>
      </c>
      <c r="G6481" s="24" t="str">
        <f>IF(OR(E6481="",E6481="!!!"),"",IF(OR(J6481=0,AND(J6481=1,K6481=1),AND(J6481=1,I6481="SBJ"),AND(J6481=1,I6481=0)),"?IN_FOCUS",IF(J6481&lt;=2,"?ACTIVATED",IF(J6481&lt;&gt;"","?FAMILIAR",IF(F6481="NEW",IF(ISNA(VLOOKUP(E6481,#REF!,1,FALSE())),"?TYPE_IDENTIFIABLE","?REFERENTIAL"),"_")))))</f>
        <v> </v>
      </c>
      <c r="H6481" s="25" t="str">
        <f>IF(J6481&lt;&gt;1,"",IF(I6481="SBJ","CB","?"))</f>
        <v> </v>
      </c>
      <c r="I6481" s="26" t="str">
        <f>IF(OR(E6481="",E6481="!!!",F6481="NEW"),"",INDEX(B6480:B$2,-1+SUMPRODUCT(MAX(ROW(E6480:E$2)*(E6481=E6480:E$2)))))</f>
        <v> </v>
      </c>
      <c r="J6481" s="26" t="str">
        <f>IF(OR(E6481="",E6481="!!!",F6481="NEW"),"",COUNTBLANK(OFFSET(A$1,,,SUMPRODUCT(MAX(ROW(E$2:E6481)*(E6481=E$2:E6481)))))-COUNTBLANK(OFFSET(A$1,,,SUMPRODUCT(MAX(ROW(E$1:E6480)*(E2=E$1:E6480))))))</f>
        <v> </v>
      </c>
      <c r="K6481" s="26" t="str">
        <f>IF(OR(E6481="",E6481="!!!",F6481="NEW"),"",INDEX(J$1:J6480,SUMPRODUCT(MAX(ROW(E$1:E6480)*(E6481=E$1:E6480)))))</f>
        <v> </v>
      </c>
      <c r="L6481" s="27"/>
    </row>
    <row r="6482" spans="1:12">
      <c r="A6482" s="20" t="s">
        <v>1020</v>
      </c>
      <c r="E6482" s="22">
        <f>IF(D6482="?OLD","!!!","")</f>
        <v/>
      </c>
      <c r="F6482" s="23" t="str">
        <f>IF(OR(E6482="",E6482="!!!"),"",IF(NOT(ISNA(VLOOKUP(E6482,E$1:E6481,1,FALSE()))),"OLD",IF(AND(E6482&lt;&gt;"",E6482&lt;&gt;"!!!"),"NEW","")))</f>
        <v> </v>
      </c>
      <c r="G6482" s="24" t="str">
        <f>IF(OR(E6482="",E6482="!!!"),"",IF(OR(J6482=0,AND(J6482=1,K6482=1),AND(J6482=1,I6482="SBJ"),AND(J6482=1,I6482=0)),"?IN_FOCUS",IF(J6482&lt;=2,"?ACTIVATED",IF(J6482&lt;&gt;"","?FAMILIAR",IF(F6482="NEW",IF(ISNA(VLOOKUP(E6482,#REF!,1,FALSE())),"?TYPE_IDENTIFIABLE","?REFERENTIAL"),"_")))))</f>
        <v> </v>
      </c>
      <c r="H6482" s="25" t="str">
        <f>IF(J6482&lt;&gt;1,"",IF(I6482="SBJ","CB","?"))</f>
        <v> </v>
      </c>
      <c r="I6482" s="26" t="str">
        <f>IF(OR(E6482="",E6482="!!!",F6482="NEW"),"",INDEX(B6481:B$2,-1+SUMPRODUCT(MAX(ROW(E6481:E$2)*(E6482=E6481:E$2)))))</f>
        <v> </v>
      </c>
      <c r="J6482" s="26" t="str">
        <f>IF(OR(E6482="",E6482="!!!",F6482="NEW"),"",COUNTBLANK(OFFSET(A$1,,,SUMPRODUCT(MAX(ROW(E$2:E6482)*(E6482=E$2:E6482)))))-COUNTBLANK(OFFSET(A$1,,,SUMPRODUCT(MAX(ROW(E$1:E6481)*(E2=E$1:E6481))))))</f>
        <v> </v>
      </c>
      <c r="K6482" s="26" t="str">
        <f>IF(OR(E6482="",E6482="!!!",F6482="NEW"),"",INDEX(J$1:J6481,SUMPRODUCT(MAX(ROW(E$1:E6481)*(E6482=E$1:E6481)))))</f>
        <v> </v>
      </c>
      <c r="L6482" s="27"/>
    </row>
    <row r="6483" spans="1:12">
      <c r="A6483" s="20" t="s">
        <v>93</v>
      </c>
      <c r="E6483" s="22">
        <f>IF(D6483="?OLD","!!!","")</f>
        <v/>
      </c>
      <c r="F6483" s="23" t="str">
        <f>IF(OR(E6483="",E6483="!!!"),"",IF(NOT(ISNA(VLOOKUP(E6483,E$1:E6482,1,FALSE()))),"OLD",IF(AND(E6483&lt;&gt;"",E6483&lt;&gt;"!!!"),"NEW","")))</f>
        <v> </v>
      </c>
      <c r="G6483" s="24" t="str">
        <f>IF(OR(E6483="",E6483="!!!"),"",IF(OR(J6483=0,AND(J6483=1,K6483=1),AND(J6483=1,I6483="SBJ"),AND(J6483=1,I6483=0)),"?IN_FOCUS",IF(J6483&lt;=2,"?ACTIVATED",IF(J6483&lt;&gt;"","?FAMILIAR",IF(F6483="NEW",IF(ISNA(VLOOKUP(E6483,#REF!,1,FALSE())),"?TYPE_IDENTIFIABLE","?REFERENTIAL"),"_")))))</f>
        <v> </v>
      </c>
      <c r="H6483" s="25" t="str">
        <f>IF(J6483&lt;&gt;1,"",IF(I6483="SBJ","CB","?"))</f>
        <v> </v>
      </c>
      <c r="I6483" s="26" t="str">
        <f>IF(OR(E6483="",E6483="!!!",F6483="NEW"),"",INDEX(B6482:B$2,-1+SUMPRODUCT(MAX(ROW(E6482:E$2)*(E6483=E6482:E$2)))))</f>
        <v> </v>
      </c>
      <c r="J6483" s="26" t="str">
        <f>IF(OR(E6483="",E6483="!!!",F6483="NEW"),"",COUNTBLANK(OFFSET(A$1,,,SUMPRODUCT(MAX(ROW(E$2:E6483)*(E6483=E$2:E6483)))))-COUNTBLANK(OFFSET(A$1,,,SUMPRODUCT(MAX(ROW(E$1:E6482)*(E2=E$1:E6482))))))</f>
        <v> </v>
      </c>
      <c r="K6483" s="26" t="str">
        <f>IF(OR(E6483="",E6483="!!!",F6483="NEW"),"",INDEX(J$1:J6482,SUMPRODUCT(MAX(ROW(E$1:E6482)*(E6483=E$1:E6482)))))</f>
        <v> </v>
      </c>
      <c r="L6483" s="27"/>
    </row>
    <row r="6484" spans="1:12">
      <c r="A6484" s="20" t="s">
        <v>1018</v>
      </c>
      <c r="E6484" s="22">
        <f>IF(D6484="?OLD","!!!","")</f>
        <v/>
      </c>
      <c r="F6484" s="23" t="str">
        <f>IF(OR(E6484="",E6484="!!!"),"",IF(NOT(ISNA(VLOOKUP(E6484,E$1:E6483,1,FALSE()))),"OLD",IF(AND(E6484&lt;&gt;"",E6484&lt;&gt;"!!!"),"NEW","")))</f>
        <v> </v>
      </c>
      <c r="G6484" s="24" t="str">
        <f>IF(OR(E6484="",E6484="!!!"),"",IF(OR(J6484=0,AND(J6484=1,K6484=1),AND(J6484=1,I6484="SBJ"),AND(J6484=1,I6484=0)),"?IN_FOCUS",IF(J6484&lt;=2,"?ACTIVATED",IF(J6484&lt;&gt;"","?FAMILIAR",IF(F6484="NEW",IF(ISNA(VLOOKUP(E6484,#REF!,1,FALSE())),"?TYPE_IDENTIFIABLE","?REFERENTIAL"),"_")))))</f>
        <v> </v>
      </c>
      <c r="H6484" s="25" t="str">
        <f>IF(J6484&lt;&gt;1,"",IF(I6484="SBJ","CB","?"))</f>
        <v> </v>
      </c>
      <c r="I6484" s="26" t="str">
        <f>IF(OR(E6484="",E6484="!!!",F6484="NEW"),"",INDEX(B6483:B$2,-1+SUMPRODUCT(MAX(ROW(E6483:E$2)*(E6484=E6483:E$2)))))</f>
        <v> </v>
      </c>
      <c r="J6484" s="26" t="str">
        <f>IF(OR(E6484="",E6484="!!!",F6484="NEW"),"",COUNTBLANK(OFFSET(A$1,,,SUMPRODUCT(MAX(ROW(E$2:E6484)*(E6484=E$2:E6484)))))-COUNTBLANK(OFFSET(A$1,,,SUMPRODUCT(MAX(ROW(E$1:E6483)*(E2=E$1:E6483))))))</f>
        <v> </v>
      </c>
      <c r="K6484" s="26" t="str">
        <f>IF(OR(E6484="",E6484="!!!",F6484="NEW"),"",INDEX(J$1:J6483,SUMPRODUCT(MAX(ROW(E$1:E6483)*(E6484=E$1:E6483)))))</f>
        <v> </v>
      </c>
      <c r="L6484" s="27"/>
    </row>
    <row r="6485" spans="1:12">
      <c r="A6485" s="20" t="s">
        <v>1189</v>
      </c>
      <c r="E6485" s="22">
        <f>IF(D6485="?OLD","!!!","")</f>
        <v/>
      </c>
      <c r="F6485" s="23" t="str">
        <f>IF(OR(E6485="",E6485="!!!"),"",IF(NOT(ISNA(VLOOKUP(E6485,E$1:E6484,1,FALSE()))),"OLD",IF(AND(E6485&lt;&gt;"",E6485&lt;&gt;"!!!"),"NEW","")))</f>
        <v> </v>
      </c>
      <c r="G6485" s="24" t="str">
        <f>IF(OR(E6485="",E6485="!!!"),"",IF(OR(J6485=0,AND(J6485=1,K6485=1),AND(J6485=1,I6485="SBJ"),AND(J6485=1,I6485=0)),"?IN_FOCUS",IF(J6485&lt;=2,"?ACTIVATED",IF(J6485&lt;&gt;"","?FAMILIAR",IF(F6485="NEW",IF(ISNA(VLOOKUP(E6485,#REF!,1,FALSE())),"?TYPE_IDENTIFIABLE","?REFERENTIAL"),"_")))))</f>
        <v> </v>
      </c>
      <c r="H6485" s="25" t="str">
        <f>IF(J6485&lt;&gt;1,"",IF(I6485="SBJ","CB","?"))</f>
        <v> </v>
      </c>
      <c r="I6485" s="26" t="str">
        <f>IF(OR(E6485="",E6485="!!!",F6485="NEW"),"",INDEX(B6484:B$2,-1+SUMPRODUCT(MAX(ROW(E6484:E$2)*(E6485=E6484:E$2)))))</f>
        <v> </v>
      </c>
      <c r="J6485" s="26" t="str">
        <f>IF(OR(E6485="",E6485="!!!",F6485="NEW"),"",COUNTBLANK(OFFSET(A$1,,,SUMPRODUCT(MAX(ROW(E$2:E6485)*(E6485=E$2:E6485)))))-COUNTBLANK(OFFSET(A$1,,,SUMPRODUCT(MAX(ROW(E$1:E6484)*(E2=E$1:E6484))))))</f>
        <v> </v>
      </c>
      <c r="K6485" s="26" t="str">
        <f>IF(OR(E6485="",E6485="!!!",F6485="NEW"),"",INDEX(J$1:J6484,SUMPRODUCT(MAX(ROW(E$1:E6484)*(E6485=E$1:E6484)))))</f>
        <v> </v>
      </c>
      <c r="L6485" s="27"/>
    </row>
    <row r="6486" spans="1:12">
      <c r="A6486" s="20" t="s">
        <v>2687</v>
      </c>
      <c r="E6486" s="22">
        <f>IF(D6486="?OLD","!!!","")</f>
        <v/>
      </c>
      <c r="F6486" s="23" t="str">
        <f>IF(OR(E6486="",E6486="!!!"),"",IF(NOT(ISNA(VLOOKUP(E6486,E$1:E6485,1,FALSE()))),"OLD",IF(AND(E6486&lt;&gt;"",E6486&lt;&gt;"!!!"),"NEW","")))</f>
        <v> </v>
      </c>
      <c r="G6486" s="24" t="str">
        <f>IF(OR(E6486="",E6486="!!!"),"",IF(OR(J6486=0,AND(J6486=1,K6486=1),AND(J6486=1,I6486="SBJ"),AND(J6486=1,I6486=0)),"?IN_FOCUS",IF(J6486&lt;=2,"?ACTIVATED",IF(J6486&lt;&gt;"","?FAMILIAR",IF(F6486="NEW",IF(ISNA(VLOOKUP(E6486,#REF!,1,FALSE())),"?TYPE_IDENTIFIABLE","?REFERENTIAL"),"_")))))</f>
        <v> </v>
      </c>
      <c r="H6486" s="25" t="str">
        <f>IF(J6486&lt;&gt;1,"",IF(I6486="SBJ","CB","?"))</f>
        <v> </v>
      </c>
      <c r="I6486" s="26" t="str">
        <f>IF(OR(E6486="",E6486="!!!",F6486="NEW"),"",INDEX(B6485:B$2,-1+SUMPRODUCT(MAX(ROW(E6485:E$2)*(E6486=E6485:E$2)))))</f>
        <v> </v>
      </c>
      <c r="J6486" s="26" t="str">
        <f>IF(OR(E6486="",E6486="!!!",F6486="NEW"),"",COUNTBLANK(OFFSET(A$1,,,SUMPRODUCT(MAX(ROW(E$2:E6486)*(E6486=E$2:E6486)))))-COUNTBLANK(OFFSET(A$1,,,SUMPRODUCT(MAX(ROW(E$1:E6485)*(E2=E$1:E6485))))))</f>
        <v> </v>
      </c>
      <c r="K6486" s="26" t="str">
        <f>IF(OR(E6486="",E6486="!!!",F6486="NEW"),"",INDEX(J$1:J6485,SUMPRODUCT(MAX(ROW(E$1:E6485)*(E6486=E$1:E6485)))))</f>
        <v> </v>
      </c>
      <c r="L6486" s="27"/>
    </row>
    <row r="6487" spans="1:12">
      <c r="A6487" s="20" t="s">
        <v>1140</v>
      </c>
      <c r="B6487" s="21" t="s">
        <v>1134</v>
      </c>
      <c r="C6487" s="21" t="s">
        <v>1073</v>
      </c>
      <c r="D6487" s="21" t="s">
        <v>1007</v>
      </c>
      <c r="E6487" s="22">
        <f>IF(D6487="?OLD","!!!","")</f>
        <v/>
      </c>
      <c r="F6487" s="23" t="str">
        <f>IF(OR(E6487="",E6487="!!!"),"",IF(NOT(ISNA(VLOOKUP(E6487,E$1:E6486,1,FALSE()))),"OLD",IF(AND(E6487&lt;&gt;"",E6487&lt;&gt;"!!!"),"NEW","")))</f>
        <v> </v>
      </c>
      <c r="G6487" s="24" t="str">
        <f>IF(OR(E6487="",E6487="!!!"),"",IF(OR(J6487=0,AND(J6487=1,K6487=1),AND(J6487=1,I6487="SBJ"),AND(J6487=1,I6487=0)),"?IN_FOCUS",IF(J6487&lt;=2,"?ACTIVATED",IF(J6487&lt;&gt;"","?FAMILIAR",IF(F6487="NEW",IF(ISNA(VLOOKUP(E6487,#REF!,1,FALSE())),"?TYPE_IDENTIFIABLE","?REFERENTIAL"),"_")))))</f>
        <v> </v>
      </c>
      <c r="H6487" s="25" t="str">
        <f>IF(J6487&lt;&gt;1,"",IF(I6487="SBJ","CB","?"))</f>
        <v> </v>
      </c>
      <c r="I6487" s="26" t="str">
        <f>IF(OR(E6487="",E6487="!!!",F6487="NEW"),"",INDEX(B6486:B$2,-1+SUMPRODUCT(MAX(ROW(E6486:E$2)*(E6487=E6486:E$2)))))</f>
        <v> </v>
      </c>
      <c r="J6487" s="26" t="str">
        <f>IF(OR(E6487="",E6487="!!!",F6487="NEW"),"",COUNTBLANK(OFFSET(A$1,,,SUMPRODUCT(MAX(ROW(E$2:E6487)*(E6487=E$2:E6487)))))-COUNTBLANK(OFFSET(A$1,,,SUMPRODUCT(MAX(ROW(E$1:E6486)*(E2=E$1:E6486))))))</f>
        <v> </v>
      </c>
      <c r="K6487" s="26" t="str">
        <f>IF(OR(E6487="",E6487="!!!",F6487="NEW"),"",INDEX(J$1:J6486,SUMPRODUCT(MAX(ROW(E$1:E6486)*(E6487=E$1:E6486)))))</f>
        <v> </v>
      </c>
      <c r="L6487" s="27"/>
    </row>
    <row r="6488" spans="1:12">
      <c r="A6488" s="20" t="s">
        <v>1189</v>
      </c>
      <c r="E6488" s="22">
        <f>IF(D6488="?OLD","!!!","")</f>
        <v/>
      </c>
      <c r="F6488" s="23" t="str">
        <f>IF(OR(E6488="",E6488="!!!"),"",IF(NOT(ISNA(VLOOKUP(E6488,E$1:E6487,1,FALSE()))),"OLD",IF(AND(E6488&lt;&gt;"",E6488&lt;&gt;"!!!"),"NEW","")))</f>
        <v> </v>
      </c>
      <c r="G6488" s="24" t="str">
        <f>IF(OR(E6488="",E6488="!!!"),"",IF(OR(J6488=0,AND(J6488=1,K6488=1),AND(J6488=1,I6488="SBJ"),AND(J6488=1,I6488=0)),"?IN_FOCUS",IF(J6488&lt;=2,"?ACTIVATED",IF(J6488&lt;&gt;"","?FAMILIAR",IF(F6488="NEW",IF(ISNA(VLOOKUP(E6488,#REF!,1,FALSE())),"?TYPE_IDENTIFIABLE","?REFERENTIAL"),"_")))))</f>
        <v> </v>
      </c>
      <c r="H6488" s="25" t="str">
        <f>IF(J6488&lt;&gt;1,"",IF(I6488="SBJ","CB","?"))</f>
        <v> </v>
      </c>
      <c r="I6488" s="26" t="str">
        <f>IF(OR(E6488="",E6488="!!!",F6488="NEW"),"",INDEX(B6487:B$2,-1+SUMPRODUCT(MAX(ROW(E6487:E$2)*(E6488=E6487:E$2)))))</f>
        <v> </v>
      </c>
      <c r="J6488" s="26" t="str">
        <f>IF(OR(E6488="",E6488="!!!",F6488="NEW"),"",COUNTBLANK(OFFSET(A$1,,,SUMPRODUCT(MAX(ROW(E$2:E6488)*(E6488=E$2:E6488)))))-COUNTBLANK(OFFSET(A$1,,,SUMPRODUCT(MAX(ROW(E$1:E6487)*(E2=E$1:E6487))))))</f>
        <v> </v>
      </c>
      <c r="K6488" s="26" t="str">
        <f>IF(OR(E6488="",E6488="!!!",F6488="NEW"),"",INDEX(J$1:J6487,SUMPRODUCT(MAX(ROW(E$1:E6487)*(E6488=E$1:E6487)))))</f>
        <v> </v>
      </c>
      <c r="L6488" s="27"/>
    </row>
    <row r="6489" spans="1:12">
      <c r="A6489" s="20" t="s">
        <v>1018</v>
      </c>
      <c r="E6489" s="22">
        <f>IF(D6489="?OLD","!!!","")</f>
        <v/>
      </c>
      <c r="F6489" s="23" t="str">
        <f>IF(OR(E6489="",E6489="!!!"),"",IF(NOT(ISNA(VLOOKUP(E6489,E$1:E6488,1,FALSE()))),"OLD",IF(AND(E6489&lt;&gt;"",E6489&lt;&gt;"!!!"),"NEW","")))</f>
        <v> </v>
      </c>
      <c r="G6489" s="24" t="str">
        <f>IF(OR(E6489="",E6489="!!!"),"",IF(OR(J6489=0,AND(J6489=1,K6489=1),AND(J6489=1,I6489="SBJ"),AND(J6489=1,I6489=0)),"?IN_FOCUS",IF(J6489&lt;=2,"?ACTIVATED",IF(J6489&lt;&gt;"","?FAMILIAR",IF(F6489="NEW",IF(ISNA(VLOOKUP(E6489,#REF!,1,FALSE())),"?TYPE_IDENTIFIABLE","?REFERENTIAL"),"_")))))</f>
        <v> </v>
      </c>
      <c r="H6489" s="25" t="str">
        <f>IF(J6489&lt;&gt;1,"",IF(I6489="SBJ","CB","?"))</f>
        <v> </v>
      </c>
      <c r="I6489" s="26" t="str">
        <f>IF(OR(E6489="",E6489="!!!",F6489="NEW"),"",INDEX(B6488:B$2,-1+SUMPRODUCT(MAX(ROW(E6488:E$2)*(E6489=E6488:E$2)))))</f>
        <v> </v>
      </c>
      <c r="J6489" s="26" t="str">
        <f>IF(OR(E6489="",E6489="!!!",F6489="NEW"),"",COUNTBLANK(OFFSET(A$1,,,SUMPRODUCT(MAX(ROW(E$2:E6489)*(E6489=E$2:E6489)))))-COUNTBLANK(OFFSET(A$1,,,SUMPRODUCT(MAX(ROW(E$1:E6488)*(E2=E$1:E6488))))))</f>
        <v> </v>
      </c>
      <c r="K6489" s="26" t="str">
        <f>IF(OR(E6489="",E6489="!!!",F6489="NEW"),"",INDEX(J$1:J6488,SUMPRODUCT(MAX(ROW(E$1:E6488)*(E6489=E$1:E6488)))))</f>
        <v> </v>
      </c>
      <c r="L6489" s="27"/>
    </row>
    <row r="6490" spans="1:12">
      <c r="A6490" s="20" t="s">
        <v>1075</v>
      </c>
      <c r="E6490" s="22">
        <f>IF(D6490="?OLD","!!!","")</f>
        <v/>
      </c>
      <c r="F6490" s="23" t="str">
        <f>IF(OR(E6490="",E6490="!!!"),"",IF(NOT(ISNA(VLOOKUP(E6490,E$1:E6489,1,FALSE()))),"OLD",IF(AND(E6490&lt;&gt;"",E6490&lt;&gt;"!!!"),"NEW","")))</f>
        <v> </v>
      </c>
      <c r="G6490" s="24" t="str">
        <f>IF(OR(E6490="",E6490="!!!"),"",IF(OR(J6490=0,AND(J6490=1,K6490=1),AND(J6490=1,I6490="SBJ"),AND(J6490=1,I6490=0)),"?IN_FOCUS",IF(J6490&lt;=2,"?ACTIVATED",IF(J6490&lt;&gt;"","?FAMILIAR",IF(F6490="NEW",IF(ISNA(VLOOKUP(E6490,#REF!,1,FALSE())),"?TYPE_IDENTIFIABLE","?REFERENTIAL"),"_")))))</f>
        <v> </v>
      </c>
      <c r="H6490" s="25" t="str">
        <f>IF(J6490&lt;&gt;1,"",IF(I6490="SBJ","CB","?"))</f>
        <v> </v>
      </c>
      <c r="I6490" s="26" t="str">
        <f>IF(OR(E6490="",E6490="!!!",F6490="NEW"),"",INDEX(B6489:B$2,-1+SUMPRODUCT(MAX(ROW(E6489:E$2)*(E6490=E6489:E$2)))))</f>
        <v> </v>
      </c>
      <c r="J6490" s="26" t="str">
        <f>IF(OR(E6490="",E6490="!!!",F6490="NEW"),"",COUNTBLANK(OFFSET(A$1,,,SUMPRODUCT(MAX(ROW(E$2:E6490)*(E6490=E$2:E6490)))))-COUNTBLANK(OFFSET(A$1,,,SUMPRODUCT(MAX(ROW(E$1:E6489)*(E2=E$1:E6489))))))</f>
        <v> </v>
      </c>
      <c r="K6490" s="26" t="str">
        <f>IF(OR(E6490="",E6490="!!!",F6490="NEW"),"",INDEX(J$1:J6489,SUMPRODUCT(MAX(ROW(E$1:E6489)*(E6490=E$1:E6489)))))</f>
        <v> </v>
      </c>
      <c r="L6490" s="27"/>
    </row>
    <row r="6491" spans="1:12">
      <c r="A6491" s="20" t="s">
        <v>1324</v>
      </c>
      <c r="E6491" s="22">
        <f>IF(D6491="?OLD","!!!","")</f>
        <v/>
      </c>
      <c r="F6491" s="23" t="str">
        <f>IF(OR(E6491="",E6491="!!!"),"",IF(NOT(ISNA(VLOOKUP(E6491,E$1:E6490,1,FALSE()))),"OLD",IF(AND(E6491&lt;&gt;"",E6491&lt;&gt;"!!!"),"NEW","")))</f>
        <v> </v>
      </c>
      <c r="G6491" s="24" t="str">
        <f>IF(OR(E6491="",E6491="!!!"),"",IF(OR(J6491=0,AND(J6491=1,K6491=1),AND(J6491=1,I6491="SBJ"),AND(J6491=1,I6491=0)),"?IN_FOCUS",IF(J6491&lt;=2,"?ACTIVATED",IF(J6491&lt;&gt;"","?FAMILIAR",IF(F6491="NEW",IF(ISNA(VLOOKUP(E6491,#REF!,1,FALSE())),"?TYPE_IDENTIFIABLE","?REFERENTIAL"),"_")))))</f>
        <v> </v>
      </c>
      <c r="H6491" s="25" t="str">
        <f>IF(J6491&lt;&gt;1,"",IF(I6491="SBJ","CB","?"))</f>
        <v> </v>
      </c>
      <c r="I6491" s="26" t="str">
        <f>IF(OR(E6491="",E6491="!!!",F6491="NEW"),"",INDEX(B6490:B$2,-1+SUMPRODUCT(MAX(ROW(E6490:E$2)*(E6491=E6490:E$2)))))</f>
        <v> </v>
      </c>
      <c r="J6491" s="26" t="str">
        <f>IF(OR(E6491="",E6491="!!!",F6491="NEW"),"",COUNTBLANK(OFFSET(A$1,,,SUMPRODUCT(MAX(ROW(E$2:E6491)*(E6491=E$2:E6491)))))-COUNTBLANK(OFFSET(A$1,,,SUMPRODUCT(MAX(ROW(E$1:E6490)*(E2=E$1:E6490))))))</f>
        <v> </v>
      </c>
      <c r="K6491" s="26" t="str">
        <f>IF(OR(E6491="",E6491="!!!",F6491="NEW"),"",INDEX(J$1:J6490,SUMPRODUCT(MAX(ROW(E$1:E6490)*(E6491=E$1:E6490)))))</f>
        <v> </v>
      </c>
      <c r="L6491" s="27"/>
    </row>
    <row r="6492" spans="1:12">
      <c r="A6492" s="20" t="s">
        <v>193</v>
      </c>
      <c r="B6492" s="21" t="s">
        <v>1033</v>
      </c>
      <c r="C6492" s="21" t="s">
        <v>1111</v>
      </c>
      <c r="E6492" s="22">
        <f>IF(D6492="?OLD","!!!","")</f>
        <v/>
      </c>
      <c r="F6492" s="23" t="str">
        <f>IF(OR(E6492="",E6492="!!!"),"",IF(NOT(ISNA(VLOOKUP(E6492,E$1:E6491,1,FALSE()))),"OLD",IF(AND(E6492&lt;&gt;"",E6492&lt;&gt;"!!!"),"NEW","")))</f>
        <v> </v>
      </c>
      <c r="G6492" s="24" t="str">
        <f>IF(OR(E6492="",E6492="!!!"),"",IF(OR(J6492=0,AND(J6492=1,K6492=1),AND(J6492=1,I6492="SBJ"),AND(J6492=1,I6492=0)),"?IN_FOCUS",IF(J6492&lt;=2,"?ACTIVATED",IF(J6492&lt;&gt;"","?FAMILIAR",IF(F6492="NEW",IF(ISNA(VLOOKUP(E6492,#REF!,1,FALSE())),"?TYPE_IDENTIFIABLE","?REFERENTIAL"),"_")))))</f>
        <v> </v>
      </c>
      <c r="H6492" s="25" t="str">
        <f>IF(J6492&lt;&gt;1,"",IF(I6492="SBJ","CB","?"))</f>
        <v> </v>
      </c>
      <c r="I6492" s="26" t="str">
        <f>IF(OR(E6492="",E6492="!!!",F6492="NEW"),"",INDEX(B6491:B$2,-1+SUMPRODUCT(MAX(ROW(E6491:E$2)*(E6492=E6491:E$2)))))</f>
        <v> </v>
      </c>
      <c r="J6492" s="26" t="str">
        <f>IF(OR(E6492="",E6492="!!!",F6492="NEW"),"",COUNTBLANK(OFFSET(A$1,,,SUMPRODUCT(MAX(ROW(E$2:E6492)*(E6492=E$2:E6492)))))-COUNTBLANK(OFFSET(A$1,,,SUMPRODUCT(MAX(ROW(E$1:E6491)*(E2=E$1:E6491))))))</f>
        <v> </v>
      </c>
      <c r="K6492" s="26" t="str">
        <f>IF(OR(E6492="",E6492="!!!",F6492="NEW"),"",INDEX(J$1:J6491,SUMPRODUCT(MAX(ROW(E$1:E6491)*(E6492=E$1:E6491)))))</f>
        <v> </v>
      </c>
      <c r="L6492" s="27"/>
    </row>
    <row r="6493" spans="1:12">
      <c r="A6493" s="20" t="s">
        <v>1065</v>
      </c>
      <c r="B6493" s="21" t="s">
        <v>1067</v>
      </c>
      <c r="E6493" s="22">
        <f>IF(D6493="?OLD","!!!","")</f>
        <v/>
      </c>
      <c r="F6493" s="23" t="str">
        <f>IF(OR(E6493="",E6493="!!!"),"",IF(NOT(ISNA(VLOOKUP(E6493,E$1:E6492,1,FALSE()))),"OLD",IF(AND(E6493&lt;&gt;"",E6493&lt;&gt;"!!!"),"NEW","")))</f>
        <v> </v>
      </c>
      <c r="G6493" s="24" t="str">
        <f>IF(OR(E6493="",E6493="!!!"),"",IF(OR(J6493=0,AND(J6493=1,K6493=1),AND(J6493=1,I6493="SBJ"),AND(J6493=1,I6493=0)),"?IN_FOCUS",IF(J6493&lt;=2,"?ACTIVATED",IF(J6493&lt;&gt;"","?FAMILIAR",IF(F6493="NEW",IF(ISNA(VLOOKUP(E6493,#REF!,1,FALSE())),"?TYPE_IDENTIFIABLE","?REFERENTIAL"),"_")))))</f>
        <v> </v>
      </c>
      <c r="H6493" s="25" t="str">
        <f>IF(J6493&lt;&gt;1,"",IF(I6493="SBJ","CB","?"))</f>
        <v> </v>
      </c>
      <c r="I6493" s="26" t="str">
        <f>IF(OR(E6493="",E6493="!!!",F6493="NEW"),"",INDEX(B6492:B$2,-1+SUMPRODUCT(MAX(ROW(E6492:E$2)*(E6493=E6492:E$2)))))</f>
        <v> </v>
      </c>
      <c r="J6493" s="26" t="str">
        <f>IF(OR(E6493="",E6493="!!!",F6493="NEW"),"",COUNTBLANK(OFFSET(A$1,,,SUMPRODUCT(MAX(ROW(E$2:E6493)*(E6493=E$2:E6493)))))-COUNTBLANK(OFFSET(A$1,,,SUMPRODUCT(MAX(ROW(E$1:E6492)*(E2=E$1:E6492))))))</f>
        <v> </v>
      </c>
      <c r="K6493" s="26" t="str">
        <f>IF(OR(E6493="",E6493="!!!",F6493="NEW"),"",INDEX(J$1:J6492,SUMPRODUCT(MAX(ROW(E$1:E6492)*(E6493=E$1:E6492)))))</f>
        <v> </v>
      </c>
      <c r="L6493" s="27"/>
    </row>
    <row r="6494" spans="1:12">
      <c r="A6494" s="20" t="s">
        <v>2688</v>
      </c>
      <c r="E6494" s="22">
        <f>IF(D6494="?OLD","!!!","")</f>
        <v/>
      </c>
      <c r="F6494" s="23" t="str">
        <f>IF(OR(E6494="",E6494="!!!"),"",IF(NOT(ISNA(VLOOKUP(E6494,E$1:E6493,1,FALSE()))),"OLD",IF(AND(E6494&lt;&gt;"",E6494&lt;&gt;"!!!"),"NEW","")))</f>
        <v> </v>
      </c>
      <c r="G6494" s="24" t="str">
        <f>IF(OR(E6494="",E6494="!!!"),"",IF(OR(J6494=0,AND(J6494=1,K6494=1),AND(J6494=1,I6494="SBJ"),AND(J6494=1,I6494=0)),"?IN_FOCUS",IF(J6494&lt;=2,"?ACTIVATED",IF(J6494&lt;&gt;"","?FAMILIAR",IF(F6494="NEW",IF(ISNA(VLOOKUP(E6494,#REF!,1,FALSE())),"?TYPE_IDENTIFIABLE","?REFERENTIAL"),"_")))))</f>
        <v> </v>
      </c>
      <c r="H6494" s="25" t="str">
        <f>IF(J6494&lt;&gt;1,"",IF(I6494="SBJ","CB","?"))</f>
        <v> </v>
      </c>
      <c r="I6494" s="26" t="str">
        <f>IF(OR(E6494="",E6494="!!!",F6494="NEW"),"",INDEX(B6493:B$2,-1+SUMPRODUCT(MAX(ROW(E6493:E$2)*(E6494=E6493:E$2)))))</f>
        <v> </v>
      </c>
      <c r="J6494" s="26" t="str">
        <f>IF(OR(E6494="",E6494="!!!",F6494="NEW"),"",COUNTBLANK(OFFSET(A$1,,,SUMPRODUCT(MAX(ROW(E$2:E6494)*(E6494=E$2:E6494)))))-COUNTBLANK(OFFSET(A$1,,,SUMPRODUCT(MAX(ROW(E$1:E6493)*(E2=E$1:E6493))))))</f>
        <v> </v>
      </c>
      <c r="K6494" s="26" t="str">
        <f>IF(OR(E6494="",E6494="!!!",F6494="NEW"),"",INDEX(J$1:J6493,SUMPRODUCT(MAX(ROW(E$1:E6493)*(E6494=E$1:E6493)))))</f>
        <v> </v>
      </c>
      <c r="L6494" s="27"/>
    </row>
    <row r="6495" spans="1:12">
      <c r="A6495" s="20" t="s">
        <v>1014</v>
      </c>
      <c r="E6495" s="22">
        <f>IF(D6495="?OLD","!!!","")</f>
        <v/>
      </c>
      <c r="F6495" s="23" t="str">
        <f>IF(OR(E6495="",E6495="!!!"),"",IF(NOT(ISNA(VLOOKUP(E6495,E$1:E6494,1,FALSE()))),"OLD",IF(AND(E6495&lt;&gt;"",E6495&lt;&gt;"!!!"),"NEW","")))</f>
        <v> </v>
      </c>
      <c r="G6495" s="24" t="str">
        <f>IF(OR(E6495="",E6495="!!!"),"",IF(OR(J6495=0,AND(J6495=1,K6495=1),AND(J6495=1,I6495="SBJ"),AND(J6495=1,I6495=0)),"?IN_FOCUS",IF(J6495&lt;=2,"?ACTIVATED",IF(J6495&lt;&gt;"","?FAMILIAR",IF(F6495="NEW",IF(ISNA(VLOOKUP(E6495,#REF!,1,FALSE())),"?TYPE_IDENTIFIABLE","?REFERENTIAL"),"_")))))</f>
        <v> </v>
      </c>
      <c r="H6495" s="25" t="str">
        <f>IF(J6495&lt;&gt;1,"",IF(I6495="SBJ","CB","?"))</f>
        <v> </v>
      </c>
      <c r="I6495" s="26" t="str">
        <f>IF(OR(E6495="",E6495="!!!",F6495="NEW"),"",INDEX(B6494:B$2,-1+SUMPRODUCT(MAX(ROW(E6494:E$2)*(E6495=E6494:E$2)))))</f>
        <v> </v>
      </c>
      <c r="J6495" s="26" t="str">
        <f>IF(OR(E6495="",E6495="!!!",F6495="NEW"),"",COUNTBLANK(OFFSET(A$1,,,SUMPRODUCT(MAX(ROW(E$2:E6495)*(E6495=E$2:E6495)))))-COUNTBLANK(OFFSET(A$1,,,SUMPRODUCT(MAX(ROW(E$1:E6494)*(E2=E$1:E6494))))))</f>
        <v> </v>
      </c>
      <c r="K6495" s="26" t="str">
        <f>IF(OR(E6495="",E6495="!!!",F6495="NEW"),"",INDEX(J$1:J6494,SUMPRODUCT(MAX(ROW(E$1:E6494)*(E6495=E$1:E6494)))))</f>
        <v> </v>
      </c>
      <c r="L6495" s="27"/>
    </row>
    <row r="6496" spans="1:12">
      <c r="A6496" s="20" t="s">
        <v>897</v>
      </c>
      <c r="E6496" s="22">
        <f>IF(D6496="?OLD","!!!","")</f>
        <v/>
      </c>
      <c r="F6496" s="23" t="str">
        <f>IF(OR(E6496="",E6496="!!!"),"",IF(NOT(ISNA(VLOOKUP(E6496,E$1:E6495,1,FALSE()))),"OLD",IF(AND(E6496&lt;&gt;"",E6496&lt;&gt;"!!!"),"NEW","")))</f>
        <v> </v>
      </c>
      <c r="G6496" s="24" t="str">
        <f>IF(OR(E6496="",E6496="!!!"),"",IF(OR(J6496=0,AND(J6496=1,K6496=1),AND(J6496=1,I6496="SBJ"),AND(J6496=1,I6496=0)),"?IN_FOCUS",IF(J6496&lt;=2,"?ACTIVATED",IF(J6496&lt;&gt;"","?FAMILIAR",IF(F6496="NEW",IF(ISNA(VLOOKUP(E6496,#REF!,1,FALSE())),"?TYPE_IDENTIFIABLE","?REFERENTIAL"),"_")))))</f>
        <v> </v>
      </c>
      <c r="H6496" s="25" t="str">
        <f>IF(J6496&lt;&gt;1,"",IF(I6496="SBJ","CB","?"))</f>
        <v> </v>
      </c>
      <c r="I6496" s="26" t="str">
        <f>IF(OR(E6496="",E6496="!!!",F6496="NEW"),"",INDEX(B6495:B$2,-1+SUMPRODUCT(MAX(ROW(E6495:E$2)*(E6496=E6495:E$2)))))</f>
        <v> </v>
      </c>
      <c r="J6496" s="26" t="str">
        <f>IF(OR(E6496="",E6496="!!!",F6496="NEW"),"",COUNTBLANK(OFFSET(A$1,,,SUMPRODUCT(MAX(ROW(E$2:E6496)*(E6496=E$2:E6496)))))-COUNTBLANK(OFFSET(A$1,,,SUMPRODUCT(MAX(ROW(E$1:E6495)*(E2=E$1:E6495))))))</f>
        <v> </v>
      </c>
      <c r="K6496" s="26" t="str">
        <f>IF(OR(E6496="",E6496="!!!",F6496="NEW"),"",INDEX(J$1:J6495,SUMPRODUCT(MAX(ROW(E$1:E6495)*(E6496=E$1:E6495)))))</f>
        <v> </v>
      </c>
      <c r="L6496" s="27"/>
    </row>
    <row r="6497" spans="1:12">
      <c r="A6497" s="20" t="s">
        <v>1018</v>
      </c>
      <c r="E6497" s="22">
        <f>IF(D6497="?OLD","!!!","")</f>
        <v/>
      </c>
      <c r="F6497" s="23" t="str">
        <f>IF(OR(E6497="",E6497="!!!"),"",IF(NOT(ISNA(VLOOKUP(E6497,E$1:E6496,1,FALSE()))),"OLD",IF(AND(E6497&lt;&gt;"",E6497&lt;&gt;"!!!"),"NEW","")))</f>
        <v> </v>
      </c>
      <c r="G6497" s="24" t="str">
        <f>IF(OR(E6497="",E6497="!!!"),"",IF(OR(J6497=0,AND(J6497=1,K6497=1),AND(J6497=1,I6497="SBJ"),AND(J6497=1,I6497=0)),"?IN_FOCUS",IF(J6497&lt;=2,"?ACTIVATED",IF(J6497&lt;&gt;"","?FAMILIAR",IF(F6497="NEW",IF(ISNA(VLOOKUP(E6497,#REF!,1,FALSE())),"?TYPE_IDENTIFIABLE","?REFERENTIAL"),"_")))))</f>
        <v> </v>
      </c>
      <c r="H6497" s="25" t="str">
        <f>IF(J6497&lt;&gt;1,"",IF(I6497="SBJ","CB","?"))</f>
        <v> </v>
      </c>
      <c r="I6497" s="26" t="str">
        <f>IF(OR(E6497="",E6497="!!!",F6497="NEW"),"",INDEX(B6496:B$2,-1+SUMPRODUCT(MAX(ROW(E6496:E$2)*(E6497=E6496:E$2)))))</f>
        <v> </v>
      </c>
      <c r="J6497" s="26" t="str">
        <f>IF(OR(E6497="",E6497="!!!",F6497="NEW"),"",COUNTBLANK(OFFSET(A$1,,,SUMPRODUCT(MAX(ROW(E$2:E6497)*(E6497=E$2:E6497)))))-COUNTBLANK(OFFSET(A$1,,,SUMPRODUCT(MAX(ROW(E$1:E6496)*(E2=E$1:E6496))))))</f>
        <v> </v>
      </c>
      <c r="K6497" s="26" t="str">
        <f>IF(OR(E6497="",E6497="!!!",F6497="NEW"),"",INDEX(J$1:J6496,SUMPRODUCT(MAX(ROW(E$1:E6496)*(E6497=E$1:E6496)))))</f>
        <v> </v>
      </c>
      <c r="L6497" s="27"/>
    </row>
    <row r="6498" spans="1:12">
      <c r="A6498" s="20" t="s">
        <v>1075</v>
      </c>
      <c r="E6498" s="22">
        <f>IF(D6498="?OLD","!!!","")</f>
        <v/>
      </c>
      <c r="F6498" s="23" t="str">
        <f>IF(OR(E6498="",E6498="!!!"),"",IF(NOT(ISNA(VLOOKUP(E6498,E$1:E6497,1,FALSE()))),"OLD",IF(AND(E6498&lt;&gt;"",E6498&lt;&gt;"!!!"),"NEW","")))</f>
        <v> </v>
      </c>
      <c r="G6498" s="24" t="str">
        <f>IF(OR(E6498="",E6498="!!!"),"",IF(OR(J6498=0,AND(J6498=1,K6498=1),AND(J6498=1,I6498="SBJ"),AND(J6498=1,I6498=0)),"?IN_FOCUS",IF(J6498&lt;=2,"?ACTIVATED",IF(J6498&lt;&gt;"","?FAMILIAR",IF(F6498="NEW",IF(ISNA(VLOOKUP(E6498,#REF!,1,FALSE())),"?TYPE_IDENTIFIABLE","?REFERENTIAL"),"_")))))</f>
        <v> </v>
      </c>
      <c r="H6498" s="25" t="str">
        <f>IF(J6498&lt;&gt;1,"",IF(I6498="SBJ","CB","?"))</f>
        <v> </v>
      </c>
      <c r="I6498" s="26" t="str">
        <f>IF(OR(E6498="",E6498="!!!",F6498="NEW"),"",INDEX(B6497:B$2,-1+SUMPRODUCT(MAX(ROW(E6497:E$2)*(E6498=E6497:E$2)))))</f>
        <v> </v>
      </c>
      <c r="J6498" s="26" t="str">
        <f>IF(OR(E6498="",E6498="!!!",F6498="NEW"),"",COUNTBLANK(OFFSET(A$1,,,SUMPRODUCT(MAX(ROW(E$2:E6498)*(E6498=E$2:E6498)))))-COUNTBLANK(OFFSET(A$1,,,SUMPRODUCT(MAX(ROW(E$1:E6497)*(E2=E$1:E6497))))))</f>
        <v> </v>
      </c>
      <c r="K6498" s="26" t="str">
        <f>IF(OR(E6498="",E6498="!!!",F6498="NEW"),"",INDEX(J$1:J6497,SUMPRODUCT(MAX(ROW(E$1:E6497)*(E6498=E$1:E6497)))))</f>
        <v> </v>
      </c>
      <c r="L6498" s="27"/>
    </row>
    <row r="6499" spans="1:12">
      <c r="A6499" s="20" t="s">
        <v>1056</v>
      </c>
      <c r="E6499" s="22">
        <f>IF(D6499="?OLD","!!!","")</f>
        <v/>
      </c>
      <c r="F6499" s="23" t="str">
        <f>IF(OR(E6499="",E6499="!!!"),"",IF(NOT(ISNA(VLOOKUP(E6499,E$1:E6498,1,FALSE()))),"OLD",IF(AND(E6499&lt;&gt;"",E6499&lt;&gt;"!!!"),"NEW","")))</f>
        <v> </v>
      </c>
      <c r="G6499" s="24" t="str">
        <f>IF(OR(E6499="",E6499="!!!"),"",IF(OR(J6499=0,AND(J6499=1,K6499=1),AND(J6499=1,I6499="SBJ"),AND(J6499=1,I6499=0)),"?IN_FOCUS",IF(J6499&lt;=2,"?ACTIVATED",IF(J6499&lt;&gt;"","?FAMILIAR",IF(F6499="NEW",IF(ISNA(VLOOKUP(E6499,#REF!,1,FALSE())),"?TYPE_IDENTIFIABLE","?REFERENTIAL"),"_")))))</f>
        <v> </v>
      </c>
      <c r="H6499" s="25" t="str">
        <f>IF(J6499&lt;&gt;1,"",IF(I6499="SBJ","CB","?"))</f>
        <v> </v>
      </c>
      <c r="I6499" s="26" t="str">
        <f>IF(OR(E6499="",E6499="!!!",F6499="NEW"),"",INDEX(B6498:B$2,-1+SUMPRODUCT(MAX(ROW(E6498:E$2)*(E6499=E6498:E$2)))))</f>
        <v> </v>
      </c>
      <c r="J6499" s="26" t="str">
        <f>IF(OR(E6499="",E6499="!!!",F6499="NEW"),"",COUNTBLANK(OFFSET(A$1,,,SUMPRODUCT(MAX(ROW(E$2:E6499)*(E6499=E$2:E6499)))))-COUNTBLANK(OFFSET(A$1,,,SUMPRODUCT(MAX(ROW(E$1:E6498)*(E2=E$1:E6498))))))</f>
        <v> </v>
      </c>
      <c r="K6499" s="26" t="str">
        <f>IF(OR(E6499="",E6499="!!!",F6499="NEW"),"",INDEX(J$1:J6498,SUMPRODUCT(MAX(ROW(E$1:E6498)*(E6499=E$1:E6498)))))</f>
        <v> </v>
      </c>
      <c r="L6499" s="27"/>
    </row>
    <row r="6500" spans="1:12">
      <c r="A6500" s="20" t="s">
        <v>2689</v>
      </c>
      <c r="B6500" s="21" t="s">
        <v>1005</v>
      </c>
      <c r="C6500" s="21" t="s">
        <v>1111</v>
      </c>
      <c r="E6500" s="22">
        <f>IF(D6500="?OLD","!!!","")</f>
        <v/>
      </c>
      <c r="F6500" s="23" t="str">
        <f>IF(OR(E6500="",E6500="!!!"),"",IF(NOT(ISNA(VLOOKUP(E6500,E$1:E6499,1,FALSE()))),"OLD",IF(AND(E6500&lt;&gt;"",E6500&lt;&gt;"!!!"),"NEW","")))</f>
        <v> </v>
      </c>
      <c r="G6500" s="24" t="str">
        <f>IF(OR(E6500="",E6500="!!!"),"",IF(OR(J6500=0,AND(J6500=1,K6500=1),AND(J6500=1,I6500="SBJ"),AND(J6500=1,I6500=0)),"?IN_FOCUS",IF(J6500&lt;=2,"?ACTIVATED",IF(J6500&lt;&gt;"","?FAMILIAR",IF(F6500="NEW",IF(ISNA(VLOOKUP(E6500,#REF!,1,FALSE())),"?TYPE_IDENTIFIABLE","?REFERENTIAL"),"_")))))</f>
        <v> </v>
      </c>
      <c r="H6500" s="25" t="str">
        <f>IF(J6500&lt;&gt;1,"",IF(I6500="SBJ","CB","?"))</f>
        <v> </v>
      </c>
      <c r="I6500" s="26" t="str">
        <f>IF(OR(E6500="",E6500="!!!",F6500="NEW"),"",INDEX(B6499:B$2,-1+SUMPRODUCT(MAX(ROW(E6499:E$2)*(E6500=E6499:E$2)))))</f>
        <v> </v>
      </c>
      <c r="J6500" s="26" t="str">
        <f>IF(OR(E6500="",E6500="!!!",F6500="NEW"),"",COUNTBLANK(OFFSET(A$1,,,SUMPRODUCT(MAX(ROW(E$2:E6500)*(E6500=E$2:E6500)))))-COUNTBLANK(OFFSET(A$1,,,SUMPRODUCT(MAX(ROW(E$1:E6499)*(E2=E$1:E6499))))))</f>
        <v> </v>
      </c>
      <c r="K6500" s="26" t="str">
        <f>IF(OR(E6500="",E6500="!!!",F6500="NEW"),"",INDEX(J$1:J6499,SUMPRODUCT(MAX(ROW(E$1:E6499)*(E6500=E$1:E6499)))))</f>
        <v> </v>
      </c>
      <c r="L6500" s="27"/>
    </row>
    <row r="6501" spans="1:12">
      <c r="A6501" s="20" t="s">
        <v>2690</v>
      </c>
      <c r="E6501" s="22">
        <f>IF(D6501="?OLD","!!!","")</f>
        <v/>
      </c>
      <c r="F6501" s="23" t="str">
        <f>IF(OR(E6501="",E6501="!!!"),"",IF(NOT(ISNA(VLOOKUP(E6501,E$1:E6500,1,FALSE()))),"OLD",IF(AND(E6501&lt;&gt;"",E6501&lt;&gt;"!!!"),"NEW","")))</f>
        <v> </v>
      </c>
      <c r="G6501" s="24" t="str">
        <f>IF(OR(E6501="",E6501="!!!"),"",IF(OR(J6501=0,AND(J6501=1,K6501=1),AND(J6501=1,I6501="SBJ"),AND(J6501=1,I6501=0)),"?IN_FOCUS",IF(J6501&lt;=2,"?ACTIVATED",IF(J6501&lt;&gt;"","?FAMILIAR",IF(F6501="NEW",IF(ISNA(VLOOKUP(E6501,#REF!,1,FALSE())),"?TYPE_IDENTIFIABLE","?REFERENTIAL"),"_")))))</f>
        <v> </v>
      </c>
      <c r="H6501" s="25" t="str">
        <f>IF(J6501&lt;&gt;1,"",IF(I6501="SBJ","CB","?"))</f>
        <v> </v>
      </c>
      <c r="I6501" s="26" t="str">
        <f>IF(OR(E6501="",E6501="!!!",F6501="NEW"),"",INDEX(B6500:B$2,-1+SUMPRODUCT(MAX(ROW(E6500:E$2)*(E6501=E6500:E$2)))))</f>
        <v> </v>
      </c>
      <c r="J6501" s="26" t="str">
        <f>IF(OR(E6501="",E6501="!!!",F6501="NEW"),"",COUNTBLANK(OFFSET(A$1,,,SUMPRODUCT(MAX(ROW(E$2:E6501)*(E6501=E$2:E6501)))))-COUNTBLANK(OFFSET(A$1,,,SUMPRODUCT(MAX(ROW(E$1:E6500)*(E2=E$1:E6500))))))</f>
        <v> </v>
      </c>
      <c r="K6501" s="26" t="str">
        <f>IF(OR(E6501="",E6501="!!!",F6501="NEW"),"",INDEX(J$1:J6500,SUMPRODUCT(MAX(ROW(E$1:E6500)*(E6501=E$1:E6500)))))</f>
        <v> </v>
      </c>
      <c r="L6501" s="27"/>
    </row>
    <row r="6502" spans="1:12">
      <c r="A6502" s="20" t="s">
        <v>1018</v>
      </c>
      <c r="E6502" s="22">
        <f>IF(D6502="?OLD","!!!","")</f>
        <v/>
      </c>
      <c r="F6502" s="23" t="str">
        <f>IF(OR(E6502="",E6502="!!!"),"",IF(NOT(ISNA(VLOOKUP(E6502,E$1:E6501,1,FALSE()))),"OLD",IF(AND(E6502&lt;&gt;"",E6502&lt;&gt;"!!!"),"NEW","")))</f>
        <v> </v>
      </c>
      <c r="G6502" s="24" t="str">
        <f>IF(OR(E6502="",E6502="!!!"),"",IF(OR(J6502=0,AND(J6502=1,K6502=1),AND(J6502=1,I6502="SBJ"),AND(J6502=1,I6502=0)),"?IN_FOCUS",IF(J6502&lt;=2,"?ACTIVATED",IF(J6502&lt;&gt;"","?FAMILIAR",IF(F6502="NEW",IF(ISNA(VLOOKUP(E6502,#REF!,1,FALSE())),"?TYPE_IDENTIFIABLE","?REFERENTIAL"),"_")))))</f>
        <v> </v>
      </c>
      <c r="H6502" s="25" t="str">
        <f>IF(J6502&lt;&gt;1,"",IF(I6502="SBJ","CB","?"))</f>
        <v> </v>
      </c>
      <c r="I6502" s="26" t="str">
        <f>IF(OR(E6502="",E6502="!!!",F6502="NEW"),"",INDEX(B6501:B$2,-1+SUMPRODUCT(MAX(ROW(E6501:E$2)*(E6502=E6501:E$2)))))</f>
        <v> </v>
      </c>
      <c r="J6502" s="26" t="str">
        <f>IF(OR(E6502="",E6502="!!!",F6502="NEW"),"",COUNTBLANK(OFFSET(A$1,,,SUMPRODUCT(MAX(ROW(E$2:E6502)*(E6502=E$2:E6502)))))-COUNTBLANK(OFFSET(A$1,,,SUMPRODUCT(MAX(ROW(E$1:E6501)*(E2=E$1:E6501))))))</f>
        <v> </v>
      </c>
      <c r="K6502" s="26" t="str">
        <f>IF(OR(E6502="",E6502="!!!",F6502="NEW"),"",INDEX(J$1:J6501,SUMPRODUCT(MAX(ROW(E$1:E6501)*(E6502=E$1:E6501)))))</f>
        <v> </v>
      </c>
      <c r="L6502" s="27"/>
    </row>
    <row r="6503" spans="1:12">
      <c r="A6503" s="20" t="s">
        <v>1330</v>
      </c>
      <c r="E6503" s="22">
        <f>IF(D6503="?OLD","!!!","")</f>
        <v/>
      </c>
      <c r="F6503" s="23" t="str">
        <f>IF(OR(E6503="",E6503="!!!"),"",IF(NOT(ISNA(VLOOKUP(E6503,E$1:E6502,1,FALSE()))),"OLD",IF(AND(E6503&lt;&gt;"",E6503&lt;&gt;"!!!"),"NEW","")))</f>
        <v> </v>
      </c>
      <c r="G6503" s="24" t="str">
        <f>IF(OR(E6503="",E6503="!!!"),"",IF(OR(J6503=0,AND(J6503=1,K6503=1),AND(J6503=1,I6503="SBJ"),AND(J6503=1,I6503=0)),"?IN_FOCUS",IF(J6503&lt;=2,"?ACTIVATED",IF(J6503&lt;&gt;"","?FAMILIAR",IF(F6503="NEW",IF(ISNA(VLOOKUP(E6503,#REF!,1,FALSE())),"?TYPE_IDENTIFIABLE","?REFERENTIAL"),"_")))))</f>
        <v> </v>
      </c>
      <c r="H6503" s="25" t="str">
        <f>IF(J6503&lt;&gt;1,"",IF(I6503="SBJ","CB","?"))</f>
        <v> </v>
      </c>
      <c r="I6503" s="26" t="str">
        <f>IF(OR(E6503="",E6503="!!!",F6503="NEW"),"",INDEX(B6502:B$2,-1+SUMPRODUCT(MAX(ROW(E6502:E$2)*(E6503=E6502:E$2)))))</f>
        <v> </v>
      </c>
      <c r="J6503" s="26" t="str">
        <f>IF(OR(E6503="",E6503="!!!",F6503="NEW"),"",COUNTBLANK(OFFSET(A$1,,,SUMPRODUCT(MAX(ROW(E$2:E6503)*(E6503=E$2:E6503)))))-COUNTBLANK(OFFSET(A$1,,,SUMPRODUCT(MAX(ROW(E$1:E6502)*(E2=E$1:E6502))))))</f>
        <v> </v>
      </c>
      <c r="K6503" s="26" t="str">
        <f>IF(OR(E6503="",E6503="!!!",F6503="NEW"),"",INDEX(J$1:J6502,SUMPRODUCT(MAX(ROW(E$1:E6502)*(E6503=E$1:E6502)))))</f>
        <v> </v>
      </c>
      <c r="L6503" s="27"/>
    </row>
    <row r="6504" spans="1:12">
      <c r="A6504" s="20" t="s">
        <v>1142</v>
      </c>
      <c r="E6504" s="22">
        <f>IF(D6504="?OLD","!!!","")</f>
        <v/>
      </c>
      <c r="F6504" s="23" t="str">
        <f>IF(OR(E6504="",E6504="!!!"),"",IF(NOT(ISNA(VLOOKUP(E6504,E$1:E6503,1,FALSE()))),"OLD",IF(AND(E6504&lt;&gt;"",E6504&lt;&gt;"!!!"),"NEW","")))</f>
        <v> </v>
      </c>
      <c r="G6504" s="24" t="str">
        <f>IF(OR(E6504="",E6504="!!!"),"",IF(OR(J6504=0,AND(J6504=1,K6504=1),AND(J6504=1,I6504="SBJ"),AND(J6504=1,I6504=0)),"?IN_FOCUS",IF(J6504&lt;=2,"?ACTIVATED",IF(J6504&lt;&gt;"","?FAMILIAR",IF(F6504="NEW",IF(ISNA(VLOOKUP(E6504,#REF!,1,FALSE())),"?TYPE_IDENTIFIABLE","?REFERENTIAL"),"_")))))</f>
        <v> </v>
      </c>
      <c r="H6504" s="25" t="str">
        <f>IF(J6504&lt;&gt;1,"",IF(I6504="SBJ","CB","?"))</f>
        <v> </v>
      </c>
      <c r="I6504" s="26" t="str">
        <f>IF(OR(E6504="",E6504="!!!",F6504="NEW"),"",INDEX(B6503:B$2,-1+SUMPRODUCT(MAX(ROW(E6503:E$2)*(E6504=E6503:E$2)))))</f>
        <v> </v>
      </c>
      <c r="J6504" s="26" t="str">
        <f>IF(OR(E6504="",E6504="!!!",F6504="NEW"),"",COUNTBLANK(OFFSET(A$1,,,SUMPRODUCT(MAX(ROW(E$2:E6504)*(E6504=E$2:E6504)))))-COUNTBLANK(OFFSET(A$1,,,SUMPRODUCT(MAX(ROW(E$1:E6503)*(E2=E$1:E6503))))))</f>
        <v> </v>
      </c>
      <c r="K6504" s="26" t="str">
        <f>IF(OR(E6504="",E6504="!!!",F6504="NEW"),"",INDEX(J$1:J6503,SUMPRODUCT(MAX(ROW(E$1:E6503)*(E6504=E$1:E6503)))))</f>
        <v> </v>
      </c>
      <c r="L6504" s="27"/>
    </row>
    <row r="6505" spans="1:12">
      <c r="A6505" s="20" t="s">
        <v>1075</v>
      </c>
      <c r="E6505" s="22">
        <f>IF(D6505="?OLD","!!!","")</f>
        <v/>
      </c>
      <c r="F6505" s="23" t="str">
        <f>IF(OR(E6505="",E6505="!!!"),"",IF(NOT(ISNA(VLOOKUP(E6505,E$1:E6504,1,FALSE()))),"OLD",IF(AND(E6505&lt;&gt;"",E6505&lt;&gt;"!!!"),"NEW","")))</f>
        <v> </v>
      </c>
      <c r="G6505" s="24" t="str">
        <f>IF(OR(E6505="",E6505="!!!"),"",IF(OR(J6505=0,AND(J6505=1,K6505=1),AND(J6505=1,I6505="SBJ"),AND(J6505=1,I6505=0)),"?IN_FOCUS",IF(J6505&lt;=2,"?ACTIVATED",IF(J6505&lt;&gt;"","?FAMILIAR",IF(F6505="NEW",IF(ISNA(VLOOKUP(E6505,#REF!,1,FALSE())),"?TYPE_IDENTIFIABLE","?REFERENTIAL"),"_")))))</f>
        <v> </v>
      </c>
      <c r="H6505" s="25" t="str">
        <f>IF(J6505&lt;&gt;1,"",IF(I6505="SBJ","CB","?"))</f>
        <v> </v>
      </c>
      <c r="I6505" s="26" t="str">
        <f>IF(OR(E6505="",E6505="!!!",F6505="NEW"),"",INDEX(B6504:B$2,-1+SUMPRODUCT(MAX(ROW(E6504:E$2)*(E6505=E6504:E$2)))))</f>
        <v> </v>
      </c>
      <c r="J6505" s="26" t="str">
        <f>IF(OR(E6505="",E6505="!!!",F6505="NEW"),"",COUNTBLANK(OFFSET(A$1,,,SUMPRODUCT(MAX(ROW(E$2:E6505)*(E6505=E$2:E6505)))))-COUNTBLANK(OFFSET(A$1,,,SUMPRODUCT(MAX(ROW(E$1:E6504)*(E2=E$1:E6504))))))</f>
        <v> </v>
      </c>
      <c r="K6505" s="26" t="str">
        <f>IF(OR(E6505="",E6505="!!!",F6505="NEW"),"",INDEX(J$1:J6504,SUMPRODUCT(MAX(ROW(E$1:E6504)*(E6505=E$1:E6504)))))</f>
        <v> </v>
      </c>
      <c r="L6505" s="27"/>
    </row>
    <row r="6506" spans="1:12">
      <c r="A6506" s="20" t="s">
        <v>102</v>
      </c>
      <c r="E6506" s="22">
        <f>IF(D6506="?OLD","!!!","")</f>
        <v/>
      </c>
      <c r="F6506" s="23" t="str">
        <f>IF(OR(E6506="",E6506="!!!"),"",IF(NOT(ISNA(VLOOKUP(E6506,E$1:E6505,1,FALSE()))),"OLD",IF(AND(E6506&lt;&gt;"",E6506&lt;&gt;"!!!"),"NEW","")))</f>
        <v> </v>
      </c>
      <c r="G6506" s="24" t="str">
        <f>IF(OR(E6506="",E6506="!!!"),"",IF(OR(J6506=0,AND(J6506=1,K6506=1),AND(J6506=1,I6506="SBJ"),AND(J6506=1,I6506=0)),"?IN_FOCUS",IF(J6506&lt;=2,"?ACTIVATED",IF(J6506&lt;&gt;"","?FAMILIAR",IF(F6506="NEW",IF(ISNA(VLOOKUP(E6506,#REF!,1,FALSE())),"?TYPE_IDENTIFIABLE","?REFERENTIAL"),"_")))))</f>
        <v> </v>
      </c>
      <c r="H6506" s="25" t="str">
        <f>IF(J6506&lt;&gt;1,"",IF(I6506="SBJ","CB","?"))</f>
        <v> </v>
      </c>
      <c r="I6506" s="26" t="str">
        <f>IF(OR(E6506="",E6506="!!!",F6506="NEW"),"",INDEX(B6505:B$2,-1+SUMPRODUCT(MAX(ROW(E6505:E$2)*(E6506=E6505:E$2)))))</f>
        <v> </v>
      </c>
      <c r="J6506" s="26" t="str">
        <f>IF(OR(E6506="",E6506="!!!",F6506="NEW"),"",COUNTBLANK(OFFSET(A$1,,,SUMPRODUCT(MAX(ROW(E$2:E6506)*(E6506=E$2:E6506)))))-COUNTBLANK(OFFSET(A$1,,,SUMPRODUCT(MAX(ROW(E$1:E6505)*(E2=E$1:E6505))))))</f>
        <v> </v>
      </c>
      <c r="K6506" s="26" t="str">
        <f>IF(OR(E6506="",E6506="!!!",F6506="NEW"),"",INDEX(J$1:J6505,SUMPRODUCT(MAX(ROW(E$1:E6505)*(E6506=E$1:E6505)))))</f>
        <v> </v>
      </c>
      <c r="L6506" s="27"/>
    </row>
    <row r="6507" spans="1:12">
      <c r="A6507" s="20" t="s">
        <v>2689</v>
      </c>
      <c r="B6507" s="21" t="s">
        <v>1005</v>
      </c>
      <c r="C6507" s="21" t="s">
        <v>1017</v>
      </c>
      <c r="D6507" s="21" t="s">
        <v>1007</v>
      </c>
      <c r="E6507" s="22">
        <f>IF(D6507="?OLD","!!!","")</f>
        <v/>
      </c>
      <c r="F6507" s="23" t="str">
        <f>IF(OR(E6507="",E6507="!!!"),"",IF(NOT(ISNA(VLOOKUP(E6507,E$1:E6506,1,FALSE()))),"OLD",IF(AND(E6507&lt;&gt;"",E6507&lt;&gt;"!!!"),"NEW","")))</f>
        <v> </v>
      </c>
      <c r="G6507" s="24" t="str">
        <f>IF(OR(E6507="",E6507="!!!"),"",IF(OR(J6507=0,AND(J6507=1,K6507=1),AND(J6507=1,I6507="SBJ"),AND(J6507=1,I6507=0)),"?IN_FOCUS",IF(J6507&lt;=2,"?ACTIVATED",IF(J6507&lt;&gt;"","?FAMILIAR",IF(F6507="NEW",IF(ISNA(VLOOKUP(E6507,#REF!,1,FALSE())),"?TYPE_IDENTIFIABLE","?REFERENTIAL"),"_")))))</f>
        <v> </v>
      </c>
      <c r="H6507" s="25" t="str">
        <f>IF(J6507&lt;&gt;1,"",IF(I6507="SBJ","CB","?"))</f>
        <v> </v>
      </c>
      <c r="I6507" s="26" t="str">
        <f>IF(OR(E6507="",E6507="!!!",F6507="NEW"),"",INDEX(B6506:B$2,-1+SUMPRODUCT(MAX(ROW(E6506:E$2)*(E6507=E6506:E$2)))))</f>
        <v> </v>
      </c>
      <c r="J6507" s="26" t="str">
        <f>IF(OR(E6507="",E6507="!!!",F6507="NEW"),"",COUNTBLANK(OFFSET(A$1,,,SUMPRODUCT(MAX(ROW(E$2:E6507)*(E6507=E$2:E6507)))))-COUNTBLANK(OFFSET(A$1,,,SUMPRODUCT(MAX(ROW(E$1:E6506)*(E2=E$1:E6506))))))</f>
        <v> </v>
      </c>
      <c r="K6507" s="26" t="str">
        <f>IF(OR(E6507="",E6507="!!!",F6507="NEW"),"",INDEX(J$1:J6506,SUMPRODUCT(MAX(ROW(E$1:E6506)*(E6507=E$1:E6506)))))</f>
        <v> </v>
      </c>
      <c r="L6507" s="27"/>
    </row>
    <row r="6508" spans="1:12">
      <c r="A6508" s="20" t="s">
        <v>2691</v>
      </c>
      <c r="E6508" s="22">
        <f>IF(D6508="?OLD","!!!","")</f>
        <v/>
      </c>
      <c r="F6508" s="23" t="str">
        <f>IF(OR(E6508="",E6508="!!!"),"",IF(NOT(ISNA(VLOOKUP(E6508,E$1:E6507,1,FALSE()))),"OLD",IF(AND(E6508&lt;&gt;"",E6508&lt;&gt;"!!!"),"NEW","")))</f>
        <v> </v>
      </c>
      <c r="G6508" s="24" t="str">
        <f>IF(OR(E6508="",E6508="!!!"),"",IF(OR(J6508=0,AND(J6508=1,K6508=1),AND(J6508=1,I6508="SBJ"),AND(J6508=1,I6508=0)),"?IN_FOCUS",IF(J6508&lt;=2,"?ACTIVATED",IF(J6508&lt;&gt;"","?FAMILIAR",IF(F6508="NEW",IF(ISNA(VLOOKUP(E6508,#REF!,1,FALSE())),"?TYPE_IDENTIFIABLE","?REFERENTIAL"),"_")))))</f>
        <v> </v>
      </c>
      <c r="H6508" s="25" t="str">
        <f>IF(J6508&lt;&gt;1,"",IF(I6508="SBJ","CB","?"))</f>
        <v> </v>
      </c>
      <c r="I6508" s="26" t="str">
        <f>IF(OR(E6508="",E6508="!!!",F6508="NEW"),"",INDEX(B6507:B$2,-1+SUMPRODUCT(MAX(ROW(E6507:E$2)*(E6508=E6507:E$2)))))</f>
        <v> </v>
      </c>
      <c r="J6508" s="26" t="str">
        <f>IF(OR(E6508="",E6508="!!!",F6508="NEW"),"",COUNTBLANK(OFFSET(A$1,,,SUMPRODUCT(MAX(ROW(E$2:E6508)*(E6508=E$2:E6508)))))-COUNTBLANK(OFFSET(A$1,,,SUMPRODUCT(MAX(ROW(E$1:E6507)*(E2=E$1:E6507))))))</f>
        <v> </v>
      </c>
      <c r="K6508" s="26" t="str">
        <f>IF(OR(E6508="",E6508="!!!",F6508="NEW"),"",INDEX(J$1:J6507,SUMPRODUCT(MAX(ROW(E$1:E6507)*(E6508=E$1:E6507)))))</f>
        <v> </v>
      </c>
      <c r="L6508" s="27"/>
    </row>
    <row r="6509" spans="1:12">
      <c r="A6509" s="20" t="s">
        <v>1023</v>
      </c>
      <c r="E6509" s="22">
        <f>IF(D6509="?OLD","!!!","")</f>
        <v/>
      </c>
      <c r="F6509" s="23" t="str">
        <f>IF(OR(E6509="",E6509="!!!"),"",IF(NOT(ISNA(VLOOKUP(E6509,E$1:E6508,1,FALSE()))),"OLD",IF(AND(E6509&lt;&gt;"",E6509&lt;&gt;"!!!"),"NEW","")))</f>
        <v> </v>
      </c>
      <c r="G6509" s="24" t="str">
        <f>IF(OR(E6509="",E6509="!!!"),"",IF(OR(J6509=0,AND(J6509=1,K6509=1),AND(J6509=1,I6509="SBJ"),AND(J6509=1,I6509=0)),"?IN_FOCUS",IF(J6509&lt;=2,"?ACTIVATED",IF(J6509&lt;&gt;"","?FAMILIAR",IF(F6509="NEW",IF(ISNA(VLOOKUP(E6509,#REF!,1,FALSE())),"?TYPE_IDENTIFIABLE","?REFERENTIAL"),"_")))))</f>
        <v> </v>
      </c>
      <c r="H6509" s="25" t="str">
        <f>IF(J6509&lt;&gt;1,"",IF(I6509="SBJ","CB","?"))</f>
        <v> </v>
      </c>
      <c r="I6509" s="26" t="str">
        <f>IF(OR(E6509="",E6509="!!!",F6509="NEW"),"",INDEX(B6508:B$2,-1+SUMPRODUCT(MAX(ROW(E6508:E$2)*(E6509=E6508:E$2)))))</f>
        <v> </v>
      </c>
      <c r="J6509" s="26" t="str">
        <f>IF(OR(E6509="",E6509="!!!",F6509="NEW"),"",COUNTBLANK(OFFSET(A$1,,,SUMPRODUCT(MAX(ROW(E$2:E6509)*(E6509=E$2:E6509)))))-COUNTBLANK(OFFSET(A$1,,,SUMPRODUCT(MAX(ROW(E$1:E6508)*(E2=E$1:E6508))))))</f>
        <v> </v>
      </c>
      <c r="K6509" s="26" t="str">
        <f>IF(OR(E6509="",E6509="!!!",F6509="NEW"),"",INDEX(J$1:J6508,SUMPRODUCT(MAX(ROW(E$1:E6508)*(E6509=E$1:E6508)))))</f>
        <v> </v>
      </c>
      <c r="L6509" s="27"/>
    </row>
    <row r="6510" spans="1:12">
      <c r="A6510" s="20"/>
    </row>
    <row r="6511" spans="1:12">
      <c r="A6511" s="20" t="s">
        <v>2692</v>
      </c>
    </row>
    <row r="6512" spans="1:12">
      <c r="A6512" s="20" t="s">
        <v>1861</v>
      </c>
      <c r="E6512" s="22">
        <f>IF(D6512="?OLD","!!!","")</f>
        <v/>
      </c>
      <c r="F6512" s="23" t="str">
        <f>IF(OR(E6512="",E6512="!!!"),"",IF(NOT(ISNA(VLOOKUP(E6512,E$1:E6511,1,FALSE()))),"OLD",IF(AND(E6512&lt;&gt;"",E6512&lt;&gt;"!!!"),"NEW","")))</f>
        <v> </v>
      </c>
      <c r="G6512" s="24" t="str">
        <f>IF(OR(E6512="",E6512="!!!"),"",IF(OR(J6512=0,AND(J6512=1,K6512=1),AND(J6512=1,I6512="SBJ"),AND(J6512=1,I6512=0)),"?IN_FOCUS",IF(J6512&lt;=2,"?ACTIVATED",IF(J6512&lt;&gt;"","?FAMILIAR",IF(F6512="NEW",IF(ISNA(VLOOKUP(E6512,#REF!,1,FALSE())),"?TYPE_IDENTIFIABLE","?REFERENTIAL"),"_")))))</f>
        <v> </v>
      </c>
      <c r="H6512" s="25" t="str">
        <f>IF(J6512&lt;&gt;1,"",IF(I6512="SBJ","CB","?"))</f>
        <v> </v>
      </c>
      <c r="I6512" s="26" t="str">
        <f>IF(OR(E6512="",E6512="!!!",F6512="NEW"),"",INDEX(B6511:B$2,-1+SUMPRODUCT(MAX(ROW(E6511:E$2)*(E6512=E6511:E$2)))))</f>
        <v> </v>
      </c>
      <c r="J6512" s="26" t="str">
        <f>IF(OR(E6512="",E6512="!!!",F6512="NEW"),"",COUNTBLANK(OFFSET(A$1,,,SUMPRODUCT(MAX(ROW(E$2:E6512)*(E6512=E$2:E6512)))))-COUNTBLANK(OFFSET(A$1,,,SUMPRODUCT(MAX(ROW(E$1:E6511)*(E2=E$1:E6511))))))</f>
        <v> </v>
      </c>
      <c r="K6512" s="26" t="str">
        <f>IF(OR(E6512="",E6512="!!!",F6512="NEW"),"",INDEX(J$1:J6511,SUMPRODUCT(MAX(ROW(E$1:E6511)*(E6512=E$1:E6511)))))</f>
        <v> </v>
      </c>
      <c r="L6512" s="27"/>
    </row>
    <row r="6513" spans="1:12">
      <c r="A6513" s="20" t="s">
        <v>1065</v>
      </c>
      <c r="E6513" s="22">
        <f>IF(D6513="?OLD","!!!","")</f>
        <v/>
      </c>
      <c r="F6513" s="23" t="str">
        <f>IF(OR(E6513="",E6513="!!!"),"",IF(NOT(ISNA(VLOOKUP(E6513,E$1:E6512,1,FALSE()))),"OLD",IF(AND(E6513&lt;&gt;"",E6513&lt;&gt;"!!!"),"NEW","")))</f>
        <v> </v>
      </c>
      <c r="G6513" s="24" t="str">
        <f>IF(OR(E6513="",E6513="!!!"),"",IF(OR(J6513=0,AND(J6513=1,K6513=1),AND(J6513=1,I6513="SBJ"),AND(J6513=1,I6513=0)),"?IN_FOCUS",IF(J6513&lt;=2,"?ACTIVATED",IF(J6513&lt;&gt;"","?FAMILIAR",IF(F6513="NEW",IF(ISNA(VLOOKUP(E6513,#REF!,1,FALSE())),"?TYPE_IDENTIFIABLE","?REFERENTIAL"),"_")))))</f>
        <v> </v>
      </c>
      <c r="H6513" s="25" t="str">
        <f>IF(J6513&lt;&gt;1,"",IF(I6513="SBJ","CB","?"))</f>
        <v> </v>
      </c>
      <c r="I6513" s="26" t="str">
        <f>IF(OR(E6513="",E6513="!!!",F6513="NEW"),"",INDEX(B6512:B$2,-1+SUMPRODUCT(MAX(ROW(E6512:E$2)*(E6513=E6512:E$2)))))</f>
        <v> </v>
      </c>
      <c r="J6513" s="26" t="str">
        <f>IF(OR(E6513="",E6513="!!!",F6513="NEW"),"",COUNTBLANK(OFFSET(A$1,,,SUMPRODUCT(MAX(ROW(E$2:E6513)*(E6513=E$2:E6513)))))-COUNTBLANK(OFFSET(A$1,,,SUMPRODUCT(MAX(ROW(E$1:E6512)*(E2=E$1:E6512))))))</f>
        <v> </v>
      </c>
      <c r="K6513" s="26" t="str">
        <f>IF(OR(E6513="",E6513="!!!",F6513="NEW"),"",INDEX(J$1:J6512,SUMPRODUCT(MAX(ROW(E$1:E6512)*(E6513=E$1:E6512)))))</f>
        <v> </v>
      </c>
      <c r="L6513" s="27"/>
    </row>
    <row r="6514" spans="1:12">
      <c r="A6514" s="20" t="s">
        <v>1075</v>
      </c>
      <c r="E6514" s="22">
        <f>IF(D6514="?OLD","!!!","")</f>
        <v/>
      </c>
      <c r="F6514" s="23" t="str">
        <f>IF(OR(E6514="",E6514="!!!"),"",IF(NOT(ISNA(VLOOKUP(E6514,E$1:E6513,1,FALSE()))),"OLD",IF(AND(E6514&lt;&gt;"",E6514&lt;&gt;"!!!"),"NEW","")))</f>
        <v> </v>
      </c>
      <c r="G6514" s="24" t="str">
        <f>IF(OR(E6514="",E6514="!!!"),"",IF(OR(J6514=0,AND(J6514=1,K6514=1),AND(J6514=1,I6514="SBJ"),AND(J6514=1,I6514=0)),"?IN_FOCUS",IF(J6514&lt;=2,"?ACTIVATED",IF(J6514&lt;&gt;"","?FAMILIAR",IF(F6514="NEW",IF(ISNA(VLOOKUP(E6514,#REF!,1,FALSE())),"?TYPE_IDENTIFIABLE","?REFERENTIAL"),"_")))))</f>
        <v> </v>
      </c>
      <c r="H6514" s="25" t="str">
        <f>IF(J6514&lt;&gt;1,"",IF(I6514="SBJ","CB","?"))</f>
        <v> </v>
      </c>
      <c r="I6514" s="26" t="str">
        <f>IF(OR(E6514="",E6514="!!!",F6514="NEW"),"",INDEX(B6513:B$2,-1+SUMPRODUCT(MAX(ROW(E6513:E$2)*(E6514=E6513:E$2)))))</f>
        <v> </v>
      </c>
      <c r="J6514" s="26" t="str">
        <f>IF(OR(E6514="",E6514="!!!",F6514="NEW"),"",COUNTBLANK(OFFSET(A$1,,,SUMPRODUCT(MAX(ROW(E$2:E6514)*(E6514=E$2:E6514)))))-COUNTBLANK(OFFSET(A$1,,,SUMPRODUCT(MAX(ROW(E$1:E6513)*(E2=E$1:E6513))))))</f>
        <v> </v>
      </c>
      <c r="K6514" s="26" t="str">
        <f>IF(OR(E6514="",E6514="!!!",F6514="NEW"),"",INDEX(J$1:J6513,SUMPRODUCT(MAX(ROW(E$1:E6513)*(E6514=E$1:E6513)))))</f>
        <v> </v>
      </c>
      <c r="L6514" s="27"/>
    </row>
    <row r="6515" spans="1:12">
      <c r="A6515" s="20" t="s">
        <v>1324</v>
      </c>
      <c r="E6515" s="22">
        <f>IF(D6515="?OLD","!!!","")</f>
        <v/>
      </c>
      <c r="F6515" s="23" t="str">
        <f>IF(OR(E6515="",E6515="!!!"),"",IF(NOT(ISNA(VLOOKUP(E6515,E$1:E6514,1,FALSE()))),"OLD",IF(AND(E6515&lt;&gt;"",E6515&lt;&gt;"!!!"),"NEW","")))</f>
        <v> </v>
      </c>
      <c r="G6515" s="24" t="str">
        <f>IF(OR(E6515="",E6515="!!!"),"",IF(OR(J6515=0,AND(J6515=1,K6515=1),AND(J6515=1,I6515="SBJ"),AND(J6515=1,I6515=0)),"?IN_FOCUS",IF(J6515&lt;=2,"?ACTIVATED",IF(J6515&lt;&gt;"","?FAMILIAR",IF(F6515="NEW",IF(ISNA(VLOOKUP(E6515,#REF!,1,FALSE())),"?TYPE_IDENTIFIABLE","?REFERENTIAL"),"_")))))</f>
        <v> </v>
      </c>
      <c r="H6515" s="25" t="str">
        <f>IF(J6515&lt;&gt;1,"",IF(I6515="SBJ","CB","?"))</f>
        <v> </v>
      </c>
      <c r="I6515" s="26" t="str">
        <f>IF(OR(E6515="",E6515="!!!",F6515="NEW"),"",INDEX(B6514:B$2,-1+SUMPRODUCT(MAX(ROW(E6514:E$2)*(E6515=E6514:E$2)))))</f>
        <v> </v>
      </c>
      <c r="J6515" s="26" t="str">
        <f>IF(OR(E6515="",E6515="!!!",F6515="NEW"),"",COUNTBLANK(OFFSET(A$1,,,SUMPRODUCT(MAX(ROW(E$2:E6515)*(E6515=E$2:E6515)))))-COUNTBLANK(OFFSET(A$1,,,SUMPRODUCT(MAX(ROW(E$1:E6514)*(E2=E$1:E6514))))))</f>
        <v> </v>
      </c>
      <c r="K6515" s="26" t="str">
        <f>IF(OR(E6515="",E6515="!!!",F6515="NEW"),"",INDEX(J$1:J6514,SUMPRODUCT(MAX(ROW(E$1:E6514)*(E6515=E$1:E6514)))))</f>
        <v> </v>
      </c>
      <c r="L6515" s="27"/>
    </row>
    <row r="6516" spans="1:12">
      <c r="A6516" s="20" t="s">
        <v>193</v>
      </c>
      <c r="B6516" s="21" t="s">
        <v>1005</v>
      </c>
      <c r="C6516" s="21" t="s">
        <v>1111</v>
      </c>
      <c r="E6516" s="22">
        <f>IF(D6516="?OLD","!!!","")</f>
        <v/>
      </c>
      <c r="F6516" s="23" t="str">
        <f>IF(OR(E6516="",E6516="!!!"),"",IF(NOT(ISNA(VLOOKUP(E6516,E$1:E6515,1,FALSE()))),"OLD",IF(AND(E6516&lt;&gt;"",E6516&lt;&gt;"!!!"),"NEW","")))</f>
        <v> </v>
      </c>
      <c r="G6516" s="24" t="str">
        <f>IF(OR(E6516="",E6516="!!!"),"",IF(OR(J6516=0,AND(J6516=1,K6516=1),AND(J6516=1,I6516="SBJ"),AND(J6516=1,I6516=0)),"?IN_FOCUS",IF(J6516&lt;=2,"?ACTIVATED",IF(J6516&lt;&gt;"","?FAMILIAR",IF(F6516="NEW",IF(ISNA(VLOOKUP(E6516,#REF!,1,FALSE())),"?TYPE_IDENTIFIABLE","?REFERENTIAL"),"_")))))</f>
        <v> </v>
      </c>
      <c r="H6516" s="25" t="str">
        <f>IF(J6516&lt;&gt;1,"",IF(I6516="SBJ","CB","?"))</f>
        <v> </v>
      </c>
      <c r="I6516" s="26" t="str">
        <f>IF(OR(E6516="",E6516="!!!",F6516="NEW"),"",INDEX(B6515:B$2,-1+SUMPRODUCT(MAX(ROW(E6515:E$2)*(E6516=E6515:E$2)))))</f>
        <v> </v>
      </c>
      <c r="J6516" s="26" t="str">
        <f>IF(OR(E6516="",E6516="!!!",F6516="NEW"),"",COUNTBLANK(OFFSET(A$1,,,SUMPRODUCT(MAX(ROW(E$2:E6516)*(E6516=E$2:E6516)))))-COUNTBLANK(OFFSET(A$1,,,SUMPRODUCT(MAX(ROW(E$1:E6515)*(E2=E$1:E6515))))))</f>
        <v> </v>
      </c>
      <c r="K6516" s="26" t="str">
        <f>IF(OR(E6516="",E6516="!!!",F6516="NEW"),"",INDEX(J$1:J6515,SUMPRODUCT(MAX(ROW(E$1:E6515)*(E6516=E$1:E6515)))))</f>
        <v> </v>
      </c>
      <c r="L6516" s="27"/>
    </row>
    <row r="6517" spans="1:12">
      <c r="A6517" s="20" t="s">
        <v>1065</v>
      </c>
      <c r="B6517" s="21" t="s">
        <v>1120</v>
      </c>
      <c r="E6517" s="22">
        <f>IF(D6517="?OLD","!!!","")</f>
        <v/>
      </c>
      <c r="F6517" s="23" t="str">
        <f>IF(OR(E6517="",E6517="!!!"),"",IF(NOT(ISNA(VLOOKUP(E6517,E$1:E6516,1,FALSE()))),"OLD",IF(AND(E6517&lt;&gt;"",E6517&lt;&gt;"!!!"),"NEW","")))</f>
        <v> </v>
      </c>
      <c r="G6517" s="24" t="str">
        <f>IF(OR(E6517="",E6517="!!!"),"",IF(OR(J6517=0,AND(J6517=1,K6517=1),AND(J6517=1,I6517="SBJ"),AND(J6517=1,I6517=0)),"?IN_FOCUS",IF(J6517&lt;=2,"?ACTIVATED",IF(J6517&lt;&gt;"","?FAMILIAR",IF(F6517="NEW",IF(ISNA(VLOOKUP(E6517,#REF!,1,FALSE())),"?TYPE_IDENTIFIABLE","?REFERENTIAL"),"_")))))</f>
        <v> </v>
      </c>
      <c r="H6517" s="25" t="str">
        <f>IF(J6517&lt;&gt;1,"",IF(I6517="SBJ","CB","?"))</f>
        <v> </v>
      </c>
      <c r="I6517" s="26" t="str">
        <f>IF(OR(E6517="",E6517="!!!",F6517="NEW"),"",INDEX(B6516:B$2,-1+SUMPRODUCT(MAX(ROW(E6516:E$2)*(E6517=E6516:E$2)))))</f>
        <v> </v>
      </c>
      <c r="J6517" s="26" t="str">
        <f>IF(OR(E6517="",E6517="!!!",F6517="NEW"),"",COUNTBLANK(OFFSET(A$1,,,SUMPRODUCT(MAX(ROW(E$2:E6517)*(E6517=E$2:E6517)))))-COUNTBLANK(OFFSET(A$1,,,SUMPRODUCT(MAX(ROW(E$1:E6516)*(E2=E$1:E6516))))))</f>
        <v> </v>
      </c>
      <c r="K6517" s="26" t="str">
        <f>IF(OR(E6517="",E6517="!!!",F6517="NEW"),"",INDEX(J$1:J6516,SUMPRODUCT(MAX(ROW(E$1:E6516)*(E6517=E$1:E6516)))))</f>
        <v> </v>
      </c>
      <c r="L6517" s="27"/>
    </row>
    <row r="6518" spans="1:12">
      <c r="A6518" s="20" t="s">
        <v>1505</v>
      </c>
      <c r="E6518" s="22">
        <f>IF(D6518="?OLD","!!!","")</f>
        <v/>
      </c>
      <c r="F6518" s="23" t="str">
        <f>IF(OR(E6518="",E6518="!!!"),"",IF(NOT(ISNA(VLOOKUP(E6518,E$1:E6517,1,FALSE()))),"OLD",IF(AND(E6518&lt;&gt;"",E6518&lt;&gt;"!!!"),"NEW","")))</f>
        <v> </v>
      </c>
      <c r="G6518" s="24" t="str">
        <f>IF(OR(E6518="",E6518="!!!"),"",IF(OR(J6518=0,AND(J6518=1,K6518=1),AND(J6518=1,I6518="SBJ"),AND(J6518=1,I6518=0)),"?IN_FOCUS",IF(J6518&lt;=2,"?ACTIVATED",IF(J6518&lt;&gt;"","?FAMILIAR",IF(F6518="NEW",IF(ISNA(VLOOKUP(E6518,#REF!,1,FALSE())),"?TYPE_IDENTIFIABLE","?REFERENTIAL"),"_")))))</f>
        <v> </v>
      </c>
      <c r="H6518" s="25" t="str">
        <f>IF(J6518&lt;&gt;1,"",IF(I6518="SBJ","CB","?"))</f>
        <v> </v>
      </c>
      <c r="I6518" s="26" t="str">
        <f>IF(OR(E6518="",E6518="!!!",F6518="NEW"),"",INDEX(B6517:B$2,-1+SUMPRODUCT(MAX(ROW(E6517:E$2)*(E6518=E6517:E$2)))))</f>
        <v> </v>
      </c>
      <c r="J6518" s="26" t="str">
        <f>IF(OR(E6518="",E6518="!!!",F6518="NEW"),"",COUNTBLANK(OFFSET(A$1,,,SUMPRODUCT(MAX(ROW(E$2:E6518)*(E6518=E$2:E6518)))))-COUNTBLANK(OFFSET(A$1,,,SUMPRODUCT(MAX(ROW(E$1:E6517)*(E2=E$1:E6517))))))</f>
        <v> </v>
      </c>
      <c r="K6518" s="26" t="str">
        <f>IF(OR(E6518="",E6518="!!!",F6518="NEW"),"",INDEX(J$1:J6517,SUMPRODUCT(MAX(ROW(E$1:E6517)*(E6518=E$1:E6517)))))</f>
        <v> </v>
      </c>
      <c r="L6518" s="27"/>
    </row>
    <row r="6519" spans="1:12">
      <c r="A6519" s="20" t="s">
        <v>238</v>
      </c>
      <c r="E6519" s="22">
        <f>IF(D6519="?OLD","!!!","")</f>
        <v/>
      </c>
      <c r="F6519" s="23" t="str">
        <f>IF(OR(E6519="",E6519="!!!"),"",IF(NOT(ISNA(VLOOKUP(E6519,E$1:E6518,1,FALSE()))),"OLD",IF(AND(E6519&lt;&gt;"",E6519&lt;&gt;"!!!"),"NEW","")))</f>
        <v> </v>
      </c>
      <c r="G6519" s="24" t="str">
        <f>IF(OR(E6519="",E6519="!!!"),"",IF(OR(J6519=0,AND(J6519=1,K6519=1),AND(J6519=1,I6519="SBJ"),AND(J6519=1,I6519=0)),"?IN_FOCUS",IF(J6519&lt;=2,"?ACTIVATED",IF(J6519&lt;&gt;"","?FAMILIAR",IF(F6519="NEW",IF(ISNA(VLOOKUP(E6519,#REF!,1,FALSE())),"?TYPE_IDENTIFIABLE","?REFERENTIAL"),"_")))))</f>
        <v> </v>
      </c>
      <c r="H6519" s="25" t="str">
        <f>IF(J6519&lt;&gt;1,"",IF(I6519="SBJ","CB","?"))</f>
        <v> </v>
      </c>
      <c r="I6519" s="26" t="str">
        <f>IF(OR(E6519="",E6519="!!!",F6519="NEW"),"",INDEX(B6518:B$2,-1+SUMPRODUCT(MAX(ROW(E6518:E$2)*(E6519=E6518:E$2)))))</f>
        <v> </v>
      </c>
      <c r="J6519" s="26" t="str">
        <f>IF(OR(E6519="",E6519="!!!",F6519="NEW"),"",COUNTBLANK(OFFSET(A$1,,,SUMPRODUCT(MAX(ROW(E$2:E6519)*(E6519=E$2:E6519)))))-COUNTBLANK(OFFSET(A$1,,,SUMPRODUCT(MAX(ROW(E$1:E6518)*(E2=E$1:E6518))))))</f>
        <v> </v>
      </c>
      <c r="K6519" s="26" t="str">
        <f>IF(OR(E6519="",E6519="!!!",F6519="NEW"),"",INDEX(J$1:J6518,SUMPRODUCT(MAX(ROW(E$1:E6518)*(E6519=E$1:E6518)))))</f>
        <v> </v>
      </c>
      <c r="L6519" s="27"/>
    </row>
    <row r="6520" spans="1:12">
      <c r="A6520" s="20" t="s">
        <v>102</v>
      </c>
      <c r="E6520" s="22">
        <f>IF(D6520="?OLD","!!!","")</f>
        <v/>
      </c>
      <c r="F6520" s="23" t="str">
        <f>IF(OR(E6520="",E6520="!!!"),"",IF(NOT(ISNA(VLOOKUP(E6520,E$1:E6519,1,FALSE()))),"OLD",IF(AND(E6520&lt;&gt;"",E6520&lt;&gt;"!!!"),"NEW","")))</f>
        <v> </v>
      </c>
      <c r="G6520" s="24" t="str">
        <f>IF(OR(E6520="",E6520="!!!"),"",IF(OR(J6520=0,AND(J6520=1,K6520=1),AND(J6520=1,I6520="SBJ"),AND(J6520=1,I6520=0)),"?IN_FOCUS",IF(J6520&lt;=2,"?ACTIVATED",IF(J6520&lt;&gt;"","?FAMILIAR",IF(F6520="NEW",IF(ISNA(VLOOKUP(E6520,#REF!,1,FALSE())),"?TYPE_IDENTIFIABLE","?REFERENTIAL"),"_")))))</f>
        <v> </v>
      </c>
      <c r="H6520" s="25" t="str">
        <f>IF(J6520&lt;&gt;1,"",IF(I6520="SBJ","CB","?"))</f>
        <v> </v>
      </c>
      <c r="I6520" s="26" t="str">
        <f>IF(OR(E6520="",E6520="!!!",F6520="NEW"),"",INDEX(B6519:B$2,-1+SUMPRODUCT(MAX(ROW(E6519:E$2)*(E6520=E6519:E$2)))))</f>
        <v> </v>
      </c>
      <c r="J6520" s="26" t="str">
        <f>IF(OR(E6520="",E6520="!!!",F6520="NEW"),"",COUNTBLANK(OFFSET(A$1,,,SUMPRODUCT(MAX(ROW(E$2:E6520)*(E6520=E$2:E6520)))))-COUNTBLANK(OFFSET(A$1,,,SUMPRODUCT(MAX(ROW(E$1:E6519)*(E2=E$1:E6519))))))</f>
        <v> </v>
      </c>
      <c r="K6520" s="26" t="str">
        <f>IF(OR(E6520="",E6520="!!!",F6520="NEW"),"",INDEX(J$1:J6519,SUMPRODUCT(MAX(ROW(E$1:E6519)*(E6520=E$1:E6519)))))</f>
        <v> </v>
      </c>
      <c r="L6520" s="27"/>
    </row>
    <row r="6521" spans="1:12">
      <c r="A6521" s="20" t="s">
        <v>1267</v>
      </c>
      <c r="B6521" s="21" t="s">
        <v>1033</v>
      </c>
      <c r="C6521" s="21" t="s">
        <v>1017</v>
      </c>
      <c r="D6521" s="21" t="s">
        <v>1007</v>
      </c>
      <c r="E6521" s="22">
        <f>IF(D6521="?OLD","!!!","")</f>
        <v/>
      </c>
      <c r="F6521" s="23" t="str">
        <f>IF(OR(E6521="",E6521="!!!"),"",IF(NOT(ISNA(VLOOKUP(E6521,E$1:E6520,1,FALSE()))),"OLD",IF(AND(E6521&lt;&gt;"",E6521&lt;&gt;"!!!"),"NEW","")))</f>
        <v> </v>
      </c>
      <c r="G6521" s="24" t="str">
        <f>IF(OR(E6521="",E6521="!!!"),"",IF(OR(J6521=0,AND(J6521=1,K6521=1),AND(J6521=1,I6521="SBJ"),AND(J6521=1,I6521=0)),"?IN_FOCUS",IF(J6521&lt;=2,"?ACTIVATED",IF(J6521&lt;&gt;"","?FAMILIAR",IF(F6521="NEW",IF(ISNA(VLOOKUP(E6521,#REF!,1,FALSE())),"?TYPE_IDENTIFIABLE","?REFERENTIAL"),"_")))))</f>
        <v> </v>
      </c>
      <c r="H6521" s="25" t="str">
        <f>IF(J6521&lt;&gt;1,"",IF(I6521="SBJ","CB","?"))</f>
        <v> </v>
      </c>
      <c r="I6521" s="26" t="str">
        <f>IF(OR(E6521="",E6521="!!!",F6521="NEW"),"",INDEX(B6520:B$2,-1+SUMPRODUCT(MAX(ROW(E6520:E$2)*(E6521=E6520:E$2)))))</f>
        <v> </v>
      </c>
      <c r="J6521" s="26" t="str">
        <f>IF(OR(E6521="",E6521="!!!",F6521="NEW"),"",COUNTBLANK(OFFSET(A$1,,,SUMPRODUCT(MAX(ROW(E$2:E6521)*(E6521=E$2:E6521)))))-COUNTBLANK(OFFSET(A$1,,,SUMPRODUCT(MAX(ROW(E$1:E6520)*(E2=E$1:E6520))))))</f>
        <v> </v>
      </c>
      <c r="K6521" s="26" t="str">
        <f>IF(OR(E6521="",E6521="!!!",F6521="NEW"),"",INDEX(J$1:J6520,SUMPRODUCT(MAX(ROW(E$1:E6520)*(E6521=E$1:E6520)))))</f>
        <v> </v>
      </c>
      <c r="L6521" s="27"/>
    </row>
    <row r="6522" spans="1:12">
      <c r="A6522" s="20" t="s">
        <v>1020</v>
      </c>
      <c r="E6522" s="22">
        <f>IF(D6522="?OLD","!!!","")</f>
        <v/>
      </c>
      <c r="F6522" s="23" t="str">
        <f>IF(OR(E6522="",E6522="!!!"),"",IF(NOT(ISNA(VLOOKUP(E6522,E$1:E6521,1,FALSE()))),"OLD",IF(AND(E6522&lt;&gt;"",E6522&lt;&gt;"!!!"),"NEW","")))</f>
        <v> </v>
      </c>
      <c r="G6522" s="24" t="str">
        <f>IF(OR(E6522="",E6522="!!!"),"",IF(OR(J6522=0,AND(J6522=1,K6522=1),AND(J6522=1,I6522="SBJ"),AND(J6522=1,I6522=0)),"?IN_FOCUS",IF(J6522&lt;=2,"?ACTIVATED",IF(J6522&lt;&gt;"","?FAMILIAR",IF(F6522="NEW",IF(ISNA(VLOOKUP(E6522,#REF!,1,FALSE())),"?TYPE_IDENTIFIABLE","?REFERENTIAL"),"_")))))</f>
        <v> </v>
      </c>
      <c r="H6522" s="25" t="str">
        <f>IF(J6522&lt;&gt;1,"",IF(I6522="SBJ","CB","?"))</f>
        <v> </v>
      </c>
      <c r="I6522" s="26" t="str">
        <f>IF(OR(E6522="",E6522="!!!",F6522="NEW"),"",INDEX(B6521:B$2,-1+SUMPRODUCT(MAX(ROW(E6521:E$2)*(E6522=E6521:E$2)))))</f>
        <v> </v>
      </c>
      <c r="J6522" s="26" t="str">
        <f>IF(OR(E6522="",E6522="!!!",F6522="NEW"),"",COUNTBLANK(OFFSET(A$1,,,SUMPRODUCT(MAX(ROW(E$2:E6522)*(E6522=E$2:E6522)))))-COUNTBLANK(OFFSET(A$1,,,SUMPRODUCT(MAX(ROW(E$1:E6521)*(E2=E$1:E6521))))))</f>
        <v> </v>
      </c>
      <c r="K6522" s="26" t="str">
        <f>IF(OR(E6522="",E6522="!!!",F6522="NEW"),"",INDEX(J$1:J6521,SUMPRODUCT(MAX(ROW(E$1:E6521)*(E6522=E$1:E6521)))))</f>
        <v> </v>
      </c>
      <c r="L6522" s="27"/>
    </row>
    <row r="6523" spans="1:12">
      <c r="A6523" s="20" t="s">
        <v>2693</v>
      </c>
      <c r="E6523" s="22">
        <f>IF(D6523="?OLD","!!!","")</f>
        <v/>
      </c>
      <c r="F6523" s="23" t="str">
        <f>IF(OR(E6523="",E6523="!!!"),"",IF(NOT(ISNA(VLOOKUP(E6523,E$1:E6522,1,FALSE()))),"OLD",IF(AND(E6523&lt;&gt;"",E6523&lt;&gt;"!!!"),"NEW","")))</f>
        <v> </v>
      </c>
      <c r="G6523" s="24" t="str">
        <f>IF(OR(E6523="",E6523="!!!"),"",IF(OR(J6523=0,AND(J6523=1,K6523=1),AND(J6523=1,I6523="SBJ"),AND(J6523=1,I6523=0)),"?IN_FOCUS",IF(J6523&lt;=2,"?ACTIVATED",IF(J6523&lt;&gt;"","?FAMILIAR",IF(F6523="NEW",IF(ISNA(VLOOKUP(E6523,#REF!,1,FALSE())),"?TYPE_IDENTIFIABLE","?REFERENTIAL"),"_")))))</f>
        <v> </v>
      </c>
      <c r="H6523" s="25" t="str">
        <f>IF(J6523&lt;&gt;1,"",IF(I6523="SBJ","CB","?"))</f>
        <v> </v>
      </c>
      <c r="I6523" s="26" t="str">
        <f>IF(OR(E6523="",E6523="!!!",F6523="NEW"),"",INDEX(B6522:B$2,-1+SUMPRODUCT(MAX(ROW(E6522:E$2)*(E6523=E6522:E$2)))))</f>
        <v> </v>
      </c>
      <c r="J6523" s="26" t="str">
        <f>IF(OR(E6523="",E6523="!!!",F6523="NEW"),"",COUNTBLANK(OFFSET(A$1,,,SUMPRODUCT(MAX(ROW(E$2:E6523)*(E6523=E$2:E6523)))))-COUNTBLANK(OFFSET(A$1,,,SUMPRODUCT(MAX(ROW(E$1:E6522)*(E2=E$1:E6522))))))</f>
        <v> </v>
      </c>
      <c r="K6523" s="26" t="str">
        <f>IF(OR(E6523="",E6523="!!!",F6523="NEW"),"",INDEX(J$1:J6522,SUMPRODUCT(MAX(ROW(E$1:E6522)*(E6523=E$1:E6522)))))</f>
        <v> </v>
      </c>
      <c r="L6523" s="27"/>
    </row>
    <row r="6524" spans="1:12">
      <c r="A6524" s="20" t="s">
        <v>1023</v>
      </c>
      <c r="E6524" s="22">
        <f>IF(D6524="?OLD","!!!","")</f>
        <v/>
      </c>
      <c r="F6524" s="23" t="str">
        <f>IF(OR(E6524="",E6524="!!!"),"",IF(NOT(ISNA(VLOOKUP(E6524,E$1:E6523,1,FALSE()))),"OLD",IF(AND(E6524&lt;&gt;"",E6524&lt;&gt;"!!!"),"NEW","")))</f>
        <v> </v>
      </c>
      <c r="G6524" s="24" t="str">
        <f>IF(OR(E6524="",E6524="!!!"),"",IF(OR(J6524=0,AND(J6524=1,K6524=1),AND(J6524=1,I6524="SBJ"),AND(J6524=1,I6524=0)),"?IN_FOCUS",IF(J6524&lt;=2,"?ACTIVATED",IF(J6524&lt;&gt;"","?FAMILIAR",IF(F6524="NEW",IF(ISNA(VLOOKUP(E6524,#REF!,1,FALSE())),"?TYPE_IDENTIFIABLE","?REFERENTIAL"),"_")))))</f>
        <v> </v>
      </c>
      <c r="H6524" s="25" t="str">
        <f>IF(J6524&lt;&gt;1,"",IF(I6524="SBJ","CB","?"))</f>
        <v> </v>
      </c>
      <c r="I6524" s="26" t="str">
        <f>IF(OR(E6524="",E6524="!!!",F6524="NEW"),"",INDEX(B6523:B$2,-1+SUMPRODUCT(MAX(ROW(E6523:E$2)*(E6524=E6523:E$2)))))</f>
        <v> </v>
      </c>
      <c r="J6524" s="26" t="str">
        <f>IF(OR(E6524="",E6524="!!!",F6524="NEW"),"",COUNTBLANK(OFFSET(A$1,,,SUMPRODUCT(MAX(ROW(E$2:E6524)*(E6524=E$2:E6524)))))-COUNTBLANK(OFFSET(A$1,,,SUMPRODUCT(MAX(ROW(E$1:E6523)*(E2=E$1:E6523))))))</f>
        <v> </v>
      </c>
      <c r="K6524" s="26" t="str">
        <f>IF(OR(E6524="",E6524="!!!",F6524="NEW"),"",INDEX(J$1:J6523,SUMPRODUCT(MAX(ROW(E$1:E6523)*(E6524=E$1:E6523)))))</f>
        <v> </v>
      </c>
      <c r="L6524" s="27"/>
    </row>
    <row r="6525" spans="1:12">
      <c r="A6525" s="20"/>
    </row>
    <row r="6526" spans="1:12">
      <c r="A6526" s="20" t="s">
        <v>2694</v>
      </c>
    </row>
    <row r="6527" spans="1:12">
      <c r="A6527" s="20" t="s">
        <v>1136</v>
      </c>
      <c r="E6527" s="22">
        <f>IF(D6527="?OLD","!!!","")</f>
        <v/>
      </c>
      <c r="F6527" s="23" t="str">
        <f>IF(OR(E6527="",E6527="!!!"),"",IF(NOT(ISNA(VLOOKUP(E6527,E$1:E6526,1,FALSE()))),"OLD",IF(AND(E6527&lt;&gt;"",E6527&lt;&gt;"!!!"),"NEW","")))</f>
        <v> </v>
      </c>
      <c r="G6527" s="24" t="str">
        <f>IF(OR(E6527="",E6527="!!!"),"",IF(OR(J6527=0,AND(J6527=1,K6527=1),AND(J6527=1,I6527="SBJ"),AND(J6527=1,I6527=0)),"?IN_FOCUS",IF(J6527&lt;=2,"?ACTIVATED",IF(J6527&lt;&gt;"","?FAMILIAR",IF(F6527="NEW",IF(ISNA(VLOOKUP(E6527,#REF!,1,FALSE())),"?TYPE_IDENTIFIABLE","?REFERENTIAL"),"_")))))</f>
        <v> </v>
      </c>
      <c r="H6527" s="25" t="str">
        <f>IF(J6527&lt;&gt;1,"",IF(I6527="SBJ","CB","?"))</f>
        <v> </v>
      </c>
      <c r="I6527" s="26" t="str">
        <f>IF(OR(E6527="",E6527="!!!",F6527="NEW"),"",INDEX(B6526:B$2,-1+SUMPRODUCT(MAX(ROW(E6526:E$2)*(E6527=E6526:E$2)))))</f>
        <v> </v>
      </c>
      <c r="J6527" s="26" t="str">
        <f>IF(OR(E6527="",E6527="!!!",F6527="NEW"),"",COUNTBLANK(OFFSET(A$1,,,SUMPRODUCT(MAX(ROW(E$2:E6527)*(E6527=E$2:E6527)))))-COUNTBLANK(OFFSET(A$1,,,SUMPRODUCT(MAX(ROW(E$1:E6526)*(E2=E$1:E6526))))))</f>
        <v> </v>
      </c>
      <c r="K6527" s="26" t="str">
        <f>IF(OR(E6527="",E6527="!!!",F6527="NEW"),"",INDEX(J$1:J6526,SUMPRODUCT(MAX(ROW(E$1:E6526)*(E6527=E$1:E6526)))))</f>
        <v> </v>
      </c>
      <c r="L6527" s="27"/>
    </row>
    <row r="6528" spans="1:12">
      <c r="A6528" s="20" t="s">
        <v>1018</v>
      </c>
      <c r="E6528" s="22">
        <f>IF(D6528="?OLD","!!!","")</f>
        <v/>
      </c>
      <c r="F6528" s="23" t="str">
        <f>IF(OR(E6528="",E6528="!!!"),"",IF(NOT(ISNA(VLOOKUP(E6528,E$1:E6527,1,FALSE()))),"OLD",IF(AND(E6528&lt;&gt;"",E6528&lt;&gt;"!!!"),"NEW","")))</f>
        <v> </v>
      </c>
      <c r="G6528" s="24" t="str">
        <f>IF(OR(E6528="",E6528="!!!"),"",IF(OR(J6528=0,AND(J6528=1,K6528=1),AND(J6528=1,I6528="SBJ"),AND(J6528=1,I6528=0)),"?IN_FOCUS",IF(J6528&lt;=2,"?ACTIVATED",IF(J6528&lt;&gt;"","?FAMILIAR",IF(F6528="NEW",IF(ISNA(VLOOKUP(E6528,#REF!,1,FALSE())),"?TYPE_IDENTIFIABLE","?REFERENTIAL"),"_")))))</f>
        <v> </v>
      </c>
      <c r="H6528" s="25" t="str">
        <f>IF(J6528&lt;&gt;1,"",IF(I6528="SBJ","CB","?"))</f>
        <v> </v>
      </c>
      <c r="I6528" s="26" t="str">
        <f>IF(OR(E6528="",E6528="!!!",F6528="NEW"),"",INDEX(B6527:B$2,-1+SUMPRODUCT(MAX(ROW(E6527:E$2)*(E6528=E6527:E$2)))))</f>
        <v> </v>
      </c>
      <c r="J6528" s="26" t="str">
        <f>IF(OR(E6528="",E6528="!!!",F6528="NEW"),"",COUNTBLANK(OFFSET(A$1,,,SUMPRODUCT(MAX(ROW(E$2:E6528)*(E6528=E$2:E6528)))))-COUNTBLANK(OFFSET(A$1,,,SUMPRODUCT(MAX(ROW(E$1:E6527)*(E2=E$1:E6527))))))</f>
        <v> </v>
      </c>
      <c r="K6528" s="26" t="str">
        <f>IF(OR(E6528="",E6528="!!!",F6528="NEW"),"",INDEX(J$1:J6527,SUMPRODUCT(MAX(ROW(E$1:E6527)*(E6528=E$1:E6527)))))</f>
        <v> </v>
      </c>
      <c r="L6528" s="27"/>
    </row>
    <row r="6529" spans="1:12">
      <c r="A6529" s="20" t="s">
        <v>1020</v>
      </c>
      <c r="E6529" s="22">
        <f>IF(D6529="?OLD","!!!","")</f>
        <v/>
      </c>
      <c r="F6529" s="23" t="str">
        <f>IF(OR(E6529="",E6529="!!!"),"",IF(NOT(ISNA(VLOOKUP(E6529,E$1:E6528,1,FALSE()))),"OLD",IF(AND(E6529&lt;&gt;"",E6529&lt;&gt;"!!!"),"NEW","")))</f>
        <v> </v>
      </c>
      <c r="G6529" s="24" t="str">
        <f>IF(OR(E6529="",E6529="!!!"),"",IF(OR(J6529=0,AND(J6529=1,K6529=1),AND(J6529=1,I6529="SBJ"),AND(J6529=1,I6529=0)),"?IN_FOCUS",IF(J6529&lt;=2,"?ACTIVATED",IF(J6529&lt;&gt;"","?FAMILIAR",IF(F6529="NEW",IF(ISNA(VLOOKUP(E6529,#REF!,1,FALSE())),"?TYPE_IDENTIFIABLE","?REFERENTIAL"),"_")))))</f>
        <v> </v>
      </c>
      <c r="H6529" s="25" t="str">
        <f>IF(J6529&lt;&gt;1,"",IF(I6529="SBJ","CB","?"))</f>
        <v> </v>
      </c>
      <c r="I6529" s="26" t="str">
        <f>IF(OR(E6529="",E6529="!!!",F6529="NEW"),"",INDEX(B6528:B$2,-1+SUMPRODUCT(MAX(ROW(E6528:E$2)*(E6529=E6528:E$2)))))</f>
        <v> </v>
      </c>
      <c r="J6529" s="26" t="str">
        <f>IF(OR(E6529="",E6529="!!!",F6529="NEW"),"",COUNTBLANK(OFFSET(A$1,,,SUMPRODUCT(MAX(ROW(E$2:E6529)*(E6529=E$2:E6529)))))-COUNTBLANK(OFFSET(A$1,,,SUMPRODUCT(MAX(ROW(E$1:E6528)*(E2=E$1:E6528))))))</f>
        <v> </v>
      </c>
      <c r="K6529" s="26" t="str">
        <f>IF(OR(E6529="",E6529="!!!",F6529="NEW"),"",INDEX(J$1:J6528,SUMPRODUCT(MAX(ROW(E$1:E6528)*(E6529=E$1:E6528)))))</f>
        <v> </v>
      </c>
      <c r="L6529" s="27"/>
    </row>
    <row r="6530" spans="1:12">
      <c r="A6530" s="20" t="s">
        <v>102</v>
      </c>
      <c r="E6530" s="22">
        <f>IF(D6530="?OLD","!!!","")</f>
        <v/>
      </c>
      <c r="F6530" s="23" t="str">
        <f>IF(OR(E6530="",E6530="!!!"),"",IF(NOT(ISNA(VLOOKUP(E6530,E$1:E6529,1,FALSE()))),"OLD",IF(AND(E6530&lt;&gt;"",E6530&lt;&gt;"!!!"),"NEW","")))</f>
        <v> </v>
      </c>
      <c r="G6530" s="24" t="str">
        <f>IF(OR(E6530="",E6530="!!!"),"",IF(OR(J6530=0,AND(J6530=1,K6530=1),AND(J6530=1,I6530="SBJ"),AND(J6530=1,I6530=0)),"?IN_FOCUS",IF(J6530&lt;=2,"?ACTIVATED",IF(J6530&lt;&gt;"","?FAMILIAR",IF(F6530="NEW",IF(ISNA(VLOOKUP(E6530,#REF!,1,FALSE())),"?TYPE_IDENTIFIABLE","?REFERENTIAL"),"_")))))</f>
        <v> </v>
      </c>
      <c r="H6530" s="25" t="str">
        <f>IF(J6530&lt;&gt;1,"",IF(I6530="SBJ","CB","?"))</f>
        <v> </v>
      </c>
      <c r="I6530" s="26" t="str">
        <f>IF(OR(E6530="",E6530="!!!",F6530="NEW"),"",INDEX(B6529:B$2,-1+SUMPRODUCT(MAX(ROW(E6529:E$2)*(E6530=E6529:E$2)))))</f>
        <v> </v>
      </c>
      <c r="J6530" s="26" t="str">
        <f>IF(OR(E6530="",E6530="!!!",F6530="NEW"),"",COUNTBLANK(OFFSET(A$1,,,SUMPRODUCT(MAX(ROW(E$2:E6530)*(E6530=E$2:E6530)))))-COUNTBLANK(OFFSET(A$1,,,SUMPRODUCT(MAX(ROW(E$1:E6529)*(E2=E$1:E6529))))))</f>
        <v> </v>
      </c>
      <c r="K6530" s="26" t="str">
        <f>IF(OR(E6530="",E6530="!!!",F6530="NEW"),"",INDEX(J$1:J6529,SUMPRODUCT(MAX(ROW(E$1:E6529)*(E6530=E$1:E6529)))))</f>
        <v> </v>
      </c>
      <c r="L6530" s="27"/>
    </row>
    <row r="6531" spans="1:12">
      <c r="A6531" s="20" t="s">
        <v>1116</v>
      </c>
      <c r="E6531" s="22">
        <f>IF(D6531="?OLD","!!!","")</f>
        <v/>
      </c>
      <c r="F6531" s="23" t="str">
        <f>IF(OR(E6531="",E6531="!!!"),"",IF(NOT(ISNA(VLOOKUP(E6531,E$1:E6530,1,FALSE()))),"OLD",IF(AND(E6531&lt;&gt;"",E6531&lt;&gt;"!!!"),"NEW","")))</f>
        <v> </v>
      </c>
      <c r="G6531" s="24" t="str">
        <f>IF(OR(E6531="",E6531="!!!"),"",IF(OR(J6531=0,AND(J6531=1,K6531=1),AND(J6531=1,I6531="SBJ"),AND(J6531=1,I6531=0)),"?IN_FOCUS",IF(J6531&lt;=2,"?ACTIVATED",IF(J6531&lt;&gt;"","?FAMILIAR",IF(F6531="NEW",IF(ISNA(VLOOKUP(E6531,#REF!,1,FALSE())),"?TYPE_IDENTIFIABLE","?REFERENTIAL"),"_")))))</f>
        <v> </v>
      </c>
      <c r="H6531" s="25" t="str">
        <f>IF(J6531&lt;&gt;1,"",IF(I6531="SBJ","CB","?"))</f>
        <v> </v>
      </c>
      <c r="I6531" s="26" t="str">
        <f>IF(OR(E6531="",E6531="!!!",F6531="NEW"),"",INDEX(B6530:B$2,-1+SUMPRODUCT(MAX(ROW(E6530:E$2)*(E6531=E6530:E$2)))))</f>
        <v> </v>
      </c>
      <c r="J6531" s="26" t="str">
        <f>IF(OR(E6531="",E6531="!!!",F6531="NEW"),"",COUNTBLANK(OFFSET(A$1,,,SUMPRODUCT(MAX(ROW(E$2:E6531)*(E6531=E$2:E6531)))))-COUNTBLANK(OFFSET(A$1,,,SUMPRODUCT(MAX(ROW(E$1:E6530)*(E2=E$1:E6530))))))</f>
        <v> </v>
      </c>
      <c r="K6531" s="26" t="str">
        <f>IF(OR(E6531="",E6531="!!!",F6531="NEW"),"",INDEX(J$1:J6530,SUMPRODUCT(MAX(ROW(E$1:E6530)*(E6531=E$1:E6530)))))</f>
        <v> </v>
      </c>
      <c r="L6531" s="27"/>
    </row>
    <row r="6532" spans="1:12">
      <c r="A6532" s="20" t="s">
        <v>1183</v>
      </c>
      <c r="B6532" s="21" t="s">
        <v>1022</v>
      </c>
      <c r="C6532" s="21" t="s">
        <v>1017</v>
      </c>
      <c r="D6532" s="21" t="s">
        <v>1007</v>
      </c>
      <c r="E6532" s="22">
        <f>IF(D6532="?OLD","!!!","")</f>
        <v/>
      </c>
      <c r="F6532" s="23" t="str">
        <f>IF(OR(E6532="",E6532="!!!"),"",IF(NOT(ISNA(VLOOKUP(E6532,E$1:E6531,1,FALSE()))),"OLD",IF(AND(E6532&lt;&gt;"",E6532&lt;&gt;"!!!"),"NEW","")))</f>
        <v> </v>
      </c>
      <c r="G6532" s="24" t="str">
        <f>IF(OR(E6532="",E6532="!!!"),"",IF(OR(J6532=0,AND(J6532=1,K6532=1),AND(J6532=1,I6532="SBJ"),AND(J6532=1,I6532=0)),"?IN_FOCUS",IF(J6532&lt;=2,"?ACTIVATED",IF(J6532&lt;&gt;"","?FAMILIAR",IF(F6532="NEW",IF(ISNA(VLOOKUP(E6532,#REF!,1,FALSE())),"?TYPE_IDENTIFIABLE","?REFERENTIAL"),"_")))))</f>
        <v> </v>
      </c>
      <c r="H6532" s="25" t="str">
        <f>IF(J6532&lt;&gt;1,"",IF(I6532="SBJ","CB","?"))</f>
        <v> </v>
      </c>
      <c r="I6532" s="26" t="str">
        <f>IF(OR(E6532="",E6532="!!!",F6532="NEW"),"",INDEX(B6531:B$2,-1+SUMPRODUCT(MAX(ROW(E6531:E$2)*(E6532=E6531:E$2)))))</f>
        <v> </v>
      </c>
      <c r="J6532" s="26" t="str">
        <f>IF(OR(E6532="",E6532="!!!",F6532="NEW"),"",COUNTBLANK(OFFSET(A$1,,,SUMPRODUCT(MAX(ROW(E$2:E6532)*(E6532=E$2:E6532)))))-COUNTBLANK(OFFSET(A$1,,,SUMPRODUCT(MAX(ROW(E$1:E6531)*(E2=E$1:E6531))))))</f>
        <v> </v>
      </c>
      <c r="K6532" s="26" t="str">
        <f>IF(OR(E6532="",E6532="!!!",F6532="NEW"),"",INDEX(J$1:J6531,SUMPRODUCT(MAX(ROW(E$1:E6531)*(E6532=E$1:E6531)))))</f>
        <v> </v>
      </c>
      <c r="L6532" s="27"/>
    </row>
    <row r="6533" spans="1:12">
      <c r="A6533" s="20" t="s">
        <v>1018</v>
      </c>
      <c r="E6533" s="22">
        <f>IF(D6533="?OLD","!!!","")</f>
        <v/>
      </c>
      <c r="F6533" s="23" t="str">
        <f>IF(OR(E6533="",E6533="!!!"),"",IF(NOT(ISNA(VLOOKUP(E6533,E$1:E6532,1,FALSE()))),"OLD",IF(AND(E6533&lt;&gt;"",E6533&lt;&gt;"!!!"),"NEW","")))</f>
        <v> </v>
      </c>
      <c r="G6533" s="24" t="str">
        <f>IF(OR(E6533="",E6533="!!!"),"",IF(OR(J6533=0,AND(J6533=1,K6533=1),AND(J6533=1,I6533="SBJ"),AND(J6533=1,I6533=0)),"?IN_FOCUS",IF(J6533&lt;=2,"?ACTIVATED",IF(J6533&lt;&gt;"","?FAMILIAR",IF(F6533="NEW",IF(ISNA(VLOOKUP(E6533,#REF!,1,FALSE())),"?TYPE_IDENTIFIABLE","?REFERENTIAL"),"_")))))</f>
        <v> </v>
      </c>
      <c r="H6533" s="25" t="str">
        <f>IF(J6533&lt;&gt;1,"",IF(I6533="SBJ","CB","?"))</f>
        <v> </v>
      </c>
      <c r="I6533" s="26" t="str">
        <f>IF(OR(E6533="",E6533="!!!",F6533="NEW"),"",INDEX(B6532:B$2,-1+SUMPRODUCT(MAX(ROW(E6532:E$2)*(E6533=E6532:E$2)))))</f>
        <v> </v>
      </c>
      <c r="J6533" s="26" t="str">
        <f>IF(OR(E6533="",E6533="!!!",F6533="NEW"),"",COUNTBLANK(OFFSET(A$1,,,SUMPRODUCT(MAX(ROW(E$2:E6533)*(E6533=E$2:E6533)))))-COUNTBLANK(OFFSET(A$1,,,SUMPRODUCT(MAX(ROW(E$1:E6532)*(E2=E$1:E6532))))))</f>
        <v> </v>
      </c>
      <c r="K6533" s="26" t="str">
        <f>IF(OR(E6533="",E6533="!!!",F6533="NEW"),"",INDEX(J$1:J6532,SUMPRODUCT(MAX(ROW(E$1:E6532)*(E6533=E$1:E6532)))))</f>
        <v> </v>
      </c>
      <c r="L6533" s="27"/>
    </row>
    <row r="6534" spans="1:12">
      <c r="A6534" s="20" t="s">
        <v>102</v>
      </c>
      <c r="E6534" s="22">
        <f>IF(D6534="?OLD","!!!","")</f>
        <v/>
      </c>
      <c r="F6534" s="23" t="str">
        <f>IF(OR(E6534="",E6534="!!!"),"",IF(NOT(ISNA(VLOOKUP(E6534,E$1:E6533,1,FALSE()))),"OLD",IF(AND(E6534&lt;&gt;"",E6534&lt;&gt;"!!!"),"NEW","")))</f>
        <v> </v>
      </c>
      <c r="G6534" s="24" t="str">
        <f>IF(OR(E6534="",E6534="!!!"),"",IF(OR(J6534=0,AND(J6534=1,K6534=1),AND(J6534=1,I6534="SBJ"),AND(J6534=1,I6534=0)),"?IN_FOCUS",IF(J6534&lt;=2,"?ACTIVATED",IF(J6534&lt;&gt;"","?FAMILIAR",IF(F6534="NEW",IF(ISNA(VLOOKUP(E6534,#REF!,1,FALSE())),"?TYPE_IDENTIFIABLE","?REFERENTIAL"),"_")))))</f>
        <v> </v>
      </c>
      <c r="H6534" s="25" t="str">
        <f>IF(J6534&lt;&gt;1,"",IF(I6534="SBJ","CB","?"))</f>
        <v> </v>
      </c>
      <c r="I6534" s="26" t="str">
        <f>IF(OR(E6534="",E6534="!!!",F6534="NEW"),"",INDEX(B6533:B$2,-1+SUMPRODUCT(MAX(ROW(E6533:E$2)*(E6534=E6533:E$2)))))</f>
        <v> </v>
      </c>
      <c r="J6534" s="26" t="str">
        <f>IF(OR(E6534="",E6534="!!!",F6534="NEW"),"",COUNTBLANK(OFFSET(A$1,,,SUMPRODUCT(MAX(ROW(E$2:E6534)*(E6534=E$2:E6534)))))-COUNTBLANK(OFFSET(A$1,,,SUMPRODUCT(MAX(ROW(E$1:E6533)*(E2=E$1:E6533))))))</f>
        <v> </v>
      </c>
      <c r="K6534" s="26" t="str">
        <f>IF(OR(E6534="",E6534="!!!",F6534="NEW"),"",INDEX(J$1:J6533,SUMPRODUCT(MAX(ROW(E$1:E6533)*(E6534=E$1:E6533)))))</f>
        <v> </v>
      </c>
      <c r="L6534" s="27"/>
    </row>
    <row r="6535" spans="1:12">
      <c r="A6535" s="20" t="s">
        <v>1168</v>
      </c>
      <c r="B6535" s="21" t="s">
        <v>1119</v>
      </c>
      <c r="C6535" s="21" t="s">
        <v>1017</v>
      </c>
      <c r="D6535" s="21" t="s">
        <v>1007</v>
      </c>
      <c r="E6535" s="22">
        <f>IF(D6535="?OLD","!!!","")</f>
        <v/>
      </c>
      <c r="F6535" s="23" t="str">
        <f>IF(OR(E6535="",E6535="!!!"),"",IF(NOT(ISNA(VLOOKUP(E6535,E$1:E6534,1,FALSE()))),"OLD",IF(AND(E6535&lt;&gt;"",E6535&lt;&gt;"!!!"),"NEW","")))</f>
        <v> </v>
      </c>
      <c r="G6535" s="24" t="str">
        <f>IF(OR(E6535="",E6535="!!!"),"",IF(OR(J6535=0,AND(J6535=1,K6535=1),AND(J6535=1,I6535="SBJ"),AND(J6535=1,I6535=0)),"?IN_FOCUS",IF(J6535&lt;=2,"?ACTIVATED",IF(J6535&lt;&gt;"","?FAMILIAR",IF(F6535="NEW",IF(ISNA(VLOOKUP(E6535,#REF!,1,FALSE())),"?TYPE_IDENTIFIABLE","?REFERENTIAL"),"_")))))</f>
        <v> </v>
      </c>
      <c r="H6535" s="25" t="str">
        <f>IF(J6535&lt;&gt;1,"",IF(I6535="SBJ","CB","?"))</f>
        <v> </v>
      </c>
      <c r="I6535" s="26" t="str">
        <f>IF(OR(E6535="",E6535="!!!",F6535="NEW"),"",INDEX(B6534:B$2,-1+SUMPRODUCT(MAX(ROW(E6534:E$2)*(E6535=E6534:E$2)))))</f>
        <v> </v>
      </c>
      <c r="J6535" s="26" t="str">
        <f>IF(OR(E6535="",E6535="!!!",F6535="NEW"),"",COUNTBLANK(OFFSET(A$1,,,SUMPRODUCT(MAX(ROW(E$2:E6535)*(E6535=E$2:E6535)))))-COUNTBLANK(OFFSET(A$1,,,SUMPRODUCT(MAX(ROW(E$1:E6534)*(E2=E$1:E6534))))))</f>
        <v> </v>
      </c>
      <c r="K6535" s="26" t="str">
        <f>IF(OR(E6535="",E6535="!!!",F6535="NEW"),"",INDEX(J$1:J6534,SUMPRODUCT(MAX(ROW(E$1:E6534)*(E6535=E$1:E6534)))))</f>
        <v> </v>
      </c>
      <c r="L6535" s="27"/>
    </row>
    <row r="6536" spans="1:12">
      <c r="A6536" s="20" t="s">
        <v>1702</v>
      </c>
      <c r="E6536" s="22">
        <f>IF(D6536="?OLD","!!!","")</f>
        <v/>
      </c>
      <c r="F6536" s="23" t="str">
        <f>IF(OR(E6536="",E6536="!!!"),"",IF(NOT(ISNA(VLOOKUP(E6536,E$1:E6535,1,FALSE()))),"OLD",IF(AND(E6536&lt;&gt;"",E6536&lt;&gt;"!!!"),"NEW","")))</f>
        <v> </v>
      </c>
      <c r="G6536" s="24" t="str">
        <f>IF(OR(E6536="",E6536="!!!"),"",IF(OR(J6536=0,AND(J6536=1,K6536=1),AND(J6536=1,I6536="SBJ"),AND(J6536=1,I6536=0)),"?IN_FOCUS",IF(J6536&lt;=2,"?ACTIVATED",IF(J6536&lt;&gt;"","?FAMILIAR",IF(F6536="NEW",IF(ISNA(VLOOKUP(E6536,#REF!,1,FALSE())),"?TYPE_IDENTIFIABLE","?REFERENTIAL"),"_")))))</f>
        <v> </v>
      </c>
      <c r="H6536" s="25" t="str">
        <f>IF(J6536&lt;&gt;1,"",IF(I6536="SBJ","CB","?"))</f>
        <v> </v>
      </c>
      <c r="I6536" s="26" t="str">
        <f>IF(OR(E6536="",E6536="!!!",F6536="NEW"),"",INDEX(B6535:B$2,-1+SUMPRODUCT(MAX(ROW(E6535:E$2)*(E6536=E6535:E$2)))))</f>
        <v> </v>
      </c>
      <c r="J6536" s="26" t="str">
        <f>IF(OR(E6536="",E6536="!!!",F6536="NEW"),"",COUNTBLANK(OFFSET(A$1,,,SUMPRODUCT(MAX(ROW(E$2:E6536)*(E6536=E$2:E6536)))))-COUNTBLANK(OFFSET(A$1,,,SUMPRODUCT(MAX(ROW(E$1:E6535)*(E2=E$1:E6535))))))</f>
        <v> </v>
      </c>
      <c r="K6536" s="26" t="str">
        <f>IF(OR(E6536="",E6536="!!!",F6536="NEW"),"",INDEX(J$1:J6535,SUMPRODUCT(MAX(ROW(E$1:E6535)*(E6536=E$1:E6535)))))</f>
        <v> </v>
      </c>
      <c r="L6536" s="27"/>
    </row>
    <row r="6537" spans="1:12">
      <c r="A6537" s="20" t="s">
        <v>1020</v>
      </c>
      <c r="E6537" s="22">
        <f>IF(D6537="?OLD","!!!","")</f>
        <v/>
      </c>
      <c r="F6537" s="23" t="str">
        <f>IF(OR(E6537="",E6537="!!!"),"",IF(NOT(ISNA(VLOOKUP(E6537,E$1:E6536,1,FALSE()))),"OLD",IF(AND(E6537&lt;&gt;"",E6537&lt;&gt;"!!!"),"NEW","")))</f>
        <v> </v>
      </c>
      <c r="G6537" s="24" t="str">
        <f>IF(OR(E6537="",E6537="!!!"),"",IF(OR(J6537=0,AND(J6537=1,K6537=1),AND(J6537=1,I6537="SBJ"),AND(J6537=1,I6537=0)),"?IN_FOCUS",IF(J6537&lt;=2,"?ACTIVATED",IF(J6537&lt;&gt;"","?FAMILIAR",IF(F6537="NEW",IF(ISNA(VLOOKUP(E6537,#REF!,1,FALSE())),"?TYPE_IDENTIFIABLE","?REFERENTIAL"),"_")))))</f>
        <v> </v>
      </c>
      <c r="H6537" s="25" t="str">
        <f>IF(J6537&lt;&gt;1,"",IF(I6537="SBJ","CB","?"))</f>
        <v> </v>
      </c>
      <c r="I6537" s="26" t="str">
        <f>IF(OR(E6537="",E6537="!!!",F6537="NEW"),"",INDEX(B6536:B$2,-1+SUMPRODUCT(MAX(ROW(E6536:E$2)*(E6537=E6536:E$2)))))</f>
        <v> </v>
      </c>
      <c r="J6537" s="26" t="str">
        <f>IF(OR(E6537="",E6537="!!!",F6537="NEW"),"",COUNTBLANK(OFFSET(A$1,,,SUMPRODUCT(MAX(ROW(E$2:E6537)*(E6537=E$2:E6537)))))-COUNTBLANK(OFFSET(A$1,,,SUMPRODUCT(MAX(ROW(E$1:E6536)*(E2=E$1:E6536))))))</f>
        <v> </v>
      </c>
      <c r="K6537" s="26" t="str">
        <f>IF(OR(E6537="",E6537="!!!",F6537="NEW"),"",INDEX(J$1:J6536,SUMPRODUCT(MAX(ROW(E$1:E6536)*(E6537=E$1:E6536)))))</f>
        <v> </v>
      </c>
      <c r="L6537" s="27"/>
    </row>
    <row r="6538" spans="1:12">
      <c r="A6538" s="20" t="s">
        <v>2695</v>
      </c>
      <c r="E6538" s="22">
        <f>IF(D6538="?OLD","!!!","")</f>
        <v/>
      </c>
      <c r="F6538" s="23" t="str">
        <f>IF(OR(E6538="",E6538="!!!"),"",IF(NOT(ISNA(VLOOKUP(E6538,E$1:E6537,1,FALSE()))),"OLD",IF(AND(E6538&lt;&gt;"",E6538&lt;&gt;"!!!"),"NEW","")))</f>
        <v> </v>
      </c>
      <c r="G6538" s="24" t="str">
        <f>IF(OR(E6538="",E6538="!!!"),"",IF(OR(J6538=0,AND(J6538=1,K6538=1),AND(J6538=1,I6538="SBJ"),AND(J6538=1,I6538=0)),"?IN_FOCUS",IF(J6538&lt;=2,"?ACTIVATED",IF(J6538&lt;&gt;"","?FAMILIAR",IF(F6538="NEW",IF(ISNA(VLOOKUP(E6538,#REF!,1,FALSE())),"?TYPE_IDENTIFIABLE","?REFERENTIAL"),"_")))))</f>
        <v> </v>
      </c>
      <c r="H6538" s="25" t="str">
        <f>IF(J6538&lt;&gt;1,"",IF(I6538="SBJ","CB","?"))</f>
        <v> </v>
      </c>
      <c r="I6538" s="26" t="str">
        <f>IF(OR(E6538="",E6538="!!!",F6538="NEW"),"",INDEX(B6537:B$2,-1+SUMPRODUCT(MAX(ROW(E6537:E$2)*(E6538=E6537:E$2)))))</f>
        <v> </v>
      </c>
      <c r="J6538" s="26" t="str">
        <f>IF(OR(E6538="",E6538="!!!",F6538="NEW"),"",COUNTBLANK(OFFSET(A$1,,,SUMPRODUCT(MAX(ROW(E$2:E6538)*(E6538=E$2:E6538)))))-COUNTBLANK(OFFSET(A$1,,,SUMPRODUCT(MAX(ROW(E$1:E6537)*(E2=E$1:E6537))))))</f>
        <v> </v>
      </c>
      <c r="K6538" s="26" t="str">
        <f>IF(OR(E6538="",E6538="!!!",F6538="NEW"),"",INDEX(J$1:J6537,SUMPRODUCT(MAX(ROW(E$1:E6537)*(E6538=E$1:E6537)))))</f>
        <v> </v>
      </c>
      <c r="L6538" s="27"/>
    </row>
    <row r="6539" spans="1:12">
      <c r="A6539" s="20" t="s">
        <v>1065</v>
      </c>
      <c r="E6539" s="22">
        <f>IF(D6539="?OLD","!!!","")</f>
        <v/>
      </c>
      <c r="F6539" s="23" t="str">
        <f>IF(OR(E6539="",E6539="!!!"),"",IF(NOT(ISNA(VLOOKUP(E6539,E$1:E6538,1,FALSE()))),"OLD",IF(AND(E6539&lt;&gt;"",E6539&lt;&gt;"!!!"),"NEW","")))</f>
        <v> </v>
      </c>
      <c r="G6539" s="24" t="str">
        <f>IF(OR(E6539="",E6539="!!!"),"",IF(OR(J6539=0,AND(J6539=1,K6539=1),AND(J6539=1,I6539="SBJ"),AND(J6539=1,I6539=0)),"?IN_FOCUS",IF(J6539&lt;=2,"?ACTIVATED",IF(J6539&lt;&gt;"","?FAMILIAR",IF(F6539="NEW",IF(ISNA(VLOOKUP(E6539,#REF!,1,FALSE())),"?TYPE_IDENTIFIABLE","?REFERENTIAL"),"_")))))</f>
        <v> </v>
      </c>
      <c r="H6539" s="25" t="str">
        <f>IF(J6539&lt;&gt;1,"",IF(I6539="SBJ","CB","?"))</f>
        <v> </v>
      </c>
      <c r="I6539" s="26" t="str">
        <f>IF(OR(E6539="",E6539="!!!",F6539="NEW"),"",INDEX(B6538:B$2,-1+SUMPRODUCT(MAX(ROW(E6538:E$2)*(E6539=E6538:E$2)))))</f>
        <v> </v>
      </c>
      <c r="J6539" s="26" t="str">
        <f>IF(OR(E6539="",E6539="!!!",F6539="NEW"),"",COUNTBLANK(OFFSET(A$1,,,SUMPRODUCT(MAX(ROW(E$2:E6539)*(E6539=E$2:E6539)))))-COUNTBLANK(OFFSET(A$1,,,SUMPRODUCT(MAX(ROW(E$1:E6538)*(E2=E$1:E6538))))))</f>
        <v> </v>
      </c>
      <c r="K6539" s="26" t="str">
        <f>IF(OR(E6539="",E6539="!!!",F6539="NEW"),"",INDEX(J$1:J6538,SUMPRODUCT(MAX(ROW(E$1:E6538)*(E6539=E$1:E6538)))))</f>
        <v> </v>
      </c>
      <c r="L6539" s="27"/>
    </row>
    <row r="6540" spans="1:12">
      <c r="A6540" s="20" t="s">
        <v>2467</v>
      </c>
      <c r="E6540" s="22">
        <f>IF(D6540="?OLD","!!!","")</f>
        <v/>
      </c>
      <c r="F6540" s="23" t="str">
        <f>IF(OR(E6540="",E6540="!!!"),"",IF(NOT(ISNA(VLOOKUP(E6540,E$1:E6539,1,FALSE()))),"OLD",IF(AND(E6540&lt;&gt;"",E6540&lt;&gt;"!!!"),"NEW","")))</f>
        <v> </v>
      </c>
      <c r="G6540" s="24" t="str">
        <f>IF(OR(E6540="",E6540="!!!"),"",IF(OR(J6540=0,AND(J6540=1,K6540=1),AND(J6540=1,I6540="SBJ"),AND(J6540=1,I6540=0)),"?IN_FOCUS",IF(J6540&lt;=2,"?ACTIVATED",IF(J6540&lt;&gt;"","?FAMILIAR",IF(F6540="NEW",IF(ISNA(VLOOKUP(E6540,#REF!,1,FALSE())),"?TYPE_IDENTIFIABLE","?REFERENTIAL"),"_")))))</f>
        <v> </v>
      </c>
      <c r="H6540" s="25" t="str">
        <f>IF(J6540&lt;&gt;1,"",IF(I6540="SBJ","CB","?"))</f>
        <v> </v>
      </c>
      <c r="I6540" s="26" t="str">
        <f>IF(OR(E6540="",E6540="!!!",F6540="NEW"),"",INDEX(B6539:B$2,-1+SUMPRODUCT(MAX(ROW(E6539:E$2)*(E6540=E6539:E$2)))))</f>
        <v> </v>
      </c>
      <c r="J6540" s="26" t="str">
        <f>IF(OR(E6540="",E6540="!!!",F6540="NEW"),"",COUNTBLANK(OFFSET(A$1,,,SUMPRODUCT(MAX(ROW(E$2:E6540)*(E6540=E$2:E6540)))))-COUNTBLANK(OFFSET(A$1,,,SUMPRODUCT(MAX(ROW(E$1:E6539)*(E2=E$1:E6539))))))</f>
        <v> </v>
      </c>
      <c r="K6540" s="26" t="str">
        <f>IF(OR(E6540="",E6540="!!!",F6540="NEW"),"",INDEX(J$1:J6539,SUMPRODUCT(MAX(ROW(E$1:E6539)*(E6540=E$1:E6539)))))</f>
        <v> </v>
      </c>
      <c r="L6540" s="27"/>
    </row>
    <row r="6541" spans="1:12">
      <c r="A6541" s="20" t="s">
        <v>1324</v>
      </c>
      <c r="E6541" s="22">
        <f>IF(D6541="?OLD","!!!","")</f>
        <v/>
      </c>
      <c r="F6541" s="23" t="str">
        <f>IF(OR(E6541="",E6541="!!!"),"",IF(NOT(ISNA(VLOOKUP(E6541,E$1:E6540,1,FALSE()))),"OLD",IF(AND(E6541&lt;&gt;"",E6541&lt;&gt;"!!!"),"NEW","")))</f>
        <v> </v>
      </c>
      <c r="G6541" s="24" t="str">
        <f>IF(OR(E6541="",E6541="!!!"),"",IF(OR(J6541=0,AND(J6541=1,K6541=1),AND(J6541=1,I6541="SBJ"),AND(J6541=1,I6541=0)),"?IN_FOCUS",IF(J6541&lt;=2,"?ACTIVATED",IF(J6541&lt;&gt;"","?FAMILIAR",IF(F6541="NEW",IF(ISNA(VLOOKUP(E6541,#REF!,1,FALSE())),"?TYPE_IDENTIFIABLE","?REFERENTIAL"),"_")))))</f>
        <v> </v>
      </c>
      <c r="H6541" s="25" t="str">
        <f>IF(J6541&lt;&gt;1,"",IF(I6541="SBJ","CB","?"))</f>
        <v> </v>
      </c>
      <c r="I6541" s="26" t="str">
        <f>IF(OR(E6541="",E6541="!!!",F6541="NEW"),"",INDEX(B6540:B$2,-1+SUMPRODUCT(MAX(ROW(E6540:E$2)*(E6541=E6540:E$2)))))</f>
        <v> </v>
      </c>
      <c r="J6541" s="26" t="str">
        <f>IF(OR(E6541="",E6541="!!!",F6541="NEW"),"",COUNTBLANK(OFFSET(A$1,,,SUMPRODUCT(MAX(ROW(E$2:E6541)*(E6541=E$2:E6541)))))-COUNTBLANK(OFFSET(A$1,,,SUMPRODUCT(MAX(ROW(E$1:E6540)*(E2=E$1:E6540))))))</f>
        <v> </v>
      </c>
      <c r="K6541" s="26" t="str">
        <f>IF(OR(E6541="",E6541="!!!",F6541="NEW"),"",INDEX(J$1:J6540,SUMPRODUCT(MAX(ROW(E$1:E6540)*(E6541=E$1:E6540)))))</f>
        <v> </v>
      </c>
      <c r="L6541" s="27"/>
    </row>
    <row r="6542" spans="1:12">
      <c r="A6542" s="20" t="s">
        <v>2696</v>
      </c>
      <c r="B6542" s="21" t="s">
        <v>1187</v>
      </c>
      <c r="C6542" s="21" t="s">
        <v>1013</v>
      </c>
      <c r="D6542" s="21" t="s">
        <v>1007</v>
      </c>
      <c r="E6542" s="22">
        <f>IF(D6542="?OLD","!!!","")</f>
        <v/>
      </c>
      <c r="F6542" s="23" t="str">
        <f>IF(OR(E6542="",E6542="!!!"),"",IF(NOT(ISNA(VLOOKUP(E6542,E$1:E6541,1,FALSE()))),"OLD",IF(AND(E6542&lt;&gt;"",E6542&lt;&gt;"!!!"),"NEW","")))</f>
        <v> </v>
      </c>
      <c r="G6542" s="24" t="str">
        <f>IF(OR(E6542="",E6542="!!!"),"",IF(OR(J6542=0,AND(J6542=1,K6542=1),AND(J6542=1,I6542="SBJ"),AND(J6542=1,I6542=0)),"?IN_FOCUS",IF(J6542&lt;=2,"?ACTIVATED",IF(J6542&lt;&gt;"","?FAMILIAR",IF(F6542="NEW",IF(ISNA(VLOOKUP(E6542,#REF!,1,FALSE())),"?TYPE_IDENTIFIABLE","?REFERENTIAL"),"_")))))</f>
        <v> </v>
      </c>
      <c r="H6542" s="25" t="str">
        <f>IF(J6542&lt;&gt;1,"",IF(I6542="SBJ","CB","?"))</f>
        <v> </v>
      </c>
      <c r="I6542" s="26" t="str">
        <f>IF(OR(E6542="",E6542="!!!",F6542="NEW"),"",INDEX(B6541:B$2,-1+SUMPRODUCT(MAX(ROW(E6541:E$2)*(E6542=E6541:E$2)))))</f>
        <v> </v>
      </c>
      <c r="J6542" s="26" t="str">
        <f>IF(OR(E6542="",E6542="!!!",F6542="NEW"),"",COUNTBLANK(OFFSET(A$1,,,SUMPRODUCT(MAX(ROW(E$2:E6542)*(E6542=E$2:E6542)))))-COUNTBLANK(OFFSET(A$1,,,SUMPRODUCT(MAX(ROW(E$1:E6541)*(E2=E$1:E6541))))))</f>
        <v> </v>
      </c>
      <c r="K6542" s="26" t="str">
        <f>IF(OR(E6542="",E6542="!!!",F6542="NEW"),"",INDEX(J$1:J6541,SUMPRODUCT(MAX(ROW(E$1:E6541)*(E6542=E$1:E6541)))))</f>
        <v> </v>
      </c>
      <c r="L6542" s="27"/>
    </row>
    <row r="6543" spans="1:12">
      <c r="A6543" s="20" t="s">
        <v>1014</v>
      </c>
      <c r="E6543" s="22">
        <f>IF(D6543="?OLD","!!!","")</f>
        <v/>
      </c>
      <c r="F6543" s="23" t="str">
        <f>IF(OR(E6543="",E6543="!!!"),"",IF(NOT(ISNA(VLOOKUP(E6543,E$1:E6542,1,FALSE()))),"OLD",IF(AND(E6543&lt;&gt;"",E6543&lt;&gt;"!!!"),"NEW","")))</f>
        <v> </v>
      </c>
      <c r="G6543" s="24" t="str">
        <f>IF(OR(E6543="",E6543="!!!"),"",IF(OR(J6543=0,AND(J6543=1,K6543=1),AND(J6543=1,I6543="SBJ"),AND(J6543=1,I6543=0)),"?IN_FOCUS",IF(J6543&lt;=2,"?ACTIVATED",IF(J6543&lt;&gt;"","?FAMILIAR",IF(F6543="NEW",IF(ISNA(VLOOKUP(E6543,#REF!,1,FALSE())),"?TYPE_IDENTIFIABLE","?REFERENTIAL"),"_")))))</f>
        <v> </v>
      </c>
      <c r="H6543" s="25" t="str">
        <f>IF(J6543&lt;&gt;1,"",IF(I6543="SBJ","CB","?"))</f>
        <v> </v>
      </c>
      <c r="I6543" s="26" t="str">
        <f>IF(OR(E6543="",E6543="!!!",F6543="NEW"),"",INDEX(B6542:B$2,-1+SUMPRODUCT(MAX(ROW(E6542:E$2)*(E6543=E6542:E$2)))))</f>
        <v> </v>
      </c>
      <c r="J6543" s="26" t="str">
        <f>IF(OR(E6543="",E6543="!!!",F6543="NEW"),"",COUNTBLANK(OFFSET(A$1,,,SUMPRODUCT(MAX(ROW(E$2:E6543)*(E6543=E$2:E6543)))))-COUNTBLANK(OFFSET(A$1,,,SUMPRODUCT(MAX(ROW(E$1:E6542)*(E2=E$1:E6542))))))</f>
        <v> </v>
      </c>
      <c r="K6543" s="26" t="str">
        <f>IF(OR(E6543="",E6543="!!!",F6543="NEW"),"",INDEX(J$1:J6542,SUMPRODUCT(MAX(ROW(E$1:E6542)*(E6543=E$1:E6542)))))</f>
        <v> </v>
      </c>
      <c r="L6543" s="27"/>
    </row>
    <row r="6544" spans="1:12">
      <c r="A6544" s="20" t="s">
        <v>2404</v>
      </c>
      <c r="B6544" s="21" t="s">
        <v>1035</v>
      </c>
      <c r="C6544" s="21" t="s">
        <v>1048</v>
      </c>
      <c r="E6544" s="22">
        <f>IF(D6544="?OLD","!!!","")</f>
        <v/>
      </c>
      <c r="F6544" s="23" t="str">
        <f>IF(OR(E6544="",E6544="!!!"),"",IF(NOT(ISNA(VLOOKUP(E6544,E$1:E6543,1,FALSE()))),"OLD",IF(AND(E6544&lt;&gt;"",E6544&lt;&gt;"!!!"),"NEW","")))</f>
        <v> </v>
      </c>
      <c r="G6544" s="24" t="str">
        <f>IF(OR(E6544="",E6544="!!!"),"",IF(OR(J6544=0,AND(J6544=1,K6544=1),AND(J6544=1,I6544="SBJ"),AND(J6544=1,I6544=0)),"?IN_FOCUS",IF(J6544&lt;=2,"?ACTIVATED",IF(J6544&lt;&gt;"","?FAMILIAR",IF(F6544="NEW",IF(ISNA(VLOOKUP(E6544,#REF!,1,FALSE())),"?TYPE_IDENTIFIABLE","?REFERENTIAL"),"_")))))</f>
        <v> </v>
      </c>
      <c r="H6544" s="25" t="str">
        <f>IF(J6544&lt;&gt;1,"",IF(I6544="SBJ","CB","?"))</f>
        <v> </v>
      </c>
      <c r="I6544" s="26" t="str">
        <f>IF(OR(E6544="",E6544="!!!",F6544="NEW"),"",INDEX(B6543:B$2,-1+SUMPRODUCT(MAX(ROW(E6543:E$2)*(E6544=E6543:E$2)))))</f>
        <v> </v>
      </c>
      <c r="J6544" s="26" t="str">
        <f>IF(OR(E6544="",E6544="!!!",F6544="NEW"),"",COUNTBLANK(OFFSET(A$1,,,SUMPRODUCT(MAX(ROW(E$2:E6544)*(E6544=E$2:E6544)))))-COUNTBLANK(OFFSET(A$1,,,SUMPRODUCT(MAX(ROW(E$1:E6543)*(E2=E$1:E6543))))))</f>
        <v> </v>
      </c>
      <c r="K6544" s="26" t="str">
        <f>IF(OR(E6544="",E6544="!!!",F6544="NEW"),"",INDEX(J$1:J6543,SUMPRODUCT(MAX(ROW(E$1:E6543)*(E6544=E$1:E6543)))))</f>
        <v> </v>
      </c>
      <c r="L6544" s="27"/>
    </row>
    <row r="6545" spans="1:12">
      <c r="A6545" s="20" t="s">
        <v>1018</v>
      </c>
      <c r="E6545" s="22">
        <f>IF(D6545="?OLD","!!!","")</f>
        <v/>
      </c>
      <c r="F6545" s="23" t="str">
        <f>IF(OR(E6545="",E6545="!!!"),"",IF(NOT(ISNA(VLOOKUP(E6545,E$1:E6544,1,FALSE()))),"OLD",IF(AND(E6545&lt;&gt;"",E6545&lt;&gt;"!!!"),"NEW","")))</f>
        <v> </v>
      </c>
      <c r="G6545" s="24" t="str">
        <f>IF(OR(E6545="",E6545="!!!"),"",IF(OR(J6545=0,AND(J6545=1,K6545=1),AND(J6545=1,I6545="SBJ"),AND(J6545=1,I6545=0)),"?IN_FOCUS",IF(J6545&lt;=2,"?ACTIVATED",IF(J6545&lt;&gt;"","?FAMILIAR",IF(F6545="NEW",IF(ISNA(VLOOKUP(E6545,#REF!,1,FALSE())),"?TYPE_IDENTIFIABLE","?REFERENTIAL"),"_")))))</f>
        <v> </v>
      </c>
      <c r="H6545" s="25" t="str">
        <f>IF(J6545&lt;&gt;1,"",IF(I6545="SBJ","CB","?"))</f>
        <v> </v>
      </c>
      <c r="I6545" s="26" t="str">
        <f>IF(OR(E6545="",E6545="!!!",F6545="NEW"),"",INDEX(B6544:B$2,-1+SUMPRODUCT(MAX(ROW(E6544:E$2)*(E6545=E6544:E$2)))))</f>
        <v> </v>
      </c>
      <c r="J6545" s="26" t="str">
        <f>IF(OR(E6545="",E6545="!!!",F6545="NEW"),"",COUNTBLANK(OFFSET(A$1,,,SUMPRODUCT(MAX(ROW(E$2:E6545)*(E6545=E$2:E6545)))))-COUNTBLANK(OFFSET(A$1,,,SUMPRODUCT(MAX(ROW(E$1:E6544)*(E2=E$1:E6544))))))</f>
        <v> </v>
      </c>
      <c r="K6545" s="26" t="str">
        <f>IF(OR(E6545="",E6545="!!!",F6545="NEW"),"",INDEX(J$1:J6544,SUMPRODUCT(MAX(ROW(E$1:E6544)*(E6545=E$1:E6544)))))</f>
        <v> </v>
      </c>
      <c r="L6545" s="27"/>
    </row>
    <row r="6546" spans="1:12">
      <c r="A6546" s="20" t="s">
        <v>2467</v>
      </c>
      <c r="E6546" s="22">
        <f>IF(D6546="?OLD","!!!","")</f>
        <v/>
      </c>
      <c r="F6546" s="23" t="str">
        <f>IF(OR(E6546="",E6546="!!!"),"",IF(NOT(ISNA(VLOOKUP(E6546,E$1:E6545,1,FALSE()))),"OLD",IF(AND(E6546&lt;&gt;"",E6546&lt;&gt;"!!!"),"NEW","")))</f>
        <v> </v>
      </c>
      <c r="G6546" s="24" t="str">
        <f>IF(OR(E6546="",E6546="!!!"),"",IF(OR(J6546=0,AND(J6546=1,K6546=1),AND(J6546=1,I6546="SBJ"),AND(J6546=1,I6546=0)),"?IN_FOCUS",IF(J6546&lt;=2,"?ACTIVATED",IF(J6546&lt;&gt;"","?FAMILIAR",IF(F6546="NEW",IF(ISNA(VLOOKUP(E6546,#REF!,1,FALSE())),"?TYPE_IDENTIFIABLE","?REFERENTIAL"),"_")))))</f>
        <v> </v>
      </c>
      <c r="H6546" s="25" t="str">
        <f>IF(J6546&lt;&gt;1,"",IF(I6546="SBJ","CB","?"))</f>
        <v> </v>
      </c>
      <c r="I6546" s="26" t="str">
        <f>IF(OR(E6546="",E6546="!!!",F6546="NEW"),"",INDEX(B6545:B$2,-1+SUMPRODUCT(MAX(ROW(E6545:E$2)*(E6546=E6545:E$2)))))</f>
        <v> </v>
      </c>
      <c r="J6546" s="26" t="str">
        <f>IF(OR(E6546="",E6546="!!!",F6546="NEW"),"",COUNTBLANK(OFFSET(A$1,,,SUMPRODUCT(MAX(ROW(E$2:E6546)*(E6546=E$2:E6546)))))-COUNTBLANK(OFFSET(A$1,,,SUMPRODUCT(MAX(ROW(E$1:E6545)*(E2=E$1:E6545))))))</f>
        <v> </v>
      </c>
      <c r="K6546" s="26" t="str">
        <f>IF(OR(E6546="",E6546="!!!",F6546="NEW"),"",INDEX(J$1:J6545,SUMPRODUCT(MAX(ROW(E$1:E6545)*(E6546=E$1:E6545)))))</f>
        <v> </v>
      </c>
      <c r="L6546" s="27"/>
    </row>
    <row r="6547" spans="1:12">
      <c r="A6547" s="20" t="s">
        <v>1065</v>
      </c>
      <c r="E6547" s="22">
        <f>IF(D6547="?OLD","!!!","")</f>
        <v/>
      </c>
      <c r="F6547" s="23" t="str">
        <f>IF(OR(E6547="",E6547="!!!"),"",IF(NOT(ISNA(VLOOKUP(E6547,E$1:E6546,1,FALSE()))),"OLD",IF(AND(E6547&lt;&gt;"",E6547&lt;&gt;"!!!"),"NEW","")))</f>
        <v> </v>
      </c>
      <c r="G6547" s="24" t="str">
        <f>IF(OR(E6547="",E6547="!!!"),"",IF(OR(J6547=0,AND(J6547=1,K6547=1),AND(J6547=1,I6547="SBJ"),AND(J6547=1,I6547=0)),"?IN_FOCUS",IF(J6547&lt;=2,"?ACTIVATED",IF(J6547&lt;&gt;"","?FAMILIAR",IF(F6547="NEW",IF(ISNA(VLOOKUP(E6547,#REF!,1,FALSE())),"?TYPE_IDENTIFIABLE","?REFERENTIAL"),"_")))))</f>
        <v> </v>
      </c>
      <c r="H6547" s="25" t="str">
        <f>IF(J6547&lt;&gt;1,"",IF(I6547="SBJ","CB","?"))</f>
        <v> </v>
      </c>
      <c r="I6547" s="26" t="str">
        <f>IF(OR(E6547="",E6547="!!!",F6547="NEW"),"",INDEX(B6546:B$2,-1+SUMPRODUCT(MAX(ROW(E6546:E$2)*(E6547=E6546:E$2)))))</f>
        <v> </v>
      </c>
      <c r="J6547" s="26" t="str">
        <f>IF(OR(E6547="",E6547="!!!",F6547="NEW"),"",COUNTBLANK(OFFSET(A$1,,,SUMPRODUCT(MAX(ROW(E$2:E6547)*(E6547=E$2:E6547)))))-COUNTBLANK(OFFSET(A$1,,,SUMPRODUCT(MAX(ROW(E$1:E6546)*(E2=E$1:E6546))))))</f>
        <v> </v>
      </c>
      <c r="K6547" s="26" t="str">
        <f>IF(OR(E6547="",E6547="!!!",F6547="NEW"),"",INDEX(J$1:J6546,SUMPRODUCT(MAX(ROW(E$1:E6546)*(E6547=E$1:E6546)))))</f>
        <v> </v>
      </c>
      <c r="L6547" s="27"/>
    </row>
    <row r="6548" spans="1:12">
      <c r="A6548" s="20" t="s">
        <v>1138</v>
      </c>
      <c r="B6548" s="21" t="s">
        <v>1154</v>
      </c>
      <c r="C6548" s="21" t="s">
        <v>1082</v>
      </c>
      <c r="D6548" s="21" t="s">
        <v>1007</v>
      </c>
      <c r="E6548" s="22">
        <f>IF(D6548="?OLD","!!!","")</f>
        <v/>
      </c>
      <c r="F6548" s="23" t="str">
        <f>IF(OR(E6548="",E6548="!!!"),"",IF(NOT(ISNA(VLOOKUP(E6548,E$1:E6547,1,FALSE()))),"OLD",IF(AND(E6548&lt;&gt;"",E6548&lt;&gt;"!!!"),"NEW","")))</f>
        <v> </v>
      </c>
      <c r="G6548" s="24" t="str">
        <f>IF(OR(E6548="",E6548="!!!"),"",IF(OR(J6548=0,AND(J6548=1,K6548=1),AND(J6548=1,I6548="SBJ"),AND(J6548=1,I6548=0)),"?IN_FOCUS",IF(J6548&lt;=2,"?ACTIVATED",IF(J6548&lt;&gt;"","?FAMILIAR",IF(F6548="NEW",IF(ISNA(VLOOKUP(E6548,#REF!,1,FALSE())),"?TYPE_IDENTIFIABLE","?REFERENTIAL"),"_")))))</f>
        <v> </v>
      </c>
      <c r="H6548" s="25" t="str">
        <f>IF(J6548&lt;&gt;1,"",IF(I6548="SBJ","CB","?"))</f>
        <v> </v>
      </c>
      <c r="I6548" s="26" t="str">
        <f>IF(OR(E6548="",E6548="!!!",F6548="NEW"),"",INDEX(B6547:B$2,-1+SUMPRODUCT(MAX(ROW(E6547:E$2)*(E6548=E6547:E$2)))))</f>
        <v> </v>
      </c>
      <c r="J6548" s="26" t="str">
        <f>IF(OR(E6548="",E6548="!!!",F6548="NEW"),"",COUNTBLANK(OFFSET(A$1,,,SUMPRODUCT(MAX(ROW(E$2:E6548)*(E6548=E$2:E6548)))))-COUNTBLANK(OFFSET(A$1,,,SUMPRODUCT(MAX(ROW(E$1:E6547)*(E2=E$1:E6547))))))</f>
        <v> </v>
      </c>
      <c r="K6548" s="26" t="str">
        <f>IF(OR(E6548="",E6548="!!!",F6548="NEW"),"",INDEX(J$1:J6547,SUMPRODUCT(MAX(ROW(E$1:E6547)*(E6548=E$1:E6547)))))</f>
        <v> </v>
      </c>
      <c r="L6548" s="27"/>
    </row>
    <row r="6549" spans="1:12">
      <c r="A6549" s="20" t="s">
        <v>2697</v>
      </c>
      <c r="E6549" s="22">
        <f>IF(D6549="?OLD","!!!","")</f>
        <v/>
      </c>
      <c r="F6549" s="23" t="str">
        <f>IF(OR(E6549="",E6549="!!!"),"",IF(NOT(ISNA(VLOOKUP(E6549,E$1:E6548,1,FALSE()))),"OLD",IF(AND(E6549&lt;&gt;"",E6549&lt;&gt;"!!!"),"NEW","")))</f>
        <v> </v>
      </c>
      <c r="G6549" s="24" t="str">
        <f>IF(OR(E6549="",E6549="!!!"),"",IF(OR(J6549=0,AND(J6549=1,K6549=1),AND(J6549=1,I6549="SBJ"),AND(J6549=1,I6549=0)),"?IN_FOCUS",IF(J6549&lt;=2,"?ACTIVATED",IF(J6549&lt;&gt;"","?FAMILIAR",IF(F6549="NEW",IF(ISNA(VLOOKUP(E6549,#REF!,1,FALSE())),"?TYPE_IDENTIFIABLE","?REFERENTIAL"),"_")))))</f>
        <v> </v>
      </c>
      <c r="H6549" s="25" t="str">
        <f>IF(J6549&lt;&gt;1,"",IF(I6549="SBJ","CB","?"))</f>
        <v> </v>
      </c>
      <c r="I6549" s="26" t="str">
        <f>IF(OR(E6549="",E6549="!!!",F6549="NEW"),"",INDEX(B6548:B$2,-1+SUMPRODUCT(MAX(ROW(E6548:E$2)*(E6549=E6548:E$2)))))</f>
        <v> </v>
      </c>
      <c r="J6549" s="26" t="str">
        <f>IF(OR(E6549="",E6549="!!!",F6549="NEW"),"",COUNTBLANK(OFFSET(A$1,,,SUMPRODUCT(MAX(ROW(E$2:E6549)*(E6549=E$2:E6549)))))-COUNTBLANK(OFFSET(A$1,,,SUMPRODUCT(MAX(ROW(E$1:E6548)*(E2=E$1:E6548))))))</f>
        <v> </v>
      </c>
      <c r="K6549" s="26" t="str">
        <f>IF(OR(E6549="",E6549="!!!",F6549="NEW"),"",INDEX(J$1:J6548,SUMPRODUCT(MAX(ROW(E$1:E6548)*(E6549=E$1:E6548)))))</f>
        <v> </v>
      </c>
      <c r="L6549" s="27"/>
    </row>
    <row r="6550" spans="1:12">
      <c r="A6550" s="20" t="s">
        <v>1015</v>
      </c>
      <c r="E6550" s="22">
        <f>IF(D6550="?OLD","!!!","")</f>
        <v/>
      </c>
      <c r="F6550" s="23" t="str">
        <f>IF(OR(E6550="",E6550="!!!"),"",IF(NOT(ISNA(VLOOKUP(E6550,E$1:E6549,1,FALSE()))),"OLD",IF(AND(E6550&lt;&gt;"",E6550&lt;&gt;"!!!"),"NEW","")))</f>
        <v> </v>
      </c>
      <c r="G6550" s="24" t="str">
        <f>IF(OR(E6550="",E6550="!!!"),"",IF(OR(J6550=0,AND(J6550=1,K6550=1),AND(J6550=1,I6550="SBJ"),AND(J6550=1,I6550=0)),"?IN_FOCUS",IF(J6550&lt;=2,"?ACTIVATED",IF(J6550&lt;&gt;"","?FAMILIAR",IF(F6550="NEW",IF(ISNA(VLOOKUP(E6550,#REF!,1,FALSE())),"?TYPE_IDENTIFIABLE","?REFERENTIAL"),"_")))))</f>
        <v> </v>
      </c>
      <c r="H6550" s="25" t="str">
        <f>IF(J6550&lt;&gt;1,"",IF(I6550="SBJ","CB","?"))</f>
        <v> </v>
      </c>
      <c r="I6550" s="26" t="str">
        <f>IF(OR(E6550="",E6550="!!!",F6550="NEW"),"",INDEX(B6549:B$2,-1+SUMPRODUCT(MAX(ROW(E6549:E$2)*(E6550=E6549:E$2)))))</f>
        <v> </v>
      </c>
      <c r="J6550" s="26" t="str">
        <f>IF(OR(E6550="",E6550="!!!",F6550="NEW"),"",COUNTBLANK(OFFSET(A$1,,,SUMPRODUCT(MAX(ROW(E$2:E6550)*(E6550=E$2:E6550)))))-COUNTBLANK(OFFSET(A$1,,,SUMPRODUCT(MAX(ROW(E$1:E6549)*(E2=E$1:E6549))))))</f>
        <v> </v>
      </c>
      <c r="K6550" s="26" t="str">
        <f>IF(OR(E6550="",E6550="!!!",F6550="NEW"),"",INDEX(J$1:J6549,SUMPRODUCT(MAX(ROW(E$1:E6549)*(E6550=E$1:E6549)))))</f>
        <v> </v>
      </c>
      <c r="L6550" s="27"/>
    </row>
    <row r="6551" spans="1:12">
      <c r="A6551" s="20" t="s">
        <v>1231</v>
      </c>
      <c r="B6551" s="21" t="s">
        <v>1187</v>
      </c>
      <c r="C6551" s="21" t="s">
        <v>1017</v>
      </c>
      <c r="D6551" s="21" t="s">
        <v>1007</v>
      </c>
      <c r="E6551" s="22">
        <f>IF(D6551="?OLD","!!!","")</f>
        <v/>
      </c>
      <c r="F6551" s="23" t="str">
        <f>IF(OR(E6551="",E6551="!!!"),"",IF(NOT(ISNA(VLOOKUP(E6551,E$1:E6550,1,FALSE()))),"OLD",IF(AND(E6551&lt;&gt;"",E6551&lt;&gt;"!!!"),"NEW","")))</f>
        <v> </v>
      </c>
      <c r="G6551" s="24" t="str">
        <f>IF(OR(E6551="",E6551="!!!"),"",IF(OR(J6551=0,AND(J6551=1,K6551=1),AND(J6551=1,I6551="SBJ"),AND(J6551=1,I6551=0)),"?IN_FOCUS",IF(J6551&lt;=2,"?ACTIVATED",IF(J6551&lt;&gt;"","?FAMILIAR",IF(F6551="NEW",IF(ISNA(VLOOKUP(E6551,#REF!,1,FALSE())),"?TYPE_IDENTIFIABLE","?REFERENTIAL"),"_")))))</f>
        <v> </v>
      </c>
      <c r="H6551" s="25" t="str">
        <f>IF(J6551&lt;&gt;1,"",IF(I6551="SBJ","CB","?"))</f>
        <v> </v>
      </c>
      <c r="I6551" s="26" t="str">
        <f>IF(OR(E6551="",E6551="!!!",F6551="NEW"),"",INDEX(B6550:B$2,-1+SUMPRODUCT(MAX(ROW(E6550:E$2)*(E6551=E6550:E$2)))))</f>
        <v> </v>
      </c>
      <c r="J6551" s="26" t="str">
        <f>IF(OR(E6551="",E6551="!!!",F6551="NEW"),"",COUNTBLANK(OFFSET(A$1,,,SUMPRODUCT(MAX(ROW(E$2:E6551)*(E6551=E$2:E6551)))))-COUNTBLANK(OFFSET(A$1,,,SUMPRODUCT(MAX(ROW(E$1:E6550)*(E2=E$1:E6550))))))</f>
        <v> </v>
      </c>
      <c r="K6551" s="26" t="str">
        <f>IF(OR(E6551="",E6551="!!!",F6551="NEW"),"",INDEX(J$1:J6550,SUMPRODUCT(MAX(ROW(E$1:E6550)*(E6551=E$1:E6550)))))</f>
        <v> </v>
      </c>
      <c r="L6551" s="27"/>
    </row>
    <row r="6552" spans="1:12">
      <c r="A6552" s="20" t="s">
        <v>1182</v>
      </c>
      <c r="E6552" s="22">
        <f>IF(D6552="?OLD","!!!","")</f>
        <v/>
      </c>
      <c r="F6552" s="23" t="str">
        <f>IF(OR(E6552="",E6552="!!!"),"",IF(NOT(ISNA(VLOOKUP(E6552,E$1:E6551,1,FALSE()))),"OLD",IF(AND(E6552&lt;&gt;"",E6552&lt;&gt;"!!!"),"NEW","")))</f>
        <v> </v>
      </c>
      <c r="G6552" s="24" t="str">
        <f>IF(OR(E6552="",E6552="!!!"),"",IF(OR(J6552=0,AND(J6552=1,K6552=1),AND(J6552=1,I6552="SBJ"),AND(J6552=1,I6552=0)),"?IN_FOCUS",IF(J6552&lt;=2,"?ACTIVATED",IF(J6552&lt;&gt;"","?FAMILIAR",IF(F6552="NEW",IF(ISNA(VLOOKUP(E6552,#REF!,1,FALSE())),"?TYPE_IDENTIFIABLE","?REFERENTIAL"),"_")))))</f>
        <v> </v>
      </c>
      <c r="H6552" s="25" t="str">
        <f>IF(J6552&lt;&gt;1,"",IF(I6552="SBJ","CB","?"))</f>
        <v> </v>
      </c>
      <c r="I6552" s="26" t="str">
        <f>IF(OR(E6552="",E6552="!!!",F6552="NEW"),"",INDEX(B6551:B$2,-1+SUMPRODUCT(MAX(ROW(E6551:E$2)*(E6552=E6551:E$2)))))</f>
        <v> </v>
      </c>
      <c r="J6552" s="26" t="str">
        <f>IF(OR(E6552="",E6552="!!!",F6552="NEW"),"",COUNTBLANK(OFFSET(A$1,,,SUMPRODUCT(MAX(ROW(E$2:E6552)*(E6552=E$2:E6552)))))-COUNTBLANK(OFFSET(A$1,,,SUMPRODUCT(MAX(ROW(E$1:E6551)*(E2=E$1:E6551))))))</f>
        <v> </v>
      </c>
      <c r="K6552" s="26" t="str">
        <f>IF(OR(E6552="",E6552="!!!",F6552="NEW"),"",INDEX(J$1:J6551,SUMPRODUCT(MAX(ROW(E$1:E6551)*(E6552=E$1:E6551)))))</f>
        <v> </v>
      </c>
      <c r="L6552" s="27"/>
    </row>
    <row r="6553" spans="1:12">
      <c r="A6553" s="20" t="s">
        <v>1149</v>
      </c>
      <c r="B6553" s="21" t="s">
        <v>1263</v>
      </c>
      <c r="E6553" s="22">
        <f>IF(D6553="?OLD","!!!","")</f>
        <v/>
      </c>
      <c r="F6553" s="23" t="str">
        <f>IF(OR(E6553="",E6553="!!!"),"",IF(NOT(ISNA(VLOOKUP(E6553,E$1:E6552,1,FALSE()))),"OLD",IF(AND(E6553&lt;&gt;"",E6553&lt;&gt;"!!!"),"NEW","")))</f>
        <v> </v>
      </c>
      <c r="G6553" s="24" t="str">
        <f>IF(OR(E6553="",E6553="!!!"),"",IF(OR(J6553=0,AND(J6553=1,K6553=1),AND(J6553=1,I6553="SBJ"),AND(J6553=1,I6553=0)),"?IN_FOCUS",IF(J6553&lt;=2,"?ACTIVATED",IF(J6553&lt;&gt;"","?FAMILIAR",IF(F6553="NEW",IF(ISNA(VLOOKUP(E6553,#REF!,1,FALSE())),"?TYPE_IDENTIFIABLE","?REFERENTIAL"),"_")))))</f>
        <v> </v>
      </c>
      <c r="H6553" s="25" t="str">
        <f>IF(J6553&lt;&gt;1,"",IF(I6553="SBJ","CB","?"))</f>
        <v> </v>
      </c>
      <c r="I6553" s="26" t="str">
        <f>IF(OR(E6553="",E6553="!!!",F6553="NEW"),"",INDEX(B6552:B$2,-1+SUMPRODUCT(MAX(ROW(E6552:E$2)*(E6553=E6552:E$2)))))</f>
        <v> </v>
      </c>
      <c r="J6553" s="26" t="str">
        <f>IF(OR(E6553="",E6553="!!!",F6553="NEW"),"",COUNTBLANK(OFFSET(A$1,,,SUMPRODUCT(MAX(ROW(E$2:E6553)*(E6553=E$2:E6553)))))-COUNTBLANK(OFFSET(A$1,,,SUMPRODUCT(MAX(ROW(E$1:E6552)*(E2=E$1:E6552))))))</f>
        <v> </v>
      </c>
      <c r="K6553" s="26" t="str">
        <f>IF(OR(E6553="",E6553="!!!",F6553="NEW"),"",INDEX(J$1:J6552,SUMPRODUCT(MAX(ROW(E$1:E6552)*(E6553=E$1:E6552)))))</f>
        <v> </v>
      </c>
      <c r="L6553" s="27"/>
    </row>
    <row r="6554" spans="1:12">
      <c r="A6554" s="20" t="s">
        <v>2295</v>
      </c>
      <c r="E6554" s="22">
        <f>IF(D6554="?OLD","!!!","")</f>
        <v/>
      </c>
      <c r="F6554" s="23" t="str">
        <f>IF(OR(E6554="",E6554="!!!"),"",IF(NOT(ISNA(VLOOKUP(E6554,E$1:E6553,1,FALSE()))),"OLD",IF(AND(E6554&lt;&gt;"",E6554&lt;&gt;"!!!"),"NEW","")))</f>
        <v> </v>
      </c>
      <c r="G6554" s="24" t="str">
        <f>IF(OR(E6554="",E6554="!!!"),"",IF(OR(J6554=0,AND(J6554=1,K6554=1),AND(J6554=1,I6554="SBJ"),AND(J6554=1,I6554=0)),"?IN_FOCUS",IF(J6554&lt;=2,"?ACTIVATED",IF(J6554&lt;&gt;"","?FAMILIAR",IF(F6554="NEW",IF(ISNA(VLOOKUP(E6554,#REF!,1,FALSE())),"?TYPE_IDENTIFIABLE","?REFERENTIAL"),"_")))))</f>
        <v> </v>
      </c>
      <c r="H6554" s="25" t="str">
        <f>IF(J6554&lt;&gt;1,"",IF(I6554="SBJ","CB","?"))</f>
        <v> </v>
      </c>
      <c r="I6554" s="26" t="str">
        <f>IF(OR(E6554="",E6554="!!!",F6554="NEW"),"",INDEX(B6553:B$2,-1+SUMPRODUCT(MAX(ROW(E6553:E$2)*(E6554=E6553:E$2)))))</f>
        <v> </v>
      </c>
      <c r="J6554" s="26" t="str">
        <f>IF(OR(E6554="",E6554="!!!",F6554="NEW"),"",COUNTBLANK(OFFSET(A$1,,,SUMPRODUCT(MAX(ROW(E$2:E6554)*(E6554=E$2:E6554)))))-COUNTBLANK(OFFSET(A$1,,,SUMPRODUCT(MAX(ROW(E$1:E6553)*(E2=E$1:E6553))))))</f>
        <v> </v>
      </c>
      <c r="K6554" s="26" t="str">
        <f>IF(OR(E6554="",E6554="!!!",F6554="NEW"),"",INDEX(J$1:J6553,SUMPRODUCT(MAX(ROW(E$1:E6553)*(E6554=E$1:E6553)))))</f>
        <v> </v>
      </c>
      <c r="L6554" s="27"/>
    </row>
    <row r="6555" spans="1:12">
      <c r="A6555" s="20" t="s">
        <v>1836</v>
      </c>
      <c r="E6555" s="22">
        <f>IF(D6555="?OLD","!!!","")</f>
        <v/>
      </c>
      <c r="F6555" s="23" t="str">
        <f>IF(OR(E6555="",E6555="!!!"),"",IF(NOT(ISNA(VLOOKUP(E6555,E$1:E6554,1,FALSE()))),"OLD",IF(AND(E6555&lt;&gt;"",E6555&lt;&gt;"!!!"),"NEW","")))</f>
        <v> </v>
      </c>
      <c r="G6555" s="24" t="str">
        <f>IF(OR(E6555="",E6555="!!!"),"",IF(OR(J6555=0,AND(J6555=1,K6555=1),AND(J6555=1,I6555="SBJ"),AND(J6555=1,I6555=0)),"?IN_FOCUS",IF(J6555&lt;=2,"?ACTIVATED",IF(J6555&lt;&gt;"","?FAMILIAR",IF(F6555="NEW",IF(ISNA(VLOOKUP(E6555,#REF!,1,FALSE())),"?TYPE_IDENTIFIABLE","?REFERENTIAL"),"_")))))</f>
        <v> </v>
      </c>
      <c r="H6555" s="25" t="str">
        <f>IF(J6555&lt;&gt;1,"",IF(I6555="SBJ","CB","?"))</f>
        <v> </v>
      </c>
      <c r="I6555" s="26" t="str">
        <f>IF(OR(E6555="",E6555="!!!",F6555="NEW"),"",INDEX(B6554:B$2,-1+SUMPRODUCT(MAX(ROW(E6554:E$2)*(E6555=E6554:E$2)))))</f>
        <v> </v>
      </c>
      <c r="J6555" s="26" t="str">
        <f>IF(OR(E6555="",E6555="!!!",F6555="NEW"),"",COUNTBLANK(OFFSET(A$1,,,SUMPRODUCT(MAX(ROW(E$2:E6555)*(E6555=E$2:E6555)))))-COUNTBLANK(OFFSET(A$1,,,SUMPRODUCT(MAX(ROW(E$1:E6554)*(E2=E$1:E6554))))))</f>
        <v> </v>
      </c>
      <c r="K6555" s="26" t="str">
        <f>IF(OR(E6555="",E6555="!!!",F6555="NEW"),"",INDEX(J$1:J6554,SUMPRODUCT(MAX(ROW(E$1:E6554)*(E6555=E$1:E6554)))))</f>
        <v> </v>
      </c>
      <c r="L6555" s="27"/>
    </row>
    <row r="6556" spans="1:12">
      <c r="A6556" s="20" t="s">
        <v>1020</v>
      </c>
      <c r="E6556" s="22">
        <f>IF(D6556="?OLD","!!!","")</f>
        <v/>
      </c>
      <c r="F6556" s="23" t="str">
        <f>IF(OR(E6556="",E6556="!!!"),"",IF(NOT(ISNA(VLOOKUP(E6556,E$1:E6555,1,FALSE()))),"OLD",IF(AND(E6556&lt;&gt;"",E6556&lt;&gt;"!!!"),"NEW","")))</f>
        <v> </v>
      </c>
      <c r="G6556" s="24" t="str">
        <f>IF(OR(E6556="",E6556="!!!"),"",IF(OR(J6556=0,AND(J6556=1,K6556=1),AND(J6556=1,I6556="SBJ"),AND(J6556=1,I6556=0)),"?IN_FOCUS",IF(J6556&lt;=2,"?ACTIVATED",IF(J6556&lt;&gt;"","?FAMILIAR",IF(F6556="NEW",IF(ISNA(VLOOKUP(E6556,#REF!,1,FALSE())),"?TYPE_IDENTIFIABLE","?REFERENTIAL"),"_")))))</f>
        <v> </v>
      </c>
      <c r="H6556" s="25" t="str">
        <f>IF(J6556&lt;&gt;1,"",IF(I6556="SBJ","CB","?"))</f>
        <v> </v>
      </c>
      <c r="I6556" s="26" t="str">
        <f>IF(OR(E6556="",E6556="!!!",F6556="NEW"),"",INDEX(B6555:B$2,-1+SUMPRODUCT(MAX(ROW(E6555:E$2)*(E6556=E6555:E$2)))))</f>
        <v> </v>
      </c>
      <c r="J6556" s="26" t="str">
        <f>IF(OR(E6556="",E6556="!!!",F6556="NEW"),"",COUNTBLANK(OFFSET(A$1,,,SUMPRODUCT(MAX(ROW(E$2:E6556)*(E6556=E$2:E6556)))))-COUNTBLANK(OFFSET(A$1,,,SUMPRODUCT(MAX(ROW(E$1:E6555)*(E2=E$1:E6555))))))</f>
        <v> </v>
      </c>
      <c r="K6556" s="26" t="str">
        <f>IF(OR(E6556="",E6556="!!!",F6556="NEW"),"",INDEX(J$1:J6555,SUMPRODUCT(MAX(ROW(E$1:E6555)*(E6556=E$1:E6555)))))</f>
        <v> </v>
      </c>
      <c r="L6556" s="27"/>
    </row>
    <row r="6557" spans="1:12">
      <c r="A6557" s="20" t="s">
        <v>1209</v>
      </c>
      <c r="E6557" s="22">
        <f>IF(D6557="?OLD","!!!","")</f>
        <v/>
      </c>
      <c r="F6557" s="23" t="str">
        <f>IF(OR(E6557="",E6557="!!!"),"",IF(NOT(ISNA(VLOOKUP(E6557,E$1:E6556,1,FALSE()))),"OLD",IF(AND(E6557&lt;&gt;"",E6557&lt;&gt;"!!!"),"NEW","")))</f>
        <v> </v>
      </c>
      <c r="G6557" s="24" t="str">
        <f>IF(OR(E6557="",E6557="!!!"),"",IF(OR(J6557=0,AND(J6557=1,K6557=1),AND(J6557=1,I6557="SBJ"),AND(J6557=1,I6557=0)),"?IN_FOCUS",IF(J6557&lt;=2,"?ACTIVATED",IF(J6557&lt;&gt;"","?FAMILIAR",IF(F6557="NEW",IF(ISNA(VLOOKUP(E6557,#REF!,1,FALSE())),"?TYPE_IDENTIFIABLE","?REFERENTIAL"),"_")))))</f>
        <v> </v>
      </c>
      <c r="H6557" s="25" t="str">
        <f>IF(J6557&lt;&gt;1,"",IF(I6557="SBJ","CB","?"))</f>
        <v> </v>
      </c>
      <c r="I6557" s="26" t="str">
        <f>IF(OR(E6557="",E6557="!!!",F6557="NEW"),"",INDEX(B6556:B$2,-1+SUMPRODUCT(MAX(ROW(E6556:E$2)*(E6557=E6556:E$2)))))</f>
        <v> </v>
      </c>
      <c r="J6557" s="26" t="str">
        <f>IF(OR(E6557="",E6557="!!!",F6557="NEW"),"",COUNTBLANK(OFFSET(A$1,,,SUMPRODUCT(MAX(ROW(E$2:E6557)*(E6557=E$2:E6557)))))-COUNTBLANK(OFFSET(A$1,,,SUMPRODUCT(MAX(ROW(E$1:E6556)*(E2=E$1:E6556))))))</f>
        <v> </v>
      </c>
      <c r="K6557" s="26" t="str">
        <f>IF(OR(E6557="",E6557="!!!",F6557="NEW"),"",INDEX(J$1:J6556,SUMPRODUCT(MAX(ROW(E$1:E6556)*(E6557=E$1:E6556)))))</f>
        <v> </v>
      </c>
      <c r="L6557" s="27"/>
    </row>
    <row r="6558" spans="1:12">
      <c r="A6558" s="20" t="s">
        <v>1018</v>
      </c>
      <c r="E6558" s="22">
        <f>IF(D6558="?OLD","!!!","")</f>
        <v/>
      </c>
      <c r="F6558" s="23" t="str">
        <f>IF(OR(E6558="",E6558="!!!"),"",IF(NOT(ISNA(VLOOKUP(E6558,E$1:E6557,1,FALSE()))),"OLD",IF(AND(E6558&lt;&gt;"",E6558&lt;&gt;"!!!"),"NEW","")))</f>
        <v> </v>
      </c>
      <c r="G6558" s="24" t="str">
        <f>IF(OR(E6558="",E6558="!!!"),"",IF(OR(J6558=0,AND(J6558=1,K6558=1),AND(J6558=1,I6558="SBJ"),AND(J6558=1,I6558=0)),"?IN_FOCUS",IF(J6558&lt;=2,"?ACTIVATED",IF(J6558&lt;&gt;"","?FAMILIAR",IF(F6558="NEW",IF(ISNA(VLOOKUP(E6558,#REF!,1,FALSE())),"?TYPE_IDENTIFIABLE","?REFERENTIAL"),"_")))))</f>
        <v> </v>
      </c>
      <c r="H6558" s="25" t="str">
        <f>IF(J6558&lt;&gt;1,"",IF(I6558="SBJ","CB","?"))</f>
        <v> </v>
      </c>
      <c r="I6558" s="26" t="str">
        <f>IF(OR(E6558="",E6558="!!!",F6558="NEW"),"",INDEX(B6557:B$2,-1+SUMPRODUCT(MAX(ROW(E6557:E$2)*(E6558=E6557:E$2)))))</f>
        <v> </v>
      </c>
      <c r="J6558" s="26" t="str">
        <f>IF(OR(E6558="",E6558="!!!",F6558="NEW"),"",COUNTBLANK(OFFSET(A$1,,,SUMPRODUCT(MAX(ROW(E$2:E6558)*(E6558=E$2:E6558)))))-COUNTBLANK(OFFSET(A$1,,,SUMPRODUCT(MAX(ROW(E$1:E6557)*(E2=E$1:E6557))))))</f>
        <v> </v>
      </c>
      <c r="K6558" s="26" t="str">
        <f>IF(OR(E6558="",E6558="!!!",F6558="NEW"),"",INDEX(J$1:J6557,SUMPRODUCT(MAX(ROW(E$1:E6557)*(E6558=E$1:E6557)))))</f>
        <v> </v>
      </c>
      <c r="L6558" s="27"/>
    </row>
    <row r="6559" spans="1:12">
      <c r="A6559" s="20" t="s">
        <v>1097</v>
      </c>
      <c r="E6559" s="22">
        <f>IF(D6559="?OLD","!!!","")</f>
        <v/>
      </c>
      <c r="F6559" s="23" t="str">
        <f>IF(OR(E6559="",E6559="!!!"),"",IF(NOT(ISNA(VLOOKUP(E6559,E$1:E6558,1,FALSE()))),"OLD",IF(AND(E6559&lt;&gt;"",E6559&lt;&gt;"!!!"),"NEW","")))</f>
        <v> </v>
      </c>
      <c r="G6559" s="24" t="str">
        <f>IF(OR(E6559="",E6559="!!!"),"",IF(OR(J6559=0,AND(J6559=1,K6559=1),AND(J6559=1,I6559="SBJ"),AND(J6559=1,I6559=0)),"?IN_FOCUS",IF(J6559&lt;=2,"?ACTIVATED",IF(J6559&lt;&gt;"","?FAMILIAR",IF(F6559="NEW",IF(ISNA(VLOOKUP(E6559,#REF!,1,FALSE())),"?TYPE_IDENTIFIABLE","?REFERENTIAL"),"_")))))</f>
        <v> </v>
      </c>
      <c r="H6559" s="25" t="str">
        <f>IF(J6559&lt;&gt;1,"",IF(I6559="SBJ","CB","?"))</f>
        <v> </v>
      </c>
      <c r="I6559" s="26" t="str">
        <f>IF(OR(E6559="",E6559="!!!",F6559="NEW"),"",INDEX(B6558:B$2,-1+SUMPRODUCT(MAX(ROW(E6558:E$2)*(E6559=E6558:E$2)))))</f>
        <v> </v>
      </c>
      <c r="J6559" s="26" t="str">
        <f>IF(OR(E6559="",E6559="!!!",F6559="NEW"),"",COUNTBLANK(OFFSET(A$1,,,SUMPRODUCT(MAX(ROW(E$2:E6559)*(E6559=E$2:E6559)))))-COUNTBLANK(OFFSET(A$1,,,SUMPRODUCT(MAX(ROW(E$1:E6558)*(E2=E$1:E6558))))))</f>
        <v> </v>
      </c>
      <c r="K6559" s="26" t="str">
        <f>IF(OR(E6559="",E6559="!!!",F6559="NEW"),"",INDEX(J$1:J6558,SUMPRODUCT(MAX(ROW(E$1:E6558)*(E6559=E$1:E6558)))))</f>
        <v> </v>
      </c>
      <c r="L6559" s="27"/>
    </row>
    <row r="6560" spans="1:12">
      <c r="A6560" s="20" t="s">
        <v>70</v>
      </c>
      <c r="E6560" s="22">
        <f>IF(D6560="?OLD","!!!","")</f>
        <v/>
      </c>
      <c r="F6560" s="23" t="str">
        <f>IF(OR(E6560="",E6560="!!!"),"",IF(NOT(ISNA(VLOOKUP(E6560,E$1:E6559,1,FALSE()))),"OLD",IF(AND(E6560&lt;&gt;"",E6560&lt;&gt;"!!!"),"NEW","")))</f>
        <v> </v>
      </c>
      <c r="G6560" s="24" t="str">
        <f>IF(OR(E6560="",E6560="!!!"),"",IF(OR(J6560=0,AND(J6560=1,K6560=1),AND(J6560=1,I6560="SBJ"),AND(J6560=1,I6560=0)),"?IN_FOCUS",IF(J6560&lt;=2,"?ACTIVATED",IF(J6560&lt;&gt;"","?FAMILIAR",IF(F6560="NEW",IF(ISNA(VLOOKUP(E6560,#REF!,1,FALSE())),"?TYPE_IDENTIFIABLE","?REFERENTIAL"),"_")))))</f>
        <v> </v>
      </c>
      <c r="H6560" s="25" t="str">
        <f>IF(J6560&lt;&gt;1,"",IF(I6560="SBJ","CB","?"))</f>
        <v> </v>
      </c>
      <c r="I6560" s="26" t="str">
        <f>IF(OR(E6560="",E6560="!!!",F6560="NEW"),"",INDEX(B6559:B$2,-1+SUMPRODUCT(MAX(ROW(E6559:E$2)*(E6560=E6559:E$2)))))</f>
        <v> </v>
      </c>
      <c r="J6560" s="26" t="str">
        <f>IF(OR(E6560="",E6560="!!!",F6560="NEW"),"",COUNTBLANK(OFFSET(A$1,,,SUMPRODUCT(MAX(ROW(E$2:E6560)*(E6560=E$2:E6560)))))-COUNTBLANK(OFFSET(A$1,,,SUMPRODUCT(MAX(ROW(E$1:E6559)*(E2=E$1:E6559))))))</f>
        <v> </v>
      </c>
      <c r="K6560" s="26" t="str">
        <f>IF(OR(E6560="",E6560="!!!",F6560="NEW"),"",INDEX(J$1:J6559,SUMPRODUCT(MAX(ROW(E$1:E6559)*(E6560=E$1:E6559)))))</f>
        <v> </v>
      </c>
      <c r="L6560" s="27"/>
    </row>
    <row r="6561" spans="1:12">
      <c r="A6561" s="20" t="s">
        <v>2677</v>
      </c>
      <c r="E6561" s="22">
        <f>IF(D6561="?OLD","!!!","")</f>
        <v/>
      </c>
      <c r="F6561" s="23" t="str">
        <f>IF(OR(E6561="",E6561="!!!"),"",IF(NOT(ISNA(VLOOKUP(E6561,E$1:E6560,1,FALSE()))),"OLD",IF(AND(E6561&lt;&gt;"",E6561&lt;&gt;"!!!"),"NEW","")))</f>
        <v> </v>
      </c>
      <c r="G6561" s="24" t="str">
        <f>IF(OR(E6561="",E6561="!!!"),"",IF(OR(J6561=0,AND(J6561=1,K6561=1),AND(J6561=1,I6561="SBJ"),AND(J6561=1,I6561=0)),"?IN_FOCUS",IF(J6561&lt;=2,"?ACTIVATED",IF(J6561&lt;&gt;"","?FAMILIAR",IF(F6561="NEW",IF(ISNA(VLOOKUP(E6561,#REF!,1,FALSE())),"?TYPE_IDENTIFIABLE","?REFERENTIAL"),"_")))))</f>
        <v> </v>
      </c>
      <c r="H6561" s="25" t="str">
        <f>IF(J6561&lt;&gt;1,"",IF(I6561="SBJ","CB","?"))</f>
        <v> </v>
      </c>
      <c r="I6561" s="26" t="str">
        <f>IF(OR(E6561="",E6561="!!!",F6561="NEW"),"",INDEX(B6560:B$2,-1+SUMPRODUCT(MAX(ROW(E6560:E$2)*(E6561=E6560:E$2)))))</f>
        <v> </v>
      </c>
      <c r="J6561" s="26" t="str">
        <f>IF(OR(E6561="",E6561="!!!",F6561="NEW"),"",COUNTBLANK(OFFSET(A$1,,,SUMPRODUCT(MAX(ROW(E$2:E6561)*(E6561=E$2:E6561)))))-COUNTBLANK(OFFSET(A$1,,,SUMPRODUCT(MAX(ROW(E$1:E6560)*(E2=E$1:E6560))))))</f>
        <v> </v>
      </c>
      <c r="K6561" s="26" t="str">
        <f>IF(OR(E6561="",E6561="!!!",F6561="NEW"),"",INDEX(J$1:J6560,SUMPRODUCT(MAX(ROW(E$1:E6560)*(E6561=E$1:E6560)))))</f>
        <v> </v>
      </c>
      <c r="L6561" s="27"/>
    </row>
    <row r="6562" spans="1:12">
      <c r="A6562" s="20" t="s">
        <v>1023</v>
      </c>
      <c r="E6562" s="22">
        <f>IF(D6562="?OLD","!!!","")</f>
        <v/>
      </c>
      <c r="F6562" s="23" t="str">
        <f>IF(OR(E6562="",E6562="!!!"),"",IF(NOT(ISNA(VLOOKUP(E6562,E$1:E6561,1,FALSE()))),"OLD",IF(AND(E6562&lt;&gt;"",E6562&lt;&gt;"!!!"),"NEW","")))</f>
        <v> </v>
      </c>
      <c r="G6562" s="24" t="str">
        <f>IF(OR(E6562="",E6562="!!!"),"",IF(OR(J6562=0,AND(J6562=1,K6562=1),AND(J6562=1,I6562="SBJ"),AND(J6562=1,I6562=0)),"?IN_FOCUS",IF(J6562&lt;=2,"?ACTIVATED",IF(J6562&lt;&gt;"","?FAMILIAR",IF(F6562="NEW",IF(ISNA(VLOOKUP(E6562,#REF!,1,FALSE())),"?TYPE_IDENTIFIABLE","?REFERENTIAL"),"_")))))</f>
        <v> </v>
      </c>
      <c r="H6562" s="25" t="str">
        <f>IF(J6562&lt;&gt;1,"",IF(I6562="SBJ","CB","?"))</f>
        <v> </v>
      </c>
      <c r="I6562" s="26" t="str">
        <f>IF(OR(E6562="",E6562="!!!",F6562="NEW"),"",INDEX(B6561:B$2,-1+SUMPRODUCT(MAX(ROW(E6561:E$2)*(E6562=E6561:E$2)))))</f>
        <v> </v>
      </c>
      <c r="J6562" s="26" t="str">
        <f>IF(OR(E6562="",E6562="!!!",F6562="NEW"),"",COUNTBLANK(OFFSET(A$1,,,SUMPRODUCT(MAX(ROW(E$2:E6562)*(E6562=E$2:E6562)))))-COUNTBLANK(OFFSET(A$1,,,SUMPRODUCT(MAX(ROW(E$1:E6561)*(E2=E$1:E6561))))))</f>
        <v> </v>
      </c>
      <c r="K6562" s="26" t="str">
        <f>IF(OR(E6562="",E6562="!!!",F6562="NEW"),"",INDEX(J$1:J6561,SUMPRODUCT(MAX(ROW(E$1:E6561)*(E6562=E$1:E6561)))))</f>
        <v> </v>
      </c>
      <c r="L6562" s="27"/>
    </row>
    <row r="6563" spans="1:12">
      <c r="A6563" s="20"/>
    </row>
    <row r="6564" spans="1:12">
      <c r="A6564" s="20" t="s">
        <v>2698</v>
      </c>
    </row>
    <row r="6565" spans="1:12">
      <c r="A6565" s="20" t="s">
        <v>1629</v>
      </c>
      <c r="E6565" s="22">
        <f>IF(D6565="?OLD","!!!","")</f>
        <v/>
      </c>
      <c r="F6565" s="23" t="str">
        <f>IF(OR(E6565="",E6565="!!!"),"",IF(NOT(ISNA(VLOOKUP(E6565,E$1:E6564,1,FALSE()))),"OLD",IF(AND(E6565&lt;&gt;"",E6565&lt;&gt;"!!!"),"NEW","")))</f>
        <v> </v>
      </c>
      <c r="G6565" s="24" t="str">
        <f>IF(OR(E6565="",E6565="!!!"),"",IF(OR(J6565=0,AND(J6565=1,K6565=1),AND(J6565=1,I6565="SBJ"),AND(J6565=1,I6565=0)),"?IN_FOCUS",IF(J6565&lt;=2,"?ACTIVATED",IF(J6565&lt;&gt;"","?FAMILIAR",IF(F6565="NEW",IF(ISNA(VLOOKUP(E6565,#REF!,1,FALSE())),"?TYPE_IDENTIFIABLE","?REFERENTIAL"),"_")))))</f>
        <v> </v>
      </c>
      <c r="H6565" s="25" t="str">
        <f>IF(J6565&lt;&gt;1,"",IF(I6565="SBJ","CB","?"))</f>
        <v> </v>
      </c>
      <c r="I6565" s="26" t="str">
        <f>IF(OR(E6565="",E6565="!!!",F6565="NEW"),"",INDEX(B6564:B$2,-1+SUMPRODUCT(MAX(ROW(E6564:E$2)*(E6565=E6564:E$2)))))</f>
        <v> </v>
      </c>
      <c r="J6565" s="26" t="str">
        <f>IF(OR(E6565="",E6565="!!!",F6565="NEW"),"",COUNTBLANK(OFFSET(A$1,,,SUMPRODUCT(MAX(ROW(E$2:E6565)*(E6565=E$2:E6565)))))-COUNTBLANK(OFFSET(A$1,,,SUMPRODUCT(MAX(ROW(E$1:E6564)*(E2=E$1:E6564))))))</f>
        <v> </v>
      </c>
      <c r="K6565" s="26" t="str">
        <f>IF(OR(E6565="",E6565="!!!",F6565="NEW"),"",INDEX(J$1:J6564,SUMPRODUCT(MAX(ROW(E$1:E6564)*(E6565=E$1:E6564)))))</f>
        <v> </v>
      </c>
      <c r="L6565" s="27"/>
    </row>
    <row r="6566" spans="1:12">
      <c r="A6566" s="20" t="s">
        <v>660</v>
      </c>
      <c r="E6566" s="22">
        <f>IF(D6566="?OLD","!!!","")</f>
        <v/>
      </c>
      <c r="F6566" s="23" t="str">
        <f>IF(OR(E6566="",E6566="!!!"),"",IF(NOT(ISNA(VLOOKUP(E6566,E$1:E6565,1,FALSE()))),"OLD",IF(AND(E6566&lt;&gt;"",E6566&lt;&gt;"!!!"),"NEW","")))</f>
        <v> </v>
      </c>
      <c r="G6566" s="24" t="str">
        <f>IF(OR(E6566="",E6566="!!!"),"",IF(OR(J6566=0,AND(J6566=1,K6566=1),AND(J6566=1,I6566="SBJ"),AND(J6566=1,I6566=0)),"?IN_FOCUS",IF(J6566&lt;=2,"?ACTIVATED",IF(J6566&lt;&gt;"","?FAMILIAR",IF(F6566="NEW",IF(ISNA(VLOOKUP(E6566,#REF!,1,FALSE())),"?TYPE_IDENTIFIABLE","?REFERENTIAL"),"_")))))</f>
        <v> </v>
      </c>
      <c r="H6566" s="25" t="str">
        <f>IF(J6566&lt;&gt;1,"",IF(I6566="SBJ","CB","?"))</f>
        <v> </v>
      </c>
      <c r="I6566" s="26" t="str">
        <f>IF(OR(E6566="",E6566="!!!",F6566="NEW"),"",INDEX(B6565:B$2,-1+SUMPRODUCT(MAX(ROW(E6565:E$2)*(E6566=E6565:E$2)))))</f>
        <v> </v>
      </c>
      <c r="J6566" s="26" t="str">
        <f>IF(OR(E6566="",E6566="!!!",F6566="NEW"),"",COUNTBLANK(OFFSET(A$1,,,SUMPRODUCT(MAX(ROW(E$2:E6566)*(E6566=E$2:E6566)))))-COUNTBLANK(OFFSET(A$1,,,SUMPRODUCT(MAX(ROW(E$1:E6565)*(E2=E$1:E6565))))))</f>
        <v> </v>
      </c>
      <c r="K6566" s="26" t="str">
        <f>IF(OR(E6566="",E6566="!!!",F6566="NEW"),"",INDEX(J$1:J6565,SUMPRODUCT(MAX(ROW(E$1:E6565)*(E6566=E$1:E6565)))))</f>
        <v> </v>
      </c>
      <c r="L6566" s="27"/>
    </row>
    <row r="6567" spans="1:12">
      <c r="A6567" s="20" t="s">
        <v>1476</v>
      </c>
      <c r="E6567" s="22">
        <f>IF(D6567="?OLD","!!!","")</f>
        <v/>
      </c>
      <c r="F6567" s="23" t="str">
        <f>IF(OR(E6567="",E6567="!!!"),"",IF(NOT(ISNA(VLOOKUP(E6567,E$1:E6566,1,FALSE()))),"OLD",IF(AND(E6567&lt;&gt;"",E6567&lt;&gt;"!!!"),"NEW","")))</f>
        <v> </v>
      </c>
      <c r="G6567" s="24" t="str">
        <f>IF(OR(E6567="",E6567="!!!"),"",IF(OR(J6567=0,AND(J6567=1,K6567=1),AND(J6567=1,I6567="SBJ"),AND(J6567=1,I6567=0)),"?IN_FOCUS",IF(J6567&lt;=2,"?ACTIVATED",IF(J6567&lt;&gt;"","?FAMILIAR",IF(F6567="NEW",IF(ISNA(VLOOKUP(E6567,#REF!,1,FALSE())),"?TYPE_IDENTIFIABLE","?REFERENTIAL"),"_")))))</f>
        <v> </v>
      </c>
      <c r="H6567" s="25" t="str">
        <f>IF(J6567&lt;&gt;1,"",IF(I6567="SBJ","CB","?"))</f>
        <v> </v>
      </c>
      <c r="I6567" s="26" t="str">
        <f>IF(OR(E6567="",E6567="!!!",F6567="NEW"),"",INDEX(B6566:B$2,-1+SUMPRODUCT(MAX(ROW(E6566:E$2)*(E6567=E6566:E$2)))))</f>
        <v> </v>
      </c>
      <c r="J6567" s="26" t="str">
        <f>IF(OR(E6567="",E6567="!!!",F6567="NEW"),"",COUNTBLANK(OFFSET(A$1,,,SUMPRODUCT(MAX(ROW(E$2:E6567)*(E6567=E$2:E6567)))))-COUNTBLANK(OFFSET(A$1,,,SUMPRODUCT(MAX(ROW(E$1:E6566)*(E2=E$1:E6566))))))</f>
        <v> </v>
      </c>
      <c r="K6567" s="26" t="str">
        <f>IF(OR(E6567="",E6567="!!!",F6567="NEW"),"",INDEX(J$1:J6566,SUMPRODUCT(MAX(ROW(E$1:E6566)*(E6567=E$1:E6566)))))</f>
        <v> </v>
      </c>
      <c r="L6567" s="27"/>
    </row>
    <row r="6568" spans="1:12">
      <c r="A6568" s="20" t="s">
        <v>2331</v>
      </c>
      <c r="E6568" s="22">
        <f>IF(D6568="?OLD","!!!","")</f>
        <v/>
      </c>
      <c r="F6568" s="23" t="str">
        <f>IF(OR(E6568="",E6568="!!!"),"",IF(NOT(ISNA(VLOOKUP(E6568,E$1:E6567,1,FALSE()))),"OLD",IF(AND(E6568&lt;&gt;"",E6568&lt;&gt;"!!!"),"NEW","")))</f>
        <v> </v>
      </c>
      <c r="G6568" s="24" t="str">
        <f>IF(OR(E6568="",E6568="!!!"),"",IF(OR(J6568=0,AND(J6568=1,K6568=1),AND(J6568=1,I6568="SBJ"),AND(J6568=1,I6568=0)),"?IN_FOCUS",IF(J6568&lt;=2,"?ACTIVATED",IF(J6568&lt;&gt;"","?FAMILIAR",IF(F6568="NEW",IF(ISNA(VLOOKUP(E6568,#REF!,1,FALSE())),"?TYPE_IDENTIFIABLE","?REFERENTIAL"),"_")))))</f>
        <v> </v>
      </c>
      <c r="H6568" s="25" t="str">
        <f>IF(J6568&lt;&gt;1,"",IF(I6568="SBJ","CB","?"))</f>
        <v> </v>
      </c>
      <c r="I6568" s="26" t="str">
        <f>IF(OR(E6568="",E6568="!!!",F6568="NEW"),"",INDEX(B6567:B$2,-1+SUMPRODUCT(MAX(ROW(E6567:E$2)*(E6568=E6567:E$2)))))</f>
        <v> </v>
      </c>
      <c r="J6568" s="26" t="str">
        <f>IF(OR(E6568="",E6568="!!!",F6568="NEW"),"",COUNTBLANK(OFFSET(A$1,,,SUMPRODUCT(MAX(ROW(E$2:E6568)*(E6568=E$2:E6568)))))-COUNTBLANK(OFFSET(A$1,,,SUMPRODUCT(MAX(ROW(E$1:E6567)*(E2=E$1:E6567))))))</f>
        <v> </v>
      </c>
      <c r="K6568" s="26" t="str">
        <f>IF(OR(E6568="",E6568="!!!",F6568="NEW"),"",INDEX(J$1:J6567,SUMPRODUCT(MAX(ROW(E$1:E6567)*(E6568=E$1:E6567)))))</f>
        <v> </v>
      </c>
      <c r="L6568" s="27"/>
    </row>
    <row r="6569" spans="1:12">
      <c r="A6569" s="20" t="s">
        <v>1065</v>
      </c>
      <c r="E6569" s="22">
        <f>IF(D6569="?OLD","!!!","")</f>
        <v/>
      </c>
      <c r="F6569" s="23" t="str">
        <f>IF(OR(E6569="",E6569="!!!"),"",IF(NOT(ISNA(VLOOKUP(E6569,E$1:E6568,1,FALSE()))),"OLD",IF(AND(E6569&lt;&gt;"",E6569&lt;&gt;"!!!"),"NEW","")))</f>
        <v> </v>
      </c>
      <c r="G6569" s="24" t="str">
        <f>IF(OR(E6569="",E6569="!!!"),"",IF(OR(J6569=0,AND(J6569=1,K6569=1),AND(J6569=1,I6569="SBJ"),AND(J6569=1,I6569=0)),"?IN_FOCUS",IF(J6569&lt;=2,"?ACTIVATED",IF(J6569&lt;&gt;"","?FAMILIAR",IF(F6569="NEW",IF(ISNA(VLOOKUP(E6569,#REF!,1,FALSE())),"?TYPE_IDENTIFIABLE","?REFERENTIAL"),"_")))))</f>
        <v> </v>
      </c>
      <c r="H6569" s="25" t="str">
        <f>IF(J6569&lt;&gt;1,"",IF(I6569="SBJ","CB","?"))</f>
        <v> </v>
      </c>
      <c r="I6569" s="26" t="str">
        <f>IF(OR(E6569="",E6569="!!!",F6569="NEW"),"",INDEX(B6568:B$2,-1+SUMPRODUCT(MAX(ROW(E6568:E$2)*(E6569=E6568:E$2)))))</f>
        <v> </v>
      </c>
      <c r="J6569" s="26" t="str">
        <f>IF(OR(E6569="",E6569="!!!",F6569="NEW"),"",COUNTBLANK(OFFSET(A$1,,,SUMPRODUCT(MAX(ROW(E$2:E6569)*(E6569=E$2:E6569)))))-COUNTBLANK(OFFSET(A$1,,,SUMPRODUCT(MAX(ROW(E$1:E6568)*(E2=E$1:E6568))))))</f>
        <v> </v>
      </c>
      <c r="K6569" s="26" t="str">
        <f>IF(OR(E6569="",E6569="!!!",F6569="NEW"),"",INDEX(J$1:J6568,SUMPRODUCT(MAX(ROW(E$1:E6568)*(E6569=E$1:E6568)))))</f>
        <v> </v>
      </c>
      <c r="L6569" s="27"/>
    </row>
    <row r="6570" spans="1:12">
      <c r="A6570" s="20" t="s">
        <v>1142</v>
      </c>
      <c r="E6570" s="22">
        <f>IF(D6570="?OLD","!!!","")</f>
        <v/>
      </c>
      <c r="F6570" s="23" t="str">
        <f>IF(OR(E6570="",E6570="!!!"),"",IF(NOT(ISNA(VLOOKUP(E6570,E$1:E6569,1,FALSE()))),"OLD",IF(AND(E6570&lt;&gt;"",E6570&lt;&gt;"!!!"),"NEW","")))</f>
        <v> </v>
      </c>
      <c r="G6570" s="24" t="str">
        <f>IF(OR(E6570="",E6570="!!!"),"",IF(OR(J6570=0,AND(J6570=1,K6570=1),AND(J6570=1,I6570="SBJ"),AND(J6570=1,I6570=0)),"?IN_FOCUS",IF(J6570&lt;=2,"?ACTIVATED",IF(J6570&lt;&gt;"","?FAMILIAR",IF(F6570="NEW",IF(ISNA(VLOOKUP(E6570,#REF!,1,FALSE())),"?TYPE_IDENTIFIABLE","?REFERENTIAL"),"_")))))</f>
        <v> </v>
      </c>
      <c r="H6570" s="25" t="str">
        <f>IF(J6570&lt;&gt;1,"",IF(I6570="SBJ","CB","?"))</f>
        <v> </v>
      </c>
      <c r="I6570" s="26" t="str">
        <f>IF(OR(E6570="",E6570="!!!",F6570="NEW"),"",INDEX(B6569:B$2,-1+SUMPRODUCT(MAX(ROW(E6569:E$2)*(E6570=E6569:E$2)))))</f>
        <v> </v>
      </c>
      <c r="J6570" s="26" t="str">
        <f>IF(OR(E6570="",E6570="!!!",F6570="NEW"),"",COUNTBLANK(OFFSET(A$1,,,SUMPRODUCT(MAX(ROW(E$2:E6570)*(E6570=E$2:E6570)))))-COUNTBLANK(OFFSET(A$1,,,SUMPRODUCT(MAX(ROW(E$1:E6569)*(E2=E$1:E6569))))))</f>
        <v> </v>
      </c>
      <c r="K6570" s="26" t="str">
        <f>IF(OR(E6570="",E6570="!!!",F6570="NEW"),"",INDEX(J$1:J6569,SUMPRODUCT(MAX(ROW(E$1:E6569)*(E6570=E$1:E6569)))))</f>
        <v> </v>
      </c>
      <c r="L6570" s="27"/>
    </row>
    <row r="6571" spans="1:12">
      <c r="A6571" s="20" t="s">
        <v>2699</v>
      </c>
      <c r="E6571" s="22">
        <f>IF(D6571="?OLD","!!!","")</f>
        <v/>
      </c>
      <c r="F6571" s="23" t="str">
        <f>IF(OR(E6571="",E6571="!!!"),"",IF(NOT(ISNA(VLOOKUP(E6571,E$1:E6570,1,FALSE()))),"OLD",IF(AND(E6571&lt;&gt;"",E6571&lt;&gt;"!!!"),"NEW","")))</f>
        <v> </v>
      </c>
      <c r="G6571" s="24" t="str">
        <f>IF(OR(E6571="",E6571="!!!"),"",IF(OR(J6571=0,AND(J6571=1,K6571=1),AND(J6571=1,I6571="SBJ"),AND(J6571=1,I6571=0)),"?IN_FOCUS",IF(J6571&lt;=2,"?ACTIVATED",IF(J6571&lt;&gt;"","?FAMILIAR",IF(F6571="NEW",IF(ISNA(VLOOKUP(E6571,#REF!,1,FALSE())),"?TYPE_IDENTIFIABLE","?REFERENTIAL"),"_")))))</f>
        <v> </v>
      </c>
      <c r="H6571" s="25" t="str">
        <f>IF(J6571&lt;&gt;1,"",IF(I6571="SBJ","CB","?"))</f>
        <v> </v>
      </c>
      <c r="I6571" s="26" t="str">
        <f>IF(OR(E6571="",E6571="!!!",F6571="NEW"),"",INDEX(B6570:B$2,-1+SUMPRODUCT(MAX(ROW(E6570:E$2)*(E6571=E6570:E$2)))))</f>
        <v> </v>
      </c>
      <c r="J6571" s="26" t="str">
        <f>IF(OR(E6571="",E6571="!!!",F6571="NEW"),"",COUNTBLANK(OFFSET(A$1,,,SUMPRODUCT(MAX(ROW(E$2:E6571)*(E6571=E$2:E6571)))))-COUNTBLANK(OFFSET(A$1,,,SUMPRODUCT(MAX(ROW(E$1:E6570)*(E2=E$1:E6570))))))</f>
        <v> </v>
      </c>
      <c r="K6571" s="26" t="str">
        <f>IF(OR(E6571="",E6571="!!!",F6571="NEW"),"",INDEX(J$1:J6570,SUMPRODUCT(MAX(ROW(E$1:E6570)*(E6571=E$1:E6570)))))</f>
        <v> </v>
      </c>
      <c r="L6571" s="27"/>
    </row>
    <row r="6572" spans="1:12">
      <c r="A6572" s="20" t="s">
        <v>1284</v>
      </c>
      <c r="B6572" s="21" t="s">
        <v>1029</v>
      </c>
      <c r="C6572" s="21" t="s">
        <v>1073</v>
      </c>
      <c r="D6572" s="21" t="s">
        <v>1007</v>
      </c>
      <c r="E6572" s="22">
        <f>IF(D6572="?OLD","!!!","")</f>
        <v/>
      </c>
      <c r="F6572" s="23" t="str">
        <f>IF(OR(E6572="",E6572="!!!"),"",IF(NOT(ISNA(VLOOKUP(E6572,E$1:E6571,1,FALSE()))),"OLD",IF(AND(E6572&lt;&gt;"",E6572&lt;&gt;"!!!"),"NEW","")))</f>
        <v> </v>
      </c>
      <c r="G6572" s="24" t="str">
        <f>IF(OR(E6572="",E6572="!!!"),"",IF(OR(J6572=0,AND(J6572=1,K6572=1),AND(J6572=1,I6572="SBJ"),AND(J6572=1,I6572=0)),"?IN_FOCUS",IF(J6572&lt;=2,"?ACTIVATED",IF(J6572&lt;&gt;"","?FAMILIAR",IF(F6572="NEW",IF(ISNA(VLOOKUP(E6572,#REF!,1,FALSE())),"?TYPE_IDENTIFIABLE","?REFERENTIAL"),"_")))))</f>
        <v> </v>
      </c>
      <c r="H6572" s="25" t="str">
        <f>IF(J6572&lt;&gt;1,"",IF(I6572="SBJ","CB","?"))</f>
        <v> </v>
      </c>
      <c r="I6572" s="26" t="str">
        <f>IF(OR(E6572="",E6572="!!!",F6572="NEW"),"",INDEX(B6571:B$2,-1+SUMPRODUCT(MAX(ROW(E6571:E$2)*(E6572=E6571:E$2)))))</f>
        <v> </v>
      </c>
      <c r="J6572" s="26" t="str">
        <f>IF(OR(E6572="",E6572="!!!",F6572="NEW"),"",COUNTBLANK(OFFSET(A$1,,,SUMPRODUCT(MAX(ROW(E$2:E6572)*(E6572=E$2:E6572)))))-COUNTBLANK(OFFSET(A$1,,,SUMPRODUCT(MAX(ROW(E$1:E6571)*(E2=E$1:E6571))))))</f>
        <v> </v>
      </c>
      <c r="K6572" s="26" t="str">
        <f>IF(OR(E6572="",E6572="!!!",F6572="NEW"),"",INDEX(J$1:J6571,SUMPRODUCT(MAX(ROW(E$1:E6571)*(E6572=E$1:E6571)))))</f>
        <v> </v>
      </c>
      <c r="L6572" s="27"/>
    </row>
    <row r="6573" spans="1:12">
      <c r="A6573" s="20" t="s">
        <v>1097</v>
      </c>
      <c r="E6573" s="22">
        <f>IF(D6573="?OLD","!!!","")</f>
        <v/>
      </c>
      <c r="F6573" s="23" t="str">
        <f>IF(OR(E6573="",E6573="!!!"),"",IF(NOT(ISNA(VLOOKUP(E6573,E$1:E6572,1,FALSE()))),"OLD",IF(AND(E6573&lt;&gt;"",E6573&lt;&gt;"!!!"),"NEW","")))</f>
        <v> </v>
      </c>
      <c r="G6573" s="24" t="str">
        <f>IF(OR(E6573="",E6573="!!!"),"",IF(OR(J6573=0,AND(J6573=1,K6573=1),AND(J6573=1,I6573="SBJ"),AND(J6573=1,I6573=0)),"?IN_FOCUS",IF(J6573&lt;=2,"?ACTIVATED",IF(J6573&lt;&gt;"","?FAMILIAR",IF(F6573="NEW",IF(ISNA(VLOOKUP(E6573,#REF!,1,FALSE())),"?TYPE_IDENTIFIABLE","?REFERENTIAL"),"_")))))</f>
        <v> </v>
      </c>
      <c r="H6573" s="25" t="str">
        <f>IF(J6573&lt;&gt;1,"",IF(I6573="SBJ","CB","?"))</f>
        <v> </v>
      </c>
      <c r="I6573" s="26" t="str">
        <f>IF(OR(E6573="",E6573="!!!",F6573="NEW"),"",INDEX(B6572:B$2,-1+SUMPRODUCT(MAX(ROW(E6572:E$2)*(E6573=E6572:E$2)))))</f>
        <v> </v>
      </c>
      <c r="J6573" s="26" t="str">
        <f>IF(OR(E6573="",E6573="!!!",F6573="NEW"),"",COUNTBLANK(OFFSET(A$1,,,SUMPRODUCT(MAX(ROW(E$2:E6573)*(E6573=E$2:E6573)))))-COUNTBLANK(OFFSET(A$1,,,SUMPRODUCT(MAX(ROW(E$1:E6572)*(E2=E$1:E6572))))))</f>
        <v> </v>
      </c>
      <c r="K6573" s="26" t="str">
        <f>IF(OR(E6573="",E6573="!!!",F6573="NEW"),"",INDEX(J$1:J6572,SUMPRODUCT(MAX(ROW(E$1:E6572)*(E6573=E$1:E6572)))))</f>
        <v> </v>
      </c>
      <c r="L6573" s="27"/>
    </row>
    <row r="6574" spans="1:12">
      <c r="A6574" s="20" t="s">
        <v>2700</v>
      </c>
      <c r="E6574" s="22">
        <f>IF(D6574="?OLD","!!!","")</f>
        <v/>
      </c>
      <c r="F6574" s="23" t="str">
        <f>IF(OR(E6574="",E6574="!!!"),"",IF(NOT(ISNA(VLOOKUP(E6574,E$1:E6573,1,FALSE()))),"OLD",IF(AND(E6574&lt;&gt;"",E6574&lt;&gt;"!!!"),"NEW","")))</f>
        <v> </v>
      </c>
      <c r="G6574" s="24" t="str">
        <f>IF(OR(E6574="",E6574="!!!"),"",IF(OR(J6574=0,AND(J6574=1,K6574=1),AND(J6574=1,I6574="SBJ"),AND(J6574=1,I6574=0)),"?IN_FOCUS",IF(J6574&lt;=2,"?ACTIVATED",IF(J6574&lt;&gt;"","?FAMILIAR",IF(F6574="NEW",IF(ISNA(VLOOKUP(E6574,#REF!,1,FALSE())),"?TYPE_IDENTIFIABLE","?REFERENTIAL"),"_")))))</f>
        <v> </v>
      </c>
      <c r="H6574" s="25" t="str">
        <f>IF(J6574&lt;&gt;1,"",IF(I6574="SBJ","CB","?"))</f>
        <v> </v>
      </c>
      <c r="I6574" s="26" t="str">
        <f>IF(OR(E6574="",E6574="!!!",F6574="NEW"),"",INDEX(B6573:B$2,-1+SUMPRODUCT(MAX(ROW(E6573:E$2)*(E6574=E6573:E$2)))))</f>
        <v> </v>
      </c>
      <c r="J6574" s="26" t="str">
        <f>IF(OR(E6574="",E6574="!!!",F6574="NEW"),"",COUNTBLANK(OFFSET(A$1,,,SUMPRODUCT(MAX(ROW(E$2:E6574)*(E6574=E$2:E6574)))))-COUNTBLANK(OFFSET(A$1,,,SUMPRODUCT(MAX(ROW(E$1:E6573)*(E2=E$1:E6573))))))</f>
        <v> </v>
      </c>
      <c r="K6574" s="26" t="str">
        <f>IF(OR(E6574="",E6574="!!!",F6574="NEW"),"",INDEX(J$1:J6573,SUMPRODUCT(MAX(ROW(E$1:E6573)*(E6574=E$1:E6573)))))</f>
        <v> </v>
      </c>
      <c r="L6574" s="27"/>
    </row>
    <row r="6575" spans="1:12">
      <c r="A6575" s="20" t="s">
        <v>1030</v>
      </c>
      <c r="E6575" s="22">
        <f>IF(D6575="?OLD","!!!","")</f>
        <v/>
      </c>
      <c r="F6575" s="23" t="str">
        <f>IF(OR(E6575="",E6575="!!!"),"",IF(NOT(ISNA(VLOOKUP(E6575,E$1:E6574,1,FALSE()))),"OLD",IF(AND(E6575&lt;&gt;"",E6575&lt;&gt;"!!!"),"NEW","")))</f>
        <v> </v>
      </c>
      <c r="G6575" s="24" t="str">
        <f>IF(OR(E6575="",E6575="!!!"),"",IF(OR(J6575=0,AND(J6575=1,K6575=1),AND(J6575=1,I6575="SBJ"),AND(J6575=1,I6575=0)),"?IN_FOCUS",IF(J6575&lt;=2,"?ACTIVATED",IF(J6575&lt;&gt;"","?FAMILIAR",IF(F6575="NEW",IF(ISNA(VLOOKUP(E6575,#REF!,1,FALSE())),"?TYPE_IDENTIFIABLE","?REFERENTIAL"),"_")))))</f>
        <v> </v>
      </c>
      <c r="H6575" s="25" t="str">
        <f>IF(J6575&lt;&gt;1,"",IF(I6575="SBJ","CB","?"))</f>
        <v> </v>
      </c>
      <c r="I6575" s="26" t="str">
        <f>IF(OR(E6575="",E6575="!!!",F6575="NEW"),"",INDEX(B6574:B$2,-1+SUMPRODUCT(MAX(ROW(E6574:E$2)*(E6575=E6574:E$2)))))</f>
        <v> </v>
      </c>
      <c r="J6575" s="26" t="str">
        <f>IF(OR(E6575="",E6575="!!!",F6575="NEW"),"",COUNTBLANK(OFFSET(A$1,,,SUMPRODUCT(MAX(ROW(E$2:E6575)*(E6575=E$2:E6575)))))-COUNTBLANK(OFFSET(A$1,,,SUMPRODUCT(MAX(ROW(E$1:E6574)*(E2=E$1:E6574))))))</f>
        <v> </v>
      </c>
      <c r="K6575" s="26" t="str">
        <f>IF(OR(E6575="",E6575="!!!",F6575="NEW"),"",INDEX(J$1:J6574,SUMPRODUCT(MAX(ROW(E$1:E6574)*(E6575=E$1:E6574)))))</f>
        <v> </v>
      </c>
      <c r="L6575" s="27"/>
    </row>
    <row r="6576" spans="1:12">
      <c r="A6576" s="20" t="s">
        <v>1339</v>
      </c>
      <c r="B6576" s="21" t="s">
        <v>1033</v>
      </c>
      <c r="C6576" s="21" t="s">
        <v>1048</v>
      </c>
      <c r="E6576" s="22">
        <f>IF(D6576="?OLD","!!!","")</f>
        <v/>
      </c>
      <c r="F6576" s="23" t="str">
        <f>IF(OR(E6576="",E6576="!!!"),"",IF(NOT(ISNA(VLOOKUP(E6576,E$1:E6575,1,FALSE()))),"OLD",IF(AND(E6576&lt;&gt;"",E6576&lt;&gt;"!!!"),"NEW","")))</f>
        <v> </v>
      </c>
      <c r="G6576" s="24" t="str">
        <f>IF(OR(E6576="",E6576="!!!"),"",IF(OR(J6576=0,AND(J6576=1,K6576=1),AND(J6576=1,I6576="SBJ"),AND(J6576=1,I6576=0)),"?IN_FOCUS",IF(J6576&lt;=2,"?ACTIVATED",IF(J6576&lt;&gt;"","?FAMILIAR",IF(F6576="NEW",IF(ISNA(VLOOKUP(E6576,#REF!,1,FALSE())),"?TYPE_IDENTIFIABLE","?REFERENTIAL"),"_")))))</f>
        <v> </v>
      </c>
      <c r="H6576" s="25" t="str">
        <f>IF(J6576&lt;&gt;1,"",IF(I6576="SBJ","CB","?"))</f>
        <v> </v>
      </c>
      <c r="I6576" s="26" t="str">
        <f>IF(OR(E6576="",E6576="!!!",F6576="NEW"),"",INDEX(B6575:B$2,-1+SUMPRODUCT(MAX(ROW(E6575:E$2)*(E6576=E6575:E$2)))))</f>
        <v> </v>
      </c>
      <c r="J6576" s="26" t="str">
        <f>IF(OR(E6576="",E6576="!!!",F6576="NEW"),"",COUNTBLANK(OFFSET(A$1,,,SUMPRODUCT(MAX(ROW(E$2:E6576)*(E6576=E$2:E6576)))))-COUNTBLANK(OFFSET(A$1,,,SUMPRODUCT(MAX(ROW(E$1:E6575)*(E2=E$1:E6575))))))</f>
        <v> </v>
      </c>
      <c r="K6576" s="26" t="str">
        <f>IF(OR(E6576="",E6576="!!!",F6576="NEW"),"",INDEX(J$1:J6575,SUMPRODUCT(MAX(ROW(E$1:E6575)*(E6576=E$1:E6575)))))</f>
        <v> </v>
      </c>
      <c r="L6576" s="27"/>
    </row>
    <row r="6577" spans="1:12">
      <c r="A6577" s="20" t="s">
        <v>1023</v>
      </c>
      <c r="E6577" s="22">
        <f>IF(D6577="?OLD","!!!","")</f>
        <v/>
      </c>
      <c r="F6577" s="23" t="str">
        <f>IF(OR(E6577="",E6577="!!!"),"",IF(NOT(ISNA(VLOOKUP(E6577,E$1:E6576,1,FALSE()))),"OLD",IF(AND(E6577&lt;&gt;"",E6577&lt;&gt;"!!!"),"NEW","")))</f>
        <v> </v>
      </c>
      <c r="G6577" s="24" t="str">
        <f>IF(OR(E6577="",E6577="!!!"),"",IF(OR(J6577=0,AND(J6577=1,K6577=1),AND(J6577=1,I6577="SBJ"),AND(J6577=1,I6577=0)),"?IN_FOCUS",IF(J6577&lt;=2,"?ACTIVATED",IF(J6577&lt;&gt;"","?FAMILIAR",IF(F6577="NEW",IF(ISNA(VLOOKUP(E6577,#REF!,1,FALSE())),"?TYPE_IDENTIFIABLE","?REFERENTIAL"),"_")))))</f>
        <v> </v>
      </c>
      <c r="H6577" s="25" t="str">
        <f>IF(J6577&lt;&gt;1,"",IF(I6577="SBJ","CB","?"))</f>
        <v> </v>
      </c>
      <c r="I6577" s="26" t="str">
        <f>IF(OR(E6577="",E6577="!!!",F6577="NEW"),"",INDEX(B6576:B$2,-1+SUMPRODUCT(MAX(ROW(E6576:E$2)*(E6577=E6576:E$2)))))</f>
        <v> </v>
      </c>
      <c r="J6577" s="26" t="str">
        <f>IF(OR(E6577="",E6577="!!!",F6577="NEW"),"",COUNTBLANK(OFFSET(A$1,,,SUMPRODUCT(MAX(ROW(E$2:E6577)*(E6577=E$2:E6577)))))-COUNTBLANK(OFFSET(A$1,,,SUMPRODUCT(MAX(ROW(E$1:E6576)*(E2=E$1:E6576))))))</f>
        <v> </v>
      </c>
      <c r="K6577" s="26" t="str">
        <f>IF(OR(E6577="",E6577="!!!",F6577="NEW"),"",INDEX(J$1:J6576,SUMPRODUCT(MAX(ROW(E$1:E6576)*(E6577=E$1:E6576)))))</f>
        <v> </v>
      </c>
      <c r="L6577" s="27"/>
    </row>
    <row r="6578" spans="1:12">
      <c r="A6578" s="20"/>
    </row>
    <row r="6579" spans="1:12">
      <c r="A6579" s="20" t="s">
        <v>2701</v>
      </c>
    </row>
    <row r="6580" spans="1:12">
      <c r="A6580" s="20" t="s">
        <v>2702</v>
      </c>
      <c r="E6580" s="22">
        <f>IF(D6580="?OLD","!!!","")</f>
        <v/>
      </c>
      <c r="F6580" s="23" t="str">
        <f>IF(OR(E6580="",E6580="!!!"),"",IF(NOT(ISNA(VLOOKUP(E6580,E$1:E6579,1,FALSE()))),"OLD",IF(AND(E6580&lt;&gt;"",E6580&lt;&gt;"!!!"),"NEW","")))</f>
        <v> </v>
      </c>
      <c r="G6580" s="24" t="str">
        <f>IF(OR(E6580="",E6580="!!!"),"",IF(OR(J6580=0,AND(J6580=1,K6580=1),AND(J6580=1,I6580="SBJ"),AND(J6580=1,I6580=0)),"?IN_FOCUS",IF(J6580&lt;=2,"?ACTIVATED",IF(J6580&lt;&gt;"","?FAMILIAR",IF(F6580="NEW",IF(ISNA(VLOOKUP(E6580,#REF!,1,FALSE())),"?TYPE_IDENTIFIABLE","?REFERENTIAL"),"_")))))</f>
        <v> </v>
      </c>
      <c r="H6580" s="25" t="str">
        <f>IF(J6580&lt;&gt;1,"",IF(I6580="SBJ","CB","?"))</f>
        <v> </v>
      </c>
      <c r="I6580" s="26" t="str">
        <f>IF(OR(E6580="",E6580="!!!",F6580="NEW"),"",INDEX(B6579:B$2,-1+SUMPRODUCT(MAX(ROW(E6579:E$2)*(E6580=E6579:E$2)))))</f>
        <v> </v>
      </c>
      <c r="J6580" s="26" t="str">
        <f>IF(OR(E6580="",E6580="!!!",F6580="NEW"),"",COUNTBLANK(OFFSET(A$1,,,SUMPRODUCT(MAX(ROW(E$2:E6580)*(E6580=E$2:E6580)))))-COUNTBLANK(OFFSET(A$1,,,SUMPRODUCT(MAX(ROW(E$1:E6579)*(E2=E$1:E6579))))))</f>
        <v> </v>
      </c>
      <c r="K6580" s="26" t="str">
        <f>IF(OR(E6580="",E6580="!!!",F6580="NEW"),"",INDEX(J$1:J6579,SUMPRODUCT(MAX(ROW(E$1:E6579)*(E6580=E$1:E6579)))))</f>
        <v> </v>
      </c>
      <c r="L6580" s="27"/>
    </row>
    <row r="6581" spans="1:12">
      <c r="A6581" s="20" t="s">
        <v>1284</v>
      </c>
      <c r="B6581" s="21" t="s">
        <v>1085</v>
      </c>
      <c r="C6581" s="21" t="s">
        <v>1073</v>
      </c>
      <c r="D6581" s="21" t="s">
        <v>1007</v>
      </c>
      <c r="E6581" s="22">
        <f>IF(D6581="?OLD","!!!","")</f>
        <v/>
      </c>
      <c r="F6581" s="23" t="str">
        <f>IF(OR(E6581="",E6581="!!!"),"",IF(NOT(ISNA(VLOOKUP(E6581,E$1:E6580,1,FALSE()))),"OLD",IF(AND(E6581&lt;&gt;"",E6581&lt;&gt;"!!!"),"NEW","")))</f>
        <v> </v>
      </c>
      <c r="G6581" s="24" t="str">
        <f>IF(OR(E6581="",E6581="!!!"),"",IF(OR(J6581=0,AND(J6581=1,K6581=1),AND(J6581=1,I6581="SBJ"),AND(J6581=1,I6581=0)),"?IN_FOCUS",IF(J6581&lt;=2,"?ACTIVATED",IF(J6581&lt;&gt;"","?FAMILIAR",IF(F6581="NEW",IF(ISNA(VLOOKUP(E6581,#REF!,1,FALSE())),"?TYPE_IDENTIFIABLE","?REFERENTIAL"),"_")))))</f>
        <v> </v>
      </c>
      <c r="H6581" s="25" t="str">
        <f>IF(J6581&lt;&gt;1,"",IF(I6581="SBJ","CB","?"))</f>
        <v> </v>
      </c>
      <c r="I6581" s="26" t="str">
        <f>IF(OR(E6581="",E6581="!!!",F6581="NEW"),"",INDEX(B6580:B$2,-1+SUMPRODUCT(MAX(ROW(E6580:E$2)*(E6581=E6580:E$2)))))</f>
        <v> </v>
      </c>
      <c r="J6581" s="26" t="str">
        <f>IF(OR(E6581="",E6581="!!!",F6581="NEW"),"",COUNTBLANK(OFFSET(A$1,,,SUMPRODUCT(MAX(ROW(E$2:E6581)*(E6581=E$2:E6581)))))-COUNTBLANK(OFFSET(A$1,,,SUMPRODUCT(MAX(ROW(E$1:E6580)*(E2=E$1:E6580))))))</f>
        <v> </v>
      </c>
      <c r="K6581" s="26" t="str">
        <f>IF(OR(E6581="",E6581="!!!",F6581="NEW"),"",INDEX(J$1:J6580,SUMPRODUCT(MAX(ROW(E$1:E6580)*(E6581=E$1:E6580)))))</f>
        <v> </v>
      </c>
      <c r="L6581" s="27"/>
    </row>
    <row r="6582" spans="1:12">
      <c r="A6582" s="20" t="s">
        <v>1097</v>
      </c>
      <c r="E6582" s="22">
        <f>IF(D6582="?OLD","!!!","")</f>
        <v/>
      </c>
      <c r="F6582" s="23" t="str">
        <f>IF(OR(E6582="",E6582="!!!"),"",IF(NOT(ISNA(VLOOKUP(E6582,E$1:E6581,1,FALSE()))),"OLD",IF(AND(E6582&lt;&gt;"",E6582&lt;&gt;"!!!"),"NEW","")))</f>
        <v> </v>
      </c>
      <c r="G6582" s="24" t="str">
        <f>IF(OR(E6582="",E6582="!!!"),"",IF(OR(J6582=0,AND(J6582=1,K6582=1),AND(J6582=1,I6582="SBJ"),AND(J6582=1,I6582=0)),"?IN_FOCUS",IF(J6582&lt;=2,"?ACTIVATED",IF(J6582&lt;&gt;"","?FAMILIAR",IF(F6582="NEW",IF(ISNA(VLOOKUP(E6582,#REF!,1,FALSE())),"?TYPE_IDENTIFIABLE","?REFERENTIAL"),"_")))))</f>
        <v> </v>
      </c>
      <c r="H6582" s="25" t="str">
        <f>IF(J6582&lt;&gt;1,"",IF(I6582="SBJ","CB","?"))</f>
        <v> </v>
      </c>
      <c r="I6582" s="26" t="str">
        <f>IF(OR(E6582="",E6582="!!!",F6582="NEW"),"",INDEX(B6581:B$2,-1+SUMPRODUCT(MAX(ROW(E6581:E$2)*(E6582=E6581:E$2)))))</f>
        <v> </v>
      </c>
      <c r="J6582" s="26" t="str">
        <f>IF(OR(E6582="",E6582="!!!",F6582="NEW"),"",COUNTBLANK(OFFSET(A$1,,,SUMPRODUCT(MAX(ROW(E$2:E6582)*(E6582=E$2:E6582)))))-COUNTBLANK(OFFSET(A$1,,,SUMPRODUCT(MAX(ROW(E$1:E6581)*(E2=E$1:E6581))))))</f>
        <v> </v>
      </c>
      <c r="K6582" s="26" t="str">
        <f>IF(OR(E6582="",E6582="!!!",F6582="NEW"),"",INDEX(J$1:J6581,SUMPRODUCT(MAX(ROW(E$1:E6581)*(E6582=E$1:E6581)))))</f>
        <v> </v>
      </c>
      <c r="L6582" s="27"/>
    </row>
    <row r="6583" spans="1:12">
      <c r="A6583" s="20" t="s">
        <v>110</v>
      </c>
      <c r="E6583" s="22">
        <f>IF(D6583="?OLD","!!!","")</f>
        <v/>
      </c>
      <c r="F6583" s="23" t="str">
        <f>IF(OR(E6583="",E6583="!!!"),"",IF(NOT(ISNA(VLOOKUP(E6583,E$1:E6582,1,FALSE()))),"OLD",IF(AND(E6583&lt;&gt;"",E6583&lt;&gt;"!!!"),"NEW","")))</f>
        <v> </v>
      </c>
      <c r="G6583" s="24" t="str">
        <f>IF(OR(E6583="",E6583="!!!"),"",IF(OR(J6583=0,AND(J6583=1,K6583=1),AND(J6583=1,I6583="SBJ"),AND(J6583=1,I6583=0)),"?IN_FOCUS",IF(J6583&lt;=2,"?ACTIVATED",IF(J6583&lt;&gt;"","?FAMILIAR",IF(F6583="NEW",IF(ISNA(VLOOKUP(E6583,#REF!,1,FALSE())),"?TYPE_IDENTIFIABLE","?REFERENTIAL"),"_")))))</f>
        <v> </v>
      </c>
      <c r="H6583" s="25" t="str">
        <f>IF(J6583&lt;&gt;1,"",IF(I6583="SBJ","CB","?"))</f>
        <v> </v>
      </c>
      <c r="I6583" s="26" t="str">
        <f>IF(OR(E6583="",E6583="!!!",F6583="NEW"),"",INDEX(B6582:B$2,-1+SUMPRODUCT(MAX(ROW(E6582:E$2)*(E6583=E6582:E$2)))))</f>
        <v> </v>
      </c>
      <c r="J6583" s="26" t="str">
        <f>IF(OR(E6583="",E6583="!!!",F6583="NEW"),"",COUNTBLANK(OFFSET(A$1,,,SUMPRODUCT(MAX(ROW(E$2:E6583)*(E6583=E$2:E6583)))))-COUNTBLANK(OFFSET(A$1,,,SUMPRODUCT(MAX(ROW(E$1:E6582)*(E2=E$1:E6582))))))</f>
        <v> </v>
      </c>
      <c r="K6583" s="26" t="str">
        <f>IF(OR(E6583="",E6583="!!!",F6583="NEW"),"",INDEX(J$1:J6582,SUMPRODUCT(MAX(ROW(E$1:E6582)*(E6583=E$1:E6582)))))</f>
        <v> </v>
      </c>
      <c r="L6583" s="27"/>
    </row>
    <row r="6584" spans="1:12">
      <c r="A6584" s="20" t="s">
        <v>102</v>
      </c>
      <c r="B6584" s="21" t="s">
        <v>1187</v>
      </c>
      <c r="C6584" s="21" t="s">
        <v>1073</v>
      </c>
      <c r="D6584" s="21" t="s">
        <v>1007</v>
      </c>
      <c r="E6584" s="22">
        <f>IF(D6584="?OLD","!!!","")</f>
        <v/>
      </c>
      <c r="F6584" s="23" t="str">
        <f>IF(OR(E6584="",E6584="!!!"),"",IF(NOT(ISNA(VLOOKUP(E6584,E$1:E6583,1,FALSE()))),"OLD",IF(AND(E6584&lt;&gt;"",E6584&lt;&gt;"!!!"),"NEW","")))</f>
        <v> </v>
      </c>
      <c r="G6584" s="24" t="str">
        <f>IF(OR(E6584="",E6584="!!!"),"",IF(OR(J6584=0,AND(J6584=1,K6584=1),AND(J6584=1,I6584="SBJ"),AND(J6584=1,I6584=0)),"?IN_FOCUS",IF(J6584&lt;=2,"?ACTIVATED",IF(J6584&lt;&gt;"","?FAMILIAR",IF(F6584="NEW",IF(ISNA(VLOOKUP(E6584,#REF!,1,FALSE())),"?TYPE_IDENTIFIABLE","?REFERENTIAL"),"_")))))</f>
        <v> </v>
      </c>
      <c r="H6584" s="25" t="str">
        <f>IF(J6584&lt;&gt;1,"",IF(I6584="SBJ","CB","?"))</f>
        <v> </v>
      </c>
      <c r="I6584" s="26" t="str">
        <f>IF(OR(E6584="",E6584="!!!",F6584="NEW"),"",INDEX(B6583:B$2,-1+SUMPRODUCT(MAX(ROW(E6583:E$2)*(E6584=E6583:E$2)))))</f>
        <v> </v>
      </c>
      <c r="J6584" s="26" t="str">
        <f>IF(OR(E6584="",E6584="!!!",F6584="NEW"),"",COUNTBLANK(OFFSET(A$1,,,SUMPRODUCT(MAX(ROW(E$2:E6584)*(E6584=E$2:E6584)))))-COUNTBLANK(OFFSET(A$1,,,SUMPRODUCT(MAX(ROW(E$1:E6583)*(E2=E$1:E6583))))))</f>
        <v> </v>
      </c>
      <c r="K6584" s="26" t="str">
        <f>IF(OR(E6584="",E6584="!!!",F6584="NEW"),"",INDEX(J$1:J6583,SUMPRODUCT(MAX(ROW(E$1:E6583)*(E6584=E$1:E6583)))))</f>
        <v> </v>
      </c>
      <c r="L6584" s="27"/>
    </row>
    <row r="6585" spans="1:12">
      <c r="A6585" s="20" t="s">
        <v>1065</v>
      </c>
      <c r="B6585" s="21" t="s">
        <v>1263</v>
      </c>
      <c r="E6585" s="22">
        <f>IF(D6585="?OLD","!!!","")</f>
        <v/>
      </c>
      <c r="F6585" s="23" t="str">
        <f>IF(OR(E6585="",E6585="!!!"),"",IF(NOT(ISNA(VLOOKUP(E6585,E$1:E6584,1,FALSE()))),"OLD",IF(AND(E6585&lt;&gt;"",E6585&lt;&gt;"!!!"),"NEW","")))</f>
        <v> </v>
      </c>
      <c r="G6585" s="24" t="str">
        <f>IF(OR(E6585="",E6585="!!!"),"",IF(OR(J6585=0,AND(J6585=1,K6585=1),AND(J6585=1,I6585="SBJ"),AND(J6585=1,I6585=0)),"?IN_FOCUS",IF(J6585&lt;=2,"?ACTIVATED",IF(J6585&lt;&gt;"","?FAMILIAR",IF(F6585="NEW",IF(ISNA(VLOOKUP(E6585,#REF!,1,FALSE())),"?TYPE_IDENTIFIABLE","?REFERENTIAL"),"_")))))</f>
        <v> </v>
      </c>
      <c r="H6585" s="25" t="str">
        <f>IF(J6585&lt;&gt;1,"",IF(I6585="SBJ","CB","?"))</f>
        <v> </v>
      </c>
      <c r="I6585" s="26" t="str">
        <f>IF(OR(E6585="",E6585="!!!",F6585="NEW"),"",INDEX(B6584:B$2,-1+SUMPRODUCT(MAX(ROW(E6584:E$2)*(E6585=E6584:E$2)))))</f>
        <v> </v>
      </c>
      <c r="J6585" s="26" t="str">
        <f>IF(OR(E6585="",E6585="!!!",F6585="NEW"),"",COUNTBLANK(OFFSET(A$1,,,SUMPRODUCT(MAX(ROW(E$2:E6585)*(E6585=E$2:E6585)))))-COUNTBLANK(OFFSET(A$1,,,SUMPRODUCT(MAX(ROW(E$1:E6584)*(E2=E$1:E6584))))))</f>
        <v> </v>
      </c>
      <c r="K6585" s="26" t="str">
        <f>IF(OR(E6585="",E6585="!!!",F6585="NEW"),"",INDEX(J$1:J6584,SUMPRODUCT(MAX(ROW(E$1:E6584)*(E6585=E$1:E6584)))))</f>
        <v> </v>
      </c>
      <c r="L6585" s="27"/>
    </row>
    <row r="6586" spans="1:12">
      <c r="A6586" s="20" t="s">
        <v>1206</v>
      </c>
      <c r="E6586" s="22">
        <f>IF(D6586="?OLD","!!!","")</f>
        <v/>
      </c>
      <c r="F6586" s="23" t="str">
        <f>IF(OR(E6586="",E6586="!!!"),"",IF(NOT(ISNA(VLOOKUP(E6586,E$1:E6585,1,FALSE()))),"OLD",IF(AND(E6586&lt;&gt;"",E6586&lt;&gt;"!!!"),"NEW","")))</f>
        <v> </v>
      </c>
      <c r="G6586" s="24" t="str">
        <f>IF(OR(E6586="",E6586="!!!"),"",IF(OR(J6586=0,AND(J6586=1,K6586=1),AND(J6586=1,I6586="SBJ"),AND(J6586=1,I6586=0)),"?IN_FOCUS",IF(J6586&lt;=2,"?ACTIVATED",IF(J6586&lt;&gt;"","?FAMILIAR",IF(F6586="NEW",IF(ISNA(VLOOKUP(E6586,#REF!,1,FALSE())),"?TYPE_IDENTIFIABLE","?REFERENTIAL"),"_")))))</f>
        <v> </v>
      </c>
      <c r="H6586" s="25" t="str">
        <f>IF(J6586&lt;&gt;1,"",IF(I6586="SBJ","CB","?"))</f>
        <v> </v>
      </c>
      <c r="I6586" s="26" t="str">
        <f>IF(OR(E6586="",E6586="!!!",F6586="NEW"),"",INDEX(B6585:B$2,-1+SUMPRODUCT(MAX(ROW(E6585:E$2)*(E6586=E6585:E$2)))))</f>
        <v> </v>
      </c>
      <c r="J6586" s="26" t="str">
        <f>IF(OR(E6586="",E6586="!!!",F6586="NEW"),"",COUNTBLANK(OFFSET(A$1,,,SUMPRODUCT(MAX(ROW(E$2:E6586)*(E6586=E$2:E6586)))))-COUNTBLANK(OFFSET(A$1,,,SUMPRODUCT(MAX(ROW(E$1:E6585)*(E2=E$1:E6585))))))</f>
        <v> </v>
      </c>
      <c r="K6586" s="26" t="str">
        <f>IF(OR(E6586="",E6586="!!!",F6586="NEW"),"",INDEX(J$1:J6585,SUMPRODUCT(MAX(ROW(E$1:E6585)*(E6586=E$1:E6585)))))</f>
        <v> </v>
      </c>
      <c r="L6586" s="27"/>
    </row>
    <row r="6587" spans="1:12">
      <c r="A6587" s="20" t="s">
        <v>1426</v>
      </c>
      <c r="E6587" s="22">
        <f>IF(D6587="?OLD","!!!","")</f>
        <v/>
      </c>
      <c r="F6587" s="23" t="str">
        <f>IF(OR(E6587="",E6587="!!!"),"",IF(NOT(ISNA(VLOOKUP(E6587,E$1:E6586,1,FALSE()))),"OLD",IF(AND(E6587&lt;&gt;"",E6587&lt;&gt;"!!!"),"NEW","")))</f>
        <v> </v>
      </c>
      <c r="G6587" s="24" t="str">
        <f>IF(OR(E6587="",E6587="!!!"),"",IF(OR(J6587=0,AND(J6587=1,K6587=1),AND(J6587=1,I6587="SBJ"),AND(J6587=1,I6587=0)),"?IN_FOCUS",IF(J6587&lt;=2,"?ACTIVATED",IF(J6587&lt;&gt;"","?FAMILIAR",IF(F6587="NEW",IF(ISNA(VLOOKUP(E6587,#REF!,1,FALSE())),"?TYPE_IDENTIFIABLE","?REFERENTIAL"),"_")))))</f>
        <v> </v>
      </c>
      <c r="H6587" s="25" t="str">
        <f>IF(J6587&lt;&gt;1,"",IF(I6587="SBJ","CB","?"))</f>
        <v> </v>
      </c>
      <c r="I6587" s="26" t="str">
        <f>IF(OR(E6587="",E6587="!!!",F6587="NEW"),"",INDEX(B6586:B$2,-1+SUMPRODUCT(MAX(ROW(E6586:E$2)*(E6587=E6586:E$2)))))</f>
        <v> </v>
      </c>
      <c r="J6587" s="26" t="str">
        <f>IF(OR(E6587="",E6587="!!!",F6587="NEW"),"",COUNTBLANK(OFFSET(A$1,,,SUMPRODUCT(MAX(ROW(E$2:E6587)*(E6587=E$2:E6587)))))-COUNTBLANK(OFFSET(A$1,,,SUMPRODUCT(MAX(ROW(E$1:E6586)*(E2=E$1:E6586))))))</f>
        <v> </v>
      </c>
      <c r="K6587" s="26" t="str">
        <f>IF(OR(E6587="",E6587="!!!",F6587="NEW"),"",INDEX(J$1:J6586,SUMPRODUCT(MAX(ROW(E$1:E6586)*(E6587=E$1:E6586)))))</f>
        <v> </v>
      </c>
      <c r="L6587" s="27"/>
    </row>
    <row r="6588" spans="1:12">
      <c r="A6588" s="20" t="s">
        <v>1018</v>
      </c>
      <c r="E6588" s="22">
        <f>IF(D6588="?OLD","!!!","")</f>
        <v/>
      </c>
      <c r="F6588" s="23" t="str">
        <f>IF(OR(E6588="",E6588="!!!"),"",IF(NOT(ISNA(VLOOKUP(E6588,E$1:E6587,1,FALSE()))),"OLD",IF(AND(E6588&lt;&gt;"",E6588&lt;&gt;"!!!"),"NEW","")))</f>
        <v> </v>
      </c>
      <c r="G6588" s="24" t="str">
        <f>IF(OR(E6588="",E6588="!!!"),"",IF(OR(J6588=0,AND(J6588=1,K6588=1),AND(J6588=1,I6588="SBJ"),AND(J6588=1,I6588=0)),"?IN_FOCUS",IF(J6588&lt;=2,"?ACTIVATED",IF(J6588&lt;&gt;"","?FAMILIAR",IF(F6588="NEW",IF(ISNA(VLOOKUP(E6588,#REF!,1,FALSE())),"?TYPE_IDENTIFIABLE","?REFERENTIAL"),"_")))))</f>
        <v> </v>
      </c>
      <c r="H6588" s="25" t="str">
        <f>IF(J6588&lt;&gt;1,"",IF(I6588="SBJ","CB","?"))</f>
        <v> </v>
      </c>
      <c r="I6588" s="26" t="str">
        <f>IF(OR(E6588="",E6588="!!!",F6588="NEW"),"",INDEX(B6587:B$2,-1+SUMPRODUCT(MAX(ROW(E6587:E$2)*(E6588=E6587:E$2)))))</f>
        <v> </v>
      </c>
      <c r="J6588" s="26" t="str">
        <f>IF(OR(E6588="",E6588="!!!",F6588="NEW"),"",COUNTBLANK(OFFSET(A$1,,,SUMPRODUCT(MAX(ROW(E$2:E6588)*(E6588=E$2:E6588)))))-COUNTBLANK(OFFSET(A$1,,,SUMPRODUCT(MAX(ROW(E$1:E6587)*(E2=E$1:E6587))))))</f>
        <v> </v>
      </c>
      <c r="K6588" s="26" t="str">
        <f>IF(OR(E6588="",E6588="!!!",F6588="NEW"),"",INDEX(J$1:J6587,SUMPRODUCT(MAX(ROW(E$1:E6587)*(E6588=E$1:E6587)))))</f>
        <v> </v>
      </c>
      <c r="L6588" s="27"/>
    </row>
    <row r="6589" spans="1:12">
      <c r="A6589" s="20" t="s">
        <v>56</v>
      </c>
      <c r="E6589" s="22">
        <f>IF(D6589="?OLD","!!!","")</f>
        <v/>
      </c>
      <c r="F6589" s="23" t="str">
        <f>IF(OR(E6589="",E6589="!!!"),"",IF(NOT(ISNA(VLOOKUP(E6589,E$1:E6588,1,FALSE()))),"OLD",IF(AND(E6589&lt;&gt;"",E6589&lt;&gt;"!!!"),"NEW","")))</f>
        <v> </v>
      </c>
      <c r="G6589" s="24" t="str">
        <f>IF(OR(E6589="",E6589="!!!"),"",IF(OR(J6589=0,AND(J6589=1,K6589=1),AND(J6589=1,I6589="SBJ"),AND(J6589=1,I6589=0)),"?IN_FOCUS",IF(J6589&lt;=2,"?ACTIVATED",IF(J6589&lt;&gt;"","?FAMILIAR",IF(F6589="NEW",IF(ISNA(VLOOKUP(E6589,#REF!,1,FALSE())),"?TYPE_IDENTIFIABLE","?REFERENTIAL"),"_")))))</f>
        <v> </v>
      </c>
      <c r="H6589" s="25" t="str">
        <f>IF(J6589&lt;&gt;1,"",IF(I6589="SBJ","CB","?"))</f>
        <v> </v>
      </c>
      <c r="I6589" s="26" t="str">
        <f>IF(OR(E6589="",E6589="!!!",F6589="NEW"),"",INDEX(B6588:B$2,-1+SUMPRODUCT(MAX(ROW(E6588:E$2)*(E6589=E6588:E$2)))))</f>
        <v> </v>
      </c>
      <c r="J6589" s="26" t="str">
        <f>IF(OR(E6589="",E6589="!!!",F6589="NEW"),"",COUNTBLANK(OFFSET(A$1,,,SUMPRODUCT(MAX(ROW(E$2:E6589)*(E6589=E$2:E6589)))))-COUNTBLANK(OFFSET(A$1,,,SUMPRODUCT(MAX(ROW(E$1:E6588)*(E2=E$1:E6588))))))</f>
        <v> </v>
      </c>
      <c r="K6589" s="26" t="str">
        <f>IF(OR(E6589="",E6589="!!!",F6589="NEW"),"",INDEX(J$1:J6588,SUMPRODUCT(MAX(ROW(E$1:E6588)*(E6589=E$1:E6588)))))</f>
        <v> </v>
      </c>
      <c r="L6589" s="27"/>
    </row>
    <row r="6590" spans="1:12">
      <c r="A6590" s="20" t="s">
        <v>1142</v>
      </c>
      <c r="E6590" s="22">
        <f>IF(D6590="?OLD","!!!","")</f>
        <v/>
      </c>
      <c r="F6590" s="23" t="str">
        <f>IF(OR(E6590="",E6590="!!!"),"",IF(NOT(ISNA(VLOOKUP(E6590,E$1:E6589,1,FALSE()))),"OLD",IF(AND(E6590&lt;&gt;"",E6590&lt;&gt;"!!!"),"NEW","")))</f>
        <v> </v>
      </c>
      <c r="G6590" s="24" t="str">
        <f>IF(OR(E6590="",E6590="!!!"),"",IF(OR(J6590=0,AND(J6590=1,K6590=1),AND(J6590=1,I6590="SBJ"),AND(J6590=1,I6590=0)),"?IN_FOCUS",IF(J6590&lt;=2,"?ACTIVATED",IF(J6590&lt;&gt;"","?FAMILIAR",IF(F6590="NEW",IF(ISNA(VLOOKUP(E6590,#REF!,1,FALSE())),"?TYPE_IDENTIFIABLE","?REFERENTIAL"),"_")))))</f>
        <v> </v>
      </c>
      <c r="H6590" s="25" t="str">
        <f>IF(J6590&lt;&gt;1,"",IF(I6590="SBJ","CB","?"))</f>
        <v> </v>
      </c>
      <c r="I6590" s="26" t="str">
        <f>IF(OR(E6590="",E6590="!!!",F6590="NEW"),"",INDEX(B6589:B$2,-1+SUMPRODUCT(MAX(ROW(E6589:E$2)*(E6590=E6589:E$2)))))</f>
        <v> </v>
      </c>
      <c r="J6590" s="26" t="str">
        <f>IF(OR(E6590="",E6590="!!!",F6590="NEW"),"",COUNTBLANK(OFFSET(A$1,,,SUMPRODUCT(MAX(ROW(E$2:E6590)*(E6590=E$2:E6590)))))-COUNTBLANK(OFFSET(A$1,,,SUMPRODUCT(MAX(ROW(E$1:E6589)*(E2=E$1:E6589))))))</f>
        <v> </v>
      </c>
      <c r="K6590" s="26" t="str">
        <f>IF(OR(E6590="",E6590="!!!",F6590="NEW"),"",INDEX(J$1:J6589,SUMPRODUCT(MAX(ROW(E$1:E6589)*(E6590=E$1:E6589)))))</f>
        <v> </v>
      </c>
      <c r="L6590" s="27"/>
    </row>
    <row r="6591" spans="1:12">
      <c r="A6591" s="20" t="s">
        <v>1862</v>
      </c>
      <c r="E6591" s="22">
        <f>IF(D6591="?OLD","!!!","")</f>
        <v/>
      </c>
      <c r="F6591" s="23" t="str">
        <f>IF(OR(E6591="",E6591="!!!"),"",IF(NOT(ISNA(VLOOKUP(E6591,E$1:E6590,1,FALSE()))),"OLD",IF(AND(E6591&lt;&gt;"",E6591&lt;&gt;"!!!"),"NEW","")))</f>
        <v> </v>
      </c>
      <c r="G6591" s="24" t="str">
        <f>IF(OR(E6591="",E6591="!!!"),"",IF(OR(J6591=0,AND(J6591=1,K6591=1),AND(J6591=1,I6591="SBJ"),AND(J6591=1,I6591=0)),"?IN_FOCUS",IF(J6591&lt;=2,"?ACTIVATED",IF(J6591&lt;&gt;"","?FAMILIAR",IF(F6591="NEW",IF(ISNA(VLOOKUP(E6591,#REF!,1,FALSE())),"?TYPE_IDENTIFIABLE","?REFERENTIAL"),"_")))))</f>
        <v> </v>
      </c>
      <c r="H6591" s="25" t="str">
        <f>IF(J6591&lt;&gt;1,"",IF(I6591="SBJ","CB","?"))</f>
        <v> </v>
      </c>
      <c r="I6591" s="26" t="str">
        <f>IF(OR(E6591="",E6591="!!!",F6591="NEW"),"",INDEX(B6590:B$2,-1+SUMPRODUCT(MAX(ROW(E6590:E$2)*(E6591=E6590:E$2)))))</f>
        <v> </v>
      </c>
      <c r="J6591" s="26" t="str">
        <f>IF(OR(E6591="",E6591="!!!",F6591="NEW"),"",COUNTBLANK(OFFSET(A$1,,,SUMPRODUCT(MAX(ROW(E$2:E6591)*(E6591=E$2:E6591)))))-COUNTBLANK(OFFSET(A$1,,,SUMPRODUCT(MAX(ROW(E$1:E6590)*(E2=E$1:E6590))))))</f>
        <v> </v>
      </c>
      <c r="K6591" s="26" t="str">
        <f>IF(OR(E6591="",E6591="!!!",F6591="NEW"),"",INDEX(J$1:J6590,SUMPRODUCT(MAX(ROW(E$1:E6590)*(E6591=E$1:E6590)))))</f>
        <v> </v>
      </c>
      <c r="L6591" s="27"/>
    </row>
    <row r="6592" spans="1:12">
      <c r="A6592" s="20" t="s">
        <v>2703</v>
      </c>
      <c r="E6592" s="22">
        <f>IF(D6592="?OLD","!!!","")</f>
        <v/>
      </c>
      <c r="F6592" s="23" t="str">
        <f>IF(OR(E6592="",E6592="!!!"),"",IF(NOT(ISNA(VLOOKUP(E6592,E$1:E6591,1,FALSE()))),"OLD",IF(AND(E6592&lt;&gt;"",E6592&lt;&gt;"!!!"),"NEW","")))</f>
        <v> </v>
      </c>
      <c r="G6592" s="24" t="str">
        <f>IF(OR(E6592="",E6592="!!!"),"",IF(OR(J6592=0,AND(J6592=1,K6592=1),AND(J6592=1,I6592="SBJ"),AND(J6592=1,I6592=0)),"?IN_FOCUS",IF(J6592&lt;=2,"?ACTIVATED",IF(J6592&lt;&gt;"","?FAMILIAR",IF(F6592="NEW",IF(ISNA(VLOOKUP(E6592,#REF!,1,FALSE())),"?TYPE_IDENTIFIABLE","?REFERENTIAL"),"_")))))</f>
        <v> </v>
      </c>
      <c r="H6592" s="25" t="str">
        <f>IF(J6592&lt;&gt;1,"",IF(I6592="SBJ","CB","?"))</f>
        <v> </v>
      </c>
      <c r="I6592" s="26" t="str">
        <f>IF(OR(E6592="",E6592="!!!",F6592="NEW"),"",INDEX(B6591:B$2,-1+SUMPRODUCT(MAX(ROW(E6591:E$2)*(E6592=E6591:E$2)))))</f>
        <v> </v>
      </c>
      <c r="J6592" s="26" t="str">
        <f>IF(OR(E6592="",E6592="!!!",F6592="NEW"),"",COUNTBLANK(OFFSET(A$1,,,SUMPRODUCT(MAX(ROW(E$2:E6592)*(E6592=E$2:E6592)))))-COUNTBLANK(OFFSET(A$1,,,SUMPRODUCT(MAX(ROW(E$1:E6591)*(E2=E$1:E6591))))))</f>
        <v> </v>
      </c>
      <c r="K6592" s="26" t="str">
        <f>IF(OR(E6592="",E6592="!!!",F6592="NEW"),"",INDEX(J$1:J6591,SUMPRODUCT(MAX(ROW(E$1:E6591)*(E6592=E$1:E6591)))))</f>
        <v> </v>
      </c>
      <c r="L6592" s="27"/>
    </row>
    <row r="6593" spans="1:12">
      <c r="A6593" s="20" t="s">
        <v>1182</v>
      </c>
      <c r="E6593" s="22">
        <f>IF(D6593="?OLD","!!!","")</f>
        <v/>
      </c>
      <c r="F6593" s="23" t="str">
        <f>IF(OR(E6593="",E6593="!!!"),"",IF(NOT(ISNA(VLOOKUP(E6593,E$1:E6592,1,FALSE()))),"OLD",IF(AND(E6593&lt;&gt;"",E6593&lt;&gt;"!!!"),"NEW","")))</f>
        <v> </v>
      </c>
      <c r="G6593" s="24" t="str">
        <f>IF(OR(E6593="",E6593="!!!"),"",IF(OR(J6593=0,AND(J6593=1,K6593=1),AND(J6593=1,I6593="SBJ"),AND(J6593=1,I6593=0)),"?IN_FOCUS",IF(J6593&lt;=2,"?ACTIVATED",IF(J6593&lt;&gt;"","?FAMILIAR",IF(F6593="NEW",IF(ISNA(VLOOKUP(E6593,#REF!,1,FALSE())),"?TYPE_IDENTIFIABLE","?REFERENTIAL"),"_")))))</f>
        <v> </v>
      </c>
      <c r="H6593" s="25" t="str">
        <f>IF(J6593&lt;&gt;1,"",IF(I6593="SBJ","CB","?"))</f>
        <v> </v>
      </c>
      <c r="I6593" s="26" t="str">
        <f>IF(OR(E6593="",E6593="!!!",F6593="NEW"),"",INDEX(B6592:B$2,-1+SUMPRODUCT(MAX(ROW(E6592:E$2)*(E6593=E6592:E$2)))))</f>
        <v> </v>
      </c>
      <c r="J6593" s="26" t="str">
        <f>IF(OR(E6593="",E6593="!!!",F6593="NEW"),"",COUNTBLANK(OFFSET(A$1,,,SUMPRODUCT(MAX(ROW(E$2:E6593)*(E6593=E$2:E6593)))))-COUNTBLANK(OFFSET(A$1,,,SUMPRODUCT(MAX(ROW(E$1:E6592)*(E2=E$1:E6592))))))</f>
        <v> </v>
      </c>
      <c r="K6593" s="26" t="str">
        <f>IF(OR(E6593="",E6593="!!!",F6593="NEW"),"",INDEX(J$1:J6592,SUMPRODUCT(MAX(ROW(E$1:E6592)*(E6593=E$1:E6592)))))</f>
        <v> </v>
      </c>
      <c r="L6593" s="27"/>
    </row>
    <row r="6594" spans="1:12">
      <c r="A6594" s="20" t="s">
        <v>102</v>
      </c>
      <c r="E6594" s="22">
        <f>IF(D6594="?OLD","!!!","")</f>
        <v/>
      </c>
      <c r="F6594" s="23" t="str">
        <f>IF(OR(E6594="",E6594="!!!"),"",IF(NOT(ISNA(VLOOKUP(E6594,E$1:E6593,1,FALSE()))),"OLD",IF(AND(E6594&lt;&gt;"",E6594&lt;&gt;"!!!"),"NEW","")))</f>
        <v> </v>
      </c>
      <c r="G6594" s="24" t="str">
        <f>IF(OR(E6594="",E6594="!!!"),"",IF(OR(J6594=0,AND(J6594=1,K6594=1),AND(J6594=1,I6594="SBJ"),AND(J6594=1,I6594=0)),"?IN_FOCUS",IF(J6594&lt;=2,"?ACTIVATED",IF(J6594&lt;&gt;"","?FAMILIAR",IF(F6594="NEW",IF(ISNA(VLOOKUP(E6594,#REF!,1,FALSE())),"?TYPE_IDENTIFIABLE","?REFERENTIAL"),"_")))))</f>
        <v> </v>
      </c>
      <c r="H6594" s="25" t="str">
        <f>IF(J6594&lt;&gt;1,"",IF(I6594="SBJ","CB","?"))</f>
        <v> </v>
      </c>
      <c r="I6594" s="26" t="str">
        <f>IF(OR(E6594="",E6594="!!!",F6594="NEW"),"",INDEX(B6593:B$2,-1+SUMPRODUCT(MAX(ROW(E6593:E$2)*(E6594=E6593:E$2)))))</f>
        <v> </v>
      </c>
      <c r="J6594" s="26" t="str">
        <f>IF(OR(E6594="",E6594="!!!",F6594="NEW"),"",COUNTBLANK(OFFSET(A$1,,,SUMPRODUCT(MAX(ROW(E$2:E6594)*(E6594=E$2:E6594)))))-COUNTBLANK(OFFSET(A$1,,,SUMPRODUCT(MAX(ROW(E$1:E6593)*(E2=E$1:E6593))))))</f>
        <v> </v>
      </c>
      <c r="K6594" s="26" t="str">
        <f>IF(OR(E6594="",E6594="!!!",F6594="NEW"),"",INDEX(J$1:J6593,SUMPRODUCT(MAX(ROW(E$1:E6593)*(E6594=E$1:E6593)))))</f>
        <v> </v>
      </c>
      <c r="L6594" s="27"/>
    </row>
    <row r="6595" spans="1:12">
      <c r="A6595" s="20" t="s">
        <v>2337</v>
      </c>
      <c r="B6595" s="21" t="s">
        <v>1033</v>
      </c>
      <c r="C6595" s="21" t="s">
        <v>1059</v>
      </c>
      <c r="D6595" s="21" t="s">
        <v>1007</v>
      </c>
      <c r="E6595" s="22">
        <f>IF(D6595="?OLD","!!!","")</f>
        <v/>
      </c>
      <c r="F6595" s="23" t="str">
        <f>IF(OR(E6595="",E6595="!!!"),"",IF(NOT(ISNA(VLOOKUP(E6595,E$1:E6594,1,FALSE()))),"OLD",IF(AND(E6595&lt;&gt;"",E6595&lt;&gt;"!!!"),"NEW","")))</f>
        <v> </v>
      </c>
      <c r="G6595" s="24" t="str">
        <f>IF(OR(E6595="",E6595="!!!"),"",IF(OR(J6595=0,AND(J6595=1,K6595=1),AND(J6595=1,I6595="SBJ"),AND(J6595=1,I6595=0)),"?IN_FOCUS",IF(J6595&lt;=2,"?ACTIVATED",IF(J6595&lt;&gt;"","?FAMILIAR",IF(F6595="NEW",IF(ISNA(VLOOKUP(E6595,#REF!,1,FALSE())),"?TYPE_IDENTIFIABLE","?REFERENTIAL"),"_")))))</f>
        <v> </v>
      </c>
      <c r="H6595" s="25" t="str">
        <f>IF(J6595&lt;&gt;1,"",IF(I6595="SBJ","CB","?"))</f>
        <v> </v>
      </c>
      <c r="I6595" s="26" t="str">
        <f>IF(OR(E6595="",E6595="!!!",F6595="NEW"),"",INDEX(B6594:B$2,-1+SUMPRODUCT(MAX(ROW(E6594:E$2)*(E6595=E6594:E$2)))))</f>
        <v> </v>
      </c>
      <c r="J6595" s="26" t="str">
        <f>IF(OR(E6595="",E6595="!!!",F6595="NEW"),"",COUNTBLANK(OFFSET(A$1,,,SUMPRODUCT(MAX(ROW(E$2:E6595)*(E6595=E$2:E6595)))))-COUNTBLANK(OFFSET(A$1,,,SUMPRODUCT(MAX(ROW(E$1:E6594)*(E2=E$1:E6594))))))</f>
        <v> </v>
      </c>
      <c r="K6595" s="26" t="str">
        <f>IF(OR(E6595="",E6595="!!!",F6595="NEW"),"",INDEX(J$1:J6594,SUMPRODUCT(MAX(ROW(E$1:E6594)*(E6595=E$1:E6594)))))</f>
        <v> </v>
      </c>
      <c r="L6595" s="27"/>
    </row>
    <row r="6596" spans="1:12">
      <c r="A6596" s="20" t="s">
        <v>1455</v>
      </c>
      <c r="B6596" s="21" t="s">
        <v>1029</v>
      </c>
      <c r="C6596" s="21" t="s">
        <v>1013</v>
      </c>
      <c r="D6596" s="21" t="s">
        <v>1007</v>
      </c>
      <c r="E6596" s="22">
        <f>IF(D6596="?OLD","!!!","")</f>
        <v/>
      </c>
      <c r="F6596" s="23" t="str">
        <f>IF(OR(E6596="",E6596="!!!"),"",IF(NOT(ISNA(VLOOKUP(E6596,E$1:E6595,1,FALSE()))),"OLD",IF(AND(E6596&lt;&gt;"",E6596&lt;&gt;"!!!"),"NEW","")))</f>
        <v> </v>
      </c>
      <c r="G6596" s="24" t="str">
        <f>IF(OR(E6596="",E6596="!!!"),"",IF(OR(J6596=0,AND(J6596=1,K6596=1),AND(J6596=1,I6596="SBJ"),AND(J6596=1,I6596=0)),"?IN_FOCUS",IF(J6596&lt;=2,"?ACTIVATED",IF(J6596&lt;&gt;"","?FAMILIAR",IF(F6596="NEW",IF(ISNA(VLOOKUP(E6596,#REF!,1,FALSE())),"?TYPE_IDENTIFIABLE","?REFERENTIAL"),"_")))))</f>
        <v> </v>
      </c>
      <c r="H6596" s="25" t="str">
        <f>IF(J6596&lt;&gt;1,"",IF(I6596="SBJ","CB","?"))</f>
        <v> </v>
      </c>
      <c r="I6596" s="26" t="str">
        <f>IF(OR(E6596="",E6596="!!!",F6596="NEW"),"",INDEX(B6595:B$2,-1+SUMPRODUCT(MAX(ROW(E6595:E$2)*(E6596=E6595:E$2)))))</f>
        <v> </v>
      </c>
      <c r="J6596" s="26" t="str">
        <f>IF(OR(E6596="",E6596="!!!",F6596="NEW"),"",COUNTBLANK(OFFSET(A$1,,,SUMPRODUCT(MAX(ROW(E$2:E6596)*(E6596=E$2:E6596)))))-COUNTBLANK(OFFSET(A$1,,,SUMPRODUCT(MAX(ROW(E$1:E6595)*(E2=E$1:E6595))))))</f>
        <v> </v>
      </c>
      <c r="K6596" s="26" t="str">
        <f>IF(OR(E6596="",E6596="!!!",F6596="NEW"),"",INDEX(J$1:J6595,SUMPRODUCT(MAX(ROW(E$1:E6595)*(E6596=E$1:E6595)))))</f>
        <v> </v>
      </c>
      <c r="L6596" s="27"/>
    </row>
    <row r="6597" spans="1:12">
      <c r="A6597" s="20" t="s">
        <v>1014</v>
      </c>
      <c r="E6597" s="22">
        <f>IF(D6597="?OLD","!!!","")</f>
        <v/>
      </c>
      <c r="F6597" s="23" t="str">
        <f>IF(OR(E6597="",E6597="!!!"),"",IF(NOT(ISNA(VLOOKUP(E6597,E$1:E6596,1,FALSE()))),"OLD",IF(AND(E6597&lt;&gt;"",E6597&lt;&gt;"!!!"),"NEW","")))</f>
        <v> </v>
      </c>
      <c r="G6597" s="24" t="str">
        <f>IF(OR(E6597="",E6597="!!!"),"",IF(OR(J6597=0,AND(J6597=1,K6597=1),AND(J6597=1,I6597="SBJ"),AND(J6597=1,I6597=0)),"?IN_FOCUS",IF(J6597&lt;=2,"?ACTIVATED",IF(J6597&lt;&gt;"","?FAMILIAR",IF(F6597="NEW",IF(ISNA(VLOOKUP(E6597,#REF!,1,FALSE())),"?TYPE_IDENTIFIABLE","?REFERENTIAL"),"_")))))</f>
        <v> </v>
      </c>
      <c r="H6597" s="25" t="str">
        <f>IF(J6597&lt;&gt;1,"",IF(I6597="SBJ","CB","?"))</f>
        <v> </v>
      </c>
      <c r="I6597" s="26" t="str">
        <f>IF(OR(E6597="",E6597="!!!",F6597="NEW"),"",INDEX(B6596:B$2,-1+SUMPRODUCT(MAX(ROW(E6596:E$2)*(E6597=E6596:E$2)))))</f>
        <v> </v>
      </c>
      <c r="J6597" s="26" t="str">
        <f>IF(OR(E6597="",E6597="!!!",F6597="NEW"),"",COUNTBLANK(OFFSET(A$1,,,SUMPRODUCT(MAX(ROW(E$2:E6597)*(E6597=E$2:E6597)))))-COUNTBLANK(OFFSET(A$1,,,SUMPRODUCT(MAX(ROW(E$1:E6596)*(E2=E$1:E6596))))))</f>
        <v> </v>
      </c>
      <c r="K6597" s="26" t="str">
        <f>IF(OR(E6597="",E6597="!!!",F6597="NEW"),"",INDEX(J$1:J6596,SUMPRODUCT(MAX(ROW(E$1:E6596)*(E6597=E$1:E6596)))))</f>
        <v> </v>
      </c>
      <c r="L6597" s="27"/>
    </row>
    <row r="6598" spans="1:12">
      <c r="A6598" s="20" t="s">
        <v>102</v>
      </c>
      <c r="E6598" s="22">
        <f>IF(D6598="?OLD","!!!","")</f>
        <v/>
      </c>
      <c r="F6598" s="23" t="str">
        <f>IF(OR(E6598="",E6598="!!!"),"",IF(NOT(ISNA(VLOOKUP(E6598,E$1:E6597,1,FALSE()))),"OLD",IF(AND(E6598&lt;&gt;"",E6598&lt;&gt;"!!!"),"NEW","")))</f>
        <v> </v>
      </c>
      <c r="G6598" s="24" t="str">
        <f>IF(OR(E6598="",E6598="!!!"),"",IF(OR(J6598=0,AND(J6598=1,K6598=1),AND(J6598=1,I6598="SBJ"),AND(J6598=1,I6598=0)),"?IN_FOCUS",IF(J6598&lt;=2,"?ACTIVATED",IF(J6598&lt;&gt;"","?FAMILIAR",IF(F6598="NEW",IF(ISNA(VLOOKUP(E6598,#REF!,1,FALSE())),"?TYPE_IDENTIFIABLE","?REFERENTIAL"),"_")))))</f>
        <v> </v>
      </c>
      <c r="H6598" s="25" t="str">
        <f>IF(J6598&lt;&gt;1,"",IF(I6598="SBJ","CB","?"))</f>
        <v> </v>
      </c>
      <c r="I6598" s="26" t="str">
        <f>IF(OR(E6598="",E6598="!!!",F6598="NEW"),"",INDEX(B6597:B$2,-1+SUMPRODUCT(MAX(ROW(E6597:E$2)*(E6598=E6597:E$2)))))</f>
        <v> </v>
      </c>
      <c r="J6598" s="26" t="str">
        <f>IF(OR(E6598="",E6598="!!!",F6598="NEW"),"",COUNTBLANK(OFFSET(A$1,,,SUMPRODUCT(MAX(ROW(E$2:E6598)*(E6598=E$2:E6598)))))-COUNTBLANK(OFFSET(A$1,,,SUMPRODUCT(MAX(ROW(E$1:E6597)*(E2=E$1:E6597))))))</f>
        <v> </v>
      </c>
      <c r="K6598" s="26" t="str">
        <f>IF(OR(E6598="",E6598="!!!",F6598="NEW"),"",INDEX(J$1:J6597,SUMPRODUCT(MAX(ROW(E$1:E6597)*(E6598=E$1:E6597)))))</f>
        <v> </v>
      </c>
      <c r="L6598" s="27"/>
    </row>
    <row r="6599" spans="1:12">
      <c r="A6599" s="20" t="s">
        <v>2001</v>
      </c>
      <c r="B6599" s="21" t="s">
        <v>1033</v>
      </c>
      <c r="C6599" s="21" t="s">
        <v>1013</v>
      </c>
      <c r="D6599" s="21" t="s">
        <v>1007</v>
      </c>
      <c r="E6599" s="22">
        <f>IF(D6599="?OLD","!!!","")</f>
        <v/>
      </c>
      <c r="F6599" s="23" t="str">
        <f>IF(OR(E6599="",E6599="!!!"),"",IF(NOT(ISNA(VLOOKUP(E6599,E$1:E6598,1,FALSE()))),"OLD",IF(AND(E6599&lt;&gt;"",E6599&lt;&gt;"!!!"),"NEW","")))</f>
        <v> </v>
      </c>
      <c r="G6599" s="24" t="str">
        <f>IF(OR(E6599="",E6599="!!!"),"",IF(OR(J6599=0,AND(J6599=1,K6599=1),AND(J6599=1,I6599="SBJ"),AND(J6599=1,I6599=0)),"?IN_FOCUS",IF(J6599&lt;=2,"?ACTIVATED",IF(J6599&lt;&gt;"","?FAMILIAR",IF(F6599="NEW",IF(ISNA(VLOOKUP(E6599,#REF!,1,FALSE())),"?TYPE_IDENTIFIABLE","?REFERENTIAL"),"_")))))</f>
        <v> </v>
      </c>
      <c r="H6599" s="25" t="str">
        <f>IF(J6599&lt;&gt;1,"",IF(I6599="SBJ","CB","?"))</f>
        <v> </v>
      </c>
      <c r="I6599" s="26" t="str">
        <f>IF(OR(E6599="",E6599="!!!",F6599="NEW"),"",INDEX(B6598:B$2,-1+SUMPRODUCT(MAX(ROW(E6598:E$2)*(E6599=E6598:E$2)))))</f>
        <v> </v>
      </c>
      <c r="J6599" s="26" t="str">
        <f>IF(OR(E6599="",E6599="!!!",F6599="NEW"),"",COUNTBLANK(OFFSET(A$1,,,SUMPRODUCT(MAX(ROW(E$2:E6599)*(E6599=E$2:E6599)))))-COUNTBLANK(OFFSET(A$1,,,SUMPRODUCT(MAX(ROW(E$1:E6598)*(E2=E$1:E6598))))))</f>
        <v> </v>
      </c>
      <c r="K6599" s="26" t="str">
        <f>IF(OR(E6599="",E6599="!!!",F6599="NEW"),"",INDEX(J$1:J6598,SUMPRODUCT(MAX(ROW(E$1:E6598)*(E6599=E$1:E6598)))))</f>
        <v> </v>
      </c>
      <c r="L6599" s="27"/>
    </row>
    <row r="6600" spans="1:12">
      <c r="A6600" s="20" t="s">
        <v>1014</v>
      </c>
      <c r="E6600" s="22">
        <f>IF(D6600="?OLD","!!!","")</f>
        <v/>
      </c>
      <c r="F6600" s="23" t="str">
        <f>IF(OR(E6600="",E6600="!!!"),"",IF(NOT(ISNA(VLOOKUP(E6600,E$1:E6599,1,FALSE()))),"OLD",IF(AND(E6600&lt;&gt;"",E6600&lt;&gt;"!!!"),"NEW","")))</f>
        <v> </v>
      </c>
      <c r="G6600" s="24" t="str">
        <f>IF(OR(E6600="",E6600="!!!"),"",IF(OR(J6600=0,AND(J6600=1,K6600=1),AND(J6600=1,I6600="SBJ"),AND(J6600=1,I6600=0)),"?IN_FOCUS",IF(J6600&lt;=2,"?ACTIVATED",IF(J6600&lt;&gt;"","?FAMILIAR",IF(F6600="NEW",IF(ISNA(VLOOKUP(E6600,#REF!,1,FALSE())),"?TYPE_IDENTIFIABLE","?REFERENTIAL"),"_")))))</f>
        <v> </v>
      </c>
      <c r="H6600" s="25" t="str">
        <f>IF(J6600&lt;&gt;1,"",IF(I6600="SBJ","CB","?"))</f>
        <v> </v>
      </c>
      <c r="I6600" s="26" t="str">
        <f>IF(OR(E6600="",E6600="!!!",F6600="NEW"),"",INDEX(B6599:B$2,-1+SUMPRODUCT(MAX(ROW(E6599:E$2)*(E6600=E6599:E$2)))))</f>
        <v> </v>
      </c>
      <c r="J6600" s="26" t="str">
        <f>IF(OR(E6600="",E6600="!!!",F6600="NEW"),"",COUNTBLANK(OFFSET(A$1,,,SUMPRODUCT(MAX(ROW(E$2:E6600)*(E6600=E$2:E6600)))))-COUNTBLANK(OFFSET(A$1,,,SUMPRODUCT(MAX(ROW(E$1:E6599)*(E2=E$1:E6599))))))</f>
        <v> </v>
      </c>
      <c r="K6600" s="26" t="str">
        <f>IF(OR(E6600="",E6600="!!!",F6600="NEW"),"",INDEX(J$1:J6599,SUMPRODUCT(MAX(ROW(E$1:E6599)*(E6600=E$1:E6599)))))</f>
        <v> </v>
      </c>
      <c r="L6600" s="27"/>
    </row>
    <row r="6601" spans="1:12">
      <c r="A6601" s="20" t="s">
        <v>102</v>
      </c>
      <c r="E6601" s="22">
        <f>IF(D6601="?OLD","!!!","")</f>
        <v/>
      </c>
      <c r="F6601" s="23" t="str">
        <f>IF(OR(E6601="",E6601="!!!"),"",IF(NOT(ISNA(VLOOKUP(E6601,E$1:E6600,1,FALSE()))),"OLD",IF(AND(E6601&lt;&gt;"",E6601&lt;&gt;"!!!"),"NEW","")))</f>
        <v> </v>
      </c>
      <c r="G6601" s="24" t="str">
        <f>IF(OR(E6601="",E6601="!!!"),"",IF(OR(J6601=0,AND(J6601=1,K6601=1),AND(J6601=1,I6601="SBJ"),AND(J6601=1,I6601=0)),"?IN_FOCUS",IF(J6601&lt;=2,"?ACTIVATED",IF(J6601&lt;&gt;"","?FAMILIAR",IF(F6601="NEW",IF(ISNA(VLOOKUP(E6601,#REF!,1,FALSE())),"?TYPE_IDENTIFIABLE","?REFERENTIAL"),"_")))))</f>
        <v> </v>
      </c>
      <c r="H6601" s="25" t="str">
        <f>IF(J6601&lt;&gt;1,"",IF(I6601="SBJ","CB","?"))</f>
        <v> </v>
      </c>
      <c r="I6601" s="26" t="str">
        <f>IF(OR(E6601="",E6601="!!!",F6601="NEW"),"",INDEX(B6600:B$2,-1+SUMPRODUCT(MAX(ROW(E6600:E$2)*(E6601=E6600:E$2)))))</f>
        <v> </v>
      </c>
      <c r="J6601" s="26" t="str">
        <f>IF(OR(E6601="",E6601="!!!",F6601="NEW"),"",COUNTBLANK(OFFSET(A$1,,,SUMPRODUCT(MAX(ROW(E$2:E6601)*(E6601=E$2:E6601)))))-COUNTBLANK(OFFSET(A$1,,,SUMPRODUCT(MAX(ROW(E$1:E6600)*(E2=E$1:E6600))))))</f>
        <v> </v>
      </c>
      <c r="K6601" s="26" t="str">
        <f>IF(OR(E6601="",E6601="!!!",F6601="NEW"),"",INDEX(J$1:J6600,SUMPRODUCT(MAX(ROW(E$1:E6600)*(E6601=E$1:E6600)))))</f>
        <v> </v>
      </c>
      <c r="L6601" s="27"/>
    </row>
    <row r="6602" spans="1:12">
      <c r="A6602" s="20" t="s">
        <v>1267</v>
      </c>
      <c r="B6602" s="21" t="s">
        <v>1035</v>
      </c>
      <c r="C6602" s="21" t="s">
        <v>1017</v>
      </c>
      <c r="D6602" s="21" t="s">
        <v>1007</v>
      </c>
      <c r="E6602" s="22">
        <f>IF(D6602="?OLD","!!!","")</f>
        <v/>
      </c>
      <c r="F6602" s="23" t="str">
        <f>IF(OR(E6602="",E6602="!!!"),"",IF(NOT(ISNA(VLOOKUP(E6602,E$1:E6601,1,FALSE()))),"OLD",IF(AND(E6602&lt;&gt;"",E6602&lt;&gt;"!!!"),"NEW","")))</f>
        <v> </v>
      </c>
      <c r="G6602" s="24" t="str">
        <f>IF(OR(E6602="",E6602="!!!"),"",IF(OR(J6602=0,AND(J6602=1,K6602=1),AND(J6602=1,I6602="SBJ"),AND(J6602=1,I6602=0)),"?IN_FOCUS",IF(J6602&lt;=2,"?ACTIVATED",IF(J6602&lt;&gt;"","?FAMILIAR",IF(F6602="NEW",IF(ISNA(VLOOKUP(E6602,#REF!,1,FALSE())),"?TYPE_IDENTIFIABLE","?REFERENTIAL"),"_")))))</f>
        <v> </v>
      </c>
      <c r="H6602" s="25" t="str">
        <f>IF(J6602&lt;&gt;1,"",IF(I6602="SBJ","CB","?"))</f>
        <v> </v>
      </c>
      <c r="I6602" s="26" t="str">
        <f>IF(OR(E6602="",E6602="!!!",F6602="NEW"),"",INDEX(B6601:B$2,-1+SUMPRODUCT(MAX(ROW(E6601:E$2)*(E6602=E6601:E$2)))))</f>
        <v> </v>
      </c>
      <c r="J6602" s="26" t="str">
        <f>IF(OR(E6602="",E6602="!!!",F6602="NEW"),"",COUNTBLANK(OFFSET(A$1,,,SUMPRODUCT(MAX(ROW(E$2:E6602)*(E6602=E$2:E6602)))))-COUNTBLANK(OFFSET(A$1,,,SUMPRODUCT(MAX(ROW(E$1:E6601)*(E2=E$1:E6601))))))</f>
        <v> </v>
      </c>
      <c r="K6602" s="26" t="str">
        <f>IF(OR(E6602="",E6602="!!!",F6602="NEW"),"",INDEX(J$1:J6601,SUMPRODUCT(MAX(ROW(E$1:E6601)*(E6602=E$1:E6601)))))</f>
        <v> </v>
      </c>
      <c r="L6602" s="27"/>
    </row>
    <row r="6603" spans="1:12">
      <c r="A6603" s="20" t="s">
        <v>1199</v>
      </c>
      <c r="E6603" s="22">
        <f>IF(D6603="?OLD","!!!","")</f>
        <v/>
      </c>
      <c r="F6603" s="23" t="str">
        <f>IF(OR(E6603="",E6603="!!!"),"",IF(NOT(ISNA(VLOOKUP(E6603,E$1:E6602,1,FALSE()))),"OLD",IF(AND(E6603&lt;&gt;"",E6603&lt;&gt;"!!!"),"NEW","")))</f>
        <v> </v>
      </c>
      <c r="G6603" s="24" t="str">
        <f>IF(OR(E6603="",E6603="!!!"),"",IF(OR(J6603=0,AND(J6603=1,K6603=1),AND(J6603=1,I6603="SBJ"),AND(J6603=1,I6603=0)),"?IN_FOCUS",IF(J6603&lt;=2,"?ACTIVATED",IF(J6603&lt;&gt;"","?FAMILIAR",IF(F6603="NEW",IF(ISNA(VLOOKUP(E6603,#REF!,1,FALSE())),"?TYPE_IDENTIFIABLE","?REFERENTIAL"),"_")))))</f>
        <v> </v>
      </c>
      <c r="H6603" s="25" t="str">
        <f>IF(J6603&lt;&gt;1,"",IF(I6603="SBJ","CB","?"))</f>
        <v> </v>
      </c>
      <c r="I6603" s="26" t="str">
        <f>IF(OR(E6603="",E6603="!!!",F6603="NEW"),"",INDEX(B6602:B$2,-1+SUMPRODUCT(MAX(ROW(E6602:E$2)*(E6603=E6602:E$2)))))</f>
        <v> </v>
      </c>
      <c r="J6603" s="26" t="str">
        <f>IF(OR(E6603="",E6603="!!!",F6603="NEW"),"",COUNTBLANK(OFFSET(A$1,,,SUMPRODUCT(MAX(ROW(E$2:E6603)*(E6603=E$2:E6603)))))-COUNTBLANK(OFFSET(A$1,,,SUMPRODUCT(MAX(ROW(E$1:E6602)*(E2=E$1:E6602))))))</f>
        <v> </v>
      </c>
      <c r="K6603" s="26" t="str">
        <f>IF(OR(E6603="",E6603="!!!",F6603="NEW"),"",INDEX(J$1:J6602,SUMPRODUCT(MAX(ROW(E$1:E6602)*(E6603=E$1:E6602)))))</f>
        <v> </v>
      </c>
      <c r="L6603" s="27"/>
    </row>
    <row r="6604" spans="1:12">
      <c r="A6604" s="20" t="s">
        <v>1097</v>
      </c>
      <c r="E6604" s="22">
        <f>IF(D6604="?OLD","!!!","")</f>
        <v/>
      </c>
      <c r="F6604" s="23" t="str">
        <f>IF(OR(E6604="",E6604="!!!"),"",IF(NOT(ISNA(VLOOKUP(E6604,E$1:E6603,1,FALSE()))),"OLD",IF(AND(E6604&lt;&gt;"",E6604&lt;&gt;"!!!"),"NEW","")))</f>
        <v> </v>
      </c>
      <c r="G6604" s="24" t="str">
        <f>IF(OR(E6604="",E6604="!!!"),"",IF(OR(J6604=0,AND(J6604=1,K6604=1),AND(J6604=1,I6604="SBJ"),AND(J6604=1,I6604=0)),"?IN_FOCUS",IF(J6604&lt;=2,"?ACTIVATED",IF(J6604&lt;&gt;"","?FAMILIAR",IF(F6604="NEW",IF(ISNA(VLOOKUP(E6604,#REF!,1,FALSE())),"?TYPE_IDENTIFIABLE","?REFERENTIAL"),"_")))))</f>
        <v> </v>
      </c>
      <c r="H6604" s="25" t="str">
        <f>IF(J6604&lt;&gt;1,"",IF(I6604="SBJ","CB","?"))</f>
        <v> </v>
      </c>
      <c r="I6604" s="26" t="str">
        <f>IF(OR(E6604="",E6604="!!!",F6604="NEW"),"",INDEX(B6603:B$2,-1+SUMPRODUCT(MAX(ROW(E6603:E$2)*(E6604=E6603:E$2)))))</f>
        <v> </v>
      </c>
      <c r="J6604" s="26" t="str">
        <f>IF(OR(E6604="",E6604="!!!",F6604="NEW"),"",COUNTBLANK(OFFSET(A$1,,,SUMPRODUCT(MAX(ROW(E$2:E6604)*(E6604=E$2:E6604)))))-COUNTBLANK(OFFSET(A$1,,,SUMPRODUCT(MAX(ROW(E$1:E6603)*(E2=E$1:E6603))))))</f>
        <v> </v>
      </c>
      <c r="K6604" s="26" t="str">
        <f>IF(OR(E6604="",E6604="!!!",F6604="NEW"),"",INDEX(J$1:J6603,SUMPRODUCT(MAX(ROW(E$1:E6603)*(E6604=E$1:E6603)))))</f>
        <v> </v>
      </c>
      <c r="L6604" s="27"/>
    </row>
    <row r="6605" spans="1:12">
      <c r="A6605" s="20" t="s">
        <v>2704</v>
      </c>
      <c r="E6605" s="22">
        <f>IF(D6605="?OLD","!!!","")</f>
        <v/>
      </c>
      <c r="F6605" s="23" t="str">
        <f>IF(OR(E6605="",E6605="!!!"),"",IF(NOT(ISNA(VLOOKUP(E6605,E$1:E6604,1,FALSE()))),"OLD",IF(AND(E6605&lt;&gt;"",E6605&lt;&gt;"!!!"),"NEW","")))</f>
        <v> </v>
      </c>
      <c r="G6605" s="24" t="str">
        <f>IF(OR(E6605="",E6605="!!!"),"",IF(OR(J6605=0,AND(J6605=1,K6605=1),AND(J6605=1,I6605="SBJ"),AND(J6605=1,I6605=0)),"?IN_FOCUS",IF(J6605&lt;=2,"?ACTIVATED",IF(J6605&lt;&gt;"","?FAMILIAR",IF(F6605="NEW",IF(ISNA(VLOOKUP(E6605,#REF!,1,FALSE())),"?TYPE_IDENTIFIABLE","?REFERENTIAL"),"_")))))</f>
        <v> </v>
      </c>
      <c r="H6605" s="25" t="str">
        <f>IF(J6605&lt;&gt;1,"",IF(I6605="SBJ","CB","?"))</f>
        <v> </v>
      </c>
      <c r="I6605" s="26" t="str">
        <f>IF(OR(E6605="",E6605="!!!",F6605="NEW"),"",INDEX(B6604:B$2,-1+SUMPRODUCT(MAX(ROW(E6604:E$2)*(E6605=E6604:E$2)))))</f>
        <v> </v>
      </c>
      <c r="J6605" s="26" t="str">
        <f>IF(OR(E6605="",E6605="!!!",F6605="NEW"),"",COUNTBLANK(OFFSET(A$1,,,SUMPRODUCT(MAX(ROW(E$2:E6605)*(E6605=E$2:E6605)))))-COUNTBLANK(OFFSET(A$1,,,SUMPRODUCT(MAX(ROW(E$1:E6604)*(E2=E$1:E6604))))))</f>
        <v> </v>
      </c>
      <c r="K6605" s="26" t="str">
        <f>IF(OR(E6605="",E6605="!!!",F6605="NEW"),"",INDEX(J$1:J6604,SUMPRODUCT(MAX(ROW(E$1:E6604)*(E6605=E$1:E6604)))))</f>
        <v> </v>
      </c>
      <c r="L6605" s="27"/>
    </row>
    <row r="6606" spans="1:12">
      <c r="A6606" s="20" t="s">
        <v>1014</v>
      </c>
      <c r="E6606" s="22">
        <f>IF(D6606="?OLD","!!!","")</f>
        <v/>
      </c>
      <c r="F6606" s="23" t="str">
        <f>IF(OR(E6606="",E6606="!!!"),"",IF(NOT(ISNA(VLOOKUP(E6606,E$1:E6605,1,FALSE()))),"OLD",IF(AND(E6606&lt;&gt;"",E6606&lt;&gt;"!!!"),"NEW","")))</f>
        <v> </v>
      </c>
      <c r="G6606" s="24" t="str">
        <f>IF(OR(E6606="",E6606="!!!"),"",IF(OR(J6606=0,AND(J6606=1,K6606=1),AND(J6606=1,I6606="SBJ"),AND(J6606=1,I6606=0)),"?IN_FOCUS",IF(J6606&lt;=2,"?ACTIVATED",IF(J6606&lt;&gt;"","?FAMILIAR",IF(F6606="NEW",IF(ISNA(VLOOKUP(E6606,#REF!,1,FALSE())),"?TYPE_IDENTIFIABLE","?REFERENTIAL"),"_")))))</f>
        <v> </v>
      </c>
      <c r="H6606" s="25" t="str">
        <f>IF(J6606&lt;&gt;1,"",IF(I6606="SBJ","CB","?"))</f>
        <v> </v>
      </c>
      <c r="I6606" s="26" t="str">
        <f>IF(OR(E6606="",E6606="!!!",F6606="NEW"),"",INDEX(B6605:B$2,-1+SUMPRODUCT(MAX(ROW(E6605:E$2)*(E6606=E6605:E$2)))))</f>
        <v> </v>
      </c>
      <c r="J6606" s="26" t="str">
        <f>IF(OR(E6606="",E6606="!!!",F6606="NEW"),"",COUNTBLANK(OFFSET(A$1,,,SUMPRODUCT(MAX(ROW(E$2:E6606)*(E6606=E$2:E6606)))))-COUNTBLANK(OFFSET(A$1,,,SUMPRODUCT(MAX(ROW(E$1:E6605)*(E2=E$1:E6605))))))</f>
        <v> </v>
      </c>
      <c r="K6606" s="26" t="str">
        <f>IF(OR(E6606="",E6606="!!!",F6606="NEW"),"",INDEX(J$1:J6605,SUMPRODUCT(MAX(ROW(E$1:E6605)*(E6606=E$1:E6605)))))</f>
        <v> </v>
      </c>
      <c r="L6606" s="27"/>
    </row>
    <row r="6607" spans="1:12">
      <c r="A6607" s="20" t="s">
        <v>2328</v>
      </c>
      <c r="E6607" s="22">
        <f>IF(D6607="?OLD","!!!","")</f>
        <v/>
      </c>
      <c r="F6607" s="23" t="str">
        <f>IF(OR(E6607="",E6607="!!!"),"",IF(NOT(ISNA(VLOOKUP(E6607,E$1:E6606,1,FALSE()))),"OLD",IF(AND(E6607&lt;&gt;"",E6607&lt;&gt;"!!!"),"NEW","")))</f>
        <v> </v>
      </c>
      <c r="G6607" s="24" t="str">
        <f>IF(OR(E6607="",E6607="!!!"),"",IF(OR(J6607=0,AND(J6607=1,K6607=1),AND(J6607=1,I6607="SBJ"),AND(J6607=1,I6607=0)),"?IN_FOCUS",IF(J6607&lt;=2,"?ACTIVATED",IF(J6607&lt;&gt;"","?FAMILIAR",IF(F6607="NEW",IF(ISNA(VLOOKUP(E6607,#REF!,1,FALSE())),"?TYPE_IDENTIFIABLE","?REFERENTIAL"),"_")))))</f>
        <v> </v>
      </c>
      <c r="H6607" s="25" t="str">
        <f>IF(J6607&lt;&gt;1,"",IF(I6607="SBJ","CB","?"))</f>
        <v> </v>
      </c>
      <c r="I6607" s="26" t="str">
        <f>IF(OR(E6607="",E6607="!!!",F6607="NEW"),"",INDEX(B6606:B$2,-1+SUMPRODUCT(MAX(ROW(E6606:E$2)*(E6607=E6606:E$2)))))</f>
        <v> </v>
      </c>
      <c r="J6607" s="26" t="str">
        <f>IF(OR(E6607="",E6607="!!!",F6607="NEW"),"",COUNTBLANK(OFFSET(A$1,,,SUMPRODUCT(MAX(ROW(E$2:E6607)*(E6607=E$2:E6607)))))-COUNTBLANK(OFFSET(A$1,,,SUMPRODUCT(MAX(ROW(E$1:E6606)*(E2=E$1:E6606))))))</f>
        <v> </v>
      </c>
      <c r="K6607" s="26" t="str">
        <f>IF(OR(E6607="",E6607="!!!",F6607="NEW"),"",INDEX(J$1:J6606,SUMPRODUCT(MAX(ROW(E$1:E6606)*(E6607=E$1:E6606)))))</f>
        <v> </v>
      </c>
      <c r="L6607" s="27"/>
    </row>
    <row r="6608" spans="1:12">
      <c r="A6608" s="20" t="s">
        <v>1289</v>
      </c>
      <c r="B6608" s="21" t="s">
        <v>1029</v>
      </c>
      <c r="C6608" s="21" t="s">
        <v>1048</v>
      </c>
      <c r="E6608" s="22">
        <f>IF(D6608="?OLD","!!!","")</f>
        <v/>
      </c>
      <c r="F6608" s="23" t="str">
        <f>IF(OR(E6608="",E6608="!!!"),"",IF(NOT(ISNA(VLOOKUP(E6608,E$1:E6607,1,FALSE()))),"OLD",IF(AND(E6608&lt;&gt;"",E6608&lt;&gt;"!!!"),"NEW","")))</f>
        <v> </v>
      </c>
      <c r="G6608" s="24" t="str">
        <f>IF(OR(E6608="",E6608="!!!"),"",IF(OR(J6608=0,AND(J6608=1,K6608=1),AND(J6608=1,I6608="SBJ"),AND(J6608=1,I6608=0)),"?IN_FOCUS",IF(J6608&lt;=2,"?ACTIVATED",IF(J6608&lt;&gt;"","?FAMILIAR",IF(F6608="NEW",IF(ISNA(VLOOKUP(E6608,#REF!,1,FALSE())),"?TYPE_IDENTIFIABLE","?REFERENTIAL"),"_")))))</f>
        <v> </v>
      </c>
      <c r="H6608" s="25" t="str">
        <f>IF(J6608&lt;&gt;1,"",IF(I6608="SBJ","CB","?"))</f>
        <v> </v>
      </c>
      <c r="I6608" s="26" t="str">
        <f>IF(OR(E6608="",E6608="!!!",F6608="NEW"),"",INDEX(B6607:B$2,-1+SUMPRODUCT(MAX(ROW(E6607:E$2)*(E6608=E6607:E$2)))))</f>
        <v> </v>
      </c>
      <c r="J6608" s="26" t="str">
        <f>IF(OR(E6608="",E6608="!!!",F6608="NEW"),"",COUNTBLANK(OFFSET(A$1,,,SUMPRODUCT(MAX(ROW(E$2:E6608)*(E6608=E$2:E6608)))))-COUNTBLANK(OFFSET(A$1,,,SUMPRODUCT(MAX(ROW(E$1:E6607)*(E2=E$1:E6607))))))</f>
        <v> </v>
      </c>
      <c r="K6608" s="26" t="str">
        <f>IF(OR(E6608="",E6608="!!!",F6608="NEW"),"",INDEX(J$1:J6607,SUMPRODUCT(MAX(ROW(E$1:E6607)*(E6608=E$1:E6607)))))</f>
        <v> </v>
      </c>
      <c r="L6608" s="27"/>
    </row>
    <row r="6609" spans="1:12">
      <c r="A6609" s="20" t="s">
        <v>1023</v>
      </c>
      <c r="E6609" s="22">
        <f>IF(D6609="?OLD","!!!","")</f>
        <v/>
      </c>
      <c r="F6609" s="23" t="str">
        <f>IF(OR(E6609="",E6609="!!!"),"",IF(NOT(ISNA(VLOOKUP(E6609,E$1:E6608,1,FALSE()))),"OLD",IF(AND(E6609&lt;&gt;"",E6609&lt;&gt;"!!!"),"NEW","")))</f>
        <v> </v>
      </c>
      <c r="G6609" s="24" t="str">
        <f>IF(OR(E6609="",E6609="!!!"),"",IF(OR(J6609=0,AND(J6609=1,K6609=1),AND(J6609=1,I6609="SBJ"),AND(J6609=1,I6609=0)),"?IN_FOCUS",IF(J6609&lt;=2,"?ACTIVATED",IF(J6609&lt;&gt;"","?FAMILIAR",IF(F6609="NEW",IF(ISNA(VLOOKUP(E6609,#REF!,1,FALSE())),"?TYPE_IDENTIFIABLE","?REFERENTIAL"),"_")))))</f>
        <v> </v>
      </c>
      <c r="H6609" s="25" t="str">
        <f>IF(J6609&lt;&gt;1,"",IF(I6609="SBJ","CB","?"))</f>
        <v> </v>
      </c>
      <c r="I6609" s="26" t="str">
        <f>IF(OR(E6609="",E6609="!!!",F6609="NEW"),"",INDEX(B6608:B$2,-1+SUMPRODUCT(MAX(ROW(E6608:E$2)*(E6609=E6608:E$2)))))</f>
        <v> </v>
      </c>
      <c r="J6609" s="26" t="str">
        <f>IF(OR(E6609="",E6609="!!!",F6609="NEW"),"",COUNTBLANK(OFFSET(A$1,,,SUMPRODUCT(MAX(ROW(E$2:E6609)*(E6609=E$2:E6609)))))-COUNTBLANK(OFFSET(A$1,,,SUMPRODUCT(MAX(ROW(E$1:E6608)*(E2=E$1:E6608))))))</f>
        <v> </v>
      </c>
      <c r="K6609" s="26" t="str">
        <f>IF(OR(E6609="",E6609="!!!",F6609="NEW"),"",INDEX(J$1:J6608,SUMPRODUCT(MAX(ROW(E$1:E6608)*(E6609=E$1:E6608)))))</f>
        <v> </v>
      </c>
      <c r="L6609" s="27"/>
    </row>
    <row r="6610" spans="1:12">
      <c r="A6610" s="20"/>
    </row>
    <row r="6611" spans="1:12">
      <c r="A6611" s="20" t="s">
        <v>2705</v>
      </c>
    </row>
    <row r="6612" spans="1:12">
      <c r="A6612" s="20" t="s">
        <v>1094</v>
      </c>
      <c r="E6612" s="22">
        <f>IF(D6612="?OLD","!!!","")</f>
        <v/>
      </c>
      <c r="F6612" s="23" t="str">
        <f>IF(OR(E6612="",E6612="!!!"),"",IF(NOT(ISNA(VLOOKUP(E6612,E$1:E6611,1,FALSE()))),"OLD",IF(AND(E6612&lt;&gt;"",E6612&lt;&gt;"!!!"),"NEW","")))</f>
        <v> </v>
      </c>
      <c r="G6612" s="24" t="str">
        <f>IF(OR(E6612="",E6612="!!!"),"",IF(OR(J6612=0,AND(J6612=1,K6612=1),AND(J6612=1,I6612="SBJ"),AND(J6612=1,I6612=0)),"?IN_FOCUS",IF(J6612&lt;=2,"?ACTIVATED",IF(J6612&lt;&gt;"","?FAMILIAR",IF(F6612="NEW",IF(ISNA(VLOOKUP(E6612,#REF!,1,FALSE())),"?TYPE_IDENTIFIABLE","?REFERENTIAL"),"_")))))</f>
        <v> </v>
      </c>
      <c r="H6612" s="25" t="str">
        <f>IF(J6612&lt;&gt;1,"",IF(I6612="SBJ","CB","?"))</f>
        <v> </v>
      </c>
      <c r="I6612" s="26" t="str">
        <f>IF(OR(E6612="",E6612="!!!",F6612="NEW"),"",INDEX(B6611:B$2,-1+SUMPRODUCT(MAX(ROW(E6611:E$2)*(E6612=E6611:E$2)))))</f>
        <v> </v>
      </c>
      <c r="J6612" s="26" t="str">
        <f>IF(OR(E6612="",E6612="!!!",F6612="NEW"),"",COUNTBLANK(OFFSET(A$1,,,SUMPRODUCT(MAX(ROW(E$2:E6612)*(E6612=E$2:E6612)))))-COUNTBLANK(OFFSET(A$1,,,SUMPRODUCT(MAX(ROW(E$1:E6611)*(E2=E$1:E6611))))))</f>
        <v> </v>
      </c>
      <c r="K6612" s="26" t="str">
        <f>IF(OR(E6612="",E6612="!!!",F6612="NEW"),"",INDEX(J$1:J6611,SUMPRODUCT(MAX(ROW(E$1:E6611)*(E6612=E$1:E6611)))))</f>
        <v> </v>
      </c>
      <c r="L6612" s="27"/>
    </row>
    <row r="6613" spans="1:12">
      <c r="A6613" s="20" t="s">
        <v>1009</v>
      </c>
      <c r="E6613" s="22">
        <f>IF(D6613="?OLD","!!!","")</f>
        <v/>
      </c>
      <c r="F6613" s="23" t="str">
        <f>IF(OR(E6613="",E6613="!!!"),"",IF(NOT(ISNA(VLOOKUP(E6613,E$1:E6612,1,FALSE()))),"OLD",IF(AND(E6613&lt;&gt;"",E6613&lt;&gt;"!!!"),"NEW","")))</f>
        <v> </v>
      </c>
      <c r="G6613" s="24" t="str">
        <f>IF(OR(E6613="",E6613="!!!"),"",IF(OR(J6613=0,AND(J6613=1,K6613=1),AND(J6613=1,I6613="SBJ"),AND(J6613=1,I6613=0)),"?IN_FOCUS",IF(J6613&lt;=2,"?ACTIVATED",IF(J6613&lt;&gt;"","?FAMILIAR",IF(F6613="NEW",IF(ISNA(VLOOKUP(E6613,#REF!,1,FALSE())),"?TYPE_IDENTIFIABLE","?REFERENTIAL"),"_")))))</f>
        <v> </v>
      </c>
      <c r="H6613" s="25" t="str">
        <f>IF(J6613&lt;&gt;1,"",IF(I6613="SBJ","CB","?"))</f>
        <v> </v>
      </c>
      <c r="I6613" s="26" t="str">
        <f>IF(OR(E6613="",E6613="!!!",F6613="NEW"),"",INDEX(B6612:B$2,-1+SUMPRODUCT(MAX(ROW(E6612:E$2)*(E6613=E6612:E$2)))))</f>
        <v> </v>
      </c>
      <c r="J6613" s="26" t="str">
        <f>IF(OR(E6613="",E6613="!!!",F6613="NEW"),"",COUNTBLANK(OFFSET(A$1,,,SUMPRODUCT(MAX(ROW(E$2:E6613)*(E6613=E$2:E6613)))))-COUNTBLANK(OFFSET(A$1,,,SUMPRODUCT(MAX(ROW(E$1:E6612)*(E2=E$1:E6612))))))</f>
        <v> </v>
      </c>
      <c r="K6613" s="26" t="str">
        <f>IF(OR(E6613="",E6613="!!!",F6613="NEW"),"",INDEX(J$1:J6612,SUMPRODUCT(MAX(ROW(E$1:E6612)*(E6613=E$1:E6612)))))</f>
        <v> </v>
      </c>
      <c r="L6613" s="27"/>
    </row>
    <row r="6614" spans="1:12">
      <c r="A6614" s="20" t="s">
        <v>2706</v>
      </c>
      <c r="E6614" s="22">
        <f>IF(D6614="?OLD","!!!","")</f>
        <v/>
      </c>
      <c r="F6614" s="23" t="str">
        <f>IF(OR(E6614="",E6614="!!!"),"",IF(NOT(ISNA(VLOOKUP(E6614,E$1:E6613,1,FALSE()))),"OLD",IF(AND(E6614&lt;&gt;"",E6614&lt;&gt;"!!!"),"NEW","")))</f>
        <v> </v>
      </c>
      <c r="G6614" s="24" t="str">
        <f>IF(OR(E6614="",E6614="!!!"),"",IF(OR(J6614=0,AND(J6614=1,K6614=1),AND(J6614=1,I6614="SBJ"),AND(J6614=1,I6614=0)),"?IN_FOCUS",IF(J6614&lt;=2,"?ACTIVATED",IF(J6614&lt;&gt;"","?FAMILIAR",IF(F6614="NEW",IF(ISNA(VLOOKUP(E6614,#REF!,1,FALSE())),"?TYPE_IDENTIFIABLE","?REFERENTIAL"),"_")))))</f>
        <v> </v>
      </c>
      <c r="H6614" s="25" t="str">
        <f>IF(J6614&lt;&gt;1,"",IF(I6614="SBJ","CB","?"))</f>
        <v> </v>
      </c>
      <c r="I6614" s="26" t="str">
        <f>IF(OR(E6614="",E6614="!!!",F6614="NEW"),"",INDEX(B6613:B$2,-1+SUMPRODUCT(MAX(ROW(E6613:E$2)*(E6614=E6613:E$2)))))</f>
        <v> </v>
      </c>
      <c r="J6614" s="26" t="str">
        <f>IF(OR(E6614="",E6614="!!!",F6614="NEW"),"",COUNTBLANK(OFFSET(A$1,,,SUMPRODUCT(MAX(ROW(E$2:E6614)*(E6614=E$2:E6614)))))-COUNTBLANK(OFFSET(A$1,,,SUMPRODUCT(MAX(ROW(E$1:E6613)*(E2=E$1:E6613))))))</f>
        <v> </v>
      </c>
      <c r="K6614" s="26" t="str">
        <f>IF(OR(E6614="",E6614="!!!",F6614="NEW"),"",INDEX(J$1:J6613,SUMPRODUCT(MAX(ROW(E$1:E6613)*(E6614=E$1:E6613)))))</f>
        <v> </v>
      </c>
      <c r="L6614" s="27"/>
    </row>
    <row r="6615" spans="1:12">
      <c r="A6615" s="20" t="s">
        <v>1018</v>
      </c>
      <c r="E6615" s="22">
        <f>IF(D6615="?OLD","!!!","")</f>
        <v/>
      </c>
      <c r="F6615" s="23" t="str">
        <f>IF(OR(E6615="",E6615="!!!"),"",IF(NOT(ISNA(VLOOKUP(E6615,E$1:E6614,1,FALSE()))),"OLD",IF(AND(E6615&lt;&gt;"",E6615&lt;&gt;"!!!"),"NEW","")))</f>
        <v> </v>
      </c>
      <c r="G6615" s="24" t="str">
        <f>IF(OR(E6615="",E6615="!!!"),"",IF(OR(J6615=0,AND(J6615=1,K6615=1),AND(J6615=1,I6615="SBJ"),AND(J6615=1,I6615=0)),"?IN_FOCUS",IF(J6615&lt;=2,"?ACTIVATED",IF(J6615&lt;&gt;"","?FAMILIAR",IF(F6615="NEW",IF(ISNA(VLOOKUP(E6615,#REF!,1,FALSE())),"?TYPE_IDENTIFIABLE","?REFERENTIAL"),"_")))))</f>
        <v> </v>
      </c>
      <c r="H6615" s="25" t="str">
        <f>IF(J6615&lt;&gt;1,"",IF(I6615="SBJ","CB","?"))</f>
        <v> </v>
      </c>
      <c r="I6615" s="26" t="str">
        <f>IF(OR(E6615="",E6615="!!!",F6615="NEW"),"",INDEX(B6614:B$2,-1+SUMPRODUCT(MAX(ROW(E6614:E$2)*(E6615=E6614:E$2)))))</f>
        <v> </v>
      </c>
      <c r="J6615" s="26" t="str">
        <f>IF(OR(E6615="",E6615="!!!",F6615="NEW"),"",COUNTBLANK(OFFSET(A$1,,,SUMPRODUCT(MAX(ROW(E$2:E6615)*(E6615=E$2:E6615)))))-COUNTBLANK(OFFSET(A$1,,,SUMPRODUCT(MAX(ROW(E$1:E6614)*(E2=E$1:E6614))))))</f>
        <v> </v>
      </c>
      <c r="K6615" s="26" t="str">
        <f>IF(OR(E6615="",E6615="!!!",F6615="NEW"),"",INDEX(J$1:J6614,SUMPRODUCT(MAX(ROW(E$1:E6614)*(E6615=E$1:E6614)))))</f>
        <v> </v>
      </c>
      <c r="L6615" s="27"/>
    </row>
    <row r="6616" spans="1:12">
      <c r="A6616" s="20" t="s">
        <v>2707</v>
      </c>
      <c r="E6616" s="22">
        <f>IF(D6616="?OLD","!!!","")</f>
        <v/>
      </c>
      <c r="F6616" s="23" t="str">
        <f>IF(OR(E6616="",E6616="!!!"),"",IF(NOT(ISNA(VLOOKUP(E6616,E$1:E6615,1,FALSE()))),"OLD",IF(AND(E6616&lt;&gt;"",E6616&lt;&gt;"!!!"),"NEW","")))</f>
        <v> </v>
      </c>
      <c r="G6616" s="24" t="str">
        <f>IF(OR(E6616="",E6616="!!!"),"",IF(OR(J6616=0,AND(J6616=1,K6616=1),AND(J6616=1,I6616="SBJ"),AND(J6616=1,I6616=0)),"?IN_FOCUS",IF(J6616&lt;=2,"?ACTIVATED",IF(J6616&lt;&gt;"","?FAMILIAR",IF(F6616="NEW",IF(ISNA(VLOOKUP(E6616,#REF!,1,FALSE())),"?TYPE_IDENTIFIABLE","?REFERENTIAL"),"_")))))</f>
        <v> </v>
      </c>
      <c r="H6616" s="25" t="str">
        <f>IF(J6616&lt;&gt;1,"",IF(I6616="SBJ","CB","?"))</f>
        <v> </v>
      </c>
      <c r="I6616" s="26" t="str">
        <f>IF(OR(E6616="",E6616="!!!",F6616="NEW"),"",INDEX(B6615:B$2,-1+SUMPRODUCT(MAX(ROW(E6615:E$2)*(E6616=E6615:E$2)))))</f>
        <v> </v>
      </c>
      <c r="J6616" s="26" t="str">
        <f>IF(OR(E6616="",E6616="!!!",F6616="NEW"),"",COUNTBLANK(OFFSET(A$1,,,SUMPRODUCT(MAX(ROW(E$2:E6616)*(E6616=E$2:E6616)))))-COUNTBLANK(OFFSET(A$1,,,SUMPRODUCT(MAX(ROW(E$1:E6615)*(E2=E$1:E6615))))))</f>
        <v> </v>
      </c>
      <c r="K6616" s="26" t="str">
        <f>IF(OR(E6616="",E6616="!!!",F6616="NEW"),"",INDEX(J$1:J6615,SUMPRODUCT(MAX(ROW(E$1:E6615)*(E6616=E$1:E6615)))))</f>
        <v> </v>
      </c>
      <c r="L6616" s="27"/>
    </row>
    <row r="6617" spans="1:12">
      <c r="A6617" s="20" t="s">
        <v>1020</v>
      </c>
      <c r="E6617" s="22">
        <f>IF(D6617="?OLD","!!!","")</f>
        <v/>
      </c>
      <c r="F6617" s="23" t="str">
        <f>IF(OR(E6617="",E6617="!!!"),"",IF(NOT(ISNA(VLOOKUP(E6617,E$1:E6616,1,FALSE()))),"OLD",IF(AND(E6617&lt;&gt;"",E6617&lt;&gt;"!!!"),"NEW","")))</f>
        <v> </v>
      </c>
      <c r="G6617" s="24" t="str">
        <f>IF(OR(E6617="",E6617="!!!"),"",IF(OR(J6617=0,AND(J6617=1,K6617=1),AND(J6617=1,I6617="SBJ"),AND(J6617=1,I6617=0)),"?IN_FOCUS",IF(J6617&lt;=2,"?ACTIVATED",IF(J6617&lt;&gt;"","?FAMILIAR",IF(F6617="NEW",IF(ISNA(VLOOKUP(E6617,#REF!,1,FALSE())),"?TYPE_IDENTIFIABLE","?REFERENTIAL"),"_")))))</f>
        <v> </v>
      </c>
      <c r="H6617" s="25" t="str">
        <f>IF(J6617&lt;&gt;1,"",IF(I6617="SBJ","CB","?"))</f>
        <v> </v>
      </c>
      <c r="I6617" s="26" t="str">
        <f>IF(OR(E6617="",E6617="!!!",F6617="NEW"),"",INDEX(B6616:B$2,-1+SUMPRODUCT(MAX(ROW(E6616:E$2)*(E6617=E6616:E$2)))))</f>
        <v> </v>
      </c>
      <c r="J6617" s="26" t="str">
        <f>IF(OR(E6617="",E6617="!!!",F6617="NEW"),"",COUNTBLANK(OFFSET(A$1,,,SUMPRODUCT(MAX(ROW(E$2:E6617)*(E6617=E$2:E6617)))))-COUNTBLANK(OFFSET(A$1,,,SUMPRODUCT(MAX(ROW(E$1:E6616)*(E2=E$1:E6616))))))</f>
        <v> </v>
      </c>
      <c r="K6617" s="26" t="str">
        <f>IF(OR(E6617="",E6617="!!!",F6617="NEW"),"",INDEX(J$1:J6616,SUMPRODUCT(MAX(ROW(E$1:E6616)*(E6617=E$1:E6616)))))</f>
        <v> </v>
      </c>
      <c r="L6617" s="27"/>
    </row>
    <row r="6618" spans="1:12">
      <c r="A6618" s="20" t="s">
        <v>1020</v>
      </c>
      <c r="E6618" s="22">
        <f>IF(D6618="?OLD","!!!","")</f>
        <v/>
      </c>
      <c r="F6618" s="23" t="str">
        <f>IF(OR(E6618="",E6618="!!!"),"",IF(NOT(ISNA(VLOOKUP(E6618,E$1:E6617,1,FALSE()))),"OLD",IF(AND(E6618&lt;&gt;"",E6618&lt;&gt;"!!!"),"NEW","")))</f>
        <v> </v>
      </c>
      <c r="G6618" s="24" t="str">
        <f>IF(OR(E6618="",E6618="!!!"),"",IF(OR(J6618=0,AND(J6618=1,K6618=1),AND(J6618=1,I6618="SBJ"),AND(J6618=1,I6618=0)),"?IN_FOCUS",IF(J6618&lt;=2,"?ACTIVATED",IF(J6618&lt;&gt;"","?FAMILIAR",IF(F6618="NEW",IF(ISNA(VLOOKUP(E6618,#REF!,1,FALSE())),"?TYPE_IDENTIFIABLE","?REFERENTIAL"),"_")))))</f>
        <v> </v>
      </c>
      <c r="H6618" s="25" t="str">
        <f>IF(J6618&lt;&gt;1,"",IF(I6618="SBJ","CB","?"))</f>
        <v> </v>
      </c>
      <c r="I6618" s="26" t="str">
        <f>IF(OR(E6618="",E6618="!!!",F6618="NEW"),"",INDEX(B6617:B$2,-1+SUMPRODUCT(MAX(ROW(E6617:E$2)*(E6618=E6617:E$2)))))</f>
        <v> </v>
      </c>
      <c r="J6618" s="26" t="str">
        <f>IF(OR(E6618="",E6618="!!!",F6618="NEW"),"",COUNTBLANK(OFFSET(A$1,,,SUMPRODUCT(MAX(ROW(E$2:E6618)*(E6618=E$2:E6618)))))-COUNTBLANK(OFFSET(A$1,,,SUMPRODUCT(MAX(ROW(E$1:E6617)*(E2=E$1:E6617))))))</f>
        <v> </v>
      </c>
      <c r="K6618" s="26" t="str">
        <f>IF(OR(E6618="",E6618="!!!",F6618="NEW"),"",INDEX(J$1:J6617,SUMPRODUCT(MAX(ROW(E$1:E6617)*(E6618=E$1:E6617)))))</f>
        <v> </v>
      </c>
      <c r="L6618" s="27"/>
    </row>
    <row r="6619" spans="1:12">
      <c r="A6619" s="20" t="s">
        <v>1021</v>
      </c>
      <c r="B6619" s="21" t="s">
        <v>1022</v>
      </c>
      <c r="C6619" s="21" t="s">
        <v>1006</v>
      </c>
      <c r="D6619" s="21" t="s">
        <v>1007</v>
      </c>
      <c r="E6619" s="22">
        <f>IF(D6619="?OLD","!!!","")</f>
        <v/>
      </c>
      <c r="F6619" s="23" t="str">
        <f>IF(OR(E6619="",E6619="!!!"),"",IF(NOT(ISNA(VLOOKUP(E6619,E$1:E6618,1,FALSE()))),"OLD",IF(AND(E6619&lt;&gt;"",E6619&lt;&gt;"!!!"),"NEW","")))</f>
        <v> </v>
      </c>
      <c r="G6619" s="24" t="str">
        <f>IF(OR(E6619="",E6619="!!!"),"",IF(OR(J6619=0,AND(J6619=1,K6619=1),AND(J6619=1,I6619="SBJ"),AND(J6619=1,I6619=0)),"?IN_FOCUS",IF(J6619&lt;=2,"?ACTIVATED",IF(J6619&lt;&gt;"","?FAMILIAR",IF(F6619="NEW",IF(ISNA(VLOOKUP(E6619,#REF!,1,FALSE())),"?TYPE_IDENTIFIABLE","?REFERENTIAL"),"_")))))</f>
        <v> </v>
      </c>
      <c r="H6619" s="25" t="str">
        <f>IF(J6619&lt;&gt;1,"",IF(I6619="SBJ","CB","?"))</f>
        <v> </v>
      </c>
      <c r="I6619" s="26" t="str">
        <f>IF(OR(E6619="",E6619="!!!",F6619="NEW"),"",INDEX(B6618:B$2,-1+SUMPRODUCT(MAX(ROW(E6618:E$2)*(E6619=E6618:E$2)))))</f>
        <v> </v>
      </c>
      <c r="J6619" s="26" t="str">
        <f>IF(OR(E6619="",E6619="!!!",F6619="NEW"),"",COUNTBLANK(OFFSET(A$1,,,SUMPRODUCT(MAX(ROW(E$2:E6619)*(E6619=E$2:E6619)))))-COUNTBLANK(OFFSET(A$1,,,SUMPRODUCT(MAX(ROW(E$1:E6618)*(E2=E$1:E6618))))))</f>
        <v> </v>
      </c>
      <c r="K6619" s="26" t="str">
        <f>IF(OR(E6619="",E6619="!!!",F6619="NEW"),"",INDEX(J$1:J6618,SUMPRODUCT(MAX(ROW(E$1:E6618)*(E6619=E$1:E6618)))))</f>
        <v> </v>
      </c>
      <c r="L6619" s="27"/>
    </row>
    <row r="6620" spans="1:12">
      <c r="A6620" s="20" t="s">
        <v>56</v>
      </c>
      <c r="E6620" s="22">
        <f>IF(D6620="?OLD","!!!","")</f>
        <v/>
      </c>
      <c r="F6620" s="23" t="str">
        <f>IF(OR(E6620="",E6620="!!!"),"",IF(NOT(ISNA(VLOOKUP(E6620,E$1:E6619,1,FALSE()))),"OLD",IF(AND(E6620&lt;&gt;"",E6620&lt;&gt;"!!!"),"NEW","")))</f>
        <v> </v>
      </c>
      <c r="G6620" s="24" t="str">
        <f>IF(OR(E6620="",E6620="!!!"),"",IF(OR(J6620=0,AND(J6620=1,K6620=1),AND(J6620=1,I6620="SBJ"),AND(J6620=1,I6620=0)),"?IN_FOCUS",IF(J6620&lt;=2,"?ACTIVATED",IF(J6620&lt;&gt;"","?FAMILIAR",IF(F6620="NEW",IF(ISNA(VLOOKUP(E6620,#REF!,1,FALSE())),"?TYPE_IDENTIFIABLE","?REFERENTIAL"),"_")))))</f>
        <v> </v>
      </c>
      <c r="H6620" s="25" t="str">
        <f>IF(J6620&lt;&gt;1,"",IF(I6620="SBJ","CB","?"))</f>
        <v> </v>
      </c>
      <c r="I6620" s="26" t="str">
        <f>IF(OR(E6620="",E6620="!!!",F6620="NEW"),"",INDEX(B6619:B$2,-1+SUMPRODUCT(MAX(ROW(E6619:E$2)*(E6620=E6619:E$2)))))</f>
        <v> </v>
      </c>
      <c r="J6620" s="26" t="str">
        <f>IF(OR(E6620="",E6620="!!!",F6620="NEW"),"",COUNTBLANK(OFFSET(A$1,,,SUMPRODUCT(MAX(ROW(E$2:E6620)*(E6620=E$2:E6620)))))-COUNTBLANK(OFFSET(A$1,,,SUMPRODUCT(MAX(ROW(E$1:E6619)*(E2=E$1:E6619))))))</f>
        <v> </v>
      </c>
      <c r="K6620" s="26" t="str">
        <f>IF(OR(E6620="",E6620="!!!",F6620="NEW"),"",INDEX(J$1:J6619,SUMPRODUCT(MAX(ROW(E$1:E6619)*(E6620=E$1:E6619)))))</f>
        <v> </v>
      </c>
      <c r="L6620" s="27"/>
    </row>
    <row r="6621" spans="1:12">
      <c r="A6621" s="20" t="s">
        <v>1020</v>
      </c>
      <c r="E6621" s="22">
        <f>IF(D6621="?OLD","!!!","")</f>
        <v/>
      </c>
      <c r="F6621" s="23" t="str">
        <f>IF(OR(E6621="",E6621="!!!"),"",IF(NOT(ISNA(VLOOKUP(E6621,E$1:E6620,1,FALSE()))),"OLD",IF(AND(E6621&lt;&gt;"",E6621&lt;&gt;"!!!"),"NEW","")))</f>
        <v> </v>
      </c>
      <c r="G6621" s="24" t="str">
        <f>IF(OR(E6621="",E6621="!!!"),"",IF(OR(J6621=0,AND(J6621=1,K6621=1),AND(J6621=1,I6621="SBJ"),AND(J6621=1,I6621=0)),"?IN_FOCUS",IF(J6621&lt;=2,"?ACTIVATED",IF(J6621&lt;&gt;"","?FAMILIAR",IF(F6621="NEW",IF(ISNA(VLOOKUP(E6621,#REF!,1,FALSE())),"?TYPE_IDENTIFIABLE","?REFERENTIAL"),"_")))))</f>
        <v> </v>
      </c>
      <c r="H6621" s="25" t="str">
        <f>IF(J6621&lt;&gt;1,"",IF(I6621="SBJ","CB","?"))</f>
        <v> </v>
      </c>
      <c r="I6621" s="26" t="str">
        <f>IF(OR(E6621="",E6621="!!!",F6621="NEW"),"",INDEX(B6620:B$2,-1+SUMPRODUCT(MAX(ROW(E6620:E$2)*(E6621=E6620:E$2)))))</f>
        <v> </v>
      </c>
      <c r="J6621" s="26" t="str">
        <f>IF(OR(E6621="",E6621="!!!",F6621="NEW"),"",COUNTBLANK(OFFSET(A$1,,,SUMPRODUCT(MAX(ROW(E$2:E6621)*(E6621=E$2:E6621)))))-COUNTBLANK(OFFSET(A$1,,,SUMPRODUCT(MAX(ROW(E$1:E6620)*(E2=E$1:E6620))))))</f>
        <v> </v>
      </c>
      <c r="K6621" s="26" t="str">
        <f>IF(OR(E6621="",E6621="!!!",F6621="NEW"),"",INDEX(J$1:J6620,SUMPRODUCT(MAX(ROW(E$1:E6620)*(E6621=E$1:E6620)))))</f>
        <v> </v>
      </c>
      <c r="L6621" s="27"/>
    </row>
    <row r="6622" spans="1:12">
      <c r="A6622" s="20" t="s">
        <v>1569</v>
      </c>
      <c r="E6622" s="22">
        <f>IF(D6622="?OLD","!!!","")</f>
        <v/>
      </c>
      <c r="F6622" s="23" t="str">
        <f>IF(OR(E6622="",E6622="!!!"),"",IF(NOT(ISNA(VLOOKUP(E6622,E$1:E6621,1,FALSE()))),"OLD",IF(AND(E6622&lt;&gt;"",E6622&lt;&gt;"!!!"),"NEW","")))</f>
        <v> </v>
      </c>
      <c r="G6622" s="24" t="str">
        <f>IF(OR(E6622="",E6622="!!!"),"",IF(OR(J6622=0,AND(J6622=1,K6622=1),AND(J6622=1,I6622="SBJ"),AND(J6622=1,I6622=0)),"?IN_FOCUS",IF(J6622&lt;=2,"?ACTIVATED",IF(J6622&lt;&gt;"","?FAMILIAR",IF(F6622="NEW",IF(ISNA(VLOOKUP(E6622,#REF!,1,FALSE())),"?TYPE_IDENTIFIABLE","?REFERENTIAL"),"_")))))</f>
        <v> </v>
      </c>
      <c r="H6622" s="25" t="str">
        <f>IF(J6622&lt;&gt;1,"",IF(I6622="SBJ","CB","?"))</f>
        <v> </v>
      </c>
      <c r="I6622" s="26" t="str">
        <f>IF(OR(E6622="",E6622="!!!",F6622="NEW"),"",INDEX(B6621:B$2,-1+SUMPRODUCT(MAX(ROW(E6621:E$2)*(E6622=E6621:E$2)))))</f>
        <v> </v>
      </c>
      <c r="J6622" s="26" t="str">
        <f>IF(OR(E6622="",E6622="!!!",F6622="NEW"),"",COUNTBLANK(OFFSET(A$1,,,SUMPRODUCT(MAX(ROW(E$2:E6622)*(E6622=E$2:E6622)))))-COUNTBLANK(OFFSET(A$1,,,SUMPRODUCT(MAX(ROW(E$1:E6621)*(E2=E$1:E6621))))))</f>
        <v> </v>
      </c>
      <c r="K6622" s="26" t="str">
        <f>IF(OR(E6622="",E6622="!!!",F6622="NEW"),"",INDEX(J$1:J6621,SUMPRODUCT(MAX(ROW(E$1:E6621)*(E6622=E$1:E6621)))))</f>
        <v> </v>
      </c>
      <c r="L6622" s="27"/>
    </row>
    <row r="6623" spans="1:12">
      <c r="A6623" s="20" t="s">
        <v>1513</v>
      </c>
      <c r="B6623" s="21" t="s">
        <v>1033</v>
      </c>
      <c r="C6623" s="21" t="s">
        <v>1041</v>
      </c>
      <c r="D6623" s="21" t="s">
        <v>1007</v>
      </c>
      <c r="E6623" s="22">
        <f>IF(D6623="?OLD","!!!","")</f>
        <v/>
      </c>
      <c r="F6623" s="23" t="str">
        <f>IF(OR(E6623="",E6623="!!!"),"",IF(NOT(ISNA(VLOOKUP(E6623,E$1:E6622,1,FALSE()))),"OLD",IF(AND(E6623&lt;&gt;"",E6623&lt;&gt;"!!!"),"NEW","")))</f>
        <v> </v>
      </c>
      <c r="G6623" s="24" t="str">
        <f>IF(OR(E6623="",E6623="!!!"),"",IF(OR(J6623=0,AND(J6623=1,K6623=1),AND(J6623=1,I6623="SBJ"),AND(J6623=1,I6623=0)),"?IN_FOCUS",IF(J6623&lt;=2,"?ACTIVATED",IF(J6623&lt;&gt;"","?FAMILIAR",IF(F6623="NEW",IF(ISNA(VLOOKUP(E6623,#REF!,1,FALSE())),"?TYPE_IDENTIFIABLE","?REFERENTIAL"),"_")))))</f>
        <v> </v>
      </c>
      <c r="H6623" s="25" t="str">
        <f>IF(J6623&lt;&gt;1,"",IF(I6623="SBJ","CB","?"))</f>
        <v> </v>
      </c>
      <c r="I6623" s="26" t="str">
        <f>IF(OR(E6623="",E6623="!!!",F6623="NEW"),"",INDEX(B6622:B$2,-1+SUMPRODUCT(MAX(ROW(E6622:E$2)*(E6623=E6622:E$2)))))</f>
        <v> </v>
      </c>
      <c r="J6623" s="26" t="str">
        <f>IF(OR(E6623="",E6623="!!!",F6623="NEW"),"",COUNTBLANK(OFFSET(A$1,,,SUMPRODUCT(MAX(ROW(E$2:E6623)*(E6623=E$2:E6623)))))-COUNTBLANK(OFFSET(A$1,,,SUMPRODUCT(MAX(ROW(E$1:E6622)*(E2=E$1:E6622))))))</f>
        <v> </v>
      </c>
      <c r="K6623" s="26" t="str">
        <f>IF(OR(E6623="",E6623="!!!",F6623="NEW"),"",INDEX(J$1:J6622,SUMPRODUCT(MAX(ROW(E$1:E6622)*(E6623=E$1:E6622)))))</f>
        <v> </v>
      </c>
      <c r="L6623" s="27"/>
    </row>
    <row r="6624" spans="1:12">
      <c r="A6624" s="20" t="s">
        <v>1018</v>
      </c>
      <c r="E6624" s="22">
        <f>IF(D6624="?OLD","!!!","")</f>
        <v/>
      </c>
      <c r="F6624" s="23" t="str">
        <f>IF(OR(E6624="",E6624="!!!"),"",IF(NOT(ISNA(VLOOKUP(E6624,E$1:E6623,1,FALSE()))),"OLD",IF(AND(E6624&lt;&gt;"",E6624&lt;&gt;"!!!"),"NEW","")))</f>
        <v> </v>
      </c>
      <c r="G6624" s="24" t="str">
        <f>IF(OR(E6624="",E6624="!!!"),"",IF(OR(J6624=0,AND(J6624=1,K6624=1),AND(J6624=1,I6624="SBJ"),AND(J6624=1,I6624=0)),"?IN_FOCUS",IF(J6624&lt;=2,"?ACTIVATED",IF(J6624&lt;&gt;"","?FAMILIAR",IF(F6624="NEW",IF(ISNA(VLOOKUP(E6624,#REF!,1,FALSE())),"?TYPE_IDENTIFIABLE","?REFERENTIAL"),"_")))))</f>
        <v> </v>
      </c>
      <c r="H6624" s="25" t="str">
        <f>IF(J6624&lt;&gt;1,"",IF(I6624="SBJ","CB","?"))</f>
        <v> </v>
      </c>
      <c r="I6624" s="26" t="str">
        <f>IF(OR(E6624="",E6624="!!!",F6624="NEW"),"",INDEX(B6623:B$2,-1+SUMPRODUCT(MAX(ROW(E6623:E$2)*(E6624=E6623:E$2)))))</f>
        <v> </v>
      </c>
      <c r="J6624" s="26" t="str">
        <f>IF(OR(E6624="",E6624="!!!",F6624="NEW"),"",COUNTBLANK(OFFSET(A$1,,,SUMPRODUCT(MAX(ROW(E$2:E6624)*(E6624=E$2:E6624)))))-COUNTBLANK(OFFSET(A$1,,,SUMPRODUCT(MAX(ROW(E$1:E6623)*(E2=E$1:E6623))))))</f>
        <v> </v>
      </c>
      <c r="K6624" s="26" t="str">
        <f>IF(OR(E6624="",E6624="!!!",F6624="NEW"),"",INDEX(J$1:J6623,SUMPRODUCT(MAX(ROW(E$1:E6623)*(E6624=E$1:E6623)))))</f>
        <v> </v>
      </c>
      <c r="L6624" s="27"/>
    </row>
    <row r="6625" spans="1:12">
      <c r="A6625" s="20" t="s">
        <v>885</v>
      </c>
      <c r="B6625" s="21" t="s">
        <v>1119</v>
      </c>
      <c r="C6625" s="21" t="s">
        <v>1082</v>
      </c>
      <c r="D6625" s="21" t="s">
        <v>1007</v>
      </c>
      <c r="E6625" s="22">
        <f>IF(D6625="?OLD","!!!","")</f>
        <v/>
      </c>
      <c r="F6625" s="23" t="str">
        <f>IF(OR(E6625="",E6625="!!!"),"",IF(NOT(ISNA(VLOOKUP(E6625,E$1:E6624,1,FALSE()))),"OLD",IF(AND(E6625&lt;&gt;"",E6625&lt;&gt;"!!!"),"NEW","")))</f>
        <v> </v>
      </c>
      <c r="G6625" s="24" t="str">
        <f>IF(OR(E6625="",E6625="!!!"),"",IF(OR(J6625=0,AND(J6625=1,K6625=1),AND(J6625=1,I6625="SBJ"),AND(J6625=1,I6625=0)),"?IN_FOCUS",IF(J6625&lt;=2,"?ACTIVATED",IF(J6625&lt;&gt;"","?FAMILIAR",IF(F6625="NEW",IF(ISNA(VLOOKUP(E6625,#REF!,1,FALSE())),"?TYPE_IDENTIFIABLE","?REFERENTIAL"),"_")))))</f>
        <v> </v>
      </c>
      <c r="H6625" s="25" t="str">
        <f>IF(J6625&lt;&gt;1,"",IF(I6625="SBJ","CB","?"))</f>
        <v> </v>
      </c>
      <c r="I6625" s="26" t="str">
        <f>IF(OR(E6625="",E6625="!!!",F6625="NEW"),"",INDEX(B6624:B$2,-1+SUMPRODUCT(MAX(ROW(E6624:E$2)*(E6625=E6624:E$2)))))</f>
        <v> </v>
      </c>
      <c r="J6625" s="26" t="str">
        <f>IF(OR(E6625="",E6625="!!!",F6625="NEW"),"",COUNTBLANK(OFFSET(A$1,,,SUMPRODUCT(MAX(ROW(E$2:E6625)*(E6625=E$2:E6625)))))-COUNTBLANK(OFFSET(A$1,,,SUMPRODUCT(MAX(ROW(E$1:E6624)*(E2=E$1:E6624))))))</f>
        <v> </v>
      </c>
      <c r="K6625" s="26" t="str">
        <f>IF(OR(E6625="",E6625="!!!",F6625="NEW"),"",INDEX(J$1:J6624,SUMPRODUCT(MAX(ROW(E$1:E6624)*(E6625=E$1:E6624)))))</f>
        <v> </v>
      </c>
      <c r="L6625" s="27"/>
    </row>
    <row r="6626" spans="1:12">
      <c r="A6626" s="20" t="s">
        <v>2543</v>
      </c>
      <c r="E6626" s="22">
        <f>IF(D6626="?OLD","!!!","")</f>
        <v/>
      </c>
      <c r="F6626" s="23" t="str">
        <f>IF(OR(E6626="",E6626="!!!"),"",IF(NOT(ISNA(VLOOKUP(E6626,E$1:E6625,1,FALSE()))),"OLD",IF(AND(E6626&lt;&gt;"",E6626&lt;&gt;"!!!"),"NEW","")))</f>
        <v> </v>
      </c>
      <c r="G6626" s="24" t="str">
        <f>IF(OR(E6626="",E6626="!!!"),"",IF(OR(J6626=0,AND(J6626=1,K6626=1),AND(J6626=1,I6626="SBJ"),AND(J6626=1,I6626=0)),"?IN_FOCUS",IF(J6626&lt;=2,"?ACTIVATED",IF(J6626&lt;&gt;"","?FAMILIAR",IF(F6626="NEW",IF(ISNA(VLOOKUP(E6626,#REF!,1,FALSE())),"?TYPE_IDENTIFIABLE","?REFERENTIAL"),"_")))))</f>
        <v> </v>
      </c>
      <c r="H6626" s="25" t="str">
        <f>IF(J6626&lt;&gt;1,"",IF(I6626="SBJ","CB","?"))</f>
        <v> </v>
      </c>
      <c r="I6626" s="26" t="str">
        <f>IF(OR(E6626="",E6626="!!!",F6626="NEW"),"",INDEX(B6625:B$2,-1+SUMPRODUCT(MAX(ROW(E6625:E$2)*(E6626=E6625:E$2)))))</f>
        <v> </v>
      </c>
      <c r="J6626" s="26" t="str">
        <f>IF(OR(E6626="",E6626="!!!",F6626="NEW"),"",COUNTBLANK(OFFSET(A$1,,,SUMPRODUCT(MAX(ROW(E$2:E6626)*(E6626=E$2:E6626)))))-COUNTBLANK(OFFSET(A$1,,,SUMPRODUCT(MAX(ROW(E$1:E6625)*(E2=E$1:E6625))))))</f>
        <v> </v>
      </c>
      <c r="K6626" s="26" t="str">
        <f>IF(OR(E6626="",E6626="!!!",F6626="NEW"),"",INDEX(J$1:J6625,SUMPRODUCT(MAX(ROW(E$1:E6625)*(E6626=E$1:E6625)))))</f>
        <v> </v>
      </c>
      <c r="L6626" s="27"/>
    </row>
    <row r="6627" spans="1:12">
      <c r="A6627" s="20" t="s">
        <v>1163</v>
      </c>
      <c r="E6627" s="22">
        <f>IF(D6627="?OLD","!!!","")</f>
        <v/>
      </c>
      <c r="F6627" s="23" t="str">
        <f>IF(OR(E6627="",E6627="!!!"),"",IF(NOT(ISNA(VLOOKUP(E6627,E$1:E6626,1,FALSE()))),"OLD",IF(AND(E6627&lt;&gt;"",E6627&lt;&gt;"!!!"),"NEW","")))</f>
        <v> </v>
      </c>
      <c r="G6627" s="24" t="str">
        <f>IF(OR(E6627="",E6627="!!!"),"",IF(OR(J6627=0,AND(J6627=1,K6627=1),AND(J6627=1,I6627="SBJ"),AND(J6627=1,I6627=0)),"?IN_FOCUS",IF(J6627&lt;=2,"?ACTIVATED",IF(J6627&lt;&gt;"","?FAMILIAR",IF(F6627="NEW",IF(ISNA(VLOOKUP(E6627,#REF!,1,FALSE())),"?TYPE_IDENTIFIABLE","?REFERENTIAL"),"_")))))</f>
        <v> </v>
      </c>
      <c r="H6627" s="25" t="str">
        <f>IF(J6627&lt;&gt;1,"",IF(I6627="SBJ","CB","?"))</f>
        <v> </v>
      </c>
      <c r="I6627" s="26" t="str">
        <f>IF(OR(E6627="",E6627="!!!",F6627="NEW"),"",INDEX(B6626:B$2,-1+SUMPRODUCT(MAX(ROW(E6626:E$2)*(E6627=E6626:E$2)))))</f>
        <v> </v>
      </c>
      <c r="J6627" s="26" t="str">
        <f>IF(OR(E6627="",E6627="!!!",F6627="NEW"),"",COUNTBLANK(OFFSET(A$1,,,SUMPRODUCT(MAX(ROW(E$2:E6627)*(E6627=E$2:E6627)))))-COUNTBLANK(OFFSET(A$1,,,SUMPRODUCT(MAX(ROW(E$1:E6626)*(E2=E$1:E6626))))))</f>
        <v> </v>
      </c>
      <c r="K6627" s="26" t="str">
        <f>IF(OR(E6627="",E6627="!!!",F6627="NEW"),"",INDEX(J$1:J6626,SUMPRODUCT(MAX(ROW(E$1:E6626)*(E6627=E$1:E6626)))))</f>
        <v> </v>
      </c>
      <c r="L6627" s="27"/>
    </row>
    <row r="6628" spans="1:12">
      <c r="A6628" s="20" t="s">
        <v>1018</v>
      </c>
      <c r="E6628" s="22">
        <f>IF(D6628="?OLD","!!!","")</f>
        <v/>
      </c>
      <c r="F6628" s="23" t="str">
        <f>IF(OR(E6628="",E6628="!!!"),"",IF(NOT(ISNA(VLOOKUP(E6628,E$1:E6627,1,FALSE()))),"OLD",IF(AND(E6628&lt;&gt;"",E6628&lt;&gt;"!!!"),"NEW","")))</f>
        <v> </v>
      </c>
      <c r="G6628" s="24" t="str">
        <f>IF(OR(E6628="",E6628="!!!"),"",IF(OR(J6628=0,AND(J6628=1,K6628=1),AND(J6628=1,I6628="SBJ"),AND(J6628=1,I6628=0)),"?IN_FOCUS",IF(J6628&lt;=2,"?ACTIVATED",IF(J6628&lt;&gt;"","?FAMILIAR",IF(F6628="NEW",IF(ISNA(VLOOKUP(E6628,#REF!,1,FALSE())),"?TYPE_IDENTIFIABLE","?REFERENTIAL"),"_")))))</f>
        <v> </v>
      </c>
      <c r="H6628" s="25" t="str">
        <f>IF(J6628&lt;&gt;1,"",IF(I6628="SBJ","CB","?"))</f>
        <v> </v>
      </c>
      <c r="I6628" s="26" t="str">
        <f>IF(OR(E6628="",E6628="!!!",F6628="NEW"),"",INDEX(B6627:B$2,-1+SUMPRODUCT(MAX(ROW(E6627:E$2)*(E6628=E6627:E$2)))))</f>
        <v> </v>
      </c>
      <c r="J6628" s="26" t="str">
        <f>IF(OR(E6628="",E6628="!!!",F6628="NEW"),"",COUNTBLANK(OFFSET(A$1,,,SUMPRODUCT(MAX(ROW(E$2:E6628)*(E6628=E$2:E6628)))))-COUNTBLANK(OFFSET(A$1,,,SUMPRODUCT(MAX(ROW(E$1:E6627)*(E2=E$1:E6627))))))</f>
        <v> </v>
      </c>
      <c r="K6628" s="26" t="str">
        <f>IF(OR(E6628="",E6628="!!!",F6628="NEW"),"",INDEX(J$1:J6627,SUMPRODUCT(MAX(ROW(E$1:E6627)*(E6628=E$1:E6627)))))</f>
        <v> </v>
      </c>
      <c r="L6628" s="27"/>
    </row>
    <row r="6629" spans="1:12">
      <c r="A6629" s="20" t="s">
        <v>1020</v>
      </c>
      <c r="E6629" s="22">
        <f>IF(D6629="?OLD","!!!","")</f>
        <v/>
      </c>
      <c r="F6629" s="23" t="str">
        <f>IF(OR(E6629="",E6629="!!!"),"",IF(NOT(ISNA(VLOOKUP(E6629,E$1:E6628,1,FALSE()))),"OLD",IF(AND(E6629&lt;&gt;"",E6629&lt;&gt;"!!!"),"NEW","")))</f>
        <v> </v>
      </c>
      <c r="G6629" s="24" t="str">
        <f>IF(OR(E6629="",E6629="!!!"),"",IF(OR(J6629=0,AND(J6629=1,K6629=1),AND(J6629=1,I6629="SBJ"),AND(J6629=1,I6629=0)),"?IN_FOCUS",IF(J6629&lt;=2,"?ACTIVATED",IF(J6629&lt;&gt;"","?FAMILIAR",IF(F6629="NEW",IF(ISNA(VLOOKUP(E6629,#REF!,1,FALSE())),"?TYPE_IDENTIFIABLE","?REFERENTIAL"),"_")))))</f>
        <v> </v>
      </c>
      <c r="H6629" s="25" t="str">
        <f>IF(J6629&lt;&gt;1,"",IF(I6629="SBJ","CB","?"))</f>
        <v> </v>
      </c>
      <c r="I6629" s="26" t="str">
        <f>IF(OR(E6629="",E6629="!!!",F6629="NEW"),"",INDEX(B6628:B$2,-1+SUMPRODUCT(MAX(ROW(E6628:E$2)*(E6629=E6628:E$2)))))</f>
        <v> </v>
      </c>
      <c r="J6629" s="26" t="str">
        <f>IF(OR(E6629="",E6629="!!!",F6629="NEW"),"",COUNTBLANK(OFFSET(A$1,,,SUMPRODUCT(MAX(ROW(E$2:E6629)*(E6629=E$2:E6629)))))-COUNTBLANK(OFFSET(A$1,,,SUMPRODUCT(MAX(ROW(E$1:E6628)*(E2=E$1:E6628))))))</f>
        <v> </v>
      </c>
      <c r="K6629" s="26" t="str">
        <f>IF(OR(E6629="",E6629="!!!",F6629="NEW"),"",INDEX(J$1:J6628,SUMPRODUCT(MAX(ROW(E$1:E6628)*(E6629=E$1:E6628)))))</f>
        <v> </v>
      </c>
      <c r="L6629" s="27"/>
    </row>
    <row r="6630" spans="1:12">
      <c r="A6630" s="20" t="s">
        <v>1020</v>
      </c>
      <c r="E6630" s="22">
        <f>IF(D6630="?OLD","!!!","")</f>
        <v/>
      </c>
      <c r="F6630" s="23" t="str">
        <f>IF(OR(E6630="",E6630="!!!"),"",IF(NOT(ISNA(VLOOKUP(E6630,E$1:E6629,1,FALSE()))),"OLD",IF(AND(E6630&lt;&gt;"",E6630&lt;&gt;"!!!"),"NEW","")))</f>
        <v> </v>
      </c>
      <c r="G6630" s="24" t="str">
        <f>IF(OR(E6630="",E6630="!!!"),"",IF(OR(J6630=0,AND(J6630=1,K6630=1),AND(J6630=1,I6630="SBJ"),AND(J6630=1,I6630=0)),"?IN_FOCUS",IF(J6630&lt;=2,"?ACTIVATED",IF(J6630&lt;&gt;"","?FAMILIAR",IF(F6630="NEW",IF(ISNA(VLOOKUP(E6630,#REF!,1,FALSE())),"?TYPE_IDENTIFIABLE","?REFERENTIAL"),"_")))))</f>
        <v> </v>
      </c>
      <c r="H6630" s="25" t="str">
        <f>IF(J6630&lt;&gt;1,"",IF(I6630="SBJ","CB","?"))</f>
        <v> </v>
      </c>
      <c r="I6630" s="26" t="str">
        <f>IF(OR(E6630="",E6630="!!!",F6630="NEW"),"",INDEX(B6629:B$2,-1+SUMPRODUCT(MAX(ROW(E6629:E$2)*(E6630=E6629:E$2)))))</f>
        <v> </v>
      </c>
      <c r="J6630" s="26" t="str">
        <f>IF(OR(E6630="",E6630="!!!",F6630="NEW"),"",COUNTBLANK(OFFSET(A$1,,,SUMPRODUCT(MAX(ROW(E$2:E6630)*(E6630=E$2:E6630)))))-COUNTBLANK(OFFSET(A$1,,,SUMPRODUCT(MAX(ROW(E$1:E6629)*(E2=E$1:E6629))))))</f>
        <v> </v>
      </c>
      <c r="K6630" s="26" t="str">
        <f>IF(OR(E6630="",E6630="!!!",F6630="NEW"),"",INDEX(J$1:J6629,SUMPRODUCT(MAX(ROW(E$1:E6629)*(E6630=E$1:E6629)))))</f>
        <v> </v>
      </c>
      <c r="L6630" s="27"/>
    </row>
    <row r="6631" spans="1:12">
      <c r="A6631" s="20" t="s">
        <v>1638</v>
      </c>
      <c r="B6631" s="21" t="s">
        <v>1022</v>
      </c>
      <c r="C6631" s="21" t="s">
        <v>1006</v>
      </c>
      <c r="D6631" s="21" t="s">
        <v>1007</v>
      </c>
      <c r="E6631" s="22">
        <f>IF(D6631="?OLD","!!!","")</f>
        <v/>
      </c>
      <c r="F6631" s="23" t="str">
        <f>IF(OR(E6631="",E6631="!!!"),"",IF(NOT(ISNA(VLOOKUP(E6631,E$1:E6630,1,FALSE()))),"OLD",IF(AND(E6631&lt;&gt;"",E6631&lt;&gt;"!!!"),"NEW","")))</f>
        <v> </v>
      </c>
      <c r="G6631" s="24" t="str">
        <f>IF(OR(E6631="",E6631="!!!"),"",IF(OR(J6631=0,AND(J6631=1,K6631=1),AND(J6631=1,I6631="SBJ"),AND(J6631=1,I6631=0)),"?IN_FOCUS",IF(J6631&lt;=2,"?ACTIVATED",IF(J6631&lt;&gt;"","?FAMILIAR",IF(F6631="NEW",IF(ISNA(VLOOKUP(E6631,#REF!,1,FALSE())),"?TYPE_IDENTIFIABLE","?REFERENTIAL"),"_")))))</f>
        <v> </v>
      </c>
      <c r="H6631" s="25" t="str">
        <f>IF(J6631&lt;&gt;1,"",IF(I6631="SBJ","CB","?"))</f>
        <v> </v>
      </c>
      <c r="I6631" s="26" t="str">
        <f>IF(OR(E6631="",E6631="!!!",F6631="NEW"),"",INDEX(B6630:B$2,-1+SUMPRODUCT(MAX(ROW(E6630:E$2)*(E6631=E6630:E$2)))))</f>
        <v> </v>
      </c>
      <c r="J6631" s="26" t="str">
        <f>IF(OR(E6631="",E6631="!!!",F6631="NEW"),"",COUNTBLANK(OFFSET(A$1,,,SUMPRODUCT(MAX(ROW(E$2:E6631)*(E6631=E$2:E6631)))))-COUNTBLANK(OFFSET(A$1,,,SUMPRODUCT(MAX(ROW(E$1:E6630)*(E2=E$1:E6630))))))</f>
        <v> </v>
      </c>
      <c r="K6631" s="26" t="str">
        <f>IF(OR(E6631="",E6631="!!!",F6631="NEW"),"",INDEX(J$1:J6630,SUMPRODUCT(MAX(ROW(E$1:E6630)*(E6631=E$1:E6630)))))</f>
        <v> </v>
      </c>
      <c r="L6631" s="27"/>
    </row>
    <row r="6632" spans="1:12">
      <c r="A6632" s="20" t="s">
        <v>1014</v>
      </c>
      <c r="E6632" s="22">
        <f>IF(D6632="?OLD","!!!","")</f>
        <v/>
      </c>
      <c r="F6632" s="23" t="str">
        <f>IF(OR(E6632="",E6632="!!!"),"",IF(NOT(ISNA(VLOOKUP(E6632,E$1:E6631,1,FALSE()))),"OLD",IF(AND(E6632&lt;&gt;"",E6632&lt;&gt;"!!!"),"NEW","")))</f>
        <v> </v>
      </c>
      <c r="G6632" s="24" t="str">
        <f>IF(OR(E6632="",E6632="!!!"),"",IF(OR(J6632=0,AND(J6632=1,K6632=1),AND(J6632=1,I6632="SBJ"),AND(J6632=1,I6632=0)),"?IN_FOCUS",IF(J6632&lt;=2,"?ACTIVATED",IF(J6632&lt;&gt;"","?FAMILIAR",IF(F6632="NEW",IF(ISNA(VLOOKUP(E6632,#REF!,1,FALSE())),"?TYPE_IDENTIFIABLE","?REFERENTIAL"),"_")))))</f>
        <v> </v>
      </c>
      <c r="H6632" s="25" t="str">
        <f>IF(J6632&lt;&gt;1,"",IF(I6632="SBJ","CB","?"))</f>
        <v> </v>
      </c>
      <c r="I6632" s="26" t="str">
        <f>IF(OR(E6632="",E6632="!!!",F6632="NEW"),"",INDEX(B6631:B$2,-1+SUMPRODUCT(MAX(ROW(E6631:E$2)*(E6632=E6631:E$2)))))</f>
        <v> </v>
      </c>
      <c r="J6632" s="26" t="str">
        <f>IF(OR(E6632="",E6632="!!!",F6632="NEW"),"",COUNTBLANK(OFFSET(A$1,,,SUMPRODUCT(MAX(ROW(E$2:E6632)*(E6632=E$2:E6632)))))-COUNTBLANK(OFFSET(A$1,,,SUMPRODUCT(MAX(ROW(E$1:E6631)*(E2=E$1:E6631))))))</f>
        <v> </v>
      </c>
      <c r="K6632" s="26" t="str">
        <f>IF(OR(E6632="",E6632="!!!",F6632="NEW"),"",INDEX(J$1:J6631,SUMPRODUCT(MAX(ROW(E$1:E6631)*(E6632=E$1:E6631)))))</f>
        <v> </v>
      </c>
      <c r="L6632" s="27"/>
    </row>
    <row r="6633" spans="1:12">
      <c r="A6633" s="20" t="s">
        <v>102</v>
      </c>
      <c r="E6633" s="22">
        <f>IF(D6633="?OLD","!!!","")</f>
        <v/>
      </c>
      <c r="F6633" s="23" t="str">
        <f>IF(OR(E6633="",E6633="!!!"),"",IF(NOT(ISNA(VLOOKUP(E6633,E$1:E6632,1,FALSE()))),"OLD",IF(AND(E6633&lt;&gt;"",E6633&lt;&gt;"!!!"),"NEW","")))</f>
        <v> </v>
      </c>
      <c r="G6633" s="24" t="str">
        <f>IF(OR(E6633="",E6633="!!!"),"",IF(OR(J6633=0,AND(J6633=1,K6633=1),AND(J6633=1,I6633="SBJ"),AND(J6633=1,I6633=0)),"?IN_FOCUS",IF(J6633&lt;=2,"?ACTIVATED",IF(J6633&lt;&gt;"","?FAMILIAR",IF(F6633="NEW",IF(ISNA(VLOOKUP(E6633,#REF!,1,FALSE())),"?TYPE_IDENTIFIABLE","?REFERENTIAL"),"_")))))</f>
        <v> </v>
      </c>
      <c r="H6633" s="25" t="str">
        <f>IF(J6633&lt;&gt;1,"",IF(I6633="SBJ","CB","?"))</f>
        <v> </v>
      </c>
      <c r="I6633" s="26" t="str">
        <f>IF(OR(E6633="",E6633="!!!",F6633="NEW"),"",INDEX(B6632:B$2,-1+SUMPRODUCT(MAX(ROW(E6632:E$2)*(E6633=E6632:E$2)))))</f>
        <v> </v>
      </c>
      <c r="J6633" s="26" t="str">
        <f>IF(OR(E6633="",E6633="!!!",F6633="NEW"),"",COUNTBLANK(OFFSET(A$1,,,SUMPRODUCT(MAX(ROW(E$2:E6633)*(E6633=E$2:E6633)))))-COUNTBLANK(OFFSET(A$1,,,SUMPRODUCT(MAX(ROW(E$1:E6632)*(E2=E$1:E6632))))))</f>
        <v> </v>
      </c>
      <c r="K6633" s="26" t="str">
        <f>IF(OR(E6633="",E6633="!!!",F6633="NEW"),"",INDEX(J$1:J6632,SUMPRODUCT(MAX(ROW(E$1:E6632)*(E6633=E$1:E6632)))))</f>
        <v> </v>
      </c>
      <c r="L6633" s="27"/>
    </row>
    <row r="6634" spans="1:12">
      <c r="A6634" s="20" t="s">
        <v>2708</v>
      </c>
      <c r="B6634" s="21" t="s">
        <v>1033</v>
      </c>
      <c r="C6634" s="21" t="s">
        <v>1006</v>
      </c>
      <c r="D6634" s="21" t="s">
        <v>1007</v>
      </c>
      <c r="E6634" s="22">
        <f>IF(D6634="?OLD","!!!","")</f>
        <v/>
      </c>
      <c r="F6634" s="23" t="str">
        <f>IF(OR(E6634="",E6634="!!!"),"",IF(NOT(ISNA(VLOOKUP(E6634,E$1:E6633,1,FALSE()))),"OLD",IF(AND(E6634&lt;&gt;"",E6634&lt;&gt;"!!!"),"NEW","")))</f>
        <v> </v>
      </c>
      <c r="G6634" s="24" t="str">
        <f>IF(OR(E6634="",E6634="!!!"),"",IF(OR(J6634=0,AND(J6634=1,K6634=1),AND(J6634=1,I6634="SBJ"),AND(J6634=1,I6634=0)),"?IN_FOCUS",IF(J6634&lt;=2,"?ACTIVATED",IF(J6634&lt;&gt;"","?FAMILIAR",IF(F6634="NEW",IF(ISNA(VLOOKUP(E6634,#REF!,1,FALSE())),"?TYPE_IDENTIFIABLE","?REFERENTIAL"),"_")))))</f>
        <v> </v>
      </c>
      <c r="H6634" s="25" t="str">
        <f>IF(J6634&lt;&gt;1,"",IF(I6634="SBJ","CB","?"))</f>
        <v> </v>
      </c>
      <c r="I6634" s="26" t="str">
        <f>IF(OR(E6634="",E6634="!!!",F6634="NEW"),"",INDEX(B6633:B$2,-1+SUMPRODUCT(MAX(ROW(E6633:E$2)*(E6634=E6633:E$2)))))</f>
        <v> </v>
      </c>
      <c r="J6634" s="26" t="str">
        <f>IF(OR(E6634="",E6634="!!!",F6634="NEW"),"",COUNTBLANK(OFFSET(A$1,,,SUMPRODUCT(MAX(ROW(E$2:E6634)*(E6634=E$2:E6634)))))-COUNTBLANK(OFFSET(A$1,,,SUMPRODUCT(MAX(ROW(E$1:E6633)*(E2=E$1:E6633))))))</f>
        <v> </v>
      </c>
      <c r="K6634" s="26" t="str">
        <f>IF(OR(E6634="",E6634="!!!",F6634="NEW"),"",INDEX(J$1:J6633,SUMPRODUCT(MAX(ROW(E$1:E6633)*(E6634=E$1:E6633)))))</f>
        <v> </v>
      </c>
      <c r="L6634" s="27"/>
    </row>
    <row r="6635" spans="1:12">
      <c r="A6635" s="20" t="s">
        <v>1018</v>
      </c>
      <c r="E6635" s="22">
        <f>IF(D6635="?OLD","!!!","")</f>
        <v/>
      </c>
      <c r="F6635" s="23" t="str">
        <f>IF(OR(E6635="",E6635="!!!"),"",IF(NOT(ISNA(VLOOKUP(E6635,E$1:E6634,1,FALSE()))),"OLD",IF(AND(E6635&lt;&gt;"",E6635&lt;&gt;"!!!"),"NEW","")))</f>
        <v> </v>
      </c>
      <c r="G6635" s="24" t="str">
        <f>IF(OR(E6635="",E6635="!!!"),"",IF(OR(J6635=0,AND(J6635=1,K6635=1),AND(J6635=1,I6635="SBJ"),AND(J6635=1,I6635=0)),"?IN_FOCUS",IF(J6635&lt;=2,"?ACTIVATED",IF(J6635&lt;&gt;"","?FAMILIAR",IF(F6635="NEW",IF(ISNA(VLOOKUP(E6635,#REF!,1,FALSE())),"?TYPE_IDENTIFIABLE","?REFERENTIAL"),"_")))))</f>
        <v> </v>
      </c>
      <c r="H6635" s="25" t="str">
        <f>IF(J6635&lt;&gt;1,"",IF(I6635="SBJ","CB","?"))</f>
        <v> </v>
      </c>
      <c r="I6635" s="26" t="str">
        <f>IF(OR(E6635="",E6635="!!!",F6635="NEW"),"",INDEX(B6634:B$2,-1+SUMPRODUCT(MAX(ROW(E6634:E$2)*(E6635=E6634:E$2)))))</f>
        <v> </v>
      </c>
      <c r="J6635" s="26" t="str">
        <f>IF(OR(E6635="",E6635="!!!",F6635="NEW"),"",COUNTBLANK(OFFSET(A$1,,,SUMPRODUCT(MAX(ROW(E$2:E6635)*(E6635=E$2:E6635)))))-COUNTBLANK(OFFSET(A$1,,,SUMPRODUCT(MAX(ROW(E$1:E6634)*(E2=E$1:E6634))))))</f>
        <v> </v>
      </c>
      <c r="K6635" s="26" t="str">
        <f>IF(OR(E6635="",E6635="!!!",F6635="NEW"),"",INDEX(J$1:J6634,SUMPRODUCT(MAX(ROW(E$1:E6634)*(E6635=E$1:E6634)))))</f>
        <v> </v>
      </c>
      <c r="L6635" s="27"/>
    </row>
    <row r="6636" spans="1:12">
      <c r="A6636" s="20" t="s">
        <v>1142</v>
      </c>
      <c r="E6636" s="22">
        <f>IF(D6636="?OLD","!!!","")</f>
        <v/>
      </c>
      <c r="F6636" s="23" t="str">
        <f>IF(OR(E6636="",E6636="!!!"),"",IF(NOT(ISNA(VLOOKUP(E6636,E$1:E6635,1,FALSE()))),"OLD",IF(AND(E6636&lt;&gt;"",E6636&lt;&gt;"!!!"),"NEW","")))</f>
        <v> </v>
      </c>
      <c r="G6636" s="24" t="str">
        <f>IF(OR(E6636="",E6636="!!!"),"",IF(OR(J6636=0,AND(J6636=1,K6636=1),AND(J6636=1,I6636="SBJ"),AND(J6636=1,I6636=0)),"?IN_FOCUS",IF(J6636&lt;=2,"?ACTIVATED",IF(J6636&lt;&gt;"","?FAMILIAR",IF(F6636="NEW",IF(ISNA(VLOOKUP(E6636,#REF!,1,FALSE())),"?TYPE_IDENTIFIABLE","?REFERENTIAL"),"_")))))</f>
        <v> </v>
      </c>
      <c r="H6636" s="25" t="str">
        <f>IF(J6636&lt;&gt;1,"",IF(I6636="SBJ","CB","?"))</f>
        <v> </v>
      </c>
      <c r="I6636" s="26" t="str">
        <f>IF(OR(E6636="",E6636="!!!",F6636="NEW"),"",INDEX(B6635:B$2,-1+SUMPRODUCT(MAX(ROW(E6635:E$2)*(E6636=E6635:E$2)))))</f>
        <v> </v>
      </c>
      <c r="J6636" s="26" t="str">
        <f>IF(OR(E6636="",E6636="!!!",F6636="NEW"),"",COUNTBLANK(OFFSET(A$1,,,SUMPRODUCT(MAX(ROW(E$2:E6636)*(E6636=E$2:E6636)))))-COUNTBLANK(OFFSET(A$1,,,SUMPRODUCT(MAX(ROW(E$1:E6635)*(E2=E$1:E6635))))))</f>
        <v> </v>
      </c>
      <c r="K6636" s="26" t="str">
        <f>IF(OR(E6636="",E6636="!!!",F6636="NEW"),"",INDEX(J$1:J6635,SUMPRODUCT(MAX(ROW(E$1:E6635)*(E6636=E$1:E6635)))))</f>
        <v> </v>
      </c>
      <c r="L6636" s="27"/>
    </row>
    <row r="6637" spans="1:12">
      <c r="A6637" s="20" t="s">
        <v>2709</v>
      </c>
      <c r="E6637" s="22">
        <f>IF(D6637="?OLD","!!!","")</f>
        <v/>
      </c>
      <c r="F6637" s="23" t="str">
        <f>IF(OR(E6637="",E6637="!!!"),"",IF(NOT(ISNA(VLOOKUP(E6637,E$1:E6636,1,FALSE()))),"OLD",IF(AND(E6637&lt;&gt;"",E6637&lt;&gt;"!!!"),"NEW","")))</f>
        <v> </v>
      </c>
      <c r="G6637" s="24" t="str">
        <f>IF(OR(E6637="",E6637="!!!"),"",IF(OR(J6637=0,AND(J6637=1,K6637=1),AND(J6637=1,I6637="SBJ"),AND(J6637=1,I6637=0)),"?IN_FOCUS",IF(J6637&lt;=2,"?ACTIVATED",IF(J6637&lt;&gt;"","?FAMILIAR",IF(F6637="NEW",IF(ISNA(VLOOKUP(E6637,#REF!,1,FALSE())),"?TYPE_IDENTIFIABLE","?REFERENTIAL"),"_")))))</f>
        <v> </v>
      </c>
      <c r="H6637" s="25" t="str">
        <f>IF(J6637&lt;&gt;1,"",IF(I6637="SBJ","CB","?"))</f>
        <v> </v>
      </c>
      <c r="I6637" s="26" t="str">
        <f>IF(OR(E6637="",E6637="!!!",F6637="NEW"),"",INDEX(B6636:B$2,-1+SUMPRODUCT(MAX(ROW(E6636:E$2)*(E6637=E6636:E$2)))))</f>
        <v> </v>
      </c>
      <c r="J6637" s="26" t="str">
        <f>IF(OR(E6637="",E6637="!!!",F6637="NEW"),"",COUNTBLANK(OFFSET(A$1,,,SUMPRODUCT(MAX(ROW(E$2:E6637)*(E6637=E$2:E6637)))))-COUNTBLANK(OFFSET(A$1,,,SUMPRODUCT(MAX(ROW(E$1:E6636)*(E2=E$1:E6636))))))</f>
        <v> </v>
      </c>
      <c r="K6637" s="26" t="str">
        <f>IF(OR(E6637="",E6637="!!!",F6637="NEW"),"",INDEX(J$1:J6636,SUMPRODUCT(MAX(ROW(E$1:E6636)*(E6637=E$1:E6636)))))</f>
        <v> </v>
      </c>
      <c r="L6637" s="27"/>
    </row>
    <row r="6638" spans="1:12">
      <c r="A6638" s="20" t="s">
        <v>1020</v>
      </c>
      <c r="E6638" s="22">
        <f>IF(D6638="?OLD","!!!","")</f>
        <v/>
      </c>
      <c r="F6638" s="23" t="str">
        <f>IF(OR(E6638="",E6638="!!!"),"",IF(NOT(ISNA(VLOOKUP(E6638,E$1:E6637,1,FALSE()))),"OLD",IF(AND(E6638&lt;&gt;"",E6638&lt;&gt;"!!!"),"NEW","")))</f>
        <v> </v>
      </c>
      <c r="G6638" s="24" t="str">
        <f>IF(OR(E6638="",E6638="!!!"),"",IF(OR(J6638=0,AND(J6638=1,K6638=1),AND(J6638=1,I6638="SBJ"),AND(J6638=1,I6638=0)),"?IN_FOCUS",IF(J6638&lt;=2,"?ACTIVATED",IF(J6638&lt;&gt;"","?FAMILIAR",IF(F6638="NEW",IF(ISNA(VLOOKUP(E6638,#REF!,1,FALSE())),"?TYPE_IDENTIFIABLE","?REFERENTIAL"),"_")))))</f>
        <v> </v>
      </c>
      <c r="H6638" s="25" t="str">
        <f>IF(J6638&lt;&gt;1,"",IF(I6638="SBJ","CB","?"))</f>
        <v> </v>
      </c>
      <c r="I6638" s="26" t="str">
        <f>IF(OR(E6638="",E6638="!!!",F6638="NEW"),"",INDEX(B6637:B$2,-1+SUMPRODUCT(MAX(ROW(E6637:E$2)*(E6638=E6637:E$2)))))</f>
        <v> </v>
      </c>
      <c r="J6638" s="26" t="str">
        <f>IF(OR(E6638="",E6638="!!!",F6638="NEW"),"",COUNTBLANK(OFFSET(A$1,,,SUMPRODUCT(MAX(ROW(E$2:E6638)*(E6638=E$2:E6638)))))-COUNTBLANK(OFFSET(A$1,,,SUMPRODUCT(MAX(ROW(E$1:E6637)*(E2=E$1:E6637))))))</f>
        <v> </v>
      </c>
      <c r="K6638" s="26" t="str">
        <f>IF(OR(E6638="",E6638="!!!",F6638="NEW"),"",INDEX(J$1:J6637,SUMPRODUCT(MAX(ROW(E$1:E6637)*(E6638=E$1:E6637)))))</f>
        <v> </v>
      </c>
      <c r="L6638" s="27"/>
    </row>
    <row r="6639" spans="1:12">
      <c r="A6639" s="20" t="s">
        <v>1015</v>
      </c>
      <c r="E6639" s="22">
        <f>IF(D6639="?OLD","!!!","")</f>
        <v/>
      </c>
      <c r="F6639" s="23" t="str">
        <f>IF(OR(E6639="",E6639="!!!"),"",IF(NOT(ISNA(VLOOKUP(E6639,E$1:E6638,1,FALSE()))),"OLD",IF(AND(E6639&lt;&gt;"",E6639&lt;&gt;"!!!"),"NEW","")))</f>
        <v> </v>
      </c>
      <c r="G6639" s="24" t="str">
        <f>IF(OR(E6639="",E6639="!!!"),"",IF(OR(J6639=0,AND(J6639=1,K6639=1),AND(J6639=1,I6639="SBJ"),AND(J6639=1,I6639=0)),"?IN_FOCUS",IF(J6639&lt;=2,"?ACTIVATED",IF(J6639&lt;&gt;"","?FAMILIAR",IF(F6639="NEW",IF(ISNA(VLOOKUP(E6639,#REF!,1,FALSE())),"?TYPE_IDENTIFIABLE","?REFERENTIAL"),"_")))))</f>
        <v> </v>
      </c>
      <c r="H6639" s="25" t="str">
        <f>IF(J6639&lt;&gt;1,"",IF(I6639="SBJ","CB","?"))</f>
        <v> </v>
      </c>
      <c r="I6639" s="26" t="str">
        <f>IF(OR(E6639="",E6639="!!!",F6639="NEW"),"",INDEX(B6638:B$2,-1+SUMPRODUCT(MAX(ROW(E6638:E$2)*(E6639=E6638:E$2)))))</f>
        <v> </v>
      </c>
      <c r="J6639" s="26" t="str">
        <f>IF(OR(E6639="",E6639="!!!",F6639="NEW"),"",COUNTBLANK(OFFSET(A$1,,,SUMPRODUCT(MAX(ROW(E$2:E6639)*(E6639=E$2:E6639)))))-COUNTBLANK(OFFSET(A$1,,,SUMPRODUCT(MAX(ROW(E$1:E6638)*(E2=E$1:E6638))))))</f>
        <v> </v>
      </c>
      <c r="K6639" s="26" t="str">
        <f>IF(OR(E6639="",E6639="!!!",F6639="NEW"),"",INDEX(J$1:J6638,SUMPRODUCT(MAX(ROW(E$1:E6638)*(E6639=E$1:E6638)))))</f>
        <v> </v>
      </c>
      <c r="L6639" s="27"/>
    </row>
    <row r="6640" spans="1:12">
      <c r="A6640" s="20" t="s">
        <v>1412</v>
      </c>
      <c r="B6640" s="21" t="s">
        <v>1033</v>
      </c>
      <c r="C6640" s="21" t="s">
        <v>1006</v>
      </c>
      <c r="D6640" s="21" t="s">
        <v>1007</v>
      </c>
      <c r="E6640" s="22">
        <f>IF(D6640="?OLD","!!!","")</f>
        <v/>
      </c>
      <c r="F6640" s="23" t="str">
        <f>IF(OR(E6640="",E6640="!!!"),"",IF(NOT(ISNA(VLOOKUP(E6640,E$1:E6639,1,FALSE()))),"OLD",IF(AND(E6640&lt;&gt;"",E6640&lt;&gt;"!!!"),"NEW","")))</f>
        <v> </v>
      </c>
      <c r="G6640" s="24" t="str">
        <f>IF(OR(E6640="",E6640="!!!"),"",IF(OR(J6640=0,AND(J6640=1,K6640=1),AND(J6640=1,I6640="SBJ"),AND(J6640=1,I6640=0)),"?IN_FOCUS",IF(J6640&lt;=2,"?ACTIVATED",IF(J6640&lt;&gt;"","?FAMILIAR",IF(F6640="NEW",IF(ISNA(VLOOKUP(E6640,#REF!,1,FALSE())),"?TYPE_IDENTIFIABLE","?REFERENTIAL"),"_")))))</f>
        <v> </v>
      </c>
      <c r="H6640" s="25" t="str">
        <f>IF(J6640&lt;&gt;1,"",IF(I6640="SBJ","CB","?"))</f>
        <v> </v>
      </c>
      <c r="I6640" s="26" t="str">
        <f>IF(OR(E6640="",E6640="!!!",F6640="NEW"),"",INDEX(B6639:B$2,-1+SUMPRODUCT(MAX(ROW(E6639:E$2)*(E6640=E6639:E$2)))))</f>
        <v> </v>
      </c>
      <c r="J6640" s="26" t="str">
        <f>IF(OR(E6640="",E6640="!!!",F6640="NEW"),"",COUNTBLANK(OFFSET(A$1,,,SUMPRODUCT(MAX(ROW(E$2:E6640)*(E6640=E$2:E6640)))))-COUNTBLANK(OFFSET(A$1,,,SUMPRODUCT(MAX(ROW(E$1:E6639)*(E2=E$1:E6639))))))</f>
        <v> </v>
      </c>
      <c r="K6640" s="26" t="str">
        <f>IF(OR(E6640="",E6640="!!!",F6640="NEW"),"",INDEX(J$1:J6639,SUMPRODUCT(MAX(ROW(E$1:E6639)*(E6640=E$1:E6639)))))</f>
        <v> </v>
      </c>
      <c r="L6640" s="27"/>
    </row>
    <row r="6641" spans="1:12">
      <c r="A6641" s="20" t="s">
        <v>1018</v>
      </c>
      <c r="E6641" s="22">
        <f>IF(D6641="?OLD","!!!","")</f>
        <v/>
      </c>
      <c r="F6641" s="23" t="str">
        <f>IF(OR(E6641="",E6641="!!!"),"",IF(NOT(ISNA(VLOOKUP(E6641,E$1:E6640,1,FALSE()))),"OLD",IF(AND(E6641&lt;&gt;"",E6641&lt;&gt;"!!!"),"NEW","")))</f>
        <v> </v>
      </c>
      <c r="G6641" s="24" t="str">
        <f>IF(OR(E6641="",E6641="!!!"),"",IF(OR(J6641=0,AND(J6641=1,K6641=1),AND(J6641=1,I6641="SBJ"),AND(J6641=1,I6641=0)),"?IN_FOCUS",IF(J6641&lt;=2,"?ACTIVATED",IF(J6641&lt;&gt;"","?FAMILIAR",IF(F6641="NEW",IF(ISNA(VLOOKUP(E6641,#REF!,1,FALSE())),"?TYPE_IDENTIFIABLE","?REFERENTIAL"),"_")))))</f>
        <v> </v>
      </c>
      <c r="H6641" s="25" t="str">
        <f>IF(J6641&lt;&gt;1,"",IF(I6641="SBJ","CB","?"))</f>
        <v> </v>
      </c>
      <c r="I6641" s="26" t="str">
        <f>IF(OR(E6641="",E6641="!!!",F6641="NEW"),"",INDEX(B6640:B$2,-1+SUMPRODUCT(MAX(ROW(E6640:E$2)*(E6641=E6640:E$2)))))</f>
        <v> </v>
      </c>
      <c r="J6641" s="26" t="str">
        <f>IF(OR(E6641="",E6641="!!!",F6641="NEW"),"",COUNTBLANK(OFFSET(A$1,,,SUMPRODUCT(MAX(ROW(E$2:E6641)*(E6641=E$2:E6641)))))-COUNTBLANK(OFFSET(A$1,,,SUMPRODUCT(MAX(ROW(E$1:E6640)*(E2=E$1:E6640))))))</f>
        <v> </v>
      </c>
      <c r="K6641" s="26" t="str">
        <f>IF(OR(E6641="",E6641="!!!",F6641="NEW"),"",INDEX(J$1:J6640,SUMPRODUCT(MAX(ROW(E$1:E6640)*(E6641=E$1:E6640)))))</f>
        <v> </v>
      </c>
      <c r="L6641" s="27"/>
    </row>
    <row r="6642" spans="1:12">
      <c r="A6642" s="20" t="s">
        <v>1330</v>
      </c>
      <c r="E6642" s="22">
        <f>IF(D6642="?OLD","!!!","")</f>
        <v/>
      </c>
      <c r="F6642" s="23" t="str">
        <f>IF(OR(E6642="",E6642="!!!"),"",IF(NOT(ISNA(VLOOKUP(E6642,E$1:E6641,1,FALSE()))),"OLD",IF(AND(E6642&lt;&gt;"",E6642&lt;&gt;"!!!"),"NEW","")))</f>
        <v> </v>
      </c>
      <c r="G6642" s="24" t="str">
        <f>IF(OR(E6642="",E6642="!!!"),"",IF(OR(J6642=0,AND(J6642=1,K6642=1),AND(J6642=1,I6642="SBJ"),AND(J6642=1,I6642=0)),"?IN_FOCUS",IF(J6642&lt;=2,"?ACTIVATED",IF(J6642&lt;&gt;"","?FAMILIAR",IF(F6642="NEW",IF(ISNA(VLOOKUP(E6642,#REF!,1,FALSE())),"?TYPE_IDENTIFIABLE","?REFERENTIAL"),"_")))))</f>
        <v> </v>
      </c>
      <c r="H6642" s="25" t="str">
        <f>IF(J6642&lt;&gt;1,"",IF(I6642="SBJ","CB","?"))</f>
        <v> </v>
      </c>
      <c r="I6642" s="26" t="str">
        <f>IF(OR(E6642="",E6642="!!!",F6642="NEW"),"",INDEX(B6641:B$2,-1+SUMPRODUCT(MAX(ROW(E6641:E$2)*(E6642=E6641:E$2)))))</f>
        <v> </v>
      </c>
      <c r="J6642" s="26" t="str">
        <f>IF(OR(E6642="",E6642="!!!",F6642="NEW"),"",COUNTBLANK(OFFSET(A$1,,,SUMPRODUCT(MAX(ROW(E$2:E6642)*(E6642=E$2:E6642)))))-COUNTBLANK(OFFSET(A$1,,,SUMPRODUCT(MAX(ROW(E$1:E6641)*(E2=E$1:E6641))))))</f>
        <v> </v>
      </c>
      <c r="K6642" s="26" t="str">
        <f>IF(OR(E6642="",E6642="!!!",F6642="NEW"),"",INDEX(J$1:J6641,SUMPRODUCT(MAX(ROW(E$1:E6641)*(E6642=E$1:E6641)))))</f>
        <v> </v>
      </c>
      <c r="L6642" s="27"/>
    </row>
    <row r="6643" spans="1:12">
      <c r="A6643" s="20" t="s">
        <v>1020</v>
      </c>
      <c r="E6643" s="22">
        <f>IF(D6643="?OLD","!!!","")</f>
        <v/>
      </c>
      <c r="F6643" s="23" t="str">
        <f>IF(OR(E6643="",E6643="!!!"),"",IF(NOT(ISNA(VLOOKUP(E6643,E$1:E6642,1,FALSE()))),"OLD",IF(AND(E6643&lt;&gt;"",E6643&lt;&gt;"!!!"),"NEW","")))</f>
        <v> </v>
      </c>
      <c r="G6643" s="24" t="str">
        <f>IF(OR(E6643="",E6643="!!!"),"",IF(OR(J6643=0,AND(J6643=1,K6643=1),AND(J6643=1,I6643="SBJ"),AND(J6643=1,I6643=0)),"?IN_FOCUS",IF(J6643&lt;=2,"?ACTIVATED",IF(J6643&lt;&gt;"","?FAMILIAR",IF(F6643="NEW",IF(ISNA(VLOOKUP(E6643,#REF!,1,FALSE())),"?TYPE_IDENTIFIABLE","?REFERENTIAL"),"_")))))</f>
        <v> </v>
      </c>
      <c r="H6643" s="25" t="str">
        <f>IF(J6643&lt;&gt;1,"",IF(I6643="SBJ","CB","?"))</f>
        <v> </v>
      </c>
      <c r="I6643" s="26" t="str">
        <f>IF(OR(E6643="",E6643="!!!",F6643="NEW"),"",INDEX(B6642:B$2,-1+SUMPRODUCT(MAX(ROW(E6642:E$2)*(E6643=E6642:E$2)))))</f>
        <v> </v>
      </c>
      <c r="J6643" s="26" t="str">
        <f>IF(OR(E6643="",E6643="!!!",F6643="NEW"),"",COUNTBLANK(OFFSET(A$1,,,SUMPRODUCT(MAX(ROW(E$2:E6643)*(E6643=E$2:E6643)))))-COUNTBLANK(OFFSET(A$1,,,SUMPRODUCT(MAX(ROW(E$1:E6642)*(E2=E$1:E6642))))))</f>
        <v> </v>
      </c>
      <c r="K6643" s="26" t="str">
        <f>IF(OR(E6643="",E6643="!!!",F6643="NEW"),"",INDEX(J$1:J6642,SUMPRODUCT(MAX(ROW(E$1:E6642)*(E6643=E$1:E6642)))))</f>
        <v> </v>
      </c>
      <c r="L6643" s="27"/>
    </row>
    <row r="6644" spans="1:12">
      <c r="A6644" s="20" t="s">
        <v>102</v>
      </c>
      <c r="E6644" s="22">
        <f>IF(D6644="?OLD","!!!","")</f>
        <v/>
      </c>
      <c r="F6644" s="23" t="str">
        <f>IF(OR(E6644="",E6644="!!!"),"",IF(NOT(ISNA(VLOOKUP(E6644,E$1:E6643,1,FALSE()))),"OLD",IF(AND(E6644&lt;&gt;"",E6644&lt;&gt;"!!!"),"NEW","")))</f>
        <v> </v>
      </c>
      <c r="G6644" s="24" t="str">
        <f>IF(OR(E6644="",E6644="!!!"),"",IF(OR(J6644=0,AND(J6644=1,K6644=1),AND(J6644=1,I6644="SBJ"),AND(J6644=1,I6644=0)),"?IN_FOCUS",IF(J6644&lt;=2,"?ACTIVATED",IF(J6644&lt;&gt;"","?FAMILIAR",IF(F6644="NEW",IF(ISNA(VLOOKUP(E6644,#REF!,1,FALSE())),"?TYPE_IDENTIFIABLE","?REFERENTIAL"),"_")))))</f>
        <v> </v>
      </c>
      <c r="H6644" s="25" t="str">
        <f>IF(J6644&lt;&gt;1,"",IF(I6644="SBJ","CB","?"))</f>
        <v> </v>
      </c>
      <c r="I6644" s="26" t="str">
        <f>IF(OR(E6644="",E6644="!!!",F6644="NEW"),"",INDEX(B6643:B$2,-1+SUMPRODUCT(MAX(ROW(E6643:E$2)*(E6644=E6643:E$2)))))</f>
        <v> </v>
      </c>
      <c r="J6644" s="26" t="str">
        <f>IF(OR(E6644="",E6644="!!!",F6644="NEW"),"",COUNTBLANK(OFFSET(A$1,,,SUMPRODUCT(MAX(ROW(E$2:E6644)*(E6644=E$2:E6644)))))-COUNTBLANK(OFFSET(A$1,,,SUMPRODUCT(MAX(ROW(E$1:E6643)*(E2=E$1:E6643))))))</f>
        <v> </v>
      </c>
      <c r="K6644" s="26" t="str">
        <f>IF(OR(E6644="",E6644="!!!",F6644="NEW"),"",INDEX(J$1:J6643,SUMPRODUCT(MAX(ROW(E$1:E6643)*(E6644=E$1:E6643)))))</f>
        <v> </v>
      </c>
      <c r="L6644" s="27"/>
    </row>
    <row r="6645" spans="1:12">
      <c r="A6645" s="20" t="s">
        <v>2710</v>
      </c>
      <c r="B6645" s="21" t="s">
        <v>1033</v>
      </c>
      <c r="C6645" s="21" t="s">
        <v>1006</v>
      </c>
      <c r="D6645" s="21" t="s">
        <v>1007</v>
      </c>
      <c r="E6645" s="22">
        <f>IF(D6645="?OLD","!!!","")</f>
        <v/>
      </c>
      <c r="F6645" s="23" t="str">
        <f>IF(OR(E6645="",E6645="!!!"),"",IF(NOT(ISNA(VLOOKUP(E6645,E$1:E6644,1,FALSE()))),"OLD",IF(AND(E6645&lt;&gt;"",E6645&lt;&gt;"!!!"),"NEW","")))</f>
        <v> </v>
      </c>
      <c r="G6645" s="24" t="str">
        <f>IF(OR(E6645="",E6645="!!!"),"",IF(OR(J6645=0,AND(J6645=1,K6645=1),AND(J6645=1,I6645="SBJ"),AND(J6645=1,I6645=0)),"?IN_FOCUS",IF(J6645&lt;=2,"?ACTIVATED",IF(J6645&lt;&gt;"","?FAMILIAR",IF(F6645="NEW",IF(ISNA(VLOOKUP(E6645,#REF!,1,FALSE())),"?TYPE_IDENTIFIABLE","?REFERENTIAL"),"_")))))</f>
        <v> </v>
      </c>
      <c r="H6645" s="25" t="str">
        <f>IF(J6645&lt;&gt;1,"",IF(I6645="SBJ","CB","?"))</f>
        <v> </v>
      </c>
      <c r="I6645" s="26" t="str">
        <f>IF(OR(E6645="",E6645="!!!",F6645="NEW"),"",INDEX(B6644:B$2,-1+SUMPRODUCT(MAX(ROW(E6644:E$2)*(E6645=E6644:E$2)))))</f>
        <v> </v>
      </c>
      <c r="J6645" s="26" t="str">
        <f>IF(OR(E6645="",E6645="!!!",F6645="NEW"),"",COUNTBLANK(OFFSET(A$1,,,SUMPRODUCT(MAX(ROW(E$2:E6645)*(E6645=E$2:E6645)))))-COUNTBLANK(OFFSET(A$1,,,SUMPRODUCT(MAX(ROW(E$1:E6644)*(E2=E$1:E6644))))))</f>
        <v> </v>
      </c>
      <c r="K6645" s="26" t="str">
        <f>IF(OR(E6645="",E6645="!!!",F6645="NEW"),"",INDEX(J$1:J6644,SUMPRODUCT(MAX(ROW(E$1:E6644)*(E6645=E$1:E6644)))))</f>
        <v> </v>
      </c>
      <c r="L6645" s="27"/>
    </row>
    <row r="6646" spans="1:12">
      <c r="A6646" s="20" t="s">
        <v>1018</v>
      </c>
      <c r="E6646" s="22">
        <f>IF(D6646="?OLD","!!!","")</f>
        <v/>
      </c>
      <c r="F6646" s="23" t="str">
        <f>IF(OR(E6646="",E6646="!!!"),"",IF(NOT(ISNA(VLOOKUP(E6646,E$1:E6645,1,FALSE()))),"OLD",IF(AND(E6646&lt;&gt;"",E6646&lt;&gt;"!!!"),"NEW","")))</f>
        <v> </v>
      </c>
      <c r="G6646" s="24" t="str">
        <f>IF(OR(E6646="",E6646="!!!"),"",IF(OR(J6646=0,AND(J6646=1,K6646=1),AND(J6646=1,I6646="SBJ"),AND(J6646=1,I6646=0)),"?IN_FOCUS",IF(J6646&lt;=2,"?ACTIVATED",IF(J6646&lt;&gt;"","?FAMILIAR",IF(F6646="NEW",IF(ISNA(VLOOKUP(E6646,#REF!,1,FALSE())),"?TYPE_IDENTIFIABLE","?REFERENTIAL"),"_")))))</f>
        <v> </v>
      </c>
      <c r="H6646" s="25" t="str">
        <f>IF(J6646&lt;&gt;1,"",IF(I6646="SBJ","CB","?"))</f>
        <v> </v>
      </c>
      <c r="I6646" s="26" t="str">
        <f>IF(OR(E6646="",E6646="!!!",F6646="NEW"),"",INDEX(B6645:B$2,-1+SUMPRODUCT(MAX(ROW(E6645:E$2)*(E6646=E6645:E$2)))))</f>
        <v> </v>
      </c>
      <c r="J6646" s="26" t="str">
        <f>IF(OR(E6646="",E6646="!!!",F6646="NEW"),"",COUNTBLANK(OFFSET(A$1,,,SUMPRODUCT(MAX(ROW(E$2:E6646)*(E6646=E$2:E6646)))))-COUNTBLANK(OFFSET(A$1,,,SUMPRODUCT(MAX(ROW(E$1:E6645)*(E2=E$1:E6645))))))</f>
        <v> </v>
      </c>
      <c r="K6646" s="26" t="str">
        <f>IF(OR(E6646="",E6646="!!!",F6646="NEW"),"",INDEX(J$1:J6645,SUMPRODUCT(MAX(ROW(E$1:E6645)*(E6646=E$1:E6645)))))</f>
        <v> </v>
      </c>
      <c r="L6646" s="27"/>
    </row>
    <row r="6647" spans="1:12">
      <c r="A6647" s="20" t="s">
        <v>1786</v>
      </c>
      <c r="E6647" s="22">
        <f>IF(D6647="?OLD","!!!","")</f>
        <v/>
      </c>
      <c r="F6647" s="23" t="str">
        <f>IF(OR(E6647="",E6647="!!!"),"",IF(NOT(ISNA(VLOOKUP(E6647,E$1:E6646,1,FALSE()))),"OLD",IF(AND(E6647&lt;&gt;"",E6647&lt;&gt;"!!!"),"NEW","")))</f>
        <v> </v>
      </c>
      <c r="G6647" s="24" t="str">
        <f>IF(OR(E6647="",E6647="!!!"),"",IF(OR(J6647=0,AND(J6647=1,K6647=1),AND(J6647=1,I6647="SBJ"),AND(J6647=1,I6647=0)),"?IN_FOCUS",IF(J6647&lt;=2,"?ACTIVATED",IF(J6647&lt;&gt;"","?FAMILIAR",IF(F6647="NEW",IF(ISNA(VLOOKUP(E6647,#REF!,1,FALSE())),"?TYPE_IDENTIFIABLE","?REFERENTIAL"),"_")))))</f>
        <v> </v>
      </c>
      <c r="H6647" s="25" t="str">
        <f>IF(J6647&lt;&gt;1,"",IF(I6647="SBJ","CB","?"))</f>
        <v> </v>
      </c>
      <c r="I6647" s="26" t="str">
        <f>IF(OR(E6647="",E6647="!!!",F6647="NEW"),"",INDEX(B6646:B$2,-1+SUMPRODUCT(MAX(ROW(E6646:E$2)*(E6647=E6646:E$2)))))</f>
        <v> </v>
      </c>
      <c r="J6647" s="26" t="str">
        <f>IF(OR(E6647="",E6647="!!!",F6647="NEW"),"",COUNTBLANK(OFFSET(A$1,,,SUMPRODUCT(MAX(ROW(E$2:E6647)*(E6647=E$2:E6647)))))-COUNTBLANK(OFFSET(A$1,,,SUMPRODUCT(MAX(ROW(E$1:E6646)*(E2=E$1:E6646))))))</f>
        <v> </v>
      </c>
      <c r="K6647" s="26" t="str">
        <f>IF(OR(E6647="",E6647="!!!",F6647="NEW"),"",INDEX(J$1:J6646,SUMPRODUCT(MAX(ROW(E$1:E6646)*(E6647=E$1:E6646)))))</f>
        <v> </v>
      </c>
      <c r="L6647" s="27"/>
    </row>
    <row r="6648" spans="1:12">
      <c r="A6648" s="20" t="s">
        <v>1569</v>
      </c>
      <c r="E6648" s="22">
        <f>IF(D6648="?OLD","!!!","")</f>
        <v/>
      </c>
      <c r="F6648" s="23" t="str">
        <f>IF(OR(E6648="",E6648="!!!"),"",IF(NOT(ISNA(VLOOKUP(E6648,E$1:E6647,1,FALSE()))),"OLD",IF(AND(E6648&lt;&gt;"",E6648&lt;&gt;"!!!"),"NEW","")))</f>
        <v> </v>
      </c>
      <c r="G6648" s="24" t="str">
        <f>IF(OR(E6648="",E6648="!!!"),"",IF(OR(J6648=0,AND(J6648=1,K6648=1),AND(J6648=1,I6648="SBJ"),AND(J6648=1,I6648=0)),"?IN_FOCUS",IF(J6648&lt;=2,"?ACTIVATED",IF(J6648&lt;&gt;"","?FAMILIAR",IF(F6648="NEW",IF(ISNA(VLOOKUP(E6648,#REF!,1,FALSE())),"?TYPE_IDENTIFIABLE","?REFERENTIAL"),"_")))))</f>
        <v> </v>
      </c>
      <c r="H6648" s="25" t="str">
        <f>IF(J6648&lt;&gt;1,"",IF(I6648="SBJ","CB","?"))</f>
        <v> </v>
      </c>
      <c r="I6648" s="26" t="str">
        <f>IF(OR(E6648="",E6648="!!!",F6648="NEW"),"",INDEX(B6647:B$2,-1+SUMPRODUCT(MAX(ROW(E6647:E$2)*(E6648=E6647:E$2)))))</f>
        <v> </v>
      </c>
      <c r="J6648" s="26" t="str">
        <f>IF(OR(E6648="",E6648="!!!",F6648="NEW"),"",COUNTBLANK(OFFSET(A$1,,,SUMPRODUCT(MAX(ROW(E$2:E6648)*(E6648=E$2:E6648)))))-COUNTBLANK(OFFSET(A$1,,,SUMPRODUCT(MAX(ROW(E$1:E6647)*(E2=E$1:E6647))))))</f>
        <v> </v>
      </c>
      <c r="K6648" s="26" t="str">
        <f>IF(OR(E6648="",E6648="!!!",F6648="NEW"),"",INDEX(J$1:J6647,SUMPRODUCT(MAX(ROW(E$1:E6647)*(E6648=E$1:E6647)))))</f>
        <v> </v>
      </c>
      <c r="L6648" s="27"/>
    </row>
    <row r="6649" spans="1:12">
      <c r="A6649" s="20" t="s">
        <v>1285</v>
      </c>
      <c r="B6649" s="21" t="s">
        <v>1035</v>
      </c>
      <c r="C6649" s="21" t="s">
        <v>1041</v>
      </c>
      <c r="D6649" s="21" t="s">
        <v>1007</v>
      </c>
      <c r="E6649" s="22">
        <f>IF(D6649="?OLD","!!!","")</f>
        <v/>
      </c>
      <c r="F6649" s="23" t="str">
        <f>IF(OR(E6649="",E6649="!!!"),"",IF(NOT(ISNA(VLOOKUP(E6649,E$1:E6648,1,FALSE()))),"OLD",IF(AND(E6649&lt;&gt;"",E6649&lt;&gt;"!!!"),"NEW","")))</f>
        <v> </v>
      </c>
      <c r="G6649" s="24" t="str">
        <f>IF(OR(E6649="",E6649="!!!"),"",IF(OR(J6649=0,AND(J6649=1,K6649=1),AND(J6649=1,I6649="SBJ"),AND(J6649=1,I6649=0)),"?IN_FOCUS",IF(J6649&lt;=2,"?ACTIVATED",IF(J6649&lt;&gt;"","?FAMILIAR",IF(F6649="NEW",IF(ISNA(VLOOKUP(E6649,#REF!,1,FALSE())),"?TYPE_IDENTIFIABLE","?REFERENTIAL"),"_")))))</f>
        <v> </v>
      </c>
      <c r="H6649" s="25" t="str">
        <f>IF(J6649&lt;&gt;1,"",IF(I6649="SBJ","CB","?"))</f>
        <v> </v>
      </c>
      <c r="I6649" s="26" t="str">
        <f>IF(OR(E6649="",E6649="!!!",F6649="NEW"),"",INDEX(B6648:B$2,-1+SUMPRODUCT(MAX(ROW(E6648:E$2)*(E6649=E6648:E$2)))))</f>
        <v> </v>
      </c>
      <c r="J6649" s="26" t="str">
        <f>IF(OR(E6649="",E6649="!!!",F6649="NEW"),"",COUNTBLANK(OFFSET(A$1,,,SUMPRODUCT(MAX(ROW(E$2:E6649)*(E6649=E$2:E6649)))))-COUNTBLANK(OFFSET(A$1,,,SUMPRODUCT(MAX(ROW(E$1:E6648)*(E2=E$1:E6648))))))</f>
        <v> </v>
      </c>
      <c r="K6649" s="26" t="str">
        <f>IF(OR(E6649="",E6649="!!!",F6649="NEW"),"",INDEX(J$1:J6648,SUMPRODUCT(MAX(ROW(E$1:E6648)*(E6649=E$1:E6648)))))</f>
        <v> </v>
      </c>
      <c r="L6649" s="27"/>
    </row>
    <row r="6650" spans="1:12">
      <c r="A6650" s="20" t="s">
        <v>1023</v>
      </c>
      <c r="E6650" s="22">
        <f>IF(D6650="?OLD","!!!","")</f>
        <v/>
      </c>
      <c r="F6650" s="23" t="str">
        <f>IF(OR(E6650="",E6650="!!!"),"",IF(NOT(ISNA(VLOOKUP(E6650,E$1:E6649,1,FALSE()))),"OLD",IF(AND(E6650&lt;&gt;"",E6650&lt;&gt;"!!!"),"NEW","")))</f>
        <v> </v>
      </c>
      <c r="G6650" s="24" t="str">
        <f>IF(OR(E6650="",E6650="!!!"),"",IF(OR(J6650=0,AND(J6650=1,K6650=1),AND(J6650=1,I6650="SBJ"),AND(J6650=1,I6650=0)),"?IN_FOCUS",IF(J6650&lt;=2,"?ACTIVATED",IF(J6650&lt;&gt;"","?FAMILIAR",IF(F6650="NEW",IF(ISNA(VLOOKUP(E6650,#REF!,1,FALSE())),"?TYPE_IDENTIFIABLE","?REFERENTIAL"),"_")))))</f>
        <v> </v>
      </c>
      <c r="H6650" s="25" t="str">
        <f>IF(J6650&lt;&gt;1,"",IF(I6650="SBJ","CB","?"))</f>
        <v> </v>
      </c>
      <c r="I6650" s="26" t="str">
        <f>IF(OR(E6650="",E6650="!!!",F6650="NEW"),"",INDEX(B6649:B$2,-1+SUMPRODUCT(MAX(ROW(E6649:E$2)*(E6650=E6649:E$2)))))</f>
        <v> </v>
      </c>
      <c r="J6650" s="26" t="str">
        <f>IF(OR(E6650="",E6650="!!!",F6650="NEW"),"",COUNTBLANK(OFFSET(A$1,,,SUMPRODUCT(MAX(ROW(E$2:E6650)*(E6650=E$2:E6650)))))-COUNTBLANK(OFFSET(A$1,,,SUMPRODUCT(MAX(ROW(E$1:E6649)*(E2=E$1:E6649))))))</f>
        <v> </v>
      </c>
      <c r="K6650" s="26" t="str">
        <f>IF(OR(E6650="",E6650="!!!",F6650="NEW"),"",INDEX(J$1:J6649,SUMPRODUCT(MAX(ROW(E$1:E6649)*(E6650=E$1:E6649)))))</f>
        <v> </v>
      </c>
      <c r="L6650" s="27"/>
    </row>
    <row r="6651" spans="1:12">
      <c r="A6651" s="20"/>
    </row>
    <row r="6652" spans="1:12">
      <c r="A6652" s="20" t="s">
        <v>2711</v>
      </c>
    </row>
    <row r="6653" spans="1:12">
      <c r="A6653" s="20" t="s">
        <v>2712</v>
      </c>
      <c r="E6653" s="22">
        <f>IF(D6653="?OLD","!!!","")</f>
        <v/>
      </c>
      <c r="F6653" s="23" t="str">
        <f>IF(OR(E6653="",E6653="!!!"),"",IF(NOT(ISNA(VLOOKUP(E6653,E$1:E6652,1,FALSE()))),"OLD",IF(AND(E6653&lt;&gt;"",E6653&lt;&gt;"!!!"),"NEW","")))</f>
        <v> </v>
      </c>
      <c r="G6653" s="24" t="str">
        <f>IF(OR(E6653="",E6653="!!!"),"",IF(OR(J6653=0,AND(J6653=1,K6653=1),AND(J6653=1,I6653="SBJ"),AND(J6653=1,I6653=0)),"?IN_FOCUS",IF(J6653&lt;=2,"?ACTIVATED",IF(J6653&lt;&gt;"","?FAMILIAR",IF(F6653="NEW",IF(ISNA(VLOOKUP(E6653,#REF!,1,FALSE())),"?TYPE_IDENTIFIABLE","?REFERENTIAL"),"_")))))</f>
        <v> </v>
      </c>
      <c r="H6653" s="25" t="str">
        <f>IF(J6653&lt;&gt;1,"",IF(I6653="SBJ","CB","?"))</f>
        <v> </v>
      </c>
      <c r="I6653" s="26" t="str">
        <f>IF(OR(E6653="",E6653="!!!",F6653="NEW"),"",INDEX(B6652:B$2,-1+SUMPRODUCT(MAX(ROW(E6652:E$2)*(E6653=E6652:E$2)))))</f>
        <v> </v>
      </c>
      <c r="J6653" s="26" t="str">
        <f>IF(OR(E6653="",E6653="!!!",F6653="NEW"),"",COUNTBLANK(OFFSET(A$1,,,SUMPRODUCT(MAX(ROW(E$2:E6653)*(E6653=E$2:E6653)))))-COUNTBLANK(OFFSET(A$1,,,SUMPRODUCT(MAX(ROW(E$1:E6652)*(E2=E$1:E6652))))))</f>
        <v> </v>
      </c>
      <c r="K6653" s="26" t="str">
        <f>IF(OR(E6653="",E6653="!!!",F6653="NEW"),"",INDEX(J$1:J6652,SUMPRODUCT(MAX(ROW(E$1:E6652)*(E6653=E$1:E6652)))))</f>
        <v> </v>
      </c>
      <c r="L6653" s="27"/>
    </row>
    <row r="6654" spans="1:12">
      <c r="A6654" s="20" t="s">
        <v>2381</v>
      </c>
      <c r="B6654" s="21" t="s">
        <v>1085</v>
      </c>
      <c r="C6654" s="21" t="s">
        <v>1048</v>
      </c>
      <c r="E6654" s="22">
        <f>IF(D6654="?OLD","!!!","")</f>
        <v/>
      </c>
      <c r="F6654" s="23" t="str">
        <f>IF(OR(E6654="",E6654="!!!"),"",IF(NOT(ISNA(VLOOKUP(E6654,E$1:E6653,1,FALSE()))),"OLD",IF(AND(E6654&lt;&gt;"",E6654&lt;&gt;"!!!"),"NEW","")))</f>
        <v> </v>
      </c>
      <c r="G6654" s="24" t="str">
        <f>IF(OR(E6654="",E6654="!!!"),"",IF(OR(J6654=0,AND(J6654=1,K6654=1),AND(J6654=1,I6654="SBJ"),AND(J6654=1,I6654=0)),"?IN_FOCUS",IF(J6654&lt;=2,"?ACTIVATED",IF(J6654&lt;&gt;"","?FAMILIAR",IF(F6654="NEW",IF(ISNA(VLOOKUP(E6654,#REF!,1,FALSE())),"?TYPE_IDENTIFIABLE","?REFERENTIAL"),"_")))))</f>
        <v> </v>
      </c>
      <c r="H6654" s="25" t="str">
        <f>IF(J6654&lt;&gt;1,"",IF(I6654="SBJ","CB","?"))</f>
        <v> </v>
      </c>
      <c r="I6654" s="26" t="str">
        <f>IF(OR(E6654="",E6654="!!!",F6654="NEW"),"",INDEX(B6653:B$2,-1+SUMPRODUCT(MAX(ROW(E6653:E$2)*(E6654=E6653:E$2)))))</f>
        <v> </v>
      </c>
      <c r="J6654" s="26" t="str">
        <f>IF(OR(E6654="",E6654="!!!",F6654="NEW"),"",COUNTBLANK(OFFSET(A$1,,,SUMPRODUCT(MAX(ROW(E$2:E6654)*(E6654=E$2:E6654)))))-COUNTBLANK(OFFSET(A$1,,,SUMPRODUCT(MAX(ROW(E$1:E6653)*(E2=E$1:E6653))))))</f>
        <v> </v>
      </c>
      <c r="K6654" s="26" t="str">
        <f>IF(OR(E6654="",E6654="!!!",F6654="NEW"),"",INDEX(J$1:J6653,SUMPRODUCT(MAX(ROW(E$1:E6653)*(E6654=E$1:E6653)))))</f>
        <v> </v>
      </c>
      <c r="L6654" s="27"/>
    </row>
    <row r="6655" spans="1:12">
      <c r="A6655" s="20" t="s">
        <v>1018</v>
      </c>
      <c r="E6655" s="22">
        <f>IF(D6655="?OLD","!!!","")</f>
        <v/>
      </c>
      <c r="F6655" s="23" t="str">
        <f>IF(OR(E6655="",E6655="!!!"),"",IF(NOT(ISNA(VLOOKUP(E6655,E$1:E6654,1,FALSE()))),"OLD",IF(AND(E6655&lt;&gt;"",E6655&lt;&gt;"!!!"),"NEW","")))</f>
        <v> </v>
      </c>
      <c r="G6655" s="24" t="str">
        <f>IF(OR(E6655="",E6655="!!!"),"",IF(OR(J6655=0,AND(J6655=1,K6655=1),AND(J6655=1,I6655="SBJ"),AND(J6655=1,I6655=0)),"?IN_FOCUS",IF(J6655&lt;=2,"?ACTIVATED",IF(J6655&lt;&gt;"","?FAMILIAR",IF(F6655="NEW",IF(ISNA(VLOOKUP(E6655,#REF!,1,FALSE())),"?TYPE_IDENTIFIABLE","?REFERENTIAL"),"_")))))</f>
        <v> </v>
      </c>
      <c r="H6655" s="25" t="str">
        <f>IF(J6655&lt;&gt;1,"",IF(I6655="SBJ","CB","?"))</f>
        <v> </v>
      </c>
      <c r="I6655" s="26" t="str">
        <f>IF(OR(E6655="",E6655="!!!",F6655="NEW"),"",INDEX(B6654:B$2,-1+SUMPRODUCT(MAX(ROW(E6654:E$2)*(E6655=E6654:E$2)))))</f>
        <v> </v>
      </c>
      <c r="J6655" s="26" t="str">
        <f>IF(OR(E6655="",E6655="!!!",F6655="NEW"),"",COUNTBLANK(OFFSET(A$1,,,SUMPRODUCT(MAX(ROW(E$2:E6655)*(E6655=E$2:E6655)))))-COUNTBLANK(OFFSET(A$1,,,SUMPRODUCT(MAX(ROW(E$1:E6654)*(E2=E$1:E6654))))))</f>
        <v> </v>
      </c>
      <c r="K6655" s="26" t="str">
        <f>IF(OR(E6655="",E6655="!!!",F6655="NEW"),"",INDEX(J$1:J6654,SUMPRODUCT(MAX(ROW(E$1:E6654)*(E6655=E$1:E6654)))))</f>
        <v> </v>
      </c>
      <c r="L6655" s="27"/>
    </row>
    <row r="6656" spans="1:12">
      <c r="A6656" s="20" t="s">
        <v>1451</v>
      </c>
      <c r="B6656" s="21" t="s">
        <v>1119</v>
      </c>
      <c r="C6656" s="21" t="s">
        <v>1074</v>
      </c>
      <c r="E6656" s="22">
        <f>IF(D6656="?OLD","!!!","")</f>
        <v/>
      </c>
      <c r="F6656" s="23" t="str">
        <f>IF(OR(E6656="",E6656="!!!"),"",IF(NOT(ISNA(VLOOKUP(E6656,E$1:E6655,1,FALSE()))),"OLD",IF(AND(E6656&lt;&gt;"",E6656&lt;&gt;"!!!"),"NEW","")))</f>
        <v> </v>
      </c>
      <c r="G6656" s="24" t="str">
        <f>IF(OR(E6656="",E6656="!!!"),"",IF(OR(J6656=0,AND(J6656=1,K6656=1),AND(J6656=1,I6656="SBJ"),AND(J6656=1,I6656=0)),"?IN_FOCUS",IF(J6656&lt;=2,"?ACTIVATED",IF(J6656&lt;&gt;"","?FAMILIAR",IF(F6656="NEW",IF(ISNA(VLOOKUP(E6656,#REF!,1,FALSE())),"?TYPE_IDENTIFIABLE","?REFERENTIAL"),"_")))))</f>
        <v> </v>
      </c>
      <c r="H6656" s="25" t="str">
        <f>IF(J6656&lt;&gt;1,"",IF(I6656="SBJ","CB","?"))</f>
        <v> </v>
      </c>
      <c r="I6656" s="26" t="str">
        <f>IF(OR(E6656="",E6656="!!!",F6656="NEW"),"",INDEX(B6655:B$2,-1+SUMPRODUCT(MAX(ROW(E6655:E$2)*(E6656=E6655:E$2)))))</f>
        <v> </v>
      </c>
      <c r="J6656" s="26" t="str">
        <f>IF(OR(E6656="",E6656="!!!",F6656="NEW"),"",COUNTBLANK(OFFSET(A$1,,,SUMPRODUCT(MAX(ROW(E$2:E6656)*(E6656=E$2:E6656)))))-COUNTBLANK(OFFSET(A$1,,,SUMPRODUCT(MAX(ROW(E$1:E6655)*(E2=E$1:E6655))))))</f>
        <v> </v>
      </c>
      <c r="K6656" s="26" t="str">
        <f>IF(OR(E6656="",E6656="!!!",F6656="NEW"),"",INDEX(J$1:J6655,SUMPRODUCT(MAX(ROW(E$1:E6655)*(E6656=E$1:E6655)))))</f>
        <v> </v>
      </c>
      <c r="L6656" s="27"/>
    </row>
    <row r="6657" spans="1:12">
      <c r="A6657" s="20" t="s">
        <v>1075</v>
      </c>
      <c r="E6657" s="22">
        <f>IF(D6657="?OLD","!!!","")</f>
        <v/>
      </c>
      <c r="F6657" s="23" t="str">
        <f>IF(OR(E6657="",E6657="!!!"),"",IF(NOT(ISNA(VLOOKUP(E6657,E$1:E6656,1,FALSE()))),"OLD",IF(AND(E6657&lt;&gt;"",E6657&lt;&gt;"!!!"),"NEW","")))</f>
        <v> </v>
      </c>
      <c r="G6657" s="24" t="str">
        <f>IF(OR(E6657="",E6657="!!!"),"",IF(OR(J6657=0,AND(J6657=1,K6657=1),AND(J6657=1,I6657="SBJ"),AND(J6657=1,I6657=0)),"?IN_FOCUS",IF(J6657&lt;=2,"?ACTIVATED",IF(J6657&lt;&gt;"","?FAMILIAR",IF(F6657="NEW",IF(ISNA(VLOOKUP(E6657,#REF!,1,FALSE())),"?TYPE_IDENTIFIABLE","?REFERENTIAL"),"_")))))</f>
        <v> </v>
      </c>
      <c r="H6657" s="25" t="str">
        <f>IF(J6657&lt;&gt;1,"",IF(I6657="SBJ","CB","?"))</f>
        <v> </v>
      </c>
      <c r="I6657" s="26" t="str">
        <f>IF(OR(E6657="",E6657="!!!",F6657="NEW"),"",INDEX(B6656:B$2,-1+SUMPRODUCT(MAX(ROW(E6656:E$2)*(E6657=E6656:E$2)))))</f>
        <v> </v>
      </c>
      <c r="J6657" s="26" t="str">
        <f>IF(OR(E6657="",E6657="!!!",F6657="NEW"),"",COUNTBLANK(OFFSET(A$1,,,SUMPRODUCT(MAX(ROW(E$2:E6657)*(E6657=E$2:E6657)))))-COUNTBLANK(OFFSET(A$1,,,SUMPRODUCT(MAX(ROW(E$1:E6656)*(E2=E$1:E6656))))))</f>
        <v> </v>
      </c>
      <c r="K6657" s="26" t="str">
        <f>IF(OR(E6657="",E6657="!!!",F6657="NEW"),"",INDEX(J$1:J6656,SUMPRODUCT(MAX(ROW(E$1:E6656)*(E6657=E$1:E6656)))))</f>
        <v> </v>
      </c>
      <c r="L6657" s="27"/>
    </row>
    <row r="6658" spans="1:12">
      <c r="A6658" s="20" t="s">
        <v>1020</v>
      </c>
      <c r="E6658" s="22">
        <f>IF(D6658="?OLD","!!!","")</f>
        <v/>
      </c>
      <c r="F6658" s="23" t="str">
        <f>IF(OR(E6658="",E6658="!!!"),"",IF(NOT(ISNA(VLOOKUP(E6658,E$1:E6657,1,FALSE()))),"OLD",IF(AND(E6658&lt;&gt;"",E6658&lt;&gt;"!!!"),"NEW","")))</f>
        <v> </v>
      </c>
      <c r="G6658" s="24" t="str">
        <f>IF(OR(E6658="",E6658="!!!"),"",IF(OR(J6658=0,AND(J6658=1,K6658=1),AND(J6658=1,I6658="SBJ"),AND(J6658=1,I6658=0)),"?IN_FOCUS",IF(J6658&lt;=2,"?ACTIVATED",IF(J6658&lt;&gt;"","?FAMILIAR",IF(F6658="NEW",IF(ISNA(VLOOKUP(E6658,#REF!,1,FALSE())),"?TYPE_IDENTIFIABLE","?REFERENTIAL"),"_")))))</f>
        <v> </v>
      </c>
      <c r="H6658" s="25" t="str">
        <f>IF(J6658&lt;&gt;1,"",IF(I6658="SBJ","CB","?"))</f>
        <v> </v>
      </c>
      <c r="I6658" s="26" t="str">
        <f>IF(OR(E6658="",E6658="!!!",F6658="NEW"),"",INDEX(B6657:B$2,-1+SUMPRODUCT(MAX(ROW(E6657:E$2)*(E6658=E6657:E$2)))))</f>
        <v> </v>
      </c>
      <c r="J6658" s="26" t="str">
        <f>IF(OR(E6658="",E6658="!!!",F6658="NEW"),"",COUNTBLANK(OFFSET(A$1,,,SUMPRODUCT(MAX(ROW(E$2:E6658)*(E6658=E$2:E6658)))))-COUNTBLANK(OFFSET(A$1,,,SUMPRODUCT(MAX(ROW(E$1:E6657)*(E2=E$1:E6657))))))</f>
        <v> </v>
      </c>
      <c r="K6658" s="26" t="str">
        <f>IF(OR(E6658="",E6658="!!!",F6658="NEW"),"",INDEX(J$1:J6657,SUMPRODUCT(MAX(ROW(E$1:E6657)*(E6658=E$1:E6657)))))</f>
        <v> </v>
      </c>
      <c r="L6658" s="27"/>
    </row>
    <row r="6659" spans="1:12">
      <c r="A6659" s="20" t="s">
        <v>2713</v>
      </c>
      <c r="B6659" s="21" t="s">
        <v>1005</v>
      </c>
      <c r="C6659" s="21" t="s">
        <v>1017</v>
      </c>
      <c r="D6659" s="21" t="s">
        <v>1007</v>
      </c>
      <c r="E6659" s="22">
        <f>IF(D6659="?OLD","!!!","")</f>
        <v/>
      </c>
      <c r="F6659" s="23" t="str">
        <f>IF(OR(E6659="",E6659="!!!"),"",IF(NOT(ISNA(VLOOKUP(E6659,E$1:E6658,1,FALSE()))),"OLD",IF(AND(E6659&lt;&gt;"",E6659&lt;&gt;"!!!"),"NEW","")))</f>
        <v> </v>
      </c>
      <c r="G6659" s="24" t="str">
        <f>IF(OR(E6659="",E6659="!!!"),"",IF(OR(J6659=0,AND(J6659=1,K6659=1),AND(J6659=1,I6659="SBJ"),AND(J6659=1,I6659=0)),"?IN_FOCUS",IF(J6659&lt;=2,"?ACTIVATED",IF(J6659&lt;&gt;"","?FAMILIAR",IF(F6659="NEW",IF(ISNA(VLOOKUP(E6659,#REF!,1,FALSE())),"?TYPE_IDENTIFIABLE","?REFERENTIAL"),"_")))))</f>
        <v> </v>
      </c>
      <c r="H6659" s="25" t="str">
        <f>IF(J6659&lt;&gt;1,"",IF(I6659="SBJ","CB","?"))</f>
        <v> </v>
      </c>
      <c r="I6659" s="26" t="str">
        <f>IF(OR(E6659="",E6659="!!!",F6659="NEW"),"",INDEX(B6658:B$2,-1+SUMPRODUCT(MAX(ROW(E6658:E$2)*(E6659=E6658:E$2)))))</f>
        <v> </v>
      </c>
      <c r="J6659" s="26" t="str">
        <f>IF(OR(E6659="",E6659="!!!",F6659="NEW"),"",COUNTBLANK(OFFSET(A$1,,,SUMPRODUCT(MAX(ROW(E$2:E6659)*(E6659=E$2:E6659)))))-COUNTBLANK(OFFSET(A$1,,,SUMPRODUCT(MAX(ROW(E$1:E6658)*(E2=E$1:E6658))))))</f>
        <v> </v>
      </c>
      <c r="K6659" s="26" t="str">
        <f>IF(OR(E6659="",E6659="!!!",F6659="NEW"),"",INDEX(J$1:J6658,SUMPRODUCT(MAX(ROW(E$1:E6658)*(E6659=E$1:E6658)))))</f>
        <v> </v>
      </c>
      <c r="L6659" s="27"/>
    </row>
    <row r="6660" spans="1:12">
      <c r="A6660" s="20" t="s">
        <v>1077</v>
      </c>
      <c r="E6660" s="22">
        <f>IF(D6660="?OLD","!!!","")</f>
        <v/>
      </c>
      <c r="F6660" s="23" t="str">
        <f>IF(OR(E6660="",E6660="!!!"),"",IF(NOT(ISNA(VLOOKUP(E6660,E$1:E6659,1,FALSE()))),"OLD",IF(AND(E6660&lt;&gt;"",E6660&lt;&gt;"!!!"),"NEW","")))</f>
        <v> </v>
      </c>
      <c r="G6660" s="24" t="str">
        <f>IF(OR(E6660="",E6660="!!!"),"",IF(OR(J6660=0,AND(J6660=1,K6660=1),AND(J6660=1,I6660="SBJ"),AND(J6660=1,I6660=0)),"?IN_FOCUS",IF(J6660&lt;=2,"?ACTIVATED",IF(J6660&lt;&gt;"","?FAMILIAR",IF(F6660="NEW",IF(ISNA(VLOOKUP(E6660,#REF!,1,FALSE())),"?TYPE_IDENTIFIABLE","?REFERENTIAL"),"_")))))</f>
        <v> </v>
      </c>
      <c r="H6660" s="25" t="str">
        <f>IF(J6660&lt;&gt;1,"",IF(I6660="SBJ","CB","?"))</f>
        <v> </v>
      </c>
      <c r="I6660" s="26" t="str">
        <f>IF(OR(E6660="",E6660="!!!",F6660="NEW"),"",INDEX(B6659:B$2,-1+SUMPRODUCT(MAX(ROW(E6659:E$2)*(E6660=E6659:E$2)))))</f>
        <v> </v>
      </c>
      <c r="J6660" s="26" t="str">
        <f>IF(OR(E6660="",E6660="!!!",F6660="NEW"),"",COUNTBLANK(OFFSET(A$1,,,SUMPRODUCT(MAX(ROW(E$2:E6660)*(E6660=E$2:E6660)))))-COUNTBLANK(OFFSET(A$1,,,SUMPRODUCT(MAX(ROW(E$1:E6659)*(E2=E$1:E6659))))))</f>
        <v> </v>
      </c>
      <c r="K6660" s="26" t="str">
        <f>IF(OR(E6660="",E6660="!!!",F6660="NEW"),"",INDEX(J$1:J6659,SUMPRODUCT(MAX(ROW(E$1:E6659)*(E6660=E$1:E6659)))))</f>
        <v> </v>
      </c>
      <c r="L6660" s="27"/>
    </row>
    <row r="6661" spans="1:12">
      <c r="A6661" s="20"/>
    </row>
    <row r="6662" spans="1:12">
      <c r="A6662" s="20" t="s">
        <v>2714</v>
      </c>
    </row>
    <row r="6663" spans="1:12">
      <c r="A6663" s="20" t="s">
        <v>1118</v>
      </c>
      <c r="B6663" s="21" t="s">
        <v>1005</v>
      </c>
      <c r="C6663" s="21" t="s">
        <v>1048</v>
      </c>
      <c r="E6663" s="22">
        <f>IF(D6663="?OLD","!!!","")</f>
        <v/>
      </c>
      <c r="F6663" s="23" t="str">
        <f>IF(OR(E6663="",E6663="!!!"),"",IF(NOT(ISNA(VLOOKUP(E6663,E$1:E6662,1,FALSE()))),"OLD",IF(AND(E6663&lt;&gt;"",E6663&lt;&gt;"!!!"),"NEW","")))</f>
        <v> </v>
      </c>
      <c r="G6663" s="24" t="str">
        <f>IF(OR(E6663="",E6663="!!!"),"",IF(OR(J6663=0,AND(J6663=1,K6663=1),AND(J6663=1,I6663="SBJ"),AND(J6663=1,I6663=0)),"?IN_FOCUS",IF(J6663&lt;=2,"?ACTIVATED",IF(J6663&lt;&gt;"","?FAMILIAR",IF(F6663="NEW",IF(ISNA(VLOOKUP(E6663,#REF!,1,FALSE())),"?TYPE_IDENTIFIABLE","?REFERENTIAL"),"_")))))</f>
        <v> </v>
      </c>
      <c r="H6663" s="25" t="str">
        <f>IF(J6663&lt;&gt;1,"",IF(I6663="SBJ","CB","?"))</f>
        <v> </v>
      </c>
      <c r="I6663" s="26" t="str">
        <f>IF(OR(E6663="",E6663="!!!",F6663="NEW"),"",INDEX(B6662:B$2,-1+SUMPRODUCT(MAX(ROW(E6662:E$2)*(E6663=E6662:E$2)))))</f>
        <v> </v>
      </c>
      <c r="J6663" s="26" t="str">
        <f>IF(OR(E6663="",E6663="!!!",F6663="NEW"),"",COUNTBLANK(OFFSET(A$1,,,SUMPRODUCT(MAX(ROW(E$2:E6663)*(E6663=E$2:E6663)))))-COUNTBLANK(OFFSET(A$1,,,SUMPRODUCT(MAX(ROW(E$1:E6662)*(E2=E$1:E6662))))))</f>
        <v> </v>
      </c>
      <c r="K6663" s="26" t="str">
        <f>IF(OR(E6663="",E6663="!!!",F6663="NEW"),"",INDEX(J$1:J6662,SUMPRODUCT(MAX(ROW(E$1:E6662)*(E6663=E$1:E6662)))))</f>
        <v> </v>
      </c>
      <c r="L6663" s="27"/>
    </row>
    <row r="6664" spans="1:12">
      <c r="A6664" s="20" t="s">
        <v>1009</v>
      </c>
      <c r="E6664" s="22">
        <f>IF(D6664="?OLD","!!!","")</f>
        <v/>
      </c>
      <c r="F6664" s="23" t="str">
        <f>IF(OR(E6664="",E6664="!!!"),"",IF(NOT(ISNA(VLOOKUP(E6664,E$1:E6663,1,FALSE()))),"OLD",IF(AND(E6664&lt;&gt;"",E6664&lt;&gt;"!!!"),"NEW","")))</f>
        <v> </v>
      </c>
      <c r="G6664" s="24" t="str">
        <f>IF(OR(E6664="",E6664="!!!"),"",IF(OR(J6664=0,AND(J6664=1,K6664=1),AND(J6664=1,I6664="SBJ"),AND(J6664=1,I6664=0)),"?IN_FOCUS",IF(J6664&lt;=2,"?ACTIVATED",IF(J6664&lt;&gt;"","?FAMILIAR",IF(F6664="NEW",IF(ISNA(VLOOKUP(E6664,#REF!,1,FALSE())),"?TYPE_IDENTIFIABLE","?REFERENTIAL"),"_")))))</f>
        <v> </v>
      </c>
      <c r="H6664" s="25" t="str">
        <f>IF(J6664&lt;&gt;1,"",IF(I6664="SBJ","CB","?"))</f>
        <v> </v>
      </c>
      <c r="I6664" s="26" t="str">
        <f>IF(OR(E6664="",E6664="!!!",F6664="NEW"),"",INDEX(B6663:B$2,-1+SUMPRODUCT(MAX(ROW(E6663:E$2)*(E6664=E6663:E$2)))))</f>
        <v> </v>
      </c>
      <c r="J6664" s="26" t="str">
        <f>IF(OR(E6664="",E6664="!!!",F6664="NEW"),"",COUNTBLANK(OFFSET(A$1,,,SUMPRODUCT(MAX(ROW(E$2:E6664)*(E6664=E$2:E6664)))))-COUNTBLANK(OFFSET(A$1,,,SUMPRODUCT(MAX(ROW(E$1:E6663)*(E2=E$1:E6663))))))</f>
        <v> </v>
      </c>
      <c r="K6664" s="26" t="str">
        <f>IF(OR(E6664="",E6664="!!!",F6664="NEW"),"",INDEX(J$1:J6663,SUMPRODUCT(MAX(ROW(E$1:E6663)*(E6664=E$1:E6663)))))</f>
        <v> </v>
      </c>
      <c r="L6664" s="27"/>
    </row>
    <row r="6665" spans="1:12">
      <c r="A6665" s="20" t="s">
        <v>11</v>
      </c>
      <c r="E6665" s="22">
        <f>IF(D6665="?OLD","!!!","")</f>
        <v/>
      </c>
      <c r="F6665" s="23" t="str">
        <f>IF(OR(E6665="",E6665="!!!"),"",IF(NOT(ISNA(VLOOKUP(E6665,E$1:E6664,1,FALSE()))),"OLD",IF(AND(E6665&lt;&gt;"",E6665&lt;&gt;"!!!"),"NEW","")))</f>
        <v> </v>
      </c>
      <c r="G6665" s="24" t="str">
        <f>IF(OR(E6665="",E6665="!!!"),"",IF(OR(J6665=0,AND(J6665=1,K6665=1),AND(J6665=1,I6665="SBJ"),AND(J6665=1,I6665=0)),"?IN_FOCUS",IF(J6665&lt;=2,"?ACTIVATED",IF(J6665&lt;&gt;"","?FAMILIAR",IF(F6665="NEW",IF(ISNA(VLOOKUP(E6665,#REF!,1,FALSE())),"?TYPE_IDENTIFIABLE","?REFERENTIAL"),"_")))))</f>
        <v> </v>
      </c>
      <c r="H6665" s="25" t="str">
        <f>IF(J6665&lt;&gt;1,"",IF(I6665="SBJ","CB","?"))</f>
        <v> </v>
      </c>
      <c r="I6665" s="26" t="str">
        <f>IF(OR(E6665="",E6665="!!!",F6665="NEW"),"",INDEX(B6664:B$2,-1+SUMPRODUCT(MAX(ROW(E6664:E$2)*(E6665=E6664:E$2)))))</f>
        <v> </v>
      </c>
      <c r="J6665" s="26" t="str">
        <f>IF(OR(E6665="",E6665="!!!",F6665="NEW"),"",COUNTBLANK(OFFSET(A$1,,,SUMPRODUCT(MAX(ROW(E$2:E6665)*(E6665=E$2:E6665)))))-COUNTBLANK(OFFSET(A$1,,,SUMPRODUCT(MAX(ROW(E$1:E6664)*(E2=E$1:E6664))))))</f>
        <v> </v>
      </c>
      <c r="K6665" s="26" t="str">
        <f>IF(OR(E6665="",E6665="!!!",F6665="NEW"),"",INDEX(J$1:J6664,SUMPRODUCT(MAX(ROW(E$1:E6664)*(E6665=E$1:E6664)))))</f>
        <v> </v>
      </c>
      <c r="L6665" s="27"/>
    </row>
    <row r="6666" spans="1:12">
      <c r="A6666" s="20" t="s">
        <v>2710</v>
      </c>
      <c r="B6666" s="21" t="s">
        <v>1119</v>
      </c>
      <c r="C6666" s="21" t="s">
        <v>1006</v>
      </c>
      <c r="D6666" s="21" t="s">
        <v>1007</v>
      </c>
      <c r="E6666" s="22">
        <f>IF(D6666="?OLD","!!!","")</f>
        <v/>
      </c>
      <c r="F6666" s="23" t="str">
        <f>IF(OR(E6666="",E6666="!!!"),"",IF(NOT(ISNA(VLOOKUP(E6666,E$1:E6665,1,FALSE()))),"OLD",IF(AND(E6666&lt;&gt;"",E6666&lt;&gt;"!!!"),"NEW","")))</f>
        <v> </v>
      </c>
      <c r="G6666" s="24" t="str">
        <f>IF(OR(E6666="",E6666="!!!"),"",IF(OR(J6666=0,AND(J6666=1,K6666=1),AND(J6666=1,I6666="SBJ"),AND(J6666=1,I6666=0)),"?IN_FOCUS",IF(J6666&lt;=2,"?ACTIVATED",IF(J6666&lt;&gt;"","?FAMILIAR",IF(F6666="NEW",IF(ISNA(VLOOKUP(E6666,#REF!,1,FALSE())),"?TYPE_IDENTIFIABLE","?REFERENTIAL"),"_")))))</f>
        <v> </v>
      </c>
      <c r="H6666" s="25" t="str">
        <f>IF(J6666&lt;&gt;1,"",IF(I6666="SBJ","CB","?"))</f>
        <v> </v>
      </c>
      <c r="I6666" s="26" t="str">
        <f>IF(OR(E6666="",E6666="!!!",F6666="NEW"),"",INDEX(B6665:B$2,-1+SUMPRODUCT(MAX(ROW(E6665:E$2)*(E6666=E6665:E$2)))))</f>
        <v> </v>
      </c>
      <c r="J6666" s="26" t="str">
        <f>IF(OR(E6666="",E6666="!!!",F6666="NEW"),"",COUNTBLANK(OFFSET(A$1,,,SUMPRODUCT(MAX(ROW(E$2:E6666)*(E6666=E$2:E6666)))))-COUNTBLANK(OFFSET(A$1,,,SUMPRODUCT(MAX(ROW(E$1:E6665)*(E2=E$1:E6665))))))</f>
        <v> </v>
      </c>
      <c r="K6666" s="26" t="str">
        <f>IF(OR(E6666="",E6666="!!!",F6666="NEW"),"",INDEX(J$1:J6665,SUMPRODUCT(MAX(ROW(E$1:E6665)*(E6666=E$1:E6665)))))</f>
        <v> </v>
      </c>
      <c r="L6666" s="27"/>
    </row>
    <row r="6667" spans="1:12">
      <c r="A6667" s="20" t="s">
        <v>1075</v>
      </c>
      <c r="E6667" s="22">
        <f>IF(D6667="?OLD","!!!","")</f>
        <v/>
      </c>
      <c r="F6667" s="23" t="str">
        <f>IF(OR(E6667="",E6667="!!!"),"",IF(NOT(ISNA(VLOOKUP(E6667,E$1:E6666,1,FALSE()))),"OLD",IF(AND(E6667&lt;&gt;"",E6667&lt;&gt;"!!!"),"NEW","")))</f>
        <v> </v>
      </c>
      <c r="G6667" s="24" t="str">
        <f>IF(OR(E6667="",E6667="!!!"),"",IF(OR(J6667=0,AND(J6667=1,K6667=1),AND(J6667=1,I6667="SBJ"),AND(J6667=1,I6667=0)),"?IN_FOCUS",IF(J6667&lt;=2,"?ACTIVATED",IF(J6667&lt;&gt;"","?FAMILIAR",IF(F6667="NEW",IF(ISNA(VLOOKUP(E6667,#REF!,1,FALSE())),"?TYPE_IDENTIFIABLE","?REFERENTIAL"),"_")))))</f>
        <v> </v>
      </c>
      <c r="H6667" s="25" t="str">
        <f>IF(J6667&lt;&gt;1,"",IF(I6667="SBJ","CB","?"))</f>
        <v> </v>
      </c>
      <c r="I6667" s="26" t="str">
        <f>IF(OR(E6667="",E6667="!!!",F6667="NEW"),"",INDEX(B6666:B$2,-1+SUMPRODUCT(MAX(ROW(E6666:E$2)*(E6667=E6666:E$2)))))</f>
        <v> </v>
      </c>
      <c r="J6667" s="26" t="str">
        <f>IF(OR(E6667="",E6667="!!!",F6667="NEW"),"",COUNTBLANK(OFFSET(A$1,,,SUMPRODUCT(MAX(ROW(E$2:E6667)*(E6667=E$2:E6667)))))-COUNTBLANK(OFFSET(A$1,,,SUMPRODUCT(MAX(ROW(E$1:E6666)*(E2=E$1:E6666))))))</f>
        <v> </v>
      </c>
      <c r="K6667" s="26" t="str">
        <f>IF(OR(E6667="",E6667="!!!",F6667="NEW"),"",INDEX(J$1:J6666,SUMPRODUCT(MAX(ROW(E$1:E6666)*(E6667=E$1:E6666)))))</f>
        <v> </v>
      </c>
      <c r="L6667" s="27"/>
    </row>
    <row r="6668" spans="1:12">
      <c r="A6668" s="20" t="s">
        <v>2715</v>
      </c>
      <c r="E6668" s="22">
        <f>IF(D6668="?OLD","!!!","")</f>
        <v/>
      </c>
      <c r="F6668" s="23" t="str">
        <f>IF(OR(E6668="",E6668="!!!"),"",IF(NOT(ISNA(VLOOKUP(E6668,E$1:E6667,1,FALSE()))),"OLD",IF(AND(E6668&lt;&gt;"",E6668&lt;&gt;"!!!"),"NEW","")))</f>
        <v> </v>
      </c>
      <c r="G6668" s="24" t="str">
        <f>IF(OR(E6668="",E6668="!!!"),"",IF(OR(J6668=0,AND(J6668=1,K6668=1),AND(J6668=1,I6668="SBJ"),AND(J6668=1,I6668=0)),"?IN_FOCUS",IF(J6668&lt;=2,"?ACTIVATED",IF(J6668&lt;&gt;"","?FAMILIAR",IF(F6668="NEW",IF(ISNA(VLOOKUP(E6668,#REF!,1,FALSE())),"?TYPE_IDENTIFIABLE","?REFERENTIAL"),"_")))))</f>
        <v> </v>
      </c>
      <c r="H6668" s="25" t="str">
        <f>IF(J6668&lt;&gt;1,"",IF(I6668="SBJ","CB","?"))</f>
        <v> </v>
      </c>
      <c r="I6668" s="26" t="str">
        <f>IF(OR(E6668="",E6668="!!!",F6668="NEW"),"",INDEX(B6667:B$2,-1+SUMPRODUCT(MAX(ROW(E6667:E$2)*(E6668=E6667:E$2)))))</f>
        <v> </v>
      </c>
      <c r="J6668" s="26" t="str">
        <f>IF(OR(E6668="",E6668="!!!",F6668="NEW"),"",COUNTBLANK(OFFSET(A$1,,,SUMPRODUCT(MAX(ROW(E$2:E6668)*(E6668=E$2:E6668)))))-COUNTBLANK(OFFSET(A$1,,,SUMPRODUCT(MAX(ROW(E$1:E6667)*(E2=E$1:E6667))))))</f>
        <v> </v>
      </c>
      <c r="K6668" s="26" t="str">
        <f>IF(OR(E6668="",E6668="!!!",F6668="NEW"),"",INDEX(J$1:J6667,SUMPRODUCT(MAX(ROW(E$1:E6667)*(E6668=E$1:E6667)))))</f>
        <v> </v>
      </c>
      <c r="L6668" s="27"/>
    </row>
    <row r="6669" spans="1:12">
      <c r="A6669" s="20" t="s">
        <v>1014</v>
      </c>
      <c r="E6669" s="22">
        <f>IF(D6669="?OLD","!!!","")</f>
        <v/>
      </c>
      <c r="F6669" s="23" t="str">
        <f>IF(OR(E6669="",E6669="!!!"),"",IF(NOT(ISNA(VLOOKUP(E6669,E$1:E6668,1,FALSE()))),"OLD",IF(AND(E6669&lt;&gt;"",E6669&lt;&gt;"!!!"),"NEW","")))</f>
        <v> </v>
      </c>
      <c r="G6669" s="24" t="str">
        <f>IF(OR(E6669="",E6669="!!!"),"",IF(OR(J6669=0,AND(J6669=1,K6669=1),AND(J6669=1,I6669="SBJ"),AND(J6669=1,I6669=0)),"?IN_FOCUS",IF(J6669&lt;=2,"?ACTIVATED",IF(J6669&lt;&gt;"","?FAMILIAR",IF(F6669="NEW",IF(ISNA(VLOOKUP(E6669,#REF!,1,FALSE())),"?TYPE_IDENTIFIABLE","?REFERENTIAL"),"_")))))</f>
        <v> </v>
      </c>
      <c r="H6669" s="25" t="str">
        <f>IF(J6669&lt;&gt;1,"",IF(I6669="SBJ","CB","?"))</f>
        <v> </v>
      </c>
      <c r="I6669" s="26" t="str">
        <f>IF(OR(E6669="",E6669="!!!",F6669="NEW"),"",INDEX(B6668:B$2,-1+SUMPRODUCT(MAX(ROW(E6668:E$2)*(E6669=E6668:E$2)))))</f>
        <v> </v>
      </c>
      <c r="J6669" s="26" t="str">
        <f>IF(OR(E6669="",E6669="!!!",F6669="NEW"),"",COUNTBLANK(OFFSET(A$1,,,SUMPRODUCT(MAX(ROW(E$2:E6669)*(E6669=E$2:E6669)))))-COUNTBLANK(OFFSET(A$1,,,SUMPRODUCT(MAX(ROW(E$1:E6668)*(E2=E$1:E6668))))))</f>
        <v> </v>
      </c>
      <c r="K6669" s="26" t="str">
        <f>IF(OR(E6669="",E6669="!!!",F6669="NEW"),"",INDEX(J$1:J6668,SUMPRODUCT(MAX(ROW(E$1:E6668)*(E6669=E$1:E6668)))))</f>
        <v> </v>
      </c>
      <c r="L6669" s="27"/>
    </row>
    <row r="6670" spans="1:12">
      <c r="A6670" s="20" t="s">
        <v>102</v>
      </c>
      <c r="B6670" s="21" t="s">
        <v>1035</v>
      </c>
      <c r="C6670" s="21" t="s">
        <v>1073</v>
      </c>
      <c r="D6670" s="21" t="s">
        <v>1007</v>
      </c>
      <c r="E6670" s="22">
        <f>IF(D6670="?OLD","!!!","")</f>
        <v/>
      </c>
      <c r="F6670" s="23" t="str">
        <f>IF(OR(E6670="",E6670="!!!"),"",IF(NOT(ISNA(VLOOKUP(E6670,E$1:E6669,1,FALSE()))),"OLD",IF(AND(E6670&lt;&gt;"",E6670&lt;&gt;"!!!"),"NEW","")))</f>
        <v> </v>
      </c>
      <c r="G6670" s="24" t="str">
        <f>IF(OR(E6670="",E6670="!!!"),"",IF(OR(J6670=0,AND(J6670=1,K6670=1),AND(J6670=1,I6670="SBJ"),AND(J6670=1,I6670=0)),"?IN_FOCUS",IF(J6670&lt;=2,"?ACTIVATED",IF(J6670&lt;&gt;"","?FAMILIAR",IF(F6670="NEW",IF(ISNA(VLOOKUP(E6670,#REF!,1,FALSE())),"?TYPE_IDENTIFIABLE","?REFERENTIAL"),"_")))))</f>
        <v> </v>
      </c>
      <c r="H6670" s="25" t="str">
        <f>IF(J6670&lt;&gt;1,"",IF(I6670="SBJ","CB","?"))</f>
        <v> </v>
      </c>
      <c r="I6670" s="26" t="str">
        <f>IF(OR(E6670="",E6670="!!!",F6670="NEW"),"",INDEX(B6669:B$2,-1+SUMPRODUCT(MAX(ROW(E6669:E$2)*(E6670=E6669:E$2)))))</f>
        <v> </v>
      </c>
      <c r="J6670" s="26" t="str">
        <f>IF(OR(E6670="",E6670="!!!",F6670="NEW"),"",COUNTBLANK(OFFSET(A$1,,,SUMPRODUCT(MAX(ROW(E$2:E6670)*(E6670=E$2:E6670)))))-COUNTBLANK(OFFSET(A$1,,,SUMPRODUCT(MAX(ROW(E$1:E6669)*(E2=E$1:E6669))))))</f>
        <v> </v>
      </c>
      <c r="K6670" s="26" t="str">
        <f>IF(OR(E6670="",E6670="!!!",F6670="NEW"),"",INDEX(J$1:J6669,SUMPRODUCT(MAX(ROW(E$1:E6669)*(E6670=E$1:E6669)))))</f>
        <v> </v>
      </c>
      <c r="L6670" s="27"/>
    </row>
    <row r="6671" spans="1:12">
      <c r="A6671" s="20" t="s">
        <v>1065</v>
      </c>
      <c r="E6671" s="22">
        <f>IF(D6671="?OLD","!!!","")</f>
        <v/>
      </c>
      <c r="F6671" s="23" t="str">
        <f>IF(OR(E6671="",E6671="!!!"),"",IF(NOT(ISNA(VLOOKUP(E6671,E$1:E6670,1,FALSE()))),"OLD",IF(AND(E6671&lt;&gt;"",E6671&lt;&gt;"!!!"),"NEW","")))</f>
        <v> </v>
      </c>
      <c r="G6671" s="24" t="str">
        <f>IF(OR(E6671="",E6671="!!!"),"",IF(OR(J6671=0,AND(J6671=1,K6671=1),AND(J6671=1,I6671="SBJ"),AND(J6671=1,I6671=0)),"?IN_FOCUS",IF(J6671&lt;=2,"?ACTIVATED",IF(J6671&lt;&gt;"","?FAMILIAR",IF(F6671="NEW",IF(ISNA(VLOOKUP(E6671,#REF!,1,FALSE())),"?TYPE_IDENTIFIABLE","?REFERENTIAL"),"_")))))</f>
        <v> </v>
      </c>
      <c r="H6671" s="25" t="str">
        <f>IF(J6671&lt;&gt;1,"",IF(I6671="SBJ","CB","?"))</f>
        <v> </v>
      </c>
      <c r="I6671" s="26" t="str">
        <f>IF(OR(E6671="",E6671="!!!",F6671="NEW"),"",INDEX(B6670:B$2,-1+SUMPRODUCT(MAX(ROW(E6670:E$2)*(E6671=E6670:E$2)))))</f>
        <v> </v>
      </c>
      <c r="J6671" s="26" t="str">
        <f>IF(OR(E6671="",E6671="!!!",F6671="NEW"),"",COUNTBLANK(OFFSET(A$1,,,SUMPRODUCT(MAX(ROW(E$2:E6671)*(E6671=E$2:E6671)))))-COUNTBLANK(OFFSET(A$1,,,SUMPRODUCT(MAX(ROW(E$1:E6670)*(E2=E$1:E6670))))))</f>
        <v> </v>
      </c>
      <c r="K6671" s="26" t="str">
        <f>IF(OR(E6671="",E6671="!!!",F6671="NEW"),"",INDEX(J$1:J6670,SUMPRODUCT(MAX(ROW(E$1:E6670)*(E6671=E$1:E6670)))))</f>
        <v> </v>
      </c>
      <c r="L6671" s="27"/>
    </row>
    <row r="6672" spans="1:12">
      <c r="A6672" s="20" t="s">
        <v>1138</v>
      </c>
      <c r="B6672" s="21" t="s">
        <v>1154</v>
      </c>
      <c r="C6672" s="21" t="s">
        <v>1082</v>
      </c>
      <c r="D6672" s="21" t="s">
        <v>1007</v>
      </c>
      <c r="E6672" s="22">
        <f>IF(D6672="?OLD","!!!","")</f>
        <v/>
      </c>
      <c r="F6672" s="23" t="str">
        <f>IF(OR(E6672="",E6672="!!!"),"",IF(NOT(ISNA(VLOOKUP(E6672,E$1:E6671,1,FALSE()))),"OLD",IF(AND(E6672&lt;&gt;"",E6672&lt;&gt;"!!!"),"NEW","")))</f>
        <v> </v>
      </c>
      <c r="G6672" s="24" t="str">
        <f>IF(OR(E6672="",E6672="!!!"),"",IF(OR(J6672=0,AND(J6672=1,K6672=1),AND(J6672=1,I6672="SBJ"),AND(J6672=1,I6672=0)),"?IN_FOCUS",IF(J6672&lt;=2,"?ACTIVATED",IF(J6672&lt;&gt;"","?FAMILIAR",IF(F6672="NEW",IF(ISNA(VLOOKUP(E6672,#REF!,1,FALSE())),"?TYPE_IDENTIFIABLE","?REFERENTIAL"),"_")))))</f>
        <v> </v>
      </c>
      <c r="H6672" s="25" t="str">
        <f>IF(J6672&lt;&gt;1,"",IF(I6672="SBJ","CB","?"))</f>
        <v> </v>
      </c>
      <c r="I6672" s="26" t="str">
        <f>IF(OR(E6672="",E6672="!!!",F6672="NEW"),"",INDEX(B6671:B$2,-1+SUMPRODUCT(MAX(ROW(E6671:E$2)*(E6672=E6671:E$2)))))</f>
        <v> </v>
      </c>
      <c r="J6672" s="26" t="str">
        <f>IF(OR(E6672="",E6672="!!!",F6672="NEW"),"",COUNTBLANK(OFFSET(A$1,,,SUMPRODUCT(MAX(ROW(E$2:E6672)*(E6672=E$2:E6672)))))-COUNTBLANK(OFFSET(A$1,,,SUMPRODUCT(MAX(ROW(E$1:E6671)*(E2=E$1:E6671))))))</f>
        <v> </v>
      </c>
      <c r="K6672" s="26" t="str">
        <f>IF(OR(E6672="",E6672="!!!",F6672="NEW"),"",INDEX(J$1:J6671,SUMPRODUCT(MAX(ROW(E$1:E6671)*(E6672=E$1:E6671)))))</f>
        <v> </v>
      </c>
      <c r="L6672" s="27"/>
    </row>
    <row r="6673" spans="1:12">
      <c r="A6673" s="20" t="s">
        <v>2716</v>
      </c>
      <c r="E6673" s="22">
        <f>IF(D6673="?OLD","!!!","")</f>
        <v/>
      </c>
      <c r="F6673" s="23" t="str">
        <f>IF(OR(E6673="",E6673="!!!"),"",IF(NOT(ISNA(VLOOKUP(E6673,E$1:E6672,1,FALSE()))),"OLD",IF(AND(E6673&lt;&gt;"",E6673&lt;&gt;"!!!"),"NEW","")))</f>
        <v> </v>
      </c>
      <c r="G6673" s="24" t="str">
        <f>IF(OR(E6673="",E6673="!!!"),"",IF(OR(J6673=0,AND(J6673=1,K6673=1),AND(J6673=1,I6673="SBJ"),AND(J6673=1,I6673=0)),"?IN_FOCUS",IF(J6673&lt;=2,"?ACTIVATED",IF(J6673&lt;&gt;"","?FAMILIAR",IF(F6673="NEW",IF(ISNA(VLOOKUP(E6673,#REF!,1,FALSE())),"?TYPE_IDENTIFIABLE","?REFERENTIAL"),"_")))))</f>
        <v> </v>
      </c>
      <c r="H6673" s="25" t="str">
        <f>IF(J6673&lt;&gt;1,"",IF(I6673="SBJ","CB","?"))</f>
        <v> </v>
      </c>
      <c r="I6673" s="26" t="str">
        <f>IF(OR(E6673="",E6673="!!!",F6673="NEW"),"",INDEX(B6672:B$2,-1+SUMPRODUCT(MAX(ROW(E6672:E$2)*(E6673=E6672:E$2)))))</f>
        <v> </v>
      </c>
      <c r="J6673" s="26" t="str">
        <f>IF(OR(E6673="",E6673="!!!",F6673="NEW"),"",COUNTBLANK(OFFSET(A$1,,,SUMPRODUCT(MAX(ROW(E$2:E6673)*(E6673=E$2:E6673)))))-COUNTBLANK(OFFSET(A$1,,,SUMPRODUCT(MAX(ROW(E$1:E6672)*(E2=E$1:E6672))))))</f>
        <v> </v>
      </c>
      <c r="K6673" s="26" t="str">
        <f>IF(OR(E6673="",E6673="!!!",F6673="NEW"),"",INDEX(J$1:J6672,SUMPRODUCT(MAX(ROW(E$1:E6672)*(E6673=E$1:E6672)))))</f>
        <v> </v>
      </c>
      <c r="L6673" s="27"/>
    </row>
    <row r="6674" spans="1:12">
      <c r="A6674" s="20" t="s">
        <v>1023</v>
      </c>
      <c r="E6674" s="22">
        <f>IF(D6674="?OLD","!!!","")</f>
        <v/>
      </c>
      <c r="F6674" s="23" t="str">
        <f>IF(OR(E6674="",E6674="!!!"),"",IF(NOT(ISNA(VLOOKUP(E6674,E$1:E6673,1,FALSE()))),"OLD",IF(AND(E6674&lt;&gt;"",E6674&lt;&gt;"!!!"),"NEW","")))</f>
        <v> </v>
      </c>
      <c r="G6674" s="24" t="str">
        <f>IF(OR(E6674="",E6674="!!!"),"",IF(OR(J6674=0,AND(J6674=1,K6674=1),AND(J6674=1,I6674="SBJ"),AND(J6674=1,I6674=0)),"?IN_FOCUS",IF(J6674&lt;=2,"?ACTIVATED",IF(J6674&lt;&gt;"","?FAMILIAR",IF(F6674="NEW",IF(ISNA(VLOOKUP(E6674,#REF!,1,FALSE())),"?TYPE_IDENTIFIABLE","?REFERENTIAL"),"_")))))</f>
        <v> </v>
      </c>
      <c r="H6674" s="25" t="str">
        <f>IF(J6674&lt;&gt;1,"",IF(I6674="SBJ","CB","?"))</f>
        <v> </v>
      </c>
      <c r="I6674" s="26" t="str">
        <f>IF(OR(E6674="",E6674="!!!",F6674="NEW"),"",INDEX(B6673:B$2,-1+SUMPRODUCT(MAX(ROW(E6673:E$2)*(E6674=E6673:E$2)))))</f>
        <v> </v>
      </c>
      <c r="J6674" s="26" t="str">
        <f>IF(OR(E6674="",E6674="!!!",F6674="NEW"),"",COUNTBLANK(OFFSET(A$1,,,SUMPRODUCT(MAX(ROW(E$2:E6674)*(E6674=E$2:E6674)))))-COUNTBLANK(OFFSET(A$1,,,SUMPRODUCT(MAX(ROW(E$1:E6673)*(E2=E$1:E6673))))))</f>
        <v> </v>
      </c>
      <c r="K6674" s="26" t="str">
        <f>IF(OR(E6674="",E6674="!!!",F6674="NEW"),"",INDEX(J$1:J6673,SUMPRODUCT(MAX(ROW(E$1:E6673)*(E6674=E$1:E6673)))))</f>
        <v> </v>
      </c>
      <c r="L6674" s="27"/>
    </row>
    <row r="6675" spans="1:12">
      <c r="A6675" s="20"/>
    </row>
    <row r="6676" spans="1:12">
      <c r="A6676" s="20" t="s">
        <v>2717</v>
      </c>
    </row>
    <row r="6677" spans="1:12">
      <c r="A6677" s="20" t="s">
        <v>1449</v>
      </c>
      <c r="E6677" s="22">
        <f>IF(D6677="?OLD","!!!","")</f>
        <v/>
      </c>
      <c r="F6677" s="23" t="str">
        <f>IF(OR(E6677="",E6677="!!!"),"",IF(NOT(ISNA(VLOOKUP(E6677,E$1:E6676,1,FALSE()))),"OLD",IF(AND(E6677&lt;&gt;"",E6677&lt;&gt;"!!!"),"NEW","")))</f>
        <v> </v>
      </c>
      <c r="G6677" s="24" t="str">
        <f>IF(OR(E6677="",E6677="!!!"),"",IF(OR(J6677=0,AND(J6677=1,K6677=1),AND(J6677=1,I6677="SBJ"),AND(J6677=1,I6677=0)),"?IN_FOCUS",IF(J6677&lt;=2,"?ACTIVATED",IF(J6677&lt;&gt;"","?FAMILIAR",IF(F6677="NEW",IF(ISNA(VLOOKUP(E6677,#REF!,1,FALSE())),"?TYPE_IDENTIFIABLE","?REFERENTIAL"),"_")))))</f>
        <v> </v>
      </c>
      <c r="H6677" s="25" t="str">
        <f>IF(J6677&lt;&gt;1,"",IF(I6677="SBJ","CB","?"))</f>
        <v> </v>
      </c>
      <c r="I6677" s="26" t="str">
        <f>IF(OR(E6677="",E6677="!!!",F6677="NEW"),"",INDEX(B6676:B$2,-1+SUMPRODUCT(MAX(ROW(E6676:E$2)*(E6677=E6676:E$2)))))</f>
        <v> </v>
      </c>
      <c r="J6677" s="26" t="str">
        <f>IF(OR(E6677="",E6677="!!!",F6677="NEW"),"",COUNTBLANK(OFFSET(A$1,,,SUMPRODUCT(MAX(ROW(E$2:E6677)*(E6677=E$2:E6677)))))-COUNTBLANK(OFFSET(A$1,,,SUMPRODUCT(MAX(ROW(E$1:E6676)*(E2=E$1:E6676))))))</f>
        <v> </v>
      </c>
      <c r="K6677" s="26" t="str">
        <f>IF(OR(E6677="",E6677="!!!",F6677="NEW"),"",INDEX(J$1:J6676,SUMPRODUCT(MAX(ROW(E$1:E6676)*(E6677=E$1:E6676)))))</f>
        <v> </v>
      </c>
      <c r="L6677" s="27"/>
    </row>
    <row r="6678" spans="1:12">
      <c r="A6678" s="20" t="s">
        <v>1476</v>
      </c>
      <c r="E6678" s="22">
        <f>IF(D6678="?OLD","!!!","")</f>
        <v/>
      </c>
      <c r="F6678" s="23" t="str">
        <f>IF(OR(E6678="",E6678="!!!"),"",IF(NOT(ISNA(VLOOKUP(E6678,E$1:E6677,1,FALSE()))),"OLD",IF(AND(E6678&lt;&gt;"",E6678&lt;&gt;"!!!"),"NEW","")))</f>
        <v> </v>
      </c>
      <c r="G6678" s="24" t="str">
        <f>IF(OR(E6678="",E6678="!!!"),"",IF(OR(J6678=0,AND(J6678=1,K6678=1),AND(J6678=1,I6678="SBJ"),AND(J6678=1,I6678=0)),"?IN_FOCUS",IF(J6678&lt;=2,"?ACTIVATED",IF(J6678&lt;&gt;"","?FAMILIAR",IF(F6678="NEW",IF(ISNA(VLOOKUP(E6678,#REF!,1,FALSE())),"?TYPE_IDENTIFIABLE","?REFERENTIAL"),"_")))))</f>
        <v> </v>
      </c>
      <c r="H6678" s="25" t="str">
        <f>IF(J6678&lt;&gt;1,"",IF(I6678="SBJ","CB","?"))</f>
        <v> </v>
      </c>
      <c r="I6678" s="26" t="str">
        <f>IF(OR(E6678="",E6678="!!!",F6678="NEW"),"",INDEX(B6677:B$2,-1+SUMPRODUCT(MAX(ROW(E6677:E$2)*(E6678=E6677:E$2)))))</f>
        <v> </v>
      </c>
      <c r="J6678" s="26" t="str">
        <f>IF(OR(E6678="",E6678="!!!",F6678="NEW"),"",COUNTBLANK(OFFSET(A$1,,,SUMPRODUCT(MAX(ROW(E$2:E6678)*(E6678=E$2:E6678)))))-COUNTBLANK(OFFSET(A$1,,,SUMPRODUCT(MAX(ROW(E$1:E6677)*(E2=E$1:E6677))))))</f>
        <v> </v>
      </c>
      <c r="K6678" s="26" t="str">
        <f>IF(OR(E6678="",E6678="!!!",F6678="NEW"),"",INDEX(J$1:J6677,SUMPRODUCT(MAX(ROW(E$1:E6677)*(E6678=E$1:E6677)))))</f>
        <v> </v>
      </c>
      <c r="L6678" s="27"/>
    </row>
    <row r="6679" spans="1:12">
      <c r="A6679" s="20" t="s">
        <v>1286</v>
      </c>
      <c r="E6679" s="22">
        <f>IF(D6679="?OLD","!!!","")</f>
        <v/>
      </c>
      <c r="F6679" s="23" t="str">
        <f>IF(OR(E6679="",E6679="!!!"),"",IF(NOT(ISNA(VLOOKUP(E6679,E$1:E6678,1,FALSE()))),"OLD",IF(AND(E6679&lt;&gt;"",E6679&lt;&gt;"!!!"),"NEW","")))</f>
        <v> </v>
      </c>
      <c r="G6679" s="24" t="str">
        <f>IF(OR(E6679="",E6679="!!!"),"",IF(OR(J6679=0,AND(J6679=1,K6679=1),AND(J6679=1,I6679="SBJ"),AND(J6679=1,I6679=0)),"?IN_FOCUS",IF(J6679&lt;=2,"?ACTIVATED",IF(J6679&lt;&gt;"","?FAMILIAR",IF(F6679="NEW",IF(ISNA(VLOOKUP(E6679,#REF!,1,FALSE())),"?TYPE_IDENTIFIABLE","?REFERENTIAL"),"_")))))</f>
        <v> </v>
      </c>
      <c r="H6679" s="25" t="str">
        <f>IF(J6679&lt;&gt;1,"",IF(I6679="SBJ","CB","?"))</f>
        <v> </v>
      </c>
      <c r="I6679" s="26" t="str">
        <f>IF(OR(E6679="",E6679="!!!",F6679="NEW"),"",INDEX(B6678:B$2,-1+SUMPRODUCT(MAX(ROW(E6678:E$2)*(E6679=E6678:E$2)))))</f>
        <v> </v>
      </c>
      <c r="J6679" s="26" t="str">
        <f>IF(OR(E6679="",E6679="!!!",F6679="NEW"),"",COUNTBLANK(OFFSET(A$1,,,SUMPRODUCT(MAX(ROW(E$2:E6679)*(E6679=E$2:E6679)))))-COUNTBLANK(OFFSET(A$1,,,SUMPRODUCT(MAX(ROW(E$1:E6678)*(E2=E$1:E6678))))))</f>
        <v> </v>
      </c>
      <c r="K6679" s="26" t="str">
        <f>IF(OR(E6679="",E6679="!!!",F6679="NEW"),"",INDEX(J$1:J6678,SUMPRODUCT(MAX(ROW(E$1:E6678)*(E6679=E$1:E6678)))))</f>
        <v> </v>
      </c>
      <c r="L6679" s="27"/>
    </row>
    <row r="6680" spans="1:12">
      <c r="A6680" s="20" t="s">
        <v>2718</v>
      </c>
      <c r="E6680" s="22">
        <f>IF(D6680="?OLD","!!!","")</f>
        <v/>
      </c>
      <c r="F6680" s="23" t="str">
        <f>IF(OR(E6680="",E6680="!!!"),"",IF(NOT(ISNA(VLOOKUP(E6680,E$1:E6679,1,FALSE()))),"OLD",IF(AND(E6680&lt;&gt;"",E6680&lt;&gt;"!!!"),"NEW","")))</f>
        <v> </v>
      </c>
      <c r="G6680" s="24" t="str">
        <f>IF(OR(E6680="",E6680="!!!"),"",IF(OR(J6680=0,AND(J6680=1,K6680=1),AND(J6680=1,I6680="SBJ"),AND(J6680=1,I6680=0)),"?IN_FOCUS",IF(J6680&lt;=2,"?ACTIVATED",IF(J6680&lt;&gt;"","?FAMILIAR",IF(F6680="NEW",IF(ISNA(VLOOKUP(E6680,#REF!,1,FALSE())),"?TYPE_IDENTIFIABLE","?REFERENTIAL"),"_")))))</f>
        <v> </v>
      </c>
      <c r="H6680" s="25" t="str">
        <f>IF(J6680&lt;&gt;1,"",IF(I6680="SBJ","CB","?"))</f>
        <v> </v>
      </c>
      <c r="I6680" s="26" t="str">
        <f>IF(OR(E6680="",E6680="!!!",F6680="NEW"),"",INDEX(B6679:B$2,-1+SUMPRODUCT(MAX(ROW(E6679:E$2)*(E6680=E6679:E$2)))))</f>
        <v> </v>
      </c>
      <c r="J6680" s="26" t="str">
        <f>IF(OR(E6680="",E6680="!!!",F6680="NEW"),"",COUNTBLANK(OFFSET(A$1,,,SUMPRODUCT(MAX(ROW(E$2:E6680)*(E6680=E$2:E6680)))))-COUNTBLANK(OFFSET(A$1,,,SUMPRODUCT(MAX(ROW(E$1:E6679)*(E2=E$1:E6679))))))</f>
        <v> </v>
      </c>
      <c r="K6680" s="26" t="str">
        <f>IF(OR(E6680="",E6680="!!!",F6680="NEW"),"",INDEX(J$1:J6679,SUMPRODUCT(MAX(ROW(E$1:E6679)*(E6680=E$1:E6679)))))</f>
        <v> </v>
      </c>
      <c r="L6680" s="27"/>
    </row>
    <row r="6681" spans="1:12">
      <c r="A6681" s="20" t="s">
        <v>1023</v>
      </c>
      <c r="E6681" s="22">
        <f>IF(D6681="?OLD","!!!","")</f>
        <v/>
      </c>
      <c r="F6681" s="23" t="str">
        <f>IF(OR(E6681="",E6681="!!!"),"",IF(NOT(ISNA(VLOOKUP(E6681,E$1:E6680,1,FALSE()))),"OLD",IF(AND(E6681&lt;&gt;"",E6681&lt;&gt;"!!!"),"NEW","")))</f>
        <v> </v>
      </c>
      <c r="G6681" s="24" t="str">
        <f>IF(OR(E6681="",E6681="!!!"),"",IF(OR(J6681=0,AND(J6681=1,K6681=1),AND(J6681=1,I6681="SBJ"),AND(J6681=1,I6681=0)),"?IN_FOCUS",IF(J6681&lt;=2,"?ACTIVATED",IF(J6681&lt;&gt;"","?FAMILIAR",IF(F6681="NEW",IF(ISNA(VLOOKUP(E6681,#REF!,1,FALSE())),"?TYPE_IDENTIFIABLE","?REFERENTIAL"),"_")))))</f>
        <v> </v>
      </c>
      <c r="H6681" s="25" t="str">
        <f>IF(J6681&lt;&gt;1,"",IF(I6681="SBJ","CB","?"))</f>
        <v> </v>
      </c>
      <c r="I6681" s="26" t="str">
        <f>IF(OR(E6681="",E6681="!!!",F6681="NEW"),"",INDEX(B6680:B$2,-1+SUMPRODUCT(MAX(ROW(E6680:E$2)*(E6681=E6680:E$2)))))</f>
        <v> </v>
      </c>
      <c r="J6681" s="26" t="str">
        <f>IF(OR(E6681="",E6681="!!!",F6681="NEW"),"",COUNTBLANK(OFFSET(A$1,,,SUMPRODUCT(MAX(ROW(E$2:E6681)*(E6681=E$2:E6681)))))-COUNTBLANK(OFFSET(A$1,,,SUMPRODUCT(MAX(ROW(E$1:E6680)*(E2=E$1:E6680))))))</f>
        <v> </v>
      </c>
      <c r="K6681" s="26" t="str">
        <f>IF(OR(E6681="",E6681="!!!",F6681="NEW"),"",INDEX(J$1:J6680,SUMPRODUCT(MAX(ROW(E$1:E6680)*(E6681=E$1:E6680)))))</f>
        <v> </v>
      </c>
      <c r="L6681" s="27"/>
    </row>
    <row r="6682" spans="1:12">
      <c r="A6682" s="20"/>
    </row>
    <row r="6683" spans="1:12">
      <c r="A6683" s="20" t="s">
        <v>1184</v>
      </c>
      <c r="E6683" s="22">
        <f>IF(D6683="?OLD","!!!","")</f>
        <v/>
      </c>
      <c r="F6683" s="23" t="str">
        <f>IF(OR(E6683="",E6683="!!!"),"",IF(NOT(ISNA(VLOOKUP(E6683,E$1:E6682,1,FALSE()))),"OLD",IF(AND(E6683&lt;&gt;"",E6683&lt;&gt;"!!!"),"NEW","")))</f>
        <v> </v>
      </c>
      <c r="G6683" s="24" t="str">
        <f>IF(OR(E6683="",E6683="!!!"),"",IF(OR(J6683=0,AND(J6683=1,K6683=1),AND(J6683=1,I6683="SBJ"),AND(J6683=1,I6683=0)),"?IN_FOCUS",IF(J6683&lt;=2,"?ACTIVATED",IF(J6683&lt;&gt;"","?FAMILIAR",IF(F6683="NEW",IF(ISNA(VLOOKUP(E6683,#REF!,1,FALSE())),"?TYPE_IDENTIFIABLE","?REFERENTIAL"),"_")))))</f>
        <v> </v>
      </c>
      <c r="H6683" s="25" t="str">
        <f>IF(J6683&lt;&gt;1,"",IF(I6683="SBJ","CB","?"))</f>
        <v> </v>
      </c>
      <c r="I6683" s="26" t="str">
        <f>IF(OR(E6683="",E6683="!!!",F6683="NEW"),"",INDEX(B6682:B$2,-1+SUMPRODUCT(MAX(ROW(E6682:E$2)*(E6683=E6682:E$2)))))</f>
        <v> </v>
      </c>
      <c r="J6683" s="26" t="str">
        <f>IF(OR(E6683="",E6683="!!!",F6683="NEW"),"",COUNTBLANK(OFFSET(A$1,,,SUMPRODUCT(MAX(ROW(E$2:E6683)*(E6683=E$2:E6683)))))-COUNTBLANK(OFFSET(A$1,,,SUMPRODUCT(MAX(ROW(E$1:E6682)*(E2=E$1:E6682))))))</f>
        <v> </v>
      </c>
      <c r="K6683" s="26" t="str">
        <f>IF(OR(E6683="",E6683="!!!",F6683="NEW"),"",INDEX(J$1:J6682,SUMPRODUCT(MAX(ROW(E$1:E6682)*(E6683=E$1:E6682)))))</f>
        <v> </v>
      </c>
      <c r="L6683" s="27"/>
    </row>
    <row r="6684" spans="1:12">
      <c r="A6684" s="20" t="s">
        <v>2719</v>
      </c>
    </row>
    <row r="6685" spans="1:12">
      <c r="A6685" s="20" t="s">
        <v>1094</v>
      </c>
      <c r="E6685" s="22">
        <f>IF(D6685="?OLD","!!!","")</f>
        <v/>
      </c>
      <c r="F6685" s="23" t="str">
        <f>IF(OR(E6685="",E6685="!!!"),"",IF(NOT(ISNA(VLOOKUP(E6685,E$1:E6684,1,FALSE()))),"OLD",IF(AND(E6685&lt;&gt;"",E6685&lt;&gt;"!!!"),"NEW","")))</f>
        <v> </v>
      </c>
      <c r="G6685" s="24" t="str">
        <f>IF(OR(E6685="",E6685="!!!"),"",IF(OR(J6685=0,AND(J6685=1,K6685=1),AND(J6685=1,I6685="SBJ"),AND(J6685=1,I6685=0)),"?IN_FOCUS",IF(J6685&lt;=2,"?ACTIVATED",IF(J6685&lt;&gt;"","?FAMILIAR",IF(F6685="NEW",IF(ISNA(VLOOKUP(E6685,#REF!,1,FALSE())),"?TYPE_IDENTIFIABLE","?REFERENTIAL"),"_")))))</f>
        <v> </v>
      </c>
      <c r="H6685" s="25" t="str">
        <f>IF(J6685&lt;&gt;1,"",IF(I6685="SBJ","CB","?"))</f>
        <v> </v>
      </c>
      <c r="I6685" s="26" t="str">
        <f>IF(OR(E6685="",E6685="!!!",F6685="NEW"),"",INDEX(B6684:B$2,-1+SUMPRODUCT(MAX(ROW(E6684:E$2)*(E6685=E6684:E$2)))))</f>
        <v> </v>
      </c>
      <c r="J6685" s="26" t="str">
        <f>IF(OR(E6685="",E6685="!!!",F6685="NEW"),"",COUNTBLANK(OFFSET(A$1,,,SUMPRODUCT(MAX(ROW(E$2:E6685)*(E6685=E$2:E6685)))))-COUNTBLANK(OFFSET(A$1,,,SUMPRODUCT(MAX(ROW(E$1:E6684)*(E2=E$1:E6684))))))</f>
        <v> </v>
      </c>
      <c r="K6685" s="26" t="str">
        <f>IF(OR(E6685="",E6685="!!!",F6685="NEW"),"",INDEX(J$1:J6684,SUMPRODUCT(MAX(ROW(E$1:E6684)*(E6685=E$1:E6684)))))</f>
        <v> </v>
      </c>
      <c r="L6685" s="27"/>
    </row>
    <row r="6686" spans="1:12">
      <c r="A6686" s="20" t="s">
        <v>1009</v>
      </c>
      <c r="E6686" s="22">
        <f>IF(D6686="?OLD","!!!","")</f>
        <v/>
      </c>
      <c r="F6686" s="23" t="str">
        <f>IF(OR(E6686="",E6686="!!!"),"",IF(NOT(ISNA(VLOOKUP(E6686,E$1:E6685,1,FALSE()))),"OLD",IF(AND(E6686&lt;&gt;"",E6686&lt;&gt;"!!!"),"NEW","")))</f>
        <v> </v>
      </c>
      <c r="G6686" s="24" t="str">
        <f>IF(OR(E6686="",E6686="!!!"),"",IF(OR(J6686=0,AND(J6686=1,K6686=1),AND(J6686=1,I6686="SBJ"),AND(J6686=1,I6686=0)),"?IN_FOCUS",IF(J6686&lt;=2,"?ACTIVATED",IF(J6686&lt;&gt;"","?FAMILIAR",IF(F6686="NEW",IF(ISNA(VLOOKUP(E6686,#REF!,1,FALSE())),"?TYPE_IDENTIFIABLE","?REFERENTIAL"),"_")))))</f>
        <v> </v>
      </c>
      <c r="H6686" s="25" t="str">
        <f>IF(J6686&lt;&gt;1,"",IF(I6686="SBJ","CB","?"))</f>
        <v> </v>
      </c>
      <c r="I6686" s="26" t="str">
        <f>IF(OR(E6686="",E6686="!!!",F6686="NEW"),"",INDEX(B6685:B$2,-1+SUMPRODUCT(MAX(ROW(E6685:E$2)*(E6686=E6685:E$2)))))</f>
        <v> </v>
      </c>
      <c r="J6686" s="26" t="str">
        <f>IF(OR(E6686="",E6686="!!!",F6686="NEW"),"",COUNTBLANK(OFFSET(A$1,,,SUMPRODUCT(MAX(ROW(E$2:E6686)*(E6686=E$2:E6686)))))-COUNTBLANK(OFFSET(A$1,,,SUMPRODUCT(MAX(ROW(E$1:E6685)*(E2=E$1:E6685))))))</f>
        <v> </v>
      </c>
      <c r="K6686" s="26" t="str">
        <f>IF(OR(E6686="",E6686="!!!",F6686="NEW"),"",INDEX(J$1:J6685,SUMPRODUCT(MAX(ROW(E$1:E6685)*(E6686=E$1:E6685)))))</f>
        <v> </v>
      </c>
      <c r="L6686" s="27"/>
    </row>
    <row r="6687" spans="1:12">
      <c r="A6687" s="20" t="s">
        <v>1247</v>
      </c>
      <c r="E6687" s="22">
        <f>IF(D6687="?OLD","!!!","")</f>
        <v/>
      </c>
      <c r="F6687" s="23" t="str">
        <f>IF(OR(E6687="",E6687="!!!"),"",IF(NOT(ISNA(VLOOKUP(E6687,E$1:E6686,1,FALSE()))),"OLD",IF(AND(E6687&lt;&gt;"",E6687&lt;&gt;"!!!"),"NEW","")))</f>
        <v> </v>
      </c>
      <c r="G6687" s="24" t="str">
        <f>IF(OR(E6687="",E6687="!!!"),"",IF(OR(J6687=0,AND(J6687=1,K6687=1),AND(J6687=1,I6687="SBJ"),AND(J6687=1,I6687=0)),"?IN_FOCUS",IF(J6687&lt;=2,"?ACTIVATED",IF(J6687&lt;&gt;"","?FAMILIAR",IF(F6687="NEW",IF(ISNA(VLOOKUP(E6687,#REF!,1,FALSE())),"?TYPE_IDENTIFIABLE","?REFERENTIAL"),"_")))))</f>
        <v> </v>
      </c>
      <c r="H6687" s="25" t="str">
        <f>IF(J6687&lt;&gt;1,"",IF(I6687="SBJ","CB","?"))</f>
        <v> </v>
      </c>
      <c r="I6687" s="26" t="str">
        <f>IF(OR(E6687="",E6687="!!!",F6687="NEW"),"",INDEX(B6686:B$2,-1+SUMPRODUCT(MAX(ROW(E6686:E$2)*(E6687=E6686:E$2)))))</f>
        <v> </v>
      </c>
      <c r="J6687" s="26" t="str">
        <f>IF(OR(E6687="",E6687="!!!",F6687="NEW"),"",COUNTBLANK(OFFSET(A$1,,,SUMPRODUCT(MAX(ROW(E$2:E6687)*(E6687=E$2:E6687)))))-COUNTBLANK(OFFSET(A$1,,,SUMPRODUCT(MAX(ROW(E$1:E6686)*(E2=E$1:E6686))))))</f>
        <v> </v>
      </c>
      <c r="K6687" s="26" t="str">
        <f>IF(OR(E6687="",E6687="!!!",F6687="NEW"),"",INDEX(J$1:J6686,SUMPRODUCT(MAX(ROW(E$1:E6686)*(E6687=E$1:E6686)))))</f>
        <v> </v>
      </c>
      <c r="L6687" s="27"/>
    </row>
    <row r="6688" spans="1:12">
      <c r="A6688" s="20" t="s">
        <v>102</v>
      </c>
      <c r="E6688" s="22">
        <f>IF(D6688="?OLD","!!!","")</f>
        <v/>
      </c>
      <c r="F6688" s="23" t="str">
        <f>IF(OR(E6688="",E6688="!!!"),"",IF(NOT(ISNA(VLOOKUP(E6688,E$1:E6687,1,FALSE()))),"OLD",IF(AND(E6688&lt;&gt;"",E6688&lt;&gt;"!!!"),"NEW","")))</f>
        <v> </v>
      </c>
      <c r="G6688" s="24" t="str">
        <f>IF(OR(E6688="",E6688="!!!"),"",IF(OR(J6688=0,AND(J6688=1,K6688=1),AND(J6688=1,I6688="SBJ"),AND(J6688=1,I6688=0)),"?IN_FOCUS",IF(J6688&lt;=2,"?ACTIVATED",IF(J6688&lt;&gt;"","?FAMILIAR",IF(F6688="NEW",IF(ISNA(VLOOKUP(E6688,#REF!,1,FALSE())),"?TYPE_IDENTIFIABLE","?REFERENTIAL"),"_")))))</f>
        <v> </v>
      </c>
      <c r="H6688" s="25" t="str">
        <f>IF(J6688&lt;&gt;1,"",IF(I6688="SBJ","CB","?"))</f>
        <v> </v>
      </c>
      <c r="I6688" s="26" t="str">
        <f>IF(OR(E6688="",E6688="!!!",F6688="NEW"),"",INDEX(B6687:B$2,-1+SUMPRODUCT(MAX(ROW(E6687:E$2)*(E6688=E6687:E$2)))))</f>
        <v> </v>
      </c>
      <c r="J6688" s="26" t="str">
        <f>IF(OR(E6688="",E6688="!!!",F6688="NEW"),"",COUNTBLANK(OFFSET(A$1,,,SUMPRODUCT(MAX(ROW(E$2:E6688)*(E6688=E$2:E6688)))))-COUNTBLANK(OFFSET(A$1,,,SUMPRODUCT(MAX(ROW(E$1:E6687)*(E2=E$1:E6687))))))</f>
        <v> </v>
      </c>
      <c r="K6688" s="26" t="str">
        <f>IF(OR(E6688="",E6688="!!!",F6688="NEW"),"",INDEX(J$1:J6687,SUMPRODUCT(MAX(ROW(E$1:E6687)*(E6688=E$1:E6687)))))</f>
        <v> </v>
      </c>
      <c r="L6688" s="27"/>
    </row>
    <row r="6689" spans="1:12">
      <c r="A6689" s="20" t="s">
        <v>1032</v>
      </c>
      <c r="B6689" s="21" t="s">
        <v>1005</v>
      </c>
      <c r="C6689" s="21" t="s">
        <v>1006</v>
      </c>
      <c r="D6689" s="21" t="s">
        <v>1007</v>
      </c>
      <c r="E6689" s="22">
        <f>IF(D6689="?OLD","!!!","")</f>
        <v/>
      </c>
      <c r="F6689" s="23" t="str">
        <f>IF(OR(E6689="",E6689="!!!"),"",IF(NOT(ISNA(VLOOKUP(E6689,E$1:E6688,1,FALSE()))),"OLD",IF(AND(E6689&lt;&gt;"",E6689&lt;&gt;"!!!"),"NEW","")))</f>
        <v> </v>
      </c>
      <c r="G6689" s="24" t="str">
        <f>IF(OR(E6689="",E6689="!!!"),"",IF(OR(J6689=0,AND(J6689=1,K6689=1),AND(J6689=1,I6689="SBJ"),AND(J6689=1,I6689=0)),"?IN_FOCUS",IF(J6689&lt;=2,"?ACTIVATED",IF(J6689&lt;&gt;"","?FAMILIAR",IF(F6689="NEW",IF(ISNA(VLOOKUP(E6689,#REF!,1,FALSE())),"?TYPE_IDENTIFIABLE","?REFERENTIAL"),"_")))))</f>
        <v> </v>
      </c>
      <c r="H6689" s="25" t="str">
        <f>IF(J6689&lt;&gt;1,"",IF(I6689="SBJ","CB","?"))</f>
        <v> </v>
      </c>
      <c r="I6689" s="26" t="str">
        <f>IF(OR(E6689="",E6689="!!!",F6689="NEW"),"",INDEX(B6688:B$2,-1+SUMPRODUCT(MAX(ROW(E6688:E$2)*(E6689=E6688:E$2)))))</f>
        <v> </v>
      </c>
      <c r="J6689" s="26" t="str">
        <f>IF(OR(E6689="",E6689="!!!",F6689="NEW"),"",COUNTBLANK(OFFSET(A$1,,,SUMPRODUCT(MAX(ROW(E$2:E6689)*(E6689=E$2:E6689)))))-COUNTBLANK(OFFSET(A$1,,,SUMPRODUCT(MAX(ROW(E$1:E6688)*(E2=E$1:E6688))))))</f>
        <v> </v>
      </c>
      <c r="K6689" s="26" t="str">
        <f>IF(OR(E6689="",E6689="!!!",F6689="NEW"),"",INDEX(J$1:J6688,SUMPRODUCT(MAX(ROW(E$1:E6688)*(E6689=E$1:E6688)))))</f>
        <v> </v>
      </c>
      <c r="L6689" s="27"/>
    </row>
    <row r="6690" spans="1:12">
      <c r="A6690" s="20" t="s">
        <v>1018</v>
      </c>
      <c r="E6690" s="22">
        <f>IF(D6690="?OLD","!!!","")</f>
        <v/>
      </c>
      <c r="F6690" s="23" t="str">
        <f>IF(OR(E6690="",E6690="!!!"),"",IF(NOT(ISNA(VLOOKUP(E6690,E$1:E6689,1,FALSE()))),"OLD",IF(AND(E6690&lt;&gt;"",E6690&lt;&gt;"!!!"),"NEW","")))</f>
        <v> </v>
      </c>
      <c r="G6690" s="24" t="str">
        <f>IF(OR(E6690="",E6690="!!!"),"",IF(OR(J6690=0,AND(J6690=1,K6690=1),AND(J6690=1,I6690="SBJ"),AND(J6690=1,I6690=0)),"?IN_FOCUS",IF(J6690&lt;=2,"?ACTIVATED",IF(J6690&lt;&gt;"","?FAMILIAR",IF(F6690="NEW",IF(ISNA(VLOOKUP(E6690,#REF!,1,FALSE())),"?TYPE_IDENTIFIABLE","?REFERENTIAL"),"_")))))</f>
        <v> </v>
      </c>
      <c r="H6690" s="25" t="str">
        <f>IF(J6690&lt;&gt;1,"",IF(I6690="SBJ","CB","?"))</f>
        <v> </v>
      </c>
      <c r="I6690" s="26" t="str">
        <f>IF(OR(E6690="",E6690="!!!",F6690="NEW"),"",INDEX(B6689:B$2,-1+SUMPRODUCT(MAX(ROW(E6689:E$2)*(E6690=E6689:E$2)))))</f>
        <v> </v>
      </c>
      <c r="J6690" s="26" t="str">
        <f>IF(OR(E6690="",E6690="!!!",F6690="NEW"),"",COUNTBLANK(OFFSET(A$1,,,SUMPRODUCT(MAX(ROW(E$2:E6690)*(E6690=E$2:E6690)))))-COUNTBLANK(OFFSET(A$1,,,SUMPRODUCT(MAX(ROW(E$1:E6689)*(E2=E$1:E6689))))))</f>
        <v> </v>
      </c>
      <c r="K6690" s="26" t="str">
        <f>IF(OR(E6690="",E6690="!!!",F6690="NEW"),"",INDEX(J$1:J6689,SUMPRODUCT(MAX(ROW(E$1:E6689)*(E6690=E$1:E6689)))))</f>
        <v> </v>
      </c>
      <c r="L6690" s="27"/>
    </row>
    <row r="6691" spans="1:12">
      <c r="A6691" s="20" t="s">
        <v>1020</v>
      </c>
      <c r="E6691" s="22">
        <f>IF(D6691="?OLD","!!!","")</f>
        <v/>
      </c>
      <c r="F6691" s="23" t="str">
        <f>IF(OR(E6691="",E6691="!!!"),"",IF(NOT(ISNA(VLOOKUP(E6691,E$1:E6690,1,FALSE()))),"OLD",IF(AND(E6691&lt;&gt;"",E6691&lt;&gt;"!!!"),"NEW","")))</f>
        <v> </v>
      </c>
      <c r="G6691" s="24" t="str">
        <f>IF(OR(E6691="",E6691="!!!"),"",IF(OR(J6691=0,AND(J6691=1,K6691=1),AND(J6691=1,I6691="SBJ"),AND(J6691=1,I6691=0)),"?IN_FOCUS",IF(J6691&lt;=2,"?ACTIVATED",IF(J6691&lt;&gt;"","?FAMILIAR",IF(F6691="NEW",IF(ISNA(VLOOKUP(E6691,#REF!,1,FALSE())),"?TYPE_IDENTIFIABLE","?REFERENTIAL"),"_")))))</f>
        <v> </v>
      </c>
      <c r="H6691" s="25" t="str">
        <f>IF(J6691&lt;&gt;1,"",IF(I6691="SBJ","CB","?"))</f>
        <v> </v>
      </c>
      <c r="I6691" s="26" t="str">
        <f>IF(OR(E6691="",E6691="!!!",F6691="NEW"),"",INDEX(B6690:B$2,-1+SUMPRODUCT(MAX(ROW(E6690:E$2)*(E6691=E6690:E$2)))))</f>
        <v> </v>
      </c>
      <c r="J6691" s="26" t="str">
        <f>IF(OR(E6691="",E6691="!!!",F6691="NEW"),"",COUNTBLANK(OFFSET(A$1,,,SUMPRODUCT(MAX(ROW(E$2:E6691)*(E6691=E$2:E6691)))))-COUNTBLANK(OFFSET(A$1,,,SUMPRODUCT(MAX(ROW(E$1:E6690)*(E2=E$1:E6690))))))</f>
        <v> </v>
      </c>
      <c r="K6691" s="26" t="str">
        <f>IF(OR(E6691="",E6691="!!!",F6691="NEW"),"",INDEX(J$1:J6690,SUMPRODUCT(MAX(ROW(E$1:E6690)*(E6691=E$1:E6690)))))</f>
        <v> </v>
      </c>
      <c r="L6691" s="27"/>
    </row>
    <row r="6692" spans="1:12">
      <c r="A6692" s="20" t="s">
        <v>2720</v>
      </c>
      <c r="B6692" s="21" t="s">
        <v>1050</v>
      </c>
      <c r="C6692" s="21" t="s">
        <v>1017</v>
      </c>
      <c r="D6692" s="21" t="s">
        <v>1007</v>
      </c>
      <c r="E6692" s="22">
        <f>IF(D6692="?OLD","!!!","")</f>
        <v/>
      </c>
      <c r="F6692" s="23" t="str">
        <f>IF(OR(E6692="",E6692="!!!"),"",IF(NOT(ISNA(VLOOKUP(E6692,E$1:E6691,1,FALSE()))),"OLD",IF(AND(E6692&lt;&gt;"",E6692&lt;&gt;"!!!"),"NEW","")))</f>
        <v> </v>
      </c>
      <c r="G6692" s="24" t="str">
        <f>IF(OR(E6692="",E6692="!!!"),"",IF(OR(J6692=0,AND(J6692=1,K6692=1),AND(J6692=1,I6692="SBJ"),AND(J6692=1,I6692=0)),"?IN_FOCUS",IF(J6692&lt;=2,"?ACTIVATED",IF(J6692&lt;&gt;"","?FAMILIAR",IF(F6692="NEW",IF(ISNA(VLOOKUP(E6692,#REF!,1,FALSE())),"?TYPE_IDENTIFIABLE","?REFERENTIAL"),"_")))))</f>
        <v> </v>
      </c>
      <c r="H6692" s="25" t="str">
        <f>IF(J6692&lt;&gt;1,"",IF(I6692="SBJ","CB","?"))</f>
        <v> </v>
      </c>
      <c r="I6692" s="26" t="str">
        <f>IF(OR(E6692="",E6692="!!!",F6692="NEW"),"",INDEX(B6691:B$2,-1+SUMPRODUCT(MAX(ROW(E6691:E$2)*(E6692=E6691:E$2)))))</f>
        <v> </v>
      </c>
      <c r="J6692" s="26" t="str">
        <f>IF(OR(E6692="",E6692="!!!",F6692="NEW"),"",COUNTBLANK(OFFSET(A$1,,,SUMPRODUCT(MAX(ROW(E$2:E6692)*(E6692=E$2:E6692)))))-COUNTBLANK(OFFSET(A$1,,,SUMPRODUCT(MAX(ROW(E$1:E6691)*(E2=E$1:E6691))))))</f>
        <v> </v>
      </c>
      <c r="K6692" s="26" t="str">
        <f>IF(OR(E6692="",E6692="!!!",F6692="NEW"),"",INDEX(J$1:J6691,SUMPRODUCT(MAX(ROW(E$1:E6691)*(E6692=E$1:E6691)))))</f>
        <v> </v>
      </c>
      <c r="L6692" s="27"/>
    </row>
    <row r="6693" spans="1:12">
      <c r="A6693" s="20" t="s">
        <v>1075</v>
      </c>
      <c r="E6693" s="22">
        <f>IF(D6693="?OLD","!!!","")</f>
        <v/>
      </c>
      <c r="F6693" s="23" t="str">
        <f>IF(OR(E6693="",E6693="!!!"),"",IF(NOT(ISNA(VLOOKUP(E6693,E$1:E6692,1,FALSE()))),"OLD",IF(AND(E6693&lt;&gt;"",E6693&lt;&gt;"!!!"),"NEW","")))</f>
        <v> </v>
      </c>
      <c r="G6693" s="24" t="str">
        <f>IF(OR(E6693="",E6693="!!!"),"",IF(OR(J6693=0,AND(J6693=1,K6693=1),AND(J6693=1,I6693="SBJ"),AND(J6693=1,I6693=0)),"?IN_FOCUS",IF(J6693&lt;=2,"?ACTIVATED",IF(J6693&lt;&gt;"","?FAMILIAR",IF(F6693="NEW",IF(ISNA(VLOOKUP(E6693,#REF!,1,FALSE())),"?TYPE_IDENTIFIABLE","?REFERENTIAL"),"_")))))</f>
        <v> </v>
      </c>
      <c r="H6693" s="25" t="str">
        <f>IF(J6693&lt;&gt;1,"",IF(I6693="SBJ","CB","?"))</f>
        <v> </v>
      </c>
      <c r="I6693" s="26" t="str">
        <f>IF(OR(E6693="",E6693="!!!",F6693="NEW"),"",INDEX(B6692:B$2,-1+SUMPRODUCT(MAX(ROW(E6692:E$2)*(E6693=E6692:E$2)))))</f>
        <v> </v>
      </c>
      <c r="J6693" s="26" t="str">
        <f>IF(OR(E6693="",E6693="!!!",F6693="NEW"),"",COUNTBLANK(OFFSET(A$1,,,SUMPRODUCT(MAX(ROW(E$2:E6693)*(E6693=E$2:E6693)))))-COUNTBLANK(OFFSET(A$1,,,SUMPRODUCT(MAX(ROW(E$1:E6692)*(E2=E$1:E6692))))))</f>
        <v> </v>
      </c>
      <c r="K6693" s="26" t="str">
        <f>IF(OR(E6693="",E6693="!!!",F6693="NEW"),"",INDEX(J$1:J6692,SUMPRODUCT(MAX(ROW(E$1:E6692)*(E6693=E$1:E6692)))))</f>
        <v> </v>
      </c>
      <c r="L6693" s="27"/>
    </row>
    <row r="6694" spans="1:12">
      <c r="A6694" s="20" t="s">
        <v>1189</v>
      </c>
      <c r="E6694" s="22">
        <f>IF(D6694="?OLD","!!!","")</f>
        <v/>
      </c>
      <c r="F6694" s="23" t="str">
        <f>IF(OR(E6694="",E6694="!!!"),"",IF(NOT(ISNA(VLOOKUP(E6694,E$1:E6693,1,FALSE()))),"OLD",IF(AND(E6694&lt;&gt;"",E6694&lt;&gt;"!!!"),"NEW","")))</f>
        <v> </v>
      </c>
      <c r="G6694" s="24" t="str">
        <f>IF(OR(E6694="",E6694="!!!"),"",IF(OR(J6694=0,AND(J6694=1,K6694=1),AND(J6694=1,I6694="SBJ"),AND(J6694=1,I6694=0)),"?IN_FOCUS",IF(J6694&lt;=2,"?ACTIVATED",IF(J6694&lt;&gt;"","?FAMILIAR",IF(F6694="NEW",IF(ISNA(VLOOKUP(E6694,#REF!,1,FALSE())),"?TYPE_IDENTIFIABLE","?REFERENTIAL"),"_")))))</f>
        <v> </v>
      </c>
      <c r="H6694" s="25" t="str">
        <f>IF(J6694&lt;&gt;1,"",IF(I6694="SBJ","CB","?"))</f>
        <v> </v>
      </c>
      <c r="I6694" s="26" t="str">
        <f>IF(OR(E6694="",E6694="!!!",F6694="NEW"),"",INDEX(B6693:B$2,-1+SUMPRODUCT(MAX(ROW(E6693:E$2)*(E6694=E6693:E$2)))))</f>
        <v> </v>
      </c>
      <c r="J6694" s="26" t="str">
        <f>IF(OR(E6694="",E6694="!!!",F6694="NEW"),"",COUNTBLANK(OFFSET(A$1,,,SUMPRODUCT(MAX(ROW(E$2:E6694)*(E6694=E$2:E6694)))))-COUNTBLANK(OFFSET(A$1,,,SUMPRODUCT(MAX(ROW(E$1:E6693)*(E2=E$1:E6693))))))</f>
        <v> </v>
      </c>
      <c r="K6694" s="26" t="str">
        <f>IF(OR(E6694="",E6694="!!!",F6694="NEW"),"",INDEX(J$1:J6693,SUMPRODUCT(MAX(ROW(E$1:E6693)*(E6694=E$1:E6693)))))</f>
        <v> </v>
      </c>
      <c r="L6694" s="27"/>
    </row>
    <row r="6695" spans="1:12">
      <c r="A6695" s="20" t="s">
        <v>2721</v>
      </c>
      <c r="B6695" s="21" t="s">
        <v>1005</v>
      </c>
      <c r="C6695" s="21" t="s">
        <v>1013</v>
      </c>
      <c r="D6695" s="21" t="s">
        <v>1007</v>
      </c>
      <c r="E6695" s="22">
        <f>IF(D6695="?OLD","!!!","")</f>
        <v/>
      </c>
      <c r="F6695" s="23" t="str">
        <f>IF(OR(E6695="",E6695="!!!"),"",IF(NOT(ISNA(VLOOKUP(E6695,E$1:E6694,1,FALSE()))),"OLD",IF(AND(E6695&lt;&gt;"",E6695&lt;&gt;"!!!"),"NEW","")))</f>
        <v> </v>
      </c>
      <c r="G6695" s="24" t="str">
        <f>IF(OR(E6695="",E6695="!!!"),"",IF(OR(J6695=0,AND(J6695=1,K6695=1),AND(J6695=1,I6695="SBJ"),AND(J6695=1,I6695=0)),"?IN_FOCUS",IF(J6695&lt;=2,"?ACTIVATED",IF(J6695&lt;&gt;"","?FAMILIAR",IF(F6695="NEW",IF(ISNA(VLOOKUP(E6695,#REF!,1,FALSE())),"?TYPE_IDENTIFIABLE","?REFERENTIAL"),"_")))))</f>
        <v> </v>
      </c>
      <c r="H6695" s="25" t="str">
        <f>IF(J6695&lt;&gt;1,"",IF(I6695="SBJ","CB","?"))</f>
        <v> </v>
      </c>
      <c r="I6695" s="26" t="str">
        <f>IF(OR(E6695="",E6695="!!!",F6695="NEW"),"",INDEX(B6694:B$2,-1+SUMPRODUCT(MAX(ROW(E6694:E$2)*(E6695=E6694:E$2)))))</f>
        <v> </v>
      </c>
      <c r="J6695" s="26" t="str">
        <f>IF(OR(E6695="",E6695="!!!",F6695="NEW"),"",COUNTBLANK(OFFSET(A$1,,,SUMPRODUCT(MAX(ROW(E$2:E6695)*(E6695=E$2:E6695)))))-COUNTBLANK(OFFSET(A$1,,,SUMPRODUCT(MAX(ROW(E$1:E6694)*(E2=E$1:E6694))))))</f>
        <v> </v>
      </c>
      <c r="K6695" s="26" t="str">
        <f>IF(OR(E6695="",E6695="!!!",F6695="NEW"),"",INDEX(J$1:J6694,SUMPRODUCT(MAX(ROW(E$1:E6694)*(E6695=E$1:E6694)))))</f>
        <v> </v>
      </c>
      <c r="L6695" s="27"/>
    </row>
    <row r="6696" spans="1:12">
      <c r="A6696" s="20" t="s">
        <v>1065</v>
      </c>
      <c r="B6696" s="21" t="s">
        <v>1119</v>
      </c>
      <c r="E6696" s="22">
        <f>IF(D6696="?OLD","!!!","")</f>
        <v/>
      </c>
      <c r="F6696" s="23" t="str">
        <f>IF(OR(E6696="",E6696="!!!"),"",IF(NOT(ISNA(VLOOKUP(E6696,E$1:E6695,1,FALSE()))),"OLD",IF(AND(E6696&lt;&gt;"",E6696&lt;&gt;"!!!"),"NEW","")))</f>
        <v> </v>
      </c>
      <c r="G6696" s="24" t="str">
        <f>IF(OR(E6696="",E6696="!!!"),"",IF(OR(J6696=0,AND(J6696=1,K6696=1),AND(J6696=1,I6696="SBJ"),AND(J6696=1,I6696=0)),"?IN_FOCUS",IF(J6696&lt;=2,"?ACTIVATED",IF(J6696&lt;&gt;"","?FAMILIAR",IF(F6696="NEW",IF(ISNA(VLOOKUP(E6696,#REF!,1,FALSE())),"?TYPE_IDENTIFIABLE","?REFERENTIAL"),"_")))))</f>
        <v> </v>
      </c>
      <c r="H6696" s="25" t="str">
        <f>IF(J6696&lt;&gt;1,"",IF(I6696="SBJ","CB","?"))</f>
        <v> </v>
      </c>
      <c r="I6696" s="26" t="str">
        <f>IF(OR(E6696="",E6696="!!!",F6696="NEW"),"",INDEX(B6695:B$2,-1+SUMPRODUCT(MAX(ROW(E6695:E$2)*(E6696=E6695:E$2)))))</f>
        <v> </v>
      </c>
      <c r="J6696" s="26" t="str">
        <f>IF(OR(E6696="",E6696="!!!",F6696="NEW"),"",COUNTBLANK(OFFSET(A$1,,,SUMPRODUCT(MAX(ROW(E$2:E6696)*(E6696=E$2:E6696)))))-COUNTBLANK(OFFSET(A$1,,,SUMPRODUCT(MAX(ROW(E$1:E6695)*(E2=E$1:E6695))))))</f>
        <v> </v>
      </c>
      <c r="K6696" s="26" t="str">
        <f>IF(OR(E6696="",E6696="!!!",F6696="NEW"),"",INDEX(J$1:J6695,SUMPRODUCT(MAX(ROW(E$1:E6695)*(E6696=E$1:E6695)))))</f>
        <v> </v>
      </c>
      <c r="L6696" s="27"/>
    </row>
    <row r="6697" spans="1:12">
      <c r="A6697" s="20" t="s">
        <v>2201</v>
      </c>
      <c r="E6697" s="22">
        <f>IF(D6697="?OLD","!!!","")</f>
        <v/>
      </c>
      <c r="F6697" s="23" t="str">
        <f>IF(OR(E6697="",E6697="!!!"),"",IF(NOT(ISNA(VLOOKUP(E6697,E$1:E6696,1,FALSE()))),"OLD",IF(AND(E6697&lt;&gt;"",E6697&lt;&gt;"!!!"),"NEW","")))</f>
        <v> </v>
      </c>
      <c r="G6697" s="24" t="str">
        <f>IF(OR(E6697="",E6697="!!!"),"",IF(OR(J6697=0,AND(J6697=1,K6697=1),AND(J6697=1,I6697="SBJ"),AND(J6697=1,I6697=0)),"?IN_FOCUS",IF(J6697&lt;=2,"?ACTIVATED",IF(J6697&lt;&gt;"","?FAMILIAR",IF(F6697="NEW",IF(ISNA(VLOOKUP(E6697,#REF!,1,FALSE())),"?TYPE_IDENTIFIABLE","?REFERENTIAL"),"_")))))</f>
        <v> </v>
      </c>
      <c r="H6697" s="25" t="str">
        <f>IF(J6697&lt;&gt;1,"",IF(I6697="SBJ","CB","?"))</f>
        <v> </v>
      </c>
      <c r="I6697" s="26" t="str">
        <f>IF(OR(E6697="",E6697="!!!",F6697="NEW"),"",INDEX(B6696:B$2,-1+SUMPRODUCT(MAX(ROW(E6696:E$2)*(E6697=E6696:E$2)))))</f>
        <v> </v>
      </c>
      <c r="J6697" s="26" t="str">
        <f>IF(OR(E6697="",E6697="!!!",F6697="NEW"),"",COUNTBLANK(OFFSET(A$1,,,SUMPRODUCT(MAX(ROW(E$2:E6697)*(E6697=E$2:E6697)))))-COUNTBLANK(OFFSET(A$1,,,SUMPRODUCT(MAX(ROW(E$1:E6696)*(E2=E$1:E6696))))))</f>
        <v> </v>
      </c>
      <c r="K6697" s="26" t="str">
        <f>IF(OR(E6697="",E6697="!!!",F6697="NEW"),"",INDEX(J$1:J6696,SUMPRODUCT(MAX(ROW(E$1:E6696)*(E6697=E$1:E6696)))))</f>
        <v> </v>
      </c>
      <c r="L6697" s="27"/>
    </row>
    <row r="6698" spans="1:12">
      <c r="A6698" s="20" t="s">
        <v>1020</v>
      </c>
      <c r="E6698" s="22">
        <f>IF(D6698="?OLD","!!!","")</f>
        <v/>
      </c>
      <c r="F6698" s="23" t="str">
        <f>IF(OR(E6698="",E6698="!!!"),"",IF(NOT(ISNA(VLOOKUP(E6698,E$1:E6697,1,FALSE()))),"OLD",IF(AND(E6698&lt;&gt;"",E6698&lt;&gt;"!!!"),"NEW","")))</f>
        <v> </v>
      </c>
      <c r="G6698" s="24" t="str">
        <f>IF(OR(E6698="",E6698="!!!"),"",IF(OR(J6698=0,AND(J6698=1,K6698=1),AND(J6698=1,I6698="SBJ"),AND(J6698=1,I6698=0)),"?IN_FOCUS",IF(J6698&lt;=2,"?ACTIVATED",IF(J6698&lt;&gt;"","?FAMILIAR",IF(F6698="NEW",IF(ISNA(VLOOKUP(E6698,#REF!,1,FALSE())),"?TYPE_IDENTIFIABLE","?REFERENTIAL"),"_")))))</f>
        <v> </v>
      </c>
      <c r="H6698" s="25" t="str">
        <f>IF(J6698&lt;&gt;1,"",IF(I6698="SBJ","CB","?"))</f>
        <v> </v>
      </c>
      <c r="I6698" s="26" t="str">
        <f>IF(OR(E6698="",E6698="!!!",F6698="NEW"),"",INDEX(B6697:B$2,-1+SUMPRODUCT(MAX(ROW(E6697:E$2)*(E6698=E6697:E$2)))))</f>
        <v> </v>
      </c>
      <c r="J6698" s="26" t="str">
        <f>IF(OR(E6698="",E6698="!!!",F6698="NEW"),"",COUNTBLANK(OFFSET(A$1,,,SUMPRODUCT(MAX(ROW(E$2:E6698)*(E6698=E$2:E6698)))))-COUNTBLANK(OFFSET(A$1,,,SUMPRODUCT(MAX(ROW(E$1:E6697)*(E2=E$1:E6697))))))</f>
        <v> </v>
      </c>
      <c r="K6698" s="26" t="str">
        <f>IF(OR(E6698="",E6698="!!!",F6698="NEW"),"",INDEX(J$1:J6697,SUMPRODUCT(MAX(ROW(E$1:E6697)*(E6698=E$1:E6697)))))</f>
        <v> </v>
      </c>
      <c r="L6698" s="27"/>
    </row>
    <row r="6699" spans="1:12">
      <c r="A6699" s="20" t="s">
        <v>2194</v>
      </c>
      <c r="B6699" s="21" t="s">
        <v>1029</v>
      </c>
      <c r="C6699" s="21" t="s">
        <v>1017</v>
      </c>
      <c r="D6699" s="21" t="s">
        <v>1007</v>
      </c>
      <c r="E6699" s="22">
        <f>IF(D6699="?OLD","!!!","")</f>
        <v/>
      </c>
      <c r="F6699" s="23" t="str">
        <f>IF(OR(E6699="",E6699="!!!"),"",IF(NOT(ISNA(VLOOKUP(E6699,E$1:E6698,1,FALSE()))),"OLD",IF(AND(E6699&lt;&gt;"",E6699&lt;&gt;"!!!"),"NEW","")))</f>
        <v> </v>
      </c>
      <c r="G6699" s="24" t="str">
        <f>IF(OR(E6699="",E6699="!!!"),"",IF(OR(J6699=0,AND(J6699=1,K6699=1),AND(J6699=1,I6699="SBJ"),AND(J6699=1,I6699=0)),"?IN_FOCUS",IF(J6699&lt;=2,"?ACTIVATED",IF(J6699&lt;&gt;"","?FAMILIAR",IF(F6699="NEW",IF(ISNA(VLOOKUP(E6699,#REF!,1,FALSE())),"?TYPE_IDENTIFIABLE","?REFERENTIAL"),"_")))))</f>
        <v> </v>
      </c>
      <c r="H6699" s="25" t="str">
        <f>IF(J6699&lt;&gt;1,"",IF(I6699="SBJ","CB","?"))</f>
        <v> </v>
      </c>
      <c r="I6699" s="26" t="str">
        <f>IF(OR(E6699="",E6699="!!!",F6699="NEW"),"",INDEX(B6698:B$2,-1+SUMPRODUCT(MAX(ROW(E6698:E$2)*(E6699=E6698:E$2)))))</f>
        <v> </v>
      </c>
      <c r="J6699" s="26" t="str">
        <f>IF(OR(E6699="",E6699="!!!",F6699="NEW"),"",COUNTBLANK(OFFSET(A$1,,,SUMPRODUCT(MAX(ROW(E$2:E6699)*(E6699=E$2:E6699)))))-COUNTBLANK(OFFSET(A$1,,,SUMPRODUCT(MAX(ROW(E$1:E6698)*(E2=E$1:E6698))))))</f>
        <v> </v>
      </c>
      <c r="K6699" s="26" t="str">
        <f>IF(OR(E6699="",E6699="!!!",F6699="NEW"),"",INDEX(J$1:J6698,SUMPRODUCT(MAX(ROW(E$1:E6698)*(E6699=E$1:E6698)))))</f>
        <v> </v>
      </c>
      <c r="L6699" s="27"/>
    </row>
    <row r="6700" spans="1:12">
      <c r="A6700" s="20" t="s">
        <v>2722</v>
      </c>
      <c r="E6700" s="22">
        <f>IF(D6700="?OLD","!!!","")</f>
        <v/>
      </c>
      <c r="F6700" s="23" t="str">
        <f>IF(OR(E6700="",E6700="!!!"),"",IF(NOT(ISNA(VLOOKUP(E6700,E$1:E6699,1,FALSE()))),"OLD",IF(AND(E6700&lt;&gt;"",E6700&lt;&gt;"!!!"),"NEW","")))</f>
        <v> </v>
      </c>
      <c r="G6700" s="24" t="str">
        <f>IF(OR(E6700="",E6700="!!!"),"",IF(OR(J6700=0,AND(J6700=1,K6700=1),AND(J6700=1,I6700="SBJ"),AND(J6700=1,I6700=0)),"?IN_FOCUS",IF(J6700&lt;=2,"?ACTIVATED",IF(J6700&lt;&gt;"","?FAMILIAR",IF(F6700="NEW",IF(ISNA(VLOOKUP(E6700,#REF!,1,FALSE())),"?TYPE_IDENTIFIABLE","?REFERENTIAL"),"_")))))</f>
        <v> </v>
      </c>
      <c r="H6700" s="25" t="str">
        <f>IF(J6700&lt;&gt;1,"",IF(I6700="SBJ","CB","?"))</f>
        <v> </v>
      </c>
      <c r="I6700" s="26" t="str">
        <f>IF(OR(E6700="",E6700="!!!",F6700="NEW"),"",INDEX(B6699:B$2,-1+SUMPRODUCT(MAX(ROW(E6699:E$2)*(E6700=E6699:E$2)))))</f>
        <v> </v>
      </c>
      <c r="J6700" s="26" t="str">
        <f>IF(OR(E6700="",E6700="!!!",F6700="NEW"),"",COUNTBLANK(OFFSET(A$1,,,SUMPRODUCT(MAX(ROW(E$2:E6700)*(E6700=E$2:E6700)))))-COUNTBLANK(OFFSET(A$1,,,SUMPRODUCT(MAX(ROW(E$1:E6699)*(E2=E$1:E6699))))))</f>
        <v> </v>
      </c>
      <c r="K6700" s="26" t="str">
        <f>IF(OR(E6700="",E6700="!!!",F6700="NEW"),"",INDEX(J$1:J6699,SUMPRODUCT(MAX(ROW(E$1:E6699)*(E6700=E$1:E6699)))))</f>
        <v> </v>
      </c>
      <c r="L6700" s="27"/>
    </row>
    <row r="6701" spans="1:12">
      <c r="A6701" s="20" t="s">
        <v>1189</v>
      </c>
      <c r="E6701" s="22">
        <f>IF(D6701="?OLD","!!!","")</f>
        <v/>
      </c>
      <c r="F6701" s="23" t="str">
        <f>IF(OR(E6701="",E6701="!!!"),"",IF(NOT(ISNA(VLOOKUP(E6701,E$1:E6700,1,FALSE()))),"OLD",IF(AND(E6701&lt;&gt;"",E6701&lt;&gt;"!!!"),"NEW","")))</f>
        <v> </v>
      </c>
      <c r="G6701" s="24" t="str">
        <f>IF(OR(E6701="",E6701="!!!"),"",IF(OR(J6701=0,AND(J6701=1,K6701=1),AND(J6701=1,I6701="SBJ"),AND(J6701=1,I6701=0)),"?IN_FOCUS",IF(J6701&lt;=2,"?ACTIVATED",IF(J6701&lt;&gt;"","?FAMILIAR",IF(F6701="NEW",IF(ISNA(VLOOKUP(E6701,#REF!,1,FALSE())),"?TYPE_IDENTIFIABLE","?REFERENTIAL"),"_")))))</f>
        <v> </v>
      </c>
      <c r="H6701" s="25" t="str">
        <f>IF(J6701&lt;&gt;1,"",IF(I6701="SBJ","CB","?"))</f>
        <v> </v>
      </c>
      <c r="I6701" s="26" t="str">
        <f>IF(OR(E6701="",E6701="!!!",F6701="NEW"),"",INDEX(B6700:B$2,-1+SUMPRODUCT(MAX(ROW(E6700:E$2)*(E6701=E6700:E$2)))))</f>
        <v> </v>
      </c>
      <c r="J6701" s="26" t="str">
        <f>IF(OR(E6701="",E6701="!!!",F6701="NEW"),"",COUNTBLANK(OFFSET(A$1,,,SUMPRODUCT(MAX(ROW(E$2:E6701)*(E6701=E$2:E6701)))))-COUNTBLANK(OFFSET(A$1,,,SUMPRODUCT(MAX(ROW(E$1:E6700)*(E2=E$1:E6700))))))</f>
        <v> </v>
      </c>
      <c r="K6701" s="26" t="str">
        <f>IF(OR(E6701="",E6701="!!!",F6701="NEW"),"",INDEX(J$1:J6700,SUMPRODUCT(MAX(ROW(E$1:E6700)*(E6701=E$1:E6700)))))</f>
        <v> </v>
      </c>
      <c r="L6701" s="27"/>
    </row>
    <row r="6702" spans="1:12">
      <c r="A6702" s="20" t="s">
        <v>1023</v>
      </c>
      <c r="E6702" s="22">
        <f>IF(D6702="?OLD","!!!","")</f>
        <v/>
      </c>
      <c r="F6702" s="23" t="str">
        <f>IF(OR(E6702="",E6702="!!!"),"",IF(NOT(ISNA(VLOOKUP(E6702,E$1:E6701,1,FALSE()))),"OLD",IF(AND(E6702&lt;&gt;"",E6702&lt;&gt;"!!!"),"NEW","")))</f>
        <v> </v>
      </c>
      <c r="G6702" s="24" t="str">
        <f>IF(OR(E6702="",E6702="!!!"),"",IF(OR(J6702=0,AND(J6702=1,K6702=1),AND(J6702=1,I6702="SBJ"),AND(J6702=1,I6702=0)),"?IN_FOCUS",IF(J6702&lt;=2,"?ACTIVATED",IF(J6702&lt;&gt;"","?FAMILIAR",IF(F6702="NEW",IF(ISNA(VLOOKUP(E6702,#REF!,1,FALSE())),"?TYPE_IDENTIFIABLE","?REFERENTIAL"),"_")))))</f>
        <v> </v>
      </c>
      <c r="H6702" s="25" t="str">
        <f>IF(J6702&lt;&gt;1,"",IF(I6702="SBJ","CB","?"))</f>
        <v> </v>
      </c>
      <c r="I6702" s="26" t="str">
        <f>IF(OR(E6702="",E6702="!!!",F6702="NEW"),"",INDEX(B6701:B$2,-1+SUMPRODUCT(MAX(ROW(E6701:E$2)*(E6702=E6701:E$2)))))</f>
        <v> </v>
      </c>
      <c r="J6702" s="26" t="str">
        <f>IF(OR(E6702="",E6702="!!!",F6702="NEW"),"",COUNTBLANK(OFFSET(A$1,,,SUMPRODUCT(MAX(ROW(E$2:E6702)*(E6702=E$2:E6702)))))-COUNTBLANK(OFFSET(A$1,,,SUMPRODUCT(MAX(ROW(E$1:E6701)*(E2=E$1:E6701))))))</f>
        <v> </v>
      </c>
      <c r="K6702" s="26" t="str">
        <f>IF(OR(E6702="",E6702="!!!",F6702="NEW"),"",INDEX(J$1:J6701,SUMPRODUCT(MAX(ROW(E$1:E6701)*(E6702=E$1:E6701)))))</f>
        <v> </v>
      </c>
      <c r="L6702" s="27"/>
    </row>
    <row r="6703" spans="1:12">
      <c r="A6703" s="20"/>
    </row>
    <row r="6704" spans="1:12">
      <c r="A6704" s="20" t="s">
        <v>2723</v>
      </c>
    </row>
    <row r="6705" spans="1:12">
      <c r="A6705" s="20" t="s">
        <v>1153</v>
      </c>
      <c r="E6705" s="22">
        <f>IF(D6705="?OLD","!!!","")</f>
        <v/>
      </c>
      <c r="F6705" s="23" t="str">
        <f>IF(OR(E6705="",E6705="!!!"),"",IF(NOT(ISNA(VLOOKUP(E6705,E$1:E6704,1,FALSE()))),"OLD",IF(AND(E6705&lt;&gt;"",E6705&lt;&gt;"!!!"),"NEW","")))</f>
        <v> </v>
      </c>
      <c r="G6705" s="24" t="str">
        <f>IF(OR(E6705="",E6705="!!!"),"",IF(OR(J6705=0,AND(J6705=1,K6705=1),AND(J6705=1,I6705="SBJ"),AND(J6705=1,I6705=0)),"?IN_FOCUS",IF(J6705&lt;=2,"?ACTIVATED",IF(J6705&lt;&gt;"","?FAMILIAR",IF(F6705="NEW",IF(ISNA(VLOOKUP(E6705,#REF!,1,FALSE())),"?TYPE_IDENTIFIABLE","?REFERENTIAL"),"_")))))</f>
        <v> </v>
      </c>
      <c r="H6705" s="25" t="str">
        <f>IF(J6705&lt;&gt;1,"",IF(I6705="SBJ","CB","?"))</f>
        <v> </v>
      </c>
      <c r="I6705" s="26" t="str">
        <f>IF(OR(E6705="",E6705="!!!",F6705="NEW"),"",INDEX(B6704:B$2,-1+SUMPRODUCT(MAX(ROW(E6704:E$2)*(E6705=E6704:E$2)))))</f>
        <v> </v>
      </c>
      <c r="J6705" s="26" t="str">
        <f>IF(OR(E6705="",E6705="!!!",F6705="NEW"),"",COUNTBLANK(OFFSET(A$1,,,SUMPRODUCT(MAX(ROW(E$2:E6705)*(E6705=E$2:E6705)))))-COUNTBLANK(OFFSET(A$1,,,SUMPRODUCT(MAX(ROW(E$1:E6704)*(E2=E$1:E6704))))))</f>
        <v> </v>
      </c>
      <c r="K6705" s="26" t="str">
        <f>IF(OR(E6705="",E6705="!!!",F6705="NEW"),"",INDEX(J$1:J6704,SUMPRODUCT(MAX(ROW(E$1:E6704)*(E6705=E$1:E6704)))))</f>
        <v> </v>
      </c>
      <c r="L6705" s="27"/>
    </row>
    <row r="6706" spans="1:12">
      <c r="A6706" s="20" t="s">
        <v>2724</v>
      </c>
      <c r="E6706" s="22">
        <f>IF(D6706="?OLD","!!!","")</f>
        <v/>
      </c>
      <c r="F6706" s="23" t="str">
        <f>IF(OR(E6706="",E6706="!!!"),"",IF(NOT(ISNA(VLOOKUP(E6706,E$1:E6705,1,FALSE()))),"OLD",IF(AND(E6706&lt;&gt;"",E6706&lt;&gt;"!!!"),"NEW","")))</f>
        <v> </v>
      </c>
      <c r="G6706" s="24" t="str">
        <f>IF(OR(E6706="",E6706="!!!"),"",IF(OR(J6706=0,AND(J6706=1,K6706=1),AND(J6706=1,I6706="SBJ"),AND(J6706=1,I6706=0)),"?IN_FOCUS",IF(J6706&lt;=2,"?ACTIVATED",IF(J6706&lt;&gt;"","?FAMILIAR",IF(F6706="NEW",IF(ISNA(VLOOKUP(E6706,#REF!,1,FALSE())),"?TYPE_IDENTIFIABLE","?REFERENTIAL"),"_")))))</f>
        <v> </v>
      </c>
      <c r="H6706" s="25" t="str">
        <f>IF(J6706&lt;&gt;1,"",IF(I6706="SBJ","CB","?"))</f>
        <v> </v>
      </c>
      <c r="I6706" s="26" t="str">
        <f>IF(OR(E6706="",E6706="!!!",F6706="NEW"),"",INDEX(B6705:B$2,-1+SUMPRODUCT(MAX(ROW(E6705:E$2)*(E6706=E6705:E$2)))))</f>
        <v> </v>
      </c>
      <c r="J6706" s="26" t="str">
        <f>IF(OR(E6706="",E6706="!!!",F6706="NEW"),"",COUNTBLANK(OFFSET(A$1,,,SUMPRODUCT(MAX(ROW(E$2:E6706)*(E6706=E$2:E6706)))))-COUNTBLANK(OFFSET(A$1,,,SUMPRODUCT(MAX(ROW(E$1:E6705)*(E2=E$1:E6705))))))</f>
        <v> </v>
      </c>
      <c r="K6706" s="26" t="str">
        <f>IF(OR(E6706="",E6706="!!!",F6706="NEW"),"",INDEX(J$1:J6705,SUMPRODUCT(MAX(ROW(E$1:E6705)*(E6706=E$1:E6705)))))</f>
        <v> </v>
      </c>
      <c r="L6706" s="27"/>
    </row>
    <row r="6707" spans="1:12">
      <c r="A6707" s="20" t="s">
        <v>2725</v>
      </c>
      <c r="E6707" s="22">
        <f>IF(D6707="?OLD","!!!","")</f>
        <v/>
      </c>
      <c r="F6707" s="23" t="str">
        <f>IF(OR(E6707="",E6707="!!!"),"",IF(NOT(ISNA(VLOOKUP(E6707,E$1:E6706,1,FALSE()))),"OLD",IF(AND(E6707&lt;&gt;"",E6707&lt;&gt;"!!!"),"NEW","")))</f>
        <v> </v>
      </c>
      <c r="G6707" s="24" t="str">
        <f>IF(OR(E6707="",E6707="!!!"),"",IF(OR(J6707=0,AND(J6707=1,K6707=1),AND(J6707=1,I6707="SBJ"),AND(J6707=1,I6707=0)),"?IN_FOCUS",IF(J6707&lt;=2,"?ACTIVATED",IF(J6707&lt;&gt;"","?FAMILIAR",IF(F6707="NEW",IF(ISNA(VLOOKUP(E6707,#REF!,1,FALSE())),"?TYPE_IDENTIFIABLE","?REFERENTIAL"),"_")))))</f>
        <v> </v>
      </c>
      <c r="H6707" s="25" t="str">
        <f>IF(J6707&lt;&gt;1,"",IF(I6707="SBJ","CB","?"))</f>
        <v> </v>
      </c>
      <c r="I6707" s="26" t="str">
        <f>IF(OR(E6707="",E6707="!!!",F6707="NEW"),"",INDEX(B6706:B$2,-1+SUMPRODUCT(MAX(ROW(E6706:E$2)*(E6707=E6706:E$2)))))</f>
        <v> </v>
      </c>
      <c r="J6707" s="26" t="str">
        <f>IF(OR(E6707="",E6707="!!!",F6707="NEW"),"",COUNTBLANK(OFFSET(A$1,,,SUMPRODUCT(MAX(ROW(E$2:E6707)*(E6707=E$2:E6707)))))-COUNTBLANK(OFFSET(A$1,,,SUMPRODUCT(MAX(ROW(E$1:E6706)*(E2=E$1:E6706))))))</f>
        <v> </v>
      </c>
      <c r="K6707" s="26" t="str">
        <f>IF(OR(E6707="",E6707="!!!",F6707="NEW"),"",INDEX(J$1:J6706,SUMPRODUCT(MAX(ROW(E$1:E6706)*(E6707=E$1:E6706)))))</f>
        <v> </v>
      </c>
      <c r="L6707" s="27"/>
    </row>
    <row r="6708" spans="1:12">
      <c r="A6708" s="20" t="s">
        <v>1140</v>
      </c>
      <c r="B6708" s="21" t="s">
        <v>1029</v>
      </c>
      <c r="C6708" s="21" t="s">
        <v>1073</v>
      </c>
      <c r="D6708" s="21" t="s">
        <v>1007</v>
      </c>
      <c r="E6708" s="22">
        <f>IF(D6708="?OLD","!!!","")</f>
        <v/>
      </c>
      <c r="F6708" s="23" t="str">
        <f>IF(OR(E6708="",E6708="!!!"),"",IF(NOT(ISNA(VLOOKUP(E6708,E$1:E6707,1,FALSE()))),"OLD",IF(AND(E6708&lt;&gt;"",E6708&lt;&gt;"!!!"),"NEW","")))</f>
        <v> </v>
      </c>
      <c r="G6708" s="24" t="str">
        <f>IF(OR(E6708="",E6708="!!!"),"",IF(OR(J6708=0,AND(J6708=1,K6708=1),AND(J6708=1,I6708="SBJ"),AND(J6708=1,I6708=0)),"?IN_FOCUS",IF(J6708&lt;=2,"?ACTIVATED",IF(J6708&lt;&gt;"","?FAMILIAR",IF(F6708="NEW",IF(ISNA(VLOOKUP(E6708,#REF!,1,FALSE())),"?TYPE_IDENTIFIABLE","?REFERENTIAL"),"_")))))</f>
        <v> </v>
      </c>
      <c r="H6708" s="25" t="str">
        <f>IF(J6708&lt;&gt;1,"",IF(I6708="SBJ","CB","?"))</f>
        <v> </v>
      </c>
      <c r="I6708" s="26" t="str">
        <f>IF(OR(E6708="",E6708="!!!",F6708="NEW"),"",INDEX(B6707:B$2,-1+SUMPRODUCT(MAX(ROW(E6707:E$2)*(E6708=E6707:E$2)))))</f>
        <v> </v>
      </c>
      <c r="J6708" s="26" t="str">
        <f>IF(OR(E6708="",E6708="!!!",F6708="NEW"),"",COUNTBLANK(OFFSET(A$1,,,SUMPRODUCT(MAX(ROW(E$2:E6708)*(E6708=E$2:E6708)))))-COUNTBLANK(OFFSET(A$1,,,SUMPRODUCT(MAX(ROW(E$1:E6707)*(E2=E$1:E6707))))))</f>
        <v> </v>
      </c>
      <c r="K6708" s="26" t="str">
        <f>IF(OR(E6708="",E6708="!!!",F6708="NEW"),"",INDEX(J$1:J6707,SUMPRODUCT(MAX(ROW(E$1:E6707)*(E6708=E$1:E6707)))))</f>
        <v> </v>
      </c>
      <c r="L6708" s="27"/>
    </row>
    <row r="6709" spans="1:12">
      <c r="A6709" s="20" t="s">
        <v>1030</v>
      </c>
      <c r="E6709" s="22">
        <f>IF(D6709="?OLD","!!!","")</f>
        <v/>
      </c>
      <c r="F6709" s="23" t="str">
        <f>IF(OR(E6709="",E6709="!!!"),"",IF(NOT(ISNA(VLOOKUP(E6709,E$1:E6708,1,FALSE()))),"OLD",IF(AND(E6709&lt;&gt;"",E6709&lt;&gt;"!!!"),"NEW","")))</f>
        <v> </v>
      </c>
      <c r="G6709" s="24" t="str">
        <f>IF(OR(E6709="",E6709="!!!"),"",IF(OR(J6709=0,AND(J6709=1,K6709=1),AND(J6709=1,I6709="SBJ"),AND(J6709=1,I6709=0)),"?IN_FOCUS",IF(J6709&lt;=2,"?ACTIVATED",IF(J6709&lt;&gt;"","?FAMILIAR",IF(F6709="NEW",IF(ISNA(VLOOKUP(E6709,#REF!,1,FALSE())),"?TYPE_IDENTIFIABLE","?REFERENTIAL"),"_")))))</f>
        <v> </v>
      </c>
      <c r="H6709" s="25" t="str">
        <f>IF(J6709&lt;&gt;1,"",IF(I6709="SBJ","CB","?"))</f>
        <v> </v>
      </c>
      <c r="I6709" s="26" t="str">
        <f>IF(OR(E6709="",E6709="!!!",F6709="NEW"),"",INDEX(B6708:B$2,-1+SUMPRODUCT(MAX(ROW(E6708:E$2)*(E6709=E6708:E$2)))))</f>
        <v> </v>
      </c>
      <c r="J6709" s="26" t="str">
        <f>IF(OR(E6709="",E6709="!!!",F6709="NEW"),"",COUNTBLANK(OFFSET(A$1,,,SUMPRODUCT(MAX(ROW(E$2:E6709)*(E6709=E$2:E6709)))))-COUNTBLANK(OFFSET(A$1,,,SUMPRODUCT(MAX(ROW(E$1:E6708)*(E2=E$1:E6708))))))</f>
        <v> </v>
      </c>
      <c r="K6709" s="26" t="str">
        <f>IF(OR(E6709="",E6709="!!!",F6709="NEW"),"",INDEX(J$1:J6708,SUMPRODUCT(MAX(ROW(E$1:E6708)*(E6709=E$1:E6708)))))</f>
        <v> </v>
      </c>
      <c r="L6709" s="27"/>
    </row>
    <row r="6710" spans="1:12">
      <c r="A6710" s="20" t="s">
        <v>1324</v>
      </c>
      <c r="E6710" s="22">
        <f>IF(D6710="?OLD","!!!","")</f>
        <v/>
      </c>
      <c r="F6710" s="23" t="str">
        <f>IF(OR(E6710="",E6710="!!!"),"",IF(NOT(ISNA(VLOOKUP(E6710,E$1:E6709,1,FALSE()))),"OLD",IF(AND(E6710&lt;&gt;"",E6710&lt;&gt;"!!!"),"NEW","")))</f>
        <v> </v>
      </c>
      <c r="G6710" s="24" t="str">
        <f>IF(OR(E6710="",E6710="!!!"),"",IF(OR(J6710=0,AND(J6710=1,K6710=1),AND(J6710=1,I6710="SBJ"),AND(J6710=1,I6710=0)),"?IN_FOCUS",IF(J6710&lt;=2,"?ACTIVATED",IF(J6710&lt;&gt;"","?FAMILIAR",IF(F6710="NEW",IF(ISNA(VLOOKUP(E6710,#REF!,1,FALSE())),"?TYPE_IDENTIFIABLE","?REFERENTIAL"),"_")))))</f>
        <v> </v>
      </c>
      <c r="H6710" s="25" t="str">
        <f>IF(J6710&lt;&gt;1,"",IF(I6710="SBJ","CB","?"))</f>
        <v> </v>
      </c>
      <c r="I6710" s="26" t="str">
        <f>IF(OR(E6710="",E6710="!!!",F6710="NEW"),"",INDEX(B6709:B$2,-1+SUMPRODUCT(MAX(ROW(E6709:E$2)*(E6710=E6709:E$2)))))</f>
        <v> </v>
      </c>
      <c r="J6710" s="26" t="str">
        <f>IF(OR(E6710="",E6710="!!!",F6710="NEW"),"",COUNTBLANK(OFFSET(A$1,,,SUMPRODUCT(MAX(ROW(E$2:E6710)*(E6710=E$2:E6710)))))-COUNTBLANK(OFFSET(A$1,,,SUMPRODUCT(MAX(ROW(E$1:E6709)*(E2=E$1:E6709))))))</f>
        <v> </v>
      </c>
      <c r="K6710" s="26" t="str">
        <f>IF(OR(E6710="",E6710="!!!",F6710="NEW"),"",INDEX(J$1:J6709,SUMPRODUCT(MAX(ROW(E$1:E6709)*(E6710=E$1:E6709)))))</f>
        <v> </v>
      </c>
      <c r="L6710" s="27"/>
    </row>
    <row r="6711" spans="1:12">
      <c r="A6711" s="20" t="s">
        <v>2726</v>
      </c>
      <c r="E6711" s="22">
        <f>IF(D6711="?OLD","!!!","")</f>
        <v/>
      </c>
      <c r="F6711" s="23" t="str">
        <f>IF(OR(E6711="",E6711="!!!"),"",IF(NOT(ISNA(VLOOKUP(E6711,E$1:E6710,1,FALSE()))),"OLD",IF(AND(E6711&lt;&gt;"",E6711&lt;&gt;"!!!"),"NEW","")))</f>
        <v> </v>
      </c>
      <c r="G6711" s="24" t="str">
        <f>IF(OR(E6711="",E6711="!!!"),"",IF(OR(J6711=0,AND(J6711=1,K6711=1),AND(J6711=1,I6711="SBJ"),AND(J6711=1,I6711=0)),"?IN_FOCUS",IF(J6711&lt;=2,"?ACTIVATED",IF(J6711&lt;&gt;"","?FAMILIAR",IF(F6711="NEW",IF(ISNA(VLOOKUP(E6711,#REF!,1,FALSE())),"?TYPE_IDENTIFIABLE","?REFERENTIAL"),"_")))))</f>
        <v> </v>
      </c>
      <c r="H6711" s="25" t="str">
        <f>IF(J6711&lt;&gt;1,"",IF(I6711="SBJ","CB","?"))</f>
        <v> </v>
      </c>
      <c r="I6711" s="26" t="str">
        <f>IF(OR(E6711="",E6711="!!!",F6711="NEW"),"",INDEX(B6710:B$2,-1+SUMPRODUCT(MAX(ROW(E6710:E$2)*(E6711=E6710:E$2)))))</f>
        <v> </v>
      </c>
      <c r="J6711" s="26" t="str">
        <f>IF(OR(E6711="",E6711="!!!",F6711="NEW"),"",COUNTBLANK(OFFSET(A$1,,,SUMPRODUCT(MAX(ROW(E$2:E6711)*(E6711=E$2:E6711)))))-COUNTBLANK(OFFSET(A$1,,,SUMPRODUCT(MAX(ROW(E$1:E6710)*(E2=E$1:E6710))))))</f>
        <v> </v>
      </c>
      <c r="K6711" s="26" t="str">
        <f>IF(OR(E6711="",E6711="!!!",F6711="NEW"),"",INDEX(J$1:J6710,SUMPRODUCT(MAX(ROW(E$1:E6710)*(E6711=E$1:E6710)))))</f>
        <v> </v>
      </c>
      <c r="L6711" s="27"/>
    </row>
    <row r="6712" spans="1:12">
      <c r="A6712" s="20" t="s">
        <v>1840</v>
      </c>
      <c r="B6712" s="21" t="s">
        <v>1022</v>
      </c>
      <c r="C6712" s="21" t="s">
        <v>1111</v>
      </c>
      <c r="E6712" s="22">
        <f>IF(D6712="?OLD","!!!","")</f>
        <v/>
      </c>
      <c r="F6712" s="23" t="str">
        <f>IF(OR(E6712="",E6712="!!!"),"",IF(NOT(ISNA(VLOOKUP(E6712,E$1:E6711,1,FALSE()))),"OLD",IF(AND(E6712&lt;&gt;"",E6712&lt;&gt;"!!!"),"NEW","")))</f>
        <v> </v>
      </c>
      <c r="G6712" s="24" t="str">
        <f>IF(OR(E6712="",E6712="!!!"),"",IF(OR(J6712=0,AND(J6712=1,K6712=1),AND(J6712=1,I6712="SBJ"),AND(J6712=1,I6712=0)),"?IN_FOCUS",IF(J6712&lt;=2,"?ACTIVATED",IF(J6712&lt;&gt;"","?FAMILIAR",IF(F6712="NEW",IF(ISNA(VLOOKUP(E6712,#REF!,1,FALSE())),"?TYPE_IDENTIFIABLE","?REFERENTIAL"),"_")))))</f>
        <v> </v>
      </c>
      <c r="H6712" s="25" t="str">
        <f>IF(J6712&lt;&gt;1,"",IF(I6712="SBJ","CB","?"))</f>
        <v> </v>
      </c>
      <c r="I6712" s="26" t="str">
        <f>IF(OR(E6712="",E6712="!!!",F6712="NEW"),"",INDEX(B6711:B$2,-1+SUMPRODUCT(MAX(ROW(E6711:E$2)*(E6712=E6711:E$2)))))</f>
        <v> </v>
      </c>
      <c r="J6712" s="26" t="str">
        <f>IF(OR(E6712="",E6712="!!!",F6712="NEW"),"",COUNTBLANK(OFFSET(A$1,,,SUMPRODUCT(MAX(ROW(E$2:E6712)*(E6712=E$2:E6712)))))-COUNTBLANK(OFFSET(A$1,,,SUMPRODUCT(MAX(ROW(E$1:E6711)*(E2=E$1:E6711))))))</f>
        <v> </v>
      </c>
      <c r="K6712" s="26" t="str">
        <f>IF(OR(E6712="",E6712="!!!",F6712="NEW"),"",INDEX(J$1:J6711,SUMPRODUCT(MAX(ROW(E$1:E6711)*(E6712=E$1:E6711)))))</f>
        <v> </v>
      </c>
      <c r="L6712" s="27"/>
    </row>
    <row r="6713" spans="1:12">
      <c r="A6713" s="20" t="s">
        <v>1018</v>
      </c>
      <c r="E6713" s="22">
        <f>IF(D6713="?OLD","!!!","")</f>
        <v/>
      </c>
      <c r="F6713" s="23" t="str">
        <f>IF(OR(E6713="",E6713="!!!"),"",IF(NOT(ISNA(VLOOKUP(E6713,E$1:E6712,1,FALSE()))),"OLD",IF(AND(E6713&lt;&gt;"",E6713&lt;&gt;"!!!"),"NEW","")))</f>
        <v> </v>
      </c>
      <c r="G6713" s="24" t="str">
        <f>IF(OR(E6713="",E6713="!!!"),"",IF(OR(J6713=0,AND(J6713=1,K6713=1),AND(J6713=1,I6713="SBJ"),AND(J6713=1,I6713=0)),"?IN_FOCUS",IF(J6713&lt;=2,"?ACTIVATED",IF(J6713&lt;&gt;"","?FAMILIAR",IF(F6713="NEW",IF(ISNA(VLOOKUP(E6713,#REF!,1,FALSE())),"?TYPE_IDENTIFIABLE","?REFERENTIAL"),"_")))))</f>
        <v> </v>
      </c>
      <c r="H6713" s="25" t="str">
        <f>IF(J6713&lt;&gt;1,"",IF(I6713="SBJ","CB","?"))</f>
        <v> </v>
      </c>
      <c r="I6713" s="26" t="str">
        <f>IF(OR(E6713="",E6713="!!!",F6713="NEW"),"",INDEX(B6712:B$2,-1+SUMPRODUCT(MAX(ROW(E6712:E$2)*(E6713=E6712:E$2)))))</f>
        <v> </v>
      </c>
      <c r="J6713" s="26" t="str">
        <f>IF(OR(E6713="",E6713="!!!",F6713="NEW"),"",COUNTBLANK(OFFSET(A$1,,,SUMPRODUCT(MAX(ROW(E$2:E6713)*(E6713=E$2:E6713)))))-COUNTBLANK(OFFSET(A$1,,,SUMPRODUCT(MAX(ROW(E$1:E6712)*(E2=E$1:E6712))))))</f>
        <v> </v>
      </c>
      <c r="K6713" s="26" t="str">
        <f>IF(OR(E6713="",E6713="!!!",F6713="NEW"),"",INDEX(J$1:J6712,SUMPRODUCT(MAX(ROW(E$1:E6712)*(E6713=E$1:E6712)))))</f>
        <v> </v>
      </c>
      <c r="L6713" s="27"/>
    </row>
    <row r="6714" spans="1:12">
      <c r="A6714" s="20" t="s">
        <v>1451</v>
      </c>
      <c r="B6714" s="21" t="s">
        <v>1154</v>
      </c>
      <c r="C6714" s="21" t="s">
        <v>1074</v>
      </c>
      <c r="E6714" s="22">
        <f>IF(D6714="?OLD","!!!","")</f>
        <v/>
      </c>
      <c r="F6714" s="23" t="str">
        <f>IF(OR(E6714="",E6714="!!!"),"",IF(NOT(ISNA(VLOOKUP(E6714,E$1:E6713,1,FALSE()))),"OLD",IF(AND(E6714&lt;&gt;"",E6714&lt;&gt;"!!!"),"NEW","")))</f>
        <v> </v>
      </c>
      <c r="G6714" s="24" t="str">
        <f>IF(OR(E6714="",E6714="!!!"),"",IF(OR(J6714=0,AND(J6714=1,K6714=1),AND(J6714=1,I6714="SBJ"),AND(J6714=1,I6714=0)),"?IN_FOCUS",IF(J6714&lt;=2,"?ACTIVATED",IF(J6714&lt;&gt;"","?FAMILIAR",IF(F6714="NEW",IF(ISNA(VLOOKUP(E6714,#REF!,1,FALSE())),"?TYPE_IDENTIFIABLE","?REFERENTIAL"),"_")))))</f>
        <v> </v>
      </c>
      <c r="H6714" s="25" t="str">
        <f>IF(J6714&lt;&gt;1,"",IF(I6714="SBJ","CB","?"))</f>
        <v> </v>
      </c>
      <c r="I6714" s="26" t="str">
        <f>IF(OR(E6714="",E6714="!!!",F6714="NEW"),"",INDEX(B6713:B$2,-1+SUMPRODUCT(MAX(ROW(E6713:E$2)*(E6714=E6713:E$2)))))</f>
        <v> </v>
      </c>
      <c r="J6714" s="26" t="str">
        <f>IF(OR(E6714="",E6714="!!!",F6714="NEW"),"",COUNTBLANK(OFFSET(A$1,,,SUMPRODUCT(MAX(ROW(E$2:E6714)*(E6714=E$2:E6714)))))-COUNTBLANK(OFFSET(A$1,,,SUMPRODUCT(MAX(ROW(E$1:E6713)*(E2=E$1:E6713))))))</f>
        <v> </v>
      </c>
      <c r="K6714" s="26" t="str">
        <f>IF(OR(E6714="",E6714="!!!",F6714="NEW"),"",INDEX(J$1:J6713,SUMPRODUCT(MAX(ROW(E$1:E6713)*(E6714=E$1:E6713)))))</f>
        <v> </v>
      </c>
      <c r="L6714" s="27"/>
    </row>
    <row r="6715" spans="1:12">
      <c r="A6715" s="20" t="s">
        <v>1075</v>
      </c>
      <c r="E6715" s="22">
        <f>IF(D6715="?OLD","!!!","")</f>
        <v/>
      </c>
      <c r="F6715" s="23" t="str">
        <f>IF(OR(E6715="",E6715="!!!"),"",IF(NOT(ISNA(VLOOKUP(E6715,E$1:E6714,1,FALSE()))),"OLD",IF(AND(E6715&lt;&gt;"",E6715&lt;&gt;"!!!"),"NEW","")))</f>
        <v> </v>
      </c>
      <c r="G6715" s="24" t="str">
        <f>IF(OR(E6715="",E6715="!!!"),"",IF(OR(J6715=0,AND(J6715=1,K6715=1),AND(J6715=1,I6715="SBJ"),AND(J6715=1,I6715=0)),"?IN_FOCUS",IF(J6715&lt;=2,"?ACTIVATED",IF(J6715&lt;&gt;"","?FAMILIAR",IF(F6715="NEW",IF(ISNA(VLOOKUP(E6715,#REF!,1,FALSE())),"?TYPE_IDENTIFIABLE","?REFERENTIAL"),"_")))))</f>
        <v> </v>
      </c>
      <c r="H6715" s="25" t="str">
        <f>IF(J6715&lt;&gt;1,"",IF(I6715="SBJ","CB","?"))</f>
        <v> </v>
      </c>
      <c r="I6715" s="26" t="str">
        <f>IF(OR(E6715="",E6715="!!!",F6715="NEW"),"",INDEX(B6714:B$2,-1+SUMPRODUCT(MAX(ROW(E6714:E$2)*(E6715=E6714:E$2)))))</f>
        <v> </v>
      </c>
      <c r="J6715" s="26" t="str">
        <f>IF(OR(E6715="",E6715="!!!",F6715="NEW"),"",COUNTBLANK(OFFSET(A$1,,,SUMPRODUCT(MAX(ROW(E$2:E6715)*(E6715=E$2:E6715)))))-COUNTBLANK(OFFSET(A$1,,,SUMPRODUCT(MAX(ROW(E$1:E6714)*(E2=E$1:E6714))))))</f>
        <v> </v>
      </c>
      <c r="K6715" s="26" t="str">
        <f>IF(OR(E6715="",E6715="!!!",F6715="NEW"),"",INDEX(J$1:J6714,SUMPRODUCT(MAX(ROW(E$1:E6714)*(E6715=E$1:E6714)))))</f>
        <v> </v>
      </c>
      <c r="L6715" s="27"/>
    </row>
    <row r="6716" spans="1:12">
      <c r="A6716" s="20" t="s">
        <v>1020</v>
      </c>
      <c r="E6716" s="22">
        <f>IF(D6716="?OLD","!!!","")</f>
        <v/>
      </c>
      <c r="F6716" s="23" t="str">
        <f>IF(OR(E6716="",E6716="!!!"),"",IF(NOT(ISNA(VLOOKUP(E6716,E$1:E6715,1,FALSE()))),"OLD",IF(AND(E6716&lt;&gt;"",E6716&lt;&gt;"!!!"),"NEW","")))</f>
        <v> </v>
      </c>
      <c r="G6716" s="24" t="str">
        <f>IF(OR(E6716="",E6716="!!!"),"",IF(OR(J6716=0,AND(J6716=1,K6716=1),AND(J6716=1,I6716="SBJ"),AND(J6716=1,I6716=0)),"?IN_FOCUS",IF(J6716&lt;=2,"?ACTIVATED",IF(J6716&lt;&gt;"","?FAMILIAR",IF(F6716="NEW",IF(ISNA(VLOOKUP(E6716,#REF!,1,FALSE())),"?TYPE_IDENTIFIABLE","?REFERENTIAL"),"_")))))</f>
        <v> </v>
      </c>
      <c r="H6716" s="25" t="str">
        <f>IF(J6716&lt;&gt;1,"",IF(I6716="SBJ","CB","?"))</f>
        <v> </v>
      </c>
      <c r="I6716" s="26" t="str">
        <f>IF(OR(E6716="",E6716="!!!",F6716="NEW"),"",INDEX(B6715:B$2,-1+SUMPRODUCT(MAX(ROW(E6715:E$2)*(E6716=E6715:E$2)))))</f>
        <v> </v>
      </c>
      <c r="J6716" s="26" t="str">
        <f>IF(OR(E6716="",E6716="!!!",F6716="NEW"),"",COUNTBLANK(OFFSET(A$1,,,SUMPRODUCT(MAX(ROW(E$2:E6716)*(E6716=E$2:E6716)))))-COUNTBLANK(OFFSET(A$1,,,SUMPRODUCT(MAX(ROW(E$1:E6715)*(E2=E$1:E6715))))))</f>
        <v> </v>
      </c>
      <c r="K6716" s="26" t="str">
        <f>IF(OR(E6716="",E6716="!!!",F6716="NEW"),"",INDEX(J$1:J6715,SUMPRODUCT(MAX(ROW(E$1:E6715)*(E6716=E$1:E6715)))))</f>
        <v> </v>
      </c>
      <c r="L6716" s="27"/>
    </row>
    <row r="6717" spans="1:12">
      <c r="A6717" s="20" t="s">
        <v>2078</v>
      </c>
      <c r="B6717" s="21" t="s">
        <v>1033</v>
      </c>
      <c r="C6717" s="21" t="s">
        <v>1059</v>
      </c>
      <c r="D6717" s="21" t="s">
        <v>1007</v>
      </c>
      <c r="E6717" s="22">
        <f>IF(D6717="?OLD","!!!","")</f>
        <v/>
      </c>
      <c r="F6717" s="23" t="str">
        <f>IF(OR(E6717="",E6717="!!!"),"",IF(NOT(ISNA(VLOOKUP(E6717,E$1:E6716,1,FALSE()))),"OLD",IF(AND(E6717&lt;&gt;"",E6717&lt;&gt;"!!!"),"NEW","")))</f>
        <v> </v>
      </c>
      <c r="G6717" s="24" t="str">
        <f>IF(OR(E6717="",E6717="!!!"),"",IF(OR(J6717=0,AND(J6717=1,K6717=1),AND(J6717=1,I6717="SBJ"),AND(J6717=1,I6717=0)),"?IN_FOCUS",IF(J6717&lt;=2,"?ACTIVATED",IF(J6717&lt;&gt;"","?FAMILIAR",IF(F6717="NEW",IF(ISNA(VLOOKUP(E6717,#REF!,1,FALSE())),"?TYPE_IDENTIFIABLE","?REFERENTIAL"),"_")))))</f>
        <v> </v>
      </c>
      <c r="H6717" s="25" t="str">
        <f>IF(J6717&lt;&gt;1,"",IF(I6717="SBJ","CB","?"))</f>
        <v> </v>
      </c>
      <c r="I6717" s="26" t="str">
        <f>IF(OR(E6717="",E6717="!!!",F6717="NEW"),"",INDEX(B6716:B$2,-1+SUMPRODUCT(MAX(ROW(E6716:E$2)*(E6717=E6716:E$2)))))</f>
        <v> </v>
      </c>
      <c r="J6717" s="26" t="str">
        <f>IF(OR(E6717="",E6717="!!!",F6717="NEW"),"",COUNTBLANK(OFFSET(A$1,,,SUMPRODUCT(MAX(ROW(E$2:E6717)*(E6717=E$2:E6717)))))-COUNTBLANK(OFFSET(A$1,,,SUMPRODUCT(MAX(ROW(E$1:E6716)*(E2=E$1:E6716))))))</f>
        <v> </v>
      </c>
      <c r="K6717" s="26" t="str">
        <f>IF(OR(E6717="",E6717="!!!",F6717="NEW"),"",INDEX(J$1:J6716,SUMPRODUCT(MAX(ROW(E$1:E6716)*(E6717=E$1:E6716)))))</f>
        <v> </v>
      </c>
      <c r="L6717" s="27"/>
    </row>
    <row r="6718" spans="1:12">
      <c r="A6718" s="20" t="s">
        <v>1840</v>
      </c>
      <c r="B6718" s="21" t="s">
        <v>1022</v>
      </c>
      <c r="C6718" s="21" t="s">
        <v>1017</v>
      </c>
      <c r="D6718" s="21" t="s">
        <v>1007</v>
      </c>
      <c r="E6718" s="22">
        <f>IF(D6718="?OLD","!!!","")</f>
        <v/>
      </c>
      <c r="F6718" s="23" t="str">
        <f>IF(OR(E6718="",E6718="!!!"),"",IF(NOT(ISNA(VLOOKUP(E6718,E$1:E6717,1,FALSE()))),"OLD",IF(AND(E6718&lt;&gt;"",E6718&lt;&gt;"!!!"),"NEW","")))</f>
        <v> </v>
      </c>
      <c r="G6718" s="24" t="str">
        <f>IF(OR(E6718="",E6718="!!!"),"",IF(OR(J6718=0,AND(J6718=1,K6718=1),AND(J6718=1,I6718="SBJ"),AND(J6718=1,I6718=0)),"?IN_FOCUS",IF(J6718&lt;=2,"?ACTIVATED",IF(J6718&lt;&gt;"","?FAMILIAR",IF(F6718="NEW",IF(ISNA(VLOOKUP(E6718,#REF!,1,FALSE())),"?TYPE_IDENTIFIABLE","?REFERENTIAL"),"_")))))</f>
        <v> </v>
      </c>
      <c r="H6718" s="25" t="str">
        <f>IF(J6718&lt;&gt;1,"",IF(I6718="SBJ","CB","?"))</f>
        <v> </v>
      </c>
      <c r="I6718" s="26" t="str">
        <f>IF(OR(E6718="",E6718="!!!",F6718="NEW"),"",INDEX(B6717:B$2,-1+SUMPRODUCT(MAX(ROW(E6717:E$2)*(E6718=E6717:E$2)))))</f>
        <v> </v>
      </c>
      <c r="J6718" s="26" t="str">
        <f>IF(OR(E6718="",E6718="!!!",F6718="NEW"),"",COUNTBLANK(OFFSET(A$1,,,SUMPRODUCT(MAX(ROW(E$2:E6718)*(E6718=E$2:E6718)))))-COUNTBLANK(OFFSET(A$1,,,SUMPRODUCT(MAX(ROW(E$1:E6717)*(E2=E$1:E6717))))))</f>
        <v> </v>
      </c>
      <c r="K6718" s="26" t="str">
        <f>IF(OR(E6718="",E6718="!!!",F6718="NEW"),"",INDEX(J$1:J6717,SUMPRODUCT(MAX(ROW(E$1:E6717)*(E6718=E$1:E6717)))))</f>
        <v> </v>
      </c>
      <c r="L6718" s="27"/>
    </row>
    <row r="6719" spans="1:12">
      <c r="A6719" s="20" t="s">
        <v>1065</v>
      </c>
      <c r="E6719" s="22">
        <f>IF(D6719="?OLD","!!!","")</f>
        <v/>
      </c>
      <c r="F6719" s="23" t="str">
        <f>IF(OR(E6719="",E6719="!!!"),"",IF(NOT(ISNA(VLOOKUP(E6719,E$1:E6718,1,FALSE()))),"OLD",IF(AND(E6719&lt;&gt;"",E6719&lt;&gt;"!!!"),"NEW","")))</f>
        <v> </v>
      </c>
      <c r="G6719" s="24" t="str">
        <f>IF(OR(E6719="",E6719="!!!"),"",IF(OR(J6719=0,AND(J6719=1,K6719=1),AND(J6719=1,I6719="SBJ"),AND(J6719=1,I6719=0)),"?IN_FOCUS",IF(J6719&lt;=2,"?ACTIVATED",IF(J6719&lt;&gt;"","?FAMILIAR",IF(F6719="NEW",IF(ISNA(VLOOKUP(E6719,#REF!,1,FALSE())),"?TYPE_IDENTIFIABLE","?REFERENTIAL"),"_")))))</f>
        <v> </v>
      </c>
      <c r="H6719" s="25" t="str">
        <f>IF(J6719&lt;&gt;1,"",IF(I6719="SBJ","CB","?"))</f>
        <v> </v>
      </c>
      <c r="I6719" s="26" t="str">
        <f>IF(OR(E6719="",E6719="!!!",F6719="NEW"),"",INDEX(B6718:B$2,-1+SUMPRODUCT(MAX(ROW(E6718:E$2)*(E6719=E6718:E$2)))))</f>
        <v> </v>
      </c>
      <c r="J6719" s="26" t="str">
        <f>IF(OR(E6719="",E6719="!!!",F6719="NEW"),"",COUNTBLANK(OFFSET(A$1,,,SUMPRODUCT(MAX(ROW(E$2:E6719)*(E6719=E$2:E6719)))))-COUNTBLANK(OFFSET(A$1,,,SUMPRODUCT(MAX(ROW(E$1:E6718)*(E2=E$1:E6718))))))</f>
        <v> </v>
      </c>
      <c r="K6719" s="26" t="str">
        <f>IF(OR(E6719="",E6719="!!!",F6719="NEW"),"",INDEX(J$1:J6718,SUMPRODUCT(MAX(ROW(E$1:E6718)*(E6719=E$1:E6718)))))</f>
        <v> </v>
      </c>
      <c r="L6719" s="27"/>
    </row>
    <row r="6720" spans="1:12">
      <c r="A6720" s="20" t="s">
        <v>2201</v>
      </c>
      <c r="E6720" s="22">
        <f>IF(D6720="?OLD","!!!","")</f>
        <v/>
      </c>
      <c r="F6720" s="23" t="str">
        <f>IF(OR(E6720="",E6720="!!!"),"",IF(NOT(ISNA(VLOOKUP(E6720,E$1:E6719,1,FALSE()))),"OLD",IF(AND(E6720&lt;&gt;"",E6720&lt;&gt;"!!!"),"NEW","")))</f>
        <v> </v>
      </c>
      <c r="G6720" s="24" t="str">
        <f>IF(OR(E6720="",E6720="!!!"),"",IF(OR(J6720=0,AND(J6720=1,K6720=1),AND(J6720=1,I6720="SBJ"),AND(J6720=1,I6720=0)),"?IN_FOCUS",IF(J6720&lt;=2,"?ACTIVATED",IF(J6720&lt;&gt;"","?FAMILIAR",IF(F6720="NEW",IF(ISNA(VLOOKUP(E6720,#REF!,1,FALSE())),"?TYPE_IDENTIFIABLE","?REFERENTIAL"),"_")))))</f>
        <v> </v>
      </c>
      <c r="H6720" s="25" t="str">
        <f>IF(J6720&lt;&gt;1,"",IF(I6720="SBJ","CB","?"))</f>
        <v> </v>
      </c>
      <c r="I6720" s="26" t="str">
        <f>IF(OR(E6720="",E6720="!!!",F6720="NEW"),"",INDEX(B6719:B$2,-1+SUMPRODUCT(MAX(ROW(E6719:E$2)*(E6720=E6719:E$2)))))</f>
        <v> </v>
      </c>
      <c r="J6720" s="26" t="str">
        <f>IF(OR(E6720="",E6720="!!!",F6720="NEW"),"",COUNTBLANK(OFFSET(A$1,,,SUMPRODUCT(MAX(ROW(E$2:E6720)*(E6720=E$2:E6720)))))-COUNTBLANK(OFFSET(A$1,,,SUMPRODUCT(MAX(ROW(E$1:E6719)*(E2=E$1:E6719))))))</f>
        <v> </v>
      </c>
      <c r="K6720" s="26" t="str">
        <f>IF(OR(E6720="",E6720="!!!",F6720="NEW"),"",INDEX(J$1:J6719,SUMPRODUCT(MAX(ROW(E$1:E6719)*(E6720=E$1:E6719)))))</f>
        <v> </v>
      </c>
      <c r="L6720" s="27"/>
    </row>
    <row r="6721" spans="1:12">
      <c r="A6721" s="20" t="s">
        <v>1020</v>
      </c>
      <c r="E6721" s="22">
        <f>IF(D6721="?OLD","!!!","")</f>
        <v/>
      </c>
      <c r="F6721" s="23" t="str">
        <f>IF(OR(E6721="",E6721="!!!"),"",IF(NOT(ISNA(VLOOKUP(E6721,E$1:E6720,1,FALSE()))),"OLD",IF(AND(E6721&lt;&gt;"",E6721&lt;&gt;"!!!"),"NEW","")))</f>
        <v> </v>
      </c>
      <c r="G6721" s="24" t="str">
        <f>IF(OR(E6721="",E6721="!!!"),"",IF(OR(J6721=0,AND(J6721=1,K6721=1),AND(J6721=1,I6721="SBJ"),AND(J6721=1,I6721=0)),"?IN_FOCUS",IF(J6721&lt;=2,"?ACTIVATED",IF(J6721&lt;&gt;"","?FAMILIAR",IF(F6721="NEW",IF(ISNA(VLOOKUP(E6721,#REF!,1,FALSE())),"?TYPE_IDENTIFIABLE","?REFERENTIAL"),"_")))))</f>
        <v> </v>
      </c>
      <c r="H6721" s="25" t="str">
        <f>IF(J6721&lt;&gt;1,"",IF(I6721="SBJ","CB","?"))</f>
        <v> </v>
      </c>
      <c r="I6721" s="26" t="str">
        <f>IF(OR(E6721="",E6721="!!!",F6721="NEW"),"",INDEX(B6720:B$2,-1+SUMPRODUCT(MAX(ROW(E6720:E$2)*(E6721=E6720:E$2)))))</f>
        <v> </v>
      </c>
      <c r="J6721" s="26" t="str">
        <f>IF(OR(E6721="",E6721="!!!",F6721="NEW"),"",COUNTBLANK(OFFSET(A$1,,,SUMPRODUCT(MAX(ROW(E$2:E6721)*(E6721=E$2:E6721)))))-COUNTBLANK(OFFSET(A$1,,,SUMPRODUCT(MAX(ROW(E$1:E6720)*(E2=E$1:E6720))))))</f>
        <v> </v>
      </c>
      <c r="K6721" s="26" t="str">
        <f>IF(OR(E6721="",E6721="!!!",F6721="NEW"),"",INDEX(J$1:J6720,SUMPRODUCT(MAX(ROW(E$1:E6720)*(E6721=E$1:E6720)))))</f>
        <v> </v>
      </c>
      <c r="L6721" s="27"/>
    </row>
    <row r="6722" spans="1:12">
      <c r="A6722" s="20" t="s">
        <v>2194</v>
      </c>
      <c r="B6722" s="21" t="s">
        <v>1064</v>
      </c>
      <c r="C6722" s="21" t="s">
        <v>1017</v>
      </c>
      <c r="D6722" s="21" t="s">
        <v>1007</v>
      </c>
      <c r="E6722" s="22">
        <f>IF(D6722="?OLD","!!!","")</f>
        <v/>
      </c>
      <c r="F6722" s="23" t="str">
        <f>IF(OR(E6722="",E6722="!!!"),"",IF(NOT(ISNA(VLOOKUP(E6722,E$1:E6721,1,FALSE()))),"OLD",IF(AND(E6722&lt;&gt;"",E6722&lt;&gt;"!!!"),"NEW","")))</f>
        <v> </v>
      </c>
      <c r="G6722" s="24" t="str">
        <f>IF(OR(E6722="",E6722="!!!"),"",IF(OR(J6722=0,AND(J6722=1,K6722=1),AND(J6722=1,I6722="SBJ"),AND(J6722=1,I6722=0)),"?IN_FOCUS",IF(J6722&lt;=2,"?ACTIVATED",IF(J6722&lt;&gt;"","?FAMILIAR",IF(F6722="NEW",IF(ISNA(VLOOKUP(E6722,#REF!,1,FALSE())),"?TYPE_IDENTIFIABLE","?REFERENTIAL"),"_")))))</f>
        <v> </v>
      </c>
      <c r="H6722" s="25" t="str">
        <f>IF(J6722&lt;&gt;1,"",IF(I6722="SBJ","CB","?"))</f>
        <v> </v>
      </c>
      <c r="I6722" s="26" t="str">
        <f>IF(OR(E6722="",E6722="!!!",F6722="NEW"),"",INDEX(B6721:B$2,-1+SUMPRODUCT(MAX(ROW(E6721:E$2)*(E6722=E6721:E$2)))))</f>
        <v> </v>
      </c>
      <c r="J6722" s="26" t="str">
        <f>IF(OR(E6722="",E6722="!!!",F6722="NEW"),"",COUNTBLANK(OFFSET(A$1,,,SUMPRODUCT(MAX(ROW(E$2:E6722)*(E6722=E$2:E6722)))))-COUNTBLANK(OFFSET(A$1,,,SUMPRODUCT(MAX(ROW(E$1:E6721)*(E2=E$1:E6721))))))</f>
        <v> </v>
      </c>
      <c r="K6722" s="26" t="str">
        <f>IF(OR(E6722="",E6722="!!!",F6722="NEW"),"",INDEX(J$1:J6721,SUMPRODUCT(MAX(ROW(E$1:E6721)*(E6722=E$1:E6721)))))</f>
        <v> </v>
      </c>
      <c r="L6722" s="27"/>
    </row>
    <row r="6723" spans="1:12">
      <c r="A6723" s="20" t="s">
        <v>2722</v>
      </c>
      <c r="E6723" s="22">
        <f>IF(D6723="?OLD","!!!","")</f>
        <v/>
      </c>
      <c r="F6723" s="23" t="str">
        <f>IF(OR(E6723="",E6723="!!!"),"",IF(NOT(ISNA(VLOOKUP(E6723,E$1:E6722,1,FALSE()))),"OLD",IF(AND(E6723&lt;&gt;"",E6723&lt;&gt;"!!!"),"NEW","")))</f>
        <v> </v>
      </c>
      <c r="G6723" s="24" t="str">
        <f>IF(OR(E6723="",E6723="!!!"),"",IF(OR(J6723=0,AND(J6723=1,K6723=1),AND(J6723=1,I6723="SBJ"),AND(J6723=1,I6723=0)),"?IN_FOCUS",IF(J6723&lt;=2,"?ACTIVATED",IF(J6723&lt;&gt;"","?FAMILIAR",IF(F6723="NEW",IF(ISNA(VLOOKUP(E6723,#REF!,1,FALSE())),"?TYPE_IDENTIFIABLE","?REFERENTIAL"),"_")))))</f>
        <v> </v>
      </c>
      <c r="H6723" s="25" t="str">
        <f>IF(J6723&lt;&gt;1,"",IF(I6723="SBJ","CB","?"))</f>
        <v> </v>
      </c>
      <c r="I6723" s="26" t="str">
        <f>IF(OR(E6723="",E6723="!!!",F6723="NEW"),"",INDEX(B6722:B$2,-1+SUMPRODUCT(MAX(ROW(E6722:E$2)*(E6723=E6722:E$2)))))</f>
        <v> </v>
      </c>
      <c r="J6723" s="26" t="str">
        <f>IF(OR(E6723="",E6723="!!!",F6723="NEW"),"",COUNTBLANK(OFFSET(A$1,,,SUMPRODUCT(MAX(ROW(E$2:E6723)*(E6723=E$2:E6723)))))-COUNTBLANK(OFFSET(A$1,,,SUMPRODUCT(MAX(ROW(E$1:E6722)*(E2=E$1:E6722))))))</f>
        <v> </v>
      </c>
      <c r="K6723" s="26" t="str">
        <f>IF(OR(E6723="",E6723="!!!",F6723="NEW"),"",INDEX(J$1:J6722,SUMPRODUCT(MAX(ROW(E$1:E6722)*(E6723=E$1:E6722)))))</f>
        <v> </v>
      </c>
      <c r="L6723" s="27"/>
    </row>
    <row r="6724" spans="1:12">
      <c r="A6724" s="20" t="s">
        <v>1030</v>
      </c>
      <c r="E6724" s="22">
        <f>IF(D6724="?OLD","!!!","")</f>
        <v/>
      </c>
      <c r="F6724" s="23" t="str">
        <f>IF(OR(E6724="",E6724="!!!"),"",IF(NOT(ISNA(VLOOKUP(E6724,E$1:E6723,1,FALSE()))),"OLD",IF(AND(E6724&lt;&gt;"",E6724&lt;&gt;"!!!"),"NEW","")))</f>
        <v> </v>
      </c>
      <c r="G6724" s="24" t="str">
        <f>IF(OR(E6724="",E6724="!!!"),"",IF(OR(J6724=0,AND(J6724=1,K6724=1),AND(J6724=1,I6724="SBJ"),AND(J6724=1,I6724=0)),"?IN_FOCUS",IF(J6724&lt;=2,"?ACTIVATED",IF(J6724&lt;&gt;"","?FAMILIAR",IF(F6724="NEW",IF(ISNA(VLOOKUP(E6724,#REF!,1,FALSE())),"?TYPE_IDENTIFIABLE","?REFERENTIAL"),"_")))))</f>
        <v> </v>
      </c>
      <c r="H6724" s="25" t="str">
        <f>IF(J6724&lt;&gt;1,"",IF(I6724="SBJ","CB","?"))</f>
        <v> </v>
      </c>
      <c r="I6724" s="26" t="str">
        <f>IF(OR(E6724="",E6724="!!!",F6724="NEW"),"",INDEX(B6723:B$2,-1+SUMPRODUCT(MAX(ROW(E6723:E$2)*(E6724=E6723:E$2)))))</f>
        <v> </v>
      </c>
      <c r="J6724" s="26" t="str">
        <f>IF(OR(E6724="",E6724="!!!",F6724="NEW"),"",COUNTBLANK(OFFSET(A$1,,,SUMPRODUCT(MAX(ROW(E$2:E6724)*(E6724=E$2:E6724)))))-COUNTBLANK(OFFSET(A$1,,,SUMPRODUCT(MAX(ROW(E$1:E6723)*(E2=E$1:E6723))))))</f>
        <v> </v>
      </c>
      <c r="K6724" s="26" t="str">
        <f>IF(OR(E6724="",E6724="!!!",F6724="NEW"),"",INDEX(J$1:J6723,SUMPRODUCT(MAX(ROW(E$1:E6723)*(E6724=E$1:E6723)))))</f>
        <v> </v>
      </c>
      <c r="L6724" s="27"/>
    </row>
    <row r="6725" spans="1:12">
      <c r="A6725" s="20" t="s">
        <v>1122</v>
      </c>
      <c r="E6725" s="22">
        <f>IF(D6725="?OLD","!!!","")</f>
        <v/>
      </c>
      <c r="F6725" s="23" t="str">
        <f>IF(OR(E6725="",E6725="!!!"),"",IF(NOT(ISNA(VLOOKUP(E6725,E$1:E6724,1,FALSE()))),"OLD",IF(AND(E6725&lt;&gt;"",E6725&lt;&gt;"!!!"),"NEW","")))</f>
        <v> </v>
      </c>
      <c r="G6725" s="24" t="str">
        <f>IF(OR(E6725="",E6725="!!!"),"",IF(OR(J6725=0,AND(J6725=1,K6725=1),AND(J6725=1,I6725="SBJ"),AND(J6725=1,I6725=0)),"?IN_FOCUS",IF(J6725&lt;=2,"?ACTIVATED",IF(J6725&lt;&gt;"","?FAMILIAR",IF(F6725="NEW",IF(ISNA(VLOOKUP(E6725,#REF!,1,FALSE())),"?TYPE_IDENTIFIABLE","?REFERENTIAL"),"_")))))</f>
        <v> </v>
      </c>
      <c r="H6725" s="25" t="str">
        <f>IF(J6725&lt;&gt;1,"",IF(I6725="SBJ","CB","?"))</f>
        <v> </v>
      </c>
      <c r="I6725" s="26" t="str">
        <f>IF(OR(E6725="",E6725="!!!",F6725="NEW"),"",INDEX(B6724:B$2,-1+SUMPRODUCT(MAX(ROW(E6724:E$2)*(E6725=E6724:E$2)))))</f>
        <v> </v>
      </c>
      <c r="J6725" s="26" t="str">
        <f>IF(OR(E6725="",E6725="!!!",F6725="NEW"),"",COUNTBLANK(OFFSET(A$1,,,SUMPRODUCT(MAX(ROW(E$2:E6725)*(E6725=E$2:E6725)))))-COUNTBLANK(OFFSET(A$1,,,SUMPRODUCT(MAX(ROW(E$1:E6724)*(E2=E$1:E6724))))))</f>
        <v> </v>
      </c>
      <c r="K6725" s="26" t="str">
        <f>IF(OR(E6725="",E6725="!!!",F6725="NEW"),"",INDEX(J$1:J6724,SUMPRODUCT(MAX(ROW(E$1:E6724)*(E6725=E$1:E6724)))))</f>
        <v> </v>
      </c>
      <c r="L6725" s="27"/>
    </row>
    <row r="6726" spans="1:12">
      <c r="A6726" s="20" t="s">
        <v>1250</v>
      </c>
      <c r="E6726" s="22">
        <f>IF(D6726="?OLD","!!!","")</f>
        <v/>
      </c>
      <c r="F6726" s="23" t="str">
        <f>IF(OR(E6726="",E6726="!!!"),"",IF(NOT(ISNA(VLOOKUP(E6726,E$1:E6725,1,FALSE()))),"OLD",IF(AND(E6726&lt;&gt;"",E6726&lt;&gt;"!!!"),"NEW","")))</f>
        <v> </v>
      </c>
      <c r="G6726" s="24" t="str">
        <f>IF(OR(E6726="",E6726="!!!"),"",IF(OR(J6726=0,AND(J6726=1,K6726=1),AND(J6726=1,I6726="SBJ"),AND(J6726=1,I6726=0)),"?IN_FOCUS",IF(J6726&lt;=2,"?ACTIVATED",IF(J6726&lt;&gt;"","?FAMILIAR",IF(F6726="NEW",IF(ISNA(VLOOKUP(E6726,#REF!,1,FALSE())),"?TYPE_IDENTIFIABLE","?REFERENTIAL"),"_")))))</f>
        <v> </v>
      </c>
      <c r="H6726" s="25" t="str">
        <f>IF(J6726&lt;&gt;1,"",IF(I6726="SBJ","CB","?"))</f>
        <v> </v>
      </c>
      <c r="I6726" s="26" t="str">
        <f>IF(OR(E6726="",E6726="!!!",F6726="NEW"),"",INDEX(B6725:B$2,-1+SUMPRODUCT(MAX(ROW(E6725:E$2)*(E6726=E6725:E$2)))))</f>
        <v> </v>
      </c>
      <c r="J6726" s="26" t="str">
        <f>IF(OR(E6726="",E6726="!!!",F6726="NEW"),"",COUNTBLANK(OFFSET(A$1,,,SUMPRODUCT(MAX(ROW(E$2:E6726)*(E6726=E$2:E6726)))))-COUNTBLANK(OFFSET(A$1,,,SUMPRODUCT(MAX(ROW(E$1:E6725)*(E2=E$1:E6725))))))</f>
        <v> </v>
      </c>
      <c r="K6726" s="26" t="str">
        <f>IF(OR(E6726="",E6726="!!!",F6726="NEW"),"",INDEX(J$1:J6725,SUMPRODUCT(MAX(ROW(E$1:E6725)*(E6726=E$1:E6725)))))</f>
        <v> </v>
      </c>
      <c r="L6726" s="27"/>
    </row>
    <row r="6727" spans="1:12">
      <c r="A6727" s="20" t="s">
        <v>1639</v>
      </c>
      <c r="B6727" s="21" t="s">
        <v>1130</v>
      </c>
      <c r="C6727" s="21" t="s">
        <v>1041</v>
      </c>
      <c r="D6727" s="21" t="s">
        <v>1007</v>
      </c>
      <c r="E6727" s="22">
        <f>IF(D6727="?OLD","!!!","")</f>
        <v/>
      </c>
      <c r="F6727" s="23" t="str">
        <f>IF(OR(E6727="",E6727="!!!"),"",IF(NOT(ISNA(VLOOKUP(E6727,E$1:E6726,1,FALSE()))),"OLD",IF(AND(E6727&lt;&gt;"",E6727&lt;&gt;"!!!"),"NEW","")))</f>
        <v> </v>
      </c>
      <c r="G6727" s="24" t="str">
        <f>IF(OR(E6727="",E6727="!!!"),"",IF(OR(J6727=0,AND(J6727=1,K6727=1),AND(J6727=1,I6727="SBJ"),AND(J6727=1,I6727=0)),"?IN_FOCUS",IF(J6727&lt;=2,"?ACTIVATED",IF(J6727&lt;&gt;"","?FAMILIAR",IF(F6727="NEW",IF(ISNA(VLOOKUP(E6727,#REF!,1,FALSE())),"?TYPE_IDENTIFIABLE","?REFERENTIAL"),"_")))))</f>
        <v> </v>
      </c>
      <c r="H6727" s="25" t="str">
        <f>IF(J6727&lt;&gt;1,"",IF(I6727="SBJ","CB","?"))</f>
        <v> </v>
      </c>
      <c r="I6727" s="26" t="str">
        <f>IF(OR(E6727="",E6727="!!!",F6727="NEW"),"",INDEX(B6726:B$2,-1+SUMPRODUCT(MAX(ROW(E6726:E$2)*(E6727=E6726:E$2)))))</f>
        <v> </v>
      </c>
      <c r="J6727" s="26" t="str">
        <f>IF(OR(E6727="",E6727="!!!",F6727="NEW"),"",COUNTBLANK(OFFSET(A$1,,,SUMPRODUCT(MAX(ROW(E$2:E6727)*(E6727=E$2:E6727)))))-COUNTBLANK(OFFSET(A$1,,,SUMPRODUCT(MAX(ROW(E$1:E6726)*(E2=E$1:E6726))))))</f>
        <v> </v>
      </c>
      <c r="K6727" s="26" t="str">
        <f>IF(OR(E6727="",E6727="!!!",F6727="NEW"),"",INDEX(J$1:J6726,SUMPRODUCT(MAX(ROW(E$1:E6726)*(E6727=E$1:E6726)))))</f>
        <v> </v>
      </c>
      <c r="L6727" s="27"/>
    </row>
    <row r="6728" spans="1:12">
      <c r="A6728" s="20" t="s">
        <v>1077</v>
      </c>
      <c r="E6728" s="22">
        <f>IF(D6728="?OLD","!!!","")</f>
        <v/>
      </c>
      <c r="F6728" s="23" t="str">
        <f>IF(OR(E6728="",E6728="!!!"),"",IF(NOT(ISNA(VLOOKUP(E6728,E$1:E6727,1,FALSE()))),"OLD",IF(AND(E6728&lt;&gt;"",E6728&lt;&gt;"!!!"),"NEW","")))</f>
        <v> </v>
      </c>
      <c r="G6728" s="24" t="str">
        <f>IF(OR(E6728="",E6728="!!!"),"",IF(OR(J6728=0,AND(J6728=1,K6728=1),AND(J6728=1,I6728="SBJ"),AND(J6728=1,I6728=0)),"?IN_FOCUS",IF(J6728&lt;=2,"?ACTIVATED",IF(J6728&lt;&gt;"","?FAMILIAR",IF(F6728="NEW",IF(ISNA(VLOOKUP(E6728,#REF!,1,FALSE())),"?TYPE_IDENTIFIABLE","?REFERENTIAL"),"_")))))</f>
        <v> </v>
      </c>
      <c r="H6728" s="25" t="str">
        <f>IF(J6728&lt;&gt;1,"",IF(I6728="SBJ","CB","?"))</f>
        <v> </v>
      </c>
      <c r="I6728" s="26" t="str">
        <f>IF(OR(E6728="",E6728="!!!",F6728="NEW"),"",INDEX(B6727:B$2,-1+SUMPRODUCT(MAX(ROW(E6727:E$2)*(E6728=E6727:E$2)))))</f>
        <v> </v>
      </c>
      <c r="J6728" s="26" t="str">
        <f>IF(OR(E6728="",E6728="!!!",F6728="NEW"),"",COUNTBLANK(OFFSET(A$1,,,SUMPRODUCT(MAX(ROW(E$2:E6728)*(E6728=E$2:E6728)))))-COUNTBLANK(OFFSET(A$1,,,SUMPRODUCT(MAX(ROW(E$1:E6727)*(E2=E$1:E6727))))))</f>
        <v> </v>
      </c>
      <c r="K6728" s="26" t="str">
        <f>IF(OR(E6728="",E6728="!!!",F6728="NEW"),"",INDEX(J$1:J6727,SUMPRODUCT(MAX(ROW(E$1:E6727)*(E6728=E$1:E6727)))))</f>
        <v> </v>
      </c>
      <c r="L6728" s="27"/>
    </row>
    <row r="6729" spans="1:12">
      <c r="A6729" s="20"/>
    </row>
    <row r="6730" spans="1:12">
      <c r="A6730" s="20" t="s">
        <v>2727</v>
      </c>
    </row>
    <row r="6731" spans="1:12">
      <c r="A6731" s="20" t="s">
        <v>1118</v>
      </c>
      <c r="B6731" s="21" t="s">
        <v>1005</v>
      </c>
      <c r="C6731" s="21" t="s">
        <v>1048</v>
      </c>
      <c r="E6731" s="22">
        <f>IF(D6731="?OLD","!!!","")</f>
        <v/>
      </c>
      <c r="F6731" s="23" t="str">
        <f>IF(OR(E6731="",E6731="!!!"),"",IF(NOT(ISNA(VLOOKUP(E6731,E$1:E6730,1,FALSE()))),"OLD",IF(AND(E6731&lt;&gt;"",E6731&lt;&gt;"!!!"),"NEW","")))</f>
        <v> </v>
      </c>
      <c r="G6731" s="24" t="str">
        <f>IF(OR(E6731="",E6731="!!!"),"",IF(OR(J6731=0,AND(J6731=1,K6731=1),AND(J6731=1,I6731="SBJ"),AND(J6731=1,I6731=0)),"?IN_FOCUS",IF(J6731&lt;=2,"?ACTIVATED",IF(J6731&lt;&gt;"","?FAMILIAR",IF(F6731="NEW",IF(ISNA(VLOOKUP(E6731,#REF!,1,FALSE())),"?TYPE_IDENTIFIABLE","?REFERENTIAL"),"_")))))</f>
        <v> </v>
      </c>
      <c r="H6731" s="25" t="str">
        <f>IF(J6731&lt;&gt;1,"",IF(I6731="SBJ","CB","?"))</f>
        <v> </v>
      </c>
      <c r="I6731" s="26" t="str">
        <f>IF(OR(E6731="",E6731="!!!",F6731="NEW"),"",INDEX(B6730:B$2,-1+SUMPRODUCT(MAX(ROW(E6730:E$2)*(E6731=E6730:E$2)))))</f>
        <v> </v>
      </c>
      <c r="J6731" s="26" t="str">
        <f>IF(OR(E6731="",E6731="!!!",F6731="NEW"),"",COUNTBLANK(OFFSET(A$1,,,SUMPRODUCT(MAX(ROW(E$2:E6731)*(E6731=E$2:E6731)))))-COUNTBLANK(OFFSET(A$1,,,SUMPRODUCT(MAX(ROW(E$1:E6730)*(E2=E$1:E6730))))))</f>
        <v> </v>
      </c>
      <c r="K6731" s="26" t="str">
        <f>IF(OR(E6731="",E6731="!!!",F6731="NEW"),"",INDEX(J$1:J6730,SUMPRODUCT(MAX(ROW(E$1:E6730)*(E6731=E$1:E6730)))))</f>
        <v> </v>
      </c>
      <c r="L6731" s="27"/>
    </row>
    <row r="6732" spans="1:12">
      <c r="A6732" s="20" t="s">
        <v>1009</v>
      </c>
      <c r="E6732" s="22">
        <f>IF(D6732="?OLD","!!!","")</f>
        <v/>
      </c>
      <c r="F6732" s="23" t="str">
        <f>IF(OR(E6732="",E6732="!!!"),"",IF(NOT(ISNA(VLOOKUP(E6732,E$1:E6731,1,FALSE()))),"OLD",IF(AND(E6732&lt;&gt;"",E6732&lt;&gt;"!!!"),"NEW","")))</f>
        <v> </v>
      </c>
      <c r="G6732" s="24" t="str">
        <f>IF(OR(E6732="",E6732="!!!"),"",IF(OR(J6732=0,AND(J6732=1,K6732=1),AND(J6732=1,I6732="SBJ"),AND(J6732=1,I6732=0)),"?IN_FOCUS",IF(J6732&lt;=2,"?ACTIVATED",IF(J6732&lt;&gt;"","?FAMILIAR",IF(F6732="NEW",IF(ISNA(VLOOKUP(E6732,#REF!,1,FALSE())),"?TYPE_IDENTIFIABLE","?REFERENTIAL"),"_")))))</f>
        <v> </v>
      </c>
      <c r="H6732" s="25" t="str">
        <f>IF(J6732&lt;&gt;1,"",IF(I6732="SBJ","CB","?"))</f>
        <v> </v>
      </c>
      <c r="I6732" s="26" t="str">
        <f>IF(OR(E6732="",E6732="!!!",F6732="NEW"),"",INDEX(B6731:B$2,-1+SUMPRODUCT(MAX(ROW(E6731:E$2)*(E6732=E6731:E$2)))))</f>
        <v> </v>
      </c>
      <c r="J6732" s="26" t="str">
        <f>IF(OR(E6732="",E6732="!!!",F6732="NEW"),"",COUNTBLANK(OFFSET(A$1,,,SUMPRODUCT(MAX(ROW(E$2:E6732)*(E6732=E$2:E6732)))))-COUNTBLANK(OFFSET(A$1,,,SUMPRODUCT(MAX(ROW(E$1:E6731)*(E2=E$1:E6731))))))</f>
        <v> </v>
      </c>
      <c r="K6732" s="26" t="str">
        <f>IF(OR(E6732="",E6732="!!!",F6732="NEW"),"",INDEX(J$1:J6731,SUMPRODUCT(MAX(ROW(E$1:E6731)*(E6732=E$1:E6731)))))</f>
        <v> </v>
      </c>
      <c r="L6732" s="27"/>
    </row>
    <row r="6733" spans="1:12">
      <c r="A6733" s="20" t="s">
        <v>1193</v>
      </c>
      <c r="E6733" s="22">
        <f>IF(D6733="?OLD","!!!","")</f>
        <v/>
      </c>
      <c r="F6733" s="23" t="str">
        <f>IF(OR(E6733="",E6733="!!!"),"",IF(NOT(ISNA(VLOOKUP(E6733,E$1:E6732,1,FALSE()))),"OLD",IF(AND(E6733&lt;&gt;"",E6733&lt;&gt;"!!!"),"NEW","")))</f>
        <v> </v>
      </c>
      <c r="G6733" s="24" t="str">
        <f>IF(OR(E6733="",E6733="!!!"),"",IF(OR(J6733=0,AND(J6733=1,K6733=1),AND(J6733=1,I6733="SBJ"),AND(J6733=1,I6733=0)),"?IN_FOCUS",IF(J6733&lt;=2,"?ACTIVATED",IF(J6733&lt;&gt;"","?FAMILIAR",IF(F6733="NEW",IF(ISNA(VLOOKUP(E6733,#REF!,1,FALSE())),"?TYPE_IDENTIFIABLE","?REFERENTIAL"),"_")))))</f>
        <v> </v>
      </c>
      <c r="H6733" s="25" t="str">
        <f>IF(J6733&lt;&gt;1,"",IF(I6733="SBJ","CB","?"))</f>
        <v> </v>
      </c>
      <c r="I6733" s="26" t="str">
        <f>IF(OR(E6733="",E6733="!!!",F6733="NEW"),"",INDEX(B6732:B$2,-1+SUMPRODUCT(MAX(ROW(E6732:E$2)*(E6733=E6732:E$2)))))</f>
        <v> </v>
      </c>
      <c r="J6733" s="26" t="str">
        <f>IF(OR(E6733="",E6733="!!!",F6733="NEW"),"",COUNTBLANK(OFFSET(A$1,,,SUMPRODUCT(MAX(ROW(E$2:E6733)*(E6733=E$2:E6733)))))-COUNTBLANK(OFFSET(A$1,,,SUMPRODUCT(MAX(ROW(E$1:E6732)*(E2=E$1:E6732))))))</f>
        <v> </v>
      </c>
      <c r="K6733" s="26" t="str">
        <f>IF(OR(E6733="",E6733="!!!",F6733="NEW"),"",INDEX(J$1:J6732,SUMPRODUCT(MAX(ROW(E$1:E6732)*(E6733=E$1:E6732)))))</f>
        <v> </v>
      </c>
      <c r="L6733" s="27"/>
    </row>
    <row r="6734" spans="1:12">
      <c r="A6734" s="20" t="s">
        <v>1065</v>
      </c>
      <c r="E6734" s="22">
        <f>IF(D6734="?OLD","!!!","")</f>
        <v/>
      </c>
      <c r="F6734" s="23" t="str">
        <f>IF(OR(E6734="",E6734="!!!"),"",IF(NOT(ISNA(VLOOKUP(E6734,E$1:E6733,1,FALSE()))),"OLD",IF(AND(E6734&lt;&gt;"",E6734&lt;&gt;"!!!"),"NEW","")))</f>
        <v> </v>
      </c>
      <c r="G6734" s="24" t="str">
        <f>IF(OR(E6734="",E6734="!!!"),"",IF(OR(J6734=0,AND(J6734=1,K6734=1),AND(J6734=1,I6734="SBJ"),AND(J6734=1,I6734=0)),"?IN_FOCUS",IF(J6734&lt;=2,"?ACTIVATED",IF(J6734&lt;&gt;"","?FAMILIAR",IF(F6734="NEW",IF(ISNA(VLOOKUP(E6734,#REF!,1,FALSE())),"?TYPE_IDENTIFIABLE","?REFERENTIAL"),"_")))))</f>
        <v> </v>
      </c>
      <c r="H6734" s="25" t="str">
        <f>IF(J6734&lt;&gt;1,"",IF(I6734="SBJ","CB","?"))</f>
        <v> </v>
      </c>
      <c r="I6734" s="26" t="str">
        <f>IF(OR(E6734="",E6734="!!!",F6734="NEW"),"",INDEX(B6733:B$2,-1+SUMPRODUCT(MAX(ROW(E6733:E$2)*(E6734=E6733:E$2)))))</f>
        <v> </v>
      </c>
      <c r="J6734" s="26" t="str">
        <f>IF(OR(E6734="",E6734="!!!",F6734="NEW"),"",COUNTBLANK(OFFSET(A$1,,,SUMPRODUCT(MAX(ROW(E$2:E6734)*(E6734=E$2:E6734)))))-COUNTBLANK(OFFSET(A$1,,,SUMPRODUCT(MAX(ROW(E$1:E6733)*(E2=E$1:E6733))))))</f>
        <v> </v>
      </c>
      <c r="K6734" s="26" t="str">
        <f>IF(OR(E6734="",E6734="!!!",F6734="NEW"),"",INDEX(J$1:J6733,SUMPRODUCT(MAX(ROW(E$1:E6733)*(E6734=E$1:E6733)))))</f>
        <v> </v>
      </c>
      <c r="L6734" s="27"/>
    </row>
    <row r="6735" spans="1:12">
      <c r="A6735" s="20" t="s">
        <v>102</v>
      </c>
      <c r="E6735" s="22">
        <f>IF(D6735="?OLD","!!!","")</f>
        <v/>
      </c>
      <c r="F6735" s="23" t="str">
        <f>IF(OR(E6735="",E6735="!!!"),"",IF(NOT(ISNA(VLOOKUP(E6735,E$1:E6734,1,FALSE()))),"OLD",IF(AND(E6735&lt;&gt;"",E6735&lt;&gt;"!!!"),"NEW","")))</f>
        <v> </v>
      </c>
      <c r="G6735" s="24" t="str">
        <f>IF(OR(E6735="",E6735="!!!"),"",IF(OR(J6735=0,AND(J6735=1,K6735=1),AND(J6735=1,I6735="SBJ"),AND(J6735=1,I6735=0)),"?IN_FOCUS",IF(J6735&lt;=2,"?ACTIVATED",IF(J6735&lt;&gt;"","?FAMILIAR",IF(F6735="NEW",IF(ISNA(VLOOKUP(E6735,#REF!,1,FALSE())),"?TYPE_IDENTIFIABLE","?REFERENTIAL"),"_")))))</f>
        <v> </v>
      </c>
      <c r="H6735" s="25" t="str">
        <f>IF(J6735&lt;&gt;1,"",IF(I6735="SBJ","CB","?"))</f>
        <v> </v>
      </c>
      <c r="I6735" s="26" t="str">
        <f>IF(OR(E6735="",E6735="!!!",F6735="NEW"),"",INDEX(B6734:B$2,-1+SUMPRODUCT(MAX(ROW(E6734:E$2)*(E6735=E6734:E$2)))))</f>
        <v> </v>
      </c>
      <c r="J6735" s="26" t="str">
        <f>IF(OR(E6735="",E6735="!!!",F6735="NEW"),"",COUNTBLANK(OFFSET(A$1,,,SUMPRODUCT(MAX(ROW(E$2:E6735)*(E6735=E$2:E6735)))))-COUNTBLANK(OFFSET(A$1,,,SUMPRODUCT(MAX(ROW(E$1:E6734)*(E2=E$1:E6734))))))</f>
        <v> </v>
      </c>
      <c r="K6735" s="26" t="str">
        <f>IF(OR(E6735="",E6735="!!!",F6735="NEW"),"",INDEX(J$1:J6734,SUMPRODUCT(MAX(ROW(E$1:E6734)*(E6735=E$1:E6734)))))</f>
        <v> </v>
      </c>
      <c r="L6735" s="27"/>
    </row>
    <row r="6736" spans="1:12">
      <c r="A6736" s="20" t="s">
        <v>1204</v>
      </c>
      <c r="B6736" s="21" t="s">
        <v>1154</v>
      </c>
      <c r="C6736" s="21" t="s">
        <v>1017</v>
      </c>
      <c r="D6736" s="21" t="s">
        <v>1007</v>
      </c>
      <c r="E6736" s="22">
        <f>IF(D6736="?OLD","!!!","")</f>
        <v/>
      </c>
      <c r="F6736" s="23" t="str">
        <f>IF(OR(E6736="",E6736="!!!"),"",IF(NOT(ISNA(VLOOKUP(E6736,E$1:E6735,1,FALSE()))),"OLD",IF(AND(E6736&lt;&gt;"",E6736&lt;&gt;"!!!"),"NEW","")))</f>
        <v> </v>
      </c>
      <c r="G6736" s="24" t="str">
        <f>IF(OR(E6736="",E6736="!!!"),"",IF(OR(J6736=0,AND(J6736=1,K6736=1),AND(J6736=1,I6736="SBJ"),AND(J6736=1,I6736=0)),"?IN_FOCUS",IF(J6736&lt;=2,"?ACTIVATED",IF(J6736&lt;&gt;"","?FAMILIAR",IF(F6736="NEW",IF(ISNA(VLOOKUP(E6736,#REF!,1,FALSE())),"?TYPE_IDENTIFIABLE","?REFERENTIAL"),"_")))))</f>
        <v> </v>
      </c>
      <c r="H6736" s="25" t="str">
        <f>IF(J6736&lt;&gt;1,"",IF(I6736="SBJ","CB","?"))</f>
        <v> </v>
      </c>
      <c r="I6736" s="26" t="str">
        <f>IF(OR(E6736="",E6736="!!!",F6736="NEW"),"",INDEX(B6735:B$2,-1+SUMPRODUCT(MAX(ROW(E6735:E$2)*(E6736=E6735:E$2)))))</f>
        <v> </v>
      </c>
      <c r="J6736" s="26" t="str">
        <f>IF(OR(E6736="",E6736="!!!",F6736="NEW"),"",COUNTBLANK(OFFSET(A$1,,,SUMPRODUCT(MAX(ROW(E$2:E6736)*(E6736=E$2:E6736)))))-COUNTBLANK(OFFSET(A$1,,,SUMPRODUCT(MAX(ROW(E$1:E6735)*(E2=E$1:E6735))))))</f>
        <v> </v>
      </c>
      <c r="K6736" s="26" t="str">
        <f>IF(OR(E6736="",E6736="!!!",F6736="NEW"),"",INDEX(J$1:J6735,SUMPRODUCT(MAX(ROW(E$1:E6735)*(E6736=E$1:E6735)))))</f>
        <v> </v>
      </c>
      <c r="L6736" s="27"/>
    </row>
    <row r="6737" spans="1:12">
      <c r="A6737" s="20" t="s">
        <v>1595</v>
      </c>
      <c r="E6737" s="22">
        <f>IF(D6737="?OLD","!!!","")</f>
        <v/>
      </c>
      <c r="F6737" s="23" t="str">
        <f>IF(OR(E6737="",E6737="!!!"),"",IF(NOT(ISNA(VLOOKUP(E6737,E$1:E6736,1,FALSE()))),"OLD",IF(AND(E6737&lt;&gt;"",E6737&lt;&gt;"!!!"),"NEW","")))</f>
        <v> </v>
      </c>
      <c r="G6737" s="24" t="str">
        <f>IF(OR(E6737="",E6737="!!!"),"",IF(OR(J6737=0,AND(J6737=1,K6737=1),AND(J6737=1,I6737="SBJ"),AND(J6737=1,I6737=0)),"?IN_FOCUS",IF(J6737&lt;=2,"?ACTIVATED",IF(J6737&lt;&gt;"","?FAMILIAR",IF(F6737="NEW",IF(ISNA(VLOOKUP(E6737,#REF!,1,FALSE())),"?TYPE_IDENTIFIABLE","?REFERENTIAL"),"_")))))</f>
        <v> </v>
      </c>
      <c r="H6737" s="25" t="str">
        <f>IF(J6737&lt;&gt;1,"",IF(I6737="SBJ","CB","?"))</f>
        <v> </v>
      </c>
      <c r="I6737" s="26" t="str">
        <f>IF(OR(E6737="",E6737="!!!",F6737="NEW"),"",INDEX(B6736:B$2,-1+SUMPRODUCT(MAX(ROW(E6736:E$2)*(E6737=E6736:E$2)))))</f>
        <v> </v>
      </c>
      <c r="J6737" s="26" t="str">
        <f>IF(OR(E6737="",E6737="!!!",F6737="NEW"),"",COUNTBLANK(OFFSET(A$1,,,SUMPRODUCT(MAX(ROW(E$2:E6737)*(E6737=E$2:E6737)))))-COUNTBLANK(OFFSET(A$1,,,SUMPRODUCT(MAX(ROW(E$1:E6736)*(E2=E$1:E6736))))))</f>
        <v> </v>
      </c>
      <c r="K6737" s="26" t="str">
        <f>IF(OR(E6737="",E6737="!!!",F6737="NEW"),"",INDEX(J$1:J6736,SUMPRODUCT(MAX(ROW(E$1:E6736)*(E6737=E$1:E6736)))))</f>
        <v> </v>
      </c>
      <c r="L6737" s="27"/>
    </row>
    <row r="6738" spans="1:12">
      <c r="A6738" s="20" t="s">
        <v>1397</v>
      </c>
      <c r="E6738" s="22">
        <f>IF(D6738="?OLD","!!!","")</f>
        <v/>
      </c>
      <c r="F6738" s="23" t="str">
        <f>IF(OR(E6738="",E6738="!!!"),"",IF(NOT(ISNA(VLOOKUP(E6738,E$1:E6737,1,FALSE()))),"OLD",IF(AND(E6738&lt;&gt;"",E6738&lt;&gt;"!!!"),"NEW","")))</f>
        <v> </v>
      </c>
      <c r="G6738" s="24" t="str">
        <f>IF(OR(E6738="",E6738="!!!"),"",IF(OR(J6738=0,AND(J6738=1,K6738=1),AND(J6738=1,I6738="SBJ"),AND(J6738=1,I6738=0)),"?IN_FOCUS",IF(J6738&lt;=2,"?ACTIVATED",IF(J6738&lt;&gt;"","?FAMILIAR",IF(F6738="NEW",IF(ISNA(VLOOKUP(E6738,#REF!,1,FALSE())),"?TYPE_IDENTIFIABLE","?REFERENTIAL"),"_")))))</f>
        <v> </v>
      </c>
      <c r="H6738" s="25" t="str">
        <f>IF(J6738&lt;&gt;1,"",IF(I6738="SBJ","CB","?"))</f>
        <v> </v>
      </c>
      <c r="I6738" s="26" t="str">
        <f>IF(OR(E6738="",E6738="!!!",F6738="NEW"),"",INDEX(B6737:B$2,-1+SUMPRODUCT(MAX(ROW(E6737:E$2)*(E6738=E6737:E$2)))))</f>
        <v> </v>
      </c>
      <c r="J6738" s="26" t="str">
        <f>IF(OR(E6738="",E6738="!!!",F6738="NEW"),"",COUNTBLANK(OFFSET(A$1,,,SUMPRODUCT(MAX(ROW(E$2:E6738)*(E6738=E$2:E6738)))))-COUNTBLANK(OFFSET(A$1,,,SUMPRODUCT(MAX(ROW(E$1:E6737)*(E2=E$1:E6737))))))</f>
        <v> </v>
      </c>
      <c r="K6738" s="26" t="str">
        <f>IF(OR(E6738="",E6738="!!!",F6738="NEW"),"",INDEX(J$1:J6737,SUMPRODUCT(MAX(ROW(E$1:E6737)*(E6738=E$1:E6737)))))</f>
        <v> </v>
      </c>
      <c r="L6738" s="27"/>
    </row>
    <row r="6739" spans="1:12">
      <c r="A6739" s="20" t="s">
        <v>1324</v>
      </c>
      <c r="E6739" s="22">
        <f>IF(D6739="?OLD","!!!","")</f>
        <v/>
      </c>
      <c r="F6739" s="23" t="str">
        <f>IF(OR(E6739="",E6739="!!!"),"",IF(NOT(ISNA(VLOOKUP(E6739,E$1:E6738,1,FALSE()))),"OLD",IF(AND(E6739&lt;&gt;"",E6739&lt;&gt;"!!!"),"NEW","")))</f>
        <v> </v>
      </c>
      <c r="G6739" s="24" t="str">
        <f>IF(OR(E6739="",E6739="!!!"),"",IF(OR(J6739=0,AND(J6739=1,K6739=1),AND(J6739=1,I6739="SBJ"),AND(J6739=1,I6739=0)),"?IN_FOCUS",IF(J6739&lt;=2,"?ACTIVATED",IF(J6739&lt;&gt;"","?FAMILIAR",IF(F6739="NEW",IF(ISNA(VLOOKUP(E6739,#REF!,1,FALSE())),"?TYPE_IDENTIFIABLE","?REFERENTIAL"),"_")))))</f>
        <v> </v>
      </c>
      <c r="H6739" s="25" t="str">
        <f>IF(J6739&lt;&gt;1,"",IF(I6739="SBJ","CB","?"))</f>
        <v> </v>
      </c>
      <c r="I6739" s="26" t="str">
        <f>IF(OR(E6739="",E6739="!!!",F6739="NEW"),"",INDEX(B6738:B$2,-1+SUMPRODUCT(MAX(ROW(E6738:E$2)*(E6739=E6738:E$2)))))</f>
        <v> </v>
      </c>
      <c r="J6739" s="26" t="str">
        <f>IF(OR(E6739="",E6739="!!!",F6739="NEW"),"",COUNTBLANK(OFFSET(A$1,,,SUMPRODUCT(MAX(ROW(E$2:E6739)*(E6739=E$2:E6739)))))-COUNTBLANK(OFFSET(A$1,,,SUMPRODUCT(MAX(ROW(E$1:E6738)*(E2=E$1:E6738))))))</f>
        <v> </v>
      </c>
      <c r="K6739" s="26" t="str">
        <f>IF(OR(E6739="",E6739="!!!",F6739="NEW"),"",INDEX(J$1:J6738,SUMPRODUCT(MAX(ROW(E$1:E6738)*(E6739=E$1:E6738)))))</f>
        <v> </v>
      </c>
      <c r="L6739" s="27"/>
    </row>
    <row r="6740" spans="1:12">
      <c r="A6740" s="20" t="s">
        <v>1421</v>
      </c>
      <c r="B6740" s="21" t="s">
        <v>1022</v>
      </c>
      <c r="C6740" s="21" t="s">
        <v>1013</v>
      </c>
      <c r="D6740" s="21" t="s">
        <v>1007</v>
      </c>
      <c r="E6740" s="22">
        <f>IF(D6740="?OLD","!!!","")</f>
        <v/>
      </c>
      <c r="F6740" s="23" t="str">
        <f>IF(OR(E6740="",E6740="!!!"),"",IF(NOT(ISNA(VLOOKUP(E6740,E$1:E6739,1,FALSE()))),"OLD",IF(AND(E6740&lt;&gt;"",E6740&lt;&gt;"!!!"),"NEW","")))</f>
        <v> </v>
      </c>
      <c r="G6740" s="24" t="str">
        <f>IF(OR(E6740="",E6740="!!!"),"",IF(OR(J6740=0,AND(J6740=1,K6740=1),AND(J6740=1,I6740="SBJ"),AND(J6740=1,I6740=0)),"?IN_FOCUS",IF(J6740&lt;=2,"?ACTIVATED",IF(J6740&lt;&gt;"","?FAMILIAR",IF(F6740="NEW",IF(ISNA(VLOOKUP(E6740,#REF!,1,FALSE())),"?TYPE_IDENTIFIABLE","?REFERENTIAL"),"_")))))</f>
        <v> </v>
      </c>
      <c r="H6740" s="25" t="str">
        <f>IF(J6740&lt;&gt;1,"",IF(I6740="SBJ","CB","?"))</f>
        <v> </v>
      </c>
      <c r="I6740" s="26" t="str">
        <f>IF(OR(E6740="",E6740="!!!",F6740="NEW"),"",INDEX(B6739:B$2,-1+SUMPRODUCT(MAX(ROW(E6739:E$2)*(E6740=E6739:E$2)))))</f>
        <v> </v>
      </c>
      <c r="J6740" s="26" t="str">
        <f>IF(OR(E6740="",E6740="!!!",F6740="NEW"),"",COUNTBLANK(OFFSET(A$1,,,SUMPRODUCT(MAX(ROW(E$2:E6740)*(E6740=E$2:E6740)))))-COUNTBLANK(OFFSET(A$1,,,SUMPRODUCT(MAX(ROW(E$1:E6739)*(E2=E$1:E6739))))))</f>
        <v> </v>
      </c>
      <c r="K6740" s="26" t="str">
        <f>IF(OR(E6740="",E6740="!!!",F6740="NEW"),"",INDEX(J$1:J6739,SUMPRODUCT(MAX(ROW(E$1:E6739)*(E6740=E$1:E6739)))))</f>
        <v> </v>
      </c>
      <c r="L6740" s="27"/>
    </row>
    <row r="6741" spans="1:12">
      <c r="A6741" s="20" t="s">
        <v>1014</v>
      </c>
      <c r="E6741" s="22">
        <f>IF(D6741="?OLD","!!!","")</f>
        <v/>
      </c>
      <c r="F6741" s="23" t="str">
        <f>IF(OR(E6741="",E6741="!!!"),"",IF(NOT(ISNA(VLOOKUP(E6741,E$1:E6740,1,FALSE()))),"OLD",IF(AND(E6741&lt;&gt;"",E6741&lt;&gt;"!!!"),"NEW","")))</f>
        <v> </v>
      </c>
      <c r="G6741" s="24" t="str">
        <f>IF(OR(E6741="",E6741="!!!"),"",IF(OR(J6741=0,AND(J6741=1,K6741=1),AND(J6741=1,I6741="SBJ"),AND(J6741=1,I6741=0)),"?IN_FOCUS",IF(J6741&lt;=2,"?ACTIVATED",IF(J6741&lt;&gt;"","?FAMILIAR",IF(F6741="NEW",IF(ISNA(VLOOKUP(E6741,#REF!,1,FALSE())),"?TYPE_IDENTIFIABLE","?REFERENTIAL"),"_")))))</f>
        <v> </v>
      </c>
      <c r="H6741" s="25" t="str">
        <f>IF(J6741&lt;&gt;1,"",IF(I6741="SBJ","CB","?"))</f>
        <v> </v>
      </c>
      <c r="I6741" s="26" t="str">
        <f>IF(OR(E6741="",E6741="!!!",F6741="NEW"),"",INDEX(B6740:B$2,-1+SUMPRODUCT(MAX(ROW(E6740:E$2)*(E6741=E6740:E$2)))))</f>
        <v> </v>
      </c>
      <c r="J6741" s="26" t="str">
        <f>IF(OR(E6741="",E6741="!!!",F6741="NEW"),"",COUNTBLANK(OFFSET(A$1,,,SUMPRODUCT(MAX(ROW(E$2:E6741)*(E6741=E$2:E6741)))))-COUNTBLANK(OFFSET(A$1,,,SUMPRODUCT(MAX(ROW(E$1:E6740)*(E2=E$1:E6740))))))</f>
        <v> </v>
      </c>
      <c r="K6741" s="26" t="str">
        <f>IF(OR(E6741="",E6741="!!!",F6741="NEW"),"",INDEX(J$1:J6740,SUMPRODUCT(MAX(ROW(E$1:E6740)*(E6741=E$1:E6740)))))</f>
        <v> </v>
      </c>
      <c r="L6741" s="27"/>
    </row>
    <row r="6742" spans="1:12">
      <c r="A6742" s="20" t="s">
        <v>1820</v>
      </c>
      <c r="B6742" s="21" t="s">
        <v>1033</v>
      </c>
      <c r="C6742" s="21" t="s">
        <v>1013</v>
      </c>
      <c r="D6742" s="21" t="s">
        <v>1007</v>
      </c>
      <c r="E6742" s="22">
        <f>IF(D6742="?OLD","!!!","")</f>
        <v/>
      </c>
      <c r="F6742" s="23" t="str">
        <f>IF(OR(E6742="",E6742="!!!"),"",IF(NOT(ISNA(VLOOKUP(E6742,E$1:E6741,1,FALSE()))),"OLD",IF(AND(E6742&lt;&gt;"",E6742&lt;&gt;"!!!"),"NEW","")))</f>
        <v> </v>
      </c>
      <c r="G6742" s="24" t="str">
        <f>IF(OR(E6742="",E6742="!!!"),"",IF(OR(J6742=0,AND(J6742=1,K6742=1),AND(J6742=1,I6742="SBJ"),AND(J6742=1,I6742=0)),"?IN_FOCUS",IF(J6742&lt;=2,"?ACTIVATED",IF(J6742&lt;&gt;"","?FAMILIAR",IF(F6742="NEW",IF(ISNA(VLOOKUP(E6742,#REF!,1,FALSE())),"?TYPE_IDENTIFIABLE","?REFERENTIAL"),"_")))))</f>
        <v> </v>
      </c>
      <c r="H6742" s="25" t="str">
        <f>IF(J6742&lt;&gt;1,"",IF(I6742="SBJ","CB","?"))</f>
        <v> </v>
      </c>
      <c r="I6742" s="26" t="str">
        <f>IF(OR(E6742="",E6742="!!!",F6742="NEW"),"",INDEX(B6741:B$2,-1+SUMPRODUCT(MAX(ROW(E6741:E$2)*(E6742=E6741:E$2)))))</f>
        <v> </v>
      </c>
      <c r="J6742" s="26" t="str">
        <f>IF(OR(E6742="",E6742="!!!",F6742="NEW"),"",COUNTBLANK(OFFSET(A$1,,,SUMPRODUCT(MAX(ROW(E$2:E6742)*(E6742=E$2:E6742)))))-COUNTBLANK(OFFSET(A$1,,,SUMPRODUCT(MAX(ROW(E$1:E6741)*(E2=E$1:E6741))))))</f>
        <v> </v>
      </c>
      <c r="K6742" s="26" t="str">
        <f>IF(OR(E6742="",E6742="!!!",F6742="NEW"),"",INDEX(J$1:J6741,SUMPRODUCT(MAX(ROW(E$1:E6741)*(E6742=E$1:E6741)))))</f>
        <v> </v>
      </c>
      <c r="L6742" s="27"/>
    </row>
    <row r="6743" spans="1:12">
      <c r="A6743" s="20" t="s">
        <v>1097</v>
      </c>
      <c r="E6743" s="22">
        <f>IF(D6743="?OLD","!!!","")</f>
        <v/>
      </c>
      <c r="F6743" s="23" t="str">
        <f>IF(OR(E6743="",E6743="!!!"),"",IF(NOT(ISNA(VLOOKUP(E6743,E$1:E6742,1,FALSE()))),"OLD",IF(AND(E6743&lt;&gt;"",E6743&lt;&gt;"!!!"),"NEW","")))</f>
        <v> </v>
      </c>
      <c r="G6743" s="24" t="str">
        <f>IF(OR(E6743="",E6743="!!!"),"",IF(OR(J6743=0,AND(J6743=1,K6743=1),AND(J6743=1,I6743="SBJ"),AND(J6743=1,I6743=0)),"?IN_FOCUS",IF(J6743&lt;=2,"?ACTIVATED",IF(J6743&lt;&gt;"","?FAMILIAR",IF(F6743="NEW",IF(ISNA(VLOOKUP(E6743,#REF!,1,FALSE())),"?TYPE_IDENTIFIABLE","?REFERENTIAL"),"_")))))</f>
        <v> </v>
      </c>
      <c r="H6743" s="25" t="str">
        <f>IF(J6743&lt;&gt;1,"",IF(I6743="SBJ","CB","?"))</f>
        <v> </v>
      </c>
      <c r="I6743" s="26" t="str">
        <f>IF(OR(E6743="",E6743="!!!",F6743="NEW"),"",INDEX(B6742:B$2,-1+SUMPRODUCT(MAX(ROW(E6742:E$2)*(E6743=E6742:E$2)))))</f>
        <v> </v>
      </c>
      <c r="J6743" s="26" t="str">
        <f>IF(OR(E6743="",E6743="!!!",F6743="NEW"),"",COUNTBLANK(OFFSET(A$1,,,SUMPRODUCT(MAX(ROW(E$2:E6743)*(E6743=E$2:E6743)))))-COUNTBLANK(OFFSET(A$1,,,SUMPRODUCT(MAX(ROW(E$1:E6742)*(E2=E$1:E6742))))))</f>
        <v> </v>
      </c>
      <c r="K6743" s="26" t="str">
        <f>IF(OR(E6743="",E6743="!!!",F6743="NEW"),"",INDEX(J$1:J6742,SUMPRODUCT(MAX(ROW(E$1:E6742)*(E6743=E$1:E6742)))))</f>
        <v> </v>
      </c>
      <c r="L6743" s="27"/>
    </row>
    <row r="6744" spans="1:12">
      <c r="A6744" s="20" t="s">
        <v>102</v>
      </c>
      <c r="E6744" s="22">
        <f>IF(D6744="?OLD","!!!","")</f>
        <v/>
      </c>
      <c r="F6744" s="23" t="str">
        <f>IF(OR(E6744="",E6744="!!!"),"",IF(NOT(ISNA(VLOOKUP(E6744,E$1:E6743,1,FALSE()))),"OLD",IF(AND(E6744&lt;&gt;"",E6744&lt;&gt;"!!!"),"NEW","")))</f>
        <v> </v>
      </c>
      <c r="G6744" s="24" t="str">
        <f>IF(OR(E6744="",E6744="!!!"),"",IF(OR(J6744=0,AND(J6744=1,K6744=1),AND(J6744=1,I6744="SBJ"),AND(J6744=1,I6744=0)),"?IN_FOCUS",IF(J6744&lt;=2,"?ACTIVATED",IF(J6744&lt;&gt;"","?FAMILIAR",IF(F6744="NEW",IF(ISNA(VLOOKUP(E6744,#REF!,1,FALSE())),"?TYPE_IDENTIFIABLE","?REFERENTIAL"),"_")))))</f>
        <v> </v>
      </c>
      <c r="H6744" s="25" t="str">
        <f>IF(J6744&lt;&gt;1,"",IF(I6744="SBJ","CB","?"))</f>
        <v> </v>
      </c>
      <c r="I6744" s="26" t="str">
        <f>IF(OR(E6744="",E6744="!!!",F6744="NEW"),"",INDEX(B6743:B$2,-1+SUMPRODUCT(MAX(ROW(E6743:E$2)*(E6744=E6743:E$2)))))</f>
        <v> </v>
      </c>
      <c r="J6744" s="26" t="str">
        <f>IF(OR(E6744="",E6744="!!!",F6744="NEW"),"",COUNTBLANK(OFFSET(A$1,,,SUMPRODUCT(MAX(ROW(E$2:E6744)*(E6744=E$2:E6744)))))-COUNTBLANK(OFFSET(A$1,,,SUMPRODUCT(MAX(ROW(E$1:E6743)*(E2=E$1:E6743))))))</f>
        <v> </v>
      </c>
      <c r="K6744" s="26" t="str">
        <f>IF(OR(E6744="",E6744="!!!",F6744="NEW"),"",INDEX(J$1:J6743,SUMPRODUCT(MAX(ROW(E$1:E6743)*(E6744=E$1:E6743)))))</f>
        <v> </v>
      </c>
      <c r="L6744" s="27"/>
    </row>
    <row r="6745" spans="1:12">
      <c r="A6745" s="20" t="s">
        <v>1801</v>
      </c>
      <c r="B6745" s="21" t="s">
        <v>1035</v>
      </c>
      <c r="C6745" s="21" t="s">
        <v>1017</v>
      </c>
      <c r="D6745" s="21" t="s">
        <v>1007</v>
      </c>
      <c r="E6745" s="22">
        <f>IF(D6745="?OLD","!!!","")</f>
        <v/>
      </c>
      <c r="F6745" s="23" t="str">
        <f>IF(OR(E6745="",E6745="!!!"),"",IF(NOT(ISNA(VLOOKUP(E6745,E$1:E6744,1,FALSE()))),"OLD",IF(AND(E6745&lt;&gt;"",E6745&lt;&gt;"!!!"),"NEW","")))</f>
        <v> </v>
      </c>
      <c r="G6745" s="24" t="str">
        <f>IF(OR(E6745="",E6745="!!!"),"",IF(OR(J6745=0,AND(J6745=1,K6745=1),AND(J6745=1,I6745="SBJ"),AND(J6745=1,I6745=0)),"?IN_FOCUS",IF(J6745&lt;=2,"?ACTIVATED",IF(J6745&lt;&gt;"","?FAMILIAR",IF(F6745="NEW",IF(ISNA(VLOOKUP(E6745,#REF!,1,FALSE())),"?TYPE_IDENTIFIABLE","?REFERENTIAL"),"_")))))</f>
        <v> </v>
      </c>
      <c r="H6745" s="25" t="str">
        <f>IF(J6745&lt;&gt;1,"",IF(I6745="SBJ","CB","?"))</f>
        <v> </v>
      </c>
      <c r="I6745" s="26" t="str">
        <f>IF(OR(E6745="",E6745="!!!",F6745="NEW"),"",INDEX(B6744:B$2,-1+SUMPRODUCT(MAX(ROW(E6744:E$2)*(E6745=E6744:E$2)))))</f>
        <v> </v>
      </c>
      <c r="J6745" s="26" t="str">
        <f>IF(OR(E6745="",E6745="!!!",F6745="NEW"),"",COUNTBLANK(OFFSET(A$1,,,SUMPRODUCT(MAX(ROW(E$2:E6745)*(E6745=E$2:E6745)))))-COUNTBLANK(OFFSET(A$1,,,SUMPRODUCT(MAX(ROW(E$1:E6744)*(E2=E$1:E6744))))))</f>
        <v> </v>
      </c>
      <c r="K6745" s="26" t="str">
        <f>IF(OR(E6745="",E6745="!!!",F6745="NEW"),"",INDEX(J$1:J6744,SUMPRODUCT(MAX(ROW(E$1:E6744)*(E6745=E$1:E6744)))))</f>
        <v> </v>
      </c>
      <c r="L6745" s="27"/>
    </row>
    <row r="6746" spans="1:12">
      <c r="A6746" s="20" t="s">
        <v>1014</v>
      </c>
      <c r="E6746" s="22">
        <f>IF(D6746="?OLD","!!!","")</f>
        <v/>
      </c>
      <c r="F6746" s="23" t="str">
        <f>IF(OR(E6746="",E6746="!!!"),"",IF(NOT(ISNA(VLOOKUP(E6746,E$1:E6745,1,FALSE()))),"OLD",IF(AND(E6746&lt;&gt;"",E6746&lt;&gt;"!!!"),"NEW","")))</f>
        <v> </v>
      </c>
      <c r="G6746" s="24" t="str">
        <f>IF(OR(E6746="",E6746="!!!"),"",IF(OR(J6746=0,AND(J6746=1,K6746=1),AND(J6746=1,I6746="SBJ"),AND(J6746=1,I6746=0)),"?IN_FOCUS",IF(J6746&lt;=2,"?ACTIVATED",IF(J6746&lt;&gt;"","?FAMILIAR",IF(F6746="NEW",IF(ISNA(VLOOKUP(E6746,#REF!,1,FALSE())),"?TYPE_IDENTIFIABLE","?REFERENTIAL"),"_")))))</f>
        <v> </v>
      </c>
      <c r="H6746" s="25" t="str">
        <f>IF(J6746&lt;&gt;1,"",IF(I6746="SBJ","CB","?"))</f>
        <v> </v>
      </c>
      <c r="I6746" s="26" t="str">
        <f>IF(OR(E6746="",E6746="!!!",F6746="NEW"),"",INDEX(B6745:B$2,-1+SUMPRODUCT(MAX(ROW(E6745:E$2)*(E6746=E6745:E$2)))))</f>
        <v> </v>
      </c>
      <c r="J6746" s="26" t="str">
        <f>IF(OR(E6746="",E6746="!!!",F6746="NEW"),"",COUNTBLANK(OFFSET(A$1,,,SUMPRODUCT(MAX(ROW(E$2:E6746)*(E6746=E$2:E6746)))))-COUNTBLANK(OFFSET(A$1,,,SUMPRODUCT(MAX(ROW(E$1:E6745)*(E2=E$1:E6745))))))</f>
        <v> </v>
      </c>
      <c r="K6746" s="26" t="str">
        <f>IF(OR(E6746="",E6746="!!!",F6746="NEW"),"",INDEX(J$1:J6745,SUMPRODUCT(MAX(ROW(E$1:E6745)*(E6746=E$1:E6745)))))</f>
        <v> </v>
      </c>
      <c r="L6746" s="27"/>
    </row>
    <row r="6747" spans="1:12">
      <c r="A6747" s="20" t="s">
        <v>1020</v>
      </c>
      <c r="E6747" s="22">
        <f>IF(D6747="?OLD","!!!","")</f>
        <v/>
      </c>
      <c r="F6747" s="23" t="str">
        <f>IF(OR(E6747="",E6747="!!!"),"",IF(NOT(ISNA(VLOOKUP(E6747,E$1:E6746,1,FALSE()))),"OLD",IF(AND(E6747&lt;&gt;"",E6747&lt;&gt;"!!!"),"NEW","")))</f>
        <v> </v>
      </c>
      <c r="G6747" s="24" t="str">
        <f>IF(OR(E6747="",E6747="!!!"),"",IF(OR(J6747=0,AND(J6747=1,K6747=1),AND(J6747=1,I6747="SBJ"),AND(J6747=1,I6747=0)),"?IN_FOCUS",IF(J6747&lt;=2,"?ACTIVATED",IF(J6747&lt;&gt;"","?FAMILIAR",IF(F6747="NEW",IF(ISNA(VLOOKUP(E6747,#REF!,1,FALSE())),"?TYPE_IDENTIFIABLE","?REFERENTIAL"),"_")))))</f>
        <v> </v>
      </c>
      <c r="H6747" s="25" t="str">
        <f>IF(J6747&lt;&gt;1,"",IF(I6747="SBJ","CB","?"))</f>
        <v> </v>
      </c>
      <c r="I6747" s="26" t="str">
        <f>IF(OR(E6747="",E6747="!!!",F6747="NEW"),"",INDEX(B6746:B$2,-1+SUMPRODUCT(MAX(ROW(E6746:E$2)*(E6747=E6746:E$2)))))</f>
        <v> </v>
      </c>
      <c r="J6747" s="26" t="str">
        <f>IF(OR(E6747="",E6747="!!!",F6747="NEW"),"",COUNTBLANK(OFFSET(A$1,,,SUMPRODUCT(MAX(ROW(E$2:E6747)*(E6747=E$2:E6747)))))-COUNTBLANK(OFFSET(A$1,,,SUMPRODUCT(MAX(ROW(E$1:E6746)*(E2=E$1:E6746))))))</f>
        <v> </v>
      </c>
      <c r="K6747" s="26" t="str">
        <f>IF(OR(E6747="",E6747="!!!",F6747="NEW"),"",INDEX(J$1:J6746,SUMPRODUCT(MAX(ROW(E$1:E6746)*(E6747=E$1:E6746)))))</f>
        <v> </v>
      </c>
      <c r="L6747" s="27"/>
    </row>
    <row r="6748" spans="1:12">
      <c r="A6748" s="20" t="s">
        <v>2728</v>
      </c>
      <c r="B6748" s="21" t="s">
        <v>1067</v>
      </c>
      <c r="C6748" s="21" t="s">
        <v>1017</v>
      </c>
      <c r="D6748" s="21" t="s">
        <v>1007</v>
      </c>
      <c r="E6748" s="22">
        <f>IF(D6748="?OLD","!!!","")</f>
        <v/>
      </c>
      <c r="F6748" s="23" t="str">
        <f>IF(OR(E6748="",E6748="!!!"),"",IF(NOT(ISNA(VLOOKUP(E6748,E$1:E6747,1,FALSE()))),"OLD",IF(AND(E6748&lt;&gt;"",E6748&lt;&gt;"!!!"),"NEW","")))</f>
        <v> </v>
      </c>
      <c r="G6748" s="24" t="str">
        <f>IF(OR(E6748="",E6748="!!!"),"",IF(OR(J6748=0,AND(J6748=1,K6748=1),AND(J6748=1,I6748="SBJ"),AND(J6748=1,I6748=0)),"?IN_FOCUS",IF(J6748&lt;=2,"?ACTIVATED",IF(J6748&lt;&gt;"","?FAMILIAR",IF(F6748="NEW",IF(ISNA(VLOOKUP(E6748,#REF!,1,FALSE())),"?TYPE_IDENTIFIABLE","?REFERENTIAL"),"_")))))</f>
        <v> </v>
      </c>
      <c r="H6748" s="25" t="str">
        <f>IF(J6748&lt;&gt;1,"",IF(I6748="SBJ","CB","?"))</f>
        <v> </v>
      </c>
      <c r="I6748" s="26" t="str">
        <f>IF(OR(E6748="",E6748="!!!",F6748="NEW"),"",INDEX(B6747:B$2,-1+SUMPRODUCT(MAX(ROW(E6747:E$2)*(E6748=E6747:E$2)))))</f>
        <v> </v>
      </c>
      <c r="J6748" s="26" t="str">
        <f>IF(OR(E6748="",E6748="!!!",F6748="NEW"),"",COUNTBLANK(OFFSET(A$1,,,SUMPRODUCT(MAX(ROW(E$2:E6748)*(E6748=E$2:E6748)))))-COUNTBLANK(OFFSET(A$1,,,SUMPRODUCT(MAX(ROW(E$1:E6747)*(E2=E$1:E6747))))))</f>
        <v> </v>
      </c>
      <c r="K6748" s="26" t="str">
        <f>IF(OR(E6748="",E6748="!!!",F6748="NEW"),"",INDEX(J$1:J6747,SUMPRODUCT(MAX(ROW(E$1:E6747)*(E6748=E$1:E6747)))))</f>
        <v> </v>
      </c>
      <c r="L6748" s="27"/>
    </row>
    <row r="6749" spans="1:12">
      <c r="A6749" s="20" t="s">
        <v>70</v>
      </c>
      <c r="E6749" s="22">
        <f>IF(D6749="?OLD","!!!","")</f>
        <v/>
      </c>
      <c r="F6749" s="23" t="str">
        <f>IF(OR(E6749="",E6749="!!!"),"",IF(NOT(ISNA(VLOOKUP(E6749,E$1:E6748,1,FALSE()))),"OLD",IF(AND(E6749&lt;&gt;"",E6749&lt;&gt;"!!!"),"NEW","")))</f>
        <v> </v>
      </c>
      <c r="G6749" s="24" t="str">
        <f>IF(OR(E6749="",E6749="!!!"),"",IF(OR(J6749=0,AND(J6749=1,K6749=1),AND(J6749=1,I6749="SBJ"),AND(J6749=1,I6749=0)),"?IN_FOCUS",IF(J6749&lt;=2,"?ACTIVATED",IF(J6749&lt;&gt;"","?FAMILIAR",IF(F6749="NEW",IF(ISNA(VLOOKUP(E6749,#REF!,1,FALSE())),"?TYPE_IDENTIFIABLE","?REFERENTIAL"),"_")))))</f>
        <v> </v>
      </c>
      <c r="H6749" s="25" t="str">
        <f>IF(J6749&lt;&gt;1,"",IF(I6749="SBJ","CB","?"))</f>
        <v> </v>
      </c>
      <c r="I6749" s="26" t="str">
        <f>IF(OR(E6749="",E6749="!!!",F6749="NEW"),"",INDEX(B6748:B$2,-1+SUMPRODUCT(MAX(ROW(E6748:E$2)*(E6749=E6748:E$2)))))</f>
        <v> </v>
      </c>
      <c r="J6749" s="26" t="str">
        <f>IF(OR(E6749="",E6749="!!!",F6749="NEW"),"",COUNTBLANK(OFFSET(A$1,,,SUMPRODUCT(MAX(ROW(E$2:E6749)*(E6749=E$2:E6749)))))-COUNTBLANK(OFFSET(A$1,,,SUMPRODUCT(MAX(ROW(E$1:E6748)*(E2=E$1:E6748))))))</f>
        <v> </v>
      </c>
      <c r="K6749" s="26" t="str">
        <f>IF(OR(E6749="",E6749="!!!",F6749="NEW"),"",INDEX(J$1:J6748,SUMPRODUCT(MAX(ROW(E$1:E6748)*(E6749=E$1:E6748)))))</f>
        <v> </v>
      </c>
      <c r="L6749" s="27"/>
    </row>
    <row r="6750" spans="1:12">
      <c r="A6750" s="20" t="s">
        <v>2729</v>
      </c>
      <c r="E6750" s="22">
        <f>IF(D6750="?OLD","!!!","")</f>
        <v/>
      </c>
      <c r="F6750" s="23" t="str">
        <f>IF(OR(E6750="",E6750="!!!"),"",IF(NOT(ISNA(VLOOKUP(E6750,E$1:E6749,1,FALSE()))),"OLD",IF(AND(E6750&lt;&gt;"",E6750&lt;&gt;"!!!"),"NEW","")))</f>
        <v> </v>
      </c>
      <c r="G6750" s="24" t="str">
        <f>IF(OR(E6750="",E6750="!!!"),"",IF(OR(J6750=0,AND(J6750=1,K6750=1),AND(J6750=1,I6750="SBJ"),AND(J6750=1,I6750=0)),"?IN_FOCUS",IF(J6750&lt;=2,"?ACTIVATED",IF(J6750&lt;&gt;"","?FAMILIAR",IF(F6750="NEW",IF(ISNA(VLOOKUP(E6750,#REF!,1,FALSE())),"?TYPE_IDENTIFIABLE","?REFERENTIAL"),"_")))))</f>
        <v> </v>
      </c>
      <c r="H6750" s="25" t="str">
        <f>IF(J6750&lt;&gt;1,"",IF(I6750="SBJ","CB","?"))</f>
        <v> </v>
      </c>
      <c r="I6750" s="26" t="str">
        <f>IF(OR(E6750="",E6750="!!!",F6750="NEW"),"",INDEX(B6749:B$2,-1+SUMPRODUCT(MAX(ROW(E6749:E$2)*(E6750=E6749:E$2)))))</f>
        <v> </v>
      </c>
      <c r="J6750" s="26" t="str">
        <f>IF(OR(E6750="",E6750="!!!",F6750="NEW"),"",COUNTBLANK(OFFSET(A$1,,,SUMPRODUCT(MAX(ROW(E$2:E6750)*(E6750=E$2:E6750)))))-COUNTBLANK(OFFSET(A$1,,,SUMPRODUCT(MAX(ROW(E$1:E6749)*(E2=E$1:E6749))))))</f>
        <v> </v>
      </c>
      <c r="K6750" s="26" t="str">
        <f>IF(OR(E6750="",E6750="!!!",F6750="NEW"),"",INDEX(J$1:J6749,SUMPRODUCT(MAX(ROW(E$1:E6749)*(E6750=E$1:E6749)))))</f>
        <v> </v>
      </c>
      <c r="L6750" s="27"/>
    </row>
    <row r="6751" spans="1:12">
      <c r="A6751" s="20" t="s">
        <v>1036</v>
      </c>
      <c r="E6751" s="22">
        <f>IF(D6751="?OLD","!!!","")</f>
        <v/>
      </c>
      <c r="F6751" s="23" t="str">
        <f>IF(OR(E6751="",E6751="!!!"),"",IF(NOT(ISNA(VLOOKUP(E6751,E$1:E6750,1,FALSE()))),"OLD",IF(AND(E6751&lt;&gt;"",E6751&lt;&gt;"!!!"),"NEW","")))</f>
        <v> </v>
      </c>
      <c r="G6751" s="24" t="str">
        <f>IF(OR(E6751="",E6751="!!!"),"",IF(OR(J6751=0,AND(J6751=1,K6751=1),AND(J6751=1,I6751="SBJ"),AND(J6751=1,I6751=0)),"?IN_FOCUS",IF(J6751&lt;=2,"?ACTIVATED",IF(J6751&lt;&gt;"","?FAMILIAR",IF(F6751="NEW",IF(ISNA(VLOOKUP(E6751,#REF!,1,FALSE())),"?TYPE_IDENTIFIABLE","?REFERENTIAL"),"_")))))</f>
        <v> </v>
      </c>
      <c r="H6751" s="25" t="str">
        <f>IF(J6751&lt;&gt;1,"",IF(I6751="SBJ","CB","?"))</f>
        <v> </v>
      </c>
      <c r="I6751" s="26" t="str">
        <f>IF(OR(E6751="",E6751="!!!",F6751="NEW"),"",INDEX(B6750:B$2,-1+SUMPRODUCT(MAX(ROW(E6750:E$2)*(E6751=E6750:E$2)))))</f>
        <v> </v>
      </c>
      <c r="J6751" s="26" t="str">
        <f>IF(OR(E6751="",E6751="!!!",F6751="NEW"),"",COUNTBLANK(OFFSET(A$1,,,SUMPRODUCT(MAX(ROW(E$2:E6751)*(E6751=E$2:E6751)))))-COUNTBLANK(OFFSET(A$1,,,SUMPRODUCT(MAX(ROW(E$1:E6750)*(E2=E$1:E6750))))))</f>
        <v> </v>
      </c>
      <c r="K6751" s="26" t="str">
        <f>IF(OR(E6751="",E6751="!!!",F6751="NEW"),"",INDEX(J$1:J6750,SUMPRODUCT(MAX(ROW(E$1:E6750)*(E6751=E$1:E6750)))))</f>
        <v> </v>
      </c>
      <c r="L6751" s="27"/>
    </row>
    <row r="6752" spans="1:12">
      <c r="A6752" s="20" t="s">
        <v>1037</v>
      </c>
      <c r="E6752" s="22">
        <f>IF(D6752="?OLD","!!!","")</f>
        <v/>
      </c>
      <c r="F6752" s="23" t="str">
        <f>IF(OR(E6752="",E6752="!!!"),"",IF(NOT(ISNA(VLOOKUP(E6752,E$1:E6751,1,FALSE()))),"OLD",IF(AND(E6752&lt;&gt;"",E6752&lt;&gt;"!!!"),"NEW","")))</f>
        <v> </v>
      </c>
      <c r="G6752" s="24" t="str">
        <f>IF(OR(E6752="",E6752="!!!"),"",IF(OR(J6752=0,AND(J6752=1,K6752=1),AND(J6752=1,I6752="SBJ"),AND(J6752=1,I6752=0)),"?IN_FOCUS",IF(J6752&lt;=2,"?ACTIVATED",IF(J6752&lt;&gt;"","?FAMILIAR",IF(F6752="NEW",IF(ISNA(VLOOKUP(E6752,#REF!,1,FALSE())),"?TYPE_IDENTIFIABLE","?REFERENTIAL"),"_")))))</f>
        <v> </v>
      </c>
      <c r="H6752" s="25" t="str">
        <f>IF(J6752&lt;&gt;1,"",IF(I6752="SBJ","CB","?"))</f>
        <v> </v>
      </c>
      <c r="I6752" s="26" t="str">
        <f>IF(OR(E6752="",E6752="!!!",F6752="NEW"),"",INDEX(B6751:B$2,-1+SUMPRODUCT(MAX(ROW(E6751:E$2)*(E6752=E6751:E$2)))))</f>
        <v> </v>
      </c>
      <c r="J6752" s="26" t="str">
        <f>IF(OR(E6752="",E6752="!!!",F6752="NEW"),"",COUNTBLANK(OFFSET(A$1,,,SUMPRODUCT(MAX(ROW(E$2:E6752)*(E6752=E$2:E6752)))))-COUNTBLANK(OFFSET(A$1,,,SUMPRODUCT(MAX(ROW(E$1:E6751)*(E2=E$1:E6751))))))</f>
        <v> </v>
      </c>
      <c r="K6752" s="26" t="str">
        <f>IF(OR(E6752="",E6752="!!!",F6752="NEW"),"",INDEX(J$1:J6751,SUMPRODUCT(MAX(ROW(E$1:E6751)*(E6752=E$1:E6751)))))</f>
        <v> </v>
      </c>
      <c r="L6752" s="27"/>
    </row>
    <row r="6753" spans="1:12">
      <c r="A6753" s="20" t="s">
        <v>1014</v>
      </c>
      <c r="E6753" s="22">
        <f>IF(D6753="?OLD","!!!","")</f>
        <v/>
      </c>
      <c r="F6753" s="23" t="str">
        <f>IF(OR(E6753="",E6753="!!!"),"",IF(NOT(ISNA(VLOOKUP(E6753,E$1:E6752,1,FALSE()))),"OLD",IF(AND(E6753&lt;&gt;"",E6753&lt;&gt;"!!!"),"NEW","")))</f>
        <v> </v>
      </c>
      <c r="G6753" s="24" t="str">
        <f>IF(OR(E6753="",E6753="!!!"),"",IF(OR(J6753=0,AND(J6753=1,K6753=1),AND(J6753=1,I6753="SBJ"),AND(J6753=1,I6753=0)),"?IN_FOCUS",IF(J6753&lt;=2,"?ACTIVATED",IF(J6753&lt;&gt;"","?FAMILIAR",IF(F6753="NEW",IF(ISNA(VLOOKUP(E6753,#REF!,1,FALSE())),"?TYPE_IDENTIFIABLE","?REFERENTIAL"),"_")))))</f>
        <v> </v>
      </c>
      <c r="H6753" s="25" t="str">
        <f>IF(J6753&lt;&gt;1,"",IF(I6753="SBJ","CB","?"))</f>
        <v> </v>
      </c>
      <c r="I6753" s="26" t="str">
        <f>IF(OR(E6753="",E6753="!!!",F6753="NEW"),"",INDEX(B6752:B$2,-1+SUMPRODUCT(MAX(ROW(E6752:E$2)*(E6753=E6752:E$2)))))</f>
        <v> </v>
      </c>
      <c r="J6753" s="26" t="str">
        <f>IF(OR(E6753="",E6753="!!!",F6753="NEW"),"",COUNTBLANK(OFFSET(A$1,,,SUMPRODUCT(MAX(ROW(E$2:E6753)*(E6753=E$2:E6753)))))-COUNTBLANK(OFFSET(A$1,,,SUMPRODUCT(MAX(ROW(E$1:E6752)*(E2=E$1:E6752))))))</f>
        <v> </v>
      </c>
      <c r="K6753" s="26" t="str">
        <f>IF(OR(E6753="",E6753="!!!",F6753="NEW"),"",INDEX(J$1:J6752,SUMPRODUCT(MAX(ROW(E$1:E6752)*(E6753=E$1:E6752)))))</f>
        <v> </v>
      </c>
      <c r="L6753" s="27"/>
    </row>
    <row r="6754" spans="1:12">
      <c r="A6754" s="20" t="s">
        <v>2730</v>
      </c>
      <c r="B6754" s="21" t="s">
        <v>1042</v>
      </c>
      <c r="C6754" s="21" t="s">
        <v>1048</v>
      </c>
      <c r="E6754" s="22">
        <f>IF(D6754="?OLD","!!!","")</f>
        <v/>
      </c>
      <c r="F6754" s="23" t="str">
        <f>IF(OR(E6754="",E6754="!!!"),"",IF(NOT(ISNA(VLOOKUP(E6754,E$1:E6753,1,FALSE()))),"OLD",IF(AND(E6754&lt;&gt;"",E6754&lt;&gt;"!!!"),"NEW","")))</f>
        <v> </v>
      </c>
      <c r="G6754" s="24" t="str">
        <f>IF(OR(E6754="",E6754="!!!"),"",IF(OR(J6754=0,AND(J6754=1,K6754=1),AND(J6754=1,I6754="SBJ"),AND(J6754=1,I6754=0)),"?IN_FOCUS",IF(J6754&lt;=2,"?ACTIVATED",IF(J6754&lt;&gt;"","?FAMILIAR",IF(F6754="NEW",IF(ISNA(VLOOKUP(E6754,#REF!,1,FALSE())),"?TYPE_IDENTIFIABLE","?REFERENTIAL"),"_")))))</f>
        <v> </v>
      </c>
      <c r="H6754" s="25" t="str">
        <f>IF(J6754&lt;&gt;1,"",IF(I6754="SBJ","CB","?"))</f>
        <v> </v>
      </c>
      <c r="I6754" s="26" t="str">
        <f>IF(OR(E6754="",E6754="!!!",F6754="NEW"),"",INDEX(B6753:B$2,-1+SUMPRODUCT(MAX(ROW(E6753:E$2)*(E6754=E6753:E$2)))))</f>
        <v> </v>
      </c>
      <c r="J6754" s="26" t="str">
        <f>IF(OR(E6754="",E6754="!!!",F6754="NEW"),"",COUNTBLANK(OFFSET(A$1,,,SUMPRODUCT(MAX(ROW(E$2:E6754)*(E6754=E$2:E6754)))))-COUNTBLANK(OFFSET(A$1,,,SUMPRODUCT(MAX(ROW(E$1:E6753)*(E2=E$1:E6753))))))</f>
        <v> </v>
      </c>
      <c r="K6754" s="26" t="str">
        <f>IF(OR(E6754="",E6754="!!!",F6754="NEW"),"",INDEX(J$1:J6753,SUMPRODUCT(MAX(ROW(E$1:E6753)*(E6754=E$1:E6753)))))</f>
        <v> </v>
      </c>
      <c r="L6754" s="27"/>
    </row>
    <row r="6755" spans="1:12">
      <c r="A6755" s="20" t="s">
        <v>2731</v>
      </c>
      <c r="E6755" s="22">
        <f>IF(D6755="?OLD","!!!","")</f>
        <v/>
      </c>
      <c r="F6755" s="23" t="str">
        <f>IF(OR(E6755="",E6755="!!!"),"",IF(NOT(ISNA(VLOOKUP(E6755,E$1:E6754,1,FALSE()))),"OLD",IF(AND(E6755&lt;&gt;"",E6755&lt;&gt;"!!!"),"NEW","")))</f>
        <v> </v>
      </c>
      <c r="G6755" s="24" t="str">
        <f>IF(OR(E6755="",E6755="!!!"),"",IF(OR(J6755=0,AND(J6755=1,K6755=1),AND(J6755=1,I6755="SBJ"),AND(J6755=1,I6755=0)),"?IN_FOCUS",IF(J6755&lt;=2,"?ACTIVATED",IF(J6755&lt;&gt;"","?FAMILIAR",IF(F6755="NEW",IF(ISNA(VLOOKUP(E6755,#REF!,1,FALSE())),"?TYPE_IDENTIFIABLE","?REFERENTIAL"),"_")))))</f>
        <v> </v>
      </c>
      <c r="H6755" s="25" t="str">
        <f>IF(J6755&lt;&gt;1,"",IF(I6755="SBJ","CB","?"))</f>
        <v> </v>
      </c>
      <c r="I6755" s="26" t="str">
        <f>IF(OR(E6755="",E6755="!!!",F6755="NEW"),"",INDEX(B6754:B$2,-1+SUMPRODUCT(MAX(ROW(E6754:E$2)*(E6755=E6754:E$2)))))</f>
        <v> </v>
      </c>
      <c r="J6755" s="26" t="str">
        <f>IF(OR(E6755="",E6755="!!!",F6755="NEW"),"",COUNTBLANK(OFFSET(A$1,,,SUMPRODUCT(MAX(ROW(E$2:E6755)*(E6755=E$2:E6755)))))-COUNTBLANK(OFFSET(A$1,,,SUMPRODUCT(MAX(ROW(E$1:E6754)*(E2=E$1:E6754))))))</f>
        <v> </v>
      </c>
      <c r="K6755" s="26" t="str">
        <f>IF(OR(E6755="",E6755="!!!",F6755="NEW"),"",INDEX(J$1:J6754,SUMPRODUCT(MAX(ROW(E$1:E6754)*(E6755=E$1:E6754)))))</f>
        <v> </v>
      </c>
      <c r="L6755" s="27"/>
    </row>
    <row r="6756" spans="1:12">
      <c r="A6756" s="20" t="s">
        <v>1018</v>
      </c>
      <c r="E6756" s="22">
        <f>IF(D6756="?OLD","!!!","")</f>
        <v/>
      </c>
      <c r="F6756" s="23" t="str">
        <f>IF(OR(E6756="",E6756="!!!"),"",IF(NOT(ISNA(VLOOKUP(E6756,E$1:E6755,1,FALSE()))),"OLD",IF(AND(E6756&lt;&gt;"",E6756&lt;&gt;"!!!"),"NEW","")))</f>
        <v> </v>
      </c>
      <c r="G6756" s="24" t="str">
        <f>IF(OR(E6756="",E6756="!!!"),"",IF(OR(J6756=0,AND(J6756=1,K6756=1),AND(J6756=1,I6756="SBJ"),AND(J6756=1,I6756=0)),"?IN_FOCUS",IF(J6756&lt;=2,"?ACTIVATED",IF(J6756&lt;&gt;"","?FAMILIAR",IF(F6756="NEW",IF(ISNA(VLOOKUP(E6756,#REF!,1,FALSE())),"?TYPE_IDENTIFIABLE","?REFERENTIAL"),"_")))))</f>
        <v> </v>
      </c>
      <c r="H6756" s="25" t="str">
        <f>IF(J6756&lt;&gt;1,"",IF(I6756="SBJ","CB","?"))</f>
        <v> </v>
      </c>
      <c r="I6756" s="26" t="str">
        <f>IF(OR(E6756="",E6756="!!!",F6756="NEW"),"",INDEX(B6755:B$2,-1+SUMPRODUCT(MAX(ROW(E6755:E$2)*(E6756=E6755:E$2)))))</f>
        <v> </v>
      </c>
      <c r="J6756" s="26" t="str">
        <f>IF(OR(E6756="",E6756="!!!",F6756="NEW"),"",COUNTBLANK(OFFSET(A$1,,,SUMPRODUCT(MAX(ROW(E$2:E6756)*(E6756=E$2:E6756)))))-COUNTBLANK(OFFSET(A$1,,,SUMPRODUCT(MAX(ROW(E$1:E6755)*(E2=E$1:E6755))))))</f>
        <v> </v>
      </c>
      <c r="K6756" s="26" t="str">
        <f>IF(OR(E6756="",E6756="!!!",F6756="NEW"),"",INDEX(J$1:J6755,SUMPRODUCT(MAX(ROW(E$1:E6755)*(E6756=E$1:E6755)))))</f>
        <v> </v>
      </c>
      <c r="L6756" s="27"/>
    </row>
    <row r="6757" spans="1:12">
      <c r="A6757" s="20" t="s">
        <v>1330</v>
      </c>
      <c r="E6757" s="22">
        <f>IF(D6757="?OLD","!!!","")</f>
        <v/>
      </c>
      <c r="F6757" s="23" t="str">
        <f>IF(OR(E6757="",E6757="!!!"),"",IF(NOT(ISNA(VLOOKUP(E6757,E$1:E6756,1,FALSE()))),"OLD",IF(AND(E6757&lt;&gt;"",E6757&lt;&gt;"!!!"),"NEW","")))</f>
        <v> </v>
      </c>
      <c r="G6757" s="24" t="str">
        <f>IF(OR(E6757="",E6757="!!!"),"",IF(OR(J6757=0,AND(J6757=1,K6757=1),AND(J6757=1,I6757="SBJ"),AND(J6757=1,I6757=0)),"?IN_FOCUS",IF(J6757&lt;=2,"?ACTIVATED",IF(J6757&lt;&gt;"","?FAMILIAR",IF(F6757="NEW",IF(ISNA(VLOOKUP(E6757,#REF!,1,FALSE())),"?TYPE_IDENTIFIABLE","?REFERENTIAL"),"_")))))</f>
        <v> </v>
      </c>
      <c r="H6757" s="25" t="str">
        <f>IF(J6757&lt;&gt;1,"",IF(I6757="SBJ","CB","?"))</f>
        <v> </v>
      </c>
      <c r="I6757" s="26" t="str">
        <f>IF(OR(E6757="",E6757="!!!",F6757="NEW"),"",INDEX(B6756:B$2,-1+SUMPRODUCT(MAX(ROW(E6756:E$2)*(E6757=E6756:E$2)))))</f>
        <v> </v>
      </c>
      <c r="J6757" s="26" t="str">
        <f>IF(OR(E6757="",E6757="!!!",F6757="NEW"),"",COUNTBLANK(OFFSET(A$1,,,SUMPRODUCT(MAX(ROW(E$2:E6757)*(E6757=E$2:E6757)))))-COUNTBLANK(OFFSET(A$1,,,SUMPRODUCT(MAX(ROW(E$1:E6756)*(E2=E$1:E6756))))))</f>
        <v> </v>
      </c>
      <c r="K6757" s="26" t="str">
        <f>IF(OR(E6757="",E6757="!!!",F6757="NEW"),"",INDEX(J$1:J6756,SUMPRODUCT(MAX(ROW(E$1:E6756)*(E6757=E$1:E6756)))))</f>
        <v> </v>
      </c>
      <c r="L6757" s="27"/>
    </row>
    <row r="6758" spans="1:12">
      <c r="A6758" s="20" t="s">
        <v>1669</v>
      </c>
      <c r="B6758" s="21" t="s">
        <v>1022</v>
      </c>
      <c r="C6758" s="21" t="s">
        <v>1082</v>
      </c>
      <c r="D6758" s="21" t="s">
        <v>1007</v>
      </c>
      <c r="E6758" s="22">
        <f>IF(D6758="?OLD","!!!","")</f>
        <v/>
      </c>
      <c r="F6758" s="23" t="str">
        <f>IF(OR(E6758="",E6758="!!!"),"",IF(NOT(ISNA(VLOOKUP(E6758,E$1:E6757,1,FALSE()))),"OLD",IF(AND(E6758&lt;&gt;"",E6758&lt;&gt;"!!!"),"NEW","")))</f>
        <v> </v>
      </c>
      <c r="G6758" s="24" t="str">
        <f>IF(OR(E6758="",E6758="!!!"),"",IF(OR(J6758=0,AND(J6758=1,K6758=1),AND(J6758=1,I6758="SBJ"),AND(J6758=1,I6758=0)),"?IN_FOCUS",IF(J6758&lt;=2,"?ACTIVATED",IF(J6758&lt;&gt;"","?FAMILIAR",IF(F6758="NEW",IF(ISNA(VLOOKUP(E6758,#REF!,1,FALSE())),"?TYPE_IDENTIFIABLE","?REFERENTIAL"),"_")))))</f>
        <v> </v>
      </c>
      <c r="H6758" s="25" t="str">
        <f>IF(J6758&lt;&gt;1,"",IF(I6758="SBJ","CB","?"))</f>
        <v> </v>
      </c>
      <c r="I6758" s="26" t="str">
        <f>IF(OR(E6758="",E6758="!!!",F6758="NEW"),"",INDEX(B6757:B$2,-1+SUMPRODUCT(MAX(ROW(E6757:E$2)*(E6758=E6757:E$2)))))</f>
        <v> </v>
      </c>
      <c r="J6758" s="26" t="str">
        <f>IF(OR(E6758="",E6758="!!!",F6758="NEW"),"",COUNTBLANK(OFFSET(A$1,,,SUMPRODUCT(MAX(ROW(E$2:E6758)*(E6758=E$2:E6758)))))-COUNTBLANK(OFFSET(A$1,,,SUMPRODUCT(MAX(ROW(E$1:E6757)*(E2=E$1:E6757))))))</f>
        <v> </v>
      </c>
      <c r="K6758" s="26" t="str">
        <f>IF(OR(E6758="",E6758="!!!",F6758="NEW"),"",INDEX(J$1:J6757,SUMPRODUCT(MAX(ROW(E$1:E6757)*(E6758=E$1:E6757)))))</f>
        <v> </v>
      </c>
      <c r="L6758" s="27"/>
    </row>
    <row r="6759" spans="1:12">
      <c r="A6759" s="20" t="s">
        <v>1018</v>
      </c>
      <c r="E6759" s="22">
        <f>IF(D6759="?OLD","!!!","")</f>
        <v/>
      </c>
      <c r="F6759" s="23" t="str">
        <f>IF(OR(E6759="",E6759="!!!"),"",IF(NOT(ISNA(VLOOKUP(E6759,E$1:E6758,1,FALSE()))),"OLD",IF(AND(E6759&lt;&gt;"",E6759&lt;&gt;"!!!"),"NEW","")))</f>
        <v> </v>
      </c>
      <c r="G6759" s="24" t="str">
        <f>IF(OR(E6759="",E6759="!!!"),"",IF(OR(J6759=0,AND(J6759=1,K6759=1),AND(J6759=1,I6759="SBJ"),AND(J6759=1,I6759=0)),"?IN_FOCUS",IF(J6759&lt;=2,"?ACTIVATED",IF(J6759&lt;&gt;"","?FAMILIAR",IF(F6759="NEW",IF(ISNA(VLOOKUP(E6759,#REF!,1,FALSE())),"?TYPE_IDENTIFIABLE","?REFERENTIAL"),"_")))))</f>
        <v> </v>
      </c>
      <c r="H6759" s="25" t="str">
        <f>IF(J6759&lt;&gt;1,"",IF(I6759="SBJ","CB","?"))</f>
        <v> </v>
      </c>
      <c r="I6759" s="26" t="str">
        <f>IF(OR(E6759="",E6759="!!!",F6759="NEW"),"",INDEX(B6758:B$2,-1+SUMPRODUCT(MAX(ROW(E6758:E$2)*(E6759=E6758:E$2)))))</f>
        <v> </v>
      </c>
      <c r="J6759" s="26" t="str">
        <f>IF(OR(E6759="",E6759="!!!",F6759="NEW"),"",COUNTBLANK(OFFSET(A$1,,,SUMPRODUCT(MAX(ROW(E$2:E6759)*(E6759=E$2:E6759)))))-COUNTBLANK(OFFSET(A$1,,,SUMPRODUCT(MAX(ROW(E$1:E6758)*(E2=E$1:E6758))))))</f>
        <v> </v>
      </c>
      <c r="K6759" s="26" t="str">
        <f>IF(OR(E6759="",E6759="!!!",F6759="NEW"),"",INDEX(J$1:J6758,SUMPRODUCT(MAX(ROW(E$1:E6758)*(E6759=E$1:E6758)))))</f>
        <v> </v>
      </c>
      <c r="L6759" s="27"/>
    </row>
    <row r="6760" spans="1:12">
      <c r="A6760" s="20" t="s">
        <v>1290</v>
      </c>
      <c r="E6760" s="22">
        <f>IF(D6760="?OLD","!!!","")</f>
        <v/>
      </c>
      <c r="F6760" s="23" t="str">
        <f>IF(OR(E6760="",E6760="!!!"),"",IF(NOT(ISNA(VLOOKUP(E6760,E$1:E6759,1,FALSE()))),"OLD",IF(AND(E6760&lt;&gt;"",E6760&lt;&gt;"!!!"),"NEW","")))</f>
        <v> </v>
      </c>
      <c r="G6760" s="24" t="str">
        <f>IF(OR(E6760="",E6760="!!!"),"",IF(OR(J6760=0,AND(J6760=1,K6760=1),AND(J6760=1,I6760="SBJ"),AND(J6760=1,I6760=0)),"?IN_FOCUS",IF(J6760&lt;=2,"?ACTIVATED",IF(J6760&lt;&gt;"","?FAMILIAR",IF(F6760="NEW",IF(ISNA(VLOOKUP(E6760,#REF!,1,FALSE())),"?TYPE_IDENTIFIABLE","?REFERENTIAL"),"_")))))</f>
        <v> </v>
      </c>
      <c r="H6760" s="25" t="str">
        <f>IF(J6760&lt;&gt;1,"",IF(I6760="SBJ","CB","?"))</f>
        <v> </v>
      </c>
      <c r="I6760" s="26" t="str">
        <f>IF(OR(E6760="",E6760="!!!",F6760="NEW"),"",INDEX(B6759:B$2,-1+SUMPRODUCT(MAX(ROW(E6759:E$2)*(E6760=E6759:E$2)))))</f>
        <v> </v>
      </c>
      <c r="J6760" s="26" t="str">
        <f>IF(OR(E6760="",E6760="!!!",F6760="NEW"),"",COUNTBLANK(OFFSET(A$1,,,SUMPRODUCT(MAX(ROW(E$2:E6760)*(E6760=E$2:E6760)))))-COUNTBLANK(OFFSET(A$1,,,SUMPRODUCT(MAX(ROW(E$1:E6759)*(E2=E$1:E6759))))))</f>
        <v> </v>
      </c>
      <c r="K6760" s="26" t="str">
        <f>IF(OR(E6760="",E6760="!!!",F6760="NEW"),"",INDEX(J$1:J6759,SUMPRODUCT(MAX(ROW(E$1:E6759)*(E6760=E$1:E6759)))))</f>
        <v> </v>
      </c>
      <c r="L6760" s="27"/>
    </row>
    <row r="6761" spans="1:12">
      <c r="A6761" s="20" t="s">
        <v>2632</v>
      </c>
      <c r="B6761" s="21" t="s">
        <v>1119</v>
      </c>
      <c r="C6761" s="21" t="s">
        <v>1048</v>
      </c>
      <c r="E6761" s="22">
        <f>IF(D6761="?OLD","!!!","")</f>
        <v/>
      </c>
      <c r="F6761" s="23" t="str">
        <f>IF(OR(E6761="",E6761="!!!"),"",IF(NOT(ISNA(VLOOKUP(E6761,E$1:E6760,1,FALSE()))),"OLD",IF(AND(E6761&lt;&gt;"",E6761&lt;&gt;"!!!"),"NEW","")))</f>
        <v> </v>
      </c>
      <c r="G6761" s="24" t="str">
        <f>IF(OR(E6761="",E6761="!!!"),"",IF(OR(J6761=0,AND(J6761=1,K6761=1),AND(J6761=1,I6761="SBJ"),AND(J6761=1,I6761=0)),"?IN_FOCUS",IF(J6761&lt;=2,"?ACTIVATED",IF(J6761&lt;&gt;"","?FAMILIAR",IF(F6761="NEW",IF(ISNA(VLOOKUP(E6761,#REF!,1,FALSE())),"?TYPE_IDENTIFIABLE","?REFERENTIAL"),"_")))))</f>
        <v> </v>
      </c>
      <c r="H6761" s="25" t="str">
        <f>IF(J6761&lt;&gt;1,"",IF(I6761="SBJ","CB","?"))</f>
        <v> </v>
      </c>
      <c r="I6761" s="26" t="str">
        <f>IF(OR(E6761="",E6761="!!!",F6761="NEW"),"",INDEX(B6760:B$2,-1+SUMPRODUCT(MAX(ROW(E6760:E$2)*(E6761=E6760:E$2)))))</f>
        <v> </v>
      </c>
      <c r="J6761" s="26" t="str">
        <f>IF(OR(E6761="",E6761="!!!",F6761="NEW"),"",COUNTBLANK(OFFSET(A$1,,,SUMPRODUCT(MAX(ROW(E$2:E6761)*(E6761=E$2:E6761)))))-COUNTBLANK(OFFSET(A$1,,,SUMPRODUCT(MAX(ROW(E$1:E6760)*(E2=E$1:E6760))))))</f>
        <v> </v>
      </c>
      <c r="K6761" s="26" t="str">
        <f>IF(OR(E6761="",E6761="!!!",F6761="NEW"),"",INDEX(J$1:J6760,SUMPRODUCT(MAX(ROW(E$1:E6760)*(E6761=E$1:E6760)))))</f>
        <v> </v>
      </c>
      <c r="L6761" s="27"/>
    </row>
    <row r="6762" spans="1:12">
      <c r="A6762" s="20" t="s">
        <v>1018</v>
      </c>
      <c r="E6762" s="22">
        <f>IF(D6762="?OLD","!!!","")</f>
        <v/>
      </c>
      <c r="F6762" s="23" t="str">
        <f>IF(OR(E6762="",E6762="!!!"),"",IF(NOT(ISNA(VLOOKUP(E6762,E$1:E6761,1,FALSE()))),"OLD",IF(AND(E6762&lt;&gt;"",E6762&lt;&gt;"!!!"),"NEW","")))</f>
        <v> </v>
      </c>
      <c r="G6762" s="24" t="str">
        <f>IF(OR(E6762="",E6762="!!!"),"",IF(OR(J6762=0,AND(J6762=1,K6762=1),AND(J6762=1,I6762="SBJ"),AND(J6762=1,I6762=0)),"?IN_FOCUS",IF(J6762&lt;=2,"?ACTIVATED",IF(J6762&lt;&gt;"","?FAMILIAR",IF(F6762="NEW",IF(ISNA(VLOOKUP(E6762,#REF!,1,FALSE())),"?TYPE_IDENTIFIABLE","?REFERENTIAL"),"_")))))</f>
        <v> </v>
      </c>
      <c r="H6762" s="25" t="str">
        <f>IF(J6762&lt;&gt;1,"",IF(I6762="SBJ","CB","?"))</f>
        <v> </v>
      </c>
      <c r="I6762" s="26" t="str">
        <f>IF(OR(E6762="",E6762="!!!",F6762="NEW"),"",INDEX(B6761:B$2,-1+SUMPRODUCT(MAX(ROW(E6761:E$2)*(E6762=E6761:E$2)))))</f>
        <v> </v>
      </c>
      <c r="J6762" s="26" t="str">
        <f>IF(OR(E6762="",E6762="!!!",F6762="NEW"),"",COUNTBLANK(OFFSET(A$1,,,SUMPRODUCT(MAX(ROW(E$2:E6762)*(E6762=E$2:E6762)))))-COUNTBLANK(OFFSET(A$1,,,SUMPRODUCT(MAX(ROW(E$1:E6761)*(E2=E$1:E6761))))))</f>
        <v> </v>
      </c>
      <c r="K6762" s="26" t="str">
        <f>IF(OR(E6762="",E6762="!!!",F6762="NEW"),"",INDEX(J$1:J6761,SUMPRODUCT(MAX(ROW(E$1:E6761)*(E6762=E$1:E6761)))))</f>
        <v> </v>
      </c>
      <c r="L6762" s="27"/>
    </row>
    <row r="6763" spans="1:12">
      <c r="A6763" s="20" t="s">
        <v>2732</v>
      </c>
      <c r="E6763" s="22">
        <f>IF(D6763="?OLD","!!!","")</f>
        <v/>
      </c>
      <c r="F6763" s="23" t="str">
        <f>IF(OR(E6763="",E6763="!!!"),"",IF(NOT(ISNA(VLOOKUP(E6763,E$1:E6762,1,FALSE()))),"OLD",IF(AND(E6763&lt;&gt;"",E6763&lt;&gt;"!!!"),"NEW","")))</f>
        <v> </v>
      </c>
      <c r="G6763" s="24" t="str">
        <f>IF(OR(E6763="",E6763="!!!"),"",IF(OR(J6763=0,AND(J6763=1,K6763=1),AND(J6763=1,I6763="SBJ"),AND(J6763=1,I6763=0)),"?IN_FOCUS",IF(J6763&lt;=2,"?ACTIVATED",IF(J6763&lt;&gt;"","?FAMILIAR",IF(F6763="NEW",IF(ISNA(VLOOKUP(E6763,#REF!,1,FALSE())),"?TYPE_IDENTIFIABLE","?REFERENTIAL"),"_")))))</f>
        <v> </v>
      </c>
      <c r="H6763" s="25" t="str">
        <f>IF(J6763&lt;&gt;1,"",IF(I6763="SBJ","CB","?"))</f>
        <v> </v>
      </c>
      <c r="I6763" s="26" t="str">
        <f>IF(OR(E6763="",E6763="!!!",F6763="NEW"),"",INDEX(B6762:B$2,-1+SUMPRODUCT(MAX(ROW(E6762:E$2)*(E6763=E6762:E$2)))))</f>
        <v> </v>
      </c>
      <c r="J6763" s="26" t="str">
        <f>IF(OR(E6763="",E6763="!!!",F6763="NEW"),"",COUNTBLANK(OFFSET(A$1,,,SUMPRODUCT(MAX(ROW(E$2:E6763)*(E6763=E$2:E6763)))))-COUNTBLANK(OFFSET(A$1,,,SUMPRODUCT(MAX(ROW(E$1:E6762)*(E2=E$1:E6762))))))</f>
        <v> </v>
      </c>
      <c r="K6763" s="26" t="str">
        <f>IF(OR(E6763="",E6763="!!!",F6763="NEW"),"",INDEX(J$1:J6762,SUMPRODUCT(MAX(ROW(E$1:E6762)*(E6763=E$1:E6762)))))</f>
        <v> </v>
      </c>
      <c r="L6763" s="27"/>
    </row>
    <row r="6764" spans="1:12">
      <c r="A6764" s="20" t="s">
        <v>1036</v>
      </c>
      <c r="E6764" s="22">
        <f>IF(D6764="?OLD","!!!","")</f>
        <v/>
      </c>
      <c r="F6764" s="23" t="str">
        <f>IF(OR(E6764="",E6764="!!!"),"",IF(NOT(ISNA(VLOOKUP(E6764,E$1:E6763,1,FALSE()))),"OLD",IF(AND(E6764&lt;&gt;"",E6764&lt;&gt;"!!!"),"NEW","")))</f>
        <v> </v>
      </c>
      <c r="G6764" s="24" t="str">
        <f>IF(OR(E6764="",E6764="!!!"),"",IF(OR(J6764=0,AND(J6764=1,K6764=1),AND(J6764=1,I6764="SBJ"),AND(J6764=1,I6764=0)),"?IN_FOCUS",IF(J6764&lt;=2,"?ACTIVATED",IF(J6764&lt;&gt;"","?FAMILIAR",IF(F6764="NEW",IF(ISNA(VLOOKUP(E6764,#REF!,1,FALSE())),"?TYPE_IDENTIFIABLE","?REFERENTIAL"),"_")))))</f>
        <v> </v>
      </c>
      <c r="H6764" s="25" t="str">
        <f>IF(J6764&lt;&gt;1,"",IF(I6764="SBJ","CB","?"))</f>
        <v> </v>
      </c>
      <c r="I6764" s="26" t="str">
        <f>IF(OR(E6764="",E6764="!!!",F6764="NEW"),"",INDEX(B6763:B$2,-1+SUMPRODUCT(MAX(ROW(E6763:E$2)*(E6764=E6763:E$2)))))</f>
        <v> </v>
      </c>
      <c r="J6764" s="26" t="str">
        <f>IF(OR(E6764="",E6764="!!!",F6764="NEW"),"",COUNTBLANK(OFFSET(A$1,,,SUMPRODUCT(MAX(ROW(E$2:E6764)*(E6764=E$2:E6764)))))-COUNTBLANK(OFFSET(A$1,,,SUMPRODUCT(MAX(ROW(E$1:E6763)*(E2=E$1:E6763))))))</f>
        <v> </v>
      </c>
      <c r="K6764" s="26" t="str">
        <f>IF(OR(E6764="",E6764="!!!",F6764="NEW"),"",INDEX(J$1:J6763,SUMPRODUCT(MAX(ROW(E$1:E6763)*(E6764=E$1:E6763)))))</f>
        <v> </v>
      </c>
      <c r="L6764" s="27"/>
    </row>
    <row r="6765" spans="1:12">
      <c r="A6765" s="20" t="s">
        <v>1037</v>
      </c>
      <c r="E6765" s="22">
        <f>IF(D6765="?OLD","!!!","")</f>
        <v/>
      </c>
      <c r="F6765" s="23" t="str">
        <f>IF(OR(E6765="",E6765="!!!"),"",IF(NOT(ISNA(VLOOKUP(E6765,E$1:E6764,1,FALSE()))),"OLD",IF(AND(E6765&lt;&gt;"",E6765&lt;&gt;"!!!"),"NEW","")))</f>
        <v> </v>
      </c>
      <c r="G6765" s="24" t="str">
        <f>IF(OR(E6765="",E6765="!!!"),"",IF(OR(J6765=0,AND(J6765=1,K6765=1),AND(J6765=1,I6765="SBJ"),AND(J6765=1,I6765=0)),"?IN_FOCUS",IF(J6765&lt;=2,"?ACTIVATED",IF(J6765&lt;&gt;"","?FAMILIAR",IF(F6765="NEW",IF(ISNA(VLOOKUP(E6765,#REF!,1,FALSE())),"?TYPE_IDENTIFIABLE","?REFERENTIAL"),"_")))))</f>
        <v> </v>
      </c>
      <c r="H6765" s="25" t="str">
        <f>IF(J6765&lt;&gt;1,"",IF(I6765="SBJ","CB","?"))</f>
        <v> </v>
      </c>
      <c r="I6765" s="26" t="str">
        <f>IF(OR(E6765="",E6765="!!!",F6765="NEW"),"",INDEX(B6764:B$2,-1+SUMPRODUCT(MAX(ROW(E6764:E$2)*(E6765=E6764:E$2)))))</f>
        <v> </v>
      </c>
      <c r="J6765" s="26" t="str">
        <f>IF(OR(E6765="",E6765="!!!",F6765="NEW"),"",COUNTBLANK(OFFSET(A$1,,,SUMPRODUCT(MAX(ROW(E$2:E6765)*(E6765=E$2:E6765)))))-COUNTBLANK(OFFSET(A$1,,,SUMPRODUCT(MAX(ROW(E$1:E6764)*(E2=E$1:E6764))))))</f>
        <v> </v>
      </c>
      <c r="K6765" s="26" t="str">
        <f>IF(OR(E6765="",E6765="!!!",F6765="NEW"),"",INDEX(J$1:J6764,SUMPRODUCT(MAX(ROW(E$1:E6764)*(E6765=E$1:E6764)))))</f>
        <v> </v>
      </c>
      <c r="L6765" s="27"/>
    </row>
    <row r="6766" spans="1:12">
      <c r="A6766" s="20" t="s">
        <v>1014</v>
      </c>
      <c r="E6766" s="22">
        <f>IF(D6766="?OLD","!!!","")</f>
        <v/>
      </c>
      <c r="F6766" s="23" t="str">
        <f>IF(OR(E6766="",E6766="!!!"),"",IF(NOT(ISNA(VLOOKUP(E6766,E$1:E6765,1,FALSE()))),"OLD",IF(AND(E6766&lt;&gt;"",E6766&lt;&gt;"!!!"),"NEW","")))</f>
        <v> </v>
      </c>
      <c r="G6766" s="24" t="str">
        <f>IF(OR(E6766="",E6766="!!!"),"",IF(OR(J6766=0,AND(J6766=1,K6766=1),AND(J6766=1,I6766="SBJ"),AND(J6766=1,I6766=0)),"?IN_FOCUS",IF(J6766&lt;=2,"?ACTIVATED",IF(J6766&lt;&gt;"","?FAMILIAR",IF(F6766="NEW",IF(ISNA(VLOOKUP(E6766,#REF!,1,FALSE())),"?TYPE_IDENTIFIABLE","?REFERENTIAL"),"_")))))</f>
        <v> </v>
      </c>
      <c r="H6766" s="25" t="str">
        <f>IF(J6766&lt;&gt;1,"",IF(I6766="SBJ","CB","?"))</f>
        <v> </v>
      </c>
      <c r="I6766" s="26" t="str">
        <f>IF(OR(E6766="",E6766="!!!",F6766="NEW"),"",INDEX(B6765:B$2,-1+SUMPRODUCT(MAX(ROW(E6765:E$2)*(E6766=E6765:E$2)))))</f>
        <v> </v>
      </c>
      <c r="J6766" s="26" t="str">
        <f>IF(OR(E6766="",E6766="!!!",F6766="NEW"),"",COUNTBLANK(OFFSET(A$1,,,SUMPRODUCT(MAX(ROW(E$2:E6766)*(E6766=E$2:E6766)))))-COUNTBLANK(OFFSET(A$1,,,SUMPRODUCT(MAX(ROW(E$1:E6765)*(E2=E$1:E6765))))))</f>
        <v> </v>
      </c>
      <c r="K6766" s="26" t="str">
        <f>IF(OR(E6766="",E6766="!!!",F6766="NEW"),"",INDEX(J$1:J6765,SUMPRODUCT(MAX(ROW(E$1:E6765)*(E6766=E$1:E6765)))))</f>
        <v> </v>
      </c>
      <c r="L6766" s="27"/>
    </row>
    <row r="6767" spans="1:12">
      <c r="A6767" s="20" t="s">
        <v>1279</v>
      </c>
      <c r="E6767" s="22">
        <f>IF(D6767="?OLD","!!!","")</f>
        <v/>
      </c>
      <c r="F6767" s="23" t="str">
        <f>IF(OR(E6767="",E6767="!!!"),"",IF(NOT(ISNA(VLOOKUP(E6767,E$1:E6766,1,FALSE()))),"OLD",IF(AND(E6767&lt;&gt;"",E6767&lt;&gt;"!!!"),"NEW","")))</f>
        <v> </v>
      </c>
      <c r="G6767" s="24" t="str">
        <f>IF(OR(E6767="",E6767="!!!"),"",IF(OR(J6767=0,AND(J6767=1,K6767=1),AND(J6767=1,I6767="SBJ"),AND(J6767=1,I6767=0)),"?IN_FOCUS",IF(J6767&lt;=2,"?ACTIVATED",IF(J6767&lt;&gt;"","?FAMILIAR",IF(F6767="NEW",IF(ISNA(VLOOKUP(E6767,#REF!,1,FALSE())),"?TYPE_IDENTIFIABLE","?REFERENTIAL"),"_")))))</f>
        <v> </v>
      </c>
      <c r="H6767" s="25" t="str">
        <f>IF(J6767&lt;&gt;1,"",IF(I6767="SBJ","CB","?"))</f>
        <v> </v>
      </c>
      <c r="I6767" s="26" t="str">
        <f>IF(OR(E6767="",E6767="!!!",F6767="NEW"),"",INDEX(B6766:B$2,-1+SUMPRODUCT(MAX(ROW(E6766:E$2)*(E6767=E6766:E$2)))))</f>
        <v> </v>
      </c>
      <c r="J6767" s="26" t="str">
        <f>IF(OR(E6767="",E6767="!!!",F6767="NEW"),"",COUNTBLANK(OFFSET(A$1,,,SUMPRODUCT(MAX(ROW(E$2:E6767)*(E6767=E$2:E6767)))))-COUNTBLANK(OFFSET(A$1,,,SUMPRODUCT(MAX(ROW(E$1:E6766)*(E2=E$1:E6766))))))</f>
        <v> </v>
      </c>
      <c r="K6767" s="26" t="str">
        <f>IF(OR(E6767="",E6767="!!!",F6767="NEW"),"",INDEX(J$1:J6766,SUMPRODUCT(MAX(ROW(E$1:E6766)*(E6767=E$1:E6766)))))</f>
        <v> </v>
      </c>
      <c r="L6767" s="27"/>
    </row>
    <row r="6768" spans="1:12">
      <c r="A6768" s="20" t="s">
        <v>1062</v>
      </c>
      <c r="E6768" s="22">
        <f>IF(D6768="?OLD","!!!","")</f>
        <v/>
      </c>
      <c r="F6768" s="23" t="str">
        <f>IF(OR(E6768="",E6768="!!!"),"",IF(NOT(ISNA(VLOOKUP(E6768,E$1:E6767,1,FALSE()))),"OLD",IF(AND(E6768&lt;&gt;"",E6768&lt;&gt;"!!!"),"NEW","")))</f>
        <v> </v>
      </c>
      <c r="G6768" s="24" t="str">
        <f>IF(OR(E6768="",E6768="!!!"),"",IF(OR(J6768=0,AND(J6768=1,K6768=1),AND(J6768=1,I6768="SBJ"),AND(J6768=1,I6768=0)),"?IN_FOCUS",IF(J6768&lt;=2,"?ACTIVATED",IF(J6768&lt;&gt;"","?FAMILIAR",IF(F6768="NEW",IF(ISNA(VLOOKUP(E6768,#REF!,1,FALSE())),"?TYPE_IDENTIFIABLE","?REFERENTIAL"),"_")))))</f>
        <v> </v>
      </c>
      <c r="H6768" s="25" t="str">
        <f>IF(J6768&lt;&gt;1,"",IF(I6768="SBJ","CB","?"))</f>
        <v> </v>
      </c>
      <c r="I6768" s="26" t="str">
        <f>IF(OR(E6768="",E6768="!!!",F6768="NEW"),"",INDEX(B6767:B$2,-1+SUMPRODUCT(MAX(ROW(E6767:E$2)*(E6768=E6767:E$2)))))</f>
        <v> </v>
      </c>
      <c r="J6768" s="26" t="str">
        <f>IF(OR(E6768="",E6768="!!!",F6768="NEW"),"",COUNTBLANK(OFFSET(A$1,,,SUMPRODUCT(MAX(ROW(E$2:E6768)*(E6768=E$2:E6768)))))-COUNTBLANK(OFFSET(A$1,,,SUMPRODUCT(MAX(ROW(E$1:E6767)*(E2=E$1:E6767))))))</f>
        <v> </v>
      </c>
      <c r="K6768" s="26" t="str">
        <f>IF(OR(E6768="",E6768="!!!",F6768="NEW"),"",INDEX(J$1:J6767,SUMPRODUCT(MAX(ROW(E$1:E6767)*(E6768=E$1:E6767)))))</f>
        <v> </v>
      </c>
      <c r="L6768" s="27"/>
    </row>
    <row r="6769" spans="1:12">
      <c r="A6769" s="20" t="s">
        <v>2730</v>
      </c>
      <c r="B6769" s="21" t="s">
        <v>1022</v>
      </c>
      <c r="C6769" s="21" t="s">
        <v>1041</v>
      </c>
      <c r="D6769" s="21" t="s">
        <v>1007</v>
      </c>
      <c r="E6769" s="22">
        <f>IF(D6769="?OLD","!!!","")</f>
        <v/>
      </c>
      <c r="F6769" s="23" t="str">
        <f>IF(OR(E6769="",E6769="!!!"),"",IF(NOT(ISNA(VLOOKUP(E6769,E$1:E6768,1,FALSE()))),"OLD",IF(AND(E6769&lt;&gt;"",E6769&lt;&gt;"!!!"),"NEW","")))</f>
        <v> </v>
      </c>
      <c r="G6769" s="24" t="str">
        <f>IF(OR(E6769="",E6769="!!!"),"",IF(OR(J6769=0,AND(J6769=1,K6769=1),AND(J6769=1,I6769="SBJ"),AND(J6769=1,I6769=0)),"?IN_FOCUS",IF(J6769&lt;=2,"?ACTIVATED",IF(J6769&lt;&gt;"","?FAMILIAR",IF(F6769="NEW",IF(ISNA(VLOOKUP(E6769,#REF!,1,FALSE())),"?TYPE_IDENTIFIABLE","?REFERENTIAL"),"_")))))</f>
        <v> </v>
      </c>
      <c r="H6769" s="25" t="str">
        <f>IF(J6769&lt;&gt;1,"",IF(I6769="SBJ","CB","?"))</f>
        <v> </v>
      </c>
      <c r="I6769" s="26" t="str">
        <f>IF(OR(E6769="",E6769="!!!",F6769="NEW"),"",INDEX(B6768:B$2,-1+SUMPRODUCT(MAX(ROW(E6768:E$2)*(E6769=E6768:E$2)))))</f>
        <v> </v>
      </c>
      <c r="J6769" s="26" t="str">
        <f>IF(OR(E6769="",E6769="!!!",F6769="NEW"),"",COUNTBLANK(OFFSET(A$1,,,SUMPRODUCT(MAX(ROW(E$2:E6769)*(E6769=E$2:E6769)))))-COUNTBLANK(OFFSET(A$1,,,SUMPRODUCT(MAX(ROW(E$1:E6768)*(E2=E$1:E6768))))))</f>
        <v> </v>
      </c>
      <c r="K6769" s="26" t="str">
        <f>IF(OR(E6769="",E6769="!!!",F6769="NEW"),"",INDEX(J$1:J6768,SUMPRODUCT(MAX(ROW(E$1:E6768)*(E6769=E$1:E6768)))))</f>
        <v> </v>
      </c>
      <c r="L6769" s="27"/>
    </row>
    <row r="6770" spans="1:12">
      <c r="A6770" s="20" t="s">
        <v>2731</v>
      </c>
      <c r="E6770" s="22">
        <f>IF(D6770="?OLD","!!!","")</f>
        <v/>
      </c>
      <c r="F6770" s="23" t="str">
        <f>IF(OR(E6770="",E6770="!!!"),"",IF(NOT(ISNA(VLOOKUP(E6770,E$1:E6769,1,FALSE()))),"OLD",IF(AND(E6770&lt;&gt;"",E6770&lt;&gt;"!!!"),"NEW","")))</f>
        <v> </v>
      </c>
      <c r="G6770" s="24" t="str">
        <f>IF(OR(E6770="",E6770="!!!"),"",IF(OR(J6770=0,AND(J6770=1,K6770=1),AND(J6770=1,I6770="SBJ"),AND(J6770=1,I6770=0)),"?IN_FOCUS",IF(J6770&lt;=2,"?ACTIVATED",IF(J6770&lt;&gt;"","?FAMILIAR",IF(F6770="NEW",IF(ISNA(VLOOKUP(E6770,#REF!,1,FALSE())),"?TYPE_IDENTIFIABLE","?REFERENTIAL"),"_")))))</f>
        <v> </v>
      </c>
      <c r="H6770" s="25" t="str">
        <f>IF(J6770&lt;&gt;1,"",IF(I6770="SBJ","CB","?"))</f>
        <v> </v>
      </c>
      <c r="I6770" s="26" t="str">
        <f>IF(OR(E6770="",E6770="!!!",F6770="NEW"),"",INDEX(B6769:B$2,-1+SUMPRODUCT(MAX(ROW(E6769:E$2)*(E6770=E6769:E$2)))))</f>
        <v> </v>
      </c>
      <c r="J6770" s="26" t="str">
        <f>IF(OR(E6770="",E6770="!!!",F6770="NEW"),"",COUNTBLANK(OFFSET(A$1,,,SUMPRODUCT(MAX(ROW(E$2:E6770)*(E6770=E$2:E6770)))))-COUNTBLANK(OFFSET(A$1,,,SUMPRODUCT(MAX(ROW(E$1:E6769)*(E2=E$1:E6769))))))</f>
        <v> </v>
      </c>
      <c r="K6770" s="26" t="str">
        <f>IF(OR(E6770="",E6770="!!!",F6770="NEW"),"",INDEX(J$1:J6769,SUMPRODUCT(MAX(ROW(E$1:E6769)*(E6770=E$1:E6769)))))</f>
        <v> </v>
      </c>
      <c r="L6770" s="27"/>
    </row>
    <row r="6771" spans="1:12">
      <c r="A6771" s="20" t="s">
        <v>1018</v>
      </c>
      <c r="E6771" s="22">
        <f>IF(D6771="?OLD","!!!","")</f>
        <v/>
      </c>
      <c r="F6771" s="23" t="str">
        <f>IF(OR(E6771="",E6771="!!!"),"",IF(NOT(ISNA(VLOOKUP(E6771,E$1:E6770,1,FALSE()))),"OLD",IF(AND(E6771&lt;&gt;"",E6771&lt;&gt;"!!!"),"NEW","")))</f>
        <v> </v>
      </c>
      <c r="G6771" s="24" t="str">
        <f>IF(OR(E6771="",E6771="!!!"),"",IF(OR(J6771=0,AND(J6771=1,K6771=1),AND(J6771=1,I6771="SBJ"),AND(J6771=1,I6771=0)),"?IN_FOCUS",IF(J6771&lt;=2,"?ACTIVATED",IF(J6771&lt;&gt;"","?FAMILIAR",IF(F6771="NEW",IF(ISNA(VLOOKUP(E6771,#REF!,1,FALSE())),"?TYPE_IDENTIFIABLE","?REFERENTIAL"),"_")))))</f>
        <v> </v>
      </c>
      <c r="H6771" s="25" t="str">
        <f>IF(J6771&lt;&gt;1,"",IF(I6771="SBJ","CB","?"))</f>
        <v> </v>
      </c>
      <c r="I6771" s="26" t="str">
        <f>IF(OR(E6771="",E6771="!!!",F6771="NEW"),"",INDEX(B6770:B$2,-1+SUMPRODUCT(MAX(ROW(E6770:E$2)*(E6771=E6770:E$2)))))</f>
        <v> </v>
      </c>
      <c r="J6771" s="26" t="str">
        <f>IF(OR(E6771="",E6771="!!!",F6771="NEW"),"",COUNTBLANK(OFFSET(A$1,,,SUMPRODUCT(MAX(ROW(E$2:E6771)*(E6771=E$2:E6771)))))-COUNTBLANK(OFFSET(A$1,,,SUMPRODUCT(MAX(ROW(E$1:E6770)*(E2=E$1:E6770))))))</f>
        <v> </v>
      </c>
      <c r="K6771" s="26" t="str">
        <f>IF(OR(E6771="",E6771="!!!",F6771="NEW"),"",INDEX(J$1:J6770,SUMPRODUCT(MAX(ROW(E$1:E6770)*(E6771=E$1:E6770)))))</f>
        <v> </v>
      </c>
      <c r="L6771" s="27"/>
    </row>
    <row r="6772" spans="1:12">
      <c r="A6772" s="20" t="s">
        <v>56</v>
      </c>
      <c r="E6772" s="22">
        <f>IF(D6772="?OLD","!!!","")</f>
        <v/>
      </c>
      <c r="F6772" s="23" t="str">
        <f>IF(OR(E6772="",E6772="!!!"),"",IF(NOT(ISNA(VLOOKUP(E6772,E$1:E6771,1,FALSE()))),"OLD",IF(AND(E6772&lt;&gt;"",E6772&lt;&gt;"!!!"),"NEW","")))</f>
        <v> </v>
      </c>
      <c r="G6772" s="24" t="str">
        <f>IF(OR(E6772="",E6772="!!!"),"",IF(OR(J6772=0,AND(J6772=1,K6772=1),AND(J6772=1,I6772="SBJ"),AND(J6772=1,I6772=0)),"?IN_FOCUS",IF(J6772&lt;=2,"?ACTIVATED",IF(J6772&lt;&gt;"","?FAMILIAR",IF(F6772="NEW",IF(ISNA(VLOOKUP(E6772,#REF!,1,FALSE())),"?TYPE_IDENTIFIABLE","?REFERENTIAL"),"_")))))</f>
        <v> </v>
      </c>
      <c r="H6772" s="25" t="str">
        <f>IF(J6772&lt;&gt;1,"",IF(I6772="SBJ","CB","?"))</f>
        <v> </v>
      </c>
      <c r="I6772" s="26" t="str">
        <f>IF(OR(E6772="",E6772="!!!",F6772="NEW"),"",INDEX(B6771:B$2,-1+SUMPRODUCT(MAX(ROW(E6771:E$2)*(E6772=E6771:E$2)))))</f>
        <v> </v>
      </c>
      <c r="J6772" s="26" t="str">
        <f>IF(OR(E6772="",E6772="!!!",F6772="NEW"),"",COUNTBLANK(OFFSET(A$1,,,SUMPRODUCT(MAX(ROW(E$2:E6772)*(E6772=E$2:E6772)))))-COUNTBLANK(OFFSET(A$1,,,SUMPRODUCT(MAX(ROW(E$1:E6771)*(E2=E$1:E6771))))))</f>
        <v> </v>
      </c>
      <c r="K6772" s="26" t="str">
        <f>IF(OR(E6772="",E6772="!!!",F6772="NEW"),"",INDEX(J$1:J6771,SUMPRODUCT(MAX(ROW(E$1:E6771)*(E6772=E$1:E6771)))))</f>
        <v> </v>
      </c>
      <c r="L6772" s="27"/>
    </row>
    <row r="6773" spans="1:12">
      <c r="A6773" s="20" t="s">
        <v>1142</v>
      </c>
      <c r="E6773" s="22">
        <f>IF(D6773="?OLD","!!!","")</f>
        <v/>
      </c>
      <c r="F6773" s="23" t="str">
        <f>IF(OR(E6773="",E6773="!!!"),"",IF(NOT(ISNA(VLOOKUP(E6773,E$1:E6772,1,FALSE()))),"OLD",IF(AND(E6773&lt;&gt;"",E6773&lt;&gt;"!!!"),"NEW","")))</f>
        <v> </v>
      </c>
      <c r="G6773" s="24" t="str">
        <f>IF(OR(E6773="",E6773="!!!"),"",IF(OR(J6773=0,AND(J6773=1,K6773=1),AND(J6773=1,I6773="SBJ"),AND(J6773=1,I6773=0)),"?IN_FOCUS",IF(J6773&lt;=2,"?ACTIVATED",IF(J6773&lt;&gt;"","?FAMILIAR",IF(F6773="NEW",IF(ISNA(VLOOKUP(E6773,#REF!,1,FALSE())),"?TYPE_IDENTIFIABLE","?REFERENTIAL"),"_")))))</f>
        <v> </v>
      </c>
      <c r="H6773" s="25" t="str">
        <f>IF(J6773&lt;&gt;1,"",IF(I6773="SBJ","CB","?"))</f>
        <v> </v>
      </c>
      <c r="I6773" s="26" t="str">
        <f>IF(OR(E6773="",E6773="!!!",F6773="NEW"),"",INDEX(B6772:B$2,-1+SUMPRODUCT(MAX(ROW(E6772:E$2)*(E6773=E6772:E$2)))))</f>
        <v> </v>
      </c>
      <c r="J6773" s="26" t="str">
        <f>IF(OR(E6773="",E6773="!!!",F6773="NEW"),"",COUNTBLANK(OFFSET(A$1,,,SUMPRODUCT(MAX(ROW(E$2:E6773)*(E6773=E$2:E6773)))))-COUNTBLANK(OFFSET(A$1,,,SUMPRODUCT(MAX(ROW(E$1:E6772)*(E2=E$1:E6772))))))</f>
        <v> </v>
      </c>
      <c r="K6773" s="26" t="str">
        <f>IF(OR(E6773="",E6773="!!!",F6773="NEW"),"",INDEX(J$1:J6772,SUMPRODUCT(MAX(ROW(E$1:E6772)*(E6773=E$1:E6772)))))</f>
        <v> </v>
      </c>
      <c r="L6773" s="27"/>
    </row>
    <row r="6774" spans="1:12">
      <c r="A6774" s="20" t="s">
        <v>1178</v>
      </c>
      <c r="E6774" s="22">
        <f>IF(D6774="?OLD","!!!","")</f>
        <v/>
      </c>
      <c r="F6774" s="23" t="str">
        <f>IF(OR(E6774="",E6774="!!!"),"",IF(NOT(ISNA(VLOOKUP(E6774,E$1:E6773,1,FALSE()))),"OLD",IF(AND(E6774&lt;&gt;"",E6774&lt;&gt;"!!!"),"NEW","")))</f>
        <v> </v>
      </c>
      <c r="G6774" s="24" t="str">
        <f>IF(OR(E6774="",E6774="!!!"),"",IF(OR(J6774=0,AND(J6774=1,K6774=1),AND(J6774=1,I6774="SBJ"),AND(J6774=1,I6774=0)),"?IN_FOCUS",IF(J6774&lt;=2,"?ACTIVATED",IF(J6774&lt;&gt;"","?FAMILIAR",IF(F6774="NEW",IF(ISNA(VLOOKUP(E6774,#REF!,1,FALSE())),"?TYPE_IDENTIFIABLE","?REFERENTIAL"),"_")))))</f>
        <v> </v>
      </c>
      <c r="H6774" s="25" t="str">
        <f>IF(J6774&lt;&gt;1,"",IF(I6774="SBJ","CB","?"))</f>
        <v> </v>
      </c>
      <c r="I6774" s="26" t="str">
        <f>IF(OR(E6774="",E6774="!!!",F6774="NEW"),"",INDEX(B6773:B$2,-1+SUMPRODUCT(MAX(ROW(E6773:E$2)*(E6774=E6773:E$2)))))</f>
        <v> </v>
      </c>
      <c r="J6774" s="26" t="str">
        <f>IF(OR(E6774="",E6774="!!!",F6774="NEW"),"",COUNTBLANK(OFFSET(A$1,,,SUMPRODUCT(MAX(ROW(E$2:E6774)*(E6774=E$2:E6774)))))-COUNTBLANK(OFFSET(A$1,,,SUMPRODUCT(MAX(ROW(E$1:E6773)*(E2=E$1:E6773))))))</f>
        <v> </v>
      </c>
      <c r="K6774" s="26" t="str">
        <f>IF(OR(E6774="",E6774="!!!",F6774="NEW"),"",INDEX(J$1:J6773,SUMPRODUCT(MAX(ROW(E$1:E6773)*(E6774=E$1:E6773)))))</f>
        <v> </v>
      </c>
      <c r="L6774" s="27"/>
    </row>
    <row r="6775" spans="1:12">
      <c r="A6775" s="20" t="s">
        <v>1065</v>
      </c>
      <c r="E6775" s="22">
        <f>IF(D6775="?OLD","!!!","")</f>
        <v/>
      </c>
      <c r="F6775" s="23" t="str">
        <f>IF(OR(E6775="",E6775="!!!"),"",IF(NOT(ISNA(VLOOKUP(E6775,E$1:E6774,1,FALSE()))),"OLD",IF(AND(E6775&lt;&gt;"",E6775&lt;&gt;"!!!"),"NEW","")))</f>
        <v> </v>
      </c>
      <c r="G6775" s="24" t="str">
        <f>IF(OR(E6775="",E6775="!!!"),"",IF(OR(J6775=0,AND(J6775=1,K6775=1),AND(J6775=1,I6775="SBJ"),AND(J6775=1,I6775=0)),"?IN_FOCUS",IF(J6775&lt;=2,"?ACTIVATED",IF(J6775&lt;&gt;"","?FAMILIAR",IF(F6775="NEW",IF(ISNA(VLOOKUP(E6775,#REF!,1,FALSE())),"?TYPE_IDENTIFIABLE","?REFERENTIAL"),"_")))))</f>
        <v> </v>
      </c>
      <c r="H6775" s="25" t="str">
        <f>IF(J6775&lt;&gt;1,"",IF(I6775="SBJ","CB","?"))</f>
        <v> </v>
      </c>
      <c r="I6775" s="26" t="str">
        <f>IF(OR(E6775="",E6775="!!!",F6775="NEW"),"",INDEX(B6774:B$2,-1+SUMPRODUCT(MAX(ROW(E6774:E$2)*(E6775=E6774:E$2)))))</f>
        <v> </v>
      </c>
      <c r="J6775" s="26" t="str">
        <f>IF(OR(E6775="",E6775="!!!",F6775="NEW"),"",COUNTBLANK(OFFSET(A$1,,,SUMPRODUCT(MAX(ROW(E$2:E6775)*(E6775=E$2:E6775)))))-COUNTBLANK(OFFSET(A$1,,,SUMPRODUCT(MAX(ROW(E$1:E6774)*(E2=E$1:E6774))))))</f>
        <v> </v>
      </c>
      <c r="K6775" s="26" t="str">
        <f>IF(OR(E6775="",E6775="!!!",F6775="NEW"),"",INDEX(J$1:J6774,SUMPRODUCT(MAX(ROW(E$1:E6774)*(E6775=E$1:E6774)))))</f>
        <v> </v>
      </c>
      <c r="L6775" s="27"/>
    </row>
    <row r="6776" spans="1:12">
      <c r="A6776" s="20" t="s">
        <v>1858</v>
      </c>
      <c r="E6776" s="22">
        <f>IF(D6776="?OLD","!!!","")</f>
        <v/>
      </c>
      <c r="F6776" s="23" t="str">
        <f>IF(OR(E6776="",E6776="!!!"),"",IF(NOT(ISNA(VLOOKUP(E6776,E$1:E6775,1,FALSE()))),"OLD",IF(AND(E6776&lt;&gt;"",E6776&lt;&gt;"!!!"),"NEW","")))</f>
        <v> </v>
      </c>
      <c r="G6776" s="24" t="str">
        <f>IF(OR(E6776="",E6776="!!!"),"",IF(OR(J6776=0,AND(J6776=1,K6776=1),AND(J6776=1,I6776="SBJ"),AND(J6776=1,I6776=0)),"?IN_FOCUS",IF(J6776&lt;=2,"?ACTIVATED",IF(J6776&lt;&gt;"","?FAMILIAR",IF(F6776="NEW",IF(ISNA(VLOOKUP(E6776,#REF!,1,FALSE())),"?TYPE_IDENTIFIABLE","?REFERENTIAL"),"_")))))</f>
        <v> </v>
      </c>
      <c r="H6776" s="25" t="str">
        <f>IF(J6776&lt;&gt;1,"",IF(I6776="SBJ","CB","?"))</f>
        <v> </v>
      </c>
      <c r="I6776" s="26" t="str">
        <f>IF(OR(E6776="",E6776="!!!",F6776="NEW"),"",INDEX(B6775:B$2,-1+SUMPRODUCT(MAX(ROW(E6775:E$2)*(E6776=E6775:E$2)))))</f>
        <v> </v>
      </c>
      <c r="J6776" s="26" t="str">
        <f>IF(OR(E6776="",E6776="!!!",F6776="NEW"),"",COUNTBLANK(OFFSET(A$1,,,SUMPRODUCT(MAX(ROW(E$2:E6776)*(E6776=E$2:E6776)))))-COUNTBLANK(OFFSET(A$1,,,SUMPRODUCT(MAX(ROW(E$1:E6775)*(E2=E$1:E6775))))))</f>
        <v> </v>
      </c>
      <c r="K6776" s="26" t="str">
        <f>IF(OR(E6776="",E6776="!!!",F6776="NEW"),"",INDEX(J$1:J6775,SUMPRODUCT(MAX(ROW(E$1:E6775)*(E6776=E$1:E6775)))))</f>
        <v> </v>
      </c>
      <c r="L6776" s="27"/>
    </row>
    <row r="6777" spans="1:12">
      <c r="A6777" s="20" t="s">
        <v>1014</v>
      </c>
      <c r="E6777" s="22">
        <f>IF(D6777="?OLD","!!!","")</f>
        <v/>
      </c>
      <c r="F6777" s="23" t="str">
        <f>IF(OR(E6777="",E6777="!!!"),"",IF(NOT(ISNA(VLOOKUP(E6777,E$1:E6776,1,FALSE()))),"OLD",IF(AND(E6777&lt;&gt;"",E6777&lt;&gt;"!!!"),"NEW","")))</f>
        <v> </v>
      </c>
      <c r="G6777" s="24" t="str">
        <f>IF(OR(E6777="",E6777="!!!"),"",IF(OR(J6777=0,AND(J6777=1,K6777=1),AND(J6777=1,I6777="SBJ"),AND(J6777=1,I6777=0)),"?IN_FOCUS",IF(J6777&lt;=2,"?ACTIVATED",IF(J6777&lt;&gt;"","?FAMILIAR",IF(F6777="NEW",IF(ISNA(VLOOKUP(E6777,#REF!,1,FALSE())),"?TYPE_IDENTIFIABLE","?REFERENTIAL"),"_")))))</f>
        <v> </v>
      </c>
      <c r="H6777" s="25" t="str">
        <f>IF(J6777&lt;&gt;1,"",IF(I6777="SBJ","CB","?"))</f>
        <v> </v>
      </c>
      <c r="I6777" s="26" t="str">
        <f>IF(OR(E6777="",E6777="!!!",F6777="NEW"),"",INDEX(B6776:B$2,-1+SUMPRODUCT(MAX(ROW(E6776:E$2)*(E6777=E6776:E$2)))))</f>
        <v> </v>
      </c>
      <c r="J6777" s="26" t="str">
        <f>IF(OR(E6777="",E6777="!!!",F6777="NEW"),"",COUNTBLANK(OFFSET(A$1,,,SUMPRODUCT(MAX(ROW(E$2:E6777)*(E6777=E$2:E6777)))))-COUNTBLANK(OFFSET(A$1,,,SUMPRODUCT(MAX(ROW(E$1:E6776)*(E2=E$1:E6776))))))</f>
        <v> </v>
      </c>
      <c r="K6777" s="26" t="str">
        <f>IF(OR(E6777="",E6777="!!!",F6777="NEW"),"",INDEX(J$1:J6776,SUMPRODUCT(MAX(ROW(E$1:E6776)*(E6777=E$1:E6776)))))</f>
        <v> </v>
      </c>
      <c r="L6777" s="27"/>
    </row>
    <row r="6778" spans="1:12">
      <c r="A6778" s="20" t="s">
        <v>1020</v>
      </c>
      <c r="E6778" s="22">
        <f>IF(D6778="?OLD","!!!","")</f>
        <v/>
      </c>
      <c r="F6778" s="23" t="str">
        <f>IF(OR(E6778="",E6778="!!!"),"",IF(NOT(ISNA(VLOOKUP(E6778,E$1:E6777,1,FALSE()))),"OLD",IF(AND(E6778&lt;&gt;"",E6778&lt;&gt;"!!!"),"NEW","")))</f>
        <v> </v>
      </c>
      <c r="G6778" s="24" t="str">
        <f>IF(OR(E6778="",E6778="!!!"),"",IF(OR(J6778=0,AND(J6778=1,K6778=1),AND(J6778=1,I6778="SBJ"),AND(J6778=1,I6778=0)),"?IN_FOCUS",IF(J6778&lt;=2,"?ACTIVATED",IF(J6778&lt;&gt;"","?FAMILIAR",IF(F6778="NEW",IF(ISNA(VLOOKUP(E6778,#REF!,1,FALSE())),"?TYPE_IDENTIFIABLE","?REFERENTIAL"),"_")))))</f>
        <v> </v>
      </c>
      <c r="H6778" s="25" t="str">
        <f>IF(J6778&lt;&gt;1,"",IF(I6778="SBJ","CB","?"))</f>
        <v> </v>
      </c>
      <c r="I6778" s="26" t="str">
        <f>IF(OR(E6778="",E6778="!!!",F6778="NEW"),"",INDEX(B6777:B$2,-1+SUMPRODUCT(MAX(ROW(E6777:E$2)*(E6778=E6777:E$2)))))</f>
        <v> </v>
      </c>
      <c r="J6778" s="26" t="str">
        <f>IF(OR(E6778="",E6778="!!!",F6778="NEW"),"",COUNTBLANK(OFFSET(A$1,,,SUMPRODUCT(MAX(ROW(E$2:E6778)*(E6778=E$2:E6778)))))-COUNTBLANK(OFFSET(A$1,,,SUMPRODUCT(MAX(ROW(E$1:E6777)*(E2=E$1:E6777))))))</f>
        <v> </v>
      </c>
      <c r="K6778" s="26" t="str">
        <f>IF(OR(E6778="",E6778="!!!",F6778="NEW"),"",INDEX(J$1:J6777,SUMPRODUCT(MAX(ROW(E$1:E6777)*(E6778=E$1:E6777)))))</f>
        <v> </v>
      </c>
      <c r="L6778" s="27"/>
    </row>
    <row r="6779" spans="1:12">
      <c r="A6779" s="20" t="s">
        <v>1873</v>
      </c>
      <c r="B6779" s="21" t="s">
        <v>1130</v>
      </c>
      <c r="C6779" s="21" t="s">
        <v>1059</v>
      </c>
      <c r="D6779" s="21" t="s">
        <v>1007</v>
      </c>
      <c r="E6779" s="22">
        <f>IF(D6779="?OLD","!!!","")</f>
        <v/>
      </c>
      <c r="F6779" s="23" t="str">
        <f>IF(OR(E6779="",E6779="!!!"),"",IF(NOT(ISNA(VLOOKUP(E6779,E$1:E6778,1,FALSE()))),"OLD",IF(AND(E6779&lt;&gt;"",E6779&lt;&gt;"!!!"),"NEW","")))</f>
        <v> </v>
      </c>
      <c r="G6779" s="24" t="str">
        <f>IF(OR(E6779="",E6779="!!!"),"",IF(OR(J6779=0,AND(J6779=1,K6779=1),AND(J6779=1,I6779="SBJ"),AND(J6779=1,I6779=0)),"?IN_FOCUS",IF(J6779&lt;=2,"?ACTIVATED",IF(J6779&lt;&gt;"","?FAMILIAR",IF(F6779="NEW",IF(ISNA(VLOOKUP(E6779,#REF!,1,FALSE())),"?TYPE_IDENTIFIABLE","?REFERENTIAL"),"_")))))</f>
        <v> </v>
      </c>
      <c r="H6779" s="25" t="str">
        <f>IF(J6779&lt;&gt;1,"",IF(I6779="SBJ","CB","?"))</f>
        <v> </v>
      </c>
      <c r="I6779" s="26" t="str">
        <f>IF(OR(E6779="",E6779="!!!",F6779="NEW"),"",INDEX(B6778:B$2,-1+SUMPRODUCT(MAX(ROW(E6778:E$2)*(E6779=E6778:E$2)))))</f>
        <v> </v>
      </c>
      <c r="J6779" s="26" t="str">
        <f>IF(OR(E6779="",E6779="!!!",F6779="NEW"),"",COUNTBLANK(OFFSET(A$1,,,SUMPRODUCT(MAX(ROW(E$2:E6779)*(E6779=E$2:E6779)))))-COUNTBLANK(OFFSET(A$1,,,SUMPRODUCT(MAX(ROW(E$1:E6778)*(E2=E$1:E6778))))))</f>
        <v> </v>
      </c>
      <c r="K6779" s="26" t="str">
        <f>IF(OR(E6779="",E6779="!!!",F6779="NEW"),"",INDEX(J$1:J6778,SUMPRODUCT(MAX(ROW(E$1:E6778)*(E6779=E$1:E6778)))))</f>
        <v> </v>
      </c>
      <c r="L6779" s="27"/>
    </row>
    <row r="6780" spans="1:12">
      <c r="A6780" s="20" t="s">
        <v>1691</v>
      </c>
      <c r="B6780" s="21" t="s">
        <v>1064</v>
      </c>
      <c r="C6780" s="21" t="s">
        <v>1017</v>
      </c>
      <c r="D6780" s="21" t="s">
        <v>1007</v>
      </c>
      <c r="E6780" s="22">
        <f>IF(D6780="?OLD","!!!","")</f>
        <v/>
      </c>
      <c r="F6780" s="23" t="str">
        <f>IF(OR(E6780="",E6780="!!!"),"",IF(NOT(ISNA(VLOOKUP(E6780,E$1:E6779,1,FALSE()))),"OLD",IF(AND(E6780&lt;&gt;"",E6780&lt;&gt;"!!!"),"NEW","")))</f>
        <v> </v>
      </c>
      <c r="G6780" s="24" t="str">
        <f>IF(OR(E6780="",E6780="!!!"),"",IF(OR(J6780=0,AND(J6780=1,K6780=1),AND(J6780=1,I6780="SBJ"),AND(J6780=1,I6780=0)),"?IN_FOCUS",IF(J6780&lt;=2,"?ACTIVATED",IF(J6780&lt;&gt;"","?FAMILIAR",IF(F6780="NEW",IF(ISNA(VLOOKUP(E6780,#REF!,1,FALSE())),"?TYPE_IDENTIFIABLE","?REFERENTIAL"),"_")))))</f>
        <v> </v>
      </c>
      <c r="H6780" s="25" t="str">
        <f>IF(J6780&lt;&gt;1,"",IF(I6780="SBJ","CB","?"))</f>
        <v> </v>
      </c>
      <c r="I6780" s="26" t="str">
        <f>IF(OR(E6780="",E6780="!!!",F6780="NEW"),"",INDEX(B6779:B$2,-1+SUMPRODUCT(MAX(ROW(E6779:E$2)*(E6780=E6779:E$2)))))</f>
        <v> </v>
      </c>
      <c r="J6780" s="26" t="str">
        <f>IF(OR(E6780="",E6780="!!!",F6780="NEW"),"",COUNTBLANK(OFFSET(A$1,,,SUMPRODUCT(MAX(ROW(E$2:E6780)*(E6780=E$2:E6780)))))-COUNTBLANK(OFFSET(A$1,,,SUMPRODUCT(MAX(ROW(E$1:E6779)*(E2=E$1:E6779))))))</f>
        <v> </v>
      </c>
      <c r="K6780" s="26" t="str">
        <f>IF(OR(E6780="",E6780="!!!",F6780="NEW"),"",INDEX(J$1:J6779,SUMPRODUCT(MAX(ROW(E$1:E6779)*(E6780=E$1:E6779)))))</f>
        <v> </v>
      </c>
      <c r="L6780" s="27"/>
    </row>
    <row r="6781" spans="1:12">
      <c r="A6781" s="20" t="s">
        <v>1097</v>
      </c>
      <c r="E6781" s="22">
        <f>IF(D6781="?OLD","!!!","")</f>
        <v/>
      </c>
      <c r="F6781" s="23" t="str">
        <f>IF(OR(E6781="",E6781="!!!"),"",IF(NOT(ISNA(VLOOKUP(E6781,E$1:E6780,1,FALSE()))),"OLD",IF(AND(E6781&lt;&gt;"",E6781&lt;&gt;"!!!"),"NEW","")))</f>
        <v> </v>
      </c>
      <c r="G6781" s="24" t="str">
        <f>IF(OR(E6781="",E6781="!!!"),"",IF(OR(J6781=0,AND(J6781=1,K6781=1),AND(J6781=1,I6781="SBJ"),AND(J6781=1,I6781=0)),"?IN_FOCUS",IF(J6781&lt;=2,"?ACTIVATED",IF(J6781&lt;&gt;"","?FAMILIAR",IF(F6781="NEW",IF(ISNA(VLOOKUP(E6781,#REF!,1,FALSE())),"?TYPE_IDENTIFIABLE","?REFERENTIAL"),"_")))))</f>
        <v> </v>
      </c>
      <c r="H6781" s="25" t="str">
        <f>IF(J6781&lt;&gt;1,"",IF(I6781="SBJ","CB","?"))</f>
        <v> </v>
      </c>
      <c r="I6781" s="26" t="str">
        <f>IF(OR(E6781="",E6781="!!!",F6781="NEW"),"",INDEX(B6780:B$2,-1+SUMPRODUCT(MAX(ROW(E6780:E$2)*(E6781=E6780:E$2)))))</f>
        <v> </v>
      </c>
      <c r="J6781" s="26" t="str">
        <f>IF(OR(E6781="",E6781="!!!",F6781="NEW"),"",COUNTBLANK(OFFSET(A$1,,,SUMPRODUCT(MAX(ROW(E$2:E6781)*(E6781=E$2:E6781)))))-COUNTBLANK(OFFSET(A$1,,,SUMPRODUCT(MAX(ROW(E$1:E6780)*(E2=E$1:E6780))))))</f>
        <v> </v>
      </c>
      <c r="K6781" s="26" t="str">
        <f>IF(OR(E6781="",E6781="!!!",F6781="NEW"),"",INDEX(J$1:J6780,SUMPRODUCT(MAX(ROW(E$1:E6780)*(E6781=E$1:E6780)))))</f>
        <v> </v>
      </c>
      <c r="L6781" s="27"/>
    </row>
    <row r="6782" spans="1:12">
      <c r="A6782" s="20" t="s">
        <v>2733</v>
      </c>
      <c r="B6782" s="21" t="s">
        <v>1035</v>
      </c>
      <c r="C6782" s="21" t="s">
        <v>1048</v>
      </c>
      <c r="E6782" s="22">
        <f>IF(D6782="?OLD","!!!","")</f>
        <v/>
      </c>
      <c r="F6782" s="23" t="str">
        <f>IF(OR(E6782="",E6782="!!!"),"",IF(NOT(ISNA(VLOOKUP(E6782,E$1:E6781,1,FALSE()))),"OLD",IF(AND(E6782&lt;&gt;"",E6782&lt;&gt;"!!!"),"NEW","")))</f>
        <v> </v>
      </c>
      <c r="G6782" s="24" t="str">
        <f>IF(OR(E6782="",E6782="!!!"),"",IF(OR(J6782=0,AND(J6782=1,K6782=1),AND(J6782=1,I6782="SBJ"),AND(J6782=1,I6782=0)),"?IN_FOCUS",IF(J6782&lt;=2,"?ACTIVATED",IF(J6782&lt;&gt;"","?FAMILIAR",IF(F6782="NEW",IF(ISNA(VLOOKUP(E6782,#REF!,1,FALSE())),"?TYPE_IDENTIFIABLE","?REFERENTIAL"),"_")))))</f>
        <v> </v>
      </c>
      <c r="H6782" s="25" t="str">
        <f>IF(J6782&lt;&gt;1,"",IF(I6782="SBJ","CB","?"))</f>
        <v> </v>
      </c>
      <c r="I6782" s="26" t="str">
        <f>IF(OR(E6782="",E6782="!!!",F6782="NEW"),"",INDEX(B6781:B$2,-1+SUMPRODUCT(MAX(ROW(E6781:E$2)*(E6782=E6781:E$2)))))</f>
        <v> </v>
      </c>
      <c r="J6782" s="26" t="str">
        <f>IF(OR(E6782="",E6782="!!!",F6782="NEW"),"",COUNTBLANK(OFFSET(A$1,,,SUMPRODUCT(MAX(ROW(E$2:E6782)*(E6782=E$2:E6782)))))-COUNTBLANK(OFFSET(A$1,,,SUMPRODUCT(MAX(ROW(E$1:E6781)*(E2=E$1:E6781))))))</f>
        <v> </v>
      </c>
      <c r="K6782" s="26" t="str">
        <f>IF(OR(E6782="",E6782="!!!",F6782="NEW"),"",INDEX(J$1:J6781,SUMPRODUCT(MAX(ROW(E$1:E6781)*(E6782=E$1:E6781)))))</f>
        <v> </v>
      </c>
      <c r="L6782" s="27"/>
    </row>
    <row r="6783" spans="1:12">
      <c r="A6783" s="20" t="s">
        <v>1056</v>
      </c>
      <c r="E6783" s="22">
        <f>IF(D6783="?OLD","!!!","")</f>
        <v/>
      </c>
      <c r="F6783" s="23" t="str">
        <f>IF(OR(E6783="",E6783="!!!"),"",IF(NOT(ISNA(VLOOKUP(E6783,E$1:E6782,1,FALSE()))),"OLD",IF(AND(E6783&lt;&gt;"",E6783&lt;&gt;"!!!"),"NEW","")))</f>
        <v> </v>
      </c>
      <c r="G6783" s="24" t="str">
        <f>IF(OR(E6783="",E6783="!!!"),"",IF(OR(J6783=0,AND(J6783=1,K6783=1),AND(J6783=1,I6783="SBJ"),AND(J6783=1,I6783=0)),"?IN_FOCUS",IF(J6783&lt;=2,"?ACTIVATED",IF(J6783&lt;&gt;"","?FAMILIAR",IF(F6783="NEW",IF(ISNA(VLOOKUP(E6783,#REF!,1,FALSE())),"?TYPE_IDENTIFIABLE","?REFERENTIAL"),"_")))))</f>
        <v> </v>
      </c>
      <c r="H6783" s="25" t="str">
        <f>IF(J6783&lt;&gt;1,"",IF(I6783="SBJ","CB","?"))</f>
        <v> </v>
      </c>
      <c r="I6783" s="26" t="str">
        <f>IF(OR(E6783="",E6783="!!!",F6783="NEW"),"",INDEX(B6782:B$2,-1+SUMPRODUCT(MAX(ROW(E6782:E$2)*(E6783=E6782:E$2)))))</f>
        <v> </v>
      </c>
      <c r="J6783" s="26" t="str">
        <f>IF(OR(E6783="",E6783="!!!",F6783="NEW"),"",COUNTBLANK(OFFSET(A$1,,,SUMPRODUCT(MAX(ROW(E$2:E6783)*(E6783=E$2:E6783)))))-COUNTBLANK(OFFSET(A$1,,,SUMPRODUCT(MAX(ROW(E$1:E6782)*(E2=E$1:E6782))))))</f>
        <v> </v>
      </c>
      <c r="K6783" s="26" t="str">
        <f>IF(OR(E6783="",E6783="!!!",F6783="NEW"),"",INDEX(J$1:J6782,SUMPRODUCT(MAX(ROW(E$1:E6782)*(E6783=E$1:E6782)))))</f>
        <v> </v>
      </c>
      <c r="L6783" s="27"/>
    </row>
    <row r="6784" spans="1:12">
      <c r="A6784" s="20" t="s">
        <v>1675</v>
      </c>
      <c r="E6784" s="22">
        <f>IF(D6784="?OLD","!!!","")</f>
        <v/>
      </c>
      <c r="F6784" s="23" t="str">
        <f>IF(OR(E6784="",E6784="!!!"),"",IF(NOT(ISNA(VLOOKUP(E6784,E$1:E6783,1,FALSE()))),"OLD",IF(AND(E6784&lt;&gt;"",E6784&lt;&gt;"!!!"),"NEW","")))</f>
        <v> </v>
      </c>
      <c r="G6784" s="24" t="str">
        <f>IF(OR(E6784="",E6784="!!!"),"",IF(OR(J6784=0,AND(J6784=1,K6784=1),AND(J6784=1,I6784="SBJ"),AND(J6784=1,I6784=0)),"?IN_FOCUS",IF(J6784&lt;=2,"?ACTIVATED",IF(J6784&lt;&gt;"","?FAMILIAR",IF(F6784="NEW",IF(ISNA(VLOOKUP(E6784,#REF!,1,FALSE())),"?TYPE_IDENTIFIABLE","?REFERENTIAL"),"_")))))</f>
        <v> </v>
      </c>
      <c r="H6784" s="25" t="str">
        <f>IF(J6784&lt;&gt;1,"",IF(I6784="SBJ","CB","?"))</f>
        <v> </v>
      </c>
      <c r="I6784" s="26" t="str">
        <f>IF(OR(E6784="",E6784="!!!",F6784="NEW"),"",INDEX(B6783:B$2,-1+SUMPRODUCT(MAX(ROW(E6783:E$2)*(E6784=E6783:E$2)))))</f>
        <v> </v>
      </c>
      <c r="J6784" s="26" t="str">
        <f>IF(OR(E6784="",E6784="!!!",F6784="NEW"),"",COUNTBLANK(OFFSET(A$1,,,SUMPRODUCT(MAX(ROW(E$2:E6784)*(E6784=E$2:E6784)))))-COUNTBLANK(OFFSET(A$1,,,SUMPRODUCT(MAX(ROW(E$1:E6783)*(E2=E$1:E6783))))))</f>
        <v> </v>
      </c>
      <c r="K6784" s="26" t="str">
        <f>IF(OR(E6784="",E6784="!!!",F6784="NEW"),"",INDEX(J$1:J6783,SUMPRODUCT(MAX(ROW(E$1:E6783)*(E6784=E$1:E6783)))))</f>
        <v> </v>
      </c>
      <c r="L6784" s="27"/>
    </row>
    <row r="6785" spans="1:12">
      <c r="A6785" s="20" t="s">
        <v>1168</v>
      </c>
      <c r="B6785" s="21" t="s">
        <v>1130</v>
      </c>
      <c r="C6785" s="21" t="s">
        <v>1111</v>
      </c>
      <c r="E6785" s="22">
        <f>IF(D6785="?OLD","!!!","")</f>
        <v/>
      </c>
      <c r="F6785" s="23" t="str">
        <f>IF(OR(E6785="",E6785="!!!"),"",IF(NOT(ISNA(VLOOKUP(E6785,E$1:E6784,1,FALSE()))),"OLD",IF(AND(E6785&lt;&gt;"",E6785&lt;&gt;"!!!"),"NEW","")))</f>
        <v> </v>
      </c>
      <c r="G6785" s="24" t="str">
        <f>IF(OR(E6785="",E6785="!!!"),"",IF(OR(J6785=0,AND(J6785=1,K6785=1),AND(J6785=1,I6785="SBJ"),AND(J6785=1,I6785=0)),"?IN_FOCUS",IF(J6785&lt;=2,"?ACTIVATED",IF(J6785&lt;&gt;"","?FAMILIAR",IF(F6785="NEW",IF(ISNA(VLOOKUP(E6785,#REF!,1,FALSE())),"?TYPE_IDENTIFIABLE","?REFERENTIAL"),"_")))))</f>
        <v> </v>
      </c>
      <c r="H6785" s="25" t="str">
        <f>IF(J6785&lt;&gt;1,"",IF(I6785="SBJ","CB","?"))</f>
        <v> </v>
      </c>
      <c r="I6785" s="26" t="str">
        <f>IF(OR(E6785="",E6785="!!!",F6785="NEW"),"",INDEX(B6784:B$2,-1+SUMPRODUCT(MAX(ROW(E6784:E$2)*(E6785=E6784:E$2)))))</f>
        <v> </v>
      </c>
      <c r="J6785" s="26" t="str">
        <f>IF(OR(E6785="",E6785="!!!",F6785="NEW"),"",COUNTBLANK(OFFSET(A$1,,,SUMPRODUCT(MAX(ROW(E$2:E6785)*(E6785=E$2:E6785)))))-COUNTBLANK(OFFSET(A$1,,,SUMPRODUCT(MAX(ROW(E$1:E6784)*(E2=E$1:E6784))))))</f>
        <v> </v>
      </c>
      <c r="K6785" s="26" t="str">
        <f>IF(OR(E6785="",E6785="!!!",F6785="NEW"),"",INDEX(J$1:J6784,SUMPRODUCT(MAX(ROW(E$1:E6784)*(E6785=E$1:E6784)))))</f>
        <v> </v>
      </c>
      <c r="L6785" s="27"/>
    </row>
    <row r="6786" spans="1:12">
      <c r="A6786" s="20" t="s">
        <v>1023</v>
      </c>
      <c r="E6786" s="22">
        <f>IF(D6786="?OLD","!!!","")</f>
        <v/>
      </c>
      <c r="F6786" s="23" t="str">
        <f>IF(OR(E6786="",E6786="!!!"),"",IF(NOT(ISNA(VLOOKUP(E6786,E$1:E6785,1,FALSE()))),"OLD",IF(AND(E6786&lt;&gt;"",E6786&lt;&gt;"!!!"),"NEW","")))</f>
        <v> </v>
      </c>
      <c r="G6786" s="24" t="str">
        <f>IF(OR(E6786="",E6786="!!!"),"",IF(OR(J6786=0,AND(J6786=1,K6786=1),AND(J6786=1,I6786="SBJ"),AND(J6786=1,I6786=0)),"?IN_FOCUS",IF(J6786&lt;=2,"?ACTIVATED",IF(J6786&lt;&gt;"","?FAMILIAR",IF(F6786="NEW",IF(ISNA(VLOOKUP(E6786,#REF!,1,FALSE())),"?TYPE_IDENTIFIABLE","?REFERENTIAL"),"_")))))</f>
        <v> </v>
      </c>
      <c r="H6786" s="25" t="str">
        <f>IF(J6786&lt;&gt;1,"",IF(I6786="SBJ","CB","?"))</f>
        <v> </v>
      </c>
      <c r="I6786" s="26" t="str">
        <f>IF(OR(E6786="",E6786="!!!",F6786="NEW"),"",INDEX(B6785:B$2,-1+SUMPRODUCT(MAX(ROW(E6785:E$2)*(E6786=E6785:E$2)))))</f>
        <v> </v>
      </c>
      <c r="J6786" s="26" t="str">
        <f>IF(OR(E6786="",E6786="!!!",F6786="NEW"),"",COUNTBLANK(OFFSET(A$1,,,SUMPRODUCT(MAX(ROW(E$2:E6786)*(E6786=E$2:E6786)))))-COUNTBLANK(OFFSET(A$1,,,SUMPRODUCT(MAX(ROW(E$1:E6785)*(E2=E$1:E6785))))))</f>
        <v> </v>
      </c>
      <c r="K6786" s="26" t="str">
        <f>IF(OR(E6786="",E6786="!!!",F6786="NEW"),"",INDEX(J$1:J6785,SUMPRODUCT(MAX(ROW(E$1:E6785)*(E6786=E$1:E6785)))))</f>
        <v> </v>
      </c>
      <c r="L6786" s="27"/>
    </row>
    <row r="6787" spans="1:12">
      <c r="A6787" s="20"/>
    </row>
    <row r="6788" spans="1:12">
      <c r="A6788" s="20" t="s">
        <v>2734</v>
      </c>
    </row>
    <row r="6789" spans="1:12">
      <c r="A6789" s="20" t="s">
        <v>1147</v>
      </c>
      <c r="E6789" s="22">
        <f>IF(D6789="?OLD","!!!","")</f>
        <v/>
      </c>
      <c r="F6789" s="23" t="str">
        <f>IF(OR(E6789="",E6789="!!!"),"",IF(NOT(ISNA(VLOOKUP(E6789,E$1:E6788,1,FALSE()))),"OLD",IF(AND(E6789&lt;&gt;"",E6789&lt;&gt;"!!!"),"NEW","")))</f>
        <v> </v>
      </c>
      <c r="G6789" s="24" t="str">
        <f>IF(OR(E6789="",E6789="!!!"),"",IF(OR(J6789=0,AND(J6789=1,K6789=1),AND(J6789=1,I6789="SBJ"),AND(J6789=1,I6789=0)),"?IN_FOCUS",IF(J6789&lt;=2,"?ACTIVATED",IF(J6789&lt;&gt;"","?FAMILIAR",IF(F6789="NEW",IF(ISNA(VLOOKUP(E6789,#REF!,1,FALSE())),"?TYPE_IDENTIFIABLE","?REFERENTIAL"),"_")))))</f>
        <v> </v>
      </c>
      <c r="H6789" s="25" t="str">
        <f>IF(J6789&lt;&gt;1,"",IF(I6789="SBJ","CB","?"))</f>
        <v> </v>
      </c>
      <c r="I6789" s="26" t="str">
        <f>IF(OR(E6789="",E6789="!!!",F6789="NEW"),"",INDEX(B6788:B$2,-1+SUMPRODUCT(MAX(ROW(E6788:E$2)*(E6789=E6788:E$2)))))</f>
        <v> </v>
      </c>
      <c r="J6789" s="26" t="str">
        <f>IF(OR(E6789="",E6789="!!!",F6789="NEW"),"",COUNTBLANK(OFFSET(A$1,,,SUMPRODUCT(MAX(ROW(E$2:E6789)*(E6789=E$2:E6789)))))-COUNTBLANK(OFFSET(A$1,,,SUMPRODUCT(MAX(ROW(E$1:E6788)*(E2=E$1:E6788))))))</f>
        <v> </v>
      </c>
      <c r="K6789" s="26" t="str">
        <f>IF(OR(E6789="",E6789="!!!",F6789="NEW"),"",INDEX(J$1:J6788,SUMPRODUCT(MAX(ROW(E$1:E6788)*(E6789=E$1:E6788)))))</f>
        <v> </v>
      </c>
      <c r="L6789" s="27"/>
    </row>
    <row r="6790" spans="1:12">
      <c r="A6790" s="20" t="s">
        <v>1178</v>
      </c>
      <c r="E6790" s="22">
        <f>IF(D6790="?OLD","!!!","")</f>
        <v/>
      </c>
      <c r="F6790" s="23" t="str">
        <f>IF(OR(E6790="",E6790="!!!"),"",IF(NOT(ISNA(VLOOKUP(E6790,E$1:E6789,1,FALSE()))),"OLD",IF(AND(E6790&lt;&gt;"",E6790&lt;&gt;"!!!"),"NEW","")))</f>
        <v> </v>
      </c>
      <c r="G6790" s="24" t="str">
        <f>IF(OR(E6790="",E6790="!!!"),"",IF(OR(J6790=0,AND(J6790=1,K6790=1),AND(J6790=1,I6790="SBJ"),AND(J6790=1,I6790=0)),"?IN_FOCUS",IF(J6790&lt;=2,"?ACTIVATED",IF(J6790&lt;&gt;"","?FAMILIAR",IF(F6790="NEW",IF(ISNA(VLOOKUP(E6790,#REF!,1,FALSE())),"?TYPE_IDENTIFIABLE","?REFERENTIAL"),"_")))))</f>
        <v> </v>
      </c>
      <c r="H6790" s="25" t="str">
        <f>IF(J6790&lt;&gt;1,"",IF(I6790="SBJ","CB","?"))</f>
        <v> </v>
      </c>
      <c r="I6790" s="26" t="str">
        <f>IF(OR(E6790="",E6790="!!!",F6790="NEW"),"",INDEX(B6789:B$2,-1+SUMPRODUCT(MAX(ROW(E6789:E$2)*(E6790=E6789:E$2)))))</f>
        <v> </v>
      </c>
      <c r="J6790" s="26" t="str">
        <f>IF(OR(E6790="",E6790="!!!",F6790="NEW"),"",COUNTBLANK(OFFSET(A$1,,,SUMPRODUCT(MAX(ROW(E$2:E6790)*(E6790=E$2:E6790)))))-COUNTBLANK(OFFSET(A$1,,,SUMPRODUCT(MAX(ROW(E$1:E6789)*(E2=E$1:E6789))))))</f>
        <v> </v>
      </c>
      <c r="K6790" s="26" t="str">
        <f>IF(OR(E6790="",E6790="!!!",F6790="NEW"),"",INDEX(J$1:J6789,SUMPRODUCT(MAX(ROW(E$1:E6789)*(E6790=E$1:E6789)))))</f>
        <v> </v>
      </c>
      <c r="L6790" s="27"/>
    </row>
    <row r="6791" spans="1:12">
      <c r="A6791" s="20" t="s">
        <v>1065</v>
      </c>
      <c r="E6791" s="22">
        <f>IF(D6791="?OLD","!!!","")</f>
        <v/>
      </c>
      <c r="F6791" s="23" t="str">
        <f>IF(OR(E6791="",E6791="!!!"),"",IF(NOT(ISNA(VLOOKUP(E6791,E$1:E6790,1,FALSE()))),"OLD",IF(AND(E6791&lt;&gt;"",E6791&lt;&gt;"!!!"),"NEW","")))</f>
        <v> </v>
      </c>
      <c r="G6791" s="24" t="str">
        <f>IF(OR(E6791="",E6791="!!!"),"",IF(OR(J6791=0,AND(J6791=1,K6791=1),AND(J6791=1,I6791="SBJ"),AND(J6791=1,I6791=0)),"?IN_FOCUS",IF(J6791&lt;=2,"?ACTIVATED",IF(J6791&lt;&gt;"","?FAMILIAR",IF(F6791="NEW",IF(ISNA(VLOOKUP(E6791,#REF!,1,FALSE())),"?TYPE_IDENTIFIABLE","?REFERENTIAL"),"_")))))</f>
        <v> </v>
      </c>
      <c r="H6791" s="25" t="str">
        <f>IF(J6791&lt;&gt;1,"",IF(I6791="SBJ","CB","?"))</f>
        <v> </v>
      </c>
      <c r="I6791" s="26" t="str">
        <f>IF(OR(E6791="",E6791="!!!",F6791="NEW"),"",INDEX(B6790:B$2,-1+SUMPRODUCT(MAX(ROW(E6790:E$2)*(E6791=E6790:E$2)))))</f>
        <v> </v>
      </c>
      <c r="J6791" s="26" t="str">
        <f>IF(OR(E6791="",E6791="!!!",F6791="NEW"),"",COUNTBLANK(OFFSET(A$1,,,SUMPRODUCT(MAX(ROW(E$2:E6791)*(E6791=E$2:E6791)))))-COUNTBLANK(OFFSET(A$1,,,SUMPRODUCT(MAX(ROW(E$1:E6790)*(E2=E$1:E6790))))))</f>
        <v> </v>
      </c>
      <c r="K6791" s="26" t="str">
        <f>IF(OR(E6791="",E6791="!!!",F6791="NEW"),"",INDEX(J$1:J6790,SUMPRODUCT(MAX(ROW(E$1:E6790)*(E6791=E$1:E6790)))))</f>
        <v> </v>
      </c>
      <c r="L6791" s="27"/>
    </row>
    <row r="6792" spans="1:12">
      <c r="A6792" s="20" t="s">
        <v>1858</v>
      </c>
      <c r="E6792" s="22">
        <f>IF(D6792="?OLD","!!!","")</f>
        <v/>
      </c>
      <c r="F6792" s="23" t="str">
        <f>IF(OR(E6792="",E6792="!!!"),"",IF(NOT(ISNA(VLOOKUP(E6792,E$1:E6791,1,FALSE()))),"OLD",IF(AND(E6792&lt;&gt;"",E6792&lt;&gt;"!!!"),"NEW","")))</f>
        <v> </v>
      </c>
      <c r="G6792" s="24" t="str">
        <f>IF(OR(E6792="",E6792="!!!"),"",IF(OR(J6792=0,AND(J6792=1,K6792=1),AND(J6792=1,I6792="SBJ"),AND(J6792=1,I6792=0)),"?IN_FOCUS",IF(J6792&lt;=2,"?ACTIVATED",IF(J6792&lt;&gt;"","?FAMILIAR",IF(F6792="NEW",IF(ISNA(VLOOKUP(E6792,#REF!,1,FALSE())),"?TYPE_IDENTIFIABLE","?REFERENTIAL"),"_")))))</f>
        <v> </v>
      </c>
      <c r="H6792" s="25" t="str">
        <f>IF(J6792&lt;&gt;1,"",IF(I6792="SBJ","CB","?"))</f>
        <v> </v>
      </c>
      <c r="I6792" s="26" t="str">
        <f>IF(OR(E6792="",E6792="!!!",F6792="NEW"),"",INDEX(B6791:B$2,-1+SUMPRODUCT(MAX(ROW(E6791:E$2)*(E6792=E6791:E$2)))))</f>
        <v> </v>
      </c>
      <c r="J6792" s="26" t="str">
        <f>IF(OR(E6792="",E6792="!!!",F6792="NEW"),"",COUNTBLANK(OFFSET(A$1,,,SUMPRODUCT(MAX(ROW(E$2:E6792)*(E6792=E$2:E6792)))))-COUNTBLANK(OFFSET(A$1,,,SUMPRODUCT(MAX(ROW(E$1:E6791)*(E2=E$1:E6791))))))</f>
        <v> </v>
      </c>
      <c r="K6792" s="26" t="str">
        <f>IF(OR(E6792="",E6792="!!!",F6792="NEW"),"",INDEX(J$1:J6791,SUMPRODUCT(MAX(ROW(E$1:E6791)*(E6792=E$1:E6791)))))</f>
        <v> </v>
      </c>
      <c r="L6792" s="27"/>
    </row>
    <row r="6793" spans="1:12">
      <c r="A6793" s="20" t="s">
        <v>1014</v>
      </c>
      <c r="E6793" s="22">
        <f>IF(D6793="?OLD","!!!","")</f>
        <v/>
      </c>
      <c r="F6793" s="23" t="str">
        <f>IF(OR(E6793="",E6793="!!!"),"",IF(NOT(ISNA(VLOOKUP(E6793,E$1:E6792,1,FALSE()))),"OLD",IF(AND(E6793&lt;&gt;"",E6793&lt;&gt;"!!!"),"NEW","")))</f>
        <v> </v>
      </c>
      <c r="G6793" s="24" t="str">
        <f>IF(OR(E6793="",E6793="!!!"),"",IF(OR(J6793=0,AND(J6793=1,K6793=1),AND(J6793=1,I6793="SBJ"),AND(J6793=1,I6793=0)),"?IN_FOCUS",IF(J6793&lt;=2,"?ACTIVATED",IF(J6793&lt;&gt;"","?FAMILIAR",IF(F6793="NEW",IF(ISNA(VLOOKUP(E6793,#REF!,1,FALSE())),"?TYPE_IDENTIFIABLE","?REFERENTIAL"),"_")))))</f>
        <v> </v>
      </c>
      <c r="H6793" s="25" t="str">
        <f>IF(J6793&lt;&gt;1,"",IF(I6793="SBJ","CB","?"))</f>
        <v> </v>
      </c>
      <c r="I6793" s="26" t="str">
        <f>IF(OR(E6793="",E6793="!!!",F6793="NEW"),"",INDEX(B6792:B$2,-1+SUMPRODUCT(MAX(ROW(E6792:E$2)*(E6793=E6792:E$2)))))</f>
        <v> </v>
      </c>
      <c r="J6793" s="26" t="str">
        <f>IF(OR(E6793="",E6793="!!!",F6793="NEW"),"",COUNTBLANK(OFFSET(A$1,,,SUMPRODUCT(MAX(ROW(E$2:E6793)*(E6793=E$2:E6793)))))-COUNTBLANK(OFFSET(A$1,,,SUMPRODUCT(MAX(ROW(E$1:E6792)*(E2=E$1:E6792))))))</f>
        <v> </v>
      </c>
      <c r="K6793" s="26" t="str">
        <f>IF(OR(E6793="",E6793="!!!",F6793="NEW"),"",INDEX(J$1:J6792,SUMPRODUCT(MAX(ROW(E$1:E6792)*(E6793=E$1:E6792)))))</f>
        <v> </v>
      </c>
      <c r="L6793" s="27"/>
    </row>
    <row r="6794" spans="1:12">
      <c r="A6794" s="20" t="s">
        <v>1020</v>
      </c>
      <c r="E6794" s="22">
        <f>IF(D6794="?OLD","!!!","")</f>
        <v/>
      </c>
      <c r="F6794" s="23" t="str">
        <f>IF(OR(E6794="",E6794="!!!"),"",IF(NOT(ISNA(VLOOKUP(E6794,E$1:E6793,1,FALSE()))),"OLD",IF(AND(E6794&lt;&gt;"",E6794&lt;&gt;"!!!"),"NEW","")))</f>
        <v> </v>
      </c>
      <c r="G6794" s="24" t="str">
        <f>IF(OR(E6794="",E6794="!!!"),"",IF(OR(J6794=0,AND(J6794=1,K6794=1),AND(J6794=1,I6794="SBJ"),AND(J6794=1,I6794=0)),"?IN_FOCUS",IF(J6794&lt;=2,"?ACTIVATED",IF(J6794&lt;&gt;"","?FAMILIAR",IF(F6794="NEW",IF(ISNA(VLOOKUP(E6794,#REF!,1,FALSE())),"?TYPE_IDENTIFIABLE","?REFERENTIAL"),"_")))))</f>
        <v> </v>
      </c>
      <c r="H6794" s="25" t="str">
        <f>IF(J6794&lt;&gt;1,"",IF(I6794="SBJ","CB","?"))</f>
        <v> </v>
      </c>
      <c r="I6794" s="26" t="str">
        <f>IF(OR(E6794="",E6794="!!!",F6794="NEW"),"",INDEX(B6793:B$2,-1+SUMPRODUCT(MAX(ROW(E6793:E$2)*(E6794=E6793:E$2)))))</f>
        <v> </v>
      </c>
      <c r="J6794" s="26" t="str">
        <f>IF(OR(E6794="",E6794="!!!",F6794="NEW"),"",COUNTBLANK(OFFSET(A$1,,,SUMPRODUCT(MAX(ROW(E$2:E6794)*(E6794=E$2:E6794)))))-COUNTBLANK(OFFSET(A$1,,,SUMPRODUCT(MAX(ROW(E$1:E6793)*(E2=E$1:E6793))))))</f>
        <v> </v>
      </c>
      <c r="K6794" s="26" t="str">
        <f>IF(OR(E6794="",E6794="!!!",F6794="NEW"),"",INDEX(J$1:J6793,SUMPRODUCT(MAX(ROW(E$1:E6793)*(E6794=E$1:E6793)))))</f>
        <v> </v>
      </c>
      <c r="L6794" s="27"/>
    </row>
    <row r="6795" spans="1:12">
      <c r="A6795" s="20" t="s">
        <v>1873</v>
      </c>
      <c r="B6795" s="21" t="s">
        <v>1033</v>
      </c>
      <c r="C6795" s="21" t="s">
        <v>1059</v>
      </c>
      <c r="D6795" s="21" t="s">
        <v>1007</v>
      </c>
      <c r="E6795" s="22">
        <f>IF(D6795="?OLD","!!!","")</f>
        <v/>
      </c>
      <c r="F6795" s="23" t="str">
        <f>IF(OR(E6795="",E6795="!!!"),"",IF(NOT(ISNA(VLOOKUP(E6795,E$1:E6794,1,FALSE()))),"OLD",IF(AND(E6795&lt;&gt;"",E6795&lt;&gt;"!!!"),"NEW","")))</f>
        <v> </v>
      </c>
      <c r="G6795" s="24" t="str">
        <f>IF(OR(E6795="",E6795="!!!"),"",IF(OR(J6795=0,AND(J6795=1,K6795=1),AND(J6795=1,I6795="SBJ"),AND(J6795=1,I6795=0)),"?IN_FOCUS",IF(J6795&lt;=2,"?ACTIVATED",IF(J6795&lt;&gt;"","?FAMILIAR",IF(F6795="NEW",IF(ISNA(VLOOKUP(E6795,#REF!,1,FALSE())),"?TYPE_IDENTIFIABLE","?REFERENTIAL"),"_")))))</f>
        <v> </v>
      </c>
      <c r="H6795" s="25" t="str">
        <f>IF(J6795&lt;&gt;1,"",IF(I6795="SBJ","CB","?"))</f>
        <v> </v>
      </c>
      <c r="I6795" s="26" t="str">
        <f>IF(OR(E6795="",E6795="!!!",F6795="NEW"),"",INDEX(B6794:B$2,-1+SUMPRODUCT(MAX(ROW(E6794:E$2)*(E6795=E6794:E$2)))))</f>
        <v> </v>
      </c>
      <c r="J6795" s="26" t="str">
        <f>IF(OR(E6795="",E6795="!!!",F6795="NEW"),"",COUNTBLANK(OFFSET(A$1,,,SUMPRODUCT(MAX(ROW(E$2:E6795)*(E6795=E$2:E6795)))))-COUNTBLANK(OFFSET(A$1,,,SUMPRODUCT(MAX(ROW(E$1:E6794)*(E2=E$1:E6794))))))</f>
        <v> </v>
      </c>
      <c r="K6795" s="26" t="str">
        <f>IF(OR(E6795="",E6795="!!!",F6795="NEW"),"",INDEX(J$1:J6794,SUMPRODUCT(MAX(ROW(E$1:E6794)*(E6795=E$1:E6794)))))</f>
        <v> </v>
      </c>
      <c r="L6795" s="27"/>
    </row>
    <row r="6796" spans="1:12">
      <c r="A6796" s="20" t="s">
        <v>1322</v>
      </c>
      <c r="B6796" s="21" t="s">
        <v>1029</v>
      </c>
      <c r="C6796" s="21" t="s">
        <v>1017</v>
      </c>
      <c r="D6796" s="21" t="s">
        <v>1007</v>
      </c>
      <c r="E6796" s="22">
        <f>IF(D6796="?OLD","!!!","")</f>
        <v/>
      </c>
      <c r="F6796" s="23" t="str">
        <f>IF(OR(E6796="",E6796="!!!"),"",IF(NOT(ISNA(VLOOKUP(E6796,E$1:E6795,1,FALSE()))),"OLD",IF(AND(E6796&lt;&gt;"",E6796&lt;&gt;"!!!"),"NEW","")))</f>
        <v> </v>
      </c>
      <c r="G6796" s="24" t="str">
        <f>IF(OR(E6796="",E6796="!!!"),"",IF(OR(J6796=0,AND(J6796=1,K6796=1),AND(J6796=1,I6796="SBJ"),AND(J6796=1,I6796=0)),"?IN_FOCUS",IF(J6796&lt;=2,"?ACTIVATED",IF(J6796&lt;&gt;"","?FAMILIAR",IF(F6796="NEW",IF(ISNA(VLOOKUP(E6796,#REF!,1,FALSE())),"?TYPE_IDENTIFIABLE","?REFERENTIAL"),"_")))))</f>
        <v> </v>
      </c>
      <c r="H6796" s="25" t="str">
        <f>IF(J6796&lt;&gt;1,"",IF(I6796="SBJ","CB","?"))</f>
        <v> </v>
      </c>
      <c r="I6796" s="26" t="str">
        <f>IF(OR(E6796="",E6796="!!!",F6796="NEW"),"",INDEX(B6795:B$2,-1+SUMPRODUCT(MAX(ROW(E6795:E$2)*(E6796=E6795:E$2)))))</f>
        <v> </v>
      </c>
      <c r="J6796" s="26" t="str">
        <f>IF(OR(E6796="",E6796="!!!",F6796="NEW"),"",COUNTBLANK(OFFSET(A$1,,,SUMPRODUCT(MAX(ROW(E$2:E6796)*(E6796=E$2:E6796)))))-COUNTBLANK(OFFSET(A$1,,,SUMPRODUCT(MAX(ROW(E$1:E6795)*(E2=E$1:E6795))))))</f>
        <v> </v>
      </c>
      <c r="K6796" s="26" t="str">
        <f>IF(OR(E6796="",E6796="!!!",F6796="NEW"),"",INDEX(J$1:J6795,SUMPRODUCT(MAX(ROW(E$1:E6795)*(E6796=E$1:E6795)))))</f>
        <v> </v>
      </c>
      <c r="L6796" s="27"/>
    </row>
    <row r="6797" spans="1:12">
      <c r="A6797" s="20" t="s">
        <v>1097</v>
      </c>
      <c r="E6797" s="22">
        <f>IF(D6797="?OLD","!!!","")</f>
        <v/>
      </c>
      <c r="F6797" s="23" t="str">
        <f>IF(OR(E6797="",E6797="!!!"),"",IF(NOT(ISNA(VLOOKUP(E6797,E$1:E6796,1,FALSE()))),"OLD",IF(AND(E6797&lt;&gt;"",E6797&lt;&gt;"!!!"),"NEW","")))</f>
        <v> </v>
      </c>
      <c r="G6797" s="24" t="str">
        <f>IF(OR(E6797="",E6797="!!!"),"",IF(OR(J6797=0,AND(J6797=1,K6797=1),AND(J6797=1,I6797="SBJ"),AND(J6797=1,I6797=0)),"?IN_FOCUS",IF(J6797&lt;=2,"?ACTIVATED",IF(J6797&lt;&gt;"","?FAMILIAR",IF(F6797="NEW",IF(ISNA(VLOOKUP(E6797,#REF!,1,FALSE())),"?TYPE_IDENTIFIABLE","?REFERENTIAL"),"_")))))</f>
        <v> </v>
      </c>
      <c r="H6797" s="25" t="str">
        <f>IF(J6797&lt;&gt;1,"",IF(I6797="SBJ","CB","?"))</f>
        <v> </v>
      </c>
      <c r="I6797" s="26" t="str">
        <f>IF(OR(E6797="",E6797="!!!",F6797="NEW"),"",INDEX(B6796:B$2,-1+SUMPRODUCT(MAX(ROW(E6796:E$2)*(E6797=E6796:E$2)))))</f>
        <v> </v>
      </c>
      <c r="J6797" s="26" t="str">
        <f>IF(OR(E6797="",E6797="!!!",F6797="NEW"),"",COUNTBLANK(OFFSET(A$1,,,SUMPRODUCT(MAX(ROW(E$2:E6797)*(E6797=E$2:E6797)))))-COUNTBLANK(OFFSET(A$1,,,SUMPRODUCT(MAX(ROW(E$1:E6796)*(E2=E$1:E6796))))))</f>
        <v> </v>
      </c>
      <c r="K6797" s="26" t="str">
        <f>IF(OR(E6797="",E6797="!!!",F6797="NEW"),"",INDEX(J$1:J6796,SUMPRODUCT(MAX(ROW(E$1:E6796)*(E6797=E$1:E6796)))))</f>
        <v> </v>
      </c>
      <c r="L6797" s="27"/>
    </row>
    <row r="6798" spans="1:12">
      <c r="A6798" s="20" t="s">
        <v>98</v>
      </c>
      <c r="E6798" s="22">
        <f>IF(D6798="?OLD","!!!","")</f>
        <v/>
      </c>
      <c r="F6798" s="23" t="str">
        <f>IF(OR(E6798="",E6798="!!!"),"",IF(NOT(ISNA(VLOOKUP(E6798,E$1:E6797,1,FALSE()))),"OLD",IF(AND(E6798&lt;&gt;"",E6798&lt;&gt;"!!!"),"NEW","")))</f>
        <v> </v>
      </c>
      <c r="G6798" s="24" t="str">
        <f>IF(OR(E6798="",E6798="!!!"),"",IF(OR(J6798=0,AND(J6798=1,K6798=1),AND(J6798=1,I6798="SBJ"),AND(J6798=1,I6798=0)),"?IN_FOCUS",IF(J6798&lt;=2,"?ACTIVATED",IF(J6798&lt;&gt;"","?FAMILIAR",IF(F6798="NEW",IF(ISNA(VLOOKUP(E6798,#REF!,1,FALSE())),"?TYPE_IDENTIFIABLE","?REFERENTIAL"),"_")))))</f>
        <v> </v>
      </c>
      <c r="H6798" s="25" t="str">
        <f>IF(J6798&lt;&gt;1,"",IF(I6798="SBJ","CB","?"))</f>
        <v> </v>
      </c>
      <c r="I6798" s="26" t="str">
        <f>IF(OR(E6798="",E6798="!!!",F6798="NEW"),"",INDEX(B6797:B$2,-1+SUMPRODUCT(MAX(ROW(E6797:E$2)*(E6798=E6797:E$2)))))</f>
        <v> </v>
      </c>
      <c r="J6798" s="26" t="str">
        <f>IF(OR(E6798="",E6798="!!!",F6798="NEW"),"",COUNTBLANK(OFFSET(A$1,,,SUMPRODUCT(MAX(ROW(E$2:E6798)*(E6798=E$2:E6798)))))-COUNTBLANK(OFFSET(A$1,,,SUMPRODUCT(MAX(ROW(E$1:E6797)*(E2=E$1:E6797))))))</f>
        <v> </v>
      </c>
      <c r="K6798" s="26" t="str">
        <f>IF(OR(E6798="",E6798="!!!",F6798="NEW"),"",INDEX(J$1:J6797,SUMPRODUCT(MAX(ROW(E$1:E6797)*(E6798=E$1:E6797)))))</f>
        <v> </v>
      </c>
      <c r="L6798" s="27"/>
    </row>
    <row r="6799" spans="1:12">
      <c r="A6799" s="20" t="s">
        <v>1339</v>
      </c>
      <c r="B6799" s="21" t="s">
        <v>1187</v>
      </c>
      <c r="C6799" s="21" t="s">
        <v>1048</v>
      </c>
      <c r="E6799" s="22">
        <f>IF(D6799="?OLD","!!!","")</f>
        <v/>
      </c>
      <c r="F6799" s="23" t="str">
        <f>IF(OR(E6799="",E6799="!!!"),"",IF(NOT(ISNA(VLOOKUP(E6799,E$1:E6798,1,FALSE()))),"OLD",IF(AND(E6799&lt;&gt;"",E6799&lt;&gt;"!!!"),"NEW","")))</f>
        <v> </v>
      </c>
      <c r="G6799" s="24" t="str">
        <f>IF(OR(E6799="",E6799="!!!"),"",IF(OR(J6799=0,AND(J6799=1,K6799=1),AND(J6799=1,I6799="SBJ"),AND(J6799=1,I6799=0)),"?IN_FOCUS",IF(J6799&lt;=2,"?ACTIVATED",IF(J6799&lt;&gt;"","?FAMILIAR",IF(F6799="NEW",IF(ISNA(VLOOKUP(E6799,#REF!,1,FALSE())),"?TYPE_IDENTIFIABLE","?REFERENTIAL"),"_")))))</f>
        <v> </v>
      </c>
      <c r="H6799" s="25" t="str">
        <f>IF(J6799&lt;&gt;1,"",IF(I6799="SBJ","CB","?"))</f>
        <v> </v>
      </c>
      <c r="I6799" s="26" t="str">
        <f>IF(OR(E6799="",E6799="!!!",F6799="NEW"),"",INDEX(B6798:B$2,-1+SUMPRODUCT(MAX(ROW(E6798:E$2)*(E6799=E6798:E$2)))))</f>
        <v> </v>
      </c>
      <c r="J6799" s="26" t="str">
        <f>IF(OR(E6799="",E6799="!!!",F6799="NEW"),"",COUNTBLANK(OFFSET(A$1,,,SUMPRODUCT(MAX(ROW(E$2:E6799)*(E6799=E$2:E6799)))))-COUNTBLANK(OFFSET(A$1,,,SUMPRODUCT(MAX(ROW(E$1:E6798)*(E2=E$1:E6798))))))</f>
        <v> </v>
      </c>
      <c r="K6799" s="26" t="str">
        <f>IF(OR(E6799="",E6799="!!!",F6799="NEW"),"",INDEX(J$1:J6798,SUMPRODUCT(MAX(ROW(E$1:E6798)*(E6799=E$1:E6798)))))</f>
        <v> </v>
      </c>
      <c r="L6799" s="27"/>
    </row>
    <row r="6800" spans="1:12">
      <c r="A6800" s="20" t="s">
        <v>1023</v>
      </c>
      <c r="E6800" s="22">
        <f>IF(D6800="?OLD","!!!","")</f>
        <v/>
      </c>
      <c r="F6800" s="23" t="str">
        <f>IF(OR(E6800="",E6800="!!!"),"",IF(NOT(ISNA(VLOOKUP(E6800,E$1:E6799,1,FALSE()))),"OLD",IF(AND(E6800&lt;&gt;"",E6800&lt;&gt;"!!!"),"NEW","")))</f>
        <v> </v>
      </c>
      <c r="G6800" s="24" t="str">
        <f>IF(OR(E6800="",E6800="!!!"),"",IF(OR(J6800=0,AND(J6800=1,K6800=1),AND(J6800=1,I6800="SBJ"),AND(J6800=1,I6800=0)),"?IN_FOCUS",IF(J6800&lt;=2,"?ACTIVATED",IF(J6800&lt;&gt;"","?FAMILIAR",IF(F6800="NEW",IF(ISNA(VLOOKUP(E6800,#REF!,1,FALSE())),"?TYPE_IDENTIFIABLE","?REFERENTIAL"),"_")))))</f>
        <v> </v>
      </c>
      <c r="H6800" s="25" t="str">
        <f>IF(J6800&lt;&gt;1,"",IF(I6800="SBJ","CB","?"))</f>
        <v> </v>
      </c>
      <c r="I6800" s="26" t="str">
        <f>IF(OR(E6800="",E6800="!!!",F6800="NEW"),"",INDEX(B6799:B$2,-1+SUMPRODUCT(MAX(ROW(E6799:E$2)*(E6800=E6799:E$2)))))</f>
        <v> </v>
      </c>
      <c r="J6800" s="26" t="str">
        <f>IF(OR(E6800="",E6800="!!!",F6800="NEW"),"",COUNTBLANK(OFFSET(A$1,,,SUMPRODUCT(MAX(ROW(E$2:E6800)*(E6800=E$2:E6800)))))-COUNTBLANK(OFFSET(A$1,,,SUMPRODUCT(MAX(ROW(E$1:E6799)*(E2=E$1:E6799))))))</f>
        <v> </v>
      </c>
      <c r="K6800" s="26" t="str">
        <f>IF(OR(E6800="",E6800="!!!",F6800="NEW"),"",INDEX(J$1:J6799,SUMPRODUCT(MAX(ROW(E$1:E6799)*(E6800=E$1:E6799)))))</f>
        <v> </v>
      </c>
      <c r="L6800" s="27"/>
    </row>
    <row r="6801" spans="1:12">
      <c r="A6801" s="20"/>
    </row>
    <row r="6802" spans="1:12">
      <c r="A6802" s="20" t="s">
        <v>2735</v>
      </c>
    </row>
    <row r="6803" spans="1:12">
      <c r="A6803" s="20" t="s">
        <v>1175</v>
      </c>
      <c r="E6803" s="22">
        <f>IF(D6803="?OLD","!!!","")</f>
        <v/>
      </c>
      <c r="F6803" s="23" t="str">
        <f>IF(OR(E6803="",E6803="!!!"),"",IF(NOT(ISNA(VLOOKUP(E6803,E$1:E6802,1,FALSE()))),"OLD",IF(AND(E6803&lt;&gt;"",E6803&lt;&gt;"!!!"),"NEW","")))</f>
        <v> </v>
      </c>
      <c r="G6803" s="24" t="str">
        <f>IF(OR(E6803="",E6803="!!!"),"",IF(OR(J6803=0,AND(J6803=1,K6803=1),AND(J6803=1,I6803="SBJ"),AND(J6803=1,I6803=0)),"?IN_FOCUS",IF(J6803&lt;=2,"?ACTIVATED",IF(J6803&lt;&gt;"","?FAMILIAR",IF(F6803="NEW",IF(ISNA(VLOOKUP(E6803,#REF!,1,FALSE())),"?TYPE_IDENTIFIABLE","?REFERENTIAL"),"_")))))</f>
        <v> </v>
      </c>
      <c r="H6803" s="25" t="str">
        <f>IF(J6803&lt;&gt;1,"",IF(I6803="SBJ","CB","?"))</f>
        <v> </v>
      </c>
      <c r="I6803" s="26" t="str">
        <f>IF(OR(E6803="",E6803="!!!",F6803="NEW"),"",INDEX(B6802:B$2,-1+SUMPRODUCT(MAX(ROW(E6802:E$2)*(E6803=E6802:E$2)))))</f>
        <v> </v>
      </c>
      <c r="J6803" s="26" t="str">
        <f>IF(OR(E6803="",E6803="!!!",F6803="NEW"),"",COUNTBLANK(OFFSET(A$1,,,SUMPRODUCT(MAX(ROW(E$2:E6803)*(E6803=E$2:E6803)))))-COUNTBLANK(OFFSET(A$1,,,SUMPRODUCT(MAX(ROW(E$1:E6802)*(E2=E$1:E6802))))))</f>
        <v> </v>
      </c>
      <c r="K6803" s="26" t="str">
        <f>IF(OR(E6803="",E6803="!!!",F6803="NEW"),"",INDEX(J$1:J6802,SUMPRODUCT(MAX(ROW(E$1:E6802)*(E6803=E$1:E6802)))))</f>
        <v> </v>
      </c>
      <c r="L6803" s="27"/>
    </row>
    <row r="6804" spans="1:12">
      <c r="A6804" s="20" t="s">
        <v>1139</v>
      </c>
      <c r="E6804" s="22">
        <f>IF(D6804="?OLD","!!!","")</f>
        <v/>
      </c>
      <c r="F6804" s="23" t="str">
        <f>IF(OR(E6804="",E6804="!!!"),"",IF(NOT(ISNA(VLOOKUP(E6804,E$1:E6803,1,FALSE()))),"OLD",IF(AND(E6804&lt;&gt;"",E6804&lt;&gt;"!!!"),"NEW","")))</f>
        <v> </v>
      </c>
      <c r="G6804" s="24" t="str">
        <f>IF(OR(E6804="",E6804="!!!"),"",IF(OR(J6804=0,AND(J6804=1,K6804=1),AND(J6804=1,I6804="SBJ"),AND(J6804=1,I6804=0)),"?IN_FOCUS",IF(J6804&lt;=2,"?ACTIVATED",IF(J6804&lt;&gt;"","?FAMILIAR",IF(F6804="NEW",IF(ISNA(VLOOKUP(E6804,#REF!,1,FALSE())),"?TYPE_IDENTIFIABLE","?REFERENTIAL"),"_")))))</f>
        <v> </v>
      </c>
      <c r="H6804" s="25" t="str">
        <f>IF(J6804&lt;&gt;1,"",IF(I6804="SBJ","CB","?"))</f>
        <v> </v>
      </c>
      <c r="I6804" s="26" t="str">
        <f>IF(OR(E6804="",E6804="!!!",F6804="NEW"),"",INDEX(B6803:B$2,-1+SUMPRODUCT(MAX(ROW(E6803:E$2)*(E6804=E6803:E$2)))))</f>
        <v> </v>
      </c>
      <c r="J6804" s="26" t="str">
        <f>IF(OR(E6804="",E6804="!!!",F6804="NEW"),"",COUNTBLANK(OFFSET(A$1,,,SUMPRODUCT(MAX(ROW(E$2:E6804)*(E6804=E$2:E6804)))))-COUNTBLANK(OFFSET(A$1,,,SUMPRODUCT(MAX(ROW(E$1:E6803)*(E2=E$1:E6803))))))</f>
        <v> </v>
      </c>
      <c r="K6804" s="26" t="str">
        <f>IF(OR(E6804="",E6804="!!!",F6804="NEW"),"",INDEX(J$1:J6803,SUMPRODUCT(MAX(ROW(E$1:E6803)*(E6804=E$1:E6803)))))</f>
        <v> </v>
      </c>
      <c r="L6804" s="27"/>
    </row>
    <row r="6805" spans="1:12">
      <c r="A6805" s="20" t="s">
        <v>1065</v>
      </c>
      <c r="E6805" s="22">
        <f>IF(D6805="?OLD","!!!","")</f>
        <v/>
      </c>
      <c r="F6805" s="23" t="str">
        <f>IF(OR(E6805="",E6805="!!!"),"",IF(NOT(ISNA(VLOOKUP(E6805,E$1:E6804,1,FALSE()))),"OLD",IF(AND(E6805&lt;&gt;"",E6805&lt;&gt;"!!!"),"NEW","")))</f>
        <v> </v>
      </c>
      <c r="G6805" s="24" t="str">
        <f>IF(OR(E6805="",E6805="!!!"),"",IF(OR(J6805=0,AND(J6805=1,K6805=1),AND(J6805=1,I6805="SBJ"),AND(J6805=1,I6805=0)),"?IN_FOCUS",IF(J6805&lt;=2,"?ACTIVATED",IF(J6805&lt;&gt;"","?FAMILIAR",IF(F6805="NEW",IF(ISNA(VLOOKUP(E6805,#REF!,1,FALSE())),"?TYPE_IDENTIFIABLE","?REFERENTIAL"),"_")))))</f>
        <v> </v>
      </c>
      <c r="H6805" s="25" t="str">
        <f>IF(J6805&lt;&gt;1,"",IF(I6805="SBJ","CB","?"))</f>
        <v> </v>
      </c>
      <c r="I6805" s="26" t="str">
        <f>IF(OR(E6805="",E6805="!!!",F6805="NEW"),"",INDEX(B6804:B$2,-1+SUMPRODUCT(MAX(ROW(E6804:E$2)*(E6805=E6804:E$2)))))</f>
        <v> </v>
      </c>
      <c r="J6805" s="26" t="str">
        <f>IF(OR(E6805="",E6805="!!!",F6805="NEW"),"",COUNTBLANK(OFFSET(A$1,,,SUMPRODUCT(MAX(ROW(E$2:E6805)*(E6805=E$2:E6805)))))-COUNTBLANK(OFFSET(A$1,,,SUMPRODUCT(MAX(ROW(E$1:E6804)*(E2=E$1:E6804))))))</f>
        <v> </v>
      </c>
      <c r="K6805" s="26" t="str">
        <f>IF(OR(E6805="",E6805="!!!",F6805="NEW"),"",INDEX(J$1:J6804,SUMPRODUCT(MAX(ROW(E$1:E6804)*(E6805=E$1:E6804)))))</f>
        <v> </v>
      </c>
      <c r="L6805" s="27"/>
    </row>
    <row r="6806" spans="1:12">
      <c r="A6806" s="20" t="s">
        <v>1018</v>
      </c>
      <c r="E6806" s="22">
        <f>IF(D6806="?OLD","!!!","")</f>
        <v/>
      </c>
      <c r="F6806" s="23" t="str">
        <f>IF(OR(E6806="",E6806="!!!"),"",IF(NOT(ISNA(VLOOKUP(E6806,E$1:E6805,1,FALSE()))),"OLD",IF(AND(E6806&lt;&gt;"",E6806&lt;&gt;"!!!"),"NEW","")))</f>
        <v> </v>
      </c>
      <c r="G6806" s="24" t="str">
        <f>IF(OR(E6806="",E6806="!!!"),"",IF(OR(J6806=0,AND(J6806=1,K6806=1),AND(J6806=1,I6806="SBJ"),AND(J6806=1,I6806=0)),"?IN_FOCUS",IF(J6806&lt;=2,"?ACTIVATED",IF(J6806&lt;&gt;"","?FAMILIAR",IF(F6806="NEW",IF(ISNA(VLOOKUP(E6806,#REF!,1,FALSE())),"?TYPE_IDENTIFIABLE","?REFERENTIAL"),"_")))))</f>
        <v> </v>
      </c>
      <c r="H6806" s="25" t="str">
        <f>IF(J6806&lt;&gt;1,"",IF(I6806="SBJ","CB","?"))</f>
        <v> </v>
      </c>
      <c r="I6806" s="26" t="str">
        <f>IF(OR(E6806="",E6806="!!!",F6806="NEW"),"",INDEX(B6805:B$2,-1+SUMPRODUCT(MAX(ROW(E6805:E$2)*(E6806=E6805:E$2)))))</f>
        <v> </v>
      </c>
      <c r="J6806" s="26" t="str">
        <f>IF(OR(E6806="",E6806="!!!",F6806="NEW"),"",COUNTBLANK(OFFSET(A$1,,,SUMPRODUCT(MAX(ROW(E$2:E6806)*(E6806=E$2:E6806)))))-COUNTBLANK(OFFSET(A$1,,,SUMPRODUCT(MAX(ROW(E$1:E6805)*(E2=E$1:E6805))))))</f>
        <v> </v>
      </c>
      <c r="K6806" s="26" t="str">
        <f>IF(OR(E6806="",E6806="!!!",F6806="NEW"),"",INDEX(J$1:J6805,SUMPRODUCT(MAX(ROW(E$1:E6805)*(E6806=E$1:E6805)))))</f>
        <v> </v>
      </c>
      <c r="L6806" s="27"/>
    </row>
    <row r="6807" spans="1:12">
      <c r="A6807" s="20" t="s">
        <v>2736</v>
      </c>
      <c r="E6807" s="22">
        <f>IF(D6807="?OLD","!!!","")</f>
        <v/>
      </c>
      <c r="F6807" s="23" t="str">
        <f>IF(OR(E6807="",E6807="!!!"),"",IF(NOT(ISNA(VLOOKUP(E6807,E$1:E6806,1,FALSE()))),"OLD",IF(AND(E6807&lt;&gt;"",E6807&lt;&gt;"!!!"),"NEW","")))</f>
        <v> </v>
      </c>
      <c r="G6807" s="24" t="str">
        <f>IF(OR(E6807="",E6807="!!!"),"",IF(OR(J6807=0,AND(J6807=1,K6807=1),AND(J6807=1,I6807="SBJ"),AND(J6807=1,I6807=0)),"?IN_FOCUS",IF(J6807&lt;=2,"?ACTIVATED",IF(J6807&lt;&gt;"","?FAMILIAR",IF(F6807="NEW",IF(ISNA(VLOOKUP(E6807,#REF!,1,FALSE())),"?TYPE_IDENTIFIABLE","?REFERENTIAL"),"_")))))</f>
        <v> </v>
      </c>
      <c r="H6807" s="25" t="str">
        <f>IF(J6807&lt;&gt;1,"",IF(I6807="SBJ","CB","?"))</f>
        <v> </v>
      </c>
      <c r="I6807" s="26" t="str">
        <f>IF(OR(E6807="",E6807="!!!",F6807="NEW"),"",INDEX(B6806:B$2,-1+SUMPRODUCT(MAX(ROW(E6806:E$2)*(E6807=E6806:E$2)))))</f>
        <v> </v>
      </c>
      <c r="J6807" s="26" t="str">
        <f>IF(OR(E6807="",E6807="!!!",F6807="NEW"),"",COUNTBLANK(OFFSET(A$1,,,SUMPRODUCT(MAX(ROW(E$2:E6807)*(E6807=E$2:E6807)))))-COUNTBLANK(OFFSET(A$1,,,SUMPRODUCT(MAX(ROW(E$1:E6806)*(E2=E$1:E6806))))))</f>
        <v> </v>
      </c>
      <c r="K6807" s="26" t="str">
        <f>IF(OR(E6807="",E6807="!!!",F6807="NEW"),"",INDEX(J$1:J6806,SUMPRODUCT(MAX(ROW(E$1:E6806)*(E6807=E$1:E6806)))))</f>
        <v> </v>
      </c>
      <c r="L6807" s="27"/>
    </row>
    <row r="6808" spans="1:12">
      <c r="A6808" s="20" t="s">
        <v>1030</v>
      </c>
      <c r="E6808" s="22">
        <f>IF(D6808="?OLD","!!!","")</f>
        <v/>
      </c>
      <c r="F6808" s="23" t="str">
        <f>IF(OR(E6808="",E6808="!!!"),"",IF(NOT(ISNA(VLOOKUP(E6808,E$1:E6807,1,FALSE()))),"OLD",IF(AND(E6808&lt;&gt;"",E6808&lt;&gt;"!!!"),"NEW","")))</f>
        <v> </v>
      </c>
      <c r="G6808" s="24" t="str">
        <f>IF(OR(E6808="",E6808="!!!"),"",IF(OR(J6808=0,AND(J6808=1,K6808=1),AND(J6808=1,I6808="SBJ"),AND(J6808=1,I6808=0)),"?IN_FOCUS",IF(J6808&lt;=2,"?ACTIVATED",IF(J6808&lt;&gt;"","?FAMILIAR",IF(F6808="NEW",IF(ISNA(VLOOKUP(E6808,#REF!,1,FALSE())),"?TYPE_IDENTIFIABLE","?REFERENTIAL"),"_")))))</f>
        <v> </v>
      </c>
      <c r="H6808" s="25" t="str">
        <f>IF(J6808&lt;&gt;1,"",IF(I6808="SBJ","CB","?"))</f>
        <v> </v>
      </c>
      <c r="I6808" s="26" t="str">
        <f>IF(OR(E6808="",E6808="!!!",F6808="NEW"),"",INDEX(B6807:B$2,-1+SUMPRODUCT(MAX(ROW(E6807:E$2)*(E6808=E6807:E$2)))))</f>
        <v> </v>
      </c>
      <c r="J6808" s="26" t="str">
        <f>IF(OR(E6808="",E6808="!!!",F6808="NEW"),"",COUNTBLANK(OFFSET(A$1,,,SUMPRODUCT(MAX(ROW(E$2:E6808)*(E6808=E$2:E6808)))))-COUNTBLANK(OFFSET(A$1,,,SUMPRODUCT(MAX(ROW(E$1:E6807)*(E2=E$1:E6807))))))</f>
        <v> </v>
      </c>
      <c r="K6808" s="26" t="str">
        <f>IF(OR(E6808="",E6808="!!!",F6808="NEW"),"",INDEX(J$1:J6807,SUMPRODUCT(MAX(ROW(E$1:E6807)*(E6808=E$1:E6807)))))</f>
        <v> </v>
      </c>
      <c r="L6808" s="27"/>
    </row>
    <row r="6809" spans="1:12">
      <c r="A6809" s="20" t="s">
        <v>1331</v>
      </c>
      <c r="B6809" s="21" t="s">
        <v>1035</v>
      </c>
      <c r="C6809" s="21" t="s">
        <v>1048</v>
      </c>
      <c r="E6809" s="22">
        <f>IF(D6809="?OLD","!!!","")</f>
        <v/>
      </c>
      <c r="F6809" s="23" t="str">
        <f>IF(OR(E6809="",E6809="!!!"),"",IF(NOT(ISNA(VLOOKUP(E6809,E$1:E6808,1,FALSE()))),"OLD",IF(AND(E6809&lt;&gt;"",E6809&lt;&gt;"!!!"),"NEW","")))</f>
        <v> </v>
      </c>
      <c r="G6809" s="24" t="str">
        <f>IF(OR(E6809="",E6809="!!!"),"",IF(OR(J6809=0,AND(J6809=1,K6809=1),AND(J6809=1,I6809="SBJ"),AND(J6809=1,I6809=0)),"?IN_FOCUS",IF(J6809&lt;=2,"?ACTIVATED",IF(J6809&lt;&gt;"","?FAMILIAR",IF(F6809="NEW",IF(ISNA(VLOOKUP(E6809,#REF!,1,FALSE())),"?TYPE_IDENTIFIABLE","?REFERENTIAL"),"_")))))</f>
        <v> </v>
      </c>
      <c r="H6809" s="25" t="str">
        <f>IF(J6809&lt;&gt;1,"",IF(I6809="SBJ","CB","?"))</f>
        <v> </v>
      </c>
      <c r="I6809" s="26" t="str">
        <f>IF(OR(E6809="",E6809="!!!",F6809="NEW"),"",INDEX(B6808:B$2,-1+SUMPRODUCT(MAX(ROW(E6808:E$2)*(E6809=E6808:E$2)))))</f>
        <v> </v>
      </c>
      <c r="J6809" s="26" t="str">
        <f>IF(OR(E6809="",E6809="!!!",F6809="NEW"),"",COUNTBLANK(OFFSET(A$1,,,SUMPRODUCT(MAX(ROW(E$2:E6809)*(E6809=E$2:E6809)))))-COUNTBLANK(OFFSET(A$1,,,SUMPRODUCT(MAX(ROW(E$1:E6808)*(E2=E$1:E6808))))))</f>
        <v> </v>
      </c>
      <c r="K6809" s="26" t="str">
        <f>IF(OR(E6809="",E6809="!!!",F6809="NEW"),"",INDEX(J$1:J6808,SUMPRODUCT(MAX(ROW(E$1:E6808)*(E6809=E$1:E6808)))))</f>
        <v> </v>
      </c>
      <c r="L6809" s="27"/>
    </row>
    <row r="6810" spans="1:12">
      <c r="A6810" s="20" t="s">
        <v>1018</v>
      </c>
      <c r="E6810" s="22">
        <f>IF(D6810="?OLD","!!!","")</f>
        <v/>
      </c>
      <c r="F6810" s="23" t="str">
        <f>IF(OR(E6810="",E6810="!!!"),"",IF(NOT(ISNA(VLOOKUP(E6810,E$1:E6809,1,FALSE()))),"OLD",IF(AND(E6810&lt;&gt;"",E6810&lt;&gt;"!!!"),"NEW","")))</f>
        <v> </v>
      </c>
      <c r="G6810" s="24" t="str">
        <f>IF(OR(E6810="",E6810="!!!"),"",IF(OR(J6810=0,AND(J6810=1,K6810=1),AND(J6810=1,I6810="SBJ"),AND(J6810=1,I6810=0)),"?IN_FOCUS",IF(J6810&lt;=2,"?ACTIVATED",IF(J6810&lt;&gt;"","?FAMILIAR",IF(F6810="NEW",IF(ISNA(VLOOKUP(E6810,#REF!,1,FALSE())),"?TYPE_IDENTIFIABLE","?REFERENTIAL"),"_")))))</f>
        <v> </v>
      </c>
      <c r="H6810" s="25" t="str">
        <f>IF(J6810&lt;&gt;1,"",IF(I6810="SBJ","CB","?"))</f>
        <v> </v>
      </c>
      <c r="I6810" s="26" t="str">
        <f>IF(OR(E6810="",E6810="!!!",F6810="NEW"),"",INDEX(B6809:B$2,-1+SUMPRODUCT(MAX(ROW(E6809:E$2)*(E6810=E6809:E$2)))))</f>
        <v> </v>
      </c>
      <c r="J6810" s="26" t="str">
        <f>IF(OR(E6810="",E6810="!!!",F6810="NEW"),"",COUNTBLANK(OFFSET(A$1,,,SUMPRODUCT(MAX(ROW(E$2:E6810)*(E6810=E$2:E6810)))))-COUNTBLANK(OFFSET(A$1,,,SUMPRODUCT(MAX(ROW(E$1:E6809)*(E2=E$1:E6809))))))</f>
        <v> </v>
      </c>
      <c r="K6810" s="26" t="str">
        <f>IF(OR(E6810="",E6810="!!!",F6810="NEW"),"",INDEX(J$1:J6809,SUMPRODUCT(MAX(ROW(E$1:E6809)*(E6810=E$1:E6809)))))</f>
        <v> </v>
      </c>
      <c r="L6810" s="27"/>
    </row>
    <row r="6811" spans="1:12">
      <c r="A6811" s="20" t="s">
        <v>1333</v>
      </c>
      <c r="E6811" s="22">
        <f>IF(D6811="?OLD","!!!","")</f>
        <v/>
      </c>
      <c r="F6811" s="23" t="str">
        <f>IF(OR(E6811="",E6811="!!!"),"",IF(NOT(ISNA(VLOOKUP(E6811,E$1:E6810,1,FALSE()))),"OLD",IF(AND(E6811&lt;&gt;"",E6811&lt;&gt;"!!!"),"NEW","")))</f>
        <v> </v>
      </c>
      <c r="G6811" s="24" t="str">
        <f>IF(OR(E6811="",E6811="!!!"),"",IF(OR(J6811=0,AND(J6811=1,K6811=1),AND(J6811=1,I6811="SBJ"),AND(J6811=1,I6811=0)),"?IN_FOCUS",IF(J6811&lt;=2,"?ACTIVATED",IF(J6811&lt;&gt;"","?FAMILIAR",IF(F6811="NEW",IF(ISNA(VLOOKUP(E6811,#REF!,1,FALSE())),"?TYPE_IDENTIFIABLE","?REFERENTIAL"),"_")))))</f>
        <v> </v>
      </c>
      <c r="H6811" s="25" t="str">
        <f>IF(J6811&lt;&gt;1,"",IF(I6811="SBJ","CB","?"))</f>
        <v> </v>
      </c>
      <c r="I6811" s="26" t="str">
        <f>IF(OR(E6811="",E6811="!!!",F6811="NEW"),"",INDEX(B6810:B$2,-1+SUMPRODUCT(MAX(ROW(E6810:E$2)*(E6811=E6810:E$2)))))</f>
        <v> </v>
      </c>
      <c r="J6811" s="26" t="str">
        <f>IF(OR(E6811="",E6811="!!!",F6811="NEW"),"",COUNTBLANK(OFFSET(A$1,,,SUMPRODUCT(MAX(ROW(E$2:E6811)*(E6811=E$2:E6811)))))-COUNTBLANK(OFFSET(A$1,,,SUMPRODUCT(MAX(ROW(E$1:E6810)*(E2=E$1:E6810))))))</f>
        <v> </v>
      </c>
      <c r="K6811" s="26" t="str">
        <f>IF(OR(E6811="",E6811="!!!",F6811="NEW"),"",INDEX(J$1:J6810,SUMPRODUCT(MAX(ROW(E$1:E6810)*(E6811=E$1:E6810)))))</f>
        <v> </v>
      </c>
      <c r="L6811" s="27"/>
    </row>
    <row r="6812" spans="1:12">
      <c r="A6812" s="20" t="s">
        <v>98</v>
      </c>
      <c r="E6812" s="22">
        <f>IF(D6812="?OLD","!!!","")</f>
        <v/>
      </c>
      <c r="F6812" s="23" t="str">
        <f>IF(OR(E6812="",E6812="!!!"),"",IF(NOT(ISNA(VLOOKUP(E6812,E$1:E6811,1,FALSE()))),"OLD",IF(AND(E6812&lt;&gt;"",E6812&lt;&gt;"!!!"),"NEW","")))</f>
        <v> </v>
      </c>
      <c r="G6812" s="24" t="str">
        <f>IF(OR(E6812="",E6812="!!!"),"",IF(OR(J6812=0,AND(J6812=1,K6812=1),AND(J6812=1,I6812="SBJ"),AND(J6812=1,I6812=0)),"?IN_FOCUS",IF(J6812&lt;=2,"?ACTIVATED",IF(J6812&lt;&gt;"","?FAMILIAR",IF(F6812="NEW",IF(ISNA(VLOOKUP(E6812,#REF!,1,FALSE())),"?TYPE_IDENTIFIABLE","?REFERENTIAL"),"_")))))</f>
        <v> </v>
      </c>
      <c r="H6812" s="25" t="str">
        <f>IF(J6812&lt;&gt;1,"",IF(I6812="SBJ","CB","?"))</f>
        <v> </v>
      </c>
      <c r="I6812" s="26" t="str">
        <f>IF(OR(E6812="",E6812="!!!",F6812="NEW"),"",INDEX(B6811:B$2,-1+SUMPRODUCT(MAX(ROW(E6811:E$2)*(E6812=E6811:E$2)))))</f>
        <v> </v>
      </c>
      <c r="J6812" s="26" t="str">
        <f>IF(OR(E6812="",E6812="!!!",F6812="NEW"),"",COUNTBLANK(OFFSET(A$1,,,SUMPRODUCT(MAX(ROW(E$2:E6812)*(E6812=E$2:E6812)))))-COUNTBLANK(OFFSET(A$1,,,SUMPRODUCT(MAX(ROW(E$1:E6811)*(E2=E$1:E6811))))))</f>
        <v> </v>
      </c>
      <c r="K6812" s="26" t="str">
        <f>IF(OR(E6812="",E6812="!!!",F6812="NEW"),"",INDEX(J$1:J6811,SUMPRODUCT(MAX(ROW(E$1:E6811)*(E6812=E$1:E6811)))))</f>
        <v> </v>
      </c>
      <c r="L6812" s="27"/>
    </row>
    <row r="6813" spans="1:12">
      <c r="A6813" s="20" t="s">
        <v>1056</v>
      </c>
      <c r="E6813" s="22">
        <f>IF(D6813="?OLD","!!!","")</f>
        <v/>
      </c>
      <c r="F6813" s="23" t="str">
        <f>IF(OR(E6813="",E6813="!!!"),"",IF(NOT(ISNA(VLOOKUP(E6813,E$1:E6812,1,FALSE()))),"OLD",IF(AND(E6813&lt;&gt;"",E6813&lt;&gt;"!!!"),"NEW","")))</f>
        <v> </v>
      </c>
      <c r="G6813" s="24" t="str">
        <f>IF(OR(E6813="",E6813="!!!"),"",IF(OR(J6813=0,AND(J6813=1,K6813=1),AND(J6813=1,I6813="SBJ"),AND(J6813=1,I6813=0)),"?IN_FOCUS",IF(J6813&lt;=2,"?ACTIVATED",IF(J6813&lt;&gt;"","?FAMILIAR",IF(F6813="NEW",IF(ISNA(VLOOKUP(E6813,#REF!,1,FALSE())),"?TYPE_IDENTIFIABLE","?REFERENTIAL"),"_")))))</f>
        <v> </v>
      </c>
      <c r="H6813" s="25" t="str">
        <f>IF(J6813&lt;&gt;1,"",IF(I6813="SBJ","CB","?"))</f>
        <v> </v>
      </c>
      <c r="I6813" s="26" t="str">
        <f>IF(OR(E6813="",E6813="!!!",F6813="NEW"),"",INDEX(B6812:B$2,-1+SUMPRODUCT(MAX(ROW(E6812:E$2)*(E6813=E6812:E$2)))))</f>
        <v> </v>
      </c>
      <c r="J6813" s="26" t="str">
        <f>IF(OR(E6813="",E6813="!!!",F6813="NEW"),"",COUNTBLANK(OFFSET(A$1,,,SUMPRODUCT(MAX(ROW(E$2:E6813)*(E6813=E$2:E6813)))))-COUNTBLANK(OFFSET(A$1,,,SUMPRODUCT(MAX(ROW(E$1:E6812)*(E2=E$1:E6812))))))</f>
        <v> </v>
      </c>
      <c r="K6813" s="26" t="str">
        <f>IF(OR(E6813="",E6813="!!!",F6813="NEW"),"",INDEX(J$1:J6812,SUMPRODUCT(MAX(ROW(E$1:E6812)*(E6813=E$1:E6812)))))</f>
        <v> </v>
      </c>
      <c r="L6813" s="27"/>
    </row>
    <row r="6814" spans="1:12">
      <c r="A6814" s="20" t="s">
        <v>1168</v>
      </c>
      <c r="B6814" s="21" t="s">
        <v>1187</v>
      </c>
      <c r="C6814" s="21" t="s">
        <v>1111</v>
      </c>
      <c r="E6814" s="22">
        <f>IF(D6814="?OLD","!!!","")</f>
        <v/>
      </c>
      <c r="F6814" s="23" t="str">
        <f>IF(OR(E6814="",E6814="!!!"),"",IF(NOT(ISNA(VLOOKUP(E6814,E$1:E6813,1,FALSE()))),"OLD",IF(AND(E6814&lt;&gt;"",E6814&lt;&gt;"!!!"),"NEW","")))</f>
        <v> </v>
      </c>
      <c r="G6814" s="24" t="str">
        <f>IF(OR(E6814="",E6814="!!!"),"",IF(OR(J6814=0,AND(J6814=1,K6814=1),AND(J6814=1,I6814="SBJ"),AND(J6814=1,I6814=0)),"?IN_FOCUS",IF(J6814&lt;=2,"?ACTIVATED",IF(J6814&lt;&gt;"","?FAMILIAR",IF(F6814="NEW",IF(ISNA(VLOOKUP(E6814,#REF!,1,FALSE())),"?TYPE_IDENTIFIABLE","?REFERENTIAL"),"_")))))</f>
        <v> </v>
      </c>
      <c r="H6814" s="25" t="str">
        <f>IF(J6814&lt;&gt;1,"",IF(I6814="SBJ","CB","?"))</f>
        <v> </v>
      </c>
      <c r="I6814" s="26" t="str">
        <f>IF(OR(E6814="",E6814="!!!",F6814="NEW"),"",INDEX(B6813:B$2,-1+SUMPRODUCT(MAX(ROW(E6813:E$2)*(E6814=E6813:E$2)))))</f>
        <v> </v>
      </c>
      <c r="J6814" s="26" t="str">
        <f>IF(OR(E6814="",E6814="!!!",F6814="NEW"),"",COUNTBLANK(OFFSET(A$1,,,SUMPRODUCT(MAX(ROW(E$2:E6814)*(E6814=E$2:E6814)))))-COUNTBLANK(OFFSET(A$1,,,SUMPRODUCT(MAX(ROW(E$1:E6813)*(E2=E$1:E6813))))))</f>
        <v> </v>
      </c>
      <c r="K6814" s="26" t="str">
        <f>IF(OR(E6814="",E6814="!!!",F6814="NEW"),"",INDEX(J$1:J6813,SUMPRODUCT(MAX(ROW(E$1:E6813)*(E6814=E$1:E6813)))))</f>
        <v> </v>
      </c>
      <c r="L6814" s="27"/>
    </row>
    <row r="6815" spans="1:12">
      <c r="A6815" s="20" t="s">
        <v>2737</v>
      </c>
      <c r="E6815" s="22">
        <f>IF(D6815="?OLD","!!!","")</f>
        <v/>
      </c>
      <c r="F6815" s="23" t="str">
        <f>IF(OR(E6815="",E6815="!!!"),"",IF(NOT(ISNA(VLOOKUP(E6815,E$1:E6814,1,FALSE()))),"OLD",IF(AND(E6815&lt;&gt;"",E6815&lt;&gt;"!!!"),"NEW","")))</f>
        <v> </v>
      </c>
      <c r="G6815" s="24" t="str">
        <f>IF(OR(E6815="",E6815="!!!"),"",IF(OR(J6815=0,AND(J6815=1,K6815=1),AND(J6815=1,I6815="SBJ"),AND(J6815=1,I6815=0)),"?IN_FOCUS",IF(J6815&lt;=2,"?ACTIVATED",IF(J6815&lt;&gt;"","?FAMILIAR",IF(F6815="NEW",IF(ISNA(VLOOKUP(E6815,#REF!,1,FALSE())),"?TYPE_IDENTIFIABLE","?REFERENTIAL"),"_")))))</f>
        <v> </v>
      </c>
      <c r="H6815" s="25" t="str">
        <f>IF(J6815&lt;&gt;1,"",IF(I6815="SBJ","CB","?"))</f>
        <v> </v>
      </c>
      <c r="I6815" s="26" t="str">
        <f>IF(OR(E6815="",E6815="!!!",F6815="NEW"),"",INDEX(B6814:B$2,-1+SUMPRODUCT(MAX(ROW(E6814:E$2)*(E6815=E6814:E$2)))))</f>
        <v> </v>
      </c>
      <c r="J6815" s="26" t="str">
        <f>IF(OR(E6815="",E6815="!!!",F6815="NEW"),"",COUNTBLANK(OFFSET(A$1,,,SUMPRODUCT(MAX(ROW(E$2:E6815)*(E6815=E$2:E6815)))))-COUNTBLANK(OFFSET(A$1,,,SUMPRODUCT(MAX(ROW(E$1:E6814)*(E2=E$1:E6814))))))</f>
        <v> </v>
      </c>
      <c r="K6815" s="26" t="str">
        <f>IF(OR(E6815="",E6815="!!!",F6815="NEW"),"",INDEX(J$1:J6814,SUMPRODUCT(MAX(ROW(E$1:E6814)*(E6815=E$1:E6814)))))</f>
        <v> </v>
      </c>
      <c r="L6815" s="27"/>
    </row>
    <row r="6816" spans="1:12">
      <c r="A6816" s="20" t="s">
        <v>1330</v>
      </c>
      <c r="E6816" s="22">
        <f>IF(D6816="?OLD","!!!","")</f>
        <v/>
      </c>
      <c r="F6816" s="23" t="str">
        <f>IF(OR(E6816="",E6816="!!!"),"",IF(NOT(ISNA(VLOOKUP(E6816,E$1:E6815,1,FALSE()))),"OLD",IF(AND(E6816&lt;&gt;"",E6816&lt;&gt;"!!!"),"NEW","")))</f>
        <v> </v>
      </c>
      <c r="G6816" s="24" t="str">
        <f>IF(OR(E6816="",E6816="!!!"),"",IF(OR(J6816=0,AND(J6816=1,K6816=1),AND(J6816=1,I6816="SBJ"),AND(J6816=1,I6816=0)),"?IN_FOCUS",IF(J6816&lt;=2,"?ACTIVATED",IF(J6816&lt;&gt;"","?FAMILIAR",IF(F6816="NEW",IF(ISNA(VLOOKUP(E6816,#REF!,1,FALSE())),"?TYPE_IDENTIFIABLE","?REFERENTIAL"),"_")))))</f>
        <v> </v>
      </c>
      <c r="H6816" s="25" t="str">
        <f>IF(J6816&lt;&gt;1,"",IF(I6816="SBJ","CB","?"))</f>
        <v> </v>
      </c>
      <c r="I6816" s="26" t="str">
        <f>IF(OR(E6816="",E6816="!!!",F6816="NEW"),"",INDEX(B6815:B$2,-1+SUMPRODUCT(MAX(ROW(E6815:E$2)*(E6816=E6815:E$2)))))</f>
        <v> </v>
      </c>
      <c r="J6816" s="26" t="str">
        <f>IF(OR(E6816="",E6816="!!!",F6816="NEW"),"",COUNTBLANK(OFFSET(A$1,,,SUMPRODUCT(MAX(ROW(E$2:E6816)*(E6816=E$2:E6816)))))-COUNTBLANK(OFFSET(A$1,,,SUMPRODUCT(MAX(ROW(E$1:E6815)*(E2=E$1:E6815))))))</f>
        <v> </v>
      </c>
      <c r="K6816" s="26" t="str">
        <f>IF(OR(E6816="",E6816="!!!",F6816="NEW"),"",INDEX(J$1:J6815,SUMPRODUCT(MAX(ROW(E$1:E6815)*(E6816=E$1:E6815)))))</f>
        <v> </v>
      </c>
      <c r="L6816" s="27"/>
    </row>
    <row r="6817" spans="1:12">
      <c r="A6817" s="20" t="s">
        <v>1255</v>
      </c>
      <c r="E6817" s="22">
        <f>IF(D6817="?OLD","!!!","")</f>
        <v/>
      </c>
      <c r="F6817" s="23" t="str">
        <f>IF(OR(E6817="",E6817="!!!"),"",IF(NOT(ISNA(VLOOKUP(E6817,E$1:E6816,1,FALSE()))),"OLD",IF(AND(E6817&lt;&gt;"",E6817&lt;&gt;"!!!"),"NEW","")))</f>
        <v> </v>
      </c>
      <c r="G6817" s="24" t="str">
        <f>IF(OR(E6817="",E6817="!!!"),"",IF(OR(J6817=0,AND(J6817=1,K6817=1),AND(J6817=1,I6817="SBJ"),AND(J6817=1,I6817=0)),"?IN_FOCUS",IF(J6817&lt;=2,"?ACTIVATED",IF(J6817&lt;&gt;"","?FAMILIAR",IF(F6817="NEW",IF(ISNA(VLOOKUP(E6817,#REF!,1,FALSE())),"?TYPE_IDENTIFIABLE","?REFERENTIAL"),"_")))))</f>
        <v> </v>
      </c>
      <c r="H6817" s="25" t="str">
        <f>IF(J6817&lt;&gt;1,"",IF(I6817="SBJ","CB","?"))</f>
        <v> </v>
      </c>
      <c r="I6817" s="26" t="str">
        <f>IF(OR(E6817="",E6817="!!!",F6817="NEW"),"",INDEX(B6816:B$2,-1+SUMPRODUCT(MAX(ROW(E6816:E$2)*(E6817=E6816:E$2)))))</f>
        <v> </v>
      </c>
      <c r="J6817" s="26" t="str">
        <f>IF(OR(E6817="",E6817="!!!",F6817="NEW"),"",COUNTBLANK(OFFSET(A$1,,,SUMPRODUCT(MAX(ROW(E$2:E6817)*(E6817=E$2:E6817)))))-COUNTBLANK(OFFSET(A$1,,,SUMPRODUCT(MAX(ROW(E$1:E6816)*(E2=E$1:E6816))))))</f>
        <v> </v>
      </c>
      <c r="K6817" s="26" t="str">
        <f>IF(OR(E6817="",E6817="!!!",F6817="NEW"),"",INDEX(J$1:J6816,SUMPRODUCT(MAX(ROW(E$1:E6816)*(E6817=E$1:E6816)))))</f>
        <v> </v>
      </c>
      <c r="L6817" s="27"/>
    </row>
    <row r="6818" spans="1:12">
      <c r="A6818" s="20" t="s">
        <v>2738</v>
      </c>
      <c r="B6818" s="21" t="s">
        <v>1033</v>
      </c>
      <c r="C6818" s="21" t="s">
        <v>1048</v>
      </c>
      <c r="E6818" s="22">
        <f>IF(D6818="?OLD","!!!","")</f>
        <v/>
      </c>
      <c r="F6818" s="23" t="str">
        <f>IF(OR(E6818="",E6818="!!!"),"",IF(NOT(ISNA(VLOOKUP(E6818,E$1:E6817,1,FALSE()))),"OLD",IF(AND(E6818&lt;&gt;"",E6818&lt;&gt;"!!!"),"NEW","")))</f>
        <v> </v>
      </c>
      <c r="G6818" s="24" t="str">
        <f>IF(OR(E6818="",E6818="!!!"),"",IF(OR(J6818=0,AND(J6818=1,K6818=1),AND(J6818=1,I6818="SBJ"),AND(J6818=1,I6818=0)),"?IN_FOCUS",IF(J6818&lt;=2,"?ACTIVATED",IF(J6818&lt;&gt;"","?FAMILIAR",IF(F6818="NEW",IF(ISNA(VLOOKUP(E6818,#REF!,1,FALSE())),"?TYPE_IDENTIFIABLE","?REFERENTIAL"),"_")))))</f>
        <v> </v>
      </c>
      <c r="H6818" s="25" t="str">
        <f>IF(J6818&lt;&gt;1,"",IF(I6818="SBJ","CB","?"))</f>
        <v> </v>
      </c>
      <c r="I6818" s="26" t="str">
        <f>IF(OR(E6818="",E6818="!!!",F6818="NEW"),"",INDEX(B6817:B$2,-1+SUMPRODUCT(MAX(ROW(E6817:E$2)*(E6818=E6817:E$2)))))</f>
        <v> </v>
      </c>
      <c r="J6818" s="26" t="str">
        <f>IF(OR(E6818="",E6818="!!!",F6818="NEW"),"",COUNTBLANK(OFFSET(A$1,,,SUMPRODUCT(MAX(ROW(E$2:E6818)*(E6818=E$2:E6818)))))-COUNTBLANK(OFFSET(A$1,,,SUMPRODUCT(MAX(ROW(E$1:E6817)*(E2=E$1:E6817))))))</f>
        <v> </v>
      </c>
      <c r="K6818" s="26" t="str">
        <f>IF(OR(E6818="",E6818="!!!",F6818="NEW"),"",INDEX(J$1:J6817,SUMPRODUCT(MAX(ROW(E$1:E6817)*(E6818=E$1:E6817)))))</f>
        <v> </v>
      </c>
      <c r="L6818" s="27"/>
    </row>
    <row r="6819" spans="1:12">
      <c r="A6819" s="20" t="s">
        <v>2739</v>
      </c>
      <c r="E6819" s="22">
        <f>IF(D6819="?OLD","!!!","")</f>
        <v/>
      </c>
      <c r="F6819" s="23" t="str">
        <f>IF(OR(E6819="",E6819="!!!"),"",IF(NOT(ISNA(VLOOKUP(E6819,E$1:E6818,1,FALSE()))),"OLD",IF(AND(E6819&lt;&gt;"",E6819&lt;&gt;"!!!"),"NEW","")))</f>
        <v> </v>
      </c>
      <c r="G6819" s="24" t="str">
        <f>IF(OR(E6819="",E6819="!!!"),"",IF(OR(J6819=0,AND(J6819=1,K6819=1),AND(J6819=1,I6819="SBJ"),AND(J6819=1,I6819=0)),"?IN_FOCUS",IF(J6819&lt;=2,"?ACTIVATED",IF(J6819&lt;&gt;"","?FAMILIAR",IF(F6819="NEW",IF(ISNA(VLOOKUP(E6819,#REF!,1,FALSE())),"?TYPE_IDENTIFIABLE","?REFERENTIAL"),"_")))))</f>
        <v> </v>
      </c>
      <c r="H6819" s="25" t="str">
        <f>IF(J6819&lt;&gt;1,"",IF(I6819="SBJ","CB","?"))</f>
        <v> </v>
      </c>
      <c r="I6819" s="26" t="str">
        <f>IF(OR(E6819="",E6819="!!!",F6819="NEW"),"",INDEX(B6818:B$2,-1+SUMPRODUCT(MAX(ROW(E6818:E$2)*(E6819=E6818:E$2)))))</f>
        <v> </v>
      </c>
      <c r="J6819" s="26" t="str">
        <f>IF(OR(E6819="",E6819="!!!",F6819="NEW"),"",COUNTBLANK(OFFSET(A$1,,,SUMPRODUCT(MAX(ROW(E$2:E6819)*(E6819=E$2:E6819)))))-COUNTBLANK(OFFSET(A$1,,,SUMPRODUCT(MAX(ROW(E$1:E6818)*(E2=E$1:E6818))))))</f>
        <v> </v>
      </c>
      <c r="K6819" s="26" t="str">
        <f>IF(OR(E6819="",E6819="!!!",F6819="NEW"),"",INDEX(J$1:J6818,SUMPRODUCT(MAX(ROW(E$1:E6818)*(E6819=E$1:E6818)))))</f>
        <v> </v>
      </c>
      <c r="L6819" s="27"/>
    </row>
    <row r="6820" spans="1:12">
      <c r="A6820" s="20" t="s">
        <v>1023</v>
      </c>
      <c r="E6820" s="22">
        <f>IF(D6820="?OLD","!!!","")</f>
        <v/>
      </c>
      <c r="F6820" s="23" t="str">
        <f>IF(OR(E6820="",E6820="!!!"),"",IF(NOT(ISNA(VLOOKUP(E6820,E$1:E6819,1,FALSE()))),"OLD",IF(AND(E6820&lt;&gt;"",E6820&lt;&gt;"!!!"),"NEW","")))</f>
        <v> </v>
      </c>
      <c r="G6820" s="24" t="str">
        <f>IF(OR(E6820="",E6820="!!!"),"",IF(OR(J6820=0,AND(J6820=1,K6820=1),AND(J6820=1,I6820="SBJ"),AND(J6820=1,I6820=0)),"?IN_FOCUS",IF(J6820&lt;=2,"?ACTIVATED",IF(J6820&lt;&gt;"","?FAMILIAR",IF(F6820="NEW",IF(ISNA(VLOOKUP(E6820,#REF!,1,FALSE())),"?TYPE_IDENTIFIABLE","?REFERENTIAL"),"_")))))</f>
        <v> </v>
      </c>
      <c r="H6820" s="25" t="str">
        <f>IF(J6820&lt;&gt;1,"",IF(I6820="SBJ","CB","?"))</f>
        <v> </v>
      </c>
      <c r="I6820" s="26" t="str">
        <f>IF(OR(E6820="",E6820="!!!",F6820="NEW"),"",INDEX(B6819:B$2,-1+SUMPRODUCT(MAX(ROW(E6819:E$2)*(E6820=E6819:E$2)))))</f>
        <v> </v>
      </c>
      <c r="J6820" s="26" t="str">
        <f>IF(OR(E6820="",E6820="!!!",F6820="NEW"),"",COUNTBLANK(OFFSET(A$1,,,SUMPRODUCT(MAX(ROW(E$2:E6820)*(E6820=E$2:E6820)))))-COUNTBLANK(OFFSET(A$1,,,SUMPRODUCT(MAX(ROW(E$1:E6819)*(E2=E$1:E6819))))))</f>
        <v> </v>
      </c>
      <c r="K6820" s="26" t="str">
        <f>IF(OR(E6820="",E6820="!!!",F6820="NEW"),"",INDEX(J$1:J6819,SUMPRODUCT(MAX(ROW(E$1:E6819)*(E6820=E$1:E6819)))))</f>
        <v> </v>
      </c>
      <c r="L6820" s="27"/>
    </row>
    <row r="6821" spans="1:12">
      <c r="A6821" s="20"/>
    </row>
    <row r="6822" spans="1:12">
      <c r="A6822" s="20" t="s">
        <v>2740</v>
      </c>
    </row>
    <row r="6823" spans="1:12">
      <c r="A6823" s="20" t="s">
        <v>1175</v>
      </c>
      <c r="E6823" s="22">
        <f>IF(D6823="?OLD","!!!","")</f>
        <v/>
      </c>
      <c r="F6823" s="23" t="str">
        <f>IF(OR(E6823="",E6823="!!!"),"",IF(NOT(ISNA(VLOOKUP(E6823,E$1:E6822,1,FALSE()))),"OLD",IF(AND(E6823&lt;&gt;"",E6823&lt;&gt;"!!!"),"NEW","")))</f>
        <v> </v>
      </c>
      <c r="G6823" s="24" t="str">
        <f>IF(OR(E6823="",E6823="!!!"),"",IF(OR(J6823=0,AND(J6823=1,K6823=1),AND(J6823=1,I6823="SBJ"),AND(J6823=1,I6823=0)),"?IN_FOCUS",IF(J6823&lt;=2,"?ACTIVATED",IF(J6823&lt;&gt;"","?FAMILIAR",IF(F6823="NEW",IF(ISNA(VLOOKUP(E6823,#REF!,1,FALSE())),"?TYPE_IDENTIFIABLE","?REFERENTIAL"),"_")))))</f>
        <v> </v>
      </c>
      <c r="H6823" s="25" t="str">
        <f>IF(J6823&lt;&gt;1,"",IF(I6823="SBJ","CB","?"))</f>
        <v> </v>
      </c>
      <c r="I6823" s="26" t="str">
        <f>IF(OR(E6823="",E6823="!!!",F6823="NEW"),"",INDEX(B6822:B$2,-1+SUMPRODUCT(MAX(ROW(E6822:E$2)*(E6823=E6822:E$2)))))</f>
        <v> </v>
      </c>
      <c r="J6823" s="26" t="str">
        <f>IF(OR(E6823="",E6823="!!!",F6823="NEW"),"",COUNTBLANK(OFFSET(A$1,,,SUMPRODUCT(MAX(ROW(E$2:E6823)*(E6823=E$2:E6823)))))-COUNTBLANK(OFFSET(A$1,,,SUMPRODUCT(MAX(ROW(E$1:E6822)*(E2=E$1:E6822))))))</f>
        <v> </v>
      </c>
      <c r="K6823" s="26" t="str">
        <f>IF(OR(E6823="",E6823="!!!",F6823="NEW"),"",INDEX(J$1:J6822,SUMPRODUCT(MAX(ROW(E$1:E6822)*(E6823=E$1:E6822)))))</f>
        <v> </v>
      </c>
      <c r="L6823" s="27"/>
    </row>
    <row r="6824" spans="1:12">
      <c r="A6824" s="20" t="s">
        <v>1176</v>
      </c>
      <c r="E6824" s="22">
        <f>IF(D6824="?OLD","!!!","")</f>
        <v/>
      </c>
      <c r="F6824" s="23" t="str">
        <f>IF(OR(E6824="",E6824="!!!"),"",IF(NOT(ISNA(VLOOKUP(E6824,E$1:E6823,1,FALSE()))),"OLD",IF(AND(E6824&lt;&gt;"",E6824&lt;&gt;"!!!"),"NEW","")))</f>
        <v> </v>
      </c>
      <c r="G6824" s="24" t="str">
        <f>IF(OR(E6824="",E6824="!!!"),"",IF(OR(J6824=0,AND(J6824=1,K6824=1),AND(J6824=1,I6824="SBJ"),AND(J6824=1,I6824=0)),"?IN_FOCUS",IF(J6824&lt;=2,"?ACTIVATED",IF(J6824&lt;&gt;"","?FAMILIAR",IF(F6824="NEW",IF(ISNA(VLOOKUP(E6824,#REF!,1,FALSE())),"?TYPE_IDENTIFIABLE","?REFERENTIAL"),"_")))))</f>
        <v> </v>
      </c>
      <c r="H6824" s="25" t="str">
        <f>IF(J6824&lt;&gt;1,"",IF(I6824="SBJ","CB","?"))</f>
        <v> </v>
      </c>
      <c r="I6824" s="26" t="str">
        <f>IF(OR(E6824="",E6824="!!!",F6824="NEW"),"",INDEX(B6823:B$2,-1+SUMPRODUCT(MAX(ROW(E6823:E$2)*(E6824=E6823:E$2)))))</f>
        <v> </v>
      </c>
      <c r="J6824" s="26" t="str">
        <f>IF(OR(E6824="",E6824="!!!",F6824="NEW"),"",COUNTBLANK(OFFSET(A$1,,,SUMPRODUCT(MAX(ROW(E$2:E6824)*(E6824=E$2:E6824)))))-COUNTBLANK(OFFSET(A$1,,,SUMPRODUCT(MAX(ROW(E$1:E6823)*(E2=E$1:E6823))))))</f>
        <v> </v>
      </c>
      <c r="K6824" s="26" t="str">
        <f>IF(OR(E6824="",E6824="!!!",F6824="NEW"),"",INDEX(J$1:J6823,SUMPRODUCT(MAX(ROW(E$1:E6823)*(E6824=E$1:E6823)))))</f>
        <v> </v>
      </c>
      <c r="L6824" s="27"/>
    </row>
    <row r="6825" spans="1:12">
      <c r="A6825" s="20" t="s">
        <v>70</v>
      </c>
      <c r="E6825" s="22">
        <f>IF(D6825="?OLD","!!!","")</f>
        <v/>
      </c>
      <c r="F6825" s="23" t="str">
        <f>IF(OR(E6825="",E6825="!!!"),"",IF(NOT(ISNA(VLOOKUP(E6825,E$1:E6824,1,FALSE()))),"OLD",IF(AND(E6825&lt;&gt;"",E6825&lt;&gt;"!!!"),"NEW","")))</f>
        <v> </v>
      </c>
      <c r="G6825" s="24" t="str">
        <f>IF(OR(E6825="",E6825="!!!"),"",IF(OR(J6825=0,AND(J6825=1,K6825=1),AND(J6825=1,I6825="SBJ"),AND(J6825=1,I6825=0)),"?IN_FOCUS",IF(J6825&lt;=2,"?ACTIVATED",IF(J6825&lt;&gt;"","?FAMILIAR",IF(F6825="NEW",IF(ISNA(VLOOKUP(E6825,#REF!,1,FALSE())),"?TYPE_IDENTIFIABLE","?REFERENTIAL"),"_")))))</f>
        <v> </v>
      </c>
      <c r="H6825" s="25" t="str">
        <f>IF(J6825&lt;&gt;1,"",IF(I6825="SBJ","CB","?"))</f>
        <v> </v>
      </c>
      <c r="I6825" s="26" t="str">
        <f>IF(OR(E6825="",E6825="!!!",F6825="NEW"),"",INDEX(B6824:B$2,-1+SUMPRODUCT(MAX(ROW(E6824:E$2)*(E6825=E6824:E$2)))))</f>
        <v> </v>
      </c>
      <c r="J6825" s="26" t="str">
        <f>IF(OR(E6825="",E6825="!!!",F6825="NEW"),"",COUNTBLANK(OFFSET(A$1,,,SUMPRODUCT(MAX(ROW(E$2:E6825)*(E6825=E$2:E6825)))))-COUNTBLANK(OFFSET(A$1,,,SUMPRODUCT(MAX(ROW(E$1:E6824)*(E2=E$1:E6824))))))</f>
        <v> </v>
      </c>
      <c r="K6825" s="26" t="str">
        <f>IF(OR(E6825="",E6825="!!!",F6825="NEW"),"",INDEX(J$1:J6824,SUMPRODUCT(MAX(ROW(E$1:E6824)*(E6825=E$1:E6824)))))</f>
        <v> </v>
      </c>
      <c r="L6825" s="27"/>
    </row>
    <row r="6826" spans="1:12">
      <c r="A6826" s="20" t="s">
        <v>1209</v>
      </c>
      <c r="E6826" s="22">
        <f>IF(D6826="?OLD","!!!","")</f>
        <v/>
      </c>
      <c r="F6826" s="23" t="str">
        <f>IF(OR(E6826="",E6826="!!!"),"",IF(NOT(ISNA(VLOOKUP(E6826,E$1:E6825,1,FALSE()))),"OLD",IF(AND(E6826&lt;&gt;"",E6826&lt;&gt;"!!!"),"NEW","")))</f>
        <v> </v>
      </c>
      <c r="G6826" s="24" t="str">
        <f>IF(OR(E6826="",E6826="!!!"),"",IF(OR(J6826=0,AND(J6826=1,K6826=1),AND(J6826=1,I6826="SBJ"),AND(J6826=1,I6826=0)),"?IN_FOCUS",IF(J6826&lt;=2,"?ACTIVATED",IF(J6826&lt;&gt;"","?FAMILIAR",IF(F6826="NEW",IF(ISNA(VLOOKUP(E6826,#REF!,1,FALSE())),"?TYPE_IDENTIFIABLE","?REFERENTIAL"),"_")))))</f>
        <v> </v>
      </c>
      <c r="H6826" s="25" t="str">
        <f>IF(J6826&lt;&gt;1,"",IF(I6826="SBJ","CB","?"))</f>
        <v> </v>
      </c>
      <c r="I6826" s="26" t="str">
        <f>IF(OR(E6826="",E6826="!!!",F6826="NEW"),"",INDEX(B6825:B$2,-1+SUMPRODUCT(MAX(ROW(E6825:E$2)*(E6826=E6825:E$2)))))</f>
        <v> </v>
      </c>
      <c r="J6826" s="26" t="str">
        <f>IF(OR(E6826="",E6826="!!!",F6826="NEW"),"",COUNTBLANK(OFFSET(A$1,,,SUMPRODUCT(MAX(ROW(E$2:E6826)*(E6826=E$2:E6826)))))-COUNTBLANK(OFFSET(A$1,,,SUMPRODUCT(MAX(ROW(E$1:E6825)*(E2=E$1:E6825))))))</f>
        <v> </v>
      </c>
      <c r="K6826" s="26" t="str">
        <f>IF(OR(E6826="",E6826="!!!",F6826="NEW"),"",INDEX(J$1:J6825,SUMPRODUCT(MAX(ROW(E$1:E6825)*(E6826=E$1:E6825)))))</f>
        <v> </v>
      </c>
      <c r="L6826" s="27"/>
    </row>
    <row r="6827" spans="1:12">
      <c r="A6827" s="20" t="s">
        <v>1182</v>
      </c>
      <c r="E6827" s="22">
        <f>IF(D6827="?OLD","!!!","")</f>
        <v/>
      </c>
      <c r="F6827" s="23" t="str">
        <f>IF(OR(E6827="",E6827="!!!"),"",IF(NOT(ISNA(VLOOKUP(E6827,E$1:E6826,1,FALSE()))),"OLD",IF(AND(E6827&lt;&gt;"",E6827&lt;&gt;"!!!"),"NEW","")))</f>
        <v> </v>
      </c>
      <c r="G6827" s="24" t="str">
        <f>IF(OR(E6827="",E6827="!!!"),"",IF(OR(J6827=0,AND(J6827=1,K6827=1),AND(J6827=1,I6827="SBJ"),AND(J6827=1,I6827=0)),"?IN_FOCUS",IF(J6827&lt;=2,"?ACTIVATED",IF(J6827&lt;&gt;"","?FAMILIAR",IF(F6827="NEW",IF(ISNA(VLOOKUP(E6827,#REF!,1,FALSE())),"?TYPE_IDENTIFIABLE","?REFERENTIAL"),"_")))))</f>
        <v> </v>
      </c>
      <c r="H6827" s="25" t="str">
        <f>IF(J6827&lt;&gt;1,"",IF(I6827="SBJ","CB","?"))</f>
        <v> </v>
      </c>
      <c r="I6827" s="26" t="str">
        <f>IF(OR(E6827="",E6827="!!!",F6827="NEW"),"",INDEX(B6826:B$2,-1+SUMPRODUCT(MAX(ROW(E6826:E$2)*(E6827=E6826:E$2)))))</f>
        <v> </v>
      </c>
      <c r="J6827" s="26" t="str">
        <f>IF(OR(E6827="",E6827="!!!",F6827="NEW"),"",COUNTBLANK(OFFSET(A$1,,,SUMPRODUCT(MAX(ROW(E$2:E6827)*(E6827=E$2:E6827)))))-COUNTBLANK(OFFSET(A$1,,,SUMPRODUCT(MAX(ROW(E$1:E6826)*(E2=E$1:E6826))))))</f>
        <v> </v>
      </c>
      <c r="K6827" s="26" t="str">
        <f>IF(OR(E6827="",E6827="!!!",F6827="NEW"),"",INDEX(J$1:J6826,SUMPRODUCT(MAX(ROW(E$1:E6826)*(E6827=E$1:E6826)))))</f>
        <v> </v>
      </c>
      <c r="L6827" s="27"/>
    </row>
    <row r="6828" spans="1:12">
      <c r="A6828" s="20" t="s">
        <v>1083</v>
      </c>
      <c r="E6828" s="22">
        <f>IF(D6828="?OLD","!!!","")</f>
        <v/>
      </c>
      <c r="F6828" s="23" t="str">
        <f>IF(OR(E6828="",E6828="!!!"),"",IF(NOT(ISNA(VLOOKUP(E6828,E$1:E6827,1,FALSE()))),"OLD",IF(AND(E6828&lt;&gt;"",E6828&lt;&gt;"!!!"),"NEW","")))</f>
        <v> </v>
      </c>
      <c r="G6828" s="24" t="str">
        <f>IF(OR(E6828="",E6828="!!!"),"",IF(OR(J6828=0,AND(J6828=1,K6828=1),AND(J6828=1,I6828="SBJ"),AND(J6828=1,I6828=0)),"?IN_FOCUS",IF(J6828&lt;=2,"?ACTIVATED",IF(J6828&lt;&gt;"","?FAMILIAR",IF(F6828="NEW",IF(ISNA(VLOOKUP(E6828,#REF!,1,FALSE())),"?TYPE_IDENTIFIABLE","?REFERENTIAL"),"_")))))</f>
        <v> </v>
      </c>
      <c r="H6828" s="25" t="str">
        <f>IF(J6828&lt;&gt;1,"",IF(I6828="SBJ","CB","?"))</f>
        <v> </v>
      </c>
      <c r="I6828" s="26" t="str">
        <f>IF(OR(E6828="",E6828="!!!",F6828="NEW"),"",INDEX(B6827:B$2,-1+SUMPRODUCT(MAX(ROW(E6827:E$2)*(E6828=E6827:E$2)))))</f>
        <v> </v>
      </c>
      <c r="J6828" s="26" t="str">
        <f>IF(OR(E6828="",E6828="!!!",F6828="NEW"),"",COUNTBLANK(OFFSET(A$1,,,SUMPRODUCT(MAX(ROW(E$2:E6828)*(E6828=E$2:E6828)))))-COUNTBLANK(OFFSET(A$1,,,SUMPRODUCT(MAX(ROW(E$1:E6827)*(E2=E$1:E6827))))))</f>
        <v> </v>
      </c>
      <c r="K6828" s="26" t="str">
        <f>IF(OR(E6828="",E6828="!!!",F6828="NEW"),"",INDEX(J$1:J6827,SUMPRODUCT(MAX(ROW(E$1:E6827)*(E6828=E$1:E6827)))))</f>
        <v> </v>
      </c>
      <c r="L6828" s="27"/>
    </row>
    <row r="6829" spans="1:12">
      <c r="A6829" s="20" t="s">
        <v>1020</v>
      </c>
      <c r="E6829" s="22">
        <f>IF(D6829="?OLD","!!!","")</f>
        <v/>
      </c>
      <c r="F6829" s="23" t="str">
        <f>IF(OR(E6829="",E6829="!!!"),"",IF(NOT(ISNA(VLOOKUP(E6829,E$1:E6828,1,FALSE()))),"OLD",IF(AND(E6829&lt;&gt;"",E6829&lt;&gt;"!!!"),"NEW","")))</f>
        <v> </v>
      </c>
      <c r="G6829" s="24" t="str">
        <f>IF(OR(E6829="",E6829="!!!"),"",IF(OR(J6829=0,AND(J6829=1,K6829=1),AND(J6829=1,I6829="SBJ"),AND(J6829=1,I6829=0)),"?IN_FOCUS",IF(J6829&lt;=2,"?ACTIVATED",IF(J6829&lt;&gt;"","?FAMILIAR",IF(F6829="NEW",IF(ISNA(VLOOKUP(E6829,#REF!,1,FALSE())),"?TYPE_IDENTIFIABLE","?REFERENTIAL"),"_")))))</f>
        <v> </v>
      </c>
      <c r="H6829" s="25" t="str">
        <f>IF(J6829&lt;&gt;1,"",IF(I6829="SBJ","CB","?"))</f>
        <v> </v>
      </c>
      <c r="I6829" s="26" t="str">
        <f>IF(OR(E6829="",E6829="!!!",F6829="NEW"),"",INDEX(B6828:B$2,-1+SUMPRODUCT(MAX(ROW(E6828:E$2)*(E6829=E6828:E$2)))))</f>
        <v> </v>
      </c>
      <c r="J6829" s="26" t="str">
        <f>IF(OR(E6829="",E6829="!!!",F6829="NEW"),"",COUNTBLANK(OFFSET(A$1,,,SUMPRODUCT(MAX(ROW(E$2:E6829)*(E6829=E$2:E6829)))))-COUNTBLANK(OFFSET(A$1,,,SUMPRODUCT(MAX(ROW(E$1:E6828)*(E2=E$1:E6828))))))</f>
        <v> </v>
      </c>
      <c r="K6829" s="26" t="str">
        <f>IF(OR(E6829="",E6829="!!!",F6829="NEW"),"",INDEX(J$1:J6828,SUMPRODUCT(MAX(ROW(E$1:E6828)*(E6829=E$1:E6828)))))</f>
        <v> </v>
      </c>
      <c r="L6829" s="27"/>
    </row>
    <row r="6830" spans="1:12">
      <c r="A6830" s="20" t="s">
        <v>1084</v>
      </c>
      <c r="B6830" s="21" t="s">
        <v>1033</v>
      </c>
      <c r="C6830" s="21" t="s">
        <v>1086</v>
      </c>
      <c r="E6830" s="22">
        <f>IF(D6830="?OLD","!!!","")</f>
        <v/>
      </c>
      <c r="F6830" s="23" t="str">
        <f>IF(OR(E6830="",E6830="!!!"),"",IF(NOT(ISNA(VLOOKUP(E6830,E$1:E6829,1,FALSE()))),"OLD",IF(AND(E6830&lt;&gt;"",E6830&lt;&gt;"!!!"),"NEW","")))</f>
        <v> </v>
      </c>
      <c r="G6830" s="24" t="str">
        <f>IF(OR(E6830="",E6830="!!!"),"",IF(OR(J6830=0,AND(J6830=1,K6830=1),AND(J6830=1,I6830="SBJ"),AND(J6830=1,I6830=0)),"?IN_FOCUS",IF(J6830&lt;=2,"?ACTIVATED",IF(J6830&lt;&gt;"","?FAMILIAR",IF(F6830="NEW",IF(ISNA(VLOOKUP(E6830,#REF!,1,FALSE())),"?TYPE_IDENTIFIABLE","?REFERENTIAL"),"_")))))</f>
        <v> </v>
      </c>
      <c r="H6830" s="25" t="str">
        <f>IF(J6830&lt;&gt;1,"",IF(I6830="SBJ","CB","?"))</f>
        <v> </v>
      </c>
      <c r="I6830" s="26" t="str">
        <f>IF(OR(E6830="",E6830="!!!",F6830="NEW"),"",INDEX(B6829:B$2,-1+SUMPRODUCT(MAX(ROW(E6829:E$2)*(E6830=E6829:E$2)))))</f>
        <v> </v>
      </c>
      <c r="J6830" s="26" t="str">
        <f>IF(OR(E6830="",E6830="!!!",F6830="NEW"),"",COUNTBLANK(OFFSET(A$1,,,SUMPRODUCT(MAX(ROW(E$2:E6830)*(E6830=E$2:E6830)))))-COUNTBLANK(OFFSET(A$1,,,SUMPRODUCT(MAX(ROW(E$1:E6829)*(E2=E$1:E6829))))))</f>
        <v> </v>
      </c>
      <c r="K6830" s="26" t="str">
        <f>IF(OR(E6830="",E6830="!!!",F6830="NEW"),"",INDEX(J$1:J6829,SUMPRODUCT(MAX(ROW(E$1:E6829)*(E6830=E$1:E6829)))))</f>
        <v> </v>
      </c>
      <c r="L6830" s="27"/>
    </row>
    <row r="6831" spans="1:12">
      <c r="A6831" s="20" t="s">
        <v>1030</v>
      </c>
      <c r="E6831" s="22">
        <f>IF(D6831="?OLD","!!!","")</f>
        <v/>
      </c>
      <c r="F6831" s="23" t="str">
        <f>IF(OR(E6831="",E6831="!!!"),"",IF(NOT(ISNA(VLOOKUP(E6831,E$1:E6830,1,FALSE()))),"OLD",IF(AND(E6831&lt;&gt;"",E6831&lt;&gt;"!!!"),"NEW","")))</f>
        <v> </v>
      </c>
      <c r="G6831" s="24" t="str">
        <f>IF(OR(E6831="",E6831="!!!"),"",IF(OR(J6831=0,AND(J6831=1,K6831=1),AND(J6831=1,I6831="SBJ"),AND(J6831=1,I6831=0)),"?IN_FOCUS",IF(J6831&lt;=2,"?ACTIVATED",IF(J6831&lt;&gt;"","?FAMILIAR",IF(F6831="NEW",IF(ISNA(VLOOKUP(E6831,#REF!,1,FALSE())),"?TYPE_IDENTIFIABLE","?REFERENTIAL"),"_")))))</f>
        <v> </v>
      </c>
      <c r="H6831" s="25" t="str">
        <f>IF(J6831&lt;&gt;1,"",IF(I6831="SBJ","CB","?"))</f>
        <v> </v>
      </c>
      <c r="I6831" s="26" t="str">
        <f>IF(OR(E6831="",E6831="!!!",F6831="NEW"),"",INDEX(B6830:B$2,-1+SUMPRODUCT(MAX(ROW(E6830:E$2)*(E6831=E6830:E$2)))))</f>
        <v> </v>
      </c>
      <c r="J6831" s="26" t="str">
        <f>IF(OR(E6831="",E6831="!!!",F6831="NEW"),"",COUNTBLANK(OFFSET(A$1,,,SUMPRODUCT(MAX(ROW(E$2:E6831)*(E6831=E$2:E6831)))))-COUNTBLANK(OFFSET(A$1,,,SUMPRODUCT(MAX(ROW(E$1:E6830)*(E2=E$1:E6830))))))</f>
        <v> </v>
      </c>
      <c r="K6831" s="26" t="str">
        <f>IF(OR(E6831="",E6831="!!!",F6831="NEW"),"",INDEX(J$1:J6830,SUMPRODUCT(MAX(ROW(E$1:E6830)*(E6831=E$1:E6830)))))</f>
        <v> </v>
      </c>
      <c r="L6831" s="27"/>
    </row>
    <row r="6832" spans="1:12">
      <c r="A6832" s="20" t="s">
        <v>1433</v>
      </c>
      <c r="E6832" s="22">
        <f>IF(D6832="?OLD","!!!","")</f>
        <v/>
      </c>
      <c r="F6832" s="23" t="str">
        <f>IF(OR(E6832="",E6832="!!!"),"",IF(NOT(ISNA(VLOOKUP(E6832,E$1:E6831,1,FALSE()))),"OLD",IF(AND(E6832&lt;&gt;"",E6832&lt;&gt;"!!!"),"NEW","")))</f>
        <v> </v>
      </c>
      <c r="G6832" s="24" t="str">
        <f>IF(OR(E6832="",E6832="!!!"),"",IF(OR(J6832=0,AND(J6832=1,K6832=1),AND(J6832=1,I6832="SBJ"),AND(J6832=1,I6832=0)),"?IN_FOCUS",IF(J6832&lt;=2,"?ACTIVATED",IF(J6832&lt;&gt;"","?FAMILIAR",IF(F6832="NEW",IF(ISNA(VLOOKUP(E6832,#REF!,1,FALSE())),"?TYPE_IDENTIFIABLE","?REFERENTIAL"),"_")))))</f>
        <v> </v>
      </c>
      <c r="H6832" s="25" t="str">
        <f>IF(J6832&lt;&gt;1,"",IF(I6832="SBJ","CB","?"))</f>
        <v> </v>
      </c>
      <c r="I6832" s="26" t="str">
        <f>IF(OR(E6832="",E6832="!!!",F6832="NEW"),"",INDEX(B6831:B$2,-1+SUMPRODUCT(MAX(ROW(E6831:E$2)*(E6832=E6831:E$2)))))</f>
        <v> </v>
      </c>
      <c r="J6832" s="26" t="str">
        <f>IF(OR(E6832="",E6832="!!!",F6832="NEW"),"",COUNTBLANK(OFFSET(A$1,,,SUMPRODUCT(MAX(ROW(E$2:E6832)*(E6832=E$2:E6832)))))-COUNTBLANK(OFFSET(A$1,,,SUMPRODUCT(MAX(ROW(E$1:E6831)*(E2=E$1:E6831))))))</f>
        <v> </v>
      </c>
      <c r="K6832" s="26" t="str">
        <f>IF(OR(E6832="",E6832="!!!",F6832="NEW"),"",INDEX(J$1:J6831,SUMPRODUCT(MAX(ROW(E$1:E6831)*(E6832=E$1:E6831)))))</f>
        <v> </v>
      </c>
      <c r="L6832" s="27"/>
    </row>
    <row r="6833" spans="1:12">
      <c r="A6833" s="20" t="s">
        <v>102</v>
      </c>
      <c r="E6833" s="22">
        <f>IF(D6833="?OLD","!!!","")</f>
        <v/>
      </c>
      <c r="F6833" s="23" t="str">
        <f>IF(OR(E6833="",E6833="!!!"),"",IF(NOT(ISNA(VLOOKUP(E6833,E$1:E6832,1,FALSE()))),"OLD",IF(AND(E6833&lt;&gt;"",E6833&lt;&gt;"!!!"),"NEW","")))</f>
        <v> </v>
      </c>
      <c r="G6833" s="24" t="str">
        <f>IF(OR(E6833="",E6833="!!!"),"",IF(OR(J6833=0,AND(J6833=1,K6833=1),AND(J6833=1,I6833="SBJ"),AND(J6833=1,I6833=0)),"?IN_FOCUS",IF(J6833&lt;=2,"?ACTIVATED",IF(J6833&lt;&gt;"","?FAMILIAR",IF(F6833="NEW",IF(ISNA(VLOOKUP(E6833,#REF!,1,FALSE())),"?TYPE_IDENTIFIABLE","?REFERENTIAL"),"_")))))</f>
        <v> </v>
      </c>
      <c r="H6833" s="25" t="str">
        <f>IF(J6833&lt;&gt;1,"",IF(I6833="SBJ","CB","?"))</f>
        <v> </v>
      </c>
      <c r="I6833" s="26" t="str">
        <f>IF(OR(E6833="",E6833="!!!",F6833="NEW"),"",INDEX(B6832:B$2,-1+SUMPRODUCT(MAX(ROW(E6832:E$2)*(E6833=E6832:E$2)))))</f>
        <v> </v>
      </c>
      <c r="J6833" s="26" t="str">
        <f>IF(OR(E6833="",E6833="!!!",F6833="NEW"),"",COUNTBLANK(OFFSET(A$1,,,SUMPRODUCT(MAX(ROW(E$2:E6833)*(E6833=E$2:E6833)))))-COUNTBLANK(OFFSET(A$1,,,SUMPRODUCT(MAX(ROW(E$1:E6832)*(E2=E$1:E6832))))))</f>
        <v> </v>
      </c>
      <c r="K6833" s="26" t="str">
        <f>IF(OR(E6833="",E6833="!!!",F6833="NEW"),"",INDEX(J$1:J6832,SUMPRODUCT(MAX(ROW(E$1:E6832)*(E6833=E$1:E6832)))))</f>
        <v> </v>
      </c>
      <c r="L6833" s="27"/>
    </row>
    <row r="6834" spans="1:12">
      <c r="A6834" s="20" t="s">
        <v>1156</v>
      </c>
      <c r="B6834" s="21" t="s">
        <v>1033</v>
      </c>
      <c r="C6834" s="21" t="s">
        <v>1017</v>
      </c>
      <c r="D6834" s="21" t="s">
        <v>1007</v>
      </c>
      <c r="E6834" s="22">
        <f>IF(D6834="?OLD","!!!","")</f>
        <v/>
      </c>
      <c r="F6834" s="23" t="str">
        <f>IF(OR(E6834="",E6834="!!!"),"",IF(NOT(ISNA(VLOOKUP(E6834,E$1:E6833,1,FALSE()))),"OLD",IF(AND(E6834&lt;&gt;"",E6834&lt;&gt;"!!!"),"NEW","")))</f>
        <v> </v>
      </c>
      <c r="G6834" s="24" t="str">
        <f>IF(OR(E6834="",E6834="!!!"),"",IF(OR(J6834=0,AND(J6834=1,K6834=1),AND(J6834=1,I6834="SBJ"),AND(J6834=1,I6834=0)),"?IN_FOCUS",IF(J6834&lt;=2,"?ACTIVATED",IF(J6834&lt;&gt;"","?FAMILIAR",IF(F6834="NEW",IF(ISNA(VLOOKUP(E6834,#REF!,1,FALSE())),"?TYPE_IDENTIFIABLE","?REFERENTIAL"),"_")))))</f>
        <v> </v>
      </c>
      <c r="H6834" s="25" t="str">
        <f>IF(J6834&lt;&gt;1,"",IF(I6834="SBJ","CB","?"))</f>
        <v> </v>
      </c>
      <c r="I6834" s="26" t="str">
        <f>IF(OR(E6834="",E6834="!!!",F6834="NEW"),"",INDEX(B6833:B$2,-1+SUMPRODUCT(MAX(ROW(E6833:E$2)*(E6834=E6833:E$2)))))</f>
        <v> </v>
      </c>
      <c r="J6834" s="26" t="str">
        <f>IF(OR(E6834="",E6834="!!!",F6834="NEW"),"",COUNTBLANK(OFFSET(A$1,,,SUMPRODUCT(MAX(ROW(E$2:E6834)*(E6834=E$2:E6834)))))-COUNTBLANK(OFFSET(A$1,,,SUMPRODUCT(MAX(ROW(E$1:E6833)*(E2=E$1:E6833))))))</f>
        <v> </v>
      </c>
      <c r="K6834" s="26" t="str">
        <f>IF(OR(E6834="",E6834="!!!",F6834="NEW"),"",INDEX(J$1:J6833,SUMPRODUCT(MAX(ROW(E$1:E6833)*(E6834=E$1:E6833)))))</f>
        <v> </v>
      </c>
      <c r="L6834" s="27"/>
    </row>
    <row r="6835" spans="1:12">
      <c r="A6835" s="20" t="s">
        <v>1097</v>
      </c>
      <c r="E6835" s="22">
        <f>IF(D6835="?OLD","!!!","")</f>
        <v/>
      </c>
      <c r="F6835" s="23" t="str">
        <f>IF(OR(E6835="",E6835="!!!"),"",IF(NOT(ISNA(VLOOKUP(E6835,E$1:E6834,1,FALSE()))),"OLD",IF(AND(E6835&lt;&gt;"",E6835&lt;&gt;"!!!"),"NEW","")))</f>
        <v> </v>
      </c>
      <c r="G6835" s="24" t="str">
        <f>IF(OR(E6835="",E6835="!!!"),"",IF(OR(J6835=0,AND(J6835=1,K6835=1),AND(J6835=1,I6835="SBJ"),AND(J6835=1,I6835=0)),"?IN_FOCUS",IF(J6835&lt;=2,"?ACTIVATED",IF(J6835&lt;&gt;"","?FAMILIAR",IF(F6835="NEW",IF(ISNA(VLOOKUP(E6835,#REF!,1,FALSE())),"?TYPE_IDENTIFIABLE","?REFERENTIAL"),"_")))))</f>
        <v> </v>
      </c>
      <c r="H6835" s="25" t="str">
        <f>IF(J6835&lt;&gt;1,"",IF(I6835="SBJ","CB","?"))</f>
        <v> </v>
      </c>
      <c r="I6835" s="26" t="str">
        <f>IF(OR(E6835="",E6835="!!!",F6835="NEW"),"",INDEX(B6834:B$2,-1+SUMPRODUCT(MAX(ROW(E6834:E$2)*(E6835=E6834:E$2)))))</f>
        <v> </v>
      </c>
      <c r="J6835" s="26" t="str">
        <f>IF(OR(E6835="",E6835="!!!",F6835="NEW"),"",COUNTBLANK(OFFSET(A$1,,,SUMPRODUCT(MAX(ROW(E$2:E6835)*(E6835=E$2:E6835)))))-COUNTBLANK(OFFSET(A$1,,,SUMPRODUCT(MAX(ROW(E$1:E6834)*(E2=E$1:E6834))))))</f>
        <v> </v>
      </c>
      <c r="K6835" s="26" t="str">
        <f>IF(OR(E6835="",E6835="!!!",F6835="NEW"),"",INDEX(J$1:J6834,SUMPRODUCT(MAX(ROW(E$1:E6834)*(E6835=E$1:E6834)))))</f>
        <v> </v>
      </c>
      <c r="L6835" s="27"/>
    </row>
    <row r="6836" spans="1:12">
      <c r="A6836" s="20" t="s">
        <v>137</v>
      </c>
      <c r="E6836" s="22">
        <f>IF(D6836="?OLD","!!!","")</f>
        <v/>
      </c>
      <c r="F6836" s="23" t="str">
        <f>IF(OR(E6836="",E6836="!!!"),"",IF(NOT(ISNA(VLOOKUP(E6836,E$1:E6835,1,FALSE()))),"OLD",IF(AND(E6836&lt;&gt;"",E6836&lt;&gt;"!!!"),"NEW","")))</f>
        <v> </v>
      </c>
      <c r="G6836" s="24" t="str">
        <f>IF(OR(E6836="",E6836="!!!"),"",IF(OR(J6836=0,AND(J6836=1,K6836=1),AND(J6836=1,I6836="SBJ"),AND(J6836=1,I6836=0)),"?IN_FOCUS",IF(J6836&lt;=2,"?ACTIVATED",IF(J6836&lt;&gt;"","?FAMILIAR",IF(F6836="NEW",IF(ISNA(VLOOKUP(E6836,#REF!,1,FALSE())),"?TYPE_IDENTIFIABLE","?REFERENTIAL"),"_")))))</f>
        <v> </v>
      </c>
      <c r="H6836" s="25" t="str">
        <f>IF(J6836&lt;&gt;1,"",IF(I6836="SBJ","CB","?"))</f>
        <v> </v>
      </c>
      <c r="I6836" s="26" t="str">
        <f>IF(OR(E6836="",E6836="!!!",F6836="NEW"),"",INDEX(B6835:B$2,-1+SUMPRODUCT(MAX(ROW(E6835:E$2)*(E6836=E6835:E$2)))))</f>
        <v> </v>
      </c>
      <c r="J6836" s="26" t="str">
        <f>IF(OR(E6836="",E6836="!!!",F6836="NEW"),"",COUNTBLANK(OFFSET(A$1,,,SUMPRODUCT(MAX(ROW(E$2:E6836)*(E6836=E$2:E6836)))))-COUNTBLANK(OFFSET(A$1,,,SUMPRODUCT(MAX(ROW(E$1:E6835)*(E2=E$1:E6835))))))</f>
        <v> </v>
      </c>
      <c r="K6836" s="26" t="str">
        <f>IF(OR(E6836="",E6836="!!!",F6836="NEW"),"",INDEX(J$1:J6835,SUMPRODUCT(MAX(ROW(E$1:E6835)*(E6836=E$1:E6835)))))</f>
        <v> </v>
      </c>
      <c r="L6836" s="27"/>
    </row>
    <row r="6837" spans="1:12">
      <c r="A6837" s="20" t="s">
        <v>1140</v>
      </c>
      <c r="B6837" s="21" t="s">
        <v>1064</v>
      </c>
      <c r="C6837" s="21" t="s">
        <v>1073</v>
      </c>
      <c r="D6837" s="21" t="s">
        <v>1007</v>
      </c>
      <c r="E6837" s="22">
        <f>IF(D6837="?OLD","!!!","")</f>
        <v/>
      </c>
      <c r="F6837" s="23" t="str">
        <f>IF(OR(E6837="",E6837="!!!"),"",IF(NOT(ISNA(VLOOKUP(E6837,E$1:E6836,1,FALSE()))),"OLD",IF(AND(E6837&lt;&gt;"",E6837&lt;&gt;"!!!"),"NEW","")))</f>
        <v> </v>
      </c>
      <c r="G6837" s="24" t="str">
        <f>IF(OR(E6837="",E6837="!!!"),"",IF(OR(J6837=0,AND(J6837=1,K6837=1),AND(J6837=1,I6837="SBJ"),AND(J6837=1,I6837=0)),"?IN_FOCUS",IF(J6837&lt;=2,"?ACTIVATED",IF(J6837&lt;&gt;"","?FAMILIAR",IF(F6837="NEW",IF(ISNA(VLOOKUP(E6837,#REF!,1,FALSE())),"?TYPE_IDENTIFIABLE","?REFERENTIAL"),"_")))))</f>
        <v> </v>
      </c>
      <c r="H6837" s="25" t="str">
        <f>IF(J6837&lt;&gt;1,"",IF(I6837="SBJ","CB","?"))</f>
        <v> </v>
      </c>
      <c r="I6837" s="26" t="str">
        <f>IF(OR(E6837="",E6837="!!!",F6837="NEW"),"",INDEX(B6836:B$2,-1+SUMPRODUCT(MAX(ROW(E6836:E$2)*(E6837=E6836:E$2)))))</f>
        <v> </v>
      </c>
      <c r="J6837" s="26" t="str">
        <f>IF(OR(E6837="",E6837="!!!",F6837="NEW"),"",COUNTBLANK(OFFSET(A$1,,,SUMPRODUCT(MAX(ROW(E$2:E6837)*(E6837=E$2:E6837)))))-COUNTBLANK(OFFSET(A$1,,,SUMPRODUCT(MAX(ROW(E$1:E6836)*(E2=E$1:E6836))))))</f>
        <v> </v>
      </c>
      <c r="K6837" s="26" t="str">
        <f>IF(OR(E6837="",E6837="!!!",F6837="NEW"),"",INDEX(J$1:J6836,SUMPRODUCT(MAX(ROW(E$1:E6836)*(E6837=E$1:E6836)))))</f>
        <v> </v>
      </c>
      <c r="L6837" s="27"/>
    </row>
    <row r="6838" spans="1:12">
      <c r="A6838" s="20" t="s">
        <v>897</v>
      </c>
      <c r="E6838" s="22">
        <f>IF(D6838="?OLD","!!!","")</f>
        <v/>
      </c>
      <c r="F6838" s="23" t="str">
        <f>IF(OR(E6838="",E6838="!!!"),"",IF(NOT(ISNA(VLOOKUP(E6838,E$1:E6837,1,FALSE()))),"OLD",IF(AND(E6838&lt;&gt;"",E6838&lt;&gt;"!!!"),"NEW","")))</f>
        <v> </v>
      </c>
      <c r="G6838" s="24" t="str">
        <f>IF(OR(E6838="",E6838="!!!"),"",IF(OR(J6838=0,AND(J6838=1,K6838=1),AND(J6838=1,I6838="SBJ"),AND(J6838=1,I6838=0)),"?IN_FOCUS",IF(J6838&lt;=2,"?ACTIVATED",IF(J6838&lt;&gt;"","?FAMILIAR",IF(F6838="NEW",IF(ISNA(VLOOKUP(E6838,#REF!,1,FALSE())),"?TYPE_IDENTIFIABLE","?REFERENTIAL"),"_")))))</f>
        <v> </v>
      </c>
      <c r="H6838" s="25" t="str">
        <f>IF(J6838&lt;&gt;1,"",IF(I6838="SBJ","CB","?"))</f>
        <v> </v>
      </c>
      <c r="I6838" s="26" t="str">
        <f>IF(OR(E6838="",E6838="!!!",F6838="NEW"),"",INDEX(B6837:B$2,-1+SUMPRODUCT(MAX(ROW(E6837:E$2)*(E6838=E6837:E$2)))))</f>
        <v> </v>
      </c>
      <c r="J6838" s="26" t="str">
        <f>IF(OR(E6838="",E6838="!!!",F6838="NEW"),"",COUNTBLANK(OFFSET(A$1,,,SUMPRODUCT(MAX(ROW(E$2:E6838)*(E6838=E$2:E6838)))))-COUNTBLANK(OFFSET(A$1,,,SUMPRODUCT(MAX(ROW(E$1:E6837)*(E2=E$1:E6837))))))</f>
        <v> </v>
      </c>
      <c r="K6838" s="26" t="str">
        <f>IF(OR(E6838="",E6838="!!!",F6838="NEW"),"",INDEX(J$1:J6837,SUMPRODUCT(MAX(ROW(E$1:E6837)*(E6838=E$1:E6837)))))</f>
        <v> </v>
      </c>
      <c r="L6838" s="27"/>
    </row>
    <row r="6839" spans="1:12">
      <c r="A6839" s="20" t="s">
        <v>1023</v>
      </c>
      <c r="E6839" s="22">
        <f>IF(D6839="?OLD","!!!","")</f>
        <v/>
      </c>
      <c r="F6839" s="23" t="str">
        <f>IF(OR(E6839="",E6839="!!!"),"",IF(NOT(ISNA(VLOOKUP(E6839,E$1:E6838,1,FALSE()))),"OLD",IF(AND(E6839&lt;&gt;"",E6839&lt;&gt;"!!!"),"NEW","")))</f>
        <v> </v>
      </c>
      <c r="G6839" s="24" t="str">
        <f>IF(OR(E6839="",E6839="!!!"),"",IF(OR(J6839=0,AND(J6839=1,K6839=1),AND(J6839=1,I6839="SBJ"),AND(J6839=1,I6839=0)),"?IN_FOCUS",IF(J6839&lt;=2,"?ACTIVATED",IF(J6839&lt;&gt;"","?FAMILIAR",IF(F6839="NEW",IF(ISNA(VLOOKUP(E6839,#REF!,1,FALSE())),"?TYPE_IDENTIFIABLE","?REFERENTIAL"),"_")))))</f>
        <v> </v>
      </c>
      <c r="H6839" s="25" t="str">
        <f>IF(J6839&lt;&gt;1,"",IF(I6839="SBJ","CB","?"))</f>
        <v> </v>
      </c>
      <c r="I6839" s="26" t="str">
        <f>IF(OR(E6839="",E6839="!!!",F6839="NEW"),"",INDEX(B6838:B$2,-1+SUMPRODUCT(MAX(ROW(E6838:E$2)*(E6839=E6838:E$2)))))</f>
        <v> </v>
      </c>
      <c r="J6839" s="26" t="str">
        <f>IF(OR(E6839="",E6839="!!!",F6839="NEW"),"",COUNTBLANK(OFFSET(A$1,,,SUMPRODUCT(MAX(ROW(E$2:E6839)*(E6839=E$2:E6839)))))-COUNTBLANK(OFFSET(A$1,,,SUMPRODUCT(MAX(ROW(E$1:E6838)*(E2=E$1:E6838))))))</f>
        <v> </v>
      </c>
      <c r="K6839" s="26" t="str">
        <f>IF(OR(E6839="",E6839="!!!",F6839="NEW"),"",INDEX(J$1:J6838,SUMPRODUCT(MAX(ROW(E$1:E6838)*(E6839=E$1:E6838)))))</f>
        <v> </v>
      </c>
      <c r="L6839" s="27"/>
    </row>
    <row r="6840" spans="1:12">
      <c r="A6840" s="20"/>
    </row>
    <row r="6841" spans="1:12">
      <c r="A6841" s="20" t="s">
        <v>2741</v>
      </c>
    </row>
    <row r="6842" spans="1:12">
      <c r="A6842" s="20" t="s">
        <v>2742</v>
      </c>
      <c r="E6842" s="22">
        <f>IF(D6842="?OLD","!!!","")</f>
        <v/>
      </c>
      <c r="F6842" s="23" t="str">
        <f>IF(OR(E6842="",E6842="!!!"),"",IF(NOT(ISNA(VLOOKUP(E6842,E$1:E6841,1,FALSE()))),"OLD",IF(AND(E6842&lt;&gt;"",E6842&lt;&gt;"!!!"),"NEW","")))</f>
        <v> </v>
      </c>
      <c r="G6842" s="24" t="str">
        <f>IF(OR(E6842="",E6842="!!!"),"",IF(OR(J6842=0,AND(J6842=1,K6842=1),AND(J6842=1,I6842="SBJ"),AND(J6842=1,I6842=0)),"?IN_FOCUS",IF(J6842&lt;=2,"?ACTIVATED",IF(J6842&lt;&gt;"","?FAMILIAR",IF(F6842="NEW",IF(ISNA(VLOOKUP(E6842,#REF!,1,FALSE())),"?TYPE_IDENTIFIABLE","?REFERENTIAL"),"_")))))</f>
        <v> </v>
      </c>
      <c r="H6842" s="25" t="str">
        <f>IF(J6842&lt;&gt;1,"",IF(I6842="SBJ","CB","?"))</f>
        <v> </v>
      </c>
      <c r="I6842" s="26" t="str">
        <f>IF(OR(E6842="",E6842="!!!",F6842="NEW"),"",INDEX(B6841:B$2,-1+SUMPRODUCT(MAX(ROW(E6841:E$2)*(E6842=E6841:E$2)))))</f>
        <v> </v>
      </c>
      <c r="J6842" s="26" t="str">
        <f>IF(OR(E6842="",E6842="!!!",F6842="NEW"),"",COUNTBLANK(OFFSET(A$1,,,SUMPRODUCT(MAX(ROW(E$2:E6842)*(E6842=E$2:E6842)))))-COUNTBLANK(OFFSET(A$1,,,SUMPRODUCT(MAX(ROW(E$1:E6841)*(E2=E$1:E6841))))))</f>
        <v> </v>
      </c>
      <c r="K6842" s="26" t="str">
        <f>IF(OR(E6842="",E6842="!!!",F6842="NEW"),"",INDEX(J$1:J6841,SUMPRODUCT(MAX(ROW(E$1:E6841)*(E6842=E$1:E6841)))))</f>
        <v> </v>
      </c>
      <c r="L6842" s="27"/>
    </row>
    <row r="6843" spans="1:12">
      <c r="A6843" s="20" t="s">
        <v>987</v>
      </c>
      <c r="E6843" s="22">
        <f>IF(D6843="?OLD","!!!","")</f>
        <v/>
      </c>
      <c r="F6843" s="23" t="str">
        <f>IF(OR(E6843="",E6843="!!!"),"",IF(NOT(ISNA(VLOOKUP(E6843,E$1:E6842,1,FALSE()))),"OLD",IF(AND(E6843&lt;&gt;"",E6843&lt;&gt;"!!!"),"NEW","")))</f>
        <v> </v>
      </c>
      <c r="G6843" s="24" t="str">
        <f>IF(OR(E6843="",E6843="!!!"),"",IF(OR(J6843=0,AND(J6843=1,K6843=1),AND(J6843=1,I6843="SBJ"),AND(J6843=1,I6843=0)),"?IN_FOCUS",IF(J6843&lt;=2,"?ACTIVATED",IF(J6843&lt;&gt;"","?FAMILIAR",IF(F6843="NEW",IF(ISNA(VLOOKUP(E6843,#REF!,1,FALSE())),"?TYPE_IDENTIFIABLE","?REFERENTIAL"),"_")))))</f>
        <v> </v>
      </c>
      <c r="H6843" s="25" t="str">
        <f>IF(J6843&lt;&gt;1,"",IF(I6843="SBJ","CB","?"))</f>
        <v> </v>
      </c>
      <c r="I6843" s="26" t="str">
        <f>IF(OR(E6843="",E6843="!!!",F6843="NEW"),"",INDEX(B6842:B$2,-1+SUMPRODUCT(MAX(ROW(E6842:E$2)*(E6843=E6842:E$2)))))</f>
        <v> </v>
      </c>
      <c r="J6843" s="26" t="str">
        <f>IF(OR(E6843="",E6843="!!!",F6843="NEW"),"",COUNTBLANK(OFFSET(A$1,,,SUMPRODUCT(MAX(ROW(E$2:E6843)*(E6843=E$2:E6843)))))-COUNTBLANK(OFFSET(A$1,,,SUMPRODUCT(MAX(ROW(E$1:E6842)*(E2=E$1:E6842))))))</f>
        <v> </v>
      </c>
      <c r="K6843" s="26" t="str">
        <f>IF(OR(E6843="",E6843="!!!",F6843="NEW"),"",INDEX(J$1:J6842,SUMPRODUCT(MAX(ROW(E$1:E6842)*(E6843=E$1:E6842)))))</f>
        <v> </v>
      </c>
      <c r="L6843" s="27"/>
    </row>
    <row r="6844" spans="1:12">
      <c r="A6844" s="20" t="s">
        <v>1023</v>
      </c>
      <c r="E6844" s="22">
        <f>IF(D6844="?OLD","!!!","")</f>
        <v/>
      </c>
      <c r="F6844" s="23" t="str">
        <f>IF(OR(E6844="",E6844="!!!"),"",IF(NOT(ISNA(VLOOKUP(E6844,E$1:E6843,1,FALSE()))),"OLD",IF(AND(E6844&lt;&gt;"",E6844&lt;&gt;"!!!"),"NEW","")))</f>
        <v> </v>
      </c>
      <c r="G6844" s="24" t="str">
        <f>IF(OR(E6844="",E6844="!!!"),"",IF(OR(J6844=0,AND(J6844=1,K6844=1),AND(J6844=1,I6844="SBJ"),AND(J6844=1,I6844=0)),"?IN_FOCUS",IF(J6844&lt;=2,"?ACTIVATED",IF(J6844&lt;&gt;"","?FAMILIAR",IF(F6844="NEW",IF(ISNA(VLOOKUP(E6844,#REF!,1,FALSE())),"?TYPE_IDENTIFIABLE","?REFERENTIAL"),"_")))))</f>
        <v> </v>
      </c>
      <c r="H6844" s="25" t="str">
        <f>IF(J6844&lt;&gt;1,"",IF(I6844="SBJ","CB","?"))</f>
        <v> </v>
      </c>
      <c r="I6844" s="26" t="str">
        <f>IF(OR(E6844="",E6844="!!!",F6844="NEW"),"",INDEX(B6843:B$2,-1+SUMPRODUCT(MAX(ROW(E6843:E$2)*(E6844=E6843:E$2)))))</f>
        <v> </v>
      </c>
      <c r="J6844" s="26" t="str">
        <f>IF(OR(E6844="",E6844="!!!",F6844="NEW"),"",COUNTBLANK(OFFSET(A$1,,,SUMPRODUCT(MAX(ROW(E$2:E6844)*(E6844=E$2:E6844)))))-COUNTBLANK(OFFSET(A$1,,,SUMPRODUCT(MAX(ROW(E$1:E6843)*(E2=E$1:E6843))))))</f>
        <v> </v>
      </c>
      <c r="K6844" s="26" t="str">
        <f>IF(OR(E6844="",E6844="!!!",F6844="NEW"),"",INDEX(J$1:J6843,SUMPRODUCT(MAX(ROW(E$1:E6843)*(E6844=E$1:E6843)))))</f>
        <v> </v>
      </c>
      <c r="L6844" s="27"/>
    </row>
    <row r="6845" spans="1:12">
      <c r="A6845" s="20"/>
    </row>
    <row r="6846" spans="1:12">
      <c r="A6846" s="20" t="s">
        <v>2743</v>
      </c>
    </row>
    <row r="6847" spans="1:12">
      <c r="A6847" s="20" t="s">
        <v>1094</v>
      </c>
      <c r="E6847" s="22">
        <f>IF(D6847="?OLD","!!!","")</f>
        <v/>
      </c>
      <c r="F6847" s="23" t="str">
        <f>IF(OR(E6847="",E6847="!!!"),"",IF(NOT(ISNA(VLOOKUP(E6847,E$1:E6846,1,FALSE()))),"OLD",IF(AND(E6847&lt;&gt;"",E6847&lt;&gt;"!!!"),"NEW","")))</f>
        <v> </v>
      </c>
      <c r="G6847" s="24" t="str">
        <f>IF(OR(E6847="",E6847="!!!"),"",IF(OR(J6847=0,AND(J6847=1,K6847=1),AND(J6847=1,I6847="SBJ"),AND(J6847=1,I6847=0)),"?IN_FOCUS",IF(J6847&lt;=2,"?ACTIVATED",IF(J6847&lt;&gt;"","?FAMILIAR",IF(F6847="NEW",IF(ISNA(VLOOKUP(E6847,#REF!,1,FALSE())),"?TYPE_IDENTIFIABLE","?REFERENTIAL"),"_")))))</f>
        <v> </v>
      </c>
      <c r="H6847" s="25" t="str">
        <f>IF(J6847&lt;&gt;1,"",IF(I6847="SBJ","CB","?"))</f>
        <v> </v>
      </c>
      <c r="I6847" s="26" t="str">
        <f>IF(OR(E6847="",E6847="!!!",F6847="NEW"),"",INDEX(B6846:B$2,-1+SUMPRODUCT(MAX(ROW(E6846:E$2)*(E6847=E6846:E$2)))))</f>
        <v> </v>
      </c>
      <c r="J6847" s="26" t="str">
        <f>IF(OR(E6847="",E6847="!!!",F6847="NEW"),"",COUNTBLANK(OFFSET(A$1,,,SUMPRODUCT(MAX(ROW(E$2:E6847)*(E6847=E$2:E6847)))))-COUNTBLANK(OFFSET(A$1,,,SUMPRODUCT(MAX(ROW(E$1:E6846)*(E2=E$1:E6846))))))</f>
        <v> </v>
      </c>
      <c r="K6847" s="26" t="str">
        <f>IF(OR(E6847="",E6847="!!!",F6847="NEW"),"",INDEX(J$1:J6846,SUMPRODUCT(MAX(ROW(E$1:E6846)*(E6847=E$1:E6846)))))</f>
        <v> </v>
      </c>
      <c r="L6847" s="27"/>
    </row>
    <row r="6848" spans="1:12">
      <c r="A6848" s="20" t="s">
        <v>1009</v>
      </c>
      <c r="E6848" s="22">
        <f>IF(D6848="?OLD","!!!","")</f>
        <v/>
      </c>
      <c r="F6848" s="23" t="str">
        <f>IF(OR(E6848="",E6848="!!!"),"",IF(NOT(ISNA(VLOOKUP(E6848,E$1:E6847,1,FALSE()))),"OLD",IF(AND(E6848&lt;&gt;"",E6848&lt;&gt;"!!!"),"NEW","")))</f>
        <v> </v>
      </c>
      <c r="G6848" s="24" t="str">
        <f>IF(OR(E6848="",E6848="!!!"),"",IF(OR(J6848=0,AND(J6848=1,K6848=1),AND(J6848=1,I6848="SBJ"),AND(J6848=1,I6848=0)),"?IN_FOCUS",IF(J6848&lt;=2,"?ACTIVATED",IF(J6848&lt;&gt;"","?FAMILIAR",IF(F6848="NEW",IF(ISNA(VLOOKUP(E6848,#REF!,1,FALSE())),"?TYPE_IDENTIFIABLE","?REFERENTIAL"),"_")))))</f>
        <v> </v>
      </c>
      <c r="H6848" s="25" t="str">
        <f>IF(J6848&lt;&gt;1,"",IF(I6848="SBJ","CB","?"))</f>
        <v> </v>
      </c>
      <c r="I6848" s="26" t="str">
        <f>IF(OR(E6848="",E6848="!!!",F6848="NEW"),"",INDEX(B6847:B$2,-1+SUMPRODUCT(MAX(ROW(E6847:E$2)*(E6848=E6847:E$2)))))</f>
        <v> </v>
      </c>
      <c r="J6848" s="26" t="str">
        <f>IF(OR(E6848="",E6848="!!!",F6848="NEW"),"",COUNTBLANK(OFFSET(A$1,,,SUMPRODUCT(MAX(ROW(E$2:E6848)*(E6848=E$2:E6848)))))-COUNTBLANK(OFFSET(A$1,,,SUMPRODUCT(MAX(ROW(E$1:E6847)*(E2=E$1:E6847))))))</f>
        <v> </v>
      </c>
      <c r="K6848" s="26" t="str">
        <f>IF(OR(E6848="",E6848="!!!",F6848="NEW"),"",INDEX(J$1:J6847,SUMPRODUCT(MAX(ROW(E$1:E6847)*(E6848=E$1:E6847)))))</f>
        <v> </v>
      </c>
      <c r="L6848" s="27"/>
    </row>
    <row r="6849" spans="1:12">
      <c r="A6849" s="20" t="s">
        <v>28</v>
      </c>
      <c r="B6849" s="21" t="s">
        <v>1005</v>
      </c>
      <c r="C6849" s="21" t="s">
        <v>1006</v>
      </c>
      <c r="D6849" s="21" t="s">
        <v>1007</v>
      </c>
      <c r="E6849" s="22">
        <f>IF(D6849="?OLD","!!!","")</f>
        <v/>
      </c>
      <c r="F6849" s="23" t="str">
        <f>IF(OR(E6849="",E6849="!!!"),"",IF(NOT(ISNA(VLOOKUP(E6849,E$1:E6848,1,FALSE()))),"OLD",IF(AND(E6849&lt;&gt;"",E6849&lt;&gt;"!!!"),"NEW","")))</f>
        <v> </v>
      </c>
      <c r="G6849" s="24" t="str">
        <f>IF(OR(E6849="",E6849="!!!"),"",IF(OR(J6849=0,AND(J6849=1,K6849=1),AND(J6849=1,I6849="SBJ"),AND(J6849=1,I6849=0)),"?IN_FOCUS",IF(J6849&lt;=2,"?ACTIVATED",IF(J6849&lt;&gt;"","?FAMILIAR",IF(F6849="NEW",IF(ISNA(VLOOKUP(E6849,#REF!,1,FALSE())),"?TYPE_IDENTIFIABLE","?REFERENTIAL"),"_")))))</f>
        <v> </v>
      </c>
      <c r="H6849" s="25" t="str">
        <f>IF(J6849&lt;&gt;1,"",IF(I6849="SBJ","CB","?"))</f>
        <v> </v>
      </c>
      <c r="I6849" s="26" t="str">
        <f>IF(OR(E6849="",E6849="!!!",F6849="NEW"),"",INDEX(B6848:B$2,-1+SUMPRODUCT(MAX(ROW(E6848:E$2)*(E6849=E6848:E$2)))))</f>
        <v> </v>
      </c>
      <c r="J6849" s="26" t="str">
        <f>IF(OR(E6849="",E6849="!!!",F6849="NEW"),"",COUNTBLANK(OFFSET(A$1,,,SUMPRODUCT(MAX(ROW(E$2:E6849)*(E6849=E$2:E6849)))))-COUNTBLANK(OFFSET(A$1,,,SUMPRODUCT(MAX(ROW(E$1:E6848)*(E2=E$1:E6848))))))</f>
        <v> </v>
      </c>
      <c r="K6849" s="26" t="str">
        <f>IF(OR(E6849="",E6849="!!!",F6849="NEW"),"",INDEX(J$1:J6848,SUMPRODUCT(MAX(ROW(E$1:E6848)*(E6849=E$1:E6848)))))</f>
        <v> </v>
      </c>
      <c r="L6849" s="27"/>
    </row>
    <row r="6850" spans="1:12">
      <c r="A6850" s="20" t="s">
        <v>1018</v>
      </c>
      <c r="E6850" s="22">
        <f>IF(D6850="?OLD","!!!","")</f>
        <v/>
      </c>
      <c r="F6850" s="23" t="str">
        <f>IF(OR(E6850="",E6850="!!!"),"",IF(NOT(ISNA(VLOOKUP(E6850,E$1:E6849,1,FALSE()))),"OLD",IF(AND(E6850&lt;&gt;"",E6850&lt;&gt;"!!!"),"NEW","")))</f>
        <v> </v>
      </c>
      <c r="G6850" s="24" t="str">
        <f>IF(OR(E6850="",E6850="!!!"),"",IF(OR(J6850=0,AND(J6850=1,K6850=1),AND(J6850=1,I6850="SBJ"),AND(J6850=1,I6850=0)),"?IN_FOCUS",IF(J6850&lt;=2,"?ACTIVATED",IF(J6850&lt;&gt;"","?FAMILIAR",IF(F6850="NEW",IF(ISNA(VLOOKUP(E6850,#REF!,1,FALSE())),"?TYPE_IDENTIFIABLE","?REFERENTIAL"),"_")))))</f>
        <v> </v>
      </c>
      <c r="H6850" s="25" t="str">
        <f>IF(J6850&lt;&gt;1,"",IF(I6850="SBJ","CB","?"))</f>
        <v> </v>
      </c>
      <c r="I6850" s="26" t="str">
        <f>IF(OR(E6850="",E6850="!!!",F6850="NEW"),"",INDEX(B6849:B$2,-1+SUMPRODUCT(MAX(ROW(E6849:E$2)*(E6850=E6849:E$2)))))</f>
        <v> </v>
      </c>
      <c r="J6850" s="26" t="str">
        <f>IF(OR(E6850="",E6850="!!!",F6850="NEW"),"",COUNTBLANK(OFFSET(A$1,,,SUMPRODUCT(MAX(ROW(E$2:E6850)*(E6850=E$2:E6850)))))-COUNTBLANK(OFFSET(A$1,,,SUMPRODUCT(MAX(ROW(E$1:E6849)*(E2=E$1:E6849))))))</f>
        <v> </v>
      </c>
      <c r="K6850" s="26" t="str">
        <f>IF(OR(E6850="",E6850="!!!",F6850="NEW"),"",INDEX(J$1:J6849,SUMPRODUCT(MAX(ROW(E$1:E6849)*(E6850=E$1:E6849)))))</f>
        <v> </v>
      </c>
      <c r="L6850" s="27"/>
    </row>
    <row r="6851" spans="1:12">
      <c r="A6851" s="20" t="s">
        <v>987</v>
      </c>
      <c r="E6851" s="22">
        <f>IF(D6851="?OLD","!!!","")</f>
        <v/>
      </c>
      <c r="F6851" s="23" t="str">
        <f>IF(OR(E6851="",E6851="!!!"),"",IF(NOT(ISNA(VLOOKUP(E6851,E$1:E6850,1,FALSE()))),"OLD",IF(AND(E6851&lt;&gt;"",E6851&lt;&gt;"!!!"),"NEW","")))</f>
        <v> </v>
      </c>
      <c r="G6851" s="24" t="str">
        <f>IF(OR(E6851="",E6851="!!!"),"",IF(OR(J6851=0,AND(J6851=1,K6851=1),AND(J6851=1,I6851="SBJ"),AND(J6851=1,I6851=0)),"?IN_FOCUS",IF(J6851&lt;=2,"?ACTIVATED",IF(J6851&lt;&gt;"","?FAMILIAR",IF(F6851="NEW",IF(ISNA(VLOOKUP(E6851,#REF!,1,FALSE())),"?TYPE_IDENTIFIABLE","?REFERENTIAL"),"_")))))</f>
        <v> </v>
      </c>
      <c r="H6851" s="25" t="str">
        <f>IF(J6851&lt;&gt;1,"",IF(I6851="SBJ","CB","?"))</f>
        <v> </v>
      </c>
      <c r="I6851" s="26" t="str">
        <f>IF(OR(E6851="",E6851="!!!",F6851="NEW"),"",INDEX(B6850:B$2,-1+SUMPRODUCT(MAX(ROW(E6850:E$2)*(E6851=E6850:E$2)))))</f>
        <v> </v>
      </c>
      <c r="J6851" s="26" t="str">
        <f>IF(OR(E6851="",E6851="!!!",F6851="NEW"),"",COUNTBLANK(OFFSET(A$1,,,SUMPRODUCT(MAX(ROW(E$2:E6851)*(E6851=E$2:E6851)))))-COUNTBLANK(OFFSET(A$1,,,SUMPRODUCT(MAX(ROW(E$1:E6850)*(E2=E$1:E6850))))))</f>
        <v> </v>
      </c>
      <c r="K6851" s="26" t="str">
        <f>IF(OR(E6851="",E6851="!!!",F6851="NEW"),"",INDEX(J$1:J6850,SUMPRODUCT(MAX(ROW(E$1:E6850)*(E6851=E$1:E6850)))))</f>
        <v> </v>
      </c>
      <c r="L6851" s="27"/>
    </row>
    <row r="6852" spans="1:12">
      <c r="A6852" s="20" t="s">
        <v>1023</v>
      </c>
      <c r="E6852" s="22">
        <f>IF(D6852="?OLD","!!!","")</f>
        <v/>
      </c>
      <c r="F6852" s="23" t="str">
        <f>IF(OR(E6852="",E6852="!!!"),"",IF(NOT(ISNA(VLOOKUP(E6852,E$1:E6851,1,FALSE()))),"OLD",IF(AND(E6852&lt;&gt;"",E6852&lt;&gt;"!!!"),"NEW","")))</f>
        <v> </v>
      </c>
      <c r="G6852" s="24" t="str">
        <f>IF(OR(E6852="",E6852="!!!"),"",IF(OR(J6852=0,AND(J6852=1,K6852=1),AND(J6852=1,I6852="SBJ"),AND(J6852=1,I6852=0)),"?IN_FOCUS",IF(J6852&lt;=2,"?ACTIVATED",IF(J6852&lt;&gt;"","?FAMILIAR",IF(F6852="NEW",IF(ISNA(VLOOKUP(E6852,#REF!,1,FALSE())),"?TYPE_IDENTIFIABLE","?REFERENTIAL"),"_")))))</f>
        <v> </v>
      </c>
      <c r="H6852" s="25" t="str">
        <f>IF(J6852&lt;&gt;1,"",IF(I6852="SBJ","CB","?"))</f>
        <v> </v>
      </c>
      <c r="I6852" s="26" t="str">
        <f>IF(OR(E6852="",E6852="!!!",F6852="NEW"),"",INDEX(B6851:B$2,-1+SUMPRODUCT(MAX(ROW(E6851:E$2)*(E6852=E6851:E$2)))))</f>
        <v> </v>
      </c>
      <c r="J6852" s="26" t="str">
        <f>IF(OR(E6852="",E6852="!!!",F6852="NEW"),"",COUNTBLANK(OFFSET(A$1,,,SUMPRODUCT(MAX(ROW(E$2:E6852)*(E6852=E$2:E6852)))))-COUNTBLANK(OFFSET(A$1,,,SUMPRODUCT(MAX(ROW(E$1:E6851)*(E2=E$1:E6851))))))</f>
        <v> </v>
      </c>
      <c r="K6852" s="26" t="str">
        <f>IF(OR(E6852="",E6852="!!!",F6852="NEW"),"",INDEX(J$1:J6851,SUMPRODUCT(MAX(ROW(E$1:E6851)*(E6852=E$1:E6851)))))</f>
        <v> </v>
      </c>
      <c r="L6852" s="27"/>
    </row>
    <row r="6853" spans="1:12">
      <c r="A6853"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2025-07-10T18:08:31Z</dcterms:created>
  <dcterms:modified xsi:type="dcterms:W3CDTF">2025-07-10T18:08:31Z</dcterms:modified>
</cp:coreProperties>
</file>